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8_{E8037E5E-036C-4D3A-AE99-E935F1A0AA6D}" xr6:coauthVersionLast="47" xr6:coauthVersionMax="47" xr10:uidLastSave="{00000000-0000-0000-0000-000000000000}"/>
  <bookViews>
    <workbookView xWindow="-120" yWindow="-120" windowWidth="20730" windowHeight="11160" xr2:uid="{215A6248-436A-46DE-94BD-A8BB3DBE1702}"/>
  </bookViews>
  <sheets>
    <sheet name="2138" sheetId="1" r:id="rId1"/>
  </sheets>
  <externalReferences>
    <externalReference r:id="rId2"/>
  </externalReferences>
  <definedNames>
    <definedName name="_xlnm._FilterDatabase" localSheetId="0" hidden="1">'2138'!$A$20:$WXE$20</definedName>
    <definedName name="_xlnm.Criteria" localSheetId="0">'2138'!#REF!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K2" i="1" l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BT3" i="1"/>
  <c r="CQ3" i="1" s="1"/>
  <c r="BU3" i="1"/>
  <c r="BT4" i="1" s="1"/>
  <c r="BV3" i="1"/>
  <c r="BW3" i="1"/>
  <c r="BX3" i="1"/>
  <c r="BY3" i="1"/>
  <c r="BX4" i="1" s="1"/>
  <c r="BW5" i="1" s="1"/>
  <c r="BZ3" i="1"/>
  <c r="CW3" i="1" s="1"/>
  <c r="CA3" i="1"/>
  <c r="BZ4" i="1" s="1"/>
  <c r="CB3" i="1"/>
  <c r="CC3" i="1"/>
  <c r="CD3" i="1"/>
  <c r="CE3" i="1"/>
  <c r="CD4" i="1" s="1"/>
  <c r="CC5" i="1" s="1"/>
  <c r="CF3" i="1"/>
  <c r="DC3" i="1" s="1"/>
  <c r="CK3" i="1"/>
  <c r="CL3" i="1"/>
  <c r="CM3" i="1"/>
  <c r="CN3" i="1"/>
  <c r="CO3" i="1"/>
  <c r="CP3" i="1"/>
  <c r="CS3" i="1"/>
  <c r="CU3" i="1"/>
  <c r="CV3" i="1"/>
  <c r="CY3" i="1"/>
  <c r="DA3" i="1"/>
  <c r="DB3" i="1"/>
  <c r="DD3" i="1"/>
  <c r="BS4" i="1"/>
  <c r="BU4" i="1"/>
  <c r="BW4" i="1"/>
  <c r="CT4" i="1" s="1"/>
  <c r="BY4" i="1"/>
  <c r="CA4" i="1"/>
  <c r="CC4" i="1"/>
  <c r="CZ4" i="1" s="1"/>
  <c r="CE4" i="1"/>
  <c r="CF4" i="1"/>
  <c r="CK4" i="1"/>
  <c r="CL4" i="1"/>
  <c r="CM4" i="1"/>
  <c r="CN4" i="1"/>
  <c r="CO4" i="1"/>
  <c r="CR4" i="1"/>
  <c r="CX4" i="1"/>
  <c r="DC4" i="1"/>
  <c r="DD4" i="1"/>
  <c r="BT5" i="1"/>
  <c r="BV5" i="1"/>
  <c r="BZ5" i="1"/>
  <c r="CW5" i="1" s="1"/>
  <c r="CB5" i="1"/>
  <c r="CE5" i="1"/>
  <c r="CK5" i="1"/>
  <c r="CL5" i="1"/>
  <c r="CM5" i="1"/>
  <c r="CN5" i="1"/>
  <c r="CS5" i="1"/>
  <c r="CY5" i="1"/>
  <c r="DB5" i="1"/>
  <c r="DC5" i="1"/>
  <c r="DD5" i="1"/>
  <c r="BU6" i="1"/>
  <c r="CA6" i="1"/>
  <c r="CD6" i="1"/>
  <c r="CC7" i="1" s="1"/>
  <c r="CK6" i="1"/>
  <c r="CL6" i="1"/>
  <c r="CM6" i="1"/>
  <c r="DB6" i="1"/>
  <c r="DC6" i="1"/>
  <c r="DD6" i="1"/>
  <c r="CD7" i="1"/>
  <c r="DA7" i="1" s="1"/>
  <c r="CK7" i="1"/>
  <c r="CL7" i="1"/>
  <c r="CZ7" i="1"/>
  <c r="DB7" i="1"/>
  <c r="DC7" i="1"/>
  <c r="DD7" i="1"/>
  <c r="CB8" i="1"/>
  <c r="CY8" i="1" s="1"/>
  <c r="CD8" i="1"/>
  <c r="DA8" i="1" s="1"/>
  <c r="CK8" i="1"/>
  <c r="DB8" i="1"/>
  <c r="DC8" i="1"/>
  <c r="DD8" i="1"/>
  <c r="CC9" i="1"/>
  <c r="CZ9" i="1" s="1"/>
  <c r="CK9" i="1"/>
  <c r="CL9" i="1"/>
  <c r="DA9" i="1"/>
  <c r="DB9" i="1"/>
  <c r="DC9" i="1"/>
  <c r="DD9" i="1"/>
  <c r="CK10" i="1"/>
  <c r="CL10" i="1"/>
  <c r="CM10" i="1"/>
  <c r="DA10" i="1"/>
  <c r="DB10" i="1"/>
  <c r="DC10" i="1"/>
  <c r="DD10" i="1"/>
  <c r="BV11" i="1"/>
  <c r="CB11" i="1"/>
  <c r="CK11" i="1"/>
  <c r="CL11" i="1"/>
  <c r="CM11" i="1"/>
  <c r="CN11" i="1"/>
  <c r="CS11" i="1"/>
  <c r="CY11" i="1"/>
  <c r="DB11" i="1"/>
  <c r="DC11" i="1"/>
  <c r="DD11" i="1"/>
  <c r="BT12" i="1"/>
  <c r="CQ12" i="1" s="1"/>
  <c r="BU12" i="1"/>
  <c r="BT13" i="1" s="1"/>
  <c r="BV12" i="1"/>
  <c r="BW12" i="1"/>
  <c r="BX12" i="1"/>
  <c r="BY12" i="1"/>
  <c r="BX13" i="1" s="1"/>
  <c r="BW14" i="1" s="1"/>
  <c r="BZ12" i="1"/>
  <c r="CW12" i="1" s="1"/>
  <c r="CA12" i="1"/>
  <c r="BZ13" i="1" s="1"/>
  <c r="CB12" i="1"/>
  <c r="CC12" i="1"/>
  <c r="CD12" i="1"/>
  <c r="CE12" i="1"/>
  <c r="CD13" i="1" s="1"/>
  <c r="CC14" i="1" s="1"/>
  <c r="CF12" i="1"/>
  <c r="DC12" i="1" s="1"/>
  <c r="CK12" i="1"/>
  <c r="CL12" i="1"/>
  <c r="CM12" i="1"/>
  <c r="CN12" i="1"/>
  <c r="CO12" i="1"/>
  <c r="CP12" i="1"/>
  <c r="CS12" i="1"/>
  <c r="CU12" i="1"/>
  <c r="CV12" i="1"/>
  <c r="CY12" i="1"/>
  <c r="DA12" i="1"/>
  <c r="DB12" i="1"/>
  <c r="DD12" i="1"/>
  <c r="BS13" i="1"/>
  <c r="BU13" i="1"/>
  <c r="BW13" i="1"/>
  <c r="CT13" i="1" s="1"/>
  <c r="BY13" i="1"/>
  <c r="CA13" i="1"/>
  <c r="CC13" i="1"/>
  <c r="CZ13" i="1" s="1"/>
  <c r="CE13" i="1"/>
  <c r="CF13" i="1"/>
  <c r="CK13" i="1"/>
  <c r="CL13" i="1"/>
  <c r="CM13" i="1"/>
  <c r="CN13" i="1"/>
  <c r="CO13" i="1"/>
  <c r="CR13" i="1"/>
  <c r="CU13" i="1"/>
  <c r="CX13" i="1"/>
  <c r="DA13" i="1"/>
  <c r="DC13" i="1"/>
  <c r="DD13" i="1"/>
  <c r="BT14" i="1"/>
  <c r="BT15" i="1" s="1"/>
  <c r="CQ15" i="1" s="1"/>
  <c r="BV14" i="1"/>
  <c r="BZ14" i="1"/>
  <c r="BZ15" i="1" s="1"/>
  <c r="CW15" i="1" s="1"/>
  <c r="CB14" i="1"/>
  <c r="CE14" i="1"/>
  <c r="CK14" i="1"/>
  <c r="CL14" i="1"/>
  <c r="CM14" i="1"/>
  <c r="CN14" i="1"/>
  <c r="CQ14" i="1"/>
  <c r="CS14" i="1"/>
  <c r="CW14" i="1"/>
  <c r="CY14" i="1"/>
  <c r="DB14" i="1"/>
  <c r="DC14" i="1"/>
  <c r="DD14" i="1"/>
  <c r="BV15" i="1"/>
  <c r="BV18" i="1" s="1"/>
  <c r="CB15" i="1"/>
  <c r="CB18" i="1" s="1"/>
  <c r="CE15" i="1"/>
  <c r="CK15" i="1"/>
  <c r="CL15" i="1"/>
  <c r="CM15" i="1"/>
  <c r="CN15" i="1"/>
  <c r="CY15" i="1"/>
  <c r="DB15" i="1"/>
  <c r="DC15" i="1"/>
  <c r="DD15" i="1"/>
  <c r="BT16" i="1"/>
  <c r="BV16" i="1"/>
  <c r="BX16" i="1"/>
  <c r="CU16" i="1" s="1"/>
  <c r="BZ16" i="1"/>
  <c r="CB16" i="1"/>
  <c r="CD16" i="1"/>
  <c r="DA16" i="1" s="1"/>
  <c r="CF16" i="1"/>
  <c r="CK16" i="1"/>
  <c r="CL16" i="1"/>
  <c r="CM16" i="1"/>
  <c r="CN16" i="1"/>
  <c r="CO16" i="1"/>
  <c r="CP16" i="1"/>
  <c r="CS16" i="1"/>
  <c r="CY16" i="1"/>
  <c r="DD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BU17" i="1"/>
  <c r="BW17" i="1"/>
  <c r="CA17" i="1"/>
  <c r="CC17" i="1"/>
  <c r="CF17" i="1"/>
  <c r="CK17" i="1"/>
  <c r="CL17" i="1"/>
  <c r="CM17" i="1"/>
  <c r="CN17" i="1"/>
  <c r="CO17" i="1"/>
  <c r="CR17" i="1"/>
  <c r="CT17" i="1"/>
  <c r="CX17" i="1"/>
  <c r="CZ17" i="1"/>
  <c r="DC17" i="1"/>
  <c r="DD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BT18" i="1"/>
  <c r="CQ18" i="1" s="1"/>
  <c r="BZ18" i="1"/>
  <c r="CW18" i="1" s="1"/>
  <c r="CE18" i="1"/>
  <c r="CE19" i="1" s="1"/>
  <c r="CF18" i="1"/>
  <c r="CK18" i="1"/>
  <c r="CL18" i="1"/>
  <c r="CM18" i="1"/>
  <c r="CN18" i="1"/>
  <c r="CS18" i="1"/>
  <c r="CY18" i="1"/>
  <c r="DB18" i="1"/>
  <c r="DD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BT19" i="1"/>
  <c r="CQ19" i="1" s="1"/>
  <c r="BV19" i="1"/>
  <c r="CS19" i="1" s="1"/>
  <c r="BZ19" i="1"/>
  <c r="CB19" i="1"/>
  <c r="CY19" i="1" s="1"/>
  <c r="CK19" i="1"/>
  <c r="CL19" i="1"/>
  <c r="CM19" i="1"/>
  <c r="CN19" i="1"/>
  <c r="CW19" i="1"/>
  <c r="DB19" i="1"/>
  <c r="DD19" i="1"/>
  <c r="Z21" i="1"/>
  <c r="AA21" i="1"/>
  <c r="CK21" i="1" a="1"/>
  <c r="CK21" i="1"/>
  <c r="DD21" i="1" a="1"/>
  <c r="DD21" i="1"/>
  <c r="Z22" i="1"/>
  <c r="AA22" i="1"/>
  <c r="AF22" i="1"/>
  <c r="CK22" i="1" a="1"/>
  <c r="CK22" i="1" s="1"/>
  <c r="DD22" i="1" a="1"/>
  <c r="DD22" i="1" s="1"/>
  <c r="Z23" i="1"/>
  <c r="AA23" i="1"/>
  <c r="AF23" i="1"/>
  <c r="CK23" i="1" a="1"/>
  <c r="CK23" i="1"/>
  <c r="DD23" i="1" a="1"/>
  <c r="DD23" i="1" s="1"/>
  <c r="Z24" i="1"/>
  <c r="AA24" i="1"/>
  <c r="AF24" i="1"/>
  <c r="CK24" i="1" a="1"/>
  <c r="CK24" i="1" s="1"/>
  <c r="DD24" i="1" a="1"/>
  <c r="DD24" i="1" s="1"/>
  <c r="Z25" i="1"/>
  <c r="AA25" i="1"/>
  <c r="AF25" i="1"/>
  <c r="CK25" i="1" a="1"/>
  <c r="CK25" i="1" s="1"/>
  <c r="DD25" i="1" a="1"/>
  <c r="DD25" i="1" s="1"/>
  <c r="Z26" i="1"/>
  <c r="AA26" i="1"/>
  <c r="AF26" i="1"/>
  <c r="CK26" i="1" a="1"/>
  <c r="CK26" i="1"/>
  <c r="DD26" i="1" a="1"/>
  <c r="DD26" i="1" s="1"/>
  <c r="Z27" i="1"/>
  <c r="AA27" i="1"/>
  <c r="AF27" i="1"/>
  <c r="CK27" i="1" a="1"/>
  <c r="CK27" i="1" s="1"/>
  <c r="DD27" i="1" a="1"/>
  <c r="DD27" i="1" s="1"/>
  <c r="Z28" i="1"/>
  <c r="AA28" i="1"/>
  <c r="AF28" i="1"/>
  <c r="CK28" i="1" a="1"/>
  <c r="CK28" i="1"/>
  <c r="DD28" i="1" a="1"/>
  <c r="DD28" i="1"/>
  <c r="Z29" i="1"/>
  <c r="AA29" i="1"/>
  <c r="AF29" i="1"/>
  <c r="CK29" i="1" a="1"/>
  <c r="CK29" i="1"/>
  <c r="DD29" i="1" a="1"/>
  <c r="DD29" i="1"/>
  <c r="Z30" i="1"/>
  <c r="AA30" i="1"/>
  <c r="AF30" i="1"/>
  <c r="CK30" i="1" a="1"/>
  <c r="CK30" i="1"/>
  <c r="DD30" i="1" a="1"/>
  <c r="DD30" i="1"/>
  <c r="Z31" i="1"/>
  <c r="AA31" i="1"/>
  <c r="AF31" i="1"/>
  <c r="CK31" i="1" a="1"/>
  <c r="CK31" i="1"/>
  <c r="DD31" i="1" a="1"/>
  <c r="DD31" i="1" s="1"/>
  <c r="Z32" i="1"/>
  <c r="AA32" i="1"/>
  <c r="AF32" i="1"/>
  <c r="CK32" i="1" a="1"/>
  <c r="CK32" i="1" s="1"/>
  <c r="DD32" i="1" a="1"/>
  <c r="DD32" i="1" s="1"/>
  <c r="Z33" i="1"/>
  <c r="AA33" i="1"/>
  <c r="AF33" i="1"/>
  <c r="CK33" i="1" a="1"/>
  <c r="CK33" i="1" s="1"/>
  <c r="DD33" i="1" a="1"/>
  <c r="DD33" i="1" s="1"/>
  <c r="Z34" i="1"/>
  <c r="AA34" i="1"/>
  <c r="AF34" i="1"/>
  <c r="CK34" i="1" a="1"/>
  <c r="CK34" i="1" s="1"/>
  <c r="DD34" i="1" a="1"/>
  <c r="DD34" i="1" s="1"/>
  <c r="Z35" i="1"/>
  <c r="AA35" i="1"/>
  <c r="AF35" i="1"/>
  <c r="CK35" i="1" a="1"/>
  <c r="CK35" i="1" s="1"/>
  <c r="DD35" i="1" a="1"/>
  <c r="DD35" i="1" s="1"/>
  <c r="Z36" i="1"/>
  <c r="AA36" i="1"/>
  <c r="AF36" i="1"/>
  <c r="CK36" i="1" a="1"/>
  <c r="CK36" i="1" s="1"/>
  <c r="DD36" i="1" a="1"/>
  <c r="DD36" i="1" s="1"/>
  <c r="Z37" i="1"/>
  <c r="AA37" i="1"/>
  <c r="AF37" i="1"/>
  <c r="CK37" i="1" a="1"/>
  <c r="CK37" i="1" s="1"/>
  <c r="DD37" i="1" a="1"/>
  <c r="DD37" i="1" s="1"/>
  <c r="Z38" i="1"/>
  <c r="AA38" i="1"/>
  <c r="AF38" i="1"/>
  <c r="CK38" i="1" a="1"/>
  <c r="CK38" i="1" s="1"/>
  <c r="DD38" i="1" a="1"/>
  <c r="DD38" i="1" s="1"/>
  <c r="Z39" i="1"/>
  <c r="AA39" i="1"/>
  <c r="AF39" i="1"/>
  <c r="CK39" i="1" a="1"/>
  <c r="CK39" i="1" s="1"/>
  <c r="DD39" i="1" a="1"/>
  <c r="DD39" i="1" s="1"/>
  <c r="Z40" i="1"/>
  <c r="AA40" i="1"/>
  <c r="AF40" i="1"/>
  <c r="CK40" i="1" a="1"/>
  <c r="CK40" i="1" s="1"/>
  <c r="DD40" i="1" a="1"/>
  <c r="DD40" i="1" s="1"/>
  <c r="Z41" i="1"/>
  <c r="AA41" i="1"/>
  <c r="CK41" i="1" a="1"/>
  <c r="CK41" i="1"/>
  <c r="DD41" i="1" a="1"/>
  <c r="DD41" i="1"/>
  <c r="Z42" i="1"/>
  <c r="AA42" i="1"/>
  <c r="AF42" i="1"/>
  <c r="CK42" i="1" a="1"/>
  <c r="CK42" i="1"/>
  <c r="DD42" i="1" a="1"/>
  <c r="DD42" i="1" s="1"/>
  <c r="Z43" i="1"/>
  <c r="CK43" i="1" a="1"/>
  <c r="CK43" i="1"/>
  <c r="DD43" i="1" a="1"/>
  <c r="DD43" i="1" s="1"/>
  <c r="Z44" i="1"/>
  <c r="AA44" i="1"/>
  <c r="AF44" i="1"/>
  <c r="CK44" i="1" a="1"/>
  <c r="CK44" i="1" s="1"/>
  <c r="DD44" i="1" a="1"/>
  <c r="DD44" i="1"/>
  <c r="Z45" i="1"/>
  <c r="CK45" i="1" a="1"/>
  <c r="CK45" i="1" s="1"/>
  <c r="DD45" i="1" a="1"/>
  <c r="DD45" i="1"/>
  <c r="Z46" i="1"/>
  <c r="AA46" i="1"/>
  <c r="CK46" i="1" a="1"/>
  <c r="CK46" i="1"/>
  <c r="DD46" i="1" a="1"/>
  <c r="DD46" i="1" s="1"/>
  <c r="Z47" i="1"/>
  <c r="AA47" i="1"/>
  <c r="AF47" i="1"/>
  <c r="CK47" i="1" a="1"/>
  <c r="CK47" i="1" s="1"/>
  <c r="DD47" i="1" a="1"/>
  <c r="DD47" i="1"/>
  <c r="Z48" i="1"/>
  <c r="AA48" i="1"/>
  <c r="AF48" i="1"/>
  <c r="CK48" i="1" a="1"/>
  <c r="CK48" i="1" s="1"/>
  <c r="DD48" i="1" a="1"/>
  <c r="DD48" i="1"/>
  <c r="Z49" i="1"/>
  <c r="AA49" i="1"/>
  <c r="AF49" i="1"/>
  <c r="CK49" i="1" a="1"/>
  <c r="CK49" i="1"/>
  <c r="DD49" i="1" a="1"/>
  <c r="DD49" i="1" s="1"/>
  <c r="Z50" i="1"/>
  <c r="AA50" i="1"/>
  <c r="AF50" i="1"/>
  <c r="CK50" i="1" a="1"/>
  <c r="CK50" i="1" s="1"/>
  <c r="DD50" i="1" a="1"/>
  <c r="DD50" i="1" s="1"/>
  <c r="Z51" i="1"/>
  <c r="AA51" i="1"/>
  <c r="CK51" i="1" a="1"/>
  <c r="CK51" i="1"/>
  <c r="DD51" i="1" a="1"/>
  <c r="DD51" i="1" s="1"/>
  <c r="Z52" i="1"/>
  <c r="AA52" i="1"/>
  <c r="AF52" i="1"/>
  <c r="CK52" i="1" a="1"/>
  <c r="CK52" i="1" s="1"/>
  <c r="DD52" i="1" a="1"/>
  <c r="DD52" i="1"/>
  <c r="Z53" i="1"/>
  <c r="AA53" i="1"/>
  <c r="AF53" i="1"/>
  <c r="CK53" i="1" a="1"/>
  <c r="CK53" i="1" s="1"/>
  <c r="DD53" i="1" a="1"/>
  <c r="DD53" i="1"/>
  <c r="Z54" i="1"/>
  <c r="AA54" i="1"/>
  <c r="AF54" i="1"/>
  <c r="CK54" i="1" a="1"/>
  <c r="CK54" i="1" s="1"/>
  <c r="DD54" i="1" a="1"/>
  <c r="DD54" i="1" s="1"/>
  <c r="Z55" i="1"/>
  <c r="AA55" i="1"/>
  <c r="CK55" i="1" a="1"/>
  <c r="CK55" i="1"/>
  <c r="DD55" i="1" a="1"/>
  <c r="DD55" i="1" s="1"/>
  <c r="Z56" i="1"/>
  <c r="AA56" i="1"/>
  <c r="AF56" i="1"/>
  <c r="CK56" i="1" a="1"/>
  <c r="CK56" i="1" s="1"/>
  <c r="DD56" i="1" a="1"/>
  <c r="DD56" i="1" s="1"/>
  <c r="Z57" i="1"/>
  <c r="AA57" i="1"/>
  <c r="CK57" i="1" a="1"/>
  <c r="CK57" i="1"/>
  <c r="DD57" i="1" a="1"/>
  <c r="DD57" i="1" s="1"/>
  <c r="Z58" i="1"/>
  <c r="AA58" i="1"/>
  <c r="AF58" i="1"/>
  <c r="CK58" i="1" a="1"/>
  <c r="CK58" i="1" s="1"/>
  <c r="DD58" i="1" a="1"/>
  <c r="DD58" i="1"/>
  <c r="Z59" i="1"/>
  <c r="AA59" i="1"/>
  <c r="CK59" i="1" a="1"/>
  <c r="CK59" i="1"/>
  <c r="DD59" i="1" a="1"/>
  <c r="DD59" i="1" s="1"/>
  <c r="Z60" i="1"/>
  <c r="AA60" i="1"/>
  <c r="AF60" i="1"/>
  <c r="CK60" i="1" a="1"/>
  <c r="CK60" i="1" s="1"/>
  <c r="DD60" i="1" a="1"/>
  <c r="DD60" i="1"/>
  <c r="Z61" i="1"/>
  <c r="AA61" i="1"/>
  <c r="AF61" i="1"/>
  <c r="CK61" i="1" a="1"/>
  <c r="CK61" i="1"/>
  <c r="DD61" i="1" a="1"/>
  <c r="DD61" i="1"/>
  <c r="Z62" i="1"/>
  <c r="AA62" i="1"/>
  <c r="CK62" i="1" a="1"/>
  <c r="CK62" i="1" s="1"/>
  <c r="DD62" i="1" a="1"/>
  <c r="DD62" i="1" s="1"/>
  <c r="Z63" i="1"/>
  <c r="AA63" i="1"/>
  <c r="AF63" i="1"/>
  <c r="CK63" i="1" a="1"/>
  <c r="CK63" i="1"/>
  <c r="DD63" i="1" a="1"/>
  <c r="DD63" i="1"/>
  <c r="Z64" i="1"/>
  <c r="AA64" i="1"/>
  <c r="AF64" i="1"/>
  <c r="CK64" i="1" a="1"/>
  <c r="CK64" i="1"/>
  <c r="DD64" i="1" a="1"/>
  <c r="DD64" i="1" s="1"/>
  <c r="Z65" i="1"/>
  <c r="AA65" i="1"/>
  <c r="AF65" i="1"/>
  <c r="CK65" i="1" a="1"/>
  <c r="CK65" i="1"/>
  <c r="DD65" i="1" a="1"/>
  <c r="DD65" i="1" s="1"/>
  <c r="Z66" i="1"/>
  <c r="AA66" i="1"/>
  <c r="AF66" i="1"/>
  <c r="CK66" i="1" a="1"/>
  <c r="CK66" i="1" s="1"/>
  <c r="DD66" i="1" a="1"/>
  <c r="DD66" i="1"/>
  <c r="Z67" i="1"/>
  <c r="AA67" i="1"/>
  <c r="AF67" i="1"/>
  <c r="CK67" i="1" a="1"/>
  <c r="CK67" i="1"/>
  <c r="DD67" i="1" a="1"/>
  <c r="DD67" i="1"/>
  <c r="Z68" i="1"/>
  <c r="AA68" i="1"/>
  <c r="AF68" i="1"/>
  <c r="CK68" i="1" a="1"/>
  <c r="CK68" i="1"/>
  <c r="DD68" i="1" a="1"/>
  <c r="DD68" i="1" s="1"/>
  <c r="Z69" i="1"/>
  <c r="AA69" i="1"/>
  <c r="AF69" i="1"/>
  <c r="CK69" i="1" a="1"/>
  <c r="CK69" i="1" s="1"/>
  <c r="DD69" i="1" a="1"/>
  <c r="DD69" i="1" s="1"/>
  <c r="Z70" i="1"/>
  <c r="AA70" i="1"/>
  <c r="AF70" i="1"/>
  <c r="CK70" i="1" a="1"/>
  <c r="CK70" i="1"/>
  <c r="DD70" i="1" a="1"/>
  <c r="DD70" i="1" s="1"/>
  <c r="Z71" i="1"/>
  <c r="AA71" i="1"/>
  <c r="AF71" i="1"/>
  <c r="CK71" i="1" a="1"/>
  <c r="CK71" i="1" s="1"/>
  <c r="DD71" i="1" a="1"/>
  <c r="DD71" i="1" s="1"/>
  <c r="Z72" i="1"/>
  <c r="AA72" i="1"/>
  <c r="AF72" i="1"/>
  <c r="CK72" i="1" a="1"/>
  <c r="CK72" i="1" s="1"/>
  <c r="DD72" i="1" a="1"/>
  <c r="DD72" i="1" s="1"/>
  <c r="Z73" i="1"/>
  <c r="AA73" i="1"/>
  <c r="AF73" i="1"/>
  <c r="CK73" i="1" a="1"/>
  <c r="CK73" i="1"/>
  <c r="DD73" i="1" a="1"/>
  <c r="DD73" i="1" s="1"/>
  <c r="Z74" i="1"/>
  <c r="AA74" i="1"/>
  <c r="CK74" i="1" a="1"/>
  <c r="CK74" i="1" s="1"/>
  <c r="DD74" i="1" a="1"/>
  <c r="DD74" i="1"/>
  <c r="Z75" i="1"/>
  <c r="AA75" i="1"/>
  <c r="CK75" i="1" a="1"/>
  <c r="CK75" i="1" s="1"/>
  <c r="DD75" i="1" a="1"/>
  <c r="DD75" i="1" s="1"/>
  <c r="Z76" i="1"/>
  <c r="AA76" i="1"/>
  <c r="AF76" i="1"/>
  <c r="CK76" i="1" a="1"/>
  <c r="CK76" i="1" s="1"/>
  <c r="DD76" i="1" a="1"/>
  <c r="DD76" i="1"/>
  <c r="Z77" i="1"/>
  <c r="AA77" i="1"/>
  <c r="CK77" i="1" a="1"/>
  <c r="CK77" i="1" s="1"/>
  <c r="DD77" i="1" a="1"/>
  <c r="DD77" i="1"/>
  <c r="Z78" i="1"/>
  <c r="AA78" i="1"/>
  <c r="CK78" i="1" a="1"/>
  <c r="CK78" i="1"/>
  <c r="DD78" i="1" a="1"/>
  <c r="DD78" i="1" s="1"/>
  <c r="Z79" i="1"/>
  <c r="AA79" i="1"/>
  <c r="CK79" i="1" a="1"/>
  <c r="CK79" i="1"/>
  <c r="DD79" i="1" a="1"/>
  <c r="DD79" i="1"/>
  <c r="Z80" i="1"/>
  <c r="AA80" i="1"/>
  <c r="AF80" i="1"/>
  <c r="CK80" i="1" a="1"/>
  <c r="CK80" i="1"/>
  <c r="DD80" i="1" a="1"/>
  <c r="DD80" i="1" s="1"/>
  <c r="Z81" i="1"/>
  <c r="AA81" i="1"/>
  <c r="AF81" i="1"/>
  <c r="CK81" i="1" a="1"/>
  <c r="CK81" i="1" s="1"/>
  <c r="DD81" i="1" a="1"/>
  <c r="DD81" i="1"/>
  <c r="Z82" i="1"/>
  <c r="AA82" i="1"/>
  <c r="AF82" i="1"/>
  <c r="CK82" i="1" a="1"/>
  <c r="CK82" i="1"/>
  <c r="DD82" i="1" a="1"/>
  <c r="DD82" i="1"/>
  <c r="Z83" i="1"/>
  <c r="AA83" i="1"/>
  <c r="AF83" i="1"/>
  <c r="CK83" i="1" a="1"/>
  <c r="CK83" i="1"/>
  <c r="DD83" i="1" a="1"/>
  <c r="DD83" i="1" s="1"/>
  <c r="Z84" i="1"/>
  <c r="AA84" i="1"/>
  <c r="AF84" i="1"/>
  <c r="CK84" i="1" a="1"/>
  <c r="CK84" i="1" s="1"/>
  <c r="DD84" i="1" a="1"/>
  <c r="DD84" i="1" s="1"/>
  <c r="Z85" i="1"/>
  <c r="AA85" i="1"/>
  <c r="AF85" i="1"/>
  <c r="CK85" i="1" a="1"/>
  <c r="CK85" i="1"/>
  <c r="DD85" i="1" a="1"/>
  <c r="DD85" i="1" s="1"/>
  <c r="Z86" i="1"/>
  <c r="AA86" i="1"/>
  <c r="AF86" i="1"/>
  <c r="CK86" i="1" a="1"/>
  <c r="CK86" i="1" s="1"/>
  <c r="DD86" i="1" a="1"/>
  <c r="DD86" i="1" s="1"/>
  <c r="Z87" i="1"/>
  <c r="AA87" i="1"/>
  <c r="AF87" i="1"/>
  <c r="CK87" i="1" a="1"/>
  <c r="CK87" i="1" s="1"/>
  <c r="DD87" i="1" a="1"/>
  <c r="DD87" i="1" s="1"/>
  <c r="Z88" i="1"/>
  <c r="AA88" i="1"/>
  <c r="AF88" i="1"/>
  <c r="CK88" i="1" a="1"/>
  <c r="CK88" i="1"/>
  <c r="DD88" i="1" a="1"/>
  <c r="DD88" i="1" s="1"/>
  <c r="Z89" i="1"/>
  <c r="AA89" i="1"/>
  <c r="AF89" i="1"/>
  <c r="CK89" i="1" a="1"/>
  <c r="CK89" i="1" s="1"/>
  <c r="DD89" i="1" a="1"/>
  <c r="DD89" i="1" s="1"/>
  <c r="Z90" i="1"/>
  <c r="AA90" i="1"/>
  <c r="AF90" i="1"/>
  <c r="CK90" i="1" a="1"/>
  <c r="CK90" i="1" s="1"/>
  <c r="DD90" i="1" a="1"/>
  <c r="DD90" i="1" s="1"/>
  <c r="Z91" i="1"/>
  <c r="AA91" i="1"/>
  <c r="AF91" i="1"/>
  <c r="CK91" i="1" a="1"/>
  <c r="CK91" i="1"/>
  <c r="DD91" i="1" a="1"/>
  <c r="DD91" i="1" s="1"/>
  <c r="Z92" i="1"/>
  <c r="AA92" i="1"/>
  <c r="AF92" i="1"/>
  <c r="CK92" i="1" a="1"/>
  <c r="CK92" i="1" s="1"/>
  <c r="DD92" i="1" a="1"/>
  <c r="DD92" i="1" s="1"/>
  <c r="Z93" i="1"/>
  <c r="AA93" i="1"/>
  <c r="AF93" i="1"/>
  <c r="CK93" i="1" a="1"/>
  <c r="CK93" i="1" s="1"/>
  <c r="DD93" i="1" a="1"/>
  <c r="DD93" i="1"/>
  <c r="Z94" i="1"/>
  <c r="AA94" i="1"/>
  <c r="AF94" i="1"/>
  <c r="CK94" i="1" a="1"/>
  <c r="CK94" i="1"/>
  <c r="DD94" i="1" a="1"/>
  <c r="DD94" i="1" s="1"/>
  <c r="Z95" i="1"/>
  <c r="AA95" i="1"/>
  <c r="AF95" i="1"/>
  <c r="CK95" i="1" a="1"/>
  <c r="CK95" i="1" s="1"/>
  <c r="DD95" i="1" a="1"/>
  <c r="DD95" i="1" s="1"/>
  <c r="Z96" i="1"/>
  <c r="AA96" i="1"/>
  <c r="AF96" i="1"/>
  <c r="CK96" i="1" a="1"/>
  <c r="CK96" i="1" s="1"/>
  <c r="DD96" i="1" a="1"/>
  <c r="DD96" i="1" s="1"/>
  <c r="Z97" i="1"/>
  <c r="AA97" i="1"/>
  <c r="AF97" i="1"/>
  <c r="CK97" i="1" a="1"/>
  <c r="CK97" i="1"/>
  <c r="DD97" i="1" a="1"/>
  <c r="DD97" i="1" s="1"/>
  <c r="Z98" i="1"/>
  <c r="AA98" i="1"/>
  <c r="AF98" i="1"/>
  <c r="CK98" i="1" a="1"/>
  <c r="CK98" i="1"/>
  <c r="DD98" i="1" a="1"/>
  <c r="DD98" i="1"/>
  <c r="Z99" i="1"/>
  <c r="AA99" i="1"/>
  <c r="AF99" i="1"/>
  <c r="CK99" i="1" a="1"/>
  <c r="CK99" i="1"/>
  <c r="DD99" i="1" a="1"/>
  <c r="DD99" i="1" s="1"/>
  <c r="Z100" i="1"/>
  <c r="AA100" i="1"/>
  <c r="AF100" i="1"/>
  <c r="CK100" i="1" a="1"/>
  <c r="CK100" i="1" s="1"/>
  <c r="DD100" i="1" a="1"/>
  <c r="DD100" i="1"/>
  <c r="Z101" i="1"/>
  <c r="AA101" i="1"/>
  <c r="AF101" i="1"/>
  <c r="CK101" i="1" a="1"/>
  <c r="CK101" i="1"/>
  <c r="DD101" i="1" a="1"/>
  <c r="DD101" i="1"/>
  <c r="Z102" i="1"/>
  <c r="AA102" i="1"/>
  <c r="AF102" i="1"/>
  <c r="CK102" i="1" a="1"/>
  <c r="CK102" i="1"/>
  <c r="DD102" i="1" a="1"/>
  <c r="DD102" i="1" s="1"/>
  <c r="Z103" i="1"/>
  <c r="AA103" i="1"/>
  <c r="AF103" i="1"/>
  <c r="CK103" i="1" a="1"/>
  <c r="CK103" i="1" s="1"/>
  <c r="DD103" i="1" a="1"/>
  <c r="DD103" i="1"/>
  <c r="Z104" i="1"/>
  <c r="AA104" i="1"/>
  <c r="AF104" i="1"/>
  <c r="CK104" i="1" a="1"/>
  <c r="CK104" i="1" s="1"/>
  <c r="DD104" i="1" a="1"/>
  <c r="DD104" i="1"/>
  <c r="Z105" i="1"/>
  <c r="AA105" i="1"/>
  <c r="AF105" i="1"/>
  <c r="CK105" i="1" a="1"/>
  <c r="CK105" i="1" s="1"/>
  <c r="DD105" i="1" a="1"/>
  <c r="DD105" i="1" s="1"/>
  <c r="Z106" i="1"/>
  <c r="AA106" i="1"/>
  <c r="AF106" i="1"/>
  <c r="CK106" i="1" a="1"/>
  <c r="CK106" i="1" s="1"/>
  <c r="DD106" i="1" a="1"/>
  <c r="DD106" i="1"/>
  <c r="Z107" i="1"/>
  <c r="AA107" i="1"/>
  <c r="AF107" i="1"/>
  <c r="CK107" i="1" a="1"/>
  <c r="CK107" i="1" s="1"/>
  <c r="DD107" i="1" a="1"/>
  <c r="DD107" i="1"/>
  <c r="Z108" i="1"/>
  <c r="AA108" i="1"/>
  <c r="AF108" i="1"/>
  <c r="CK108" i="1" a="1"/>
  <c r="CK108" i="1" s="1"/>
  <c r="DD108" i="1" a="1"/>
  <c r="DD108" i="1" s="1"/>
  <c r="Z109" i="1"/>
  <c r="AA109" i="1"/>
  <c r="AF109" i="1"/>
  <c r="CK109" i="1" a="1"/>
  <c r="CK109" i="1" s="1"/>
  <c r="DD109" i="1" a="1"/>
  <c r="DD109" i="1"/>
  <c r="Z110" i="1"/>
  <c r="AA110" i="1"/>
  <c r="AF110" i="1"/>
  <c r="CK110" i="1" a="1"/>
  <c r="CK110" i="1" s="1"/>
  <c r="DD110" i="1" a="1"/>
  <c r="DD110" i="1"/>
  <c r="Z111" i="1"/>
  <c r="AA111" i="1"/>
  <c r="AF111" i="1"/>
  <c r="CK111" i="1" a="1"/>
  <c r="CK111" i="1" s="1"/>
  <c r="DD111" i="1" a="1"/>
  <c r="DD111" i="1" s="1"/>
  <c r="Z112" i="1"/>
  <c r="AA112" i="1"/>
  <c r="AF112" i="1"/>
  <c r="CK112" i="1" a="1"/>
  <c r="CK112" i="1" s="1"/>
  <c r="DD112" i="1" a="1"/>
  <c r="DD112" i="1"/>
  <c r="Z113" i="1"/>
  <c r="AA113" i="1"/>
  <c r="AF113" i="1"/>
  <c r="CK113" i="1" a="1"/>
  <c r="CK113" i="1" s="1"/>
  <c r="DD113" i="1" a="1"/>
  <c r="DD113" i="1"/>
  <c r="Z114" i="1"/>
  <c r="AA114" i="1"/>
  <c r="AF114" i="1"/>
  <c r="CK114" i="1" a="1"/>
  <c r="CK114" i="1"/>
  <c r="DD114" i="1" a="1"/>
  <c r="DD114" i="1" s="1"/>
  <c r="Z115" i="1"/>
  <c r="AA115" i="1"/>
  <c r="AF115" i="1"/>
  <c r="CK115" i="1" a="1"/>
  <c r="CK115" i="1" s="1"/>
  <c r="DD115" i="1" a="1"/>
  <c r="DD115" i="1"/>
  <c r="Z116" i="1"/>
  <c r="AA116" i="1"/>
  <c r="AF116" i="1"/>
  <c r="CK116" i="1" a="1"/>
  <c r="CK116" i="1" s="1"/>
  <c r="DD116" i="1" a="1"/>
  <c r="DD116" i="1"/>
  <c r="Z117" i="1"/>
  <c r="AA117" i="1"/>
  <c r="AF117" i="1"/>
  <c r="CK117" i="1" a="1"/>
  <c r="CK117" i="1"/>
  <c r="DD117" i="1" a="1"/>
  <c r="DD117" i="1"/>
  <c r="Z118" i="1"/>
  <c r="AA118" i="1"/>
  <c r="AF118" i="1"/>
  <c r="CK118" i="1" a="1"/>
  <c r="CK118" i="1"/>
  <c r="DD118" i="1" a="1"/>
  <c r="DD118" i="1" s="1"/>
  <c r="Z119" i="1"/>
  <c r="AA119" i="1"/>
  <c r="AF119" i="1"/>
  <c r="CK119" i="1" a="1"/>
  <c r="CK119" i="1" s="1"/>
  <c r="DD119" i="1" a="1"/>
  <c r="DD119" i="1"/>
  <c r="Z120" i="1"/>
  <c r="AA120" i="1"/>
  <c r="AF120" i="1"/>
  <c r="CK120" i="1" a="1"/>
  <c r="CK120" i="1" s="1"/>
  <c r="DD120" i="1" a="1"/>
  <c r="DD120" i="1"/>
  <c r="Z121" i="1"/>
  <c r="AA121" i="1"/>
  <c r="AF121" i="1"/>
  <c r="CK121" i="1" a="1"/>
  <c r="CK121" i="1"/>
  <c r="DD121" i="1" a="1"/>
  <c r="DD121" i="1" s="1"/>
  <c r="Z122" i="1"/>
  <c r="AA122" i="1"/>
  <c r="AF122" i="1"/>
  <c r="CK122" i="1" a="1"/>
  <c r="CK122" i="1" s="1"/>
  <c r="DD122" i="1" a="1"/>
  <c r="DD122" i="1"/>
  <c r="Z123" i="1"/>
  <c r="AA123" i="1"/>
  <c r="AF123" i="1"/>
  <c r="CK123" i="1" a="1"/>
  <c r="CK123" i="1" s="1"/>
  <c r="DD123" i="1" a="1"/>
  <c r="DD123" i="1"/>
  <c r="Z124" i="1"/>
  <c r="AA124" i="1"/>
  <c r="AF124" i="1"/>
  <c r="CK124" i="1" a="1"/>
  <c r="CK124" i="1"/>
  <c r="DD124" i="1" a="1"/>
  <c r="DD124" i="1" s="1"/>
  <c r="Z125" i="1"/>
  <c r="AA125" i="1"/>
  <c r="AF125" i="1"/>
  <c r="CK125" i="1" a="1"/>
  <c r="CK125" i="1" s="1"/>
  <c r="DD125" i="1" a="1"/>
  <c r="DD125" i="1"/>
  <c r="Z126" i="1"/>
  <c r="AA126" i="1"/>
  <c r="AF126" i="1"/>
  <c r="CK126" i="1" a="1"/>
  <c r="CK126" i="1" s="1"/>
  <c r="DD126" i="1" a="1"/>
  <c r="DD126" i="1"/>
  <c r="Z127" i="1"/>
  <c r="AA127" i="1"/>
  <c r="AF127" i="1"/>
  <c r="CK127" i="1" a="1"/>
  <c r="CK127" i="1"/>
  <c r="DD127" i="1" a="1"/>
  <c r="DD127" i="1" s="1"/>
  <c r="Z128" i="1"/>
  <c r="AA128" i="1"/>
  <c r="AF128" i="1"/>
  <c r="CK128" i="1" a="1"/>
  <c r="CK128" i="1" s="1"/>
  <c r="DD128" i="1" a="1"/>
  <c r="DD128" i="1"/>
  <c r="Z129" i="1"/>
  <c r="AA129" i="1"/>
  <c r="AF129" i="1"/>
  <c r="CK129" i="1" a="1"/>
  <c r="CK129" i="1" s="1"/>
  <c r="DD129" i="1" a="1"/>
  <c r="DD129" i="1"/>
  <c r="Z130" i="1"/>
  <c r="AA130" i="1"/>
  <c r="AF130" i="1"/>
  <c r="CK130" i="1" a="1"/>
  <c r="CK130" i="1"/>
  <c r="DD130" i="1" a="1"/>
  <c r="DD130" i="1" s="1"/>
  <c r="Z131" i="1"/>
  <c r="AA131" i="1"/>
  <c r="AF131" i="1"/>
  <c r="CK131" i="1" a="1"/>
  <c r="CK131" i="1" s="1"/>
  <c r="DD131" i="1" a="1"/>
  <c r="DD131" i="1"/>
  <c r="Z132" i="1"/>
  <c r="AA132" i="1"/>
  <c r="AF132" i="1"/>
  <c r="CK132" i="1" a="1"/>
  <c r="CK132" i="1" s="1"/>
  <c r="DD132" i="1" a="1"/>
  <c r="DD132" i="1"/>
  <c r="Z133" i="1"/>
  <c r="AA133" i="1"/>
  <c r="AF133" i="1"/>
  <c r="CK133" i="1" a="1"/>
  <c r="CK133" i="1" s="1"/>
  <c r="DD133" i="1" a="1"/>
  <c r="DD133" i="1" s="1"/>
  <c r="Z134" i="1"/>
  <c r="AA134" i="1"/>
  <c r="AF134" i="1"/>
  <c r="CK134" i="1" a="1"/>
  <c r="CK134" i="1" s="1"/>
  <c r="DD134" i="1" a="1"/>
  <c r="DD134" i="1"/>
  <c r="Z135" i="1"/>
  <c r="AA135" i="1"/>
  <c r="AF135" i="1"/>
  <c r="CK135" i="1" a="1"/>
  <c r="CK135" i="1"/>
  <c r="DD135" i="1" a="1"/>
  <c r="DD135" i="1" s="1"/>
  <c r="Z136" i="1"/>
  <c r="AA136" i="1"/>
  <c r="AF136" i="1"/>
  <c r="CK136" i="1" a="1"/>
  <c r="CK136" i="1" s="1"/>
  <c r="DD136" i="1" a="1"/>
  <c r="DD136" i="1" s="1"/>
  <c r="Z137" i="1"/>
  <c r="AA137" i="1"/>
  <c r="AF137" i="1"/>
  <c r="CK137" i="1" a="1"/>
  <c r="CK137" i="1"/>
  <c r="DD137" i="1" a="1"/>
  <c r="DD137" i="1"/>
  <c r="Z138" i="1"/>
  <c r="AA138" i="1"/>
  <c r="AF138" i="1"/>
  <c r="CK138" i="1" a="1"/>
  <c r="CK138" i="1"/>
  <c r="DD138" i="1" a="1"/>
  <c r="DD138" i="1" s="1"/>
  <c r="Z139" i="1"/>
  <c r="AA139" i="1"/>
  <c r="AF139" i="1"/>
  <c r="CK139" i="1" a="1"/>
  <c r="CK139" i="1" s="1"/>
  <c r="DD139" i="1" a="1"/>
  <c r="DD139" i="1"/>
  <c r="Z140" i="1"/>
  <c r="AA140" i="1"/>
  <c r="AF140" i="1"/>
  <c r="CK140" i="1" a="1"/>
  <c r="CK140" i="1"/>
  <c r="DD140" i="1" a="1"/>
  <c r="DD140" i="1" s="1"/>
  <c r="Z141" i="1"/>
  <c r="AA141" i="1"/>
  <c r="AF141" i="1"/>
  <c r="CK141" i="1" a="1"/>
  <c r="CK141" i="1" s="1"/>
  <c r="DD141" i="1" a="1"/>
  <c r="DD141" i="1" s="1"/>
  <c r="Z142" i="1"/>
  <c r="AA142" i="1"/>
  <c r="AF142" i="1"/>
  <c r="CK142" i="1" a="1"/>
  <c r="CK142" i="1" s="1"/>
  <c r="DD142" i="1" a="1"/>
  <c r="DD142" i="1"/>
  <c r="Z143" i="1"/>
  <c r="AA143" i="1"/>
  <c r="AF143" i="1"/>
  <c r="CK143" i="1" a="1"/>
  <c r="CK143" i="1"/>
  <c r="DD143" i="1" a="1"/>
  <c r="DD143" i="1" s="1"/>
  <c r="Z144" i="1"/>
  <c r="AA144" i="1"/>
  <c r="AF144" i="1"/>
  <c r="CK144" i="1" a="1"/>
  <c r="CK144" i="1" s="1"/>
  <c r="DD144" i="1" a="1"/>
  <c r="DD144" i="1" s="1"/>
  <c r="Z145" i="1"/>
  <c r="AA145" i="1"/>
  <c r="AF145" i="1"/>
  <c r="CK145" i="1" a="1"/>
  <c r="CK145" i="1" s="1"/>
  <c r="DD145" i="1" a="1"/>
  <c r="DD145" i="1"/>
  <c r="Z146" i="1"/>
  <c r="AA146" i="1"/>
  <c r="AF146" i="1"/>
  <c r="CK146" i="1" a="1"/>
  <c r="CK146" i="1"/>
  <c r="DD146" i="1" a="1"/>
  <c r="DD146" i="1" s="1"/>
  <c r="Z147" i="1"/>
  <c r="AA147" i="1"/>
  <c r="AF147" i="1"/>
  <c r="CK147" i="1" a="1"/>
  <c r="CK147" i="1" s="1"/>
  <c r="DD147" i="1" a="1"/>
  <c r="DD147" i="1" s="1"/>
  <c r="Z148" i="1"/>
  <c r="AA148" i="1"/>
  <c r="AF148" i="1"/>
  <c r="CK148" i="1" a="1"/>
  <c r="CK148" i="1" s="1"/>
  <c r="DD148" i="1" a="1"/>
  <c r="DD148" i="1"/>
  <c r="Z149" i="1"/>
  <c r="AA149" i="1"/>
  <c r="AF149" i="1"/>
  <c r="CK149" i="1" a="1"/>
  <c r="CK149" i="1"/>
  <c r="DD149" i="1" a="1"/>
  <c r="DD149" i="1" s="1"/>
  <c r="Z150" i="1"/>
  <c r="AA150" i="1"/>
  <c r="AF150" i="1"/>
  <c r="CK150" i="1" a="1"/>
  <c r="CK150" i="1" s="1"/>
  <c r="DD150" i="1" a="1"/>
  <c r="DD150" i="1" s="1"/>
  <c r="Z151" i="1"/>
  <c r="AA151" i="1"/>
  <c r="AF151" i="1"/>
  <c r="CK151" i="1" a="1"/>
  <c r="CK151" i="1" s="1"/>
  <c r="DD151" i="1" a="1"/>
  <c r="DD151" i="1"/>
  <c r="Z152" i="1"/>
  <c r="AA152" i="1"/>
  <c r="AF152" i="1"/>
  <c r="CK152" i="1" a="1"/>
  <c r="CK152" i="1"/>
  <c r="DD152" i="1" a="1"/>
  <c r="DD152" i="1" s="1"/>
  <c r="Z153" i="1"/>
  <c r="AA153" i="1"/>
  <c r="AF153" i="1"/>
  <c r="CK153" i="1" a="1"/>
  <c r="CK153" i="1" s="1"/>
  <c r="DD153" i="1" a="1"/>
  <c r="DD153" i="1" s="1"/>
  <c r="Z154" i="1"/>
  <c r="AA154" i="1"/>
  <c r="AF154" i="1"/>
  <c r="CK154" i="1" a="1"/>
  <c r="CK154" i="1" s="1"/>
  <c r="DD154" i="1" a="1"/>
  <c r="DD154" i="1"/>
  <c r="Z155" i="1"/>
  <c r="AA155" i="1"/>
  <c r="AF155" i="1"/>
  <c r="CK155" i="1" a="1"/>
  <c r="CK155" i="1"/>
  <c r="DD155" i="1" a="1"/>
  <c r="DD155" i="1" s="1"/>
  <c r="Z156" i="1"/>
  <c r="AA156" i="1"/>
  <c r="AF156" i="1"/>
  <c r="CK156" i="1" a="1"/>
  <c r="CK156" i="1" s="1"/>
  <c r="DD156" i="1" a="1"/>
  <c r="DD156" i="1" s="1"/>
  <c r="Z157" i="1"/>
  <c r="AA157" i="1"/>
  <c r="AF157" i="1"/>
  <c r="CK157" i="1" a="1"/>
  <c r="CK157" i="1"/>
  <c r="DD157" i="1" a="1"/>
  <c r="DD157" i="1"/>
  <c r="Z158" i="1"/>
  <c r="AA158" i="1"/>
  <c r="AF158" i="1"/>
  <c r="CK158" i="1" a="1"/>
  <c r="CK158" i="1"/>
  <c r="DD158" i="1" a="1"/>
  <c r="DD158" i="1" s="1"/>
  <c r="Z159" i="1"/>
  <c r="AA159" i="1"/>
  <c r="AF159" i="1"/>
  <c r="CK159" i="1" a="1"/>
  <c r="CK159" i="1" s="1"/>
  <c r="DD159" i="1" a="1"/>
  <c r="DD159" i="1" s="1"/>
  <c r="Z160" i="1"/>
  <c r="AA160" i="1"/>
  <c r="AF160" i="1"/>
  <c r="CK160" i="1" a="1"/>
  <c r="CK160" i="1"/>
  <c r="DD160" i="1" a="1"/>
  <c r="DD160" i="1"/>
  <c r="Z161" i="1"/>
  <c r="AA161" i="1"/>
  <c r="AF161" i="1"/>
  <c r="CK161" i="1" a="1"/>
  <c r="CK161" i="1"/>
  <c r="DD161" i="1" a="1"/>
  <c r="DD161" i="1" s="1"/>
  <c r="Z162" i="1"/>
  <c r="AA162" i="1"/>
  <c r="AF162" i="1"/>
  <c r="CK162" i="1" a="1"/>
  <c r="CK162" i="1" s="1"/>
  <c r="DD162" i="1" a="1"/>
  <c r="DD162" i="1" s="1"/>
  <c r="Z163" i="1"/>
  <c r="AA163" i="1"/>
  <c r="AF163" i="1"/>
  <c r="CK163" i="1" a="1"/>
  <c r="CK163" i="1"/>
  <c r="DD163" i="1" a="1"/>
  <c r="DD163" i="1"/>
  <c r="Z164" i="1"/>
  <c r="AA164" i="1"/>
  <c r="AF164" i="1"/>
  <c r="CK164" i="1" a="1"/>
  <c r="CK164" i="1"/>
  <c r="DD164" i="1" a="1"/>
  <c r="DD164" i="1" s="1"/>
  <c r="Z165" i="1"/>
  <c r="AA165" i="1"/>
  <c r="AF165" i="1"/>
  <c r="CK165" i="1" a="1"/>
  <c r="CK165" i="1" s="1"/>
  <c r="DD165" i="1" a="1"/>
  <c r="DD165" i="1" s="1"/>
  <c r="Z166" i="1"/>
  <c r="AA166" i="1"/>
  <c r="AF166" i="1"/>
  <c r="CK166" i="1" a="1"/>
  <c r="CK166" i="1" s="1"/>
  <c r="DD166" i="1" a="1"/>
  <c r="DD166" i="1" s="1"/>
  <c r="Z167" i="1"/>
  <c r="AA167" i="1"/>
  <c r="AF167" i="1"/>
  <c r="CK167" i="1" a="1"/>
  <c r="CK167" i="1" s="1"/>
  <c r="DD167" i="1" a="1"/>
  <c r="DD167" i="1"/>
  <c r="Z168" i="1"/>
  <c r="AA168" i="1"/>
  <c r="AF168" i="1"/>
  <c r="CK168" i="1" a="1"/>
  <c r="CK168" i="1"/>
  <c r="DD168" i="1" a="1"/>
  <c r="DD168" i="1" s="1"/>
  <c r="Z169" i="1"/>
  <c r="AA169" i="1"/>
  <c r="AF169" i="1"/>
  <c r="CK169" i="1" a="1"/>
  <c r="CK169" i="1" s="1"/>
  <c r="DD169" i="1" a="1"/>
  <c r="DD169" i="1" s="1"/>
  <c r="Z170" i="1"/>
  <c r="AA170" i="1"/>
  <c r="AF170" i="1"/>
  <c r="CK170" i="1" a="1"/>
  <c r="CK170" i="1" s="1"/>
  <c r="DD170" i="1" a="1"/>
  <c r="DD170" i="1" s="1"/>
  <c r="Z171" i="1"/>
  <c r="AA171" i="1"/>
  <c r="AF171" i="1"/>
  <c r="CK171" i="1" a="1"/>
  <c r="CK171" i="1" s="1"/>
  <c r="DD171" i="1" a="1"/>
  <c r="DD171" i="1" s="1"/>
  <c r="Z172" i="1"/>
  <c r="AA172" i="1"/>
  <c r="AF172" i="1"/>
  <c r="CK172" i="1" a="1"/>
  <c r="CK172" i="1" s="1"/>
  <c r="DD172" i="1" a="1"/>
  <c r="DD172" i="1" s="1"/>
  <c r="Z173" i="1"/>
  <c r="AA173" i="1"/>
  <c r="AF173" i="1"/>
  <c r="CK173" i="1" a="1"/>
  <c r="CK173" i="1" s="1"/>
  <c r="DD173" i="1" a="1"/>
  <c r="DD173" i="1"/>
  <c r="Z174" i="1"/>
  <c r="AA174" i="1"/>
  <c r="AF174" i="1"/>
  <c r="CK174" i="1" a="1"/>
  <c r="CK174" i="1"/>
  <c r="DD174" i="1" a="1"/>
  <c r="DD174" i="1" s="1"/>
  <c r="Z175" i="1"/>
  <c r="AA175" i="1"/>
  <c r="AF175" i="1"/>
  <c r="CK175" i="1" a="1"/>
  <c r="CK175" i="1" s="1"/>
  <c r="DD175" i="1" a="1"/>
  <c r="DD175" i="1" s="1"/>
  <c r="Z176" i="1"/>
  <c r="AA176" i="1"/>
  <c r="AF176" i="1"/>
  <c r="CK176" i="1" a="1"/>
  <c r="CK176" i="1"/>
  <c r="DD176" i="1" a="1"/>
  <c r="DD176" i="1"/>
  <c r="Z177" i="1"/>
  <c r="AA177" i="1"/>
  <c r="AF177" i="1"/>
  <c r="CK177" i="1" a="1"/>
  <c r="CK177" i="1"/>
  <c r="DD177" i="1" a="1"/>
  <c r="DD177" i="1" s="1"/>
  <c r="Z178" i="1"/>
  <c r="AA178" i="1"/>
  <c r="AF178" i="1"/>
  <c r="CK178" i="1" a="1"/>
  <c r="CK178" i="1" s="1"/>
  <c r="DD178" i="1" a="1"/>
  <c r="DD178" i="1" s="1"/>
  <c r="Z179" i="1"/>
  <c r="AA179" i="1"/>
  <c r="AF179" i="1"/>
  <c r="CK179" i="1" a="1"/>
  <c r="CK179" i="1"/>
  <c r="DD179" i="1" a="1"/>
  <c r="DD179" i="1"/>
  <c r="Z180" i="1"/>
  <c r="AA180" i="1"/>
  <c r="AF180" i="1"/>
  <c r="CK180" i="1" a="1"/>
  <c r="CK180" i="1"/>
  <c r="DD180" i="1" a="1"/>
  <c r="DD180" i="1" s="1"/>
  <c r="Z181" i="1"/>
  <c r="AA181" i="1"/>
  <c r="AF181" i="1"/>
  <c r="CK181" i="1" a="1"/>
  <c r="CK181" i="1" s="1"/>
  <c r="DD181" i="1" a="1"/>
  <c r="DD181" i="1" s="1"/>
  <c r="Z182" i="1"/>
  <c r="AA182" i="1"/>
  <c r="AF182" i="1"/>
  <c r="CK182" i="1" a="1"/>
  <c r="CK182" i="1" s="1"/>
  <c r="DD182" i="1" a="1"/>
  <c r="DD182" i="1"/>
  <c r="Z183" i="1"/>
  <c r="AA183" i="1"/>
  <c r="AF183" i="1"/>
  <c r="CK183" i="1" a="1"/>
  <c r="CK183" i="1"/>
  <c r="DD183" i="1" a="1"/>
  <c r="DD183" i="1" s="1"/>
  <c r="Z184" i="1"/>
  <c r="AA184" i="1"/>
  <c r="AF184" i="1"/>
  <c r="CK184" i="1" a="1"/>
  <c r="CK184" i="1" s="1"/>
  <c r="DD184" i="1" a="1"/>
  <c r="DD184" i="1" s="1"/>
  <c r="Z185" i="1"/>
  <c r="AA185" i="1"/>
  <c r="AF185" i="1"/>
  <c r="CK185" i="1" a="1"/>
  <c r="CK185" i="1" s="1"/>
  <c r="DD185" i="1" a="1"/>
  <c r="DD185" i="1" s="1"/>
  <c r="Z186" i="1"/>
  <c r="AA186" i="1"/>
  <c r="AF186" i="1"/>
  <c r="CK186" i="1" a="1"/>
  <c r="CK186" i="1" s="1"/>
  <c r="DD186" i="1" a="1"/>
  <c r="DD186" i="1" s="1"/>
  <c r="Z187" i="1"/>
  <c r="AA187" i="1"/>
  <c r="AF187" i="1"/>
  <c r="CK187" i="1" a="1"/>
  <c r="CK187" i="1" s="1"/>
  <c r="DD187" i="1" a="1"/>
  <c r="DD187" i="1" s="1"/>
  <c r="Z188" i="1"/>
  <c r="AA188" i="1"/>
  <c r="AF188" i="1"/>
  <c r="CK188" i="1" a="1"/>
  <c r="CK188" i="1" s="1"/>
  <c r="DD188" i="1" a="1"/>
  <c r="DD188" i="1" s="1"/>
  <c r="Z189" i="1"/>
  <c r="AA189" i="1"/>
  <c r="AF189" i="1"/>
  <c r="CK189" i="1" a="1"/>
  <c r="CK189" i="1" s="1"/>
  <c r="DD189" i="1" a="1"/>
  <c r="DD189" i="1" s="1"/>
  <c r="Z190" i="1"/>
  <c r="AA190" i="1"/>
  <c r="AF190" i="1"/>
  <c r="CK190" i="1" a="1"/>
  <c r="CK190" i="1" s="1"/>
  <c r="DD190" i="1" a="1"/>
  <c r="DD190" i="1"/>
  <c r="Z191" i="1"/>
  <c r="AA191" i="1"/>
  <c r="AF191" i="1"/>
  <c r="CK191" i="1" a="1"/>
  <c r="CK191" i="1"/>
  <c r="DD191" i="1" a="1"/>
  <c r="DD191" i="1" s="1"/>
  <c r="Z192" i="1"/>
  <c r="AA192" i="1"/>
  <c r="AF192" i="1"/>
  <c r="CK192" i="1" a="1"/>
  <c r="CK192" i="1" s="1"/>
  <c r="DD192" i="1" a="1"/>
  <c r="DD192" i="1"/>
  <c r="Z193" i="1"/>
  <c r="AA193" i="1"/>
  <c r="AF193" i="1"/>
  <c r="CK193" i="1" a="1"/>
  <c r="CK193" i="1" s="1"/>
  <c r="DD193" i="1" a="1"/>
  <c r="DD193" i="1" s="1"/>
  <c r="Z194" i="1"/>
  <c r="AA194" i="1"/>
  <c r="AF194" i="1"/>
  <c r="CK194" i="1" a="1"/>
  <c r="CK194" i="1" s="1"/>
  <c r="DD194" i="1" a="1"/>
  <c r="DD194" i="1" s="1"/>
  <c r="Z195" i="1"/>
  <c r="AA195" i="1"/>
  <c r="AF195" i="1"/>
  <c r="CK195" i="1" a="1"/>
  <c r="CK195" i="1" s="1"/>
  <c r="DD195" i="1" a="1"/>
  <c r="DD195" i="1" s="1"/>
  <c r="Z196" i="1"/>
  <c r="AA196" i="1"/>
  <c r="AF196" i="1"/>
  <c r="CK196" i="1" a="1"/>
  <c r="CK196" i="1" s="1"/>
  <c r="DD196" i="1" a="1"/>
  <c r="DD196" i="1" s="1"/>
  <c r="Z197" i="1"/>
  <c r="AA197" i="1"/>
  <c r="AF197" i="1"/>
  <c r="CK197" i="1" a="1"/>
  <c r="CK197" i="1" s="1"/>
  <c r="DD197" i="1" a="1"/>
  <c r="DD197" i="1" s="1"/>
  <c r="Z198" i="1"/>
  <c r="AA198" i="1"/>
  <c r="AF198" i="1"/>
  <c r="CK198" i="1" a="1"/>
  <c r="CK198" i="1" s="1"/>
  <c r="DD198" i="1" a="1"/>
  <c r="DD198" i="1" s="1"/>
  <c r="Z199" i="1"/>
  <c r="AA199" i="1"/>
  <c r="AF199" i="1"/>
  <c r="CK199" i="1" a="1"/>
  <c r="CK199" i="1" s="1"/>
  <c r="DD199" i="1" a="1"/>
  <c r="DD199" i="1" s="1"/>
  <c r="Z200" i="1"/>
  <c r="AA200" i="1"/>
  <c r="AF200" i="1"/>
  <c r="CK200" i="1" a="1"/>
  <c r="CK200" i="1" s="1"/>
  <c r="DD200" i="1" a="1"/>
  <c r="DD200" i="1" s="1"/>
  <c r="Z201" i="1"/>
  <c r="AA201" i="1"/>
  <c r="AF201" i="1"/>
  <c r="CK201" i="1" a="1"/>
  <c r="CK201" i="1" s="1"/>
  <c r="DD201" i="1" a="1"/>
  <c r="DD201" i="1" s="1"/>
  <c r="Z202" i="1"/>
  <c r="AA202" i="1"/>
  <c r="AF202" i="1"/>
  <c r="CK202" i="1" a="1"/>
  <c r="CK202" i="1" s="1"/>
  <c r="DD202" i="1" a="1"/>
  <c r="DD202" i="1" s="1"/>
  <c r="Z203" i="1"/>
  <c r="AA203" i="1"/>
  <c r="AF203" i="1"/>
  <c r="CK203" i="1" a="1"/>
  <c r="CK203" i="1" s="1"/>
  <c r="DD203" i="1" a="1"/>
  <c r="DD203" i="1" s="1"/>
  <c r="Z204" i="1"/>
  <c r="AA204" i="1"/>
  <c r="AF204" i="1"/>
  <c r="CK204" i="1" a="1"/>
  <c r="CK204" i="1" s="1"/>
  <c r="DD204" i="1" a="1"/>
  <c r="DD204" i="1" s="1"/>
  <c r="Z205" i="1"/>
  <c r="AA205" i="1"/>
  <c r="AF205" i="1"/>
  <c r="CK205" i="1" a="1"/>
  <c r="CK205" i="1" s="1"/>
  <c r="DD205" i="1" a="1"/>
  <c r="DD205" i="1" s="1"/>
  <c r="Z206" i="1"/>
  <c r="AA206" i="1"/>
  <c r="CK206" i="1" a="1"/>
  <c r="CK206" i="1"/>
  <c r="DD206" i="1" a="1"/>
  <c r="DD206" i="1"/>
  <c r="Z207" i="1"/>
  <c r="AA207" i="1"/>
  <c r="AF207" i="1"/>
  <c r="CK207" i="1" a="1"/>
  <c r="CK207" i="1"/>
  <c r="DD207" i="1" a="1"/>
  <c r="DD207" i="1"/>
  <c r="Z208" i="1"/>
  <c r="AA208" i="1"/>
  <c r="AF208" i="1"/>
  <c r="CK208" i="1" a="1"/>
  <c r="CK208" i="1"/>
  <c r="DD208" i="1" a="1"/>
  <c r="DD208" i="1"/>
  <c r="Z209" i="1"/>
  <c r="AA209" i="1"/>
  <c r="AF209" i="1"/>
  <c r="CK209" i="1" a="1"/>
  <c r="CK209" i="1"/>
  <c r="DD209" i="1" a="1"/>
  <c r="DD209" i="1"/>
  <c r="Z210" i="1"/>
  <c r="AA210" i="1"/>
  <c r="AF210" i="1"/>
  <c r="CK210" i="1" a="1"/>
  <c r="CK210" i="1"/>
  <c r="DD210" i="1" a="1"/>
  <c r="DD210" i="1"/>
  <c r="Z211" i="1"/>
  <c r="AA211" i="1"/>
  <c r="AF211" i="1"/>
  <c r="CK211" i="1" a="1"/>
  <c r="CK211" i="1"/>
  <c r="DD211" i="1" a="1"/>
  <c r="DD211" i="1"/>
  <c r="Z212" i="1"/>
  <c r="AA212" i="1"/>
  <c r="AC212" i="1"/>
  <c r="AF212" i="1"/>
  <c r="CK212" i="1" a="1"/>
  <c r="CK212" i="1" s="1"/>
  <c r="DD212" i="1" a="1"/>
  <c r="DD212" i="1" s="1"/>
  <c r="Z213" i="1"/>
  <c r="AA213" i="1"/>
  <c r="AF213" i="1"/>
  <c r="CK213" i="1" a="1"/>
  <c r="CK213" i="1" s="1"/>
  <c r="DD213" i="1" a="1"/>
  <c r="DD213" i="1" s="1"/>
  <c r="Z214" i="1"/>
  <c r="AA214" i="1"/>
  <c r="AF214" i="1"/>
  <c r="CK214" i="1" a="1"/>
  <c r="CK214" i="1" s="1"/>
  <c r="DD214" i="1" a="1"/>
  <c r="DD214" i="1" s="1"/>
  <c r="Z215" i="1"/>
  <c r="AA215" i="1"/>
  <c r="AF215" i="1"/>
  <c r="CK215" i="1" a="1"/>
  <c r="CK215" i="1" s="1"/>
  <c r="DD215" i="1" a="1"/>
  <c r="DD215" i="1" s="1"/>
  <c r="Z216" i="1"/>
  <c r="AA216" i="1"/>
  <c r="AF216" i="1"/>
  <c r="CK216" i="1" a="1"/>
  <c r="CK216" i="1"/>
  <c r="DD216" i="1" a="1"/>
  <c r="DD216" i="1" s="1"/>
  <c r="Z217" i="1"/>
  <c r="AA217" i="1"/>
  <c r="AF217" i="1"/>
  <c r="CK217" i="1" a="1"/>
  <c r="CK217" i="1" s="1"/>
  <c r="DD217" i="1" a="1"/>
  <c r="DD217" i="1" s="1"/>
  <c r="Z218" i="1"/>
  <c r="AA218" i="1"/>
  <c r="AF218" i="1"/>
  <c r="CK218" i="1" a="1"/>
  <c r="CK218" i="1" s="1"/>
  <c r="DD218" i="1" a="1"/>
  <c r="DD218" i="1" s="1"/>
  <c r="Z219" i="1"/>
  <c r="AA219" i="1"/>
  <c r="AF219" i="1"/>
  <c r="CK219" i="1" a="1"/>
  <c r="CK219" i="1"/>
  <c r="DD219" i="1" a="1"/>
  <c r="DD219" i="1" s="1"/>
  <c r="Z220" i="1"/>
  <c r="AA220" i="1"/>
  <c r="AF220" i="1"/>
  <c r="CK220" i="1" a="1"/>
  <c r="CK220" i="1" s="1"/>
  <c r="DD220" i="1" a="1"/>
  <c r="DD220" i="1" s="1"/>
  <c r="Z221" i="1"/>
  <c r="AA221" i="1"/>
  <c r="AF221" i="1"/>
  <c r="CK221" i="1" a="1"/>
  <c r="CK221" i="1" s="1"/>
  <c r="DD221" i="1" a="1"/>
  <c r="DD221" i="1" s="1"/>
  <c r="Z222" i="1"/>
  <c r="AA222" i="1"/>
  <c r="AF222" i="1"/>
  <c r="CK222" i="1" a="1"/>
  <c r="CK222" i="1"/>
  <c r="DD222" i="1" a="1"/>
  <c r="DD222" i="1" s="1"/>
  <c r="Z223" i="1"/>
  <c r="AA223" i="1"/>
  <c r="AF223" i="1"/>
  <c r="CK223" i="1" a="1"/>
  <c r="CK223" i="1" s="1"/>
  <c r="DD223" i="1" a="1"/>
  <c r="DD223" i="1"/>
  <c r="Z224" i="1"/>
  <c r="AA224" i="1"/>
  <c r="AF224" i="1"/>
  <c r="CK224" i="1" a="1"/>
  <c r="CK224" i="1" s="1"/>
  <c r="DD224" i="1" a="1"/>
  <c r="DD224" i="1" s="1"/>
  <c r="Z225" i="1"/>
  <c r="AA225" i="1"/>
  <c r="AF225" i="1"/>
  <c r="CK225" i="1" a="1"/>
  <c r="CK225" i="1" s="1"/>
  <c r="DD225" i="1" a="1"/>
  <c r="DD225" i="1" s="1"/>
  <c r="Z226" i="1"/>
  <c r="AA226" i="1"/>
  <c r="AF226" i="1"/>
  <c r="CK226" i="1" a="1"/>
  <c r="CK226" i="1" s="1"/>
  <c r="DD226" i="1" a="1"/>
  <c r="DD226" i="1" s="1"/>
  <c r="Z227" i="1"/>
  <c r="AA227" i="1"/>
  <c r="AF227" i="1"/>
  <c r="CK227" i="1" a="1"/>
  <c r="CK227" i="1" s="1"/>
  <c r="DD227" i="1" a="1"/>
  <c r="DD227" i="1" s="1"/>
  <c r="Z228" i="1"/>
  <c r="AA228" i="1"/>
  <c r="AF228" i="1"/>
  <c r="CK228" i="1" a="1"/>
  <c r="CK228" i="1" s="1"/>
  <c r="DD228" i="1" a="1"/>
  <c r="DD228" i="1" s="1"/>
  <c r="Z229" i="1"/>
  <c r="AA229" i="1"/>
  <c r="AF229" i="1"/>
  <c r="CK229" i="1" a="1"/>
  <c r="CK229" i="1" s="1"/>
  <c r="DD229" i="1" a="1"/>
  <c r="DD229" i="1" s="1"/>
  <c r="Z230" i="1"/>
  <c r="AA230" i="1"/>
  <c r="AF230" i="1"/>
  <c r="CK230" i="1" a="1"/>
  <c r="CK230" i="1" s="1"/>
  <c r="DD230" i="1" a="1"/>
  <c r="DD230" i="1" s="1"/>
  <c r="Z231" i="1"/>
  <c r="AA231" i="1"/>
  <c r="AF231" i="1"/>
  <c r="CK231" i="1" a="1"/>
  <c r="CK231" i="1" s="1"/>
  <c r="DD231" i="1" a="1"/>
  <c r="DD231" i="1" s="1"/>
  <c r="Z232" i="1"/>
  <c r="AA232" i="1"/>
  <c r="AF232" i="1"/>
  <c r="CK232" i="1" a="1"/>
  <c r="CK232" i="1" s="1"/>
  <c r="DD232" i="1" a="1"/>
  <c r="DD232" i="1" s="1"/>
  <c r="Z233" i="1"/>
  <c r="AA233" i="1"/>
  <c r="AF233" i="1"/>
  <c r="CK233" i="1" a="1"/>
  <c r="CK233" i="1" s="1"/>
  <c r="DD233" i="1" a="1"/>
  <c r="DD233" i="1" s="1"/>
  <c r="Z234" i="1"/>
  <c r="AA234" i="1"/>
  <c r="AF234" i="1"/>
  <c r="CK234" i="1" a="1"/>
  <c r="CK234" i="1" s="1"/>
  <c r="DD234" i="1" a="1"/>
  <c r="DD234" i="1" s="1"/>
  <c r="Z235" i="1"/>
  <c r="AA235" i="1"/>
  <c r="AF235" i="1"/>
  <c r="CK235" i="1" a="1"/>
  <c r="CK235" i="1" s="1"/>
  <c r="DD235" i="1" a="1"/>
  <c r="DD235" i="1" s="1"/>
  <c r="Z236" i="1"/>
  <c r="AA236" i="1"/>
  <c r="AF236" i="1"/>
  <c r="CK236" i="1" a="1"/>
  <c r="CK236" i="1" s="1"/>
  <c r="DD236" i="1" a="1"/>
  <c r="DD236" i="1" s="1"/>
  <c r="Z237" i="1"/>
  <c r="AA237" i="1"/>
  <c r="AF237" i="1"/>
  <c r="CK237" i="1" a="1"/>
  <c r="CK237" i="1" s="1"/>
  <c r="DD237" i="1" a="1"/>
  <c r="DD237" i="1" s="1"/>
  <c r="Z238" i="1"/>
  <c r="AA238" i="1"/>
  <c r="AF238" i="1"/>
  <c r="CK238" i="1" a="1"/>
  <c r="CK238" i="1" s="1"/>
  <c r="DD238" i="1" a="1"/>
  <c r="DD238" i="1" s="1"/>
  <c r="Z239" i="1"/>
  <c r="AA239" i="1"/>
  <c r="AF239" i="1"/>
  <c r="CK239" i="1" a="1"/>
  <c r="CK239" i="1" s="1"/>
  <c r="DD239" i="1" a="1"/>
  <c r="DD239" i="1" s="1"/>
  <c r="Z240" i="1"/>
  <c r="AA240" i="1"/>
  <c r="AF240" i="1"/>
  <c r="CK240" i="1" a="1"/>
  <c r="CK240" i="1" s="1"/>
  <c r="DD240" i="1" a="1"/>
  <c r="DD240" i="1" s="1"/>
  <c r="Z241" i="1"/>
  <c r="AA241" i="1"/>
  <c r="AF241" i="1"/>
  <c r="CK241" i="1" a="1"/>
  <c r="CK241" i="1" s="1"/>
  <c r="DD241" i="1" a="1"/>
  <c r="DD241" i="1" s="1"/>
  <c r="Z242" i="1"/>
  <c r="AA242" i="1"/>
  <c r="AF242" i="1"/>
  <c r="CK242" i="1" a="1"/>
  <c r="CK242" i="1" s="1"/>
  <c r="DD242" i="1" a="1"/>
  <c r="DD242" i="1" s="1"/>
  <c r="Z243" i="1"/>
  <c r="AA243" i="1"/>
  <c r="AF243" i="1"/>
  <c r="CK243" i="1" a="1"/>
  <c r="CK243" i="1" s="1"/>
  <c r="DD243" i="1" a="1"/>
  <c r="DD243" i="1" s="1"/>
  <c r="Z244" i="1"/>
  <c r="AA244" i="1"/>
  <c r="AF244" i="1"/>
  <c r="CK244" i="1" a="1"/>
  <c r="CK244" i="1" s="1"/>
  <c r="DD244" i="1" a="1"/>
  <c r="DD244" i="1" s="1"/>
  <c r="Z245" i="1"/>
  <c r="AA245" i="1"/>
  <c r="AF245" i="1"/>
  <c r="CK245" i="1" a="1"/>
  <c r="CK245" i="1" s="1"/>
  <c r="DD245" i="1" a="1"/>
  <c r="DD245" i="1" s="1"/>
  <c r="Z246" i="1"/>
  <c r="AA246" i="1"/>
  <c r="AF246" i="1"/>
  <c r="CK246" i="1" a="1"/>
  <c r="CK246" i="1" s="1"/>
  <c r="DD246" i="1" a="1"/>
  <c r="DD246" i="1"/>
  <c r="Z247" i="1"/>
  <c r="AA247" i="1"/>
  <c r="AF247" i="1"/>
  <c r="CK247" i="1" a="1"/>
  <c r="CK247" i="1" s="1"/>
  <c r="DD247" i="1" a="1"/>
  <c r="DD247" i="1" s="1"/>
  <c r="Z248" i="1"/>
  <c r="AA248" i="1"/>
  <c r="AF248" i="1"/>
  <c r="CK248" i="1" a="1"/>
  <c r="CK248" i="1" s="1"/>
  <c r="DD248" i="1" a="1"/>
  <c r="DD248" i="1" s="1"/>
  <c r="Z249" i="1"/>
  <c r="AA249" i="1"/>
  <c r="AF249" i="1"/>
  <c r="CK249" i="1" a="1"/>
  <c r="CK249" i="1" s="1"/>
  <c r="DD249" i="1" a="1"/>
  <c r="DD249" i="1"/>
  <c r="Z250" i="1"/>
  <c r="AA250" i="1"/>
  <c r="AF250" i="1"/>
  <c r="CK250" i="1" a="1"/>
  <c r="CK250" i="1" s="1"/>
  <c r="DD250" i="1" a="1"/>
  <c r="DD250" i="1" s="1"/>
  <c r="Z251" i="1"/>
  <c r="AA251" i="1"/>
  <c r="AF251" i="1"/>
  <c r="CK251" i="1" a="1"/>
  <c r="CK251" i="1" s="1"/>
  <c r="DD251" i="1" a="1"/>
  <c r="DD251" i="1" s="1"/>
  <c r="Z252" i="1"/>
  <c r="AA252" i="1"/>
  <c r="AF252" i="1"/>
  <c r="CK252" i="1" a="1"/>
  <c r="CK252" i="1" s="1"/>
  <c r="DD252" i="1" a="1"/>
  <c r="DD252" i="1"/>
  <c r="Z253" i="1"/>
  <c r="AA253" i="1"/>
  <c r="AF253" i="1"/>
  <c r="CK253" i="1" a="1"/>
  <c r="CK253" i="1" s="1"/>
  <c r="DD253" i="1" a="1"/>
  <c r="DD253" i="1" s="1"/>
  <c r="Z254" i="1"/>
  <c r="AA254" i="1"/>
  <c r="AF254" i="1"/>
  <c r="CK254" i="1" a="1"/>
  <c r="CK254" i="1" s="1"/>
  <c r="DD254" i="1" a="1"/>
  <c r="DD254" i="1" s="1"/>
  <c r="Z255" i="1"/>
  <c r="AA255" i="1"/>
  <c r="AF255" i="1"/>
  <c r="CK255" i="1" a="1"/>
  <c r="CK255" i="1" s="1"/>
  <c r="DD255" i="1" a="1"/>
  <c r="DD255" i="1"/>
  <c r="Z256" i="1"/>
  <c r="AA256" i="1"/>
  <c r="AF256" i="1"/>
  <c r="CK256" i="1" a="1"/>
  <c r="CK256" i="1" s="1"/>
  <c r="DD256" i="1" a="1"/>
  <c r="DD256" i="1" s="1"/>
  <c r="Z257" i="1"/>
  <c r="AA257" i="1"/>
  <c r="AF257" i="1"/>
  <c r="CK257" i="1" a="1"/>
  <c r="CK257" i="1" s="1"/>
  <c r="DD257" i="1" a="1"/>
  <c r="DD257" i="1" s="1"/>
  <c r="Z258" i="1"/>
  <c r="AA258" i="1"/>
  <c r="AF258" i="1"/>
  <c r="CK258" i="1" a="1"/>
  <c r="CK258" i="1" s="1"/>
  <c r="DD258" i="1" a="1"/>
  <c r="DD258" i="1"/>
  <c r="Z259" i="1"/>
  <c r="AA259" i="1"/>
  <c r="AF259" i="1"/>
  <c r="CK259" i="1" a="1"/>
  <c r="CK259" i="1" s="1"/>
  <c r="DD259" i="1" a="1"/>
  <c r="DD259" i="1" s="1"/>
  <c r="Z260" i="1"/>
  <c r="AA260" i="1"/>
  <c r="AF260" i="1"/>
  <c r="CK260" i="1" a="1"/>
  <c r="CK260" i="1" s="1"/>
  <c r="DD260" i="1" a="1"/>
  <c r="DD260" i="1" s="1"/>
  <c r="Z261" i="1"/>
  <c r="AA261" i="1"/>
  <c r="AF261" i="1"/>
  <c r="CK261" i="1" a="1"/>
  <c r="CK261" i="1" s="1"/>
  <c r="DD261" i="1" a="1"/>
  <c r="DD261" i="1" s="1"/>
  <c r="Z262" i="1"/>
  <c r="AA262" i="1"/>
  <c r="AF262" i="1"/>
  <c r="CK262" i="1" a="1"/>
  <c r="CK262" i="1" s="1"/>
  <c r="DD262" i="1" a="1"/>
  <c r="DD262" i="1" s="1"/>
  <c r="Z263" i="1"/>
  <c r="AA263" i="1"/>
  <c r="AF263" i="1"/>
  <c r="CK263" i="1" a="1"/>
  <c r="CK263" i="1" s="1"/>
  <c r="DD263" i="1" a="1"/>
  <c r="DD263" i="1" s="1"/>
  <c r="Z264" i="1"/>
  <c r="AA264" i="1"/>
  <c r="AF264" i="1"/>
  <c r="CK264" i="1" a="1"/>
  <c r="CK264" i="1" s="1"/>
  <c r="DD264" i="1" a="1"/>
  <c r="DD264" i="1" s="1"/>
  <c r="Z265" i="1"/>
  <c r="AA265" i="1"/>
  <c r="AF265" i="1"/>
  <c r="CK265" i="1" a="1"/>
  <c r="CK265" i="1" s="1"/>
  <c r="DD265" i="1" a="1"/>
  <c r="DD265" i="1" s="1"/>
  <c r="Z266" i="1"/>
  <c r="AA266" i="1"/>
  <c r="AF266" i="1"/>
  <c r="CK266" i="1" a="1"/>
  <c r="CK266" i="1" s="1"/>
  <c r="DD266" i="1" a="1"/>
  <c r="DD266" i="1" s="1"/>
  <c r="Z267" i="1"/>
  <c r="AA267" i="1"/>
  <c r="AF267" i="1"/>
  <c r="CK267" i="1" a="1"/>
  <c r="CK267" i="1" s="1"/>
  <c r="DD267" i="1" a="1"/>
  <c r="DD267" i="1" s="1"/>
  <c r="Z268" i="1"/>
  <c r="AA268" i="1"/>
  <c r="AF268" i="1"/>
  <c r="CK268" i="1" a="1"/>
  <c r="CK268" i="1" s="1"/>
  <c r="DD268" i="1" a="1"/>
  <c r="DD268" i="1" s="1"/>
  <c r="Z269" i="1"/>
  <c r="AA269" i="1"/>
  <c r="AF269" i="1"/>
  <c r="CK269" i="1" a="1"/>
  <c r="CK269" i="1" s="1"/>
  <c r="DD269" i="1" a="1"/>
  <c r="DD269" i="1" s="1"/>
  <c r="Z270" i="1"/>
  <c r="AA270" i="1"/>
  <c r="AF270" i="1"/>
  <c r="CK270" i="1" a="1"/>
  <c r="CK270" i="1" s="1"/>
  <c r="DD270" i="1" a="1"/>
  <c r="DD270" i="1" s="1"/>
  <c r="Z271" i="1"/>
  <c r="AA271" i="1"/>
  <c r="AF271" i="1"/>
  <c r="CK271" i="1" a="1"/>
  <c r="CK271" i="1" s="1"/>
  <c r="DD271" i="1" a="1"/>
  <c r="DD271" i="1" s="1"/>
  <c r="Z272" i="1"/>
  <c r="AA272" i="1"/>
  <c r="AF272" i="1"/>
  <c r="CK272" i="1" a="1"/>
  <c r="CK272" i="1" s="1"/>
  <c r="DD272" i="1" a="1"/>
  <c r="DD272" i="1" s="1"/>
  <c r="Z273" i="1"/>
  <c r="AA273" i="1"/>
  <c r="AF273" i="1"/>
  <c r="CK273" i="1" a="1"/>
  <c r="CK273" i="1" s="1"/>
  <c r="DD273" i="1" a="1"/>
  <c r="DD273" i="1" s="1"/>
  <c r="Z274" i="1"/>
  <c r="AA274" i="1"/>
  <c r="AF274" i="1"/>
  <c r="CK274" i="1" a="1"/>
  <c r="CK274" i="1" s="1"/>
  <c r="DD274" i="1" a="1"/>
  <c r="DD274" i="1" s="1"/>
  <c r="Z275" i="1"/>
  <c r="AA275" i="1"/>
  <c r="AF275" i="1"/>
  <c r="CK275" i="1" a="1"/>
  <c r="CK275" i="1" s="1"/>
  <c r="DD275" i="1" a="1"/>
  <c r="DD275" i="1" s="1"/>
  <c r="Z276" i="1"/>
  <c r="AA276" i="1"/>
  <c r="AF276" i="1"/>
  <c r="CK276" i="1" a="1"/>
  <c r="CK276" i="1" s="1"/>
  <c r="DD276" i="1" a="1"/>
  <c r="DD276" i="1" s="1"/>
  <c r="Z277" i="1"/>
  <c r="AA277" i="1"/>
  <c r="AF277" i="1"/>
  <c r="CK277" i="1" a="1"/>
  <c r="CK277" i="1" s="1"/>
  <c r="DD277" i="1" a="1"/>
  <c r="DD277" i="1" s="1"/>
  <c r="Z278" i="1"/>
  <c r="AA278" i="1"/>
  <c r="AF278" i="1"/>
  <c r="CK278" i="1" a="1"/>
  <c r="CK278" i="1" s="1"/>
  <c r="DD278" i="1" a="1"/>
  <c r="DD278" i="1" s="1"/>
  <c r="Z279" i="1"/>
  <c r="AA279" i="1"/>
  <c r="AF279" i="1"/>
  <c r="CK279" i="1" a="1"/>
  <c r="CK279" i="1" s="1"/>
  <c r="DD279" i="1" a="1"/>
  <c r="DD279" i="1" s="1"/>
  <c r="Z280" i="1"/>
  <c r="AA280" i="1"/>
  <c r="AF280" i="1"/>
  <c r="CK280" i="1" a="1"/>
  <c r="CK280" i="1" s="1"/>
  <c r="DD280" i="1" a="1"/>
  <c r="DD280" i="1" s="1"/>
  <c r="Z281" i="1"/>
  <c r="AA281" i="1"/>
  <c r="AF281" i="1"/>
  <c r="CK281" i="1" a="1"/>
  <c r="CK281" i="1" s="1"/>
  <c r="DD281" i="1" a="1"/>
  <c r="DD281" i="1" s="1"/>
  <c r="Z282" i="1"/>
  <c r="AA282" i="1"/>
  <c r="AF282" i="1"/>
  <c r="CK282" i="1" a="1"/>
  <c r="CK282" i="1" s="1"/>
  <c r="DD282" i="1" a="1"/>
  <c r="DD282" i="1" s="1"/>
  <c r="Z283" i="1"/>
  <c r="AA283" i="1"/>
  <c r="AF283" i="1"/>
  <c r="CK283" i="1" a="1"/>
  <c r="CK283" i="1" s="1"/>
  <c r="DD283" i="1" a="1"/>
  <c r="DD283" i="1" s="1"/>
  <c r="Z284" i="1"/>
  <c r="AA284" i="1"/>
  <c r="AF284" i="1"/>
  <c r="CK284" i="1" a="1"/>
  <c r="CK284" i="1" s="1"/>
  <c r="DD284" i="1" a="1"/>
  <c r="DD284" i="1" s="1"/>
  <c r="Z285" i="1"/>
  <c r="AA285" i="1"/>
  <c r="AF285" i="1"/>
  <c r="CK285" i="1" a="1"/>
  <c r="CK285" i="1" s="1"/>
  <c r="DD285" i="1" a="1"/>
  <c r="DD285" i="1" s="1"/>
  <c r="Z286" i="1"/>
  <c r="AA286" i="1"/>
  <c r="AF286" i="1"/>
  <c r="CK286" i="1" a="1"/>
  <c r="CK286" i="1" s="1"/>
  <c r="DD286" i="1" a="1"/>
  <c r="DD286" i="1" s="1"/>
  <c r="Z287" i="1"/>
  <c r="AA287" i="1"/>
  <c r="AF287" i="1"/>
  <c r="CK287" i="1" a="1"/>
  <c r="CK287" i="1" s="1"/>
  <c r="DD287" i="1" a="1"/>
  <c r="DD287" i="1" s="1"/>
  <c r="Z288" i="1"/>
  <c r="AA288" i="1"/>
  <c r="AF288" i="1"/>
  <c r="CK288" i="1" a="1"/>
  <c r="CK288" i="1" s="1"/>
  <c r="DD288" i="1" a="1"/>
  <c r="DD288" i="1" s="1"/>
  <c r="Z289" i="1"/>
  <c r="AA289" i="1"/>
  <c r="AF289" i="1"/>
  <c r="CK289" i="1" a="1"/>
  <c r="CK289" i="1" s="1"/>
  <c r="DD289" i="1" a="1"/>
  <c r="DD289" i="1" s="1"/>
  <c r="Z290" i="1"/>
  <c r="AA290" i="1"/>
  <c r="AF290" i="1"/>
  <c r="CK290" i="1" a="1"/>
  <c r="CK290" i="1" s="1"/>
  <c r="DD290" i="1" a="1"/>
  <c r="DD290" i="1" s="1"/>
  <c r="Z291" i="1"/>
  <c r="AA291" i="1"/>
  <c r="AF291" i="1"/>
  <c r="CK291" i="1" a="1"/>
  <c r="CK291" i="1" s="1"/>
  <c r="DD291" i="1" a="1"/>
  <c r="DD291" i="1" s="1"/>
  <c r="Z292" i="1"/>
  <c r="AA292" i="1"/>
  <c r="AF292" i="1"/>
  <c r="CK292" i="1" a="1"/>
  <c r="CK292" i="1" s="1"/>
  <c r="DD292" i="1" a="1"/>
  <c r="DD292" i="1" s="1"/>
  <c r="Z293" i="1"/>
  <c r="AA293" i="1"/>
  <c r="AF293" i="1"/>
  <c r="CK293" i="1" a="1"/>
  <c r="CK293" i="1" s="1"/>
  <c r="DD293" i="1" a="1"/>
  <c r="DD293" i="1" s="1"/>
  <c r="Z294" i="1"/>
  <c r="AA294" i="1"/>
  <c r="AF294" i="1"/>
  <c r="CK294" i="1" a="1"/>
  <c r="CK294" i="1" s="1"/>
  <c r="DD294" i="1" a="1"/>
  <c r="DD294" i="1" s="1"/>
  <c r="Z295" i="1"/>
  <c r="AA295" i="1"/>
  <c r="AF295" i="1"/>
  <c r="CK295" i="1" a="1"/>
  <c r="CK295" i="1" s="1"/>
  <c r="DD295" i="1" a="1"/>
  <c r="DD295" i="1" s="1"/>
  <c r="Z296" i="1"/>
  <c r="AA296" i="1"/>
  <c r="AF296" i="1"/>
  <c r="CK296" i="1" a="1"/>
  <c r="CK296" i="1" s="1"/>
  <c r="DD296" i="1" a="1"/>
  <c r="DD296" i="1" s="1"/>
  <c r="Z297" i="1"/>
  <c r="AA297" i="1"/>
  <c r="AF297" i="1"/>
  <c r="CK297" i="1" a="1"/>
  <c r="CK297" i="1" s="1"/>
  <c r="DD297" i="1" a="1"/>
  <c r="DD297" i="1" s="1"/>
  <c r="Z298" i="1"/>
  <c r="AA298" i="1"/>
  <c r="AF298" i="1"/>
  <c r="CK298" i="1" a="1"/>
  <c r="CK298" i="1" s="1"/>
  <c r="DD298" i="1" a="1"/>
  <c r="DD298" i="1" s="1"/>
  <c r="Z299" i="1"/>
  <c r="AA299" i="1"/>
  <c r="AF299" i="1"/>
  <c r="CK299" i="1" a="1"/>
  <c r="CK299" i="1" s="1"/>
  <c r="DD299" i="1" a="1"/>
  <c r="DD299" i="1" s="1"/>
  <c r="Z300" i="1"/>
  <c r="AA300" i="1"/>
  <c r="AF300" i="1"/>
  <c r="CK300" i="1" a="1"/>
  <c r="CK300" i="1" s="1"/>
  <c r="DD300" i="1" a="1"/>
  <c r="DD300" i="1" s="1"/>
  <c r="Z301" i="1"/>
  <c r="AA301" i="1"/>
  <c r="AC301" i="1"/>
  <c r="AF301" i="1" s="1"/>
  <c r="CK301" i="1" a="1"/>
  <c r="CK301" i="1"/>
  <c r="DD301" i="1" a="1"/>
  <c r="DD301" i="1"/>
  <c r="Z302" i="1"/>
  <c r="AA302" i="1"/>
  <c r="AF302" i="1"/>
  <c r="CK302" i="1" a="1"/>
  <c r="CK302" i="1"/>
  <c r="DD302" i="1" a="1"/>
  <c r="DD302" i="1"/>
  <c r="Z303" i="1"/>
  <c r="AA303" i="1"/>
  <c r="AF303" i="1"/>
  <c r="CK303" i="1" a="1"/>
  <c r="CK303" i="1"/>
  <c r="DD303" i="1" a="1"/>
  <c r="DD303" i="1"/>
  <c r="Z304" i="1"/>
  <c r="AA304" i="1"/>
  <c r="AF304" i="1"/>
  <c r="CK304" i="1" a="1"/>
  <c r="CK304" i="1"/>
  <c r="DD304" i="1" a="1"/>
  <c r="DD304" i="1"/>
  <c r="Z305" i="1"/>
  <c r="AA305" i="1"/>
  <c r="AF305" i="1"/>
  <c r="CK305" i="1" a="1"/>
  <c r="CK305" i="1"/>
  <c r="DD305" i="1" a="1"/>
  <c r="DD305" i="1"/>
  <c r="Z306" i="1"/>
  <c r="AA306" i="1"/>
  <c r="AF306" i="1"/>
  <c r="CK306" i="1" a="1"/>
  <c r="CK306" i="1"/>
  <c r="DD306" i="1" a="1"/>
  <c r="DD306" i="1"/>
  <c r="Z307" i="1"/>
  <c r="AA307" i="1"/>
  <c r="AF307" i="1"/>
  <c r="CK307" i="1" a="1"/>
  <c r="CK307" i="1"/>
  <c r="DD307" i="1" a="1"/>
  <c r="DD307" i="1"/>
  <c r="Z308" i="1"/>
  <c r="AA308" i="1"/>
  <c r="AF308" i="1"/>
  <c r="CK308" i="1" a="1"/>
  <c r="CK308" i="1"/>
  <c r="DD308" i="1" a="1"/>
  <c r="DD308" i="1"/>
  <c r="Z309" i="1"/>
  <c r="AA309" i="1"/>
  <c r="AF309" i="1"/>
  <c r="CK309" i="1" a="1"/>
  <c r="CK309" i="1"/>
  <c r="DD309" i="1" a="1"/>
  <c r="DD309" i="1"/>
  <c r="Z310" i="1"/>
  <c r="AA310" i="1"/>
  <c r="AF310" i="1"/>
  <c r="CK310" i="1" a="1"/>
  <c r="CK310" i="1"/>
  <c r="DD310" i="1" a="1"/>
  <c r="DD310" i="1"/>
  <c r="Z311" i="1"/>
  <c r="AA311" i="1"/>
  <c r="AF311" i="1"/>
  <c r="CK311" i="1" a="1"/>
  <c r="CK311" i="1"/>
  <c r="DD311" i="1" a="1"/>
  <c r="DD311" i="1"/>
  <c r="Z312" i="1"/>
  <c r="AA312" i="1"/>
  <c r="AF312" i="1"/>
  <c r="CK312" i="1" a="1"/>
  <c r="CK312" i="1"/>
  <c r="DD312" i="1" a="1"/>
  <c r="DD312" i="1" s="1"/>
  <c r="Z313" i="1"/>
  <c r="AA313" i="1"/>
  <c r="AF313" i="1"/>
  <c r="CK313" i="1" a="1"/>
  <c r="CK313" i="1" s="1"/>
  <c r="DD313" i="1" a="1"/>
  <c r="DD313" i="1" s="1"/>
  <c r="Z314" i="1"/>
  <c r="AA314" i="1"/>
  <c r="AF314" i="1"/>
  <c r="CK314" i="1" a="1"/>
  <c r="CK314" i="1" s="1"/>
  <c r="DD314" i="1" a="1"/>
  <c r="DD314" i="1" s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AA316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DC18" i="1" l="1"/>
  <c r="CF19" i="1"/>
  <c r="DC19" i="1" s="1"/>
  <c r="CS15" i="1"/>
  <c r="DB13" i="1"/>
  <c r="CD14" i="1"/>
  <c r="CP13" i="1"/>
  <c r="BR14" i="1"/>
  <c r="BT11" i="1"/>
  <c r="CQ11" i="1" s="1"/>
  <c r="BS6" i="1"/>
  <c r="CZ3" i="1"/>
  <c r="CB4" i="1"/>
  <c r="CT3" i="1"/>
  <c r="BV4" i="1"/>
  <c r="DC16" i="1"/>
  <c r="CE17" i="1"/>
  <c r="DB17" i="1" s="1"/>
  <c r="CQ16" i="1"/>
  <c r="BS17" i="1"/>
  <c r="CP17" i="1" s="1"/>
  <c r="CW13" i="1"/>
  <c r="BY14" i="1"/>
  <c r="CQ13" i="1"/>
  <c r="BS14" i="1"/>
  <c r="CA10" i="1"/>
  <c r="CX10" i="1" s="1"/>
  <c r="BZ7" i="1"/>
  <c r="CX6" i="1"/>
  <c r="DB4" i="1"/>
  <c r="CD5" i="1"/>
  <c r="CP4" i="1"/>
  <c r="BR5" i="1"/>
  <c r="BU10" i="1"/>
  <c r="CR10" i="1" s="1"/>
  <c r="BT7" i="1"/>
  <c r="CR6" i="1"/>
  <c r="CW4" i="1"/>
  <c r="BY5" i="1"/>
  <c r="CQ4" i="1"/>
  <c r="BS5" i="1"/>
  <c r="CV13" i="1"/>
  <c r="BX14" i="1"/>
  <c r="CC15" i="1"/>
  <c r="CZ14" i="1"/>
  <c r="BW15" i="1"/>
  <c r="CT14" i="1"/>
  <c r="CQ5" i="1"/>
  <c r="DA4" i="1"/>
  <c r="CW16" i="1"/>
  <c r="BY17" i="1"/>
  <c r="CV17" i="1" s="1"/>
  <c r="BZ11" i="1"/>
  <c r="CW11" i="1" s="1"/>
  <c r="BY6" i="1"/>
  <c r="CV4" i="1"/>
  <c r="BX5" i="1"/>
  <c r="CB6" i="1"/>
  <c r="CZ5" i="1"/>
  <c r="CC11" i="1"/>
  <c r="CZ11" i="1" s="1"/>
  <c r="BV6" i="1"/>
  <c r="CT5" i="1"/>
  <c r="BW11" i="1"/>
  <c r="CT11" i="1" s="1"/>
  <c r="CZ12" i="1"/>
  <c r="CB13" i="1"/>
  <c r="CC16" i="1"/>
  <c r="CT12" i="1"/>
  <c r="BV13" i="1"/>
  <c r="BW16" i="1"/>
  <c r="CU4" i="1"/>
  <c r="CE16" i="1"/>
  <c r="BY16" i="1"/>
  <c r="CX12" i="1"/>
  <c r="CR12" i="1"/>
  <c r="CX3" i="1"/>
  <c r="CR3" i="1"/>
  <c r="DA6" i="1"/>
  <c r="CA16" i="1"/>
  <c r="BU16" i="1"/>
  <c r="CC8" i="1"/>
  <c r="CZ8" i="1" s="1"/>
  <c r="CB10" i="1" l="1"/>
  <c r="CY10" i="1" s="1"/>
  <c r="CA7" i="1"/>
  <c r="CY6" i="1"/>
  <c r="BR15" i="1"/>
  <c r="CO14" i="1"/>
  <c r="CQ7" i="1"/>
  <c r="BS8" i="1"/>
  <c r="CP8" i="1" s="1"/>
  <c r="BT9" i="1"/>
  <c r="CQ9" i="1" s="1"/>
  <c r="CD17" i="1"/>
  <c r="DA17" i="1" s="1"/>
  <c r="DB16" i="1"/>
  <c r="CA14" i="1"/>
  <c r="CY13" i="1"/>
  <c r="BY11" i="1"/>
  <c r="CV11" i="1" s="1"/>
  <c r="BX6" i="1"/>
  <c r="CV5" i="1"/>
  <c r="BS15" i="1"/>
  <c r="CP14" i="1"/>
  <c r="BR7" i="1"/>
  <c r="CP6" i="1"/>
  <c r="BS10" i="1"/>
  <c r="CP10" i="1" s="1"/>
  <c r="CC6" i="1"/>
  <c r="DA5" i="1"/>
  <c r="CD11" i="1"/>
  <c r="DA11" i="1" s="1"/>
  <c r="DC21" i="1" a="1"/>
  <c r="DC21" i="1" s="1"/>
  <c r="DC30" i="1" a="1"/>
  <c r="DC30" i="1" s="1"/>
  <c r="DC22" i="1" a="1"/>
  <c r="DC22" i="1" s="1"/>
  <c r="DC23" i="1" a="1"/>
  <c r="DC23" i="1" s="1"/>
  <c r="DC25" i="1" a="1"/>
  <c r="DC25" i="1" s="1"/>
  <c r="DC26" i="1" a="1"/>
  <c r="DC26" i="1" s="1"/>
  <c r="DC28" i="1" a="1"/>
  <c r="DC28" i="1" s="1"/>
  <c r="DC31" i="1" a="1"/>
  <c r="DC31" i="1" s="1"/>
  <c r="DC24" i="1" a="1"/>
  <c r="DC24" i="1" s="1"/>
  <c r="DC29" i="1" a="1"/>
  <c r="DC29" i="1" s="1"/>
  <c r="DC27" i="1" a="1"/>
  <c r="DC27" i="1" s="1"/>
  <c r="DC34" i="1" a="1"/>
  <c r="DC34" i="1" s="1"/>
  <c r="DC41" i="1" a="1"/>
  <c r="DC41" i="1" s="1"/>
  <c r="DC37" i="1" a="1"/>
  <c r="DC37" i="1" s="1"/>
  <c r="DC32" i="1" a="1"/>
  <c r="DC32" i="1" s="1"/>
  <c r="DC42" i="1" a="1"/>
  <c r="DC42" i="1" s="1"/>
  <c r="DC43" i="1" a="1"/>
  <c r="DC43" i="1" s="1"/>
  <c r="DC51" i="1" a="1"/>
  <c r="DC51" i="1" s="1"/>
  <c r="DC35" i="1" a="1"/>
  <c r="DC35" i="1" s="1"/>
  <c r="DC38" i="1" a="1"/>
  <c r="DC38" i="1" s="1"/>
  <c r="DC39" i="1" a="1"/>
  <c r="DC39" i="1" s="1"/>
  <c r="DC40" i="1" a="1"/>
  <c r="DC40" i="1" s="1"/>
  <c r="DC44" i="1" a="1"/>
  <c r="DC44" i="1" s="1"/>
  <c r="DC45" i="1" a="1"/>
  <c r="DC45" i="1" s="1"/>
  <c r="DC33" i="1" a="1"/>
  <c r="DC33" i="1" s="1"/>
  <c r="DC36" i="1" a="1"/>
  <c r="DC36" i="1" s="1"/>
  <c r="DC46" i="1" a="1"/>
  <c r="DC46" i="1" s="1"/>
  <c r="DC49" i="1" a="1"/>
  <c r="DC49" i="1" s="1"/>
  <c r="DC50" i="1" a="1"/>
  <c r="DC50" i="1" s="1"/>
  <c r="DC47" i="1" a="1"/>
  <c r="DC47" i="1" s="1"/>
  <c r="DC55" i="1" a="1"/>
  <c r="DC55" i="1" s="1"/>
  <c r="DC59" i="1" a="1"/>
  <c r="DC59" i="1" s="1"/>
  <c r="DC54" i="1" a="1"/>
  <c r="DC54" i="1" s="1"/>
  <c r="DC48" i="1" a="1"/>
  <c r="DC48" i="1" s="1"/>
  <c r="DC52" i="1" a="1"/>
  <c r="DC52" i="1" s="1"/>
  <c r="DC53" i="1" a="1"/>
  <c r="DC53" i="1" s="1"/>
  <c r="DC57" i="1" a="1"/>
  <c r="DC57" i="1" s="1"/>
  <c r="DC58" i="1" a="1"/>
  <c r="DC58" i="1" s="1"/>
  <c r="DC60" i="1" a="1"/>
  <c r="DC60" i="1" s="1"/>
  <c r="DC61" i="1" a="1"/>
  <c r="DC61" i="1" s="1"/>
  <c r="DC56" i="1" a="1"/>
  <c r="DC56" i="1" s="1"/>
  <c r="DC62" i="1" a="1"/>
  <c r="DC62" i="1" s="1"/>
  <c r="DC63" i="1" a="1"/>
  <c r="DC63" i="1" s="1"/>
  <c r="DC65" i="1" a="1"/>
  <c r="DC65" i="1" s="1"/>
  <c r="DC68" i="1" a="1"/>
  <c r="DC68" i="1" s="1"/>
  <c r="DC67" i="1" a="1"/>
  <c r="DC67" i="1" s="1"/>
  <c r="DC71" i="1" a="1"/>
  <c r="DC71" i="1" s="1"/>
  <c r="DC70" i="1" a="1"/>
  <c r="DC70" i="1" s="1"/>
  <c r="DC73" i="1" a="1"/>
  <c r="DC73" i="1" s="1"/>
  <c r="DC78" i="1" a="1"/>
  <c r="DC78" i="1" s="1"/>
  <c r="DC79" i="1" a="1"/>
  <c r="DC79" i="1" s="1"/>
  <c r="DC64" i="1" a="1"/>
  <c r="DC64" i="1" s="1"/>
  <c r="DC66" i="1" a="1"/>
  <c r="DC66" i="1" s="1"/>
  <c r="DC69" i="1" a="1"/>
  <c r="DC69" i="1" s="1"/>
  <c r="DC72" i="1" a="1"/>
  <c r="DC72" i="1" s="1"/>
  <c r="DC80" i="1" a="1"/>
  <c r="DC80" i="1" s="1"/>
  <c r="DC83" i="1" a="1"/>
  <c r="DC83" i="1" s="1"/>
  <c r="DC77" i="1" a="1"/>
  <c r="DC77" i="1" s="1"/>
  <c r="DC86" i="1" a="1"/>
  <c r="DC86" i="1" s="1"/>
  <c r="DC89" i="1" a="1"/>
  <c r="DC89" i="1" s="1"/>
  <c r="DC76" i="1" a="1"/>
  <c r="DC76" i="1" s="1"/>
  <c r="DC81" i="1" a="1"/>
  <c r="DC81" i="1" s="1"/>
  <c r="DC82" i="1" a="1"/>
  <c r="DC82" i="1" s="1"/>
  <c r="DC85" i="1" a="1"/>
  <c r="DC85" i="1" s="1"/>
  <c r="DC88" i="1" a="1"/>
  <c r="DC88" i="1" s="1"/>
  <c r="DC91" i="1" a="1"/>
  <c r="DC91" i="1" s="1"/>
  <c r="DC94" i="1" a="1"/>
  <c r="DC94" i="1" s="1"/>
  <c r="DC97" i="1" a="1"/>
  <c r="DC97" i="1" s="1"/>
  <c r="DC98" i="1" a="1"/>
  <c r="DC98" i="1" s="1"/>
  <c r="DC74" i="1" a="1"/>
  <c r="DC74" i="1" s="1"/>
  <c r="DC75" i="1" a="1"/>
  <c r="DC75" i="1" s="1"/>
  <c r="DC84" i="1" a="1"/>
  <c r="DC84" i="1" s="1"/>
  <c r="DC87" i="1" a="1"/>
  <c r="DC87" i="1" s="1"/>
  <c r="DC90" i="1" a="1"/>
  <c r="DC90" i="1" s="1"/>
  <c r="DC93" i="1" a="1"/>
  <c r="DC93" i="1" s="1"/>
  <c r="DC96" i="1" a="1"/>
  <c r="DC96" i="1" s="1"/>
  <c r="DC99" i="1" a="1"/>
  <c r="DC99" i="1" s="1"/>
  <c r="DC102" i="1" a="1"/>
  <c r="DC102" i="1" s="1"/>
  <c r="DC92" i="1" a="1"/>
  <c r="DC92" i="1" s="1"/>
  <c r="DC105" i="1" a="1"/>
  <c r="DC105" i="1" s="1"/>
  <c r="DC104" i="1" a="1"/>
  <c r="DC104" i="1" s="1"/>
  <c r="DC107" i="1" a="1"/>
  <c r="DC107" i="1" s="1"/>
  <c r="DC95" i="1" a="1"/>
  <c r="DC95" i="1" s="1"/>
  <c r="DC100" i="1" a="1"/>
  <c r="DC100" i="1" s="1"/>
  <c r="DC101" i="1" a="1"/>
  <c r="DC101" i="1" s="1"/>
  <c r="DC117" i="1" a="1"/>
  <c r="DC117" i="1" s="1"/>
  <c r="DC103" i="1" a="1"/>
  <c r="DC103" i="1" s="1"/>
  <c r="DC106" i="1" a="1"/>
  <c r="DC106" i="1" s="1"/>
  <c r="DC118" i="1" a="1"/>
  <c r="DC118" i="1" s="1"/>
  <c r="DC121" i="1" a="1"/>
  <c r="DC121" i="1" s="1"/>
  <c r="DC109" i="1" a="1"/>
  <c r="DC109" i="1" s="1"/>
  <c r="DC116" i="1" a="1"/>
  <c r="DC116" i="1" s="1"/>
  <c r="DC124" i="1" a="1"/>
  <c r="DC124" i="1" s="1"/>
  <c r="DC127" i="1" a="1"/>
  <c r="DC127" i="1" s="1"/>
  <c r="DC130" i="1" a="1"/>
  <c r="DC130" i="1" s="1"/>
  <c r="DC113" i="1" a="1"/>
  <c r="DC113" i="1" s="1"/>
  <c r="DC123" i="1" a="1"/>
  <c r="DC123" i="1" s="1"/>
  <c r="DC126" i="1" a="1"/>
  <c r="DC126" i="1" s="1"/>
  <c r="DC108" i="1" a="1"/>
  <c r="DC108" i="1" s="1"/>
  <c r="DC112" i="1" a="1"/>
  <c r="DC112" i="1" s="1"/>
  <c r="DC135" i="1" a="1"/>
  <c r="DC135" i="1" s="1"/>
  <c r="DC138" i="1" a="1"/>
  <c r="DC138" i="1" s="1"/>
  <c r="DC111" i="1" a="1"/>
  <c r="DC111" i="1" s="1"/>
  <c r="DC115" i="1" a="1"/>
  <c r="DC115" i="1" s="1"/>
  <c r="DC119" i="1" a="1"/>
  <c r="DC119" i="1" s="1"/>
  <c r="DC120" i="1" a="1"/>
  <c r="DC120" i="1" s="1"/>
  <c r="DC122" i="1" a="1"/>
  <c r="DC122" i="1" s="1"/>
  <c r="DC125" i="1" a="1"/>
  <c r="DC125" i="1" s="1"/>
  <c r="DC110" i="1" a="1"/>
  <c r="DC110" i="1" s="1"/>
  <c r="DC114" i="1" a="1"/>
  <c r="DC114" i="1" s="1"/>
  <c r="DC132" i="1" a="1"/>
  <c r="DC132" i="1" s="1"/>
  <c r="DC137" i="1" a="1"/>
  <c r="DC137" i="1" s="1"/>
  <c r="DC129" i="1" a="1"/>
  <c r="DC129" i="1" s="1"/>
  <c r="DC131" i="1" a="1"/>
  <c r="DC131" i="1" s="1"/>
  <c r="DC134" i="1" a="1"/>
  <c r="DC134" i="1" s="1"/>
  <c r="DC141" i="1" a="1"/>
  <c r="DC141" i="1" s="1"/>
  <c r="DC144" i="1" a="1"/>
  <c r="DC144" i="1" s="1"/>
  <c r="DC147" i="1" a="1"/>
  <c r="DC147" i="1" s="1"/>
  <c r="DC150" i="1" a="1"/>
  <c r="DC150" i="1" s="1"/>
  <c r="DC140" i="1" a="1"/>
  <c r="DC140" i="1" s="1"/>
  <c r="DC143" i="1" a="1"/>
  <c r="DC143" i="1" s="1"/>
  <c r="DC146" i="1" a="1"/>
  <c r="DC146" i="1" s="1"/>
  <c r="DC149" i="1" a="1"/>
  <c r="DC149" i="1" s="1"/>
  <c r="DC152" i="1" a="1"/>
  <c r="DC152" i="1" s="1"/>
  <c r="DC155" i="1" a="1"/>
  <c r="DC155" i="1" s="1"/>
  <c r="DC136" i="1" a="1"/>
  <c r="DC136" i="1" s="1"/>
  <c r="DC128" i="1" a="1"/>
  <c r="DC128" i="1" s="1"/>
  <c r="DC133" i="1" a="1"/>
  <c r="DC133" i="1" s="1"/>
  <c r="DC139" i="1" a="1"/>
  <c r="DC139" i="1" s="1"/>
  <c r="DC142" i="1" a="1"/>
  <c r="DC142" i="1" s="1"/>
  <c r="DC145" i="1" a="1"/>
  <c r="DC145" i="1" s="1"/>
  <c r="DC148" i="1" a="1"/>
  <c r="DC148" i="1" s="1"/>
  <c r="DC151" i="1" a="1"/>
  <c r="DC151" i="1" s="1"/>
  <c r="DC153" i="1" a="1"/>
  <c r="DC153" i="1" s="1"/>
  <c r="DC154" i="1" a="1"/>
  <c r="DC154" i="1" s="1"/>
  <c r="DC156" i="1" a="1"/>
  <c r="DC156" i="1" s="1"/>
  <c r="DC159" i="1" a="1"/>
  <c r="DC159" i="1" s="1"/>
  <c r="DC162" i="1" a="1"/>
  <c r="DC162" i="1" s="1"/>
  <c r="DC166" i="1" a="1"/>
  <c r="DC166" i="1" s="1"/>
  <c r="DC158" i="1" a="1"/>
  <c r="DC158" i="1" s="1"/>
  <c r="DC161" i="1" a="1"/>
  <c r="DC161" i="1" s="1"/>
  <c r="DC164" i="1" a="1"/>
  <c r="DC164" i="1" s="1"/>
  <c r="DC157" i="1" a="1"/>
  <c r="DC157" i="1" s="1"/>
  <c r="DC160" i="1" a="1"/>
  <c r="DC160" i="1" s="1"/>
  <c r="DC163" i="1" a="1"/>
  <c r="DC163" i="1" s="1"/>
  <c r="DC167" i="1" a="1"/>
  <c r="DC167" i="1" s="1"/>
  <c r="DC165" i="1" a="1"/>
  <c r="DC165" i="1" s="1"/>
  <c r="DC168" i="1" a="1"/>
  <c r="DC168" i="1" s="1"/>
  <c r="DC170" i="1" a="1"/>
  <c r="DC170" i="1" s="1"/>
  <c r="DC173" i="1" a="1"/>
  <c r="DC173" i="1" s="1"/>
  <c r="DC176" i="1" a="1"/>
  <c r="DC176" i="1" s="1"/>
  <c r="DC179" i="1" a="1"/>
  <c r="DC179" i="1" s="1"/>
  <c r="DC171" i="1" a="1"/>
  <c r="DC171" i="1" s="1"/>
  <c r="DC175" i="1" a="1"/>
  <c r="DC175" i="1" s="1"/>
  <c r="DC178" i="1" a="1"/>
  <c r="DC178" i="1" s="1"/>
  <c r="DC181" i="1" a="1"/>
  <c r="DC181" i="1" s="1"/>
  <c r="DC182" i="1" a="1"/>
  <c r="DC182" i="1" s="1"/>
  <c r="DC169" i="1" a="1"/>
  <c r="DC169" i="1" s="1"/>
  <c r="DC172" i="1" a="1"/>
  <c r="DC172" i="1" s="1"/>
  <c r="DC174" i="1" a="1"/>
  <c r="DC174" i="1" s="1"/>
  <c r="DC177" i="1" a="1"/>
  <c r="DC177" i="1" s="1"/>
  <c r="DC180" i="1" a="1"/>
  <c r="DC180" i="1" s="1"/>
  <c r="DC183" i="1" a="1"/>
  <c r="DC183" i="1" s="1"/>
  <c r="DC185" i="1" a="1"/>
  <c r="DC185" i="1" s="1"/>
  <c r="DC187" i="1" a="1"/>
  <c r="DC187" i="1" s="1"/>
  <c r="DC192" i="1" a="1"/>
  <c r="DC192" i="1" s="1"/>
  <c r="DC194" i="1" a="1"/>
  <c r="DC194" i="1" s="1"/>
  <c r="DC197" i="1" a="1"/>
  <c r="DC197" i="1" s="1"/>
  <c r="DC200" i="1" a="1"/>
  <c r="DC200" i="1" s="1"/>
  <c r="DC184" i="1" a="1"/>
  <c r="DC184" i="1" s="1"/>
  <c r="DC207" i="1" a="1"/>
  <c r="DC207" i="1" s="1"/>
  <c r="DC210" i="1" a="1"/>
  <c r="DC210" i="1" s="1"/>
  <c r="DC188" i="1" a="1"/>
  <c r="DC188" i="1" s="1"/>
  <c r="DC191" i="1" a="1"/>
  <c r="DC191" i="1" s="1"/>
  <c r="DC195" i="1" a="1"/>
  <c r="DC195" i="1" s="1"/>
  <c r="DC198" i="1" a="1"/>
  <c r="DC198" i="1" s="1"/>
  <c r="DC201" i="1" a="1"/>
  <c r="DC201" i="1" s="1"/>
  <c r="DC208" i="1" a="1"/>
  <c r="DC208" i="1" s="1"/>
  <c r="DC211" i="1" a="1"/>
  <c r="DC211" i="1" s="1"/>
  <c r="DC186" i="1" a="1"/>
  <c r="DC186" i="1" s="1"/>
  <c r="DC189" i="1" a="1"/>
  <c r="DC189" i="1" s="1"/>
  <c r="DC190" i="1" a="1"/>
  <c r="DC190" i="1" s="1"/>
  <c r="DC193" i="1" a="1"/>
  <c r="DC193" i="1" s="1"/>
  <c r="DC196" i="1" a="1"/>
  <c r="DC196" i="1" s="1"/>
  <c r="DC199" i="1" a="1"/>
  <c r="DC199" i="1" s="1"/>
  <c r="DC202" i="1" a="1"/>
  <c r="DC202" i="1" s="1"/>
  <c r="DC206" i="1" a="1"/>
  <c r="DC206" i="1" s="1"/>
  <c r="DC209" i="1" a="1"/>
  <c r="DC209" i="1" s="1"/>
  <c r="DC212" i="1" a="1"/>
  <c r="DC212" i="1" s="1"/>
  <c r="DC225" i="1" a="1"/>
  <c r="DC225" i="1" s="1"/>
  <c r="DC228" i="1" a="1"/>
  <c r="DC228" i="1" s="1"/>
  <c r="DC204" i="1" a="1"/>
  <c r="DC204" i="1" s="1"/>
  <c r="DC213" i="1" a="1"/>
  <c r="DC213" i="1" s="1"/>
  <c r="DC226" i="1" a="1"/>
  <c r="DC226" i="1" s="1"/>
  <c r="DC229" i="1" a="1"/>
  <c r="DC229" i="1" s="1"/>
  <c r="DC215" i="1" a="1"/>
  <c r="DC215" i="1" s="1"/>
  <c r="DC216" i="1" a="1"/>
  <c r="DC216" i="1" s="1"/>
  <c r="DC218" i="1" a="1"/>
  <c r="DC218" i="1" s="1"/>
  <c r="DC219" i="1" a="1"/>
  <c r="DC219" i="1" s="1"/>
  <c r="DC221" i="1" a="1"/>
  <c r="DC221" i="1" s="1"/>
  <c r="DC222" i="1" a="1"/>
  <c r="DC222" i="1" s="1"/>
  <c r="DC205" i="1" a="1"/>
  <c r="DC205" i="1" s="1"/>
  <c r="DC214" i="1" a="1"/>
  <c r="DC214" i="1" s="1"/>
  <c r="DC217" i="1" a="1"/>
  <c r="DC217" i="1" s="1"/>
  <c r="DC220" i="1" a="1"/>
  <c r="DC220" i="1" s="1"/>
  <c r="DC223" i="1" a="1"/>
  <c r="DC223" i="1" s="1"/>
  <c r="DC224" i="1" a="1"/>
  <c r="DC224" i="1" s="1"/>
  <c r="DC227" i="1" a="1"/>
  <c r="DC227" i="1" s="1"/>
  <c r="DC203" i="1" a="1"/>
  <c r="DC203" i="1" s="1"/>
  <c r="DC232" i="1" a="1"/>
  <c r="DC232" i="1" s="1"/>
  <c r="DC235" i="1" a="1"/>
  <c r="DC235" i="1" s="1"/>
  <c r="DC238" i="1" a="1"/>
  <c r="DC238" i="1" s="1"/>
  <c r="DC241" i="1" a="1"/>
  <c r="DC241" i="1" s="1"/>
  <c r="DC244" i="1" a="1"/>
  <c r="DC244" i="1" s="1"/>
  <c r="DC246" i="1" a="1"/>
  <c r="DC246" i="1" s="1"/>
  <c r="DC247" i="1" a="1"/>
  <c r="DC247" i="1" s="1"/>
  <c r="DC249" i="1" a="1"/>
  <c r="DC249" i="1" s="1"/>
  <c r="DC250" i="1" a="1"/>
  <c r="DC250" i="1" s="1"/>
  <c r="DC252" i="1" a="1"/>
  <c r="DC252" i="1" s="1"/>
  <c r="DC253" i="1" a="1"/>
  <c r="DC253" i="1" s="1"/>
  <c r="DC255" i="1" a="1"/>
  <c r="DC255" i="1" s="1"/>
  <c r="DC256" i="1" a="1"/>
  <c r="DC256" i="1" s="1"/>
  <c r="DC258" i="1" a="1"/>
  <c r="DC258" i="1" s="1"/>
  <c r="DC259" i="1" a="1"/>
  <c r="DC259" i="1" s="1"/>
  <c r="DC260" i="1" a="1"/>
  <c r="DC260" i="1" s="1"/>
  <c r="DC263" i="1" a="1"/>
  <c r="DC263" i="1" s="1"/>
  <c r="DC266" i="1" a="1"/>
  <c r="DC266" i="1" s="1"/>
  <c r="DC269" i="1" a="1"/>
  <c r="DC269" i="1" s="1"/>
  <c r="DC272" i="1" a="1"/>
  <c r="DC272" i="1" s="1"/>
  <c r="DC275" i="1" a="1"/>
  <c r="DC275" i="1" s="1"/>
  <c r="DC248" i="1" a="1"/>
  <c r="DC248" i="1" s="1"/>
  <c r="DC251" i="1" a="1"/>
  <c r="DC251" i="1" s="1"/>
  <c r="DC254" i="1" a="1"/>
  <c r="DC254" i="1" s="1"/>
  <c r="DC257" i="1" a="1"/>
  <c r="DC257" i="1" s="1"/>
  <c r="DC302" i="1" a="1"/>
  <c r="DC302" i="1" s="1"/>
  <c r="DC305" i="1" a="1"/>
  <c r="DC305" i="1" s="1"/>
  <c r="DC308" i="1" a="1"/>
  <c r="DC308" i="1" s="1"/>
  <c r="DC311" i="1" a="1"/>
  <c r="DC311" i="1" s="1"/>
  <c r="DC230" i="1" a="1"/>
  <c r="DC230" i="1" s="1"/>
  <c r="DC233" i="1" a="1"/>
  <c r="DC233" i="1" s="1"/>
  <c r="DC236" i="1" a="1"/>
  <c r="DC236" i="1" s="1"/>
  <c r="DC239" i="1" a="1"/>
  <c r="DC239" i="1" s="1"/>
  <c r="DC242" i="1" a="1"/>
  <c r="DC242" i="1" s="1"/>
  <c r="DC245" i="1" a="1"/>
  <c r="DC245" i="1" s="1"/>
  <c r="DC261" i="1" a="1"/>
  <c r="DC261" i="1" s="1"/>
  <c r="DC264" i="1" a="1"/>
  <c r="DC264" i="1" s="1"/>
  <c r="DC267" i="1" a="1"/>
  <c r="DC267" i="1" s="1"/>
  <c r="DC270" i="1" a="1"/>
  <c r="DC270" i="1" s="1"/>
  <c r="DC273" i="1" a="1"/>
  <c r="DC273" i="1" s="1"/>
  <c r="DC276" i="1" a="1"/>
  <c r="DC276" i="1" s="1"/>
  <c r="DC279" i="1" a="1"/>
  <c r="DC279" i="1" s="1"/>
  <c r="DC303" i="1" a="1"/>
  <c r="DC303" i="1" s="1"/>
  <c r="DC306" i="1" a="1"/>
  <c r="DC306" i="1" s="1"/>
  <c r="DC231" i="1" a="1"/>
  <c r="DC231" i="1" s="1"/>
  <c r="DC234" i="1" a="1"/>
  <c r="DC234" i="1" s="1"/>
  <c r="DC237" i="1" a="1"/>
  <c r="DC237" i="1" s="1"/>
  <c r="DC240" i="1" a="1"/>
  <c r="DC240" i="1" s="1"/>
  <c r="DC243" i="1" a="1"/>
  <c r="DC243" i="1" s="1"/>
  <c r="DC262" i="1" a="1"/>
  <c r="DC262" i="1" s="1"/>
  <c r="DC265" i="1" a="1"/>
  <c r="DC265" i="1" s="1"/>
  <c r="DC268" i="1" a="1"/>
  <c r="DC268" i="1" s="1"/>
  <c r="DC271" i="1" a="1"/>
  <c r="DC271" i="1" s="1"/>
  <c r="DC274" i="1" a="1"/>
  <c r="DC274" i="1" s="1"/>
  <c r="DC277" i="1" a="1"/>
  <c r="DC277" i="1" s="1"/>
  <c r="DC301" i="1" a="1"/>
  <c r="DC301" i="1" s="1"/>
  <c r="DC304" i="1" a="1"/>
  <c r="DC304" i="1" s="1"/>
  <c r="DC307" i="1" a="1"/>
  <c r="DC307" i="1" s="1"/>
  <c r="DC310" i="1" a="1"/>
  <c r="DC310" i="1" s="1"/>
  <c r="DC278" i="1" a="1"/>
  <c r="DC278" i="1" s="1"/>
  <c r="DC281" i="1" a="1"/>
  <c r="DC281" i="1" s="1"/>
  <c r="DC284" i="1" a="1"/>
  <c r="DC284" i="1" s="1"/>
  <c r="DC287" i="1" a="1"/>
  <c r="DC287" i="1" s="1"/>
  <c r="DC290" i="1" a="1"/>
  <c r="DC290" i="1" s="1"/>
  <c r="DC293" i="1" a="1"/>
  <c r="DC293" i="1" s="1"/>
  <c r="DC296" i="1" a="1"/>
  <c r="DC296" i="1" s="1"/>
  <c r="DC299" i="1" a="1"/>
  <c r="DC299" i="1" s="1"/>
  <c r="DC314" i="1" a="1"/>
  <c r="DC314" i="1" s="1"/>
  <c r="DC309" i="1" a="1"/>
  <c r="DC309" i="1" s="1"/>
  <c r="DC282" i="1" a="1"/>
  <c r="DC282" i="1" s="1"/>
  <c r="DC285" i="1" a="1"/>
  <c r="DC285" i="1" s="1"/>
  <c r="DC288" i="1" a="1"/>
  <c r="DC288" i="1" s="1"/>
  <c r="DC291" i="1" a="1"/>
  <c r="DC291" i="1" s="1"/>
  <c r="DC294" i="1" a="1"/>
  <c r="DC294" i="1" s="1"/>
  <c r="DC297" i="1" a="1"/>
  <c r="DC297" i="1" s="1"/>
  <c r="DC300" i="1" a="1"/>
  <c r="DC300" i="1" s="1"/>
  <c r="DC312" i="1" a="1"/>
  <c r="DC312" i="1" s="1"/>
  <c r="DC280" i="1" a="1"/>
  <c r="DC280" i="1" s="1"/>
  <c r="DC283" i="1" a="1"/>
  <c r="DC283" i="1" s="1"/>
  <c r="DC286" i="1" a="1"/>
  <c r="DC286" i="1" s="1"/>
  <c r="DC289" i="1" a="1"/>
  <c r="DC289" i="1" s="1"/>
  <c r="DC292" i="1" a="1"/>
  <c r="DC292" i="1" s="1"/>
  <c r="DC295" i="1" a="1"/>
  <c r="DC295" i="1" s="1"/>
  <c r="DC298" i="1" a="1"/>
  <c r="DC298" i="1" s="1"/>
  <c r="DC313" i="1" a="1"/>
  <c r="DC313" i="1" s="1"/>
  <c r="CT16" i="1"/>
  <c r="BV17" i="1"/>
  <c r="CS17" i="1" s="1"/>
  <c r="DB21" i="1" a="1"/>
  <c r="DB21" i="1" s="1"/>
  <c r="DB22" i="1" a="1"/>
  <c r="DB22" i="1" s="1"/>
  <c r="DB28" i="1" a="1"/>
  <c r="DB28" i="1" s="1"/>
  <c r="DB23" i="1" a="1"/>
  <c r="DB23" i="1" s="1"/>
  <c r="DB24" i="1" a="1"/>
  <c r="DB24" i="1" s="1"/>
  <c r="DB25" i="1" a="1"/>
  <c r="DB25" i="1" s="1"/>
  <c r="DB26" i="1" a="1"/>
  <c r="DB26" i="1" s="1"/>
  <c r="DB29" i="1" a="1"/>
  <c r="DB29" i="1" s="1"/>
  <c r="DB31" i="1" a="1"/>
  <c r="DB31" i="1" s="1"/>
  <c r="DB27" i="1" a="1"/>
  <c r="DB27" i="1" s="1"/>
  <c r="DB30" i="1" a="1"/>
  <c r="DB30" i="1" s="1"/>
  <c r="DB32" i="1" a="1"/>
  <c r="DB32" i="1" s="1"/>
  <c r="DB35" i="1" a="1"/>
  <c r="DB35" i="1" s="1"/>
  <c r="DB37" i="1" a="1"/>
  <c r="DB37" i="1" s="1"/>
  <c r="DB42" i="1" a="1"/>
  <c r="DB42" i="1" s="1"/>
  <c r="DB43" i="1" a="1"/>
  <c r="DB43" i="1" s="1"/>
  <c r="DB51" i="1" a="1"/>
  <c r="DB51" i="1" s="1"/>
  <c r="DB38" i="1" a="1"/>
  <c r="DB38" i="1" s="1"/>
  <c r="DB39" i="1" a="1"/>
  <c r="DB39" i="1" s="1"/>
  <c r="DB40" i="1" a="1"/>
  <c r="DB40" i="1" s="1"/>
  <c r="DB44" i="1" a="1"/>
  <c r="DB44" i="1" s="1"/>
  <c r="DB45" i="1" a="1"/>
  <c r="DB45" i="1" s="1"/>
  <c r="DB52" i="1" a="1"/>
  <c r="DB52" i="1" s="1"/>
  <c r="DB33" i="1" a="1"/>
  <c r="DB33" i="1" s="1"/>
  <c r="DB34" i="1" a="1"/>
  <c r="DB34" i="1" s="1"/>
  <c r="DB36" i="1" a="1"/>
  <c r="DB36" i="1" s="1"/>
  <c r="DB41" i="1" a="1"/>
  <c r="DB41" i="1" s="1"/>
  <c r="DB47" i="1" a="1"/>
  <c r="DB47" i="1" s="1"/>
  <c r="DB50" i="1" a="1"/>
  <c r="DB50" i="1" s="1"/>
  <c r="DB56" i="1" a="1"/>
  <c r="DB56" i="1" s="1"/>
  <c r="DB60" i="1" a="1"/>
  <c r="DB60" i="1" s="1"/>
  <c r="DB48" i="1" a="1"/>
  <c r="DB48" i="1" s="1"/>
  <c r="DB49" i="1" a="1"/>
  <c r="DB49" i="1" s="1"/>
  <c r="DB53" i="1" a="1"/>
  <c r="DB53" i="1" s="1"/>
  <c r="DB57" i="1" a="1"/>
  <c r="DB57" i="1" s="1"/>
  <c r="DB46" i="1" a="1"/>
  <c r="DB46" i="1" s="1"/>
  <c r="DB58" i="1" a="1"/>
  <c r="DB58" i="1" s="1"/>
  <c r="DB62" i="1" a="1"/>
  <c r="DB62" i="1" s="1"/>
  <c r="DB54" i="1" a="1"/>
  <c r="DB54" i="1" s="1"/>
  <c r="DB59" i="1" a="1"/>
  <c r="DB59" i="1" s="1"/>
  <c r="DB61" i="1" a="1"/>
  <c r="DB61" i="1" s="1"/>
  <c r="DB63" i="1" a="1"/>
  <c r="DB63" i="1" s="1"/>
  <c r="DB64" i="1" a="1"/>
  <c r="DB64" i="1" s="1"/>
  <c r="DB74" i="1" a="1"/>
  <c r="DB74" i="1" s="1"/>
  <c r="DB65" i="1" a="1"/>
  <c r="DB65" i="1" s="1"/>
  <c r="DB55" i="1" a="1"/>
  <c r="DB55" i="1" s="1"/>
  <c r="DB66" i="1" a="1"/>
  <c r="DB66" i="1" s="1"/>
  <c r="DB68" i="1" a="1"/>
  <c r="DB68" i="1" s="1"/>
  <c r="DB70" i="1" a="1"/>
  <c r="DB70" i="1" s="1"/>
  <c r="DB73" i="1" a="1"/>
  <c r="DB73" i="1" s="1"/>
  <c r="DB75" i="1" a="1"/>
  <c r="DB75" i="1" s="1"/>
  <c r="DB69" i="1" a="1"/>
  <c r="DB69" i="1" s="1"/>
  <c r="DB72" i="1" a="1"/>
  <c r="DB72" i="1" s="1"/>
  <c r="DB80" i="1" a="1"/>
  <c r="DB80" i="1" s="1"/>
  <c r="DB67" i="1" a="1"/>
  <c r="DB67" i="1" s="1"/>
  <c r="DB71" i="1" a="1"/>
  <c r="DB71" i="1" s="1"/>
  <c r="DB77" i="1" a="1"/>
  <c r="DB77" i="1" s="1"/>
  <c r="DB81" i="1" a="1"/>
  <c r="DB81" i="1" s="1"/>
  <c r="DB84" i="1" a="1"/>
  <c r="DB84" i="1" s="1"/>
  <c r="DB76" i="1" a="1"/>
  <c r="DB76" i="1" s="1"/>
  <c r="DB82" i="1" a="1"/>
  <c r="DB82" i="1" s="1"/>
  <c r="DB85" i="1" a="1"/>
  <c r="DB85" i="1" s="1"/>
  <c r="DB88" i="1" a="1"/>
  <c r="DB88" i="1" s="1"/>
  <c r="DB91" i="1" a="1"/>
  <c r="DB91" i="1" s="1"/>
  <c r="DB78" i="1" a="1"/>
  <c r="DB78" i="1" s="1"/>
  <c r="DB83" i="1" a="1"/>
  <c r="DB83" i="1" s="1"/>
  <c r="DB87" i="1" a="1"/>
  <c r="DB87" i="1" s="1"/>
  <c r="DB90" i="1" a="1"/>
  <c r="DB90" i="1" s="1"/>
  <c r="DB93" i="1" a="1"/>
  <c r="DB93" i="1" s="1"/>
  <c r="DB96" i="1" a="1"/>
  <c r="DB96" i="1" s="1"/>
  <c r="DB99" i="1" a="1"/>
  <c r="DB99" i="1" s="1"/>
  <c r="DB79" i="1" a="1"/>
  <c r="DB79" i="1" s="1"/>
  <c r="DB86" i="1" a="1"/>
  <c r="DB86" i="1" s="1"/>
  <c r="DB89" i="1" a="1"/>
  <c r="DB89" i="1" s="1"/>
  <c r="DB92" i="1" a="1"/>
  <c r="DB92" i="1" s="1"/>
  <c r="DB95" i="1" a="1"/>
  <c r="DB95" i="1" s="1"/>
  <c r="DB100" i="1" a="1"/>
  <c r="DB100" i="1" s="1"/>
  <c r="DB97" i="1" a="1"/>
  <c r="DB97" i="1" s="1"/>
  <c r="DB104" i="1" a="1"/>
  <c r="DB104" i="1" s="1"/>
  <c r="DB101" i="1" a="1"/>
  <c r="DB101" i="1" s="1"/>
  <c r="DB98" i="1" a="1"/>
  <c r="DB98" i="1" s="1"/>
  <c r="DB103" i="1" a="1"/>
  <c r="DB103" i="1" s="1"/>
  <c r="DB106" i="1" a="1"/>
  <c r="DB106" i="1" s="1"/>
  <c r="DB109" i="1" a="1"/>
  <c r="DB109" i="1" s="1"/>
  <c r="DB112" i="1" a="1"/>
  <c r="DB112" i="1" s="1"/>
  <c r="DB115" i="1" a="1"/>
  <c r="DB115" i="1" s="1"/>
  <c r="DB102" i="1" a="1"/>
  <c r="DB102" i="1" s="1"/>
  <c r="DB94" i="1" a="1"/>
  <c r="DB94" i="1" s="1"/>
  <c r="DB105" i="1" a="1"/>
  <c r="DB105" i="1" s="1"/>
  <c r="DB116" i="1" a="1"/>
  <c r="DB116" i="1" s="1"/>
  <c r="DB119" i="1" a="1"/>
  <c r="DB119" i="1" s="1"/>
  <c r="DB113" i="1" a="1"/>
  <c r="DB113" i="1" s="1"/>
  <c r="DB123" i="1" a="1"/>
  <c r="DB123" i="1" s="1"/>
  <c r="DB126" i="1" a="1"/>
  <c r="DB126" i="1" s="1"/>
  <c r="DB129" i="1" a="1"/>
  <c r="DB129" i="1" s="1"/>
  <c r="DB108" i="1" a="1"/>
  <c r="DB108" i="1" s="1"/>
  <c r="DB111" i="1" a="1"/>
  <c r="DB111" i="1" s="1"/>
  <c r="DB118" i="1" a="1"/>
  <c r="DB118" i="1" s="1"/>
  <c r="DB122" i="1" a="1"/>
  <c r="DB122" i="1" s="1"/>
  <c r="DB125" i="1" a="1"/>
  <c r="DB125" i="1" s="1"/>
  <c r="DB128" i="1" a="1"/>
  <c r="DB128" i="1" s="1"/>
  <c r="DB131" i="1" a="1"/>
  <c r="DB131" i="1" s="1"/>
  <c r="DB136" i="1" a="1"/>
  <c r="DB136" i="1" s="1"/>
  <c r="DB117" i="1" a="1"/>
  <c r="DB117" i="1" s="1"/>
  <c r="DB120" i="1" a="1"/>
  <c r="DB120" i="1" s="1"/>
  <c r="DB110" i="1" a="1"/>
  <c r="DB110" i="1" s="1"/>
  <c r="DB114" i="1" a="1"/>
  <c r="DB114" i="1" s="1"/>
  <c r="DB124" i="1" a="1"/>
  <c r="DB124" i="1" s="1"/>
  <c r="DB107" i="1" a="1"/>
  <c r="DB107" i="1" s="1"/>
  <c r="DB121" i="1" a="1"/>
  <c r="DB121" i="1" s="1"/>
  <c r="DB127" i="1" a="1"/>
  <c r="DB127" i="1" s="1"/>
  <c r="DB134" i="1" a="1"/>
  <c r="DB134" i="1" s="1"/>
  <c r="DB135" i="1" a="1"/>
  <c r="DB135" i="1" s="1"/>
  <c r="DB138" i="1" a="1"/>
  <c r="DB138" i="1" s="1"/>
  <c r="DB152" i="1" a="1"/>
  <c r="DB152" i="1" s="1"/>
  <c r="DB140" i="1" a="1"/>
  <c r="DB140" i="1" s="1"/>
  <c r="DB143" i="1" a="1"/>
  <c r="DB143" i="1" s="1"/>
  <c r="DB146" i="1" a="1"/>
  <c r="DB146" i="1" s="1"/>
  <c r="DB149" i="1" a="1"/>
  <c r="DB149" i="1" s="1"/>
  <c r="DB153" i="1" a="1"/>
  <c r="DB153" i="1" s="1"/>
  <c r="DB133" i="1" a="1"/>
  <c r="DB133" i="1" s="1"/>
  <c r="DB139" i="1" a="1"/>
  <c r="DB139" i="1" s="1"/>
  <c r="DB142" i="1" a="1"/>
  <c r="DB142" i="1" s="1"/>
  <c r="DB145" i="1" a="1"/>
  <c r="DB145" i="1" s="1"/>
  <c r="DB148" i="1" a="1"/>
  <c r="DB148" i="1" s="1"/>
  <c r="DB151" i="1" a="1"/>
  <c r="DB151" i="1" s="1"/>
  <c r="DB130" i="1" a="1"/>
  <c r="DB130" i="1" s="1"/>
  <c r="DB132" i="1" a="1"/>
  <c r="DB132" i="1" s="1"/>
  <c r="DB137" i="1" a="1"/>
  <c r="DB137" i="1" s="1"/>
  <c r="DB141" i="1" a="1"/>
  <c r="DB141" i="1" s="1"/>
  <c r="DB144" i="1" a="1"/>
  <c r="DB144" i="1" s="1"/>
  <c r="DB147" i="1" a="1"/>
  <c r="DB147" i="1" s="1"/>
  <c r="DB150" i="1" a="1"/>
  <c r="DB150" i="1" s="1"/>
  <c r="DB158" i="1" a="1"/>
  <c r="DB158" i="1" s="1"/>
  <c r="DB161" i="1" a="1"/>
  <c r="DB161" i="1" s="1"/>
  <c r="DB164" i="1" a="1"/>
  <c r="DB164" i="1" s="1"/>
  <c r="DB155" i="1" a="1"/>
  <c r="DB155" i="1" s="1"/>
  <c r="DB167" i="1" a="1"/>
  <c r="DB167" i="1" s="1"/>
  <c r="DB157" i="1" a="1"/>
  <c r="DB157" i="1" s="1"/>
  <c r="DB160" i="1" a="1"/>
  <c r="DB160" i="1" s="1"/>
  <c r="DB163" i="1" a="1"/>
  <c r="DB163" i="1" s="1"/>
  <c r="DB165" i="1" a="1"/>
  <c r="DB165" i="1" s="1"/>
  <c r="DB156" i="1" a="1"/>
  <c r="DB156" i="1" s="1"/>
  <c r="DB159" i="1" a="1"/>
  <c r="DB159" i="1" s="1"/>
  <c r="DB162" i="1" a="1"/>
  <c r="DB162" i="1" s="1"/>
  <c r="DB154" i="1" a="1"/>
  <c r="DB154" i="1" s="1"/>
  <c r="DB166" i="1" a="1"/>
  <c r="DB166" i="1" s="1"/>
  <c r="DB169" i="1" a="1"/>
  <c r="DB169" i="1" s="1"/>
  <c r="DB171" i="1" a="1"/>
  <c r="DB171" i="1" s="1"/>
  <c r="DB175" i="1" a="1"/>
  <c r="DB175" i="1" s="1"/>
  <c r="DB178" i="1" a="1"/>
  <c r="DB178" i="1" s="1"/>
  <c r="DB181" i="1" a="1"/>
  <c r="DB181" i="1" s="1"/>
  <c r="DB182" i="1" a="1"/>
  <c r="DB182" i="1" s="1"/>
  <c r="DB172" i="1" a="1"/>
  <c r="DB172" i="1" s="1"/>
  <c r="DB174" i="1" a="1"/>
  <c r="DB174" i="1" s="1"/>
  <c r="DB177" i="1" a="1"/>
  <c r="DB177" i="1" s="1"/>
  <c r="DB180" i="1" a="1"/>
  <c r="DB180" i="1" s="1"/>
  <c r="DB183" i="1" a="1"/>
  <c r="DB183" i="1" s="1"/>
  <c r="DB168" i="1" a="1"/>
  <c r="DB168" i="1" s="1"/>
  <c r="DB170" i="1" a="1"/>
  <c r="DB170" i="1" s="1"/>
  <c r="DB173" i="1" a="1"/>
  <c r="DB173" i="1" s="1"/>
  <c r="DB176" i="1" a="1"/>
  <c r="DB176" i="1" s="1"/>
  <c r="DB179" i="1" a="1"/>
  <c r="DB179" i="1" s="1"/>
  <c r="DB184" i="1" a="1"/>
  <c r="DB184" i="1" s="1"/>
  <c r="DB191" i="1" a="1"/>
  <c r="DB191" i="1" s="1"/>
  <c r="DB195" i="1" a="1"/>
  <c r="DB195" i="1" s="1"/>
  <c r="DB198" i="1" a="1"/>
  <c r="DB198" i="1" s="1"/>
  <c r="DB201" i="1" a="1"/>
  <c r="DB201" i="1" s="1"/>
  <c r="DB188" i="1" a="1"/>
  <c r="DB188" i="1" s="1"/>
  <c r="DB208" i="1" a="1"/>
  <c r="DB208" i="1" s="1"/>
  <c r="DB211" i="1" a="1"/>
  <c r="DB211" i="1" s="1"/>
  <c r="DB193" i="1" a="1"/>
  <c r="DB193" i="1" s="1"/>
  <c r="DB196" i="1" a="1"/>
  <c r="DB196" i="1" s="1"/>
  <c r="DB199" i="1" a="1"/>
  <c r="DB199" i="1" s="1"/>
  <c r="DB202" i="1" a="1"/>
  <c r="DB202" i="1" s="1"/>
  <c r="DB186" i="1" a="1"/>
  <c r="DB186" i="1" s="1"/>
  <c r="DB189" i="1" a="1"/>
  <c r="DB189" i="1" s="1"/>
  <c r="DB190" i="1" a="1"/>
  <c r="DB190" i="1" s="1"/>
  <c r="DB206" i="1" a="1"/>
  <c r="DB206" i="1" s="1"/>
  <c r="DB209" i="1" a="1"/>
  <c r="DB209" i="1" s="1"/>
  <c r="DB192" i="1" a="1"/>
  <c r="DB192" i="1" s="1"/>
  <c r="DB194" i="1" a="1"/>
  <c r="DB194" i="1" s="1"/>
  <c r="DB197" i="1" a="1"/>
  <c r="DB197" i="1" s="1"/>
  <c r="DB200" i="1" a="1"/>
  <c r="DB200" i="1" s="1"/>
  <c r="DB185" i="1" a="1"/>
  <c r="DB185" i="1" s="1"/>
  <c r="DB187" i="1" a="1"/>
  <c r="DB187" i="1" s="1"/>
  <c r="DB207" i="1" a="1"/>
  <c r="DB207" i="1" s="1"/>
  <c r="DB210" i="1" a="1"/>
  <c r="DB210" i="1" s="1"/>
  <c r="DB226" i="1" a="1"/>
  <c r="DB226" i="1" s="1"/>
  <c r="DB229" i="1" a="1"/>
  <c r="DB229" i="1" s="1"/>
  <c r="DB204" i="1" a="1"/>
  <c r="DB204" i="1" s="1"/>
  <c r="DB213" i="1" a="1"/>
  <c r="DB213" i="1" s="1"/>
  <c r="DB214" i="1" a="1"/>
  <c r="DB214" i="1" s="1"/>
  <c r="DB215" i="1" a="1"/>
  <c r="DB215" i="1" s="1"/>
  <c r="DB216" i="1" a="1"/>
  <c r="DB216" i="1" s="1"/>
  <c r="DB217" i="1" a="1"/>
  <c r="DB217" i="1" s="1"/>
  <c r="DB218" i="1" a="1"/>
  <c r="DB218" i="1" s="1"/>
  <c r="DB219" i="1" a="1"/>
  <c r="DB219" i="1" s="1"/>
  <c r="DB220" i="1" a="1"/>
  <c r="DB220" i="1" s="1"/>
  <c r="DB221" i="1" a="1"/>
  <c r="DB221" i="1" s="1"/>
  <c r="DB222" i="1" a="1"/>
  <c r="DB222" i="1" s="1"/>
  <c r="DB223" i="1" a="1"/>
  <c r="DB223" i="1" s="1"/>
  <c r="DB224" i="1" a="1"/>
  <c r="DB224" i="1" s="1"/>
  <c r="DB227" i="1" a="1"/>
  <c r="DB227" i="1" s="1"/>
  <c r="DB230" i="1" a="1"/>
  <c r="DB230" i="1" s="1"/>
  <c r="DB205" i="1" a="1"/>
  <c r="DB205" i="1" s="1"/>
  <c r="DB203" i="1" a="1"/>
  <c r="DB203" i="1" s="1"/>
  <c r="DB225" i="1" a="1"/>
  <c r="DB225" i="1" s="1"/>
  <c r="DB228" i="1" a="1"/>
  <c r="DB228" i="1" s="1"/>
  <c r="DB212" i="1" a="1"/>
  <c r="DB212" i="1" s="1"/>
  <c r="DB261" i="1" a="1"/>
  <c r="DB261" i="1" s="1"/>
  <c r="DB264" i="1" a="1"/>
  <c r="DB264" i="1" s="1"/>
  <c r="DB267" i="1" a="1"/>
  <c r="DB267" i="1" s="1"/>
  <c r="DB270" i="1" a="1"/>
  <c r="DB270" i="1" s="1"/>
  <c r="DB273" i="1" a="1"/>
  <c r="DB273" i="1" s="1"/>
  <c r="DB276" i="1" a="1"/>
  <c r="DB276" i="1" s="1"/>
  <c r="DB233" i="1" a="1"/>
  <c r="DB233" i="1" s="1"/>
  <c r="DB236" i="1" a="1"/>
  <c r="DB236" i="1" s="1"/>
  <c r="DB239" i="1" a="1"/>
  <c r="DB239" i="1" s="1"/>
  <c r="DB242" i="1" a="1"/>
  <c r="DB242" i="1" s="1"/>
  <c r="DB245" i="1" a="1"/>
  <c r="DB245" i="1" s="1"/>
  <c r="DB303" i="1" a="1"/>
  <c r="DB303" i="1" s="1"/>
  <c r="DB306" i="1" a="1"/>
  <c r="DB306" i="1" s="1"/>
  <c r="DB309" i="1" a="1"/>
  <c r="DB309" i="1" s="1"/>
  <c r="DB262" i="1" a="1"/>
  <c r="DB262" i="1" s="1"/>
  <c r="DB265" i="1" a="1"/>
  <c r="DB265" i="1" s="1"/>
  <c r="DB268" i="1" a="1"/>
  <c r="DB268" i="1" s="1"/>
  <c r="DB271" i="1" a="1"/>
  <c r="DB271" i="1" s="1"/>
  <c r="DB274" i="1" a="1"/>
  <c r="DB274" i="1" s="1"/>
  <c r="DB277" i="1" a="1"/>
  <c r="DB277" i="1" s="1"/>
  <c r="DB280" i="1" a="1"/>
  <c r="DB280" i="1" s="1"/>
  <c r="DB231" i="1" a="1"/>
  <c r="DB231" i="1" s="1"/>
  <c r="DB234" i="1" a="1"/>
  <c r="DB234" i="1" s="1"/>
  <c r="DB237" i="1" a="1"/>
  <c r="DB237" i="1" s="1"/>
  <c r="DB240" i="1" a="1"/>
  <c r="DB240" i="1" s="1"/>
  <c r="DB243" i="1" a="1"/>
  <c r="DB243" i="1" s="1"/>
  <c r="DB301" i="1" a="1"/>
  <c r="DB301" i="1" s="1"/>
  <c r="DB304" i="1" a="1"/>
  <c r="DB304" i="1" s="1"/>
  <c r="DB307" i="1" a="1"/>
  <c r="DB307" i="1" s="1"/>
  <c r="DB260" i="1" a="1"/>
  <c r="DB260" i="1" s="1"/>
  <c r="DB263" i="1" a="1"/>
  <c r="DB263" i="1" s="1"/>
  <c r="DB266" i="1" a="1"/>
  <c r="DB266" i="1" s="1"/>
  <c r="DB269" i="1" a="1"/>
  <c r="DB269" i="1" s="1"/>
  <c r="DB272" i="1" a="1"/>
  <c r="DB272" i="1" s="1"/>
  <c r="DB275" i="1" a="1"/>
  <c r="DB275" i="1" s="1"/>
  <c r="DB278" i="1" a="1"/>
  <c r="DB278" i="1" s="1"/>
  <c r="DB232" i="1" a="1"/>
  <c r="DB232" i="1" s="1"/>
  <c r="DB235" i="1" a="1"/>
  <c r="DB235" i="1" s="1"/>
  <c r="DB238" i="1" a="1"/>
  <c r="DB238" i="1" s="1"/>
  <c r="DB241" i="1" a="1"/>
  <c r="DB241" i="1" s="1"/>
  <c r="DB244" i="1" a="1"/>
  <c r="DB244" i="1" s="1"/>
  <c r="DB246" i="1" a="1"/>
  <c r="DB246" i="1" s="1"/>
  <c r="DB247" i="1" a="1"/>
  <c r="DB247" i="1" s="1"/>
  <c r="DB248" i="1" a="1"/>
  <c r="DB248" i="1" s="1"/>
  <c r="DB249" i="1" a="1"/>
  <c r="DB249" i="1" s="1"/>
  <c r="DB250" i="1" a="1"/>
  <c r="DB250" i="1" s="1"/>
  <c r="DB251" i="1" a="1"/>
  <c r="DB251" i="1" s="1"/>
  <c r="DB252" i="1" a="1"/>
  <c r="DB252" i="1" s="1"/>
  <c r="DB253" i="1" a="1"/>
  <c r="DB253" i="1" s="1"/>
  <c r="DB254" i="1" a="1"/>
  <c r="DB254" i="1" s="1"/>
  <c r="DB255" i="1" a="1"/>
  <c r="DB255" i="1" s="1"/>
  <c r="DB256" i="1" a="1"/>
  <c r="DB256" i="1" s="1"/>
  <c r="DB257" i="1" a="1"/>
  <c r="DB257" i="1" s="1"/>
  <c r="DB258" i="1" a="1"/>
  <c r="DB258" i="1" s="1"/>
  <c r="DB259" i="1" a="1"/>
  <c r="DB259" i="1" s="1"/>
  <c r="DB302" i="1" a="1"/>
  <c r="DB302" i="1" s="1"/>
  <c r="DB305" i="1" a="1"/>
  <c r="DB305" i="1" s="1"/>
  <c r="DB308" i="1" a="1"/>
  <c r="DB308" i="1" s="1"/>
  <c r="DB311" i="1" a="1"/>
  <c r="DB311" i="1" s="1"/>
  <c r="DB312" i="1" a="1"/>
  <c r="DB312" i="1" s="1"/>
  <c r="DB282" i="1" a="1"/>
  <c r="DB282" i="1" s="1"/>
  <c r="DB285" i="1" a="1"/>
  <c r="DB285" i="1" s="1"/>
  <c r="DB288" i="1" a="1"/>
  <c r="DB288" i="1" s="1"/>
  <c r="DB291" i="1" a="1"/>
  <c r="DB291" i="1" s="1"/>
  <c r="DB294" i="1" a="1"/>
  <c r="DB294" i="1" s="1"/>
  <c r="DB297" i="1" a="1"/>
  <c r="DB297" i="1" s="1"/>
  <c r="DB300" i="1" a="1"/>
  <c r="DB300" i="1" s="1"/>
  <c r="DB310" i="1" a="1"/>
  <c r="DB310" i="1" s="1"/>
  <c r="DB313" i="1" a="1"/>
  <c r="DB313" i="1" s="1"/>
  <c r="DB283" i="1" a="1"/>
  <c r="DB283" i="1" s="1"/>
  <c r="DB286" i="1" a="1"/>
  <c r="DB286" i="1" s="1"/>
  <c r="DB289" i="1" a="1"/>
  <c r="DB289" i="1" s="1"/>
  <c r="DB292" i="1" a="1"/>
  <c r="DB292" i="1" s="1"/>
  <c r="DB295" i="1" a="1"/>
  <c r="DB295" i="1" s="1"/>
  <c r="DB298" i="1" a="1"/>
  <c r="DB298" i="1" s="1"/>
  <c r="DB314" i="1" a="1"/>
  <c r="DB314" i="1" s="1"/>
  <c r="DB279" i="1" a="1"/>
  <c r="DB279" i="1" s="1"/>
  <c r="DB281" i="1" a="1"/>
  <c r="DB281" i="1" s="1"/>
  <c r="DB284" i="1" a="1"/>
  <c r="DB284" i="1" s="1"/>
  <c r="DB287" i="1" a="1"/>
  <c r="DB287" i="1" s="1"/>
  <c r="DB290" i="1" a="1"/>
  <c r="DB290" i="1" s="1"/>
  <c r="DB293" i="1" a="1"/>
  <c r="DB293" i="1" s="1"/>
  <c r="DB296" i="1" a="1"/>
  <c r="DB296" i="1" s="1"/>
  <c r="DB299" i="1" a="1"/>
  <c r="DB299" i="1" s="1"/>
  <c r="CZ15" i="1"/>
  <c r="CC18" i="1"/>
  <c r="BX15" i="1"/>
  <c r="CU14" i="1"/>
  <c r="BU5" i="1"/>
  <c r="CS4" i="1"/>
  <c r="BU14" i="1"/>
  <c r="CS13" i="1"/>
  <c r="CR16" i="1"/>
  <c r="BT17" i="1"/>
  <c r="CQ17" i="1" s="1"/>
  <c r="BV10" i="1"/>
  <c r="CS10" i="1" s="1"/>
  <c r="BU7" i="1"/>
  <c r="CS6" i="1"/>
  <c r="BX7" i="1"/>
  <c r="CV6" i="1"/>
  <c r="BY10" i="1"/>
  <c r="CV10" i="1" s="1"/>
  <c r="BS11" i="1"/>
  <c r="CP11" i="1" s="1"/>
  <c r="BR6" i="1"/>
  <c r="CP5" i="1"/>
  <c r="CW7" i="1"/>
  <c r="BY8" i="1"/>
  <c r="CV8" i="1" s="1"/>
  <c r="BZ9" i="1"/>
  <c r="CW9" i="1" s="1"/>
  <c r="CA5" i="1"/>
  <c r="CY4" i="1"/>
  <c r="CD15" i="1"/>
  <c r="DA14" i="1"/>
  <c r="BW6" i="1"/>
  <c r="CU5" i="1"/>
  <c r="BX11" i="1"/>
  <c r="CU11" i="1" s="1"/>
  <c r="BY15" i="1"/>
  <c r="CV14" i="1"/>
  <c r="CX16" i="1"/>
  <c r="BZ17" i="1"/>
  <c r="CW17" i="1" s="1"/>
  <c r="BX17" i="1"/>
  <c r="CU17" i="1" s="1"/>
  <c r="CV16" i="1"/>
  <c r="CZ16" i="1"/>
  <c r="CB17" i="1"/>
  <c r="CY17" i="1" s="1"/>
  <c r="CT15" i="1"/>
  <c r="BW18" i="1"/>
  <c r="BQ6" i="1"/>
  <c r="CO5" i="1"/>
  <c r="BR11" i="1"/>
  <c r="CO11" i="1" s="1"/>
  <c r="CN6" i="1" l="1"/>
  <c r="BQ10" i="1"/>
  <c r="CN10" i="1" s="1"/>
  <c r="BP7" i="1"/>
  <c r="CX14" i="1"/>
  <c r="CA15" i="1"/>
  <c r="CX5" i="1"/>
  <c r="CA11" i="1"/>
  <c r="CX11" i="1" s="1"/>
  <c r="BZ6" i="1"/>
  <c r="CR5" i="1"/>
  <c r="BU11" i="1"/>
  <c r="CR11" i="1" s="1"/>
  <c r="BT6" i="1"/>
  <c r="CT18" i="1"/>
  <c r="BW19" i="1"/>
  <c r="CT19" i="1" s="1"/>
  <c r="CT6" i="1"/>
  <c r="BW10" i="1"/>
  <c r="CT10" i="1" s="1"/>
  <c r="BV7" i="1"/>
  <c r="BX18" i="1"/>
  <c r="CU15" i="1"/>
  <c r="BS18" i="1"/>
  <c r="CP15" i="1"/>
  <c r="BR18" i="1"/>
  <c r="CO15" i="1"/>
  <c r="CO7" i="1"/>
  <c r="BQ8" i="1"/>
  <c r="CN8" i="1" s="1"/>
  <c r="BR9" i="1"/>
  <c r="CO9" i="1" s="1"/>
  <c r="CU7" i="1"/>
  <c r="BW8" i="1"/>
  <c r="CT8" i="1" s="1"/>
  <c r="BX9" i="1"/>
  <c r="CU9" i="1" s="1"/>
  <c r="CZ18" i="1"/>
  <c r="CC19" i="1"/>
  <c r="CZ19" i="1" s="1"/>
  <c r="CZ6" i="1"/>
  <c r="CC10" i="1"/>
  <c r="CZ10" i="1" s="1"/>
  <c r="CB7" i="1"/>
  <c r="CD18" i="1"/>
  <c r="DA15" i="1"/>
  <c r="CR14" i="1"/>
  <c r="BU15" i="1"/>
  <c r="BW7" i="1"/>
  <c r="CU6" i="1"/>
  <c r="BX10" i="1"/>
  <c r="CU10" i="1" s="1"/>
  <c r="CX7" i="1"/>
  <c r="BZ8" i="1"/>
  <c r="CW8" i="1" s="1"/>
  <c r="CA9" i="1"/>
  <c r="CX9" i="1" s="1"/>
  <c r="BY18" i="1"/>
  <c r="CV15" i="1"/>
  <c r="BQ7" i="1"/>
  <c r="CO6" i="1"/>
  <c r="BR10" i="1"/>
  <c r="CO10" i="1" s="1"/>
  <c r="CR7" i="1"/>
  <c r="BT8" i="1"/>
  <c r="CQ8" i="1" s="1"/>
  <c r="BU9" i="1"/>
  <c r="CR9" i="1" s="1"/>
  <c r="BY19" i="1" l="1"/>
  <c r="CV19" i="1" s="1"/>
  <c r="CV18" i="1"/>
  <c r="DA18" i="1"/>
  <c r="DA265" i="1" s="1" a="1"/>
  <c r="DA265" i="1" s="1"/>
  <c r="CD19" i="1"/>
  <c r="DA19" i="1" s="1"/>
  <c r="DA26" i="1" s="1" a="1"/>
  <c r="DA26" i="1" s="1"/>
  <c r="DA250" i="1" a="1"/>
  <c r="DA250" i="1" s="1"/>
  <c r="CZ32" i="1" a="1"/>
  <c r="CZ32" i="1" s="1"/>
  <c r="CZ72" i="1" a="1"/>
  <c r="CZ72" i="1" s="1"/>
  <c r="CZ121" i="1" a="1"/>
  <c r="CZ121" i="1" s="1"/>
  <c r="CZ149" i="1" a="1"/>
  <c r="CZ149" i="1" s="1"/>
  <c r="CZ198" i="1" a="1"/>
  <c r="CZ198" i="1" s="1"/>
  <c r="CZ230" i="1" a="1"/>
  <c r="CZ230" i="1" s="1"/>
  <c r="CZ303" i="1" a="1"/>
  <c r="CZ303" i="1" s="1"/>
  <c r="CZ300" i="1" a="1"/>
  <c r="CZ300" i="1" s="1"/>
  <c r="CZ30" i="1" a="1"/>
  <c r="CZ30" i="1" s="1"/>
  <c r="CZ26" i="1" a="1"/>
  <c r="CZ26" i="1" s="1"/>
  <c r="CZ34" i="1" a="1"/>
  <c r="CZ34" i="1" s="1"/>
  <c r="CZ42" i="1" a="1"/>
  <c r="CZ42" i="1" s="1"/>
  <c r="CZ45" i="1" a="1"/>
  <c r="CZ45" i="1" s="1"/>
  <c r="CZ48" i="1" a="1"/>
  <c r="CZ48" i="1" s="1"/>
  <c r="CZ57" i="1" a="1"/>
  <c r="CZ57" i="1" s="1"/>
  <c r="CZ63" i="1" a="1"/>
  <c r="CZ63" i="1" s="1"/>
  <c r="CZ74" i="1" a="1"/>
  <c r="CZ74" i="1" s="1"/>
  <c r="CZ73" i="1" a="1"/>
  <c r="CZ73" i="1" s="1"/>
  <c r="CZ84" i="1" a="1"/>
  <c r="CZ84" i="1" s="1"/>
  <c r="CZ85" i="1" a="1"/>
  <c r="CZ85" i="1" s="1"/>
  <c r="CZ82" i="1" a="1"/>
  <c r="CZ82" i="1" s="1"/>
  <c r="CZ108" i="1" a="1"/>
  <c r="CZ108" i="1" s="1"/>
  <c r="CZ90" i="1" a="1"/>
  <c r="CZ90" i="1" s="1"/>
  <c r="CZ106" i="1" a="1"/>
  <c r="CZ106" i="1" s="1"/>
  <c r="CZ119" i="1" a="1"/>
  <c r="CZ119" i="1" s="1"/>
  <c r="CZ126" i="1" a="1"/>
  <c r="CZ126" i="1" s="1"/>
  <c r="CZ116" i="1" a="1"/>
  <c r="CZ116" i="1" s="1"/>
  <c r="CZ139" i="1" a="1"/>
  <c r="CZ139" i="1" s="1"/>
  <c r="CZ141" i="1" a="1"/>
  <c r="CZ141" i="1" s="1"/>
  <c r="CZ130" i="1" a="1"/>
  <c r="CZ130" i="1" s="1"/>
  <c r="CZ134" i="1" a="1"/>
  <c r="CZ134" i="1" s="1"/>
  <c r="CZ158" i="1" a="1"/>
  <c r="CZ158" i="1" s="1"/>
  <c r="CZ160" i="1" a="1"/>
  <c r="CZ160" i="1" s="1"/>
  <c r="CZ180" i="1" a="1"/>
  <c r="CZ180" i="1" s="1"/>
  <c r="CZ170" i="1" a="1"/>
  <c r="CZ170" i="1" s="1"/>
  <c r="CZ183" i="1" a="1"/>
  <c r="CZ183" i="1" s="1"/>
  <c r="CZ189" i="1" a="1"/>
  <c r="CZ189" i="1" s="1"/>
  <c r="CZ201" i="1" a="1"/>
  <c r="CZ201" i="1" s="1"/>
  <c r="CZ193" i="1" a="1"/>
  <c r="CZ193" i="1" s="1"/>
  <c r="CZ206" i="1" a="1"/>
  <c r="CZ206" i="1" s="1"/>
  <c r="CZ228" i="1" a="1"/>
  <c r="CZ228" i="1" s="1"/>
  <c r="CZ224" i="1" a="1"/>
  <c r="CZ224" i="1" s="1"/>
  <c r="CZ218" i="1" a="1"/>
  <c r="CZ218" i="1" s="1"/>
  <c r="CZ260" i="1" a="1"/>
  <c r="CZ260" i="1" s="1"/>
  <c r="CZ231" i="1" a="1"/>
  <c r="CZ231" i="1" s="1"/>
  <c r="CZ305" i="1" a="1"/>
  <c r="CZ305" i="1" s="1"/>
  <c r="CZ250" i="1" a="1"/>
  <c r="CZ250" i="1" s="1"/>
  <c r="CZ259" i="1" a="1"/>
  <c r="CZ259" i="1" s="1"/>
  <c r="CZ276" i="1" a="1"/>
  <c r="CZ276" i="1" s="1"/>
  <c r="CZ244" i="1" a="1"/>
  <c r="CZ244" i="1" s="1"/>
  <c r="CZ306" i="1" a="1"/>
  <c r="CZ306" i="1" s="1"/>
  <c r="CZ277" i="1" a="1"/>
  <c r="CZ277" i="1" s="1"/>
  <c r="CZ301" i="1" a="1"/>
  <c r="CZ301" i="1" s="1"/>
  <c r="CZ286" i="1" a="1"/>
  <c r="CZ286" i="1" s="1"/>
  <c r="CZ281" i="1" a="1"/>
  <c r="CZ281" i="1" s="1"/>
  <c r="CZ299" i="1" a="1"/>
  <c r="CZ299" i="1" s="1"/>
  <c r="CZ285" i="1" a="1"/>
  <c r="CZ285" i="1" s="1"/>
  <c r="CZ21" i="1" a="1"/>
  <c r="CZ21" i="1" s="1"/>
  <c r="CZ38" i="1" a="1"/>
  <c r="CZ38" i="1" s="1"/>
  <c r="CZ39" i="1" a="1"/>
  <c r="CZ39" i="1" s="1"/>
  <c r="CZ56" i="1" a="1"/>
  <c r="CZ56" i="1" s="1"/>
  <c r="CZ64" i="1" a="1"/>
  <c r="CZ64" i="1" s="1"/>
  <c r="CZ79" i="1" a="1"/>
  <c r="CZ79" i="1" s="1"/>
  <c r="CZ88" i="1" a="1"/>
  <c r="CZ88" i="1" s="1"/>
  <c r="CZ93" i="1" a="1"/>
  <c r="CZ93" i="1" s="1"/>
  <c r="CZ117" i="1" a="1"/>
  <c r="CZ117" i="1" s="1"/>
  <c r="CZ120" i="1" a="1"/>
  <c r="CZ120" i="1" s="1"/>
  <c r="CZ122" i="1" a="1"/>
  <c r="CZ122" i="1" s="1"/>
  <c r="CZ144" i="1" a="1"/>
  <c r="CZ144" i="1" s="1"/>
  <c r="CZ156" i="1" a="1"/>
  <c r="CZ156" i="1" s="1"/>
  <c r="CZ163" i="1" a="1"/>
  <c r="CZ163" i="1" s="1"/>
  <c r="CZ182" i="1" a="1"/>
  <c r="CZ182" i="1" s="1"/>
  <c r="CZ192" i="1" a="1"/>
  <c r="CZ192" i="1" s="1"/>
  <c r="CZ187" i="1" a="1"/>
  <c r="CZ187" i="1" s="1"/>
  <c r="CZ209" i="1" a="1"/>
  <c r="CZ209" i="1" s="1"/>
  <c r="CZ227" i="1" a="1"/>
  <c r="CZ227" i="1" s="1"/>
  <c r="CZ263" i="1" a="1"/>
  <c r="CZ263" i="1" s="1"/>
  <c r="CZ308" i="1" a="1"/>
  <c r="CZ308" i="1" s="1"/>
  <c r="CZ252" i="1" a="1"/>
  <c r="CZ252" i="1" s="1"/>
  <c r="CZ279" i="1" a="1"/>
  <c r="CZ279" i="1" s="1"/>
  <c r="CZ262" i="1" a="1"/>
  <c r="CZ262" i="1" s="1"/>
  <c r="CZ304" i="1" a="1"/>
  <c r="CZ304" i="1" s="1"/>
  <c r="CZ284" i="1" a="1"/>
  <c r="CZ284" i="1" s="1"/>
  <c r="CZ309" i="1" a="1"/>
  <c r="CZ309" i="1" s="1"/>
  <c r="CZ194" i="1" a="1"/>
  <c r="CZ194" i="1" s="1"/>
  <c r="CZ214" i="1" a="1"/>
  <c r="CZ214" i="1" s="1"/>
  <c r="CZ266" i="1" a="1"/>
  <c r="CZ266" i="1" s="1"/>
  <c r="CZ253" i="1" a="1"/>
  <c r="CZ253" i="1" s="1"/>
  <c r="CZ251" i="1" a="1"/>
  <c r="CZ251" i="1" s="1"/>
  <c r="CZ307" i="1" a="1"/>
  <c r="CZ307" i="1" s="1"/>
  <c r="CZ312" i="1" a="1"/>
  <c r="CZ312" i="1" s="1"/>
  <c r="CZ229" i="1" a="1"/>
  <c r="CZ229" i="1" s="1"/>
  <c r="CZ240" i="1" a="1"/>
  <c r="CZ240" i="1" s="1"/>
  <c r="CZ235" i="1" a="1"/>
  <c r="CZ235" i="1" s="1"/>
  <c r="CZ295" i="1" a="1"/>
  <c r="CZ295" i="1" s="1"/>
  <c r="CZ35" i="1" a="1"/>
  <c r="CZ35" i="1" s="1"/>
  <c r="CZ69" i="1" a="1"/>
  <c r="CZ69" i="1" s="1"/>
  <c r="CZ97" i="1" a="1"/>
  <c r="CZ97" i="1" s="1"/>
  <c r="CZ138" i="1" a="1"/>
  <c r="CZ138" i="1" s="1"/>
  <c r="CZ166" i="1" a="1"/>
  <c r="CZ166" i="1" s="1"/>
  <c r="CZ195" i="1" a="1"/>
  <c r="CZ195" i="1" s="1"/>
  <c r="CZ203" i="1" a="1"/>
  <c r="CZ203" i="1" s="1"/>
  <c r="CZ243" i="1" a="1"/>
  <c r="CZ243" i="1" s="1"/>
  <c r="CZ257" i="1" a="1"/>
  <c r="CZ257" i="1" s="1"/>
  <c r="CZ278" i="1" a="1"/>
  <c r="CZ278" i="1" s="1"/>
  <c r="CZ36" i="1" a="1"/>
  <c r="CZ36" i="1" s="1"/>
  <c r="CZ62" i="1" a="1"/>
  <c r="CZ62" i="1" s="1"/>
  <c r="CZ98" i="1" a="1"/>
  <c r="CZ98" i="1" s="1"/>
  <c r="CZ123" i="1" a="1"/>
  <c r="CZ123" i="1" s="1"/>
  <c r="CZ155" i="1" a="1"/>
  <c r="CZ155" i="1" s="1"/>
  <c r="CZ169" i="1" a="1"/>
  <c r="CZ169" i="1" s="1"/>
  <c r="CZ188" i="1" a="1"/>
  <c r="CZ188" i="1" s="1"/>
  <c r="CZ275" i="1" a="1"/>
  <c r="CZ275" i="1" s="1"/>
  <c r="CZ273" i="1" a="1"/>
  <c r="CZ273" i="1" s="1"/>
  <c r="CZ283" i="1" a="1"/>
  <c r="CZ283" i="1" s="1"/>
  <c r="CZ29" i="1" a="1"/>
  <c r="CZ29" i="1" s="1"/>
  <c r="CZ43" i="1" a="1"/>
  <c r="CZ43" i="1" s="1"/>
  <c r="CZ55" i="1" a="1"/>
  <c r="CZ55" i="1" s="1"/>
  <c r="CZ66" i="1" a="1"/>
  <c r="CZ66" i="1" s="1"/>
  <c r="CZ86" i="1" a="1"/>
  <c r="CZ86" i="1" s="1"/>
  <c r="CZ76" i="1" a="1"/>
  <c r="CZ76" i="1" s="1"/>
  <c r="CZ109" i="1" a="1"/>
  <c r="CZ109" i="1" s="1"/>
  <c r="CZ129" i="1" a="1"/>
  <c r="CZ129" i="1" s="1"/>
  <c r="CZ142" i="1" a="1"/>
  <c r="CZ142" i="1" s="1"/>
  <c r="CZ137" i="1" a="1"/>
  <c r="CZ137" i="1" s="1"/>
  <c r="CZ161" i="1" a="1"/>
  <c r="CZ161" i="1" s="1"/>
  <c r="CZ172" i="1" a="1"/>
  <c r="CZ172" i="1" s="1"/>
  <c r="CZ190" i="1" a="1"/>
  <c r="CZ190" i="1" s="1"/>
  <c r="CZ196" i="1" a="1"/>
  <c r="CZ196" i="1" s="1"/>
  <c r="CZ205" i="1" a="1"/>
  <c r="CZ205" i="1" s="1"/>
  <c r="CZ219" i="1" a="1"/>
  <c r="CZ219" i="1" s="1"/>
  <c r="CZ234" i="1" a="1"/>
  <c r="CZ234" i="1" s="1"/>
  <c r="CZ261" i="1" a="1"/>
  <c r="CZ261" i="1" s="1"/>
  <c r="CZ248" i="1" a="1"/>
  <c r="CZ248" i="1" s="1"/>
  <c r="CZ233" i="1" a="1"/>
  <c r="CZ233" i="1" s="1"/>
  <c r="CZ289" i="1" a="1"/>
  <c r="CZ289" i="1" s="1"/>
  <c r="CZ288" i="1" a="1"/>
  <c r="CZ288" i="1" s="1"/>
  <c r="CZ191" i="1" a="1"/>
  <c r="CZ191" i="1" s="1"/>
  <c r="CZ226" i="1" a="1"/>
  <c r="CZ226" i="1" s="1"/>
  <c r="CZ221" i="1" a="1"/>
  <c r="CZ221" i="1" s="1"/>
  <c r="CZ311" i="1" a="1"/>
  <c r="CZ311" i="1" s="1"/>
  <c r="CZ232" i="1" a="1"/>
  <c r="CZ232" i="1" s="1"/>
  <c r="CZ236" i="1" a="1"/>
  <c r="CZ236" i="1" s="1"/>
  <c r="CZ292" i="1" a="1"/>
  <c r="CZ292" i="1" s="1"/>
  <c r="CZ291" i="1" a="1"/>
  <c r="CZ291" i="1" s="1"/>
  <c r="CZ213" i="1" a="1"/>
  <c r="CZ213" i="1" s="1"/>
  <c r="CZ246" i="1" a="1"/>
  <c r="CZ246" i="1" s="1"/>
  <c r="CZ254" i="1" a="1"/>
  <c r="CZ254" i="1" s="1"/>
  <c r="CZ310" i="1" a="1"/>
  <c r="CZ310" i="1" s="1"/>
  <c r="CZ313" i="1" a="1"/>
  <c r="CZ313" i="1" s="1"/>
  <c r="CZ27" i="1" a="1"/>
  <c r="CZ27" i="1" s="1"/>
  <c r="CZ52" i="1" a="1"/>
  <c r="CZ52" i="1" s="1"/>
  <c r="CZ78" i="1" a="1"/>
  <c r="CZ78" i="1" s="1"/>
  <c r="CZ102" i="1" a="1"/>
  <c r="CZ102" i="1" s="1"/>
  <c r="CZ118" i="1" a="1"/>
  <c r="CZ118" i="1" s="1"/>
  <c r="CZ151" i="1" a="1"/>
  <c r="CZ151" i="1" s="1"/>
  <c r="CZ153" i="1" a="1"/>
  <c r="CZ153" i="1" s="1"/>
  <c r="CZ181" i="1" a="1"/>
  <c r="CZ181" i="1" s="1"/>
  <c r="CZ184" i="1" a="1"/>
  <c r="CZ184" i="1" s="1"/>
  <c r="CZ215" i="1" a="1"/>
  <c r="CZ215" i="1" s="1"/>
  <c r="CZ247" i="1" a="1"/>
  <c r="CZ247" i="1" s="1"/>
  <c r="CZ238" i="1" a="1"/>
  <c r="CZ238" i="1" s="1"/>
  <c r="CZ314" i="1" a="1"/>
  <c r="CZ314" i="1" s="1"/>
  <c r="CZ297" i="1" a="1"/>
  <c r="CZ297" i="1" s="1"/>
  <c r="CZ25" i="1" a="1"/>
  <c r="CZ25" i="1" s="1"/>
  <c r="CZ54" i="1" a="1"/>
  <c r="CZ54" i="1" s="1"/>
  <c r="CZ77" i="1" a="1"/>
  <c r="CZ77" i="1" s="1"/>
  <c r="CZ113" i="1" a="1"/>
  <c r="CZ113" i="1" s="1"/>
  <c r="CZ114" i="1" a="1"/>
  <c r="CZ114" i="1" s="1"/>
  <c r="CZ154" i="1" a="1"/>
  <c r="CZ154" i="1" s="1"/>
  <c r="CZ171" i="1" a="1"/>
  <c r="CZ171" i="1" s="1"/>
  <c r="CZ225" i="1" a="1"/>
  <c r="CZ225" i="1" s="1"/>
  <c r="CZ302" i="1" a="1"/>
  <c r="CZ302" i="1" s="1"/>
  <c r="CZ241" i="1" a="1"/>
  <c r="CZ241" i="1" s="1"/>
  <c r="CZ280" i="1" a="1"/>
  <c r="CZ280" i="1" s="1"/>
  <c r="CZ28" i="1" a="1"/>
  <c r="CZ28" i="1" s="1"/>
  <c r="CZ22" i="1" a="1"/>
  <c r="CZ22" i="1" s="1"/>
  <c r="CZ40" i="1" a="1"/>
  <c r="CZ40" i="1" s="1"/>
  <c r="CZ51" i="1" a="1"/>
  <c r="CZ51" i="1" s="1"/>
  <c r="CZ46" i="1" a="1"/>
  <c r="CZ46" i="1" s="1"/>
  <c r="CZ59" i="1" a="1"/>
  <c r="CZ59" i="1" s="1"/>
  <c r="CZ58" i="1" a="1"/>
  <c r="CZ58" i="1" s="1"/>
  <c r="CZ65" i="1" a="1"/>
  <c r="CZ65" i="1" s="1"/>
  <c r="CZ67" i="1" a="1"/>
  <c r="CZ67" i="1" s="1"/>
  <c r="CZ75" i="1" a="1"/>
  <c r="CZ75" i="1" s="1"/>
  <c r="CZ89" i="1" a="1"/>
  <c r="CZ89" i="1" s="1"/>
  <c r="CZ91" i="1" a="1"/>
  <c r="CZ91" i="1" s="1"/>
  <c r="CZ81" i="1" a="1"/>
  <c r="CZ81" i="1" s="1"/>
  <c r="CZ104" i="1" a="1"/>
  <c r="CZ104" i="1" s="1"/>
  <c r="CZ96" i="1" a="1"/>
  <c r="CZ96" i="1" s="1"/>
  <c r="CZ112" i="1" a="1"/>
  <c r="CZ112" i="1" s="1"/>
  <c r="CZ111" i="1" a="1"/>
  <c r="CZ111" i="1" s="1"/>
  <c r="CZ132" i="1" a="1"/>
  <c r="CZ132" i="1" s="1"/>
  <c r="CZ125" i="1" a="1"/>
  <c r="CZ125" i="1" s="1"/>
  <c r="CZ145" i="1" a="1"/>
  <c r="CZ145" i="1" s="1"/>
  <c r="CZ147" i="1" a="1"/>
  <c r="CZ147" i="1" s="1"/>
  <c r="CZ140" i="1" a="1"/>
  <c r="CZ140" i="1" s="1"/>
  <c r="CZ159" i="1" a="1"/>
  <c r="CZ159" i="1" s="1"/>
  <c r="CZ164" i="1" a="1"/>
  <c r="CZ164" i="1" s="1"/>
  <c r="CZ165" i="1" a="1"/>
  <c r="CZ165" i="1" s="1"/>
  <c r="CZ173" i="1" a="1"/>
  <c r="CZ173" i="1" s="1"/>
  <c r="CZ175" i="1" a="1"/>
  <c r="CZ175" i="1" s="1"/>
  <c r="CZ207" i="1" a="1"/>
  <c r="CZ207" i="1" s="1"/>
  <c r="CZ199" i="1" a="1"/>
  <c r="CZ199" i="1" s="1"/>
  <c r="CZ204" i="1" a="1"/>
  <c r="CZ204" i="1" s="1"/>
  <c r="CZ237" i="1" a="1"/>
  <c r="CZ237" i="1" s="1"/>
  <c r="CZ264" i="1" a="1"/>
  <c r="CZ264" i="1" s="1"/>
  <c r="CZ265" i="1" a="1"/>
  <c r="CZ265" i="1" s="1"/>
  <c r="CZ287" i="1" a="1"/>
  <c r="CZ287" i="1" s="1"/>
  <c r="CZ217" i="1" a="1"/>
  <c r="CZ217" i="1" s="1"/>
  <c r="CZ269" i="1" a="1"/>
  <c r="CZ269" i="1" s="1"/>
  <c r="CZ255" i="1" a="1"/>
  <c r="CZ255" i="1" s="1"/>
  <c r="CZ268" i="1" a="1"/>
  <c r="CZ268" i="1" s="1"/>
  <c r="CZ290" i="1" a="1"/>
  <c r="CZ290" i="1" s="1"/>
  <c r="CZ23" i="1" a="1"/>
  <c r="CZ23" i="1" s="1"/>
  <c r="CZ47" i="1" a="1"/>
  <c r="CZ47" i="1" s="1"/>
  <c r="CZ83" i="1" a="1"/>
  <c r="CZ83" i="1" s="1"/>
  <c r="CZ110" i="1" a="1"/>
  <c r="CZ110" i="1" s="1"/>
  <c r="CZ127" i="1" a="1"/>
  <c r="CZ127" i="1" s="1"/>
  <c r="CZ152" i="1" a="1"/>
  <c r="CZ152" i="1" s="1"/>
  <c r="CZ174" i="1" a="1"/>
  <c r="CZ174" i="1" s="1"/>
  <c r="CZ200" i="1" a="1"/>
  <c r="CZ200" i="1" s="1"/>
  <c r="CZ220" i="1" a="1"/>
  <c r="CZ220" i="1" s="1"/>
  <c r="CZ272" i="1" a="1"/>
  <c r="CZ272" i="1" s="1"/>
  <c r="CZ270" i="1" a="1"/>
  <c r="CZ270" i="1" s="1"/>
  <c r="CZ242" i="1" a="1"/>
  <c r="CZ242" i="1" s="1"/>
  <c r="CZ293" i="1" a="1"/>
  <c r="CZ293" i="1" s="1"/>
  <c r="CZ44" i="1" a="1"/>
  <c r="CZ44" i="1" s="1"/>
  <c r="CZ70" i="1" a="1"/>
  <c r="CZ70" i="1" s="1"/>
  <c r="CZ105" i="1" a="1"/>
  <c r="CZ105" i="1" s="1"/>
  <c r="CZ136" i="1" a="1"/>
  <c r="CZ136" i="1" s="1"/>
  <c r="CZ157" i="1" a="1"/>
  <c r="CZ157" i="1" s="1"/>
  <c r="CZ186" i="1" a="1"/>
  <c r="CZ186" i="1" s="1"/>
  <c r="CZ212" i="1" a="1"/>
  <c r="CZ212" i="1" s="1"/>
  <c r="CZ249" i="1" a="1"/>
  <c r="CZ249" i="1" s="1"/>
  <c r="CZ274" i="1" a="1"/>
  <c r="CZ274" i="1" s="1"/>
  <c r="CZ296" i="1" a="1"/>
  <c r="CZ296" i="1" s="1"/>
  <c r="CZ31" i="1" a="1"/>
  <c r="CZ31" i="1" s="1"/>
  <c r="CZ24" i="1" a="1"/>
  <c r="CZ24" i="1" s="1"/>
  <c r="CZ41" i="1" a="1"/>
  <c r="CZ41" i="1" s="1"/>
  <c r="CZ33" i="1" a="1"/>
  <c r="CZ33" i="1" s="1"/>
  <c r="CZ49" i="1" a="1"/>
  <c r="CZ49" i="1" s="1"/>
  <c r="CZ50" i="1" a="1"/>
  <c r="CZ50" i="1" s="1"/>
  <c r="CZ60" i="1" a="1"/>
  <c r="CZ60" i="1" s="1"/>
  <c r="CZ68" i="1" a="1"/>
  <c r="CZ68" i="1" s="1"/>
  <c r="CZ71" i="1" a="1"/>
  <c r="CZ71" i="1" s="1"/>
  <c r="CZ80" i="1" a="1"/>
  <c r="CZ80" i="1" s="1"/>
  <c r="CZ92" i="1" a="1"/>
  <c r="CZ92" i="1" s="1"/>
  <c r="CZ94" i="1" a="1"/>
  <c r="CZ94" i="1" s="1"/>
  <c r="CZ99" i="1" a="1"/>
  <c r="CZ99" i="1" s="1"/>
  <c r="CZ107" i="1" a="1"/>
  <c r="CZ107" i="1" s="1"/>
  <c r="CZ100" i="1" a="1"/>
  <c r="CZ100" i="1" s="1"/>
  <c r="CZ115" i="1" a="1"/>
  <c r="CZ115" i="1" s="1"/>
  <c r="CZ124" i="1" a="1"/>
  <c r="CZ124" i="1" s="1"/>
  <c r="CZ135" i="1" a="1"/>
  <c r="CZ135" i="1" s="1"/>
  <c r="CZ128" i="1" a="1"/>
  <c r="CZ128" i="1" s="1"/>
  <c r="CZ148" i="1" a="1"/>
  <c r="CZ148" i="1" s="1"/>
  <c r="CZ150" i="1" a="1"/>
  <c r="CZ150" i="1" s="1"/>
  <c r="CZ143" i="1" a="1"/>
  <c r="CZ143" i="1" s="1"/>
  <c r="CZ162" i="1" a="1"/>
  <c r="CZ162" i="1" s="1"/>
  <c r="CZ167" i="1" a="1"/>
  <c r="CZ167" i="1" s="1"/>
  <c r="CZ168" i="1" a="1"/>
  <c r="CZ168" i="1" s="1"/>
  <c r="CZ176" i="1" a="1"/>
  <c r="CZ176" i="1" s="1"/>
  <c r="CZ178" i="1" a="1"/>
  <c r="CZ178" i="1" s="1"/>
  <c r="CZ197" i="1" a="1"/>
  <c r="CZ197" i="1" s="1"/>
  <c r="CZ210" i="1" a="1"/>
  <c r="CZ210" i="1" s="1"/>
  <c r="CZ208" i="1" a="1"/>
  <c r="CZ208" i="1" s="1"/>
  <c r="CZ202" i="1" a="1"/>
  <c r="CZ202" i="1" s="1"/>
  <c r="CZ222" i="1" a="1"/>
  <c r="CZ222" i="1" s="1"/>
  <c r="CZ267" i="1" a="1"/>
  <c r="CZ267" i="1" s="1"/>
  <c r="CZ239" i="1" a="1"/>
  <c r="CZ239" i="1" s="1"/>
  <c r="CZ294" i="1" a="1"/>
  <c r="CZ294" i="1" s="1"/>
  <c r="CZ37" i="1" a="1"/>
  <c r="CZ37" i="1" s="1"/>
  <c r="CZ61" i="1" a="1"/>
  <c r="CZ61" i="1" s="1"/>
  <c r="CZ95" i="1" a="1"/>
  <c r="CZ95" i="1" s="1"/>
  <c r="CZ101" i="1" a="1"/>
  <c r="CZ101" i="1" s="1"/>
  <c r="CZ131" i="1" a="1"/>
  <c r="CZ131" i="1" s="1"/>
  <c r="CZ146" i="1" a="1"/>
  <c r="CZ146" i="1" s="1"/>
  <c r="CZ179" i="1" a="1"/>
  <c r="CZ179" i="1" s="1"/>
  <c r="CZ211" i="1" a="1"/>
  <c r="CZ211" i="1" s="1"/>
  <c r="CZ223" i="1" a="1"/>
  <c r="CZ223" i="1" s="1"/>
  <c r="CZ256" i="1" a="1"/>
  <c r="CZ256" i="1" s="1"/>
  <c r="CZ271" i="1" a="1"/>
  <c r="CZ271" i="1" s="1"/>
  <c r="CZ298" i="1" a="1"/>
  <c r="CZ298" i="1" s="1"/>
  <c r="CZ53" i="1" a="1"/>
  <c r="CZ53" i="1" s="1"/>
  <c r="CZ87" i="1" a="1"/>
  <c r="CZ87" i="1" s="1"/>
  <c r="CZ103" i="1" a="1"/>
  <c r="CZ103" i="1" s="1"/>
  <c r="CZ133" i="1" a="1"/>
  <c r="CZ133" i="1" s="1"/>
  <c r="CZ177" i="1" a="1"/>
  <c r="CZ177" i="1" s="1"/>
  <c r="CZ185" i="1" a="1"/>
  <c r="CZ185" i="1" s="1"/>
  <c r="CZ216" i="1" a="1"/>
  <c r="CZ216" i="1" s="1"/>
  <c r="CZ258" i="1" a="1"/>
  <c r="CZ258" i="1" s="1"/>
  <c r="CZ245" i="1" a="1"/>
  <c r="CZ245" i="1" s="1"/>
  <c r="CZ282" i="1" a="1"/>
  <c r="CZ282" i="1" s="1"/>
  <c r="DA33" i="1" a="1"/>
  <c r="DA33" i="1" s="1"/>
  <c r="DA72" i="1" a="1"/>
  <c r="DA72" i="1" s="1"/>
  <c r="DA116" i="1" a="1"/>
  <c r="DA116" i="1" s="1"/>
  <c r="DA154" i="1" a="1"/>
  <c r="DA154" i="1" s="1"/>
  <c r="DA179" i="1" a="1"/>
  <c r="DA179" i="1" s="1"/>
  <c r="DA218" i="1" a="1"/>
  <c r="DA218" i="1" s="1"/>
  <c r="DA240" i="1" a="1"/>
  <c r="DA240" i="1" s="1"/>
  <c r="DA303" i="1" a="1"/>
  <c r="DA303" i="1" s="1"/>
  <c r="CO18" i="1"/>
  <c r="BR19" i="1"/>
  <c r="CO19" i="1" s="1"/>
  <c r="DA61" i="1" a="1"/>
  <c r="DA61" i="1" s="1"/>
  <c r="DA89" i="1" a="1"/>
  <c r="DA89" i="1" s="1"/>
  <c r="DA127" i="1" a="1"/>
  <c r="DA127" i="1" s="1"/>
  <c r="DA156" i="1" a="1"/>
  <c r="DA156" i="1" s="1"/>
  <c r="DA192" i="1" a="1"/>
  <c r="DA192" i="1" s="1"/>
  <c r="DA239" i="1" a="1"/>
  <c r="DA239" i="1" s="1"/>
  <c r="DA241" i="1" a="1"/>
  <c r="DA241" i="1" s="1"/>
  <c r="DA280" i="1" a="1"/>
  <c r="DA280" i="1" s="1"/>
  <c r="DA45" i="1" a="1"/>
  <c r="DA45" i="1" s="1"/>
  <c r="DA76" i="1" a="1"/>
  <c r="DA76" i="1" s="1"/>
  <c r="DA104" i="1" a="1"/>
  <c r="DA104" i="1" s="1"/>
  <c r="DA132" i="1" a="1"/>
  <c r="DA132" i="1" s="1"/>
  <c r="DA170" i="1" a="1"/>
  <c r="DA170" i="1" s="1"/>
  <c r="BW9" i="1"/>
  <c r="CT9" i="1" s="1"/>
  <c r="CT7" i="1"/>
  <c r="BV8" i="1"/>
  <c r="CS8" i="1" s="1"/>
  <c r="DA57" i="1" a="1"/>
  <c r="DA57" i="1" s="1"/>
  <c r="DA103" i="1" a="1"/>
  <c r="DA103" i="1" s="1"/>
  <c r="DA153" i="1" a="1"/>
  <c r="DA153" i="1" s="1"/>
  <c r="DA172" i="1" a="1"/>
  <c r="DA172" i="1" s="1"/>
  <c r="DA201" i="1" a="1"/>
  <c r="DA201" i="1" s="1"/>
  <c r="DA301" i="1" a="1"/>
  <c r="DA301" i="1" s="1"/>
  <c r="DA259" i="1" a="1"/>
  <c r="DA259" i="1" s="1"/>
  <c r="DA299" i="1" a="1"/>
  <c r="DA299" i="1" s="1"/>
  <c r="DA35" i="1" a="1"/>
  <c r="DA35" i="1" s="1"/>
  <c r="DA81" i="1" a="1"/>
  <c r="DA81" i="1" s="1"/>
  <c r="DA120" i="1" a="1"/>
  <c r="DA120" i="1" s="1"/>
  <c r="DA150" i="1" a="1"/>
  <c r="DA150" i="1" s="1"/>
  <c r="DA182" i="1" a="1"/>
  <c r="DA182" i="1" s="1"/>
  <c r="DA216" i="1" a="1"/>
  <c r="DA216" i="1" s="1"/>
  <c r="DA272" i="1" a="1"/>
  <c r="DA272" i="1" s="1"/>
  <c r="DA288" i="1" a="1"/>
  <c r="DA288" i="1" s="1"/>
  <c r="CU18" i="1"/>
  <c r="BX19" i="1"/>
  <c r="CU19" i="1" s="1"/>
  <c r="BS7" i="1"/>
  <c r="CQ6" i="1"/>
  <c r="BT10" i="1"/>
  <c r="CQ10" i="1" s="1"/>
  <c r="DA23" i="1" a="1"/>
  <c r="DA23" i="1" s="1"/>
  <c r="DA62" i="1" a="1"/>
  <c r="DA62" i="1" s="1"/>
  <c r="DA98" i="1" a="1"/>
  <c r="DA98" i="1" s="1"/>
  <c r="DA121" i="1" a="1"/>
  <c r="DA121" i="1" s="1"/>
  <c r="DA164" i="1" a="1"/>
  <c r="DA164" i="1" s="1"/>
  <c r="DA210" i="1" a="1"/>
  <c r="DA210" i="1" s="1"/>
  <c r="DA271" i="1" a="1"/>
  <c r="DA271" i="1" s="1"/>
  <c r="DA253" i="1" a="1"/>
  <c r="DA253" i="1" s="1"/>
  <c r="DA287" i="1" a="1"/>
  <c r="DA287" i="1" s="1"/>
  <c r="CM7" i="1"/>
  <c r="BO8" i="1"/>
  <c r="CL8" i="1" s="1"/>
  <c r="BP9" i="1"/>
  <c r="CM9" i="1" s="1"/>
  <c r="DA53" i="1" a="1"/>
  <c r="DA53" i="1" s="1"/>
  <c r="DA70" i="1" a="1"/>
  <c r="DA70" i="1" s="1"/>
  <c r="DA122" i="1" a="1"/>
  <c r="DA122" i="1" s="1"/>
  <c r="DA135" i="1" a="1"/>
  <c r="DA135" i="1" s="1"/>
  <c r="DA43" i="1" a="1"/>
  <c r="DA43" i="1" s="1"/>
  <c r="DA87" i="1" a="1"/>
  <c r="DA87" i="1" s="1"/>
  <c r="DA118" i="1" a="1"/>
  <c r="DA118" i="1" s="1"/>
  <c r="DA146" i="1" a="1"/>
  <c r="DA146" i="1" s="1"/>
  <c r="DA199" i="1" a="1"/>
  <c r="DA199" i="1" s="1"/>
  <c r="DA225" i="1" a="1"/>
  <c r="DA225" i="1" s="1"/>
  <c r="DA255" i="1" a="1"/>
  <c r="DA255" i="1" s="1"/>
  <c r="DA283" i="1" a="1"/>
  <c r="DA283" i="1" s="1"/>
  <c r="CS7" i="1"/>
  <c r="BU8" i="1"/>
  <c r="CR8" i="1" s="1"/>
  <c r="BV9" i="1"/>
  <c r="CS9" i="1" s="1"/>
  <c r="DA21" i="1" a="1"/>
  <c r="DA21" i="1" s="1"/>
  <c r="DA60" i="1" a="1"/>
  <c r="DA60" i="1" s="1"/>
  <c r="DA93" i="1" a="1"/>
  <c r="DA93" i="1" s="1"/>
  <c r="DA139" i="1" a="1"/>
  <c r="DA139" i="1" s="1"/>
  <c r="DA177" i="1" a="1"/>
  <c r="DA177" i="1" s="1"/>
  <c r="DA208" i="1" a="1"/>
  <c r="DA208" i="1" s="1"/>
  <c r="DA307" i="1" a="1"/>
  <c r="DA307" i="1" s="1"/>
  <c r="DA264" i="1" a="1"/>
  <c r="DA264" i="1" s="1"/>
  <c r="DA48" i="1" a="1"/>
  <c r="DA48" i="1" s="1"/>
  <c r="DA78" i="1" a="1"/>
  <c r="DA78" i="1" s="1"/>
  <c r="DA115" i="1" a="1"/>
  <c r="DA115" i="1" s="1"/>
  <c r="DA155" i="1" a="1"/>
  <c r="DA155" i="1" s="1"/>
  <c r="BU18" i="1"/>
  <c r="CR15" i="1"/>
  <c r="DA214" i="1" a="1"/>
  <c r="DA214" i="1" s="1"/>
  <c r="DA269" i="1" a="1"/>
  <c r="DA269" i="1" s="1"/>
  <c r="DA285" i="1" a="1"/>
  <c r="DA285" i="1" s="1"/>
  <c r="DA51" i="1" a="1"/>
  <c r="DA51" i="1" s="1"/>
  <c r="DA86" i="1" a="1"/>
  <c r="DA86" i="1" s="1"/>
  <c r="DA124" i="1" a="1"/>
  <c r="DA124" i="1" s="1"/>
  <c r="DA165" i="1" a="1"/>
  <c r="DA165" i="1" s="1"/>
  <c r="DA189" i="1" a="1"/>
  <c r="DA189" i="1" s="1"/>
  <c r="DA236" i="1" a="1"/>
  <c r="DA236" i="1" s="1"/>
  <c r="DA238" i="1" a="1"/>
  <c r="DA238" i="1" s="1"/>
  <c r="DA314" i="1" a="1"/>
  <c r="DA314" i="1" s="1"/>
  <c r="DA44" i="1" a="1"/>
  <c r="DA44" i="1" s="1"/>
  <c r="DA75" i="1" a="1"/>
  <c r="DA75" i="1" s="1"/>
  <c r="DA92" i="1" a="1"/>
  <c r="DA92" i="1" s="1"/>
  <c r="DA126" i="1" a="1"/>
  <c r="DA126" i="1" s="1"/>
  <c r="DA168" i="1" a="1"/>
  <c r="DA168" i="1" s="1"/>
  <c r="DA221" i="1" a="1"/>
  <c r="DA221" i="1" s="1"/>
  <c r="DA243" i="1" a="1"/>
  <c r="DA243" i="1" s="1"/>
  <c r="DA306" i="1" a="1"/>
  <c r="DA306" i="1" s="1"/>
  <c r="CA18" i="1"/>
  <c r="CX15" i="1"/>
  <c r="CN21" i="1" a="1"/>
  <c r="CN21" i="1" s="1"/>
  <c r="CN27" i="1" a="1"/>
  <c r="CN27" i="1" s="1"/>
  <c r="CN41" i="1" a="1"/>
  <c r="CN41" i="1" s="1"/>
  <c r="CN42" i="1" a="1"/>
  <c r="CN42" i="1" s="1"/>
  <c r="CN45" i="1" a="1"/>
  <c r="CN45" i="1" s="1"/>
  <c r="CN53" i="1" a="1"/>
  <c r="CN53" i="1" s="1"/>
  <c r="CN56" i="1" a="1"/>
  <c r="CN56" i="1" s="1"/>
  <c r="CN62" i="1" a="1"/>
  <c r="CN62" i="1" s="1"/>
  <c r="CN69" i="1" a="1"/>
  <c r="CN69" i="1" s="1"/>
  <c r="CN79" i="1" a="1"/>
  <c r="CN79" i="1" s="1"/>
  <c r="CN82" i="1" a="1"/>
  <c r="CN82" i="1" s="1"/>
  <c r="CN77" i="1" a="1"/>
  <c r="CN77" i="1" s="1"/>
  <c r="CN99" i="1" a="1"/>
  <c r="CN99" i="1" s="1"/>
  <c r="CN104" i="1" a="1"/>
  <c r="CN104" i="1" s="1"/>
  <c r="CN115" i="1" a="1"/>
  <c r="CN115" i="1" s="1"/>
  <c r="CN108" i="1" a="1"/>
  <c r="CN108" i="1" s="1"/>
  <c r="CN123" i="1" a="1"/>
  <c r="CN123" i="1" s="1"/>
  <c r="CN138" i="1" a="1"/>
  <c r="CN138" i="1" s="1"/>
  <c r="CN110" i="1" a="1"/>
  <c r="CN110" i="1" s="1"/>
  <c r="CN136" i="1" a="1"/>
  <c r="CN136" i="1" s="1"/>
  <c r="CN143" i="1" a="1"/>
  <c r="CN143" i="1" s="1"/>
  <c r="CN134" i="1" a="1"/>
  <c r="CN134" i="1" s="1"/>
  <c r="CN132" i="1" a="1"/>
  <c r="CN132" i="1" s="1"/>
  <c r="CN153" i="1" a="1"/>
  <c r="CN153" i="1" s="1"/>
  <c r="CN159" i="1" a="1"/>
  <c r="CN159" i="1" s="1"/>
  <c r="CN173" i="1" a="1"/>
  <c r="CN173" i="1" s="1"/>
  <c r="CN174" i="1" a="1"/>
  <c r="CN174" i="1" s="1"/>
  <c r="CN179" i="1" a="1"/>
  <c r="CN179" i="1" s="1"/>
  <c r="CN203" i="1" a="1"/>
  <c r="CN203" i="1" s="1"/>
  <c r="CN195" i="1" a="1"/>
  <c r="CN195" i="1" s="1"/>
  <c r="CN208" i="1" a="1"/>
  <c r="CN208" i="1" s="1"/>
  <c r="CN188" i="1" a="1"/>
  <c r="CN188" i="1" s="1"/>
  <c r="CN205" i="1" a="1"/>
  <c r="CN205" i="1" s="1"/>
  <c r="CN222" i="1" a="1"/>
  <c r="CN222" i="1" s="1"/>
  <c r="CN212" i="1" a="1"/>
  <c r="CN212" i="1" s="1"/>
  <c r="CN263" i="1" a="1"/>
  <c r="CN263" i="1" s="1"/>
  <c r="CN234" i="1" a="1"/>
  <c r="CN234" i="1" s="1"/>
  <c r="CN305" i="1" a="1"/>
  <c r="CN305" i="1" s="1"/>
  <c r="CN267" i="1" a="1"/>
  <c r="CN267" i="1" s="1"/>
  <c r="CN235" i="1" a="1"/>
  <c r="CN235" i="1" s="1"/>
  <c r="CN247" i="1" a="1"/>
  <c r="CN247" i="1" s="1"/>
  <c r="CN256" i="1" a="1"/>
  <c r="CN256" i="1" s="1"/>
  <c r="CN271" i="1" a="1"/>
  <c r="CN271" i="1" s="1"/>
  <c r="CN242" i="1" a="1"/>
  <c r="CN242" i="1" s="1"/>
  <c r="CN301" i="1" a="1"/>
  <c r="CN301" i="1" s="1"/>
  <c r="CN278" i="1" a="1"/>
  <c r="CN278" i="1" s="1"/>
  <c r="CN298" i="1" a="1"/>
  <c r="CN298" i="1" s="1"/>
  <c r="CN296" i="1" a="1"/>
  <c r="CN296" i="1" s="1"/>
  <c r="CN291" i="1" a="1"/>
  <c r="CN291" i="1" s="1"/>
  <c r="DA46" i="1" a="1"/>
  <c r="DA46" i="1" s="1"/>
  <c r="DA85" i="1" a="1"/>
  <c r="DA85" i="1" s="1"/>
  <c r="DA130" i="1" a="1"/>
  <c r="DA130" i="1" s="1"/>
  <c r="DA159" i="1" a="1"/>
  <c r="DA159" i="1" s="1"/>
  <c r="BQ9" i="1"/>
  <c r="CN9" i="1" s="1"/>
  <c r="CN7" i="1"/>
  <c r="CN23" i="1" s="1" a="1"/>
  <c r="CN23" i="1" s="1"/>
  <c r="BP8" i="1"/>
  <c r="CM8" i="1" s="1"/>
  <c r="DA205" i="1" a="1"/>
  <c r="DA205" i="1" s="1"/>
  <c r="DA252" i="1" a="1"/>
  <c r="DA252" i="1" s="1"/>
  <c r="DA313" i="1" a="1"/>
  <c r="DA313" i="1" s="1"/>
  <c r="CY7" i="1"/>
  <c r="CA8" i="1"/>
  <c r="CX8" i="1" s="1"/>
  <c r="CB9" i="1"/>
  <c r="CY9" i="1" s="1"/>
  <c r="DA22" i="1" a="1"/>
  <c r="DA22" i="1" s="1"/>
  <c r="DA63" i="1" a="1"/>
  <c r="DA63" i="1" s="1"/>
  <c r="DA97" i="1" a="1"/>
  <c r="DA97" i="1" s="1"/>
  <c r="DA109" i="1" a="1"/>
  <c r="DA109" i="1" s="1"/>
  <c r="DA161" i="1" a="1"/>
  <c r="DA161" i="1" s="1"/>
  <c r="DA207" i="1" a="1"/>
  <c r="DA207" i="1" s="1"/>
  <c r="DA268" i="1" a="1"/>
  <c r="DA268" i="1" s="1"/>
  <c r="DA251" i="1" a="1"/>
  <c r="DA251" i="1" s="1"/>
  <c r="DA284" i="1" a="1"/>
  <c r="DA284" i="1" s="1"/>
  <c r="BS19" i="1"/>
  <c r="CP19" i="1" s="1"/>
  <c r="CP18" i="1"/>
  <c r="CT28" i="1" a="1"/>
  <c r="CT28" i="1" s="1"/>
  <c r="CT41" i="1" a="1"/>
  <c r="CT41" i="1" s="1"/>
  <c r="CT42" i="1" a="1"/>
  <c r="CT42" i="1" s="1"/>
  <c r="CT40" i="1" a="1"/>
  <c r="CT40" i="1" s="1"/>
  <c r="CT54" i="1" a="1"/>
  <c r="CT54" i="1" s="1"/>
  <c r="CT52" i="1" a="1"/>
  <c r="CT52" i="1" s="1"/>
  <c r="CT61" i="1" a="1"/>
  <c r="CT61" i="1" s="1"/>
  <c r="CT75" i="1" a="1"/>
  <c r="CT75" i="1" s="1"/>
  <c r="CT74" i="1" a="1"/>
  <c r="CT74" i="1" s="1"/>
  <c r="CT83" i="1" a="1"/>
  <c r="CT83" i="1" s="1"/>
  <c r="CT77" i="1" a="1"/>
  <c r="CT77" i="1" s="1"/>
  <c r="CT84" i="1" a="1"/>
  <c r="CT84" i="1" s="1"/>
  <c r="CT99" i="1" a="1"/>
  <c r="CT99" i="1" s="1"/>
  <c r="CT100" i="1" a="1"/>
  <c r="CT100" i="1" s="1"/>
  <c r="CT117" i="1" a="1"/>
  <c r="CT117" i="1" s="1"/>
  <c r="CT129" i="1" a="1"/>
  <c r="CT129" i="1" s="1"/>
  <c r="CT141" i="1" a="1"/>
  <c r="CT141" i="1" s="1"/>
  <c r="CT143" i="1" a="1"/>
  <c r="CT143" i="1" s="1"/>
  <c r="CT182" i="1" a="1"/>
  <c r="CT182" i="1" s="1"/>
  <c r="CT205" i="1" a="1"/>
  <c r="CT205" i="1" s="1"/>
  <c r="CT261" i="1" a="1"/>
  <c r="CT261" i="1" s="1"/>
  <c r="CT287" i="1" a="1"/>
  <c r="CT287" i="1" s="1"/>
  <c r="CT31" i="1" a="1"/>
  <c r="CT31" i="1" s="1"/>
  <c r="CT27" i="1" a="1"/>
  <c r="CT27" i="1" s="1"/>
  <c r="CT43" i="1" a="1"/>
  <c r="CT43" i="1" s="1"/>
  <c r="CT44" i="1" a="1"/>
  <c r="CT44" i="1" s="1"/>
  <c r="CT48" i="1" a="1"/>
  <c r="CT48" i="1" s="1"/>
  <c r="CT53" i="1" a="1"/>
  <c r="CT53" i="1" s="1"/>
  <c r="CT62" i="1" a="1"/>
  <c r="CT62" i="1" s="1"/>
  <c r="CT66" i="1" a="1"/>
  <c r="CT66" i="1" s="1"/>
  <c r="CT79" i="1" a="1"/>
  <c r="CT79" i="1" s="1"/>
  <c r="CT82" i="1" a="1"/>
  <c r="CT82" i="1" s="1"/>
  <c r="CT98" i="1" a="1"/>
  <c r="CT98" i="1" s="1"/>
  <c r="CT85" i="1" a="1"/>
  <c r="CT85" i="1" s="1"/>
  <c r="CT102" i="1" a="1"/>
  <c r="CT102" i="1" s="1"/>
  <c r="CT101" i="1" a="1"/>
  <c r="CT101" i="1" s="1"/>
  <c r="CT92" i="1" a="1"/>
  <c r="CT92" i="1" s="1"/>
  <c r="CT122" i="1" a="1"/>
  <c r="CT122" i="1" s="1"/>
  <c r="CT116" i="1" a="1"/>
  <c r="CT116" i="1" s="1"/>
  <c r="CT120" i="1" a="1"/>
  <c r="CT120" i="1" s="1"/>
  <c r="CT131" i="1" a="1"/>
  <c r="CT131" i="1" s="1"/>
  <c r="CT152" i="1" a="1"/>
  <c r="CT152" i="1" s="1"/>
  <c r="CT144" i="1" a="1"/>
  <c r="CT144" i="1" s="1"/>
  <c r="CT146" i="1" a="1"/>
  <c r="CT146" i="1" s="1"/>
  <c r="CT163" i="1" a="1"/>
  <c r="CT163" i="1" s="1"/>
  <c r="CT158" i="1" a="1"/>
  <c r="CT158" i="1" s="1"/>
  <c r="CT178" i="1" a="1"/>
  <c r="CT178" i="1" s="1"/>
  <c r="CT180" i="1" a="1"/>
  <c r="CT180" i="1" s="1"/>
  <c r="CT169" i="1" a="1"/>
  <c r="CT169" i="1" s="1"/>
  <c r="CT200" i="1" a="1"/>
  <c r="CT200" i="1" s="1"/>
  <c r="CT198" i="1" a="1"/>
  <c r="CT198" i="1" s="1"/>
  <c r="CT190" i="1" a="1"/>
  <c r="CT190" i="1" s="1"/>
  <c r="CT191" i="1" a="1"/>
  <c r="CT191" i="1" s="1"/>
  <c r="CT223" i="1" a="1"/>
  <c r="CT223" i="1" s="1"/>
  <c r="CT218" i="1" a="1"/>
  <c r="CT218" i="1" s="1"/>
  <c r="CT220" i="1" a="1"/>
  <c r="CT220" i="1" s="1"/>
  <c r="CT247" i="1" a="1"/>
  <c r="CT247" i="1" s="1"/>
  <c r="CT256" i="1" a="1"/>
  <c r="CT256" i="1" s="1"/>
  <c r="CT269" i="1" a="1"/>
  <c r="CT269" i="1" s="1"/>
  <c r="CT240" i="1" a="1"/>
  <c r="CT240" i="1" s="1"/>
  <c r="CT257" i="1" a="1"/>
  <c r="CT257" i="1" s="1"/>
  <c r="CT264" i="1" a="1"/>
  <c r="CT264" i="1" s="1"/>
  <c r="CT232" i="1" a="1"/>
  <c r="CT232" i="1" s="1"/>
  <c r="CT306" i="1" a="1"/>
  <c r="CT306" i="1" s="1"/>
  <c r="CT274" i="1" a="1"/>
  <c r="CT274" i="1" s="1"/>
  <c r="CT245" i="1" a="1"/>
  <c r="CT245" i="1" s="1"/>
  <c r="CT283" i="1" a="1"/>
  <c r="CT283" i="1" s="1"/>
  <c r="CT309" i="1" a="1"/>
  <c r="CT309" i="1" s="1"/>
  <c r="CT290" i="1" a="1"/>
  <c r="CT290" i="1" s="1"/>
  <c r="CT282" i="1" a="1"/>
  <c r="CT282" i="1" s="1"/>
  <c r="CT300" i="1" a="1"/>
  <c r="CT300" i="1" s="1"/>
  <c r="CT37" i="1" a="1"/>
  <c r="CT37" i="1" s="1"/>
  <c r="CT148" i="1" a="1"/>
  <c r="CT148" i="1" s="1"/>
  <c r="CT179" i="1" a="1"/>
  <c r="CT179" i="1" s="1"/>
  <c r="CT215" i="1" a="1"/>
  <c r="CT215" i="1" s="1"/>
  <c r="CT234" i="1" a="1"/>
  <c r="CT234" i="1" s="1"/>
  <c r="CT268" i="1" a="1"/>
  <c r="CT268" i="1" s="1"/>
  <c r="CT280" i="1" a="1"/>
  <c r="CT280" i="1" s="1"/>
  <c r="CT151" i="1" a="1"/>
  <c r="CT151" i="1" s="1"/>
  <c r="CT177" i="1" a="1"/>
  <c r="CT177" i="1" s="1"/>
  <c r="CT188" i="1" a="1"/>
  <c r="CT188" i="1" s="1"/>
  <c r="CT255" i="1" a="1"/>
  <c r="CT255" i="1" s="1"/>
  <c r="CT279" i="1" a="1"/>
  <c r="CT279" i="1" s="1"/>
  <c r="CT314" i="1" a="1"/>
  <c r="CT314" i="1" s="1"/>
  <c r="CT30" i="1" a="1"/>
  <c r="CT30" i="1" s="1"/>
  <c r="CT21" i="1" a="1"/>
  <c r="CT21" i="1" s="1"/>
  <c r="CT32" i="1" a="1"/>
  <c r="CT32" i="1" s="1"/>
  <c r="CT51" i="1" a="1"/>
  <c r="CT51" i="1" s="1"/>
  <c r="CT45" i="1" a="1"/>
  <c r="CT45" i="1" s="1"/>
  <c r="CT55" i="1" a="1"/>
  <c r="CT55" i="1" s="1"/>
  <c r="CT57" i="1" a="1"/>
  <c r="CT57" i="1" s="1"/>
  <c r="CT63" i="1" a="1"/>
  <c r="CT63" i="1" s="1"/>
  <c r="CT72" i="1" a="1"/>
  <c r="CT72" i="1" s="1"/>
  <c r="CT71" i="1" a="1"/>
  <c r="CT71" i="1" s="1"/>
  <c r="CT87" i="1" a="1"/>
  <c r="CT87" i="1" s="1"/>
  <c r="CT86" i="1" a="1"/>
  <c r="CT86" i="1" s="1"/>
  <c r="CT88" i="1" a="1"/>
  <c r="CT88" i="1" s="1"/>
  <c r="CT95" i="1" a="1"/>
  <c r="CT95" i="1" s="1"/>
  <c r="CT105" i="1" a="1"/>
  <c r="CT105" i="1" s="1"/>
  <c r="CT104" i="1" a="1"/>
  <c r="CT104" i="1" s="1"/>
  <c r="CT125" i="1" a="1"/>
  <c r="CT125" i="1" s="1"/>
  <c r="CT124" i="1" a="1"/>
  <c r="CT124" i="1" s="1"/>
  <c r="CT123" i="1" a="1"/>
  <c r="CT123" i="1" s="1"/>
  <c r="CT139" i="1" a="1"/>
  <c r="CT139" i="1" s="1"/>
  <c r="CT155" i="1" a="1"/>
  <c r="CT155" i="1" s="1"/>
  <c r="CT147" i="1" a="1"/>
  <c r="CT147" i="1" s="1"/>
  <c r="CT149" i="1" a="1"/>
  <c r="CT149" i="1" s="1"/>
  <c r="CT166" i="1" a="1"/>
  <c r="CT166" i="1" s="1"/>
  <c r="CT161" i="1" a="1"/>
  <c r="CT161" i="1" s="1"/>
  <c r="CT181" i="1" a="1"/>
  <c r="CT181" i="1" s="1"/>
  <c r="CT170" i="1" a="1"/>
  <c r="CT170" i="1" s="1"/>
  <c r="CT171" i="1" a="1"/>
  <c r="CT171" i="1" s="1"/>
  <c r="CT186" i="1" a="1"/>
  <c r="CT186" i="1" s="1"/>
  <c r="CT201" i="1" a="1"/>
  <c r="CT201" i="1" s="1"/>
  <c r="CT193" i="1" a="1"/>
  <c r="CT193" i="1" s="1"/>
  <c r="CT206" i="1" a="1"/>
  <c r="CT206" i="1" s="1"/>
  <c r="CT226" i="1" a="1"/>
  <c r="CT226" i="1" s="1"/>
  <c r="CT219" i="1" a="1"/>
  <c r="CT219" i="1" s="1"/>
  <c r="CT224" i="1" a="1"/>
  <c r="CT224" i="1" s="1"/>
  <c r="CT249" i="1" a="1"/>
  <c r="CT249" i="1" s="1"/>
  <c r="CT258" i="1" a="1"/>
  <c r="CT258" i="1" s="1"/>
  <c r="CT272" i="1" a="1"/>
  <c r="CT272" i="1" s="1"/>
  <c r="CT243" i="1" a="1"/>
  <c r="CT243" i="1" s="1"/>
  <c r="CT302" i="1" a="1"/>
  <c r="CT302" i="1" s="1"/>
  <c r="CT267" i="1" a="1"/>
  <c r="CT267" i="1" s="1"/>
  <c r="CT235" i="1" a="1"/>
  <c r="CT235" i="1" s="1"/>
  <c r="CT230" i="1" a="1"/>
  <c r="CT230" i="1" s="1"/>
  <c r="CT277" i="1" a="1"/>
  <c r="CT277" i="1" s="1"/>
  <c r="CT301" i="1" a="1"/>
  <c r="CT301" i="1" s="1"/>
  <c r="CT286" i="1" a="1"/>
  <c r="CT286" i="1" s="1"/>
  <c r="CT312" i="1" a="1"/>
  <c r="CT312" i="1" s="1"/>
  <c r="CT293" i="1" a="1"/>
  <c r="CT293" i="1" s="1"/>
  <c r="CT285" i="1" a="1"/>
  <c r="CT285" i="1" s="1"/>
  <c r="CT36" i="1" a="1"/>
  <c r="CT36" i="1" s="1"/>
  <c r="CT60" i="1" a="1"/>
  <c r="CT60" i="1" s="1"/>
  <c r="CT80" i="1" a="1"/>
  <c r="CT80" i="1" s="1"/>
  <c r="CT97" i="1" a="1"/>
  <c r="CT97" i="1" s="1"/>
  <c r="CT107" i="1" a="1"/>
  <c r="CT107" i="1" s="1"/>
  <c r="CT133" i="1" a="1"/>
  <c r="CT133" i="1" s="1"/>
  <c r="CT140" i="1" a="1"/>
  <c r="CT140" i="1" s="1"/>
  <c r="CT168" i="1" a="1"/>
  <c r="CT168" i="1" s="1"/>
  <c r="CT194" i="1" a="1"/>
  <c r="CT194" i="1" s="1"/>
  <c r="CT202" i="1" a="1"/>
  <c r="CT202" i="1" s="1"/>
  <c r="CT204" i="1" a="1"/>
  <c r="CT204" i="1" s="1"/>
  <c r="CT251" i="1" a="1"/>
  <c r="CT251" i="1" s="1"/>
  <c r="CT244" i="1" a="1"/>
  <c r="CT244" i="1" s="1"/>
  <c r="CT295" i="1" a="1"/>
  <c r="CT295" i="1" s="1"/>
  <c r="CT119" i="1" a="1"/>
  <c r="CT119" i="1" s="1"/>
  <c r="CT175" i="1" a="1"/>
  <c r="CT175" i="1" s="1"/>
  <c r="CT211" i="1" a="1"/>
  <c r="CT211" i="1" s="1"/>
  <c r="CT217" i="1" a="1"/>
  <c r="CT217" i="1" s="1"/>
  <c r="CT266" i="1" a="1"/>
  <c r="CT266" i="1" s="1"/>
  <c r="CT303" i="1" a="1"/>
  <c r="CT303" i="1" s="1"/>
  <c r="CT298" i="1" a="1"/>
  <c r="CT298" i="1" s="1"/>
  <c r="CT23" i="1" a="1"/>
  <c r="CT23" i="1" s="1"/>
  <c r="CT24" i="1" a="1"/>
  <c r="CT24" i="1" s="1"/>
  <c r="CT34" i="1" a="1"/>
  <c r="CT34" i="1" s="1"/>
  <c r="CT35" i="1" a="1"/>
  <c r="CT35" i="1" s="1"/>
  <c r="CT33" i="1" a="1"/>
  <c r="CT33" i="1" s="1"/>
  <c r="CT59" i="1" a="1"/>
  <c r="CT59" i="1" s="1"/>
  <c r="CT56" i="1" a="1"/>
  <c r="CT56" i="1" s="1"/>
  <c r="CT65" i="1" a="1"/>
  <c r="CT65" i="1" s="1"/>
  <c r="CT78" i="1" a="1"/>
  <c r="CT78" i="1" s="1"/>
  <c r="CT70" i="1" a="1"/>
  <c r="CT70" i="1" s="1"/>
  <c r="CT90" i="1" a="1"/>
  <c r="CT90" i="1" s="1"/>
  <c r="CT89" i="1" a="1"/>
  <c r="CT89" i="1" s="1"/>
  <c r="CT91" i="1" a="1"/>
  <c r="CT91" i="1" s="1"/>
  <c r="CT103" i="1" a="1"/>
  <c r="CT103" i="1" s="1"/>
  <c r="CT108" i="1" a="1"/>
  <c r="CT108" i="1" s="1"/>
  <c r="CT118" i="1" a="1"/>
  <c r="CT118" i="1" s="1"/>
  <c r="CT135" i="1" a="1"/>
  <c r="CT135" i="1" s="1"/>
  <c r="CT127" i="1" a="1"/>
  <c r="CT127" i="1" s="1"/>
  <c r="CT113" i="1" a="1"/>
  <c r="CT113" i="1" s="1"/>
  <c r="CT142" i="1" a="1"/>
  <c r="CT142" i="1" s="1"/>
  <c r="CT137" i="1" a="1"/>
  <c r="CT137" i="1" s="1"/>
  <c r="CT150" i="1" a="1"/>
  <c r="CT150" i="1" s="1"/>
  <c r="CT153" i="1" a="1"/>
  <c r="CT153" i="1" s="1"/>
  <c r="CT156" i="1" a="1"/>
  <c r="CT156" i="1" s="1"/>
  <c r="CT164" i="1" a="1"/>
  <c r="CT164" i="1" s="1"/>
  <c r="CT172" i="1" a="1"/>
  <c r="CT172" i="1" s="1"/>
  <c r="CT173" i="1" a="1"/>
  <c r="CT173" i="1" s="1"/>
  <c r="CT183" i="1" a="1"/>
  <c r="CT183" i="1" s="1"/>
  <c r="CT189" i="1" a="1"/>
  <c r="CT189" i="1" s="1"/>
  <c r="CT187" i="1" a="1"/>
  <c r="CT187" i="1" s="1"/>
  <c r="CT196" i="1" a="1"/>
  <c r="CT196" i="1" s="1"/>
  <c r="CT209" i="1" a="1"/>
  <c r="CT209" i="1" s="1"/>
  <c r="CT229" i="1" a="1"/>
  <c r="CT229" i="1" s="1"/>
  <c r="CT221" i="1" a="1"/>
  <c r="CT221" i="1" s="1"/>
  <c r="CT227" i="1" a="1"/>
  <c r="CT227" i="1" s="1"/>
  <c r="CT250" i="1" a="1"/>
  <c r="CT250" i="1" s="1"/>
  <c r="CT259" i="1" a="1"/>
  <c r="CT259" i="1" s="1"/>
  <c r="CT275" i="1" a="1"/>
  <c r="CT275" i="1" s="1"/>
  <c r="CT246" i="1" a="1"/>
  <c r="CT246" i="1" s="1"/>
  <c r="CT305" i="1" a="1"/>
  <c r="CT305" i="1" s="1"/>
  <c r="CT270" i="1" a="1"/>
  <c r="CT270" i="1" s="1"/>
  <c r="CT238" i="1" a="1"/>
  <c r="CT238" i="1" s="1"/>
  <c r="CT262" i="1" a="1"/>
  <c r="CT262" i="1" s="1"/>
  <c r="CT233" i="1" a="1"/>
  <c r="CT233" i="1" s="1"/>
  <c r="CT304" i="1" a="1"/>
  <c r="CT304" i="1" s="1"/>
  <c r="CT289" i="1" a="1"/>
  <c r="CT289" i="1" s="1"/>
  <c r="CT278" i="1" a="1"/>
  <c r="CT278" i="1" s="1"/>
  <c r="CT296" i="1" a="1"/>
  <c r="CT296" i="1" s="1"/>
  <c r="CT288" i="1" a="1"/>
  <c r="CT288" i="1" s="1"/>
  <c r="CT22" i="1" a="1"/>
  <c r="CT22" i="1" s="1"/>
  <c r="CT49" i="1" a="1"/>
  <c r="CT49" i="1" s="1"/>
  <c r="CT67" i="1" a="1"/>
  <c r="CT67" i="1" s="1"/>
  <c r="CT96" i="1" a="1"/>
  <c r="CT96" i="1" s="1"/>
  <c r="CT109" i="1" a="1"/>
  <c r="CT109" i="1" s="1"/>
  <c r="CT110" i="1" a="1"/>
  <c r="CT110" i="1" s="1"/>
  <c r="CT134" i="1" a="1"/>
  <c r="CT134" i="1" s="1"/>
  <c r="CT162" i="1" a="1"/>
  <c r="CT162" i="1" s="1"/>
  <c r="CT210" i="1" a="1"/>
  <c r="CT210" i="1" s="1"/>
  <c r="CT228" i="1" a="1"/>
  <c r="CT228" i="1" s="1"/>
  <c r="CT253" i="1" a="1"/>
  <c r="CT253" i="1" s="1"/>
  <c r="CT311" i="1" a="1"/>
  <c r="CT311" i="1" s="1"/>
  <c r="CT239" i="1" a="1"/>
  <c r="CT239" i="1" s="1"/>
  <c r="CT284" i="1" a="1"/>
  <c r="CT284" i="1" s="1"/>
  <c r="CT115" i="1" a="1"/>
  <c r="CT115" i="1" s="1"/>
  <c r="CT160" i="1" a="1"/>
  <c r="CT160" i="1" s="1"/>
  <c r="CT197" i="1" a="1"/>
  <c r="CT197" i="1" s="1"/>
  <c r="CT216" i="1" a="1"/>
  <c r="CT216" i="1" s="1"/>
  <c r="CT237" i="1" a="1"/>
  <c r="CT237" i="1" s="1"/>
  <c r="CT271" i="1" a="1"/>
  <c r="CT271" i="1" s="1"/>
  <c r="CT313" i="1" a="1"/>
  <c r="CT313" i="1" s="1"/>
  <c r="CT25" i="1" a="1"/>
  <c r="CT25" i="1" s="1"/>
  <c r="CT29" i="1" a="1"/>
  <c r="CT29" i="1" s="1"/>
  <c r="CT38" i="1" a="1"/>
  <c r="CT38" i="1" s="1"/>
  <c r="CT39" i="1" a="1"/>
  <c r="CT39" i="1" s="1"/>
  <c r="CT46" i="1" a="1"/>
  <c r="CT46" i="1" s="1"/>
  <c r="CT50" i="1" a="1"/>
  <c r="CT50" i="1" s="1"/>
  <c r="CT58" i="1" a="1"/>
  <c r="CT58" i="1" s="1"/>
  <c r="CT68" i="1" a="1"/>
  <c r="CT68" i="1" s="1"/>
  <c r="CT64" i="1" a="1"/>
  <c r="CT64" i="1" s="1"/>
  <c r="CT73" i="1" a="1"/>
  <c r="CT73" i="1" s="1"/>
  <c r="CT93" i="1" a="1"/>
  <c r="CT93" i="1" s="1"/>
  <c r="CT76" i="1" a="1"/>
  <c r="CT76" i="1" s="1"/>
  <c r="CT94" i="1" a="1"/>
  <c r="CT94" i="1" s="1"/>
  <c r="CT106" i="1" a="1"/>
  <c r="CT106" i="1" s="1"/>
  <c r="CT111" i="1" a="1"/>
  <c r="CT111" i="1" s="1"/>
  <c r="CT121" i="1" a="1"/>
  <c r="CT121" i="1" s="1"/>
  <c r="CT138" i="1" a="1"/>
  <c r="CT138" i="1" s="1"/>
  <c r="CT130" i="1" a="1"/>
  <c r="CT130" i="1" s="1"/>
  <c r="CT136" i="1" a="1"/>
  <c r="CT136" i="1" s="1"/>
  <c r="CT145" i="1" a="1"/>
  <c r="CT145" i="1" s="1"/>
  <c r="CT132" i="1" a="1"/>
  <c r="CT132" i="1" s="1"/>
  <c r="CT128" i="1" a="1"/>
  <c r="CT128" i="1" s="1"/>
  <c r="CT154" i="1" a="1"/>
  <c r="CT154" i="1" s="1"/>
  <c r="CT159" i="1" a="1"/>
  <c r="CT159" i="1" s="1"/>
  <c r="CT165" i="1" a="1"/>
  <c r="CT165" i="1" s="1"/>
  <c r="CT184" i="1" a="1"/>
  <c r="CT184" i="1" s="1"/>
  <c r="CT176" i="1" a="1"/>
  <c r="CT176" i="1" s="1"/>
  <c r="CT185" i="1" a="1"/>
  <c r="CT185" i="1" s="1"/>
  <c r="CT207" i="1" a="1"/>
  <c r="CT207" i="1" s="1"/>
  <c r="CT192" i="1" a="1"/>
  <c r="CT192" i="1" s="1"/>
  <c r="CT199" i="1" a="1"/>
  <c r="CT199" i="1" s="1"/>
  <c r="CT225" i="1" a="1"/>
  <c r="CT225" i="1" s="1"/>
  <c r="CT212" i="1" a="1"/>
  <c r="CT212" i="1" s="1"/>
  <c r="CT222" i="1" a="1"/>
  <c r="CT222" i="1" s="1"/>
  <c r="CT203" i="1" a="1"/>
  <c r="CT203" i="1" s="1"/>
  <c r="CT252" i="1" a="1"/>
  <c r="CT252" i="1" s="1"/>
  <c r="CT260" i="1" a="1"/>
  <c r="CT260" i="1" s="1"/>
  <c r="CT231" i="1" a="1"/>
  <c r="CT231" i="1" s="1"/>
  <c r="CT248" i="1" a="1"/>
  <c r="CT248" i="1" s="1"/>
  <c r="CT308" i="1" a="1"/>
  <c r="CT308" i="1" s="1"/>
  <c r="CT273" i="1" a="1"/>
  <c r="CT273" i="1" s="1"/>
  <c r="CT241" i="1" a="1"/>
  <c r="CT241" i="1" s="1"/>
  <c r="CT265" i="1" a="1"/>
  <c r="CT265" i="1" s="1"/>
  <c r="CT236" i="1" a="1"/>
  <c r="CT236" i="1" s="1"/>
  <c r="CT307" i="1" a="1"/>
  <c r="CT307" i="1" s="1"/>
  <c r="CT292" i="1" a="1"/>
  <c r="CT292" i="1" s="1"/>
  <c r="CT281" i="1" a="1"/>
  <c r="CT281" i="1" s="1"/>
  <c r="CT299" i="1" a="1"/>
  <c r="CT299" i="1" s="1"/>
  <c r="CT291" i="1" a="1"/>
  <c r="CT291" i="1" s="1"/>
  <c r="CT26" i="1" a="1"/>
  <c r="CT26" i="1" s="1"/>
  <c r="CT47" i="1" a="1"/>
  <c r="CT47" i="1" s="1"/>
  <c r="CT69" i="1" a="1"/>
  <c r="CT69" i="1" s="1"/>
  <c r="CT81" i="1" a="1"/>
  <c r="CT81" i="1" s="1"/>
  <c r="CT114" i="1" a="1"/>
  <c r="CT114" i="1" s="1"/>
  <c r="CT126" i="1" a="1"/>
  <c r="CT126" i="1" s="1"/>
  <c r="CT157" i="1" a="1"/>
  <c r="CT157" i="1" s="1"/>
  <c r="CT174" i="1" a="1"/>
  <c r="CT174" i="1" s="1"/>
  <c r="CT208" i="1" a="1"/>
  <c r="CT208" i="1" s="1"/>
  <c r="CT214" i="1" a="1"/>
  <c r="CT214" i="1" s="1"/>
  <c r="CT263" i="1" a="1"/>
  <c r="CT263" i="1" s="1"/>
  <c r="CT276" i="1" a="1"/>
  <c r="CT276" i="1" s="1"/>
  <c r="CT310" i="1" a="1"/>
  <c r="CT310" i="1" s="1"/>
  <c r="CT294" i="1" a="1"/>
  <c r="CT294" i="1" s="1"/>
  <c r="CT112" i="1" a="1"/>
  <c r="CT112" i="1" s="1"/>
  <c r="CT167" i="1" a="1"/>
  <c r="CT167" i="1" s="1"/>
  <c r="CT195" i="1" a="1"/>
  <c r="CT195" i="1" s="1"/>
  <c r="CT213" i="1" a="1"/>
  <c r="CT213" i="1" s="1"/>
  <c r="CT254" i="1" a="1"/>
  <c r="CT254" i="1" s="1"/>
  <c r="CT242" i="1" a="1"/>
  <c r="CT242" i="1" s="1"/>
  <c r="CT297" i="1" a="1"/>
  <c r="CT297" i="1" s="1"/>
  <c r="BY7" i="1"/>
  <c r="CW6" i="1"/>
  <c r="BZ10" i="1"/>
  <c r="CW10" i="1" s="1"/>
  <c r="DA41" i="1" a="1"/>
  <c r="DA41" i="1" s="1"/>
  <c r="DA71" i="1" a="1"/>
  <c r="DA71" i="1" s="1"/>
  <c r="DA112" i="1" a="1"/>
  <c r="DA112" i="1" s="1"/>
  <c r="DA152" i="1" a="1"/>
  <c r="DA152" i="1" s="1"/>
  <c r="DA185" i="1" a="1"/>
  <c r="DA185" i="1" s="1"/>
  <c r="DA217" i="1" a="1"/>
  <c r="DA217" i="1" s="1"/>
  <c r="DA275" i="1" a="1"/>
  <c r="DA275" i="1" s="1"/>
  <c r="DA291" i="1" a="1"/>
  <c r="DA291" i="1" s="1"/>
  <c r="DA24" i="1" a="1"/>
  <c r="DA24" i="1" s="1"/>
  <c r="DA56" i="1" a="1"/>
  <c r="DA56" i="1" s="1"/>
  <c r="DA101" i="1" a="1"/>
  <c r="DA101" i="1" s="1"/>
  <c r="DA123" i="1" a="1"/>
  <c r="DA123" i="1" s="1"/>
  <c r="DA167" i="1" a="1"/>
  <c r="DA167" i="1" s="1"/>
  <c r="DA190" i="1" a="1"/>
  <c r="DA190" i="1" s="1"/>
  <c r="DA187" i="1" a="1"/>
  <c r="DA187" i="1" s="1"/>
  <c r="DA223" i="1" a="1"/>
  <c r="DA223" i="1" s="1"/>
  <c r="DA242" i="1" a="1"/>
  <c r="DA242" i="1" s="1"/>
  <c r="DA260" i="1" a="1"/>
  <c r="DA260" i="1" s="1"/>
  <c r="DA244" i="1" a="1"/>
  <c r="DA244" i="1" s="1"/>
  <c r="DA309" i="1" a="1"/>
  <c r="DA309" i="1" s="1"/>
  <c r="DA308" i="1" a="1"/>
  <c r="DA308" i="1" s="1"/>
  <c r="DA194" i="1" a="1"/>
  <c r="DA194" i="1" s="1"/>
  <c r="DA219" i="1" a="1"/>
  <c r="DA219" i="1" s="1"/>
  <c r="DA274" i="1" a="1"/>
  <c r="DA274" i="1" s="1"/>
  <c r="DA278" i="1" a="1"/>
  <c r="DA278" i="1" s="1"/>
  <c r="DA254" i="1" a="1"/>
  <c r="DA254" i="1" s="1"/>
  <c r="DA294" i="1" a="1"/>
  <c r="DA294" i="1" s="1"/>
  <c r="DA290" i="1" a="1"/>
  <c r="DA290" i="1" s="1"/>
  <c r="DA211" i="1" a="1"/>
  <c r="DA211" i="1" s="1"/>
  <c r="DA212" i="1" a="1"/>
  <c r="DA212" i="1" s="1"/>
  <c r="DA310" i="1" a="1"/>
  <c r="DA310" i="1" s="1"/>
  <c r="DA302" i="1" a="1"/>
  <c r="DA302" i="1" s="1"/>
  <c r="DA267" i="1" a="1"/>
  <c r="DA267" i="1" s="1"/>
  <c r="DA289" i="1" a="1"/>
  <c r="DA289" i="1" s="1"/>
  <c r="DA184" i="1" a="1"/>
  <c r="DA184" i="1" s="1"/>
  <c r="DA49" i="1" a="1"/>
  <c r="DA49" i="1" s="1"/>
  <c r="DA80" i="1" a="1"/>
  <c r="DA80" i="1" s="1"/>
  <c r="DA110" i="1" a="1"/>
  <c r="DA110" i="1" s="1"/>
  <c r="DA163" i="1" a="1"/>
  <c r="DA163" i="1" s="1"/>
  <c r="DA186" i="1" a="1"/>
  <c r="DA186" i="1" s="1"/>
  <c r="DA233" i="1" a="1"/>
  <c r="DA233" i="1" s="1"/>
  <c r="DA235" i="1" a="1"/>
  <c r="DA235" i="1" s="1"/>
  <c r="DA298" i="1" a="1"/>
  <c r="DA298" i="1" s="1"/>
  <c r="DA30" i="1" a="1"/>
  <c r="DA30" i="1" s="1"/>
  <c r="DA59" i="1" a="1"/>
  <c r="DA59" i="1" s="1"/>
  <c r="DA102" i="1" a="1"/>
  <c r="DA102" i="1" s="1"/>
  <c r="DA136" i="1" a="1"/>
  <c r="DA136" i="1" s="1"/>
  <c r="DA174" i="1" a="1"/>
  <c r="DA174" i="1" s="1"/>
  <c r="DA191" i="1" a="1"/>
  <c r="DA191" i="1" s="1"/>
  <c r="DA304" i="1" a="1"/>
  <c r="DA304" i="1" s="1"/>
  <c r="DA261" i="1" a="1"/>
  <c r="DA261" i="1" s="1"/>
  <c r="DA37" i="1" a="1"/>
  <c r="DA37" i="1" s="1"/>
  <c r="DA90" i="1" a="1"/>
  <c r="DA90" i="1" s="1"/>
  <c r="DA119" i="1" a="1"/>
  <c r="DA119" i="1" s="1"/>
  <c r="DA149" i="1" a="1"/>
  <c r="DA149" i="1" s="1"/>
  <c r="DA202" i="1" a="1"/>
  <c r="DA202" i="1" s="1"/>
  <c r="DA228" i="1" a="1"/>
  <c r="DA228" i="1" s="1"/>
  <c r="DA258" i="1" a="1"/>
  <c r="DA258" i="1" s="1"/>
  <c r="DA286" i="1" a="1"/>
  <c r="DA286" i="1" s="1"/>
  <c r="DA28" i="1" a="1"/>
  <c r="DA28" i="1" s="1"/>
  <c r="DA67" i="1" a="1"/>
  <c r="DA67" i="1" s="1"/>
  <c r="DA105" i="1" a="1"/>
  <c r="DA105" i="1" s="1"/>
  <c r="DA142" i="1" a="1"/>
  <c r="DA142" i="1" s="1"/>
  <c r="DA180" i="1" a="1"/>
  <c r="DA180" i="1" s="1"/>
  <c r="CR18" i="1" l="1"/>
  <c r="BU19" i="1"/>
  <c r="CR19" i="1" s="1"/>
  <c r="CR30" i="1" s="1" a="1"/>
  <c r="CR30" i="1" s="1"/>
  <c r="CN312" i="1" a="1"/>
  <c r="CN312" i="1" s="1"/>
  <c r="CN288" i="1" a="1"/>
  <c r="CN288" i="1" s="1"/>
  <c r="CN293" i="1" a="1"/>
  <c r="CN293" i="1" s="1"/>
  <c r="CN295" i="1" a="1"/>
  <c r="CN295" i="1" s="1"/>
  <c r="CN314" i="1" a="1"/>
  <c r="CN314" i="1" s="1"/>
  <c r="CN257" i="1" a="1"/>
  <c r="CN257" i="1" s="1"/>
  <c r="CN239" i="1" a="1"/>
  <c r="CN239" i="1" s="1"/>
  <c r="CN268" i="1" a="1"/>
  <c r="CN268" i="1" s="1"/>
  <c r="CN255" i="1" a="1"/>
  <c r="CN255" i="1" s="1"/>
  <c r="CN306" i="1" a="1"/>
  <c r="CN306" i="1" s="1"/>
  <c r="CN232" i="1" a="1"/>
  <c r="CN232" i="1" s="1"/>
  <c r="CN264" i="1" a="1"/>
  <c r="CN264" i="1" s="1"/>
  <c r="CN302" i="1" a="1"/>
  <c r="CN302" i="1" s="1"/>
  <c r="CN231" i="1" a="1"/>
  <c r="CN231" i="1" s="1"/>
  <c r="CN260" i="1" a="1"/>
  <c r="CN260" i="1" s="1"/>
  <c r="CN229" i="1" a="1"/>
  <c r="CN229" i="1" s="1"/>
  <c r="CN221" i="1" a="1"/>
  <c r="CN221" i="1" s="1"/>
  <c r="CN228" i="1" a="1"/>
  <c r="CN228" i="1" s="1"/>
  <c r="CN202" i="1" a="1"/>
  <c r="CN202" i="1" s="1"/>
  <c r="CN190" i="1" a="1"/>
  <c r="CN190" i="1" s="1"/>
  <c r="CN185" i="1" a="1"/>
  <c r="CN185" i="1" s="1"/>
  <c r="CN200" i="1" a="1"/>
  <c r="CN200" i="1" s="1"/>
  <c r="CN176" i="1" a="1"/>
  <c r="CN176" i="1" s="1"/>
  <c r="CN182" i="1" a="1"/>
  <c r="CN182" i="1" s="1"/>
  <c r="CN172" i="1" a="1"/>
  <c r="CN172" i="1" s="1"/>
  <c r="CN154" i="1" a="1"/>
  <c r="CN154" i="1" s="1"/>
  <c r="CN166" i="1" a="1"/>
  <c r="CN166" i="1" s="1"/>
  <c r="CN151" i="1" a="1"/>
  <c r="CN151" i="1" s="1"/>
  <c r="CN137" i="1" a="1"/>
  <c r="CN137" i="1" s="1"/>
  <c r="CN140" i="1" a="1"/>
  <c r="CN140" i="1" s="1"/>
  <c r="CN133" i="1" a="1"/>
  <c r="CN133" i="1" s="1"/>
  <c r="CN131" i="1" a="1"/>
  <c r="CN131" i="1" s="1"/>
  <c r="CN135" i="1" a="1"/>
  <c r="CN135" i="1" s="1"/>
  <c r="CN113" i="1" a="1"/>
  <c r="CN113" i="1" s="1"/>
  <c r="CN105" i="1" a="1"/>
  <c r="CN105" i="1" s="1"/>
  <c r="CN112" i="1" a="1"/>
  <c r="CN112" i="1" s="1"/>
  <c r="CN101" i="1" a="1"/>
  <c r="CN101" i="1" s="1"/>
  <c r="CN81" i="1" a="1"/>
  <c r="CN81" i="1" s="1"/>
  <c r="CN91" i="1" a="1"/>
  <c r="CN91" i="1" s="1"/>
  <c r="CN76" i="1" a="1"/>
  <c r="CN76" i="1" s="1"/>
  <c r="CN75" i="1" a="1"/>
  <c r="CN75" i="1" s="1"/>
  <c r="CN71" i="1" a="1"/>
  <c r="CN71" i="1" s="1"/>
  <c r="CN58" i="1" a="1"/>
  <c r="CN58" i="1" s="1"/>
  <c r="CN47" i="1" a="1"/>
  <c r="CN47" i="1" s="1"/>
  <c r="CN52" i="1" a="1"/>
  <c r="CN52" i="1" s="1"/>
  <c r="CN44" i="1" a="1"/>
  <c r="CN44" i="1" s="1"/>
  <c r="CN40" i="1" a="1"/>
  <c r="CN40" i="1" s="1"/>
  <c r="CN32" i="1" a="1"/>
  <c r="CN32" i="1" s="1"/>
  <c r="CN24" i="1" a="1"/>
  <c r="CN24" i="1" s="1"/>
  <c r="CL21" i="1" a="1"/>
  <c r="CL21" i="1" s="1"/>
  <c r="CL29" i="1" a="1"/>
  <c r="CL29" i="1" s="1"/>
  <c r="CL30" i="1" a="1"/>
  <c r="CL30" i="1" s="1"/>
  <c r="CL22" i="1" a="1"/>
  <c r="CL22" i="1" s="1"/>
  <c r="CL25" i="1" a="1"/>
  <c r="CL25" i="1" s="1"/>
  <c r="CL23" i="1" a="1"/>
  <c r="CL23" i="1" s="1"/>
  <c r="CL24" i="1" a="1"/>
  <c r="CL24" i="1" s="1"/>
  <c r="CL26" i="1" a="1"/>
  <c r="CL26" i="1" s="1"/>
  <c r="CL27" i="1" a="1"/>
  <c r="CL27" i="1" s="1"/>
  <c r="CL28" i="1" a="1"/>
  <c r="CL28" i="1" s="1"/>
  <c r="CL41" i="1" a="1"/>
  <c r="CL41" i="1" s="1"/>
  <c r="CL31" i="1" a="1"/>
  <c r="CL31" i="1" s="1"/>
  <c r="CL32" i="1" a="1"/>
  <c r="CL32" i="1" s="1"/>
  <c r="CL33" i="1" a="1"/>
  <c r="CL33" i="1" s="1"/>
  <c r="CL36" i="1" a="1"/>
  <c r="CL36" i="1" s="1"/>
  <c r="CL44" i="1" a="1"/>
  <c r="CL44" i="1" s="1"/>
  <c r="CL45" i="1" a="1"/>
  <c r="CL45" i="1" s="1"/>
  <c r="CL37" i="1" a="1"/>
  <c r="CL37" i="1" s="1"/>
  <c r="CL53" i="1" a="1"/>
  <c r="CL53" i="1" s="1"/>
  <c r="CL35" i="1" a="1"/>
  <c r="CL35" i="1" s="1"/>
  <c r="CL38" i="1" a="1"/>
  <c r="CL38" i="1" s="1"/>
  <c r="CL42" i="1" a="1"/>
  <c r="CL42" i="1" s="1"/>
  <c r="CL43" i="1" a="1"/>
  <c r="CL43" i="1" s="1"/>
  <c r="CL34" i="1" a="1"/>
  <c r="CL34" i="1" s="1"/>
  <c r="CL39" i="1" a="1"/>
  <c r="CL39" i="1" s="1"/>
  <c r="CL40" i="1" a="1"/>
  <c r="CL40" i="1" s="1"/>
  <c r="CL48" i="1" a="1"/>
  <c r="CL48" i="1" s="1"/>
  <c r="CL46" i="1" a="1"/>
  <c r="CL46" i="1" s="1"/>
  <c r="CL50" i="1" a="1"/>
  <c r="CL50" i="1" s="1"/>
  <c r="CL47" i="1" a="1"/>
  <c r="CL47" i="1" s="1"/>
  <c r="CL61" i="1" a="1"/>
  <c r="CL61" i="1" s="1"/>
  <c r="CL58" i="1" a="1"/>
  <c r="CL58" i="1" s="1"/>
  <c r="CL55" i="1" a="1"/>
  <c r="CL55" i="1" s="1"/>
  <c r="CL49" i="1" a="1"/>
  <c r="CL49" i="1" s="1"/>
  <c r="CL51" i="1" a="1"/>
  <c r="CL51" i="1" s="1"/>
  <c r="CL52" i="1" a="1"/>
  <c r="CL52" i="1" s="1"/>
  <c r="CL54" i="1" a="1"/>
  <c r="CL54" i="1" s="1"/>
  <c r="CL63" i="1" a="1"/>
  <c r="CL63" i="1" s="1"/>
  <c r="CL57" i="1" a="1"/>
  <c r="CL57" i="1" s="1"/>
  <c r="CL59" i="1" a="1"/>
  <c r="CL59" i="1" s="1"/>
  <c r="CL60" i="1" a="1"/>
  <c r="CL60" i="1" s="1"/>
  <c r="CL66" i="1" a="1"/>
  <c r="CL66" i="1" s="1"/>
  <c r="CL62" i="1" a="1"/>
  <c r="CL62" i="1" s="1"/>
  <c r="CL56" i="1" a="1"/>
  <c r="CL56" i="1" s="1"/>
  <c r="CL67" i="1" a="1"/>
  <c r="CL67" i="1" s="1"/>
  <c r="CL72" i="1" a="1"/>
  <c r="CL72" i="1" s="1"/>
  <c r="CL74" i="1" a="1"/>
  <c r="CL74" i="1" s="1"/>
  <c r="CL64" i="1" a="1"/>
  <c r="CL64" i="1" s="1"/>
  <c r="CL65" i="1" a="1"/>
  <c r="CL65" i="1" s="1"/>
  <c r="CL71" i="1" a="1"/>
  <c r="CL71" i="1" s="1"/>
  <c r="CL76" i="1" a="1"/>
  <c r="CL76" i="1" s="1"/>
  <c r="CL77" i="1" a="1"/>
  <c r="CL77" i="1" s="1"/>
  <c r="CL81" i="1" a="1"/>
  <c r="CL81" i="1" s="1"/>
  <c r="CL68" i="1" a="1"/>
  <c r="CL68" i="1" s="1"/>
  <c r="CL69" i="1" a="1"/>
  <c r="CL69" i="1" s="1"/>
  <c r="CL70" i="1" a="1"/>
  <c r="CL70" i="1" s="1"/>
  <c r="CL73" i="1" a="1"/>
  <c r="CL73" i="1" s="1"/>
  <c r="CL79" i="1" a="1"/>
  <c r="CL79" i="1" s="1"/>
  <c r="CL82" i="1" a="1"/>
  <c r="CL82" i="1" s="1"/>
  <c r="CL80" i="1" a="1"/>
  <c r="CL80" i="1" s="1"/>
  <c r="CL83" i="1" a="1"/>
  <c r="CL83" i="1" s="1"/>
  <c r="CL84" i="1" a="1"/>
  <c r="CL84" i="1" s="1"/>
  <c r="CL87" i="1" a="1"/>
  <c r="CL87" i="1" s="1"/>
  <c r="CL75" i="1" a="1"/>
  <c r="CL75" i="1" s="1"/>
  <c r="CL86" i="1" a="1"/>
  <c r="CL86" i="1" s="1"/>
  <c r="CL89" i="1" a="1"/>
  <c r="CL89" i="1" s="1"/>
  <c r="CL92" i="1" a="1"/>
  <c r="CL92" i="1" s="1"/>
  <c r="CL95" i="1" a="1"/>
  <c r="CL95" i="1" s="1"/>
  <c r="CL85" i="1" a="1"/>
  <c r="CL85" i="1" s="1"/>
  <c r="CL88" i="1" a="1"/>
  <c r="CL88" i="1" s="1"/>
  <c r="CL91" i="1" a="1"/>
  <c r="CL91" i="1" s="1"/>
  <c r="CL78" i="1" a="1"/>
  <c r="CL78" i="1" s="1"/>
  <c r="CL98" i="1" a="1"/>
  <c r="CL98" i="1" s="1"/>
  <c r="CL101" i="1" a="1"/>
  <c r="CL101" i="1" s="1"/>
  <c r="CL102" i="1" a="1"/>
  <c r="CL102" i="1" s="1"/>
  <c r="CL103" i="1" a="1"/>
  <c r="CL103" i="1" s="1"/>
  <c r="CL93" i="1" a="1"/>
  <c r="CL93" i="1" s="1"/>
  <c r="CL94" i="1" a="1"/>
  <c r="CL94" i="1" s="1"/>
  <c r="CL105" i="1" a="1"/>
  <c r="CL105" i="1" s="1"/>
  <c r="CL108" i="1" a="1"/>
  <c r="CL108" i="1" s="1"/>
  <c r="CL111" i="1" a="1"/>
  <c r="CL111" i="1" s="1"/>
  <c r="CL114" i="1" a="1"/>
  <c r="CL114" i="1" s="1"/>
  <c r="CL99" i="1" a="1"/>
  <c r="CL99" i="1" s="1"/>
  <c r="CL100" i="1" a="1"/>
  <c r="CL100" i="1" s="1"/>
  <c r="CL104" i="1" a="1"/>
  <c r="CL104" i="1" s="1"/>
  <c r="CL107" i="1" a="1"/>
  <c r="CL107" i="1" s="1"/>
  <c r="CL110" i="1" a="1"/>
  <c r="CL110" i="1" s="1"/>
  <c r="CL113" i="1" a="1"/>
  <c r="CL113" i="1" s="1"/>
  <c r="CL116" i="1" a="1"/>
  <c r="CL116" i="1" s="1"/>
  <c r="CL96" i="1" a="1"/>
  <c r="CL96" i="1" s="1"/>
  <c r="CL97" i="1" a="1"/>
  <c r="CL97" i="1" s="1"/>
  <c r="CL90" i="1" a="1"/>
  <c r="CL90" i="1" s="1"/>
  <c r="CL106" i="1" a="1"/>
  <c r="CL106" i="1" s="1"/>
  <c r="CL109" i="1" a="1"/>
  <c r="CL109" i="1" s="1"/>
  <c r="CL112" i="1" a="1"/>
  <c r="CL112" i="1" s="1"/>
  <c r="CL115" i="1" a="1"/>
  <c r="CL115" i="1" s="1"/>
  <c r="CL117" i="1" a="1"/>
  <c r="CL117" i="1" s="1"/>
  <c r="CL120" i="1" a="1"/>
  <c r="CL120" i="1" s="1"/>
  <c r="CL121" i="1" a="1"/>
  <c r="CL121" i="1" s="1"/>
  <c r="CL122" i="1" a="1"/>
  <c r="CL122" i="1" s="1"/>
  <c r="CL124" i="1" a="1"/>
  <c r="CL124" i="1" s="1"/>
  <c r="CL127" i="1" a="1"/>
  <c r="CL127" i="1" s="1"/>
  <c r="CL130" i="1" a="1"/>
  <c r="CL130" i="1" s="1"/>
  <c r="CL133" i="1" a="1"/>
  <c r="CL133" i="1" s="1"/>
  <c r="CL134" i="1" a="1"/>
  <c r="CL134" i="1" s="1"/>
  <c r="CL137" i="1" a="1"/>
  <c r="CL137" i="1" s="1"/>
  <c r="CL123" i="1" a="1"/>
  <c r="CL123" i="1" s="1"/>
  <c r="CL126" i="1" a="1"/>
  <c r="CL126" i="1" s="1"/>
  <c r="CL129" i="1" a="1"/>
  <c r="CL129" i="1" s="1"/>
  <c r="CL132" i="1" a="1"/>
  <c r="CL132" i="1" s="1"/>
  <c r="CL118" i="1" a="1"/>
  <c r="CL118" i="1" s="1"/>
  <c r="CL119" i="1" a="1"/>
  <c r="CL119" i="1" s="1"/>
  <c r="CL125" i="1" a="1"/>
  <c r="CL125" i="1" s="1"/>
  <c r="CL128" i="1" a="1"/>
  <c r="CL128" i="1" s="1"/>
  <c r="CL131" i="1" a="1"/>
  <c r="CL131" i="1" s="1"/>
  <c r="CL139" i="1" a="1"/>
  <c r="CL139" i="1" s="1"/>
  <c r="CL142" i="1" a="1"/>
  <c r="CL142" i="1" s="1"/>
  <c r="CL145" i="1" a="1"/>
  <c r="CL145" i="1" s="1"/>
  <c r="CL148" i="1" a="1"/>
  <c r="CL148" i="1" s="1"/>
  <c r="CL151" i="1" a="1"/>
  <c r="CL151" i="1" s="1"/>
  <c r="CL153" i="1" a="1"/>
  <c r="CL153" i="1" s="1"/>
  <c r="CL135" i="1" a="1"/>
  <c r="CL135" i="1" s="1"/>
  <c r="CL154" i="1" a="1"/>
  <c r="CL154" i="1" s="1"/>
  <c r="CL138" i="1" a="1"/>
  <c r="CL138" i="1" s="1"/>
  <c r="CL141" i="1" a="1"/>
  <c r="CL141" i="1" s="1"/>
  <c r="CL144" i="1" a="1"/>
  <c r="CL144" i="1" s="1"/>
  <c r="CL147" i="1" a="1"/>
  <c r="CL147" i="1" s="1"/>
  <c r="CL150" i="1" a="1"/>
  <c r="CL150" i="1" s="1"/>
  <c r="CL136" i="1" a="1"/>
  <c r="CL136" i="1" s="1"/>
  <c r="CL140" i="1" a="1"/>
  <c r="CL140" i="1" s="1"/>
  <c r="CL143" i="1" a="1"/>
  <c r="CL143" i="1" s="1"/>
  <c r="CL146" i="1" a="1"/>
  <c r="CL146" i="1" s="1"/>
  <c r="CL149" i="1" a="1"/>
  <c r="CL149" i="1" s="1"/>
  <c r="CL152" i="1" a="1"/>
  <c r="CL152" i="1" s="1"/>
  <c r="CL159" i="1" a="1"/>
  <c r="CL159" i="1" s="1"/>
  <c r="CL162" i="1" a="1"/>
  <c r="CL162" i="1" s="1"/>
  <c r="CL165" i="1" a="1"/>
  <c r="CL165" i="1" s="1"/>
  <c r="CL168" i="1" a="1"/>
  <c r="CL168" i="1" s="1"/>
  <c r="CL166" i="1" a="1"/>
  <c r="CL166" i="1" s="1"/>
  <c r="CL155" i="1" a="1"/>
  <c r="CL155" i="1" s="1"/>
  <c r="CL156" i="1" a="1"/>
  <c r="CL156" i="1" s="1"/>
  <c r="CL158" i="1" a="1"/>
  <c r="CL158" i="1" s="1"/>
  <c r="CL161" i="1" a="1"/>
  <c r="CL161" i="1" s="1"/>
  <c r="CL164" i="1" a="1"/>
  <c r="CL164" i="1" s="1"/>
  <c r="CL157" i="1" a="1"/>
  <c r="CL157" i="1" s="1"/>
  <c r="CL160" i="1" a="1"/>
  <c r="CL160" i="1" s="1"/>
  <c r="CL163" i="1" a="1"/>
  <c r="CL163" i="1" s="1"/>
  <c r="CL167" i="1" a="1"/>
  <c r="CL167" i="1" s="1"/>
  <c r="CL170" i="1" a="1"/>
  <c r="CL170" i="1" s="1"/>
  <c r="CL174" i="1" a="1"/>
  <c r="CL174" i="1" s="1"/>
  <c r="CL177" i="1" a="1"/>
  <c r="CL177" i="1" s="1"/>
  <c r="CL180" i="1" a="1"/>
  <c r="CL180" i="1" s="1"/>
  <c r="CL183" i="1" a="1"/>
  <c r="CL183" i="1" s="1"/>
  <c r="CL176" i="1" a="1"/>
  <c r="CL176" i="1" s="1"/>
  <c r="CL179" i="1" a="1"/>
  <c r="CL179" i="1" s="1"/>
  <c r="CL171" i="1" a="1"/>
  <c r="CL171" i="1" s="1"/>
  <c r="CL175" i="1" a="1"/>
  <c r="CL175" i="1" s="1"/>
  <c r="CL178" i="1" a="1"/>
  <c r="CL178" i="1" s="1"/>
  <c r="CL181" i="1" a="1"/>
  <c r="CL181" i="1" s="1"/>
  <c r="CL169" i="1" a="1"/>
  <c r="CL169" i="1" s="1"/>
  <c r="CL172" i="1" a="1"/>
  <c r="CL172" i="1" s="1"/>
  <c r="CL173" i="1" a="1"/>
  <c r="CL173" i="1" s="1"/>
  <c r="CL182" i="1" a="1"/>
  <c r="CL182" i="1" s="1"/>
  <c r="CL185" i="1" a="1"/>
  <c r="CL185" i="1" s="1"/>
  <c r="CL186" i="1" a="1"/>
  <c r="CL186" i="1" s="1"/>
  <c r="CL193" i="1" a="1"/>
  <c r="CL193" i="1" s="1"/>
  <c r="CL196" i="1" a="1"/>
  <c r="CL196" i="1" s="1"/>
  <c r="CL199" i="1" a="1"/>
  <c r="CL199" i="1" s="1"/>
  <c r="CL202" i="1" a="1"/>
  <c r="CL202" i="1" s="1"/>
  <c r="CL187" i="1" a="1"/>
  <c r="CL187" i="1" s="1"/>
  <c r="CL190" i="1" a="1"/>
  <c r="CL190" i="1" s="1"/>
  <c r="CL192" i="1" a="1"/>
  <c r="CL192" i="1" s="1"/>
  <c r="CL206" i="1" a="1"/>
  <c r="CL206" i="1" s="1"/>
  <c r="CL209" i="1" a="1"/>
  <c r="CL209" i="1" s="1"/>
  <c r="CL194" i="1" a="1"/>
  <c r="CL194" i="1" s="1"/>
  <c r="CL197" i="1" a="1"/>
  <c r="CL197" i="1" s="1"/>
  <c r="CL200" i="1" a="1"/>
  <c r="CL200" i="1" s="1"/>
  <c r="CL203" i="1" a="1"/>
  <c r="CL203" i="1" s="1"/>
  <c r="CL188" i="1" a="1"/>
  <c r="CL188" i="1" s="1"/>
  <c r="CL207" i="1" a="1"/>
  <c r="CL207" i="1" s="1"/>
  <c r="CL210" i="1" a="1"/>
  <c r="CL210" i="1" s="1"/>
  <c r="CL191" i="1" a="1"/>
  <c r="CL191" i="1" s="1"/>
  <c r="CL195" i="1" a="1"/>
  <c r="CL195" i="1" s="1"/>
  <c r="CL198" i="1" a="1"/>
  <c r="CL198" i="1" s="1"/>
  <c r="CL201" i="1" a="1"/>
  <c r="CL201" i="1" s="1"/>
  <c r="CL184" i="1" a="1"/>
  <c r="CL184" i="1" s="1"/>
  <c r="CL189" i="1" a="1"/>
  <c r="CL189" i="1" s="1"/>
  <c r="CL208" i="1" a="1"/>
  <c r="CL208" i="1" s="1"/>
  <c r="CL211" i="1" a="1"/>
  <c r="CL211" i="1" s="1"/>
  <c r="CL224" i="1" a="1"/>
  <c r="CL224" i="1" s="1"/>
  <c r="CL227" i="1" a="1"/>
  <c r="CL227" i="1" s="1"/>
  <c r="CL230" i="1" a="1"/>
  <c r="CL230" i="1" s="1"/>
  <c r="CL212" i="1" a="1"/>
  <c r="CL212" i="1" s="1"/>
  <c r="CL225" i="1" a="1"/>
  <c r="CL225" i="1" s="1"/>
  <c r="CL228" i="1" a="1"/>
  <c r="CL228" i="1" s="1"/>
  <c r="CL213" i="1" a="1"/>
  <c r="CL213" i="1" s="1"/>
  <c r="CL215" i="1" a="1"/>
  <c r="CL215" i="1" s="1"/>
  <c r="CL218" i="1" a="1"/>
  <c r="CL218" i="1" s="1"/>
  <c r="CL221" i="1" a="1"/>
  <c r="CL221" i="1" s="1"/>
  <c r="CL226" i="1" a="1"/>
  <c r="CL226" i="1" s="1"/>
  <c r="CL229" i="1" a="1"/>
  <c r="CL229" i="1" s="1"/>
  <c r="CL204" i="1" a="1"/>
  <c r="CL204" i="1" s="1"/>
  <c r="CL205" i="1" a="1"/>
  <c r="CL205" i="1" s="1"/>
  <c r="CL214" i="1" a="1"/>
  <c r="CL214" i="1" s="1"/>
  <c r="CL216" i="1" a="1"/>
  <c r="CL216" i="1" s="1"/>
  <c r="CL217" i="1" a="1"/>
  <c r="CL217" i="1" s="1"/>
  <c r="CL219" i="1" a="1"/>
  <c r="CL219" i="1" s="1"/>
  <c r="CL220" i="1" a="1"/>
  <c r="CL220" i="1" s="1"/>
  <c r="CL222" i="1" a="1"/>
  <c r="CL222" i="1" s="1"/>
  <c r="CL223" i="1" a="1"/>
  <c r="CL223" i="1" s="1"/>
  <c r="CL262" i="1" a="1"/>
  <c r="CL262" i="1" s="1"/>
  <c r="CL265" i="1" a="1"/>
  <c r="CL265" i="1" s="1"/>
  <c r="CL268" i="1" a="1"/>
  <c r="CL268" i="1" s="1"/>
  <c r="CL271" i="1" a="1"/>
  <c r="CL271" i="1" s="1"/>
  <c r="CL274" i="1" a="1"/>
  <c r="CL274" i="1" s="1"/>
  <c r="CL277" i="1" a="1"/>
  <c r="CL277" i="1" s="1"/>
  <c r="CL232" i="1" a="1"/>
  <c r="CL232" i="1" s="1"/>
  <c r="CL235" i="1" a="1"/>
  <c r="CL235" i="1" s="1"/>
  <c r="CL238" i="1" a="1"/>
  <c r="CL238" i="1" s="1"/>
  <c r="CL241" i="1" a="1"/>
  <c r="CL241" i="1" s="1"/>
  <c r="CL244" i="1" a="1"/>
  <c r="CL244" i="1" s="1"/>
  <c r="CL249" i="1" a="1"/>
  <c r="CL249" i="1" s="1"/>
  <c r="CL252" i="1" a="1"/>
  <c r="CL252" i="1" s="1"/>
  <c r="CL255" i="1" a="1"/>
  <c r="CL255" i="1" s="1"/>
  <c r="CL258" i="1" a="1"/>
  <c r="CL258" i="1" s="1"/>
  <c r="CL301" i="1" a="1"/>
  <c r="CL301" i="1" s="1"/>
  <c r="CL304" i="1" a="1"/>
  <c r="CL304" i="1" s="1"/>
  <c r="CL307" i="1" a="1"/>
  <c r="CL307" i="1" s="1"/>
  <c r="CL310" i="1" a="1"/>
  <c r="CL310" i="1" s="1"/>
  <c r="CL247" i="1" a="1"/>
  <c r="CL247" i="1" s="1"/>
  <c r="CL248" i="1" a="1"/>
  <c r="CL248" i="1" s="1"/>
  <c r="CL250" i="1" a="1"/>
  <c r="CL250" i="1" s="1"/>
  <c r="CL251" i="1" a="1"/>
  <c r="CL251" i="1" s="1"/>
  <c r="CL253" i="1" a="1"/>
  <c r="CL253" i="1" s="1"/>
  <c r="CL254" i="1" a="1"/>
  <c r="CL254" i="1" s="1"/>
  <c r="CL256" i="1" a="1"/>
  <c r="CL256" i="1" s="1"/>
  <c r="CL257" i="1" a="1"/>
  <c r="CL257" i="1" s="1"/>
  <c r="CL259" i="1" a="1"/>
  <c r="CL259" i="1" s="1"/>
  <c r="CL260" i="1" a="1"/>
  <c r="CL260" i="1" s="1"/>
  <c r="CL263" i="1" a="1"/>
  <c r="CL263" i="1" s="1"/>
  <c r="CL266" i="1" a="1"/>
  <c r="CL266" i="1" s="1"/>
  <c r="CL269" i="1" a="1"/>
  <c r="CL269" i="1" s="1"/>
  <c r="CL272" i="1" a="1"/>
  <c r="CL272" i="1" s="1"/>
  <c r="CL275" i="1" a="1"/>
  <c r="CL275" i="1" s="1"/>
  <c r="CL278" i="1" a="1"/>
  <c r="CL278" i="1" s="1"/>
  <c r="CL233" i="1" a="1"/>
  <c r="CL233" i="1" s="1"/>
  <c r="CL236" i="1" a="1"/>
  <c r="CL236" i="1" s="1"/>
  <c r="CL239" i="1" a="1"/>
  <c r="CL239" i="1" s="1"/>
  <c r="CL242" i="1" a="1"/>
  <c r="CL242" i="1" s="1"/>
  <c r="CL245" i="1" a="1"/>
  <c r="CL245" i="1" s="1"/>
  <c r="CL302" i="1" a="1"/>
  <c r="CL302" i="1" s="1"/>
  <c r="CL305" i="1" a="1"/>
  <c r="CL305" i="1" s="1"/>
  <c r="CL308" i="1" a="1"/>
  <c r="CL308" i="1" s="1"/>
  <c r="CL261" i="1" a="1"/>
  <c r="CL261" i="1" s="1"/>
  <c r="CL264" i="1" a="1"/>
  <c r="CL264" i="1" s="1"/>
  <c r="CL267" i="1" a="1"/>
  <c r="CL267" i="1" s="1"/>
  <c r="CL270" i="1" a="1"/>
  <c r="CL270" i="1" s="1"/>
  <c r="CL273" i="1" a="1"/>
  <c r="CL273" i="1" s="1"/>
  <c r="CL276" i="1" a="1"/>
  <c r="CL276" i="1" s="1"/>
  <c r="CL279" i="1" a="1"/>
  <c r="CL279" i="1" s="1"/>
  <c r="CL231" i="1" a="1"/>
  <c r="CL231" i="1" s="1"/>
  <c r="CL234" i="1" a="1"/>
  <c r="CL234" i="1" s="1"/>
  <c r="CL237" i="1" a="1"/>
  <c r="CL237" i="1" s="1"/>
  <c r="CL240" i="1" a="1"/>
  <c r="CL240" i="1" s="1"/>
  <c r="CL243" i="1" a="1"/>
  <c r="CL243" i="1" s="1"/>
  <c r="CL246" i="1" a="1"/>
  <c r="CL246" i="1" s="1"/>
  <c r="CL303" i="1" a="1"/>
  <c r="CL303" i="1" s="1"/>
  <c r="CL306" i="1" a="1"/>
  <c r="CL306" i="1" s="1"/>
  <c r="CL309" i="1" a="1"/>
  <c r="CL309" i="1" s="1"/>
  <c r="CL312" i="1" a="1"/>
  <c r="CL312" i="1" s="1"/>
  <c r="CL313" i="1" a="1"/>
  <c r="CL313" i="1" s="1"/>
  <c r="CL281" i="1" a="1"/>
  <c r="CL281" i="1" s="1"/>
  <c r="CL284" i="1" a="1"/>
  <c r="CL284" i="1" s="1"/>
  <c r="CL287" i="1" a="1"/>
  <c r="CL287" i="1" s="1"/>
  <c r="CL290" i="1" a="1"/>
  <c r="CL290" i="1" s="1"/>
  <c r="CL293" i="1" a="1"/>
  <c r="CL293" i="1" s="1"/>
  <c r="CL296" i="1" a="1"/>
  <c r="CL296" i="1" s="1"/>
  <c r="CL299" i="1" a="1"/>
  <c r="CL299" i="1" s="1"/>
  <c r="CL311" i="1" a="1"/>
  <c r="CL311" i="1" s="1"/>
  <c r="CL314" i="1" a="1"/>
  <c r="CL314" i="1" s="1"/>
  <c r="CL282" i="1" a="1"/>
  <c r="CL282" i="1" s="1"/>
  <c r="CL285" i="1" a="1"/>
  <c r="CL285" i="1" s="1"/>
  <c r="CL288" i="1" a="1"/>
  <c r="CL288" i="1" s="1"/>
  <c r="CL291" i="1" a="1"/>
  <c r="CL291" i="1" s="1"/>
  <c r="CL294" i="1" a="1"/>
  <c r="CL294" i="1" s="1"/>
  <c r="CL297" i="1" a="1"/>
  <c r="CL297" i="1" s="1"/>
  <c r="CL300" i="1" a="1"/>
  <c r="CL300" i="1" s="1"/>
  <c r="CL280" i="1" a="1"/>
  <c r="CL280" i="1" s="1"/>
  <c r="CL283" i="1" a="1"/>
  <c r="CL283" i="1" s="1"/>
  <c r="CL286" i="1" a="1"/>
  <c r="CL286" i="1" s="1"/>
  <c r="CL289" i="1" a="1"/>
  <c r="CL289" i="1" s="1"/>
  <c r="CL292" i="1" a="1"/>
  <c r="CL292" i="1" s="1"/>
  <c r="CL295" i="1" a="1"/>
  <c r="CL295" i="1" s="1"/>
  <c r="CL298" i="1" a="1"/>
  <c r="CL298" i="1" s="1"/>
  <c r="CN309" i="1" a="1"/>
  <c r="CN309" i="1" s="1"/>
  <c r="CN285" i="1" a="1"/>
  <c r="CN285" i="1" s="1"/>
  <c r="CN290" i="1" a="1"/>
  <c r="CN290" i="1" s="1"/>
  <c r="CN292" i="1" a="1"/>
  <c r="CN292" i="1" s="1"/>
  <c r="CN280" i="1" a="1"/>
  <c r="CN280" i="1" s="1"/>
  <c r="CN254" i="1" a="1"/>
  <c r="CN254" i="1" s="1"/>
  <c r="CN236" i="1" a="1"/>
  <c r="CN236" i="1" s="1"/>
  <c r="CN265" i="1" a="1"/>
  <c r="CN265" i="1" s="1"/>
  <c r="CN253" i="1" a="1"/>
  <c r="CN253" i="1" s="1"/>
  <c r="CN303" i="1" a="1"/>
  <c r="CN303" i="1" s="1"/>
  <c r="CN279" i="1" a="1"/>
  <c r="CN279" i="1" s="1"/>
  <c r="CN261" i="1" a="1"/>
  <c r="CN261" i="1" s="1"/>
  <c r="CN246" i="1" a="1"/>
  <c r="CN246" i="1" s="1"/>
  <c r="CN275" i="1" a="1"/>
  <c r="CN275" i="1" s="1"/>
  <c r="CN213" i="1" a="1"/>
  <c r="CN213" i="1" s="1"/>
  <c r="CN226" i="1" a="1"/>
  <c r="CN226" i="1" s="1"/>
  <c r="CN219" i="1" a="1"/>
  <c r="CN219" i="1" s="1"/>
  <c r="CN225" i="1" a="1"/>
  <c r="CN225" i="1" s="1"/>
  <c r="CN199" i="1" a="1"/>
  <c r="CN199" i="1" s="1"/>
  <c r="CN187" i="1" a="1"/>
  <c r="CN187" i="1" s="1"/>
  <c r="CN210" i="1" a="1"/>
  <c r="CN210" i="1" s="1"/>
  <c r="CN197" i="1" a="1"/>
  <c r="CN197" i="1" s="1"/>
  <c r="CN171" i="1" a="1"/>
  <c r="CN171" i="1" s="1"/>
  <c r="CN181" i="1" a="1"/>
  <c r="CN181" i="1" s="1"/>
  <c r="CN169" i="1" a="1"/>
  <c r="CN169" i="1" s="1"/>
  <c r="CN167" i="1" a="1"/>
  <c r="CN167" i="1" s="1"/>
  <c r="CN164" i="1" a="1"/>
  <c r="CN164" i="1" s="1"/>
  <c r="CN148" i="1" a="1"/>
  <c r="CN148" i="1" s="1"/>
  <c r="CN155" i="1" a="1"/>
  <c r="CN155" i="1" s="1"/>
  <c r="CN150" i="1" a="1"/>
  <c r="CN150" i="1" s="1"/>
  <c r="CN130" i="1" a="1"/>
  <c r="CN130" i="1" s="1"/>
  <c r="CN128" i="1" a="1"/>
  <c r="CN128" i="1" s="1"/>
  <c r="CN120" i="1" a="1"/>
  <c r="CN120" i="1" s="1"/>
  <c r="CN121" i="1" a="1"/>
  <c r="CN121" i="1" s="1"/>
  <c r="CN92" i="1" a="1"/>
  <c r="CN92" i="1" s="1"/>
  <c r="CN109" i="1" a="1"/>
  <c r="CN109" i="1" s="1"/>
  <c r="CN100" i="1" a="1"/>
  <c r="CN100" i="1" s="1"/>
  <c r="CN90" i="1" a="1"/>
  <c r="CN90" i="1" s="1"/>
  <c r="CN88" i="1" a="1"/>
  <c r="CN88" i="1" s="1"/>
  <c r="CN83" i="1" a="1"/>
  <c r="CN83" i="1" s="1"/>
  <c r="CN78" i="1" a="1"/>
  <c r="CN78" i="1" s="1"/>
  <c r="CN68" i="1" a="1"/>
  <c r="CN68" i="1" s="1"/>
  <c r="CN61" i="1" a="1"/>
  <c r="CN61" i="1" s="1"/>
  <c r="CN50" i="1" a="1"/>
  <c r="CN50" i="1" s="1"/>
  <c r="CN48" i="1" a="1"/>
  <c r="CN48" i="1" s="1"/>
  <c r="CN37" i="1" a="1"/>
  <c r="CN37" i="1" s="1"/>
  <c r="CN39" i="1" a="1"/>
  <c r="CN39" i="1" s="1"/>
  <c r="CN22" i="1" a="1"/>
  <c r="CN22" i="1" s="1"/>
  <c r="CN30" i="1" a="1"/>
  <c r="CN30" i="1" s="1"/>
  <c r="CS25" i="1" a="1"/>
  <c r="CS25" i="1" s="1"/>
  <c r="CS30" i="1" a="1"/>
  <c r="CS30" i="1" s="1"/>
  <c r="CS39" i="1" a="1"/>
  <c r="CS39" i="1" s="1"/>
  <c r="CS37" i="1" a="1"/>
  <c r="CS37" i="1" s="1"/>
  <c r="CS48" i="1" a="1"/>
  <c r="CS48" i="1" s="1"/>
  <c r="CS53" i="1" a="1"/>
  <c r="CS53" i="1" s="1"/>
  <c r="CS61" i="1" a="1"/>
  <c r="CS61" i="1" s="1"/>
  <c r="CS69" i="1" a="1"/>
  <c r="CS69" i="1" s="1"/>
  <c r="CS73" i="1" a="1"/>
  <c r="CS73" i="1" s="1"/>
  <c r="CS78" i="1" a="1"/>
  <c r="CS78" i="1" s="1"/>
  <c r="CS92" i="1" a="1"/>
  <c r="CS92" i="1" s="1"/>
  <c r="CS88" i="1" a="1"/>
  <c r="CS88" i="1" s="1"/>
  <c r="CS93" i="1" a="1"/>
  <c r="CS93" i="1" s="1"/>
  <c r="CS113" i="1" a="1"/>
  <c r="CS113" i="1" s="1"/>
  <c r="CS103" i="1" a="1"/>
  <c r="CS103" i="1" s="1"/>
  <c r="CS119" i="1" a="1"/>
  <c r="CS119" i="1" s="1"/>
  <c r="CS136" i="1" a="1"/>
  <c r="CS136" i="1" s="1"/>
  <c r="CS132" i="1" a="1"/>
  <c r="CS132" i="1" s="1"/>
  <c r="CS139" i="1" a="1"/>
  <c r="CS139" i="1" s="1"/>
  <c r="CS133" i="1" a="1"/>
  <c r="CS133" i="1" s="1"/>
  <c r="CS153" i="1" a="1"/>
  <c r="CS153" i="1" s="1"/>
  <c r="CS146" i="1" a="1"/>
  <c r="CS146" i="1" s="1"/>
  <c r="CS167" i="1" a="1"/>
  <c r="CS167" i="1" s="1"/>
  <c r="CS157" i="1" a="1"/>
  <c r="CS157" i="1" s="1"/>
  <c r="CS174" i="1" a="1"/>
  <c r="CS174" i="1" s="1"/>
  <c r="CS176" i="1" a="1"/>
  <c r="CS176" i="1" s="1"/>
  <c r="CS181" i="1" a="1"/>
  <c r="CS181" i="1" s="1"/>
  <c r="CS198" i="1" a="1"/>
  <c r="CS198" i="1" s="1"/>
  <c r="CS193" i="1" a="1"/>
  <c r="CS193" i="1" s="1"/>
  <c r="CS206" i="1" a="1"/>
  <c r="CS206" i="1" s="1"/>
  <c r="CS185" i="1" a="1"/>
  <c r="CS185" i="1" s="1"/>
  <c r="CS212" i="1" a="1"/>
  <c r="CS212" i="1" s="1"/>
  <c r="CS219" i="1" a="1"/>
  <c r="CS219" i="1" s="1"/>
  <c r="CS230" i="1" a="1"/>
  <c r="CS230" i="1" s="1"/>
  <c r="CS223" i="1" a="1"/>
  <c r="CS223" i="1" s="1"/>
  <c r="CS246" i="1" a="1"/>
  <c r="CS246" i="1" s="1"/>
  <c r="CS276" i="1" a="1"/>
  <c r="CS276" i="1" s="1"/>
  <c r="CS235" i="1" a="1"/>
  <c r="CS235" i="1" s="1"/>
  <c r="CS268" i="1" a="1"/>
  <c r="CS268" i="1" s="1"/>
  <c r="CS304" i="1" a="1"/>
  <c r="CS304" i="1" s="1"/>
  <c r="CS245" i="1" a="1"/>
  <c r="CS245" i="1" s="1"/>
  <c r="CS275" i="1" a="1"/>
  <c r="CS275" i="1" s="1"/>
  <c r="CS251" i="1" a="1"/>
  <c r="CS251" i="1" s="1"/>
  <c r="CS257" i="1" a="1"/>
  <c r="CS257" i="1" s="1"/>
  <c r="CS311" i="1" a="1"/>
  <c r="CS311" i="1" s="1"/>
  <c r="CS298" i="1" a="1"/>
  <c r="CS298" i="1" s="1"/>
  <c r="CS296" i="1" a="1"/>
  <c r="CS296" i="1" s="1"/>
  <c r="CS288" i="1" a="1"/>
  <c r="CS288" i="1" s="1"/>
  <c r="CS279" i="1" a="1"/>
  <c r="CS279" i="1" s="1"/>
  <c r="CS21" i="1" a="1"/>
  <c r="CS21" i="1" s="1"/>
  <c r="CS26" i="1" a="1"/>
  <c r="CS26" i="1" s="1"/>
  <c r="CS35" i="1" a="1"/>
  <c r="CS35" i="1" s="1"/>
  <c r="CS40" i="1" a="1"/>
  <c r="CS40" i="1" s="1"/>
  <c r="CS33" i="1" a="1"/>
  <c r="CS33" i="1" s="1"/>
  <c r="CS49" i="1" a="1"/>
  <c r="CS49" i="1" s="1"/>
  <c r="CS57" i="1" a="1"/>
  <c r="CS57" i="1" s="1"/>
  <c r="CS63" i="1" a="1"/>
  <c r="CS63" i="1" s="1"/>
  <c r="CS72" i="1" a="1"/>
  <c r="CS72" i="1" s="1"/>
  <c r="CS67" i="1" a="1"/>
  <c r="CS67" i="1" s="1"/>
  <c r="CS87" i="1" a="1"/>
  <c r="CS87" i="1" s="1"/>
  <c r="CS95" i="1" a="1"/>
  <c r="CS95" i="1" s="1"/>
  <c r="CS100" i="1" a="1"/>
  <c r="CS100" i="1" s="1"/>
  <c r="CS94" i="1" a="1"/>
  <c r="CS94" i="1" s="1"/>
  <c r="CS118" i="1" a="1"/>
  <c r="CS118" i="1" s="1"/>
  <c r="CS106" i="1" a="1"/>
  <c r="CS106" i="1" s="1"/>
  <c r="CS122" i="1" a="1"/>
  <c r="CS122" i="1" s="1"/>
  <c r="CS114" i="1" a="1"/>
  <c r="CS114" i="1" s="1"/>
  <c r="CS121" i="1" a="1"/>
  <c r="CS121" i="1" s="1"/>
  <c r="CS142" i="1" a="1"/>
  <c r="CS142" i="1" s="1"/>
  <c r="CS137" i="1" a="1"/>
  <c r="CS137" i="1" s="1"/>
  <c r="CS156" i="1" a="1"/>
  <c r="CS156" i="1" s="1"/>
  <c r="CS149" i="1" a="1"/>
  <c r="CS149" i="1" s="1"/>
  <c r="CS158" i="1" a="1"/>
  <c r="CS158" i="1" s="1"/>
  <c r="CS160" i="1" a="1"/>
  <c r="CS160" i="1" s="1"/>
  <c r="CS177" i="1" a="1"/>
  <c r="CS177" i="1" s="1"/>
  <c r="CS179" i="1" a="1"/>
  <c r="CS179" i="1" s="1"/>
  <c r="CS168" i="1" a="1"/>
  <c r="CS168" i="1" s="1"/>
  <c r="CS201" i="1" a="1"/>
  <c r="CS201" i="1" s="1"/>
  <c r="CS196" i="1" a="1"/>
  <c r="CS196" i="1" s="1"/>
  <c r="CS209" i="1" a="1"/>
  <c r="CS209" i="1" s="1"/>
  <c r="CS207" i="1" a="1"/>
  <c r="CS207" i="1" s="1"/>
  <c r="CS214" i="1" a="1"/>
  <c r="CS214" i="1" s="1"/>
  <c r="CS220" i="1" a="1"/>
  <c r="CS220" i="1" s="1"/>
  <c r="CS203" i="1" a="1"/>
  <c r="CS203" i="1" s="1"/>
  <c r="CS231" i="1" a="1"/>
  <c r="CS231" i="1" s="1"/>
  <c r="CS261" i="1" a="1"/>
  <c r="CS261" i="1" s="1"/>
  <c r="CS303" i="1" a="1"/>
  <c r="CS303" i="1" s="1"/>
  <c r="CS238" i="1" a="1"/>
  <c r="CS238" i="1" s="1"/>
  <c r="CS271" i="1" a="1"/>
  <c r="CS271" i="1" s="1"/>
  <c r="CS307" i="1" a="1"/>
  <c r="CS307" i="1" s="1"/>
  <c r="CS260" i="1" a="1"/>
  <c r="CS260" i="1" s="1"/>
  <c r="CS278" i="1" a="1"/>
  <c r="CS278" i="1" s="1"/>
  <c r="CS252" i="1" a="1"/>
  <c r="CS252" i="1" s="1"/>
  <c r="CS258" i="1" a="1"/>
  <c r="CS258" i="1" s="1"/>
  <c r="CS283" i="1" a="1"/>
  <c r="CS283" i="1" s="1"/>
  <c r="CS281" i="1" a="1"/>
  <c r="CS281" i="1" s="1"/>
  <c r="CS299" i="1" a="1"/>
  <c r="CS299" i="1" s="1"/>
  <c r="CS291" i="1" a="1"/>
  <c r="CS291" i="1" s="1"/>
  <c r="CS22" i="1" a="1"/>
  <c r="CS22" i="1" s="1"/>
  <c r="CS29" i="1" a="1"/>
  <c r="CS29" i="1" s="1"/>
  <c r="CS42" i="1" a="1"/>
  <c r="CS42" i="1" s="1"/>
  <c r="CS41" i="1" a="1"/>
  <c r="CS41" i="1" s="1"/>
  <c r="CS34" i="1" a="1"/>
  <c r="CS34" i="1" s="1"/>
  <c r="CS55" i="1" a="1"/>
  <c r="CS55" i="1" s="1"/>
  <c r="CS54" i="1" a="1"/>
  <c r="CS54" i="1" s="1"/>
  <c r="CS74" i="1" a="1"/>
  <c r="CS74" i="1" s="1"/>
  <c r="CS68" i="1" a="1"/>
  <c r="CS68" i="1" s="1"/>
  <c r="CS75" i="1" a="1"/>
  <c r="CS75" i="1" s="1"/>
  <c r="CS82" i="1" a="1"/>
  <c r="CS82" i="1" s="1"/>
  <c r="CS83" i="1" a="1"/>
  <c r="CS83" i="1" s="1"/>
  <c r="CS90" i="1" a="1"/>
  <c r="CS90" i="1" s="1"/>
  <c r="CS102" i="1" a="1"/>
  <c r="CS102" i="1" s="1"/>
  <c r="CS91" i="1" a="1"/>
  <c r="CS91" i="1" s="1"/>
  <c r="CS109" i="1" a="1"/>
  <c r="CS109" i="1" s="1"/>
  <c r="CS117" i="1" a="1"/>
  <c r="CS117" i="1" s="1"/>
  <c r="CS120" i="1" a="1"/>
  <c r="CS120" i="1" s="1"/>
  <c r="CS125" i="1" a="1"/>
  <c r="CS125" i="1" s="1"/>
  <c r="CS145" i="1" a="1"/>
  <c r="CS145" i="1" s="1"/>
  <c r="CS141" i="1" a="1"/>
  <c r="CS141" i="1" s="1"/>
  <c r="CS134" i="1" a="1"/>
  <c r="CS134" i="1" s="1"/>
  <c r="CS130" i="1" a="1"/>
  <c r="CS130" i="1" s="1"/>
  <c r="CS161" i="1" a="1"/>
  <c r="CS161" i="1" s="1"/>
  <c r="CS163" i="1" a="1"/>
  <c r="CS163" i="1" s="1"/>
  <c r="CS180" i="1" a="1"/>
  <c r="CS180" i="1" s="1"/>
  <c r="CS183" i="1" a="1"/>
  <c r="CS183" i="1" s="1"/>
  <c r="CS184" i="1" a="1"/>
  <c r="CS184" i="1" s="1"/>
  <c r="CS192" i="1" a="1"/>
  <c r="CS192" i="1" s="1"/>
  <c r="CS199" i="1" a="1"/>
  <c r="CS199" i="1" s="1"/>
  <c r="CS188" i="1" a="1"/>
  <c r="CS188" i="1" s="1"/>
  <c r="CS210" i="1" a="1"/>
  <c r="CS210" i="1" s="1"/>
  <c r="CS215" i="1" a="1"/>
  <c r="CS215" i="1" s="1"/>
  <c r="CS221" i="1" a="1"/>
  <c r="CS221" i="1" s="1"/>
  <c r="CS204" i="1" a="1"/>
  <c r="CS204" i="1" s="1"/>
  <c r="CS234" i="1" a="1"/>
  <c r="CS234" i="1" s="1"/>
  <c r="CS264" i="1" a="1"/>
  <c r="CS264" i="1" s="1"/>
  <c r="CS306" i="1" a="1"/>
  <c r="CS306" i="1" s="1"/>
  <c r="CS241" i="1" a="1"/>
  <c r="CS241" i="1" s="1"/>
  <c r="CS274" i="1" a="1"/>
  <c r="CS274" i="1" s="1"/>
  <c r="CS233" i="1" a="1"/>
  <c r="CS233" i="1" s="1"/>
  <c r="CS263" i="1" a="1"/>
  <c r="CS263" i="1" s="1"/>
  <c r="CS247" i="1" a="1"/>
  <c r="CS247" i="1" s="1"/>
  <c r="CS253" i="1" a="1"/>
  <c r="CS253" i="1" s="1"/>
  <c r="CS259" i="1" a="1"/>
  <c r="CS259" i="1" s="1"/>
  <c r="CS286" i="1" a="1"/>
  <c r="CS286" i="1" s="1"/>
  <c r="CS284" i="1" a="1"/>
  <c r="CS284" i="1" s="1"/>
  <c r="CS310" i="1" a="1"/>
  <c r="CS310" i="1" s="1"/>
  <c r="CS294" i="1" a="1"/>
  <c r="CS294" i="1" s="1"/>
  <c r="CS28" i="1" a="1"/>
  <c r="CS28" i="1" s="1"/>
  <c r="CS31" i="1" a="1"/>
  <c r="CS31" i="1" s="1"/>
  <c r="CS43" i="1" a="1"/>
  <c r="CS43" i="1" s="1"/>
  <c r="CS44" i="1" a="1"/>
  <c r="CS44" i="1" s="1"/>
  <c r="CS38" i="1" a="1"/>
  <c r="CS38" i="1" s="1"/>
  <c r="CS46" i="1" a="1"/>
  <c r="CS46" i="1" s="1"/>
  <c r="CS58" i="1" a="1"/>
  <c r="CS58" i="1" s="1"/>
  <c r="CS65" i="1" a="1"/>
  <c r="CS65" i="1" s="1"/>
  <c r="CS71" i="1" a="1"/>
  <c r="CS71" i="1" s="1"/>
  <c r="CS77" i="1" a="1"/>
  <c r="CS77" i="1" s="1"/>
  <c r="CS79" i="1" a="1"/>
  <c r="CS79" i="1" s="1"/>
  <c r="CS99" i="1" a="1"/>
  <c r="CS99" i="1" s="1"/>
  <c r="CS101" i="1" a="1"/>
  <c r="CS101" i="1" s="1"/>
  <c r="CS104" i="1" a="1"/>
  <c r="CS104" i="1" s="1"/>
  <c r="CS96" i="1" a="1"/>
  <c r="CS96" i="1" s="1"/>
  <c r="CS112" i="1" a="1"/>
  <c r="CS112" i="1" s="1"/>
  <c r="CS111" i="1" a="1"/>
  <c r="CS111" i="1" s="1"/>
  <c r="CS123" i="1" a="1"/>
  <c r="CS123" i="1" s="1"/>
  <c r="CS128" i="1" a="1"/>
  <c r="CS128" i="1" s="1"/>
  <c r="CS148" i="1" a="1"/>
  <c r="CS148" i="1" s="1"/>
  <c r="CS144" i="1" a="1"/>
  <c r="CS144" i="1" s="1"/>
  <c r="CS135" i="1" a="1"/>
  <c r="CS135" i="1" s="1"/>
  <c r="CS155" i="1" a="1"/>
  <c r="CS155" i="1" s="1"/>
  <c r="CS164" i="1" a="1"/>
  <c r="CS164" i="1" s="1"/>
  <c r="CS166" i="1" a="1"/>
  <c r="CS166" i="1" s="1"/>
  <c r="CS182" i="1" a="1"/>
  <c r="CS182" i="1" s="1"/>
  <c r="CS171" i="1" a="1"/>
  <c r="CS171" i="1" s="1"/>
  <c r="CS186" i="1" a="1"/>
  <c r="CS186" i="1" s="1"/>
  <c r="CS208" i="1" a="1"/>
  <c r="CS208" i="1" s="1"/>
  <c r="CS202" i="1" a="1"/>
  <c r="CS202" i="1" s="1"/>
  <c r="CS194" i="1" a="1"/>
  <c r="CS194" i="1" s="1"/>
  <c r="CS205" i="1" a="1"/>
  <c r="CS205" i="1" s="1"/>
  <c r="CS216" i="1" a="1"/>
  <c r="CS216" i="1" s="1"/>
  <c r="CS222" i="1" a="1"/>
  <c r="CS222" i="1" s="1"/>
  <c r="CS213" i="1" a="1"/>
  <c r="CS213" i="1" s="1"/>
  <c r="CS237" i="1" a="1"/>
  <c r="CS237" i="1" s="1"/>
  <c r="CS267" i="1" a="1"/>
  <c r="CS267" i="1" s="1"/>
  <c r="CS309" i="1" a="1"/>
  <c r="CS309" i="1" s="1"/>
  <c r="CS244" i="1" a="1"/>
  <c r="CS244" i="1" s="1"/>
  <c r="CS277" i="1" a="1"/>
  <c r="CS277" i="1" s="1"/>
  <c r="CS236" i="1" a="1"/>
  <c r="CS236" i="1" s="1"/>
  <c r="CS266" i="1" a="1"/>
  <c r="CS266" i="1" s="1"/>
  <c r="CS248" i="1" a="1"/>
  <c r="CS248" i="1" s="1"/>
  <c r="CS254" i="1" a="1"/>
  <c r="CS254" i="1" s="1"/>
  <c r="CS302" i="1" a="1"/>
  <c r="CS302" i="1" s="1"/>
  <c r="CS289" i="1" a="1"/>
  <c r="CS289" i="1" s="1"/>
  <c r="CS287" i="1" a="1"/>
  <c r="CS287" i="1" s="1"/>
  <c r="CS313" i="1" a="1"/>
  <c r="CS313" i="1" s="1"/>
  <c r="CS297" i="1" a="1"/>
  <c r="CS297" i="1" s="1"/>
  <c r="CS23" i="1" a="1"/>
  <c r="CS23" i="1" s="1"/>
  <c r="CS32" i="1" a="1"/>
  <c r="CS32" i="1" s="1"/>
  <c r="CS51" i="1" a="1"/>
  <c r="CS51" i="1" s="1"/>
  <c r="CS45" i="1" a="1"/>
  <c r="CS45" i="1" s="1"/>
  <c r="CS47" i="1" a="1"/>
  <c r="CS47" i="1" s="1"/>
  <c r="CS56" i="1" a="1"/>
  <c r="CS56" i="1" s="1"/>
  <c r="CS62" i="1" a="1"/>
  <c r="CS62" i="1" s="1"/>
  <c r="CS64" i="1" a="1"/>
  <c r="CS64" i="1" s="1"/>
  <c r="CS80" i="1" a="1"/>
  <c r="CS80" i="1" s="1"/>
  <c r="CS81" i="1" a="1"/>
  <c r="CS81" i="1" s="1"/>
  <c r="CS86" i="1" a="1"/>
  <c r="CS86" i="1" s="1"/>
  <c r="CS76" i="1" a="1"/>
  <c r="CS76" i="1" s="1"/>
  <c r="CS105" i="1" a="1"/>
  <c r="CS105" i="1" s="1"/>
  <c r="CS107" i="1" a="1"/>
  <c r="CS107" i="1" s="1"/>
  <c r="CS97" i="1" a="1"/>
  <c r="CS97" i="1" s="1"/>
  <c r="CS115" i="1" a="1"/>
  <c r="CS115" i="1" s="1"/>
  <c r="CS124" i="1" a="1"/>
  <c r="CS124" i="1" s="1"/>
  <c r="CS126" i="1" a="1"/>
  <c r="CS126" i="1" s="1"/>
  <c r="CS131" i="1" a="1"/>
  <c r="CS131" i="1" s="1"/>
  <c r="CS151" i="1" a="1"/>
  <c r="CS151" i="1" s="1"/>
  <c r="CS147" i="1" a="1"/>
  <c r="CS147" i="1" s="1"/>
  <c r="CS140" i="1" a="1"/>
  <c r="CS140" i="1" s="1"/>
  <c r="CS159" i="1" a="1"/>
  <c r="CS159" i="1" s="1"/>
  <c r="CS165" i="1" a="1"/>
  <c r="CS165" i="1" s="1"/>
  <c r="CS169" i="1" a="1"/>
  <c r="CS169" i="1" s="1"/>
  <c r="CS170" i="1" a="1"/>
  <c r="CS170" i="1" s="1"/>
  <c r="CS175" i="1" a="1"/>
  <c r="CS175" i="1" s="1"/>
  <c r="CS189" i="1" a="1"/>
  <c r="CS189" i="1" s="1"/>
  <c r="CS211" i="1" a="1"/>
  <c r="CS211" i="1" s="1"/>
  <c r="CS190" i="1" a="1"/>
  <c r="CS190" i="1" s="1"/>
  <c r="CS197" i="1" a="1"/>
  <c r="CS197" i="1" s="1"/>
  <c r="CS226" i="1" a="1"/>
  <c r="CS226" i="1" s="1"/>
  <c r="CS217" i="1" a="1"/>
  <c r="CS217" i="1" s="1"/>
  <c r="CS224" i="1" a="1"/>
  <c r="CS224" i="1" s="1"/>
  <c r="CS225" i="1" a="1"/>
  <c r="CS225" i="1" s="1"/>
  <c r="CS240" i="1" a="1"/>
  <c r="CS240" i="1" s="1"/>
  <c r="CS270" i="1" a="1"/>
  <c r="CS270" i="1" s="1"/>
  <c r="CS312" i="1" a="1"/>
  <c r="CS312" i="1" s="1"/>
  <c r="CS262" i="1" a="1"/>
  <c r="CS262" i="1" s="1"/>
  <c r="CS280" i="1" a="1"/>
  <c r="CS280" i="1" s="1"/>
  <c r="CS239" i="1" a="1"/>
  <c r="CS239" i="1" s="1"/>
  <c r="CS269" i="1" a="1"/>
  <c r="CS269" i="1" s="1"/>
  <c r="CS249" i="1" a="1"/>
  <c r="CS249" i="1" s="1"/>
  <c r="CS255" i="1" a="1"/>
  <c r="CS255" i="1" s="1"/>
  <c r="CS305" i="1" a="1"/>
  <c r="CS305" i="1" s="1"/>
  <c r="CS292" i="1" a="1"/>
  <c r="CS292" i="1" s="1"/>
  <c r="CS290" i="1" a="1"/>
  <c r="CS290" i="1" s="1"/>
  <c r="CS282" i="1" a="1"/>
  <c r="CS282" i="1" s="1"/>
  <c r="CS300" i="1" a="1"/>
  <c r="CS300" i="1" s="1"/>
  <c r="CS24" i="1" a="1"/>
  <c r="CS24" i="1" s="1"/>
  <c r="CS27" i="1" a="1"/>
  <c r="CS27" i="1" s="1"/>
  <c r="CS36" i="1" a="1"/>
  <c r="CS36" i="1" s="1"/>
  <c r="CS52" i="1" a="1"/>
  <c r="CS52" i="1" s="1"/>
  <c r="CS50" i="1" a="1"/>
  <c r="CS50" i="1" s="1"/>
  <c r="CS60" i="1" a="1"/>
  <c r="CS60" i="1" s="1"/>
  <c r="CS59" i="1" a="1"/>
  <c r="CS59" i="1" s="1"/>
  <c r="CS66" i="1" a="1"/>
  <c r="CS66" i="1" s="1"/>
  <c r="CS70" i="1" a="1"/>
  <c r="CS70" i="1" s="1"/>
  <c r="CS84" i="1" a="1"/>
  <c r="CS84" i="1" s="1"/>
  <c r="CS89" i="1" a="1"/>
  <c r="CS89" i="1" s="1"/>
  <c r="CS85" i="1" a="1"/>
  <c r="CS85" i="1" s="1"/>
  <c r="CS108" i="1" a="1"/>
  <c r="CS108" i="1" s="1"/>
  <c r="CS110" i="1" a="1"/>
  <c r="CS110" i="1" s="1"/>
  <c r="CS98" i="1" a="1"/>
  <c r="CS98" i="1" s="1"/>
  <c r="CS116" i="1" a="1"/>
  <c r="CS116" i="1" s="1"/>
  <c r="CS127" i="1" a="1"/>
  <c r="CS127" i="1" s="1"/>
  <c r="CS129" i="1" a="1"/>
  <c r="CS129" i="1" s="1"/>
  <c r="CS138" i="1" a="1"/>
  <c r="CS138" i="1" s="1"/>
  <c r="CS152" i="1" a="1"/>
  <c r="CS152" i="1" s="1"/>
  <c r="CS150" i="1" a="1"/>
  <c r="CS150" i="1" s="1"/>
  <c r="CS143" i="1" a="1"/>
  <c r="CS143" i="1" s="1"/>
  <c r="CS162" i="1" a="1"/>
  <c r="CS162" i="1" s="1"/>
  <c r="CS154" i="1" a="1"/>
  <c r="CS154" i="1" s="1"/>
  <c r="CS172" i="1" a="1"/>
  <c r="CS172" i="1" s="1"/>
  <c r="CS173" i="1" a="1"/>
  <c r="CS173" i="1" s="1"/>
  <c r="CS178" i="1" a="1"/>
  <c r="CS178" i="1" s="1"/>
  <c r="CS195" i="1" a="1"/>
  <c r="CS195" i="1" s="1"/>
  <c r="CS187" i="1" a="1"/>
  <c r="CS187" i="1" s="1"/>
  <c r="CS191" i="1" a="1"/>
  <c r="CS191" i="1" s="1"/>
  <c r="CS200" i="1" a="1"/>
  <c r="CS200" i="1" s="1"/>
  <c r="CS229" i="1" a="1"/>
  <c r="CS229" i="1" s="1"/>
  <c r="CS218" i="1" a="1"/>
  <c r="CS218" i="1" s="1"/>
  <c r="CS227" i="1" a="1"/>
  <c r="CS227" i="1" s="1"/>
  <c r="CS228" i="1" a="1"/>
  <c r="CS228" i="1" s="1"/>
  <c r="CS243" i="1" a="1"/>
  <c r="CS243" i="1" s="1"/>
  <c r="CS273" i="1" a="1"/>
  <c r="CS273" i="1" s="1"/>
  <c r="CS232" i="1" a="1"/>
  <c r="CS232" i="1" s="1"/>
  <c r="CS265" i="1" a="1"/>
  <c r="CS265" i="1" s="1"/>
  <c r="CS301" i="1" a="1"/>
  <c r="CS301" i="1" s="1"/>
  <c r="CS242" i="1" a="1"/>
  <c r="CS242" i="1" s="1"/>
  <c r="CS272" i="1" a="1"/>
  <c r="CS272" i="1" s="1"/>
  <c r="CS250" i="1" a="1"/>
  <c r="CS250" i="1" s="1"/>
  <c r="CS256" i="1" a="1"/>
  <c r="CS256" i="1" s="1"/>
  <c r="CS308" i="1" a="1"/>
  <c r="CS308" i="1" s="1"/>
  <c r="CS295" i="1" a="1"/>
  <c r="CS295" i="1" s="1"/>
  <c r="CS293" i="1" a="1"/>
  <c r="CS293" i="1" s="1"/>
  <c r="CS285" i="1" a="1"/>
  <c r="CS285" i="1" s="1"/>
  <c r="CS314" i="1" a="1"/>
  <c r="CS314" i="1" s="1"/>
  <c r="CM21" i="1" a="1"/>
  <c r="CM21" i="1" s="1"/>
  <c r="CM22" i="1" a="1"/>
  <c r="CM22" i="1" s="1"/>
  <c r="CM28" i="1" a="1"/>
  <c r="CM28" i="1" s="1"/>
  <c r="CM29" i="1" a="1"/>
  <c r="CM29" i="1" s="1"/>
  <c r="CM32" i="1" a="1"/>
  <c r="CM32" i="1" s="1"/>
  <c r="CM30" i="1" a="1"/>
  <c r="CM30" i="1" s="1"/>
  <c r="CM23" i="1" a="1"/>
  <c r="CM23" i="1" s="1"/>
  <c r="CM24" i="1" a="1"/>
  <c r="CM24" i="1" s="1"/>
  <c r="CM25" i="1" a="1"/>
  <c r="CM25" i="1" s="1"/>
  <c r="CM26" i="1" a="1"/>
  <c r="CM26" i="1" s="1"/>
  <c r="CM27" i="1" a="1"/>
  <c r="CM27" i="1" s="1"/>
  <c r="CM31" i="1" a="1"/>
  <c r="CM31" i="1" s="1"/>
  <c r="CM35" i="1" a="1"/>
  <c r="CM35" i="1" s="1"/>
  <c r="CM33" i="1" a="1"/>
  <c r="CM33" i="1" s="1"/>
  <c r="CM34" i="1" a="1"/>
  <c r="CM34" i="1" s="1"/>
  <c r="CM39" i="1" a="1"/>
  <c r="CM39" i="1" s="1"/>
  <c r="CM40" i="1" a="1"/>
  <c r="CM40" i="1" s="1"/>
  <c r="CM41" i="1" a="1"/>
  <c r="CM41" i="1" s="1"/>
  <c r="CM42" i="1" a="1"/>
  <c r="CM42" i="1" s="1"/>
  <c r="CM43" i="1" a="1"/>
  <c r="CM43" i="1" s="1"/>
  <c r="CM51" i="1" a="1"/>
  <c r="CM51" i="1" s="1"/>
  <c r="CM44" i="1" a="1"/>
  <c r="CM44" i="1" s="1"/>
  <c r="CM45" i="1" a="1"/>
  <c r="CM45" i="1" s="1"/>
  <c r="CM52" i="1" a="1"/>
  <c r="CM52" i="1" s="1"/>
  <c r="CM36" i="1" a="1"/>
  <c r="CM36" i="1" s="1"/>
  <c r="CM37" i="1" a="1"/>
  <c r="CM37" i="1" s="1"/>
  <c r="CM38" i="1" a="1"/>
  <c r="CM38" i="1" s="1"/>
  <c r="CM47" i="1" a="1"/>
  <c r="CM47" i="1" s="1"/>
  <c r="CM50" i="1" a="1"/>
  <c r="CM50" i="1" s="1"/>
  <c r="CM48" i="1" a="1"/>
  <c r="CM48" i="1" s="1"/>
  <c r="CM49" i="1" a="1"/>
  <c r="CM49" i="1" s="1"/>
  <c r="CM54" i="1" a="1"/>
  <c r="CM54" i="1" s="1"/>
  <c r="CM55" i="1" a="1"/>
  <c r="CM55" i="1" s="1"/>
  <c r="CM46" i="1" a="1"/>
  <c r="CM46" i="1" s="1"/>
  <c r="CM53" i="1" a="1"/>
  <c r="CM53" i="1" s="1"/>
  <c r="CM56" i="1" a="1"/>
  <c r="CM56" i="1" s="1"/>
  <c r="CM60" i="1" a="1"/>
  <c r="CM60" i="1" s="1"/>
  <c r="CM57" i="1" a="1"/>
  <c r="CM57" i="1" s="1"/>
  <c r="CM58" i="1" a="1"/>
  <c r="CM58" i="1" s="1"/>
  <c r="CM62" i="1" a="1"/>
  <c r="CM62" i="1" s="1"/>
  <c r="CM64" i="1" a="1"/>
  <c r="CM64" i="1" s="1"/>
  <c r="CM74" i="1" a="1"/>
  <c r="CM74" i="1" s="1"/>
  <c r="CM65" i="1" a="1"/>
  <c r="CM65" i="1" s="1"/>
  <c r="CM59" i="1" a="1"/>
  <c r="CM59" i="1" s="1"/>
  <c r="CM61" i="1" a="1"/>
  <c r="CM61" i="1" s="1"/>
  <c r="CM66" i="1" a="1"/>
  <c r="CM66" i="1" s="1"/>
  <c r="CM69" i="1" a="1"/>
  <c r="CM69" i="1" s="1"/>
  <c r="CM70" i="1" a="1"/>
  <c r="CM70" i="1" s="1"/>
  <c r="CM73" i="1" a="1"/>
  <c r="CM73" i="1" s="1"/>
  <c r="CM63" i="1" a="1"/>
  <c r="CM63" i="1" s="1"/>
  <c r="CM75" i="1" a="1"/>
  <c r="CM75" i="1" s="1"/>
  <c r="CM72" i="1" a="1"/>
  <c r="CM72" i="1" s="1"/>
  <c r="CM80" i="1" a="1"/>
  <c r="CM80" i="1" s="1"/>
  <c r="CM71" i="1" a="1"/>
  <c r="CM71" i="1" s="1"/>
  <c r="CM67" i="1" a="1"/>
  <c r="CM67" i="1" s="1"/>
  <c r="CM68" i="1" a="1"/>
  <c r="CM68" i="1" s="1"/>
  <c r="CM76" i="1" a="1"/>
  <c r="CM76" i="1" s="1"/>
  <c r="CM77" i="1" a="1"/>
  <c r="CM77" i="1" s="1"/>
  <c r="CM81" i="1" a="1"/>
  <c r="CM81" i="1" s="1"/>
  <c r="CM84" i="1" a="1"/>
  <c r="CM84" i="1" s="1"/>
  <c r="CM78" i="1" a="1"/>
  <c r="CM78" i="1" s="1"/>
  <c r="CM85" i="1" a="1"/>
  <c r="CM85" i="1" s="1"/>
  <c r="CM88" i="1" a="1"/>
  <c r="CM88" i="1" s="1"/>
  <c r="CM83" i="1" a="1"/>
  <c r="CM83" i="1" s="1"/>
  <c r="CM79" i="1" a="1"/>
  <c r="CM79" i="1" s="1"/>
  <c r="CM87" i="1" a="1"/>
  <c r="CM87" i="1" s="1"/>
  <c r="CM90" i="1" a="1"/>
  <c r="CM90" i="1" s="1"/>
  <c r="CM93" i="1" a="1"/>
  <c r="CM93" i="1" s="1"/>
  <c r="CM96" i="1" a="1"/>
  <c r="CM96" i="1" s="1"/>
  <c r="CM99" i="1" a="1"/>
  <c r="CM99" i="1" s="1"/>
  <c r="CM86" i="1" a="1"/>
  <c r="CM86" i="1" s="1"/>
  <c r="CM89" i="1" a="1"/>
  <c r="CM89" i="1" s="1"/>
  <c r="CM82" i="1" a="1"/>
  <c r="CM82" i="1" s="1"/>
  <c r="CM100" i="1" a="1"/>
  <c r="CM100" i="1" s="1"/>
  <c r="CM103" i="1" a="1"/>
  <c r="CM103" i="1" s="1"/>
  <c r="CM95" i="1" a="1"/>
  <c r="CM95" i="1" s="1"/>
  <c r="CM91" i="1" a="1"/>
  <c r="CM91" i="1" s="1"/>
  <c r="CM102" i="1" a="1"/>
  <c r="CM102" i="1" s="1"/>
  <c r="CM106" i="1" a="1"/>
  <c r="CM106" i="1" s="1"/>
  <c r="CM109" i="1" a="1"/>
  <c r="CM109" i="1" s="1"/>
  <c r="CM94" i="1" a="1"/>
  <c r="CM94" i="1" s="1"/>
  <c r="CM105" i="1" a="1"/>
  <c r="CM105" i="1" s="1"/>
  <c r="CM108" i="1" a="1"/>
  <c r="CM108" i="1" s="1"/>
  <c r="CM111" i="1" a="1"/>
  <c r="CM111" i="1" s="1"/>
  <c r="CM114" i="1" a="1"/>
  <c r="CM114" i="1" s="1"/>
  <c r="CM118" i="1" a="1"/>
  <c r="CM118" i="1" s="1"/>
  <c r="CM92" i="1" a="1"/>
  <c r="CM92" i="1" s="1"/>
  <c r="CM97" i="1" a="1"/>
  <c r="CM97" i="1" s="1"/>
  <c r="CM98" i="1" a="1"/>
  <c r="CM98" i="1" s="1"/>
  <c r="CM101" i="1" a="1"/>
  <c r="CM101" i="1" s="1"/>
  <c r="CM104" i="1" a="1"/>
  <c r="CM104" i="1" s="1"/>
  <c r="CM107" i="1" a="1"/>
  <c r="CM107" i="1" s="1"/>
  <c r="CM110" i="1" a="1"/>
  <c r="CM110" i="1" s="1"/>
  <c r="CM113" i="1" a="1"/>
  <c r="CM113" i="1" s="1"/>
  <c r="CM116" i="1" a="1"/>
  <c r="CM116" i="1" s="1"/>
  <c r="CM119" i="1" a="1"/>
  <c r="CM119" i="1" s="1"/>
  <c r="CM122" i="1" a="1"/>
  <c r="CM122" i="1" s="1"/>
  <c r="CM117" i="1" a="1"/>
  <c r="CM117" i="1" s="1"/>
  <c r="CM112" i="1" a="1"/>
  <c r="CM112" i="1" s="1"/>
  <c r="CM120" i="1" a="1"/>
  <c r="CM120" i="1" s="1"/>
  <c r="CM125" i="1" a="1"/>
  <c r="CM125" i="1" s="1"/>
  <c r="CM128" i="1" a="1"/>
  <c r="CM128" i="1" s="1"/>
  <c r="CM136" i="1" a="1"/>
  <c r="CM136" i="1" s="1"/>
  <c r="CM115" i="1" a="1"/>
  <c r="CM115" i="1" s="1"/>
  <c r="CM121" i="1" a="1"/>
  <c r="CM121" i="1" s="1"/>
  <c r="CM124" i="1" a="1"/>
  <c r="CM124" i="1" s="1"/>
  <c r="CM127" i="1" a="1"/>
  <c r="CM127" i="1" s="1"/>
  <c r="CM130" i="1" a="1"/>
  <c r="CM130" i="1" s="1"/>
  <c r="CM133" i="1" a="1"/>
  <c r="CM133" i="1" s="1"/>
  <c r="CM123" i="1" a="1"/>
  <c r="CM123" i="1" s="1"/>
  <c r="CM126" i="1" a="1"/>
  <c r="CM126" i="1" s="1"/>
  <c r="CM129" i="1" a="1"/>
  <c r="CM129" i="1" s="1"/>
  <c r="CM132" i="1" a="1"/>
  <c r="CM132" i="1" s="1"/>
  <c r="CM140" i="1" a="1"/>
  <c r="CM140" i="1" s="1"/>
  <c r="CM143" i="1" a="1"/>
  <c r="CM143" i="1" s="1"/>
  <c r="CM146" i="1" a="1"/>
  <c r="CM146" i="1" s="1"/>
  <c r="CM149" i="1" a="1"/>
  <c r="CM149" i="1" s="1"/>
  <c r="CM152" i="1" a="1"/>
  <c r="CM152" i="1" s="1"/>
  <c r="CM137" i="1" a="1"/>
  <c r="CM137" i="1" s="1"/>
  <c r="CM139" i="1" a="1"/>
  <c r="CM139" i="1" s="1"/>
  <c r="CM142" i="1" a="1"/>
  <c r="CM142" i="1" s="1"/>
  <c r="CM145" i="1" a="1"/>
  <c r="CM145" i="1" s="1"/>
  <c r="CM148" i="1" a="1"/>
  <c r="CM148" i="1" s="1"/>
  <c r="CM151" i="1" a="1"/>
  <c r="CM151" i="1" s="1"/>
  <c r="CM153" i="1" a="1"/>
  <c r="CM153" i="1" s="1"/>
  <c r="CM156" i="1" a="1"/>
  <c r="CM156" i="1" s="1"/>
  <c r="CM134" i="1" a="1"/>
  <c r="CM134" i="1" s="1"/>
  <c r="CM135" i="1" a="1"/>
  <c r="CM135" i="1" s="1"/>
  <c r="CM131" i="1" a="1"/>
  <c r="CM131" i="1" s="1"/>
  <c r="CM138" i="1" a="1"/>
  <c r="CM138" i="1" s="1"/>
  <c r="CM141" i="1" a="1"/>
  <c r="CM141" i="1" s="1"/>
  <c r="CM144" i="1" a="1"/>
  <c r="CM144" i="1" s="1"/>
  <c r="CM147" i="1" a="1"/>
  <c r="CM147" i="1" s="1"/>
  <c r="CM150" i="1" a="1"/>
  <c r="CM150" i="1" s="1"/>
  <c r="CM157" i="1" a="1"/>
  <c r="CM157" i="1" s="1"/>
  <c r="CM160" i="1" a="1"/>
  <c r="CM160" i="1" s="1"/>
  <c r="CM163" i="1" a="1"/>
  <c r="CM163" i="1" s="1"/>
  <c r="CM167" i="1" a="1"/>
  <c r="CM167" i="1" s="1"/>
  <c r="CM159" i="1" a="1"/>
  <c r="CM159" i="1" s="1"/>
  <c r="CM162" i="1" a="1"/>
  <c r="CM162" i="1" s="1"/>
  <c r="CM165" i="1" a="1"/>
  <c r="CM165" i="1" s="1"/>
  <c r="CM168" i="1" a="1"/>
  <c r="CM168" i="1" s="1"/>
  <c r="CM154" i="1" a="1"/>
  <c r="CM154" i="1" s="1"/>
  <c r="CM155" i="1" a="1"/>
  <c r="CM155" i="1" s="1"/>
  <c r="CM158" i="1" a="1"/>
  <c r="CM158" i="1" s="1"/>
  <c r="CM161" i="1" a="1"/>
  <c r="CM161" i="1" s="1"/>
  <c r="CM164" i="1" a="1"/>
  <c r="CM164" i="1" s="1"/>
  <c r="CM166" i="1" a="1"/>
  <c r="CM166" i="1" s="1"/>
  <c r="CM169" i="1" a="1"/>
  <c r="CM169" i="1" s="1"/>
  <c r="CM172" i="1" a="1"/>
  <c r="CM172" i="1" s="1"/>
  <c r="CM173" i="1" a="1"/>
  <c r="CM173" i="1" s="1"/>
  <c r="CM175" i="1" a="1"/>
  <c r="CM175" i="1" s="1"/>
  <c r="CM178" i="1" a="1"/>
  <c r="CM178" i="1" s="1"/>
  <c r="CM181" i="1" a="1"/>
  <c r="CM181" i="1" s="1"/>
  <c r="CM182" i="1" a="1"/>
  <c r="CM182" i="1" s="1"/>
  <c r="CM174" i="1" a="1"/>
  <c r="CM174" i="1" s="1"/>
  <c r="CM177" i="1" a="1"/>
  <c r="CM177" i="1" s="1"/>
  <c r="CM180" i="1" a="1"/>
  <c r="CM180" i="1" s="1"/>
  <c r="CM183" i="1" a="1"/>
  <c r="CM183" i="1" s="1"/>
  <c r="CM170" i="1" a="1"/>
  <c r="CM170" i="1" s="1"/>
  <c r="CM171" i="1" a="1"/>
  <c r="CM171" i="1" s="1"/>
  <c r="CM176" i="1" a="1"/>
  <c r="CM176" i="1" s="1"/>
  <c r="CM179" i="1" a="1"/>
  <c r="CM179" i="1" s="1"/>
  <c r="CM184" i="1" a="1"/>
  <c r="CM184" i="1" s="1"/>
  <c r="CM189" i="1" a="1"/>
  <c r="CM189" i="1" s="1"/>
  <c r="CM195" i="1" a="1"/>
  <c r="CM195" i="1" s="1"/>
  <c r="CM198" i="1" a="1"/>
  <c r="CM198" i="1" s="1"/>
  <c r="CM201" i="1" a="1"/>
  <c r="CM201" i="1" s="1"/>
  <c r="CM185" i="1" a="1"/>
  <c r="CM185" i="1" s="1"/>
  <c r="CM186" i="1" a="1"/>
  <c r="CM186" i="1" s="1"/>
  <c r="CM208" i="1" a="1"/>
  <c r="CM208" i="1" s="1"/>
  <c r="CM211" i="1" a="1"/>
  <c r="CM211" i="1" s="1"/>
  <c r="CM187" i="1" a="1"/>
  <c r="CM187" i="1" s="1"/>
  <c r="CM190" i="1" a="1"/>
  <c r="CM190" i="1" s="1"/>
  <c r="CM193" i="1" a="1"/>
  <c r="CM193" i="1" s="1"/>
  <c r="CM196" i="1" a="1"/>
  <c r="CM196" i="1" s="1"/>
  <c r="CM199" i="1" a="1"/>
  <c r="CM199" i="1" s="1"/>
  <c r="CM202" i="1" a="1"/>
  <c r="CM202" i="1" s="1"/>
  <c r="CM192" i="1" a="1"/>
  <c r="CM192" i="1" s="1"/>
  <c r="CM206" i="1" a="1"/>
  <c r="CM206" i="1" s="1"/>
  <c r="CM209" i="1" a="1"/>
  <c r="CM209" i="1" s="1"/>
  <c r="CM188" i="1" a="1"/>
  <c r="CM188" i="1" s="1"/>
  <c r="CM194" i="1" a="1"/>
  <c r="CM194" i="1" s="1"/>
  <c r="CM197" i="1" a="1"/>
  <c r="CM197" i="1" s="1"/>
  <c r="CM200" i="1" a="1"/>
  <c r="CM200" i="1" s="1"/>
  <c r="CM191" i="1" a="1"/>
  <c r="CM191" i="1" s="1"/>
  <c r="CM207" i="1" a="1"/>
  <c r="CM207" i="1" s="1"/>
  <c r="CM210" i="1" a="1"/>
  <c r="CM210" i="1" s="1"/>
  <c r="CM204" i="1" a="1"/>
  <c r="CM204" i="1" s="1"/>
  <c r="CM205" i="1" a="1"/>
  <c r="CM205" i="1" s="1"/>
  <c r="CM214" i="1" a="1"/>
  <c r="CM214" i="1" s="1"/>
  <c r="CM215" i="1" a="1"/>
  <c r="CM215" i="1" s="1"/>
  <c r="CM216" i="1" a="1"/>
  <c r="CM216" i="1" s="1"/>
  <c r="CM217" i="1" a="1"/>
  <c r="CM217" i="1" s="1"/>
  <c r="CM218" i="1" a="1"/>
  <c r="CM218" i="1" s="1"/>
  <c r="CM219" i="1" a="1"/>
  <c r="CM219" i="1" s="1"/>
  <c r="CM220" i="1" a="1"/>
  <c r="CM220" i="1" s="1"/>
  <c r="CM221" i="1" a="1"/>
  <c r="CM221" i="1" s="1"/>
  <c r="CM222" i="1" a="1"/>
  <c r="CM222" i="1" s="1"/>
  <c r="CM226" i="1" a="1"/>
  <c r="CM226" i="1" s="1"/>
  <c r="CM229" i="1" a="1"/>
  <c r="CM229" i="1" s="1"/>
  <c r="CM203" i="1" a="1"/>
  <c r="CM203" i="1" s="1"/>
  <c r="CM223" i="1" a="1"/>
  <c r="CM223" i="1" s="1"/>
  <c r="CM212" i="1" a="1"/>
  <c r="CM212" i="1" s="1"/>
  <c r="CM224" i="1" a="1"/>
  <c r="CM224" i="1" s="1"/>
  <c r="CM227" i="1" a="1"/>
  <c r="CM227" i="1" s="1"/>
  <c r="CM230" i="1" a="1"/>
  <c r="CM230" i="1" s="1"/>
  <c r="CM213" i="1" a="1"/>
  <c r="CM213" i="1" s="1"/>
  <c r="CM225" i="1" a="1"/>
  <c r="CM225" i="1" s="1"/>
  <c r="CM228" i="1" a="1"/>
  <c r="CM228" i="1" s="1"/>
  <c r="CM231" i="1" a="1"/>
  <c r="CM231" i="1" s="1"/>
  <c r="CM234" i="1" a="1"/>
  <c r="CM234" i="1" s="1"/>
  <c r="CM237" i="1" a="1"/>
  <c r="CM237" i="1" s="1"/>
  <c r="CM240" i="1" a="1"/>
  <c r="CM240" i="1" s="1"/>
  <c r="CM243" i="1" a="1"/>
  <c r="CM243" i="1" s="1"/>
  <c r="CM246" i="1" a="1"/>
  <c r="CM246" i="1" s="1"/>
  <c r="CM261" i="1" a="1"/>
  <c r="CM261" i="1" s="1"/>
  <c r="CM264" i="1" a="1"/>
  <c r="CM264" i="1" s="1"/>
  <c r="CM267" i="1" a="1"/>
  <c r="CM267" i="1" s="1"/>
  <c r="CM270" i="1" a="1"/>
  <c r="CM270" i="1" s="1"/>
  <c r="CM273" i="1" a="1"/>
  <c r="CM273" i="1" s="1"/>
  <c r="CM276" i="1" a="1"/>
  <c r="CM276" i="1" s="1"/>
  <c r="CM303" i="1" a="1"/>
  <c r="CM303" i="1" s="1"/>
  <c r="CM306" i="1" a="1"/>
  <c r="CM306" i="1" s="1"/>
  <c r="CM309" i="1" a="1"/>
  <c r="CM309" i="1" s="1"/>
  <c r="CM312" i="1" a="1"/>
  <c r="CM312" i="1" s="1"/>
  <c r="CM232" i="1" a="1"/>
  <c r="CM232" i="1" s="1"/>
  <c r="CM235" i="1" a="1"/>
  <c r="CM235" i="1" s="1"/>
  <c r="CM238" i="1" a="1"/>
  <c r="CM238" i="1" s="1"/>
  <c r="CM241" i="1" a="1"/>
  <c r="CM241" i="1" s="1"/>
  <c r="CM244" i="1" a="1"/>
  <c r="CM244" i="1" s="1"/>
  <c r="CM262" i="1" a="1"/>
  <c r="CM262" i="1" s="1"/>
  <c r="CM265" i="1" a="1"/>
  <c r="CM265" i="1" s="1"/>
  <c r="CM268" i="1" a="1"/>
  <c r="CM268" i="1" s="1"/>
  <c r="CM271" i="1" a="1"/>
  <c r="CM271" i="1" s="1"/>
  <c r="CM274" i="1" a="1"/>
  <c r="CM274" i="1" s="1"/>
  <c r="CM277" i="1" a="1"/>
  <c r="CM277" i="1" s="1"/>
  <c r="CM280" i="1" a="1"/>
  <c r="CM280" i="1" s="1"/>
  <c r="CM247" i="1" a="1"/>
  <c r="CM247" i="1" s="1"/>
  <c r="CM248" i="1" a="1"/>
  <c r="CM248" i="1" s="1"/>
  <c r="CM249" i="1" a="1"/>
  <c r="CM249" i="1" s="1"/>
  <c r="CM250" i="1" a="1"/>
  <c r="CM250" i="1" s="1"/>
  <c r="CM251" i="1" a="1"/>
  <c r="CM251" i="1" s="1"/>
  <c r="CM252" i="1" a="1"/>
  <c r="CM252" i="1" s="1"/>
  <c r="CM253" i="1" a="1"/>
  <c r="CM253" i="1" s="1"/>
  <c r="CM254" i="1" a="1"/>
  <c r="CM254" i="1" s="1"/>
  <c r="CM255" i="1" a="1"/>
  <c r="CM255" i="1" s="1"/>
  <c r="CM256" i="1" a="1"/>
  <c r="CM256" i="1" s="1"/>
  <c r="CM257" i="1" a="1"/>
  <c r="CM257" i="1" s="1"/>
  <c r="CM258" i="1" a="1"/>
  <c r="CM258" i="1" s="1"/>
  <c r="CM259" i="1" a="1"/>
  <c r="CM259" i="1" s="1"/>
  <c r="CM301" i="1" a="1"/>
  <c r="CM301" i="1" s="1"/>
  <c r="CM304" i="1" a="1"/>
  <c r="CM304" i="1" s="1"/>
  <c r="CM307" i="1" a="1"/>
  <c r="CM307" i="1" s="1"/>
  <c r="CM233" i="1" a="1"/>
  <c r="CM233" i="1" s="1"/>
  <c r="CM236" i="1" a="1"/>
  <c r="CM236" i="1" s="1"/>
  <c r="CM239" i="1" a="1"/>
  <c r="CM239" i="1" s="1"/>
  <c r="CM242" i="1" a="1"/>
  <c r="CM242" i="1" s="1"/>
  <c r="CM245" i="1" a="1"/>
  <c r="CM245" i="1" s="1"/>
  <c r="CM260" i="1" a="1"/>
  <c r="CM260" i="1" s="1"/>
  <c r="CM263" i="1" a="1"/>
  <c r="CM263" i="1" s="1"/>
  <c r="CM266" i="1" a="1"/>
  <c r="CM266" i="1" s="1"/>
  <c r="CM269" i="1" a="1"/>
  <c r="CM269" i="1" s="1"/>
  <c r="CM272" i="1" a="1"/>
  <c r="CM272" i="1" s="1"/>
  <c r="CM275" i="1" a="1"/>
  <c r="CM275" i="1" s="1"/>
  <c r="CM278" i="1" a="1"/>
  <c r="CM278" i="1" s="1"/>
  <c r="CM302" i="1" a="1"/>
  <c r="CM302" i="1" s="1"/>
  <c r="CM305" i="1" a="1"/>
  <c r="CM305" i="1" s="1"/>
  <c r="CM308" i="1" a="1"/>
  <c r="CM308" i="1" s="1"/>
  <c r="CM311" i="1" a="1"/>
  <c r="CM311" i="1" s="1"/>
  <c r="CM283" i="1" a="1"/>
  <c r="CM283" i="1" s="1"/>
  <c r="CM286" i="1" a="1"/>
  <c r="CM286" i="1" s="1"/>
  <c r="CM289" i="1" a="1"/>
  <c r="CM289" i="1" s="1"/>
  <c r="CM292" i="1" a="1"/>
  <c r="CM292" i="1" s="1"/>
  <c r="CM295" i="1" a="1"/>
  <c r="CM295" i="1" s="1"/>
  <c r="CM298" i="1" a="1"/>
  <c r="CM298" i="1" s="1"/>
  <c r="CM310" i="1" a="1"/>
  <c r="CM310" i="1" s="1"/>
  <c r="CM281" i="1" a="1"/>
  <c r="CM281" i="1" s="1"/>
  <c r="CM284" i="1" a="1"/>
  <c r="CM284" i="1" s="1"/>
  <c r="CM287" i="1" a="1"/>
  <c r="CM287" i="1" s="1"/>
  <c r="CM290" i="1" a="1"/>
  <c r="CM290" i="1" s="1"/>
  <c r="CM293" i="1" a="1"/>
  <c r="CM293" i="1" s="1"/>
  <c r="CM296" i="1" a="1"/>
  <c r="CM296" i="1" s="1"/>
  <c r="CM299" i="1" a="1"/>
  <c r="CM299" i="1" s="1"/>
  <c r="CM313" i="1" a="1"/>
  <c r="CM313" i="1" s="1"/>
  <c r="CM279" i="1" a="1"/>
  <c r="CM279" i="1" s="1"/>
  <c r="CM282" i="1" a="1"/>
  <c r="CM282" i="1" s="1"/>
  <c r="CM285" i="1" a="1"/>
  <c r="CM285" i="1" s="1"/>
  <c r="CM288" i="1" a="1"/>
  <c r="CM288" i="1" s="1"/>
  <c r="CM291" i="1" a="1"/>
  <c r="CM291" i="1" s="1"/>
  <c r="CM294" i="1" a="1"/>
  <c r="CM294" i="1" s="1"/>
  <c r="CM297" i="1" a="1"/>
  <c r="CM297" i="1" s="1"/>
  <c r="CM300" i="1" a="1"/>
  <c r="CM300" i="1" s="1"/>
  <c r="CM314" i="1" a="1"/>
  <c r="CM314" i="1" s="1"/>
  <c r="CY24" i="1" a="1"/>
  <c r="CY24" i="1" s="1"/>
  <c r="CY26" i="1" a="1"/>
  <c r="CY26" i="1" s="1"/>
  <c r="CY33" i="1" a="1"/>
  <c r="CY33" i="1" s="1"/>
  <c r="CY39" i="1" a="1"/>
  <c r="CY39" i="1" s="1"/>
  <c r="CY48" i="1" a="1"/>
  <c r="CY48" i="1" s="1"/>
  <c r="CY57" i="1" a="1"/>
  <c r="CY57" i="1" s="1"/>
  <c r="CY74" i="1" a="1"/>
  <c r="CY74" i="1" s="1"/>
  <c r="CY71" i="1" a="1"/>
  <c r="CY71" i="1" s="1"/>
  <c r="CY80" i="1" a="1"/>
  <c r="CY80" i="1" s="1"/>
  <c r="CY78" i="1" a="1"/>
  <c r="CY78" i="1" s="1"/>
  <c r="CY94" i="1" a="1"/>
  <c r="CY94" i="1" s="1"/>
  <c r="CY90" i="1" a="1"/>
  <c r="CY90" i="1" s="1"/>
  <c r="CY89" i="1" a="1"/>
  <c r="CY89" i="1" s="1"/>
  <c r="CY109" i="1" a="1"/>
  <c r="CY109" i="1" s="1"/>
  <c r="CY102" i="1" a="1"/>
  <c r="CY102" i="1" s="1"/>
  <c r="CY119" i="1" a="1"/>
  <c r="CY119" i="1" s="1"/>
  <c r="CY136" i="1" a="1"/>
  <c r="CY136" i="1" s="1"/>
  <c r="CY120" i="1" a="1"/>
  <c r="CY120" i="1" s="1"/>
  <c r="CY144" i="1" a="1"/>
  <c r="CY144" i="1" s="1"/>
  <c r="CY140" i="1" a="1"/>
  <c r="CY140" i="1" s="1"/>
  <c r="CY134" i="1" a="1"/>
  <c r="CY134" i="1" s="1"/>
  <c r="CY151" i="1" a="1"/>
  <c r="CY151" i="1" s="1"/>
  <c r="CY167" i="1" a="1"/>
  <c r="CY167" i="1" s="1"/>
  <c r="CY156" i="1" a="1"/>
  <c r="CY156" i="1" s="1"/>
  <c r="CY173" i="1" a="1"/>
  <c r="CY173" i="1" s="1"/>
  <c r="CY178" i="1" a="1"/>
  <c r="CY178" i="1" s="1"/>
  <c r="CY177" i="1" a="1"/>
  <c r="CY177" i="1" s="1"/>
  <c r="CY198" i="1" a="1"/>
  <c r="CY198" i="1" s="1"/>
  <c r="CY193" i="1" a="1"/>
  <c r="CY193" i="1" s="1"/>
  <c r="CY209" i="1" a="1"/>
  <c r="CY209" i="1" s="1"/>
  <c r="CY192" i="1" a="1"/>
  <c r="CY192" i="1" s="1"/>
  <c r="CY203" i="1" a="1"/>
  <c r="CY203" i="1" s="1"/>
  <c r="CY204" i="1" a="1"/>
  <c r="CY204" i="1" s="1"/>
  <c r="CY218" i="1" a="1"/>
  <c r="CY218" i="1" s="1"/>
  <c r="CY228" i="1" a="1"/>
  <c r="CY228" i="1" s="1"/>
  <c r="CY261" i="1" a="1"/>
  <c r="CY261" i="1" s="1"/>
  <c r="CY246" i="1" a="1"/>
  <c r="CY246" i="1" s="1"/>
  <c r="CY252" i="1" a="1"/>
  <c r="CY252" i="1" s="1"/>
  <c r="CY258" i="1" a="1"/>
  <c r="CY258" i="1" s="1"/>
  <c r="CY232" i="1" a="1"/>
  <c r="CY232" i="1" s="1"/>
  <c r="CY265" i="1" a="1"/>
  <c r="CY265" i="1" s="1"/>
  <c r="CY301" i="1" a="1"/>
  <c r="CY301" i="1" s="1"/>
  <c r="CY242" i="1" a="1"/>
  <c r="CY242" i="1" s="1"/>
  <c r="CY272" i="1" a="1"/>
  <c r="CY272" i="1" s="1"/>
  <c r="CY311" i="1" a="1"/>
  <c r="CY311" i="1" s="1"/>
  <c r="CY298" i="1" a="1"/>
  <c r="CY298" i="1" s="1"/>
  <c r="CY296" i="1" a="1"/>
  <c r="CY296" i="1" s="1"/>
  <c r="CY288" i="1" a="1"/>
  <c r="CY288" i="1" s="1"/>
  <c r="CY314" i="1" a="1"/>
  <c r="CY314" i="1" s="1"/>
  <c r="CY21" i="1" a="1"/>
  <c r="CY21" i="1" s="1"/>
  <c r="CY25" i="1" a="1"/>
  <c r="CY25" i="1" s="1"/>
  <c r="CY35" i="1" a="1"/>
  <c r="CY35" i="1" s="1"/>
  <c r="CY34" i="1" a="1"/>
  <c r="CY34" i="1" s="1"/>
  <c r="CY40" i="1" a="1"/>
  <c r="CY40" i="1" s="1"/>
  <c r="CY49" i="1" a="1"/>
  <c r="CY49" i="1" s="1"/>
  <c r="CY53" i="1" a="1"/>
  <c r="CY53" i="1" s="1"/>
  <c r="CY61" i="1" a="1"/>
  <c r="CY61" i="1" s="1"/>
  <c r="CY67" i="1" a="1"/>
  <c r="CY67" i="1" s="1"/>
  <c r="CY69" i="1" a="1"/>
  <c r="CY69" i="1" s="1"/>
  <c r="CY86" i="1" a="1"/>
  <c r="CY86" i="1" s="1"/>
  <c r="CY97" i="1" a="1"/>
  <c r="CY97" i="1" s="1"/>
  <c r="CY83" i="1" a="1"/>
  <c r="CY83" i="1" s="1"/>
  <c r="CY92" i="1" a="1"/>
  <c r="CY92" i="1" s="1"/>
  <c r="CY112" i="1" a="1"/>
  <c r="CY112" i="1" s="1"/>
  <c r="CY105" i="1" a="1"/>
  <c r="CY105" i="1" s="1"/>
  <c r="CY117" i="1" a="1"/>
  <c r="CY117" i="1" s="1"/>
  <c r="CY122" i="1" a="1"/>
  <c r="CY122" i="1" s="1"/>
  <c r="CY124" i="1" a="1"/>
  <c r="CY124" i="1" s="1"/>
  <c r="CY147" i="1" a="1"/>
  <c r="CY147" i="1" s="1"/>
  <c r="CY143" i="1" a="1"/>
  <c r="CY143" i="1" s="1"/>
  <c r="CY135" i="1" a="1"/>
  <c r="CY135" i="1" s="1"/>
  <c r="CY129" i="1" a="1"/>
  <c r="CY129" i="1" s="1"/>
  <c r="CY155" i="1" a="1"/>
  <c r="CY155" i="1" s="1"/>
  <c r="CY159" i="1" a="1"/>
  <c r="CY159" i="1" s="1"/>
  <c r="CY176" i="1" a="1"/>
  <c r="CY176" i="1" s="1"/>
  <c r="CY181" i="1" a="1"/>
  <c r="CY181" i="1" s="1"/>
  <c r="CY180" i="1" a="1"/>
  <c r="CY180" i="1" s="1"/>
  <c r="CY201" i="1" a="1"/>
  <c r="CY201" i="1" s="1"/>
  <c r="CY196" i="1" a="1"/>
  <c r="CY196" i="1" s="1"/>
  <c r="CY188" i="1" a="1"/>
  <c r="CY188" i="1" s="1"/>
  <c r="CY207" i="1" a="1"/>
  <c r="CY207" i="1" s="1"/>
  <c r="CY212" i="1" a="1"/>
  <c r="CY212" i="1" s="1"/>
  <c r="CY213" i="1" a="1"/>
  <c r="CY213" i="1" s="1"/>
  <c r="CY219" i="1" a="1"/>
  <c r="CY219" i="1" s="1"/>
  <c r="CY231" i="1" a="1"/>
  <c r="CY231" i="1" s="1"/>
  <c r="CY264" i="1" a="1"/>
  <c r="CY264" i="1" s="1"/>
  <c r="CY247" i="1" a="1"/>
  <c r="CY247" i="1" s="1"/>
  <c r="CY253" i="1" a="1"/>
  <c r="CY253" i="1" s="1"/>
  <c r="CY259" i="1" a="1"/>
  <c r="CY259" i="1" s="1"/>
  <c r="CY235" i="1" a="1"/>
  <c r="CY235" i="1" s="1"/>
  <c r="CY268" i="1" a="1"/>
  <c r="CY268" i="1" s="1"/>
  <c r="CY304" i="1" a="1"/>
  <c r="CY304" i="1" s="1"/>
  <c r="CY245" i="1" a="1"/>
  <c r="CY245" i="1" s="1"/>
  <c r="CY275" i="1" a="1"/>
  <c r="CY275" i="1" s="1"/>
  <c r="CY283" i="1" a="1"/>
  <c r="CY283" i="1" s="1"/>
  <c r="CY281" i="1" a="1"/>
  <c r="CY281" i="1" s="1"/>
  <c r="CY299" i="1" a="1"/>
  <c r="CY299" i="1" s="1"/>
  <c r="CY291" i="1" a="1"/>
  <c r="CY291" i="1" s="1"/>
  <c r="CY22" i="1" a="1"/>
  <c r="CY22" i="1" s="1"/>
  <c r="CY27" i="1" a="1"/>
  <c r="CY27" i="1" s="1"/>
  <c r="CY42" i="1" a="1"/>
  <c r="CY42" i="1" s="1"/>
  <c r="CY44" i="1" a="1"/>
  <c r="CY44" i="1" s="1"/>
  <c r="CY41" i="1" a="1"/>
  <c r="CY41" i="1" s="1"/>
  <c r="CY46" i="1" a="1"/>
  <c r="CY46" i="1" s="1"/>
  <c r="CY58" i="1" a="1"/>
  <c r="CY58" i="1" s="1"/>
  <c r="CY64" i="1" a="1"/>
  <c r="CY64" i="1" s="1"/>
  <c r="CY70" i="1" a="1"/>
  <c r="CY70" i="1" s="1"/>
  <c r="CY72" i="1" a="1"/>
  <c r="CY72" i="1" s="1"/>
  <c r="CY79" i="1" a="1"/>
  <c r="CY79" i="1" s="1"/>
  <c r="CY82" i="1" a="1"/>
  <c r="CY82" i="1" s="1"/>
  <c r="CY100" i="1" a="1"/>
  <c r="CY100" i="1" s="1"/>
  <c r="CY96" i="1" a="1"/>
  <c r="CY96" i="1" s="1"/>
  <c r="CY115" i="1" a="1"/>
  <c r="CY115" i="1" s="1"/>
  <c r="CY108" i="1" a="1"/>
  <c r="CY108" i="1" s="1"/>
  <c r="CY121" i="1" a="1"/>
  <c r="CY121" i="1" s="1"/>
  <c r="CY125" i="1" a="1"/>
  <c r="CY125" i="1" s="1"/>
  <c r="CY127" i="1" a="1"/>
  <c r="CY127" i="1" s="1"/>
  <c r="CY150" i="1" a="1"/>
  <c r="CY150" i="1" s="1"/>
  <c r="CY146" i="1" a="1"/>
  <c r="CY146" i="1" s="1"/>
  <c r="CY139" i="1" a="1"/>
  <c r="CY139" i="1" s="1"/>
  <c r="CY154" i="1" a="1"/>
  <c r="CY154" i="1" s="1"/>
  <c r="CY157" i="1" a="1"/>
  <c r="CY157" i="1" s="1"/>
  <c r="CY162" i="1" a="1"/>
  <c r="CY162" i="1" s="1"/>
  <c r="CY179" i="1" a="1"/>
  <c r="CY179" i="1" s="1"/>
  <c r="CY168" i="1" a="1"/>
  <c r="CY168" i="1" s="1"/>
  <c r="CY184" i="1" a="1"/>
  <c r="CY184" i="1" s="1"/>
  <c r="CY191" i="1" a="1"/>
  <c r="CY191" i="1" s="1"/>
  <c r="CY199" i="1" a="1"/>
  <c r="CY199" i="1" s="1"/>
  <c r="CY194" i="1" a="1"/>
  <c r="CY194" i="1" s="1"/>
  <c r="CY210" i="1" a="1"/>
  <c r="CY210" i="1" s="1"/>
  <c r="CY224" i="1" a="1"/>
  <c r="CY224" i="1" s="1"/>
  <c r="CY214" i="1" a="1"/>
  <c r="CY214" i="1" s="1"/>
  <c r="CY220" i="1" a="1"/>
  <c r="CY220" i="1" s="1"/>
  <c r="CY234" i="1" a="1"/>
  <c r="CY234" i="1" s="1"/>
  <c r="CY267" i="1" a="1"/>
  <c r="CY267" i="1" s="1"/>
  <c r="CY248" i="1" a="1"/>
  <c r="CY248" i="1" s="1"/>
  <c r="CY254" i="1" a="1"/>
  <c r="CY254" i="1" s="1"/>
  <c r="CY303" i="1" a="1"/>
  <c r="CY303" i="1" s="1"/>
  <c r="CY238" i="1" a="1"/>
  <c r="CY238" i="1" s="1"/>
  <c r="CY271" i="1" a="1"/>
  <c r="CY271" i="1" s="1"/>
  <c r="CY307" i="1" a="1"/>
  <c r="CY307" i="1" s="1"/>
  <c r="CY260" i="1" a="1"/>
  <c r="CY260" i="1" s="1"/>
  <c r="CY278" i="1" a="1"/>
  <c r="CY278" i="1" s="1"/>
  <c r="CY286" i="1" a="1"/>
  <c r="CY286" i="1" s="1"/>
  <c r="CY284" i="1" a="1"/>
  <c r="CY284" i="1" s="1"/>
  <c r="CY313" i="1" a="1"/>
  <c r="CY313" i="1" s="1"/>
  <c r="CY294" i="1" a="1"/>
  <c r="CY294" i="1" s="1"/>
  <c r="CY28" i="1" a="1"/>
  <c r="CY28" i="1" s="1"/>
  <c r="CY32" i="1" a="1"/>
  <c r="CY32" i="1" s="1"/>
  <c r="CY43" i="1" a="1"/>
  <c r="CY43" i="1" s="1"/>
  <c r="CY45" i="1" a="1"/>
  <c r="CY45" i="1" s="1"/>
  <c r="CY38" i="1" a="1"/>
  <c r="CY38" i="1" s="1"/>
  <c r="CY54" i="1" a="1"/>
  <c r="CY54" i="1" s="1"/>
  <c r="CY62" i="1" a="1"/>
  <c r="CY62" i="1" s="1"/>
  <c r="CY65" i="1" a="1"/>
  <c r="CY65" i="1" s="1"/>
  <c r="CY73" i="1" a="1"/>
  <c r="CY73" i="1" s="1"/>
  <c r="CY77" i="1" a="1"/>
  <c r="CY77" i="1" s="1"/>
  <c r="CY85" i="1" a="1"/>
  <c r="CY85" i="1" s="1"/>
  <c r="CY99" i="1" a="1"/>
  <c r="CY99" i="1" s="1"/>
  <c r="CY93" i="1" a="1"/>
  <c r="CY93" i="1" s="1"/>
  <c r="CY101" i="1" a="1"/>
  <c r="CY101" i="1" s="1"/>
  <c r="CY118" i="1" a="1"/>
  <c r="CY118" i="1" s="1"/>
  <c r="CY111" i="1" a="1"/>
  <c r="CY111" i="1" s="1"/>
  <c r="CY123" i="1" a="1"/>
  <c r="CY123" i="1" s="1"/>
  <c r="CY128" i="1" a="1"/>
  <c r="CY128" i="1" s="1"/>
  <c r="CY130" i="1" a="1"/>
  <c r="CY130" i="1" s="1"/>
  <c r="CY152" i="1" a="1"/>
  <c r="CY152" i="1" s="1"/>
  <c r="CY149" i="1" a="1"/>
  <c r="CY149" i="1" s="1"/>
  <c r="CY142" i="1" a="1"/>
  <c r="CY142" i="1" s="1"/>
  <c r="CY158" i="1" a="1"/>
  <c r="CY158" i="1" s="1"/>
  <c r="CY160" i="1" a="1"/>
  <c r="CY160" i="1" s="1"/>
  <c r="CY166" i="1" a="1"/>
  <c r="CY166" i="1" s="1"/>
  <c r="CY182" i="1" a="1"/>
  <c r="CY182" i="1" s="1"/>
  <c r="CY183" i="1" a="1"/>
  <c r="CY183" i="1" s="1"/>
  <c r="CY186" i="1" a="1"/>
  <c r="CY186" i="1" s="1"/>
  <c r="CY208" i="1" a="1"/>
  <c r="CY208" i="1" s="1"/>
  <c r="CY202" i="1" a="1"/>
  <c r="CY202" i="1" s="1"/>
  <c r="CY197" i="1" a="1"/>
  <c r="CY197" i="1" s="1"/>
  <c r="CY205" i="1" a="1"/>
  <c r="CY205" i="1" s="1"/>
  <c r="CY227" i="1" a="1"/>
  <c r="CY227" i="1" s="1"/>
  <c r="CY215" i="1" a="1"/>
  <c r="CY215" i="1" s="1"/>
  <c r="CY221" i="1" a="1"/>
  <c r="CY221" i="1" s="1"/>
  <c r="CY237" i="1" a="1"/>
  <c r="CY237" i="1" s="1"/>
  <c r="CY270" i="1" a="1"/>
  <c r="CY270" i="1" s="1"/>
  <c r="CY249" i="1" a="1"/>
  <c r="CY249" i="1" s="1"/>
  <c r="CY255" i="1" a="1"/>
  <c r="CY255" i="1" s="1"/>
  <c r="CY306" i="1" a="1"/>
  <c r="CY306" i="1" s="1"/>
  <c r="CY241" i="1" a="1"/>
  <c r="CY241" i="1" s="1"/>
  <c r="CY274" i="1" a="1"/>
  <c r="CY274" i="1" s="1"/>
  <c r="CY233" i="1" a="1"/>
  <c r="CY233" i="1" s="1"/>
  <c r="CY263" i="1" a="1"/>
  <c r="CY263" i="1" s="1"/>
  <c r="CY302" i="1" a="1"/>
  <c r="CY302" i="1" s="1"/>
  <c r="CY289" i="1" a="1"/>
  <c r="CY289" i="1" s="1"/>
  <c r="CY287" i="1" a="1"/>
  <c r="CY287" i="1" s="1"/>
  <c r="CY279" i="1" a="1"/>
  <c r="CY279" i="1" s="1"/>
  <c r="CY297" i="1" a="1"/>
  <c r="CY297" i="1" s="1"/>
  <c r="CY29" i="1" a="1"/>
  <c r="CY29" i="1" s="1"/>
  <c r="CY31" i="1" a="1"/>
  <c r="CY31" i="1" s="1"/>
  <c r="CY51" i="1" a="1"/>
  <c r="CY51" i="1" s="1"/>
  <c r="CY52" i="1" a="1"/>
  <c r="CY52" i="1" s="1"/>
  <c r="CY47" i="1" a="1"/>
  <c r="CY47" i="1" s="1"/>
  <c r="CY56" i="1" a="1"/>
  <c r="CY56" i="1" s="1"/>
  <c r="CY55" i="1" a="1"/>
  <c r="CY55" i="1" s="1"/>
  <c r="CY66" i="1" a="1"/>
  <c r="CY66" i="1" s="1"/>
  <c r="CY68" i="1" a="1"/>
  <c r="CY68" i="1" s="1"/>
  <c r="CY81" i="1" a="1"/>
  <c r="CY81" i="1" s="1"/>
  <c r="CY88" i="1" a="1"/>
  <c r="CY88" i="1" s="1"/>
  <c r="CY76" i="1" a="1"/>
  <c r="CY76" i="1" s="1"/>
  <c r="CY104" i="1" a="1"/>
  <c r="CY104" i="1" s="1"/>
  <c r="CY103" i="1" a="1"/>
  <c r="CY103" i="1" s="1"/>
  <c r="CY95" i="1" a="1"/>
  <c r="CY95" i="1" s="1"/>
  <c r="CY114" i="1" a="1"/>
  <c r="CY114" i="1" s="1"/>
  <c r="CY126" i="1" a="1"/>
  <c r="CY126" i="1" s="1"/>
  <c r="CY131" i="1" a="1"/>
  <c r="CY131" i="1" s="1"/>
  <c r="CY133" i="1" a="1"/>
  <c r="CY133" i="1" s="1"/>
  <c r="CY137" i="1" a="1"/>
  <c r="CY137" i="1" s="1"/>
  <c r="CY153" i="1" a="1"/>
  <c r="CY153" i="1" s="1"/>
  <c r="CY145" i="1" a="1"/>
  <c r="CY145" i="1" s="1"/>
  <c r="CY161" i="1" a="1"/>
  <c r="CY161" i="1" s="1"/>
  <c r="CY163" i="1" a="1"/>
  <c r="CY163" i="1" s="1"/>
  <c r="CY169" i="1" a="1"/>
  <c r="CY169" i="1" s="1"/>
  <c r="CY170" i="1" a="1"/>
  <c r="CY170" i="1" s="1"/>
  <c r="CY171" i="1" a="1"/>
  <c r="CY171" i="1" s="1"/>
  <c r="CY189" i="1" a="1"/>
  <c r="CY189" i="1" s="1"/>
  <c r="CY211" i="1" a="1"/>
  <c r="CY211" i="1" s="1"/>
  <c r="CY185" i="1" a="1"/>
  <c r="CY185" i="1" s="1"/>
  <c r="CY200" i="1" a="1"/>
  <c r="CY200" i="1" s="1"/>
  <c r="CY226" i="1" a="1"/>
  <c r="CY226" i="1" s="1"/>
  <c r="CY230" i="1" a="1"/>
  <c r="CY230" i="1" s="1"/>
  <c r="CY216" i="1" a="1"/>
  <c r="CY216" i="1" s="1"/>
  <c r="CY222" i="1" a="1"/>
  <c r="CY222" i="1" s="1"/>
  <c r="CY240" i="1" a="1"/>
  <c r="CY240" i="1" s="1"/>
  <c r="CY273" i="1" a="1"/>
  <c r="CY273" i="1" s="1"/>
  <c r="CY250" i="1" a="1"/>
  <c r="CY250" i="1" s="1"/>
  <c r="CY256" i="1" a="1"/>
  <c r="CY256" i="1" s="1"/>
  <c r="CY309" i="1" a="1"/>
  <c r="CY309" i="1" s="1"/>
  <c r="CY244" i="1" a="1"/>
  <c r="CY244" i="1" s="1"/>
  <c r="CY277" i="1" a="1"/>
  <c r="CY277" i="1" s="1"/>
  <c r="CY236" i="1" a="1"/>
  <c r="CY236" i="1" s="1"/>
  <c r="CY266" i="1" a="1"/>
  <c r="CY266" i="1" s="1"/>
  <c r="CY305" i="1" a="1"/>
  <c r="CY305" i="1" s="1"/>
  <c r="CY292" i="1" a="1"/>
  <c r="CY292" i="1" s="1"/>
  <c r="CY290" i="1" a="1"/>
  <c r="CY290" i="1" s="1"/>
  <c r="CY282" i="1" a="1"/>
  <c r="CY282" i="1" s="1"/>
  <c r="CY300" i="1" a="1"/>
  <c r="CY300" i="1" s="1"/>
  <c r="CY23" i="1" a="1"/>
  <c r="CY23" i="1" s="1"/>
  <c r="CY30" i="1" a="1"/>
  <c r="CY30" i="1" s="1"/>
  <c r="CY36" i="1" a="1"/>
  <c r="CY36" i="1" s="1"/>
  <c r="CY37" i="1" a="1"/>
  <c r="CY37" i="1" s="1"/>
  <c r="CY50" i="1" a="1"/>
  <c r="CY50" i="1" s="1"/>
  <c r="CY60" i="1" a="1"/>
  <c r="CY60" i="1" s="1"/>
  <c r="CY59" i="1" a="1"/>
  <c r="CY59" i="1" s="1"/>
  <c r="CY63" i="1" a="1"/>
  <c r="CY63" i="1" s="1"/>
  <c r="CY75" i="1" a="1"/>
  <c r="CY75" i="1" s="1"/>
  <c r="CY84" i="1" a="1"/>
  <c r="CY84" i="1" s="1"/>
  <c r="CY91" i="1" a="1"/>
  <c r="CY91" i="1" s="1"/>
  <c r="CY87" i="1" a="1"/>
  <c r="CY87" i="1" s="1"/>
  <c r="CY107" i="1" a="1"/>
  <c r="CY107" i="1" s="1"/>
  <c r="CY106" i="1" a="1"/>
  <c r="CY106" i="1" s="1"/>
  <c r="CY98" i="1" a="1"/>
  <c r="CY98" i="1" s="1"/>
  <c r="CY116" i="1" a="1"/>
  <c r="CY116" i="1" s="1"/>
  <c r="CY110" i="1" a="1"/>
  <c r="CY110" i="1" s="1"/>
  <c r="CY113" i="1" a="1"/>
  <c r="CY113" i="1" s="1"/>
  <c r="CY141" i="1" a="1"/>
  <c r="CY141" i="1" s="1"/>
  <c r="CY138" i="1" a="1"/>
  <c r="CY138" i="1" s="1"/>
  <c r="CY132" i="1" a="1"/>
  <c r="CY132" i="1" s="1"/>
  <c r="CY148" i="1" a="1"/>
  <c r="CY148" i="1" s="1"/>
  <c r="CY164" i="1" a="1"/>
  <c r="CY164" i="1" s="1"/>
  <c r="CY165" i="1" a="1"/>
  <c r="CY165" i="1" s="1"/>
  <c r="CY172" i="1" a="1"/>
  <c r="CY172" i="1" s="1"/>
  <c r="CY175" i="1" a="1"/>
  <c r="CY175" i="1" s="1"/>
  <c r="CY174" i="1" a="1"/>
  <c r="CY174" i="1" s="1"/>
  <c r="CY195" i="1" a="1"/>
  <c r="CY195" i="1" s="1"/>
  <c r="CY187" i="1" a="1"/>
  <c r="CY187" i="1" s="1"/>
  <c r="CY206" i="1" a="1"/>
  <c r="CY206" i="1" s="1"/>
  <c r="CY190" i="1" a="1"/>
  <c r="CY190" i="1" s="1"/>
  <c r="CY229" i="1" a="1"/>
  <c r="CY229" i="1" s="1"/>
  <c r="CY223" i="1" a="1"/>
  <c r="CY223" i="1" s="1"/>
  <c r="CY217" i="1" a="1"/>
  <c r="CY217" i="1" s="1"/>
  <c r="CY225" i="1" a="1"/>
  <c r="CY225" i="1" s="1"/>
  <c r="CY243" i="1" a="1"/>
  <c r="CY243" i="1" s="1"/>
  <c r="CY276" i="1" a="1"/>
  <c r="CY276" i="1" s="1"/>
  <c r="CY251" i="1" a="1"/>
  <c r="CY251" i="1" s="1"/>
  <c r="CY257" i="1" a="1"/>
  <c r="CY257" i="1" s="1"/>
  <c r="CY312" i="1" a="1"/>
  <c r="CY312" i="1" s="1"/>
  <c r="CY262" i="1" a="1"/>
  <c r="CY262" i="1" s="1"/>
  <c r="CY280" i="1" a="1"/>
  <c r="CY280" i="1" s="1"/>
  <c r="CY239" i="1" a="1"/>
  <c r="CY239" i="1" s="1"/>
  <c r="CY269" i="1" a="1"/>
  <c r="CY269" i="1" s="1"/>
  <c r="CY308" i="1" a="1"/>
  <c r="CY308" i="1" s="1"/>
  <c r="CY295" i="1" a="1"/>
  <c r="CY295" i="1" s="1"/>
  <c r="CY293" i="1" a="1"/>
  <c r="CY293" i="1" s="1"/>
  <c r="CY285" i="1" a="1"/>
  <c r="CY285" i="1" s="1"/>
  <c r="CY310" i="1" a="1"/>
  <c r="CY310" i="1" s="1"/>
  <c r="CN300" i="1" a="1"/>
  <c r="CN300" i="1" s="1"/>
  <c r="CN282" i="1" a="1"/>
  <c r="CN282" i="1" s="1"/>
  <c r="CN287" i="1" a="1"/>
  <c r="CN287" i="1" s="1"/>
  <c r="CN289" i="1" a="1"/>
  <c r="CN289" i="1" s="1"/>
  <c r="CN310" i="1" a="1"/>
  <c r="CN310" i="1" s="1"/>
  <c r="CN251" i="1" a="1"/>
  <c r="CN251" i="1" s="1"/>
  <c r="CN233" i="1" a="1"/>
  <c r="CN233" i="1" s="1"/>
  <c r="CN262" i="1" a="1"/>
  <c r="CN262" i="1" s="1"/>
  <c r="CN252" i="1" a="1"/>
  <c r="CN252" i="1" s="1"/>
  <c r="CN244" i="1" a="1"/>
  <c r="CN244" i="1" s="1"/>
  <c r="CN276" i="1" a="1"/>
  <c r="CN276" i="1" s="1"/>
  <c r="CN230" i="1" a="1"/>
  <c r="CN230" i="1" s="1"/>
  <c r="CN243" i="1" a="1"/>
  <c r="CN243" i="1" s="1"/>
  <c r="CN272" i="1" a="1"/>
  <c r="CN272" i="1" s="1"/>
  <c r="CN227" i="1" a="1"/>
  <c r="CN227" i="1" s="1"/>
  <c r="CN220" i="1" a="1"/>
  <c r="CN220" i="1" s="1"/>
  <c r="CN218" i="1" a="1"/>
  <c r="CN218" i="1" s="1"/>
  <c r="CN209" i="1" a="1"/>
  <c r="CN209" i="1" s="1"/>
  <c r="CN196" i="1" a="1"/>
  <c r="CN196" i="1" s="1"/>
  <c r="CN204" i="1" a="1"/>
  <c r="CN204" i="1" s="1"/>
  <c r="CN207" i="1" a="1"/>
  <c r="CN207" i="1" s="1"/>
  <c r="CN194" i="1" a="1"/>
  <c r="CN194" i="1" s="1"/>
  <c r="CN170" i="1" a="1"/>
  <c r="CN170" i="1" s="1"/>
  <c r="CN178" i="1" a="1"/>
  <c r="CN178" i="1" s="1"/>
  <c r="CN168" i="1" a="1"/>
  <c r="CN168" i="1" s="1"/>
  <c r="CN163" i="1" a="1"/>
  <c r="CN163" i="1" s="1"/>
  <c r="CN161" i="1" a="1"/>
  <c r="CN161" i="1" s="1"/>
  <c r="CN145" i="1" a="1"/>
  <c r="CN145" i="1" s="1"/>
  <c r="CN152" i="1" a="1"/>
  <c r="CN152" i="1" s="1"/>
  <c r="CN147" i="1" a="1"/>
  <c r="CN147" i="1" s="1"/>
  <c r="CN127" i="1" a="1"/>
  <c r="CN127" i="1" s="1"/>
  <c r="CN125" i="1" a="1"/>
  <c r="CN125" i="1" s="1"/>
  <c r="CN119" i="1" a="1"/>
  <c r="CN119" i="1" s="1"/>
  <c r="CN118" i="1" a="1"/>
  <c r="CN118" i="1" s="1"/>
  <c r="CN94" i="1" a="1"/>
  <c r="CN94" i="1" s="1"/>
  <c r="CN106" i="1" a="1"/>
  <c r="CN106" i="1" s="1"/>
  <c r="CN97" i="1" a="1"/>
  <c r="CN97" i="1" s="1"/>
  <c r="CN87" i="1" a="1"/>
  <c r="CN87" i="1" s="1"/>
  <c r="CN85" i="1" a="1"/>
  <c r="CN85" i="1" s="1"/>
  <c r="CN80" i="1" a="1"/>
  <c r="CN80" i="1" s="1"/>
  <c r="CN66" i="1" a="1"/>
  <c r="CN66" i="1" s="1"/>
  <c r="CN65" i="1" a="1"/>
  <c r="CN65" i="1" s="1"/>
  <c r="CN60" i="1" a="1"/>
  <c r="CN60" i="1" s="1"/>
  <c r="CN59" i="1" a="1"/>
  <c r="CN59" i="1" s="1"/>
  <c r="CN49" i="1" a="1"/>
  <c r="CN49" i="1" s="1"/>
  <c r="CN36" i="1" a="1"/>
  <c r="CN36" i="1" s="1"/>
  <c r="CN33" i="1" a="1"/>
  <c r="CN33" i="1" s="1"/>
  <c r="CN29" i="1" a="1"/>
  <c r="CN29" i="1" s="1"/>
  <c r="CN26" i="1" a="1"/>
  <c r="CN26" i="1" s="1"/>
  <c r="CQ46" i="1" a="1"/>
  <c r="CQ46" i="1" s="1"/>
  <c r="CQ84" i="1" a="1"/>
  <c r="CQ84" i="1" s="1"/>
  <c r="CQ138" i="1" a="1"/>
  <c r="CQ138" i="1" s="1"/>
  <c r="CQ165" i="1" a="1"/>
  <c r="CQ165" i="1" s="1"/>
  <c r="CQ209" i="1" a="1"/>
  <c r="CQ209" i="1" s="1"/>
  <c r="CQ233" i="1" a="1"/>
  <c r="CQ233" i="1" s="1"/>
  <c r="CQ293" i="1" a="1"/>
  <c r="CQ293" i="1" s="1"/>
  <c r="CQ28" i="1" a="1"/>
  <c r="CQ28" i="1" s="1"/>
  <c r="CQ24" i="1" a="1"/>
  <c r="CQ24" i="1" s="1"/>
  <c r="CQ40" i="1" a="1"/>
  <c r="CQ40" i="1" s="1"/>
  <c r="CQ33" i="1" a="1"/>
  <c r="CQ33" i="1" s="1"/>
  <c r="CQ49" i="1" a="1"/>
  <c r="CQ49" i="1" s="1"/>
  <c r="CQ59" i="1" a="1"/>
  <c r="CQ59" i="1" s="1"/>
  <c r="CQ67" i="1" a="1"/>
  <c r="CQ67" i="1" s="1"/>
  <c r="CQ65" i="1" a="1"/>
  <c r="CQ65" i="1" s="1"/>
  <c r="CQ72" i="1" a="1"/>
  <c r="CQ72" i="1" s="1"/>
  <c r="CQ80" i="1" a="1"/>
  <c r="CQ80" i="1" s="1"/>
  <c r="CQ76" i="1" a="1"/>
  <c r="CQ76" i="1" s="1"/>
  <c r="CQ98" i="1" a="1"/>
  <c r="CQ98" i="1" s="1"/>
  <c r="CQ99" i="1" a="1"/>
  <c r="CQ99" i="1" s="1"/>
  <c r="CQ109" i="1" a="1"/>
  <c r="CQ109" i="1" s="1"/>
  <c r="CQ101" i="1" a="1"/>
  <c r="CQ101" i="1" s="1"/>
  <c r="CQ118" i="1" a="1"/>
  <c r="CQ118" i="1" s="1"/>
  <c r="CQ114" i="1" a="1"/>
  <c r="CQ114" i="1" s="1"/>
  <c r="CQ122" i="1" a="1"/>
  <c r="CQ122" i="1" s="1"/>
  <c r="CQ132" i="1" a="1"/>
  <c r="CQ132" i="1" s="1"/>
  <c r="CQ149" i="1" a="1"/>
  <c r="CQ149" i="1" s="1"/>
  <c r="CQ139" i="1" a="1"/>
  <c r="CQ139" i="1" s="1"/>
  <c r="CQ141" i="1" a="1"/>
  <c r="CQ141" i="1" s="1"/>
  <c r="CQ164" i="1" a="1"/>
  <c r="CQ164" i="1" s="1"/>
  <c r="CQ167" i="1" a="1"/>
  <c r="CQ167" i="1" s="1"/>
  <c r="CQ168" i="1" a="1"/>
  <c r="CQ168" i="1" s="1"/>
  <c r="CQ169" i="1" a="1"/>
  <c r="CQ169" i="1" s="1"/>
  <c r="CQ172" i="1" a="1"/>
  <c r="CQ172" i="1" s="1"/>
  <c r="CQ190" i="1" a="1"/>
  <c r="CQ190" i="1" s="1"/>
  <c r="CQ210" i="1" a="1"/>
  <c r="CQ210" i="1" s="1"/>
  <c r="CQ208" i="1" a="1"/>
  <c r="CQ208" i="1" s="1"/>
  <c r="CQ193" i="1" a="1"/>
  <c r="CQ193" i="1" s="1"/>
  <c r="CQ212" i="1" a="1"/>
  <c r="CQ212" i="1" s="1"/>
  <c r="CQ213" i="1" a="1"/>
  <c r="CQ213" i="1" s="1"/>
  <c r="CQ224" i="1" a="1"/>
  <c r="CQ224" i="1" s="1"/>
  <c r="CQ221" i="1" a="1"/>
  <c r="CQ221" i="1" s="1"/>
  <c r="CQ244" i="1" a="1"/>
  <c r="CQ244" i="1" s="1"/>
  <c r="CQ275" i="1" a="1"/>
  <c r="CQ275" i="1" s="1"/>
  <c r="CQ236" i="1" a="1"/>
  <c r="CQ236" i="1" s="1"/>
  <c r="CQ250" i="1" a="1"/>
  <c r="CQ250" i="1" s="1"/>
  <c r="CQ259" i="1" a="1"/>
  <c r="CQ259" i="1" s="1"/>
  <c r="CQ276" i="1" a="1"/>
  <c r="CQ276" i="1" s="1"/>
  <c r="CQ257" i="1" a="1"/>
  <c r="CQ257" i="1" s="1"/>
  <c r="CQ240" i="1" a="1"/>
  <c r="CQ240" i="1" s="1"/>
  <c r="CQ271" i="1" a="1"/>
  <c r="CQ271" i="1" s="1"/>
  <c r="CQ310" i="1" a="1"/>
  <c r="CQ310" i="1" s="1"/>
  <c r="CQ296" i="1" a="1"/>
  <c r="CQ296" i="1" s="1"/>
  <c r="CQ285" i="1" a="1"/>
  <c r="CQ285" i="1" s="1"/>
  <c r="CQ309" i="1" a="1"/>
  <c r="CQ309" i="1" s="1"/>
  <c r="CQ295" i="1" a="1"/>
  <c r="CQ295" i="1" s="1"/>
  <c r="CQ299" i="1" a="1"/>
  <c r="CQ299" i="1" s="1"/>
  <c r="CQ312" i="1" a="1"/>
  <c r="CQ312" i="1" s="1"/>
  <c r="CQ34" i="1" a="1"/>
  <c r="CQ34" i="1" s="1"/>
  <c r="CQ75" i="1" a="1"/>
  <c r="CQ75" i="1" s="1"/>
  <c r="CQ103" i="1" a="1"/>
  <c r="CQ103" i="1" s="1"/>
  <c r="CQ126" i="1" a="1"/>
  <c r="CQ126" i="1" s="1"/>
  <c r="CQ158" i="1" a="1"/>
  <c r="CQ158" i="1" s="1"/>
  <c r="CQ183" i="1" a="1"/>
  <c r="CQ183" i="1" s="1"/>
  <c r="CQ225" i="1" a="1"/>
  <c r="CQ225" i="1" s="1"/>
  <c r="CQ311" i="1" a="1"/>
  <c r="CQ311" i="1" s="1"/>
  <c r="CQ251" i="1" a="1"/>
  <c r="CQ251" i="1" s="1"/>
  <c r="CQ280" i="1" a="1"/>
  <c r="CQ280" i="1" s="1"/>
  <c r="CQ36" i="1" a="1"/>
  <c r="CQ36" i="1" s="1"/>
  <c r="CQ63" i="1" a="1"/>
  <c r="CQ63" i="1" s="1"/>
  <c r="CQ95" i="1" a="1"/>
  <c r="CQ95" i="1" s="1"/>
  <c r="CQ108" i="1" a="1"/>
  <c r="CQ108" i="1" s="1"/>
  <c r="CQ130" i="1" a="1"/>
  <c r="CQ130" i="1" s="1"/>
  <c r="CQ207" i="1" a="1"/>
  <c r="CQ207" i="1" s="1"/>
  <c r="CQ228" i="1" a="1"/>
  <c r="CQ228" i="1" s="1"/>
  <c r="CQ272" i="1" a="1"/>
  <c r="CQ272" i="1" s="1"/>
  <c r="CQ254" i="1" a="1"/>
  <c r="CQ254" i="1" s="1"/>
  <c r="CQ282" i="1" a="1"/>
  <c r="CQ282" i="1" s="1"/>
  <c r="CQ31" i="1" a="1"/>
  <c r="CQ31" i="1" s="1"/>
  <c r="CQ27" i="1" a="1"/>
  <c r="CQ27" i="1" s="1"/>
  <c r="CQ35" i="1" a="1"/>
  <c r="CQ35" i="1" s="1"/>
  <c r="CQ38" i="1" a="1"/>
  <c r="CQ38" i="1" s="1"/>
  <c r="CQ50" i="1" a="1"/>
  <c r="CQ50" i="1" s="1"/>
  <c r="CQ48" i="1" a="1"/>
  <c r="CQ48" i="1" s="1"/>
  <c r="CQ58" i="1" a="1"/>
  <c r="CQ58" i="1" s="1"/>
  <c r="CQ68" i="1" a="1"/>
  <c r="CQ68" i="1" s="1"/>
  <c r="CQ79" i="1" a="1"/>
  <c r="CQ79" i="1" s="1"/>
  <c r="CQ83" i="1" a="1"/>
  <c r="CQ83" i="1" s="1"/>
  <c r="CQ81" i="1" a="1"/>
  <c r="CQ81" i="1" s="1"/>
  <c r="CQ82" i="1" a="1"/>
  <c r="CQ82" i="1" s="1"/>
  <c r="CQ102" i="1" a="1"/>
  <c r="CQ102" i="1" s="1"/>
  <c r="CQ112" i="1" a="1"/>
  <c r="CQ112" i="1" s="1"/>
  <c r="CQ105" i="1" a="1"/>
  <c r="CQ105" i="1" s="1"/>
  <c r="CQ121" i="1" a="1"/>
  <c r="CQ121" i="1" s="1"/>
  <c r="CQ125" i="1" a="1"/>
  <c r="CQ125" i="1" s="1"/>
  <c r="CQ124" i="1" a="1"/>
  <c r="CQ124" i="1" s="1"/>
  <c r="CQ133" i="1" a="1"/>
  <c r="CQ133" i="1" s="1"/>
  <c r="CQ134" i="1" a="1"/>
  <c r="CQ134" i="1" s="1"/>
  <c r="CQ142" i="1" a="1"/>
  <c r="CQ142" i="1" s="1"/>
  <c r="CQ144" i="1" a="1"/>
  <c r="CQ144" i="1" s="1"/>
  <c r="CQ157" i="1" a="1"/>
  <c r="CQ157" i="1" s="1"/>
  <c r="CQ153" i="1" a="1"/>
  <c r="CQ153" i="1" s="1"/>
  <c r="CQ170" i="1" a="1"/>
  <c r="CQ170" i="1" s="1"/>
  <c r="CQ171" i="1" a="1"/>
  <c r="CQ171" i="1" s="1"/>
  <c r="CQ176" i="1" a="1"/>
  <c r="CQ176" i="1" s="1"/>
  <c r="CQ191" i="1" a="1"/>
  <c r="CQ191" i="1" s="1"/>
  <c r="CQ188" i="1" a="1"/>
  <c r="CQ188" i="1" s="1"/>
  <c r="CQ211" i="1" a="1"/>
  <c r="CQ211" i="1" s="1"/>
  <c r="CQ196" i="1" a="1"/>
  <c r="CQ196" i="1" s="1"/>
  <c r="CQ214" i="1" a="1"/>
  <c r="CQ214" i="1" s="1"/>
  <c r="CQ223" i="1" a="1"/>
  <c r="CQ223" i="1" s="1"/>
  <c r="CQ227" i="1" a="1"/>
  <c r="CQ227" i="1" s="1"/>
  <c r="CQ222" i="1" a="1"/>
  <c r="CQ222" i="1" s="1"/>
  <c r="CQ260" i="1" a="1"/>
  <c r="CQ260" i="1" s="1"/>
  <c r="CQ302" i="1" a="1"/>
  <c r="CQ302" i="1" s="1"/>
  <c r="CQ239" i="1" a="1"/>
  <c r="CQ239" i="1" s="1"/>
  <c r="CQ252" i="1" a="1"/>
  <c r="CQ252" i="1" s="1"/>
  <c r="CQ261" i="1" a="1"/>
  <c r="CQ261" i="1" s="1"/>
  <c r="CQ279" i="1" a="1"/>
  <c r="CQ279" i="1" s="1"/>
  <c r="CQ303" i="1" a="1"/>
  <c r="CQ303" i="1" s="1"/>
  <c r="CQ243" i="1" a="1"/>
  <c r="CQ243" i="1" s="1"/>
  <c r="CQ274" i="1" a="1"/>
  <c r="CQ274" i="1" s="1"/>
  <c r="CQ281" i="1" a="1"/>
  <c r="CQ281" i="1" s="1"/>
  <c r="CQ288" i="1" a="1"/>
  <c r="CQ288" i="1" s="1"/>
  <c r="CQ298" i="1" a="1"/>
  <c r="CQ298" i="1" s="1"/>
  <c r="CQ21" i="1" a="1"/>
  <c r="CQ21" i="1" s="1"/>
  <c r="CQ39" i="1" a="1"/>
  <c r="CQ39" i="1" s="1"/>
  <c r="CQ54" i="1" a="1"/>
  <c r="CQ54" i="1" s="1"/>
  <c r="CQ88" i="1" a="1"/>
  <c r="CQ88" i="1" s="1"/>
  <c r="CQ117" i="1" a="1"/>
  <c r="CQ117" i="1" s="1"/>
  <c r="CQ135" i="1" a="1"/>
  <c r="CQ135" i="1" s="1"/>
  <c r="CQ151" i="1" a="1"/>
  <c r="CQ151" i="1" s="1"/>
  <c r="CQ181" i="1" a="1"/>
  <c r="CQ181" i="1" s="1"/>
  <c r="CQ201" i="1" a="1"/>
  <c r="CQ201" i="1" s="1"/>
  <c r="CQ203" i="1" a="1"/>
  <c r="CQ203" i="1" s="1"/>
  <c r="CQ269" i="1" a="1"/>
  <c r="CQ269" i="1" s="1"/>
  <c r="CQ256" i="1" a="1"/>
  <c r="CQ256" i="1" s="1"/>
  <c r="CQ234" i="1" a="1"/>
  <c r="CQ234" i="1" s="1"/>
  <c r="CQ290" i="1" a="1"/>
  <c r="CQ290" i="1" s="1"/>
  <c r="CQ22" i="1" a="1"/>
  <c r="CQ22" i="1" s="1"/>
  <c r="CQ56" i="1" a="1"/>
  <c r="CQ56" i="1" s="1"/>
  <c r="CQ96" i="1" a="1"/>
  <c r="CQ96" i="1" s="1"/>
  <c r="CQ113" i="1" a="1"/>
  <c r="CQ113" i="1" s="1"/>
  <c r="CQ146" i="1" a="1"/>
  <c r="CQ146" i="1" s="1"/>
  <c r="CQ154" i="1" a="1"/>
  <c r="CQ154" i="1" s="1"/>
  <c r="CQ182" i="1" a="1"/>
  <c r="CQ182" i="1" s="1"/>
  <c r="CQ192" i="1" a="1"/>
  <c r="CQ192" i="1" s="1"/>
  <c r="CQ241" i="1" a="1"/>
  <c r="CQ241" i="1" s="1"/>
  <c r="CQ273" i="1" a="1"/>
  <c r="CQ273" i="1" s="1"/>
  <c r="CQ307" i="1" a="1"/>
  <c r="CQ307" i="1" s="1"/>
  <c r="CQ23" i="1" a="1"/>
  <c r="CQ23" i="1" s="1"/>
  <c r="CQ41" i="1" a="1"/>
  <c r="CQ41" i="1" s="1"/>
  <c r="CQ37" i="1" a="1"/>
  <c r="CQ37" i="1" s="1"/>
  <c r="CQ44" i="1" a="1"/>
  <c r="CQ44" i="1" s="1"/>
  <c r="CQ52" i="1" a="1"/>
  <c r="CQ52" i="1" s="1"/>
  <c r="CQ57" i="1" a="1"/>
  <c r="CQ57" i="1" s="1"/>
  <c r="CQ60" i="1" a="1"/>
  <c r="CQ60" i="1" s="1"/>
  <c r="CQ70" i="1" a="1"/>
  <c r="CQ70" i="1" s="1"/>
  <c r="CQ74" i="1" a="1"/>
  <c r="CQ74" i="1" s="1"/>
  <c r="CQ77" i="1" a="1"/>
  <c r="CQ77" i="1" s="1"/>
  <c r="CQ87" i="1" a="1"/>
  <c r="CQ87" i="1" s="1"/>
  <c r="CQ86" i="1" a="1"/>
  <c r="CQ86" i="1" s="1"/>
  <c r="CQ94" i="1" a="1"/>
  <c r="CQ94" i="1" s="1"/>
  <c r="CQ115" i="1" a="1"/>
  <c r="CQ115" i="1" s="1"/>
  <c r="CQ104" i="1" a="1"/>
  <c r="CQ104" i="1" s="1"/>
  <c r="CQ116" i="1" a="1"/>
  <c r="CQ116" i="1" s="1"/>
  <c r="CQ128" i="1" a="1"/>
  <c r="CQ128" i="1" s="1"/>
  <c r="CQ111" i="1" a="1"/>
  <c r="CQ111" i="1" s="1"/>
  <c r="CQ137" i="1" a="1"/>
  <c r="CQ137" i="1" s="1"/>
  <c r="CQ152" i="1" a="1"/>
  <c r="CQ152" i="1" s="1"/>
  <c r="CQ145" i="1" a="1"/>
  <c r="CQ145" i="1" s="1"/>
  <c r="CQ147" i="1" a="1"/>
  <c r="CQ147" i="1" s="1"/>
  <c r="CQ160" i="1" a="1"/>
  <c r="CQ160" i="1" s="1"/>
  <c r="CQ159" i="1" a="1"/>
  <c r="CQ159" i="1" s="1"/>
  <c r="CQ175" i="1" a="1"/>
  <c r="CQ175" i="1" s="1"/>
  <c r="CQ174" i="1" a="1"/>
  <c r="CQ174" i="1" s="1"/>
  <c r="CQ179" i="1" a="1"/>
  <c r="CQ179" i="1" s="1"/>
  <c r="CQ194" i="1" a="1"/>
  <c r="CQ194" i="1" s="1"/>
  <c r="CQ195" i="1" a="1"/>
  <c r="CQ195" i="1" s="1"/>
  <c r="CQ185" i="1" a="1"/>
  <c r="CQ185" i="1" s="1"/>
  <c r="CQ199" i="1" a="1"/>
  <c r="CQ199" i="1" s="1"/>
  <c r="CQ217" i="1" a="1"/>
  <c r="CQ217" i="1" s="1"/>
  <c r="CQ226" i="1" a="1"/>
  <c r="CQ226" i="1" s="1"/>
  <c r="CQ215" i="1" a="1"/>
  <c r="CQ215" i="1" s="1"/>
  <c r="CQ232" i="1" a="1"/>
  <c r="CQ232" i="1" s="1"/>
  <c r="CQ263" i="1" a="1"/>
  <c r="CQ263" i="1" s="1"/>
  <c r="CQ305" i="1" a="1"/>
  <c r="CQ305" i="1" s="1"/>
  <c r="CQ242" i="1" a="1"/>
  <c r="CQ242" i="1" s="1"/>
  <c r="CQ253" i="1" a="1"/>
  <c r="CQ253" i="1" s="1"/>
  <c r="CQ264" i="1" a="1"/>
  <c r="CQ264" i="1" s="1"/>
  <c r="CQ230" i="1" a="1"/>
  <c r="CQ230" i="1" s="1"/>
  <c r="CQ306" i="1" a="1"/>
  <c r="CQ306" i="1" s="1"/>
  <c r="CQ246" i="1" a="1"/>
  <c r="CQ246" i="1" s="1"/>
  <c r="CQ277" i="1" a="1"/>
  <c r="CQ277" i="1" s="1"/>
  <c r="CQ284" i="1" a="1"/>
  <c r="CQ284" i="1" s="1"/>
  <c r="CQ314" i="1" a="1"/>
  <c r="CQ314" i="1" s="1"/>
  <c r="CQ291" i="1" a="1"/>
  <c r="CQ291" i="1" s="1"/>
  <c r="CQ283" i="1" a="1"/>
  <c r="CQ283" i="1" s="1"/>
  <c r="CQ313" i="1" a="1"/>
  <c r="CQ313" i="1" s="1"/>
  <c r="CQ26" i="1" a="1"/>
  <c r="CQ26" i="1" s="1"/>
  <c r="CQ47" i="1" a="1"/>
  <c r="CQ47" i="1" s="1"/>
  <c r="CQ69" i="1" a="1"/>
  <c r="CQ69" i="1" s="1"/>
  <c r="CQ92" i="1" a="1"/>
  <c r="CQ92" i="1" s="1"/>
  <c r="CQ120" i="1" a="1"/>
  <c r="CQ120" i="1" s="1"/>
  <c r="CQ127" i="1" a="1"/>
  <c r="CQ127" i="1" s="1"/>
  <c r="CQ156" i="1" a="1"/>
  <c r="CQ156" i="1" s="1"/>
  <c r="CQ180" i="1" a="1"/>
  <c r="CQ180" i="1" s="1"/>
  <c r="CQ189" i="1" a="1"/>
  <c r="CQ189" i="1" s="1"/>
  <c r="CQ218" i="1" a="1"/>
  <c r="CQ218" i="1" s="1"/>
  <c r="CQ247" i="1" a="1"/>
  <c r="CQ247" i="1" s="1"/>
  <c r="CQ265" i="1" a="1"/>
  <c r="CQ265" i="1" s="1"/>
  <c r="CQ297" i="1" a="1"/>
  <c r="CQ297" i="1" s="1"/>
  <c r="CQ29" i="1" a="1"/>
  <c r="CQ29" i="1" s="1"/>
  <c r="CQ55" i="1" a="1"/>
  <c r="CQ55" i="1" s="1"/>
  <c r="CQ71" i="1" a="1"/>
  <c r="CQ71" i="1" s="1"/>
  <c r="CQ100" i="1" a="1"/>
  <c r="CQ100" i="1" s="1"/>
  <c r="CQ136" i="1" a="1"/>
  <c r="CQ136" i="1" s="1"/>
  <c r="CQ184" i="1" a="1"/>
  <c r="CQ184" i="1" s="1"/>
  <c r="CQ204" i="1" a="1"/>
  <c r="CQ204" i="1" s="1"/>
  <c r="CQ219" i="1" a="1"/>
  <c r="CQ219" i="1" s="1"/>
  <c r="CQ258" i="1" a="1"/>
  <c r="CQ258" i="1" s="1"/>
  <c r="CQ237" i="1" a="1"/>
  <c r="CQ237" i="1" s="1"/>
  <c r="CQ300" i="1" a="1"/>
  <c r="CQ300" i="1" s="1"/>
  <c r="CQ30" i="1" a="1"/>
  <c r="CQ30" i="1" s="1"/>
  <c r="CQ25" i="1" a="1"/>
  <c r="CQ25" i="1" s="1"/>
  <c r="CQ32" i="1" a="1"/>
  <c r="CQ32" i="1" s="1"/>
  <c r="CQ42" i="1" a="1"/>
  <c r="CQ42" i="1" s="1"/>
  <c r="CQ45" i="1" a="1"/>
  <c r="CQ45" i="1" s="1"/>
  <c r="CQ53" i="1" a="1"/>
  <c r="CQ53" i="1" s="1"/>
  <c r="CQ64" i="1" a="1"/>
  <c r="CQ64" i="1" s="1"/>
  <c r="CQ61" i="1" a="1"/>
  <c r="CQ61" i="1" s="1"/>
  <c r="CQ73" i="1" a="1"/>
  <c r="CQ73" i="1" s="1"/>
  <c r="CQ66" i="1" a="1"/>
  <c r="CQ66" i="1" s="1"/>
  <c r="CQ85" i="1" a="1"/>
  <c r="CQ85" i="1" s="1"/>
  <c r="CQ90" i="1" a="1"/>
  <c r="CQ90" i="1" s="1"/>
  <c r="CQ89" i="1" a="1"/>
  <c r="CQ89" i="1" s="1"/>
  <c r="CQ97" i="1" a="1"/>
  <c r="CQ97" i="1" s="1"/>
  <c r="CQ91" i="1" a="1"/>
  <c r="CQ91" i="1" s="1"/>
  <c r="CQ107" i="1" a="1"/>
  <c r="CQ107" i="1" s="1"/>
  <c r="CQ119" i="1" a="1"/>
  <c r="CQ119" i="1" s="1"/>
  <c r="CQ131" i="1" a="1"/>
  <c r="CQ131" i="1" s="1"/>
  <c r="CQ123" i="1" a="1"/>
  <c r="CQ123" i="1" s="1"/>
  <c r="CQ140" i="1" a="1"/>
  <c r="CQ140" i="1" s="1"/>
  <c r="CQ155" i="1" a="1"/>
  <c r="CQ155" i="1" s="1"/>
  <c r="CQ148" i="1" a="1"/>
  <c r="CQ148" i="1" s="1"/>
  <c r="CQ150" i="1" a="1"/>
  <c r="CQ150" i="1" s="1"/>
  <c r="CQ163" i="1" a="1"/>
  <c r="CQ163" i="1" s="1"/>
  <c r="CQ162" i="1" a="1"/>
  <c r="CQ162" i="1" s="1"/>
  <c r="CQ178" i="1" a="1"/>
  <c r="CQ178" i="1" s="1"/>
  <c r="CQ177" i="1" a="1"/>
  <c r="CQ177" i="1" s="1"/>
  <c r="CQ173" i="1" a="1"/>
  <c r="CQ173" i="1" s="1"/>
  <c r="CQ197" i="1" a="1"/>
  <c r="CQ197" i="1" s="1"/>
  <c r="CQ198" i="1" a="1"/>
  <c r="CQ198" i="1" s="1"/>
  <c r="CQ186" i="1" a="1"/>
  <c r="CQ186" i="1" s="1"/>
  <c r="CQ202" i="1" a="1"/>
  <c r="CQ202" i="1" s="1"/>
  <c r="CQ220" i="1" a="1"/>
  <c r="CQ220" i="1" s="1"/>
  <c r="CQ229" i="1" a="1"/>
  <c r="CQ229" i="1" s="1"/>
  <c r="CQ216" i="1" a="1"/>
  <c r="CQ216" i="1" s="1"/>
  <c r="CQ235" i="1" a="1"/>
  <c r="CQ235" i="1" s="1"/>
  <c r="CQ266" i="1" a="1"/>
  <c r="CQ266" i="1" s="1"/>
  <c r="CQ308" i="1" a="1"/>
  <c r="CQ308" i="1" s="1"/>
  <c r="CQ245" i="1" a="1"/>
  <c r="CQ245" i="1" s="1"/>
  <c r="CQ255" i="1" a="1"/>
  <c r="CQ255" i="1" s="1"/>
  <c r="CQ267" i="1" a="1"/>
  <c r="CQ267" i="1" s="1"/>
  <c r="CQ248" i="1" a="1"/>
  <c r="CQ248" i="1" s="1"/>
  <c r="CQ231" i="1" a="1"/>
  <c r="CQ231" i="1" s="1"/>
  <c r="CQ262" i="1" a="1"/>
  <c r="CQ262" i="1" s="1"/>
  <c r="CQ301" i="1" a="1"/>
  <c r="CQ301" i="1" s="1"/>
  <c r="CQ287" i="1" a="1"/>
  <c r="CQ287" i="1" s="1"/>
  <c r="CQ278" i="1" a="1"/>
  <c r="CQ278" i="1" s="1"/>
  <c r="CQ294" i="1" a="1"/>
  <c r="CQ294" i="1" s="1"/>
  <c r="CQ286" i="1" a="1"/>
  <c r="CQ286" i="1" s="1"/>
  <c r="CQ43" i="1" a="1"/>
  <c r="CQ43" i="1" s="1"/>
  <c r="CQ62" i="1" a="1"/>
  <c r="CQ62" i="1" s="1"/>
  <c r="CQ93" i="1" a="1"/>
  <c r="CQ93" i="1" s="1"/>
  <c r="CQ110" i="1" a="1"/>
  <c r="CQ110" i="1" s="1"/>
  <c r="CQ143" i="1" a="1"/>
  <c r="CQ143" i="1" s="1"/>
  <c r="CQ166" i="1" a="1"/>
  <c r="CQ166" i="1" s="1"/>
  <c r="CQ200" i="1" a="1"/>
  <c r="CQ200" i="1" s="1"/>
  <c r="CQ206" i="1" a="1"/>
  <c r="CQ206" i="1" s="1"/>
  <c r="CQ238" i="1" a="1"/>
  <c r="CQ238" i="1" s="1"/>
  <c r="CQ270" i="1" a="1"/>
  <c r="CQ270" i="1" s="1"/>
  <c r="CQ304" i="1" a="1"/>
  <c r="CQ304" i="1" s="1"/>
  <c r="CQ289" i="1" a="1"/>
  <c r="CQ289" i="1" s="1"/>
  <c r="CQ51" i="1" a="1"/>
  <c r="CQ51" i="1" s="1"/>
  <c r="CQ78" i="1" a="1"/>
  <c r="CQ78" i="1" s="1"/>
  <c r="CQ106" i="1" a="1"/>
  <c r="CQ106" i="1" s="1"/>
  <c r="CQ129" i="1" a="1"/>
  <c r="CQ129" i="1" s="1"/>
  <c r="CQ161" i="1" a="1"/>
  <c r="CQ161" i="1" s="1"/>
  <c r="CQ187" i="1" a="1"/>
  <c r="CQ187" i="1" s="1"/>
  <c r="CQ205" i="1" a="1"/>
  <c r="CQ205" i="1" s="1"/>
  <c r="CQ249" i="1" a="1"/>
  <c r="CQ249" i="1" s="1"/>
  <c r="CQ268" i="1" a="1"/>
  <c r="CQ268" i="1" s="1"/>
  <c r="CQ292" i="1" a="1"/>
  <c r="CQ292" i="1" s="1"/>
  <c r="DA273" i="1" a="1"/>
  <c r="DA273" i="1" s="1"/>
  <c r="DA234" i="1" a="1"/>
  <c r="DA234" i="1" s="1"/>
  <c r="DA213" i="1" a="1"/>
  <c r="DA213" i="1" s="1"/>
  <c r="DA173" i="1" a="1"/>
  <c r="DA173" i="1" s="1"/>
  <c r="DA148" i="1" a="1"/>
  <c r="DA148" i="1" s="1"/>
  <c r="DA111" i="1" a="1"/>
  <c r="DA111" i="1" s="1"/>
  <c r="DA68" i="1" a="1"/>
  <c r="DA68" i="1" s="1"/>
  <c r="DA32" i="1" a="1"/>
  <c r="DA32" i="1" s="1"/>
  <c r="DA270" i="1" a="1"/>
  <c r="DA270" i="1" s="1"/>
  <c r="DA231" i="1" a="1"/>
  <c r="DA231" i="1" s="1"/>
  <c r="DA204" i="1" a="1"/>
  <c r="DA204" i="1" s="1"/>
  <c r="DA169" i="1" a="1"/>
  <c r="DA169" i="1" s="1"/>
  <c r="DA145" i="1" a="1"/>
  <c r="DA145" i="1" s="1"/>
  <c r="DA108" i="1" a="1"/>
  <c r="DA108" i="1" s="1"/>
  <c r="DA65" i="1" a="1"/>
  <c r="DA65" i="1" s="1"/>
  <c r="DA25" i="1" a="1"/>
  <c r="DA25" i="1" s="1"/>
  <c r="DA54" i="1" a="1"/>
  <c r="DA54" i="1" s="1"/>
  <c r="DA196" i="1" a="1"/>
  <c r="DA196" i="1" s="1"/>
  <c r="DA143" i="1" a="1"/>
  <c r="DA143" i="1" s="1"/>
  <c r="DA131" i="1" a="1"/>
  <c r="DA131" i="1" s="1"/>
  <c r="DA82" i="1" a="1"/>
  <c r="DA82" i="1" s="1"/>
  <c r="DA42" i="1" a="1"/>
  <c r="DA42" i="1" s="1"/>
  <c r="DA296" i="1" a="1"/>
  <c r="DA296" i="1" s="1"/>
  <c r="DA257" i="1" a="1"/>
  <c r="DA257" i="1" s="1"/>
  <c r="DA230" i="1" a="1"/>
  <c r="DA230" i="1" s="1"/>
  <c r="DA198" i="1" a="1"/>
  <c r="DA198" i="1" s="1"/>
  <c r="DA183" i="1" a="1"/>
  <c r="DA183" i="1" s="1"/>
  <c r="DA129" i="1" a="1"/>
  <c r="DA129" i="1" s="1"/>
  <c r="DA99" i="1" a="1"/>
  <c r="DA99" i="1" s="1"/>
  <c r="DA58" i="1" a="1"/>
  <c r="DA58" i="1" s="1"/>
  <c r="DA27" i="1" a="1"/>
  <c r="DA27" i="1" s="1"/>
  <c r="DA293" i="1" a="1"/>
  <c r="DA293" i="1" s="1"/>
  <c r="DA256" i="1" a="1"/>
  <c r="DA256" i="1" s="1"/>
  <c r="DA277" i="1" a="1"/>
  <c r="DA277" i="1" s="1"/>
  <c r="DA195" i="1" a="1"/>
  <c r="DA195" i="1" s="1"/>
  <c r="DA171" i="1" a="1"/>
  <c r="DA171" i="1" s="1"/>
  <c r="DA113" i="1" a="1"/>
  <c r="DA113" i="1" s="1"/>
  <c r="DA95" i="1" a="1"/>
  <c r="DA95" i="1" s="1"/>
  <c r="DA66" i="1" a="1"/>
  <c r="DA66" i="1" s="1"/>
  <c r="DA206" i="1" a="1"/>
  <c r="DA206" i="1" s="1"/>
  <c r="DA181" i="1" a="1"/>
  <c r="DA181" i="1" s="1"/>
  <c r="DA147" i="1" a="1"/>
  <c r="DA147" i="1" s="1"/>
  <c r="DA117" i="1" a="1"/>
  <c r="DA117" i="1" s="1"/>
  <c r="DA77" i="1" a="1"/>
  <c r="DA77" i="1" s="1"/>
  <c r="DA40" i="1" a="1"/>
  <c r="DA40" i="1" s="1"/>
  <c r="DA279" i="1" a="1"/>
  <c r="DA279" i="1" s="1"/>
  <c r="DA248" i="1" a="1"/>
  <c r="DA248" i="1" s="1"/>
  <c r="DA262" i="1" a="1"/>
  <c r="DA262" i="1" s="1"/>
  <c r="DA200" i="1" a="1"/>
  <c r="DA200" i="1" s="1"/>
  <c r="DA166" i="1" a="1"/>
  <c r="DA166" i="1" s="1"/>
  <c r="DA106" i="1" a="1"/>
  <c r="DA106" i="1" s="1"/>
  <c r="DA91" i="1" a="1"/>
  <c r="DA91" i="1" s="1"/>
  <c r="DA55" i="1" a="1"/>
  <c r="DA55" i="1" s="1"/>
  <c r="DA311" i="1" a="1"/>
  <c r="DA311" i="1" s="1"/>
  <c r="DA247" i="1" a="1"/>
  <c r="DA247" i="1" s="1"/>
  <c r="DA245" i="1" a="1"/>
  <c r="DA245" i="1" s="1"/>
  <c r="DA197" i="1" a="1"/>
  <c r="DA197" i="1" s="1"/>
  <c r="DA162" i="1" a="1"/>
  <c r="DA162" i="1" s="1"/>
  <c r="DA133" i="1" a="1"/>
  <c r="DA133" i="1" s="1"/>
  <c r="DA88" i="1" a="1"/>
  <c r="DA88" i="1" s="1"/>
  <c r="DA50" i="1" a="1"/>
  <c r="DA50" i="1" s="1"/>
  <c r="DA292" i="1" a="1"/>
  <c r="DA292" i="1" s="1"/>
  <c r="DA134" i="1" a="1"/>
  <c r="DA134" i="1" s="1"/>
  <c r="DA276" i="1" a="1"/>
  <c r="DA276" i="1" s="1"/>
  <c r="DA237" i="1" a="1"/>
  <c r="DA237" i="1" s="1"/>
  <c r="DA215" i="1" a="1"/>
  <c r="DA215" i="1" s="1"/>
  <c r="DA176" i="1" a="1"/>
  <c r="DA176" i="1" s="1"/>
  <c r="DA151" i="1" a="1"/>
  <c r="DA151" i="1" s="1"/>
  <c r="DA114" i="1" a="1"/>
  <c r="DA114" i="1" s="1"/>
  <c r="DA69" i="1" a="1"/>
  <c r="DA69" i="1" s="1"/>
  <c r="DA31" i="1" a="1"/>
  <c r="DA31" i="1" s="1"/>
  <c r="DA295" i="1" a="1"/>
  <c r="DA295" i="1" s="1"/>
  <c r="DA232" i="1" a="1"/>
  <c r="DA232" i="1" s="1"/>
  <c r="DA229" i="1" a="1"/>
  <c r="DA229" i="1" s="1"/>
  <c r="DA209" i="1" a="1"/>
  <c r="DA209" i="1" s="1"/>
  <c r="DA160" i="1" a="1"/>
  <c r="DA160" i="1" s="1"/>
  <c r="DA137" i="1" a="1"/>
  <c r="DA137" i="1" s="1"/>
  <c r="DA84" i="1" a="1"/>
  <c r="DA84" i="1" s="1"/>
  <c r="DA52" i="1" a="1"/>
  <c r="DA52" i="1" s="1"/>
  <c r="DA226" i="1" a="1"/>
  <c r="DA226" i="1" s="1"/>
  <c r="DA29" i="1" a="1"/>
  <c r="DA29" i="1" s="1"/>
  <c r="DA300" i="1" a="1"/>
  <c r="DA300" i="1" s="1"/>
  <c r="DA249" i="1" a="1"/>
  <c r="DA249" i="1" s="1"/>
  <c r="DA222" i="1" a="1"/>
  <c r="DA222" i="1" s="1"/>
  <c r="DA193" i="1" a="1"/>
  <c r="DA193" i="1" s="1"/>
  <c r="DA140" i="1" a="1"/>
  <c r="DA140" i="1" s="1"/>
  <c r="DA128" i="1" a="1"/>
  <c r="DA128" i="1" s="1"/>
  <c r="DA79" i="1" a="1"/>
  <c r="DA79" i="1" s="1"/>
  <c r="DA36" i="1" a="1"/>
  <c r="DA36" i="1" s="1"/>
  <c r="DA297" i="1" a="1"/>
  <c r="DA297" i="1" s="1"/>
  <c r="DA246" i="1" a="1"/>
  <c r="DA246" i="1" s="1"/>
  <c r="DA220" i="1" a="1"/>
  <c r="DA220" i="1" s="1"/>
  <c r="DA188" i="1" a="1"/>
  <c r="DA188" i="1" s="1"/>
  <c r="DA138" i="1" a="1"/>
  <c r="DA138" i="1" s="1"/>
  <c r="DA125" i="1" a="1"/>
  <c r="DA125" i="1" s="1"/>
  <c r="DA73" i="1" a="1"/>
  <c r="DA73" i="1" s="1"/>
  <c r="DA34" i="1" a="1"/>
  <c r="DA34" i="1" s="1"/>
  <c r="DA157" i="1" a="1"/>
  <c r="DA157" i="1" s="1"/>
  <c r="DA203" i="1" a="1"/>
  <c r="DA203" i="1" s="1"/>
  <c r="DA158" i="1" a="1"/>
  <c r="DA158" i="1" s="1"/>
  <c r="DA107" i="1" a="1"/>
  <c r="DA107" i="1" s="1"/>
  <c r="DA94" i="1" a="1"/>
  <c r="DA94" i="1" s="1"/>
  <c r="DA47" i="1" a="1"/>
  <c r="DA47" i="1" s="1"/>
  <c r="DA282" i="1" a="1"/>
  <c r="DA282" i="1" s="1"/>
  <c r="DA266" i="1" a="1"/>
  <c r="DA266" i="1" s="1"/>
  <c r="DA227" i="1" a="1"/>
  <c r="DA227" i="1" s="1"/>
  <c r="DA178" i="1" a="1"/>
  <c r="DA178" i="1" s="1"/>
  <c r="DA144" i="1" a="1"/>
  <c r="DA144" i="1" s="1"/>
  <c r="DA100" i="1" a="1"/>
  <c r="DA100" i="1" s="1"/>
  <c r="DA74" i="1" a="1"/>
  <c r="DA74" i="1" s="1"/>
  <c r="DA39" i="1" a="1"/>
  <c r="DA39" i="1" s="1"/>
  <c r="DA312" i="1" a="1"/>
  <c r="DA312" i="1" s="1"/>
  <c r="DA263" i="1" a="1"/>
  <c r="DA263" i="1" s="1"/>
  <c r="DA224" i="1" a="1"/>
  <c r="DA224" i="1" s="1"/>
  <c r="DA175" i="1" a="1"/>
  <c r="DA175" i="1" s="1"/>
  <c r="DA141" i="1" a="1"/>
  <c r="DA141" i="1" s="1"/>
  <c r="DA96" i="1" a="1"/>
  <c r="DA96" i="1" s="1"/>
  <c r="DA64" i="1" a="1"/>
  <c r="DA64" i="1" s="1"/>
  <c r="DA38" i="1" a="1"/>
  <c r="DA38" i="1" s="1"/>
  <c r="DA305" i="1" a="1"/>
  <c r="DA305" i="1" s="1"/>
  <c r="DA83" i="1" a="1"/>
  <c r="DA83" i="1" s="1"/>
  <c r="CN297" i="1" a="1"/>
  <c r="CN297" i="1" s="1"/>
  <c r="CN313" i="1" a="1"/>
  <c r="CN313" i="1" s="1"/>
  <c r="CN284" i="1" a="1"/>
  <c r="CN284" i="1" s="1"/>
  <c r="CN286" i="1" a="1"/>
  <c r="CN286" i="1" s="1"/>
  <c r="CN307" i="1" a="1"/>
  <c r="CN307" i="1" s="1"/>
  <c r="CN248" i="1" a="1"/>
  <c r="CN248" i="1" s="1"/>
  <c r="CN277" i="1" a="1"/>
  <c r="CN277" i="1" s="1"/>
  <c r="CN259" i="1" a="1"/>
  <c r="CN259" i="1" s="1"/>
  <c r="CN250" i="1" a="1"/>
  <c r="CN250" i="1" s="1"/>
  <c r="CN241" i="1" a="1"/>
  <c r="CN241" i="1" s="1"/>
  <c r="CN273" i="1" a="1"/>
  <c r="CN273" i="1" s="1"/>
  <c r="CN311" i="1" a="1"/>
  <c r="CN311" i="1" s="1"/>
  <c r="CN240" i="1" a="1"/>
  <c r="CN240" i="1" s="1"/>
  <c r="CN269" i="1" a="1"/>
  <c r="CN269" i="1" s="1"/>
  <c r="CN224" i="1" a="1"/>
  <c r="CN224" i="1" s="1"/>
  <c r="CN217" i="1" a="1"/>
  <c r="CN217" i="1" s="1"/>
  <c r="CN216" i="1" a="1"/>
  <c r="CN216" i="1" s="1"/>
  <c r="CN206" i="1" a="1"/>
  <c r="CN206" i="1" s="1"/>
  <c r="CN193" i="1" a="1"/>
  <c r="CN193" i="1" s="1"/>
  <c r="CN201" i="1" a="1"/>
  <c r="CN201" i="1" s="1"/>
  <c r="CN191" i="1" a="1"/>
  <c r="CN191" i="1" s="1"/>
  <c r="CN186" i="1" a="1"/>
  <c r="CN186" i="1" s="1"/>
  <c r="CN180" i="1" a="1"/>
  <c r="CN180" i="1" s="1"/>
  <c r="CN175" i="1" a="1"/>
  <c r="CN175" i="1" s="1"/>
  <c r="CN165" i="1" a="1"/>
  <c r="CN165" i="1" s="1"/>
  <c r="CN160" i="1" a="1"/>
  <c r="CN160" i="1" s="1"/>
  <c r="CN158" i="1" a="1"/>
  <c r="CN158" i="1" s="1"/>
  <c r="CN142" i="1" a="1"/>
  <c r="CN142" i="1" s="1"/>
  <c r="CN149" i="1" a="1"/>
  <c r="CN149" i="1" s="1"/>
  <c r="CN144" i="1" a="1"/>
  <c r="CN144" i="1" s="1"/>
  <c r="CN124" i="1" a="1"/>
  <c r="CN124" i="1" s="1"/>
  <c r="CN116" i="1" a="1"/>
  <c r="CN116" i="1" s="1"/>
  <c r="CN129" i="1" a="1"/>
  <c r="CN129" i="1" s="1"/>
  <c r="CN114" i="1" a="1"/>
  <c r="CN114" i="1" s="1"/>
  <c r="CN93" i="1" a="1"/>
  <c r="CN93" i="1" s="1"/>
  <c r="CN103" i="1" a="1"/>
  <c r="CN103" i="1" s="1"/>
  <c r="CN96" i="1" a="1"/>
  <c r="CN96" i="1" s="1"/>
  <c r="CN98" i="1" a="1"/>
  <c r="CN98" i="1" s="1"/>
  <c r="CN89" i="1" a="1"/>
  <c r="CN89" i="1" s="1"/>
  <c r="CN74" i="1" a="1"/>
  <c r="CN74" i="1" s="1"/>
  <c r="CN73" i="1" a="1"/>
  <c r="CN73" i="1" s="1"/>
  <c r="CN67" i="1" a="1"/>
  <c r="CN67" i="1" s="1"/>
  <c r="CN64" i="1" a="1"/>
  <c r="CN64" i="1" s="1"/>
  <c r="CN55" i="1" a="1"/>
  <c r="CN55" i="1" s="1"/>
  <c r="CN46" i="1" a="1"/>
  <c r="CN46" i="1" s="1"/>
  <c r="CN51" i="1" a="1"/>
  <c r="CN51" i="1" s="1"/>
  <c r="CN38" i="1" a="1"/>
  <c r="CN38" i="1" s="1"/>
  <c r="CN31" i="1" a="1"/>
  <c r="CN31" i="1" s="1"/>
  <c r="CN25" i="1" a="1"/>
  <c r="CN25" i="1" s="1"/>
  <c r="CX18" i="1"/>
  <c r="CX291" i="1" s="1" a="1"/>
  <c r="CX291" i="1" s="1"/>
  <c r="CA19" i="1"/>
  <c r="CX19" i="1" s="1"/>
  <c r="CP7" i="1"/>
  <c r="BR8" i="1"/>
  <c r="CO8" i="1" s="1"/>
  <c r="BS9" i="1"/>
  <c r="CP9" i="1" s="1"/>
  <c r="CX165" i="1" a="1"/>
  <c r="CX165" i="1" s="1"/>
  <c r="CX142" i="1" a="1"/>
  <c r="CX142" i="1" s="1"/>
  <c r="CX25" i="1" a="1"/>
  <c r="CX25" i="1" s="1"/>
  <c r="CX100" i="1" a="1"/>
  <c r="CX100" i="1" s="1"/>
  <c r="CX311" i="1" a="1"/>
  <c r="CX311" i="1" s="1"/>
  <c r="CX237" i="1" a="1"/>
  <c r="CX237" i="1" s="1"/>
  <c r="CX91" i="1" a="1"/>
  <c r="CX91" i="1" s="1"/>
  <c r="CX64" i="1" a="1"/>
  <c r="CX64" i="1" s="1"/>
  <c r="CX179" i="1" a="1"/>
  <c r="CX179" i="1" s="1"/>
  <c r="CX151" i="1" a="1"/>
  <c r="CX151" i="1" s="1"/>
  <c r="CX269" i="1" a="1"/>
  <c r="CX269" i="1" s="1"/>
  <c r="CX214" i="1" a="1"/>
  <c r="CX214" i="1" s="1"/>
  <c r="CX39" i="1" a="1"/>
  <c r="CX39" i="1" s="1"/>
  <c r="CW30" i="1" a="1"/>
  <c r="CW30" i="1" s="1"/>
  <c r="CW41" i="1" a="1"/>
  <c r="CW41" i="1" s="1"/>
  <c r="CW39" i="1" a="1"/>
  <c r="CW39" i="1" s="1"/>
  <c r="CW44" i="1" a="1"/>
  <c r="CW44" i="1" s="1"/>
  <c r="CW50" i="1" a="1"/>
  <c r="CW50" i="1" s="1"/>
  <c r="CW48" i="1" a="1"/>
  <c r="CW48" i="1" s="1"/>
  <c r="CW63" i="1" a="1"/>
  <c r="CW63" i="1" s="1"/>
  <c r="CW72" i="1" a="1"/>
  <c r="CW72" i="1" s="1"/>
  <c r="CW70" i="1" a="1"/>
  <c r="CW70" i="1" s="1"/>
  <c r="CW77" i="1" a="1"/>
  <c r="CW77" i="1" s="1"/>
  <c r="CW81" i="1" a="1"/>
  <c r="CW81" i="1" s="1"/>
  <c r="CW98" i="1" a="1"/>
  <c r="CW98" i="1" s="1"/>
  <c r="CW93" i="1" a="1"/>
  <c r="CW93" i="1" s="1"/>
  <c r="CW96" i="1" a="1"/>
  <c r="CW96" i="1" s="1"/>
  <c r="CW107" i="1" a="1"/>
  <c r="CW107" i="1" s="1"/>
  <c r="CW121" i="1" a="1"/>
  <c r="CW121" i="1" s="1"/>
  <c r="CW109" i="1" a="1"/>
  <c r="CW109" i="1" s="1"/>
  <c r="CW133" i="1" a="1"/>
  <c r="CW133" i="1" s="1"/>
  <c r="CW129" i="1" a="1"/>
  <c r="CW129" i="1" s="1"/>
  <c r="CW142" i="1" a="1"/>
  <c r="CW142" i="1" s="1"/>
  <c r="CW136" i="1" a="1"/>
  <c r="CW136" i="1" s="1"/>
  <c r="CW143" i="1" a="1"/>
  <c r="CW143" i="1" s="1"/>
  <c r="CW159" i="1" a="1"/>
  <c r="CW159" i="1" s="1"/>
  <c r="CW164" i="1" a="1"/>
  <c r="CW164" i="1" s="1"/>
  <c r="CW169" i="1" a="1"/>
  <c r="CW169" i="1" s="1"/>
  <c r="CW173" i="1" a="1"/>
  <c r="CW173" i="1" s="1"/>
  <c r="CW178" i="1" a="1"/>
  <c r="CW178" i="1" s="1"/>
  <c r="CW200" i="1" a="1"/>
  <c r="CW200" i="1" s="1"/>
  <c r="CW192" i="1" a="1"/>
  <c r="CW192" i="1" s="1"/>
  <c r="CW211" i="1" a="1"/>
  <c r="CW211" i="1" s="1"/>
  <c r="CW199" i="1" a="1"/>
  <c r="CW199" i="1" s="1"/>
  <c r="CW225" i="1" a="1"/>
  <c r="CW225" i="1" s="1"/>
  <c r="CW219" i="1" a="1"/>
  <c r="CW219" i="1" s="1"/>
  <c r="CW217" i="1" a="1"/>
  <c r="CW217" i="1" s="1"/>
  <c r="CW227" i="1" a="1"/>
  <c r="CW227" i="1" s="1"/>
  <c r="CW260" i="1" a="1"/>
  <c r="CW260" i="1" s="1"/>
  <c r="CW302" i="1" a="1"/>
  <c r="CW302" i="1" s="1"/>
  <c r="CW239" i="1" a="1"/>
  <c r="CW239" i="1" s="1"/>
  <c r="CW270" i="1" a="1"/>
  <c r="CW270" i="1" s="1"/>
  <c r="CW231" i="1" a="1"/>
  <c r="CW231" i="1" s="1"/>
  <c r="CW247" i="1" a="1"/>
  <c r="CW247" i="1" s="1"/>
  <c r="CW256" i="1" a="1"/>
  <c r="CW256" i="1" s="1"/>
  <c r="CW271" i="1" a="1"/>
  <c r="CW271" i="1" s="1"/>
  <c r="CW254" i="1" a="1"/>
  <c r="CW254" i="1" s="1"/>
  <c r="CW280" i="1" a="1"/>
  <c r="CW280" i="1" s="1"/>
  <c r="CW296" i="1" a="1"/>
  <c r="CW296" i="1" s="1"/>
  <c r="CW291" i="1" a="1"/>
  <c r="CW291" i="1" s="1"/>
  <c r="CW286" i="1" a="1"/>
  <c r="CW286" i="1" s="1"/>
  <c r="CW309" i="1" a="1"/>
  <c r="CW309" i="1" s="1"/>
  <c r="CW24" i="1" a="1"/>
  <c r="CW24" i="1" s="1"/>
  <c r="CW32" i="1" a="1"/>
  <c r="CW32" i="1" s="1"/>
  <c r="CW40" i="1" a="1"/>
  <c r="CW40" i="1" s="1"/>
  <c r="CW45" i="1" a="1"/>
  <c r="CW45" i="1" s="1"/>
  <c r="CW47" i="1" a="1"/>
  <c r="CW47" i="1" s="1"/>
  <c r="CW54" i="1" a="1"/>
  <c r="CW54" i="1" s="1"/>
  <c r="CW56" i="1" a="1"/>
  <c r="CW56" i="1" s="1"/>
  <c r="CW74" i="1" a="1"/>
  <c r="CW74" i="1" s="1"/>
  <c r="CW73" i="1" a="1"/>
  <c r="CW73" i="1" s="1"/>
  <c r="CW82" i="1" a="1"/>
  <c r="CW82" i="1" s="1"/>
  <c r="CW84" i="1" a="1"/>
  <c r="CW84" i="1" s="1"/>
  <c r="CW85" i="1" a="1"/>
  <c r="CW85" i="1" s="1"/>
  <c r="CW100" i="1" a="1"/>
  <c r="CW100" i="1" s="1"/>
  <c r="CW105" i="1" a="1"/>
  <c r="CW105" i="1" s="1"/>
  <c r="CW110" i="1" a="1"/>
  <c r="CW110" i="1" s="1"/>
  <c r="CW116" i="1" a="1"/>
  <c r="CW116" i="1" s="1"/>
  <c r="CW119" i="1" a="1"/>
  <c r="CW119" i="1" s="1"/>
  <c r="CW135" i="1" a="1"/>
  <c r="CW135" i="1" s="1"/>
  <c r="CW132" i="1" a="1"/>
  <c r="CW132" i="1" s="1"/>
  <c r="CW145" i="1" a="1"/>
  <c r="CW145" i="1" s="1"/>
  <c r="CW141" i="1" a="1"/>
  <c r="CW141" i="1" s="1"/>
  <c r="CW146" i="1" a="1"/>
  <c r="CW146" i="1" s="1"/>
  <c r="CW162" i="1" a="1"/>
  <c r="CW162" i="1" s="1"/>
  <c r="CW157" i="1" a="1"/>
  <c r="CW157" i="1" s="1"/>
  <c r="CW170" i="1" a="1"/>
  <c r="CW170" i="1" s="1"/>
  <c r="CW176" i="1" a="1"/>
  <c r="CW176" i="1" s="1"/>
  <c r="CW181" i="1" a="1"/>
  <c r="CW181" i="1" s="1"/>
  <c r="CW207" i="1" a="1"/>
  <c r="CW207" i="1" s="1"/>
  <c r="CW195" i="1" a="1"/>
  <c r="CW195" i="1" s="1"/>
  <c r="CW186" i="1" a="1"/>
  <c r="CW186" i="1" s="1"/>
  <c r="CW202" i="1" a="1"/>
  <c r="CW202" i="1" s="1"/>
  <c r="CW228" i="1" a="1"/>
  <c r="CW228" i="1" s="1"/>
  <c r="CW221" i="1" a="1"/>
  <c r="CW221" i="1" s="1"/>
  <c r="CW220" i="1" a="1"/>
  <c r="CW220" i="1" s="1"/>
  <c r="CW232" i="1" a="1"/>
  <c r="CW232" i="1" s="1"/>
  <c r="CW263" i="1" a="1"/>
  <c r="CW263" i="1" s="1"/>
  <c r="CW305" i="1" a="1"/>
  <c r="CW305" i="1" s="1"/>
  <c r="CW242" i="1" a="1"/>
  <c r="CW242" i="1" s="1"/>
  <c r="CW273" i="1" a="1"/>
  <c r="CW273" i="1" s="1"/>
  <c r="CW234" i="1" a="1"/>
  <c r="CW234" i="1" s="1"/>
  <c r="CW249" i="1" a="1"/>
  <c r="CW249" i="1" s="1"/>
  <c r="CW258" i="1" a="1"/>
  <c r="CW258" i="1" s="1"/>
  <c r="CW274" i="1" a="1"/>
  <c r="CW274" i="1" s="1"/>
  <c r="CW257" i="1" a="1"/>
  <c r="CW257" i="1" s="1"/>
  <c r="CW281" i="1" a="1"/>
  <c r="CW281" i="1" s="1"/>
  <c r="CW299" i="1" a="1"/>
  <c r="CW299" i="1" s="1"/>
  <c r="CW294" i="1" a="1"/>
  <c r="CW294" i="1" s="1"/>
  <c r="CW289" i="1" a="1"/>
  <c r="CW289" i="1" s="1"/>
  <c r="CW312" i="1" a="1"/>
  <c r="CW312" i="1" s="1"/>
  <c r="CW38" i="1" a="1"/>
  <c r="CW38" i="1" s="1"/>
  <c r="CW69" i="1" a="1"/>
  <c r="CW69" i="1" s="1"/>
  <c r="CW97" i="1" a="1"/>
  <c r="CW97" i="1" s="1"/>
  <c r="CW126" i="1" a="1"/>
  <c r="CW126" i="1" s="1"/>
  <c r="CW156" i="1" a="1"/>
  <c r="CW156" i="1" s="1"/>
  <c r="CW175" i="1" a="1"/>
  <c r="CW175" i="1" s="1"/>
  <c r="CW196" i="1" a="1"/>
  <c r="CW196" i="1" s="1"/>
  <c r="CW224" i="1" a="1"/>
  <c r="CW224" i="1" s="1"/>
  <c r="CW306" i="1" a="1"/>
  <c r="CW306" i="1" s="1"/>
  <c r="CW293" i="1" a="1"/>
  <c r="CW293" i="1" s="1"/>
  <c r="CW21" i="1" a="1"/>
  <c r="CW21" i="1" s="1"/>
  <c r="CW22" i="1" a="1"/>
  <c r="CW22" i="1" s="1"/>
  <c r="CW27" i="1" a="1"/>
  <c r="CW27" i="1" s="1"/>
  <c r="CW42" i="1" a="1"/>
  <c r="CW42" i="1" s="1"/>
  <c r="CW35" i="1" a="1"/>
  <c r="CW35" i="1" s="1"/>
  <c r="CW52" i="1" a="1"/>
  <c r="CW52" i="1" s="1"/>
  <c r="CW57" i="1" a="1"/>
  <c r="CW57" i="1" s="1"/>
  <c r="CW58" i="1" a="1"/>
  <c r="CW58" i="1" s="1"/>
  <c r="CW78" i="1" a="1"/>
  <c r="CW78" i="1" s="1"/>
  <c r="CW64" i="1" a="1"/>
  <c r="CW64" i="1" s="1"/>
  <c r="CW75" i="1" a="1"/>
  <c r="CW75" i="1" s="1"/>
  <c r="CW86" i="1" a="1"/>
  <c r="CW86" i="1" s="1"/>
  <c r="CW88" i="1" a="1"/>
  <c r="CW88" i="1" s="1"/>
  <c r="CW101" i="1" a="1"/>
  <c r="CW101" i="1" s="1"/>
  <c r="CW108" i="1" a="1"/>
  <c r="CW108" i="1" s="1"/>
  <c r="CW113" i="1" a="1"/>
  <c r="CW113" i="1" s="1"/>
  <c r="CW122" i="1" a="1"/>
  <c r="CW122" i="1" s="1"/>
  <c r="CW120" i="1" a="1"/>
  <c r="CW120" i="1" s="1"/>
  <c r="CW138" i="1" a="1"/>
  <c r="CW138" i="1" s="1"/>
  <c r="CW115" i="1" a="1"/>
  <c r="CW115" i="1" s="1"/>
  <c r="CW148" i="1" a="1"/>
  <c r="CW148" i="1" s="1"/>
  <c r="CW144" i="1" a="1"/>
  <c r="CW144" i="1" s="1"/>
  <c r="CW149" i="1" a="1"/>
  <c r="CW149" i="1" s="1"/>
  <c r="CW167" i="1" a="1"/>
  <c r="CW167" i="1" s="1"/>
  <c r="CW160" i="1" a="1"/>
  <c r="CW160" i="1" s="1"/>
  <c r="CW174" i="1" a="1"/>
  <c r="CW174" i="1" s="1"/>
  <c r="CW179" i="1" a="1"/>
  <c r="CW179" i="1" s="1"/>
  <c r="CW183" i="1" a="1"/>
  <c r="CW183" i="1" s="1"/>
  <c r="CW210" i="1" a="1"/>
  <c r="CW210" i="1" s="1"/>
  <c r="CW198" i="1" a="1"/>
  <c r="CW198" i="1" s="1"/>
  <c r="CW189" i="1" a="1"/>
  <c r="CW189" i="1" s="1"/>
  <c r="CW206" i="1" a="1"/>
  <c r="CW206" i="1" s="1"/>
  <c r="CW203" i="1" a="1"/>
  <c r="CW203" i="1" s="1"/>
  <c r="CW222" i="1" a="1"/>
  <c r="CW222" i="1" s="1"/>
  <c r="CW226" i="1" a="1"/>
  <c r="CW226" i="1" s="1"/>
  <c r="CW235" i="1" a="1"/>
  <c r="CW235" i="1" s="1"/>
  <c r="CW266" i="1" a="1"/>
  <c r="CW266" i="1" s="1"/>
  <c r="CW308" i="1" a="1"/>
  <c r="CW308" i="1" s="1"/>
  <c r="CW245" i="1" a="1"/>
  <c r="CW245" i="1" s="1"/>
  <c r="CW276" i="1" a="1"/>
  <c r="CW276" i="1" s="1"/>
  <c r="CW237" i="1" a="1"/>
  <c r="CW237" i="1" s="1"/>
  <c r="CW250" i="1" a="1"/>
  <c r="CW250" i="1" s="1"/>
  <c r="CW259" i="1" a="1"/>
  <c r="CW259" i="1" s="1"/>
  <c r="CW277" i="1" a="1"/>
  <c r="CW277" i="1" s="1"/>
  <c r="CW301" i="1" a="1"/>
  <c r="CW301" i="1" s="1"/>
  <c r="CW284" i="1" a="1"/>
  <c r="CW284" i="1" s="1"/>
  <c r="CW314" i="1" a="1"/>
  <c r="CW314" i="1" s="1"/>
  <c r="CW297" i="1" a="1"/>
  <c r="CW297" i="1" s="1"/>
  <c r="CW292" i="1" a="1"/>
  <c r="CW292" i="1" s="1"/>
  <c r="CW37" i="1" a="1"/>
  <c r="CW37" i="1" s="1"/>
  <c r="CW62" i="1" a="1"/>
  <c r="CW62" i="1" s="1"/>
  <c r="CW76" i="1" a="1"/>
  <c r="CW76" i="1" s="1"/>
  <c r="CW104" i="1" a="1"/>
  <c r="CW104" i="1" s="1"/>
  <c r="CW130" i="1" a="1"/>
  <c r="CW130" i="1" s="1"/>
  <c r="CW140" i="1" a="1"/>
  <c r="CW140" i="1" s="1"/>
  <c r="CW171" i="1" a="1"/>
  <c r="CW171" i="1" s="1"/>
  <c r="CW208" i="1" a="1"/>
  <c r="CW208" i="1" s="1"/>
  <c r="CW214" i="1" a="1"/>
  <c r="CW214" i="1" s="1"/>
  <c r="CW236" i="1" a="1"/>
  <c r="CW236" i="1" s="1"/>
  <c r="CW255" i="1" a="1"/>
  <c r="CW255" i="1" s="1"/>
  <c r="CW310" i="1" a="1"/>
  <c r="CW310" i="1" s="1"/>
  <c r="CW313" i="1" a="1"/>
  <c r="CW313" i="1" s="1"/>
  <c r="CW23" i="1" a="1"/>
  <c r="CW23" i="1" s="1"/>
  <c r="CW28" i="1" a="1"/>
  <c r="CW28" i="1" s="1"/>
  <c r="CW34" i="1" a="1"/>
  <c r="CW34" i="1" s="1"/>
  <c r="CW43" i="1" a="1"/>
  <c r="CW43" i="1" s="1"/>
  <c r="CW36" i="1" a="1"/>
  <c r="CW36" i="1" s="1"/>
  <c r="CW53" i="1" a="1"/>
  <c r="CW53" i="1" s="1"/>
  <c r="CW60" i="1" a="1"/>
  <c r="CW60" i="1" s="1"/>
  <c r="CW65" i="1" a="1"/>
  <c r="CW65" i="1" s="1"/>
  <c r="CW71" i="1" a="1"/>
  <c r="CW71" i="1" s="1"/>
  <c r="CW66" i="1" a="1"/>
  <c r="CW66" i="1" s="1"/>
  <c r="CW87" i="1" a="1"/>
  <c r="CW87" i="1" s="1"/>
  <c r="CW89" i="1" a="1"/>
  <c r="CW89" i="1" s="1"/>
  <c r="CW99" i="1" a="1"/>
  <c r="CW99" i="1" s="1"/>
  <c r="CW103" i="1" a="1"/>
  <c r="CW103" i="1" s="1"/>
  <c r="CW111" i="1" a="1"/>
  <c r="CW111" i="1" s="1"/>
  <c r="CW117" i="1" a="1"/>
  <c r="CW117" i="1" s="1"/>
  <c r="CW125" i="1" a="1"/>
  <c r="CW125" i="1" s="1"/>
  <c r="CW124" i="1" a="1"/>
  <c r="CW124" i="1" s="1"/>
  <c r="CW112" i="1" a="1"/>
  <c r="CW112" i="1" s="1"/>
  <c r="CW137" i="1" a="1"/>
  <c r="CW137" i="1" s="1"/>
  <c r="CW151" i="1" a="1"/>
  <c r="CW151" i="1" s="1"/>
  <c r="CW147" i="1" a="1"/>
  <c r="CW147" i="1" s="1"/>
  <c r="CW166" i="1" a="1"/>
  <c r="CW166" i="1" s="1"/>
  <c r="CW154" i="1" a="1"/>
  <c r="CW154" i="1" s="1"/>
  <c r="CW163" i="1" a="1"/>
  <c r="CW163" i="1" s="1"/>
  <c r="CW177" i="1" a="1"/>
  <c r="CW177" i="1" s="1"/>
  <c r="CW182" i="1" a="1"/>
  <c r="CW182" i="1" s="1"/>
  <c r="CW187" i="1" a="1"/>
  <c r="CW187" i="1" s="1"/>
  <c r="CW185" i="1" a="1"/>
  <c r="CW185" i="1" s="1"/>
  <c r="CW201" i="1" a="1"/>
  <c r="CW201" i="1" s="1"/>
  <c r="CW191" i="1" a="1"/>
  <c r="CW191" i="1" s="1"/>
  <c r="CW209" i="1" a="1"/>
  <c r="CW209" i="1" s="1"/>
  <c r="CW215" i="1" a="1"/>
  <c r="CW215" i="1" s="1"/>
  <c r="CW204" i="1" a="1"/>
  <c r="CW204" i="1" s="1"/>
  <c r="CW229" i="1" a="1"/>
  <c r="CW229" i="1" s="1"/>
  <c r="CW238" i="1" a="1"/>
  <c r="CW238" i="1" s="1"/>
  <c r="CW269" i="1" a="1"/>
  <c r="CW269" i="1" s="1"/>
  <c r="CW311" i="1" a="1"/>
  <c r="CW311" i="1" s="1"/>
  <c r="CW261" i="1" a="1"/>
  <c r="CW261" i="1" s="1"/>
  <c r="CW279" i="1" a="1"/>
  <c r="CW279" i="1" s="1"/>
  <c r="CW240" i="1" a="1"/>
  <c r="CW240" i="1" s="1"/>
  <c r="CW252" i="1" a="1"/>
  <c r="CW252" i="1" s="1"/>
  <c r="CW262" i="1" a="1"/>
  <c r="CW262" i="1" s="1"/>
  <c r="CW230" i="1" a="1"/>
  <c r="CW230" i="1" s="1"/>
  <c r="CW304" i="1" a="1"/>
  <c r="CW304" i="1" s="1"/>
  <c r="CW287" i="1" a="1"/>
  <c r="CW287" i="1" s="1"/>
  <c r="CW282" i="1" a="1"/>
  <c r="CW282" i="1" s="1"/>
  <c r="CW300" i="1" a="1"/>
  <c r="CW300" i="1" s="1"/>
  <c r="CW295" i="1" a="1"/>
  <c r="CW295" i="1" s="1"/>
  <c r="CW26" i="1" a="1"/>
  <c r="CW26" i="1" s="1"/>
  <c r="CW49" i="1" a="1"/>
  <c r="CW49" i="1" s="1"/>
  <c r="CW67" i="1" a="1"/>
  <c r="CW67" i="1" s="1"/>
  <c r="CW95" i="1" a="1"/>
  <c r="CW95" i="1" s="1"/>
  <c r="CW118" i="1" a="1"/>
  <c r="CW118" i="1" s="1"/>
  <c r="CW139" i="1" a="1"/>
  <c r="CW139" i="1" s="1"/>
  <c r="CW161" i="1" a="1"/>
  <c r="CW161" i="1" s="1"/>
  <c r="CW197" i="1" a="1"/>
  <c r="CW197" i="1" s="1"/>
  <c r="CW223" i="1" a="1"/>
  <c r="CW223" i="1" s="1"/>
  <c r="CW275" i="1" a="1"/>
  <c r="CW275" i="1" s="1"/>
  <c r="CW246" i="1" a="1"/>
  <c r="CW246" i="1" s="1"/>
  <c r="CW251" i="1" a="1"/>
  <c r="CW251" i="1" s="1"/>
  <c r="CW283" i="1" a="1"/>
  <c r="CW283" i="1" s="1"/>
  <c r="CW25" i="1" a="1"/>
  <c r="CW25" i="1" s="1"/>
  <c r="CW31" i="1" a="1"/>
  <c r="CW31" i="1" s="1"/>
  <c r="CW33" i="1" a="1"/>
  <c r="CW33" i="1" s="1"/>
  <c r="CW51" i="1" a="1"/>
  <c r="CW51" i="1" s="1"/>
  <c r="CW46" i="1" a="1"/>
  <c r="CW46" i="1" s="1"/>
  <c r="CW55" i="1" a="1"/>
  <c r="CW55" i="1" s="1"/>
  <c r="CW61" i="1" a="1"/>
  <c r="CW61" i="1" s="1"/>
  <c r="CW68" i="1" a="1"/>
  <c r="CW68" i="1" s="1"/>
  <c r="CW79" i="1" a="1"/>
  <c r="CW79" i="1" s="1"/>
  <c r="CW80" i="1" a="1"/>
  <c r="CW80" i="1" s="1"/>
  <c r="CW90" i="1" a="1"/>
  <c r="CW90" i="1" s="1"/>
  <c r="CW92" i="1" a="1"/>
  <c r="CW92" i="1" s="1"/>
  <c r="CW102" i="1" a="1"/>
  <c r="CW102" i="1" s="1"/>
  <c r="CW106" i="1" a="1"/>
  <c r="CW106" i="1" s="1"/>
  <c r="CW114" i="1" a="1"/>
  <c r="CW114" i="1" s="1"/>
  <c r="CW94" i="1" a="1"/>
  <c r="CW94" i="1" s="1"/>
  <c r="CW128" i="1" a="1"/>
  <c r="CW128" i="1" s="1"/>
  <c r="CW127" i="1" a="1"/>
  <c r="CW127" i="1" s="1"/>
  <c r="CW123" i="1" a="1"/>
  <c r="CW123" i="1" s="1"/>
  <c r="CW134" i="1" a="1"/>
  <c r="CW134" i="1" s="1"/>
  <c r="CW152" i="1" a="1"/>
  <c r="CW152" i="1" s="1"/>
  <c r="CW150" i="1" a="1"/>
  <c r="CW150" i="1" s="1"/>
  <c r="CW153" i="1" a="1"/>
  <c r="CW153" i="1" s="1"/>
  <c r="CW158" i="1" a="1"/>
  <c r="CW158" i="1" s="1"/>
  <c r="CW165" i="1" a="1"/>
  <c r="CW165" i="1" s="1"/>
  <c r="CW180" i="1" a="1"/>
  <c r="CW180" i="1" s="1"/>
  <c r="CW172" i="1" a="1"/>
  <c r="CW172" i="1" s="1"/>
  <c r="CW194" i="1" a="1"/>
  <c r="CW194" i="1" s="1"/>
  <c r="CW188" i="1" a="1"/>
  <c r="CW188" i="1" s="1"/>
  <c r="CW184" i="1" a="1"/>
  <c r="CW184" i="1" s="1"/>
  <c r="CW193" i="1" a="1"/>
  <c r="CW193" i="1" s="1"/>
  <c r="CW212" i="1" a="1"/>
  <c r="CW212" i="1" s="1"/>
  <c r="CW216" i="1" a="1"/>
  <c r="CW216" i="1" s="1"/>
  <c r="CW213" i="1" a="1"/>
  <c r="CW213" i="1" s="1"/>
  <c r="CW205" i="1" a="1"/>
  <c r="CW205" i="1" s="1"/>
  <c r="CW241" i="1" a="1"/>
  <c r="CW241" i="1" s="1"/>
  <c r="CW272" i="1" a="1"/>
  <c r="CW272" i="1" s="1"/>
  <c r="CW233" i="1" a="1"/>
  <c r="CW233" i="1" s="1"/>
  <c r="CW264" i="1" a="1"/>
  <c r="CW264" i="1" s="1"/>
  <c r="CW303" i="1" a="1"/>
  <c r="CW303" i="1" s="1"/>
  <c r="CW243" i="1" a="1"/>
  <c r="CW243" i="1" s="1"/>
  <c r="CW253" i="1" a="1"/>
  <c r="CW253" i="1" s="1"/>
  <c r="CW265" i="1" a="1"/>
  <c r="CW265" i="1" s="1"/>
  <c r="CW248" i="1" a="1"/>
  <c r="CW248" i="1" s="1"/>
  <c r="CW307" i="1" a="1"/>
  <c r="CW307" i="1" s="1"/>
  <c r="CW290" i="1" a="1"/>
  <c r="CW290" i="1" s="1"/>
  <c r="CW285" i="1" a="1"/>
  <c r="CW285" i="1" s="1"/>
  <c r="CW278" i="1" a="1"/>
  <c r="CW278" i="1" s="1"/>
  <c r="CW298" i="1" a="1"/>
  <c r="CW298" i="1" s="1"/>
  <c r="CW29" i="1" a="1"/>
  <c r="CW29" i="1" s="1"/>
  <c r="CW59" i="1" a="1"/>
  <c r="CW59" i="1" s="1"/>
  <c r="CW83" i="1" a="1"/>
  <c r="CW83" i="1" s="1"/>
  <c r="CW91" i="1" a="1"/>
  <c r="CW91" i="1" s="1"/>
  <c r="CW131" i="1" a="1"/>
  <c r="CW131" i="1" s="1"/>
  <c r="CW155" i="1" a="1"/>
  <c r="CW155" i="1" s="1"/>
  <c r="CW168" i="1" a="1"/>
  <c r="CW168" i="1" s="1"/>
  <c r="CW190" i="1" a="1"/>
  <c r="CW190" i="1" s="1"/>
  <c r="CW218" i="1" a="1"/>
  <c r="CW218" i="1" s="1"/>
  <c r="CW244" i="1" a="1"/>
  <c r="CW244" i="1" s="1"/>
  <c r="CW267" i="1" a="1"/>
  <c r="CW267" i="1" s="1"/>
  <c r="CW268" i="1" a="1"/>
  <c r="CW268" i="1" s="1"/>
  <c r="CW288" i="1" a="1"/>
  <c r="CW288" i="1" s="1"/>
  <c r="CV7" i="1"/>
  <c r="BX8" i="1"/>
  <c r="CU8" i="1" s="1"/>
  <c r="BY9" i="1"/>
  <c r="CV9" i="1" s="1"/>
  <c r="CN294" i="1" a="1"/>
  <c r="CN294" i="1" s="1"/>
  <c r="CN299" i="1" a="1"/>
  <c r="CN299" i="1" s="1"/>
  <c r="CN281" i="1" a="1"/>
  <c r="CN281" i="1" s="1"/>
  <c r="CN283" i="1" a="1"/>
  <c r="CN283" i="1" s="1"/>
  <c r="CN304" i="1" a="1"/>
  <c r="CN304" i="1" s="1"/>
  <c r="CN245" i="1" a="1"/>
  <c r="CN245" i="1" s="1"/>
  <c r="CN274" i="1" a="1"/>
  <c r="CN274" i="1" s="1"/>
  <c r="CN258" i="1" a="1"/>
  <c r="CN258" i="1" s="1"/>
  <c r="CN249" i="1" a="1"/>
  <c r="CN249" i="1" s="1"/>
  <c r="CN238" i="1" a="1"/>
  <c r="CN238" i="1" s="1"/>
  <c r="CN270" i="1" a="1"/>
  <c r="CN270" i="1" s="1"/>
  <c r="CN308" i="1" a="1"/>
  <c r="CN308" i="1" s="1"/>
  <c r="CN237" i="1" a="1"/>
  <c r="CN237" i="1" s="1"/>
  <c r="CN266" i="1" a="1"/>
  <c r="CN266" i="1" s="1"/>
  <c r="CN223" i="1" a="1"/>
  <c r="CN223" i="1" s="1"/>
  <c r="CN214" i="1" a="1"/>
  <c r="CN214" i="1" s="1"/>
  <c r="CN215" i="1" a="1"/>
  <c r="CN215" i="1" s="1"/>
  <c r="CN192" i="1" a="1"/>
  <c r="CN192" i="1" s="1"/>
  <c r="CN211" i="1" a="1"/>
  <c r="CN211" i="1" s="1"/>
  <c r="CN198" i="1" a="1"/>
  <c r="CN198" i="1" s="1"/>
  <c r="CN189" i="1" a="1"/>
  <c r="CN189" i="1" s="1"/>
  <c r="CN183" i="1" a="1"/>
  <c r="CN183" i="1" s="1"/>
  <c r="CN177" i="1" a="1"/>
  <c r="CN177" i="1" s="1"/>
  <c r="CN184" i="1" a="1"/>
  <c r="CN184" i="1" s="1"/>
  <c r="CN162" i="1" a="1"/>
  <c r="CN162" i="1" s="1"/>
  <c r="CN157" i="1" a="1"/>
  <c r="CN157" i="1" s="1"/>
  <c r="CN156" i="1" a="1"/>
  <c r="CN156" i="1" s="1"/>
  <c r="CN139" i="1" a="1"/>
  <c r="CN139" i="1" s="1"/>
  <c r="CN146" i="1" a="1"/>
  <c r="CN146" i="1" s="1"/>
  <c r="CN141" i="1" a="1"/>
  <c r="CN141" i="1" s="1"/>
  <c r="CN122" i="1" a="1"/>
  <c r="CN122" i="1" s="1"/>
  <c r="CN107" i="1" a="1"/>
  <c r="CN107" i="1" s="1"/>
  <c r="CN126" i="1" a="1"/>
  <c r="CN126" i="1" s="1"/>
  <c r="CN111" i="1" a="1"/>
  <c r="CN111" i="1" s="1"/>
  <c r="CN117" i="1" a="1"/>
  <c r="CN117" i="1" s="1"/>
  <c r="CN95" i="1" a="1"/>
  <c r="CN95" i="1" s="1"/>
  <c r="CN102" i="1" a="1"/>
  <c r="CN102" i="1" s="1"/>
  <c r="CN84" i="1" a="1"/>
  <c r="CN84" i="1" s="1"/>
  <c r="CN86" i="1" a="1"/>
  <c r="CN86" i="1" s="1"/>
  <c r="CN72" i="1" a="1"/>
  <c r="CN72" i="1" s="1"/>
  <c r="CN70" i="1" a="1"/>
  <c r="CN70" i="1" s="1"/>
  <c r="CN63" i="1" a="1"/>
  <c r="CN63" i="1" s="1"/>
  <c r="CN57" i="1" a="1"/>
  <c r="CN57" i="1" s="1"/>
  <c r="CN54" i="1" a="1"/>
  <c r="CN54" i="1" s="1"/>
  <c r="CN35" i="1" a="1"/>
  <c r="CN35" i="1" s="1"/>
  <c r="CN43" i="1" a="1"/>
  <c r="CN43" i="1" s="1"/>
  <c r="CN34" i="1" a="1"/>
  <c r="CN34" i="1" s="1"/>
  <c r="CN28" i="1" a="1"/>
  <c r="CN28" i="1" s="1"/>
  <c r="CR34" i="1" a="1"/>
  <c r="CR34" i="1" s="1"/>
  <c r="CR280" i="1" a="1"/>
  <c r="CR280" i="1" s="1"/>
  <c r="CR308" i="1" a="1"/>
  <c r="CR308" i="1" s="1"/>
  <c r="CR226" i="1" a="1"/>
  <c r="CR226" i="1" s="1"/>
  <c r="CR206" i="1" a="1"/>
  <c r="CR206" i="1" s="1"/>
  <c r="CR156" i="1" a="1"/>
  <c r="CR156" i="1" s="1"/>
  <c r="CR126" i="1" a="1"/>
  <c r="CR126" i="1" s="1"/>
  <c r="CR84" i="1" a="1"/>
  <c r="CR84" i="1" s="1"/>
  <c r="CR46" i="1" a="1"/>
  <c r="CR46" i="1" s="1"/>
  <c r="CR294" i="1" a="1"/>
  <c r="CR294" i="1" s="1"/>
  <c r="CR253" i="1" a="1"/>
  <c r="CR253" i="1" s="1"/>
  <c r="CR268" i="1" a="1"/>
  <c r="CR268" i="1" s="1"/>
  <c r="CR200" i="1" a="1"/>
  <c r="CR200" i="1" s="1"/>
  <c r="CR157" i="1" a="1"/>
  <c r="CR157" i="1" s="1"/>
  <c r="CR137" i="1" a="1"/>
  <c r="CR137" i="1" s="1"/>
  <c r="CR97" i="1" a="1"/>
  <c r="CR97" i="1" s="1"/>
  <c r="CR54" i="1" a="1"/>
  <c r="CR54" i="1" s="1"/>
  <c r="CR286" i="1" a="1"/>
  <c r="CR286" i="1" s="1"/>
  <c r="CR261" i="1" a="1"/>
  <c r="CR261" i="1" s="1"/>
  <c r="CR235" i="1" a="1"/>
  <c r="CR235" i="1" s="1"/>
  <c r="CR195" i="1" a="1"/>
  <c r="CR195" i="1" s="1"/>
  <c r="CR162" i="1" a="1"/>
  <c r="CR162" i="1" s="1"/>
  <c r="CR118" i="1" a="1"/>
  <c r="CR118" i="1" s="1"/>
  <c r="CR98" i="1" a="1"/>
  <c r="CR98" i="1" s="1"/>
  <c r="CR63" i="1" a="1"/>
  <c r="CR63" i="1" s="1"/>
  <c r="CR23" i="1" a="1"/>
  <c r="CR23" i="1" s="1"/>
  <c r="CR276" i="1" a="1"/>
  <c r="CR276" i="1" s="1"/>
  <c r="CR304" i="1" a="1"/>
  <c r="CR304" i="1" s="1"/>
  <c r="CR192" i="1" a="1"/>
  <c r="CR192" i="1" s="1"/>
  <c r="CR173" i="1" a="1"/>
  <c r="CR173" i="1" s="1"/>
  <c r="CR133" i="1" a="1"/>
  <c r="CR133" i="1" s="1"/>
  <c r="CR107" i="1" a="1"/>
  <c r="CR107" i="1" s="1"/>
  <c r="CR59" i="1" a="1"/>
  <c r="CR59" i="1" s="1"/>
  <c r="CX266" i="1" a="1"/>
  <c r="CX266" i="1" s="1"/>
  <c r="CX145" i="1" a="1"/>
  <c r="CX145" i="1" s="1"/>
  <c r="CX274" i="1" a="1"/>
  <c r="CX274" i="1" s="1"/>
  <c r="CX208" i="1" a="1"/>
  <c r="CX208" i="1" s="1"/>
  <c r="CX170" i="1" a="1"/>
  <c r="CX170" i="1" s="1"/>
  <c r="CX153" i="1" a="1"/>
  <c r="CX153" i="1" s="1"/>
  <c r="CX30" i="1" a="1"/>
  <c r="CX30" i="1" s="1"/>
  <c r="CX222" i="1" a="1"/>
  <c r="CX222" i="1" s="1"/>
  <c r="CX115" i="1" a="1"/>
  <c r="CX115" i="1" s="1"/>
  <c r="CX286" i="1" a="1"/>
  <c r="CX286" i="1" s="1"/>
  <c r="CX210" i="1" a="1"/>
  <c r="CX210" i="1" s="1"/>
  <c r="CX162" i="1" a="1"/>
  <c r="CX162" i="1" s="1"/>
  <c r="CX129" i="1" a="1"/>
  <c r="CX129" i="1" s="1"/>
  <c r="CX92" i="1" a="1"/>
  <c r="CX92" i="1" s="1"/>
  <c r="CX215" i="1" a="1"/>
  <c r="CX215" i="1" s="1"/>
  <c r="CX106" i="1" a="1"/>
  <c r="CX106" i="1" s="1"/>
  <c r="CX283" i="1" a="1"/>
  <c r="CX283" i="1" s="1"/>
  <c r="CX267" i="1" a="1"/>
  <c r="CX267" i="1" s="1"/>
  <c r="CX159" i="1" a="1"/>
  <c r="CX159" i="1" s="1"/>
  <c r="CX126" i="1" a="1"/>
  <c r="CX126" i="1" s="1"/>
  <c r="CX89" i="1" a="1"/>
  <c r="CX89" i="1" s="1"/>
  <c r="CX63" i="1" a="1"/>
  <c r="CX63" i="1" s="1"/>
  <c r="CX252" i="1" a="1"/>
  <c r="CX252" i="1" s="1"/>
  <c r="CX235" i="1" a="1"/>
  <c r="CX235" i="1" s="1"/>
  <c r="CX227" i="1" a="1"/>
  <c r="CX227" i="1" s="1"/>
  <c r="CX171" i="1" a="1"/>
  <c r="CX171" i="1" s="1"/>
  <c r="CX130" i="1" a="1"/>
  <c r="CX130" i="1" s="1"/>
  <c r="CX70" i="1" a="1"/>
  <c r="CX70" i="1" s="1"/>
  <c r="CX31" i="1" a="1"/>
  <c r="CX31" i="1" s="1"/>
  <c r="CX309" i="1" a="1"/>
  <c r="CX309" i="1" s="1"/>
  <c r="CX304" i="1" a="1"/>
  <c r="CX304" i="1" s="1"/>
  <c r="CX218" i="1" a="1"/>
  <c r="CX218" i="1" s="1"/>
  <c r="CX176" i="1" a="1"/>
  <c r="CX176" i="1" s="1"/>
  <c r="CX148" i="1" a="1"/>
  <c r="CX148" i="1" s="1"/>
  <c r="CX107" i="1" a="1"/>
  <c r="CX107" i="1" s="1"/>
  <c r="CX75" i="1" a="1"/>
  <c r="CX75" i="1" s="1"/>
  <c r="DA281" i="1" a="1"/>
  <c r="DA281" i="1" s="1"/>
  <c r="CV25" i="1" l="1" a="1"/>
  <c r="CV25" i="1" s="1"/>
  <c r="CV41" i="1" a="1"/>
  <c r="CV41" i="1" s="1"/>
  <c r="CV46" i="1" a="1"/>
  <c r="CV46" i="1" s="1"/>
  <c r="CV72" i="1" a="1"/>
  <c r="CV72" i="1" s="1"/>
  <c r="CV87" i="1" a="1"/>
  <c r="CV87" i="1" s="1"/>
  <c r="CV116" i="1" a="1"/>
  <c r="CV116" i="1" s="1"/>
  <c r="CV122" i="1" a="1"/>
  <c r="CV122" i="1" s="1"/>
  <c r="CV138" i="1" a="1"/>
  <c r="CV138" i="1" s="1"/>
  <c r="CV163" i="1" a="1"/>
  <c r="CV163" i="1" s="1"/>
  <c r="CV180" i="1" a="1"/>
  <c r="CV180" i="1" s="1"/>
  <c r="CV193" i="1" a="1"/>
  <c r="CV193" i="1" s="1"/>
  <c r="CV217" i="1" a="1"/>
  <c r="CV217" i="1" s="1"/>
  <c r="CV261" i="1" a="1"/>
  <c r="CV261" i="1" s="1"/>
  <c r="CV271" i="1" a="1"/>
  <c r="CV271" i="1" s="1"/>
  <c r="CV255" i="1" a="1"/>
  <c r="CV255" i="1" s="1"/>
  <c r="CV241" i="1" a="1"/>
  <c r="CV241" i="1" s="1"/>
  <c r="CV289" i="1" a="1"/>
  <c r="CV289" i="1" s="1"/>
  <c r="CV32" i="1" a="1"/>
  <c r="CV32" i="1" s="1"/>
  <c r="CV56" i="1" a="1"/>
  <c r="CV56" i="1" s="1"/>
  <c r="CV70" i="1" a="1"/>
  <c r="CV70" i="1" s="1"/>
  <c r="CV91" i="1" a="1"/>
  <c r="CV91" i="1" s="1"/>
  <c r="CV110" i="1" a="1"/>
  <c r="CV110" i="1" s="1"/>
  <c r="CV136" i="1" a="1"/>
  <c r="CV136" i="1" s="1"/>
  <c r="CV131" i="1" a="1"/>
  <c r="CV131" i="1" s="1"/>
  <c r="CV161" i="1" a="1"/>
  <c r="CV161" i="1" s="1"/>
  <c r="CV178" i="1" a="1"/>
  <c r="CV178" i="1" s="1"/>
  <c r="CV206" i="1" a="1"/>
  <c r="CV206" i="1" s="1"/>
  <c r="CV226" i="1" a="1"/>
  <c r="CV226" i="1" s="1"/>
  <c r="CV233" i="1" a="1"/>
  <c r="CV233" i="1" s="1"/>
  <c r="CV237" i="1" a="1"/>
  <c r="CV237" i="1" s="1"/>
  <c r="CV304" i="1" a="1"/>
  <c r="CV304" i="1" s="1"/>
  <c r="CV310" i="1" a="1"/>
  <c r="CV310" i="1" s="1"/>
  <c r="CV284" i="1" a="1"/>
  <c r="CV284" i="1" s="1"/>
  <c r="CV22" i="1" a="1"/>
  <c r="CV22" i="1" s="1"/>
  <c r="CV45" i="1" a="1"/>
  <c r="CV45" i="1" s="1"/>
  <c r="CV59" i="1" a="1"/>
  <c r="CV59" i="1" s="1"/>
  <c r="CV83" i="1" a="1"/>
  <c r="CV83" i="1" s="1"/>
  <c r="CV105" i="1" a="1"/>
  <c r="CV105" i="1" s="1"/>
  <c r="CV120" i="1" a="1"/>
  <c r="CV120" i="1" s="1"/>
  <c r="CV152" i="1" a="1"/>
  <c r="CV152" i="1" s="1"/>
  <c r="CV151" i="1" a="1"/>
  <c r="CV151" i="1" s="1"/>
  <c r="CV173" i="1" a="1"/>
  <c r="CV173" i="1" s="1"/>
  <c r="CV185" i="1" a="1"/>
  <c r="CV185" i="1" s="1"/>
  <c r="CV207" i="1" a="1"/>
  <c r="CV207" i="1" s="1"/>
  <c r="CV230" i="1" a="1"/>
  <c r="CV230" i="1" s="1"/>
  <c r="CV306" i="1" a="1"/>
  <c r="CV306" i="1" s="1"/>
  <c r="CV249" i="1" a="1"/>
  <c r="CV249" i="1" s="1"/>
  <c r="CV272" i="1" a="1"/>
  <c r="CV272" i="1" s="1"/>
  <c r="CV294" i="1" a="1"/>
  <c r="CV294" i="1" s="1"/>
  <c r="CV28" i="1" a="1"/>
  <c r="CV28" i="1" s="1"/>
  <c r="CV291" i="1" a="1"/>
  <c r="CV291" i="1" s="1"/>
  <c r="CV248" i="1" a="1"/>
  <c r="CV248" i="1" s="1"/>
  <c r="CV227" i="1" a="1"/>
  <c r="CV227" i="1" s="1"/>
  <c r="CV201" i="1" a="1"/>
  <c r="CV201" i="1" s="1"/>
  <c r="CV148" i="1" a="1"/>
  <c r="CV148" i="1" s="1"/>
  <c r="CV130" i="1" a="1"/>
  <c r="CV130" i="1" s="1"/>
  <c r="CV76" i="1" a="1"/>
  <c r="CV76" i="1" s="1"/>
  <c r="CV44" i="1" a="1"/>
  <c r="CV44" i="1" s="1"/>
  <c r="CV283" i="1" a="1"/>
  <c r="CV283" i="1" s="1"/>
  <c r="CV253" i="1" a="1"/>
  <c r="CV253" i="1" s="1"/>
  <c r="CV228" i="1" a="1"/>
  <c r="CV228" i="1" s="1"/>
  <c r="CV211" i="1" a="1"/>
  <c r="CV211" i="1" s="1"/>
  <c r="CV167" i="1" a="1"/>
  <c r="CV167" i="1" s="1"/>
  <c r="CV129" i="1" a="1"/>
  <c r="CV129" i="1" s="1"/>
  <c r="CV85" i="1" a="1"/>
  <c r="CV85" i="1" s="1"/>
  <c r="CV50" i="1" a="1"/>
  <c r="CV50" i="1" s="1"/>
  <c r="CV285" i="1" a="1"/>
  <c r="CV285" i="1" s="1"/>
  <c r="CV246" i="1" a="1"/>
  <c r="CV246" i="1" s="1"/>
  <c r="CV213" i="1" a="1"/>
  <c r="CV213" i="1" s="1"/>
  <c r="CV195" i="1" a="1"/>
  <c r="CV195" i="1" s="1"/>
  <c r="CV142" i="1" a="1"/>
  <c r="CV142" i="1" s="1"/>
  <c r="CV124" i="1" a="1"/>
  <c r="CV124" i="1" s="1"/>
  <c r="CV84" i="1" a="1"/>
  <c r="CV84" i="1" s="1"/>
  <c r="CV51" i="1" a="1"/>
  <c r="CV51" i="1" s="1"/>
  <c r="CV278" i="1" a="1"/>
  <c r="CV278" i="1" s="1"/>
  <c r="CV312" i="1" a="1"/>
  <c r="CV312" i="1" s="1"/>
  <c r="CV203" i="1" a="1"/>
  <c r="CV203" i="1" s="1"/>
  <c r="CV179" i="1" a="1"/>
  <c r="CV179" i="1" s="1"/>
  <c r="CV144" i="1" a="1"/>
  <c r="CV144" i="1" s="1"/>
  <c r="CV95" i="1" a="1"/>
  <c r="CV95" i="1" s="1"/>
  <c r="CV66" i="1" a="1"/>
  <c r="CV66" i="1" s="1"/>
  <c r="CV27" i="1" a="1"/>
  <c r="CV27" i="1" s="1"/>
  <c r="CV275" i="1" a="1"/>
  <c r="CV275" i="1" s="1"/>
  <c r="CV309" i="1" a="1"/>
  <c r="CV309" i="1" s="1"/>
  <c r="CV210" i="1" a="1"/>
  <c r="CV210" i="1" s="1"/>
  <c r="CV176" i="1" a="1"/>
  <c r="CV176" i="1" s="1"/>
  <c r="CV141" i="1" a="1"/>
  <c r="CV141" i="1" s="1"/>
  <c r="CV102" i="1" a="1"/>
  <c r="CV102" i="1" s="1"/>
  <c r="CV61" i="1" a="1"/>
  <c r="CV61" i="1" s="1"/>
  <c r="CV26" i="1" a="1"/>
  <c r="CV26" i="1" s="1"/>
  <c r="CV297" i="1" a="1"/>
  <c r="CV297" i="1" s="1"/>
  <c r="CV311" i="1" a="1"/>
  <c r="CV311" i="1" s="1"/>
  <c r="CV234" i="1" a="1"/>
  <c r="CV234" i="1" s="1"/>
  <c r="CV222" i="1" a="1"/>
  <c r="CV222" i="1" s="1"/>
  <c r="CV177" i="1" a="1"/>
  <c r="CV177" i="1" s="1"/>
  <c r="CV133" i="1" a="1"/>
  <c r="CV133" i="1" s="1"/>
  <c r="CV101" i="1" a="1"/>
  <c r="CV101" i="1" s="1"/>
  <c r="CV68" i="1" a="1"/>
  <c r="CV68" i="1" s="1"/>
  <c r="CV40" i="1" a="1"/>
  <c r="CV40" i="1" s="1"/>
  <c r="CV288" i="1" a="1"/>
  <c r="CV288" i="1" s="1"/>
  <c r="CV247" i="1" a="1"/>
  <c r="CV247" i="1" s="1"/>
  <c r="CV224" i="1" a="1"/>
  <c r="CV224" i="1" s="1"/>
  <c r="CV198" i="1" a="1"/>
  <c r="CV198" i="1" s="1"/>
  <c r="CV145" i="1" a="1"/>
  <c r="CV145" i="1" s="1"/>
  <c r="CV127" i="1" a="1"/>
  <c r="CV127" i="1" s="1"/>
  <c r="CV75" i="1" a="1"/>
  <c r="CV75" i="1" s="1"/>
  <c r="CV38" i="1" a="1"/>
  <c r="CV38" i="1" s="1"/>
  <c r="CV305" i="1" a="1"/>
  <c r="CV305" i="1" s="1"/>
  <c r="CV280" i="1" a="1"/>
  <c r="CV280" i="1" s="1"/>
  <c r="CV220" i="1" a="1"/>
  <c r="CV220" i="1" s="1"/>
  <c r="CV170" i="1" a="1"/>
  <c r="CV170" i="1" s="1"/>
  <c r="CV146" i="1" a="1"/>
  <c r="CV146" i="1" s="1"/>
  <c r="CV103" i="1" a="1"/>
  <c r="CV103" i="1" s="1"/>
  <c r="CV64" i="1" a="1"/>
  <c r="CV64" i="1" s="1"/>
  <c r="CV37" i="1" a="1"/>
  <c r="CV37" i="1" s="1"/>
  <c r="CV290" i="1" a="1"/>
  <c r="CV290" i="1" s="1"/>
  <c r="CV260" i="1" a="1"/>
  <c r="CV260" i="1" s="1"/>
  <c r="CV239" i="1" a="1"/>
  <c r="CV239" i="1" s="1"/>
  <c r="CV194" i="1" a="1"/>
  <c r="CV194" i="1" s="1"/>
  <c r="CV166" i="1" a="1"/>
  <c r="CV166" i="1" s="1"/>
  <c r="CV114" i="1" a="1"/>
  <c r="CV114" i="1" s="1"/>
  <c r="CV93" i="1" a="1"/>
  <c r="CV93" i="1" s="1"/>
  <c r="CV62" i="1" a="1"/>
  <c r="CV62" i="1" s="1"/>
  <c r="CV287" i="1" a="1"/>
  <c r="CV287" i="1" s="1"/>
  <c r="CV307" i="1" a="1"/>
  <c r="CV307" i="1" s="1"/>
  <c r="CV236" i="1" a="1"/>
  <c r="CV236" i="1" s="1"/>
  <c r="CV209" i="1" a="1"/>
  <c r="CV209" i="1" s="1"/>
  <c r="CV155" i="1" a="1"/>
  <c r="CV155" i="1" s="1"/>
  <c r="CV125" i="1" a="1"/>
  <c r="CV125" i="1" s="1"/>
  <c r="CV90" i="1" a="1"/>
  <c r="CV90" i="1" s="1"/>
  <c r="CV58" i="1" a="1"/>
  <c r="CV58" i="1" s="1"/>
  <c r="CV52" i="1" a="1"/>
  <c r="CV52" i="1" s="1"/>
  <c r="CV29" i="1" a="1"/>
  <c r="CV29" i="1" s="1"/>
  <c r="CV238" i="1" a="1"/>
  <c r="CV238" i="1" s="1"/>
  <c r="CV268" i="1" a="1"/>
  <c r="CV268" i="1" s="1"/>
  <c r="CV216" i="1" a="1"/>
  <c r="CV216" i="1" s="1"/>
  <c r="CV175" i="1" a="1"/>
  <c r="CV175" i="1" s="1"/>
  <c r="CV153" i="1" a="1"/>
  <c r="CV153" i="1" s="1"/>
  <c r="CV107" i="1" a="1"/>
  <c r="CV107" i="1" s="1"/>
  <c r="CV67" i="1" a="1"/>
  <c r="CV67" i="1" s="1"/>
  <c r="CV35" i="1" a="1"/>
  <c r="CV35" i="1" s="1"/>
  <c r="CV308" i="1" a="1"/>
  <c r="CV308" i="1" s="1"/>
  <c r="CV231" i="1" a="1"/>
  <c r="CV231" i="1" s="1"/>
  <c r="CV221" i="1" a="1"/>
  <c r="CV221" i="1" s="1"/>
  <c r="CV174" i="1" a="1"/>
  <c r="CV174" i="1" s="1"/>
  <c r="CV149" i="1" a="1"/>
  <c r="CV149" i="1" s="1"/>
  <c r="CV106" i="1" a="1"/>
  <c r="CV106" i="1" s="1"/>
  <c r="CV63" i="1" a="1"/>
  <c r="CV63" i="1" s="1"/>
  <c r="CV39" i="1" a="1"/>
  <c r="CV39" i="1" s="1"/>
  <c r="CV232" i="1" a="1"/>
  <c r="CV232" i="1" s="1"/>
  <c r="CV262" i="1" a="1"/>
  <c r="CV262" i="1" s="1"/>
  <c r="CV214" i="1" a="1"/>
  <c r="CV214" i="1" s="1"/>
  <c r="CV182" i="1" a="1"/>
  <c r="CV182" i="1" s="1"/>
  <c r="CV147" i="1" a="1"/>
  <c r="CV147" i="1" s="1"/>
  <c r="CV98" i="1" a="1"/>
  <c r="CV98" i="1" s="1"/>
  <c r="CV69" i="1" a="1"/>
  <c r="CV69" i="1" s="1"/>
  <c r="CV30" i="1" a="1"/>
  <c r="CV30" i="1" s="1"/>
  <c r="CV295" i="1" a="1"/>
  <c r="CV295" i="1" s="1"/>
  <c r="CV257" i="1" a="1"/>
  <c r="CV257" i="1" s="1"/>
  <c r="CV267" i="1" a="1"/>
  <c r="CV267" i="1" s="1"/>
  <c r="CV199" i="1" a="1"/>
  <c r="CV199" i="1" s="1"/>
  <c r="CV154" i="1" a="1"/>
  <c r="CV154" i="1" s="1"/>
  <c r="CV117" i="1" a="1"/>
  <c r="CV117" i="1" s="1"/>
  <c r="CV97" i="1" a="1"/>
  <c r="CV97" i="1" s="1"/>
  <c r="CV48" i="1" a="1"/>
  <c r="CV48" i="1" s="1"/>
  <c r="CV292" i="1" a="1"/>
  <c r="CV292" i="1" s="1"/>
  <c r="CV256" i="1" a="1"/>
  <c r="CV256" i="1" s="1"/>
  <c r="CV264" i="1" a="1"/>
  <c r="CV264" i="1" s="1"/>
  <c r="CV196" i="1" a="1"/>
  <c r="CV196" i="1" s="1"/>
  <c r="CV164" i="1" a="1"/>
  <c r="CV164" i="1" s="1"/>
  <c r="CV111" i="1" a="1"/>
  <c r="CV111" i="1" s="1"/>
  <c r="CV94" i="1" a="1"/>
  <c r="CV94" i="1" s="1"/>
  <c r="CV60" i="1" a="1"/>
  <c r="CV60" i="1" s="1"/>
  <c r="CV112" i="1" a="1"/>
  <c r="CV112" i="1" s="1"/>
  <c r="CV299" i="1" a="1"/>
  <c r="CV299" i="1" s="1"/>
  <c r="CV269" i="1" a="1"/>
  <c r="CV269" i="1" s="1"/>
  <c r="CV303" i="1" a="1"/>
  <c r="CV303" i="1" s="1"/>
  <c r="CV187" i="1" a="1"/>
  <c r="CV187" i="1" s="1"/>
  <c r="CV171" i="1" a="1"/>
  <c r="CV171" i="1" s="1"/>
  <c r="CV135" i="1" a="1"/>
  <c r="CV135" i="1" s="1"/>
  <c r="CV92" i="1" a="1"/>
  <c r="CV92" i="1" s="1"/>
  <c r="CV65" i="1" a="1"/>
  <c r="CV65" i="1" s="1"/>
  <c r="CV24" i="1" a="1"/>
  <c r="CV24" i="1" s="1"/>
  <c r="CV235" i="1" a="1"/>
  <c r="CV235" i="1" s="1"/>
  <c r="CV265" i="1" a="1"/>
  <c r="CV265" i="1" s="1"/>
  <c r="CV215" i="1" a="1"/>
  <c r="CV215" i="1" s="1"/>
  <c r="CV172" i="1" a="1"/>
  <c r="CV172" i="1" s="1"/>
  <c r="CV150" i="1" a="1"/>
  <c r="CV150" i="1" s="1"/>
  <c r="CV104" i="1" a="1"/>
  <c r="CV104" i="1" s="1"/>
  <c r="CV71" i="1" a="1"/>
  <c r="CV71" i="1" s="1"/>
  <c r="CV31" i="1" a="1"/>
  <c r="CV31" i="1" s="1"/>
  <c r="CV293" i="1" a="1"/>
  <c r="CV293" i="1" s="1"/>
  <c r="CV263" i="1" a="1"/>
  <c r="CV263" i="1" s="1"/>
  <c r="CV242" i="1" a="1"/>
  <c r="CV242" i="1" s="1"/>
  <c r="CV197" i="1" a="1"/>
  <c r="CV197" i="1" s="1"/>
  <c r="CV169" i="1" a="1"/>
  <c r="CV169" i="1" s="1"/>
  <c r="CV128" i="1" a="1"/>
  <c r="CV128" i="1" s="1"/>
  <c r="CV96" i="1" a="1"/>
  <c r="CV96" i="1" s="1"/>
  <c r="CV55" i="1" a="1"/>
  <c r="CV55" i="1" s="1"/>
  <c r="CV21" i="1" a="1"/>
  <c r="CV21" i="1" s="1"/>
  <c r="CV300" i="1" a="1"/>
  <c r="CV300" i="1" s="1"/>
  <c r="CV251" i="1" a="1"/>
  <c r="CV251" i="1" s="1"/>
  <c r="CV223" i="1" a="1"/>
  <c r="CV223" i="1" s="1"/>
  <c r="CV190" i="1" a="1"/>
  <c r="CV190" i="1" s="1"/>
  <c r="CV159" i="1" a="1"/>
  <c r="CV159" i="1" s="1"/>
  <c r="CV123" i="1" a="1"/>
  <c r="CV123" i="1" s="1"/>
  <c r="CV89" i="1" a="1"/>
  <c r="CV89" i="1" s="1"/>
  <c r="CV36" i="1" a="1"/>
  <c r="CV36" i="1" s="1"/>
  <c r="CV250" i="1" a="1"/>
  <c r="CV250" i="1" s="1"/>
  <c r="CV188" i="1" a="1"/>
  <c r="CV188" i="1" s="1"/>
  <c r="CV86" i="1" a="1"/>
  <c r="CV86" i="1" s="1"/>
  <c r="CV281" i="1" a="1"/>
  <c r="CV281" i="1" s="1"/>
  <c r="CV301" i="1" a="1"/>
  <c r="CV301" i="1" s="1"/>
  <c r="CV276" i="1" a="1"/>
  <c r="CV276" i="1" s="1"/>
  <c r="CV189" i="1" a="1"/>
  <c r="CV189" i="1" s="1"/>
  <c r="CV160" i="1" a="1"/>
  <c r="CV160" i="1" s="1"/>
  <c r="CV115" i="1" a="1"/>
  <c r="CV115" i="1" s="1"/>
  <c r="CV82" i="1" a="1"/>
  <c r="CV82" i="1" s="1"/>
  <c r="CV57" i="1" a="1"/>
  <c r="CV57" i="1" s="1"/>
  <c r="CV296" i="1" a="1"/>
  <c r="CV296" i="1" s="1"/>
  <c r="CV266" i="1" a="1"/>
  <c r="CV266" i="1" s="1"/>
  <c r="CV245" i="1" a="1"/>
  <c r="CV245" i="1" s="1"/>
  <c r="CV200" i="1" a="1"/>
  <c r="CV200" i="1" s="1"/>
  <c r="CV168" i="1" a="1"/>
  <c r="CV168" i="1" s="1"/>
  <c r="CV134" i="1" a="1"/>
  <c r="CV134" i="1" s="1"/>
  <c r="CV100" i="1" a="1"/>
  <c r="CV100" i="1" s="1"/>
  <c r="CV74" i="1" a="1"/>
  <c r="CV74" i="1" s="1"/>
  <c r="CV23" i="1" a="1"/>
  <c r="CV23" i="1" s="1"/>
  <c r="CV298" i="1" a="1"/>
  <c r="CV298" i="1" s="1"/>
  <c r="CV258" i="1" a="1"/>
  <c r="CV258" i="1" s="1"/>
  <c r="CV270" i="1" a="1"/>
  <c r="CV270" i="1" s="1"/>
  <c r="CV202" i="1" a="1"/>
  <c r="CV202" i="1" s="1"/>
  <c r="CV165" i="1" a="1"/>
  <c r="CV165" i="1" s="1"/>
  <c r="CV121" i="1" a="1"/>
  <c r="CV121" i="1" s="1"/>
  <c r="CV99" i="1" a="1"/>
  <c r="CV99" i="1" s="1"/>
  <c r="CV49" i="1" a="1"/>
  <c r="CV49" i="1" s="1"/>
  <c r="CV282" i="1" a="1"/>
  <c r="CV282" i="1" s="1"/>
  <c r="CV243" i="1" a="1"/>
  <c r="CV243" i="1" s="1"/>
  <c r="CV204" i="1" a="1"/>
  <c r="CV204" i="1" s="1"/>
  <c r="CV192" i="1" a="1"/>
  <c r="CV192" i="1" s="1"/>
  <c r="CV139" i="1" a="1"/>
  <c r="CV139" i="1" s="1"/>
  <c r="CV109" i="1" a="1"/>
  <c r="CV109" i="1" s="1"/>
  <c r="CV81" i="1" a="1"/>
  <c r="CV81" i="1" s="1"/>
  <c r="CV43" i="1" a="1"/>
  <c r="CV43" i="1" s="1"/>
  <c r="CV279" i="1" a="1"/>
  <c r="CV279" i="1" s="1"/>
  <c r="CV240" i="1" a="1"/>
  <c r="CV240" i="1" s="1"/>
  <c r="CV229" i="1" a="1"/>
  <c r="CV229" i="1" s="1"/>
  <c r="CV184" i="1" a="1"/>
  <c r="CV184" i="1" s="1"/>
  <c r="CV137" i="1" a="1"/>
  <c r="CV137" i="1" s="1"/>
  <c r="CV119" i="1" a="1"/>
  <c r="CV119" i="1" s="1"/>
  <c r="CV77" i="1" a="1"/>
  <c r="CV77" i="1" s="1"/>
  <c r="CV42" i="1" a="1"/>
  <c r="CV42" i="1" s="1"/>
  <c r="CV205" i="1" a="1"/>
  <c r="CV205" i="1" s="1"/>
  <c r="CV286" i="1" a="1"/>
  <c r="CV286" i="1" s="1"/>
  <c r="CV254" i="1" a="1"/>
  <c r="CV254" i="1" s="1"/>
  <c r="CV212" i="1" a="1"/>
  <c r="CV212" i="1" s="1"/>
  <c r="CV191" i="1" a="1"/>
  <c r="CV191" i="1" s="1"/>
  <c r="CV158" i="1" a="1"/>
  <c r="CV158" i="1" s="1"/>
  <c r="CV132" i="1" a="1"/>
  <c r="CV132" i="1" s="1"/>
  <c r="CV88" i="1" a="1"/>
  <c r="CV88" i="1" s="1"/>
  <c r="CV53" i="1" a="1"/>
  <c r="CV53" i="1" s="1"/>
  <c r="CV314" i="1" a="1"/>
  <c r="CV314" i="1" s="1"/>
  <c r="CV259" i="1" a="1"/>
  <c r="CV259" i="1" s="1"/>
  <c r="CV273" i="1" a="1"/>
  <c r="CV273" i="1" s="1"/>
  <c r="CV186" i="1" a="1"/>
  <c r="CV186" i="1" s="1"/>
  <c r="CV157" i="1" a="1"/>
  <c r="CV157" i="1" s="1"/>
  <c r="CV108" i="1" a="1"/>
  <c r="CV108" i="1" s="1"/>
  <c r="CV79" i="1" a="1"/>
  <c r="CV79" i="1" s="1"/>
  <c r="CV54" i="1" a="1"/>
  <c r="CV54" i="1" s="1"/>
  <c r="CV313" i="1" a="1"/>
  <c r="CV313" i="1" s="1"/>
  <c r="CV252" i="1" a="1"/>
  <c r="CV252" i="1" s="1"/>
  <c r="CV225" i="1" a="1"/>
  <c r="CV225" i="1" s="1"/>
  <c r="CV208" i="1" a="1"/>
  <c r="CV208" i="1" s="1"/>
  <c r="CV162" i="1" a="1"/>
  <c r="CV162" i="1" s="1"/>
  <c r="CV126" i="1" a="1"/>
  <c r="CV126" i="1" s="1"/>
  <c r="CV78" i="1" a="1"/>
  <c r="CV78" i="1" s="1"/>
  <c r="CV47" i="1" a="1"/>
  <c r="CV47" i="1" s="1"/>
  <c r="CV302" i="1" a="1"/>
  <c r="CV302" i="1" s="1"/>
  <c r="CV277" i="1" a="1"/>
  <c r="CV277" i="1" s="1"/>
  <c r="CV219" i="1" a="1"/>
  <c r="CV219" i="1" s="1"/>
  <c r="CV183" i="1" a="1"/>
  <c r="CV183" i="1" s="1"/>
  <c r="CV143" i="1" a="1"/>
  <c r="CV143" i="1" s="1"/>
  <c r="CV118" i="1" a="1"/>
  <c r="CV118" i="1" s="1"/>
  <c r="CV80" i="1" a="1"/>
  <c r="CV80" i="1" s="1"/>
  <c r="CV34" i="1" a="1"/>
  <c r="CV34" i="1" s="1"/>
  <c r="CV244" i="1" a="1"/>
  <c r="CV244" i="1" s="1"/>
  <c r="CV274" i="1" a="1"/>
  <c r="CV274" i="1" s="1"/>
  <c r="CV218" i="1" a="1"/>
  <c r="CV218" i="1" s="1"/>
  <c r="CV181" i="1" a="1"/>
  <c r="CV181" i="1" s="1"/>
  <c r="CV140" i="1" a="1"/>
  <c r="CV140" i="1" s="1"/>
  <c r="CV113" i="1" a="1"/>
  <c r="CV113" i="1" s="1"/>
  <c r="CV73" i="1" a="1"/>
  <c r="CV73" i="1" s="1"/>
  <c r="CV33" i="1" a="1"/>
  <c r="CV33" i="1" s="1"/>
  <c r="CV156" i="1" a="1"/>
  <c r="CV156" i="1" s="1"/>
  <c r="CX149" i="1" a="1"/>
  <c r="CX149" i="1" s="1"/>
  <c r="CX133" i="1" a="1"/>
  <c r="CX133" i="1" s="1"/>
  <c r="CX180" i="1" a="1"/>
  <c r="CX180" i="1" s="1"/>
  <c r="CX276" i="1" a="1"/>
  <c r="CX276" i="1" s="1"/>
  <c r="CX209" i="1" a="1"/>
  <c r="CX209" i="1" s="1"/>
  <c r="CX114" i="1" a="1"/>
  <c r="CX114" i="1" s="1"/>
  <c r="CX41" i="1" a="1"/>
  <c r="CX41" i="1" s="1"/>
  <c r="CX238" i="1" a="1"/>
  <c r="CX238" i="1" s="1"/>
  <c r="CX68" i="1" a="1"/>
  <c r="CX68" i="1" s="1"/>
  <c r="CX258" i="1" a="1"/>
  <c r="CX258" i="1" s="1"/>
  <c r="CX120" i="1" a="1"/>
  <c r="CX120" i="1" s="1"/>
  <c r="CX72" i="1" a="1"/>
  <c r="CX72" i="1" s="1"/>
  <c r="CX111" i="1" a="1"/>
  <c r="CX111" i="1" s="1"/>
  <c r="CX50" i="1" a="1"/>
  <c r="CX50" i="1" s="1"/>
  <c r="CX242" i="1" a="1"/>
  <c r="CX242" i="1" s="1"/>
  <c r="CX172" i="1" a="1"/>
  <c r="CX172" i="1" s="1"/>
  <c r="CX308" i="1" a="1"/>
  <c r="CX308" i="1" s="1"/>
  <c r="CX228" i="1" a="1"/>
  <c r="CX228" i="1" s="1"/>
  <c r="CX43" i="1" a="1"/>
  <c r="CX43" i="1" s="1"/>
  <c r="CX233" i="1" a="1"/>
  <c r="CX233" i="1" s="1"/>
  <c r="CX23" i="1" a="1"/>
  <c r="CX23" i="1" s="1"/>
  <c r="CX262" i="1" a="1"/>
  <c r="CX262" i="1" s="1"/>
  <c r="CX156" i="1" a="1"/>
  <c r="CX156" i="1" s="1"/>
  <c r="CX82" i="1" a="1"/>
  <c r="CX82" i="1" s="1"/>
  <c r="CX293" i="1" a="1"/>
  <c r="CX293" i="1" s="1"/>
  <c r="CX125" i="1" a="1"/>
  <c r="CX125" i="1" s="1"/>
  <c r="CX74" i="1" a="1"/>
  <c r="CX74" i="1" s="1"/>
  <c r="CX163" i="1" a="1"/>
  <c r="CX163" i="1" s="1"/>
  <c r="CX213" i="1" a="1"/>
  <c r="CX213" i="1" s="1"/>
  <c r="BO283" i="1"/>
  <c r="BP283" i="1"/>
  <c r="BQ283" i="1"/>
  <c r="BQ288" i="1"/>
  <c r="BP288" i="1"/>
  <c r="BO288" i="1"/>
  <c r="BP296" i="1"/>
  <c r="BQ296" i="1"/>
  <c r="BO296" i="1"/>
  <c r="BP313" i="1"/>
  <c r="BO313" i="1"/>
  <c r="BQ313" i="1"/>
  <c r="BQ243" i="1"/>
  <c r="BO243" i="1"/>
  <c r="BP243" i="1"/>
  <c r="BQ276" i="1"/>
  <c r="BP276" i="1"/>
  <c r="BO276" i="1"/>
  <c r="BO308" i="1"/>
  <c r="BQ308" i="1"/>
  <c r="BP308" i="1"/>
  <c r="BQ236" i="1"/>
  <c r="BP236" i="1"/>
  <c r="BO236" i="1"/>
  <c r="BQ266" i="1"/>
  <c r="BO266" i="1"/>
  <c r="BP266" i="1"/>
  <c r="BO254" i="1"/>
  <c r="BQ254" i="1"/>
  <c r="BP254" i="1"/>
  <c r="BQ310" i="1"/>
  <c r="BO310" i="1"/>
  <c r="BP310" i="1"/>
  <c r="BQ252" i="1"/>
  <c r="BP252" i="1"/>
  <c r="BO252" i="1"/>
  <c r="BP232" i="1"/>
  <c r="BQ232" i="1"/>
  <c r="BO232" i="1"/>
  <c r="BO262" i="1"/>
  <c r="BQ262" i="1"/>
  <c r="BP262" i="1"/>
  <c r="BO216" i="1"/>
  <c r="BQ216" i="1"/>
  <c r="BP216" i="1"/>
  <c r="BQ221" i="1"/>
  <c r="BP221" i="1"/>
  <c r="BO221" i="1"/>
  <c r="BP212" i="1"/>
  <c r="BQ212" i="1"/>
  <c r="BO212" i="1"/>
  <c r="BP189" i="1"/>
  <c r="BO189" i="1"/>
  <c r="BQ189" i="1"/>
  <c r="BO210" i="1"/>
  <c r="BQ210" i="1"/>
  <c r="BP210" i="1"/>
  <c r="BO194" i="1"/>
  <c r="BP194" i="1"/>
  <c r="BQ194" i="1"/>
  <c r="BP202" i="1"/>
  <c r="BO202" i="1"/>
  <c r="BQ202" i="1"/>
  <c r="BO182" i="1"/>
  <c r="BP182" i="1"/>
  <c r="BQ182" i="1"/>
  <c r="BO175" i="1"/>
  <c r="BP175" i="1"/>
  <c r="BQ175" i="1"/>
  <c r="BO177" i="1"/>
  <c r="BP177" i="1"/>
  <c r="BQ177" i="1"/>
  <c r="BO157" i="1"/>
  <c r="BP157" i="1"/>
  <c r="BQ157" i="1"/>
  <c r="BQ166" i="1"/>
  <c r="BP166" i="1"/>
  <c r="BO166" i="1"/>
  <c r="BP149" i="1"/>
  <c r="BO149" i="1"/>
  <c r="BQ149" i="1"/>
  <c r="BP147" i="1"/>
  <c r="BQ147" i="1"/>
  <c r="BO147" i="1"/>
  <c r="BQ153" i="1"/>
  <c r="BO153" i="1"/>
  <c r="BP153" i="1"/>
  <c r="BP131" i="1"/>
  <c r="BO131" i="1"/>
  <c r="BQ131" i="1"/>
  <c r="BP129" i="1"/>
  <c r="BQ129" i="1"/>
  <c r="BO129" i="1"/>
  <c r="BO130" i="1"/>
  <c r="BP130" i="1"/>
  <c r="BQ130" i="1"/>
  <c r="BP117" i="1"/>
  <c r="BO117" i="1"/>
  <c r="BQ117" i="1"/>
  <c r="BQ97" i="1"/>
  <c r="BP97" i="1"/>
  <c r="BO97" i="1"/>
  <c r="BO104" i="1"/>
  <c r="BP104" i="1"/>
  <c r="BQ104" i="1"/>
  <c r="BO105" i="1"/>
  <c r="BQ105" i="1"/>
  <c r="BP105" i="1"/>
  <c r="BQ98" i="1"/>
  <c r="BP98" i="1"/>
  <c r="BO98" i="1"/>
  <c r="BQ92" i="1"/>
  <c r="BP92" i="1"/>
  <c r="BO92" i="1"/>
  <c r="BO83" i="1"/>
  <c r="BQ83" i="1"/>
  <c r="BP83" i="1"/>
  <c r="BQ69" i="1"/>
  <c r="BP69" i="1"/>
  <c r="BO69" i="1"/>
  <c r="BO65" i="1"/>
  <c r="BQ65" i="1"/>
  <c r="BP65" i="1"/>
  <c r="BQ62" i="1"/>
  <c r="BP62" i="1"/>
  <c r="BO62" i="1"/>
  <c r="BQ54" i="1"/>
  <c r="BO54" i="1"/>
  <c r="BP54" i="1"/>
  <c r="BO61" i="1"/>
  <c r="BQ61" i="1"/>
  <c r="BP61" i="1"/>
  <c r="BP39" i="1"/>
  <c r="BO39" i="1"/>
  <c r="BQ39" i="1"/>
  <c r="BQ53" i="1"/>
  <c r="BO53" i="1"/>
  <c r="BP53" i="1"/>
  <c r="BO32" i="1"/>
  <c r="BP32" i="1"/>
  <c r="BQ32" i="1"/>
  <c r="BQ24" i="1"/>
  <c r="BP24" i="1"/>
  <c r="BO24" i="1"/>
  <c r="BO21" i="1"/>
  <c r="BQ21" i="1"/>
  <c r="BP21" i="1"/>
  <c r="CX71" i="1" a="1"/>
  <c r="CX71" i="1" s="1"/>
  <c r="CX287" i="1" a="1"/>
  <c r="CX287" i="1" s="1"/>
  <c r="CX221" i="1" a="1"/>
  <c r="CX221" i="1" s="1"/>
  <c r="CX146" i="1" a="1"/>
  <c r="CX146" i="1" s="1"/>
  <c r="CX134" i="1" a="1"/>
  <c r="CX134" i="1" s="1"/>
  <c r="CX169" i="1" a="1"/>
  <c r="CX169" i="1" s="1"/>
  <c r="CX277" i="1" a="1"/>
  <c r="CX277" i="1" s="1"/>
  <c r="CX223" i="1" a="1"/>
  <c r="CX223" i="1" s="1"/>
  <c r="CX226" i="1" a="1"/>
  <c r="CX226" i="1" s="1"/>
  <c r="CX141" i="1" a="1"/>
  <c r="CX141" i="1" s="1"/>
  <c r="CX73" i="1" a="1"/>
  <c r="CX73" i="1" s="1"/>
  <c r="CX255" i="1" a="1"/>
  <c r="CX255" i="1" s="1"/>
  <c r="CX102" i="1" a="1"/>
  <c r="CX102" i="1" s="1"/>
  <c r="CX53" i="1" a="1"/>
  <c r="CX53" i="1" s="1"/>
  <c r="CX136" i="1" a="1"/>
  <c r="CX136" i="1" s="1"/>
  <c r="CX191" i="1" a="1"/>
  <c r="CX191" i="1" s="1"/>
  <c r="CX155" i="1" a="1"/>
  <c r="CX155" i="1" s="1"/>
  <c r="CX90" i="1" a="1"/>
  <c r="CX90" i="1" s="1"/>
  <c r="CX282" i="1" a="1"/>
  <c r="CX282" i="1" s="1"/>
  <c r="CX225" i="1" a="1"/>
  <c r="CX225" i="1" s="1"/>
  <c r="CX34" i="1" a="1"/>
  <c r="CX34" i="1" s="1"/>
  <c r="CX260" i="1" a="1"/>
  <c r="CX260" i="1" s="1"/>
  <c r="CX85" i="1" a="1"/>
  <c r="CX85" i="1" s="1"/>
  <c r="CX299" i="1" a="1"/>
  <c r="CX299" i="1" s="1"/>
  <c r="CX57" i="1" a="1"/>
  <c r="CX57" i="1" s="1"/>
  <c r="CX231" i="1" a="1"/>
  <c r="CX231" i="1" s="1"/>
  <c r="CX192" i="1" a="1"/>
  <c r="CX192" i="1" s="1"/>
  <c r="CX122" i="1" a="1"/>
  <c r="CX122" i="1" s="1"/>
  <c r="CX54" i="1" a="1"/>
  <c r="CX54" i="1" s="1"/>
  <c r="CX147" i="1" a="1"/>
  <c r="CX147" i="1" s="1"/>
  <c r="CX206" i="1" a="1"/>
  <c r="CX206" i="1" s="1"/>
  <c r="CX203" i="1" a="1"/>
  <c r="CX203" i="1" s="1"/>
  <c r="BP298" i="1"/>
  <c r="BQ298" i="1"/>
  <c r="BO298" i="1"/>
  <c r="BQ280" i="1"/>
  <c r="BO280" i="1"/>
  <c r="BP280" i="1"/>
  <c r="BP285" i="1"/>
  <c r="BQ285" i="1"/>
  <c r="BO285" i="1"/>
  <c r="BP293" i="1"/>
  <c r="BQ293" i="1"/>
  <c r="BO293" i="1"/>
  <c r="BP312" i="1"/>
  <c r="BQ312" i="1"/>
  <c r="BO312" i="1"/>
  <c r="BQ240" i="1"/>
  <c r="BO240" i="1"/>
  <c r="BP240" i="1"/>
  <c r="BO273" i="1"/>
  <c r="BQ273" i="1"/>
  <c r="BP273" i="1"/>
  <c r="BQ305" i="1"/>
  <c r="BO305" i="1"/>
  <c r="BP305" i="1"/>
  <c r="BP233" i="1"/>
  <c r="BQ233" i="1"/>
  <c r="BO233" i="1"/>
  <c r="BQ263" i="1"/>
  <c r="BO263" i="1"/>
  <c r="BP263" i="1"/>
  <c r="BO253" i="1"/>
  <c r="BP253" i="1"/>
  <c r="BQ253" i="1"/>
  <c r="BQ307" i="1"/>
  <c r="BP307" i="1"/>
  <c r="BO307" i="1"/>
  <c r="BP249" i="1"/>
  <c r="BO249" i="1"/>
  <c r="BQ249" i="1"/>
  <c r="BO277" i="1"/>
  <c r="BQ277" i="1"/>
  <c r="BP277" i="1"/>
  <c r="BQ223" i="1"/>
  <c r="BP223" i="1"/>
  <c r="BO223" i="1"/>
  <c r="BQ214" i="1"/>
  <c r="BO214" i="1"/>
  <c r="BP214" i="1"/>
  <c r="BP218" i="1"/>
  <c r="BO218" i="1"/>
  <c r="BQ218" i="1"/>
  <c r="BP230" i="1"/>
  <c r="BO230" i="1"/>
  <c r="BQ230" i="1"/>
  <c r="BQ184" i="1"/>
  <c r="BO184" i="1"/>
  <c r="BP184" i="1"/>
  <c r="BQ207" i="1"/>
  <c r="BP207" i="1"/>
  <c r="BO207" i="1"/>
  <c r="BO209" i="1"/>
  <c r="BP209" i="1"/>
  <c r="BQ209" i="1"/>
  <c r="BP199" i="1"/>
  <c r="BO199" i="1"/>
  <c r="BQ199" i="1"/>
  <c r="BO173" i="1"/>
  <c r="BP173" i="1"/>
  <c r="BQ173" i="1"/>
  <c r="BQ171" i="1"/>
  <c r="BO171" i="1"/>
  <c r="BP171" i="1"/>
  <c r="BO174" i="1"/>
  <c r="BP174" i="1"/>
  <c r="BQ174" i="1"/>
  <c r="BQ164" i="1"/>
  <c r="BO164" i="1"/>
  <c r="BP164" i="1"/>
  <c r="BO168" i="1"/>
  <c r="BQ168" i="1"/>
  <c r="BP168" i="1"/>
  <c r="BO146" i="1"/>
  <c r="BP146" i="1"/>
  <c r="BQ146" i="1"/>
  <c r="BO144" i="1"/>
  <c r="BQ144" i="1"/>
  <c r="BP144" i="1"/>
  <c r="BO151" i="1"/>
  <c r="BQ151" i="1"/>
  <c r="BP151" i="1"/>
  <c r="BQ128" i="1"/>
  <c r="BP128" i="1"/>
  <c r="BO128" i="1"/>
  <c r="BO126" i="1"/>
  <c r="BP126" i="1"/>
  <c r="BQ126" i="1"/>
  <c r="BQ127" i="1"/>
  <c r="BO127" i="1"/>
  <c r="BP127" i="1"/>
  <c r="BO115" i="1"/>
  <c r="BP115" i="1"/>
  <c r="BQ115" i="1"/>
  <c r="BO96" i="1"/>
  <c r="BQ96" i="1"/>
  <c r="BP96" i="1"/>
  <c r="BO100" i="1"/>
  <c r="BQ100" i="1"/>
  <c r="BP100" i="1"/>
  <c r="BQ94" i="1"/>
  <c r="BP94" i="1"/>
  <c r="BO94" i="1"/>
  <c r="BO78" i="1"/>
  <c r="BQ78" i="1"/>
  <c r="BP78" i="1"/>
  <c r="BO89" i="1"/>
  <c r="BQ89" i="1"/>
  <c r="BP89" i="1"/>
  <c r="BO80" i="1"/>
  <c r="BQ80" i="1"/>
  <c r="BP80" i="1"/>
  <c r="BO68" i="1"/>
  <c r="BP68" i="1"/>
  <c r="BQ68" i="1"/>
  <c r="BQ64" i="1"/>
  <c r="BP64" i="1"/>
  <c r="BO64" i="1"/>
  <c r="BO66" i="1"/>
  <c r="BQ66" i="1"/>
  <c r="BP66" i="1"/>
  <c r="BO52" i="1"/>
  <c r="BQ52" i="1"/>
  <c r="BP52" i="1"/>
  <c r="BP47" i="1"/>
  <c r="BO47" i="1"/>
  <c r="BQ47" i="1"/>
  <c r="BQ34" i="1"/>
  <c r="BO34" i="1"/>
  <c r="BP34" i="1"/>
  <c r="BQ37" i="1"/>
  <c r="BO37" i="1"/>
  <c r="BR37" i="1"/>
  <c r="BP37" i="1"/>
  <c r="BQ31" i="1"/>
  <c r="BP31" i="1"/>
  <c r="BO31" i="1"/>
  <c r="BP23" i="1"/>
  <c r="BQ23" i="1"/>
  <c r="BO23" i="1"/>
  <c r="CX207" i="1" a="1"/>
  <c r="CX207" i="1" s="1"/>
  <c r="CX29" i="1" a="1"/>
  <c r="CX29" i="1" s="1"/>
  <c r="CX256" i="1" a="1"/>
  <c r="CX256" i="1" s="1"/>
  <c r="CX56" i="1" a="1"/>
  <c r="CX56" i="1" s="1"/>
  <c r="CX243" i="1" a="1"/>
  <c r="CX243" i="1" s="1"/>
  <c r="CX121" i="1" a="1"/>
  <c r="CX121" i="1" s="1"/>
  <c r="CX44" i="1" a="1"/>
  <c r="CX44" i="1" s="1"/>
  <c r="CX307" i="1" a="1"/>
  <c r="CX307" i="1" s="1"/>
  <c r="CX181" i="1" a="1"/>
  <c r="CX181" i="1" s="1"/>
  <c r="CX250" i="1" a="1"/>
  <c r="CX250" i="1" s="1"/>
  <c r="CX189" i="1" a="1"/>
  <c r="CX189" i="1" s="1"/>
  <c r="CX33" i="1" a="1"/>
  <c r="CX33" i="1" s="1"/>
  <c r="CX244" i="1" a="1"/>
  <c r="CX244" i="1" s="1"/>
  <c r="CO24" i="1" a="1"/>
  <c r="CO24" i="1" s="1"/>
  <c r="CF24" i="1" s="1"/>
  <c r="CO291" i="1" a="1"/>
  <c r="CO291" i="1" s="1"/>
  <c r="CO240" i="1" a="1"/>
  <c r="CO240" i="1" s="1"/>
  <c r="CC240" i="1" s="1"/>
  <c r="CO216" i="1" a="1"/>
  <c r="CO216" i="1" s="1"/>
  <c r="BT216" i="1" s="1"/>
  <c r="CO188" i="1" a="1"/>
  <c r="CO188" i="1" s="1"/>
  <c r="CO139" i="1" a="1"/>
  <c r="CO139" i="1" s="1"/>
  <c r="CO114" i="1" a="1"/>
  <c r="CO114" i="1" s="1"/>
  <c r="CO75" i="1" a="1"/>
  <c r="CO75" i="1" s="1"/>
  <c r="CO40" i="1" a="1"/>
  <c r="CO40" i="1" s="1"/>
  <c r="CO293" i="1" a="1"/>
  <c r="CO293" i="1" s="1"/>
  <c r="CE293" i="1" s="1"/>
  <c r="CO244" i="1" a="1"/>
  <c r="CO244" i="1" s="1"/>
  <c r="CO251" i="1" a="1"/>
  <c r="CO251" i="1" s="1"/>
  <c r="CO187" i="1" a="1"/>
  <c r="CO187" i="1" s="1"/>
  <c r="CO167" i="1" a="1"/>
  <c r="CO167" i="1" s="1"/>
  <c r="CO125" i="1" a="1"/>
  <c r="CO125" i="1" s="1"/>
  <c r="CO90" i="1" a="1"/>
  <c r="CO90" i="1" s="1"/>
  <c r="CO56" i="1" a="1"/>
  <c r="CO56" i="1" s="1"/>
  <c r="CO25" i="1" a="1"/>
  <c r="CO25" i="1" s="1"/>
  <c r="CO313" i="1" a="1"/>
  <c r="CO313" i="1" s="1"/>
  <c r="CF313" i="1" s="1"/>
  <c r="CO263" i="1" a="1"/>
  <c r="CO263" i="1" s="1"/>
  <c r="BX263" i="1" s="1"/>
  <c r="CO222" i="1" a="1"/>
  <c r="CO222" i="1" s="1"/>
  <c r="CO199" i="1" a="1"/>
  <c r="CO199" i="1" s="1"/>
  <c r="BT199" i="1" s="1"/>
  <c r="CO151" i="1" a="1"/>
  <c r="CO151" i="1" s="1"/>
  <c r="BR151" i="1" s="1"/>
  <c r="CO124" i="1" a="1"/>
  <c r="CO124" i="1" s="1"/>
  <c r="CO86" i="1" a="1"/>
  <c r="CO86" i="1" s="1"/>
  <c r="CO37" i="1" a="1"/>
  <c r="CO37" i="1" s="1"/>
  <c r="CC37" i="1" s="1"/>
  <c r="CO287" i="1" a="1"/>
  <c r="CO287" i="1" s="1"/>
  <c r="CO238" i="1" a="1"/>
  <c r="CO238" i="1" s="1"/>
  <c r="CO248" i="1" a="1"/>
  <c r="CO248" i="1" s="1"/>
  <c r="CO207" i="1" a="1"/>
  <c r="CO207" i="1" s="1"/>
  <c r="CE207" i="1" s="1"/>
  <c r="CO160" i="1" a="1"/>
  <c r="CO160" i="1" s="1"/>
  <c r="CO111" i="1" a="1"/>
  <c r="CO111" i="1" s="1"/>
  <c r="CO84" i="1" a="1"/>
  <c r="CO84" i="1" s="1"/>
  <c r="CO47" i="1" a="1"/>
  <c r="CO47" i="1" s="1"/>
  <c r="BR47" i="1" s="1"/>
  <c r="CO22" i="1" a="1"/>
  <c r="CO22" i="1" s="1"/>
  <c r="CO289" i="1" a="1"/>
  <c r="CO289" i="1" s="1"/>
  <c r="CO275" i="1" a="1"/>
  <c r="CO275" i="1" s="1"/>
  <c r="CO229" i="1" a="1"/>
  <c r="CO229" i="1" s="1"/>
  <c r="CO186" i="1" a="1"/>
  <c r="CO186" i="1" s="1"/>
  <c r="CO155" i="1" a="1"/>
  <c r="CO155" i="1" s="1"/>
  <c r="CO123" i="1" a="1"/>
  <c r="CO123" i="1" s="1"/>
  <c r="CO80" i="1" a="1"/>
  <c r="CO80" i="1" s="1"/>
  <c r="CA80" i="1" s="1"/>
  <c r="CO61" i="1" a="1"/>
  <c r="CO61" i="1" s="1"/>
  <c r="BV61" i="1" s="1"/>
  <c r="CO286" i="1" a="1"/>
  <c r="CO286" i="1" s="1"/>
  <c r="CO272" i="1" a="1"/>
  <c r="CO272" i="1" s="1"/>
  <c r="CO226" i="1" a="1"/>
  <c r="CO226" i="1" s="1"/>
  <c r="CO209" i="1" a="1"/>
  <c r="CO209" i="1" s="1"/>
  <c r="CF209" i="1" s="1"/>
  <c r="CO165" i="1" a="1"/>
  <c r="CO165" i="1" s="1"/>
  <c r="CO112" i="1" a="1"/>
  <c r="CO112" i="1" s="1"/>
  <c r="CO95" i="1" a="1"/>
  <c r="CO95" i="1" s="1"/>
  <c r="CO51" i="1" a="1"/>
  <c r="CO51" i="1" s="1"/>
  <c r="CO294" i="1" a="1"/>
  <c r="CO294" i="1" s="1"/>
  <c r="CO243" i="1" a="1"/>
  <c r="CO243" i="1" s="1"/>
  <c r="CA243" i="1" s="1"/>
  <c r="CO192" i="1" a="1"/>
  <c r="CO192" i="1" s="1"/>
  <c r="CO121" i="1" a="1"/>
  <c r="CO121" i="1" s="1"/>
  <c r="CO79" i="1" a="1"/>
  <c r="CO79" i="1" s="1"/>
  <c r="CO218" i="1" a="1"/>
  <c r="CO218" i="1" s="1"/>
  <c r="BR218" i="1" s="1"/>
  <c r="CO102" i="1" a="1"/>
  <c r="CO102" i="1" s="1"/>
  <c r="CO45" i="1" a="1"/>
  <c r="CO45" i="1" s="1"/>
  <c r="CO268" i="1" a="1"/>
  <c r="CO268" i="1" s="1"/>
  <c r="CO150" i="1" a="1"/>
  <c r="CO150" i="1" s="1"/>
  <c r="CO264" i="1" a="1"/>
  <c r="CO264" i="1" s="1"/>
  <c r="CO136" i="1" a="1"/>
  <c r="CO136" i="1" s="1"/>
  <c r="CO235" i="1" a="1"/>
  <c r="CO235" i="1" s="1"/>
  <c r="CO55" i="1" a="1"/>
  <c r="CO55" i="1" s="1"/>
  <c r="CO232" i="1" a="1"/>
  <c r="CO232" i="1" s="1"/>
  <c r="CG232" i="1" s="1"/>
  <c r="CO54" i="1" a="1"/>
  <c r="CO54" i="1" s="1"/>
  <c r="BV54" i="1" s="1"/>
  <c r="CO306" i="1" a="1"/>
  <c r="CO306" i="1" s="1"/>
  <c r="CO304" i="1" a="1"/>
  <c r="CO304" i="1" s="1"/>
  <c r="CO215" i="1" a="1"/>
  <c r="CO215" i="1" s="1"/>
  <c r="CO175" i="1" a="1"/>
  <c r="CO175" i="1" s="1"/>
  <c r="BW175" i="1" s="1"/>
  <c r="CO146" i="1" a="1"/>
  <c r="CO146" i="1" s="1"/>
  <c r="CG146" i="1" s="1"/>
  <c r="CO116" i="1" a="1"/>
  <c r="CO116" i="1" s="1"/>
  <c r="CO76" i="1" a="1"/>
  <c r="CO76" i="1" s="1"/>
  <c r="CO44" i="1" a="1"/>
  <c r="CO44" i="1" s="1"/>
  <c r="CO298" i="1" a="1"/>
  <c r="CO298" i="1" s="1"/>
  <c r="CF298" i="1" s="1"/>
  <c r="CO305" i="1" a="1"/>
  <c r="CO305" i="1" s="1"/>
  <c r="CB305" i="1" s="1"/>
  <c r="CO239" i="1" a="1"/>
  <c r="CO239" i="1" s="1"/>
  <c r="CO197" i="1" a="1"/>
  <c r="CO197" i="1" s="1"/>
  <c r="CO161" i="1" a="1"/>
  <c r="CO161" i="1" s="1"/>
  <c r="CO132" i="1" a="1"/>
  <c r="CO132" i="1" s="1"/>
  <c r="CO91" i="1" a="1"/>
  <c r="CO91" i="1" s="1"/>
  <c r="CO58" i="1" a="1"/>
  <c r="CO58" i="1" s="1"/>
  <c r="CO285" i="1" a="1"/>
  <c r="CO285" i="1" s="1"/>
  <c r="CA285" i="1" s="1"/>
  <c r="CO234" i="1" a="1"/>
  <c r="CO234" i="1" s="1"/>
  <c r="CO228" i="1" a="1"/>
  <c r="CO228" i="1" s="1"/>
  <c r="CO185" i="1" a="1"/>
  <c r="CO185" i="1" s="1"/>
  <c r="CO133" i="1" a="1"/>
  <c r="CO133" i="1" s="1"/>
  <c r="CO117" i="1" a="1"/>
  <c r="CO117" i="1" s="1"/>
  <c r="BS117" i="1" s="1"/>
  <c r="CO81" i="1" a="1"/>
  <c r="CO81" i="1" s="1"/>
  <c r="CO53" i="1" a="1"/>
  <c r="CO53" i="1" s="1"/>
  <c r="CB53" i="1" s="1"/>
  <c r="CO292" i="1" a="1"/>
  <c r="CO292" i="1" s="1"/>
  <c r="CO278" i="1" a="1"/>
  <c r="CO278" i="1" s="1"/>
  <c r="CO233" i="1" a="1"/>
  <c r="CO233" i="1" s="1"/>
  <c r="BV233" i="1" s="1"/>
  <c r="CO189" i="1" a="1"/>
  <c r="CO189" i="1" s="1"/>
  <c r="BT189" i="1" s="1"/>
  <c r="CO156" i="1" a="1"/>
  <c r="CO156" i="1" s="1"/>
  <c r="CO126" i="1" a="1"/>
  <c r="CO126" i="1" s="1"/>
  <c r="CA126" i="1" s="1"/>
  <c r="CO85" i="1" a="1"/>
  <c r="CO85" i="1" s="1"/>
  <c r="CO46" i="1" a="1"/>
  <c r="CO46" i="1" s="1"/>
  <c r="CO297" i="1" a="1"/>
  <c r="CO297" i="1" s="1"/>
  <c r="CO246" i="1" a="1"/>
  <c r="CO246" i="1" s="1"/>
  <c r="CO219" i="1" a="1"/>
  <c r="CO219" i="1" s="1"/>
  <c r="CO193" i="1" a="1"/>
  <c r="CO193" i="1" s="1"/>
  <c r="CO145" i="1" a="1"/>
  <c r="CO145" i="1" s="1"/>
  <c r="CO122" i="1" a="1"/>
  <c r="CO122" i="1" s="1"/>
  <c r="CO82" i="1" a="1"/>
  <c r="CO82" i="1" s="1"/>
  <c r="CO42" i="1" a="1"/>
  <c r="CO42" i="1" s="1"/>
  <c r="CO217" i="1" a="1"/>
  <c r="CO217" i="1" s="1"/>
  <c r="CO142" i="1" a="1"/>
  <c r="CO142" i="1" s="1"/>
  <c r="CO32" i="1" a="1"/>
  <c r="CO32" i="1" s="1"/>
  <c r="BR32" i="1" s="1"/>
  <c r="CO178" i="1" a="1"/>
  <c r="CO178" i="1" s="1"/>
  <c r="CO179" i="1" a="1"/>
  <c r="CO179" i="1" s="1"/>
  <c r="CO65" i="1" a="1"/>
  <c r="CO65" i="1" s="1"/>
  <c r="BT65" i="1" s="1"/>
  <c r="CO195" i="1" a="1"/>
  <c r="CO195" i="1" s="1"/>
  <c r="CO119" i="1" a="1"/>
  <c r="CO119" i="1" s="1"/>
  <c r="CO166" i="1" a="1"/>
  <c r="CO166" i="1" s="1"/>
  <c r="BU166" i="1" s="1"/>
  <c r="CO279" i="1" a="1"/>
  <c r="CO279" i="1" s="1"/>
  <c r="CO265" i="1" a="1"/>
  <c r="CO265" i="1" s="1"/>
  <c r="CO213" i="1" a="1"/>
  <c r="CO213" i="1" s="1"/>
  <c r="CO176" i="1" a="1"/>
  <c r="CO176" i="1" s="1"/>
  <c r="CO147" i="1" a="1"/>
  <c r="CO147" i="1" s="1"/>
  <c r="CA147" i="1" s="1"/>
  <c r="CO105" i="1" a="1"/>
  <c r="CO105" i="1" s="1"/>
  <c r="CD105" i="1" s="1"/>
  <c r="CO67" i="1" a="1"/>
  <c r="CO67" i="1" s="1"/>
  <c r="CO21" i="1" a="1"/>
  <c r="CO21" i="1" s="1"/>
  <c r="BV21" i="1" s="1"/>
  <c r="CO280" i="1" a="1"/>
  <c r="CO280" i="1" s="1"/>
  <c r="BW280" i="1" s="1"/>
  <c r="CO266" i="1" a="1"/>
  <c r="CO266" i="1" s="1"/>
  <c r="BU266" i="1" s="1"/>
  <c r="CO212" i="1" a="1"/>
  <c r="CO212" i="1" s="1"/>
  <c r="BR212" i="1" s="1"/>
  <c r="CO202" i="1" a="1"/>
  <c r="CO202" i="1" s="1"/>
  <c r="BZ202" i="1" s="1"/>
  <c r="CO159" i="1" a="1"/>
  <c r="CO159" i="1" s="1"/>
  <c r="CO127" i="1" a="1"/>
  <c r="CO127" i="1" s="1"/>
  <c r="CF127" i="1" s="1"/>
  <c r="CO89" i="1" a="1"/>
  <c r="CO89" i="1" s="1"/>
  <c r="BW89" i="1" s="1"/>
  <c r="CO48" i="1" a="1"/>
  <c r="CO48" i="1" s="1"/>
  <c r="CO258" i="1" a="1"/>
  <c r="CO258" i="1" s="1"/>
  <c r="CO277" i="1" a="1"/>
  <c r="CO277" i="1" s="1"/>
  <c r="BS277" i="1" s="1"/>
  <c r="CO204" i="1" a="1"/>
  <c r="CO204" i="1" s="1"/>
  <c r="CO172" i="1" a="1"/>
  <c r="CO172" i="1" s="1"/>
  <c r="CO140" i="1" a="1"/>
  <c r="CO140" i="1" s="1"/>
  <c r="CO110" i="1" a="1"/>
  <c r="CO110" i="1" s="1"/>
  <c r="CO69" i="1" a="1"/>
  <c r="CO69" i="1" s="1"/>
  <c r="BR69" i="1" s="1"/>
  <c r="CO36" i="1" a="1"/>
  <c r="CO36" i="1" s="1"/>
  <c r="CO300" i="1" a="1"/>
  <c r="CO300" i="1" s="1"/>
  <c r="CO260" i="1" a="1"/>
  <c r="CO260" i="1" s="1"/>
  <c r="CO220" i="1" a="1"/>
  <c r="CO220" i="1" s="1"/>
  <c r="CO196" i="1" a="1"/>
  <c r="CO196" i="1" s="1"/>
  <c r="CO148" i="1" a="1"/>
  <c r="CO148" i="1" s="1"/>
  <c r="CO118" i="1" a="1"/>
  <c r="CO118" i="1" s="1"/>
  <c r="CO78" i="1" a="1"/>
  <c r="CO78" i="1" s="1"/>
  <c r="CF78" i="1" s="1"/>
  <c r="CO43" i="1" a="1"/>
  <c r="CO43" i="1" s="1"/>
  <c r="CO312" i="1" a="1"/>
  <c r="CO312" i="1" s="1"/>
  <c r="BS312" i="1" s="1"/>
  <c r="CO310" i="1" a="1"/>
  <c r="CO310" i="1" s="1"/>
  <c r="BY310" i="1" s="1"/>
  <c r="CO221" i="1" a="1"/>
  <c r="CO221" i="1" s="1"/>
  <c r="CE221" i="1" s="1"/>
  <c r="CO181" i="1" a="1"/>
  <c r="CO181" i="1" s="1"/>
  <c r="CO152" i="1" a="1"/>
  <c r="CO152" i="1" s="1"/>
  <c r="CO103" i="1" a="1"/>
  <c r="CO103" i="1" s="1"/>
  <c r="CO73" i="1" a="1"/>
  <c r="CO73" i="1" s="1"/>
  <c r="CO34" i="1" a="1"/>
  <c r="CO34" i="1" s="1"/>
  <c r="CF34" i="1" s="1"/>
  <c r="CO309" i="1" a="1"/>
  <c r="CO309" i="1" s="1"/>
  <c r="CO307" i="1" a="1"/>
  <c r="CO307" i="1" s="1"/>
  <c r="CG307" i="1" s="1"/>
  <c r="CO149" i="1" a="1"/>
  <c r="CO149" i="1" s="1"/>
  <c r="BU149" i="1" s="1"/>
  <c r="CO70" i="1" a="1"/>
  <c r="CO70" i="1" s="1"/>
  <c r="CO224" i="1" a="1"/>
  <c r="CO224" i="1" s="1"/>
  <c r="CO108" i="1" a="1"/>
  <c r="CO108" i="1" s="1"/>
  <c r="CO299" i="1" a="1"/>
  <c r="CO299" i="1" s="1"/>
  <c r="CO254" i="1" a="1"/>
  <c r="CO254" i="1" s="1"/>
  <c r="CA254" i="1" s="1"/>
  <c r="CO60" i="1" a="1"/>
  <c r="CO60" i="1" s="1"/>
  <c r="CO284" i="1" a="1"/>
  <c r="CO284" i="1" s="1"/>
  <c r="CO157" i="1" a="1"/>
  <c r="CO157" i="1" s="1"/>
  <c r="BV157" i="1" s="1"/>
  <c r="CO245" i="1" a="1"/>
  <c r="CO245" i="1" s="1"/>
  <c r="CO296" i="1" a="1"/>
  <c r="CO296" i="1" s="1"/>
  <c r="BX296" i="1" s="1"/>
  <c r="CO261" i="1" a="1"/>
  <c r="CO261" i="1" s="1"/>
  <c r="CO253" i="1" a="1"/>
  <c r="CO253" i="1" s="1"/>
  <c r="BT253" i="1" s="1"/>
  <c r="CO190" i="1" a="1"/>
  <c r="CO190" i="1" s="1"/>
  <c r="CO170" i="1" a="1"/>
  <c r="CO170" i="1" s="1"/>
  <c r="CO153" i="1" a="1"/>
  <c r="CO153" i="1" s="1"/>
  <c r="CG153" i="1" s="1"/>
  <c r="CO93" i="1" a="1"/>
  <c r="CO93" i="1" s="1"/>
  <c r="CO59" i="1" a="1"/>
  <c r="CO59" i="1" s="1"/>
  <c r="CO23" i="1" a="1"/>
  <c r="CO23" i="1" s="1"/>
  <c r="CD23" i="1" s="1"/>
  <c r="CO288" i="1" a="1"/>
  <c r="CO288" i="1" s="1"/>
  <c r="BZ288" i="1" s="1"/>
  <c r="CO237" i="1" a="1"/>
  <c r="CO237" i="1" s="1"/>
  <c r="CO214" i="1" a="1"/>
  <c r="CO214" i="1" s="1"/>
  <c r="CG214" i="1" s="1"/>
  <c r="CO184" i="1" a="1"/>
  <c r="CO184" i="1" s="1"/>
  <c r="CG184" i="1" s="1"/>
  <c r="CO135" i="1" a="1"/>
  <c r="CO135" i="1" s="1"/>
  <c r="CO120" i="1" a="1"/>
  <c r="CO120" i="1" s="1"/>
  <c r="CO72" i="1" a="1"/>
  <c r="CO72" i="1" s="1"/>
  <c r="CO39" i="1" a="1"/>
  <c r="CO39" i="1" s="1"/>
  <c r="BT39" i="1" s="1"/>
  <c r="CO273" i="1" a="1"/>
  <c r="CO273" i="1" s="1"/>
  <c r="CG273" i="1" s="1"/>
  <c r="CO259" i="1" a="1"/>
  <c r="CO259" i="1" s="1"/>
  <c r="CO208" i="1" a="1"/>
  <c r="CO208" i="1" s="1"/>
  <c r="CO180" i="1" a="1"/>
  <c r="CO180" i="1" s="1"/>
  <c r="CO141" i="1" a="1"/>
  <c r="CO141" i="1" s="1"/>
  <c r="CO99" i="1" a="1"/>
  <c r="CO99" i="1" s="1"/>
  <c r="CO57" i="1" a="1"/>
  <c r="CO57" i="1" s="1"/>
  <c r="CO30" i="1" a="1"/>
  <c r="CO30" i="1" s="1"/>
  <c r="CO282" i="1" a="1"/>
  <c r="CO282" i="1" s="1"/>
  <c r="CO231" i="1" a="1"/>
  <c r="CO231" i="1" s="1"/>
  <c r="CO225" i="1" a="1"/>
  <c r="CO225" i="1" s="1"/>
  <c r="CO182" i="1" a="1"/>
  <c r="CO182" i="1" s="1"/>
  <c r="BT182" i="1" s="1"/>
  <c r="CO131" i="1" a="1"/>
  <c r="CO131" i="1" s="1"/>
  <c r="BY131" i="1" s="1"/>
  <c r="CO106" i="1" a="1"/>
  <c r="CO106" i="1" s="1"/>
  <c r="CO77" i="1" a="1"/>
  <c r="CO77" i="1" s="1"/>
  <c r="CO38" i="1" a="1"/>
  <c r="CO38" i="1" s="1"/>
  <c r="CO252" i="1" a="1"/>
  <c r="CO252" i="1" s="1"/>
  <c r="BZ252" i="1" s="1"/>
  <c r="CO271" i="1" a="1"/>
  <c r="CO271" i="1" s="1"/>
  <c r="CO227" i="1" a="1"/>
  <c r="CO227" i="1" s="1"/>
  <c r="CO183" i="1" a="1"/>
  <c r="CO183" i="1" s="1"/>
  <c r="CO154" i="1" a="1"/>
  <c r="CO154" i="1" s="1"/>
  <c r="CO104" i="1" a="1"/>
  <c r="CO104" i="1" s="1"/>
  <c r="CD104" i="1" s="1"/>
  <c r="CO74" i="1" a="1"/>
  <c r="CO74" i="1" s="1"/>
  <c r="CO41" i="1" a="1"/>
  <c r="CO41" i="1" s="1"/>
  <c r="CO249" i="1" a="1"/>
  <c r="CO249" i="1" s="1"/>
  <c r="BT249" i="1" s="1"/>
  <c r="CO31" i="1" a="1"/>
  <c r="CO31" i="1" s="1"/>
  <c r="BR31" i="1" s="1"/>
  <c r="CO171" i="1" a="1"/>
  <c r="CO171" i="1" s="1"/>
  <c r="BX171" i="1" s="1"/>
  <c r="CO191" i="1" a="1"/>
  <c r="CO191" i="1" s="1"/>
  <c r="CO203" i="1" a="1"/>
  <c r="CO203" i="1" s="1"/>
  <c r="CO314" i="1" a="1"/>
  <c r="CO314" i="1" s="1"/>
  <c r="CO308" i="1" a="1"/>
  <c r="CO308" i="1" s="1"/>
  <c r="CA308" i="1" s="1"/>
  <c r="CO242" i="1" a="1"/>
  <c r="CO242" i="1" s="1"/>
  <c r="CO200" i="1" a="1"/>
  <c r="CO200" i="1" s="1"/>
  <c r="CO164" i="1" a="1"/>
  <c r="CO164" i="1" s="1"/>
  <c r="BR164" i="1" s="1"/>
  <c r="CO134" i="1" a="1"/>
  <c r="CO134" i="1" s="1"/>
  <c r="CO94" i="1" a="1"/>
  <c r="CO94" i="1" s="1"/>
  <c r="CG94" i="1" s="1"/>
  <c r="CO50" i="1" a="1"/>
  <c r="CO50" i="1" s="1"/>
  <c r="CO303" i="1" a="1"/>
  <c r="CO303" i="1" s="1"/>
  <c r="CO301" i="1" a="1"/>
  <c r="CO301" i="1" s="1"/>
  <c r="CO205" i="1" a="1"/>
  <c r="CO205" i="1" s="1"/>
  <c r="CO173" i="1" a="1"/>
  <c r="CO173" i="1" s="1"/>
  <c r="BU173" i="1" s="1"/>
  <c r="CO143" i="1" a="1"/>
  <c r="CO143" i="1" s="1"/>
  <c r="CO113" i="1" a="1"/>
  <c r="CO113" i="1" s="1"/>
  <c r="CO71" i="1" a="1"/>
  <c r="CO71" i="1" s="1"/>
  <c r="CO35" i="1" a="1"/>
  <c r="CO35" i="1" s="1"/>
  <c r="CO290" i="1" a="1"/>
  <c r="CO290" i="1" s="1"/>
  <c r="CO241" i="1" a="1"/>
  <c r="CO241" i="1" s="1"/>
  <c r="CO250" i="1" a="1"/>
  <c r="CO250" i="1" s="1"/>
  <c r="CO210" i="1" a="1"/>
  <c r="CO210" i="1" s="1"/>
  <c r="CA210" i="1" s="1"/>
  <c r="CO163" i="1" a="1"/>
  <c r="CO163" i="1" s="1"/>
  <c r="CO115" i="1" a="1"/>
  <c r="CO115" i="1" s="1"/>
  <c r="CD115" i="1" s="1"/>
  <c r="CO87" i="1" a="1"/>
  <c r="CO87" i="1" s="1"/>
  <c r="CO63" i="1" a="1"/>
  <c r="CO63" i="1" s="1"/>
  <c r="CO29" i="1" a="1"/>
  <c r="CO29" i="1" s="1"/>
  <c r="CO255" i="1" a="1"/>
  <c r="CO255" i="1" s="1"/>
  <c r="CO274" i="1" a="1"/>
  <c r="CO274" i="1" s="1"/>
  <c r="CO230" i="1" a="1"/>
  <c r="CO230" i="1" s="1"/>
  <c r="BV230" i="1" s="1"/>
  <c r="CO168" i="1" a="1"/>
  <c r="CO168" i="1" s="1"/>
  <c r="CD168" i="1" s="1"/>
  <c r="CO130" i="1" a="1"/>
  <c r="CO130" i="1" s="1"/>
  <c r="BU130" i="1" s="1"/>
  <c r="CO107" i="1" a="1"/>
  <c r="CO107" i="1" s="1"/>
  <c r="CO68" i="1" a="1"/>
  <c r="CO68" i="1" s="1"/>
  <c r="BW68" i="1" s="1"/>
  <c r="CO33" i="1" a="1"/>
  <c r="CO33" i="1" s="1"/>
  <c r="CO311" i="1" a="1"/>
  <c r="CO311" i="1" s="1"/>
  <c r="CO267" i="1" a="1"/>
  <c r="CO267" i="1" s="1"/>
  <c r="CO256" i="1" a="1"/>
  <c r="CO256" i="1" s="1"/>
  <c r="CO198" i="1" a="1"/>
  <c r="CO198" i="1" s="1"/>
  <c r="CO174" i="1" a="1"/>
  <c r="CO174" i="1" s="1"/>
  <c r="BW174" i="1" s="1"/>
  <c r="CO138" i="1" a="1"/>
  <c r="CO138" i="1" s="1"/>
  <c r="CO98" i="1" a="1"/>
  <c r="CO98" i="1" s="1"/>
  <c r="CE98" i="1" s="1"/>
  <c r="CO62" i="1" a="1"/>
  <c r="CO62" i="1" s="1"/>
  <c r="BV62" i="1" s="1"/>
  <c r="CO26" i="1" a="1"/>
  <c r="CO26" i="1" s="1"/>
  <c r="CO96" i="1" a="1"/>
  <c r="CO96" i="1" s="1"/>
  <c r="BR96" i="1" s="1"/>
  <c r="CO247" i="1" a="1"/>
  <c r="CO247" i="1" s="1"/>
  <c r="CO281" i="1" a="1"/>
  <c r="CO281" i="1" s="1"/>
  <c r="CO137" i="1" a="1"/>
  <c r="CO137" i="1" s="1"/>
  <c r="CO283" i="1" a="1"/>
  <c r="CO283" i="1" s="1"/>
  <c r="BZ283" i="1" s="1"/>
  <c r="CO269" i="1" a="1"/>
  <c r="CO269" i="1" s="1"/>
  <c r="CO223" i="1" a="1"/>
  <c r="CO223" i="1" s="1"/>
  <c r="BW223" i="1" s="1"/>
  <c r="CO206" i="1" a="1"/>
  <c r="CO206" i="1" s="1"/>
  <c r="BS206" i="1" s="1"/>
  <c r="CO162" i="1" a="1"/>
  <c r="CO162" i="1" s="1"/>
  <c r="CO109" i="1" a="1"/>
  <c r="CO109" i="1" s="1"/>
  <c r="CO92" i="1" a="1"/>
  <c r="CO92" i="1" s="1"/>
  <c r="CA92" i="1" s="1"/>
  <c r="CO49" i="1" a="1"/>
  <c r="CO49" i="1" s="1"/>
  <c r="CO276" i="1" a="1"/>
  <c r="CO276" i="1" s="1"/>
  <c r="BS276" i="1" s="1"/>
  <c r="CO262" i="1" a="1"/>
  <c r="CO262" i="1" s="1"/>
  <c r="BS262" i="1" s="1"/>
  <c r="CO211" i="1" a="1"/>
  <c r="CO211" i="1" s="1"/>
  <c r="CO169" i="1" a="1"/>
  <c r="CO169" i="1" s="1"/>
  <c r="CO144" i="1" a="1"/>
  <c r="CO144" i="1" s="1"/>
  <c r="CE144" i="1" s="1"/>
  <c r="CO100" i="1" a="1"/>
  <c r="CO100" i="1" s="1"/>
  <c r="BR100" i="1" s="1"/>
  <c r="CO64" i="1" a="1"/>
  <c r="CO64" i="1" s="1"/>
  <c r="CF64" i="1" s="1"/>
  <c r="CO28" i="1" a="1"/>
  <c r="CO28" i="1" s="1"/>
  <c r="CO295" i="1" a="1"/>
  <c r="CO295" i="1" s="1"/>
  <c r="CA295" i="1" s="1"/>
  <c r="CO302" i="1" a="1"/>
  <c r="CO302" i="1" s="1"/>
  <c r="CO236" i="1" a="1"/>
  <c r="CO236" i="1" s="1"/>
  <c r="BZ236" i="1" s="1"/>
  <c r="CO194" i="1" a="1"/>
  <c r="CO194" i="1" s="1"/>
  <c r="BV194" i="1" s="1"/>
  <c r="CO158" i="1" a="1"/>
  <c r="CO158" i="1" s="1"/>
  <c r="CO129" i="1" a="1"/>
  <c r="CO129" i="1" s="1"/>
  <c r="CC129" i="1" s="1"/>
  <c r="CO88" i="1" a="1"/>
  <c r="CO88" i="1" s="1"/>
  <c r="CO52" i="1" a="1"/>
  <c r="CO52" i="1" s="1"/>
  <c r="CD52" i="1" s="1"/>
  <c r="CO270" i="1" a="1"/>
  <c r="CO270" i="1" s="1"/>
  <c r="CO257" i="1" a="1"/>
  <c r="CO257" i="1" s="1"/>
  <c r="CO201" i="1" a="1"/>
  <c r="CO201" i="1" s="1"/>
  <c r="BW201" i="1" s="1"/>
  <c r="CO177" i="1" a="1"/>
  <c r="CO177" i="1" s="1"/>
  <c r="CC177" i="1" s="1"/>
  <c r="CO128" i="1" a="1"/>
  <c r="CO128" i="1" s="1"/>
  <c r="BS128" i="1" s="1"/>
  <c r="CO101" i="1" a="1"/>
  <c r="CO101" i="1" s="1"/>
  <c r="CO66" i="1" a="1"/>
  <c r="CO66" i="1" s="1"/>
  <c r="CE66" i="1" s="1"/>
  <c r="CO27" i="1" a="1"/>
  <c r="CO27" i="1" s="1"/>
  <c r="CO83" i="1" a="1"/>
  <c r="CO83" i="1" s="1"/>
  <c r="BX83" i="1" s="1"/>
  <c r="CO97" i="1" a="1"/>
  <c r="CO97" i="1" s="1"/>
  <c r="BV97" i="1" s="1"/>
  <c r="CX46" i="1" a="1"/>
  <c r="CX46" i="1" s="1"/>
  <c r="CX239" i="1" a="1"/>
  <c r="CX239" i="1" s="1"/>
  <c r="CX196" i="1" a="1"/>
  <c r="CX196" i="1" s="1"/>
  <c r="CX116" i="1" a="1"/>
  <c r="CX116" i="1" s="1"/>
  <c r="CX22" i="1" a="1"/>
  <c r="CX22" i="1" s="1"/>
  <c r="CX139" i="1" a="1"/>
  <c r="CX139" i="1" s="1"/>
  <c r="CX152" i="1" a="1"/>
  <c r="CX152" i="1" s="1"/>
  <c r="CX185" i="1" a="1"/>
  <c r="CX185" i="1" s="1"/>
  <c r="CX284" i="1" a="1"/>
  <c r="CX284" i="1" s="1"/>
  <c r="CX190" i="1" a="1"/>
  <c r="CX190" i="1" s="1"/>
  <c r="CX119" i="1" a="1"/>
  <c r="CX119" i="1" s="1"/>
  <c r="CX45" i="1" a="1"/>
  <c r="CX45" i="1" s="1"/>
  <c r="CX310" i="1" a="1"/>
  <c r="CX310" i="1" s="1"/>
  <c r="CX77" i="1" a="1"/>
  <c r="CX77" i="1" s="1"/>
  <c r="CX280" i="1" a="1"/>
  <c r="CX280" i="1" s="1"/>
  <c r="CX109" i="1" a="1"/>
  <c r="CX109" i="1" s="1"/>
  <c r="CX84" i="1" a="1"/>
  <c r="CX84" i="1" s="1"/>
  <c r="CX101" i="1" a="1"/>
  <c r="CX101" i="1" s="1"/>
  <c r="CX295" i="1" a="1"/>
  <c r="CX295" i="1" s="1"/>
  <c r="CX253" i="1" a="1"/>
  <c r="CX253" i="1" s="1"/>
  <c r="CX144" i="1" a="1"/>
  <c r="CX144" i="1" s="1"/>
  <c r="CX173" i="1" a="1"/>
  <c r="CX173" i="1" s="1"/>
  <c r="CX202" i="1" a="1"/>
  <c r="CX202" i="1" s="1"/>
  <c r="CX279" i="1" a="1"/>
  <c r="CX279" i="1" s="1"/>
  <c r="CX248" i="1" a="1"/>
  <c r="CX248" i="1" s="1"/>
  <c r="BR295" i="1"/>
  <c r="BQ295" i="1"/>
  <c r="BO295" i="1"/>
  <c r="BP295" i="1"/>
  <c r="BP300" i="1"/>
  <c r="BQ300" i="1"/>
  <c r="BR300" i="1"/>
  <c r="BO300" i="1"/>
  <c r="BQ282" i="1"/>
  <c r="BR282" i="1"/>
  <c r="BP282" i="1"/>
  <c r="BO282" i="1"/>
  <c r="BP290" i="1"/>
  <c r="BR290" i="1"/>
  <c r="BQ290" i="1"/>
  <c r="BO290" i="1"/>
  <c r="BQ309" i="1"/>
  <c r="BR309" i="1"/>
  <c r="BP309" i="1"/>
  <c r="BO309" i="1"/>
  <c r="BR237" i="1"/>
  <c r="BP237" i="1"/>
  <c r="BQ237" i="1"/>
  <c r="BO237" i="1"/>
  <c r="BO270" i="1"/>
  <c r="BQ270" i="1"/>
  <c r="BP270" i="1"/>
  <c r="BR270" i="1"/>
  <c r="BO302" i="1"/>
  <c r="BP302" i="1"/>
  <c r="BQ302" i="1"/>
  <c r="BR302" i="1"/>
  <c r="BP278" i="1"/>
  <c r="BR278" i="1"/>
  <c r="BQ278" i="1"/>
  <c r="BO278" i="1"/>
  <c r="BP260" i="1"/>
  <c r="BQ260" i="1"/>
  <c r="BO260" i="1"/>
  <c r="BR260" i="1"/>
  <c r="BO251" i="1"/>
  <c r="BR251" i="1"/>
  <c r="BP251" i="1"/>
  <c r="BQ251" i="1"/>
  <c r="BO304" i="1"/>
  <c r="BQ304" i="1"/>
  <c r="BR304" i="1"/>
  <c r="BP304" i="1"/>
  <c r="BO244" i="1"/>
  <c r="BP244" i="1"/>
  <c r="BR244" i="1"/>
  <c r="BQ244" i="1"/>
  <c r="BR274" i="1"/>
  <c r="BP274" i="1"/>
  <c r="BO274" i="1"/>
  <c r="BQ274" i="1"/>
  <c r="BQ222" i="1"/>
  <c r="BP222" i="1"/>
  <c r="BR222" i="1"/>
  <c r="BO222" i="1"/>
  <c r="BQ205" i="1"/>
  <c r="BO205" i="1"/>
  <c r="BR205" i="1"/>
  <c r="BP205" i="1"/>
  <c r="BR215" i="1"/>
  <c r="BQ215" i="1"/>
  <c r="BP215" i="1"/>
  <c r="BO215" i="1"/>
  <c r="BQ227" i="1"/>
  <c r="BR227" i="1"/>
  <c r="BP227" i="1"/>
  <c r="BO227" i="1"/>
  <c r="BP201" i="1"/>
  <c r="BR201" i="1"/>
  <c r="BO201" i="1"/>
  <c r="BQ201" i="1"/>
  <c r="BO188" i="1"/>
  <c r="BP188" i="1"/>
  <c r="BQ188" i="1"/>
  <c r="BR188" i="1"/>
  <c r="BO206" i="1"/>
  <c r="BQ206" i="1"/>
  <c r="BP206" i="1"/>
  <c r="BR196" i="1"/>
  <c r="BP196" i="1"/>
  <c r="BO196" i="1"/>
  <c r="BQ196" i="1"/>
  <c r="BQ172" i="1"/>
  <c r="BO172" i="1"/>
  <c r="BP172" i="1"/>
  <c r="BR172" i="1"/>
  <c r="BP179" i="1"/>
  <c r="BQ179" i="1"/>
  <c r="BR179" i="1"/>
  <c r="BO179" i="1"/>
  <c r="BO170" i="1"/>
  <c r="BQ170" i="1"/>
  <c r="BP170" i="1"/>
  <c r="BR170" i="1"/>
  <c r="BQ161" i="1"/>
  <c r="BO161" i="1"/>
  <c r="BR161" i="1"/>
  <c r="BP161" i="1"/>
  <c r="BO165" i="1"/>
  <c r="BR165" i="1"/>
  <c r="BQ165" i="1"/>
  <c r="BP165" i="1"/>
  <c r="BO143" i="1"/>
  <c r="BR143" i="1"/>
  <c r="BQ143" i="1"/>
  <c r="BP143" i="1"/>
  <c r="BR141" i="1"/>
  <c r="BO141" i="1"/>
  <c r="BQ141" i="1"/>
  <c r="BP141" i="1"/>
  <c r="BO148" i="1"/>
  <c r="BR148" i="1"/>
  <c r="BQ148" i="1"/>
  <c r="BP148" i="1"/>
  <c r="BP125" i="1"/>
  <c r="BO125" i="1"/>
  <c r="BR125" i="1"/>
  <c r="BQ125" i="1"/>
  <c r="BO123" i="1"/>
  <c r="BP123" i="1"/>
  <c r="BR123" i="1"/>
  <c r="BQ123" i="1"/>
  <c r="BQ124" i="1"/>
  <c r="BR124" i="1"/>
  <c r="BP124" i="1"/>
  <c r="BO124" i="1"/>
  <c r="BO112" i="1"/>
  <c r="BP112" i="1"/>
  <c r="BQ112" i="1"/>
  <c r="BR112" i="1"/>
  <c r="BP116" i="1"/>
  <c r="BO116" i="1"/>
  <c r="BQ116" i="1"/>
  <c r="BR116" i="1"/>
  <c r="BS116" i="1"/>
  <c r="BO99" i="1"/>
  <c r="BQ99" i="1"/>
  <c r="BR99" i="1"/>
  <c r="BP99" i="1"/>
  <c r="BR93" i="1"/>
  <c r="BO93" i="1"/>
  <c r="BP93" i="1"/>
  <c r="BQ93" i="1"/>
  <c r="BR91" i="1"/>
  <c r="BQ91" i="1"/>
  <c r="BO91" i="1"/>
  <c r="BP91" i="1"/>
  <c r="BP86" i="1"/>
  <c r="BR86" i="1"/>
  <c r="BO86" i="1"/>
  <c r="BQ86" i="1"/>
  <c r="BQ82" i="1"/>
  <c r="BR82" i="1"/>
  <c r="BP82" i="1"/>
  <c r="BO82" i="1"/>
  <c r="BO81" i="1"/>
  <c r="BP81" i="1"/>
  <c r="BR81" i="1"/>
  <c r="BQ81" i="1"/>
  <c r="BO74" i="1"/>
  <c r="BP74" i="1"/>
  <c r="BR74" i="1"/>
  <c r="BQ74" i="1"/>
  <c r="BO60" i="1"/>
  <c r="BR60" i="1"/>
  <c r="BT60" i="1"/>
  <c r="BP60" i="1"/>
  <c r="BQ60" i="1"/>
  <c r="BQ51" i="1"/>
  <c r="BR51" i="1"/>
  <c r="BO51" i="1"/>
  <c r="BP51" i="1"/>
  <c r="BP50" i="1"/>
  <c r="BQ50" i="1"/>
  <c r="BR50" i="1"/>
  <c r="BO50" i="1"/>
  <c r="BO43" i="1"/>
  <c r="BP43" i="1"/>
  <c r="BR43" i="1"/>
  <c r="BQ43" i="1"/>
  <c r="BP45" i="1"/>
  <c r="BR45" i="1"/>
  <c r="BQ45" i="1"/>
  <c r="BO45" i="1"/>
  <c r="BQ41" i="1"/>
  <c r="BP41" i="1"/>
  <c r="BO41" i="1"/>
  <c r="BR41" i="1"/>
  <c r="BR25" i="1"/>
  <c r="BP25" i="1"/>
  <c r="BQ25" i="1"/>
  <c r="BO25" i="1"/>
  <c r="CX99" i="1" a="1"/>
  <c r="CX99" i="1" s="1"/>
  <c r="CX167" i="1" a="1"/>
  <c r="CX167" i="1" s="1"/>
  <c r="CX254" i="1" a="1"/>
  <c r="CX254" i="1" s="1"/>
  <c r="CX58" i="1" a="1"/>
  <c r="CX58" i="1" s="1"/>
  <c r="CX270" i="1" a="1"/>
  <c r="CX270" i="1" s="1"/>
  <c r="CX103" i="1" a="1"/>
  <c r="CX103" i="1" s="1"/>
  <c r="CX35" i="1" a="1"/>
  <c r="CX35" i="1" s="1"/>
  <c r="CX127" i="1" a="1"/>
  <c r="CX127" i="1" s="1"/>
  <c r="CX76" i="1" a="1"/>
  <c r="CX76" i="1" s="1"/>
  <c r="CX312" i="1" a="1"/>
  <c r="CX312" i="1" s="1"/>
  <c r="CX186" i="1" a="1"/>
  <c r="CX186" i="1" s="1"/>
  <c r="CX27" i="1" a="1"/>
  <c r="CX27" i="1" s="1"/>
  <c r="CX271" i="1" a="1"/>
  <c r="CX271" i="1" s="1"/>
  <c r="CX69" i="1" a="1"/>
  <c r="CX69" i="1" s="1"/>
  <c r="CX303" i="1" a="1"/>
  <c r="CX303" i="1" s="1"/>
  <c r="CP58" i="1" a="1"/>
  <c r="CP58" i="1" s="1"/>
  <c r="CP132" i="1" a="1"/>
  <c r="CP132" i="1" s="1"/>
  <c r="CP180" i="1" a="1"/>
  <c r="CP180" i="1" s="1"/>
  <c r="CP197" i="1" a="1"/>
  <c r="CP197" i="1" s="1"/>
  <c r="CP239" i="1" a="1"/>
  <c r="CP239" i="1" s="1"/>
  <c r="CP274" i="1" a="1"/>
  <c r="CP274" i="1" s="1"/>
  <c r="CE274" i="1" s="1"/>
  <c r="CP302" i="1" a="1"/>
  <c r="CP302" i="1" s="1"/>
  <c r="BW302" i="1" s="1"/>
  <c r="CP290" i="1" a="1"/>
  <c r="CP290" i="1" s="1"/>
  <c r="CD290" i="1" s="1"/>
  <c r="CP28" i="1" a="1"/>
  <c r="CP28" i="1" s="1"/>
  <c r="CP44" i="1" a="1"/>
  <c r="CP44" i="1" s="1"/>
  <c r="CP66" i="1" a="1"/>
  <c r="CP66" i="1" s="1"/>
  <c r="CP78" i="1" a="1"/>
  <c r="CP78" i="1" s="1"/>
  <c r="CP96" i="1" a="1"/>
  <c r="CP96" i="1" s="1"/>
  <c r="CP113" i="1" a="1"/>
  <c r="CP113" i="1" s="1"/>
  <c r="CP138" i="1" a="1"/>
  <c r="CP138" i="1" s="1"/>
  <c r="CP162" i="1" a="1"/>
  <c r="CP162" i="1" s="1"/>
  <c r="CP195" i="1" a="1"/>
  <c r="CP195" i="1" s="1"/>
  <c r="CP223" i="1" a="1"/>
  <c r="CP223" i="1" s="1"/>
  <c r="CP222" i="1" a="1"/>
  <c r="CP222" i="1" s="1"/>
  <c r="BS222" i="1" s="1"/>
  <c r="CP256" i="1" a="1"/>
  <c r="CP256" i="1" s="1"/>
  <c r="CP260" i="1" a="1"/>
  <c r="CP260" i="1" s="1"/>
  <c r="CD260" i="1" s="1"/>
  <c r="CP283" i="1" a="1"/>
  <c r="CP283" i="1" s="1"/>
  <c r="CP42" i="1" a="1"/>
  <c r="CP42" i="1" s="1"/>
  <c r="CP48" i="1" a="1"/>
  <c r="CP48" i="1" s="1"/>
  <c r="CP81" i="1" a="1"/>
  <c r="CP81" i="1" s="1"/>
  <c r="CG81" i="1" s="1"/>
  <c r="CP94" i="1" a="1"/>
  <c r="CP94" i="1" s="1"/>
  <c r="CP122" i="1" a="1"/>
  <c r="CP122" i="1" s="1"/>
  <c r="CP120" i="1" a="1"/>
  <c r="CP120" i="1" s="1"/>
  <c r="CP157" i="1" a="1"/>
  <c r="CP157" i="1" s="1"/>
  <c r="CP183" i="1" a="1"/>
  <c r="CP183" i="1" s="1"/>
  <c r="CP186" i="1" a="1"/>
  <c r="CP186" i="1" s="1"/>
  <c r="CP216" i="1" a="1"/>
  <c r="CP216" i="1" s="1"/>
  <c r="CP250" i="1" a="1"/>
  <c r="CP250" i="1" s="1"/>
  <c r="CP240" i="1" a="1"/>
  <c r="CP240" i="1" s="1"/>
  <c r="CP288" i="1" a="1"/>
  <c r="CP288" i="1" s="1"/>
  <c r="CP27" i="1" a="1"/>
  <c r="CP27" i="1" s="1"/>
  <c r="CP36" i="1" a="1"/>
  <c r="CP36" i="1" s="1"/>
  <c r="CP71" i="1" a="1"/>
  <c r="CP71" i="1" s="1"/>
  <c r="CP99" i="1" a="1"/>
  <c r="CP99" i="1" s="1"/>
  <c r="BW99" i="1" s="1"/>
  <c r="CP101" i="1" a="1"/>
  <c r="CP101" i="1" s="1"/>
  <c r="CP109" i="1" a="1"/>
  <c r="CP109" i="1" s="1"/>
  <c r="CP150" i="1" a="1"/>
  <c r="CP150" i="1" s="1"/>
  <c r="CP166" i="1" a="1"/>
  <c r="CP166" i="1" s="1"/>
  <c r="CP192" i="1" a="1"/>
  <c r="CP192" i="1" s="1"/>
  <c r="CP224" i="1" a="1"/>
  <c r="CP224" i="1" s="1"/>
  <c r="CP267" i="1" a="1"/>
  <c r="CP267" i="1" s="1"/>
  <c r="CP309" i="1" a="1"/>
  <c r="CP309" i="1" s="1"/>
  <c r="CC309" i="1" s="1"/>
  <c r="CP278" i="1" a="1"/>
  <c r="CP278" i="1" s="1"/>
  <c r="CC278" i="1" s="1"/>
  <c r="CP279" i="1" a="1"/>
  <c r="CP279" i="1" s="1"/>
  <c r="CP287" i="1" a="1"/>
  <c r="CP287" i="1" s="1"/>
  <c r="CP307" i="1" a="1"/>
  <c r="CP307" i="1" s="1"/>
  <c r="CP236" i="1" a="1"/>
  <c r="CP236" i="1" s="1"/>
  <c r="CP194" i="1" a="1"/>
  <c r="CP194" i="1" s="1"/>
  <c r="CP164" i="1" a="1"/>
  <c r="CP164" i="1" s="1"/>
  <c r="CP115" i="1" a="1"/>
  <c r="CP115" i="1" s="1"/>
  <c r="CP91" i="1" a="1"/>
  <c r="CP91" i="1" s="1"/>
  <c r="BX91" i="1" s="1"/>
  <c r="CP54" i="1" a="1"/>
  <c r="CP54" i="1" s="1"/>
  <c r="CP21" i="1" a="1"/>
  <c r="CP21" i="1" s="1"/>
  <c r="CP282" i="1" a="1"/>
  <c r="CP282" i="1" s="1"/>
  <c r="CG282" i="1" s="1"/>
  <c r="CP303" i="1" a="1"/>
  <c r="CP303" i="1" s="1"/>
  <c r="CP214" i="1" a="1"/>
  <c r="CP214" i="1" s="1"/>
  <c r="CP181" i="1" a="1"/>
  <c r="CP181" i="1" s="1"/>
  <c r="CP144" i="1" a="1"/>
  <c r="CP144" i="1" s="1"/>
  <c r="CP116" i="1" a="1"/>
  <c r="CP116" i="1" s="1"/>
  <c r="CE116" i="1" s="1"/>
  <c r="CP73" i="1" a="1"/>
  <c r="CP73" i="1" s="1"/>
  <c r="CP34" i="1" a="1"/>
  <c r="CP34" i="1" s="1"/>
  <c r="CP311" i="1" a="1"/>
  <c r="CP311" i="1" s="1"/>
  <c r="CP259" i="1" a="1"/>
  <c r="CP259" i="1" s="1"/>
  <c r="CP205" i="1" a="1"/>
  <c r="CP205" i="1" s="1"/>
  <c r="CE205" i="1" s="1"/>
  <c r="CP178" i="1" a="1"/>
  <c r="CP178" i="1" s="1"/>
  <c r="CP141" i="1" a="1"/>
  <c r="CP141" i="1" s="1"/>
  <c r="BZ141" i="1" s="1"/>
  <c r="CP102" i="1" a="1"/>
  <c r="CP102" i="1" s="1"/>
  <c r="CP70" i="1" a="1"/>
  <c r="CP70" i="1" s="1"/>
  <c r="CP33" i="1" a="1"/>
  <c r="CP33" i="1" s="1"/>
  <c r="CP294" i="1" a="1"/>
  <c r="CP294" i="1" s="1"/>
  <c r="CP262" i="1" a="1"/>
  <c r="CP262" i="1" s="1"/>
  <c r="CP218" i="1" a="1"/>
  <c r="CP218" i="1" s="1"/>
  <c r="CP201" i="1" a="1"/>
  <c r="CP201" i="1" s="1"/>
  <c r="BY201" i="1" s="1"/>
  <c r="CP140" i="1" a="1"/>
  <c r="CP140" i="1" s="1"/>
  <c r="CP125" i="1" a="1"/>
  <c r="CP125" i="1" s="1"/>
  <c r="CC125" i="1" s="1"/>
  <c r="CP76" i="1" a="1"/>
  <c r="CP76" i="1" s="1"/>
  <c r="CP52" i="1" a="1"/>
  <c r="CP52" i="1" s="1"/>
  <c r="CP232" i="1" a="1"/>
  <c r="CP232" i="1" s="1"/>
  <c r="CP251" i="1" a="1"/>
  <c r="CP251" i="1" s="1"/>
  <c r="CC251" i="1" s="1"/>
  <c r="CP226" i="1" a="1"/>
  <c r="CP226" i="1" s="1"/>
  <c r="CP182" i="1" a="1"/>
  <c r="CP182" i="1" s="1"/>
  <c r="CP139" i="1" a="1"/>
  <c r="CP139" i="1" s="1"/>
  <c r="CP98" i="1" a="1"/>
  <c r="CP98" i="1" s="1"/>
  <c r="CP69" i="1" a="1"/>
  <c r="CP69" i="1" s="1"/>
  <c r="CP31" i="1" a="1"/>
  <c r="CP31" i="1" s="1"/>
  <c r="CP298" i="1" a="1"/>
  <c r="CP298" i="1" s="1"/>
  <c r="CP237" i="1" a="1"/>
  <c r="CP237" i="1" s="1"/>
  <c r="BS237" i="1" s="1"/>
  <c r="CP264" i="1" a="1"/>
  <c r="CP264" i="1" s="1"/>
  <c r="CP185" i="1" a="1"/>
  <c r="CP185" i="1" s="1"/>
  <c r="CP159" i="1" a="1"/>
  <c r="CP159" i="1" s="1"/>
  <c r="CP136" i="1" a="1"/>
  <c r="CP136" i="1" s="1"/>
  <c r="CP95" i="1" a="1"/>
  <c r="CP95" i="1" s="1"/>
  <c r="CP60" i="1" a="1"/>
  <c r="CP60" i="1" s="1"/>
  <c r="CE60" i="1" s="1"/>
  <c r="CP241" i="1" a="1"/>
  <c r="CP241" i="1" s="1"/>
  <c r="CP254" i="1" a="1"/>
  <c r="CP254" i="1" s="1"/>
  <c r="CP203" i="1" a="1"/>
  <c r="CP203" i="1" s="1"/>
  <c r="CP176" i="1" a="1"/>
  <c r="CP176" i="1" s="1"/>
  <c r="CP148" i="1" a="1"/>
  <c r="CP148" i="1" s="1"/>
  <c r="BS148" i="1" s="1"/>
  <c r="CP111" i="1" a="1"/>
  <c r="CP111" i="1" s="1"/>
  <c r="CP67" i="1" a="1"/>
  <c r="CP67" i="1" s="1"/>
  <c r="CP35" i="1" a="1"/>
  <c r="CP35" i="1" s="1"/>
  <c r="CP238" i="1" a="1"/>
  <c r="CP238" i="1" s="1"/>
  <c r="CP253" i="1" a="1"/>
  <c r="CP253" i="1" s="1"/>
  <c r="CP213" i="1" a="1"/>
  <c r="CP213" i="1" s="1"/>
  <c r="CP172" i="1" a="1"/>
  <c r="CP172" i="1" s="1"/>
  <c r="BX172" i="1" s="1"/>
  <c r="CP145" i="1" a="1"/>
  <c r="CP145" i="1" s="1"/>
  <c r="CP108" i="1" a="1"/>
  <c r="CP108" i="1" s="1"/>
  <c r="CP63" i="1" a="1"/>
  <c r="CP63" i="1" s="1"/>
  <c r="CP32" i="1" a="1"/>
  <c r="CP32" i="1" s="1"/>
  <c r="CP308" i="1" a="1"/>
  <c r="CP308" i="1" s="1"/>
  <c r="CP258" i="1" a="1"/>
  <c r="CP258" i="1" s="1"/>
  <c r="CP230" i="1" a="1"/>
  <c r="CP230" i="1" s="1"/>
  <c r="CP175" i="1" a="1"/>
  <c r="CP175" i="1" s="1"/>
  <c r="CP156" i="1" a="1"/>
  <c r="CP156" i="1" s="1"/>
  <c r="CP104" i="1" a="1"/>
  <c r="CP104" i="1" s="1"/>
  <c r="CP64" i="1" a="1"/>
  <c r="CP64" i="1" s="1"/>
  <c r="CP51" i="1" a="1"/>
  <c r="CP51" i="1" s="1"/>
  <c r="CE51" i="1" s="1"/>
  <c r="CP293" i="1" a="1"/>
  <c r="CP293" i="1" s="1"/>
  <c r="CP263" i="1" a="1"/>
  <c r="CP263" i="1" s="1"/>
  <c r="CP242" i="1" a="1"/>
  <c r="CP242" i="1" s="1"/>
  <c r="CP200" i="1" a="1"/>
  <c r="CP200" i="1" s="1"/>
  <c r="CP169" i="1" a="1"/>
  <c r="CP169" i="1" s="1"/>
  <c r="CP126" i="1" a="1"/>
  <c r="CP126" i="1" s="1"/>
  <c r="CP97" i="1" a="1"/>
  <c r="CP97" i="1" s="1"/>
  <c r="CP62" i="1" a="1"/>
  <c r="CP62" i="1" s="1"/>
  <c r="CP313" i="1" a="1"/>
  <c r="CP313" i="1" s="1"/>
  <c r="CP271" i="1" a="1"/>
  <c r="CP271" i="1" s="1"/>
  <c r="CP221" i="1" a="1"/>
  <c r="CP221" i="1" s="1"/>
  <c r="CP211" i="1" a="1"/>
  <c r="CP211" i="1" s="1"/>
  <c r="CP149" i="1" a="1"/>
  <c r="CP149" i="1" s="1"/>
  <c r="CP121" i="1" a="1"/>
  <c r="CP121" i="1" s="1"/>
  <c r="CP75" i="1" a="1"/>
  <c r="CP75" i="1" s="1"/>
  <c r="CP41" i="1" a="1"/>
  <c r="CP41" i="1" s="1"/>
  <c r="CE41" i="1" s="1"/>
  <c r="CP272" i="1" a="1"/>
  <c r="CP272" i="1" s="1"/>
  <c r="CP248" i="1" a="1"/>
  <c r="CP248" i="1" s="1"/>
  <c r="CP207" i="1" a="1"/>
  <c r="CP207" i="1" s="1"/>
  <c r="CP174" i="1" a="1"/>
  <c r="CP174" i="1" s="1"/>
  <c r="CP135" i="1" a="1"/>
  <c r="CP135" i="1" s="1"/>
  <c r="CP103" i="1" a="1"/>
  <c r="CP103" i="1" s="1"/>
  <c r="CP61" i="1" a="1"/>
  <c r="CP61" i="1" s="1"/>
  <c r="CP25" i="1" a="1"/>
  <c r="CP25" i="1" s="1"/>
  <c r="CE25" i="1" s="1"/>
  <c r="CP299" i="1" a="1"/>
  <c r="CP299" i="1" s="1"/>
  <c r="CP269" i="1" a="1"/>
  <c r="CP269" i="1" s="1"/>
  <c r="CP247" i="1" a="1"/>
  <c r="CP247" i="1" s="1"/>
  <c r="CP190" i="1" a="1"/>
  <c r="CP190" i="1" s="1"/>
  <c r="CP171" i="1" a="1"/>
  <c r="CP171" i="1" s="1"/>
  <c r="CP134" i="1" a="1"/>
  <c r="CP134" i="1" s="1"/>
  <c r="CP93" i="1" a="1"/>
  <c r="CP93" i="1" s="1"/>
  <c r="BY93" i="1" s="1"/>
  <c r="CP74" i="1" a="1"/>
  <c r="CP74" i="1" s="1"/>
  <c r="BY74" i="1" s="1"/>
  <c r="CP24" i="1" a="1"/>
  <c r="CP24" i="1" s="1"/>
  <c r="CP235" i="1" a="1"/>
  <c r="CP235" i="1" s="1"/>
  <c r="CP252" i="1" a="1"/>
  <c r="CP252" i="1" s="1"/>
  <c r="CP229" i="1" a="1"/>
  <c r="CP229" i="1" s="1"/>
  <c r="CP168" i="1" a="1"/>
  <c r="CP168" i="1" s="1"/>
  <c r="CP142" i="1" a="1"/>
  <c r="CP142" i="1" s="1"/>
  <c r="CP105" i="1" a="1"/>
  <c r="CP105" i="1" s="1"/>
  <c r="CP72" i="1" a="1"/>
  <c r="CP72" i="1" s="1"/>
  <c r="CP26" i="1" a="1"/>
  <c r="CP26" i="1" s="1"/>
  <c r="CP310" i="1" a="1"/>
  <c r="CP310" i="1" s="1"/>
  <c r="CP243" i="1" a="1"/>
  <c r="CP243" i="1" s="1"/>
  <c r="CP270" i="1" a="1"/>
  <c r="CP270" i="1" s="1"/>
  <c r="CB270" i="1" s="1"/>
  <c r="CP189" i="1" a="1"/>
  <c r="CP189" i="1" s="1"/>
  <c r="CP155" i="1" a="1"/>
  <c r="CP155" i="1" s="1"/>
  <c r="CP112" i="1" a="1"/>
  <c r="CP112" i="1" s="1"/>
  <c r="CG112" i="1" s="1"/>
  <c r="CP79" i="1" a="1"/>
  <c r="CP79" i="1" s="1"/>
  <c r="CP49" i="1" a="1"/>
  <c r="CP49" i="1" s="1"/>
  <c r="CP285" i="1" a="1"/>
  <c r="CP285" i="1" s="1"/>
  <c r="CP306" i="1" a="1"/>
  <c r="CP306" i="1" s="1"/>
  <c r="BS306" i="1" s="1"/>
  <c r="CP215" i="1" a="1"/>
  <c r="CP215" i="1" s="1"/>
  <c r="BT215" i="1" s="1"/>
  <c r="CP184" i="1" a="1"/>
  <c r="CP184" i="1" s="1"/>
  <c r="CP147" i="1" a="1"/>
  <c r="CP147" i="1" s="1"/>
  <c r="CP119" i="1" a="1"/>
  <c r="CP119" i="1" s="1"/>
  <c r="CP77" i="1" a="1"/>
  <c r="CP77" i="1" s="1"/>
  <c r="CP38" i="1" a="1"/>
  <c r="CP38" i="1" s="1"/>
  <c r="CP284" i="1" a="1"/>
  <c r="CP284" i="1" s="1"/>
  <c r="CP304" i="1" a="1"/>
  <c r="CP304" i="1" s="1"/>
  <c r="BZ304" i="1" s="1"/>
  <c r="CP233" i="1" a="1"/>
  <c r="CP233" i="1" s="1"/>
  <c r="CP191" i="1" a="1"/>
  <c r="CP191" i="1" s="1"/>
  <c r="CP161" i="1" a="1"/>
  <c r="CP161" i="1" s="1"/>
  <c r="CD161" i="1" s="1"/>
  <c r="CP123" i="1" a="1"/>
  <c r="CP123" i="1" s="1"/>
  <c r="BY123" i="1" s="1"/>
  <c r="CP88" i="1" a="1"/>
  <c r="CP88" i="1" s="1"/>
  <c r="CP53" i="1" a="1"/>
  <c r="CP53" i="1" s="1"/>
  <c r="CP22" i="1" a="1"/>
  <c r="CP22" i="1" s="1"/>
  <c r="CP281" i="1" a="1"/>
  <c r="CP281" i="1" s="1"/>
  <c r="CP301" i="1" a="1"/>
  <c r="CP301" i="1" s="1"/>
  <c r="CP276" i="1" a="1"/>
  <c r="CP276" i="1" s="1"/>
  <c r="CP209" i="1" a="1"/>
  <c r="CP209" i="1" s="1"/>
  <c r="CP158" i="1" a="1"/>
  <c r="CP158" i="1" s="1"/>
  <c r="CP107" i="1" a="1"/>
  <c r="CP107" i="1" s="1"/>
  <c r="CP85" i="1" a="1"/>
  <c r="CP85" i="1" s="1"/>
  <c r="CP46" i="1" a="1"/>
  <c r="CP46" i="1" s="1"/>
  <c r="CP296" i="1" a="1"/>
  <c r="CP296" i="1" s="1"/>
  <c r="CP266" i="1" a="1"/>
  <c r="CP266" i="1" s="1"/>
  <c r="CP245" i="1" a="1"/>
  <c r="CP245" i="1" s="1"/>
  <c r="BX245" i="1" s="1"/>
  <c r="CP187" i="1" a="1"/>
  <c r="CP187" i="1" s="1"/>
  <c r="CP170" i="1" a="1"/>
  <c r="CP170" i="1" s="1"/>
  <c r="CC170" i="1" s="1"/>
  <c r="CP129" i="1" a="1"/>
  <c r="CP129" i="1" s="1"/>
  <c r="CP100" i="1" a="1"/>
  <c r="CP100" i="1" s="1"/>
  <c r="CP59" i="1" a="1"/>
  <c r="CP59" i="1" s="1"/>
  <c r="CP23" i="1" a="1"/>
  <c r="CP23" i="1" s="1"/>
  <c r="CP286" i="1" a="1"/>
  <c r="CP286" i="1" s="1"/>
  <c r="CP277" i="1" a="1"/>
  <c r="CP277" i="1" s="1"/>
  <c r="CP225" i="1" a="1"/>
  <c r="CP225" i="1" s="1"/>
  <c r="CP193" i="1" a="1"/>
  <c r="CP193" i="1" s="1"/>
  <c r="CP160" i="1" a="1"/>
  <c r="CP160" i="1" s="1"/>
  <c r="CP124" i="1" a="1"/>
  <c r="CP124" i="1" s="1"/>
  <c r="CD124" i="1" s="1"/>
  <c r="CP82" i="1" a="1"/>
  <c r="CP82" i="1" s="1"/>
  <c r="BS82" i="1" s="1"/>
  <c r="CP47" i="1" a="1"/>
  <c r="CP47" i="1" s="1"/>
  <c r="CP29" i="1" a="1"/>
  <c r="CP29" i="1" s="1"/>
  <c r="CP244" i="1" a="1"/>
  <c r="CP244" i="1" s="1"/>
  <c r="BZ244" i="1" s="1"/>
  <c r="CP255" i="1" a="1"/>
  <c r="CP255" i="1" s="1"/>
  <c r="CP204" i="1" a="1"/>
  <c r="CP204" i="1" s="1"/>
  <c r="CF204" i="1" s="1"/>
  <c r="CP179" i="1" a="1"/>
  <c r="CP179" i="1" s="1"/>
  <c r="CA179" i="1" s="1"/>
  <c r="CP151" i="1" a="1"/>
  <c r="CP151" i="1" s="1"/>
  <c r="CP114" i="1" a="1"/>
  <c r="CP114" i="1" s="1"/>
  <c r="CP68" i="1" a="1"/>
  <c r="CP68" i="1" s="1"/>
  <c r="CP37" i="1" a="1"/>
  <c r="CP37" i="1" s="1"/>
  <c r="CA37" i="1" s="1"/>
  <c r="CP295" i="1" a="1"/>
  <c r="CP295" i="1" s="1"/>
  <c r="BW295" i="1" s="1"/>
  <c r="CP234" i="1" a="1"/>
  <c r="CP234" i="1" s="1"/>
  <c r="CP261" i="1" a="1"/>
  <c r="CP261" i="1" s="1"/>
  <c r="CP202" i="1" a="1"/>
  <c r="CP202" i="1" s="1"/>
  <c r="CP167" i="1" a="1"/>
  <c r="CP167" i="1" s="1"/>
  <c r="CP133" i="1" a="1"/>
  <c r="CP133" i="1" s="1"/>
  <c r="CP92" i="1" a="1"/>
  <c r="CP92" i="1" s="1"/>
  <c r="CP56" i="1" a="1"/>
  <c r="CP56" i="1" s="1"/>
  <c r="CP292" i="1" a="1"/>
  <c r="CP292" i="1" s="1"/>
  <c r="CP231" i="1" a="1"/>
  <c r="CP231" i="1" s="1"/>
  <c r="CP212" i="1" a="1"/>
  <c r="CP212" i="1" s="1"/>
  <c r="CP199" i="1" a="1"/>
  <c r="CP199" i="1" s="1"/>
  <c r="CP154" i="1" a="1"/>
  <c r="CP154" i="1" s="1"/>
  <c r="CP130" i="1" a="1"/>
  <c r="CP130" i="1" s="1"/>
  <c r="CP89" i="1" a="1"/>
  <c r="CP89" i="1" s="1"/>
  <c r="CP55" i="1" a="1"/>
  <c r="CP55" i="1" s="1"/>
  <c r="CP314" i="1" a="1"/>
  <c r="CP314" i="1" s="1"/>
  <c r="BY314" i="1" s="1"/>
  <c r="CP246" i="1" a="1"/>
  <c r="CP246" i="1" s="1"/>
  <c r="CP273" i="1" a="1"/>
  <c r="CP273" i="1" s="1"/>
  <c r="CP206" i="1" a="1"/>
  <c r="CP206" i="1" s="1"/>
  <c r="BW206" i="1" s="1"/>
  <c r="CP165" i="1" a="1"/>
  <c r="CP165" i="1" s="1"/>
  <c r="BT165" i="1" s="1"/>
  <c r="CP117" i="1" a="1"/>
  <c r="CP117" i="1" s="1"/>
  <c r="CP83" i="1" a="1"/>
  <c r="CP83" i="1" s="1"/>
  <c r="CP57" i="1" a="1"/>
  <c r="CP57" i="1" s="1"/>
  <c r="CP291" i="1" a="1"/>
  <c r="CP291" i="1" s="1"/>
  <c r="CP312" i="1" a="1"/>
  <c r="CP312" i="1" s="1"/>
  <c r="CP217" i="1" a="1"/>
  <c r="CP217" i="1" s="1"/>
  <c r="CP198" i="1" a="1"/>
  <c r="CP198" i="1" s="1"/>
  <c r="CP137" i="1" a="1"/>
  <c r="CP137" i="1" s="1"/>
  <c r="CP110" i="1" a="1"/>
  <c r="CP110" i="1" s="1"/>
  <c r="CP84" i="1" a="1"/>
  <c r="CP84" i="1" s="1"/>
  <c r="CP45" i="1" a="1"/>
  <c r="CP45" i="1" s="1"/>
  <c r="BT45" i="1" s="1"/>
  <c r="CP275" i="1" a="1"/>
  <c r="CP275" i="1" s="1"/>
  <c r="CP249" i="1" a="1"/>
  <c r="CP249" i="1" s="1"/>
  <c r="CP210" i="1" a="1"/>
  <c r="CP210" i="1" s="1"/>
  <c r="CP177" i="1" a="1"/>
  <c r="CP177" i="1" s="1"/>
  <c r="CP152" i="1" a="1"/>
  <c r="CP152" i="1" s="1"/>
  <c r="CP106" i="1" a="1"/>
  <c r="CP106" i="1" s="1"/>
  <c r="CP65" i="1" a="1"/>
  <c r="CP65" i="1" s="1"/>
  <c r="CP30" i="1" a="1"/>
  <c r="CP30" i="1" s="1"/>
  <c r="CP300" i="1" a="1"/>
  <c r="CP300" i="1" s="1"/>
  <c r="BX300" i="1" s="1"/>
  <c r="CP268" i="1" a="1"/>
  <c r="CP268" i="1" s="1"/>
  <c r="CP220" i="1" a="1"/>
  <c r="CP220" i="1" s="1"/>
  <c r="BX220" i="1" s="1"/>
  <c r="CP208" i="1" a="1"/>
  <c r="CP208" i="1" s="1"/>
  <c r="CP146" i="1" a="1"/>
  <c r="CP146" i="1" s="1"/>
  <c r="CP131" i="1" a="1"/>
  <c r="CP131" i="1" s="1"/>
  <c r="CP90" i="1" a="1"/>
  <c r="CP90" i="1" s="1"/>
  <c r="CP40" i="1" a="1"/>
  <c r="CP40" i="1" s="1"/>
  <c r="CP297" i="1" a="1"/>
  <c r="CP297" i="1" s="1"/>
  <c r="CC297" i="1" s="1"/>
  <c r="CP265" i="1" a="1"/>
  <c r="CP265" i="1" s="1"/>
  <c r="CP219" i="1" a="1"/>
  <c r="CP219" i="1" s="1"/>
  <c r="CP188" i="1" a="1"/>
  <c r="CP188" i="1" s="1"/>
  <c r="BZ188" i="1" s="1"/>
  <c r="CP143" i="1" a="1"/>
  <c r="CP143" i="1" s="1"/>
  <c r="BV143" i="1" s="1"/>
  <c r="CP128" i="1" a="1"/>
  <c r="CP128" i="1" s="1"/>
  <c r="CP87" i="1" a="1"/>
  <c r="CP87" i="1" s="1"/>
  <c r="CP39" i="1" a="1"/>
  <c r="CP39" i="1" s="1"/>
  <c r="CP289" i="1" a="1"/>
  <c r="CP289" i="1" s="1"/>
  <c r="CP280" i="1" a="1"/>
  <c r="CP280" i="1" s="1"/>
  <c r="CP228" i="1" a="1"/>
  <c r="CP228" i="1" s="1"/>
  <c r="CP196" i="1" a="1"/>
  <c r="CP196" i="1" s="1"/>
  <c r="BT196" i="1" s="1"/>
  <c r="CP163" i="1" a="1"/>
  <c r="CP163" i="1" s="1"/>
  <c r="CP127" i="1" a="1"/>
  <c r="CP127" i="1" s="1"/>
  <c r="CP86" i="1" a="1"/>
  <c r="CP86" i="1" s="1"/>
  <c r="CA86" i="1" s="1"/>
  <c r="CP50" i="1" a="1"/>
  <c r="CP50" i="1" s="1"/>
  <c r="BZ50" i="1" s="1"/>
  <c r="CP305" i="1" a="1"/>
  <c r="CP305" i="1" s="1"/>
  <c r="CP257" i="1" a="1"/>
  <c r="CP257" i="1" s="1"/>
  <c r="CP227" i="1" a="1"/>
  <c r="CP227" i="1" s="1"/>
  <c r="CG227" i="1" s="1"/>
  <c r="CP173" i="1" a="1"/>
  <c r="CP173" i="1" s="1"/>
  <c r="CP153" i="1" a="1"/>
  <c r="CP153" i="1" s="1"/>
  <c r="CP118" i="1" a="1"/>
  <c r="CP118" i="1" s="1"/>
  <c r="CP80" i="1" a="1"/>
  <c r="CP80" i="1" s="1"/>
  <c r="CP43" i="1" a="1"/>
  <c r="CP43" i="1" s="1"/>
  <c r="BT43" i="1" s="1"/>
  <c r="CX87" i="1" a="1"/>
  <c r="CX87" i="1" s="1"/>
  <c r="CX314" i="1" a="1"/>
  <c r="CX314" i="1" s="1"/>
  <c r="CX216" i="1" a="1"/>
  <c r="CX216" i="1" s="1"/>
  <c r="CX135" i="1" a="1"/>
  <c r="CX135" i="1" s="1"/>
  <c r="CX128" i="1" a="1"/>
  <c r="CX128" i="1" s="1"/>
  <c r="CX177" i="1" a="1"/>
  <c r="CX177" i="1" s="1"/>
  <c r="CX236" i="1" a="1"/>
  <c r="CX236" i="1" s="1"/>
  <c r="CX204" i="1" a="1"/>
  <c r="CX204" i="1" s="1"/>
  <c r="CX251" i="1" a="1"/>
  <c r="CX251" i="1" s="1"/>
  <c r="CX164" i="1" a="1"/>
  <c r="CX164" i="1" s="1"/>
  <c r="CX65" i="1" a="1"/>
  <c r="CX65" i="1" s="1"/>
  <c r="CX313" i="1" a="1"/>
  <c r="CX313" i="1" s="1"/>
  <c r="CX117" i="1" a="1"/>
  <c r="CX117" i="1" s="1"/>
  <c r="CX60" i="1" a="1"/>
  <c r="CX60" i="1" s="1"/>
  <c r="CX150" i="1" a="1"/>
  <c r="CX150" i="1" s="1"/>
  <c r="CX195" i="1" a="1"/>
  <c r="CX195" i="1" s="1"/>
  <c r="CX140" i="1" a="1"/>
  <c r="CX140" i="1" s="1"/>
  <c r="CX51" i="1" a="1"/>
  <c r="CX51" i="1" s="1"/>
  <c r="CX264" i="1" a="1"/>
  <c r="CX264" i="1" s="1"/>
  <c r="CX199" i="1" a="1"/>
  <c r="CX199" i="1" s="1"/>
  <c r="CX306" i="1" a="1"/>
  <c r="CX306" i="1" s="1"/>
  <c r="CX219" i="1" a="1"/>
  <c r="CX219" i="1" s="1"/>
  <c r="CX52" i="1" a="1"/>
  <c r="CX52" i="1" s="1"/>
  <c r="CX305" i="1" a="1"/>
  <c r="CX305" i="1" s="1"/>
  <c r="BS292" i="1"/>
  <c r="BT292" i="1"/>
  <c r="BQ292" i="1"/>
  <c r="BR292" i="1"/>
  <c r="BP292" i="1"/>
  <c r="BO292" i="1"/>
  <c r="BO297" i="1"/>
  <c r="BP297" i="1"/>
  <c r="BQ297" i="1"/>
  <c r="BR297" i="1"/>
  <c r="BP314" i="1"/>
  <c r="BR314" i="1"/>
  <c r="BT314" i="1"/>
  <c r="BQ314" i="1"/>
  <c r="BO314" i="1"/>
  <c r="BP287" i="1"/>
  <c r="BR287" i="1"/>
  <c r="BQ287" i="1"/>
  <c r="BO287" i="1"/>
  <c r="BS287" i="1"/>
  <c r="BT287" i="1"/>
  <c r="BO306" i="1"/>
  <c r="BQ306" i="1"/>
  <c r="BP306" i="1"/>
  <c r="BT306" i="1"/>
  <c r="BR306" i="1"/>
  <c r="BS234" i="1"/>
  <c r="BT234" i="1"/>
  <c r="BR234" i="1"/>
  <c r="BQ234" i="1"/>
  <c r="BO234" i="1"/>
  <c r="BP234" i="1"/>
  <c r="BO267" i="1"/>
  <c r="BQ267" i="1"/>
  <c r="BS267" i="1"/>
  <c r="BT267" i="1"/>
  <c r="BP267" i="1"/>
  <c r="BR267" i="1"/>
  <c r="BR245" i="1"/>
  <c r="BS245" i="1"/>
  <c r="BQ245" i="1"/>
  <c r="BO245" i="1"/>
  <c r="BP245" i="1"/>
  <c r="BQ275" i="1"/>
  <c r="BS275" i="1"/>
  <c r="BO275" i="1"/>
  <c r="BP275" i="1"/>
  <c r="BR275" i="1"/>
  <c r="BT275" i="1"/>
  <c r="BR259" i="1"/>
  <c r="BO259" i="1"/>
  <c r="BP259" i="1"/>
  <c r="BT259" i="1"/>
  <c r="BQ259" i="1"/>
  <c r="BS259" i="1"/>
  <c r="BQ250" i="1"/>
  <c r="BS250" i="1"/>
  <c r="BR250" i="1"/>
  <c r="BO250" i="1"/>
  <c r="BP250" i="1"/>
  <c r="BT250" i="1"/>
  <c r="BQ301" i="1"/>
  <c r="BS301" i="1"/>
  <c r="BO301" i="1"/>
  <c r="BT301" i="1"/>
  <c r="BR301" i="1"/>
  <c r="BP301" i="1"/>
  <c r="BP241" i="1"/>
  <c r="BO241" i="1"/>
  <c r="BS241" i="1"/>
  <c r="BT241" i="1"/>
  <c r="BQ241" i="1"/>
  <c r="BR241" i="1"/>
  <c r="BP271" i="1"/>
  <c r="BS271" i="1"/>
  <c r="BO271" i="1"/>
  <c r="BQ271" i="1"/>
  <c r="BR271" i="1"/>
  <c r="BT271" i="1"/>
  <c r="BO220" i="1"/>
  <c r="BP220" i="1"/>
  <c r="BR220" i="1"/>
  <c r="BQ220" i="1"/>
  <c r="BP204" i="1"/>
  <c r="BO204" i="1"/>
  <c r="BT204" i="1"/>
  <c r="BQ204" i="1"/>
  <c r="BR204" i="1"/>
  <c r="BP213" i="1"/>
  <c r="BQ213" i="1"/>
  <c r="BR213" i="1"/>
  <c r="BO213" i="1"/>
  <c r="BS213" i="1"/>
  <c r="BT213" i="1"/>
  <c r="BS224" i="1"/>
  <c r="BQ224" i="1"/>
  <c r="BO224" i="1"/>
  <c r="BR224" i="1"/>
  <c r="BT224" i="1"/>
  <c r="BP224" i="1"/>
  <c r="BP198" i="1"/>
  <c r="BR198" i="1"/>
  <c r="BO198" i="1"/>
  <c r="BQ198" i="1"/>
  <c r="BS198" i="1"/>
  <c r="BT198" i="1"/>
  <c r="BT203" i="1"/>
  <c r="BP203" i="1"/>
  <c r="BR203" i="1"/>
  <c r="BO203" i="1"/>
  <c r="BS203" i="1"/>
  <c r="BQ203" i="1"/>
  <c r="BO192" i="1"/>
  <c r="BV192" i="1"/>
  <c r="BP192" i="1"/>
  <c r="BR192" i="1"/>
  <c r="BU192" i="1"/>
  <c r="BW192" i="1"/>
  <c r="BT192" i="1"/>
  <c r="BS192" i="1"/>
  <c r="BQ192" i="1"/>
  <c r="BO193" i="1"/>
  <c r="BQ193" i="1"/>
  <c r="BS193" i="1"/>
  <c r="BP193" i="1"/>
  <c r="BR193" i="1"/>
  <c r="BT193" i="1"/>
  <c r="BR169" i="1"/>
  <c r="BQ169" i="1"/>
  <c r="BT169" i="1"/>
  <c r="BS169" i="1"/>
  <c r="BO169" i="1"/>
  <c r="BP169" i="1"/>
  <c r="BP176" i="1"/>
  <c r="BQ176" i="1"/>
  <c r="BR176" i="1"/>
  <c r="BT176" i="1"/>
  <c r="BS176" i="1"/>
  <c r="BO176" i="1"/>
  <c r="BQ167" i="1"/>
  <c r="BT167" i="1"/>
  <c r="BO167" i="1"/>
  <c r="BR167" i="1"/>
  <c r="BS167" i="1"/>
  <c r="BP167" i="1"/>
  <c r="BQ158" i="1"/>
  <c r="BO158" i="1"/>
  <c r="BT158" i="1"/>
  <c r="BS158" i="1"/>
  <c r="BR158" i="1"/>
  <c r="BP158" i="1"/>
  <c r="BS162" i="1"/>
  <c r="BW162" i="1"/>
  <c r="BV162" i="1"/>
  <c r="BP162" i="1"/>
  <c r="BO162" i="1"/>
  <c r="BT162" i="1"/>
  <c r="BR162" i="1"/>
  <c r="BU162" i="1"/>
  <c r="BQ162" i="1"/>
  <c r="BP140" i="1"/>
  <c r="BO140" i="1"/>
  <c r="BU140" i="1"/>
  <c r="BR140" i="1"/>
  <c r="BQ140" i="1"/>
  <c r="BS140" i="1"/>
  <c r="BT140" i="1"/>
  <c r="BO138" i="1"/>
  <c r="BT138" i="1"/>
  <c r="BS138" i="1"/>
  <c r="BP138" i="1"/>
  <c r="BR138" i="1"/>
  <c r="BQ138" i="1"/>
  <c r="BO145" i="1"/>
  <c r="BR145" i="1"/>
  <c r="BS145" i="1"/>
  <c r="BT145" i="1"/>
  <c r="BQ145" i="1"/>
  <c r="BP145" i="1"/>
  <c r="BT119" i="1"/>
  <c r="BQ119" i="1"/>
  <c r="BS119" i="1"/>
  <c r="BR119" i="1"/>
  <c r="BP119" i="1"/>
  <c r="BO119" i="1"/>
  <c r="BP137" i="1"/>
  <c r="BQ137" i="1"/>
  <c r="BS137" i="1"/>
  <c r="BT137" i="1"/>
  <c r="BW137" i="1"/>
  <c r="BR137" i="1"/>
  <c r="BO137" i="1"/>
  <c r="BV137" i="1"/>
  <c r="BU137" i="1"/>
  <c r="BQ122" i="1"/>
  <c r="BW122" i="1"/>
  <c r="BP122" i="1"/>
  <c r="BR122" i="1"/>
  <c r="BT122" i="1"/>
  <c r="BS122" i="1"/>
  <c r="BO122" i="1"/>
  <c r="BO109" i="1"/>
  <c r="BP109" i="1"/>
  <c r="BS109" i="1"/>
  <c r="BT109" i="1"/>
  <c r="BQ109" i="1"/>
  <c r="BR109" i="1"/>
  <c r="BU109" i="1"/>
  <c r="BW109" i="1"/>
  <c r="BQ113" i="1"/>
  <c r="BT113" i="1"/>
  <c r="BR113" i="1"/>
  <c r="BP113" i="1"/>
  <c r="BS113" i="1"/>
  <c r="BO113" i="1"/>
  <c r="BQ114" i="1"/>
  <c r="BS114" i="1"/>
  <c r="BP114" i="1"/>
  <c r="BU114" i="1"/>
  <c r="BT114" i="1"/>
  <c r="BO114" i="1"/>
  <c r="BR114" i="1"/>
  <c r="BR103" i="1"/>
  <c r="BS103" i="1"/>
  <c r="BO103" i="1"/>
  <c r="BQ103" i="1"/>
  <c r="BP103" i="1"/>
  <c r="BT103" i="1"/>
  <c r="BQ88" i="1"/>
  <c r="BR88" i="1"/>
  <c r="BT88" i="1"/>
  <c r="BO88" i="1"/>
  <c r="BS88" i="1"/>
  <c r="BP88" i="1"/>
  <c r="BO75" i="1"/>
  <c r="BS75" i="1"/>
  <c r="BQ75" i="1"/>
  <c r="BT75" i="1"/>
  <c r="BR75" i="1"/>
  <c r="BP75" i="1"/>
  <c r="BT79" i="1"/>
  <c r="BP79" i="1"/>
  <c r="BS79" i="1"/>
  <c r="BQ79" i="1"/>
  <c r="BR79" i="1"/>
  <c r="BO79" i="1"/>
  <c r="BS77" i="1"/>
  <c r="BQ77" i="1"/>
  <c r="BT77" i="1"/>
  <c r="BO77" i="1"/>
  <c r="BP77" i="1"/>
  <c r="BR77" i="1"/>
  <c r="BO72" i="1"/>
  <c r="BR72" i="1"/>
  <c r="BS72" i="1"/>
  <c r="BT72" i="1"/>
  <c r="BP72" i="1"/>
  <c r="BQ72" i="1"/>
  <c r="BO59" i="1"/>
  <c r="BQ59" i="1"/>
  <c r="BT59" i="1"/>
  <c r="BU59" i="1"/>
  <c r="BW59" i="1"/>
  <c r="BS59" i="1"/>
  <c r="BP59" i="1"/>
  <c r="BV59" i="1"/>
  <c r="BR59" i="1"/>
  <c r="BR49" i="1"/>
  <c r="BT49" i="1"/>
  <c r="BO49" i="1"/>
  <c r="BS49" i="1"/>
  <c r="BP49" i="1"/>
  <c r="BQ49" i="1"/>
  <c r="BO46" i="1"/>
  <c r="BR46" i="1"/>
  <c r="BT46" i="1"/>
  <c r="BU46" i="1"/>
  <c r="BQ46" i="1"/>
  <c r="BP46" i="1"/>
  <c r="BW46" i="1"/>
  <c r="BS46" i="1"/>
  <c r="BV46" i="1"/>
  <c r="BO42" i="1"/>
  <c r="BS42" i="1"/>
  <c r="BQ42" i="1"/>
  <c r="BP42" i="1"/>
  <c r="BT42" i="1"/>
  <c r="BR42" i="1"/>
  <c r="BU44" i="1"/>
  <c r="BQ44" i="1"/>
  <c r="BS44" i="1"/>
  <c r="BT44" i="1"/>
  <c r="BP44" i="1"/>
  <c r="BV44" i="1"/>
  <c r="BR44" i="1"/>
  <c r="BO44" i="1"/>
  <c r="BR28" i="1"/>
  <c r="BO28" i="1"/>
  <c r="BU28" i="1"/>
  <c r="BV28" i="1"/>
  <c r="BT28" i="1"/>
  <c r="BP28" i="1"/>
  <c r="BQ28" i="1"/>
  <c r="BW28" i="1"/>
  <c r="BS28" i="1"/>
  <c r="BQ22" i="1"/>
  <c r="BR22" i="1"/>
  <c r="BO22" i="1"/>
  <c r="BS22" i="1"/>
  <c r="BP22" i="1"/>
  <c r="BT22" i="1"/>
  <c r="CR82" i="1" a="1"/>
  <c r="CR82" i="1" s="1"/>
  <c r="CR124" i="1" a="1"/>
  <c r="CR124" i="1" s="1"/>
  <c r="CR148" i="1" a="1"/>
  <c r="CR148" i="1" s="1"/>
  <c r="CR199" i="1" a="1"/>
  <c r="CR199" i="1" s="1"/>
  <c r="CR225" i="1" a="1"/>
  <c r="CR225" i="1" s="1"/>
  <c r="CR252" i="1" a="1"/>
  <c r="CR252" i="1" s="1"/>
  <c r="CR290" i="1" a="1"/>
  <c r="CR290" i="1" s="1"/>
  <c r="CR39" i="1" a="1"/>
  <c r="CR39" i="1" s="1"/>
  <c r="CR65" i="1" a="1"/>
  <c r="CR65" i="1" s="1"/>
  <c r="CR95" i="1" a="1"/>
  <c r="CR95" i="1" s="1"/>
  <c r="CR132" i="1" a="1"/>
  <c r="CR132" i="1" s="1"/>
  <c r="CR180" i="1" a="1"/>
  <c r="CR180" i="1" s="1"/>
  <c r="CR216" i="1" a="1"/>
  <c r="CR216" i="1" s="1"/>
  <c r="CR236" i="1" a="1"/>
  <c r="CR236" i="1" s="1"/>
  <c r="CR312" i="1" a="1"/>
  <c r="CR312" i="1" s="1"/>
  <c r="CR31" i="1" a="1"/>
  <c r="CR31" i="1" s="1"/>
  <c r="CR64" i="1" a="1"/>
  <c r="CR64" i="1" s="1"/>
  <c r="CR106" i="1" a="1"/>
  <c r="CR106" i="1" s="1"/>
  <c r="CR140" i="1" a="1"/>
  <c r="CR140" i="1" s="1"/>
  <c r="CA140" i="1" s="1"/>
  <c r="CR171" i="1" a="1"/>
  <c r="CR171" i="1" s="1"/>
  <c r="CR224" i="1" a="1"/>
  <c r="CR224" i="1" s="1"/>
  <c r="BU224" i="1" s="1"/>
  <c r="CR269" i="1" a="1"/>
  <c r="CR269" i="1" s="1"/>
  <c r="CR243" i="1" a="1"/>
  <c r="CR243" i="1" s="1"/>
  <c r="CR22" i="1" a="1"/>
  <c r="CR22" i="1" s="1"/>
  <c r="CE22" i="1" s="1"/>
  <c r="CR60" i="1" a="1"/>
  <c r="CR60" i="1" s="1"/>
  <c r="CG60" i="1" s="1"/>
  <c r="CR102" i="1" a="1"/>
  <c r="CR102" i="1" s="1"/>
  <c r="CR141" i="1" a="1"/>
  <c r="CR141" i="1" s="1"/>
  <c r="CR183" i="1" a="1"/>
  <c r="CR183" i="1" s="1"/>
  <c r="CR208" i="1" a="1"/>
  <c r="CR208" i="1" s="1"/>
  <c r="CR307" i="1" a="1"/>
  <c r="CR307" i="1" s="1"/>
  <c r="CR279" i="1" a="1"/>
  <c r="CR279" i="1" s="1"/>
  <c r="CR24" i="1" a="1"/>
  <c r="CR24" i="1" s="1"/>
  <c r="CR62" i="1" a="1"/>
  <c r="CR62" i="1" s="1"/>
  <c r="CR101" i="1" a="1"/>
  <c r="CR101" i="1" s="1"/>
  <c r="CR121" i="1" a="1"/>
  <c r="CR121" i="1" s="1"/>
  <c r="CR167" i="1" a="1"/>
  <c r="CR167" i="1" s="1"/>
  <c r="CF167" i="1" s="1"/>
  <c r="CR198" i="1" a="1"/>
  <c r="CR198" i="1" s="1"/>
  <c r="CF198" i="1" s="1"/>
  <c r="CR238" i="1" a="1"/>
  <c r="CR238" i="1" s="1"/>
  <c r="CR264" i="1" a="1"/>
  <c r="CR264" i="1" s="1"/>
  <c r="CR289" i="1" a="1"/>
  <c r="CR289" i="1" s="1"/>
  <c r="CR58" i="1" a="1"/>
  <c r="CR58" i="1" s="1"/>
  <c r="CR75" i="1" a="1"/>
  <c r="CR75" i="1" s="1"/>
  <c r="CF75" i="1" s="1"/>
  <c r="CR125" i="1" a="1"/>
  <c r="CR125" i="1" s="1"/>
  <c r="CR160" i="1" a="1"/>
  <c r="CR160" i="1" s="1"/>
  <c r="CR203" i="1" a="1"/>
  <c r="CR203" i="1" s="1"/>
  <c r="CC203" i="1" s="1"/>
  <c r="CR271" i="1" a="1"/>
  <c r="CR271" i="1" s="1"/>
  <c r="CB271" i="1" s="1"/>
  <c r="CR254" i="1" a="1"/>
  <c r="CR254" i="1" s="1"/>
  <c r="CR297" i="1" a="1"/>
  <c r="CR297" i="1" s="1"/>
  <c r="CF297" i="1" s="1"/>
  <c r="CR50" i="1" a="1"/>
  <c r="CR50" i="1" s="1"/>
  <c r="CR85" i="1" a="1"/>
  <c r="CR85" i="1" s="1"/>
  <c r="CR108" i="1" a="1"/>
  <c r="CR108" i="1" s="1"/>
  <c r="CR165" i="1" a="1"/>
  <c r="CR165" i="1" s="1"/>
  <c r="CR209" i="1" a="1"/>
  <c r="CR209" i="1" s="1"/>
  <c r="CR229" i="1" a="1"/>
  <c r="CR229" i="1" s="1"/>
  <c r="CR247" i="1" a="1"/>
  <c r="CR247" i="1" s="1"/>
  <c r="CR282" i="1" a="1"/>
  <c r="CR282" i="1" s="1"/>
  <c r="CR38" i="1" a="1"/>
  <c r="CR38" i="1" s="1"/>
  <c r="CR80" i="1" a="1"/>
  <c r="CR80" i="1" s="1"/>
  <c r="CR127" i="1" a="1"/>
  <c r="CR127" i="1" s="1"/>
  <c r="CR151" i="1" a="1"/>
  <c r="CR151" i="1" s="1"/>
  <c r="CR202" i="1" a="1"/>
  <c r="CR202" i="1" s="1"/>
  <c r="CR228" i="1" a="1"/>
  <c r="CR228" i="1" s="1"/>
  <c r="CR255" i="1" a="1"/>
  <c r="CR255" i="1" s="1"/>
  <c r="CR293" i="1" a="1"/>
  <c r="CR293" i="1" s="1"/>
  <c r="CR40" i="1" a="1"/>
  <c r="CR40" i="1" s="1"/>
  <c r="CR77" i="1" a="1"/>
  <c r="CR77" i="1" s="1"/>
  <c r="CD77" i="1" s="1"/>
  <c r="CR100" i="1" a="1"/>
  <c r="CR100" i="1" s="1"/>
  <c r="CR136" i="1" a="1"/>
  <c r="CR136" i="1" s="1"/>
  <c r="CR182" i="1" a="1"/>
  <c r="CR182" i="1" s="1"/>
  <c r="CR217" i="1" a="1"/>
  <c r="CR217" i="1" s="1"/>
  <c r="CR239" i="1" a="1"/>
  <c r="CR239" i="1" s="1"/>
  <c r="CR313" i="1" a="1"/>
  <c r="CR313" i="1" s="1"/>
  <c r="CR33" i="1" a="1"/>
  <c r="CR33" i="1" s="1"/>
  <c r="CR71" i="1" a="1"/>
  <c r="CR71" i="1" s="1"/>
  <c r="CR109" i="1" a="1"/>
  <c r="CR109" i="1" s="1"/>
  <c r="CD109" i="1" s="1"/>
  <c r="CR143" i="1" a="1"/>
  <c r="CR143" i="1" s="1"/>
  <c r="CR168" i="1" a="1"/>
  <c r="CR168" i="1" s="1"/>
  <c r="CR227" i="1" a="1"/>
  <c r="CR227" i="1" s="1"/>
  <c r="CR272" i="1" a="1"/>
  <c r="CR272" i="1" s="1"/>
  <c r="CR246" i="1" a="1"/>
  <c r="CR246" i="1" s="1"/>
  <c r="CR28" i="1" a="1"/>
  <c r="CR28" i="1" s="1"/>
  <c r="CC28" i="1" s="1"/>
  <c r="CR67" i="1" a="1"/>
  <c r="CR67" i="1" s="1"/>
  <c r="CR92" i="1" a="1"/>
  <c r="CR92" i="1" s="1"/>
  <c r="CR144" i="1" a="1"/>
  <c r="CR144" i="1" s="1"/>
  <c r="CR175" i="1" a="1"/>
  <c r="CR175" i="1" s="1"/>
  <c r="CR211" i="1" a="1"/>
  <c r="CR211" i="1" s="1"/>
  <c r="CR310" i="1" a="1"/>
  <c r="CR310" i="1" s="1"/>
  <c r="CR231" i="1" a="1"/>
  <c r="CR231" i="1" s="1"/>
  <c r="CR26" i="1" a="1"/>
  <c r="CR26" i="1" s="1"/>
  <c r="CR57" i="1" a="1"/>
  <c r="CR57" i="1" s="1"/>
  <c r="CR105" i="1" a="1"/>
  <c r="CR105" i="1" s="1"/>
  <c r="CR122" i="1" a="1"/>
  <c r="CR122" i="1" s="1"/>
  <c r="CD122" i="1" s="1"/>
  <c r="CR170" i="1" a="1"/>
  <c r="CR170" i="1" s="1"/>
  <c r="CR201" i="1" a="1"/>
  <c r="CR201" i="1" s="1"/>
  <c r="CR241" i="1" a="1"/>
  <c r="CR241" i="1" s="1"/>
  <c r="CA241" i="1" s="1"/>
  <c r="CR267" i="1" a="1"/>
  <c r="CR267" i="1" s="1"/>
  <c r="CA267" i="1" s="1"/>
  <c r="CR292" i="1" a="1"/>
  <c r="CR292" i="1" s="1"/>
  <c r="CD292" i="1" s="1"/>
  <c r="CR55" i="1" a="1"/>
  <c r="CR55" i="1" s="1"/>
  <c r="CR87" i="1" a="1"/>
  <c r="CR87" i="1" s="1"/>
  <c r="CR128" i="1" a="1"/>
  <c r="CR128" i="1" s="1"/>
  <c r="CR163" i="1" a="1"/>
  <c r="CR163" i="1" s="1"/>
  <c r="CR188" i="1" a="1"/>
  <c r="CR188" i="1" s="1"/>
  <c r="CR274" i="1" a="1"/>
  <c r="CR274" i="1" s="1"/>
  <c r="CR256" i="1" a="1"/>
  <c r="CR256" i="1" s="1"/>
  <c r="CR300" i="1" a="1"/>
  <c r="CR300" i="1" s="1"/>
  <c r="CR52" i="1" a="1"/>
  <c r="CR52" i="1" s="1"/>
  <c r="CR88" i="1" a="1"/>
  <c r="CR88" i="1" s="1"/>
  <c r="CE88" i="1" s="1"/>
  <c r="CR110" i="1" a="1"/>
  <c r="CR110" i="1" s="1"/>
  <c r="CR158" i="1" a="1"/>
  <c r="CR158" i="1" s="1"/>
  <c r="CF158" i="1" s="1"/>
  <c r="CR191" i="1" a="1"/>
  <c r="CR191" i="1" s="1"/>
  <c r="CR205" i="1" a="1"/>
  <c r="CR205" i="1" s="1"/>
  <c r="CR248" i="1" a="1"/>
  <c r="CR248" i="1" s="1"/>
  <c r="CR285" i="1" a="1"/>
  <c r="CR285" i="1" s="1"/>
  <c r="CR42" i="1" a="1"/>
  <c r="CR42" i="1" s="1"/>
  <c r="CE42" i="1" s="1"/>
  <c r="CR86" i="1" a="1"/>
  <c r="CR86" i="1" s="1"/>
  <c r="CR130" i="1" a="1"/>
  <c r="CR130" i="1" s="1"/>
  <c r="CR152" i="1" a="1"/>
  <c r="CR152" i="1" s="1"/>
  <c r="CR184" i="1" a="1"/>
  <c r="CR184" i="1" s="1"/>
  <c r="CR204" i="1" a="1"/>
  <c r="CR204" i="1" s="1"/>
  <c r="CA204" i="1" s="1"/>
  <c r="CR258" i="1" a="1"/>
  <c r="CR258" i="1" s="1"/>
  <c r="CR296" i="1" a="1"/>
  <c r="CR296" i="1" s="1"/>
  <c r="CR35" i="1" a="1"/>
  <c r="CR35" i="1" s="1"/>
  <c r="CR81" i="1" a="1"/>
  <c r="CR81" i="1" s="1"/>
  <c r="CR117" i="1" a="1"/>
  <c r="CR117" i="1" s="1"/>
  <c r="CR139" i="1" a="1"/>
  <c r="CR139" i="1" s="1"/>
  <c r="CR185" i="1" a="1"/>
  <c r="CR185" i="1" s="1"/>
  <c r="CR219" i="1" a="1"/>
  <c r="CR219" i="1" s="1"/>
  <c r="CR242" i="1" a="1"/>
  <c r="CR242" i="1" s="1"/>
  <c r="CR281" i="1" a="1"/>
  <c r="CR281" i="1" s="1"/>
  <c r="CR36" i="1" a="1"/>
  <c r="CR36" i="1" s="1"/>
  <c r="CR70" i="1" a="1"/>
  <c r="CR70" i="1" s="1"/>
  <c r="CR112" i="1" a="1"/>
  <c r="CR112" i="1" s="1"/>
  <c r="CR146" i="1" a="1"/>
  <c r="CR146" i="1" s="1"/>
  <c r="CR172" i="1" a="1"/>
  <c r="CR172" i="1" s="1"/>
  <c r="CR230" i="1" a="1"/>
  <c r="CR230" i="1" s="1"/>
  <c r="CR275" i="1" a="1"/>
  <c r="CR275" i="1" s="1"/>
  <c r="CE275" i="1" s="1"/>
  <c r="CR303" i="1" a="1"/>
  <c r="CR303" i="1" s="1"/>
  <c r="CR25" i="1" a="1"/>
  <c r="CR25" i="1" s="1"/>
  <c r="BU25" i="1" s="1"/>
  <c r="CR68" i="1" a="1"/>
  <c r="CR68" i="1" s="1"/>
  <c r="CR96" i="1" a="1"/>
  <c r="CR96" i="1" s="1"/>
  <c r="CR147" i="1" a="1"/>
  <c r="CR147" i="1" s="1"/>
  <c r="CR178" i="1" a="1"/>
  <c r="CR178" i="1" s="1"/>
  <c r="CR215" i="1" a="1"/>
  <c r="CR215" i="1" s="1"/>
  <c r="CR260" i="1" a="1"/>
  <c r="CR260" i="1" s="1"/>
  <c r="CR234" i="1" a="1"/>
  <c r="CR234" i="1" s="1"/>
  <c r="BV234" i="1" s="1"/>
  <c r="CR27" i="1" a="1"/>
  <c r="CR27" i="1" s="1"/>
  <c r="CR66" i="1" a="1"/>
  <c r="CR66" i="1" s="1"/>
  <c r="CR93" i="1" a="1"/>
  <c r="CR93" i="1" s="1"/>
  <c r="CR153" i="1" a="1"/>
  <c r="CR153" i="1" s="1"/>
  <c r="CR176" i="1" a="1"/>
  <c r="CR176" i="1" s="1"/>
  <c r="CD176" i="1" s="1"/>
  <c r="CR186" i="1" a="1"/>
  <c r="CR186" i="1" s="1"/>
  <c r="CR244" i="1" a="1"/>
  <c r="CR244" i="1" s="1"/>
  <c r="CR270" i="1" a="1"/>
  <c r="CR270" i="1" s="1"/>
  <c r="CR295" i="1" a="1"/>
  <c r="CR295" i="1" s="1"/>
  <c r="CR49" i="1" a="1"/>
  <c r="CR49" i="1" s="1"/>
  <c r="CE49" i="1" s="1"/>
  <c r="CR90" i="1" a="1"/>
  <c r="CR90" i="1" s="1"/>
  <c r="CR131" i="1" a="1"/>
  <c r="CR131" i="1" s="1"/>
  <c r="CR166" i="1" a="1"/>
  <c r="CR166" i="1" s="1"/>
  <c r="CR207" i="1" a="1"/>
  <c r="CR207" i="1" s="1"/>
  <c r="CR277" i="1" a="1"/>
  <c r="CR277" i="1" s="1"/>
  <c r="CR257" i="1" a="1"/>
  <c r="CR257" i="1" s="1"/>
  <c r="CR311" i="1" a="1"/>
  <c r="CR311" i="1" s="1"/>
  <c r="CR47" i="1" a="1"/>
  <c r="CR47" i="1" s="1"/>
  <c r="CR91" i="1" a="1"/>
  <c r="CR91" i="1" s="1"/>
  <c r="BV91" i="1" s="1"/>
  <c r="CR114" i="1" a="1"/>
  <c r="CR114" i="1" s="1"/>
  <c r="CA114" i="1" s="1"/>
  <c r="CR161" i="1" a="1"/>
  <c r="CR161" i="1" s="1"/>
  <c r="CR194" i="1" a="1"/>
  <c r="CR194" i="1" s="1"/>
  <c r="CR262" i="1" a="1"/>
  <c r="CR262" i="1" s="1"/>
  <c r="CR250" i="1" a="1"/>
  <c r="CR250" i="1" s="1"/>
  <c r="CD250" i="1" s="1"/>
  <c r="CR288" i="1" a="1"/>
  <c r="CR288" i="1" s="1"/>
  <c r="CR43" i="1" a="1"/>
  <c r="CR43" i="1" s="1"/>
  <c r="CR89" i="1" a="1"/>
  <c r="CR89" i="1" s="1"/>
  <c r="CR119" i="1" a="1"/>
  <c r="CR119" i="1" s="1"/>
  <c r="CA119" i="1" s="1"/>
  <c r="CR138" i="1" a="1"/>
  <c r="CR138" i="1" s="1"/>
  <c r="CC138" i="1" s="1"/>
  <c r="CR187" i="1" a="1"/>
  <c r="CR187" i="1" s="1"/>
  <c r="CR213" i="1" a="1"/>
  <c r="CR213" i="1" s="1"/>
  <c r="BY213" i="1" s="1"/>
  <c r="CR302" i="1" a="1"/>
  <c r="CR302" i="1" s="1"/>
  <c r="CR299" i="1" a="1"/>
  <c r="CR299" i="1" s="1"/>
  <c r="CR37" i="1" a="1"/>
  <c r="CR37" i="1" s="1"/>
  <c r="CR72" i="1" a="1"/>
  <c r="CR72" i="1" s="1"/>
  <c r="CD72" i="1" s="1"/>
  <c r="CR120" i="1" a="1"/>
  <c r="CR120" i="1" s="1"/>
  <c r="CR142" i="1" a="1"/>
  <c r="CR142" i="1" s="1"/>
  <c r="CR193" i="1" a="1"/>
  <c r="CR193" i="1" s="1"/>
  <c r="CD193" i="1" s="1"/>
  <c r="CR220" i="1" a="1"/>
  <c r="CR220" i="1" s="1"/>
  <c r="CF220" i="1" s="1"/>
  <c r="CR245" i="1" a="1"/>
  <c r="CR245" i="1" s="1"/>
  <c r="BZ245" i="1" s="1"/>
  <c r="CR284" i="1" a="1"/>
  <c r="CR284" i="1" s="1"/>
  <c r="CR44" i="1" a="1"/>
  <c r="CR44" i="1" s="1"/>
  <c r="CA44" i="1" s="1"/>
  <c r="CR73" i="1" a="1"/>
  <c r="CR73" i="1" s="1"/>
  <c r="CR115" i="1" a="1"/>
  <c r="CR115" i="1" s="1"/>
  <c r="CR149" i="1" a="1"/>
  <c r="CR149" i="1" s="1"/>
  <c r="CR174" i="1" a="1"/>
  <c r="CR174" i="1" s="1"/>
  <c r="CR212" i="1" a="1"/>
  <c r="CR212" i="1" s="1"/>
  <c r="CR278" i="1" a="1"/>
  <c r="CR278" i="1" s="1"/>
  <c r="CR306" i="1" a="1"/>
  <c r="CR306" i="1" s="1"/>
  <c r="BW306" i="1" s="1"/>
  <c r="CR32" i="1" a="1"/>
  <c r="CR32" i="1" s="1"/>
  <c r="CR69" i="1" a="1"/>
  <c r="CR69" i="1" s="1"/>
  <c r="CR99" i="1" a="1"/>
  <c r="CR99" i="1" s="1"/>
  <c r="CD99" i="1" s="1"/>
  <c r="CR150" i="1" a="1"/>
  <c r="CR150" i="1" s="1"/>
  <c r="CR181" i="1" a="1"/>
  <c r="CR181" i="1" s="1"/>
  <c r="CR218" i="1" a="1"/>
  <c r="CR218" i="1" s="1"/>
  <c r="CR263" i="1" a="1"/>
  <c r="CR263" i="1" s="1"/>
  <c r="CR237" i="1" a="1"/>
  <c r="CR237" i="1" s="1"/>
  <c r="CR29" i="1" a="1"/>
  <c r="CR29" i="1" s="1"/>
  <c r="CR56" i="1" a="1"/>
  <c r="CR56" i="1" s="1"/>
  <c r="CR104" i="1" a="1"/>
  <c r="CR104" i="1" s="1"/>
  <c r="CR129" i="1" a="1"/>
  <c r="CR129" i="1" s="1"/>
  <c r="CR179" i="1" a="1"/>
  <c r="CR179" i="1" s="1"/>
  <c r="CR189" i="1" a="1"/>
  <c r="CR189" i="1" s="1"/>
  <c r="CR301" i="1" a="1"/>
  <c r="CR301" i="1" s="1"/>
  <c r="BU301" i="1" s="1"/>
  <c r="CR273" i="1" a="1"/>
  <c r="CR273" i="1" s="1"/>
  <c r="CR298" i="1" a="1"/>
  <c r="CR298" i="1" s="1"/>
  <c r="CR21" i="1" a="1"/>
  <c r="CR21" i="1" s="1"/>
  <c r="CR51" i="1" a="1"/>
  <c r="CR51" i="1" s="1"/>
  <c r="CD51" i="1" s="1"/>
  <c r="CR78" i="1" a="1"/>
  <c r="CR78" i="1" s="1"/>
  <c r="CR113" i="1" a="1"/>
  <c r="CR113" i="1" s="1"/>
  <c r="CD113" i="1" s="1"/>
  <c r="CR159" i="1" a="1"/>
  <c r="CR159" i="1" s="1"/>
  <c r="CR210" i="1" a="1"/>
  <c r="CR210" i="1" s="1"/>
  <c r="CR232" i="1" a="1"/>
  <c r="CR232" i="1" s="1"/>
  <c r="CR259" i="1" a="1"/>
  <c r="CR259" i="1" s="1"/>
  <c r="BY259" i="1" s="1"/>
  <c r="CR283" i="1" a="1"/>
  <c r="CR283" i="1" s="1"/>
  <c r="CR61" i="1" a="1"/>
  <c r="CR61" i="1" s="1"/>
  <c r="CR94" i="1" a="1"/>
  <c r="CR94" i="1" s="1"/>
  <c r="CR134" i="1" a="1"/>
  <c r="CR134" i="1" s="1"/>
  <c r="CR164" i="1" a="1"/>
  <c r="CR164" i="1" s="1"/>
  <c r="CR197" i="1" a="1"/>
  <c r="CR197" i="1" s="1"/>
  <c r="CR265" i="1" a="1"/>
  <c r="CR265" i="1" s="1"/>
  <c r="CR251" i="1" a="1"/>
  <c r="CR251" i="1" s="1"/>
  <c r="CR291" i="1" a="1"/>
  <c r="CR291" i="1" s="1"/>
  <c r="CR48" i="1" a="1"/>
  <c r="CR48" i="1" s="1"/>
  <c r="CR83" i="1" a="1"/>
  <c r="CR83" i="1" s="1"/>
  <c r="CR123" i="1" a="1"/>
  <c r="CR123" i="1" s="1"/>
  <c r="CR155" i="1" a="1"/>
  <c r="CR155" i="1" s="1"/>
  <c r="CR190" i="1" a="1"/>
  <c r="CR190" i="1" s="1"/>
  <c r="CR223" i="1" a="1"/>
  <c r="CR223" i="1" s="1"/>
  <c r="CR305" i="1" a="1"/>
  <c r="CR305" i="1" s="1"/>
  <c r="CR314" i="1" a="1"/>
  <c r="CR314" i="1" s="1"/>
  <c r="BU314" i="1" s="1"/>
  <c r="CR53" i="1" a="1"/>
  <c r="CR53" i="1" s="1"/>
  <c r="CR79" i="1" a="1"/>
  <c r="CR79" i="1" s="1"/>
  <c r="CD79" i="1" s="1"/>
  <c r="CR111" i="1" a="1"/>
  <c r="CR111" i="1" s="1"/>
  <c r="CR145" i="1" a="1"/>
  <c r="CR145" i="1" s="1"/>
  <c r="CD145" i="1" s="1"/>
  <c r="CR196" i="1" a="1"/>
  <c r="CR196" i="1" s="1"/>
  <c r="CR222" i="1" a="1"/>
  <c r="CR222" i="1" s="1"/>
  <c r="CR249" i="1" a="1"/>
  <c r="CR249" i="1" s="1"/>
  <c r="CR287" i="1" a="1"/>
  <c r="CR287" i="1" s="1"/>
  <c r="BZ287" i="1" s="1"/>
  <c r="CR45" i="1" a="1"/>
  <c r="CR45" i="1" s="1"/>
  <c r="CR76" i="1" a="1"/>
  <c r="CR76" i="1" s="1"/>
  <c r="CR116" i="1" a="1"/>
  <c r="CR116" i="1" s="1"/>
  <c r="BW116" i="1" s="1"/>
  <c r="CR154" i="1" a="1"/>
  <c r="CR154" i="1" s="1"/>
  <c r="CR177" i="1" a="1"/>
  <c r="CR177" i="1" s="1"/>
  <c r="CR214" i="1" a="1"/>
  <c r="CR214" i="1" s="1"/>
  <c r="CR233" i="1" a="1"/>
  <c r="CR233" i="1" s="1"/>
  <c r="CR309" i="1" a="1"/>
  <c r="CR309" i="1" s="1"/>
  <c r="CR41" i="1" a="1"/>
  <c r="CR41" i="1" s="1"/>
  <c r="CR74" i="1" a="1"/>
  <c r="CR74" i="1" s="1"/>
  <c r="CR103" i="1" a="1"/>
  <c r="CR103" i="1" s="1"/>
  <c r="CB103" i="1" s="1"/>
  <c r="CR135" i="1" a="1"/>
  <c r="CR135" i="1" s="1"/>
  <c r="CR169" i="1" a="1"/>
  <c r="CR169" i="1" s="1"/>
  <c r="CB169" i="1" s="1"/>
  <c r="CR221" i="1" a="1"/>
  <c r="CR221" i="1" s="1"/>
  <c r="CR266" i="1" a="1"/>
  <c r="CR266" i="1" s="1"/>
  <c r="CR240" i="1" a="1"/>
  <c r="CR240" i="1" s="1"/>
  <c r="CU261" i="1" a="1"/>
  <c r="CU261" i="1" s="1"/>
  <c r="CU255" i="1" a="1"/>
  <c r="CU255" i="1" s="1"/>
  <c r="CU208" i="1" a="1"/>
  <c r="CU208" i="1" s="1"/>
  <c r="CU181" i="1" a="1"/>
  <c r="CU181" i="1" s="1"/>
  <c r="CU144" i="1" a="1"/>
  <c r="CU144" i="1" s="1"/>
  <c r="CU95" i="1" a="1"/>
  <c r="CU95" i="1" s="1"/>
  <c r="CU62" i="1" a="1"/>
  <c r="CU62" i="1" s="1"/>
  <c r="CU26" i="1" a="1"/>
  <c r="CU26" i="1" s="1"/>
  <c r="CU287" i="1" a="1"/>
  <c r="CU287" i="1" s="1"/>
  <c r="CU305" i="1" a="1"/>
  <c r="CU305" i="1" s="1"/>
  <c r="CU265" i="1" a="1"/>
  <c r="CU265" i="1" s="1"/>
  <c r="CU210" i="1" a="1"/>
  <c r="CU210" i="1" s="1"/>
  <c r="CU159" i="1" a="1"/>
  <c r="CU159" i="1" s="1"/>
  <c r="CU110" i="1" a="1"/>
  <c r="CU110" i="1" s="1"/>
  <c r="CU96" i="1" a="1"/>
  <c r="CU96" i="1" s="1"/>
  <c r="CU63" i="1" a="1"/>
  <c r="CU63" i="1" s="1"/>
  <c r="CU53" i="1" a="1"/>
  <c r="CU53" i="1" s="1"/>
  <c r="CU77" i="1" a="1"/>
  <c r="CU77" i="1" s="1"/>
  <c r="CU105" i="1" a="1"/>
  <c r="CU105" i="1" s="1"/>
  <c r="CU138" i="1" a="1"/>
  <c r="CU138" i="1" s="1"/>
  <c r="CU179" i="1" a="1"/>
  <c r="CU179" i="1" s="1"/>
  <c r="CU228" i="1" a="1"/>
  <c r="CU228" i="1" s="1"/>
  <c r="CU243" i="1" a="1"/>
  <c r="CU243" i="1" s="1"/>
  <c r="CU279" i="1" a="1"/>
  <c r="CU279" i="1" s="1"/>
  <c r="CU47" i="1" a="1"/>
  <c r="CU47" i="1" s="1"/>
  <c r="CU155" i="1" a="1"/>
  <c r="CU155" i="1" s="1"/>
  <c r="CU278" i="1" a="1"/>
  <c r="CU278" i="1" s="1"/>
  <c r="CU79" i="1" a="1"/>
  <c r="CU79" i="1" s="1"/>
  <c r="CU196" i="1" a="1"/>
  <c r="CU196" i="1" s="1"/>
  <c r="CU286" i="1" a="1"/>
  <c r="CU286" i="1" s="1"/>
  <c r="CU118" i="1" a="1"/>
  <c r="CU118" i="1" s="1"/>
  <c r="CU226" i="1" a="1"/>
  <c r="CU226" i="1" s="1"/>
  <c r="CU39" i="1" a="1"/>
  <c r="CU39" i="1" s="1"/>
  <c r="CU254" i="1" a="1"/>
  <c r="CU254" i="1" s="1"/>
  <c r="CU236" i="1" a="1"/>
  <c r="CU236" i="1" s="1"/>
  <c r="CU183" i="1" a="1"/>
  <c r="CU183" i="1" s="1"/>
  <c r="CU30" i="1" a="1"/>
  <c r="CU30" i="1" s="1"/>
  <c r="CU274" i="1" a="1"/>
  <c r="CU274" i="1" s="1"/>
  <c r="CU91" i="1" a="1"/>
  <c r="CU91" i="1" s="1"/>
  <c r="CU292" i="1" a="1"/>
  <c r="CU292" i="1" s="1"/>
  <c r="CU119" i="1" a="1"/>
  <c r="CU119" i="1" s="1"/>
  <c r="CU146" i="1" a="1"/>
  <c r="CU146" i="1" s="1"/>
  <c r="CU204" i="1" a="1"/>
  <c r="CU204" i="1" s="1"/>
  <c r="CU218" i="1" a="1"/>
  <c r="CU218" i="1" s="1"/>
  <c r="CU173" i="1" a="1"/>
  <c r="CU173" i="1" s="1"/>
  <c r="CU141" i="1" a="1"/>
  <c r="CU141" i="1" s="1"/>
  <c r="CU100" i="1" a="1"/>
  <c r="CU100" i="1" s="1"/>
  <c r="CU158" i="1" a="1"/>
  <c r="CU158" i="1" s="1"/>
  <c r="CU148" i="1" a="1"/>
  <c r="CU148" i="1" s="1"/>
  <c r="CU32" i="1" a="1"/>
  <c r="CU32" i="1" s="1"/>
  <c r="CU310" i="1" a="1"/>
  <c r="CU310" i="1" s="1"/>
  <c r="CU185" i="1" a="1"/>
  <c r="CU185" i="1" s="1"/>
  <c r="CU128" i="1" a="1"/>
  <c r="CU128" i="1" s="1"/>
  <c r="CU89" i="1" a="1"/>
  <c r="CU89" i="1" s="1"/>
  <c r="CU283" i="1" a="1"/>
  <c r="CU283" i="1" s="1"/>
  <c r="CU36" i="1" a="1"/>
  <c r="CU36" i="1" s="1"/>
  <c r="CU246" i="1" a="1"/>
  <c r="CU246" i="1" s="1"/>
  <c r="CU191" i="1" a="1"/>
  <c r="CU191" i="1" s="1"/>
  <c r="CU29" i="1" a="1"/>
  <c r="CU29" i="1" s="1"/>
  <c r="CU271" i="1" a="1"/>
  <c r="CU271" i="1" s="1"/>
  <c r="CU87" i="1" a="1"/>
  <c r="CU87" i="1" s="1"/>
  <c r="CU314" i="1" a="1"/>
  <c r="CU314" i="1" s="1"/>
  <c r="CU107" i="1" a="1"/>
  <c r="CU107" i="1" s="1"/>
  <c r="CU81" i="1" a="1"/>
  <c r="CU81" i="1" s="1"/>
  <c r="CU282" i="1" a="1"/>
  <c r="CU282" i="1" s="1"/>
  <c r="CU232" i="1" a="1"/>
  <c r="CU232" i="1" s="1"/>
  <c r="CU131" i="1" a="1"/>
  <c r="CU131" i="1" s="1"/>
  <c r="CU40" i="1" a="1"/>
  <c r="CU40" i="1" s="1"/>
  <c r="CU293" i="1" a="1"/>
  <c r="CU293" i="1" s="1"/>
  <c r="CU167" i="1" a="1"/>
  <c r="CU167" i="1" s="1"/>
  <c r="CU49" i="1" a="1"/>
  <c r="CU49" i="1" s="1"/>
  <c r="CU55" i="1" a="1"/>
  <c r="CU55" i="1" s="1"/>
  <c r="CU37" i="1" a="1"/>
  <c r="CU37" i="1" s="1"/>
  <c r="CU82" i="1" a="1"/>
  <c r="CU82" i="1" s="1"/>
  <c r="CU113" i="1" a="1"/>
  <c r="CU113" i="1" s="1"/>
  <c r="CU152" i="1" a="1"/>
  <c r="CU152" i="1" s="1"/>
  <c r="CU199" i="1" a="1"/>
  <c r="CU199" i="1" s="1"/>
  <c r="CU229" i="1" a="1"/>
  <c r="CU229" i="1" s="1"/>
  <c r="CU253" i="1" a="1"/>
  <c r="CU253" i="1" s="1"/>
  <c r="CU297" i="1" a="1"/>
  <c r="CU297" i="1" s="1"/>
  <c r="CU75" i="1" a="1"/>
  <c r="CU75" i="1" s="1"/>
  <c r="CU176" i="1" a="1"/>
  <c r="CU176" i="1" s="1"/>
  <c r="CU312" i="1" a="1"/>
  <c r="CU312" i="1" s="1"/>
  <c r="CU99" i="1" a="1"/>
  <c r="CU99" i="1" s="1"/>
  <c r="CU198" i="1" a="1"/>
  <c r="CU198" i="1" s="1"/>
  <c r="BZ198" i="1" s="1"/>
  <c r="CU41" i="1" a="1"/>
  <c r="CU41" i="1" s="1"/>
  <c r="CU153" i="1" a="1"/>
  <c r="CU153" i="1" s="1"/>
  <c r="CU277" i="1" a="1"/>
  <c r="CU277" i="1" s="1"/>
  <c r="CU83" i="1" a="1"/>
  <c r="CU83" i="1" s="1"/>
  <c r="CU300" i="1" a="1"/>
  <c r="CU300" i="1" s="1"/>
  <c r="CU46" i="1" a="1"/>
  <c r="CU46" i="1" s="1"/>
  <c r="CA46" i="1" s="1"/>
  <c r="CU269" i="1" a="1"/>
  <c r="CU269" i="1" s="1"/>
  <c r="CU211" i="1" a="1"/>
  <c r="CU211" i="1" s="1"/>
  <c r="CU59" i="1" a="1"/>
  <c r="CU59" i="1" s="1"/>
  <c r="CF59" i="1" s="1"/>
  <c r="CU235" i="1" a="1"/>
  <c r="CU235" i="1" s="1"/>
  <c r="CU122" i="1" a="1"/>
  <c r="CU122" i="1" s="1"/>
  <c r="CE122" i="1" s="1"/>
  <c r="CU162" i="1" a="1"/>
  <c r="CU162" i="1" s="1"/>
  <c r="BZ162" i="1" s="1"/>
  <c r="CU169" i="1" a="1"/>
  <c r="CU169" i="1" s="1"/>
  <c r="CU28" i="1" a="1"/>
  <c r="CU28" i="1" s="1"/>
  <c r="CB28" i="1" s="1"/>
  <c r="CU301" i="1" a="1"/>
  <c r="CU301" i="1" s="1"/>
  <c r="CU42" i="1" a="1"/>
  <c r="CU42" i="1" s="1"/>
  <c r="CU248" i="1" a="1"/>
  <c r="CU248" i="1" s="1"/>
  <c r="CU223" i="1" a="1"/>
  <c r="CU223" i="1" s="1"/>
  <c r="CU178" i="1" a="1"/>
  <c r="CU178" i="1" s="1"/>
  <c r="CU143" i="1" a="1"/>
  <c r="CU143" i="1" s="1"/>
  <c r="CU206" i="1" a="1"/>
  <c r="CU206" i="1" s="1"/>
  <c r="CU193" i="1" a="1"/>
  <c r="CU193" i="1" s="1"/>
  <c r="CU70" i="1" a="1"/>
  <c r="CU70" i="1" s="1"/>
  <c r="CU276" i="1" a="1"/>
  <c r="CU276" i="1" s="1"/>
  <c r="CU215" i="1" a="1"/>
  <c r="CU215" i="1" s="1"/>
  <c r="CU163" i="1" a="1"/>
  <c r="CU163" i="1" s="1"/>
  <c r="CU216" i="1" a="1"/>
  <c r="CU216" i="1" s="1"/>
  <c r="CU58" i="1" a="1"/>
  <c r="CU58" i="1" s="1"/>
  <c r="CU166" i="1" a="1"/>
  <c r="CU166" i="1" s="1"/>
  <c r="CU139" i="1" a="1"/>
  <c r="CU139" i="1" s="1"/>
  <c r="CU313" i="1" a="1"/>
  <c r="CU313" i="1" s="1"/>
  <c r="CU219" i="1" a="1"/>
  <c r="CU219" i="1" s="1"/>
  <c r="CU242" i="1" a="1"/>
  <c r="CU242" i="1" s="1"/>
  <c r="BZ242" i="1" s="1"/>
  <c r="CU142" i="1" a="1"/>
  <c r="CU142" i="1" s="1"/>
  <c r="CU298" i="1" a="1"/>
  <c r="CU298" i="1" s="1"/>
  <c r="CU54" i="1" a="1"/>
  <c r="CU54" i="1" s="1"/>
  <c r="CU88" i="1" a="1"/>
  <c r="CU88" i="1" s="1"/>
  <c r="CU121" i="1" a="1"/>
  <c r="CU121" i="1" s="1"/>
  <c r="CU165" i="1" a="1"/>
  <c r="CU165" i="1" s="1"/>
  <c r="CU186" i="1" a="1"/>
  <c r="CU186" i="1" s="1"/>
  <c r="CU222" i="1" a="1"/>
  <c r="CU222" i="1" s="1"/>
  <c r="CU263" i="1" a="1"/>
  <c r="CU263" i="1" s="1"/>
  <c r="CU289" i="1" a="1"/>
  <c r="CU289" i="1" s="1"/>
  <c r="CE289" i="1" s="1"/>
  <c r="CU90" i="1" a="1"/>
  <c r="CU90" i="1" s="1"/>
  <c r="CU203" i="1" a="1"/>
  <c r="CU203" i="1" s="1"/>
  <c r="CF203" i="1" s="1"/>
  <c r="CU281" i="1" a="1"/>
  <c r="CU281" i="1" s="1"/>
  <c r="CU120" i="1" a="1"/>
  <c r="CU120" i="1" s="1"/>
  <c r="CU220" i="1" a="1"/>
  <c r="CU220" i="1" s="1"/>
  <c r="CU51" i="1" a="1"/>
  <c r="CU51" i="1" s="1"/>
  <c r="CU164" i="1" a="1"/>
  <c r="CU164" i="1" s="1"/>
  <c r="CU251" i="1" a="1"/>
  <c r="CU251" i="1" s="1"/>
  <c r="CU123" i="1" a="1"/>
  <c r="CU123" i="1" s="1"/>
  <c r="CU78" i="1" a="1"/>
  <c r="CU78" i="1" s="1"/>
  <c r="CU295" i="1" a="1"/>
  <c r="CU295" i="1" s="1"/>
  <c r="CU27" i="1" a="1"/>
  <c r="CU27" i="1" s="1"/>
  <c r="CU258" i="1" a="1"/>
  <c r="CU258" i="1" s="1"/>
  <c r="CE258" i="1" s="1"/>
  <c r="CU97" i="1" a="1"/>
  <c r="CU97" i="1" s="1"/>
  <c r="CU296" i="1" a="1"/>
  <c r="CU296" i="1" s="1"/>
  <c r="CU157" i="1" a="1"/>
  <c r="CU157" i="1" s="1"/>
  <c r="CU187" i="1" a="1"/>
  <c r="CU187" i="1" s="1"/>
  <c r="CU205" i="1" a="1"/>
  <c r="CU205" i="1" s="1"/>
  <c r="CU67" i="1" a="1"/>
  <c r="CU67" i="1" s="1"/>
  <c r="CU267" i="1" a="1"/>
  <c r="CU267" i="1" s="1"/>
  <c r="CU69" i="1" a="1"/>
  <c r="CU69" i="1" s="1"/>
  <c r="CU288" i="1" a="1"/>
  <c r="CU288" i="1" s="1"/>
  <c r="CU45" i="1" a="1"/>
  <c r="CU45" i="1" s="1"/>
  <c r="CU237" i="1" a="1"/>
  <c r="CU237" i="1" s="1"/>
  <c r="CU21" i="1" a="1"/>
  <c r="CU21" i="1" s="1"/>
  <c r="CU190" i="1" a="1"/>
  <c r="CU190" i="1" s="1"/>
  <c r="CB190" i="1" s="1"/>
  <c r="CU180" i="1" a="1"/>
  <c r="CU180" i="1" s="1"/>
  <c r="CU217" i="1" a="1"/>
  <c r="CU217" i="1" s="1"/>
  <c r="CU221" i="1" a="1"/>
  <c r="CU221" i="1" s="1"/>
  <c r="CU115" i="1" a="1"/>
  <c r="CU115" i="1" s="1"/>
  <c r="CU35" i="1" a="1"/>
  <c r="CU35" i="1" s="1"/>
  <c r="CU247" i="1" a="1"/>
  <c r="CU247" i="1" s="1"/>
  <c r="CU197" i="1" a="1"/>
  <c r="CU197" i="1" s="1"/>
  <c r="CU161" i="1" a="1"/>
  <c r="CU161" i="1" s="1"/>
  <c r="CU108" i="1" a="1"/>
  <c r="CU108" i="1" s="1"/>
  <c r="CU256" i="1" a="1"/>
  <c r="CU256" i="1" s="1"/>
  <c r="CU101" i="1" a="1"/>
  <c r="CU101" i="1" s="1"/>
  <c r="CU209" i="1" a="1"/>
  <c r="CU209" i="1" s="1"/>
  <c r="CU84" i="1" a="1"/>
  <c r="CU84" i="1" s="1"/>
  <c r="CU124" i="1" a="1"/>
  <c r="CU124" i="1" s="1"/>
  <c r="CU200" i="1" a="1"/>
  <c r="CU200" i="1" s="1"/>
  <c r="CU259" i="1" a="1"/>
  <c r="CU259" i="1" s="1"/>
  <c r="CU52" i="1" a="1"/>
  <c r="CU52" i="1" s="1"/>
  <c r="CU93" i="1" a="1"/>
  <c r="CU93" i="1" s="1"/>
  <c r="CU137" i="1" a="1"/>
  <c r="CU137" i="1" s="1"/>
  <c r="CG137" i="1" s="1"/>
  <c r="CU156" i="1" a="1"/>
  <c r="CU156" i="1" s="1"/>
  <c r="CU207" i="1" a="1"/>
  <c r="CU207" i="1" s="1"/>
  <c r="CU262" i="1" a="1"/>
  <c r="CU262" i="1" s="1"/>
  <c r="CU302" i="1" a="1"/>
  <c r="CU302" i="1" s="1"/>
  <c r="CU284" i="1" a="1"/>
  <c r="CU284" i="1" s="1"/>
  <c r="BX284" i="1" s="1"/>
  <c r="CU92" i="1" a="1"/>
  <c r="CU92" i="1" s="1"/>
  <c r="CU225" i="1" a="1"/>
  <c r="CU225" i="1" s="1"/>
  <c r="CU25" i="1" a="1"/>
  <c r="CU25" i="1" s="1"/>
  <c r="CU130" i="1" a="1"/>
  <c r="CU130" i="1" s="1"/>
  <c r="CU304" i="1" a="1"/>
  <c r="CU304" i="1" s="1"/>
  <c r="CU65" i="1" a="1"/>
  <c r="CU65" i="1" s="1"/>
  <c r="CU170" i="1" a="1"/>
  <c r="CU170" i="1" s="1"/>
  <c r="CU238" i="1" a="1"/>
  <c r="CU238" i="1" s="1"/>
  <c r="CU132" i="1" a="1"/>
  <c r="CU132" i="1" s="1"/>
  <c r="CU125" i="1" a="1"/>
  <c r="CU125" i="1" s="1"/>
  <c r="CU57" i="1" a="1"/>
  <c r="CU57" i="1" s="1"/>
  <c r="CU264" i="1" a="1"/>
  <c r="CU264" i="1" s="1"/>
  <c r="CB264" i="1" s="1"/>
  <c r="CU127" i="1" a="1"/>
  <c r="CU127" i="1" s="1"/>
  <c r="CU189" i="1" a="1"/>
  <c r="CU189" i="1" s="1"/>
  <c r="CU22" i="1" a="1"/>
  <c r="CU22" i="1" s="1"/>
  <c r="CU268" i="1" a="1"/>
  <c r="CU268" i="1" s="1"/>
  <c r="CE268" i="1" s="1"/>
  <c r="CU44" i="1" a="1"/>
  <c r="CU44" i="1" s="1"/>
  <c r="CU234" i="1" a="1"/>
  <c r="CU234" i="1" s="1"/>
  <c r="CU106" i="1" a="1"/>
  <c r="CU106" i="1" s="1"/>
  <c r="CU114" i="1" a="1"/>
  <c r="CU114" i="1" s="1"/>
  <c r="CU72" i="1" a="1"/>
  <c r="CU72" i="1" s="1"/>
  <c r="CU309" i="1" a="1"/>
  <c r="CU309" i="1" s="1"/>
  <c r="CU24" i="1" a="1"/>
  <c r="CU24" i="1" s="1"/>
  <c r="CU252" i="1" a="1"/>
  <c r="CU252" i="1" s="1"/>
  <c r="CU230" i="1" a="1"/>
  <c r="CU230" i="1" s="1"/>
  <c r="CU48" i="1" a="1"/>
  <c r="CU48" i="1" s="1"/>
  <c r="CU257" i="1" a="1"/>
  <c r="CU257" i="1" s="1"/>
  <c r="CU43" i="1" a="1"/>
  <c r="CU43" i="1" s="1"/>
  <c r="CU250" i="1" a="1"/>
  <c r="CU250" i="1" s="1"/>
  <c r="CU140" i="1" a="1"/>
  <c r="CU140" i="1" s="1"/>
  <c r="BY140" i="1" s="1"/>
  <c r="CU68" i="1" a="1"/>
  <c r="CU68" i="1" s="1"/>
  <c r="CU285" i="1" a="1"/>
  <c r="CU285" i="1" s="1"/>
  <c r="CU239" i="1" a="1"/>
  <c r="CU239" i="1" s="1"/>
  <c r="CU80" i="1" a="1"/>
  <c r="CU80" i="1" s="1"/>
  <c r="CU192" i="1" a="1"/>
  <c r="CU192" i="1" s="1"/>
  <c r="BY192" i="1" s="1"/>
  <c r="CU23" i="1" a="1"/>
  <c r="CU23" i="1" s="1"/>
  <c r="CU64" i="1" a="1"/>
  <c r="CU64" i="1" s="1"/>
  <c r="CU102" i="1" a="1"/>
  <c r="CU102" i="1" s="1"/>
  <c r="CU133" i="1" a="1"/>
  <c r="CU133" i="1" s="1"/>
  <c r="CU175" i="1" a="1"/>
  <c r="CU175" i="1" s="1"/>
  <c r="CU201" i="1" a="1"/>
  <c r="CU201" i="1" s="1"/>
  <c r="CU249" i="1" a="1"/>
  <c r="CU249" i="1" s="1"/>
  <c r="CU241" i="1" a="1"/>
  <c r="CU241" i="1" s="1"/>
  <c r="CU280" i="1" a="1"/>
  <c r="CU280" i="1" s="1"/>
  <c r="CU134" i="1" a="1"/>
  <c r="CU134" i="1" s="1"/>
  <c r="CU245" i="1" a="1"/>
  <c r="CU245" i="1" s="1"/>
  <c r="CU34" i="1" a="1"/>
  <c r="CU34" i="1" s="1"/>
  <c r="CU151" i="1" a="1"/>
  <c r="CU151" i="1" s="1"/>
  <c r="CU260" i="1" a="1"/>
  <c r="CU260" i="1" s="1"/>
  <c r="CU85" i="1" a="1"/>
  <c r="CU85" i="1" s="1"/>
  <c r="CU184" i="1" a="1"/>
  <c r="CU184" i="1" s="1"/>
  <c r="CU294" i="1" a="1"/>
  <c r="CU294" i="1" s="1"/>
  <c r="BX294" i="1" s="1"/>
  <c r="CU202" i="1" a="1"/>
  <c r="CU202" i="1" s="1"/>
  <c r="CU160" i="1" a="1"/>
  <c r="CU160" i="1" s="1"/>
  <c r="CU103" i="1" a="1"/>
  <c r="CU103" i="1" s="1"/>
  <c r="CU168" i="1" a="1"/>
  <c r="CU168" i="1" s="1"/>
  <c r="CU233" i="1" a="1"/>
  <c r="CU233" i="1" s="1"/>
  <c r="CU56" i="1" a="1"/>
  <c r="CU56" i="1" s="1"/>
  <c r="CU308" i="1" a="1"/>
  <c r="CU308" i="1" s="1"/>
  <c r="CU76" i="1" a="1"/>
  <c r="CU76" i="1" s="1"/>
  <c r="BX76" i="1" s="1"/>
  <c r="CU306" i="1" a="1"/>
  <c r="CU306" i="1" s="1"/>
  <c r="CU150" i="1" a="1"/>
  <c r="CU150" i="1" s="1"/>
  <c r="CU145" i="1" a="1"/>
  <c r="CU145" i="1" s="1"/>
  <c r="CU94" i="1" a="1"/>
  <c r="CU94" i="1" s="1"/>
  <c r="CU66" i="1" a="1"/>
  <c r="CU66" i="1" s="1"/>
  <c r="CU244" i="1" a="1"/>
  <c r="CU244" i="1" s="1"/>
  <c r="CU33" i="1" a="1"/>
  <c r="CU33" i="1" s="1"/>
  <c r="CU231" i="1" a="1"/>
  <c r="CU231" i="1" s="1"/>
  <c r="CU86" i="1" a="1"/>
  <c r="CU86" i="1" s="1"/>
  <c r="CU311" i="1" a="1"/>
  <c r="CU311" i="1" s="1"/>
  <c r="BZ311" i="1" s="1"/>
  <c r="CU74" i="1" a="1"/>
  <c r="CU74" i="1" s="1"/>
  <c r="CU291" i="1" a="1"/>
  <c r="CU291" i="1" s="1"/>
  <c r="CU177" i="1" a="1"/>
  <c r="CU177" i="1" s="1"/>
  <c r="CU111" i="1" a="1"/>
  <c r="CU111" i="1" s="1"/>
  <c r="CU50" i="1" a="1"/>
  <c r="CU50" i="1" s="1"/>
  <c r="CU272" i="1" a="1"/>
  <c r="CU272" i="1" s="1"/>
  <c r="CD272" i="1" s="1"/>
  <c r="CU182" i="1" a="1"/>
  <c r="CU182" i="1" s="1"/>
  <c r="CU126" i="1" a="1"/>
  <c r="CU126" i="1" s="1"/>
  <c r="CU31" i="1" a="1"/>
  <c r="CU31" i="1" s="1"/>
  <c r="CU71" i="1" a="1"/>
  <c r="CU71" i="1" s="1"/>
  <c r="CU112" i="1" a="1"/>
  <c r="CU112" i="1" s="1"/>
  <c r="CU136" i="1" a="1"/>
  <c r="CU136" i="1" s="1"/>
  <c r="CG136" i="1" s="1"/>
  <c r="CU174" i="1" a="1"/>
  <c r="CU174" i="1" s="1"/>
  <c r="CU224" i="1" a="1"/>
  <c r="CU224" i="1" s="1"/>
  <c r="CF224" i="1" s="1"/>
  <c r="CU307" i="1" a="1"/>
  <c r="CU307" i="1" s="1"/>
  <c r="CU273" i="1" a="1"/>
  <c r="CU273" i="1" s="1"/>
  <c r="CU38" i="1" a="1"/>
  <c r="CU38" i="1" s="1"/>
  <c r="CU154" i="1" a="1"/>
  <c r="CU154" i="1" s="1"/>
  <c r="CD154" i="1" s="1"/>
  <c r="CU240" i="1" a="1"/>
  <c r="CU240" i="1" s="1"/>
  <c r="CU60" i="1" a="1"/>
  <c r="CU60" i="1" s="1"/>
  <c r="CU171" i="1" a="1"/>
  <c r="CU171" i="1" s="1"/>
  <c r="CU270" i="1" a="1"/>
  <c r="CU270" i="1" s="1"/>
  <c r="CU109" i="1" a="1"/>
  <c r="CU109" i="1" s="1"/>
  <c r="CA109" i="1" s="1"/>
  <c r="CU213" i="1" a="1"/>
  <c r="CU213" i="1" s="1"/>
  <c r="CU299" i="1" a="1"/>
  <c r="CU299" i="1" s="1"/>
  <c r="CU214" i="1" a="1"/>
  <c r="CU214" i="1" s="1"/>
  <c r="CU194" i="1" a="1"/>
  <c r="CU194" i="1" s="1"/>
  <c r="CU147" i="1" a="1"/>
  <c r="CU147" i="1" s="1"/>
  <c r="CU195" i="1" a="1"/>
  <c r="CU195" i="1" s="1"/>
  <c r="CU61" i="1" a="1"/>
  <c r="CU61" i="1" s="1"/>
  <c r="CU266" i="1" a="1"/>
  <c r="CU266" i="1" s="1"/>
  <c r="CU98" i="1" a="1"/>
  <c r="CU98" i="1" s="1"/>
  <c r="CU290" i="1" a="1"/>
  <c r="CU290" i="1" s="1"/>
  <c r="CU116" i="1" a="1"/>
  <c r="CU116" i="1" s="1"/>
  <c r="CU172" i="1" a="1"/>
  <c r="CU172" i="1" s="1"/>
  <c r="CU188" i="1" a="1"/>
  <c r="CU188" i="1" s="1"/>
  <c r="CU149" i="1" a="1"/>
  <c r="CU149" i="1" s="1"/>
  <c r="CU104" i="1" a="1"/>
  <c r="CU104" i="1" s="1"/>
  <c r="CU73" i="1" a="1"/>
  <c r="CU73" i="1" s="1"/>
  <c r="CU303" i="1" a="1"/>
  <c r="CU303" i="1" s="1"/>
  <c r="CU129" i="1" a="1"/>
  <c r="CU129" i="1" s="1"/>
  <c r="CU117" i="1" a="1"/>
  <c r="CU117" i="1" s="1"/>
  <c r="CU227" i="1" a="1"/>
  <c r="CU227" i="1" s="1"/>
  <c r="CU212" i="1" a="1"/>
  <c r="CU212" i="1" s="1"/>
  <c r="CU135" i="1" a="1"/>
  <c r="CU135" i="1" s="1"/>
  <c r="CU275" i="1" a="1"/>
  <c r="CU275" i="1" s="1"/>
  <c r="CX193" i="1" a="1"/>
  <c r="CX193" i="1" s="1"/>
  <c r="CX110" i="1" a="1"/>
  <c r="CX110" i="1" s="1"/>
  <c r="CA110" i="1" s="1"/>
  <c r="CX26" i="1" a="1"/>
  <c r="CX26" i="1" s="1"/>
  <c r="CX268" i="1" a="1"/>
  <c r="CX268" i="1" s="1"/>
  <c r="CA268" i="1" s="1"/>
  <c r="CX66" i="1" a="1"/>
  <c r="CX66" i="1" s="1"/>
  <c r="CX240" i="1" a="1"/>
  <c r="CX240" i="1" s="1"/>
  <c r="CX105" i="1" a="1"/>
  <c r="CX105" i="1" s="1"/>
  <c r="CX55" i="1" a="1"/>
  <c r="CX55" i="1" s="1"/>
  <c r="CX137" i="1" a="1"/>
  <c r="CX137" i="1" s="1"/>
  <c r="CX40" i="1" a="1"/>
  <c r="CX40" i="1" s="1"/>
  <c r="CX272" i="1" a="1"/>
  <c r="CX272" i="1" s="1"/>
  <c r="CX174" i="1" a="1"/>
  <c r="CX174" i="1" s="1"/>
  <c r="CX301" i="1" a="1"/>
  <c r="CX301" i="1" s="1"/>
  <c r="CX212" i="1" a="1"/>
  <c r="CX212" i="1" s="1"/>
  <c r="CX37" i="1" a="1"/>
  <c r="CX37" i="1" s="1"/>
  <c r="CX263" i="1" a="1"/>
  <c r="CX263" i="1" s="1"/>
  <c r="CX49" i="1" a="1"/>
  <c r="CX49" i="1" s="1"/>
  <c r="CX261" i="1" a="1"/>
  <c r="CX261" i="1" s="1"/>
  <c r="CX194" i="1" a="1"/>
  <c r="CX194" i="1" s="1"/>
  <c r="CX113" i="1" a="1"/>
  <c r="CX113" i="1" s="1"/>
  <c r="CX48" i="1" a="1"/>
  <c r="CX48" i="1" s="1"/>
  <c r="CX131" i="1" a="1"/>
  <c r="CX131" i="1" s="1"/>
  <c r="CX183" i="1" a="1"/>
  <c r="CX183" i="1" s="1"/>
  <c r="CX187" i="1" a="1"/>
  <c r="CX187" i="1" s="1"/>
  <c r="CX292" i="1" a="1"/>
  <c r="CX292" i="1" s="1"/>
  <c r="CX175" i="1" a="1"/>
  <c r="CX175" i="1" s="1"/>
  <c r="CX86" i="1" a="1"/>
  <c r="CX86" i="1" s="1"/>
  <c r="CX300" i="1" a="1"/>
  <c r="CX300" i="1" s="1"/>
  <c r="CX217" i="1" a="1"/>
  <c r="CX217" i="1" s="1"/>
  <c r="CX42" i="1" a="1"/>
  <c r="CX42" i="1" s="1"/>
  <c r="CX278" i="1" a="1"/>
  <c r="CX278" i="1" s="1"/>
  <c r="CX83" i="1" a="1"/>
  <c r="CX83" i="1" s="1"/>
  <c r="BY289" i="1"/>
  <c r="BQ289" i="1"/>
  <c r="BP289" i="1"/>
  <c r="BW289" i="1"/>
  <c r="BO289" i="1"/>
  <c r="BT289" i="1"/>
  <c r="BR289" i="1"/>
  <c r="BU289" i="1"/>
  <c r="BV289" i="1"/>
  <c r="BZ289" i="1"/>
  <c r="BS289" i="1"/>
  <c r="BZ294" i="1"/>
  <c r="BW294" i="1"/>
  <c r="BT294" i="1"/>
  <c r="BP294" i="1"/>
  <c r="BO294" i="1"/>
  <c r="BR294" i="1"/>
  <c r="BU294" i="1"/>
  <c r="BS294" i="1"/>
  <c r="CA294" i="1"/>
  <c r="BQ294" i="1"/>
  <c r="BV294" i="1"/>
  <c r="CF294" i="1"/>
  <c r="BU311" i="1"/>
  <c r="BW311" i="1"/>
  <c r="CE311" i="1"/>
  <c r="BO311" i="1"/>
  <c r="BX311" i="1"/>
  <c r="BS311" i="1"/>
  <c r="BQ311" i="1"/>
  <c r="BV311" i="1"/>
  <c r="BR311" i="1"/>
  <c r="CC311" i="1"/>
  <c r="BT311" i="1"/>
  <c r="CF311" i="1"/>
  <c r="BY311" i="1"/>
  <c r="BP311" i="1"/>
  <c r="BP284" i="1"/>
  <c r="CB284" i="1"/>
  <c r="BR284" i="1"/>
  <c r="CD284" i="1"/>
  <c r="BV284" i="1"/>
  <c r="CE284" i="1"/>
  <c r="CF284" i="1"/>
  <c r="BQ284" i="1"/>
  <c r="BO284" i="1"/>
  <c r="BT284" i="1"/>
  <c r="BW284" i="1"/>
  <c r="BU284" i="1"/>
  <c r="CC284" i="1"/>
  <c r="CA284" i="1"/>
  <c r="BS284" i="1"/>
  <c r="CF303" i="1"/>
  <c r="CD303" i="1"/>
  <c r="BW303" i="1"/>
  <c r="BO303" i="1"/>
  <c r="BP303" i="1"/>
  <c r="BY303" i="1"/>
  <c r="BV303" i="1"/>
  <c r="CC303" i="1"/>
  <c r="CB303" i="1"/>
  <c r="CG303" i="1"/>
  <c r="BQ303" i="1"/>
  <c r="BT303" i="1"/>
  <c r="BR303" i="1"/>
  <c r="BU303" i="1"/>
  <c r="CE303" i="1"/>
  <c r="CA303" i="1"/>
  <c r="BZ303" i="1"/>
  <c r="BX303" i="1"/>
  <c r="BS303" i="1"/>
  <c r="CC231" i="1"/>
  <c r="CA231" i="1"/>
  <c r="BS231" i="1"/>
  <c r="CG231" i="1"/>
  <c r="CD231" i="1"/>
  <c r="BX231" i="1"/>
  <c r="BY231" i="1"/>
  <c r="BV231" i="1"/>
  <c r="CF231" i="1"/>
  <c r="BR231" i="1"/>
  <c r="CB231" i="1"/>
  <c r="CE231" i="1"/>
  <c r="BT231" i="1"/>
  <c r="BP231" i="1"/>
  <c r="BZ231" i="1"/>
  <c r="BQ231" i="1"/>
  <c r="BO231" i="1"/>
  <c r="BW231" i="1"/>
  <c r="BU231" i="1"/>
  <c r="CF264" i="1"/>
  <c r="BV264" i="1"/>
  <c r="BO264" i="1"/>
  <c r="CD264" i="1"/>
  <c r="BU264" i="1"/>
  <c r="BQ264" i="1"/>
  <c r="BS264" i="1"/>
  <c r="BW264" i="1"/>
  <c r="BY264" i="1"/>
  <c r="BT264" i="1"/>
  <c r="CG264" i="1"/>
  <c r="BP264" i="1"/>
  <c r="BR264" i="1"/>
  <c r="BR242" i="1"/>
  <c r="BO242" i="1"/>
  <c r="CC242" i="1"/>
  <c r="CF242" i="1"/>
  <c r="BU242" i="1"/>
  <c r="BV242" i="1"/>
  <c r="BT242" i="1"/>
  <c r="CB242" i="1"/>
  <c r="CA242" i="1"/>
  <c r="BS242" i="1"/>
  <c r="BQ242" i="1"/>
  <c r="BP242" i="1"/>
  <c r="CE242" i="1"/>
  <c r="BW242" i="1"/>
  <c r="BW272" i="1"/>
  <c r="BU272" i="1"/>
  <c r="CC272" i="1"/>
  <c r="CE272" i="1"/>
  <c r="CA272" i="1"/>
  <c r="BP272" i="1"/>
  <c r="BR272" i="1"/>
  <c r="BT272" i="1"/>
  <c r="CG272" i="1"/>
  <c r="BV272" i="1"/>
  <c r="BX272" i="1"/>
  <c r="CF272" i="1"/>
  <c r="BQ272" i="1"/>
  <c r="BS272" i="1"/>
  <c r="BO272" i="1"/>
  <c r="BO257" i="1"/>
  <c r="BX257" i="1"/>
  <c r="BR257" i="1"/>
  <c r="CA257" i="1"/>
  <c r="BT257" i="1"/>
  <c r="BU257" i="1"/>
  <c r="BS257" i="1"/>
  <c r="BZ257" i="1"/>
  <c r="BY257" i="1"/>
  <c r="BP257" i="1"/>
  <c r="BQ257" i="1"/>
  <c r="BV257" i="1"/>
  <c r="BW257" i="1"/>
  <c r="BO248" i="1"/>
  <c r="BX248" i="1"/>
  <c r="CG248" i="1"/>
  <c r="BR248" i="1"/>
  <c r="CA248" i="1"/>
  <c r="BT248" i="1"/>
  <c r="CB248" i="1"/>
  <c r="BU248" i="1"/>
  <c r="CD248" i="1"/>
  <c r="BV248" i="1"/>
  <c r="CF248" i="1"/>
  <c r="CE248" i="1"/>
  <c r="BQ248" i="1"/>
  <c r="BW248" i="1"/>
  <c r="CC248" i="1"/>
  <c r="BS248" i="1"/>
  <c r="BZ248" i="1"/>
  <c r="BY248" i="1"/>
  <c r="BP248" i="1"/>
  <c r="CF258" i="1"/>
  <c r="BZ258" i="1"/>
  <c r="CA258" i="1"/>
  <c r="BX258" i="1"/>
  <c r="CD258" i="1"/>
  <c r="BQ258" i="1"/>
  <c r="CG258" i="1"/>
  <c r="BR258" i="1"/>
  <c r="BT258" i="1"/>
  <c r="BW258" i="1"/>
  <c r="BY258" i="1"/>
  <c r="CB258" i="1"/>
  <c r="CC258" i="1"/>
  <c r="BP258" i="1"/>
  <c r="BV258" i="1"/>
  <c r="BS258" i="1"/>
  <c r="BO258" i="1"/>
  <c r="BU258" i="1"/>
  <c r="CB238" i="1"/>
  <c r="BR238" i="1"/>
  <c r="CD238" i="1"/>
  <c r="CF238" i="1"/>
  <c r="BO238" i="1"/>
  <c r="CC238" i="1"/>
  <c r="BT238" i="1"/>
  <c r="BU238" i="1"/>
  <c r="BS238" i="1"/>
  <c r="CA238" i="1"/>
  <c r="BY238" i="1"/>
  <c r="BX238" i="1"/>
  <c r="BP238" i="1"/>
  <c r="CG238" i="1"/>
  <c r="CE238" i="1"/>
  <c r="BZ238" i="1"/>
  <c r="BQ238" i="1"/>
  <c r="BV238" i="1"/>
  <c r="BW238" i="1"/>
  <c r="BY268" i="1"/>
  <c r="BU268" i="1"/>
  <c r="BQ268" i="1"/>
  <c r="BW268" i="1"/>
  <c r="BR268" i="1"/>
  <c r="BT268" i="1"/>
  <c r="BX268" i="1"/>
  <c r="BZ268" i="1"/>
  <c r="BP268" i="1"/>
  <c r="BV268" i="1"/>
  <c r="BS268" i="1"/>
  <c r="BO268" i="1"/>
  <c r="CB268" i="1"/>
  <c r="CB219" i="1"/>
  <c r="CA219" i="1"/>
  <c r="BQ219" i="1"/>
  <c r="CG219" i="1"/>
  <c r="CC219" i="1"/>
  <c r="BS219" i="1"/>
  <c r="BX219" i="1"/>
  <c r="CF219" i="1"/>
  <c r="BT219" i="1"/>
  <c r="BR219" i="1"/>
  <c r="BY219" i="1"/>
  <c r="BP219" i="1"/>
  <c r="BW219" i="1"/>
  <c r="BO219" i="1"/>
  <c r="CE219" i="1"/>
  <c r="CD219" i="1"/>
  <c r="BU219" i="1"/>
  <c r="BZ219" i="1"/>
  <c r="BV219" i="1"/>
  <c r="BV229" i="1"/>
  <c r="BX229" i="1"/>
  <c r="BO229" i="1"/>
  <c r="BU229" i="1"/>
  <c r="BQ229" i="1"/>
  <c r="BS229" i="1"/>
  <c r="BW229" i="1"/>
  <c r="BY229" i="1"/>
  <c r="BT229" i="1"/>
  <c r="BZ229" i="1"/>
  <c r="BP229" i="1"/>
  <c r="BR229" i="1"/>
  <c r="CB228" i="1"/>
  <c r="CD228" i="1"/>
  <c r="CF228" i="1"/>
  <c r="BQ228" i="1"/>
  <c r="BS228" i="1"/>
  <c r="BO228" i="1"/>
  <c r="BW228" i="1"/>
  <c r="BY228" i="1"/>
  <c r="BU228" i="1"/>
  <c r="CC228" i="1"/>
  <c r="CE228" i="1"/>
  <c r="CA228" i="1"/>
  <c r="BP228" i="1"/>
  <c r="BR228" i="1"/>
  <c r="BT228" i="1"/>
  <c r="CG228" i="1"/>
  <c r="BV228" i="1"/>
  <c r="BX228" i="1"/>
  <c r="BZ228" i="1"/>
  <c r="BO211" i="1"/>
  <c r="BQ211" i="1"/>
  <c r="BT211" i="1"/>
  <c r="BR211" i="1"/>
  <c r="BS211" i="1"/>
  <c r="BZ211" i="1"/>
  <c r="BX211" i="1"/>
  <c r="BU211" i="1"/>
  <c r="CD211" i="1"/>
  <c r="BP211" i="1"/>
  <c r="BY211" i="1"/>
  <c r="BV211" i="1"/>
  <c r="BW211" i="1"/>
  <c r="BU195" i="1"/>
  <c r="BQ195" i="1"/>
  <c r="BS195" i="1"/>
  <c r="CA195" i="1"/>
  <c r="BW195" i="1"/>
  <c r="BY195" i="1"/>
  <c r="BT195" i="1"/>
  <c r="CG195" i="1"/>
  <c r="CC195" i="1"/>
  <c r="CE195" i="1"/>
  <c r="BZ195" i="1"/>
  <c r="BP195" i="1"/>
  <c r="BR195" i="1"/>
  <c r="CF195" i="1"/>
  <c r="BV195" i="1"/>
  <c r="BX195" i="1"/>
  <c r="BO195" i="1"/>
  <c r="CB195" i="1"/>
  <c r="CD195" i="1"/>
  <c r="CB200" i="1"/>
  <c r="BP200" i="1"/>
  <c r="BR200" i="1"/>
  <c r="BT200" i="1"/>
  <c r="CG200" i="1"/>
  <c r="BX200" i="1"/>
  <c r="BU200" i="1"/>
  <c r="BS200" i="1"/>
  <c r="CA200" i="1"/>
  <c r="BV200" i="1"/>
  <c r="BY200" i="1"/>
  <c r="BQ200" i="1"/>
  <c r="BW200" i="1"/>
  <c r="BZ200" i="1"/>
  <c r="CC200" i="1"/>
  <c r="BO200" i="1"/>
  <c r="BP190" i="1"/>
  <c r="BR190" i="1"/>
  <c r="CD190" i="1"/>
  <c r="CG190" i="1"/>
  <c r="BU190" i="1"/>
  <c r="BS190" i="1"/>
  <c r="CA190" i="1"/>
  <c r="CF190" i="1"/>
  <c r="BQ190" i="1"/>
  <c r="BT190" i="1"/>
  <c r="BW190" i="1"/>
  <c r="CC190" i="1"/>
  <c r="BY190" i="1"/>
  <c r="BO190" i="1"/>
  <c r="BV190" i="1"/>
  <c r="BT186" i="1"/>
  <c r="BX186" i="1"/>
  <c r="BZ186" i="1"/>
  <c r="CD186" i="1"/>
  <c r="CF186" i="1"/>
  <c r="CE186" i="1"/>
  <c r="BV186" i="1"/>
  <c r="BS186" i="1"/>
  <c r="CG186" i="1"/>
  <c r="BW186" i="1"/>
  <c r="BP186" i="1"/>
  <c r="CC186" i="1"/>
  <c r="CB186" i="1"/>
  <c r="BY186" i="1"/>
  <c r="BR186" i="1"/>
  <c r="BO186" i="1"/>
  <c r="BU186" i="1"/>
  <c r="BQ186" i="1"/>
  <c r="CA186" i="1"/>
  <c r="BO181" i="1"/>
  <c r="CC181" i="1"/>
  <c r="BZ181" i="1"/>
  <c r="CD181" i="1"/>
  <c r="BQ181" i="1"/>
  <c r="BP181" i="1"/>
  <c r="BW181" i="1"/>
  <c r="CG181" i="1"/>
  <c r="CE181" i="1"/>
  <c r="BU181" i="1"/>
  <c r="CA181" i="1"/>
  <c r="BS181" i="1"/>
  <c r="BX181" i="1"/>
  <c r="BT181" i="1"/>
  <c r="CF181" i="1"/>
  <c r="BV181" i="1"/>
  <c r="CB181" i="1"/>
  <c r="BY181" i="1"/>
  <c r="BR181" i="1"/>
  <c r="BR183" i="1"/>
  <c r="BX183" i="1"/>
  <c r="CD183" i="1"/>
  <c r="BS183" i="1"/>
  <c r="BY183" i="1"/>
  <c r="CE183" i="1"/>
  <c r="BT183" i="1"/>
  <c r="BZ183" i="1"/>
  <c r="CF183" i="1"/>
  <c r="BO183" i="1"/>
  <c r="BU183" i="1"/>
  <c r="CA183" i="1"/>
  <c r="CG183" i="1"/>
  <c r="CC183" i="1"/>
  <c r="BQ183" i="1"/>
  <c r="CB183" i="1"/>
  <c r="BV183" i="1"/>
  <c r="BP183" i="1"/>
  <c r="BW183" i="1"/>
  <c r="BV163" i="1"/>
  <c r="CG163" i="1"/>
  <c r="CA163" i="1"/>
  <c r="CB163" i="1"/>
  <c r="CE163" i="1"/>
  <c r="BT163" i="1"/>
  <c r="BX163" i="1"/>
  <c r="CD163" i="1"/>
  <c r="CF163" i="1"/>
  <c r="BQ163" i="1"/>
  <c r="BW163" i="1"/>
  <c r="CC163" i="1"/>
  <c r="BO163" i="1"/>
  <c r="BZ163" i="1"/>
  <c r="BY163" i="1"/>
  <c r="BP163" i="1"/>
  <c r="BU163" i="1"/>
  <c r="BS163" i="1"/>
  <c r="BR163" i="1"/>
  <c r="BU156" i="1"/>
  <c r="CD156" i="1"/>
  <c r="BR156" i="1"/>
  <c r="CA156" i="1"/>
  <c r="BW156" i="1"/>
  <c r="BO156" i="1"/>
  <c r="CE156" i="1"/>
  <c r="CB156" i="1"/>
  <c r="CC156" i="1"/>
  <c r="BV156" i="1"/>
  <c r="BS156" i="1"/>
  <c r="BT156" i="1"/>
  <c r="BY156" i="1"/>
  <c r="BZ156" i="1"/>
  <c r="BP156" i="1"/>
  <c r="CF156" i="1"/>
  <c r="CG156" i="1"/>
  <c r="BQ156" i="1"/>
  <c r="BX156" i="1"/>
  <c r="BY159" i="1"/>
  <c r="CF159" i="1"/>
  <c r="BZ159" i="1"/>
  <c r="BP159" i="1"/>
  <c r="BU159" i="1"/>
  <c r="BQ159" i="1"/>
  <c r="CD159" i="1"/>
  <c r="BW159" i="1"/>
  <c r="CG159" i="1"/>
  <c r="BV159" i="1"/>
  <c r="CC159" i="1"/>
  <c r="BS159" i="1"/>
  <c r="BR159" i="1"/>
  <c r="CE159" i="1"/>
  <c r="BO159" i="1"/>
  <c r="CA159" i="1"/>
  <c r="BX159" i="1"/>
  <c r="CB159" i="1"/>
  <c r="BT159" i="1"/>
  <c r="BT136" i="1"/>
  <c r="BS136" i="1"/>
  <c r="BP136" i="1"/>
  <c r="BZ136" i="1"/>
  <c r="BQ136" i="1"/>
  <c r="BW136" i="1"/>
  <c r="BY136" i="1"/>
  <c r="BO136" i="1"/>
  <c r="CC136" i="1"/>
  <c r="CD136" i="1"/>
  <c r="BU136" i="1"/>
  <c r="BV136" i="1"/>
  <c r="BR136" i="1"/>
  <c r="BX136" i="1"/>
  <c r="CA136" i="1"/>
  <c r="CE136" i="1"/>
  <c r="BS154" i="1"/>
  <c r="BT154" i="1"/>
  <c r="BY154" i="1"/>
  <c r="BP154" i="1"/>
  <c r="BR154" i="1"/>
  <c r="BX154" i="1"/>
  <c r="BV154" i="1"/>
  <c r="BQ154" i="1"/>
  <c r="BO154" i="1"/>
  <c r="BW154" i="1"/>
  <c r="BU154" i="1"/>
  <c r="BU142" i="1"/>
  <c r="CB142" i="1"/>
  <c r="BO142" i="1"/>
  <c r="BV142" i="1"/>
  <c r="CD142" i="1"/>
  <c r="BR142" i="1"/>
  <c r="BY142" i="1"/>
  <c r="CF142" i="1"/>
  <c r="BS142" i="1"/>
  <c r="BZ142" i="1"/>
  <c r="CG142" i="1"/>
  <c r="BW142" i="1"/>
  <c r="CE142" i="1"/>
  <c r="CC142" i="1"/>
  <c r="BX142" i="1"/>
  <c r="CA142" i="1"/>
  <c r="BP142" i="1"/>
  <c r="BT142" i="1"/>
  <c r="BQ142" i="1"/>
  <c r="BR118" i="1"/>
  <c r="BU118" i="1"/>
  <c r="BO118" i="1"/>
  <c r="BQ118" i="1"/>
  <c r="BY118" i="1"/>
  <c r="BV118" i="1"/>
  <c r="BT118" i="1"/>
  <c r="BX118" i="1"/>
  <c r="BZ118" i="1"/>
  <c r="BW118" i="1"/>
  <c r="BS118" i="1"/>
  <c r="BP118" i="1"/>
  <c r="BQ134" i="1"/>
  <c r="CE134" i="1"/>
  <c r="BV134" i="1"/>
  <c r="CC134" i="1"/>
  <c r="BR134" i="1"/>
  <c r="BU134" i="1"/>
  <c r="BW134" i="1"/>
  <c r="BX134" i="1"/>
  <c r="CA134" i="1"/>
  <c r="BZ134" i="1"/>
  <c r="CD134" i="1"/>
  <c r="CG134" i="1"/>
  <c r="BO134" i="1"/>
  <c r="BS134" i="1"/>
  <c r="BT134" i="1"/>
  <c r="CB134" i="1"/>
  <c r="BY134" i="1"/>
  <c r="CF134" i="1"/>
  <c r="BP134" i="1"/>
  <c r="BW121" i="1"/>
  <c r="CF121" i="1"/>
  <c r="BX121" i="1"/>
  <c r="CD121" i="1"/>
  <c r="CC121" i="1"/>
  <c r="BV121" i="1"/>
  <c r="BZ121" i="1"/>
  <c r="BO121" i="1"/>
  <c r="BU121" i="1"/>
  <c r="CB121" i="1"/>
  <c r="BQ121" i="1"/>
  <c r="BS121" i="1"/>
  <c r="CA121" i="1"/>
  <c r="BY121" i="1"/>
  <c r="BR121" i="1"/>
  <c r="CE121" i="1"/>
  <c r="BT121" i="1"/>
  <c r="CG121" i="1"/>
  <c r="BP121" i="1"/>
  <c r="BO106" i="1"/>
  <c r="BV106" i="1"/>
  <c r="CD106" i="1"/>
  <c r="CB106" i="1"/>
  <c r="CA106" i="1"/>
  <c r="BZ106" i="1"/>
  <c r="CE106" i="1"/>
  <c r="BT106" i="1"/>
  <c r="BS106" i="1"/>
  <c r="BX106" i="1"/>
  <c r="CF106" i="1"/>
  <c r="BP106" i="1"/>
  <c r="BQ106" i="1"/>
  <c r="BY106" i="1"/>
  <c r="BW106" i="1"/>
  <c r="BR106" i="1"/>
  <c r="BU106" i="1"/>
  <c r="CC106" i="1"/>
  <c r="CG106" i="1"/>
  <c r="BP110" i="1"/>
  <c r="CD110" i="1"/>
  <c r="BR110" i="1"/>
  <c r="CF110" i="1"/>
  <c r="BW110" i="1"/>
  <c r="BY110" i="1"/>
  <c r="BQ110" i="1"/>
  <c r="CG110" i="1"/>
  <c r="BX110" i="1"/>
  <c r="BZ110" i="1"/>
  <c r="BT110" i="1"/>
  <c r="CE110" i="1"/>
  <c r="CB110" i="1"/>
  <c r="BS110" i="1"/>
  <c r="BO110" i="1"/>
  <c r="BV110" i="1"/>
  <c r="BU110" i="1"/>
  <c r="CC110" i="1"/>
  <c r="CC111" i="1"/>
  <c r="CG111" i="1"/>
  <c r="BQ111" i="1"/>
  <c r="BS111" i="1"/>
  <c r="BP111" i="1"/>
  <c r="BT111" i="1"/>
  <c r="CF111" i="1"/>
  <c r="BY111" i="1"/>
  <c r="BW111" i="1"/>
  <c r="BU111" i="1"/>
  <c r="CE111" i="1"/>
  <c r="CD111" i="1"/>
  <c r="BX111" i="1"/>
  <c r="BO111" i="1"/>
  <c r="BR111" i="1"/>
  <c r="CA111" i="1"/>
  <c r="BV111" i="1"/>
  <c r="BZ111" i="1"/>
  <c r="CB111" i="1"/>
  <c r="BT102" i="1"/>
  <c r="CC102" i="1"/>
  <c r="BU102" i="1"/>
  <c r="CD102" i="1"/>
  <c r="BW102" i="1"/>
  <c r="CF102" i="1"/>
  <c r="BO102" i="1"/>
  <c r="BX102" i="1"/>
  <c r="CG102" i="1"/>
  <c r="BQ102" i="1"/>
  <c r="BZ102" i="1"/>
  <c r="BP102" i="1"/>
  <c r="BV102" i="1"/>
  <c r="CB102" i="1"/>
  <c r="BS102" i="1"/>
  <c r="CA102" i="1"/>
  <c r="BY102" i="1"/>
  <c r="BR102" i="1"/>
  <c r="CE102" i="1"/>
  <c r="BQ85" i="1"/>
  <c r="BX85" i="1"/>
  <c r="CE85" i="1"/>
  <c r="BR85" i="1"/>
  <c r="BY85" i="1"/>
  <c r="CF85" i="1"/>
  <c r="BV85" i="1"/>
  <c r="CC85" i="1"/>
  <c r="BW85" i="1"/>
  <c r="CA85" i="1"/>
  <c r="CG85" i="1"/>
  <c r="BP85" i="1"/>
  <c r="CB85" i="1"/>
  <c r="BZ85" i="1"/>
  <c r="BT85" i="1"/>
  <c r="BS85" i="1"/>
  <c r="BO85" i="1"/>
  <c r="CD85" i="1"/>
  <c r="BU85" i="1"/>
  <c r="BU87" i="1"/>
  <c r="CB87" i="1"/>
  <c r="BO87" i="1"/>
  <c r="BV87" i="1"/>
  <c r="CD87" i="1"/>
  <c r="BR87" i="1"/>
  <c r="BY87" i="1"/>
  <c r="CF87" i="1"/>
  <c r="BS87" i="1"/>
  <c r="BZ87" i="1"/>
  <c r="CG87" i="1"/>
  <c r="BQ87" i="1"/>
  <c r="BX87" i="1"/>
  <c r="BW87" i="1"/>
  <c r="BP87" i="1"/>
  <c r="CC87" i="1"/>
  <c r="CA87" i="1"/>
  <c r="BT87" i="1"/>
  <c r="CE87" i="1"/>
  <c r="BQ73" i="1"/>
  <c r="BX73" i="1"/>
  <c r="CE73" i="1"/>
  <c r="BR73" i="1"/>
  <c r="BY73" i="1"/>
  <c r="CF73" i="1"/>
  <c r="BV73" i="1"/>
  <c r="CC73" i="1"/>
  <c r="BT73" i="1"/>
  <c r="BZ73" i="1"/>
  <c r="CD73" i="1"/>
  <c r="BO73" i="1"/>
  <c r="BS73" i="1"/>
  <c r="BP73" i="1"/>
  <c r="CB73" i="1"/>
  <c r="CG73" i="1"/>
  <c r="BW73" i="1"/>
  <c r="BU73" i="1"/>
  <c r="CA73" i="1"/>
  <c r="BS76" i="1"/>
  <c r="BZ76" i="1"/>
  <c r="CG76" i="1"/>
  <c r="BU76" i="1"/>
  <c r="CB76" i="1"/>
  <c r="BP76" i="1"/>
  <c r="CE76" i="1"/>
  <c r="BY76" i="1"/>
  <c r="CD76" i="1"/>
  <c r="CF76" i="1"/>
  <c r="BO76" i="1"/>
  <c r="BR76" i="1"/>
  <c r="BV76" i="1"/>
  <c r="BQ76" i="1"/>
  <c r="BT76" i="1"/>
  <c r="BW76" i="1"/>
  <c r="BS67" i="1"/>
  <c r="CE67" i="1"/>
  <c r="BT67" i="1"/>
  <c r="BZ67" i="1"/>
  <c r="BU67" i="1"/>
  <c r="BR67" i="1"/>
  <c r="BW67" i="1"/>
  <c r="BX67" i="1"/>
  <c r="BQ67" i="1"/>
  <c r="BO67" i="1"/>
  <c r="CB67" i="1"/>
  <c r="CG67" i="1"/>
  <c r="BP67" i="1"/>
  <c r="BV67" i="1"/>
  <c r="BY67" i="1"/>
  <c r="BW57" i="1"/>
  <c r="BR57" i="1"/>
  <c r="CD57" i="1"/>
  <c r="CA57" i="1"/>
  <c r="BS57" i="1"/>
  <c r="BP57" i="1"/>
  <c r="CG57" i="1"/>
  <c r="BY57" i="1"/>
  <c r="BV57" i="1"/>
  <c r="CF57" i="1"/>
  <c r="BZ57" i="1"/>
  <c r="CC57" i="1"/>
  <c r="CB57" i="1"/>
  <c r="BQ57" i="1"/>
  <c r="BX57" i="1"/>
  <c r="BO57" i="1"/>
  <c r="BU57" i="1"/>
  <c r="CE57" i="1"/>
  <c r="BT57" i="1"/>
  <c r="BT55" i="1"/>
  <c r="BZ55" i="1"/>
  <c r="CF55" i="1"/>
  <c r="CG55" i="1"/>
  <c r="BU55" i="1"/>
  <c r="CA55" i="1"/>
  <c r="BX55" i="1"/>
  <c r="BS55" i="1"/>
  <c r="CD55" i="1"/>
  <c r="BP55" i="1"/>
  <c r="BY55" i="1"/>
  <c r="BO55" i="1"/>
  <c r="BQ55" i="1"/>
  <c r="BR55" i="1"/>
  <c r="CC55" i="1"/>
  <c r="BW55" i="1"/>
  <c r="CB55" i="1"/>
  <c r="CE55" i="1"/>
  <c r="BV55" i="1"/>
  <c r="CE48" i="1"/>
  <c r="BX48" i="1"/>
  <c r="CC48" i="1"/>
  <c r="BO48" i="1"/>
  <c r="CD48" i="1"/>
  <c r="BT48" i="1"/>
  <c r="BY48" i="1"/>
  <c r="BR48" i="1"/>
  <c r="BQ48" i="1"/>
  <c r="BS48" i="1"/>
  <c r="CB48" i="1"/>
  <c r="BU48" i="1"/>
  <c r="CF48" i="1"/>
  <c r="CA48" i="1"/>
  <c r="BV48" i="1"/>
  <c r="CG48" i="1"/>
  <c r="BW48" i="1"/>
  <c r="BZ48" i="1"/>
  <c r="BP48" i="1"/>
  <c r="BR38" i="1"/>
  <c r="BQ38" i="1"/>
  <c r="BV38" i="1"/>
  <c r="BW38" i="1"/>
  <c r="BO38" i="1"/>
  <c r="BX38" i="1"/>
  <c r="BZ38" i="1"/>
  <c r="BU38" i="1"/>
  <c r="BS38" i="1"/>
  <c r="BY38" i="1"/>
  <c r="BT38" i="1"/>
  <c r="CB38" i="1"/>
  <c r="CG38" i="1"/>
  <c r="BP38" i="1"/>
  <c r="BT36" i="1"/>
  <c r="BV36" i="1"/>
  <c r="BZ36" i="1"/>
  <c r="BY36" i="1"/>
  <c r="BQ36" i="1"/>
  <c r="BP36" i="1"/>
  <c r="BW36" i="1"/>
  <c r="BO36" i="1"/>
  <c r="BU36" i="1"/>
  <c r="BR36" i="1"/>
  <c r="BX36" i="1"/>
  <c r="BS36" i="1"/>
  <c r="BW27" i="1"/>
  <c r="CD27" i="1"/>
  <c r="BR27" i="1"/>
  <c r="CC27" i="1"/>
  <c r="BV27" i="1"/>
  <c r="CA27" i="1"/>
  <c r="BS27" i="1"/>
  <c r="CF27" i="1"/>
  <c r="BT27" i="1"/>
  <c r="BY27" i="1"/>
  <c r="BO27" i="1"/>
  <c r="CB27" i="1"/>
  <c r="BZ27" i="1"/>
  <c r="CE27" i="1"/>
  <c r="BX27" i="1"/>
  <c r="BP27" i="1"/>
  <c r="BQ27" i="1"/>
  <c r="BU27" i="1"/>
  <c r="CG27" i="1"/>
  <c r="CE30" i="1"/>
  <c r="BP30" i="1"/>
  <c r="BT30" i="1"/>
  <c r="CG30" i="1"/>
  <c r="BV30" i="1"/>
  <c r="BZ30" i="1"/>
  <c r="BS30" i="1"/>
  <c r="CB30" i="1"/>
  <c r="CF30" i="1"/>
  <c r="BQ30" i="1"/>
  <c r="BW30" i="1"/>
  <c r="BR30" i="1"/>
  <c r="BO30" i="1"/>
  <c r="BX30" i="1"/>
  <c r="BU30" i="1"/>
  <c r="BY30" i="1"/>
  <c r="CD30" i="1"/>
  <c r="CA30" i="1"/>
  <c r="CC30" i="1"/>
  <c r="CX28" i="1" a="1"/>
  <c r="CX28" i="1" s="1"/>
  <c r="CX67" i="1" a="1"/>
  <c r="CX67" i="1" s="1"/>
  <c r="CC67" i="1" s="1"/>
  <c r="CX97" i="1" a="1"/>
  <c r="CX97" i="1" s="1"/>
  <c r="CX138" i="1" a="1"/>
  <c r="CX138" i="1" s="1"/>
  <c r="CX168" i="1" a="1"/>
  <c r="CX168" i="1" s="1"/>
  <c r="CX224" i="1" a="1"/>
  <c r="CX224" i="1" s="1"/>
  <c r="CX232" i="1" a="1"/>
  <c r="CX232" i="1" s="1"/>
  <c r="CX249" i="1" a="1"/>
  <c r="CX249" i="1" s="1"/>
  <c r="CX24" i="1" a="1"/>
  <c r="CX24" i="1" s="1"/>
  <c r="CX62" i="1" a="1"/>
  <c r="CX62" i="1" s="1"/>
  <c r="CX94" i="1" a="1"/>
  <c r="CX94" i="1" s="1"/>
  <c r="CX143" i="1" a="1"/>
  <c r="CX143" i="1" s="1"/>
  <c r="CX178" i="1" a="1"/>
  <c r="CX178" i="1" s="1"/>
  <c r="CE178" i="1" s="1"/>
  <c r="CX201" i="1" a="1"/>
  <c r="CX201" i="1" s="1"/>
  <c r="CX265" i="1" a="1"/>
  <c r="CX265" i="1" s="1"/>
  <c r="CX234" i="1" a="1"/>
  <c r="CX234" i="1" s="1"/>
  <c r="CX298" i="1" a="1"/>
  <c r="CX298" i="1" s="1"/>
  <c r="CX47" i="1" a="1"/>
  <c r="CX47" i="1" s="1"/>
  <c r="CX93" i="1" a="1"/>
  <c r="CX93" i="1" s="1"/>
  <c r="CX112" i="1" a="1"/>
  <c r="CX112" i="1" s="1"/>
  <c r="CX157" i="1" a="1"/>
  <c r="CX157" i="1" s="1"/>
  <c r="CX197" i="1" a="1"/>
  <c r="CX197" i="1" s="1"/>
  <c r="CX205" i="1" a="1"/>
  <c r="CX205" i="1" s="1"/>
  <c r="CX245" i="1" a="1"/>
  <c r="CX245" i="1" s="1"/>
  <c r="CX285" i="1" a="1"/>
  <c r="CX285" i="1" s="1"/>
  <c r="CX88" i="1" a="1"/>
  <c r="CX88" i="1" s="1"/>
  <c r="CX188" i="1" a="1"/>
  <c r="CX188" i="1" s="1"/>
  <c r="CX294" i="1" a="1"/>
  <c r="CX294" i="1" s="1"/>
  <c r="CD294" i="1" s="1"/>
  <c r="CX61" i="1" a="1"/>
  <c r="CX61" i="1" s="1"/>
  <c r="CX96" i="1" a="1"/>
  <c r="CX96" i="1" s="1"/>
  <c r="CX118" i="1" a="1"/>
  <c r="CX118" i="1" s="1"/>
  <c r="CB118" i="1" s="1"/>
  <c r="CX160" i="1" a="1"/>
  <c r="CX160" i="1" s="1"/>
  <c r="CX200" i="1" a="1"/>
  <c r="CX200" i="1" s="1"/>
  <c r="CD200" i="1" s="1"/>
  <c r="CX247" i="1" a="1"/>
  <c r="CX247" i="1" s="1"/>
  <c r="CX302" i="1" a="1"/>
  <c r="CX302" i="1" s="1"/>
  <c r="CX288" i="1" a="1"/>
  <c r="CX288" i="1" s="1"/>
  <c r="CX98" i="1" a="1"/>
  <c r="CX98" i="1" s="1"/>
  <c r="CX211" i="1" a="1"/>
  <c r="CX211" i="1" s="1"/>
  <c r="CE211" i="1" s="1"/>
  <c r="CX21" i="1" a="1"/>
  <c r="CX21" i="1" s="1"/>
  <c r="CX59" i="1" a="1"/>
  <c r="CX59" i="1" s="1"/>
  <c r="CX95" i="1" a="1"/>
  <c r="CX95" i="1" s="1"/>
  <c r="CA95" i="1" s="1"/>
  <c r="CX132" i="1" a="1"/>
  <c r="CX132" i="1" s="1"/>
  <c r="CD132" i="1" s="1"/>
  <c r="CX166" i="1" a="1"/>
  <c r="CX166" i="1" s="1"/>
  <c r="CX184" i="1" a="1"/>
  <c r="CX184" i="1" s="1"/>
  <c r="CX257" i="1" a="1"/>
  <c r="CX257" i="1" s="1"/>
  <c r="CG257" i="1" s="1"/>
  <c r="CX273" i="1" a="1"/>
  <c r="CX273" i="1" s="1"/>
  <c r="CX289" i="1" a="1"/>
  <c r="CX289" i="1" s="1"/>
  <c r="CF289" i="1" s="1"/>
  <c r="CX108" i="1" a="1"/>
  <c r="CX108" i="1" s="1"/>
  <c r="CA108" i="1" s="1"/>
  <c r="CX259" i="1" a="1"/>
  <c r="CX259" i="1" s="1"/>
  <c r="CX161" i="1" a="1"/>
  <c r="CX161" i="1" s="1"/>
  <c r="CX79" i="1" a="1"/>
  <c r="CX79" i="1" s="1"/>
  <c r="CX290" i="1" a="1"/>
  <c r="CX290" i="1" s="1"/>
  <c r="CX230" i="1" a="1"/>
  <c r="CX230" i="1" s="1"/>
  <c r="CX32" i="1" a="1"/>
  <c r="CX32" i="1" s="1"/>
  <c r="CX241" i="1" a="1"/>
  <c r="CX241" i="1" s="1"/>
  <c r="CX81" i="1" a="1"/>
  <c r="CX81" i="1" s="1"/>
  <c r="CX281" i="1" a="1"/>
  <c r="CX281" i="1" s="1"/>
  <c r="CX78" i="1" a="1"/>
  <c r="CX78" i="1" s="1"/>
  <c r="CX297" i="1" a="1"/>
  <c r="CX297" i="1" s="1"/>
  <c r="CX229" i="1" a="1"/>
  <c r="CX229" i="1" s="1"/>
  <c r="CG229" i="1" s="1"/>
  <c r="CX154" i="1" a="1"/>
  <c r="CX154" i="1" s="1"/>
  <c r="CE154" i="1" s="1"/>
  <c r="CX158" i="1" a="1"/>
  <c r="CX158" i="1" s="1"/>
  <c r="CX182" i="1" a="1"/>
  <c r="CX182" i="1" s="1"/>
  <c r="CX246" i="1" a="1"/>
  <c r="CX246" i="1" s="1"/>
  <c r="CX220" i="1" a="1"/>
  <c r="CX220" i="1" s="1"/>
  <c r="CX198" i="1" a="1"/>
  <c r="CX198" i="1" s="1"/>
  <c r="CX123" i="1" a="1"/>
  <c r="CX123" i="1" s="1"/>
  <c r="CX38" i="1" a="1"/>
  <c r="CX38" i="1" s="1"/>
  <c r="CD38" i="1" s="1"/>
  <c r="CX275" i="1" a="1"/>
  <c r="CX275" i="1" s="1"/>
  <c r="CX80" i="1" a="1"/>
  <c r="CX80" i="1" s="1"/>
  <c r="CX296" i="1" a="1"/>
  <c r="CX296" i="1" s="1"/>
  <c r="CX124" i="1" a="1"/>
  <c r="CX124" i="1" s="1"/>
  <c r="CX104" i="1" a="1"/>
  <c r="CX104" i="1" s="1"/>
  <c r="CE286" i="1"/>
  <c r="BW286" i="1"/>
  <c r="BO286" i="1"/>
  <c r="CC286" i="1"/>
  <c r="BU286" i="1"/>
  <c r="BV286" i="1"/>
  <c r="CD286" i="1"/>
  <c r="CA286" i="1"/>
  <c r="CF286" i="1"/>
  <c r="BR286" i="1"/>
  <c r="CB286" i="1"/>
  <c r="BX286" i="1"/>
  <c r="BS286" i="1"/>
  <c r="CG286" i="1"/>
  <c r="BT286" i="1"/>
  <c r="BP286" i="1"/>
  <c r="BY286" i="1"/>
  <c r="BQ286" i="1"/>
  <c r="BZ286" i="1"/>
  <c r="BZ291" i="1"/>
  <c r="BQ291" i="1"/>
  <c r="BV291" i="1"/>
  <c r="BW291" i="1"/>
  <c r="BO291" i="1"/>
  <c r="CC291" i="1"/>
  <c r="CD291" i="1"/>
  <c r="BU291" i="1"/>
  <c r="BS291" i="1"/>
  <c r="CF291" i="1"/>
  <c r="BR291" i="1"/>
  <c r="BX291" i="1"/>
  <c r="CB291" i="1"/>
  <c r="CA291" i="1"/>
  <c r="BY291" i="1"/>
  <c r="BT291" i="1"/>
  <c r="BP291" i="1"/>
  <c r="CG291" i="1"/>
  <c r="CE291" i="1"/>
  <c r="BZ299" i="1"/>
  <c r="BP299" i="1"/>
  <c r="CB299" i="1"/>
  <c r="BR299" i="1"/>
  <c r="CD299" i="1"/>
  <c r="CF299" i="1"/>
  <c r="CC299" i="1"/>
  <c r="CA299" i="1"/>
  <c r="BT299" i="1"/>
  <c r="BS299" i="1"/>
  <c r="CG299" i="1"/>
  <c r="BY299" i="1"/>
  <c r="BV299" i="1"/>
  <c r="BX299" i="1"/>
  <c r="CE299" i="1"/>
  <c r="BQ299" i="1"/>
  <c r="BO299" i="1"/>
  <c r="BW299" i="1"/>
  <c r="BU299" i="1"/>
  <c r="BZ281" i="1"/>
  <c r="BP281" i="1"/>
  <c r="CB281" i="1"/>
  <c r="BR281" i="1"/>
  <c r="CD281" i="1"/>
  <c r="CF281" i="1"/>
  <c r="CC281" i="1"/>
  <c r="CA281" i="1"/>
  <c r="BT281" i="1"/>
  <c r="BS281" i="1"/>
  <c r="CG281" i="1"/>
  <c r="BY281" i="1"/>
  <c r="BV281" i="1"/>
  <c r="BX281" i="1"/>
  <c r="CE281" i="1"/>
  <c r="BQ281" i="1"/>
  <c r="BO281" i="1"/>
  <c r="BW281" i="1"/>
  <c r="BU281" i="1"/>
  <c r="BZ246" i="1"/>
  <c r="BT246" i="1"/>
  <c r="CF246" i="1"/>
  <c r="BW246" i="1"/>
  <c r="BU246" i="1"/>
  <c r="BR246" i="1"/>
  <c r="CB246" i="1"/>
  <c r="CC246" i="1"/>
  <c r="CA246" i="1"/>
  <c r="BP246" i="1"/>
  <c r="BS246" i="1"/>
  <c r="CG246" i="1"/>
  <c r="BX246" i="1"/>
  <c r="BY246" i="1"/>
  <c r="BV246" i="1"/>
  <c r="CE246" i="1"/>
  <c r="BQ246" i="1"/>
  <c r="BO246" i="1"/>
  <c r="CD246" i="1"/>
  <c r="BU279" i="1"/>
  <c r="BQ279" i="1"/>
  <c r="BS279" i="1"/>
  <c r="CF279" i="1"/>
  <c r="CA279" i="1"/>
  <c r="BW279" i="1"/>
  <c r="BY279" i="1"/>
  <c r="CG279" i="1"/>
  <c r="CC279" i="1"/>
  <c r="CE279" i="1"/>
  <c r="BT279" i="1"/>
  <c r="BP279" i="1"/>
  <c r="BR279" i="1"/>
  <c r="BV279" i="1"/>
  <c r="BX279" i="1"/>
  <c r="BZ279" i="1"/>
  <c r="BO279" i="1"/>
  <c r="CB279" i="1"/>
  <c r="CD279" i="1"/>
  <c r="BZ261" i="1"/>
  <c r="BP261" i="1"/>
  <c r="BR261" i="1"/>
  <c r="CF261" i="1"/>
  <c r="BV261" i="1"/>
  <c r="BX261" i="1"/>
  <c r="BO261" i="1"/>
  <c r="CB261" i="1"/>
  <c r="CD261" i="1"/>
  <c r="BU261" i="1"/>
  <c r="BQ261" i="1"/>
  <c r="BS261" i="1"/>
  <c r="CA261" i="1"/>
  <c r="BW261" i="1"/>
  <c r="BY261" i="1"/>
  <c r="BT261" i="1"/>
  <c r="CG261" i="1"/>
  <c r="CC261" i="1"/>
  <c r="CE261" i="1"/>
  <c r="BR239" i="1"/>
  <c r="CD239" i="1"/>
  <c r="BX239" i="1"/>
  <c r="BZ239" i="1"/>
  <c r="BP239" i="1"/>
  <c r="BY239" i="1"/>
  <c r="BQ239" i="1"/>
  <c r="CE239" i="1"/>
  <c r="BW239" i="1"/>
  <c r="BO239" i="1"/>
  <c r="CC239" i="1"/>
  <c r="BU239" i="1"/>
  <c r="BV239" i="1"/>
  <c r="CA239" i="1"/>
  <c r="CF239" i="1"/>
  <c r="CB239" i="1"/>
  <c r="BS239" i="1"/>
  <c r="CG239" i="1"/>
  <c r="BT239" i="1"/>
  <c r="CB269" i="1"/>
  <c r="CD269" i="1"/>
  <c r="CF269" i="1"/>
  <c r="BQ269" i="1"/>
  <c r="BS269" i="1"/>
  <c r="BO269" i="1"/>
  <c r="BW269" i="1"/>
  <c r="BY269" i="1"/>
  <c r="BU269" i="1"/>
  <c r="CC269" i="1"/>
  <c r="CE269" i="1"/>
  <c r="CA269" i="1"/>
  <c r="BP269" i="1"/>
  <c r="BR269" i="1"/>
  <c r="BT269" i="1"/>
  <c r="CG269" i="1"/>
  <c r="BV269" i="1"/>
  <c r="BX269" i="1"/>
  <c r="BZ269" i="1"/>
  <c r="BO256" i="1"/>
  <c r="CE256" i="1"/>
  <c r="CB256" i="1"/>
  <c r="CF256" i="1"/>
  <c r="BU256" i="1"/>
  <c r="BP256" i="1"/>
  <c r="BT256" i="1"/>
  <c r="CA256" i="1"/>
  <c r="BX256" i="1"/>
  <c r="CC256" i="1"/>
  <c r="CG256" i="1"/>
  <c r="BQ256" i="1"/>
  <c r="BV256" i="1"/>
  <c r="BS256" i="1"/>
  <c r="BZ256" i="1"/>
  <c r="CD256" i="1"/>
  <c r="BY256" i="1"/>
  <c r="BR256" i="1"/>
  <c r="BW256" i="1"/>
  <c r="BS247" i="1"/>
  <c r="BZ247" i="1"/>
  <c r="CD247" i="1"/>
  <c r="BY247" i="1"/>
  <c r="BR247" i="1"/>
  <c r="BW247" i="1"/>
  <c r="BO247" i="1"/>
  <c r="CE247" i="1"/>
  <c r="CB247" i="1"/>
  <c r="CF247" i="1"/>
  <c r="BU247" i="1"/>
  <c r="BP247" i="1"/>
  <c r="BT247" i="1"/>
  <c r="CA247" i="1"/>
  <c r="BX247" i="1"/>
  <c r="CC247" i="1"/>
  <c r="CG247" i="1"/>
  <c r="BQ247" i="1"/>
  <c r="BV247" i="1"/>
  <c r="BV255" i="1"/>
  <c r="BS255" i="1"/>
  <c r="CC255" i="1"/>
  <c r="BP255" i="1"/>
  <c r="BR255" i="1"/>
  <c r="BO255" i="1"/>
  <c r="BU255" i="1"/>
  <c r="CF255" i="1"/>
  <c r="CD255" i="1"/>
  <c r="BZ255" i="1"/>
  <c r="CA255" i="1"/>
  <c r="BX255" i="1"/>
  <c r="BT255" i="1"/>
  <c r="BQ255" i="1"/>
  <c r="CG255" i="1"/>
  <c r="CE255" i="1"/>
  <c r="CB255" i="1"/>
  <c r="BW255" i="1"/>
  <c r="BY255" i="1"/>
  <c r="BZ235" i="1"/>
  <c r="BP235" i="1"/>
  <c r="CB235" i="1"/>
  <c r="BR235" i="1"/>
  <c r="CD235" i="1"/>
  <c r="BQ235" i="1"/>
  <c r="BV235" i="1"/>
  <c r="BX235" i="1"/>
  <c r="BW235" i="1"/>
  <c r="BO235" i="1"/>
  <c r="CC235" i="1"/>
  <c r="BU235" i="1"/>
  <c r="BS235" i="1"/>
  <c r="CF235" i="1"/>
  <c r="CA235" i="1"/>
  <c r="BY235" i="1"/>
  <c r="BT235" i="1"/>
  <c r="CG235" i="1"/>
  <c r="CE235" i="1"/>
  <c r="BR265" i="1"/>
  <c r="BT265" i="1"/>
  <c r="CG265" i="1"/>
  <c r="CC265" i="1"/>
  <c r="BX265" i="1"/>
  <c r="BZ265" i="1"/>
  <c r="BP265" i="1"/>
  <c r="CD265" i="1"/>
  <c r="CF265" i="1"/>
  <c r="BV265" i="1"/>
  <c r="BS265" i="1"/>
  <c r="BO265" i="1"/>
  <c r="CB265" i="1"/>
  <c r="BY265" i="1"/>
  <c r="BU265" i="1"/>
  <c r="BQ265" i="1"/>
  <c r="CE265" i="1"/>
  <c r="CA265" i="1"/>
  <c r="BW265" i="1"/>
  <c r="CC217" i="1"/>
  <c r="CF217" i="1"/>
  <c r="BS217" i="1"/>
  <c r="BZ217" i="1"/>
  <c r="CG217" i="1"/>
  <c r="BV217" i="1"/>
  <c r="CA217" i="1"/>
  <c r="BY217" i="1"/>
  <c r="BP217" i="1"/>
  <c r="BX217" i="1"/>
  <c r="CD217" i="1"/>
  <c r="CE217" i="1"/>
  <c r="BO217" i="1"/>
  <c r="BU217" i="1"/>
  <c r="BR217" i="1"/>
  <c r="BQ217" i="1"/>
  <c r="BW217" i="1"/>
  <c r="CB217" i="1"/>
  <c r="BT217" i="1"/>
  <c r="BO226" i="1"/>
  <c r="CB226" i="1"/>
  <c r="CD226" i="1"/>
  <c r="BU226" i="1"/>
  <c r="BQ226" i="1"/>
  <c r="BS226" i="1"/>
  <c r="CA226" i="1"/>
  <c r="BW226" i="1"/>
  <c r="BY226" i="1"/>
  <c r="BT226" i="1"/>
  <c r="CG226" i="1"/>
  <c r="CC226" i="1"/>
  <c r="CE226" i="1"/>
  <c r="BZ226" i="1"/>
  <c r="BP226" i="1"/>
  <c r="BR226" i="1"/>
  <c r="CF226" i="1"/>
  <c r="BV226" i="1"/>
  <c r="BX226" i="1"/>
  <c r="CB225" i="1"/>
  <c r="CD225" i="1"/>
  <c r="CF225" i="1"/>
  <c r="BQ225" i="1"/>
  <c r="BS225" i="1"/>
  <c r="BO225" i="1"/>
  <c r="BW225" i="1"/>
  <c r="BY225" i="1"/>
  <c r="BU225" i="1"/>
  <c r="CC225" i="1"/>
  <c r="CE225" i="1"/>
  <c r="CA225" i="1"/>
  <c r="BP225" i="1"/>
  <c r="BR225" i="1"/>
  <c r="BT225" i="1"/>
  <c r="CG225" i="1"/>
  <c r="BV225" i="1"/>
  <c r="BX225" i="1"/>
  <c r="BZ225" i="1"/>
  <c r="BO208" i="1"/>
  <c r="CA208" i="1"/>
  <c r="BQ208" i="1"/>
  <c r="CC208" i="1"/>
  <c r="BS208" i="1"/>
  <c r="CE208" i="1"/>
  <c r="BU208" i="1"/>
  <c r="CG208" i="1"/>
  <c r="BW208" i="1"/>
  <c r="CB208" i="1"/>
  <c r="BT208" i="1"/>
  <c r="BR208" i="1"/>
  <c r="BZ208" i="1"/>
  <c r="BX208" i="1"/>
  <c r="CF208" i="1"/>
  <c r="CD208" i="1"/>
  <c r="BP208" i="1"/>
  <c r="BY208" i="1"/>
  <c r="BV208" i="1"/>
  <c r="BO191" i="1"/>
  <c r="BP191" i="1"/>
  <c r="BV191" i="1"/>
  <c r="BS191" i="1"/>
  <c r="BT191" i="1"/>
  <c r="BR191" i="1"/>
  <c r="CF191" i="1"/>
  <c r="CD191" i="1"/>
  <c r="BU191" i="1"/>
  <c r="CG191" i="1"/>
  <c r="BW191" i="1"/>
  <c r="BZ191" i="1"/>
  <c r="BY191" i="1"/>
  <c r="CE191" i="1"/>
  <c r="CA191" i="1"/>
  <c r="CB191" i="1"/>
  <c r="BX191" i="1"/>
  <c r="CC191" i="1"/>
  <c r="BQ191" i="1"/>
  <c r="CB197" i="1"/>
  <c r="CD197" i="1"/>
  <c r="CF197" i="1"/>
  <c r="BQ197" i="1"/>
  <c r="BS197" i="1"/>
  <c r="BO197" i="1"/>
  <c r="BW197" i="1"/>
  <c r="BY197" i="1"/>
  <c r="BU197" i="1"/>
  <c r="CC197" i="1"/>
  <c r="CE197" i="1"/>
  <c r="CA197" i="1"/>
  <c r="BP197" i="1"/>
  <c r="BR197" i="1"/>
  <c r="BT197" i="1"/>
  <c r="CG197" i="1"/>
  <c r="BV197" i="1"/>
  <c r="BX197" i="1"/>
  <c r="BZ197" i="1"/>
  <c r="BZ187" i="1"/>
  <c r="BP187" i="1"/>
  <c r="CB187" i="1"/>
  <c r="BR187" i="1"/>
  <c r="CD187" i="1"/>
  <c r="BT187" i="1"/>
  <c r="BU187" i="1"/>
  <c r="BS187" i="1"/>
  <c r="BX187" i="1"/>
  <c r="BW187" i="1"/>
  <c r="CC187" i="1"/>
  <c r="BY187" i="1"/>
  <c r="BO187" i="1"/>
  <c r="CE187" i="1"/>
  <c r="CA187" i="1"/>
  <c r="BV187" i="1"/>
  <c r="CF187" i="1"/>
  <c r="CG187" i="1"/>
  <c r="BQ187" i="1"/>
  <c r="BV185" i="1"/>
  <c r="BZ185" i="1"/>
  <c r="CB185" i="1"/>
  <c r="BT185" i="1"/>
  <c r="CE185" i="1"/>
  <c r="BW185" i="1"/>
  <c r="BS185" i="1"/>
  <c r="CG185" i="1"/>
  <c r="CD185" i="1"/>
  <c r="BU185" i="1"/>
  <c r="BP185" i="1"/>
  <c r="CA185" i="1"/>
  <c r="BQ185" i="1"/>
  <c r="CF185" i="1"/>
  <c r="CC185" i="1"/>
  <c r="BY185" i="1"/>
  <c r="BR185" i="1"/>
  <c r="BO185" i="1"/>
  <c r="BX185" i="1"/>
  <c r="BO178" i="1"/>
  <c r="CB178" i="1"/>
  <c r="BR178" i="1"/>
  <c r="CD178" i="1"/>
  <c r="BW178" i="1"/>
  <c r="BS178" i="1"/>
  <c r="BX178" i="1"/>
  <c r="BU178" i="1"/>
  <c r="BV178" i="1"/>
  <c r="CG178" i="1"/>
  <c r="BP178" i="1"/>
  <c r="BQ178" i="1"/>
  <c r="BZ178" i="1"/>
  <c r="BY178" i="1"/>
  <c r="BT178" i="1"/>
  <c r="BO180" i="1"/>
  <c r="BV180" i="1"/>
  <c r="CC180" i="1"/>
  <c r="BP180" i="1"/>
  <c r="BW180" i="1"/>
  <c r="CD180" i="1"/>
  <c r="BQ180" i="1"/>
  <c r="BX180" i="1"/>
  <c r="CF180" i="1"/>
  <c r="BR180" i="1"/>
  <c r="BZ180" i="1"/>
  <c r="CG180" i="1"/>
  <c r="BY180" i="1"/>
  <c r="BS180" i="1"/>
  <c r="CE180" i="1"/>
  <c r="CB180" i="1"/>
  <c r="BT180" i="1"/>
  <c r="CA180" i="1"/>
  <c r="BU180" i="1"/>
  <c r="BU160" i="1"/>
  <c r="BV160" i="1"/>
  <c r="CA160" i="1"/>
  <c r="BY160" i="1"/>
  <c r="BP160" i="1"/>
  <c r="CG160" i="1"/>
  <c r="BR160" i="1"/>
  <c r="CC160" i="1"/>
  <c r="CB160" i="1"/>
  <c r="BZ160" i="1"/>
  <c r="CE160" i="1"/>
  <c r="BT160" i="1"/>
  <c r="BS160" i="1"/>
  <c r="BX160" i="1"/>
  <c r="BQ160" i="1"/>
  <c r="CD160" i="1"/>
  <c r="BO160" i="1"/>
  <c r="CF160" i="1"/>
  <c r="BW160" i="1"/>
  <c r="BW155" i="1"/>
  <c r="CF155" i="1"/>
  <c r="BO155" i="1"/>
  <c r="BX155" i="1"/>
  <c r="CG155" i="1"/>
  <c r="BT155" i="1"/>
  <c r="CC155" i="1"/>
  <c r="CD155" i="1"/>
  <c r="CB155" i="1"/>
  <c r="BS155" i="1"/>
  <c r="BZ155" i="1"/>
  <c r="BY155" i="1"/>
  <c r="BQ155" i="1"/>
  <c r="CE155" i="1"/>
  <c r="BP155" i="1"/>
  <c r="CA155" i="1"/>
  <c r="BU155" i="1"/>
  <c r="BV155" i="1"/>
  <c r="BR155" i="1"/>
  <c r="BT152" i="1"/>
  <c r="CB152" i="1"/>
  <c r="CA152" i="1"/>
  <c r="BY152" i="1"/>
  <c r="BP152" i="1"/>
  <c r="CG152" i="1"/>
  <c r="CF152" i="1"/>
  <c r="BW152" i="1"/>
  <c r="BQ152" i="1"/>
  <c r="BS152" i="1"/>
  <c r="CD152" i="1"/>
  <c r="BX152" i="1"/>
  <c r="BZ152" i="1"/>
  <c r="BO152" i="1"/>
  <c r="CE152" i="1"/>
  <c r="BV152" i="1"/>
  <c r="BU152" i="1"/>
  <c r="BR152" i="1"/>
  <c r="CC152" i="1"/>
  <c r="BS150" i="1"/>
  <c r="BT150" i="1"/>
  <c r="CC150" i="1"/>
  <c r="BR150" i="1"/>
  <c r="BO150" i="1"/>
  <c r="BX150" i="1"/>
  <c r="BZ150" i="1"/>
  <c r="BV150" i="1"/>
  <c r="CF150" i="1"/>
  <c r="CG150" i="1"/>
  <c r="BP150" i="1"/>
  <c r="CA150" i="1"/>
  <c r="BW150" i="1"/>
  <c r="BY150" i="1"/>
  <c r="BU150" i="1"/>
  <c r="CD150" i="1"/>
  <c r="CE150" i="1"/>
  <c r="CB150" i="1"/>
  <c r="BQ150" i="1"/>
  <c r="BX135" i="1"/>
  <c r="BZ135" i="1"/>
  <c r="BO135" i="1"/>
  <c r="CA135" i="1"/>
  <c r="BR135" i="1"/>
  <c r="CD135" i="1"/>
  <c r="BT135" i="1"/>
  <c r="CF135" i="1"/>
  <c r="BU135" i="1"/>
  <c r="CG135" i="1"/>
  <c r="BY135" i="1"/>
  <c r="BQ135" i="1"/>
  <c r="BS135" i="1"/>
  <c r="CB135" i="1"/>
  <c r="BV135" i="1"/>
  <c r="CC135" i="1"/>
  <c r="BP135" i="1"/>
  <c r="CE135" i="1"/>
  <c r="BW135" i="1"/>
  <c r="BU139" i="1"/>
  <c r="CB139" i="1"/>
  <c r="BO139" i="1"/>
  <c r="BV139" i="1"/>
  <c r="CD139" i="1"/>
  <c r="BR139" i="1"/>
  <c r="BY139" i="1"/>
  <c r="CF139" i="1"/>
  <c r="BS139" i="1"/>
  <c r="BZ139" i="1"/>
  <c r="CG139" i="1"/>
  <c r="BX139" i="1"/>
  <c r="BQ139" i="1"/>
  <c r="BP139" i="1"/>
  <c r="BW139" i="1"/>
  <c r="CC139" i="1"/>
  <c r="CA139" i="1"/>
  <c r="BT139" i="1"/>
  <c r="CE139" i="1"/>
  <c r="BU132" i="1"/>
  <c r="CA132" i="1"/>
  <c r="BQ132" i="1"/>
  <c r="CF132" i="1"/>
  <c r="BP132" i="1"/>
  <c r="BZ132" i="1"/>
  <c r="BX132" i="1"/>
  <c r="BR132" i="1"/>
  <c r="BT132" i="1"/>
  <c r="BY132" i="1"/>
  <c r="BS132" i="1"/>
  <c r="BW132" i="1"/>
  <c r="BO132" i="1"/>
  <c r="BV132" i="1"/>
  <c r="CE133" i="1"/>
  <c r="CD133" i="1"/>
  <c r="BT133" i="1"/>
  <c r="BO133" i="1"/>
  <c r="BR133" i="1"/>
  <c r="BU133" i="1"/>
  <c r="BV133" i="1"/>
  <c r="BZ133" i="1"/>
  <c r="BX133" i="1"/>
  <c r="CC133" i="1"/>
  <c r="CG133" i="1"/>
  <c r="CA133" i="1"/>
  <c r="BS133" i="1"/>
  <c r="BP133" i="1"/>
  <c r="BQ133" i="1"/>
  <c r="CB133" i="1"/>
  <c r="BY133" i="1"/>
  <c r="BW133" i="1"/>
  <c r="CF133" i="1"/>
  <c r="CG120" i="1"/>
  <c r="BT120" i="1"/>
  <c r="BP120" i="1"/>
  <c r="BR120" i="1"/>
  <c r="CC120" i="1"/>
  <c r="BY120" i="1"/>
  <c r="BX120" i="1"/>
  <c r="BV120" i="1"/>
  <c r="BQ120" i="1"/>
  <c r="BO120" i="1"/>
  <c r="CD120" i="1"/>
  <c r="CE120" i="1"/>
  <c r="BZ120" i="1"/>
  <c r="BU120" i="1"/>
  <c r="BS120" i="1"/>
  <c r="BW120" i="1"/>
  <c r="CA120" i="1"/>
  <c r="CB120" i="1"/>
  <c r="CF120" i="1"/>
  <c r="BO90" i="1"/>
  <c r="BV90" i="1"/>
  <c r="CD90" i="1"/>
  <c r="BR90" i="1"/>
  <c r="BY90" i="1"/>
  <c r="CF90" i="1"/>
  <c r="BS90" i="1"/>
  <c r="BZ90" i="1"/>
  <c r="CG90" i="1"/>
  <c r="BU90" i="1"/>
  <c r="CB90" i="1"/>
  <c r="BW90" i="1"/>
  <c r="CE90" i="1"/>
  <c r="CC90" i="1"/>
  <c r="BX90" i="1"/>
  <c r="CA90" i="1"/>
  <c r="BP90" i="1"/>
  <c r="BT90" i="1"/>
  <c r="BQ90" i="1"/>
  <c r="CF107" i="1"/>
  <c r="BR107" i="1"/>
  <c r="CA107" i="1"/>
  <c r="BV107" i="1"/>
  <c r="BX107" i="1"/>
  <c r="CG107" i="1"/>
  <c r="CC107" i="1"/>
  <c r="CE107" i="1"/>
  <c r="BY107" i="1"/>
  <c r="BS107" i="1"/>
  <c r="BP107" i="1"/>
  <c r="BZ107" i="1"/>
  <c r="BW107" i="1"/>
  <c r="BO107" i="1"/>
  <c r="BT107" i="1"/>
  <c r="CD107" i="1"/>
  <c r="BU107" i="1"/>
  <c r="CB107" i="1"/>
  <c r="BQ107" i="1"/>
  <c r="CE108" i="1"/>
  <c r="BP108" i="1"/>
  <c r="BQ108" i="1"/>
  <c r="BU108" i="1"/>
  <c r="BW108" i="1"/>
  <c r="CB108" i="1"/>
  <c r="CD108" i="1"/>
  <c r="BO108" i="1"/>
  <c r="BR108" i="1"/>
  <c r="BX108" i="1"/>
  <c r="BS108" i="1"/>
  <c r="BV108" i="1"/>
  <c r="BZ108" i="1"/>
  <c r="CF108" i="1"/>
  <c r="BY108" i="1"/>
  <c r="CC108" i="1"/>
  <c r="CG108" i="1"/>
  <c r="BT108" i="1"/>
  <c r="BV101" i="1"/>
  <c r="CE101" i="1"/>
  <c r="BW101" i="1"/>
  <c r="CF101" i="1"/>
  <c r="BS101" i="1"/>
  <c r="CB101" i="1"/>
  <c r="BR101" i="1"/>
  <c r="BP101" i="1"/>
  <c r="BX101" i="1"/>
  <c r="BT101" i="1"/>
  <c r="BO101" i="1"/>
  <c r="CD101" i="1"/>
  <c r="BU101" i="1"/>
  <c r="BZ101" i="1"/>
  <c r="CA101" i="1"/>
  <c r="BQ101" i="1"/>
  <c r="CC101" i="1"/>
  <c r="CG101" i="1"/>
  <c r="BY101" i="1"/>
  <c r="BW95" i="1"/>
  <c r="BZ95" i="1"/>
  <c r="BP95" i="1"/>
  <c r="CD95" i="1"/>
  <c r="BR95" i="1"/>
  <c r="CG95" i="1"/>
  <c r="BU95" i="1"/>
  <c r="BX95" i="1"/>
  <c r="CB95" i="1"/>
  <c r="CF95" i="1"/>
  <c r="BO95" i="1"/>
  <c r="BT95" i="1"/>
  <c r="BS95" i="1"/>
  <c r="BV95" i="1"/>
  <c r="BY95" i="1"/>
  <c r="CC95" i="1"/>
  <c r="CE95" i="1"/>
  <c r="BQ95" i="1"/>
  <c r="BR84" i="1"/>
  <c r="CA84" i="1"/>
  <c r="BS84" i="1"/>
  <c r="CB84" i="1"/>
  <c r="BV84" i="1"/>
  <c r="CE84" i="1"/>
  <c r="BO84" i="1"/>
  <c r="BX84" i="1"/>
  <c r="CG84" i="1"/>
  <c r="CF84" i="1"/>
  <c r="BQ84" i="1"/>
  <c r="BY84" i="1"/>
  <c r="BW84" i="1"/>
  <c r="BP84" i="1"/>
  <c r="CC84" i="1"/>
  <c r="BT84" i="1"/>
  <c r="CD84" i="1"/>
  <c r="BZ84" i="1"/>
  <c r="BU84" i="1"/>
  <c r="BQ70" i="1"/>
  <c r="BX70" i="1"/>
  <c r="CE70" i="1"/>
  <c r="BR70" i="1"/>
  <c r="BY70" i="1"/>
  <c r="CF70" i="1"/>
  <c r="BV70" i="1"/>
  <c r="CC70" i="1"/>
  <c r="BT70" i="1"/>
  <c r="BS70" i="1"/>
  <c r="BO70" i="1"/>
  <c r="BP70" i="1"/>
  <c r="CB70" i="1"/>
  <c r="BZ70" i="1"/>
  <c r="BU70" i="1"/>
  <c r="CA70" i="1"/>
  <c r="CG70" i="1"/>
  <c r="CD70" i="1"/>
  <c r="BW70" i="1"/>
  <c r="BZ71" i="1"/>
  <c r="BO71" i="1"/>
  <c r="BQ71" i="1"/>
  <c r="CG71" i="1"/>
  <c r="BV71" i="1"/>
  <c r="BX71" i="1"/>
  <c r="BS71" i="1"/>
  <c r="BT71" i="1"/>
  <c r="CC71" i="1"/>
  <c r="CF71" i="1"/>
  <c r="BY71" i="1"/>
  <c r="CA71" i="1"/>
  <c r="BP71" i="1"/>
  <c r="CE71" i="1"/>
  <c r="BU71" i="1"/>
  <c r="BW71" i="1"/>
  <c r="BR71" i="1"/>
  <c r="CB71" i="1"/>
  <c r="CD71" i="1"/>
  <c r="BX56" i="1"/>
  <c r="CF56" i="1"/>
  <c r="BV56" i="1"/>
  <c r="BO56" i="1"/>
  <c r="CB56" i="1"/>
  <c r="CD56" i="1"/>
  <c r="BZ56" i="1"/>
  <c r="BP56" i="1"/>
  <c r="BR56" i="1"/>
  <c r="BS56" i="1"/>
  <c r="CG56" i="1"/>
  <c r="BQ56" i="1"/>
  <c r="BW56" i="1"/>
  <c r="BT56" i="1"/>
  <c r="CC56" i="1"/>
  <c r="CE56" i="1"/>
  <c r="BY56" i="1"/>
  <c r="BU56" i="1"/>
  <c r="CA56" i="1"/>
  <c r="CC63" i="1"/>
  <c r="BU63" i="1"/>
  <c r="BV63" i="1"/>
  <c r="BQ63" i="1"/>
  <c r="CA63" i="1"/>
  <c r="CE63" i="1"/>
  <c r="BZ63" i="1"/>
  <c r="BT63" i="1"/>
  <c r="BO63" i="1"/>
  <c r="CD63" i="1"/>
  <c r="BY63" i="1"/>
  <c r="BP63" i="1"/>
  <c r="CG63" i="1"/>
  <c r="BS63" i="1"/>
  <c r="BR63" i="1"/>
  <c r="CB63" i="1"/>
  <c r="BX63" i="1"/>
  <c r="BW63" i="1"/>
  <c r="CF63" i="1"/>
  <c r="BO58" i="1"/>
  <c r="CA58" i="1"/>
  <c r="BQ58" i="1"/>
  <c r="BT58" i="1"/>
  <c r="CG58" i="1"/>
  <c r="BY58" i="1"/>
  <c r="BW58" i="1"/>
  <c r="BZ58" i="1"/>
  <c r="BU58" i="1"/>
  <c r="CD58" i="1"/>
  <c r="BS58" i="1"/>
  <c r="BP58" i="1"/>
  <c r="BX58" i="1"/>
  <c r="CE58" i="1"/>
  <c r="CF58" i="1"/>
  <c r="BV58" i="1"/>
  <c r="CB58" i="1"/>
  <c r="CC58" i="1"/>
  <c r="BR58" i="1"/>
  <c r="BU40" i="1"/>
  <c r="CD40" i="1"/>
  <c r="BO40" i="1"/>
  <c r="BX40" i="1"/>
  <c r="CG40" i="1"/>
  <c r="BY40" i="1"/>
  <c r="CE40" i="1"/>
  <c r="CF40" i="1"/>
  <c r="CA40" i="1"/>
  <c r="BQ40" i="1"/>
  <c r="BZ40" i="1"/>
  <c r="BV40" i="1"/>
  <c r="CB40" i="1"/>
  <c r="BW40" i="1"/>
  <c r="BP40" i="1"/>
  <c r="BT40" i="1"/>
  <c r="CC40" i="1"/>
  <c r="BR40" i="1"/>
  <c r="BS40" i="1"/>
  <c r="CB35" i="1"/>
  <c r="BR35" i="1"/>
  <c r="BV35" i="1"/>
  <c r="BQ35" i="1"/>
  <c r="BT35" i="1"/>
  <c r="BW35" i="1"/>
  <c r="BZ35" i="1"/>
  <c r="CD35" i="1"/>
  <c r="BO35" i="1"/>
  <c r="CC35" i="1"/>
  <c r="CF35" i="1"/>
  <c r="BX35" i="1"/>
  <c r="BU35" i="1"/>
  <c r="BS35" i="1"/>
  <c r="BP35" i="1"/>
  <c r="CA35" i="1"/>
  <c r="BY35" i="1"/>
  <c r="CG35" i="1"/>
  <c r="CE35" i="1"/>
  <c r="BT33" i="1"/>
  <c r="CB33" i="1"/>
  <c r="CF33" i="1"/>
  <c r="CA33" i="1"/>
  <c r="CC33" i="1"/>
  <c r="BS33" i="1"/>
  <c r="CG33" i="1"/>
  <c r="BR33" i="1"/>
  <c r="BY33" i="1"/>
  <c r="BP33" i="1"/>
  <c r="BX33" i="1"/>
  <c r="CE33" i="1"/>
  <c r="BV33" i="1"/>
  <c r="CD33" i="1"/>
  <c r="BZ33" i="1"/>
  <c r="BO33" i="1"/>
  <c r="BQ33" i="1"/>
  <c r="BU33" i="1"/>
  <c r="BW33" i="1"/>
  <c r="BZ26" i="1"/>
  <c r="CE26" i="1"/>
  <c r="CD26" i="1"/>
  <c r="CB26" i="1"/>
  <c r="BO26" i="1"/>
  <c r="BW26" i="1"/>
  <c r="BT26" i="1"/>
  <c r="BU26" i="1"/>
  <c r="CF26" i="1"/>
  <c r="CC26" i="1"/>
  <c r="CA26" i="1"/>
  <c r="BP26" i="1"/>
  <c r="BQ26" i="1"/>
  <c r="BS26" i="1"/>
  <c r="CG26" i="1"/>
  <c r="BX26" i="1"/>
  <c r="BY26" i="1"/>
  <c r="BV26" i="1"/>
  <c r="BR26" i="1"/>
  <c r="BO29" i="1"/>
  <c r="CG29" i="1"/>
  <c r="BS29" i="1"/>
  <c r="BU29" i="1"/>
  <c r="BY29" i="1"/>
  <c r="CA29" i="1"/>
  <c r="CE29" i="1"/>
  <c r="BQ29" i="1"/>
  <c r="BV29" i="1"/>
  <c r="BP29" i="1"/>
  <c r="CF29" i="1"/>
  <c r="BR29" i="1"/>
  <c r="BZ29" i="1"/>
  <c r="CC29" i="1"/>
  <c r="BT29" i="1"/>
  <c r="CD29" i="1"/>
  <c r="BW29" i="1"/>
  <c r="CB29" i="1"/>
  <c r="BX29" i="1"/>
  <c r="CX36" i="1" a="1"/>
  <c r="CX36" i="1" s="1"/>
  <c r="CB36" i="1" s="1"/>
  <c r="CC132" i="1" l="1"/>
  <c r="CG36" i="1"/>
  <c r="CC36" i="1"/>
  <c r="CA38" i="1"/>
  <c r="CC38" i="1"/>
  <c r="CC76" i="1"/>
  <c r="CE118" i="1"/>
  <c r="CG118" i="1"/>
  <c r="CC154" i="1"/>
  <c r="CB154" i="1"/>
  <c r="BZ154" i="1"/>
  <c r="CB136" i="1"/>
  <c r="CF136" i="1"/>
  <c r="BX190" i="1"/>
  <c r="CE200" i="1"/>
  <c r="CF200" i="1"/>
  <c r="CB211" i="1"/>
  <c r="CF229" i="1"/>
  <c r="CF268" i="1"/>
  <c r="CG268" i="1"/>
  <c r="CF257" i="1"/>
  <c r="CB257" i="1"/>
  <c r="CB272" i="1"/>
  <c r="BY272" i="1"/>
  <c r="BY242" i="1"/>
  <c r="BX242" i="1"/>
  <c r="CE264" i="1"/>
  <c r="CA264" i="1"/>
  <c r="CG284" i="1"/>
  <c r="BZ284" i="1"/>
  <c r="CD311" i="1"/>
  <c r="CG294" i="1"/>
  <c r="BX289" i="1"/>
  <c r="CG22" i="1"/>
  <c r="BW22" i="1"/>
  <c r="CA28" i="1"/>
  <c r="CC44" i="1"/>
  <c r="CD44" i="1"/>
  <c r="CC42" i="1"/>
  <c r="BW42" i="1"/>
  <c r="CC46" i="1"/>
  <c r="BZ49" i="1"/>
  <c r="CD49" i="1"/>
  <c r="CD59" i="1"/>
  <c r="CG59" i="1"/>
  <c r="BZ72" i="1"/>
  <c r="BV72" i="1"/>
  <c r="BV77" i="1"/>
  <c r="CA77" i="1"/>
  <c r="CG79" i="1"/>
  <c r="BV79" i="1"/>
  <c r="BW75" i="1"/>
  <c r="CD75" i="1"/>
  <c r="CE75" i="1"/>
  <c r="BV75" i="1"/>
  <c r="CD88" i="1"/>
  <c r="CC88" i="1"/>
  <c r="BX88" i="1"/>
  <c r="BW103" i="1"/>
  <c r="BV114" i="1"/>
  <c r="BY114" i="1"/>
  <c r="BX114" i="1"/>
  <c r="BV113" i="1"/>
  <c r="BZ113" i="1"/>
  <c r="CF113" i="1"/>
  <c r="CC109" i="1"/>
  <c r="BZ109" i="1"/>
  <c r="CB122" i="1"/>
  <c r="BU122" i="1"/>
  <c r="BZ137" i="1"/>
  <c r="CB137" i="1"/>
  <c r="CE119" i="1"/>
  <c r="BZ145" i="1"/>
  <c r="BV145" i="1"/>
  <c r="CB138" i="1"/>
  <c r="BY138" i="1"/>
  <c r="CC140" i="1"/>
  <c r="BV140" i="1"/>
  <c r="BY162" i="1"/>
  <c r="BX162" i="1"/>
  <c r="CF162" i="1"/>
  <c r="CE158" i="1"/>
  <c r="BX158" i="1"/>
  <c r="BZ167" i="1"/>
  <c r="CB176" i="1"/>
  <c r="BW176" i="1"/>
  <c r="CF169" i="1"/>
  <c r="CE169" i="1"/>
  <c r="BY169" i="1"/>
  <c r="BY193" i="1"/>
  <c r="CE193" i="1"/>
  <c r="CC192" i="1"/>
  <c r="BV203" i="1"/>
  <c r="BY203" i="1"/>
  <c r="BZ203" i="1"/>
  <c r="BY198" i="1"/>
  <c r="CD198" i="1"/>
  <c r="CE213" i="1"/>
  <c r="CA213" i="1"/>
  <c r="BW213" i="1"/>
  <c r="BX204" i="1"/>
  <c r="CE204" i="1"/>
  <c r="BT220" i="1"/>
  <c r="CE220" i="1"/>
  <c r="BS220" i="1"/>
  <c r="BW220" i="1"/>
  <c r="CA271" i="1"/>
  <c r="BZ271" i="1"/>
  <c r="BZ241" i="1"/>
  <c r="BX241" i="1"/>
  <c r="CE301" i="1"/>
  <c r="CA250" i="1"/>
  <c r="CE250" i="1"/>
  <c r="BZ250" i="1"/>
  <c r="BZ259" i="1"/>
  <c r="BX259" i="1"/>
  <c r="CB259" i="1"/>
  <c r="CF275" i="1"/>
  <c r="CG275" i="1"/>
  <c r="CC275" i="1"/>
  <c r="BY245" i="1"/>
  <c r="CD245" i="1"/>
  <c r="CC267" i="1"/>
  <c r="BX267" i="1"/>
  <c r="BX234" i="1"/>
  <c r="BY234" i="1"/>
  <c r="CD234" i="1"/>
  <c r="BX306" i="1"/>
  <c r="BY306" i="1"/>
  <c r="CC306" i="1"/>
  <c r="CA287" i="1"/>
  <c r="BZ314" i="1"/>
  <c r="BW314" i="1"/>
  <c r="CE297" i="1"/>
  <c r="CA297" i="1"/>
  <c r="CC292" i="1"/>
  <c r="BZ292" i="1"/>
  <c r="CC25" i="1"/>
  <c r="CA25" i="1"/>
  <c r="BS25" i="1"/>
  <c r="BV25" i="1"/>
  <c r="CB41" i="1"/>
  <c r="CF41" i="1"/>
  <c r="BX45" i="1"/>
  <c r="CA45" i="1"/>
  <c r="BS45" i="1"/>
  <c r="BZ43" i="1"/>
  <c r="BY43" i="1"/>
  <c r="CG43" i="1"/>
  <c r="BY50" i="1"/>
  <c r="CA50" i="1"/>
  <c r="BY51" i="1"/>
  <c r="CF51" i="1"/>
  <c r="BZ60" i="1"/>
  <c r="CA60" i="1"/>
  <c r="BV60" i="1"/>
  <c r="BZ74" i="1"/>
  <c r="BW74" i="1"/>
  <c r="CD81" i="1"/>
  <c r="CB81" i="1"/>
  <c r="BU81" i="1"/>
  <c r="CD82" i="1"/>
  <c r="CF82" i="1"/>
  <c r="CG86" i="1"/>
  <c r="BY86" i="1"/>
  <c r="BU91" i="1"/>
  <c r="CD91" i="1"/>
  <c r="BW93" i="1"/>
  <c r="CA93" i="1"/>
  <c r="BV93" i="1"/>
  <c r="BS99" i="1"/>
  <c r="BT99" i="1"/>
  <c r="CG99" i="1"/>
  <c r="BT116" i="1"/>
  <c r="CA116" i="1"/>
  <c r="CD116" i="1"/>
  <c r="CC112" i="1"/>
  <c r="BT112" i="1"/>
  <c r="CD112" i="1"/>
  <c r="BV124" i="1"/>
  <c r="BY124" i="1"/>
  <c r="BZ124" i="1"/>
  <c r="CB123" i="1"/>
  <c r="BZ123" i="1"/>
  <c r="CC123" i="1"/>
  <c r="BV125" i="1"/>
  <c r="CE125" i="1"/>
  <c r="CA125" i="1"/>
  <c r="BU125" i="1"/>
  <c r="CE148" i="1"/>
  <c r="CF148" i="1"/>
  <c r="CB148" i="1"/>
  <c r="CA141" i="1"/>
  <c r="BX141" i="1"/>
  <c r="CD141" i="1"/>
  <c r="BT143" i="1"/>
  <c r="BU143" i="1"/>
  <c r="BW165" i="1"/>
  <c r="BX165" i="1"/>
  <c r="CG165" i="1"/>
  <c r="CE161" i="1"/>
  <c r="CC161" i="1"/>
  <c r="CB170" i="1"/>
  <c r="BU179" i="1"/>
  <c r="CE179" i="1"/>
  <c r="CC179" i="1"/>
  <c r="BW172" i="1"/>
  <c r="CE172" i="1"/>
  <c r="BZ172" i="1"/>
  <c r="CB196" i="1"/>
  <c r="CF206" i="1"/>
  <c r="BV206" i="1"/>
  <c r="CC206" i="1"/>
  <c r="BS188" i="1"/>
  <c r="CD188" i="1"/>
  <c r="BY188" i="1"/>
  <c r="BS201" i="1"/>
  <c r="BX201" i="1"/>
  <c r="CE201" i="1"/>
  <c r="CA201" i="1"/>
  <c r="CD227" i="1"/>
  <c r="BT227" i="1"/>
  <c r="BU227" i="1"/>
  <c r="CF215" i="1"/>
  <c r="CC215" i="1"/>
  <c r="BS215" i="1"/>
  <c r="BS205" i="1"/>
  <c r="BU205" i="1"/>
  <c r="CB222" i="1"/>
  <c r="BU274" i="1"/>
  <c r="CF274" i="1"/>
  <c r="CG274" i="1"/>
  <c r="BV244" i="1"/>
  <c r="CD244" i="1"/>
  <c r="BX244" i="1"/>
  <c r="CF244" i="1"/>
  <c r="BU304" i="1"/>
  <c r="CA304" i="1"/>
  <c r="CD251" i="1"/>
  <c r="CG251" i="1"/>
  <c r="CG260" i="1"/>
  <c r="BW260" i="1"/>
  <c r="CB260" i="1"/>
  <c r="BT278" i="1"/>
  <c r="BU278" i="1"/>
  <c r="BX302" i="1"/>
  <c r="BZ302" i="1"/>
  <c r="CG302" i="1"/>
  <c r="BX270" i="1"/>
  <c r="CE270" i="1"/>
  <c r="CA270" i="1"/>
  <c r="CF237" i="1"/>
  <c r="BU237" i="1"/>
  <c r="BY309" i="1"/>
  <c r="BT309" i="1"/>
  <c r="BU309" i="1"/>
  <c r="BT290" i="1"/>
  <c r="CF282" i="1"/>
  <c r="BY282" i="1"/>
  <c r="BV300" i="1"/>
  <c r="CA300" i="1"/>
  <c r="BZ295" i="1"/>
  <c r="CC295" i="1"/>
  <c r="BX295" i="1"/>
  <c r="CE23" i="1"/>
  <c r="CB23" i="1"/>
  <c r="BS23" i="1"/>
  <c r="BY31" i="1"/>
  <c r="CA31" i="1"/>
  <c r="CC31" i="1"/>
  <c r="BW37" i="1"/>
  <c r="CB37" i="1"/>
  <c r="CG37" i="1"/>
  <c r="BV34" i="1"/>
  <c r="BS34" i="1"/>
  <c r="BW34" i="1"/>
  <c r="BZ34" i="1"/>
  <c r="CF47" i="1"/>
  <c r="BU47" i="1"/>
  <c r="BX47" i="1"/>
  <c r="CE52" i="1"/>
  <c r="CA52" i="1"/>
  <c r="BU52" i="1"/>
  <c r="BR66" i="1"/>
  <c r="BT66" i="1"/>
  <c r="BS66" i="1"/>
  <c r="BZ64" i="1"/>
  <c r="BW64" i="1"/>
  <c r="CB64" i="1"/>
  <c r="BU68" i="1"/>
  <c r="BT68" i="1"/>
  <c r="CF80" i="1"/>
  <c r="CB80" i="1"/>
  <c r="BW80" i="1"/>
  <c r="BT89" i="1"/>
  <c r="BU89" i="1"/>
  <c r="BY78" i="1"/>
  <c r="BT78" i="1"/>
  <c r="BT94" i="1"/>
  <c r="BS94" i="1"/>
  <c r="CC94" i="1"/>
  <c r="CC100" i="1"/>
  <c r="CD100" i="1"/>
  <c r="CG100" i="1"/>
  <c r="CA96" i="1"/>
  <c r="CD96" i="1"/>
  <c r="BU115" i="1"/>
  <c r="BW115" i="1"/>
  <c r="CF115" i="1"/>
  <c r="CA115" i="1"/>
  <c r="BU127" i="1"/>
  <c r="CG127" i="1"/>
  <c r="BX127" i="1"/>
  <c r="BX126" i="1"/>
  <c r="BV126" i="1"/>
  <c r="CA128" i="1"/>
  <c r="CC128" i="1"/>
  <c r="BX151" i="1"/>
  <c r="CG151" i="1"/>
  <c r="CD151" i="1"/>
  <c r="CA144" i="1"/>
  <c r="BX144" i="1"/>
  <c r="CD144" i="1"/>
  <c r="BZ146" i="1"/>
  <c r="CC146" i="1"/>
  <c r="CE146" i="1"/>
  <c r="CD146" i="1"/>
  <c r="CE168" i="1"/>
  <c r="CB168" i="1"/>
  <c r="BX168" i="1"/>
  <c r="BW164" i="1"/>
  <c r="BY164" i="1"/>
  <c r="CF164" i="1"/>
  <c r="CA174" i="1"/>
  <c r="BR174" i="1"/>
  <c r="BS171" i="1"/>
  <c r="CD171" i="1"/>
  <c r="BY173" i="1"/>
  <c r="BX173" i="1"/>
  <c r="CE199" i="1"/>
  <c r="CB199" i="1"/>
  <c r="BR199" i="1"/>
  <c r="BT209" i="1"/>
  <c r="BU209" i="1"/>
  <c r="CA209" i="1"/>
  <c r="BW207" i="1"/>
  <c r="BV207" i="1"/>
  <c r="BS207" i="1"/>
  <c r="BT184" i="1"/>
  <c r="BW184" i="1"/>
  <c r="BY184" i="1"/>
  <c r="BX230" i="1"/>
  <c r="BU230" i="1"/>
  <c r="BW230" i="1"/>
  <c r="BY218" i="1"/>
  <c r="BS218" i="1"/>
  <c r="CB218" i="1"/>
  <c r="BZ214" i="1"/>
  <c r="CE214" i="1"/>
  <c r="BS214" i="1"/>
  <c r="BS223" i="1"/>
  <c r="CF223" i="1"/>
  <c r="CG277" i="1"/>
  <c r="BV277" i="1"/>
  <c r="BZ249" i="1"/>
  <c r="BZ307" i="1"/>
  <c r="BV307" i="1"/>
  <c r="BU307" i="1"/>
  <c r="BR253" i="1"/>
  <c r="CG263" i="1"/>
  <c r="CC263" i="1"/>
  <c r="BV263" i="1"/>
  <c r="BT233" i="1"/>
  <c r="BU233" i="1"/>
  <c r="BT305" i="1"/>
  <c r="BW305" i="1"/>
  <c r="CC305" i="1"/>
  <c r="BR273" i="1"/>
  <c r="BT273" i="1"/>
  <c r="BU273" i="1"/>
  <c r="BR240" i="1"/>
  <c r="CG240" i="1"/>
  <c r="CF240" i="1"/>
  <c r="CF312" i="1"/>
  <c r="BW312" i="1"/>
  <c r="CG293" i="1"/>
  <c r="BW293" i="1"/>
  <c r="BV293" i="1"/>
  <c r="BZ293" i="1"/>
  <c r="CG285" i="1"/>
  <c r="CB285" i="1"/>
  <c r="CB280" i="1"/>
  <c r="BY280" i="1"/>
  <c r="CF280" i="1"/>
  <c r="BY298" i="1"/>
  <c r="CA298" i="1"/>
  <c r="CC21" i="1"/>
  <c r="BY21" i="1"/>
  <c r="BT21" i="1"/>
  <c r="CD21" i="1"/>
  <c r="BS24" i="1"/>
  <c r="BZ24" i="1"/>
  <c r="BY32" i="1"/>
  <c r="CD32" i="1"/>
  <c r="BZ53" i="1"/>
  <c r="CD53" i="1"/>
  <c r="CA39" i="1"/>
  <c r="BY39" i="1"/>
  <c r="CA61" i="1"/>
  <c r="CB61" i="1"/>
  <c r="BW54" i="1"/>
  <c r="CD54" i="1"/>
  <c r="CG54" i="1"/>
  <c r="CF54" i="1"/>
  <c r="BS62" i="1"/>
  <c r="CD62" i="1"/>
  <c r="BY65" i="1"/>
  <c r="CD65" i="1"/>
  <c r="BW65" i="1"/>
  <c r="BX69" i="1"/>
  <c r="CG69" i="1"/>
  <c r="CE69" i="1"/>
  <c r="BY83" i="1"/>
  <c r="CF83" i="1"/>
  <c r="BX92" i="1"/>
  <c r="CE92" i="1"/>
  <c r="CB98" i="1"/>
  <c r="CG98" i="1"/>
  <c r="BR98" i="1"/>
  <c r="CA105" i="1"/>
  <c r="CE105" i="1"/>
  <c r="CB105" i="1"/>
  <c r="BT104" i="1"/>
  <c r="BS104" i="1"/>
  <c r="BX104" i="1"/>
  <c r="BT97" i="1"/>
  <c r="BZ97" i="1"/>
  <c r="CF97" i="1"/>
  <c r="CB117" i="1"/>
  <c r="BW117" i="1"/>
  <c r="BX117" i="1"/>
  <c r="BV130" i="1"/>
  <c r="BX130" i="1"/>
  <c r="BV129" i="1"/>
  <c r="CE129" i="1"/>
  <c r="BR129" i="1"/>
  <c r="CD131" i="1"/>
  <c r="BS131" i="1"/>
  <c r="BW131" i="1"/>
  <c r="BW153" i="1"/>
  <c r="CB153" i="1"/>
  <c r="BX147" i="1"/>
  <c r="CC147" i="1"/>
  <c r="BY147" i="1"/>
  <c r="BT149" i="1"/>
  <c r="BV149" i="1"/>
  <c r="CA166" i="1"/>
  <c r="CE166" i="1"/>
  <c r="BZ166" i="1"/>
  <c r="CG157" i="1"/>
  <c r="BY177" i="1"/>
  <c r="BX177" i="1"/>
  <c r="BV177" i="1"/>
  <c r="CG175" i="1"/>
  <c r="BZ175" i="1"/>
  <c r="CA182" i="1"/>
  <c r="CE182" i="1"/>
  <c r="CD182" i="1"/>
  <c r="CE202" i="1"/>
  <c r="BS202" i="1"/>
  <c r="BX202" i="1"/>
  <c r="BW194" i="1"/>
  <c r="BS194" i="1"/>
  <c r="CA194" i="1"/>
  <c r="BW210" i="1"/>
  <c r="CC210" i="1"/>
  <c r="CG210" i="1"/>
  <c r="CD189" i="1"/>
  <c r="BZ189" i="1"/>
  <c r="CE189" i="1"/>
  <c r="CA212" i="1"/>
  <c r="BT212" i="1"/>
  <c r="CB212" i="1"/>
  <c r="CF221" i="1"/>
  <c r="BW221" i="1"/>
  <c r="BU221" i="1"/>
  <c r="BU216" i="1"/>
  <c r="CF216" i="1"/>
  <c r="CF262" i="1"/>
  <c r="CG262" i="1"/>
  <c r="BS232" i="1"/>
  <c r="BT232" i="1"/>
  <c r="BY232" i="1"/>
  <c r="BZ232" i="1"/>
  <c r="BY252" i="1"/>
  <c r="CB252" i="1"/>
  <c r="BT252" i="1"/>
  <c r="BS310" i="1"/>
  <c r="CE310" i="1"/>
  <c r="BV310" i="1"/>
  <c r="BZ254" i="1"/>
  <c r="CE254" i="1"/>
  <c r="BR254" i="1"/>
  <c r="CB266" i="1"/>
  <c r="BR266" i="1"/>
  <c r="BY266" i="1"/>
  <c r="BU236" i="1"/>
  <c r="CG236" i="1"/>
  <c r="CF308" i="1"/>
  <c r="CD308" i="1"/>
  <c r="BW308" i="1"/>
  <c r="CF276" i="1"/>
  <c r="CG276" i="1"/>
  <c r="BV243" i="1"/>
  <c r="CC243" i="1"/>
  <c r="BX243" i="1"/>
  <c r="BR313" i="1"/>
  <c r="BY313" i="1"/>
  <c r="CD313" i="1"/>
  <c r="BV296" i="1"/>
  <c r="CC296" i="1"/>
  <c r="CD296" i="1"/>
  <c r="BY288" i="1"/>
  <c r="CF288" i="1"/>
  <c r="CF283" i="1"/>
  <c r="CD283" i="1"/>
  <c r="CB283" i="1"/>
  <c r="BX283" i="1"/>
  <c r="CE132" i="1"/>
  <c r="CF178" i="1"/>
  <c r="CA178" i="1"/>
  <c r="CE38" i="1"/>
  <c r="CF38" i="1"/>
  <c r="CA67" i="1"/>
  <c r="CF67" i="1"/>
  <c r="CE190" i="1"/>
  <c r="BZ190" i="1"/>
  <c r="CC211" i="1"/>
  <c r="CD229" i="1"/>
  <c r="CD268" i="1"/>
  <c r="BZ272" i="1"/>
  <c r="CG242" i="1"/>
  <c r="CD242" i="1"/>
  <c r="CC264" i="1"/>
  <c r="BX264" i="1"/>
  <c r="BY284" i="1"/>
  <c r="CA311" i="1"/>
  <c r="CB311" i="1"/>
  <c r="CG311" i="1"/>
  <c r="BY294" i="1"/>
  <c r="CC294" i="1"/>
  <c r="CB294" i="1"/>
  <c r="CA289" i="1"/>
  <c r="CC289" i="1"/>
  <c r="BZ22" i="1"/>
  <c r="CB22" i="1"/>
  <c r="CD22" i="1"/>
  <c r="BX28" i="1"/>
  <c r="CF28" i="1"/>
  <c r="CG44" i="1"/>
  <c r="CB46" i="1"/>
  <c r="CF46" i="1"/>
  <c r="BW49" i="1"/>
  <c r="BV49" i="1"/>
  <c r="BX49" i="1"/>
  <c r="BX59" i="1"/>
  <c r="CF77" i="1"/>
  <c r="BU77" i="1"/>
  <c r="BX79" i="1"/>
  <c r="CE79" i="1"/>
  <c r="CB75" i="1"/>
  <c r="CC75" i="1"/>
  <c r="BU88" i="1"/>
  <c r="BZ88" i="1"/>
  <c r="BV88" i="1"/>
  <c r="BY103" i="1"/>
  <c r="CE103" i="1"/>
  <c r="CA103" i="1"/>
  <c r="CF114" i="1"/>
  <c r="BX113" i="1"/>
  <c r="CB109" i="1"/>
  <c r="BV109" i="1"/>
  <c r="BX109" i="1"/>
  <c r="CF122" i="1"/>
  <c r="BV122" i="1"/>
  <c r="CE137" i="1"/>
  <c r="CF137" i="1"/>
  <c r="BW119" i="1"/>
  <c r="CB119" i="1"/>
  <c r="BZ119" i="1"/>
  <c r="BX145" i="1"/>
  <c r="CA138" i="1"/>
  <c r="BZ138" i="1"/>
  <c r="BW140" i="1"/>
  <c r="BZ140" i="1"/>
  <c r="CE140" i="1"/>
  <c r="CG162" i="1"/>
  <c r="CA162" i="1"/>
  <c r="CA158" i="1"/>
  <c r="CD158" i="1"/>
  <c r="CB167" i="1"/>
  <c r="BU167" i="1"/>
  <c r="CG169" i="1"/>
  <c r="CA169" i="1"/>
  <c r="BW193" i="1"/>
  <c r="CA193" i="1"/>
  <c r="CB192" i="1"/>
  <c r="CE192" i="1"/>
  <c r="BU203" i="1"/>
  <c r="CD203" i="1"/>
  <c r="BW203" i="1"/>
  <c r="BW198" i="1"/>
  <c r="CB198" i="1"/>
  <c r="BW224" i="1"/>
  <c r="CB224" i="1"/>
  <c r="CG213" i="1"/>
  <c r="BX213" i="1"/>
  <c r="CB204" i="1"/>
  <c r="CC204" i="1"/>
  <c r="CB220" i="1"/>
  <c r="BU220" i="1"/>
  <c r="BV220" i="1"/>
  <c r="CC271" i="1"/>
  <c r="CE271" i="1"/>
  <c r="BX271" i="1"/>
  <c r="CE241" i="1"/>
  <c r="CD241" i="1"/>
  <c r="BW301" i="1"/>
  <c r="CB301" i="1"/>
  <c r="CA259" i="1"/>
  <c r="CE259" i="1"/>
  <c r="CD275" i="1"/>
  <c r="BU275" i="1"/>
  <c r="BV245" i="1"/>
  <c r="BT245" i="1"/>
  <c r="CG245" i="1"/>
  <c r="CG267" i="1"/>
  <c r="BV267" i="1"/>
  <c r="CB234" i="1"/>
  <c r="BZ234" i="1"/>
  <c r="CF234" i="1"/>
  <c r="BZ306" i="1"/>
  <c r="BV287" i="1"/>
  <c r="CC287" i="1"/>
  <c r="CD287" i="1"/>
  <c r="BS314" i="1"/>
  <c r="BX314" i="1"/>
  <c r="CA314" i="1"/>
  <c r="CG297" i="1"/>
  <c r="CB297" i="1"/>
  <c r="BZ297" i="1"/>
  <c r="CB292" i="1"/>
  <c r="CG292" i="1"/>
  <c r="BY25" i="1"/>
  <c r="BZ25" i="1"/>
  <c r="BY41" i="1"/>
  <c r="BU41" i="1"/>
  <c r="CA41" i="1"/>
  <c r="BW41" i="1"/>
  <c r="CB45" i="1"/>
  <c r="CD45" i="1"/>
  <c r="CE45" i="1"/>
  <c r="BW43" i="1"/>
  <c r="BX43" i="1"/>
  <c r="CA43" i="1"/>
  <c r="CC50" i="1"/>
  <c r="BS50" i="1"/>
  <c r="CD50" i="1"/>
  <c r="BS51" i="1"/>
  <c r="CG51" i="1"/>
  <c r="BW51" i="1"/>
  <c r="CF60" i="1"/>
  <c r="BY60" i="1"/>
  <c r="CE74" i="1"/>
  <c r="CA74" i="1"/>
  <c r="CG74" i="1"/>
  <c r="BU74" i="1"/>
  <c r="BX81" i="1"/>
  <c r="CE81" i="1"/>
  <c r="CG82" i="1"/>
  <c r="BW82" i="1"/>
  <c r="BW86" i="1"/>
  <c r="CF86" i="1"/>
  <c r="CB91" i="1"/>
  <c r="CC91" i="1"/>
  <c r="CC93" i="1"/>
  <c r="BU93" i="1"/>
  <c r="CB99" i="1"/>
  <c r="CC99" i="1"/>
  <c r="BU99" i="1"/>
  <c r="BZ116" i="1"/>
  <c r="CC116" i="1"/>
  <c r="CA112" i="1"/>
  <c r="CF112" i="1"/>
  <c r="BW124" i="1"/>
  <c r="CG124" i="1"/>
  <c r="CA123" i="1"/>
  <c r="CF123" i="1"/>
  <c r="BX125" i="1"/>
  <c r="CG125" i="1"/>
  <c r="BT148" i="1"/>
  <c r="BW148" i="1"/>
  <c r="BY148" i="1"/>
  <c r="BU148" i="1"/>
  <c r="BY141" i="1"/>
  <c r="BV141" i="1"/>
  <c r="CB141" i="1"/>
  <c r="CE143" i="1"/>
  <c r="CG143" i="1"/>
  <c r="CD165" i="1"/>
  <c r="CA165" i="1"/>
  <c r="BT161" i="1"/>
  <c r="BU161" i="1"/>
  <c r="BV161" i="1"/>
  <c r="BS170" i="1"/>
  <c r="CA170" i="1"/>
  <c r="BT179" i="1"/>
  <c r="CF179" i="1"/>
  <c r="BX179" i="1"/>
  <c r="BV179" i="1"/>
  <c r="CG172" i="1"/>
  <c r="BV172" i="1"/>
  <c r="BZ196" i="1"/>
  <c r="BW196" i="1"/>
  <c r="BZ206" i="1"/>
  <c r="BX206" i="1"/>
  <c r="BW188" i="1"/>
  <c r="BU188" i="1"/>
  <c r="BV201" i="1"/>
  <c r="CC201" i="1"/>
  <c r="CB227" i="1"/>
  <c r="BY227" i="1"/>
  <c r="BU215" i="1"/>
  <c r="BV215" i="1"/>
  <c r="BZ215" i="1"/>
  <c r="CB205" i="1"/>
  <c r="CD205" i="1"/>
  <c r="BY205" i="1"/>
  <c r="BT222" i="1"/>
  <c r="CA222" i="1"/>
  <c r="BY274" i="1"/>
  <c r="CD274" i="1"/>
  <c r="BT274" i="1"/>
  <c r="BY244" i="1"/>
  <c r="CC244" i="1"/>
  <c r="BY304" i="1"/>
  <c r="BV304" i="1"/>
  <c r="BY251" i="1"/>
  <c r="BU251" i="1"/>
  <c r="BX251" i="1"/>
  <c r="CE260" i="1"/>
  <c r="BU260" i="1"/>
  <c r="BZ260" i="1"/>
  <c r="CF278" i="1"/>
  <c r="BY278" i="1"/>
  <c r="BY302" i="1"/>
  <c r="BV302" i="1"/>
  <c r="BU302" i="1"/>
  <c r="BV270" i="1"/>
  <c r="CC270" i="1"/>
  <c r="BS270" i="1"/>
  <c r="BZ237" i="1"/>
  <c r="CE237" i="1"/>
  <c r="CA237" i="1"/>
  <c r="BW237" i="1"/>
  <c r="CF309" i="1"/>
  <c r="CE309" i="1"/>
  <c r="CB309" i="1"/>
  <c r="CE290" i="1"/>
  <c r="BX290" i="1"/>
  <c r="CB290" i="1"/>
  <c r="BT282" i="1"/>
  <c r="BV282" i="1"/>
  <c r="CA282" i="1"/>
  <c r="CB300" i="1"/>
  <c r="CD295" i="1"/>
  <c r="BY295" i="1"/>
  <c r="BT23" i="1"/>
  <c r="CC23" i="1"/>
  <c r="CA23" i="1"/>
  <c r="BT31" i="1"/>
  <c r="CD37" i="1"/>
  <c r="BS37" i="1"/>
  <c r="CE34" i="1"/>
  <c r="CD34" i="1"/>
  <c r="CB34" i="1"/>
  <c r="BW47" i="1"/>
  <c r="CG47" i="1"/>
  <c r="CC47" i="1"/>
  <c r="BY47" i="1"/>
  <c r="BW52" i="1"/>
  <c r="BR52" i="1"/>
  <c r="CB52" i="1"/>
  <c r="CC66" i="1"/>
  <c r="CA66" i="1"/>
  <c r="BY64" i="1"/>
  <c r="BV64" i="1"/>
  <c r="CA64" i="1"/>
  <c r="CB68" i="1"/>
  <c r="CE68" i="1"/>
  <c r="CG68" i="1"/>
  <c r="BZ80" i="1"/>
  <c r="CE80" i="1"/>
  <c r="CG80" i="1"/>
  <c r="BS89" i="1"/>
  <c r="BZ89" i="1"/>
  <c r="CE89" i="1"/>
  <c r="BZ78" i="1"/>
  <c r="CD78" i="1"/>
  <c r="BW94" i="1"/>
  <c r="CA94" i="1"/>
  <c r="BY94" i="1"/>
  <c r="BU100" i="1"/>
  <c r="BX100" i="1"/>
  <c r="BW96" i="1"/>
  <c r="BZ96" i="1"/>
  <c r="BR115" i="1"/>
  <c r="BS115" i="1"/>
  <c r="BS127" i="1"/>
  <c r="CE127" i="1"/>
  <c r="BT126" i="1"/>
  <c r="BS126" i="1"/>
  <c r="BY126" i="1"/>
  <c r="BU128" i="1"/>
  <c r="BZ128" i="1"/>
  <c r="CE151" i="1"/>
  <c r="BZ151" i="1"/>
  <c r="BV151" i="1"/>
  <c r="BY144" i="1"/>
  <c r="BV144" i="1"/>
  <c r="CB144" i="1"/>
  <c r="BT146" i="1"/>
  <c r="BV146" i="1"/>
  <c r="CF146" i="1"/>
  <c r="BV168" i="1"/>
  <c r="BU168" i="1"/>
  <c r="CG168" i="1"/>
  <c r="BR168" i="1"/>
  <c r="BT164" i="1"/>
  <c r="CD164" i="1"/>
  <c r="BX164" i="1"/>
  <c r="BT174" i="1"/>
  <c r="CF174" i="1"/>
  <c r="CC174" i="1"/>
  <c r="BT171" i="1"/>
  <c r="CB173" i="1"/>
  <c r="CG173" i="1"/>
  <c r="CC173" i="1"/>
  <c r="BW199" i="1"/>
  <c r="BZ199" i="1"/>
  <c r="CE209" i="1"/>
  <c r="BW209" i="1"/>
  <c r="BT207" i="1"/>
  <c r="CC207" i="1"/>
  <c r="BV184" i="1"/>
  <c r="CG230" i="1"/>
  <c r="BY230" i="1"/>
  <c r="CF230" i="1"/>
  <c r="BW218" i="1"/>
  <c r="CD218" i="1"/>
  <c r="CE218" i="1"/>
  <c r="CA214" i="1"/>
  <c r="CF214" i="1"/>
  <c r="BR214" i="1"/>
  <c r="BT223" i="1"/>
  <c r="BY223" i="1"/>
  <c r="CD223" i="1"/>
  <c r="BT277" i="1"/>
  <c r="BU277" i="1"/>
  <c r="CF277" i="1"/>
  <c r="BS249" i="1"/>
  <c r="CB249" i="1"/>
  <c r="CD249" i="1"/>
  <c r="BY307" i="1"/>
  <c r="BX307" i="1"/>
  <c r="CE307" i="1"/>
  <c r="BY253" i="1"/>
  <c r="CG253" i="1"/>
  <c r="BU253" i="1"/>
  <c r="BT263" i="1"/>
  <c r="BU263" i="1"/>
  <c r="CF263" i="1"/>
  <c r="CC233" i="1"/>
  <c r="BY233" i="1"/>
  <c r="CA233" i="1"/>
  <c r="CB233" i="1"/>
  <c r="BY305" i="1"/>
  <c r="BY273" i="1"/>
  <c r="CD273" i="1"/>
  <c r="BV240" i="1"/>
  <c r="BS240" i="1"/>
  <c r="BU240" i="1"/>
  <c r="CA312" i="1"/>
  <c r="BR312" i="1"/>
  <c r="BS293" i="1"/>
  <c r="BT293" i="1"/>
  <c r="BY293" i="1"/>
  <c r="CF285" i="1"/>
  <c r="BW285" i="1"/>
  <c r="BZ285" i="1"/>
  <c r="CA280" i="1"/>
  <c r="CC280" i="1"/>
  <c r="CD298" i="1"/>
  <c r="BT298" i="1"/>
  <c r="BR21" i="1"/>
  <c r="CA21" i="1"/>
  <c r="CE24" i="1"/>
  <c r="CC24" i="1"/>
  <c r="BW24" i="1"/>
  <c r="BT32" i="1"/>
  <c r="BU32" i="1"/>
  <c r="CE32" i="1"/>
  <c r="BV53" i="1"/>
  <c r="CE53" i="1"/>
  <c r="BW53" i="1"/>
  <c r="BZ39" i="1"/>
  <c r="BX39" i="1"/>
  <c r="CB39" i="1"/>
  <c r="BY61" i="1"/>
  <c r="CD61" i="1"/>
  <c r="BS61" i="1"/>
  <c r="CC54" i="1"/>
  <c r="BX54" i="1"/>
  <c r="CE54" i="1"/>
  <c r="CC62" i="1"/>
  <c r="BT62" i="1"/>
  <c r="CF62" i="1"/>
  <c r="BU62" i="1"/>
  <c r="CB65" i="1"/>
  <c r="BR65" i="1"/>
  <c r="CG65" i="1"/>
  <c r="BY69" i="1"/>
  <c r="BV69" i="1"/>
  <c r="CA83" i="1"/>
  <c r="CD83" i="1"/>
  <c r="BS92" i="1"/>
  <c r="BU92" i="1"/>
  <c r="BV92" i="1"/>
  <c r="BS98" i="1"/>
  <c r="CC98" i="1"/>
  <c r="BU98" i="1"/>
  <c r="BZ105" i="1"/>
  <c r="CF105" i="1"/>
  <c r="BS105" i="1"/>
  <c r="CG104" i="1"/>
  <c r="BU104" i="1"/>
  <c r="BV104" i="1"/>
  <c r="CB97" i="1"/>
  <c r="CA97" i="1"/>
  <c r="BR97" i="1"/>
  <c r="BY117" i="1"/>
  <c r="CA117" i="1"/>
  <c r="CE130" i="1"/>
  <c r="BS130" i="1"/>
  <c r="BW130" i="1"/>
  <c r="CG129" i="1"/>
  <c r="BT129" i="1"/>
  <c r="BY129" i="1"/>
  <c r="BU131" i="1"/>
  <c r="CE131" i="1"/>
  <c r="BT153" i="1"/>
  <c r="BY153" i="1"/>
  <c r="CA153" i="1"/>
  <c r="BU147" i="1"/>
  <c r="BZ147" i="1"/>
  <c r="CD147" i="1"/>
  <c r="BW149" i="1"/>
  <c r="CG149" i="1"/>
  <c r="BR149" i="1"/>
  <c r="CF166" i="1"/>
  <c r="CB166" i="1"/>
  <c r="BX166" i="1"/>
  <c r="BU157" i="1"/>
  <c r="BY157" i="1"/>
  <c r="CD157" i="1"/>
  <c r="BU177" i="1"/>
  <c r="CB177" i="1"/>
  <c r="CF175" i="1"/>
  <c r="BV175" i="1"/>
  <c r="BT175" i="1"/>
  <c r="CC182" i="1"/>
  <c r="BV182" i="1"/>
  <c r="CB182" i="1"/>
  <c r="BV202" i="1"/>
  <c r="CC202" i="1"/>
  <c r="BT194" i="1"/>
  <c r="CE194" i="1"/>
  <c r="BT210" i="1"/>
  <c r="CE210" i="1"/>
  <c r="CF210" i="1"/>
  <c r="CA189" i="1"/>
  <c r="BV189" i="1"/>
  <c r="BX189" i="1"/>
  <c r="CC212" i="1"/>
  <c r="CE212" i="1"/>
  <c r="CG221" i="1"/>
  <c r="BS221" i="1"/>
  <c r="CA216" i="1"/>
  <c r="BW216" i="1"/>
  <c r="BY216" i="1"/>
  <c r="CD262" i="1"/>
  <c r="BT262" i="1"/>
  <c r="BU262" i="1"/>
  <c r="BU232" i="1"/>
  <c r="BV232" i="1"/>
  <c r="CA232" i="1"/>
  <c r="BU252" i="1"/>
  <c r="BW252" i="1"/>
  <c r="CE252" i="1"/>
  <c r="CF252" i="1"/>
  <c r="BX310" i="1"/>
  <c r="BZ310" i="1"/>
  <c r="BS254" i="1"/>
  <c r="CD254" i="1"/>
  <c r="CG254" i="1"/>
  <c r="BZ266" i="1"/>
  <c r="BW266" i="1"/>
  <c r="CC236" i="1"/>
  <c r="CF236" i="1"/>
  <c r="BS236" i="1"/>
  <c r="CB308" i="1"/>
  <c r="CG308" i="1"/>
  <c r="CD276" i="1"/>
  <c r="BR276" i="1"/>
  <c r="BT276" i="1"/>
  <c r="BU276" i="1"/>
  <c r="BY243" i="1"/>
  <c r="CD243" i="1"/>
  <c r="CF243" i="1"/>
  <c r="BW313" i="1"/>
  <c r="CB313" i="1"/>
  <c r="BY296" i="1"/>
  <c r="BU296" i="1"/>
  <c r="BR296" i="1"/>
  <c r="CA288" i="1"/>
  <c r="BV288" i="1"/>
  <c r="BW283" i="1"/>
  <c r="CG283" i="1"/>
  <c r="BV283" i="1"/>
  <c r="CC118" i="1"/>
  <c r="CD118" i="1"/>
  <c r="CF154" i="1"/>
  <c r="CB229" i="1"/>
  <c r="CA22" i="1"/>
  <c r="BZ28" i="1"/>
  <c r="BY42" i="1"/>
  <c r="CD42" i="1"/>
  <c r="CG42" i="1"/>
  <c r="BY49" i="1"/>
  <c r="CB49" i="1"/>
  <c r="CG49" i="1"/>
  <c r="CE59" i="1"/>
  <c r="CC59" i="1"/>
  <c r="CC72" i="1"/>
  <c r="CF72" i="1"/>
  <c r="CB72" i="1"/>
  <c r="BZ77" i="1"/>
  <c r="CB77" i="1"/>
  <c r="CE77" i="1"/>
  <c r="CF79" i="1"/>
  <c r="BZ79" i="1"/>
  <c r="CA75" i="1"/>
  <c r="BW88" i="1"/>
  <c r="CF88" i="1"/>
  <c r="BZ103" i="1"/>
  <c r="BV103" i="1"/>
  <c r="CG113" i="1"/>
  <c r="BY109" i="1"/>
  <c r="CA122" i="1"/>
  <c r="CG122" i="1"/>
  <c r="BX137" i="1"/>
  <c r="CA137" i="1"/>
  <c r="BU119" i="1"/>
  <c r="BV119" i="1"/>
  <c r="CE145" i="1"/>
  <c r="CF145" i="1"/>
  <c r="CB145" i="1"/>
  <c r="BV138" i="1"/>
  <c r="CF138" i="1"/>
  <c r="CG140" i="1"/>
  <c r="CF140" i="1"/>
  <c r="CD162" i="1"/>
  <c r="BU158" i="1"/>
  <c r="BY158" i="1"/>
  <c r="CC158" i="1"/>
  <c r="CA167" i="1"/>
  <c r="BY167" i="1"/>
  <c r="CA176" i="1"/>
  <c r="CE176" i="1"/>
  <c r="CC176" i="1"/>
  <c r="BX169" i="1"/>
  <c r="BZ193" i="1"/>
  <c r="CA192" i="1"/>
  <c r="BX192" i="1"/>
  <c r="CG203" i="1"/>
  <c r="CE198" i="1"/>
  <c r="CA198" i="1"/>
  <c r="CA224" i="1"/>
  <c r="BZ213" i="1"/>
  <c r="BU213" i="1"/>
  <c r="BV213" i="1"/>
  <c r="CG204" i="1"/>
  <c r="CG220" i="1"/>
  <c r="CG271" i="1"/>
  <c r="BV271" i="1"/>
  <c r="BW241" i="1"/>
  <c r="CG241" i="1"/>
  <c r="BU241" i="1"/>
  <c r="CB241" i="1"/>
  <c r="CF301" i="1"/>
  <c r="CD301" i="1"/>
  <c r="CC301" i="1"/>
  <c r="BW250" i="1"/>
  <c r="BV250" i="1"/>
  <c r="BV259" i="1"/>
  <c r="CB275" i="1"/>
  <c r="BY275" i="1"/>
  <c r="BU245" i="1"/>
  <c r="BW245" i="1"/>
  <c r="BU267" i="1"/>
  <c r="CF267" i="1"/>
  <c r="CA234" i="1"/>
  <c r="CG306" i="1"/>
  <c r="CA306" i="1"/>
  <c r="BY287" i="1"/>
  <c r="BX287" i="1"/>
  <c r="BV314" i="1"/>
  <c r="CE314" i="1"/>
  <c r="BW297" i="1"/>
  <c r="CF292" i="1"/>
  <c r="BX292" i="1"/>
  <c r="BW25" i="1"/>
  <c r="CD41" i="1"/>
  <c r="BS41" i="1"/>
  <c r="BY45" i="1"/>
  <c r="BS43" i="1"/>
  <c r="CE43" i="1"/>
  <c r="BU43" i="1"/>
  <c r="CF50" i="1"/>
  <c r="CB50" i="1"/>
  <c r="BU51" i="1"/>
  <c r="BV51" i="1"/>
  <c r="BU60" i="1"/>
  <c r="BX74" i="1"/>
  <c r="BS74" i="1"/>
  <c r="CD74" i="1"/>
  <c r="BZ81" i="1"/>
  <c r="BV81" i="1"/>
  <c r="CA81" i="1"/>
  <c r="BS81" i="1"/>
  <c r="CE82" i="1"/>
  <c r="BU86" i="1"/>
  <c r="CC86" i="1"/>
  <c r="BZ91" i="1"/>
  <c r="CG91" i="1"/>
  <c r="CD93" i="1"/>
  <c r="CG93" i="1"/>
  <c r="CE99" i="1"/>
  <c r="CF99" i="1"/>
  <c r="CF116" i="1"/>
  <c r="BU116" i="1"/>
  <c r="BZ112" i="1"/>
  <c r="CB112" i="1"/>
  <c r="BX112" i="1"/>
  <c r="CE124" i="1"/>
  <c r="CF124" i="1"/>
  <c r="CD123" i="1"/>
  <c r="BZ125" i="1"/>
  <c r="BW141" i="1"/>
  <c r="CF141" i="1"/>
  <c r="CG141" i="1"/>
  <c r="CF143" i="1"/>
  <c r="BW143" i="1"/>
  <c r="CE165" i="1"/>
  <c r="BY161" i="1"/>
  <c r="BW161" i="1"/>
  <c r="BW170" i="1"/>
  <c r="CD170" i="1"/>
  <c r="BY170" i="1"/>
  <c r="CB179" i="1"/>
  <c r="BZ179" i="1"/>
  <c r="BS172" i="1"/>
  <c r="CB172" i="1"/>
  <c r="BS196" i="1"/>
  <c r="BX196" i="1"/>
  <c r="CA196" i="1"/>
  <c r="BY206" i="1"/>
  <c r="BU206" i="1"/>
  <c r="CA206" i="1"/>
  <c r="CF188" i="1"/>
  <c r="CE188" i="1"/>
  <c r="BX188" i="1"/>
  <c r="BU201" i="1"/>
  <c r="CF201" i="1"/>
  <c r="CG201" i="1"/>
  <c r="BZ227" i="1"/>
  <c r="BW227" i="1"/>
  <c r="CE215" i="1"/>
  <c r="CB215" i="1"/>
  <c r="BY215" i="1"/>
  <c r="CA205" i="1"/>
  <c r="CC205" i="1"/>
  <c r="BX205" i="1"/>
  <c r="CD222" i="1"/>
  <c r="CF222" i="1"/>
  <c r="BX222" i="1"/>
  <c r="CB274" i="1"/>
  <c r="CA244" i="1"/>
  <c r="BT304" i="1"/>
  <c r="BX304" i="1"/>
  <c r="BS304" i="1"/>
  <c r="BW251" i="1"/>
  <c r="CF251" i="1"/>
  <c r="CB251" i="1"/>
  <c r="CC260" i="1"/>
  <c r="BS260" i="1"/>
  <c r="BX260" i="1"/>
  <c r="CD278" i="1"/>
  <c r="CB278" i="1"/>
  <c r="BW278" i="1"/>
  <c r="CC302" i="1"/>
  <c r="CE302" i="1"/>
  <c r="CF270" i="1"/>
  <c r="CG270" i="1"/>
  <c r="CD237" i="1"/>
  <c r="BV237" i="1"/>
  <c r="CC237" i="1"/>
  <c r="CG309" i="1"/>
  <c r="CD309" i="1"/>
  <c r="BS309" i="1"/>
  <c r="BV290" i="1"/>
  <c r="CA290" i="1"/>
  <c r="BW282" i="1"/>
  <c r="BS282" i="1"/>
  <c r="BT300" i="1"/>
  <c r="CD300" i="1"/>
  <c r="BS300" i="1"/>
  <c r="BV295" i="1"/>
  <c r="CB295" i="1"/>
  <c r="CG295" i="1"/>
  <c r="BV23" i="1"/>
  <c r="BR23" i="1"/>
  <c r="BS31" i="1"/>
  <c r="CF31" i="1"/>
  <c r="BX31" i="1"/>
  <c r="CE37" i="1"/>
  <c r="BZ37" i="1"/>
  <c r="CA34" i="1"/>
  <c r="BS47" i="1"/>
  <c r="CD47" i="1"/>
  <c r="BY52" i="1"/>
  <c r="CG52" i="1"/>
  <c r="BS52" i="1"/>
  <c r="BW66" i="1"/>
  <c r="CD66" i="1"/>
  <c r="CD64" i="1"/>
  <c r="BX64" i="1"/>
  <c r="BZ68" i="1"/>
  <c r="CD68" i="1"/>
  <c r="BX68" i="1"/>
  <c r="BR80" i="1"/>
  <c r="BV80" i="1"/>
  <c r="BU80" i="1"/>
  <c r="CA89" i="1"/>
  <c r="BX89" i="1"/>
  <c r="CD89" i="1"/>
  <c r="CC78" i="1"/>
  <c r="BV78" i="1"/>
  <c r="BX78" i="1"/>
  <c r="BR78" i="1"/>
  <c r="CF94" i="1"/>
  <c r="BX94" i="1"/>
  <c r="BW100" i="1"/>
  <c r="CB100" i="1"/>
  <c r="BX96" i="1"/>
  <c r="BV96" i="1"/>
  <c r="CB96" i="1"/>
  <c r="BX115" i="1"/>
  <c r="CE115" i="1"/>
  <c r="BV127" i="1"/>
  <c r="BZ127" i="1"/>
  <c r="CD127" i="1"/>
  <c r="BW126" i="1"/>
  <c r="CG126" i="1"/>
  <c r="BU126" i="1"/>
  <c r="CD126" i="1"/>
  <c r="BR128" i="1"/>
  <c r="BX128" i="1"/>
  <c r="CF128" i="1"/>
  <c r="BT151" i="1"/>
  <c r="BS151" i="1"/>
  <c r="CF144" i="1"/>
  <c r="CG144" i="1"/>
  <c r="BR144" i="1"/>
  <c r="CB146" i="1"/>
  <c r="BX146" i="1"/>
  <c r="BU146" i="1"/>
  <c r="BS168" i="1"/>
  <c r="CA168" i="1"/>
  <c r="CF168" i="1"/>
  <c r="BZ164" i="1"/>
  <c r="CB164" i="1"/>
  <c r="BU174" i="1"/>
  <c r="BX174" i="1"/>
  <c r="BV174" i="1"/>
  <c r="BR171" i="1"/>
  <c r="CG171" i="1"/>
  <c r="CF171" i="1"/>
  <c r="BV173" i="1"/>
  <c r="CE173" i="1"/>
  <c r="CA199" i="1"/>
  <c r="BS199" i="1"/>
  <c r="BX199" i="1"/>
  <c r="CC209" i="1"/>
  <c r="CB209" i="1"/>
  <c r="BR209" i="1"/>
  <c r="BY207" i="1"/>
  <c r="BR207" i="1"/>
  <c r="CE184" i="1"/>
  <c r="CD184" i="1"/>
  <c r="BT230" i="1"/>
  <c r="CC230" i="1"/>
  <c r="CD230" i="1"/>
  <c r="BT218" i="1"/>
  <c r="CA218" i="1"/>
  <c r="BX214" i="1"/>
  <c r="CC214" i="1"/>
  <c r="CB223" i="1"/>
  <c r="BR223" i="1"/>
  <c r="CC223" i="1"/>
  <c r="BR277" i="1"/>
  <c r="BY277" i="1"/>
  <c r="CD277" i="1"/>
  <c r="BV249" i="1"/>
  <c r="CE249" i="1"/>
  <c r="BT307" i="1"/>
  <c r="BW307" i="1"/>
  <c r="BS307" i="1"/>
  <c r="CD253" i="1"/>
  <c r="CC253" i="1"/>
  <c r="CF253" i="1"/>
  <c r="BR263" i="1"/>
  <c r="BY263" i="1"/>
  <c r="CD263" i="1"/>
  <c r="BZ233" i="1"/>
  <c r="BU305" i="1"/>
  <c r="CD305" i="1"/>
  <c r="BR305" i="1"/>
  <c r="CA305" i="1"/>
  <c r="BZ273" i="1"/>
  <c r="BW273" i="1"/>
  <c r="CB273" i="1"/>
  <c r="BY240" i="1"/>
  <c r="CB240" i="1"/>
  <c r="BW240" i="1"/>
  <c r="BT312" i="1"/>
  <c r="CC312" i="1"/>
  <c r="CA293" i="1"/>
  <c r="CD293" i="1"/>
  <c r="BS285" i="1"/>
  <c r="BV285" i="1"/>
  <c r="CD285" i="1"/>
  <c r="BX280" i="1"/>
  <c r="CE280" i="1"/>
  <c r="BZ280" i="1"/>
  <c r="BW298" i="1"/>
  <c r="CG298" i="1"/>
  <c r="BV298" i="1"/>
  <c r="BW21" i="1"/>
  <c r="BX21" i="1"/>
  <c r="CA24" i="1"/>
  <c r="CB24" i="1"/>
  <c r="CC32" i="1"/>
  <c r="CB32" i="1"/>
  <c r="BV32" i="1"/>
  <c r="CC53" i="1"/>
  <c r="CG53" i="1"/>
  <c r="BS53" i="1"/>
  <c r="CD39" i="1"/>
  <c r="CC39" i="1"/>
  <c r="CF39" i="1"/>
  <c r="BX61" i="1"/>
  <c r="BT61" i="1"/>
  <c r="CF61" i="1"/>
  <c r="CB54" i="1"/>
  <c r="BW62" i="1"/>
  <c r="BZ62" i="1"/>
  <c r="CA62" i="1"/>
  <c r="BS65" i="1"/>
  <c r="CE65" i="1"/>
  <c r="CC65" i="1"/>
  <c r="BU65" i="1"/>
  <c r="BT69" i="1"/>
  <c r="CD69" i="1"/>
  <c r="BS83" i="1"/>
  <c r="BZ83" i="1"/>
  <c r="BU83" i="1"/>
  <c r="BZ92" i="1"/>
  <c r="BY92" i="1"/>
  <c r="BV98" i="1"/>
  <c r="BW98" i="1"/>
  <c r="BZ98" i="1"/>
  <c r="BW105" i="1"/>
  <c r="CC105" i="1"/>
  <c r="BW104" i="1"/>
  <c r="CE104" i="1"/>
  <c r="BY104" i="1"/>
  <c r="BW97" i="1"/>
  <c r="CC97" i="1"/>
  <c r="CE97" i="1"/>
  <c r="BZ117" i="1"/>
  <c r="CE117" i="1"/>
  <c r="CG130" i="1"/>
  <c r="BR130" i="1"/>
  <c r="BT130" i="1"/>
  <c r="CD129" i="1"/>
  <c r="BU129" i="1"/>
  <c r="BS129" i="1"/>
  <c r="BR131" i="1"/>
  <c r="BZ131" i="1"/>
  <c r="CF131" i="1"/>
  <c r="CF153" i="1"/>
  <c r="BR153" i="1"/>
  <c r="BU153" i="1"/>
  <c r="BV147" i="1"/>
  <c r="CB147" i="1"/>
  <c r="CE149" i="1"/>
  <c r="CA149" i="1"/>
  <c r="BZ149" i="1"/>
  <c r="CC166" i="1"/>
  <c r="BY166" i="1"/>
  <c r="BV166" i="1"/>
  <c r="BX157" i="1"/>
  <c r="CB157" i="1"/>
  <c r="BZ157" i="1"/>
  <c r="CE177" i="1"/>
  <c r="CG177" i="1"/>
  <c r="CD177" i="1"/>
  <c r="BR175" i="1"/>
  <c r="BU175" i="1"/>
  <c r="CE175" i="1"/>
  <c r="BU182" i="1"/>
  <c r="BY182" i="1"/>
  <c r="CF182" i="1"/>
  <c r="BU202" i="1"/>
  <c r="CF202" i="1"/>
  <c r="CG202" i="1"/>
  <c r="BU194" i="1"/>
  <c r="CC194" i="1"/>
  <c r="BX210" i="1"/>
  <c r="CB210" i="1"/>
  <c r="BW189" i="1"/>
  <c r="BV212" i="1"/>
  <c r="BU212" i="1"/>
  <c r="CF212" i="1"/>
  <c r="BZ212" i="1"/>
  <c r="CC221" i="1"/>
  <c r="BZ221" i="1"/>
  <c r="BR216" i="1"/>
  <c r="CE216" i="1"/>
  <c r="CC216" i="1"/>
  <c r="BR262" i="1"/>
  <c r="BY262" i="1"/>
  <c r="CC232" i="1"/>
  <c r="CD232" i="1"/>
  <c r="CD252" i="1"/>
  <c r="BS252" i="1"/>
  <c r="BX252" i="1"/>
  <c r="CG310" i="1"/>
  <c r="BU310" i="1"/>
  <c r="CB310" i="1"/>
  <c r="BV254" i="1"/>
  <c r="BU254" i="1"/>
  <c r="BX254" i="1"/>
  <c r="BX266" i="1"/>
  <c r="CA266" i="1"/>
  <c r="CD236" i="1"/>
  <c r="BZ308" i="1"/>
  <c r="BX308" i="1"/>
  <c r="BU308" i="1"/>
  <c r="CB276" i="1"/>
  <c r="BY276" i="1"/>
  <c r="CG243" i="1"/>
  <c r="BU243" i="1"/>
  <c r="BZ243" i="1"/>
  <c r="CA313" i="1"/>
  <c r="BZ313" i="1"/>
  <c r="CF296" i="1"/>
  <c r="BW296" i="1"/>
  <c r="CB296" i="1"/>
  <c r="CD288" i="1"/>
  <c r="BX288" i="1"/>
  <c r="CE283" i="1"/>
  <c r="BS283" i="1"/>
  <c r="BU283" i="1"/>
  <c r="CA36" i="1"/>
  <c r="CE36" i="1"/>
  <c r="CG154" i="1"/>
  <c r="CF211" i="1"/>
  <c r="CG211" i="1"/>
  <c r="CA211" i="1"/>
  <c r="CE229" i="1"/>
  <c r="CA229" i="1"/>
  <c r="CE257" i="1"/>
  <c r="CC257" i="1"/>
  <c r="CB289" i="1"/>
  <c r="CD289" i="1"/>
  <c r="BV22" i="1"/>
  <c r="BU22" i="1"/>
  <c r="BY22" i="1"/>
  <c r="CG28" i="1"/>
  <c r="CF44" i="1"/>
  <c r="BX44" i="1"/>
  <c r="CF42" i="1"/>
  <c r="BV42" i="1"/>
  <c r="CA42" i="1"/>
  <c r="BY46" i="1"/>
  <c r="BZ46" i="1"/>
  <c r="CD46" i="1"/>
  <c r="BU49" i="1"/>
  <c r="CA59" i="1"/>
  <c r="BY59" i="1"/>
  <c r="BX72" i="1"/>
  <c r="BY72" i="1"/>
  <c r="BU72" i="1"/>
  <c r="CB79" i="1"/>
  <c r="CC79" i="1"/>
  <c r="BY79" i="1"/>
  <c r="CG75" i="1"/>
  <c r="BX75" i="1"/>
  <c r="CB88" i="1"/>
  <c r="BY88" i="1"/>
  <c r="CF103" i="1"/>
  <c r="CD103" i="1"/>
  <c r="CG114" i="1"/>
  <c r="CD114" i="1"/>
  <c r="CB114" i="1"/>
  <c r="CB113" i="1"/>
  <c r="CE113" i="1"/>
  <c r="CG109" i="1"/>
  <c r="BY122" i="1"/>
  <c r="BY137" i="1"/>
  <c r="CD137" i="1"/>
  <c r="CC119" i="1"/>
  <c r="CG119" i="1"/>
  <c r="CC145" i="1"/>
  <c r="BY145" i="1"/>
  <c r="BU145" i="1"/>
  <c r="BW138" i="1"/>
  <c r="CD138" i="1"/>
  <c r="CG138" i="1"/>
  <c r="CB140" i="1"/>
  <c r="BX140" i="1"/>
  <c r="CB162" i="1"/>
  <c r="CE162" i="1"/>
  <c r="BW158" i="1"/>
  <c r="BZ158" i="1"/>
  <c r="BV158" i="1"/>
  <c r="CE167" i="1"/>
  <c r="CC167" i="1"/>
  <c r="BX167" i="1"/>
  <c r="BZ176" i="1"/>
  <c r="BX176" i="1"/>
  <c r="BV176" i="1"/>
  <c r="BZ169" i="1"/>
  <c r="CC169" i="1"/>
  <c r="BX193" i="1"/>
  <c r="BV193" i="1"/>
  <c r="BZ192" i="1"/>
  <c r="CE203" i="1"/>
  <c r="BX203" i="1"/>
  <c r="CC198" i="1"/>
  <c r="BX198" i="1"/>
  <c r="BV224" i="1"/>
  <c r="CC224" i="1"/>
  <c r="BY224" i="1"/>
  <c r="CD224" i="1"/>
  <c r="CB213" i="1"/>
  <c r="CC213" i="1"/>
  <c r="BU204" i="1"/>
  <c r="BY204" i="1"/>
  <c r="BW204" i="1"/>
  <c r="BY220" i="1"/>
  <c r="CC220" i="1"/>
  <c r="BU271" i="1"/>
  <c r="CF271" i="1"/>
  <c r="CF241" i="1"/>
  <c r="CC241" i="1"/>
  <c r="BV301" i="1"/>
  <c r="BZ301" i="1"/>
  <c r="BU250" i="1"/>
  <c r="BW259" i="1"/>
  <c r="BZ275" i="1"/>
  <c r="BW275" i="1"/>
  <c r="CB245" i="1"/>
  <c r="CE245" i="1"/>
  <c r="CA245" i="1"/>
  <c r="BY267" i="1"/>
  <c r="CD267" i="1"/>
  <c r="CC234" i="1"/>
  <c r="BU306" i="1"/>
  <c r="CF287" i="1"/>
  <c r="BU287" i="1"/>
  <c r="CB287" i="1"/>
  <c r="CF314" i="1"/>
  <c r="CG314" i="1"/>
  <c r="CC314" i="1"/>
  <c r="CD297" i="1"/>
  <c r="BX297" i="1"/>
  <c r="BS297" i="1"/>
  <c r="CA292" i="1"/>
  <c r="CD25" i="1"/>
  <c r="CF25" i="1"/>
  <c r="CG41" i="1"/>
  <c r="BV41" i="1"/>
  <c r="BT41" i="1"/>
  <c r="CC45" i="1"/>
  <c r="BV45" i="1"/>
  <c r="BZ45" i="1"/>
  <c r="BV43" i="1"/>
  <c r="CF43" i="1"/>
  <c r="CG50" i="1"/>
  <c r="CB51" i="1"/>
  <c r="CA51" i="1"/>
  <c r="BW60" i="1"/>
  <c r="CD60" i="1"/>
  <c r="BX60" i="1"/>
  <c r="BV74" i="1"/>
  <c r="CB74" i="1"/>
  <c r="BW81" i="1"/>
  <c r="BZ82" i="1"/>
  <c r="BX82" i="1"/>
  <c r="CA82" i="1"/>
  <c r="BV82" i="1"/>
  <c r="BZ86" i="1"/>
  <c r="CE86" i="1"/>
  <c r="BT86" i="1"/>
  <c r="CA91" i="1"/>
  <c r="CF91" i="1"/>
  <c r="BX93" i="1"/>
  <c r="BS93" i="1"/>
  <c r="BV99" i="1"/>
  <c r="BZ99" i="1"/>
  <c r="CA99" i="1"/>
  <c r="CB116" i="1"/>
  <c r="BX116" i="1"/>
  <c r="BY116" i="1"/>
  <c r="BU112" i="1"/>
  <c r="BW112" i="1"/>
  <c r="BY112" i="1"/>
  <c r="BV112" i="1"/>
  <c r="CC124" i="1"/>
  <c r="CA124" i="1"/>
  <c r="BX124" i="1"/>
  <c r="BT123" i="1"/>
  <c r="BS123" i="1"/>
  <c r="BX123" i="1"/>
  <c r="BW125" i="1"/>
  <c r="CF125" i="1"/>
  <c r="CA148" i="1"/>
  <c r="CG148" i="1"/>
  <c r="CD148" i="1"/>
  <c r="BU141" i="1"/>
  <c r="CC141" i="1"/>
  <c r="BX143" i="1"/>
  <c r="BZ143" i="1"/>
  <c r="CA143" i="1"/>
  <c r="BU165" i="1"/>
  <c r="BY165" i="1"/>
  <c r="BZ165" i="1"/>
  <c r="CA161" i="1"/>
  <c r="BZ161" i="1"/>
  <c r="CF161" i="1"/>
  <c r="BZ170" i="1"/>
  <c r="BU170" i="1"/>
  <c r="BV170" i="1"/>
  <c r="CG179" i="1"/>
  <c r="CD179" i="1"/>
  <c r="BT172" i="1"/>
  <c r="BU172" i="1"/>
  <c r="BY172" i="1"/>
  <c r="BV196" i="1"/>
  <c r="CC196" i="1"/>
  <c r="CE196" i="1"/>
  <c r="BT206" i="1"/>
  <c r="CG206" i="1"/>
  <c r="CG188" i="1"/>
  <c r="CC188" i="1"/>
  <c r="CD201" i="1"/>
  <c r="BT201" i="1"/>
  <c r="BS227" i="1"/>
  <c r="BX227" i="1"/>
  <c r="CA227" i="1"/>
  <c r="BX215" i="1"/>
  <c r="CD215" i="1"/>
  <c r="BW215" i="1"/>
  <c r="BZ205" i="1"/>
  <c r="CF205" i="1"/>
  <c r="BY222" i="1"/>
  <c r="CG222" i="1"/>
  <c r="BZ222" i="1"/>
  <c r="BZ274" i="1"/>
  <c r="BW274" i="1"/>
  <c r="CE244" i="1"/>
  <c r="CB244" i="1"/>
  <c r="BT244" i="1"/>
  <c r="CB304" i="1"/>
  <c r="CG304" i="1"/>
  <c r="CF304" i="1"/>
  <c r="BV251" i="1"/>
  <c r="BZ251" i="1"/>
  <c r="BT251" i="1"/>
  <c r="BT260" i="1"/>
  <c r="BV260" i="1"/>
  <c r="BZ278" i="1"/>
  <c r="CA278" i="1"/>
  <c r="BV278" i="1"/>
  <c r="CF302" i="1"/>
  <c r="BT302" i="1"/>
  <c r="BS302" i="1"/>
  <c r="BT270" i="1"/>
  <c r="BU270" i="1"/>
  <c r="BT237" i="1"/>
  <c r="BY237" i="1"/>
  <c r="BX237" i="1"/>
  <c r="BX309" i="1"/>
  <c r="BU290" i="1"/>
  <c r="BY290" i="1"/>
  <c r="CC290" i="1"/>
  <c r="BZ290" i="1"/>
  <c r="CB282" i="1"/>
  <c r="CD282" i="1"/>
  <c r="BU282" i="1"/>
  <c r="BW300" i="1"/>
  <c r="CE300" i="1"/>
  <c r="BU300" i="1"/>
  <c r="BU295" i="1"/>
  <c r="CF295" i="1"/>
  <c r="BS295" i="1"/>
  <c r="BX23" i="1"/>
  <c r="BW23" i="1"/>
  <c r="CF23" i="1"/>
  <c r="BU23" i="1"/>
  <c r="CB31" i="1"/>
  <c r="BU31" i="1"/>
  <c r="CG31" i="1"/>
  <c r="BX37" i="1"/>
  <c r="BV37" i="1"/>
  <c r="CF37" i="1"/>
  <c r="BY34" i="1"/>
  <c r="CC34" i="1"/>
  <c r="BV47" i="1"/>
  <c r="BZ47" i="1"/>
  <c r="CB47" i="1"/>
  <c r="BT52" i="1"/>
  <c r="BX52" i="1"/>
  <c r="CF66" i="1"/>
  <c r="BV66" i="1"/>
  <c r="CG66" i="1"/>
  <c r="BY66" i="1"/>
  <c r="BU64" i="1"/>
  <c r="BT64" i="1"/>
  <c r="BR64" i="1"/>
  <c r="BY68" i="1"/>
  <c r="BV68" i="1"/>
  <c r="BX80" i="1"/>
  <c r="BY80" i="1"/>
  <c r="CC80" i="1"/>
  <c r="BY89" i="1"/>
  <c r="BV89" i="1"/>
  <c r="CB89" i="1"/>
  <c r="CE78" i="1"/>
  <c r="CG78" i="1"/>
  <c r="BZ94" i="1"/>
  <c r="CB94" i="1"/>
  <c r="BR94" i="1"/>
  <c r="BV94" i="1"/>
  <c r="BY100" i="1"/>
  <c r="BS100" i="1"/>
  <c r="CE100" i="1"/>
  <c r="BU96" i="1"/>
  <c r="CF96" i="1"/>
  <c r="CG115" i="1"/>
  <c r="BV115" i="1"/>
  <c r="CB115" i="1"/>
  <c r="CC127" i="1"/>
  <c r="CA127" i="1"/>
  <c r="BY127" i="1"/>
  <c r="CE126" i="1"/>
  <c r="CC126" i="1"/>
  <c r="CB128" i="1"/>
  <c r="BW128" i="1"/>
  <c r="CD128" i="1"/>
  <c r="CA151" i="1"/>
  <c r="CF151" i="1"/>
  <c r="CB151" i="1"/>
  <c r="CC144" i="1"/>
  <c r="BW144" i="1"/>
  <c r="BY146" i="1"/>
  <c r="BW146" i="1"/>
  <c r="BW168" i="1"/>
  <c r="BZ168" i="1"/>
  <c r="BS164" i="1"/>
  <c r="CA164" i="1"/>
  <c r="CC164" i="1"/>
  <c r="CE174" i="1"/>
  <c r="CB174" i="1"/>
  <c r="BV171" i="1"/>
  <c r="BZ171" i="1"/>
  <c r="CA171" i="1"/>
  <c r="BS173" i="1"/>
  <c r="CA173" i="1"/>
  <c r="BZ173" i="1"/>
  <c r="BV199" i="1"/>
  <c r="CC199" i="1"/>
  <c r="BZ209" i="1"/>
  <c r="CD209" i="1"/>
  <c r="CD207" i="1"/>
  <c r="CF207" i="1"/>
  <c r="CG207" i="1"/>
  <c r="BZ184" i="1"/>
  <c r="CA184" i="1"/>
  <c r="CF184" i="1"/>
  <c r="BX184" i="1"/>
  <c r="BR230" i="1"/>
  <c r="CF218" i="1"/>
  <c r="BU218" i="1"/>
  <c r="CC218" i="1"/>
  <c r="BT214" i="1"/>
  <c r="BY214" i="1"/>
  <c r="BU223" i="1"/>
  <c r="CA223" i="1"/>
  <c r="BZ277" i="1"/>
  <c r="BW277" i="1"/>
  <c r="CB277" i="1"/>
  <c r="BY249" i="1"/>
  <c r="BX249" i="1"/>
  <c r="CF249" i="1"/>
  <c r="CC249" i="1"/>
  <c r="CB307" i="1"/>
  <c r="CC307" i="1"/>
  <c r="BZ253" i="1"/>
  <c r="BX253" i="1"/>
  <c r="CB253" i="1"/>
  <c r="BW263" i="1"/>
  <c r="CB263" i="1"/>
  <c r="BW233" i="1"/>
  <c r="CD233" i="1"/>
  <c r="BX233" i="1"/>
  <c r="BZ305" i="1"/>
  <c r="BS305" i="1"/>
  <c r="BX273" i="1"/>
  <c r="CE273" i="1"/>
  <c r="CA273" i="1"/>
  <c r="BX240" i="1"/>
  <c r="BT240" i="1"/>
  <c r="BZ312" i="1"/>
  <c r="CG312" i="1"/>
  <c r="BU312" i="1"/>
  <c r="CC293" i="1"/>
  <c r="BR293" i="1"/>
  <c r="BU285" i="1"/>
  <c r="BT285" i="1"/>
  <c r="CG280" i="1"/>
  <c r="BV280" i="1"/>
  <c r="BS280" i="1"/>
  <c r="CB298" i="1"/>
  <c r="CE298" i="1"/>
  <c r="BS298" i="1"/>
  <c r="BU298" i="1"/>
  <c r="BS21" i="1"/>
  <c r="BZ21" i="1"/>
  <c r="BY24" i="1"/>
  <c r="BT24" i="1"/>
  <c r="CG24" i="1"/>
  <c r="CF32" i="1"/>
  <c r="BW32" i="1"/>
  <c r="BS32" i="1"/>
  <c r="BY53" i="1"/>
  <c r="BT53" i="1"/>
  <c r="BR53" i="1"/>
  <c r="BX53" i="1"/>
  <c r="BU39" i="1"/>
  <c r="CE39" i="1"/>
  <c r="CG39" i="1"/>
  <c r="BR61" i="1"/>
  <c r="BU61" i="1"/>
  <c r="BW61" i="1"/>
  <c r="BU54" i="1"/>
  <c r="BR54" i="1"/>
  <c r="BZ54" i="1"/>
  <c r="CB62" i="1"/>
  <c r="BR62" i="1"/>
  <c r="BV65" i="1"/>
  <c r="BZ65" i="1"/>
  <c r="CC69" i="1"/>
  <c r="CB69" i="1"/>
  <c r="CF69" i="1"/>
  <c r="BU69" i="1"/>
  <c r="CB83" i="1"/>
  <c r="CC83" i="1"/>
  <c r="CF92" i="1"/>
  <c r="BW92" i="1"/>
  <c r="BY98" i="1"/>
  <c r="BX98" i="1"/>
  <c r="CF98" i="1"/>
  <c r="BU105" i="1"/>
  <c r="BT105" i="1"/>
  <c r="BY105" i="1"/>
  <c r="CB104" i="1"/>
  <c r="BZ104" i="1"/>
  <c r="CC104" i="1"/>
  <c r="BU97" i="1"/>
  <c r="BS97" i="1"/>
  <c r="BY97" i="1"/>
  <c r="CC117" i="1"/>
  <c r="CD117" i="1"/>
  <c r="BR117" i="1"/>
  <c r="CC130" i="1"/>
  <c r="CB130" i="1"/>
  <c r="CB129" i="1"/>
  <c r="BX129" i="1"/>
  <c r="BV131" i="1"/>
  <c r="CC131" i="1"/>
  <c r="CD153" i="1"/>
  <c r="BS153" i="1"/>
  <c r="CF147" i="1"/>
  <c r="BT147" i="1"/>
  <c r="CE147" i="1"/>
  <c r="BR147" i="1"/>
  <c r="CF149" i="1"/>
  <c r="CC149" i="1"/>
  <c r="BS166" i="1"/>
  <c r="CE157" i="1"/>
  <c r="BW157" i="1"/>
  <c r="CA157" i="1"/>
  <c r="BS177" i="1"/>
  <c r="BZ177" i="1"/>
  <c r="BW177" i="1"/>
  <c r="BS175" i="1"/>
  <c r="BX175" i="1"/>
  <c r="CC175" i="1"/>
  <c r="CG182" i="1"/>
  <c r="BW182" i="1"/>
  <c r="BR182" i="1"/>
  <c r="BY202" i="1"/>
  <c r="CD202" i="1"/>
  <c r="BT202" i="1"/>
  <c r="BY194" i="1"/>
  <c r="CD194" i="1"/>
  <c r="BZ194" i="1"/>
  <c r="BU210" i="1"/>
  <c r="BZ210" i="1"/>
  <c r="BR189" i="1"/>
  <c r="BY189" i="1"/>
  <c r="CG189" i="1"/>
  <c r="BY212" i="1"/>
  <c r="BW212" i="1"/>
  <c r="BX212" i="1"/>
  <c r="BX221" i="1"/>
  <c r="CB221" i="1"/>
  <c r="BV221" i="1"/>
  <c r="BR221" i="1"/>
  <c r="CD216" i="1"/>
  <c r="BS216" i="1"/>
  <c r="BZ262" i="1"/>
  <c r="BW262" i="1"/>
  <c r="CB262" i="1"/>
  <c r="CF232" i="1"/>
  <c r="BR232" i="1"/>
  <c r="BV252" i="1"/>
  <c r="BR252" i="1"/>
  <c r="CF310" i="1"/>
  <c r="CC310" i="1"/>
  <c r="CC254" i="1"/>
  <c r="CB254" i="1"/>
  <c r="BV266" i="1"/>
  <c r="CE266" i="1"/>
  <c r="BS266" i="1"/>
  <c r="BT236" i="1"/>
  <c r="BY236" i="1"/>
  <c r="CA236" i="1"/>
  <c r="BV308" i="1"/>
  <c r="CC308" i="1"/>
  <c r="CE308" i="1"/>
  <c r="BZ276" i="1"/>
  <c r="BW276" i="1"/>
  <c r="BT243" i="1"/>
  <c r="BS243" i="1"/>
  <c r="BW243" i="1"/>
  <c r="CC313" i="1"/>
  <c r="CE313" i="1"/>
  <c r="BS313" i="1"/>
  <c r="BX313" i="1"/>
  <c r="CG296" i="1"/>
  <c r="BS288" i="1"/>
  <c r="BT288" i="1"/>
  <c r="CE288" i="1"/>
  <c r="BR283" i="1"/>
  <c r="BT283" i="1"/>
  <c r="CF36" i="1"/>
  <c r="CA118" i="1"/>
  <c r="CC229" i="1"/>
  <c r="CD257" i="1"/>
  <c r="CG289" i="1"/>
  <c r="CC22" i="1"/>
  <c r="BX22" i="1"/>
  <c r="CD28" i="1"/>
  <c r="CE44" i="1"/>
  <c r="BW44" i="1"/>
  <c r="BY44" i="1"/>
  <c r="BX42" i="1"/>
  <c r="CB42" i="1"/>
  <c r="BU42" i="1"/>
  <c r="BX46" i="1"/>
  <c r="CC49" i="1"/>
  <c r="CA49" i="1"/>
  <c r="CF49" i="1"/>
  <c r="CB59" i="1"/>
  <c r="BZ59" i="1"/>
  <c r="CE72" i="1"/>
  <c r="CA72" i="1"/>
  <c r="CC77" i="1"/>
  <c r="BX77" i="1"/>
  <c r="BY77" i="1"/>
  <c r="CA79" i="1"/>
  <c r="BW79" i="1"/>
  <c r="BZ75" i="1"/>
  <c r="BU75" i="1"/>
  <c r="BY75" i="1"/>
  <c r="CG88" i="1"/>
  <c r="CC103" i="1"/>
  <c r="CG103" i="1"/>
  <c r="BU103" i="1"/>
  <c r="CC114" i="1"/>
  <c r="CE114" i="1"/>
  <c r="CC113" i="1"/>
  <c r="BW113" i="1"/>
  <c r="CA113" i="1"/>
  <c r="CE109" i="1"/>
  <c r="BX122" i="1"/>
  <c r="CC137" i="1"/>
  <c r="CD119" i="1"/>
  <c r="BX119" i="1"/>
  <c r="CF119" i="1"/>
  <c r="BW145" i="1"/>
  <c r="CA145" i="1"/>
  <c r="CE138" i="1"/>
  <c r="BU138" i="1"/>
  <c r="BX138" i="1"/>
  <c r="CD140" i="1"/>
  <c r="CC162" i="1"/>
  <c r="CB158" i="1"/>
  <c r="CD167" i="1"/>
  <c r="BV167" i="1"/>
  <c r="BY176" i="1"/>
  <c r="BU176" i="1"/>
  <c r="BU169" i="1"/>
  <c r="BV169" i="1"/>
  <c r="BU193" i="1"/>
  <c r="CF193" i="1"/>
  <c r="CG192" i="1"/>
  <c r="CF192" i="1"/>
  <c r="CD192" i="1"/>
  <c r="CB203" i="1"/>
  <c r="CA203" i="1"/>
  <c r="CG198" i="1"/>
  <c r="BV198" i="1"/>
  <c r="BZ224" i="1"/>
  <c r="CG224" i="1"/>
  <c r="CD213" i="1"/>
  <c r="CF213" i="1"/>
  <c r="BV204" i="1"/>
  <c r="CA220" i="1"/>
  <c r="CD220" i="1"/>
  <c r="BY271" i="1"/>
  <c r="CD271" i="1"/>
  <c r="BV241" i="1"/>
  <c r="BY241" i="1"/>
  <c r="BX301" i="1"/>
  <c r="CA301" i="1"/>
  <c r="CG301" i="1"/>
  <c r="CC250" i="1"/>
  <c r="CF250" i="1"/>
  <c r="BY250" i="1"/>
  <c r="CG250" i="1"/>
  <c r="CG259" i="1"/>
  <c r="BU259" i="1"/>
  <c r="BX275" i="1"/>
  <c r="CA275" i="1"/>
  <c r="CF245" i="1"/>
  <c r="BZ267" i="1"/>
  <c r="BW267" i="1"/>
  <c r="CB267" i="1"/>
  <c r="BU234" i="1"/>
  <c r="CE234" i="1"/>
  <c r="CG234" i="1"/>
  <c r="CD306" i="1"/>
  <c r="CB306" i="1"/>
  <c r="CE306" i="1"/>
  <c r="CG287" i="1"/>
  <c r="BW287" i="1"/>
  <c r="CD314" i="1"/>
  <c r="BV297" i="1"/>
  <c r="BT297" i="1"/>
  <c r="BU297" i="1"/>
  <c r="BV292" i="1"/>
  <c r="BW292" i="1"/>
  <c r="BY292" i="1"/>
  <c r="CG25" i="1"/>
  <c r="BT25" i="1"/>
  <c r="BX25" i="1"/>
  <c r="BX41" i="1"/>
  <c r="CC41" i="1"/>
  <c r="BZ41" i="1"/>
  <c r="CF45" i="1"/>
  <c r="BU45" i="1"/>
  <c r="CG45" i="1"/>
  <c r="CB43" i="1"/>
  <c r="CC43" i="1"/>
  <c r="CD43" i="1"/>
  <c r="BT50" i="1"/>
  <c r="BW50" i="1"/>
  <c r="CE50" i="1"/>
  <c r="BX50" i="1"/>
  <c r="BZ51" i="1"/>
  <c r="BX51" i="1"/>
  <c r="CC51" i="1"/>
  <c r="CC60" i="1"/>
  <c r="CB60" i="1"/>
  <c r="CC74" i="1"/>
  <c r="CF74" i="1"/>
  <c r="BT74" i="1"/>
  <c r="BT81" i="1"/>
  <c r="CF81" i="1"/>
  <c r="BY81" i="1"/>
  <c r="BU82" i="1"/>
  <c r="BT82" i="1"/>
  <c r="CB82" i="1"/>
  <c r="BX86" i="1"/>
  <c r="CD86" i="1"/>
  <c r="BS86" i="1"/>
  <c r="BW91" i="1"/>
  <c r="CE91" i="1"/>
  <c r="BY91" i="1"/>
  <c r="BT93" i="1"/>
  <c r="CB93" i="1"/>
  <c r="CF93" i="1"/>
  <c r="BY99" i="1"/>
  <c r="CG116" i="1"/>
  <c r="BV116" i="1"/>
  <c r="BS112" i="1"/>
  <c r="CE112" i="1"/>
  <c r="BU124" i="1"/>
  <c r="BS124" i="1"/>
  <c r="CG123" i="1"/>
  <c r="BU123" i="1"/>
  <c r="BV123" i="1"/>
  <c r="CB125" i="1"/>
  <c r="BT125" i="1"/>
  <c r="BS125" i="1"/>
  <c r="BX148" i="1"/>
  <c r="BZ148" i="1"/>
  <c r="BV148" i="1"/>
  <c r="CE141" i="1"/>
  <c r="BT141" i="1"/>
  <c r="BY143" i="1"/>
  <c r="CB143" i="1"/>
  <c r="CD143" i="1"/>
  <c r="CC165" i="1"/>
  <c r="BS165" i="1"/>
  <c r="CF165" i="1"/>
  <c r="BS161" i="1"/>
  <c r="CB161" i="1"/>
  <c r="BX161" i="1"/>
  <c r="CF170" i="1"/>
  <c r="BX170" i="1"/>
  <c r="BT170" i="1"/>
  <c r="BY179" i="1"/>
  <c r="BW179" i="1"/>
  <c r="CC172" i="1"/>
  <c r="CA172" i="1"/>
  <c r="BU196" i="1"/>
  <c r="CF196" i="1"/>
  <c r="CG196" i="1"/>
  <c r="CB206" i="1"/>
  <c r="CE206" i="1"/>
  <c r="CB188" i="1"/>
  <c r="BT188" i="1"/>
  <c r="CB201" i="1"/>
  <c r="BV227" i="1"/>
  <c r="CC227" i="1"/>
  <c r="CE227" i="1"/>
  <c r="CA215" i="1"/>
  <c r="CG215" i="1"/>
  <c r="BT205" i="1"/>
  <c r="BW205" i="1"/>
  <c r="BV222" i="1"/>
  <c r="BW222" i="1"/>
  <c r="CC222" i="1"/>
  <c r="BU222" i="1"/>
  <c r="BS274" i="1"/>
  <c r="BX274" i="1"/>
  <c r="CA274" i="1"/>
  <c r="CG244" i="1"/>
  <c r="BS244" i="1"/>
  <c r="BW244" i="1"/>
  <c r="CD304" i="1"/>
  <c r="BW304" i="1"/>
  <c r="CE304" i="1"/>
  <c r="BS251" i="1"/>
  <c r="CA251" i="1"/>
  <c r="CA260" i="1"/>
  <c r="CF260" i="1"/>
  <c r="BX278" i="1"/>
  <c r="CE278" i="1"/>
  <c r="CB302" i="1"/>
  <c r="CA302" i="1"/>
  <c r="BY270" i="1"/>
  <c r="CD270" i="1"/>
  <c r="CG237" i="1"/>
  <c r="CB237" i="1"/>
  <c r="BZ309" i="1"/>
  <c r="BV309" i="1"/>
  <c r="BW290" i="1"/>
  <c r="CG290" i="1"/>
  <c r="CF290" i="1"/>
  <c r="CC282" i="1"/>
  <c r="BX282" i="1"/>
  <c r="CE282" i="1"/>
  <c r="BZ282" i="1"/>
  <c r="CG300" i="1"/>
  <c r="BZ300" i="1"/>
  <c r="BZ23" i="1"/>
  <c r="CG23" i="1"/>
  <c r="CE31" i="1"/>
  <c r="CD31" i="1"/>
  <c r="BW31" i="1"/>
  <c r="BY37" i="1"/>
  <c r="BX34" i="1"/>
  <c r="BR34" i="1"/>
  <c r="BT34" i="1"/>
  <c r="CA47" i="1"/>
  <c r="CF52" i="1"/>
  <c r="BV52" i="1"/>
  <c r="BX66" i="1"/>
  <c r="BU66" i="1"/>
  <c r="CC64" i="1"/>
  <c r="BS64" i="1"/>
  <c r="CG64" i="1"/>
  <c r="BS68" i="1"/>
  <c r="CF68" i="1"/>
  <c r="BT80" i="1"/>
  <c r="CF89" i="1"/>
  <c r="CG89" i="1"/>
  <c r="BR89" i="1"/>
  <c r="CB78" i="1"/>
  <c r="BS78" i="1"/>
  <c r="BU78" i="1"/>
  <c r="BU94" i="1"/>
  <c r="CD94" i="1"/>
  <c r="CE94" i="1"/>
  <c r="BZ100" i="1"/>
  <c r="CA100" i="1"/>
  <c r="BV100" i="1"/>
  <c r="CE96" i="1"/>
  <c r="CG96" i="1"/>
  <c r="BY96" i="1"/>
  <c r="CC115" i="1"/>
  <c r="BY115" i="1"/>
  <c r="BR127" i="1"/>
  <c r="CB127" i="1"/>
  <c r="CB126" i="1"/>
  <c r="BZ126" i="1"/>
  <c r="CF126" i="1"/>
  <c r="BY128" i="1"/>
  <c r="CG128" i="1"/>
  <c r="BT128" i="1"/>
  <c r="CC151" i="1"/>
  <c r="BY151" i="1"/>
  <c r="BU151" i="1"/>
  <c r="BT144" i="1"/>
  <c r="BU144" i="1"/>
  <c r="BR146" i="1"/>
  <c r="CA146" i="1"/>
  <c r="BS146" i="1"/>
  <c r="BY168" i="1"/>
  <c r="BT168" i="1"/>
  <c r="CG164" i="1"/>
  <c r="CE164" i="1"/>
  <c r="BV164" i="1"/>
  <c r="BY174" i="1"/>
  <c r="CG174" i="1"/>
  <c r="CD174" i="1"/>
  <c r="CE171" i="1"/>
  <c r="BW171" i="1"/>
  <c r="BU171" i="1"/>
  <c r="CC171" i="1"/>
  <c r="BR173" i="1"/>
  <c r="CF173" i="1"/>
  <c r="CD173" i="1"/>
  <c r="BU199" i="1"/>
  <c r="CF199" i="1"/>
  <c r="CG199" i="1"/>
  <c r="BS209" i="1"/>
  <c r="BV209" i="1"/>
  <c r="CG209" i="1"/>
  <c r="BX207" i="1"/>
  <c r="CB207" i="1"/>
  <c r="BU207" i="1"/>
  <c r="CB184" i="1"/>
  <c r="BS184" i="1"/>
  <c r="CC184" i="1"/>
  <c r="CA230" i="1"/>
  <c r="BS230" i="1"/>
  <c r="CB230" i="1"/>
  <c r="CG218" i="1"/>
  <c r="BV218" i="1"/>
  <c r="BZ218" i="1"/>
  <c r="BV214" i="1"/>
  <c r="CB214" i="1"/>
  <c r="CD214" i="1"/>
  <c r="CE223" i="1"/>
  <c r="CG223" i="1"/>
  <c r="BV223" i="1"/>
  <c r="BX277" i="1"/>
  <c r="CA277" i="1"/>
  <c r="BW249" i="1"/>
  <c r="BR249" i="1"/>
  <c r="BU249" i="1"/>
  <c r="CF307" i="1"/>
  <c r="CD307" i="1"/>
  <c r="BR307" i="1"/>
  <c r="BS253" i="1"/>
  <c r="CA253" i="1"/>
  <c r="CE253" i="1"/>
  <c r="CA263" i="1"/>
  <c r="BZ263" i="1"/>
  <c r="CE233" i="1"/>
  <c r="CG233" i="1"/>
  <c r="CF233" i="1"/>
  <c r="BV305" i="1"/>
  <c r="BX305" i="1"/>
  <c r="CF305" i="1"/>
  <c r="BV273" i="1"/>
  <c r="CC273" i="1"/>
  <c r="BS273" i="1"/>
  <c r="BZ240" i="1"/>
  <c r="CA240" i="1"/>
  <c r="CE312" i="1"/>
  <c r="CD312" i="1"/>
  <c r="CB312" i="1"/>
  <c r="BX293" i="1"/>
  <c r="CF293" i="1"/>
  <c r="CB293" i="1"/>
  <c r="BX285" i="1"/>
  <c r="BR285" i="1"/>
  <c r="BY285" i="1"/>
  <c r="BT280" i="1"/>
  <c r="CD280" i="1"/>
  <c r="BR298" i="1"/>
  <c r="BZ298" i="1"/>
  <c r="BX298" i="1"/>
  <c r="CB21" i="1"/>
  <c r="CG21" i="1"/>
  <c r="BU21" i="1"/>
  <c r="BR24" i="1"/>
  <c r="BU24" i="1"/>
  <c r="CD24" i="1"/>
  <c r="CG32" i="1"/>
  <c r="CA32" i="1"/>
  <c r="BU53" i="1"/>
  <c r="CF53" i="1"/>
  <c r="BR39" i="1"/>
  <c r="BS39" i="1"/>
  <c r="BZ61" i="1"/>
  <c r="CE61" i="1"/>
  <c r="CA54" i="1"/>
  <c r="BS54" i="1"/>
  <c r="BY54" i="1"/>
  <c r="BX62" i="1"/>
  <c r="CG62" i="1"/>
  <c r="CE62" i="1"/>
  <c r="BX65" i="1"/>
  <c r="CA65" i="1"/>
  <c r="BW69" i="1"/>
  <c r="BZ69" i="1"/>
  <c r="CA69" i="1"/>
  <c r="CE83" i="1"/>
  <c r="BW83" i="1"/>
  <c r="CG83" i="1"/>
  <c r="BT83" i="1"/>
  <c r="CB92" i="1"/>
  <c r="BT92" i="1"/>
  <c r="CD92" i="1"/>
  <c r="CA98" i="1"/>
  <c r="BT98" i="1"/>
  <c r="BR105" i="1"/>
  <c r="BX105" i="1"/>
  <c r="CG105" i="1"/>
  <c r="BR104" i="1"/>
  <c r="CA104" i="1"/>
  <c r="CF104" i="1"/>
  <c r="CG97" i="1"/>
  <c r="BX97" i="1"/>
  <c r="CF117" i="1"/>
  <c r="CG117" i="1"/>
  <c r="BU117" i="1"/>
  <c r="BY130" i="1"/>
  <c r="CD130" i="1"/>
  <c r="CF130" i="1"/>
  <c r="CA129" i="1"/>
  <c r="CF129" i="1"/>
  <c r="BZ129" i="1"/>
  <c r="BT131" i="1"/>
  <c r="BX131" i="1"/>
  <c r="CB131" i="1"/>
  <c r="BZ153" i="1"/>
  <c r="CC153" i="1"/>
  <c r="BV153" i="1"/>
  <c r="BW147" i="1"/>
  <c r="BX149" i="1"/>
  <c r="CB149" i="1"/>
  <c r="BS149" i="1"/>
  <c r="BT166" i="1"/>
  <c r="CD166" i="1"/>
  <c r="BR157" i="1"/>
  <c r="CF157" i="1"/>
  <c r="CC157" i="1"/>
  <c r="CA177" i="1"/>
  <c r="BR177" i="1"/>
  <c r="CB175" i="1"/>
  <c r="CA175" i="1"/>
  <c r="CD175" i="1"/>
  <c r="BS182" i="1"/>
  <c r="BZ182" i="1"/>
  <c r="BW202" i="1"/>
  <c r="CB202" i="1"/>
  <c r="BR202" i="1"/>
  <c r="CB194" i="1"/>
  <c r="BX194" i="1"/>
  <c r="BS210" i="1"/>
  <c r="BY210" i="1"/>
  <c r="BV210" i="1"/>
  <c r="CF189" i="1"/>
  <c r="CB189" i="1"/>
  <c r="BS189" i="1"/>
  <c r="CG212" i="1"/>
  <c r="CD212" i="1"/>
  <c r="CD221" i="1"/>
  <c r="CA221" i="1"/>
  <c r="BV216" i="1"/>
  <c r="BX216" i="1"/>
  <c r="CB216" i="1"/>
  <c r="CG216" i="1"/>
  <c r="BX262" i="1"/>
  <c r="CA262" i="1"/>
  <c r="BX232" i="1"/>
  <c r="CE232" i="1"/>
  <c r="CB232" i="1"/>
  <c r="CG252" i="1"/>
  <c r="CA252" i="1"/>
  <c r="CD310" i="1"/>
  <c r="CA310" i="1"/>
  <c r="BT310" i="1"/>
  <c r="BY254" i="1"/>
  <c r="BW254" i="1"/>
  <c r="BT254" i="1"/>
  <c r="CF266" i="1"/>
  <c r="CG266" i="1"/>
  <c r="CC266" i="1"/>
  <c r="BW236" i="1"/>
  <c r="CB236" i="1"/>
  <c r="BX236" i="1"/>
  <c r="BT308" i="1"/>
  <c r="BY308" i="1"/>
  <c r="BS308" i="1"/>
  <c r="BX276" i="1"/>
  <c r="CE276" i="1"/>
  <c r="CA276" i="1"/>
  <c r="CE243" i="1"/>
  <c r="BR243" i="1"/>
  <c r="CG313" i="1"/>
  <c r="BV313" i="1"/>
  <c r="CE296" i="1"/>
  <c r="BS296" i="1"/>
  <c r="BZ296" i="1"/>
  <c r="BU288" i="1"/>
  <c r="BW288" i="1"/>
  <c r="CG288" i="1"/>
  <c r="CA283" i="1"/>
  <c r="CC283" i="1"/>
  <c r="CB132" i="1"/>
  <c r="CG132" i="1"/>
  <c r="CC178" i="1"/>
  <c r="CD36" i="1"/>
  <c r="CD67" i="1"/>
  <c r="CA76" i="1"/>
  <c r="CF118" i="1"/>
  <c r="CA154" i="1"/>
  <c r="CC268" i="1"/>
  <c r="BZ264" i="1"/>
  <c r="CE294" i="1"/>
  <c r="CF22" i="1"/>
  <c r="BY28" i="1"/>
  <c r="CE28" i="1"/>
  <c r="CB44" i="1"/>
  <c r="BZ44" i="1"/>
  <c r="BZ42" i="1"/>
  <c r="CE46" i="1"/>
  <c r="CG46" i="1"/>
  <c r="BW72" i="1"/>
  <c r="CG72" i="1"/>
  <c r="BW77" i="1"/>
  <c r="CG77" i="1"/>
  <c r="BU79" i="1"/>
  <c r="CA88" i="1"/>
  <c r="BX103" i="1"/>
  <c r="BZ114" i="1"/>
  <c r="BW114" i="1"/>
  <c r="BU113" i="1"/>
  <c r="BY113" i="1"/>
  <c r="CF109" i="1"/>
  <c r="BZ122" i="1"/>
  <c r="CC122" i="1"/>
  <c r="BY119" i="1"/>
  <c r="CG145" i="1"/>
  <c r="CG158" i="1"/>
  <c r="CG167" i="1"/>
  <c r="BW167" i="1"/>
  <c r="CF176" i="1"/>
  <c r="CG176" i="1"/>
  <c r="BW169" i="1"/>
  <c r="CD169" i="1"/>
  <c r="CB193" i="1"/>
  <c r="CG193" i="1"/>
  <c r="CC193" i="1"/>
  <c r="BU198" i="1"/>
  <c r="BX224" i="1"/>
  <c r="CE224" i="1"/>
  <c r="BZ204" i="1"/>
  <c r="CD204" i="1"/>
  <c r="BS204" i="1"/>
  <c r="BZ220" i="1"/>
  <c r="BW271" i="1"/>
  <c r="BY301" i="1"/>
  <c r="BX250" i="1"/>
  <c r="CB250" i="1"/>
  <c r="CD259" i="1"/>
  <c r="CC259" i="1"/>
  <c r="CF259" i="1"/>
  <c r="BV275" i="1"/>
  <c r="CC245" i="1"/>
  <c r="CE267" i="1"/>
  <c r="BW234" i="1"/>
  <c r="CF306" i="1"/>
  <c r="BV306" i="1"/>
  <c r="CE287" i="1"/>
  <c r="CB314" i="1"/>
  <c r="BY297" i="1"/>
  <c r="BU292" i="1"/>
  <c r="CE292" i="1"/>
  <c r="CB25" i="1"/>
  <c r="BW45" i="1"/>
  <c r="BU50" i="1"/>
  <c r="BV50" i="1"/>
  <c r="BT51" i="1"/>
  <c r="BS60" i="1"/>
  <c r="CC81" i="1"/>
  <c r="CC82" i="1"/>
  <c r="BY82" i="1"/>
  <c r="BV86" i="1"/>
  <c r="CB86" i="1"/>
  <c r="BS91" i="1"/>
  <c r="BT91" i="1"/>
  <c r="CE93" i="1"/>
  <c r="BZ93" i="1"/>
  <c r="BX99" i="1"/>
  <c r="CB124" i="1"/>
  <c r="BT124" i="1"/>
  <c r="BW123" i="1"/>
  <c r="CE123" i="1"/>
  <c r="CD125" i="1"/>
  <c r="BY125" i="1"/>
  <c r="CC148" i="1"/>
  <c r="BS141" i="1"/>
  <c r="BS143" i="1"/>
  <c r="CC143" i="1"/>
  <c r="BV165" i="1"/>
  <c r="CB165" i="1"/>
  <c r="CG161" i="1"/>
  <c r="CG170" i="1"/>
  <c r="CE170" i="1"/>
  <c r="BS179" i="1"/>
  <c r="CF172" i="1"/>
  <c r="CD172" i="1"/>
  <c r="BY196" i="1"/>
  <c r="CD196" i="1"/>
  <c r="BR206" i="1"/>
  <c r="CD206" i="1"/>
  <c r="BV188" i="1"/>
  <c r="CA188" i="1"/>
  <c r="BZ201" i="1"/>
  <c r="CF227" i="1"/>
  <c r="CG205" i="1"/>
  <c r="BV205" i="1"/>
  <c r="CE222" i="1"/>
  <c r="BV274" i="1"/>
  <c r="CC274" i="1"/>
  <c r="BU244" i="1"/>
  <c r="CC304" i="1"/>
  <c r="CE251" i="1"/>
  <c r="BY260" i="1"/>
  <c r="BS278" i="1"/>
  <c r="CG278" i="1"/>
  <c r="CD302" i="1"/>
  <c r="BZ270" i="1"/>
  <c r="BW270" i="1"/>
  <c r="BW309" i="1"/>
  <c r="CA309" i="1"/>
  <c r="BS290" i="1"/>
  <c r="CC300" i="1"/>
  <c r="CF300" i="1"/>
  <c r="BY300" i="1"/>
  <c r="BT295" i="1"/>
  <c r="CE295" i="1"/>
  <c r="BY23" i="1"/>
  <c r="BZ31" i="1"/>
  <c r="BV31" i="1"/>
  <c r="BU37" i="1"/>
  <c r="BT37" i="1"/>
  <c r="CG34" i="1"/>
  <c r="BU34" i="1"/>
  <c r="CE47" i="1"/>
  <c r="BT47" i="1"/>
  <c r="BZ52" i="1"/>
  <c r="CC52" i="1"/>
  <c r="BZ66" i="1"/>
  <c r="CB66" i="1"/>
  <c r="CE64" i="1"/>
  <c r="CA68" i="1"/>
  <c r="BR68" i="1"/>
  <c r="CC68" i="1"/>
  <c r="CD80" i="1"/>
  <c r="BS80" i="1"/>
  <c r="CC89" i="1"/>
  <c r="BW78" i="1"/>
  <c r="CA78" i="1"/>
  <c r="BT100" i="1"/>
  <c r="CF100" i="1"/>
  <c r="CC96" i="1"/>
  <c r="BT96" i="1"/>
  <c r="BS96" i="1"/>
  <c r="BZ115" i="1"/>
  <c r="BT115" i="1"/>
  <c r="BT127" i="1"/>
  <c r="BW127" i="1"/>
  <c r="BR126" i="1"/>
  <c r="BV128" i="1"/>
  <c r="CE128" i="1"/>
  <c r="BW151" i="1"/>
  <c r="BS144" i="1"/>
  <c r="BZ144" i="1"/>
  <c r="CC168" i="1"/>
  <c r="BU164" i="1"/>
  <c r="BS174" i="1"/>
  <c r="BZ174" i="1"/>
  <c r="BY171" i="1"/>
  <c r="CB171" i="1"/>
  <c r="BW173" i="1"/>
  <c r="BT173" i="1"/>
  <c r="BY199" i="1"/>
  <c r="CD199" i="1"/>
  <c r="BY209" i="1"/>
  <c r="BX209" i="1"/>
  <c r="CA207" i="1"/>
  <c r="BZ207" i="1"/>
  <c r="BR184" i="1"/>
  <c r="BU184" i="1"/>
  <c r="BZ230" i="1"/>
  <c r="CE230" i="1"/>
  <c r="BX218" i="1"/>
  <c r="BU214" i="1"/>
  <c r="BW214" i="1"/>
  <c r="BX223" i="1"/>
  <c r="BZ223" i="1"/>
  <c r="CC277" i="1"/>
  <c r="CE277" i="1"/>
  <c r="CG249" i="1"/>
  <c r="CA249" i="1"/>
  <c r="CA307" i="1"/>
  <c r="BW253" i="1"/>
  <c r="BV253" i="1"/>
  <c r="CE263" i="1"/>
  <c r="BS263" i="1"/>
  <c r="BR233" i="1"/>
  <c r="BS233" i="1"/>
  <c r="CG305" i="1"/>
  <c r="CE305" i="1"/>
  <c r="CF273" i="1"/>
  <c r="CE240" i="1"/>
  <c r="CD240" i="1"/>
  <c r="BY312" i="1"/>
  <c r="BV312" i="1"/>
  <c r="BX312" i="1"/>
  <c r="BU293" i="1"/>
  <c r="CC285" i="1"/>
  <c r="CE285" i="1"/>
  <c r="BR280" i="1"/>
  <c r="BU280" i="1"/>
  <c r="CC298" i="1"/>
  <c r="CE21" i="1"/>
  <c r="CF21" i="1"/>
  <c r="BX24" i="1"/>
  <c r="BV24" i="1"/>
  <c r="BZ32" i="1"/>
  <c r="BX32" i="1"/>
  <c r="CA53" i="1"/>
  <c r="BW39" i="1"/>
  <c r="BV39" i="1"/>
  <c r="CG61" i="1"/>
  <c r="CC61" i="1"/>
  <c r="BT54" i="1"/>
  <c r="BY62" i="1"/>
  <c r="CF65" i="1"/>
  <c r="BS69" i="1"/>
  <c r="BR83" i="1"/>
  <c r="BV83" i="1"/>
  <c r="BR92" i="1"/>
  <c r="CG92" i="1"/>
  <c r="CC92" i="1"/>
  <c r="CD98" i="1"/>
  <c r="BV105" i="1"/>
  <c r="CD97" i="1"/>
  <c r="BT117" i="1"/>
  <c r="BV117" i="1"/>
  <c r="BZ130" i="1"/>
  <c r="CA130" i="1"/>
  <c r="BW129" i="1"/>
  <c r="CG131" i="1"/>
  <c r="CA131" i="1"/>
  <c r="BX153" i="1"/>
  <c r="CE153" i="1"/>
  <c r="BS147" i="1"/>
  <c r="CG147" i="1"/>
  <c r="BY149" i="1"/>
  <c r="CD149" i="1"/>
  <c r="BR166" i="1"/>
  <c r="BW166" i="1"/>
  <c r="CG166" i="1"/>
  <c r="BT157" i="1"/>
  <c r="BS157" i="1"/>
  <c r="BT177" i="1"/>
  <c r="CF177" i="1"/>
  <c r="BY175" i="1"/>
  <c r="BX182" i="1"/>
  <c r="CA202" i="1"/>
  <c r="CF194" i="1"/>
  <c r="CG194" i="1"/>
  <c r="BR194" i="1"/>
  <c r="CD210" i="1"/>
  <c r="BR210" i="1"/>
  <c r="BU189" i="1"/>
  <c r="CC189" i="1"/>
  <c r="BS212" i="1"/>
  <c r="BT221" i="1"/>
  <c r="BY221" i="1"/>
  <c r="BZ216" i="1"/>
  <c r="BV262" i="1"/>
  <c r="CC262" i="1"/>
  <c r="CE262" i="1"/>
  <c r="BW232" i="1"/>
  <c r="CC252" i="1"/>
  <c r="BW310" i="1"/>
  <c r="BR310" i="1"/>
  <c r="CF254" i="1"/>
  <c r="CD266" i="1"/>
  <c r="BT266" i="1"/>
  <c r="BV236" i="1"/>
  <c r="CE236" i="1"/>
  <c r="BR236" i="1"/>
  <c r="BR308" i="1"/>
  <c r="BV276" i="1"/>
  <c r="CC276" i="1"/>
  <c r="CB243" i="1"/>
  <c r="BT313" i="1"/>
  <c r="BU313" i="1"/>
  <c r="BT296" i="1"/>
  <c r="CA296" i="1"/>
  <c r="BR288" i="1"/>
  <c r="CC288" i="1"/>
  <c r="CB288" i="1"/>
  <c r="BY283" i="1"/>
</calcChain>
</file>

<file path=xl/sharedStrings.xml><?xml version="1.0" encoding="utf-8"?>
<sst xmlns="http://schemas.openxmlformats.org/spreadsheetml/2006/main" count="3308" uniqueCount="909">
  <si>
    <t>1039H771-001</t>
  </si>
  <si>
    <t>1096M280-001</t>
  </si>
  <si>
    <t>1096M281-001</t>
  </si>
  <si>
    <t>1038B930-001</t>
  </si>
  <si>
    <t>1096M290-001</t>
  </si>
  <si>
    <t>1096M291-001</t>
  </si>
  <si>
    <t>1038B900-001</t>
  </si>
  <si>
    <t>1099R718-001</t>
  </si>
  <si>
    <t>1099M269-001</t>
  </si>
  <si>
    <t>1099M369-001</t>
  </si>
  <si>
    <t>1099M232-001</t>
  </si>
  <si>
    <t>1099M316-001</t>
  </si>
  <si>
    <t>1099M315-001</t>
  </si>
  <si>
    <t>1099M310-002</t>
  </si>
  <si>
    <t>1099R700-001</t>
  </si>
  <si>
    <t>1038B850-001</t>
  </si>
  <si>
    <t>1038B800-001</t>
  </si>
  <si>
    <t>TOTAL PRICE</t>
  </si>
  <si>
    <t>TBD</t>
  </si>
  <si>
    <t>-</t>
  </si>
  <si>
    <t>EA</t>
  </si>
  <si>
    <t>DIRECTIONAL COUPLER 2-4 GHZ CONNEC</t>
  </si>
  <si>
    <t>BUY1</t>
  </si>
  <si>
    <t>ZDC2-4-10-SA</t>
  </si>
  <si>
    <t>israelw@rfmw.com</t>
  </si>
  <si>
    <t>972-54-4436943</t>
  </si>
  <si>
    <t>israel wertheimer</t>
  </si>
  <si>
    <t>RFMW</t>
  </si>
  <si>
    <t>USD</t>
  </si>
  <si>
    <t>SMITHS INTERCONNECT AMERICAS,</t>
  </si>
  <si>
    <t>CHIP ATT. 1DB DC-18GHZ 0.1W 50OHM T&amp;R</t>
  </si>
  <si>
    <t>TS0501W3S/TR</t>
  </si>
  <si>
    <t>ATTENUATOR DC-15GHZ 12DB 2WATT 50 OH</t>
  </si>
  <si>
    <t>N80405723</t>
  </si>
  <si>
    <t>TS0312W3</t>
  </si>
  <si>
    <t xml:space="preserve">10$ reel fee </t>
  </si>
  <si>
    <t>ATTENUATOR DC-15GHZ 10DB 2WATT 50 OH</t>
  </si>
  <si>
    <t>N80416589</t>
  </si>
  <si>
    <t>BUY2</t>
  </si>
  <si>
    <t>TS0310W3S</t>
  </si>
  <si>
    <t>ATTENUATOR DC-15GHZ 2DB 2WATT 50 OHM</t>
  </si>
  <si>
    <t>N80408594</t>
  </si>
  <si>
    <t>TS0302W3</t>
  </si>
  <si>
    <t>8-10 weeks</t>
  </si>
  <si>
    <t>CHIP ATT. DC-12.4GHZ 0-DB 2W 50-OHM</t>
  </si>
  <si>
    <t>TS0300S</t>
  </si>
  <si>
    <t>TERMINATION SMA/M DC-18GHZ 2WATT</t>
  </si>
  <si>
    <t>N80707086</t>
  </si>
  <si>
    <t>TRM-2090-MC-SMA-02</t>
  </si>
  <si>
    <t>shuli.ronin@qorvo.com</t>
  </si>
  <si>
    <t>972-54-6651066</t>
  </si>
  <si>
    <t>Shuli Ronin</t>
  </si>
  <si>
    <t>QORVO</t>
  </si>
  <si>
    <t>24 WEEKS</t>
  </si>
  <si>
    <t>QORVO US, INC</t>
  </si>
  <si>
    <t>AMPLIFIER RF DC-6GHZ 20.3DB GAIN SOT-363</t>
  </si>
  <si>
    <t>TQP369184</t>
  </si>
  <si>
    <t>TIE CABLE MOUNT</t>
  </si>
  <si>
    <t>TM1S4-C</t>
  </si>
  <si>
    <t>MICHAEL@AVDOR.COM</t>
  </si>
  <si>
    <t>972-50-5536186</t>
  </si>
  <si>
    <t>MICHAEL LYOLKIN</t>
  </si>
  <si>
    <t>AVDOR HELET</t>
  </si>
  <si>
    <t>BRADY W.H. INDUSTRIAL PRODUCTS DIV.</t>
  </si>
  <si>
    <t>LABEL,PRINTABLE,INDUSTRIAL POLYIMIDE,HIG</t>
  </si>
  <si>
    <t>THT-1-724-10</t>
  </si>
  <si>
    <t>POWER DIVIDER 2-WAYS 2-4GHZ</t>
  </si>
  <si>
    <t>TGP-A0232</t>
  </si>
  <si>
    <t>VPIN LIMITER 200W 2-4GHZ</t>
  </si>
  <si>
    <t>1096U900-001</t>
  </si>
  <si>
    <t>YANAM@PHNX.CO.IL</t>
  </si>
  <si>
    <t>972-52-3543364</t>
  </si>
  <si>
    <t>YANA MANELIS</t>
  </si>
  <si>
    <t>PHOENIX</t>
  </si>
  <si>
    <t>AVX</t>
  </si>
  <si>
    <t>CHIP CAP 10UF 10% 10VOLT 2X1.35MM TA</t>
  </si>
  <si>
    <t>N62146105</t>
  </si>
  <si>
    <t>TACR106K010RTA</t>
  </si>
  <si>
    <t>OFIR_GEULA@TI.COM</t>
  </si>
  <si>
    <t>972-52-5352248</t>
  </si>
  <si>
    <t>OFIR GEULA</t>
  </si>
  <si>
    <t>ELBATECH</t>
  </si>
  <si>
    <t>12--14</t>
  </si>
  <si>
    <t>TEXAS INSTRUMENTS INC</t>
  </si>
  <si>
    <t>IC 16-BIT BUFFER/LINE DRIVER T&amp;R</t>
  </si>
  <si>
    <t>SN74LVTH16244ADGGR</t>
  </si>
  <si>
    <t>POLINA.RASHKOVSKY@VISHAY.COM</t>
  </si>
  <si>
    <t>972-54-3000151</t>
  </si>
  <si>
    <t>POLINA RASHKOVSKY</t>
  </si>
  <si>
    <t>ECOMAL</t>
  </si>
  <si>
    <t>VISHAY SEMICONDUCTORS GMBH</t>
  </si>
  <si>
    <t>DIODE TRANSIENT SUPRESSOR 5V T&amp;R</t>
  </si>
  <si>
    <t>FFF002027</t>
  </si>
  <si>
    <t>SMBJ5.0AE3/52</t>
  </si>
  <si>
    <t>MFG-LITTLEFUSE</t>
  </si>
  <si>
    <t>ORNA.FUCHS@FUTURELECTRONICS.COM</t>
  </si>
  <si>
    <t>972-54-7733237</t>
  </si>
  <si>
    <t>ORNA FUCHS</t>
  </si>
  <si>
    <t>FUTURE</t>
  </si>
  <si>
    <t>MICROSEMI CORPORATION</t>
  </si>
  <si>
    <t>TRAN. VOLT. SUPPR.  VR=24V VC=38V  I</t>
  </si>
  <si>
    <t>N51872976</t>
  </si>
  <si>
    <t>SMBJ24A</t>
  </si>
  <si>
    <t>VISHAY - SILICONIX</t>
  </si>
  <si>
    <t>MOSFET DUAL N-CHANNEL  100V T&amp;R</t>
  </si>
  <si>
    <t>SI7252DP-T1-GE3</t>
  </si>
  <si>
    <t>lyifat.leberman@samtec.com</t>
  </si>
  <si>
    <t>972-52-3551656</t>
  </si>
  <si>
    <t>Yifat Lebrman</t>
  </si>
  <si>
    <t>SAMTEC</t>
  </si>
  <si>
    <t>CONN RECT SEAM OPEN PIN FIELD ARRAY,</t>
  </si>
  <si>
    <t>SEAM30-03.5S-10-1-A-K-TR</t>
  </si>
  <si>
    <t>CONN RECT SEAF OPEN PIN FIELD ARRAY,</t>
  </si>
  <si>
    <t>SEAF30-06.5S-10-1-A-K-TR</t>
  </si>
  <si>
    <t>rep@mcdi-ltd.com</t>
  </si>
  <si>
    <t>972-77-5407085</t>
  </si>
  <si>
    <t>Francine Rousso</t>
  </si>
  <si>
    <t>MCDI LTD</t>
  </si>
  <si>
    <t>MINI-CIRCUITS LABORATORY</t>
  </si>
  <si>
    <t>CHIP POWER SPLITTER 2-WAY 2.825-3.7GHZ</t>
  </si>
  <si>
    <t>SCN-2-35+</t>
  </si>
  <si>
    <t>helene.chantriaux@boeing.com</t>
  </si>
  <si>
    <t>HELENE</t>
  </si>
  <si>
    <t>BOEING</t>
  </si>
  <si>
    <t>MOMENTIV PERFORMENCE MATERIALS QUAR</t>
  </si>
  <si>
    <t>AR</t>
  </si>
  <si>
    <t>SEALANT SILICONE RUBBER ADHESIVE PAS</t>
  </si>
  <si>
    <t>RTV 167-2.8 FL/OZ</t>
  </si>
  <si>
    <t>TERMINATION  DC-18GHZ 2W SMA/M</t>
  </si>
  <si>
    <t>N80752108</t>
  </si>
  <si>
    <t>R404.210.000</t>
  </si>
  <si>
    <t>BUY ALT- M6-9-724</t>
  </si>
  <si>
    <t>HIGH TEMPERATURE POLYIMIDE LABEL,WIDE</t>
  </si>
  <si>
    <t>PTL-9-724</t>
  </si>
  <si>
    <t>LABELS</t>
  </si>
  <si>
    <t>PTL-16-426</t>
  </si>
  <si>
    <t>972.74.7190000</t>
  </si>
  <si>
    <t>MARK ZADOV</t>
  </si>
  <si>
    <t>ELGEV</t>
  </si>
  <si>
    <t>3--4</t>
  </si>
  <si>
    <t>PRO TEK DEVICES</t>
  </si>
  <si>
    <t>DIODE TRANSIENT VOL. SUPPR  5.0V T&amp;R</t>
  </si>
  <si>
    <t>PSOT05C-LF-T7</t>
  </si>
  <si>
    <t>MOUNT/TIE</t>
  </si>
  <si>
    <t>FFF009276</t>
  </si>
  <si>
    <t>PLT1M-M</t>
  </si>
  <si>
    <t>matan.zeituni1@incora.com</t>
  </si>
  <si>
    <t>MATAN</t>
  </si>
  <si>
    <t>HASS</t>
  </si>
  <si>
    <t>NITTO DENKO AUTOMOTIVE INC</t>
  </si>
  <si>
    <t>TAPE ADHESIVE,KAPTON/POLYIMIDE, HIGH TEM</t>
  </si>
  <si>
    <t>P222-1IN</t>
  </si>
  <si>
    <t>MICHAL@NEXTWAVE.CO.IL</t>
  </si>
  <si>
    <t>972-54-8045555</t>
  </si>
  <si>
    <t>MICHAL RUBIN</t>
  </si>
  <si>
    <t>IMS</t>
  </si>
  <si>
    <t>V</t>
  </si>
  <si>
    <t>INTERNATIONAL MANUFACTURING SERVICE</t>
  </si>
  <si>
    <t>CHIP RESISTOR HIGH POWER 50 OHM 2%</t>
  </si>
  <si>
    <t>NGC-1206CS50R0G</t>
  </si>
  <si>
    <t>SIGAL@STGGROUP.COM</t>
  </si>
  <si>
    <t>972-52-8996305</t>
  </si>
  <si>
    <t>SIGAL HARUSH</t>
  </si>
  <si>
    <t>STG</t>
  </si>
  <si>
    <t>12-14 weeks</t>
  </si>
  <si>
    <t>MURATA MANUFACTURING CO. LTD</t>
  </si>
  <si>
    <t>CHIP FILTER EMI T&amp;R</t>
  </si>
  <si>
    <t>NFL18ZT507H1A3D</t>
  </si>
  <si>
    <t>CHIP EMI FILTER T&amp;R</t>
  </si>
  <si>
    <t>NFL18ZT207H1A3D</t>
  </si>
  <si>
    <t>ALON.SAGIV@ARROW.COM</t>
  </si>
  <si>
    <t>972-53-7704117</t>
  </si>
  <si>
    <t>ALON SAGIV</t>
  </si>
  <si>
    <t>ARROW RAPAC</t>
  </si>
  <si>
    <t>EUR</t>
  </si>
  <si>
    <t>ON SEMICONDUCTOR</t>
  </si>
  <si>
    <t>IC 2-IN AND GATE TAPE&amp;REEL</t>
  </si>
  <si>
    <t>NC7SZ08M5X-L22090</t>
  </si>
  <si>
    <t>IC HST INVERTER  T&amp;R</t>
  </si>
  <si>
    <t>NC7ST04P5X</t>
  </si>
  <si>
    <t>adam@kaytech.com</t>
  </si>
  <si>
    <t>1.646.3791129</t>
  </si>
  <si>
    <t>Adam Chayon</t>
  </si>
  <si>
    <t>KAYTECH</t>
  </si>
  <si>
    <t>NAS/NASM NATIONAL AEROSPACE STD</t>
  </si>
  <si>
    <t>NUT,HEX,PLAIN,NON-LOCKING,THIN,INCH SERI</t>
  </si>
  <si>
    <t>NAS671C2</t>
  </si>
  <si>
    <t>WASHER,FLAT,PLAIN,REDUCED OD, 8 SIZE,.03</t>
  </si>
  <si>
    <t>NAS620C8</t>
  </si>
  <si>
    <t>WASHER,FLAT,PLAIN,REDUCED OD, 6 SIZE,.03</t>
  </si>
  <si>
    <t>NAS620C6</t>
  </si>
  <si>
    <t>WASHER,FLAT,PLAIN,REDUCED OD,LIGHT, 4 SI</t>
  </si>
  <si>
    <t>NAS620C4L</t>
  </si>
  <si>
    <t>WASHER,FLAT,PLAIN,REDUCED OD, 4 SIZE,.03</t>
  </si>
  <si>
    <t>NAS620C4</t>
  </si>
  <si>
    <t>WASHER,FLAT,PLAIN,REDUCED OD, 2 SIZE,.01</t>
  </si>
  <si>
    <t>NAS620C2</t>
  </si>
  <si>
    <t>WASHER,SPRING LOCK,HELICAL,HI-COLLAR,#6</t>
  </si>
  <si>
    <t>NAS1676C6</t>
  </si>
  <si>
    <t>WASHER,SPRING LOCK,HELICAL,HI-COLLAR,#4</t>
  </si>
  <si>
    <t>NAS1676C4</t>
  </si>
  <si>
    <t>BOLT,100 DEG. REDUCED FLUSH HEAD,OFFSET</t>
  </si>
  <si>
    <t>NAS1581C4T5</t>
  </si>
  <si>
    <t>SCREW,CAP HEAD,HEX SOCKET RECESS,FULL SH</t>
  </si>
  <si>
    <t>NAS1352C04-8</t>
  </si>
  <si>
    <t>NAS1352C02-9</t>
  </si>
  <si>
    <t>lrefael@tti.ray-q.com</t>
  </si>
  <si>
    <t>972.52.5646677</t>
  </si>
  <si>
    <t>Limor refael</t>
  </si>
  <si>
    <t>RAY-Q</t>
  </si>
  <si>
    <t>2 WEEKS</t>
  </si>
  <si>
    <t>3M ELECTRONIC PRODUCTS DIVISION</t>
  </si>
  <si>
    <t>CONN RECT HEADER R/A 10 PIN DIP SOLDER</t>
  </si>
  <si>
    <t>N2510-5002-RB</t>
  </si>
  <si>
    <t>MS MILITARY STANDARDS</t>
  </si>
  <si>
    <t>SCREW,MACHINE,PAN HEAD,CRUCIFORM RECESS</t>
  </si>
  <si>
    <t>MS51957-32</t>
  </si>
  <si>
    <t>SCREW MACHINE PAN HEAD CRUCIFORM RECESS</t>
  </si>
  <si>
    <t>MS51957-31</t>
  </si>
  <si>
    <t>MS51957-3</t>
  </si>
  <si>
    <t>MS51957-29</t>
  </si>
  <si>
    <t>MS51957-28</t>
  </si>
  <si>
    <t>MS51957-15</t>
  </si>
  <si>
    <t>MS51957-141</t>
  </si>
  <si>
    <t>MS51957-14</t>
  </si>
  <si>
    <t>MS51957-13</t>
  </si>
  <si>
    <t>WASHER,LOCK,HELICAL SPRING,REGULAR (MEDI</t>
  </si>
  <si>
    <t>MS35338-137</t>
  </si>
  <si>
    <t>WASHER LOCK HELICAL SPRING REGULAR (MEDI</t>
  </si>
  <si>
    <t>MS35338-136</t>
  </si>
  <si>
    <t>MS35338-135</t>
  </si>
  <si>
    <t>MS35338-134</t>
  </si>
  <si>
    <t>MS3213-22</t>
  </si>
  <si>
    <t>SCREW,MACHINE,100 DEG. FLUSH HEAD,CRUCIF</t>
  </si>
  <si>
    <t>MS24693-C7</t>
  </si>
  <si>
    <t>MS24693-C4</t>
  </si>
  <si>
    <t>SCREW MACHINE 100 DEG. FLUSH HEAD CRUCIF</t>
  </si>
  <si>
    <t>MS24693-C3</t>
  </si>
  <si>
    <t>MS16995-26</t>
  </si>
  <si>
    <t>MS16995-19</t>
  </si>
  <si>
    <t>MS16995-18</t>
  </si>
  <si>
    <t>MS16995-17</t>
  </si>
  <si>
    <t>MS16995-16</t>
  </si>
  <si>
    <t>TRANSISTOR NPN T&amp;R</t>
  </si>
  <si>
    <t>MMBT2222ALT1G</t>
  </si>
  <si>
    <t>DIODES INC.</t>
  </si>
  <si>
    <t>DIODE.RECT 75V 0.6A 0.35W 4NS</t>
  </si>
  <si>
    <t>MMBD4148-7-F</t>
  </si>
  <si>
    <t>DIODE  ZENER 5.1V T&amp;R LEAD-FREE</t>
  </si>
  <si>
    <t>MM3Z5V1T1G</t>
  </si>
  <si>
    <t>DIODE ZENER 3.3V 0.200W LEAD FREE T&amp;R</t>
  </si>
  <si>
    <t>MM3Z3V3T1G</t>
  </si>
  <si>
    <t>Avnet India</t>
  </si>
  <si>
    <t>LAIRD TECHNOLOGIES SRO</t>
  </si>
  <si>
    <t>EMI FERRITE CHIP BEAD</t>
  </si>
  <si>
    <t>MI0603J601R-10</t>
  </si>
  <si>
    <t>IC HEX INVERTER T&amp;R</t>
  </si>
  <si>
    <t>MC74ACT04DR2G</t>
  </si>
  <si>
    <t>MAXIM INTEGRATED PRODUCTS, INC</t>
  </si>
  <si>
    <t>IC VOLTAGE REGULATOR ADJ. 4A T&amp;R</t>
  </si>
  <si>
    <t>MAX8557ETE+T</t>
  </si>
  <si>
    <t>eti@shirtech.co.il</t>
  </si>
  <si>
    <t>972-3-9516495</t>
  </si>
  <si>
    <t>Eti Brikman</t>
  </si>
  <si>
    <t>SHIRTECH</t>
  </si>
  <si>
    <t>14 WKS</t>
  </si>
  <si>
    <t>GBP</t>
  </si>
  <si>
    <t>HARWIN PIC</t>
  </si>
  <si>
    <t>CONN RECT,HEADER, 20 POS, PCB SMT,3A</t>
  </si>
  <si>
    <t>M80-5S22005M7</t>
  </si>
  <si>
    <t>anat@elbatech.co.il</t>
  </si>
  <si>
    <t>972.50.7730006</t>
  </si>
  <si>
    <t>Anat Eylon</t>
  </si>
  <si>
    <t>ANALOG DEVICES</t>
  </si>
  <si>
    <t>IC DC/DC UMODULE 4A 60V</t>
  </si>
  <si>
    <t>LTM8027IV#PBF</t>
  </si>
  <si>
    <t>IC N-CHANNEL MOSFET DRIVER T&amp;R</t>
  </si>
  <si>
    <t>LTC4444HMS8E-5#TRPBF</t>
  </si>
  <si>
    <t>IC SIX INPUT SUPPLY MONITOR</t>
  </si>
  <si>
    <t>LTC2908IDDB-A1#TRMPBF</t>
  </si>
  <si>
    <t>IC NEGATIVE REGULATOR T&amp;R</t>
  </si>
  <si>
    <t>LT1964IDD#TRPBF</t>
  </si>
  <si>
    <t>SIGAL@STGGROUP.CO.IL</t>
  </si>
  <si>
    <t>CHIP COIL 5.8NH +-0.1NH T&amp;R</t>
  </si>
  <si>
    <t>LQW15AN5N8B00D</t>
  </si>
  <si>
    <t>CHIP COIL 10NH 2% T&amp;R</t>
  </si>
  <si>
    <t>LQW15AN10NG00D</t>
  </si>
  <si>
    <t>Ellsworth</t>
  </si>
  <si>
    <t>HENKEL CORPORATION AEROSPACE GROUP</t>
  </si>
  <si>
    <t>SEALING LOCKING ANAEROBIC COMPOUND, SING</t>
  </si>
  <si>
    <t>FFF016923</t>
  </si>
  <si>
    <t>LOCTITE 222-50CC</t>
  </si>
  <si>
    <t>LOCTITE 222-10CC</t>
  </si>
  <si>
    <t>doronw@asco.co.il</t>
  </si>
  <si>
    <t>972.52.3220004</t>
  </si>
  <si>
    <t>Doron Weizman</t>
  </si>
  <si>
    <t>ASCOTECH</t>
  </si>
  <si>
    <t>JQL  ELECTRONICS</t>
  </si>
  <si>
    <t>CIRCULATOR SMT 2.9-3.4GHZ</t>
  </si>
  <si>
    <t>JCM2900T3400VM1RC</t>
  </si>
  <si>
    <t>JCM2900T3400VM1R</t>
  </si>
  <si>
    <t>FILM POLYESTERBACKING WITH A SILICON</t>
  </si>
  <si>
    <t>IDEAL 9185 MASKING TAPE</t>
  </si>
  <si>
    <t>NEXTWAVE</t>
  </si>
  <si>
    <t>ATTENUATOR IAX SERIES SMT WRAPAROUND 2DB</t>
  </si>
  <si>
    <t>IAC-2512-WA-02-D0</t>
  </si>
  <si>
    <t>riki.ben.yoram@ebv.com</t>
  </si>
  <si>
    <t>972.52.6116466</t>
  </si>
  <si>
    <t>RIKI BEN-YORAM</t>
  </si>
  <si>
    <t>EBV</t>
  </si>
  <si>
    <t>BROADCOM LIMITED</t>
  </si>
  <si>
    <t>OPTOELECT  OPTOCOUPLER POWER MOSFET,</t>
  </si>
  <si>
    <t>N56337397</t>
  </si>
  <si>
    <t>HSSR-7110#300</t>
  </si>
  <si>
    <t>RIGHT ANGLE SMT CHIP RED LED</t>
  </si>
  <si>
    <t>HSMS-C680</t>
  </si>
  <si>
    <t>Dudi@mouser-israel.com</t>
  </si>
  <si>
    <t>972.54.6554003</t>
  </si>
  <si>
    <t>Dudi Albas</t>
  </si>
  <si>
    <t>MY CATALOG</t>
  </si>
  <si>
    <t>RIGHT ANGLE SMT CHIP LED GREEN</t>
  </si>
  <si>
    <t>HSMG-C680</t>
  </si>
  <si>
    <t>IC MMIC GAAS SWITCH DC-6.0GHZ T&amp;R</t>
  </si>
  <si>
    <t>HMC536MS8GE</t>
  </si>
  <si>
    <t>MMIC GAAS DRIVER  AMP. 3.0-4.5GHZ  T&amp;R</t>
  </si>
  <si>
    <t>HMC326MS8GETR</t>
  </si>
  <si>
    <t>SPDT ; NON-REFLECTIVE SWITCH ; DC-3.5GHZ</t>
  </si>
  <si>
    <t>HMC284AMS8GETR</t>
  </si>
  <si>
    <t>M2</t>
  </si>
  <si>
    <t>PREPREG FABRIC,GLASS FIBER WOVEN FABRICS</t>
  </si>
  <si>
    <t>HEXPLY 913G/7781/37%</t>
  </si>
  <si>
    <t>OPTOCOUPLER T&amp;R</t>
  </si>
  <si>
    <t>HCPL-063L-500E</t>
  </si>
  <si>
    <t>CHIP CAP 330PF 10^ 50V X7R T&amp;R</t>
  </si>
  <si>
    <t>GRM155R71H331KA01D</t>
  </si>
  <si>
    <t>CHIP CAP 0.1UF 10^ 16V X7R T&amp;R</t>
  </si>
  <si>
    <t>GRM155R71C104KA88D</t>
  </si>
  <si>
    <t>FTC</t>
  </si>
  <si>
    <t>FASTENER TECHNOLOGY CORP</t>
  </si>
  <si>
    <t>SCREW,CAPTIVE,NUT RETAINER TYPE,SINGLE L</t>
  </si>
  <si>
    <t>FT1737HS-10-8-A</t>
  </si>
  <si>
    <t>MOSFET N-CH. 2.5V</t>
  </si>
  <si>
    <t>FDN339AN</t>
  </si>
  <si>
    <t>SHLOMI.GIBI@EASX.CO.IL</t>
  </si>
  <si>
    <t>972-50-5252790</t>
  </si>
  <si>
    <t>SHLOMI BIGI</t>
  </si>
  <si>
    <t>EASTRONIX</t>
  </si>
  <si>
    <t>INTEL CORP</t>
  </si>
  <si>
    <t>IC QUAD-SERIAL CONFIGURATION DEVICE</t>
  </si>
  <si>
    <t>EPCQ64ASI16N</t>
  </si>
  <si>
    <t>Intel Prgrammable SolutionsGroup(AL</t>
  </si>
  <si>
    <t>IC CYCLONE II FPGA</t>
  </si>
  <si>
    <t>EP2C70F896I8</t>
  </si>
  <si>
    <t>ADHESIVE STRUCTURAL EPOXY BASE, TWO-PART</t>
  </si>
  <si>
    <t>FFF016822</t>
  </si>
  <si>
    <t>EC2216A/B GRAY KT2OZ</t>
  </si>
  <si>
    <t>ADHESIVE EPOXY BASE NON-STRUCT AMBIENT T</t>
  </si>
  <si>
    <t>EA9394-KT1QT</t>
  </si>
  <si>
    <t>IC QUAD DIFF LINE DRIVER T&amp;R LEAD-FREE</t>
  </si>
  <si>
    <t>DS26C31TMX/NOPB</t>
  </si>
  <si>
    <t>COMPOUND SILICONE NONMELTING , HEAT</t>
  </si>
  <si>
    <t>FFF016785</t>
  </si>
  <si>
    <t>DC4</t>
  </si>
  <si>
    <t>4-6 weeks</t>
  </si>
  <si>
    <t>HOWMET GLOBAL FASTENING SYSTEMS(ALC</t>
  </si>
  <si>
    <t>NUT RETAINER,100 DEG. FLUSH HEAD,SLOTTED</t>
  </si>
  <si>
    <t>D791639-8/10-B</t>
  </si>
  <si>
    <t>Ylevinger@airelectro.com</t>
  </si>
  <si>
    <t>972-54-9250060</t>
  </si>
  <si>
    <t>Yael Levinger</t>
  </si>
  <si>
    <t>AIR ELECTRO</t>
  </si>
  <si>
    <t>18 WKS</t>
  </si>
  <si>
    <t>QPL</t>
  </si>
  <si>
    <t>CONN CIRC DUST CAP RECPT 21-SHL ALUMINUM</t>
  </si>
  <si>
    <t>N71309488</t>
  </si>
  <si>
    <t>D38999/33W21N</t>
  </si>
  <si>
    <t>CONN CIRC DUST CAP F/RECP 19-SHL OLI</t>
  </si>
  <si>
    <t>N71216329</t>
  </si>
  <si>
    <t>D38999/33W19N</t>
  </si>
  <si>
    <t>CONN CIRC DUST CAP RECPT 15-SHL ALUMINUM</t>
  </si>
  <si>
    <t>N71211759</t>
  </si>
  <si>
    <t>D38999/33W15N</t>
  </si>
  <si>
    <t>bfe</t>
  </si>
  <si>
    <t>BFE</t>
  </si>
  <si>
    <t>POWER MOSFET N-CHANNEL NEXFET 25V T&amp;R</t>
  </si>
  <si>
    <t>CSD16325Q5C</t>
  </si>
  <si>
    <t>VISHAY RESISTIVE SYSTEMS</t>
  </si>
  <si>
    <t>CHIP RESIS 1.5KOHM 1%.25W T&amp;R</t>
  </si>
  <si>
    <t>FFF004114</t>
  </si>
  <si>
    <t>CRCW12061K50FKTA</t>
  </si>
  <si>
    <t>CHIP RESIS 1.1 KOHM 1% .25W T&amp;R</t>
  </si>
  <si>
    <t>FFF300739</t>
  </si>
  <si>
    <t>CRCW12061K10FKEA</t>
  </si>
  <si>
    <t>RESISTOR 10 KOHM, 1%, 0.25W, T&amp;R</t>
  </si>
  <si>
    <t>FFF003590</t>
  </si>
  <si>
    <t>CRCW120610K0FKEA</t>
  </si>
  <si>
    <t>CHIP JUMPER  T&amp;R</t>
  </si>
  <si>
    <t>FFF004837</t>
  </si>
  <si>
    <t>CRCW12060000ZSEA</t>
  </si>
  <si>
    <t>CHIP RESIS 23.2KOHM 1^ .125W T&amp;R</t>
  </si>
  <si>
    <t>FFF004006</t>
  </si>
  <si>
    <t>CRCW080523K2FKEA</t>
  </si>
  <si>
    <t>CHIP RESIS 12.1KOHM 1% .125W T&amp;R</t>
  </si>
  <si>
    <t>FFF003875</t>
  </si>
  <si>
    <t>CRCW080512K1FKTA</t>
  </si>
  <si>
    <t>CHIP RESIS 90.9KOHM 1% .1W T&amp;R</t>
  </si>
  <si>
    <t>FFF003860</t>
  </si>
  <si>
    <t>CRCW060390K9FKTA</t>
  </si>
  <si>
    <t>CHIP RESIS 82.5 OHM 1% .1W T&amp;R</t>
  </si>
  <si>
    <t>FFF004227</t>
  </si>
  <si>
    <t>CRCW060382R5FKEA</t>
  </si>
  <si>
    <t>CHIP RESIS 825 OHM 1% .1W T&amp;R</t>
  </si>
  <si>
    <t>FFF004075</t>
  </si>
  <si>
    <t>CRCW0603825RFKEA</t>
  </si>
  <si>
    <t>CHIP RESIS 825KOHM 1% .1W T&amp;R</t>
  </si>
  <si>
    <t>FFF004101</t>
  </si>
  <si>
    <t>CRCW0603825KFKTA</t>
  </si>
  <si>
    <t>CHIP RESIS 56.2KOHM 1% .1W T&amp;R</t>
  </si>
  <si>
    <t>FFF004290</t>
  </si>
  <si>
    <t>CRCW060356K2FKEA</t>
  </si>
  <si>
    <t>CHIP RESIS 562KOHM 1^ .1W T&amp;R</t>
  </si>
  <si>
    <t>FFF003977</t>
  </si>
  <si>
    <t>CRCW0603562KFKTA</t>
  </si>
  <si>
    <t>CHIP RESIS 49.9 OHM 1% .1W T&amp;R</t>
  </si>
  <si>
    <t>FFF003946</t>
  </si>
  <si>
    <t>CRCW060349R9FKEA</t>
  </si>
  <si>
    <t>CHIP RESIS 301 OHM 1% .1W T&amp;R</t>
  </si>
  <si>
    <t>FFF004098</t>
  </si>
  <si>
    <t>CRCW0603301RFKEA</t>
  </si>
  <si>
    <t>CHIP RESIS 24.9 OHM 1% .1W T&amp;R</t>
  </si>
  <si>
    <t>FFF003829</t>
  </si>
  <si>
    <t>CRCW060324R9FKEA</t>
  </si>
  <si>
    <t>CHIP RESIS 221 OHM 1% .1W T&amp;R</t>
  </si>
  <si>
    <t>FFF004245</t>
  </si>
  <si>
    <t>CRCW0603221RFKEA</t>
  </si>
  <si>
    <t>CHIP RESIS 1.33KOHM 1% .1W T&amp;R</t>
  </si>
  <si>
    <t>FFF003896</t>
  </si>
  <si>
    <t>CRCW06031K33FKEA</t>
  </si>
  <si>
    <t>CHIP RESIS 1KOHM 1% .1W T&amp;R</t>
  </si>
  <si>
    <t>FFF004310</t>
  </si>
  <si>
    <t>CRCW06031K00FKEA</t>
  </si>
  <si>
    <t>Arrow israel</t>
  </si>
  <si>
    <t>CHIP RESIS 150 OHM 1% .1W T&amp;R</t>
  </si>
  <si>
    <t>FFF004268</t>
  </si>
  <si>
    <t>CRCW0603150RFKEA</t>
  </si>
  <si>
    <t>CHIP RESIS 110KOHM 1% .1W T&amp;R</t>
  </si>
  <si>
    <t>FFF003893</t>
  </si>
  <si>
    <t>CRCW0603110KFKTA</t>
  </si>
  <si>
    <t>CHIP RESIS 10KOHM 1% .1W T&amp;R</t>
  </si>
  <si>
    <t>FFF003821</t>
  </si>
  <si>
    <t>CRCW060310K0FKEA</t>
  </si>
  <si>
    <t>CHIP RESIS 100 OHM 1% .1W T&amp;R</t>
  </si>
  <si>
    <t>FFF004251</t>
  </si>
  <si>
    <t>CRCW0603100RFKEA</t>
  </si>
  <si>
    <t>CHIP RESIS 100KOHM 1% .1W T&amp;R</t>
  </si>
  <si>
    <t>FFF004188</t>
  </si>
  <si>
    <t>CRCW0603100KFKEA</t>
  </si>
  <si>
    <t>CHIP JUMPER 1.55X0.85MM T&amp;R</t>
  </si>
  <si>
    <t>FFF004838</t>
  </si>
  <si>
    <t>CRCW06030000Z0EA</t>
  </si>
  <si>
    <t>CHIP RESIS 30.1 OHM 1% .063W T&amp;R</t>
  </si>
  <si>
    <t>CRCW040230R1FKED</t>
  </si>
  <si>
    <t>VISHAY EUROPE SALE GMBH</t>
  </si>
  <si>
    <t>CHIP RESIS 24.3 OHM 1% .063W T&amp;R</t>
  </si>
  <si>
    <t>CRCW040224R3FKED</t>
  </si>
  <si>
    <t>CHIP RESIS 243 OHM 1% .063W T&amp;R</t>
  </si>
  <si>
    <t>CRCW0402243RFKED</t>
  </si>
  <si>
    <t>CHIP RESIS 1MOHM 1% .063W T&amp;R</t>
  </si>
  <si>
    <t>FFF004477</t>
  </si>
  <si>
    <t>CRCW04021M00FKED</t>
  </si>
  <si>
    <t>CHIP RESIS 1 KOHM 1% T&amp;R</t>
  </si>
  <si>
    <t>FFF004408</t>
  </si>
  <si>
    <t>CRCW04021K00FKED</t>
  </si>
  <si>
    <t>CHIP RESIS 10 KOHM 1%  T&amp;R</t>
  </si>
  <si>
    <t>FFF004487</t>
  </si>
  <si>
    <t>CRCW040210K0FKED</t>
  </si>
  <si>
    <t>CHIP RESIS 0 OHM 0% .063W T&amp;R</t>
  </si>
  <si>
    <t>CRCW04020000ZSED</t>
  </si>
  <si>
    <t>SAGIT@CIDEV.CO.IL</t>
  </si>
  <si>
    <t>972-52-2447972</t>
  </si>
  <si>
    <t>SAGIT BENZINO</t>
  </si>
  <si>
    <t>CIDEV</t>
  </si>
  <si>
    <t>STK</t>
  </si>
  <si>
    <t>SAMSUNG</t>
  </si>
  <si>
    <t>CHIP CAP 1UF 10% 25V X7R T&amp;R</t>
  </si>
  <si>
    <t>CL31B105KAHNNNE</t>
  </si>
  <si>
    <t xml:space="preserve">ALON SAGIV </t>
  </si>
  <si>
    <t>CHIP CAP 4.7PF 10^ 50V C0G T&amp;R</t>
  </si>
  <si>
    <t>CL05C4R7CB5NNNC</t>
  </si>
  <si>
    <t>CHIP CAP 1PF +-0.25PF 50V C0G T&amp;R</t>
  </si>
  <si>
    <t>CL05C010BB5NNNC</t>
  </si>
  <si>
    <t>CHIP CAP 0.1UF 10% 10V X7R T&amp;R</t>
  </si>
  <si>
    <t>CL05B104KP5NNNC</t>
  </si>
  <si>
    <t>TDK ELECTRONICS CO. LTD.</t>
  </si>
  <si>
    <t>CHIP CAP 47UF 20^ 10V X5R T&amp;R</t>
  </si>
  <si>
    <t>C4532X5R1A476M280KA</t>
  </si>
  <si>
    <t>BUY ALT CL32B106KBJNNWE</t>
  </si>
  <si>
    <t>KEMET ELECTRONICS S A</t>
  </si>
  <si>
    <t>CHIP CAP 10UF 10^ 50V X7R T&amp;R</t>
  </si>
  <si>
    <t>C1210C106K5RACTU</t>
  </si>
  <si>
    <t>.DANIELS MANUFACTURING CORP</t>
  </si>
  <si>
    <t>CABLE ASSY,CAP END,CABLE 3X7,.032IN DIA</t>
  </si>
  <si>
    <t>C10-218</t>
  </si>
  <si>
    <t>BUY ALT - CL21B475KOFNNNE‏</t>
  </si>
  <si>
    <t>CHIP CAP 4.7UF 10% 16V X7R T&amp;R</t>
  </si>
  <si>
    <t>C0805C475K4RAC7025</t>
  </si>
  <si>
    <t>AVI@NISKO.CO.IL</t>
  </si>
  <si>
    <t>972-52-4756173</t>
  </si>
  <si>
    <t>AVI TAUB</t>
  </si>
  <si>
    <t>NISKO</t>
  </si>
  <si>
    <t>12 weeks</t>
  </si>
  <si>
    <t>CHIP CAP 56PF 2% 50V C0G T&amp;R</t>
  </si>
  <si>
    <t>C0603C560G5GACTU</t>
  </si>
  <si>
    <t>Avnet abacus</t>
  </si>
  <si>
    <t>CHIP CAP 0.1UF 10% 50V X7R T&amp;R</t>
  </si>
  <si>
    <t>C0603C104K5RAC7867</t>
  </si>
  <si>
    <t>CHIP CAP 0.01UF 10% 50V X7R T&amp;R</t>
  </si>
  <si>
    <t>C0402C103K5RALTU</t>
  </si>
  <si>
    <t>CHIP CAP 0.01UF 10^ 25V X7R T&amp;R</t>
  </si>
  <si>
    <t>C0402C103K3RAC7867</t>
  </si>
  <si>
    <t>18--26 weeks</t>
  </si>
  <si>
    <t>CHIP CAP 1000PF 10% 50VOLT X7R T&amp;R</t>
  </si>
  <si>
    <t>C0402C102K5RAC7867</t>
  </si>
  <si>
    <t>14--22 weeks</t>
  </si>
  <si>
    <t>CHIP CAP 100PF 5^ 25V C0G T&amp;R</t>
  </si>
  <si>
    <t>C0402C101J3GACTU</t>
  </si>
  <si>
    <t>10--18 weeks</t>
  </si>
  <si>
    <t>CHIP CAP 10PF +-0.25PF 50V C0G T&amp;R</t>
  </si>
  <si>
    <t>C0402C100C5GAC7867</t>
  </si>
  <si>
    <t>CHIP FILTER EMI 50-OHM 3.2X1.6MM  T&amp;</t>
  </si>
  <si>
    <t>N62786405</t>
  </si>
  <si>
    <t>BLM31PG500SN1L</t>
  </si>
  <si>
    <t>CHIP EMIFIL INDUCTOR 26-OHM T&amp;R</t>
  </si>
  <si>
    <t>BLM18SG260TN1D</t>
  </si>
  <si>
    <t>CHIP FERRITE BEAD EMI FILTER 220-OHM T&amp;R</t>
  </si>
  <si>
    <t>BLM15EG221SN1D</t>
  </si>
  <si>
    <t>LIZA@SHIRTECH.CO.IL</t>
  </si>
  <si>
    <t>LIZA COHEN</t>
  </si>
  <si>
    <t>AMERICAN TECHNICAL CERAMICS DIV. OF</t>
  </si>
  <si>
    <t>CHIP CAP 10PF 5^ 150VOLT 55X55 PORCE</t>
  </si>
  <si>
    <t>ATC100A100JW150XTV</t>
  </si>
  <si>
    <t>Rabyte</t>
  </si>
  <si>
    <t>RENESAS ELECTRONICS</t>
  </si>
  <si>
    <t>IC MEMORY FLASH SERIAL 32-MEGABIT</t>
  </si>
  <si>
    <t>AT25DF321A-SH-B</t>
  </si>
  <si>
    <t>ADHESIVE FILM MODIFIED EPOXY MAT CARRIER</t>
  </si>
  <si>
    <t>AF163-2OST 0.03PSF</t>
  </si>
  <si>
    <t>IC INTFACE  10-BIT DIGITAL TEMPERATU</t>
  </si>
  <si>
    <t>AD7814ARMZ</t>
  </si>
  <si>
    <t>HARDWARE CABLE TIE MOUNT. BASE 4 WAY,</t>
  </si>
  <si>
    <t>ABM1M-AT-M</t>
  </si>
  <si>
    <t>+250$ FOR TEST REPORTS</t>
  </si>
  <si>
    <t>YUVAL@AEROSPHERESLTD.COM</t>
  </si>
  <si>
    <t>972-54-9732268</t>
  </si>
  <si>
    <t>YUVAL ASIF</t>
  </si>
  <si>
    <t>AEROSPHERES</t>
  </si>
  <si>
    <t>GUDEBROD INC.</t>
  </si>
  <si>
    <t>LACING TAPES,NYLON TAPE FOR LACING &amp; TYI</t>
  </si>
  <si>
    <t>FFF016584</t>
  </si>
  <si>
    <t>A-A-52080-B-5 BLACK</t>
  </si>
  <si>
    <t>25 WKS</t>
  </si>
  <si>
    <t>FAIRCHILD SEMICONDUCTOR</t>
  </si>
  <si>
    <t>IC 8-BIT TRANSCEIVER T&amp;R</t>
  </si>
  <si>
    <t>74LVXC3245MTCX</t>
  </si>
  <si>
    <t>74ACT04SCX</t>
  </si>
  <si>
    <t>YANAM@PHNX.COM</t>
  </si>
  <si>
    <t>Phoenix</t>
  </si>
  <si>
    <t>CHIP CAP 1000PF 10^ 50VOLT 55X55 NPO</t>
  </si>
  <si>
    <t>FFF300776</t>
  </si>
  <si>
    <t>700A102KT50XTV</t>
  </si>
  <si>
    <t>VISHAY</t>
  </si>
  <si>
    <t>CHIP CAP 47UF 10% 50V TANTALUM</t>
  </si>
  <si>
    <t>597D476X9050Z2T</t>
  </si>
  <si>
    <t>VISHAY SPRAGUE</t>
  </si>
  <si>
    <t>CHIP CAP 220UF 20% 20V TANTALUM T&amp;R</t>
  </si>
  <si>
    <t>597D227X0020R2T</t>
  </si>
  <si>
    <t>SEALANT HYDRAULIC SUPERFAST MEDIUM STREN</t>
  </si>
  <si>
    <t>542-50CC</t>
  </si>
  <si>
    <t>BUY ALT 04025J3R3ABSTR‏</t>
  </si>
  <si>
    <t>CHIP CAP 3.3PF +-.05PF 50V T&amp;R</t>
  </si>
  <si>
    <t>400L3R3AT50T</t>
  </si>
  <si>
    <t xml:space="preserve">BUY ALT 04021J0R7PBSTR‏ </t>
  </si>
  <si>
    <t>CHIP CAP 0.7PF +-.02PF 100V T&amp;R</t>
  </si>
  <si>
    <t>400L0R7PT200T</t>
  </si>
  <si>
    <t>CONN RF ADAPTER SMA (F)/BMA (F) BULKHEAD</t>
  </si>
  <si>
    <t>34_BMA-SMA-N50-8/1--_UE</t>
  </si>
  <si>
    <t>CHIP CAP 4.7UF 10% 16V TANTAL T&amp;R</t>
  </si>
  <si>
    <t>293D475X9016A2TE3</t>
  </si>
  <si>
    <t>CHIP CAP 100UF 10% 10V TANTAL T&amp;R</t>
  </si>
  <si>
    <t>293D107X9010D2TE3</t>
  </si>
  <si>
    <t>CHIP CAP 10UF 10% 10V TANTAL T&amp;R</t>
  </si>
  <si>
    <t>293D106X9010A2TE3</t>
  </si>
  <si>
    <t>SEALING LOCKING ANAEROB. COMP. SUPERFAST</t>
  </si>
  <si>
    <t>FFF016903</t>
  </si>
  <si>
    <t>242 50CC</t>
  </si>
  <si>
    <t>a.buhacoff@nicomatic.co.il</t>
  </si>
  <si>
    <t>972-54-6870212</t>
  </si>
  <si>
    <t>Alin Raymond Buhacoff</t>
  </si>
  <si>
    <t>NICOMATIC</t>
  </si>
  <si>
    <t>INR</t>
  </si>
  <si>
    <t>CONN RECT MISC PCB, 34 PIN SMD, 2-ROWS,</t>
  </si>
  <si>
    <t>N64469976</t>
  </si>
  <si>
    <t>221T34F24</t>
  </si>
  <si>
    <t>price is for 1 FT</t>
  </si>
  <si>
    <t>CLO@CLO.CO.IL</t>
  </si>
  <si>
    <t>972-54-4239068</t>
  </si>
  <si>
    <t>OREN LEVINTOV</t>
  </si>
  <si>
    <t>HARDWARE SPECIALTY</t>
  </si>
  <si>
    <t>6--8</t>
  </si>
  <si>
    <t>PARKER HANNIFIN CORPORATION</t>
  </si>
  <si>
    <t>FT</t>
  </si>
  <si>
    <t>CONDUCTIVE  WIRE MESH STRIP 2.39MM D</t>
  </si>
  <si>
    <t>N87921284</t>
  </si>
  <si>
    <t>20-41111</t>
  </si>
  <si>
    <t>nivk@mtisummit.co.il</t>
  </si>
  <si>
    <t>054-4902518</t>
  </si>
  <si>
    <t>Niv Kalaf</t>
  </si>
  <si>
    <t>MTI</t>
  </si>
  <si>
    <t>ROSENBERGER</t>
  </si>
  <si>
    <t>CONN RF SMP PLUG STR PCB SMT L.D.,50OHMS</t>
  </si>
  <si>
    <t>19S11T-40ML5</t>
  </si>
  <si>
    <t>CONN RF SMP STRT PLUG,50OHMS,DC TO 18GH</t>
  </si>
  <si>
    <t>19S11E-400L5</t>
  </si>
  <si>
    <t>CONN RF ADAPTER SMP(F)/SMP(F) L=10.0MM</t>
  </si>
  <si>
    <t>19K119-K40L5</t>
  </si>
  <si>
    <t>ROSENBERGER MICROWAVE CORP</t>
  </si>
  <si>
    <t>CONN RF ADAPTOR SMP JACK STRA/JACK STRA,</t>
  </si>
  <si>
    <t>19K101-K00L5</t>
  </si>
  <si>
    <t>ada@starlight.co.il</t>
  </si>
  <si>
    <t>972-54-4514177</t>
  </si>
  <si>
    <t>Ada Khaitov</t>
  </si>
  <si>
    <t>STAR LIGHT TECHNOLOGIES LTD</t>
  </si>
  <si>
    <t>HUANG LIANG TECHNOLOGIES CO.,LTD.</t>
  </si>
  <si>
    <t>CONN,RF,ADAPTER,SMA JACK 4-HOLE FLANGE T</t>
  </si>
  <si>
    <t>145-A03K/188</t>
  </si>
  <si>
    <t>CONN,RF,ADAPTER,RPC-SP PLUG/SMP PLUG,50</t>
  </si>
  <si>
    <t>10S519-S60N3</t>
  </si>
  <si>
    <t>PLATE CIWS ADAPTOR</t>
  </si>
  <si>
    <t>1099R726-001</t>
  </si>
  <si>
    <t>PLATE ADAPTOR CIWS S/ASSY</t>
  </si>
  <si>
    <t>NAME PLATE FOR ANT. CIWS</t>
  </si>
  <si>
    <t>1099R709-001</t>
  </si>
  <si>
    <t>ANT CIWS FINAL ASSY</t>
  </si>
  <si>
    <t>A</t>
  </si>
  <si>
    <t>LABLES KIT 2</t>
  </si>
  <si>
    <t>1099M371-001</t>
  </si>
  <si>
    <t>LABLES KIT 1</t>
  </si>
  <si>
    <t>1099M370-001</t>
  </si>
  <si>
    <t>RADOME LAMINATE</t>
  </si>
  <si>
    <t>B</t>
  </si>
  <si>
    <t>LAMINATE</t>
  </si>
  <si>
    <t>1099M364-001</t>
  </si>
  <si>
    <t>SPACER FOAM</t>
  </si>
  <si>
    <t>1099M362-001</t>
  </si>
  <si>
    <t>GASKET</t>
  </si>
  <si>
    <t>1099M361-001</t>
  </si>
  <si>
    <t>BRACKET</t>
  </si>
  <si>
    <t>1099M349-001</t>
  </si>
  <si>
    <t>PLATE CONN TYPE 9</t>
  </si>
  <si>
    <t>1099M348-001</t>
  </si>
  <si>
    <t>GUIDE PIN</t>
  </si>
  <si>
    <t>1099M345-001</t>
  </si>
  <si>
    <t>PLATE CONN TYPE 8</t>
  </si>
  <si>
    <t>1099M337-001</t>
  </si>
  <si>
    <t>PLATE CONN TYPE 7</t>
  </si>
  <si>
    <t>1099M336-001</t>
  </si>
  <si>
    <t>PLATE CONN TYPE 6</t>
  </si>
  <si>
    <t>1099M335-001</t>
  </si>
  <si>
    <t>PLATE CONN TYPE 5</t>
  </si>
  <si>
    <t>1099M334-001</t>
  </si>
  <si>
    <t>CAVITY ANTENNA CIWS</t>
  </si>
  <si>
    <t>1099M321-001</t>
  </si>
  <si>
    <t>BASE ANT. CIWS</t>
  </si>
  <si>
    <t>1099M320-001</t>
  </si>
  <si>
    <t>BOND LAYER 2</t>
  </si>
  <si>
    <t>1099M319-001</t>
  </si>
  <si>
    <t>BOND LAYER 1</t>
  </si>
  <si>
    <t>1099M317-002</t>
  </si>
  <si>
    <t>ANTENNA CIWS SUB ASSY</t>
  </si>
  <si>
    <t>RADOME ANTENNA CIWS BONDING</t>
  </si>
  <si>
    <t>C</t>
  </si>
  <si>
    <t>NAME PLATE ANT. ASSY.</t>
  </si>
  <si>
    <t>1099M311-002</t>
  </si>
  <si>
    <t>ANTENNA CIWS FINAL ASSY</t>
  </si>
  <si>
    <t>LABLE  LOAD -10DB</t>
  </si>
  <si>
    <t>1099M273-002</t>
  </si>
  <si>
    <t>CONNECTOR TERMINATION PAINTIG</t>
  </si>
  <si>
    <t>CABLE S/R ASSY W5</t>
  </si>
  <si>
    <t>1099M256-001</t>
  </si>
  <si>
    <t>CABLE S/R ASSY W4</t>
  </si>
  <si>
    <t>1099M255-001</t>
  </si>
  <si>
    <t>1099M246-001</t>
  </si>
  <si>
    <t>POWER DIVIDER 8-1</t>
  </si>
  <si>
    <t>1099M240-001</t>
  </si>
  <si>
    <t>1099M239-001</t>
  </si>
  <si>
    <t>BUSHING</t>
  </si>
  <si>
    <t>1099M238-001</t>
  </si>
  <si>
    <t>PLATE CONN TYPE 4</t>
  </si>
  <si>
    <t>1099M237-001</t>
  </si>
  <si>
    <t>PLATE CONN TYPE 3</t>
  </si>
  <si>
    <t>1099M236-001</t>
  </si>
  <si>
    <t>PLATE CONN TYPE 2</t>
  </si>
  <si>
    <t>1099M235-001</t>
  </si>
  <si>
    <t>PLATE CONN TYPE 1</t>
  </si>
  <si>
    <t>1099M234-001</t>
  </si>
  <si>
    <t>INSULATOR SLEEVE</t>
  </si>
  <si>
    <t>1099M233-001</t>
  </si>
  <si>
    <t>LOWER PATCH RIVETING</t>
  </si>
  <si>
    <t>CONN COAX ACCESS CENTER PIN</t>
  </si>
  <si>
    <t>1099M231-001</t>
  </si>
  <si>
    <t>TERMINATION</t>
  </si>
  <si>
    <t>1099M230-001</t>
  </si>
  <si>
    <t>SMA TERMINAL</t>
  </si>
  <si>
    <t>1099M229-001</t>
  </si>
  <si>
    <t>SR CAL TYPE 2</t>
  </si>
  <si>
    <t>1099M225-001</t>
  </si>
  <si>
    <t>SR CAL TYPE 1</t>
  </si>
  <si>
    <t>1099M224-001</t>
  </si>
  <si>
    <t>UPPER PATCH</t>
  </si>
  <si>
    <t>1099M223-002</t>
  </si>
  <si>
    <t>LOWER PATCH</t>
  </si>
  <si>
    <t>1099M222-001</t>
  </si>
  <si>
    <t>S CORE CHIP F/ASSY</t>
  </si>
  <si>
    <t>1097U077-001</t>
  </si>
  <si>
    <t>SDPS MMIC F/ASSY</t>
  </si>
  <si>
    <t>1097U041-001</t>
  </si>
  <si>
    <t>F/ASSY PACKAGED 60W GAN MMIC W</t>
  </si>
  <si>
    <t>1097A510-001</t>
  </si>
  <si>
    <t>ori@ackerman-printing.com</t>
  </si>
  <si>
    <t>972-4-82220888 . Ext.7</t>
  </si>
  <si>
    <t>Ori Ackerman</t>
  </si>
  <si>
    <t>ACKERMAN</t>
  </si>
  <si>
    <t>3 weeks</t>
  </si>
  <si>
    <t>ELTA BUY BY ELTA SPEC</t>
  </si>
  <si>
    <t>RA NAMEPLATE</t>
  </si>
  <si>
    <t>1096M299-001</t>
  </si>
  <si>
    <t>PC BLANK</t>
  </si>
  <si>
    <t>1096M292-001</t>
  </si>
  <si>
    <t>assy</t>
  </si>
  <si>
    <t>ASSY</t>
  </si>
  <si>
    <t>TRA S/ASSY</t>
  </si>
  <si>
    <t>PC ASSY  RF CIWS</t>
  </si>
  <si>
    <t>TRA NAMEPLATE</t>
  </si>
  <si>
    <t>1096M289-001</t>
  </si>
  <si>
    <t>PC ASSY RF-RA</t>
  </si>
  <si>
    <t>TRA S/ASSY NAMEPLATE</t>
  </si>
  <si>
    <t>1096M279-001</t>
  </si>
  <si>
    <t>yaniv@amphenol-bartec.com</t>
  </si>
  <si>
    <t>972.54.4744101</t>
  </si>
  <si>
    <t>Yaniv Cohen</t>
  </si>
  <si>
    <t>AMPHETRONIX</t>
  </si>
  <si>
    <t>25 weeks</t>
  </si>
  <si>
    <t>DC HARNESS TRA(W1)</t>
  </si>
  <si>
    <t>1096H331-001</t>
  </si>
  <si>
    <t>DO NOT BUY - WILL BE REPLACE TO ITEM 1096M269-001</t>
  </si>
  <si>
    <t>NAMEPLATE TRG</t>
  </si>
  <si>
    <t>1096D934-002</t>
  </si>
  <si>
    <t>NAMEPLATE J100</t>
  </si>
  <si>
    <t>1094V829-001</t>
  </si>
  <si>
    <t>sujith.ninan@wm.kahm.co</t>
  </si>
  <si>
    <t>Sujith John</t>
  </si>
  <si>
    <t>WAVE MECHANICS</t>
  </si>
  <si>
    <t>HANDLE</t>
  </si>
  <si>
    <t>1094V828-001</t>
  </si>
  <si>
    <t>avi@gumiyan.co.il</t>
  </si>
  <si>
    <t>972.50.7817815</t>
  </si>
  <si>
    <t>Avi Moshe</t>
  </si>
  <si>
    <t>Gumiyan</t>
  </si>
  <si>
    <t>O RING</t>
  </si>
  <si>
    <t>1094V826-001</t>
  </si>
  <si>
    <t>1094V816-001</t>
  </si>
  <si>
    <t>BOTTOM BOX ASSY</t>
  </si>
  <si>
    <t>1094V811-002</t>
  </si>
  <si>
    <t>COVER</t>
  </si>
  <si>
    <t>1094V799-002</t>
  </si>
  <si>
    <t>1094V798-001</t>
  </si>
  <si>
    <t>O-RING</t>
  </si>
  <si>
    <t>1094V797-001</t>
  </si>
  <si>
    <t>PC BLANK MASTER MRU-5</t>
  </si>
  <si>
    <t>1094V044-001</t>
  </si>
  <si>
    <t>1094T791-001</t>
  </si>
  <si>
    <t>1094R482-001</t>
  </si>
  <si>
    <t>CABLE ASSY. W3</t>
  </si>
  <si>
    <t>1094R477-001</t>
  </si>
  <si>
    <t>MULTI LAYER BPF 2900-3400 MHZ</t>
  </si>
  <si>
    <t>1094H538-001</t>
  </si>
  <si>
    <t>PC BLANK MASTER DWG. FLY-25 Z6</t>
  </si>
  <si>
    <t>1093R492-006</t>
  </si>
  <si>
    <t>RUBBER GASKET CHEM. AGENT RES.</t>
  </si>
  <si>
    <t>1093R459-003</t>
  </si>
  <si>
    <t>POWER FILTER ASSY</t>
  </si>
  <si>
    <t>1093L847-001</t>
  </si>
  <si>
    <t>marketing7@chemograf.com</t>
  </si>
  <si>
    <t>972-5-6799777 ext.759</t>
  </si>
  <si>
    <t>Nofar Susam</t>
  </si>
  <si>
    <t>CHEMOGRAFH</t>
  </si>
  <si>
    <t>3-4 weeks</t>
  </si>
  <si>
    <t>SHIM 2.0MM</t>
  </si>
  <si>
    <t>1093J365-002</t>
  </si>
  <si>
    <t>972-8-6799777 ext.759</t>
  </si>
  <si>
    <t>SHIM 0.4X0.8D</t>
  </si>
  <si>
    <t>1093J357-001</t>
  </si>
  <si>
    <t>ital@impacel.co.il</t>
  </si>
  <si>
    <t>972-50-3399574</t>
  </si>
  <si>
    <t>Itay Cohen</t>
  </si>
  <si>
    <t>REMTEC</t>
  </si>
  <si>
    <t>16-20 weeks</t>
  </si>
  <si>
    <t>CERAMIC FILTER S BAND</t>
  </si>
  <si>
    <t>1092L481-001</t>
  </si>
  <si>
    <t>ANT CTRL PC/ASSY</t>
  </si>
  <si>
    <t>A03</t>
  </si>
  <si>
    <t>ADAPTOR</t>
  </si>
  <si>
    <t>1038H565-001</t>
  </si>
  <si>
    <t>ronih@simat.co.il</t>
  </si>
  <si>
    <t>052-3220004</t>
  </si>
  <si>
    <t xml:space="preserve">Roni Peleg </t>
  </si>
  <si>
    <t>SIMAT</t>
  </si>
  <si>
    <t>1038H564-001</t>
  </si>
  <si>
    <t>1038H563-002</t>
  </si>
  <si>
    <t>P.S. RA</t>
  </si>
  <si>
    <t>1038B940-001</t>
  </si>
  <si>
    <t>DUAL PS COVER</t>
  </si>
  <si>
    <t>1038B933-001</t>
  </si>
  <si>
    <t>MODULE F/ASSY RG ASSY</t>
  </si>
  <si>
    <t>P.S. TRA</t>
  </si>
  <si>
    <t>1038B910-001</t>
  </si>
  <si>
    <t>MODULE F/ASSY TRG ASSY</t>
  </si>
  <si>
    <t>NAMEPLATE</t>
  </si>
  <si>
    <t>1038B851-001</t>
  </si>
  <si>
    <t>PLANAR ARRAY</t>
  </si>
  <si>
    <t>1038B801-001</t>
  </si>
  <si>
    <t>HEAT EXCHANGER</t>
  </si>
  <si>
    <t>1038B611-001</t>
  </si>
  <si>
    <t>SHACKLE,G-209-3/8IN,ANCHOR,SCREW PIN,LOA</t>
  </si>
  <si>
    <t>chen@amphenol-bartec.com</t>
  </si>
  <si>
    <t>972-054-8849141</t>
  </si>
  <si>
    <t>Hen Hemo</t>
  </si>
  <si>
    <t>AMPHENOL CANADA</t>
  </si>
  <si>
    <t>AMPHENOL CANADA CORP.</t>
  </si>
  <si>
    <t>RECT RECP R/A 37 SKT DIP SOLDER</t>
  </si>
  <si>
    <t>FFF005141</t>
  </si>
  <si>
    <t>N64403777</t>
  </si>
  <si>
    <t>100RC37SCBRP1</t>
  </si>
  <si>
    <t>CHIP CAP 4.7PF +/-0.1PF 150VOLT 55X5</t>
  </si>
  <si>
    <t>100A4R7BT150XTV</t>
  </si>
  <si>
    <t>SEAL SCREW,THREAD 1/4"-28UNF,HEX SOCKET</t>
  </si>
  <si>
    <t>1/4-28X7/8SOCCAP316SSSIL</t>
  </si>
  <si>
    <t>ADHESIVE CONDUCTIVE SILICONE, SILVER</t>
  </si>
  <si>
    <t>080-1200</t>
  </si>
  <si>
    <t>12 WKS</t>
  </si>
  <si>
    <t>PASSIVE PLUS, LLC</t>
  </si>
  <si>
    <t>CHIP CAP 4.7PF +/-0.1PF 150V 1.4MM2</t>
  </si>
  <si>
    <t>0505P4R7BW151XTV</t>
  </si>
  <si>
    <t>0505P100JW151XTV</t>
  </si>
  <si>
    <t>LITTELFUSE INC</t>
  </si>
  <si>
    <t>FUSE VERY FAST-ACTING</t>
  </si>
  <si>
    <t>0466002.NRHF</t>
  </si>
  <si>
    <t>FUSE CERAMIC SMT 1A 50V T&amp;R</t>
  </si>
  <si>
    <t>0440001.WR</t>
  </si>
  <si>
    <t>FUSE SLOW BLOW  0.5A/63V,SMT,REEL PACK</t>
  </si>
  <si>
    <t>0440.500WR</t>
  </si>
  <si>
    <t>04025J3R3ABSTR</t>
  </si>
  <si>
    <t>04021J0R7PBSTR</t>
  </si>
  <si>
    <t>YAELTECH@ZAHAV.NET.IL</t>
  </si>
  <si>
    <t>972-3-6057849</t>
  </si>
  <si>
    <t>AYAEL DINAY</t>
  </si>
  <si>
    <t>YAEL Y.A.D</t>
  </si>
  <si>
    <t>4-5 weeks</t>
  </si>
  <si>
    <t>SODIMATEL</t>
  </si>
  <si>
    <t>TERMINAL  SOLDER LUG</t>
  </si>
  <si>
    <t>FFF001319</t>
  </si>
  <si>
    <t>N41402082</t>
  </si>
  <si>
    <t>SMA P. AU.+305+SAM J. AU</t>
  </si>
  <si>
    <t>01M12R-305-60F17K</t>
  </si>
  <si>
    <t>CBL ASSY COAX SMA(M)RA-SMA(M) L=75.8MM</t>
  </si>
  <si>
    <t>01M129-75.8-01M110</t>
  </si>
  <si>
    <t>CBL ASSY COAX SMA(M)RA-SMA(M)RA L=545MM</t>
  </si>
  <si>
    <t>01M129-545-01M129</t>
  </si>
  <si>
    <t>CBL ASSY COAX SMA(M)-BMA(F) L=712MM</t>
  </si>
  <si>
    <t>01M110-712-60F02M</t>
  </si>
  <si>
    <t>ANTENNA F/ASSY</t>
  </si>
  <si>
    <t>pn</t>
  </si>
  <si>
    <t>level</t>
  </si>
  <si>
    <t>description</t>
  </si>
  <si>
    <t>stock</t>
  </si>
  <si>
    <t>NOTES</t>
  </si>
  <si>
    <t>EMAIL</t>
  </si>
  <si>
    <t>PHONE</t>
  </si>
  <si>
    <t>NAME</t>
  </si>
  <si>
    <t>FINAL SUPPLIER</t>
  </si>
  <si>
    <t>INDIA SUPLLIER</t>
  </si>
  <si>
    <t>LT</t>
  </si>
  <si>
    <t>MPQ</t>
  </si>
  <si>
    <t>MOQ</t>
  </si>
  <si>
    <t>price in usd</t>
  </si>
  <si>
    <t>CUR</t>
  </si>
  <si>
    <t>FINAL PRICE</t>
  </si>
  <si>
    <t>manufacturer</t>
  </si>
  <si>
    <t xml:space="preserve"> QTY</t>
  </si>
  <si>
    <t>SUM</t>
  </si>
  <si>
    <t>UOM</t>
  </si>
  <si>
    <t>DESCRIPTION</t>
  </si>
  <si>
    <t>FFF CLASS</t>
  </si>
  <si>
    <t>CATALOG</t>
  </si>
  <si>
    <t>REV</t>
  </si>
  <si>
    <t>PN_ID</t>
  </si>
  <si>
    <t>#</t>
  </si>
  <si>
    <t>ETA</t>
  </si>
  <si>
    <t>PROJECT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</si>
</sst>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0"/>
      <name val="Arial"/>
      <family val="2"/>
    </font>
    <font>
      <sz val="11"/>
      <color rgb="FFFF0000"/>
      <name val="Arial"/>
      <family val="2"/>
      <charset val="177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4" borderId="0" xfId="2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-tech.elta.iai\dpt\6455\Purchase\Offset\CIWS\1038B800-001%2012.08.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2138"/>
      <sheetName val="Sheet0"/>
      <sheetName val="הזנת נתונים"/>
      <sheetName val="material balance"/>
    </sheetNames>
    <sheetDataSet>
      <sheetData sheetId="0"/>
      <sheetData sheetId="1"/>
      <sheetData sheetId="2"/>
      <sheetData sheetId="3">
        <row r="2">
          <cell r="K2" t="str">
            <v>ID</v>
          </cell>
        </row>
        <row r="3">
          <cell r="K3" t="str">
            <v>1038B800-001</v>
          </cell>
          <cell r="L3">
            <v>0</v>
          </cell>
        </row>
        <row r="4">
          <cell r="K4" t="str">
            <v>1038B850-001</v>
          </cell>
          <cell r="L4">
            <v>1</v>
          </cell>
        </row>
        <row r="5">
          <cell r="K5" t="str">
            <v>1099R700-001</v>
          </cell>
          <cell r="L5">
            <v>2</v>
          </cell>
        </row>
        <row r="6">
          <cell r="K6" t="str">
            <v>1099M310-002</v>
          </cell>
          <cell r="L6">
            <v>3</v>
          </cell>
        </row>
        <row r="7">
          <cell r="K7" t="str">
            <v>1099M315-001</v>
          </cell>
          <cell r="L7">
            <v>4</v>
          </cell>
        </row>
        <row r="8">
          <cell r="K8" t="str">
            <v>1099M316-001</v>
          </cell>
          <cell r="L8">
            <v>5</v>
          </cell>
        </row>
        <row r="9">
          <cell r="K9" t="str">
            <v>1099M320-001</v>
          </cell>
          <cell r="L9">
            <v>6</v>
          </cell>
        </row>
        <row r="10">
          <cell r="K10" t="str">
            <v>1099M321-001</v>
          </cell>
          <cell r="L10">
            <v>6</v>
          </cell>
        </row>
        <row r="11">
          <cell r="K11" t="str">
            <v>1099M232-001</v>
          </cell>
          <cell r="L11">
            <v>6</v>
          </cell>
        </row>
        <row r="12">
          <cell r="K12" t="str">
            <v>1099M222-001</v>
          </cell>
          <cell r="L12">
            <v>7</v>
          </cell>
        </row>
        <row r="13">
          <cell r="K13" t="str">
            <v>1099M233-001</v>
          </cell>
          <cell r="L13">
            <v>7</v>
          </cell>
        </row>
        <row r="14">
          <cell r="K14" t="str">
            <v>1099M223-002</v>
          </cell>
          <cell r="L14">
            <v>6</v>
          </cell>
        </row>
        <row r="15">
          <cell r="K15" t="str">
            <v>1099M317-002</v>
          </cell>
          <cell r="L15">
            <v>5</v>
          </cell>
        </row>
        <row r="16">
          <cell r="K16" t="str">
            <v>1099M319-001</v>
          </cell>
          <cell r="L16">
            <v>5</v>
          </cell>
        </row>
        <row r="17">
          <cell r="K17" t="str">
            <v>1099M369-001</v>
          </cell>
          <cell r="L17">
            <v>5</v>
          </cell>
        </row>
        <row r="18">
          <cell r="K18" t="str">
            <v>1099M234-001</v>
          </cell>
          <cell r="L18">
            <v>4</v>
          </cell>
        </row>
        <row r="19">
          <cell r="K19" t="str">
            <v>1099M235-001</v>
          </cell>
          <cell r="L19">
            <v>4</v>
          </cell>
        </row>
        <row r="20">
          <cell r="K20" t="str">
            <v>1099M236-001</v>
          </cell>
          <cell r="L20">
            <v>4</v>
          </cell>
        </row>
        <row r="21">
          <cell r="K21" t="str">
            <v>1099M237-001</v>
          </cell>
          <cell r="L21">
            <v>4</v>
          </cell>
        </row>
        <row r="22">
          <cell r="K22" t="str">
            <v>1099M238-001</v>
          </cell>
          <cell r="L22">
            <v>4</v>
          </cell>
        </row>
        <row r="23">
          <cell r="K23" t="str">
            <v>1099M255-001</v>
          </cell>
          <cell r="L23">
            <v>4</v>
          </cell>
        </row>
        <row r="24">
          <cell r="K24" t="str">
            <v>1099M256-001</v>
          </cell>
          <cell r="L24">
            <v>4</v>
          </cell>
        </row>
        <row r="25">
          <cell r="K25" t="str">
            <v>1099M269-001</v>
          </cell>
          <cell r="L25">
            <v>4</v>
          </cell>
        </row>
        <row r="26">
          <cell r="K26" t="str">
            <v>1099M239-001</v>
          </cell>
          <cell r="L26">
            <v>4</v>
          </cell>
        </row>
        <row r="27">
          <cell r="K27" t="str">
            <v>1099M349-001</v>
          </cell>
          <cell r="L27">
            <v>4</v>
          </cell>
        </row>
        <row r="28">
          <cell r="K28" t="str">
            <v>1099M334-001</v>
          </cell>
          <cell r="L28">
            <v>4</v>
          </cell>
        </row>
        <row r="29">
          <cell r="K29" t="str">
            <v>1099M335-001</v>
          </cell>
          <cell r="L29">
            <v>4</v>
          </cell>
        </row>
        <row r="30">
          <cell r="K30" t="str">
            <v>1099M336-001</v>
          </cell>
          <cell r="L30">
            <v>4</v>
          </cell>
        </row>
        <row r="31">
          <cell r="K31" t="str">
            <v>1099M337-001</v>
          </cell>
          <cell r="L31">
            <v>4</v>
          </cell>
        </row>
        <row r="32">
          <cell r="K32" t="str">
            <v>1099M348-001</v>
          </cell>
          <cell r="L32">
            <v>4</v>
          </cell>
        </row>
        <row r="33">
          <cell r="K33" t="str">
            <v>1099R718-001</v>
          </cell>
          <cell r="L33">
            <v>3</v>
          </cell>
        </row>
        <row r="34">
          <cell r="K34" t="str">
            <v>1099R726-001</v>
          </cell>
          <cell r="L34">
            <v>4</v>
          </cell>
        </row>
        <row r="35">
          <cell r="K35" t="str">
            <v>1099M246-001</v>
          </cell>
          <cell r="L35">
            <v>4</v>
          </cell>
        </row>
        <row r="36">
          <cell r="K36" t="str">
            <v>1099M239-001</v>
          </cell>
          <cell r="L36">
            <v>4</v>
          </cell>
        </row>
        <row r="37">
          <cell r="K37" t="str">
            <v>1038B611-001</v>
          </cell>
          <cell r="L37">
            <v>2</v>
          </cell>
        </row>
        <row r="38">
          <cell r="K38" t="str">
            <v>1038B900-001</v>
          </cell>
          <cell r="L38">
            <v>1</v>
          </cell>
        </row>
        <row r="39">
          <cell r="K39" t="str">
            <v>1096M291-001</v>
          </cell>
          <cell r="L39">
            <v>2</v>
          </cell>
        </row>
        <row r="40">
          <cell r="K40" t="str">
            <v>1094V811-002</v>
          </cell>
          <cell r="L40">
            <v>3</v>
          </cell>
        </row>
        <row r="41">
          <cell r="K41" t="str">
            <v>1094V790-002</v>
          </cell>
          <cell r="L41">
            <v>4</v>
          </cell>
        </row>
        <row r="42">
          <cell r="K42" t="str">
            <v>1094J062-001</v>
          </cell>
          <cell r="L42">
            <v>5</v>
          </cell>
        </row>
        <row r="43">
          <cell r="K43" t="str">
            <v>1094T791-001</v>
          </cell>
          <cell r="L43">
            <v>3</v>
          </cell>
        </row>
        <row r="44">
          <cell r="K44" t="str">
            <v>1094R482-001</v>
          </cell>
          <cell r="L44">
            <v>3</v>
          </cell>
        </row>
        <row r="45">
          <cell r="K45" t="str">
            <v>1096M290-001</v>
          </cell>
          <cell r="L45">
            <v>3</v>
          </cell>
        </row>
        <row r="46">
          <cell r="K46" t="str">
            <v>1097U041-001</v>
          </cell>
          <cell r="L46">
            <v>4</v>
          </cell>
        </row>
        <row r="47">
          <cell r="K47" t="str">
            <v>1097U077-001</v>
          </cell>
          <cell r="L47">
            <v>4</v>
          </cell>
        </row>
        <row r="48">
          <cell r="K48" t="str">
            <v>1097A510-001</v>
          </cell>
          <cell r="L48">
            <v>4</v>
          </cell>
        </row>
        <row r="49">
          <cell r="K49" t="str">
            <v>1039H771-001</v>
          </cell>
          <cell r="L49">
            <v>3</v>
          </cell>
        </row>
        <row r="50">
          <cell r="K50" t="str">
            <v>1094V799-002</v>
          </cell>
          <cell r="L50">
            <v>2</v>
          </cell>
        </row>
        <row r="51">
          <cell r="K51" t="str">
            <v>1038B933-001</v>
          </cell>
          <cell r="L51">
            <v>2</v>
          </cell>
        </row>
        <row r="52">
          <cell r="K52" t="str">
            <v>1096H331-001</v>
          </cell>
          <cell r="L52">
            <v>2</v>
          </cell>
        </row>
        <row r="53">
          <cell r="K53" t="str">
            <v>1094V828-001</v>
          </cell>
          <cell r="L53">
            <v>2</v>
          </cell>
        </row>
        <row r="54">
          <cell r="K54" t="str">
            <v>1093L847-001</v>
          </cell>
          <cell r="L54">
            <v>2</v>
          </cell>
        </row>
        <row r="55">
          <cell r="K55" t="str">
            <v>1093L848-001</v>
          </cell>
          <cell r="L55">
            <v>3</v>
          </cell>
        </row>
        <row r="56">
          <cell r="K56" t="str">
            <v>1093L842-001</v>
          </cell>
          <cell r="L56">
            <v>3</v>
          </cell>
        </row>
        <row r="57">
          <cell r="K57" t="str">
            <v>1038B930-001</v>
          </cell>
          <cell r="L57">
            <v>1</v>
          </cell>
        </row>
        <row r="58">
          <cell r="K58" t="str">
            <v>1096M281-001</v>
          </cell>
          <cell r="L58">
            <v>2</v>
          </cell>
        </row>
        <row r="59">
          <cell r="K59" t="str">
            <v>1094V811-002</v>
          </cell>
          <cell r="L59">
            <v>3</v>
          </cell>
        </row>
        <row r="60">
          <cell r="K60" t="str">
            <v>1094V790-002</v>
          </cell>
          <cell r="L60">
            <v>4</v>
          </cell>
        </row>
        <row r="61">
          <cell r="K61" t="str">
            <v>1094J062-001</v>
          </cell>
          <cell r="L61">
            <v>5</v>
          </cell>
        </row>
        <row r="62">
          <cell r="K62" t="str">
            <v>1094T791-001</v>
          </cell>
          <cell r="L62">
            <v>3</v>
          </cell>
        </row>
        <row r="63">
          <cell r="K63" t="str">
            <v>1094R482-001</v>
          </cell>
          <cell r="L63">
            <v>3</v>
          </cell>
        </row>
        <row r="64">
          <cell r="K64" t="str">
            <v>1096M280-001</v>
          </cell>
          <cell r="L64">
            <v>3</v>
          </cell>
        </row>
        <row r="65">
          <cell r="K65" t="str">
            <v>1097U041-001</v>
          </cell>
          <cell r="L65">
            <v>4</v>
          </cell>
        </row>
        <row r="66">
          <cell r="K66" t="str">
            <v>1097U077-001</v>
          </cell>
          <cell r="L66">
            <v>4</v>
          </cell>
        </row>
        <row r="67">
          <cell r="K67" t="str">
            <v>1039H771-001</v>
          </cell>
          <cell r="L67">
            <v>3</v>
          </cell>
        </row>
        <row r="68">
          <cell r="K68" t="str">
            <v>1094V799-002</v>
          </cell>
          <cell r="L68">
            <v>2</v>
          </cell>
        </row>
        <row r="69">
          <cell r="K69" t="str">
            <v>1038B933-001</v>
          </cell>
          <cell r="L69">
            <v>2</v>
          </cell>
        </row>
        <row r="70">
          <cell r="K70" t="str">
            <v>1094V828-001</v>
          </cell>
          <cell r="L70">
            <v>2</v>
          </cell>
        </row>
        <row r="71">
          <cell r="K71" t="str">
            <v>1093L847-001</v>
          </cell>
          <cell r="L71">
            <v>2</v>
          </cell>
        </row>
        <row r="72">
          <cell r="K72" t="str">
            <v>1093L848-001</v>
          </cell>
          <cell r="L72">
            <v>3</v>
          </cell>
        </row>
        <row r="73">
          <cell r="K73" t="str">
            <v>1093L842-001</v>
          </cell>
          <cell r="L73">
            <v>3</v>
          </cell>
        </row>
        <row r="74">
          <cell r="K74" t="str">
            <v>1038H563-002</v>
          </cell>
          <cell r="L74">
            <v>1</v>
          </cell>
        </row>
        <row r="75">
          <cell r="K75" t="str">
            <v>1038H564-001</v>
          </cell>
          <cell r="L75">
            <v>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221T34F24" TargetMode="External"/><Relationship Id="rId299" Type="http://schemas.openxmlformats.org/officeDocument/2006/relationships/hyperlink" Target="mailto:riki.ben.yoram@ebv.com" TargetMode="External"/><Relationship Id="rId21" Type="http://schemas.openxmlformats.org/officeDocument/2006/relationships/hyperlink" Target="http://eltweb04.elta.iai/pls/iman_Production/link_to_iman?item_id=1038B850-001" TargetMode="External"/><Relationship Id="rId63" Type="http://schemas.openxmlformats.org/officeDocument/2006/relationships/hyperlink" Target="http://eltweb04.elta.iai/pls/iman_Production/link_to_iman?item_id=1097U077-001" TargetMode="External"/><Relationship Id="rId159" Type="http://schemas.openxmlformats.org/officeDocument/2006/relationships/hyperlink" Target="http://eltweb04.elta.iai/pls/iman_Production/link_to_iman?item_id=CRCW0402243RFKED" TargetMode="External"/><Relationship Id="rId170" Type="http://schemas.openxmlformats.org/officeDocument/2006/relationships/hyperlink" Target="http://eltweb04.elta.iai/pls/iman_Production/link_to_iman?item_id=CRCW0603221RFKEA" TargetMode="External"/><Relationship Id="rId226" Type="http://schemas.openxmlformats.org/officeDocument/2006/relationships/hyperlink" Target="http://eltweb04.elta.iai/pls/iman_Production/link_to_iman?item_id=MM3Z5V1T1G" TargetMode="External"/><Relationship Id="rId268" Type="http://schemas.openxmlformats.org/officeDocument/2006/relationships/hyperlink" Target="http://eltweb04.elta.iai/pls/iman_Production/link_to_iman?item_id=P222-1IN" TargetMode="External"/><Relationship Id="rId32" Type="http://schemas.openxmlformats.org/officeDocument/2006/relationships/hyperlink" Target="http://eltweb04.elta.iai/pls/iman_Production/link_to_iman?item_id=1092L481-001" TargetMode="External"/><Relationship Id="rId74" Type="http://schemas.openxmlformats.org/officeDocument/2006/relationships/hyperlink" Target="http://eltweb04.elta.iai/pls/iman_Production/link_to_iman?item_id=1099M235-001" TargetMode="External"/><Relationship Id="rId128" Type="http://schemas.openxmlformats.org/officeDocument/2006/relationships/hyperlink" Target="http://eltweb04.elta.iai/pls/iman_Production/link_to_iman?item_id=700A102KT50XTV" TargetMode="External"/><Relationship Id="rId5" Type="http://schemas.openxmlformats.org/officeDocument/2006/relationships/hyperlink" Target="http://eltweb04.elta.iai/pls/iman_Production/link_to_iman?item_id=01M12R-305-60F17K" TargetMode="External"/><Relationship Id="rId181" Type="http://schemas.openxmlformats.org/officeDocument/2006/relationships/hyperlink" Target="http://eltweb04.elta.iai/pls/iman_Production/link_to_iman?item_id=CRCW080523K2FKEA" TargetMode="External"/><Relationship Id="rId237" Type="http://schemas.openxmlformats.org/officeDocument/2006/relationships/hyperlink" Target="http://eltweb04.elta.iai/pls/iman_Production/link_to_iman?item_id=MS3213-22" TargetMode="External"/><Relationship Id="rId279" Type="http://schemas.openxmlformats.org/officeDocument/2006/relationships/hyperlink" Target="http://eltweb04.elta.iai/pls/iman_Production/link_to_iman?item_id=SMBJ24A" TargetMode="External"/><Relationship Id="rId43" Type="http://schemas.openxmlformats.org/officeDocument/2006/relationships/hyperlink" Target="http://eltweb04.elta.iai/pls/iman_Production/link_to_iman?item_id=1094V797-001" TargetMode="External"/><Relationship Id="rId139" Type="http://schemas.openxmlformats.org/officeDocument/2006/relationships/hyperlink" Target="http://eltweb04.elta.iai/pls/iman_Production/link_to_iman?item_id=BLM31PG500SN1L" TargetMode="External"/><Relationship Id="rId290" Type="http://schemas.openxmlformats.org/officeDocument/2006/relationships/hyperlink" Target="http://eltweb04.elta.iai/pls/iman_Production/link_to_iman?item_id=TS0310W3S" TargetMode="External"/><Relationship Id="rId304" Type="http://schemas.openxmlformats.org/officeDocument/2006/relationships/hyperlink" Target="mailto:bruno.bolzinger@hexcel.com" TargetMode="External"/><Relationship Id="rId85" Type="http://schemas.openxmlformats.org/officeDocument/2006/relationships/hyperlink" Target="http://eltweb04.elta.iai/pls/iman_Production/link_to_iman?item_id=1099M310-002" TargetMode="External"/><Relationship Id="rId150" Type="http://schemas.openxmlformats.org/officeDocument/2006/relationships/hyperlink" Target="http://eltweb04.elta.iai/pls/iman_Production/link_to_iman?item_id=C4532X5R1A476M280KA" TargetMode="External"/><Relationship Id="rId192" Type="http://schemas.openxmlformats.org/officeDocument/2006/relationships/hyperlink" Target="http://eltweb04.elta.iai/pls/iman_Production/link_to_iman?item_id=DS26C31TMX/NOPB" TargetMode="External"/><Relationship Id="rId206" Type="http://schemas.openxmlformats.org/officeDocument/2006/relationships/hyperlink" Target="http://eltweb04.elta.iai/pls/iman_Production/link_to_iman?item_id=HSMG-C680" TargetMode="External"/><Relationship Id="rId248" Type="http://schemas.openxmlformats.org/officeDocument/2006/relationships/hyperlink" Target="http://eltweb04.elta.iai/pls/iman_Production/link_to_iman?item_id=MS51957-3" TargetMode="External"/><Relationship Id="rId12" Type="http://schemas.openxmlformats.org/officeDocument/2006/relationships/hyperlink" Target="http://eltweb04.elta.iai/pls/iman_Production/link_to_iman?item_id=0505P100JW151XTV" TargetMode="External"/><Relationship Id="rId108" Type="http://schemas.openxmlformats.org/officeDocument/2006/relationships/hyperlink" Target="http://eltweb04.elta.iai/pls/iman_Production/link_to_iman?item_id=1099R718-001" TargetMode="External"/><Relationship Id="rId315" Type="http://schemas.openxmlformats.org/officeDocument/2006/relationships/hyperlink" Target="mailto:riki.ben.yoram@ebv.com" TargetMode="External"/><Relationship Id="rId54" Type="http://schemas.openxmlformats.org/officeDocument/2006/relationships/hyperlink" Target="http://eltweb04.elta.iai/pls/iman_Production/link_to_iman?item_id=1096M280-001" TargetMode="External"/><Relationship Id="rId96" Type="http://schemas.openxmlformats.org/officeDocument/2006/relationships/hyperlink" Target="http://eltweb04.elta.iai/pls/iman_Production/link_to_iman?item_id=1099M337-001" TargetMode="External"/><Relationship Id="rId161" Type="http://schemas.openxmlformats.org/officeDocument/2006/relationships/hyperlink" Target="http://eltweb04.elta.iai/pls/iman_Production/link_to_iman?item_id=CRCW040230R1FKED" TargetMode="External"/><Relationship Id="rId217" Type="http://schemas.openxmlformats.org/officeDocument/2006/relationships/hyperlink" Target="http://eltweb04.elta.iai/pls/iman_Production/link_to_iman?item_id=LT1964IDD" TargetMode="External"/><Relationship Id="rId259" Type="http://schemas.openxmlformats.org/officeDocument/2006/relationships/hyperlink" Target="http://eltweb04.elta.iai/pls/iman_Production/link_to_iman?item_id=NAS620C4L" TargetMode="External"/><Relationship Id="rId23" Type="http://schemas.openxmlformats.org/officeDocument/2006/relationships/hyperlink" Target="http://eltweb04.elta.iai/pls/iman_Production/link_to_iman?item_id=1038B900-001" TargetMode="External"/><Relationship Id="rId119" Type="http://schemas.openxmlformats.org/officeDocument/2006/relationships/hyperlink" Target="http://eltweb04.elta.iai/pls/iman_Production/link_to_iman?item_id=293D106X9010A2TE3" TargetMode="External"/><Relationship Id="rId270" Type="http://schemas.openxmlformats.org/officeDocument/2006/relationships/hyperlink" Target="http://eltweb04.elta.iai/pls/iman_Production/link_to_iman?item_id=PSOT05C-LF-T7" TargetMode="External"/><Relationship Id="rId65" Type="http://schemas.openxmlformats.org/officeDocument/2006/relationships/hyperlink" Target="http://eltweb04.elta.iai/pls/iman_Production/link_to_iman?item_id=1099M223-002" TargetMode="External"/><Relationship Id="rId130" Type="http://schemas.openxmlformats.org/officeDocument/2006/relationships/hyperlink" Target="http://eltweb04.elta.iai/pls/iman_Production/link_to_iman?item_id=74LVXC3245MTCX" TargetMode="External"/><Relationship Id="rId172" Type="http://schemas.openxmlformats.org/officeDocument/2006/relationships/hyperlink" Target="http://eltweb04.elta.iai/pls/iman_Production/link_to_iman?item_id=CRCW0603301RFKEA" TargetMode="External"/><Relationship Id="rId228" Type="http://schemas.openxmlformats.org/officeDocument/2006/relationships/hyperlink" Target="http://eltweb04.elta.iai/pls/iman_Production/link_to_iman?item_id=MMBT2222ALT1G" TargetMode="External"/><Relationship Id="rId281" Type="http://schemas.openxmlformats.org/officeDocument/2006/relationships/hyperlink" Target="http://eltweb04.elta.iai/pls/iman_Production/link_to_iman?item_id=SN74LVTH16244ADGGR" TargetMode="External"/><Relationship Id="rId34" Type="http://schemas.openxmlformats.org/officeDocument/2006/relationships/hyperlink" Target="http://eltweb04.elta.iai/pls/iman_Production/link_to_iman?item_id=1093J365-002" TargetMode="External"/><Relationship Id="rId55" Type="http://schemas.openxmlformats.org/officeDocument/2006/relationships/hyperlink" Target="http://eltweb04.elta.iai/pls/iman_Production/link_to_iman?item_id=1096M281-001" TargetMode="External"/><Relationship Id="rId76" Type="http://schemas.openxmlformats.org/officeDocument/2006/relationships/hyperlink" Target="http://eltweb04.elta.iai/pls/iman_Production/link_to_iman?item_id=1099M237-001" TargetMode="External"/><Relationship Id="rId97" Type="http://schemas.openxmlformats.org/officeDocument/2006/relationships/hyperlink" Target="http://eltweb04.elta.iai/pls/iman_Production/link_to_iman?item_id=1099M345-001" TargetMode="External"/><Relationship Id="rId120" Type="http://schemas.openxmlformats.org/officeDocument/2006/relationships/hyperlink" Target="http://eltweb04.elta.iai/pls/iman_Production/link_to_iman?item_id=293D107X9010D2TE3" TargetMode="External"/><Relationship Id="rId141" Type="http://schemas.openxmlformats.org/officeDocument/2006/relationships/hyperlink" Target="http://eltweb04.elta.iai/pls/iman_Production/link_to_iman?item_id=C0402C101J3GACTU" TargetMode="External"/><Relationship Id="rId7" Type="http://schemas.openxmlformats.org/officeDocument/2006/relationships/hyperlink" Target="http://eltweb04.elta.iai/pls/iman_Production/link_to_iman?item_id=04021J0R7PBSTR" TargetMode="External"/><Relationship Id="rId162" Type="http://schemas.openxmlformats.org/officeDocument/2006/relationships/hyperlink" Target="http://eltweb04.elta.iai/pls/iman_Production/link_to_iman?item_id=CRCW06030000Z0EA" TargetMode="External"/><Relationship Id="rId183" Type="http://schemas.openxmlformats.org/officeDocument/2006/relationships/hyperlink" Target="http://eltweb04.elta.iai/pls/iman_Production/link_to_iman?item_id=CRCW120610K0FKEA" TargetMode="External"/><Relationship Id="rId218" Type="http://schemas.openxmlformats.org/officeDocument/2006/relationships/hyperlink" Target="http://eltweb04.elta.iai/pls/iman_Production/link_to_iman?item_id=LTC2908IDDB-A1" TargetMode="External"/><Relationship Id="rId239" Type="http://schemas.openxmlformats.org/officeDocument/2006/relationships/hyperlink" Target="http://eltweb04.elta.iai/pls/iman_Production/link_to_iman?item_id=MS35338-135" TargetMode="External"/><Relationship Id="rId250" Type="http://schemas.openxmlformats.org/officeDocument/2006/relationships/hyperlink" Target="http://eltweb04.elta.iai/pls/iman_Production/link_to_iman?item_id=MS51957-32" TargetMode="External"/><Relationship Id="rId271" Type="http://schemas.openxmlformats.org/officeDocument/2006/relationships/hyperlink" Target="http://eltweb04.elta.iai/pls/iman_Production/link_to_iman?item_id=PTL-16-426" TargetMode="External"/><Relationship Id="rId292" Type="http://schemas.openxmlformats.org/officeDocument/2006/relationships/hyperlink" Target="http://eltweb04.elta.iai/pls/iman_Production/link_to_iman?item_id=TS0501W3S/TR" TargetMode="External"/><Relationship Id="rId306" Type="http://schemas.openxmlformats.org/officeDocument/2006/relationships/hyperlink" Target="mailto:ada@starlight.co.il" TargetMode="External"/><Relationship Id="rId24" Type="http://schemas.openxmlformats.org/officeDocument/2006/relationships/hyperlink" Target="http://eltweb04.elta.iai/pls/iman_Production/link_to_iman?item_id=1038B910-001" TargetMode="External"/><Relationship Id="rId45" Type="http://schemas.openxmlformats.org/officeDocument/2006/relationships/hyperlink" Target="http://eltweb04.elta.iai/pls/iman_Production/link_to_iman?item_id=1094V799-002" TargetMode="External"/><Relationship Id="rId66" Type="http://schemas.openxmlformats.org/officeDocument/2006/relationships/hyperlink" Target="http://eltweb04.elta.iai/pls/iman_Production/link_to_iman?item_id=1099M224-001" TargetMode="External"/><Relationship Id="rId87" Type="http://schemas.openxmlformats.org/officeDocument/2006/relationships/hyperlink" Target="http://eltweb04.elta.iai/pls/iman_Production/link_to_iman?item_id=1099M315-001" TargetMode="External"/><Relationship Id="rId110" Type="http://schemas.openxmlformats.org/officeDocument/2006/relationships/hyperlink" Target="http://eltweb04.elta.iai/pls/iman_Production/link_to_iman?item_id=10S519-S60N3" TargetMode="External"/><Relationship Id="rId131" Type="http://schemas.openxmlformats.org/officeDocument/2006/relationships/hyperlink" Target="http://eltweb04.elta.iai/pls/iman_Production/link_to_iman?item_id=A-A-52080-B-5%20BLACK" TargetMode="External"/><Relationship Id="rId152" Type="http://schemas.openxmlformats.org/officeDocument/2006/relationships/hyperlink" Target="http://eltweb04.elta.iai/pls/iman_Production/link_to_iman?item_id=CL05C010BB5NNNC" TargetMode="External"/><Relationship Id="rId173" Type="http://schemas.openxmlformats.org/officeDocument/2006/relationships/hyperlink" Target="http://eltweb04.elta.iai/pls/iman_Production/link_to_iman?item_id=CRCW060349R9FKEA" TargetMode="External"/><Relationship Id="rId194" Type="http://schemas.openxmlformats.org/officeDocument/2006/relationships/hyperlink" Target="http://eltweb04.elta.iai/pls/iman_Production/link_to_iman?item_id=EC2216A/B%20GRAY%20KT2OZ" TargetMode="External"/><Relationship Id="rId208" Type="http://schemas.openxmlformats.org/officeDocument/2006/relationships/hyperlink" Target="http://eltweb04.elta.iai/pls/iman_Production/link_to_iman?item_id=HSSR-7110" TargetMode="External"/><Relationship Id="rId229" Type="http://schemas.openxmlformats.org/officeDocument/2006/relationships/hyperlink" Target="http://eltweb04.elta.iai/pls/iman_Production/link_to_iman?item_id=MS16995-16" TargetMode="External"/><Relationship Id="rId240" Type="http://schemas.openxmlformats.org/officeDocument/2006/relationships/hyperlink" Target="http://eltweb04.elta.iai/pls/iman_Production/link_to_iman?item_id=MS35338-136" TargetMode="External"/><Relationship Id="rId261" Type="http://schemas.openxmlformats.org/officeDocument/2006/relationships/hyperlink" Target="http://eltweb04.elta.iai/pls/iman_Production/link_to_iman?item_id=NAS620C8" TargetMode="External"/><Relationship Id="rId14" Type="http://schemas.openxmlformats.org/officeDocument/2006/relationships/hyperlink" Target="http://eltweb04.elta.iai/pls/iman_Production/link_to_iman?item_id=080-1200" TargetMode="External"/><Relationship Id="rId35" Type="http://schemas.openxmlformats.org/officeDocument/2006/relationships/hyperlink" Target="http://eltweb04.elta.iai/pls/iman_Production/link_to_iman?item_id=1093L847-001" TargetMode="External"/><Relationship Id="rId56" Type="http://schemas.openxmlformats.org/officeDocument/2006/relationships/hyperlink" Target="http://eltweb04.elta.iai/pls/iman_Production/link_to_iman?item_id=1096M289-001" TargetMode="External"/><Relationship Id="rId77" Type="http://schemas.openxmlformats.org/officeDocument/2006/relationships/hyperlink" Target="http://eltweb04.elta.iai/pls/iman_Production/link_to_iman?item_id=1099M238-001" TargetMode="External"/><Relationship Id="rId100" Type="http://schemas.openxmlformats.org/officeDocument/2006/relationships/hyperlink" Target="http://eltweb04.elta.iai/pls/iman_Production/link_to_iman?item_id=1099M361-001" TargetMode="External"/><Relationship Id="rId282" Type="http://schemas.openxmlformats.org/officeDocument/2006/relationships/hyperlink" Target="http://eltweb04.elta.iai/pls/iman_Production/link_to_iman?item_id=TACR106K010RTA" TargetMode="External"/><Relationship Id="rId317" Type="http://schemas.openxmlformats.org/officeDocument/2006/relationships/hyperlink" Target="mailto:riki.ben.yoram@ebv.com" TargetMode="External"/><Relationship Id="rId8" Type="http://schemas.openxmlformats.org/officeDocument/2006/relationships/hyperlink" Target="http://eltweb04.elta.iai/pls/iman_Production/link_to_iman?item_id=04025J3R3ABSTR" TargetMode="External"/><Relationship Id="rId98" Type="http://schemas.openxmlformats.org/officeDocument/2006/relationships/hyperlink" Target="http://eltweb04.elta.iai/pls/iman_Production/link_to_iman?item_id=1099M348-001" TargetMode="External"/><Relationship Id="rId121" Type="http://schemas.openxmlformats.org/officeDocument/2006/relationships/hyperlink" Target="http://eltweb04.elta.iai/pls/iman_Production/link_to_iman?item_id=293D475X9016A2TE3" TargetMode="External"/><Relationship Id="rId142" Type="http://schemas.openxmlformats.org/officeDocument/2006/relationships/hyperlink" Target="http://eltweb04.elta.iai/pls/iman_Production/link_to_iman?item_id=C0402C102K5RAC7867" TargetMode="External"/><Relationship Id="rId163" Type="http://schemas.openxmlformats.org/officeDocument/2006/relationships/hyperlink" Target="http://eltweb04.elta.iai/pls/iman_Production/link_to_iman?item_id=CRCW0603100KFKEA" TargetMode="External"/><Relationship Id="rId184" Type="http://schemas.openxmlformats.org/officeDocument/2006/relationships/hyperlink" Target="http://eltweb04.elta.iai/pls/iman_Production/link_to_iman?item_id=CRCW12061K10FKEA" TargetMode="External"/><Relationship Id="rId219" Type="http://schemas.openxmlformats.org/officeDocument/2006/relationships/hyperlink" Target="http://eltweb04.elta.iai/pls/iman_Production/link_to_iman?item_id=LTC4444HMS8E-5" TargetMode="External"/><Relationship Id="rId230" Type="http://schemas.openxmlformats.org/officeDocument/2006/relationships/hyperlink" Target="http://eltweb04.elta.iai/pls/iman_Production/link_to_iman?item_id=MS16995-17" TargetMode="External"/><Relationship Id="rId251" Type="http://schemas.openxmlformats.org/officeDocument/2006/relationships/hyperlink" Target="http://eltweb04.elta.iai/pls/iman_Production/link_to_iman?item_id=N2510-5002-RB" TargetMode="External"/><Relationship Id="rId25" Type="http://schemas.openxmlformats.org/officeDocument/2006/relationships/hyperlink" Target="http://eltweb04.elta.iai/pls/iman_Production/link_to_iman?item_id=1038B930-001" TargetMode="External"/><Relationship Id="rId46" Type="http://schemas.openxmlformats.org/officeDocument/2006/relationships/hyperlink" Target="http://eltweb04.elta.iai/pls/iman_Production/link_to_iman?item_id=1094V811-002" TargetMode="External"/><Relationship Id="rId67" Type="http://schemas.openxmlformats.org/officeDocument/2006/relationships/hyperlink" Target="http://eltweb04.elta.iai/pls/iman_Production/link_to_iman?item_id=1099M225-001" TargetMode="External"/><Relationship Id="rId272" Type="http://schemas.openxmlformats.org/officeDocument/2006/relationships/hyperlink" Target="http://eltweb04.elta.iai/pls/iman_Production/link_to_iman?item_id=PTL-9-724" TargetMode="External"/><Relationship Id="rId293" Type="http://schemas.openxmlformats.org/officeDocument/2006/relationships/hyperlink" Target="http://eltweb04.elta.iai/pls/iman_Production/link_to_iman?item_id=VERSAFLEX-1/2-0-SP" TargetMode="External"/><Relationship Id="rId307" Type="http://schemas.openxmlformats.org/officeDocument/2006/relationships/hyperlink" Target="mailto:adam@kaytech.com" TargetMode="External"/><Relationship Id="rId88" Type="http://schemas.openxmlformats.org/officeDocument/2006/relationships/hyperlink" Target="http://eltweb04.elta.iai/pls/iman_Production/link_to_iman?item_id=1099M316-001" TargetMode="External"/><Relationship Id="rId111" Type="http://schemas.openxmlformats.org/officeDocument/2006/relationships/hyperlink" Target="http://eltweb04.elta.iai/pls/iman_Production/link_to_iman?item_id=145-A03K/188" TargetMode="External"/><Relationship Id="rId132" Type="http://schemas.openxmlformats.org/officeDocument/2006/relationships/hyperlink" Target="http://eltweb04.elta.iai/pls/iman_Production/link_to_iman?item_id=ABM1M-AT-M" TargetMode="External"/><Relationship Id="rId153" Type="http://schemas.openxmlformats.org/officeDocument/2006/relationships/hyperlink" Target="http://eltweb04.elta.iai/pls/iman_Production/link_to_iman?item_id=CL05C4R7CB5NNNC" TargetMode="External"/><Relationship Id="rId174" Type="http://schemas.openxmlformats.org/officeDocument/2006/relationships/hyperlink" Target="http://eltweb04.elta.iai/pls/iman_Production/link_to_iman?item_id=CRCW0603562KFKTA" TargetMode="External"/><Relationship Id="rId195" Type="http://schemas.openxmlformats.org/officeDocument/2006/relationships/hyperlink" Target="http://eltweb04.elta.iai/pls/iman_Production/link_to_iman?item_id=EP2C70F896I8" TargetMode="External"/><Relationship Id="rId209" Type="http://schemas.openxmlformats.org/officeDocument/2006/relationships/hyperlink" Target="http://eltweb04.elta.iai/pls/iman_Production/link_to_iman?item_id=IAC-2512-WA-02-D0" TargetMode="External"/><Relationship Id="rId220" Type="http://schemas.openxmlformats.org/officeDocument/2006/relationships/hyperlink" Target="http://eltweb04.elta.iai/pls/iman_Production/link_to_iman?item_id=LTM8027IV" TargetMode="External"/><Relationship Id="rId241" Type="http://schemas.openxmlformats.org/officeDocument/2006/relationships/hyperlink" Target="http://eltweb04.elta.iai/pls/iman_Production/link_to_iman?item_id=MS35338-137" TargetMode="External"/><Relationship Id="rId15" Type="http://schemas.openxmlformats.org/officeDocument/2006/relationships/hyperlink" Target="http://eltweb04.elta.iai/pls/iman_Production/link_to_iman?item_id=1/4-28X7/8SOCCAP316SSSIL" TargetMode="External"/><Relationship Id="rId36" Type="http://schemas.openxmlformats.org/officeDocument/2006/relationships/hyperlink" Target="http://eltweb04.elta.iai/pls/iman_Production/link_to_iman?item_id=1093R459-003" TargetMode="External"/><Relationship Id="rId57" Type="http://schemas.openxmlformats.org/officeDocument/2006/relationships/hyperlink" Target="http://eltweb04.elta.iai/pls/iman_Production/link_to_iman?item_id=1096M290-001" TargetMode="External"/><Relationship Id="rId262" Type="http://schemas.openxmlformats.org/officeDocument/2006/relationships/hyperlink" Target="http://eltweb04.elta.iai/pls/iman_Production/link_to_iman?item_id=NAS671C2" TargetMode="External"/><Relationship Id="rId283" Type="http://schemas.openxmlformats.org/officeDocument/2006/relationships/hyperlink" Target="http://eltweb04.elta.iai/pls/iman_Production/link_to_iman?item_id=TGP-A0232" TargetMode="External"/><Relationship Id="rId318" Type="http://schemas.openxmlformats.org/officeDocument/2006/relationships/hyperlink" Target="mailto:rivi@starlight.co.il" TargetMode="External"/><Relationship Id="rId78" Type="http://schemas.openxmlformats.org/officeDocument/2006/relationships/hyperlink" Target="http://eltweb04.elta.iai/pls/iman_Production/link_to_iman?item_id=1099M239-001" TargetMode="External"/><Relationship Id="rId99" Type="http://schemas.openxmlformats.org/officeDocument/2006/relationships/hyperlink" Target="http://eltweb04.elta.iai/pls/iman_Production/link_to_iman?item_id=1099M349-001" TargetMode="External"/><Relationship Id="rId101" Type="http://schemas.openxmlformats.org/officeDocument/2006/relationships/hyperlink" Target="http://eltweb04.elta.iai/pls/iman_Production/link_to_iman?item_id=1099M362-001" TargetMode="External"/><Relationship Id="rId122" Type="http://schemas.openxmlformats.org/officeDocument/2006/relationships/hyperlink" Target="http://eltweb04.elta.iai/pls/iman_Production/link_to_iman?item_id=34_BMA-SMA-N50-8/1--_UE" TargetMode="External"/><Relationship Id="rId143" Type="http://schemas.openxmlformats.org/officeDocument/2006/relationships/hyperlink" Target="http://eltweb04.elta.iai/pls/iman_Production/link_to_iman?item_id=C0402C103K3RAC7867" TargetMode="External"/><Relationship Id="rId164" Type="http://schemas.openxmlformats.org/officeDocument/2006/relationships/hyperlink" Target="http://eltweb04.elta.iai/pls/iman_Production/link_to_iman?item_id=CRCW0603100RFKEA" TargetMode="External"/><Relationship Id="rId185" Type="http://schemas.openxmlformats.org/officeDocument/2006/relationships/hyperlink" Target="http://eltweb04.elta.iai/pls/iman_Production/link_to_iman?item_id=CRCW12061K50FKTA" TargetMode="External"/><Relationship Id="rId9" Type="http://schemas.openxmlformats.org/officeDocument/2006/relationships/hyperlink" Target="http://eltweb04.elta.iai/pls/iman_Production/link_to_iman?item_id=0440.500WR" TargetMode="External"/><Relationship Id="rId210" Type="http://schemas.openxmlformats.org/officeDocument/2006/relationships/hyperlink" Target="http://eltweb04.elta.iai/pls/iman_Production/link_to_iman?item_id=IDEAL%209185%20MASKING%20TAPE" TargetMode="External"/><Relationship Id="rId26" Type="http://schemas.openxmlformats.org/officeDocument/2006/relationships/hyperlink" Target="http://eltweb04.elta.iai/pls/iman_Production/link_to_iman?item_id=1038B933-001" TargetMode="External"/><Relationship Id="rId231" Type="http://schemas.openxmlformats.org/officeDocument/2006/relationships/hyperlink" Target="http://eltweb04.elta.iai/pls/iman_Production/link_to_iman?item_id=MS16995-18" TargetMode="External"/><Relationship Id="rId252" Type="http://schemas.openxmlformats.org/officeDocument/2006/relationships/hyperlink" Target="http://eltweb04.elta.iai/pls/iman_Production/link_to_iman?item_id=NAS1352C02-9" TargetMode="External"/><Relationship Id="rId273" Type="http://schemas.openxmlformats.org/officeDocument/2006/relationships/hyperlink" Target="http://eltweb04.elta.iai/pls/iman_Production/link_to_iman?item_id=R404.210.000" TargetMode="External"/><Relationship Id="rId294" Type="http://schemas.openxmlformats.org/officeDocument/2006/relationships/hyperlink" Target="http://eltweb04.elta.iai/pls/iman_Production/link_to_iman?item_id=VERSAFLEX-3/8-0-SP" TargetMode="External"/><Relationship Id="rId308" Type="http://schemas.openxmlformats.org/officeDocument/2006/relationships/hyperlink" Target="mailto:rep@mcdi-ltd.com" TargetMode="External"/><Relationship Id="rId47" Type="http://schemas.openxmlformats.org/officeDocument/2006/relationships/hyperlink" Target="http://eltweb04.elta.iai/pls/iman_Production/link_to_iman?item_id=1094V816-001" TargetMode="External"/><Relationship Id="rId68" Type="http://schemas.openxmlformats.org/officeDocument/2006/relationships/hyperlink" Target="http://eltweb04.elta.iai/pls/iman_Production/link_to_iman?item_id=1099M229-001" TargetMode="External"/><Relationship Id="rId89" Type="http://schemas.openxmlformats.org/officeDocument/2006/relationships/hyperlink" Target="http://eltweb04.elta.iai/pls/iman_Production/link_to_iman?item_id=1099M317-002" TargetMode="External"/><Relationship Id="rId112" Type="http://schemas.openxmlformats.org/officeDocument/2006/relationships/hyperlink" Target="http://eltweb04.elta.iai/pls/iman_Production/link_to_iman?item_id=19K101-K00L5" TargetMode="External"/><Relationship Id="rId133" Type="http://schemas.openxmlformats.org/officeDocument/2006/relationships/hyperlink" Target="http://eltweb04.elta.iai/pls/iman_Production/link_to_iman?item_id=AD7814ARMZ" TargetMode="External"/><Relationship Id="rId154" Type="http://schemas.openxmlformats.org/officeDocument/2006/relationships/hyperlink" Target="http://eltweb04.elta.iai/pls/iman_Production/link_to_iman?item_id=CL31B105KAHNNNE" TargetMode="External"/><Relationship Id="rId175" Type="http://schemas.openxmlformats.org/officeDocument/2006/relationships/hyperlink" Target="http://eltweb04.elta.iai/pls/iman_Production/link_to_iman?item_id=CRCW060356K2FKEA" TargetMode="External"/><Relationship Id="rId196" Type="http://schemas.openxmlformats.org/officeDocument/2006/relationships/hyperlink" Target="http://eltweb04.elta.iai/pls/iman_Production/link_to_iman?item_id=EPCQ64ASI16N" TargetMode="External"/><Relationship Id="rId200" Type="http://schemas.openxmlformats.org/officeDocument/2006/relationships/hyperlink" Target="http://eltweb04.elta.iai/pls/iman_Production/link_to_iman?item_id=GRM155R71H331KA01D" TargetMode="External"/><Relationship Id="rId16" Type="http://schemas.openxmlformats.org/officeDocument/2006/relationships/hyperlink" Target="http://eltweb04.elta.iai/pls/iman_Production/link_to_iman?item_id=100A4R7BT150XTV" TargetMode="External"/><Relationship Id="rId221" Type="http://schemas.openxmlformats.org/officeDocument/2006/relationships/hyperlink" Target="http://eltweb04.elta.iai/pls/iman_Production/link_to_iman?item_id=M80-5S22005M7" TargetMode="External"/><Relationship Id="rId242" Type="http://schemas.openxmlformats.org/officeDocument/2006/relationships/hyperlink" Target="http://eltweb04.elta.iai/pls/iman_Production/link_to_iman?item_id=MS51957-13" TargetMode="External"/><Relationship Id="rId263" Type="http://schemas.openxmlformats.org/officeDocument/2006/relationships/hyperlink" Target="http://eltweb04.elta.iai/pls/iman_Production/link_to_iman?item_id=NC7ST04P5X" TargetMode="External"/><Relationship Id="rId284" Type="http://schemas.openxmlformats.org/officeDocument/2006/relationships/hyperlink" Target="http://eltweb04.elta.iai/pls/iman_Production/link_to_iman?item_id=THT-1-724-10" TargetMode="External"/><Relationship Id="rId319" Type="http://schemas.openxmlformats.org/officeDocument/2006/relationships/hyperlink" Target="mailto:RACHEL@EIMSYS.CO.IL" TargetMode="External"/><Relationship Id="rId37" Type="http://schemas.openxmlformats.org/officeDocument/2006/relationships/hyperlink" Target="http://eltweb04.elta.iai/pls/iman_Production/link_to_iman?item_id=1093R492-006" TargetMode="External"/><Relationship Id="rId58" Type="http://schemas.openxmlformats.org/officeDocument/2006/relationships/hyperlink" Target="http://eltweb04.elta.iai/pls/iman_Production/link_to_iman?item_id=1096M291-001" TargetMode="External"/><Relationship Id="rId79" Type="http://schemas.openxmlformats.org/officeDocument/2006/relationships/hyperlink" Target="http://eltweb04.elta.iai/pls/iman_Production/link_to_iman?item_id=1099M240-001" TargetMode="External"/><Relationship Id="rId102" Type="http://schemas.openxmlformats.org/officeDocument/2006/relationships/hyperlink" Target="http://eltweb04.elta.iai/pls/iman_Production/link_to_iman?item_id=1099M364-001" TargetMode="External"/><Relationship Id="rId123" Type="http://schemas.openxmlformats.org/officeDocument/2006/relationships/hyperlink" Target="http://eltweb04.elta.iai/pls/iman_Production/link_to_iman?item_id=400L0R7PT200T" TargetMode="External"/><Relationship Id="rId144" Type="http://schemas.openxmlformats.org/officeDocument/2006/relationships/hyperlink" Target="http://eltweb04.elta.iai/pls/iman_Production/link_to_iman?item_id=C0402C103K5RALTU" TargetMode="External"/><Relationship Id="rId90" Type="http://schemas.openxmlformats.org/officeDocument/2006/relationships/hyperlink" Target="http://eltweb04.elta.iai/pls/iman_Production/link_to_iman?item_id=1099M319-001" TargetMode="External"/><Relationship Id="rId165" Type="http://schemas.openxmlformats.org/officeDocument/2006/relationships/hyperlink" Target="http://eltweb04.elta.iai/pls/iman_Production/link_to_iman?item_id=CRCW060310K0FKEA" TargetMode="External"/><Relationship Id="rId186" Type="http://schemas.openxmlformats.org/officeDocument/2006/relationships/hyperlink" Target="http://eltweb04.elta.iai/pls/iman_Production/link_to_iman?item_id=CSD16325Q5C" TargetMode="External"/><Relationship Id="rId211" Type="http://schemas.openxmlformats.org/officeDocument/2006/relationships/hyperlink" Target="http://eltweb04.elta.iai/pls/iman_Production/link_to_iman?item_id=JCM2900T3400VM1R" TargetMode="External"/><Relationship Id="rId232" Type="http://schemas.openxmlformats.org/officeDocument/2006/relationships/hyperlink" Target="http://eltweb04.elta.iai/pls/iman_Production/link_to_iman?item_id=MS16995-19" TargetMode="External"/><Relationship Id="rId253" Type="http://schemas.openxmlformats.org/officeDocument/2006/relationships/hyperlink" Target="http://eltweb04.elta.iai/pls/iman_Production/link_to_iman?item_id=NAS1352C04-8" TargetMode="External"/><Relationship Id="rId274" Type="http://schemas.openxmlformats.org/officeDocument/2006/relationships/hyperlink" Target="http://eltweb04.elta.iai/pls/iman_Production/link_to_iman?item_id=RTV%20167-2.8%20FL/OZ" TargetMode="External"/><Relationship Id="rId295" Type="http://schemas.openxmlformats.org/officeDocument/2006/relationships/hyperlink" Target="http://eltweb04.elta.iai/pls/iman_Production/link_to_iman?item_id=VERSAFLEX-1/8-0-SP" TargetMode="External"/><Relationship Id="rId309" Type="http://schemas.openxmlformats.org/officeDocument/2006/relationships/hyperlink" Target="mailto:a.buhacoff@nicomatic.co.il" TargetMode="External"/><Relationship Id="rId27" Type="http://schemas.openxmlformats.org/officeDocument/2006/relationships/hyperlink" Target="http://eltweb04.elta.iai/pls/iman_Production/link_to_iman?item_id=1038B940-001" TargetMode="External"/><Relationship Id="rId48" Type="http://schemas.openxmlformats.org/officeDocument/2006/relationships/hyperlink" Target="http://eltweb04.elta.iai/pls/iman_Production/link_to_iman?item_id=1094V826-001" TargetMode="External"/><Relationship Id="rId69" Type="http://schemas.openxmlformats.org/officeDocument/2006/relationships/hyperlink" Target="http://eltweb04.elta.iai/pls/iman_Production/link_to_iman?item_id=1099M230-001" TargetMode="External"/><Relationship Id="rId113" Type="http://schemas.openxmlformats.org/officeDocument/2006/relationships/hyperlink" Target="http://eltweb04.elta.iai/pls/iman_Production/link_to_iman?item_id=19K119-K40L5" TargetMode="External"/><Relationship Id="rId134" Type="http://schemas.openxmlformats.org/officeDocument/2006/relationships/hyperlink" Target="http://eltweb04.elta.iai/pls/iman_Production/link_to_iman?item_id=AF163-2OST%200.03PSF" TargetMode="External"/><Relationship Id="rId320" Type="http://schemas.openxmlformats.org/officeDocument/2006/relationships/hyperlink" Target="mailto:MAYMONS@PCB-TECHNOLOGIES.COM" TargetMode="External"/><Relationship Id="rId80" Type="http://schemas.openxmlformats.org/officeDocument/2006/relationships/hyperlink" Target="http://eltweb04.elta.iai/pls/iman_Production/link_to_iman?item_id=1099M246-001" TargetMode="External"/><Relationship Id="rId155" Type="http://schemas.openxmlformats.org/officeDocument/2006/relationships/hyperlink" Target="http://eltweb04.elta.iai/pls/iman_Production/link_to_iman?item_id=CRCW04020000ZSED" TargetMode="External"/><Relationship Id="rId176" Type="http://schemas.openxmlformats.org/officeDocument/2006/relationships/hyperlink" Target="http://eltweb04.elta.iai/pls/iman_Production/link_to_iman?item_id=CRCW0603825KFKTA" TargetMode="External"/><Relationship Id="rId197" Type="http://schemas.openxmlformats.org/officeDocument/2006/relationships/hyperlink" Target="http://eltweb04.elta.iai/pls/iman_Production/link_to_iman?item_id=FDN339AN" TargetMode="External"/><Relationship Id="rId201" Type="http://schemas.openxmlformats.org/officeDocument/2006/relationships/hyperlink" Target="http://eltweb04.elta.iai/pls/iman_Production/link_to_iman?item_id=HCPL-063L-500E" TargetMode="External"/><Relationship Id="rId222" Type="http://schemas.openxmlformats.org/officeDocument/2006/relationships/hyperlink" Target="http://eltweb04.elta.iai/pls/iman_Production/link_to_iman?item_id=MAX8557ETE+T" TargetMode="External"/><Relationship Id="rId243" Type="http://schemas.openxmlformats.org/officeDocument/2006/relationships/hyperlink" Target="http://eltweb04.elta.iai/pls/iman_Production/link_to_iman?item_id=MS51957-14" TargetMode="External"/><Relationship Id="rId264" Type="http://schemas.openxmlformats.org/officeDocument/2006/relationships/hyperlink" Target="http://eltweb04.elta.iai/pls/iman_Production/link_to_iman?item_id=NC7SZ08M5X-L22090" TargetMode="External"/><Relationship Id="rId285" Type="http://schemas.openxmlformats.org/officeDocument/2006/relationships/hyperlink" Target="http://eltweb04.elta.iai/pls/iman_Production/link_to_iman?item_id=TM1S4-C" TargetMode="External"/><Relationship Id="rId17" Type="http://schemas.openxmlformats.org/officeDocument/2006/relationships/hyperlink" Target="http://eltweb04.elta.iai/pls/iman_Production/link_to_iman?item_id=100RC37SCBRP1" TargetMode="External"/><Relationship Id="rId38" Type="http://schemas.openxmlformats.org/officeDocument/2006/relationships/hyperlink" Target="http://eltweb04.elta.iai/pls/iman_Production/link_to_iman?item_id=1094H538-001" TargetMode="External"/><Relationship Id="rId59" Type="http://schemas.openxmlformats.org/officeDocument/2006/relationships/hyperlink" Target="http://eltweb04.elta.iai/pls/iman_Production/link_to_iman?item_id=1096M292-001" TargetMode="External"/><Relationship Id="rId103" Type="http://schemas.openxmlformats.org/officeDocument/2006/relationships/hyperlink" Target="http://eltweb04.elta.iai/pls/iman_Production/link_to_iman?item_id=1099M369-001" TargetMode="External"/><Relationship Id="rId124" Type="http://schemas.openxmlformats.org/officeDocument/2006/relationships/hyperlink" Target="http://eltweb04.elta.iai/pls/iman_Production/link_to_iman?item_id=400L3R3AT50T" TargetMode="External"/><Relationship Id="rId310" Type="http://schemas.openxmlformats.org/officeDocument/2006/relationships/hyperlink" Target="mailto:israelw@rfmw.com" TargetMode="External"/><Relationship Id="rId70" Type="http://schemas.openxmlformats.org/officeDocument/2006/relationships/hyperlink" Target="http://eltweb04.elta.iai/pls/iman_Production/link_to_iman?item_id=1099M231-001" TargetMode="External"/><Relationship Id="rId91" Type="http://schemas.openxmlformats.org/officeDocument/2006/relationships/hyperlink" Target="http://eltweb04.elta.iai/pls/iman_Production/link_to_iman?item_id=1099M320-001" TargetMode="External"/><Relationship Id="rId145" Type="http://schemas.openxmlformats.org/officeDocument/2006/relationships/hyperlink" Target="http://eltweb04.elta.iai/pls/iman_Production/link_to_iman?item_id=C0603C104K5RAC7867" TargetMode="External"/><Relationship Id="rId166" Type="http://schemas.openxmlformats.org/officeDocument/2006/relationships/hyperlink" Target="http://eltweb04.elta.iai/pls/iman_Production/link_to_iman?item_id=CRCW0603110KFKTA" TargetMode="External"/><Relationship Id="rId187" Type="http://schemas.openxmlformats.org/officeDocument/2006/relationships/hyperlink" Target="http://eltweb04.elta.iai/pls/iman_Production/link_to_iman?item_id=D38999/33W15N" TargetMode="External"/><Relationship Id="rId1" Type="http://schemas.openxmlformats.org/officeDocument/2006/relationships/hyperlink" Target="http://eltweb04.elta.iai/pls/iman_Production/link_to_iman?item_id=1038B800-001" TargetMode="External"/><Relationship Id="rId212" Type="http://schemas.openxmlformats.org/officeDocument/2006/relationships/hyperlink" Target="http://eltweb04.elta.iai/pls/iman_Production/link_to_iman?item_id=JCM2900T3400VM1RC" TargetMode="External"/><Relationship Id="rId233" Type="http://schemas.openxmlformats.org/officeDocument/2006/relationships/hyperlink" Target="http://eltweb04.elta.iai/pls/iman_Production/link_to_iman?item_id=MS16995-26" TargetMode="External"/><Relationship Id="rId254" Type="http://schemas.openxmlformats.org/officeDocument/2006/relationships/hyperlink" Target="http://eltweb04.elta.iai/pls/iman_Production/link_to_iman?item_id=NAS1581C4T5" TargetMode="External"/><Relationship Id="rId28" Type="http://schemas.openxmlformats.org/officeDocument/2006/relationships/hyperlink" Target="http://eltweb04.elta.iai/pls/iman_Production/link_to_iman?item_id=1038H563-002" TargetMode="External"/><Relationship Id="rId49" Type="http://schemas.openxmlformats.org/officeDocument/2006/relationships/hyperlink" Target="http://eltweb04.elta.iai/pls/iman_Production/link_to_iman?item_id=1094V828-001" TargetMode="External"/><Relationship Id="rId114" Type="http://schemas.openxmlformats.org/officeDocument/2006/relationships/hyperlink" Target="http://eltweb04.elta.iai/pls/iman_Production/link_to_iman?item_id=19S11E-400L5" TargetMode="External"/><Relationship Id="rId275" Type="http://schemas.openxmlformats.org/officeDocument/2006/relationships/hyperlink" Target="http://eltweb04.elta.iai/pls/iman_Production/link_to_iman?item_id=SCN-2-35+" TargetMode="External"/><Relationship Id="rId296" Type="http://schemas.openxmlformats.org/officeDocument/2006/relationships/hyperlink" Target="http://eltweb04.elta.iai/pls/iman_Production/link_to_iman?item_id=VERSAFLEX-1/4-0-SP" TargetMode="External"/><Relationship Id="rId300" Type="http://schemas.openxmlformats.org/officeDocument/2006/relationships/hyperlink" Target="mailto:MICHAEL@AVDOR.COM" TargetMode="External"/><Relationship Id="rId60" Type="http://schemas.openxmlformats.org/officeDocument/2006/relationships/hyperlink" Target="http://eltweb04.elta.iai/pls/iman_Production/link_to_iman?item_id=1096M299-001" TargetMode="External"/><Relationship Id="rId81" Type="http://schemas.openxmlformats.org/officeDocument/2006/relationships/hyperlink" Target="http://eltweb04.elta.iai/pls/iman_Production/link_to_iman?item_id=1099M255-001" TargetMode="External"/><Relationship Id="rId135" Type="http://schemas.openxmlformats.org/officeDocument/2006/relationships/hyperlink" Target="http://eltweb04.elta.iai/pls/iman_Production/link_to_iman?item_id=AT25DF321A-SH-B" TargetMode="External"/><Relationship Id="rId156" Type="http://schemas.openxmlformats.org/officeDocument/2006/relationships/hyperlink" Target="http://eltweb04.elta.iai/pls/iman_Production/link_to_iman?item_id=CRCW040210K0FKED" TargetMode="External"/><Relationship Id="rId177" Type="http://schemas.openxmlformats.org/officeDocument/2006/relationships/hyperlink" Target="http://eltweb04.elta.iai/pls/iman_Production/link_to_iman?item_id=CRCW0603825RFKEA" TargetMode="External"/><Relationship Id="rId198" Type="http://schemas.openxmlformats.org/officeDocument/2006/relationships/hyperlink" Target="http://eltweb04.elta.iai/pls/iman_Production/link_to_iman?item_id=FT1737HS-10-8-A" TargetMode="External"/><Relationship Id="rId321" Type="http://schemas.openxmlformats.org/officeDocument/2006/relationships/printerSettings" Target="../printerSettings/printerSettings1.bin"/><Relationship Id="rId202" Type="http://schemas.openxmlformats.org/officeDocument/2006/relationships/hyperlink" Target="http://eltweb04.elta.iai/pls/iman_Production/link_to_iman?item_id=HEXPLY%20913G/7781/37%25" TargetMode="External"/><Relationship Id="rId223" Type="http://schemas.openxmlformats.org/officeDocument/2006/relationships/hyperlink" Target="http://eltweb04.elta.iai/pls/iman_Production/link_to_iman?item_id=MC74ACT04DR2G" TargetMode="External"/><Relationship Id="rId244" Type="http://schemas.openxmlformats.org/officeDocument/2006/relationships/hyperlink" Target="http://eltweb04.elta.iai/pls/iman_Production/link_to_iman?item_id=MS51957-141" TargetMode="External"/><Relationship Id="rId18" Type="http://schemas.openxmlformats.org/officeDocument/2006/relationships/hyperlink" Target="http://eltweb04.elta.iai/pls/iman_Production/link_to_iman?item_id=1018419" TargetMode="External"/><Relationship Id="rId39" Type="http://schemas.openxmlformats.org/officeDocument/2006/relationships/hyperlink" Target="http://eltweb04.elta.iai/pls/iman_Production/link_to_iman?item_id=1094R477-001" TargetMode="External"/><Relationship Id="rId265" Type="http://schemas.openxmlformats.org/officeDocument/2006/relationships/hyperlink" Target="http://eltweb04.elta.iai/pls/iman_Production/link_to_iman?item_id=NFL18ZT207H1A3D" TargetMode="External"/><Relationship Id="rId286" Type="http://schemas.openxmlformats.org/officeDocument/2006/relationships/hyperlink" Target="http://eltweb04.elta.iai/pls/iman_Production/link_to_iman?item_id=TQP369184" TargetMode="External"/><Relationship Id="rId50" Type="http://schemas.openxmlformats.org/officeDocument/2006/relationships/hyperlink" Target="http://eltweb04.elta.iai/pls/iman_Production/link_to_iman?item_id=1094V829-001" TargetMode="External"/><Relationship Id="rId104" Type="http://schemas.openxmlformats.org/officeDocument/2006/relationships/hyperlink" Target="http://eltweb04.elta.iai/pls/iman_Production/link_to_iman?item_id=1099M370-001" TargetMode="External"/><Relationship Id="rId125" Type="http://schemas.openxmlformats.org/officeDocument/2006/relationships/hyperlink" Target="http://eltweb04.elta.iai/pls/iman_Production/link_to_iman?item_id=542-50CC" TargetMode="External"/><Relationship Id="rId146" Type="http://schemas.openxmlformats.org/officeDocument/2006/relationships/hyperlink" Target="http://eltweb04.elta.iai/pls/iman_Production/link_to_iman?item_id=C0603C560G5GACTU" TargetMode="External"/><Relationship Id="rId167" Type="http://schemas.openxmlformats.org/officeDocument/2006/relationships/hyperlink" Target="http://eltweb04.elta.iai/pls/iman_Production/link_to_iman?item_id=CRCW0603150RFKEA" TargetMode="External"/><Relationship Id="rId188" Type="http://schemas.openxmlformats.org/officeDocument/2006/relationships/hyperlink" Target="http://eltweb04.elta.iai/pls/iman_Production/link_to_iman?item_id=D38999/33W19N" TargetMode="External"/><Relationship Id="rId311" Type="http://schemas.openxmlformats.org/officeDocument/2006/relationships/hyperlink" Target="mailto:ada@starlight.co.il" TargetMode="External"/><Relationship Id="rId71" Type="http://schemas.openxmlformats.org/officeDocument/2006/relationships/hyperlink" Target="http://eltweb04.elta.iai/pls/iman_Production/link_to_iman?item_id=1099M232-001" TargetMode="External"/><Relationship Id="rId92" Type="http://schemas.openxmlformats.org/officeDocument/2006/relationships/hyperlink" Target="http://eltweb04.elta.iai/pls/iman_Production/link_to_iman?item_id=1099M321-001" TargetMode="External"/><Relationship Id="rId213" Type="http://schemas.openxmlformats.org/officeDocument/2006/relationships/hyperlink" Target="http://eltweb04.elta.iai/pls/iman_Production/link_to_iman?item_id=LOCTITE%20222-10CC" TargetMode="External"/><Relationship Id="rId234" Type="http://schemas.openxmlformats.org/officeDocument/2006/relationships/hyperlink" Target="http://eltweb04.elta.iai/pls/iman_Production/link_to_iman?item_id=MS24693-C3" TargetMode="External"/><Relationship Id="rId2" Type="http://schemas.openxmlformats.org/officeDocument/2006/relationships/hyperlink" Target="http://eltweb04.elta.iai/pls/iman_Production/link_to_iman?item_id=01M110-712-60F02M" TargetMode="External"/><Relationship Id="rId29" Type="http://schemas.openxmlformats.org/officeDocument/2006/relationships/hyperlink" Target="http://eltweb04.elta.iai/pls/iman_Production/link_to_iman?item_id=1038H564-001" TargetMode="External"/><Relationship Id="rId255" Type="http://schemas.openxmlformats.org/officeDocument/2006/relationships/hyperlink" Target="http://eltweb04.elta.iai/pls/iman_Production/link_to_iman?item_id=NAS1676C4" TargetMode="External"/><Relationship Id="rId276" Type="http://schemas.openxmlformats.org/officeDocument/2006/relationships/hyperlink" Target="http://eltweb04.elta.iai/pls/iman_Production/link_to_iman?item_id=SEAF30-06.5S-10-1-A-K-TR" TargetMode="External"/><Relationship Id="rId297" Type="http://schemas.openxmlformats.org/officeDocument/2006/relationships/hyperlink" Target="mailto:anat@elbatech.co.il" TargetMode="External"/><Relationship Id="rId40" Type="http://schemas.openxmlformats.org/officeDocument/2006/relationships/hyperlink" Target="http://eltweb04.elta.iai/pls/iman_Production/link_to_iman?item_id=1094R482-001" TargetMode="External"/><Relationship Id="rId115" Type="http://schemas.openxmlformats.org/officeDocument/2006/relationships/hyperlink" Target="http://eltweb04.elta.iai/pls/iman_Production/link_to_iman?item_id=19S11T-40ML5" TargetMode="External"/><Relationship Id="rId136" Type="http://schemas.openxmlformats.org/officeDocument/2006/relationships/hyperlink" Target="http://eltweb04.elta.iai/pls/iman_Production/link_to_iman?item_id=ATC100A100JW150XTV" TargetMode="External"/><Relationship Id="rId157" Type="http://schemas.openxmlformats.org/officeDocument/2006/relationships/hyperlink" Target="http://eltweb04.elta.iai/pls/iman_Production/link_to_iman?item_id=CRCW04021K00FKED" TargetMode="External"/><Relationship Id="rId178" Type="http://schemas.openxmlformats.org/officeDocument/2006/relationships/hyperlink" Target="http://eltweb04.elta.iai/pls/iman_Production/link_to_iman?item_id=CRCW060382R5FKEA" TargetMode="External"/><Relationship Id="rId301" Type="http://schemas.openxmlformats.org/officeDocument/2006/relationships/hyperlink" Target="mailto:MICHAEL@AVDOR.COM" TargetMode="External"/><Relationship Id="rId61" Type="http://schemas.openxmlformats.org/officeDocument/2006/relationships/hyperlink" Target="http://eltweb04.elta.iai/pls/iman_Production/link_to_iman?item_id=1097A510-001" TargetMode="External"/><Relationship Id="rId82" Type="http://schemas.openxmlformats.org/officeDocument/2006/relationships/hyperlink" Target="http://eltweb04.elta.iai/pls/iman_Production/link_to_iman?item_id=1099M256-001" TargetMode="External"/><Relationship Id="rId199" Type="http://schemas.openxmlformats.org/officeDocument/2006/relationships/hyperlink" Target="http://eltweb04.elta.iai/pls/iman_Production/link_to_iman?item_id=GRM155R71C104KA88D" TargetMode="External"/><Relationship Id="rId203" Type="http://schemas.openxmlformats.org/officeDocument/2006/relationships/hyperlink" Target="http://eltweb04.elta.iai/pls/iman_Production/link_to_iman?item_id=HMC284AMS8GETR" TargetMode="External"/><Relationship Id="rId19" Type="http://schemas.openxmlformats.org/officeDocument/2006/relationships/hyperlink" Target="http://eltweb04.elta.iai/pls/iman_Production/link_to_iman?item_id=1038B611-001" TargetMode="External"/><Relationship Id="rId224" Type="http://schemas.openxmlformats.org/officeDocument/2006/relationships/hyperlink" Target="http://eltweb04.elta.iai/pls/iman_Production/link_to_iman?item_id=MI0603J601R-10" TargetMode="External"/><Relationship Id="rId245" Type="http://schemas.openxmlformats.org/officeDocument/2006/relationships/hyperlink" Target="http://eltweb04.elta.iai/pls/iman_Production/link_to_iman?item_id=MS51957-15" TargetMode="External"/><Relationship Id="rId266" Type="http://schemas.openxmlformats.org/officeDocument/2006/relationships/hyperlink" Target="http://eltweb04.elta.iai/pls/iman_Production/link_to_iman?item_id=NFL18ZT507H1A3D" TargetMode="External"/><Relationship Id="rId287" Type="http://schemas.openxmlformats.org/officeDocument/2006/relationships/hyperlink" Target="http://eltweb04.elta.iai/pls/iman_Production/link_to_iman?item_id=TRM-2090-MC-SMA-02" TargetMode="External"/><Relationship Id="rId30" Type="http://schemas.openxmlformats.org/officeDocument/2006/relationships/hyperlink" Target="http://eltweb04.elta.iai/pls/iman_Production/link_to_iman?item_id=1038H565-001" TargetMode="External"/><Relationship Id="rId105" Type="http://schemas.openxmlformats.org/officeDocument/2006/relationships/hyperlink" Target="http://eltweb04.elta.iai/pls/iman_Production/link_to_iman?item_id=1099M371-001" TargetMode="External"/><Relationship Id="rId126" Type="http://schemas.openxmlformats.org/officeDocument/2006/relationships/hyperlink" Target="http://eltweb04.elta.iai/pls/iman_Production/link_to_iman?item_id=597D227X0020R2T" TargetMode="External"/><Relationship Id="rId147" Type="http://schemas.openxmlformats.org/officeDocument/2006/relationships/hyperlink" Target="http://eltweb04.elta.iai/pls/iman_Production/link_to_iman?item_id=C0805C475K4RAC7025" TargetMode="External"/><Relationship Id="rId168" Type="http://schemas.openxmlformats.org/officeDocument/2006/relationships/hyperlink" Target="http://eltweb04.elta.iai/pls/iman_Production/link_to_iman?item_id=CRCW06031K00FKEA" TargetMode="External"/><Relationship Id="rId312" Type="http://schemas.openxmlformats.org/officeDocument/2006/relationships/hyperlink" Target="mailto:ada@starlight.co.il" TargetMode="External"/><Relationship Id="rId51" Type="http://schemas.openxmlformats.org/officeDocument/2006/relationships/hyperlink" Target="http://eltweb04.elta.iai/pls/iman_Production/link_to_iman?item_id=1096D934-002" TargetMode="External"/><Relationship Id="rId72" Type="http://schemas.openxmlformats.org/officeDocument/2006/relationships/hyperlink" Target="http://eltweb04.elta.iai/pls/iman_Production/link_to_iman?item_id=1099M233-001" TargetMode="External"/><Relationship Id="rId93" Type="http://schemas.openxmlformats.org/officeDocument/2006/relationships/hyperlink" Target="http://eltweb04.elta.iai/pls/iman_Production/link_to_iman?item_id=1099M334-001" TargetMode="External"/><Relationship Id="rId189" Type="http://schemas.openxmlformats.org/officeDocument/2006/relationships/hyperlink" Target="http://eltweb04.elta.iai/pls/iman_Production/link_to_iman?item_id=D38999/33W21N" TargetMode="External"/><Relationship Id="rId3" Type="http://schemas.openxmlformats.org/officeDocument/2006/relationships/hyperlink" Target="http://eltweb04.elta.iai/pls/iman_Production/link_to_iman?item_id=01M129-545-01M129" TargetMode="External"/><Relationship Id="rId214" Type="http://schemas.openxmlformats.org/officeDocument/2006/relationships/hyperlink" Target="http://eltweb04.elta.iai/pls/iman_Production/link_to_iman?item_id=LOCTITE%20222-50CC" TargetMode="External"/><Relationship Id="rId235" Type="http://schemas.openxmlformats.org/officeDocument/2006/relationships/hyperlink" Target="http://eltweb04.elta.iai/pls/iman_Production/link_to_iman?item_id=MS24693-C4" TargetMode="External"/><Relationship Id="rId256" Type="http://schemas.openxmlformats.org/officeDocument/2006/relationships/hyperlink" Target="http://eltweb04.elta.iai/pls/iman_Production/link_to_iman?item_id=NAS1676C6" TargetMode="External"/><Relationship Id="rId277" Type="http://schemas.openxmlformats.org/officeDocument/2006/relationships/hyperlink" Target="http://eltweb04.elta.iai/pls/iman_Production/link_to_iman?item_id=SEAM30-03.5S-10-1-A-K-TR" TargetMode="External"/><Relationship Id="rId298" Type="http://schemas.openxmlformats.org/officeDocument/2006/relationships/hyperlink" Target="mailto:ALON.SAGIV@ARROW.COM" TargetMode="External"/><Relationship Id="rId116" Type="http://schemas.openxmlformats.org/officeDocument/2006/relationships/hyperlink" Target="http://eltweb04.elta.iai/pls/iman_Production/link_to_iman?item_id=20-41111" TargetMode="External"/><Relationship Id="rId137" Type="http://schemas.openxmlformats.org/officeDocument/2006/relationships/hyperlink" Target="http://eltweb04.elta.iai/pls/iman_Production/link_to_iman?item_id=BLM15EG221SN1D" TargetMode="External"/><Relationship Id="rId158" Type="http://schemas.openxmlformats.org/officeDocument/2006/relationships/hyperlink" Target="http://eltweb04.elta.iai/pls/iman_Production/link_to_iman?item_id=CRCW04021M00FKED" TargetMode="External"/><Relationship Id="rId302" Type="http://schemas.openxmlformats.org/officeDocument/2006/relationships/hyperlink" Target="mailto:MICHAEL@AVDOR.COM" TargetMode="External"/><Relationship Id="rId20" Type="http://schemas.openxmlformats.org/officeDocument/2006/relationships/hyperlink" Target="http://eltweb04.elta.iai/pls/iman_Production/link_to_iman?item_id=1038B801-001" TargetMode="External"/><Relationship Id="rId41" Type="http://schemas.openxmlformats.org/officeDocument/2006/relationships/hyperlink" Target="http://eltweb04.elta.iai/pls/iman_Production/link_to_iman?item_id=1094T791-001" TargetMode="External"/><Relationship Id="rId62" Type="http://schemas.openxmlformats.org/officeDocument/2006/relationships/hyperlink" Target="http://eltweb04.elta.iai/pls/iman_Production/link_to_iman?item_id=1097U041-001" TargetMode="External"/><Relationship Id="rId83" Type="http://schemas.openxmlformats.org/officeDocument/2006/relationships/hyperlink" Target="http://eltweb04.elta.iai/pls/iman_Production/link_to_iman?item_id=1099M269-001" TargetMode="External"/><Relationship Id="rId179" Type="http://schemas.openxmlformats.org/officeDocument/2006/relationships/hyperlink" Target="http://eltweb04.elta.iai/pls/iman_Production/link_to_iman?item_id=CRCW060390K9FKTA" TargetMode="External"/><Relationship Id="rId190" Type="http://schemas.openxmlformats.org/officeDocument/2006/relationships/hyperlink" Target="http://eltweb04.elta.iai/pls/iman_Production/link_to_iman?item_id=D791639-8/10-B" TargetMode="External"/><Relationship Id="rId204" Type="http://schemas.openxmlformats.org/officeDocument/2006/relationships/hyperlink" Target="http://eltweb04.elta.iai/pls/iman_Production/link_to_iman?item_id=HMC326MS8GETR" TargetMode="External"/><Relationship Id="rId225" Type="http://schemas.openxmlformats.org/officeDocument/2006/relationships/hyperlink" Target="http://eltweb04.elta.iai/pls/iman_Production/link_to_iman?item_id=MM3Z3V3T1G" TargetMode="External"/><Relationship Id="rId246" Type="http://schemas.openxmlformats.org/officeDocument/2006/relationships/hyperlink" Target="http://eltweb04.elta.iai/pls/iman_Production/link_to_iman?item_id=MS51957-28" TargetMode="External"/><Relationship Id="rId267" Type="http://schemas.openxmlformats.org/officeDocument/2006/relationships/hyperlink" Target="http://eltweb04.elta.iai/pls/iman_Production/link_to_iman?item_id=NGC-1206CS50R0G" TargetMode="External"/><Relationship Id="rId288" Type="http://schemas.openxmlformats.org/officeDocument/2006/relationships/hyperlink" Target="http://eltweb04.elta.iai/pls/iman_Production/link_to_iman?item_id=TS0300S" TargetMode="External"/><Relationship Id="rId106" Type="http://schemas.openxmlformats.org/officeDocument/2006/relationships/hyperlink" Target="http://eltweb04.elta.iai/pls/iman_Production/link_to_iman?item_id=1099R700-001" TargetMode="External"/><Relationship Id="rId127" Type="http://schemas.openxmlformats.org/officeDocument/2006/relationships/hyperlink" Target="http://eltweb04.elta.iai/pls/iman_Production/link_to_iman?item_id=597D476X9050Z2T" TargetMode="External"/><Relationship Id="rId313" Type="http://schemas.openxmlformats.org/officeDocument/2006/relationships/hyperlink" Target="mailto:YAELTECH@ZAHAV.NET.IL" TargetMode="External"/><Relationship Id="rId10" Type="http://schemas.openxmlformats.org/officeDocument/2006/relationships/hyperlink" Target="http://eltweb04.elta.iai/pls/iman_Production/link_to_iman?item_id=0440001.WR" TargetMode="External"/><Relationship Id="rId31" Type="http://schemas.openxmlformats.org/officeDocument/2006/relationships/hyperlink" Target="http://eltweb04.elta.iai/pls/iman_Production/link_to_iman?item_id=1039H771-001" TargetMode="External"/><Relationship Id="rId52" Type="http://schemas.openxmlformats.org/officeDocument/2006/relationships/hyperlink" Target="http://eltweb04.elta.iai/pls/iman_Production/link_to_iman?item_id=1096H331-001" TargetMode="External"/><Relationship Id="rId73" Type="http://schemas.openxmlformats.org/officeDocument/2006/relationships/hyperlink" Target="http://eltweb04.elta.iai/pls/iman_Production/link_to_iman?item_id=1099M234-001" TargetMode="External"/><Relationship Id="rId94" Type="http://schemas.openxmlformats.org/officeDocument/2006/relationships/hyperlink" Target="http://eltweb04.elta.iai/pls/iman_Production/link_to_iman?item_id=1099M335-001" TargetMode="External"/><Relationship Id="rId148" Type="http://schemas.openxmlformats.org/officeDocument/2006/relationships/hyperlink" Target="http://eltweb04.elta.iai/pls/iman_Production/link_to_iman?item_id=C10-218" TargetMode="External"/><Relationship Id="rId169" Type="http://schemas.openxmlformats.org/officeDocument/2006/relationships/hyperlink" Target="http://eltweb04.elta.iai/pls/iman_Production/link_to_iman?item_id=CRCW06031K33FKEA" TargetMode="External"/><Relationship Id="rId4" Type="http://schemas.openxmlformats.org/officeDocument/2006/relationships/hyperlink" Target="http://eltweb04.elta.iai/pls/iman_Production/link_to_iman?item_id=01M129-75.8-01M110" TargetMode="External"/><Relationship Id="rId180" Type="http://schemas.openxmlformats.org/officeDocument/2006/relationships/hyperlink" Target="http://eltweb04.elta.iai/pls/iman_Production/link_to_iman?item_id=CRCW080512K1FKTA" TargetMode="External"/><Relationship Id="rId215" Type="http://schemas.openxmlformats.org/officeDocument/2006/relationships/hyperlink" Target="http://eltweb04.elta.iai/pls/iman_Production/link_to_iman?item_id=LQW15AN10NG00D" TargetMode="External"/><Relationship Id="rId236" Type="http://schemas.openxmlformats.org/officeDocument/2006/relationships/hyperlink" Target="http://eltweb04.elta.iai/pls/iman_Production/link_to_iman?item_id=MS24693-C7" TargetMode="External"/><Relationship Id="rId257" Type="http://schemas.openxmlformats.org/officeDocument/2006/relationships/hyperlink" Target="http://eltweb04.elta.iai/pls/iman_Production/link_to_iman?item_id=NAS620C2" TargetMode="External"/><Relationship Id="rId278" Type="http://schemas.openxmlformats.org/officeDocument/2006/relationships/hyperlink" Target="http://eltweb04.elta.iai/pls/iman_Production/link_to_iman?item_id=SI7252DP-T1-GE3" TargetMode="External"/><Relationship Id="rId303" Type="http://schemas.openxmlformats.org/officeDocument/2006/relationships/hyperlink" Target="mailto:matan.zeituni1@incora.com" TargetMode="External"/><Relationship Id="rId42" Type="http://schemas.openxmlformats.org/officeDocument/2006/relationships/hyperlink" Target="http://eltweb04.elta.iai/pls/iman_Production/link_to_iman?item_id=1094V044-001" TargetMode="External"/><Relationship Id="rId84" Type="http://schemas.openxmlformats.org/officeDocument/2006/relationships/hyperlink" Target="http://eltweb04.elta.iai/pls/iman_Production/link_to_iman?item_id=1099M273-002" TargetMode="External"/><Relationship Id="rId138" Type="http://schemas.openxmlformats.org/officeDocument/2006/relationships/hyperlink" Target="http://eltweb04.elta.iai/pls/iman_Production/link_to_iman?item_id=BLM18SG260TN1D" TargetMode="External"/><Relationship Id="rId191" Type="http://schemas.openxmlformats.org/officeDocument/2006/relationships/hyperlink" Target="http://eltweb04.elta.iai/pls/iman_Production/link_to_iman?item_id=DC4" TargetMode="External"/><Relationship Id="rId205" Type="http://schemas.openxmlformats.org/officeDocument/2006/relationships/hyperlink" Target="http://eltweb04.elta.iai/pls/iman_Production/link_to_iman?item_id=HMC536MS8GE" TargetMode="External"/><Relationship Id="rId247" Type="http://schemas.openxmlformats.org/officeDocument/2006/relationships/hyperlink" Target="http://eltweb04.elta.iai/pls/iman_Production/link_to_iman?item_id=MS51957-29" TargetMode="External"/><Relationship Id="rId107" Type="http://schemas.openxmlformats.org/officeDocument/2006/relationships/hyperlink" Target="http://eltweb04.elta.iai/pls/iman_Production/link_to_iman?item_id=1099R709-001" TargetMode="External"/><Relationship Id="rId289" Type="http://schemas.openxmlformats.org/officeDocument/2006/relationships/hyperlink" Target="http://eltweb04.elta.iai/pls/iman_Production/link_to_iman?item_id=TS0302W3" TargetMode="External"/><Relationship Id="rId11" Type="http://schemas.openxmlformats.org/officeDocument/2006/relationships/hyperlink" Target="http://eltweb04.elta.iai/pls/iman_Production/link_to_iman?item_id=0466002.NRHF" TargetMode="External"/><Relationship Id="rId53" Type="http://schemas.openxmlformats.org/officeDocument/2006/relationships/hyperlink" Target="http://eltweb04.elta.iai/pls/iman_Production/link_to_iman?item_id=1096M279-001" TargetMode="External"/><Relationship Id="rId149" Type="http://schemas.openxmlformats.org/officeDocument/2006/relationships/hyperlink" Target="http://eltweb04.elta.iai/pls/iman_Production/link_to_iman?item_id=C1210C106K5RACTU" TargetMode="External"/><Relationship Id="rId314" Type="http://schemas.openxmlformats.org/officeDocument/2006/relationships/hyperlink" Target="mailto:israelw@rfmw.com" TargetMode="External"/><Relationship Id="rId95" Type="http://schemas.openxmlformats.org/officeDocument/2006/relationships/hyperlink" Target="http://eltweb04.elta.iai/pls/iman_Production/link_to_iman?item_id=1099M336-001" TargetMode="External"/><Relationship Id="rId160" Type="http://schemas.openxmlformats.org/officeDocument/2006/relationships/hyperlink" Target="http://eltweb04.elta.iai/pls/iman_Production/link_to_iman?item_id=CRCW040224R3FKED" TargetMode="External"/><Relationship Id="rId216" Type="http://schemas.openxmlformats.org/officeDocument/2006/relationships/hyperlink" Target="http://eltweb04.elta.iai/pls/iman_Production/link_to_iman?item_id=LQW15AN5N8B00D" TargetMode="External"/><Relationship Id="rId258" Type="http://schemas.openxmlformats.org/officeDocument/2006/relationships/hyperlink" Target="http://eltweb04.elta.iai/pls/iman_Production/link_to_iman?item_id=NAS620C4" TargetMode="External"/><Relationship Id="rId22" Type="http://schemas.openxmlformats.org/officeDocument/2006/relationships/hyperlink" Target="http://eltweb04.elta.iai/pls/iman_Production/link_to_iman?item_id=1038B851-001" TargetMode="External"/><Relationship Id="rId64" Type="http://schemas.openxmlformats.org/officeDocument/2006/relationships/hyperlink" Target="http://eltweb04.elta.iai/pls/iman_Production/link_to_iman?item_id=1099M222-001" TargetMode="External"/><Relationship Id="rId118" Type="http://schemas.openxmlformats.org/officeDocument/2006/relationships/hyperlink" Target="http://eltweb04.elta.iai/pls/iman_Production/link_to_iman?item_id=242%2050CC" TargetMode="External"/><Relationship Id="rId171" Type="http://schemas.openxmlformats.org/officeDocument/2006/relationships/hyperlink" Target="http://eltweb04.elta.iai/pls/iman_Production/link_to_iman?item_id=CRCW060324R9FKEA" TargetMode="External"/><Relationship Id="rId227" Type="http://schemas.openxmlformats.org/officeDocument/2006/relationships/hyperlink" Target="http://eltweb04.elta.iai/pls/iman_Production/link_to_iman?item_id=MMBD4148-7-F" TargetMode="External"/><Relationship Id="rId269" Type="http://schemas.openxmlformats.org/officeDocument/2006/relationships/hyperlink" Target="http://eltweb04.elta.iai/pls/iman_Production/link_to_iman?item_id=PLT1M-M" TargetMode="External"/><Relationship Id="rId33" Type="http://schemas.openxmlformats.org/officeDocument/2006/relationships/hyperlink" Target="http://eltweb04.elta.iai/pls/iman_Production/link_to_iman?item_id=1093J357-001" TargetMode="External"/><Relationship Id="rId129" Type="http://schemas.openxmlformats.org/officeDocument/2006/relationships/hyperlink" Target="http://eltweb04.elta.iai/pls/iman_Production/link_to_iman?item_id=74ACT04SCX" TargetMode="External"/><Relationship Id="rId280" Type="http://schemas.openxmlformats.org/officeDocument/2006/relationships/hyperlink" Target="http://eltweb04.elta.iai/pls/iman_Production/link_to_iman?item_id=SMBJ5.0AE3/52" TargetMode="External"/><Relationship Id="rId75" Type="http://schemas.openxmlformats.org/officeDocument/2006/relationships/hyperlink" Target="http://eltweb04.elta.iai/pls/iman_Production/link_to_iman?item_id=1099M236-001" TargetMode="External"/><Relationship Id="rId140" Type="http://schemas.openxmlformats.org/officeDocument/2006/relationships/hyperlink" Target="http://eltweb04.elta.iai/pls/iman_Production/link_to_iman?item_id=C0402C100C5GAC7867" TargetMode="External"/><Relationship Id="rId182" Type="http://schemas.openxmlformats.org/officeDocument/2006/relationships/hyperlink" Target="http://eltweb04.elta.iai/pls/iman_Production/link_to_iman?item_id=CRCW12060000ZSEA" TargetMode="External"/><Relationship Id="rId6" Type="http://schemas.openxmlformats.org/officeDocument/2006/relationships/hyperlink" Target="http://eltweb04.elta.iai/pls/iman_Production/link_to_iman?item_id=0200090" TargetMode="External"/><Relationship Id="rId238" Type="http://schemas.openxmlformats.org/officeDocument/2006/relationships/hyperlink" Target="http://eltweb04.elta.iai/pls/iman_Production/link_to_iman?item_id=MS35338-134" TargetMode="External"/><Relationship Id="rId291" Type="http://schemas.openxmlformats.org/officeDocument/2006/relationships/hyperlink" Target="http://eltweb04.elta.iai/pls/iman_Production/link_to_iman?item_id=TS0312W3" TargetMode="External"/><Relationship Id="rId305" Type="http://schemas.openxmlformats.org/officeDocument/2006/relationships/hyperlink" Target="mailto:ada@starlight.co.il" TargetMode="External"/><Relationship Id="rId44" Type="http://schemas.openxmlformats.org/officeDocument/2006/relationships/hyperlink" Target="http://eltweb04.elta.iai/pls/iman_Production/link_to_iman?item_id=1094V798-001" TargetMode="External"/><Relationship Id="rId86" Type="http://schemas.openxmlformats.org/officeDocument/2006/relationships/hyperlink" Target="http://eltweb04.elta.iai/pls/iman_Production/link_to_iman?item_id=1099M311-002" TargetMode="External"/><Relationship Id="rId151" Type="http://schemas.openxmlformats.org/officeDocument/2006/relationships/hyperlink" Target="http://eltweb04.elta.iai/pls/iman_Production/link_to_iman?item_id=CL05B104KP5NNNC" TargetMode="External"/><Relationship Id="rId193" Type="http://schemas.openxmlformats.org/officeDocument/2006/relationships/hyperlink" Target="http://eltweb04.elta.iai/pls/iman_Production/link_to_iman?item_id=EA9394-KT1QT" TargetMode="External"/><Relationship Id="rId207" Type="http://schemas.openxmlformats.org/officeDocument/2006/relationships/hyperlink" Target="http://eltweb04.elta.iai/pls/iman_Production/link_to_iman?item_id=HSMS-C680" TargetMode="External"/><Relationship Id="rId249" Type="http://schemas.openxmlformats.org/officeDocument/2006/relationships/hyperlink" Target="http://eltweb04.elta.iai/pls/iman_Production/link_to_iman?item_id=MS51957-31" TargetMode="External"/><Relationship Id="rId13" Type="http://schemas.openxmlformats.org/officeDocument/2006/relationships/hyperlink" Target="http://eltweb04.elta.iai/pls/iman_Production/link_to_iman?item_id=0505P4R7BW151XTV" TargetMode="External"/><Relationship Id="rId109" Type="http://schemas.openxmlformats.org/officeDocument/2006/relationships/hyperlink" Target="http://eltweb04.elta.iai/pls/iman_Production/link_to_iman?item_id=1099R726-001" TargetMode="External"/><Relationship Id="rId260" Type="http://schemas.openxmlformats.org/officeDocument/2006/relationships/hyperlink" Target="http://eltweb04.elta.iai/pls/iman_Production/link_to_iman?item_id=NAS620C6" TargetMode="External"/><Relationship Id="rId316" Type="http://schemas.openxmlformats.org/officeDocument/2006/relationships/hyperlink" Target="mailto:riki.ben.yoram@eb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34C2-2538-4A18-A82E-3FDE31B7E8D5}">
  <dimension ref="A1:DD320"/>
  <sheetViews>
    <sheetView tabSelected="1" topLeftCell="A2" zoomScale="70" zoomScaleNormal="70" workbookViewId="0">
      <pane xSplit="4" topLeftCell="BG1" activePane="topRight" state="frozen"/>
      <selection pane="topRight" activeCell="BK20" sqref="BK20"/>
    </sheetView>
  </sheetViews>
  <sheetFormatPr defaultRowHeight="12.75" x14ac:dyDescent="0.2"/>
  <cols>
    <col min="1" max="1" width="6.5703125" style="1" bestFit="1" customWidth="1"/>
    <col min="2" max="2" width="31.85546875" style="1" bestFit="1" customWidth="1"/>
    <col min="3" max="3" width="9.42578125" style="1" bestFit="1" customWidth="1"/>
    <col min="4" max="4" width="14.28515625" style="1" bestFit="1" customWidth="1"/>
    <col min="5" max="5" width="14.28515625" style="1" customWidth="1"/>
    <col min="6" max="6" width="61.5703125" style="1" customWidth="1"/>
    <col min="7" max="7" width="9.85546875" style="1" customWidth="1"/>
    <col min="8" max="26" width="14.85546875" style="1" customWidth="1"/>
    <col min="27" max="27" width="18.5703125" style="1" bestFit="1" customWidth="1"/>
    <col min="28" max="28" width="41.140625" style="1" customWidth="1"/>
    <col min="29" max="29" width="11.7109375" style="1" customWidth="1"/>
    <col min="30" max="30" width="12.85546875" style="1" bestFit="1" customWidth="1"/>
    <col min="31" max="33" width="9.140625" style="1"/>
    <col min="34" max="34" width="6" style="1" bestFit="1" customWidth="1"/>
    <col min="35" max="35" width="13.28515625" style="1" bestFit="1" customWidth="1"/>
    <col min="36" max="36" width="15" style="1" customWidth="1"/>
    <col min="37" max="37" width="31.140625" style="1" bestFit="1" customWidth="1"/>
    <col min="38" max="38" width="21.7109375" style="1" bestFit="1" customWidth="1"/>
    <col min="39" max="39" width="22.140625" style="1" customWidth="1"/>
    <col min="40" max="40" width="39.7109375" style="1" bestFit="1" customWidth="1"/>
    <col min="41" max="41" width="52.85546875" style="1" bestFit="1" customWidth="1"/>
    <col min="42" max="42" width="9.140625" style="1"/>
    <col min="43" max="43" width="9.7109375" style="1" bestFit="1" customWidth="1"/>
    <col min="44" max="65" width="9.140625" style="1"/>
    <col min="66" max="66" width="9.7109375" style="1" bestFit="1" customWidth="1"/>
    <col min="67" max="271" width="9.140625" style="1"/>
    <col min="272" max="272" width="6.5703125" style="1" bestFit="1" customWidth="1"/>
    <col min="273" max="273" width="31.85546875" style="1" bestFit="1" customWidth="1"/>
    <col min="274" max="274" width="9.42578125" style="1" bestFit="1" customWidth="1"/>
    <col min="275" max="275" width="14.28515625" style="1" bestFit="1" customWidth="1"/>
    <col min="276" max="276" width="61.5703125" style="1" customWidth="1"/>
    <col min="277" max="277" width="9.85546875" style="1" bestFit="1" customWidth="1"/>
    <col min="278" max="279" width="14.85546875" style="1" bestFit="1" customWidth="1"/>
    <col min="280" max="303" width="14.85546875" style="1" customWidth="1"/>
    <col min="304" max="304" width="18.5703125" style="1" bestFit="1" customWidth="1"/>
    <col min="305" max="305" width="18.5703125" style="1" customWidth="1"/>
    <col min="306" max="527" width="9.140625" style="1"/>
    <col min="528" max="528" width="6.5703125" style="1" bestFit="1" customWidth="1"/>
    <col min="529" max="529" width="31.85546875" style="1" bestFit="1" customWidth="1"/>
    <col min="530" max="530" width="9.42578125" style="1" bestFit="1" customWidth="1"/>
    <col min="531" max="531" width="14.28515625" style="1" bestFit="1" customWidth="1"/>
    <col min="532" max="532" width="61.5703125" style="1" customWidth="1"/>
    <col min="533" max="533" width="9.85546875" style="1" bestFit="1" customWidth="1"/>
    <col min="534" max="535" width="14.85546875" style="1" bestFit="1" customWidth="1"/>
    <col min="536" max="559" width="14.85546875" style="1" customWidth="1"/>
    <col min="560" max="560" width="18.5703125" style="1" bestFit="1" customWidth="1"/>
    <col min="561" max="561" width="18.5703125" style="1" customWidth="1"/>
    <col min="562" max="783" width="9.140625" style="1"/>
    <col min="784" max="784" width="6.5703125" style="1" bestFit="1" customWidth="1"/>
    <col min="785" max="785" width="31.85546875" style="1" bestFit="1" customWidth="1"/>
    <col min="786" max="786" width="9.42578125" style="1" bestFit="1" customWidth="1"/>
    <col min="787" max="787" width="14.28515625" style="1" bestFit="1" customWidth="1"/>
    <col min="788" max="788" width="61.5703125" style="1" customWidth="1"/>
    <col min="789" max="789" width="9.85546875" style="1" bestFit="1" customWidth="1"/>
    <col min="790" max="791" width="14.85546875" style="1" bestFit="1" customWidth="1"/>
    <col min="792" max="815" width="14.85546875" style="1" customWidth="1"/>
    <col min="816" max="816" width="18.5703125" style="1" bestFit="1" customWidth="1"/>
    <col min="817" max="817" width="18.5703125" style="1" customWidth="1"/>
    <col min="818" max="1039" width="9.140625" style="1"/>
    <col min="1040" max="1040" width="6.5703125" style="1" bestFit="1" customWidth="1"/>
    <col min="1041" max="1041" width="31.85546875" style="1" bestFit="1" customWidth="1"/>
    <col min="1042" max="1042" width="9.42578125" style="1" bestFit="1" customWidth="1"/>
    <col min="1043" max="1043" width="14.28515625" style="1" bestFit="1" customWidth="1"/>
    <col min="1044" max="1044" width="61.5703125" style="1" customWidth="1"/>
    <col min="1045" max="1045" width="9.85546875" style="1" bestFit="1" customWidth="1"/>
    <col min="1046" max="1047" width="14.85546875" style="1" bestFit="1" customWidth="1"/>
    <col min="1048" max="1071" width="14.85546875" style="1" customWidth="1"/>
    <col min="1072" max="1072" width="18.5703125" style="1" bestFit="1" customWidth="1"/>
    <col min="1073" max="1073" width="18.5703125" style="1" customWidth="1"/>
    <col min="1074" max="1295" width="9.140625" style="1"/>
    <col min="1296" max="1296" width="6.5703125" style="1" bestFit="1" customWidth="1"/>
    <col min="1297" max="1297" width="31.85546875" style="1" bestFit="1" customWidth="1"/>
    <col min="1298" max="1298" width="9.42578125" style="1" bestFit="1" customWidth="1"/>
    <col min="1299" max="1299" width="14.28515625" style="1" bestFit="1" customWidth="1"/>
    <col min="1300" max="1300" width="61.5703125" style="1" customWidth="1"/>
    <col min="1301" max="1301" width="9.85546875" style="1" bestFit="1" customWidth="1"/>
    <col min="1302" max="1303" width="14.85546875" style="1" bestFit="1" customWidth="1"/>
    <col min="1304" max="1327" width="14.85546875" style="1" customWidth="1"/>
    <col min="1328" max="1328" width="18.5703125" style="1" bestFit="1" customWidth="1"/>
    <col min="1329" max="1329" width="18.5703125" style="1" customWidth="1"/>
    <col min="1330" max="1551" width="9.140625" style="1"/>
    <col min="1552" max="1552" width="6.5703125" style="1" bestFit="1" customWidth="1"/>
    <col min="1553" max="1553" width="31.85546875" style="1" bestFit="1" customWidth="1"/>
    <col min="1554" max="1554" width="9.42578125" style="1" bestFit="1" customWidth="1"/>
    <col min="1555" max="1555" width="14.28515625" style="1" bestFit="1" customWidth="1"/>
    <col min="1556" max="1556" width="61.5703125" style="1" customWidth="1"/>
    <col min="1557" max="1557" width="9.85546875" style="1" bestFit="1" customWidth="1"/>
    <col min="1558" max="1559" width="14.85546875" style="1" bestFit="1" customWidth="1"/>
    <col min="1560" max="1583" width="14.85546875" style="1" customWidth="1"/>
    <col min="1584" max="1584" width="18.5703125" style="1" bestFit="1" customWidth="1"/>
    <col min="1585" max="1585" width="18.5703125" style="1" customWidth="1"/>
    <col min="1586" max="1807" width="9.140625" style="1"/>
    <col min="1808" max="1808" width="6.5703125" style="1" bestFit="1" customWidth="1"/>
    <col min="1809" max="1809" width="31.85546875" style="1" bestFit="1" customWidth="1"/>
    <col min="1810" max="1810" width="9.42578125" style="1" bestFit="1" customWidth="1"/>
    <col min="1811" max="1811" width="14.28515625" style="1" bestFit="1" customWidth="1"/>
    <col min="1812" max="1812" width="61.5703125" style="1" customWidth="1"/>
    <col min="1813" max="1813" width="9.85546875" style="1" bestFit="1" customWidth="1"/>
    <col min="1814" max="1815" width="14.85546875" style="1" bestFit="1" customWidth="1"/>
    <col min="1816" max="1839" width="14.85546875" style="1" customWidth="1"/>
    <col min="1840" max="1840" width="18.5703125" style="1" bestFit="1" customWidth="1"/>
    <col min="1841" max="1841" width="18.5703125" style="1" customWidth="1"/>
    <col min="1842" max="2063" width="9.140625" style="1"/>
    <col min="2064" max="2064" width="6.5703125" style="1" bestFit="1" customWidth="1"/>
    <col min="2065" max="2065" width="31.85546875" style="1" bestFit="1" customWidth="1"/>
    <col min="2066" max="2066" width="9.42578125" style="1" bestFit="1" customWidth="1"/>
    <col min="2067" max="2067" width="14.28515625" style="1" bestFit="1" customWidth="1"/>
    <col min="2068" max="2068" width="61.5703125" style="1" customWidth="1"/>
    <col min="2069" max="2069" width="9.85546875" style="1" bestFit="1" customWidth="1"/>
    <col min="2070" max="2071" width="14.85546875" style="1" bestFit="1" customWidth="1"/>
    <col min="2072" max="2095" width="14.85546875" style="1" customWidth="1"/>
    <col min="2096" max="2096" width="18.5703125" style="1" bestFit="1" customWidth="1"/>
    <col min="2097" max="2097" width="18.5703125" style="1" customWidth="1"/>
    <col min="2098" max="2319" width="9.140625" style="1"/>
    <col min="2320" max="2320" width="6.5703125" style="1" bestFit="1" customWidth="1"/>
    <col min="2321" max="2321" width="31.85546875" style="1" bestFit="1" customWidth="1"/>
    <col min="2322" max="2322" width="9.42578125" style="1" bestFit="1" customWidth="1"/>
    <col min="2323" max="2323" width="14.28515625" style="1" bestFit="1" customWidth="1"/>
    <col min="2324" max="2324" width="61.5703125" style="1" customWidth="1"/>
    <col min="2325" max="2325" width="9.85546875" style="1" bestFit="1" customWidth="1"/>
    <col min="2326" max="2327" width="14.85546875" style="1" bestFit="1" customWidth="1"/>
    <col min="2328" max="2351" width="14.85546875" style="1" customWidth="1"/>
    <col min="2352" max="2352" width="18.5703125" style="1" bestFit="1" customWidth="1"/>
    <col min="2353" max="2353" width="18.5703125" style="1" customWidth="1"/>
    <col min="2354" max="2575" width="9.140625" style="1"/>
    <col min="2576" max="2576" width="6.5703125" style="1" bestFit="1" customWidth="1"/>
    <col min="2577" max="2577" width="31.85546875" style="1" bestFit="1" customWidth="1"/>
    <col min="2578" max="2578" width="9.42578125" style="1" bestFit="1" customWidth="1"/>
    <col min="2579" max="2579" width="14.28515625" style="1" bestFit="1" customWidth="1"/>
    <col min="2580" max="2580" width="61.5703125" style="1" customWidth="1"/>
    <col min="2581" max="2581" width="9.85546875" style="1" bestFit="1" customWidth="1"/>
    <col min="2582" max="2583" width="14.85546875" style="1" bestFit="1" customWidth="1"/>
    <col min="2584" max="2607" width="14.85546875" style="1" customWidth="1"/>
    <col min="2608" max="2608" width="18.5703125" style="1" bestFit="1" customWidth="1"/>
    <col min="2609" max="2609" width="18.5703125" style="1" customWidth="1"/>
    <col min="2610" max="2831" width="9.140625" style="1"/>
    <col min="2832" max="2832" width="6.5703125" style="1" bestFit="1" customWidth="1"/>
    <col min="2833" max="2833" width="31.85546875" style="1" bestFit="1" customWidth="1"/>
    <col min="2834" max="2834" width="9.42578125" style="1" bestFit="1" customWidth="1"/>
    <col min="2835" max="2835" width="14.28515625" style="1" bestFit="1" customWidth="1"/>
    <col min="2836" max="2836" width="61.5703125" style="1" customWidth="1"/>
    <col min="2837" max="2837" width="9.85546875" style="1" bestFit="1" customWidth="1"/>
    <col min="2838" max="2839" width="14.85546875" style="1" bestFit="1" customWidth="1"/>
    <col min="2840" max="2863" width="14.85546875" style="1" customWidth="1"/>
    <col min="2864" max="2864" width="18.5703125" style="1" bestFit="1" customWidth="1"/>
    <col min="2865" max="2865" width="18.5703125" style="1" customWidth="1"/>
    <col min="2866" max="3087" width="9.140625" style="1"/>
    <col min="3088" max="3088" width="6.5703125" style="1" bestFit="1" customWidth="1"/>
    <col min="3089" max="3089" width="31.85546875" style="1" bestFit="1" customWidth="1"/>
    <col min="3090" max="3090" width="9.42578125" style="1" bestFit="1" customWidth="1"/>
    <col min="3091" max="3091" width="14.28515625" style="1" bestFit="1" customWidth="1"/>
    <col min="3092" max="3092" width="61.5703125" style="1" customWidth="1"/>
    <col min="3093" max="3093" width="9.85546875" style="1" bestFit="1" customWidth="1"/>
    <col min="3094" max="3095" width="14.85546875" style="1" bestFit="1" customWidth="1"/>
    <col min="3096" max="3119" width="14.85546875" style="1" customWidth="1"/>
    <col min="3120" max="3120" width="18.5703125" style="1" bestFit="1" customWidth="1"/>
    <col min="3121" max="3121" width="18.5703125" style="1" customWidth="1"/>
    <col min="3122" max="3343" width="9.140625" style="1"/>
    <col min="3344" max="3344" width="6.5703125" style="1" bestFit="1" customWidth="1"/>
    <col min="3345" max="3345" width="31.85546875" style="1" bestFit="1" customWidth="1"/>
    <col min="3346" max="3346" width="9.42578125" style="1" bestFit="1" customWidth="1"/>
    <col min="3347" max="3347" width="14.28515625" style="1" bestFit="1" customWidth="1"/>
    <col min="3348" max="3348" width="61.5703125" style="1" customWidth="1"/>
    <col min="3349" max="3349" width="9.85546875" style="1" bestFit="1" customWidth="1"/>
    <col min="3350" max="3351" width="14.85546875" style="1" bestFit="1" customWidth="1"/>
    <col min="3352" max="3375" width="14.85546875" style="1" customWidth="1"/>
    <col min="3376" max="3376" width="18.5703125" style="1" bestFit="1" customWidth="1"/>
    <col min="3377" max="3377" width="18.5703125" style="1" customWidth="1"/>
    <col min="3378" max="3599" width="9.140625" style="1"/>
    <col min="3600" max="3600" width="6.5703125" style="1" bestFit="1" customWidth="1"/>
    <col min="3601" max="3601" width="31.85546875" style="1" bestFit="1" customWidth="1"/>
    <col min="3602" max="3602" width="9.42578125" style="1" bestFit="1" customWidth="1"/>
    <col min="3603" max="3603" width="14.28515625" style="1" bestFit="1" customWidth="1"/>
    <col min="3604" max="3604" width="61.5703125" style="1" customWidth="1"/>
    <col min="3605" max="3605" width="9.85546875" style="1" bestFit="1" customWidth="1"/>
    <col min="3606" max="3607" width="14.85546875" style="1" bestFit="1" customWidth="1"/>
    <col min="3608" max="3631" width="14.85546875" style="1" customWidth="1"/>
    <col min="3632" max="3632" width="18.5703125" style="1" bestFit="1" customWidth="1"/>
    <col min="3633" max="3633" width="18.5703125" style="1" customWidth="1"/>
    <col min="3634" max="3855" width="9.140625" style="1"/>
    <col min="3856" max="3856" width="6.5703125" style="1" bestFit="1" customWidth="1"/>
    <col min="3857" max="3857" width="31.85546875" style="1" bestFit="1" customWidth="1"/>
    <col min="3858" max="3858" width="9.42578125" style="1" bestFit="1" customWidth="1"/>
    <col min="3859" max="3859" width="14.28515625" style="1" bestFit="1" customWidth="1"/>
    <col min="3860" max="3860" width="61.5703125" style="1" customWidth="1"/>
    <col min="3861" max="3861" width="9.85546875" style="1" bestFit="1" customWidth="1"/>
    <col min="3862" max="3863" width="14.85546875" style="1" bestFit="1" customWidth="1"/>
    <col min="3864" max="3887" width="14.85546875" style="1" customWidth="1"/>
    <col min="3888" max="3888" width="18.5703125" style="1" bestFit="1" customWidth="1"/>
    <col min="3889" max="3889" width="18.5703125" style="1" customWidth="1"/>
    <col min="3890" max="4111" width="9.140625" style="1"/>
    <col min="4112" max="4112" width="6.5703125" style="1" bestFit="1" customWidth="1"/>
    <col min="4113" max="4113" width="31.85546875" style="1" bestFit="1" customWidth="1"/>
    <col min="4114" max="4114" width="9.42578125" style="1" bestFit="1" customWidth="1"/>
    <col min="4115" max="4115" width="14.28515625" style="1" bestFit="1" customWidth="1"/>
    <col min="4116" max="4116" width="61.5703125" style="1" customWidth="1"/>
    <col min="4117" max="4117" width="9.85546875" style="1" bestFit="1" customWidth="1"/>
    <col min="4118" max="4119" width="14.85546875" style="1" bestFit="1" customWidth="1"/>
    <col min="4120" max="4143" width="14.85546875" style="1" customWidth="1"/>
    <col min="4144" max="4144" width="18.5703125" style="1" bestFit="1" customWidth="1"/>
    <col min="4145" max="4145" width="18.5703125" style="1" customWidth="1"/>
    <col min="4146" max="4367" width="9.140625" style="1"/>
    <col min="4368" max="4368" width="6.5703125" style="1" bestFit="1" customWidth="1"/>
    <col min="4369" max="4369" width="31.85546875" style="1" bestFit="1" customWidth="1"/>
    <col min="4370" max="4370" width="9.42578125" style="1" bestFit="1" customWidth="1"/>
    <col min="4371" max="4371" width="14.28515625" style="1" bestFit="1" customWidth="1"/>
    <col min="4372" max="4372" width="61.5703125" style="1" customWidth="1"/>
    <col min="4373" max="4373" width="9.85546875" style="1" bestFit="1" customWidth="1"/>
    <col min="4374" max="4375" width="14.85546875" style="1" bestFit="1" customWidth="1"/>
    <col min="4376" max="4399" width="14.85546875" style="1" customWidth="1"/>
    <col min="4400" max="4400" width="18.5703125" style="1" bestFit="1" customWidth="1"/>
    <col min="4401" max="4401" width="18.5703125" style="1" customWidth="1"/>
    <col min="4402" max="4623" width="9.140625" style="1"/>
    <col min="4624" max="4624" width="6.5703125" style="1" bestFit="1" customWidth="1"/>
    <col min="4625" max="4625" width="31.85546875" style="1" bestFit="1" customWidth="1"/>
    <col min="4626" max="4626" width="9.42578125" style="1" bestFit="1" customWidth="1"/>
    <col min="4627" max="4627" width="14.28515625" style="1" bestFit="1" customWidth="1"/>
    <col min="4628" max="4628" width="61.5703125" style="1" customWidth="1"/>
    <col min="4629" max="4629" width="9.85546875" style="1" bestFit="1" customWidth="1"/>
    <col min="4630" max="4631" width="14.85546875" style="1" bestFit="1" customWidth="1"/>
    <col min="4632" max="4655" width="14.85546875" style="1" customWidth="1"/>
    <col min="4656" max="4656" width="18.5703125" style="1" bestFit="1" customWidth="1"/>
    <col min="4657" max="4657" width="18.5703125" style="1" customWidth="1"/>
    <col min="4658" max="4879" width="9.140625" style="1"/>
    <col min="4880" max="4880" width="6.5703125" style="1" bestFit="1" customWidth="1"/>
    <col min="4881" max="4881" width="31.85546875" style="1" bestFit="1" customWidth="1"/>
    <col min="4882" max="4882" width="9.42578125" style="1" bestFit="1" customWidth="1"/>
    <col min="4883" max="4883" width="14.28515625" style="1" bestFit="1" customWidth="1"/>
    <col min="4884" max="4884" width="61.5703125" style="1" customWidth="1"/>
    <col min="4885" max="4885" width="9.85546875" style="1" bestFit="1" customWidth="1"/>
    <col min="4886" max="4887" width="14.85546875" style="1" bestFit="1" customWidth="1"/>
    <col min="4888" max="4911" width="14.85546875" style="1" customWidth="1"/>
    <col min="4912" max="4912" width="18.5703125" style="1" bestFit="1" customWidth="1"/>
    <col min="4913" max="4913" width="18.5703125" style="1" customWidth="1"/>
    <col min="4914" max="5135" width="9.140625" style="1"/>
    <col min="5136" max="5136" width="6.5703125" style="1" bestFit="1" customWidth="1"/>
    <col min="5137" max="5137" width="31.85546875" style="1" bestFit="1" customWidth="1"/>
    <col min="5138" max="5138" width="9.42578125" style="1" bestFit="1" customWidth="1"/>
    <col min="5139" max="5139" width="14.28515625" style="1" bestFit="1" customWidth="1"/>
    <col min="5140" max="5140" width="61.5703125" style="1" customWidth="1"/>
    <col min="5141" max="5141" width="9.85546875" style="1" bestFit="1" customWidth="1"/>
    <col min="5142" max="5143" width="14.85546875" style="1" bestFit="1" customWidth="1"/>
    <col min="5144" max="5167" width="14.85546875" style="1" customWidth="1"/>
    <col min="5168" max="5168" width="18.5703125" style="1" bestFit="1" customWidth="1"/>
    <col min="5169" max="5169" width="18.5703125" style="1" customWidth="1"/>
    <col min="5170" max="5391" width="9.140625" style="1"/>
    <col min="5392" max="5392" width="6.5703125" style="1" bestFit="1" customWidth="1"/>
    <col min="5393" max="5393" width="31.85546875" style="1" bestFit="1" customWidth="1"/>
    <col min="5394" max="5394" width="9.42578125" style="1" bestFit="1" customWidth="1"/>
    <col min="5395" max="5395" width="14.28515625" style="1" bestFit="1" customWidth="1"/>
    <col min="5396" max="5396" width="61.5703125" style="1" customWidth="1"/>
    <col min="5397" max="5397" width="9.85546875" style="1" bestFit="1" customWidth="1"/>
    <col min="5398" max="5399" width="14.85546875" style="1" bestFit="1" customWidth="1"/>
    <col min="5400" max="5423" width="14.85546875" style="1" customWidth="1"/>
    <col min="5424" max="5424" width="18.5703125" style="1" bestFit="1" customWidth="1"/>
    <col min="5425" max="5425" width="18.5703125" style="1" customWidth="1"/>
    <col min="5426" max="5647" width="9.140625" style="1"/>
    <col min="5648" max="5648" width="6.5703125" style="1" bestFit="1" customWidth="1"/>
    <col min="5649" max="5649" width="31.85546875" style="1" bestFit="1" customWidth="1"/>
    <col min="5650" max="5650" width="9.42578125" style="1" bestFit="1" customWidth="1"/>
    <col min="5651" max="5651" width="14.28515625" style="1" bestFit="1" customWidth="1"/>
    <col min="5652" max="5652" width="61.5703125" style="1" customWidth="1"/>
    <col min="5653" max="5653" width="9.85546875" style="1" bestFit="1" customWidth="1"/>
    <col min="5654" max="5655" width="14.85546875" style="1" bestFit="1" customWidth="1"/>
    <col min="5656" max="5679" width="14.85546875" style="1" customWidth="1"/>
    <col min="5680" max="5680" width="18.5703125" style="1" bestFit="1" customWidth="1"/>
    <col min="5681" max="5681" width="18.5703125" style="1" customWidth="1"/>
    <col min="5682" max="5903" width="9.140625" style="1"/>
    <col min="5904" max="5904" width="6.5703125" style="1" bestFit="1" customWidth="1"/>
    <col min="5905" max="5905" width="31.85546875" style="1" bestFit="1" customWidth="1"/>
    <col min="5906" max="5906" width="9.42578125" style="1" bestFit="1" customWidth="1"/>
    <col min="5907" max="5907" width="14.28515625" style="1" bestFit="1" customWidth="1"/>
    <col min="5908" max="5908" width="61.5703125" style="1" customWidth="1"/>
    <col min="5909" max="5909" width="9.85546875" style="1" bestFit="1" customWidth="1"/>
    <col min="5910" max="5911" width="14.85546875" style="1" bestFit="1" customWidth="1"/>
    <col min="5912" max="5935" width="14.85546875" style="1" customWidth="1"/>
    <col min="5936" max="5936" width="18.5703125" style="1" bestFit="1" customWidth="1"/>
    <col min="5937" max="5937" width="18.5703125" style="1" customWidth="1"/>
    <col min="5938" max="6159" width="9.140625" style="1"/>
    <col min="6160" max="6160" width="6.5703125" style="1" bestFit="1" customWidth="1"/>
    <col min="6161" max="6161" width="31.85546875" style="1" bestFit="1" customWidth="1"/>
    <col min="6162" max="6162" width="9.42578125" style="1" bestFit="1" customWidth="1"/>
    <col min="6163" max="6163" width="14.28515625" style="1" bestFit="1" customWidth="1"/>
    <col min="6164" max="6164" width="61.5703125" style="1" customWidth="1"/>
    <col min="6165" max="6165" width="9.85546875" style="1" bestFit="1" customWidth="1"/>
    <col min="6166" max="6167" width="14.85546875" style="1" bestFit="1" customWidth="1"/>
    <col min="6168" max="6191" width="14.85546875" style="1" customWidth="1"/>
    <col min="6192" max="6192" width="18.5703125" style="1" bestFit="1" customWidth="1"/>
    <col min="6193" max="6193" width="18.5703125" style="1" customWidth="1"/>
    <col min="6194" max="6415" width="9.140625" style="1"/>
    <col min="6416" max="6416" width="6.5703125" style="1" bestFit="1" customWidth="1"/>
    <col min="6417" max="6417" width="31.85546875" style="1" bestFit="1" customWidth="1"/>
    <col min="6418" max="6418" width="9.42578125" style="1" bestFit="1" customWidth="1"/>
    <col min="6419" max="6419" width="14.28515625" style="1" bestFit="1" customWidth="1"/>
    <col min="6420" max="6420" width="61.5703125" style="1" customWidth="1"/>
    <col min="6421" max="6421" width="9.85546875" style="1" bestFit="1" customWidth="1"/>
    <col min="6422" max="6423" width="14.85546875" style="1" bestFit="1" customWidth="1"/>
    <col min="6424" max="6447" width="14.85546875" style="1" customWidth="1"/>
    <col min="6448" max="6448" width="18.5703125" style="1" bestFit="1" customWidth="1"/>
    <col min="6449" max="6449" width="18.5703125" style="1" customWidth="1"/>
    <col min="6450" max="6671" width="9.140625" style="1"/>
    <col min="6672" max="6672" width="6.5703125" style="1" bestFit="1" customWidth="1"/>
    <col min="6673" max="6673" width="31.85546875" style="1" bestFit="1" customWidth="1"/>
    <col min="6674" max="6674" width="9.42578125" style="1" bestFit="1" customWidth="1"/>
    <col min="6675" max="6675" width="14.28515625" style="1" bestFit="1" customWidth="1"/>
    <col min="6676" max="6676" width="61.5703125" style="1" customWidth="1"/>
    <col min="6677" max="6677" width="9.85546875" style="1" bestFit="1" customWidth="1"/>
    <col min="6678" max="6679" width="14.85546875" style="1" bestFit="1" customWidth="1"/>
    <col min="6680" max="6703" width="14.85546875" style="1" customWidth="1"/>
    <col min="6704" max="6704" width="18.5703125" style="1" bestFit="1" customWidth="1"/>
    <col min="6705" max="6705" width="18.5703125" style="1" customWidth="1"/>
    <col min="6706" max="6927" width="9.140625" style="1"/>
    <col min="6928" max="6928" width="6.5703125" style="1" bestFit="1" customWidth="1"/>
    <col min="6929" max="6929" width="31.85546875" style="1" bestFit="1" customWidth="1"/>
    <col min="6930" max="6930" width="9.42578125" style="1" bestFit="1" customWidth="1"/>
    <col min="6931" max="6931" width="14.28515625" style="1" bestFit="1" customWidth="1"/>
    <col min="6932" max="6932" width="61.5703125" style="1" customWidth="1"/>
    <col min="6933" max="6933" width="9.85546875" style="1" bestFit="1" customWidth="1"/>
    <col min="6934" max="6935" width="14.85546875" style="1" bestFit="1" customWidth="1"/>
    <col min="6936" max="6959" width="14.85546875" style="1" customWidth="1"/>
    <col min="6960" max="6960" width="18.5703125" style="1" bestFit="1" customWidth="1"/>
    <col min="6961" max="6961" width="18.5703125" style="1" customWidth="1"/>
    <col min="6962" max="7183" width="9.140625" style="1"/>
    <col min="7184" max="7184" width="6.5703125" style="1" bestFit="1" customWidth="1"/>
    <col min="7185" max="7185" width="31.85546875" style="1" bestFit="1" customWidth="1"/>
    <col min="7186" max="7186" width="9.42578125" style="1" bestFit="1" customWidth="1"/>
    <col min="7187" max="7187" width="14.28515625" style="1" bestFit="1" customWidth="1"/>
    <col min="7188" max="7188" width="61.5703125" style="1" customWidth="1"/>
    <col min="7189" max="7189" width="9.85546875" style="1" bestFit="1" customWidth="1"/>
    <col min="7190" max="7191" width="14.85546875" style="1" bestFit="1" customWidth="1"/>
    <col min="7192" max="7215" width="14.85546875" style="1" customWidth="1"/>
    <col min="7216" max="7216" width="18.5703125" style="1" bestFit="1" customWidth="1"/>
    <col min="7217" max="7217" width="18.5703125" style="1" customWidth="1"/>
    <col min="7218" max="7439" width="9.140625" style="1"/>
    <col min="7440" max="7440" width="6.5703125" style="1" bestFit="1" customWidth="1"/>
    <col min="7441" max="7441" width="31.85546875" style="1" bestFit="1" customWidth="1"/>
    <col min="7442" max="7442" width="9.42578125" style="1" bestFit="1" customWidth="1"/>
    <col min="7443" max="7443" width="14.28515625" style="1" bestFit="1" customWidth="1"/>
    <col min="7444" max="7444" width="61.5703125" style="1" customWidth="1"/>
    <col min="7445" max="7445" width="9.85546875" style="1" bestFit="1" customWidth="1"/>
    <col min="7446" max="7447" width="14.85546875" style="1" bestFit="1" customWidth="1"/>
    <col min="7448" max="7471" width="14.85546875" style="1" customWidth="1"/>
    <col min="7472" max="7472" width="18.5703125" style="1" bestFit="1" customWidth="1"/>
    <col min="7473" max="7473" width="18.5703125" style="1" customWidth="1"/>
    <col min="7474" max="7695" width="9.140625" style="1"/>
    <col min="7696" max="7696" width="6.5703125" style="1" bestFit="1" customWidth="1"/>
    <col min="7697" max="7697" width="31.85546875" style="1" bestFit="1" customWidth="1"/>
    <col min="7698" max="7698" width="9.42578125" style="1" bestFit="1" customWidth="1"/>
    <col min="7699" max="7699" width="14.28515625" style="1" bestFit="1" customWidth="1"/>
    <col min="7700" max="7700" width="61.5703125" style="1" customWidth="1"/>
    <col min="7701" max="7701" width="9.85546875" style="1" bestFit="1" customWidth="1"/>
    <col min="7702" max="7703" width="14.85546875" style="1" bestFit="1" customWidth="1"/>
    <col min="7704" max="7727" width="14.85546875" style="1" customWidth="1"/>
    <col min="7728" max="7728" width="18.5703125" style="1" bestFit="1" customWidth="1"/>
    <col min="7729" max="7729" width="18.5703125" style="1" customWidth="1"/>
    <col min="7730" max="7951" width="9.140625" style="1"/>
    <col min="7952" max="7952" width="6.5703125" style="1" bestFit="1" customWidth="1"/>
    <col min="7953" max="7953" width="31.85546875" style="1" bestFit="1" customWidth="1"/>
    <col min="7954" max="7954" width="9.42578125" style="1" bestFit="1" customWidth="1"/>
    <col min="7955" max="7955" width="14.28515625" style="1" bestFit="1" customWidth="1"/>
    <col min="7956" max="7956" width="61.5703125" style="1" customWidth="1"/>
    <col min="7957" max="7957" width="9.85546875" style="1" bestFit="1" customWidth="1"/>
    <col min="7958" max="7959" width="14.85546875" style="1" bestFit="1" customWidth="1"/>
    <col min="7960" max="7983" width="14.85546875" style="1" customWidth="1"/>
    <col min="7984" max="7984" width="18.5703125" style="1" bestFit="1" customWidth="1"/>
    <col min="7985" max="7985" width="18.5703125" style="1" customWidth="1"/>
    <col min="7986" max="8207" width="9.140625" style="1"/>
    <col min="8208" max="8208" width="6.5703125" style="1" bestFit="1" customWidth="1"/>
    <col min="8209" max="8209" width="31.85546875" style="1" bestFit="1" customWidth="1"/>
    <col min="8210" max="8210" width="9.42578125" style="1" bestFit="1" customWidth="1"/>
    <col min="8211" max="8211" width="14.28515625" style="1" bestFit="1" customWidth="1"/>
    <col min="8212" max="8212" width="61.5703125" style="1" customWidth="1"/>
    <col min="8213" max="8213" width="9.85546875" style="1" bestFit="1" customWidth="1"/>
    <col min="8214" max="8215" width="14.85546875" style="1" bestFit="1" customWidth="1"/>
    <col min="8216" max="8239" width="14.85546875" style="1" customWidth="1"/>
    <col min="8240" max="8240" width="18.5703125" style="1" bestFit="1" customWidth="1"/>
    <col min="8241" max="8241" width="18.5703125" style="1" customWidth="1"/>
    <col min="8242" max="8463" width="9.140625" style="1"/>
    <col min="8464" max="8464" width="6.5703125" style="1" bestFit="1" customWidth="1"/>
    <col min="8465" max="8465" width="31.85546875" style="1" bestFit="1" customWidth="1"/>
    <col min="8466" max="8466" width="9.42578125" style="1" bestFit="1" customWidth="1"/>
    <col min="8467" max="8467" width="14.28515625" style="1" bestFit="1" customWidth="1"/>
    <col min="8468" max="8468" width="61.5703125" style="1" customWidth="1"/>
    <col min="8469" max="8469" width="9.85546875" style="1" bestFit="1" customWidth="1"/>
    <col min="8470" max="8471" width="14.85546875" style="1" bestFit="1" customWidth="1"/>
    <col min="8472" max="8495" width="14.85546875" style="1" customWidth="1"/>
    <col min="8496" max="8496" width="18.5703125" style="1" bestFit="1" customWidth="1"/>
    <col min="8497" max="8497" width="18.5703125" style="1" customWidth="1"/>
    <col min="8498" max="8719" width="9.140625" style="1"/>
    <col min="8720" max="8720" width="6.5703125" style="1" bestFit="1" customWidth="1"/>
    <col min="8721" max="8721" width="31.85546875" style="1" bestFit="1" customWidth="1"/>
    <col min="8722" max="8722" width="9.42578125" style="1" bestFit="1" customWidth="1"/>
    <col min="8723" max="8723" width="14.28515625" style="1" bestFit="1" customWidth="1"/>
    <col min="8724" max="8724" width="61.5703125" style="1" customWidth="1"/>
    <col min="8725" max="8725" width="9.85546875" style="1" bestFit="1" customWidth="1"/>
    <col min="8726" max="8727" width="14.85546875" style="1" bestFit="1" customWidth="1"/>
    <col min="8728" max="8751" width="14.85546875" style="1" customWidth="1"/>
    <col min="8752" max="8752" width="18.5703125" style="1" bestFit="1" customWidth="1"/>
    <col min="8753" max="8753" width="18.5703125" style="1" customWidth="1"/>
    <col min="8754" max="8975" width="9.140625" style="1"/>
    <col min="8976" max="8976" width="6.5703125" style="1" bestFit="1" customWidth="1"/>
    <col min="8977" max="8977" width="31.85546875" style="1" bestFit="1" customWidth="1"/>
    <col min="8978" max="8978" width="9.42578125" style="1" bestFit="1" customWidth="1"/>
    <col min="8979" max="8979" width="14.28515625" style="1" bestFit="1" customWidth="1"/>
    <col min="8980" max="8980" width="61.5703125" style="1" customWidth="1"/>
    <col min="8981" max="8981" width="9.85546875" style="1" bestFit="1" customWidth="1"/>
    <col min="8982" max="8983" width="14.85546875" style="1" bestFit="1" customWidth="1"/>
    <col min="8984" max="9007" width="14.85546875" style="1" customWidth="1"/>
    <col min="9008" max="9008" width="18.5703125" style="1" bestFit="1" customWidth="1"/>
    <col min="9009" max="9009" width="18.5703125" style="1" customWidth="1"/>
    <col min="9010" max="9231" width="9.140625" style="1"/>
    <col min="9232" max="9232" width="6.5703125" style="1" bestFit="1" customWidth="1"/>
    <col min="9233" max="9233" width="31.85546875" style="1" bestFit="1" customWidth="1"/>
    <col min="9234" max="9234" width="9.42578125" style="1" bestFit="1" customWidth="1"/>
    <col min="9235" max="9235" width="14.28515625" style="1" bestFit="1" customWidth="1"/>
    <col min="9236" max="9236" width="61.5703125" style="1" customWidth="1"/>
    <col min="9237" max="9237" width="9.85546875" style="1" bestFit="1" customWidth="1"/>
    <col min="9238" max="9239" width="14.85546875" style="1" bestFit="1" customWidth="1"/>
    <col min="9240" max="9263" width="14.85546875" style="1" customWidth="1"/>
    <col min="9264" max="9264" width="18.5703125" style="1" bestFit="1" customWidth="1"/>
    <col min="9265" max="9265" width="18.5703125" style="1" customWidth="1"/>
    <col min="9266" max="9487" width="9.140625" style="1"/>
    <col min="9488" max="9488" width="6.5703125" style="1" bestFit="1" customWidth="1"/>
    <col min="9489" max="9489" width="31.85546875" style="1" bestFit="1" customWidth="1"/>
    <col min="9490" max="9490" width="9.42578125" style="1" bestFit="1" customWidth="1"/>
    <col min="9491" max="9491" width="14.28515625" style="1" bestFit="1" customWidth="1"/>
    <col min="9492" max="9492" width="61.5703125" style="1" customWidth="1"/>
    <col min="9493" max="9493" width="9.85546875" style="1" bestFit="1" customWidth="1"/>
    <col min="9494" max="9495" width="14.85546875" style="1" bestFit="1" customWidth="1"/>
    <col min="9496" max="9519" width="14.85546875" style="1" customWidth="1"/>
    <col min="9520" max="9520" width="18.5703125" style="1" bestFit="1" customWidth="1"/>
    <col min="9521" max="9521" width="18.5703125" style="1" customWidth="1"/>
    <col min="9522" max="9743" width="9.140625" style="1"/>
    <col min="9744" max="9744" width="6.5703125" style="1" bestFit="1" customWidth="1"/>
    <col min="9745" max="9745" width="31.85546875" style="1" bestFit="1" customWidth="1"/>
    <col min="9746" max="9746" width="9.42578125" style="1" bestFit="1" customWidth="1"/>
    <col min="9747" max="9747" width="14.28515625" style="1" bestFit="1" customWidth="1"/>
    <col min="9748" max="9748" width="61.5703125" style="1" customWidth="1"/>
    <col min="9749" max="9749" width="9.85546875" style="1" bestFit="1" customWidth="1"/>
    <col min="9750" max="9751" width="14.85546875" style="1" bestFit="1" customWidth="1"/>
    <col min="9752" max="9775" width="14.85546875" style="1" customWidth="1"/>
    <col min="9776" max="9776" width="18.5703125" style="1" bestFit="1" customWidth="1"/>
    <col min="9777" max="9777" width="18.5703125" style="1" customWidth="1"/>
    <col min="9778" max="9999" width="9.140625" style="1"/>
    <col min="10000" max="10000" width="6.5703125" style="1" bestFit="1" customWidth="1"/>
    <col min="10001" max="10001" width="31.85546875" style="1" bestFit="1" customWidth="1"/>
    <col min="10002" max="10002" width="9.42578125" style="1" bestFit="1" customWidth="1"/>
    <col min="10003" max="10003" width="14.28515625" style="1" bestFit="1" customWidth="1"/>
    <col min="10004" max="10004" width="61.5703125" style="1" customWidth="1"/>
    <col min="10005" max="10005" width="9.85546875" style="1" bestFit="1" customWidth="1"/>
    <col min="10006" max="10007" width="14.85546875" style="1" bestFit="1" customWidth="1"/>
    <col min="10008" max="10031" width="14.85546875" style="1" customWidth="1"/>
    <col min="10032" max="10032" width="18.5703125" style="1" bestFit="1" customWidth="1"/>
    <col min="10033" max="10033" width="18.5703125" style="1" customWidth="1"/>
    <col min="10034" max="10255" width="9.140625" style="1"/>
    <col min="10256" max="10256" width="6.5703125" style="1" bestFit="1" customWidth="1"/>
    <col min="10257" max="10257" width="31.85546875" style="1" bestFit="1" customWidth="1"/>
    <col min="10258" max="10258" width="9.42578125" style="1" bestFit="1" customWidth="1"/>
    <col min="10259" max="10259" width="14.28515625" style="1" bestFit="1" customWidth="1"/>
    <col min="10260" max="10260" width="61.5703125" style="1" customWidth="1"/>
    <col min="10261" max="10261" width="9.85546875" style="1" bestFit="1" customWidth="1"/>
    <col min="10262" max="10263" width="14.85546875" style="1" bestFit="1" customWidth="1"/>
    <col min="10264" max="10287" width="14.85546875" style="1" customWidth="1"/>
    <col min="10288" max="10288" width="18.5703125" style="1" bestFit="1" customWidth="1"/>
    <col min="10289" max="10289" width="18.5703125" style="1" customWidth="1"/>
    <col min="10290" max="10511" width="9.140625" style="1"/>
    <col min="10512" max="10512" width="6.5703125" style="1" bestFit="1" customWidth="1"/>
    <col min="10513" max="10513" width="31.85546875" style="1" bestFit="1" customWidth="1"/>
    <col min="10514" max="10514" width="9.42578125" style="1" bestFit="1" customWidth="1"/>
    <col min="10515" max="10515" width="14.28515625" style="1" bestFit="1" customWidth="1"/>
    <col min="10516" max="10516" width="61.5703125" style="1" customWidth="1"/>
    <col min="10517" max="10517" width="9.85546875" style="1" bestFit="1" customWidth="1"/>
    <col min="10518" max="10519" width="14.85546875" style="1" bestFit="1" customWidth="1"/>
    <col min="10520" max="10543" width="14.85546875" style="1" customWidth="1"/>
    <col min="10544" max="10544" width="18.5703125" style="1" bestFit="1" customWidth="1"/>
    <col min="10545" max="10545" width="18.5703125" style="1" customWidth="1"/>
    <col min="10546" max="10767" width="9.140625" style="1"/>
    <col min="10768" max="10768" width="6.5703125" style="1" bestFit="1" customWidth="1"/>
    <col min="10769" max="10769" width="31.85546875" style="1" bestFit="1" customWidth="1"/>
    <col min="10770" max="10770" width="9.42578125" style="1" bestFit="1" customWidth="1"/>
    <col min="10771" max="10771" width="14.28515625" style="1" bestFit="1" customWidth="1"/>
    <col min="10772" max="10772" width="61.5703125" style="1" customWidth="1"/>
    <col min="10773" max="10773" width="9.85546875" style="1" bestFit="1" customWidth="1"/>
    <col min="10774" max="10775" width="14.85546875" style="1" bestFit="1" customWidth="1"/>
    <col min="10776" max="10799" width="14.85546875" style="1" customWidth="1"/>
    <col min="10800" max="10800" width="18.5703125" style="1" bestFit="1" customWidth="1"/>
    <col min="10801" max="10801" width="18.5703125" style="1" customWidth="1"/>
    <col min="10802" max="11023" width="9.140625" style="1"/>
    <col min="11024" max="11024" width="6.5703125" style="1" bestFit="1" customWidth="1"/>
    <col min="11025" max="11025" width="31.85546875" style="1" bestFit="1" customWidth="1"/>
    <col min="11026" max="11026" width="9.42578125" style="1" bestFit="1" customWidth="1"/>
    <col min="11027" max="11027" width="14.28515625" style="1" bestFit="1" customWidth="1"/>
    <col min="11028" max="11028" width="61.5703125" style="1" customWidth="1"/>
    <col min="11029" max="11029" width="9.85546875" style="1" bestFit="1" customWidth="1"/>
    <col min="11030" max="11031" width="14.85546875" style="1" bestFit="1" customWidth="1"/>
    <col min="11032" max="11055" width="14.85546875" style="1" customWidth="1"/>
    <col min="11056" max="11056" width="18.5703125" style="1" bestFit="1" customWidth="1"/>
    <col min="11057" max="11057" width="18.5703125" style="1" customWidth="1"/>
    <col min="11058" max="11279" width="9.140625" style="1"/>
    <col min="11280" max="11280" width="6.5703125" style="1" bestFit="1" customWidth="1"/>
    <col min="11281" max="11281" width="31.85546875" style="1" bestFit="1" customWidth="1"/>
    <col min="11282" max="11282" width="9.42578125" style="1" bestFit="1" customWidth="1"/>
    <col min="11283" max="11283" width="14.28515625" style="1" bestFit="1" customWidth="1"/>
    <col min="11284" max="11284" width="61.5703125" style="1" customWidth="1"/>
    <col min="11285" max="11285" width="9.85546875" style="1" bestFit="1" customWidth="1"/>
    <col min="11286" max="11287" width="14.85546875" style="1" bestFit="1" customWidth="1"/>
    <col min="11288" max="11311" width="14.85546875" style="1" customWidth="1"/>
    <col min="11312" max="11312" width="18.5703125" style="1" bestFit="1" customWidth="1"/>
    <col min="11313" max="11313" width="18.5703125" style="1" customWidth="1"/>
    <col min="11314" max="11535" width="9.140625" style="1"/>
    <col min="11536" max="11536" width="6.5703125" style="1" bestFit="1" customWidth="1"/>
    <col min="11537" max="11537" width="31.85546875" style="1" bestFit="1" customWidth="1"/>
    <col min="11538" max="11538" width="9.42578125" style="1" bestFit="1" customWidth="1"/>
    <col min="11539" max="11539" width="14.28515625" style="1" bestFit="1" customWidth="1"/>
    <col min="11540" max="11540" width="61.5703125" style="1" customWidth="1"/>
    <col min="11541" max="11541" width="9.85546875" style="1" bestFit="1" customWidth="1"/>
    <col min="11542" max="11543" width="14.85546875" style="1" bestFit="1" customWidth="1"/>
    <col min="11544" max="11567" width="14.85546875" style="1" customWidth="1"/>
    <col min="11568" max="11568" width="18.5703125" style="1" bestFit="1" customWidth="1"/>
    <col min="11569" max="11569" width="18.5703125" style="1" customWidth="1"/>
    <col min="11570" max="11791" width="9.140625" style="1"/>
    <col min="11792" max="11792" width="6.5703125" style="1" bestFit="1" customWidth="1"/>
    <col min="11793" max="11793" width="31.85546875" style="1" bestFit="1" customWidth="1"/>
    <col min="11794" max="11794" width="9.42578125" style="1" bestFit="1" customWidth="1"/>
    <col min="11795" max="11795" width="14.28515625" style="1" bestFit="1" customWidth="1"/>
    <col min="11796" max="11796" width="61.5703125" style="1" customWidth="1"/>
    <col min="11797" max="11797" width="9.85546875" style="1" bestFit="1" customWidth="1"/>
    <col min="11798" max="11799" width="14.85546875" style="1" bestFit="1" customWidth="1"/>
    <col min="11800" max="11823" width="14.85546875" style="1" customWidth="1"/>
    <col min="11824" max="11824" width="18.5703125" style="1" bestFit="1" customWidth="1"/>
    <col min="11825" max="11825" width="18.5703125" style="1" customWidth="1"/>
    <col min="11826" max="12047" width="9.140625" style="1"/>
    <col min="12048" max="12048" width="6.5703125" style="1" bestFit="1" customWidth="1"/>
    <col min="12049" max="12049" width="31.85546875" style="1" bestFit="1" customWidth="1"/>
    <col min="12050" max="12050" width="9.42578125" style="1" bestFit="1" customWidth="1"/>
    <col min="12051" max="12051" width="14.28515625" style="1" bestFit="1" customWidth="1"/>
    <col min="12052" max="12052" width="61.5703125" style="1" customWidth="1"/>
    <col min="12053" max="12053" width="9.85546875" style="1" bestFit="1" customWidth="1"/>
    <col min="12054" max="12055" width="14.85546875" style="1" bestFit="1" customWidth="1"/>
    <col min="12056" max="12079" width="14.85546875" style="1" customWidth="1"/>
    <col min="12080" max="12080" width="18.5703125" style="1" bestFit="1" customWidth="1"/>
    <col min="12081" max="12081" width="18.5703125" style="1" customWidth="1"/>
    <col min="12082" max="12303" width="9.140625" style="1"/>
    <col min="12304" max="12304" width="6.5703125" style="1" bestFit="1" customWidth="1"/>
    <col min="12305" max="12305" width="31.85546875" style="1" bestFit="1" customWidth="1"/>
    <col min="12306" max="12306" width="9.42578125" style="1" bestFit="1" customWidth="1"/>
    <col min="12307" max="12307" width="14.28515625" style="1" bestFit="1" customWidth="1"/>
    <col min="12308" max="12308" width="61.5703125" style="1" customWidth="1"/>
    <col min="12309" max="12309" width="9.85546875" style="1" bestFit="1" customWidth="1"/>
    <col min="12310" max="12311" width="14.85546875" style="1" bestFit="1" customWidth="1"/>
    <col min="12312" max="12335" width="14.85546875" style="1" customWidth="1"/>
    <col min="12336" max="12336" width="18.5703125" style="1" bestFit="1" customWidth="1"/>
    <col min="12337" max="12337" width="18.5703125" style="1" customWidth="1"/>
    <col min="12338" max="12559" width="9.140625" style="1"/>
    <col min="12560" max="12560" width="6.5703125" style="1" bestFit="1" customWidth="1"/>
    <col min="12561" max="12561" width="31.85546875" style="1" bestFit="1" customWidth="1"/>
    <col min="12562" max="12562" width="9.42578125" style="1" bestFit="1" customWidth="1"/>
    <col min="12563" max="12563" width="14.28515625" style="1" bestFit="1" customWidth="1"/>
    <col min="12564" max="12564" width="61.5703125" style="1" customWidth="1"/>
    <col min="12565" max="12565" width="9.85546875" style="1" bestFit="1" customWidth="1"/>
    <col min="12566" max="12567" width="14.85546875" style="1" bestFit="1" customWidth="1"/>
    <col min="12568" max="12591" width="14.85546875" style="1" customWidth="1"/>
    <col min="12592" max="12592" width="18.5703125" style="1" bestFit="1" customWidth="1"/>
    <col min="12593" max="12593" width="18.5703125" style="1" customWidth="1"/>
    <col min="12594" max="12815" width="9.140625" style="1"/>
    <col min="12816" max="12816" width="6.5703125" style="1" bestFit="1" customWidth="1"/>
    <col min="12817" max="12817" width="31.85546875" style="1" bestFit="1" customWidth="1"/>
    <col min="12818" max="12818" width="9.42578125" style="1" bestFit="1" customWidth="1"/>
    <col min="12819" max="12819" width="14.28515625" style="1" bestFit="1" customWidth="1"/>
    <col min="12820" max="12820" width="61.5703125" style="1" customWidth="1"/>
    <col min="12821" max="12821" width="9.85546875" style="1" bestFit="1" customWidth="1"/>
    <col min="12822" max="12823" width="14.85546875" style="1" bestFit="1" customWidth="1"/>
    <col min="12824" max="12847" width="14.85546875" style="1" customWidth="1"/>
    <col min="12848" max="12848" width="18.5703125" style="1" bestFit="1" customWidth="1"/>
    <col min="12849" max="12849" width="18.5703125" style="1" customWidth="1"/>
    <col min="12850" max="13071" width="9.140625" style="1"/>
    <col min="13072" max="13072" width="6.5703125" style="1" bestFit="1" customWidth="1"/>
    <col min="13073" max="13073" width="31.85546875" style="1" bestFit="1" customWidth="1"/>
    <col min="13074" max="13074" width="9.42578125" style="1" bestFit="1" customWidth="1"/>
    <col min="13075" max="13075" width="14.28515625" style="1" bestFit="1" customWidth="1"/>
    <col min="13076" max="13076" width="61.5703125" style="1" customWidth="1"/>
    <col min="13077" max="13077" width="9.85546875" style="1" bestFit="1" customWidth="1"/>
    <col min="13078" max="13079" width="14.85546875" style="1" bestFit="1" customWidth="1"/>
    <col min="13080" max="13103" width="14.85546875" style="1" customWidth="1"/>
    <col min="13104" max="13104" width="18.5703125" style="1" bestFit="1" customWidth="1"/>
    <col min="13105" max="13105" width="18.5703125" style="1" customWidth="1"/>
    <col min="13106" max="13327" width="9.140625" style="1"/>
    <col min="13328" max="13328" width="6.5703125" style="1" bestFit="1" customWidth="1"/>
    <col min="13329" max="13329" width="31.85546875" style="1" bestFit="1" customWidth="1"/>
    <col min="13330" max="13330" width="9.42578125" style="1" bestFit="1" customWidth="1"/>
    <col min="13331" max="13331" width="14.28515625" style="1" bestFit="1" customWidth="1"/>
    <col min="13332" max="13332" width="61.5703125" style="1" customWidth="1"/>
    <col min="13333" max="13333" width="9.85546875" style="1" bestFit="1" customWidth="1"/>
    <col min="13334" max="13335" width="14.85546875" style="1" bestFit="1" customWidth="1"/>
    <col min="13336" max="13359" width="14.85546875" style="1" customWidth="1"/>
    <col min="13360" max="13360" width="18.5703125" style="1" bestFit="1" customWidth="1"/>
    <col min="13361" max="13361" width="18.5703125" style="1" customWidth="1"/>
    <col min="13362" max="13583" width="9.140625" style="1"/>
    <col min="13584" max="13584" width="6.5703125" style="1" bestFit="1" customWidth="1"/>
    <col min="13585" max="13585" width="31.85546875" style="1" bestFit="1" customWidth="1"/>
    <col min="13586" max="13586" width="9.42578125" style="1" bestFit="1" customWidth="1"/>
    <col min="13587" max="13587" width="14.28515625" style="1" bestFit="1" customWidth="1"/>
    <col min="13588" max="13588" width="61.5703125" style="1" customWidth="1"/>
    <col min="13589" max="13589" width="9.85546875" style="1" bestFit="1" customWidth="1"/>
    <col min="13590" max="13591" width="14.85546875" style="1" bestFit="1" customWidth="1"/>
    <col min="13592" max="13615" width="14.85546875" style="1" customWidth="1"/>
    <col min="13616" max="13616" width="18.5703125" style="1" bestFit="1" customWidth="1"/>
    <col min="13617" max="13617" width="18.5703125" style="1" customWidth="1"/>
    <col min="13618" max="13839" width="9.140625" style="1"/>
    <col min="13840" max="13840" width="6.5703125" style="1" bestFit="1" customWidth="1"/>
    <col min="13841" max="13841" width="31.85546875" style="1" bestFit="1" customWidth="1"/>
    <col min="13842" max="13842" width="9.42578125" style="1" bestFit="1" customWidth="1"/>
    <col min="13843" max="13843" width="14.28515625" style="1" bestFit="1" customWidth="1"/>
    <col min="13844" max="13844" width="61.5703125" style="1" customWidth="1"/>
    <col min="13845" max="13845" width="9.85546875" style="1" bestFit="1" customWidth="1"/>
    <col min="13846" max="13847" width="14.85546875" style="1" bestFit="1" customWidth="1"/>
    <col min="13848" max="13871" width="14.85546875" style="1" customWidth="1"/>
    <col min="13872" max="13872" width="18.5703125" style="1" bestFit="1" customWidth="1"/>
    <col min="13873" max="13873" width="18.5703125" style="1" customWidth="1"/>
    <col min="13874" max="14095" width="9.140625" style="1"/>
    <col min="14096" max="14096" width="6.5703125" style="1" bestFit="1" customWidth="1"/>
    <col min="14097" max="14097" width="31.85546875" style="1" bestFit="1" customWidth="1"/>
    <col min="14098" max="14098" width="9.42578125" style="1" bestFit="1" customWidth="1"/>
    <col min="14099" max="14099" width="14.28515625" style="1" bestFit="1" customWidth="1"/>
    <col min="14100" max="14100" width="61.5703125" style="1" customWidth="1"/>
    <col min="14101" max="14101" width="9.85546875" style="1" bestFit="1" customWidth="1"/>
    <col min="14102" max="14103" width="14.85546875" style="1" bestFit="1" customWidth="1"/>
    <col min="14104" max="14127" width="14.85546875" style="1" customWidth="1"/>
    <col min="14128" max="14128" width="18.5703125" style="1" bestFit="1" customWidth="1"/>
    <col min="14129" max="14129" width="18.5703125" style="1" customWidth="1"/>
    <col min="14130" max="14351" width="9.140625" style="1"/>
    <col min="14352" max="14352" width="6.5703125" style="1" bestFit="1" customWidth="1"/>
    <col min="14353" max="14353" width="31.85546875" style="1" bestFit="1" customWidth="1"/>
    <col min="14354" max="14354" width="9.42578125" style="1" bestFit="1" customWidth="1"/>
    <col min="14355" max="14355" width="14.28515625" style="1" bestFit="1" customWidth="1"/>
    <col min="14356" max="14356" width="61.5703125" style="1" customWidth="1"/>
    <col min="14357" max="14357" width="9.85546875" style="1" bestFit="1" customWidth="1"/>
    <col min="14358" max="14359" width="14.85546875" style="1" bestFit="1" customWidth="1"/>
    <col min="14360" max="14383" width="14.85546875" style="1" customWidth="1"/>
    <col min="14384" max="14384" width="18.5703125" style="1" bestFit="1" customWidth="1"/>
    <col min="14385" max="14385" width="18.5703125" style="1" customWidth="1"/>
    <col min="14386" max="14607" width="9.140625" style="1"/>
    <col min="14608" max="14608" width="6.5703125" style="1" bestFit="1" customWidth="1"/>
    <col min="14609" max="14609" width="31.85546875" style="1" bestFit="1" customWidth="1"/>
    <col min="14610" max="14610" width="9.42578125" style="1" bestFit="1" customWidth="1"/>
    <col min="14611" max="14611" width="14.28515625" style="1" bestFit="1" customWidth="1"/>
    <col min="14612" max="14612" width="61.5703125" style="1" customWidth="1"/>
    <col min="14613" max="14613" width="9.85546875" style="1" bestFit="1" customWidth="1"/>
    <col min="14614" max="14615" width="14.85546875" style="1" bestFit="1" customWidth="1"/>
    <col min="14616" max="14639" width="14.85546875" style="1" customWidth="1"/>
    <col min="14640" max="14640" width="18.5703125" style="1" bestFit="1" customWidth="1"/>
    <col min="14641" max="14641" width="18.5703125" style="1" customWidth="1"/>
    <col min="14642" max="14863" width="9.140625" style="1"/>
    <col min="14864" max="14864" width="6.5703125" style="1" bestFit="1" customWidth="1"/>
    <col min="14865" max="14865" width="31.85546875" style="1" bestFit="1" customWidth="1"/>
    <col min="14866" max="14866" width="9.42578125" style="1" bestFit="1" customWidth="1"/>
    <col min="14867" max="14867" width="14.28515625" style="1" bestFit="1" customWidth="1"/>
    <col min="14868" max="14868" width="61.5703125" style="1" customWidth="1"/>
    <col min="14869" max="14869" width="9.85546875" style="1" bestFit="1" customWidth="1"/>
    <col min="14870" max="14871" width="14.85546875" style="1" bestFit="1" customWidth="1"/>
    <col min="14872" max="14895" width="14.85546875" style="1" customWidth="1"/>
    <col min="14896" max="14896" width="18.5703125" style="1" bestFit="1" customWidth="1"/>
    <col min="14897" max="14897" width="18.5703125" style="1" customWidth="1"/>
    <col min="14898" max="15119" width="9.140625" style="1"/>
    <col min="15120" max="15120" width="6.5703125" style="1" bestFit="1" customWidth="1"/>
    <col min="15121" max="15121" width="31.85546875" style="1" bestFit="1" customWidth="1"/>
    <col min="15122" max="15122" width="9.42578125" style="1" bestFit="1" customWidth="1"/>
    <col min="15123" max="15123" width="14.28515625" style="1" bestFit="1" customWidth="1"/>
    <col min="15124" max="15124" width="61.5703125" style="1" customWidth="1"/>
    <col min="15125" max="15125" width="9.85546875" style="1" bestFit="1" customWidth="1"/>
    <col min="15126" max="15127" width="14.85546875" style="1" bestFit="1" customWidth="1"/>
    <col min="15128" max="15151" width="14.85546875" style="1" customWidth="1"/>
    <col min="15152" max="15152" width="18.5703125" style="1" bestFit="1" customWidth="1"/>
    <col min="15153" max="15153" width="18.5703125" style="1" customWidth="1"/>
    <col min="15154" max="15375" width="9.140625" style="1"/>
    <col min="15376" max="15376" width="6.5703125" style="1" bestFit="1" customWidth="1"/>
    <col min="15377" max="15377" width="31.85546875" style="1" bestFit="1" customWidth="1"/>
    <col min="15378" max="15378" width="9.42578125" style="1" bestFit="1" customWidth="1"/>
    <col min="15379" max="15379" width="14.28515625" style="1" bestFit="1" customWidth="1"/>
    <col min="15380" max="15380" width="61.5703125" style="1" customWidth="1"/>
    <col min="15381" max="15381" width="9.85546875" style="1" bestFit="1" customWidth="1"/>
    <col min="15382" max="15383" width="14.85546875" style="1" bestFit="1" customWidth="1"/>
    <col min="15384" max="15407" width="14.85546875" style="1" customWidth="1"/>
    <col min="15408" max="15408" width="18.5703125" style="1" bestFit="1" customWidth="1"/>
    <col min="15409" max="15409" width="18.5703125" style="1" customWidth="1"/>
    <col min="15410" max="15631" width="9.140625" style="1"/>
    <col min="15632" max="15632" width="6.5703125" style="1" bestFit="1" customWidth="1"/>
    <col min="15633" max="15633" width="31.85546875" style="1" bestFit="1" customWidth="1"/>
    <col min="15634" max="15634" width="9.42578125" style="1" bestFit="1" customWidth="1"/>
    <col min="15635" max="15635" width="14.28515625" style="1" bestFit="1" customWidth="1"/>
    <col min="15636" max="15636" width="61.5703125" style="1" customWidth="1"/>
    <col min="15637" max="15637" width="9.85546875" style="1" bestFit="1" customWidth="1"/>
    <col min="15638" max="15639" width="14.85546875" style="1" bestFit="1" customWidth="1"/>
    <col min="15640" max="15663" width="14.85546875" style="1" customWidth="1"/>
    <col min="15664" max="15664" width="18.5703125" style="1" bestFit="1" customWidth="1"/>
    <col min="15665" max="15665" width="18.5703125" style="1" customWidth="1"/>
    <col min="15666" max="15887" width="9.140625" style="1"/>
    <col min="15888" max="15888" width="6.5703125" style="1" bestFit="1" customWidth="1"/>
    <col min="15889" max="15889" width="31.85546875" style="1" bestFit="1" customWidth="1"/>
    <col min="15890" max="15890" width="9.42578125" style="1" bestFit="1" customWidth="1"/>
    <col min="15891" max="15891" width="14.28515625" style="1" bestFit="1" customWidth="1"/>
    <col min="15892" max="15892" width="61.5703125" style="1" customWidth="1"/>
    <col min="15893" max="15893" width="9.85546875" style="1" bestFit="1" customWidth="1"/>
    <col min="15894" max="15895" width="14.85546875" style="1" bestFit="1" customWidth="1"/>
    <col min="15896" max="15919" width="14.85546875" style="1" customWidth="1"/>
    <col min="15920" max="15920" width="18.5703125" style="1" bestFit="1" customWidth="1"/>
    <col min="15921" max="15921" width="18.5703125" style="1" customWidth="1"/>
    <col min="15922" max="16143" width="9.140625" style="1"/>
    <col min="16144" max="16144" width="6.5703125" style="1" bestFit="1" customWidth="1"/>
    <col min="16145" max="16145" width="31.85546875" style="1" bestFit="1" customWidth="1"/>
    <col min="16146" max="16146" width="9.42578125" style="1" bestFit="1" customWidth="1"/>
    <col min="16147" max="16147" width="14.28515625" style="1" bestFit="1" customWidth="1"/>
    <col min="16148" max="16148" width="61.5703125" style="1" customWidth="1"/>
    <col min="16149" max="16149" width="9.85546875" style="1" bestFit="1" customWidth="1"/>
    <col min="16150" max="16151" width="14.85546875" style="1" bestFit="1" customWidth="1"/>
    <col min="16152" max="16175" width="14.85546875" style="1" customWidth="1"/>
    <col min="16176" max="16176" width="18.5703125" style="1" bestFit="1" customWidth="1"/>
    <col min="16177" max="16177" width="18.5703125" style="1" customWidth="1"/>
    <col min="16178" max="16384" width="9.140625" style="1"/>
  </cols>
  <sheetData>
    <row r="1" spans="1:108" x14ac:dyDescent="0.2">
      <c r="BK1" s="28" t="s">
        <v>908</v>
      </c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 t="s">
        <v>908</v>
      </c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</row>
    <row r="2" spans="1:108" x14ac:dyDescent="0.2">
      <c r="BK2" s="1" t="s">
        <v>880</v>
      </c>
      <c r="BL2" s="1">
        <v>0</v>
      </c>
      <c r="BM2" s="1" t="s">
        <v>16</v>
      </c>
      <c r="BU2" s="1">
        <v>10</v>
      </c>
      <c r="BV2" s="1">
        <v>20</v>
      </c>
      <c r="BW2" s="1">
        <v>30</v>
      </c>
      <c r="BX2" s="1">
        <v>40</v>
      </c>
      <c r="BY2" s="1">
        <v>50</v>
      </c>
      <c r="BZ2" s="1">
        <v>60</v>
      </c>
      <c r="CA2" s="1">
        <v>70</v>
      </c>
      <c r="CB2" s="1">
        <v>80</v>
      </c>
      <c r="CC2" s="1">
        <v>90</v>
      </c>
      <c r="CD2" s="1">
        <v>100</v>
      </c>
      <c r="CE2" s="1">
        <v>110</v>
      </c>
      <c r="CF2" s="1">
        <v>120</v>
      </c>
      <c r="CG2" s="1">
        <v>130</v>
      </c>
      <c r="CH2" s="1" t="s">
        <v>880</v>
      </c>
      <c r="CI2" s="1">
        <v>0</v>
      </c>
      <c r="CJ2" s="1" t="s">
        <v>16</v>
      </c>
      <c r="CK2" s="1">
        <f>BN2</f>
        <v>0</v>
      </c>
      <c r="CL2" s="1">
        <f>BO2</f>
        <v>0</v>
      </c>
      <c r="CM2" s="1">
        <f>BP2</f>
        <v>0</v>
      </c>
      <c r="CN2" s="1">
        <f>BQ2</f>
        <v>0</v>
      </c>
      <c r="CO2" s="1">
        <f>BR2</f>
        <v>0</v>
      </c>
      <c r="CP2" s="1">
        <f>BS2</f>
        <v>0</v>
      </c>
      <c r="CQ2" s="1">
        <f>BT2</f>
        <v>0</v>
      </c>
      <c r="CR2" s="1">
        <f>BU2</f>
        <v>10</v>
      </c>
      <c r="CS2" s="1">
        <f>BV2</f>
        <v>20</v>
      </c>
      <c r="CT2" s="1">
        <f>BW2</f>
        <v>30</v>
      </c>
      <c r="CU2" s="1">
        <f>BX2</f>
        <v>40</v>
      </c>
      <c r="CV2" s="1">
        <f>BY2</f>
        <v>50</v>
      </c>
      <c r="CW2" s="1">
        <f>BZ2</f>
        <v>60</v>
      </c>
      <c r="CX2" s="1">
        <f>CA2</f>
        <v>70</v>
      </c>
      <c r="CY2" s="1">
        <f>CB2</f>
        <v>80</v>
      </c>
      <c r="CZ2" s="1">
        <f>CC2</f>
        <v>90</v>
      </c>
      <c r="DA2" s="1">
        <f>CD2</f>
        <v>100</v>
      </c>
      <c r="DB2" s="1">
        <f>CE2</f>
        <v>110</v>
      </c>
      <c r="DC2" s="1">
        <f>CF2</f>
        <v>120</v>
      </c>
      <c r="DD2" s="1">
        <f>CG2</f>
        <v>130</v>
      </c>
    </row>
    <row r="3" spans="1:108" x14ac:dyDescent="0.2">
      <c r="BK3" s="1" t="s">
        <v>829</v>
      </c>
      <c r="BL3" s="1">
        <v>1</v>
      </c>
      <c r="BM3" s="1" t="s">
        <v>15</v>
      </c>
      <c r="BT3" s="1">
        <f>BU2</f>
        <v>10</v>
      </c>
      <c r="BU3" s="1">
        <f>BV2</f>
        <v>20</v>
      </c>
      <c r="BV3" s="1">
        <f>BW2</f>
        <v>30</v>
      </c>
      <c r="BW3" s="1">
        <f>BX2</f>
        <v>40</v>
      </c>
      <c r="BX3" s="1">
        <f>BY2</f>
        <v>50</v>
      </c>
      <c r="BY3" s="1">
        <f>BZ2</f>
        <v>60</v>
      </c>
      <c r="BZ3" s="1">
        <f>CA2</f>
        <v>70</v>
      </c>
      <c r="CA3" s="1">
        <f>CB2</f>
        <v>80</v>
      </c>
      <c r="CB3" s="1">
        <f>CC2</f>
        <v>90</v>
      </c>
      <c r="CC3" s="1">
        <f>CD2</f>
        <v>100</v>
      </c>
      <c r="CD3" s="1">
        <f>CE2</f>
        <v>110</v>
      </c>
      <c r="CE3" s="1">
        <f>CF2</f>
        <v>120</v>
      </c>
      <c r="CF3" s="1">
        <f>CG2</f>
        <v>130</v>
      </c>
      <c r="CH3" s="1" t="s">
        <v>829</v>
      </c>
      <c r="CI3" s="1">
        <v>1</v>
      </c>
      <c r="CJ3" s="1" t="s">
        <v>15</v>
      </c>
      <c r="CK3" s="1">
        <f>BN3</f>
        <v>0</v>
      </c>
      <c r="CL3" s="1">
        <f>BO3</f>
        <v>0</v>
      </c>
      <c r="CM3" s="1">
        <f>BP3</f>
        <v>0</v>
      </c>
      <c r="CN3" s="1">
        <f>BQ3</f>
        <v>0</v>
      </c>
      <c r="CO3" s="1">
        <f>BR3</f>
        <v>0</v>
      </c>
      <c r="CP3" s="1">
        <f>BS3</f>
        <v>0</v>
      </c>
      <c r="CQ3" s="1">
        <f>BT3</f>
        <v>10</v>
      </c>
      <c r="CR3" s="1">
        <f>BU3</f>
        <v>20</v>
      </c>
      <c r="CS3" s="1">
        <f>BV3</f>
        <v>30</v>
      </c>
      <c r="CT3" s="1">
        <f>BW3</f>
        <v>40</v>
      </c>
      <c r="CU3" s="1">
        <f>BX3</f>
        <v>50</v>
      </c>
      <c r="CV3" s="1">
        <f>BY3</f>
        <v>60</v>
      </c>
      <c r="CW3" s="1">
        <f>BZ3</f>
        <v>70</v>
      </c>
      <c r="CX3" s="1">
        <f>CA3</f>
        <v>80</v>
      </c>
      <c r="CY3" s="1">
        <f>CB3</f>
        <v>90</v>
      </c>
      <c r="CZ3" s="1">
        <f>CC3</f>
        <v>100</v>
      </c>
      <c r="DA3" s="1">
        <f>CD3</f>
        <v>110</v>
      </c>
      <c r="DB3" s="1">
        <f>CE3</f>
        <v>120</v>
      </c>
      <c r="DC3" s="1">
        <f>CF3</f>
        <v>130</v>
      </c>
      <c r="DD3" s="1">
        <f>CG3</f>
        <v>0</v>
      </c>
    </row>
    <row r="4" spans="1:108" x14ac:dyDescent="0.2">
      <c r="BK4" s="1" t="s">
        <v>642</v>
      </c>
      <c r="BL4" s="1">
        <v>2</v>
      </c>
      <c r="BM4" s="1" t="s">
        <v>14</v>
      </c>
      <c r="BS4" s="1">
        <f>BT3</f>
        <v>10</v>
      </c>
      <c r="BT4" s="1">
        <f>BU3</f>
        <v>20</v>
      </c>
      <c r="BU4" s="1">
        <f>BV3</f>
        <v>30</v>
      </c>
      <c r="BV4" s="1">
        <f>BW3</f>
        <v>40</v>
      </c>
      <c r="BW4" s="1">
        <f>BX3</f>
        <v>50</v>
      </c>
      <c r="BX4" s="1">
        <f>BY3</f>
        <v>60</v>
      </c>
      <c r="BY4" s="1">
        <f>BZ3</f>
        <v>70</v>
      </c>
      <c r="BZ4" s="1">
        <f>CA3</f>
        <v>80</v>
      </c>
      <c r="CA4" s="1">
        <f>CB3</f>
        <v>90</v>
      </c>
      <c r="CB4" s="1">
        <f>CC3</f>
        <v>100</v>
      </c>
      <c r="CC4" s="1">
        <f>CD3</f>
        <v>110</v>
      </c>
      <c r="CD4" s="1">
        <f>CE3</f>
        <v>120</v>
      </c>
      <c r="CE4" s="1">
        <f>CF3</f>
        <v>130</v>
      </c>
      <c r="CF4" s="1">
        <f>CG3</f>
        <v>0</v>
      </c>
      <c r="CH4" s="1" t="s">
        <v>642</v>
      </c>
      <c r="CI4" s="1">
        <v>2</v>
      </c>
      <c r="CJ4" s="1" t="s">
        <v>14</v>
      </c>
      <c r="CK4" s="1">
        <f>BN4</f>
        <v>0</v>
      </c>
      <c r="CL4" s="1">
        <f>BO4</f>
        <v>0</v>
      </c>
      <c r="CM4" s="1">
        <f>BP4</f>
        <v>0</v>
      </c>
      <c r="CN4" s="1">
        <f>BQ4</f>
        <v>0</v>
      </c>
      <c r="CO4" s="1">
        <f>BR4</f>
        <v>0</v>
      </c>
      <c r="CP4" s="1">
        <f>BS4</f>
        <v>10</v>
      </c>
      <c r="CQ4" s="1">
        <f>BT4</f>
        <v>20</v>
      </c>
      <c r="CR4" s="1">
        <f>BU4</f>
        <v>30</v>
      </c>
      <c r="CS4" s="1">
        <f>BV4</f>
        <v>40</v>
      </c>
      <c r="CT4" s="1">
        <f>BW4</f>
        <v>50</v>
      </c>
      <c r="CU4" s="1">
        <f>BX4</f>
        <v>60</v>
      </c>
      <c r="CV4" s="1">
        <f>BY4</f>
        <v>70</v>
      </c>
      <c r="CW4" s="1">
        <f>BZ4</f>
        <v>80</v>
      </c>
      <c r="CX4" s="1">
        <f>CA4</f>
        <v>90</v>
      </c>
      <c r="CY4" s="1">
        <f>CB4</f>
        <v>100</v>
      </c>
      <c r="CZ4" s="1">
        <f>CC4</f>
        <v>110</v>
      </c>
      <c r="DA4" s="1">
        <f>CD4</f>
        <v>120</v>
      </c>
      <c r="DB4" s="1">
        <f>CE4</f>
        <v>130</v>
      </c>
      <c r="DC4" s="1">
        <f>CF4</f>
        <v>0</v>
      </c>
      <c r="DD4" s="1">
        <f>CG4</f>
        <v>0</v>
      </c>
    </row>
    <row r="5" spans="1:108" x14ac:dyDescent="0.2">
      <c r="BK5" s="1" t="s">
        <v>683</v>
      </c>
      <c r="BL5" s="1">
        <v>3</v>
      </c>
      <c r="BM5" s="1" t="s">
        <v>13</v>
      </c>
      <c r="BR5" s="1">
        <f>BS4</f>
        <v>10</v>
      </c>
      <c r="BS5" s="1">
        <f>BT4</f>
        <v>20</v>
      </c>
      <c r="BT5" s="1">
        <f>BU4</f>
        <v>30</v>
      </c>
      <c r="BU5" s="1">
        <f>BV4</f>
        <v>40</v>
      </c>
      <c r="BV5" s="1">
        <f>BW4</f>
        <v>50</v>
      </c>
      <c r="BW5" s="1">
        <f>BX4</f>
        <v>60</v>
      </c>
      <c r="BX5" s="1">
        <f>BY4</f>
        <v>70</v>
      </c>
      <c r="BY5" s="1">
        <f>BZ4</f>
        <v>80</v>
      </c>
      <c r="BZ5" s="1">
        <f>CA4</f>
        <v>90</v>
      </c>
      <c r="CA5" s="1">
        <f>CB4</f>
        <v>100</v>
      </c>
      <c r="CB5" s="1">
        <f>CC4</f>
        <v>110</v>
      </c>
      <c r="CC5" s="1">
        <f>CD4</f>
        <v>120</v>
      </c>
      <c r="CD5" s="1">
        <f>CE4</f>
        <v>130</v>
      </c>
      <c r="CE5" s="1">
        <f>CF4</f>
        <v>0</v>
      </c>
      <c r="CH5" s="1" t="s">
        <v>683</v>
      </c>
      <c r="CI5" s="1">
        <v>3</v>
      </c>
      <c r="CJ5" s="1" t="s">
        <v>13</v>
      </c>
      <c r="CK5" s="1">
        <f>BN5</f>
        <v>0</v>
      </c>
      <c r="CL5" s="1">
        <f>BO5</f>
        <v>0</v>
      </c>
      <c r="CM5" s="1">
        <f>BP5</f>
        <v>0</v>
      </c>
      <c r="CN5" s="1">
        <f>BQ5</f>
        <v>0</v>
      </c>
      <c r="CO5" s="1">
        <f>BR5</f>
        <v>10</v>
      </c>
      <c r="CP5" s="1">
        <f>BS5</f>
        <v>20</v>
      </c>
      <c r="CQ5" s="1">
        <f>BT5</f>
        <v>30</v>
      </c>
      <c r="CR5" s="1">
        <f>BU5</f>
        <v>40</v>
      </c>
      <c r="CS5" s="1">
        <f>BV5</f>
        <v>50</v>
      </c>
      <c r="CT5" s="1">
        <f>BW5</f>
        <v>60</v>
      </c>
      <c r="CU5" s="1">
        <f>BX5</f>
        <v>70</v>
      </c>
      <c r="CV5" s="1">
        <f>BY5</f>
        <v>80</v>
      </c>
      <c r="CW5" s="1">
        <f>BZ5</f>
        <v>90</v>
      </c>
      <c r="CX5" s="1">
        <f>CA5</f>
        <v>100</v>
      </c>
      <c r="CY5" s="1">
        <f>CB5</f>
        <v>110</v>
      </c>
      <c r="CZ5" s="1">
        <f>CC5</f>
        <v>120</v>
      </c>
      <c r="DA5" s="1">
        <f>CD5</f>
        <v>130</v>
      </c>
      <c r="DB5" s="1">
        <f>CE5</f>
        <v>0</v>
      </c>
      <c r="DC5" s="1">
        <f>CF5</f>
        <v>0</v>
      </c>
      <c r="DD5" s="1">
        <f>CG5</f>
        <v>0</v>
      </c>
    </row>
    <row r="6" spans="1:108" x14ac:dyDescent="0.2">
      <c r="BK6" s="1" t="s">
        <v>679</v>
      </c>
      <c r="BL6" s="1">
        <v>4</v>
      </c>
      <c r="BM6" s="1" t="s">
        <v>12</v>
      </c>
      <c r="BQ6" s="1">
        <f>BR5</f>
        <v>10</v>
      </c>
      <c r="BR6" s="1">
        <f>BS5</f>
        <v>20</v>
      </c>
      <c r="BS6" s="1">
        <f>BT5</f>
        <v>30</v>
      </c>
      <c r="BT6" s="1">
        <f>BU5</f>
        <v>40</v>
      </c>
      <c r="BU6" s="1">
        <f>BV5</f>
        <v>50</v>
      </c>
      <c r="BV6" s="1">
        <f>BW5</f>
        <v>60</v>
      </c>
      <c r="BW6" s="1">
        <f>BX5</f>
        <v>70</v>
      </c>
      <c r="BX6" s="1">
        <f>BY5</f>
        <v>80</v>
      </c>
      <c r="BY6" s="1">
        <f>BZ5</f>
        <v>90</v>
      </c>
      <c r="BZ6" s="1">
        <f>CA5</f>
        <v>100</v>
      </c>
      <c r="CA6" s="1">
        <f>CB5</f>
        <v>110</v>
      </c>
      <c r="CB6" s="1">
        <f>CC5</f>
        <v>120</v>
      </c>
      <c r="CC6" s="1">
        <f>CD5</f>
        <v>130</v>
      </c>
      <c r="CD6" s="1">
        <f>CE5</f>
        <v>0</v>
      </c>
      <c r="CH6" s="1" t="s">
        <v>679</v>
      </c>
      <c r="CI6" s="1">
        <v>4</v>
      </c>
      <c r="CJ6" s="1" t="s">
        <v>12</v>
      </c>
      <c r="CK6" s="1">
        <f>BN6</f>
        <v>0</v>
      </c>
      <c r="CL6" s="1">
        <f>BO6</f>
        <v>0</v>
      </c>
      <c r="CM6" s="1">
        <f>BP6</f>
        <v>0</v>
      </c>
      <c r="CN6" s="1">
        <f>BQ6</f>
        <v>10</v>
      </c>
      <c r="CO6" s="1">
        <f>BR6</f>
        <v>20</v>
      </c>
      <c r="CP6" s="1">
        <f>BS6</f>
        <v>30</v>
      </c>
      <c r="CQ6" s="1">
        <f>BT6</f>
        <v>40</v>
      </c>
      <c r="CR6" s="1">
        <f>BU6</f>
        <v>50</v>
      </c>
      <c r="CS6" s="1">
        <f>BV6</f>
        <v>60</v>
      </c>
      <c r="CT6" s="1">
        <f>BW6</f>
        <v>70</v>
      </c>
      <c r="CU6" s="1">
        <f>BX6</f>
        <v>80</v>
      </c>
      <c r="CV6" s="1">
        <f>BY6</f>
        <v>90</v>
      </c>
      <c r="CW6" s="1">
        <f>BZ6</f>
        <v>100</v>
      </c>
      <c r="CX6" s="1">
        <f>CA6</f>
        <v>110</v>
      </c>
      <c r="CY6" s="1">
        <f>CB6</f>
        <v>120</v>
      </c>
      <c r="CZ6" s="1">
        <f>CC6</f>
        <v>130</v>
      </c>
      <c r="DA6" s="1">
        <f>CD6</f>
        <v>0</v>
      </c>
      <c r="DB6" s="1">
        <f>CE6</f>
        <v>0</v>
      </c>
      <c r="DC6" s="1">
        <f>CF6</f>
        <v>0</v>
      </c>
      <c r="DD6" s="1">
        <f>CG6</f>
        <v>0</v>
      </c>
    </row>
    <row r="7" spans="1:108" x14ac:dyDescent="0.2">
      <c r="BK7" s="1" t="s">
        <v>678</v>
      </c>
      <c r="BL7" s="1">
        <v>5</v>
      </c>
      <c r="BM7" s="1" t="s">
        <v>11</v>
      </c>
      <c r="BP7" s="1">
        <f>BQ6</f>
        <v>10</v>
      </c>
      <c r="BQ7" s="1">
        <f>BR6</f>
        <v>20</v>
      </c>
      <c r="BR7" s="1">
        <f>BS6</f>
        <v>30</v>
      </c>
      <c r="BS7" s="1">
        <f>BT6</f>
        <v>40</v>
      </c>
      <c r="BT7" s="1">
        <f>BU6</f>
        <v>50</v>
      </c>
      <c r="BU7" s="1">
        <f>BV6</f>
        <v>60</v>
      </c>
      <c r="BV7" s="1">
        <f>BW6</f>
        <v>70</v>
      </c>
      <c r="BW7" s="1">
        <f>BX6</f>
        <v>80</v>
      </c>
      <c r="BX7" s="1">
        <f>BY6</f>
        <v>90</v>
      </c>
      <c r="BY7" s="1">
        <f>BZ6</f>
        <v>100</v>
      </c>
      <c r="BZ7" s="1">
        <f>CA6</f>
        <v>110</v>
      </c>
      <c r="CA7" s="1">
        <f>CB6</f>
        <v>120</v>
      </c>
      <c r="CB7" s="1">
        <f>CC6</f>
        <v>130</v>
      </c>
      <c r="CC7" s="1">
        <f>CD6</f>
        <v>0</v>
      </c>
      <c r="CD7" s="1">
        <f>CE6</f>
        <v>0</v>
      </c>
      <c r="CH7" s="1" t="s">
        <v>678</v>
      </c>
      <c r="CI7" s="1">
        <v>5</v>
      </c>
      <c r="CJ7" s="1" t="s">
        <v>11</v>
      </c>
      <c r="CK7" s="1">
        <f>BN7</f>
        <v>0</v>
      </c>
      <c r="CL7" s="1">
        <f>BO7</f>
        <v>0</v>
      </c>
      <c r="CM7" s="1">
        <f>BP7</f>
        <v>10</v>
      </c>
      <c r="CN7" s="1">
        <f>BQ7</f>
        <v>20</v>
      </c>
      <c r="CO7" s="1">
        <f>BR7</f>
        <v>30</v>
      </c>
      <c r="CP7" s="1">
        <f>BS7</f>
        <v>40</v>
      </c>
      <c r="CQ7" s="1">
        <f>BT7</f>
        <v>50</v>
      </c>
      <c r="CR7" s="1">
        <f>BU7</f>
        <v>60</v>
      </c>
      <c r="CS7" s="1">
        <f>BV7</f>
        <v>70</v>
      </c>
      <c r="CT7" s="1">
        <f>BW7</f>
        <v>80</v>
      </c>
      <c r="CU7" s="1">
        <f>BX7</f>
        <v>90</v>
      </c>
      <c r="CV7" s="1">
        <f>BY7</f>
        <v>100</v>
      </c>
      <c r="CW7" s="1">
        <f>BZ7</f>
        <v>110</v>
      </c>
      <c r="CX7" s="1">
        <f>CA7</f>
        <v>120</v>
      </c>
      <c r="CY7" s="1">
        <f>CB7</f>
        <v>130</v>
      </c>
      <c r="CZ7" s="1">
        <f>CC7</f>
        <v>0</v>
      </c>
      <c r="DA7" s="1">
        <f>CD7</f>
        <v>0</v>
      </c>
      <c r="DB7" s="1">
        <f>CE7</f>
        <v>0</v>
      </c>
      <c r="DC7" s="1">
        <f>CF7</f>
        <v>0</v>
      </c>
      <c r="DD7" s="1">
        <f>CG7</f>
        <v>0</v>
      </c>
    </row>
    <row r="8" spans="1:108" x14ac:dyDescent="0.2">
      <c r="BK8" s="1" t="s">
        <v>707</v>
      </c>
      <c r="BL8" s="1">
        <v>6</v>
      </c>
      <c r="BM8" s="1" t="s">
        <v>10</v>
      </c>
      <c r="BO8" s="1">
        <f>BP7</f>
        <v>10</v>
      </c>
      <c r="BP8" s="1">
        <f>BQ7</f>
        <v>20</v>
      </c>
      <c r="BQ8" s="1">
        <f>BR7</f>
        <v>30</v>
      </c>
      <c r="BR8" s="1">
        <f>BS7</f>
        <v>40</v>
      </c>
      <c r="BS8" s="1">
        <f>BT7</f>
        <v>50</v>
      </c>
      <c r="BT8" s="1">
        <f>BU7</f>
        <v>60</v>
      </c>
      <c r="BU8" s="1">
        <f>BV7</f>
        <v>70</v>
      </c>
      <c r="BV8" s="1">
        <f>BW7</f>
        <v>80</v>
      </c>
      <c r="BW8" s="1">
        <f>BX7</f>
        <v>90</v>
      </c>
      <c r="BX8" s="1">
        <f>BY7</f>
        <v>100</v>
      </c>
      <c r="BY8" s="1">
        <f>BZ7</f>
        <v>110</v>
      </c>
      <c r="BZ8" s="1">
        <f>CA7</f>
        <v>120</v>
      </c>
      <c r="CA8" s="1">
        <f>CB7</f>
        <v>130</v>
      </c>
      <c r="CB8" s="1">
        <f>CC7</f>
        <v>0</v>
      </c>
      <c r="CC8" s="1">
        <f>CD7</f>
        <v>0</v>
      </c>
      <c r="CD8" s="1">
        <f>CE7</f>
        <v>0</v>
      </c>
      <c r="CH8" s="1" t="s">
        <v>707</v>
      </c>
      <c r="CI8" s="1">
        <v>6</v>
      </c>
      <c r="CJ8" s="1" t="s">
        <v>10</v>
      </c>
      <c r="CK8" s="1">
        <f>BN8</f>
        <v>0</v>
      </c>
      <c r="CL8" s="1">
        <f>BO8</f>
        <v>10</v>
      </c>
      <c r="CM8" s="1">
        <f>BP8</f>
        <v>20</v>
      </c>
      <c r="CN8" s="1">
        <f>BQ8</f>
        <v>30</v>
      </c>
      <c r="CO8" s="1">
        <f>BR8</f>
        <v>40</v>
      </c>
      <c r="CP8" s="1">
        <f>BS8</f>
        <v>50</v>
      </c>
      <c r="CQ8" s="1">
        <f>BT8</f>
        <v>60</v>
      </c>
      <c r="CR8" s="1">
        <f>BU8</f>
        <v>70</v>
      </c>
      <c r="CS8" s="1">
        <f>BV8</f>
        <v>80</v>
      </c>
      <c r="CT8" s="1">
        <f>BW8</f>
        <v>90</v>
      </c>
      <c r="CU8" s="1">
        <f>BX8</f>
        <v>100</v>
      </c>
      <c r="CV8" s="1">
        <f>BY8</f>
        <v>110</v>
      </c>
      <c r="CW8" s="1">
        <f>BZ8</f>
        <v>120</v>
      </c>
      <c r="CX8" s="1">
        <f>CA8</f>
        <v>130</v>
      </c>
      <c r="CY8" s="1">
        <f>CB8</f>
        <v>0</v>
      </c>
      <c r="CZ8" s="1">
        <f>CC8</f>
        <v>0</v>
      </c>
      <c r="DA8" s="1">
        <f>CD8</f>
        <v>0</v>
      </c>
      <c r="DB8" s="1">
        <f>CE8</f>
        <v>0</v>
      </c>
      <c r="DC8" s="1">
        <f>CF8</f>
        <v>0</v>
      </c>
      <c r="DD8" s="1">
        <f>CG8</f>
        <v>0</v>
      </c>
    </row>
    <row r="9" spans="1:108" x14ac:dyDescent="0.2">
      <c r="BK9" s="1" t="s">
        <v>648</v>
      </c>
      <c r="BL9" s="1">
        <v>5</v>
      </c>
      <c r="BM9" s="1" t="s">
        <v>9</v>
      </c>
      <c r="BP9" s="1">
        <f>BP7</f>
        <v>10</v>
      </c>
      <c r="BQ9" s="1">
        <f>BQ7</f>
        <v>20</v>
      </c>
      <c r="BR9" s="1">
        <f>BR7</f>
        <v>30</v>
      </c>
      <c r="BS9" s="1">
        <f>BS7</f>
        <v>40</v>
      </c>
      <c r="BT9" s="1">
        <f>BT7</f>
        <v>50</v>
      </c>
      <c r="BU9" s="1">
        <f>BU7</f>
        <v>60</v>
      </c>
      <c r="BV9" s="1">
        <f>BV7</f>
        <v>70</v>
      </c>
      <c r="BW9" s="1">
        <f>BW7</f>
        <v>80</v>
      </c>
      <c r="BX9" s="1">
        <f>BX7</f>
        <v>90</v>
      </c>
      <c r="BY9" s="1">
        <f>BY7</f>
        <v>100</v>
      </c>
      <c r="BZ9" s="1">
        <f>BZ7</f>
        <v>110</v>
      </c>
      <c r="CA9" s="1">
        <f>CA7</f>
        <v>120</v>
      </c>
      <c r="CB9" s="1">
        <f>CB7</f>
        <v>130</v>
      </c>
      <c r="CC9" s="1">
        <f>CC7</f>
        <v>0</v>
      </c>
      <c r="CH9" s="1" t="s">
        <v>648</v>
      </c>
      <c r="CI9" s="1">
        <v>5</v>
      </c>
      <c r="CJ9" s="1" t="s">
        <v>9</v>
      </c>
      <c r="CK9" s="1">
        <f>BN9</f>
        <v>0</v>
      </c>
      <c r="CL9" s="1">
        <f>BO9</f>
        <v>0</v>
      </c>
      <c r="CM9" s="1">
        <f>BP9</f>
        <v>10</v>
      </c>
      <c r="CN9" s="1">
        <f>BQ9</f>
        <v>20</v>
      </c>
      <c r="CO9" s="1">
        <f>BR9</f>
        <v>30</v>
      </c>
      <c r="CP9" s="1">
        <f>BS9</f>
        <v>40</v>
      </c>
      <c r="CQ9" s="1">
        <f>BT9</f>
        <v>50</v>
      </c>
      <c r="CR9" s="1">
        <f>BU9</f>
        <v>60</v>
      </c>
      <c r="CS9" s="1">
        <f>BV9</f>
        <v>70</v>
      </c>
      <c r="CT9" s="1">
        <f>BW9</f>
        <v>80</v>
      </c>
      <c r="CU9" s="1">
        <f>BX9</f>
        <v>90</v>
      </c>
      <c r="CV9" s="1">
        <f>BY9</f>
        <v>100</v>
      </c>
      <c r="CW9" s="1">
        <f>BZ9</f>
        <v>110</v>
      </c>
      <c r="CX9" s="1">
        <f>CA9</f>
        <v>120</v>
      </c>
      <c r="CY9" s="1">
        <f>CB9</f>
        <v>130</v>
      </c>
      <c r="CZ9" s="1">
        <f>CC9</f>
        <v>0</v>
      </c>
      <c r="DA9" s="1">
        <f>CD9</f>
        <v>0</v>
      </c>
      <c r="DB9" s="1">
        <f>CE9</f>
        <v>0</v>
      </c>
      <c r="DC9" s="1">
        <f>CF9</f>
        <v>0</v>
      </c>
      <c r="DD9" s="1">
        <f>CG9</f>
        <v>0</v>
      </c>
    </row>
    <row r="10" spans="1:108" x14ac:dyDescent="0.2">
      <c r="BK10" s="1" t="s">
        <v>686</v>
      </c>
      <c r="BL10" s="1">
        <v>4</v>
      </c>
      <c r="BM10" s="1" t="s">
        <v>8</v>
      </c>
      <c r="BQ10" s="1">
        <f>BQ6</f>
        <v>10</v>
      </c>
      <c r="BR10" s="1">
        <f>BR6</f>
        <v>20</v>
      </c>
      <c r="BS10" s="1">
        <f>BS6</f>
        <v>30</v>
      </c>
      <c r="BT10" s="1">
        <f>BT6</f>
        <v>40</v>
      </c>
      <c r="BU10" s="1">
        <f>BU6</f>
        <v>50</v>
      </c>
      <c r="BV10" s="1">
        <f>BV6</f>
        <v>60</v>
      </c>
      <c r="BW10" s="1">
        <f>BW6</f>
        <v>70</v>
      </c>
      <c r="BX10" s="1">
        <f>BX6</f>
        <v>80</v>
      </c>
      <c r="BY10" s="1">
        <f>BY6</f>
        <v>90</v>
      </c>
      <c r="BZ10" s="1">
        <f>BZ6</f>
        <v>100</v>
      </c>
      <c r="CA10" s="1">
        <f>CA6</f>
        <v>110</v>
      </c>
      <c r="CB10" s="1">
        <f>CB6</f>
        <v>120</v>
      </c>
      <c r="CC10" s="1">
        <f>CC6</f>
        <v>130</v>
      </c>
      <c r="CH10" s="1" t="s">
        <v>686</v>
      </c>
      <c r="CI10" s="1">
        <v>4</v>
      </c>
      <c r="CJ10" s="1" t="s">
        <v>8</v>
      </c>
      <c r="CK10" s="1">
        <f>BN10</f>
        <v>0</v>
      </c>
      <c r="CL10" s="1">
        <f>BO10</f>
        <v>0</v>
      </c>
      <c r="CM10" s="1">
        <f>BP10</f>
        <v>0</v>
      </c>
      <c r="CN10" s="1">
        <f>BQ10</f>
        <v>10</v>
      </c>
      <c r="CO10" s="1">
        <f>BR10</f>
        <v>20</v>
      </c>
      <c r="CP10" s="1">
        <f>BS10</f>
        <v>30</v>
      </c>
      <c r="CQ10" s="1">
        <f>BT10</f>
        <v>40</v>
      </c>
      <c r="CR10" s="1">
        <f>BU10</f>
        <v>50</v>
      </c>
      <c r="CS10" s="1">
        <f>BV10</f>
        <v>60</v>
      </c>
      <c r="CT10" s="1">
        <f>BW10</f>
        <v>70</v>
      </c>
      <c r="CU10" s="1">
        <f>BX10</f>
        <v>80</v>
      </c>
      <c r="CV10" s="1">
        <f>BY10</f>
        <v>90</v>
      </c>
      <c r="CW10" s="1">
        <f>BZ10</f>
        <v>100</v>
      </c>
      <c r="CX10" s="1">
        <f>CA10</f>
        <v>110</v>
      </c>
      <c r="CY10" s="1">
        <f>CB10</f>
        <v>120</v>
      </c>
      <c r="CZ10" s="1">
        <f>CC10</f>
        <v>130</v>
      </c>
      <c r="DA10" s="1">
        <f>CD10</f>
        <v>0</v>
      </c>
      <c r="DB10" s="1">
        <f>CE10</f>
        <v>0</v>
      </c>
      <c r="DC10" s="1">
        <f>CF10</f>
        <v>0</v>
      </c>
      <c r="DD10" s="1">
        <f>CG10</f>
        <v>0</v>
      </c>
    </row>
    <row r="11" spans="1:108" x14ac:dyDescent="0.2">
      <c r="BK11" s="1" t="s">
        <v>639</v>
      </c>
      <c r="BL11" s="1">
        <v>3</v>
      </c>
      <c r="BM11" s="1" t="s">
        <v>7</v>
      </c>
      <c r="BR11" s="1">
        <f>BR5</f>
        <v>10</v>
      </c>
      <c r="BS11" s="1">
        <f>BS5</f>
        <v>20</v>
      </c>
      <c r="BT11" s="1">
        <f>BT5</f>
        <v>30</v>
      </c>
      <c r="BU11" s="1">
        <f>BU5</f>
        <v>40</v>
      </c>
      <c r="BV11" s="1">
        <f>BV5</f>
        <v>50</v>
      </c>
      <c r="BW11" s="1">
        <f>BW5</f>
        <v>60</v>
      </c>
      <c r="BX11" s="1">
        <f>BX5</f>
        <v>70</v>
      </c>
      <c r="BY11" s="1">
        <f>BY5</f>
        <v>80</v>
      </c>
      <c r="BZ11" s="1">
        <f>BZ5</f>
        <v>90</v>
      </c>
      <c r="CA11" s="1">
        <f>CA5</f>
        <v>100</v>
      </c>
      <c r="CB11" s="1">
        <f>CB5</f>
        <v>110</v>
      </c>
      <c r="CC11" s="1">
        <f>CC5</f>
        <v>120</v>
      </c>
      <c r="CD11" s="1">
        <f>CD5</f>
        <v>130</v>
      </c>
      <c r="CH11" s="1" t="s">
        <v>639</v>
      </c>
      <c r="CI11" s="1">
        <v>3</v>
      </c>
      <c r="CJ11" s="1" t="s">
        <v>7</v>
      </c>
      <c r="CK11" s="1">
        <f>BN11</f>
        <v>0</v>
      </c>
      <c r="CL11" s="1">
        <f>BO11</f>
        <v>0</v>
      </c>
      <c r="CM11" s="1">
        <f>BP11</f>
        <v>0</v>
      </c>
      <c r="CN11" s="1">
        <f>BQ11</f>
        <v>0</v>
      </c>
      <c r="CO11" s="1">
        <f>BR11</f>
        <v>10</v>
      </c>
      <c r="CP11" s="1">
        <f>BS11</f>
        <v>20</v>
      </c>
      <c r="CQ11" s="1">
        <f>BT11</f>
        <v>30</v>
      </c>
      <c r="CR11" s="1">
        <f>BU11</f>
        <v>40</v>
      </c>
      <c r="CS11" s="1">
        <f>BV11</f>
        <v>50</v>
      </c>
      <c r="CT11" s="1">
        <f>BW11</f>
        <v>60</v>
      </c>
      <c r="CU11" s="1">
        <f>BX11</f>
        <v>70</v>
      </c>
      <c r="CV11" s="1">
        <f>BY11</f>
        <v>80</v>
      </c>
      <c r="CW11" s="1">
        <f>BZ11</f>
        <v>90</v>
      </c>
      <c r="CX11" s="1">
        <f>CA11</f>
        <v>100</v>
      </c>
      <c r="CY11" s="1">
        <f>CB11</f>
        <v>110</v>
      </c>
      <c r="CZ11" s="1">
        <f>CC11</f>
        <v>120</v>
      </c>
      <c r="DA11" s="1">
        <f>CD11</f>
        <v>130</v>
      </c>
      <c r="DB11" s="1">
        <f>CE11</f>
        <v>0</v>
      </c>
      <c r="DC11" s="1">
        <f>CF11</f>
        <v>0</v>
      </c>
      <c r="DD11" s="1">
        <f>CG11</f>
        <v>0</v>
      </c>
    </row>
    <row r="12" spans="1:108" x14ac:dyDescent="0.2">
      <c r="BK12" s="1" t="s">
        <v>826</v>
      </c>
      <c r="BL12" s="1">
        <v>1</v>
      </c>
      <c r="BM12" s="1" t="s">
        <v>6</v>
      </c>
      <c r="BT12" s="1">
        <f>BT3</f>
        <v>10</v>
      </c>
      <c r="BU12" s="1">
        <f>BU3</f>
        <v>20</v>
      </c>
      <c r="BV12" s="1">
        <f>BV3</f>
        <v>30</v>
      </c>
      <c r="BW12" s="1">
        <f>BW3</f>
        <v>40</v>
      </c>
      <c r="BX12" s="1">
        <f>BX3</f>
        <v>50</v>
      </c>
      <c r="BY12" s="1">
        <f>BY3</f>
        <v>60</v>
      </c>
      <c r="BZ12" s="1">
        <f>BZ3</f>
        <v>70</v>
      </c>
      <c r="CA12" s="1">
        <f>CA3</f>
        <v>80</v>
      </c>
      <c r="CB12" s="1">
        <f>CB3</f>
        <v>90</v>
      </c>
      <c r="CC12" s="1">
        <f>CC3</f>
        <v>100</v>
      </c>
      <c r="CD12" s="1">
        <f>CD3</f>
        <v>110</v>
      </c>
      <c r="CE12" s="1">
        <f>CE3</f>
        <v>120</v>
      </c>
      <c r="CF12" s="1">
        <f>CF3</f>
        <v>130</v>
      </c>
      <c r="CH12" s="1" t="s">
        <v>826</v>
      </c>
      <c r="CI12" s="1">
        <v>1</v>
      </c>
      <c r="CJ12" s="1" t="s">
        <v>6</v>
      </c>
      <c r="CK12" s="1">
        <f>BN12</f>
        <v>0</v>
      </c>
      <c r="CL12" s="1">
        <f>BO12</f>
        <v>0</v>
      </c>
      <c r="CM12" s="1">
        <f>BP12</f>
        <v>0</v>
      </c>
      <c r="CN12" s="1">
        <f>BQ12</f>
        <v>0</v>
      </c>
      <c r="CO12" s="1">
        <f>BR12</f>
        <v>0</v>
      </c>
      <c r="CP12" s="1">
        <f>BS12</f>
        <v>0</v>
      </c>
      <c r="CQ12" s="1">
        <f>BT12</f>
        <v>10</v>
      </c>
      <c r="CR12" s="1">
        <f>BU12</f>
        <v>20</v>
      </c>
      <c r="CS12" s="1">
        <f>BV12</f>
        <v>30</v>
      </c>
      <c r="CT12" s="1">
        <f>BW12</f>
        <v>40</v>
      </c>
      <c r="CU12" s="1">
        <f>BX12</f>
        <v>50</v>
      </c>
      <c r="CV12" s="1">
        <f>BY12</f>
        <v>60</v>
      </c>
      <c r="CW12" s="1">
        <f>BZ12</f>
        <v>70</v>
      </c>
      <c r="CX12" s="1">
        <f>CA12</f>
        <v>80</v>
      </c>
      <c r="CY12" s="1">
        <f>CB12</f>
        <v>90</v>
      </c>
      <c r="CZ12" s="1">
        <f>CC12</f>
        <v>100</v>
      </c>
      <c r="DA12" s="1">
        <f>CD12</f>
        <v>110</v>
      </c>
      <c r="DB12" s="1">
        <f>CE12</f>
        <v>120</v>
      </c>
      <c r="DC12" s="1">
        <f>CF12</f>
        <v>130</v>
      </c>
      <c r="DD12" s="1">
        <f>CG12</f>
        <v>0</v>
      </c>
    </row>
    <row r="13" spans="1:108" x14ac:dyDescent="0.2">
      <c r="BK13" s="1" t="s">
        <v>740</v>
      </c>
      <c r="BL13" s="1">
        <v>2</v>
      </c>
      <c r="BM13" s="1" t="s">
        <v>5</v>
      </c>
      <c r="BS13" s="1">
        <f>BT12</f>
        <v>10</v>
      </c>
      <c r="BT13" s="1">
        <f>BU12</f>
        <v>20</v>
      </c>
      <c r="BU13" s="1">
        <f>BV12</f>
        <v>30</v>
      </c>
      <c r="BV13" s="1">
        <f>BW12</f>
        <v>40</v>
      </c>
      <c r="BW13" s="1">
        <f>BX12</f>
        <v>50</v>
      </c>
      <c r="BX13" s="1">
        <f>BY12</f>
        <v>60</v>
      </c>
      <c r="BY13" s="1">
        <f>BZ12</f>
        <v>70</v>
      </c>
      <c r="BZ13" s="1">
        <f>CA12</f>
        <v>80</v>
      </c>
      <c r="CA13" s="1">
        <f>CB12</f>
        <v>90</v>
      </c>
      <c r="CB13" s="1">
        <f>CC12</f>
        <v>100</v>
      </c>
      <c r="CC13" s="1">
        <f>CD12</f>
        <v>110</v>
      </c>
      <c r="CD13" s="1">
        <f>CE12</f>
        <v>120</v>
      </c>
      <c r="CE13" s="1">
        <f>CF12</f>
        <v>130</v>
      </c>
      <c r="CF13" s="1">
        <f>CG12</f>
        <v>0</v>
      </c>
      <c r="CH13" s="1" t="s">
        <v>740</v>
      </c>
      <c r="CI13" s="1">
        <v>2</v>
      </c>
      <c r="CJ13" s="1" t="s">
        <v>5</v>
      </c>
      <c r="CK13" s="1">
        <f>BN13</f>
        <v>0</v>
      </c>
      <c r="CL13" s="1">
        <f>BO13</f>
        <v>0</v>
      </c>
      <c r="CM13" s="1">
        <f>BP13</f>
        <v>0</v>
      </c>
      <c r="CN13" s="1">
        <f>BQ13</f>
        <v>0</v>
      </c>
      <c r="CO13" s="1">
        <f>BR13</f>
        <v>0</v>
      </c>
      <c r="CP13" s="1">
        <f>BS13</f>
        <v>10</v>
      </c>
      <c r="CQ13" s="1">
        <f>BT13</f>
        <v>20</v>
      </c>
      <c r="CR13" s="1">
        <f>BU13</f>
        <v>30</v>
      </c>
      <c r="CS13" s="1">
        <f>BV13</f>
        <v>40</v>
      </c>
      <c r="CT13" s="1">
        <f>BW13</f>
        <v>50</v>
      </c>
      <c r="CU13" s="1">
        <f>BX13</f>
        <v>60</v>
      </c>
      <c r="CV13" s="1">
        <f>BY13</f>
        <v>70</v>
      </c>
      <c r="CW13" s="1">
        <f>BZ13</f>
        <v>80</v>
      </c>
      <c r="CX13" s="1">
        <f>CA13</f>
        <v>90</v>
      </c>
      <c r="CY13" s="1">
        <f>CB13</f>
        <v>100</v>
      </c>
      <c r="CZ13" s="1">
        <f>CC13</f>
        <v>110</v>
      </c>
      <c r="DA13" s="1">
        <f>CD13</f>
        <v>120</v>
      </c>
      <c r="DB13" s="1">
        <f>CE13</f>
        <v>130</v>
      </c>
      <c r="DC13" s="1">
        <f>CF13</f>
        <v>0</v>
      </c>
      <c r="DD13" s="1">
        <f>CG13</f>
        <v>0</v>
      </c>
    </row>
    <row r="14" spans="1:108" x14ac:dyDescent="0.2">
      <c r="BK14" s="1" t="s">
        <v>741</v>
      </c>
      <c r="BL14" s="1">
        <v>3</v>
      </c>
      <c r="BM14" s="1" t="s">
        <v>4</v>
      </c>
      <c r="BR14" s="1">
        <f>BS13</f>
        <v>10</v>
      </c>
      <c r="BS14" s="1">
        <f>BT13</f>
        <v>20</v>
      </c>
      <c r="BT14" s="1">
        <f>BU13</f>
        <v>30</v>
      </c>
      <c r="BU14" s="1">
        <f>BV13</f>
        <v>40</v>
      </c>
      <c r="BV14" s="1">
        <f>BW13</f>
        <v>50</v>
      </c>
      <c r="BW14" s="1">
        <f>BX13</f>
        <v>60</v>
      </c>
      <c r="BX14" s="1">
        <f>BY13</f>
        <v>70</v>
      </c>
      <c r="BY14" s="1">
        <f>BZ13</f>
        <v>80</v>
      </c>
      <c r="BZ14" s="1">
        <f>CA13</f>
        <v>90</v>
      </c>
      <c r="CA14" s="1">
        <f>CB13</f>
        <v>100</v>
      </c>
      <c r="CB14" s="1">
        <f>CC13</f>
        <v>110</v>
      </c>
      <c r="CC14" s="1">
        <f>CD13</f>
        <v>120</v>
      </c>
      <c r="CD14" s="1">
        <f>CE13</f>
        <v>130</v>
      </c>
      <c r="CE14" s="1">
        <f>CF13</f>
        <v>0</v>
      </c>
      <c r="CH14" s="1" t="s">
        <v>741</v>
      </c>
      <c r="CI14" s="1">
        <v>3</v>
      </c>
      <c r="CJ14" s="1" t="s">
        <v>4</v>
      </c>
      <c r="CK14" s="1">
        <f>BN14</f>
        <v>0</v>
      </c>
      <c r="CL14" s="1">
        <f>BO14</f>
        <v>0</v>
      </c>
      <c r="CM14" s="1">
        <f>BP14</f>
        <v>0</v>
      </c>
      <c r="CN14" s="1">
        <f>BQ14</f>
        <v>0</v>
      </c>
      <c r="CO14" s="1">
        <f>BR14</f>
        <v>10</v>
      </c>
      <c r="CP14" s="1">
        <f>BS14</f>
        <v>20</v>
      </c>
      <c r="CQ14" s="1">
        <f>BT14</f>
        <v>30</v>
      </c>
      <c r="CR14" s="1">
        <f>BU14</f>
        <v>40</v>
      </c>
      <c r="CS14" s="1">
        <f>BV14</f>
        <v>50</v>
      </c>
      <c r="CT14" s="1">
        <f>BW14</f>
        <v>60</v>
      </c>
      <c r="CU14" s="1">
        <f>BX14</f>
        <v>70</v>
      </c>
      <c r="CV14" s="1">
        <f>BY14</f>
        <v>80</v>
      </c>
      <c r="CW14" s="1">
        <f>BZ14</f>
        <v>90</v>
      </c>
      <c r="CX14" s="1">
        <f>CA14</f>
        <v>100</v>
      </c>
      <c r="CY14" s="1">
        <f>CB14</f>
        <v>110</v>
      </c>
      <c r="CZ14" s="1">
        <f>CC14</f>
        <v>120</v>
      </c>
      <c r="DA14" s="1">
        <f>CD14</f>
        <v>130</v>
      </c>
      <c r="DB14" s="1">
        <f>CE14</f>
        <v>0</v>
      </c>
      <c r="DC14" s="1">
        <f>CF14</f>
        <v>0</v>
      </c>
      <c r="DD14" s="1">
        <f>CG14</f>
        <v>0</v>
      </c>
    </row>
    <row r="15" spans="1:108" x14ac:dyDescent="0.2">
      <c r="BK15" s="1" t="s">
        <v>809</v>
      </c>
      <c r="BL15" s="1">
        <v>3</v>
      </c>
      <c r="BM15" s="1" t="s">
        <v>0</v>
      </c>
      <c r="BR15" s="1">
        <f>BR14</f>
        <v>10</v>
      </c>
      <c r="BS15" s="1">
        <f>BS14</f>
        <v>20</v>
      </c>
      <c r="BT15" s="1">
        <f>BT14</f>
        <v>30</v>
      </c>
      <c r="BU15" s="1">
        <f>BU14</f>
        <v>40</v>
      </c>
      <c r="BV15" s="1">
        <f>BV14</f>
        <v>50</v>
      </c>
      <c r="BW15" s="1">
        <f>BW14</f>
        <v>60</v>
      </c>
      <c r="BX15" s="1">
        <f>BX14</f>
        <v>70</v>
      </c>
      <c r="BY15" s="1">
        <f>BY14</f>
        <v>80</v>
      </c>
      <c r="BZ15" s="1">
        <f>BZ14</f>
        <v>90</v>
      </c>
      <c r="CA15" s="1">
        <f>CA14</f>
        <v>100</v>
      </c>
      <c r="CB15" s="1">
        <f>CB14</f>
        <v>110</v>
      </c>
      <c r="CC15" s="1">
        <f>CC14</f>
        <v>120</v>
      </c>
      <c r="CD15" s="1">
        <f>CD14</f>
        <v>130</v>
      </c>
      <c r="CE15" s="1">
        <f>CE14</f>
        <v>0</v>
      </c>
      <c r="CH15" s="1" t="s">
        <v>809</v>
      </c>
      <c r="CI15" s="1">
        <v>3</v>
      </c>
      <c r="CJ15" s="1" t="s">
        <v>0</v>
      </c>
      <c r="CK15" s="1">
        <f>BN15</f>
        <v>0</v>
      </c>
      <c r="CL15" s="1">
        <f>BO15</f>
        <v>0</v>
      </c>
      <c r="CM15" s="1">
        <f>BP15</f>
        <v>0</v>
      </c>
      <c r="CN15" s="1">
        <f>BQ15</f>
        <v>0</v>
      </c>
      <c r="CO15" s="1">
        <f>BR15</f>
        <v>10</v>
      </c>
      <c r="CP15" s="1">
        <f>BS15</f>
        <v>20</v>
      </c>
      <c r="CQ15" s="1">
        <f>BT15</f>
        <v>30</v>
      </c>
      <c r="CR15" s="1">
        <f>BU15</f>
        <v>40</v>
      </c>
      <c r="CS15" s="1">
        <f>BV15</f>
        <v>50</v>
      </c>
      <c r="CT15" s="1">
        <f>BW15</f>
        <v>60</v>
      </c>
      <c r="CU15" s="1">
        <f>BX15</f>
        <v>70</v>
      </c>
      <c r="CV15" s="1">
        <f>BY15</f>
        <v>80</v>
      </c>
      <c r="CW15" s="1">
        <f>BZ15</f>
        <v>90</v>
      </c>
      <c r="CX15" s="1">
        <f>CA15</f>
        <v>100</v>
      </c>
      <c r="CY15" s="1">
        <f>CB15</f>
        <v>110</v>
      </c>
      <c r="CZ15" s="1">
        <f>CC15</f>
        <v>120</v>
      </c>
      <c r="DA15" s="1">
        <f>CD15</f>
        <v>130</v>
      </c>
      <c r="DB15" s="1">
        <f>CE15</f>
        <v>0</v>
      </c>
      <c r="DC15" s="1">
        <f>CF15</f>
        <v>0</v>
      </c>
      <c r="DD15" s="1">
        <f>CG15</f>
        <v>0</v>
      </c>
    </row>
    <row r="16" spans="1:108" x14ac:dyDescent="0.2">
      <c r="A16" s="1">
        <v>48</v>
      </c>
      <c r="F16" s="18"/>
      <c r="H16" s="1">
        <v>910</v>
      </c>
      <c r="I16" s="1">
        <v>910</v>
      </c>
      <c r="J16" s="1">
        <v>910</v>
      </c>
      <c r="K16" s="1">
        <v>910</v>
      </c>
      <c r="L16" s="1">
        <v>910</v>
      </c>
      <c r="M16" s="1">
        <v>910</v>
      </c>
      <c r="N16" s="1">
        <v>910</v>
      </c>
      <c r="O16" s="1">
        <v>910</v>
      </c>
      <c r="P16" s="1">
        <v>910</v>
      </c>
      <c r="Q16" s="1">
        <v>910</v>
      </c>
      <c r="R16" s="1">
        <v>910</v>
      </c>
      <c r="S16" s="1">
        <v>910</v>
      </c>
      <c r="T16" s="1">
        <v>910</v>
      </c>
      <c r="U16" s="1">
        <v>910</v>
      </c>
      <c r="V16" s="1">
        <v>910</v>
      </c>
      <c r="W16" s="1">
        <v>910</v>
      </c>
      <c r="X16" s="1">
        <v>910</v>
      </c>
      <c r="Y16" s="1">
        <v>910</v>
      </c>
      <c r="BK16" s="1" t="s">
        <v>823</v>
      </c>
      <c r="BL16" s="1">
        <v>1</v>
      </c>
      <c r="BM16" s="1" t="s">
        <v>3</v>
      </c>
      <c r="BT16" s="1">
        <f>BT12</f>
        <v>10</v>
      </c>
      <c r="BU16" s="1">
        <f>BU12</f>
        <v>20</v>
      </c>
      <c r="BV16" s="1">
        <f>BV12</f>
        <v>30</v>
      </c>
      <c r="BW16" s="1">
        <f>BW12</f>
        <v>40</v>
      </c>
      <c r="BX16" s="1">
        <f>BX12</f>
        <v>50</v>
      </c>
      <c r="BY16" s="1">
        <f>BY12</f>
        <v>60</v>
      </c>
      <c r="BZ16" s="1">
        <f>BZ12</f>
        <v>70</v>
      </c>
      <c r="CA16" s="1">
        <f>CA12</f>
        <v>80</v>
      </c>
      <c r="CB16" s="1">
        <f>CB12</f>
        <v>90</v>
      </c>
      <c r="CC16" s="1">
        <f>CC12</f>
        <v>100</v>
      </c>
      <c r="CD16" s="1">
        <f>CD12</f>
        <v>110</v>
      </c>
      <c r="CE16" s="1">
        <f>CE12</f>
        <v>120</v>
      </c>
      <c r="CF16" s="1">
        <f>CF12</f>
        <v>130</v>
      </c>
      <c r="CH16" s="1" t="s">
        <v>823</v>
      </c>
      <c r="CI16" s="1">
        <v>1</v>
      </c>
      <c r="CJ16" s="1" t="s">
        <v>3</v>
      </c>
      <c r="CK16" s="1">
        <f>BN16</f>
        <v>0</v>
      </c>
      <c r="CL16" s="1">
        <f>BO16</f>
        <v>0</v>
      </c>
      <c r="CM16" s="1">
        <f>BP16</f>
        <v>0</v>
      </c>
      <c r="CN16" s="1">
        <f>BQ16</f>
        <v>0</v>
      </c>
      <c r="CO16" s="1">
        <f>BR16</f>
        <v>0</v>
      </c>
      <c r="CP16" s="1">
        <f>BS16</f>
        <v>0</v>
      </c>
      <c r="CQ16" s="1">
        <f>BT16</f>
        <v>10</v>
      </c>
      <c r="CR16" s="1">
        <f>BU16</f>
        <v>20</v>
      </c>
      <c r="CS16" s="1">
        <f>BV16</f>
        <v>30</v>
      </c>
      <c r="CT16" s="1">
        <f>BW16</f>
        <v>40</v>
      </c>
      <c r="CU16" s="1">
        <f>BX16</f>
        <v>50</v>
      </c>
      <c r="CV16" s="1">
        <f>BY16</f>
        <v>60</v>
      </c>
      <c r="CW16" s="1">
        <f>BZ16</f>
        <v>70</v>
      </c>
      <c r="CX16" s="1">
        <f>CA16</f>
        <v>80</v>
      </c>
      <c r="CY16" s="1">
        <f>CB16</f>
        <v>90</v>
      </c>
      <c r="CZ16" s="1">
        <f>CC16</f>
        <v>100</v>
      </c>
      <c r="DA16" s="1">
        <f>CD16</f>
        <v>110</v>
      </c>
      <c r="DB16" s="1">
        <f>CE16</f>
        <v>120</v>
      </c>
      <c r="DC16" s="1">
        <f>CF16</f>
        <v>130</v>
      </c>
      <c r="DD16" s="1">
        <f>CG16</f>
        <v>0</v>
      </c>
    </row>
    <row r="17" spans="1:108" ht="13.5" thickBot="1" x14ac:dyDescent="0.25">
      <c r="A17" s="1">
        <v>1</v>
      </c>
      <c r="F17" s="18"/>
      <c r="H17" s="1">
        <f>COUNTIF(H21:H315,"&gt;0")</f>
        <v>8</v>
      </c>
      <c r="I17" s="1">
        <f>COUNTIF(I21:I315,"&gt;0")</f>
        <v>8</v>
      </c>
      <c r="J17" s="1">
        <f>COUNTIF(J21:J315,"&gt;0")</f>
        <v>7</v>
      </c>
      <c r="K17" s="1">
        <f>COUNTIF(K21:K315,"&gt;0")</f>
        <v>45</v>
      </c>
      <c r="L17" s="1">
        <f>COUNTIF(L21:L315,"&gt;0")</f>
        <v>8</v>
      </c>
      <c r="M17" s="1">
        <f>COUNTIF(M21:M315,"&gt;0")</f>
        <v>13</v>
      </c>
      <c r="N17" s="1">
        <f>COUNTIF(N21:N315,"&gt;0")</f>
        <v>3</v>
      </c>
      <c r="O17" s="1">
        <f>COUNTIF(O21:O315,"&gt;0")</f>
        <v>1</v>
      </c>
      <c r="P17" s="1">
        <f>COUNTIF(P21:P315,"&gt;0")</f>
        <v>1</v>
      </c>
      <c r="Q17" s="1">
        <f>COUNTIF(Q21:Q315,"&gt;0")</f>
        <v>7</v>
      </c>
      <c r="R17" s="1">
        <f>COUNTIF(R21:R315,"&gt;0")</f>
        <v>40</v>
      </c>
      <c r="S17" s="1">
        <f>COUNTIF(S21:S315,"&gt;0")</f>
        <v>27</v>
      </c>
      <c r="T17" s="1">
        <f>COUNTIF(T21:T315,"&gt;0")</f>
        <v>96</v>
      </c>
      <c r="U17" s="1">
        <f>COUNTIF(U21:U315,"&gt;0")</f>
        <v>52</v>
      </c>
      <c r="V17" s="1">
        <f>COUNTIF(V21:V315,"&gt;0")</f>
        <v>39</v>
      </c>
      <c r="W17" s="1">
        <f>COUNTIF(W21:W315,"&gt;0")</f>
        <v>27</v>
      </c>
      <c r="X17" s="1">
        <f>COUNTIF(X21:X315,"&gt;0")</f>
        <v>92</v>
      </c>
      <c r="Y17" s="1">
        <f>COUNTIF(Y21:Y315,"&gt;0")</f>
        <v>52</v>
      </c>
      <c r="BK17" s="1" t="s">
        <v>740</v>
      </c>
      <c r="BL17" s="1">
        <v>2</v>
      </c>
      <c r="BM17" s="1" t="s">
        <v>2</v>
      </c>
      <c r="BS17" s="1">
        <f>BT16</f>
        <v>10</v>
      </c>
      <c r="BT17" s="1">
        <f>BU16</f>
        <v>20</v>
      </c>
      <c r="BU17" s="1">
        <f>BV16</f>
        <v>30</v>
      </c>
      <c r="BV17" s="1">
        <f>BW16</f>
        <v>40</v>
      </c>
      <c r="BW17" s="1">
        <f>BX16</f>
        <v>50</v>
      </c>
      <c r="BX17" s="1">
        <f>BY16</f>
        <v>60</v>
      </c>
      <c r="BY17" s="1">
        <f>BZ16</f>
        <v>70</v>
      </c>
      <c r="BZ17" s="1">
        <f>CA16</f>
        <v>80</v>
      </c>
      <c r="CA17" s="1">
        <f>CB16</f>
        <v>90</v>
      </c>
      <c r="CB17" s="1">
        <f>CC16</f>
        <v>100</v>
      </c>
      <c r="CC17" s="1">
        <f>CD16</f>
        <v>110</v>
      </c>
      <c r="CD17" s="1">
        <f>CE16</f>
        <v>120</v>
      </c>
      <c r="CE17" s="1">
        <f>CF16</f>
        <v>130</v>
      </c>
      <c r="CF17" s="1">
        <f>CG16</f>
        <v>0</v>
      </c>
      <c r="CH17" s="1" t="s">
        <v>740</v>
      </c>
      <c r="CI17" s="1">
        <v>2</v>
      </c>
      <c r="CJ17" s="1" t="s">
        <v>2</v>
      </c>
      <c r="CK17" s="1">
        <f>BN17</f>
        <v>0</v>
      </c>
      <c r="CL17" s="1">
        <f>BO17</f>
        <v>0</v>
      </c>
      <c r="CM17" s="1">
        <f>BP17</f>
        <v>0</v>
      </c>
      <c r="CN17" s="1">
        <f>BQ17</f>
        <v>0</v>
      </c>
      <c r="CO17" s="1">
        <f>BR17</f>
        <v>0</v>
      </c>
      <c r="CP17" s="1">
        <f>BS17</f>
        <v>10</v>
      </c>
      <c r="CQ17" s="1">
        <f>BT17</f>
        <v>20</v>
      </c>
      <c r="CR17" s="1">
        <f>BU17</f>
        <v>30</v>
      </c>
      <c r="CS17" s="1">
        <f>BV17</f>
        <v>40</v>
      </c>
      <c r="CT17" s="1">
        <f>BW17</f>
        <v>50</v>
      </c>
      <c r="CU17" s="1">
        <f>BX17</f>
        <v>60</v>
      </c>
      <c r="CV17" s="1">
        <f>BY17</f>
        <v>70</v>
      </c>
      <c r="CW17" s="1">
        <f>BZ17</f>
        <v>80</v>
      </c>
      <c r="CX17" s="1">
        <f>CA17</f>
        <v>90</v>
      </c>
      <c r="CY17" s="1">
        <f>CB17</f>
        <v>100</v>
      </c>
      <c r="CZ17" s="1">
        <f>CC17</f>
        <v>110</v>
      </c>
      <c r="DA17" s="1">
        <f>CD17</f>
        <v>120</v>
      </c>
      <c r="DB17" s="1">
        <f>CE17</f>
        <v>130</v>
      </c>
      <c r="DC17" s="1">
        <f>CF17</f>
        <v>0</v>
      </c>
      <c r="DD17" s="1">
        <f>CG17</f>
        <v>0</v>
      </c>
    </row>
    <row r="18" spans="1:108" ht="51.75" thickBot="1" x14ac:dyDescent="0.25">
      <c r="G18" s="1" t="s">
        <v>883</v>
      </c>
      <c r="H18" s="4" t="str">
        <f>VLOOKUP(H20,$B$21:$F$314,5,)</f>
        <v>ANTENNA F/ASSY</v>
      </c>
      <c r="I18" s="4" t="str">
        <f>VLOOKUP(I20,$B$21:$F$314,5,)</f>
        <v>PLANAR ARRAY</v>
      </c>
      <c r="J18" s="4" t="str">
        <f>VLOOKUP(J20,$B$21:$F$314,5,)</f>
        <v>ANT CIWS FINAL ASSY</v>
      </c>
      <c r="K18" s="4" t="str">
        <f>VLOOKUP(K20,$B$21:$F$314,5,)</f>
        <v>ANTENNA CIWS FINAL ASSY</v>
      </c>
      <c r="L18" s="4" t="str">
        <f>VLOOKUP(L20,$B$21:$F$314,5,)</f>
        <v>RADOME ANTENNA CIWS BONDING</v>
      </c>
      <c r="M18" s="4" t="str">
        <f>VLOOKUP(M20,$B$21:$F$314,5,)</f>
        <v>ANTENNA CIWS SUB ASSY</v>
      </c>
      <c r="N18" s="4" t="str">
        <f>VLOOKUP(N20,$B$21:$F$314,5,)</f>
        <v>LOWER PATCH RIVETING</v>
      </c>
      <c r="O18" s="4" t="str">
        <f>VLOOKUP(O20,$B$21:$F$314,5,)</f>
        <v>RADOME LAMINATE</v>
      </c>
      <c r="P18" s="4" t="str">
        <f>VLOOKUP(P20,$B$21:$F$314,5,)</f>
        <v>CONNECTOR TERMINATION PAINTIG</v>
      </c>
      <c r="Q18" s="4" t="str">
        <f>VLOOKUP(Q20,$B$21:$F$314,5,)</f>
        <v>PLATE ADAPTOR CIWS S/ASSY</v>
      </c>
      <c r="R18" s="4" t="str">
        <f>VLOOKUP(R20,$B$21:$F$314,5,)</f>
        <v>MODULE F/ASSY TRG ASSY</v>
      </c>
      <c r="S18" s="4" t="str">
        <f>VLOOKUP(S20,$B$21:$F$314,5,)</f>
        <v>TRA S/ASSY</v>
      </c>
      <c r="T18" s="4" t="str">
        <f>VLOOKUP(T20,$B$21:$F$314,5,)</f>
        <v>PC ASSY  RF CIWS</v>
      </c>
      <c r="U18" s="4" t="str">
        <f>VLOOKUP(U20,$B$21:$F$314,5,)</f>
        <v>ANT CTRL PC/ASSY</v>
      </c>
      <c r="V18" s="4" t="str">
        <f>VLOOKUP(V20,$B$21:$F$314,5,)</f>
        <v>MODULE F/ASSY RG ASSY</v>
      </c>
      <c r="W18" s="4" t="str">
        <f>VLOOKUP(W20,$B$21:$F$314,5,)</f>
        <v>TRA S/ASSY</v>
      </c>
      <c r="X18" s="4" t="str">
        <f>VLOOKUP(X20,$B$21:$F$314,5,)</f>
        <v>PC ASSY RF-RA</v>
      </c>
      <c r="Y18" s="4" t="str">
        <f>VLOOKUP(Y20,$B$21:$F$314,5,)</f>
        <v>ANT CTRL PC/ASSY</v>
      </c>
      <c r="Z18" s="3"/>
      <c r="AQ18" s="28" t="s">
        <v>907</v>
      </c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K18" s="1" t="s">
        <v>744</v>
      </c>
      <c r="BL18" s="1">
        <v>3</v>
      </c>
      <c r="BM18" s="1" t="s">
        <v>1</v>
      </c>
      <c r="BR18" s="1">
        <f>BR15</f>
        <v>10</v>
      </c>
      <c r="BS18" s="1">
        <f>BS15</f>
        <v>20</v>
      </c>
      <c r="BT18" s="1">
        <f>BT15</f>
        <v>30</v>
      </c>
      <c r="BU18" s="1">
        <f>BU15</f>
        <v>40</v>
      </c>
      <c r="BV18" s="1">
        <f>BV15</f>
        <v>50</v>
      </c>
      <c r="BW18" s="1">
        <f>BW15</f>
        <v>60</v>
      </c>
      <c r="BX18" s="1">
        <f>BX15</f>
        <v>70</v>
      </c>
      <c r="BY18" s="1">
        <f>BY15</f>
        <v>80</v>
      </c>
      <c r="BZ18" s="1">
        <f>BZ15</f>
        <v>90</v>
      </c>
      <c r="CA18" s="1">
        <f>CA15</f>
        <v>100</v>
      </c>
      <c r="CB18" s="1">
        <f>CB15</f>
        <v>110</v>
      </c>
      <c r="CC18" s="1">
        <f>CC15</f>
        <v>120</v>
      </c>
      <c r="CD18" s="1">
        <f>CD15</f>
        <v>130</v>
      </c>
      <c r="CE18" s="1">
        <f>CE15</f>
        <v>0</v>
      </c>
      <c r="CF18" s="1">
        <f>CF15</f>
        <v>0</v>
      </c>
      <c r="CH18" s="1" t="s">
        <v>744</v>
      </c>
      <c r="CI18" s="1">
        <v>3</v>
      </c>
      <c r="CJ18" s="1" t="s">
        <v>1</v>
      </c>
      <c r="CK18" s="1">
        <f>BN18</f>
        <v>0</v>
      </c>
      <c r="CL18" s="1">
        <f>BO18</f>
        <v>0</v>
      </c>
      <c r="CM18" s="1">
        <f>BP18</f>
        <v>0</v>
      </c>
      <c r="CN18" s="1">
        <f>BQ18</f>
        <v>0</v>
      </c>
      <c r="CO18" s="1">
        <f>BR18</f>
        <v>10</v>
      </c>
      <c r="CP18" s="1">
        <f>BS18</f>
        <v>20</v>
      </c>
      <c r="CQ18" s="1">
        <f>BT18</f>
        <v>30</v>
      </c>
      <c r="CR18" s="1">
        <f>BU18</f>
        <v>40</v>
      </c>
      <c r="CS18" s="1">
        <f>BV18</f>
        <v>50</v>
      </c>
      <c r="CT18" s="1">
        <f>BW18</f>
        <v>60</v>
      </c>
      <c r="CU18" s="1">
        <f>BX18</f>
        <v>70</v>
      </c>
      <c r="CV18" s="1">
        <f>BY18</f>
        <v>80</v>
      </c>
      <c r="CW18" s="1">
        <f>BZ18</f>
        <v>90</v>
      </c>
      <c r="CX18" s="1">
        <f>CA18</f>
        <v>100</v>
      </c>
      <c r="CY18" s="1">
        <f>CB18</f>
        <v>110</v>
      </c>
      <c r="CZ18" s="1">
        <f>CC18</f>
        <v>120</v>
      </c>
      <c r="DA18" s="1">
        <f>CD18</f>
        <v>130</v>
      </c>
      <c r="DB18" s="1">
        <f>CE18</f>
        <v>0</v>
      </c>
      <c r="DC18" s="1">
        <f>CF18</f>
        <v>0</v>
      </c>
      <c r="DD18" s="1">
        <f>CG18</f>
        <v>0</v>
      </c>
    </row>
    <row r="19" spans="1:108" ht="13.5" thickBot="1" x14ac:dyDescent="0.25">
      <c r="G19" s="1" t="s">
        <v>882</v>
      </c>
      <c r="H19" s="4">
        <f>VLOOKUP(H20,'[1]הזנת נתונים'!$K$2:$L$75,2,)</f>
        <v>0</v>
      </c>
      <c r="I19" s="4">
        <f>VLOOKUP(I20,'[1]הזנת נתונים'!$K$2:$L$75,2,)</f>
        <v>1</v>
      </c>
      <c r="J19" s="4">
        <f>VLOOKUP(J20,'[1]הזנת נתונים'!$K$2:$L$75,2,)</f>
        <v>2</v>
      </c>
      <c r="K19" s="4">
        <f>VLOOKUP(K20,'[1]הזנת נתונים'!$K$2:$L$75,2,)</f>
        <v>3</v>
      </c>
      <c r="L19" s="4">
        <f>VLOOKUP(L20,'[1]הזנת נתונים'!$K$2:$L$75,2,)</f>
        <v>4</v>
      </c>
      <c r="M19" s="4">
        <f>VLOOKUP(M20,'[1]הזנת נתונים'!$K$2:$L$75,2,)</f>
        <v>5</v>
      </c>
      <c r="N19" s="4">
        <f>VLOOKUP(N20,'[1]הזנת נתונים'!$K$2:$L$75,2,)</f>
        <v>6</v>
      </c>
      <c r="O19" s="4">
        <f>VLOOKUP(O20,'[1]הזנת נתונים'!$K$2:$L$75,2,)</f>
        <v>5</v>
      </c>
      <c r="P19" s="4">
        <f>VLOOKUP(P20,'[1]הזנת נתונים'!$K$2:$L$75,2,)</f>
        <v>4</v>
      </c>
      <c r="Q19" s="4">
        <f>VLOOKUP(Q20,'[1]הזנת נתונים'!$K$2:$L$75,2,)</f>
        <v>3</v>
      </c>
      <c r="R19" s="4">
        <f>VLOOKUP(R20,'[1]הזנת נתונים'!$K$2:$L$75,2,)</f>
        <v>1</v>
      </c>
      <c r="S19" s="4">
        <f>VLOOKUP(S20,'[1]הזנת נתונים'!$K$2:$L$75,2,)</f>
        <v>2</v>
      </c>
      <c r="T19" s="4">
        <f>VLOOKUP(T20,'[1]הזנת נתונים'!$K$2:$L$75,2,)</f>
        <v>3</v>
      </c>
      <c r="U19" s="4">
        <f>VLOOKUP(U20,'[1]הזנת נתונים'!$K$2:$L$75,2,)</f>
        <v>3</v>
      </c>
      <c r="V19" s="4">
        <f>VLOOKUP(V20,'[1]הזנת נתונים'!$K$2:$L$75,2,)</f>
        <v>1</v>
      </c>
      <c r="W19" s="4">
        <f>VLOOKUP(W20,'[1]הזנת נתונים'!$K$2:$L$75,2,)</f>
        <v>2</v>
      </c>
      <c r="X19" s="4">
        <f>VLOOKUP(X20,'[1]הזנת נתונים'!$K$2:$L$75,2,)</f>
        <v>3</v>
      </c>
      <c r="Y19" s="4">
        <f>VLOOKUP(Y20,'[1]הזנת נתונים'!$K$2:$L$75,2,)</f>
        <v>3</v>
      </c>
      <c r="Z19" s="3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K19" s="1" t="s">
        <v>809</v>
      </c>
      <c r="BL19" s="1">
        <v>3</v>
      </c>
      <c r="BM19" s="1" t="s">
        <v>0</v>
      </c>
      <c r="BR19" s="1">
        <f>BR18</f>
        <v>10</v>
      </c>
      <c r="BS19" s="1">
        <f>BS18</f>
        <v>20</v>
      </c>
      <c r="BT19" s="1">
        <f>BT18</f>
        <v>30</v>
      </c>
      <c r="BU19" s="1">
        <f>BU18</f>
        <v>40</v>
      </c>
      <c r="BV19" s="1">
        <f>BV18</f>
        <v>50</v>
      </c>
      <c r="BW19" s="1">
        <f>BW18</f>
        <v>60</v>
      </c>
      <c r="BX19" s="1">
        <f>BX18</f>
        <v>70</v>
      </c>
      <c r="BY19" s="1">
        <f>BY18</f>
        <v>80</v>
      </c>
      <c r="BZ19" s="1">
        <f>BZ18</f>
        <v>90</v>
      </c>
      <c r="CA19" s="1">
        <f>CA18</f>
        <v>100</v>
      </c>
      <c r="CB19" s="1">
        <f>CB18</f>
        <v>110</v>
      </c>
      <c r="CC19" s="1">
        <f>CC18</f>
        <v>120</v>
      </c>
      <c r="CD19" s="1">
        <f>CD18</f>
        <v>130</v>
      </c>
      <c r="CE19" s="1">
        <f>CE18</f>
        <v>0</v>
      </c>
      <c r="CF19" s="1">
        <f>CF18</f>
        <v>0</v>
      </c>
      <c r="CH19" s="1" t="s">
        <v>809</v>
      </c>
      <c r="CI19" s="1">
        <v>3</v>
      </c>
      <c r="CJ19" s="1" t="s">
        <v>0</v>
      </c>
      <c r="CK19" s="1">
        <f>BN19</f>
        <v>0</v>
      </c>
      <c r="CL19" s="1">
        <f>BO19</f>
        <v>0</v>
      </c>
      <c r="CM19" s="1">
        <f>BP19</f>
        <v>0</v>
      </c>
      <c r="CN19" s="1">
        <f>BQ19</f>
        <v>0</v>
      </c>
      <c r="CO19" s="1">
        <f>BR19</f>
        <v>10</v>
      </c>
      <c r="CP19" s="1">
        <f>BS19</f>
        <v>20</v>
      </c>
      <c r="CQ19" s="1">
        <f>BT19</f>
        <v>30</v>
      </c>
      <c r="CR19" s="1">
        <f>BU19</f>
        <v>40</v>
      </c>
      <c r="CS19" s="1">
        <f>BV19</f>
        <v>50</v>
      </c>
      <c r="CT19" s="1">
        <f>BW19</f>
        <v>60</v>
      </c>
      <c r="CU19" s="1">
        <f>BX19</f>
        <v>70</v>
      </c>
      <c r="CV19" s="1">
        <f>BY19</f>
        <v>80</v>
      </c>
      <c r="CW19" s="1">
        <f>BZ19</f>
        <v>90</v>
      </c>
      <c r="CX19" s="1">
        <f>CA19</f>
        <v>100</v>
      </c>
      <c r="CY19" s="1">
        <f>CB19</f>
        <v>110</v>
      </c>
      <c r="CZ19" s="1">
        <f>CC19</f>
        <v>120</v>
      </c>
      <c r="DA19" s="1">
        <f>CD19</f>
        <v>130</v>
      </c>
      <c r="DB19" s="1">
        <f>CE19</f>
        <v>0</v>
      </c>
      <c r="DC19" s="1">
        <f>CF19</f>
        <v>0</v>
      </c>
      <c r="DD19" s="1">
        <f>CG19</f>
        <v>0</v>
      </c>
    </row>
    <row r="20" spans="1:108" ht="30" customHeight="1" thickBot="1" x14ac:dyDescent="0.25">
      <c r="A20" s="11" t="s">
        <v>906</v>
      </c>
      <c r="B20" s="11" t="s">
        <v>905</v>
      </c>
      <c r="C20" s="11" t="s">
        <v>904</v>
      </c>
      <c r="D20" s="11" t="s">
        <v>903</v>
      </c>
      <c r="E20" s="11" t="s">
        <v>902</v>
      </c>
      <c r="F20" s="11" t="s">
        <v>901</v>
      </c>
      <c r="G20" s="11" t="s">
        <v>900</v>
      </c>
      <c r="H20" s="27" t="s">
        <v>16</v>
      </c>
      <c r="I20" s="4" t="s">
        <v>15</v>
      </c>
      <c r="J20" s="4" t="s">
        <v>14</v>
      </c>
      <c r="K20" s="4" t="s">
        <v>13</v>
      </c>
      <c r="L20" s="4" t="s">
        <v>12</v>
      </c>
      <c r="M20" s="4" t="s">
        <v>11</v>
      </c>
      <c r="N20" s="4" t="s">
        <v>10</v>
      </c>
      <c r="O20" s="4" t="s">
        <v>9</v>
      </c>
      <c r="P20" s="27" t="s">
        <v>8</v>
      </c>
      <c r="Q20" s="4" t="s">
        <v>7</v>
      </c>
      <c r="R20" s="4" t="s">
        <v>6</v>
      </c>
      <c r="S20" s="4" t="s">
        <v>5</v>
      </c>
      <c r="T20" s="4" t="s">
        <v>4</v>
      </c>
      <c r="U20" s="4" t="s">
        <v>0</v>
      </c>
      <c r="V20" s="4" t="s">
        <v>3</v>
      </c>
      <c r="W20" s="4" t="s">
        <v>2</v>
      </c>
      <c r="X20" s="4" t="s">
        <v>1</v>
      </c>
      <c r="Y20" s="4" t="s">
        <v>0</v>
      </c>
      <c r="Z20" s="4" t="s">
        <v>899</v>
      </c>
      <c r="AA20" s="11" t="s">
        <v>898</v>
      </c>
      <c r="AB20" s="11" t="s">
        <v>897</v>
      </c>
      <c r="AC20" s="26" t="s">
        <v>896</v>
      </c>
      <c r="AD20" s="26" t="s">
        <v>17</v>
      </c>
      <c r="AE20" s="26" t="s">
        <v>895</v>
      </c>
      <c r="AF20" s="26" t="s">
        <v>894</v>
      </c>
      <c r="AG20" s="26" t="s">
        <v>893</v>
      </c>
      <c r="AH20" s="26" t="s">
        <v>892</v>
      </c>
      <c r="AI20" s="26" t="s">
        <v>891</v>
      </c>
      <c r="AJ20" s="26" t="s">
        <v>890</v>
      </c>
      <c r="AK20" s="26" t="s">
        <v>889</v>
      </c>
      <c r="AL20" s="26" t="s">
        <v>888</v>
      </c>
      <c r="AM20" s="26" t="s">
        <v>887</v>
      </c>
      <c r="AN20" s="26" t="s">
        <v>886</v>
      </c>
      <c r="AO20" s="13" t="s">
        <v>885</v>
      </c>
      <c r="AP20" s="1" t="s">
        <v>884</v>
      </c>
      <c r="AQ20" s="25">
        <v>46753</v>
      </c>
      <c r="AR20" s="25">
        <v>46784</v>
      </c>
      <c r="AS20" s="25">
        <v>46813</v>
      </c>
      <c r="AT20" s="25">
        <v>46844</v>
      </c>
      <c r="AU20" s="25">
        <v>46874</v>
      </c>
      <c r="AV20" s="25">
        <v>46905</v>
      </c>
      <c r="AW20" s="25">
        <v>46935</v>
      </c>
      <c r="AX20" s="25">
        <v>46966</v>
      </c>
      <c r="AY20" s="25">
        <v>46997</v>
      </c>
      <c r="AZ20" s="25">
        <v>47027</v>
      </c>
      <c r="BA20" s="25">
        <v>47058</v>
      </c>
      <c r="BB20" s="25">
        <v>47088</v>
      </c>
      <c r="BC20" s="25">
        <v>47119</v>
      </c>
      <c r="BD20" s="25">
        <v>47150</v>
      </c>
      <c r="BE20" s="25">
        <v>47178</v>
      </c>
      <c r="BF20" s="25">
        <v>47209</v>
      </c>
      <c r="BG20" s="25">
        <v>47239</v>
      </c>
      <c r="BH20" s="25">
        <v>47270</v>
      </c>
      <c r="BI20" s="25">
        <v>47300</v>
      </c>
      <c r="BJ20" s="25">
        <v>47331</v>
      </c>
      <c r="BK20" s="1" t="s">
        <v>883</v>
      </c>
      <c r="BL20" s="1" t="s">
        <v>882</v>
      </c>
      <c r="BM20" s="1" t="s">
        <v>881</v>
      </c>
      <c r="BN20" s="25">
        <v>46753</v>
      </c>
      <c r="BO20" s="25">
        <v>46784</v>
      </c>
      <c r="BP20" s="25">
        <v>46813</v>
      </c>
      <c r="BQ20" s="25">
        <v>46844</v>
      </c>
      <c r="BR20" s="25">
        <v>46874</v>
      </c>
      <c r="BS20" s="25">
        <v>46905</v>
      </c>
      <c r="BT20" s="25">
        <v>46935</v>
      </c>
      <c r="BU20" s="25">
        <v>46966</v>
      </c>
      <c r="BV20" s="25">
        <v>46997</v>
      </c>
      <c r="BW20" s="25">
        <v>47027</v>
      </c>
      <c r="BX20" s="25">
        <v>47058</v>
      </c>
      <c r="BY20" s="25">
        <v>47088</v>
      </c>
      <c r="BZ20" s="25">
        <v>47119</v>
      </c>
      <c r="CA20" s="25">
        <v>47150</v>
      </c>
      <c r="CB20" s="25">
        <v>47178</v>
      </c>
      <c r="CC20" s="25">
        <v>47209</v>
      </c>
      <c r="CD20" s="25">
        <v>47239</v>
      </c>
      <c r="CE20" s="25">
        <v>47270</v>
      </c>
      <c r="CF20" s="25">
        <v>47300</v>
      </c>
      <c r="CG20" s="25">
        <v>47331</v>
      </c>
      <c r="CH20" s="1" t="s">
        <v>883</v>
      </c>
      <c r="CI20" s="1" t="s">
        <v>882</v>
      </c>
      <c r="CJ20" s="1" t="s">
        <v>881</v>
      </c>
      <c r="CK20" s="25">
        <v>46753</v>
      </c>
      <c r="CL20" s="25">
        <v>46784</v>
      </c>
      <c r="CM20" s="25">
        <v>46813</v>
      </c>
      <c r="CN20" s="25">
        <v>46844</v>
      </c>
      <c r="CO20" s="25">
        <v>46874</v>
      </c>
      <c r="CP20" s="25">
        <v>46905</v>
      </c>
      <c r="CQ20" s="25">
        <v>46935</v>
      </c>
      <c r="CR20" s="25">
        <v>46966</v>
      </c>
      <c r="CS20" s="25">
        <v>46997</v>
      </c>
      <c r="CT20" s="25">
        <v>47027</v>
      </c>
      <c r="CU20" s="25">
        <v>47058</v>
      </c>
      <c r="CV20" s="25">
        <v>47088</v>
      </c>
      <c r="CW20" s="25">
        <v>47119</v>
      </c>
      <c r="CX20" s="25">
        <v>47150</v>
      </c>
      <c r="CY20" s="25">
        <v>47178</v>
      </c>
      <c r="CZ20" s="25">
        <v>47209</v>
      </c>
      <c r="DA20" s="25">
        <v>47239</v>
      </c>
      <c r="DB20" s="25">
        <v>47270</v>
      </c>
      <c r="DC20" s="25">
        <v>47300</v>
      </c>
      <c r="DD20" s="25">
        <v>47331</v>
      </c>
    </row>
    <row r="21" spans="1:108" ht="13.5" thickBot="1" x14ac:dyDescent="0.25">
      <c r="A21" s="1">
        <v>1</v>
      </c>
      <c r="B21" s="10" t="s">
        <v>16</v>
      </c>
      <c r="C21" s="1" t="s">
        <v>19</v>
      </c>
      <c r="D21" s="1">
        <v>410883564</v>
      </c>
      <c r="F21" s="1" t="s">
        <v>880</v>
      </c>
      <c r="G21" s="1" t="s">
        <v>20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f>SUM(H21:Y21)</f>
        <v>1</v>
      </c>
      <c r="AA21" s="1">
        <f>SUMPRODUCT(H21:Y21,$H$16:$Y$16)</f>
        <v>910</v>
      </c>
      <c r="AB21" s="19" t="s">
        <v>739</v>
      </c>
      <c r="AK21" s="1" t="s">
        <v>738</v>
      </c>
      <c r="BO21" s="1">
        <f>SUM($AP21,$AQ21:AQ21)-SUM($CK21:CL21)</f>
        <v>0</v>
      </c>
      <c r="BP21" s="1">
        <f>SUM($AP21,$AQ21:AR21)-SUM($CK21:CM21)</f>
        <v>0</v>
      </c>
      <c r="BQ21" s="1">
        <f>SUM($AP21,$AQ21:AS21)-SUM($CK21:CN21)</f>
        <v>0</v>
      </c>
      <c r="BR21" s="1">
        <f>SUM($AP21,$AQ21:AT21)-SUM($CK21:CO21)</f>
        <v>0</v>
      </c>
      <c r="BS21" s="1">
        <f>SUM($AP21,$AQ21:AU21)-SUM($CK21:CP21)</f>
        <v>0</v>
      </c>
      <c r="BT21" s="1">
        <f>SUM($AP21,$AQ21:AV21)-SUM($CK21:CQ21)</f>
        <v>0</v>
      </c>
      <c r="BU21" s="1">
        <f>SUM($AP21,$AQ21:AW21)-SUM($CK21:CR21)</f>
        <v>-10</v>
      </c>
      <c r="BV21" s="1">
        <f>SUM($AP21,$AQ21:AX21)-SUM($CK21:CS21)</f>
        <v>-30</v>
      </c>
      <c r="BW21" s="1">
        <f>SUM($AP21,$AQ21:AY21)-SUM($CK21:CT21)</f>
        <v>-60</v>
      </c>
      <c r="BX21" s="1">
        <f>SUM($AP21,$AQ21:AZ21)-SUM($CK21:CU21)</f>
        <v>-100</v>
      </c>
      <c r="BY21" s="1">
        <f>SUM($AP21,$AQ21:BA21)-SUM($CK21:CV21)</f>
        <v>-150</v>
      </c>
      <c r="BZ21" s="1">
        <f>SUM($AP21,$AQ21:BB21)-SUM($CK21:CW21)</f>
        <v>-210</v>
      </c>
      <c r="CA21" s="1">
        <f>SUM($AP21,$AQ21:BC21)-SUM($CK21:CX21)</f>
        <v>-280</v>
      </c>
      <c r="CB21" s="1">
        <f>SUM($AP21,$AQ21:BD21)-SUM($CK21:CY21)</f>
        <v>-360</v>
      </c>
      <c r="CC21" s="1">
        <f>SUM($AP21,$AQ21:BE21)-SUM($CK21:CZ21)</f>
        <v>-450</v>
      </c>
      <c r="CD21" s="1">
        <f>SUM($AP21,$AQ21:BF21)-SUM($CK21:DA21)</f>
        <v>-550</v>
      </c>
      <c r="CE21" s="1">
        <f>SUM($AP21,$AQ21:BG21)-SUM($CK21:DB21)</f>
        <v>-660</v>
      </c>
      <c r="CF21" s="1">
        <f>SUM($AP21,$AQ21:BH21)-SUM($CK21:DC21)</f>
        <v>-780</v>
      </c>
      <c r="CG21" s="1">
        <f>SUM($AP21,$AQ21:BI21)-SUM($CK21:DD21)</f>
        <v>-910</v>
      </c>
      <c r="CK21" s="1">
        <f t="array" ref="CK21">SUMPRODUCT($H21:$Y21,(TRANSPOSE(CK$2:CK$19)))</f>
        <v>0</v>
      </c>
      <c r="CL21" s="1">
        <f t="array" ref="CL21">SUMPRODUCT($H21:$Y21,(TRANSPOSE(CL$2:CL$19)))</f>
        <v>0</v>
      </c>
      <c r="CM21" s="1">
        <f t="array" ref="CM21">SUMPRODUCT($H21:$Y21,(TRANSPOSE(CM$2:CM$19)))</f>
        <v>0</v>
      </c>
      <c r="CN21" s="1">
        <f t="array" ref="CN21">SUMPRODUCT($H21:$Y21,(TRANSPOSE(CN$2:CN$19)))</f>
        <v>0</v>
      </c>
      <c r="CO21" s="1">
        <f t="array" ref="CO21">SUMPRODUCT($H21:$Y21,(TRANSPOSE(CO$2:CO$19)))</f>
        <v>0</v>
      </c>
      <c r="CP21" s="1">
        <f t="array" ref="CP21">SUMPRODUCT($H21:$Y21,(TRANSPOSE(CP$2:CP$19)))</f>
        <v>0</v>
      </c>
      <c r="CQ21" s="1">
        <f t="array" ref="CQ21">SUMPRODUCT($H21:$Y21,(TRANSPOSE(CQ$2:CQ$19)))</f>
        <v>0</v>
      </c>
      <c r="CR21" s="1">
        <f t="array" ref="CR21">SUMPRODUCT($H21:$Y21,(TRANSPOSE(CR$2:CR$19)))</f>
        <v>10</v>
      </c>
      <c r="CS21" s="1">
        <f t="array" ref="CS21">SUMPRODUCT($H21:$Y21,(TRANSPOSE(CS$2:CS$19)))</f>
        <v>20</v>
      </c>
      <c r="CT21" s="1">
        <f t="array" ref="CT21">SUMPRODUCT($H21:$Y21,(TRANSPOSE(CT$2:CT$19)))</f>
        <v>30</v>
      </c>
      <c r="CU21" s="1">
        <f t="array" ref="CU21">SUMPRODUCT($H21:$Y21,(TRANSPOSE(CU$2:CU$19)))</f>
        <v>40</v>
      </c>
      <c r="CV21" s="1">
        <f t="array" ref="CV21">SUMPRODUCT($H21:$Y21,(TRANSPOSE(CV$2:CV$19)))</f>
        <v>50</v>
      </c>
      <c r="CW21" s="1">
        <f t="array" ref="CW21">SUMPRODUCT($H21:$Y21,(TRANSPOSE(CW$2:CW$19)))</f>
        <v>60</v>
      </c>
      <c r="CX21" s="1">
        <f t="array" ref="CX21">SUMPRODUCT($H21:$Y21,(TRANSPOSE(CX$2:CX$19)))</f>
        <v>70</v>
      </c>
      <c r="CY21" s="1">
        <f t="array" ref="CY21">SUMPRODUCT($H21:$Y21,(TRANSPOSE(CY$2:CY$19)))</f>
        <v>80</v>
      </c>
      <c r="CZ21" s="1">
        <f t="array" ref="CZ21">SUMPRODUCT($H21:$Y21,(TRANSPOSE(CZ$2:CZ$19)))</f>
        <v>90</v>
      </c>
      <c r="DA21" s="1">
        <f t="array" ref="DA21">SUMPRODUCT($H21:$Y21,(TRANSPOSE(DA$2:DA$19)))</f>
        <v>100</v>
      </c>
      <c r="DB21" s="1">
        <f t="array" ref="DB21">SUMPRODUCT($H21:$Y21,(TRANSPOSE(DB$2:DB$19)))</f>
        <v>110</v>
      </c>
      <c r="DC21" s="1">
        <f t="array" ref="DC21">SUMPRODUCT($H21:$Y21,(TRANSPOSE(DC$2:DC$19)))</f>
        <v>120</v>
      </c>
      <c r="DD21" s="1">
        <f t="array" ref="DD21">SUMPRODUCT($H21:$Y21,(TRANSPOSE(DD$2:DD$19)))</f>
        <v>130</v>
      </c>
    </row>
    <row r="22" spans="1:108" x14ac:dyDescent="0.2">
      <c r="A22" s="1">
        <v>2</v>
      </c>
      <c r="B22" s="10" t="s">
        <v>879</v>
      </c>
      <c r="C22" s="1" t="s">
        <v>22</v>
      </c>
      <c r="D22" s="1">
        <v>418493430</v>
      </c>
      <c r="F22" s="1" t="s">
        <v>878</v>
      </c>
      <c r="G22" s="1" t="s">
        <v>20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f>SUM(H22:Y22)</f>
        <v>1</v>
      </c>
      <c r="AA22" s="1">
        <f>SUMPRODUCT(H22:Y22,$H$16:$Y$16)</f>
        <v>910</v>
      </c>
      <c r="AB22" s="1" t="s">
        <v>18</v>
      </c>
      <c r="AC22" s="1">
        <v>0</v>
      </c>
      <c r="AD22" s="9"/>
      <c r="AE22" s="1" t="s">
        <v>19</v>
      </c>
      <c r="AF22" s="1">
        <f>AC22</f>
        <v>0</v>
      </c>
      <c r="AG22" s="1">
        <v>1</v>
      </c>
      <c r="AH22" s="1">
        <v>1</v>
      </c>
      <c r="AI22" s="1" t="s">
        <v>18</v>
      </c>
      <c r="AJ22" s="1" t="s">
        <v>18</v>
      </c>
      <c r="AK22" s="1" t="s">
        <v>18</v>
      </c>
      <c r="AL22" s="1" t="s">
        <v>18</v>
      </c>
      <c r="AM22" s="1" t="s">
        <v>18</v>
      </c>
      <c r="AN22" s="2" t="s">
        <v>18</v>
      </c>
      <c r="BO22" s="1">
        <f>SUM($AP22,$AQ22:AQ22)-SUM($CK22:CL22)</f>
        <v>0</v>
      </c>
      <c r="BP22" s="1">
        <f>SUM($AP22,$AQ22:AR22)-SUM($CK22:CM22)</f>
        <v>0</v>
      </c>
      <c r="BQ22" s="1">
        <f>SUM($AP22,$AQ22:AS22)-SUM($CK22:CN22)</f>
        <v>0</v>
      </c>
      <c r="BR22" s="1">
        <f>SUM($AP22,$AQ22:AT22)-SUM($CK22:CO22)</f>
        <v>-10</v>
      </c>
      <c r="BS22" s="1">
        <f>SUM($AP22,$AQ22:AU22)-SUM($CK22:CP22)</f>
        <v>-30</v>
      </c>
      <c r="BT22" s="1">
        <f>SUM($AP22,$AQ22:AV22)-SUM($CK22:CQ22)</f>
        <v>-60</v>
      </c>
      <c r="BU22" s="1">
        <f>SUM($AP22,$AQ22:AW22)-SUM($CK22:CR22)</f>
        <v>-100</v>
      </c>
      <c r="BV22" s="1">
        <f>SUM($AP22,$AQ22:AX22)-SUM($CK22:CS22)</f>
        <v>-150</v>
      </c>
      <c r="BW22" s="1">
        <f>SUM($AP22,$AQ22:AY22)-SUM($CK22:CT22)</f>
        <v>-210</v>
      </c>
      <c r="BX22" s="1">
        <f>SUM($AP22,$AQ22:AZ22)-SUM($CK22:CU22)</f>
        <v>-280</v>
      </c>
      <c r="BY22" s="1">
        <f>SUM($AP22,$AQ22:BA22)-SUM($CK22:CV22)</f>
        <v>-360</v>
      </c>
      <c r="BZ22" s="1">
        <f>SUM($AP22,$AQ22:BB22)-SUM($CK22:CW22)</f>
        <v>-450</v>
      </c>
      <c r="CA22" s="1">
        <f>SUM($AP22,$AQ22:BC22)-SUM($CK22:CX22)</f>
        <v>-550</v>
      </c>
      <c r="CB22" s="1">
        <f>SUM($AP22,$AQ22:BD22)-SUM($CK22:CY22)</f>
        <v>-660</v>
      </c>
      <c r="CC22" s="1">
        <f>SUM($AP22,$AQ22:BE22)-SUM($CK22:CZ22)</f>
        <v>-780</v>
      </c>
      <c r="CD22" s="1">
        <f>SUM($AP22,$AQ22:BF22)-SUM($CK22:DA22)</f>
        <v>-910</v>
      </c>
      <c r="CE22" s="1">
        <f>SUM($AP22,$AQ22:BG22)-SUM($CK22:DB22)</f>
        <v>-910</v>
      </c>
      <c r="CF22" s="1">
        <f>SUM($AP22,$AQ22:BH22)-SUM($CK22:DC22)</f>
        <v>-910</v>
      </c>
      <c r="CG22" s="1">
        <f>SUM($AP22,$AQ22:BI22)-SUM($CK22:DD22)</f>
        <v>-910</v>
      </c>
      <c r="CK22" s="1">
        <f t="array" ref="CK22">SUMPRODUCT($H22:$Y22,(TRANSPOSE(CK$2:CK$19)))</f>
        <v>0</v>
      </c>
      <c r="CL22" s="1">
        <f t="array" ref="CL22">SUMPRODUCT($H22:$Y22,(TRANSPOSE(CL$2:CL$19)))</f>
        <v>0</v>
      </c>
      <c r="CM22" s="1">
        <f t="array" ref="CM22">SUMPRODUCT($H22:$Y22,(TRANSPOSE(CM$2:CM$19)))</f>
        <v>0</v>
      </c>
      <c r="CN22" s="1">
        <f t="array" ref="CN22">SUMPRODUCT($H22:$Y22,(TRANSPOSE(CN$2:CN$19)))</f>
        <v>0</v>
      </c>
      <c r="CO22" s="1">
        <f t="array" ref="CO22">SUMPRODUCT($H22:$Y22,(TRANSPOSE(CO$2:CO$19)))</f>
        <v>10</v>
      </c>
      <c r="CP22" s="1">
        <f t="array" ref="CP22">SUMPRODUCT($H22:$Y22,(TRANSPOSE(CP$2:CP$19)))</f>
        <v>20</v>
      </c>
      <c r="CQ22" s="1">
        <f t="array" ref="CQ22">SUMPRODUCT($H22:$Y22,(TRANSPOSE(CQ$2:CQ$19)))</f>
        <v>30</v>
      </c>
      <c r="CR22" s="1">
        <f t="array" ref="CR22">SUMPRODUCT($H22:$Y22,(TRANSPOSE(CR$2:CR$19)))</f>
        <v>40</v>
      </c>
      <c r="CS22" s="1">
        <f t="array" ref="CS22">SUMPRODUCT($H22:$Y22,(TRANSPOSE(CS$2:CS$19)))</f>
        <v>50</v>
      </c>
      <c r="CT22" s="1">
        <f t="array" ref="CT22">SUMPRODUCT($H22:$Y22,(TRANSPOSE(CT$2:CT$19)))</f>
        <v>60</v>
      </c>
      <c r="CU22" s="1">
        <f t="array" ref="CU22">SUMPRODUCT($H22:$Y22,(TRANSPOSE(CU$2:CU$19)))</f>
        <v>70</v>
      </c>
      <c r="CV22" s="1">
        <f t="array" ref="CV22">SUMPRODUCT($H22:$Y22,(TRANSPOSE(CV$2:CV$19)))</f>
        <v>80</v>
      </c>
      <c r="CW22" s="1">
        <f t="array" ref="CW22">SUMPRODUCT($H22:$Y22,(TRANSPOSE(CW$2:CW$19)))</f>
        <v>90</v>
      </c>
      <c r="CX22" s="1">
        <f t="array" ref="CX22">SUMPRODUCT($H22:$Y22,(TRANSPOSE(CX$2:CX$19)))</f>
        <v>100</v>
      </c>
      <c r="CY22" s="1">
        <f t="array" ref="CY22">SUMPRODUCT($H22:$Y22,(TRANSPOSE(CY$2:CY$19)))</f>
        <v>110</v>
      </c>
      <c r="CZ22" s="1">
        <f t="array" ref="CZ22">SUMPRODUCT($H22:$Y22,(TRANSPOSE(CZ$2:CZ$19)))</f>
        <v>120</v>
      </c>
      <c r="DA22" s="1">
        <f t="array" ref="DA22">SUMPRODUCT($H22:$Y22,(TRANSPOSE(DA$2:DA$19)))</f>
        <v>130</v>
      </c>
      <c r="DB22" s="1">
        <f t="array" ref="DB22">SUMPRODUCT($H22:$Y22,(TRANSPOSE(DB$2:DB$19)))</f>
        <v>0</v>
      </c>
      <c r="DC22" s="1">
        <f t="array" ref="DC22">SUMPRODUCT($H22:$Y22,(TRANSPOSE(DC$2:DC$19)))</f>
        <v>0</v>
      </c>
      <c r="DD22" s="1">
        <f t="array" ref="DD22">SUMPRODUCT($H22:$Y22,(TRANSPOSE(DD$2:DD$19)))</f>
        <v>0</v>
      </c>
    </row>
    <row r="23" spans="1:108" x14ac:dyDescent="0.2">
      <c r="A23" s="1">
        <v>3</v>
      </c>
      <c r="B23" s="10" t="s">
        <v>877</v>
      </c>
      <c r="C23" s="1" t="s">
        <v>22</v>
      </c>
      <c r="D23" s="1">
        <v>418493422</v>
      </c>
      <c r="F23" s="1" t="s">
        <v>876</v>
      </c>
      <c r="G23" s="1" t="s">
        <v>20</v>
      </c>
      <c r="H23" s="1">
        <v>0</v>
      </c>
      <c r="I23" s="1">
        <v>0</v>
      </c>
      <c r="J23" s="1">
        <v>0</v>
      </c>
      <c r="K23" s="1">
        <v>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f>SUM(H23:Y23)</f>
        <v>2</v>
      </c>
      <c r="AA23" s="1">
        <f>SUMPRODUCT(H23:Y23,$H$16:$Y$16)</f>
        <v>1820</v>
      </c>
      <c r="AB23" s="1" t="s">
        <v>18</v>
      </c>
      <c r="AC23" s="1">
        <v>0</v>
      </c>
      <c r="AD23" s="9"/>
      <c r="AE23" s="1" t="s">
        <v>19</v>
      </c>
      <c r="AF23" s="1">
        <f>AC23</f>
        <v>0</v>
      </c>
      <c r="AG23" s="1">
        <v>1</v>
      </c>
      <c r="AH23" s="1">
        <v>1</v>
      </c>
      <c r="AI23" s="1" t="s">
        <v>18</v>
      </c>
      <c r="AJ23" s="1" t="s">
        <v>18</v>
      </c>
      <c r="AK23" s="1" t="s">
        <v>18</v>
      </c>
      <c r="AL23" s="1" t="s">
        <v>18</v>
      </c>
      <c r="AM23" s="1" t="s">
        <v>18</v>
      </c>
      <c r="AN23" s="2" t="s">
        <v>18</v>
      </c>
      <c r="BO23" s="1">
        <f>SUM($AP23,$AQ23:AQ23)-SUM($CK23:CL23)</f>
        <v>0</v>
      </c>
      <c r="BP23" s="1">
        <f>SUM($AP23,$AQ23:AR23)-SUM($CK23:CM23)</f>
        <v>0</v>
      </c>
      <c r="BQ23" s="1">
        <f>SUM($AP23,$AQ23:AS23)-SUM($CK23:CN23)</f>
        <v>0</v>
      </c>
      <c r="BR23" s="1">
        <f>SUM($AP23,$AQ23:AT23)-SUM($CK23:CO23)</f>
        <v>-20</v>
      </c>
      <c r="BS23" s="1">
        <f>SUM($AP23,$AQ23:AU23)-SUM($CK23:CP23)</f>
        <v>-60</v>
      </c>
      <c r="BT23" s="1">
        <f>SUM($AP23,$AQ23:AV23)-SUM($CK23:CQ23)</f>
        <v>-120</v>
      </c>
      <c r="BU23" s="1">
        <f>SUM($AP23,$AQ23:AW23)-SUM($CK23:CR23)</f>
        <v>-200</v>
      </c>
      <c r="BV23" s="1">
        <f>SUM($AP23,$AQ23:AX23)-SUM($CK23:CS23)</f>
        <v>-300</v>
      </c>
      <c r="BW23" s="1">
        <f>SUM($AP23,$AQ23:AY23)-SUM($CK23:CT23)</f>
        <v>-420</v>
      </c>
      <c r="BX23" s="1">
        <f>SUM($AP23,$AQ23:AZ23)-SUM($CK23:CU23)</f>
        <v>-560</v>
      </c>
      <c r="BY23" s="1">
        <f>SUM($AP23,$AQ23:BA23)-SUM($CK23:CV23)</f>
        <v>-720</v>
      </c>
      <c r="BZ23" s="1">
        <f>SUM($AP23,$AQ23:BB23)-SUM($CK23:CW23)</f>
        <v>-900</v>
      </c>
      <c r="CA23" s="1">
        <f>SUM($AP23,$AQ23:BC23)-SUM($CK23:CX23)</f>
        <v>-1100</v>
      </c>
      <c r="CB23" s="1">
        <f>SUM($AP23,$AQ23:BD23)-SUM($CK23:CY23)</f>
        <v>-1320</v>
      </c>
      <c r="CC23" s="1">
        <f>SUM($AP23,$AQ23:BE23)-SUM($CK23:CZ23)</f>
        <v>-1560</v>
      </c>
      <c r="CD23" s="1">
        <f>SUM($AP23,$AQ23:BF23)-SUM($CK23:DA23)</f>
        <v>-1820</v>
      </c>
      <c r="CE23" s="1">
        <f>SUM($AP23,$AQ23:BG23)-SUM($CK23:DB23)</f>
        <v>-1820</v>
      </c>
      <c r="CF23" s="1">
        <f>SUM($AP23,$AQ23:BH23)-SUM($CK23:DC23)</f>
        <v>-1820</v>
      </c>
      <c r="CG23" s="1">
        <f>SUM($AP23,$AQ23:BI23)-SUM($CK23:DD23)</f>
        <v>-1820</v>
      </c>
      <c r="CK23" s="1">
        <f t="array" ref="CK23">SUMPRODUCT($H23:$Y23,(TRANSPOSE(CK$2:CK$19)))</f>
        <v>0</v>
      </c>
      <c r="CL23" s="1">
        <f t="array" ref="CL23">SUMPRODUCT($H23:$Y23,(TRANSPOSE(CL$2:CL$19)))</f>
        <v>0</v>
      </c>
      <c r="CM23" s="1">
        <f t="array" ref="CM23">SUMPRODUCT($H23:$Y23,(TRANSPOSE(CM$2:CM$19)))</f>
        <v>0</v>
      </c>
      <c r="CN23" s="1">
        <f t="array" ref="CN23">SUMPRODUCT($H23:$Y23,(TRANSPOSE(CN$2:CN$19)))</f>
        <v>0</v>
      </c>
      <c r="CO23" s="1">
        <f t="array" ref="CO23">SUMPRODUCT($H23:$Y23,(TRANSPOSE(CO$2:CO$19)))</f>
        <v>20</v>
      </c>
      <c r="CP23" s="1">
        <f t="array" ref="CP23">SUMPRODUCT($H23:$Y23,(TRANSPOSE(CP$2:CP$19)))</f>
        <v>40</v>
      </c>
      <c r="CQ23" s="1">
        <f t="array" ref="CQ23">SUMPRODUCT($H23:$Y23,(TRANSPOSE(CQ$2:CQ$19)))</f>
        <v>60</v>
      </c>
      <c r="CR23" s="1">
        <f t="array" ref="CR23">SUMPRODUCT($H23:$Y23,(TRANSPOSE(CR$2:CR$19)))</f>
        <v>80</v>
      </c>
      <c r="CS23" s="1">
        <f t="array" ref="CS23">SUMPRODUCT($H23:$Y23,(TRANSPOSE(CS$2:CS$19)))</f>
        <v>100</v>
      </c>
      <c r="CT23" s="1">
        <f t="array" ref="CT23">SUMPRODUCT($H23:$Y23,(TRANSPOSE(CT$2:CT$19)))</f>
        <v>120</v>
      </c>
      <c r="CU23" s="1">
        <f t="array" ref="CU23">SUMPRODUCT($H23:$Y23,(TRANSPOSE(CU$2:CU$19)))</f>
        <v>140</v>
      </c>
      <c r="CV23" s="1">
        <f t="array" ref="CV23">SUMPRODUCT($H23:$Y23,(TRANSPOSE(CV$2:CV$19)))</f>
        <v>160</v>
      </c>
      <c r="CW23" s="1">
        <f t="array" ref="CW23">SUMPRODUCT($H23:$Y23,(TRANSPOSE(CW$2:CW$19)))</f>
        <v>180</v>
      </c>
      <c r="CX23" s="1">
        <f t="array" ref="CX23">SUMPRODUCT($H23:$Y23,(TRANSPOSE(CX$2:CX$19)))</f>
        <v>200</v>
      </c>
      <c r="CY23" s="1">
        <f t="array" ref="CY23">SUMPRODUCT($H23:$Y23,(TRANSPOSE(CY$2:CY$19)))</f>
        <v>220</v>
      </c>
      <c r="CZ23" s="1">
        <f t="array" ref="CZ23">SUMPRODUCT($H23:$Y23,(TRANSPOSE(CZ$2:CZ$19)))</f>
        <v>240</v>
      </c>
      <c r="DA23" s="1">
        <f t="array" ref="DA23">SUMPRODUCT($H23:$Y23,(TRANSPOSE(DA$2:DA$19)))</f>
        <v>260</v>
      </c>
      <c r="DB23" s="1">
        <f t="array" ref="DB23">SUMPRODUCT($H23:$Y23,(TRANSPOSE(DB$2:DB$19)))</f>
        <v>0</v>
      </c>
      <c r="DC23" s="1">
        <f t="array" ref="DC23">SUMPRODUCT($H23:$Y23,(TRANSPOSE(DC$2:DC$19)))</f>
        <v>0</v>
      </c>
      <c r="DD23" s="1">
        <f t="array" ref="DD23">SUMPRODUCT($H23:$Y23,(TRANSPOSE(DD$2:DD$19)))</f>
        <v>0</v>
      </c>
    </row>
    <row r="24" spans="1:108" x14ac:dyDescent="0.2">
      <c r="A24" s="1">
        <v>4</v>
      </c>
      <c r="B24" s="10" t="s">
        <v>875</v>
      </c>
      <c r="C24" s="1" t="s">
        <v>22</v>
      </c>
      <c r="D24" s="1">
        <v>418493446</v>
      </c>
      <c r="F24" s="1" t="s">
        <v>874</v>
      </c>
      <c r="G24" s="1" t="s">
        <v>20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f>SUM(H24:Y24)</f>
        <v>1</v>
      </c>
      <c r="AA24" s="1">
        <f>SUMPRODUCT(H24:Y24,$H$16:$Y$16)</f>
        <v>910</v>
      </c>
      <c r="AB24" s="1" t="s">
        <v>18</v>
      </c>
      <c r="AC24" s="1">
        <v>0</v>
      </c>
      <c r="AD24" s="9"/>
      <c r="AE24" s="1" t="s">
        <v>19</v>
      </c>
      <c r="AF24" s="1">
        <f>AC24</f>
        <v>0</v>
      </c>
      <c r="AG24" s="1">
        <v>1</v>
      </c>
      <c r="AH24" s="1">
        <v>1</v>
      </c>
      <c r="AI24" s="1" t="s">
        <v>18</v>
      </c>
      <c r="AJ24" s="1" t="s">
        <v>18</v>
      </c>
      <c r="AK24" s="1" t="s">
        <v>18</v>
      </c>
      <c r="AL24" s="1" t="s">
        <v>18</v>
      </c>
      <c r="AM24" s="1" t="s">
        <v>18</v>
      </c>
      <c r="AN24" s="2" t="s">
        <v>18</v>
      </c>
      <c r="BO24" s="1">
        <f>SUM($AP24,$AQ24:AQ24)-SUM($CK24:CL24)</f>
        <v>0</v>
      </c>
      <c r="BP24" s="1">
        <f>SUM($AP24,$AQ24:AR24)-SUM($CK24:CM24)</f>
        <v>0</v>
      </c>
      <c r="BQ24" s="1">
        <f>SUM($AP24,$AQ24:AS24)-SUM($CK24:CN24)</f>
        <v>0</v>
      </c>
      <c r="BR24" s="1">
        <f>SUM($AP24,$AQ24:AT24)-SUM($CK24:CO24)</f>
        <v>-10</v>
      </c>
      <c r="BS24" s="1">
        <f>SUM($AP24,$AQ24:AU24)-SUM($CK24:CP24)</f>
        <v>-30</v>
      </c>
      <c r="BT24" s="1">
        <f>SUM($AP24,$AQ24:AV24)-SUM($CK24:CQ24)</f>
        <v>-60</v>
      </c>
      <c r="BU24" s="1">
        <f>SUM($AP24,$AQ24:AW24)-SUM($CK24:CR24)</f>
        <v>-100</v>
      </c>
      <c r="BV24" s="1">
        <f>SUM($AP24,$AQ24:AX24)-SUM($CK24:CS24)</f>
        <v>-150</v>
      </c>
      <c r="BW24" s="1">
        <f>SUM($AP24,$AQ24:AY24)-SUM($CK24:CT24)</f>
        <v>-210</v>
      </c>
      <c r="BX24" s="1">
        <f>SUM($AP24,$AQ24:AZ24)-SUM($CK24:CU24)</f>
        <v>-280</v>
      </c>
      <c r="BY24" s="1">
        <f>SUM($AP24,$AQ24:BA24)-SUM($CK24:CV24)</f>
        <v>-360</v>
      </c>
      <c r="BZ24" s="1">
        <f>SUM($AP24,$AQ24:BB24)-SUM($CK24:CW24)</f>
        <v>-450</v>
      </c>
      <c r="CA24" s="1">
        <f>SUM($AP24,$AQ24:BC24)-SUM($CK24:CX24)</f>
        <v>-550</v>
      </c>
      <c r="CB24" s="1">
        <f>SUM($AP24,$AQ24:BD24)-SUM($CK24:CY24)</f>
        <v>-660</v>
      </c>
      <c r="CC24" s="1">
        <f>SUM($AP24,$AQ24:BE24)-SUM($CK24:CZ24)</f>
        <v>-780</v>
      </c>
      <c r="CD24" s="1">
        <f>SUM($AP24,$AQ24:BF24)-SUM($CK24:DA24)</f>
        <v>-910</v>
      </c>
      <c r="CE24" s="1">
        <f>SUM($AP24,$AQ24:BG24)-SUM($CK24:DB24)</f>
        <v>-910</v>
      </c>
      <c r="CF24" s="1">
        <f>SUM($AP24,$AQ24:BH24)-SUM($CK24:DC24)</f>
        <v>-910</v>
      </c>
      <c r="CG24" s="1">
        <f>SUM($AP24,$AQ24:BI24)-SUM($CK24:DD24)</f>
        <v>-910</v>
      </c>
      <c r="CK24" s="1">
        <f t="array" ref="CK24">SUMPRODUCT($H24:$Y24,(TRANSPOSE(CK$2:CK$19)))</f>
        <v>0</v>
      </c>
      <c r="CL24" s="1">
        <f t="array" ref="CL24">SUMPRODUCT($H24:$Y24,(TRANSPOSE(CL$2:CL$19)))</f>
        <v>0</v>
      </c>
      <c r="CM24" s="1">
        <f t="array" ref="CM24">SUMPRODUCT($H24:$Y24,(TRANSPOSE(CM$2:CM$19)))</f>
        <v>0</v>
      </c>
      <c r="CN24" s="1">
        <f t="array" ref="CN24">SUMPRODUCT($H24:$Y24,(TRANSPOSE(CN$2:CN$19)))</f>
        <v>0</v>
      </c>
      <c r="CO24" s="1">
        <f t="array" ref="CO24">SUMPRODUCT($H24:$Y24,(TRANSPOSE(CO$2:CO$19)))</f>
        <v>10</v>
      </c>
      <c r="CP24" s="1">
        <f t="array" ref="CP24">SUMPRODUCT($H24:$Y24,(TRANSPOSE(CP$2:CP$19)))</f>
        <v>20</v>
      </c>
      <c r="CQ24" s="1">
        <f t="array" ref="CQ24">SUMPRODUCT($H24:$Y24,(TRANSPOSE(CQ$2:CQ$19)))</f>
        <v>30</v>
      </c>
      <c r="CR24" s="1">
        <f t="array" ref="CR24">SUMPRODUCT($H24:$Y24,(TRANSPOSE(CR$2:CR$19)))</f>
        <v>40</v>
      </c>
      <c r="CS24" s="1">
        <f t="array" ref="CS24">SUMPRODUCT($H24:$Y24,(TRANSPOSE(CS$2:CS$19)))</f>
        <v>50</v>
      </c>
      <c r="CT24" s="1">
        <f t="array" ref="CT24">SUMPRODUCT($H24:$Y24,(TRANSPOSE(CT$2:CT$19)))</f>
        <v>60</v>
      </c>
      <c r="CU24" s="1">
        <f t="array" ref="CU24">SUMPRODUCT($H24:$Y24,(TRANSPOSE(CU$2:CU$19)))</f>
        <v>70</v>
      </c>
      <c r="CV24" s="1">
        <f t="array" ref="CV24">SUMPRODUCT($H24:$Y24,(TRANSPOSE(CV$2:CV$19)))</f>
        <v>80</v>
      </c>
      <c r="CW24" s="1">
        <f t="array" ref="CW24">SUMPRODUCT($H24:$Y24,(TRANSPOSE(CW$2:CW$19)))</f>
        <v>90</v>
      </c>
      <c r="CX24" s="1">
        <f t="array" ref="CX24">SUMPRODUCT($H24:$Y24,(TRANSPOSE(CX$2:CX$19)))</f>
        <v>100</v>
      </c>
      <c r="CY24" s="1">
        <f t="array" ref="CY24">SUMPRODUCT($H24:$Y24,(TRANSPOSE(CY$2:CY$19)))</f>
        <v>110</v>
      </c>
      <c r="CZ24" s="1">
        <f t="array" ref="CZ24">SUMPRODUCT($H24:$Y24,(TRANSPOSE(CZ$2:CZ$19)))</f>
        <v>120</v>
      </c>
      <c r="DA24" s="1">
        <f t="array" ref="DA24">SUMPRODUCT($H24:$Y24,(TRANSPOSE(DA$2:DA$19)))</f>
        <v>130</v>
      </c>
      <c r="DB24" s="1">
        <f t="array" ref="DB24">SUMPRODUCT($H24:$Y24,(TRANSPOSE(DB$2:DB$19)))</f>
        <v>0</v>
      </c>
      <c r="DC24" s="1">
        <f t="array" ref="DC24">SUMPRODUCT($H24:$Y24,(TRANSPOSE(DC$2:DC$19)))</f>
        <v>0</v>
      </c>
      <c r="DD24" s="1">
        <f t="array" ref="DD24">SUMPRODUCT($H24:$Y24,(TRANSPOSE(DD$2:DD$19)))</f>
        <v>0</v>
      </c>
    </row>
    <row r="25" spans="1:108" x14ac:dyDescent="0.2">
      <c r="A25" s="1">
        <v>5</v>
      </c>
      <c r="B25" s="10" t="s">
        <v>873</v>
      </c>
      <c r="C25" s="1" t="s">
        <v>22</v>
      </c>
      <c r="D25" s="1">
        <v>418521484</v>
      </c>
      <c r="F25" s="1" t="s">
        <v>872</v>
      </c>
      <c r="G25" s="1" t="s">
        <v>20</v>
      </c>
      <c r="H25" s="1">
        <v>0</v>
      </c>
      <c r="I25" s="1">
        <v>0</v>
      </c>
      <c r="J25" s="1">
        <v>0</v>
      </c>
      <c r="K25" s="1">
        <v>129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f>SUM(H25:Y25)</f>
        <v>129</v>
      </c>
      <c r="AA25" s="1">
        <f>SUMPRODUCT(H25:Y25,$H$16:$Y$16)</f>
        <v>117390</v>
      </c>
      <c r="AB25" s="1" t="s">
        <v>18</v>
      </c>
      <c r="AC25" s="1">
        <v>0</v>
      </c>
      <c r="AD25" s="9"/>
      <c r="AE25" s="1" t="s">
        <v>19</v>
      </c>
      <c r="AF25" s="1">
        <f>AC25</f>
        <v>0</v>
      </c>
      <c r="AG25" s="1">
        <v>1</v>
      </c>
      <c r="AH25" s="1">
        <v>1</v>
      </c>
      <c r="AI25" s="1" t="s">
        <v>18</v>
      </c>
      <c r="AJ25" s="1" t="s">
        <v>18</v>
      </c>
      <c r="AK25" s="1" t="s">
        <v>18</v>
      </c>
      <c r="AL25" s="1" t="s">
        <v>18</v>
      </c>
      <c r="AM25" s="1" t="s">
        <v>18</v>
      </c>
      <c r="AN25" s="2" t="s">
        <v>18</v>
      </c>
      <c r="BO25" s="1">
        <f>SUM($AP25,$AQ25:AQ25)-SUM($CK25:CL25)</f>
        <v>0</v>
      </c>
      <c r="BP25" s="1">
        <f>SUM($AP25,$AQ25:AR25)-SUM($CK25:CM25)</f>
        <v>0</v>
      </c>
      <c r="BQ25" s="1">
        <f>SUM($AP25,$AQ25:AS25)-SUM($CK25:CN25)</f>
        <v>0</v>
      </c>
      <c r="BR25" s="1">
        <f>SUM($AP25,$AQ25:AT25)-SUM($CK25:CO25)</f>
        <v>-1290</v>
      </c>
      <c r="BS25" s="1">
        <f>SUM($AP25,$AQ25:AU25)-SUM($CK25:CP25)</f>
        <v>-3870</v>
      </c>
      <c r="BT25" s="1">
        <f>SUM($AP25,$AQ25:AV25)-SUM($CK25:CQ25)</f>
        <v>-7740</v>
      </c>
      <c r="BU25" s="1">
        <f>SUM($AP25,$AQ25:AW25)-SUM($CK25:CR25)</f>
        <v>-12900</v>
      </c>
      <c r="BV25" s="1">
        <f>SUM($AP25,$AQ25:AX25)-SUM($CK25:CS25)</f>
        <v>-19350</v>
      </c>
      <c r="BW25" s="1">
        <f>SUM($AP25,$AQ25:AY25)-SUM($CK25:CT25)</f>
        <v>-27090</v>
      </c>
      <c r="BX25" s="1">
        <f>SUM($AP25,$AQ25:AZ25)-SUM($CK25:CU25)</f>
        <v>-36120</v>
      </c>
      <c r="BY25" s="1">
        <f>SUM($AP25,$AQ25:BA25)-SUM($CK25:CV25)</f>
        <v>-46440</v>
      </c>
      <c r="BZ25" s="1">
        <f>SUM($AP25,$AQ25:BB25)-SUM($CK25:CW25)</f>
        <v>-58050</v>
      </c>
      <c r="CA25" s="1">
        <f>SUM($AP25,$AQ25:BC25)-SUM($CK25:CX25)</f>
        <v>-70950</v>
      </c>
      <c r="CB25" s="1">
        <f>SUM($AP25,$AQ25:BD25)-SUM($CK25:CY25)</f>
        <v>-85140</v>
      </c>
      <c r="CC25" s="1">
        <f>SUM($AP25,$AQ25:BE25)-SUM($CK25:CZ25)</f>
        <v>-100620</v>
      </c>
      <c r="CD25" s="1">
        <f>SUM($AP25,$AQ25:BF25)-SUM($CK25:DA25)</f>
        <v>-117390</v>
      </c>
      <c r="CE25" s="1">
        <f>SUM($AP25,$AQ25:BG25)-SUM($CK25:DB25)</f>
        <v>-117390</v>
      </c>
      <c r="CF25" s="1">
        <f>SUM($AP25,$AQ25:BH25)-SUM($CK25:DC25)</f>
        <v>-117390</v>
      </c>
      <c r="CG25" s="1">
        <f>SUM($AP25,$AQ25:BI25)-SUM($CK25:DD25)</f>
        <v>-117390</v>
      </c>
      <c r="CK25" s="1">
        <f t="array" ref="CK25">SUMPRODUCT($H25:$Y25,(TRANSPOSE(CK$2:CK$19)))</f>
        <v>0</v>
      </c>
      <c r="CL25" s="1">
        <f t="array" ref="CL25">SUMPRODUCT($H25:$Y25,(TRANSPOSE(CL$2:CL$19)))</f>
        <v>0</v>
      </c>
      <c r="CM25" s="1">
        <f t="array" ref="CM25">SUMPRODUCT($H25:$Y25,(TRANSPOSE(CM$2:CM$19)))</f>
        <v>0</v>
      </c>
      <c r="CN25" s="1">
        <f t="array" ref="CN25">SUMPRODUCT($H25:$Y25,(TRANSPOSE(CN$2:CN$19)))</f>
        <v>0</v>
      </c>
      <c r="CO25" s="1">
        <f t="array" ref="CO25">SUMPRODUCT($H25:$Y25,(TRANSPOSE(CO$2:CO$19)))</f>
        <v>1290</v>
      </c>
      <c r="CP25" s="1">
        <f t="array" ref="CP25">SUMPRODUCT($H25:$Y25,(TRANSPOSE(CP$2:CP$19)))</f>
        <v>2580</v>
      </c>
      <c r="CQ25" s="1">
        <f t="array" ref="CQ25">SUMPRODUCT($H25:$Y25,(TRANSPOSE(CQ$2:CQ$19)))</f>
        <v>3870</v>
      </c>
      <c r="CR25" s="1">
        <f t="array" ref="CR25">SUMPRODUCT($H25:$Y25,(TRANSPOSE(CR$2:CR$19)))</f>
        <v>5160</v>
      </c>
      <c r="CS25" s="1">
        <f t="array" ref="CS25">SUMPRODUCT($H25:$Y25,(TRANSPOSE(CS$2:CS$19)))</f>
        <v>6450</v>
      </c>
      <c r="CT25" s="1">
        <f t="array" ref="CT25">SUMPRODUCT($H25:$Y25,(TRANSPOSE(CT$2:CT$19)))</f>
        <v>7740</v>
      </c>
      <c r="CU25" s="1">
        <f t="array" ref="CU25">SUMPRODUCT($H25:$Y25,(TRANSPOSE(CU$2:CU$19)))</f>
        <v>9030</v>
      </c>
      <c r="CV25" s="1">
        <f t="array" ref="CV25">SUMPRODUCT($H25:$Y25,(TRANSPOSE(CV$2:CV$19)))</f>
        <v>10320</v>
      </c>
      <c r="CW25" s="1">
        <f t="array" ref="CW25">SUMPRODUCT($H25:$Y25,(TRANSPOSE(CW$2:CW$19)))</f>
        <v>11610</v>
      </c>
      <c r="CX25" s="1">
        <f t="array" ref="CX25">SUMPRODUCT($H25:$Y25,(TRANSPOSE(CX$2:CX$19)))</f>
        <v>12900</v>
      </c>
      <c r="CY25" s="1">
        <f t="array" ref="CY25">SUMPRODUCT($H25:$Y25,(TRANSPOSE(CY$2:CY$19)))</f>
        <v>14190</v>
      </c>
      <c r="CZ25" s="1">
        <f t="array" ref="CZ25">SUMPRODUCT($H25:$Y25,(TRANSPOSE(CZ$2:CZ$19)))</f>
        <v>15480</v>
      </c>
      <c r="DA25" s="1">
        <f t="array" ref="DA25">SUMPRODUCT($H25:$Y25,(TRANSPOSE(DA$2:DA$19)))</f>
        <v>16770</v>
      </c>
      <c r="DB25" s="1">
        <f t="array" ref="DB25">SUMPRODUCT($H25:$Y25,(TRANSPOSE(DB$2:DB$19)))</f>
        <v>0</v>
      </c>
      <c r="DC25" s="1">
        <f t="array" ref="DC25">SUMPRODUCT($H25:$Y25,(TRANSPOSE(DC$2:DC$19)))</f>
        <v>0</v>
      </c>
      <c r="DD25" s="1">
        <f t="array" ref="DD25">SUMPRODUCT($H25:$Y25,(TRANSPOSE(DD$2:DD$19)))</f>
        <v>0</v>
      </c>
    </row>
    <row r="26" spans="1:108" x14ac:dyDescent="0.2">
      <c r="A26" s="1">
        <v>6</v>
      </c>
      <c r="B26" s="10">
        <v>200090</v>
      </c>
      <c r="C26" s="1" t="s">
        <v>22</v>
      </c>
      <c r="D26" s="1" t="s">
        <v>871</v>
      </c>
      <c r="E26" s="1" t="s">
        <v>870</v>
      </c>
      <c r="F26" s="1" t="s">
        <v>869</v>
      </c>
      <c r="G26" s="1" t="s">
        <v>20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8</v>
      </c>
      <c r="S26" s="1">
        <v>0</v>
      </c>
      <c r="T26" s="1">
        <v>0</v>
      </c>
      <c r="U26" s="1">
        <v>0</v>
      </c>
      <c r="V26" s="1">
        <v>8</v>
      </c>
      <c r="W26" s="1">
        <v>0</v>
      </c>
      <c r="X26" s="1">
        <v>0</v>
      </c>
      <c r="Y26" s="1">
        <v>0</v>
      </c>
      <c r="Z26" s="1">
        <f>SUM(H26:Y26)</f>
        <v>16</v>
      </c>
      <c r="AA26" s="1">
        <f>SUMPRODUCT(H26:Y26,$H$16:$Y$16)</f>
        <v>14560</v>
      </c>
      <c r="AB26" s="1" t="s">
        <v>868</v>
      </c>
      <c r="AC26" s="17">
        <v>0.64800000000000002</v>
      </c>
      <c r="AD26" s="9"/>
      <c r="AE26" s="1" t="s">
        <v>174</v>
      </c>
      <c r="AF26" s="1">
        <f>AC26*1.1171</f>
        <v>0.72388079999999999</v>
      </c>
      <c r="AG26" s="1">
        <v>5000</v>
      </c>
      <c r="AH26" s="1">
        <v>5000</v>
      </c>
      <c r="AI26" s="1" t="s">
        <v>867</v>
      </c>
      <c r="AK26" s="1" t="s">
        <v>866</v>
      </c>
      <c r="AL26" s="13" t="s">
        <v>865</v>
      </c>
      <c r="AM26" s="13" t="s">
        <v>864</v>
      </c>
      <c r="AN26" s="15" t="s">
        <v>863</v>
      </c>
      <c r="BO26" s="1">
        <f>SUM($AP26,$AQ26:AQ26)-SUM($CK26:CL26)</f>
        <v>0</v>
      </c>
      <c r="BP26" s="1">
        <f>SUM($AP26,$AQ26:AR26)-SUM($CK26:CM26)</f>
        <v>0</v>
      </c>
      <c r="BQ26" s="1">
        <f>SUM($AP26,$AQ26:AS26)-SUM($CK26:CN26)</f>
        <v>0</v>
      </c>
      <c r="BR26" s="1">
        <f>SUM($AP26,$AQ26:AT26)-SUM($CK26:CO26)</f>
        <v>0</v>
      </c>
      <c r="BS26" s="1">
        <f>SUM($AP26,$AQ26:AU26)-SUM($CK26:CP26)</f>
        <v>0</v>
      </c>
      <c r="BT26" s="1">
        <f>SUM($AP26,$AQ26:AV26)-SUM($CK26:CQ26)</f>
        <v>-160</v>
      </c>
      <c r="BU26" s="1">
        <f>SUM($AP26,$AQ26:AW26)-SUM($CK26:CR26)</f>
        <v>-480</v>
      </c>
      <c r="BV26" s="1">
        <f>SUM($AP26,$AQ26:AX26)-SUM($CK26:CS26)</f>
        <v>-960</v>
      </c>
      <c r="BW26" s="1">
        <f>SUM($AP26,$AQ26:AY26)-SUM($CK26:CT26)</f>
        <v>-1600</v>
      </c>
      <c r="BX26" s="1">
        <f>SUM($AP26,$AQ26:AZ26)-SUM($CK26:CU26)</f>
        <v>-2400</v>
      </c>
      <c r="BY26" s="1">
        <f>SUM($AP26,$AQ26:BA26)-SUM($CK26:CV26)</f>
        <v>-3360</v>
      </c>
      <c r="BZ26" s="1">
        <f>SUM($AP26,$AQ26:BB26)-SUM($CK26:CW26)</f>
        <v>-4480</v>
      </c>
      <c r="CA26" s="1">
        <f>SUM($AP26,$AQ26:BC26)-SUM($CK26:CX26)</f>
        <v>-5760</v>
      </c>
      <c r="CB26" s="1">
        <f>SUM($AP26,$AQ26:BD26)-SUM($CK26:CY26)</f>
        <v>-7200</v>
      </c>
      <c r="CC26" s="1">
        <f>SUM($AP26,$AQ26:BE26)-SUM($CK26:CZ26)</f>
        <v>-8800</v>
      </c>
      <c r="CD26" s="1">
        <f>SUM($AP26,$AQ26:BF26)-SUM($CK26:DA26)</f>
        <v>-10560</v>
      </c>
      <c r="CE26" s="1">
        <f>SUM($AP26,$AQ26:BG26)-SUM($CK26:DB26)</f>
        <v>-12480</v>
      </c>
      <c r="CF26" s="1">
        <f>SUM($AP26,$AQ26:BH26)-SUM($CK26:DC26)</f>
        <v>-14560</v>
      </c>
      <c r="CG26" s="1">
        <f>SUM($AP26,$AQ26:BI26)-SUM($CK26:DD26)</f>
        <v>-14560</v>
      </c>
      <c r="CK26" s="1">
        <f t="array" ref="CK26">SUMPRODUCT($H26:$Y26,(TRANSPOSE(CK$2:CK$19)))</f>
        <v>0</v>
      </c>
      <c r="CL26" s="1">
        <f t="array" ref="CL26">SUMPRODUCT($H26:$Y26,(TRANSPOSE(CL$2:CL$19)))</f>
        <v>0</v>
      </c>
      <c r="CM26" s="1">
        <f t="array" ref="CM26">SUMPRODUCT($H26:$Y26,(TRANSPOSE(CM$2:CM$19)))</f>
        <v>0</v>
      </c>
      <c r="CN26" s="1">
        <f t="array" ref="CN26">SUMPRODUCT($H26:$Y26,(TRANSPOSE(CN$2:CN$19)))</f>
        <v>0</v>
      </c>
      <c r="CO26" s="1">
        <f t="array" ref="CO26">SUMPRODUCT($H26:$Y26,(TRANSPOSE(CO$2:CO$19)))</f>
        <v>0</v>
      </c>
      <c r="CP26" s="1">
        <f t="array" ref="CP26">SUMPRODUCT($H26:$Y26,(TRANSPOSE(CP$2:CP$19)))</f>
        <v>0</v>
      </c>
      <c r="CQ26" s="1">
        <f t="array" ref="CQ26">SUMPRODUCT($H26:$Y26,(TRANSPOSE(CQ$2:CQ$19)))</f>
        <v>160</v>
      </c>
      <c r="CR26" s="1">
        <f t="array" ref="CR26">SUMPRODUCT($H26:$Y26,(TRANSPOSE(CR$2:CR$19)))</f>
        <v>320</v>
      </c>
      <c r="CS26" s="1">
        <f t="array" ref="CS26">SUMPRODUCT($H26:$Y26,(TRANSPOSE(CS$2:CS$19)))</f>
        <v>480</v>
      </c>
      <c r="CT26" s="1">
        <f t="array" ref="CT26">SUMPRODUCT($H26:$Y26,(TRANSPOSE(CT$2:CT$19)))</f>
        <v>640</v>
      </c>
      <c r="CU26" s="1">
        <f t="array" ref="CU26">SUMPRODUCT($H26:$Y26,(TRANSPOSE(CU$2:CU$19)))</f>
        <v>800</v>
      </c>
      <c r="CV26" s="1">
        <f t="array" ref="CV26">SUMPRODUCT($H26:$Y26,(TRANSPOSE(CV$2:CV$19)))</f>
        <v>960</v>
      </c>
      <c r="CW26" s="1">
        <f t="array" ref="CW26">SUMPRODUCT($H26:$Y26,(TRANSPOSE(CW$2:CW$19)))</f>
        <v>1120</v>
      </c>
      <c r="CX26" s="1">
        <f t="array" ref="CX26">SUMPRODUCT($H26:$Y26,(TRANSPOSE(CX$2:CX$19)))</f>
        <v>1280</v>
      </c>
      <c r="CY26" s="1">
        <f t="array" ref="CY26">SUMPRODUCT($H26:$Y26,(TRANSPOSE(CY$2:CY$19)))</f>
        <v>1440</v>
      </c>
      <c r="CZ26" s="1">
        <f t="array" ref="CZ26">SUMPRODUCT($H26:$Y26,(TRANSPOSE(CZ$2:CZ$19)))</f>
        <v>1600</v>
      </c>
      <c r="DA26" s="1">
        <f t="array" ref="DA26">SUMPRODUCT($H26:$Y26,(TRANSPOSE(DA$2:DA$19)))</f>
        <v>1760</v>
      </c>
      <c r="DB26" s="1">
        <f t="array" ref="DB26">SUMPRODUCT($H26:$Y26,(TRANSPOSE(DB$2:DB$19)))</f>
        <v>1920</v>
      </c>
      <c r="DC26" s="1">
        <f t="array" ref="DC26">SUMPRODUCT($H26:$Y26,(TRANSPOSE(DC$2:DC$19)))</f>
        <v>2080</v>
      </c>
      <c r="DD26" s="1">
        <f t="array" ref="DD26">SUMPRODUCT($H26:$Y26,(TRANSPOSE(DD$2:DD$19)))</f>
        <v>0</v>
      </c>
    </row>
    <row r="27" spans="1:108" x14ac:dyDescent="0.2">
      <c r="A27" s="1">
        <v>7</v>
      </c>
      <c r="B27" s="10" t="s">
        <v>862</v>
      </c>
      <c r="C27" s="1" t="s">
        <v>22</v>
      </c>
      <c r="D27" s="1">
        <v>401225108</v>
      </c>
      <c r="E27" s="1">
        <v>417531744</v>
      </c>
      <c r="F27" s="1" t="s">
        <v>582</v>
      </c>
      <c r="G27" s="1" t="s">
        <v>20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68</v>
      </c>
      <c r="Y27" s="1">
        <v>0</v>
      </c>
      <c r="Z27" s="1">
        <f>SUM(H27:Y27)</f>
        <v>68</v>
      </c>
      <c r="AA27" s="1">
        <f>SUMPRODUCT(H27:Y27,$H$16:$Y$16)</f>
        <v>61880</v>
      </c>
      <c r="AB27" s="1" t="s">
        <v>74</v>
      </c>
      <c r="AC27" s="1">
        <v>0.17</v>
      </c>
      <c r="AD27" s="9"/>
      <c r="AE27" s="1" t="s">
        <v>28</v>
      </c>
      <c r="AF27" s="1">
        <f>AC27</f>
        <v>0.17</v>
      </c>
      <c r="AG27" s="1">
        <v>5000</v>
      </c>
      <c r="AH27" s="1">
        <v>5000</v>
      </c>
      <c r="AI27" s="1">
        <v>26</v>
      </c>
      <c r="AK27" s="1" t="s">
        <v>73</v>
      </c>
      <c r="AL27" s="1" t="s">
        <v>72</v>
      </c>
      <c r="AM27" s="1" t="s">
        <v>71</v>
      </c>
      <c r="AN27" s="2" t="s">
        <v>565</v>
      </c>
      <c r="BO27" s="1">
        <f>SUM($AP27,$AQ27:AQ27)-SUM($CK27:CL27)</f>
        <v>0</v>
      </c>
      <c r="BP27" s="1">
        <f>SUM($AP27,$AQ27:AR27)-SUM($CK27:CM27)</f>
        <v>0</v>
      </c>
      <c r="BQ27" s="1">
        <f>SUM($AP27,$AQ27:AS27)-SUM($CK27:CN27)</f>
        <v>0</v>
      </c>
      <c r="BR27" s="1">
        <f>SUM($AP27,$AQ27:AT27)-SUM($CK27:CO27)</f>
        <v>-680</v>
      </c>
      <c r="BS27" s="1">
        <f>SUM($AP27,$AQ27:AU27)-SUM($CK27:CP27)</f>
        <v>-2040</v>
      </c>
      <c r="BT27" s="1">
        <f>SUM($AP27,$AQ27:AV27)-SUM($CK27:CQ27)</f>
        <v>-4080</v>
      </c>
      <c r="BU27" s="1">
        <f>SUM($AP27,$AQ27:AW27)-SUM($CK27:CR27)</f>
        <v>-6800</v>
      </c>
      <c r="BV27" s="1">
        <f>SUM($AP27,$AQ27:AX27)-SUM($CK27:CS27)</f>
        <v>-10200</v>
      </c>
      <c r="BW27" s="1">
        <f>SUM($AP27,$AQ27:AY27)-SUM($CK27:CT27)</f>
        <v>-14280</v>
      </c>
      <c r="BX27" s="1">
        <f>SUM($AP27,$AQ27:AZ27)-SUM($CK27:CU27)</f>
        <v>-19040</v>
      </c>
      <c r="BY27" s="1">
        <f>SUM($AP27,$AQ27:BA27)-SUM($CK27:CV27)</f>
        <v>-24480</v>
      </c>
      <c r="BZ27" s="1">
        <f>SUM($AP27,$AQ27:BB27)-SUM($CK27:CW27)</f>
        <v>-30600</v>
      </c>
      <c r="CA27" s="1">
        <f>SUM($AP27,$AQ27:BC27)-SUM($CK27:CX27)</f>
        <v>-37400</v>
      </c>
      <c r="CB27" s="1">
        <f>SUM($AP27,$AQ27:BD27)-SUM($CK27:CY27)</f>
        <v>-44880</v>
      </c>
      <c r="CC27" s="1">
        <f>SUM($AP27,$AQ27:BE27)-SUM($CK27:CZ27)</f>
        <v>-53040</v>
      </c>
      <c r="CD27" s="1">
        <f>SUM($AP27,$AQ27:BF27)-SUM($CK27:DA27)</f>
        <v>-61880</v>
      </c>
      <c r="CE27" s="1">
        <f>SUM($AP27,$AQ27:BG27)-SUM($CK27:DB27)</f>
        <v>-61880</v>
      </c>
      <c r="CF27" s="1">
        <f>SUM($AP27,$AQ27:BH27)-SUM($CK27:DC27)</f>
        <v>-61880</v>
      </c>
      <c r="CG27" s="1">
        <f>SUM($AP27,$AQ27:BI27)-SUM($CK27:DD27)</f>
        <v>-61880</v>
      </c>
      <c r="CK27" s="1">
        <f t="array" ref="CK27">SUMPRODUCT($H27:$Y27,(TRANSPOSE(CK$2:CK$19)))</f>
        <v>0</v>
      </c>
      <c r="CL27" s="1">
        <f t="array" ref="CL27">SUMPRODUCT($H27:$Y27,(TRANSPOSE(CL$2:CL$19)))</f>
        <v>0</v>
      </c>
      <c r="CM27" s="1">
        <f t="array" ref="CM27">SUMPRODUCT($H27:$Y27,(TRANSPOSE(CM$2:CM$19)))</f>
        <v>0</v>
      </c>
      <c r="CN27" s="1">
        <f t="array" ref="CN27">SUMPRODUCT($H27:$Y27,(TRANSPOSE(CN$2:CN$19)))</f>
        <v>0</v>
      </c>
      <c r="CO27" s="1">
        <f t="array" ref="CO27">SUMPRODUCT($H27:$Y27,(TRANSPOSE(CO$2:CO$19)))</f>
        <v>680</v>
      </c>
      <c r="CP27" s="1">
        <f t="array" ref="CP27">SUMPRODUCT($H27:$Y27,(TRANSPOSE(CP$2:CP$19)))</f>
        <v>1360</v>
      </c>
      <c r="CQ27" s="1">
        <f t="array" ref="CQ27">SUMPRODUCT($H27:$Y27,(TRANSPOSE(CQ$2:CQ$19)))</f>
        <v>2040</v>
      </c>
      <c r="CR27" s="1">
        <f t="array" ref="CR27">SUMPRODUCT($H27:$Y27,(TRANSPOSE(CR$2:CR$19)))</f>
        <v>2720</v>
      </c>
      <c r="CS27" s="1">
        <f t="array" ref="CS27">SUMPRODUCT($H27:$Y27,(TRANSPOSE(CS$2:CS$19)))</f>
        <v>3400</v>
      </c>
      <c r="CT27" s="1">
        <f t="array" ref="CT27">SUMPRODUCT($H27:$Y27,(TRANSPOSE(CT$2:CT$19)))</f>
        <v>4080</v>
      </c>
      <c r="CU27" s="1">
        <f t="array" ref="CU27">SUMPRODUCT($H27:$Y27,(TRANSPOSE(CU$2:CU$19)))</f>
        <v>4760</v>
      </c>
      <c r="CV27" s="1">
        <f t="array" ref="CV27">SUMPRODUCT($H27:$Y27,(TRANSPOSE(CV$2:CV$19)))</f>
        <v>5440</v>
      </c>
      <c r="CW27" s="1">
        <f t="array" ref="CW27">SUMPRODUCT($H27:$Y27,(TRANSPOSE(CW$2:CW$19)))</f>
        <v>6120</v>
      </c>
      <c r="CX27" s="1">
        <f t="array" ref="CX27">SUMPRODUCT($H27:$Y27,(TRANSPOSE(CX$2:CX$19)))</f>
        <v>6800</v>
      </c>
      <c r="CY27" s="1">
        <f t="array" ref="CY27">SUMPRODUCT($H27:$Y27,(TRANSPOSE(CY$2:CY$19)))</f>
        <v>7480</v>
      </c>
      <c r="CZ27" s="1">
        <f t="array" ref="CZ27">SUMPRODUCT($H27:$Y27,(TRANSPOSE(CZ$2:CZ$19)))</f>
        <v>8160</v>
      </c>
      <c r="DA27" s="1">
        <f t="array" ref="DA27">SUMPRODUCT($H27:$Y27,(TRANSPOSE(DA$2:DA$19)))</f>
        <v>8840</v>
      </c>
      <c r="DB27" s="1">
        <f t="array" ref="DB27">SUMPRODUCT($H27:$Y27,(TRANSPOSE(DB$2:DB$19)))</f>
        <v>0</v>
      </c>
      <c r="DC27" s="1">
        <f t="array" ref="DC27">SUMPRODUCT($H27:$Y27,(TRANSPOSE(DC$2:DC$19)))</f>
        <v>0</v>
      </c>
      <c r="DD27" s="1">
        <f t="array" ref="DD27">SUMPRODUCT($H27:$Y27,(TRANSPOSE(DD$2:DD$19)))</f>
        <v>0</v>
      </c>
    </row>
    <row r="28" spans="1:108" x14ac:dyDescent="0.2">
      <c r="A28" s="1">
        <v>8</v>
      </c>
      <c r="B28" s="10" t="s">
        <v>861</v>
      </c>
      <c r="C28" s="1" t="s">
        <v>22</v>
      </c>
      <c r="D28" s="1">
        <v>401225101</v>
      </c>
      <c r="E28" s="1">
        <v>417531747</v>
      </c>
      <c r="F28" s="1" t="s">
        <v>579</v>
      </c>
      <c r="G28" s="1" t="s">
        <v>20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68</v>
      </c>
      <c r="Y28" s="1">
        <v>0</v>
      </c>
      <c r="Z28" s="1">
        <f>SUM(H28:Y28)</f>
        <v>68</v>
      </c>
      <c r="AA28" s="1">
        <f>SUMPRODUCT(H28:Y28,$H$16:$Y$16)</f>
        <v>61880</v>
      </c>
      <c r="AB28" s="1" t="s">
        <v>74</v>
      </c>
      <c r="AC28" s="1">
        <v>0.17</v>
      </c>
      <c r="AD28" s="9"/>
      <c r="AE28" s="1" t="s">
        <v>28</v>
      </c>
      <c r="AF28" s="1">
        <f>AC28</f>
        <v>0.17</v>
      </c>
      <c r="AG28" s="1">
        <v>10000</v>
      </c>
      <c r="AH28" s="1">
        <v>10000</v>
      </c>
      <c r="AI28" s="1">
        <v>26</v>
      </c>
      <c r="AK28" s="1" t="s">
        <v>73</v>
      </c>
      <c r="AL28" s="1" t="s">
        <v>72</v>
      </c>
      <c r="AM28" s="1" t="s">
        <v>71</v>
      </c>
      <c r="AN28" s="2" t="s">
        <v>565</v>
      </c>
      <c r="BO28" s="1">
        <f>SUM($AP28,$AQ28:AQ28)-SUM($CK28:CL28)</f>
        <v>0</v>
      </c>
      <c r="BP28" s="1">
        <f>SUM($AP28,$AQ28:AR28)-SUM($CK28:CM28)</f>
        <v>0</v>
      </c>
      <c r="BQ28" s="1">
        <f>SUM($AP28,$AQ28:AS28)-SUM($CK28:CN28)</f>
        <v>0</v>
      </c>
      <c r="BR28" s="1">
        <f>SUM($AP28,$AQ28:AT28)-SUM($CK28:CO28)</f>
        <v>-680</v>
      </c>
      <c r="BS28" s="1">
        <f>SUM($AP28,$AQ28:AU28)-SUM($CK28:CP28)</f>
        <v>-2040</v>
      </c>
      <c r="BT28" s="1">
        <f>SUM($AP28,$AQ28:AV28)-SUM($CK28:CQ28)</f>
        <v>-4080</v>
      </c>
      <c r="BU28" s="1">
        <f>SUM($AP28,$AQ28:AW28)-SUM($CK28:CR28)</f>
        <v>-6800</v>
      </c>
      <c r="BV28" s="1">
        <f>SUM($AP28,$AQ28:AX28)-SUM($CK28:CS28)</f>
        <v>-10200</v>
      </c>
      <c r="BW28" s="1">
        <f>SUM($AP28,$AQ28:AY28)-SUM($CK28:CT28)</f>
        <v>-14280</v>
      </c>
      <c r="BX28" s="1">
        <f>SUM($AP28,$AQ28:AZ28)-SUM($CK28:CU28)</f>
        <v>-19040</v>
      </c>
      <c r="BY28" s="1">
        <f>SUM($AP28,$AQ28:BA28)-SUM($CK28:CV28)</f>
        <v>-24480</v>
      </c>
      <c r="BZ28" s="1">
        <f>SUM($AP28,$AQ28:BB28)-SUM($CK28:CW28)</f>
        <v>-30600</v>
      </c>
      <c r="CA28" s="1">
        <f>SUM($AP28,$AQ28:BC28)-SUM($CK28:CX28)</f>
        <v>-37400</v>
      </c>
      <c r="CB28" s="1">
        <f>SUM($AP28,$AQ28:BD28)-SUM($CK28:CY28)</f>
        <v>-44880</v>
      </c>
      <c r="CC28" s="1">
        <f>SUM($AP28,$AQ28:BE28)-SUM($CK28:CZ28)</f>
        <v>-53040</v>
      </c>
      <c r="CD28" s="1">
        <f>SUM($AP28,$AQ28:BF28)-SUM($CK28:DA28)</f>
        <v>-61880</v>
      </c>
      <c r="CE28" s="1">
        <f>SUM($AP28,$AQ28:BG28)-SUM($CK28:DB28)</f>
        <v>-61880</v>
      </c>
      <c r="CF28" s="1">
        <f>SUM($AP28,$AQ28:BH28)-SUM($CK28:DC28)</f>
        <v>-61880</v>
      </c>
      <c r="CG28" s="1">
        <f>SUM($AP28,$AQ28:BI28)-SUM($CK28:DD28)</f>
        <v>-61880</v>
      </c>
      <c r="CK28" s="1">
        <f t="array" ref="CK28">SUMPRODUCT($H28:$Y28,(TRANSPOSE(CK$2:CK$19)))</f>
        <v>0</v>
      </c>
      <c r="CL28" s="1">
        <f t="array" ref="CL28">SUMPRODUCT($H28:$Y28,(TRANSPOSE(CL$2:CL$19)))</f>
        <v>0</v>
      </c>
      <c r="CM28" s="1">
        <f t="array" ref="CM28">SUMPRODUCT($H28:$Y28,(TRANSPOSE(CM$2:CM$19)))</f>
        <v>0</v>
      </c>
      <c r="CN28" s="1">
        <f t="array" ref="CN28">SUMPRODUCT($H28:$Y28,(TRANSPOSE(CN$2:CN$19)))</f>
        <v>0</v>
      </c>
      <c r="CO28" s="1">
        <f t="array" ref="CO28">SUMPRODUCT($H28:$Y28,(TRANSPOSE(CO$2:CO$19)))</f>
        <v>680</v>
      </c>
      <c r="CP28" s="1">
        <f t="array" ref="CP28">SUMPRODUCT($H28:$Y28,(TRANSPOSE(CP$2:CP$19)))</f>
        <v>1360</v>
      </c>
      <c r="CQ28" s="1">
        <f t="array" ref="CQ28">SUMPRODUCT($H28:$Y28,(TRANSPOSE(CQ$2:CQ$19)))</f>
        <v>2040</v>
      </c>
      <c r="CR28" s="1">
        <f t="array" ref="CR28">SUMPRODUCT($H28:$Y28,(TRANSPOSE(CR$2:CR$19)))</f>
        <v>2720</v>
      </c>
      <c r="CS28" s="1">
        <f t="array" ref="CS28">SUMPRODUCT($H28:$Y28,(TRANSPOSE(CS$2:CS$19)))</f>
        <v>3400</v>
      </c>
      <c r="CT28" s="1">
        <f t="array" ref="CT28">SUMPRODUCT($H28:$Y28,(TRANSPOSE(CT$2:CT$19)))</f>
        <v>4080</v>
      </c>
      <c r="CU28" s="1">
        <f t="array" ref="CU28">SUMPRODUCT($H28:$Y28,(TRANSPOSE(CU$2:CU$19)))</f>
        <v>4760</v>
      </c>
      <c r="CV28" s="1">
        <f t="array" ref="CV28">SUMPRODUCT($H28:$Y28,(TRANSPOSE(CV$2:CV$19)))</f>
        <v>5440</v>
      </c>
      <c r="CW28" s="1">
        <f t="array" ref="CW28">SUMPRODUCT($H28:$Y28,(TRANSPOSE(CW$2:CW$19)))</f>
        <v>6120</v>
      </c>
      <c r="CX28" s="1">
        <f t="array" ref="CX28">SUMPRODUCT($H28:$Y28,(TRANSPOSE(CX$2:CX$19)))</f>
        <v>6800</v>
      </c>
      <c r="CY28" s="1">
        <f t="array" ref="CY28">SUMPRODUCT($H28:$Y28,(TRANSPOSE(CY$2:CY$19)))</f>
        <v>7480</v>
      </c>
      <c r="CZ28" s="1">
        <f t="array" ref="CZ28">SUMPRODUCT($H28:$Y28,(TRANSPOSE(CZ$2:CZ$19)))</f>
        <v>8160</v>
      </c>
      <c r="DA28" s="1">
        <f t="array" ref="DA28">SUMPRODUCT($H28:$Y28,(TRANSPOSE(DA$2:DA$19)))</f>
        <v>8840</v>
      </c>
      <c r="DB28" s="1">
        <f t="array" ref="DB28">SUMPRODUCT($H28:$Y28,(TRANSPOSE(DB$2:DB$19)))</f>
        <v>0</v>
      </c>
      <c r="DC28" s="1">
        <f t="array" ref="DC28">SUMPRODUCT($H28:$Y28,(TRANSPOSE(DC$2:DC$19)))</f>
        <v>0</v>
      </c>
      <c r="DD28" s="1">
        <f t="array" ref="DD28">SUMPRODUCT($H28:$Y28,(TRANSPOSE(DD$2:DD$19)))</f>
        <v>0</v>
      </c>
    </row>
    <row r="29" spans="1:108" x14ac:dyDescent="0.2">
      <c r="A29" s="1">
        <v>9</v>
      </c>
      <c r="B29" s="10" t="s">
        <v>860</v>
      </c>
      <c r="C29" s="1" t="s">
        <v>22</v>
      </c>
      <c r="D29" s="1">
        <v>417380164</v>
      </c>
      <c r="F29" s="1" t="s">
        <v>859</v>
      </c>
      <c r="G29" s="1" t="s">
        <v>20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132</v>
      </c>
      <c r="U29" s="1">
        <v>0</v>
      </c>
      <c r="V29" s="1">
        <v>0</v>
      </c>
      <c r="W29" s="1">
        <v>0</v>
      </c>
      <c r="X29" s="1">
        <v>132</v>
      </c>
      <c r="Y29" s="1">
        <v>0</v>
      </c>
      <c r="Z29" s="1">
        <f>SUM(H29:Y29)</f>
        <v>264</v>
      </c>
      <c r="AA29" s="1">
        <f>SUMPRODUCT(H29:Y29,$H$16:$Y$16)</f>
        <v>240240</v>
      </c>
      <c r="AB29" s="1" t="s">
        <v>854</v>
      </c>
      <c r="AC29" s="1">
        <v>0.111</v>
      </c>
      <c r="AD29" s="9"/>
      <c r="AE29" s="1" t="s">
        <v>28</v>
      </c>
      <c r="AF29" s="1">
        <f>AC29</f>
        <v>0.111</v>
      </c>
      <c r="AG29" s="1">
        <v>3000</v>
      </c>
      <c r="AH29" s="1">
        <v>3000</v>
      </c>
      <c r="AI29" s="1">
        <v>12</v>
      </c>
      <c r="AJ29" s="1" t="s">
        <v>156</v>
      </c>
      <c r="AK29" s="1" t="s">
        <v>541</v>
      </c>
      <c r="BO29" s="1">
        <f>SUM($AP29,$AQ29:AQ29)-SUM($CK29:CL29)</f>
        <v>0</v>
      </c>
      <c r="BP29" s="1">
        <f>SUM($AP29,$AQ29:AR29)-SUM($CK29:CM29)</f>
        <v>0</v>
      </c>
      <c r="BQ29" s="1">
        <f>SUM($AP29,$AQ29:AS29)-SUM($CK29:CN29)</f>
        <v>0</v>
      </c>
      <c r="BR29" s="1">
        <f>SUM($AP29,$AQ29:AT29)-SUM($CK29:CO29)</f>
        <v>-2640</v>
      </c>
      <c r="BS29" s="1">
        <f>SUM($AP29,$AQ29:AU29)-SUM($CK29:CP29)</f>
        <v>-7920</v>
      </c>
      <c r="BT29" s="1">
        <f>SUM($AP29,$AQ29:AV29)-SUM($CK29:CQ29)</f>
        <v>-15840</v>
      </c>
      <c r="BU29" s="1">
        <f>SUM($AP29,$AQ29:AW29)-SUM($CK29:CR29)</f>
        <v>-26400</v>
      </c>
      <c r="BV29" s="1">
        <f>SUM($AP29,$AQ29:AX29)-SUM($CK29:CS29)</f>
        <v>-39600</v>
      </c>
      <c r="BW29" s="1">
        <f>SUM($AP29,$AQ29:AY29)-SUM($CK29:CT29)</f>
        <v>-55440</v>
      </c>
      <c r="BX29" s="1">
        <f>SUM($AP29,$AQ29:AZ29)-SUM($CK29:CU29)</f>
        <v>-73920</v>
      </c>
      <c r="BY29" s="1">
        <f>SUM($AP29,$AQ29:BA29)-SUM($CK29:CV29)</f>
        <v>-95040</v>
      </c>
      <c r="BZ29" s="1">
        <f>SUM($AP29,$AQ29:BB29)-SUM($CK29:CW29)</f>
        <v>-118800</v>
      </c>
      <c r="CA29" s="1">
        <f>SUM($AP29,$AQ29:BC29)-SUM($CK29:CX29)</f>
        <v>-145200</v>
      </c>
      <c r="CB29" s="1">
        <f>SUM($AP29,$AQ29:BD29)-SUM($CK29:CY29)</f>
        <v>-174240</v>
      </c>
      <c r="CC29" s="1">
        <f>SUM($AP29,$AQ29:BE29)-SUM($CK29:CZ29)</f>
        <v>-205920</v>
      </c>
      <c r="CD29" s="1">
        <f>SUM($AP29,$AQ29:BF29)-SUM($CK29:DA29)</f>
        <v>-240240</v>
      </c>
      <c r="CE29" s="1">
        <f>SUM($AP29,$AQ29:BG29)-SUM($CK29:DB29)</f>
        <v>-240240</v>
      </c>
      <c r="CF29" s="1">
        <f>SUM($AP29,$AQ29:BH29)-SUM($CK29:DC29)</f>
        <v>-240240</v>
      </c>
      <c r="CG29" s="1">
        <f>SUM($AP29,$AQ29:BI29)-SUM($CK29:DD29)</f>
        <v>-240240</v>
      </c>
      <c r="CK29" s="1">
        <f t="array" ref="CK29">SUMPRODUCT($H29:$Y29,(TRANSPOSE(CK$2:CK$19)))</f>
        <v>0</v>
      </c>
      <c r="CL29" s="1">
        <f t="array" ref="CL29">SUMPRODUCT($H29:$Y29,(TRANSPOSE(CL$2:CL$19)))</f>
        <v>0</v>
      </c>
      <c r="CM29" s="1">
        <f t="array" ref="CM29">SUMPRODUCT($H29:$Y29,(TRANSPOSE(CM$2:CM$19)))</f>
        <v>0</v>
      </c>
      <c r="CN29" s="1">
        <f t="array" ref="CN29">SUMPRODUCT($H29:$Y29,(TRANSPOSE(CN$2:CN$19)))</f>
        <v>0</v>
      </c>
      <c r="CO29" s="1">
        <f t="array" ref="CO29">SUMPRODUCT($H29:$Y29,(TRANSPOSE(CO$2:CO$19)))</f>
        <v>2640</v>
      </c>
      <c r="CP29" s="1">
        <f t="array" ref="CP29">SUMPRODUCT($H29:$Y29,(TRANSPOSE(CP$2:CP$19)))</f>
        <v>5280</v>
      </c>
      <c r="CQ29" s="1">
        <f t="array" ref="CQ29">SUMPRODUCT($H29:$Y29,(TRANSPOSE(CQ$2:CQ$19)))</f>
        <v>7920</v>
      </c>
      <c r="CR29" s="1">
        <f t="array" ref="CR29">SUMPRODUCT($H29:$Y29,(TRANSPOSE(CR$2:CR$19)))</f>
        <v>10560</v>
      </c>
      <c r="CS29" s="1">
        <f t="array" ref="CS29">SUMPRODUCT($H29:$Y29,(TRANSPOSE(CS$2:CS$19)))</f>
        <v>13200</v>
      </c>
      <c r="CT29" s="1">
        <f t="array" ref="CT29">SUMPRODUCT($H29:$Y29,(TRANSPOSE(CT$2:CT$19)))</f>
        <v>15840</v>
      </c>
      <c r="CU29" s="1">
        <f t="array" ref="CU29">SUMPRODUCT($H29:$Y29,(TRANSPOSE(CU$2:CU$19)))</f>
        <v>18480</v>
      </c>
      <c r="CV29" s="1">
        <f t="array" ref="CV29">SUMPRODUCT($H29:$Y29,(TRANSPOSE(CV$2:CV$19)))</f>
        <v>21120</v>
      </c>
      <c r="CW29" s="1">
        <f t="array" ref="CW29">SUMPRODUCT($H29:$Y29,(TRANSPOSE(CW$2:CW$19)))</f>
        <v>23760</v>
      </c>
      <c r="CX29" s="1">
        <f t="array" ref="CX29">SUMPRODUCT($H29:$Y29,(TRANSPOSE(CX$2:CX$19)))</f>
        <v>26400</v>
      </c>
      <c r="CY29" s="1">
        <f t="array" ref="CY29">SUMPRODUCT($H29:$Y29,(TRANSPOSE(CY$2:CY$19)))</f>
        <v>29040</v>
      </c>
      <c r="CZ29" s="1">
        <f t="array" ref="CZ29">SUMPRODUCT($H29:$Y29,(TRANSPOSE(CZ$2:CZ$19)))</f>
        <v>31680</v>
      </c>
      <c r="DA29" s="1">
        <f t="array" ref="DA29">SUMPRODUCT($H29:$Y29,(TRANSPOSE(DA$2:DA$19)))</f>
        <v>34320</v>
      </c>
      <c r="DB29" s="1">
        <f t="array" ref="DB29">SUMPRODUCT($H29:$Y29,(TRANSPOSE(DB$2:DB$19)))</f>
        <v>0</v>
      </c>
      <c r="DC29" s="1">
        <f t="array" ref="DC29">SUMPRODUCT($H29:$Y29,(TRANSPOSE(DC$2:DC$19)))</f>
        <v>0</v>
      </c>
      <c r="DD29" s="1">
        <f t="array" ref="DD29">SUMPRODUCT($H29:$Y29,(TRANSPOSE(DD$2:DD$19)))</f>
        <v>0</v>
      </c>
    </row>
    <row r="30" spans="1:108" x14ac:dyDescent="0.2">
      <c r="A30" s="1">
        <v>10</v>
      </c>
      <c r="B30" s="10" t="s">
        <v>858</v>
      </c>
      <c r="C30" s="1" t="s">
        <v>22</v>
      </c>
      <c r="D30" s="1">
        <v>409331536</v>
      </c>
      <c r="F30" s="1" t="s">
        <v>857</v>
      </c>
      <c r="G30" s="1" t="s">
        <v>20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66</v>
      </c>
      <c r="U30" s="1">
        <v>0</v>
      </c>
      <c r="V30" s="1">
        <v>0</v>
      </c>
      <c r="W30" s="1">
        <v>0</v>
      </c>
      <c r="X30" s="1">
        <v>66</v>
      </c>
      <c r="Y30" s="1">
        <v>0</v>
      </c>
      <c r="Z30" s="1">
        <f>SUM(H30:Y30)</f>
        <v>132</v>
      </c>
      <c r="AA30" s="1">
        <f>SUMPRODUCT(H30:Y30,$H$16:$Y$16)</f>
        <v>120120</v>
      </c>
      <c r="AB30" s="1" t="s">
        <v>854</v>
      </c>
      <c r="AC30" s="1">
        <v>0.111</v>
      </c>
      <c r="AD30" s="9"/>
      <c r="AE30" s="1" t="s">
        <v>28</v>
      </c>
      <c r="AF30" s="1">
        <f>AC30</f>
        <v>0.111</v>
      </c>
      <c r="AH30" s="1">
        <v>3000</v>
      </c>
      <c r="AJ30" s="1" t="s">
        <v>156</v>
      </c>
      <c r="AK30" s="1" t="s">
        <v>541</v>
      </c>
      <c r="BO30" s="1">
        <f>SUM($AP30,$AQ30:AQ30)-SUM($CK30:CL30)</f>
        <v>0</v>
      </c>
      <c r="BP30" s="1">
        <f>SUM($AP30,$AQ30:AR30)-SUM($CK30:CM30)</f>
        <v>0</v>
      </c>
      <c r="BQ30" s="1">
        <f>SUM($AP30,$AQ30:AS30)-SUM($CK30:CN30)</f>
        <v>0</v>
      </c>
      <c r="BR30" s="1">
        <f>SUM($AP30,$AQ30:AT30)-SUM($CK30:CO30)</f>
        <v>-1320</v>
      </c>
      <c r="BS30" s="1">
        <f>SUM($AP30,$AQ30:AU30)-SUM($CK30:CP30)</f>
        <v>-3960</v>
      </c>
      <c r="BT30" s="1">
        <f>SUM($AP30,$AQ30:AV30)-SUM($CK30:CQ30)</f>
        <v>-7920</v>
      </c>
      <c r="BU30" s="1">
        <f>SUM($AP30,$AQ30:AW30)-SUM($CK30:CR30)</f>
        <v>-13200</v>
      </c>
      <c r="BV30" s="1">
        <f>SUM($AP30,$AQ30:AX30)-SUM($CK30:CS30)</f>
        <v>-19800</v>
      </c>
      <c r="BW30" s="1">
        <f>SUM($AP30,$AQ30:AY30)-SUM($CK30:CT30)</f>
        <v>-27720</v>
      </c>
      <c r="BX30" s="1">
        <f>SUM($AP30,$AQ30:AZ30)-SUM($CK30:CU30)</f>
        <v>-36960</v>
      </c>
      <c r="BY30" s="1">
        <f>SUM($AP30,$AQ30:BA30)-SUM($CK30:CV30)</f>
        <v>-47520</v>
      </c>
      <c r="BZ30" s="1">
        <f>SUM($AP30,$AQ30:BB30)-SUM($CK30:CW30)</f>
        <v>-59400</v>
      </c>
      <c r="CA30" s="1">
        <f>SUM($AP30,$AQ30:BC30)-SUM($CK30:CX30)</f>
        <v>-72600</v>
      </c>
      <c r="CB30" s="1">
        <f>SUM($AP30,$AQ30:BD30)-SUM($CK30:CY30)</f>
        <v>-87120</v>
      </c>
      <c r="CC30" s="1">
        <f>SUM($AP30,$AQ30:BE30)-SUM($CK30:CZ30)</f>
        <v>-102960</v>
      </c>
      <c r="CD30" s="1">
        <f>SUM($AP30,$AQ30:BF30)-SUM($CK30:DA30)</f>
        <v>-120120</v>
      </c>
      <c r="CE30" s="1">
        <f>SUM($AP30,$AQ30:BG30)-SUM($CK30:DB30)</f>
        <v>-120120</v>
      </c>
      <c r="CF30" s="1">
        <f>SUM($AP30,$AQ30:BH30)-SUM($CK30:DC30)</f>
        <v>-120120</v>
      </c>
      <c r="CG30" s="1">
        <f>SUM($AP30,$AQ30:BI30)-SUM($CK30:DD30)</f>
        <v>-120120</v>
      </c>
      <c r="CK30" s="1">
        <f t="array" ref="CK30">SUMPRODUCT($H30:$Y30,(TRANSPOSE(CK$2:CK$19)))</f>
        <v>0</v>
      </c>
      <c r="CL30" s="1">
        <f t="array" ref="CL30">SUMPRODUCT($H30:$Y30,(TRANSPOSE(CL$2:CL$19)))</f>
        <v>0</v>
      </c>
      <c r="CM30" s="1">
        <f t="array" ref="CM30">SUMPRODUCT($H30:$Y30,(TRANSPOSE(CM$2:CM$19)))</f>
        <v>0</v>
      </c>
      <c r="CN30" s="1">
        <f t="array" ref="CN30">SUMPRODUCT($H30:$Y30,(TRANSPOSE(CN$2:CN$19)))</f>
        <v>0</v>
      </c>
      <c r="CO30" s="1">
        <f t="array" ref="CO30">SUMPRODUCT($H30:$Y30,(TRANSPOSE(CO$2:CO$19)))</f>
        <v>1320</v>
      </c>
      <c r="CP30" s="1">
        <f t="array" ref="CP30">SUMPRODUCT($H30:$Y30,(TRANSPOSE(CP$2:CP$19)))</f>
        <v>2640</v>
      </c>
      <c r="CQ30" s="1">
        <f t="array" ref="CQ30">SUMPRODUCT($H30:$Y30,(TRANSPOSE(CQ$2:CQ$19)))</f>
        <v>3960</v>
      </c>
      <c r="CR30" s="1">
        <f t="array" ref="CR30">SUMPRODUCT($H30:$Y30,(TRANSPOSE(CR$2:CR$19)))</f>
        <v>5280</v>
      </c>
      <c r="CS30" s="1">
        <f t="array" ref="CS30">SUMPRODUCT($H30:$Y30,(TRANSPOSE(CS$2:CS$19)))</f>
        <v>6600</v>
      </c>
      <c r="CT30" s="1">
        <f t="array" ref="CT30">SUMPRODUCT($H30:$Y30,(TRANSPOSE(CT$2:CT$19)))</f>
        <v>7920</v>
      </c>
      <c r="CU30" s="1">
        <f t="array" ref="CU30">SUMPRODUCT($H30:$Y30,(TRANSPOSE(CU$2:CU$19)))</f>
        <v>9240</v>
      </c>
      <c r="CV30" s="1">
        <f t="array" ref="CV30">SUMPRODUCT($H30:$Y30,(TRANSPOSE(CV$2:CV$19)))</f>
        <v>10560</v>
      </c>
      <c r="CW30" s="1">
        <f t="array" ref="CW30">SUMPRODUCT($H30:$Y30,(TRANSPOSE(CW$2:CW$19)))</f>
        <v>11880</v>
      </c>
      <c r="CX30" s="1">
        <f t="array" ref="CX30">SUMPRODUCT($H30:$Y30,(TRANSPOSE(CX$2:CX$19)))</f>
        <v>13200</v>
      </c>
      <c r="CY30" s="1">
        <f t="array" ref="CY30">SUMPRODUCT($H30:$Y30,(TRANSPOSE(CY$2:CY$19)))</f>
        <v>14520</v>
      </c>
      <c r="CZ30" s="1">
        <f t="array" ref="CZ30">SUMPRODUCT($H30:$Y30,(TRANSPOSE(CZ$2:CZ$19)))</f>
        <v>15840</v>
      </c>
      <c r="DA30" s="1">
        <f t="array" ref="DA30">SUMPRODUCT($H30:$Y30,(TRANSPOSE(DA$2:DA$19)))</f>
        <v>17160</v>
      </c>
      <c r="DB30" s="1">
        <f t="array" ref="DB30">SUMPRODUCT($H30:$Y30,(TRANSPOSE(DB$2:DB$19)))</f>
        <v>0</v>
      </c>
      <c r="DC30" s="1">
        <f t="array" ref="DC30">SUMPRODUCT($H30:$Y30,(TRANSPOSE(DC$2:DC$19)))</f>
        <v>0</v>
      </c>
      <c r="DD30" s="1">
        <f t="array" ref="DD30">SUMPRODUCT($H30:$Y30,(TRANSPOSE(DD$2:DD$19)))</f>
        <v>0</v>
      </c>
    </row>
    <row r="31" spans="1:108" ht="13.5" thickBot="1" x14ac:dyDescent="0.25">
      <c r="A31" s="1">
        <v>11</v>
      </c>
      <c r="B31" s="10" t="s">
        <v>856</v>
      </c>
      <c r="C31" s="1" t="s">
        <v>22</v>
      </c>
      <c r="D31" s="1">
        <v>403129345</v>
      </c>
      <c r="F31" s="1" t="s">
        <v>855</v>
      </c>
      <c r="G31" s="1" t="s">
        <v>20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64</v>
      </c>
      <c r="U31" s="1">
        <v>0</v>
      </c>
      <c r="V31" s="1">
        <v>0</v>
      </c>
      <c r="W31" s="1">
        <v>0</v>
      </c>
      <c r="X31" s="1">
        <v>64</v>
      </c>
      <c r="Y31" s="1">
        <v>0</v>
      </c>
      <c r="Z31" s="1">
        <f>SUM(H31:Y31)</f>
        <v>128</v>
      </c>
      <c r="AA31" s="1">
        <f>SUMPRODUCT(H31:Y31,$H$16:$Y$16)</f>
        <v>116480</v>
      </c>
      <c r="AB31" s="1" t="s">
        <v>854</v>
      </c>
      <c r="AC31" s="1">
        <v>6.7000000000000004E-2</v>
      </c>
      <c r="AD31" s="9"/>
      <c r="AE31" s="1" t="s">
        <v>28</v>
      </c>
      <c r="AF31" s="1">
        <f>AC31</f>
        <v>6.7000000000000004E-2</v>
      </c>
      <c r="AH31" s="1">
        <v>500</v>
      </c>
      <c r="AJ31" s="1" t="s">
        <v>156</v>
      </c>
      <c r="AK31" s="1" t="s">
        <v>541</v>
      </c>
      <c r="BO31" s="1">
        <f>SUM($AP31,$AQ31:AQ31)-SUM($CK31:CL31)</f>
        <v>0</v>
      </c>
      <c r="BP31" s="1">
        <f>SUM($AP31,$AQ31:AR31)-SUM($CK31:CM31)</f>
        <v>0</v>
      </c>
      <c r="BQ31" s="1">
        <f>SUM($AP31,$AQ31:AS31)-SUM($CK31:CN31)</f>
        <v>0</v>
      </c>
      <c r="BR31" s="1">
        <f>SUM($AP31,$AQ31:AT31)-SUM($CK31:CO31)</f>
        <v>-1280</v>
      </c>
      <c r="BS31" s="1">
        <f>SUM($AP31,$AQ31:AU31)-SUM($CK31:CP31)</f>
        <v>-3840</v>
      </c>
      <c r="BT31" s="1">
        <f>SUM($AP31,$AQ31:AV31)-SUM($CK31:CQ31)</f>
        <v>-7680</v>
      </c>
      <c r="BU31" s="1">
        <f>SUM($AP31,$AQ31:AW31)-SUM($CK31:CR31)</f>
        <v>-12800</v>
      </c>
      <c r="BV31" s="1">
        <f>SUM($AP31,$AQ31:AX31)-SUM($CK31:CS31)</f>
        <v>-19200</v>
      </c>
      <c r="BW31" s="1">
        <f>SUM($AP31,$AQ31:AY31)-SUM($CK31:CT31)</f>
        <v>-26880</v>
      </c>
      <c r="BX31" s="1">
        <f>SUM($AP31,$AQ31:AZ31)-SUM($CK31:CU31)</f>
        <v>-35840</v>
      </c>
      <c r="BY31" s="1">
        <f>SUM($AP31,$AQ31:BA31)-SUM($CK31:CV31)</f>
        <v>-46080</v>
      </c>
      <c r="BZ31" s="1">
        <f>SUM($AP31,$AQ31:BB31)-SUM($CK31:CW31)</f>
        <v>-57600</v>
      </c>
      <c r="CA31" s="1">
        <f>SUM($AP31,$AQ31:BC31)-SUM($CK31:CX31)</f>
        <v>-70400</v>
      </c>
      <c r="CB31" s="1">
        <f>SUM($AP31,$AQ31:BD31)-SUM($CK31:CY31)</f>
        <v>-84480</v>
      </c>
      <c r="CC31" s="1">
        <f>SUM($AP31,$AQ31:BE31)-SUM($CK31:CZ31)</f>
        <v>-99840</v>
      </c>
      <c r="CD31" s="1">
        <f>SUM($AP31,$AQ31:BF31)-SUM($CK31:DA31)</f>
        <v>-116480</v>
      </c>
      <c r="CE31" s="1">
        <f>SUM($AP31,$AQ31:BG31)-SUM($CK31:DB31)</f>
        <v>-116480</v>
      </c>
      <c r="CF31" s="1">
        <f>SUM($AP31,$AQ31:BH31)-SUM($CK31:DC31)</f>
        <v>-116480</v>
      </c>
      <c r="CG31" s="1">
        <f>SUM($AP31,$AQ31:BI31)-SUM($CK31:DD31)</f>
        <v>-116480</v>
      </c>
      <c r="CK31" s="1">
        <f t="array" ref="CK31">SUMPRODUCT($H31:$Y31,(TRANSPOSE(CK$2:CK$19)))</f>
        <v>0</v>
      </c>
      <c r="CL31" s="1">
        <f t="array" ref="CL31">SUMPRODUCT($H31:$Y31,(TRANSPOSE(CL$2:CL$19)))</f>
        <v>0</v>
      </c>
      <c r="CM31" s="1">
        <f t="array" ref="CM31">SUMPRODUCT($H31:$Y31,(TRANSPOSE(CM$2:CM$19)))</f>
        <v>0</v>
      </c>
      <c r="CN31" s="1">
        <f t="array" ref="CN31">SUMPRODUCT($H31:$Y31,(TRANSPOSE(CN$2:CN$19)))</f>
        <v>0</v>
      </c>
      <c r="CO31" s="1">
        <f t="array" ref="CO31">SUMPRODUCT($H31:$Y31,(TRANSPOSE(CO$2:CO$19)))</f>
        <v>1280</v>
      </c>
      <c r="CP31" s="1">
        <f t="array" ref="CP31">SUMPRODUCT($H31:$Y31,(TRANSPOSE(CP$2:CP$19)))</f>
        <v>2560</v>
      </c>
      <c r="CQ31" s="1">
        <f t="array" ref="CQ31">SUMPRODUCT($H31:$Y31,(TRANSPOSE(CQ$2:CQ$19)))</f>
        <v>3840</v>
      </c>
      <c r="CR31" s="1">
        <f t="array" ref="CR31">SUMPRODUCT($H31:$Y31,(TRANSPOSE(CR$2:CR$19)))</f>
        <v>5120</v>
      </c>
      <c r="CS31" s="1">
        <f t="array" ref="CS31">SUMPRODUCT($H31:$Y31,(TRANSPOSE(CS$2:CS$19)))</f>
        <v>6400</v>
      </c>
      <c r="CT31" s="1">
        <f t="array" ref="CT31">SUMPRODUCT($H31:$Y31,(TRANSPOSE(CT$2:CT$19)))</f>
        <v>7680</v>
      </c>
      <c r="CU31" s="1">
        <f t="array" ref="CU31">SUMPRODUCT($H31:$Y31,(TRANSPOSE(CU$2:CU$19)))</f>
        <v>8960</v>
      </c>
      <c r="CV31" s="1">
        <f t="array" ref="CV31">SUMPRODUCT($H31:$Y31,(TRANSPOSE(CV$2:CV$19)))</f>
        <v>10240</v>
      </c>
      <c r="CW31" s="1">
        <f t="array" ref="CW31">SUMPRODUCT($H31:$Y31,(TRANSPOSE(CW$2:CW$19)))</f>
        <v>11520</v>
      </c>
      <c r="CX31" s="1">
        <f t="array" ref="CX31">SUMPRODUCT($H31:$Y31,(TRANSPOSE(CX$2:CX$19)))</f>
        <v>12800</v>
      </c>
      <c r="CY31" s="1">
        <f t="array" ref="CY31">SUMPRODUCT($H31:$Y31,(TRANSPOSE(CY$2:CY$19)))</f>
        <v>14080</v>
      </c>
      <c r="CZ31" s="1">
        <f t="array" ref="CZ31">SUMPRODUCT($H31:$Y31,(TRANSPOSE(CZ$2:CZ$19)))</f>
        <v>15360</v>
      </c>
      <c r="DA31" s="1">
        <f t="array" ref="DA31">SUMPRODUCT($H31:$Y31,(TRANSPOSE(DA$2:DA$19)))</f>
        <v>16640</v>
      </c>
      <c r="DB31" s="1">
        <f t="array" ref="DB31">SUMPRODUCT($H31:$Y31,(TRANSPOSE(DB$2:DB$19)))</f>
        <v>0</v>
      </c>
      <c r="DC31" s="1">
        <f t="array" ref="DC31">SUMPRODUCT($H31:$Y31,(TRANSPOSE(DC$2:DC$19)))</f>
        <v>0</v>
      </c>
      <c r="DD31" s="1">
        <f t="array" ref="DD31">SUMPRODUCT($H31:$Y31,(TRANSPOSE(DD$2:DD$19)))</f>
        <v>0</v>
      </c>
    </row>
    <row r="32" spans="1:108" ht="13.5" thickBot="1" x14ac:dyDescent="0.25">
      <c r="A32" s="1">
        <v>12</v>
      </c>
      <c r="B32" s="12" t="s">
        <v>853</v>
      </c>
      <c r="C32" s="1" t="s">
        <v>22</v>
      </c>
      <c r="D32" s="1">
        <v>410206308</v>
      </c>
      <c r="E32" s="1">
        <v>403846526</v>
      </c>
      <c r="F32" s="1" t="s">
        <v>539</v>
      </c>
      <c r="G32" s="1" t="s">
        <v>20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68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f>SUM(H32:Y32)</f>
        <v>68</v>
      </c>
      <c r="AA32" s="1">
        <f>SUMPRODUCT(H32:Y32,$H$16:$Y$16)</f>
        <v>61880</v>
      </c>
      <c r="AB32" s="11" t="s">
        <v>850</v>
      </c>
      <c r="AC32" s="17">
        <v>0.53500000000000003</v>
      </c>
      <c r="AD32" s="9"/>
      <c r="AE32" s="1" t="s">
        <v>28</v>
      </c>
      <c r="AF32" s="1">
        <f>AC32</f>
        <v>0.53500000000000003</v>
      </c>
      <c r="AG32" s="1">
        <v>500</v>
      </c>
      <c r="AH32" s="1">
        <v>500</v>
      </c>
      <c r="AI32" s="1" t="s">
        <v>849</v>
      </c>
      <c r="AK32" s="1" t="s">
        <v>73</v>
      </c>
      <c r="AL32" s="1" t="s">
        <v>72</v>
      </c>
      <c r="AM32" s="1" t="s">
        <v>71</v>
      </c>
      <c r="AN32" s="2" t="s">
        <v>565</v>
      </c>
      <c r="BO32" s="1">
        <f>SUM($AP32,$AQ32:AQ32)-SUM($CK32:CL32)</f>
        <v>0</v>
      </c>
      <c r="BP32" s="1">
        <f>SUM($AP32,$AQ32:AR32)-SUM($CK32:CM32)</f>
        <v>0</v>
      </c>
      <c r="BQ32" s="1">
        <f>SUM($AP32,$AQ32:AS32)-SUM($CK32:CN32)</f>
        <v>0</v>
      </c>
      <c r="BR32" s="1">
        <f>SUM($AP32,$AQ32:AT32)-SUM($CK32:CO32)</f>
        <v>-680</v>
      </c>
      <c r="BS32" s="1">
        <f>SUM($AP32,$AQ32:AU32)-SUM($CK32:CP32)</f>
        <v>-2040</v>
      </c>
      <c r="BT32" s="1">
        <f>SUM($AP32,$AQ32:AV32)-SUM($CK32:CQ32)</f>
        <v>-4080</v>
      </c>
      <c r="BU32" s="1">
        <f>SUM($AP32,$AQ32:AW32)-SUM($CK32:CR32)</f>
        <v>-6800</v>
      </c>
      <c r="BV32" s="1">
        <f>SUM($AP32,$AQ32:AX32)-SUM($CK32:CS32)</f>
        <v>-10200</v>
      </c>
      <c r="BW32" s="1">
        <f>SUM($AP32,$AQ32:AY32)-SUM($CK32:CT32)</f>
        <v>-14280</v>
      </c>
      <c r="BX32" s="1">
        <f>SUM($AP32,$AQ32:AZ32)-SUM($CK32:CU32)</f>
        <v>-19040</v>
      </c>
      <c r="BY32" s="1">
        <f>SUM($AP32,$AQ32:BA32)-SUM($CK32:CV32)</f>
        <v>-24480</v>
      </c>
      <c r="BZ32" s="1">
        <f>SUM($AP32,$AQ32:BB32)-SUM($CK32:CW32)</f>
        <v>-30600</v>
      </c>
      <c r="CA32" s="1">
        <f>SUM($AP32,$AQ32:BC32)-SUM($CK32:CX32)</f>
        <v>-37400</v>
      </c>
      <c r="CB32" s="1">
        <f>SUM($AP32,$AQ32:BD32)-SUM($CK32:CY32)</f>
        <v>-44880</v>
      </c>
      <c r="CC32" s="1">
        <f>SUM($AP32,$AQ32:BE32)-SUM($CK32:CZ32)</f>
        <v>-53040</v>
      </c>
      <c r="CD32" s="1">
        <f>SUM($AP32,$AQ32:BF32)-SUM($CK32:DA32)</f>
        <v>-61880</v>
      </c>
      <c r="CE32" s="1">
        <f>SUM($AP32,$AQ32:BG32)-SUM($CK32:DB32)</f>
        <v>-61880</v>
      </c>
      <c r="CF32" s="1">
        <f>SUM($AP32,$AQ32:BH32)-SUM($CK32:DC32)</f>
        <v>-61880</v>
      </c>
      <c r="CG32" s="1">
        <f>SUM($AP32,$AQ32:BI32)-SUM($CK32:DD32)</f>
        <v>-61880</v>
      </c>
      <c r="CK32" s="1">
        <f t="array" ref="CK32">SUMPRODUCT($H32:$Y32,(TRANSPOSE(CK$2:CK$19)))</f>
        <v>0</v>
      </c>
      <c r="CL32" s="1">
        <f t="array" ref="CL32">SUMPRODUCT($H32:$Y32,(TRANSPOSE(CL$2:CL$19)))</f>
        <v>0</v>
      </c>
      <c r="CM32" s="1">
        <f t="array" ref="CM32">SUMPRODUCT($H32:$Y32,(TRANSPOSE(CM$2:CM$19)))</f>
        <v>0</v>
      </c>
      <c r="CN32" s="1">
        <f t="array" ref="CN32">SUMPRODUCT($H32:$Y32,(TRANSPOSE(CN$2:CN$19)))</f>
        <v>0</v>
      </c>
      <c r="CO32" s="1">
        <f t="array" ref="CO32">SUMPRODUCT($H32:$Y32,(TRANSPOSE(CO$2:CO$19)))</f>
        <v>680</v>
      </c>
      <c r="CP32" s="1">
        <f t="array" ref="CP32">SUMPRODUCT($H32:$Y32,(TRANSPOSE(CP$2:CP$19)))</f>
        <v>1360</v>
      </c>
      <c r="CQ32" s="1">
        <f t="array" ref="CQ32">SUMPRODUCT($H32:$Y32,(TRANSPOSE(CQ$2:CQ$19)))</f>
        <v>2040</v>
      </c>
      <c r="CR32" s="1">
        <f t="array" ref="CR32">SUMPRODUCT($H32:$Y32,(TRANSPOSE(CR$2:CR$19)))</f>
        <v>2720</v>
      </c>
      <c r="CS32" s="1">
        <f t="array" ref="CS32">SUMPRODUCT($H32:$Y32,(TRANSPOSE(CS$2:CS$19)))</f>
        <v>3400</v>
      </c>
      <c r="CT32" s="1">
        <f t="array" ref="CT32">SUMPRODUCT($H32:$Y32,(TRANSPOSE(CT$2:CT$19)))</f>
        <v>4080</v>
      </c>
      <c r="CU32" s="1">
        <f t="array" ref="CU32">SUMPRODUCT($H32:$Y32,(TRANSPOSE(CU$2:CU$19)))</f>
        <v>4760</v>
      </c>
      <c r="CV32" s="1">
        <f t="array" ref="CV32">SUMPRODUCT($H32:$Y32,(TRANSPOSE(CV$2:CV$19)))</f>
        <v>5440</v>
      </c>
      <c r="CW32" s="1">
        <f t="array" ref="CW32">SUMPRODUCT($H32:$Y32,(TRANSPOSE(CW$2:CW$19)))</f>
        <v>6120</v>
      </c>
      <c r="CX32" s="1">
        <f t="array" ref="CX32">SUMPRODUCT($H32:$Y32,(TRANSPOSE(CX$2:CX$19)))</f>
        <v>6800</v>
      </c>
      <c r="CY32" s="1">
        <f t="array" ref="CY32">SUMPRODUCT($H32:$Y32,(TRANSPOSE(CY$2:CY$19)))</f>
        <v>7480</v>
      </c>
      <c r="CZ32" s="1">
        <f t="array" ref="CZ32">SUMPRODUCT($H32:$Y32,(TRANSPOSE(CZ$2:CZ$19)))</f>
        <v>8160</v>
      </c>
      <c r="DA32" s="1">
        <f t="array" ref="DA32">SUMPRODUCT($H32:$Y32,(TRANSPOSE(DA$2:DA$19)))</f>
        <v>8840</v>
      </c>
      <c r="DB32" s="1">
        <f t="array" ref="DB32">SUMPRODUCT($H32:$Y32,(TRANSPOSE(DB$2:DB$19)))</f>
        <v>0</v>
      </c>
      <c r="DC32" s="1">
        <f t="array" ref="DC32">SUMPRODUCT($H32:$Y32,(TRANSPOSE(DC$2:DC$19)))</f>
        <v>0</v>
      </c>
      <c r="DD32" s="1">
        <f t="array" ref="DD32">SUMPRODUCT($H32:$Y32,(TRANSPOSE(DD$2:DD$19)))</f>
        <v>0</v>
      </c>
    </row>
    <row r="33" spans="1:108" ht="13.5" thickBot="1" x14ac:dyDescent="0.25">
      <c r="A33" s="1">
        <v>13</v>
      </c>
      <c r="B33" s="12" t="s">
        <v>852</v>
      </c>
      <c r="C33" s="1" t="s">
        <v>22</v>
      </c>
      <c r="D33" s="1">
        <v>411063876</v>
      </c>
      <c r="E33" s="1">
        <v>403846606</v>
      </c>
      <c r="F33" s="1" t="s">
        <v>851</v>
      </c>
      <c r="G33" s="1" t="s">
        <v>20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f>SUM(H33:Y33)</f>
        <v>4</v>
      </c>
      <c r="AA33" s="1">
        <f>SUMPRODUCT(H33:Y33,$H$16:$Y$16)</f>
        <v>3640</v>
      </c>
      <c r="AB33" s="11" t="s">
        <v>850</v>
      </c>
      <c r="AC33" s="17">
        <v>0.89</v>
      </c>
      <c r="AD33" s="9"/>
      <c r="AE33" s="1" t="s">
        <v>28</v>
      </c>
      <c r="AF33" s="1">
        <f>AC33</f>
        <v>0.89</v>
      </c>
      <c r="AG33" s="1">
        <v>500</v>
      </c>
      <c r="AH33" s="1">
        <v>500</v>
      </c>
      <c r="AI33" s="1" t="s">
        <v>849</v>
      </c>
      <c r="AK33" s="1" t="s">
        <v>73</v>
      </c>
      <c r="AL33" s="1" t="s">
        <v>72</v>
      </c>
      <c r="AM33" s="1" t="s">
        <v>71</v>
      </c>
      <c r="AN33" s="2" t="s">
        <v>565</v>
      </c>
      <c r="BO33" s="1">
        <f>SUM($AP33,$AQ33:AQ33)-SUM($CK33:CL33)</f>
        <v>0</v>
      </c>
      <c r="BP33" s="1">
        <f>SUM($AP33,$AQ33:AR33)-SUM($CK33:CM33)</f>
        <v>0</v>
      </c>
      <c r="BQ33" s="1">
        <f>SUM($AP33,$AQ33:AS33)-SUM($CK33:CN33)</f>
        <v>0</v>
      </c>
      <c r="BR33" s="1">
        <f>SUM($AP33,$AQ33:AT33)-SUM($CK33:CO33)</f>
        <v>-40</v>
      </c>
      <c r="BS33" s="1">
        <f>SUM($AP33,$AQ33:AU33)-SUM($CK33:CP33)</f>
        <v>-120</v>
      </c>
      <c r="BT33" s="1">
        <f>SUM($AP33,$AQ33:AV33)-SUM($CK33:CQ33)</f>
        <v>-240</v>
      </c>
      <c r="BU33" s="1">
        <f>SUM($AP33,$AQ33:AW33)-SUM($CK33:CR33)</f>
        <v>-400</v>
      </c>
      <c r="BV33" s="1">
        <f>SUM($AP33,$AQ33:AX33)-SUM($CK33:CS33)</f>
        <v>-600</v>
      </c>
      <c r="BW33" s="1">
        <f>SUM($AP33,$AQ33:AY33)-SUM($CK33:CT33)</f>
        <v>-840</v>
      </c>
      <c r="BX33" s="1">
        <f>SUM($AP33,$AQ33:AZ33)-SUM($CK33:CU33)</f>
        <v>-1120</v>
      </c>
      <c r="BY33" s="1">
        <f>SUM($AP33,$AQ33:BA33)-SUM($CK33:CV33)</f>
        <v>-1440</v>
      </c>
      <c r="BZ33" s="1">
        <f>SUM($AP33,$AQ33:BB33)-SUM($CK33:CW33)</f>
        <v>-1800</v>
      </c>
      <c r="CA33" s="1">
        <f>SUM($AP33,$AQ33:BC33)-SUM($CK33:CX33)</f>
        <v>-2200</v>
      </c>
      <c r="CB33" s="1">
        <f>SUM($AP33,$AQ33:BD33)-SUM($CK33:CY33)</f>
        <v>-2640</v>
      </c>
      <c r="CC33" s="1">
        <f>SUM($AP33,$AQ33:BE33)-SUM($CK33:CZ33)</f>
        <v>-3120</v>
      </c>
      <c r="CD33" s="1">
        <f>SUM($AP33,$AQ33:BF33)-SUM($CK33:DA33)</f>
        <v>-3640</v>
      </c>
      <c r="CE33" s="1">
        <f>SUM($AP33,$AQ33:BG33)-SUM($CK33:DB33)</f>
        <v>-3640</v>
      </c>
      <c r="CF33" s="1">
        <f>SUM($AP33,$AQ33:BH33)-SUM($CK33:DC33)</f>
        <v>-3640</v>
      </c>
      <c r="CG33" s="1">
        <f>SUM($AP33,$AQ33:BI33)-SUM($CK33:DD33)</f>
        <v>-3640</v>
      </c>
      <c r="CK33" s="1">
        <f t="array" ref="CK33">SUMPRODUCT($H33:$Y33,(TRANSPOSE(CK$2:CK$19)))</f>
        <v>0</v>
      </c>
      <c r="CL33" s="1">
        <f t="array" ref="CL33">SUMPRODUCT($H33:$Y33,(TRANSPOSE(CL$2:CL$19)))</f>
        <v>0</v>
      </c>
      <c r="CM33" s="1">
        <f t="array" ref="CM33">SUMPRODUCT($H33:$Y33,(TRANSPOSE(CM$2:CM$19)))</f>
        <v>0</v>
      </c>
      <c r="CN33" s="1">
        <f t="array" ref="CN33">SUMPRODUCT($H33:$Y33,(TRANSPOSE(CN$2:CN$19)))</f>
        <v>0</v>
      </c>
      <c r="CO33" s="1">
        <f t="array" ref="CO33">SUMPRODUCT($H33:$Y33,(TRANSPOSE(CO$2:CO$19)))</f>
        <v>40</v>
      </c>
      <c r="CP33" s="1">
        <f t="array" ref="CP33">SUMPRODUCT($H33:$Y33,(TRANSPOSE(CP$2:CP$19)))</f>
        <v>80</v>
      </c>
      <c r="CQ33" s="1">
        <f t="array" ref="CQ33">SUMPRODUCT($H33:$Y33,(TRANSPOSE(CQ$2:CQ$19)))</f>
        <v>120</v>
      </c>
      <c r="CR33" s="1">
        <f t="array" ref="CR33">SUMPRODUCT($H33:$Y33,(TRANSPOSE(CR$2:CR$19)))</f>
        <v>160</v>
      </c>
      <c r="CS33" s="1">
        <f t="array" ref="CS33">SUMPRODUCT($H33:$Y33,(TRANSPOSE(CS$2:CS$19)))</f>
        <v>200</v>
      </c>
      <c r="CT33" s="1">
        <f t="array" ref="CT33">SUMPRODUCT($H33:$Y33,(TRANSPOSE(CT$2:CT$19)))</f>
        <v>240</v>
      </c>
      <c r="CU33" s="1">
        <f t="array" ref="CU33">SUMPRODUCT($H33:$Y33,(TRANSPOSE(CU$2:CU$19)))</f>
        <v>280</v>
      </c>
      <c r="CV33" s="1">
        <f t="array" ref="CV33">SUMPRODUCT($H33:$Y33,(TRANSPOSE(CV$2:CV$19)))</f>
        <v>320</v>
      </c>
      <c r="CW33" s="1">
        <f t="array" ref="CW33">SUMPRODUCT($H33:$Y33,(TRANSPOSE(CW$2:CW$19)))</f>
        <v>360</v>
      </c>
      <c r="CX33" s="1">
        <f t="array" ref="CX33">SUMPRODUCT($H33:$Y33,(TRANSPOSE(CX$2:CX$19)))</f>
        <v>400</v>
      </c>
      <c r="CY33" s="1">
        <f t="array" ref="CY33">SUMPRODUCT($H33:$Y33,(TRANSPOSE(CY$2:CY$19)))</f>
        <v>440</v>
      </c>
      <c r="CZ33" s="1">
        <f t="array" ref="CZ33">SUMPRODUCT($H33:$Y33,(TRANSPOSE(CZ$2:CZ$19)))</f>
        <v>480</v>
      </c>
      <c r="DA33" s="1">
        <f t="array" ref="DA33">SUMPRODUCT($H33:$Y33,(TRANSPOSE(DA$2:DA$19)))</f>
        <v>520</v>
      </c>
      <c r="DB33" s="1">
        <f t="array" ref="DB33">SUMPRODUCT($H33:$Y33,(TRANSPOSE(DB$2:DB$19)))</f>
        <v>0</v>
      </c>
      <c r="DC33" s="1">
        <f t="array" ref="DC33">SUMPRODUCT($H33:$Y33,(TRANSPOSE(DC$2:DC$19)))</f>
        <v>0</v>
      </c>
      <c r="DD33" s="1">
        <f t="array" ref="DD33">SUMPRODUCT($H33:$Y33,(TRANSPOSE(DD$2:DD$19)))</f>
        <v>0</v>
      </c>
    </row>
    <row r="34" spans="1:108" x14ac:dyDescent="0.2">
      <c r="A34" s="1">
        <v>14</v>
      </c>
      <c r="B34" s="10" t="s">
        <v>848</v>
      </c>
      <c r="C34" s="1" t="s">
        <v>22</v>
      </c>
      <c r="D34" s="1">
        <v>732551668</v>
      </c>
      <c r="F34" s="1" t="s">
        <v>847</v>
      </c>
      <c r="G34" s="1" t="s">
        <v>125</v>
      </c>
      <c r="H34" s="1">
        <v>0</v>
      </c>
      <c r="I34" s="1">
        <v>0</v>
      </c>
      <c r="J34" s="1">
        <v>0</v>
      </c>
      <c r="K34" s="1">
        <v>0.05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0.05</v>
      </c>
      <c r="S34" s="1">
        <v>0</v>
      </c>
      <c r="T34" s="1">
        <v>0</v>
      </c>
      <c r="U34" s="1">
        <v>0</v>
      </c>
      <c r="V34" s="1">
        <v>0.05</v>
      </c>
      <c r="W34" s="1">
        <v>0</v>
      </c>
      <c r="X34" s="1">
        <v>0</v>
      </c>
      <c r="Y34" s="1">
        <v>0</v>
      </c>
      <c r="Z34" s="1">
        <f>SUM(H34:Y34)</f>
        <v>0.15000000000000002</v>
      </c>
      <c r="AA34" s="1">
        <f>SUMPRODUCT(H34:Y34,$H$16:$Y$16)</f>
        <v>136.5</v>
      </c>
      <c r="AB34" s="1" t="s">
        <v>18</v>
      </c>
      <c r="AC34" s="1">
        <v>0</v>
      </c>
      <c r="AD34" s="9"/>
      <c r="AE34" s="1" t="s">
        <v>19</v>
      </c>
      <c r="AF34" s="1">
        <f>AC34</f>
        <v>0</v>
      </c>
      <c r="AG34" s="1">
        <v>1</v>
      </c>
      <c r="AH34" s="1">
        <v>1</v>
      </c>
      <c r="AI34" s="1" t="s">
        <v>18</v>
      </c>
      <c r="AJ34" s="1" t="s">
        <v>18</v>
      </c>
      <c r="AK34" s="1" t="s">
        <v>18</v>
      </c>
      <c r="AL34" s="1" t="s">
        <v>18</v>
      </c>
      <c r="AM34" s="1" t="s">
        <v>18</v>
      </c>
      <c r="AN34" s="2" t="s">
        <v>18</v>
      </c>
      <c r="BO34" s="1">
        <f>SUM($AP34,$AQ34:AQ34)-SUM($CK34:CL34)</f>
        <v>0</v>
      </c>
      <c r="BP34" s="1">
        <f>SUM($AP34,$AQ34:AR34)-SUM($CK34:CM34)</f>
        <v>0</v>
      </c>
      <c r="BQ34" s="1">
        <f>SUM($AP34,$AQ34:AS34)-SUM($CK34:CN34)</f>
        <v>0</v>
      </c>
      <c r="BR34" s="1">
        <f>SUM($AP34,$AQ34:AT34)-SUM($CK34:CO34)</f>
        <v>-0.5</v>
      </c>
      <c r="BS34" s="1">
        <f>SUM($AP34,$AQ34:AU34)-SUM($CK34:CP34)</f>
        <v>-1.5</v>
      </c>
      <c r="BT34" s="1">
        <f>SUM($AP34,$AQ34:AV34)-SUM($CK34:CQ34)</f>
        <v>-4</v>
      </c>
      <c r="BU34" s="1">
        <f>SUM($AP34,$AQ34:AW34)-SUM($CK34:CR34)</f>
        <v>-8</v>
      </c>
      <c r="BV34" s="1">
        <f>SUM($AP34,$AQ34:AX34)-SUM($CK34:CS34)</f>
        <v>-13.5</v>
      </c>
      <c r="BW34" s="1">
        <f>SUM($AP34,$AQ34:AY34)-SUM($CK34:CT34)</f>
        <v>-20.5</v>
      </c>
      <c r="BX34" s="1">
        <f>SUM($AP34,$AQ34:AZ34)-SUM($CK34:CU34)</f>
        <v>-29</v>
      </c>
      <c r="BY34" s="1">
        <f>SUM($AP34,$AQ34:BA34)-SUM($CK34:CV34)</f>
        <v>-39</v>
      </c>
      <c r="BZ34" s="1">
        <f>SUM($AP34,$AQ34:BB34)-SUM($CK34:CW34)</f>
        <v>-50.5</v>
      </c>
      <c r="CA34" s="1">
        <f>SUM($AP34,$AQ34:BC34)-SUM($CK34:CX34)</f>
        <v>-63.5</v>
      </c>
      <c r="CB34" s="1">
        <f>SUM($AP34,$AQ34:BD34)-SUM($CK34:CY34)</f>
        <v>-78</v>
      </c>
      <c r="CC34" s="1">
        <f>SUM($AP34,$AQ34:BE34)-SUM($CK34:CZ34)</f>
        <v>-94</v>
      </c>
      <c r="CD34" s="1">
        <f>SUM($AP34,$AQ34:BF34)-SUM($CK34:DA34)</f>
        <v>-111.5</v>
      </c>
      <c r="CE34" s="1">
        <f>SUM($AP34,$AQ34:BG34)-SUM($CK34:DB34)</f>
        <v>-123.5</v>
      </c>
      <c r="CF34" s="1">
        <f>SUM($AP34,$AQ34:BH34)-SUM($CK34:DC34)</f>
        <v>-136.5</v>
      </c>
      <c r="CG34" s="1">
        <f>SUM($AP34,$AQ34:BI34)-SUM($CK34:DD34)</f>
        <v>-136.5</v>
      </c>
      <c r="CK34" s="1">
        <f t="array" ref="CK34">SUMPRODUCT($H34:$Y34,(TRANSPOSE(CK$2:CK$19)))</f>
        <v>0</v>
      </c>
      <c r="CL34" s="1">
        <f t="array" ref="CL34">SUMPRODUCT($H34:$Y34,(TRANSPOSE(CL$2:CL$19)))</f>
        <v>0</v>
      </c>
      <c r="CM34" s="1">
        <f t="array" ref="CM34">SUMPRODUCT($H34:$Y34,(TRANSPOSE(CM$2:CM$19)))</f>
        <v>0</v>
      </c>
      <c r="CN34" s="1">
        <f t="array" ref="CN34">SUMPRODUCT($H34:$Y34,(TRANSPOSE(CN$2:CN$19)))</f>
        <v>0</v>
      </c>
      <c r="CO34" s="1">
        <f t="array" ref="CO34">SUMPRODUCT($H34:$Y34,(TRANSPOSE(CO$2:CO$19)))</f>
        <v>0.5</v>
      </c>
      <c r="CP34" s="1">
        <f t="array" ref="CP34">SUMPRODUCT($H34:$Y34,(TRANSPOSE(CP$2:CP$19)))</f>
        <v>1</v>
      </c>
      <c r="CQ34" s="1">
        <f t="array" ref="CQ34">SUMPRODUCT($H34:$Y34,(TRANSPOSE(CQ$2:CQ$19)))</f>
        <v>2.5</v>
      </c>
      <c r="CR34" s="1">
        <f t="array" ref="CR34">SUMPRODUCT($H34:$Y34,(TRANSPOSE(CR$2:CR$19)))</f>
        <v>4</v>
      </c>
      <c r="CS34" s="1">
        <f t="array" ref="CS34">SUMPRODUCT($H34:$Y34,(TRANSPOSE(CS$2:CS$19)))</f>
        <v>5.5</v>
      </c>
      <c r="CT34" s="1">
        <f t="array" ref="CT34">SUMPRODUCT($H34:$Y34,(TRANSPOSE(CT$2:CT$19)))</f>
        <v>7</v>
      </c>
      <c r="CU34" s="1">
        <f t="array" ref="CU34">SUMPRODUCT($H34:$Y34,(TRANSPOSE(CU$2:CU$19)))</f>
        <v>8.5</v>
      </c>
      <c r="CV34" s="1">
        <f t="array" ref="CV34">SUMPRODUCT($H34:$Y34,(TRANSPOSE(CV$2:CV$19)))</f>
        <v>10</v>
      </c>
      <c r="CW34" s="1">
        <f t="array" ref="CW34">SUMPRODUCT($H34:$Y34,(TRANSPOSE(CW$2:CW$19)))</f>
        <v>11.5</v>
      </c>
      <c r="CX34" s="1">
        <f t="array" ref="CX34">SUMPRODUCT($H34:$Y34,(TRANSPOSE(CX$2:CX$19)))</f>
        <v>13</v>
      </c>
      <c r="CY34" s="1">
        <f t="array" ref="CY34">SUMPRODUCT($H34:$Y34,(TRANSPOSE(CY$2:CY$19)))</f>
        <v>14.5</v>
      </c>
      <c r="CZ34" s="1">
        <f t="array" ref="CZ34">SUMPRODUCT($H34:$Y34,(TRANSPOSE(CZ$2:CZ$19)))</f>
        <v>16</v>
      </c>
      <c r="DA34" s="1">
        <f t="array" ref="DA34">SUMPRODUCT($H34:$Y34,(TRANSPOSE(DA$2:DA$19)))</f>
        <v>17.5</v>
      </c>
      <c r="DB34" s="1">
        <f t="array" ref="DB34">SUMPRODUCT($H34:$Y34,(TRANSPOSE(DB$2:DB$19)))</f>
        <v>12</v>
      </c>
      <c r="DC34" s="1">
        <f t="array" ref="DC34">SUMPRODUCT($H34:$Y34,(TRANSPOSE(DC$2:DC$19)))</f>
        <v>13</v>
      </c>
      <c r="DD34" s="1">
        <f t="array" ref="DD34">SUMPRODUCT($H34:$Y34,(TRANSPOSE(DD$2:DD$19)))</f>
        <v>0</v>
      </c>
    </row>
    <row r="35" spans="1:108" x14ac:dyDescent="0.2">
      <c r="A35" s="1">
        <v>15</v>
      </c>
      <c r="B35" s="10" t="s">
        <v>846</v>
      </c>
      <c r="C35" s="1" t="s">
        <v>22</v>
      </c>
      <c r="D35" s="1">
        <v>418969713</v>
      </c>
      <c r="F35" s="1" t="s">
        <v>845</v>
      </c>
      <c r="G35" s="1" t="s">
        <v>20</v>
      </c>
      <c r="H35" s="1">
        <v>0</v>
      </c>
      <c r="I35" s="1">
        <v>19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f>SUM(H35:Y35)</f>
        <v>19</v>
      </c>
      <c r="AA35" s="1">
        <f>SUMPRODUCT(H35:Y35,$H$16:$Y$16)</f>
        <v>17290</v>
      </c>
      <c r="AB35" s="1" t="s">
        <v>18</v>
      </c>
      <c r="AC35" s="1">
        <v>0</v>
      </c>
      <c r="AD35" s="9"/>
      <c r="AE35" s="1" t="s">
        <v>19</v>
      </c>
      <c r="AF35" s="1">
        <f>AC35</f>
        <v>0</v>
      </c>
      <c r="AG35" s="1">
        <v>1</v>
      </c>
      <c r="AH35" s="1">
        <v>1</v>
      </c>
      <c r="AI35" s="1" t="s">
        <v>18</v>
      </c>
      <c r="AJ35" s="1" t="s">
        <v>18</v>
      </c>
      <c r="AK35" s="1" t="s">
        <v>18</v>
      </c>
      <c r="AL35" s="1" t="s">
        <v>18</v>
      </c>
      <c r="AM35" s="1" t="s">
        <v>18</v>
      </c>
      <c r="AN35" s="2" t="s">
        <v>18</v>
      </c>
      <c r="BO35" s="1">
        <f>SUM($AP35,$AQ35:AQ35)-SUM($CK35:CL35)</f>
        <v>0</v>
      </c>
      <c r="BP35" s="1">
        <f>SUM($AP35,$AQ35:AR35)-SUM($CK35:CM35)</f>
        <v>0</v>
      </c>
      <c r="BQ35" s="1">
        <f>SUM($AP35,$AQ35:AS35)-SUM($CK35:CN35)</f>
        <v>0</v>
      </c>
      <c r="BR35" s="1">
        <f>SUM($AP35,$AQ35:AT35)-SUM($CK35:CO35)</f>
        <v>0</v>
      </c>
      <c r="BS35" s="1">
        <f>SUM($AP35,$AQ35:AU35)-SUM($CK35:CP35)</f>
        <v>0</v>
      </c>
      <c r="BT35" s="1">
        <f>SUM($AP35,$AQ35:AV35)-SUM($CK35:CQ35)</f>
        <v>-190</v>
      </c>
      <c r="BU35" s="1">
        <f>SUM($AP35,$AQ35:AW35)-SUM($CK35:CR35)</f>
        <v>-570</v>
      </c>
      <c r="BV35" s="1">
        <f>SUM($AP35,$AQ35:AX35)-SUM($CK35:CS35)</f>
        <v>-1140</v>
      </c>
      <c r="BW35" s="1">
        <f>SUM($AP35,$AQ35:AY35)-SUM($CK35:CT35)</f>
        <v>-1900</v>
      </c>
      <c r="BX35" s="1">
        <f>SUM($AP35,$AQ35:AZ35)-SUM($CK35:CU35)</f>
        <v>-2850</v>
      </c>
      <c r="BY35" s="1">
        <f>SUM($AP35,$AQ35:BA35)-SUM($CK35:CV35)</f>
        <v>-3990</v>
      </c>
      <c r="BZ35" s="1">
        <f>SUM($AP35,$AQ35:BB35)-SUM($CK35:CW35)</f>
        <v>-5320</v>
      </c>
      <c r="CA35" s="1">
        <f>SUM($AP35,$AQ35:BC35)-SUM($CK35:CX35)</f>
        <v>-6840</v>
      </c>
      <c r="CB35" s="1">
        <f>SUM($AP35,$AQ35:BD35)-SUM($CK35:CY35)</f>
        <v>-8550</v>
      </c>
      <c r="CC35" s="1">
        <f>SUM($AP35,$AQ35:BE35)-SUM($CK35:CZ35)</f>
        <v>-10450</v>
      </c>
      <c r="CD35" s="1">
        <f>SUM($AP35,$AQ35:BF35)-SUM($CK35:DA35)</f>
        <v>-12540</v>
      </c>
      <c r="CE35" s="1">
        <f>SUM($AP35,$AQ35:BG35)-SUM($CK35:DB35)</f>
        <v>-14820</v>
      </c>
      <c r="CF35" s="1">
        <f>SUM($AP35,$AQ35:BH35)-SUM($CK35:DC35)</f>
        <v>-17290</v>
      </c>
      <c r="CG35" s="1">
        <f>SUM($AP35,$AQ35:BI35)-SUM($CK35:DD35)</f>
        <v>-17290</v>
      </c>
      <c r="CK35" s="1">
        <f t="array" ref="CK35">SUMPRODUCT($H35:$Y35,(TRANSPOSE(CK$2:CK$19)))</f>
        <v>0</v>
      </c>
      <c r="CL35" s="1">
        <f t="array" ref="CL35">SUMPRODUCT($H35:$Y35,(TRANSPOSE(CL$2:CL$19)))</f>
        <v>0</v>
      </c>
      <c r="CM35" s="1">
        <f t="array" ref="CM35">SUMPRODUCT($H35:$Y35,(TRANSPOSE(CM$2:CM$19)))</f>
        <v>0</v>
      </c>
      <c r="CN35" s="1">
        <f t="array" ref="CN35">SUMPRODUCT($H35:$Y35,(TRANSPOSE(CN$2:CN$19)))</f>
        <v>0</v>
      </c>
      <c r="CO35" s="1">
        <f t="array" ref="CO35">SUMPRODUCT($H35:$Y35,(TRANSPOSE(CO$2:CO$19)))</f>
        <v>0</v>
      </c>
      <c r="CP35" s="1">
        <f t="array" ref="CP35">SUMPRODUCT($H35:$Y35,(TRANSPOSE(CP$2:CP$19)))</f>
        <v>0</v>
      </c>
      <c r="CQ35" s="1">
        <f t="array" ref="CQ35">SUMPRODUCT($H35:$Y35,(TRANSPOSE(CQ$2:CQ$19)))</f>
        <v>190</v>
      </c>
      <c r="CR35" s="1">
        <f t="array" ref="CR35">SUMPRODUCT($H35:$Y35,(TRANSPOSE(CR$2:CR$19)))</f>
        <v>380</v>
      </c>
      <c r="CS35" s="1">
        <f t="array" ref="CS35">SUMPRODUCT($H35:$Y35,(TRANSPOSE(CS$2:CS$19)))</f>
        <v>570</v>
      </c>
      <c r="CT35" s="1">
        <f t="array" ref="CT35">SUMPRODUCT($H35:$Y35,(TRANSPOSE(CT$2:CT$19)))</f>
        <v>760</v>
      </c>
      <c r="CU35" s="1">
        <f t="array" ref="CU35">SUMPRODUCT($H35:$Y35,(TRANSPOSE(CU$2:CU$19)))</f>
        <v>950</v>
      </c>
      <c r="CV35" s="1">
        <f t="array" ref="CV35">SUMPRODUCT($H35:$Y35,(TRANSPOSE(CV$2:CV$19)))</f>
        <v>1140</v>
      </c>
      <c r="CW35" s="1">
        <f t="array" ref="CW35">SUMPRODUCT($H35:$Y35,(TRANSPOSE(CW$2:CW$19)))</f>
        <v>1330</v>
      </c>
      <c r="CX35" s="1">
        <f t="array" ref="CX35">SUMPRODUCT($H35:$Y35,(TRANSPOSE(CX$2:CX$19)))</f>
        <v>1520</v>
      </c>
      <c r="CY35" s="1">
        <f t="array" ref="CY35">SUMPRODUCT($H35:$Y35,(TRANSPOSE(CY$2:CY$19)))</f>
        <v>1710</v>
      </c>
      <c r="CZ35" s="1">
        <f t="array" ref="CZ35">SUMPRODUCT($H35:$Y35,(TRANSPOSE(CZ$2:CZ$19)))</f>
        <v>1900</v>
      </c>
      <c r="DA35" s="1">
        <f t="array" ref="DA35">SUMPRODUCT($H35:$Y35,(TRANSPOSE(DA$2:DA$19)))</f>
        <v>2090</v>
      </c>
      <c r="DB35" s="1">
        <f t="array" ref="DB35">SUMPRODUCT($H35:$Y35,(TRANSPOSE(DB$2:DB$19)))</f>
        <v>2280</v>
      </c>
      <c r="DC35" s="1">
        <f t="array" ref="DC35">SUMPRODUCT($H35:$Y35,(TRANSPOSE(DC$2:DC$19)))</f>
        <v>2470</v>
      </c>
      <c r="DD35" s="1">
        <f t="array" ref="DD35">SUMPRODUCT($H35:$Y35,(TRANSPOSE(DD$2:DD$19)))</f>
        <v>0</v>
      </c>
    </row>
    <row r="36" spans="1:108" x14ac:dyDescent="0.2">
      <c r="A36" s="1">
        <v>16</v>
      </c>
      <c r="B36" s="10" t="s">
        <v>844</v>
      </c>
      <c r="C36" s="1" t="s">
        <v>22</v>
      </c>
      <c r="D36" s="1">
        <v>417983168</v>
      </c>
      <c r="E36" s="1">
        <v>403846606</v>
      </c>
      <c r="F36" s="1" t="s">
        <v>843</v>
      </c>
      <c r="G36" s="1" t="s">
        <v>20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4</v>
      </c>
      <c r="Y36" s="1">
        <v>0</v>
      </c>
      <c r="Z36" s="1">
        <f>SUM(H36:Y36)</f>
        <v>4</v>
      </c>
      <c r="AA36" s="1">
        <f>SUMPRODUCT(H36:Y36,$H$16:$Y$16)</f>
        <v>3640</v>
      </c>
      <c r="AB36" s="1" t="s">
        <v>538</v>
      </c>
      <c r="AC36" s="1">
        <v>0.33</v>
      </c>
      <c r="AD36" s="9"/>
      <c r="AE36" s="1" t="s">
        <v>28</v>
      </c>
      <c r="AF36" s="1">
        <f>AC36</f>
        <v>0.33</v>
      </c>
      <c r="AG36" s="1">
        <v>500</v>
      </c>
      <c r="AH36" s="1">
        <v>500</v>
      </c>
      <c r="AI36" s="1">
        <v>17</v>
      </c>
      <c r="AK36" s="1" t="s">
        <v>264</v>
      </c>
      <c r="AL36" s="1" t="s">
        <v>537</v>
      </c>
      <c r="AM36" s="1" t="s">
        <v>262</v>
      </c>
      <c r="AN36" s="2" t="s">
        <v>536</v>
      </c>
      <c r="BO36" s="1">
        <f>SUM($AP36,$AQ36:AQ36)-SUM($CK36:CL36)</f>
        <v>0</v>
      </c>
      <c r="BP36" s="1">
        <f>SUM($AP36,$AQ36:AR36)-SUM($CK36:CM36)</f>
        <v>0</v>
      </c>
      <c r="BQ36" s="1">
        <f>SUM($AP36,$AQ36:AS36)-SUM($CK36:CN36)</f>
        <v>0</v>
      </c>
      <c r="BR36" s="1">
        <f>SUM($AP36,$AQ36:AT36)-SUM($CK36:CO36)</f>
        <v>-40</v>
      </c>
      <c r="BS36" s="1">
        <f>SUM($AP36,$AQ36:AU36)-SUM($CK36:CP36)</f>
        <v>-120</v>
      </c>
      <c r="BT36" s="1">
        <f>SUM($AP36,$AQ36:AV36)-SUM($CK36:CQ36)</f>
        <v>-240</v>
      </c>
      <c r="BU36" s="1">
        <f>SUM($AP36,$AQ36:AW36)-SUM($CK36:CR36)</f>
        <v>-400</v>
      </c>
      <c r="BV36" s="1">
        <f>SUM($AP36,$AQ36:AX36)-SUM($CK36:CS36)</f>
        <v>-600</v>
      </c>
      <c r="BW36" s="1">
        <f>SUM($AP36,$AQ36:AY36)-SUM($CK36:CT36)</f>
        <v>-840</v>
      </c>
      <c r="BX36" s="1">
        <f>SUM($AP36,$AQ36:AZ36)-SUM($CK36:CU36)</f>
        <v>-1120</v>
      </c>
      <c r="BY36" s="1">
        <f>SUM($AP36,$AQ36:BA36)-SUM($CK36:CV36)</f>
        <v>-1440</v>
      </c>
      <c r="BZ36" s="1">
        <f>SUM($AP36,$AQ36:BB36)-SUM($CK36:CW36)</f>
        <v>-1800</v>
      </c>
      <c r="CA36" s="1">
        <f>SUM($AP36,$AQ36:BC36)-SUM($CK36:CX36)</f>
        <v>-2200</v>
      </c>
      <c r="CB36" s="1">
        <f>SUM($AP36,$AQ36:BD36)-SUM($CK36:CY36)</f>
        <v>-2640</v>
      </c>
      <c r="CC36" s="1">
        <f>SUM($AP36,$AQ36:BE36)-SUM($CK36:CZ36)</f>
        <v>-3120</v>
      </c>
      <c r="CD36" s="1">
        <f>SUM($AP36,$AQ36:BF36)-SUM($CK36:DA36)</f>
        <v>-3640</v>
      </c>
      <c r="CE36" s="1">
        <f>SUM($AP36,$AQ36:BG36)-SUM($CK36:DB36)</f>
        <v>-3640</v>
      </c>
      <c r="CF36" s="1">
        <f>SUM($AP36,$AQ36:BH36)-SUM($CK36:DC36)</f>
        <v>-3640</v>
      </c>
      <c r="CG36" s="1">
        <f>SUM($AP36,$AQ36:BI36)-SUM($CK36:DD36)</f>
        <v>-3640</v>
      </c>
      <c r="CK36" s="1">
        <f t="array" ref="CK36">SUMPRODUCT($H36:$Y36,(TRANSPOSE(CK$2:CK$19)))</f>
        <v>0</v>
      </c>
      <c r="CL36" s="1">
        <f t="array" ref="CL36">SUMPRODUCT($H36:$Y36,(TRANSPOSE(CL$2:CL$19)))</f>
        <v>0</v>
      </c>
      <c r="CM36" s="1">
        <f t="array" ref="CM36">SUMPRODUCT($H36:$Y36,(TRANSPOSE(CM$2:CM$19)))</f>
        <v>0</v>
      </c>
      <c r="CN36" s="1">
        <f t="array" ref="CN36">SUMPRODUCT($H36:$Y36,(TRANSPOSE(CN$2:CN$19)))</f>
        <v>0</v>
      </c>
      <c r="CO36" s="1">
        <f t="array" ref="CO36">SUMPRODUCT($H36:$Y36,(TRANSPOSE(CO$2:CO$19)))</f>
        <v>40</v>
      </c>
      <c r="CP36" s="1">
        <f t="array" ref="CP36">SUMPRODUCT($H36:$Y36,(TRANSPOSE(CP$2:CP$19)))</f>
        <v>80</v>
      </c>
      <c r="CQ36" s="1">
        <f t="array" ref="CQ36">SUMPRODUCT($H36:$Y36,(TRANSPOSE(CQ$2:CQ$19)))</f>
        <v>120</v>
      </c>
      <c r="CR36" s="1">
        <f t="array" ref="CR36">SUMPRODUCT($H36:$Y36,(TRANSPOSE(CR$2:CR$19)))</f>
        <v>160</v>
      </c>
      <c r="CS36" s="1">
        <f t="array" ref="CS36">SUMPRODUCT($H36:$Y36,(TRANSPOSE(CS$2:CS$19)))</f>
        <v>200</v>
      </c>
      <c r="CT36" s="1">
        <f t="array" ref="CT36">SUMPRODUCT($H36:$Y36,(TRANSPOSE(CT$2:CT$19)))</f>
        <v>240</v>
      </c>
      <c r="CU36" s="1">
        <f t="array" ref="CU36">SUMPRODUCT($H36:$Y36,(TRANSPOSE(CU$2:CU$19)))</f>
        <v>280</v>
      </c>
      <c r="CV36" s="1">
        <f t="array" ref="CV36">SUMPRODUCT($H36:$Y36,(TRANSPOSE(CV$2:CV$19)))</f>
        <v>320</v>
      </c>
      <c r="CW36" s="1">
        <f t="array" ref="CW36">SUMPRODUCT($H36:$Y36,(TRANSPOSE(CW$2:CW$19)))</f>
        <v>360</v>
      </c>
      <c r="CX36" s="1">
        <f t="array" ref="CX36">SUMPRODUCT($H36:$Y36,(TRANSPOSE(CX$2:CX$19)))</f>
        <v>400</v>
      </c>
      <c r="CY36" s="1">
        <f t="array" ref="CY36">SUMPRODUCT($H36:$Y36,(TRANSPOSE(CY$2:CY$19)))</f>
        <v>440</v>
      </c>
      <c r="CZ36" s="1">
        <f t="array" ref="CZ36">SUMPRODUCT($H36:$Y36,(TRANSPOSE(CZ$2:CZ$19)))</f>
        <v>480</v>
      </c>
      <c r="DA36" s="1">
        <f t="array" ref="DA36">SUMPRODUCT($H36:$Y36,(TRANSPOSE(DA$2:DA$19)))</f>
        <v>520</v>
      </c>
      <c r="DB36" s="1">
        <f t="array" ref="DB36">SUMPRODUCT($H36:$Y36,(TRANSPOSE(DB$2:DB$19)))</f>
        <v>0</v>
      </c>
      <c r="DC36" s="1">
        <f t="array" ref="DC36">SUMPRODUCT($H36:$Y36,(TRANSPOSE(DC$2:DC$19)))</f>
        <v>0</v>
      </c>
      <c r="DD36" s="1">
        <f t="array" ref="DD36">SUMPRODUCT($H36:$Y36,(TRANSPOSE(DD$2:DD$19)))</f>
        <v>0</v>
      </c>
    </row>
    <row r="37" spans="1:108" x14ac:dyDescent="0.2">
      <c r="A37" s="1">
        <v>17</v>
      </c>
      <c r="B37" s="10" t="s">
        <v>842</v>
      </c>
      <c r="C37" s="1" t="s">
        <v>22</v>
      </c>
      <c r="D37" s="1" t="s">
        <v>841</v>
      </c>
      <c r="E37" s="1" t="s">
        <v>840</v>
      </c>
      <c r="F37" s="1" t="s">
        <v>839</v>
      </c>
      <c r="G37" s="1" t="s">
        <v>20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2</v>
      </c>
      <c r="V37" s="1">
        <v>0</v>
      </c>
      <c r="W37" s="1">
        <v>0</v>
      </c>
      <c r="X37" s="1">
        <v>0</v>
      </c>
      <c r="Y37" s="1">
        <v>2</v>
      </c>
      <c r="Z37" s="1">
        <f>SUM(H37:Y37)</f>
        <v>4</v>
      </c>
      <c r="AA37" s="1">
        <f>SUMPRODUCT(H37:Y37,$H$16:$Y$16)</f>
        <v>3640</v>
      </c>
      <c r="AB37" s="1" t="s">
        <v>838</v>
      </c>
      <c r="AC37" s="1">
        <v>61.59</v>
      </c>
      <c r="AD37" s="9"/>
      <c r="AE37" s="1" t="s">
        <v>28</v>
      </c>
      <c r="AF37" s="1">
        <f>AC37</f>
        <v>61.59</v>
      </c>
      <c r="AG37" s="1">
        <v>10</v>
      </c>
      <c r="AH37" s="1">
        <v>1</v>
      </c>
      <c r="AI37" s="1" t="s">
        <v>510</v>
      </c>
      <c r="AJ37" s="14" t="s">
        <v>156</v>
      </c>
      <c r="AK37" s="1" t="s">
        <v>837</v>
      </c>
      <c r="AL37" s="1" t="s">
        <v>836</v>
      </c>
      <c r="AM37" s="1" t="s">
        <v>835</v>
      </c>
      <c r="AN37" s="2" t="s">
        <v>834</v>
      </c>
      <c r="BO37" s="1">
        <f>SUM($AP37,$AQ37:AQ37)-SUM($CK37:CL37)</f>
        <v>0</v>
      </c>
      <c r="BP37" s="1">
        <f>SUM($AP37,$AQ37:AR37)-SUM($CK37:CM37)</f>
        <v>0</v>
      </c>
      <c r="BQ37" s="1">
        <f>SUM($AP37,$AQ37:AS37)-SUM($CK37:CN37)</f>
        <v>0</v>
      </c>
      <c r="BR37" s="1">
        <f>SUM($AP37,$AQ37:AT37)-SUM($CK37:CO37)</f>
        <v>-40</v>
      </c>
      <c r="BS37" s="1">
        <f>SUM($AP37,$AQ37:AU37)-SUM($CK37:CP37)</f>
        <v>-120</v>
      </c>
      <c r="BT37" s="1">
        <f>SUM($AP37,$AQ37:AV37)-SUM($CK37:CQ37)</f>
        <v>-240</v>
      </c>
      <c r="BU37" s="1">
        <f>SUM($AP37,$AQ37:AW37)-SUM($CK37:CR37)</f>
        <v>-400</v>
      </c>
      <c r="BV37" s="1">
        <f>SUM($AP37,$AQ37:AX37)-SUM($CK37:CS37)</f>
        <v>-600</v>
      </c>
      <c r="BW37" s="1">
        <f>SUM($AP37,$AQ37:AY37)-SUM($CK37:CT37)</f>
        <v>-840</v>
      </c>
      <c r="BX37" s="1">
        <f>SUM($AP37,$AQ37:AZ37)-SUM($CK37:CU37)</f>
        <v>-1120</v>
      </c>
      <c r="BY37" s="1">
        <f>SUM($AP37,$AQ37:BA37)-SUM($CK37:CV37)</f>
        <v>-1440</v>
      </c>
      <c r="BZ37" s="1">
        <f>SUM($AP37,$AQ37:BB37)-SUM($CK37:CW37)</f>
        <v>-1800</v>
      </c>
      <c r="CA37" s="1">
        <f>SUM($AP37,$AQ37:BC37)-SUM($CK37:CX37)</f>
        <v>-2200</v>
      </c>
      <c r="CB37" s="1">
        <f>SUM($AP37,$AQ37:BD37)-SUM($CK37:CY37)</f>
        <v>-2640</v>
      </c>
      <c r="CC37" s="1">
        <f>SUM($AP37,$AQ37:BE37)-SUM($CK37:CZ37)</f>
        <v>-3120</v>
      </c>
      <c r="CD37" s="1">
        <f>SUM($AP37,$AQ37:BF37)-SUM($CK37:DA37)</f>
        <v>-3640</v>
      </c>
      <c r="CE37" s="1">
        <f>SUM($AP37,$AQ37:BG37)-SUM($CK37:DB37)</f>
        <v>-3640</v>
      </c>
      <c r="CF37" s="1">
        <f>SUM($AP37,$AQ37:BH37)-SUM($CK37:DC37)</f>
        <v>-3640</v>
      </c>
      <c r="CG37" s="1">
        <f>SUM($AP37,$AQ37:BI37)-SUM($CK37:DD37)</f>
        <v>-3640</v>
      </c>
      <c r="CK37" s="1">
        <f t="array" ref="CK37">SUMPRODUCT($H37:$Y37,(TRANSPOSE(CK$2:CK$19)))</f>
        <v>0</v>
      </c>
      <c r="CL37" s="1">
        <f t="array" ref="CL37">SUMPRODUCT($H37:$Y37,(TRANSPOSE(CL$2:CL$19)))</f>
        <v>0</v>
      </c>
      <c r="CM37" s="1">
        <f t="array" ref="CM37">SUMPRODUCT($H37:$Y37,(TRANSPOSE(CM$2:CM$19)))</f>
        <v>0</v>
      </c>
      <c r="CN37" s="1">
        <f t="array" ref="CN37">SUMPRODUCT($H37:$Y37,(TRANSPOSE(CN$2:CN$19)))</f>
        <v>0</v>
      </c>
      <c r="CO37" s="1">
        <f t="array" ref="CO37">SUMPRODUCT($H37:$Y37,(TRANSPOSE(CO$2:CO$19)))</f>
        <v>40</v>
      </c>
      <c r="CP37" s="1">
        <f t="array" ref="CP37">SUMPRODUCT($H37:$Y37,(TRANSPOSE(CP$2:CP$19)))</f>
        <v>80</v>
      </c>
      <c r="CQ37" s="1">
        <f t="array" ref="CQ37">SUMPRODUCT($H37:$Y37,(TRANSPOSE(CQ$2:CQ$19)))</f>
        <v>120</v>
      </c>
      <c r="CR37" s="1">
        <f t="array" ref="CR37">SUMPRODUCT($H37:$Y37,(TRANSPOSE(CR$2:CR$19)))</f>
        <v>160</v>
      </c>
      <c r="CS37" s="1">
        <f t="array" ref="CS37">SUMPRODUCT($H37:$Y37,(TRANSPOSE(CS$2:CS$19)))</f>
        <v>200</v>
      </c>
      <c r="CT37" s="1">
        <f t="array" ref="CT37">SUMPRODUCT($H37:$Y37,(TRANSPOSE(CT$2:CT$19)))</f>
        <v>240</v>
      </c>
      <c r="CU37" s="1">
        <f t="array" ref="CU37">SUMPRODUCT($H37:$Y37,(TRANSPOSE(CU$2:CU$19)))</f>
        <v>280</v>
      </c>
      <c r="CV37" s="1">
        <f t="array" ref="CV37">SUMPRODUCT($H37:$Y37,(TRANSPOSE(CV$2:CV$19)))</f>
        <v>320</v>
      </c>
      <c r="CW37" s="1">
        <f t="array" ref="CW37">SUMPRODUCT($H37:$Y37,(TRANSPOSE(CW$2:CW$19)))</f>
        <v>360</v>
      </c>
      <c r="CX37" s="1">
        <f t="array" ref="CX37">SUMPRODUCT($H37:$Y37,(TRANSPOSE(CX$2:CX$19)))</f>
        <v>400</v>
      </c>
      <c r="CY37" s="1">
        <f t="array" ref="CY37">SUMPRODUCT($H37:$Y37,(TRANSPOSE(CY$2:CY$19)))</f>
        <v>440</v>
      </c>
      <c r="CZ37" s="1">
        <f t="array" ref="CZ37">SUMPRODUCT($H37:$Y37,(TRANSPOSE(CZ$2:CZ$19)))</f>
        <v>480</v>
      </c>
      <c r="DA37" s="1">
        <f t="array" ref="DA37">SUMPRODUCT($H37:$Y37,(TRANSPOSE(DA$2:DA$19)))</f>
        <v>520</v>
      </c>
      <c r="DB37" s="1">
        <f t="array" ref="DB37">SUMPRODUCT($H37:$Y37,(TRANSPOSE(DB$2:DB$19)))</f>
        <v>0</v>
      </c>
      <c r="DC37" s="1">
        <f t="array" ref="DC37">SUMPRODUCT($H37:$Y37,(TRANSPOSE(DC$2:DC$19)))</f>
        <v>0</v>
      </c>
      <c r="DD37" s="1">
        <f t="array" ref="DD37">SUMPRODUCT($H37:$Y37,(TRANSPOSE(DD$2:DD$19)))</f>
        <v>0</v>
      </c>
    </row>
    <row r="38" spans="1:108" x14ac:dyDescent="0.2">
      <c r="A38" s="1">
        <v>18</v>
      </c>
      <c r="B38" s="10">
        <v>1018419</v>
      </c>
      <c r="C38" s="1" t="s">
        <v>22</v>
      </c>
      <c r="D38" s="1">
        <v>535101950</v>
      </c>
      <c r="F38" s="1" t="s">
        <v>833</v>
      </c>
      <c r="G38" s="1" t="s">
        <v>20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2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f>SUM(H38:Y38)</f>
        <v>2</v>
      </c>
      <c r="AA38" s="1">
        <f>SUMPRODUCT(H38:Y38,$H$16:$Y$16)</f>
        <v>1820</v>
      </c>
      <c r="AB38" s="1" t="s">
        <v>18</v>
      </c>
      <c r="AC38" s="1">
        <v>0</v>
      </c>
      <c r="AD38" s="9"/>
      <c r="AE38" s="1" t="s">
        <v>19</v>
      </c>
      <c r="AF38" s="1">
        <f>AC38</f>
        <v>0</v>
      </c>
      <c r="AG38" s="1">
        <v>1</v>
      </c>
      <c r="AH38" s="1">
        <v>1</v>
      </c>
      <c r="AI38" s="1" t="s">
        <v>18</v>
      </c>
      <c r="AJ38" s="1" t="s">
        <v>18</v>
      </c>
      <c r="AK38" s="1" t="s">
        <v>18</v>
      </c>
      <c r="AL38" s="1" t="s">
        <v>18</v>
      </c>
      <c r="AM38" s="1" t="s">
        <v>18</v>
      </c>
      <c r="AN38" s="2" t="s">
        <v>18</v>
      </c>
      <c r="BO38" s="1">
        <f>SUM($AP38,$AQ38:AQ38)-SUM($CK38:CL38)</f>
        <v>0</v>
      </c>
      <c r="BP38" s="1">
        <f>SUM($AP38,$AQ38:AR38)-SUM($CK38:CM38)</f>
        <v>0</v>
      </c>
      <c r="BQ38" s="1">
        <f>SUM($AP38,$AQ38:AS38)-SUM($CK38:CN38)</f>
        <v>0</v>
      </c>
      <c r="BR38" s="1">
        <f>SUM($AP38,$AQ38:AT38)-SUM($CK38:CO38)</f>
        <v>-20</v>
      </c>
      <c r="BS38" s="1">
        <f>SUM($AP38,$AQ38:AU38)-SUM($CK38:CP38)</f>
        <v>-60</v>
      </c>
      <c r="BT38" s="1">
        <f>SUM($AP38,$AQ38:AV38)-SUM($CK38:CQ38)</f>
        <v>-120</v>
      </c>
      <c r="BU38" s="1">
        <f>SUM($AP38,$AQ38:AW38)-SUM($CK38:CR38)</f>
        <v>-200</v>
      </c>
      <c r="BV38" s="1">
        <f>SUM($AP38,$AQ38:AX38)-SUM($CK38:CS38)</f>
        <v>-300</v>
      </c>
      <c r="BW38" s="1">
        <f>SUM($AP38,$AQ38:AY38)-SUM($CK38:CT38)</f>
        <v>-420</v>
      </c>
      <c r="BX38" s="1">
        <f>SUM($AP38,$AQ38:AZ38)-SUM($CK38:CU38)</f>
        <v>-560</v>
      </c>
      <c r="BY38" s="1">
        <f>SUM($AP38,$AQ38:BA38)-SUM($CK38:CV38)</f>
        <v>-720</v>
      </c>
      <c r="BZ38" s="1">
        <f>SUM($AP38,$AQ38:BB38)-SUM($CK38:CW38)</f>
        <v>-900</v>
      </c>
      <c r="CA38" s="1">
        <f>SUM($AP38,$AQ38:BC38)-SUM($CK38:CX38)</f>
        <v>-1100</v>
      </c>
      <c r="CB38" s="1">
        <f>SUM($AP38,$AQ38:BD38)-SUM($CK38:CY38)</f>
        <v>-1320</v>
      </c>
      <c r="CC38" s="1">
        <f>SUM($AP38,$AQ38:BE38)-SUM($CK38:CZ38)</f>
        <v>-1560</v>
      </c>
      <c r="CD38" s="1">
        <f>SUM($AP38,$AQ38:BF38)-SUM($CK38:DA38)</f>
        <v>-1820</v>
      </c>
      <c r="CE38" s="1">
        <f>SUM($AP38,$AQ38:BG38)-SUM($CK38:DB38)</f>
        <v>-1820</v>
      </c>
      <c r="CF38" s="1">
        <f>SUM($AP38,$AQ38:BH38)-SUM($CK38:DC38)</f>
        <v>-1820</v>
      </c>
      <c r="CG38" s="1">
        <f>SUM($AP38,$AQ38:BI38)-SUM($CK38:DD38)</f>
        <v>-1820</v>
      </c>
      <c r="CK38" s="1">
        <f t="array" ref="CK38">SUMPRODUCT($H38:$Y38,(TRANSPOSE(CK$2:CK$19)))</f>
        <v>0</v>
      </c>
      <c r="CL38" s="1">
        <f t="array" ref="CL38">SUMPRODUCT($H38:$Y38,(TRANSPOSE(CL$2:CL$19)))</f>
        <v>0</v>
      </c>
      <c r="CM38" s="1">
        <f t="array" ref="CM38">SUMPRODUCT($H38:$Y38,(TRANSPOSE(CM$2:CM$19)))</f>
        <v>0</v>
      </c>
      <c r="CN38" s="1">
        <f t="array" ref="CN38">SUMPRODUCT($H38:$Y38,(TRANSPOSE(CN$2:CN$19)))</f>
        <v>0</v>
      </c>
      <c r="CO38" s="1">
        <f t="array" ref="CO38">SUMPRODUCT($H38:$Y38,(TRANSPOSE(CO$2:CO$19)))</f>
        <v>20</v>
      </c>
      <c r="CP38" s="1">
        <f t="array" ref="CP38">SUMPRODUCT($H38:$Y38,(TRANSPOSE(CP$2:CP$19)))</f>
        <v>40</v>
      </c>
      <c r="CQ38" s="1">
        <f t="array" ref="CQ38">SUMPRODUCT($H38:$Y38,(TRANSPOSE(CQ$2:CQ$19)))</f>
        <v>60</v>
      </c>
      <c r="CR38" s="1">
        <f t="array" ref="CR38">SUMPRODUCT($H38:$Y38,(TRANSPOSE(CR$2:CR$19)))</f>
        <v>80</v>
      </c>
      <c r="CS38" s="1">
        <f t="array" ref="CS38">SUMPRODUCT($H38:$Y38,(TRANSPOSE(CS$2:CS$19)))</f>
        <v>100</v>
      </c>
      <c r="CT38" s="1">
        <f t="array" ref="CT38">SUMPRODUCT($H38:$Y38,(TRANSPOSE(CT$2:CT$19)))</f>
        <v>120</v>
      </c>
      <c r="CU38" s="1">
        <f t="array" ref="CU38">SUMPRODUCT($H38:$Y38,(TRANSPOSE(CU$2:CU$19)))</f>
        <v>140</v>
      </c>
      <c r="CV38" s="1">
        <f t="array" ref="CV38">SUMPRODUCT($H38:$Y38,(TRANSPOSE(CV$2:CV$19)))</f>
        <v>160</v>
      </c>
      <c r="CW38" s="1">
        <f t="array" ref="CW38">SUMPRODUCT($H38:$Y38,(TRANSPOSE(CW$2:CW$19)))</f>
        <v>180</v>
      </c>
      <c r="CX38" s="1">
        <f t="array" ref="CX38">SUMPRODUCT($H38:$Y38,(TRANSPOSE(CX$2:CX$19)))</f>
        <v>200</v>
      </c>
      <c r="CY38" s="1">
        <f t="array" ref="CY38">SUMPRODUCT($H38:$Y38,(TRANSPOSE(CY$2:CY$19)))</f>
        <v>220</v>
      </c>
      <c r="CZ38" s="1">
        <f t="array" ref="CZ38">SUMPRODUCT($H38:$Y38,(TRANSPOSE(CZ$2:CZ$19)))</f>
        <v>240</v>
      </c>
      <c r="DA38" s="1">
        <f t="array" ref="DA38">SUMPRODUCT($H38:$Y38,(TRANSPOSE(DA$2:DA$19)))</f>
        <v>260</v>
      </c>
      <c r="DB38" s="1">
        <f t="array" ref="DB38">SUMPRODUCT($H38:$Y38,(TRANSPOSE(DB$2:DB$19)))</f>
        <v>0</v>
      </c>
      <c r="DC38" s="1">
        <f t="array" ref="DC38">SUMPRODUCT($H38:$Y38,(TRANSPOSE(DC$2:DC$19)))</f>
        <v>0</v>
      </c>
      <c r="DD38" s="1">
        <f t="array" ref="DD38">SUMPRODUCT($H38:$Y38,(TRANSPOSE(DD$2:DD$19)))</f>
        <v>0</v>
      </c>
    </row>
    <row r="39" spans="1:108" ht="13.5" thickBot="1" x14ac:dyDescent="0.25">
      <c r="A39" s="1">
        <v>19</v>
      </c>
      <c r="B39" s="10" t="s">
        <v>832</v>
      </c>
      <c r="C39" s="1" t="s">
        <v>680</v>
      </c>
      <c r="D39" s="1">
        <v>416969236</v>
      </c>
      <c r="F39" s="1" t="s">
        <v>831</v>
      </c>
      <c r="G39" s="1" t="s">
        <v>20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f>SUM(H39:Y39)</f>
        <v>1</v>
      </c>
      <c r="AA39" s="1">
        <f>SUMPRODUCT(H39:Y39,$H$16:$Y$16)</f>
        <v>910</v>
      </c>
      <c r="AB39" s="18" t="s">
        <v>18</v>
      </c>
      <c r="AC39" s="1">
        <v>0</v>
      </c>
      <c r="AD39" s="9"/>
      <c r="AE39" s="1" t="s">
        <v>19</v>
      </c>
      <c r="AF39" s="1">
        <f>AC39</f>
        <v>0</v>
      </c>
      <c r="AG39" s="1">
        <v>1</v>
      </c>
      <c r="AH39" s="1">
        <v>1</v>
      </c>
      <c r="AI39" s="1" t="s">
        <v>18</v>
      </c>
      <c r="AJ39" s="1" t="s">
        <v>18</v>
      </c>
      <c r="AK39" s="1" t="s">
        <v>18</v>
      </c>
      <c r="AL39" s="1" t="s">
        <v>18</v>
      </c>
      <c r="AM39" s="1" t="s">
        <v>18</v>
      </c>
      <c r="AN39" s="2" t="s">
        <v>18</v>
      </c>
      <c r="BO39" s="1">
        <f>SUM($AP39,$AQ39:AQ39)-SUM($CK39:CL39)</f>
        <v>0</v>
      </c>
      <c r="BP39" s="1">
        <f>SUM($AP39,$AQ39:AR39)-SUM($CK39:CM39)</f>
        <v>0</v>
      </c>
      <c r="BQ39" s="1">
        <f>SUM($AP39,$AQ39:AS39)-SUM($CK39:CN39)</f>
        <v>0</v>
      </c>
      <c r="BR39" s="1">
        <f>SUM($AP39,$AQ39:AT39)-SUM($CK39:CO39)</f>
        <v>0</v>
      </c>
      <c r="BS39" s="1">
        <f>SUM($AP39,$AQ39:AU39)-SUM($CK39:CP39)</f>
        <v>0</v>
      </c>
      <c r="BT39" s="1">
        <f>SUM($AP39,$AQ39:AV39)-SUM($CK39:CQ39)</f>
        <v>-10</v>
      </c>
      <c r="BU39" s="1">
        <f>SUM($AP39,$AQ39:AW39)-SUM($CK39:CR39)</f>
        <v>-30</v>
      </c>
      <c r="BV39" s="1">
        <f>SUM($AP39,$AQ39:AX39)-SUM($CK39:CS39)</f>
        <v>-60</v>
      </c>
      <c r="BW39" s="1">
        <f>SUM($AP39,$AQ39:AY39)-SUM($CK39:CT39)</f>
        <v>-100</v>
      </c>
      <c r="BX39" s="1">
        <f>SUM($AP39,$AQ39:AZ39)-SUM($CK39:CU39)</f>
        <v>-150</v>
      </c>
      <c r="BY39" s="1">
        <f>SUM($AP39,$AQ39:BA39)-SUM($CK39:CV39)</f>
        <v>-210</v>
      </c>
      <c r="BZ39" s="1">
        <f>SUM($AP39,$AQ39:BB39)-SUM($CK39:CW39)</f>
        <v>-280</v>
      </c>
      <c r="CA39" s="1">
        <f>SUM($AP39,$AQ39:BC39)-SUM($CK39:CX39)</f>
        <v>-360</v>
      </c>
      <c r="CB39" s="1">
        <f>SUM($AP39,$AQ39:BD39)-SUM($CK39:CY39)</f>
        <v>-450</v>
      </c>
      <c r="CC39" s="1">
        <f>SUM($AP39,$AQ39:BE39)-SUM($CK39:CZ39)</f>
        <v>-550</v>
      </c>
      <c r="CD39" s="1">
        <f>SUM($AP39,$AQ39:BF39)-SUM($CK39:DA39)</f>
        <v>-660</v>
      </c>
      <c r="CE39" s="1">
        <f>SUM($AP39,$AQ39:BG39)-SUM($CK39:DB39)</f>
        <v>-780</v>
      </c>
      <c r="CF39" s="1">
        <f>SUM($AP39,$AQ39:BH39)-SUM($CK39:DC39)</f>
        <v>-910</v>
      </c>
      <c r="CG39" s="1">
        <f>SUM($AP39,$AQ39:BI39)-SUM($CK39:DD39)</f>
        <v>-910</v>
      </c>
      <c r="CK39" s="1">
        <f t="array" ref="CK39">SUMPRODUCT($H39:$Y39,(TRANSPOSE(CK$2:CK$19)))</f>
        <v>0</v>
      </c>
      <c r="CL39" s="1">
        <f t="array" ref="CL39">SUMPRODUCT($H39:$Y39,(TRANSPOSE(CL$2:CL$19)))</f>
        <v>0</v>
      </c>
      <c r="CM39" s="1">
        <f t="array" ref="CM39">SUMPRODUCT($H39:$Y39,(TRANSPOSE(CM$2:CM$19)))</f>
        <v>0</v>
      </c>
      <c r="CN39" s="1">
        <f t="array" ref="CN39">SUMPRODUCT($H39:$Y39,(TRANSPOSE(CN$2:CN$19)))</f>
        <v>0</v>
      </c>
      <c r="CO39" s="1">
        <f t="array" ref="CO39">SUMPRODUCT($H39:$Y39,(TRANSPOSE(CO$2:CO$19)))</f>
        <v>0</v>
      </c>
      <c r="CP39" s="1">
        <f t="array" ref="CP39">SUMPRODUCT($H39:$Y39,(TRANSPOSE(CP$2:CP$19)))</f>
        <v>0</v>
      </c>
      <c r="CQ39" s="1">
        <f t="array" ref="CQ39">SUMPRODUCT($H39:$Y39,(TRANSPOSE(CQ$2:CQ$19)))</f>
        <v>10</v>
      </c>
      <c r="CR39" s="1">
        <f t="array" ref="CR39">SUMPRODUCT($H39:$Y39,(TRANSPOSE(CR$2:CR$19)))</f>
        <v>20</v>
      </c>
      <c r="CS39" s="1">
        <f t="array" ref="CS39">SUMPRODUCT($H39:$Y39,(TRANSPOSE(CS$2:CS$19)))</f>
        <v>30</v>
      </c>
      <c r="CT39" s="1">
        <f t="array" ref="CT39">SUMPRODUCT($H39:$Y39,(TRANSPOSE(CT$2:CT$19)))</f>
        <v>40</v>
      </c>
      <c r="CU39" s="1">
        <f t="array" ref="CU39">SUMPRODUCT($H39:$Y39,(TRANSPOSE(CU$2:CU$19)))</f>
        <v>50</v>
      </c>
      <c r="CV39" s="1">
        <f t="array" ref="CV39">SUMPRODUCT($H39:$Y39,(TRANSPOSE(CV$2:CV$19)))</f>
        <v>60</v>
      </c>
      <c r="CW39" s="1">
        <f t="array" ref="CW39">SUMPRODUCT($H39:$Y39,(TRANSPOSE(CW$2:CW$19)))</f>
        <v>70</v>
      </c>
      <c r="CX39" s="1">
        <f t="array" ref="CX39">SUMPRODUCT($H39:$Y39,(TRANSPOSE(CX$2:CX$19)))</f>
        <v>80</v>
      </c>
      <c r="CY39" s="1">
        <f t="array" ref="CY39">SUMPRODUCT($H39:$Y39,(TRANSPOSE(CY$2:CY$19)))</f>
        <v>90</v>
      </c>
      <c r="CZ39" s="1">
        <f t="array" ref="CZ39">SUMPRODUCT($H39:$Y39,(TRANSPOSE(CZ$2:CZ$19)))</f>
        <v>100</v>
      </c>
      <c r="DA39" s="1">
        <f t="array" ref="DA39">SUMPRODUCT($H39:$Y39,(TRANSPOSE(DA$2:DA$19)))</f>
        <v>110</v>
      </c>
      <c r="DB39" s="1">
        <f t="array" ref="DB39">SUMPRODUCT($H39:$Y39,(TRANSPOSE(DB$2:DB$19)))</f>
        <v>120</v>
      </c>
      <c r="DC39" s="1">
        <f t="array" ref="DC39">SUMPRODUCT($H39:$Y39,(TRANSPOSE(DC$2:DC$19)))</f>
        <v>130</v>
      </c>
      <c r="DD39" s="1">
        <f t="array" ref="DD39">SUMPRODUCT($H39:$Y39,(TRANSPOSE(DD$2:DD$19)))</f>
        <v>0</v>
      </c>
    </row>
    <row r="40" spans="1:108" ht="13.5" thickBot="1" x14ac:dyDescent="0.25">
      <c r="A40" s="1">
        <v>21</v>
      </c>
      <c r="B40" s="10" t="s">
        <v>830</v>
      </c>
      <c r="C40" s="1" t="s">
        <v>19</v>
      </c>
      <c r="D40" s="1">
        <v>410825593</v>
      </c>
      <c r="F40" s="1" t="s">
        <v>827</v>
      </c>
      <c r="G40" s="1" t="s">
        <v>20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f>SUM(H40:Y40)</f>
        <v>1</v>
      </c>
      <c r="AA40" s="1">
        <f>SUMPRODUCT(H40:Y40,$H$16:$Y$16)</f>
        <v>910</v>
      </c>
      <c r="AB40" s="19" t="s">
        <v>733</v>
      </c>
      <c r="AC40" s="1">
        <v>1.5</v>
      </c>
      <c r="AD40" s="9"/>
      <c r="AE40" s="1" t="s">
        <v>28</v>
      </c>
      <c r="AF40" s="1">
        <f>AC40</f>
        <v>1.5</v>
      </c>
      <c r="AH40" s="1">
        <v>1</v>
      </c>
      <c r="AI40" s="1" t="s">
        <v>510</v>
      </c>
      <c r="AK40" s="1" t="s">
        <v>731</v>
      </c>
      <c r="AL40" s="1" t="s">
        <v>730</v>
      </c>
      <c r="AM40" s="1" t="s">
        <v>729</v>
      </c>
      <c r="AN40" s="2" t="s">
        <v>728</v>
      </c>
      <c r="BO40" s="1">
        <f>SUM($AP40,$AQ40:AQ40)-SUM($CK40:CL40)</f>
        <v>0</v>
      </c>
      <c r="BP40" s="1">
        <f>SUM($AP40,$AQ40:AR40)-SUM($CK40:CM40)</f>
        <v>0</v>
      </c>
      <c r="BQ40" s="1">
        <f>SUM($AP40,$AQ40:AS40)-SUM($CK40:CN40)</f>
        <v>0</v>
      </c>
      <c r="BR40" s="1">
        <f>SUM($AP40,$AQ40:AT40)-SUM($CK40:CO40)</f>
        <v>0</v>
      </c>
      <c r="BS40" s="1">
        <f>SUM($AP40,$AQ40:AU40)-SUM($CK40:CP40)</f>
        <v>0</v>
      </c>
      <c r="BT40" s="1">
        <f>SUM($AP40,$AQ40:AV40)-SUM($CK40:CQ40)</f>
        <v>0</v>
      </c>
      <c r="BU40" s="1">
        <f>SUM($AP40,$AQ40:AW40)-SUM($CK40:CR40)</f>
        <v>-10</v>
      </c>
      <c r="BV40" s="1">
        <f>SUM($AP40,$AQ40:AX40)-SUM($CK40:CS40)</f>
        <v>-30</v>
      </c>
      <c r="BW40" s="1">
        <f>SUM($AP40,$AQ40:AY40)-SUM($CK40:CT40)</f>
        <v>-60</v>
      </c>
      <c r="BX40" s="1">
        <f>SUM($AP40,$AQ40:AZ40)-SUM($CK40:CU40)</f>
        <v>-100</v>
      </c>
      <c r="BY40" s="1">
        <f>SUM($AP40,$AQ40:BA40)-SUM($CK40:CV40)</f>
        <v>-150</v>
      </c>
      <c r="BZ40" s="1">
        <f>SUM($AP40,$AQ40:BB40)-SUM($CK40:CW40)</f>
        <v>-210</v>
      </c>
      <c r="CA40" s="1">
        <f>SUM($AP40,$AQ40:BC40)-SUM($CK40:CX40)</f>
        <v>-280</v>
      </c>
      <c r="CB40" s="1">
        <f>SUM($AP40,$AQ40:BD40)-SUM($CK40:CY40)</f>
        <v>-360</v>
      </c>
      <c r="CC40" s="1">
        <f>SUM($AP40,$AQ40:BE40)-SUM($CK40:CZ40)</f>
        <v>-450</v>
      </c>
      <c r="CD40" s="1">
        <f>SUM($AP40,$AQ40:BF40)-SUM($CK40:DA40)</f>
        <v>-550</v>
      </c>
      <c r="CE40" s="1">
        <f>SUM($AP40,$AQ40:BG40)-SUM($CK40:DB40)</f>
        <v>-660</v>
      </c>
      <c r="CF40" s="1">
        <f>SUM($AP40,$AQ40:BH40)-SUM($CK40:DC40)</f>
        <v>-780</v>
      </c>
      <c r="CG40" s="1">
        <f>SUM($AP40,$AQ40:BI40)-SUM($CK40:DD40)</f>
        <v>-910</v>
      </c>
      <c r="CK40" s="1">
        <f t="array" ref="CK40">SUMPRODUCT($H40:$Y40,(TRANSPOSE(CK$2:CK$19)))</f>
        <v>0</v>
      </c>
      <c r="CL40" s="1">
        <f t="array" ref="CL40">SUMPRODUCT($H40:$Y40,(TRANSPOSE(CL$2:CL$19)))</f>
        <v>0</v>
      </c>
      <c r="CM40" s="1">
        <f t="array" ref="CM40">SUMPRODUCT($H40:$Y40,(TRANSPOSE(CM$2:CM$19)))</f>
        <v>0</v>
      </c>
      <c r="CN40" s="1">
        <f t="array" ref="CN40">SUMPRODUCT($H40:$Y40,(TRANSPOSE(CN$2:CN$19)))</f>
        <v>0</v>
      </c>
      <c r="CO40" s="1">
        <f t="array" ref="CO40">SUMPRODUCT($H40:$Y40,(TRANSPOSE(CO$2:CO$19)))</f>
        <v>0</v>
      </c>
      <c r="CP40" s="1">
        <f t="array" ref="CP40">SUMPRODUCT($H40:$Y40,(TRANSPOSE(CP$2:CP$19)))</f>
        <v>0</v>
      </c>
      <c r="CQ40" s="1">
        <f t="array" ref="CQ40">SUMPRODUCT($H40:$Y40,(TRANSPOSE(CQ$2:CQ$19)))</f>
        <v>0</v>
      </c>
      <c r="CR40" s="1">
        <f t="array" ref="CR40">SUMPRODUCT($H40:$Y40,(TRANSPOSE(CR$2:CR$19)))</f>
        <v>10</v>
      </c>
      <c r="CS40" s="1">
        <f t="array" ref="CS40">SUMPRODUCT($H40:$Y40,(TRANSPOSE(CS$2:CS$19)))</f>
        <v>20</v>
      </c>
      <c r="CT40" s="1">
        <f t="array" ref="CT40">SUMPRODUCT($H40:$Y40,(TRANSPOSE(CT$2:CT$19)))</f>
        <v>30</v>
      </c>
      <c r="CU40" s="1">
        <f t="array" ref="CU40">SUMPRODUCT($H40:$Y40,(TRANSPOSE(CU$2:CU$19)))</f>
        <v>40</v>
      </c>
      <c r="CV40" s="1">
        <f t="array" ref="CV40">SUMPRODUCT($H40:$Y40,(TRANSPOSE(CV$2:CV$19)))</f>
        <v>50</v>
      </c>
      <c r="CW40" s="1">
        <f t="array" ref="CW40">SUMPRODUCT($H40:$Y40,(TRANSPOSE(CW$2:CW$19)))</f>
        <v>60</v>
      </c>
      <c r="CX40" s="1">
        <f t="array" ref="CX40">SUMPRODUCT($H40:$Y40,(TRANSPOSE(CX$2:CX$19)))</f>
        <v>70</v>
      </c>
      <c r="CY40" s="1">
        <f t="array" ref="CY40">SUMPRODUCT($H40:$Y40,(TRANSPOSE(CY$2:CY$19)))</f>
        <v>80</v>
      </c>
      <c r="CZ40" s="1">
        <f t="array" ref="CZ40">SUMPRODUCT($H40:$Y40,(TRANSPOSE(CZ$2:CZ$19)))</f>
        <v>90</v>
      </c>
      <c r="DA40" s="1">
        <f t="array" ref="DA40">SUMPRODUCT($H40:$Y40,(TRANSPOSE(DA$2:DA$19)))</f>
        <v>100</v>
      </c>
      <c r="DB40" s="1">
        <f t="array" ref="DB40">SUMPRODUCT($H40:$Y40,(TRANSPOSE(DB$2:DB$19)))</f>
        <v>110</v>
      </c>
      <c r="DC40" s="1">
        <f t="array" ref="DC40">SUMPRODUCT($H40:$Y40,(TRANSPOSE(DC$2:DC$19)))</f>
        <v>120</v>
      </c>
      <c r="DD40" s="1">
        <f t="array" ref="DD40">SUMPRODUCT($H40:$Y40,(TRANSPOSE(DD$2:DD$19)))</f>
        <v>130</v>
      </c>
    </row>
    <row r="41" spans="1:108" ht="13.5" thickBot="1" x14ac:dyDescent="0.25">
      <c r="A41" s="1">
        <v>22</v>
      </c>
      <c r="B41" s="10" t="s">
        <v>15</v>
      </c>
      <c r="C41" s="1" t="s">
        <v>19</v>
      </c>
      <c r="D41" s="1">
        <v>410883563</v>
      </c>
      <c r="F41" s="1" t="s">
        <v>829</v>
      </c>
      <c r="G41" s="1" t="s">
        <v>20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f>SUM(H41:Y41)</f>
        <v>1</v>
      </c>
      <c r="AA41" s="1">
        <f>SUMPRODUCT(H41:Y41,$H$16:$Y$16)</f>
        <v>910</v>
      </c>
      <c r="AB41" s="19" t="s">
        <v>739</v>
      </c>
      <c r="AD41" s="9"/>
      <c r="AK41" s="1" t="s">
        <v>738</v>
      </c>
      <c r="AN41" s="2"/>
      <c r="BO41" s="1">
        <f>SUM($AP41,$AQ41:AQ41)-SUM($CK41:CL41)</f>
        <v>0</v>
      </c>
      <c r="BP41" s="1">
        <f>SUM($AP41,$AQ41:AR41)-SUM($CK41:CM41)</f>
        <v>0</v>
      </c>
      <c r="BQ41" s="1">
        <f>SUM($AP41,$AQ41:AS41)-SUM($CK41:CN41)</f>
        <v>0</v>
      </c>
      <c r="BR41" s="1">
        <f>SUM($AP41,$AQ41:AT41)-SUM($CK41:CO41)</f>
        <v>0</v>
      </c>
      <c r="BS41" s="1">
        <f>SUM($AP41,$AQ41:AU41)-SUM($CK41:CP41)</f>
        <v>0</v>
      </c>
      <c r="BT41" s="1">
        <f>SUM($AP41,$AQ41:AV41)-SUM($CK41:CQ41)</f>
        <v>0</v>
      </c>
      <c r="BU41" s="1">
        <f>SUM($AP41,$AQ41:AW41)-SUM($CK41:CR41)</f>
        <v>-10</v>
      </c>
      <c r="BV41" s="1">
        <f>SUM($AP41,$AQ41:AX41)-SUM($CK41:CS41)</f>
        <v>-30</v>
      </c>
      <c r="BW41" s="1">
        <f>SUM($AP41,$AQ41:AY41)-SUM($CK41:CT41)</f>
        <v>-60</v>
      </c>
      <c r="BX41" s="1">
        <f>SUM($AP41,$AQ41:AZ41)-SUM($CK41:CU41)</f>
        <v>-100</v>
      </c>
      <c r="BY41" s="1">
        <f>SUM($AP41,$AQ41:BA41)-SUM($CK41:CV41)</f>
        <v>-150</v>
      </c>
      <c r="BZ41" s="1">
        <f>SUM($AP41,$AQ41:BB41)-SUM($CK41:CW41)</f>
        <v>-210</v>
      </c>
      <c r="CA41" s="1">
        <f>SUM($AP41,$AQ41:BC41)-SUM($CK41:CX41)</f>
        <v>-280</v>
      </c>
      <c r="CB41" s="1">
        <f>SUM($AP41,$AQ41:BD41)-SUM($CK41:CY41)</f>
        <v>-360</v>
      </c>
      <c r="CC41" s="1">
        <f>SUM($AP41,$AQ41:BE41)-SUM($CK41:CZ41)</f>
        <v>-450</v>
      </c>
      <c r="CD41" s="1">
        <f>SUM($AP41,$AQ41:BF41)-SUM($CK41:DA41)</f>
        <v>-550</v>
      </c>
      <c r="CE41" s="1">
        <f>SUM($AP41,$AQ41:BG41)-SUM($CK41:DB41)</f>
        <v>-660</v>
      </c>
      <c r="CF41" s="1">
        <f>SUM($AP41,$AQ41:BH41)-SUM($CK41:DC41)</f>
        <v>-780</v>
      </c>
      <c r="CG41" s="1">
        <f>SUM($AP41,$AQ41:BI41)-SUM($CK41:DD41)</f>
        <v>-910</v>
      </c>
      <c r="CK41" s="1">
        <f t="array" ref="CK41">SUMPRODUCT($H41:$Y41,(TRANSPOSE(CK$2:CK$19)))</f>
        <v>0</v>
      </c>
      <c r="CL41" s="1">
        <f t="array" ref="CL41">SUMPRODUCT($H41:$Y41,(TRANSPOSE(CL$2:CL$19)))</f>
        <v>0</v>
      </c>
      <c r="CM41" s="1">
        <f t="array" ref="CM41">SUMPRODUCT($H41:$Y41,(TRANSPOSE(CM$2:CM$19)))</f>
        <v>0</v>
      </c>
      <c r="CN41" s="1">
        <f t="array" ref="CN41">SUMPRODUCT($H41:$Y41,(TRANSPOSE(CN$2:CN$19)))</f>
        <v>0</v>
      </c>
      <c r="CO41" s="1">
        <f t="array" ref="CO41">SUMPRODUCT($H41:$Y41,(TRANSPOSE(CO$2:CO$19)))</f>
        <v>0</v>
      </c>
      <c r="CP41" s="1">
        <f t="array" ref="CP41">SUMPRODUCT($H41:$Y41,(TRANSPOSE(CP$2:CP$19)))</f>
        <v>0</v>
      </c>
      <c r="CQ41" s="1">
        <f t="array" ref="CQ41">SUMPRODUCT($H41:$Y41,(TRANSPOSE(CQ$2:CQ$19)))</f>
        <v>0</v>
      </c>
      <c r="CR41" s="1">
        <f t="array" ref="CR41">SUMPRODUCT($H41:$Y41,(TRANSPOSE(CR$2:CR$19)))</f>
        <v>10</v>
      </c>
      <c r="CS41" s="1">
        <f t="array" ref="CS41">SUMPRODUCT($H41:$Y41,(TRANSPOSE(CS$2:CS$19)))</f>
        <v>20</v>
      </c>
      <c r="CT41" s="1">
        <f t="array" ref="CT41">SUMPRODUCT($H41:$Y41,(TRANSPOSE(CT$2:CT$19)))</f>
        <v>30</v>
      </c>
      <c r="CU41" s="1">
        <f t="array" ref="CU41">SUMPRODUCT($H41:$Y41,(TRANSPOSE(CU$2:CU$19)))</f>
        <v>40</v>
      </c>
      <c r="CV41" s="1">
        <f t="array" ref="CV41">SUMPRODUCT($H41:$Y41,(TRANSPOSE(CV$2:CV$19)))</f>
        <v>50</v>
      </c>
      <c r="CW41" s="1">
        <f t="array" ref="CW41">SUMPRODUCT($H41:$Y41,(TRANSPOSE(CW$2:CW$19)))</f>
        <v>60</v>
      </c>
      <c r="CX41" s="1">
        <f t="array" ref="CX41">SUMPRODUCT($H41:$Y41,(TRANSPOSE(CX$2:CX$19)))</f>
        <v>70</v>
      </c>
      <c r="CY41" s="1">
        <f t="array" ref="CY41">SUMPRODUCT($H41:$Y41,(TRANSPOSE(CY$2:CY$19)))</f>
        <v>80</v>
      </c>
      <c r="CZ41" s="1">
        <f t="array" ref="CZ41">SUMPRODUCT($H41:$Y41,(TRANSPOSE(CZ$2:CZ$19)))</f>
        <v>90</v>
      </c>
      <c r="DA41" s="1">
        <f t="array" ref="DA41">SUMPRODUCT($H41:$Y41,(TRANSPOSE(DA$2:DA$19)))</f>
        <v>100</v>
      </c>
      <c r="DB41" s="1">
        <f t="array" ref="DB41">SUMPRODUCT($H41:$Y41,(TRANSPOSE(DB$2:DB$19)))</f>
        <v>110</v>
      </c>
      <c r="DC41" s="1">
        <f t="array" ref="DC41">SUMPRODUCT($H41:$Y41,(TRANSPOSE(DC$2:DC$19)))</f>
        <v>120</v>
      </c>
      <c r="DD41" s="1">
        <f t="array" ref="DD41">SUMPRODUCT($H41:$Y41,(TRANSPOSE(DD$2:DD$19)))</f>
        <v>130</v>
      </c>
    </row>
    <row r="42" spans="1:108" ht="13.5" thickBot="1" x14ac:dyDescent="0.25">
      <c r="A42" s="1">
        <v>23</v>
      </c>
      <c r="B42" s="10" t="s">
        <v>828</v>
      </c>
      <c r="C42" s="1" t="s">
        <v>19</v>
      </c>
      <c r="D42" s="1">
        <v>410825592</v>
      </c>
      <c r="F42" s="1" t="s">
        <v>827</v>
      </c>
      <c r="G42" s="1" t="s">
        <v>20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f>SUM(H42:Y42)</f>
        <v>1</v>
      </c>
      <c r="AA42" s="1">
        <f>SUMPRODUCT(H42:Y42,$H$16:$Y$16)</f>
        <v>910</v>
      </c>
      <c r="AB42" s="19" t="s">
        <v>18</v>
      </c>
      <c r="AC42" s="1">
        <v>0</v>
      </c>
      <c r="AD42" s="9"/>
      <c r="AE42" s="1" t="s">
        <v>19</v>
      </c>
      <c r="AF42" s="1">
        <f>AC42</f>
        <v>0</v>
      </c>
      <c r="AG42" s="1">
        <v>1</v>
      </c>
      <c r="AH42" s="1">
        <v>1</v>
      </c>
      <c r="AI42" s="1" t="s">
        <v>18</v>
      </c>
      <c r="AJ42" s="1" t="s">
        <v>18</v>
      </c>
      <c r="AK42" s="1" t="s">
        <v>18</v>
      </c>
      <c r="AL42" s="1" t="s">
        <v>18</v>
      </c>
      <c r="AM42" s="1" t="s">
        <v>18</v>
      </c>
      <c r="AN42" s="2" t="s">
        <v>18</v>
      </c>
      <c r="BO42" s="1">
        <f>SUM($AP42,$AQ42:AQ42)-SUM($CK42:CL42)</f>
        <v>0</v>
      </c>
      <c r="BP42" s="1">
        <f>SUM($AP42,$AQ42:AR42)-SUM($CK42:CM42)</f>
        <v>0</v>
      </c>
      <c r="BQ42" s="1">
        <f>SUM($AP42,$AQ42:AS42)-SUM($CK42:CN42)</f>
        <v>0</v>
      </c>
      <c r="BR42" s="1">
        <f>SUM($AP42,$AQ42:AT42)-SUM($CK42:CO42)</f>
        <v>0</v>
      </c>
      <c r="BS42" s="1">
        <f>SUM($AP42,$AQ42:AU42)-SUM($CK42:CP42)</f>
        <v>0</v>
      </c>
      <c r="BT42" s="1">
        <f>SUM($AP42,$AQ42:AV42)-SUM($CK42:CQ42)</f>
        <v>-10</v>
      </c>
      <c r="BU42" s="1">
        <f>SUM($AP42,$AQ42:AW42)-SUM($CK42:CR42)</f>
        <v>-30</v>
      </c>
      <c r="BV42" s="1">
        <f>SUM($AP42,$AQ42:AX42)-SUM($CK42:CS42)</f>
        <v>-60</v>
      </c>
      <c r="BW42" s="1">
        <f>SUM($AP42,$AQ42:AY42)-SUM($CK42:CT42)</f>
        <v>-100</v>
      </c>
      <c r="BX42" s="1">
        <f>SUM($AP42,$AQ42:AZ42)-SUM($CK42:CU42)</f>
        <v>-150</v>
      </c>
      <c r="BY42" s="1">
        <f>SUM($AP42,$AQ42:BA42)-SUM($CK42:CV42)</f>
        <v>-210</v>
      </c>
      <c r="BZ42" s="1">
        <f>SUM($AP42,$AQ42:BB42)-SUM($CK42:CW42)</f>
        <v>-280</v>
      </c>
      <c r="CA42" s="1">
        <f>SUM($AP42,$AQ42:BC42)-SUM($CK42:CX42)</f>
        <v>-360</v>
      </c>
      <c r="CB42" s="1">
        <f>SUM($AP42,$AQ42:BD42)-SUM($CK42:CY42)</f>
        <v>-450</v>
      </c>
      <c r="CC42" s="1">
        <f>SUM($AP42,$AQ42:BE42)-SUM($CK42:CZ42)</f>
        <v>-550</v>
      </c>
      <c r="CD42" s="1">
        <f>SUM($AP42,$AQ42:BF42)-SUM($CK42:DA42)</f>
        <v>-660</v>
      </c>
      <c r="CE42" s="1">
        <f>SUM($AP42,$AQ42:BG42)-SUM($CK42:DB42)</f>
        <v>-780</v>
      </c>
      <c r="CF42" s="1">
        <f>SUM($AP42,$AQ42:BH42)-SUM($CK42:DC42)</f>
        <v>-910</v>
      </c>
      <c r="CG42" s="1">
        <f>SUM($AP42,$AQ42:BI42)-SUM($CK42:DD42)</f>
        <v>-910</v>
      </c>
      <c r="CK42" s="1">
        <f t="array" ref="CK42">SUMPRODUCT($H42:$Y42,(TRANSPOSE(CK$2:CK$19)))</f>
        <v>0</v>
      </c>
      <c r="CL42" s="1">
        <f t="array" ref="CL42">SUMPRODUCT($H42:$Y42,(TRANSPOSE(CL$2:CL$19)))</f>
        <v>0</v>
      </c>
      <c r="CM42" s="1">
        <f t="array" ref="CM42">SUMPRODUCT($H42:$Y42,(TRANSPOSE(CM$2:CM$19)))</f>
        <v>0</v>
      </c>
      <c r="CN42" s="1">
        <f t="array" ref="CN42">SUMPRODUCT($H42:$Y42,(TRANSPOSE(CN$2:CN$19)))</f>
        <v>0</v>
      </c>
      <c r="CO42" s="1">
        <f t="array" ref="CO42">SUMPRODUCT($H42:$Y42,(TRANSPOSE(CO$2:CO$19)))</f>
        <v>0</v>
      </c>
      <c r="CP42" s="1">
        <f t="array" ref="CP42">SUMPRODUCT($H42:$Y42,(TRANSPOSE(CP$2:CP$19)))</f>
        <v>0</v>
      </c>
      <c r="CQ42" s="1">
        <f t="array" ref="CQ42">SUMPRODUCT($H42:$Y42,(TRANSPOSE(CQ$2:CQ$19)))</f>
        <v>10</v>
      </c>
      <c r="CR42" s="1">
        <f t="array" ref="CR42">SUMPRODUCT($H42:$Y42,(TRANSPOSE(CR$2:CR$19)))</f>
        <v>20</v>
      </c>
      <c r="CS42" s="1">
        <f t="array" ref="CS42">SUMPRODUCT($H42:$Y42,(TRANSPOSE(CS$2:CS$19)))</f>
        <v>30</v>
      </c>
      <c r="CT42" s="1">
        <f t="array" ref="CT42">SUMPRODUCT($H42:$Y42,(TRANSPOSE(CT$2:CT$19)))</f>
        <v>40</v>
      </c>
      <c r="CU42" s="1">
        <f t="array" ref="CU42">SUMPRODUCT($H42:$Y42,(TRANSPOSE(CU$2:CU$19)))</f>
        <v>50</v>
      </c>
      <c r="CV42" s="1">
        <f t="array" ref="CV42">SUMPRODUCT($H42:$Y42,(TRANSPOSE(CV$2:CV$19)))</f>
        <v>60</v>
      </c>
      <c r="CW42" s="1">
        <f t="array" ref="CW42">SUMPRODUCT($H42:$Y42,(TRANSPOSE(CW$2:CW$19)))</f>
        <v>70</v>
      </c>
      <c r="CX42" s="1">
        <f t="array" ref="CX42">SUMPRODUCT($H42:$Y42,(TRANSPOSE(CX$2:CX$19)))</f>
        <v>80</v>
      </c>
      <c r="CY42" s="1">
        <f t="array" ref="CY42">SUMPRODUCT($H42:$Y42,(TRANSPOSE(CY$2:CY$19)))</f>
        <v>90</v>
      </c>
      <c r="CZ42" s="1">
        <f t="array" ref="CZ42">SUMPRODUCT($H42:$Y42,(TRANSPOSE(CZ$2:CZ$19)))</f>
        <v>100</v>
      </c>
      <c r="DA42" s="1">
        <f t="array" ref="DA42">SUMPRODUCT($H42:$Y42,(TRANSPOSE(DA$2:DA$19)))</f>
        <v>110</v>
      </c>
      <c r="DB42" s="1">
        <f t="array" ref="DB42">SUMPRODUCT($H42:$Y42,(TRANSPOSE(DB$2:DB$19)))</f>
        <v>120</v>
      </c>
      <c r="DC42" s="1">
        <f t="array" ref="DC42">SUMPRODUCT($H42:$Y42,(TRANSPOSE(DC$2:DC$19)))</f>
        <v>130</v>
      </c>
      <c r="DD42" s="1">
        <f t="array" ref="DD42">SUMPRODUCT($H42:$Y42,(TRANSPOSE(DD$2:DD$19)))</f>
        <v>0</v>
      </c>
    </row>
    <row r="43" spans="1:108" ht="13.5" thickBot="1" x14ac:dyDescent="0.25">
      <c r="A43" s="1">
        <v>24</v>
      </c>
      <c r="B43" s="10" t="s">
        <v>6</v>
      </c>
      <c r="C43" s="1">
        <v>-1</v>
      </c>
      <c r="D43" s="1">
        <v>410931169</v>
      </c>
      <c r="F43" s="1" t="s">
        <v>826</v>
      </c>
      <c r="G43" s="1" t="s">
        <v>20</v>
      </c>
      <c r="H43" s="1">
        <v>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f>SUM(H43:Y43)</f>
        <v>2</v>
      </c>
      <c r="AA43" s="1">
        <v>539</v>
      </c>
      <c r="AB43" s="19" t="s">
        <v>739</v>
      </c>
      <c r="AD43" s="9"/>
      <c r="AK43" s="1" t="s">
        <v>738</v>
      </c>
      <c r="AN43" s="2"/>
      <c r="BO43" s="1">
        <f>SUM($AP43,$AQ43:AQ43)-SUM($CK43:CL43)</f>
        <v>0</v>
      </c>
      <c r="BP43" s="1">
        <f>SUM($AP43,$AQ43:AR43)-SUM($CK43:CM43)</f>
        <v>0</v>
      </c>
      <c r="BQ43" s="1">
        <f>SUM($AP43,$AQ43:AS43)-SUM($CK43:CN43)</f>
        <v>0</v>
      </c>
      <c r="BR43" s="1">
        <f>SUM($AP43,$AQ43:AT43)-SUM($CK43:CO43)</f>
        <v>0</v>
      </c>
      <c r="BS43" s="1">
        <f>SUM($AP43,$AQ43:AU43)-SUM($CK43:CP43)</f>
        <v>0</v>
      </c>
      <c r="BT43" s="1">
        <f>SUM($AP43,$AQ43:AV43)-SUM($CK43:CQ43)</f>
        <v>0</v>
      </c>
      <c r="BU43" s="1">
        <f>SUM($AP43,$AQ43:AW43)-SUM($CK43:CR43)</f>
        <v>-20</v>
      </c>
      <c r="BV43" s="1">
        <f>SUM($AP43,$AQ43:AX43)-SUM($CK43:CS43)</f>
        <v>-60</v>
      </c>
      <c r="BW43" s="1">
        <f>SUM($AP43,$AQ43:AY43)-SUM($CK43:CT43)</f>
        <v>-120</v>
      </c>
      <c r="BX43" s="1">
        <f>SUM($AP43,$AQ43:AZ43)-SUM($CK43:CU43)</f>
        <v>-200</v>
      </c>
      <c r="BY43" s="1">
        <f>SUM($AP43,$AQ43:BA43)-SUM($CK43:CV43)</f>
        <v>-300</v>
      </c>
      <c r="BZ43" s="1">
        <f>SUM($AP43,$AQ43:BB43)-SUM($CK43:CW43)</f>
        <v>-420</v>
      </c>
      <c r="CA43" s="1">
        <f>SUM($AP43,$AQ43:BC43)-SUM($CK43:CX43)</f>
        <v>-560</v>
      </c>
      <c r="CB43" s="1">
        <f>SUM($AP43,$AQ43:BD43)-SUM($CK43:CY43)</f>
        <v>-720</v>
      </c>
      <c r="CC43" s="1">
        <f>SUM($AP43,$AQ43:BE43)-SUM($CK43:CZ43)</f>
        <v>-900</v>
      </c>
      <c r="CD43" s="1">
        <f>SUM($AP43,$AQ43:BF43)-SUM($CK43:DA43)</f>
        <v>-1100</v>
      </c>
      <c r="CE43" s="1">
        <f>SUM($AP43,$AQ43:BG43)-SUM($CK43:DB43)</f>
        <v>-1320</v>
      </c>
      <c r="CF43" s="1">
        <f>SUM($AP43,$AQ43:BH43)-SUM($CK43:DC43)</f>
        <v>-1560</v>
      </c>
      <c r="CG43" s="1">
        <f>SUM($AP43,$AQ43:BI43)-SUM($CK43:DD43)</f>
        <v>-1820</v>
      </c>
      <c r="CK43" s="1">
        <f t="array" ref="CK43">SUMPRODUCT($H43:$Y43,(TRANSPOSE(CK$2:CK$19)))</f>
        <v>0</v>
      </c>
      <c r="CL43" s="1">
        <f t="array" ref="CL43">SUMPRODUCT($H43:$Y43,(TRANSPOSE(CL$2:CL$19)))</f>
        <v>0</v>
      </c>
      <c r="CM43" s="1">
        <f t="array" ref="CM43">SUMPRODUCT($H43:$Y43,(TRANSPOSE(CM$2:CM$19)))</f>
        <v>0</v>
      </c>
      <c r="CN43" s="1">
        <f t="array" ref="CN43">SUMPRODUCT($H43:$Y43,(TRANSPOSE(CN$2:CN$19)))</f>
        <v>0</v>
      </c>
      <c r="CO43" s="1">
        <f t="array" ref="CO43">SUMPRODUCT($H43:$Y43,(TRANSPOSE(CO$2:CO$19)))</f>
        <v>0</v>
      </c>
      <c r="CP43" s="1">
        <f t="array" ref="CP43">SUMPRODUCT($H43:$Y43,(TRANSPOSE(CP$2:CP$19)))</f>
        <v>0</v>
      </c>
      <c r="CQ43" s="1">
        <f t="array" ref="CQ43">SUMPRODUCT($H43:$Y43,(TRANSPOSE(CQ$2:CQ$19)))</f>
        <v>0</v>
      </c>
      <c r="CR43" s="1">
        <f t="array" ref="CR43">SUMPRODUCT($H43:$Y43,(TRANSPOSE(CR$2:CR$19)))</f>
        <v>20</v>
      </c>
      <c r="CS43" s="1">
        <f t="array" ref="CS43">SUMPRODUCT($H43:$Y43,(TRANSPOSE(CS$2:CS$19)))</f>
        <v>40</v>
      </c>
      <c r="CT43" s="1">
        <f t="array" ref="CT43">SUMPRODUCT($H43:$Y43,(TRANSPOSE(CT$2:CT$19)))</f>
        <v>60</v>
      </c>
      <c r="CU43" s="1">
        <f t="array" ref="CU43">SUMPRODUCT($H43:$Y43,(TRANSPOSE(CU$2:CU$19)))</f>
        <v>80</v>
      </c>
      <c r="CV43" s="1">
        <f t="array" ref="CV43">SUMPRODUCT($H43:$Y43,(TRANSPOSE(CV$2:CV$19)))</f>
        <v>100</v>
      </c>
      <c r="CW43" s="1">
        <f t="array" ref="CW43">SUMPRODUCT($H43:$Y43,(TRANSPOSE(CW$2:CW$19)))</f>
        <v>120</v>
      </c>
      <c r="CX43" s="1">
        <f t="array" ref="CX43">SUMPRODUCT($H43:$Y43,(TRANSPOSE(CX$2:CX$19)))</f>
        <v>140</v>
      </c>
      <c r="CY43" s="1">
        <f t="array" ref="CY43">SUMPRODUCT($H43:$Y43,(TRANSPOSE(CY$2:CY$19)))</f>
        <v>160</v>
      </c>
      <c r="CZ43" s="1">
        <f t="array" ref="CZ43">SUMPRODUCT($H43:$Y43,(TRANSPOSE(CZ$2:CZ$19)))</f>
        <v>180</v>
      </c>
      <c r="DA43" s="1">
        <f t="array" ref="DA43">SUMPRODUCT($H43:$Y43,(TRANSPOSE(DA$2:DA$19)))</f>
        <v>200</v>
      </c>
      <c r="DB43" s="1">
        <f t="array" ref="DB43">SUMPRODUCT($H43:$Y43,(TRANSPOSE(DB$2:DB$19)))</f>
        <v>220</v>
      </c>
      <c r="DC43" s="1">
        <f t="array" ref="DC43">SUMPRODUCT($H43:$Y43,(TRANSPOSE(DC$2:DC$19)))</f>
        <v>240</v>
      </c>
      <c r="DD43" s="1">
        <f t="array" ref="DD43">SUMPRODUCT($H43:$Y43,(TRANSPOSE(DD$2:DD$19)))</f>
        <v>260</v>
      </c>
    </row>
    <row r="44" spans="1:108" ht="13.5" thickBot="1" x14ac:dyDescent="0.25">
      <c r="A44" s="1">
        <v>25</v>
      </c>
      <c r="B44" s="10" t="s">
        <v>825</v>
      </c>
      <c r="C44" s="1" t="s">
        <v>19</v>
      </c>
      <c r="D44" s="1">
        <v>411164868</v>
      </c>
      <c r="F44" s="1" t="s">
        <v>824</v>
      </c>
      <c r="G44" s="1" t="s">
        <v>20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f>SUM(H44:Y44)</f>
        <v>2</v>
      </c>
      <c r="AA44" s="1">
        <f>SUMPRODUCT(H44:Y44,$H$16:$Y$16)+28</f>
        <v>1848</v>
      </c>
      <c r="AB44" s="19" t="s">
        <v>18</v>
      </c>
      <c r="AD44" s="9"/>
      <c r="AF44" s="1">
        <f>AC44</f>
        <v>0</v>
      </c>
      <c r="AG44" s="1">
        <v>1</v>
      </c>
      <c r="AH44" s="1">
        <v>1</v>
      </c>
      <c r="AI44" s="1" t="s">
        <v>18</v>
      </c>
      <c r="AJ44" s="1" t="s">
        <v>18</v>
      </c>
      <c r="AK44" s="1" t="s">
        <v>18</v>
      </c>
      <c r="AL44" s="1" t="s">
        <v>18</v>
      </c>
      <c r="AM44" s="1" t="s">
        <v>18</v>
      </c>
      <c r="AN44" s="2" t="s">
        <v>18</v>
      </c>
      <c r="BO44" s="1">
        <f>SUM($AP44,$AQ44:AQ44)-SUM($CK44:CL44)</f>
        <v>0</v>
      </c>
      <c r="BP44" s="1">
        <f>SUM($AP44,$AQ44:AR44)-SUM($CK44:CM44)</f>
        <v>0</v>
      </c>
      <c r="BQ44" s="1">
        <f>SUM($AP44,$AQ44:AS44)-SUM($CK44:CN44)</f>
        <v>0</v>
      </c>
      <c r="BR44" s="1">
        <f>SUM($AP44,$AQ44:AT44)-SUM($CK44:CO44)</f>
        <v>0</v>
      </c>
      <c r="BS44" s="1">
        <f>SUM($AP44,$AQ44:AU44)-SUM($CK44:CP44)</f>
        <v>0</v>
      </c>
      <c r="BT44" s="1">
        <f>SUM($AP44,$AQ44:AV44)-SUM($CK44:CQ44)</f>
        <v>-20</v>
      </c>
      <c r="BU44" s="1">
        <f>SUM($AP44,$AQ44:AW44)-SUM($CK44:CR44)</f>
        <v>-60</v>
      </c>
      <c r="BV44" s="1">
        <f>SUM($AP44,$AQ44:AX44)-SUM($CK44:CS44)</f>
        <v>-120</v>
      </c>
      <c r="BW44" s="1">
        <f>SUM($AP44,$AQ44:AY44)-SUM($CK44:CT44)</f>
        <v>-200</v>
      </c>
      <c r="BX44" s="1">
        <f>SUM($AP44,$AQ44:AZ44)-SUM($CK44:CU44)</f>
        <v>-300</v>
      </c>
      <c r="BY44" s="1">
        <f>SUM($AP44,$AQ44:BA44)-SUM($CK44:CV44)</f>
        <v>-420</v>
      </c>
      <c r="BZ44" s="1">
        <f>SUM($AP44,$AQ44:BB44)-SUM($CK44:CW44)</f>
        <v>-560</v>
      </c>
      <c r="CA44" s="1">
        <f>SUM($AP44,$AQ44:BC44)-SUM($CK44:CX44)</f>
        <v>-720</v>
      </c>
      <c r="CB44" s="1">
        <f>SUM($AP44,$AQ44:BD44)-SUM($CK44:CY44)</f>
        <v>-900</v>
      </c>
      <c r="CC44" s="1">
        <f>SUM($AP44,$AQ44:BE44)-SUM($CK44:CZ44)</f>
        <v>-1100</v>
      </c>
      <c r="CD44" s="1">
        <f>SUM($AP44,$AQ44:BF44)-SUM($CK44:DA44)</f>
        <v>-1320</v>
      </c>
      <c r="CE44" s="1">
        <f>SUM($AP44,$AQ44:BG44)-SUM($CK44:DB44)</f>
        <v>-1560</v>
      </c>
      <c r="CF44" s="1">
        <f>SUM($AP44,$AQ44:BH44)-SUM($CK44:DC44)</f>
        <v>-1820</v>
      </c>
      <c r="CG44" s="1">
        <f>SUM($AP44,$AQ44:BI44)-SUM($CK44:DD44)</f>
        <v>-1820</v>
      </c>
      <c r="CK44" s="1">
        <f t="array" ref="CK44">SUMPRODUCT($H44:$Y44,(TRANSPOSE(CK$2:CK$19)))</f>
        <v>0</v>
      </c>
      <c r="CL44" s="1">
        <f t="array" ref="CL44">SUMPRODUCT($H44:$Y44,(TRANSPOSE(CL$2:CL$19)))</f>
        <v>0</v>
      </c>
      <c r="CM44" s="1">
        <f t="array" ref="CM44">SUMPRODUCT($H44:$Y44,(TRANSPOSE(CM$2:CM$19)))</f>
        <v>0</v>
      </c>
      <c r="CN44" s="1">
        <f t="array" ref="CN44">SUMPRODUCT($H44:$Y44,(TRANSPOSE(CN$2:CN$19)))</f>
        <v>0</v>
      </c>
      <c r="CO44" s="1">
        <f t="array" ref="CO44">SUMPRODUCT($H44:$Y44,(TRANSPOSE(CO$2:CO$19)))</f>
        <v>0</v>
      </c>
      <c r="CP44" s="1">
        <f t="array" ref="CP44">SUMPRODUCT($H44:$Y44,(TRANSPOSE(CP$2:CP$19)))</f>
        <v>0</v>
      </c>
      <c r="CQ44" s="1">
        <f t="array" ref="CQ44">SUMPRODUCT($H44:$Y44,(TRANSPOSE(CQ$2:CQ$19)))</f>
        <v>20</v>
      </c>
      <c r="CR44" s="1">
        <f t="array" ref="CR44">SUMPRODUCT($H44:$Y44,(TRANSPOSE(CR$2:CR$19)))</f>
        <v>40</v>
      </c>
      <c r="CS44" s="1">
        <f t="array" ref="CS44">SUMPRODUCT($H44:$Y44,(TRANSPOSE(CS$2:CS$19)))</f>
        <v>60</v>
      </c>
      <c r="CT44" s="1">
        <f t="array" ref="CT44">SUMPRODUCT($H44:$Y44,(TRANSPOSE(CT$2:CT$19)))</f>
        <v>80</v>
      </c>
      <c r="CU44" s="1">
        <f t="array" ref="CU44">SUMPRODUCT($H44:$Y44,(TRANSPOSE(CU$2:CU$19)))</f>
        <v>100</v>
      </c>
      <c r="CV44" s="1">
        <f t="array" ref="CV44">SUMPRODUCT($H44:$Y44,(TRANSPOSE(CV$2:CV$19)))</f>
        <v>120</v>
      </c>
      <c r="CW44" s="1">
        <f t="array" ref="CW44">SUMPRODUCT($H44:$Y44,(TRANSPOSE(CW$2:CW$19)))</f>
        <v>140</v>
      </c>
      <c r="CX44" s="1">
        <f t="array" ref="CX44">SUMPRODUCT($H44:$Y44,(TRANSPOSE(CX$2:CX$19)))</f>
        <v>160</v>
      </c>
      <c r="CY44" s="1">
        <f t="array" ref="CY44">SUMPRODUCT($H44:$Y44,(TRANSPOSE(CY$2:CY$19)))</f>
        <v>180</v>
      </c>
      <c r="CZ44" s="1">
        <f t="array" ref="CZ44">SUMPRODUCT($H44:$Y44,(TRANSPOSE(CZ$2:CZ$19)))</f>
        <v>200</v>
      </c>
      <c r="DA44" s="1">
        <f t="array" ref="DA44">SUMPRODUCT($H44:$Y44,(TRANSPOSE(DA$2:DA$19)))</f>
        <v>220</v>
      </c>
      <c r="DB44" s="1">
        <f t="array" ref="DB44">SUMPRODUCT($H44:$Y44,(TRANSPOSE(DB$2:DB$19)))</f>
        <v>240</v>
      </c>
      <c r="DC44" s="1">
        <f t="array" ref="DC44">SUMPRODUCT($H44:$Y44,(TRANSPOSE(DC$2:DC$19)))</f>
        <v>260</v>
      </c>
      <c r="DD44" s="1">
        <f t="array" ref="DD44">SUMPRODUCT($H44:$Y44,(TRANSPOSE(DD$2:DD$19)))</f>
        <v>0</v>
      </c>
    </row>
    <row r="45" spans="1:108" ht="13.5" thickBot="1" x14ac:dyDescent="0.25">
      <c r="A45" s="1">
        <v>26</v>
      </c>
      <c r="B45" s="10" t="s">
        <v>3</v>
      </c>
      <c r="C45" s="1">
        <v>-2</v>
      </c>
      <c r="D45" s="1">
        <v>403129136</v>
      </c>
      <c r="F45" s="1" t="s">
        <v>823</v>
      </c>
      <c r="G45" s="1" t="s">
        <v>20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f>SUM(H45:Y45)</f>
        <v>2</v>
      </c>
      <c r="AA45" s="1">
        <v>528</v>
      </c>
      <c r="AB45" s="19" t="s">
        <v>739</v>
      </c>
      <c r="AD45" s="9"/>
      <c r="AK45" s="1" t="s">
        <v>738</v>
      </c>
      <c r="AN45" s="2"/>
      <c r="BO45" s="1">
        <f>SUM($AP45,$AQ45:AQ45)-SUM($CK45:CL45)</f>
        <v>0</v>
      </c>
      <c r="BP45" s="1">
        <f>SUM($AP45,$AQ45:AR45)-SUM($CK45:CM45)</f>
        <v>0</v>
      </c>
      <c r="BQ45" s="1">
        <f>SUM($AP45,$AQ45:AS45)-SUM($CK45:CN45)</f>
        <v>0</v>
      </c>
      <c r="BR45" s="1">
        <f>SUM($AP45,$AQ45:AT45)-SUM($CK45:CO45)</f>
        <v>0</v>
      </c>
      <c r="BS45" s="1">
        <f>SUM($AP45,$AQ45:AU45)-SUM($CK45:CP45)</f>
        <v>0</v>
      </c>
      <c r="BT45" s="1">
        <f>SUM($AP45,$AQ45:AV45)-SUM($CK45:CQ45)</f>
        <v>0</v>
      </c>
      <c r="BU45" s="1">
        <f>SUM($AP45,$AQ45:AW45)-SUM($CK45:CR45)</f>
        <v>-20</v>
      </c>
      <c r="BV45" s="1">
        <f>SUM($AP45,$AQ45:AX45)-SUM($CK45:CS45)</f>
        <v>-60</v>
      </c>
      <c r="BW45" s="1">
        <f>SUM($AP45,$AQ45:AY45)-SUM($CK45:CT45)</f>
        <v>-120</v>
      </c>
      <c r="BX45" s="1">
        <f>SUM($AP45,$AQ45:AZ45)-SUM($CK45:CU45)</f>
        <v>-200</v>
      </c>
      <c r="BY45" s="1">
        <f>SUM($AP45,$AQ45:BA45)-SUM($CK45:CV45)</f>
        <v>-300</v>
      </c>
      <c r="BZ45" s="1">
        <f>SUM($AP45,$AQ45:BB45)-SUM($CK45:CW45)</f>
        <v>-420</v>
      </c>
      <c r="CA45" s="1">
        <f>SUM($AP45,$AQ45:BC45)-SUM($CK45:CX45)</f>
        <v>-560</v>
      </c>
      <c r="CB45" s="1">
        <f>SUM($AP45,$AQ45:BD45)-SUM($CK45:CY45)</f>
        <v>-720</v>
      </c>
      <c r="CC45" s="1">
        <f>SUM($AP45,$AQ45:BE45)-SUM($CK45:CZ45)</f>
        <v>-900</v>
      </c>
      <c r="CD45" s="1">
        <f>SUM($AP45,$AQ45:BF45)-SUM($CK45:DA45)</f>
        <v>-1100</v>
      </c>
      <c r="CE45" s="1">
        <f>SUM($AP45,$AQ45:BG45)-SUM($CK45:DB45)</f>
        <v>-1320</v>
      </c>
      <c r="CF45" s="1">
        <f>SUM($AP45,$AQ45:BH45)-SUM($CK45:DC45)</f>
        <v>-1560</v>
      </c>
      <c r="CG45" s="1">
        <f>SUM($AP45,$AQ45:BI45)-SUM($CK45:DD45)</f>
        <v>-1820</v>
      </c>
      <c r="CK45" s="1">
        <f t="array" ref="CK45">SUMPRODUCT($H45:$Y45,(TRANSPOSE(CK$2:CK$19)))</f>
        <v>0</v>
      </c>
      <c r="CL45" s="1">
        <f t="array" ref="CL45">SUMPRODUCT($H45:$Y45,(TRANSPOSE(CL$2:CL$19)))</f>
        <v>0</v>
      </c>
      <c r="CM45" s="1">
        <f t="array" ref="CM45">SUMPRODUCT($H45:$Y45,(TRANSPOSE(CM$2:CM$19)))</f>
        <v>0</v>
      </c>
      <c r="CN45" s="1">
        <f t="array" ref="CN45">SUMPRODUCT($H45:$Y45,(TRANSPOSE(CN$2:CN$19)))</f>
        <v>0</v>
      </c>
      <c r="CO45" s="1">
        <f t="array" ref="CO45">SUMPRODUCT($H45:$Y45,(TRANSPOSE(CO$2:CO$19)))</f>
        <v>0</v>
      </c>
      <c r="CP45" s="1">
        <f t="array" ref="CP45">SUMPRODUCT($H45:$Y45,(TRANSPOSE(CP$2:CP$19)))</f>
        <v>0</v>
      </c>
      <c r="CQ45" s="1">
        <f t="array" ref="CQ45">SUMPRODUCT($H45:$Y45,(TRANSPOSE(CQ$2:CQ$19)))</f>
        <v>0</v>
      </c>
      <c r="CR45" s="1">
        <f t="array" ref="CR45">SUMPRODUCT($H45:$Y45,(TRANSPOSE(CR$2:CR$19)))</f>
        <v>20</v>
      </c>
      <c r="CS45" s="1">
        <f t="array" ref="CS45">SUMPRODUCT($H45:$Y45,(TRANSPOSE(CS$2:CS$19)))</f>
        <v>40</v>
      </c>
      <c r="CT45" s="1">
        <f t="array" ref="CT45">SUMPRODUCT($H45:$Y45,(TRANSPOSE(CT$2:CT$19)))</f>
        <v>60</v>
      </c>
      <c r="CU45" s="1">
        <f t="array" ref="CU45">SUMPRODUCT($H45:$Y45,(TRANSPOSE(CU$2:CU$19)))</f>
        <v>80</v>
      </c>
      <c r="CV45" s="1">
        <f t="array" ref="CV45">SUMPRODUCT($H45:$Y45,(TRANSPOSE(CV$2:CV$19)))</f>
        <v>100</v>
      </c>
      <c r="CW45" s="1">
        <f t="array" ref="CW45">SUMPRODUCT($H45:$Y45,(TRANSPOSE(CW$2:CW$19)))</f>
        <v>120</v>
      </c>
      <c r="CX45" s="1">
        <f t="array" ref="CX45">SUMPRODUCT($H45:$Y45,(TRANSPOSE(CX$2:CX$19)))</f>
        <v>140</v>
      </c>
      <c r="CY45" s="1">
        <f t="array" ref="CY45">SUMPRODUCT($H45:$Y45,(TRANSPOSE(CY$2:CY$19)))</f>
        <v>160</v>
      </c>
      <c r="CZ45" s="1">
        <f t="array" ref="CZ45">SUMPRODUCT($H45:$Y45,(TRANSPOSE(CZ$2:CZ$19)))</f>
        <v>180</v>
      </c>
      <c r="DA45" s="1">
        <f t="array" ref="DA45">SUMPRODUCT($H45:$Y45,(TRANSPOSE(DA$2:DA$19)))</f>
        <v>200</v>
      </c>
      <c r="DB45" s="1">
        <f t="array" ref="DB45">SUMPRODUCT($H45:$Y45,(TRANSPOSE(DB$2:DB$19)))</f>
        <v>220</v>
      </c>
      <c r="DC45" s="1">
        <f t="array" ref="DC45">SUMPRODUCT($H45:$Y45,(TRANSPOSE(DC$2:DC$19)))</f>
        <v>240</v>
      </c>
      <c r="DD45" s="1">
        <f t="array" ref="DD45">SUMPRODUCT($H45:$Y45,(TRANSPOSE(DD$2:DD$19)))</f>
        <v>260</v>
      </c>
    </row>
    <row r="46" spans="1:108" ht="13.5" thickBot="1" x14ac:dyDescent="0.25">
      <c r="A46" s="1">
        <v>27</v>
      </c>
      <c r="B46" s="12" t="s">
        <v>822</v>
      </c>
      <c r="C46" s="1" t="s">
        <v>19</v>
      </c>
      <c r="D46" s="1">
        <v>411031349</v>
      </c>
      <c r="F46" s="1" t="s">
        <v>821</v>
      </c>
      <c r="G46" s="1" t="s">
        <v>20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2</v>
      </c>
      <c r="S46" s="1">
        <v>0</v>
      </c>
      <c r="T46" s="1">
        <v>0</v>
      </c>
      <c r="U46" s="1">
        <v>0</v>
      </c>
      <c r="V46" s="1">
        <v>2</v>
      </c>
      <c r="W46" s="1">
        <v>0</v>
      </c>
      <c r="X46" s="1">
        <v>0</v>
      </c>
      <c r="Y46" s="1">
        <v>0</v>
      </c>
      <c r="Z46" s="1">
        <f>SUM(H46:Y46)</f>
        <v>4</v>
      </c>
      <c r="AA46" s="1">
        <f>SUMPRODUCT(H46:Y46,$H$16:$Y$16)</f>
        <v>3640</v>
      </c>
      <c r="AB46" s="19" t="s">
        <v>733</v>
      </c>
      <c r="AC46" s="14"/>
      <c r="AD46" s="9"/>
      <c r="AF46" s="14"/>
      <c r="AN46" s="2"/>
      <c r="BO46" s="1">
        <f>SUM($AP46,$AQ46:AQ46)-SUM($CK46:CL46)</f>
        <v>0</v>
      </c>
      <c r="BP46" s="1">
        <f>SUM($AP46,$AQ46:AR46)-SUM($CK46:CM46)</f>
        <v>0</v>
      </c>
      <c r="BQ46" s="1">
        <f>SUM($AP46,$AQ46:AS46)-SUM($CK46:CN46)</f>
        <v>0</v>
      </c>
      <c r="BR46" s="1">
        <f>SUM($AP46,$AQ46:AT46)-SUM($CK46:CO46)</f>
        <v>0</v>
      </c>
      <c r="BS46" s="1">
        <f>SUM($AP46,$AQ46:AU46)-SUM($CK46:CP46)</f>
        <v>0</v>
      </c>
      <c r="BT46" s="1">
        <f>SUM($AP46,$AQ46:AV46)-SUM($CK46:CQ46)</f>
        <v>-40</v>
      </c>
      <c r="BU46" s="1">
        <f>SUM($AP46,$AQ46:AW46)-SUM($CK46:CR46)</f>
        <v>-120</v>
      </c>
      <c r="BV46" s="1">
        <f>SUM($AP46,$AQ46:AX46)-SUM($CK46:CS46)</f>
        <v>-240</v>
      </c>
      <c r="BW46" s="1">
        <f>SUM($AP46,$AQ46:AY46)-SUM($CK46:CT46)</f>
        <v>-400</v>
      </c>
      <c r="BX46" s="1">
        <f>SUM($AP46,$AQ46:AZ46)-SUM($CK46:CU46)</f>
        <v>-600</v>
      </c>
      <c r="BY46" s="1">
        <f>SUM($AP46,$AQ46:BA46)-SUM($CK46:CV46)</f>
        <v>-840</v>
      </c>
      <c r="BZ46" s="1">
        <f>SUM($AP46,$AQ46:BB46)-SUM($CK46:CW46)</f>
        <v>-1120</v>
      </c>
      <c r="CA46" s="1">
        <f>SUM($AP46,$AQ46:BC46)-SUM($CK46:CX46)</f>
        <v>-1440</v>
      </c>
      <c r="CB46" s="1">
        <f>SUM($AP46,$AQ46:BD46)-SUM($CK46:CY46)</f>
        <v>-1800</v>
      </c>
      <c r="CC46" s="1">
        <f>SUM($AP46,$AQ46:BE46)-SUM($CK46:CZ46)</f>
        <v>-2200</v>
      </c>
      <c r="CD46" s="1">
        <f>SUM($AP46,$AQ46:BF46)-SUM($CK46:DA46)</f>
        <v>-2640</v>
      </c>
      <c r="CE46" s="1">
        <f>SUM($AP46,$AQ46:BG46)-SUM($CK46:DB46)</f>
        <v>-3120</v>
      </c>
      <c r="CF46" s="1">
        <f>SUM($AP46,$AQ46:BH46)-SUM($CK46:DC46)</f>
        <v>-3640</v>
      </c>
      <c r="CG46" s="1">
        <f>SUM($AP46,$AQ46:BI46)-SUM($CK46:DD46)</f>
        <v>-3640</v>
      </c>
      <c r="CK46" s="1">
        <f t="array" ref="CK46">SUMPRODUCT($H46:$Y46,(TRANSPOSE(CK$2:CK$19)))</f>
        <v>0</v>
      </c>
      <c r="CL46" s="1">
        <f t="array" ref="CL46">SUMPRODUCT($H46:$Y46,(TRANSPOSE(CL$2:CL$19)))</f>
        <v>0</v>
      </c>
      <c r="CM46" s="1">
        <f t="array" ref="CM46">SUMPRODUCT($H46:$Y46,(TRANSPOSE(CM$2:CM$19)))</f>
        <v>0</v>
      </c>
      <c r="CN46" s="1">
        <f t="array" ref="CN46">SUMPRODUCT($H46:$Y46,(TRANSPOSE(CN$2:CN$19)))</f>
        <v>0</v>
      </c>
      <c r="CO46" s="1">
        <f t="array" ref="CO46">SUMPRODUCT($H46:$Y46,(TRANSPOSE(CO$2:CO$19)))</f>
        <v>0</v>
      </c>
      <c r="CP46" s="1">
        <f t="array" ref="CP46">SUMPRODUCT($H46:$Y46,(TRANSPOSE(CP$2:CP$19)))</f>
        <v>0</v>
      </c>
      <c r="CQ46" s="1">
        <f t="array" ref="CQ46">SUMPRODUCT($H46:$Y46,(TRANSPOSE(CQ$2:CQ$19)))</f>
        <v>40</v>
      </c>
      <c r="CR46" s="1">
        <f t="array" ref="CR46">SUMPRODUCT($H46:$Y46,(TRANSPOSE(CR$2:CR$19)))</f>
        <v>80</v>
      </c>
      <c r="CS46" s="1">
        <f t="array" ref="CS46">SUMPRODUCT($H46:$Y46,(TRANSPOSE(CS$2:CS$19)))</f>
        <v>120</v>
      </c>
      <c r="CT46" s="1">
        <f t="array" ref="CT46">SUMPRODUCT($H46:$Y46,(TRANSPOSE(CT$2:CT$19)))</f>
        <v>160</v>
      </c>
      <c r="CU46" s="1">
        <f t="array" ref="CU46">SUMPRODUCT($H46:$Y46,(TRANSPOSE(CU$2:CU$19)))</f>
        <v>200</v>
      </c>
      <c r="CV46" s="1">
        <f t="array" ref="CV46">SUMPRODUCT($H46:$Y46,(TRANSPOSE(CV$2:CV$19)))</f>
        <v>240</v>
      </c>
      <c r="CW46" s="1">
        <f t="array" ref="CW46">SUMPRODUCT($H46:$Y46,(TRANSPOSE(CW$2:CW$19)))</f>
        <v>280</v>
      </c>
      <c r="CX46" s="1">
        <f t="array" ref="CX46">SUMPRODUCT($H46:$Y46,(TRANSPOSE(CX$2:CX$19)))</f>
        <v>320</v>
      </c>
      <c r="CY46" s="1">
        <f t="array" ref="CY46">SUMPRODUCT($H46:$Y46,(TRANSPOSE(CY$2:CY$19)))</f>
        <v>360</v>
      </c>
      <c r="CZ46" s="1">
        <f t="array" ref="CZ46">SUMPRODUCT($H46:$Y46,(TRANSPOSE(CZ$2:CZ$19)))</f>
        <v>400</v>
      </c>
      <c r="DA46" s="1">
        <f t="array" ref="DA46">SUMPRODUCT($H46:$Y46,(TRANSPOSE(DA$2:DA$19)))</f>
        <v>440</v>
      </c>
      <c r="DB46" s="1">
        <f t="array" ref="DB46">SUMPRODUCT($H46:$Y46,(TRANSPOSE(DB$2:DB$19)))</f>
        <v>480</v>
      </c>
      <c r="DC46" s="1">
        <f t="array" ref="DC46">SUMPRODUCT($H46:$Y46,(TRANSPOSE(DC$2:DC$19)))</f>
        <v>520</v>
      </c>
      <c r="DD46" s="1">
        <f t="array" ref="DD46">SUMPRODUCT($H46:$Y46,(TRANSPOSE(DD$2:DD$19)))</f>
        <v>0</v>
      </c>
    </row>
    <row r="47" spans="1:108" ht="13.5" thickBot="1" x14ac:dyDescent="0.25">
      <c r="A47" s="1">
        <v>28</v>
      </c>
      <c r="B47" s="10" t="s">
        <v>820</v>
      </c>
      <c r="C47" s="1" t="s">
        <v>19</v>
      </c>
      <c r="D47" s="1">
        <v>411135500</v>
      </c>
      <c r="F47" s="1" t="s">
        <v>819</v>
      </c>
      <c r="G47" s="1" t="s">
        <v>20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2</v>
      </c>
      <c r="W47" s="1">
        <v>0</v>
      </c>
      <c r="X47" s="1">
        <v>0</v>
      </c>
      <c r="Y47" s="1">
        <v>0</v>
      </c>
      <c r="Z47" s="1">
        <f>SUM(H47:Y47)</f>
        <v>2</v>
      </c>
      <c r="AA47" s="1">
        <f>SUMPRODUCT(H47:Y47,$H$16:$Y$16)+28</f>
        <v>1848</v>
      </c>
      <c r="AB47" s="19" t="s">
        <v>18</v>
      </c>
      <c r="AD47" s="9"/>
      <c r="AF47" s="1">
        <f>AC47</f>
        <v>0</v>
      </c>
      <c r="AG47" s="1">
        <v>1</v>
      </c>
      <c r="AH47" s="1">
        <v>1</v>
      </c>
      <c r="AI47" s="1" t="s">
        <v>18</v>
      </c>
      <c r="AJ47" s="1" t="s">
        <v>18</v>
      </c>
      <c r="AK47" s="1" t="s">
        <v>18</v>
      </c>
      <c r="AL47" s="1" t="s">
        <v>18</v>
      </c>
      <c r="AM47" s="1" t="s">
        <v>18</v>
      </c>
      <c r="AN47" s="2" t="s">
        <v>18</v>
      </c>
      <c r="BO47" s="1">
        <f>SUM($AP47,$AQ47:AQ47)-SUM($CK47:CL47)</f>
        <v>0</v>
      </c>
      <c r="BP47" s="1">
        <f>SUM($AP47,$AQ47:AR47)-SUM($CK47:CM47)</f>
        <v>0</v>
      </c>
      <c r="BQ47" s="1">
        <f>SUM($AP47,$AQ47:AS47)-SUM($CK47:CN47)</f>
        <v>0</v>
      </c>
      <c r="BR47" s="1">
        <f>SUM($AP47,$AQ47:AT47)-SUM($CK47:CO47)</f>
        <v>0</v>
      </c>
      <c r="BS47" s="1">
        <f>SUM($AP47,$AQ47:AU47)-SUM($CK47:CP47)</f>
        <v>0</v>
      </c>
      <c r="BT47" s="1">
        <f>SUM($AP47,$AQ47:AV47)-SUM($CK47:CQ47)</f>
        <v>-20</v>
      </c>
      <c r="BU47" s="1">
        <f>SUM($AP47,$AQ47:AW47)-SUM($CK47:CR47)</f>
        <v>-60</v>
      </c>
      <c r="BV47" s="1">
        <f>SUM($AP47,$AQ47:AX47)-SUM($CK47:CS47)</f>
        <v>-120</v>
      </c>
      <c r="BW47" s="1">
        <f>SUM($AP47,$AQ47:AY47)-SUM($CK47:CT47)</f>
        <v>-200</v>
      </c>
      <c r="BX47" s="1">
        <f>SUM($AP47,$AQ47:AZ47)-SUM($CK47:CU47)</f>
        <v>-300</v>
      </c>
      <c r="BY47" s="1">
        <f>SUM($AP47,$AQ47:BA47)-SUM($CK47:CV47)</f>
        <v>-420</v>
      </c>
      <c r="BZ47" s="1">
        <f>SUM($AP47,$AQ47:BB47)-SUM($CK47:CW47)</f>
        <v>-560</v>
      </c>
      <c r="CA47" s="1">
        <f>SUM($AP47,$AQ47:BC47)-SUM($CK47:CX47)</f>
        <v>-720</v>
      </c>
      <c r="CB47" s="1">
        <f>SUM($AP47,$AQ47:BD47)-SUM($CK47:CY47)</f>
        <v>-900</v>
      </c>
      <c r="CC47" s="1">
        <f>SUM($AP47,$AQ47:BE47)-SUM($CK47:CZ47)</f>
        <v>-1100</v>
      </c>
      <c r="CD47" s="1">
        <f>SUM($AP47,$AQ47:BF47)-SUM($CK47:DA47)</f>
        <v>-1320</v>
      </c>
      <c r="CE47" s="1">
        <f>SUM($AP47,$AQ47:BG47)-SUM($CK47:DB47)</f>
        <v>-1560</v>
      </c>
      <c r="CF47" s="1">
        <f>SUM($AP47,$AQ47:BH47)-SUM($CK47:DC47)</f>
        <v>-1820</v>
      </c>
      <c r="CG47" s="1">
        <f>SUM($AP47,$AQ47:BI47)-SUM($CK47:DD47)</f>
        <v>-1820</v>
      </c>
      <c r="CK47" s="1">
        <f t="array" ref="CK47">SUMPRODUCT($H47:$Y47,(TRANSPOSE(CK$2:CK$19)))</f>
        <v>0</v>
      </c>
      <c r="CL47" s="1">
        <f t="array" ref="CL47">SUMPRODUCT($H47:$Y47,(TRANSPOSE(CL$2:CL$19)))</f>
        <v>0</v>
      </c>
      <c r="CM47" s="1">
        <f t="array" ref="CM47">SUMPRODUCT($H47:$Y47,(TRANSPOSE(CM$2:CM$19)))</f>
        <v>0</v>
      </c>
      <c r="CN47" s="1">
        <f t="array" ref="CN47">SUMPRODUCT($H47:$Y47,(TRANSPOSE(CN$2:CN$19)))</f>
        <v>0</v>
      </c>
      <c r="CO47" s="1">
        <f t="array" ref="CO47">SUMPRODUCT($H47:$Y47,(TRANSPOSE(CO$2:CO$19)))</f>
        <v>0</v>
      </c>
      <c r="CP47" s="1">
        <f t="array" ref="CP47">SUMPRODUCT($H47:$Y47,(TRANSPOSE(CP$2:CP$19)))</f>
        <v>0</v>
      </c>
      <c r="CQ47" s="1">
        <f t="array" ref="CQ47">SUMPRODUCT($H47:$Y47,(TRANSPOSE(CQ$2:CQ$19)))</f>
        <v>20</v>
      </c>
      <c r="CR47" s="1">
        <f t="array" ref="CR47">SUMPRODUCT($H47:$Y47,(TRANSPOSE(CR$2:CR$19)))</f>
        <v>40</v>
      </c>
      <c r="CS47" s="1">
        <f t="array" ref="CS47">SUMPRODUCT($H47:$Y47,(TRANSPOSE(CS$2:CS$19)))</f>
        <v>60</v>
      </c>
      <c r="CT47" s="1">
        <f t="array" ref="CT47">SUMPRODUCT($H47:$Y47,(TRANSPOSE(CT$2:CT$19)))</f>
        <v>80</v>
      </c>
      <c r="CU47" s="1">
        <f t="array" ref="CU47">SUMPRODUCT($H47:$Y47,(TRANSPOSE(CU$2:CU$19)))</f>
        <v>100</v>
      </c>
      <c r="CV47" s="1">
        <f t="array" ref="CV47">SUMPRODUCT($H47:$Y47,(TRANSPOSE(CV$2:CV$19)))</f>
        <v>120</v>
      </c>
      <c r="CW47" s="1">
        <f t="array" ref="CW47">SUMPRODUCT($H47:$Y47,(TRANSPOSE(CW$2:CW$19)))</f>
        <v>140</v>
      </c>
      <c r="CX47" s="1">
        <f t="array" ref="CX47">SUMPRODUCT($H47:$Y47,(TRANSPOSE(CX$2:CX$19)))</f>
        <v>160</v>
      </c>
      <c r="CY47" s="1">
        <f t="array" ref="CY47">SUMPRODUCT($H47:$Y47,(TRANSPOSE(CY$2:CY$19)))</f>
        <v>180</v>
      </c>
      <c r="CZ47" s="1">
        <f t="array" ref="CZ47">SUMPRODUCT($H47:$Y47,(TRANSPOSE(CZ$2:CZ$19)))</f>
        <v>200</v>
      </c>
      <c r="DA47" s="1">
        <f t="array" ref="DA47">SUMPRODUCT($H47:$Y47,(TRANSPOSE(DA$2:DA$19)))</f>
        <v>220</v>
      </c>
      <c r="DB47" s="1">
        <f t="array" ref="DB47">SUMPRODUCT($H47:$Y47,(TRANSPOSE(DB$2:DB$19)))</f>
        <v>240</v>
      </c>
      <c r="DC47" s="1">
        <f t="array" ref="DC47">SUMPRODUCT($H47:$Y47,(TRANSPOSE(DC$2:DC$19)))</f>
        <v>260</v>
      </c>
      <c r="DD47" s="1">
        <f t="array" ref="DD47">SUMPRODUCT($H47:$Y47,(TRANSPOSE(DD$2:DD$19)))</f>
        <v>0</v>
      </c>
    </row>
    <row r="48" spans="1:108" x14ac:dyDescent="0.2">
      <c r="A48" s="1">
        <v>29</v>
      </c>
      <c r="B48" s="10" t="s">
        <v>818</v>
      </c>
      <c r="C48" s="1" t="s">
        <v>19</v>
      </c>
      <c r="D48" s="1">
        <v>420006522</v>
      </c>
      <c r="F48" s="1" t="s">
        <v>660</v>
      </c>
      <c r="G48" s="1" t="s">
        <v>20</v>
      </c>
      <c r="H48" s="1">
        <v>8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f>SUM(H48:Y48)</f>
        <v>8</v>
      </c>
      <c r="AA48" s="1">
        <f>SUMPRODUCT(H48:Y48,$H$16:$Y$16)</f>
        <v>7280</v>
      </c>
      <c r="AB48" s="18" t="s">
        <v>733</v>
      </c>
      <c r="AC48" s="1">
        <v>4.18</v>
      </c>
      <c r="AD48" s="9"/>
      <c r="AE48" s="1" t="s">
        <v>28</v>
      </c>
      <c r="AF48" s="1">
        <f>AC48</f>
        <v>4.18</v>
      </c>
      <c r="AG48" s="1">
        <v>1</v>
      </c>
      <c r="AH48" s="1">
        <v>1</v>
      </c>
      <c r="AK48" s="1" t="s">
        <v>816</v>
      </c>
      <c r="AL48" s="1" t="s">
        <v>815</v>
      </c>
      <c r="AM48" s="1" t="s">
        <v>814</v>
      </c>
      <c r="AN48" s="2" t="s">
        <v>813</v>
      </c>
      <c r="BO48" s="1">
        <f>SUM($AP48,$AQ48:AQ48)-SUM($CK48:CL48)</f>
        <v>0</v>
      </c>
      <c r="BP48" s="1">
        <f>SUM($AP48,$AQ48:AR48)-SUM($CK48:CM48)</f>
        <v>0</v>
      </c>
      <c r="BQ48" s="1">
        <f>SUM($AP48,$AQ48:AS48)-SUM($CK48:CN48)</f>
        <v>0</v>
      </c>
      <c r="BR48" s="1">
        <f>SUM($AP48,$AQ48:AT48)-SUM($CK48:CO48)</f>
        <v>0</v>
      </c>
      <c r="BS48" s="1">
        <f>SUM($AP48,$AQ48:AU48)-SUM($CK48:CP48)</f>
        <v>0</v>
      </c>
      <c r="BT48" s="1">
        <f>SUM($AP48,$AQ48:AV48)-SUM($CK48:CQ48)</f>
        <v>0</v>
      </c>
      <c r="BU48" s="1">
        <f>SUM($AP48,$AQ48:AW48)-SUM($CK48:CR48)</f>
        <v>-80</v>
      </c>
      <c r="BV48" s="1">
        <f>SUM($AP48,$AQ48:AX48)-SUM($CK48:CS48)</f>
        <v>-240</v>
      </c>
      <c r="BW48" s="1">
        <f>SUM($AP48,$AQ48:AY48)-SUM($CK48:CT48)</f>
        <v>-480</v>
      </c>
      <c r="BX48" s="1">
        <f>SUM($AP48,$AQ48:AZ48)-SUM($CK48:CU48)</f>
        <v>-800</v>
      </c>
      <c r="BY48" s="1">
        <f>SUM($AP48,$AQ48:BA48)-SUM($CK48:CV48)</f>
        <v>-1200</v>
      </c>
      <c r="BZ48" s="1">
        <f>SUM($AP48,$AQ48:BB48)-SUM($CK48:CW48)</f>
        <v>-1680</v>
      </c>
      <c r="CA48" s="1">
        <f>SUM($AP48,$AQ48:BC48)-SUM($CK48:CX48)</f>
        <v>-2240</v>
      </c>
      <c r="CB48" s="1">
        <f>SUM($AP48,$AQ48:BD48)-SUM($CK48:CY48)</f>
        <v>-2880</v>
      </c>
      <c r="CC48" s="1">
        <f>SUM($AP48,$AQ48:BE48)-SUM($CK48:CZ48)</f>
        <v>-3600</v>
      </c>
      <c r="CD48" s="1">
        <f>SUM($AP48,$AQ48:BF48)-SUM($CK48:DA48)</f>
        <v>-4400</v>
      </c>
      <c r="CE48" s="1">
        <f>SUM($AP48,$AQ48:BG48)-SUM($CK48:DB48)</f>
        <v>-5280</v>
      </c>
      <c r="CF48" s="1">
        <f>SUM($AP48,$AQ48:BH48)-SUM($CK48:DC48)</f>
        <v>-6240</v>
      </c>
      <c r="CG48" s="1">
        <f>SUM($AP48,$AQ48:BI48)-SUM($CK48:DD48)</f>
        <v>-7280</v>
      </c>
      <c r="CK48" s="1">
        <f t="array" ref="CK48">SUMPRODUCT($H48:$Y48,(TRANSPOSE(CK$2:CK$19)))</f>
        <v>0</v>
      </c>
      <c r="CL48" s="1">
        <f t="array" ref="CL48">SUMPRODUCT($H48:$Y48,(TRANSPOSE(CL$2:CL$19)))</f>
        <v>0</v>
      </c>
      <c r="CM48" s="1">
        <f t="array" ref="CM48">SUMPRODUCT($H48:$Y48,(TRANSPOSE(CM$2:CM$19)))</f>
        <v>0</v>
      </c>
      <c r="CN48" s="1">
        <f t="array" ref="CN48">SUMPRODUCT($H48:$Y48,(TRANSPOSE(CN$2:CN$19)))</f>
        <v>0</v>
      </c>
      <c r="CO48" s="1">
        <f t="array" ref="CO48">SUMPRODUCT($H48:$Y48,(TRANSPOSE(CO$2:CO$19)))</f>
        <v>0</v>
      </c>
      <c r="CP48" s="1">
        <f t="array" ref="CP48">SUMPRODUCT($H48:$Y48,(TRANSPOSE(CP$2:CP$19)))</f>
        <v>0</v>
      </c>
      <c r="CQ48" s="1">
        <f t="array" ref="CQ48">SUMPRODUCT($H48:$Y48,(TRANSPOSE(CQ$2:CQ$19)))</f>
        <v>0</v>
      </c>
      <c r="CR48" s="1">
        <f t="array" ref="CR48">SUMPRODUCT($H48:$Y48,(TRANSPOSE(CR$2:CR$19)))</f>
        <v>80</v>
      </c>
      <c r="CS48" s="1">
        <f t="array" ref="CS48">SUMPRODUCT($H48:$Y48,(TRANSPOSE(CS$2:CS$19)))</f>
        <v>160</v>
      </c>
      <c r="CT48" s="1">
        <f t="array" ref="CT48">SUMPRODUCT($H48:$Y48,(TRANSPOSE(CT$2:CT$19)))</f>
        <v>240</v>
      </c>
      <c r="CU48" s="1">
        <f t="array" ref="CU48">SUMPRODUCT($H48:$Y48,(TRANSPOSE(CU$2:CU$19)))</f>
        <v>320</v>
      </c>
      <c r="CV48" s="1">
        <f t="array" ref="CV48">SUMPRODUCT($H48:$Y48,(TRANSPOSE(CV$2:CV$19)))</f>
        <v>400</v>
      </c>
      <c r="CW48" s="1">
        <f t="array" ref="CW48">SUMPRODUCT($H48:$Y48,(TRANSPOSE(CW$2:CW$19)))</f>
        <v>480</v>
      </c>
      <c r="CX48" s="1">
        <f t="array" ref="CX48">SUMPRODUCT($H48:$Y48,(TRANSPOSE(CX$2:CX$19)))</f>
        <v>560</v>
      </c>
      <c r="CY48" s="1">
        <f t="array" ref="CY48">SUMPRODUCT($H48:$Y48,(TRANSPOSE(CY$2:CY$19)))</f>
        <v>640</v>
      </c>
      <c r="CZ48" s="1">
        <f t="array" ref="CZ48">SUMPRODUCT($H48:$Y48,(TRANSPOSE(CZ$2:CZ$19)))</f>
        <v>720</v>
      </c>
      <c r="DA48" s="1">
        <f t="array" ref="DA48">SUMPRODUCT($H48:$Y48,(TRANSPOSE(DA$2:DA$19)))</f>
        <v>800</v>
      </c>
      <c r="DB48" s="1">
        <f t="array" ref="DB48">SUMPRODUCT($H48:$Y48,(TRANSPOSE(DB$2:DB$19)))</f>
        <v>880</v>
      </c>
      <c r="DC48" s="1">
        <f t="array" ref="DC48">SUMPRODUCT($H48:$Y48,(TRANSPOSE(DC$2:DC$19)))</f>
        <v>960</v>
      </c>
      <c r="DD48" s="1">
        <f t="array" ref="DD48">SUMPRODUCT($H48:$Y48,(TRANSPOSE(DD$2:DD$19)))</f>
        <v>1040</v>
      </c>
    </row>
    <row r="49" spans="1:108" x14ac:dyDescent="0.2">
      <c r="A49" s="1">
        <v>30</v>
      </c>
      <c r="B49" s="10" t="s">
        <v>817</v>
      </c>
      <c r="C49" s="1" t="s">
        <v>19</v>
      </c>
      <c r="D49" s="1">
        <v>415674861</v>
      </c>
      <c r="F49" s="1" t="s">
        <v>660</v>
      </c>
      <c r="G49" s="1" t="s">
        <v>20</v>
      </c>
      <c r="H49" s="1">
        <v>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f>SUM(H49:Y49)</f>
        <v>8</v>
      </c>
      <c r="AA49" s="1">
        <f>SUMPRODUCT(H49:Y49,$H$16:$Y$16)</f>
        <v>7280</v>
      </c>
      <c r="AB49" s="18" t="s">
        <v>733</v>
      </c>
      <c r="AC49" s="1">
        <v>3.04</v>
      </c>
      <c r="AD49" s="9"/>
      <c r="AE49" s="1" t="s">
        <v>28</v>
      </c>
      <c r="AF49" s="1">
        <f>AC49</f>
        <v>3.04</v>
      </c>
      <c r="AG49" s="1">
        <v>1</v>
      </c>
      <c r="AH49" s="1">
        <v>1</v>
      </c>
      <c r="AK49" s="1" t="s">
        <v>816</v>
      </c>
      <c r="AL49" s="1" t="s">
        <v>815</v>
      </c>
      <c r="AM49" s="1" t="s">
        <v>814</v>
      </c>
      <c r="AN49" s="2" t="s">
        <v>813</v>
      </c>
      <c r="BO49" s="1">
        <f>SUM($AP49,$AQ49:AQ49)-SUM($CK49:CL49)</f>
        <v>0</v>
      </c>
      <c r="BP49" s="1">
        <f>SUM($AP49,$AQ49:AR49)-SUM($CK49:CM49)</f>
        <v>0</v>
      </c>
      <c r="BQ49" s="1">
        <f>SUM($AP49,$AQ49:AS49)-SUM($CK49:CN49)</f>
        <v>0</v>
      </c>
      <c r="BR49" s="1">
        <f>SUM($AP49,$AQ49:AT49)-SUM($CK49:CO49)</f>
        <v>0</v>
      </c>
      <c r="BS49" s="1">
        <f>SUM($AP49,$AQ49:AU49)-SUM($CK49:CP49)</f>
        <v>0</v>
      </c>
      <c r="BT49" s="1">
        <f>SUM($AP49,$AQ49:AV49)-SUM($CK49:CQ49)</f>
        <v>0</v>
      </c>
      <c r="BU49" s="1">
        <f>SUM($AP49,$AQ49:AW49)-SUM($CK49:CR49)</f>
        <v>-80</v>
      </c>
      <c r="BV49" s="1">
        <f>SUM($AP49,$AQ49:AX49)-SUM($CK49:CS49)</f>
        <v>-240</v>
      </c>
      <c r="BW49" s="1">
        <f>SUM($AP49,$AQ49:AY49)-SUM($CK49:CT49)</f>
        <v>-480</v>
      </c>
      <c r="BX49" s="1">
        <f>SUM($AP49,$AQ49:AZ49)-SUM($CK49:CU49)</f>
        <v>-800</v>
      </c>
      <c r="BY49" s="1">
        <f>SUM($AP49,$AQ49:BA49)-SUM($CK49:CV49)</f>
        <v>-1200</v>
      </c>
      <c r="BZ49" s="1">
        <f>SUM($AP49,$AQ49:BB49)-SUM($CK49:CW49)</f>
        <v>-1680</v>
      </c>
      <c r="CA49" s="1">
        <f>SUM($AP49,$AQ49:BC49)-SUM($CK49:CX49)</f>
        <v>-2240</v>
      </c>
      <c r="CB49" s="1">
        <f>SUM($AP49,$AQ49:BD49)-SUM($CK49:CY49)</f>
        <v>-2880</v>
      </c>
      <c r="CC49" s="1">
        <f>SUM($AP49,$AQ49:BE49)-SUM($CK49:CZ49)</f>
        <v>-3600</v>
      </c>
      <c r="CD49" s="1">
        <f>SUM($AP49,$AQ49:BF49)-SUM($CK49:DA49)</f>
        <v>-4400</v>
      </c>
      <c r="CE49" s="1">
        <f>SUM($AP49,$AQ49:BG49)-SUM($CK49:DB49)</f>
        <v>-5280</v>
      </c>
      <c r="CF49" s="1">
        <f>SUM($AP49,$AQ49:BH49)-SUM($CK49:DC49)</f>
        <v>-6240</v>
      </c>
      <c r="CG49" s="1">
        <f>SUM($AP49,$AQ49:BI49)-SUM($CK49:DD49)</f>
        <v>-7280</v>
      </c>
      <c r="CK49" s="1">
        <f t="array" ref="CK49">SUMPRODUCT($H49:$Y49,(TRANSPOSE(CK$2:CK$19)))</f>
        <v>0</v>
      </c>
      <c r="CL49" s="1">
        <f t="array" ref="CL49">SUMPRODUCT($H49:$Y49,(TRANSPOSE(CL$2:CL$19)))</f>
        <v>0</v>
      </c>
      <c r="CM49" s="1">
        <f t="array" ref="CM49">SUMPRODUCT($H49:$Y49,(TRANSPOSE(CM$2:CM$19)))</f>
        <v>0</v>
      </c>
      <c r="CN49" s="1">
        <f t="array" ref="CN49">SUMPRODUCT($H49:$Y49,(TRANSPOSE(CN$2:CN$19)))</f>
        <v>0</v>
      </c>
      <c r="CO49" s="1">
        <f t="array" ref="CO49">SUMPRODUCT($H49:$Y49,(TRANSPOSE(CO$2:CO$19)))</f>
        <v>0</v>
      </c>
      <c r="CP49" s="1">
        <f t="array" ref="CP49">SUMPRODUCT($H49:$Y49,(TRANSPOSE(CP$2:CP$19)))</f>
        <v>0</v>
      </c>
      <c r="CQ49" s="1">
        <f t="array" ref="CQ49">SUMPRODUCT($H49:$Y49,(TRANSPOSE(CQ$2:CQ$19)))</f>
        <v>0</v>
      </c>
      <c r="CR49" s="1">
        <f t="array" ref="CR49">SUMPRODUCT($H49:$Y49,(TRANSPOSE(CR$2:CR$19)))</f>
        <v>80</v>
      </c>
      <c r="CS49" s="1">
        <f t="array" ref="CS49">SUMPRODUCT($H49:$Y49,(TRANSPOSE(CS$2:CS$19)))</f>
        <v>160</v>
      </c>
      <c r="CT49" s="1">
        <f t="array" ref="CT49">SUMPRODUCT($H49:$Y49,(TRANSPOSE(CT$2:CT$19)))</f>
        <v>240</v>
      </c>
      <c r="CU49" s="1">
        <f t="array" ref="CU49">SUMPRODUCT($H49:$Y49,(TRANSPOSE(CU$2:CU$19)))</f>
        <v>320</v>
      </c>
      <c r="CV49" s="1">
        <f t="array" ref="CV49">SUMPRODUCT($H49:$Y49,(TRANSPOSE(CV$2:CV$19)))</f>
        <v>400</v>
      </c>
      <c r="CW49" s="1">
        <f t="array" ref="CW49">SUMPRODUCT($H49:$Y49,(TRANSPOSE(CW$2:CW$19)))</f>
        <v>480</v>
      </c>
      <c r="CX49" s="1">
        <f t="array" ref="CX49">SUMPRODUCT($H49:$Y49,(TRANSPOSE(CX$2:CX$19)))</f>
        <v>560</v>
      </c>
      <c r="CY49" s="1">
        <f t="array" ref="CY49">SUMPRODUCT($H49:$Y49,(TRANSPOSE(CY$2:CY$19)))</f>
        <v>640</v>
      </c>
      <c r="CZ49" s="1">
        <f t="array" ref="CZ49">SUMPRODUCT($H49:$Y49,(TRANSPOSE(CZ$2:CZ$19)))</f>
        <v>720</v>
      </c>
      <c r="DA49" s="1">
        <f t="array" ref="DA49">SUMPRODUCT($H49:$Y49,(TRANSPOSE(DA$2:DA$19)))</f>
        <v>800</v>
      </c>
      <c r="DB49" s="1">
        <f t="array" ref="DB49">SUMPRODUCT($H49:$Y49,(TRANSPOSE(DB$2:DB$19)))</f>
        <v>880</v>
      </c>
      <c r="DC49" s="1">
        <f t="array" ref="DC49">SUMPRODUCT($H49:$Y49,(TRANSPOSE(DC$2:DC$19)))</f>
        <v>960</v>
      </c>
      <c r="DD49" s="1">
        <f t="array" ref="DD49">SUMPRODUCT($H49:$Y49,(TRANSPOSE(DD$2:DD$19)))</f>
        <v>1040</v>
      </c>
    </row>
    <row r="50" spans="1:108" ht="13.5" thickBot="1" x14ac:dyDescent="0.25">
      <c r="A50" s="1">
        <v>31</v>
      </c>
      <c r="B50" s="10" t="s">
        <v>812</v>
      </c>
      <c r="C50" s="1" t="s">
        <v>643</v>
      </c>
      <c r="D50" s="1">
        <v>415424091</v>
      </c>
      <c r="F50" s="1" t="s">
        <v>811</v>
      </c>
      <c r="G50" s="1" t="s">
        <v>20</v>
      </c>
      <c r="H50" s="1">
        <v>0</v>
      </c>
      <c r="I50" s="1">
        <v>140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f>SUM(H50:Y50)</f>
        <v>140</v>
      </c>
      <c r="AA50" s="1">
        <f>SUMPRODUCT(H50:Y50,$H$16:$Y$16)</f>
        <v>127400</v>
      </c>
      <c r="AB50" s="18" t="s">
        <v>18</v>
      </c>
      <c r="AC50" s="1">
        <v>0</v>
      </c>
      <c r="AD50" s="9"/>
      <c r="AE50" s="1" t="s">
        <v>19</v>
      </c>
      <c r="AF50" s="1">
        <f>AC50</f>
        <v>0</v>
      </c>
      <c r="AG50" s="1">
        <v>1</v>
      </c>
      <c r="AH50" s="1">
        <v>1</v>
      </c>
      <c r="AI50" s="1" t="s">
        <v>18</v>
      </c>
      <c r="AJ50" s="1" t="s">
        <v>18</v>
      </c>
      <c r="AK50" s="1" t="s">
        <v>18</v>
      </c>
      <c r="AL50" s="1" t="s">
        <v>18</v>
      </c>
      <c r="AM50" s="1" t="s">
        <v>18</v>
      </c>
      <c r="AN50" s="2" t="s">
        <v>18</v>
      </c>
      <c r="BO50" s="1">
        <f>SUM($AP50,$AQ50:AQ50)-SUM($CK50:CL50)</f>
        <v>0</v>
      </c>
      <c r="BP50" s="1">
        <f>SUM($AP50,$AQ50:AR50)-SUM($CK50:CM50)</f>
        <v>0</v>
      </c>
      <c r="BQ50" s="1">
        <f>SUM($AP50,$AQ50:AS50)-SUM($CK50:CN50)</f>
        <v>0</v>
      </c>
      <c r="BR50" s="1">
        <f>SUM($AP50,$AQ50:AT50)-SUM($CK50:CO50)</f>
        <v>0</v>
      </c>
      <c r="BS50" s="1">
        <f>SUM($AP50,$AQ50:AU50)-SUM($CK50:CP50)</f>
        <v>0</v>
      </c>
      <c r="BT50" s="1">
        <f>SUM($AP50,$AQ50:AV50)-SUM($CK50:CQ50)</f>
        <v>-1400</v>
      </c>
      <c r="BU50" s="1">
        <f>SUM($AP50,$AQ50:AW50)-SUM($CK50:CR50)</f>
        <v>-4200</v>
      </c>
      <c r="BV50" s="1">
        <f>SUM($AP50,$AQ50:AX50)-SUM($CK50:CS50)</f>
        <v>-8400</v>
      </c>
      <c r="BW50" s="1">
        <f>SUM($AP50,$AQ50:AY50)-SUM($CK50:CT50)</f>
        <v>-14000</v>
      </c>
      <c r="BX50" s="1">
        <f>SUM($AP50,$AQ50:AZ50)-SUM($CK50:CU50)</f>
        <v>-21000</v>
      </c>
      <c r="BY50" s="1">
        <f>SUM($AP50,$AQ50:BA50)-SUM($CK50:CV50)</f>
        <v>-29400</v>
      </c>
      <c r="BZ50" s="1">
        <f>SUM($AP50,$AQ50:BB50)-SUM($CK50:CW50)</f>
        <v>-39200</v>
      </c>
      <c r="CA50" s="1">
        <f>SUM($AP50,$AQ50:BC50)-SUM($CK50:CX50)</f>
        <v>-50400</v>
      </c>
      <c r="CB50" s="1">
        <f>SUM($AP50,$AQ50:BD50)-SUM($CK50:CY50)</f>
        <v>-63000</v>
      </c>
      <c r="CC50" s="1">
        <f>SUM($AP50,$AQ50:BE50)-SUM($CK50:CZ50)</f>
        <v>-77000</v>
      </c>
      <c r="CD50" s="1">
        <f>SUM($AP50,$AQ50:BF50)-SUM($CK50:DA50)</f>
        <v>-92400</v>
      </c>
      <c r="CE50" s="1">
        <f>SUM($AP50,$AQ50:BG50)-SUM($CK50:DB50)</f>
        <v>-109200</v>
      </c>
      <c r="CF50" s="1">
        <f>SUM($AP50,$AQ50:BH50)-SUM($CK50:DC50)</f>
        <v>-127400</v>
      </c>
      <c r="CG50" s="1">
        <f>SUM($AP50,$AQ50:BI50)-SUM($CK50:DD50)</f>
        <v>-127400</v>
      </c>
      <c r="CK50" s="1">
        <f t="array" ref="CK50">SUMPRODUCT($H50:$Y50,(TRANSPOSE(CK$2:CK$19)))</f>
        <v>0</v>
      </c>
      <c r="CL50" s="1">
        <f t="array" ref="CL50">SUMPRODUCT($H50:$Y50,(TRANSPOSE(CL$2:CL$19)))</f>
        <v>0</v>
      </c>
      <c r="CM50" s="1">
        <f t="array" ref="CM50">SUMPRODUCT($H50:$Y50,(TRANSPOSE(CM$2:CM$19)))</f>
        <v>0</v>
      </c>
      <c r="CN50" s="1">
        <f t="array" ref="CN50">SUMPRODUCT($H50:$Y50,(TRANSPOSE(CN$2:CN$19)))</f>
        <v>0</v>
      </c>
      <c r="CO50" s="1">
        <f t="array" ref="CO50">SUMPRODUCT($H50:$Y50,(TRANSPOSE(CO$2:CO$19)))</f>
        <v>0</v>
      </c>
      <c r="CP50" s="1">
        <f t="array" ref="CP50">SUMPRODUCT($H50:$Y50,(TRANSPOSE(CP$2:CP$19)))</f>
        <v>0</v>
      </c>
      <c r="CQ50" s="1">
        <f t="array" ref="CQ50">SUMPRODUCT($H50:$Y50,(TRANSPOSE(CQ$2:CQ$19)))</f>
        <v>1400</v>
      </c>
      <c r="CR50" s="1">
        <f t="array" ref="CR50">SUMPRODUCT($H50:$Y50,(TRANSPOSE(CR$2:CR$19)))</f>
        <v>2800</v>
      </c>
      <c r="CS50" s="1">
        <f t="array" ref="CS50">SUMPRODUCT($H50:$Y50,(TRANSPOSE(CS$2:CS$19)))</f>
        <v>4200</v>
      </c>
      <c r="CT50" s="1">
        <f t="array" ref="CT50">SUMPRODUCT($H50:$Y50,(TRANSPOSE(CT$2:CT$19)))</f>
        <v>5600</v>
      </c>
      <c r="CU50" s="1">
        <f t="array" ref="CU50">SUMPRODUCT($H50:$Y50,(TRANSPOSE(CU$2:CU$19)))</f>
        <v>7000</v>
      </c>
      <c r="CV50" s="1">
        <f t="array" ref="CV50">SUMPRODUCT($H50:$Y50,(TRANSPOSE(CV$2:CV$19)))</f>
        <v>8400</v>
      </c>
      <c r="CW50" s="1">
        <f t="array" ref="CW50">SUMPRODUCT($H50:$Y50,(TRANSPOSE(CW$2:CW$19)))</f>
        <v>9800</v>
      </c>
      <c r="CX50" s="1">
        <f t="array" ref="CX50">SUMPRODUCT($H50:$Y50,(TRANSPOSE(CX$2:CX$19)))</f>
        <v>11200</v>
      </c>
      <c r="CY50" s="1">
        <f t="array" ref="CY50">SUMPRODUCT($H50:$Y50,(TRANSPOSE(CY$2:CY$19)))</f>
        <v>12600</v>
      </c>
      <c r="CZ50" s="1">
        <f t="array" ref="CZ50">SUMPRODUCT($H50:$Y50,(TRANSPOSE(CZ$2:CZ$19)))</f>
        <v>14000</v>
      </c>
      <c r="DA50" s="1">
        <f t="array" ref="DA50">SUMPRODUCT($H50:$Y50,(TRANSPOSE(DA$2:DA$19)))</f>
        <v>15400</v>
      </c>
      <c r="DB50" s="1">
        <f t="array" ref="DB50">SUMPRODUCT($H50:$Y50,(TRANSPOSE(DB$2:DB$19)))</f>
        <v>16800</v>
      </c>
      <c r="DC50" s="1">
        <f t="array" ref="DC50">SUMPRODUCT($H50:$Y50,(TRANSPOSE(DC$2:DC$19)))</f>
        <v>18200</v>
      </c>
      <c r="DD50" s="1">
        <f t="array" ref="DD50">SUMPRODUCT($H50:$Y50,(TRANSPOSE(DD$2:DD$19)))</f>
        <v>0</v>
      </c>
    </row>
    <row r="51" spans="1:108" ht="13.5" thickBot="1" x14ac:dyDescent="0.25">
      <c r="A51" s="1">
        <v>32</v>
      </c>
      <c r="B51" s="10" t="s">
        <v>0</v>
      </c>
      <c r="C51" s="1" t="s">
        <v>810</v>
      </c>
      <c r="D51" s="1">
        <v>424426274</v>
      </c>
      <c r="F51" s="1" t="s">
        <v>809</v>
      </c>
      <c r="G51" s="1" t="s">
        <v>20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2</v>
      </c>
      <c r="T51" s="1">
        <v>0</v>
      </c>
      <c r="U51" s="1">
        <v>0</v>
      </c>
      <c r="V51" s="1">
        <v>0</v>
      </c>
      <c r="W51" s="1">
        <v>2</v>
      </c>
      <c r="X51" s="1">
        <v>0</v>
      </c>
      <c r="Y51" s="1">
        <v>0</v>
      </c>
      <c r="Z51" s="1">
        <f>SUM(H51:Y51)</f>
        <v>4</v>
      </c>
      <c r="AA51" s="1">
        <f>SUMPRODUCT(H51:Y51,$H$16:$Y$16)</f>
        <v>3640</v>
      </c>
      <c r="AB51" s="19" t="s">
        <v>739</v>
      </c>
      <c r="AD51" s="9"/>
      <c r="AK51" s="1" t="s">
        <v>738</v>
      </c>
      <c r="AN51" s="2"/>
      <c r="BO51" s="1">
        <f>SUM($AP51,$AQ51:AQ51)-SUM($CK51:CL51)</f>
        <v>0</v>
      </c>
      <c r="BP51" s="1">
        <f>SUM($AP51,$AQ51:AR51)-SUM($CK51:CM51)</f>
        <v>0</v>
      </c>
      <c r="BQ51" s="1">
        <f>SUM($AP51,$AQ51:AS51)-SUM($CK51:CN51)</f>
        <v>0</v>
      </c>
      <c r="BR51" s="1">
        <f>SUM($AP51,$AQ51:AT51)-SUM($CK51:CO51)</f>
        <v>0</v>
      </c>
      <c r="BS51" s="1">
        <f>SUM($AP51,$AQ51:AU51)-SUM($CK51:CP51)</f>
        <v>-40</v>
      </c>
      <c r="BT51" s="1">
        <f>SUM($AP51,$AQ51:AV51)-SUM($CK51:CQ51)</f>
        <v>-120</v>
      </c>
      <c r="BU51" s="1">
        <f>SUM($AP51,$AQ51:AW51)-SUM($CK51:CR51)</f>
        <v>-240</v>
      </c>
      <c r="BV51" s="1">
        <f>SUM($AP51,$AQ51:AX51)-SUM($CK51:CS51)</f>
        <v>-400</v>
      </c>
      <c r="BW51" s="1">
        <f>SUM($AP51,$AQ51:AY51)-SUM($CK51:CT51)</f>
        <v>-600</v>
      </c>
      <c r="BX51" s="1">
        <f>SUM($AP51,$AQ51:AZ51)-SUM($CK51:CU51)</f>
        <v>-840</v>
      </c>
      <c r="BY51" s="1">
        <f>SUM($AP51,$AQ51:BA51)-SUM($CK51:CV51)</f>
        <v>-1120</v>
      </c>
      <c r="BZ51" s="1">
        <f>SUM($AP51,$AQ51:BB51)-SUM($CK51:CW51)</f>
        <v>-1440</v>
      </c>
      <c r="CA51" s="1">
        <f>SUM($AP51,$AQ51:BC51)-SUM($CK51:CX51)</f>
        <v>-1800</v>
      </c>
      <c r="CB51" s="1">
        <f>SUM($AP51,$AQ51:BD51)-SUM($CK51:CY51)</f>
        <v>-2200</v>
      </c>
      <c r="CC51" s="1">
        <f>SUM($AP51,$AQ51:BE51)-SUM($CK51:CZ51)</f>
        <v>-2640</v>
      </c>
      <c r="CD51" s="1">
        <f>SUM($AP51,$AQ51:BF51)-SUM($CK51:DA51)</f>
        <v>-3120</v>
      </c>
      <c r="CE51" s="1">
        <f>SUM($AP51,$AQ51:BG51)-SUM($CK51:DB51)</f>
        <v>-3640</v>
      </c>
      <c r="CF51" s="1">
        <f>SUM($AP51,$AQ51:BH51)-SUM($CK51:DC51)</f>
        <v>-3640</v>
      </c>
      <c r="CG51" s="1">
        <f>SUM($AP51,$AQ51:BI51)-SUM($CK51:DD51)</f>
        <v>-3640</v>
      </c>
      <c r="CK51" s="1">
        <f t="array" ref="CK51">SUMPRODUCT($H51:$Y51,(TRANSPOSE(CK$2:CK$19)))</f>
        <v>0</v>
      </c>
      <c r="CL51" s="1">
        <f t="array" ref="CL51">SUMPRODUCT($H51:$Y51,(TRANSPOSE(CL$2:CL$19)))</f>
        <v>0</v>
      </c>
      <c r="CM51" s="1">
        <f t="array" ref="CM51">SUMPRODUCT($H51:$Y51,(TRANSPOSE(CM$2:CM$19)))</f>
        <v>0</v>
      </c>
      <c r="CN51" s="1">
        <f t="array" ref="CN51">SUMPRODUCT($H51:$Y51,(TRANSPOSE(CN$2:CN$19)))</f>
        <v>0</v>
      </c>
      <c r="CO51" s="1">
        <f t="array" ref="CO51">SUMPRODUCT($H51:$Y51,(TRANSPOSE(CO$2:CO$19)))</f>
        <v>0</v>
      </c>
      <c r="CP51" s="1">
        <f t="array" ref="CP51">SUMPRODUCT($H51:$Y51,(TRANSPOSE(CP$2:CP$19)))</f>
        <v>40</v>
      </c>
      <c r="CQ51" s="1">
        <f t="array" ref="CQ51">SUMPRODUCT($H51:$Y51,(TRANSPOSE(CQ$2:CQ$19)))</f>
        <v>80</v>
      </c>
      <c r="CR51" s="1">
        <f t="array" ref="CR51">SUMPRODUCT($H51:$Y51,(TRANSPOSE(CR$2:CR$19)))</f>
        <v>120</v>
      </c>
      <c r="CS51" s="1">
        <f t="array" ref="CS51">SUMPRODUCT($H51:$Y51,(TRANSPOSE(CS$2:CS$19)))</f>
        <v>160</v>
      </c>
      <c r="CT51" s="1">
        <f t="array" ref="CT51">SUMPRODUCT($H51:$Y51,(TRANSPOSE(CT$2:CT$19)))</f>
        <v>200</v>
      </c>
      <c r="CU51" s="1">
        <f t="array" ref="CU51">SUMPRODUCT($H51:$Y51,(TRANSPOSE(CU$2:CU$19)))</f>
        <v>240</v>
      </c>
      <c r="CV51" s="1">
        <f t="array" ref="CV51">SUMPRODUCT($H51:$Y51,(TRANSPOSE(CV$2:CV$19)))</f>
        <v>280</v>
      </c>
      <c r="CW51" s="1">
        <f t="array" ref="CW51">SUMPRODUCT($H51:$Y51,(TRANSPOSE(CW$2:CW$19)))</f>
        <v>320</v>
      </c>
      <c r="CX51" s="1">
        <f t="array" ref="CX51">SUMPRODUCT($H51:$Y51,(TRANSPOSE(CX$2:CX$19)))</f>
        <v>360</v>
      </c>
      <c r="CY51" s="1">
        <f t="array" ref="CY51">SUMPRODUCT($H51:$Y51,(TRANSPOSE(CY$2:CY$19)))</f>
        <v>400</v>
      </c>
      <c r="CZ51" s="1">
        <f t="array" ref="CZ51">SUMPRODUCT($H51:$Y51,(TRANSPOSE(CZ$2:CZ$19)))</f>
        <v>440</v>
      </c>
      <c r="DA51" s="1">
        <f t="array" ref="DA51">SUMPRODUCT($H51:$Y51,(TRANSPOSE(DA$2:DA$19)))</f>
        <v>480</v>
      </c>
      <c r="DB51" s="1">
        <f t="array" ref="DB51">SUMPRODUCT($H51:$Y51,(TRANSPOSE(DB$2:DB$19)))</f>
        <v>520</v>
      </c>
      <c r="DC51" s="1">
        <f t="array" ref="DC51">SUMPRODUCT($H51:$Y51,(TRANSPOSE(DC$2:DC$19)))</f>
        <v>0</v>
      </c>
      <c r="DD51" s="1">
        <f t="array" ref="DD51">SUMPRODUCT($H51:$Y51,(TRANSPOSE(DD$2:DD$19)))</f>
        <v>0</v>
      </c>
    </row>
    <row r="52" spans="1:108" x14ac:dyDescent="0.2">
      <c r="A52" s="1">
        <v>34</v>
      </c>
      <c r="B52" s="10" t="s">
        <v>808</v>
      </c>
      <c r="C52" s="1" t="s">
        <v>19</v>
      </c>
      <c r="D52" s="1">
        <v>401548139</v>
      </c>
      <c r="F52" s="1" t="s">
        <v>807</v>
      </c>
      <c r="G52" s="1" t="s">
        <v>20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70</v>
      </c>
      <c r="U52" s="1">
        <v>0</v>
      </c>
      <c r="V52" s="1">
        <v>0</v>
      </c>
      <c r="W52" s="1">
        <v>0</v>
      </c>
      <c r="X52" s="1">
        <v>70</v>
      </c>
      <c r="Y52" s="1">
        <v>0</v>
      </c>
      <c r="Z52" s="1">
        <f>SUM(H52:Y52)</f>
        <v>140</v>
      </c>
      <c r="AA52" s="1">
        <f>SUMPRODUCT(H52:Y52,$H$16:$Y$16)</f>
        <v>127400</v>
      </c>
      <c r="AB52" s="18" t="s">
        <v>733</v>
      </c>
      <c r="AC52" s="17">
        <v>3.85</v>
      </c>
      <c r="AD52" s="9"/>
      <c r="AE52" s="1" t="s">
        <v>28</v>
      </c>
      <c r="AF52" s="1">
        <f>AC52</f>
        <v>3.85</v>
      </c>
      <c r="AG52" s="1">
        <v>1</v>
      </c>
      <c r="AH52" s="1">
        <v>1</v>
      </c>
      <c r="AI52" s="1" t="s">
        <v>806</v>
      </c>
      <c r="AK52" s="1" t="s">
        <v>805</v>
      </c>
      <c r="AL52" s="1" t="s">
        <v>804</v>
      </c>
      <c r="AM52" s="1" t="s">
        <v>803</v>
      </c>
      <c r="AN52" s="2" t="s">
        <v>802</v>
      </c>
      <c r="BO52" s="1">
        <f>SUM($AP52,$AQ52:AQ52)-SUM($CK52:CL52)</f>
        <v>0</v>
      </c>
      <c r="BP52" s="1">
        <f>SUM($AP52,$AQ52:AR52)-SUM($CK52:CM52)</f>
        <v>0</v>
      </c>
      <c r="BQ52" s="1">
        <f>SUM($AP52,$AQ52:AS52)-SUM($CK52:CN52)</f>
        <v>0</v>
      </c>
      <c r="BR52" s="1">
        <f>SUM($AP52,$AQ52:AT52)-SUM($CK52:CO52)</f>
        <v>-1400</v>
      </c>
      <c r="BS52" s="1">
        <f>SUM($AP52,$AQ52:AU52)-SUM($CK52:CP52)</f>
        <v>-4200</v>
      </c>
      <c r="BT52" s="1">
        <f>SUM($AP52,$AQ52:AV52)-SUM($CK52:CQ52)</f>
        <v>-8400</v>
      </c>
      <c r="BU52" s="1">
        <f>SUM($AP52,$AQ52:AW52)-SUM($CK52:CR52)</f>
        <v>-14000</v>
      </c>
      <c r="BV52" s="1">
        <f>SUM($AP52,$AQ52:AX52)-SUM($CK52:CS52)</f>
        <v>-21000</v>
      </c>
      <c r="BW52" s="1">
        <f>SUM($AP52,$AQ52:AY52)-SUM($CK52:CT52)</f>
        <v>-29400</v>
      </c>
      <c r="BX52" s="1">
        <f>SUM($AP52,$AQ52:AZ52)-SUM($CK52:CU52)</f>
        <v>-39200</v>
      </c>
      <c r="BY52" s="1">
        <f>SUM($AP52,$AQ52:BA52)-SUM($CK52:CV52)</f>
        <v>-50400</v>
      </c>
      <c r="BZ52" s="1">
        <f>SUM($AP52,$AQ52:BB52)-SUM($CK52:CW52)</f>
        <v>-63000</v>
      </c>
      <c r="CA52" s="1">
        <f>SUM($AP52,$AQ52:BC52)-SUM($CK52:CX52)</f>
        <v>-77000</v>
      </c>
      <c r="CB52" s="1">
        <f>SUM($AP52,$AQ52:BD52)-SUM($CK52:CY52)</f>
        <v>-92400</v>
      </c>
      <c r="CC52" s="1">
        <f>SUM($AP52,$AQ52:BE52)-SUM($CK52:CZ52)</f>
        <v>-109200</v>
      </c>
      <c r="CD52" s="1">
        <f>SUM($AP52,$AQ52:BF52)-SUM($CK52:DA52)</f>
        <v>-127400</v>
      </c>
      <c r="CE52" s="1">
        <f>SUM($AP52,$AQ52:BG52)-SUM($CK52:DB52)</f>
        <v>-127400</v>
      </c>
      <c r="CF52" s="1">
        <f>SUM($AP52,$AQ52:BH52)-SUM($CK52:DC52)</f>
        <v>-127400</v>
      </c>
      <c r="CG52" s="1">
        <f>SUM($AP52,$AQ52:BI52)-SUM($CK52:DD52)</f>
        <v>-127400</v>
      </c>
      <c r="CK52" s="1">
        <f t="array" ref="CK52">SUMPRODUCT($H52:$Y52,(TRANSPOSE(CK$2:CK$19)))</f>
        <v>0</v>
      </c>
      <c r="CL52" s="1">
        <f t="array" ref="CL52">SUMPRODUCT($H52:$Y52,(TRANSPOSE(CL$2:CL$19)))</f>
        <v>0</v>
      </c>
      <c r="CM52" s="1">
        <f t="array" ref="CM52">SUMPRODUCT($H52:$Y52,(TRANSPOSE(CM$2:CM$19)))</f>
        <v>0</v>
      </c>
      <c r="CN52" s="1">
        <f t="array" ref="CN52">SUMPRODUCT($H52:$Y52,(TRANSPOSE(CN$2:CN$19)))</f>
        <v>0</v>
      </c>
      <c r="CO52" s="1">
        <f t="array" ref="CO52">SUMPRODUCT($H52:$Y52,(TRANSPOSE(CO$2:CO$19)))</f>
        <v>1400</v>
      </c>
      <c r="CP52" s="1">
        <f t="array" ref="CP52">SUMPRODUCT($H52:$Y52,(TRANSPOSE(CP$2:CP$19)))</f>
        <v>2800</v>
      </c>
      <c r="CQ52" s="1">
        <f t="array" ref="CQ52">SUMPRODUCT($H52:$Y52,(TRANSPOSE(CQ$2:CQ$19)))</f>
        <v>4200</v>
      </c>
      <c r="CR52" s="1">
        <f t="array" ref="CR52">SUMPRODUCT($H52:$Y52,(TRANSPOSE(CR$2:CR$19)))</f>
        <v>5600</v>
      </c>
      <c r="CS52" s="1">
        <f t="array" ref="CS52">SUMPRODUCT($H52:$Y52,(TRANSPOSE(CS$2:CS$19)))</f>
        <v>7000</v>
      </c>
      <c r="CT52" s="1">
        <f t="array" ref="CT52">SUMPRODUCT($H52:$Y52,(TRANSPOSE(CT$2:CT$19)))</f>
        <v>8400</v>
      </c>
      <c r="CU52" s="1">
        <f t="array" ref="CU52">SUMPRODUCT($H52:$Y52,(TRANSPOSE(CU$2:CU$19)))</f>
        <v>9800</v>
      </c>
      <c r="CV52" s="1">
        <f t="array" ref="CV52">SUMPRODUCT($H52:$Y52,(TRANSPOSE(CV$2:CV$19)))</f>
        <v>11200</v>
      </c>
      <c r="CW52" s="1">
        <f t="array" ref="CW52">SUMPRODUCT($H52:$Y52,(TRANSPOSE(CW$2:CW$19)))</f>
        <v>12600</v>
      </c>
      <c r="CX52" s="1">
        <f t="array" ref="CX52">SUMPRODUCT($H52:$Y52,(TRANSPOSE(CX$2:CX$19)))</f>
        <v>14000</v>
      </c>
      <c r="CY52" s="1">
        <f t="array" ref="CY52">SUMPRODUCT($H52:$Y52,(TRANSPOSE(CY$2:CY$19)))</f>
        <v>15400</v>
      </c>
      <c r="CZ52" s="1">
        <f t="array" ref="CZ52">SUMPRODUCT($H52:$Y52,(TRANSPOSE(CZ$2:CZ$19)))</f>
        <v>16800</v>
      </c>
      <c r="DA52" s="1">
        <f t="array" ref="DA52">SUMPRODUCT($H52:$Y52,(TRANSPOSE(DA$2:DA$19)))</f>
        <v>18200</v>
      </c>
      <c r="DB52" s="1">
        <f t="array" ref="DB52">SUMPRODUCT($H52:$Y52,(TRANSPOSE(DB$2:DB$19)))</f>
        <v>0</v>
      </c>
      <c r="DC52" s="1">
        <f t="array" ref="DC52">SUMPRODUCT($H52:$Y52,(TRANSPOSE(DC$2:DC$19)))</f>
        <v>0</v>
      </c>
      <c r="DD52" s="1">
        <f t="array" ref="DD52">SUMPRODUCT($H52:$Y52,(TRANSPOSE(DD$2:DD$19)))</f>
        <v>0</v>
      </c>
    </row>
    <row r="53" spans="1:108" x14ac:dyDescent="0.2">
      <c r="A53" s="1">
        <v>35</v>
      </c>
      <c r="B53" s="10" t="s">
        <v>801</v>
      </c>
      <c r="C53" s="1" t="s">
        <v>19</v>
      </c>
      <c r="D53" s="1">
        <v>411818362</v>
      </c>
      <c r="F53" s="1" t="s">
        <v>800</v>
      </c>
      <c r="G53" s="1" t="s">
        <v>125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0.05</v>
      </c>
      <c r="U53" s="1">
        <v>0</v>
      </c>
      <c r="V53" s="1">
        <v>0</v>
      </c>
      <c r="W53" s="1">
        <v>0</v>
      </c>
      <c r="X53" s="1">
        <v>0.05</v>
      </c>
      <c r="Y53" s="1">
        <v>0</v>
      </c>
      <c r="Z53" s="1">
        <f>SUM(H53:Y53)</f>
        <v>0.1</v>
      </c>
      <c r="AA53" s="1">
        <f>SUMPRODUCT(H53:Y53,$H$16:$Y$16)</f>
        <v>91</v>
      </c>
      <c r="AB53" s="18" t="s">
        <v>733</v>
      </c>
      <c r="AC53" s="1">
        <v>32</v>
      </c>
      <c r="AD53" s="9"/>
      <c r="AE53" s="1" t="s">
        <v>28</v>
      </c>
      <c r="AF53" s="1">
        <f>AC53</f>
        <v>32</v>
      </c>
      <c r="AG53" s="1">
        <v>28</v>
      </c>
      <c r="AH53" s="1">
        <v>1</v>
      </c>
      <c r="AI53" s="1" t="s">
        <v>796</v>
      </c>
      <c r="AK53" s="1" t="s">
        <v>795</v>
      </c>
      <c r="AL53" s="1" t="s">
        <v>794</v>
      </c>
      <c r="AM53" s="1" t="s">
        <v>799</v>
      </c>
      <c r="AN53" s="2" t="s">
        <v>792</v>
      </c>
      <c r="BO53" s="1">
        <f>SUM($AP53,$AQ53:AQ53)-SUM($CK53:CL53)</f>
        <v>0</v>
      </c>
      <c r="BP53" s="1">
        <f>SUM($AP53,$AQ53:AR53)-SUM($CK53:CM53)</f>
        <v>0</v>
      </c>
      <c r="BQ53" s="1">
        <f>SUM($AP53,$AQ53:AS53)-SUM($CK53:CN53)</f>
        <v>0</v>
      </c>
      <c r="BR53" s="1">
        <f>SUM($AP53,$AQ53:AT53)-SUM($CK53:CO53)</f>
        <v>-1</v>
      </c>
      <c r="BS53" s="1">
        <f>SUM($AP53,$AQ53:AU53)-SUM($CK53:CP53)</f>
        <v>-3</v>
      </c>
      <c r="BT53" s="1">
        <f>SUM($AP53,$AQ53:AV53)-SUM($CK53:CQ53)</f>
        <v>-6</v>
      </c>
      <c r="BU53" s="1">
        <f>SUM($AP53,$AQ53:AW53)-SUM($CK53:CR53)</f>
        <v>-10</v>
      </c>
      <c r="BV53" s="1">
        <f>SUM($AP53,$AQ53:AX53)-SUM($CK53:CS53)</f>
        <v>-15</v>
      </c>
      <c r="BW53" s="1">
        <f>SUM($AP53,$AQ53:AY53)-SUM($CK53:CT53)</f>
        <v>-21</v>
      </c>
      <c r="BX53" s="1">
        <f>SUM($AP53,$AQ53:AZ53)-SUM($CK53:CU53)</f>
        <v>-28</v>
      </c>
      <c r="BY53" s="1">
        <f>SUM($AP53,$AQ53:BA53)-SUM($CK53:CV53)</f>
        <v>-36</v>
      </c>
      <c r="BZ53" s="1">
        <f>SUM($AP53,$AQ53:BB53)-SUM($CK53:CW53)</f>
        <v>-45</v>
      </c>
      <c r="CA53" s="1">
        <f>SUM($AP53,$AQ53:BC53)-SUM($CK53:CX53)</f>
        <v>-55</v>
      </c>
      <c r="CB53" s="1">
        <f>SUM($AP53,$AQ53:BD53)-SUM($CK53:CY53)</f>
        <v>-66</v>
      </c>
      <c r="CC53" s="1">
        <f>SUM($AP53,$AQ53:BE53)-SUM($CK53:CZ53)</f>
        <v>-78</v>
      </c>
      <c r="CD53" s="1">
        <f>SUM($AP53,$AQ53:BF53)-SUM($CK53:DA53)</f>
        <v>-91</v>
      </c>
      <c r="CE53" s="1">
        <f>SUM($AP53,$AQ53:BG53)-SUM($CK53:DB53)</f>
        <v>-91</v>
      </c>
      <c r="CF53" s="1">
        <f>SUM($AP53,$AQ53:BH53)-SUM($CK53:DC53)</f>
        <v>-91</v>
      </c>
      <c r="CG53" s="1">
        <f>SUM($AP53,$AQ53:BI53)-SUM($CK53:DD53)</f>
        <v>-91</v>
      </c>
      <c r="CK53" s="1">
        <f t="array" ref="CK53">SUMPRODUCT($H53:$Y53,(TRANSPOSE(CK$2:CK$19)))</f>
        <v>0</v>
      </c>
      <c r="CL53" s="1">
        <f t="array" ref="CL53">SUMPRODUCT($H53:$Y53,(TRANSPOSE(CL$2:CL$19)))</f>
        <v>0</v>
      </c>
      <c r="CM53" s="1">
        <f t="array" ref="CM53">SUMPRODUCT($H53:$Y53,(TRANSPOSE(CM$2:CM$19)))</f>
        <v>0</v>
      </c>
      <c r="CN53" s="1">
        <f t="array" ref="CN53">SUMPRODUCT($H53:$Y53,(TRANSPOSE(CN$2:CN$19)))</f>
        <v>0</v>
      </c>
      <c r="CO53" s="1">
        <f t="array" ref="CO53">SUMPRODUCT($H53:$Y53,(TRANSPOSE(CO$2:CO$19)))</f>
        <v>1</v>
      </c>
      <c r="CP53" s="1">
        <f t="array" ref="CP53">SUMPRODUCT($H53:$Y53,(TRANSPOSE(CP$2:CP$19)))</f>
        <v>2</v>
      </c>
      <c r="CQ53" s="1">
        <f t="array" ref="CQ53">SUMPRODUCT($H53:$Y53,(TRANSPOSE(CQ$2:CQ$19)))</f>
        <v>3</v>
      </c>
      <c r="CR53" s="1">
        <f t="array" ref="CR53">SUMPRODUCT($H53:$Y53,(TRANSPOSE(CR$2:CR$19)))</f>
        <v>4</v>
      </c>
      <c r="CS53" s="1">
        <f t="array" ref="CS53">SUMPRODUCT($H53:$Y53,(TRANSPOSE(CS$2:CS$19)))</f>
        <v>5</v>
      </c>
      <c r="CT53" s="1">
        <f t="array" ref="CT53">SUMPRODUCT($H53:$Y53,(TRANSPOSE(CT$2:CT$19)))</f>
        <v>6</v>
      </c>
      <c r="CU53" s="1">
        <f t="array" ref="CU53">SUMPRODUCT($H53:$Y53,(TRANSPOSE(CU$2:CU$19)))</f>
        <v>7</v>
      </c>
      <c r="CV53" s="1">
        <f t="array" ref="CV53">SUMPRODUCT($H53:$Y53,(TRANSPOSE(CV$2:CV$19)))</f>
        <v>8</v>
      </c>
      <c r="CW53" s="1">
        <f t="array" ref="CW53">SUMPRODUCT($H53:$Y53,(TRANSPOSE(CW$2:CW$19)))</f>
        <v>9</v>
      </c>
      <c r="CX53" s="1">
        <f t="array" ref="CX53">SUMPRODUCT($H53:$Y53,(TRANSPOSE(CX$2:CX$19)))</f>
        <v>10</v>
      </c>
      <c r="CY53" s="1">
        <f t="array" ref="CY53">SUMPRODUCT($H53:$Y53,(TRANSPOSE(CY$2:CY$19)))</f>
        <v>11</v>
      </c>
      <c r="CZ53" s="1">
        <f t="array" ref="CZ53">SUMPRODUCT($H53:$Y53,(TRANSPOSE(CZ$2:CZ$19)))</f>
        <v>12</v>
      </c>
      <c r="DA53" s="1">
        <f t="array" ref="DA53">SUMPRODUCT($H53:$Y53,(TRANSPOSE(DA$2:DA$19)))</f>
        <v>13</v>
      </c>
      <c r="DB53" s="1">
        <f t="array" ref="DB53">SUMPRODUCT($H53:$Y53,(TRANSPOSE(DB$2:DB$19)))</f>
        <v>0</v>
      </c>
      <c r="DC53" s="1">
        <f t="array" ref="DC53">SUMPRODUCT($H53:$Y53,(TRANSPOSE(DC$2:DC$19)))</f>
        <v>0</v>
      </c>
      <c r="DD53" s="1">
        <f t="array" ref="DD53">SUMPRODUCT($H53:$Y53,(TRANSPOSE(DD$2:DD$19)))</f>
        <v>0</v>
      </c>
    </row>
    <row r="54" spans="1:108" ht="13.5" thickBot="1" x14ac:dyDescent="0.25">
      <c r="A54" s="1">
        <v>36</v>
      </c>
      <c r="B54" s="10" t="s">
        <v>798</v>
      </c>
      <c r="C54" s="1" t="s">
        <v>643</v>
      </c>
      <c r="D54" s="1">
        <v>404488392</v>
      </c>
      <c r="F54" s="1" t="s">
        <v>797</v>
      </c>
      <c r="G54" s="1" t="s">
        <v>125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0.05</v>
      </c>
      <c r="U54" s="1">
        <v>0</v>
      </c>
      <c r="V54" s="1">
        <v>0</v>
      </c>
      <c r="W54" s="1">
        <v>0</v>
      </c>
      <c r="X54" s="1">
        <v>0.05</v>
      </c>
      <c r="Y54" s="1">
        <v>0</v>
      </c>
      <c r="Z54" s="1">
        <f>SUM(H54:Y54)</f>
        <v>0.1</v>
      </c>
      <c r="AA54" s="1">
        <f>SUMPRODUCT(H54:Y54,$H$16:$Y$16)</f>
        <v>91</v>
      </c>
      <c r="AB54" s="18" t="s">
        <v>733</v>
      </c>
      <c r="AC54" s="1">
        <v>32</v>
      </c>
      <c r="AD54" s="9"/>
      <c r="AE54" s="1" t="s">
        <v>28</v>
      </c>
      <c r="AF54" s="1">
        <f>AC54</f>
        <v>32</v>
      </c>
      <c r="AG54" s="1">
        <v>28</v>
      </c>
      <c r="AH54" s="1">
        <v>1</v>
      </c>
      <c r="AI54" s="1" t="s">
        <v>796</v>
      </c>
      <c r="AK54" s="1" t="s">
        <v>795</v>
      </c>
      <c r="AL54" s="1" t="s">
        <v>794</v>
      </c>
      <c r="AM54" s="1" t="s">
        <v>793</v>
      </c>
      <c r="AN54" s="2" t="s">
        <v>792</v>
      </c>
      <c r="BO54" s="1">
        <f>SUM($AP54,$AQ54:AQ54)-SUM($CK54:CL54)</f>
        <v>0</v>
      </c>
      <c r="BP54" s="1">
        <f>SUM($AP54,$AQ54:AR54)-SUM($CK54:CM54)</f>
        <v>0</v>
      </c>
      <c r="BQ54" s="1">
        <f>SUM($AP54,$AQ54:AS54)-SUM($CK54:CN54)</f>
        <v>0</v>
      </c>
      <c r="BR54" s="1">
        <f>SUM($AP54,$AQ54:AT54)-SUM($CK54:CO54)</f>
        <v>-1</v>
      </c>
      <c r="BS54" s="1">
        <f>SUM($AP54,$AQ54:AU54)-SUM($CK54:CP54)</f>
        <v>-3</v>
      </c>
      <c r="BT54" s="1">
        <f>SUM($AP54,$AQ54:AV54)-SUM($CK54:CQ54)</f>
        <v>-6</v>
      </c>
      <c r="BU54" s="1">
        <f>SUM($AP54,$AQ54:AW54)-SUM($CK54:CR54)</f>
        <v>-10</v>
      </c>
      <c r="BV54" s="1">
        <f>SUM($AP54,$AQ54:AX54)-SUM($CK54:CS54)</f>
        <v>-15</v>
      </c>
      <c r="BW54" s="1">
        <f>SUM($AP54,$AQ54:AY54)-SUM($CK54:CT54)</f>
        <v>-21</v>
      </c>
      <c r="BX54" s="1">
        <f>SUM($AP54,$AQ54:AZ54)-SUM($CK54:CU54)</f>
        <v>-28</v>
      </c>
      <c r="BY54" s="1">
        <f>SUM($AP54,$AQ54:BA54)-SUM($CK54:CV54)</f>
        <v>-36</v>
      </c>
      <c r="BZ54" s="1">
        <f>SUM($AP54,$AQ54:BB54)-SUM($CK54:CW54)</f>
        <v>-45</v>
      </c>
      <c r="CA54" s="1">
        <f>SUM($AP54,$AQ54:BC54)-SUM($CK54:CX54)</f>
        <v>-55</v>
      </c>
      <c r="CB54" s="1">
        <f>SUM($AP54,$AQ54:BD54)-SUM($CK54:CY54)</f>
        <v>-66</v>
      </c>
      <c r="CC54" s="1">
        <f>SUM($AP54,$AQ54:BE54)-SUM($CK54:CZ54)</f>
        <v>-78</v>
      </c>
      <c r="CD54" s="1">
        <f>SUM($AP54,$AQ54:BF54)-SUM($CK54:DA54)</f>
        <v>-91</v>
      </c>
      <c r="CE54" s="1">
        <f>SUM($AP54,$AQ54:BG54)-SUM($CK54:DB54)</f>
        <v>-91</v>
      </c>
      <c r="CF54" s="1">
        <f>SUM($AP54,$AQ54:BH54)-SUM($CK54:DC54)</f>
        <v>-91</v>
      </c>
      <c r="CG54" s="1">
        <f>SUM($AP54,$AQ54:BI54)-SUM($CK54:DD54)</f>
        <v>-91</v>
      </c>
      <c r="CK54" s="1">
        <f t="array" ref="CK54">SUMPRODUCT($H54:$Y54,(TRANSPOSE(CK$2:CK$19)))</f>
        <v>0</v>
      </c>
      <c r="CL54" s="1">
        <f t="array" ref="CL54">SUMPRODUCT($H54:$Y54,(TRANSPOSE(CL$2:CL$19)))</f>
        <v>0</v>
      </c>
      <c r="CM54" s="1">
        <f t="array" ref="CM54">SUMPRODUCT($H54:$Y54,(TRANSPOSE(CM$2:CM$19)))</f>
        <v>0</v>
      </c>
      <c r="CN54" s="1">
        <f t="array" ref="CN54">SUMPRODUCT($H54:$Y54,(TRANSPOSE(CN$2:CN$19)))</f>
        <v>0</v>
      </c>
      <c r="CO54" s="1">
        <f t="array" ref="CO54">SUMPRODUCT($H54:$Y54,(TRANSPOSE(CO$2:CO$19)))</f>
        <v>1</v>
      </c>
      <c r="CP54" s="1">
        <f t="array" ref="CP54">SUMPRODUCT($H54:$Y54,(TRANSPOSE(CP$2:CP$19)))</f>
        <v>2</v>
      </c>
      <c r="CQ54" s="1">
        <f t="array" ref="CQ54">SUMPRODUCT($H54:$Y54,(TRANSPOSE(CQ$2:CQ$19)))</f>
        <v>3</v>
      </c>
      <c r="CR54" s="1">
        <f t="array" ref="CR54">SUMPRODUCT($H54:$Y54,(TRANSPOSE(CR$2:CR$19)))</f>
        <v>4</v>
      </c>
      <c r="CS54" s="1">
        <f t="array" ref="CS54">SUMPRODUCT($H54:$Y54,(TRANSPOSE(CS$2:CS$19)))</f>
        <v>5</v>
      </c>
      <c r="CT54" s="1">
        <f t="array" ref="CT54">SUMPRODUCT($H54:$Y54,(TRANSPOSE(CT$2:CT$19)))</f>
        <v>6</v>
      </c>
      <c r="CU54" s="1">
        <f t="array" ref="CU54">SUMPRODUCT($H54:$Y54,(TRANSPOSE(CU$2:CU$19)))</f>
        <v>7</v>
      </c>
      <c r="CV54" s="1">
        <f t="array" ref="CV54">SUMPRODUCT($H54:$Y54,(TRANSPOSE(CV$2:CV$19)))</f>
        <v>8</v>
      </c>
      <c r="CW54" s="1">
        <f t="array" ref="CW54">SUMPRODUCT($H54:$Y54,(TRANSPOSE(CW$2:CW$19)))</f>
        <v>9</v>
      </c>
      <c r="CX54" s="1">
        <f t="array" ref="CX54">SUMPRODUCT($H54:$Y54,(TRANSPOSE(CX$2:CX$19)))</f>
        <v>10</v>
      </c>
      <c r="CY54" s="1">
        <f t="array" ref="CY54">SUMPRODUCT($H54:$Y54,(TRANSPOSE(CY$2:CY$19)))</f>
        <v>11</v>
      </c>
      <c r="CZ54" s="1">
        <f t="array" ref="CZ54">SUMPRODUCT($H54:$Y54,(TRANSPOSE(CZ$2:CZ$19)))</f>
        <v>12</v>
      </c>
      <c r="DA54" s="1">
        <f t="array" ref="DA54">SUMPRODUCT($H54:$Y54,(TRANSPOSE(DA$2:DA$19)))</f>
        <v>13</v>
      </c>
      <c r="DB54" s="1">
        <f t="array" ref="DB54">SUMPRODUCT($H54:$Y54,(TRANSPOSE(DB$2:DB$19)))</f>
        <v>0</v>
      </c>
      <c r="DC54" s="1">
        <f t="array" ref="DC54">SUMPRODUCT($H54:$Y54,(TRANSPOSE(DC$2:DC$19)))</f>
        <v>0</v>
      </c>
      <c r="DD54" s="1">
        <f t="array" ref="DD54">SUMPRODUCT($H54:$Y54,(TRANSPOSE(DD$2:DD$19)))</f>
        <v>0</v>
      </c>
    </row>
    <row r="55" spans="1:108" ht="13.5" thickBot="1" x14ac:dyDescent="0.25">
      <c r="A55" s="1">
        <v>41</v>
      </c>
      <c r="B55" s="10" t="s">
        <v>791</v>
      </c>
      <c r="C55" s="1" t="s">
        <v>649</v>
      </c>
      <c r="D55" s="1">
        <v>417493560</v>
      </c>
      <c r="F55" s="1" t="s">
        <v>790</v>
      </c>
      <c r="G55" s="1" t="s">
        <v>20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2</v>
      </c>
      <c r="S55" s="1">
        <v>0</v>
      </c>
      <c r="T55" s="1">
        <v>0</v>
      </c>
      <c r="U55" s="1">
        <v>0</v>
      </c>
      <c r="V55" s="1">
        <v>2</v>
      </c>
      <c r="W55" s="1">
        <v>0</v>
      </c>
      <c r="X55" s="1">
        <v>0</v>
      </c>
      <c r="Y55" s="1">
        <v>0</v>
      </c>
      <c r="Z55" s="1">
        <f>SUM(H55:Y55)</f>
        <v>4</v>
      </c>
      <c r="AA55" s="1">
        <f>SUMPRODUCT(H55:Y55,$H$16:$Y$16)</f>
        <v>3640</v>
      </c>
      <c r="AB55" s="11" t="s">
        <v>383</v>
      </c>
      <c r="AD55" s="9"/>
      <c r="AK55" s="1" t="s">
        <v>382</v>
      </c>
      <c r="AN55" s="2"/>
      <c r="BO55" s="1">
        <f>SUM($AP55,$AQ55:AQ55)-SUM($CK55:CL55)</f>
        <v>0</v>
      </c>
      <c r="BP55" s="1">
        <f>SUM($AP55,$AQ55:AR55)-SUM($CK55:CM55)</f>
        <v>0</v>
      </c>
      <c r="BQ55" s="1">
        <f>SUM($AP55,$AQ55:AS55)-SUM($CK55:CN55)</f>
        <v>0</v>
      </c>
      <c r="BR55" s="1">
        <f>SUM($AP55,$AQ55:AT55)-SUM($CK55:CO55)</f>
        <v>0</v>
      </c>
      <c r="BS55" s="1">
        <f>SUM($AP55,$AQ55:AU55)-SUM($CK55:CP55)</f>
        <v>0</v>
      </c>
      <c r="BT55" s="1">
        <f>SUM($AP55,$AQ55:AV55)-SUM($CK55:CQ55)</f>
        <v>-40</v>
      </c>
      <c r="BU55" s="1">
        <f>SUM($AP55,$AQ55:AW55)-SUM($CK55:CR55)</f>
        <v>-120</v>
      </c>
      <c r="BV55" s="1">
        <f>SUM($AP55,$AQ55:AX55)-SUM($CK55:CS55)</f>
        <v>-240</v>
      </c>
      <c r="BW55" s="1">
        <f>SUM($AP55,$AQ55:AY55)-SUM($CK55:CT55)</f>
        <v>-400</v>
      </c>
      <c r="BX55" s="1">
        <f>SUM($AP55,$AQ55:AZ55)-SUM($CK55:CU55)</f>
        <v>-600</v>
      </c>
      <c r="BY55" s="1">
        <f>SUM($AP55,$AQ55:BA55)-SUM($CK55:CV55)</f>
        <v>-840</v>
      </c>
      <c r="BZ55" s="1">
        <f>SUM($AP55,$AQ55:BB55)-SUM($CK55:CW55)</f>
        <v>-1120</v>
      </c>
      <c r="CA55" s="1">
        <f>SUM($AP55,$AQ55:BC55)-SUM($CK55:CX55)</f>
        <v>-1440</v>
      </c>
      <c r="CB55" s="1">
        <f>SUM($AP55,$AQ55:BD55)-SUM($CK55:CY55)</f>
        <v>-1800</v>
      </c>
      <c r="CC55" s="1">
        <f>SUM($AP55,$AQ55:BE55)-SUM($CK55:CZ55)</f>
        <v>-2200</v>
      </c>
      <c r="CD55" s="1">
        <f>SUM($AP55,$AQ55:BF55)-SUM($CK55:DA55)</f>
        <v>-2640</v>
      </c>
      <c r="CE55" s="1">
        <f>SUM($AP55,$AQ55:BG55)-SUM($CK55:DB55)</f>
        <v>-3120</v>
      </c>
      <c r="CF55" s="1">
        <f>SUM($AP55,$AQ55:BH55)-SUM($CK55:DC55)</f>
        <v>-3640</v>
      </c>
      <c r="CG55" s="1">
        <f>SUM($AP55,$AQ55:BI55)-SUM($CK55:DD55)</f>
        <v>-3640</v>
      </c>
      <c r="CK55" s="1">
        <f t="array" ref="CK55">SUMPRODUCT($H55:$Y55,(TRANSPOSE(CK$2:CK$19)))</f>
        <v>0</v>
      </c>
      <c r="CL55" s="1">
        <f t="array" ref="CL55">SUMPRODUCT($H55:$Y55,(TRANSPOSE(CL$2:CL$19)))</f>
        <v>0</v>
      </c>
      <c r="CM55" s="1">
        <f t="array" ref="CM55">SUMPRODUCT($H55:$Y55,(TRANSPOSE(CM$2:CM$19)))</f>
        <v>0</v>
      </c>
      <c r="CN55" s="1">
        <f t="array" ref="CN55">SUMPRODUCT($H55:$Y55,(TRANSPOSE(CN$2:CN$19)))</f>
        <v>0</v>
      </c>
      <c r="CO55" s="1">
        <f t="array" ref="CO55">SUMPRODUCT($H55:$Y55,(TRANSPOSE(CO$2:CO$19)))</f>
        <v>0</v>
      </c>
      <c r="CP55" s="1">
        <f t="array" ref="CP55">SUMPRODUCT($H55:$Y55,(TRANSPOSE(CP$2:CP$19)))</f>
        <v>0</v>
      </c>
      <c r="CQ55" s="1">
        <f t="array" ref="CQ55">SUMPRODUCT($H55:$Y55,(TRANSPOSE(CQ$2:CQ$19)))</f>
        <v>40</v>
      </c>
      <c r="CR55" s="1">
        <f t="array" ref="CR55">SUMPRODUCT($H55:$Y55,(TRANSPOSE(CR$2:CR$19)))</f>
        <v>80</v>
      </c>
      <c r="CS55" s="1">
        <f t="array" ref="CS55">SUMPRODUCT($H55:$Y55,(TRANSPOSE(CS$2:CS$19)))</f>
        <v>120</v>
      </c>
      <c r="CT55" s="1">
        <f t="array" ref="CT55">SUMPRODUCT($H55:$Y55,(TRANSPOSE(CT$2:CT$19)))</f>
        <v>160</v>
      </c>
      <c r="CU55" s="1">
        <f t="array" ref="CU55">SUMPRODUCT($H55:$Y55,(TRANSPOSE(CU$2:CU$19)))</f>
        <v>200</v>
      </c>
      <c r="CV55" s="1">
        <f t="array" ref="CV55">SUMPRODUCT($H55:$Y55,(TRANSPOSE(CV$2:CV$19)))</f>
        <v>240</v>
      </c>
      <c r="CW55" s="1">
        <f t="array" ref="CW55">SUMPRODUCT($H55:$Y55,(TRANSPOSE(CW$2:CW$19)))</f>
        <v>280</v>
      </c>
      <c r="CX55" s="1">
        <f t="array" ref="CX55">SUMPRODUCT($H55:$Y55,(TRANSPOSE(CX$2:CX$19)))</f>
        <v>320</v>
      </c>
      <c r="CY55" s="1">
        <f t="array" ref="CY55">SUMPRODUCT($H55:$Y55,(TRANSPOSE(CY$2:CY$19)))</f>
        <v>360</v>
      </c>
      <c r="CZ55" s="1">
        <f t="array" ref="CZ55">SUMPRODUCT($H55:$Y55,(TRANSPOSE(CZ$2:CZ$19)))</f>
        <v>400</v>
      </c>
      <c r="DA55" s="1">
        <f t="array" ref="DA55">SUMPRODUCT($H55:$Y55,(TRANSPOSE(DA$2:DA$19)))</f>
        <v>440</v>
      </c>
      <c r="DB55" s="1">
        <f t="array" ref="DB55">SUMPRODUCT($H55:$Y55,(TRANSPOSE(DB$2:DB$19)))</f>
        <v>480</v>
      </c>
      <c r="DC55" s="1">
        <f t="array" ref="DC55">SUMPRODUCT($H55:$Y55,(TRANSPOSE(DC$2:DC$19)))</f>
        <v>520</v>
      </c>
      <c r="DD55" s="1">
        <f t="array" ref="DD55">SUMPRODUCT($H55:$Y55,(TRANSPOSE(DD$2:DD$19)))</f>
        <v>0</v>
      </c>
    </row>
    <row r="56" spans="1:108" x14ac:dyDescent="0.2">
      <c r="A56" s="1">
        <v>44</v>
      </c>
      <c r="B56" s="10" t="s">
        <v>789</v>
      </c>
      <c r="C56" s="1" t="s">
        <v>643</v>
      </c>
      <c r="D56" s="1">
        <v>400485716</v>
      </c>
      <c r="F56" s="1" t="s">
        <v>788</v>
      </c>
      <c r="G56" s="1" t="s">
        <v>20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</v>
      </c>
      <c r="S56" s="1">
        <v>0</v>
      </c>
      <c r="T56" s="1">
        <v>0</v>
      </c>
      <c r="U56" s="1">
        <v>0</v>
      </c>
      <c r="V56" s="1">
        <v>2</v>
      </c>
      <c r="W56" s="1">
        <v>0</v>
      </c>
      <c r="X56" s="1">
        <v>0</v>
      </c>
      <c r="Y56" s="1">
        <v>0</v>
      </c>
      <c r="Z56" s="1">
        <f>SUM(H56:Y56)</f>
        <v>4</v>
      </c>
      <c r="AA56" s="1">
        <f>SUMPRODUCT(H56:Y56,$H$16:$Y$16)</f>
        <v>3640</v>
      </c>
      <c r="AB56" s="18" t="s">
        <v>733</v>
      </c>
      <c r="AC56" s="1">
        <v>16.3</v>
      </c>
      <c r="AD56" s="9"/>
      <c r="AE56" s="1" t="s">
        <v>28</v>
      </c>
      <c r="AF56" s="1">
        <f>AC56</f>
        <v>16.3</v>
      </c>
      <c r="AG56" s="1">
        <v>1</v>
      </c>
      <c r="AH56" s="1">
        <v>1</v>
      </c>
      <c r="AK56" s="1" t="s">
        <v>767</v>
      </c>
      <c r="AL56" s="1" t="s">
        <v>766</v>
      </c>
      <c r="AM56" s="1" t="s">
        <v>765</v>
      </c>
      <c r="AN56" s="2" t="s">
        <v>764</v>
      </c>
      <c r="BO56" s="1">
        <f>SUM($AP56,$AQ56:AQ56)-SUM($CK56:CL56)</f>
        <v>0</v>
      </c>
      <c r="BP56" s="1">
        <f>SUM($AP56,$AQ56:AR56)-SUM($CK56:CM56)</f>
        <v>0</v>
      </c>
      <c r="BQ56" s="1">
        <f>SUM($AP56,$AQ56:AS56)-SUM($CK56:CN56)</f>
        <v>0</v>
      </c>
      <c r="BR56" s="1">
        <f>SUM($AP56,$AQ56:AT56)-SUM($CK56:CO56)</f>
        <v>0</v>
      </c>
      <c r="BS56" s="1">
        <f>SUM($AP56,$AQ56:AU56)-SUM($CK56:CP56)</f>
        <v>0</v>
      </c>
      <c r="BT56" s="1">
        <f>SUM($AP56,$AQ56:AV56)-SUM($CK56:CQ56)</f>
        <v>-40</v>
      </c>
      <c r="BU56" s="1">
        <f>SUM($AP56,$AQ56:AW56)-SUM($CK56:CR56)</f>
        <v>-120</v>
      </c>
      <c r="BV56" s="1">
        <f>SUM($AP56,$AQ56:AX56)-SUM($CK56:CS56)</f>
        <v>-240</v>
      </c>
      <c r="BW56" s="1">
        <f>SUM($AP56,$AQ56:AY56)-SUM($CK56:CT56)</f>
        <v>-400</v>
      </c>
      <c r="BX56" s="1">
        <f>SUM($AP56,$AQ56:AZ56)-SUM($CK56:CU56)</f>
        <v>-600</v>
      </c>
      <c r="BY56" s="1">
        <f>SUM($AP56,$AQ56:BA56)-SUM($CK56:CV56)</f>
        <v>-840</v>
      </c>
      <c r="BZ56" s="1">
        <f>SUM($AP56,$AQ56:BB56)-SUM($CK56:CW56)</f>
        <v>-1120</v>
      </c>
      <c r="CA56" s="1">
        <f>SUM($AP56,$AQ56:BC56)-SUM($CK56:CX56)</f>
        <v>-1440</v>
      </c>
      <c r="CB56" s="1">
        <f>SUM($AP56,$AQ56:BD56)-SUM($CK56:CY56)</f>
        <v>-1800</v>
      </c>
      <c r="CC56" s="1">
        <f>SUM($AP56,$AQ56:BE56)-SUM($CK56:CZ56)</f>
        <v>-2200</v>
      </c>
      <c r="CD56" s="1">
        <f>SUM($AP56,$AQ56:BF56)-SUM($CK56:DA56)</f>
        <v>-2640</v>
      </c>
      <c r="CE56" s="1">
        <f>SUM($AP56,$AQ56:BG56)-SUM($CK56:DB56)</f>
        <v>-3120</v>
      </c>
      <c r="CF56" s="1">
        <f>SUM($AP56,$AQ56:BH56)-SUM($CK56:DC56)</f>
        <v>-3640</v>
      </c>
      <c r="CG56" s="1">
        <f>SUM($AP56,$AQ56:BI56)-SUM($CK56:DD56)</f>
        <v>-3640</v>
      </c>
      <c r="CK56" s="1">
        <f t="array" ref="CK56">SUMPRODUCT($H56:$Y56,(TRANSPOSE(CK$2:CK$19)))</f>
        <v>0</v>
      </c>
      <c r="CL56" s="1">
        <f t="array" ref="CL56">SUMPRODUCT($H56:$Y56,(TRANSPOSE(CL$2:CL$19)))</f>
        <v>0</v>
      </c>
      <c r="CM56" s="1">
        <f t="array" ref="CM56">SUMPRODUCT($H56:$Y56,(TRANSPOSE(CM$2:CM$19)))</f>
        <v>0</v>
      </c>
      <c r="CN56" s="1">
        <f t="array" ref="CN56">SUMPRODUCT($H56:$Y56,(TRANSPOSE(CN$2:CN$19)))</f>
        <v>0</v>
      </c>
      <c r="CO56" s="1">
        <f t="array" ref="CO56">SUMPRODUCT($H56:$Y56,(TRANSPOSE(CO$2:CO$19)))</f>
        <v>0</v>
      </c>
      <c r="CP56" s="1">
        <f t="array" ref="CP56">SUMPRODUCT($H56:$Y56,(TRANSPOSE(CP$2:CP$19)))</f>
        <v>0</v>
      </c>
      <c r="CQ56" s="1">
        <f t="array" ref="CQ56">SUMPRODUCT($H56:$Y56,(TRANSPOSE(CQ$2:CQ$19)))</f>
        <v>40</v>
      </c>
      <c r="CR56" s="1">
        <f t="array" ref="CR56">SUMPRODUCT($H56:$Y56,(TRANSPOSE(CR$2:CR$19)))</f>
        <v>80</v>
      </c>
      <c r="CS56" s="1">
        <f t="array" ref="CS56">SUMPRODUCT($H56:$Y56,(TRANSPOSE(CS$2:CS$19)))</f>
        <v>120</v>
      </c>
      <c r="CT56" s="1">
        <f t="array" ref="CT56">SUMPRODUCT($H56:$Y56,(TRANSPOSE(CT$2:CT$19)))</f>
        <v>160</v>
      </c>
      <c r="CU56" s="1">
        <f t="array" ref="CU56">SUMPRODUCT($H56:$Y56,(TRANSPOSE(CU$2:CU$19)))</f>
        <v>200</v>
      </c>
      <c r="CV56" s="1">
        <f t="array" ref="CV56">SUMPRODUCT($H56:$Y56,(TRANSPOSE(CV$2:CV$19)))</f>
        <v>240</v>
      </c>
      <c r="CW56" s="1">
        <f t="array" ref="CW56">SUMPRODUCT($H56:$Y56,(TRANSPOSE(CW$2:CW$19)))</f>
        <v>280</v>
      </c>
      <c r="CX56" s="1">
        <f t="array" ref="CX56">SUMPRODUCT($H56:$Y56,(TRANSPOSE(CX$2:CX$19)))</f>
        <v>320</v>
      </c>
      <c r="CY56" s="1">
        <f t="array" ref="CY56">SUMPRODUCT($H56:$Y56,(TRANSPOSE(CY$2:CY$19)))</f>
        <v>360</v>
      </c>
      <c r="CZ56" s="1">
        <f t="array" ref="CZ56">SUMPRODUCT($H56:$Y56,(TRANSPOSE(CZ$2:CZ$19)))</f>
        <v>400</v>
      </c>
      <c r="DA56" s="1">
        <f t="array" ref="DA56">SUMPRODUCT($H56:$Y56,(TRANSPOSE(DA$2:DA$19)))</f>
        <v>440</v>
      </c>
      <c r="DB56" s="1">
        <f t="array" ref="DB56">SUMPRODUCT($H56:$Y56,(TRANSPOSE(DB$2:DB$19)))</f>
        <v>480</v>
      </c>
      <c r="DC56" s="1">
        <f t="array" ref="DC56">SUMPRODUCT($H56:$Y56,(TRANSPOSE(DC$2:DC$19)))</f>
        <v>520</v>
      </c>
      <c r="DD56" s="1">
        <f t="array" ref="DD56">SUMPRODUCT($H56:$Y56,(TRANSPOSE(DD$2:DD$19)))</f>
        <v>0</v>
      </c>
    </row>
    <row r="57" spans="1:108" x14ac:dyDescent="0.2">
      <c r="A57" s="1">
        <v>45</v>
      </c>
      <c r="B57" s="10" t="s">
        <v>787</v>
      </c>
      <c r="C57" s="1" t="s">
        <v>643</v>
      </c>
      <c r="D57" s="1">
        <v>401661121</v>
      </c>
      <c r="F57" s="1" t="s">
        <v>786</v>
      </c>
      <c r="G57" s="1" t="s">
        <v>20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</v>
      </c>
      <c r="V57" s="1">
        <v>0</v>
      </c>
      <c r="W57" s="1">
        <v>0</v>
      </c>
      <c r="X57" s="1">
        <v>0</v>
      </c>
      <c r="Y57" s="1">
        <v>2</v>
      </c>
      <c r="Z57" s="1">
        <f>SUM(H57:Y57)</f>
        <v>4</v>
      </c>
      <c r="AA57" s="1">
        <f>SUMPRODUCT(H57:Y57,$H$16:$Y$16)</f>
        <v>3640</v>
      </c>
      <c r="AB57" s="18" t="s">
        <v>733</v>
      </c>
      <c r="AC57" s="14"/>
      <c r="AD57" s="9"/>
      <c r="AF57" s="14"/>
      <c r="AJ57" s="14"/>
      <c r="AN57" s="2"/>
      <c r="BO57" s="1">
        <f>SUM($AP57,$AQ57:AQ57)-SUM($CK57:CL57)</f>
        <v>0</v>
      </c>
      <c r="BP57" s="1">
        <f>SUM($AP57,$AQ57:AR57)-SUM($CK57:CM57)</f>
        <v>0</v>
      </c>
      <c r="BQ57" s="1">
        <f>SUM($AP57,$AQ57:AS57)-SUM($CK57:CN57)</f>
        <v>0</v>
      </c>
      <c r="BR57" s="1">
        <f>SUM($AP57,$AQ57:AT57)-SUM($CK57:CO57)</f>
        <v>-40</v>
      </c>
      <c r="BS57" s="1">
        <f>SUM($AP57,$AQ57:AU57)-SUM($CK57:CP57)</f>
        <v>-120</v>
      </c>
      <c r="BT57" s="1">
        <f>SUM($AP57,$AQ57:AV57)-SUM($CK57:CQ57)</f>
        <v>-240</v>
      </c>
      <c r="BU57" s="1">
        <f>SUM($AP57,$AQ57:AW57)-SUM($CK57:CR57)</f>
        <v>-400</v>
      </c>
      <c r="BV57" s="1">
        <f>SUM($AP57,$AQ57:AX57)-SUM($CK57:CS57)</f>
        <v>-600</v>
      </c>
      <c r="BW57" s="1">
        <f>SUM($AP57,$AQ57:AY57)-SUM($CK57:CT57)</f>
        <v>-840</v>
      </c>
      <c r="BX57" s="1">
        <f>SUM($AP57,$AQ57:AZ57)-SUM($CK57:CU57)</f>
        <v>-1120</v>
      </c>
      <c r="BY57" s="1">
        <f>SUM($AP57,$AQ57:BA57)-SUM($CK57:CV57)</f>
        <v>-1440</v>
      </c>
      <c r="BZ57" s="1">
        <f>SUM($AP57,$AQ57:BB57)-SUM($CK57:CW57)</f>
        <v>-1800</v>
      </c>
      <c r="CA57" s="1">
        <f>SUM($AP57,$AQ57:BC57)-SUM($CK57:CX57)</f>
        <v>-2200</v>
      </c>
      <c r="CB57" s="1">
        <f>SUM($AP57,$AQ57:BD57)-SUM($CK57:CY57)</f>
        <v>-2640</v>
      </c>
      <c r="CC57" s="1">
        <f>SUM($AP57,$AQ57:BE57)-SUM($CK57:CZ57)</f>
        <v>-3120</v>
      </c>
      <c r="CD57" s="1">
        <f>SUM($AP57,$AQ57:BF57)-SUM($CK57:DA57)</f>
        <v>-3640</v>
      </c>
      <c r="CE57" s="1">
        <f>SUM($AP57,$AQ57:BG57)-SUM($CK57:DB57)</f>
        <v>-3640</v>
      </c>
      <c r="CF57" s="1">
        <f>SUM($AP57,$AQ57:BH57)-SUM($CK57:DC57)</f>
        <v>-3640</v>
      </c>
      <c r="CG57" s="1">
        <f>SUM($AP57,$AQ57:BI57)-SUM($CK57:DD57)</f>
        <v>-3640</v>
      </c>
      <c r="CK57" s="1">
        <f t="array" ref="CK57">SUMPRODUCT($H57:$Y57,(TRANSPOSE(CK$2:CK$19)))</f>
        <v>0</v>
      </c>
      <c r="CL57" s="1">
        <f t="array" ref="CL57">SUMPRODUCT($H57:$Y57,(TRANSPOSE(CL$2:CL$19)))</f>
        <v>0</v>
      </c>
      <c r="CM57" s="1">
        <f t="array" ref="CM57">SUMPRODUCT($H57:$Y57,(TRANSPOSE(CM$2:CM$19)))</f>
        <v>0</v>
      </c>
      <c r="CN57" s="1">
        <f t="array" ref="CN57">SUMPRODUCT($H57:$Y57,(TRANSPOSE(CN$2:CN$19)))</f>
        <v>0</v>
      </c>
      <c r="CO57" s="1">
        <f t="array" ref="CO57">SUMPRODUCT($H57:$Y57,(TRANSPOSE(CO$2:CO$19)))</f>
        <v>40</v>
      </c>
      <c r="CP57" s="1">
        <f t="array" ref="CP57">SUMPRODUCT($H57:$Y57,(TRANSPOSE(CP$2:CP$19)))</f>
        <v>80</v>
      </c>
      <c r="CQ57" s="1">
        <f t="array" ref="CQ57">SUMPRODUCT($H57:$Y57,(TRANSPOSE(CQ$2:CQ$19)))</f>
        <v>120</v>
      </c>
      <c r="CR57" s="1">
        <f t="array" ref="CR57">SUMPRODUCT($H57:$Y57,(TRANSPOSE(CR$2:CR$19)))</f>
        <v>160</v>
      </c>
      <c r="CS57" s="1">
        <f t="array" ref="CS57">SUMPRODUCT($H57:$Y57,(TRANSPOSE(CS$2:CS$19)))</f>
        <v>200</v>
      </c>
      <c r="CT57" s="1">
        <f t="array" ref="CT57">SUMPRODUCT($H57:$Y57,(TRANSPOSE(CT$2:CT$19)))</f>
        <v>240</v>
      </c>
      <c r="CU57" s="1">
        <f t="array" ref="CU57">SUMPRODUCT($H57:$Y57,(TRANSPOSE(CU$2:CU$19)))</f>
        <v>280</v>
      </c>
      <c r="CV57" s="1">
        <f t="array" ref="CV57">SUMPRODUCT($H57:$Y57,(TRANSPOSE(CV$2:CV$19)))</f>
        <v>320</v>
      </c>
      <c r="CW57" s="1">
        <f t="array" ref="CW57">SUMPRODUCT($H57:$Y57,(TRANSPOSE(CW$2:CW$19)))</f>
        <v>360</v>
      </c>
      <c r="CX57" s="1">
        <f t="array" ref="CX57">SUMPRODUCT($H57:$Y57,(TRANSPOSE(CX$2:CX$19)))</f>
        <v>400</v>
      </c>
      <c r="CY57" s="1">
        <f t="array" ref="CY57">SUMPRODUCT($H57:$Y57,(TRANSPOSE(CY$2:CY$19)))</f>
        <v>440</v>
      </c>
      <c r="CZ57" s="1">
        <f t="array" ref="CZ57">SUMPRODUCT($H57:$Y57,(TRANSPOSE(CZ$2:CZ$19)))</f>
        <v>480</v>
      </c>
      <c r="DA57" s="1">
        <f t="array" ref="DA57">SUMPRODUCT($H57:$Y57,(TRANSPOSE(DA$2:DA$19)))</f>
        <v>520</v>
      </c>
      <c r="DB57" s="1">
        <f t="array" ref="DB57">SUMPRODUCT($H57:$Y57,(TRANSPOSE(DB$2:DB$19)))</f>
        <v>0</v>
      </c>
      <c r="DC57" s="1">
        <f t="array" ref="DC57">SUMPRODUCT($H57:$Y57,(TRANSPOSE(DC$2:DC$19)))</f>
        <v>0</v>
      </c>
      <c r="DD57" s="1">
        <f t="array" ref="DD57">SUMPRODUCT($H57:$Y57,(TRANSPOSE(DD$2:DD$19)))</f>
        <v>0</v>
      </c>
    </row>
    <row r="58" spans="1:108" x14ac:dyDescent="0.2">
      <c r="A58" s="1">
        <v>47</v>
      </c>
      <c r="B58" s="10" t="s">
        <v>785</v>
      </c>
      <c r="C58" s="1" t="s">
        <v>19</v>
      </c>
      <c r="D58" s="1">
        <v>401513194</v>
      </c>
      <c r="F58" s="1" t="s">
        <v>784</v>
      </c>
      <c r="G58" s="1" t="s">
        <v>20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70</v>
      </c>
      <c r="U58" s="1">
        <v>0</v>
      </c>
      <c r="V58" s="1">
        <v>0</v>
      </c>
      <c r="W58" s="1">
        <v>0</v>
      </c>
      <c r="X58" s="1">
        <v>70</v>
      </c>
      <c r="Y58" s="1">
        <v>0</v>
      </c>
      <c r="Z58" s="1">
        <f>SUM(H58:Y58)</f>
        <v>140</v>
      </c>
      <c r="AA58" s="1">
        <f>SUMPRODUCT(H58:Y58,$H$16:$Y$16)</f>
        <v>127400</v>
      </c>
      <c r="AB58" s="18" t="s">
        <v>733</v>
      </c>
      <c r="AC58" s="1">
        <v>3.85</v>
      </c>
      <c r="AD58" s="9"/>
      <c r="AE58" s="1" t="s">
        <v>28</v>
      </c>
      <c r="AF58" s="1">
        <f>AC58</f>
        <v>3.85</v>
      </c>
      <c r="AH58" s="1">
        <v>3000</v>
      </c>
      <c r="AK58" s="1" t="s">
        <v>296</v>
      </c>
      <c r="AL58" s="1" t="s">
        <v>295</v>
      </c>
      <c r="AM58" s="1" t="s">
        <v>294</v>
      </c>
      <c r="AN58" s="2" t="s">
        <v>293</v>
      </c>
      <c r="BO58" s="1">
        <f>SUM($AP58,$AQ58:AQ58)-SUM($CK58:CL58)</f>
        <v>0</v>
      </c>
      <c r="BP58" s="1">
        <f>SUM($AP58,$AQ58:AR58)-SUM($CK58:CM58)</f>
        <v>0</v>
      </c>
      <c r="BQ58" s="1">
        <f>SUM($AP58,$AQ58:AS58)-SUM($CK58:CN58)</f>
        <v>0</v>
      </c>
      <c r="BR58" s="1">
        <f>SUM($AP58,$AQ58:AT58)-SUM($CK58:CO58)</f>
        <v>-1400</v>
      </c>
      <c r="BS58" s="1">
        <f>SUM($AP58,$AQ58:AU58)-SUM($CK58:CP58)</f>
        <v>-4200</v>
      </c>
      <c r="BT58" s="1">
        <f>SUM($AP58,$AQ58:AV58)-SUM($CK58:CQ58)</f>
        <v>-8400</v>
      </c>
      <c r="BU58" s="1">
        <f>SUM($AP58,$AQ58:AW58)-SUM($CK58:CR58)</f>
        <v>-14000</v>
      </c>
      <c r="BV58" s="1">
        <f>SUM($AP58,$AQ58:AX58)-SUM($CK58:CS58)</f>
        <v>-21000</v>
      </c>
      <c r="BW58" s="1">
        <f>SUM($AP58,$AQ58:AY58)-SUM($CK58:CT58)</f>
        <v>-29400</v>
      </c>
      <c r="BX58" s="1">
        <f>SUM($AP58,$AQ58:AZ58)-SUM($CK58:CU58)</f>
        <v>-39200</v>
      </c>
      <c r="BY58" s="1">
        <f>SUM($AP58,$AQ58:BA58)-SUM($CK58:CV58)</f>
        <v>-50400</v>
      </c>
      <c r="BZ58" s="1">
        <f>SUM($AP58,$AQ58:BB58)-SUM($CK58:CW58)</f>
        <v>-63000</v>
      </c>
      <c r="CA58" s="1">
        <f>SUM($AP58,$AQ58:BC58)-SUM($CK58:CX58)</f>
        <v>-77000</v>
      </c>
      <c r="CB58" s="1">
        <f>SUM($AP58,$AQ58:BD58)-SUM($CK58:CY58)</f>
        <v>-92400</v>
      </c>
      <c r="CC58" s="1">
        <f>SUM($AP58,$AQ58:BE58)-SUM($CK58:CZ58)</f>
        <v>-109200</v>
      </c>
      <c r="CD58" s="1">
        <f>SUM($AP58,$AQ58:BF58)-SUM($CK58:DA58)</f>
        <v>-127400</v>
      </c>
      <c r="CE58" s="1">
        <f>SUM($AP58,$AQ58:BG58)-SUM($CK58:DB58)</f>
        <v>-127400</v>
      </c>
      <c r="CF58" s="1">
        <f>SUM($AP58,$AQ58:BH58)-SUM($CK58:DC58)</f>
        <v>-127400</v>
      </c>
      <c r="CG58" s="1">
        <f>SUM($AP58,$AQ58:BI58)-SUM($CK58:DD58)</f>
        <v>-127400</v>
      </c>
      <c r="CK58" s="1">
        <f t="array" ref="CK58">SUMPRODUCT($H58:$Y58,(TRANSPOSE(CK$2:CK$19)))</f>
        <v>0</v>
      </c>
      <c r="CL58" s="1">
        <f t="array" ref="CL58">SUMPRODUCT($H58:$Y58,(TRANSPOSE(CL$2:CL$19)))</f>
        <v>0</v>
      </c>
      <c r="CM58" s="1">
        <f t="array" ref="CM58">SUMPRODUCT($H58:$Y58,(TRANSPOSE(CM$2:CM$19)))</f>
        <v>0</v>
      </c>
      <c r="CN58" s="1">
        <f t="array" ref="CN58">SUMPRODUCT($H58:$Y58,(TRANSPOSE(CN$2:CN$19)))</f>
        <v>0</v>
      </c>
      <c r="CO58" s="1">
        <f t="array" ref="CO58">SUMPRODUCT($H58:$Y58,(TRANSPOSE(CO$2:CO$19)))</f>
        <v>1400</v>
      </c>
      <c r="CP58" s="1">
        <f t="array" ref="CP58">SUMPRODUCT($H58:$Y58,(TRANSPOSE(CP$2:CP$19)))</f>
        <v>2800</v>
      </c>
      <c r="CQ58" s="1">
        <f t="array" ref="CQ58">SUMPRODUCT($H58:$Y58,(TRANSPOSE(CQ$2:CQ$19)))</f>
        <v>4200</v>
      </c>
      <c r="CR58" s="1">
        <f t="array" ref="CR58">SUMPRODUCT($H58:$Y58,(TRANSPOSE(CR$2:CR$19)))</f>
        <v>5600</v>
      </c>
      <c r="CS58" s="1">
        <f t="array" ref="CS58">SUMPRODUCT($H58:$Y58,(TRANSPOSE(CS$2:CS$19)))</f>
        <v>7000</v>
      </c>
      <c r="CT58" s="1">
        <f t="array" ref="CT58">SUMPRODUCT($H58:$Y58,(TRANSPOSE(CT$2:CT$19)))</f>
        <v>8400</v>
      </c>
      <c r="CU58" s="1">
        <f t="array" ref="CU58">SUMPRODUCT($H58:$Y58,(TRANSPOSE(CU$2:CU$19)))</f>
        <v>9800</v>
      </c>
      <c r="CV58" s="1">
        <f t="array" ref="CV58">SUMPRODUCT($H58:$Y58,(TRANSPOSE(CV$2:CV$19)))</f>
        <v>11200</v>
      </c>
      <c r="CW58" s="1">
        <f t="array" ref="CW58">SUMPRODUCT($H58:$Y58,(TRANSPOSE(CW$2:CW$19)))</f>
        <v>12600</v>
      </c>
      <c r="CX58" s="1">
        <f t="array" ref="CX58">SUMPRODUCT($H58:$Y58,(TRANSPOSE(CX$2:CX$19)))</f>
        <v>14000</v>
      </c>
      <c r="CY58" s="1">
        <f t="array" ref="CY58">SUMPRODUCT($H58:$Y58,(TRANSPOSE(CY$2:CY$19)))</f>
        <v>15400</v>
      </c>
      <c r="CZ58" s="1">
        <f t="array" ref="CZ58">SUMPRODUCT($H58:$Y58,(TRANSPOSE(CZ$2:CZ$19)))</f>
        <v>16800</v>
      </c>
      <c r="DA58" s="1">
        <f t="array" ref="DA58">SUMPRODUCT($H58:$Y58,(TRANSPOSE(DA$2:DA$19)))</f>
        <v>18200</v>
      </c>
      <c r="DB58" s="1">
        <f t="array" ref="DB58">SUMPRODUCT($H58:$Y58,(TRANSPOSE(DB$2:DB$19)))</f>
        <v>0</v>
      </c>
      <c r="DC58" s="1">
        <f t="array" ref="DC58">SUMPRODUCT($H58:$Y58,(TRANSPOSE(DC$2:DC$19)))</f>
        <v>0</v>
      </c>
      <c r="DD58" s="1">
        <f t="array" ref="DD58">SUMPRODUCT($H58:$Y58,(TRANSPOSE(DD$2:DD$19)))</f>
        <v>0</v>
      </c>
    </row>
    <row r="59" spans="1:108" x14ac:dyDescent="0.2">
      <c r="A59" s="1">
        <v>50</v>
      </c>
      <c r="B59" s="10" t="s">
        <v>783</v>
      </c>
      <c r="C59" s="1" t="s">
        <v>19</v>
      </c>
      <c r="D59" s="1">
        <v>400606117</v>
      </c>
      <c r="F59" s="1" t="s">
        <v>782</v>
      </c>
      <c r="G59" s="1" t="s">
        <v>20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</v>
      </c>
      <c r="S59" s="1">
        <v>0</v>
      </c>
      <c r="T59" s="1">
        <v>0</v>
      </c>
      <c r="U59" s="1">
        <v>0</v>
      </c>
      <c r="V59" s="1">
        <v>2</v>
      </c>
      <c r="W59" s="1">
        <v>0</v>
      </c>
      <c r="X59" s="1">
        <v>0</v>
      </c>
      <c r="Y59" s="1">
        <v>0</v>
      </c>
      <c r="Z59" s="1">
        <f>SUM(H59:Y59)</f>
        <v>4</v>
      </c>
      <c r="AA59" s="1">
        <f>SUMPRODUCT(H59:Y59,$H$16:$Y$16)</f>
        <v>3640</v>
      </c>
      <c r="AB59" s="18" t="s">
        <v>733</v>
      </c>
      <c r="AC59" s="14"/>
      <c r="AD59" s="9"/>
      <c r="AF59" s="14"/>
      <c r="AN59" s="2"/>
      <c r="BO59" s="1">
        <f>SUM($AP59,$AQ59:AQ59)-SUM($CK59:CL59)</f>
        <v>0</v>
      </c>
      <c r="BP59" s="1">
        <f>SUM($AP59,$AQ59:AR59)-SUM($CK59:CM59)</f>
        <v>0</v>
      </c>
      <c r="BQ59" s="1">
        <f>SUM($AP59,$AQ59:AS59)-SUM($CK59:CN59)</f>
        <v>0</v>
      </c>
      <c r="BR59" s="1">
        <f>SUM($AP59,$AQ59:AT59)-SUM($CK59:CO59)</f>
        <v>0</v>
      </c>
      <c r="BS59" s="1">
        <f>SUM($AP59,$AQ59:AU59)-SUM($CK59:CP59)</f>
        <v>0</v>
      </c>
      <c r="BT59" s="1">
        <f>SUM($AP59,$AQ59:AV59)-SUM($CK59:CQ59)</f>
        <v>-40</v>
      </c>
      <c r="BU59" s="1">
        <f>SUM($AP59,$AQ59:AW59)-SUM($CK59:CR59)</f>
        <v>-120</v>
      </c>
      <c r="BV59" s="1">
        <f>SUM($AP59,$AQ59:AX59)-SUM($CK59:CS59)</f>
        <v>-240</v>
      </c>
      <c r="BW59" s="1">
        <f>SUM($AP59,$AQ59:AY59)-SUM($CK59:CT59)</f>
        <v>-400</v>
      </c>
      <c r="BX59" s="1">
        <f>SUM($AP59,$AQ59:AZ59)-SUM($CK59:CU59)</f>
        <v>-600</v>
      </c>
      <c r="BY59" s="1">
        <f>SUM($AP59,$AQ59:BA59)-SUM($CK59:CV59)</f>
        <v>-840</v>
      </c>
      <c r="BZ59" s="1">
        <f>SUM($AP59,$AQ59:BB59)-SUM($CK59:CW59)</f>
        <v>-1120</v>
      </c>
      <c r="CA59" s="1">
        <f>SUM($AP59,$AQ59:BC59)-SUM($CK59:CX59)</f>
        <v>-1440</v>
      </c>
      <c r="CB59" s="1">
        <f>SUM($AP59,$AQ59:BD59)-SUM($CK59:CY59)</f>
        <v>-1800</v>
      </c>
      <c r="CC59" s="1">
        <f>SUM($AP59,$AQ59:BE59)-SUM($CK59:CZ59)</f>
        <v>-2200</v>
      </c>
      <c r="CD59" s="1">
        <f>SUM($AP59,$AQ59:BF59)-SUM($CK59:DA59)</f>
        <v>-2640</v>
      </c>
      <c r="CE59" s="1">
        <f>SUM($AP59,$AQ59:BG59)-SUM($CK59:DB59)</f>
        <v>-3120</v>
      </c>
      <c r="CF59" s="1">
        <f>SUM($AP59,$AQ59:BH59)-SUM($CK59:DC59)</f>
        <v>-3640</v>
      </c>
      <c r="CG59" s="1">
        <f>SUM($AP59,$AQ59:BI59)-SUM($CK59:DD59)</f>
        <v>-3640</v>
      </c>
      <c r="CK59" s="1">
        <f t="array" ref="CK59">SUMPRODUCT($H59:$Y59,(TRANSPOSE(CK$2:CK$19)))</f>
        <v>0</v>
      </c>
      <c r="CL59" s="1">
        <f t="array" ref="CL59">SUMPRODUCT($H59:$Y59,(TRANSPOSE(CL$2:CL$19)))</f>
        <v>0</v>
      </c>
      <c r="CM59" s="1">
        <f t="array" ref="CM59">SUMPRODUCT($H59:$Y59,(TRANSPOSE(CM$2:CM$19)))</f>
        <v>0</v>
      </c>
      <c r="CN59" s="1">
        <f t="array" ref="CN59">SUMPRODUCT($H59:$Y59,(TRANSPOSE(CN$2:CN$19)))</f>
        <v>0</v>
      </c>
      <c r="CO59" s="1">
        <f t="array" ref="CO59">SUMPRODUCT($H59:$Y59,(TRANSPOSE(CO$2:CO$19)))</f>
        <v>0</v>
      </c>
      <c r="CP59" s="1">
        <f t="array" ref="CP59">SUMPRODUCT($H59:$Y59,(TRANSPOSE(CP$2:CP$19)))</f>
        <v>0</v>
      </c>
      <c r="CQ59" s="1">
        <f t="array" ref="CQ59">SUMPRODUCT($H59:$Y59,(TRANSPOSE(CQ$2:CQ$19)))</f>
        <v>40</v>
      </c>
      <c r="CR59" s="1">
        <f t="array" ref="CR59">SUMPRODUCT($H59:$Y59,(TRANSPOSE(CR$2:CR$19)))</f>
        <v>80</v>
      </c>
      <c r="CS59" s="1">
        <f t="array" ref="CS59">SUMPRODUCT($H59:$Y59,(TRANSPOSE(CS$2:CS$19)))</f>
        <v>120</v>
      </c>
      <c r="CT59" s="1">
        <f t="array" ref="CT59">SUMPRODUCT($H59:$Y59,(TRANSPOSE(CT$2:CT$19)))</f>
        <v>160</v>
      </c>
      <c r="CU59" s="1">
        <f t="array" ref="CU59">SUMPRODUCT($H59:$Y59,(TRANSPOSE(CU$2:CU$19)))</f>
        <v>200</v>
      </c>
      <c r="CV59" s="1">
        <f t="array" ref="CV59">SUMPRODUCT($H59:$Y59,(TRANSPOSE(CV$2:CV$19)))</f>
        <v>240</v>
      </c>
      <c r="CW59" s="1">
        <f t="array" ref="CW59">SUMPRODUCT($H59:$Y59,(TRANSPOSE(CW$2:CW$19)))</f>
        <v>280</v>
      </c>
      <c r="CX59" s="1">
        <f t="array" ref="CX59">SUMPRODUCT($H59:$Y59,(TRANSPOSE(CX$2:CX$19)))</f>
        <v>320</v>
      </c>
      <c r="CY59" s="1">
        <f t="array" ref="CY59">SUMPRODUCT($H59:$Y59,(TRANSPOSE(CY$2:CY$19)))</f>
        <v>360</v>
      </c>
      <c r="CZ59" s="1">
        <f t="array" ref="CZ59">SUMPRODUCT($H59:$Y59,(TRANSPOSE(CZ$2:CZ$19)))</f>
        <v>400</v>
      </c>
      <c r="DA59" s="1">
        <f t="array" ref="DA59">SUMPRODUCT($H59:$Y59,(TRANSPOSE(DA$2:DA$19)))</f>
        <v>440</v>
      </c>
      <c r="DB59" s="1">
        <f t="array" ref="DB59">SUMPRODUCT($H59:$Y59,(TRANSPOSE(DB$2:DB$19)))</f>
        <v>480</v>
      </c>
      <c r="DC59" s="1">
        <f t="array" ref="DC59">SUMPRODUCT($H59:$Y59,(TRANSPOSE(DC$2:DC$19)))</f>
        <v>520</v>
      </c>
      <c r="DD59" s="1">
        <f t="array" ref="DD59">SUMPRODUCT($H59:$Y59,(TRANSPOSE(DD$2:DD$19)))</f>
        <v>0</v>
      </c>
    </row>
    <row r="60" spans="1:108" x14ac:dyDescent="0.2">
      <c r="A60" s="1">
        <v>51</v>
      </c>
      <c r="B60" s="10" t="s">
        <v>781</v>
      </c>
      <c r="C60" s="1" t="s">
        <v>19</v>
      </c>
      <c r="D60" s="1">
        <v>405901255</v>
      </c>
      <c r="F60" s="1" t="s">
        <v>773</v>
      </c>
      <c r="G60" s="1" t="s">
        <v>20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2</v>
      </c>
      <c r="T60" s="1">
        <v>0</v>
      </c>
      <c r="U60" s="1">
        <v>0</v>
      </c>
      <c r="V60" s="1">
        <v>0</v>
      </c>
      <c r="W60" s="1">
        <v>2</v>
      </c>
      <c r="X60" s="1">
        <v>0</v>
      </c>
      <c r="Y60" s="1">
        <v>0</v>
      </c>
      <c r="Z60" s="1">
        <f>SUM(H60:Y60)</f>
        <v>4</v>
      </c>
      <c r="AA60" s="1">
        <f>SUMPRODUCT(H60:Y60,$H$16:$Y$16)</f>
        <v>3640</v>
      </c>
      <c r="AB60" s="18" t="s">
        <v>733</v>
      </c>
      <c r="AC60" s="1">
        <v>4</v>
      </c>
      <c r="AD60" s="9"/>
      <c r="AE60" s="1" t="s">
        <v>28</v>
      </c>
      <c r="AF60" s="1">
        <f>AC60</f>
        <v>4</v>
      </c>
      <c r="AG60" s="1">
        <v>1</v>
      </c>
      <c r="AH60" s="1">
        <v>1</v>
      </c>
      <c r="AK60" s="1" t="s">
        <v>761</v>
      </c>
      <c r="AL60" s="1" t="s">
        <v>760</v>
      </c>
      <c r="AM60" s="1">
        <v>91.973118825300006</v>
      </c>
      <c r="AN60" s="2" t="s">
        <v>759</v>
      </c>
      <c r="BO60" s="1">
        <f>SUM($AP60,$AQ60:AQ60)-SUM($CK60:CL60)</f>
        <v>0</v>
      </c>
      <c r="BP60" s="1">
        <f>SUM($AP60,$AQ60:AR60)-SUM($CK60:CM60)</f>
        <v>0</v>
      </c>
      <c r="BQ60" s="1">
        <f>SUM($AP60,$AQ60:AS60)-SUM($CK60:CN60)</f>
        <v>0</v>
      </c>
      <c r="BR60" s="1">
        <f>SUM($AP60,$AQ60:AT60)-SUM($CK60:CO60)</f>
        <v>0</v>
      </c>
      <c r="BS60" s="1">
        <f>SUM($AP60,$AQ60:AU60)-SUM($CK60:CP60)</f>
        <v>-40</v>
      </c>
      <c r="BT60" s="1">
        <f>SUM($AP60,$AQ60:AV60)-SUM($CK60:CQ60)</f>
        <v>-120</v>
      </c>
      <c r="BU60" s="1">
        <f>SUM($AP60,$AQ60:AW60)-SUM($CK60:CR60)</f>
        <v>-240</v>
      </c>
      <c r="BV60" s="1">
        <f>SUM($AP60,$AQ60:AX60)-SUM($CK60:CS60)</f>
        <v>-400</v>
      </c>
      <c r="BW60" s="1">
        <f>SUM($AP60,$AQ60:AY60)-SUM($CK60:CT60)</f>
        <v>-600</v>
      </c>
      <c r="BX60" s="1">
        <f>SUM($AP60,$AQ60:AZ60)-SUM($CK60:CU60)</f>
        <v>-840</v>
      </c>
      <c r="BY60" s="1">
        <f>SUM($AP60,$AQ60:BA60)-SUM($CK60:CV60)</f>
        <v>-1120</v>
      </c>
      <c r="BZ60" s="1">
        <f>SUM($AP60,$AQ60:BB60)-SUM($CK60:CW60)</f>
        <v>-1440</v>
      </c>
      <c r="CA60" s="1">
        <f>SUM($AP60,$AQ60:BC60)-SUM($CK60:CX60)</f>
        <v>-1800</v>
      </c>
      <c r="CB60" s="1">
        <f>SUM($AP60,$AQ60:BD60)-SUM($CK60:CY60)</f>
        <v>-2200</v>
      </c>
      <c r="CC60" s="1">
        <f>SUM($AP60,$AQ60:BE60)-SUM($CK60:CZ60)</f>
        <v>-2640</v>
      </c>
      <c r="CD60" s="1">
        <f>SUM($AP60,$AQ60:BF60)-SUM($CK60:DA60)</f>
        <v>-3120</v>
      </c>
      <c r="CE60" s="1">
        <f>SUM($AP60,$AQ60:BG60)-SUM($CK60:DB60)</f>
        <v>-3640</v>
      </c>
      <c r="CF60" s="1">
        <f>SUM($AP60,$AQ60:BH60)-SUM($CK60:DC60)</f>
        <v>-3640</v>
      </c>
      <c r="CG60" s="1">
        <f>SUM($AP60,$AQ60:BI60)-SUM($CK60:DD60)</f>
        <v>-3640</v>
      </c>
      <c r="CK60" s="1">
        <f t="array" ref="CK60">SUMPRODUCT($H60:$Y60,(TRANSPOSE(CK$2:CK$19)))</f>
        <v>0</v>
      </c>
      <c r="CL60" s="1">
        <f t="array" ref="CL60">SUMPRODUCT($H60:$Y60,(TRANSPOSE(CL$2:CL$19)))</f>
        <v>0</v>
      </c>
      <c r="CM60" s="1">
        <f t="array" ref="CM60">SUMPRODUCT($H60:$Y60,(TRANSPOSE(CM$2:CM$19)))</f>
        <v>0</v>
      </c>
      <c r="CN60" s="1">
        <f t="array" ref="CN60">SUMPRODUCT($H60:$Y60,(TRANSPOSE(CN$2:CN$19)))</f>
        <v>0</v>
      </c>
      <c r="CO60" s="1">
        <f t="array" ref="CO60">SUMPRODUCT($H60:$Y60,(TRANSPOSE(CO$2:CO$19)))</f>
        <v>0</v>
      </c>
      <c r="CP60" s="1">
        <f t="array" ref="CP60">SUMPRODUCT($H60:$Y60,(TRANSPOSE(CP$2:CP$19)))</f>
        <v>40</v>
      </c>
      <c r="CQ60" s="1">
        <f t="array" ref="CQ60">SUMPRODUCT($H60:$Y60,(TRANSPOSE(CQ$2:CQ$19)))</f>
        <v>80</v>
      </c>
      <c r="CR60" s="1">
        <f t="array" ref="CR60">SUMPRODUCT($H60:$Y60,(TRANSPOSE(CR$2:CR$19)))</f>
        <v>120</v>
      </c>
      <c r="CS60" s="1">
        <f t="array" ref="CS60">SUMPRODUCT($H60:$Y60,(TRANSPOSE(CS$2:CS$19)))</f>
        <v>160</v>
      </c>
      <c r="CT60" s="1">
        <f t="array" ref="CT60">SUMPRODUCT($H60:$Y60,(TRANSPOSE(CT$2:CT$19)))</f>
        <v>200</v>
      </c>
      <c r="CU60" s="1">
        <f t="array" ref="CU60">SUMPRODUCT($H60:$Y60,(TRANSPOSE(CU$2:CU$19)))</f>
        <v>240</v>
      </c>
      <c r="CV60" s="1">
        <f t="array" ref="CV60">SUMPRODUCT($H60:$Y60,(TRANSPOSE(CV$2:CV$19)))</f>
        <v>280</v>
      </c>
      <c r="CW60" s="1">
        <f t="array" ref="CW60">SUMPRODUCT($H60:$Y60,(TRANSPOSE(CW$2:CW$19)))</f>
        <v>320</v>
      </c>
      <c r="CX60" s="1">
        <f t="array" ref="CX60">SUMPRODUCT($H60:$Y60,(TRANSPOSE(CX$2:CX$19)))</f>
        <v>360</v>
      </c>
      <c r="CY60" s="1">
        <f t="array" ref="CY60">SUMPRODUCT($H60:$Y60,(TRANSPOSE(CY$2:CY$19)))</f>
        <v>400</v>
      </c>
      <c r="CZ60" s="1">
        <f t="array" ref="CZ60">SUMPRODUCT($H60:$Y60,(TRANSPOSE(CZ$2:CZ$19)))</f>
        <v>440</v>
      </c>
      <c r="DA60" s="1">
        <f t="array" ref="DA60">SUMPRODUCT($H60:$Y60,(TRANSPOSE(DA$2:DA$19)))</f>
        <v>480</v>
      </c>
      <c r="DB60" s="1">
        <f t="array" ref="DB60">SUMPRODUCT($H60:$Y60,(TRANSPOSE(DB$2:DB$19)))</f>
        <v>520</v>
      </c>
      <c r="DC60" s="1">
        <f t="array" ref="DC60">SUMPRODUCT($H60:$Y60,(TRANSPOSE(DC$2:DC$19)))</f>
        <v>0</v>
      </c>
      <c r="DD60" s="1">
        <f t="array" ref="DD60">SUMPRODUCT($H60:$Y60,(TRANSPOSE(DD$2:DD$19)))</f>
        <v>0</v>
      </c>
    </row>
    <row r="61" spans="1:108" x14ac:dyDescent="0.2">
      <c r="A61" s="1">
        <v>52</v>
      </c>
      <c r="B61" s="10" t="s">
        <v>780</v>
      </c>
      <c r="C61" s="1" t="s">
        <v>643</v>
      </c>
      <c r="D61" s="1">
        <v>409627780</v>
      </c>
      <c r="F61" s="1" t="s">
        <v>773</v>
      </c>
      <c r="G61" s="1" t="s">
        <v>20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2</v>
      </c>
      <c r="T61" s="1">
        <v>0</v>
      </c>
      <c r="U61" s="1">
        <v>0</v>
      </c>
      <c r="V61" s="1">
        <v>0</v>
      </c>
      <c r="W61" s="1">
        <v>2</v>
      </c>
      <c r="X61" s="1">
        <v>0</v>
      </c>
      <c r="Y61" s="1">
        <v>0</v>
      </c>
      <c r="Z61" s="1">
        <f>SUM(H61:Y61)</f>
        <v>4</v>
      </c>
      <c r="AA61" s="1">
        <f>SUMPRODUCT(H61:Y61,$H$16:$Y$16)</f>
        <v>3640</v>
      </c>
      <c r="AB61" s="18" t="s">
        <v>733</v>
      </c>
      <c r="AC61" s="1">
        <v>250</v>
      </c>
      <c r="AD61" s="9"/>
      <c r="AE61" s="1" t="s">
        <v>28</v>
      </c>
      <c r="AF61" s="1">
        <f>AC61</f>
        <v>250</v>
      </c>
      <c r="AG61" s="1">
        <v>1</v>
      </c>
      <c r="AH61" s="1">
        <v>1</v>
      </c>
      <c r="AK61" s="1" t="s">
        <v>761</v>
      </c>
      <c r="AL61" s="1" t="s">
        <v>760</v>
      </c>
      <c r="AM61" s="1">
        <v>91.973118825300006</v>
      </c>
      <c r="AN61" s="2" t="s">
        <v>759</v>
      </c>
      <c r="BO61" s="1">
        <f>SUM($AP61,$AQ61:AQ61)-SUM($CK61:CL61)</f>
        <v>0</v>
      </c>
      <c r="BP61" s="1">
        <f>SUM($AP61,$AQ61:AR61)-SUM($CK61:CM61)</f>
        <v>0</v>
      </c>
      <c r="BQ61" s="1">
        <f>SUM($AP61,$AQ61:AS61)-SUM($CK61:CN61)</f>
        <v>0</v>
      </c>
      <c r="BR61" s="1">
        <f>SUM($AP61,$AQ61:AT61)-SUM($CK61:CO61)</f>
        <v>0</v>
      </c>
      <c r="BS61" s="1">
        <f>SUM($AP61,$AQ61:AU61)-SUM($CK61:CP61)</f>
        <v>-40</v>
      </c>
      <c r="BT61" s="1">
        <f>SUM($AP61,$AQ61:AV61)-SUM($CK61:CQ61)</f>
        <v>-120</v>
      </c>
      <c r="BU61" s="1">
        <f>SUM($AP61,$AQ61:AW61)-SUM($CK61:CR61)</f>
        <v>-240</v>
      </c>
      <c r="BV61" s="1">
        <f>SUM($AP61,$AQ61:AX61)-SUM($CK61:CS61)</f>
        <v>-400</v>
      </c>
      <c r="BW61" s="1">
        <f>SUM($AP61,$AQ61:AY61)-SUM($CK61:CT61)</f>
        <v>-600</v>
      </c>
      <c r="BX61" s="1">
        <f>SUM($AP61,$AQ61:AZ61)-SUM($CK61:CU61)</f>
        <v>-840</v>
      </c>
      <c r="BY61" s="1">
        <f>SUM($AP61,$AQ61:BA61)-SUM($CK61:CV61)</f>
        <v>-1120</v>
      </c>
      <c r="BZ61" s="1">
        <f>SUM($AP61,$AQ61:BB61)-SUM($CK61:CW61)</f>
        <v>-1440</v>
      </c>
      <c r="CA61" s="1">
        <f>SUM($AP61,$AQ61:BC61)-SUM($CK61:CX61)</f>
        <v>-1800</v>
      </c>
      <c r="CB61" s="1">
        <f>SUM($AP61,$AQ61:BD61)-SUM($CK61:CY61)</f>
        <v>-2200</v>
      </c>
      <c r="CC61" s="1">
        <f>SUM($AP61,$AQ61:BE61)-SUM($CK61:CZ61)</f>
        <v>-2640</v>
      </c>
      <c r="CD61" s="1">
        <f>SUM($AP61,$AQ61:BF61)-SUM($CK61:DA61)</f>
        <v>-3120</v>
      </c>
      <c r="CE61" s="1">
        <f>SUM($AP61,$AQ61:BG61)-SUM($CK61:DB61)</f>
        <v>-3640</v>
      </c>
      <c r="CF61" s="1">
        <f>SUM($AP61,$AQ61:BH61)-SUM($CK61:DC61)</f>
        <v>-3640</v>
      </c>
      <c r="CG61" s="1">
        <f>SUM($AP61,$AQ61:BI61)-SUM($CK61:DD61)</f>
        <v>-3640</v>
      </c>
      <c r="CK61" s="1">
        <f t="array" ref="CK61">SUMPRODUCT($H61:$Y61,(TRANSPOSE(CK$2:CK$19)))</f>
        <v>0</v>
      </c>
      <c r="CL61" s="1">
        <f t="array" ref="CL61">SUMPRODUCT($H61:$Y61,(TRANSPOSE(CL$2:CL$19)))</f>
        <v>0</v>
      </c>
      <c r="CM61" s="1">
        <f t="array" ref="CM61">SUMPRODUCT($H61:$Y61,(TRANSPOSE(CM$2:CM$19)))</f>
        <v>0</v>
      </c>
      <c r="CN61" s="1">
        <f t="array" ref="CN61">SUMPRODUCT($H61:$Y61,(TRANSPOSE(CN$2:CN$19)))</f>
        <v>0</v>
      </c>
      <c r="CO61" s="1">
        <f t="array" ref="CO61">SUMPRODUCT($H61:$Y61,(TRANSPOSE(CO$2:CO$19)))</f>
        <v>0</v>
      </c>
      <c r="CP61" s="1">
        <f t="array" ref="CP61">SUMPRODUCT($H61:$Y61,(TRANSPOSE(CP$2:CP$19)))</f>
        <v>40</v>
      </c>
      <c r="CQ61" s="1">
        <f t="array" ref="CQ61">SUMPRODUCT($H61:$Y61,(TRANSPOSE(CQ$2:CQ$19)))</f>
        <v>80</v>
      </c>
      <c r="CR61" s="1">
        <f t="array" ref="CR61">SUMPRODUCT($H61:$Y61,(TRANSPOSE(CR$2:CR$19)))</f>
        <v>120</v>
      </c>
      <c r="CS61" s="1">
        <f t="array" ref="CS61">SUMPRODUCT($H61:$Y61,(TRANSPOSE(CS$2:CS$19)))</f>
        <v>160</v>
      </c>
      <c r="CT61" s="1">
        <f t="array" ref="CT61">SUMPRODUCT($H61:$Y61,(TRANSPOSE(CT$2:CT$19)))</f>
        <v>200</v>
      </c>
      <c r="CU61" s="1">
        <f t="array" ref="CU61">SUMPRODUCT($H61:$Y61,(TRANSPOSE(CU$2:CU$19)))</f>
        <v>240</v>
      </c>
      <c r="CV61" s="1">
        <f t="array" ref="CV61">SUMPRODUCT($H61:$Y61,(TRANSPOSE(CV$2:CV$19)))</f>
        <v>280</v>
      </c>
      <c r="CW61" s="1">
        <f t="array" ref="CW61">SUMPRODUCT($H61:$Y61,(TRANSPOSE(CW$2:CW$19)))</f>
        <v>320</v>
      </c>
      <c r="CX61" s="1">
        <f t="array" ref="CX61">SUMPRODUCT($H61:$Y61,(TRANSPOSE(CX$2:CX$19)))</f>
        <v>360</v>
      </c>
      <c r="CY61" s="1">
        <f t="array" ref="CY61">SUMPRODUCT($H61:$Y61,(TRANSPOSE(CY$2:CY$19)))</f>
        <v>400</v>
      </c>
      <c r="CZ61" s="1">
        <f t="array" ref="CZ61">SUMPRODUCT($H61:$Y61,(TRANSPOSE(CZ$2:CZ$19)))</f>
        <v>440</v>
      </c>
      <c r="DA61" s="1">
        <f t="array" ref="DA61">SUMPRODUCT($H61:$Y61,(TRANSPOSE(DA$2:DA$19)))</f>
        <v>480</v>
      </c>
      <c r="DB61" s="1">
        <f t="array" ref="DB61">SUMPRODUCT($H61:$Y61,(TRANSPOSE(DB$2:DB$19)))</f>
        <v>520</v>
      </c>
      <c r="DC61" s="1">
        <f t="array" ref="DC61">SUMPRODUCT($H61:$Y61,(TRANSPOSE(DC$2:DC$19)))</f>
        <v>0</v>
      </c>
      <c r="DD61" s="1">
        <f t="array" ref="DD61">SUMPRODUCT($H61:$Y61,(TRANSPOSE(DD$2:DD$19)))</f>
        <v>0</v>
      </c>
    </row>
    <row r="62" spans="1:108" x14ac:dyDescent="0.2">
      <c r="A62" s="1">
        <v>53</v>
      </c>
      <c r="B62" s="10" t="s">
        <v>779</v>
      </c>
      <c r="C62" s="1" t="s">
        <v>19</v>
      </c>
      <c r="D62" s="1">
        <v>400639374</v>
      </c>
      <c r="F62" s="1" t="s">
        <v>778</v>
      </c>
      <c r="G62" s="1" t="s">
        <v>20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</v>
      </c>
      <c r="Y62" s="1">
        <v>0</v>
      </c>
      <c r="Z62" s="1">
        <f>SUM(H62:Y62)</f>
        <v>2</v>
      </c>
      <c r="AA62" s="1">
        <f>SUMPRODUCT(H62:Y62,$H$16:$Y$16)</f>
        <v>1820</v>
      </c>
      <c r="AB62" s="18" t="s">
        <v>733</v>
      </c>
      <c r="AC62" s="14"/>
      <c r="AD62" s="9"/>
      <c r="AF62" s="14"/>
      <c r="AJ62" s="14"/>
      <c r="AN62" s="2"/>
      <c r="BO62" s="1">
        <f>SUM($AP62,$AQ62:AQ62)-SUM($CK62:CL62)</f>
        <v>0</v>
      </c>
      <c r="BP62" s="1">
        <f>SUM($AP62,$AQ62:AR62)-SUM($CK62:CM62)</f>
        <v>0</v>
      </c>
      <c r="BQ62" s="1">
        <f>SUM($AP62,$AQ62:AS62)-SUM($CK62:CN62)</f>
        <v>0</v>
      </c>
      <c r="BR62" s="1">
        <f>SUM($AP62,$AQ62:AT62)-SUM($CK62:CO62)</f>
        <v>-20</v>
      </c>
      <c r="BS62" s="1">
        <f>SUM($AP62,$AQ62:AU62)-SUM($CK62:CP62)</f>
        <v>-60</v>
      </c>
      <c r="BT62" s="1">
        <f>SUM($AP62,$AQ62:AV62)-SUM($CK62:CQ62)</f>
        <v>-120</v>
      </c>
      <c r="BU62" s="1">
        <f>SUM($AP62,$AQ62:AW62)-SUM($CK62:CR62)</f>
        <v>-200</v>
      </c>
      <c r="BV62" s="1">
        <f>SUM($AP62,$AQ62:AX62)-SUM($CK62:CS62)</f>
        <v>-300</v>
      </c>
      <c r="BW62" s="1">
        <f>SUM($AP62,$AQ62:AY62)-SUM($CK62:CT62)</f>
        <v>-420</v>
      </c>
      <c r="BX62" s="1">
        <f>SUM($AP62,$AQ62:AZ62)-SUM($CK62:CU62)</f>
        <v>-560</v>
      </c>
      <c r="BY62" s="1">
        <f>SUM($AP62,$AQ62:BA62)-SUM($CK62:CV62)</f>
        <v>-720</v>
      </c>
      <c r="BZ62" s="1">
        <f>SUM($AP62,$AQ62:BB62)-SUM($CK62:CW62)</f>
        <v>-900</v>
      </c>
      <c r="CA62" s="1">
        <f>SUM($AP62,$AQ62:BC62)-SUM($CK62:CX62)</f>
        <v>-1100</v>
      </c>
      <c r="CB62" s="1">
        <f>SUM($AP62,$AQ62:BD62)-SUM($CK62:CY62)</f>
        <v>-1320</v>
      </c>
      <c r="CC62" s="1">
        <f>SUM($AP62,$AQ62:BE62)-SUM($CK62:CZ62)</f>
        <v>-1560</v>
      </c>
      <c r="CD62" s="1">
        <f>SUM($AP62,$AQ62:BF62)-SUM($CK62:DA62)</f>
        <v>-1820</v>
      </c>
      <c r="CE62" s="1">
        <f>SUM($AP62,$AQ62:BG62)-SUM($CK62:DB62)</f>
        <v>-1820</v>
      </c>
      <c r="CF62" s="1">
        <f>SUM($AP62,$AQ62:BH62)-SUM($CK62:DC62)</f>
        <v>-1820</v>
      </c>
      <c r="CG62" s="1">
        <f>SUM($AP62,$AQ62:BI62)-SUM($CK62:DD62)</f>
        <v>-1820</v>
      </c>
      <c r="CK62" s="1">
        <f t="array" ref="CK62">SUMPRODUCT($H62:$Y62,(TRANSPOSE(CK$2:CK$19)))</f>
        <v>0</v>
      </c>
      <c r="CL62" s="1">
        <f t="array" ref="CL62">SUMPRODUCT($H62:$Y62,(TRANSPOSE(CL$2:CL$19)))</f>
        <v>0</v>
      </c>
      <c r="CM62" s="1">
        <f t="array" ref="CM62">SUMPRODUCT($H62:$Y62,(TRANSPOSE(CM$2:CM$19)))</f>
        <v>0</v>
      </c>
      <c r="CN62" s="1">
        <f t="array" ref="CN62">SUMPRODUCT($H62:$Y62,(TRANSPOSE(CN$2:CN$19)))</f>
        <v>0</v>
      </c>
      <c r="CO62" s="1">
        <f t="array" ref="CO62">SUMPRODUCT($H62:$Y62,(TRANSPOSE(CO$2:CO$19)))</f>
        <v>20</v>
      </c>
      <c r="CP62" s="1">
        <f t="array" ref="CP62">SUMPRODUCT($H62:$Y62,(TRANSPOSE(CP$2:CP$19)))</f>
        <v>40</v>
      </c>
      <c r="CQ62" s="1">
        <f t="array" ref="CQ62">SUMPRODUCT($H62:$Y62,(TRANSPOSE(CQ$2:CQ$19)))</f>
        <v>60</v>
      </c>
      <c r="CR62" s="1">
        <f t="array" ref="CR62">SUMPRODUCT($H62:$Y62,(TRANSPOSE(CR$2:CR$19)))</f>
        <v>80</v>
      </c>
      <c r="CS62" s="1">
        <f t="array" ref="CS62">SUMPRODUCT($H62:$Y62,(TRANSPOSE(CS$2:CS$19)))</f>
        <v>100</v>
      </c>
      <c r="CT62" s="1">
        <f t="array" ref="CT62">SUMPRODUCT($H62:$Y62,(TRANSPOSE(CT$2:CT$19)))</f>
        <v>120</v>
      </c>
      <c r="CU62" s="1">
        <f t="array" ref="CU62">SUMPRODUCT($H62:$Y62,(TRANSPOSE(CU$2:CU$19)))</f>
        <v>140</v>
      </c>
      <c r="CV62" s="1">
        <f t="array" ref="CV62">SUMPRODUCT($H62:$Y62,(TRANSPOSE(CV$2:CV$19)))</f>
        <v>160</v>
      </c>
      <c r="CW62" s="1">
        <f t="array" ref="CW62">SUMPRODUCT($H62:$Y62,(TRANSPOSE(CW$2:CW$19)))</f>
        <v>180</v>
      </c>
      <c r="CX62" s="1">
        <f t="array" ref="CX62">SUMPRODUCT($H62:$Y62,(TRANSPOSE(CX$2:CX$19)))</f>
        <v>200</v>
      </c>
      <c r="CY62" s="1">
        <f t="array" ref="CY62">SUMPRODUCT($H62:$Y62,(TRANSPOSE(CY$2:CY$19)))</f>
        <v>220</v>
      </c>
      <c r="CZ62" s="1">
        <f t="array" ref="CZ62">SUMPRODUCT($H62:$Y62,(TRANSPOSE(CZ$2:CZ$19)))</f>
        <v>240</v>
      </c>
      <c r="DA62" s="1">
        <f t="array" ref="DA62">SUMPRODUCT($H62:$Y62,(TRANSPOSE(DA$2:DA$19)))</f>
        <v>260</v>
      </c>
      <c r="DB62" s="1">
        <f t="array" ref="DB62">SUMPRODUCT($H62:$Y62,(TRANSPOSE(DB$2:DB$19)))</f>
        <v>0</v>
      </c>
      <c r="DC62" s="1">
        <f t="array" ref="DC62">SUMPRODUCT($H62:$Y62,(TRANSPOSE(DC$2:DC$19)))</f>
        <v>0</v>
      </c>
      <c r="DD62" s="1">
        <f t="array" ref="DD62">SUMPRODUCT($H62:$Y62,(TRANSPOSE(DD$2:DD$19)))</f>
        <v>0</v>
      </c>
    </row>
    <row r="63" spans="1:108" x14ac:dyDescent="0.2">
      <c r="A63" s="1">
        <v>55</v>
      </c>
      <c r="B63" s="10" t="s">
        <v>777</v>
      </c>
      <c r="C63" s="1">
        <v>-1</v>
      </c>
      <c r="D63" s="1">
        <v>414731764</v>
      </c>
      <c r="F63" s="1" t="s">
        <v>776</v>
      </c>
      <c r="G63" s="1" t="s">
        <v>20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</v>
      </c>
      <c r="S63" s="1">
        <v>0</v>
      </c>
      <c r="T63" s="1">
        <v>0</v>
      </c>
      <c r="U63" s="1">
        <v>0</v>
      </c>
      <c r="V63" s="1">
        <v>2</v>
      </c>
      <c r="W63" s="1">
        <v>0</v>
      </c>
      <c r="X63" s="1">
        <v>0</v>
      </c>
      <c r="Y63" s="1">
        <v>0</v>
      </c>
      <c r="Z63" s="1">
        <f>SUM(H63:Y63)</f>
        <v>4</v>
      </c>
      <c r="AA63" s="1">
        <f>SUMPRODUCT(H63:Y63,$H$16:$Y$16)</f>
        <v>3640</v>
      </c>
      <c r="AB63" s="18" t="s">
        <v>733</v>
      </c>
      <c r="AC63" s="1">
        <v>16.3</v>
      </c>
      <c r="AD63" s="9"/>
      <c r="AE63" s="1" t="s">
        <v>28</v>
      </c>
      <c r="AF63" s="1">
        <f>AC63</f>
        <v>16.3</v>
      </c>
      <c r="AG63" s="1">
        <v>1</v>
      </c>
      <c r="AH63" s="1">
        <v>1</v>
      </c>
      <c r="AK63" s="1" t="s">
        <v>767</v>
      </c>
      <c r="AL63" s="1" t="s">
        <v>766</v>
      </c>
      <c r="AM63" s="1" t="s">
        <v>765</v>
      </c>
      <c r="AN63" s="2" t="s">
        <v>764</v>
      </c>
      <c r="BO63" s="1">
        <f>SUM($AP63,$AQ63:AQ63)-SUM($CK63:CL63)</f>
        <v>0</v>
      </c>
      <c r="BP63" s="1">
        <f>SUM($AP63,$AQ63:AR63)-SUM($CK63:CM63)</f>
        <v>0</v>
      </c>
      <c r="BQ63" s="1">
        <f>SUM($AP63,$AQ63:AS63)-SUM($CK63:CN63)</f>
        <v>0</v>
      </c>
      <c r="BR63" s="1">
        <f>SUM($AP63,$AQ63:AT63)-SUM($CK63:CO63)</f>
        <v>0</v>
      </c>
      <c r="BS63" s="1">
        <f>SUM($AP63,$AQ63:AU63)-SUM($CK63:CP63)</f>
        <v>0</v>
      </c>
      <c r="BT63" s="1">
        <f>SUM($AP63,$AQ63:AV63)-SUM($CK63:CQ63)</f>
        <v>-40</v>
      </c>
      <c r="BU63" s="1">
        <f>SUM($AP63,$AQ63:AW63)-SUM($CK63:CR63)</f>
        <v>-120</v>
      </c>
      <c r="BV63" s="1">
        <f>SUM($AP63,$AQ63:AX63)-SUM($CK63:CS63)</f>
        <v>-240</v>
      </c>
      <c r="BW63" s="1">
        <f>SUM($AP63,$AQ63:AY63)-SUM($CK63:CT63)</f>
        <v>-400</v>
      </c>
      <c r="BX63" s="1">
        <f>SUM($AP63,$AQ63:AZ63)-SUM($CK63:CU63)</f>
        <v>-600</v>
      </c>
      <c r="BY63" s="1">
        <f>SUM($AP63,$AQ63:BA63)-SUM($CK63:CV63)</f>
        <v>-840</v>
      </c>
      <c r="BZ63" s="1">
        <f>SUM($AP63,$AQ63:BB63)-SUM($CK63:CW63)</f>
        <v>-1120</v>
      </c>
      <c r="CA63" s="1">
        <f>SUM($AP63,$AQ63:BC63)-SUM($CK63:CX63)</f>
        <v>-1440</v>
      </c>
      <c r="CB63" s="1">
        <f>SUM($AP63,$AQ63:BD63)-SUM($CK63:CY63)</f>
        <v>-1800</v>
      </c>
      <c r="CC63" s="1">
        <f>SUM($AP63,$AQ63:BE63)-SUM($CK63:CZ63)</f>
        <v>-2200</v>
      </c>
      <c r="CD63" s="1">
        <f>SUM($AP63,$AQ63:BF63)-SUM($CK63:DA63)</f>
        <v>-2640</v>
      </c>
      <c r="CE63" s="1">
        <f>SUM($AP63,$AQ63:BG63)-SUM($CK63:DB63)</f>
        <v>-3120</v>
      </c>
      <c r="CF63" s="1">
        <f>SUM($AP63,$AQ63:BH63)-SUM($CK63:DC63)</f>
        <v>-3640</v>
      </c>
      <c r="CG63" s="1">
        <f>SUM($AP63,$AQ63:BI63)-SUM($CK63:DD63)</f>
        <v>-3640</v>
      </c>
      <c r="CK63" s="1">
        <f t="array" ref="CK63">SUMPRODUCT($H63:$Y63,(TRANSPOSE(CK$2:CK$19)))</f>
        <v>0</v>
      </c>
      <c r="CL63" s="1">
        <f t="array" ref="CL63">SUMPRODUCT($H63:$Y63,(TRANSPOSE(CL$2:CL$19)))</f>
        <v>0</v>
      </c>
      <c r="CM63" s="1">
        <f t="array" ref="CM63">SUMPRODUCT($H63:$Y63,(TRANSPOSE(CM$2:CM$19)))</f>
        <v>0</v>
      </c>
      <c r="CN63" s="1">
        <f t="array" ref="CN63">SUMPRODUCT($H63:$Y63,(TRANSPOSE(CN$2:CN$19)))</f>
        <v>0</v>
      </c>
      <c r="CO63" s="1">
        <f t="array" ref="CO63">SUMPRODUCT($H63:$Y63,(TRANSPOSE(CO$2:CO$19)))</f>
        <v>0</v>
      </c>
      <c r="CP63" s="1">
        <f t="array" ref="CP63">SUMPRODUCT($H63:$Y63,(TRANSPOSE(CP$2:CP$19)))</f>
        <v>0</v>
      </c>
      <c r="CQ63" s="1">
        <f t="array" ref="CQ63">SUMPRODUCT($H63:$Y63,(TRANSPOSE(CQ$2:CQ$19)))</f>
        <v>40</v>
      </c>
      <c r="CR63" s="1">
        <f t="array" ref="CR63">SUMPRODUCT($H63:$Y63,(TRANSPOSE(CR$2:CR$19)))</f>
        <v>80</v>
      </c>
      <c r="CS63" s="1">
        <f t="array" ref="CS63">SUMPRODUCT($H63:$Y63,(TRANSPOSE(CS$2:CS$19)))</f>
        <v>120</v>
      </c>
      <c r="CT63" s="1">
        <f t="array" ref="CT63">SUMPRODUCT($H63:$Y63,(TRANSPOSE(CT$2:CT$19)))</f>
        <v>160</v>
      </c>
      <c r="CU63" s="1">
        <f t="array" ref="CU63">SUMPRODUCT($H63:$Y63,(TRANSPOSE(CU$2:CU$19)))</f>
        <v>200</v>
      </c>
      <c r="CV63" s="1">
        <f t="array" ref="CV63">SUMPRODUCT($H63:$Y63,(TRANSPOSE(CV$2:CV$19)))</f>
        <v>240</v>
      </c>
      <c r="CW63" s="1">
        <f t="array" ref="CW63">SUMPRODUCT($H63:$Y63,(TRANSPOSE(CW$2:CW$19)))</f>
        <v>280</v>
      </c>
      <c r="CX63" s="1">
        <f t="array" ref="CX63">SUMPRODUCT($H63:$Y63,(TRANSPOSE(CX$2:CX$19)))</f>
        <v>320</v>
      </c>
      <c r="CY63" s="1">
        <f t="array" ref="CY63">SUMPRODUCT($H63:$Y63,(TRANSPOSE(CY$2:CY$19)))</f>
        <v>360</v>
      </c>
      <c r="CZ63" s="1">
        <f t="array" ref="CZ63">SUMPRODUCT($H63:$Y63,(TRANSPOSE(CZ$2:CZ$19)))</f>
        <v>400</v>
      </c>
      <c r="DA63" s="1">
        <f t="array" ref="DA63">SUMPRODUCT($H63:$Y63,(TRANSPOSE(DA$2:DA$19)))</f>
        <v>440</v>
      </c>
      <c r="DB63" s="1">
        <f t="array" ref="DB63">SUMPRODUCT($H63:$Y63,(TRANSPOSE(DB$2:DB$19)))</f>
        <v>480</v>
      </c>
      <c r="DC63" s="1">
        <f t="array" ref="DC63">SUMPRODUCT($H63:$Y63,(TRANSPOSE(DC$2:DC$19)))</f>
        <v>520</v>
      </c>
      <c r="DD63" s="1">
        <f t="array" ref="DD63">SUMPRODUCT($H63:$Y63,(TRANSPOSE(DD$2:DD$19)))</f>
        <v>0</v>
      </c>
    </row>
    <row r="64" spans="1:108" x14ac:dyDescent="0.2">
      <c r="A64" s="1">
        <v>56</v>
      </c>
      <c r="B64" s="10" t="s">
        <v>775</v>
      </c>
      <c r="C64" s="1" t="s">
        <v>19</v>
      </c>
      <c r="D64" s="1">
        <v>414194266</v>
      </c>
      <c r="F64" s="1" t="s">
        <v>656</v>
      </c>
      <c r="G64" s="1" t="s">
        <v>20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4</v>
      </c>
      <c r="T64" s="1">
        <v>0</v>
      </c>
      <c r="U64" s="1">
        <v>0</v>
      </c>
      <c r="V64" s="1">
        <v>0</v>
      </c>
      <c r="W64" s="1">
        <v>4</v>
      </c>
      <c r="X64" s="1">
        <v>0</v>
      </c>
      <c r="Y64" s="1">
        <v>0</v>
      </c>
      <c r="Z64" s="1">
        <f>SUM(H64:Y64)</f>
        <v>8</v>
      </c>
      <c r="AA64" s="1">
        <f>SUMPRODUCT(H64:Y64,$H$16:$Y$16)</f>
        <v>7280</v>
      </c>
      <c r="AB64" s="18" t="s">
        <v>733</v>
      </c>
      <c r="AC64" s="1">
        <v>21</v>
      </c>
      <c r="AD64" s="9"/>
      <c r="AE64" s="1" t="s">
        <v>28</v>
      </c>
      <c r="AF64" s="1">
        <f>AC64</f>
        <v>21</v>
      </c>
      <c r="AG64" s="1">
        <v>1</v>
      </c>
      <c r="AH64" s="1">
        <v>1</v>
      </c>
      <c r="AK64" s="1" t="s">
        <v>761</v>
      </c>
      <c r="AL64" s="1" t="s">
        <v>760</v>
      </c>
      <c r="AM64" s="1">
        <v>91.973118825300006</v>
      </c>
      <c r="AN64" s="2" t="s">
        <v>759</v>
      </c>
      <c r="BO64" s="1">
        <f>SUM($AP64,$AQ64:AQ64)-SUM($CK64:CL64)</f>
        <v>0</v>
      </c>
      <c r="BP64" s="1">
        <f>SUM($AP64,$AQ64:AR64)-SUM($CK64:CM64)</f>
        <v>0</v>
      </c>
      <c r="BQ64" s="1">
        <f>SUM($AP64,$AQ64:AS64)-SUM($CK64:CN64)</f>
        <v>0</v>
      </c>
      <c r="BR64" s="1">
        <f>SUM($AP64,$AQ64:AT64)-SUM($CK64:CO64)</f>
        <v>0</v>
      </c>
      <c r="BS64" s="1">
        <f>SUM($AP64,$AQ64:AU64)-SUM($CK64:CP64)</f>
        <v>-80</v>
      </c>
      <c r="BT64" s="1">
        <f>SUM($AP64,$AQ64:AV64)-SUM($CK64:CQ64)</f>
        <v>-240</v>
      </c>
      <c r="BU64" s="1">
        <f>SUM($AP64,$AQ64:AW64)-SUM($CK64:CR64)</f>
        <v>-480</v>
      </c>
      <c r="BV64" s="1">
        <f>SUM($AP64,$AQ64:AX64)-SUM($CK64:CS64)</f>
        <v>-800</v>
      </c>
      <c r="BW64" s="1">
        <f>SUM($AP64,$AQ64:AY64)-SUM($CK64:CT64)</f>
        <v>-1200</v>
      </c>
      <c r="BX64" s="1">
        <f>SUM($AP64,$AQ64:AZ64)-SUM($CK64:CU64)</f>
        <v>-1680</v>
      </c>
      <c r="BY64" s="1">
        <f>SUM($AP64,$AQ64:BA64)-SUM($CK64:CV64)</f>
        <v>-2240</v>
      </c>
      <c r="BZ64" s="1">
        <f>SUM($AP64,$AQ64:BB64)-SUM($CK64:CW64)</f>
        <v>-2880</v>
      </c>
      <c r="CA64" s="1">
        <f>SUM($AP64,$AQ64:BC64)-SUM($CK64:CX64)</f>
        <v>-3600</v>
      </c>
      <c r="CB64" s="1">
        <f>SUM($AP64,$AQ64:BD64)-SUM($CK64:CY64)</f>
        <v>-4400</v>
      </c>
      <c r="CC64" s="1">
        <f>SUM($AP64,$AQ64:BE64)-SUM($CK64:CZ64)</f>
        <v>-5280</v>
      </c>
      <c r="CD64" s="1">
        <f>SUM($AP64,$AQ64:BF64)-SUM($CK64:DA64)</f>
        <v>-6240</v>
      </c>
      <c r="CE64" s="1">
        <f>SUM($AP64,$AQ64:BG64)-SUM($CK64:DB64)</f>
        <v>-7280</v>
      </c>
      <c r="CF64" s="1">
        <f>SUM($AP64,$AQ64:BH64)-SUM($CK64:DC64)</f>
        <v>-7280</v>
      </c>
      <c r="CG64" s="1">
        <f>SUM($AP64,$AQ64:BI64)-SUM($CK64:DD64)</f>
        <v>-7280</v>
      </c>
      <c r="CK64" s="1">
        <f t="array" ref="CK64">SUMPRODUCT($H64:$Y64,(TRANSPOSE(CK$2:CK$19)))</f>
        <v>0</v>
      </c>
      <c r="CL64" s="1">
        <f t="array" ref="CL64">SUMPRODUCT($H64:$Y64,(TRANSPOSE(CL$2:CL$19)))</f>
        <v>0</v>
      </c>
      <c r="CM64" s="1">
        <f t="array" ref="CM64">SUMPRODUCT($H64:$Y64,(TRANSPOSE(CM$2:CM$19)))</f>
        <v>0</v>
      </c>
      <c r="CN64" s="1">
        <f t="array" ref="CN64">SUMPRODUCT($H64:$Y64,(TRANSPOSE(CN$2:CN$19)))</f>
        <v>0</v>
      </c>
      <c r="CO64" s="1">
        <f t="array" ref="CO64">SUMPRODUCT($H64:$Y64,(TRANSPOSE(CO$2:CO$19)))</f>
        <v>0</v>
      </c>
      <c r="CP64" s="1">
        <f t="array" ref="CP64">SUMPRODUCT($H64:$Y64,(TRANSPOSE(CP$2:CP$19)))</f>
        <v>80</v>
      </c>
      <c r="CQ64" s="1">
        <f t="array" ref="CQ64">SUMPRODUCT($H64:$Y64,(TRANSPOSE(CQ$2:CQ$19)))</f>
        <v>160</v>
      </c>
      <c r="CR64" s="1">
        <f t="array" ref="CR64">SUMPRODUCT($H64:$Y64,(TRANSPOSE(CR$2:CR$19)))</f>
        <v>240</v>
      </c>
      <c r="CS64" s="1">
        <f t="array" ref="CS64">SUMPRODUCT($H64:$Y64,(TRANSPOSE(CS$2:CS$19)))</f>
        <v>320</v>
      </c>
      <c r="CT64" s="1">
        <f t="array" ref="CT64">SUMPRODUCT($H64:$Y64,(TRANSPOSE(CT$2:CT$19)))</f>
        <v>400</v>
      </c>
      <c r="CU64" s="1">
        <f t="array" ref="CU64">SUMPRODUCT($H64:$Y64,(TRANSPOSE(CU$2:CU$19)))</f>
        <v>480</v>
      </c>
      <c r="CV64" s="1">
        <f t="array" ref="CV64">SUMPRODUCT($H64:$Y64,(TRANSPOSE(CV$2:CV$19)))</f>
        <v>560</v>
      </c>
      <c r="CW64" s="1">
        <f t="array" ref="CW64">SUMPRODUCT($H64:$Y64,(TRANSPOSE(CW$2:CW$19)))</f>
        <v>640</v>
      </c>
      <c r="CX64" s="1">
        <f t="array" ref="CX64">SUMPRODUCT($H64:$Y64,(TRANSPOSE(CX$2:CX$19)))</f>
        <v>720</v>
      </c>
      <c r="CY64" s="1">
        <f t="array" ref="CY64">SUMPRODUCT($H64:$Y64,(TRANSPOSE(CY$2:CY$19)))</f>
        <v>800</v>
      </c>
      <c r="CZ64" s="1">
        <f t="array" ref="CZ64">SUMPRODUCT($H64:$Y64,(TRANSPOSE(CZ$2:CZ$19)))</f>
        <v>880</v>
      </c>
      <c r="DA64" s="1">
        <f t="array" ref="DA64">SUMPRODUCT($H64:$Y64,(TRANSPOSE(DA$2:DA$19)))</f>
        <v>960</v>
      </c>
      <c r="DB64" s="1">
        <f t="array" ref="DB64">SUMPRODUCT($H64:$Y64,(TRANSPOSE(DB$2:DB$19)))</f>
        <v>1040</v>
      </c>
      <c r="DC64" s="1">
        <f t="array" ref="DC64">SUMPRODUCT($H64:$Y64,(TRANSPOSE(DC$2:DC$19)))</f>
        <v>0</v>
      </c>
      <c r="DD64" s="1">
        <f t="array" ref="DD64">SUMPRODUCT($H64:$Y64,(TRANSPOSE(DD$2:DD$19)))</f>
        <v>0</v>
      </c>
    </row>
    <row r="65" spans="1:108" x14ac:dyDescent="0.2">
      <c r="A65" s="1">
        <v>57</v>
      </c>
      <c r="B65" s="10" t="s">
        <v>774</v>
      </c>
      <c r="C65" s="1" t="s">
        <v>19</v>
      </c>
      <c r="D65" s="1">
        <v>420564154</v>
      </c>
      <c r="F65" s="1" t="s">
        <v>773</v>
      </c>
      <c r="G65" s="1" t="s">
        <v>20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2</v>
      </c>
      <c r="S65" s="1">
        <v>0</v>
      </c>
      <c r="T65" s="1">
        <v>0</v>
      </c>
      <c r="U65" s="1">
        <v>0</v>
      </c>
      <c r="V65" s="1">
        <v>2</v>
      </c>
      <c r="W65" s="1">
        <v>0</v>
      </c>
      <c r="X65" s="1">
        <v>0</v>
      </c>
      <c r="Y65" s="1">
        <v>0</v>
      </c>
      <c r="Z65" s="1">
        <f>SUM(H65:Y65)</f>
        <v>4</v>
      </c>
      <c r="AA65" s="1">
        <f>SUMPRODUCT(H65:Y65,$H$16:$Y$16)</f>
        <v>3640</v>
      </c>
      <c r="AB65" s="18" t="s">
        <v>733</v>
      </c>
      <c r="AC65" s="1">
        <v>773</v>
      </c>
      <c r="AD65" s="9"/>
      <c r="AE65" s="1" t="s">
        <v>28</v>
      </c>
      <c r="AF65" s="1">
        <f>AC65</f>
        <v>773</v>
      </c>
      <c r="AG65" s="1">
        <v>1</v>
      </c>
      <c r="AH65" s="1">
        <v>1</v>
      </c>
      <c r="AK65" s="1" t="s">
        <v>761</v>
      </c>
      <c r="AL65" s="1" t="s">
        <v>760</v>
      </c>
      <c r="AM65" s="1">
        <v>91.973118825300006</v>
      </c>
      <c r="AN65" s="2" t="s">
        <v>759</v>
      </c>
      <c r="BO65" s="1">
        <f>SUM($AP65,$AQ65:AQ65)-SUM($CK65:CL65)</f>
        <v>0</v>
      </c>
      <c r="BP65" s="1">
        <f>SUM($AP65,$AQ65:AR65)-SUM($CK65:CM65)</f>
        <v>0</v>
      </c>
      <c r="BQ65" s="1">
        <f>SUM($AP65,$AQ65:AS65)-SUM($CK65:CN65)</f>
        <v>0</v>
      </c>
      <c r="BR65" s="1">
        <f>SUM($AP65,$AQ65:AT65)-SUM($CK65:CO65)</f>
        <v>0</v>
      </c>
      <c r="BS65" s="1">
        <f>SUM($AP65,$AQ65:AU65)-SUM($CK65:CP65)</f>
        <v>0</v>
      </c>
      <c r="BT65" s="1">
        <f>SUM($AP65,$AQ65:AV65)-SUM($CK65:CQ65)</f>
        <v>-40</v>
      </c>
      <c r="BU65" s="1">
        <f>SUM($AP65,$AQ65:AW65)-SUM($CK65:CR65)</f>
        <v>-120</v>
      </c>
      <c r="BV65" s="1">
        <f>SUM($AP65,$AQ65:AX65)-SUM($CK65:CS65)</f>
        <v>-240</v>
      </c>
      <c r="BW65" s="1">
        <f>SUM($AP65,$AQ65:AY65)-SUM($CK65:CT65)</f>
        <v>-400</v>
      </c>
      <c r="BX65" s="1">
        <f>SUM($AP65,$AQ65:AZ65)-SUM($CK65:CU65)</f>
        <v>-600</v>
      </c>
      <c r="BY65" s="1">
        <f>SUM($AP65,$AQ65:BA65)-SUM($CK65:CV65)</f>
        <v>-840</v>
      </c>
      <c r="BZ65" s="1">
        <f>SUM($AP65,$AQ65:BB65)-SUM($CK65:CW65)</f>
        <v>-1120</v>
      </c>
      <c r="CA65" s="1">
        <f>SUM($AP65,$AQ65:BC65)-SUM($CK65:CX65)</f>
        <v>-1440</v>
      </c>
      <c r="CB65" s="1">
        <f>SUM($AP65,$AQ65:BD65)-SUM($CK65:CY65)</f>
        <v>-1800</v>
      </c>
      <c r="CC65" s="1">
        <f>SUM($AP65,$AQ65:BE65)-SUM($CK65:CZ65)</f>
        <v>-2200</v>
      </c>
      <c r="CD65" s="1">
        <f>SUM($AP65,$AQ65:BF65)-SUM($CK65:DA65)</f>
        <v>-2640</v>
      </c>
      <c r="CE65" s="1">
        <f>SUM($AP65,$AQ65:BG65)-SUM($CK65:DB65)</f>
        <v>-3120</v>
      </c>
      <c r="CF65" s="1">
        <f>SUM($AP65,$AQ65:BH65)-SUM($CK65:DC65)</f>
        <v>-3640</v>
      </c>
      <c r="CG65" s="1">
        <f>SUM($AP65,$AQ65:BI65)-SUM($CK65:DD65)</f>
        <v>-3640</v>
      </c>
      <c r="CK65" s="1">
        <f t="array" ref="CK65">SUMPRODUCT($H65:$Y65,(TRANSPOSE(CK$2:CK$19)))</f>
        <v>0</v>
      </c>
      <c r="CL65" s="1">
        <f t="array" ref="CL65">SUMPRODUCT($H65:$Y65,(TRANSPOSE(CL$2:CL$19)))</f>
        <v>0</v>
      </c>
      <c r="CM65" s="1">
        <f t="array" ref="CM65">SUMPRODUCT($H65:$Y65,(TRANSPOSE(CM$2:CM$19)))</f>
        <v>0</v>
      </c>
      <c r="CN65" s="1">
        <f t="array" ref="CN65">SUMPRODUCT($H65:$Y65,(TRANSPOSE(CN$2:CN$19)))</f>
        <v>0</v>
      </c>
      <c r="CO65" s="1">
        <f t="array" ref="CO65">SUMPRODUCT($H65:$Y65,(TRANSPOSE(CO$2:CO$19)))</f>
        <v>0</v>
      </c>
      <c r="CP65" s="1">
        <f t="array" ref="CP65">SUMPRODUCT($H65:$Y65,(TRANSPOSE(CP$2:CP$19)))</f>
        <v>0</v>
      </c>
      <c r="CQ65" s="1">
        <f t="array" ref="CQ65">SUMPRODUCT($H65:$Y65,(TRANSPOSE(CQ$2:CQ$19)))</f>
        <v>40</v>
      </c>
      <c r="CR65" s="1">
        <f t="array" ref="CR65">SUMPRODUCT($H65:$Y65,(TRANSPOSE(CR$2:CR$19)))</f>
        <v>80</v>
      </c>
      <c r="CS65" s="1">
        <f t="array" ref="CS65">SUMPRODUCT($H65:$Y65,(TRANSPOSE(CS$2:CS$19)))</f>
        <v>120</v>
      </c>
      <c r="CT65" s="1">
        <f t="array" ref="CT65">SUMPRODUCT($H65:$Y65,(TRANSPOSE(CT$2:CT$19)))</f>
        <v>160</v>
      </c>
      <c r="CU65" s="1">
        <f t="array" ref="CU65">SUMPRODUCT($H65:$Y65,(TRANSPOSE(CU$2:CU$19)))</f>
        <v>200</v>
      </c>
      <c r="CV65" s="1">
        <f t="array" ref="CV65">SUMPRODUCT($H65:$Y65,(TRANSPOSE(CV$2:CV$19)))</f>
        <v>240</v>
      </c>
      <c r="CW65" s="1">
        <f t="array" ref="CW65">SUMPRODUCT($H65:$Y65,(TRANSPOSE(CW$2:CW$19)))</f>
        <v>280</v>
      </c>
      <c r="CX65" s="1">
        <f t="array" ref="CX65">SUMPRODUCT($H65:$Y65,(TRANSPOSE(CX$2:CX$19)))</f>
        <v>320</v>
      </c>
      <c r="CY65" s="1">
        <f t="array" ref="CY65">SUMPRODUCT($H65:$Y65,(TRANSPOSE(CY$2:CY$19)))</f>
        <v>360</v>
      </c>
      <c r="CZ65" s="1">
        <f t="array" ref="CZ65">SUMPRODUCT($H65:$Y65,(TRANSPOSE(CZ$2:CZ$19)))</f>
        <v>400</v>
      </c>
      <c r="DA65" s="1">
        <f t="array" ref="DA65">SUMPRODUCT($H65:$Y65,(TRANSPOSE(DA$2:DA$19)))</f>
        <v>440</v>
      </c>
      <c r="DB65" s="1">
        <f t="array" ref="DB65">SUMPRODUCT($H65:$Y65,(TRANSPOSE(DB$2:DB$19)))</f>
        <v>480</v>
      </c>
      <c r="DC65" s="1">
        <f t="array" ref="DC65">SUMPRODUCT($H65:$Y65,(TRANSPOSE(DC$2:DC$19)))</f>
        <v>520</v>
      </c>
      <c r="DD65" s="1">
        <f t="array" ref="DD65">SUMPRODUCT($H65:$Y65,(TRANSPOSE(DD$2:DD$19)))</f>
        <v>0</v>
      </c>
    </row>
    <row r="66" spans="1:108" x14ac:dyDescent="0.2">
      <c r="A66" s="1">
        <v>58</v>
      </c>
      <c r="B66" s="10" t="s">
        <v>772</v>
      </c>
      <c r="C66" s="1" t="s">
        <v>19</v>
      </c>
      <c r="D66" s="1">
        <v>418978901</v>
      </c>
      <c r="F66" s="1" t="s">
        <v>771</v>
      </c>
      <c r="G66" s="1" t="s">
        <v>20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2</v>
      </c>
      <c r="T66" s="1">
        <v>0</v>
      </c>
      <c r="U66" s="1">
        <v>0</v>
      </c>
      <c r="V66" s="1">
        <v>0</v>
      </c>
      <c r="W66" s="1">
        <v>2</v>
      </c>
      <c r="X66" s="1">
        <v>0</v>
      </c>
      <c r="Y66" s="1">
        <v>0</v>
      </c>
      <c r="Z66" s="1">
        <f>SUM(H66:Y66)</f>
        <v>4</v>
      </c>
      <c r="AA66" s="1">
        <f>SUMPRODUCT(H66:Y66,$H$16:$Y$16)</f>
        <v>3640</v>
      </c>
      <c r="AB66" s="18" t="s">
        <v>733</v>
      </c>
      <c r="AC66" s="1">
        <v>879</v>
      </c>
      <c r="AD66" s="9"/>
      <c r="AE66" s="1" t="s">
        <v>28</v>
      </c>
      <c r="AF66" s="1">
        <f>AC66</f>
        <v>879</v>
      </c>
      <c r="AG66" s="1">
        <v>1</v>
      </c>
      <c r="AH66" s="1">
        <v>1</v>
      </c>
      <c r="AK66" s="1" t="s">
        <v>761</v>
      </c>
      <c r="AL66" s="1" t="s">
        <v>760</v>
      </c>
      <c r="AM66" s="1">
        <v>91.973118825300006</v>
      </c>
      <c r="AN66" s="2" t="s">
        <v>759</v>
      </c>
      <c r="BO66" s="1">
        <f>SUM($AP66,$AQ66:AQ66)-SUM($CK66:CL66)</f>
        <v>0</v>
      </c>
      <c r="BP66" s="1">
        <f>SUM($AP66,$AQ66:AR66)-SUM($CK66:CM66)</f>
        <v>0</v>
      </c>
      <c r="BQ66" s="1">
        <f>SUM($AP66,$AQ66:AS66)-SUM($CK66:CN66)</f>
        <v>0</v>
      </c>
      <c r="BR66" s="1">
        <f>SUM($AP66,$AQ66:AT66)-SUM($CK66:CO66)</f>
        <v>0</v>
      </c>
      <c r="BS66" s="1">
        <f>SUM($AP66,$AQ66:AU66)-SUM($CK66:CP66)</f>
        <v>-40</v>
      </c>
      <c r="BT66" s="1">
        <f>SUM($AP66,$AQ66:AV66)-SUM($CK66:CQ66)</f>
        <v>-120</v>
      </c>
      <c r="BU66" s="1">
        <f>SUM($AP66,$AQ66:AW66)-SUM($CK66:CR66)</f>
        <v>-240</v>
      </c>
      <c r="BV66" s="1">
        <f>SUM($AP66,$AQ66:AX66)-SUM($CK66:CS66)</f>
        <v>-400</v>
      </c>
      <c r="BW66" s="1">
        <f>SUM($AP66,$AQ66:AY66)-SUM($CK66:CT66)</f>
        <v>-600</v>
      </c>
      <c r="BX66" s="1">
        <f>SUM($AP66,$AQ66:AZ66)-SUM($CK66:CU66)</f>
        <v>-840</v>
      </c>
      <c r="BY66" s="1">
        <f>SUM($AP66,$AQ66:BA66)-SUM($CK66:CV66)</f>
        <v>-1120</v>
      </c>
      <c r="BZ66" s="1">
        <f>SUM($AP66,$AQ66:BB66)-SUM($CK66:CW66)</f>
        <v>-1440</v>
      </c>
      <c r="CA66" s="1">
        <f>SUM($AP66,$AQ66:BC66)-SUM($CK66:CX66)</f>
        <v>-1800</v>
      </c>
      <c r="CB66" s="1">
        <f>SUM($AP66,$AQ66:BD66)-SUM($CK66:CY66)</f>
        <v>-2200</v>
      </c>
      <c r="CC66" s="1">
        <f>SUM($AP66,$AQ66:BE66)-SUM($CK66:CZ66)</f>
        <v>-2640</v>
      </c>
      <c r="CD66" s="1">
        <f>SUM($AP66,$AQ66:BF66)-SUM($CK66:DA66)</f>
        <v>-3120</v>
      </c>
      <c r="CE66" s="1">
        <f>SUM($AP66,$AQ66:BG66)-SUM($CK66:DB66)</f>
        <v>-3640</v>
      </c>
      <c r="CF66" s="1">
        <f>SUM($AP66,$AQ66:BH66)-SUM($CK66:DC66)</f>
        <v>-3640</v>
      </c>
      <c r="CG66" s="1">
        <f>SUM($AP66,$AQ66:BI66)-SUM($CK66:DD66)</f>
        <v>-3640</v>
      </c>
      <c r="CK66" s="1">
        <f t="array" ref="CK66">SUMPRODUCT($H66:$Y66,(TRANSPOSE(CK$2:CK$19)))</f>
        <v>0</v>
      </c>
      <c r="CL66" s="1">
        <f t="array" ref="CL66">SUMPRODUCT($H66:$Y66,(TRANSPOSE(CL$2:CL$19)))</f>
        <v>0</v>
      </c>
      <c r="CM66" s="1">
        <f t="array" ref="CM66">SUMPRODUCT($H66:$Y66,(TRANSPOSE(CM$2:CM$19)))</f>
        <v>0</v>
      </c>
      <c r="CN66" s="1">
        <f t="array" ref="CN66">SUMPRODUCT($H66:$Y66,(TRANSPOSE(CN$2:CN$19)))</f>
        <v>0</v>
      </c>
      <c r="CO66" s="1">
        <f t="array" ref="CO66">SUMPRODUCT($H66:$Y66,(TRANSPOSE(CO$2:CO$19)))</f>
        <v>0</v>
      </c>
      <c r="CP66" s="1">
        <f t="array" ref="CP66">SUMPRODUCT($H66:$Y66,(TRANSPOSE(CP$2:CP$19)))</f>
        <v>40</v>
      </c>
      <c r="CQ66" s="1">
        <f t="array" ref="CQ66">SUMPRODUCT($H66:$Y66,(TRANSPOSE(CQ$2:CQ$19)))</f>
        <v>80</v>
      </c>
      <c r="CR66" s="1">
        <f t="array" ref="CR66">SUMPRODUCT($H66:$Y66,(TRANSPOSE(CR$2:CR$19)))</f>
        <v>120</v>
      </c>
      <c r="CS66" s="1">
        <f t="array" ref="CS66">SUMPRODUCT($H66:$Y66,(TRANSPOSE(CS$2:CS$19)))</f>
        <v>160</v>
      </c>
      <c r="CT66" s="1">
        <f t="array" ref="CT66">SUMPRODUCT($H66:$Y66,(TRANSPOSE(CT$2:CT$19)))</f>
        <v>200</v>
      </c>
      <c r="CU66" s="1">
        <f t="array" ref="CU66">SUMPRODUCT($H66:$Y66,(TRANSPOSE(CU$2:CU$19)))</f>
        <v>240</v>
      </c>
      <c r="CV66" s="1">
        <f t="array" ref="CV66">SUMPRODUCT($H66:$Y66,(TRANSPOSE(CV$2:CV$19)))</f>
        <v>280</v>
      </c>
      <c r="CW66" s="1">
        <f t="array" ref="CW66">SUMPRODUCT($H66:$Y66,(TRANSPOSE(CW$2:CW$19)))</f>
        <v>320</v>
      </c>
      <c r="CX66" s="1">
        <f t="array" ref="CX66">SUMPRODUCT($H66:$Y66,(TRANSPOSE(CX$2:CX$19)))</f>
        <v>360</v>
      </c>
      <c r="CY66" s="1">
        <f t="array" ref="CY66">SUMPRODUCT($H66:$Y66,(TRANSPOSE(CY$2:CY$19)))</f>
        <v>400</v>
      </c>
      <c r="CZ66" s="1">
        <f t="array" ref="CZ66">SUMPRODUCT($H66:$Y66,(TRANSPOSE(CZ$2:CZ$19)))</f>
        <v>440</v>
      </c>
      <c r="DA66" s="1">
        <f t="array" ref="DA66">SUMPRODUCT($H66:$Y66,(TRANSPOSE(DA$2:DA$19)))</f>
        <v>480</v>
      </c>
      <c r="DB66" s="1">
        <f t="array" ref="DB66">SUMPRODUCT($H66:$Y66,(TRANSPOSE(DB$2:DB$19)))</f>
        <v>520</v>
      </c>
      <c r="DC66" s="1">
        <f t="array" ref="DC66">SUMPRODUCT($H66:$Y66,(TRANSPOSE(DC$2:DC$19)))</f>
        <v>0</v>
      </c>
      <c r="DD66" s="1">
        <f t="array" ref="DD66">SUMPRODUCT($H66:$Y66,(TRANSPOSE(DD$2:DD$19)))</f>
        <v>0</v>
      </c>
    </row>
    <row r="67" spans="1:108" x14ac:dyDescent="0.2">
      <c r="A67" s="1">
        <v>59</v>
      </c>
      <c r="B67" s="10" t="s">
        <v>770</v>
      </c>
      <c r="C67" s="1" t="s">
        <v>19</v>
      </c>
      <c r="D67" s="1">
        <v>414731763</v>
      </c>
      <c r="F67" s="1" t="s">
        <v>656</v>
      </c>
      <c r="G67" s="1" t="s">
        <v>20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4</v>
      </c>
      <c r="T67" s="1">
        <v>0</v>
      </c>
      <c r="U67" s="1">
        <v>0</v>
      </c>
      <c r="V67" s="1">
        <v>0</v>
      </c>
      <c r="W67" s="1">
        <v>4</v>
      </c>
      <c r="X67" s="1">
        <v>0</v>
      </c>
      <c r="Y67" s="1">
        <v>0</v>
      </c>
      <c r="Z67" s="1">
        <f>SUM(H67:Y67)</f>
        <v>8</v>
      </c>
      <c r="AA67" s="1">
        <f>SUMPRODUCT(H67:Y67,$H$16:$Y$16)</f>
        <v>7280</v>
      </c>
      <c r="AB67" s="18" t="s">
        <v>733</v>
      </c>
      <c r="AC67" s="1">
        <v>21</v>
      </c>
      <c r="AD67" s="9"/>
      <c r="AE67" s="1" t="s">
        <v>28</v>
      </c>
      <c r="AF67" s="1">
        <f>AC67</f>
        <v>21</v>
      </c>
      <c r="AG67" s="1">
        <v>1</v>
      </c>
      <c r="AH67" s="1">
        <v>1</v>
      </c>
      <c r="AK67" s="1" t="s">
        <v>761</v>
      </c>
      <c r="AL67" s="1" t="s">
        <v>760</v>
      </c>
      <c r="AM67" s="1">
        <v>91.973118825300006</v>
      </c>
      <c r="AN67" s="2" t="s">
        <v>759</v>
      </c>
      <c r="BO67" s="1">
        <f>SUM($AP67,$AQ67:AQ67)-SUM($CK67:CL67)</f>
        <v>0</v>
      </c>
      <c r="BP67" s="1">
        <f>SUM($AP67,$AQ67:AR67)-SUM($CK67:CM67)</f>
        <v>0</v>
      </c>
      <c r="BQ67" s="1">
        <f>SUM($AP67,$AQ67:AS67)-SUM($CK67:CN67)</f>
        <v>0</v>
      </c>
      <c r="BR67" s="1">
        <f>SUM($AP67,$AQ67:AT67)-SUM($CK67:CO67)</f>
        <v>0</v>
      </c>
      <c r="BS67" s="1">
        <f>SUM($AP67,$AQ67:AU67)-SUM($CK67:CP67)</f>
        <v>-80</v>
      </c>
      <c r="BT67" s="1">
        <f>SUM($AP67,$AQ67:AV67)-SUM($CK67:CQ67)</f>
        <v>-240</v>
      </c>
      <c r="BU67" s="1">
        <f>SUM($AP67,$AQ67:AW67)-SUM($CK67:CR67)</f>
        <v>-480</v>
      </c>
      <c r="BV67" s="1">
        <f>SUM($AP67,$AQ67:AX67)-SUM($CK67:CS67)</f>
        <v>-800</v>
      </c>
      <c r="BW67" s="1">
        <f>SUM($AP67,$AQ67:AY67)-SUM($CK67:CT67)</f>
        <v>-1200</v>
      </c>
      <c r="BX67" s="1">
        <f>SUM($AP67,$AQ67:AZ67)-SUM($CK67:CU67)</f>
        <v>-1680</v>
      </c>
      <c r="BY67" s="1">
        <f>SUM($AP67,$AQ67:BA67)-SUM($CK67:CV67)</f>
        <v>-2240</v>
      </c>
      <c r="BZ67" s="1">
        <f>SUM($AP67,$AQ67:BB67)-SUM($CK67:CW67)</f>
        <v>-2880</v>
      </c>
      <c r="CA67" s="1">
        <f>SUM($AP67,$AQ67:BC67)-SUM($CK67:CX67)</f>
        <v>-3600</v>
      </c>
      <c r="CB67" s="1">
        <f>SUM($AP67,$AQ67:BD67)-SUM($CK67:CY67)</f>
        <v>-4400</v>
      </c>
      <c r="CC67" s="1">
        <f>SUM($AP67,$AQ67:BE67)-SUM($CK67:CZ67)</f>
        <v>-5280</v>
      </c>
      <c r="CD67" s="1">
        <f>SUM($AP67,$AQ67:BF67)-SUM($CK67:DA67)</f>
        <v>-6240</v>
      </c>
      <c r="CE67" s="1">
        <f>SUM($AP67,$AQ67:BG67)-SUM($CK67:DB67)</f>
        <v>-7280</v>
      </c>
      <c r="CF67" s="1">
        <f>SUM($AP67,$AQ67:BH67)-SUM($CK67:DC67)</f>
        <v>-7280</v>
      </c>
      <c r="CG67" s="1">
        <f>SUM($AP67,$AQ67:BI67)-SUM($CK67:DD67)</f>
        <v>-7280</v>
      </c>
      <c r="CK67" s="1">
        <f t="array" ref="CK67">SUMPRODUCT($H67:$Y67,(TRANSPOSE(CK$2:CK$19)))</f>
        <v>0</v>
      </c>
      <c r="CL67" s="1">
        <f t="array" ref="CL67">SUMPRODUCT($H67:$Y67,(TRANSPOSE(CL$2:CL$19)))</f>
        <v>0</v>
      </c>
      <c r="CM67" s="1">
        <f t="array" ref="CM67">SUMPRODUCT($H67:$Y67,(TRANSPOSE(CM$2:CM$19)))</f>
        <v>0</v>
      </c>
      <c r="CN67" s="1">
        <f t="array" ref="CN67">SUMPRODUCT($H67:$Y67,(TRANSPOSE(CN$2:CN$19)))</f>
        <v>0</v>
      </c>
      <c r="CO67" s="1">
        <f t="array" ref="CO67">SUMPRODUCT($H67:$Y67,(TRANSPOSE(CO$2:CO$19)))</f>
        <v>0</v>
      </c>
      <c r="CP67" s="1">
        <f t="array" ref="CP67">SUMPRODUCT($H67:$Y67,(TRANSPOSE(CP$2:CP$19)))</f>
        <v>80</v>
      </c>
      <c r="CQ67" s="1">
        <f t="array" ref="CQ67">SUMPRODUCT($H67:$Y67,(TRANSPOSE(CQ$2:CQ$19)))</f>
        <v>160</v>
      </c>
      <c r="CR67" s="1">
        <f t="array" ref="CR67">SUMPRODUCT($H67:$Y67,(TRANSPOSE(CR$2:CR$19)))</f>
        <v>240</v>
      </c>
      <c r="CS67" s="1">
        <f t="array" ref="CS67">SUMPRODUCT($H67:$Y67,(TRANSPOSE(CS$2:CS$19)))</f>
        <v>320</v>
      </c>
      <c r="CT67" s="1">
        <f t="array" ref="CT67">SUMPRODUCT($H67:$Y67,(TRANSPOSE(CT$2:CT$19)))</f>
        <v>400</v>
      </c>
      <c r="CU67" s="1">
        <f t="array" ref="CU67">SUMPRODUCT($H67:$Y67,(TRANSPOSE(CU$2:CU$19)))</f>
        <v>480</v>
      </c>
      <c r="CV67" s="1">
        <f t="array" ref="CV67">SUMPRODUCT($H67:$Y67,(TRANSPOSE(CV$2:CV$19)))</f>
        <v>560</v>
      </c>
      <c r="CW67" s="1">
        <f t="array" ref="CW67">SUMPRODUCT($H67:$Y67,(TRANSPOSE(CW$2:CW$19)))</f>
        <v>640</v>
      </c>
      <c r="CX67" s="1">
        <f t="array" ref="CX67">SUMPRODUCT($H67:$Y67,(TRANSPOSE(CX$2:CX$19)))</f>
        <v>720</v>
      </c>
      <c r="CY67" s="1">
        <f t="array" ref="CY67">SUMPRODUCT($H67:$Y67,(TRANSPOSE(CY$2:CY$19)))</f>
        <v>800</v>
      </c>
      <c r="CZ67" s="1">
        <f t="array" ref="CZ67">SUMPRODUCT($H67:$Y67,(TRANSPOSE(CZ$2:CZ$19)))</f>
        <v>880</v>
      </c>
      <c r="DA67" s="1">
        <f t="array" ref="DA67">SUMPRODUCT($H67:$Y67,(TRANSPOSE(DA$2:DA$19)))</f>
        <v>960</v>
      </c>
      <c r="DB67" s="1">
        <f t="array" ref="DB67">SUMPRODUCT($H67:$Y67,(TRANSPOSE(DB$2:DB$19)))</f>
        <v>1040</v>
      </c>
      <c r="DC67" s="1">
        <f t="array" ref="DC67">SUMPRODUCT($H67:$Y67,(TRANSPOSE(DC$2:DC$19)))</f>
        <v>0</v>
      </c>
      <c r="DD67" s="1">
        <f t="array" ref="DD67">SUMPRODUCT($H67:$Y67,(TRANSPOSE(DD$2:DD$19)))</f>
        <v>0</v>
      </c>
    </row>
    <row r="68" spans="1:108" x14ac:dyDescent="0.2">
      <c r="A68" s="1">
        <v>60</v>
      </c>
      <c r="B68" s="10" t="s">
        <v>769</v>
      </c>
      <c r="C68" s="1" t="s">
        <v>643</v>
      </c>
      <c r="D68" s="1">
        <v>415251811</v>
      </c>
      <c r="F68" s="1" t="s">
        <v>768</v>
      </c>
      <c r="G68" s="1" t="s">
        <v>20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</v>
      </c>
      <c r="S68" s="1">
        <v>0</v>
      </c>
      <c r="T68" s="1">
        <v>0</v>
      </c>
      <c r="U68" s="1">
        <v>0</v>
      </c>
      <c r="V68" s="1">
        <v>2</v>
      </c>
      <c r="W68" s="1">
        <v>0</v>
      </c>
      <c r="X68" s="1">
        <v>0</v>
      </c>
      <c r="Y68" s="1">
        <v>0</v>
      </c>
      <c r="Z68" s="1">
        <f>SUM(H68:Y68)</f>
        <v>4</v>
      </c>
      <c r="AA68" s="1">
        <f>SUMPRODUCT(H68:Y68,$H$16:$Y$16)</f>
        <v>3640</v>
      </c>
      <c r="AB68" s="18" t="s">
        <v>733</v>
      </c>
      <c r="AC68" s="1">
        <v>16.3</v>
      </c>
      <c r="AD68" s="9"/>
      <c r="AE68" s="1" t="s">
        <v>28</v>
      </c>
      <c r="AF68" s="1">
        <f>AC68</f>
        <v>16.3</v>
      </c>
      <c r="AG68" s="1">
        <v>1</v>
      </c>
      <c r="AH68" s="1">
        <v>1</v>
      </c>
      <c r="AK68" s="1" t="s">
        <v>767</v>
      </c>
      <c r="AL68" s="1" t="s">
        <v>766</v>
      </c>
      <c r="AM68" s="1" t="s">
        <v>765</v>
      </c>
      <c r="AN68" s="2" t="s">
        <v>764</v>
      </c>
      <c r="BO68" s="1">
        <f>SUM($AP68,$AQ68:AQ68)-SUM($CK68:CL68)</f>
        <v>0</v>
      </c>
      <c r="BP68" s="1">
        <f>SUM($AP68,$AQ68:AR68)-SUM($CK68:CM68)</f>
        <v>0</v>
      </c>
      <c r="BQ68" s="1">
        <f>SUM($AP68,$AQ68:AS68)-SUM($CK68:CN68)</f>
        <v>0</v>
      </c>
      <c r="BR68" s="1">
        <f>SUM($AP68,$AQ68:AT68)-SUM($CK68:CO68)</f>
        <v>0</v>
      </c>
      <c r="BS68" s="1">
        <f>SUM($AP68,$AQ68:AU68)-SUM($CK68:CP68)</f>
        <v>0</v>
      </c>
      <c r="BT68" s="1">
        <f>SUM($AP68,$AQ68:AV68)-SUM($CK68:CQ68)</f>
        <v>-40</v>
      </c>
      <c r="BU68" s="1">
        <f>SUM($AP68,$AQ68:AW68)-SUM($CK68:CR68)</f>
        <v>-120</v>
      </c>
      <c r="BV68" s="1">
        <f>SUM($AP68,$AQ68:AX68)-SUM($CK68:CS68)</f>
        <v>-240</v>
      </c>
      <c r="BW68" s="1">
        <f>SUM($AP68,$AQ68:AY68)-SUM($CK68:CT68)</f>
        <v>-400</v>
      </c>
      <c r="BX68" s="1">
        <f>SUM($AP68,$AQ68:AZ68)-SUM($CK68:CU68)</f>
        <v>-600</v>
      </c>
      <c r="BY68" s="1">
        <f>SUM($AP68,$AQ68:BA68)-SUM($CK68:CV68)</f>
        <v>-840</v>
      </c>
      <c r="BZ68" s="1">
        <f>SUM($AP68,$AQ68:BB68)-SUM($CK68:CW68)</f>
        <v>-1120</v>
      </c>
      <c r="CA68" s="1">
        <f>SUM($AP68,$AQ68:BC68)-SUM($CK68:CX68)</f>
        <v>-1440</v>
      </c>
      <c r="CB68" s="1">
        <f>SUM($AP68,$AQ68:BD68)-SUM($CK68:CY68)</f>
        <v>-1800</v>
      </c>
      <c r="CC68" s="1">
        <f>SUM($AP68,$AQ68:BE68)-SUM($CK68:CZ68)</f>
        <v>-2200</v>
      </c>
      <c r="CD68" s="1">
        <f>SUM($AP68,$AQ68:BF68)-SUM($CK68:DA68)</f>
        <v>-2640</v>
      </c>
      <c r="CE68" s="1">
        <f>SUM($AP68,$AQ68:BG68)-SUM($CK68:DB68)</f>
        <v>-3120</v>
      </c>
      <c r="CF68" s="1">
        <f>SUM($AP68,$AQ68:BH68)-SUM($CK68:DC68)</f>
        <v>-3640</v>
      </c>
      <c r="CG68" s="1">
        <f>SUM($AP68,$AQ68:BI68)-SUM($CK68:DD68)</f>
        <v>-3640</v>
      </c>
      <c r="CK68" s="1">
        <f t="array" ref="CK68">SUMPRODUCT($H68:$Y68,(TRANSPOSE(CK$2:CK$19)))</f>
        <v>0</v>
      </c>
      <c r="CL68" s="1">
        <f t="array" ref="CL68">SUMPRODUCT($H68:$Y68,(TRANSPOSE(CL$2:CL$19)))</f>
        <v>0</v>
      </c>
      <c r="CM68" s="1">
        <f t="array" ref="CM68">SUMPRODUCT($H68:$Y68,(TRANSPOSE(CM$2:CM$19)))</f>
        <v>0</v>
      </c>
      <c r="CN68" s="1">
        <f t="array" ref="CN68">SUMPRODUCT($H68:$Y68,(TRANSPOSE(CN$2:CN$19)))</f>
        <v>0</v>
      </c>
      <c r="CO68" s="1">
        <f t="array" ref="CO68">SUMPRODUCT($H68:$Y68,(TRANSPOSE(CO$2:CO$19)))</f>
        <v>0</v>
      </c>
      <c r="CP68" s="1">
        <f t="array" ref="CP68">SUMPRODUCT($H68:$Y68,(TRANSPOSE(CP$2:CP$19)))</f>
        <v>0</v>
      </c>
      <c r="CQ68" s="1">
        <f t="array" ref="CQ68">SUMPRODUCT($H68:$Y68,(TRANSPOSE(CQ$2:CQ$19)))</f>
        <v>40</v>
      </c>
      <c r="CR68" s="1">
        <f t="array" ref="CR68">SUMPRODUCT($H68:$Y68,(TRANSPOSE(CR$2:CR$19)))</f>
        <v>80</v>
      </c>
      <c r="CS68" s="1">
        <f t="array" ref="CS68">SUMPRODUCT($H68:$Y68,(TRANSPOSE(CS$2:CS$19)))</f>
        <v>120</v>
      </c>
      <c r="CT68" s="1">
        <f t="array" ref="CT68">SUMPRODUCT($H68:$Y68,(TRANSPOSE(CT$2:CT$19)))</f>
        <v>160</v>
      </c>
      <c r="CU68" s="1">
        <f t="array" ref="CU68">SUMPRODUCT($H68:$Y68,(TRANSPOSE(CU$2:CU$19)))</f>
        <v>200</v>
      </c>
      <c r="CV68" s="1">
        <f t="array" ref="CV68">SUMPRODUCT($H68:$Y68,(TRANSPOSE(CV$2:CV$19)))</f>
        <v>240</v>
      </c>
      <c r="CW68" s="1">
        <f t="array" ref="CW68">SUMPRODUCT($H68:$Y68,(TRANSPOSE(CW$2:CW$19)))</f>
        <v>280</v>
      </c>
      <c r="CX68" s="1">
        <f t="array" ref="CX68">SUMPRODUCT($H68:$Y68,(TRANSPOSE(CX$2:CX$19)))</f>
        <v>320</v>
      </c>
      <c r="CY68" s="1">
        <f t="array" ref="CY68">SUMPRODUCT($H68:$Y68,(TRANSPOSE(CY$2:CY$19)))</f>
        <v>360</v>
      </c>
      <c r="CZ68" s="1">
        <f t="array" ref="CZ68">SUMPRODUCT($H68:$Y68,(TRANSPOSE(CZ$2:CZ$19)))</f>
        <v>400</v>
      </c>
      <c r="DA68" s="1">
        <f t="array" ref="DA68">SUMPRODUCT($H68:$Y68,(TRANSPOSE(DA$2:DA$19)))</f>
        <v>440</v>
      </c>
      <c r="DB68" s="1">
        <f t="array" ref="DB68">SUMPRODUCT($H68:$Y68,(TRANSPOSE(DB$2:DB$19)))</f>
        <v>480</v>
      </c>
      <c r="DC68" s="1">
        <f t="array" ref="DC68">SUMPRODUCT($H68:$Y68,(TRANSPOSE(DC$2:DC$19)))</f>
        <v>520</v>
      </c>
      <c r="DD68" s="1">
        <f t="array" ref="DD68">SUMPRODUCT($H68:$Y68,(TRANSPOSE(DD$2:DD$19)))</f>
        <v>0</v>
      </c>
    </row>
    <row r="69" spans="1:108" ht="13.5" thickBot="1" x14ac:dyDescent="0.25">
      <c r="A69" s="1">
        <v>61</v>
      </c>
      <c r="B69" s="10" t="s">
        <v>763</v>
      </c>
      <c r="C69" s="1" t="s">
        <v>19</v>
      </c>
      <c r="D69" s="1">
        <v>415290646</v>
      </c>
      <c r="F69" s="1" t="s">
        <v>762</v>
      </c>
      <c r="G69" s="1" t="s">
        <v>20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4</v>
      </c>
      <c r="S69" s="1">
        <v>0</v>
      </c>
      <c r="T69" s="1">
        <v>0</v>
      </c>
      <c r="U69" s="1">
        <v>0</v>
      </c>
      <c r="V69" s="1">
        <v>4</v>
      </c>
      <c r="W69" s="1">
        <v>0</v>
      </c>
      <c r="X69" s="1">
        <v>0</v>
      </c>
      <c r="Y69" s="1">
        <v>0</v>
      </c>
      <c r="Z69" s="1">
        <f>SUM(H69:Y69)</f>
        <v>8</v>
      </c>
      <c r="AA69" s="1">
        <f>SUMPRODUCT(H69:Y69,$H$16:$Y$16)</f>
        <v>7280</v>
      </c>
      <c r="AB69" s="18" t="s">
        <v>733</v>
      </c>
      <c r="AC69" s="1">
        <v>29</v>
      </c>
      <c r="AD69" s="9"/>
      <c r="AE69" s="1" t="s">
        <v>28</v>
      </c>
      <c r="AF69" s="1">
        <f>AC69</f>
        <v>29</v>
      </c>
      <c r="AG69" s="1">
        <v>1</v>
      </c>
      <c r="AH69" s="1">
        <v>1</v>
      </c>
      <c r="AK69" s="1" t="s">
        <v>761</v>
      </c>
      <c r="AL69" s="1" t="s">
        <v>760</v>
      </c>
      <c r="AM69" s="1">
        <v>91.973118825300006</v>
      </c>
      <c r="AN69" s="2" t="s">
        <v>759</v>
      </c>
      <c r="BO69" s="1">
        <f>SUM($AP69,$AQ69:AQ69)-SUM($CK69:CL69)</f>
        <v>0</v>
      </c>
      <c r="BP69" s="1">
        <f>SUM($AP69,$AQ69:AR69)-SUM($CK69:CM69)</f>
        <v>0</v>
      </c>
      <c r="BQ69" s="1">
        <f>SUM($AP69,$AQ69:AS69)-SUM($CK69:CN69)</f>
        <v>0</v>
      </c>
      <c r="BR69" s="1">
        <f>SUM($AP69,$AQ69:AT69)-SUM($CK69:CO69)</f>
        <v>0</v>
      </c>
      <c r="BS69" s="1">
        <f>SUM($AP69,$AQ69:AU69)-SUM($CK69:CP69)</f>
        <v>0</v>
      </c>
      <c r="BT69" s="1">
        <f>SUM($AP69,$AQ69:AV69)-SUM($CK69:CQ69)</f>
        <v>-80</v>
      </c>
      <c r="BU69" s="1">
        <f>SUM($AP69,$AQ69:AW69)-SUM($CK69:CR69)</f>
        <v>-240</v>
      </c>
      <c r="BV69" s="1">
        <f>SUM($AP69,$AQ69:AX69)-SUM($CK69:CS69)</f>
        <v>-480</v>
      </c>
      <c r="BW69" s="1">
        <f>SUM($AP69,$AQ69:AY69)-SUM($CK69:CT69)</f>
        <v>-800</v>
      </c>
      <c r="BX69" s="1">
        <f>SUM($AP69,$AQ69:AZ69)-SUM($CK69:CU69)</f>
        <v>-1200</v>
      </c>
      <c r="BY69" s="1">
        <f>SUM($AP69,$AQ69:BA69)-SUM($CK69:CV69)</f>
        <v>-1680</v>
      </c>
      <c r="BZ69" s="1">
        <f>SUM($AP69,$AQ69:BB69)-SUM($CK69:CW69)</f>
        <v>-2240</v>
      </c>
      <c r="CA69" s="1">
        <f>SUM($AP69,$AQ69:BC69)-SUM($CK69:CX69)</f>
        <v>-2880</v>
      </c>
      <c r="CB69" s="1">
        <f>SUM($AP69,$AQ69:BD69)-SUM($CK69:CY69)</f>
        <v>-3600</v>
      </c>
      <c r="CC69" s="1">
        <f>SUM($AP69,$AQ69:BE69)-SUM($CK69:CZ69)</f>
        <v>-4400</v>
      </c>
      <c r="CD69" s="1">
        <f>SUM($AP69,$AQ69:BF69)-SUM($CK69:DA69)</f>
        <v>-5280</v>
      </c>
      <c r="CE69" s="1">
        <f>SUM($AP69,$AQ69:BG69)-SUM($CK69:DB69)</f>
        <v>-6240</v>
      </c>
      <c r="CF69" s="1">
        <f>SUM($AP69,$AQ69:BH69)-SUM($CK69:DC69)</f>
        <v>-7280</v>
      </c>
      <c r="CG69" s="1">
        <f>SUM($AP69,$AQ69:BI69)-SUM($CK69:DD69)</f>
        <v>-7280</v>
      </c>
      <c r="CK69" s="1">
        <f t="array" ref="CK69">SUMPRODUCT($H69:$Y69,(TRANSPOSE(CK$2:CK$19)))</f>
        <v>0</v>
      </c>
      <c r="CL69" s="1">
        <f t="array" ref="CL69">SUMPRODUCT($H69:$Y69,(TRANSPOSE(CL$2:CL$19)))</f>
        <v>0</v>
      </c>
      <c r="CM69" s="1">
        <f t="array" ref="CM69">SUMPRODUCT($H69:$Y69,(TRANSPOSE(CM$2:CM$19)))</f>
        <v>0</v>
      </c>
      <c r="CN69" s="1">
        <f t="array" ref="CN69">SUMPRODUCT($H69:$Y69,(TRANSPOSE(CN$2:CN$19)))</f>
        <v>0</v>
      </c>
      <c r="CO69" s="1">
        <f t="array" ref="CO69">SUMPRODUCT($H69:$Y69,(TRANSPOSE(CO$2:CO$19)))</f>
        <v>0</v>
      </c>
      <c r="CP69" s="1">
        <f t="array" ref="CP69">SUMPRODUCT($H69:$Y69,(TRANSPOSE(CP$2:CP$19)))</f>
        <v>0</v>
      </c>
      <c r="CQ69" s="1">
        <f t="array" ref="CQ69">SUMPRODUCT($H69:$Y69,(TRANSPOSE(CQ$2:CQ$19)))</f>
        <v>80</v>
      </c>
      <c r="CR69" s="1">
        <f t="array" ref="CR69">SUMPRODUCT($H69:$Y69,(TRANSPOSE(CR$2:CR$19)))</f>
        <v>160</v>
      </c>
      <c r="CS69" s="1">
        <f t="array" ref="CS69">SUMPRODUCT($H69:$Y69,(TRANSPOSE(CS$2:CS$19)))</f>
        <v>240</v>
      </c>
      <c r="CT69" s="1">
        <f t="array" ref="CT69">SUMPRODUCT($H69:$Y69,(TRANSPOSE(CT$2:CT$19)))</f>
        <v>320</v>
      </c>
      <c r="CU69" s="1">
        <f t="array" ref="CU69">SUMPRODUCT($H69:$Y69,(TRANSPOSE(CU$2:CU$19)))</f>
        <v>400</v>
      </c>
      <c r="CV69" s="1">
        <f t="array" ref="CV69">SUMPRODUCT($H69:$Y69,(TRANSPOSE(CV$2:CV$19)))</f>
        <v>480</v>
      </c>
      <c r="CW69" s="1">
        <f t="array" ref="CW69">SUMPRODUCT($H69:$Y69,(TRANSPOSE(CW$2:CW$19)))</f>
        <v>560</v>
      </c>
      <c r="CX69" s="1">
        <f t="array" ref="CX69">SUMPRODUCT($H69:$Y69,(TRANSPOSE(CX$2:CX$19)))</f>
        <v>640</v>
      </c>
      <c r="CY69" s="1">
        <f t="array" ref="CY69">SUMPRODUCT($H69:$Y69,(TRANSPOSE(CY$2:CY$19)))</f>
        <v>720</v>
      </c>
      <c r="CZ69" s="1">
        <f t="array" ref="CZ69">SUMPRODUCT($H69:$Y69,(TRANSPOSE(CZ$2:CZ$19)))</f>
        <v>800</v>
      </c>
      <c r="DA69" s="1">
        <f t="array" ref="DA69">SUMPRODUCT($H69:$Y69,(TRANSPOSE(DA$2:DA$19)))</f>
        <v>880</v>
      </c>
      <c r="DB69" s="1">
        <f t="array" ref="DB69">SUMPRODUCT($H69:$Y69,(TRANSPOSE(DB$2:DB$19)))</f>
        <v>960</v>
      </c>
      <c r="DC69" s="1">
        <f t="array" ref="DC69">SUMPRODUCT($H69:$Y69,(TRANSPOSE(DC$2:DC$19)))</f>
        <v>1040</v>
      </c>
      <c r="DD69" s="1">
        <f t="array" ref="DD69">SUMPRODUCT($H69:$Y69,(TRANSPOSE(DD$2:DD$19)))</f>
        <v>0</v>
      </c>
    </row>
    <row r="70" spans="1:108" ht="13.5" thickBot="1" x14ac:dyDescent="0.25">
      <c r="A70" s="1">
        <v>62</v>
      </c>
      <c r="B70" s="10" t="s">
        <v>758</v>
      </c>
      <c r="C70" s="1" t="s">
        <v>19</v>
      </c>
      <c r="D70" s="1">
        <v>415251805</v>
      </c>
      <c r="F70" s="1" t="s">
        <v>757</v>
      </c>
      <c r="G70" s="1" t="s">
        <v>20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2</v>
      </c>
      <c r="S70" s="1">
        <v>0</v>
      </c>
      <c r="T70" s="1">
        <v>0</v>
      </c>
      <c r="U70" s="1">
        <v>0</v>
      </c>
      <c r="V70" s="1">
        <v>2</v>
      </c>
      <c r="W70" s="1">
        <v>0</v>
      </c>
      <c r="X70" s="1">
        <v>0</v>
      </c>
      <c r="Y70" s="1">
        <v>0</v>
      </c>
      <c r="Z70" s="1">
        <f>SUM(H70:Y70)</f>
        <v>4</v>
      </c>
      <c r="AA70" s="1">
        <f>SUMPRODUCT(H70:Y70,$H$16:$Y$16)</f>
        <v>3640</v>
      </c>
      <c r="AB70" s="19" t="s">
        <v>733</v>
      </c>
      <c r="AC70" s="1">
        <v>0.95</v>
      </c>
      <c r="AD70" s="9"/>
      <c r="AE70" s="1" t="s">
        <v>28</v>
      </c>
      <c r="AF70" s="1">
        <f>AC70</f>
        <v>0.95</v>
      </c>
      <c r="AH70" s="1">
        <v>1</v>
      </c>
      <c r="AI70" s="1" t="s">
        <v>510</v>
      </c>
      <c r="AK70" s="1" t="s">
        <v>731</v>
      </c>
      <c r="AL70" s="1" t="s">
        <v>730</v>
      </c>
      <c r="AM70" s="1" t="s">
        <v>729</v>
      </c>
      <c r="AN70" s="2" t="s">
        <v>728</v>
      </c>
      <c r="BO70" s="1">
        <f>SUM($AP70,$AQ70:AQ70)-SUM($CK70:CL70)</f>
        <v>0</v>
      </c>
      <c r="BP70" s="1">
        <f>SUM($AP70,$AQ70:AR70)-SUM($CK70:CM70)</f>
        <v>0</v>
      </c>
      <c r="BQ70" s="1">
        <f>SUM($AP70,$AQ70:AS70)-SUM($CK70:CN70)</f>
        <v>0</v>
      </c>
      <c r="BR70" s="1">
        <f>SUM($AP70,$AQ70:AT70)-SUM($CK70:CO70)</f>
        <v>0</v>
      </c>
      <c r="BS70" s="1">
        <f>SUM($AP70,$AQ70:AU70)-SUM($CK70:CP70)</f>
        <v>0</v>
      </c>
      <c r="BT70" s="1">
        <f>SUM($AP70,$AQ70:AV70)-SUM($CK70:CQ70)</f>
        <v>-40</v>
      </c>
      <c r="BU70" s="1">
        <f>SUM($AP70,$AQ70:AW70)-SUM($CK70:CR70)</f>
        <v>-120</v>
      </c>
      <c r="BV70" s="1">
        <f>SUM($AP70,$AQ70:AX70)-SUM($CK70:CS70)</f>
        <v>-240</v>
      </c>
      <c r="BW70" s="1">
        <f>SUM($AP70,$AQ70:AY70)-SUM($CK70:CT70)</f>
        <v>-400</v>
      </c>
      <c r="BX70" s="1">
        <f>SUM($AP70,$AQ70:AZ70)-SUM($CK70:CU70)</f>
        <v>-600</v>
      </c>
      <c r="BY70" s="1">
        <f>SUM($AP70,$AQ70:BA70)-SUM($CK70:CV70)</f>
        <v>-840</v>
      </c>
      <c r="BZ70" s="1">
        <f>SUM($AP70,$AQ70:BB70)-SUM($CK70:CW70)</f>
        <v>-1120</v>
      </c>
      <c r="CA70" s="1">
        <f>SUM($AP70,$AQ70:BC70)-SUM($CK70:CX70)</f>
        <v>-1440</v>
      </c>
      <c r="CB70" s="1">
        <f>SUM($AP70,$AQ70:BD70)-SUM($CK70:CY70)</f>
        <v>-1800</v>
      </c>
      <c r="CC70" s="1">
        <f>SUM($AP70,$AQ70:BE70)-SUM($CK70:CZ70)</f>
        <v>-2200</v>
      </c>
      <c r="CD70" s="1">
        <f>SUM($AP70,$AQ70:BF70)-SUM($CK70:DA70)</f>
        <v>-2640</v>
      </c>
      <c r="CE70" s="1">
        <f>SUM($AP70,$AQ70:BG70)-SUM($CK70:DB70)</f>
        <v>-3120</v>
      </c>
      <c r="CF70" s="1">
        <f>SUM($AP70,$AQ70:BH70)-SUM($CK70:DC70)</f>
        <v>-3640</v>
      </c>
      <c r="CG70" s="1">
        <f>SUM($AP70,$AQ70:BI70)-SUM($CK70:DD70)</f>
        <v>-3640</v>
      </c>
      <c r="CK70" s="1">
        <f t="array" ref="CK70">SUMPRODUCT($H70:$Y70,(TRANSPOSE(CK$2:CK$19)))</f>
        <v>0</v>
      </c>
      <c r="CL70" s="1">
        <f t="array" ref="CL70">SUMPRODUCT($H70:$Y70,(TRANSPOSE(CL$2:CL$19)))</f>
        <v>0</v>
      </c>
      <c r="CM70" s="1">
        <f t="array" ref="CM70">SUMPRODUCT($H70:$Y70,(TRANSPOSE(CM$2:CM$19)))</f>
        <v>0</v>
      </c>
      <c r="CN70" s="1">
        <f t="array" ref="CN70">SUMPRODUCT($H70:$Y70,(TRANSPOSE(CN$2:CN$19)))</f>
        <v>0</v>
      </c>
      <c r="CO70" s="1">
        <f t="array" ref="CO70">SUMPRODUCT($H70:$Y70,(TRANSPOSE(CO$2:CO$19)))</f>
        <v>0</v>
      </c>
      <c r="CP70" s="1">
        <f t="array" ref="CP70">SUMPRODUCT($H70:$Y70,(TRANSPOSE(CP$2:CP$19)))</f>
        <v>0</v>
      </c>
      <c r="CQ70" s="1">
        <f t="array" ref="CQ70">SUMPRODUCT($H70:$Y70,(TRANSPOSE(CQ$2:CQ$19)))</f>
        <v>40</v>
      </c>
      <c r="CR70" s="1">
        <f t="array" ref="CR70">SUMPRODUCT($H70:$Y70,(TRANSPOSE(CR$2:CR$19)))</f>
        <v>80</v>
      </c>
      <c r="CS70" s="1">
        <f t="array" ref="CS70">SUMPRODUCT($H70:$Y70,(TRANSPOSE(CS$2:CS$19)))</f>
        <v>120</v>
      </c>
      <c r="CT70" s="1">
        <f t="array" ref="CT70">SUMPRODUCT($H70:$Y70,(TRANSPOSE(CT$2:CT$19)))</f>
        <v>160</v>
      </c>
      <c r="CU70" s="1">
        <f t="array" ref="CU70">SUMPRODUCT($H70:$Y70,(TRANSPOSE(CU$2:CU$19)))</f>
        <v>200</v>
      </c>
      <c r="CV70" s="1">
        <f t="array" ref="CV70">SUMPRODUCT($H70:$Y70,(TRANSPOSE(CV$2:CV$19)))</f>
        <v>240</v>
      </c>
      <c r="CW70" s="1">
        <f t="array" ref="CW70">SUMPRODUCT($H70:$Y70,(TRANSPOSE(CW$2:CW$19)))</f>
        <v>280</v>
      </c>
      <c r="CX70" s="1">
        <f t="array" ref="CX70">SUMPRODUCT($H70:$Y70,(TRANSPOSE(CX$2:CX$19)))</f>
        <v>320</v>
      </c>
      <c r="CY70" s="1">
        <f t="array" ref="CY70">SUMPRODUCT($H70:$Y70,(TRANSPOSE(CY$2:CY$19)))</f>
        <v>360</v>
      </c>
      <c r="CZ70" s="1">
        <f t="array" ref="CZ70">SUMPRODUCT($H70:$Y70,(TRANSPOSE(CZ$2:CZ$19)))</f>
        <v>400</v>
      </c>
      <c r="DA70" s="1">
        <f t="array" ref="DA70">SUMPRODUCT($H70:$Y70,(TRANSPOSE(DA$2:DA$19)))</f>
        <v>440</v>
      </c>
      <c r="DB70" s="1">
        <f t="array" ref="DB70">SUMPRODUCT($H70:$Y70,(TRANSPOSE(DB$2:DB$19)))</f>
        <v>480</v>
      </c>
      <c r="DC70" s="1">
        <f t="array" ref="DC70">SUMPRODUCT($H70:$Y70,(TRANSPOSE(DC$2:DC$19)))</f>
        <v>520</v>
      </c>
      <c r="DD70" s="1">
        <f t="array" ref="DD70">SUMPRODUCT($H70:$Y70,(TRANSPOSE(DD$2:DD$19)))</f>
        <v>0</v>
      </c>
    </row>
    <row r="71" spans="1:108" ht="13.5" thickBot="1" x14ac:dyDescent="0.25">
      <c r="A71" s="1">
        <v>63</v>
      </c>
      <c r="B71" s="24" t="s">
        <v>756</v>
      </c>
      <c r="C71" s="22" t="s">
        <v>19</v>
      </c>
      <c r="D71" s="22">
        <v>407294414</v>
      </c>
      <c r="E71" s="22"/>
      <c r="F71" s="22" t="s">
        <v>755</v>
      </c>
      <c r="G71" s="22" t="s">
        <v>20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2</v>
      </c>
      <c r="X71" s="22">
        <v>0</v>
      </c>
      <c r="Y71" s="22">
        <v>0</v>
      </c>
      <c r="Z71" s="22">
        <f>SUM(H71:Y71)</f>
        <v>2</v>
      </c>
      <c r="AA71" s="22">
        <f>SUMPRODUCT(H71:Y71,$H$16:$Y$16)</f>
        <v>1820</v>
      </c>
      <c r="AB71" s="23" t="s">
        <v>733</v>
      </c>
      <c r="AC71" s="22">
        <v>1.1000000000000001</v>
      </c>
      <c r="AD71" s="9"/>
      <c r="AE71" s="22" t="s">
        <v>28</v>
      </c>
      <c r="AF71" s="22">
        <f>AC71</f>
        <v>1.1000000000000001</v>
      </c>
      <c r="AG71" s="22"/>
      <c r="AH71" s="22">
        <v>1</v>
      </c>
      <c r="AI71" s="22" t="s">
        <v>510</v>
      </c>
      <c r="AJ71" s="22"/>
      <c r="AK71" s="22" t="s">
        <v>731</v>
      </c>
      <c r="AL71" s="22" t="s">
        <v>730</v>
      </c>
      <c r="AM71" s="22" t="s">
        <v>729</v>
      </c>
      <c r="AN71" s="21" t="s">
        <v>728</v>
      </c>
      <c r="AO71" s="1" t="s">
        <v>754</v>
      </c>
      <c r="BO71" s="1">
        <f>SUM($AP71,$AQ71:AQ71)-SUM($CK71:CL71)</f>
        <v>0</v>
      </c>
      <c r="BP71" s="1">
        <f>SUM($AP71,$AQ71:AR71)-SUM($CK71:CM71)</f>
        <v>0</v>
      </c>
      <c r="BQ71" s="1">
        <f>SUM($AP71,$AQ71:AS71)-SUM($CK71:CN71)</f>
        <v>0</v>
      </c>
      <c r="BR71" s="1">
        <f>SUM($AP71,$AQ71:AT71)-SUM($CK71:CO71)</f>
        <v>0</v>
      </c>
      <c r="BS71" s="1">
        <f>SUM($AP71,$AQ71:AU71)-SUM($CK71:CP71)</f>
        <v>-20</v>
      </c>
      <c r="BT71" s="1">
        <f>SUM($AP71,$AQ71:AV71)-SUM($CK71:CQ71)</f>
        <v>-60</v>
      </c>
      <c r="BU71" s="1">
        <f>SUM($AP71,$AQ71:AW71)-SUM($CK71:CR71)</f>
        <v>-120</v>
      </c>
      <c r="BV71" s="1">
        <f>SUM($AP71,$AQ71:AX71)-SUM($CK71:CS71)</f>
        <v>-200</v>
      </c>
      <c r="BW71" s="1">
        <f>SUM($AP71,$AQ71:AY71)-SUM($CK71:CT71)</f>
        <v>-300</v>
      </c>
      <c r="BX71" s="1">
        <f>SUM($AP71,$AQ71:AZ71)-SUM($CK71:CU71)</f>
        <v>-420</v>
      </c>
      <c r="BY71" s="1">
        <f>SUM($AP71,$AQ71:BA71)-SUM($CK71:CV71)</f>
        <v>-560</v>
      </c>
      <c r="BZ71" s="1">
        <f>SUM($AP71,$AQ71:BB71)-SUM($CK71:CW71)</f>
        <v>-720</v>
      </c>
      <c r="CA71" s="1">
        <f>SUM($AP71,$AQ71:BC71)-SUM($CK71:CX71)</f>
        <v>-900</v>
      </c>
      <c r="CB71" s="1">
        <f>SUM($AP71,$AQ71:BD71)-SUM($CK71:CY71)</f>
        <v>-1100</v>
      </c>
      <c r="CC71" s="1">
        <f>SUM($AP71,$AQ71:BE71)-SUM($CK71:CZ71)</f>
        <v>-1320</v>
      </c>
      <c r="CD71" s="1">
        <f>SUM($AP71,$AQ71:BF71)-SUM($CK71:DA71)</f>
        <v>-1560</v>
      </c>
      <c r="CE71" s="1">
        <f>SUM($AP71,$AQ71:BG71)-SUM($CK71:DB71)</f>
        <v>-1820</v>
      </c>
      <c r="CF71" s="1">
        <f>SUM($AP71,$AQ71:BH71)-SUM($CK71:DC71)</f>
        <v>-1820</v>
      </c>
      <c r="CG71" s="1">
        <f>SUM($AP71,$AQ71:BI71)-SUM($CK71:DD71)</f>
        <v>-1820</v>
      </c>
      <c r="CK71" s="1">
        <f t="array" ref="CK71">SUMPRODUCT($H71:$Y71,(TRANSPOSE(CK$2:CK$19)))</f>
        <v>0</v>
      </c>
      <c r="CL71" s="1">
        <f t="array" ref="CL71">SUMPRODUCT($H71:$Y71,(TRANSPOSE(CL$2:CL$19)))</f>
        <v>0</v>
      </c>
      <c r="CM71" s="1">
        <f t="array" ref="CM71">SUMPRODUCT($H71:$Y71,(TRANSPOSE(CM$2:CM$19)))</f>
        <v>0</v>
      </c>
      <c r="CN71" s="1">
        <f t="array" ref="CN71">SUMPRODUCT($H71:$Y71,(TRANSPOSE(CN$2:CN$19)))</f>
        <v>0</v>
      </c>
      <c r="CO71" s="1">
        <f t="array" ref="CO71">SUMPRODUCT($H71:$Y71,(TRANSPOSE(CO$2:CO$19)))</f>
        <v>0</v>
      </c>
      <c r="CP71" s="1">
        <f t="array" ref="CP71">SUMPRODUCT($H71:$Y71,(TRANSPOSE(CP$2:CP$19)))</f>
        <v>20</v>
      </c>
      <c r="CQ71" s="1">
        <f t="array" ref="CQ71">SUMPRODUCT($H71:$Y71,(TRANSPOSE(CQ$2:CQ$19)))</f>
        <v>40</v>
      </c>
      <c r="CR71" s="1">
        <f t="array" ref="CR71">SUMPRODUCT($H71:$Y71,(TRANSPOSE(CR$2:CR$19)))</f>
        <v>60</v>
      </c>
      <c r="CS71" s="1">
        <f t="array" ref="CS71">SUMPRODUCT($H71:$Y71,(TRANSPOSE(CS$2:CS$19)))</f>
        <v>80</v>
      </c>
      <c r="CT71" s="1">
        <f t="array" ref="CT71">SUMPRODUCT($H71:$Y71,(TRANSPOSE(CT$2:CT$19)))</f>
        <v>100</v>
      </c>
      <c r="CU71" s="1">
        <f t="array" ref="CU71">SUMPRODUCT($H71:$Y71,(TRANSPOSE(CU$2:CU$19)))</f>
        <v>120</v>
      </c>
      <c r="CV71" s="1">
        <f t="array" ref="CV71">SUMPRODUCT($H71:$Y71,(TRANSPOSE(CV$2:CV$19)))</f>
        <v>140</v>
      </c>
      <c r="CW71" s="1">
        <f t="array" ref="CW71">SUMPRODUCT($H71:$Y71,(TRANSPOSE(CW$2:CW$19)))</f>
        <v>160</v>
      </c>
      <c r="CX71" s="1">
        <f t="array" ref="CX71">SUMPRODUCT($H71:$Y71,(TRANSPOSE(CX$2:CX$19)))</f>
        <v>180</v>
      </c>
      <c r="CY71" s="1">
        <f t="array" ref="CY71">SUMPRODUCT($H71:$Y71,(TRANSPOSE(CY$2:CY$19)))</f>
        <v>200</v>
      </c>
      <c r="CZ71" s="1">
        <f t="array" ref="CZ71">SUMPRODUCT($H71:$Y71,(TRANSPOSE(CZ$2:CZ$19)))</f>
        <v>220</v>
      </c>
      <c r="DA71" s="1">
        <f t="array" ref="DA71">SUMPRODUCT($H71:$Y71,(TRANSPOSE(DA$2:DA$19)))</f>
        <v>240</v>
      </c>
      <c r="DB71" s="1">
        <f t="array" ref="DB71">SUMPRODUCT($H71:$Y71,(TRANSPOSE(DB$2:DB$19)))</f>
        <v>260</v>
      </c>
      <c r="DC71" s="1">
        <f t="array" ref="DC71">SUMPRODUCT($H71:$Y71,(TRANSPOSE(DC$2:DC$19)))</f>
        <v>0</v>
      </c>
      <c r="DD71" s="1">
        <f t="array" ref="DD71">SUMPRODUCT($H71:$Y71,(TRANSPOSE(DD$2:DD$19)))</f>
        <v>0</v>
      </c>
    </row>
    <row r="72" spans="1:108" ht="13.5" thickBot="1" x14ac:dyDescent="0.25">
      <c r="A72" s="1">
        <v>64</v>
      </c>
      <c r="B72" s="10" t="s">
        <v>753</v>
      </c>
      <c r="C72" s="1" t="s">
        <v>643</v>
      </c>
      <c r="D72" s="1">
        <v>406059870</v>
      </c>
      <c r="F72" s="1" t="s">
        <v>752</v>
      </c>
      <c r="G72" s="1" t="s">
        <v>20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f>SUM(H72:Y72)</f>
        <v>2</v>
      </c>
      <c r="AA72" s="1">
        <f>SUMPRODUCT(H72:Y72,$H$16:$Y$16)</f>
        <v>1820</v>
      </c>
      <c r="AB72" s="18" t="s">
        <v>733</v>
      </c>
      <c r="AC72" s="1">
        <v>586.61</v>
      </c>
      <c r="AD72" s="9"/>
      <c r="AE72" s="1" t="s">
        <v>28</v>
      </c>
      <c r="AF72" s="1">
        <f>AC72</f>
        <v>586.61</v>
      </c>
      <c r="AH72" s="1">
        <v>1</v>
      </c>
      <c r="AI72" s="1" t="s">
        <v>751</v>
      </c>
      <c r="AK72" s="1" t="s">
        <v>750</v>
      </c>
      <c r="AL72" s="1" t="s">
        <v>749</v>
      </c>
      <c r="AM72" s="1" t="s">
        <v>748</v>
      </c>
      <c r="AN72" s="2" t="s">
        <v>747</v>
      </c>
      <c r="BO72" s="1">
        <f>SUM($AP72,$AQ72:AQ72)-SUM($CK72:CL72)</f>
        <v>0</v>
      </c>
      <c r="BP72" s="1">
        <f>SUM($AP72,$AQ72:AR72)-SUM($CK72:CM72)</f>
        <v>0</v>
      </c>
      <c r="BQ72" s="1">
        <f>SUM($AP72,$AQ72:AS72)-SUM($CK72:CN72)</f>
        <v>0</v>
      </c>
      <c r="BR72" s="1">
        <f>SUM($AP72,$AQ72:AT72)-SUM($CK72:CO72)</f>
        <v>0</v>
      </c>
      <c r="BS72" s="1">
        <f>SUM($AP72,$AQ72:AU72)-SUM($CK72:CP72)</f>
        <v>0</v>
      </c>
      <c r="BT72" s="1">
        <f>SUM($AP72,$AQ72:AV72)-SUM($CK72:CQ72)</f>
        <v>-20</v>
      </c>
      <c r="BU72" s="1">
        <f>SUM($AP72,$AQ72:AW72)-SUM($CK72:CR72)</f>
        <v>-60</v>
      </c>
      <c r="BV72" s="1">
        <f>SUM($AP72,$AQ72:AX72)-SUM($CK72:CS72)</f>
        <v>-120</v>
      </c>
      <c r="BW72" s="1">
        <f>SUM($AP72,$AQ72:AY72)-SUM($CK72:CT72)</f>
        <v>-200</v>
      </c>
      <c r="BX72" s="1">
        <f>SUM($AP72,$AQ72:AZ72)-SUM($CK72:CU72)</f>
        <v>-300</v>
      </c>
      <c r="BY72" s="1">
        <f>SUM($AP72,$AQ72:BA72)-SUM($CK72:CV72)</f>
        <v>-420</v>
      </c>
      <c r="BZ72" s="1">
        <f>SUM($AP72,$AQ72:BB72)-SUM($CK72:CW72)</f>
        <v>-560</v>
      </c>
      <c r="CA72" s="1">
        <f>SUM($AP72,$AQ72:BC72)-SUM($CK72:CX72)</f>
        <v>-720</v>
      </c>
      <c r="CB72" s="1">
        <f>SUM($AP72,$AQ72:BD72)-SUM($CK72:CY72)</f>
        <v>-900</v>
      </c>
      <c r="CC72" s="1">
        <f>SUM($AP72,$AQ72:BE72)-SUM($CK72:CZ72)</f>
        <v>-1100</v>
      </c>
      <c r="CD72" s="1">
        <f>SUM($AP72,$AQ72:BF72)-SUM($CK72:DA72)</f>
        <v>-1320</v>
      </c>
      <c r="CE72" s="1">
        <f>SUM($AP72,$AQ72:BG72)-SUM($CK72:DB72)</f>
        <v>-1560</v>
      </c>
      <c r="CF72" s="1">
        <f>SUM($AP72,$AQ72:BH72)-SUM($CK72:DC72)</f>
        <v>-1820</v>
      </c>
      <c r="CG72" s="1">
        <f>SUM($AP72,$AQ72:BI72)-SUM($CK72:DD72)</f>
        <v>-1820</v>
      </c>
      <c r="CK72" s="1">
        <f t="array" ref="CK72">SUMPRODUCT($H72:$Y72,(TRANSPOSE(CK$2:CK$19)))</f>
        <v>0</v>
      </c>
      <c r="CL72" s="1">
        <f t="array" ref="CL72">SUMPRODUCT($H72:$Y72,(TRANSPOSE(CL$2:CL$19)))</f>
        <v>0</v>
      </c>
      <c r="CM72" s="1">
        <f t="array" ref="CM72">SUMPRODUCT($H72:$Y72,(TRANSPOSE(CM$2:CM$19)))</f>
        <v>0</v>
      </c>
      <c r="CN72" s="1">
        <f t="array" ref="CN72">SUMPRODUCT($H72:$Y72,(TRANSPOSE(CN$2:CN$19)))</f>
        <v>0</v>
      </c>
      <c r="CO72" s="1">
        <f t="array" ref="CO72">SUMPRODUCT($H72:$Y72,(TRANSPOSE(CO$2:CO$19)))</f>
        <v>0</v>
      </c>
      <c r="CP72" s="1">
        <f t="array" ref="CP72">SUMPRODUCT($H72:$Y72,(TRANSPOSE(CP$2:CP$19)))</f>
        <v>0</v>
      </c>
      <c r="CQ72" s="1">
        <f t="array" ref="CQ72">SUMPRODUCT($H72:$Y72,(TRANSPOSE(CQ$2:CQ$19)))</f>
        <v>20</v>
      </c>
      <c r="CR72" s="1">
        <f t="array" ref="CR72">SUMPRODUCT($H72:$Y72,(TRANSPOSE(CR$2:CR$19)))</f>
        <v>40</v>
      </c>
      <c r="CS72" s="1">
        <f t="array" ref="CS72">SUMPRODUCT($H72:$Y72,(TRANSPOSE(CS$2:CS$19)))</f>
        <v>60</v>
      </c>
      <c r="CT72" s="1">
        <f t="array" ref="CT72">SUMPRODUCT($H72:$Y72,(TRANSPOSE(CT$2:CT$19)))</f>
        <v>80</v>
      </c>
      <c r="CU72" s="1">
        <f t="array" ref="CU72">SUMPRODUCT($H72:$Y72,(TRANSPOSE(CU$2:CU$19)))</f>
        <v>100</v>
      </c>
      <c r="CV72" s="1">
        <f t="array" ref="CV72">SUMPRODUCT($H72:$Y72,(TRANSPOSE(CV$2:CV$19)))</f>
        <v>120</v>
      </c>
      <c r="CW72" s="1">
        <f t="array" ref="CW72">SUMPRODUCT($H72:$Y72,(TRANSPOSE(CW$2:CW$19)))</f>
        <v>140</v>
      </c>
      <c r="CX72" s="1">
        <f t="array" ref="CX72">SUMPRODUCT($H72:$Y72,(TRANSPOSE(CX$2:CX$19)))</f>
        <v>160</v>
      </c>
      <c r="CY72" s="1">
        <f t="array" ref="CY72">SUMPRODUCT($H72:$Y72,(TRANSPOSE(CY$2:CY$19)))</f>
        <v>180</v>
      </c>
      <c r="CZ72" s="1">
        <f t="array" ref="CZ72">SUMPRODUCT($H72:$Y72,(TRANSPOSE(CZ$2:CZ$19)))</f>
        <v>200</v>
      </c>
      <c r="DA72" s="1">
        <f t="array" ref="DA72">SUMPRODUCT($H72:$Y72,(TRANSPOSE(DA$2:DA$19)))</f>
        <v>220</v>
      </c>
      <c r="DB72" s="1">
        <f t="array" ref="DB72">SUMPRODUCT($H72:$Y72,(TRANSPOSE(DB$2:DB$19)))</f>
        <v>240</v>
      </c>
      <c r="DC72" s="1">
        <f t="array" ref="DC72">SUMPRODUCT($H72:$Y72,(TRANSPOSE(DC$2:DC$19)))</f>
        <v>260</v>
      </c>
      <c r="DD72" s="1">
        <f t="array" ref="DD72">SUMPRODUCT($H72:$Y72,(TRANSPOSE(DD$2:DD$19)))</f>
        <v>0</v>
      </c>
    </row>
    <row r="73" spans="1:108" ht="13.5" thickBot="1" x14ac:dyDescent="0.25">
      <c r="A73" s="1">
        <v>65</v>
      </c>
      <c r="B73" s="12" t="s">
        <v>746</v>
      </c>
      <c r="C73" s="1" t="s">
        <v>19</v>
      </c>
      <c r="D73" s="1">
        <v>411164849</v>
      </c>
      <c r="F73" s="1" t="s">
        <v>745</v>
      </c>
      <c r="G73" s="1" t="s">
        <v>20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2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f>SUM(H73:Y73)</f>
        <v>2</v>
      </c>
      <c r="AA73" s="1">
        <f>SUMPRODUCT(H73:Y73,$H$16:$Y$16)</f>
        <v>1820</v>
      </c>
      <c r="AB73" s="19" t="s">
        <v>733</v>
      </c>
      <c r="AC73" s="17">
        <v>2.2000000000000002</v>
      </c>
      <c r="AD73" s="9"/>
      <c r="AE73" s="1" t="s">
        <v>28</v>
      </c>
      <c r="AF73" s="1">
        <f>AC73</f>
        <v>2.2000000000000002</v>
      </c>
      <c r="AG73" s="1">
        <v>1</v>
      </c>
      <c r="AH73" s="1">
        <v>1</v>
      </c>
      <c r="AI73" s="1" t="s">
        <v>732</v>
      </c>
      <c r="AK73" s="1" t="s">
        <v>731</v>
      </c>
      <c r="AL73" s="1" t="s">
        <v>730</v>
      </c>
      <c r="AM73" s="1" t="s">
        <v>729</v>
      </c>
      <c r="AN73" s="2" t="s">
        <v>728</v>
      </c>
      <c r="BO73" s="1">
        <f>SUM($AP73,$AQ73:AQ73)-SUM($CK73:CL73)</f>
        <v>0</v>
      </c>
      <c r="BP73" s="1">
        <f>SUM($AP73,$AQ73:AR73)-SUM($CK73:CM73)</f>
        <v>0</v>
      </c>
      <c r="BQ73" s="1">
        <f>SUM($AP73,$AQ73:AS73)-SUM($CK73:CN73)</f>
        <v>0</v>
      </c>
      <c r="BR73" s="1">
        <f>SUM($AP73,$AQ73:AT73)-SUM($CK73:CO73)</f>
        <v>0</v>
      </c>
      <c r="BS73" s="1">
        <f>SUM($AP73,$AQ73:AU73)-SUM($CK73:CP73)</f>
        <v>-20</v>
      </c>
      <c r="BT73" s="1">
        <f>SUM($AP73,$AQ73:AV73)-SUM($CK73:CQ73)</f>
        <v>-60</v>
      </c>
      <c r="BU73" s="1">
        <f>SUM($AP73,$AQ73:AW73)-SUM($CK73:CR73)</f>
        <v>-120</v>
      </c>
      <c r="BV73" s="1">
        <f>SUM($AP73,$AQ73:AX73)-SUM($CK73:CS73)</f>
        <v>-200</v>
      </c>
      <c r="BW73" s="1">
        <f>SUM($AP73,$AQ73:AY73)-SUM($CK73:CT73)</f>
        <v>-300</v>
      </c>
      <c r="BX73" s="1">
        <f>SUM($AP73,$AQ73:AZ73)-SUM($CK73:CU73)</f>
        <v>-420</v>
      </c>
      <c r="BY73" s="1">
        <f>SUM($AP73,$AQ73:BA73)-SUM($CK73:CV73)</f>
        <v>-560</v>
      </c>
      <c r="BZ73" s="1">
        <f>SUM($AP73,$AQ73:BB73)-SUM($CK73:CW73)</f>
        <v>-720</v>
      </c>
      <c r="CA73" s="1">
        <f>SUM($AP73,$AQ73:BC73)-SUM($CK73:CX73)</f>
        <v>-900</v>
      </c>
      <c r="CB73" s="1">
        <f>SUM($AP73,$AQ73:BD73)-SUM($CK73:CY73)</f>
        <v>-1100</v>
      </c>
      <c r="CC73" s="1">
        <f>SUM($AP73,$AQ73:BE73)-SUM($CK73:CZ73)</f>
        <v>-1320</v>
      </c>
      <c r="CD73" s="1">
        <f>SUM($AP73,$AQ73:BF73)-SUM($CK73:DA73)</f>
        <v>-1560</v>
      </c>
      <c r="CE73" s="1">
        <f>SUM($AP73,$AQ73:BG73)-SUM($CK73:DB73)</f>
        <v>-1820</v>
      </c>
      <c r="CF73" s="1">
        <f>SUM($AP73,$AQ73:BH73)-SUM($CK73:DC73)</f>
        <v>-1820</v>
      </c>
      <c r="CG73" s="1">
        <f>SUM($AP73,$AQ73:BI73)-SUM($CK73:DD73)</f>
        <v>-1820</v>
      </c>
      <c r="CK73" s="1">
        <f t="array" ref="CK73">SUMPRODUCT($H73:$Y73,(TRANSPOSE(CK$2:CK$19)))</f>
        <v>0</v>
      </c>
      <c r="CL73" s="1">
        <f t="array" ref="CL73">SUMPRODUCT($H73:$Y73,(TRANSPOSE(CL$2:CL$19)))</f>
        <v>0</v>
      </c>
      <c r="CM73" s="1">
        <f t="array" ref="CM73">SUMPRODUCT($H73:$Y73,(TRANSPOSE(CM$2:CM$19)))</f>
        <v>0</v>
      </c>
      <c r="CN73" s="1">
        <f t="array" ref="CN73">SUMPRODUCT($H73:$Y73,(TRANSPOSE(CN$2:CN$19)))</f>
        <v>0</v>
      </c>
      <c r="CO73" s="1">
        <f t="array" ref="CO73">SUMPRODUCT($H73:$Y73,(TRANSPOSE(CO$2:CO$19)))</f>
        <v>0</v>
      </c>
      <c r="CP73" s="1">
        <f t="array" ref="CP73">SUMPRODUCT($H73:$Y73,(TRANSPOSE(CP$2:CP$19)))</f>
        <v>20</v>
      </c>
      <c r="CQ73" s="1">
        <f t="array" ref="CQ73">SUMPRODUCT($H73:$Y73,(TRANSPOSE(CQ$2:CQ$19)))</f>
        <v>40</v>
      </c>
      <c r="CR73" s="1">
        <f t="array" ref="CR73">SUMPRODUCT($H73:$Y73,(TRANSPOSE(CR$2:CR$19)))</f>
        <v>60</v>
      </c>
      <c r="CS73" s="1">
        <f t="array" ref="CS73">SUMPRODUCT($H73:$Y73,(TRANSPOSE(CS$2:CS$19)))</f>
        <v>80</v>
      </c>
      <c r="CT73" s="1">
        <f t="array" ref="CT73">SUMPRODUCT($H73:$Y73,(TRANSPOSE(CT$2:CT$19)))</f>
        <v>100</v>
      </c>
      <c r="CU73" s="1">
        <f t="array" ref="CU73">SUMPRODUCT($H73:$Y73,(TRANSPOSE(CU$2:CU$19)))</f>
        <v>120</v>
      </c>
      <c r="CV73" s="1">
        <f t="array" ref="CV73">SUMPRODUCT($H73:$Y73,(TRANSPOSE(CV$2:CV$19)))</f>
        <v>140</v>
      </c>
      <c r="CW73" s="1">
        <f t="array" ref="CW73">SUMPRODUCT($H73:$Y73,(TRANSPOSE(CW$2:CW$19)))</f>
        <v>160</v>
      </c>
      <c r="CX73" s="1">
        <f t="array" ref="CX73">SUMPRODUCT($H73:$Y73,(TRANSPOSE(CX$2:CX$19)))</f>
        <v>180</v>
      </c>
      <c r="CY73" s="1">
        <f t="array" ref="CY73">SUMPRODUCT($H73:$Y73,(TRANSPOSE(CY$2:CY$19)))</f>
        <v>200</v>
      </c>
      <c r="CZ73" s="1">
        <f t="array" ref="CZ73">SUMPRODUCT($H73:$Y73,(TRANSPOSE(CZ$2:CZ$19)))</f>
        <v>220</v>
      </c>
      <c r="DA73" s="1">
        <f t="array" ref="DA73">SUMPRODUCT($H73:$Y73,(TRANSPOSE(DA$2:DA$19)))</f>
        <v>240</v>
      </c>
      <c r="DB73" s="1">
        <f t="array" ref="DB73">SUMPRODUCT($H73:$Y73,(TRANSPOSE(DB$2:DB$19)))</f>
        <v>260</v>
      </c>
      <c r="DC73" s="1">
        <f t="array" ref="DC73">SUMPRODUCT($H73:$Y73,(TRANSPOSE(DC$2:DC$19)))</f>
        <v>0</v>
      </c>
      <c r="DD73" s="1">
        <f t="array" ref="DD73">SUMPRODUCT($H73:$Y73,(TRANSPOSE(DD$2:DD$19)))</f>
        <v>0</v>
      </c>
    </row>
    <row r="74" spans="1:108" ht="13.5" thickBot="1" x14ac:dyDescent="0.25">
      <c r="A74" s="1">
        <v>66</v>
      </c>
      <c r="B74" s="10" t="s">
        <v>1</v>
      </c>
      <c r="C74" s="1">
        <v>-1</v>
      </c>
      <c r="D74" s="1">
        <v>410931222</v>
      </c>
      <c r="F74" s="1" t="s">
        <v>744</v>
      </c>
      <c r="G74" s="1" t="s">
        <v>20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0</v>
      </c>
      <c r="Y74" s="1">
        <v>0</v>
      </c>
      <c r="Z74" s="1">
        <f>SUM(H74:Y74)</f>
        <v>2</v>
      </c>
      <c r="AA74" s="1">
        <f>SUMPRODUCT(H74:Y74,$H$16:$Y$16)</f>
        <v>1820</v>
      </c>
      <c r="AB74" s="19" t="s">
        <v>739</v>
      </c>
      <c r="AD74" s="9"/>
      <c r="AK74" s="1" t="s">
        <v>738</v>
      </c>
      <c r="AN74" s="2"/>
      <c r="BO74" s="1">
        <f>SUM($AP74,$AQ74:AQ74)-SUM($CK74:CL74)</f>
        <v>0</v>
      </c>
      <c r="BP74" s="1">
        <f>SUM($AP74,$AQ74:AR74)-SUM($CK74:CM74)</f>
        <v>0</v>
      </c>
      <c r="BQ74" s="1">
        <f>SUM($AP74,$AQ74:AS74)-SUM($CK74:CN74)</f>
        <v>0</v>
      </c>
      <c r="BR74" s="1">
        <f>SUM($AP74,$AQ74:AT74)-SUM($CK74:CO74)</f>
        <v>0</v>
      </c>
      <c r="BS74" s="1">
        <f>SUM($AP74,$AQ74:AU74)-SUM($CK74:CP74)</f>
        <v>-20</v>
      </c>
      <c r="BT74" s="1">
        <f>SUM($AP74,$AQ74:AV74)-SUM($CK74:CQ74)</f>
        <v>-60</v>
      </c>
      <c r="BU74" s="1">
        <f>SUM($AP74,$AQ74:AW74)-SUM($CK74:CR74)</f>
        <v>-120</v>
      </c>
      <c r="BV74" s="1">
        <f>SUM($AP74,$AQ74:AX74)-SUM($CK74:CS74)</f>
        <v>-200</v>
      </c>
      <c r="BW74" s="1">
        <f>SUM($AP74,$AQ74:AY74)-SUM($CK74:CT74)</f>
        <v>-300</v>
      </c>
      <c r="BX74" s="1">
        <f>SUM($AP74,$AQ74:AZ74)-SUM($CK74:CU74)</f>
        <v>-420</v>
      </c>
      <c r="BY74" s="1">
        <f>SUM($AP74,$AQ74:BA74)-SUM($CK74:CV74)</f>
        <v>-560</v>
      </c>
      <c r="BZ74" s="1">
        <f>SUM($AP74,$AQ74:BB74)-SUM($CK74:CW74)</f>
        <v>-720</v>
      </c>
      <c r="CA74" s="1">
        <f>SUM($AP74,$AQ74:BC74)-SUM($CK74:CX74)</f>
        <v>-900</v>
      </c>
      <c r="CB74" s="1">
        <f>SUM($AP74,$AQ74:BD74)-SUM($CK74:CY74)</f>
        <v>-1100</v>
      </c>
      <c r="CC74" s="1">
        <f>SUM($AP74,$AQ74:BE74)-SUM($CK74:CZ74)</f>
        <v>-1320</v>
      </c>
      <c r="CD74" s="1">
        <f>SUM($AP74,$AQ74:BF74)-SUM($CK74:DA74)</f>
        <v>-1560</v>
      </c>
      <c r="CE74" s="1">
        <f>SUM($AP74,$AQ74:BG74)-SUM($CK74:DB74)</f>
        <v>-1820</v>
      </c>
      <c r="CF74" s="1">
        <f>SUM($AP74,$AQ74:BH74)-SUM($CK74:DC74)</f>
        <v>-1820</v>
      </c>
      <c r="CG74" s="1">
        <f>SUM($AP74,$AQ74:BI74)-SUM($CK74:DD74)</f>
        <v>-1820</v>
      </c>
      <c r="CK74" s="1">
        <f t="array" ref="CK74">SUMPRODUCT($H74:$Y74,(TRANSPOSE(CK$2:CK$19)))</f>
        <v>0</v>
      </c>
      <c r="CL74" s="1">
        <f t="array" ref="CL74">SUMPRODUCT($H74:$Y74,(TRANSPOSE(CL$2:CL$19)))</f>
        <v>0</v>
      </c>
      <c r="CM74" s="1">
        <f t="array" ref="CM74">SUMPRODUCT($H74:$Y74,(TRANSPOSE(CM$2:CM$19)))</f>
        <v>0</v>
      </c>
      <c r="CN74" s="1">
        <f t="array" ref="CN74">SUMPRODUCT($H74:$Y74,(TRANSPOSE(CN$2:CN$19)))</f>
        <v>0</v>
      </c>
      <c r="CO74" s="1">
        <f t="array" ref="CO74">SUMPRODUCT($H74:$Y74,(TRANSPOSE(CO$2:CO$19)))</f>
        <v>0</v>
      </c>
      <c r="CP74" s="1">
        <f t="array" ref="CP74">SUMPRODUCT($H74:$Y74,(TRANSPOSE(CP$2:CP$19)))</f>
        <v>20</v>
      </c>
      <c r="CQ74" s="1">
        <f t="array" ref="CQ74">SUMPRODUCT($H74:$Y74,(TRANSPOSE(CQ$2:CQ$19)))</f>
        <v>40</v>
      </c>
      <c r="CR74" s="1">
        <f t="array" ref="CR74">SUMPRODUCT($H74:$Y74,(TRANSPOSE(CR$2:CR$19)))</f>
        <v>60</v>
      </c>
      <c r="CS74" s="1">
        <f t="array" ref="CS74">SUMPRODUCT($H74:$Y74,(TRANSPOSE(CS$2:CS$19)))</f>
        <v>80</v>
      </c>
      <c r="CT74" s="1">
        <f t="array" ref="CT74">SUMPRODUCT($H74:$Y74,(TRANSPOSE(CT$2:CT$19)))</f>
        <v>100</v>
      </c>
      <c r="CU74" s="1">
        <f t="array" ref="CU74">SUMPRODUCT($H74:$Y74,(TRANSPOSE(CU$2:CU$19)))</f>
        <v>120</v>
      </c>
      <c r="CV74" s="1">
        <f t="array" ref="CV74">SUMPRODUCT($H74:$Y74,(TRANSPOSE(CV$2:CV$19)))</f>
        <v>140</v>
      </c>
      <c r="CW74" s="1">
        <f t="array" ref="CW74">SUMPRODUCT($H74:$Y74,(TRANSPOSE(CW$2:CW$19)))</f>
        <v>160</v>
      </c>
      <c r="CX74" s="1">
        <f t="array" ref="CX74">SUMPRODUCT($H74:$Y74,(TRANSPOSE(CX$2:CX$19)))</f>
        <v>180</v>
      </c>
      <c r="CY74" s="1">
        <f t="array" ref="CY74">SUMPRODUCT($H74:$Y74,(TRANSPOSE(CY$2:CY$19)))</f>
        <v>200</v>
      </c>
      <c r="CZ74" s="1">
        <f t="array" ref="CZ74">SUMPRODUCT($H74:$Y74,(TRANSPOSE(CZ$2:CZ$19)))</f>
        <v>220</v>
      </c>
      <c r="DA74" s="1">
        <f t="array" ref="DA74">SUMPRODUCT($H74:$Y74,(TRANSPOSE(DA$2:DA$19)))</f>
        <v>240</v>
      </c>
      <c r="DB74" s="1">
        <f t="array" ref="DB74">SUMPRODUCT($H74:$Y74,(TRANSPOSE(DB$2:DB$19)))</f>
        <v>260</v>
      </c>
      <c r="DC74" s="1">
        <f t="array" ref="DC74">SUMPRODUCT($H74:$Y74,(TRANSPOSE(DC$2:DC$19)))</f>
        <v>0</v>
      </c>
      <c r="DD74" s="1">
        <f t="array" ref="DD74">SUMPRODUCT($H74:$Y74,(TRANSPOSE(DD$2:DD$19)))</f>
        <v>0</v>
      </c>
    </row>
    <row r="75" spans="1:108" ht="13.5" thickBot="1" x14ac:dyDescent="0.25">
      <c r="A75" s="1">
        <v>67</v>
      </c>
      <c r="B75" s="10" t="s">
        <v>2</v>
      </c>
      <c r="C75" s="1" t="s">
        <v>19</v>
      </c>
      <c r="D75" s="1">
        <v>410979618</v>
      </c>
      <c r="F75" s="1" t="s">
        <v>740</v>
      </c>
      <c r="G75" s="1" t="s">
        <v>20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2</v>
      </c>
      <c r="W75" s="1">
        <v>0</v>
      </c>
      <c r="X75" s="1">
        <v>0</v>
      </c>
      <c r="Y75" s="1">
        <v>0</v>
      </c>
      <c r="Z75" s="1">
        <f>SUM(H75:Y75)</f>
        <v>2</v>
      </c>
      <c r="AA75" s="1">
        <f>SUMPRODUCT(H75:Y75,$H$16:$Y$16)</f>
        <v>1820</v>
      </c>
      <c r="AB75" s="19" t="s">
        <v>739</v>
      </c>
      <c r="AD75" s="9"/>
      <c r="AK75" s="1" t="s">
        <v>738</v>
      </c>
      <c r="AN75" s="2"/>
      <c r="BO75" s="1">
        <f>SUM($AP75,$AQ75:AQ75)-SUM($CK75:CL75)</f>
        <v>0</v>
      </c>
      <c r="BP75" s="1">
        <f>SUM($AP75,$AQ75:AR75)-SUM($CK75:CM75)</f>
        <v>0</v>
      </c>
      <c r="BQ75" s="1">
        <f>SUM($AP75,$AQ75:AS75)-SUM($CK75:CN75)</f>
        <v>0</v>
      </c>
      <c r="BR75" s="1">
        <f>SUM($AP75,$AQ75:AT75)-SUM($CK75:CO75)</f>
        <v>0</v>
      </c>
      <c r="BS75" s="1">
        <f>SUM($AP75,$AQ75:AU75)-SUM($CK75:CP75)</f>
        <v>0</v>
      </c>
      <c r="BT75" s="1">
        <f>SUM($AP75,$AQ75:AV75)-SUM($CK75:CQ75)</f>
        <v>-20</v>
      </c>
      <c r="BU75" s="1">
        <f>SUM($AP75,$AQ75:AW75)-SUM($CK75:CR75)</f>
        <v>-60</v>
      </c>
      <c r="BV75" s="1">
        <f>SUM($AP75,$AQ75:AX75)-SUM($CK75:CS75)</f>
        <v>-120</v>
      </c>
      <c r="BW75" s="1">
        <f>SUM($AP75,$AQ75:AY75)-SUM($CK75:CT75)</f>
        <v>-200</v>
      </c>
      <c r="BX75" s="1">
        <f>SUM($AP75,$AQ75:AZ75)-SUM($CK75:CU75)</f>
        <v>-300</v>
      </c>
      <c r="BY75" s="1">
        <f>SUM($AP75,$AQ75:BA75)-SUM($CK75:CV75)</f>
        <v>-420</v>
      </c>
      <c r="BZ75" s="1">
        <f>SUM($AP75,$AQ75:BB75)-SUM($CK75:CW75)</f>
        <v>-560</v>
      </c>
      <c r="CA75" s="1">
        <f>SUM($AP75,$AQ75:BC75)-SUM($CK75:CX75)</f>
        <v>-720</v>
      </c>
      <c r="CB75" s="1">
        <f>SUM($AP75,$AQ75:BD75)-SUM($CK75:CY75)</f>
        <v>-900</v>
      </c>
      <c r="CC75" s="1">
        <f>SUM($AP75,$AQ75:BE75)-SUM($CK75:CZ75)</f>
        <v>-1100</v>
      </c>
      <c r="CD75" s="1">
        <f>SUM($AP75,$AQ75:BF75)-SUM($CK75:DA75)</f>
        <v>-1320</v>
      </c>
      <c r="CE75" s="1">
        <f>SUM($AP75,$AQ75:BG75)-SUM($CK75:DB75)</f>
        <v>-1560</v>
      </c>
      <c r="CF75" s="1">
        <f>SUM($AP75,$AQ75:BH75)-SUM($CK75:DC75)</f>
        <v>-1820</v>
      </c>
      <c r="CG75" s="1">
        <f>SUM($AP75,$AQ75:BI75)-SUM($CK75:DD75)</f>
        <v>-1820</v>
      </c>
      <c r="CK75" s="1">
        <f t="array" ref="CK75">SUMPRODUCT($H75:$Y75,(TRANSPOSE(CK$2:CK$19)))</f>
        <v>0</v>
      </c>
      <c r="CL75" s="1">
        <f t="array" ref="CL75">SUMPRODUCT($H75:$Y75,(TRANSPOSE(CL$2:CL$19)))</f>
        <v>0</v>
      </c>
      <c r="CM75" s="1">
        <f t="array" ref="CM75">SUMPRODUCT($H75:$Y75,(TRANSPOSE(CM$2:CM$19)))</f>
        <v>0</v>
      </c>
      <c r="CN75" s="1">
        <f t="array" ref="CN75">SUMPRODUCT($H75:$Y75,(TRANSPOSE(CN$2:CN$19)))</f>
        <v>0</v>
      </c>
      <c r="CO75" s="1">
        <f t="array" ref="CO75">SUMPRODUCT($H75:$Y75,(TRANSPOSE(CO$2:CO$19)))</f>
        <v>0</v>
      </c>
      <c r="CP75" s="1">
        <f t="array" ref="CP75">SUMPRODUCT($H75:$Y75,(TRANSPOSE(CP$2:CP$19)))</f>
        <v>0</v>
      </c>
      <c r="CQ75" s="1">
        <f t="array" ref="CQ75">SUMPRODUCT($H75:$Y75,(TRANSPOSE(CQ$2:CQ$19)))</f>
        <v>20</v>
      </c>
      <c r="CR75" s="1">
        <f t="array" ref="CR75">SUMPRODUCT($H75:$Y75,(TRANSPOSE(CR$2:CR$19)))</f>
        <v>40</v>
      </c>
      <c r="CS75" s="1">
        <f t="array" ref="CS75">SUMPRODUCT($H75:$Y75,(TRANSPOSE(CS$2:CS$19)))</f>
        <v>60</v>
      </c>
      <c r="CT75" s="1">
        <f t="array" ref="CT75">SUMPRODUCT($H75:$Y75,(TRANSPOSE(CT$2:CT$19)))</f>
        <v>80</v>
      </c>
      <c r="CU75" s="1">
        <f t="array" ref="CU75">SUMPRODUCT($H75:$Y75,(TRANSPOSE(CU$2:CU$19)))</f>
        <v>100</v>
      </c>
      <c r="CV75" s="1">
        <f t="array" ref="CV75">SUMPRODUCT($H75:$Y75,(TRANSPOSE(CV$2:CV$19)))</f>
        <v>120</v>
      </c>
      <c r="CW75" s="1">
        <f t="array" ref="CW75">SUMPRODUCT($H75:$Y75,(TRANSPOSE(CW$2:CW$19)))</f>
        <v>140</v>
      </c>
      <c r="CX75" s="1">
        <f t="array" ref="CX75">SUMPRODUCT($H75:$Y75,(TRANSPOSE(CX$2:CX$19)))</f>
        <v>160</v>
      </c>
      <c r="CY75" s="1">
        <f t="array" ref="CY75">SUMPRODUCT($H75:$Y75,(TRANSPOSE(CY$2:CY$19)))</f>
        <v>180</v>
      </c>
      <c r="CZ75" s="1">
        <f t="array" ref="CZ75">SUMPRODUCT($H75:$Y75,(TRANSPOSE(CZ$2:CZ$19)))</f>
        <v>200</v>
      </c>
      <c r="DA75" s="1">
        <f t="array" ref="DA75">SUMPRODUCT($H75:$Y75,(TRANSPOSE(DA$2:DA$19)))</f>
        <v>220</v>
      </c>
      <c r="DB75" s="1">
        <f t="array" ref="DB75">SUMPRODUCT($H75:$Y75,(TRANSPOSE(DB$2:DB$19)))</f>
        <v>240</v>
      </c>
      <c r="DC75" s="1">
        <f t="array" ref="DC75">SUMPRODUCT($H75:$Y75,(TRANSPOSE(DC$2:DC$19)))</f>
        <v>260</v>
      </c>
      <c r="DD75" s="1">
        <f t="array" ref="DD75">SUMPRODUCT($H75:$Y75,(TRANSPOSE(DD$2:DD$19)))</f>
        <v>0</v>
      </c>
    </row>
    <row r="76" spans="1:108" ht="13.5" thickBot="1" x14ac:dyDescent="0.25">
      <c r="A76" s="1">
        <v>68</v>
      </c>
      <c r="B76" s="12" t="s">
        <v>743</v>
      </c>
      <c r="C76" s="1" t="s">
        <v>19</v>
      </c>
      <c r="D76" s="1">
        <v>411031350</v>
      </c>
      <c r="F76" s="1" t="s">
        <v>742</v>
      </c>
      <c r="G76" s="1" t="s">
        <v>20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f>SUM(H76:Y76)</f>
        <v>2</v>
      </c>
      <c r="AA76" s="1">
        <f>SUMPRODUCT(H76:Y76,$H$16:$Y$16)</f>
        <v>1820</v>
      </c>
      <c r="AB76" s="19" t="s">
        <v>733</v>
      </c>
      <c r="AC76" s="17">
        <v>2.2000000000000002</v>
      </c>
      <c r="AD76" s="9"/>
      <c r="AE76" s="1" t="s">
        <v>28</v>
      </c>
      <c r="AF76" s="1">
        <f>AC76</f>
        <v>2.2000000000000002</v>
      </c>
      <c r="AG76" s="1">
        <v>1</v>
      </c>
      <c r="AH76" s="1">
        <v>1</v>
      </c>
      <c r="AI76" s="1" t="s">
        <v>732</v>
      </c>
      <c r="AK76" s="1" t="s">
        <v>731</v>
      </c>
      <c r="AL76" s="1" t="s">
        <v>730</v>
      </c>
      <c r="AM76" s="1" t="s">
        <v>729</v>
      </c>
      <c r="AN76" s="2" t="s">
        <v>728</v>
      </c>
      <c r="BO76" s="1">
        <f>SUM($AP76,$AQ76:AQ76)-SUM($CK76:CL76)</f>
        <v>0</v>
      </c>
      <c r="BP76" s="1">
        <f>SUM($AP76,$AQ76:AR76)-SUM($CK76:CM76)</f>
        <v>0</v>
      </c>
      <c r="BQ76" s="1">
        <f>SUM($AP76,$AQ76:AS76)-SUM($CK76:CN76)</f>
        <v>0</v>
      </c>
      <c r="BR76" s="1">
        <f>SUM($AP76,$AQ76:AT76)-SUM($CK76:CO76)</f>
        <v>0</v>
      </c>
      <c r="BS76" s="1">
        <f>SUM($AP76,$AQ76:AU76)-SUM($CK76:CP76)</f>
        <v>0</v>
      </c>
      <c r="BT76" s="1">
        <f>SUM($AP76,$AQ76:AV76)-SUM($CK76:CQ76)</f>
        <v>-20</v>
      </c>
      <c r="BU76" s="1">
        <f>SUM($AP76,$AQ76:AW76)-SUM($CK76:CR76)</f>
        <v>-60</v>
      </c>
      <c r="BV76" s="1">
        <f>SUM($AP76,$AQ76:AX76)-SUM($CK76:CS76)</f>
        <v>-120</v>
      </c>
      <c r="BW76" s="1">
        <f>SUM($AP76,$AQ76:AY76)-SUM($CK76:CT76)</f>
        <v>-200</v>
      </c>
      <c r="BX76" s="1">
        <f>SUM($AP76,$AQ76:AZ76)-SUM($CK76:CU76)</f>
        <v>-300</v>
      </c>
      <c r="BY76" s="1">
        <f>SUM($AP76,$AQ76:BA76)-SUM($CK76:CV76)</f>
        <v>-420</v>
      </c>
      <c r="BZ76" s="1">
        <f>SUM($AP76,$AQ76:BB76)-SUM($CK76:CW76)</f>
        <v>-560</v>
      </c>
      <c r="CA76" s="1">
        <f>SUM($AP76,$AQ76:BC76)-SUM($CK76:CX76)</f>
        <v>-720</v>
      </c>
      <c r="CB76" s="1">
        <f>SUM($AP76,$AQ76:BD76)-SUM($CK76:CY76)</f>
        <v>-900</v>
      </c>
      <c r="CC76" s="1">
        <f>SUM($AP76,$AQ76:BE76)-SUM($CK76:CZ76)</f>
        <v>-1100</v>
      </c>
      <c r="CD76" s="1">
        <f>SUM($AP76,$AQ76:BF76)-SUM($CK76:DA76)</f>
        <v>-1320</v>
      </c>
      <c r="CE76" s="1">
        <f>SUM($AP76,$AQ76:BG76)-SUM($CK76:DB76)</f>
        <v>-1560</v>
      </c>
      <c r="CF76" s="1">
        <f>SUM($AP76,$AQ76:BH76)-SUM($CK76:DC76)</f>
        <v>-1820</v>
      </c>
      <c r="CG76" s="1">
        <f>SUM($AP76,$AQ76:BI76)-SUM($CK76:DD76)</f>
        <v>-1820</v>
      </c>
      <c r="CK76" s="1">
        <f t="array" ref="CK76">SUMPRODUCT($H76:$Y76,(TRANSPOSE(CK$2:CK$19)))</f>
        <v>0</v>
      </c>
      <c r="CL76" s="1">
        <f t="array" ref="CL76">SUMPRODUCT($H76:$Y76,(TRANSPOSE(CL$2:CL$19)))</f>
        <v>0</v>
      </c>
      <c r="CM76" s="1">
        <f t="array" ref="CM76">SUMPRODUCT($H76:$Y76,(TRANSPOSE(CM$2:CM$19)))</f>
        <v>0</v>
      </c>
      <c r="CN76" s="1">
        <f t="array" ref="CN76">SUMPRODUCT($H76:$Y76,(TRANSPOSE(CN$2:CN$19)))</f>
        <v>0</v>
      </c>
      <c r="CO76" s="1">
        <f t="array" ref="CO76">SUMPRODUCT($H76:$Y76,(TRANSPOSE(CO$2:CO$19)))</f>
        <v>0</v>
      </c>
      <c r="CP76" s="1">
        <f t="array" ref="CP76">SUMPRODUCT($H76:$Y76,(TRANSPOSE(CP$2:CP$19)))</f>
        <v>0</v>
      </c>
      <c r="CQ76" s="1">
        <f t="array" ref="CQ76">SUMPRODUCT($H76:$Y76,(TRANSPOSE(CQ$2:CQ$19)))</f>
        <v>20</v>
      </c>
      <c r="CR76" s="1">
        <f t="array" ref="CR76">SUMPRODUCT($H76:$Y76,(TRANSPOSE(CR$2:CR$19)))</f>
        <v>40</v>
      </c>
      <c r="CS76" s="1">
        <f t="array" ref="CS76">SUMPRODUCT($H76:$Y76,(TRANSPOSE(CS$2:CS$19)))</f>
        <v>60</v>
      </c>
      <c r="CT76" s="1">
        <f t="array" ref="CT76">SUMPRODUCT($H76:$Y76,(TRANSPOSE(CT$2:CT$19)))</f>
        <v>80</v>
      </c>
      <c r="CU76" s="1">
        <f t="array" ref="CU76">SUMPRODUCT($H76:$Y76,(TRANSPOSE(CU$2:CU$19)))</f>
        <v>100</v>
      </c>
      <c r="CV76" s="1">
        <f t="array" ref="CV76">SUMPRODUCT($H76:$Y76,(TRANSPOSE(CV$2:CV$19)))</f>
        <v>120</v>
      </c>
      <c r="CW76" s="1">
        <f t="array" ref="CW76">SUMPRODUCT($H76:$Y76,(TRANSPOSE(CW$2:CW$19)))</f>
        <v>140</v>
      </c>
      <c r="CX76" s="1">
        <f t="array" ref="CX76">SUMPRODUCT($H76:$Y76,(TRANSPOSE(CX$2:CX$19)))</f>
        <v>160</v>
      </c>
      <c r="CY76" s="1">
        <f t="array" ref="CY76">SUMPRODUCT($H76:$Y76,(TRANSPOSE(CY$2:CY$19)))</f>
        <v>180</v>
      </c>
      <c r="CZ76" s="1">
        <f t="array" ref="CZ76">SUMPRODUCT($H76:$Y76,(TRANSPOSE(CZ$2:CZ$19)))</f>
        <v>200</v>
      </c>
      <c r="DA76" s="1">
        <f t="array" ref="DA76">SUMPRODUCT($H76:$Y76,(TRANSPOSE(DA$2:DA$19)))</f>
        <v>220</v>
      </c>
      <c r="DB76" s="1">
        <f t="array" ref="DB76">SUMPRODUCT($H76:$Y76,(TRANSPOSE(DB$2:DB$19)))</f>
        <v>240</v>
      </c>
      <c r="DC76" s="1">
        <f t="array" ref="DC76">SUMPRODUCT($H76:$Y76,(TRANSPOSE(DC$2:DC$19)))</f>
        <v>260</v>
      </c>
      <c r="DD76" s="1">
        <f t="array" ref="DD76">SUMPRODUCT($H76:$Y76,(TRANSPOSE(DD$2:DD$19)))</f>
        <v>0</v>
      </c>
    </row>
    <row r="77" spans="1:108" ht="13.5" thickBot="1" x14ac:dyDescent="0.25">
      <c r="A77" s="1">
        <v>69</v>
      </c>
      <c r="B77" s="10" t="s">
        <v>4</v>
      </c>
      <c r="C77" s="1">
        <v>-1</v>
      </c>
      <c r="D77" s="1">
        <v>410931220</v>
      </c>
      <c r="F77" s="1" t="s">
        <v>741</v>
      </c>
      <c r="G77" s="1" t="s">
        <v>20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2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f>SUM(H77:Y77)</f>
        <v>2</v>
      </c>
      <c r="AA77" s="1">
        <f>SUMPRODUCT(H77:Y77,$H$16:$Y$16)</f>
        <v>1820</v>
      </c>
      <c r="AB77" s="19" t="s">
        <v>739</v>
      </c>
      <c r="AD77" s="9"/>
      <c r="AK77" s="1" t="s">
        <v>738</v>
      </c>
      <c r="AN77" s="2"/>
      <c r="BO77" s="1">
        <f>SUM($AP77,$AQ77:AQ77)-SUM($CK77:CL77)</f>
        <v>0</v>
      </c>
      <c r="BP77" s="1">
        <f>SUM($AP77,$AQ77:AR77)-SUM($CK77:CM77)</f>
        <v>0</v>
      </c>
      <c r="BQ77" s="1">
        <f>SUM($AP77,$AQ77:AS77)-SUM($CK77:CN77)</f>
        <v>0</v>
      </c>
      <c r="BR77" s="1">
        <f>SUM($AP77,$AQ77:AT77)-SUM($CK77:CO77)</f>
        <v>0</v>
      </c>
      <c r="BS77" s="1">
        <f>SUM($AP77,$AQ77:AU77)-SUM($CK77:CP77)</f>
        <v>-20</v>
      </c>
      <c r="BT77" s="1">
        <f>SUM($AP77,$AQ77:AV77)-SUM($CK77:CQ77)</f>
        <v>-60</v>
      </c>
      <c r="BU77" s="1">
        <f>SUM($AP77,$AQ77:AW77)-SUM($CK77:CR77)</f>
        <v>-120</v>
      </c>
      <c r="BV77" s="1">
        <f>SUM($AP77,$AQ77:AX77)-SUM($CK77:CS77)</f>
        <v>-200</v>
      </c>
      <c r="BW77" s="1">
        <f>SUM($AP77,$AQ77:AY77)-SUM($CK77:CT77)</f>
        <v>-300</v>
      </c>
      <c r="BX77" s="1">
        <f>SUM($AP77,$AQ77:AZ77)-SUM($CK77:CU77)</f>
        <v>-420</v>
      </c>
      <c r="BY77" s="1">
        <f>SUM($AP77,$AQ77:BA77)-SUM($CK77:CV77)</f>
        <v>-560</v>
      </c>
      <c r="BZ77" s="1">
        <f>SUM($AP77,$AQ77:BB77)-SUM($CK77:CW77)</f>
        <v>-720</v>
      </c>
      <c r="CA77" s="1">
        <f>SUM($AP77,$AQ77:BC77)-SUM($CK77:CX77)</f>
        <v>-900</v>
      </c>
      <c r="CB77" s="1">
        <f>SUM($AP77,$AQ77:BD77)-SUM($CK77:CY77)</f>
        <v>-1100</v>
      </c>
      <c r="CC77" s="1">
        <f>SUM($AP77,$AQ77:BE77)-SUM($CK77:CZ77)</f>
        <v>-1320</v>
      </c>
      <c r="CD77" s="1">
        <f>SUM($AP77,$AQ77:BF77)-SUM($CK77:DA77)</f>
        <v>-1560</v>
      </c>
      <c r="CE77" s="1">
        <f>SUM($AP77,$AQ77:BG77)-SUM($CK77:DB77)</f>
        <v>-1820</v>
      </c>
      <c r="CF77" s="1">
        <f>SUM($AP77,$AQ77:BH77)-SUM($CK77:DC77)</f>
        <v>-1820</v>
      </c>
      <c r="CG77" s="1">
        <f>SUM($AP77,$AQ77:BI77)-SUM($CK77:DD77)</f>
        <v>-1820</v>
      </c>
      <c r="CK77" s="1">
        <f t="array" ref="CK77">SUMPRODUCT($H77:$Y77,(TRANSPOSE(CK$2:CK$19)))</f>
        <v>0</v>
      </c>
      <c r="CL77" s="1">
        <f t="array" ref="CL77">SUMPRODUCT($H77:$Y77,(TRANSPOSE(CL$2:CL$19)))</f>
        <v>0</v>
      </c>
      <c r="CM77" s="1">
        <f t="array" ref="CM77">SUMPRODUCT($H77:$Y77,(TRANSPOSE(CM$2:CM$19)))</f>
        <v>0</v>
      </c>
      <c r="CN77" s="1">
        <f t="array" ref="CN77">SUMPRODUCT($H77:$Y77,(TRANSPOSE(CN$2:CN$19)))</f>
        <v>0</v>
      </c>
      <c r="CO77" s="1">
        <f t="array" ref="CO77">SUMPRODUCT($H77:$Y77,(TRANSPOSE(CO$2:CO$19)))</f>
        <v>0</v>
      </c>
      <c r="CP77" s="1">
        <f t="array" ref="CP77">SUMPRODUCT($H77:$Y77,(TRANSPOSE(CP$2:CP$19)))</f>
        <v>20</v>
      </c>
      <c r="CQ77" s="1">
        <f t="array" ref="CQ77">SUMPRODUCT($H77:$Y77,(TRANSPOSE(CQ$2:CQ$19)))</f>
        <v>40</v>
      </c>
      <c r="CR77" s="1">
        <f t="array" ref="CR77">SUMPRODUCT($H77:$Y77,(TRANSPOSE(CR$2:CR$19)))</f>
        <v>60</v>
      </c>
      <c r="CS77" s="1">
        <f t="array" ref="CS77">SUMPRODUCT($H77:$Y77,(TRANSPOSE(CS$2:CS$19)))</f>
        <v>80</v>
      </c>
      <c r="CT77" s="1">
        <f t="array" ref="CT77">SUMPRODUCT($H77:$Y77,(TRANSPOSE(CT$2:CT$19)))</f>
        <v>100</v>
      </c>
      <c r="CU77" s="1">
        <f t="array" ref="CU77">SUMPRODUCT($H77:$Y77,(TRANSPOSE(CU$2:CU$19)))</f>
        <v>120</v>
      </c>
      <c r="CV77" s="1">
        <f t="array" ref="CV77">SUMPRODUCT($H77:$Y77,(TRANSPOSE(CV$2:CV$19)))</f>
        <v>140</v>
      </c>
      <c r="CW77" s="1">
        <f t="array" ref="CW77">SUMPRODUCT($H77:$Y77,(TRANSPOSE(CW$2:CW$19)))</f>
        <v>160</v>
      </c>
      <c r="CX77" s="1">
        <f t="array" ref="CX77">SUMPRODUCT($H77:$Y77,(TRANSPOSE(CX$2:CX$19)))</f>
        <v>180</v>
      </c>
      <c r="CY77" s="1">
        <f t="array" ref="CY77">SUMPRODUCT($H77:$Y77,(TRANSPOSE(CY$2:CY$19)))</f>
        <v>200</v>
      </c>
      <c r="CZ77" s="1">
        <f t="array" ref="CZ77">SUMPRODUCT($H77:$Y77,(TRANSPOSE(CZ$2:CZ$19)))</f>
        <v>220</v>
      </c>
      <c r="DA77" s="1">
        <f t="array" ref="DA77">SUMPRODUCT($H77:$Y77,(TRANSPOSE(DA$2:DA$19)))</f>
        <v>240</v>
      </c>
      <c r="DB77" s="1">
        <f t="array" ref="DB77">SUMPRODUCT($H77:$Y77,(TRANSPOSE(DB$2:DB$19)))</f>
        <v>260</v>
      </c>
      <c r="DC77" s="1">
        <f t="array" ref="DC77">SUMPRODUCT($H77:$Y77,(TRANSPOSE(DC$2:DC$19)))</f>
        <v>0</v>
      </c>
      <c r="DD77" s="1">
        <f t="array" ref="DD77">SUMPRODUCT($H77:$Y77,(TRANSPOSE(DD$2:DD$19)))</f>
        <v>0</v>
      </c>
    </row>
    <row r="78" spans="1:108" ht="13.5" thickBot="1" x14ac:dyDescent="0.25">
      <c r="A78" s="1">
        <v>70</v>
      </c>
      <c r="B78" s="10" t="s">
        <v>5</v>
      </c>
      <c r="C78" s="1">
        <v>-1</v>
      </c>
      <c r="D78" s="1">
        <v>410979730</v>
      </c>
      <c r="F78" s="1" t="s">
        <v>740</v>
      </c>
      <c r="G78" s="1" t="s">
        <v>20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f>SUM(H78:Y78)</f>
        <v>2</v>
      </c>
      <c r="AA78" s="1">
        <f>SUMPRODUCT(H78:Y78,$H$16:$Y$16)</f>
        <v>1820</v>
      </c>
      <c r="AB78" s="19" t="s">
        <v>739</v>
      </c>
      <c r="AD78" s="9"/>
      <c r="AK78" s="1" t="s">
        <v>738</v>
      </c>
      <c r="AN78" s="2"/>
      <c r="BO78" s="1">
        <f>SUM($AP78,$AQ78:AQ78)-SUM($CK78:CL78)</f>
        <v>0</v>
      </c>
      <c r="BP78" s="1">
        <f>SUM($AP78,$AQ78:AR78)-SUM($CK78:CM78)</f>
        <v>0</v>
      </c>
      <c r="BQ78" s="1">
        <f>SUM($AP78,$AQ78:AS78)-SUM($CK78:CN78)</f>
        <v>0</v>
      </c>
      <c r="BR78" s="1">
        <f>SUM($AP78,$AQ78:AT78)-SUM($CK78:CO78)</f>
        <v>0</v>
      </c>
      <c r="BS78" s="1">
        <f>SUM($AP78,$AQ78:AU78)-SUM($CK78:CP78)</f>
        <v>0</v>
      </c>
      <c r="BT78" s="1">
        <f>SUM($AP78,$AQ78:AV78)-SUM($CK78:CQ78)</f>
        <v>-20</v>
      </c>
      <c r="BU78" s="1">
        <f>SUM($AP78,$AQ78:AW78)-SUM($CK78:CR78)</f>
        <v>-60</v>
      </c>
      <c r="BV78" s="1">
        <f>SUM($AP78,$AQ78:AX78)-SUM($CK78:CS78)</f>
        <v>-120</v>
      </c>
      <c r="BW78" s="1">
        <f>SUM($AP78,$AQ78:AY78)-SUM($CK78:CT78)</f>
        <v>-200</v>
      </c>
      <c r="BX78" s="1">
        <f>SUM($AP78,$AQ78:AZ78)-SUM($CK78:CU78)</f>
        <v>-300</v>
      </c>
      <c r="BY78" s="1">
        <f>SUM($AP78,$AQ78:BA78)-SUM($CK78:CV78)</f>
        <v>-420</v>
      </c>
      <c r="BZ78" s="1">
        <f>SUM($AP78,$AQ78:BB78)-SUM($CK78:CW78)</f>
        <v>-560</v>
      </c>
      <c r="CA78" s="1">
        <f>SUM($AP78,$AQ78:BC78)-SUM($CK78:CX78)</f>
        <v>-720</v>
      </c>
      <c r="CB78" s="1">
        <f>SUM($AP78,$AQ78:BD78)-SUM($CK78:CY78)</f>
        <v>-900</v>
      </c>
      <c r="CC78" s="1">
        <f>SUM($AP78,$AQ78:BE78)-SUM($CK78:CZ78)</f>
        <v>-1100</v>
      </c>
      <c r="CD78" s="1">
        <f>SUM($AP78,$AQ78:BF78)-SUM($CK78:DA78)</f>
        <v>-1320</v>
      </c>
      <c r="CE78" s="1">
        <f>SUM($AP78,$AQ78:BG78)-SUM($CK78:DB78)</f>
        <v>-1560</v>
      </c>
      <c r="CF78" s="1">
        <f>SUM($AP78,$AQ78:BH78)-SUM($CK78:DC78)</f>
        <v>-1820</v>
      </c>
      <c r="CG78" s="1">
        <f>SUM($AP78,$AQ78:BI78)-SUM($CK78:DD78)</f>
        <v>-1820</v>
      </c>
      <c r="CK78" s="1">
        <f t="array" ref="CK78">SUMPRODUCT($H78:$Y78,(TRANSPOSE(CK$2:CK$19)))</f>
        <v>0</v>
      </c>
      <c r="CL78" s="1">
        <f t="array" ref="CL78">SUMPRODUCT($H78:$Y78,(TRANSPOSE(CL$2:CL$19)))</f>
        <v>0</v>
      </c>
      <c r="CM78" s="1">
        <f t="array" ref="CM78">SUMPRODUCT($H78:$Y78,(TRANSPOSE(CM$2:CM$19)))</f>
        <v>0</v>
      </c>
      <c r="CN78" s="1">
        <f t="array" ref="CN78">SUMPRODUCT($H78:$Y78,(TRANSPOSE(CN$2:CN$19)))</f>
        <v>0</v>
      </c>
      <c r="CO78" s="1">
        <f t="array" ref="CO78">SUMPRODUCT($H78:$Y78,(TRANSPOSE(CO$2:CO$19)))</f>
        <v>0</v>
      </c>
      <c r="CP78" s="1">
        <f t="array" ref="CP78">SUMPRODUCT($H78:$Y78,(TRANSPOSE(CP$2:CP$19)))</f>
        <v>0</v>
      </c>
      <c r="CQ78" s="1">
        <f t="array" ref="CQ78">SUMPRODUCT($H78:$Y78,(TRANSPOSE(CQ$2:CQ$19)))</f>
        <v>20</v>
      </c>
      <c r="CR78" s="1">
        <f t="array" ref="CR78">SUMPRODUCT($H78:$Y78,(TRANSPOSE(CR$2:CR$19)))</f>
        <v>40</v>
      </c>
      <c r="CS78" s="1">
        <f t="array" ref="CS78">SUMPRODUCT($H78:$Y78,(TRANSPOSE(CS$2:CS$19)))</f>
        <v>60</v>
      </c>
      <c r="CT78" s="1">
        <f t="array" ref="CT78">SUMPRODUCT($H78:$Y78,(TRANSPOSE(CT$2:CT$19)))</f>
        <v>80</v>
      </c>
      <c r="CU78" s="1">
        <f t="array" ref="CU78">SUMPRODUCT($H78:$Y78,(TRANSPOSE(CU$2:CU$19)))</f>
        <v>100</v>
      </c>
      <c r="CV78" s="1">
        <f t="array" ref="CV78">SUMPRODUCT($H78:$Y78,(TRANSPOSE(CV$2:CV$19)))</f>
        <v>120</v>
      </c>
      <c r="CW78" s="1">
        <f t="array" ref="CW78">SUMPRODUCT($H78:$Y78,(TRANSPOSE(CW$2:CW$19)))</f>
        <v>140</v>
      </c>
      <c r="CX78" s="1">
        <f t="array" ref="CX78">SUMPRODUCT($H78:$Y78,(TRANSPOSE(CX$2:CX$19)))</f>
        <v>160</v>
      </c>
      <c r="CY78" s="1">
        <f t="array" ref="CY78">SUMPRODUCT($H78:$Y78,(TRANSPOSE(CY$2:CY$19)))</f>
        <v>180</v>
      </c>
      <c r="CZ78" s="1">
        <f t="array" ref="CZ78">SUMPRODUCT($H78:$Y78,(TRANSPOSE(CZ$2:CZ$19)))</f>
        <v>200</v>
      </c>
      <c r="DA78" s="1">
        <f t="array" ref="DA78">SUMPRODUCT($H78:$Y78,(TRANSPOSE(DA$2:DA$19)))</f>
        <v>220</v>
      </c>
      <c r="DB78" s="1">
        <f t="array" ref="DB78">SUMPRODUCT($H78:$Y78,(TRANSPOSE(DB$2:DB$19)))</f>
        <v>240</v>
      </c>
      <c r="DC78" s="1">
        <f t="array" ref="DC78">SUMPRODUCT($H78:$Y78,(TRANSPOSE(DC$2:DC$19)))</f>
        <v>260</v>
      </c>
      <c r="DD78" s="1">
        <f t="array" ref="DD78">SUMPRODUCT($H78:$Y78,(TRANSPOSE(DD$2:DD$19)))</f>
        <v>0</v>
      </c>
    </row>
    <row r="79" spans="1:108" ht="13.5" thickBot="1" x14ac:dyDescent="0.25">
      <c r="A79" s="1">
        <v>71</v>
      </c>
      <c r="B79" s="12" t="s">
        <v>737</v>
      </c>
      <c r="C79" s="1" t="s">
        <v>19</v>
      </c>
      <c r="D79" s="1">
        <v>411336669</v>
      </c>
      <c r="F79" s="1" t="s">
        <v>736</v>
      </c>
      <c r="G79" s="1" t="s">
        <v>20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f>SUM(H79:Y79)</f>
        <v>2</v>
      </c>
      <c r="AA79" s="1">
        <f>SUMPRODUCT(H79:Y79,$H$16:$Y$16)</f>
        <v>1820</v>
      </c>
      <c r="AB79" s="19" t="s">
        <v>733</v>
      </c>
      <c r="AC79" s="14"/>
      <c r="AD79" s="9"/>
      <c r="AF79" s="14"/>
      <c r="AN79" s="2"/>
      <c r="BO79" s="1">
        <f>SUM($AP79,$AQ79:AQ79)-SUM($CK79:CL79)</f>
        <v>0</v>
      </c>
      <c r="BP79" s="1">
        <f>SUM($AP79,$AQ79:AR79)-SUM($CK79:CM79)</f>
        <v>0</v>
      </c>
      <c r="BQ79" s="1">
        <f>SUM($AP79,$AQ79:AS79)-SUM($CK79:CN79)</f>
        <v>0</v>
      </c>
      <c r="BR79" s="1">
        <f>SUM($AP79,$AQ79:AT79)-SUM($CK79:CO79)</f>
        <v>-20</v>
      </c>
      <c r="BS79" s="1">
        <f>SUM($AP79,$AQ79:AU79)-SUM($CK79:CP79)</f>
        <v>-60</v>
      </c>
      <c r="BT79" s="1">
        <f>SUM($AP79,$AQ79:AV79)-SUM($CK79:CQ79)</f>
        <v>-120</v>
      </c>
      <c r="BU79" s="1">
        <f>SUM($AP79,$AQ79:AW79)-SUM($CK79:CR79)</f>
        <v>-200</v>
      </c>
      <c r="BV79" s="1">
        <f>SUM($AP79,$AQ79:AX79)-SUM($CK79:CS79)</f>
        <v>-300</v>
      </c>
      <c r="BW79" s="1">
        <f>SUM($AP79,$AQ79:AY79)-SUM($CK79:CT79)</f>
        <v>-420</v>
      </c>
      <c r="BX79" s="1">
        <f>SUM($AP79,$AQ79:AZ79)-SUM($CK79:CU79)</f>
        <v>-560</v>
      </c>
      <c r="BY79" s="1">
        <f>SUM($AP79,$AQ79:BA79)-SUM($CK79:CV79)</f>
        <v>-720</v>
      </c>
      <c r="BZ79" s="1">
        <f>SUM($AP79,$AQ79:BB79)-SUM($CK79:CW79)</f>
        <v>-900</v>
      </c>
      <c r="CA79" s="1">
        <f>SUM($AP79,$AQ79:BC79)-SUM($CK79:CX79)</f>
        <v>-1100</v>
      </c>
      <c r="CB79" s="1">
        <f>SUM($AP79,$AQ79:BD79)-SUM($CK79:CY79)</f>
        <v>-1320</v>
      </c>
      <c r="CC79" s="1">
        <f>SUM($AP79,$AQ79:BE79)-SUM($CK79:CZ79)</f>
        <v>-1560</v>
      </c>
      <c r="CD79" s="1">
        <f>SUM($AP79,$AQ79:BF79)-SUM($CK79:DA79)</f>
        <v>-1820</v>
      </c>
      <c r="CE79" s="1">
        <f>SUM($AP79,$AQ79:BG79)-SUM($CK79:DB79)</f>
        <v>-1820</v>
      </c>
      <c r="CF79" s="1">
        <f>SUM($AP79,$AQ79:BH79)-SUM($CK79:DC79)</f>
        <v>-1820</v>
      </c>
      <c r="CG79" s="1">
        <f>SUM($AP79,$AQ79:BI79)-SUM($CK79:DD79)</f>
        <v>-1820</v>
      </c>
      <c r="CK79" s="1">
        <f t="array" ref="CK79">SUMPRODUCT($H79:$Y79,(TRANSPOSE(CK$2:CK$19)))</f>
        <v>0</v>
      </c>
      <c r="CL79" s="1">
        <f t="array" ref="CL79">SUMPRODUCT($H79:$Y79,(TRANSPOSE(CL$2:CL$19)))</f>
        <v>0</v>
      </c>
      <c r="CM79" s="1">
        <f t="array" ref="CM79">SUMPRODUCT($H79:$Y79,(TRANSPOSE(CM$2:CM$19)))</f>
        <v>0</v>
      </c>
      <c r="CN79" s="1">
        <f t="array" ref="CN79">SUMPRODUCT($H79:$Y79,(TRANSPOSE(CN$2:CN$19)))</f>
        <v>0</v>
      </c>
      <c r="CO79" s="1">
        <f t="array" ref="CO79">SUMPRODUCT($H79:$Y79,(TRANSPOSE(CO$2:CO$19)))</f>
        <v>20</v>
      </c>
      <c r="CP79" s="1">
        <f t="array" ref="CP79">SUMPRODUCT($H79:$Y79,(TRANSPOSE(CP$2:CP$19)))</f>
        <v>40</v>
      </c>
      <c r="CQ79" s="1">
        <f t="array" ref="CQ79">SUMPRODUCT($H79:$Y79,(TRANSPOSE(CQ$2:CQ$19)))</f>
        <v>60</v>
      </c>
      <c r="CR79" s="1">
        <f t="array" ref="CR79">SUMPRODUCT($H79:$Y79,(TRANSPOSE(CR$2:CR$19)))</f>
        <v>80</v>
      </c>
      <c r="CS79" s="1">
        <f t="array" ref="CS79">SUMPRODUCT($H79:$Y79,(TRANSPOSE(CS$2:CS$19)))</f>
        <v>100</v>
      </c>
      <c r="CT79" s="1">
        <f t="array" ref="CT79">SUMPRODUCT($H79:$Y79,(TRANSPOSE(CT$2:CT$19)))</f>
        <v>120</v>
      </c>
      <c r="CU79" s="1">
        <f t="array" ref="CU79">SUMPRODUCT($H79:$Y79,(TRANSPOSE(CU$2:CU$19)))</f>
        <v>140</v>
      </c>
      <c r="CV79" s="1">
        <f t="array" ref="CV79">SUMPRODUCT($H79:$Y79,(TRANSPOSE(CV$2:CV$19)))</f>
        <v>160</v>
      </c>
      <c r="CW79" s="1">
        <f t="array" ref="CW79">SUMPRODUCT($H79:$Y79,(TRANSPOSE(CW$2:CW$19)))</f>
        <v>180</v>
      </c>
      <c r="CX79" s="1">
        <f t="array" ref="CX79">SUMPRODUCT($H79:$Y79,(TRANSPOSE(CX$2:CX$19)))</f>
        <v>200</v>
      </c>
      <c r="CY79" s="1">
        <f t="array" ref="CY79">SUMPRODUCT($H79:$Y79,(TRANSPOSE(CY$2:CY$19)))</f>
        <v>220</v>
      </c>
      <c r="CZ79" s="1">
        <f t="array" ref="CZ79">SUMPRODUCT($H79:$Y79,(TRANSPOSE(CZ$2:CZ$19)))</f>
        <v>240</v>
      </c>
      <c r="DA79" s="1">
        <f t="array" ref="DA79">SUMPRODUCT($H79:$Y79,(TRANSPOSE(DA$2:DA$19)))</f>
        <v>260</v>
      </c>
      <c r="DB79" s="1">
        <f t="array" ref="DB79">SUMPRODUCT($H79:$Y79,(TRANSPOSE(DB$2:DB$19)))</f>
        <v>0</v>
      </c>
      <c r="DC79" s="1">
        <f t="array" ref="DC79">SUMPRODUCT($H79:$Y79,(TRANSPOSE(DC$2:DC$19)))</f>
        <v>0</v>
      </c>
      <c r="DD79" s="1">
        <f t="array" ref="DD79">SUMPRODUCT($H79:$Y79,(TRANSPOSE(DD$2:DD$19)))</f>
        <v>0</v>
      </c>
    </row>
    <row r="80" spans="1:108" ht="13.5" thickBot="1" x14ac:dyDescent="0.25">
      <c r="A80" s="1">
        <v>72</v>
      </c>
      <c r="B80" s="12" t="s">
        <v>735</v>
      </c>
      <c r="C80" s="1" t="s">
        <v>19</v>
      </c>
      <c r="D80" s="1">
        <v>411031351</v>
      </c>
      <c r="F80" s="1" t="s">
        <v>734</v>
      </c>
      <c r="G80" s="1" t="s">
        <v>20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2</v>
      </c>
      <c r="W80" s="1">
        <v>0</v>
      </c>
      <c r="X80" s="1">
        <v>0</v>
      </c>
      <c r="Y80" s="1">
        <v>0</v>
      </c>
      <c r="Z80" s="1">
        <f>SUM(H80:Y80)</f>
        <v>2</v>
      </c>
      <c r="AA80" s="1">
        <f>SUMPRODUCT(H80:Y80,$H$16:$Y$16)</f>
        <v>1820</v>
      </c>
      <c r="AB80" s="19" t="s">
        <v>733</v>
      </c>
      <c r="AC80" s="17">
        <v>2.2000000000000002</v>
      </c>
      <c r="AD80" s="9"/>
      <c r="AE80" s="1" t="s">
        <v>28</v>
      </c>
      <c r="AF80" s="1">
        <f>AC80</f>
        <v>2.2000000000000002</v>
      </c>
      <c r="AG80" s="1">
        <v>1</v>
      </c>
      <c r="AH80" s="1">
        <v>1</v>
      </c>
      <c r="AI80" s="1" t="s">
        <v>732</v>
      </c>
      <c r="AK80" s="1" t="s">
        <v>731</v>
      </c>
      <c r="AL80" s="1" t="s">
        <v>730</v>
      </c>
      <c r="AM80" s="1" t="s">
        <v>729</v>
      </c>
      <c r="AN80" s="2" t="s">
        <v>728</v>
      </c>
      <c r="BO80" s="1">
        <f>SUM($AP80,$AQ80:AQ80)-SUM($CK80:CL80)</f>
        <v>0</v>
      </c>
      <c r="BP80" s="1">
        <f>SUM($AP80,$AQ80:AR80)-SUM($CK80:CM80)</f>
        <v>0</v>
      </c>
      <c r="BQ80" s="1">
        <f>SUM($AP80,$AQ80:AS80)-SUM($CK80:CN80)</f>
        <v>0</v>
      </c>
      <c r="BR80" s="1">
        <f>SUM($AP80,$AQ80:AT80)-SUM($CK80:CO80)</f>
        <v>0</v>
      </c>
      <c r="BS80" s="1">
        <f>SUM($AP80,$AQ80:AU80)-SUM($CK80:CP80)</f>
        <v>0</v>
      </c>
      <c r="BT80" s="1">
        <f>SUM($AP80,$AQ80:AV80)-SUM($CK80:CQ80)</f>
        <v>-20</v>
      </c>
      <c r="BU80" s="1">
        <f>SUM($AP80,$AQ80:AW80)-SUM($CK80:CR80)</f>
        <v>-60</v>
      </c>
      <c r="BV80" s="1">
        <f>SUM($AP80,$AQ80:AX80)-SUM($CK80:CS80)</f>
        <v>-120</v>
      </c>
      <c r="BW80" s="1">
        <f>SUM($AP80,$AQ80:AY80)-SUM($CK80:CT80)</f>
        <v>-200</v>
      </c>
      <c r="BX80" s="1">
        <f>SUM($AP80,$AQ80:AZ80)-SUM($CK80:CU80)</f>
        <v>-300</v>
      </c>
      <c r="BY80" s="1">
        <f>SUM($AP80,$AQ80:BA80)-SUM($CK80:CV80)</f>
        <v>-420</v>
      </c>
      <c r="BZ80" s="1">
        <f>SUM($AP80,$AQ80:BB80)-SUM($CK80:CW80)</f>
        <v>-560</v>
      </c>
      <c r="CA80" s="1">
        <f>SUM($AP80,$AQ80:BC80)-SUM($CK80:CX80)</f>
        <v>-720</v>
      </c>
      <c r="CB80" s="1">
        <f>SUM($AP80,$AQ80:BD80)-SUM($CK80:CY80)</f>
        <v>-900</v>
      </c>
      <c r="CC80" s="1">
        <f>SUM($AP80,$AQ80:BE80)-SUM($CK80:CZ80)</f>
        <v>-1100</v>
      </c>
      <c r="CD80" s="1">
        <f>SUM($AP80,$AQ80:BF80)-SUM($CK80:DA80)</f>
        <v>-1320</v>
      </c>
      <c r="CE80" s="1">
        <f>SUM($AP80,$AQ80:BG80)-SUM($CK80:DB80)</f>
        <v>-1560</v>
      </c>
      <c r="CF80" s="1">
        <f>SUM($AP80,$AQ80:BH80)-SUM($CK80:DC80)</f>
        <v>-1820</v>
      </c>
      <c r="CG80" s="1">
        <f>SUM($AP80,$AQ80:BI80)-SUM($CK80:DD80)</f>
        <v>-1820</v>
      </c>
      <c r="CK80" s="1">
        <f t="array" ref="CK80">SUMPRODUCT($H80:$Y80,(TRANSPOSE(CK$2:CK$19)))</f>
        <v>0</v>
      </c>
      <c r="CL80" s="1">
        <f t="array" ref="CL80">SUMPRODUCT($H80:$Y80,(TRANSPOSE(CL$2:CL$19)))</f>
        <v>0</v>
      </c>
      <c r="CM80" s="1">
        <f t="array" ref="CM80">SUMPRODUCT($H80:$Y80,(TRANSPOSE(CM$2:CM$19)))</f>
        <v>0</v>
      </c>
      <c r="CN80" s="1">
        <f t="array" ref="CN80">SUMPRODUCT($H80:$Y80,(TRANSPOSE(CN$2:CN$19)))</f>
        <v>0</v>
      </c>
      <c r="CO80" s="1">
        <f t="array" ref="CO80">SUMPRODUCT($H80:$Y80,(TRANSPOSE(CO$2:CO$19)))</f>
        <v>0</v>
      </c>
      <c r="CP80" s="1">
        <f t="array" ref="CP80">SUMPRODUCT($H80:$Y80,(TRANSPOSE(CP$2:CP$19)))</f>
        <v>0</v>
      </c>
      <c r="CQ80" s="1">
        <f t="array" ref="CQ80">SUMPRODUCT($H80:$Y80,(TRANSPOSE(CQ$2:CQ$19)))</f>
        <v>20</v>
      </c>
      <c r="CR80" s="1">
        <f t="array" ref="CR80">SUMPRODUCT($H80:$Y80,(TRANSPOSE(CR$2:CR$19)))</f>
        <v>40</v>
      </c>
      <c r="CS80" s="1">
        <f t="array" ref="CS80">SUMPRODUCT($H80:$Y80,(TRANSPOSE(CS$2:CS$19)))</f>
        <v>60</v>
      </c>
      <c r="CT80" s="1">
        <f t="array" ref="CT80">SUMPRODUCT($H80:$Y80,(TRANSPOSE(CT$2:CT$19)))</f>
        <v>80</v>
      </c>
      <c r="CU80" s="1">
        <f t="array" ref="CU80">SUMPRODUCT($H80:$Y80,(TRANSPOSE(CU$2:CU$19)))</f>
        <v>100</v>
      </c>
      <c r="CV80" s="1">
        <f t="array" ref="CV80">SUMPRODUCT($H80:$Y80,(TRANSPOSE(CV$2:CV$19)))</f>
        <v>120</v>
      </c>
      <c r="CW80" s="1">
        <f t="array" ref="CW80">SUMPRODUCT($H80:$Y80,(TRANSPOSE(CW$2:CW$19)))</f>
        <v>140</v>
      </c>
      <c r="CX80" s="1">
        <f t="array" ref="CX80">SUMPRODUCT($H80:$Y80,(TRANSPOSE(CX$2:CX$19)))</f>
        <v>160</v>
      </c>
      <c r="CY80" s="1">
        <f t="array" ref="CY80">SUMPRODUCT($H80:$Y80,(TRANSPOSE(CY$2:CY$19)))</f>
        <v>180</v>
      </c>
      <c r="CZ80" s="1">
        <f t="array" ref="CZ80">SUMPRODUCT($H80:$Y80,(TRANSPOSE(CZ$2:CZ$19)))</f>
        <v>200</v>
      </c>
      <c r="DA80" s="1">
        <f t="array" ref="DA80">SUMPRODUCT($H80:$Y80,(TRANSPOSE(DA$2:DA$19)))</f>
        <v>220</v>
      </c>
      <c r="DB80" s="1">
        <f t="array" ref="DB80">SUMPRODUCT($H80:$Y80,(TRANSPOSE(DB$2:DB$19)))</f>
        <v>240</v>
      </c>
      <c r="DC80" s="1">
        <f t="array" ref="DC80">SUMPRODUCT($H80:$Y80,(TRANSPOSE(DC$2:DC$19)))</f>
        <v>260</v>
      </c>
      <c r="DD80" s="1">
        <f t="array" ref="DD80">SUMPRODUCT($H80:$Y80,(TRANSPOSE(DD$2:DD$19)))</f>
        <v>0</v>
      </c>
    </row>
    <row r="81" spans="1:108" x14ac:dyDescent="0.2">
      <c r="A81" s="1">
        <v>73</v>
      </c>
      <c r="B81" s="10" t="s">
        <v>727</v>
      </c>
      <c r="C81" s="1" t="s">
        <v>643</v>
      </c>
      <c r="D81" s="1">
        <v>414202236</v>
      </c>
      <c r="F81" s="1" t="s">
        <v>726</v>
      </c>
      <c r="G81" s="1" t="s">
        <v>20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68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f>SUM(H81:Y81)</f>
        <v>68</v>
      </c>
      <c r="AA81" s="1">
        <f>SUMPRODUCT(H81:Y81,$H$16:$Y$16)</f>
        <v>61880</v>
      </c>
      <c r="AB81" s="18" t="s">
        <v>18</v>
      </c>
      <c r="AC81" s="14"/>
      <c r="AD81" s="9"/>
      <c r="AF81" s="1">
        <f>AC81</f>
        <v>0</v>
      </c>
      <c r="AG81" s="1">
        <v>1</v>
      </c>
      <c r="AH81" s="1">
        <v>1</v>
      </c>
      <c r="AI81" s="1" t="s">
        <v>18</v>
      </c>
      <c r="AJ81" s="1" t="s">
        <v>18</v>
      </c>
      <c r="AK81" s="1" t="s">
        <v>18</v>
      </c>
      <c r="AL81" s="1" t="s">
        <v>18</v>
      </c>
      <c r="AM81" s="1" t="s">
        <v>18</v>
      </c>
      <c r="AN81" s="2" t="s">
        <v>18</v>
      </c>
      <c r="BO81" s="1">
        <f>SUM($AP81,$AQ81:AQ81)-SUM($CK81:CL81)</f>
        <v>0</v>
      </c>
      <c r="BP81" s="1">
        <f>SUM($AP81,$AQ81:AR81)-SUM($CK81:CM81)</f>
        <v>0</v>
      </c>
      <c r="BQ81" s="1">
        <f>SUM($AP81,$AQ81:AS81)-SUM($CK81:CN81)</f>
        <v>0</v>
      </c>
      <c r="BR81" s="1">
        <f>SUM($AP81,$AQ81:AT81)-SUM($CK81:CO81)</f>
        <v>-680</v>
      </c>
      <c r="BS81" s="1">
        <f>SUM($AP81,$AQ81:AU81)-SUM($CK81:CP81)</f>
        <v>-2040</v>
      </c>
      <c r="BT81" s="1">
        <f>SUM($AP81,$AQ81:AV81)-SUM($CK81:CQ81)</f>
        <v>-4080</v>
      </c>
      <c r="BU81" s="1">
        <f>SUM($AP81,$AQ81:AW81)-SUM($CK81:CR81)</f>
        <v>-6800</v>
      </c>
      <c r="BV81" s="1">
        <f>SUM($AP81,$AQ81:AX81)-SUM($CK81:CS81)</f>
        <v>-10200</v>
      </c>
      <c r="BW81" s="1">
        <f>SUM($AP81,$AQ81:AY81)-SUM($CK81:CT81)</f>
        <v>-14280</v>
      </c>
      <c r="BX81" s="1">
        <f>SUM($AP81,$AQ81:AZ81)-SUM($CK81:CU81)</f>
        <v>-19040</v>
      </c>
      <c r="BY81" s="1">
        <f>SUM($AP81,$AQ81:BA81)-SUM($CK81:CV81)</f>
        <v>-24480</v>
      </c>
      <c r="BZ81" s="1">
        <f>SUM($AP81,$AQ81:BB81)-SUM($CK81:CW81)</f>
        <v>-30600</v>
      </c>
      <c r="CA81" s="1">
        <f>SUM($AP81,$AQ81:BC81)-SUM($CK81:CX81)</f>
        <v>-37400</v>
      </c>
      <c r="CB81" s="1">
        <f>SUM($AP81,$AQ81:BD81)-SUM($CK81:CY81)</f>
        <v>-44880</v>
      </c>
      <c r="CC81" s="1">
        <f>SUM($AP81,$AQ81:BE81)-SUM($CK81:CZ81)</f>
        <v>-53040</v>
      </c>
      <c r="CD81" s="1">
        <f>SUM($AP81,$AQ81:BF81)-SUM($CK81:DA81)</f>
        <v>-61880</v>
      </c>
      <c r="CE81" s="1">
        <f>SUM($AP81,$AQ81:BG81)-SUM($CK81:DB81)</f>
        <v>-61880</v>
      </c>
      <c r="CF81" s="1">
        <f>SUM($AP81,$AQ81:BH81)-SUM($CK81:DC81)</f>
        <v>-61880</v>
      </c>
      <c r="CG81" s="1">
        <f>SUM($AP81,$AQ81:BI81)-SUM($CK81:DD81)</f>
        <v>-61880</v>
      </c>
      <c r="CK81" s="1">
        <f t="array" ref="CK81">SUMPRODUCT($H81:$Y81,(TRANSPOSE(CK$2:CK$19)))</f>
        <v>0</v>
      </c>
      <c r="CL81" s="1">
        <f t="array" ref="CL81">SUMPRODUCT($H81:$Y81,(TRANSPOSE(CL$2:CL$19)))</f>
        <v>0</v>
      </c>
      <c r="CM81" s="1">
        <f t="array" ref="CM81">SUMPRODUCT($H81:$Y81,(TRANSPOSE(CM$2:CM$19)))</f>
        <v>0</v>
      </c>
      <c r="CN81" s="1">
        <f t="array" ref="CN81">SUMPRODUCT($H81:$Y81,(TRANSPOSE(CN$2:CN$19)))</f>
        <v>0</v>
      </c>
      <c r="CO81" s="1">
        <f t="array" ref="CO81">SUMPRODUCT($H81:$Y81,(TRANSPOSE(CO$2:CO$19)))</f>
        <v>680</v>
      </c>
      <c r="CP81" s="1">
        <f t="array" ref="CP81">SUMPRODUCT($H81:$Y81,(TRANSPOSE(CP$2:CP$19)))</f>
        <v>1360</v>
      </c>
      <c r="CQ81" s="1">
        <f t="array" ref="CQ81">SUMPRODUCT($H81:$Y81,(TRANSPOSE(CQ$2:CQ$19)))</f>
        <v>2040</v>
      </c>
      <c r="CR81" s="1">
        <f t="array" ref="CR81">SUMPRODUCT($H81:$Y81,(TRANSPOSE(CR$2:CR$19)))</f>
        <v>2720</v>
      </c>
      <c r="CS81" s="1">
        <f t="array" ref="CS81">SUMPRODUCT($H81:$Y81,(TRANSPOSE(CS$2:CS$19)))</f>
        <v>3400</v>
      </c>
      <c r="CT81" s="1">
        <f t="array" ref="CT81">SUMPRODUCT($H81:$Y81,(TRANSPOSE(CT$2:CT$19)))</f>
        <v>4080</v>
      </c>
      <c r="CU81" s="1">
        <f t="array" ref="CU81">SUMPRODUCT($H81:$Y81,(TRANSPOSE(CU$2:CU$19)))</f>
        <v>4760</v>
      </c>
      <c r="CV81" s="1">
        <f t="array" ref="CV81">SUMPRODUCT($H81:$Y81,(TRANSPOSE(CV$2:CV$19)))</f>
        <v>5440</v>
      </c>
      <c r="CW81" s="1">
        <f t="array" ref="CW81">SUMPRODUCT($H81:$Y81,(TRANSPOSE(CW$2:CW$19)))</f>
        <v>6120</v>
      </c>
      <c r="CX81" s="1">
        <f t="array" ref="CX81">SUMPRODUCT($H81:$Y81,(TRANSPOSE(CX$2:CX$19)))</f>
        <v>6800</v>
      </c>
      <c r="CY81" s="1">
        <f t="array" ref="CY81">SUMPRODUCT($H81:$Y81,(TRANSPOSE(CY$2:CY$19)))</f>
        <v>7480</v>
      </c>
      <c r="CZ81" s="1">
        <f t="array" ref="CZ81">SUMPRODUCT($H81:$Y81,(TRANSPOSE(CZ$2:CZ$19)))</f>
        <v>8160</v>
      </c>
      <c r="DA81" s="1">
        <f t="array" ref="DA81">SUMPRODUCT($H81:$Y81,(TRANSPOSE(DA$2:DA$19)))</f>
        <v>8840</v>
      </c>
      <c r="DB81" s="1">
        <f t="array" ref="DB81">SUMPRODUCT($H81:$Y81,(TRANSPOSE(DB$2:DB$19)))</f>
        <v>0</v>
      </c>
      <c r="DC81" s="1">
        <f t="array" ref="DC81">SUMPRODUCT($H81:$Y81,(TRANSPOSE(DC$2:DC$19)))</f>
        <v>0</v>
      </c>
      <c r="DD81" s="1">
        <f t="array" ref="DD81">SUMPRODUCT($H81:$Y81,(TRANSPOSE(DD$2:DD$19)))</f>
        <v>0</v>
      </c>
    </row>
    <row r="82" spans="1:108" x14ac:dyDescent="0.2">
      <c r="A82" s="1">
        <v>75</v>
      </c>
      <c r="B82" s="10" t="s">
        <v>725</v>
      </c>
      <c r="C82" s="1" t="s">
        <v>19</v>
      </c>
      <c r="D82" s="1">
        <v>401188249</v>
      </c>
      <c r="F82" s="1" t="s">
        <v>724</v>
      </c>
      <c r="G82" s="1" t="s">
        <v>20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72</v>
      </c>
      <c r="U82" s="1">
        <v>0</v>
      </c>
      <c r="V82" s="1">
        <v>0</v>
      </c>
      <c r="W82" s="1">
        <v>0</v>
      </c>
      <c r="X82" s="1">
        <v>72</v>
      </c>
      <c r="Y82" s="1">
        <v>0</v>
      </c>
      <c r="Z82" s="1">
        <f>SUM(H82:Y82)</f>
        <v>144</v>
      </c>
      <c r="AA82" s="1">
        <f>SUMPRODUCT(H82:Y82,$H$16:$Y$16)</f>
        <v>131040</v>
      </c>
      <c r="AB82" s="18" t="s">
        <v>18</v>
      </c>
      <c r="AC82" s="14"/>
      <c r="AD82" s="9"/>
      <c r="AF82" s="1">
        <f>AC82</f>
        <v>0</v>
      </c>
      <c r="AG82" s="1">
        <v>1</v>
      </c>
      <c r="AH82" s="1">
        <v>1</v>
      </c>
      <c r="AI82" s="1" t="s">
        <v>18</v>
      </c>
      <c r="AJ82" s="1" t="s">
        <v>18</v>
      </c>
      <c r="AK82" s="1" t="s">
        <v>18</v>
      </c>
      <c r="AL82" s="1" t="s">
        <v>18</v>
      </c>
      <c r="AM82" s="1" t="s">
        <v>18</v>
      </c>
      <c r="AN82" s="2" t="s">
        <v>18</v>
      </c>
      <c r="BO82" s="1">
        <f>SUM($AP82,$AQ82:AQ82)-SUM($CK82:CL82)</f>
        <v>0</v>
      </c>
      <c r="BP82" s="1">
        <f>SUM($AP82,$AQ82:AR82)-SUM($CK82:CM82)</f>
        <v>0</v>
      </c>
      <c r="BQ82" s="1">
        <f>SUM($AP82,$AQ82:AS82)-SUM($CK82:CN82)</f>
        <v>0</v>
      </c>
      <c r="BR82" s="1">
        <f>SUM($AP82,$AQ82:AT82)-SUM($CK82:CO82)</f>
        <v>-1440</v>
      </c>
      <c r="BS82" s="1">
        <f>SUM($AP82,$AQ82:AU82)-SUM($CK82:CP82)</f>
        <v>-4320</v>
      </c>
      <c r="BT82" s="1">
        <f>SUM($AP82,$AQ82:AV82)-SUM($CK82:CQ82)</f>
        <v>-8640</v>
      </c>
      <c r="BU82" s="1">
        <f>SUM($AP82,$AQ82:AW82)-SUM($CK82:CR82)</f>
        <v>-14400</v>
      </c>
      <c r="BV82" s="1">
        <f>SUM($AP82,$AQ82:AX82)-SUM($CK82:CS82)</f>
        <v>-21600</v>
      </c>
      <c r="BW82" s="1">
        <f>SUM($AP82,$AQ82:AY82)-SUM($CK82:CT82)</f>
        <v>-30240</v>
      </c>
      <c r="BX82" s="1">
        <f>SUM($AP82,$AQ82:AZ82)-SUM($CK82:CU82)</f>
        <v>-40320</v>
      </c>
      <c r="BY82" s="1">
        <f>SUM($AP82,$AQ82:BA82)-SUM($CK82:CV82)</f>
        <v>-51840</v>
      </c>
      <c r="BZ82" s="1">
        <f>SUM($AP82,$AQ82:BB82)-SUM($CK82:CW82)</f>
        <v>-64800</v>
      </c>
      <c r="CA82" s="1">
        <f>SUM($AP82,$AQ82:BC82)-SUM($CK82:CX82)</f>
        <v>-79200</v>
      </c>
      <c r="CB82" s="1">
        <f>SUM($AP82,$AQ82:BD82)-SUM($CK82:CY82)</f>
        <v>-95040</v>
      </c>
      <c r="CC82" s="1">
        <f>SUM($AP82,$AQ82:BE82)-SUM($CK82:CZ82)</f>
        <v>-112320</v>
      </c>
      <c r="CD82" s="1">
        <f>SUM($AP82,$AQ82:BF82)-SUM($CK82:DA82)</f>
        <v>-131040</v>
      </c>
      <c r="CE82" s="1">
        <f>SUM($AP82,$AQ82:BG82)-SUM($CK82:DB82)</f>
        <v>-131040</v>
      </c>
      <c r="CF82" s="1">
        <f>SUM($AP82,$AQ82:BH82)-SUM($CK82:DC82)</f>
        <v>-131040</v>
      </c>
      <c r="CG82" s="1">
        <f>SUM($AP82,$AQ82:BI82)-SUM($CK82:DD82)</f>
        <v>-131040</v>
      </c>
      <c r="CK82" s="1">
        <f t="array" ref="CK82">SUMPRODUCT($H82:$Y82,(TRANSPOSE(CK$2:CK$19)))</f>
        <v>0</v>
      </c>
      <c r="CL82" s="1">
        <f t="array" ref="CL82">SUMPRODUCT($H82:$Y82,(TRANSPOSE(CL$2:CL$19)))</f>
        <v>0</v>
      </c>
      <c r="CM82" s="1">
        <f t="array" ref="CM82">SUMPRODUCT($H82:$Y82,(TRANSPOSE(CM$2:CM$19)))</f>
        <v>0</v>
      </c>
      <c r="CN82" s="1">
        <f t="array" ref="CN82">SUMPRODUCT($H82:$Y82,(TRANSPOSE(CN$2:CN$19)))</f>
        <v>0</v>
      </c>
      <c r="CO82" s="1">
        <f t="array" ref="CO82">SUMPRODUCT($H82:$Y82,(TRANSPOSE(CO$2:CO$19)))</f>
        <v>1440</v>
      </c>
      <c r="CP82" s="1">
        <f t="array" ref="CP82">SUMPRODUCT($H82:$Y82,(TRANSPOSE(CP$2:CP$19)))</f>
        <v>2880</v>
      </c>
      <c r="CQ82" s="1">
        <f t="array" ref="CQ82">SUMPRODUCT($H82:$Y82,(TRANSPOSE(CQ$2:CQ$19)))</f>
        <v>4320</v>
      </c>
      <c r="CR82" s="1">
        <f t="array" ref="CR82">SUMPRODUCT($H82:$Y82,(TRANSPOSE(CR$2:CR$19)))</f>
        <v>5760</v>
      </c>
      <c r="CS82" s="1">
        <f t="array" ref="CS82">SUMPRODUCT($H82:$Y82,(TRANSPOSE(CS$2:CS$19)))</f>
        <v>7200</v>
      </c>
      <c r="CT82" s="1">
        <f t="array" ref="CT82">SUMPRODUCT($H82:$Y82,(TRANSPOSE(CT$2:CT$19)))</f>
        <v>8640</v>
      </c>
      <c r="CU82" s="1">
        <f t="array" ref="CU82">SUMPRODUCT($H82:$Y82,(TRANSPOSE(CU$2:CU$19)))</f>
        <v>10080</v>
      </c>
      <c r="CV82" s="1">
        <f t="array" ref="CV82">SUMPRODUCT($H82:$Y82,(TRANSPOSE(CV$2:CV$19)))</f>
        <v>11520</v>
      </c>
      <c r="CW82" s="1">
        <f t="array" ref="CW82">SUMPRODUCT($H82:$Y82,(TRANSPOSE(CW$2:CW$19)))</f>
        <v>12960</v>
      </c>
      <c r="CX82" s="1">
        <f t="array" ref="CX82">SUMPRODUCT($H82:$Y82,(TRANSPOSE(CX$2:CX$19)))</f>
        <v>14400</v>
      </c>
      <c r="CY82" s="1">
        <f t="array" ref="CY82">SUMPRODUCT($H82:$Y82,(TRANSPOSE(CY$2:CY$19)))</f>
        <v>15840</v>
      </c>
      <c r="CZ82" s="1">
        <f t="array" ref="CZ82">SUMPRODUCT($H82:$Y82,(TRANSPOSE(CZ$2:CZ$19)))</f>
        <v>17280</v>
      </c>
      <c r="DA82" s="1">
        <f t="array" ref="DA82">SUMPRODUCT($H82:$Y82,(TRANSPOSE(DA$2:DA$19)))</f>
        <v>18720</v>
      </c>
      <c r="DB82" s="1">
        <f t="array" ref="DB82">SUMPRODUCT($H82:$Y82,(TRANSPOSE(DB$2:DB$19)))</f>
        <v>0</v>
      </c>
      <c r="DC82" s="1">
        <f t="array" ref="DC82">SUMPRODUCT($H82:$Y82,(TRANSPOSE(DC$2:DC$19)))</f>
        <v>0</v>
      </c>
      <c r="DD82" s="1">
        <f t="array" ref="DD82">SUMPRODUCT($H82:$Y82,(TRANSPOSE(DD$2:DD$19)))</f>
        <v>0</v>
      </c>
    </row>
    <row r="83" spans="1:108" x14ac:dyDescent="0.2">
      <c r="A83" s="1">
        <v>76</v>
      </c>
      <c r="B83" s="10" t="s">
        <v>723</v>
      </c>
      <c r="C83" s="1">
        <v>-1</v>
      </c>
      <c r="D83" s="1">
        <v>401183525</v>
      </c>
      <c r="F83" s="1" t="s">
        <v>722</v>
      </c>
      <c r="G83" s="1" t="s">
        <v>20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70</v>
      </c>
      <c r="U83" s="1">
        <v>0</v>
      </c>
      <c r="V83" s="1">
        <v>0</v>
      </c>
      <c r="W83" s="1">
        <v>0</v>
      </c>
      <c r="X83" s="1">
        <v>70</v>
      </c>
      <c r="Y83" s="1">
        <v>0</v>
      </c>
      <c r="Z83" s="1">
        <f>SUM(H83:Y83)</f>
        <v>140</v>
      </c>
      <c r="AA83" s="1">
        <f>SUMPRODUCT(H83:Y83,$H$16:$Y$16)</f>
        <v>127400</v>
      </c>
      <c r="AB83" s="18" t="s">
        <v>18</v>
      </c>
      <c r="AC83" s="14"/>
      <c r="AD83" s="9"/>
      <c r="AF83" s="1">
        <f>AC83</f>
        <v>0</v>
      </c>
      <c r="AG83" s="1">
        <v>1</v>
      </c>
      <c r="AH83" s="1">
        <v>1</v>
      </c>
      <c r="AI83" s="1" t="s">
        <v>18</v>
      </c>
      <c r="AJ83" s="1" t="s">
        <v>18</v>
      </c>
      <c r="AK83" s="1" t="s">
        <v>18</v>
      </c>
      <c r="AL83" s="1" t="s">
        <v>18</v>
      </c>
      <c r="AM83" s="1" t="s">
        <v>18</v>
      </c>
      <c r="AN83" s="2" t="s">
        <v>18</v>
      </c>
      <c r="BO83" s="1">
        <f>SUM($AP83,$AQ83:AQ83)-SUM($CK83:CL83)</f>
        <v>0</v>
      </c>
      <c r="BP83" s="1">
        <f>SUM($AP83,$AQ83:AR83)-SUM($CK83:CM83)</f>
        <v>0</v>
      </c>
      <c r="BQ83" s="1">
        <f>SUM($AP83,$AQ83:AS83)-SUM($CK83:CN83)</f>
        <v>0</v>
      </c>
      <c r="BR83" s="1">
        <f>SUM($AP83,$AQ83:AT83)-SUM($CK83:CO83)</f>
        <v>-1400</v>
      </c>
      <c r="BS83" s="1">
        <f>SUM($AP83,$AQ83:AU83)-SUM($CK83:CP83)</f>
        <v>-4200</v>
      </c>
      <c r="BT83" s="1">
        <f>SUM($AP83,$AQ83:AV83)-SUM($CK83:CQ83)</f>
        <v>-8400</v>
      </c>
      <c r="BU83" s="1">
        <f>SUM($AP83,$AQ83:AW83)-SUM($CK83:CR83)</f>
        <v>-14000</v>
      </c>
      <c r="BV83" s="1">
        <f>SUM($AP83,$AQ83:AX83)-SUM($CK83:CS83)</f>
        <v>-21000</v>
      </c>
      <c r="BW83" s="1">
        <f>SUM($AP83,$AQ83:AY83)-SUM($CK83:CT83)</f>
        <v>-29400</v>
      </c>
      <c r="BX83" s="1">
        <f>SUM($AP83,$AQ83:AZ83)-SUM($CK83:CU83)</f>
        <v>-39200</v>
      </c>
      <c r="BY83" s="1">
        <f>SUM($AP83,$AQ83:BA83)-SUM($CK83:CV83)</f>
        <v>-50400</v>
      </c>
      <c r="BZ83" s="1">
        <f>SUM($AP83,$AQ83:BB83)-SUM($CK83:CW83)</f>
        <v>-63000</v>
      </c>
      <c r="CA83" s="1">
        <f>SUM($AP83,$AQ83:BC83)-SUM($CK83:CX83)</f>
        <v>-77000</v>
      </c>
      <c r="CB83" s="1">
        <f>SUM($AP83,$AQ83:BD83)-SUM($CK83:CY83)</f>
        <v>-92400</v>
      </c>
      <c r="CC83" s="1">
        <f>SUM($AP83,$AQ83:BE83)-SUM($CK83:CZ83)</f>
        <v>-109200</v>
      </c>
      <c r="CD83" s="1">
        <f>SUM($AP83,$AQ83:BF83)-SUM($CK83:DA83)</f>
        <v>-127400</v>
      </c>
      <c r="CE83" s="1">
        <f>SUM($AP83,$AQ83:BG83)-SUM($CK83:DB83)</f>
        <v>-127400</v>
      </c>
      <c r="CF83" s="1">
        <f>SUM($AP83,$AQ83:BH83)-SUM($CK83:DC83)</f>
        <v>-127400</v>
      </c>
      <c r="CG83" s="1">
        <f>SUM($AP83,$AQ83:BI83)-SUM($CK83:DD83)</f>
        <v>-127400</v>
      </c>
      <c r="CK83" s="1">
        <f t="array" ref="CK83">SUMPRODUCT($H83:$Y83,(TRANSPOSE(CK$2:CK$19)))</f>
        <v>0</v>
      </c>
      <c r="CL83" s="1">
        <f t="array" ref="CL83">SUMPRODUCT($H83:$Y83,(TRANSPOSE(CL$2:CL$19)))</f>
        <v>0</v>
      </c>
      <c r="CM83" s="1">
        <f t="array" ref="CM83">SUMPRODUCT($H83:$Y83,(TRANSPOSE(CM$2:CM$19)))</f>
        <v>0</v>
      </c>
      <c r="CN83" s="1">
        <f t="array" ref="CN83">SUMPRODUCT($H83:$Y83,(TRANSPOSE(CN$2:CN$19)))</f>
        <v>0</v>
      </c>
      <c r="CO83" s="1">
        <f t="array" ref="CO83">SUMPRODUCT($H83:$Y83,(TRANSPOSE(CO$2:CO$19)))</f>
        <v>1400</v>
      </c>
      <c r="CP83" s="1">
        <f t="array" ref="CP83">SUMPRODUCT($H83:$Y83,(TRANSPOSE(CP$2:CP$19)))</f>
        <v>2800</v>
      </c>
      <c r="CQ83" s="1">
        <f t="array" ref="CQ83">SUMPRODUCT($H83:$Y83,(TRANSPOSE(CQ$2:CQ$19)))</f>
        <v>4200</v>
      </c>
      <c r="CR83" s="1">
        <f t="array" ref="CR83">SUMPRODUCT($H83:$Y83,(TRANSPOSE(CR$2:CR$19)))</f>
        <v>5600</v>
      </c>
      <c r="CS83" s="1">
        <f t="array" ref="CS83">SUMPRODUCT($H83:$Y83,(TRANSPOSE(CS$2:CS$19)))</f>
        <v>7000</v>
      </c>
      <c r="CT83" s="1">
        <f t="array" ref="CT83">SUMPRODUCT($H83:$Y83,(TRANSPOSE(CT$2:CT$19)))</f>
        <v>8400</v>
      </c>
      <c r="CU83" s="1">
        <f t="array" ref="CU83">SUMPRODUCT($H83:$Y83,(TRANSPOSE(CU$2:CU$19)))</f>
        <v>9800</v>
      </c>
      <c r="CV83" s="1">
        <f t="array" ref="CV83">SUMPRODUCT($H83:$Y83,(TRANSPOSE(CV$2:CV$19)))</f>
        <v>11200</v>
      </c>
      <c r="CW83" s="1">
        <f t="array" ref="CW83">SUMPRODUCT($H83:$Y83,(TRANSPOSE(CW$2:CW$19)))</f>
        <v>12600</v>
      </c>
      <c r="CX83" s="1">
        <f t="array" ref="CX83">SUMPRODUCT($H83:$Y83,(TRANSPOSE(CX$2:CX$19)))</f>
        <v>14000</v>
      </c>
      <c r="CY83" s="1">
        <f t="array" ref="CY83">SUMPRODUCT($H83:$Y83,(TRANSPOSE(CY$2:CY$19)))</f>
        <v>15400</v>
      </c>
      <c r="CZ83" s="1">
        <f t="array" ref="CZ83">SUMPRODUCT($H83:$Y83,(TRANSPOSE(CZ$2:CZ$19)))</f>
        <v>16800</v>
      </c>
      <c r="DA83" s="1">
        <f t="array" ref="DA83">SUMPRODUCT($H83:$Y83,(TRANSPOSE(DA$2:DA$19)))</f>
        <v>18200</v>
      </c>
      <c r="DB83" s="1">
        <f t="array" ref="DB83">SUMPRODUCT($H83:$Y83,(TRANSPOSE(DB$2:DB$19)))</f>
        <v>0</v>
      </c>
      <c r="DC83" s="1">
        <f t="array" ref="DC83">SUMPRODUCT($H83:$Y83,(TRANSPOSE(DC$2:DC$19)))</f>
        <v>0</v>
      </c>
      <c r="DD83" s="1">
        <f t="array" ref="DD83">SUMPRODUCT($H83:$Y83,(TRANSPOSE(DD$2:DD$19)))</f>
        <v>0</v>
      </c>
    </row>
    <row r="84" spans="1:108" x14ac:dyDescent="0.2">
      <c r="A84" s="1">
        <v>80</v>
      </c>
      <c r="B84" s="10" t="s">
        <v>721</v>
      </c>
      <c r="C84" s="1" t="s">
        <v>643</v>
      </c>
      <c r="D84" s="1">
        <v>414636810</v>
      </c>
      <c r="F84" s="1" t="s">
        <v>720</v>
      </c>
      <c r="G84" s="1" t="s">
        <v>20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180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f>SUM(H84:Y84)</f>
        <v>180</v>
      </c>
      <c r="AA84" s="1">
        <f>SUMPRODUCT(H84:Y84,$H$16:$Y$16)</f>
        <v>163800</v>
      </c>
      <c r="AB84" s="18" t="s">
        <v>18</v>
      </c>
      <c r="AC84" s="1">
        <v>0</v>
      </c>
      <c r="AD84" s="9"/>
      <c r="AE84" s="1" t="s">
        <v>19</v>
      </c>
      <c r="AF84" s="1">
        <f>AC84</f>
        <v>0</v>
      </c>
      <c r="AG84" s="1">
        <v>1</v>
      </c>
      <c r="AH84" s="1">
        <v>1</v>
      </c>
      <c r="AI84" s="1" t="s">
        <v>18</v>
      </c>
      <c r="AJ84" s="1" t="s">
        <v>18</v>
      </c>
      <c r="AK84" s="1" t="s">
        <v>18</v>
      </c>
      <c r="AL84" s="1" t="s">
        <v>18</v>
      </c>
      <c r="AM84" s="1" t="s">
        <v>18</v>
      </c>
      <c r="AN84" s="2" t="s">
        <v>18</v>
      </c>
      <c r="BO84" s="1">
        <f>SUM($AP84,$AQ84:AQ84)-SUM($CK84:CL84)</f>
        <v>-1800</v>
      </c>
      <c r="BP84" s="1">
        <f>SUM($AP84,$AQ84:AR84)-SUM($CK84:CM84)</f>
        <v>-5400</v>
      </c>
      <c r="BQ84" s="1">
        <f>SUM($AP84,$AQ84:AS84)-SUM($CK84:CN84)</f>
        <v>-10800</v>
      </c>
      <c r="BR84" s="1">
        <f>SUM($AP84,$AQ84:AT84)-SUM($CK84:CO84)</f>
        <v>-18000</v>
      </c>
      <c r="BS84" s="1">
        <f>SUM($AP84,$AQ84:AU84)-SUM($CK84:CP84)</f>
        <v>-27000</v>
      </c>
      <c r="BT84" s="1">
        <f>SUM($AP84,$AQ84:AV84)-SUM($CK84:CQ84)</f>
        <v>-37800</v>
      </c>
      <c r="BU84" s="1">
        <f>SUM($AP84,$AQ84:AW84)-SUM($CK84:CR84)</f>
        <v>-50400</v>
      </c>
      <c r="BV84" s="1">
        <f>SUM($AP84,$AQ84:AX84)-SUM($CK84:CS84)</f>
        <v>-64800</v>
      </c>
      <c r="BW84" s="1">
        <f>SUM($AP84,$AQ84:AY84)-SUM($CK84:CT84)</f>
        <v>-81000</v>
      </c>
      <c r="BX84" s="1">
        <f>SUM($AP84,$AQ84:AZ84)-SUM($CK84:CU84)</f>
        <v>-99000</v>
      </c>
      <c r="BY84" s="1">
        <f>SUM($AP84,$AQ84:BA84)-SUM($CK84:CV84)</f>
        <v>-118800</v>
      </c>
      <c r="BZ84" s="1">
        <f>SUM($AP84,$AQ84:BB84)-SUM($CK84:CW84)</f>
        <v>-140400</v>
      </c>
      <c r="CA84" s="1">
        <f>SUM($AP84,$AQ84:BC84)-SUM($CK84:CX84)</f>
        <v>-163800</v>
      </c>
      <c r="CB84" s="1">
        <f>SUM($AP84,$AQ84:BD84)-SUM($CK84:CY84)</f>
        <v>-163800</v>
      </c>
      <c r="CC84" s="1">
        <f>SUM($AP84,$AQ84:BE84)-SUM($CK84:CZ84)</f>
        <v>-163800</v>
      </c>
      <c r="CD84" s="1">
        <f>SUM($AP84,$AQ84:BF84)-SUM($CK84:DA84)</f>
        <v>-163800</v>
      </c>
      <c r="CE84" s="1">
        <f>SUM($AP84,$AQ84:BG84)-SUM($CK84:DB84)</f>
        <v>-163800</v>
      </c>
      <c r="CF84" s="1">
        <f>SUM($AP84,$AQ84:BH84)-SUM($CK84:DC84)</f>
        <v>-163800</v>
      </c>
      <c r="CG84" s="1">
        <f>SUM($AP84,$AQ84:BI84)-SUM($CK84:DD84)</f>
        <v>-163800</v>
      </c>
      <c r="CK84" s="1">
        <f t="array" ref="CK84">SUMPRODUCT($H84:$Y84,(TRANSPOSE(CK$2:CK$19)))</f>
        <v>0</v>
      </c>
      <c r="CL84" s="1">
        <f t="array" ref="CL84">SUMPRODUCT($H84:$Y84,(TRANSPOSE(CL$2:CL$19)))</f>
        <v>1800</v>
      </c>
      <c r="CM84" s="1">
        <f t="array" ref="CM84">SUMPRODUCT($H84:$Y84,(TRANSPOSE(CM$2:CM$19)))</f>
        <v>3600</v>
      </c>
      <c r="CN84" s="1">
        <f t="array" ref="CN84">SUMPRODUCT($H84:$Y84,(TRANSPOSE(CN$2:CN$19)))</f>
        <v>5400</v>
      </c>
      <c r="CO84" s="1">
        <f t="array" ref="CO84">SUMPRODUCT($H84:$Y84,(TRANSPOSE(CO$2:CO$19)))</f>
        <v>7200</v>
      </c>
      <c r="CP84" s="1">
        <f t="array" ref="CP84">SUMPRODUCT($H84:$Y84,(TRANSPOSE(CP$2:CP$19)))</f>
        <v>9000</v>
      </c>
      <c r="CQ84" s="1">
        <f t="array" ref="CQ84">SUMPRODUCT($H84:$Y84,(TRANSPOSE(CQ$2:CQ$19)))</f>
        <v>10800</v>
      </c>
      <c r="CR84" s="1">
        <f t="array" ref="CR84">SUMPRODUCT($H84:$Y84,(TRANSPOSE(CR$2:CR$19)))</f>
        <v>12600</v>
      </c>
      <c r="CS84" s="1">
        <f t="array" ref="CS84">SUMPRODUCT($H84:$Y84,(TRANSPOSE(CS$2:CS$19)))</f>
        <v>14400</v>
      </c>
      <c r="CT84" s="1">
        <f t="array" ref="CT84">SUMPRODUCT($H84:$Y84,(TRANSPOSE(CT$2:CT$19)))</f>
        <v>16200</v>
      </c>
      <c r="CU84" s="1">
        <f t="array" ref="CU84">SUMPRODUCT($H84:$Y84,(TRANSPOSE(CU$2:CU$19)))</f>
        <v>18000</v>
      </c>
      <c r="CV84" s="1">
        <f t="array" ref="CV84">SUMPRODUCT($H84:$Y84,(TRANSPOSE(CV$2:CV$19)))</f>
        <v>19800</v>
      </c>
      <c r="CW84" s="1">
        <f t="array" ref="CW84">SUMPRODUCT($H84:$Y84,(TRANSPOSE(CW$2:CW$19)))</f>
        <v>21600</v>
      </c>
      <c r="CX84" s="1">
        <f t="array" ref="CX84">SUMPRODUCT($H84:$Y84,(TRANSPOSE(CX$2:CX$19)))</f>
        <v>23400</v>
      </c>
      <c r="CY84" s="1">
        <f t="array" ref="CY84">SUMPRODUCT($H84:$Y84,(TRANSPOSE(CY$2:CY$19)))</f>
        <v>0</v>
      </c>
      <c r="CZ84" s="1">
        <f t="array" ref="CZ84">SUMPRODUCT($H84:$Y84,(TRANSPOSE(CZ$2:CZ$19)))</f>
        <v>0</v>
      </c>
      <c r="DA84" s="1">
        <f t="array" ref="DA84">SUMPRODUCT($H84:$Y84,(TRANSPOSE(DA$2:DA$19)))</f>
        <v>0</v>
      </c>
      <c r="DB84" s="1">
        <f t="array" ref="DB84">SUMPRODUCT($H84:$Y84,(TRANSPOSE(DB$2:DB$19)))</f>
        <v>0</v>
      </c>
      <c r="DC84" s="1">
        <f t="array" ref="DC84">SUMPRODUCT($H84:$Y84,(TRANSPOSE(DC$2:DC$19)))</f>
        <v>0</v>
      </c>
      <c r="DD84" s="1">
        <f t="array" ref="DD84">SUMPRODUCT($H84:$Y84,(TRANSPOSE(DD$2:DD$19)))</f>
        <v>0</v>
      </c>
    </row>
    <row r="85" spans="1:108" x14ac:dyDescent="0.2">
      <c r="A85" s="1">
        <v>81</v>
      </c>
      <c r="B85" s="10" t="s">
        <v>719</v>
      </c>
      <c r="C85" s="1" t="s">
        <v>19</v>
      </c>
      <c r="D85" s="1">
        <v>408545637</v>
      </c>
      <c r="F85" s="1" t="s">
        <v>718</v>
      </c>
      <c r="G85" s="1" t="s">
        <v>20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180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f>SUM(H85:Y85)</f>
        <v>180</v>
      </c>
      <c r="AA85" s="1">
        <f>SUMPRODUCT(H85:Y85,$H$16:$Y$16)</f>
        <v>163800</v>
      </c>
      <c r="AB85" s="18" t="s">
        <v>18</v>
      </c>
      <c r="AC85" s="1">
        <v>0</v>
      </c>
      <c r="AD85" s="9"/>
      <c r="AE85" s="1" t="s">
        <v>19</v>
      </c>
      <c r="AF85" s="1">
        <f>AC85</f>
        <v>0</v>
      </c>
      <c r="AG85" s="1">
        <v>1</v>
      </c>
      <c r="AH85" s="1">
        <v>1</v>
      </c>
      <c r="AI85" s="1" t="s">
        <v>18</v>
      </c>
      <c r="AJ85" s="1" t="s">
        <v>18</v>
      </c>
      <c r="AK85" s="1" t="s">
        <v>18</v>
      </c>
      <c r="AL85" s="1" t="s">
        <v>18</v>
      </c>
      <c r="AM85" s="1" t="s">
        <v>18</v>
      </c>
      <c r="AN85" s="2" t="s">
        <v>18</v>
      </c>
      <c r="BO85" s="1">
        <f>SUM($AP85,$AQ85:AQ85)-SUM($CK85:CL85)</f>
        <v>0</v>
      </c>
      <c r="BP85" s="1">
        <f>SUM($AP85,$AQ85:AR85)-SUM($CK85:CM85)</f>
        <v>-1800</v>
      </c>
      <c r="BQ85" s="1">
        <f>SUM($AP85,$AQ85:AS85)-SUM($CK85:CN85)</f>
        <v>-5400</v>
      </c>
      <c r="BR85" s="1">
        <f>SUM($AP85,$AQ85:AT85)-SUM($CK85:CO85)</f>
        <v>-10800</v>
      </c>
      <c r="BS85" s="1">
        <f>SUM($AP85,$AQ85:AU85)-SUM($CK85:CP85)</f>
        <v>-18000</v>
      </c>
      <c r="BT85" s="1">
        <f>SUM($AP85,$AQ85:AV85)-SUM($CK85:CQ85)</f>
        <v>-27000</v>
      </c>
      <c r="BU85" s="1">
        <f>SUM($AP85,$AQ85:AW85)-SUM($CK85:CR85)</f>
        <v>-37800</v>
      </c>
      <c r="BV85" s="1">
        <f>SUM($AP85,$AQ85:AX85)-SUM($CK85:CS85)</f>
        <v>-50400</v>
      </c>
      <c r="BW85" s="1">
        <f>SUM($AP85,$AQ85:AY85)-SUM($CK85:CT85)</f>
        <v>-64800</v>
      </c>
      <c r="BX85" s="1">
        <f>SUM($AP85,$AQ85:AZ85)-SUM($CK85:CU85)</f>
        <v>-81000</v>
      </c>
      <c r="BY85" s="1">
        <f>SUM($AP85,$AQ85:BA85)-SUM($CK85:CV85)</f>
        <v>-99000</v>
      </c>
      <c r="BZ85" s="1">
        <f>SUM($AP85,$AQ85:BB85)-SUM($CK85:CW85)</f>
        <v>-118800</v>
      </c>
      <c r="CA85" s="1">
        <f>SUM($AP85,$AQ85:BC85)-SUM($CK85:CX85)</f>
        <v>-140400</v>
      </c>
      <c r="CB85" s="1">
        <f>SUM($AP85,$AQ85:BD85)-SUM($CK85:CY85)</f>
        <v>-163800</v>
      </c>
      <c r="CC85" s="1">
        <f>SUM($AP85,$AQ85:BE85)-SUM($CK85:CZ85)</f>
        <v>-163800</v>
      </c>
      <c r="CD85" s="1">
        <f>SUM($AP85,$AQ85:BF85)-SUM($CK85:DA85)</f>
        <v>-163800</v>
      </c>
      <c r="CE85" s="1">
        <f>SUM($AP85,$AQ85:BG85)-SUM($CK85:DB85)</f>
        <v>-163800</v>
      </c>
      <c r="CF85" s="1">
        <f>SUM($AP85,$AQ85:BH85)-SUM($CK85:DC85)</f>
        <v>-163800</v>
      </c>
      <c r="CG85" s="1">
        <f>SUM($AP85,$AQ85:BI85)-SUM($CK85:DD85)</f>
        <v>-163800</v>
      </c>
      <c r="CK85" s="1">
        <f t="array" ref="CK85">SUMPRODUCT($H85:$Y85,(TRANSPOSE(CK$2:CK$19)))</f>
        <v>0</v>
      </c>
      <c r="CL85" s="1">
        <f t="array" ref="CL85">SUMPRODUCT($H85:$Y85,(TRANSPOSE(CL$2:CL$19)))</f>
        <v>0</v>
      </c>
      <c r="CM85" s="1">
        <f t="array" ref="CM85">SUMPRODUCT($H85:$Y85,(TRANSPOSE(CM$2:CM$19)))</f>
        <v>1800</v>
      </c>
      <c r="CN85" s="1">
        <f t="array" ref="CN85">SUMPRODUCT($H85:$Y85,(TRANSPOSE(CN$2:CN$19)))</f>
        <v>3600</v>
      </c>
      <c r="CO85" s="1">
        <f t="array" ref="CO85">SUMPRODUCT($H85:$Y85,(TRANSPOSE(CO$2:CO$19)))</f>
        <v>5400</v>
      </c>
      <c r="CP85" s="1">
        <f t="array" ref="CP85">SUMPRODUCT($H85:$Y85,(TRANSPOSE(CP$2:CP$19)))</f>
        <v>7200</v>
      </c>
      <c r="CQ85" s="1">
        <f t="array" ref="CQ85">SUMPRODUCT($H85:$Y85,(TRANSPOSE(CQ$2:CQ$19)))</f>
        <v>9000</v>
      </c>
      <c r="CR85" s="1">
        <f t="array" ref="CR85">SUMPRODUCT($H85:$Y85,(TRANSPOSE(CR$2:CR$19)))</f>
        <v>10800</v>
      </c>
      <c r="CS85" s="1">
        <f t="array" ref="CS85">SUMPRODUCT($H85:$Y85,(TRANSPOSE(CS$2:CS$19)))</f>
        <v>12600</v>
      </c>
      <c r="CT85" s="1">
        <f t="array" ref="CT85">SUMPRODUCT($H85:$Y85,(TRANSPOSE(CT$2:CT$19)))</f>
        <v>14400</v>
      </c>
      <c r="CU85" s="1">
        <f t="array" ref="CU85">SUMPRODUCT($H85:$Y85,(TRANSPOSE(CU$2:CU$19)))</f>
        <v>16200</v>
      </c>
      <c r="CV85" s="1">
        <f t="array" ref="CV85">SUMPRODUCT($H85:$Y85,(TRANSPOSE(CV$2:CV$19)))</f>
        <v>18000</v>
      </c>
      <c r="CW85" s="1">
        <f t="array" ref="CW85">SUMPRODUCT($H85:$Y85,(TRANSPOSE(CW$2:CW$19)))</f>
        <v>19800</v>
      </c>
      <c r="CX85" s="1">
        <f t="array" ref="CX85">SUMPRODUCT($H85:$Y85,(TRANSPOSE(CX$2:CX$19)))</f>
        <v>21600</v>
      </c>
      <c r="CY85" s="1">
        <f t="array" ref="CY85">SUMPRODUCT($H85:$Y85,(TRANSPOSE(CY$2:CY$19)))</f>
        <v>23400</v>
      </c>
      <c r="CZ85" s="1">
        <f t="array" ref="CZ85">SUMPRODUCT($H85:$Y85,(TRANSPOSE(CZ$2:CZ$19)))</f>
        <v>0</v>
      </c>
      <c r="DA85" s="1">
        <f t="array" ref="DA85">SUMPRODUCT($H85:$Y85,(TRANSPOSE(DA$2:DA$19)))</f>
        <v>0</v>
      </c>
      <c r="DB85" s="1">
        <f t="array" ref="DB85">SUMPRODUCT($H85:$Y85,(TRANSPOSE(DB$2:DB$19)))</f>
        <v>0</v>
      </c>
      <c r="DC85" s="1">
        <f t="array" ref="DC85">SUMPRODUCT($H85:$Y85,(TRANSPOSE(DC$2:DC$19)))</f>
        <v>0</v>
      </c>
      <c r="DD85" s="1">
        <f t="array" ref="DD85">SUMPRODUCT($H85:$Y85,(TRANSPOSE(DD$2:DD$19)))</f>
        <v>0</v>
      </c>
    </row>
    <row r="86" spans="1:108" x14ac:dyDescent="0.2">
      <c r="A86" s="1">
        <v>82</v>
      </c>
      <c r="B86" s="10" t="s">
        <v>717</v>
      </c>
      <c r="C86" s="1" t="s">
        <v>649</v>
      </c>
      <c r="D86" s="1">
        <v>414531927</v>
      </c>
      <c r="F86" s="1" t="s">
        <v>716</v>
      </c>
      <c r="G86" s="1" t="s">
        <v>20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f>SUM(H86:Y86)</f>
        <v>8</v>
      </c>
      <c r="AA86" s="1">
        <f>SUMPRODUCT(H86:Y86,$H$16:$Y$16)</f>
        <v>7280</v>
      </c>
      <c r="AB86" s="18" t="s">
        <v>18</v>
      </c>
      <c r="AC86" s="17">
        <v>0</v>
      </c>
      <c r="AD86" s="9"/>
      <c r="AE86" s="1" t="s">
        <v>19</v>
      </c>
      <c r="AF86" s="1">
        <f>AC86</f>
        <v>0</v>
      </c>
      <c r="AG86" s="1">
        <v>1</v>
      </c>
      <c r="AH86" s="1">
        <v>1</v>
      </c>
      <c r="AI86" s="1" t="s">
        <v>18</v>
      </c>
      <c r="AJ86" s="1" t="s">
        <v>18</v>
      </c>
      <c r="AK86" s="1" t="s">
        <v>18</v>
      </c>
      <c r="AL86" s="1" t="s">
        <v>18</v>
      </c>
      <c r="AM86" s="1" t="s">
        <v>18</v>
      </c>
      <c r="AN86" s="2" t="s">
        <v>18</v>
      </c>
      <c r="BO86" s="1">
        <f>SUM($AP86,$AQ86:AQ86)-SUM($CK86:CL86)</f>
        <v>0</v>
      </c>
      <c r="BP86" s="1">
        <f>SUM($AP86,$AQ86:AR86)-SUM($CK86:CM86)</f>
        <v>-80</v>
      </c>
      <c r="BQ86" s="1">
        <f>SUM($AP86,$AQ86:AS86)-SUM($CK86:CN86)</f>
        <v>-240</v>
      </c>
      <c r="BR86" s="1">
        <f>SUM($AP86,$AQ86:AT86)-SUM($CK86:CO86)</f>
        <v>-480</v>
      </c>
      <c r="BS86" s="1">
        <f>SUM($AP86,$AQ86:AU86)-SUM($CK86:CP86)</f>
        <v>-800</v>
      </c>
      <c r="BT86" s="1">
        <f>SUM($AP86,$AQ86:AV86)-SUM($CK86:CQ86)</f>
        <v>-1200</v>
      </c>
      <c r="BU86" s="1">
        <f>SUM($AP86,$AQ86:AW86)-SUM($CK86:CR86)</f>
        <v>-1680</v>
      </c>
      <c r="BV86" s="1">
        <f>SUM($AP86,$AQ86:AX86)-SUM($CK86:CS86)</f>
        <v>-2240</v>
      </c>
      <c r="BW86" s="1">
        <f>SUM($AP86,$AQ86:AY86)-SUM($CK86:CT86)</f>
        <v>-2880</v>
      </c>
      <c r="BX86" s="1">
        <f>SUM($AP86,$AQ86:AZ86)-SUM($CK86:CU86)</f>
        <v>-3600</v>
      </c>
      <c r="BY86" s="1">
        <f>SUM($AP86,$AQ86:BA86)-SUM($CK86:CV86)</f>
        <v>-4400</v>
      </c>
      <c r="BZ86" s="1">
        <f>SUM($AP86,$AQ86:BB86)-SUM($CK86:CW86)</f>
        <v>-5280</v>
      </c>
      <c r="CA86" s="1">
        <f>SUM($AP86,$AQ86:BC86)-SUM($CK86:CX86)</f>
        <v>-6240</v>
      </c>
      <c r="CB86" s="1">
        <f>SUM($AP86,$AQ86:BD86)-SUM($CK86:CY86)</f>
        <v>-7280</v>
      </c>
      <c r="CC86" s="1">
        <f>SUM($AP86,$AQ86:BE86)-SUM($CK86:CZ86)</f>
        <v>-7280</v>
      </c>
      <c r="CD86" s="1">
        <f>SUM($AP86,$AQ86:BF86)-SUM($CK86:DA86)</f>
        <v>-7280</v>
      </c>
      <c r="CE86" s="1">
        <f>SUM($AP86,$AQ86:BG86)-SUM($CK86:DB86)</f>
        <v>-7280</v>
      </c>
      <c r="CF86" s="1">
        <f>SUM($AP86,$AQ86:BH86)-SUM($CK86:DC86)</f>
        <v>-7280</v>
      </c>
      <c r="CG86" s="1">
        <f>SUM($AP86,$AQ86:BI86)-SUM($CK86:DD86)</f>
        <v>-7280</v>
      </c>
      <c r="CK86" s="1">
        <f t="array" ref="CK86">SUMPRODUCT($H86:$Y86,(TRANSPOSE(CK$2:CK$19)))</f>
        <v>0</v>
      </c>
      <c r="CL86" s="1">
        <f t="array" ref="CL86">SUMPRODUCT($H86:$Y86,(TRANSPOSE(CL$2:CL$19)))</f>
        <v>0</v>
      </c>
      <c r="CM86" s="1">
        <f t="array" ref="CM86">SUMPRODUCT($H86:$Y86,(TRANSPOSE(CM$2:CM$19)))</f>
        <v>80</v>
      </c>
      <c r="CN86" s="1">
        <f t="array" ref="CN86">SUMPRODUCT($H86:$Y86,(TRANSPOSE(CN$2:CN$19)))</f>
        <v>160</v>
      </c>
      <c r="CO86" s="1">
        <f t="array" ref="CO86">SUMPRODUCT($H86:$Y86,(TRANSPOSE(CO$2:CO$19)))</f>
        <v>240</v>
      </c>
      <c r="CP86" s="1">
        <f t="array" ref="CP86">SUMPRODUCT($H86:$Y86,(TRANSPOSE(CP$2:CP$19)))</f>
        <v>320</v>
      </c>
      <c r="CQ86" s="1">
        <f t="array" ref="CQ86">SUMPRODUCT($H86:$Y86,(TRANSPOSE(CQ$2:CQ$19)))</f>
        <v>400</v>
      </c>
      <c r="CR86" s="1">
        <f t="array" ref="CR86">SUMPRODUCT($H86:$Y86,(TRANSPOSE(CR$2:CR$19)))</f>
        <v>480</v>
      </c>
      <c r="CS86" s="1">
        <f t="array" ref="CS86">SUMPRODUCT($H86:$Y86,(TRANSPOSE(CS$2:CS$19)))</f>
        <v>560</v>
      </c>
      <c r="CT86" s="1">
        <f t="array" ref="CT86">SUMPRODUCT($H86:$Y86,(TRANSPOSE(CT$2:CT$19)))</f>
        <v>640</v>
      </c>
      <c r="CU86" s="1">
        <f t="array" ref="CU86">SUMPRODUCT($H86:$Y86,(TRANSPOSE(CU$2:CU$19)))</f>
        <v>720</v>
      </c>
      <c r="CV86" s="1">
        <f t="array" ref="CV86">SUMPRODUCT($H86:$Y86,(TRANSPOSE(CV$2:CV$19)))</f>
        <v>800</v>
      </c>
      <c r="CW86" s="1">
        <f t="array" ref="CW86">SUMPRODUCT($H86:$Y86,(TRANSPOSE(CW$2:CW$19)))</f>
        <v>880</v>
      </c>
      <c r="CX86" s="1">
        <f t="array" ref="CX86">SUMPRODUCT($H86:$Y86,(TRANSPOSE(CX$2:CX$19)))</f>
        <v>960</v>
      </c>
      <c r="CY86" s="1">
        <f t="array" ref="CY86">SUMPRODUCT($H86:$Y86,(TRANSPOSE(CY$2:CY$19)))</f>
        <v>1040</v>
      </c>
      <c r="CZ86" s="1">
        <f t="array" ref="CZ86">SUMPRODUCT($H86:$Y86,(TRANSPOSE(CZ$2:CZ$19)))</f>
        <v>0</v>
      </c>
      <c r="DA86" s="1">
        <f t="array" ref="DA86">SUMPRODUCT($H86:$Y86,(TRANSPOSE(DA$2:DA$19)))</f>
        <v>0</v>
      </c>
      <c r="DB86" s="1">
        <f t="array" ref="DB86">SUMPRODUCT($H86:$Y86,(TRANSPOSE(DB$2:DB$19)))</f>
        <v>0</v>
      </c>
      <c r="DC86" s="1">
        <f t="array" ref="DC86">SUMPRODUCT($H86:$Y86,(TRANSPOSE(DC$2:DC$19)))</f>
        <v>0</v>
      </c>
      <c r="DD86" s="1">
        <f t="array" ref="DD86">SUMPRODUCT($H86:$Y86,(TRANSPOSE(DD$2:DD$19)))</f>
        <v>0</v>
      </c>
    </row>
    <row r="87" spans="1:108" x14ac:dyDescent="0.2">
      <c r="A87" s="1">
        <v>83</v>
      </c>
      <c r="B87" s="10" t="s">
        <v>715</v>
      </c>
      <c r="C87" s="1" t="s">
        <v>643</v>
      </c>
      <c r="D87" s="1">
        <v>414531928</v>
      </c>
      <c r="F87" s="1" t="s">
        <v>714</v>
      </c>
      <c r="G87" s="1" t="s">
        <v>20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8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f>SUM(H87:Y87)</f>
        <v>8</v>
      </c>
      <c r="AA87" s="1">
        <f>SUMPRODUCT(H87:Y87,$H$16:$Y$16)</f>
        <v>7280</v>
      </c>
      <c r="AB87" s="18" t="s">
        <v>18</v>
      </c>
      <c r="AC87" s="17">
        <v>0</v>
      </c>
      <c r="AD87" s="9"/>
      <c r="AE87" s="1" t="s">
        <v>19</v>
      </c>
      <c r="AF87" s="1">
        <f>AC87</f>
        <v>0</v>
      </c>
      <c r="AG87" s="1">
        <v>1</v>
      </c>
      <c r="AH87" s="1">
        <v>1</v>
      </c>
      <c r="AI87" s="1" t="s">
        <v>18</v>
      </c>
      <c r="AJ87" s="1" t="s">
        <v>18</v>
      </c>
      <c r="AK87" s="1" t="s">
        <v>18</v>
      </c>
      <c r="AL87" s="1" t="s">
        <v>18</v>
      </c>
      <c r="AM87" s="1" t="s">
        <v>18</v>
      </c>
      <c r="AN87" s="2" t="s">
        <v>18</v>
      </c>
      <c r="BO87" s="1">
        <f>SUM($AP87,$AQ87:AQ87)-SUM($CK87:CL87)</f>
        <v>0</v>
      </c>
      <c r="BP87" s="1">
        <f>SUM($AP87,$AQ87:AR87)-SUM($CK87:CM87)</f>
        <v>-80</v>
      </c>
      <c r="BQ87" s="1">
        <f>SUM($AP87,$AQ87:AS87)-SUM($CK87:CN87)</f>
        <v>-240</v>
      </c>
      <c r="BR87" s="1">
        <f>SUM($AP87,$AQ87:AT87)-SUM($CK87:CO87)</f>
        <v>-480</v>
      </c>
      <c r="BS87" s="1">
        <f>SUM($AP87,$AQ87:AU87)-SUM($CK87:CP87)</f>
        <v>-800</v>
      </c>
      <c r="BT87" s="1">
        <f>SUM($AP87,$AQ87:AV87)-SUM($CK87:CQ87)</f>
        <v>-1200</v>
      </c>
      <c r="BU87" s="1">
        <f>SUM($AP87,$AQ87:AW87)-SUM($CK87:CR87)</f>
        <v>-1680</v>
      </c>
      <c r="BV87" s="1">
        <f>SUM($AP87,$AQ87:AX87)-SUM($CK87:CS87)</f>
        <v>-2240</v>
      </c>
      <c r="BW87" s="1">
        <f>SUM($AP87,$AQ87:AY87)-SUM($CK87:CT87)</f>
        <v>-2880</v>
      </c>
      <c r="BX87" s="1">
        <f>SUM($AP87,$AQ87:AZ87)-SUM($CK87:CU87)</f>
        <v>-3600</v>
      </c>
      <c r="BY87" s="1">
        <f>SUM($AP87,$AQ87:BA87)-SUM($CK87:CV87)</f>
        <v>-4400</v>
      </c>
      <c r="BZ87" s="1">
        <f>SUM($AP87,$AQ87:BB87)-SUM($CK87:CW87)</f>
        <v>-5280</v>
      </c>
      <c r="CA87" s="1">
        <f>SUM($AP87,$AQ87:BC87)-SUM($CK87:CX87)</f>
        <v>-6240</v>
      </c>
      <c r="CB87" s="1">
        <f>SUM($AP87,$AQ87:BD87)-SUM($CK87:CY87)</f>
        <v>-7280</v>
      </c>
      <c r="CC87" s="1">
        <f>SUM($AP87,$AQ87:BE87)-SUM($CK87:CZ87)</f>
        <v>-7280</v>
      </c>
      <c r="CD87" s="1">
        <f>SUM($AP87,$AQ87:BF87)-SUM($CK87:DA87)</f>
        <v>-7280</v>
      </c>
      <c r="CE87" s="1">
        <f>SUM($AP87,$AQ87:BG87)-SUM($CK87:DB87)</f>
        <v>-7280</v>
      </c>
      <c r="CF87" s="1">
        <f>SUM($AP87,$AQ87:BH87)-SUM($CK87:DC87)</f>
        <v>-7280</v>
      </c>
      <c r="CG87" s="1">
        <f>SUM($AP87,$AQ87:BI87)-SUM($CK87:DD87)</f>
        <v>-7280</v>
      </c>
      <c r="CK87" s="1">
        <f t="array" ref="CK87">SUMPRODUCT($H87:$Y87,(TRANSPOSE(CK$2:CK$19)))</f>
        <v>0</v>
      </c>
      <c r="CL87" s="1">
        <f t="array" ref="CL87">SUMPRODUCT($H87:$Y87,(TRANSPOSE(CL$2:CL$19)))</f>
        <v>0</v>
      </c>
      <c r="CM87" s="1">
        <f t="array" ref="CM87">SUMPRODUCT($H87:$Y87,(TRANSPOSE(CM$2:CM$19)))</f>
        <v>80</v>
      </c>
      <c r="CN87" s="1">
        <f t="array" ref="CN87">SUMPRODUCT($H87:$Y87,(TRANSPOSE(CN$2:CN$19)))</f>
        <v>160</v>
      </c>
      <c r="CO87" s="1">
        <f t="array" ref="CO87">SUMPRODUCT($H87:$Y87,(TRANSPOSE(CO$2:CO$19)))</f>
        <v>240</v>
      </c>
      <c r="CP87" s="1">
        <f t="array" ref="CP87">SUMPRODUCT($H87:$Y87,(TRANSPOSE(CP$2:CP$19)))</f>
        <v>320</v>
      </c>
      <c r="CQ87" s="1">
        <f t="array" ref="CQ87">SUMPRODUCT($H87:$Y87,(TRANSPOSE(CQ$2:CQ$19)))</f>
        <v>400</v>
      </c>
      <c r="CR87" s="1">
        <f t="array" ref="CR87">SUMPRODUCT($H87:$Y87,(TRANSPOSE(CR$2:CR$19)))</f>
        <v>480</v>
      </c>
      <c r="CS87" s="1">
        <f t="array" ref="CS87">SUMPRODUCT($H87:$Y87,(TRANSPOSE(CS$2:CS$19)))</f>
        <v>560</v>
      </c>
      <c r="CT87" s="1">
        <f t="array" ref="CT87">SUMPRODUCT($H87:$Y87,(TRANSPOSE(CT$2:CT$19)))</f>
        <v>640</v>
      </c>
      <c r="CU87" s="1">
        <f t="array" ref="CU87">SUMPRODUCT($H87:$Y87,(TRANSPOSE(CU$2:CU$19)))</f>
        <v>720</v>
      </c>
      <c r="CV87" s="1">
        <f t="array" ref="CV87">SUMPRODUCT($H87:$Y87,(TRANSPOSE(CV$2:CV$19)))</f>
        <v>800</v>
      </c>
      <c r="CW87" s="1">
        <f t="array" ref="CW87">SUMPRODUCT($H87:$Y87,(TRANSPOSE(CW$2:CW$19)))</f>
        <v>880</v>
      </c>
      <c r="CX87" s="1">
        <f t="array" ref="CX87">SUMPRODUCT($H87:$Y87,(TRANSPOSE(CX$2:CX$19)))</f>
        <v>960</v>
      </c>
      <c r="CY87" s="1">
        <f t="array" ref="CY87">SUMPRODUCT($H87:$Y87,(TRANSPOSE(CY$2:CY$19)))</f>
        <v>1040</v>
      </c>
      <c r="CZ87" s="1">
        <f t="array" ref="CZ87">SUMPRODUCT($H87:$Y87,(TRANSPOSE(CZ$2:CZ$19)))</f>
        <v>0</v>
      </c>
      <c r="DA87" s="1">
        <f t="array" ref="DA87">SUMPRODUCT($H87:$Y87,(TRANSPOSE(DA$2:DA$19)))</f>
        <v>0</v>
      </c>
      <c r="DB87" s="1">
        <f t="array" ref="DB87">SUMPRODUCT($H87:$Y87,(TRANSPOSE(DB$2:DB$19)))</f>
        <v>0</v>
      </c>
      <c r="DC87" s="1">
        <f t="array" ref="DC87">SUMPRODUCT($H87:$Y87,(TRANSPOSE(DC$2:DC$19)))</f>
        <v>0</v>
      </c>
      <c r="DD87" s="1">
        <f t="array" ref="DD87">SUMPRODUCT($H87:$Y87,(TRANSPOSE(DD$2:DD$19)))</f>
        <v>0</v>
      </c>
    </row>
    <row r="88" spans="1:108" x14ac:dyDescent="0.2">
      <c r="A88" s="1">
        <v>84</v>
      </c>
      <c r="B88" s="10" t="s">
        <v>713</v>
      </c>
      <c r="C88" s="1" t="s">
        <v>19</v>
      </c>
      <c r="D88" s="1">
        <v>414531925</v>
      </c>
      <c r="F88" s="1" t="s">
        <v>712</v>
      </c>
      <c r="G88" s="1" t="s">
        <v>20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129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f>SUM(H88:Y88)</f>
        <v>129</v>
      </c>
      <c r="AA88" s="1">
        <f>SUMPRODUCT(H88:Y88,$H$16:$Y$16)</f>
        <v>117390</v>
      </c>
      <c r="AB88" s="18" t="s">
        <v>18</v>
      </c>
      <c r="AC88" s="1">
        <v>0</v>
      </c>
      <c r="AD88" s="9"/>
      <c r="AE88" s="1" t="s">
        <v>19</v>
      </c>
      <c r="AF88" s="1">
        <f>AC88</f>
        <v>0</v>
      </c>
      <c r="AG88" s="1">
        <v>1</v>
      </c>
      <c r="AH88" s="1">
        <v>1</v>
      </c>
      <c r="AI88" s="1" t="s">
        <v>18</v>
      </c>
      <c r="AJ88" s="1" t="s">
        <v>18</v>
      </c>
      <c r="AK88" s="1" t="s">
        <v>18</v>
      </c>
      <c r="AL88" s="1" t="s">
        <v>18</v>
      </c>
      <c r="AM88" s="1" t="s">
        <v>18</v>
      </c>
      <c r="AN88" s="2" t="s">
        <v>18</v>
      </c>
      <c r="BO88" s="1">
        <f>SUM($AP88,$AQ88:AQ88)-SUM($CK88:CL88)</f>
        <v>0</v>
      </c>
      <c r="BP88" s="1">
        <f>SUM($AP88,$AQ88:AR88)-SUM($CK88:CM88)</f>
        <v>-1290</v>
      </c>
      <c r="BQ88" s="1">
        <f>SUM($AP88,$AQ88:AS88)-SUM($CK88:CN88)</f>
        <v>-3870</v>
      </c>
      <c r="BR88" s="1">
        <f>SUM($AP88,$AQ88:AT88)-SUM($CK88:CO88)</f>
        <v>-7740</v>
      </c>
      <c r="BS88" s="1">
        <f>SUM($AP88,$AQ88:AU88)-SUM($CK88:CP88)</f>
        <v>-12900</v>
      </c>
      <c r="BT88" s="1">
        <f>SUM($AP88,$AQ88:AV88)-SUM($CK88:CQ88)</f>
        <v>-19350</v>
      </c>
      <c r="BU88" s="1">
        <f>SUM($AP88,$AQ88:AW88)-SUM($CK88:CR88)</f>
        <v>-27090</v>
      </c>
      <c r="BV88" s="1">
        <f>SUM($AP88,$AQ88:AX88)-SUM($CK88:CS88)</f>
        <v>-36120</v>
      </c>
      <c r="BW88" s="1">
        <f>SUM($AP88,$AQ88:AY88)-SUM($CK88:CT88)</f>
        <v>-46440</v>
      </c>
      <c r="BX88" s="1">
        <f>SUM($AP88,$AQ88:AZ88)-SUM($CK88:CU88)</f>
        <v>-58050</v>
      </c>
      <c r="BY88" s="1">
        <f>SUM($AP88,$AQ88:BA88)-SUM($CK88:CV88)</f>
        <v>-70950</v>
      </c>
      <c r="BZ88" s="1">
        <f>SUM($AP88,$AQ88:BB88)-SUM($CK88:CW88)</f>
        <v>-85140</v>
      </c>
      <c r="CA88" s="1">
        <f>SUM($AP88,$AQ88:BC88)-SUM($CK88:CX88)</f>
        <v>-100620</v>
      </c>
      <c r="CB88" s="1">
        <f>SUM($AP88,$AQ88:BD88)-SUM($CK88:CY88)</f>
        <v>-117390</v>
      </c>
      <c r="CC88" s="1">
        <f>SUM($AP88,$AQ88:BE88)-SUM($CK88:CZ88)</f>
        <v>-117390</v>
      </c>
      <c r="CD88" s="1">
        <f>SUM($AP88,$AQ88:BF88)-SUM($CK88:DA88)</f>
        <v>-117390</v>
      </c>
      <c r="CE88" s="1">
        <f>SUM($AP88,$AQ88:BG88)-SUM($CK88:DB88)</f>
        <v>-117390</v>
      </c>
      <c r="CF88" s="1">
        <f>SUM($AP88,$AQ88:BH88)-SUM($CK88:DC88)</f>
        <v>-117390</v>
      </c>
      <c r="CG88" s="1">
        <f>SUM($AP88,$AQ88:BI88)-SUM($CK88:DD88)</f>
        <v>-117390</v>
      </c>
      <c r="CK88" s="1">
        <f t="array" ref="CK88">SUMPRODUCT($H88:$Y88,(TRANSPOSE(CK$2:CK$19)))</f>
        <v>0</v>
      </c>
      <c r="CL88" s="1">
        <f t="array" ref="CL88">SUMPRODUCT($H88:$Y88,(TRANSPOSE(CL$2:CL$19)))</f>
        <v>0</v>
      </c>
      <c r="CM88" s="1">
        <f t="array" ref="CM88">SUMPRODUCT($H88:$Y88,(TRANSPOSE(CM$2:CM$19)))</f>
        <v>1290</v>
      </c>
      <c r="CN88" s="1">
        <f t="array" ref="CN88">SUMPRODUCT($H88:$Y88,(TRANSPOSE(CN$2:CN$19)))</f>
        <v>2580</v>
      </c>
      <c r="CO88" s="1">
        <f t="array" ref="CO88">SUMPRODUCT($H88:$Y88,(TRANSPOSE(CO$2:CO$19)))</f>
        <v>3870</v>
      </c>
      <c r="CP88" s="1">
        <f t="array" ref="CP88">SUMPRODUCT($H88:$Y88,(TRANSPOSE(CP$2:CP$19)))</f>
        <v>5160</v>
      </c>
      <c r="CQ88" s="1">
        <f t="array" ref="CQ88">SUMPRODUCT($H88:$Y88,(TRANSPOSE(CQ$2:CQ$19)))</f>
        <v>6450</v>
      </c>
      <c r="CR88" s="1">
        <f t="array" ref="CR88">SUMPRODUCT($H88:$Y88,(TRANSPOSE(CR$2:CR$19)))</f>
        <v>7740</v>
      </c>
      <c r="CS88" s="1">
        <f t="array" ref="CS88">SUMPRODUCT($H88:$Y88,(TRANSPOSE(CS$2:CS$19)))</f>
        <v>9030</v>
      </c>
      <c r="CT88" s="1">
        <f t="array" ref="CT88">SUMPRODUCT($H88:$Y88,(TRANSPOSE(CT$2:CT$19)))</f>
        <v>10320</v>
      </c>
      <c r="CU88" s="1">
        <f t="array" ref="CU88">SUMPRODUCT($H88:$Y88,(TRANSPOSE(CU$2:CU$19)))</f>
        <v>11610</v>
      </c>
      <c r="CV88" s="1">
        <f t="array" ref="CV88">SUMPRODUCT($H88:$Y88,(TRANSPOSE(CV$2:CV$19)))</f>
        <v>12900</v>
      </c>
      <c r="CW88" s="1">
        <f t="array" ref="CW88">SUMPRODUCT($H88:$Y88,(TRANSPOSE(CW$2:CW$19)))</f>
        <v>14190</v>
      </c>
      <c r="CX88" s="1">
        <f t="array" ref="CX88">SUMPRODUCT($H88:$Y88,(TRANSPOSE(CX$2:CX$19)))</f>
        <v>15480</v>
      </c>
      <c r="CY88" s="1">
        <f t="array" ref="CY88">SUMPRODUCT($H88:$Y88,(TRANSPOSE(CY$2:CY$19)))</f>
        <v>16770</v>
      </c>
      <c r="CZ88" s="1">
        <f t="array" ref="CZ88">SUMPRODUCT($H88:$Y88,(TRANSPOSE(CZ$2:CZ$19)))</f>
        <v>0</v>
      </c>
      <c r="DA88" s="1">
        <f t="array" ref="DA88">SUMPRODUCT($H88:$Y88,(TRANSPOSE(DA$2:DA$19)))</f>
        <v>0</v>
      </c>
      <c r="DB88" s="1">
        <f t="array" ref="DB88">SUMPRODUCT($H88:$Y88,(TRANSPOSE(DB$2:DB$19)))</f>
        <v>0</v>
      </c>
      <c r="DC88" s="1">
        <f t="array" ref="DC88">SUMPRODUCT($H88:$Y88,(TRANSPOSE(DC$2:DC$19)))</f>
        <v>0</v>
      </c>
      <c r="DD88" s="1">
        <f t="array" ref="DD88">SUMPRODUCT($H88:$Y88,(TRANSPOSE(DD$2:DD$19)))</f>
        <v>0</v>
      </c>
    </row>
    <row r="89" spans="1:108" x14ac:dyDescent="0.2">
      <c r="A89" s="1">
        <v>85</v>
      </c>
      <c r="B89" s="10" t="s">
        <v>711</v>
      </c>
      <c r="C89" s="1" t="s">
        <v>19</v>
      </c>
      <c r="D89" s="1">
        <v>414531926</v>
      </c>
      <c r="F89" s="1" t="s">
        <v>710</v>
      </c>
      <c r="G89" s="1" t="s">
        <v>20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51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f>SUM(H89:Y89)</f>
        <v>51</v>
      </c>
      <c r="AA89" s="1">
        <f>SUMPRODUCT(H89:Y89,$H$16:$Y$16)</f>
        <v>46410</v>
      </c>
      <c r="AB89" s="18" t="s">
        <v>18</v>
      </c>
      <c r="AC89" s="1">
        <v>0</v>
      </c>
      <c r="AD89" s="9"/>
      <c r="AE89" s="1" t="s">
        <v>19</v>
      </c>
      <c r="AF89" s="1">
        <f>AC89</f>
        <v>0</v>
      </c>
      <c r="AG89" s="1">
        <v>1</v>
      </c>
      <c r="AH89" s="1">
        <v>1</v>
      </c>
      <c r="AI89" s="1" t="s">
        <v>18</v>
      </c>
      <c r="AJ89" s="1" t="s">
        <v>18</v>
      </c>
      <c r="AK89" s="1" t="s">
        <v>18</v>
      </c>
      <c r="AL89" s="1" t="s">
        <v>18</v>
      </c>
      <c r="AM89" s="1" t="s">
        <v>18</v>
      </c>
      <c r="AN89" s="2" t="s">
        <v>18</v>
      </c>
      <c r="BO89" s="1">
        <f>SUM($AP89,$AQ89:AQ89)-SUM($CK89:CL89)</f>
        <v>0</v>
      </c>
      <c r="BP89" s="1">
        <f>SUM($AP89,$AQ89:AR89)-SUM($CK89:CM89)</f>
        <v>-510</v>
      </c>
      <c r="BQ89" s="1">
        <f>SUM($AP89,$AQ89:AS89)-SUM($CK89:CN89)</f>
        <v>-1530</v>
      </c>
      <c r="BR89" s="1">
        <f>SUM($AP89,$AQ89:AT89)-SUM($CK89:CO89)</f>
        <v>-3060</v>
      </c>
      <c r="BS89" s="1">
        <f>SUM($AP89,$AQ89:AU89)-SUM($CK89:CP89)</f>
        <v>-5100</v>
      </c>
      <c r="BT89" s="1">
        <f>SUM($AP89,$AQ89:AV89)-SUM($CK89:CQ89)</f>
        <v>-7650</v>
      </c>
      <c r="BU89" s="1">
        <f>SUM($AP89,$AQ89:AW89)-SUM($CK89:CR89)</f>
        <v>-10710</v>
      </c>
      <c r="BV89" s="1">
        <f>SUM($AP89,$AQ89:AX89)-SUM($CK89:CS89)</f>
        <v>-14280</v>
      </c>
      <c r="BW89" s="1">
        <f>SUM($AP89,$AQ89:AY89)-SUM($CK89:CT89)</f>
        <v>-18360</v>
      </c>
      <c r="BX89" s="1">
        <f>SUM($AP89,$AQ89:AZ89)-SUM($CK89:CU89)</f>
        <v>-22950</v>
      </c>
      <c r="BY89" s="1">
        <f>SUM($AP89,$AQ89:BA89)-SUM($CK89:CV89)</f>
        <v>-28050</v>
      </c>
      <c r="BZ89" s="1">
        <f>SUM($AP89,$AQ89:BB89)-SUM($CK89:CW89)</f>
        <v>-33660</v>
      </c>
      <c r="CA89" s="1">
        <f>SUM($AP89,$AQ89:BC89)-SUM($CK89:CX89)</f>
        <v>-39780</v>
      </c>
      <c r="CB89" s="1">
        <f>SUM($AP89,$AQ89:BD89)-SUM($CK89:CY89)</f>
        <v>-46410</v>
      </c>
      <c r="CC89" s="1">
        <f>SUM($AP89,$AQ89:BE89)-SUM($CK89:CZ89)</f>
        <v>-46410</v>
      </c>
      <c r="CD89" s="1">
        <f>SUM($AP89,$AQ89:BF89)-SUM($CK89:DA89)</f>
        <v>-46410</v>
      </c>
      <c r="CE89" s="1">
        <f>SUM($AP89,$AQ89:BG89)-SUM($CK89:DB89)</f>
        <v>-46410</v>
      </c>
      <c r="CF89" s="1">
        <f>SUM($AP89,$AQ89:BH89)-SUM($CK89:DC89)</f>
        <v>-46410</v>
      </c>
      <c r="CG89" s="1">
        <f>SUM($AP89,$AQ89:BI89)-SUM($CK89:DD89)</f>
        <v>-46410</v>
      </c>
      <c r="CK89" s="1">
        <f t="array" ref="CK89">SUMPRODUCT($H89:$Y89,(TRANSPOSE(CK$2:CK$19)))</f>
        <v>0</v>
      </c>
      <c r="CL89" s="1">
        <f t="array" ref="CL89">SUMPRODUCT($H89:$Y89,(TRANSPOSE(CL$2:CL$19)))</f>
        <v>0</v>
      </c>
      <c r="CM89" s="1">
        <f t="array" ref="CM89">SUMPRODUCT($H89:$Y89,(TRANSPOSE(CM$2:CM$19)))</f>
        <v>510</v>
      </c>
      <c r="CN89" s="1">
        <f t="array" ref="CN89">SUMPRODUCT($H89:$Y89,(TRANSPOSE(CN$2:CN$19)))</f>
        <v>1020</v>
      </c>
      <c r="CO89" s="1">
        <f t="array" ref="CO89">SUMPRODUCT($H89:$Y89,(TRANSPOSE(CO$2:CO$19)))</f>
        <v>1530</v>
      </c>
      <c r="CP89" s="1">
        <f t="array" ref="CP89">SUMPRODUCT($H89:$Y89,(TRANSPOSE(CP$2:CP$19)))</f>
        <v>2040</v>
      </c>
      <c r="CQ89" s="1">
        <f t="array" ref="CQ89">SUMPRODUCT($H89:$Y89,(TRANSPOSE(CQ$2:CQ$19)))</f>
        <v>2550</v>
      </c>
      <c r="CR89" s="1">
        <f t="array" ref="CR89">SUMPRODUCT($H89:$Y89,(TRANSPOSE(CR$2:CR$19)))</f>
        <v>3060</v>
      </c>
      <c r="CS89" s="1">
        <f t="array" ref="CS89">SUMPRODUCT($H89:$Y89,(TRANSPOSE(CS$2:CS$19)))</f>
        <v>3570</v>
      </c>
      <c r="CT89" s="1">
        <f t="array" ref="CT89">SUMPRODUCT($H89:$Y89,(TRANSPOSE(CT$2:CT$19)))</f>
        <v>4080</v>
      </c>
      <c r="CU89" s="1">
        <f t="array" ref="CU89">SUMPRODUCT($H89:$Y89,(TRANSPOSE(CU$2:CU$19)))</f>
        <v>4590</v>
      </c>
      <c r="CV89" s="1">
        <f t="array" ref="CV89">SUMPRODUCT($H89:$Y89,(TRANSPOSE(CV$2:CV$19)))</f>
        <v>5100</v>
      </c>
      <c r="CW89" s="1">
        <f t="array" ref="CW89">SUMPRODUCT($H89:$Y89,(TRANSPOSE(CW$2:CW$19)))</f>
        <v>5610</v>
      </c>
      <c r="CX89" s="1">
        <f t="array" ref="CX89">SUMPRODUCT($H89:$Y89,(TRANSPOSE(CX$2:CX$19)))</f>
        <v>6120</v>
      </c>
      <c r="CY89" s="1">
        <f t="array" ref="CY89">SUMPRODUCT($H89:$Y89,(TRANSPOSE(CY$2:CY$19)))</f>
        <v>6630</v>
      </c>
      <c r="CZ89" s="1">
        <f t="array" ref="CZ89">SUMPRODUCT($H89:$Y89,(TRANSPOSE(CZ$2:CZ$19)))</f>
        <v>0</v>
      </c>
      <c r="DA89" s="1">
        <f t="array" ref="DA89">SUMPRODUCT($H89:$Y89,(TRANSPOSE(DA$2:DA$19)))</f>
        <v>0</v>
      </c>
      <c r="DB89" s="1">
        <f t="array" ref="DB89">SUMPRODUCT($H89:$Y89,(TRANSPOSE(DB$2:DB$19)))</f>
        <v>0</v>
      </c>
      <c r="DC89" s="1">
        <f t="array" ref="DC89">SUMPRODUCT($H89:$Y89,(TRANSPOSE(DC$2:DC$19)))</f>
        <v>0</v>
      </c>
      <c r="DD89" s="1">
        <f t="array" ref="DD89">SUMPRODUCT($H89:$Y89,(TRANSPOSE(DD$2:DD$19)))</f>
        <v>0</v>
      </c>
    </row>
    <row r="90" spans="1:108" ht="13.5" thickBot="1" x14ac:dyDescent="0.25">
      <c r="A90" s="1">
        <v>86</v>
      </c>
      <c r="B90" s="10" t="s">
        <v>709</v>
      </c>
      <c r="C90" s="1" t="s">
        <v>649</v>
      </c>
      <c r="D90" s="1">
        <v>414161950</v>
      </c>
      <c r="F90" s="1" t="s">
        <v>708</v>
      </c>
      <c r="G90" s="1" t="s">
        <v>20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180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f>SUM(H90:Y90)</f>
        <v>180</v>
      </c>
      <c r="AA90" s="1">
        <f>SUMPRODUCT(H90:Y90,$H$16:$Y$16)</f>
        <v>163800</v>
      </c>
      <c r="AB90" s="18" t="s">
        <v>18</v>
      </c>
      <c r="AC90" s="1">
        <v>0</v>
      </c>
      <c r="AD90" s="9"/>
      <c r="AE90" s="1" t="s">
        <v>19</v>
      </c>
      <c r="AF90" s="1">
        <f>AC90</f>
        <v>0</v>
      </c>
      <c r="AG90" s="1">
        <v>1</v>
      </c>
      <c r="AH90" s="1">
        <v>1</v>
      </c>
      <c r="AI90" s="1" t="s">
        <v>18</v>
      </c>
      <c r="AJ90" s="1" t="s">
        <v>18</v>
      </c>
      <c r="AK90" s="1" t="s">
        <v>18</v>
      </c>
      <c r="AL90" s="1" t="s">
        <v>18</v>
      </c>
      <c r="AM90" s="1" t="s">
        <v>18</v>
      </c>
      <c r="AN90" s="2" t="s">
        <v>18</v>
      </c>
      <c r="BO90" s="1">
        <f>SUM($AP90,$AQ90:AQ90)-SUM($CK90:CL90)</f>
        <v>-1800</v>
      </c>
      <c r="BP90" s="1">
        <f>SUM($AP90,$AQ90:AR90)-SUM($CK90:CM90)</f>
        <v>-5400</v>
      </c>
      <c r="BQ90" s="1">
        <f>SUM($AP90,$AQ90:AS90)-SUM($CK90:CN90)</f>
        <v>-10800</v>
      </c>
      <c r="BR90" s="1">
        <f>SUM($AP90,$AQ90:AT90)-SUM($CK90:CO90)</f>
        <v>-18000</v>
      </c>
      <c r="BS90" s="1">
        <f>SUM($AP90,$AQ90:AU90)-SUM($CK90:CP90)</f>
        <v>-27000</v>
      </c>
      <c r="BT90" s="1">
        <f>SUM($AP90,$AQ90:AV90)-SUM($CK90:CQ90)</f>
        <v>-37800</v>
      </c>
      <c r="BU90" s="1">
        <f>SUM($AP90,$AQ90:AW90)-SUM($CK90:CR90)</f>
        <v>-50400</v>
      </c>
      <c r="BV90" s="1">
        <f>SUM($AP90,$AQ90:AX90)-SUM($CK90:CS90)</f>
        <v>-64800</v>
      </c>
      <c r="BW90" s="1">
        <f>SUM($AP90,$AQ90:AY90)-SUM($CK90:CT90)</f>
        <v>-81000</v>
      </c>
      <c r="BX90" s="1">
        <f>SUM($AP90,$AQ90:AZ90)-SUM($CK90:CU90)</f>
        <v>-99000</v>
      </c>
      <c r="BY90" s="1">
        <f>SUM($AP90,$AQ90:BA90)-SUM($CK90:CV90)</f>
        <v>-118800</v>
      </c>
      <c r="BZ90" s="1">
        <f>SUM($AP90,$AQ90:BB90)-SUM($CK90:CW90)</f>
        <v>-140400</v>
      </c>
      <c r="CA90" s="1">
        <f>SUM($AP90,$AQ90:BC90)-SUM($CK90:CX90)</f>
        <v>-163800</v>
      </c>
      <c r="CB90" s="1">
        <f>SUM($AP90,$AQ90:BD90)-SUM($CK90:CY90)</f>
        <v>-163800</v>
      </c>
      <c r="CC90" s="1">
        <f>SUM($AP90,$AQ90:BE90)-SUM($CK90:CZ90)</f>
        <v>-163800</v>
      </c>
      <c r="CD90" s="1">
        <f>SUM($AP90,$AQ90:BF90)-SUM($CK90:DA90)</f>
        <v>-163800</v>
      </c>
      <c r="CE90" s="1">
        <f>SUM($AP90,$AQ90:BG90)-SUM($CK90:DB90)</f>
        <v>-163800</v>
      </c>
      <c r="CF90" s="1">
        <f>SUM($AP90,$AQ90:BH90)-SUM($CK90:DC90)</f>
        <v>-163800</v>
      </c>
      <c r="CG90" s="1">
        <f>SUM($AP90,$AQ90:BI90)-SUM($CK90:DD90)</f>
        <v>-163800</v>
      </c>
      <c r="CK90" s="1">
        <f t="array" ref="CK90">SUMPRODUCT($H90:$Y90,(TRANSPOSE(CK$2:CK$19)))</f>
        <v>0</v>
      </c>
      <c r="CL90" s="1">
        <f t="array" ref="CL90">SUMPRODUCT($H90:$Y90,(TRANSPOSE(CL$2:CL$19)))</f>
        <v>1800</v>
      </c>
      <c r="CM90" s="1">
        <f t="array" ref="CM90">SUMPRODUCT($H90:$Y90,(TRANSPOSE(CM$2:CM$19)))</f>
        <v>3600</v>
      </c>
      <c r="CN90" s="1">
        <f t="array" ref="CN90">SUMPRODUCT($H90:$Y90,(TRANSPOSE(CN$2:CN$19)))</f>
        <v>5400</v>
      </c>
      <c r="CO90" s="1">
        <f t="array" ref="CO90">SUMPRODUCT($H90:$Y90,(TRANSPOSE(CO$2:CO$19)))</f>
        <v>7200</v>
      </c>
      <c r="CP90" s="1">
        <f t="array" ref="CP90">SUMPRODUCT($H90:$Y90,(TRANSPOSE(CP$2:CP$19)))</f>
        <v>9000</v>
      </c>
      <c r="CQ90" s="1">
        <f t="array" ref="CQ90">SUMPRODUCT($H90:$Y90,(TRANSPOSE(CQ$2:CQ$19)))</f>
        <v>10800</v>
      </c>
      <c r="CR90" s="1">
        <f t="array" ref="CR90">SUMPRODUCT($H90:$Y90,(TRANSPOSE(CR$2:CR$19)))</f>
        <v>12600</v>
      </c>
      <c r="CS90" s="1">
        <f t="array" ref="CS90">SUMPRODUCT($H90:$Y90,(TRANSPOSE(CS$2:CS$19)))</f>
        <v>14400</v>
      </c>
      <c r="CT90" s="1">
        <f t="array" ref="CT90">SUMPRODUCT($H90:$Y90,(TRANSPOSE(CT$2:CT$19)))</f>
        <v>16200</v>
      </c>
      <c r="CU90" s="1">
        <f t="array" ref="CU90">SUMPRODUCT($H90:$Y90,(TRANSPOSE(CU$2:CU$19)))</f>
        <v>18000</v>
      </c>
      <c r="CV90" s="1">
        <f t="array" ref="CV90">SUMPRODUCT($H90:$Y90,(TRANSPOSE(CV$2:CV$19)))</f>
        <v>19800</v>
      </c>
      <c r="CW90" s="1">
        <f t="array" ref="CW90">SUMPRODUCT($H90:$Y90,(TRANSPOSE(CW$2:CW$19)))</f>
        <v>21600</v>
      </c>
      <c r="CX90" s="1">
        <f t="array" ref="CX90">SUMPRODUCT($H90:$Y90,(TRANSPOSE(CX$2:CX$19)))</f>
        <v>23400</v>
      </c>
      <c r="CY90" s="1">
        <f t="array" ref="CY90">SUMPRODUCT($H90:$Y90,(TRANSPOSE(CY$2:CY$19)))</f>
        <v>0</v>
      </c>
      <c r="CZ90" s="1">
        <f t="array" ref="CZ90">SUMPRODUCT($H90:$Y90,(TRANSPOSE(CZ$2:CZ$19)))</f>
        <v>0</v>
      </c>
      <c r="DA90" s="1">
        <f t="array" ref="DA90">SUMPRODUCT($H90:$Y90,(TRANSPOSE(DA$2:DA$19)))</f>
        <v>0</v>
      </c>
      <c r="DB90" s="1">
        <f t="array" ref="DB90">SUMPRODUCT($H90:$Y90,(TRANSPOSE(DB$2:DB$19)))</f>
        <v>0</v>
      </c>
      <c r="DC90" s="1">
        <f t="array" ref="DC90">SUMPRODUCT($H90:$Y90,(TRANSPOSE(DC$2:DC$19)))</f>
        <v>0</v>
      </c>
      <c r="DD90" s="1">
        <f t="array" ref="DD90">SUMPRODUCT($H90:$Y90,(TRANSPOSE(DD$2:DD$19)))</f>
        <v>0</v>
      </c>
    </row>
    <row r="91" spans="1:108" ht="13.5" thickBot="1" x14ac:dyDescent="0.25">
      <c r="A91" s="1">
        <v>87</v>
      </c>
      <c r="B91" s="10" t="s">
        <v>10</v>
      </c>
      <c r="C91" s="1" t="s">
        <v>643</v>
      </c>
      <c r="D91" s="1">
        <v>415009669</v>
      </c>
      <c r="F91" s="1" t="s">
        <v>707</v>
      </c>
      <c r="G91" s="1" t="s">
        <v>20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180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f>SUM(H91:Y91)</f>
        <v>180</v>
      </c>
      <c r="AA91" s="1">
        <f>SUMPRODUCT(H91:Y91,$H$16:$Y$16)</f>
        <v>163800</v>
      </c>
      <c r="AB91" s="19" t="s">
        <v>18</v>
      </c>
      <c r="AC91" s="1">
        <v>0</v>
      </c>
      <c r="AD91" s="9"/>
      <c r="AE91" s="1" t="s">
        <v>19</v>
      </c>
      <c r="AF91" s="1">
        <f>AC91</f>
        <v>0</v>
      </c>
      <c r="AG91" s="1">
        <v>1</v>
      </c>
      <c r="AH91" s="1">
        <v>1</v>
      </c>
      <c r="AI91" s="1" t="s">
        <v>18</v>
      </c>
      <c r="AJ91" s="1" t="s">
        <v>18</v>
      </c>
      <c r="AK91" s="1" t="s">
        <v>18</v>
      </c>
      <c r="AL91" s="1" t="s">
        <v>18</v>
      </c>
      <c r="AM91" s="1" t="s">
        <v>18</v>
      </c>
      <c r="AN91" s="2" t="s">
        <v>18</v>
      </c>
      <c r="BO91" s="1">
        <f>SUM($AP91,$AQ91:AQ91)-SUM($CK91:CL91)</f>
        <v>0</v>
      </c>
      <c r="BP91" s="1">
        <f>SUM($AP91,$AQ91:AR91)-SUM($CK91:CM91)</f>
        <v>-1800</v>
      </c>
      <c r="BQ91" s="1">
        <f>SUM($AP91,$AQ91:AS91)-SUM($CK91:CN91)</f>
        <v>-5400</v>
      </c>
      <c r="BR91" s="1">
        <f>SUM($AP91,$AQ91:AT91)-SUM($CK91:CO91)</f>
        <v>-10800</v>
      </c>
      <c r="BS91" s="1">
        <f>SUM($AP91,$AQ91:AU91)-SUM($CK91:CP91)</f>
        <v>-18000</v>
      </c>
      <c r="BT91" s="1">
        <f>SUM($AP91,$AQ91:AV91)-SUM($CK91:CQ91)</f>
        <v>-27000</v>
      </c>
      <c r="BU91" s="1">
        <f>SUM($AP91,$AQ91:AW91)-SUM($CK91:CR91)</f>
        <v>-37800</v>
      </c>
      <c r="BV91" s="1">
        <f>SUM($AP91,$AQ91:AX91)-SUM($CK91:CS91)</f>
        <v>-50400</v>
      </c>
      <c r="BW91" s="1">
        <f>SUM($AP91,$AQ91:AY91)-SUM($CK91:CT91)</f>
        <v>-64800</v>
      </c>
      <c r="BX91" s="1">
        <f>SUM($AP91,$AQ91:AZ91)-SUM($CK91:CU91)</f>
        <v>-81000</v>
      </c>
      <c r="BY91" s="1">
        <f>SUM($AP91,$AQ91:BA91)-SUM($CK91:CV91)</f>
        <v>-99000</v>
      </c>
      <c r="BZ91" s="1">
        <f>SUM($AP91,$AQ91:BB91)-SUM($CK91:CW91)</f>
        <v>-118800</v>
      </c>
      <c r="CA91" s="1">
        <f>SUM($AP91,$AQ91:BC91)-SUM($CK91:CX91)</f>
        <v>-140400</v>
      </c>
      <c r="CB91" s="1">
        <f>SUM($AP91,$AQ91:BD91)-SUM($CK91:CY91)</f>
        <v>-163800</v>
      </c>
      <c r="CC91" s="1">
        <f>SUM($AP91,$AQ91:BE91)-SUM($CK91:CZ91)</f>
        <v>-163800</v>
      </c>
      <c r="CD91" s="1">
        <f>SUM($AP91,$AQ91:BF91)-SUM($CK91:DA91)</f>
        <v>-163800</v>
      </c>
      <c r="CE91" s="1">
        <f>SUM($AP91,$AQ91:BG91)-SUM($CK91:DB91)</f>
        <v>-163800</v>
      </c>
      <c r="CF91" s="1">
        <f>SUM($AP91,$AQ91:BH91)-SUM($CK91:DC91)</f>
        <v>-163800</v>
      </c>
      <c r="CG91" s="1">
        <f>SUM($AP91,$AQ91:BI91)-SUM($CK91:DD91)</f>
        <v>-163800</v>
      </c>
      <c r="CK91" s="1">
        <f t="array" ref="CK91">SUMPRODUCT($H91:$Y91,(TRANSPOSE(CK$2:CK$19)))</f>
        <v>0</v>
      </c>
      <c r="CL91" s="1">
        <f t="array" ref="CL91">SUMPRODUCT($H91:$Y91,(TRANSPOSE(CL$2:CL$19)))</f>
        <v>0</v>
      </c>
      <c r="CM91" s="1">
        <f t="array" ref="CM91">SUMPRODUCT($H91:$Y91,(TRANSPOSE(CM$2:CM$19)))</f>
        <v>1800</v>
      </c>
      <c r="CN91" s="1">
        <f t="array" ref="CN91">SUMPRODUCT($H91:$Y91,(TRANSPOSE(CN$2:CN$19)))</f>
        <v>3600</v>
      </c>
      <c r="CO91" s="1">
        <f t="array" ref="CO91">SUMPRODUCT($H91:$Y91,(TRANSPOSE(CO$2:CO$19)))</f>
        <v>5400</v>
      </c>
      <c r="CP91" s="1">
        <f t="array" ref="CP91">SUMPRODUCT($H91:$Y91,(TRANSPOSE(CP$2:CP$19)))</f>
        <v>7200</v>
      </c>
      <c r="CQ91" s="1">
        <f t="array" ref="CQ91">SUMPRODUCT($H91:$Y91,(TRANSPOSE(CQ$2:CQ$19)))</f>
        <v>9000</v>
      </c>
      <c r="CR91" s="1">
        <f t="array" ref="CR91">SUMPRODUCT($H91:$Y91,(TRANSPOSE(CR$2:CR$19)))</f>
        <v>10800</v>
      </c>
      <c r="CS91" s="1">
        <f t="array" ref="CS91">SUMPRODUCT($H91:$Y91,(TRANSPOSE(CS$2:CS$19)))</f>
        <v>12600</v>
      </c>
      <c r="CT91" s="1">
        <f t="array" ref="CT91">SUMPRODUCT($H91:$Y91,(TRANSPOSE(CT$2:CT$19)))</f>
        <v>14400</v>
      </c>
      <c r="CU91" s="1">
        <f t="array" ref="CU91">SUMPRODUCT($H91:$Y91,(TRANSPOSE(CU$2:CU$19)))</f>
        <v>16200</v>
      </c>
      <c r="CV91" s="1">
        <f t="array" ref="CV91">SUMPRODUCT($H91:$Y91,(TRANSPOSE(CV$2:CV$19)))</f>
        <v>18000</v>
      </c>
      <c r="CW91" s="1">
        <f t="array" ref="CW91">SUMPRODUCT($H91:$Y91,(TRANSPOSE(CW$2:CW$19)))</f>
        <v>19800</v>
      </c>
      <c r="CX91" s="1">
        <f t="array" ref="CX91">SUMPRODUCT($H91:$Y91,(TRANSPOSE(CX$2:CX$19)))</f>
        <v>21600</v>
      </c>
      <c r="CY91" s="1">
        <f t="array" ref="CY91">SUMPRODUCT($H91:$Y91,(TRANSPOSE(CY$2:CY$19)))</f>
        <v>23400</v>
      </c>
      <c r="CZ91" s="1">
        <f t="array" ref="CZ91">SUMPRODUCT($H91:$Y91,(TRANSPOSE(CZ$2:CZ$19)))</f>
        <v>0</v>
      </c>
      <c r="DA91" s="1">
        <f t="array" ref="DA91">SUMPRODUCT($H91:$Y91,(TRANSPOSE(DA$2:DA$19)))</f>
        <v>0</v>
      </c>
      <c r="DB91" s="1">
        <f t="array" ref="DB91">SUMPRODUCT($H91:$Y91,(TRANSPOSE(DB$2:DB$19)))</f>
        <v>0</v>
      </c>
      <c r="DC91" s="1">
        <f t="array" ref="DC91">SUMPRODUCT($H91:$Y91,(TRANSPOSE(DC$2:DC$19)))</f>
        <v>0</v>
      </c>
      <c r="DD91" s="1">
        <f t="array" ref="DD91">SUMPRODUCT($H91:$Y91,(TRANSPOSE(DD$2:DD$19)))</f>
        <v>0</v>
      </c>
    </row>
    <row r="92" spans="1:108" x14ac:dyDescent="0.2">
      <c r="A92" s="1">
        <v>88</v>
      </c>
      <c r="B92" s="10" t="s">
        <v>706</v>
      </c>
      <c r="C92" s="1" t="s">
        <v>19</v>
      </c>
      <c r="D92" s="1">
        <v>416686276</v>
      </c>
      <c r="F92" s="1" t="s">
        <v>705</v>
      </c>
      <c r="G92" s="1" t="s">
        <v>20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180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f>SUM(H92:Y92)</f>
        <v>180</v>
      </c>
      <c r="AA92" s="1">
        <f>SUMPRODUCT(H92:Y92,$H$16:$Y$16)</f>
        <v>163800</v>
      </c>
      <c r="AB92" s="18" t="s">
        <v>18</v>
      </c>
      <c r="AC92" s="1">
        <v>0</v>
      </c>
      <c r="AD92" s="9"/>
      <c r="AE92" s="1" t="s">
        <v>19</v>
      </c>
      <c r="AF92" s="1">
        <f>AC92</f>
        <v>0</v>
      </c>
      <c r="AG92" s="1">
        <v>1</v>
      </c>
      <c r="AH92" s="1">
        <v>1</v>
      </c>
      <c r="AI92" s="1" t="s">
        <v>18</v>
      </c>
      <c r="AJ92" s="1" t="s">
        <v>18</v>
      </c>
      <c r="AK92" s="1" t="s">
        <v>18</v>
      </c>
      <c r="AL92" s="1" t="s">
        <v>18</v>
      </c>
      <c r="AM92" s="1" t="s">
        <v>18</v>
      </c>
      <c r="AN92" s="2" t="s">
        <v>18</v>
      </c>
      <c r="BO92" s="1">
        <f>SUM($AP92,$AQ92:AQ92)-SUM($CK92:CL92)</f>
        <v>-1800</v>
      </c>
      <c r="BP92" s="1">
        <f>SUM($AP92,$AQ92:AR92)-SUM($CK92:CM92)</f>
        <v>-5400</v>
      </c>
      <c r="BQ92" s="1">
        <f>SUM($AP92,$AQ92:AS92)-SUM($CK92:CN92)</f>
        <v>-10800</v>
      </c>
      <c r="BR92" s="1">
        <f>SUM($AP92,$AQ92:AT92)-SUM($CK92:CO92)</f>
        <v>-18000</v>
      </c>
      <c r="BS92" s="1">
        <f>SUM($AP92,$AQ92:AU92)-SUM($CK92:CP92)</f>
        <v>-27000</v>
      </c>
      <c r="BT92" s="1">
        <f>SUM($AP92,$AQ92:AV92)-SUM($CK92:CQ92)</f>
        <v>-37800</v>
      </c>
      <c r="BU92" s="1">
        <f>SUM($AP92,$AQ92:AW92)-SUM($CK92:CR92)</f>
        <v>-50400</v>
      </c>
      <c r="BV92" s="1">
        <f>SUM($AP92,$AQ92:AX92)-SUM($CK92:CS92)</f>
        <v>-64800</v>
      </c>
      <c r="BW92" s="1">
        <f>SUM($AP92,$AQ92:AY92)-SUM($CK92:CT92)</f>
        <v>-81000</v>
      </c>
      <c r="BX92" s="1">
        <f>SUM($AP92,$AQ92:AZ92)-SUM($CK92:CU92)</f>
        <v>-99000</v>
      </c>
      <c r="BY92" s="1">
        <f>SUM($AP92,$AQ92:BA92)-SUM($CK92:CV92)</f>
        <v>-118800</v>
      </c>
      <c r="BZ92" s="1">
        <f>SUM($AP92,$AQ92:BB92)-SUM($CK92:CW92)</f>
        <v>-140400</v>
      </c>
      <c r="CA92" s="1">
        <f>SUM($AP92,$AQ92:BC92)-SUM($CK92:CX92)</f>
        <v>-163800</v>
      </c>
      <c r="CB92" s="1">
        <f>SUM($AP92,$AQ92:BD92)-SUM($CK92:CY92)</f>
        <v>-163800</v>
      </c>
      <c r="CC92" s="1">
        <f>SUM($AP92,$AQ92:BE92)-SUM($CK92:CZ92)</f>
        <v>-163800</v>
      </c>
      <c r="CD92" s="1">
        <f>SUM($AP92,$AQ92:BF92)-SUM($CK92:DA92)</f>
        <v>-163800</v>
      </c>
      <c r="CE92" s="1">
        <f>SUM($AP92,$AQ92:BG92)-SUM($CK92:DB92)</f>
        <v>-163800</v>
      </c>
      <c r="CF92" s="1">
        <f>SUM($AP92,$AQ92:BH92)-SUM($CK92:DC92)</f>
        <v>-163800</v>
      </c>
      <c r="CG92" s="1">
        <f>SUM($AP92,$AQ92:BI92)-SUM($CK92:DD92)</f>
        <v>-163800</v>
      </c>
      <c r="CK92" s="1">
        <f t="array" ref="CK92">SUMPRODUCT($H92:$Y92,(TRANSPOSE(CK$2:CK$19)))</f>
        <v>0</v>
      </c>
      <c r="CL92" s="1">
        <f t="array" ref="CL92">SUMPRODUCT($H92:$Y92,(TRANSPOSE(CL$2:CL$19)))</f>
        <v>1800</v>
      </c>
      <c r="CM92" s="1">
        <f t="array" ref="CM92">SUMPRODUCT($H92:$Y92,(TRANSPOSE(CM$2:CM$19)))</f>
        <v>3600</v>
      </c>
      <c r="CN92" s="1">
        <f t="array" ref="CN92">SUMPRODUCT($H92:$Y92,(TRANSPOSE(CN$2:CN$19)))</f>
        <v>5400</v>
      </c>
      <c r="CO92" s="1">
        <f t="array" ref="CO92">SUMPRODUCT($H92:$Y92,(TRANSPOSE(CO$2:CO$19)))</f>
        <v>7200</v>
      </c>
      <c r="CP92" s="1">
        <f t="array" ref="CP92">SUMPRODUCT($H92:$Y92,(TRANSPOSE(CP$2:CP$19)))</f>
        <v>9000</v>
      </c>
      <c r="CQ92" s="1">
        <f t="array" ref="CQ92">SUMPRODUCT($H92:$Y92,(TRANSPOSE(CQ$2:CQ$19)))</f>
        <v>10800</v>
      </c>
      <c r="CR92" s="1">
        <f t="array" ref="CR92">SUMPRODUCT($H92:$Y92,(TRANSPOSE(CR$2:CR$19)))</f>
        <v>12600</v>
      </c>
      <c r="CS92" s="1">
        <f t="array" ref="CS92">SUMPRODUCT($H92:$Y92,(TRANSPOSE(CS$2:CS$19)))</f>
        <v>14400</v>
      </c>
      <c r="CT92" s="1">
        <f t="array" ref="CT92">SUMPRODUCT($H92:$Y92,(TRANSPOSE(CT$2:CT$19)))</f>
        <v>16200</v>
      </c>
      <c r="CU92" s="1">
        <f t="array" ref="CU92">SUMPRODUCT($H92:$Y92,(TRANSPOSE(CU$2:CU$19)))</f>
        <v>18000</v>
      </c>
      <c r="CV92" s="1">
        <f t="array" ref="CV92">SUMPRODUCT($H92:$Y92,(TRANSPOSE(CV$2:CV$19)))</f>
        <v>19800</v>
      </c>
      <c r="CW92" s="1">
        <f t="array" ref="CW92">SUMPRODUCT($H92:$Y92,(TRANSPOSE(CW$2:CW$19)))</f>
        <v>21600</v>
      </c>
      <c r="CX92" s="1">
        <f t="array" ref="CX92">SUMPRODUCT($H92:$Y92,(TRANSPOSE(CX$2:CX$19)))</f>
        <v>23400</v>
      </c>
      <c r="CY92" s="1">
        <f t="array" ref="CY92">SUMPRODUCT($H92:$Y92,(TRANSPOSE(CY$2:CY$19)))</f>
        <v>0</v>
      </c>
      <c r="CZ92" s="1">
        <f t="array" ref="CZ92">SUMPRODUCT($H92:$Y92,(TRANSPOSE(CZ$2:CZ$19)))</f>
        <v>0</v>
      </c>
      <c r="DA92" s="1">
        <f t="array" ref="DA92">SUMPRODUCT($H92:$Y92,(TRANSPOSE(DA$2:DA$19)))</f>
        <v>0</v>
      </c>
      <c r="DB92" s="1">
        <f t="array" ref="DB92">SUMPRODUCT($H92:$Y92,(TRANSPOSE(DB$2:DB$19)))</f>
        <v>0</v>
      </c>
      <c r="DC92" s="1">
        <f t="array" ref="DC92">SUMPRODUCT($H92:$Y92,(TRANSPOSE(DC$2:DC$19)))</f>
        <v>0</v>
      </c>
      <c r="DD92" s="1">
        <f t="array" ref="DD92">SUMPRODUCT($H92:$Y92,(TRANSPOSE(DD$2:DD$19)))</f>
        <v>0</v>
      </c>
    </row>
    <row r="93" spans="1:108" x14ac:dyDescent="0.2">
      <c r="A93" s="1">
        <v>89</v>
      </c>
      <c r="B93" s="10" t="s">
        <v>704</v>
      </c>
      <c r="C93" s="1" t="s">
        <v>643</v>
      </c>
      <c r="D93" s="1">
        <v>414889959</v>
      </c>
      <c r="F93" s="1" t="s">
        <v>703</v>
      </c>
      <c r="G93" s="1" t="s">
        <v>20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f>SUM(H93:Y93)</f>
        <v>1</v>
      </c>
      <c r="AA93" s="1">
        <f>SUMPRODUCT(H93:Y93,$H$16:$Y$16)</f>
        <v>910</v>
      </c>
      <c r="AB93" s="18" t="s">
        <v>18</v>
      </c>
      <c r="AC93" s="1">
        <v>0</v>
      </c>
      <c r="AD93" s="9"/>
      <c r="AE93" s="1" t="s">
        <v>19</v>
      </c>
      <c r="AF93" s="1">
        <f>AC93</f>
        <v>0</v>
      </c>
      <c r="AG93" s="1">
        <v>1</v>
      </c>
      <c r="AH93" s="1">
        <v>1</v>
      </c>
      <c r="AI93" s="1" t="s">
        <v>18</v>
      </c>
      <c r="AJ93" s="1" t="s">
        <v>18</v>
      </c>
      <c r="AK93" s="1" t="s">
        <v>18</v>
      </c>
      <c r="AL93" s="1" t="s">
        <v>18</v>
      </c>
      <c r="AM93" s="1" t="s">
        <v>18</v>
      </c>
      <c r="AN93" s="2" t="s">
        <v>18</v>
      </c>
      <c r="BO93" s="1">
        <f>SUM($AP93,$AQ93:AQ93)-SUM($CK93:CL93)</f>
        <v>0</v>
      </c>
      <c r="BP93" s="1">
        <f>SUM($AP93,$AQ93:AR93)-SUM($CK93:CM93)</f>
        <v>0</v>
      </c>
      <c r="BQ93" s="1">
        <f>SUM($AP93,$AQ93:AS93)-SUM($CK93:CN93)</f>
        <v>0</v>
      </c>
      <c r="BR93" s="1">
        <f>SUM($AP93,$AQ93:AT93)-SUM($CK93:CO93)</f>
        <v>-10</v>
      </c>
      <c r="BS93" s="1">
        <f>SUM($AP93,$AQ93:AU93)-SUM($CK93:CP93)</f>
        <v>-30</v>
      </c>
      <c r="BT93" s="1">
        <f>SUM($AP93,$AQ93:AV93)-SUM($CK93:CQ93)</f>
        <v>-60</v>
      </c>
      <c r="BU93" s="1">
        <f>SUM($AP93,$AQ93:AW93)-SUM($CK93:CR93)</f>
        <v>-100</v>
      </c>
      <c r="BV93" s="1">
        <f>SUM($AP93,$AQ93:AX93)-SUM($CK93:CS93)</f>
        <v>-150</v>
      </c>
      <c r="BW93" s="1">
        <f>SUM($AP93,$AQ93:AY93)-SUM($CK93:CT93)</f>
        <v>-210</v>
      </c>
      <c r="BX93" s="1">
        <f>SUM($AP93,$AQ93:AZ93)-SUM($CK93:CU93)</f>
        <v>-280</v>
      </c>
      <c r="BY93" s="1">
        <f>SUM($AP93,$AQ93:BA93)-SUM($CK93:CV93)</f>
        <v>-360</v>
      </c>
      <c r="BZ93" s="1">
        <f>SUM($AP93,$AQ93:BB93)-SUM($CK93:CW93)</f>
        <v>-450</v>
      </c>
      <c r="CA93" s="1">
        <f>SUM($AP93,$AQ93:BC93)-SUM($CK93:CX93)</f>
        <v>-550</v>
      </c>
      <c r="CB93" s="1">
        <f>SUM($AP93,$AQ93:BD93)-SUM($CK93:CY93)</f>
        <v>-660</v>
      </c>
      <c r="CC93" s="1">
        <f>SUM($AP93,$AQ93:BE93)-SUM($CK93:CZ93)</f>
        <v>-780</v>
      </c>
      <c r="CD93" s="1">
        <f>SUM($AP93,$AQ93:BF93)-SUM($CK93:DA93)</f>
        <v>-910</v>
      </c>
      <c r="CE93" s="1">
        <f>SUM($AP93,$AQ93:BG93)-SUM($CK93:DB93)</f>
        <v>-910</v>
      </c>
      <c r="CF93" s="1">
        <f>SUM($AP93,$AQ93:BH93)-SUM($CK93:DC93)</f>
        <v>-910</v>
      </c>
      <c r="CG93" s="1">
        <f>SUM($AP93,$AQ93:BI93)-SUM($CK93:DD93)</f>
        <v>-910</v>
      </c>
      <c r="CK93" s="1">
        <f t="array" ref="CK93">SUMPRODUCT($H93:$Y93,(TRANSPOSE(CK$2:CK$19)))</f>
        <v>0</v>
      </c>
      <c r="CL93" s="1">
        <f t="array" ref="CL93">SUMPRODUCT($H93:$Y93,(TRANSPOSE(CL$2:CL$19)))</f>
        <v>0</v>
      </c>
      <c r="CM93" s="1">
        <f t="array" ref="CM93">SUMPRODUCT($H93:$Y93,(TRANSPOSE(CM$2:CM$19)))</f>
        <v>0</v>
      </c>
      <c r="CN93" s="1">
        <f t="array" ref="CN93">SUMPRODUCT($H93:$Y93,(TRANSPOSE(CN$2:CN$19)))</f>
        <v>0</v>
      </c>
      <c r="CO93" s="1">
        <f t="array" ref="CO93">SUMPRODUCT($H93:$Y93,(TRANSPOSE(CO$2:CO$19)))</f>
        <v>10</v>
      </c>
      <c r="CP93" s="1">
        <f t="array" ref="CP93">SUMPRODUCT($H93:$Y93,(TRANSPOSE(CP$2:CP$19)))</f>
        <v>20</v>
      </c>
      <c r="CQ93" s="1">
        <f t="array" ref="CQ93">SUMPRODUCT($H93:$Y93,(TRANSPOSE(CQ$2:CQ$19)))</f>
        <v>30</v>
      </c>
      <c r="CR93" s="1">
        <f t="array" ref="CR93">SUMPRODUCT($H93:$Y93,(TRANSPOSE(CR$2:CR$19)))</f>
        <v>40</v>
      </c>
      <c r="CS93" s="1">
        <f t="array" ref="CS93">SUMPRODUCT($H93:$Y93,(TRANSPOSE(CS$2:CS$19)))</f>
        <v>50</v>
      </c>
      <c r="CT93" s="1">
        <f t="array" ref="CT93">SUMPRODUCT($H93:$Y93,(TRANSPOSE(CT$2:CT$19)))</f>
        <v>60</v>
      </c>
      <c r="CU93" s="1">
        <f t="array" ref="CU93">SUMPRODUCT($H93:$Y93,(TRANSPOSE(CU$2:CU$19)))</f>
        <v>70</v>
      </c>
      <c r="CV93" s="1">
        <f t="array" ref="CV93">SUMPRODUCT($H93:$Y93,(TRANSPOSE(CV$2:CV$19)))</f>
        <v>80</v>
      </c>
      <c r="CW93" s="1">
        <f t="array" ref="CW93">SUMPRODUCT($H93:$Y93,(TRANSPOSE(CW$2:CW$19)))</f>
        <v>90</v>
      </c>
      <c r="CX93" s="1">
        <f t="array" ref="CX93">SUMPRODUCT($H93:$Y93,(TRANSPOSE(CX$2:CX$19)))</f>
        <v>100</v>
      </c>
      <c r="CY93" s="1">
        <f t="array" ref="CY93">SUMPRODUCT($H93:$Y93,(TRANSPOSE(CY$2:CY$19)))</f>
        <v>110</v>
      </c>
      <c r="CZ93" s="1">
        <f t="array" ref="CZ93">SUMPRODUCT($H93:$Y93,(TRANSPOSE(CZ$2:CZ$19)))</f>
        <v>120</v>
      </c>
      <c r="DA93" s="1">
        <f t="array" ref="DA93">SUMPRODUCT($H93:$Y93,(TRANSPOSE(DA$2:DA$19)))</f>
        <v>130</v>
      </c>
      <c r="DB93" s="1">
        <f t="array" ref="DB93">SUMPRODUCT($H93:$Y93,(TRANSPOSE(DB$2:DB$19)))</f>
        <v>0</v>
      </c>
      <c r="DC93" s="1">
        <f t="array" ref="DC93">SUMPRODUCT($H93:$Y93,(TRANSPOSE(DC$2:DC$19)))</f>
        <v>0</v>
      </c>
      <c r="DD93" s="1">
        <f t="array" ref="DD93">SUMPRODUCT($H93:$Y93,(TRANSPOSE(DD$2:DD$19)))</f>
        <v>0</v>
      </c>
    </row>
    <row r="94" spans="1:108" x14ac:dyDescent="0.2">
      <c r="A94" s="1">
        <v>90</v>
      </c>
      <c r="B94" s="10" t="s">
        <v>702</v>
      </c>
      <c r="C94" s="1" t="s">
        <v>19</v>
      </c>
      <c r="D94" s="1">
        <v>414889962</v>
      </c>
      <c r="F94" s="1" t="s">
        <v>701</v>
      </c>
      <c r="G94" s="1" t="s">
        <v>20</v>
      </c>
      <c r="H94" s="1">
        <v>0</v>
      </c>
      <c r="I94" s="1">
        <v>0</v>
      </c>
      <c r="J94" s="1">
        <v>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f>SUM(H94:Y94)</f>
        <v>2</v>
      </c>
      <c r="AA94" s="1">
        <f>SUMPRODUCT(H94:Y94,$H$16:$Y$16)</f>
        <v>1820</v>
      </c>
      <c r="AB94" s="18" t="s">
        <v>18</v>
      </c>
      <c r="AC94" s="1">
        <v>0</v>
      </c>
      <c r="AD94" s="9"/>
      <c r="AE94" s="1" t="s">
        <v>19</v>
      </c>
      <c r="AF94" s="1">
        <f>AC94</f>
        <v>0</v>
      </c>
      <c r="AG94" s="1">
        <v>1</v>
      </c>
      <c r="AH94" s="1">
        <v>1</v>
      </c>
      <c r="AI94" s="1" t="s">
        <v>18</v>
      </c>
      <c r="AJ94" s="1" t="s">
        <v>18</v>
      </c>
      <c r="AK94" s="1" t="s">
        <v>18</v>
      </c>
      <c r="AL94" s="1" t="s">
        <v>18</v>
      </c>
      <c r="AM94" s="1" t="s">
        <v>18</v>
      </c>
      <c r="AN94" s="2" t="s">
        <v>18</v>
      </c>
      <c r="BO94" s="1">
        <f>SUM($AP94,$AQ94:AQ94)-SUM($CK94:CL94)</f>
        <v>0</v>
      </c>
      <c r="BP94" s="1">
        <f>SUM($AP94,$AQ94:AR94)-SUM($CK94:CM94)</f>
        <v>0</v>
      </c>
      <c r="BQ94" s="1">
        <f>SUM($AP94,$AQ94:AS94)-SUM($CK94:CN94)</f>
        <v>0</v>
      </c>
      <c r="BR94" s="1">
        <f>SUM($AP94,$AQ94:AT94)-SUM($CK94:CO94)</f>
        <v>-20</v>
      </c>
      <c r="BS94" s="1">
        <f>SUM($AP94,$AQ94:AU94)-SUM($CK94:CP94)</f>
        <v>-60</v>
      </c>
      <c r="BT94" s="1">
        <f>SUM($AP94,$AQ94:AV94)-SUM($CK94:CQ94)</f>
        <v>-120</v>
      </c>
      <c r="BU94" s="1">
        <f>SUM($AP94,$AQ94:AW94)-SUM($CK94:CR94)</f>
        <v>-200</v>
      </c>
      <c r="BV94" s="1">
        <f>SUM($AP94,$AQ94:AX94)-SUM($CK94:CS94)</f>
        <v>-300</v>
      </c>
      <c r="BW94" s="1">
        <f>SUM($AP94,$AQ94:AY94)-SUM($CK94:CT94)</f>
        <v>-420</v>
      </c>
      <c r="BX94" s="1">
        <f>SUM($AP94,$AQ94:AZ94)-SUM($CK94:CU94)</f>
        <v>-560</v>
      </c>
      <c r="BY94" s="1">
        <f>SUM($AP94,$AQ94:BA94)-SUM($CK94:CV94)</f>
        <v>-720</v>
      </c>
      <c r="BZ94" s="1">
        <f>SUM($AP94,$AQ94:BB94)-SUM($CK94:CW94)</f>
        <v>-900</v>
      </c>
      <c r="CA94" s="1">
        <f>SUM($AP94,$AQ94:BC94)-SUM($CK94:CX94)</f>
        <v>-1100</v>
      </c>
      <c r="CB94" s="1">
        <f>SUM($AP94,$AQ94:BD94)-SUM($CK94:CY94)</f>
        <v>-1320</v>
      </c>
      <c r="CC94" s="1">
        <f>SUM($AP94,$AQ94:BE94)-SUM($CK94:CZ94)</f>
        <v>-1560</v>
      </c>
      <c r="CD94" s="1">
        <f>SUM($AP94,$AQ94:BF94)-SUM($CK94:DA94)</f>
        <v>-1820</v>
      </c>
      <c r="CE94" s="1">
        <f>SUM($AP94,$AQ94:BG94)-SUM($CK94:DB94)</f>
        <v>-1820</v>
      </c>
      <c r="CF94" s="1">
        <f>SUM($AP94,$AQ94:BH94)-SUM($CK94:DC94)</f>
        <v>-1820</v>
      </c>
      <c r="CG94" s="1">
        <f>SUM($AP94,$AQ94:BI94)-SUM($CK94:DD94)</f>
        <v>-1820</v>
      </c>
      <c r="CK94" s="1">
        <f t="array" ref="CK94">SUMPRODUCT($H94:$Y94,(TRANSPOSE(CK$2:CK$19)))</f>
        <v>0</v>
      </c>
      <c r="CL94" s="1">
        <f t="array" ref="CL94">SUMPRODUCT($H94:$Y94,(TRANSPOSE(CL$2:CL$19)))</f>
        <v>0</v>
      </c>
      <c r="CM94" s="1">
        <f t="array" ref="CM94">SUMPRODUCT($H94:$Y94,(TRANSPOSE(CM$2:CM$19)))</f>
        <v>0</v>
      </c>
      <c r="CN94" s="1">
        <f t="array" ref="CN94">SUMPRODUCT($H94:$Y94,(TRANSPOSE(CN$2:CN$19)))</f>
        <v>0</v>
      </c>
      <c r="CO94" s="1">
        <f t="array" ref="CO94">SUMPRODUCT($H94:$Y94,(TRANSPOSE(CO$2:CO$19)))</f>
        <v>20</v>
      </c>
      <c r="CP94" s="1">
        <f t="array" ref="CP94">SUMPRODUCT($H94:$Y94,(TRANSPOSE(CP$2:CP$19)))</f>
        <v>40</v>
      </c>
      <c r="CQ94" s="1">
        <f t="array" ref="CQ94">SUMPRODUCT($H94:$Y94,(TRANSPOSE(CQ$2:CQ$19)))</f>
        <v>60</v>
      </c>
      <c r="CR94" s="1">
        <f t="array" ref="CR94">SUMPRODUCT($H94:$Y94,(TRANSPOSE(CR$2:CR$19)))</f>
        <v>80</v>
      </c>
      <c r="CS94" s="1">
        <f t="array" ref="CS94">SUMPRODUCT($H94:$Y94,(TRANSPOSE(CS$2:CS$19)))</f>
        <v>100</v>
      </c>
      <c r="CT94" s="1">
        <f t="array" ref="CT94">SUMPRODUCT($H94:$Y94,(TRANSPOSE(CT$2:CT$19)))</f>
        <v>120</v>
      </c>
      <c r="CU94" s="1">
        <f t="array" ref="CU94">SUMPRODUCT($H94:$Y94,(TRANSPOSE(CU$2:CU$19)))</f>
        <v>140</v>
      </c>
      <c r="CV94" s="1">
        <f t="array" ref="CV94">SUMPRODUCT($H94:$Y94,(TRANSPOSE(CV$2:CV$19)))</f>
        <v>160</v>
      </c>
      <c r="CW94" s="1">
        <f t="array" ref="CW94">SUMPRODUCT($H94:$Y94,(TRANSPOSE(CW$2:CW$19)))</f>
        <v>180</v>
      </c>
      <c r="CX94" s="1">
        <f t="array" ref="CX94">SUMPRODUCT($H94:$Y94,(TRANSPOSE(CX$2:CX$19)))</f>
        <v>200</v>
      </c>
      <c r="CY94" s="1">
        <f t="array" ref="CY94">SUMPRODUCT($H94:$Y94,(TRANSPOSE(CY$2:CY$19)))</f>
        <v>220</v>
      </c>
      <c r="CZ94" s="1">
        <f t="array" ref="CZ94">SUMPRODUCT($H94:$Y94,(TRANSPOSE(CZ$2:CZ$19)))</f>
        <v>240</v>
      </c>
      <c r="DA94" s="1">
        <f t="array" ref="DA94">SUMPRODUCT($H94:$Y94,(TRANSPOSE(DA$2:DA$19)))</f>
        <v>260</v>
      </c>
      <c r="DB94" s="1">
        <f t="array" ref="DB94">SUMPRODUCT($H94:$Y94,(TRANSPOSE(DB$2:DB$19)))</f>
        <v>0</v>
      </c>
      <c r="DC94" s="1">
        <f t="array" ref="DC94">SUMPRODUCT($H94:$Y94,(TRANSPOSE(DC$2:DC$19)))</f>
        <v>0</v>
      </c>
      <c r="DD94" s="1">
        <f t="array" ref="DD94">SUMPRODUCT($H94:$Y94,(TRANSPOSE(DD$2:DD$19)))</f>
        <v>0</v>
      </c>
    </row>
    <row r="95" spans="1:108" x14ac:dyDescent="0.2">
      <c r="A95" s="1">
        <v>91</v>
      </c>
      <c r="B95" s="10" t="s">
        <v>700</v>
      </c>
      <c r="C95" s="1" t="s">
        <v>19</v>
      </c>
      <c r="D95" s="1">
        <v>414889958</v>
      </c>
      <c r="F95" s="1" t="s">
        <v>699</v>
      </c>
      <c r="G95" s="1" t="s">
        <v>20</v>
      </c>
      <c r="H95" s="1">
        <v>0</v>
      </c>
      <c r="I95" s="1">
        <v>0</v>
      </c>
      <c r="J95" s="1">
        <v>0</v>
      </c>
      <c r="K95" s="1">
        <v>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f>SUM(H95:Y95)</f>
        <v>4</v>
      </c>
      <c r="AA95" s="1">
        <f>SUMPRODUCT(H95:Y95,$H$16:$Y$16)</f>
        <v>3640</v>
      </c>
      <c r="AB95" s="18" t="s">
        <v>18</v>
      </c>
      <c r="AC95" s="1">
        <v>0</v>
      </c>
      <c r="AD95" s="9"/>
      <c r="AE95" s="1" t="s">
        <v>19</v>
      </c>
      <c r="AF95" s="1">
        <f>AC95</f>
        <v>0</v>
      </c>
      <c r="AG95" s="1">
        <v>1</v>
      </c>
      <c r="AH95" s="1">
        <v>1</v>
      </c>
      <c r="AI95" s="1" t="s">
        <v>18</v>
      </c>
      <c r="AJ95" s="1" t="s">
        <v>18</v>
      </c>
      <c r="AK95" s="1" t="s">
        <v>18</v>
      </c>
      <c r="AL95" s="1" t="s">
        <v>18</v>
      </c>
      <c r="AM95" s="1" t="s">
        <v>18</v>
      </c>
      <c r="AN95" s="2" t="s">
        <v>18</v>
      </c>
      <c r="BO95" s="1">
        <f>SUM($AP95,$AQ95:AQ95)-SUM($CK95:CL95)</f>
        <v>0</v>
      </c>
      <c r="BP95" s="1">
        <f>SUM($AP95,$AQ95:AR95)-SUM($CK95:CM95)</f>
        <v>0</v>
      </c>
      <c r="BQ95" s="1">
        <f>SUM($AP95,$AQ95:AS95)-SUM($CK95:CN95)</f>
        <v>0</v>
      </c>
      <c r="BR95" s="1">
        <f>SUM($AP95,$AQ95:AT95)-SUM($CK95:CO95)</f>
        <v>-40</v>
      </c>
      <c r="BS95" s="1">
        <f>SUM($AP95,$AQ95:AU95)-SUM($CK95:CP95)</f>
        <v>-120</v>
      </c>
      <c r="BT95" s="1">
        <f>SUM($AP95,$AQ95:AV95)-SUM($CK95:CQ95)</f>
        <v>-240</v>
      </c>
      <c r="BU95" s="1">
        <f>SUM($AP95,$AQ95:AW95)-SUM($CK95:CR95)</f>
        <v>-400</v>
      </c>
      <c r="BV95" s="1">
        <f>SUM($AP95,$AQ95:AX95)-SUM($CK95:CS95)</f>
        <v>-600</v>
      </c>
      <c r="BW95" s="1">
        <f>SUM($AP95,$AQ95:AY95)-SUM($CK95:CT95)</f>
        <v>-840</v>
      </c>
      <c r="BX95" s="1">
        <f>SUM($AP95,$AQ95:AZ95)-SUM($CK95:CU95)</f>
        <v>-1120</v>
      </c>
      <c r="BY95" s="1">
        <f>SUM($AP95,$AQ95:BA95)-SUM($CK95:CV95)</f>
        <v>-1440</v>
      </c>
      <c r="BZ95" s="1">
        <f>SUM($AP95,$AQ95:BB95)-SUM($CK95:CW95)</f>
        <v>-1800</v>
      </c>
      <c r="CA95" s="1">
        <f>SUM($AP95,$AQ95:BC95)-SUM($CK95:CX95)</f>
        <v>-2200</v>
      </c>
      <c r="CB95" s="1">
        <f>SUM($AP95,$AQ95:BD95)-SUM($CK95:CY95)</f>
        <v>-2640</v>
      </c>
      <c r="CC95" s="1">
        <f>SUM($AP95,$AQ95:BE95)-SUM($CK95:CZ95)</f>
        <v>-3120</v>
      </c>
      <c r="CD95" s="1">
        <f>SUM($AP95,$AQ95:BF95)-SUM($CK95:DA95)</f>
        <v>-3640</v>
      </c>
      <c r="CE95" s="1">
        <f>SUM($AP95,$AQ95:BG95)-SUM($CK95:DB95)</f>
        <v>-3640</v>
      </c>
      <c r="CF95" s="1">
        <f>SUM($AP95,$AQ95:BH95)-SUM($CK95:DC95)</f>
        <v>-3640</v>
      </c>
      <c r="CG95" s="1">
        <f>SUM($AP95,$AQ95:BI95)-SUM($CK95:DD95)</f>
        <v>-3640</v>
      </c>
      <c r="CK95" s="1">
        <f t="array" ref="CK95">SUMPRODUCT($H95:$Y95,(TRANSPOSE(CK$2:CK$19)))</f>
        <v>0</v>
      </c>
      <c r="CL95" s="1">
        <f t="array" ref="CL95">SUMPRODUCT($H95:$Y95,(TRANSPOSE(CL$2:CL$19)))</f>
        <v>0</v>
      </c>
      <c r="CM95" s="1">
        <f t="array" ref="CM95">SUMPRODUCT($H95:$Y95,(TRANSPOSE(CM$2:CM$19)))</f>
        <v>0</v>
      </c>
      <c r="CN95" s="1">
        <f t="array" ref="CN95">SUMPRODUCT($H95:$Y95,(TRANSPOSE(CN$2:CN$19)))</f>
        <v>0</v>
      </c>
      <c r="CO95" s="1">
        <f t="array" ref="CO95">SUMPRODUCT($H95:$Y95,(TRANSPOSE(CO$2:CO$19)))</f>
        <v>40</v>
      </c>
      <c r="CP95" s="1">
        <f t="array" ref="CP95">SUMPRODUCT($H95:$Y95,(TRANSPOSE(CP$2:CP$19)))</f>
        <v>80</v>
      </c>
      <c r="CQ95" s="1">
        <f t="array" ref="CQ95">SUMPRODUCT($H95:$Y95,(TRANSPOSE(CQ$2:CQ$19)))</f>
        <v>120</v>
      </c>
      <c r="CR95" s="1">
        <f t="array" ref="CR95">SUMPRODUCT($H95:$Y95,(TRANSPOSE(CR$2:CR$19)))</f>
        <v>160</v>
      </c>
      <c r="CS95" s="1">
        <f t="array" ref="CS95">SUMPRODUCT($H95:$Y95,(TRANSPOSE(CS$2:CS$19)))</f>
        <v>200</v>
      </c>
      <c r="CT95" s="1">
        <f t="array" ref="CT95">SUMPRODUCT($H95:$Y95,(TRANSPOSE(CT$2:CT$19)))</f>
        <v>240</v>
      </c>
      <c r="CU95" s="1">
        <f t="array" ref="CU95">SUMPRODUCT($H95:$Y95,(TRANSPOSE(CU$2:CU$19)))</f>
        <v>280</v>
      </c>
      <c r="CV95" s="1">
        <f t="array" ref="CV95">SUMPRODUCT($H95:$Y95,(TRANSPOSE(CV$2:CV$19)))</f>
        <v>320</v>
      </c>
      <c r="CW95" s="1">
        <f t="array" ref="CW95">SUMPRODUCT($H95:$Y95,(TRANSPOSE(CW$2:CW$19)))</f>
        <v>360</v>
      </c>
      <c r="CX95" s="1">
        <f t="array" ref="CX95">SUMPRODUCT($H95:$Y95,(TRANSPOSE(CX$2:CX$19)))</f>
        <v>400</v>
      </c>
      <c r="CY95" s="1">
        <f t="array" ref="CY95">SUMPRODUCT($H95:$Y95,(TRANSPOSE(CY$2:CY$19)))</f>
        <v>440</v>
      </c>
      <c r="CZ95" s="1">
        <f t="array" ref="CZ95">SUMPRODUCT($H95:$Y95,(TRANSPOSE(CZ$2:CZ$19)))</f>
        <v>480</v>
      </c>
      <c r="DA95" s="1">
        <f t="array" ref="DA95">SUMPRODUCT($H95:$Y95,(TRANSPOSE(DA$2:DA$19)))</f>
        <v>520</v>
      </c>
      <c r="DB95" s="1">
        <f t="array" ref="DB95">SUMPRODUCT($H95:$Y95,(TRANSPOSE(DB$2:DB$19)))</f>
        <v>0</v>
      </c>
      <c r="DC95" s="1">
        <f t="array" ref="DC95">SUMPRODUCT($H95:$Y95,(TRANSPOSE(DC$2:DC$19)))</f>
        <v>0</v>
      </c>
      <c r="DD95" s="1">
        <f t="array" ref="DD95">SUMPRODUCT($H95:$Y95,(TRANSPOSE(DD$2:DD$19)))</f>
        <v>0</v>
      </c>
    </row>
    <row r="96" spans="1:108" x14ac:dyDescent="0.2">
      <c r="A96" s="1">
        <v>92</v>
      </c>
      <c r="B96" s="10" t="s">
        <v>698</v>
      </c>
      <c r="C96" s="1" t="s">
        <v>19</v>
      </c>
      <c r="D96" s="1">
        <v>414889957</v>
      </c>
      <c r="F96" s="1" t="s">
        <v>697</v>
      </c>
      <c r="G96" s="1" t="s">
        <v>20</v>
      </c>
      <c r="H96" s="1">
        <v>0</v>
      </c>
      <c r="I96" s="1">
        <v>0</v>
      </c>
      <c r="J96" s="1">
        <v>0</v>
      </c>
      <c r="K96" s="1">
        <v>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f>SUM(H96:Y96)</f>
        <v>4</v>
      </c>
      <c r="AA96" s="1">
        <f>SUMPRODUCT(H96:Y96,$H$16:$Y$16)</f>
        <v>3640</v>
      </c>
      <c r="AB96" s="18" t="s">
        <v>18</v>
      </c>
      <c r="AC96" s="1">
        <v>0</v>
      </c>
      <c r="AD96" s="9"/>
      <c r="AE96" s="1" t="s">
        <v>19</v>
      </c>
      <c r="AF96" s="1">
        <f>AC96</f>
        <v>0</v>
      </c>
      <c r="AG96" s="1">
        <v>1</v>
      </c>
      <c r="AH96" s="1">
        <v>1</v>
      </c>
      <c r="AI96" s="1" t="s">
        <v>18</v>
      </c>
      <c r="AJ96" s="1" t="s">
        <v>18</v>
      </c>
      <c r="AK96" s="1" t="s">
        <v>18</v>
      </c>
      <c r="AL96" s="1" t="s">
        <v>18</v>
      </c>
      <c r="AM96" s="1" t="s">
        <v>18</v>
      </c>
      <c r="AN96" s="2" t="s">
        <v>18</v>
      </c>
      <c r="BO96" s="1">
        <f>SUM($AP96,$AQ96:AQ96)-SUM($CK96:CL96)</f>
        <v>0</v>
      </c>
      <c r="BP96" s="1">
        <f>SUM($AP96,$AQ96:AR96)-SUM($CK96:CM96)</f>
        <v>0</v>
      </c>
      <c r="BQ96" s="1">
        <f>SUM($AP96,$AQ96:AS96)-SUM($CK96:CN96)</f>
        <v>0</v>
      </c>
      <c r="BR96" s="1">
        <f>SUM($AP96,$AQ96:AT96)-SUM($CK96:CO96)</f>
        <v>-40</v>
      </c>
      <c r="BS96" s="1">
        <f>SUM($AP96,$AQ96:AU96)-SUM($CK96:CP96)</f>
        <v>-120</v>
      </c>
      <c r="BT96" s="1">
        <f>SUM($AP96,$AQ96:AV96)-SUM($CK96:CQ96)</f>
        <v>-240</v>
      </c>
      <c r="BU96" s="1">
        <f>SUM($AP96,$AQ96:AW96)-SUM($CK96:CR96)</f>
        <v>-400</v>
      </c>
      <c r="BV96" s="1">
        <f>SUM($AP96,$AQ96:AX96)-SUM($CK96:CS96)</f>
        <v>-600</v>
      </c>
      <c r="BW96" s="1">
        <f>SUM($AP96,$AQ96:AY96)-SUM($CK96:CT96)</f>
        <v>-840</v>
      </c>
      <c r="BX96" s="1">
        <f>SUM($AP96,$AQ96:AZ96)-SUM($CK96:CU96)</f>
        <v>-1120</v>
      </c>
      <c r="BY96" s="1">
        <f>SUM($AP96,$AQ96:BA96)-SUM($CK96:CV96)</f>
        <v>-1440</v>
      </c>
      <c r="BZ96" s="1">
        <f>SUM($AP96,$AQ96:BB96)-SUM($CK96:CW96)</f>
        <v>-1800</v>
      </c>
      <c r="CA96" s="1">
        <f>SUM($AP96,$AQ96:BC96)-SUM($CK96:CX96)</f>
        <v>-2200</v>
      </c>
      <c r="CB96" s="1">
        <f>SUM($AP96,$AQ96:BD96)-SUM($CK96:CY96)</f>
        <v>-2640</v>
      </c>
      <c r="CC96" s="1">
        <f>SUM($AP96,$AQ96:BE96)-SUM($CK96:CZ96)</f>
        <v>-3120</v>
      </c>
      <c r="CD96" s="1">
        <f>SUM($AP96,$AQ96:BF96)-SUM($CK96:DA96)</f>
        <v>-3640</v>
      </c>
      <c r="CE96" s="1">
        <f>SUM($AP96,$AQ96:BG96)-SUM($CK96:DB96)</f>
        <v>-3640</v>
      </c>
      <c r="CF96" s="1">
        <f>SUM($AP96,$AQ96:BH96)-SUM($CK96:DC96)</f>
        <v>-3640</v>
      </c>
      <c r="CG96" s="1">
        <f>SUM($AP96,$AQ96:BI96)-SUM($CK96:DD96)</f>
        <v>-3640</v>
      </c>
      <c r="CK96" s="1">
        <f t="array" ref="CK96">SUMPRODUCT($H96:$Y96,(TRANSPOSE(CK$2:CK$19)))</f>
        <v>0</v>
      </c>
      <c r="CL96" s="1">
        <f t="array" ref="CL96">SUMPRODUCT($H96:$Y96,(TRANSPOSE(CL$2:CL$19)))</f>
        <v>0</v>
      </c>
      <c r="CM96" s="1">
        <f t="array" ref="CM96">SUMPRODUCT($H96:$Y96,(TRANSPOSE(CM$2:CM$19)))</f>
        <v>0</v>
      </c>
      <c r="CN96" s="1">
        <f t="array" ref="CN96">SUMPRODUCT($H96:$Y96,(TRANSPOSE(CN$2:CN$19)))</f>
        <v>0</v>
      </c>
      <c r="CO96" s="1">
        <f t="array" ref="CO96">SUMPRODUCT($H96:$Y96,(TRANSPOSE(CO$2:CO$19)))</f>
        <v>40</v>
      </c>
      <c r="CP96" s="1">
        <f t="array" ref="CP96">SUMPRODUCT($H96:$Y96,(TRANSPOSE(CP$2:CP$19)))</f>
        <v>80</v>
      </c>
      <c r="CQ96" s="1">
        <f t="array" ref="CQ96">SUMPRODUCT($H96:$Y96,(TRANSPOSE(CQ$2:CQ$19)))</f>
        <v>120</v>
      </c>
      <c r="CR96" s="1">
        <f t="array" ref="CR96">SUMPRODUCT($H96:$Y96,(TRANSPOSE(CR$2:CR$19)))</f>
        <v>160</v>
      </c>
      <c r="CS96" s="1">
        <f t="array" ref="CS96">SUMPRODUCT($H96:$Y96,(TRANSPOSE(CS$2:CS$19)))</f>
        <v>200</v>
      </c>
      <c r="CT96" s="1">
        <f t="array" ref="CT96">SUMPRODUCT($H96:$Y96,(TRANSPOSE(CT$2:CT$19)))</f>
        <v>240</v>
      </c>
      <c r="CU96" s="1">
        <f t="array" ref="CU96">SUMPRODUCT($H96:$Y96,(TRANSPOSE(CU$2:CU$19)))</f>
        <v>280</v>
      </c>
      <c r="CV96" s="1">
        <f t="array" ref="CV96">SUMPRODUCT($H96:$Y96,(TRANSPOSE(CV$2:CV$19)))</f>
        <v>320</v>
      </c>
      <c r="CW96" s="1">
        <f t="array" ref="CW96">SUMPRODUCT($H96:$Y96,(TRANSPOSE(CW$2:CW$19)))</f>
        <v>360</v>
      </c>
      <c r="CX96" s="1">
        <f t="array" ref="CX96">SUMPRODUCT($H96:$Y96,(TRANSPOSE(CX$2:CX$19)))</f>
        <v>400</v>
      </c>
      <c r="CY96" s="1">
        <f t="array" ref="CY96">SUMPRODUCT($H96:$Y96,(TRANSPOSE(CY$2:CY$19)))</f>
        <v>440</v>
      </c>
      <c r="CZ96" s="1">
        <f t="array" ref="CZ96">SUMPRODUCT($H96:$Y96,(TRANSPOSE(CZ$2:CZ$19)))</f>
        <v>480</v>
      </c>
      <c r="DA96" s="1">
        <f t="array" ref="DA96">SUMPRODUCT($H96:$Y96,(TRANSPOSE(DA$2:DA$19)))</f>
        <v>520</v>
      </c>
      <c r="DB96" s="1">
        <f t="array" ref="DB96">SUMPRODUCT($H96:$Y96,(TRANSPOSE(DB$2:DB$19)))</f>
        <v>0</v>
      </c>
      <c r="DC96" s="1">
        <f t="array" ref="DC96">SUMPRODUCT($H96:$Y96,(TRANSPOSE(DC$2:DC$19)))</f>
        <v>0</v>
      </c>
      <c r="DD96" s="1">
        <f t="array" ref="DD96">SUMPRODUCT($H96:$Y96,(TRANSPOSE(DD$2:DD$19)))</f>
        <v>0</v>
      </c>
    </row>
    <row r="97" spans="1:108" x14ac:dyDescent="0.2">
      <c r="A97" s="1">
        <v>93</v>
      </c>
      <c r="B97" s="10" t="s">
        <v>696</v>
      </c>
      <c r="C97" s="1" t="s">
        <v>19</v>
      </c>
      <c r="D97" s="1">
        <v>414889833</v>
      </c>
      <c r="F97" s="1" t="s">
        <v>695</v>
      </c>
      <c r="G97" s="1" t="s">
        <v>20</v>
      </c>
      <c r="H97" s="1">
        <v>0</v>
      </c>
      <c r="I97" s="1">
        <v>0</v>
      </c>
      <c r="J97" s="1">
        <v>0</v>
      </c>
      <c r="K97" s="1">
        <v>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f>SUM(H97:Y97)</f>
        <v>3</v>
      </c>
      <c r="AA97" s="1">
        <f>SUMPRODUCT(H97:Y97,$H$16:$Y$16)</f>
        <v>2730</v>
      </c>
      <c r="AB97" s="18" t="s">
        <v>18</v>
      </c>
      <c r="AC97" s="1">
        <v>0</v>
      </c>
      <c r="AD97" s="9"/>
      <c r="AE97" s="1" t="s">
        <v>19</v>
      </c>
      <c r="AF97" s="1">
        <f>AC97</f>
        <v>0</v>
      </c>
      <c r="AG97" s="1">
        <v>1</v>
      </c>
      <c r="AH97" s="1">
        <v>1</v>
      </c>
      <c r="AI97" s="1" t="s">
        <v>18</v>
      </c>
      <c r="AJ97" s="1" t="s">
        <v>18</v>
      </c>
      <c r="AK97" s="1" t="s">
        <v>18</v>
      </c>
      <c r="AL97" s="1" t="s">
        <v>18</v>
      </c>
      <c r="AM97" s="1" t="s">
        <v>18</v>
      </c>
      <c r="AN97" s="2" t="s">
        <v>18</v>
      </c>
      <c r="BO97" s="1">
        <f>SUM($AP97,$AQ97:AQ97)-SUM($CK97:CL97)</f>
        <v>0</v>
      </c>
      <c r="BP97" s="1">
        <f>SUM($AP97,$AQ97:AR97)-SUM($CK97:CM97)</f>
        <v>0</v>
      </c>
      <c r="BQ97" s="1">
        <f>SUM($AP97,$AQ97:AS97)-SUM($CK97:CN97)</f>
        <v>0</v>
      </c>
      <c r="BR97" s="1">
        <f>SUM($AP97,$AQ97:AT97)-SUM($CK97:CO97)</f>
        <v>-30</v>
      </c>
      <c r="BS97" s="1">
        <f>SUM($AP97,$AQ97:AU97)-SUM($CK97:CP97)</f>
        <v>-90</v>
      </c>
      <c r="BT97" s="1">
        <f>SUM($AP97,$AQ97:AV97)-SUM($CK97:CQ97)</f>
        <v>-180</v>
      </c>
      <c r="BU97" s="1">
        <f>SUM($AP97,$AQ97:AW97)-SUM($CK97:CR97)</f>
        <v>-300</v>
      </c>
      <c r="BV97" s="1">
        <f>SUM($AP97,$AQ97:AX97)-SUM($CK97:CS97)</f>
        <v>-450</v>
      </c>
      <c r="BW97" s="1">
        <f>SUM($AP97,$AQ97:AY97)-SUM($CK97:CT97)</f>
        <v>-630</v>
      </c>
      <c r="BX97" s="1">
        <f>SUM($AP97,$AQ97:AZ97)-SUM($CK97:CU97)</f>
        <v>-840</v>
      </c>
      <c r="BY97" s="1">
        <f>SUM($AP97,$AQ97:BA97)-SUM($CK97:CV97)</f>
        <v>-1080</v>
      </c>
      <c r="BZ97" s="1">
        <f>SUM($AP97,$AQ97:BB97)-SUM($CK97:CW97)</f>
        <v>-1350</v>
      </c>
      <c r="CA97" s="1">
        <f>SUM($AP97,$AQ97:BC97)-SUM($CK97:CX97)</f>
        <v>-1650</v>
      </c>
      <c r="CB97" s="1">
        <f>SUM($AP97,$AQ97:BD97)-SUM($CK97:CY97)</f>
        <v>-1980</v>
      </c>
      <c r="CC97" s="1">
        <f>SUM($AP97,$AQ97:BE97)-SUM($CK97:CZ97)</f>
        <v>-2340</v>
      </c>
      <c r="CD97" s="1">
        <f>SUM($AP97,$AQ97:BF97)-SUM($CK97:DA97)</f>
        <v>-2730</v>
      </c>
      <c r="CE97" s="1">
        <f>SUM($AP97,$AQ97:BG97)-SUM($CK97:DB97)</f>
        <v>-2730</v>
      </c>
      <c r="CF97" s="1">
        <f>SUM($AP97,$AQ97:BH97)-SUM($CK97:DC97)</f>
        <v>-2730</v>
      </c>
      <c r="CG97" s="1">
        <f>SUM($AP97,$AQ97:BI97)-SUM($CK97:DD97)</f>
        <v>-2730</v>
      </c>
      <c r="CK97" s="1">
        <f t="array" ref="CK97">SUMPRODUCT($H97:$Y97,(TRANSPOSE(CK$2:CK$19)))</f>
        <v>0</v>
      </c>
      <c r="CL97" s="1">
        <f t="array" ref="CL97">SUMPRODUCT($H97:$Y97,(TRANSPOSE(CL$2:CL$19)))</f>
        <v>0</v>
      </c>
      <c r="CM97" s="1">
        <f t="array" ref="CM97">SUMPRODUCT($H97:$Y97,(TRANSPOSE(CM$2:CM$19)))</f>
        <v>0</v>
      </c>
      <c r="CN97" s="1">
        <f t="array" ref="CN97">SUMPRODUCT($H97:$Y97,(TRANSPOSE(CN$2:CN$19)))</f>
        <v>0</v>
      </c>
      <c r="CO97" s="1">
        <f t="array" ref="CO97">SUMPRODUCT($H97:$Y97,(TRANSPOSE(CO$2:CO$19)))</f>
        <v>30</v>
      </c>
      <c r="CP97" s="1">
        <f t="array" ref="CP97">SUMPRODUCT($H97:$Y97,(TRANSPOSE(CP$2:CP$19)))</f>
        <v>60</v>
      </c>
      <c r="CQ97" s="1">
        <f t="array" ref="CQ97">SUMPRODUCT($H97:$Y97,(TRANSPOSE(CQ$2:CQ$19)))</f>
        <v>90</v>
      </c>
      <c r="CR97" s="1">
        <f t="array" ref="CR97">SUMPRODUCT($H97:$Y97,(TRANSPOSE(CR$2:CR$19)))</f>
        <v>120</v>
      </c>
      <c r="CS97" s="1">
        <f t="array" ref="CS97">SUMPRODUCT($H97:$Y97,(TRANSPOSE(CS$2:CS$19)))</f>
        <v>150</v>
      </c>
      <c r="CT97" s="1">
        <f t="array" ref="CT97">SUMPRODUCT($H97:$Y97,(TRANSPOSE(CT$2:CT$19)))</f>
        <v>180</v>
      </c>
      <c r="CU97" s="1">
        <f t="array" ref="CU97">SUMPRODUCT($H97:$Y97,(TRANSPOSE(CU$2:CU$19)))</f>
        <v>210</v>
      </c>
      <c r="CV97" s="1">
        <f t="array" ref="CV97">SUMPRODUCT($H97:$Y97,(TRANSPOSE(CV$2:CV$19)))</f>
        <v>240</v>
      </c>
      <c r="CW97" s="1">
        <f t="array" ref="CW97">SUMPRODUCT($H97:$Y97,(TRANSPOSE(CW$2:CW$19)))</f>
        <v>270</v>
      </c>
      <c r="CX97" s="1">
        <f t="array" ref="CX97">SUMPRODUCT($H97:$Y97,(TRANSPOSE(CX$2:CX$19)))</f>
        <v>300</v>
      </c>
      <c r="CY97" s="1">
        <f t="array" ref="CY97">SUMPRODUCT($H97:$Y97,(TRANSPOSE(CY$2:CY$19)))</f>
        <v>330</v>
      </c>
      <c r="CZ97" s="1">
        <f t="array" ref="CZ97">SUMPRODUCT($H97:$Y97,(TRANSPOSE(CZ$2:CZ$19)))</f>
        <v>360</v>
      </c>
      <c r="DA97" s="1">
        <f t="array" ref="DA97">SUMPRODUCT($H97:$Y97,(TRANSPOSE(DA$2:DA$19)))</f>
        <v>390</v>
      </c>
      <c r="DB97" s="1">
        <f t="array" ref="DB97">SUMPRODUCT($H97:$Y97,(TRANSPOSE(DB$2:DB$19)))</f>
        <v>0</v>
      </c>
      <c r="DC97" s="1">
        <f t="array" ref="DC97">SUMPRODUCT($H97:$Y97,(TRANSPOSE(DC$2:DC$19)))</f>
        <v>0</v>
      </c>
      <c r="DD97" s="1">
        <f t="array" ref="DD97">SUMPRODUCT($H97:$Y97,(TRANSPOSE(DD$2:DD$19)))</f>
        <v>0</v>
      </c>
    </row>
    <row r="98" spans="1:108" x14ac:dyDescent="0.2">
      <c r="A98" s="1">
        <v>94</v>
      </c>
      <c r="B98" s="10" t="s">
        <v>694</v>
      </c>
      <c r="C98" s="1" t="s">
        <v>649</v>
      </c>
      <c r="D98" s="1">
        <v>414889834</v>
      </c>
      <c r="F98" s="1" t="s">
        <v>660</v>
      </c>
      <c r="G98" s="1" t="s">
        <v>20</v>
      </c>
      <c r="H98" s="1">
        <v>0</v>
      </c>
      <c r="I98" s="1">
        <v>0</v>
      </c>
      <c r="J98" s="1">
        <v>0</v>
      </c>
      <c r="K98" s="1">
        <v>4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f>SUM(H98:Y98)</f>
        <v>7</v>
      </c>
      <c r="AA98" s="1">
        <f>SUMPRODUCT(H98:Y98,$H$16:$Y$16)</f>
        <v>6370</v>
      </c>
      <c r="AB98" s="18" t="s">
        <v>18</v>
      </c>
      <c r="AC98" s="1">
        <v>0</v>
      </c>
      <c r="AD98" s="9"/>
      <c r="AE98" s="1" t="s">
        <v>19</v>
      </c>
      <c r="AF98" s="1">
        <f>AC98</f>
        <v>0</v>
      </c>
      <c r="AG98" s="1">
        <v>1</v>
      </c>
      <c r="AH98" s="1">
        <v>1</v>
      </c>
      <c r="AI98" s="1" t="s">
        <v>18</v>
      </c>
      <c r="AJ98" s="1" t="s">
        <v>18</v>
      </c>
      <c r="AK98" s="1" t="s">
        <v>18</v>
      </c>
      <c r="AL98" s="1" t="s">
        <v>18</v>
      </c>
      <c r="AM98" s="1" t="s">
        <v>18</v>
      </c>
      <c r="AN98" s="2" t="s">
        <v>18</v>
      </c>
      <c r="BO98" s="1">
        <f>SUM($AP98,$AQ98:AQ98)-SUM($CK98:CL98)</f>
        <v>0</v>
      </c>
      <c r="BP98" s="1">
        <f>SUM($AP98,$AQ98:AR98)-SUM($CK98:CM98)</f>
        <v>0</v>
      </c>
      <c r="BQ98" s="1">
        <f>SUM($AP98,$AQ98:AS98)-SUM($CK98:CN98)</f>
        <v>0</v>
      </c>
      <c r="BR98" s="1">
        <f>SUM($AP98,$AQ98:AT98)-SUM($CK98:CO98)</f>
        <v>-70</v>
      </c>
      <c r="BS98" s="1">
        <f>SUM($AP98,$AQ98:AU98)-SUM($CK98:CP98)</f>
        <v>-210</v>
      </c>
      <c r="BT98" s="1">
        <f>SUM($AP98,$AQ98:AV98)-SUM($CK98:CQ98)</f>
        <v>-420</v>
      </c>
      <c r="BU98" s="1">
        <f>SUM($AP98,$AQ98:AW98)-SUM($CK98:CR98)</f>
        <v>-700</v>
      </c>
      <c r="BV98" s="1">
        <f>SUM($AP98,$AQ98:AX98)-SUM($CK98:CS98)</f>
        <v>-1050</v>
      </c>
      <c r="BW98" s="1">
        <f>SUM($AP98,$AQ98:AY98)-SUM($CK98:CT98)</f>
        <v>-1470</v>
      </c>
      <c r="BX98" s="1">
        <f>SUM($AP98,$AQ98:AZ98)-SUM($CK98:CU98)</f>
        <v>-1960</v>
      </c>
      <c r="BY98" s="1">
        <f>SUM($AP98,$AQ98:BA98)-SUM($CK98:CV98)</f>
        <v>-2520</v>
      </c>
      <c r="BZ98" s="1">
        <f>SUM($AP98,$AQ98:BB98)-SUM($CK98:CW98)</f>
        <v>-3150</v>
      </c>
      <c r="CA98" s="1">
        <f>SUM($AP98,$AQ98:BC98)-SUM($CK98:CX98)</f>
        <v>-3850</v>
      </c>
      <c r="CB98" s="1">
        <f>SUM($AP98,$AQ98:BD98)-SUM($CK98:CY98)</f>
        <v>-4620</v>
      </c>
      <c r="CC98" s="1">
        <f>SUM($AP98,$AQ98:BE98)-SUM($CK98:CZ98)</f>
        <v>-5460</v>
      </c>
      <c r="CD98" s="1">
        <f>SUM($AP98,$AQ98:BF98)-SUM($CK98:DA98)</f>
        <v>-6370</v>
      </c>
      <c r="CE98" s="1">
        <f>SUM($AP98,$AQ98:BG98)-SUM($CK98:DB98)</f>
        <v>-6370</v>
      </c>
      <c r="CF98" s="1">
        <f>SUM($AP98,$AQ98:BH98)-SUM($CK98:DC98)</f>
        <v>-6370</v>
      </c>
      <c r="CG98" s="1">
        <f>SUM($AP98,$AQ98:BI98)-SUM($CK98:DD98)</f>
        <v>-6370</v>
      </c>
      <c r="CK98" s="1">
        <f t="array" ref="CK98">SUMPRODUCT($H98:$Y98,(TRANSPOSE(CK$2:CK$19)))</f>
        <v>0</v>
      </c>
      <c r="CL98" s="1">
        <f t="array" ref="CL98">SUMPRODUCT($H98:$Y98,(TRANSPOSE(CL$2:CL$19)))</f>
        <v>0</v>
      </c>
      <c r="CM98" s="1">
        <f t="array" ref="CM98">SUMPRODUCT($H98:$Y98,(TRANSPOSE(CM$2:CM$19)))</f>
        <v>0</v>
      </c>
      <c r="CN98" s="1">
        <f t="array" ref="CN98">SUMPRODUCT($H98:$Y98,(TRANSPOSE(CN$2:CN$19)))</f>
        <v>0</v>
      </c>
      <c r="CO98" s="1">
        <f t="array" ref="CO98">SUMPRODUCT($H98:$Y98,(TRANSPOSE(CO$2:CO$19)))</f>
        <v>70</v>
      </c>
      <c r="CP98" s="1">
        <f t="array" ref="CP98">SUMPRODUCT($H98:$Y98,(TRANSPOSE(CP$2:CP$19)))</f>
        <v>140</v>
      </c>
      <c r="CQ98" s="1">
        <f t="array" ref="CQ98">SUMPRODUCT($H98:$Y98,(TRANSPOSE(CQ$2:CQ$19)))</f>
        <v>210</v>
      </c>
      <c r="CR98" s="1">
        <f t="array" ref="CR98">SUMPRODUCT($H98:$Y98,(TRANSPOSE(CR$2:CR$19)))</f>
        <v>280</v>
      </c>
      <c r="CS98" s="1">
        <f t="array" ref="CS98">SUMPRODUCT($H98:$Y98,(TRANSPOSE(CS$2:CS$19)))</f>
        <v>350</v>
      </c>
      <c r="CT98" s="1">
        <f t="array" ref="CT98">SUMPRODUCT($H98:$Y98,(TRANSPOSE(CT$2:CT$19)))</f>
        <v>420</v>
      </c>
      <c r="CU98" s="1">
        <f t="array" ref="CU98">SUMPRODUCT($H98:$Y98,(TRANSPOSE(CU$2:CU$19)))</f>
        <v>490</v>
      </c>
      <c r="CV98" s="1">
        <f t="array" ref="CV98">SUMPRODUCT($H98:$Y98,(TRANSPOSE(CV$2:CV$19)))</f>
        <v>560</v>
      </c>
      <c r="CW98" s="1">
        <f t="array" ref="CW98">SUMPRODUCT($H98:$Y98,(TRANSPOSE(CW$2:CW$19)))</f>
        <v>630</v>
      </c>
      <c r="CX98" s="1">
        <f t="array" ref="CX98">SUMPRODUCT($H98:$Y98,(TRANSPOSE(CX$2:CX$19)))</f>
        <v>700</v>
      </c>
      <c r="CY98" s="1">
        <f t="array" ref="CY98">SUMPRODUCT($H98:$Y98,(TRANSPOSE(CY$2:CY$19)))</f>
        <v>770</v>
      </c>
      <c r="CZ98" s="1">
        <f t="array" ref="CZ98">SUMPRODUCT($H98:$Y98,(TRANSPOSE(CZ$2:CZ$19)))</f>
        <v>840</v>
      </c>
      <c r="DA98" s="1">
        <f t="array" ref="DA98">SUMPRODUCT($H98:$Y98,(TRANSPOSE(DA$2:DA$19)))</f>
        <v>910</v>
      </c>
      <c r="DB98" s="1">
        <f t="array" ref="DB98">SUMPRODUCT($H98:$Y98,(TRANSPOSE(DB$2:DB$19)))</f>
        <v>0</v>
      </c>
      <c r="DC98" s="1">
        <f t="array" ref="DC98">SUMPRODUCT($H98:$Y98,(TRANSPOSE(DC$2:DC$19)))</f>
        <v>0</v>
      </c>
      <c r="DD98" s="1">
        <f t="array" ref="DD98">SUMPRODUCT($H98:$Y98,(TRANSPOSE(DD$2:DD$19)))</f>
        <v>0</v>
      </c>
    </row>
    <row r="99" spans="1:108" x14ac:dyDescent="0.2">
      <c r="A99" s="1">
        <v>95</v>
      </c>
      <c r="B99" s="10" t="s">
        <v>693</v>
      </c>
      <c r="C99" s="1" t="s">
        <v>19</v>
      </c>
      <c r="D99" s="1">
        <v>414395615</v>
      </c>
      <c r="F99" s="1" t="s">
        <v>692</v>
      </c>
      <c r="G99" s="1" t="s">
        <v>20</v>
      </c>
      <c r="H99" s="1">
        <v>0</v>
      </c>
      <c r="I99" s="1">
        <v>0</v>
      </c>
      <c r="J99" s="1">
        <v>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f>SUM(H99:Y99)</f>
        <v>2</v>
      </c>
      <c r="AA99" s="1">
        <f>SUMPRODUCT(H99:Y99,$H$16:$Y$16)</f>
        <v>1820</v>
      </c>
      <c r="AB99" s="18" t="s">
        <v>18</v>
      </c>
      <c r="AC99" s="1">
        <v>0</v>
      </c>
      <c r="AD99" s="9"/>
      <c r="AE99" s="1" t="s">
        <v>19</v>
      </c>
      <c r="AF99" s="1">
        <f>AC99</f>
        <v>0</v>
      </c>
      <c r="AG99" s="1">
        <v>1</v>
      </c>
      <c r="AH99" s="1">
        <v>1</v>
      </c>
      <c r="AI99" s="1" t="s">
        <v>18</v>
      </c>
      <c r="AJ99" s="1" t="s">
        <v>18</v>
      </c>
      <c r="AK99" s="1" t="s">
        <v>18</v>
      </c>
      <c r="AL99" s="1" t="s">
        <v>18</v>
      </c>
      <c r="AM99" s="1" t="s">
        <v>18</v>
      </c>
      <c r="AN99" s="2" t="s">
        <v>18</v>
      </c>
      <c r="BO99" s="1">
        <f>SUM($AP99,$AQ99:AQ99)-SUM($CK99:CL99)</f>
        <v>0</v>
      </c>
      <c r="BP99" s="1">
        <f>SUM($AP99,$AQ99:AR99)-SUM($CK99:CM99)</f>
        <v>0</v>
      </c>
      <c r="BQ99" s="1">
        <f>SUM($AP99,$AQ99:AS99)-SUM($CK99:CN99)</f>
        <v>0</v>
      </c>
      <c r="BR99" s="1">
        <f>SUM($AP99,$AQ99:AT99)-SUM($CK99:CO99)</f>
        <v>-20</v>
      </c>
      <c r="BS99" s="1">
        <f>SUM($AP99,$AQ99:AU99)-SUM($CK99:CP99)</f>
        <v>-60</v>
      </c>
      <c r="BT99" s="1">
        <f>SUM($AP99,$AQ99:AV99)-SUM($CK99:CQ99)</f>
        <v>-120</v>
      </c>
      <c r="BU99" s="1">
        <f>SUM($AP99,$AQ99:AW99)-SUM($CK99:CR99)</f>
        <v>-200</v>
      </c>
      <c r="BV99" s="1">
        <f>SUM($AP99,$AQ99:AX99)-SUM($CK99:CS99)</f>
        <v>-300</v>
      </c>
      <c r="BW99" s="1">
        <f>SUM($AP99,$AQ99:AY99)-SUM($CK99:CT99)</f>
        <v>-420</v>
      </c>
      <c r="BX99" s="1">
        <f>SUM($AP99,$AQ99:AZ99)-SUM($CK99:CU99)</f>
        <v>-560</v>
      </c>
      <c r="BY99" s="1">
        <f>SUM($AP99,$AQ99:BA99)-SUM($CK99:CV99)</f>
        <v>-720</v>
      </c>
      <c r="BZ99" s="1">
        <f>SUM($AP99,$AQ99:BB99)-SUM($CK99:CW99)</f>
        <v>-900</v>
      </c>
      <c r="CA99" s="1">
        <f>SUM($AP99,$AQ99:BC99)-SUM($CK99:CX99)</f>
        <v>-1100</v>
      </c>
      <c r="CB99" s="1">
        <f>SUM($AP99,$AQ99:BD99)-SUM($CK99:CY99)</f>
        <v>-1320</v>
      </c>
      <c r="CC99" s="1">
        <f>SUM($AP99,$AQ99:BE99)-SUM($CK99:CZ99)</f>
        <v>-1560</v>
      </c>
      <c r="CD99" s="1">
        <f>SUM($AP99,$AQ99:BF99)-SUM($CK99:DA99)</f>
        <v>-1820</v>
      </c>
      <c r="CE99" s="1">
        <f>SUM($AP99,$AQ99:BG99)-SUM($CK99:DB99)</f>
        <v>-1820</v>
      </c>
      <c r="CF99" s="1">
        <f>SUM($AP99,$AQ99:BH99)-SUM($CK99:DC99)</f>
        <v>-1820</v>
      </c>
      <c r="CG99" s="1">
        <f>SUM($AP99,$AQ99:BI99)-SUM($CK99:DD99)</f>
        <v>-1820</v>
      </c>
      <c r="CK99" s="1">
        <f t="array" ref="CK99">SUMPRODUCT($H99:$Y99,(TRANSPOSE(CK$2:CK$19)))</f>
        <v>0</v>
      </c>
      <c r="CL99" s="1">
        <f t="array" ref="CL99">SUMPRODUCT($H99:$Y99,(TRANSPOSE(CL$2:CL$19)))</f>
        <v>0</v>
      </c>
      <c r="CM99" s="1">
        <f t="array" ref="CM99">SUMPRODUCT($H99:$Y99,(TRANSPOSE(CM$2:CM$19)))</f>
        <v>0</v>
      </c>
      <c r="CN99" s="1">
        <f t="array" ref="CN99">SUMPRODUCT($H99:$Y99,(TRANSPOSE(CN$2:CN$19)))</f>
        <v>0</v>
      </c>
      <c r="CO99" s="1">
        <f t="array" ref="CO99">SUMPRODUCT($H99:$Y99,(TRANSPOSE(CO$2:CO$19)))</f>
        <v>20</v>
      </c>
      <c r="CP99" s="1">
        <f t="array" ref="CP99">SUMPRODUCT($H99:$Y99,(TRANSPOSE(CP$2:CP$19)))</f>
        <v>40</v>
      </c>
      <c r="CQ99" s="1">
        <f t="array" ref="CQ99">SUMPRODUCT($H99:$Y99,(TRANSPOSE(CQ$2:CQ$19)))</f>
        <v>60</v>
      </c>
      <c r="CR99" s="1">
        <f t="array" ref="CR99">SUMPRODUCT($H99:$Y99,(TRANSPOSE(CR$2:CR$19)))</f>
        <v>80</v>
      </c>
      <c r="CS99" s="1">
        <f t="array" ref="CS99">SUMPRODUCT($H99:$Y99,(TRANSPOSE(CS$2:CS$19)))</f>
        <v>100</v>
      </c>
      <c r="CT99" s="1">
        <f t="array" ref="CT99">SUMPRODUCT($H99:$Y99,(TRANSPOSE(CT$2:CT$19)))</f>
        <v>120</v>
      </c>
      <c r="CU99" s="1">
        <f t="array" ref="CU99">SUMPRODUCT($H99:$Y99,(TRANSPOSE(CU$2:CU$19)))</f>
        <v>140</v>
      </c>
      <c r="CV99" s="1">
        <f t="array" ref="CV99">SUMPRODUCT($H99:$Y99,(TRANSPOSE(CV$2:CV$19)))</f>
        <v>160</v>
      </c>
      <c r="CW99" s="1">
        <f t="array" ref="CW99">SUMPRODUCT($H99:$Y99,(TRANSPOSE(CW$2:CW$19)))</f>
        <v>180</v>
      </c>
      <c r="CX99" s="1">
        <f t="array" ref="CX99">SUMPRODUCT($H99:$Y99,(TRANSPOSE(CX$2:CX$19)))</f>
        <v>200</v>
      </c>
      <c r="CY99" s="1">
        <f t="array" ref="CY99">SUMPRODUCT($H99:$Y99,(TRANSPOSE(CY$2:CY$19)))</f>
        <v>220</v>
      </c>
      <c r="CZ99" s="1">
        <f t="array" ref="CZ99">SUMPRODUCT($H99:$Y99,(TRANSPOSE(CZ$2:CZ$19)))</f>
        <v>240</v>
      </c>
      <c r="DA99" s="1">
        <f t="array" ref="DA99">SUMPRODUCT($H99:$Y99,(TRANSPOSE(DA$2:DA$19)))</f>
        <v>260</v>
      </c>
      <c r="DB99" s="1">
        <f t="array" ref="DB99">SUMPRODUCT($H99:$Y99,(TRANSPOSE(DB$2:DB$19)))</f>
        <v>0</v>
      </c>
      <c r="DC99" s="1">
        <f t="array" ref="DC99">SUMPRODUCT($H99:$Y99,(TRANSPOSE(DC$2:DC$19)))</f>
        <v>0</v>
      </c>
      <c r="DD99" s="1">
        <f t="array" ref="DD99">SUMPRODUCT($H99:$Y99,(TRANSPOSE(DD$2:DD$19)))</f>
        <v>0</v>
      </c>
    </row>
    <row r="100" spans="1:108" x14ac:dyDescent="0.2">
      <c r="A100" s="1">
        <v>96</v>
      </c>
      <c r="B100" s="10" t="s">
        <v>691</v>
      </c>
      <c r="C100" s="1" t="s">
        <v>19</v>
      </c>
      <c r="D100" s="1">
        <v>415554862</v>
      </c>
      <c r="F100" s="1" t="s">
        <v>654</v>
      </c>
      <c r="G100" s="1" t="s">
        <v>20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140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f>SUM(H100:Y100)</f>
        <v>140</v>
      </c>
      <c r="AA100" s="1">
        <f>SUMPRODUCT(H100:Y100,$H$16:$Y$16)</f>
        <v>127400</v>
      </c>
      <c r="AB100" s="18" t="s">
        <v>18</v>
      </c>
      <c r="AC100" s="1">
        <v>0</v>
      </c>
      <c r="AD100" s="9"/>
      <c r="AE100" s="1" t="s">
        <v>19</v>
      </c>
      <c r="AF100" s="1">
        <f>AC100</f>
        <v>0</v>
      </c>
      <c r="AG100" s="1">
        <v>1</v>
      </c>
      <c r="AH100" s="1">
        <v>1</v>
      </c>
      <c r="AI100" s="1" t="s">
        <v>18</v>
      </c>
      <c r="AJ100" s="1" t="s">
        <v>18</v>
      </c>
      <c r="AK100" s="1" t="s">
        <v>18</v>
      </c>
      <c r="AL100" s="1" t="s">
        <v>18</v>
      </c>
      <c r="AM100" s="1" t="s">
        <v>18</v>
      </c>
      <c r="AN100" s="1" t="s">
        <v>18</v>
      </c>
      <c r="BO100" s="1">
        <f>SUM($AP100,$AQ100:AQ100)-SUM($CK100:CL100)</f>
        <v>0</v>
      </c>
      <c r="BP100" s="1">
        <f>SUM($AP100,$AQ100:AR100)-SUM($CK100:CM100)</f>
        <v>0</v>
      </c>
      <c r="BQ100" s="1">
        <f>SUM($AP100,$AQ100:AS100)-SUM($CK100:CN100)</f>
        <v>0</v>
      </c>
      <c r="BR100" s="1">
        <f>SUM($AP100,$AQ100:AT100)-SUM($CK100:CO100)</f>
        <v>-1400</v>
      </c>
      <c r="BS100" s="1">
        <f>SUM($AP100,$AQ100:AU100)-SUM($CK100:CP100)</f>
        <v>-4200</v>
      </c>
      <c r="BT100" s="1">
        <f>SUM($AP100,$AQ100:AV100)-SUM($CK100:CQ100)</f>
        <v>-8400</v>
      </c>
      <c r="BU100" s="1">
        <f>SUM($AP100,$AQ100:AW100)-SUM($CK100:CR100)</f>
        <v>-14000</v>
      </c>
      <c r="BV100" s="1">
        <f>SUM($AP100,$AQ100:AX100)-SUM($CK100:CS100)</f>
        <v>-21000</v>
      </c>
      <c r="BW100" s="1">
        <f>SUM($AP100,$AQ100:AY100)-SUM($CK100:CT100)</f>
        <v>-29400</v>
      </c>
      <c r="BX100" s="1">
        <f>SUM($AP100,$AQ100:AZ100)-SUM($CK100:CU100)</f>
        <v>-39200</v>
      </c>
      <c r="BY100" s="1">
        <f>SUM($AP100,$AQ100:BA100)-SUM($CK100:CV100)</f>
        <v>-50400</v>
      </c>
      <c r="BZ100" s="1">
        <f>SUM($AP100,$AQ100:BB100)-SUM($CK100:CW100)</f>
        <v>-63000</v>
      </c>
      <c r="CA100" s="1">
        <f>SUM($AP100,$AQ100:BC100)-SUM($CK100:CX100)</f>
        <v>-77000</v>
      </c>
      <c r="CB100" s="1">
        <f>SUM($AP100,$AQ100:BD100)-SUM($CK100:CY100)</f>
        <v>-92400</v>
      </c>
      <c r="CC100" s="1">
        <f>SUM($AP100,$AQ100:BE100)-SUM($CK100:CZ100)</f>
        <v>-109200</v>
      </c>
      <c r="CD100" s="1">
        <f>SUM($AP100,$AQ100:BF100)-SUM($CK100:DA100)</f>
        <v>-127400</v>
      </c>
      <c r="CE100" s="1">
        <f>SUM($AP100,$AQ100:BG100)-SUM($CK100:DB100)</f>
        <v>-127400</v>
      </c>
      <c r="CF100" s="1">
        <f>SUM($AP100,$AQ100:BH100)-SUM($CK100:DC100)</f>
        <v>-127400</v>
      </c>
      <c r="CG100" s="1">
        <f>SUM($AP100,$AQ100:BI100)-SUM($CK100:DD100)</f>
        <v>-127400</v>
      </c>
      <c r="CK100" s="1">
        <f t="array" ref="CK100">SUMPRODUCT($H100:$Y100,(TRANSPOSE(CK$2:CK$19)))</f>
        <v>0</v>
      </c>
      <c r="CL100" s="1">
        <f t="array" ref="CL100">SUMPRODUCT($H100:$Y100,(TRANSPOSE(CL$2:CL$19)))</f>
        <v>0</v>
      </c>
      <c r="CM100" s="1">
        <f t="array" ref="CM100">SUMPRODUCT($H100:$Y100,(TRANSPOSE(CM$2:CM$19)))</f>
        <v>0</v>
      </c>
      <c r="CN100" s="1">
        <f t="array" ref="CN100">SUMPRODUCT($H100:$Y100,(TRANSPOSE(CN$2:CN$19)))</f>
        <v>0</v>
      </c>
      <c r="CO100" s="1">
        <f t="array" ref="CO100">SUMPRODUCT($H100:$Y100,(TRANSPOSE(CO$2:CO$19)))</f>
        <v>1400</v>
      </c>
      <c r="CP100" s="1">
        <f t="array" ref="CP100">SUMPRODUCT($H100:$Y100,(TRANSPOSE(CP$2:CP$19)))</f>
        <v>2800</v>
      </c>
      <c r="CQ100" s="1">
        <f t="array" ref="CQ100">SUMPRODUCT($H100:$Y100,(TRANSPOSE(CQ$2:CQ$19)))</f>
        <v>4200</v>
      </c>
      <c r="CR100" s="1">
        <f t="array" ref="CR100">SUMPRODUCT($H100:$Y100,(TRANSPOSE(CR$2:CR$19)))</f>
        <v>5600</v>
      </c>
      <c r="CS100" s="1">
        <f t="array" ref="CS100">SUMPRODUCT($H100:$Y100,(TRANSPOSE(CS$2:CS$19)))</f>
        <v>7000</v>
      </c>
      <c r="CT100" s="1">
        <f t="array" ref="CT100">SUMPRODUCT($H100:$Y100,(TRANSPOSE(CT$2:CT$19)))</f>
        <v>8400</v>
      </c>
      <c r="CU100" s="1">
        <f t="array" ref="CU100">SUMPRODUCT($H100:$Y100,(TRANSPOSE(CU$2:CU$19)))</f>
        <v>9800</v>
      </c>
      <c r="CV100" s="1">
        <f t="array" ref="CV100">SUMPRODUCT($H100:$Y100,(TRANSPOSE(CV$2:CV$19)))</f>
        <v>11200</v>
      </c>
      <c r="CW100" s="1">
        <f t="array" ref="CW100">SUMPRODUCT($H100:$Y100,(TRANSPOSE(CW$2:CW$19)))</f>
        <v>12600</v>
      </c>
      <c r="CX100" s="1">
        <f t="array" ref="CX100">SUMPRODUCT($H100:$Y100,(TRANSPOSE(CX$2:CX$19)))</f>
        <v>14000</v>
      </c>
      <c r="CY100" s="1">
        <f t="array" ref="CY100">SUMPRODUCT($H100:$Y100,(TRANSPOSE(CY$2:CY$19)))</f>
        <v>15400</v>
      </c>
      <c r="CZ100" s="1">
        <f t="array" ref="CZ100">SUMPRODUCT($H100:$Y100,(TRANSPOSE(CZ$2:CZ$19)))</f>
        <v>16800</v>
      </c>
      <c r="DA100" s="1">
        <f t="array" ref="DA100">SUMPRODUCT($H100:$Y100,(TRANSPOSE(DA$2:DA$19)))</f>
        <v>18200</v>
      </c>
      <c r="DB100" s="1">
        <f t="array" ref="DB100">SUMPRODUCT($H100:$Y100,(TRANSPOSE(DB$2:DB$19)))</f>
        <v>0</v>
      </c>
      <c r="DC100" s="1">
        <f t="array" ref="DC100">SUMPRODUCT($H100:$Y100,(TRANSPOSE(DC$2:DC$19)))</f>
        <v>0</v>
      </c>
      <c r="DD100" s="1">
        <f t="array" ref="DD100">SUMPRODUCT($H100:$Y100,(TRANSPOSE(DD$2:DD$19)))</f>
        <v>0</v>
      </c>
    </row>
    <row r="101" spans="1:108" x14ac:dyDescent="0.2">
      <c r="A101" s="1">
        <v>97</v>
      </c>
      <c r="B101" s="10" t="s">
        <v>690</v>
      </c>
      <c r="C101" s="1" t="s">
        <v>643</v>
      </c>
      <c r="D101" s="1">
        <v>415243985</v>
      </c>
      <c r="F101" s="1" t="s">
        <v>689</v>
      </c>
      <c r="G101" s="1" t="s">
        <v>20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f>SUM(H101:Y101)</f>
        <v>1</v>
      </c>
      <c r="AA101" s="1">
        <f>SUMPRODUCT(H101:Y101,$H$16:$Y$16)</f>
        <v>910</v>
      </c>
      <c r="AB101" s="18" t="s">
        <v>18</v>
      </c>
      <c r="AC101" s="17">
        <v>0</v>
      </c>
      <c r="AD101" s="9"/>
      <c r="AE101" s="1" t="s">
        <v>19</v>
      </c>
      <c r="AF101" s="1">
        <f>AC101</f>
        <v>0</v>
      </c>
      <c r="AG101" s="1">
        <v>1</v>
      </c>
      <c r="AH101" s="1">
        <v>1</v>
      </c>
      <c r="AI101" s="1" t="s">
        <v>18</v>
      </c>
      <c r="AJ101" s="1" t="s">
        <v>18</v>
      </c>
      <c r="AK101" s="1" t="s">
        <v>18</v>
      </c>
      <c r="AL101" s="1" t="s">
        <v>18</v>
      </c>
      <c r="AM101" s="20" t="s">
        <v>18</v>
      </c>
      <c r="AN101" s="2" t="s">
        <v>18</v>
      </c>
      <c r="BO101" s="1">
        <f>SUM($AP101,$AQ101:AQ101)-SUM($CK101:CL101)</f>
        <v>0</v>
      </c>
      <c r="BP101" s="1">
        <f>SUM($AP101,$AQ101:AR101)-SUM($CK101:CM101)</f>
        <v>0</v>
      </c>
      <c r="BQ101" s="1">
        <f>SUM($AP101,$AQ101:AS101)-SUM($CK101:CN101)</f>
        <v>0</v>
      </c>
      <c r="BR101" s="1">
        <f>SUM($AP101,$AQ101:AT101)-SUM($CK101:CO101)</f>
        <v>-10</v>
      </c>
      <c r="BS101" s="1">
        <f>SUM($AP101,$AQ101:AU101)-SUM($CK101:CP101)</f>
        <v>-30</v>
      </c>
      <c r="BT101" s="1">
        <f>SUM($AP101,$AQ101:AV101)-SUM($CK101:CQ101)</f>
        <v>-60</v>
      </c>
      <c r="BU101" s="1">
        <f>SUM($AP101,$AQ101:AW101)-SUM($CK101:CR101)</f>
        <v>-100</v>
      </c>
      <c r="BV101" s="1">
        <f>SUM($AP101,$AQ101:AX101)-SUM($CK101:CS101)</f>
        <v>-150</v>
      </c>
      <c r="BW101" s="1">
        <f>SUM($AP101,$AQ101:AY101)-SUM($CK101:CT101)</f>
        <v>-210</v>
      </c>
      <c r="BX101" s="1">
        <f>SUM($AP101,$AQ101:AZ101)-SUM($CK101:CU101)</f>
        <v>-280</v>
      </c>
      <c r="BY101" s="1">
        <f>SUM($AP101,$AQ101:BA101)-SUM($CK101:CV101)</f>
        <v>-360</v>
      </c>
      <c r="BZ101" s="1">
        <f>SUM($AP101,$AQ101:BB101)-SUM($CK101:CW101)</f>
        <v>-450</v>
      </c>
      <c r="CA101" s="1">
        <f>SUM($AP101,$AQ101:BC101)-SUM($CK101:CX101)</f>
        <v>-550</v>
      </c>
      <c r="CB101" s="1">
        <f>SUM($AP101,$AQ101:BD101)-SUM($CK101:CY101)</f>
        <v>-660</v>
      </c>
      <c r="CC101" s="1">
        <f>SUM($AP101,$AQ101:BE101)-SUM($CK101:CZ101)</f>
        <v>-780</v>
      </c>
      <c r="CD101" s="1">
        <f>SUM($AP101,$AQ101:BF101)-SUM($CK101:DA101)</f>
        <v>-910</v>
      </c>
      <c r="CE101" s="1">
        <f>SUM($AP101,$AQ101:BG101)-SUM($CK101:DB101)</f>
        <v>-910</v>
      </c>
      <c r="CF101" s="1">
        <f>SUM($AP101,$AQ101:BH101)-SUM($CK101:DC101)</f>
        <v>-910</v>
      </c>
      <c r="CG101" s="1">
        <f>SUM($AP101,$AQ101:BI101)-SUM($CK101:DD101)</f>
        <v>-910</v>
      </c>
      <c r="CK101" s="1">
        <f t="array" ref="CK101">SUMPRODUCT($H101:$Y101,(TRANSPOSE(CK$2:CK$19)))</f>
        <v>0</v>
      </c>
      <c r="CL101" s="1">
        <f t="array" ref="CL101">SUMPRODUCT($H101:$Y101,(TRANSPOSE(CL$2:CL$19)))</f>
        <v>0</v>
      </c>
      <c r="CM101" s="1">
        <f t="array" ref="CM101">SUMPRODUCT($H101:$Y101,(TRANSPOSE(CM$2:CM$19)))</f>
        <v>0</v>
      </c>
      <c r="CN101" s="1">
        <f t="array" ref="CN101">SUMPRODUCT($H101:$Y101,(TRANSPOSE(CN$2:CN$19)))</f>
        <v>0</v>
      </c>
      <c r="CO101" s="1">
        <f t="array" ref="CO101">SUMPRODUCT($H101:$Y101,(TRANSPOSE(CO$2:CO$19)))</f>
        <v>10</v>
      </c>
      <c r="CP101" s="1">
        <f t="array" ref="CP101">SUMPRODUCT($H101:$Y101,(TRANSPOSE(CP$2:CP$19)))</f>
        <v>20</v>
      </c>
      <c r="CQ101" s="1">
        <f t="array" ref="CQ101">SUMPRODUCT($H101:$Y101,(TRANSPOSE(CQ$2:CQ$19)))</f>
        <v>30</v>
      </c>
      <c r="CR101" s="1">
        <f t="array" ref="CR101">SUMPRODUCT($H101:$Y101,(TRANSPOSE(CR$2:CR$19)))</f>
        <v>40</v>
      </c>
      <c r="CS101" s="1">
        <f t="array" ref="CS101">SUMPRODUCT($H101:$Y101,(TRANSPOSE(CS$2:CS$19)))</f>
        <v>50</v>
      </c>
      <c r="CT101" s="1">
        <f t="array" ref="CT101">SUMPRODUCT($H101:$Y101,(TRANSPOSE(CT$2:CT$19)))</f>
        <v>60</v>
      </c>
      <c r="CU101" s="1">
        <f t="array" ref="CU101">SUMPRODUCT($H101:$Y101,(TRANSPOSE(CU$2:CU$19)))</f>
        <v>70</v>
      </c>
      <c r="CV101" s="1">
        <f t="array" ref="CV101">SUMPRODUCT($H101:$Y101,(TRANSPOSE(CV$2:CV$19)))</f>
        <v>80</v>
      </c>
      <c r="CW101" s="1">
        <f t="array" ref="CW101">SUMPRODUCT($H101:$Y101,(TRANSPOSE(CW$2:CW$19)))</f>
        <v>90</v>
      </c>
      <c r="CX101" s="1">
        <f t="array" ref="CX101">SUMPRODUCT($H101:$Y101,(TRANSPOSE(CX$2:CX$19)))</f>
        <v>100</v>
      </c>
      <c r="CY101" s="1">
        <f t="array" ref="CY101">SUMPRODUCT($H101:$Y101,(TRANSPOSE(CY$2:CY$19)))</f>
        <v>110</v>
      </c>
      <c r="CZ101" s="1">
        <f t="array" ref="CZ101">SUMPRODUCT($H101:$Y101,(TRANSPOSE(CZ$2:CZ$19)))</f>
        <v>120</v>
      </c>
      <c r="DA101" s="1">
        <f t="array" ref="DA101">SUMPRODUCT($H101:$Y101,(TRANSPOSE(DA$2:DA$19)))</f>
        <v>130</v>
      </c>
      <c r="DB101" s="1">
        <f t="array" ref="DB101">SUMPRODUCT($H101:$Y101,(TRANSPOSE(DB$2:DB$19)))</f>
        <v>0</v>
      </c>
      <c r="DC101" s="1">
        <f t="array" ref="DC101">SUMPRODUCT($H101:$Y101,(TRANSPOSE(DC$2:DC$19)))</f>
        <v>0</v>
      </c>
      <c r="DD101" s="1">
        <f t="array" ref="DD101">SUMPRODUCT($H101:$Y101,(TRANSPOSE(DD$2:DD$19)))</f>
        <v>0</v>
      </c>
    </row>
    <row r="102" spans="1:108" ht="13.5" thickBot="1" x14ac:dyDescent="0.25">
      <c r="A102" s="1">
        <v>98</v>
      </c>
      <c r="B102" s="10" t="s">
        <v>688</v>
      </c>
      <c r="C102" s="1" t="s">
        <v>643</v>
      </c>
      <c r="D102" s="1">
        <v>415243986</v>
      </c>
      <c r="F102" s="1" t="s">
        <v>687</v>
      </c>
      <c r="G102" s="1" t="s">
        <v>20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f>SUM(H102:Y102)</f>
        <v>1</v>
      </c>
      <c r="AA102" s="1">
        <f>SUMPRODUCT(H102:Y102,$H$16:$Y$16)</f>
        <v>910</v>
      </c>
      <c r="AB102" s="18" t="s">
        <v>18</v>
      </c>
      <c r="AC102" s="17">
        <v>0</v>
      </c>
      <c r="AD102" s="9"/>
      <c r="AE102" s="1" t="s">
        <v>19</v>
      </c>
      <c r="AF102" s="1">
        <f>AC102</f>
        <v>0</v>
      </c>
      <c r="AG102" s="1">
        <v>1</v>
      </c>
      <c r="AH102" s="1">
        <v>1</v>
      </c>
      <c r="AI102" s="1" t="s">
        <v>18</v>
      </c>
      <c r="AJ102" s="1" t="s">
        <v>18</v>
      </c>
      <c r="AK102" s="1" t="s">
        <v>18</v>
      </c>
      <c r="AL102" s="1" t="s">
        <v>18</v>
      </c>
      <c r="AM102" s="1" t="s">
        <v>18</v>
      </c>
      <c r="AN102" s="2" t="s">
        <v>18</v>
      </c>
      <c r="BO102" s="1">
        <f>SUM($AP102,$AQ102:AQ102)-SUM($CK102:CL102)</f>
        <v>0</v>
      </c>
      <c r="BP102" s="1">
        <f>SUM($AP102,$AQ102:AR102)-SUM($CK102:CM102)</f>
        <v>0</v>
      </c>
      <c r="BQ102" s="1">
        <f>SUM($AP102,$AQ102:AS102)-SUM($CK102:CN102)</f>
        <v>0</v>
      </c>
      <c r="BR102" s="1">
        <f>SUM($AP102,$AQ102:AT102)-SUM($CK102:CO102)</f>
        <v>-10</v>
      </c>
      <c r="BS102" s="1">
        <f>SUM($AP102,$AQ102:AU102)-SUM($CK102:CP102)</f>
        <v>-30</v>
      </c>
      <c r="BT102" s="1">
        <f>SUM($AP102,$AQ102:AV102)-SUM($CK102:CQ102)</f>
        <v>-60</v>
      </c>
      <c r="BU102" s="1">
        <f>SUM($AP102,$AQ102:AW102)-SUM($CK102:CR102)</f>
        <v>-100</v>
      </c>
      <c r="BV102" s="1">
        <f>SUM($AP102,$AQ102:AX102)-SUM($CK102:CS102)</f>
        <v>-150</v>
      </c>
      <c r="BW102" s="1">
        <f>SUM($AP102,$AQ102:AY102)-SUM($CK102:CT102)</f>
        <v>-210</v>
      </c>
      <c r="BX102" s="1">
        <f>SUM($AP102,$AQ102:AZ102)-SUM($CK102:CU102)</f>
        <v>-280</v>
      </c>
      <c r="BY102" s="1">
        <f>SUM($AP102,$AQ102:BA102)-SUM($CK102:CV102)</f>
        <v>-360</v>
      </c>
      <c r="BZ102" s="1">
        <f>SUM($AP102,$AQ102:BB102)-SUM($CK102:CW102)</f>
        <v>-450</v>
      </c>
      <c r="CA102" s="1">
        <f>SUM($AP102,$AQ102:BC102)-SUM($CK102:CX102)</f>
        <v>-550</v>
      </c>
      <c r="CB102" s="1">
        <f>SUM($AP102,$AQ102:BD102)-SUM($CK102:CY102)</f>
        <v>-660</v>
      </c>
      <c r="CC102" s="1">
        <f>SUM($AP102,$AQ102:BE102)-SUM($CK102:CZ102)</f>
        <v>-780</v>
      </c>
      <c r="CD102" s="1">
        <f>SUM($AP102,$AQ102:BF102)-SUM($CK102:DA102)</f>
        <v>-910</v>
      </c>
      <c r="CE102" s="1">
        <f>SUM($AP102,$AQ102:BG102)-SUM($CK102:DB102)</f>
        <v>-910</v>
      </c>
      <c r="CF102" s="1">
        <f>SUM($AP102,$AQ102:BH102)-SUM($CK102:DC102)</f>
        <v>-910</v>
      </c>
      <c r="CG102" s="1">
        <f>SUM($AP102,$AQ102:BI102)-SUM($CK102:DD102)</f>
        <v>-910</v>
      </c>
      <c r="CK102" s="1">
        <f t="array" ref="CK102">SUMPRODUCT($H102:$Y102,(TRANSPOSE(CK$2:CK$19)))</f>
        <v>0</v>
      </c>
      <c r="CL102" s="1">
        <f t="array" ref="CL102">SUMPRODUCT($H102:$Y102,(TRANSPOSE(CL$2:CL$19)))</f>
        <v>0</v>
      </c>
      <c r="CM102" s="1">
        <f t="array" ref="CM102">SUMPRODUCT($H102:$Y102,(TRANSPOSE(CM$2:CM$19)))</f>
        <v>0</v>
      </c>
      <c r="CN102" s="1">
        <f t="array" ref="CN102">SUMPRODUCT($H102:$Y102,(TRANSPOSE(CN$2:CN$19)))</f>
        <v>0</v>
      </c>
      <c r="CO102" s="1">
        <f t="array" ref="CO102">SUMPRODUCT($H102:$Y102,(TRANSPOSE(CO$2:CO$19)))</f>
        <v>10</v>
      </c>
      <c r="CP102" s="1">
        <f t="array" ref="CP102">SUMPRODUCT($H102:$Y102,(TRANSPOSE(CP$2:CP$19)))</f>
        <v>20</v>
      </c>
      <c r="CQ102" s="1">
        <f t="array" ref="CQ102">SUMPRODUCT($H102:$Y102,(TRANSPOSE(CQ$2:CQ$19)))</f>
        <v>30</v>
      </c>
      <c r="CR102" s="1">
        <f t="array" ref="CR102">SUMPRODUCT($H102:$Y102,(TRANSPOSE(CR$2:CR$19)))</f>
        <v>40</v>
      </c>
      <c r="CS102" s="1">
        <f t="array" ref="CS102">SUMPRODUCT($H102:$Y102,(TRANSPOSE(CS$2:CS$19)))</f>
        <v>50</v>
      </c>
      <c r="CT102" s="1">
        <f t="array" ref="CT102">SUMPRODUCT($H102:$Y102,(TRANSPOSE(CT$2:CT$19)))</f>
        <v>60</v>
      </c>
      <c r="CU102" s="1">
        <f t="array" ref="CU102">SUMPRODUCT($H102:$Y102,(TRANSPOSE(CU$2:CU$19)))</f>
        <v>70</v>
      </c>
      <c r="CV102" s="1">
        <f t="array" ref="CV102">SUMPRODUCT($H102:$Y102,(TRANSPOSE(CV$2:CV$19)))</f>
        <v>80</v>
      </c>
      <c r="CW102" s="1">
        <f t="array" ref="CW102">SUMPRODUCT($H102:$Y102,(TRANSPOSE(CW$2:CW$19)))</f>
        <v>90</v>
      </c>
      <c r="CX102" s="1">
        <f t="array" ref="CX102">SUMPRODUCT($H102:$Y102,(TRANSPOSE(CX$2:CX$19)))</f>
        <v>100</v>
      </c>
      <c r="CY102" s="1">
        <f t="array" ref="CY102">SUMPRODUCT($H102:$Y102,(TRANSPOSE(CY$2:CY$19)))</f>
        <v>110</v>
      </c>
      <c r="CZ102" s="1">
        <f t="array" ref="CZ102">SUMPRODUCT($H102:$Y102,(TRANSPOSE(CZ$2:CZ$19)))</f>
        <v>120</v>
      </c>
      <c r="DA102" s="1">
        <f t="array" ref="DA102">SUMPRODUCT($H102:$Y102,(TRANSPOSE(DA$2:DA$19)))</f>
        <v>130</v>
      </c>
      <c r="DB102" s="1">
        <f t="array" ref="DB102">SUMPRODUCT($H102:$Y102,(TRANSPOSE(DB$2:DB$19)))</f>
        <v>0</v>
      </c>
      <c r="DC102" s="1">
        <f t="array" ref="DC102">SUMPRODUCT($H102:$Y102,(TRANSPOSE(DC$2:DC$19)))</f>
        <v>0</v>
      </c>
      <c r="DD102" s="1">
        <f t="array" ref="DD102">SUMPRODUCT($H102:$Y102,(TRANSPOSE(DD$2:DD$19)))</f>
        <v>0</v>
      </c>
    </row>
    <row r="103" spans="1:108" ht="13.5" thickBot="1" x14ac:dyDescent="0.25">
      <c r="A103" s="1">
        <v>99</v>
      </c>
      <c r="B103" s="10" t="s">
        <v>8</v>
      </c>
      <c r="C103" s="1">
        <v>-1</v>
      </c>
      <c r="D103" s="1">
        <v>415600492</v>
      </c>
      <c r="F103" s="1" t="s">
        <v>686</v>
      </c>
      <c r="G103" s="1" t="s">
        <v>20</v>
      </c>
      <c r="H103" s="1">
        <v>0</v>
      </c>
      <c r="I103" s="1">
        <v>0</v>
      </c>
      <c r="J103" s="1">
        <v>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f>SUM(H103:Y103)</f>
        <v>2</v>
      </c>
      <c r="AA103" s="1">
        <f>SUMPRODUCT(H103:Y103,$H$16:$Y$16)</f>
        <v>1820</v>
      </c>
      <c r="AB103" s="19" t="s">
        <v>18</v>
      </c>
      <c r="AC103" s="1">
        <v>0</v>
      </c>
      <c r="AD103" s="9"/>
      <c r="AE103" s="1" t="s">
        <v>19</v>
      </c>
      <c r="AF103" s="1">
        <f>AC103</f>
        <v>0</v>
      </c>
      <c r="AG103" s="1">
        <v>1</v>
      </c>
      <c r="AH103" s="1">
        <v>1</v>
      </c>
      <c r="AI103" s="1" t="s">
        <v>18</v>
      </c>
      <c r="AJ103" s="1" t="s">
        <v>18</v>
      </c>
      <c r="AK103" s="1" t="s">
        <v>18</v>
      </c>
      <c r="AL103" s="1" t="s">
        <v>18</v>
      </c>
      <c r="AM103" s="1" t="s">
        <v>18</v>
      </c>
      <c r="AN103" s="2" t="s">
        <v>18</v>
      </c>
      <c r="BO103" s="1">
        <f>SUM($AP103,$AQ103:AQ103)-SUM($CK103:CL103)</f>
        <v>0</v>
      </c>
      <c r="BP103" s="1">
        <f>SUM($AP103,$AQ103:AR103)-SUM($CK103:CM103)</f>
        <v>0</v>
      </c>
      <c r="BQ103" s="1">
        <f>SUM($AP103,$AQ103:AS103)-SUM($CK103:CN103)</f>
        <v>0</v>
      </c>
      <c r="BR103" s="1">
        <f>SUM($AP103,$AQ103:AT103)-SUM($CK103:CO103)</f>
        <v>-20</v>
      </c>
      <c r="BS103" s="1">
        <f>SUM($AP103,$AQ103:AU103)-SUM($CK103:CP103)</f>
        <v>-60</v>
      </c>
      <c r="BT103" s="1">
        <f>SUM($AP103,$AQ103:AV103)-SUM($CK103:CQ103)</f>
        <v>-120</v>
      </c>
      <c r="BU103" s="1">
        <f>SUM($AP103,$AQ103:AW103)-SUM($CK103:CR103)</f>
        <v>-200</v>
      </c>
      <c r="BV103" s="1">
        <f>SUM($AP103,$AQ103:AX103)-SUM($CK103:CS103)</f>
        <v>-300</v>
      </c>
      <c r="BW103" s="1">
        <f>SUM($AP103,$AQ103:AY103)-SUM($CK103:CT103)</f>
        <v>-420</v>
      </c>
      <c r="BX103" s="1">
        <f>SUM($AP103,$AQ103:AZ103)-SUM($CK103:CU103)</f>
        <v>-560</v>
      </c>
      <c r="BY103" s="1">
        <f>SUM($AP103,$AQ103:BA103)-SUM($CK103:CV103)</f>
        <v>-720</v>
      </c>
      <c r="BZ103" s="1">
        <f>SUM($AP103,$AQ103:BB103)-SUM($CK103:CW103)</f>
        <v>-900</v>
      </c>
      <c r="CA103" s="1">
        <f>SUM($AP103,$AQ103:BC103)-SUM($CK103:CX103)</f>
        <v>-1100</v>
      </c>
      <c r="CB103" s="1">
        <f>SUM($AP103,$AQ103:BD103)-SUM($CK103:CY103)</f>
        <v>-1320</v>
      </c>
      <c r="CC103" s="1">
        <f>SUM($AP103,$AQ103:BE103)-SUM($CK103:CZ103)</f>
        <v>-1560</v>
      </c>
      <c r="CD103" s="1">
        <f>SUM($AP103,$AQ103:BF103)-SUM($CK103:DA103)</f>
        <v>-1820</v>
      </c>
      <c r="CE103" s="1">
        <f>SUM($AP103,$AQ103:BG103)-SUM($CK103:DB103)</f>
        <v>-1820</v>
      </c>
      <c r="CF103" s="1">
        <f>SUM($AP103,$AQ103:BH103)-SUM($CK103:DC103)</f>
        <v>-1820</v>
      </c>
      <c r="CG103" s="1">
        <f>SUM($AP103,$AQ103:BI103)-SUM($CK103:DD103)</f>
        <v>-1820</v>
      </c>
      <c r="CK103" s="1">
        <f t="array" ref="CK103">SUMPRODUCT($H103:$Y103,(TRANSPOSE(CK$2:CK$19)))</f>
        <v>0</v>
      </c>
      <c r="CL103" s="1">
        <f t="array" ref="CL103">SUMPRODUCT($H103:$Y103,(TRANSPOSE(CL$2:CL$19)))</f>
        <v>0</v>
      </c>
      <c r="CM103" s="1">
        <f t="array" ref="CM103">SUMPRODUCT($H103:$Y103,(TRANSPOSE(CM$2:CM$19)))</f>
        <v>0</v>
      </c>
      <c r="CN103" s="1">
        <f t="array" ref="CN103">SUMPRODUCT($H103:$Y103,(TRANSPOSE(CN$2:CN$19)))</f>
        <v>0</v>
      </c>
      <c r="CO103" s="1">
        <f t="array" ref="CO103">SUMPRODUCT($H103:$Y103,(TRANSPOSE(CO$2:CO$19)))</f>
        <v>20</v>
      </c>
      <c r="CP103" s="1">
        <f t="array" ref="CP103">SUMPRODUCT($H103:$Y103,(TRANSPOSE(CP$2:CP$19)))</f>
        <v>40</v>
      </c>
      <c r="CQ103" s="1">
        <f t="array" ref="CQ103">SUMPRODUCT($H103:$Y103,(TRANSPOSE(CQ$2:CQ$19)))</f>
        <v>60</v>
      </c>
      <c r="CR103" s="1">
        <f t="array" ref="CR103">SUMPRODUCT($H103:$Y103,(TRANSPOSE(CR$2:CR$19)))</f>
        <v>80</v>
      </c>
      <c r="CS103" s="1">
        <f t="array" ref="CS103">SUMPRODUCT($H103:$Y103,(TRANSPOSE(CS$2:CS$19)))</f>
        <v>100</v>
      </c>
      <c r="CT103" s="1">
        <f t="array" ref="CT103">SUMPRODUCT($H103:$Y103,(TRANSPOSE(CT$2:CT$19)))</f>
        <v>120</v>
      </c>
      <c r="CU103" s="1">
        <f t="array" ref="CU103">SUMPRODUCT($H103:$Y103,(TRANSPOSE(CU$2:CU$19)))</f>
        <v>140</v>
      </c>
      <c r="CV103" s="1">
        <f t="array" ref="CV103">SUMPRODUCT($H103:$Y103,(TRANSPOSE(CV$2:CV$19)))</f>
        <v>160</v>
      </c>
      <c r="CW103" s="1">
        <f t="array" ref="CW103">SUMPRODUCT($H103:$Y103,(TRANSPOSE(CW$2:CW$19)))</f>
        <v>180</v>
      </c>
      <c r="CX103" s="1">
        <f t="array" ref="CX103">SUMPRODUCT($H103:$Y103,(TRANSPOSE(CX$2:CX$19)))</f>
        <v>200</v>
      </c>
      <c r="CY103" s="1">
        <f t="array" ref="CY103">SUMPRODUCT($H103:$Y103,(TRANSPOSE(CY$2:CY$19)))</f>
        <v>220</v>
      </c>
      <c r="CZ103" s="1">
        <f t="array" ref="CZ103">SUMPRODUCT($H103:$Y103,(TRANSPOSE(CZ$2:CZ$19)))</f>
        <v>240</v>
      </c>
      <c r="DA103" s="1">
        <f t="array" ref="DA103">SUMPRODUCT($H103:$Y103,(TRANSPOSE(DA$2:DA$19)))</f>
        <v>260</v>
      </c>
      <c r="DB103" s="1">
        <f t="array" ref="DB103">SUMPRODUCT($H103:$Y103,(TRANSPOSE(DB$2:DB$19)))</f>
        <v>0</v>
      </c>
      <c r="DC103" s="1">
        <f t="array" ref="DC103">SUMPRODUCT($H103:$Y103,(TRANSPOSE(DC$2:DC$19)))</f>
        <v>0</v>
      </c>
      <c r="DD103" s="1">
        <f t="array" ref="DD103">SUMPRODUCT($H103:$Y103,(TRANSPOSE(DD$2:DD$19)))</f>
        <v>0</v>
      </c>
    </row>
    <row r="104" spans="1:108" ht="13.5" thickBot="1" x14ac:dyDescent="0.25">
      <c r="A104" s="1">
        <v>100</v>
      </c>
      <c r="B104" s="10" t="s">
        <v>685</v>
      </c>
      <c r="C104" s="1" t="s">
        <v>19</v>
      </c>
      <c r="D104" s="1">
        <v>417759787</v>
      </c>
      <c r="F104" s="1" t="s">
        <v>684</v>
      </c>
      <c r="G104" s="1" t="s">
        <v>20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f>SUM(H104:Y104)</f>
        <v>1</v>
      </c>
      <c r="AA104" s="1">
        <f>SUMPRODUCT(H104:Y104,$H$16:$Y$16)</f>
        <v>910</v>
      </c>
      <c r="AB104" s="19" t="s">
        <v>18</v>
      </c>
      <c r="AC104" s="1">
        <v>0</v>
      </c>
      <c r="AD104" s="9"/>
      <c r="AE104" s="1" t="s">
        <v>19</v>
      </c>
      <c r="AF104" s="1">
        <f>AC104</f>
        <v>0</v>
      </c>
      <c r="AG104" s="1">
        <v>1</v>
      </c>
      <c r="AH104" s="1">
        <v>1</v>
      </c>
      <c r="AI104" s="1" t="s">
        <v>18</v>
      </c>
      <c r="AJ104" s="1" t="s">
        <v>18</v>
      </c>
      <c r="AK104" s="1" t="s">
        <v>18</v>
      </c>
      <c r="AL104" s="1" t="s">
        <v>18</v>
      </c>
      <c r="AM104" s="1" t="s">
        <v>18</v>
      </c>
      <c r="AN104" s="2" t="s">
        <v>18</v>
      </c>
      <c r="BO104" s="1">
        <f>SUM($AP104,$AQ104:AQ104)-SUM($CK104:CL104)</f>
        <v>0</v>
      </c>
      <c r="BP104" s="1">
        <f>SUM($AP104,$AQ104:AR104)-SUM($CK104:CM104)</f>
        <v>0</v>
      </c>
      <c r="BQ104" s="1">
        <f>SUM($AP104,$AQ104:AS104)-SUM($CK104:CN104)</f>
        <v>0</v>
      </c>
      <c r="BR104" s="1">
        <f>SUM($AP104,$AQ104:AT104)-SUM($CK104:CO104)</f>
        <v>-10</v>
      </c>
      <c r="BS104" s="1">
        <f>SUM($AP104,$AQ104:AU104)-SUM($CK104:CP104)</f>
        <v>-30</v>
      </c>
      <c r="BT104" s="1">
        <f>SUM($AP104,$AQ104:AV104)-SUM($CK104:CQ104)</f>
        <v>-60</v>
      </c>
      <c r="BU104" s="1">
        <f>SUM($AP104,$AQ104:AW104)-SUM($CK104:CR104)</f>
        <v>-100</v>
      </c>
      <c r="BV104" s="1">
        <f>SUM($AP104,$AQ104:AX104)-SUM($CK104:CS104)</f>
        <v>-150</v>
      </c>
      <c r="BW104" s="1">
        <f>SUM($AP104,$AQ104:AY104)-SUM($CK104:CT104)</f>
        <v>-210</v>
      </c>
      <c r="BX104" s="1">
        <f>SUM($AP104,$AQ104:AZ104)-SUM($CK104:CU104)</f>
        <v>-280</v>
      </c>
      <c r="BY104" s="1">
        <f>SUM($AP104,$AQ104:BA104)-SUM($CK104:CV104)</f>
        <v>-360</v>
      </c>
      <c r="BZ104" s="1">
        <f>SUM($AP104,$AQ104:BB104)-SUM($CK104:CW104)</f>
        <v>-450</v>
      </c>
      <c r="CA104" s="1">
        <f>SUM($AP104,$AQ104:BC104)-SUM($CK104:CX104)</f>
        <v>-550</v>
      </c>
      <c r="CB104" s="1">
        <f>SUM($AP104,$AQ104:BD104)-SUM($CK104:CY104)</f>
        <v>-660</v>
      </c>
      <c r="CC104" s="1">
        <f>SUM($AP104,$AQ104:BE104)-SUM($CK104:CZ104)</f>
        <v>-780</v>
      </c>
      <c r="CD104" s="1">
        <f>SUM($AP104,$AQ104:BF104)-SUM($CK104:DA104)</f>
        <v>-910</v>
      </c>
      <c r="CE104" s="1">
        <f>SUM($AP104,$AQ104:BG104)-SUM($CK104:DB104)</f>
        <v>-910</v>
      </c>
      <c r="CF104" s="1">
        <f>SUM($AP104,$AQ104:BH104)-SUM($CK104:DC104)</f>
        <v>-910</v>
      </c>
      <c r="CG104" s="1">
        <f>SUM($AP104,$AQ104:BI104)-SUM($CK104:DD104)</f>
        <v>-910</v>
      </c>
      <c r="CK104" s="1">
        <f t="array" ref="CK104">SUMPRODUCT($H104:$Y104,(TRANSPOSE(CK$2:CK$19)))</f>
        <v>0</v>
      </c>
      <c r="CL104" s="1">
        <f t="array" ref="CL104">SUMPRODUCT($H104:$Y104,(TRANSPOSE(CL$2:CL$19)))</f>
        <v>0</v>
      </c>
      <c r="CM104" s="1">
        <f t="array" ref="CM104">SUMPRODUCT($H104:$Y104,(TRANSPOSE(CM$2:CM$19)))</f>
        <v>0</v>
      </c>
      <c r="CN104" s="1">
        <f t="array" ref="CN104">SUMPRODUCT($H104:$Y104,(TRANSPOSE(CN$2:CN$19)))</f>
        <v>0</v>
      </c>
      <c r="CO104" s="1">
        <f t="array" ref="CO104">SUMPRODUCT($H104:$Y104,(TRANSPOSE(CO$2:CO$19)))</f>
        <v>10</v>
      </c>
      <c r="CP104" s="1">
        <f t="array" ref="CP104">SUMPRODUCT($H104:$Y104,(TRANSPOSE(CP$2:CP$19)))</f>
        <v>20</v>
      </c>
      <c r="CQ104" s="1">
        <f t="array" ref="CQ104">SUMPRODUCT($H104:$Y104,(TRANSPOSE(CQ$2:CQ$19)))</f>
        <v>30</v>
      </c>
      <c r="CR104" s="1">
        <f t="array" ref="CR104">SUMPRODUCT($H104:$Y104,(TRANSPOSE(CR$2:CR$19)))</f>
        <v>40</v>
      </c>
      <c r="CS104" s="1">
        <f t="array" ref="CS104">SUMPRODUCT($H104:$Y104,(TRANSPOSE(CS$2:CS$19)))</f>
        <v>50</v>
      </c>
      <c r="CT104" s="1">
        <f t="array" ref="CT104">SUMPRODUCT($H104:$Y104,(TRANSPOSE(CT$2:CT$19)))</f>
        <v>60</v>
      </c>
      <c r="CU104" s="1">
        <f t="array" ref="CU104">SUMPRODUCT($H104:$Y104,(TRANSPOSE(CU$2:CU$19)))</f>
        <v>70</v>
      </c>
      <c r="CV104" s="1">
        <f t="array" ref="CV104">SUMPRODUCT($H104:$Y104,(TRANSPOSE(CV$2:CV$19)))</f>
        <v>80</v>
      </c>
      <c r="CW104" s="1">
        <f t="array" ref="CW104">SUMPRODUCT($H104:$Y104,(TRANSPOSE(CW$2:CW$19)))</f>
        <v>90</v>
      </c>
      <c r="CX104" s="1">
        <f t="array" ref="CX104">SUMPRODUCT($H104:$Y104,(TRANSPOSE(CX$2:CX$19)))</f>
        <v>100</v>
      </c>
      <c r="CY104" s="1">
        <f t="array" ref="CY104">SUMPRODUCT($H104:$Y104,(TRANSPOSE(CY$2:CY$19)))</f>
        <v>110</v>
      </c>
      <c r="CZ104" s="1">
        <f t="array" ref="CZ104">SUMPRODUCT($H104:$Y104,(TRANSPOSE(CZ$2:CZ$19)))</f>
        <v>120</v>
      </c>
      <c r="DA104" s="1">
        <f t="array" ref="DA104">SUMPRODUCT($H104:$Y104,(TRANSPOSE(DA$2:DA$19)))</f>
        <v>130</v>
      </c>
      <c r="DB104" s="1">
        <f t="array" ref="DB104">SUMPRODUCT($H104:$Y104,(TRANSPOSE(DB$2:DB$19)))</f>
        <v>0</v>
      </c>
      <c r="DC104" s="1">
        <f t="array" ref="DC104">SUMPRODUCT($H104:$Y104,(TRANSPOSE(DC$2:DC$19)))</f>
        <v>0</v>
      </c>
      <c r="DD104" s="1">
        <f t="array" ref="DD104">SUMPRODUCT($H104:$Y104,(TRANSPOSE(DD$2:DD$19)))</f>
        <v>0</v>
      </c>
    </row>
    <row r="105" spans="1:108" ht="13.5" thickBot="1" x14ac:dyDescent="0.25">
      <c r="A105" s="1">
        <v>101</v>
      </c>
      <c r="B105" s="10" t="s">
        <v>13</v>
      </c>
      <c r="C105" s="1" t="s">
        <v>649</v>
      </c>
      <c r="D105" s="1">
        <v>420752254</v>
      </c>
      <c r="F105" s="1" t="s">
        <v>683</v>
      </c>
      <c r="G105" s="1" t="s">
        <v>20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f>SUM(H105:Y105)</f>
        <v>1</v>
      </c>
      <c r="AA105" s="1">
        <f>SUMPRODUCT(H105:Y105,$H$16:$Y$16)</f>
        <v>910</v>
      </c>
      <c r="AB105" s="19" t="s">
        <v>18</v>
      </c>
      <c r="AC105" s="1">
        <v>0</v>
      </c>
      <c r="AD105" s="9"/>
      <c r="AE105" s="1" t="s">
        <v>19</v>
      </c>
      <c r="AF105" s="1">
        <f>AC105</f>
        <v>0</v>
      </c>
      <c r="AG105" s="1">
        <v>1</v>
      </c>
      <c r="AH105" s="1">
        <v>1</v>
      </c>
      <c r="AI105" s="1" t="s">
        <v>18</v>
      </c>
      <c r="AJ105" s="1" t="s">
        <v>18</v>
      </c>
      <c r="AK105" s="1" t="s">
        <v>18</v>
      </c>
      <c r="AL105" s="1" t="s">
        <v>18</v>
      </c>
      <c r="AM105" s="1" t="s">
        <v>18</v>
      </c>
      <c r="AN105" s="2" t="s">
        <v>18</v>
      </c>
      <c r="BO105" s="1">
        <f>SUM($AP105,$AQ105:AQ105)-SUM($CK105:CL105)</f>
        <v>0</v>
      </c>
      <c r="BP105" s="1">
        <f>SUM($AP105,$AQ105:AR105)-SUM($CK105:CM105)</f>
        <v>0</v>
      </c>
      <c r="BQ105" s="1">
        <f>SUM($AP105,$AQ105:AS105)-SUM($CK105:CN105)</f>
        <v>0</v>
      </c>
      <c r="BR105" s="1">
        <f>SUM($AP105,$AQ105:AT105)-SUM($CK105:CO105)</f>
        <v>0</v>
      </c>
      <c r="BS105" s="1">
        <f>SUM($AP105,$AQ105:AU105)-SUM($CK105:CP105)</f>
        <v>-10</v>
      </c>
      <c r="BT105" s="1">
        <f>SUM($AP105,$AQ105:AV105)-SUM($CK105:CQ105)</f>
        <v>-30</v>
      </c>
      <c r="BU105" s="1">
        <f>SUM($AP105,$AQ105:AW105)-SUM($CK105:CR105)</f>
        <v>-60</v>
      </c>
      <c r="BV105" s="1">
        <f>SUM($AP105,$AQ105:AX105)-SUM($CK105:CS105)</f>
        <v>-100</v>
      </c>
      <c r="BW105" s="1">
        <f>SUM($AP105,$AQ105:AY105)-SUM($CK105:CT105)</f>
        <v>-150</v>
      </c>
      <c r="BX105" s="1">
        <f>SUM($AP105,$AQ105:AZ105)-SUM($CK105:CU105)</f>
        <v>-210</v>
      </c>
      <c r="BY105" s="1">
        <f>SUM($AP105,$AQ105:BA105)-SUM($CK105:CV105)</f>
        <v>-280</v>
      </c>
      <c r="BZ105" s="1">
        <f>SUM($AP105,$AQ105:BB105)-SUM($CK105:CW105)</f>
        <v>-360</v>
      </c>
      <c r="CA105" s="1">
        <f>SUM($AP105,$AQ105:BC105)-SUM($CK105:CX105)</f>
        <v>-450</v>
      </c>
      <c r="CB105" s="1">
        <f>SUM($AP105,$AQ105:BD105)-SUM($CK105:CY105)</f>
        <v>-550</v>
      </c>
      <c r="CC105" s="1">
        <f>SUM($AP105,$AQ105:BE105)-SUM($CK105:CZ105)</f>
        <v>-660</v>
      </c>
      <c r="CD105" s="1">
        <f>SUM($AP105,$AQ105:BF105)-SUM($CK105:DA105)</f>
        <v>-780</v>
      </c>
      <c r="CE105" s="1">
        <f>SUM($AP105,$AQ105:BG105)-SUM($CK105:DB105)</f>
        <v>-910</v>
      </c>
      <c r="CF105" s="1">
        <f>SUM($AP105,$AQ105:BH105)-SUM($CK105:DC105)</f>
        <v>-910</v>
      </c>
      <c r="CG105" s="1">
        <f>SUM($AP105,$AQ105:BI105)-SUM($CK105:DD105)</f>
        <v>-910</v>
      </c>
      <c r="CK105" s="1">
        <f t="array" ref="CK105">SUMPRODUCT($H105:$Y105,(TRANSPOSE(CK$2:CK$19)))</f>
        <v>0</v>
      </c>
      <c r="CL105" s="1">
        <f t="array" ref="CL105">SUMPRODUCT($H105:$Y105,(TRANSPOSE(CL$2:CL$19)))</f>
        <v>0</v>
      </c>
      <c r="CM105" s="1">
        <f t="array" ref="CM105">SUMPRODUCT($H105:$Y105,(TRANSPOSE(CM$2:CM$19)))</f>
        <v>0</v>
      </c>
      <c r="CN105" s="1">
        <f t="array" ref="CN105">SUMPRODUCT($H105:$Y105,(TRANSPOSE(CN$2:CN$19)))</f>
        <v>0</v>
      </c>
      <c r="CO105" s="1">
        <f t="array" ref="CO105">SUMPRODUCT($H105:$Y105,(TRANSPOSE(CO$2:CO$19)))</f>
        <v>0</v>
      </c>
      <c r="CP105" s="1">
        <f t="array" ref="CP105">SUMPRODUCT($H105:$Y105,(TRANSPOSE(CP$2:CP$19)))</f>
        <v>10</v>
      </c>
      <c r="CQ105" s="1">
        <f t="array" ref="CQ105">SUMPRODUCT($H105:$Y105,(TRANSPOSE(CQ$2:CQ$19)))</f>
        <v>20</v>
      </c>
      <c r="CR105" s="1">
        <f t="array" ref="CR105">SUMPRODUCT($H105:$Y105,(TRANSPOSE(CR$2:CR$19)))</f>
        <v>30</v>
      </c>
      <c r="CS105" s="1">
        <f t="array" ref="CS105">SUMPRODUCT($H105:$Y105,(TRANSPOSE(CS$2:CS$19)))</f>
        <v>40</v>
      </c>
      <c r="CT105" s="1">
        <f t="array" ref="CT105">SUMPRODUCT($H105:$Y105,(TRANSPOSE(CT$2:CT$19)))</f>
        <v>50</v>
      </c>
      <c r="CU105" s="1">
        <f t="array" ref="CU105">SUMPRODUCT($H105:$Y105,(TRANSPOSE(CU$2:CU$19)))</f>
        <v>60</v>
      </c>
      <c r="CV105" s="1">
        <f t="array" ref="CV105">SUMPRODUCT($H105:$Y105,(TRANSPOSE(CV$2:CV$19)))</f>
        <v>70</v>
      </c>
      <c r="CW105" s="1">
        <f t="array" ref="CW105">SUMPRODUCT($H105:$Y105,(TRANSPOSE(CW$2:CW$19)))</f>
        <v>80</v>
      </c>
      <c r="CX105" s="1">
        <f t="array" ref="CX105">SUMPRODUCT($H105:$Y105,(TRANSPOSE(CX$2:CX$19)))</f>
        <v>90</v>
      </c>
      <c r="CY105" s="1">
        <f t="array" ref="CY105">SUMPRODUCT($H105:$Y105,(TRANSPOSE(CY$2:CY$19)))</f>
        <v>100</v>
      </c>
      <c r="CZ105" s="1">
        <f t="array" ref="CZ105">SUMPRODUCT($H105:$Y105,(TRANSPOSE(CZ$2:CZ$19)))</f>
        <v>110</v>
      </c>
      <c r="DA105" s="1">
        <f t="array" ref="DA105">SUMPRODUCT($H105:$Y105,(TRANSPOSE(DA$2:DA$19)))</f>
        <v>120</v>
      </c>
      <c r="DB105" s="1">
        <f t="array" ref="DB105">SUMPRODUCT($H105:$Y105,(TRANSPOSE(DB$2:DB$19)))</f>
        <v>130</v>
      </c>
      <c r="DC105" s="1">
        <f t="array" ref="DC105">SUMPRODUCT($H105:$Y105,(TRANSPOSE(DC$2:DC$19)))</f>
        <v>0</v>
      </c>
      <c r="DD105" s="1">
        <f t="array" ref="DD105">SUMPRODUCT($H105:$Y105,(TRANSPOSE(DD$2:DD$19)))</f>
        <v>0</v>
      </c>
    </row>
    <row r="106" spans="1:108" ht="13.5" thickBot="1" x14ac:dyDescent="0.25">
      <c r="A106" s="1">
        <v>102</v>
      </c>
      <c r="B106" s="10" t="s">
        <v>682</v>
      </c>
      <c r="C106" s="1" t="s">
        <v>19</v>
      </c>
      <c r="D106" s="1">
        <v>423199571</v>
      </c>
      <c r="F106" s="1" t="s">
        <v>681</v>
      </c>
      <c r="G106" s="1" t="s">
        <v>20</v>
      </c>
      <c r="H106" s="1">
        <v>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f>SUM(H106:Y106)</f>
        <v>1</v>
      </c>
      <c r="AA106" s="1">
        <f>SUMPRODUCT(H106:Y106,$H$16:$Y$16)</f>
        <v>910</v>
      </c>
      <c r="AB106" s="19" t="s">
        <v>18</v>
      </c>
      <c r="AC106" s="1">
        <v>0</v>
      </c>
      <c r="AD106" s="9"/>
      <c r="AE106" s="1" t="s">
        <v>19</v>
      </c>
      <c r="AF106" s="1">
        <f>AC106</f>
        <v>0</v>
      </c>
      <c r="AG106" s="1">
        <v>1</v>
      </c>
      <c r="AH106" s="1">
        <v>1</v>
      </c>
      <c r="AI106" s="1" t="s">
        <v>18</v>
      </c>
      <c r="AJ106" s="1" t="s">
        <v>18</v>
      </c>
      <c r="AK106" s="1" t="s">
        <v>18</v>
      </c>
      <c r="AL106" s="1" t="s">
        <v>18</v>
      </c>
      <c r="AM106" s="1" t="s">
        <v>18</v>
      </c>
      <c r="AN106" s="2" t="s">
        <v>18</v>
      </c>
      <c r="BO106" s="1">
        <f>SUM($AP106,$AQ106:AQ106)-SUM($CK106:CL106)</f>
        <v>0</v>
      </c>
      <c r="BP106" s="1">
        <f>SUM($AP106,$AQ106:AR106)-SUM($CK106:CM106)</f>
        <v>0</v>
      </c>
      <c r="BQ106" s="1">
        <f>SUM($AP106,$AQ106:AS106)-SUM($CK106:CN106)</f>
        <v>0</v>
      </c>
      <c r="BR106" s="1">
        <f>SUM($AP106,$AQ106:AT106)-SUM($CK106:CO106)</f>
        <v>-10</v>
      </c>
      <c r="BS106" s="1">
        <f>SUM($AP106,$AQ106:AU106)-SUM($CK106:CP106)</f>
        <v>-30</v>
      </c>
      <c r="BT106" s="1">
        <f>SUM($AP106,$AQ106:AV106)-SUM($CK106:CQ106)</f>
        <v>-60</v>
      </c>
      <c r="BU106" s="1">
        <f>SUM($AP106,$AQ106:AW106)-SUM($CK106:CR106)</f>
        <v>-100</v>
      </c>
      <c r="BV106" s="1">
        <f>SUM($AP106,$AQ106:AX106)-SUM($CK106:CS106)</f>
        <v>-150</v>
      </c>
      <c r="BW106" s="1">
        <f>SUM($AP106,$AQ106:AY106)-SUM($CK106:CT106)</f>
        <v>-210</v>
      </c>
      <c r="BX106" s="1">
        <f>SUM($AP106,$AQ106:AZ106)-SUM($CK106:CU106)</f>
        <v>-280</v>
      </c>
      <c r="BY106" s="1">
        <f>SUM($AP106,$AQ106:BA106)-SUM($CK106:CV106)</f>
        <v>-360</v>
      </c>
      <c r="BZ106" s="1">
        <f>SUM($AP106,$AQ106:BB106)-SUM($CK106:CW106)</f>
        <v>-450</v>
      </c>
      <c r="CA106" s="1">
        <f>SUM($AP106,$AQ106:BC106)-SUM($CK106:CX106)</f>
        <v>-550</v>
      </c>
      <c r="CB106" s="1">
        <f>SUM($AP106,$AQ106:BD106)-SUM($CK106:CY106)</f>
        <v>-660</v>
      </c>
      <c r="CC106" s="1">
        <f>SUM($AP106,$AQ106:BE106)-SUM($CK106:CZ106)</f>
        <v>-780</v>
      </c>
      <c r="CD106" s="1">
        <f>SUM($AP106,$AQ106:BF106)-SUM($CK106:DA106)</f>
        <v>-910</v>
      </c>
      <c r="CE106" s="1">
        <f>SUM($AP106,$AQ106:BG106)-SUM($CK106:DB106)</f>
        <v>-910</v>
      </c>
      <c r="CF106" s="1">
        <f>SUM($AP106,$AQ106:BH106)-SUM($CK106:DC106)</f>
        <v>-910</v>
      </c>
      <c r="CG106" s="1">
        <f>SUM($AP106,$AQ106:BI106)-SUM($CK106:DD106)</f>
        <v>-910</v>
      </c>
      <c r="CK106" s="1">
        <f t="array" ref="CK106">SUMPRODUCT($H106:$Y106,(TRANSPOSE(CK$2:CK$19)))</f>
        <v>0</v>
      </c>
      <c r="CL106" s="1">
        <f t="array" ref="CL106">SUMPRODUCT($H106:$Y106,(TRANSPOSE(CL$2:CL$19)))</f>
        <v>0</v>
      </c>
      <c r="CM106" s="1">
        <f t="array" ref="CM106">SUMPRODUCT($H106:$Y106,(TRANSPOSE(CM$2:CM$19)))</f>
        <v>0</v>
      </c>
      <c r="CN106" s="1">
        <f t="array" ref="CN106">SUMPRODUCT($H106:$Y106,(TRANSPOSE(CN$2:CN$19)))</f>
        <v>0</v>
      </c>
      <c r="CO106" s="1">
        <f t="array" ref="CO106">SUMPRODUCT($H106:$Y106,(TRANSPOSE(CO$2:CO$19)))</f>
        <v>10</v>
      </c>
      <c r="CP106" s="1">
        <f t="array" ref="CP106">SUMPRODUCT($H106:$Y106,(TRANSPOSE(CP$2:CP$19)))</f>
        <v>20</v>
      </c>
      <c r="CQ106" s="1">
        <f t="array" ref="CQ106">SUMPRODUCT($H106:$Y106,(TRANSPOSE(CQ$2:CQ$19)))</f>
        <v>30</v>
      </c>
      <c r="CR106" s="1">
        <f t="array" ref="CR106">SUMPRODUCT($H106:$Y106,(TRANSPOSE(CR$2:CR$19)))</f>
        <v>40</v>
      </c>
      <c r="CS106" s="1">
        <f t="array" ref="CS106">SUMPRODUCT($H106:$Y106,(TRANSPOSE(CS$2:CS$19)))</f>
        <v>50</v>
      </c>
      <c r="CT106" s="1">
        <f t="array" ref="CT106">SUMPRODUCT($H106:$Y106,(TRANSPOSE(CT$2:CT$19)))</f>
        <v>60</v>
      </c>
      <c r="CU106" s="1">
        <f t="array" ref="CU106">SUMPRODUCT($H106:$Y106,(TRANSPOSE(CU$2:CU$19)))</f>
        <v>70</v>
      </c>
      <c r="CV106" s="1">
        <f t="array" ref="CV106">SUMPRODUCT($H106:$Y106,(TRANSPOSE(CV$2:CV$19)))</f>
        <v>80</v>
      </c>
      <c r="CW106" s="1">
        <f t="array" ref="CW106">SUMPRODUCT($H106:$Y106,(TRANSPOSE(CW$2:CW$19)))</f>
        <v>90</v>
      </c>
      <c r="CX106" s="1">
        <f t="array" ref="CX106">SUMPRODUCT($H106:$Y106,(TRANSPOSE(CX$2:CX$19)))</f>
        <v>100</v>
      </c>
      <c r="CY106" s="1">
        <f t="array" ref="CY106">SUMPRODUCT($H106:$Y106,(TRANSPOSE(CY$2:CY$19)))</f>
        <v>110</v>
      </c>
      <c r="CZ106" s="1">
        <f t="array" ref="CZ106">SUMPRODUCT($H106:$Y106,(TRANSPOSE(CZ$2:CZ$19)))</f>
        <v>120</v>
      </c>
      <c r="DA106" s="1">
        <f t="array" ref="DA106">SUMPRODUCT($H106:$Y106,(TRANSPOSE(DA$2:DA$19)))</f>
        <v>130</v>
      </c>
      <c r="DB106" s="1">
        <f t="array" ref="DB106">SUMPRODUCT($H106:$Y106,(TRANSPOSE(DB$2:DB$19)))</f>
        <v>0</v>
      </c>
      <c r="DC106" s="1">
        <f t="array" ref="DC106">SUMPRODUCT($H106:$Y106,(TRANSPOSE(DC$2:DC$19)))</f>
        <v>0</v>
      </c>
      <c r="DD106" s="1">
        <f t="array" ref="DD106">SUMPRODUCT($H106:$Y106,(TRANSPOSE(DD$2:DD$19)))</f>
        <v>0</v>
      </c>
    </row>
    <row r="107" spans="1:108" ht="13.5" thickBot="1" x14ac:dyDescent="0.25">
      <c r="A107" s="1">
        <v>103</v>
      </c>
      <c r="B107" s="10" t="s">
        <v>12</v>
      </c>
      <c r="C107" s="1" t="s">
        <v>680</v>
      </c>
      <c r="D107" s="1">
        <v>418038912</v>
      </c>
      <c r="F107" s="1" t="s">
        <v>679</v>
      </c>
      <c r="G107" s="1" t="s">
        <v>20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f>SUM(H107:Y107)</f>
        <v>1</v>
      </c>
      <c r="AA107" s="1">
        <f>SUMPRODUCT(H107:Y107,$H$16:$Y$16)</f>
        <v>910</v>
      </c>
      <c r="AB107" s="19" t="s">
        <v>18</v>
      </c>
      <c r="AC107" s="1">
        <v>0</v>
      </c>
      <c r="AD107" s="9"/>
      <c r="AE107" s="1" t="s">
        <v>19</v>
      </c>
      <c r="AF107" s="1">
        <f>AC107</f>
        <v>0</v>
      </c>
      <c r="AG107" s="1">
        <v>1</v>
      </c>
      <c r="AH107" s="1">
        <v>1</v>
      </c>
      <c r="AI107" s="1" t="s">
        <v>18</v>
      </c>
      <c r="AJ107" s="1" t="s">
        <v>18</v>
      </c>
      <c r="AK107" s="1" t="s">
        <v>18</v>
      </c>
      <c r="AL107" s="1" t="s">
        <v>18</v>
      </c>
      <c r="AM107" s="1" t="s">
        <v>18</v>
      </c>
      <c r="AN107" s="2" t="s">
        <v>18</v>
      </c>
      <c r="BO107" s="1">
        <f>SUM($AP107,$AQ107:AQ107)-SUM($CK107:CL107)</f>
        <v>0</v>
      </c>
      <c r="BP107" s="1">
        <f>SUM($AP107,$AQ107:AR107)-SUM($CK107:CM107)</f>
        <v>0</v>
      </c>
      <c r="BQ107" s="1">
        <f>SUM($AP107,$AQ107:AS107)-SUM($CK107:CN107)</f>
        <v>0</v>
      </c>
      <c r="BR107" s="1">
        <f>SUM($AP107,$AQ107:AT107)-SUM($CK107:CO107)</f>
        <v>-10</v>
      </c>
      <c r="BS107" s="1">
        <f>SUM($AP107,$AQ107:AU107)-SUM($CK107:CP107)</f>
        <v>-30</v>
      </c>
      <c r="BT107" s="1">
        <f>SUM($AP107,$AQ107:AV107)-SUM($CK107:CQ107)</f>
        <v>-60</v>
      </c>
      <c r="BU107" s="1">
        <f>SUM($AP107,$AQ107:AW107)-SUM($CK107:CR107)</f>
        <v>-100</v>
      </c>
      <c r="BV107" s="1">
        <f>SUM($AP107,$AQ107:AX107)-SUM($CK107:CS107)</f>
        <v>-150</v>
      </c>
      <c r="BW107" s="1">
        <f>SUM($AP107,$AQ107:AY107)-SUM($CK107:CT107)</f>
        <v>-210</v>
      </c>
      <c r="BX107" s="1">
        <f>SUM($AP107,$AQ107:AZ107)-SUM($CK107:CU107)</f>
        <v>-280</v>
      </c>
      <c r="BY107" s="1">
        <f>SUM($AP107,$AQ107:BA107)-SUM($CK107:CV107)</f>
        <v>-360</v>
      </c>
      <c r="BZ107" s="1">
        <f>SUM($AP107,$AQ107:BB107)-SUM($CK107:CW107)</f>
        <v>-450</v>
      </c>
      <c r="CA107" s="1">
        <f>SUM($AP107,$AQ107:BC107)-SUM($CK107:CX107)</f>
        <v>-550</v>
      </c>
      <c r="CB107" s="1">
        <f>SUM($AP107,$AQ107:BD107)-SUM($CK107:CY107)</f>
        <v>-660</v>
      </c>
      <c r="CC107" s="1">
        <f>SUM($AP107,$AQ107:BE107)-SUM($CK107:CZ107)</f>
        <v>-780</v>
      </c>
      <c r="CD107" s="1">
        <f>SUM($AP107,$AQ107:BF107)-SUM($CK107:DA107)</f>
        <v>-910</v>
      </c>
      <c r="CE107" s="1">
        <f>SUM($AP107,$AQ107:BG107)-SUM($CK107:DB107)</f>
        <v>-910</v>
      </c>
      <c r="CF107" s="1">
        <f>SUM($AP107,$AQ107:BH107)-SUM($CK107:DC107)</f>
        <v>-910</v>
      </c>
      <c r="CG107" s="1">
        <f>SUM($AP107,$AQ107:BI107)-SUM($CK107:DD107)</f>
        <v>-910</v>
      </c>
      <c r="CK107" s="1">
        <f t="array" ref="CK107">SUMPRODUCT($H107:$Y107,(TRANSPOSE(CK$2:CK$19)))</f>
        <v>0</v>
      </c>
      <c r="CL107" s="1">
        <f t="array" ref="CL107">SUMPRODUCT($H107:$Y107,(TRANSPOSE(CL$2:CL$19)))</f>
        <v>0</v>
      </c>
      <c r="CM107" s="1">
        <f t="array" ref="CM107">SUMPRODUCT($H107:$Y107,(TRANSPOSE(CM$2:CM$19)))</f>
        <v>0</v>
      </c>
      <c r="CN107" s="1">
        <f t="array" ref="CN107">SUMPRODUCT($H107:$Y107,(TRANSPOSE(CN$2:CN$19)))</f>
        <v>0</v>
      </c>
      <c r="CO107" s="1">
        <f t="array" ref="CO107">SUMPRODUCT($H107:$Y107,(TRANSPOSE(CO$2:CO$19)))</f>
        <v>10</v>
      </c>
      <c r="CP107" s="1">
        <f t="array" ref="CP107">SUMPRODUCT($H107:$Y107,(TRANSPOSE(CP$2:CP$19)))</f>
        <v>20</v>
      </c>
      <c r="CQ107" s="1">
        <f t="array" ref="CQ107">SUMPRODUCT($H107:$Y107,(TRANSPOSE(CQ$2:CQ$19)))</f>
        <v>30</v>
      </c>
      <c r="CR107" s="1">
        <f t="array" ref="CR107">SUMPRODUCT($H107:$Y107,(TRANSPOSE(CR$2:CR$19)))</f>
        <v>40</v>
      </c>
      <c r="CS107" s="1">
        <f t="array" ref="CS107">SUMPRODUCT($H107:$Y107,(TRANSPOSE(CS$2:CS$19)))</f>
        <v>50</v>
      </c>
      <c r="CT107" s="1">
        <f t="array" ref="CT107">SUMPRODUCT($H107:$Y107,(TRANSPOSE(CT$2:CT$19)))</f>
        <v>60</v>
      </c>
      <c r="CU107" s="1">
        <f t="array" ref="CU107">SUMPRODUCT($H107:$Y107,(TRANSPOSE(CU$2:CU$19)))</f>
        <v>70</v>
      </c>
      <c r="CV107" s="1">
        <f t="array" ref="CV107">SUMPRODUCT($H107:$Y107,(TRANSPOSE(CV$2:CV$19)))</f>
        <v>80</v>
      </c>
      <c r="CW107" s="1">
        <f t="array" ref="CW107">SUMPRODUCT($H107:$Y107,(TRANSPOSE(CW$2:CW$19)))</f>
        <v>90</v>
      </c>
      <c r="CX107" s="1">
        <f t="array" ref="CX107">SUMPRODUCT($H107:$Y107,(TRANSPOSE(CX$2:CX$19)))</f>
        <v>100</v>
      </c>
      <c r="CY107" s="1">
        <f t="array" ref="CY107">SUMPRODUCT($H107:$Y107,(TRANSPOSE(CY$2:CY$19)))</f>
        <v>110</v>
      </c>
      <c r="CZ107" s="1">
        <f t="array" ref="CZ107">SUMPRODUCT($H107:$Y107,(TRANSPOSE(CZ$2:CZ$19)))</f>
        <v>120</v>
      </c>
      <c r="DA107" s="1">
        <f t="array" ref="DA107">SUMPRODUCT($H107:$Y107,(TRANSPOSE(DA$2:DA$19)))</f>
        <v>130</v>
      </c>
      <c r="DB107" s="1">
        <f t="array" ref="DB107">SUMPRODUCT($H107:$Y107,(TRANSPOSE(DB$2:DB$19)))</f>
        <v>0</v>
      </c>
      <c r="DC107" s="1">
        <f t="array" ref="DC107">SUMPRODUCT($H107:$Y107,(TRANSPOSE(DC$2:DC$19)))</f>
        <v>0</v>
      </c>
      <c r="DD107" s="1">
        <f t="array" ref="DD107">SUMPRODUCT($H107:$Y107,(TRANSPOSE(DD$2:DD$19)))</f>
        <v>0</v>
      </c>
    </row>
    <row r="108" spans="1:108" ht="13.5" thickBot="1" x14ac:dyDescent="0.25">
      <c r="A108" s="1">
        <v>104</v>
      </c>
      <c r="B108" s="10" t="s">
        <v>11</v>
      </c>
      <c r="C108" s="1" t="s">
        <v>643</v>
      </c>
      <c r="D108" s="1">
        <v>417871986</v>
      </c>
      <c r="F108" s="1" t="s">
        <v>678</v>
      </c>
      <c r="G108" s="1" t="s">
        <v>20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f>SUM(H108:Y108)</f>
        <v>1</v>
      </c>
      <c r="AA108" s="1">
        <f>SUMPRODUCT(H108:Y108,$H$16:$Y$16)</f>
        <v>910</v>
      </c>
      <c r="AB108" s="19" t="s">
        <v>18</v>
      </c>
      <c r="AC108" s="1">
        <v>0</v>
      </c>
      <c r="AD108" s="9"/>
      <c r="AE108" s="1" t="s">
        <v>19</v>
      </c>
      <c r="AF108" s="1">
        <f>AC108</f>
        <v>0</v>
      </c>
      <c r="AG108" s="1">
        <v>1</v>
      </c>
      <c r="AH108" s="1">
        <v>1</v>
      </c>
      <c r="AI108" s="1" t="s">
        <v>18</v>
      </c>
      <c r="AJ108" s="1" t="s">
        <v>18</v>
      </c>
      <c r="AK108" s="1" t="s">
        <v>18</v>
      </c>
      <c r="AL108" s="1" t="s">
        <v>18</v>
      </c>
      <c r="AM108" s="1" t="s">
        <v>18</v>
      </c>
      <c r="AN108" s="2" t="s">
        <v>18</v>
      </c>
      <c r="BO108" s="1">
        <f>SUM($AP108,$AQ108:AQ108)-SUM($CK108:CL108)</f>
        <v>0</v>
      </c>
      <c r="BP108" s="1">
        <f>SUM($AP108,$AQ108:AR108)-SUM($CK108:CM108)</f>
        <v>0</v>
      </c>
      <c r="BQ108" s="1">
        <f>SUM($AP108,$AQ108:AS108)-SUM($CK108:CN108)</f>
        <v>-10</v>
      </c>
      <c r="BR108" s="1">
        <f>SUM($AP108,$AQ108:AT108)-SUM($CK108:CO108)</f>
        <v>-30</v>
      </c>
      <c r="BS108" s="1">
        <f>SUM($AP108,$AQ108:AU108)-SUM($CK108:CP108)</f>
        <v>-60</v>
      </c>
      <c r="BT108" s="1">
        <f>SUM($AP108,$AQ108:AV108)-SUM($CK108:CQ108)</f>
        <v>-100</v>
      </c>
      <c r="BU108" s="1">
        <f>SUM($AP108,$AQ108:AW108)-SUM($CK108:CR108)</f>
        <v>-150</v>
      </c>
      <c r="BV108" s="1">
        <f>SUM($AP108,$AQ108:AX108)-SUM($CK108:CS108)</f>
        <v>-210</v>
      </c>
      <c r="BW108" s="1">
        <f>SUM($AP108,$AQ108:AY108)-SUM($CK108:CT108)</f>
        <v>-280</v>
      </c>
      <c r="BX108" s="1">
        <f>SUM($AP108,$AQ108:AZ108)-SUM($CK108:CU108)</f>
        <v>-360</v>
      </c>
      <c r="BY108" s="1">
        <f>SUM($AP108,$AQ108:BA108)-SUM($CK108:CV108)</f>
        <v>-450</v>
      </c>
      <c r="BZ108" s="1">
        <f>SUM($AP108,$AQ108:BB108)-SUM($CK108:CW108)</f>
        <v>-550</v>
      </c>
      <c r="CA108" s="1">
        <f>SUM($AP108,$AQ108:BC108)-SUM($CK108:CX108)</f>
        <v>-660</v>
      </c>
      <c r="CB108" s="1">
        <f>SUM($AP108,$AQ108:BD108)-SUM($CK108:CY108)</f>
        <v>-780</v>
      </c>
      <c r="CC108" s="1">
        <f>SUM($AP108,$AQ108:BE108)-SUM($CK108:CZ108)</f>
        <v>-910</v>
      </c>
      <c r="CD108" s="1">
        <f>SUM($AP108,$AQ108:BF108)-SUM($CK108:DA108)</f>
        <v>-910</v>
      </c>
      <c r="CE108" s="1">
        <f>SUM($AP108,$AQ108:BG108)-SUM($CK108:DB108)</f>
        <v>-910</v>
      </c>
      <c r="CF108" s="1">
        <f>SUM($AP108,$AQ108:BH108)-SUM($CK108:DC108)</f>
        <v>-910</v>
      </c>
      <c r="CG108" s="1">
        <f>SUM($AP108,$AQ108:BI108)-SUM($CK108:DD108)</f>
        <v>-910</v>
      </c>
      <c r="CK108" s="1">
        <f t="array" ref="CK108">SUMPRODUCT($H108:$Y108,(TRANSPOSE(CK$2:CK$19)))</f>
        <v>0</v>
      </c>
      <c r="CL108" s="1">
        <f t="array" ref="CL108">SUMPRODUCT($H108:$Y108,(TRANSPOSE(CL$2:CL$19)))</f>
        <v>0</v>
      </c>
      <c r="CM108" s="1">
        <f t="array" ref="CM108">SUMPRODUCT($H108:$Y108,(TRANSPOSE(CM$2:CM$19)))</f>
        <v>0</v>
      </c>
      <c r="CN108" s="1">
        <f t="array" ref="CN108">SUMPRODUCT($H108:$Y108,(TRANSPOSE(CN$2:CN$19)))</f>
        <v>10</v>
      </c>
      <c r="CO108" s="1">
        <f t="array" ref="CO108">SUMPRODUCT($H108:$Y108,(TRANSPOSE(CO$2:CO$19)))</f>
        <v>20</v>
      </c>
      <c r="CP108" s="1">
        <f t="array" ref="CP108">SUMPRODUCT($H108:$Y108,(TRANSPOSE(CP$2:CP$19)))</f>
        <v>30</v>
      </c>
      <c r="CQ108" s="1">
        <f t="array" ref="CQ108">SUMPRODUCT($H108:$Y108,(TRANSPOSE(CQ$2:CQ$19)))</f>
        <v>40</v>
      </c>
      <c r="CR108" s="1">
        <f t="array" ref="CR108">SUMPRODUCT($H108:$Y108,(TRANSPOSE(CR$2:CR$19)))</f>
        <v>50</v>
      </c>
      <c r="CS108" s="1">
        <f t="array" ref="CS108">SUMPRODUCT($H108:$Y108,(TRANSPOSE(CS$2:CS$19)))</f>
        <v>60</v>
      </c>
      <c r="CT108" s="1">
        <f t="array" ref="CT108">SUMPRODUCT($H108:$Y108,(TRANSPOSE(CT$2:CT$19)))</f>
        <v>70</v>
      </c>
      <c r="CU108" s="1">
        <f t="array" ref="CU108">SUMPRODUCT($H108:$Y108,(TRANSPOSE(CU$2:CU$19)))</f>
        <v>80</v>
      </c>
      <c r="CV108" s="1">
        <f t="array" ref="CV108">SUMPRODUCT($H108:$Y108,(TRANSPOSE(CV$2:CV$19)))</f>
        <v>90</v>
      </c>
      <c r="CW108" s="1">
        <f t="array" ref="CW108">SUMPRODUCT($H108:$Y108,(TRANSPOSE(CW$2:CW$19)))</f>
        <v>100</v>
      </c>
      <c r="CX108" s="1">
        <f t="array" ref="CX108">SUMPRODUCT($H108:$Y108,(TRANSPOSE(CX$2:CX$19)))</f>
        <v>110</v>
      </c>
      <c r="CY108" s="1">
        <f t="array" ref="CY108">SUMPRODUCT($H108:$Y108,(TRANSPOSE(CY$2:CY$19)))</f>
        <v>120</v>
      </c>
      <c r="CZ108" s="1">
        <f t="array" ref="CZ108">SUMPRODUCT($H108:$Y108,(TRANSPOSE(CZ$2:CZ$19)))</f>
        <v>130</v>
      </c>
      <c r="DA108" s="1">
        <f t="array" ref="DA108">SUMPRODUCT($H108:$Y108,(TRANSPOSE(DA$2:DA$19)))</f>
        <v>0</v>
      </c>
      <c r="DB108" s="1">
        <f t="array" ref="DB108">SUMPRODUCT($H108:$Y108,(TRANSPOSE(DB$2:DB$19)))</f>
        <v>0</v>
      </c>
      <c r="DC108" s="1">
        <f t="array" ref="DC108">SUMPRODUCT($H108:$Y108,(TRANSPOSE(DC$2:DC$19)))</f>
        <v>0</v>
      </c>
      <c r="DD108" s="1">
        <f t="array" ref="DD108">SUMPRODUCT($H108:$Y108,(TRANSPOSE(DD$2:DD$19)))</f>
        <v>0</v>
      </c>
    </row>
    <row r="109" spans="1:108" ht="13.5" thickBot="1" x14ac:dyDescent="0.25">
      <c r="A109" s="1">
        <v>105</v>
      </c>
      <c r="B109" s="10" t="s">
        <v>677</v>
      </c>
      <c r="C109" s="1" t="s">
        <v>19</v>
      </c>
      <c r="D109" s="1">
        <v>408540920</v>
      </c>
      <c r="F109" s="1" t="s">
        <v>676</v>
      </c>
      <c r="G109" s="1" t="s">
        <v>20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f>SUM(H109:Y109)</f>
        <v>1</v>
      </c>
      <c r="AA109" s="1">
        <f>SUMPRODUCT(H109:Y109,$H$16:$Y$16)</f>
        <v>910</v>
      </c>
      <c r="AB109" s="19" t="s">
        <v>18</v>
      </c>
      <c r="AC109" s="1">
        <v>0</v>
      </c>
      <c r="AD109" s="9"/>
      <c r="AE109" s="1" t="s">
        <v>19</v>
      </c>
      <c r="AF109" s="1">
        <f>AC109</f>
        <v>0</v>
      </c>
      <c r="AG109" s="1">
        <v>1</v>
      </c>
      <c r="AH109" s="1">
        <v>1</v>
      </c>
      <c r="AI109" s="1" t="s">
        <v>18</v>
      </c>
      <c r="AJ109" s="1" t="s">
        <v>18</v>
      </c>
      <c r="AK109" s="1" t="s">
        <v>18</v>
      </c>
      <c r="AL109" s="1" t="s">
        <v>18</v>
      </c>
      <c r="AM109" s="1" t="s">
        <v>18</v>
      </c>
      <c r="AN109" s="2" t="s">
        <v>18</v>
      </c>
      <c r="BO109" s="1">
        <f>SUM($AP109,$AQ109:AQ109)-SUM($CK109:CL109)</f>
        <v>0</v>
      </c>
      <c r="BP109" s="1">
        <f>SUM($AP109,$AQ109:AR109)-SUM($CK109:CM109)</f>
        <v>0</v>
      </c>
      <c r="BQ109" s="1">
        <f>SUM($AP109,$AQ109:AS109)-SUM($CK109:CN109)</f>
        <v>-10</v>
      </c>
      <c r="BR109" s="1">
        <f>SUM($AP109,$AQ109:AT109)-SUM($CK109:CO109)</f>
        <v>-30</v>
      </c>
      <c r="BS109" s="1">
        <f>SUM($AP109,$AQ109:AU109)-SUM($CK109:CP109)</f>
        <v>-60</v>
      </c>
      <c r="BT109" s="1">
        <f>SUM($AP109,$AQ109:AV109)-SUM($CK109:CQ109)</f>
        <v>-100</v>
      </c>
      <c r="BU109" s="1">
        <f>SUM($AP109,$AQ109:AW109)-SUM($CK109:CR109)</f>
        <v>-150</v>
      </c>
      <c r="BV109" s="1">
        <f>SUM($AP109,$AQ109:AX109)-SUM($CK109:CS109)</f>
        <v>-210</v>
      </c>
      <c r="BW109" s="1">
        <f>SUM($AP109,$AQ109:AY109)-SUM($CK109:CT109)</f>
        <v>-280</v>
      </c>
      <c r="BX109" s="1">
        <f>SUM($AP109,$AQ109:AZ109)-SUM($CK109:CU109)</f>
        <v>-360</v>
      </c>
      <c r="BY109" s="1">
        <f>SUM($AP109,$AQ109:BA109)-SUM($CK109:CV109)</f>
        <v>-450</v>
      </c>
      <c r="BZ109" s="1">
        <f>SUM($AP109,$AQ109:BB109)-SUM($CK109:CW109)</f>
        <v>-550</v>
      </c>
      <c r="CA109" s="1">
        <f>SUM($AP109,$AQ109:BC109)-SUM($CK109:CX109)</f>
        <v>-660</v>
      </c>
      <c r="CB109" s="1">
        <f>SUM($AP109,$AQ109:BD109)-SUM($CK109:CY109)</f>
        <v>-780</v>
      </c>
      <c r="CC109" s="1">
        <f>SUM($AP109,$AQ109:BE109)-SUM($CK109:CZ109)</f>
        <v>-910</v>
      </c>
      <c r="CD109" s="1">
        <f>SUM($AP109,$AQ109:BF109)-SUM($CK109:DA109)</f>
        <v>-910</v>
      </c>
      <c r="CE109" s="1">
        <f>SUM($AP109,$AQ109:BG109)-SUM($CK109:DB109)</f>
        <v>-910</v>
      </c>
      <c r="CF109" s="1">
        <f>SUM($AP109,$AQ109:BH109)-SUM($CK109:DC109)</f>
        <v>-910</v>
      </c>
      <c r="CG109" s="1">
        <f>SUM($AP109,$AQ109:BI109)-SUM($CK109:DD109)</f>
        <v>-910</v>
      </c>
      <c r="CK109" s="1">
        <f t="array" ref="CK109">SUMPRODUCT($H109:$Y109,(TRANSPOSE(CK$2:CK$19)))</f>
        <v>0</v>
      </c>
      <c r="CL109" s="1">
        <f t="array" ref="CL109">SUMPRODUCT($H109:$Y109,(TRANSPOSE(CL$2:CL$19)))</f>
        <v>0</v>
      </c>
      <c r="CM109" s="1">
        <f t="array" ref="CM109">SUMPRODUCT($H109:$Y109,(TRANSPOSE(CM$2:CM$19)))</f>
        <v>0</v>
      </c>
      <c r="CN109" s="1">
        <f t="array" ref="CN109">SUMPRODUCT($H109:$Y109,(TRANSPOSE(CN$2:CN$19)))</f>
        <v>10</v>
      </c>
      <c r="CO109" s="1">
        <f t="array" ref="CO109">SUMPRODUCT($H109:$Y109,(TRANSPOSE(CO$2:CO$19)))</f>
        <v>20</v>
      </c>
      <c r="CP109" s="1">
        <f t="array" ref="CP109">SUMPRODUCT($H109:$Y109,(TRANSPOSE(CP$2:CP$19)))</f>
        <v>30</v>
      </c>
      <c r="CQ109" s="1">
        <f t="array" ref="CQ109">SUMPRODUCT($H109:$Y109,(TRANSPOSE(CQ$2:CQ$19)))</f>
        <v>40</v>
      </c>
      <c r="CR109" s="1">
        <f t="array" ref="CR109">SUMPRODUCT($H109:$Y109,(TRANSPOSE(CR$2:CR$19)))</f>
        <v>50</v>
      </c>
      <c r="CS109" s="1">
        <f t="array" ref="CS109">SUMPRODUCT($H109:$Y109,(TRANSPOSE(CS$2:CS$19)))</f>
        <v>60</v>
      </c>
      <c r="CT109" s="1">
        <f t="array" ref="CT109">SUMPRODUCT($H109:$Y109,(TRANSPOSE(CT$2:CT$19)))</f>
        <v>70</v>
      </c>
      <c r="CU109" s="1">
        <f t="array" ref="CU109">SUMPRODUCT($H109:$Y109,(TRANSPOSE(CU$2:CU$19)))</f>
        <v>80</v>
      </c>
      <c r="CV109" s="1">
        <f t="array" ref="CV109">SUMPRODUCT($H109:$Y109,(TRANSPOSE(CV$2:CV$19)))</f>
        <v>90</v>
      </c>
      <c r="CW109" s="1">
        <f t="array" ref="CW109">SUMPRODUCT($H109:$Y109,(TRANSPOSE(CW$2:CW$19)))</f>
        <v>100</v>
      </c>
      <c r="CX109" s="1">
        <f t="array" ref="CX109">SUMPRODUCT($H109:$Y109,(TRANSPOSE(CX$2:CX$19)))</f>
        <v>110</v>
      </c>
      <c r="CY109" s="1">
        <f t="array" ref="CY109">SUMPRODUCT($H109:$Y109,(TRANSPOSE(CY$2:CY$19)))</f>
        <v>120</v>
      </c>
      <c r="CZ109" s="1">
        <f t="array" ref="CZ109">SUMPRODUCT($H109:$Y109,(TRANSPOSE(CZ$2:CZ$19)))</f>
        <v>130</v>
      </c>
      <c r="DA109" s="1">
        <f t="array" ref="DA109">SUMPRODUCT($H109:$Y109,(TRANSPOSE(DA$2:DA$19)))</f>
        <v>0</v>
      </c>
      <c r="DB109" s="1">
        <f t="array" ref="DB109">SUMPRODUCT($H109:$Y109,(TRANSPOSE(DB$2:DB$19)))</f>
        <v>0</v>
      </c>
      <c r="DC109" s="1">
        <f t="array" ref="DC109">SUMPRODUCT($H109:$Y109,(TRANSPOSE(DC$2:DC$19)))</f>
        <v>0</v>
      </c>
      <c r="DD109" s="1">
        <f t="array" ref="DD109">SUMPRODUCT($H109:$Y109,(TRANSPOSE(DD$2:DD$19)))</f>
        <v>0</v>
      </c>
    </row>
    <row r="110" spans="1:108" x14ac:dyDescent="0.2">
      <c r="A110" s="1">
        <v>106</v>
      </c>
      <c r="B110" s="10" t="s">
        <v>675</v>
      </c>
      <c r="C110" s="1" t="s">
        <v>19</v>
      </c>
      <c r="D110" s="1">
        <v>424622624</v>
      </c>
      <c r="F110" s="1" t="s">
        <v>674</v>
      </c>
      <c r="G110" s="1" t="s">
        <v>20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f>SUM(H110:Y110)</f>
        <v>1</v>
      </c>
      <c r="AA110" s="1">
        <f>SUMPRODUCT(H110:Y110,$H$16:$Y$16)</f>
        <v>910</v>
      </c>
      <c r="AB110" s="18" t="s">
        <v>18</v>
      </c>
      <c r="AC110" s="1">
        <v>0</v>
      </c>
      <c r="AD110" s="9"/>
      <c r="AE110" s="1" t="s">
        <v>19</v>
      </c>
      <c r="AF110" s="1">
        <f>AC110</f>
        <v>0</v>
      </c>
      <c r="AG110" s="1">
        <v>1</v>
      </c>
      <c r="AH110" s="1">
        <v>1</v>
      </c>
      <c r="AI110" s="1" t="s">
        <v>18</v>
      </c>
      <c r="AJ110" s="1" t="s">
        <v>18</v>
      </c>
      <c r="AK110" s="1" t="s">
        <v>18</v>
      </c>
      <c r="AL110" s="1" t="s">
        <v>18</v>
      </c>
      <c r="AM110" s="1" t="s">
        <v>18</v>
      </c>
      <c r="AN110" s="1" t="s">
        <v>18</v>
      </c>
      <c r="BO110" s="1">
        <f>SUM($AP110,$AQ110:AQ110)-SUM($CK110:CL110)</f>
        <v>0</v>
      </c>
      <c r="BP110" s="1">
        <f>SUM($AP110,$AQ110:AR110)-SUM($CK110:CM110)</f>
        <v>0</v>
      </c>
      <c r="BQ110" s="1">
        <f>SUM($AP110,$AQ110:AS110)-SUM($CK110:CN110)</f>
        <v>-10</v>
      </c>
      <c r="BR110" s="1">
        <f>SUM($AP110,$AQ110:AT110)-SUM($CK110:CO110)</f>
        <v>-30</v>
      </c>
      <c r="BS110" s="1">
        <f>SUM($AP110,$AQ110:AU110)-SUM($CK110:CP110)</f>
        <v>-60</v>
      </c>
      <c r="BT110" s="1">
        <f>SUM($AP110,$AQ110:AV110)-SUM($CK110:CQ110)</f>
        <v>-100</v>
      </c>
      <c r="BU110" s="1">
        <f>SUM($AP110,$AQ110:AW110)-SUM($CK110:CR110)</f>
        <v>-150</v>
      </c>
      <c r="BV110" s="1">
        <f>SUM($AP110,$AQ110:AX110)-SUM($CK110:CS110)</f>
        <v>-210</v>
      </c>
      <c r="BW110" s="1">
        <f>SUM($AP110,$AQ110:AY110)-SUM($CK110:CT110)</f>
        <v>-280</v>
      </c>
      <c r="BX110" s="1">
        <f>SUM($AP110,$AQ110:AZ110)-SUM($CK110:CU110)</f>
        <v>-360</v>
      </c>
      <c r="BY110" s="1">
        <f>SUM($AP110,$AQ110:BA110)-SUM($CK110:CV110)</f>
        <v>-450</v>
      </c>
      <c r="BZ110" s="1">
        <f>SUM($AP110,$AQ110:BB110)-SUM($CK110:CW110)</f>
        <v>-550</v>
      </c>
      <c r="CA110" s="1">
        <f>SUM($AP110,$AQ110:BC110)-SUM($CK110:CX110)</f>
        <v>-660</v>
      </c>
      <c r="CB110" s="1">
        <f>SUM($AP110,$AQ110:BD110)-SUM($CK110:CY110)</f>
        <v>-780</v>
      </c>
      <c r="CC110" s="1">
        <f>SUM($AP110,$AQ110:BE110)-SUM($CK110:CZ110)</f>
        <v>-910</v>
      </c>
      <c r="CD110" s="1">
        <f>SUM($AP110,$AQ110:BF110)-SUM($CK110:DA110)</f>
        <v>-910</v>
      </c>
      <c r="CE110" s="1">
        <f>SUM($AP110,$AQ110:BG110)-SUM($CK110:DB110)</f>
        <v>-910</v>
      </c>
      <c r="CF110" s="1">
        <f>SUM($AP110,$AQ110:BH110)-SUM($CK110:DC110)</f>
        <v>-910</v>
      </c>
      <c r="CG110" s="1">
        <f>SUM($AP110,$AQ110:BI110)-SUM($CK110:DD110)</f>
        <v>-910</v>
      </c>
      <c r="CK110" s="1">
        <f t="array" ref="CK110">SUMPRODUCT($H110:$Y110,(TRANSPOSE(CK$2:CK$19)))</f>
        <v>0</v>
      </c>
      <c r="CL110" s="1">
        <f t="array" ref="CL110">SUMPRODUCT($H110:$Y110,(TRANSPOSE(CL$2:CL$19)))</f>
        <v>0</v>
      </c>
      <c r="CM110" s="1">
        <f t="array" ref="CM110">SUMPRODUCT($H110:$Y110,(TRANSPOSE(CM$2:CM$19)))</f>
        <v>0</v>
      </c>
      <c r="CN110" s="1">
        <f t="array" ref="CN110">SUMPRODUCT($H110:$Y110,(TRANSPOSE(CN$2:CN$19)))</f>
        <v>10</v>
      </c>
      <c r="CO110" s="1">
        <f t="array" ref="CO110">SUMPRODUCT($H110:$Y110,(TRANSPOSE(CO$2:CO$19)))</f>
        <v>20</v>
      </c>
      <c r="CP110" s="1">
        <f t="array" ref="CP110">SUMPRODUCT($H110:$Y110,(TRANSPOSE(CP$2:CP$19)))</f>
        <v>30</v>
      </c>
      <c r="CQ110" s="1">
        <f t="array" ref="CQ110">SUMPRODUCT($H110:$Y110,(TRANSPOSE(CQ$2:CQ$19)))</f>
        <v>40</v>
      </c>
      <c r="CR110" s="1">
        <f t="array" ref="CR110">SUMPRODUCT($H110:$Y110,(TRANSPOSE(CR$2:CR$19)))</f>
        <v>50</v>
      </c>
      <c r="CS110" s="1">
        <f t="array" ref="CS110">SUMPRODUCT($H110:$Y110,(TRANSPOSE(CS$2:CS$19)))</f>
        <v>60</v>
      </c>
      <c r="CT110" s="1">
        <f t="array" ref="CT110">SUMPRODUCT($H110:$Y110,(TRANSPOSE(CT$2:CT$19)))</f>
        <v>70</v>
      </c>
      <c r="CU110" s="1">
        <f t="array" ref="CU110">SUMPRODUCT($H110:$Y110,(TRANSPOSE(CU$2:CU$19)))</f>
        <v>80</v>
      </c>
      <c r="CV110" s="1">
        <f t="array" ref="CV110">SUMPRODUCT($H110:$Y110,(TRANSPOSE(CV$2:CV$19)))</f>
        <v>90</v>
      </c>
      <c r="CW110" s="1">
        <f t="array" ref="CW110">SUMPRODUCT($H110:$Y110,(TRANSPOSE(CW$2:CW$19)))</f>
        <v>100</v>
      </c>
      <c r="CX110" s="1">
        <f t="array" ref="CX110">SUMPRODUCT($H110:$Y110,(TRANSPOSE(CX$2:CX$19)))</f>
        <v>110</v>
      </c>
      <c r="CY110" s="1">
        <f t="array" ref="CY110">SUMPRODUCT($H110:$Y110,(TRANSPOSE(CY$2:CY$19)))</f>
        <v>120</v>
      </c>
      <c r="CZ110" s="1">
        <f t="array" ref="CZ110">SUMPRODUCT($H110:$Y110,(TRANSPOSE(CZ$2:CZ$19)))</f>
        <v>130</v>
      </c>
      <c r="DA110" s="1">
        <f t="array" ref="DA110">SUMPRODUCT($H110:$Y110,(TRANSPOSE(DA$2:DA$19)))</f>
        <v>0</v>
      </c>
      <c r="DB110" s="1">
        <f t="array" ref="DB110">SUMPRODUCT($H110:$Y110,(TRANSPOSE(DB$2:DB$19)))</f>
        <v>0</v>
      </c>
      <c r="DC110" s="1">
        <f t="array" ref="DC110">SUMPRODUCT($H110:$Y110,(TRANSPOSE(DC$2:DC$19)))</f>
        <v>0</v>
      </c>
      <c r="DD110" s="1">
        <f t="array" ref="DD110">SUMPRODUCT($H110:$Y110,(TRANSPOSE(DD$2:DD$19)))</f>
        <v>0</v>
      </c>
    </row>
    <row r="111" spans="1:108" x14ac:dyDescent="0.2">
      <c r="A111" s="1">
        <v>107</v>
      </c>
      <c r="B111" s="10" t="s">
        <v>673</v>
      </c>
      <c r="C111" s="1" t="s">
        <v>649</v>
      </c>
      <c r="D111" s="1">
        <v>417593371</v>
      </c>
      <c r="F111" s="1" t="s">
        <v>672</v>
      </c>
      <c r="G111" s="1" t="s">
        <v>20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f>SUM(H111:Y111)</f>
        <v>1</v>
      </c>
      <c r="AA111" s="1">
        <f>SUMPRODUCT(H111:Y111,$H$16:$Y$16)</f>
        <v>910</v>
      </c>
      <c r="AB111" s="18" t="s">
        <v>18</v>
      </c>
      <c r="AC111" s="1">
        <v>0</v>
      </c>
      <c r="AD111" s="9"/>
      <c r="AE111" s="1" t="s">
        <v>19</v>
      </c>
      <c r="AF111" s="1">
        <f>AC111</f>
        <v>0</v>
      </c>
      <c r="AG111" s="1">
        <v>1</v>
      </c>
      <c r="AH111" s="1">
        <v>1</v>
      </c>
      <c r="AI111" s="1" t="s">
        <v>18</v>
      </c>
      <c r="AJ111" s="1" t="s">
        <v>18</v>
      </c>
      <c r="AK111" s="1" t="s">
        <v>18</v>
      </c>
      <c r="AL111" s="1" t="s">
        <v>18</v>
      </c>
      <c r="AM111" s="1" t="s">
        <v>18</v>
      </c>
      <c r="AN111" s="2" t="s">
        <v>18</v>
      </c>
      <c r="BO111" s="1">
        <f>SUM($AP111,$AQ111:AQ111)-SUM($CK111:CL111)</f>
        <v>0</v>
      </c>
      <c r="BP111" s="1">
        <f>SUM($AP111,$AQ111:AR111)-SUM($CK111:CM111)</f>
        <v>-10</v>
      </c>
      <c r="BQ111" s="1">
        <f>SUM($AP111,$AQ111:AS111)-SUM($CK111:CN111)</f>
        <v>-30</v>
      </c>
      <c r="BR111" s="1">
        <f>SUM($AP111,$AQ111:AT111)-SUM($CK111:CO111)</f>
        <v>-60</v>
      </c>
      <c r="BS111" s="1">
        <f>SUM($AP111,$AQ111:AU111)-SUM($CK111:CP111)</f>
        <v>-100</v>
      </c>
      <c r="BT111" s="1">
        <f>SUM($AP111,$AQ111:AV111)-SUM($CK111:CQ111)</f>
        <v>-150</v>
      </c>
      <c r="BU111" s="1">
        <f>SUM($AP111,$AQ111:AW111)-SUM($CK111:CR111)</f>
        <v>-210</v>
      </c>
      <c r="BV111" s="1">
        <f>SUM($AP111,$AQ111:AX111)-SUM($CK111:CS111)</f>
        <v>-280</v>
      </c>
      <c r="BW111" s="1">
        <f>SUM($AP111,$AQ111:AY111)-SUM($CK111:CT111)</f>
        <v>-360</v>
      </c>
      <c r="BX111" s="1">
        <f>SUM($AP111,$AQ111:AZ111)-SUM($CK111:CU111)</f>
        <v>-450</v>
      </c>
      <c r="BY111" s="1">
        <f>SUM($AP111,$AQ111:BA111)-SUM($CK111:CV111)</f>
        <v>-550</v>
      </c>
      <c r="BZ111" s="1">
        <f>SUM($AP111,$AQ111:BB111)-SUM($CK111:CW111)</f>
        <v>-660</v>
      </c>
      <c r="CA111" s="1">
        <f>SUM($AP111,$AQ111:BC111)-SUM($CK111:CX111)</f>
        <v>-780</v>
      </c>
      <c r="CB111" s="1">
        <f>SUM($AP111,$AQ111:BD111)-SUM($CK111:CY111)</f>
        <v>-910</v>
      </c>
      <c r="CC111" s="1">
        <f>SUM($AP111,$AQ111:BE111)-SUM($CK111:CZ111)</f>
        <v>-910</v>
      </c>
      <c r="CD111" s="1">
        <f>SUM($AP111,$AQ111:BF111)-SUM($CK111:DA111)</f>
        <v>-910</v>
      </c>
      <c r="CE111" s="1">
        <f>SUM($AP111,$AQ111:BG111)-SUM($CK111:DB111)</f>
        <v>-910</v>
      </c>
      <c r="CF111" s="1">
        <f>SUM($AP111,$AQ111:BH111)-SUM($CK111:DC111)</f>
        <v>-910</v>
      </c>
      <c r="CG111" s="1">
        <f>SUM($AP111,$AQ111:BI111)-SUM($CK111:DD111)</f>
        <v>-910</v>
      </c>
      <c r="CK111" s="1">
        <f t="array" ref="CK111">SUMPRODUCT($H111:$Y111,(TRANSPOSE(CK$2:CK$19)))</f>
        <v>0</v>
      </c>
      <c r="CL111" s="1">
        <f t="array" ref="CL111">SUMPRODUCT($H111:$Y111,(TRANSPOSE(CL$2:CL$19)))</f>
        <v>0</v>
      </c>
      <c r="CM111" s="1">
        <f t="array" ref="CM111">SUMPRODUCT($H111:$Y111,(TRANSPOSE(CM$2:CM$19)))</f>
        <v>10</v>
      </c>
      <c r="CN111" s="1">
        <f t="array" ref="CN111">SUMPRODUCT($H111:$Y111,(TRANSPOSE(CN$2:CN$19)))</f>
        <v>20</v>
      </c>
      <c r="CO111" s="1">
        <f t="array" ref="CO111">SUMPRODUCT($H111:$Y111,(TRANSPOSE(CO$2:CO$19)))</f>
        <v>30</v>
      </c>
      <c r="CP111" s="1">
        <f t="array" ref="CP111">SUMPRODUCT($H111:$Y111,(TRANSPOSE(CP$2:CP$19)))</f>
        <v>40</v>
      </c>
      <c r="CQ111" s="1">
        <f t="array" ref="CQ111">SUMPRODUCT($H111:$Y111,(TRANSPOSE(CQ$2:CQ$19)))</f>
        <v>50</v>
      </c>
      <c r="CR111" s="1">
        <f t="array" ref="CR111">SUMPRODUCT($H111:$Y111,(TRANSPOSE(CR$2:CR$19)))</f>
        <v>60</v>
      </c>
      <c r="CS111" s="1">
        <f t="array" ref="CS111">SUMPRODUCT($H111:$Y111,(TRANSPOSE(CS$2:CS$19)))</f>
        <v>70</v>
      </c>
      <c r="CT111" s="1">
        <f t="array" ref="CT111">SUMPRODUCT($H111:$Y111,(TRANSPOSE(CT$2:CT$19)))</f>
        <v>80</v>
      </c>
      <c r="CU111" s="1">
        <f t="array" ref="CU111">SUMPRODUCT($H111:$Y111,(TRANSPOSE(CU$2:CU$19)))</f>
        <v>90</v>
      </c>
      <c r="CV111" s="1">
        <f t="array" ref="CV111">SUMPRODUCT($H111:$Y111,(TRANSPOSE(CV$2:CV$19)))</f>
        <v>100</v>
      </c>
      <c r="CW111" s="1">
        <f t="array" ref="CW111">SUMPRODUCT($H111:$Y111,(TRANSPOSE(CW$2:CW$19)))</f>
        <v>110</v>
      </c>
      <c r="CX111" s="1">
        <f t="array" ref="CX111">SUMPRODUCT($H111:$Y111,(TRANSPOSE(CX$2:CX$19)))</f>
        <v>120</v>
      </c>
      <c r="CY111" s="1">
        <f t="array" ref="CY111">SUMPRODUCT($H111:$Y111,(TRANSPOSE(CY$2:CY$19)))</f>
        <v>130</v>
      </c>
      <c r="CZ111" s="1">
        <f t="array" ref="CZ111">SUMPRODUCT($H111:$Y111,(TRANSPOSE(CZ$2:CZ$19)))</f>
        <v>0</v>
      </c>
      <c r="DA111" s="1">
        <f t="array" ref="DA111">SUMPRODUCT($H111:$Y111,(TRANSPOSE(DA$2:DA$19)))</f>
        <v>0</v>
      </c>
      <c r="DB111" s="1">
        <f t="array" ref="DB111">SUMPRODUCT($H111:$Y111,(TRANSPOSE(DB$2:DB$19)))</f>
        <v>0</v>
      </c>
      <c r="DC111" s="1">
        <f t="array" ref="DC111">SUMPRODUCT($H111:$Y111,(TRANSPOSE(DC$2:DC$19)))</f>
        <v>0</v>
      </c>
      <c r="DD111" s="1">
        <f t="array" ref="DD111">SUMPRODUCT($H111:$Y111,(TRANSPOSE(DD$2:DD$19)))</f>
        <v>0</v>
      </c>
    </row>
    <row r="112" spans="1:108" x14ac:dyDescent="0.2">
      <c r="A112" s="1">
        <v>108</v>
      </c>
      <c r="B112" s="10" t="s">
        <v>671</v>
      </c>
      <c r="C112" s="1" t="s">
        <v>643</v>
      </c>
      <c r="D112" s="1">
        <v>417587623</v>
      </c>
      <c r="F112" s="1" t="s">
        <v>670</v>
      </c>
      <c r="G112" s="1" t="s">
        <v>20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f>SUM(H112:Y112)</f>
        <v>1</v>
      </c>
      <c r="AA112" s="1">
        <f>SUMPRODUCT(H112:Y112,$H$16:$Y$16)</f>
        <v>910</v>
      </c>
      <c r="AB112" s="18" t="s">
        <v>18</v>
      </c>
      <c r="AC112" s="1">
        <v>0</v>
      </c>
      <c r="AD112" s="9"/>
      <c r="AE112" s="1" t="s">
        <v>19</v>
      </c>
      <c r="AF112" s="1">
        <f>AC112</f>
        <v>0</v>
      </c>
      <c r="AG112" s="1">
        <v>1</v>
      </c>
      <c r="AH112" s="1">
        <v>1</v>
      </c>
      <c r="AI112" s="1" t="s">
        <v>18</v>
      </c>
      <c r="AJ112" s="1" t="s">
        <v>18</v>
      </c>
      <c r="AK112" s="1" t="s">
        <v>18</v>
      </c>
      <c r="AL112" s="1" t="s">
        <v>18</v>
      </c>
      <c r="AM112" s="1" t="s">
        <v>18</v>
      </c>
      <c r="AN112" s="2" t="s">
        <v>18</v>
      </c>
      <c r="BO112" s="1">
        <f>SUM($AP112,$AQ112:AQ112)-SUM($CK112:CL112)</f>
        <v>0</v>
      </c>
      <c r="BP112" s="1">
        <f>SUM($AP112,$AQ112:AR112)-SUM($CK112:CM112)</f>
        <v>-10</v>
      </c>
      <c r="BQ112" s="1">
        <f>SUM($AP112,$AQ112:AS112)-SUM($CK112:CN112)</f>
        <v>-30</v>
      </c>
      <c r="BR112" s="1">
        <f>SUM($AP112,$AQ112:AT112)-SUM($CK112:CO112)</f>
        <v>-60</v>
      </c>
      <c r="BS112" s="1">
        <f>SUM($AP112,$AQ112:AU112)-SUM($CK112:CP112)</f>
        <v>-100</v>
      </c>
      <c r="BT112" s="1">
        <f>SUM($AP112,$AQ112:AV112)-SUM($CK112:CQ112)</f>
        <v>-150</v>
      </c>
      <c r="BU112" s="1">
        <f>SUM($AP112,$AQ112:AW112)-SUM($CK112:CR112)</f>
        <v>-210</v>
      </c>
      <c r="BV112" s="1">
        <f>SUM($AP112,$AQ112:AX112)-SUM($CK112:CS112)</f>
        <v>-280</v>
      </c>
      <c r="BW112" s="1">
        <f>SUM($AP112,$AQ112:AY112)-SUM($CK112:CT112)</f>
        <v>-360</v>
      </c>
      <c r="BX112" s="1">
        <f>SUM($AP112,$AQ112:AZ112)-SUM($CK112:CU112)</f>
        <v>-450</v>
      </c>
      <c r="BY112" s="1">
        <f>SUM($AP112,$AQ112:BA112)-SUM($CK112:CV112)</f>
        <v>-550</v>
      </c>
      <c r="BZ112" s="1">
        <f>SUM($AP112,$AQ112:BB112)-SUM($CK112:CW112)</f>
        <v>-660</v>
      </c>
      <c r="CA112" s="1">
        <f>SUM($AP112,$AQ112:BC112)-SUM($CK112:CX112)</f>
        <v>-780</v>
      </c>
      <c r="CB112" s="1">
        <f>SUM($AP112,$AQ112:BD112)-SUM($CK112:CY112)</f>
        <v>-910</v>
      </c>
      <c r="CC112" s="1">
        <f>SUM($AP112,$AQ112:BE112)-SUM($CK112:CZ112)</f>
        <v>-910</v>
      </c>
      <c r="CD112" s="1">
        <f>SUM($AP112,$AQ112:BF112)-SUM($CK112:DA112)</f>
        <v>-910</v>
      </c>
      <c r="CE112" s="1">
        <f>SUM($AP112,$AQ112:BG112)-SUM($CK112:DB112)</f>
        <v>-910</v>
      </c>
      <c r="CF112" s="1">
        <f>SUM($AP112,$AQ112:BH112)-SUM($CK112:DC112)</f>
        <v>-910</v>
      </c>
      <c r="CG112" s="1">
        <f>SUM($AP112,$AQ112:BI112)-SUM($CK112:DD112)</f>
        <v>-910</v>
      </c>
      <c r="CK112" s="1">
        <f t="array" ref="CK112">SUMPRODUCT($H112:$Y112,(TRANSPOSE(CK$2:CK$19)))</f>
        <v>0</v>
      </c>
      <c r="CL112" s="1">
        <f t="array" ref="CL112">SUMPRODUCT($H112:$Y112,(TRANSPOSE(CL$2:CL$19)))</f>
        <v>0</v>
      </c>
      <c r="CM112" s="1">
        <f t="array" ref="CM112">SUMPRODUCT($H112:$Y112,(TRANSPOSE(CM$2:CM$19)))</f>
        <v>10</v>
      </c>
      <c r="CN112" s="1">
        <f t="array" ref="CN112">SUMPRODUCT($H112:$Y112,(TRANSPOSE(CN$2:CN$19)))</f>
        <v>20</v>
      </c>
      <c r="CO112" s="1">
        <f t="array" ref="CO112">SUMPRODUCT($H112:$Y112,(TRANSPOSE(CO$2:CO$19)))</f>
        <v>30</v>
      </c>
      <c r="CP112" s="1">
        <f t="array" ref="CP112">SUMPRODUCT($H112:$Y112,(TRANSPOSE(CP$2:CP$19)))</f>
        <v>40</v>
      </c>
      <c r="CQ112" s="1">
        <f t="array" ref="CQ112">SUMPRODUCT($H112:$Y112,(TRANSPOSE(CQ$2:CQ$19)))</f>
        <v>50</v>
      </c>
      <c r="CR112" s="1">
        <f t="array" ref="CR112">SUMPRODUCT($H112:$Y112,(TRANSPOSE(CR$2:CR$19)))</f>
        <v>60</v>
      </c>
      <c r="CS112" s="1">
        <f t="array" ref="CS112">SUMPRODUCT($H112:$Y112,(TRANSPOSE(CS$2:CS$19)))</f>
        <v>70</v>
      </c>
      <c r="CT112" s="1">
        <f t="array" ref="CT112">SUMPRODUCT($H112:$Y112,(TRANSPOSE(CT$2:CT$19)))</f>
        <v>80</v>
      </c>
      <c r="CU112" s="1">
        <f t="array" ref="CU112">SUMPRODUCT($H112:$Y112,(TRANSPOSE(CU$2:CU$19)))</f>
        <v>90</v>
      </c>
      <c r="CV112" s="1">
        <f t="array" ref="CV112">SUMPRODUCT($H112:$Y112,(TRANSPOSE(CV$2:CV$19)))</f>
        <v>100</v>
      </c>
      <c r="CW112" s="1">
        <f t="array" ref="CW112">SUMPRODUCT($H112:$Y112,(TRANSPOSE(CW$2:CW$19)))</f>
        <v>110</v>
      </c>
      <c r="CX112" s="1">
        <f t="array" ref="CX112">SUMPRODUCT($H112:$Y112,(TRANSPOSE(CX$2:CX$19)))</f>
        <v>120</v>
      </c>
      <c r="CY112" s="1">
        <f t="array" ref="CY112">SUMPRODUCT($H112:$Y112,(TRANSPOSE(CY$2:CY$19)))</f>
        <v>130</v>
      </c>
      <c r="CZ112" s="1">
        <f t="array" ref="CZ112">SUMPRODUCT($H112:$Y112,(TRANSPOSE(CZ$2:CZ$19)))</f>
        <v>0</v>
      </c>
      <c r="DA112" s="1">
        <f t="array" ref="DA112">SUMPRODUCT($H112:$Y112,(TRANSPOSE(DA$2:DA$19)))</f>
        <v>0</v>
      </c>
      <c r="DB112" s="1">
        <f t="array" ref="DB112">SUMPRODUCT($H112:$Y112,(TRANSPOSE(DB$2:DB$19)))</f>
        <v>0</v>
      </c>
      <c r="DC112" s="1">
        <f t="array" ref="DC112">SUMPRODUCT($H112:$Y112,(TRANSPOSE(DC$2:DC$19)))</f>
        <v>0</v>
      </c>
      <c r="DD112" s="1">
        <f t="array" ref="DD112">SUMPRODUCT($H112:$Y112,(TRANSPOSE(DD$2:DD$19)))</f>
        <v>0</v>
      </c>
    </row>
    <row r="113" spans="1:108" x14ac:dyDescent="0.2">
      <c r="A113" s="1">
        <v>109</v>
      </c>
      <c r="B113" s="10" t="s">
        <v>669</v>
      </c>
      <c r="C113" s="1" t="s">
        <v>19</v>
      </c>
      <c r="D113" s="1">
        <v>417593376</v>
      </c>
      <c r="F113" s="1" t="s">
        <v>668</v>
      </c>
      <c r="G113" s="1" t="s">
        <v>20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f>SUM(H113:Y113)</f>
        <v>1</v>
      </c>
      <c r="AA113" s="1">
        <f>SUMPRODUCT(H113:Y113,$H$16:$Y$16)</f>
        <v>910</v>
      </c>
      <c r="AB113" s="18" t="s">
        <v>18</v>
      </c>
      <c r="AC113" s="1">
        <v>0</v>
      </c>
      <c r="AD113" s="9"/>
      <c r="AE113" s="1" t="s">
        <v>19</v>
      </c>
      <c r="AF113" s="1">
        <f>AC113</f>
        <v>0</v>
      </c>
      <c r="AG113" s="1">
        <v>1</v>
      </c>
      <c r="AH113" s="1">
        <v>1</v>
      </c>
      <c r="AI113" s="1" t="s">
        <v>18</v>
      </c>
      <c r="AJ113" s="1" t="s">
        <v>18</v>
      </c>
      <c r="AK113" s="1" t="s">
        <v>18</v>
      </c>
      <c r="AL113" s="1" t="s">
        <v>18</v>
      </c>
      <c r="AM113" s="1" t="s">
        <v>18</v>
      </c>
      <c r="AN113" s="2" t="s">
        <v>18</v>
      </c>
      <c r="BO113" s="1">
        <f>SUM($AP113,$AQ113:AQ113)-SUM($CK113:CL113)</f>
        <v>0</v>
      </c>
      <c r="BP113" s="1">
        <f>SUM($AP113,$AQ113:AR113)-SUM($CK113:CM113)</f>
        <v>0</v>
      </c>
      <c r="BQ113" s="1">
        <f>SUM($AP113,$AQ113:AS113)-SUM($CK113:CN113)</f>
        <v>0</v>
      </c>
      <c r="BR113" s="1">
        <f>SUM($AP113,$AQ113:AT113)-SUM($CK113:CO113)</f>
        <v>-10</v>
      </c>
      <c r="BS113" s="1">
        <f>SUM($AP113,$AQ113:AU113)-SUM($CK113:CP113)</f>
        <v>-30</v>
      </c>
      <c r="BT113" s="1">
        <f>SUM($AP113,$AQ113:AV113)-SUM($CK113:CQ113)</f>
        <v>-60</v>
      </c>
      <c r="BU113" s="1">
        <f>SUM($AP113,$AQ113:AW113)-SUM($CK113:CR113)</f>
        <v>-100</v>
      </c>
      <c r="BV113" s="1">
        <f>SUM($AP113,$AQ113:AX113)-SUM($CK113:CS113)</f>
        <v>-150</v>
      </c>
      <c r="BW113" s="1">
        <f>SUM($AP113,$AQ113:AY113)-SUM($CK113:CT113)</f>
        <v>-210</v>
      </c>
      <c r="BX113" s="1">
        <f>SUM($AP113,$AQ113:AZ113)-SUM($CK113:CU113)</f>
        <v>-280</v>
      </c>
      <c r="BY113" s="1">
        <f>SUM($AP113,$AQ113:BA113)-SUM($CK113:CV113)</f>
        <v>-360</v>
      </c>
      <c r="BZ113" s="1">
        <f>SUM($AP113,$AQ113:BB113)-SUM($CK113:CW113)</f>
        <v>-450</v>
      </c>
      <c r="CA113" s="1">
        <f>SUM($AP113,$AQ113:BC113)-SUM($CK113:CX113)</f>
        <v>-550</v>
      </c>
      <c r="CB113" s="1">
        <f>SUM($AP113,$AQ113:BD113)-SUM($CK113:CY113)</f>
        <v>-660</v>
      </c>
      <c r="CC113" s="1">
        <f>SUM($AP113,$AQ113:BE113)-SUM($CK113:CZ113)</f>
        <v>-780</v>
      </c>
      <c r="CD113" s="1">
        <f>SUM($AP113,$AQ113:BF113)-SUM($CK113:DA113)</f>
        <v>-910</v>
      </c>
      <c r="CE113" s="1">
        <f>SUM($AP113,$AQ113:BG113)-SUM($CK113:DB113)</f>
        <v>-910</v>
      </c>
      <c r="CF113" s="1">
        <f>SUM($AP113,$AQ113:BH113)-SUM($CK113:DC113)</f>
        <v>-910</v>
      </c>
      <c r="CG113" s="1">
        <f>SUM($AP113,$AQ113:BI113)-SUM($CK113:DD113)</f>
        <v>-910</v>
      </c>
      <c r="CK113" s="1">
        <f t="array" ref="CK113">SUMPRODUCT($H113:$Y113,(TRANSPOSE(CK$2:CK$19)))</f>
        <v>0</v>
      </c>
      <c r="CL113" s="1">
        <f t="array" ref="CL113">SUMPRODUCT($H113:$Y113,(TRANSPOSE(CL$2:CL$19)))</f>
        <v>0</v>
      </c>
      <c r="CM113" s="1">
        <f t="array" ref="CM113">SUMPRODUCT($H113:$Y113,(TRANSPOSE(CM$2:CM$19)))</f>
        <v>0</v>
      </c>
      <c r="CN113" s="1">
        <f t="array" ref="CN113">SUMPRODUCT($H113:$Y113,(TRANSPOSE(CN$2:CN$19)))</f>
        <v>0</v>
      </c>
      <c r="CO113" s="1">
        <f t="array" ref="CO113">SUMPRODUCT($H113:$Y113,(TRANSPOSE(CO$2:CO$19)))</f>
        <v>10</v>
      </c>
      <c r="CP113" s="1">
        <f t="array" ref="CP113">SUMPRODUCT($H113:$Y113,(TRANSPOSE(CP$2:CP$19)))</f>
        <v>20</v>
      </c>
      <c r="CQ113" s="1">
        <f t="array" ref="CQ113">SUMPRODUCT($H113:$Y113,(TRANSPOSE(CQ$2:CQ$19)))</f>
        <v>30</v>
      </c>
      <c r="CR113" s="1">
        <f t="array" ref="CR113">SUMPRODUCT($H113:$Y113,(TRANSPOSE(CR$2:CR$19)))</f>
        <v>40</v>
      </c>
      <c r="CS113" s="1">
        <f t="array" ref="CS113">SUMPRODUCT($H113:$Y113,(TRANSPOSE(CS$2:CS$19)))</f>
        <v>50</v>
      </c>
      <c r="CT113" s="1">
        <f t="array" ref="CT113">SUMPRODUCT($H113:$Y113,(TRANSPOSE(CT$2:CT$19)))</f>
        <v>60</v>
      </c>
      <c r="CU113" s="1">
        <f t="array" ref="CU113">SUMPRODUCT($H113:$Y113,(TRANSPOSE(CU$2:CU$19)))</f>
        <v>70</v>
      </c>
      <c r="CV113" s="1">
        <f t="array" ref="CV113">SUMPRODUCT($H113:$Y113,(TRANSPOSE(CV$2:CV$19)))</f>
        <v>80</v>
      </c>
      <c r="CW113" s="1">
        <f t="array" ref="CW113">SUMPRODUCT($H113:$Y113,(TRANSPOSE(CW$2:CW$19)))</f>
        <v>90</v>
      </c>
      <c r="CX113" s="1">
        <f t="array" ref="CX113">SUMPRODUCT($H113:$Y113,(TRANSPOSE(CX$2:CX$19)))</f>
        <v>100</v>
      </c>
      <c r="CY113" s="1">
        <f t="array" ref="CY113">SUMPRODUCT($H113:$Y113,(TRANSPOSE(CY$2:CY$19)))</f>
        <v>110</v>
      </c>
      <c r="CZ113" s="1">
        <f t="array" ref="CZ113">SUMPRODUCT($H113:$Y113,(TRANSPOSE(CZ$2:CZ$19)))</f>
        <v>120</v>
      </c>
      <c r="DA113" s="1">
        <f t="array" ref="DA113">SUMPRODUCT($H113:$Y113,(TRANSPOSE(DA$2:DA$19)))</f>
        <v>130</v>
      </c>
      <c r="DB113" s="1">
        <f t="array" ref="DB113">SUMPRODUCT($H113:$Y113,(TRANSPOSE(DB$2:DB$19)))</f>
        <v>0</v>
      </c>
      <c r="DC113" s="1">
        <f t="array" ref="DC113">SUMPRODUCT($H113:$Y113,(TRANSPOSE(DC$2:DC$19)))</f>
        <v>0</v>
      </c>
      <c r="DD113" s="1">
        <f t="array" ref="DD113">SUMPRODUCT($H113:$Y113,(TRANSPOSE(DD$2:DD$19)))</f>
        <v>0</v>
      </c>
    </row>
    <row r="114" spans="1:108" x14ac:dyDescent="0.2">
      <c r="A114" s="1">
        <v>110</v>
      </c>
      <c r="B114" s="10" t="s">
        <v>667</v>
      </c>
      <c r="C114" s="1" t="s">
        <v>19</v>
      </c>
      <c r="D114" s="1">
        <v>417593375</v>
      </c>
      <c r="F114" s="1" t="s">
        <v>666</v>
      </c>
      <c r="G114" s="1" t="s">
        <v>20</v>
      </c>
      <c r="H114" s="1">
        <v>0</v>
      </c>
      <c r="I114" s="1">
        <v>0</v>
      </c>
      <c r="J114" s="1">
        <v>0</v>
      </c>
      <c r="K114" s="1">
        <v>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f>SUM(H114:Y114)</f>
        <v>6</v>
      </c>
      <c r="AA114" s="1">
        <f>SUMPRODUCT(H114:Y114,$H$16:$Y$16)</f>
        <v>5460</v>
      </c>
      <c r="AB114" s="18" t="s">
        <v>18</v>
      </c>
      <c r="AC114" s="1">
        <v>0</v>
      </c>
      <c r="AD114" s="9"/>
      <c r="AE114" s="1" t="s">
        <v>19</v>
      </c>
      <c r="AF114" s="1">
        <f>AC114</f>
        <v>0</v>
      </c>
      <c r="AG114" s="1">
        <v>1</v>
      </c>
      <c r="AH114" s="1">
        <v>1</v>
      </c>
      <c r="AI114" s="1" t="s">
        <v>18</v>
      </c>
      <c r="AJ114" s="1" t="s">
        <v>18</v>
      </c>
      <c r="AK114" s="1" t="s">
        <v>18</v>
      </c>
      <c r="AL114" s="1" t="s">
        <v>18</v>
      </c>
      <c r="AM114" s="1" t="s">
        <v>18</v>
      </c>
      <c r="AN114" s="2" t="s">
        <v>18</v>
      </c>
      <c r="BO114" s="1">
        <f>SUM($AP114,$AQ114:AQ114)-SUM($CK114:CL114)</f>
        <v>0</v>
      </c>
      <c r="BP114" s="1">
        <f>SUM($AP114,$AQ114:AR114)-SUM($CK114:CM114)</f>
        <v>0</v>
      </c>
      <c r="BQ114" s="1">
        <f>SUM($AP114,$AQ114:AS114)-SUM($CK114:CN114)</f>
        <v>0</v>
      </c>
      <c r="BR114" s="1">
        <f>SUM($AP114,$AQ114:AT114)-SUM($CK114:CO114)</f>
        <v>-60</v>
      </c>
      <c r="BS114" s="1">
        <f>SUM($AP114,$AQ114:AU114)-SUM($CK114:CP114)</f>
        <v>-180</v>
      </c>
      <c r="BT114" s="1">
        <f>SUM($AP114,$AQ114:AV114)-SUM($CK114:CQ114)</f>
        <v>-360</v>
      </c>
      <c r="BU114" s="1">
        <f>SUM($AP114,$AQ114:AW114)-SUM($CK114:CR114)</f>
        <v>-600</v>
      </c>
      <c r="BV114" s="1">
        <f>SUM($AP114,$AQ114:AX114)-SUM($CK114:CS114)</f>
        <v>-900</v>
      </c>
      <c r="BW114" s="1">
        <f>SUM($AP114,$AQ114:AY114)-SUM($CK114:CT114)</f>
        <v>-1260</v>
      </c>
      <c r="BX114" s="1">
        <f>SUM($AP114,$AQ114:AZ114)-SUM($CK114:CU114)</f>
        <v>-1680</v>
      </c>
      <c r="BY114" s="1">
        <f>SUM($AP114,$AQ114:BA114)-SUM($CK114:CV114)</f>
        <v>-2160</v>
      </c>
      <c r="BZ114" s="1">
        <f>SUM($AP114,$AQ114:BB114)-SUM($CK114:CW114)</f>
        <v>-2700</v>
      </c>
      <c r="CA114" s="1">
        <f>SUM($AP114,$AQ114:BC114)-SUM($CK114:CX114)</f>
        <v>-3300</v>
      </c>
      <c r="CB114" s="1">
        <f>SUM($AP114,$AQ114:BD114)-SUM($CK114:CY114)</f>
        <v>-3960</v>
      </c>
      <c r="CC114" s="1">
        <f>SUM($AP114,$AQ114:BE114)-SUM($CK114:CZ114)</f>
        <v>-4680</v>
      </c>
      <c r="CD114" s="1">
        <f>SUM($AP114,$AQ114:BF114)-SUM($CK114:DA114)</f>
        <v>-5460</v>
      </c>
      <c r="CE114" s="1">
        <f>SUM($AP114,$AQ114:BG114)-SUM($CK114:DB114)</f>
        <v>-5460</v>
      </c>
      <c r="CF114" s="1">
        <f>SUM($AP114,$AQ114:BH114)-SUM($CK114:DC114)</f>
        <v>-5460</v>
      </c>
      <c r="CG114" s="1">
        <f>SUM($AP114,$AQ114:BI114)-SUM($CK114:DD114)</f>
        <v>-5460</v>
      </c>
      <c r="CK114" s="1">
        <f t="array" ref="CK114">SUMPRODUCT($H114:$Y114,(TRANSPOSE(CK$2:CK$19)))</f>
        <v>0</v>
      </c>
      <c r="CL114" s="1">
        <f t="array" ref="CL114">SUMPRODUCT($H114:$Y114,(TRANSPOSE(CL$2:CL$19)))</f>
        <v>0</v>
      </c>
      <c r="CM114" s="1">
        <f t="array" ref="CM114">SUMPRODUCT($H114:$Y114,(TRANSPOSE(CM$2:CM$19)))</f>
        <v>0</v>
      </c>
      <c r="CN114" s="1">
        <f t="array" ref="CN114">SUMPRODUCT($H114:$Y114,(TRANSPOSE(CN$2:CN$19)))</f>
        <v>0</v>
      </c>
      <c r="CO114" s="1">
        <f t="array" ref="CO114">SUMPRODUCT($H114:$Y114,(TRANSPOSE(CO$2:CO$19)))</f>
        <v>60</v>
      </c>
      <c r="CP114" s="1">
        <f t="array" ref="CP114">SUMPRODUCT($H114:$Y114,(TRANSPOSE(CP$2:CP$19)))</f>
        <v>120</v>
      </c>
      <c r="CQ114" s="1">
        <f t="array" ref="CQ114">SUMPRODUCT($H114:$Y114,(TRANSPOSE(CQ$2:CQ$19)))</f>
        <v>180</v>
      </c>
      <c r="CR114" s="1">
        <f t="array" ref="CR114">SUMPRODUCT($H114:$Y114,(TRANSPOSE(CR$2:CR$19)))</f>
        <v>240</v>
      </c>
      <c r="CS114" s="1">
        <f t="array" ref="CS114">SUMPRODUCT($H114:$Y114,(TRANSPOSE(CS$2:CS$19)))</f>
        <v>300</v>
      </c>
      <c r="CT114" s="1">
        <f t="array" ref="CT114">SUMPRODUCT($H114:$Y114,(TRANSPOSE(CT$2:CT$19)))</f>
        <v>360</v>
      </c>
      <c r="CU114" s="1">
        <f t="array" ref="CU114">SUMPRODUCT($H114:$Y114,(TRANSPOSE(CU$2:CU$19)))</f>
        <v>420</v>
      </c>
      <c r="CV114" s="1">
        <f t="array" ref="CV114">SUMPRODUCT($H114:$Y114,(TRANSPOSE(CV$2:CV$19)))</f>
        <v>480</v>
      </c>
      <c r="CW114" s="1">
        <f t="array" ref="CW114">SUMPRODUCT($H114:$Y114,(TRANSPOSE(CW$2:CW$19)))</f>
        <v>540</v>
      </c>
      <c r="CX114" s="1">
        <f t="array" ref="CX114">SUMPRODUCT($H114:$Y114,(TRANSPOSE(CX$2:CX$19)))</f>
        <v>600</v>
      </c>
      <c r="CY114" s="1">
        <f t="array" ref="CY114">SUMPRODUCT($H114:$Y114,(TRANSPOSE(CY$2:CY$19)))</f>
        <v>660</v>
      </c>
      <c r="CZ114" s="1">
        <f t="array" ref="CZ114">SUMPRODUCT($H114:$Y114,(TRANSPOSE(CZ$2:CZ$19)))</f>
        <v>720</v>
      </c>
      <c r="DA114" s="1">
        <f t="array" ref="DA114">SUMPRODUCT($H114:$Y114,(TRANSPOSE(DA$2:DA$19)))</f>
        <v>780</v>
      </c>
      <c r="DB114" s="1">
        <f t="array" ref="DB114">SUMPRODUCT($H114:$Y114,(TRANSPOSE(DB$2:DB$19)))</f>
        <v>0</v>
      </c>
      <c r="DC114" s="1">
        <f t="array" ref="DC114">SUMPRODUCT($H114:$Y114,(TRANSPOSE(DC$2:DC$19)))</f>
        <v>0</v>
      </c>
      <c r="DD114" s="1">
        <f t="array" ref="DD114">SUMPRODUCT($H114:$Y114,(TRANSPOSE(DD$2:DD$19)))</f>
        <v>0</v>
      </c>
    </row>
    <row r="115" spans="1:108" x14ac:dyDescent="0.2">
      <c r="A115" s="1">
        <v>111</v>
      </c>
      <c r="B115" s="10" t="s">
        <v>665</v>
      </c>
      <c r="C115" s="1" t="s">
        <v>19</v>
      </c>
      <c r="D115" s="1">
        <v>417593374</v>
      </c>
      <c r="F115" s="1" t="s">
        <v>664</v>
      </c>
      <c r="G115" s="1" t="s">
        <v>20</v>
      </c>
      <c r="H115" s="1">
        <v>0</v>
      </c>
      <c r="I115" s="1">
        <v>0</v>
      </c>
      <c r="J115" s="1">
        <v>0</v>
      </c>
      <c r="K115" s="1">
        <v>12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f>SUM(H115:Y115)</f>
        <v>12</v>
      </c>
      <c r="AA115" s="1">
        <f>SUMPRODUCT(H115:Y115,$H$16:$Y$16)</f>
        <v>10920</v>
      </c>
      <c r="AB115" s="18" t="s">
        <v>18</v>
      </c>
      <c r="AC115" s="1">
        <v>0</v>
      </c>
      <c r="AD115" s="9"/>
      <c r="AE115" s="1" t="s">
        <v>19</v>
      </c>
      <c r="AF115" s="1">
        <f>AC115</f>
        <v>0</v>
      </c>
      <c r="AG115" s="1">
        <v>1</v>
      </c>
      <c r="AH115" s="1">
        <v>1</v>
      </c>
      <c r="AI115" s="1" t="s">
        <v>18</v>
      </c>
      <c r="AJ115" s="1" t="s">
        <v>18</v>
      </c>
      <c r="AK115" s="1" t="s">
        <v>18</v>
      </c>
      <c r="AL115" s="1" t="s">
        <v>18</v>
      </c>
      <c r="AM115" s="1" t="s">
        <v>18</v>
      </c>
      <c r="AN115" s="2" t="s">
        <v>18</v>
      </c>
      <c r="BO115" s="1">
        <f>SUM($AP115,$AQ115:AQ115)-SUM($CK115:CL115)</f>
        <v>0</v>
      </c>
      <c r="BP115" s="1">
        <f>SUM($AP115,$AQ115:AR115)-SUM($CK115:CM115)</f>
        <v>0</v>
      </c>
      <c r="BQ115" s="1">
        <f>SUM($AP115,$AQ115:AS115)-SUM($CK115:CN115)</f>
        <v>0</v>
      </c>
      <c r="BR115" s="1">
        <f>SUM($AP115,$AQ115:AT115)-SUM($CK115:CO115)</f>
        <v>-120</v>
      </c>
      <c r="BS115" s="1">
        <f>SUM($AP115,$AQ115:AU115)-SUM($CK115:CP115)</f>
        <v>-360</v>
      </c>
      <c r="BT115" s="1">
        <f>SUM($AP115,$AQ115:AV115)-SUM($CK115:CQ115)</f>
        <v>-720</v>
      </c>
      <c r="BU115" s="1">
        <f>SUM($AP115,$AQ115:AW115)-SUM($CK115:CR115)</f>
        <v>-1200</v>
      </c>
      <c r="BV115" s="1">
        <f>SUM($AP115,$AQ115:AX115)-SUM($CK115:CS115)</f>
        <v>-1800</v>
      </c>
      <c r="BW115" s="1">
        <f>SUM($AP115,$AQ115:AY115)-SUM($CK115:CT115)</f>
        <v>-2520</v>
      </c>
      <c r="BX115" s="1">
        <f>SUM($AP115,$AQ115:AZ115)-SUM($CK115:CU115)</f>
        <v>-3360</v>
      </c>
      <c r="BY115" s="1">
        <f>SUM($AP115,$AQ115:BA115)-SUM($CK115:CV115)</f>
        <v>-4320</v>
      </c>
      <c r="BZ115" s="1">
        <f>SUM($AP115,$AQ115:BB115)-SUM($CK115:CW115)</f>
        <v>-5400</v>
      </c>
      <c r="CA115" s="1">
        <f>SUM($AP115,$AQ115:BC115)-SUM($CK115:CX115)</f>
        <v>-6600</v>
      </c>
      <c r="CB115" s="1">
        <f>SUM($AP115,$AQ115:BD115)-SUM($CK115:CY115)</f>
        <v>-7920</v>
      </c>
      <c r="CC115" s="1">
        <f>SUM($AP115,$AQ115:BE115)-SUM($CK115:CZ115)</f>
        <v>-9360</v>
      </c>
      <c r="CD115" s="1">
        <f>SUM($AP115,$AQ115:BF115)-SUM($CK115:DA115)</f>
        <v>-10920</v>
      </c>
      <c r="CE115" s="1">
        <f>SUM($AP115,$AQ115:BG115)-SUM($CK115:DB115)</f>
        <v>-10920</v>
      </c>
      <c r="CF115" s="1">
        <f>SUM($AP115,$AQ115:BH115)-SUM($CK115:DC115)</f>
        <v>-10920</v>
      </c>
      <c r="CG115" s="1">
        <f>SUM($AP115,$AQ115:BI115)-SUM($CK115:DD115)</f>
        <v>-10920</v>
      </c>
      <c r="CK115" s="1">
        <f t="array" ref="CK115">SUMPRODUCT($H115:$Y115,(TRANSPOSE(CK$2:CK$19)))</f>
        <v>0</v>
      </c>
      <c r="CL115" s="1">
        <f t="array" ref="CL115">SUMPRODUCT($H115:$Y115,(TRANSPOSE(CL$2:CL$19)))</f>
        <v>0</v>
      </c>
      <c r="CM115" s="1">
        <f t="array" ref="CM115">SUMPRODUCT($H115:$Y115,(TRANSPOSE(CM$2:CM$19)))</f>
        <v>0</v>
      </c>
      <c r="CN115" s="1">
        <f t="array" ref="CN115">SUMPRODUCT($H115:$Y115,(TRANSPOSE(CN$2:CN$19)))</f>
        <v>0</v>
      </c>
      <c r="CO115" s="1">
        <f t="array" ref="CO115">SUMPRODUCT($H115:$Y115,(TRANSPOSE(CO$2:CO$19)))</f>
        <v>120</v>
      </c>
      <c r="CP115" s="1">
        <f t="array" ref="CP115">SUMPRODUCT($H115:$Y115,(TRANSPOSE(CP$2:CP$19)))</f>
        <v>240</v>
      </c>
      <c r="CQ115" s="1">
        <f t="array" ref="CQ115">SUMPRODUCT($H115:$Y115,(TRANSPOSE(CQ$2:CQ$19)))</f>
        <v>360</v>
      </c>
      <c r="CR115" s="1">
        <f t="array" ref="CR115">SUMPRODUCT($H115:$Y115,(TRANSPOSE(CR$2:CR$19)))</f>
        <v>480</v>
      </c>
      <c r="CS115" s="1">
        <f t="array" ref="CS115">SUMPRODUCT($H115:$Y115,(TRANSPOSE(CS$2:CS$19)))</f>
        <v>600</v>
      </c>
      <c r="CT115" s="1">
        <f t="array" ref="CT115">SUMPRODUCT($H115:$Y115,(TRANSPOSE(CT$2:CT$19)))</f>
        <v>720</v>
      </c>
      <c r="CU115" s="1">
        <f t="array" ref="CU115">SUMPRODUCT($H115:$Y115,(TRANSPOSE(CU$2:CU$19)))</f>
        <v>840</v>
      </c>
      <c r="CV115" s="1">
        <f t="array" ref="CV115">SUMPRODUCT($H115:$Y115,(TRANSPOSE(CV$2:CV$19)))</f>
        <v>960</v>
      </c>
      <c r="CW115" s="1">
        <f t="array" ref="CW115">SUMPRODUCT($H115:$Y115,(TRANSPOSE(CW$2:CW$19)))</f>
        <v>1080</v>
      </c>
      <c r="CX115" s="1">
        <f t="array" ref="CX115">SUMPRODUCT($H115:$Y115,(TRANSPOSE(CX$2:CX$19)))</f>
        <v>1200</v>
      </c>
      <c r="CY115" s="1">
        <f t="array" ref="CY115">SUMPRODUCT($H115:$Y115,(TRANSPOSE(CY$2:CY$19)))</f>
        <v>1320</v>
      </c>
      <c r="CZ115" s="1">
        <f t="array" ref="CZ115">SUMPRODUCT($H115:$Y115,(TRANSPOSE(CZ$2:CZ$19)))</f>
        <v>1440</v>
      </c>
      <c r="DA115" s="1">
        <f t="array" ref="DA115">SUMPRODUCT($H115:$Y115,(TRANSPOSE(DA$2:DA$19)))</f>
        <v>1560</v>
      </c>
      <c r="DB115" s="1">
        <f t="array" ref="DB115">SUMPRODUCT($H115:$Y115,(TRANSPOSE(DB$2:DB$19)))</f>
        <v>0</v>
      </c>
      <c r="DC115" s="1">
        <f t="array" ref="DC115">SUMPRODUCT($H115:$Y115,(TRANSPOSE(DC$2:DC$19)))</f>
        <v>0</v>
      </c>
      <c r="DD115" s="1">
        <f t="array" ref="DD115">SUMPRODUCT($H115:$Y115,(TRANSPOSE(DD$2:DD$19)))</f>
        <v>0</v>
      </c>
    </row>
    <row r="116" spans="1:108" x14ac:dyDescent="0.2">
      <c r="A116" s="1">
        <v>112</v>
      </c>
      <c r="B116" s="10" t="s">
        <v>663</v>
      </c>
      <c r="C116" s="1" t="s">
        <v>19</v>
      </c>
      <c r="D116" s="1">
        <v>417593377</v>
      </c>
      <c r="F116" s="1" t="s">
        <v>662</v>
      </c>
      <c r="G116" s="1" t="s">
        <v>20</v>
      </c>
      <c r="H116" s="1">
        <v>0</v>
      </c>
      <c r="I116" s="1">
        <v>0</v>
      </c>
      <c r="J116" s="1">
        <v>0</v>
      </c>
      <c r="K116" s="1">
        <v>12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f>SUM(H116:Y116)</f>
        <v>12</v>
      </c>
      <c r="AA116" s="1">
        <f>SUMPRODUCT(H116:Y116,$H$16:$Y$16)</f>
        <v>10920</v>
      </c>
      <c r="AB116" s="18" t="s">
        <v>18</v>
      </c>
      <c r="AC116" s="1">
        <v>0</v>
      </c>
      <c r="AD116" s="9"/>
      <c r="AE116" s="1" t="s">
        <v>19</v>
      </c>
      <c r="AF116" s="1">
        <f>AC116</f>
        <v>0</v>
      </c>
      <c r="AG116" s="1">
        <v>1</v>
      </c>
      <c r="AH116" s="1">
        <v>1</v>
      </c>
      <c r="AI116" s="1" t="s">
        <v>18</v>
      </c>
      <c r="AJ116" s="1" t="s">
        <v>18</v>
      </c>
      <c r="AK116" s="1" t="s">
        <v>18</v>
      </c>
      <c r="AL116" s="1" t="s">
        <v>18</v>
      </c>
      <c r="AM116" s="1" t="s">
        <v>18</v>
      </c>
      <c r="AN116" s="2" t="s">
        <v>18</v>
      </c>
      <c r="BO116" s="1">
        <f>SUM($AP116,$AQ116:AQ116)-SUM($CK116:CL116)</f>
        <v>0</v>
      </c>
      <c r="BP116" s="1">
        <f>SUM($AP116,$AQ116:AR116)-SUM($CK116:CM116)</f>
        <v>0</v>
      </c>
      <c r="BQ116" s="1">
        <f>SUM($AP116,$AQ116:AS116)-SUM($CK116:CN116)</f>
        <v>0</v>
      </c>
      <c r="BR116" s="1">
        <f>SUM($AP116,$AQ116:AT116)-SUM($CK116:CO116)</f>
        <v>-120</v>
      </c>
      <c r="BS116" s="1">
        <f>SUM($AP116,$AQ116:AU116)-SUM($CK116:CP116)</f>
        <v>-360</v>
      </c>
      <c r="BT116" s="1">
        <f>SUM($AP116,$AQ116:AV116)-SUM($CK116:CQ116)</f>
        <v>-720</v>
      </c>
      <c r="BU116" s="1">
        <f>SUM($AP116,$AQ116:AW116)-SUM($CK116:CR116)</f>
        <v>-1200</v>
      </c>
      <c r="BV116" s="1">
        <f>SUM($AP116,$AQ116:AX116)-SUM($CK116:CS116)</f>
        <v>-1800</v>
      </c>
      <c r="BW116" s="1">
        <f>SUM($AP116,$AQ116:AY116)-SUM($CK116:CT116)</f>
        <v>-2520</v>
      </c>
      <c r="BX116" s="1">
        <f>SUM($AP116,$AQ116:AZ116)-SUM($CK116:CU116)</f>
        <v>-3360</v>
      </c>
      <c r="BY116" s="1">
        <f>SUM($AP116,$AQ116:BA116)-SUM($CK116:CV116)</f>
        <v>-4320</v>
      </c>
      <c r="BZ116" s="1">
        <f>SUM($AP116,$AQ116:BB116)-SUM($CK116:CW116)</f>
        <v>-5400</v>
      </c>
      <c r="CA116" s="1">
        <f>SUM($AP116,$AQ116:BC116)-SUM($CK116:CX116)</f>
        <v>-6600</v>
      </c>
      <c r="CB116" s="1">
        <f>SUM($AP116,$AQ116:BD116)-SUM($CK116:CY116)</f>
        <v>-7920</v>
      </c>
      <c r="CC116" s="1">
        <f>SUM($AP116,$AQ116:BE116)-SUM($CK116:CZ116)</f>
        <v>-9360</v>
      </c>
      <c r="CD116" s="1">
        <f>SUM($AP116,$AQ116:BF116)-SUM($CK116:DA116)</f>
        <v>-10920</v>
      </c>
      <c r="CE116" s="1">
        <f>SUM($AP116,$AQ116:BG116)-SUM($CK116:DB116)</f>
        <v>-10920</v>
      </c>
      <c r="CF116" s="1">
        <f>SUM($AP116,$AQ116:BH116)-SUM($CK116:DC116)</f>
        <v>-10920</v>
      </c>
      <c r="CG116" s="1">
        <f>SUM($AP116,$AQ116:BI116)-SUM($CK116:DD116)</f>
        <v>-10920</v>
      </c>
      <c r="CK116" s="1">
        <f t="array" ref="CK116">SUMPRODUCT($H116:$Y116,(TRANSPOSE(CK$2:CK$19)))</f>
        <v>0</v>
      </c>
      <c r="CL116" s="1">
        <f t="array" ref="CL116">SUMPRODUCT($H116:$Y116,(TRANSPOSE(CL$2:CL$19)))</f>
        <v>0</v>
      </c>
      <c r="CM116" s="1">
        <f t="array" ref="CM116">SUMPRODUCT($H116:$Y116,(TRANSPOSE(CM$2:CM$19)))</f>
        <v>0</v>
      </c>
      <c r="CN116" s="1">
        <f t="array" ref="CN116">SUMPRODUCT($H116:$Y116,(TRANSPOSE(CN$2:CN$19)))</f>
        <v>0</v>
      </c>
      <c r="CO116" s="1">
        <f t="array" ref="CO116">SUMPRODUCT($H116:$Y116,(TRANSPOSE(CO$2:CO$19)))</f>
        <v>120</v>
      </c>
      <c r="CP116" s="1">
        <f t="array" ref="CP116">SUMPRODUCT($H116:$Y116,(TRANSPOSE(CP$2:CP$19)))</f>
        <v>240</v>
      </c>
      <c r="CQ116" s="1">
        <f t="array" ref="CQ116">SUMPRODUCT($H116:$Y116,(TRANSPOSE(CQ$2:CQ$19)))</f>
        <v>360</v>
      </c>
      <c r="CR116" s="1">
        <f t="array" ref="CR116">SUMPRODUCT($H116:$Y116,(TRANSPOSE(CR$2:CR$19)))</f>
        <v>480</v>
      </c>
      <c r="CS116" s="1">
        <f t="array" ref="CS116">SUMPRODUCT($H116:$Y116,(TRANSPOSE(CS$2:CS$19)))</f>
        <v>600</v>
      </c>
      <c r="CT116" s="1">
        <f t="array" ref="CT116">SUMPRODUCT($H116:$Y116,(TRANSPOSE(CT$2:CT$19)))</f>
        <v>720</v>
      </c>
      <c r="CU116" s="1">
        <f t="array" ref="CU116">SUMPRODUCT($H116:$Y116,(TRANSPOSE(CU$2:CU$19)))</f>
        <v>840</v>
      </c>
      <c r="CV116" s="1">
        <f t="array" ref="CV116">SUMPRODUCT($H116:$Y116,(TRANSPOSE(CV$2:CV$19)))</f>
        <v>960</v>
      </c>
      <c r="CW116" s="1">
        <f t="array" ref="CW116">SUMPRODUCT($H116:$Y116,(TRANSPOSE(CW$2:CW$19)))</f>
        <v>1080</v>
      </c>
      <c r="CX116" s="1">
        <f t="array" ref="CX116">SUMPRODUCT($H116:$Y116,(TRANSPOSE(CX$2:CX$19)))</f>
        <v>1200</v>
      </c>
      <c r="CY116" s="1">
        <f t="array" ref="CY116">SUMPRODUCT($H116:$Y116,(TRANSPOSE(CY$2:CY$19)))</f>
        <v>1320</v>
      </c>
      <c r="CZ116" s="1">
        <f t="array" ref="CZ116">SUMPRODUCT($H116:$Y116,(TRANSPOSE(CZ$2:CZ$19)))</f>
        <v>1440</v>
      </c>
      <c r="DA116" s="1">
        <f t="array" ref="DA116">SUMPRODUCT($H116:$Y116,(TRANSPOSE(DA$2:DA$19)))</f>
        <v>1560</v>
      </c>
      <c r="DB116" s="1">
        <f t="array" ref="DB116">SUMPRODUCT($H116:$Y116,(TRANSPOSE(DB$2:DB$19)))</f>
        <v>0</v>
      </c>
      <c r="DC116" s="1">
        <f t="array" ref="DC116">SUMPRODUCT($H116:$Y116,(TRANSPOSE(DC$2:DC$19)))</f>
        <v>0</v>
      </c>
      <c r="DD116" s="1">
        <f t="array" ref="DD116">SUMPRODUCT($H116:$Y116,(TRANSPOSE(DD$2:DD$19)))</f>
        <v>0</v>
      </c>
    </row>
    <row r="117" spans="1:108" x14ac:dyDescent="0.2">
      <c r="A117" s="1">
        <v>113</v>
      </c>
      <c r="B117" s="10" t="s">
        <v>661</v>
      </c>
      <c r="C117" s="1" t="s">
        <v>19</v>
      </c>
      <c r="D117" s="1">
        <v>417593380</v>
      </c>
      <c r="F117" s="1" t="s">
        <v>660</v>
      </c>
      <c r="G117" s="1" t="s">
        <v>20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f>SUM(H117:Y117)</f>
        <v>2</v>
      </c>
      <c r="AA117" s="1">
        <f>SUMPRODUCT(H117:Y117,$H$16:$Y$16)</f>
        <v>1820</v>
      </c>
      <c r="AB117" s="18" t="s">
        <v>18</v>
      </c>
      <c r="AC117" s="1">
        <v>0</v>
      </c>
      <c r="AD117" s="9"/>
      <c r="AE117" s="1" t="s">
        <v>19</v>
      </c>
      <c r="AF117" s="1">
        <f>AC117</f>
        <v>0</v>
      </c>
      <c r="AG117" s="1">
        <v>1</v>
      </c>
      <c r="AH117" s="1">
        <v>1</v>
      </c>
      <c r="AI117" s="1" t="s">
        <v>18</v>
      </c>
      <c r="AJ117" s="1" t="s">
        <v>18</v>
      </c>
      <c r="AK117" s="1" t="s">
        <v>18</v>
      </c>
      <c r="AL117" s="1" t="s">
        <v>18</v>
      </c>
      <c r="AM117" s="1" t="s">
        <v>18</v>
      </c>
      <c r="AN117" s="2" t="s">
        <v>18</v>
      </c>
      <c r="BO117" s="1">
        <f>SUM($AP117,$AQ117:AQ117)-SUM($CK117:CL117)</f>
        <v>0</v>
      </c>
      <c r="BP117" s="1">
        <f>SUM($AP117,$AQ117:AR117)-SUM($CK117:CM117)</f>
        <v>0</v>
      </c>
      <c r="BQ117" s="1">
        <f>SUM($AP117,$AQ117:AS117)-SUM($CK117:CN117)</f>
        <v>0</v>
      </c>
      <c r="BR117" s="1">
        <f>SUM($AP117,$AQ117:AT117)-SUM($CK117:CO117)</f>
        <v>-20</v>
      </c>
      <c r="BS117" s="1">
        <f>SUM($AP117,$AQ117:AU117)-SUM($CK117:CP117)</f>
        <v>-60</v>
      </c>
      <c r="BT117" s="1">
        <f>SUM($AP117,$AQ117:AV117)-SUM($CK117:CQ117)</f>
        <v>-120</v>
      </c>
      <c r="BU117" s="1">
        <f>SUM($AP117,$AQ117:AW117)-SUM($CK117:CR117)</f>
        <v>-200</v>
      </c>
      <c r="BV117" s="1">
        <f>SUM($AP117,$AQ117:AX117)-SUM($CK117:CS117)</f>
        <v>-300</v>
      </c>
      <c r="BW117" s="1">
        <f>SUM($AP117,$AQ117:AY117)-SUM($CK117:CT117)</f>
        <v>-420</v>
      </c>
      <c r="BX117" s="1">
        <f>SUM($AP117,$AQ117:AZ117)-SUM($CK117:CU117)</f>
        <v>-560</v>
      </c>
      <c r="BY117" s="1">
        <f>SUM($AP117,$AQ117:BA117)-SUM($CK117:CV117)</f>
        <v>-720</v>
      </c>
      <c r="BZ117" s="1">
        <f>SUM($AP117,$AQ117:BB117)-SUM($CK117:CW117)</f>
        <v>-900</v>
      </c>
      <c r="CA117" s="1">
        <f>SUM($AP117,$AQ117:BC117)-SUM($CK117:CX117)</f>
        <v>-1100</v>
      </c>
      <c r="CB117" s="1">
        <f>SUM($AP117,$AQ117:BD117)-SUM($CK117:CY117)</f>
        <v>-1320</v>
      </c>
      <c r="CC117" s="1">
        <f>SUM($AP117,$AQ117:BE117)-SUM($CK117:CZ117)</f>
        <v>-1560</v>
      </c>
      <c r="CD117" s="1">
        <f>SUM($AP117,$AQ117:BF117)-SUM($CK117:DA117)</f>
        <v>-1820</v>
      </c>
      <c r="CE117" s="1">
        <f>SUM($AP117,$AQ117:BG117)-SUM($CK117:DB117)</f>
        <v>-1820</v>
      </c>
      <c r="CF117" s="1">
        <f>SUM($AP117,$AQ117:BH117)-SUM($CK117:DC117)</f>
        <v>-1820</v>
      </c>
      <c r="CG117" s="1">
        <f>SUM($AP117,$AQ117:BI117)-SUM($CK117:DD117)</f>
        <v>-1820</v>
      </c>
      <c r="CK117" s="1">
        <f t="array" ref="CK117">SUMPRODUCT($H117:$Y117,(TRANSPOSE(CK$2:CK$19)))</f>
        <v>0</v>
      </c>
      <c r="CL117" s="1">
        <f t="array" ref="CL117">SUMPRODUCT($H117:$Y117,(TRANSPOSE(CL$2:CL$19)))</f>
        <v>0</v>
      </c>
      <c r="CM117" s="1">
        <f t="array" ref="CM117">SUMPRODUCT($H117:$Y117,(TRANSPOSE(CM$2:CM$19)))</f>
        <v>0</v>
      </c>
      <c r="CN117" s="1">
        <f t="array" ref="CN117">SUMPRODUCT($H117:$Y117,(TRANSPOSE(CN$2:CN$19)))</f>
        <v>0</v>
      </c>
      <c r="CO117" s="1">
        <f t="array" ref="CO117">SUMPRODUCT($H117:$Y117,(TRANSPOSE(CO$2:CO$19)))</f>
        <v>20</v>
      </c>
      <c r="CP117" s="1">
        <f t="array" ref="CP117">SUMPRODUCT($H117:$Y117,(TRANSPOSE(CP$2:CP$19)))</f>
        <v>40</v>
      </c>
      <c r="CQ117" s="1">
        <f t="array" ref="CQ117">SUMPRODUCT($H117:$Y117,(TRANSPOSE(CQ$2:CQ$19)))</f>
        <v>60</v>
      </c>
      <c r="CR117" s="1">
        <f t="array" ref="CR117">SUMPRODUCT($H117:$Y117,(TRANSPOSE(CR$2:CR$19)))</f>
        <v>80</v>
      </c>
      <c r="CS117" s="1">
        <f t="array" ref="CS117">SUMPRODUCT($H117:$Y117,(TRANSPOSE(CS$2:CS$19)))</f>
        <v>100</v>
      </c>
      <c r="CT117" s="1">
        <f t="array" ref="CT117">SUMPRODUCT($H117:$Y117,(TRANSPOSE(CT$2:CT$19)))</f>
        <v>120</v>
      </c>
      <c r="CU117" s="1">
        <f t="array" ref="CU117">SUMPRODUCT($H117:$Y117,(TRANSPOSE(CU$2:CU$19)))</f>
        <v>140</v>
      </c>
      <c r="CV117" s="1">
        <f t="array" ref="CV117">SUMPRODUCT($H117:$Y117,(TRANSPOSE(CV$2:CV$19)))</f>
        <v>160</v>
      </c>
      <c r="CW117" s="1">
        <f t="array" ref="CW117">SUMPRODUCT($H117:$Y117,(TRANSPOSE(CW$2:CW$19)))</f>
        <v>180</v>
      </c>
      <c r="CX117" s="1">
        <f t="array" ref="CX117">SUMPRODUCT($H117:$Y117,(TRANSPOSE(CX$2:CX$19)))</f>
        <v>200</v>
      </c>
      <c r="CY117" s="1">
        <f t="array" ref="CY117">SUMPRODUCT($H117:$Y117,(TRANSPOSE(CY$2:CY$19)))</f>
        <v>220</v>
      </c>
      <c r="CZ117" s="1">
        <f t="array" ref="CZ117">SUMPRODUCT($H117:$Y117,(TRANSPOSE(CZ$2:CZ$19)))</f>
        <v>240</v>
      </c>
      <c r="DA117" s="1">
        <f t="array" ref="DA117">SUMPRODUCT($H117:$Y117,(TRANSPOSE(DA$2:DA$19)))</f>
        <v>260</v>
      </c>
      <c r="DB117" s="1">
        <f t="array" ref="DB117">SUMPRODUCT($H117:$Y117,(TRANSPOSE(DB$2:DB$19)))</f>
        <v>0</v>
      </c>
      <c r="DC117" s="1">
        <f t="array" ref="DC117">SUMPRODUCT($H117:$Y117,(TRANSPOSE(DC$2:DC$19)))</f>
        <v>0</v>
      </c>
      <c r="DD117" s="1">
        <f t="array" ref="DD117">SUMPRODUCT($H117:$Y117,(TRANSPOSE(DD$2:DD$19)))</f>
        <v>0</v>
      </c>
    </row>
    <row r="118" spans="1:108" ht="13.5" thickBot="1" x14ac:dyDescent="0.25">
      <c r="A118" s="1">
        <v>114</v>
      </c>
      <c r="B118" s="10" t="s">
        <v>659</v>
      </c>
      <c r="C118" s="1" t="s">
        <v>643</v>
      </c>
      <c r="D118" s="1">
        <v>417593379</v>
      </c>
      <c r="F118" s="1" t="s">
        <v>658</v>
      </c>
      <c r="G118" s="1" t="s">
        <v>20</v>
      </c>
      <c r="H118" s="1">
        <v>0</v>
      </c>
      <c r="I118" s="1">
        <v>0</v>
      </c>
      <c r="J118" s="1">
        <v>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f>SUM(H118:Y118)</f>
        <v>2</v>
      </c>
      <c r="AA118" s="1">
        <f>SUMPRODUCT(H118:Y118,$H$16:$Y$16)</f>
        <v>1820</v>
      </c>
      <c r="AB118" s="18" t="s">
        <v>18</v>
      </c>
      <c r="AC118" s="1">
        <v>0</v>
      </c>
      <c r="AD118" s="9"/>
      <c r="AE118" s="1" t="s">
        <v>19</v>
      </c>
      <c r="AF118" s="1">
        <f>AC118</f>
        <v>0</v>
      </c>
      <c r="AG118" s="1">
        <v>1</v>
      </c>
      <c r="AH118" s="1">
        <v>1</v>
      </c>
      <c r="AI118" s="1" t="s">
        <v>18</v>
      </c>
      <c r="AJ118" s="1" t="s">
        <v>18</v>
      </c>
      <c r="AK118" s="1" t="s">
        <v>18</v>
      </c>
      <c r="AL118" s="1" t="s">
        <v>18</v>
      </c>
      <c r="AM118" s="1" t="s">
        <v>18</v>
      </c>
      <c r="AN118" s="2" t="s">
        <v>18</v>
      </c>
      <c r="BO118" s="1">
        <f>SUM($AP118,$AQ118:AQ118)-SUM($CK118:CL118)</f>
        <v>0</v>
      </c>
      <c r="BP118" s="1">
        <f>SUM($AP118,$AQ118:AR118)-SUM($CK118:CM118)</f>
        <v>0</v>
      </c>
      <c r="BQ118" s="1">
        <f>SUM($AP118,$AQ118:AS118)-SUM($CK118:CN118)</f>
        <v>0</v>
      </c>
      <c r="BR118" s="1">
        <f>SUM($AP118,$AQ118:AT118)-SUM($CK118:CO118)</f>
        <v>-20</v>
      </c>
      <c r="BS118" s="1">
        <f>SUM($AP118,$AQ118:AU118)-SUM($CK118:CP118)</f>
        <v>-60</v>
      </c>
      <c r="BT118" s="1">
        <f>SUM($AP118,$AQ118:AV118)-SUM($CK118:CQ118)</f>
        <v>-120</v>
      </c>
      <c r="BU118" s="1">
        <f>SUM($AP118,$AQ118:AW118)-SUM($CK118:CR118)</f>
        <v>-200</v>
      </c>
      <c r="BV118" s="1">
        <f>SUM($AP118,$AQ118:AX118)-SUM($CK118:CS118)</f>
        <v>-300</v>
      </c>
      <c r="BW118" s="1">
        <f>SUM($AP118,$AQ118:AY118)-SUM($CK118:CT118)</f>
        <v>-420</v>
      </c>
      <c r="BX118" s="1">
        <f>SUM($AP118,$AQ118:AZ118)-SUM($CK118:CU118)</f>
        <v>-560</v>
      </c>
      <c r="BY118" s="1">
        <f>SUM($AP118,$AQ118:BA118)-SUM($CK118:CV118)</f>
        <v>-720</v>
      </c>
      <c r="BZ118" s="1">
        <f>SUM($AP118,$AQ118:BB118)-SUM($CK118:CW118)</f>
        <v>-900</v>
      </c>
      <c r="CA118" s="1">
        <f>SUM($AP118,$AQ118:BC118)-SUM($CK118:CX118)</f>
        <v>-1100</v>
      </c>
      <c r="CB118" s="1">
        <f>SUM($AP118,$AQ118:BD118)-SUM($CK118:CY118)</f>
        <v>-1320</v>
      </c>
      <c r="CC118" s="1">
        <f>SUM($AP118,$AQ118:BE118)-SUM($CK118:CZ118)</f>
        <v>-1560</v>
      </c>
      <c r="CD118" s="1">
        <f>SUM($AP118,$AQ118:BF118)-SUM($CK118:DA118)</f>
        <v>-1820</v>
      </c>
      <c r="CE118" s="1">
        <f>SUM($AP118,$AQ118:BG118)-SUM($CK118:DB118)</f>
        <v>-1820</v>
      </c>
      <c r="CF118" s="1">
        <f>SUM($AP118,$AQ118:BH118)-SUM($CK118:DC118)</f>
        <v>-1820</v>
      </c>
      <c r="CG118" s="1">
        <f>SUM($AP118,$AQ118:BI118)-SUM($CK118:DD118)</f>
        <v>-1820</v>
      </c>
      <c r="CK118" s="1">
        <f t="array" ref="CK118">SUMPRODUCT($H118:$Y118,(TRANSPOSE(CK$2:CK$19)))</f>
        <v>0</v>
      </c>
      <c r="CL118" s="1">
        <f t="array" ref="CL118">SUMPRODUCT($H118:$Y118,(TRANSPOSE(CL$2:CL$19)))</f>
        <v>0</v>
      </c>
      <c r="CM118" s="1">
        <f t="array" ref="CM118">SUMPRODUCT($H118:$Y118,(TRANSPOSE(CM$2:CM$19)))</f>
        <v>0</v>
      </c>
      <c r="CN118" s="1">
        <f t="array" ref="CN118">SUMPRODUCT($H118:$Y118,(TRANSPOSE(CN$2:CN$19)))</f>
        <v>0</v>
      </c>
      <c r="CO118" s="1">
        <f t="array" ref="CO118">SUMPRODUCT($H118:$Y118,(TRANSPOSE(CO$2:CO$19)))</f>
        <v>20</v>
      </c>
      <c r="CP118" s="1">
        <f t="array" ref="CP118">SUMPRODUCT($H118:$Y118,(TRANSPOSE(CP$2:CP$19)))</f>
        <v>40</v>
      </c>
      <c r="CQ118" s="1">
        <f t="array" ref="CQ118">SUMPRODUCT($H118:$Y118,(TRANSPOSE(CQ$2:CQ$19)))</f>
        <v>60</v>
      </c>
      <c r="CR118" s="1">
        <f t="array" ref="CR118">SUMPRODUCT($H118:$Y118,(TRANSPOSE(CR$2:CR$19)))</f>
        <v>80</v>
      </c>
      <c r="CS118" s="1">
        <f t="array" ref="CS118">SUMPRODUCT($H118:$Y118,(TRANSPOSE(CS$2:CS$19)))</f>
        <v>100</v>
      </c>
      <c r="CT118" s="1">
        <f t="array" ref="CT118">SUMPRODUCT($H118:$Y118,(TRANSPOSE(CT$2:CT$19)))</f>
        <v>120</v>
      </c>
      <c r="CU118" s="1">
        <f t="array" ref="CU118">SUMPRODUCT($H118:$Y118,(TRANSPOSE(CU$2:CU$19)))</f>
        <v>140</v>
      </c>
      <c r="CV118" s="1">
        <f t="array" ref="CV118">SUMPRODUCT($H118:$Y118,(TRANSPOSE(CV$2:CV$19)))</f>
        <v>160</v>
      </c>
      <c r="CW118" s="1">
        <f t="array" ref="CW118">SUMPRODUCT($H118:$Y118,(TRANSPOSE(CW$2:CW$19)))</f>
        <v>180</v>
      </c>
      <c r="CX118" s="1">
        <f t="array" ref="CX118">SUMPRODUCT($H118:$Y118,(TRANSPOSE(CX$2:CX$19)))</f>
        <v>200</v>
      </c>
      <c r="CY118" s="1">
        <f t="array" ref="CY118">SUMPRODUCT($H118:$Y118,(TRANSPOSE(CY$2:CY$19)))</f>
        <v>220</v>
      </c>
      <c r="CZ118" s="1">
        <f t="array" ref="CZ118">SUMPRODUCT($H118:$Y118,(TRANSPOSE(CZ$2:CZ$19)))</f>
        <v>240</v>
      </c>
      <c r="DA118" s="1">
        <f t="array" ref="DA118">SUMPRODUCT($H118:$Y118,(TRANSPOSE(DA$2:DA$19)))</f>
        <v>260</v>
      </c>
      <c r="DB118" s="1">
        <f t="array" ref="DB118">SUMPRODUCT($H118:$Y118,(TRANSPOSE(DB$2:DB$19)))</f>
        <v>0</v>
      </c>
      <c r="DC118" s="1">
        <f t="array" ref="DC118">SUMPRODUCT($H118:$Y118,(TRANSPOSE(DC$2:DC$19)))</f>
        <v>0</v>
      </c>
      <c r="DD118" s="1">
        <f t="array" ref="DD118">SUMPRODUCT($H118:$Y118,(TRANSPOSE(DD$2:DD$19)))</f>
        <v>0</v>
      </c>
    </row>
    <row r="119" spans="1:108" ht="13.5" thickBot="1" x14ac:dyDescent="0.25">
      <c r="A119" s="1">
        <v>115</v>
      </c>
      <c r="B119" s="10" t="s">
        <v>657</v>
      </c>
      <c r="C119" s="1" t="s">
        <v>19</v>
      </c>
      <c r="D119" s="1">
        <v>417593387</v>
      </c>
      <c r="F119" s="1" t="s">
        <v>656</v>
      </c>
      <c r="G119" s="1" t="s">
        <v>20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f>SUM(H119:Y119)</f>
        <v>1</v>
      </c>
      <c r="AA119" s="1">
        <f>SUMPRODUCT(H119:Y119,$H$16:$Y$16)</f>
        <v>910</v>
      </c>
      <c r="AB119" s="19" t="s">
        <v>18</v>
      </c>
      <c r="AC119" s="1">
        <v>0</v>
      </c>
      <c r="AD119" s="9"/>
      <c r="AE119" s="1" t="s">
        <v>19</v>
      </c>
      <c r="AF119" s="1">
        <f>AC119</f>
        <v>0</v>
      </c>
      <c r="AG119" s="1">
        <v>1</v>
      </c>
      <c r="AH119" s="1">
        <v>1</v>
      </c>
      <c r="AI119" s="1" t="s">
        <v>18</v>
      </c>
      <c r="AJ119" s="1" t="s">
        <v>18</v>
      </c>
      <c r="AK119" s="1" t="s">
        <v>18</v>
      </c>
      <c r="AL119" s="1" t="s">
        <v>18</v>
      </c>
      <c r="AM119" s="1" t="s">
        <v>18</v>
      </c>
      <c r="AN119" s="2" t="s">
        <v>18</v>
      </c>
      <c r="BO119" s="1">
        <f>SUM($AP119,$AQ119:AQ119)-SUM($CK119:CL119)</f>
        <v>0</v>
      </c>
      <c r="BP119" s="1">
        <f>SUM($AP119,$AQ119:AR119)-SUM($CK119:CM119)</f>
        <v>0</v>
      </c>
      <c r="BQ119" s="1">
        <f>SUM($AP119,$AQ119:AS119)-SUM($CK119:CN119)</f>
        <v>0</v>
      </c>
      <c r="BR119" s="1">
        <f>SUM($AP119,$AQ119:AT119)-SUM($CK119:CO119)</f>
        <v>-10</v>
      </c>
      <c r="BS119" s="1">
        <f>SUM($AP119,$AQ119:AU119)-SUM($CK119:CP119)</f>
        <v>-30</v>
      </c>
      <c r="BT119" s="1">
        <f>SUM($AP119,$AQ119:AV119)-SUM($CK119:CQ119)</f>
        <v>-60</v>
      </c>
      <c r="BU119" s="1">
        <f>SUM($AP119,$AQ119:AW119)-SUM($CK119:CR119)</f>
        <v>-100</v>
      </c>
      <c r="BV119" s="1">
        <f>SUM($AP119,$AQ119:AX119)-SUM($CK119:CS119)</f>
        <v>-150</v>
      </c>
      <c r="BW119" s="1">
        <f>SUM($AP119,$AQ119:AY119)-SUM($CK119:CT119)</f>
        <v>-210</v>
      </c>
      <c r="BX119" s="1">
        <f>SUM($AP119,$AQ119:AZ119)-SUM($CK119:CU119)</f>
        <v>-280</v>
      </c>
      <c r="BY119" s="1">
        <f>SUM($AP119,$AQ119:BA119)-SUM($CK119:CV119)</f>
        <v>-360</v>
      </c>
      <c r="BZ119" s="1">
        <f>SUM($AP119,$AQ119:BB119)-SUM($CK119:CW119)</f>
        <v>-450</v>
      </c>
      <c r="CA119" s="1">
        <f>SUM($AP119,$AQ119:BC119)-SUM($CK119:CX119)</f>
        <v>-550</v>
      </c>
      <c r="CB119" s="1">
        <f>SUM($AP119,$AQ119:BD119)-SUM($CK119:CY119)</f>
        <v>-660</v>
      </c>
      <c r="CC119" s="1">
        <f>SUM($AP119,$AQ119:BE119)-SUM($CK119:CZ119)</f>
        <v>-780</v>
      </c>
      <c r="CD119" s="1">
        <f>SUM($AP119,$AQ119:BF119)-SUM($CK119:DA119)</f>
        <v>-910</v>
      </c>
      <c r="CE119" s="1">
        <f>SUM($AP119,$AQ119:BG119)-SUM($CK119:DB119)</f>
        <v>-910</v>
      </c>
      <c r="CF119" s="1">
        <f>SUM($AP119,$AQ119:BH119)-SUM($CK119:DC119)</f>
        <v>-910</v>
      </c>
      <c r="CG119" s="1">
        <f>SUM($AP119,$AQ119:BI119)-SUM($CK119:DD119)</f>
        <v>-910</v>
      </c>
      <c r="CK119" s="1">
        <f t="array" ref="CK119">SUMPRODUCT($H119:$Y119,(TRANSPOSE(CK$2:CK$19)))</f>
        <v>0</v>
      </c>
      <c r="CL119" s="1">
        <f t="array" ref="CL119">SUMPRODUCT($H119:$Y119,(TRANSPOSE(CL$2:CL$19)))</f>
        <v>0</v>
      </c>
      <c r="CM119" s="1">
        <f t="array" ref="CM119">SUMPRODUCT($H119:$Y119,(TRANSPOSE(CM$2:CM$19)))</f>
        <v>0</v>
      </c>
      <c r="CN119" s="1">
        <f t="array" ref="CN119">SUMPRODUCT($H119:$Y119,(TRANSPOSE(CN$2:CN$19)))</f>
        <v>0</v>
      </c>
      <c r="CO119" s="1">
        <f t="array" ref="CO119">SUMPRODUCT($H119:$Y119,(TRANSPOSE(CO$2:CO$19)))</f>
        <v>10</v>
      </c>
      <c r="CP119" s="1">
        <f t="array" ref="CP119">SUMPRODUCT($H119:$Y119,(TRANSPOSE(CP$2:CP$19)))</f>
        <v>20</v>
      </c>
      <c r="CQ119" s="1">
        <f t="array" ref="CQ119">SUMPRODUCT($H119:$Y119,(TRANSPOSE(CQ$2:CQ$19)))</f>
        <v>30</v>
      </c>
      <c r="CR119" s="1">
        <f t="array" ref="CR119">SUMPRODUCT($H119:$Y119,(TRANSPOSE(CR$2:CR$19)))</f>
        <v>40</v>
      </c>
      <c r="CS119" s="1">
        <f t="array" ref="CS119">SUMPRODUCT($H119:$Y119,(TRANSPOSE(CS$2:CS$19)))</f>
        <v>50</v>
      </c>
      <c r="CT119" s="1">
        <f t="array" ref="CT119">SUMPRODUCT($H119:$Y119,(TRANSPOSE(CT$2:CT$19)))</f>
        <v>60</v>
      </c>
      <c r="CU119" s="1">
        <f t="array" ref="CU119">SUMPRODUCT($H119:$Y119,(TRANSPOSE(CU$2:CU$19)))</f>
        <v>70</v>
      </c>
      <c r="CV119" s="1">
        <f t="array" ref="CV119">SUMPRODUCT($H119:$Y119,(TRANSPOSE(CV$2:CV$19)))</f>
        <v>80</v>
      </c>
      <c r="CW119" s="1">
        <f t="array" ref="CW119">SUMPRODUCT($H119:$Y119,(TRANSPOSE(CW$2:CW$19)))</f>
        <v>90</v>
      </c>
      <c r="CX119" s="1">
        <f t="array" ref="CX119">SUMPRODUCT($H119:$Y119,(TRANSPOSE(CX$2:CX$19)))</f>
        <v>100</v>
      </c>
      <c r="CY119" s="1">
        <f t="array" ref="CY119">SUMPRODUCT($H119:$Y119,(TRANSPOSE(CY$2:CY$19)))</f>
        <v>110</v>
      </c>
      <c r="CZ119" s="1">
        <f t="array" ref="CZ119">SUMPRODUCT($H119:$Y119,(TRANSPOSE(CZ$2:CZ$19)))</f>
        <v>120</v>
      </c>
      <c r="DA119" s="1">
        <f t="array" ref="DA119">SUMPRODUCT($H119:$Y119,(TRANSPOSE(DA$2:DA$19)))</f>
        <v>130</v>
      </c>
      <c r="DB119" s="1">
        <f t="array" ref="DB119">SUMPRODUCT($H119:$Y119,(TRANSPOSE(DB$2:DB$19)))</f>
        <v>0</v>
      </c>
      <c r="DC119" s="1">
        <f t="array" ref="DC119">SUMPRODUCT($H119:$Y119,(TRANSPOSE(DC$2:DC$19)))</f>
        <v>0</v>
      </c>
      <c r="DD119" s="1">
        <f t="array" ref="DD119">SUMPRODUCT($H119:$Y119,(TRANSPOSE(DD$2:DD$19)))</f>
        <v>0</v>
      </c>
    </row>
    <row r="120" spans="1:108" x14ac:dyDescent="0.2">
      <c r="A120" s="1">
        <v>116</v>
      </c>
      <c r="B120" s="10" t="s">
        <v>655</v>
      </c>
      <c r="C120" s="1" t="s">
        <v>19</v>
      </c>
      <c r="D120" s="1">
        <v>417983236</v>
      </c>
      <c r="F120" s="1" t="s">
        <v>654</v>
      </c>
      <c r="G120" s="1" t="s">
        <v>20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f>SUM(H120:Y120)</f>
        <v>1</v>
      </c>
      <c r="AA120" s="1">
        <f>SUMPRODUCT(H120:Y120,$H$16:$Y$16)</f>
        <v>910</v>
      </c>
      <c r="AB120" s="18" t="s">
        <v>18</v>
      </c>
      <c r="AC120" s="1">
        <v>0</v>
      </c>
      <c r="AD120" s="9"/>
      <c r="AE120" s="1" t="s">
        <v>19</v>
      </c>
      <c r="AF120" s="1">
        <f>AC120</f>
        <v>0</v>
      </c>
      <c r="AG120" s="1">
        <v>1</v>
      </c>
      <c r="AH120" s="1">
        <v>1</v>
      </c>
      <c r="AI120" s="1" t="s">
        <v>18</v>
      </c>
      <c r="AJ120" s="1" t="s">
        <v>18</v>
      </c>
      <c r="AK120" s="1" t="s">
        <v>18</v>
      </c>
      <c r="AL120" s="1" t="s">
        <v>18</v>
      </c>
      <c r="AM120" s="1" t="s">
        <v>18</v>
      </c>
      <c r="AN120" s="2" t="s">
        <v>18</v>
      </c>
      <c r="BO120" s="1">
        <f>SUM($AP120,$AQ120:AQ120)-SUM($CK120:CL120)</f>
        <v>0</v>
      </c>
      <c r="BP120" s="1">
        <f>SUM($AP120,$AQ120:AR120)-SUM($CK120:CM120)</f>
        <v>0</v>
      </c>
      <c r="BQ120" s="1">
        <f>SUM($AP120,$AQ120:AS120)-SUM($CK120:CN120)</f>
        <v>0</v>
      </c>
      <c r="BR120" s="1">
        <f>SUM($AP120,$AQ120:AT120)-SUM($CK120:CO120)</f>
        <v>-10</v>
      </c>
      <c r="BS120" s="1">
        <f>SUM($AP120,$AQ120:AU120)-SUM($CK120:CP120)</f>
        <v>-30</v>
      </c>
      <c r="BT120" s="1">
        <f>SUM($AP120,$AQ120:AV120)-SUM($CK120:CQ120)</f>
        <v>-60</v>
      </c>
      <c r="BU120" s="1">
        <f>SUM($AP120,$AQ120:AW120)-SUM($CK120:CR120)</f>
        <v>-100</v>
      </c>
      <c r="BV120" s="1">
        <f>SUM($AP120,$AQ120:AX120)-SUM($CK120:CS120)</f>
        <v>-150</v>
      </c>
      <c r="BW120" s="1">
        <f>SUM($AP120,$AQ120:AY120)-SUM($CK120:CT120)</f>
        <v>-210</v>
      </c>
      <c r="BX120" s="1">
        <f>SUM($AP120,$AQ120:AZ120)-SUM($CK120:CU120)</f>
        <v>-280</v>
      </c>
      <c r="BY120" s="1">
        <f>SUM($AP120,$AQ120:BA120)-SUM($CK120:CV120)</f>
        <v>-360</v>
      </c>
      <c r="BZ120" s="1">
        <f>SUM($AP120,$AQ120:BB120)-SUM($CK120:CW120)</f>
        <v>-450</v>
      </c>
      <c r="CA120" s="1">
        <f>SUM($AP120,$AQ120:BC120)-SUM($CK120:CX120)</f>
        <v>-550</v>
      </c>
      <c r="CB120" s="1">
        <f>SUM($AP120,$AQ120:BD120)-SUM($CK120:CY120)</f>
        <v>-660</v>
      </c>
      <c r="CC120" s="1">
        <f>SUM($AP120,$AQ120:BE120)-SUM($CK120:CZ120)</f>
        <v>-780</v>
      </c>
      <c r="CD120" s="1">
        <f>SUM($AP120,$AQ120:BF120)-SUM($CK120:DA120)</f>
        <v>-910</v>
      </c>
      <c r="CE120" s="1">
        <f>SUM($AP120,$AQ120:BG120)-SUM($CK120:DB120)</f>
        <v>-910</v>
      </c>
      <c r="CF120" s="1">
        <f>SUM($AP120,$AQ120:BH120)-SUM($CK120:DC120)</f>
        <v>-910</v>
      </c>
      <c r="CG120" s="1">
        <f>SUM($AP120,$AQ120:BI120)-SUM($CK120:DD120)</f>
        <v>-910</v>
      </c>
      <c r="CK120" s="1">
        <f t="array" ref="CK120">SUMPRODUCT($H120:$Y120,(TRANSPOSE(CK$2:CK$19)))</f>
        <v>0</v>
      </c>
      <c r="CL120" s="1">
        <f t="array" ref="CL120">SUMPRODUCT($H120:$Y120,(TRANSPOSE(CL$2:CL$19)))</f>
        <v>0</v>
      </c>
      <c r="CM120" s="1">
        <f t="array" ref="CM120">SUMPRODUCT($H120:$Y120,(TRANSPOSE(CM$2:CM$19)))</f>
        <v>0</v>
      </c>
      <c r="CN120" s="1">
        <f t="array" ref="CN120">SUMPRODUCT($H120:$Y120,(TRANSPOSE(CN$2:CN$19)))</f>
        <v>0</v>
      </c>
      <c r="CO120" s="1">
        <f t="array" ref="CO120">SUMPRODUCT($H120:$Y120,(TRANSPOSE(CO$2:CO$19)))</f>
        <v>10</v>
      </c>
      <c r="CP120" s="1">
        <f t="array" ref="CP120">SUMPRODUCT($H120:$Y120,(TRANSPOSE(CP$2:CP$19)))</f>
        <v>20</v>
      </c>
      <c r="CQ120" s="1">
        <f t="array" ref="CQ120">SUMPRODUCT($H120:$Y120,(TRANSPOSE(CQ$2:CQ$19)))</f>
        <v>30</v>
      </c>
      <c r="CR120" s="1">
        <f t="array" ref="CR120">SUMPRODUCT($H120:$Y120,(TRANSPOSE(CR$2:CR$19)))</f>
        <v>40</v>
      </c>
      <c r="CS120" s="1">
        <f t="array" ref="CS120">SUMPRODUCT($H120:$Y120,(TRANSPOSE(CS$2:CS$19)))</f>
        <v>50</v>
      </c>
      <c r="CT120" s="1">
        <f t="array" ref="CT120">SUMPRODUCT($H120:$Y120,(TRANSPOSE(CT$2:CT$19)))</f>
        <v>60</v>
      </c>
      <c r="CU120" s="1">
        <f t="array" ref="CU120">SUMPRODUCT($H120:$Y120,(TRANSPOSE(CU$2:CU$19)))</f>
        <v>70</v>
      </c>
      <c r="CV120" s="1">
        <f t="array" ref="CV120">SUMPRODUCT($H120:$Y120,(TRANSPOSE(CV$2:CV$19)))</f>
        <v>80</v>
      </c>
      <c r="CW120" s="1">
        <f t="array" ref="CW120">SUMPRODUCT($H120:$Y120,(TRANSPOSE(CW$2:CW$19)))</f>
        <v>90</v>
      </c>
      <c r="CX120" s="1">
        <f t="array" ref="CX120">SUMPRODUCT($H120:$Y120,(TRANSPOSE(CX$2:CX$19)))</f>
        <v>100</v>
      </c>
      <c r="CY120" s="1">
        <f t="array" ref="CY120">SUMPRODUCT($H120:$Y120,(TRANSPOSE(CY$2:CY$19)))</f>
        <v>110</v>
      </c>
      <c r="CZ120" s="1">
        <f t="array" ref="CZ120">SUMPRODUCT($H120:$Y120,(TRANSPOSE(CZ$2:CZ$19)))</f>
        <v>120</v>
      </c>
      <c r="DA120" s="1">
        <f t="array" ref="DA120">SUMPRODUCT($H120:$Y120,(TRANSPOSE(DA$2:DA$19)))</f>
        <v>130</v>
      </c>
      <c r="DB120" s="1">
        <f t="array" ref="DB120">SUMPRODUCT($H120:$Y120,(TRANSPOSE(DB$2:DB$19)))</f>
        <v>0</v>
      </c>
      <c r="DC120" s="1">
        <f t="array" ref="DC120">SUMPRODUCT($H120:$Y120,(TRANSPOSE(DC$2:DC$19)))</f>
        <v>0</v>
      </c>
      <c r="DD120" s="1">
        <f t="array" ref="DD120">SUMPRODUCT($H120:$Y120,(TRANSPOSE(DD$2:DD$19)))</f>
        <v>0</v>
      </c>
    </row>
    <row r="121" spans="1:108" x14ac:dyDescent="0.2">
      <c r="A121" s="1">
        <v>117</v>
      </c>
      <c r="B121" s="10" t="s">
        <v>653</v>
      </c>
      <c r="C121" s="1" t="s">
        <v>19</v>
      </c>
      <c r="D121" s="1">
        <v>417711850</v>
      </c>
      <c r="F121" s="1" t="s">
        <v>652</v>
      </c>
      <c r="G121" s="1" t="s">
        <v>20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f>SUM(H121:Y121)</f>
        <v>1</v>
      </c>
      <c r="AA121" s="1">
        <f>SUMPRODUCT(H121:Y121,$H$16:$Y$16)</f>
        <v>910</v>
      </c>
      <c r="AB121" s="18" t="s">
        <v>18</v>
      </c>
      <c r="AC121" s="1">
        <v>0</v>
      </c>
      <c r="AD121" s="9"/>
      <c r="AE121" s="1" t="s">
        <v>19</v>
      </c>
      <c r="AF121" s="1">
        <f>AC121</f>
        <v>0</v>
      </c>
      <c r="AG121" s="1">
        <v>1</v>
      </c>
      <c r="AH121" s="1">
        <v>1</v>
      </c>
      <c r="AI121" s="1" t="s">
        <v>18</v>
      </c>
      <c r="AJ121" s="1" t="s">
        <v>18</v>
      </c>
      <c r="AK121" s="1" t="s">
        <v>18</v>
      </c>
      <c r="AL121" s="1" t="s">
        <v>18</v>
      </c>
      <c r="AM121" s="1" t="s">
        <v>18</v>
      </c>
      <c r="AN121" s="1" t="s">
        <v>18</v>
      </c>
      <c r="BO121" s="1">
        <f>SUM($AP121,$AQ121:AQ121)-SUM($CK121:CL121)</f>
        <v>0</v>
      </c>
      <c r="BP121" s="1">
        <f>SUM($AP121,$AQ121:AR121)-SUM($CK121:CM121)</f>
        <v>0</v>
      </c>
      <c r="BQ121" s="1">
        <f>SUM($AP121,$AQ121:AS121)-SUM($CK121:CN121)</f>
        <v>-10</v>
      </c>
      <c r="BR121" s="1">
        <f>SUM($AP121,$AQ121:AT121)-SUM($CK121:CO121)</f>
        <v>-30</v>
      </c>
      <c r="BS121" s="1">
        <f>SUM($AP121,$AQ121:AU121)-SUM($CK121:CP121)</f>
        <v>-60</v>
      </c>
      <c r="BT121" s="1">
        <f>SUM($AP121,$AQ121:AV121)-SUM($CK121:CQ121)</f>
        <v>-100</v>
      </c>
      <c r="BU121" s="1">
        <f>SUM($AP121,$AQ121:AW121)-SUM($CK121:CR121)</f>
        <v>-150</v>
      </c>
      <c r="BV121" s="1">
        <f>SUM($AP121,$AQ121:AX121)-SUM($CK121:CS121)</f>
        <v>-210</v>
      </c>
      <c r="BW121" s="1">
        <f>SUM($AP121,$AQ121:AY121)-SUM($CK121:CT121)</f>
        <v>-280</v>
      </c>
      <c r="BX121" s="1">
        <f>SUM($AP121,$AQ121:AZ121)-SUM($CK121:CU121)</f>
        <v>-360</v>
      </c>
      <c r="BY121" s="1">
        <f>SUM($AP121,$AQ121:BA121)-SUM($CK121:CV121)</f>
        <v>-450</v>
      </c>
      <c r="BZ121" s="1">
        <f>SUM($AP121,$AQ121:BB121)-SUM($CK121:CW121)</f>
        <v>-550</v>
      </c>
      <c r="CA121" s="1">
        <f>SUM($AP121,$AQ121:BC121)-SUM($CK121:CX121)</f>
        <v>-660</v>
      </c>
      <c r="CB121" s="1">
        <f>SUM($AP121,$AQ121:BD121)-SUM($CK121:CY121)</f>
        <v>-780</v>
      </c>
      <c r="CC121" s="1">
        <f>SUM($AP121,$AQ121:BE121)-SUM($CK121:CZ121)</f>
        <v>-910</v>
      </c>
      <c r="CD121" s="1">
        <f>SUM($AP121,$AQ121:BF121)-SUM($CK121:DA121)</f>
        <v>-910</v>
      </c>
      <c r="CE121" s="1">
        <f>SUM($AP121,$AQ121:BG121)-SUM($CK121:DB121)</f>
        <v>-910</v>
      </c>
      <c r="CF121" s="1">
        <f>SUM($AP121,$AQ121:BH121)-SUM($CK121:DC121)</f>
        <v>-910</v>
      </c>
      <c r="CG121" s="1">
        <f>SUM($AP121,$AQ121:BI121)-SUM($CK121:DD121)</f>
        <v>-910</v>
      </c>
      <c r="CK121" s="1">
        <f t="array" ref="CK121">SUMPRODUCT($H121:$Y121,(TRANSPOSE(CK$2:CK$19)))</f>
        <v>0</v>
      </c>
      <c r="CL121" s="1">
        <f t="array" ref="CL121">SUMPRODUCT($H121:$Y121,(TRANSPOSE(CL$2:CL$19)))</f>
        <v>0</v>
      </c>
      <c r="CM121" s="1">
        <f t="array" ref="CM121">SUMPRODUCT($H121:$Y121,(TRANSPOSE(CM$2:CM$19)))</f>
        <v>0</v>
      </c>
      <c r="CN121" s="1">
        <f t="array" ref="CN121">SUMPRODUCT($H121:$Y121,(TRANSPOSE(CN$2:CN$19)))</f>
        <v>10</v>
      </c>
      <c r="CO121" s="1">
        <f t="array" ref="CO121">SUMPRODUCT($H121:$Y121,(TRANSPOSE(CO$2:CO$19)))</f>
        <v>20</v>
      </c>
      <c r="CP121" s="1">
        <f t="array" ref="CP121">SUMPRODUCT($H121:$Y121,(TRANSPOSE(CP$2:CP$19)))</f>
        <v>30</v>
      </c>
      <c r="CQ121" s="1">
        <f t="array" ref="CQ121">SUMPRODUCT($H121:$Y121,(TRANSPOSE(CQ$2:CQ$19)))</f>
        <v>40</v>
      </c>
      <c r="CR121" s="1">
        <f t="array" ref="CR121">SUMPRODUCT($H121:$Y121,(TRANSPOSE(CR$2:CR$19)))</f>
        <v>50</v>
      </c>
      <c r="CS121" s="1">
        <f t="array" ref="CS121">SUMPRODUCT($H121:$Y121,(TRANSPOSE(CS$2:CS$19)))</f>
        <v>60</v>
      </c>
      <c r="CT121" s="1">
        <f t="array" ref="CT121">SUMPRODUCT($H121:$Y121,(TRANSPOSE(CT$2:CT$19)))</f>
        <v>70</v>
      </c>
      <c r="CU121" s="1">
        <f t="array" ref="CU121">SUMPRODUCT($H121:$Y121,(TRANSPOSE(CU$2:CU$19)))</f>
        <v>80</v>
      </c>
      <c r="CV121" s="1">
        <f t="array" ref="CV121">SUMPRODUCT($H121:$Y121,(TRANSPOSE(CV$2:CV$19)))</f>
        <v>90</v>
      </c>
      <c r="CW121" s="1">
        <f t="array" ref="CW121">SUMPRODUCT($H121:$Y121,(TRANSPOSE(CW$2:CW$19)))</f>
        <v>100</v>
      </c>
      <c r="CX121" s="1">
        <f t="array" ref="CX121">SUMPRODUCT($H121:$Y121,(TRANSPOSE(CX$2:CX$19)))</f>
        <v>110</v>
      </c>
      <c r="CY121" s="1">
        <f t="array" ref="CY121">SUMPRODUCT($H121:$Y121,(TRANSPOSE(CY$2:CY$19)))</f>
        <v>120</v>
      </c>
      <c r="CZ121" s="1">
        <f t="array" ref="CZ121">SUMPRODUCT($H121:$Y121,(TRANSPOSE(CZ$2:CZ$19)))</f>
        <v>130</v>
      </c>
      <c r="DA121" s="1">
        <f t="array" ref="DA121">SUMPRODUCT($H121:$Y121,(TRANSPOSE(DA$2:DA$19)))</f>
        <v>0</v>
      </c>
      <c r="DB121" s="1">
        <f t="array" ref="DB121">SUMPRODUCT($H121:$Y121,(TRANSPOSE(DB$2:DB$19)))</f>
        <v>0</v>
      </c>
      <c r="DC121" s="1">
        <f t="array" ref="DC121">SUMPRODUCT($H121:$Y121,(TRANSPOSE(DC$2:DC$19)))</f>
        <v>0</v>
      </c>
      <c r="DD121" s="1">
        <f t="array" ref="DD121">SUMPRODUCT($H121:$Y121,(TRANSPOSE(DD$2:DD$19)))</f>
        <v>0</v>
      </c>
    </row>
    <row r="122" spans="1:108" ht="13.5" thickBot="1" x14ac:dyDescent="0.25">
      <c r="A122" s="1">
        <v>118</v>
      </c>
      <c r="B122" s="10" t="s">
        <v>651</v>
      </c>
      <c r="C122" s="1" t="s">
        <v>19</v>
      </c>
      <c r="D122" s="1">
        <v>405663863</v>
      </c>
      <c r="F122" s="1" t="s">
        <v>650</v>
      </c>
      <c r="G122" s="1" t="s">
        <v>20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f>SUM(H122:Y122)</f>
        <v>1</v>
      </c>
      <c r="AA122" s="1">
        <f>SUMPRODUCT(H122:Y122,$H$16:$Y$16)</f>
        <v>910</v>
      </c>
      <c r="AB122" s="18" t="s">
        <v>18</v>
      </c>
      <c r="AC122" s="1">
        <v>0</v>
      </c>
      <c r="AD122" s="9"/>
      <c r="AE122" s="1" t="s">
        <v>19</v>
      </c>
      <c r="AF122" s="1">
        <f>AC122</f>
        <v>0</v>
      </c>
      <c r="AG122" s="1">
        <v>1</v>
      </c>
      <c r="AH122" s="1">
        <v>1</v>
      </c>
      <c r="AI122" s="1" t="s">
        <v>18</v>
      </c>
      <c r="AJ122" s="1" t="s">
        <v>18</v>
      </c>
      <c r="AK122" s="1" t="s">
        <v>18</v>
      </c>
      <c r="AL122" s="1" t="s">
        <v>18</v>
      </c>
      <c r="AM122" s="1" t="s">
        <v>18</v>
      </c>
      <c r="AN122" s="2" t="s">
        <v>18</v>
      </c>
      <c r="BO122" s="1">
        <f>SUM($AP122,$AQ122:AQ122)-SUM($CK122:CL122)</f>
        <v>0</v>
      </c>
      <c r="BP122" s="1">
        <f>SUM($AP122,$AQ122:AR122)-SUM($CK122:CM122)</f>
        <v>0</v>
      </c>
      <c r="BQ122" s="1">
        <f>SUM($AP122,$AQ122:AS122)-SUM($CK122:CN122)</f>
        <v>-10</v>
      </c>
      <c r="BR122" s="1">
        <f>SUM($AP122,$AQ122:AT122)-SUM($CK122:CO122)</f>
        <v>-30</v>
      </c>
      <c r="BS122" s="1">
        <f>SUM($AP122,$AQ122:AU122)-SUM($CK122:CP122)</f>
        <v>-60</v>
      </c>
      <c r="BT122" s="1">
        <f>SUM($AP122,$AQ122:AV122)-SUM($CK122:CQ122)</f>
        <v>-100</v>
      </c>
      <c r="BU122" s="1">
        <f>SUM($AP122,$AQ122:AW122)-SUM($CK122:CR122)</f>
        <v>-150</v>
      </c>
      <c r="BV122" s="1">
        <f>SUM($AP122,$AQ122:AX122)-SUM($CK122:CS122)</f>
        <v>-210</v>
      </c>
      <c r="BW122" s="1">
        <f>SUM($AP122,$AQ122:AY122)-SUM($CK122:CT122)</f>
        <v>-280</v>
      </c>
      <c r="BX122" s="1">
        <f>SUM($AP122,$AQ122:AZ122)-SUM($CK122:CU122)</f>
        <v>-360</v>
      </c>
      <c r="BY122" s="1">
        <f>SUM($AP122,$AQ122:BA122)-SUM($CK122:CV122)</f>
        <v>-450</v>
      </c>
      <c r="BZ122" s="1">
        <f>SUM($AP122,$AQ122:BB122)-SUM($CK122:CW122)</f>
        <v>-550</v>
      </c>
      <c r="CA122" s="1">
        <f>SUM($AP122,$AQ122:BC122)-SUM($CK122:CX122)</f>
        <v>-660</v>
      </c>
      <c r="CB122" s="1">
        <f>SUM($AP122,$AQ122:BD122)-SUM($CK122:CY122)</f>
        <v>-780</v>
      </c>
      <c r="CC122" s="1">
        <f>SUM($AP122,$AQ122:BE122)-SUM($CK122:CZ122)</f>
        <v>-910</v>
      </c>
      <c r="CD122" s="1">
        <f>SUM($AP122,$AQ122:BF122)-SUM($CK122:DA122)</f>
        <v>-910</v>
      </c>
      <c r="CE122" s="1">
        <f>SUM($AP122,$AQ122:BG122)-SUM($CK122:DB122)</f>
        <v>-910</v>
      </c>
      <c r="CF122" s="1">
        <f>SUM($AP122,$AQ122:BH122)-SUM($CK122:DC122)</f>
        <v>-910</v>
      </c>
      <c r="CG122" s="1">
        <f>SUM($AP122,$AQ122:BI122)-SUM($CK122:DD122)</f>
        <v>-910</v>
      </c>
      <c r="CK122" s="1">
        <f t="array" ref="CK122">SUMPRODUCT($H122:$Y122,(TRANSPOSE(CK$2:CK$19)))</f>
        <v>0</v>
      </c>
      <c r="CL122" s="1">
        <f t="array" ref="CL122">SUMPRODUCT($H122:$Y122,(TRANSPOSE(CL$2:CL$19)))</f>
        <v>0</v>
      </c>
      <c r="CM122" s="1">
        <f t="array" ref="CM122">SUMPRODUCT($H122:$Y122,(TRANSPOSE(CM$2:CM$19)))</f>
        <v>0</v>
      </c>
      <c r="CN122" s="1">
        <f t="array" ref="CN122">SUMPRODUCT($H122:$Y122,(TRANSPOSE(CN$2:CN$19)))</f>
        <v>10</v>
      </c>
      <c r="CO122" s="1">
        <f t="array" ref="CO122">SUMPRODUCT($H122:$Y122,(TRANSPOSE(CO$2:CO$19)))</f>
        <v>20</v>
      </c>
      <c r="CP122" s="1">
        <f t="array" ref="CP122">SUMPRODUCT($H122:$Y122,(TRANSPOSE(CP$2:CP$19)))</f>
        <v>30</v>
      </c>
      <c r="CQ122" s="1">
        <f t="array" ref="CQ122">SUMPRODUCT($H122:$Y122,(TRANSPOSE(CQ$2:CQ$19)))</f>
        <v>40</v>
      </c>
      <c r="CR122" s="1">
        <f t="array" ref="CR122">SUMPRODUCT($H122:$Y122,(TRANSPOSE(CR$2:CR$19)))</f>
        <v>50</v>
      </c>
      <c r="CS122" s="1">
        <f t="array" ref="CS122">SUMPRODUCT($H122:$Y122,(TRANSPOSE(CS$2:CS$19)))</f>
        <v>60</v>
      </c>
      <c r="CT122" s="1">
        <f t="array" ref="CT122">SUMPRODUCT($H122:$Y122,(TRANSPOSE(CT$2:CT$19)))</f>
        <v>70</v>
      </c>
      <c r="CU122" s="1">
        <f t="array" ref="CU122">SUMPRODUCT($H122:$Y122,(TRANSPOSE(CU$2:CU$19)))</f>
        <v>80</v>
      </c>
      <c r="CV122" s="1">
        <f t="array" ref="CV122">SUMPRODUCT($H122:$Y122,(TRANSPOSE(CV$2:CV$19)))</f>
        <v>90</v>
      </c>
      <c r="CW122" s="1">
        <f t="array" ref="CW122">SUMPRODUCT($H122:$Y122,(TRANSPOSE(CW$2:CW$19)))</f>
        <v>100</v>
      </c>
      <c r="CX122" s="1">
        <f t="array" ref="CX122">SUMPRODUCT($H122:$Y122,(TRANSPOSE(CX$2:CX$19)))</f>
        <v>110</v>
      </c>
      <c r="CY122" s="1">
        <f t="array" ref="CY122">SUMPRODUCT($H122:$Y122,(TRANSPOSE(CY$2:CY$19)))</f>
        <v>120</v>
      </c>
      <c r="CZ122" s="1">
        <f t="array" ref="CZ122">SUMPRODUCT($H122:$Y122,(TRANSPOSE(CZ$2:CZ$19)))</f>
        <v>130</v>
      </c>
      <c r="DA122" s="1">
        <f t="array" ref="DA122">SUMPRODUCT($H122:$Y122,(TRANSPOSE(DA$2:DA$19)))</f>
        <v>0</v>
      </c>
      <c r="DB122" s="1">
        <f t="array" ref="DB122">SUMPRODUCT($H122:$Y122,(TRANSPOSE(DB$2:DB$19)))</f>
        <v>0</v>
      </c>
      <c r="DC122" s="1">
        <f t="array" ref="DC122">SUMPRODUCT($H122:$Y122,(TRANSPOSE(DC$2:DC$19)))</f>
        <v>0</v>
      </c>
      <c r="DD122" s="1">
        <f t="array" ref="DD122">SUMPRODUCT($H122:$Y122,(TRANSPOSE(DD$2:DD$19)))</f>
        <v>0</v>
      </c>
    </row>
    <row r="123" spans="1:108" ht="13.5" thickBot="1" x14ac:dyDescent="0.25">
      <c r="A123" s="1">
        <v>119</v>
      </c>
      <c r="B123" s="10" t="s">
        <v>9</v>
      </c>
      <c r="C123" s="1" t="s">
        <v>649</v>
      </c>
      <c r="D123" s="1">
        <v>425791842</v>
      </c>
      <c r="F123" s="1" t="s">
        <v>648</v>
      </c>
      <c r="G123" s="1" t="s">
        <v>20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f>SUM(H123:Y123)</f>
        <v>1</v>
      </c>
      <c r="AA123" s="1">
        <f>SUMPRODUCT(H123:Y123,$H$16:$Y$16)</f>
        <v>910</v>
      </c>
      <c r="AB123" s="19" t="s">
        <v>18</v>
      </c>
      <c r="AC123" s="1">
        <v>0</v>
      </c>
      <c r="AD123" s="9"/>
      <c r="AE123" s="1" t="s">
        <v>19</v>
      </c>
      <c r="AF123" s="1">
        <f>AC123</f>
        <v>0</v>
      </c>
      <c r="AG123" s="1">
        <v>1</v>
      </c>
      <c r="AH123" s="1">
        <v>1</v>
      </c>
      <c r="AI123" s="1" t="s">
        <v>18</v>
      </c>
      <c r="AJ123" s="1" t="s">
        <v>18</v>
      </c>
      <c r="AK123" s="1" t="s">
        <v>18</v>
      </c>
      <c r="AL123" s="1" t="s">
        <v>18</v>
      </c>
      <c r="AM123" s="1" t="s">
        <v>18</v>
      </c>
      <c r="AN123" s="2" t="s">
        <v>18</v>
      </c>
      <c r="BO123" s="1">
        <f>SUM($AP123,$AQ123:AQ123)-SUM($CK123:CL123)</f>
        <v>0</v>
      </c>
      <c r="BP123" s="1">
        <f>SUM($AP123,$AQ123:AR123)-SUM($CK123:CM123)</f>
        <v>0</v>
      </c>
      <c r="BQ123" s="1">
        <f>SUM($AP123,$AQ123:AS123)-SUM($CK123:CN123)</f>
        <v>-10</v>
      </c>
      <c r="BR123" s="1">
        <f>SUM($AP123,$AQ123:AT123)-SUM($CK123:CO123)</f>
        <v>-30</v>
      </c>
      <c r="BS123" s="1">
        <f>SUM($AP123,$AQ123:AU123)-SUM($CK123:CP123)</f>
        <v>-60</v>
      </c>
      <c r="BT123" s="1">
        <f>SUM($AP123,$AQ123:AV123)-SUM($CK123:CQ123)</f>
        <v>-100</v>
      </c>
      <c r="BU123" s="1">
        <f>SUM($AP123,$AQ123:AW123)-SUM($CK123:CR123)</f>
        <v>-150</v>
      </c>
      <c r="BV123" s="1">
        <f>SUM($AP123,$AQ123:AX123)-SUM($CK123:CS123)</f>
        <v>-210</v>
      </c>
      <c r="BW123" s="1">
        <f>SUM($AP123,$AQ123:AY123)-SUM($CK123:CT123)</f>
        <v>-280</v>
      </c>
      <c r="BX123" s="1">
        <f>SUM($AP123,$AQ123:AZ123)-SUM($CK123:CU123)</f>
        <v>-360</v>
      </c>
      <c r="BY123" s="1">
        <f>SUM($AP123,$AQ123:BA123)-SUM($CK123:CV123)</f>
        <v>-450</v>
      </c>
      <c r="BZ123" s="1">
        <f>SUM($AP123,$AQ123:BB123)-SUM($CK123:CW123)</f>
        <v>-550</v>
      </c>
      <c r="CA123" s="1">
        <f>SUM($AP123,$AQ123:BC123)-SUM($CK123:CX123)</f>
        <v>-660</v>
      </c>
      <c r="CB123" s="1">
        <f>SUM($AP123,$AQ123:BD123)-SUM($CK123:CY123)</f>
        <v>-780</v>
      </c>
      <c r="CC123" s="1">
        <f>SUM($AP123,$AQ123:BE123)-SUM($CK123:CZ123)</f>
        <v>-910</v>
      </c>
      <c r="CD123" s="1">
        <f>SUM($AP123,$AQ123:BF123)-SUM($CK123:DA123)</f>
        <v>-910</v>
      </c>
      <c r="CE123" s="1">
        <f>SUM($AP123,$AQ123:BG123)-SUM($CK123:DB123)</f>
        <v>-910</v>
      </c>
      <c r="CF123" s="1">
        <f>SUM($AP123,$AQ123:BH123)-SUM($CK123:DC123)</f>
        <v>-910</v>
      </c>
      <c r="CG123" s="1">
        <f>SUM($AP123,$AQ123:BI123)-SUM($CK123:DD123)</f>
        <v>-910</v>
      </c>
      <c r="CK123" s="1">
        <f t="array" ref="CK123">SUMPRODUCT($H123:$Y123,(TRANSPOSE(CK$2:CK$19)))</f>
        <v>0</v>
      </c>
      <c r="CL123" s="1">
        <f t="array" ref="CL123">SUMPRODUCT($H123:$Y123,(TRANSPOSE(CL$2:CL$19)))</f>
        <v>0</v>
      </c>
      <c r="CM123" s="1">
        <f t="array" ref="CM123">SUMPRODUCT($H123:$Y123,(TRANSPOSE(CM$2:CM$19)))</f>
        <v>0</v>
      </c>
      <c r="CN123" s="1">
        <f t="array" ref="CN123">SUMPRODUCT($H123:$Y123,(TRANSPOSE(CN$2:CN$19)))</f>
        <v>10</v>
      </c>
      <c r="CO123" s="1">
        <f t="array" ref="CO123">SUMPRODUCT($H123:$Y123,(TRANSPOSE(CO$2:CO$19)))</f>
        <v>20</v>
      </c>
      <c r="CP123" s="1">
        <f t="array" ref="CP123">SUMPRODUCT($H123:$Y123,(TRANSPOSE(CP$2:CP$19)))</f>
        <v>30</v>
      </c>
      <c r="CQ123" s="1">
        <f t="array" ref="CQ123">SUMPRODUCT($H123:$Y123,(TRANSPOSE(CQ$2:CQ$19)))</f>
        <v>40</v>
      </c>
      <c r="CR123" s="1">
        <f t="array" ref="CR123">SUMPRODUCT($H123:$Y123,(TRANSPOSE(CR$2:CR$19)))</f>
        <v>50</v>
      </c>
      <c r="CS123" s="1">
        <f t="array" ref="CS123">SUMPRODUCT($H123:$Y123,(TRANSPOSE(CS$2:CS$19)))</f>
        <v>60</v>
      </c>
      <c r="CT123" s="1">
        <f t="array" ref="CT123">SUMPRODUCT($H123:$Y123,(TRANSPOSE(CT$2:CT$19)))</f>
        <v>70</v>
      </c>
      <c r="CU123" s="1">
        <f t="array" ref="CU123">SUMPRODUCT($H123:$Y123,(TRANSPOSE(CU$2:CU$19)))</f>
        <v>80</v>
      </c>
      <c r="CV123" s="1">
        <f t="array" ref="CV123">SUMPRODUCT($H123:$Y123,(TRANSPOSE(CV$2:CV$19)))</f>
        <v>90</v>
      </c>
      <c r="CW123" s="1">
        <f t="array" ref="CW123">SUMPRODUCT($H123:$Y123,(TRANSPOSE(CW$2:CW$19)))</f>
        <v>100</v>
      </c>
      <c r="CX123" s="1">
        <f t="array" ref="CX123">SUMPRODUCT($H123:$Y123,(TRANSPOSE(CX$2:CX$19)))</f>
        <v>110</v>
      </c>
      <c r="CY123" s="1">
        <f t="array" ref="CY123">SUMPRODUCT($H123:$Y123,(TRANSPOSE(CY$2:CY$19)))</f>
        <v>120</v>
      </c>
      <c r="CZ123" s="1">
        <f t="array" ref="CZ123">SUMPRODUCT($H123:$Y123,(TRANSPOSE(CZ$2:CZ$19)))</f>
        <v>130</v>
      </c>
      <c r="DA123" s="1">
        <f t="array" ref="DA123">SUMPRODUCT($H123:$Y123,(TRANSPOSE(DA$2:DA$19)))</f>
        <v>0</v>
      </c>
      <c r="DB123" s="1">
        <f t="array" ref="DB123">SUMPRODUCT($H123:$Y123,(TRANSPOSE(DB$2:DB$19)))</f>
        <v>0</v>
      </c>
      <c r="DC123" s="1">
        <f t="array" ref="DC123">SUMPRODUCT($H123:$Y123,(TRANSPOSE(DC$2:DC$19)))</f>
        <v>0</v>
      </c>
      <c r="DD123" s="1">
        <f t="array" ref="DD123">SUMPRODUCT($H123:$Y123,(TRANSPOSE(DD$2:DD$19)))</f>
        <v>0</v>
      </c>
    </row>
    <row r="124" spans="1:108" ht="13.5" thickBot="1" x14ac:dyDescent="0.25">
      <c r="A124" s="1">
        <v>120</v>
      </c>
      <c r="B124" s="10" t="s">
        <v>647</v>
      </c>
      <c r="C124" s="1" t="s">
        <v>19</v>
      </c>
      <c r="D124" s="1">
        <v>417711848</v>
      </c>
      <c r="F124" s="1" t="s">
        <v>646</v>
      </c>
      <c r="G124" s="1" t="s">
        <v>20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f>SUM(H124:Y124)</f>
        <v>1</v>
      </c>
      <c r="AA124" s="1">
        <f>SUMPRODUCT(H124:Y124,$H$16:$Y$16)</f>
        <v>910</v>
      </c>
      <c r="AB124" s="19" t="s">
        <v>18</v>
      </c>
      <c r="AC124" s="1">
        <v>0</v>
      </c>
      <c r="AD124" s="9"/>
      <c r="AE124" s="1" t="s">
        <v>19</v>
      </c>
      <c r="AF124" s="1">
        <f>AC124</f>
        <v>0</v>
      </c>
      <c r="AG124" s="1">
        <v>1</v>
      </c>
      <c r="AH124" s="1">
        <v>1</v>
      </c>
      <c r="AI124" s="1" t="s">
        <v>18</v>
      </c>
      <c r="AJ124" s="1" t="s">
        <v>18</v>
      </c>
      <c r="AK124" s="1" t="s">
        <v>18</v>
      </c>
      <c r="AL124" s="1" t="s">
        <v>18</v>
      </c>
      <c r="AM124" s="1" t="s">
        <v>18</v>
      </c>
      <c r="AN124" s="2" t="s">
        <v>18</v>
      </c>
      <c r="BO124" s="1">
        <f>SUM($AP124,$AQ124:AQ124)-SUM($CK124:CL124)</f>
        <v>0</v>
      </c>
      <c r="BP124" s="1">
        <f>SUM($AP124,$AQ124:AR124)-SUM($CK124:CM124)</f>
        <v>0</v>
      </c>
      <c r="BQ124" s="1">
        <f>SUM($AP124,$AQ124:AS124)-SUM($CK124:CN124)</f>
        <v>0</v>
      </c>
      <c r="BR124" s="1">
        <f>SUM($AP124,$AQ124:AT124)-SUM($CK124:CO124)</f>
        <v>-10</v>
      </c>
      <c r="BS124" s="1">
        <f>SUM($AP124,$AQ124:AU124)-SUM($CK124:CP124)</f>
        <v>-30</v>
      </c>
      <c r="BT124" s="1">
        <f>SUM($AP124,$AQ124:AV124)-SUM($CK124:CQ124)</f>
        <v>-60</v>
      </c>
      <c r="BU124" s="1">
        <f>SUM($AP124,$AQ124:AW124)-SUM($CK124:CR124)</f>
        <v>-100</v>
      </c>
      <c r="BV124" s="1">
        <f>SUM($AP124,$AQ124:AX124)-SUM($CK124:CS124)</f>
        <v>-150</v>
      </c>
      <c r="BW124" s="1">
        <f>SUM($AP124,$AQ124:AY124)-SUM($CK124:CT124)</f>
        <v>-210</v>
      </c>
      <c r="BX124" s="1">
        <f>SUM($AP124,$AQ124:AZ124)-SUM($CK124:CU124)</f>
        <v>-280</v>
      </c>
      <c r="BY124" s="1">
        <f>SUM($AP124,$AQ124:BA124)-SUM($CK124:CV124)</f>
        <v>-360</v>
      </c>
      <c r="BZ124" s="1">
        <f>SUM($AP124,$AQ124:BB124)-SUM($CK124:CW124)</f>
        <v>-450</v>
      </c>
      <c r="CA124" s="1">
        <f>SUM($AP124,$AQ124:BC124)-SUM($CK124:CX124)</f>
        <v>-550</v>
      </c>
      <c r="CB124" s="1">
        <f>SUM($AP124,$AQ124:BD124)-SUM($CK124:CY124)</f>
        <v>-660</v>
      </c>
      <c r="CC124" s="1">
        <f>SUM($AP124,$AQ124:BE124)-SUM($CK124:CZ124)</f>
        <v>-780</v>
      </c>
      <c r="CD124" s="1">
        <f>SUM($AP124,$AQ124:BF124)-SUM($CK124:DA124)</f>
        <v>-910</v>
      </c>
      <c r="CE124" s="1">
        <f>SUM($AP124,$AQ124:BG124)-SUM($CK124:DB124)</f>
        <v>-910</v>
      </c>
      <c r="CF124" s="1">
        <f>SUM($AP124,$AQ124:BH124)-SUM($CK124:DC124)</f>
        <v>-910</v>
      </c>
      <c r="CG124" s="1">
        <f>SUM($AP124,$AQ124:BI124)-SUM($CK124:DD124)</f>
        <v>-910</v>
      </c>
      <c r="CK124" s="1">
        <f t="array" ref="CK124">SUMPRODUCT($H124:$Y124,(TRANSPOSE(CK$2:CK$19)))</f>
        <v>0</v>
      </c>
      <c r="CL124" s="1">
        <f t="array" ref="CL124">SUMPRODUCT($H124:$Y124,(TRANSPOSE(CL$2:CL$19)))</f>
        <v>0</v>
      </c>
      <c r="CM124" s="1">
        <f t="array" ref="CM124">SUMPRODUCT($H124:$Y124,(TRANSPOSE(CM$2:CM$19)))</f>
        <v>0</v>
      </c>
      <c r="CN124" s="1">
        <f t="array" ref="CN124">SUMPRODUCT($H124:$Y124,(TRANSPOSE(CN$2:CN$19)))</f>
        <v>0</v>
      </c>
      <c r="CO124" s="1">
        <f t="array" ref="CO124">SUMPRODUCT($H124:$Y124,(TRANSPOSE(CO$2:CO$19)))</f>
        <v>10</v>
      </c>
      <c r="CP124" s="1">
        <f t="array" ref="CP124">SUMPRODUCT($H124:$Y124,(TRANSPOSE(CP$2:CP$19)))</f>
        <v>20</v>
      </c>
      <c r="CQ124" s="1">
        <f t="array" ref="CQ124">SUMPRODUCT($H124:$Y124,(TRANSPOSE(CQ$2:CQ$19)))</f>
        <v>30</v>
      </c>
      <c r="CR124" s="1">
        <f t="array" ref="CR124">SUMPRODUCT($H124:$Y124,(TRANSPOSE(CR$2:CR$19)))</f>
        <v>40</v>
      </c>
      <c r="CS124" s="1">
        <f t="array" ref="CS124">SUMPRODUCT($H124:$Y124,(TRANSPOSE(CS$2:CS$19)))</f>
        <v>50</v>
      </c>
      <c r="CT124" s="1">
        <f t="array" ref="CT124">SUMPRODUCT($H124:$Y124,(TRANSPOSE(CT$2:CT$19)))</f>
        <v>60</v>
      </c>
      <c r="CU124" s="1">
        <f t="array" ref="CU124">SUMPRODUCT($H124:$Y124,(TRANSPOSE(CU$2:CU$19)))</f>
        <v>70</v>
      </c>
      <c r="CV124" s="1">
        <f t="array" ref="CV124">SUMPRODUCT($H124:$Y124,(TRANSPOSE(CV$2:CV$19)))</f>
        <v>80</v>
      </c>
      <c r="CW124" s="1">
        <f t="array" ref="CW124">SUMPRODUCT($H124:$Y124,(TRANSPOSE(CW$2:CW$19)))</f>
        <v>90</v>
      </c>
      <c r="CX124" s="1">
        <f t="array" ref="CX124">SUMPRODUCT($H124:$Y124,(TRANSPOSE(CX$2:CX$19)))</f>
        <v>100</v>
      </c>
      <c r="CY124" s="1">
        <f t="array" ref="CY124">SUMPRODUCT($H124:$Y124,(TRANSPOSE(CY$2:CY$19)))</f>
        <v>110</v>
      </c>
      <c r="CZ124" s="1">
        <f t="array" ref="CZ124">SUMPRODUCT($H124:$Y124,(TRANSPOSE(CZ$2:CZ$19)))</f>
        <v>120</v>
      </c>
      <c r="DA124" s="1">
        <f t="array" ref="DA124">SUMPRODUCT($H124:$Y124,(TRANSPOSE(DA$2:DA$19)))</f>
        <v>130</v>
      </c>
      <c r="DB124" s="1">
        <f t="array" ref="DB124">SUMPRODUCT($H124:$Y124,(TRANSPOSE(DB$2:DB$19)))</f>
        <v>0</v>
      </c>
      <c r="DC124" s="1">
        <f t="array" ref="DC124">SUMPRODUCT($H124:$Y124,(TRANSPOSE(DC$2:DC$19)))</f>
        <v>0</v>
      </c>
      <c r="DD124" s="1">
        <f t="array" ref="DD124">SUMPRODUCT($H124:$Y124,(TRANSPOSE(DD$2:DD$19)))</f>
        <v>0</v>
      </c>
    </row>
    <row r="125" spans="1:108" ht="13.5" thickBot="1" x14ac:dyDescent="0.25">
      <c r="A125" s="1">
        <v>121</v>
      </c>
      <c r="B125" s="10" t="s">
        <v>645</v>
      </c>
      <c r="C125" s="1" t="s">
        <v>19</v>
      </c>
      <c r="D125" s="1">
        <v>417711846</v>
      </c>
      <c r="F125" s="1" t="s">
        <v>644</v>
      </c>
      <c r="G125" s="1" t="s">
        <v>20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f>SUM(H125:Y125)</f>
        <v>1</v>
      </c>
      <c r="AA125" s="1">
        <f>SUMPRODUCT(H125:Y125,$H$16:$Y$16)</f>
        <v>910</v>
      </c>
      <c r="AB125" s="19" t="s">
        <v>18</v>
      </c>
      <c r="AC125" s="1">
        <v>0</v>
      </c>
      <c r="AD125" s="9"/>
      <c r="AE125" s="1" t="s">
        <v>19</v>
      </c>
      <c r="AF125" s="1">
        <f>AC125</f>
        <v>0</v>
      </c>
      <c r="AG125" s="1">
        <v>1</v>
      </c>
      <c r="AH125" s="1">
        <v>1</v>
      </c>
      <c r="AI125" s="1" t="s">
        <v>18</v>
      </c>
      <c r="AJ125" s="1" t="s">
        <v>18</v>
      </c>
      <c r="AK125" s="1" t="s">
        <v>18</v>
      </c>
      <c r="AL125" s="1" t="s">
        <v>18</v>
      </c>
      <c r="AM125" s="1" t="s">
        <v>18</v>
      </c>
      <c r="AN125" s="2" t="s">
        <v>18</v>
      </c>
      <c r="BO125" s="1">
        <f>SUM($AP125,$AQ125:AQ125)-SUM($CK125:CL125)</f>
        <v>0</v>
      </c>
      <c r="BP125" s="1">
        <f>SUM($AP125,$AQ125:AR125)-SUM($CK125:CM125)</f>
        <v>0</v>
      </c>
      <c r="BQ125" s="1">
        <f>SUM($AP125,$AQ125:AS125)-SUM($CK125:CN125)</f>
        <v>0</v>
      </c>
      <c r="BR125" s="1">
        <f>SUM($AP125,$AQ125:AT125)-SUM($CK125:CO125)</f>
        <v>-10</v>
      </c>
      <c r="BS125" s="1">
        <f>SUM($AP125,$AQ125:AU125)-SUM($CK125:CP125)</f>
        <v>-30</v>
      </c>
      <c r="BT125" s="1">
        <f>SUM($AP125,$AQ125:AV125)-SUM($CK125:CQ125)</f>
        <v>-60</v>
      </c>
      <c r="BU125" s="1">
        <f>SUM($AP125,$AQ125:AW125)-SUM($CK125:CR125)</f>
        <v>-100</v>
      </c>
      <c r="BV125" s="1">
        <f>SUM($AP125,$AQ125:AX125)-SUM($CK125:CS125)</f>
        <v>-150</v>
      </c>
      <c r="BW125" s="1">
        <f>SUM($AP125,$AQ125:AY125)-SUM($CK125:CT125)</f>
        <v>-210</v>
      </c>
      <c r="BX125" s="1">
        <f>SUM($AP125,$AQ125:AZ125)-SUM($CK125:CU125)</f>
        <v>-280</v>
      </c>
      <c r="BY125" s="1">
        <f>SUM($AP125,$AQ125:BA125)-SUM($CK125:CV125)</f>
        <v>-360</v>
      </c>
      <c r="BZ125" s="1">
        <f>SUM($AP125,$AQ125:BB125)-SUM($CK125:CW125)</f>
        <v>-450</v>
      </c>
      <c r="CA125" s="1">
        <f>SUM($AP125,$AQ125:BC125)-SUM($CK125:CX125)</f>
        <v>-550</v>
      </c>
      <c r="CB125" s="1">
        <f>SUM($AP125,$AQ125:BD125)-SUM($CK125:CY125)</f>
        <v>-660</v>
      </c>
      <c r="CC125" s="1">
        <f>SUM($AP125,$AQ125:BE125)-SUM($CK125:CZ125)</f>
        <v>-780</v>
      </c>
      <c r="CD125" s="1">
        <f>SUM($AP125,$AQ125:BF125)-SUM($CK125:DA125)</f>
        <v>-910</v>
      </c>
      <c r="CE125" s="1">
        <f>SUM($AP125,$AQ125:BG125)-SUM($CK125:DB125)</f>
        <v>-910</v>
      </c>
      <c r="CF125" s="1">
        <f>SUM($AP125,$AQ125:BH125)-SUM($CK125:DC125)</f>
        <v>-910</v>
      </c>
      <c r="CG125" s="1">
        <f>SUM($AP125,$AQ125:BI125)-SUM($CK125:DD125)</f>
        <v>-910</v>
      </c>
      <c r="CK125" s="1">
        <f t="array" ref="CK125">SUMPRODUCT($H125:$Y125,(TRANSPOSE(CK$2:CK$19)))</f>
        <v>0</v>
      </c>
      <c r="CL125" s="1">
        <f t="array" ref="CL125">SUMPRODUCT($H125:$Y125,(TRANSPOSE(CL$2:CL$19)))</f>
        <v>0</v>
      </c>
      <c r="CM125" s="1">
        <f t="array" ref="CM125">SUMPRODUCT($H125:$Y125,(TRANSPOSE(CM$2:CM$19)))</f>
        <v>0</v>
      </c>
      <c r="CN125" s="1">
        <f t="array" ref="CN125">SUMPRODUCT($H125:$Y125,(TRANSPOSE(CN$2:CN$19)))</f>
        <v>0</v>
      </c>
      <c r="CO125" s="1">
        <f t="array" ref="CO125">SUMPRODUCT($H125:$Y125,(TRANSPOSE(CO$2:CO$19)))</f>
        <v>10</v>
      </c>
      <c r="CP125" s="1">
        <f t="array" ref="CP125">SUMPRODUCT($H125:$Y125,(TRANSPOSE(CP$2:CP$19)))</f>
        <v>20</v>
      </c>
      <c r="CQ125" s="1">
        <f t="array" ref="CQ125">SUMPRODUCT($H125:$Y125,(TRANSPOSE(CQ$2:CQ$19)))</f>
        <v>30</v>
      </c>
      <c r="CR125" s="1">
        <f t="array" ref="CR125">SUMPRODUCT($H125:$Y125,(TRANSPOSE(CR$2:CR$19)))</f>
        <v>40</v>
      </c>
      <c r="CS125" s="1">
        <f t="array" ref="CS125">SUMPRODUCT($H125:$Y125,(TRANSPOSE(CS$2:CS$19)))</f>
        <v>50</v>
      </c>
      <c r="CT125" s="1">
        <f t="array" ref="CT125">SUMPRODUCT($H125:$Y125,(TRANSPOSE(CT$2:CT$19)))</f>
        <v>60</v>
      </c>
      <c r="CU125" s="1">
        <f t="array" ref="CU125">SUMPRODUCT($H125:$Y125,(TRANSPOSE(CU$2:CU$19)))</f>
        <v>70</v>
      </c>
      <c r="CV125" s="1">
        <f t="array" ref="CV125">SUMPRODUCT($H125:$Y125,(TRANSPOSE(CV$2:CV$19)))</f>
        <v>80</v>
      </c>
      <c r="CW125" s="1">
        <f t="array" ref="CW125">SUMPRODUCT($H125:$Y125,(TRANSPOSE(CW$2:CW$19)))</f>
        <v>90</v>
      </c>
      <c r="CX125" s="1">
        <f t="array" ref="CX125">SUMPRODUCT($H125:$Y125,(TRANSPOSE(CX$2:CX$19)))</f>
        <v>100</v>
      </c>
      <c r="CY125" s="1">
        <f t="array" ref="CY125">SUMPRODUCT($H125:$Y125,(TRANSPOSE(CY$2:CY$19)))</f>
        <v>110</v>
      </c>
      <c r="CZ125" s="1">
        <f t="array" ref="CZ125">SUMPRODUCT($H125:$Y125,(TRANSPOSE(CZ$2:CZ$19)))</f>
        <v>120</v>
      </c>
      <c r="DA125" s="1">
        <f t="array" ref="DA125">SUMPRODUCT($H125:$Y125,(TRANSPOSE(DA$2:DA$19)))</f>
        <v>130</v>
      </c>
      <c r="DB125" s="1">
        <f t="array" ref="DB125">SUMPRODUCT($H125:$Y125,(TRANSPOSE(DB$2:DB$19)))</f>
        <v>0</v>
      </c>
      <c r="DC125" s="1">
        <f t="array" ref="DC125">SUMPRODUCT($H125:$Y125,(TRANSPOSE(DC$2:DC$19)))</f>
        <v>0</v>
      </c>
      <c r="DD125" s="1">
        <f t="array" ref="DD125">SUMPRODUCT($H125:$Y125,(TRANSPOSE(DD$2:DD$19)))</f>
        <v>0</v>
      </c>
    </row>
    <row r="126" spans="1:108" ht="13.5" thickBot="1" x14ac:dyDescent="0.25">
      <c r="A126" s="1">
        <v>124</v>
      </c>
      <c r="B126" s="10" t="s">
        <v>14</v>
      </c>
      <c r="C126" s="1" t="s">
        <v>643</v>
      </c>
      <c r="D126" s="1">
        <v>423206890</v>
      </c>
      <c r="F126" s="1" t="s">
        <v>642</v>
      </c>
      <c r="G126" s="1" t="s">
        <v>20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f>SUM(H126:Y126)</f>
        <v>1</v>
      </c>
      <c r="AA126" s="1">
        <f>SUMPRODUCT(H126:Y126,$H$16:$Y$16)</f>
        <v>910</v>
      </c>
      <c r="AB126" s="19" t="s">
        <v>18</v>
      </c>
      <c r="AC126" s="1">
        <v>0</v>
      </c>
      <c r="AD126" s="9"/>
      <c r="AE126" s="1" t="s">
        <v>19</v>
      </c>
      <c r="AF126" s="1">
        <f>AC126</f>
        <v>0</v>
      </c>
      <c r="AG126" s="1">
        <v>1</v>
      </c>
      <c r="AH126" s="1">
        <v>1</v>
      </c>
      <c r="AI126" s="1" t="s">
        <v>18</v>
      </c>
      <c r="AJ126" s="1" t="s">
        <v>18</v>
      </c>
      <c r="AK126" s="1" t="s">
        <v>18</v>
      </c>
      <c r="AL126" s="1" t="s">
        <v>18</v>
      </c>
      <c r="AM126" s="1" t="s">
        <v>18</v>
      </c>
      <c r="AN126" s="2" t="s">
        <v>18</v>
      </c>
      <c r="BO126" s="1">
        <f>SUM($AP126,$AQ126:AQ126)-SUM($CK126:CL126)</f>
        <v>0</v>
      </c>
      <c r="BP126" s="1">
        <f>SUM($AP126,$AQ126:AR126)-SUM($CK126:CM126)</f>
        <v>0</v>
      </c>
      <c r="BQ126" s="1">
        <f>SUM($AP126,$AQ126:AS126)-SUM($CK126:CN126)</f>
        <v>0</v>
      </c>
      <c r="BR126" s="1">
        <f>SUM($AP126,$AQ126:AT126)-SUM($CK126:CO126)</f>
        <v>0</v>
      </c>
      <c r="BS126" s="1">
        <f>SUM($AP126,$AQ126:AU126)-SUM($CK126:CP126)</f>
        <v>0</v>
      </c>
      <c r="BT126" s="1">
        <f>SUM($AP126,$AQ126:AV126)-SUM($CK126:CQ126)</f>
        <v>-10</v>
      </c>
      <c r="BU126" s="1">
        <f>SUM($AP126,$AQ126:AW126)-SUM($CK126:CR126)</f>
        <v>-30</v>
      </c>
      <c r="BV126" s="1">
        <f>SUM($AP126,$AQ126:AX126)-SUM($CK126:CS126)</f>
        <v>-60</v>
      </c>
      <c r="BW126" s="1">
        <f>SUM($AP126,$AQ126:AY126)-SUM($CK126:CT126)</f>
        <v>-100</v>
      </c>
      <c r="BX126" s="1">
        <f>SUM($AP126,$AQ126:AZ126)-SUM($CK126:CU126)</f>
        <v>-150</v>
      </c>
      <c r="BY126" s="1">
        <f>SUM($AP126,$AQ126:BA126)-SUM($CK126:CV126)</f>
        <v>-210</v>
      </c>
      <c r="BZ126" s="1">
        <f>SUM($AP126,$AQ126:BB126)-SUM($CK126:CW126)</f>
        <v>-280</v>
      </c>
      <c r="CA126" s="1">
        <f>SUM($AP126,$AQ126:BC126)-SUM($CK126:CX126)</f>
        <v>-360</v>
      </c>
      <c r="CB126" s="1">
        <f>SUM($AP126,$AQ126:BD126)-SUM($CK126:CY126)</f>
        <v>-450</v>
      </c>
      <c r="CC126" s="1">
        <f>SUM($AP126,$AQ126:BE126)-SUM($CK126:CZ126)</f>
        <v>-550</v>
      </c>
      <c r="CD126" s="1">
        <f>SUM($AP126,$AQ126:BF126)-SUM($CK126:DA126)</f>
        <v>-660</v>
      </c>
      <c r="CE126" s="1">
        <f>SUM($AP126,$AQ126:BG126)-SUM($CK126:DB126)</f>
        <v>-780</v>
      </c>
      <c r="CF126" s="1">
        <f>SUM($AP126,$AQ126:BH126)-SUM($CK126:DC126)</f>
        <v>-910</v>
      </c>
      <c r="CG126" s="1">
        <f>SUM($AP126,$AQ126:BI126)-SUM($CK126:DD126)</f>
        <v>-910</v>
      </c>
      <c r="CK126" s="1">
        <f t="array" ref="CK126">SUMPRODUCT($H126:$Y126,(TRANSPOSE(CK$2:CK$19)))</f>
        <v>0</v>
      </c>
      <c r="CL126" s="1">
        <f t="array" ref="CL126">SUMPRODUCT($H126:$Y126,(TRANSPOSE(CL$2:CL$19)))</f>
        <v>0</v>
      </c>
      <c r="CM126" s="1">
        <f t="array" ref="CM126">SUMPRODUCT($H126:$Y126,(TRANSPOSE(CM$2:CM$19)))</f>
        <v>0</v>
      </c>
      <c r="CN126" s="1">
        <f t="array" ref="CN126">SUMPRODUCT($H126:$Y126,(TRANSPOSE(CN$2:CN$19)))</f>
        <v>0</v>
      </c>
      <c r="CO126" s="1">
        <f t="array" ref="CO126">SUMPRODUCT($H126:$Y126,(TRANSPOSE(CO$2:CO$19)))</f>
        <v>0</v>
      </c>
      <c r="CP126" s="1">
        <f t="array" ref="CP126">SUMPRODUCT($H126:$Y126,(TRANSPOSE(CP$2:CP$19)))</f>
        <v>0</v>
      </c>
      <c r="CQ126" s="1">
        <f t="array" ref="CQ126">SUMPRODUCT($H126:$Y126,(TRANSPOSE(CQ$2:CQ$19)))</f>
        <v>10</v>
      </c>
      <c r="CR126" s="1">
        <f t="array" ref="CR126">SUMPRODUCT($H126:$Y126,(TRANSPOSE(CR$2:CR$19)))</f>
        <v>20</v>
      </c>
      <c r="CS126" s="1">
        <f t="array" ref="CS126">SUMPRODUCT($H126:$Y126,(TRANSPOSE(CS$2:CS$19)))</f>
        <v>30</v>
      </c>
      <c r="CT126" s="1">
        <f t="array" ref="CT126">SUMPRODUCT($H126:$Y126,(TRANSPOSE(CT$2:CT$19)))</f>
        <v>40</v>
      </c>
      <c r="CU126" s="1">
        <f t="array" ref="CU126">SUMPRODUCT($H126:$Y126,(TRANSPOSE(CU$2:CU$19)))</f>
        <v>50</v>
      </c>
      <c r="CV126" s="1">
        <f t="array" ref="CV126">SUMPRODUCT($H126:$Y126,(TRANSPOSE(CV$2:CV$19)))</f>
        <v>60</v>
      </c>
      <c r="CW126" s="1">
        <f t="array" ref="CW126">SUMPRODUCT($H126:$Y126,(TRANSPOSE(CW$2:CW$19)))</f>
        <v>70</v>
      </c>
      <c r="CX126" s="1">
        <f t="array" ref="CX126">SUMPRODUCT($H126:$Y126,(TRANSPOSE(CX$2:CX$19)))</f>
        <v>80</v>
      </c>
      <c r="CY126" s="1">
        <f t="array" ref="CY126">SUMPRODUCT($H126:$Y126,(TRANSPOSE(CY$2:CY$19)))</f>
        <v>90</v>
      </c>
      <c r="CZ126" s="1">
        <f t="array" ref="CZ126">SUMPRODUCT($H126:$Y126,(TRANSPOSE(CZ$2:CZ$19)))</f>
        <v>100</v>
      </c>
      <c r="DA126" s="1">
        <f t="array" ref="DA126">SUMPRODUCT($H126:$Y126,(TRANSPOSE(DA$2:DA$19)))</f>
        <v>110</v>
      </c>
      <c r="DB126" s="1">
        <f t="array" ref="DB126">SUMPRODUCT($H126:$Y126,(TRANSPOSE(DB$2:DB$19)))</f>
        <v>120</v>
      </c>
      <c r="DC126" s="1">
        <f t="array" ref="DC126">SUMPRODUCT($H126:$Y126,(TRANSPOSE(DC$2:DC$19)))</f>
        <v>130</v>
      </c>
      <c r="DD126" s="1">
        <f t="array" ref="DD126">SUMPRODUCT($H126:$Y126,(TRANSPOSE(DD$2:DD$19)))</f>
        <v>0</v>
      </c>
    </row>
    <row r="127" spans="1:108" ht="13.5" thickBot="1" x14ac:dyDescent="0.25">
      <c r="A127" s="1">
        <v>125</v>
      </c>
      <c r="B127" s="10" t="s">
        <v>641</v>
      </c>
      <c r="C127" s="1" t="s">
        <v>19</v>
      </c>
      <c r="D127" s="1">
        <v>423199570</v>
      </c>
      <c r="F127" s="1" t="s">
        <v>640</v>
      </c>
      <c r="G127" s="1" t="s">
        <v>20</v>
      </c>
      <c r="H127" s="1">
        <v>0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f>SUM(H127:Y127)</f>
        <v>1</v>
      </c>
      <c r="AA127" s="1">
        <f>SUMPRODUCT(H127:Y127,$H$16:$Y$16)</f>
        <v>910</v>
      </c>
      <c r="AB127" s="19" t="s">
        <v>18</v>
      </c>
      <c r="AC127" s="1">
        <v>0</v>
      </c>
      <c r="AD127" s="9"/>
      <c r="AE127" s="1" t="s">
        <v>19</v>
      </c>
      <c r="AF127" s="1">
        <f>AC127</f>
        <v>0</v>
      </c>
      <c r="AG127" s="1">
        <v>1</v>
      </c>
      <c r="AH127" s="1">
        <v>1</v>
      </c>
      <c r="AI127" s="1" t="s">
        <v>18</v>
      </c>
      <c r="AJ127" s="1" t="s">
        <v>18</v>
      </c>
      <c r="AK127" s="1" t="s">
        <v>18</v>
      </c>
      <c r="AL127" s="1" t="s">
        <v>18</v>
      </c>
      <c r="AM127" s="1" t="s">
        <v>18</v>
      </c>
      <c r="AN127" s="2" t="s">
        <v>18</v>
      </c>
      <c r="BO127" s="1">
        <f>SUM($AP127,$AQ127:AQ127)-SUM($CK127:CL127)</f>
        <v>0</v>
      </c>
      <c r="BP127" s="1">
        <f>SUM($AP127,$AQ127:AR127)-SUM($CK127:CM127)</f>
        <v>0</v>
      </c>
      <c r="BQ127" s="1">
        <f>SUM($AP127,$AQ127:AS127)-SUM($CK127:CN127)</f>
        <v>0</v>
      </c>
      <c r="BR127" s="1">
        <f>SUM($AP127,$AQ127:AT127)-SUM($CK127:CO127)</f>
        <v>0</v>
      </c>
      <c r="BS127" s="1">
        <f>SUM($AP127,$AQ127:AU127)-SUM($CK127:CP127)</f>
        <v>-10</v>
      </c>
      <c r="BT127" s="1">
        <f>SUM($AP127,$AQ127:AV127)-SUM($CK127:CQ127)</f>
        <v>-30</v>
      </c>
      <c r="BU127" s="1">
        <f>SUM($AP127,$AQ127:AW127)-SUM($CK127:CR127)</f>
        <v>-60</v>
      </c>
      <c r="BV127" s="1">
        <f>SUM($AP127,$AQ127:AX127)-SUM($CK127:CS127)</f>
        <v>-100</v>
      </c>
      <c r="BW127" s="1">
        <f>SUM($AP127,$AQ127:AY127)-SUM($CK127:CT127)</f>
        <v>-150</v>
      </c>
      <c r="BX127" s="1">
        <f>SUM($AP127,$AQ127:AZ127)-SUM($CK127:CU127)</f>
        <v>-210</v>
      </c>
      <c r="BY127" s="1">
        <f>SUM($AP127,$AQ127:BA127)-SUM($CK127:CV127)</f>
        <v>-280</v>
      </c>
      <c r="BZ127" s="1">
        <f>SUM($AP127,$AQ127:BB127)-SUM($CK127:CW127)</f>
        <v>-360</v>
      </c>
      <c r="CA127" s="1">
        <f>SUM($AP127,$AQ127:BC127)-SUM($CK127:CX127)</f>
        <v>-450</v>
      </c>
      <c r="CB127" s="1">
        <f>SUM($AP127,$AQ127:BD127)-SUM($CK127:CY127)</f>
        <v>-550</v>
      </c>
      <c r="CC127" s="1">
        <f>SUM($AP127,$AQ127:BE127)-SUM($CK127:CZ127)</f>
        <v>-660</v>
      </c>
      <c r="CD127" s="1">
        <f>SUM($AP127,$AQ127:BF127)-SUM($CK127:DA127)</f>
        <v>-780</v>
      </c>
      <c r="CE127" s="1">
        <f>SUM($AP127,$AQ127:BG127)-SUM($CK127:DB127)</f>
        <v>-910</v>
      </c>
      <c r="CF127" s="1">
        <f>SUM($AP127,$AQ127:BH127)-SUM($CK127:DC127)</f>
        <v>-910</v>
      </c>
      <c r="CG127" s="1">
        <f>SUM($AP127,$AQ127:BI127)-SUM($CK127:DD127)</f>
        <v>-910</v>
      </c>
      <c r="CK127" s="1">
        <f t="array" ref="CK127">SUMPRODUCT($H127:$Y127,(TRANSPOSE(CK$2:CK$19)))</f>
        <v>0</v>
      </c>
      <c r="CL127" s="1">
        <f t="array" ref="CL127">SUMPRODUCT($H127:$Y127,(TRANSPOSE(CL$2:CL$19)))</f>
        <v>0</v>
      </c>
      <c r="CM127" s="1">
        <f t="array" ref="CM127">SUMPRODUCT($H127:$Y127,(TRANSPOSE(CM$2:CM$19)))</f>
        <v>0</v>
      </c>
      <c r="CN127" s="1">
        <f t="array" ref="CN127">SUMPRODUCT($H127:$Y127,(TRANSPOSE(CN$2:CN$19)))</f>
        <v>0</v>
      </c>
      <c r="CO127" s="1">
        <f t="array" ref="CO127">SUMPRODUCT($H127:$Y127,(TRANSPOSE(CO$2:CO$19)))</f>
        <v>0</v>
      </c>
      <c r="CP127" s="1">
        <f t="array" ref="CP127">SUMPRODUCT($H127:$Y127,(TRANSPOSE(CP$2:CP$19)))</f>
        <v>10</v>
      </c>
      <c r="CQ127" s="1">
        <f t="array" ref="CQ127">SUMPRODUCT($H127:$Y127,(TRANSPOSE(CQ$2:CQ$19)))</f>
        <v>20</v>
      </c>
      <c r="CR127" s="1">
        <f t="array" ref="CR127">SUMPRODUCT($H127:$Y127,(TRANSPOSE(CR$2:CR$19)))</f>
        <v>30</v>
      </c>
      <c r="CS127" s="1">
        <f t="array" ref="CS127">SUMPRODUCT($H127:$Y127,(TRANSPOSE(CS$2:CS$19)))</f>
        <v>40</v>
      </c>
      <c r="CT127" s="1">
        <f t="array" ref="CT127">SUMPRODUCT($H127:$Y127,(TRANSPOSE(CT$2:CT$19)))</f>
        <v>50</v>
      </c>
      <c r="CU127" s="1">
        <f t="array" ref="CU127">SUMPRODUCT($H127:$Y127,(TRANSPOSE(CU$2:CU$19)))</f>
        <v>60</v>
      </c>
      <c r="CV127" s="1">
        <f t="array" ref="CV127">SUMPRODUCT($H127:$Y127,(TRANSPOSE(CV$2:CV$19)))</f>
        <v>70</v>
      </c>
      <c r="CW127" s="1">
        <f t="array" ref="CW127">SUMPRODUCT($H127:$Y127,(TRANSPOSE(CW$2:CW$19)))</f>
        <v>80</v>
      </c>
      <c r="CX127" s="1">
        <f t="array" ref="CX127">SUMPRODUCT($H127:$Y127,(TRANSPOSE(CX$2:CX$19)))</f>
        <v>90</v>
      </c>
      <c r="CY127" s="1">
        <f t="array" ref="CY127">SUMPRODUCT($H127:$Y127,(TRANSPOSE(CY$2:CY$19)))</f>
        <v>100</v>
      </c>
      <c r="CZ127" s="1">
        <f t="array" ref="CZ127">SUMPRODUCT($H127:$Y127,(TRANSPOSE(CZ$2:CZ$19)))</f>
        <v>110</v>
      </c>
      <c r="DA127" s="1">
        <f t="array" ref="DA127">SUMPRODUCT($H127:$Y127,(TRANSPOSE(DA$2:DA$19)))</f>
        <v>120</v>
      </c>
      <c r="DB127" s="1">
        <f t="array" ref="DB127">SUMPRODUCT($H127:$Y127,(TRANSPOSE(DB$2:DB$19)))</f>
        <v>130</v>
      </c>
      <c r="DC127" s="1">
        <f t="array" ref="DC127">SUMPRODUCT($H127:$Y127,(TRANSPOSE(DC$2:DC$19)))</f>
        <v>0</v>
      </c>
      <c r="DD127" s="1">
        <f t="array" ref="DD127">SUMPRODUCT($H127:$Y127,(TRANSPOSE(DD$2:DD$19)))</f>
        <v>0</v>
      </c>
    </row>
    <row r="128" spans="1:108" ht="13.5" thickBot="1" x14ac:dyDescent="0.25">
      <c r="A128" s="1">
        <v>126</v>
      </c>
      <c r="B128" s="10" t="s">
        <v>7</v>
      </c>
      <c r="C128" s="1" t="s">
        <v>19</v>
      </c>
      <c r="D128" s="1">
        <v>423206888</v>
      </c>
      <c r="F128" s="1" t="s">
        <v>639</v>
      </c>
      <c r="G128" s="1" t="s">
        <v>20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f>SUM(H128:Y128)</f>
        <v>1</v>
      </c>
      <c r="AA128" s="1">
        <f>SUMPRODUCT(H128:Y128,$H$16:$Y$16)</f>
        <v>910</v>
      </c>
      <c r="AB128" s="19" t="s">
        <v>18</v>
      </c>
      <c r="AC128" s="1">
        <v>0</v>
      </c>
      <c r="AD128" s="9"/>
      <c r="AE128" s="1" t="s">
        <v>19</v>
      </c>
      <c r="AF128" s="1">
        <f>AC128</f>
        <v>0</v>
      </c>
      <c r="AG128" s="1">
        <v>1</v>
      </c>
      <c r="AH128" s="1">
        <v>1</v>
      </c>
      <c r="AI128" s="1" t="s">
        <v>18</v>
      </c>
      <c r="AJ128" s="1" t="s">
        <v>18</v>
      </c>
      <c r="AK128" s="1" t="s">
        <v>18</v>
      </c>
      <c r="AL128" s="1" t="s">
        <v>18</v>
      </c>
      <c r="AM128" s="1" t="s">
        <v>18</v>
      </c>
      <c r="AN128" s="2" t="s">
        <v>18</v>
      </c>
      <c r="BO128" s="1">
        <f>SUM($AP128,$AQ128:AQ128)-SUM($CK128:CL128)</f>
        <v>0</v>
      </c>
      <c r="BP128" s="1">
        <f>SUM($AP128,$AQ128:AR128)-SUM($CK128:CM128)</f>
        <v>0</v>
      </c>
      <c r="BQ128" s="1">
        <f>SUM($AP128,$AQ128:AS128)-SUM($CK128:CN128)</f>
        <v>0</v>
      </c>
      <c r="BR128" s="1">
        <f>SUM($AP128,$AQ128:AT128)-SUM($CK128:CO128)</f>
        <v>0</v>
      </c>
      <c r="BS128" s="1">
        <f>SUM($AP128,$AQ128:AU128)-SUM($CK128:CP128)</f>
        <v>-10</v>
      </c>
      <c r="BT128" s="1">
        <f>SUM($AP128,$AQ128:AV128)-SUM($CK128:CQ128)</f>
        <v>-30</v>
      </c>
      <c r="BU128" s="1">
        <f>SUM($AP128,$AQ128:AW128)-SUM($CK128:CR128)</f>
        <v>-60</v>
      </c>
      <c r="BV128" s="1">
        <f>SUM($AP128,$AQ128:AX128)-SUM($CK128:CS128)</f>
        <v>-100</v>
      </c>
      <c r="BW128" s="1">
        <f>SUM($AP128,$AQ128:AY128)-SUM($CK128:CT128)</f>
        <v>-150</v>
      </c>
      <c r="BX128" s="1">
        <f>SUM($AP128,$AQ128:AZ128)-SUM($CK128:CU128)</f>
        <v>-210</v>
      </c>
      <c r="BY128" s="1">
        <f>SUM($AP128,$AQ128:BA128)-SUM($CK128:CV128)</f>
        <v>-280</v>
      </c>
      <c r="BZ128" s="1">
        <f>SUM($AP128,$AQ128:BB128)-SUM($CK128:CW128)</f>
        <v>-360</v>
      </c>
      <c r="CA128" s="1">
        <f>SUM($AP128,$AQ128:BC128)-SUM($CK128:CX128)</f>
        <v>-450</v>
      </c>
      <c r="CB128" s="1">
        <f>SUM($AP128,$AQ128:BD128)-SUM($CK128:CY128)</f>
        <v>-550</v>
      </c>
      <c r="CC128" s="1">
        <f>SUM($AP128,$AQ128:BE128)-SUM($CK128:CZ128)</f>
        <v>-660</v>
      </c>
      <c r="CD128" s="1">
        <f>SUM($AP128,$AQ128:BF128)-SUM($CK128:DA128)</f>
        <v>-780</v>
      </c>
      <c r="CE128" s="1">
        <f>SUM($AP128,$AQ128:BG128)-SUM($CK128:DB128)</f>
        <v>-910</v>
      </c>
      <c r="CF128" s="1">
        <f>SUM($AP128,$AQ128:BH128)-SUM($CK128:DC128)</f>
        <v>-910</v>
      </c>
      <c r="CG128" s="1">
        <f>SUM($AP128,$AQ128:BI128)-SUM($CK128:DD128)</f>
        <v>-910</v>
      </c>
      <c r="CK128" s="1">
        <f t="array" ref="CK128">SUMPRODUCT($H128:$Y128,(TRANSPOSE(CK$2:CK$19)))</f>
        <v>0</v>
      </c>
      <c r="CL128" s="1">
        <f t="array" ref="CL128">SUMPRODUCT($H128:$Y128,(TRANSPOSE(CL$2:CL$19)))</f>
        <v>0</v>
      </c>
      <c r="CM128" s="1">
        <f t="array" ref="CM128">SUMPRODUCT($H128:$Y128,(TRANSPOSE(CM$2:CM$19)))</f>
        <v>0</v>
      </c>
      <c r="CN128" s="1">
        <f t="array" ref="CN128">SUMPRODUCT($H128:$Y128,(TRANSPOSE(CN$2:CN$19)))</f>
        <v>0</v>
      </c>
      <c r="CO128" s="1">
        <f t="array" ref="CO128">SUMPRODUCT($H128:$Y128,(TRANSPOSE(CO$2:CO$19)))</f>
        <v>0</v>
      </c>
      <c r="CP128" s="1">
        <f t="array" ref="CP128">SUMPRODUCT($H128:$Y128,(TRANSPOSE(CP$2:CP$19)))</f>
        <v>10</v>
      </c>
      <c r="CQ128" s="1">
        <f t="array" ref="CQ128">SUMPRODUCT($H128:$Y128,(TRANSPOSE(CQ$2:CQ$19)))</f>
        <v>20</v>
      </c>
      <c r="CR128" s="1">
        <f t="array" ref="CR128">SUMPRODUCT($H128:$Y128,(TRANSPOSE(CR$2:CR$19)))</f>
        <v>30</v>
      </c>
      <c r="CS128" s="1">
        <f t="array" ref="CS128">SUMPRODUCT($H128:$Y128,(TRANSPOSE(CS$2:CS$19)))</f>
        <v>40</v>
      </c>
      <c r="CT128" s="1">
        <f t="array" ref="CT128">SUMPRODUCT($H128:$Y128,(TRANSPOSE(CT$2:CT$19)))</f>
        <v>50</v>
      </c>
      <c r="CU128" s="1">
        <f t="array" ref="CU128">SUMPRODUCT($H128:$Y128,(TRANSPOSE(CU$2:CU$19)))</f>
        <v>60</v>
      </c>
      <c r="CV128" s="1">
        <f t="array" ref="CV128">SUMPRODUCT($H128:$Y128,(TRANSPOSE(CV$2:CV$19)))</f>
        <v>70</v>
      </c>
      <c r="CW128" s="1">
        <f t="array" ref="CW128">SUMPRODUCT($H128:$Y128,(TRANSPOSE(CW$2:CW$19)))</f>
        <v>80</v>
      </c>
      <c r="CX128" s="1">
        <f t="array" ref="CX128">SUMPRODUCT($H128:$Y128,(TRANSPOSE(CX$2:CX$19)))</f>
        <v>90</v>
      </c>
      <c r="CY128" s="1">
        <f t="array" ref="CY128">SUMPRODUCT($H128:$Y128,(TRANSPOSE(CY$2:CY$19)))</f>
        <v>100</v>
      </c>
      <c r="CZ128" s="1">
        <f t="array" ref="CZ128">SUMPRODUCT($H128:$Y128,(TRANSPOSE(CZ$2:CZ$19)))</f>
        <v>110</v>
      </c>
      <c r="DA128" s="1">
        <f t="array" ref="DA128">SUMPRODUCT($H128:$Y128,(TRANSPOSE(DA$2:DA$19)))</f>
        <v>120</v>
      </c>
      <c r="DB128" s="1">
        <f t="array" ref="DB128">SUMPRODUCT($H128:$Y128,(TRANSPOSE(DB$2:DB$19)))</f>
        <v>130</v>
      </c>
      <c r="DC128" s="1">
        <f t="array" ref="DC128">SUMPRODUCT($H128:$Y128,(TRANSPOSE(DC$2:DC$19)))</f>
        <v>0</v>
      </c>
      <c r="DD128" s="1">
        <f t="array" ref="DD128">SUMPRODUCT($H128:$Y128,(TRANSPOSE(DD$2:DD$19)))</f>
        <v>0</v>
      </c>
    </row>
    <row r="129" spans="1:108" ht="13.5" thickBot="1" x14ac:dyDescent="0.25">
      <c r="A129" s="1">
        <v>127</v>
      </c>
      <c r="B129" s="10" t="s">
        <v>638</v>
      </c>
      <c r="C129" s="1" t="s">
        <v>19</v>
      </c>
      <c r="D129" s="1">
        <v>423199569</v>
      </c>
      <c r="F129" s="1" t="s">
        <v>637</v>
      </c>
      <c r="G129" s="1" t="s">
        <v>20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f>SUM(H129:Y129)</f>
        <v>1</v>
      </c>
      <c r="AA129" s="1">
        <f>SUMPRODUCT(H129:Y129,$H$16:$Y$16)</f>
        <v>910</v>
      </c>
      <c r="AB129" s="19" t="s">
        <v>18</v>
      </c>
      <c r="AC129" s="1">
        <v>0</v>
      </c>
      <c r="AD129" s="9"/>
      <c r="AE129" s="1" t="s">
        <v>19</v>
      </c>
      <c r="AF129" s="1">
        <f>AC129</f>
        <v>0</v>
      </c>
      <c r="AG129" s="1">
        <v>1</v>
      </c>
      <c r="AH129" s="1">
        <v>1</v>
      </c>
      <c r="AI129" s="1" t="s">
        <v>18</v>
      </c>
      <c r="AJ129" s="1" t="s">
        <v>18</v>
      </c>
      <c r="AK129" s="1" t="s">
        <v>18</v>
      </c>
      <c r="AL129" s="1" t="s">
        <v>18</v>
      </c>
      <c r="AM129" s="1" t="s">
        <v>18</v>
      </c>
      <c r="AN129" s="2" t="s">
        <v>18</v>
      </c>
      <c r="BO129" s="1">
        <f>SUM($AP129,$AQ129:AQ129)-SUM($CK129:CL129)</f>
        <v>0</v>
      </c>
      <c r="BP129" s="1">
        <f>SUM($AP129,$AQ129:AR129)-SUM($CK129:CM129)</f>
        <v>0</v>
      </c>
      <c r="BQ129" s="1">
        <f>SUM($AP129,$AQ129:AS129)-SUM($CK129:CN129)</f>
        <v>0</v>
      </c>
      <c r="BR129" s="1">
        <f>SUM($AP129,$AQ129:AT129)-SUM($CK129:CO129)</f>
        <v>-10</v>
      </c>
      <c r="BS129" s="1">
        <f>SUM($AP129,$AQ129:AU129)-SUM($CK129:CP129)</f>
        <v>-30</v>
      </c>
      <c r="BT129" s="1">
        <f>SUM($AP129,$AQ129:AV129)-SUM($CK129:CQ129)</f>
        <v>-60</v>
      </c>
      <c r="BU129" s="1">
        <f>SUM($AP129,$AQ129:AW129)-SUM($CK129:CR129)</f>
        <v>-100</v>
      </c>
      <c r="BV129" s="1">
        <f>SUM($AP129,$AQ129:AX129)-SUM($CK129:CS129)</f>
        <v>-150</v>
      </c>
      <c r="BW129" s="1">
        <f>SUM($AP129,$AQ129:AY129)-SUM($CK129:CT129)</f>
        <v>-210</v>
      </c>
      <c r="BX129" s="1">
        <f>SUM($AP129,$AQ129:AZ129)-SUM($CK129:CU129)</f>
        <v>-280</v>
      </c>
      <c r="BY129" s="1">
        <f>SUM($AP129,$AQ129:BA129)-SUM($CK129:CV129)</f>
        <v>-360</v>
      </c>
      <c r="BZ129" s="1">
        <f>SUM($AP129,$AQ129:BB129)-SUM($CK129:CW129)</f>
        <v>-450</v>
      </c>
      <c r="CA129" s="1">
        <f>SUM($AP129,$AQ129:BC129)-SUM($CK129:CX129)</f>
        <v>-550</v>
      </c>
      <c r="CB129" s="1">
        <f>SUM($AP129,$AQ129:BD129)-SUM($CK129:CY129)</f>
        <v>-660</v>
      </c>
      <c r="CC129" s="1">
        <f>SUM($AP129,$AQ129:BE129)-SUM($CK129:CZ129)</f>
        <v>-780</v>
      </c>
      <c r="CD129" s="1">
        <f>SUM($AP129,$AQ129:BF129)-SUM($CK129:DA129)</f>
        <v>-910</v>
      </c>
      <c r="CE129" s="1">
        <f>SUM($AP129,$AQ129:BG129)-SUM($CK129:DB129)</f>
        <v>-910</v>
      </c>
      <c r="CF129" s="1">
        <f>SUM($AP129,$AQ129:BH129)-SUM($CK129:DC129)</f>
        <v>-910</v>
      </c>
      <c r="CG129" s="1">
        <f>SUM($AP129,$AQ129:BI129)-SUM($CK129:DD129)</f>
        <v>-910</v>
      </c>
      <c r="CK129" s="1">
        <f t="array" ref="CK129">SUMPRODUCT($H129:$Y129,(TRANSPOSE(CK$2:CK$19)))</f>
        <v>0</v>
      </c>
      <c r="CL129" s="1">
        <f t="array" ref="CL129">SUMPRODUCT($H129:$Y129,(TRANSPOSE(CL$2:CL$19)))</f>
        <v>0</v>
      </c>
      <c r="CM129" s="1">
        <f t="array" ref="CM129">SUMPRODUCT($H129:$Y129,(TRANSPOSE(CM$2:CM$19)))</f>
        <v>0</v>
      </c>
      <c r="CN129" s="1">
        <f t="array" ref="CN129">SUMPRODUCT($H129:$Y129,(TRANSPOSE(CN$2:CN$19)))</f>
        <v>0</v>
      </c>
      <c r="CO129" s="1">
        <f t="array" ref="CO129">SUMPRODUCT($H129:$Y129,(TRANSPOSE(CO$2:CO$19)))</f>
        <v>10</v>
      </c>
      <c r="CP129" s="1">
        <f t="array" ref="CP129">SUMPRODUCT($H129:$Y129,(TRANSPOSE(CP$2:CP$19)))</f>
        <v>20</v>
      </c>
      <c r="CQ129" s="1">
        <f t="array" ref="CQ129">SUMPRODUCT($H129:$Y129,(TRANSPOSE(CQ$2:CQ$19)))</f>
        <v>30</v>
      </c>
      <c r="CR129" s="1">
        <f t="array" ref="CR129">SUMPRODUCT($H129:$Y129,(TRANSPOSE(CR$2:CR$19)))</f>
        <v>40</v>
      </c>
      <c r="CS129" s="1">
        <f t="array" ref="CS129">SUMPRODUCT($H129:$Y129,(TRANSPOSE(CS$2:CS$19)))</f>
        <v>50</v>
      </c>
      <c r="CT129" s="1">
        <f t="array" ref="CT129">SUMPRODUCT($H129:$Y129,(TRANSPOSE(CT$2:CT$19)))</f>
        <v>60</v>
      </c>
      <c r="CU129" s="1">
        <f t="array" ref="CU129">SUMPRODUCT($H129:$Y129,(TRANSPOSE(CU$2:CU$19)))</f>
        <v>70</v>
      </c>
      <c r="CV129" s="1">
        <f t="array" ref="CV129">SUMPRODUCT($H129:$Y129,(TRANSPOSE(CV$2:CV$19)))</f>
        <v>80</v>
      </c>
      <c r="CW129" s="1">
        <f t="array" ref="CW129">SUMPRODUCT($H129:$Y129,(TRANSPOSE(CW$2:CW$19)))</f>
        <v>90</v>
      </c>
      <c r="CX129" s="1">
        <f t="array" ref="CX129">SUMPRODUCT($H129:$Y129,(TRANSPOSE(CX$2:CX$19)))</f>
        <v>100</v>
      </c>
      <c r="CY129" s="1">
        <f t="array" ref="CY129">SUMPRODUCT($H129:$Y129,(TRANSPOSE(CY$2:CY$19)))</f>
        <v>110</v>
      </c>
      <c r="CZ129" s="1">
        <f t="array" ref="CZ129">SUMPRODUCT($H129:$Y129,(TRANSPOSE(CZ$2:CZ$19)))</f>
        <v>120</v>
      </c>
      <c r="DA129" s="1">
        <f t="array" ref="DA129">SUMPRODUCT($H129:$Y129,(TRANSPOSE(DA$2:DA$19)))</f>
        <v>130</v>
      </c>
      <c r="DB129" s="1">
        <f t="array" ref="DB129">SUMPRODUCT($H129:$Y129,(TRANSPOSE(DB$2:DB$19)))</f>
        <v>0</v>
      </c>
      <c r="DC129" s="1">
        <f t="array" ref="DC129">SUMPRODUCT($H129:$Y129,(TRANSPOSE(DC$2:DC$19)))</f>
        <v>0</v>
      </c>
      <c r="DD129" s="1">
        <f t="array" ref="DD129">SUMPRODUCT($H129:$Y129,(TRANSPOSE(DD$2:DD$19)))</f>
        <v>0</v>
      </c>
    </row>
    <row r="130" spans="1:108" x14ac:dyDescent="0.2">
      <c r="A130" s="1">
        <v>128</v>
      </c>
      <c r="B130" s="10" t="s">
        <v>636</v>
      </c>
      <c r="C130" s="1" t="s">
        <v>22</v>
      </c>
      <c r="D130" s="1">
        <v>404179667</v>
      </c>
      <c r="E130" s="1">
        <v>415712344</v>
      </c>
      <c r="F130" s="1" t="s">
        <v>635</v>
      </c>
      <c r="G130" s="1" t="s">
        <v>20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70</v>
      </c>
      <c r="T130" s="1">
        <v>0</v>
      </c>
      <c r="U130" s="1">
        <v>0</v>
      </c>
      <c r="V130" s="1">
        <v>0</v>
      </c>
      <c r="W130" s="1">
        <v>70</v>
      </c>
      <c r="X130" s="1">
        <v>0</v>
      </c>
      <c r="Y130" s="1">
        <v>0</v>
      </c>
      <c r="Z130" s="1">
        <f>SUM(H130:Y130)</f>
        <v>140</v>
      </c>
      <c r="AA130" s="1">
        <f>SUMPRODUCT(H130:Y130,$H$16:$Y$16)</f>
        <v>127400</v>
      </c>
      <c r="AB130" s="1" t="s">
        <v>618</v>
      </c>
      <c r="AC130" s="1">
        <v>2.94</v>
      </c>
      <c r="AD130" s="9"/>
      <c r="AE130" s="1" t="s">
        <v>174</v>
      </c>
      <c r="AF130" s="1">
        <f>AC130*1.1171</f>
        <v>3.2842739999999999</v>
      </c>
      <c r="AH130" s="1">
        <v>1</v>
      </c>
      <c r="AK130" s="1" t="s">
        <v>617</v>
      </c>
      <c r="AL130" s="1" t="s">
        <v>616</v>
      </c>
      <c r="AM130" s="1" t="s">
        <v>615</v>
      </c>
      <c r="AN130" s="1" t="s">
        <v>614</v>
      </c>
      <c r="BO130" s="1">
        <f>SUM($AP130,$AQ130:AQ130)-SUM($CK130:CL130)</f>
        <v>0</v>
      </c>
      <c r="BP130" s="1">
        <f>SUM($AP130,$AQ130:AR130)-SUM($CK130:CM130)</f>
        <v>0</v>
      </c>
      <c r="BQ130" s="1">
        <f>SUM($AP130,$AQ130:AS130)-SUM($CK130:CN130)</f>
        <v>0</v>
      </c>
      <c r="BR130" s="1">
        <f>SUM($AP130,$AQ130:AT130)-SUM($CK130:CO130)</f>
        <v>0</v>
      </c>
      <c r="BS130" s="1">
        <f>SUM($AP130,$AQ130:AU130)-SUM($CK130:CP130)</f>
        <v>-1400</v>
      </c>
      <c r="BT130" s="1">
        <f>SUM($AP130,$AQ130:AV130)-SUM($CK130:CQ130)</f>
        <v>-4200</v>
      </c>
      <c r="BU130" s="1">
        <f>SUM($AP130,$AQ130:AW130)-SUM($CK130:CR130)</f>
        <v>-8400</v>
      </c>
      <c r="BV130" s="1">
        <f>SUM($AP130,$AQ130:AX130)-SUM($CK130:CS130)</f>
        <v>-14000</v>
      </c>
      <c r="BW130" s="1">
        <f>SUM($AP130,$AQ130:AY130)-SUM($CK130:CT130)</f>
        <v>-21000</v>
      </c>
      <c r="BX130" s="1">
        <f>SUM($AP130,$AQ130:AZ130)-SUM($CK130:CU130)</f>
        <v>-29400</v>
      </c>
      <c r="BY130" s="1">
        <f>SUM($AP130,$AQ130:BA130)-SUM($CK130:CV130)</f>
        <v>-39200</v>
      </c>
      <c r="BZ130" s="1">
        <f>SUM($AP130,$AQ130:BB130)-SUM($CK130:CW130)</f>
        <v>-50400</v>
      </c>
      <c r="CA130" s="1">
        <f>SUM($AP130,$AQ130:BC130)-SUM($CK130:CX130)</f>
        <v>-63000</v>
      </c>
      <c r="CB130" s="1">
        <f>SUM($AP130,$AQ130:BD130)-SUM($CK130:CY130)</f>
        <v>-77000</v>
      </c>
      <c r="CC130" s="1">
        <f>SUM($AP130,$AQ130:BE130)-SUM($CK130:CZ130)</f>
        <v>-92400</v>
      </c>
      <c r="CD130" s="1">
        <f>SUM($AP130,$AQ130:BF130)-SUM($CK130:DA130)</f>
        <v>-109200</v>
      </c>
      <c r="CE130" s="1">
        <f>SUM($AP130,$AQ130:BG130)-SUM($CK130:DB130)</f>
        <v>-127400</v>
      </c>
      <c r="CF130" s="1">
        <f>SUM($AP130,$AQ130:BH130)-SUM($CK130:DC130)</f>
        <v>-127400</v>
      </c>
      <c r="CG130" s="1">
        <f>SUM($AP130,$AQ130:BI130)-SUM($CK130:DD130)</f>
        <v>-127400</v>
      </c>
      <c r="CK130" s="1">
        <f t="array" ref="CK130">SUMPRODUCT($H130:$Y130,(TRANSPOSE(CK$2:CK$19)))</f>
        <v>0</v>
      </c>
      <c r="CL130" s="1">
        <f t="array" ref="CL130">SUMPRODUCT($H130:$Y130,(TRANSPOSE(CL$2:CL$19)))</f>
        <v>0</v>
      </c>
      <c r="CM130" s="1">
        <f t="array" ref="CM130">SUMPRODUCT($H130:$Y130,(TRANSPOSE(CM$2:CM$19)))</f>
        <v>0</v>
      </c>
      <c r="CN130" s="1">
        <f t="array" ref="CN130">SUMPRODUCT($H130:$Y130,(TRANSPOSE(CN$2:CN$19)))</f>
        <v>0</v>
      </c>
      <c r="CO130" s="1">
        <f t="array" ref="CO130">SUMPRODUCT($H130:$Y130,(TRANSPOSE(CO$2:CO$19)))</f>
        <v>0</v>
      </c>
      <c r="CP130" s="1">
        <f t="array" ref="CP130">SUMPRODUCT($H130:$Y130,(TRANSPOSE(CP$2:CP$19)))</f>
        <v>1400</v>
      </c>
      <c r="CQ130" s="1">
        <f t="array" ref="CQ130">SUMPRODUCT($H130:$Y130,(TRANSPOSE(CQ$2:CQ$19)))</f>
        <v>2800</v>
      </c>
      <c r="CR130" s="1">
        <f t="array" ref="CR130">SUMPRODUCT($H130:$Y130,(TRANSPOSE(CR$2:CR$19)))</f>
        <v>4200</v>
      </c>
      <c r="CS130" s="1">
        <f t="array" ref="CS130">SUMPRODUCT($H130:$Y130,(TRANSPOSE(CS$2:CS$19)))</f>
        <v>5600</v>
      </c>
      <c r="CT130" s="1">
        <f t="array" ref="CT130">SUMPRODUCT($H130:$Y130,(TRANSPOSE(CT$2:CT$19)))</f>
        <v>7000</v>
      </c>
      <c r="CU130" s="1">
        <f t="array" ref="CU130">SUMPRODUCT($H130:$Y130,(TRANSPOSE(CU$2:CU$19)))</f>
        <v>8400</v>
      </c>
      <c r="CV130" s="1">
        <f t="array" ref="CV130">SUMPRODUCT($H130:$Y130,(TRANSPOSE(CV$2:CV$19)))</f>
        <v>9800</v>
      </c>
      <c r="CW130" s="1">
        <f t="array" ref="CW130">SUMPRODUCT($H130:$Y130,(TRANSPOSE(CW$2:CW$19)))</f>
        <v>11200</v>
      </c>
      <c r="CX130" s="1">
        <f t="array" ref="CX130">SUMPRODUCT($H130:$Y130,(TRANSPOSE(CX$2:CX$19)))</f>
        <v>12600</v>
      </c>
      <c r="CY130" s="1">
        <f t="array" ref="CY130">SUMPRODUCT($H130:$Y130,(TRANSPOSE(CY$2:CY$19)))</f>
        <v>14000</v>
      </c>
      <c r="CZ130" s="1">
        <f t="array" ref="CZ130">SUMPRODUCT($H130:$Y130,(TRANSPOSE(CZ$2:CZ$19)))</f>
        <v>15400</v>
      </c>
      <c r="DA130" s="1">
        <f t="array" ref="DA130">SUMPRODUCT($H130:$Y130,(TRANSPOSE(DA$2:DA$19)))</f>
        <v>16800</v>
      </c>
      <c r="DB130" s="1">
        <f t="array" ref="DB130">SUMPRODUCT($H130:$Y130,(TRANSPOSE(DB$2:DB$19)))</f>
        <v>18200</v>
      </c>
      <c r="DC130" s="1">
        <f t="array" ref="DC130">SUMPRODUCT($H130:$Y130,(TRANSPOSE(DC$2:DC$19)))</f>
        <v>0</v>
      </c>
      <c r="DD130" s="1">
        <f t="array" ref="DD130">SUMPRODUCT($H130:$Y130,(TRANSPOSE(DD$2:DD$19)))</f>
        <v>0</v>
      </c>
    </row>
    <row r="131" spans="1:108" x14ac:dyDescent="0.2">
      <c r="A131" s="1">
        <v>131</v>
      </c>
      <c r="B131" s="10" t="s">
        <v>634</v>
      </c>
      <c r="C131" s="1" t="s">
        <v>22</v>
      </c>
      <c r="D131" s="1">
        <v>404188576</v>
      </c>
      <c r="F131" s="1" t="s">
        <v>633</v>
      </c>
      <c r="G131" s="1" t="s">
        <v>20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6</v>
      </c>
      <c r="T131" s="1">
        <v>0</v>
      </c>
      <c r="U131" s="1">
        <v>0</v>
      </c>
      <c r="V131" s="1">
        <v>0</v>
      </c>
      <c r="W131" s="1">
        <v>6</v>
      </c>
      <c r="X131" s="1">
        <v>0</v>
      </c>
      <c r="Y131" s="1">
        <v>0</v>
      </c>
      <c r="Z131" s="1">
        <f>SUM(H131:Y131)</f>
        <v>12</v>
      </c>
      <c r="AA131" s="1">
        <f>SUMPRODUCT(H131:Y131,$H$16:$Y$16)</f>
        <v>10920</v>
      </c>
      <c r="AB131" s="1" t="s">
        <v>632</v>
      </c>
      <c r="AC131" s="1">
        <v>18.899999999999999</v>
      </c>
      <c r="AD131" s="9"/>
      <c r="AE131" s="1" t="s">
        <v>28</v>
      </c>
      <c r="AF131" s="1">
        <f>AC131</f>
        <v>18.899999999999999</v>
      </c>
      <c r="AH131" s="1">
        <v>1</v>
      </c>
      <c r="AI131" s="1" t="s">
        <v>43</v>
      </c>
      <c r="AJ131" s="14" t="s">
        <v>156</v>
      </c>
      <c r="AK131" s="1" t="s">
        <v>631</v>
      </c>
      <c r="AL131" s="1" t="s">
        <v>630</v>
      </c>
      <c r="AM131" s="1" t="s">
        <v>629</v>
      </c>
      <c r="AN131" s="2" t="s">
        <v>628</v>
      </c>
      <c r="BO131" s="1">
        <f>SUM($AP131,$AQ131:AQ131)-SUM($CK131:CL131)</f>
        <v>0</v>
      </c>
      <c r="BP131" s="1">
        <f>SUM($AP131,$AQ131:AR131)-SUM($CK131:CM131)</f>
        <v>0</v>
      </c>
      <c r="BQ131" s="1">
        <f>SUM($AP131,$AQ131:AS131)-SUM($CK131:CN131)</f>
        <v>0</v>
      </c>
      <c r="BR131" s="1">
        <f>SUM($AP131,$AQ131:AT131)-SUM($CK131:CO131)</f>
        <v>0</v>
      </c>
      <c r="BS131" s="1">
        <f>SUM($AP131,$AQ131:AU131)-SUM($CK131:CP131)</f>
        <v>-120</v>
      </c>
      <c r="BT131" s="1">
        <f>SUM($AP131,$AQ131:AV131)-SUM($CK131:CQ131)</f>
        <v>-360</v>
      </c>
      <c r="BU131" s="1">
        <f>SUM($AP131,$AQ131:AW131)-SUM($CK131:CR131)</f>
        <v>-720</v>
      </c>
      <c r="BV131" s="1">
        <f>SUM($AP131,$AQ131:AX131)-SUM($CK131:CS131)</f>
        <v>-1200</v>
      </c>
      <c r="BW131" s="1">
        <f>SUM($AP131,$AQ131:AY131)-SUM($CK131:CT131)</f>
        <v>-1800</v>
      </c>
      <c r="BX131" s="1">
        <f>SUM($AP131,$AQ131:AZ131)-SUM($CK131:CU131)</f>
        <v>-2520</v>
      </c>
      <c r="BY131" s="1">
        <f>SUM($AP131,$AQ131:BA131)-SUM($CK131:CV131)</f>
        <v>-3360</v>
      </c>
      <c r="BZ131" s="1">
        <f>SUM($AP131,$AQ131:BB131)-SUM($CK131:CW131)</f>
        <v>-4320</v>
      </c>
      <c r="CA131" s="1">
        <f>SUM($AP131,$AQ131:BC131)-SUM($CK131:CX131)</f>
        <v>-5400</v>
      </c>
      <c r="CB131" s="1">
        <f>SUM($AP131,$AQ131:BD131)-SUM($CK131:CY131)</f>
        <v>-6600</v>
      </c>
      <c r="CC131" s="1">
        <f>SUM($AP131,$AQ131:BE131)-SUM($CK131:CZ131)</f>
        <v>-7920</v>
      </c>
      <c r="CD131" s="1">
        <f>SUM($AP131,$AQ131:BF131)-SUM($CK131:DA131)</f>
        <v>-9360</v>
      </c>
      <c r="CE131" s="1">
        <f>SUM($AP131,$AQ131:BG131)-SUM($CK131:DB131)</f>
        <v>-10920</v>
      </c>
      <c r="CF131" s="1">
        <f>SUM($AP131,$AQ131:BH131)-SUM($CK131:DC131)</f>
        <v>-10920</v>
      </c>
      <c r="CG131" s="1">
        <f>SUM($AP131,$AQ131:BI131)-SUM($CK131:DD131)</f>
        <v>-10920</v>
      </c>
      <c r="CK131" s="1">
        <f t="array" ref="CK131">SUMPRODUCT($H131:$Y131,(TRANSPOSE(CK$2:CK$19)))</f>
        <v>0</v>
      </c>
      <c r="CL131" s="1">
        <f t="array" ref="CL131">SUMPRODUCT($H131:$Y131,(TRANSPOSE(CL$2:CL$19)))</f>
        <v>0</v>
      </c>
      <c r="CM131" s="1">
        <f t="array" ref="CM131">SUMPRODUCT($H131:$Y131,(TRANSPOSE(CM$2:CM$19)))</f>
        <v>0</v>
      </c>
      <c r="CN131" s="1">
        <f t="array" ref="CN131">SUMPRODUCT($H131:$Y131,(TRANSPOSE(CN$2:CN$19)))</f>
        <v>0</v>
      </c>
      <c r="CO131" s="1">
        <f t="array" ref="CO131">SUMPRODUCT($H131:$Y131,(TRANSPOSE(CO$2:CO$19)))</f>
        <v>0</v>
      </c>
      <c r="CP131" s="1">
        <f t="array" ref="CP131">SUMPRODUCT($H131:$Y131,(TRANSPOSE(CP$2:CP$19)))</f>
        <v>120</v>
      </c>
      <c r="CQ131" s="1">
        <f t="array" ref="CQ131">SUMPRODUCT($H131:$Y131,(TRANSPOSE(CQ$2:CQ$19)))</f>
        <v>240</v>
      </c>
      <c r="CR131" s="1">
        <f t="array" ref="CR131">SUMPRODUCT($H131:$Y131,(TRANSPOSE(CR$2:CR$19)))</f>
        <v>360</v>
      </c>
      <c r="CS131" s="1">
        <f t="array" ref="CS131">SUMPRODUCT($H131:$Y131,(TRANSPOSE(CS$2:CS$19)))</f>
        <v>480</v>
      </c>
      <c r="CT131" s="1">
        <f t="array" ref="CT131">SUMPRODUCT($H131:$Y131,(TRANSPOSE(CT$2:CT$19)))</f>
        <v>600</v>
      </c>
      <c r="CU131" s="1">
        <f t="array" ref="CU131">SUMPRODUCT($H131:$Y131,(TRANSPOSE(CU$2:CU$19)))</f>
        <v>720</v>
      </c>
      <c r="CV131" s="1">
        <f t="array" ref="CV131">SUMPRODUCT($H131:$Y131,(TRANSPOSE(CV$2:CV$19)))</f>
        <v>840</v>
      </c>
      <c r="CW131" s="1">
        <f t="array" ref="CW131">SUMPRODUCT($H131:$Y131,(TRANSPOSE(CW$2:CW$19)))</f>
        <v>960</v>
      </c>
      <c r="CX131" s="1">
        <f t="array" ref="CX131">SUMPRODUCT($H131:$Y131,(TRANSPOSE(CX$2:CX$19)))</f>
        <v>1080</v>
      </c>
      <c r="CY131" s="1">
        <f t="array" ref="CY131">SUMPRODUCT($H131:$Y131,(TRANSPOSE(CY$2:CY$19)))</f>
        <v>1200</v>
      </c>
      <c r="CZ131" s="1">
        <f t="array" ref="CZ131">SUMPRODUCT($H131:$Y131,(TRANSPOSE(CZ$2:CZ$19)))</f>
        <v>1320</v>
      </c>
      <c r="DA131" s="1">
        <f t="array" ref="DA131">SUMPRODUCT($H131:$Y131,(TRANSPOSE(DA$2:DA$19)))</f>
        <v>1440</v>
      </c>
      <c r="DB131" s="1">
        <f t="array" ref="DB131">SUMPRODUCT($H131:$Y131,(TRANSPOSE(DB$2:DB$19)))</f>
        <v>1560</v>
      </c>
      <c r="DC131" s="1">
        <f t="array" ref="DC131">SUMPRODUCT($H131:$Y131,(TRANSPOSE(DC$2:DC$19)))</f>
        <v>0</v>
      </c>
      <c r="DD131" s="1">
        <f t="array" ref="DD131">SUMPRODUCT($H131:$Y131,(TRANSPOSE(DD$2:DD$19)))</f>
        <v>0</v>
      </c>
    </row>
    <row r="132" spans="1:108" x14ac:dyDescent="0.2">
      <c r="A132" s="1">
        <v>132</v>
      </c>
      <c r="B132" s="10" t="s">
        <v>627</v>
      </c>
      <c r="C132" s="1" t="s">
        <v>22</v>
      </c>
      <c r="D132" s="1">
        <v>400542420</v>
      </c>
      <c r="E132" s="1">
        <v>400072364</v>
      </c>
      <c r="F132" s="1" t="s">
        <v>626</v>
      </c>
      <c r="G132" s="1" t="s">
        <v>20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6</v>
      </c>
      <c r="U132" s="1">
        <v>0</v>
      </c>
      <c r="V132" s="1">
        <v>0</v>
      </c>
      <c r="W132" s="1">
        <v>0</v>
      </c>
      <c r="X132" s="1">
        <v>6</v>
      </c>
      <c r="Y132" s="1">
        <v>0</v>
      </c>
      <c r="Z132" s="1">
        <f>SUM(H132:Y132)</f>
        <v>12</v>
      </c>
      <c r="AA132" s="1">
        <f>SUMPRODUCT(H132:Y132,$H$16:$Y$16)</f>
        <v>10920</v>
      </c>
      <c r="AB132" s="1" t="s">
        <v>625</v>
      </c>
      <c r="AC132" s="1">
        <v>2.17</v>
      </c>
      <c r="AD132" s="9"/>
      <c r="AE132" s="1" t="s">
        <v>174</v>
      </c>
      <c r="AF132" s="1">
        <f>AC132*1.1171</f>
        <v>2.4241069999999998</v>
      </c>
      <c r="AH132" s="1">
        <v>1</v>
      </c>
      <c r="AK132" s="1" t="s">
        <v>617</v>
      </c>
      <c r="AL132" s="1" t="s">
        <v>616</v>
      </c>
      <c r="AM132" s="1" t="s">
        <v>615</v>
      </c>
      <c r="AN132" s="1" t="s">
        <v>614</v>
      </c>
      <c r="BO132" s="1">
        <f>SUM($AP132,$AQ132:AQ132)-SUM($CK132:CL132)</f>
        <v>0</v>
      </c>
      <c r="BP132" s="1">
        <f>SUM($AP132,$AQ132:AR132)-SUM($CK132:CM132)</f>
        <v>0</v>
      </c>
      <c r="BQ132" s="1">
        <f>SUM($AP132,$AQ132:AS132)-SUM($CK132:CN132)</f>
        <v>0</v>
      </c>
      <c r="BR132" s="1">
        <f>SUM($AP132,$AQ132:AT132)-SUM($CK132:CO132)</f>
        <v>-120</v>
      </c>
      <c r="BS132" s="1">
        <f>SUM($AP132,$AQ132:AU132)-SUM($CK132:CP132)</f>
        <v>-360</v>
      </c>
      <c r="BT132" s="1">
        <f>SUM($AP132,$AQ132:AV132)-SUM($CK132:CQ132)</f>
        <v>-720</v>
      </c>
      <c r="BU132" s="1">
        <f>SUM($AP132,$AQ132:AW132)-SUM($CK132:CR132)</f>
        <v>-1200</v>
      </c>
      <c r="BV132" s="1">
        <f>SUM($AP132,$AQ132:AX132)-SUM($CK132:CS132)</f>
        <v>-1800</v>
      </c>
      <c r="BW132" s="1">
        <f>SUM($AP132,$AQ132:AY132)-SUM($CK132:CT132)</f>
        <v>-2520</v>
      </c>
      <c r="BX132" s="1">
        <f>SUM($AP132,$AQ132:AZ132)-SUM($CK132:CU132)</f>
        <v>-3360</v>
      </c>
      <c r="BY132" s="1">
        <f>SUM($AP132,$AQ132:BA132)-SUM($CK132:CV132)</f>
        <v>-4320</v>
      </c>
      <c r="BZ132" s="1">
        <f>SUM($AP132,$AQ132:BB132)-SUM($CK132:CW132)</f>
        <v>-5400</v>
      </c>
      <c r="CA132" s="1">
        <f>SUM($AP132,$AQ132:BC132)-SUM($CK132:CX132)</f>
        <v>-6600</v>
      </c>
      <c r="CB132" s="1">
        <f>SUM($AP132,$AQ132:BD132)-SUM($CK132:CY132)</f>
        <v>-7920</v>
      </c>
      <c r="CC132" s="1">
        <f>SUM($AP132,$AQ132:BE132)-SUM($CK132:CZ132)</f>
        <v>-9360</v>
      </c>
      <c r="CD132" s="1">
        <f>SUM($AP132,$AQ132:BF132)-SUM($CK132:DA132)</f>
        <v>-10920</v>
      </c>
      <c r="CE132" s="1">
        <f>SUM($AP132,$AQ132:BG132)-SUM($CK132:DB132)</f>
        <v>-10920</v>
      </c>
      <c r="CF132" s="1">
        <f>SUM($AP132,$AQ132:BH132)-SUM($CK132:DC132)</f>
        <v>-10920</v>
      </c>
      <c r="CG132" s="1">
        <f>SUM($AP132,$AQ132:BI132)-SUM($CK132:DD132)</f>
        <v>-10920</v>
      </c>
      <c r="CK132" s="1">
        <f t="array" ref="CK132">SUMPRODUCT($H132:$Y132,(TRANSPOSE(CK$2:CK$19)))</f>
        <v>0</v>
      </c>
      <c r="CL132" s="1">
        <f t="array" ref="CL132">SUMPRODUCT($H132:$Y132,(TRANSPOSE(CL$2:CL$19)))</f>
        <v>0</v>
      </c>
      <c r="CM132" s="1">
        <f t="array" ref="CM132">SUMPRODUCT($H132:$Y132,(TRANSPOSE(CM$2:CM$19)))</f>
        <v>0</v>
      </c>
      <c r="CN132" s="1">
        <f t="array" ref="CN132">SUMPRODUCT($H132:$Y132,(TRANSPOSE(CN$2:CN$19)))</f>
        <v>0</v>
      </c>
      <c r="CO132" s="1">
        <f t="array" ref="CO132">SUMPRODUCT($H132:$Y132,(TRANSPOSE(CO$2:CO$19)))</f>
        <v>120</v>
      </c>
      <c r="CP132" s="1">
        <f t="array" ref="CP132">SUMPRODUCT($H132:$Y132,(TRANSPOSE(CP$2:CP$19)))</f>
        <v>240</v>
      </c>
      <c r="CQ132" s="1">
        <f t="array" ref="CQ132">SUMPRODUCT($H132:$Y132,(TRANSPOSE(CQ$2:CQ$19)))</f>
        <v>360</v>
      </c>
      <c r="CR132" s="1">
        <f t="array" ref="CR132">SUMPRODUCT($H132:$Y132,(TRANSPOSE(CR$2:CR$19)))</f>
        <v>480</v>
      </c>
      <c r="CS132" s="1">
        <f t="array" ref="CS132">SUMPRODUCT($H132:$Y132,(TRANSPOSE(CS$2:CS$19)))</f>
        <v>600</v>
      </c>
      <c r="CT132" s="1">
        <f t="array" ref="CT132">SUMPRODUCT($H132:$Y132,(TRANSPOSE(CT$2:CT$19)))</f>
        <v>720</v>
      </c>
      <c r="CU132" s="1">
        <f t="array" ref="CU132">SUMPRODUCT($H132:$Y132,(TRANSPOSE(CU$2:CU$19)))</f>
        <v>840</v>
      </c>
      <c r="CV132" s="1">
        <f t="array" ref="CV132">SUMPRODUCT($H132:$Y132,(TRANSPOSE(CV$2:CV$19)))</f>
        <v>960</v>
      </c>
      <c r="CW132" s="1">
        <f t="array" ref="CW132">SUMPRODUCT($H132:$Y132,(TRANSPOSE(CW$2:CW$19)))</f>
        <v>1080</v>
      </c>
      <c r="CX132" s="1">
        <f t="array" ref="CX132">SUMPRODUCT($H132:$Y132,(TRANSPOSE(CX$2:CX$19)))</f>
        <v>1200</v>
      </c>
      <c r="CY132" s="1">
        <f t="array" ref="CY132">SUMPRODUCT($H132:$Y132,(TRANSPOSE(CY$2:CY$19)))</f>
        <v>1320</v>
      </c>
      <c r="CZ132" s="1">
        <f t="array" ref="CZ132">SUMPRODUCT($H132:$Y132,(TRANSPOSE(CZ$2:CZ$19)))</f>
        <v>1440</v>
      </c>
      <c r="DA132" s="1">
        <f t="array" ref="DA132">SUMPRODUCT($H132:$Y132,(TRANSPOSE(DA$2:DA$19)))</f>
        <v>1560</v>
      </c>
      <c r="DB132" s="1">
        <f t="array" ref="DB132">SUMPRODUCT($H132:$Y132,(TRANSPOSE(DB$2:DB$19)))</f>
        <v>0</v>
      </c>
      <c r="DC132" s="1">
        <f t="array" ref="DC132">SUMPRODUCT($H132:$Y132,(TRANSPOSE(DC$2:DC$19)))</f>
        <v>0</v>
      </c>
      <c r="DD132" s="1">
        <f t="array" ref="DD132">SUMPRODUCT($H132:$Y132,(TRANSPOSE(DD$2:DD$19)))</f>
        <v>0</v>
      </c>
    </row>
    <row r="133" spans="1:108" x14ac:dyDescent="0.2">
      <c r="A133" s="1">
        <v>133</v>
      </c>
      <c r="B133" s="10" t="s">
        <v>624</v>
      </c>
      <c r="C133" s="1" t="s">
        <v>22</v>
      </c>
      <c r="D133" s="1">
        <v>405928222</v>
      </c>
      <c r="E133" s="1">
        <v>415712317</v>
      </c>
      <c r="F133" s="1" t="s">
        <v>623</v>
      </c>
      <c r="G133" s="1" t="s">
        <v>20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70</v>
      </c>
      <c r="U133" s="1">
        <v>0</v>
      </c>
      <c r="V133" s="1">
        <v>0</v>
      </c>
      <c r="W133" s="1">
        <v>0</v>
      </c>
      <c r="X133" s="1">
        <v>70</v>
      </c>
      <c r="Y133" s="1">
        <v>0</v>
      </c>
      <c r="Z133" s="1">
        <f>SUM(H133:Y133)</f>
        <v>140</v>
      </c>
      <c r="AA133" s="1">
        <f>SUMPRODUCT(H133:Y133,$H$16:$Y$16)</f>
        <v>127400</v>
      </c>
      <c r="AB133" s="1" t="s">
        <v>618</v>
      </c>
      <c r="AC133" s="1">
        <v>2.19</v>
      </c>
      <c r="AD133" s="9"/>
      <c r="AE133" s="1" t="s">
        <v>174</v>
      </c>
      <c r="AF133" s="1">
        <f>AC133*1.1171</f>
        <v>2.4464489999999999</v>
      </c>
      <c r="AH133" s="1">
        <v>1</v>
      </c>
      <c r="AK133" s="1" t="s">
        <v>617</v>
      </c>
      <c r="AL133" s="1" t="s">
        <v>616</v>
      </c>
      <c r="AM133" s="1" t="s">
        <v>615</v>
      </c>
      <c r="AN133" s="1" t="s">
        <v>614</v>
      </c>
      <c r="BO133" s="1">
        <f>SUM($AP133,$AQ133:AQ133)-SUM($CK133:CL133)</f>
        <v>0</v>
      </c>
      <c r="BP133" s="1">
        <f>SUM($AP133,$AQ133:AR133)-SUM($CK133:CM133)</f>
        <v>0</v>
      </c>
      <c r="BQ133" s="1">
        <f>SUM($AP133,$AQ133:AS133)-SUM($CK133:CN133)</f>
        <v>0</v>
      </c>
      <c r="BR133" s="1">
        <f>SUM($AP133,$AQ133:AT133)-SUM($CK133:CO133)</f>
        <v>-1400</v>
      </c>
      <c r="BS133" s="1">
        <f>SUM($AP133,$AQ133:AU133)-SUM($CK133:CP133)</f>
        <v>-4200</v>
      </c>
      <c r="BT133" s="1">
        <f>SUM($AP133,$AQ133:AV133)-SUM($CK133:CQ133)</f>
        <v>-8400</v>
      </c>
      <c r="BU133" s="1">
        <f>SUM($AP133,$AQ133:AW133)-SUM($CK133:CR133)</f>
        <v>-14000</v>
      </c>
      <c r="BV133" s="1">
        <f>SUM($AP133,$AQ133:AX133)-SUM($CK133:CS133)</f>
        <v>-21000</v>
      </c>
      <c r="BW133" s="1">
        <f>SUM($AP133,$AQ133:AY133)-SUM($CK133:CT133)</f>
        <v>-29400</v>
      </c>
      <c r="BX133" s="1">
        <f>SUM($AP133,$AQ133:AZ133)-SUM($CK133:CU133)</f>
        <v>-39200</v>
      </c>
      <c r="BY133" s="1">
        <f>SUM($AP133,$AQ133:BA133)-SUM($CK133:CV133)</f>
        <v>-50400</v>
      </c>
      <c r="BZ133" s="1">
        <f>SUM($AP133,$AQ133:BB133)-SUM($CK133:CW133)</f>
        <v>-63000</v>
      </c>
      <c r="CA133" s="1">
        <f>SUM($AP133,$AQ133:BC133)-SUM($CK133:CX133)</f>
        <v>-77000</v>
      </c>
      <c r="CB133" s="1">
        <f>SUM($AP133,$AQ133:BD133)-SUM($CK133:CY133)</f>
        <v>-92400</v>
      </c>
      <c r="CC133" s="1">
        <f>SUM($AP133,$AQ133:BE133)-SUM($CK133:CZ133)</f>
        <v>-109200</v>
      </c>
      <c r="CD133" s="1">
        <f>SUM($AP133,$AQ133:BF133)-SUM($CK133:DA133)</f>
        <v>-127400</v>
      </c>
      <c r="CE133" s="1">
        <f>SUM($AP133,$AQ133:BG133)-SUM($CK133:DB133)</f>
        <v>-127400</v>
      </c>
      <c r="CF133" s="1">
        <f>SUM($AP133,$AQ133:BH133)-SUM($CK133:DC133)</f>
        <v>-127400</v>
      </c>
      <c r="CG133" s="1">
        <f>SUM($AP133,$AQ133:BI133)-SUM($CK133:DD133)</f>
        <v>-127400</v>
      </c>
      <c r="CK133" s="1">
        <f t="array" ref="CK133">SUMPRODUCT($H133:$Y133,(TRANSPOSE(CK$2:CK$19)))</f>
        <v>0</v>
      </c>
      <c r="CL133" s="1">
        <f t="array" ref="CL133">SUMPRODUCT($H133:$Y133,(TRANSPOSE(CL$2:CL$19)))</f>
        <v>0</v>
      </c>
      <c r="CM133" s="1">
        <f t="array" ref="CM133">SUMPRODUCT($H133:$Y133,(TRANSPOSE(CM$2:CM$19)))</f>
        <v>0</v>
      </c>
      <c r="CN133" s="1">
        <f t="array" ref="CN133">SUMPRODUCT($H133:$Y133,(TRANSPOSE(CN$2:CN$19)))</f>
        <v>0</v>
      </c>
      <c r="CO133" s="1">
        <f t="array" ref="CO133">SUMPRODUCT($H133:$Y133,(TRANSPOSE(CO$2:CO$19)))</f>
        <v>1400</v>
      </c>
      <c r="CP133" s="1">
        <f t="array" ref="CP133">SUMPRODUCT($H133:$Y133,(TRANSPOSE(CP$2:CP$19)))</f>
        <v>2800</v>
      </c>
      <c r="CQ133" s="1">
        <f t="array" ref="CQ133">SUMPRODUCT($H133:$Y133,(TRANSPOSE(CQ$2:CQ$19)))</f>
        <v>4200</v>
      </c>
      <c r="CR133" s="1">
        <f t="array" ref="CR133">SUMPRODUCT($H133:$Y133,(TRANSPOSE(CR$2:CR$19)))</f>
        <v>5600</v>
      </c>
      <c r="CS133" s="1">
        <f t="array" ref="CS133">SUMPRODUCT($H133:$Y133,(TRANSPOSE(CS$2:CS$19)))</f>
        <v>7000</v>
      </c>
      <c r="CT133" s="1">
        <f t="array" ref="CT133">SUMPRODUCT($H133:$Y133,(TRANSPOSE(CT$2:CT$19)))</f>
        <v>8400</v>
      </c>
      <c r="CU133" s="1">
        <f t="array" ref="CU133">SUMPRODUCT($H133:$Y133,(TRANSPOSE(CU$2:CU$19)))</f>
        <v>9800</v>
      </c>
      <c r="CV133" s="1">
        <f t="array" ref="CV133">SUMPRODUCT($H133:$Y133,(TRANSPOSE(CV$2:CV$19)))</f>
        <v>11200</v>
      </c>
      <c r="CW133" s="1">
        <f t="array" ref="CW133">SUMPRODUCT($H133:$Y133,(TRANSPOSE(CW$2:CW$19)))</f>
        <v>12600</v>
      </c>
      <c r="CX133" s="1">
        <f t="array" ref="CX133">SUMPRODUCT($H133:$Y133,(TRANSPOSE(CX$2:CX$19)))</f>
        <v>14000</v>
      </c>
      <c r="CY133" s="1">
        <f t="array" ref="CY133">SUMPRODUCT($H133:$Y133,(TRANSPOSE(CY$2:CY$19)))</f>
        <v>15400</v>
      </c>
      <c r="CZ133" s="1">
        <f t="array" ref="CZ133">SUMPRODUCT($H133:$Y133,(TRANSPOSE(CZ$2:CZ$19)))</f>
        <v>16800</v>
      </c>
      <c r="DA133" s="1">
        <f t="array" ref="DA133">SUMPRODUCT($H133:$Y133,(TRANSPOSE(DA$2:DA$19)))</f>
        <v>18200</v>
      </c>
      <c r="DB133" s="1">
        <f t="array" ref="DB133">SUMPRODUCT($H133:$Y133,(TRANSPOSE(DB$2:DB$19)))</f>
        <v>0</v>
      </c>
      <c r="DC133" s="1">
        <f t="array" ref="DC133">SUMPRODUCT($H133:$Y133,(TRANSPOSE(DC$2:DC$19)))</f>
        <v>0</v>
      </c>
      <c r="DD133" s="1">
        <f t="array" ref="DD133">SUMPRODUCT($H133:$Y133,(TRANSPOSE(DD$2:DD$19)))</f>
        <v>0</v>
      </c>
    </row>
    <row r="134" spans="1:108" x14ac:dyDescent="0.2">
      <c r="A134" s="1">
        <v>134</v>
      </c>
      <c r="B134" s="10" t="s">
        <v>622</v>
      </c>
      <c r="C134" s="1" t="s">
        <v>22</v>
      </c>
      <c r="D134" s="1">
        <v>404495499</v>
      </c>
      <c r="E134" s="1">
        <v>415712346</v>
      </c>
      <c r="F134" s="1" t="s">
        <v>621</v>
      </c>
      <c r="G134" s="1" t="s">
        <v>20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70</v>
      </c>
      <c r="U134" s="1">
        <v>0</v>
      </c>
      <c r="V134" s="1">
        <v>0</v>
      </c>
      <c r="W134" s="1">
        <v>0</v>
      </c>
      <c r="X134" s="1">
        <v>70</v>
      </c>
      <c r="Y134" s="1">
        <v>0</v>
      </c>
      <c r="Z134" s="1">
        <f>SUM(H134:Y134)</f>
        <v>140</v>
      </c>
      <c r="AA134" s="1">
        <f>SUMPRODUCT(H134:Y134,$H$16:$Y$16)</f>
        <v>127400</v>
      </c>
      <c r="AB134" s="1" t="s">
        <v>618</v>
      </c>
      <c r="AC134" s="1">
        <v>2.15</v>
      </c>
      <c r="AD134" s="9"/>
      <c r="AE134" s="1" t="s">
        <v>174</v>
      </c>
      <c r="AF134" s="1">
        <f>AC134*1.1171</f>
        <v>2.4017649999999997</v>
      </c>
      <c r="AH134" s="1">
        <v>500</v>
      </c>
      <c r="AK134" s="1" t="s">
        <v>617</v>
      </c>
      <c r="AL134" s="1" t="s">
        <v>616</v>
      </c>
      <c r="AM134" s="1" t="s">
        <v>615</v>
      </c>
      <c r="AN134" s="1" t="s">
        <v>614</v>
      </c>
      <c r="BO134" s="1">
        <f>SUM($AP134,$AQ134:AQ134)-SUM($CK134:CL134)</f>
        <v>0</v>
      </c>
      <c r="BP134" s="1">
        <f>SUM($AP134,$AQ134:AR134)-SUM($CK134:CM134)</f>
        <v>0</v>
      </c>
      <c r="BQ134" s="1">
        <f>SUM($AP134,$AQ134:AS134)-SUM($CK134:CN134)</f>
        <v>0</v>
      </c>
      <c r="BR134" s="1">
        <f>SUM($AP134,$AQ134:AT134)-SUM($CK134:CO134)</f>
        <v>-1400</v>
      </c>
      <c r="BS134" s="1">
        <f>SUM($AP134,$AQ134:AU134)-SUM($CK134:CP134)</f>
        <v>-4200</v>
      </c>
      <c r="BT134" s="1">
        <f>SUM($AP134,$AQ134:AV134)-SUM($CK134:CQ134)</f>
        <v>-8400</v>
      </c>
      <c r="BU134" s="1">
        <f>SUM($AP134,$AQ134:AW134)-SUM($CK134:CR134)</f>
        <v>-14000</v>
      </c>
      <c r="BV134" s="1">
        <f>SUM($AP134,$AQ134:AX134)-SUM($CK134:CS134)</f>
        <v>-21000</v>
      </c>
      <c r="BW134" s="1">
        <f>SUM($AP134,$AQ134:AY134)-SUM($CK134:CT134)</f>
        <v>-29400</v>
      </c>
      <c r="BX134" s="1">
        <f>SUM($AP134,$AQ134:AZ134)-SUM($CK134:CU134)</f>
        <v>-39200</v>
      </c>
      <c r="BY134" s="1">
        <f>SUM($AP134,$AQ134:BA134)-SUM($CK134:CV134)</f>
        <v>-50400</v>
      </c>
      <c r="BZ134" s="1">
        <f>SUM($AP134,$AQ134:BB134)-SUM($CK134:CW134)</f>
        <v>-63000</v>
      </c>
      <c r="CA134" s="1">
        <f>SUM($AP134,$AQ134:BC134)-SUM($CK134:CX134)</f>
        <v>-77000</v>
      </c>
      <c r="CB134" s="1">
        <f>SUM($AP134,$AQ134:BD134)-SUM($CK134:CY134)</f>
        <v>-92400</v>
      </c>
      <c r="CC134" s="1">
        <f>SUM($AP134,$AQ134:BE134)-SUM($CK134:CZ134)</f>
        <v>-109200</v>
      </c>
      <c r="CD134" s="1">
        <f>SUM($AP134,$AQ134:BF134)-SUM($CK134:DA134)</f>
        <v>-127400</v>
      </c>
      <c r="CE134" s="1">
        <f>SUM($AP134,$AQ134:BG134)-SUM($CK134:DB134)</f>
        <v>-127400</v>
      </c>
      <c r="CF134" s="1">
        <f>SUM($AP134,$AQ134:BH134)-SUM($CK134:DC134)</f>
        <v>-127400</v>
      </c>
      <c r="CG134" s="1">
        <f>SUM($AP134,$AQ134:BI134)-SUM($CK134:DD134)</f>
        <v>-127400</v>
      </c>
      <c r="CK134" s="1">
        <f t="array" ref="CK134">SUMPRODUCT($H134:$Y134,(TRANSPOSE(CK$2:CK$19)))</f>
        <v>0</v>
      </c>
      <c r="CL134" s="1">
        <f t="array" ref="CL134">SUMPRODUCT($H134:$Y134,(TRANSPOSE(CL$2:CL$19)))</f>
        <v>0</v>
      </c>
      <c r="CM134" s="1">
        <f t="array" ref="CM134">SUMPRODUCT($H134:$Y134,(TRANSPOSE(CM$2:CM$19)))</f>
        <v>0</v>
      </c>
      <c r="CN134" s="1">
        <f t="array" ref="CN134">SUMPRODUCT($H134:$Y134,(TRANSPOSE(CN$2:CN$19)))</f>
        <v>0</v>
      </c>
      <c r="CO134" s="1">
        <f t="array" ref="CO134">SUMPRODUCT($H134:$Y134,(TRANSPOSE(CO$2:CO$19)))</f>
        <v>1400</v>
      </c>
      <c r="CP134" s="1">
        <f t="array" ref="CP134">SUMPRODUCT($H134:$Y134,(TRANSPOSE(CP$2:CP$19)))</f>
        <v>2800</v>
      </c>
      <c r="CQ134" s="1">
        <f t="array" ref="CQ134">SUMPRODUCT($H134:$Y134,(TRANSPOSE(CQ$2:CQ$19)))</f>
        <v>4200</v>
      </c>
      <c r="CR134" s="1">
        <f t="array" ref="CR134">SUMPRODUCT($H134:$Y134,(TRANSPOSE(CR$2:CR$19)))</f>
        <v>5600</v>
      </c>
      <c r="CS134" s="1">
        <f t="array" ref="CS134">SUMPRODUCT($H134:$Y134,(TRANSPOSE(CS$2:CS$19)))</f>
        <v>7000</v>
      </c>
      <c r="CT134" s="1">
        <f t="array" ref="CT134">SUMPRODUCT($H134:$Y134,(TRANSPOSE(CT$2:CT$19)))</f>
        <v>8400</v>
      </c>
      <c r="CU134" s="1">
        <f t="array" ref="CU134">SUMPRODUCT($H134:$Y134,(TRANSPOSE(CU$2:CU$19)))</f>
        <v>9800</v>
      </c>
      <c r="CV134" s="1">
        <f t="array" ref="CV134">SUMPRODUCT($H134:$Y134,(TRANSPOSE(CV$2:CV$19)))</f>
        <v>11200</v>
      </c>
      <c r="CW134" s="1">
        <f t="array" ref="CW134">SUMPRODUCT($H134:$Y134,(TRANSPOSE(CW$2:CW$19)))</f>
        <v>12600</v>
      </c>
      <c r="CX134" s="1">
        <f t="array" ref="CX134">SUMPRODUCT($H134:$Y134,(TRANSPOSE(CX$2:CX$19)))</f>
        <v>14000</v>
      </c>
      <c r="CY134" s="1">
        <f t="array" ref="CY134">SUMPRODUCT($H134:$Y134,(TRANSPOSE(CY$2:CY$19)))</f>
        <v>15400</v>
      </c>
      <c r="CZ134" s="1">
        <f t="array" ref="CZ134">SUMPRODUCT($H134:$Y134,(TRANSPOSE(CZ$2:CZ$19)))</f>
        <v>16800</v>
      </c>
      <c r="DA134" s="1">
        <f t="array" ref="DA134">SUMPRODUCT($H134:$Y134,(TRANSPOSE(DA$2:DA$19)))</f>
        <v>18200</v>
      </c>
      <c r="DB134" s="1">
        <f t="array" ref="DB134">SUMPRODUCT($H134:$Y134,(TRANSPOSE(DB$2:DB$19)))</f>
        <v>0</v>
      </c>
      <c r="DC134" s="1">
        <f t="array" ref="DC134">SUMPRODUCT($H134:$Y134,(TRANSPOSE(DC$2:DC$19)))</f>
        <v>0</v>
      </c>
      <c r="DD134" s="1">
        <f t="array" ref="DD134">SUMPRODUCT($H134:$Y134,(TRANSPOSE(DD$2:DD$19)))</f>
        <v>0</v>
      </c>
    </row>
    <row r="135" spans="1:108" x14ac:dyDescent="0.2">
      <c r="A135" s="1">
        <v>135</v>
      </c>
      <c r="B135" s="10" t="s">
        <v>620</v>
      </c>
      <c r="C135" s="1" t="s">
        <v>22</v>
      </c>
      <c r="D135" s="1">
        <v>411263723</v>
      </c>
      <c r="E135" s="1">
        <v>415712323</v>
      </c>
      <c r="F135" s="1" t="s">
        <v>619</v>
      </c>
      <c r="G135" s="1" t="s">
        <v>20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8</v>
      </c>
      <c r="U135" s="1">
        <v>0</v>
      </c>
      <c r="V135" s="1">
        <v>0</v>
      </c>
      <c r="W135" s="1">
        <v>0</v>
      </c>
      <c r="X135" s="1">
        <v>8</v>
      </c>
      <c r="Y135" s="1">
        <v>0</v>
      </c>
      <c r="Z135" s="1">
        <f>SUM(H135:Y135)</f>
        <v>16</v>
      </c>
      <c r="AA135" s="1">
        <f>SUMPRODUCT(H135:Y135,$H$16:$Y$16)</f>
        <v>14560</v>
      </c>
      <c r="AB135" s="1" t="s">
        <v>618</v>
      </c>
      <c r="AC135" s="1">
        <v>1.7</v>
      </c>
      <c r="AD135" s="9"/>
      <c r="AE135" s="1" t="s">
        <v>174</v>
      </c>
      <c r="AF135" s="1">
        <f>AC135*1.1171</f>
        <v>1.8990699999999998</v>
      </c>
      <c r="AH135" s="1">
        <v>500</v>
      </c>
      <c r="AK135" s="1" t="s">
        <v>617</v>
      </c>
      <c r="AL135" s="1" t="s">
        <v>616</v>
      </c>
      <c r="AM135" s="1" t="s">
        <v>615</v>
      </c>
      <c r="AN135" s="1" t="s">
        <v>614</v>
      </c>
      <c r="BO135" s="1">
        <f>SUM($AP135,$AQ135:AQ135)-SUM($CK135:CL135)</f>
        <v>0</v>
      </c>
      <c r="BP135" s="1">
        <f>SUM($AP135,$AQ135:AR135)-SUM($CK135:CM135)</f>
        <v>0</v>
      </c>
      <c r="BQ135" s="1">
        <f>SUM($AP135,$AQ135:AS135)-SUM($CK135:CN135)</f>
        <v>0</v>
      </c>
      <c r="BR135" s="1">
        <f>SUM($AP135,$AQ135:AT135)-SUM($CK135:CO135)</f>
        <v>-160</v>
      </c>
      <c r="BS135" s="1">
        <f>SUM($AP135,$AQ135:AU135)-SUM($CK135:CP135)</f>
        <v>-480</v>
      </c>
      <c r="BT135" s="1">
        <f>SUM($AP135,$AQ135:AV135)-SUM($CK135:CQ135)</f>
        <v>-960</v>
      </c>
      <c r="BU135" s="1">
        <f>SUM($AP135,$AQ135:AW135)-SUM($CK135:CR135)</f>
        <v>-1600</v>
      </c>
      <c r="BV135" s="1">
        <f>SUM($AP135,$AQ135:AX135)-SUM($CK135:CS135)</f>
        <v>-2400</v>
      </c>
      <c r="BW135" s="1">
        <f>SUM($AP135,$AQ135:AY135)-SUM($CK135:CT135)</f>
        <v>-3360</v>
      </c>
      <c r="BX135" s="1">
        <f>SUM($AP135,$AQ135:AZ135)-SUM($CK135:CU135)</f>
        <v>-4480</v>
      </c>
      <c r="BY135" s="1">
        <f>SUM($AP135,$AQ135:BA135)-SUM($CK135:CV135)</f>
        <v>-5760</v>
      </c>
      <c r="BZ135" s="1">
        <f>SUM($AP135,$AQ135:BB135)-SUM($CK135:CW135)</f>
        <v>-7200</v>
      </c>
      <c r="CA135" s="1">
        <f>SUM($AP135,$AQ135:BC135)-SUM($CK135:CX135)</f>
        <v>-8800</v>
      </c>
      <c r="CB135" s="1">
        <f>SUM($AP135,$AQ135:BD135)-SUM($CK135:CY135)</f>
        <v>-10560</v>
      </c>
      <c r="CC135" s="1">
        <f>SUM($AP135,$AQ135:BE135)-SUM($CK135:CZ135)</f>
        <v>-12480</v>
      </c>
      <c r="CD135" s="1">
        <f>SUM($AP135,$AQ135:BF135)-SUM($CK135:DA135)</f>
        <v>-14560</v>
      </c>
      <c r="CE135" s="1">
        <f>SUM($AP135,$AQ135:BG135)-SUM($CK135:DB135)</f>
        <v>-14560</v>
      </c>
      <c r="CF135" s="1">
        <f>SUM($AP135,$AQ135:BH135)-SUM($CK135:DC135)</f>
        <v>-14560</v>
      </c>
      <c r="CG135" s="1">
        <f>SUM($AP135,$AQ135:BI135)-SUM($CK135:DD135)</f>
        <v>-14560</v>
      </c>
      <c r="CK135" s="1">
        <f t="array" ref="CK135">SUMPRODUCT($H135:$Y135,(TRANSPOSE(CK$2:CK$19)))</f>
        <v>0</v>
      </c>
      <c r="CL135" s="1">
        <f t="array" ref="CL135">SUMPRODUCT($H135:$Y135,(TRANSPOSE(CL$2:CL$19)))</f>
        <v>0</v>
      </c>
      <c r="CM135" s="1">
        <f t="array" ref="CM135">SUMPRODUCT($H135:$Y135,(TRANSPOSE(CM$2:CM$19)))</f>
        <v>0</v>
      </c>
      <c r="CN135" s="1">
        <f t="array" ref="CN135">SUMPRODUCT($H135:$Y135,(TRANSPOSE(CN$2:CN$19)))</f>
        <v>0</v>
      </c>
      <c r="CO135" s="1">
        <f t="array" ref="CO135">SUMPRODUCT($H135:$Y135,(TRANSPOSE(CO$2:CO$19)))</f>
        <v>160</v>
      </c>
      <c r="CP135" s="1">
        <f t="array" ref="CP135">SUMPRODUCT($H135:$Y135,(TRANSPOSE(CP$2:CP$19)))</f>
        <v>320</v>
      </c>
      <c r="CQ135" s="1">
        <f t="array" ref="CQ135">SUMPRODUCT($H135:$Y135,(TRANSPOSE(CQ$2:CQ$19)))</f>
        <v>480</v>
      </c>
      <c r="CR135" s="1">
        <f t="array" ref="CR135">SUMPRODUCT($H135:$Y135,(TRANSPOSE(CR$2:CR$19)))</f>
        <v>640</v>
      </c>
      <c r="CS135" s="1">
        <f t="array" ref="CS135">SUMPRODUCT($H135:$Y135,(TRANSPOSE(CS$2:CS$19)))</f>
        <v>800</v>
      </c>
      <c r="CT135" s="1">
        <f t="array" ref="CT135">SUMPRODUCT($H135:$Y135,(TRANSPOSE(CT$2:CT$19)))</f>
        <v>960</v>
      </c>
      <c r="CU135" s="1">
        <f t="array" ref="CU135">SUMPRODUCT($H135:$Y135,(TRANSPOSE(CU$2:CU$19)))</f>
        <v>1120</v>
      </c>
      <c r="CV135" s="1">
        <f t="array" ref="CV135">SUMPRODUCT($H135:$Y135,(TRANSPOSE(CV$2:CV$19)))</f>
        <v>1280</v>
      </c>
      <c r="CW135" s="1">
        <f t="array" ref="CW135">SUMPRODUCT($H135:$Y135,(TRANSPOSE(CW$2:CW$19)))</f>
        <v>1440</v>
      </c>
      <c r="CX135" s="1">
        <f t="array" ref="CX135">SUMPRODUCT($H135:$Y135,(TRANSPOSE(CX$2:CX$19)))</f>
        <v>1600</v>
      </c>
      <c r="CY135" s="1">
        <f t="array" ref="CY135">SUMPRODUCT($H135:$Y135,(TRANSPOSE(CY$2:CY$19)))</f>
        <v>1760</v>
      </c>
      <c r="CZ135" s="1">
        <f t="array" ref="CZ135">SUMPRODUCT($H135:$Y135,(TRANSPOSE(CZ$2:CZ$19)))</f>
        <v>1920</v>
      </c>
      <c r="DA135" s="1">
        <f t="array" ref="DA135">SUMPRODUCT($H135:$Y135,(TRANSPOSE(DA$2:DA$19)))</f>
        <v>2080</v>
      </c>
      <c r="DB135" s="1">
        <f t="array" ref="DB135">SUMPRODUCT($H135:$Y135,(TRANSPOSE(DB$2:DB$19)))</f>
        <v>0</v>
      </c>
      <c r="DC135" s="1">
        <f t="array" ref="DC135">SUMPRODUCT($H135:$Y135,(TRANSPOSE(DC$2:DC$19)))</f>
        <v>0</v>
      </c>
      <c r="DD135" s="1">
        <f t="array" ref="DD135">SUMPRODUCT($H135:$Y135,(TRANSPOSE(DD$2:DD$19)))</f>
        <v>0</v>
      </c>
    </row>
    <row r="136" spans="1:108" x14ac:dyDescent="0.2">
      <c r="A136" s="1">
        <v>136</v>
      </c>
      <c r="B136" s="10" t="s">
        <v>613</v>
      </c>
      <c r="C136" s="1" t="s">
        <v>22</v>
      </c>
      <c r="D136" s="1" t="s">
        <v>612</v>
      </c>
      <c r="F136" s="1" t="s">
        <v>611</v>
      </c>
      <c r="G136" s="1" t="s">
        <v>610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9</v>
      </c>
      <c r="S136" s="1">
        <v>0</v>
      </c>
      <c r="T136" s="1">
        <v>0</v>
      </c>
      <c r="U136" s="1">
        <v>0</v>
      </c>
      <c r="V136" s="1">
        <v>9</v>
      </c>
      <c r="W136" s="1">
        <v>0</v>
      </c>
      <c r="X136" s="1">
        <v>0</v>
      </c>
      <c r="Y136" s="1">
        <v>0</v>
      </c>
      <c r="Z136" s="1">
        <f>SUM(H136:Y136)</f>
        <v>18</v>
      </c>
      <c r="AA136" s="1">
        <f>SUMPRODUCT(H136:Y136,$H$16:$Y$16)</f>
        <v>16380</v>
      </c>
      <c r="AB136" s="1" t="s">
        <v>609</v>
      </c>
      <c r="AC136" s="1">
        <v>1.28</v>
      </c>
      <c r="AD136" s="9"/>
      <c r="AE136" s="1" t="s">
        <v>28</v>
      </c>
      <c r="AF136" s="1">
        <f>AC136</f>
        <v>1.28</v>
      </c>
      <c r="AG136" s="1">
        <v>1</v>
      </c>
      <c r="AH136" s="1">
        <v>1</v>
      </c>
      <c r="AI136" s="1" t="s">
        <v>608</v>
      </c>
      <c r="AK136" s="1" t="s">
        <v>607</v>
      </c>
      <c r="AL136" s="1" t="s">
        <v>606</v>
      </c>
      <c r="AM136" s="1" t="s">
        <v>605</v>
      </c>
      <c r="AN136" s="2" t="s">
        <v>604</v>
      </c>
      <c r="AO136" s="1" t="s">
        <v>603</v>
      </c>
      <c r="BO136" s="1">
        <f>SUM($AP136,$AQ136:AQ136)-SUM($CK136:CL136)</f>
        <v>0</v>
      </c>
      <c r="BP136" s="1">
        <f>SUM($AP136,$AQ136:AR136)-SUM($CK136:CM136)</f>
        <v>0</v>
      </c>
      <c r="BQ136" s="1">
        <f>SUM($AP136,$AQ136:AS136)-SUM($CK136:CN136)</f>
        <v>0</v>
      </c>
      <c r="BR136" s="1">
        <f>SUM($AP136,$AQ136:AT136)-SUM($CK136:CO136)</f>
        <v>0</v>
      </c>
      <c r="BS136" s="1">
        <f>SUM($AP136,$AQ136:AU136)-SUM($CK136:CP136)</f>
        <v>0</v>
      </c>
      <c r="BT136" s="1">
        <f>SUM($AP136,$AQ136:AV136)-SUM($CK136:CQ136)</f>
        <v>-180</v>
      </c>
      <c r="BU136" s="1">
        <f>SUM($AP136,$AQ136:AW136)-SUM($CK136:CR136)</f>
        <v>-540</v>
      </c>
      <c r="BV136" s="1">
        <f>SUM($AP136,$AQ136:AX136)-SUM($CK136:CS136)</f>
        <v>-1080</v>
      </c>
      <c r="BW136" s="1">
        <f>SUM($AP136,$AQ136:AY136)-SUM($CK136:CT136)</f>
        <v>-1800</v>
      </c>
      <c r="BX136" s="1">
        <f>SUM($AP136,$AQ136:AZ136)-SUM($CK136:CU136)</f>
        <v>-2700</v>
      </c>
      <c r="BY136" s="1">
        <f>SUM($AP136,$AQ136:BA136)-SUM($CK136:CV136)</f>
        <v>-3780</v>
      </c>
      <c r="BZ136" s="1">
        <f>SUM($AP136,$AQ136:BB136)-SUM($CK136:CW136)</f>
        <v>-5040</v>
      </c>
      <c r="CA136" s="1">
        <f>SUM($AP136,$AQ136:BC136)-SUM($CK136:CX136)</f>
        <v>-6480</v>
      </c>
      <c r="CB136" s="1">
        <f>SUM($AP136,$AQ136:BD136)-SUM($CK136:CY136)</f>
        <v>-8100</v>
      </c>
      <c r="CC136" s="1">
        <f>SUM($AP136,$AQ136:BE136)-SUM($CK136:CZ136)</f>
        <v>-9900</v>
      </c>
      <c r="CD136" s="1">
        <f>SUM($AP136,$AQ136:BF136)-SUM($CK136:DA136)</f>
        <v>-11880</v>
      </c>
      <c r="CE136" s="1">
        <f>SUM($AP136,$AQ136:BG136)-SUM($CK136:DB136)</f>
        <v>-14040</v>
      </c>
      <c r="CF136" s="1">
        <f>SUM($AP136,$AQ136:BH136)-SUM($CK136:DC136)</f>
        <v>-16380</v>
      </c>
      <c r="CG136" s="1">
        <f>SUM($AP136,$AQ136:BI136)-SUM($CK136:DD136)</f>
        <v>-16380</v>
      </c>
      <c r="CK136" s="1">
        <f t="array" ref="CK136">SUMPRODUCT($H136:$Y136,(TRANSPOSE(CK$2:CK$19)))</f>
        <v>0</v>
      </c>
      <c r="CL136" s="1">
        <f t="array" ref="CL136">SUMPRODUCT($H136:$Y136,(TRANSPOSE(CL$2:CL$19)))</f>
        <v>0</v>
      </c>
      <c r="CM136" s="1">
        <f t="array" ref="CM136">SUMPRODUCT($H136:$Y136,(TRANSPOSE(CM$2:CM$19)))</f>
        <v>0</v>
      </c>
      <c r="CN136" s="1">
        <f t="array" ref="CN136">SUMPRODUCT($H136:$Y136,(TRANSPOSE(CN$2:CN$19)))</f>
        <v>0</v>
      </c>
      <c r="CO136" s="1">
        <f t="array" ref="CO136">SUMPRODUCT($H136:$Y136,(TRANSPOSE(CO$2:CO$19)))</f>
        <v>0</v>
      </c>
      <c r="CP136" s="1">
        <f t="array" ref="CP136">SUMPRODUCT($H136:$Y136,(TRANSPOSE(CP$2:CP$19)))</f>
        <v>0</v>
      </c>
      <c r="CQ136" s="1">
        <f t="array" ref="CQ136">SUMPRODUCT($H136:$Y136,(TRANSPOSE(CQ$2:CQ$19)))</f>
        <v>180</v>
      </c>
      <c r="CR136" s="1">
        <f t="array" ref="CR136">SUMPRODUCT($H136:$Y136,(TRANSPOSE(CR$2:CR$19)))</f>
        <v>360</v>
      </c>
      <c r="CS136" s="1">
        <f t="array" ref="CS136">SUMPRODUCT($H136:$Y136,(TRANSPOSE(CS$2:CS$19)))</f>
        <v>540</v>
      </c>
      <c r="CT136" s="1">
        <f t="array" ref="CT136">SUMPRODUCT($H136:$Y136,(TRANSPOSE(CT$2:CT$19)))</f>
        <v>720</v>
      </c>
      <c r="CU136" s="1">
        <f t="array" ref="CU136">SUMPRODUCT($H136:$Y136,(TRANSPOSE(CU$2:CU$19)))</f>
        <v>900</v>
      </c>
      <c r="CV136" s="1">
        <f t="array" ref="CV136">SUMPRODUCT($H136:$Y136,(TRANSPOSE(CV$2:CV$19)))</f>
        <v>1080</v>
      </c>
      <c r="CW136" s="1">
        <f t="array" ref="CW136">SUMPRODUCT($H136:$Y136,(TRANSPOSE(CW$2:CW$19)))</f>
        <v>1260</v>
      </c>
      <c r="CX136" s="1">
        <f t="array" ref="CX136">SUMPRODUCT($H136:$Y136,(TRANSPOSE(CX$2:CX$19)))</f>
        <v>1440</v>
      </c>
      <c r="CY136" s="1">
        <f t="array" ref="CY136">SUMPRODUCT($H136:$Y136,(TRANSPOSE(CY$2:CY$19)))</f>
        <v>1620</v>
      </c>
      <c r="CZ136" s="1">
        <f t="array" ref="CZ136">SUMPRODUCT($H136:$Y136,(TRANSPOSE(CZ$2:CZ$19)))</f>
        <v>1800</v>
      </c>
      <c r="DA136" s="1">
        <f t="array" ref="DA136">SUMPRODUCT($H136:$Y136,(TRANSPOSE(DA$2:DA$19)))</f>
        <v>1980</v>
      </c>
      <c r="DB136" s="1">
        <f t="array" ref="DB136">SUMPRODUCT($H136:$Y136,(TRANSPOSE(DB$2:DB$19)))</f>
        <v>2160</v>
      </c>
      <c r="DC136" s="1">
        <f t="array" ref="DC136">SUMPRODUCT($H136:$Y136,(TRANSPOSE(DC$2:DC$19)))</f>
        <v>2340</v>
      </c>
      <c r="DD136" s="1">
        <f t="array" ref="DD136">SUMPRODUCT($H136:$Y136,(TRANSPOSE(DD$2:DD$19)))</f>
        <v>0</v>
      </c>
    </row>
    <row r="137" spans="1:108" x14ac:dyDescent="0.2">
      <c r="A137" s="1">
        <v>137</v>
      </c>
      <c r="B137" s="10" t="s">
        <v>602</v>
      </c>
      <c r="C137" s="1" t="s">
        <v>22</v>
      </c>
      <c r="D137" s="1" t="s">
        <v>601</v>
      </c>
      <c r="F137" s="1" t="s">
        <v>600</v>
      </c>
      <c r="G137" s="1" t="s">
        <v>20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2</v>
      </c>
      <c r="U137" s="1">
        <v>0</v>
      </c>
      <c r="V137" s="1">
        <v>0</v>
      </c>
      <c r="W137" s="1">
        <v>0</v>
      </c>
      <c r="X137" s="1">
        <v>2</v>
      </c>
      <c r="Y137" s="1">
        <v>0</v>
      </c>
      <c r="Z137" s="1">
        <f>SUM(H137:Y137)</f>
        <v>4</v>
      </c>
      <c r="AA137" s="1">
        <f>SUMPRODUCT(H137:Y137,$H$16:$Y$16)</f>
        <v>3640</v>
      </c>
      <c r="AB137" s="1" t="s">
        <v>598</v>
      </c>
      <c r="AC137" s="1">
        <v>2002</v>
      </c>
      <c r="AD137" s="9"/>
      <c r="AE137" s="1" t="s">
        <v>599</v>
      </c>
      <c r="AF137" s="1">
        <f>AC137*0.0119</f>
        <v>23.823800000000002</v>
      </c>
      <c r="AG137" s="1">
        <v>30</v>
      </c>
      <c r="AH137" s="1">
        <v>1</v>
      </c>
      <c r="AK137" s="1" t="s">
        <v>598</v>
      </c>
      <c r="AL137" s="1" t="s">
        <v>597</v>
      </c>
      <c r="AM137" s="1" t="s">
        <v>596</v>
      </c>
      <c r="AN137" s="2" t="s">
        <v>595</v>
      </c>
      <c r="BO137" s="1">
        <f>SUM($AP137,$AQ137:AQ137)-SUM($CK137:CL137)</f>
        <v>0</v>
      </c>
      <c r="BP137" s="1">
        <f>SUM($AP137,$AQ137:AR137)-SUM($CK137:CM137)</f>
        <v>0</v>
      </c>
      <c r="BQ137" s="1">
        <f>SUM($AP137,$AQ137:AS137)-SUM($CK137:CN137)</f>
        <v>0</v>
      </c>
      <c r="BR137" s="1">
        <f>SUM($AP137,$AQ137:AT137)-SUM($CK137:CO137)</f>
        <v>-40</v>
      </c>
      <c r="BS137" s="1">
        <f>SUM($AP137,$AQ137:AU137)-SUM($CK137:CP137)</f>
        <v>-120</v>
      </c>
      <c r="BT137" s="1">
        <f>SUM($AP137,$AQ137:AV137)-SUM($CK137:CQ137)</f>
        <v>-240</v>
      </c>
      <c r="BU137" s="1">
        <f>SUM($AP137,$AQ137:AW137)-SUM($CK137:CR137)</f>
        <v>-400</v>
      </c>
      <c r="BV137" s="1">
        <f>SUM($AP137,$AQ137:AX137)-SUM($CK137:CS137)</f>
        <v>-600</v>
      </c>
      <c r="BW137" s="1">
        <f>SUM($AP137,$AQ137:AY137)-SUM($CK137:CT137)</f>
        <v>-840</v>
      </c>
      <c r="BX137" s="1">
        <f>SUM($AP137,$AQ137:AZ137)-SUM($CK137:CU137)</f>
        <v>-1120</v>
      </c>
      <c r="BY137" s="1">
        <f>SUM($AP137,$AQ137:BA137)-SUM($CK137:CV137)</f>
        <v>-1440</v>
      </c>
      <c r="BZ137" s="1">
        <f>SUM($AP137,$AQ137:BB137)-SUM($CK137:CW137)</f>
        <v>-1800</v>
      </c>
      <c r="CA137" s="1">
        <f>SUM($AP137,$AQ137:BC137)-SUM($CK137:CX137)</f>
        <v>-2200</v>
      </c>
      <c r="CB137" s="1">
        <f>SUM($AP137,$AQ137:BD137)-SUM($CK137:CY137)</f>
        <v>-2640</v>
      </c>
      <c r="CC137" s="1">
        <f>SUM($AP137,$AQ137:BE137)-SUM($CK137:CZ137)</f>
        <v>-3120</v>
      </c>
      <c r="CD137" s="1">
        <f>SUM($AP137,$AQ137:BF137)-SUM($CK137:DA137)</f>
        <v>-3640</v>
      </c>
      <c r="CE137" s="1">
        <f>SUM($AP137,$AQ137:BG137)-SUM($CK137:DB137)</f>
        <v>-3640</v>
      </c>
      <c r="CF137" s="1">
        <f>SUM($AP137,$AQ137:BH137)-SUM($CK137:DC137)</f>
        <v>-3640</v>
      </c>
      <c r="CG137" s="1">
        <f>SUM($AP137,$AQ137:BI137)-SUM($CK137:DD137)</f>
        <v>-3640</v>
      </c>
      <c r="CK137" s="1">
        <f t="array" ref="CK137">SUMPRODUCT($H137:$Y137,(TRANSPOSE(CK$2:CK$19)))</f>
        <v>0</v>
      </c>
      <c r="CL137" s="1">
        <f t="array" ref="CL137">SUMPRODUCT($H137:$Y137,(TRANSPOSE(CL$2:CL$19)))</f>
        <v>0</v>
      </c>
      <c r="CM137" s="1">
        <f t="array" ref="CM137">SUMPRODUCT($H137:$Y137,(TRANSPOSE(CM$2:CM$19)))</f>
        <v>0</v>
      </c>
      <c r="CN137" s="1">
        <f t="array" ref="CN137">SUMPRODUCT($H137:$Y137,(TRANSPOSE(CN$2:CN$19)))</f>
        <v>0</v>
      </c>
      <c r="CO137" s="1">
        <f t="array" ref="CO137">SUMPRODUCT($H137:$Y137,(TRANSPOSE(CO$2:CO$19)))</f>
        <v>40</v>
      </c>
      <c r="CP137" s="1">
        <f t="array" ref="CP137">SUMPRODUCT($H137:$Y137,(TRANSPOSE(CP$2:CP$19)))</f>
        <v>80</v>
      </c>
      <c r="CQ137" s="1">
        <f t="array" ref="CQ137">SUMPRODUCT($H137:$Y137,(TRANSPOSE(CQ$2:CQ$19)))</f>
        <v>120</v>
      </c>
      <c r="CR137" s="1">
        <f t="array" ref="CR137">SUMPRODUCT($H137:$Y137,(TRANSPOSE(CR$2:CR$19)))</f>
        <v>160</v>
      </c>
      <c r="CS137" s="1">
        <f t="array" ref="CS137">SUMPRODUCT($H137:$Y137,(TRANSPOSE(CS$2:CS$19)))</f>
        <v>200</v>
      </c>
      <c r="CT137" s="1">
        <f t="array" ref="CT137">SUMPRODUCT($H137:$Y137,(TRANSPOSE(CT$2:CT$19)))</f>
        <v>240</v>
      </c>
      <c r="CU137" s="1">
        <f t="array" ref="CU137">SUMPRODUCT($H137:$Y137,(TRANSPOSE(CU$2:CU$19)))</f>
        <v>280</v>
      </c>
      <c r="CV137" s="1">
        <f t="array" ref="CV137">SUMPRODUCT($H137:$Y137,(TRANSPOSE(CV$2:CV$19)))</f>
        <v>320</v>
      </c>
      <c r="CW137" s="1">
        <f t="array" ref="CW137">SUMPRODUCT($H137:$Y137,(TRANSPOSE(CW$2:CW$19)))</f>
        <v>360</v>
      </c>
      <c r="CX137" s="1">
        <f t="array" ref="CX137">SUMPRODUCT($H137:$Y137,(TRANSPOSE(CX$2:CX$19)))</f>
        <v>400</v>
      </c>
      <c r="CY137" s="1">
        <f t="array" ref="CY137">SUMPRODUCT($H137:$Y137,(TRANSPOSE(CY$2:CY$19)))</f>
        <v>440</v>
      </c>
      <c r="CZ137" s="1">
        <f t="array" ref="CZ137">SUMPRODUCT($H137:$Y137,(TRANSPOSE(CZ$2:CZ$19)))</f>
        <v>480</v>
      </c>
      <c r="DA137" s="1">
        <f t="array" ref="DA137">SUMPRODUCT($H137:$Y137,(TRANSPOSE(DA$2:DA$19)))</f>
        <v>520</v>
      </c>
      <c r="DB137" s="1">
        <f t="array" ref="DB137">SUMPRODUCT($H137:$Y137,(TRANSPOSE(DB$2:DB$19)))</f>
        <v>0</v>
      </c>
      <c r="DC137" s="1">
        <f t="array" ref="DC137">SUMPRODUCT($H137:$Y137,(TRANSPOSE(DC$2:DC$19)))</f>
        <v>0</v>
      </c>
      <c r="DD137" s="1">
        <f t="array" ref="DD137">SUMPRODUCT($H137:$Y137,(TRANSPOSE(DD$2:DD$19)))</f>
        <v>0</v>
      </c>
    </row>
    <row r="138" spans="1:108" x14ac:dyDescent="0.2">
      <c r="A138" s="1">
        <v>139</v>
      </c>
      <c r="B138" s="10" t="s">
        <v>594</v>
      </c>
      <c r="C138" s="1" t="s">
        <v>22</v>
      </c>
      <c r="D138" s="1">
        <v>732602347</v>
      </c>
      <c r="E138" s="1" t="s">
        <v>593</v>
      </c>
      <c r="F138" s="1" t="s">
        <v>592</v>
      </c>
      <c r="G138" s="1" t="s">
        <v>125</v>
      </c>
      <c r="H138" s="1">
        <v>0.05</v>
      </c>
      <c r="I138" s="1">
        <v>0.05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f>SUM(H138:Y138)</f>
        <v>0.1</v>
      </c>
      <c r="AA138" s="1">
        <f>SUMPRODUCT(H138:Y138,$H$16:$Y$16)</f>
        <v>91</v>
      </c>
      <c r="AB138" s="1" t="s">
        <v>18</v>
      </c>
      <c r="AC138" s="1">
        <v>0</v>
      </c>
      <c r="AD138" s="9"/>
      <c r="AE138" s="1" t="s">
        <v>19</v>
      </c>
      <c r="AF138" s="1">
        <f>AC138</f>
        <v>0</v>
      </c>
      <c r="AG138" s="1">
        <v>1</v>
      </c>
      <c r="AH138" s="1">
        <v>1</v>
      </c>
      <c r="AI138" s="1" t="s">
        <v>18</v>
      </c>
      <c r="AJ138" s="1" t="s">
        <v>18</v>
      </c>
      <c r="AK138" s="1" t="s">
        <v>18</v>
      </c>
      <c r="AL138" s="1" t="s">
        <v>18</v>
      </c>
      <c r="AM138" s="1" t="s">
        <v>18</v>
      </c>
      <c r="AN138" s="2" t="s">
        <v>18</v>
      </c>
      <c r="BO138" s="1">
        <f>SUM($AP138,$AQ138:AQ138)-SUM($CK138:CL138)</f>
        <v>0</v>
      </c>
      <c r="BP138" s="1">
        <f>SUM($AP138,$AQ138:AR138)-SUM($CK138:CM138)</f>
        <v>0</v>
      </c>
      <c r="BQ138" s="1">
        <f>SUM($AP138,$AQ138:AS138)-SUM($CK138:CN138)</f>
        <v>0</v>
      </c>
      <c r="BR138" s="1">
        <f>SUM($AP138,$AQ138:AT138)-SUM($CK138:CO138)</f>
        <v>0</v>
      </c>
      <c r="BS138" s="1">
        <f>SUM($AP138,$AQ138:AU138)-SUM($CK138:CP138)</f>
        <v>0</v>
      </c>
      <c r="BT138" s="1">
        <f>SUM($AP138,$AQ138:AV138)-SUM($CK138:CQ138)</f>
        <v>-0.5</v>
      </c>
      <c r="BU138" s="1">
        <f>SUM($AP138,$AQ138:AW138)-SUM($CK138:CR138)</f>
        <v>-2</v>
      </c>
      <c r="BV138" s="1">
        <f>SUM($AP138,$AQ138:AX138)-SUM($CK138:CS138)</f>
        <v>-4.5</v>
      </c>
      <c r="BW138" s="1">
        <f>SUM($AP138,$AQ138:AY138)-SUM($CK138:CT138)</f>
        <v>-8</v>
      </c>
      <c r="BX138" s="1">
        <f>SUM($AP138,$AQ138:AZ138)-SUM($CK138:CU138)</f>
        <v>-12.5</v>
      </c>
      <c r="BY138" s="1">
        <f>SUM($AP138,$AQ138:BA138)-SUM($CK138:CV138)</f>
        <v>-18</v>
      </c>
      <c r="BZ138" s="1">
        <f>SUM($AP138,$AQ138:BB138)-SUM($CK138:CW138)</f>
        <v>-24.5</v>
      </c>
      <c r="CA138" s="1">
        <f>SUM($AP138,$AQ138:BC138)-SUM($CK138:CX138)</f>
        <v>-32</v>
      </c>
      <c r="CB138" s="1">
        <f>SUM($AP138,$AQ138:BD138)-SUM($CK138:CY138)</f>
        <v>-40.5</v>
      </c>
      <c r="CC138" s="1">
        <f>SUM($AP138,$AQ138:BE138)-SUM($CK138:CZ138)</f>
        <v>-50</v>
      </c>
      <c r="CD138" s="1">
        <f>SUM($AP138,$AQ138:BF138)-SUM($CK138:DA138)</f>
        <v>-60.5</v>
      </c>
      <c r="CE138" s="1">
        <f>SUM($AP138,$AQ138:BG138)-SUM($CK138:DB138)</f>
        <v>-72</v>
      </c>
      <c r="CF138" s="1">
        <f>SUM($AP138,$AQ138:BH138)-SUM($CK138:DC138)</f>
        <v>-84.5</v>
      </c>
      <c r="CG138" s="1">
        <f>SUM($AP138,$AQ138:BI138)-SUM($CK138:DD138)</f>
        <v>-91</v>
      </c>
      <c r="CK138" s="1">
        <f t="array" ref="CK138">SUMPRODUCT($H138:$Y138,(TRANSPOSE(CK$2:CK$19)))</f>
        <v>0</v>
      </c>
      <c r="CL138" s="1">
        <f t="array" ref="CL138">SUMPRODUCT($H138:$Y138,(TRANSPOSE(CL$2:CL$19)))</f>
        <v>0</v>
      </c>
      <c r="CM138" s="1">
        <f t="array" ref="CM138">SUMPRODUCT($H138:$Y138,(TRANSPOSE(CM$2:CM$19)))</f>
        <v>0</v>
      </c>
      <c r="CN138" s="1">
        <f t="array" ref="CN138">SUMPRODUCT($H138:$Y138,(TRANSPOSE(CN$2:CN$19)))</f>
        <v>0</v>
      </c>
      <c r="CO138" s="1">
        <f t="array" ref="CO138">SUMPRODUCT($H138:$Y138,(TRANSPOSE(CO$2:CO$19)))</f>
        <v>0</v>
      </c>
      <c r="CP138" s="1">
        <f t="array" ref="CP138">SUMPRODUCT($H138:$Y138,(TRANSPOSE(CP$2:CP$19)))</f>
        <v>0</v>
      </c>
      <c r="CQ138" s="1">
        <f t="array" ref="CQ138">SUMPRODUCT($H138:$Y138,(TRANSPOSE(CQ$2:CQ$19)))</f>
        <v>0.5</v>
      </c>
      <c r="CR138" s="1">
        <f t="array" ref="CR138">SUMPRODUCT($H138:$Y138,(TRANSPOSE(CR$2:CR$19)))</f>
        <v>1.5</v>
      </c>
      <c r="CS138" s="1">
        <f t="array" ref="CS138">SUMPRODUCT($H138:$Y138,(TRANSPOSE(CS$2:CS$19)))</f>
        <v>2.5</v>
      </c>
      <c r="CT138" s="1">
        <f t="array" ref="CT138">SUMPRODUCT($H138:$Y138,(TRANSPOSE(CT$2:CT$19)))</f>
        <v>3.5</v>
      </c>
      <c r="CU138" s="1">
        <f t="array" ref="CU138">SUMPRODUCT($H138:$Y138,(TRANSPOSE(CU$2:CU$19)))</f>
        <v>4.5</v>
      </c>
      <c r="CV138" s="1">
        <f t="array" ref="CV138">SUMPRODUCT($H138:$Y138,(TRANSPOSE(CV$2:CV$19)))</f>
        <v>5.5</v>
      </c>
      <c r="CW138" s="1">
        <f t="array" ref="CW138">SUMPRODUCT($H138:$Y138,(TRANSPOSE(CW$2:CW$19)))</f>
        <v>6.5</v>
      </c>
      <c r="CX138" s="1">
        <f t="array" ref="CX138">SUMPRODUCT($H138:$Y138,(TRANSPOSE(CX$2:CX$19)))</f>
        <v>7.5</v>
      </c>
      <c r="CY138" s="1">
        <f t="array" ref="CY138">SUMPRODUCT($H138:$Y138,(TRANSPOSE(CY$2:CY$19)))</f>
        <v>8.5</v>
      </c>
      <c r="CZ138" s="1">
        <f t="array" ref="CZ138">SUMPRODUCT($H138:$Y138,(TRANSPOSE(CZ$2:CZ$19)))</f>
        <v>9.5</v>
      </c>
      <c r="DA138" s="1">
        <f t="array" ref="DA138">SUMPRODUCT($H138:$Y138,(TRANSPOSE(DA$2:DA$19)))</f>
        <v>10.5</v>
      </c>
      <c r="DB138" s="1">
        <f t="array" ref="DB138">SUMPRODUCT($H138:$Y138,(TRANSPOSE(DB$2:DB$19)))</f>
        <v>11.5</v>
      </c>
      <c r="DC138" s="1">
        <f t="array" ref="DC138">SUMPRODUCT($H138:$Y138,(TRANSPOSE(DC$2:DC$19)))</f>
        <v>12.5</v>
      </c>
      <c r="DD138" s="1">
        <f t="array" ref="DD138">SUMPRODUCT($H138:$Y138,(TRANSPOSE(DD$2:DD$19)))</f>
        <v>6.5</v>
      </c>
    </row>
    <row r="139" spans="1:108" x14ac:dyDescent="0.2">
      <c r="A139" s="1">
        <v>140</v>
      </c>
      <c r="B139" s="10" t="s">
        <v>591</v>
      </c>
      <c r="C139" s="1" t="s">
        <v>22</v>
      </c>
      <c r="D139" s="1">
        <v>417983176</v>
      </c>
      <c r="E139" s="1">
        <v>400341542</v>
      </c>
      <c r="F139" s="1" t="s">
        <v>590</v>
      </c>
      <c r="G139" s="1" t="s">
        <v>20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4</v>
      </c>
      <c r="V139" s="1">
        <v>0</v>
      </c>
      <c r="W139" s="1">
        <v>0</v>
      </c>
      <c r="X139" s="1">
        <v>0</v>
      </c>
      <c r="Y139" s="1">
        <v>4</v>
      </c>
      <c r="Z139" s="1">
        <f>SUM(H139:Y139)</f>
        <v>8</v>
      </c>
      <c r="AA139" s="1">
        <f>SUMPRODUCT(H139:Y139,$H$16:$Y$16)</f>
        <v>7280</v>
      </c>
      <c r="AB139" s="1" t="s">
        <v>573</v>
      </c>
      <c r="AC139" s="1">
        <v>0.05</v>
      </c>
      <c r="AD139" s="9"/>
      <c r="AE139" s="1" t="s">
        <v>28</v>
      </c>
      <c r="AF139" s="1">
        <f>AC139</f>
        <v>0.05</v>
      </c>
      <c r="AG139" s="1">
        <v>2000</v>
      </c>
      <c r="AH139" s="1">
        <v>2000</v>
      </c>
      <c r="AI139" s="1">
        <v>20</v>
      </c>
      <c r="AK139" s="1" t="s">
        <v>89</v>
      </c>
      <c r="AL139" s="1" t="s">
        <v>88</v>
      </c>
      <c r="AM139" s="1" t="s">
        <v>87</v>
      </c>
      <c r="AN139" s="2" t="s">
        <v>86</v>
      </c>
      <c r="BO139" s="1">
        <f>SUM($AP139,$AQ139:AQ139)-SUM($CK139:CL139)</f>
        <v>0</v>
      </c>
      <c r="BP139" s="1">
        <f>SUM($AP139,$AQ139:AR139)-SUM($CK139:CM139)</f>
        <v>0</v>
      </c>
      <c r="BQ139" s="1">
        <f>SUM($AP139,$AQ139:AS139)-SUM($CK139:CN139)</f>
        <v>0</v>
      </c>
      <c r="BR139" s="1">
        <f>SUM($AP139,$AQ139:AT139)-SUM($CK139:CO139)</f>
        <v>-80</v>
      </c>
      <c r="BS139" s="1">
        <f>SUM($AP139,$AQ139:AU139)-SUM($CK139:CP139)</f>
        <v>-240</v>
      </c>
      <c r="BT139" s="1">
        <f>SUM($AP139,$AQ139:AV139)-SUM($CK139:CQ139)</f>
        <v>-480</v>
      </c>
      <c r="BU139" s="1">
        <f>SUM($AP139,$AQ139:AW139)-SUM($CK139:CR139)</f>
        <v>-800</v>
      </c>
      <c r="BV139" s="1">
        <f>SUM($AP139,$AQ139:AX139)-SUM($CK139:CS139)</f>
        <v>-1200</v>
      </c>
      <c r="BW139" s="1">
        <f>SUM($AP139,$AQ139:AY139)-SUM($CK139:CT139)</f>
        <v>-1680</v>
      </c>
      <c r="BX139" s="1">
        <f>SUM($AP139,$AQ139:AZ139)-SUM($CK139:CU139)</f>
        <v>-2240</v>
      </c>
      <c r="BY139" s="1">
        <f>SUM($AP139,$AQ139:BA139)-SUM($CK139:CV139)</f>
        <v>-2880</v>
      </c>
      <c r="BZ139" s="1">
        <f>SUM($AP139,$AQ139:BB139)-SUM($CK139:CW139)</f>
        <v>-3600</v>
      </c>
      <c r="CA139" s="1">
        <f>SUM($AP139,$AQ139:BC139)-SUM($CK139:CX139)</f>
        <v>-4400</v>
      </c>
      <c r="CB139" s="1">
        <f>SUM($AP139,$AQ139:BD139)-SUM($CK139:CY139)</f>
        <v>-5280</v>
      </c>
      <c r="CC139" s="1">
        <f>SUM($AP139,$AQ139:BE139)-SUM($CK139:CZ139)</f>
        <v>-6240</v>
      </c>
      <c r="CD139" s="1">
        <f>SUM($AP139,$AQ139:BF139)-SUM($CK139:DA139)</f>
        <v>-7280</v>
      </c>
      <c r="CE139" s="1">
        <f>SUM($AP139,$AQ139:BG139)-SUM($CK139:DB139)</f>
        <v>-7280</v>
      </c>
      <c r="CF139" s="1">
        <f>SUM($AP139,$AQ139:BH139)-SUM($CK139:DC139)</f>
        <v>-7280</v>
      </c>
      <c r="CG139" s="1">
        <f>SUM($AP139,$AQ139:BI139)-SUM($CK139:DD139)</f>
        <v>-7280</v>
      </c>
      <c r="CK139" s="1">
        <f t="array" ref="CK139">SUMPRODUCT($H139:$Y139,(TRANSPOSE(CK$2:CK$19)))</f>
        <v>0</v>
      </c>
      <c r="CL139" s="1">
        <f t="array" ref="CL139">SUMPRODUCT($H139:$Y139,(TRANSPOSE(CL$2:CL$19)))</f>
        <v>0</v>
      </c>
      <c r="CM139" s="1">
        <f t="array" ref="CM139">SUMPRODUCT($H139:$Y139,(TRANSPOSE(CM$2:CM$19)))</f>
        <v>0</v>
      </c>
      <c r="CN139" s="1">
        <f t="array" ref="CN139">SUMPRODUCT($H139:$Y139,(TRANSPOSE(CN$2:CN$19)))</f>
        <v>0</v>
      </c>
      <c r="CO139" s="1">
        <f t="array" ref="CO139">SUMPRODUCT($H139:$Y139,(TRANSPOSE(CO$2:CO$19)))</f>
        <v>80</v>
      </c>
      <c r="CP139" s="1">
        <f t="array" ref="CP139">SUMPRODUCT($H139:$Y139,(TRANSPOSE(CP$2:CP$19)))</f>
        <v>160</v>
      </c>
      <c r="CQ139" s="1">
        <f t="array" ref="CQ139">SUMPRODUCT($H139:$Y139,(TRANSPOSE(CQ$2:CQ$19)))</f>
        <v>240</v>
      </c>
      <c r="CR139" s="1">
        <f t="array" ref="CR139">SUMPRODUCT($H139:$Y139,(TRANSPOSE(CR$2:CR$19)))</f>
        <v>320</v>
      </c>
      <c r="CS139" s="1">
        <f t="array" ref="CS139">SUMPRODUCT($H139:$Y139,(TRANSPOSE(CS$2:CS$19)))</f>
        <v>400</v>
      </c>
      <c r="CT139" s="1">
        <f t="array" ref="CT139">SUMPRODUCT($H139:$Y139,(TRANSPOSE(CT$2:CT$19)))</f>
        <v>480</v>
      </c>
      <c r="CU139" s="1">
        <f t="array" ref="CU139">SUMPRODUCT($H139:$Y139,(TRANSPOSE(CU$2:CU$19)))</f>
        <v>560</v>
      </c>
      <c r="CV139" s="1">
        <f t="array" ref="CV139">SUMPRODUCT($H139:$Y139,(TRANSPOSE(CV$2:CV$19)))</f>
        <v>640</v>
      </c>
      <c r="CW139" s="1">
        <f t="array" ref="CW139">SUMPRODUCT($H139:$Y139,(TRANSPOSE(CW$2:CW$19)))</f>
        <v>720</v>
      </c>
      <c r="CX139" s="1">
        <f t="array" ref="CX139">SUMPRODUCT($H139:$Y139,(TRANSPOSE(CX$2:CX$19)))</f>
        <v>800</v>
      </c>
      <c r="CY139" s="1">
        <f t="array" ref="CY139">SUMPRODUCT($H139:$Y139,(TRANSPOSE(CY$2:CY$19)))</f>
        <v>880</v>
      </c>
      <c r="CZ139" s="1">
        <f t="array" ref="CZ139">SUMPRODUCT($H139:$Y139,(TRANSPOSE(CZ$2:CZ$19)))</f>
        <v>960</v>
      </c>
      <c r="DA139" s="1">
        <f t="array" ref="DA139">SUMPRODUCT($H139:$Y139,(TRANSPOSE(DA$2:DA$19)))</f>
        <v>1040</v>
      </c>
      <c r="DB139" s="1">
        <f t="array" ref="DB139">SUMPRODUCT($H139:$Y139,(TRANSPOSE(DB$2:DB$19)))</f>
        <v>0</v>
      </c>
      <c r="DC139" s="1">
        <f t="array" ref="DC139">SUMPRODUCT($H139:$Y139,(TRANSPOSE(DC$2:DC$19)))</f>
        <v>0</v>
      </c>
      <c r="DD139" s="1">
        <f t="array" ref="DD139">SUMPRODUCT($H139:$Y139,(TRANSPOSE(DD$2:DD$19)))</f>
        <v>0</v>
      </c>
    </row>
    <row r="140" spans="1:108" x14ac:dyDescent="0.2">
      <c r="A140" s="1">
        <v>141</v>
      </c>
      <c r="B140" s="10" t="s">
        <v>589</v>
      </c>
      <c r="C140" s="1" t="s">
        <v>22</v>
      </c>
      <c r="D140" s="1">
        <v>417983172</v>
      </c>
      <c r="E140" s="1">
        <v>400341489</v>
      </c>
      <c r="F140" s="1" t="s">
        <v>588</v>
      </c>
      <c r="G140" s="1" t="s">
        <v>20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12</v>
      </c>
      <c r="U140" s="1">
        <v>0</v>
      </c>
      <c r="V140" s="1">
        <v>0</v>
      </c>
      <c r="W140" s="1">
        <v>0</v>
      </c>
      <c r="X140" s="1">
        <v>12</v>
      </c>
      <c r="Y140" s="1">
        <v>0</v>
      </c>
      <c r="Z140" s="1">
        <f>SUM(H140:Y140)</f>
        <v>24</v>
      </c>
      <c r="AA140" s="1">
        <f>SUMPRODUCT(H140:Y140,$H$16:$Y$16)</f>
        <v>21840</v>
      </c>
      <c r="AB140" s="1" t="s">
        <v>573</v>
      </c>
      <c r="AC140" s="1">
        <v>0.2</v>
      </c>
      <c r="AD140" s="9"/>
      <c r="AE140" s="1" t="s">
        <v>28</v>
      </c>
      <c r="AF140" s="1">
        <f>AC140</f>
        <v>0.2</v>
      </c>
      <c r="AG140" s="1">
        <v>1000</v>
      </c>
      <c r="AH140" s="1">
        <v>1000</v>
      </c>
      <c r="AI140" s="1">
        <v>20</v>
      </c>
      <c r="AK140" s="1" t="s">
        <v>89</v>
      </c>
      <c r="AL140" s="1" t="s">
        <v>88</v>
      </c>
      <c r="AM140" s="1" t="s">
        <v>87</v>
      </c>
      <c r="AN140" s="2" t="s">
        <v>86</v>
      </c>
      <c r="BO140" s="1">
        <f>SUM($AP140,$AQ140:AQ140)-SUM($CK140:CL140)</f>
        <v>0</v>
      </c>
      <c r="BP140" s="1">
        <f>SUM($AP140,$AQ140:AR140)-SUM($CK140:CM140)</f>
        <v>0</v>
      </c>
      <c r="BQ140" s="1">
        <f>SUM($AP140,$AQ140:AS140)-SUM($CK140:CN140)</f>
        <v>0</v>
      </c>
      <c r="BR140" s="1">
        <f>SUM($AP140,$AQ140:AT140)-SUM($CK140:CO140)</f>
        <v>-240</v>
      </c>
      <c r="BS140" s="1">
        <f>SUM($AP140,$AQ140:AU140)-SUM($CK140:CP140)</f>
        <v>-720</v>
      </c>
      <c r="BT140" s="1">
        <f>SUM($AP140,$AQ140:AV140)-SUM($CK140:CQ140)</f>
        <v>-1440</v>
      </c>
      <c r="BU140" s="1">
        <f>SUM($AP140,$AQ140:AW140)-SUM($CK140:CR140)</f>
        <v>-2400</v>
      </c>
      <c r="BV140" s="1">
        <f>SUM($AP140,$AQ140:AX140)-SUM($CK140:CS140)</f>
        <v>-3600</v>
      </c>
      <c r="BW140" s="1">
        <f>SUM($AP140,$AQ140:AY140)-SUM($CK140:CT140)</f>
        <v>-5040</v>
      </c>
      <c r="BX140" s="1">
        <f>SUM($AP140,$AQ140:AZ140)-SUM($CK140:CU140)</f>
        <v>-6720</v>
      </c>
      <c r="BY140" s="1">
        <f>SUM($AP140,$AQ140:BA140)-SUM($CK140:CV140)</f>
        <v>-8640</v>
      </c>
      <c r="BZ140" s="1">
        <f>SUM($AP140,$AQ140:BB140)-SUM($CK140:CW140)</f>
        <v>-10800</v>
      </c>
      <c r="CA140" s="1">
        <f>SUM($AP140,$AQ140:BC140)-SUM($CK140:CX140)</f>
        <v>-13200</v>
      </c>
      <c r="CB140" s="1">
        <f>SUM($AP140,$AQ140:BD140)-SUM($CK140:CY140)</f>
        <v>-15840</v>
      </c>
      <c r="CC140" s="1">
        <f>SUM($AP140,$AQ140:BE140)-SUM($CK140:CZ140)</f>
        <v>-18720</v>
      </c>
      <c r="CD140" s="1">
        <f>SUM($AP140,$AQ140:BF140)-SUM($CK140:DA140)</f>
        <v>-21840</v>
      </c>
      <c r="CE140" s="1">
        <f>SUM($AP140,$AQ140:BG140)-SUM($CK140:DB140)</f>
        <v>-21840</v>
      </c>
      <c r="CF140" s="1">
        <f>SUM($AP140,$AQ140:BH140)-SUM($CK140:DC140)</f>
        <v>-21840</v>
      </c>
      <c r="CG140" s="1">
        <f>SUM($AP140,$AQ140:BI140)-SUM($CK140:DD140)</f>
        <v>-21840</v>
      </c>
      <c r="CK140" s="1">
        <f t="array" ref="CK140">SUMPRODUCT($H140:$Y140,(TRANSPOSE(CK$2:CK$19)))</f>
        <v>0</v>
      </c>
      <c r="CL140" s="1">
        <f t="array" ref="CL140">SUMPRODUCT($H140:$Y140,(TRANSPOSE(CL$2:CL$19)))</f>
        <v>0</v>
      </c>
      <c r="CM140" s="1">
        <f t="array" ref="CM140">SUMPRODUCT($H140:$Y140,(TRANSPOSE(CM$2:CM$19)))</f>
        <v>0</v>
      </c>
      <c r="CN140" s="1">
        <f t="array" ref="CN140">SUMPRODUCT($H140:$Y140,(TRANSPOSE(CN$2:CN$19)))</f>
        <v>0</v>
      </c>
      <c r="CO140" s="1">
        <f t="array" ref="CO140">SUMPRODUCT($H140:$Y140,(TRANSPOSE(CO$2:CO$19)))</f>
        <v>240</v>
      </c>
      <c r="CP140" s="1">
        <f t="array" ref="CP140">SUMPRODUCT($H140:$Y140,(TRANSPOSE(CP$2:CP$19)))</f>
        <v>480</v>
      </c>
      <c r="CQ140" s="1">
        <f t="array" ref="CQ140">SUMPRODUCT($H140:$Y140,(TRANSPOSE(CQ$2:CQ$19)))</f>
        <v>720</v>
      </c>
      <c r="CR140" s="1">
        <f t="array" ref="CR140">SUMPRODUCT($H140:$Y140,(TRANSPOSE(CR$2:CR$19)))</f>
        <v>960</v>
      </c>
      <c r="CS140" s="1">
        <f t="array" ref="CS140">SUMPRODUCT($H140:$Y140,(TRANSPOSE(CS$2:CS$19)))</f>
        <v>1200</v>
      </c>
      <c r="CT140" s="1">
        <f t="array" ref="CT140">SUMPRODUCT($H140:$Y140,(TRANSPOSE(CT$2:CT$19)))</f>
        <v>1440</v>
      </c>
      <c r="CU140" s="1">
        <f t="array" ref="CU140">SUMPRODUCT($H140:$Y140,(TRANSPOSE(CU$2:CU$19)))</f>
        <v>1680</v>
      </c>
      <c r="CV140" s="1">
        <f t="array" ref="CV140">SUMPRODUCT($H140:$Y140,(TRANSPOSE(CV$2:CV$19)))</f>
        <v>1920</v>
      </c>
      <c r="CW140" s="1">
        <f t="array" ref="CW140">SUMPRODUCT($H140:$Y140,(TRANSPOSE(CW$2:CW$19)))</f>
        <v>2160</v>
      </c>
      <c r="CX140" s="1">
        <f t="array" ref="CX140">SUMPRODUCT($H140:$Y140,(TRANSPOSE(CX$2:CX$19)))</f>
        <v>2400</v>
      </c>
      <c r="CY140" s="1">
        <f t="array" ref="CY140">SUMPRODUCT($H140:$Y140,(TRANSPOSE(CY$2:CY$19)))</f>
        <v>2640</v>
      </c>
      <c r="CZ140" s="1">
        <f t="array" ref="CZ140">SUMPRODUCT($H140:$Y140,(TRANSPOSE(CZ$2:CZ$19)))</f>
        <v>2880</v>
      </c>
      <c r="DA140" s="1">
        <f t="array" ref="DA140">SUMPRODUCT($H140:$Y140,(TRANSPOSE(DA$2:DA$19)))</f>
        <v>3120</v>
      </c>
      <c r="DB140" s="1">
        <f t="array" ref="DB140">SUMPRODUCT($H140:$Y140,(TRANSPOSE(DB$2:DB$19)))</f>
        <v>0</v>
      </c>
      <c r="DC140" s="1">
        <f t="array" ref="DC140">SUMPRODUCT($H140:$Y140,(TRANSPOSE(DC$2:DC$19)))</f>
        <v>0</v>
      </c>
      <c r="DD140" s="1">
        <f t="array" ref="DD140">SUMPRODUCT($H140:$Y140,(TRANSPOSE(DD$2:DD$19)))</f>
        <v>0</v>
      </c>
    </row>
    <row r="141" spans="1:108" x14ac:dyDescent="0.2">
      <c r="A141" s="1">
        <v>142</v>
      </c>
      <c r="B141" s="10" t="s">
        <v>587</v>
      </c>
      <c r="C141" s="1" t="s">
        <v>22</v>
      </c>
      <c r="D141" s="1">
        <v>417531784</v>
      </c>
      <c r="E141" s="1">
        <v>400341717</v>
      </c>
      <c r="F141" s="1" t="s">
        <v>586</v>
      </c>
      <c r="G141" s="1" t="s">
        <v>20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136</v>
      </c>
      <c r="U141" s="1">
        <v>0</v>
      </c>
      <c r="V141" s="1">
        <v>0</v>
      </c>
      <c r="W141" s="1">
        <v>0</v>
      </c>
      <c r="X141" s="1">
        <v>136</v>
      </c>
      <c r="Y141" s="1">
        <v>0</v>
      </c>
      <c r="Z141" s="1">
        <f>SUM(H141:Y141)</f>
        <v>272</v>
      </c>
      <c r="AA141" s="1">
        <f>SUMPRODUCT(H141:Y141,$H$16:$Y$16)</f>
        <v>247520</v>
      </c>
      <c r="AB141" s="1" t="s">
        <v>462</v>
      </c>
      <c r="AC141" s="1">
        <v>0.05</v>
      </c>
      <c r="AD141" s="9"/>
      <c r="AE141" s="1" t="s">
        <v>28</v>
      </c>
      <c r="AF141" s="1">
        <f>AC141</f>
        <v>0.05</v>
      </c>
      <c r="AG141" s="1">
        <v>2000</v>
      </c>
      <c r="AH141" s="1">
        <v>2000</v>
      </c>
      <c r="AI141" s="1">
        <v>20</v>
      </c>
      <c r="AK141" s="1" t="s">
        <v>89</v>
      </c>
      <c r="AL141" s="1" t="s">
        <v>88</v>
      </c>
      <c r="AM141" s="1" t="s">
        <v>87</v>
      </c>
      <c r="AN141" s="2" t="s">
        <v>86</v>
      </c>
      <c r="BO141" s="1">
        <f>SUM($AP141,$AQ141:AQ141)-SUM($CK141:CL141)</f>
        <v>0</v>
      </c>
      <c r="BP141" s="1">
        <f>SUM($AP141,$AQ141:AR141)-SUM($CK141:CM141)</f>
        <v>0</v>
      </c>
      <c r="BQ141" s="1">
        <f>SUM($AP141,$AQ141:AS141)-SUM($CK141:CN141)</f>
        <v>0</v>
      </c>
      <c r="BR141" s="1">
        <f>SUM($AP141,$AQ141:AT141)-SUM($CK141:CO141)</f>
        <v>-2720</v>
      </c>
      <c r="BS141" s="1">
        <f>SUM($AP141,$AQ141:AU141)-SUM($CK141:CP141)</f>
        <v>-8160</v>
      </c>
      <c r="BT141" s="1">
        <f>SUM($AP141,$AQ141:AV141)-SUM($CK141:CQ141)</f>
        <v>-16320</v>
      </c>
      <c r="BU141" s="1">
        <f>SUM($AP141,$AQ141:AW141)-SUM($CK141:CR141)</f>
        <v>-27200</v>
      </c>
      <c r="BV141" s="1">
        <f>SUM($AP141,$AQ141:AX141)-SUM($CK141:CS141)</f>
        <v>-40800</v>
      </c>
      <c r="BW141" s="1">
        <f>SUM($AP141,$AQ141:AY141)-SUM($CK141:CT141)</f>
        <v>-57120</v>
      </c>
      <c r="BX141" s="1">
        <f>SUM($AP141,$AQ141:AZ141)-SUM($CK141:CU141)</f>
        <v>-76160</v>
      </c>
      <c r="BY141" s="1">
        <f>SUM($AP141,$AQ141:BA141)-SUM($CK141:CV141)</f>
        <v>-97920</v>
      </c>
      <c r="BZ141" s="1">
        <f>SUM($AP141,$AQ141:BB141)-SUM($CK141:CW141)</f>
        <v>-122400</v>
      </c>
      <c r="CA141" s="1">
        <f>SUM($AP141,$AQ141:BC141)-SUM($CK141:CX141)</f>
        <v>-149600</v>
      </c>
      <c r="CB141" s="1">
        <f>SUM($AP141,$AQ141:BD141)-SUM($CK141:CY141)</f>
        <v>-179520</v>
      </c>
      <c r="CC141" s="1">
        <f>SUM($AP141,$AQ141:BE141)-SUM($CK141:CZ141)</f>
        <v>-212160</v>
      </c>
      <c r="CD141" s="1">
        <f>SUM($AP141,$AQ141:BF141)-SUM($CK141:DA141)</f>
        <v>-247520</v>
      </c>
      <c r="CE141" s="1">
        <f>SUM($AP141,$AQ141:BG141)-SUM($CK141:DB141)</f>
        <v>-247520</v>
      </c>
      <c r="CF141" s="1">
        <f>SUM($AP141,$AQ141:BH141)-SUM($CK141:DC141)</f>
        <v>-247520</v>
      </c>
      <c r="CG141" s="1">
        <f>SUM($AP141,$AQ141:BI141)-SUM($CK141:DD141)</f>
        <v>-247520</v>
      </c>
      <c r="CK141" s="1">
        <f t="array" ref="CK141">SUMPRODUCT($H141:$Y141,(TRANSPOSE(CK$2:CK$19)))</f>
        <v>0</v>
      </c>
      <c r="CL141" s="1">
        <f t="array" ref="CL141">SUMPRODUCT($H141:$Y141,(TRANSPOSE(CL$2:CL$19)))</f>
        <v>0</v>
      </c>
      <c r="CM141" s="1">
        <f t="array" ref="CM141">SUMPRODUCT($H141:$Y141,(TRANSPOSE(CM$2:CM$19)))</f>
        <v>0</v>
      </c>
      <c r="CN141" s="1">
        <f t="array" ref="CN141">SUMPRODUCT($H141:$Y141,(TRANSPOSE(CN$2:CN$19)))</f>
        <v>0</v>
      </c>
      <c r="CO141" s="1">
        <f t="array" ref="CO141">SUMPRODUCT($H141:$Y141,(TRANSPOSE(CO$2:CO$19)))</f>
        <v>2720</v>
      </c>
      <c r="CP141" s="1">
        <f t="array" ref="CP141">SUMPRODUCT($H141:$Y141,(TRANSPOSE(CP$2:CP$19)))</f>
        <v>5440</v>
      </c>
      <c r="CQ141" s="1">
        <f t="array" ref="CQ141">SUMPRODUCT($H141:$Y141,(TRANSPOSE(CQ$2:CQ$19)))</f>
        <v>8160</v>
      </c>
      <c r="CR141" s="1">
        <f t="array" ref="CR141">SUMPRODUCT($H141:$Y141,(TRANSPOSE(CR$2:CR$19)))</f>
        <v>10880</v>
      </c>
      <c r="CS141" s="1">
        <f t="array" ref="CS141">SUMPRODUCT($H141:$Y141,(TRANSPOSE(CS$2:CS$19)))</f>
        <v>13600</v>
      </c>
      <c r="CT141" s="1">
        <f t="array" ref="CT141">SUMPRODUCT($H141:$Y141,(TRANSPOSE(CT$2:CT$19)))</f>
        <v>16320</v>
      </c>
      <c r="CU141" s="1">
        <f t="array" ref="CU141">SUMPRODUCT($H141:$Y141,(TRANSPOSE(CU$2:CU$19)))</f>
        <v>19040</v>
      </c>
      <c r="CV141" s="1">
        <f t="array" ref="CV141">SUMPRODUCT($H141:$Y141,(TRANSPOSE(CV$2:CV$19)))</f>
        <v>21760</v>
      </c>
      <c r="CW141" s="1">
        <f t="array" ref="CW141">SUMPRODUCT($H141:$Y141,(TRANSPOSE(CW$2:CW$19)))</f>
        <v>24480</v>
      </c>
      <c r="CX141" s="1">
        <f t="array" ref="CX141">SUMPRODUCT($H141:$Y141,(TRANSPOSE(CX$2:CX$19)))</f>
        <v>27200</v>
      </c>
      <c r="CY141" s="1">
        <f t="array" ref="CY141">SUMPRODUCT($H141:$Y141,(TRANSPOSE(CY$2:CY$19)))</f>
        <v>29920</v>
      </c>
      <c r="CZ141" s="1">
        <f t="array" ref="CZ141">SUMPRODUCT($H141:$Y141,(TRANSPOSE(CZ$2:CZ$19)))</f>
        <v>32640</v>
      </c>
      <c r="DA141" s="1">
        <f t="array" ref="DA141">SUMPRODUCT($H141:$Y141,(TRANSPOSE(DA$2:DA$19)))</f>
        <v>35360</v>
      </c>
      <c r="DB141" s="1">
        <f t="array" ref="DB141">SUMPRODUCT($H141:$Y141,(TRANSPOSE(DB$2:DB$19)))</f>
        <v>0</v>
      </c>
      <c r="DC141" s="1">
        <f t="array" ref="DC141">SUMPRODUCT($H141:$Y141,(TRANSPOSE(DC$2:DC$19)))</f>
        <v>0</v>
      </c>
      <c r="DD141" s="1">
        <f t="array" ref="DD141">SUMPRODUCT($H141:$Y141,(TRANSPOSE(DD$2:DD$19)))</f>
        <v>0</v>
      </c>
    </row>
    <row r="142" spans="1:108" x14ac:dyDescent="0.2">
      <c r="A142" s="1">
        <v>147</v>
      </c>
      <c r="B142" s="10" t="s">
        <v>585</v>
      </c>
      <c r="C142" s="1" t="s">
        <v>38</v>
      </c>
      <c r="D142" s="1">
        <v>405580071</v>
      </c>
      <c r="E142" s="1">
        <v>400074846</v>
      </c>
      <c r="F142" s="1" t="s">
        <v>584</v>
      </c>
      <c r="G142" s="1" t="s">
        <v>20</v>
      </c>
      <c r="H142" s="1">
        <v>0</v>
      </c>
      <c r="I142" s="1">
        <v>0</v>
      </c>
      <c r="J142" s="1">
        <v>0</v>
      </c>
      <c r="K142" s="1">
        <v>10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f>SUM(H142:Y142)</f>
        <v>10</v>
      </c>
      <c r="AA142" s="1">
        <f>SUMPRODUCT(H142:Y142,$H$16:$Y$16)</f>
        <v>9100</v>
      </c>
      <c r="AB142" s="1" t="s">
        <v>18</v>
      </c>
      <c r="AC142" s="1">
        <v>0</v>
      </c>
      <c r="AD142" s="9"/>
      <c r="AE142" s="1" t="s">
        <v>19</v>
      </c>
      <c r="AF142" s="1">
        <f>AC142</f>
        <v>0</v>
      </c>
      <c r="AG142" s="1">
        <v>1</v>
      </c>
      <c r="AH142" s="1">
        <v>1</v>
      </c>
      <c r="AI142" s="1" t="s">
        <v>18</v>
      </c>
      <c r="AJ142" s="1" t="s">
        <v>18</v>
      </c>
      <c r="AK142" s="1" t="s">
        <v>18</v>
      </c>
      <c r="AL142" s="1" t="s">
        <v>18</v>
      </c>
      <c r="AM142" s="1" t="s">
        <v>18</v>
      </c>
      <c r="AN142" s="2" t="s">
        <v>18</v>
      </c>
      <c r="BO142" s="1">
        <f>SUM($AP142,$AQ142:AQ142)-SUM($CK142:CL142)</f>
        <v>0</v>
      </c>
      <c r="BP142" s="1">
        <f>SUM($AP142,$AQ142:AR142)-SUM($CK142:CM142)</f>
        <v>0</v>
      </c>
      <c r="BQ142" s="1">
        <f>SUM($AP142,$AQ142:AS142)-SUM($CK142:CN142)</f>
        <v>0</v>
      </c>
      <c r="BR142" s="1">
        <f>SUM($AP142,$AQ142:AT142)-SUM($CK142:CO142)</f>
        <v>-100</v>
      </c>
      <c r="BS142" s="1">
        <f>SUM($AP142,$AQ142:AU142)-SUM($CK142:CP142)</f>
        <v>-300</v>
      </c>
      <c r="BT142" s="1">
        <f>SUM($AP142,$AQ142:AV142)-SUM($CK142:CQ142)</f>
        <v>-600</v>
      </c>
      <c r="BU142" s="1">
        <f>SUM($AP142,$AQ142:AW142)-SUM($CK142:CR142)</f>
        <v>-1000</v>
      </c>
      <c r="BV142" s="1">
        <f>SUM($AP142,$AQ142:AX142)-SUM($CK142:CS142)</f>
        <v>-1500</v>
      </c>
      <c r="BW142" s="1">
        <f>SUM($AP142,$AQ142:AY142)-SUM($CK142:CT142)</f>
        <v>-2100</v>
      </c>
      <c r="BX142" s="1">
        <f>SUM($AP142,$AQ142:AZ142)-SUM($CK142:CU142)</f>
        <v>-2800</v>
      </c>
      <c r="BY142" s="1">
        <f>SUM($AP142,$AQ142:BA142)-SUM($CK142:CV142)</f>
        <v>-3600</v>
      </c>
      <c r="BZ142" s="1">
        <f>SUM($AP142,$AQ142:BB142)-SUM($CK142:CW142)</f>
        <v>-4500</v>
      </c>
      <c r="CA142" s="1">
        <f>SUM($AP142,$AQ142:BC142)-SUM($CK142:CX142)</f>
        <v>-5500</v>
      </c>
      <c r="CB142" s="1">
        <f>SUM($AP142,$AQ142:BD142)-SUM($CK142:CY142)</f>
        <v>-6600</v>
      </c>
      <c r="CC142" s="1">
        <f>SUM($AP142,$AQ142:BE142)-SUM($CK142:CZ142)</f>
        <v>-7800</v>
      </c>
      <c r="CD142" s="1">
        <f>SUM($AP142,$AQ142:BF142)-SUM($CK142:DA142)</f>
        <v>-9100</v>
      </c>
      <c r="CE142" s="1">
        <f>SUM($AP142,$AQ142:BG142)-SUM($CK142:DB142)</f>
        <v>-9100</v>
      </c>
      <c r="CF142" s="1">
        <f>SUM($AP142,$AQ142:BH142)-SUM($CK142:DC142)</f>
        <v>-9100</v>
      </c>
      <c r="CG142" s="1">
        <f>SUM($AP142,$AQ142:BI142)-SUM($CK142:DD142)</f>
        <v>-9100</v>
      </c>
      <c r="CK142" s="1">
        <f t="array" ref="CK142">SUMPRODUCT($H142:$Y142,(TRANSPOSE(CK$2:CK$19)))</f>
        <v>0</v>
      </c>
      <c r="CL142" s="1">
        <f t="array" ref="CL142">SUMPRODUCT($H142:$Y142,(TRANSPOSE(CL$2:CL$19)))</f>
        <v>0</v>
      </c>
      <c r="CM142" s="1">
        <f t="array" ref="CM142">SUMPRODUCT($H142:$Y142,(TRANSPOSE(CM$2:CM$19)))</f>
        <v>0</v>
      </c>
      <c r="CN142" s="1">
        <f t="array" ref="CN142">SUMPRODUCT($H142:$Y142,(TRANSPOSE(CN$2:CN$19)))</f>
        <v>0</v>
      </c>
      <c r="CO142" s="1">
        <f t="array" ref="CO142">SUMPRODUCT($H142:$Y142,(TRANSPOSE(CO$2:CO$19)))</f>
        <v>100</v>
      </c>
      <c r="CP142" s="1">
        <f t="array" ref="CP142">SUMPRODUCT($H142:$Y142,(TRANSPOSE(CP$2:CP$19)))</f>
        <v>200</v>
      </c>
      <c r="CQ142" s="1">
        <f t="array" ref="CQ142">SUMPRODUCT($H142:$Y142,(TRANSPOSE(CQ$2:CQ$19)))</f>
        <v>300</v>
      </c>
      <c r="CR142" s="1">
        <f t="array" ref="CR142">SUMPRODUCT($H142:$Y142,(TRANSPOSE(CR$2:CR$19)))</f>
        <v>400</v>
      </c>
      <c r="CS142" s="1">
        <f t="array" ref="CS142">SUMPRODUCT($H142:$Y142,(TRANSPOSE(CS$2:CS$19)))</f>
        <v>500</v>
      </c>
      <c r="CT142" s="1">
        <f t="array" ref="CT142">SUMPRODUCT($H142:$Y142,(TRANSPOSE(CT$2:CT$19)))</f>
        <v>600</v>
      </c>
      <c r="CU142" s="1">
        <f t="array" ref="CU142">SUMPRODUCT($H142:$Y142,(TRANSPOSE(CU$2:CU$19)))</f>
        <v>700</v>
      </c>
      <c r="CV142" s="1">
        <f t="array" ref="CV142">SUMPRODUCT($H142:$Y142,(TRANSPOSE(CV$2:CV$19)))</f>
        <v>800</v>
      </c>
      <c r="CW142" s="1">
        <f t="array" ref="CW142">SUMPRODUCT($H142:$Y142,(TRANSPOSE(CW$2:CW$19)))</f>
        <v>900</v>
      </c>
      <c r="CX142" s="1">
        <f t="array" ref="CX142">SUMPRODUCT($H142:$Y142,(TRANSPOSE(CX$2:CX$19)))</f>
        <v>1000</v>
      </c>
      <c r="CY142" s="1">
        <f t="array" ref="CY142">SUMPRODUCT($H142:$Y142,(TRANSPOSE(CY$2:CY$19)))</f>
        <v>1100</v>
      </c>
      <c r="CZ142" s="1">
        <f t="array" ref="CZ142">SUMPRODUCT($H142:$Y142,(TRANSPOSE(CZ$2:CZ$19)))</f>
        <v>1200</v>
      </c>
      <c r="DA142" s="1">
        <f t="array" ref="DA142">SUMPRODUCT($H142:$Y142,(TRANSPOSE(DA$2:DA$19)))</f>
        <v>1300</v>
      </c>
      <c r="DB142" s="1">
        <f t="array" ref="DB142">SUMPRODUCT($H142:$Y142,(TRANSPOSE(DB$2:DB$19)))</f>
        <v>0</v>
      </c>
      <c r="DC142" s="1">
        <f t="array" ref="DC142">SUMPRODUCT($H142:$Y142,(TRANSPOSE(DC$2:DC$19)))</f>
        <v>0</v>
      </c>
      <c r="DD142" s="1">
        <f t="array" ref="DD142">SUMPRODUCT($H142:$Y142,(TRANSPOSE(DD$2:DD$19)))</f>
        <v>0</v>
      </c>
    </row>
    <row r="143" spans="1:108" x14ac:dyDescent="0.2">
      <c r="A143" s="1">
        <v>148</v>
      </c>
      <c r="B143" s="12" t="s">
        <v>583</v>
      </c>
      <c r="C143" s="1" t="s">
        <v>22</v>
      </c>
      <c r="D143" s="1">
        <v>417417686</v>
      </c>
      <c r="E143" s="1">
        <v>417531744</v>
      </c>
      <c r="F143" s="1" t="s">
        <v>582</v>
      </c>
      <c r="G143" s="1" t="s">
        <v>20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68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f>SUM(H143:Y143)</f>
        <v>68</v>
      </c>
      <c r="AA143" s="1">
        <f>SUMPRODUCT(H143:Y143,$H$16:$Y$16)</f>
        <v>61880</v>
      </c>
      <c r="AB143" s="1" t="s">
        <v>538</v>
      </c>
      <c r="AC143" s="17">
        <v>0.17</v>
      </c>
      <c r="AD143" s="9"/>
      <c r="AE143" s="1" t="s">
        <v>28</v>
      </c>
      <c r="AF143" s="1">
        <f>AC143</f>
        <v>0.17</v>
      </c>
      <c r="AG143" s="1">
        <v>5000</v>
      </c>
      <c r="AH143" s="1">
        <v>5000</v>
      </c>
      <c r="AI143" s="1" t="s">
        <v>482</v>
      </c>
      <c r="AK143" s="1" t="s">
        <v>73</v>
      </c>
      <c r="AL143" s="1" t="s">
        <v>72</v>
      </c>
      <c r="AM143" s="1" t="s">
        <v>71</v>
      </c>
      <c r="AN143" s="2" t="s">
        <v>565</v>
      </c>
      <c r="AO143" s="1" t="s">
        <v>581</v>
      </c>
      <c r="BO143" s="1">
        <f>SUM($AP143,$AQ143:AQ143)-SUM($CK143:CL143)</f>
        <v>0</v>
      </c>
      <c r="BP143" s="1">
        <f>SUM($AP143,$AQ143:AR143)-SUM($CK143:CM143)</f>
        <v>0</v>
      </c>
      <c r="BQ143" s="1">
        <f>SUM($AP143,$AQ143:AS143)-SUM($CK143:CN143)</f>
        <v>0</v>
      </c>
      <c r="BR143" s="1">
        <f>SUM($AP143,$AQ143:AT143)-SUM($CK143:CO143)</f>
        <v>-680</v>
      </c>
      <c r="BS143" s="1">
        <f>SUM($AP143,$AQ143:AU143)-SUM($CK143:CP143)</f>
        <v>-2040</v>
      </c>
      <c r="BT143" s="1">
        <f>SUM($AP143,$AQ143:AV143)-SUM($CK143:CQ143)</f>
        <v>-4080</v>
      </c>
      <c r="BU143" s="1">
        <f>SUM($AP143,$AQ143:AW143)-SUM($CK143:CR143)</f>
        <v>-6800</v>
      </c>
      <c r="BV143" s="1">
        <f>SUM($AP143,$AQ143:AX143)-SUM($CK143:CS143)</f>
        <v>-10200</v>
      </c>
      <c r="BW143" s="1">
        <f>SUM($AP143,$AQ143:AY143)-SUM($CK143:CT143)</f>
        <v>-14280</v>
      </c>
      <c r="BX143" s="1">
        <f>SUM($AP143,$AQ143:AZ143)-SUM($CK143:CU143)</f>
        <v>-19040</v>
      </c>
      <c r="BY143" s="1">
        <f>SUM($AP143,$AQ143:BA143)-SUM($CK143:CV143)</f>
        <v>-24480</v>
      </c>
      <c r="BZ143" s="1">
        <f>SUM($AP143,$AQ143:BB143)-SUM($CK143:CW143)</f>
        <v>-30600</v>
      </c>
      <c r="CA143" s="1">
        <f>SUM($AP143,$AQ143:BC143)-SUM($CK143:CX143)</f>
        <v>-37400</v>
      </c>
      <c r="CB143" s="1">
        <f>SUM($AP143,$AQ143:BD143)-SUM($CK143:CY143)</f>
        <v>-44880</v>
      </c>
      <c r="CC143" s="1">
        <f>SUM($AP143,$AQ143:BE143)-SUM($CK143:CZ143)</f>
        <v>-53040</v>
      </c>
      <c r="CD143" s="1">
        <f>SUM($AP143,$AQ143:BF143)-SUM($CK143:DA143)</f>
        <v>-61880</v>
      </c>
      <c r="CE143" s="1">
        <f>SUM($AP143,$AQ143:BG143)-SUM($CK143:DB143)</f>
        <v>-61880</v>
      </c>
      <c r="CF143" s="1">
        <f>SUM($AP143,$AQ143:BH143)-SUM($CK143:DC143)</f>
        <v>-61880</v>
      </c>
      <c r="CG143" s="1">
        <f>SUM($AP143,$AQ143:BI143)-SUM($CK143:DD143)</f>
        <v>-61880</v>
      </c>
      <c r="CK143" s="1">
        <f t="array" ref="CK143">SUMPRODUCT($H143:$Y143,(TRANSPOSE(CK$2:CK$19)))</f>
        <v>0</v>
      </c>
      <c r="CL143" s="1">
        <f t="array" ref="CL143">SUMPRODUCT($H143:$Y143,(TRANSPOSE(CL$2:CL$19)))</f>
        <v>0</v>
      </c>
      <c r="CM143" s="1">
        <f t="array" ref="CM143">SUMPRODUCT($H143:$Y143,(TRANSPOSE(CM$2:CM$19)))</f>
        <v>0</v>
      </c>
      <c r="CN143" s="1">
        <f t="array" ref="CN143">SUMPRODUCT($H143:$Y143,(TRANSPOSE(CN$2:CN$19)))</f>
        <v>0</v>
      </c>
      <c r="CO143" s="1">
        <f t="array" ref="CO143">SUMPRODUCT($H143:$Y143,(TRANSPOSE(CO$2:CO$19)))</f>
        <v>680</v>
      </c>
      <c r="CP143" s="1">
        <f t="array" ref="CP143">SUMPRODUCT($H143:$Y143,(TRANSPOSE(CP$2:CP$19)))</f>
        <v>1360</v>
      </c>
      <c r="CQ143" s="1">
        <f t="array" ref="CQ143">SUMPRODUCT($H143:$Y143,(TRANSPOSE(CQ$2:CQ$19)))</f>
        <v>2040</v>
      </c>
      <c r="CR143" s="1">
        <f t="array" ref="CR143">SUMPRODUCT($H143:$Y143,(TRANSPOSE(CR$2:CR$19)))</f>
        <v>2720</v>
      </c>
      <c r="CS143" s="1">
        <f t="array" ref="CS143">SUMPRODUCT($H143:$Y143,(TRANSPOSE(CS$2:CS$19)))</f>
        <v>3400</v>
      </c>
      <c r="CT143" s="1">
        <f t="array" ref="CT143">SUMPRODUCT($H143:$Y143,(TRANSPOSE(CT$2:CT$19)))</f>
        <v>4080</v>
      </c>
      <c r="CU143" s="1">
        <f t="array" ref="CU143">SUMPRODUCT($H143:$Y143,(TRANSPOSE(CU$2:CU$19)))</f>
        <v>4760</v>
      </c>
      <c r="CV143" s="1">
        <f t="array" ref="CV143">SUMPRODUCT($H143:$Y143,(TRANSPOSE(CV$2:CV$19)))</f>
        <v>5440</v>
      </c>
      <c r="CW143" s="1">
        <f t="array" ref="CW143">SUMPRODUCT($H143:$Y143,(TRANSPOSE(CW$2:CW$19)))</f>
        <v>6120</v>
      </c>
      <c r="CX143" s="1">
        <f t="array" ref="CX143">SUMPRODUCT($H143:$Y143,(TRANSPOSE(CX$2:CX$19)))</f>
        <v>6800</v>
      </c>
      <c r="CY143" s="1">
        <f t="array" ref="CY143">SUMPRODUCT($H143:$Y143,(TRANSPOSE(CY$2:CY$19)))</f>
        <v>7480</v>
      </c>
      <c r="CZ143" s="1">
        <f t="array" ref="CZ143">SUMPRODUCT($H143:$Y143,(TRANSPOSE(CZ$2:CZ$19)))</f>
        <v>8160</v>
      </c>
      <c r="DA143" s="1">
        <f t="array" ref="DA143">SUMPRODUCT($H143:$Y143,(TRANSPOSE(DA$2:DA$19)))</f>
        <v>8840</v>
      </c>
      <c r="DB143" s="1">
        <f t="array" ref="DB143">SUMPRODUCT($H143:$Y143,(TRANSPOSE(DB$2:DB$19)))</f>
        <v>0</v>
      </c>
      <c r="DC143" s="1">
        <f t="array" ref="DC143">SUMPRODUCT($H143:$Y143,(TRANSPOSE(DC$2:DC$19)))</f>
        <v>0</v>
      </c>
      <c r="DD143" s="1">
        <f t="array" ref="DD143">SUMPRODUCT($H143:$Y143,(TRANSPOSE(DD$2:DD$19)))</f>
        <v>0</v>
      </c>
    </row>
    <row r="144" spans="1:108" x14ac:dyDescent="0.2">
      <c r="A144" s="1">
        <v>149</v>
      </c>
      <c r="B144" s="12" t="s">
        <v>580</v>
      </c>
      <c r="C144" s="1" t="s">
        <v>22</v>
      </c>
      <c r="D144" s="1">
        <v>417417688</v>
      </c>
      <c r="E144" s="1">
        <v>417531747</v>
      </c>
      <c r="F144" s="1" t="s">
        <v>579</v>
      </c>
      <c r="G144" s="1" t="s">
        <v>20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68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f>SUM(H144:Y144)</f>
        <v>68</v>
      </c>
      <c r="AA144" s="1">
        <f>SUMPRODUCT(H144:Y144,$H$16:$Y$16)</f>
        <v>61880</v>
      </c>
      <c r="AB144" s="1" t="s">
        <v>538</v>
      </c>
      <c r="AC144" s="17">
        <v>0.17</v>
      </c>
      <c r="AD144" s="9"/>
      <c r="AE144" s="1" t="s">
        <v>28</v>
      </c>
      <c r="AF144" s="1">
        <f>AC144</f>
        <v>0.17</v>
      </c>
      <c r="AG144" s="1">
        <v>5000</v>
      </c>
      <c r="AH144" s="1">
        <v>5000</v>
      </c>
      <c r="AI144" s="1" t="s">
        <v>482</v>
      </c>
      <c r="AK144" s="1" t="s">
        <v>73</v>
      </c>
      <c r="AL144" s="1" t="s">
        <v>72</v>
      </c>
      <c r="AM144" s="1" t="s">
        <v>71</v>
      </c>
      <c r="AN144" s="2" t="s">
        <v>565</v>
      </c>
      <c r="AO144" s="1" t="s">
        <v>578</v>
      </c>
      <c r="BO144" s="1">
        <f>SUM($AP144,$AQ144:AQ144)-SUM($CK144:CL144)</f>
        <v>0</v>
      </c>
      <c r="BP144" s="1">
        <f>SUM($AP144,$AQ144:AR144)-SUM($CK144:CM144)</f>
        <v>0</v>
      </c>
      <c r="BQ144" s="1">
        <f>SUM($AP144,$AQ144:AS144)-SUM($CK144:CN144)</f>
        <v>0</v>
      </c>
      <c r="BR144" s="1">
        <f>SUM($AP144,$AQ144:AT144)-SUM($CK144:CO144)</f>
        <v>-680</v>
      </c>
      <c r="BS144" s="1">
        <f>SUM($AP144,$AQ144:AU144)-SUM($CK144:CP144)</f>
        <v>-2040</v>
      </c>
      <c r="BT144" s="1">
        <f>SUM($AP144,$AQ144:AV144)-SUM($CK144:CQ144)</f>
        <v>-4080</v>
      </c>
      <c r="BU144" s="1">
        <f>SUM($AP144,$AQ144:AW144)-SUM($CK144:CR144)</f>
        <v>-6800</v>
      </c>
      <c r="BV144" s="1">
        <f>SUM($AP144,$AQ144:AX144)-SUM($CK144:CS144)</f>
        <v>-10200</v>
      </c>
      <c r="BW144" s="1">
        <f>SUM($AP144,$AQ144:AY144)-SUM($CK144:CT144)</f>
        <v>-14280</v>
      </c>
      <c r="BX144" s="1">
        <f>SUM($AP144,$AQ144:AZ144)-SUM($CK144:CU144)</f>
        <v>-19040</v>
      </c>
      <c r="BY144" s="1">
        <f>SUM($AP144,$AQ144:BA144)-SUM($CK144:CV144)</f>
        <v>-24480</v>
      </c>
      <c r="BZ144" s="1">
        <f>SUM($AP144,$AQ144:BB144)-SUM($CK144:CW144)</f>
        <v>-30600</v>
      </c>
      <c r="CA144" s="1">
        <f>SUM($AP144,$AQ144:BC144)-SUM($CK144:CX144)</f>
        <v>-37400</v>
      </c>
      <c r="CB144" s="1">
        <f>SUM($AP144,$AQ144:BD144)-SUM($CK144:CY144)</f>
        <v>-44880</v>
      </c>
      <c r="CC144" s="1">
        <f>SUM($AP144,$AQ144:BE144)-SUM($CK144:CZ144)</f>
        <v>-53040</v>
      </c>
      <c r="CD144" s="1">
        <f>SUM($AP144,$AQ144:BF144)-SUM($CK144:DA144)</f>
        <v>-61880</v>
      </c>
      <c r="CE144" s="1">
        <f>SUM($AP144,$AQ144:BG144)-SUM($CK144:DB144)</f>
        <v>-61880</v>
      </c>
      <c r="CF144" s="1">
        <f>SUM($AP144,$AQ144:BH144)-SUM($CK144:DC144)</f>
        <v>-61880</v>
      </c>
      <c r="CG144" s="1">
        <f>SUM($AP144,$AQ144:BI144)-SUM($CK144:DD144)</f>
        <v>-61880</v>
      </c>
      <c r="CK144" s="1">
        <f t="array" ref="CK144">SUMPRODUCT($H144:$Y144,(TRANSPOSE(CK$2:CK$19)))</f>
        <v>0</v>
      </c>
      <c r="CL144" s="1">
        <f t="array" ref="CL144">SUMPRODUCT($H144:$Y144,(TRANSPOSE(CL$2:CL$19)))</f>
        <v>0</v>
      </c>
      <c r="CM144" s="1">
        <f t="array" ref="CM144">SUMPRODUCT($H144:$Y144,(TRANSPOSE(CM$2:CM$19)))</f>
        <v>0</v>
      </c>
      <c r="CN144" s="1">
        <f t="array" ref="CN144">SUMPRODUCT($H144:$Y144,(TRANSPOSE(CN$2:CN$19)))</f>
        <v>0</v>
      </c>
      <c r="CO144" s="1">
        <f t="array" ref="CO144">SUMPRODUCT($H144:$Y144,(TRANSPOSE(CO$2:CO$19)))</f>
        <v>680</v>
      </c>
      <c r="CP144" s="1">
        <f t="array" ref="CP144">SUMPRODUCT($H144:$Y144,(TRANSPOSE(CP$2:CP$19)))</f>
        <v>1360</v>
      </c>
      <c r="CQ144" s="1">
        <f t="array" ref="CQ144">SUMPRODUCT($H144:$Y144,(TRANSPOSE(CQ$2:CQ$19)))</f>
        <v>2040</v>
      </c>
      <c r="CR144" s="1">
        <f t="array" ref="CR144">SUMPRODUCT($H144:$Y144,(TRANSPOSE(CR$2:CR$19)))</f>
        <v>2720</v>
      </c>
      <c r="CS144" s="1">
        <f t="array" ref="CS144">SUMPRODUCT($H144:$Y144,(TRANSPOSE(CS$2:CS$19)))</f>
        <v>3400</v>
      </c>
      <c r="CT144" s="1">
        <f t="array" ref="CT144">SUMPRODUCT($H144:$Y144,(TRANSPOSE(CT$2:CT$19)))</f>
        <v>4080</v>
      </c>
      <c r="CU144" s="1">
        <f t="array" ref="CU144">SUMPRODUCT($H144:$Y144,(TRANSPOSE(CU$2:CU$19)))</f>
        <v>4760</v>
      </c>
      <c r="CV144" s="1">
        <f t="array" ref="CV144">SUMPRODUCT($H144:$Y144,(TRANSPOSE(CV$2:CV$19)))</f>
        <v>5440</v>
      </c>
      <c r="CW144" s="1">
        <f t="array" ref="CW144">SUMPRODUCT($H144:$Y144,(TRANSPOSE(CW$2:CW$19)))</f>
        <v>6120</v>
      </c>
      <c r="CX144" s="1">
        <f t="array" ref="CX144">SUMPRODUCT($H144:$Y144,(TRANSPOSE(CX$2:CX$19)))</f>
        <v>6800</v>
      </c>
      <c r="CY144" s="1">
        <f t="array" ref="CY144">SUMPRODUCT($H144:$Y144,(TRANSPOSE(CY$2:CY$19)))</f>
        <v>7480</v>
      </c>
      <c r="CZ144" s="1">
        <f t="array" ref="CZ144">SUMPRODUCT($H144:$Y144,(TRANSPOSE(CZ$2:CZ$19)))</f>
        <v>8160</v>
      </c>
      <c r="DA144" s="1">
        <f t="array" ref="DA144">SUMPRODUCT($H144:$Y144,(TRANSPOSE(DA$2:DA$19)))</f>
        <v>8840</v>
      </c>
      <c r="DB144" s="1">
        <f t="array" ref="DB144">SUMPRODUCT($H144:$Y144,(TRANSPOSE(DB$2:DB$19)))</f>
        <v>0</v>
      </c>
      <c r="DC144" s="1">
        <f t="array" ref="DC144">SUMPRODUCT($H144:$Y144,(TRANSPOSE(DC$2:DC$19)))</f>
        <v>0</v>
      </c>
      <c r="DD144" s="1">
        <f t="array" ref="DD144">SUMPRODUCT($H144:$Y144,(TRANSPOSE(DD$2:DD$19)))</f>
        <v>0</v>
      </c>
    </row>
    <row r="145" spans="1:108" x14ac:dyDescent="0.2">
      <c r="A145" s="1">
        <v>151</v>
      </c>
      <c r="B145" s="10" t="s">
        <v>577</v>
      </c>
      <c r="C145" s="1" t="s">
        <v>22</v>
      </c>
      <c r="D145" s="1">
        <v>732602115</v>
      </c>
      <c r="F145" s="1" t="s">
        <v>576</v>
      </c>
      <c r="G145" s="1" t="s">
        <v>125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0.05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f>SUM(H145:Y145)</f>
        <v>0.05</v>
      </c>
      <c r="AA145" s="1">
        <f>SUMPRODUCT(H145:Y145,$H$16:$Y$16)</f>
        <v>45.5</v>
      </c>
      <c r="AB145" s="1" t="s">
        <v>18</v>
      </c>
      <c r="AC145" s="1">
        <v>0</v>
      </c>
      <c r="AD145" s="9"/>
      <c r="AE145" s="1" t="s">
        <v>19</v>
      </c>
      <c r="AF145" s="1">
        <f>AC145</f>
        <v>0</v>
      </c>
      <c r="AG145" s="1">
        <v>1</v>
      </c>
      <c r="AH145" s="1">
        <v>1</v>
      </c>
      <c r="AI145" s="1" t="s">
        <v>18</v>
      </c>
      <c r="AJ145" s="1" t="s">
        <v>18</v>
      </c>
      <c r="AK145" s="1" t="s">
        <v>18</v>
      </c>
      <c r="AL145" s="1" t="s">
        <v>18</v>
      </c>
      <c r="AM145" s="1" t="s">
        <v>18</v>
      </c>
      <c r="AN145" s="2" t="s">
        <v>18</v>
      </c>
      <c r="BO145" s="1">
        <f>SUM($AP145,$AQ145:AQ145)-SUM($CK145:CL145)</f>
        <v>0</v>
      </c>
      <c r="BP145" s="1">
        <f>SUM($AP145,$AQ145:AR145)-SUM($CK145:CM145)</f>
        <v>0</v>
      </c>
      <c r="BQ145" s="1">
        <f>SUM($AP145,$AQ145:AS145)-SUM($CK145:CN145)</f>
        <v>0</v>
      </c>
      <c r="BR145" s="1">
        <f>SUM($AP145,$AQ145:AT145)-SUM($CK145:CO145)</f>
        <v>-0.5</v>
      </c>
      <c r="BS145" s="1">
        <f>SUM($AP145,$AQ145:AU145)-SUM($CK145:CP145)</f>
        <v>-1.5</v>
      </c>
      <c r="BT145" s="1">
        <f>SUM($AP145,$AQ145:AV145)-SUM($CK145:CQ145)</f>
        <v>-3</v>
      </c>
      <c r="BU145" s="1">
        <f>SUM($AP145,$AQ145:AW145)-SUM($CK145:CR145)</f>
        <v>-5</v>
      </c>
      <c r="BV145" s="1">
        <f>SUM($AP145,$AQ145:AX145)-SUM($CK145:CS145)</f>
        <v>-7.5</v>
      </c>
      <c r="BW145" s="1">
        <f>SUM($AP145,$AQ145:AY145)-SUM($CK145:CT145)</f>
        <v>-10.5</v>
      </c>
      <c r="BX145" s="1">
        <f>SUM($AP145,$AQ145:AZ145)-SUM($CK145:CU145)</f>
        <v>-14</v>
      </c>
      <c r="BY145" s="1">
        <f>SUM($AP145,$AQ145:BA145)-SUM($CK145:CV145)</f>
        <v>-18</v>
      </c>
      <c r="BZ145" s="1">
        <f>SUM($AP145,$AQ145:BB145)-SUM($CK145:CW145)</f>
        <v>-22.5</v>
      </c>
      <c r="CA145" s="1">
        <f>SUM($AP145,$AQ145:BC145)-SUM($CK145:CX145)</f>
        <v>-27.5</v>
      </c>
      <c r="CB145" s="1">
        <f>SUM($AP145,$AQ145:BD145)-SUM($CK145:CY145)</f>
        <v>-33</v>
      </c>
      <c r="CC145" s="1">
        <f>SUM($AP145,$AQ145:BE145)-SUM($CK145:CZ145)</f>
        <v>-39</v>
      </c>
      <c r="CD145" s="1">
        <f>SUM($AP145,$AQ145:BF145)-SUM($CK145:DA145)</f>
        <v>-45.5</v>
      </c>
      <c r="CE145" s="1">
        <f>SUM($AP145,$AQ145:BG145)-SUM($CK145:DB145)</f>
        <v>-45.5</v>
      </c>
      <c r="CF145" s="1">
        <f>SUM($AP145,$AQ145:BH145)-SUM($CK145:DC145)</f>
        <v>-45.5</v>
      </c>
      <c r="CG145" s="1">
        <f>SUM($AP145,$AQ145:BI145)-SUM($CK145:DD145)</f>
        <v>-45.5</v>
      </c>
      <c r="CK145" s="1">
        <f t="array" ref="CK145">SUMPRODUCT($H145:$Y145,(TRANSPOSE(CK$2:CK$19)))</f>
        <v>0</v>
      </c>
      <c r="CL145" s="1">
        <f t="array" ref="CL145">SUMPRODUCT($H145:$Y145,(TRANSPOSE(CL$2:CL$19)))</f>
        <v>0</v>
      </c>
      <c r="CM145" s="1">
        <f t="array" ref="CM145">SUMPRODUCT($H145:$Y145,(TRANSPOSE(CM$2:CM$19)))</f>
        <v>0</v>
      </c>
      <c r="CN145" s="1">
        <f t="array" ref="CN145">SUMPRODUCT($H145:$Y145,(TRANSPOSE(CN$2:CN$19)))</f>
        <v>0</v>
      </c>
      <c r="CO145" s="1">
        <f t="array" ref="CO145">SUMPRODUCT($H145:$Y145,(TRANSPOSE(CO$2:CO$19)))</f>
        <v>0.5</v>
      </c>
      <c r="CP145" s="1">
        <f t="array" ref="CP145">SUMPRODUCT($H145:$Y145,(TRANSPOSE(CP$2:CP$19)))</f>
        <v>1</v>
      </c>
      <c r="CQ145" s="1">
        <f t="array" ref="CQ145">SUMPRODUCT($H145:$Y145,(TRANSPOSE(CQ$2:CQ$19)))</f>
        <v>1.5</v>
      </c>
      <c r="CR145" s="1">
        <f t="array" ref="CR145">SUMPRODUCT($H145:$Y145,(TRANSPOSE(CR$2:CR$19)))</f>
        <v>2</v>
      </c>
      <c r="CS145" s="1">
        <f t="array" ref="CS145">SUMPRODUCT($H145:$Y145,(TRANSPOSE(CS$2:CS$19)))</f>
        <v>2.5</v>
      </c>
      <c r="CT145" s="1">
        <f t="array" ref="CT145">SUMPRODUCT($H145:$Y145,(TRANSPOSE(CT$2:CT$19)))</f>
        <v>3</v>
      </c>
      <c r="CU145" s="1">
        <f t="array" ref="CU145">SUMPRODUCT($H145:$Y145,(TRANSPOSE(CU$2:CU$19)))</f>
        <v>3.5</v>
      </c>
      <c r="CV145" s="1">
        <f t="array" ref="CV145">SUMPRODUCT($H145:$Y145,(TRANSPOSE(CV$2:CV$19)))</f>
        <v>4</v>
      </c>
      <c r="CW145" s="1">
        <f t="array" ref="CW145">SUMPRODUCT($H145:$Y145,(TRANSPOSE(CW$2:CW$19)))</f>
        <v>4.5</v>
      </c>
      <c r="CX145" s="1">
        <f t="array" ref="CX145">SUMPRODUCT($H145:$Y145,(TRANSPOSE(CX$2:CX$19)))</f>
        <v>5</v>
      </c>
      <c r="CY145" s="1">
        <f t="array" ref="CY145">SUMPRODUCT($H145:$Y145,(TRANSPOSE(CY$2:CY$19)))</f>
        <v>5.5</v>
      </c>
      <c r="CZ145" s="1">
        <f t="array" ref="CZ145">SUMPRODUCT($H145:$Y145,(TRANSPOSE(CZ$2:CZ$19)))</f>
        <v>6</v>
      </c>
      <c r="DA145" s="1">
        <f t="array" ref="DA145">SUMPRODUCT($H145:$Y145,(TRANSPOSE(DA$2:DA$19)))</f>
        <v>6.5</v>
      </c>
      <c r="DB145" s="1">
        <f t="array" ref="DB145">SUMPRODUCT($H145:$Y145,(TRANSPOSE(DB$2:DB$19)))</f>
        <v>0</v>
      </c>
      <c r="DC145" s="1">
        <f t="array" ref="DC145">SUMPRODUCT($H145:$Y145,(TRANSPOSE(DC$2:DC$19)))</f>
        <v>0</v>
      </c>
      <c r="DD145" s="1">
        <f t="array" ref="DD145">SUMPRODUCT($H145:$Y145,(TRANSPOSE(DD$2:DD$19)))</f>
        <v>0</v>
      </c>
    </row>
    <row r="146" spans="1:108" x14ac:dyDescent="0.2">
      <c r="A146" s="1">
        <v>154</v>
      </c>
      <c r="B146" s="10" t="s">
        <v>575</v>
      </c>
      <c r="C146" s="1" t="s">
        <v>22</v>
      </c>
      <c r="D146" s="1">
        <v>400339908</v>
      </c>
      <c r="F146" s="1" t="s">
        <v>574</v>
      </c>
      <c r="G146" s="1" t="s">
        <v>20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2</v>
      </c>
      <c r="U146" s="1">
        <v>0</v>
      </c>
      <c r="V146" s="1">
        <v>0</v>
      </c>
      <c r="W146" s="1">
        <v>0</v>
      </c>
      <c r="X146" s="1">
        <v>2</v>
      </c>
      <c r="Y146" s="1">
        <v>0</v>
      </c>
      <c r="Z146" s="1">
        <f>SUM(H146:Y146)</f>
        <v>4</v>
      </c>
      <c r="AA146" s="1">
        <f>SUMPRODUCT(H146:Y146,$H$16:$Y$16)</f>
        <v>3640</v>
      </c>
      <c r="AB146" s="1" t="s">
        <v>573</v>
      </c>
      <c r="AC146" s="1">
        <v>4.25</v>
      </c>
      <c r="AD146" s="9"/>
      <c r="AE146" s="1" t="s">
        <v>28</v>
      </c>
      <c r="AF146" s="1">
        <f>AC146</f>
        <v>4.25</v>
      </c>
      <c r="AG146" s="1">
        <v>300</v>
      </c>
      <c r="AH146" s="1">
        <v>300</v>
      </c>
      <c r="AI146" s="1">
        <v>20</v>
      </c>
      <c r="AK146" s="1" t="s">
        <v>89</v>
      </c>
      <c r="AL146" s="1" t="s">
        <v>88</v>
      </c>
      <c r="AM146" s="1" t="s">
        <v>87</v>
      </c>
      <c r="AN146" s="2" t="s">
        <v>86</v>
      </c>
      <c r="BO146" s="1">
        <f>SUM($AP146,$AQ146:AQ146)-SUM($CK146:CL146)</f>
        <v>0</v>
      </c>
      <c r="BP146" s="1">
        <f>SUM($AP146,$AQ146:AR146)-SUM($CK146:CM146)</f>
        <v>0</v>
      </c>
      <c r="BQ146" s="1">
        <f>SUM($AP146,$AQ146:AS146)-SUM($CK146:CN146)</f>
        <v>0</v>
      </c>
      <c r="BR146" s="1">
        <f>SUM($AP146,$AQ146:AT146)-SUM($CK146:CO146)</f>
        <v>-40</v>
      </c>
      <c r="BS146" s="1">
        <f>SUM($AP146,$AQ146:AU146)-SUM($CK146:CP146)</f>
        <v>-120</v>
      </c>
      <c r="BT146" s="1">
        <f>SUM($AP146,$AQ146:AV146)-SUM($CK146:CQ146)</f>
        <v>-240</v>
      </c>
      <c r="BU146" s="1">
        <f>SUM($AP146,$AQ146:AW146)-SUM($CK146:CR146)</f>
        <v>-400</v>
      </c>
      <c r="BV146" s="1">
        <f>SUM($AP146,$AQ146:AX146)-SUM($CK146:CS146)</f>
        <v>-600</v>
      </c>
      <c r="BW146" s="1">
        <f>SUM($AP146,$AQ146:AY146)-SUM($CK146:CT146)</f>
        <v>-840</v>
      </c>
      <c r="BX146" s="1">
        <f>SUM($AP146,$AQ146:AZ146)-SUM($CK146:CU146)</f>
        <v>-1120</v>
      </c>
      <c r="BY146" s="1">
        <f>SUM($AP146,$AQ146:BA146)-SUM($CK146:CV146)</f>
        <v>-1440</v>
      </c>
      <c r="BZ146" s="1">
        <f>SUM($AP146,$AQ146:BB146)-SUM($CK146:CW146)</f>
        <v>-1800</v>
      </c>
      <c r="CA146" s="1">
        <f>SUM($AP146,$AQ146:BC146)-SUM($CK146:CX146)</f>
        <v>-2200</v>
      </c>
      <c r="CB146" s="1">
        <f>SUM($AP146,$AQ146:BD146)-SUM($CK146:CY146)</f>
        <v>-2640</v>
      </c>
      <c r="CC146" s="1">
        <f>SUM($AP146,$AQ146:BE146)-SUM($CK146:CZ146)</f>
        <v>-3120</v>
      </c>
      <c r="CD146" s="1">
        <f>SUM($AP146,$AQ146:BF146)-SUM($CK146:DA146)</f>
        <v>-3640</v>
      </c>
      <c r="CE146" s="1">
        <f>SUM($AP146,$AQ146:BG146)-SUM($CK146:DB146)</f>
        <v>-3640</v>
      </c>
      <c r="CF146" s="1">
        <f>SUM($AP146,$AQ146:BH146)-SUM($CK146:DC146)</f>
        <v>-3640</v>
      </c>
      <c r="CG146" s="1">
        <f>SUM($AP146,$AQ146:BI146)-SUM($CK146:DD146)</f>
        <v>-3640</v>
      </c>
      <c r="CK146" s="1">
        <f t="array" ref="CK146">SUMPRODUCT($H146:$Y146,(TRANSPOSE(CK$2:CK$19)))</f>
        <v>0</v>
      </c>
      <c r="CL146" s="1">
        <f t="array" ref="CL146">SUMPRODUCT($H146:$Y146,(TRANSPOSE(CL$2:CL$19)))</f>
        <v>0</v>
      </c>
      <c r="CM146" s="1">
        <f t="array" ref="CM146">SUMPRODUCT($H146:$Y146,(TRANSPOSE(CM$2:CM$19)))</f>
        <v>0</v>
      </c>
      <c r="CN146" s="1">
        <f t="array" ref="CN146">SUMPRODUCT($H146:$Y146,(TRANSPOSE(CN$2:CN$19)))</f>
        <v>0</v>
      </c>
      <c r="CO146" s="1">
        <f t="array" ref="CO146">SUMPRODUCT($H146:$Y146,(TRANSPOSE(CO$2:CO$19)))</f>
        <v>40</v>
      </c>
      <c r="CP146" s="1">
        <f t="array" ref="CP146">SUMPRODUCT($H146:$Y146,(TRANSPOSE(CP$2:CP$19)))</f>
        <v>80</v>
      </c>
      <c r="CQ146" s="1">
        <f t="array" ref="CQ146">SUMPRODUCT($H146:$Y146,(TRANSPOSE(CQ$2:CQ$19)))</f>
        <v>120</v>
      </c>
      <c r="CR146" s="1">
        <f t="array" ref="CR146">SUMPRODUCT($H146:$Y146,(TRANSPOSE(CR$2:CR$19)))</f>
        <v>160</v>
      </c>
      <c r="CS146" s="1">
        <f t="array" ref="CS146">SUMPRODUCT($H146:$Y146,(TRANSPOSE(CS$2:CS$19)))</f>
        <v>200</v>
      </c>
      <c r="CT146" s="1">
        <f t="array" ref="CT146">SUMPRODUCT($H146:$Y146,(TRANSPOSE(CT$2:CT$19)))</f>
        <v>240</v>
      </c>
      <c r="CU146" s="1">
        <f t="array" ref="CU146">SUMPRODUCT($H146:$Y146,(TRANSPOSE(CU$2:CU$19)))</f>
        <v>280</v>
      </c>
      <c r="CV146" s="1">
        <f t="array" ref="CV146">SUMPRODUCT($H146:$Y146,(TRANSPOSE(CV$2:CV$19)))</f>
        <v>320</v>
      </c>
      <c r="CW146" s="1">
        <f t="array" ref="CW146">SUMPRODUCT($H146:$Y146,(TRANSPOSE(CW$2:CW$19)))</f>
        <v>360</v>
      </c>
      <c r="CX146" s="1">
        <f t="array" ref="CX146">SUMPRODUCT($H146:$Y146,(TRANSPOSE(CX$2:CX$19)))</f>
        <v>400</v>
      </c>
      <c r="CY146" s="1">
        <f t="array" ref="CY146">SUMPRODUCT($H146:$Y146,(TRANSPOSE(CY$2:CY$19)))</f>
        <v>440</v>
      </c>
      <c r="CZ146" s="1">
        <f t="array" ref="CZ146">SUMPRODUCT($H146:$Y146,(TRANSPOSE(CZ$2:CZ$19)))</f>
        <v>480</v>
      </c>
      <c r="DA146" s="1">
        <f t="array" ref="DA146">SUMPRODUCT($H146:$Y146,(TRANSPOSE(DA$2:DA$19)))</f>
        <v>520</v>
      </c>
      <c r="DB146" s="1">
        <f t="array" ref="DB146">SUMPRODUCT($H146:$Y146,(TRANSPOSE(DB$2:DB$19)))</f>
        <v>0</v>
      </c>
      <c r="DC146" s="1">
        <f t="array" ref="DC146">SUMPRODUCT($H146:$Y146,(TRANSPOSE(DC$2:DC$19)))</f>
        <v>0</v>
      </c>
      <c r="DD146" s="1">
        <f t="array" ref="DD146">SUMPRODUCT($H146:$Y146,(TRANSPOSE(DD$2:DD$19)))</f>
        <v>0</v>
      </c>
    </row>
    <row r="147" spans="1:108" x14ac:dyDescent="0.2">
      <c r="A147" s="1">
        <v>155</v>
      </c>
      <c r="B147" s="10" t="s">
        <v>572</v>
      </c>
      <c r="C147" s="1" t="s">
        <v>38</v>
      </c>
      <c r="D147" s="1">
        <v>403445993</v>
      </c>
      <c r="F147" s="1" t="s">
        <v>571</v>
      </c>
      <c r="G147" s="1" t="s">
        <v>20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76</v>
      </c>
      <c r="U147" s="1">
        <v>0</v>
      </c>
      <c r="V147" s="1">
        <v>0</v>
      </c>
      <c r="W147" s="1">
        <v>0</v>
      </c>
      <c r="X147" s="1">
        <v>76</v>
      </c>
      <c r="Y147" s="1">
        <v>0</v>
      </c>
      <c r="Z147" s="1">
        <f>SUM(H147:Y147)</f>
        <v>152</v>
      </c>
      <c r="AA147" s="1">
        <f>SUMPRODUCT(H147:Y147,$H$16:$Y$16)</f>
        <v>138320</v>
      </c>
      <c r="AB147" s="18" t="s">
        <v>570</v>
      </c>
      <c r="AC147" s="1">
        <v>8.6999999999999993</v>
      </c>
      <c r="AD147" s="9"/>
      <c r="AE147" s="1" t="s">
        <v>28</v>
      </c>
      <c r="AF147" s="1">
        <f>AC147</f>
        <v>8.6999999999999993</v>
      </c>
      <c r="AG147" s="1">
        <v>20</v>
      </c>
      <c r="AH147" s="1">
        <v>250</v>
      </c>
      <c r="AK147" s="1" t="s">
        <v>89</v>
      </c>
      <c r="AL147" s="1" t="s">
        <v>88</v>
      </c>
      <c r="AM147" s="1" t="s">
        <v>87</v>
      </c>
      <c r="AN147" s="2" t="s">
        <v>86</v>
      </c>
      <c r="BO147" s="1">
        <f>SUM($AP147,$AQ147:AQ147)-SUM($CK147:CL147)</f>
        <v>0</v>
      </c>
      <c r="BP147" s="1">
        <f>SUM($AP147,$AQ147:AR147)-SUM($CK147:CM147)</f>
        <v>0</v>
      </c>
      <c r="BQ147" s="1">
        <f>SUM($AP147,$AQ147:AS147)-SUM($CK147:CN147)</f>
        <v>0</v>
      </c>
      <c r="BR147" s="1">
        <f>SUM($AP147,$AQ147:AT147)-SUM($CK147:CO147)</f>
        <v>-1520</v>
      </c>
      <c r="BS147" s="1">
        <f>SUM($AP147,$AQ147:AU147)-SUM($CK147:CP147)</f>
        <v>-4560</v>
      </c>
      <c r="BT147" s="1">
        <f>SUM($AP147,$AQ147:AV147)-SUM($CK147:CQ147)</f>
        <v>-9120</v>
      </c>
      <c r="BU147" s="1">
        <f>SUM($AP147,$AQ147:AW147)-SUM($CK147:CR147)</f>
        <v>-15200</v>
      </c>
      <c r="BV147" s="1">
        <f>SUM($AP147,$AQ147:AX147)-SUM($CK147:CS147)</f>
        <v>-22800</v>
      </c>
      <c r="BW147" s="1">
        <f>SUM($AP147,$AQ147:AY147)-SUM($CK147:CT147)</f>
        <v>-31920</v>
      </c>
      <c r="BX147" s="1">
        <f>SUM($AP147,$AQ147:AZ147)-SUM($CK147:CU147)</f>
        <v>-42560</v>
      </c>
      <c r="BY147" s="1">
        <f>SUM($AP147,$AQ147:BA147)-SUM($CK147:CV147)</f>
        <v>-54720</v>
      </c>
      <c r="BZ147" s="1">
        <f>SUM($AP147,$AQ147:BB147)-SUM($CK147:CW147)</f>
        <v>-68400</v>
      </c>
      <c r="CA147" s="1">
        <f>SUM($AP147,$AQ147:BC147)-SUM($CK147:CX147)</f>
        <v>-83600</v>
      </c>
      <c r="CB147" s="1">
        <f>SUM($AP147,$AQ147:BD147)-SUM($CK147:CY147)</f>
        <v>-100320</v>
      </c>
      <c r="CC147" s="1">
        <f>SUM($AP147,$AQ147:BE147)-SUM($CK147:CZ147)</f>
        <v>-118560</v>
      </c>
      <c r="CD147" s="1">
        <f>SUM($AP147,$AQ147:BF147)-SUM($CK147:DA147)</f>
        <v>-138320</v>
      </c>
      <c r="CE147" s="1">
        <f>SUM($AP147,$AQ147:BG147)-SUM($CK147:DB147)</f>
        <v>-138320</v>
      </c>
      <c r="CF147" s="1">
        <f>SUM($AP147,$AQ147:BH147)-SUM($CK147:DC147)</f>
        <v>-138320</v>
      </c>
      <c r="CG147" s="1">
        <f>SUM($AP147,$AQ147:BI147)-SUM($CK147:DD147)</f>
        <v>-138320</v>
      </c>
      <c r="CK147" s="1">
        <f t="array" ref="CK147">SUMPRODUCT($H147:$Y147,(TRANSPOSE(CK$2:CK$19)))</f>
        <v>0</v>
      </c>
      <c r="CL147" s="1">
        <f t="array" ref="CL147">SUMPRODUCT($H147:$Y147,(TRANSPOSE(CL$2:CL$19)))</f>
        <v>0</v>
      </c>
      <c r="CM147" s="1">
        <f t="array" ref="CM147">SUMPRODUCT($H147:$Y147,(TRANSPOSE(CM$2:CM$19)))</f>
        <v>0</v>
      </c>
      <c r="CN147" s="1">
        <f t="array" ref="CN147">SUMPRODUCT($H147:$Y147,(TRANSPOSE(CN$2:CN$19)))</f>
        <v>0</v>
      </c>
      <c r="CO147" s="1">
        <f t="array" ref="CO147">SUMPRODUCT($H147:$Y147,(TRANSPOSE(CO$2:CO$19)))</f>
        <v>1520</v>
      </c>
      <c r="CP147" s="1">
        <f t="array" ref="CP147">SUMPRODUCT($H147:$Y147,(TRANSPOSE(CP$2:CP$19)))</f>
        <v>3040</v>
      </c>
      <c r="CQ147" s="1">
        <f t="array" ref="CQ147">SUMPRODUCT($H147:$Y147,(TRANSPOSE(CQ$2:CQ$19)))</f>
        <v>4560</v>
      </c>
      <c r="CR147" s="1">
        <f t="array" ref="CR147">SUMPRODUCT($H147:$Y147,(TRANSPOSE(CR$2:CR$19)))</f>
        <v>6080</v>
      </c>
      <c r="CS147" s="1">
        <f t="array" ref="CS147">SUMPRODUCT($H147:$Y147,(TRANSPOSE(CS$2:CS$19)))</f>
        <v>7600</v>
      </c>
      <c r="CT147" s="1">
        <f t="array" ref="CT147">SUMPRODUCT($H147:$Y147,(TRANSPOSE(CT$2:CT$19)))</f>
        <v>9120</v>
      </c>
      <c r="CU147" s="1">
        <f t="array" ref="CU147">SUMPRODUCT($H147:$Y147,(TRANSPOSE(CU$2:CU$19)))</f>
        <v>10640</v>
      </c>
      <c r="CV147" s="1">
        <f t="array" ref="CV147">SUMPRODUCT($H147:$Y147,(TRANSPOSE(CV$2:CV$19)))</f>
        <v>12160</v>
      </c>
      <c r="CW147" s="1">
        <f t="array" ref="CW147">SUMPRODUCT($H147:$Y147,(TRANSPOSE(CW$2:CW$19)))</f>
        <v>13680</v>
      </c>
      <c r="CX147" s="1">
        <f t="array" ref="CX147">SUMPRODUCT($H147:$Y147,(TRANSPOSE(CX$2:CX$19)))</f>
        <v>15200</v>
      </c>
      <c r="CY147" s="1">
        <f t="array" ref="CY147">SUMPRODUCT($H147:$Y147,(TRANSPOSE(CY$2:CY$19)))</f>
        <v>16720</v>
      </c>
      <c r="CZ147" s="1">
        <f t="array" ref="CZ147">SUMPRODUCT($H147:$Y147,(TRANSPOSE(CZ$2:CZ$19)))</f>
        <v>18240</v>
      </c>
      <c r="DA147" s="1">
        <f t="array" ref="DA147">SUMPRODUCT($H147:$Y147,(TRANSPOSE(DA$2:DA$19)))</f>
        <v>19760</v>
      </c>
      <c r="DB147" s="1">
        <f t="array" ref="DB147">SUMPRODUCT($H147:$Y147,(TRANSPOSE(DB$2:DB$19)))</f>
        <v>0</v>
      </c>
      <c r="DC147" s="1">
        <f t="array" ref="DC147">SUMPRODUCT($H147:$Y147,(TRANSPOSE(DC$2:DC$19)))</f>
        <v>0</v>
      </c>
      <c r="DD147" s="1">
        <f t="array" ref="DD147">SUMPRODUCT($H147:$Y147,(TRANSPOSE(DD$2:DD$19)))</f>
        <v>0</v>
      </c>
    </row>
    <row r="148" spans="1:108" x14ac:dyDescent="0.2">
      <c r="A148" s="1">
        <v>156</v>
      </c>
      <c r="B148" s="10" t="s">
        <v>569</v>
      </c>
      <c r="C148" s="1" t="s">
        <v>22</v>
      </c>
      <c r="D148" s="1">
        <v>417983155</v>
      </c>
      <c r="E148" s="1" t="s">
        <v>568</v>
      </c>
      <c r="F148" s="1" t="s">
        <v>567</v>
      </c>
      <c r="G148" s="1" t="s">
        <v>20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2</v>
      </c>
      <c r="U148" s="1">
        <v>0</v>
      </c>
      <c r="V148" s="1">
        <v>0</v>
      </c>
      <c r="W148" s="1">
        <v>0</v>
      </c>
      <c r="X148" s="1">
        <v>2</v>
      </c>
      <c r="Y148" s="1">
        <v>0</v>
      </c>
      <c r="Z148" s="1">
        <f>SUM(H148:Y148)</f>
        <v>4</v>
      </c>
      <c r="AA148" s="1">
        <f>SUMPRODUCT(H148:Y148,$H$16:$Y$16)</f>
        <v>3640</v>
      </c>
      <c r="AB148" s="1" t="s">
        <v>538</v>
      </c>
      <c r="AC148" s="1">
        <v>0.69</v>
      </c>
      <c r="AD148" s="9"/>
      <c r="AE148" s="1" t="s">
        <v>28</v>
      </c>
      <c r="AF148" s="1">
        <f>AC148</f>
        <v>0.69</v>
      </c>
      <c r="AG148" s="1">
        <v>500</v>
      </c>
      <c r="AH148" s="1">
        <v>500</v>
      </c>
      <c r="AI148" s="1">
        <v>25</v>
      </c>
      <c r="AJ148" s="14" t="s">
        <v>156</v>
      </c>
      <c r="AK148" s="1" t="s">
        <v>566</v>
      </c>
      <c r="AL148" s="1" t="s">
        <v>72</v>
      </c>
      <c r="AM148" s="1" t="s">
        <v>71</v>
      </c>
      <c r="AN148" s="2" t="s">
        <v>565</v>
      </c>
      <c r="BO148" s="1">
        <f>SUM($AP148,$AQ148:AQ148)-SUM($CK148:CL148)</f>
        <v>0</v>
      </c>
      <c r="BP148" s="1">
        <f>SUM($AP148,$AQ148:AR148)-SUM($CK148:CM148)</f>
        <v>0</v>
      </c>
      <c r="BQ148" s="1">
        <f>SUM($AP148,$AQ148:AS148)-SUM($CK148:CN148)</f>
        <v>0</v>
      </c>
      <c r="BR148" s="1">
        <f>SUM($AP148,$AQ148:AT148)-SUM($CK148:CO148)</f>
        <v>-40</v>
      </c>
      <c r="BS148" s="1">
        <f>SUM($AP148,$AQ148:AU148)-SUM($CK148:CP148)</f>
        <v>-120</v>
      </c>
      <c r="BT148" s="1">
        <f>SUM($AP148,$AQ148:AV148)-SUM($CK148:CQ148)</f>
        <v>-240</v>
      </c>
      <c r="BU148" s="1">
        <f>SUM($AP148,$AQ148:AW148)-SUM($CK148:CR148)</f>
        <v>-400</v>
      </c>
      <c r="BV148" s="1">
        <f>SUM($AP148,$AQ148:AX148)-SUM($CK148:CS148)</f>
        <v>-600</v>
      </c>
      <c r="BW148" s="1">
        <f>SUM($AP148,$AQ148:AY148)-SUM($CK148:CT148)</f>
        <v>-840</v>
      </c>
      <c r="BX148" s="1">
        <f>SUM($AP148,$AQ148:AZ148)-SUM($CK148:CU148)</f>
        <v>-1120</v>
      </c>
      <c r="BY148" s="1">
        <f>SUM($AP148,$AQ148:BA148)-SUM($CK148:CV148)</f>
        <v>-1440</v>
      </c>
      <c r="BZ148" s="1">
        <f>SUM($AP148,$AQ148:BB148)-SUM($CK148:CW148)</f>
        <v>-1800</v>
      </c>
      <c r="CA148" s="1">
        <f>SUM($AP148,$AQ148:BC148)-SUM($CK148:CX148)</f>
        <v>-2200</v>
      </c>
      <c r="CB148" s="1">
        <f>SUM($AP148,$AQ148:BD148)-SUM($CK148:CY148)</f>
        <v>-2640</v>
      </c>
      <c r="CC148" s="1">
        <f>SUM($AP148,$AQ148:BE148)-SUM($CK148:CZ148)</f>
        <v>-3120</v>
      </c>
      <c r="CD148" s="1">
        <f>SUM($AP148,$AQ148:BF148)-SUM($CK148:DA148)</f>
        <v>-3640</v>
      </c>
      <c r="CE148" s="1">
        <f>SUM($AP148,$AQ148:BG148)-SUM($CK148:DB148)</f>
        <v>-3640</v>
      </c>
      <c r="CF148" s="1">
        <f>SUM($AP148,$AQ148:BH148)-SUM($CK148:DC148)</f>
        <v>-3640</v>
      </c>
      <c r="CG148" s="1">
        <f>SUM($AP148,$AQ148:BI148)-SUM($CK148:DD148)</f>
        <v>-3640</v>
      </c>
      <c r="CK148" s="1">
        <f t="array" ref="CK148">SUMPRODUCT($H148:$Y148,(TRANSPOSE(CK$2:CK$19)))</f>
        <v>0</v>
      </c>
      <c r="CL148" s="1">
        <f t="array" ref="CL148">SUMPRODUCT($H148:$Y148,(TRANSPOSE(CL$2:CL$19)))</f>
        <v>0</v>
      </c>
      <c r="CM148" s="1">
        <f t="array" ref="CM148">SUMPRODUCT($H148:$Y148,(TRANSPOSE(CM$2:CM$19)))</f>
        <v>0</v>
      </c>
      <c r="CN148" s="1">
        <f t="array" ref="CN148">SUMPRODUCT($H148:$Y148,(TRANSPOSE(CN$2:CN$19)))</f>
        <v>0</v>
      </c>
      <c r="CO148" s="1">
        <f t="array" ref="CO148">SUMPRODUCT($H148:$Y148,(TRANSPOSE(CO$2:CO$19)))</f>
        <v>40</v>
      </c>
      <c r="CP148" s="1">
        <f t="array" ref="CP148">SUMPRODUCT($H148:$Y148,(TRANSPOSE(CP$2:CP$19)))</f>
        <v>80</v>
      </c>
      <c r="CQ148" s="1">
        <f t="array" ref="CQ148">SUMPRODUCT($H148:$Y148,(TRANSPOSE(CQ$2:CQ$19)))</f>
        <v>120</v>
      </c>
      <c r="CR148" s="1">
        <f t="array" ref="CR148">SUMPRODUCT($H148:$Y148,(TRANSPOSE(CR$2:CR$19)))</f>
        <v>160</v>
      </c>
      <c r="CS148" s="1">
        <f t="array" ref="CS148">SUMPRODUCT($H148:$Y148,(TRANSPOSE(CS$2:CS$19)))</f>
        <v>200</v>
      </c>
      <c r="CT148" s="1">
        <f t="array" ref="CT148">SUMPRODUCT($H148:$Y148,(TRANSPOSE(CT$2:CT$19)))</f>
        <v>240</v>
      </c>
      <c r="CU148" s="1">
        <f t="array" ref="CU148">SUMPRODUCT($H148:$Y148,(TRANSPOSE(CU$2:CU$19)))</f>
        <v>280</v>
      </c>
      <c r="CV148" s="1">
        <f t="array" ref="CV148">SUMPRODUCT($H148:$Y148,(TRANSPOSE(CV$2:CV$19)))</f>
        <v>320</v>
      </c>
      <c r="CW148" s="1">
        <f t="array" ref="CW148">SUMPRODUCT($H148:$Y148,(TRANSPOSE(CW$2:CW$19)))</f>
        <v>360</v>
      </c>
      <c r="CX148" s="1">
        <f t="array" ref="CX148">SUMPRODUCT($H148:$Y148,(TRANSPOSE(CX$2:CX$19)))</f>
        <v>400</v>
      </c>
      <c r="CY148" s="1">
        <f t="array" ref="CY148">SUMPRODUCT($H148:$Y148,(TRANSPOSE(CY$2:CY$19)))</f>
        <v>440</v>
      </c>
      <c r="CZ148" s="1">
        <f t="array" ref="CZ148">SUMPRODUCT($H148:$Y148,(TRANSPOSE(CZ$2:CZ$19)))</f>
        <v>480</v>
      </c>
      <c r="DA148" s="1">
        <f t="array" ref="DA148">SUMPRODUCT($H148:$Y148,(TRANSPOSE(DA$2:DA$19)))</f>
        <v>520</v>
      </c>
      <c r="DB148" s="1">
        <f t="array" ref="DB148">SUMPRODUCT($H148:$Y148,(TRANSPOSE(DB$2:DB$19)))</f>
        <v>0</v>
      </c>
      <c r="DC148" s="1">
        <f t="array" ref="DC148">SUMPRODUCT($H148:$Y148,(TRANSPOSE(DC$2:DC$19)))</f>
        <v>0</v>
      </c>
      <c r="DD148" s="1">
        <f t="array" ref="DD148">SUMPRODUCT($H148:$Y148,(TRANSPOSE(DD$2:DD$19)))</f>
        <v>0</v>
      </c>
    </row>
    <row r="149" spans="1:108" x14ac:dyDescent="0.2">
      <c r="A149" s="1">
        <v>157</v>
      </c>
      <c r="B149" s="10" t="s">
        <v>564</v>
      </c>
      <c r="C149" s="1" t="s">
        <v>22</v>
      </c>
      <c r="D149" s="1">
        <v>400252132</v>
      </c>
      <c r="E149" s="1">
        <v>401554073</v>
      </c>
      <c r="F149" s="1" t="s">
        <v>256</v>
      </c>
      <c r="G149" s="1" t="s">
        <v>20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48</v>
      </c>
      <c r="V149" s="1">
        <v>0</v>
      </c>
      <c r="W149" s="1">
        <v>0</v>
      </c>
      <c r="X149" s="1">
        <v>0</v>
      </c>
      <c r="Y149" s="1">
        <v>48</v>
      </c>
      <c r="Z149" s="1">
        <f>SUM(H149:Y149)</f>
        <v>96</v>
      </c>
      <c r="AA149" s="1">
        <f>SUMPRODUCT(H149:Y149,$H$16:$Y$16)</f>
        <v>87360</v>
      </c>
      <c r="AB149" s="1" t="s">
        <v>561</v>
      </c>
      <c r="AC149" s="1">
        <v>0.14000000000000001</v>
      </c>
      <c r="AD149" s="9"/>
      <c r="AE149" s="1" t="s">
        <v>174</v>
      </c>
      <c r="AF149" s="1">
        <f>AC149*1.1171</f>
        <v>0.15639400000000001</v>
      </c>
      <c r="AG149" s="1">
        <v>2500</v>
      </c>
      <c r="AH149" s="1">
        <v>2500</v>
      </c>
      <c r="AI149" s="1">
        <v>13</v>
      </c>
      <c r="AK149" s="1" t="s">
        <v>173</v>
      </c>
      <c r="AL149" s="1" t="s">
        <v>172</v>
      </c>
      <c r="AM149" s="1" t="s">
        <v>171</v>
      </c>
      <c r="AN149" s="2" t="s">
        <v>170</v>
      </c>
      <c r="BO149" s="1">
        <f>SUM($AP149,$AQ149:AQ149)-SUM($CK149:CL149)</f>
        <v>0</v>
      </c>
      <c r="BP149" s="1">
        <f>SUM($AP149,$AQ149:AR149)-SUM($CK149:CM149)</f>
        <v>0</v>
      </c>
      <c r="BQ149" s="1">
        <f>SUM($AP149,$AQ149:AS149)-SUM($CK149:CN149)</f>
        <v>0</v>
      </c>
      <c r="BR149" s="1">
        <f>SUM($AP149,$AQ149:AT149)-SUM($CK149:CO149)</f>
        <v>-960</v>
      </c>
      <c r="BS149" s="1">
        <f>SUM($AP149,$AQ149:AU149)-SUM($CK149:CP149)</f>
        <v>-2880</v>
      </c>
      <c r="BT149" s="1">
        <f>SUM($AP149,$AQ149:AV149)-SUM($CK149:CQ149)</f>
        <v>-5760</v>
      </c>
      <c r="BU149" s="1">
        <f>SUM($AP149,$AQ149:AW149)-SUM($CK149:CR149)</f>
        <v>-9600</v>
      </c>
      <c r="BV149" s="1">
        <f>SUM($AP149,$AQ149:AX149)-SUM($CK149:CS149)</f>
        <v>-14400</v>
      </c>
      <c r="BW149" s="1">
        <f>SUM($AP149,$AQ149:AY149)-SUM($CK149:CT149)</f>
        <v>-20160</v>
      </c>
      <c r="BX149" s="1">
        <f>SUM($AP149,$AQ149:AZ149)-SUM($CK149:CU149)</f>
        <v>-26880</v>
      </c>
      <c r="BY149" s="1">
        <f>SUM($AP149,$AQ149:BA149)-SUM($CK149:CV149)</f>
        <v>-34560</v>
      </c>
      <c r="BZ149" s="1">
        <f>SUM($AP149,$AQ149:BB149)-SUM($CK149:CW149)</f>
        <v>-43200</v>
      </c>
      <c r="CA149" s="1">
        <f>SUM($AP149,$AQ149:BC149)-SUM($CK149:CX149)</f>
        <v>-52800</v>
      </c>
      <c r="CB149" s="1">
        <f>SUM($AP149,$AQ149:BD149)-SUM($CK149:CY149)</f>
        <v>-63360</v>
      </c>
      <c r="CC149" s="1">
        <f>SUM($AP149,$AQ149:BE149)-SUM($CK149:CZ149)</f>
        <v>-74880</v>
      </c>
      <c r="CD149" s="1">
        <f>SUM($AP149,$AQ149:BF149)-SUM($CK149:DA149)</f>
        <v>-87360</v>
      </c>
      <c r="CE149" s="1">
        <f>SUM($AP149,$AQ149:BG149)-SUM($CK149:DB149)</f>
        <v>-87360</v>
      </c>
      <c r="CF149" s="1">
        <f>SUM($AP149,$AQ149:BH149)-SUM($CK149:DC149)</f>
        <v>-87360</v>
      </c>
      <c r="CG149" s="1">
        <f>SUM($AP149,$AQ149:BI149)-SUM($CK149:DD149)</f>
        <v>-87360</v>
      </c>
      <c r="CK149" s="1">
        <f t="array" ref="CK149">SUMPRODUCT($H149:$Y149,(TRANSPOSE(CK$2:CK$19)))</f>
        <v>0</v>
      </c>
      <c r="CL149" s="1">
        <f t="array" ref="CL149">SUMPRODUCT($H149:$Y149,(TRANSPOSE(CL$2:CL$19)))</f>
        <v>0</v>
      </c>
      <c r="CM149" s="1">
        <f t="array" ref="CM149">SUMPRODUCT($H149:$Y149,(TRANSPOSE(CM$2:CM$19)))</f>
        <v>0</v>
      </c>
      <c r="CN149" s="1">
        <f t="array" ref="CN149">SUMPRODUCT($H149:$Y149,(TRANSPOSE(CN$2:CN$19)))</f>
        <v>0</v>
      </c>
      <c r="CO149" s="1">
        <f t="array" ref="CO149">SUMPRODUCT($H149:$Y149,(TRANSPOSE(CO$2:CO$19)))</f>
        <v>960</v>
      </c>
      <c r="CP149" s="1">
        <f t="array" ref="CP149">SUMPRODUCT($H149:$Y149,(TRANSPOSE(CP$2:CP$19)))</f>
        <v>1920</v>
      </c>
      <c r="CQ149" s="1">
        <f t="array" ref="CQ149">SUMPRODUCT($H149:$Y149,(TRANSPOSE(CQ$2:CQ$19)))</f>
        <v>2880</v>
      </c>
      <c r="CR149" s="1">
        <f t="array" ref="CR149">SUMPRODUCT($H149:$Y149,(TRANSPOSE(CR$2:CR$19)))</f>
        <v>3840</v>
      </c>
      <c r="CS149" s="1">
        <f t="array" ref="CS149">SUMPRODUCT($H149:$Y149,(TRANSPOSE(CS$2:CS$19)))</f>
        <v>4800</v>
      </c>
      <c r="CT149" s="1">
        <f t="array" ref="CT149">SUMPRODUCT($H149:$Y149,(TRANSPOSE(CT$2:CT$19)))</f>
        <v>5760</v>
      </c>
      <c r="CU149" s="1">
        <f t="array" ref="CU149">SUMPRODUCT($H149:$Y149,(TRANSPOSE(CU$2:CU$19)))</f>
        <v>6720</v>
      </c>
      <c r="CV149" s="1">
        <f t="array" ref="CV149">SUMPRODUCT($H149:$Y149,(TRANSPOSE(CV$2:CV$19)))</f>
        <v>7680</v>
      </c>
      <c r="CW149" s="1">
        <f t="array" ref="CW149">SUMPRODUCT($H149:$Y149,(TRANSPOSE(CW$2:CW$19)))</f>
        <v>8640</v>
      </c>
      <c r="CX149" s="1">
        <f t="array" ref="CX149">SUMPRODUCT($H149:$Y149,(TRANSPOSE(CX$2:CX$19)))</f>
        <v>9600</v>
      </c>
      <c r="CY149" s="1">
        <f t="array" ref="CY149">SUMPRODUCT($H149:$Y149,(TRANSPOSE(CY$2:CY$19)))</f>
        <v>10560</v>
      </c>
      <c r="CZ149" s="1">
        <f t="array" ref="CZ149">SUMPRODUCT($H149:$Y149,(TRANSPOSE(CZ$2:CZ$19)))</f>
        <v>11520</v>
      </c>
      <c r="DA149" s="1">
        <f t="array" ref="DA149">SUMPRODUCT($H149:$Y149,(TRANSPOSE(DA$2:DA$19)))</f>
        <v>12480</v>
      </c>
      <c r="DB149" s="1">
        <f t="array" ref="DB149">SUMPRODUCT($H149:$Y149,(TRANSPOSE(DB$2:DB$19)))</f>
        <v>0</v>
      </c>
      <c r="DC149" s="1">
        <f t="array" ref="DC149">SUMPRODUCT($H149:$Y149,(TRANSPOSE(DC$2:DC$19)))</f>
        <v>0</v>
      </c>
      <c r="DD149" s="1">
        <f t="array" ref="DD149">SUMPRODUCT($H149:$Y149,(TRANSPOSE(DD$2:DD$19)))</f>
        <v>0</v>
      </c>
    </row>
    <row r="150" spans="1:108" x14ac:dyDescent="0.2">
      <c r="A150" s="1">
        <v>158</v>
      </c>
      <c r="B150" s="10" t="s">
        <v>563</v>
      </c>
      <c r="C150" s="1" t="s">
        <v>22</v>
      </c>
      <c r="D150" s="1">
        <v>400124756</v>
      </c>
      <c r="F150" s="1" t="s">
        <v>562</v>
      </c>
      <c r="G150" s="1" t="s">
        <v>20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10</v>
      </c>
      <c r="V150" s="1">
        <v>0</v>
      </c>
      <c r="W150" s="1">
        <v>0</v>
      </c>
      <c r="X150" s="1">
        <v>0</v>
      </c>
      <c r="Y150" s="1">
        <v>10</v>
      </c>
      <c r="Z150" s="1">
        <f>SUM(H150:Y150)</f>
        <v>20</v>
      </c>
      <c r="AA150" s="1">
        <f>SUMPRODUCT(H150:Y150,$H$16:$Y$16)</f>
        <v>18200</v>
      </c>
      <c r="AB150" s="1" t="s">
        <v>561</v>
      </c>
      <c r="AC150" s="1">
        <v>0.38300000000000001</v>
      </c>
      <c r="AD150" s="9"/>
      <c r="AE150" s="1" t="s">
        <v>28</v>
      </c>
      <c r="AF150" s="1">
        <f>AC150</f>
        <v>0.38300000000000001</v>
      </c>
      <c r="AG150" s="1">
        <v>2500</v>
      </c>
      <c r="AH150" s="1">
        <v>2500</v>
      </c>
      <c r="AI150" s="1" t="s">
        <v>560</v>
      </c>
      <c r="AK150" s="1" t="s">
        <v>173</v>
      </c>
      <c r="AL150" s="1" t="s">
        <v>172</v>
      </c>
      <c r="AM150" s="1" t="s">
        <v>171</v>
      </c>
      <c r="AN150" s="2" t="s">
        <v>170</v>
      </c>
      <c r="BO150" s="1">
        <f>SUM($AP150,$AQ150:AQ150)-SUM($CK150:CL150)</f>
        <v>0</v>
      </c>
      <c r="BP150" s="1">
        <f>SUM($AP150,$AQ150:AR150)-SUM($CK150:CM150)</f>
        <v>0</v>
      </c>
      <c r="BQ150" s="1">
        <f>SUM($AP150,$AQ150:AS150)-SUM($CK150:CN150)</f>
        <v>0</v>
      </c>
      <c r="BR150" s="1">
        <f>SUM($AP150,$AQ150:AT150)-SUM($CK150:CO150)</f>
        <v>-200</v>
      </c>
      <c r="BS150" s="1">
        <f>SUM($AP150,$AQ150:AU150)-SUM($CK150:CP150)</f>
        <v>-600</v>
      </c>
      <c r="BT150" s="1">
        <f>SUM($AP150,$AQ150:AV150)-SUM($CK150:CQ150)</f>
        <v>-1200</v>
      </c>
      <c r="BU150" s="1">
        <f>SUM($AP150,$AQ150:AW150)-SUM($CK150:CR150)</f>
        <v>-2000</v>
      </c>
      <c r="BV150" s="1">
        <f>SUM($AP150,$AQ150:AX150)-SUM($CK150:CS150)</f>
        <v>-3000</v>
      </c>
      <c r="BW150" s="1">
        <f>SUM($AP150,$AQ150:AY150)-SUM($CK150:CT150)</f>
        <v>-4200</v>
      </c>
      <c r="BX150" s="1">
        <f>SUM($AP150,$AQ150:AZ150)-SUM($CK150:CU150)</f>
        <v>-5600</v>
      </c>
      <c r="BY150" s="1">
        <f>SUM($AP150,$AQ150:BA150)-SUM($CK150:CV150)</f>
        <v>-7200</v>
      </c>
      <c r="BZ150" s="1">
        <f>SUM($AP150,$AQ150:BB150)-SUM($CK150:CW150)</f>
        <v>-9000</v>
      </c>
      <c r="CA150" s="1">
        <f>SUM($AP150,$AQ150:BC150)-SUM($CK150:CX150)</f>
        <v>-11000</v>
      </c>
      <c r="CB150" s="1">
        <f>SUM($AP150,$AQ150:BD150)-SUM($CK150:CY150)</f>
        <v>-13200</v>
      </c>
      <c r="CC150" s="1">
        <f>SUM($AP150,$AQ150:BE150)-SUM($CK150:CZ150)</f>
        <v>-15600</v>
      </c>
      <c r="CD150" s="1">
        <f>SUM($AP150,$AQ150:BF150)-SUM($CK150:DA150)</f>
        <v>-18200</v>
      </c>
      <c r="CE150" s="1">
        <f>SUM($AP150,$AQ150:BG150)-SUM($CK150:DB150)</f>
        <v>-18200</v>
      </c>
      <c r="CF150" s="1">
        <f>SUM($AP150,$AQ150:BH150)-SUM($CK150:DC150)</f>
        <v>-18200</v>
      </c>
      <c r="CG150" s="1">
        <f>SUM($AP150,$AQ150:BI150)-SUM($CK150:DD150)</f>
        <v>-18200</v>
      </c>
      <c r="CK150" s="1">
        <f t="array" ref="CK150">SUMPRODUCT($H150:$Y150,(TRANSPOSE(CK$2:CK$19)))</f>
        <v>0</v>
      </c>
      <c r="CL150" s="1">
        <f t="array" ref="CL150">SUMPRODUCT($H150:$Y150,(TRANSPOSE(CL$2:CL$19)))</f>
        <v>0</v>
      </c>
      <c r="CM150" s="1">
        <f t="array" ref="CM150">SUMPRODUCT($H150:$Y150,(TRANSPOSE(CM$2:CM$19)))</f>
        <v>0</v>
      </c>
      <c r="CN150" s="1">
        <f t="array" ref="CN150">SUMPRODUCT($H150:$Y150,(TRANSPOSE(CN$2:CN$19)))</f>
        <v>0</v>
      </c>
      <c r="CO150" s="1">
        <f t="array" ref="CO150">SUMPRODUCT($H150:$Y150,(TRANSPOSE(CO$2:CO$19)))</f>
        <v>200</v>
      </c>
      <c r="CP150" s="1">
        <f t="array" ref="CP150">SUMPRODUCT($H150:$Y150,(TRANSPOSE(CP$2:CP$19)))</f>
        <v>400</v>
      </c>
      <c r="CQ150" s="1">
        <f t="array" ref="CQ150">SUMPRODUCT($H150:$Y150,(TRANSPOSE(CQ$2:CQ$19)))</f>
        <v>600</v>
      </c>
      <c r="CR150" s="1">
        <f t="array" ref="CR150">SUMPRODUCT($H150:$Y150,(TRANSPOSE(CR$2:CR$19)))</f>
        <v>800</v>
      </c>
      <c r="CS150" s="1">
        <f t="array" ref="CS150">SUMPRODUCT($H150:$Y150,(TRANSPOSE(CS$2:CS$19)))</f>
        <v>1000</v>
      </c>
      <c r="CT150" s="1">
        <f t="array" ref="CT150">SUMPRODUCT($H150:$Y150,(TRANSPOSE(CT$2:CT$19)))</f>
        <v>1200</v>
      </c>
      <c r="CU150" s="1">
        <f t="array" ref="CU150">SUMPRODUCT($H150:$Y150,(TRANSPOSE(CU$2:CU$19)))</f>
        <v>1400</v>
      </c>
      <c r="CV150" s="1">
        <f t="array" ref="CV150">SUMPRODUCT($H150:$Y150,(TRANSPOSE(CV$2:CV$19)))</f>
        <v>1600</v>
      </c>
      <c r="CW150" s="1">
        <f t="array" ref="CW150">SUMPRODUCT($H150:$Y150,(TRANSPOSE(CW$2:CW$19)))</f>
        <v>1800</v>
      </c>
      <c r="CX150" s="1">
        <f t="array" ref="CX150">SUMPRODUCT($H150:$Y150,(TRANSPOSE(CX$2:CX$19)))</f>
        <v>2000</v>
      </c>
      <c r="CY150" s="1">
        <f t="array" ref="CY150">SUMPRODUCT($H150:$Y150,(TRANSPOSE(CY$2:CY$19)))</f>
        <v>2200</v>
      </c>
      <c r="CZ150" s="1">
        <f t="array" ref="CZ150">SUMPRODUCT($H150:$Y150,(TRANSPOSE(CZ$2:CZ$19)))</f>
        <v>2400</v>
      </c>
      <c r="DA150" s="1">
        <f t="array" ref="DA150">SUMPRODUCT($H150:$Y150,(TRANSPOSE(DA$2:DA$19)))</f>
        <v>2600</v>
      </c>
      <c r="DB150" s="1">
        <f t="array" ref="DB150">SUMPRODUCT($H150:$Y150,(TRANSPOSE(DB$2:DB$19)))</f>
        <v>0</v>
      </c>
      <c r="DC150" s="1">
        <f t="array" ref="DC150">SUMPRODUCT($H150:$Y150,(TRANSPOSE(DC$2:DC$19)))</f>
        <v>0</v>
      </c>
      <c r="DD150" s="1">
        <f t="array" ref="DD150">SUMPRODUCT($H150:$Y150,(TRANSPOSE(DD$2:DD$19)))</f>
        <v>0</v>
      </c>
    </row>
    <row r="151" spans="1:108" x14ac:dyDescent="0.2">
      <c r="A151" s="1">
        <v>160</v>
      </c>
      <c r="B151" s="10" t="s">
        <v>559</v>
      </c>
      <c r="C151" s="1" t="s">
        <v>22</v>
      </c>
      <c r="D151" s="1">
        <v>401317900</v>
      </c>
      <c r="E151" s="1" t="s">
        <v>558</v>
      </c>
      <c r="F151" s="1" t="s">
        <v>557</v>
      </c>
      <c r="G151" s="1" t="s">
        <v>125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0.05</v>
      </c>
      <c r="S151" s="1">
        <v>0</v>
      </c>
      <c r="T151" s="1">
        <v>0</v>
      </c>
      <c r="U151" s="1">
        <v>0</v>
      </c>
      <c r="V151" s="1">
        <v>0.05</v>
      </c>
      <c r="W151" s="1">
        <v>0</v>
      </c>
      <c r="X151" s="1">
        <v>0</v>
      </c>
      <c r="Y151" s="1">
        <v>0</v>
      </c>
      <c r="Z151" s="1">
        <f>SUM(H151:Y151)</f>
        <v>0.1</v>
      </c>
      <c r="AA151" s="1">
        <f>SUMPRODUCT(H151:Y151,$H$16:$Y$16)</f>
        <v>91</v>
      </c>
      <c r="AB151" s="1" t="s">
        <v>556</v>
      </c>
      <c r="AC151" s="1">
        <v>24.98</v>
      </c>
      <c r="AD151" s="9"/>
      <c r="AE151" s="1" t="s">
        <v>28</v>
      </c>
      <c r="AF151" s="1">
        <f>AC151</f>
        <v>24.98</v>
      </c>
      <c r="AG151" s="1">
        <v>28</v>
      </c>
      <c r="AH151" s="1">
        <v>1</v>
      </c>
      <c r="AI151" s="1">
        <v>6</v>
      </c>
      <c r="AK151" s="1" t="s">
        <v>555</v>
      </c>
      <c r="AL151" s="1" t="s">
        <v>554</v>
      </c>
      <c r="AM151" s="1" t="s">
        <v>553</v>
      </c>
      <c r="AN151" s="2" t="s">
        <v>552</v>
      </c>
      <c r="AO151" s="1" t="s">
        <v>551</v>
      </c>
      <c r="BO151" s="1">
        <f>SUM($AP151,$AQ151:AQ151)-SUM($CK151:CL151)</f>
        <v>0</v>
      </c>
      <c r="BP151" s="1">
        <f>SUM($AP151,$AQ151:AR151)-SUM($CK151:CM151)</f>
        <v>0</v>
      </c>
      <c r="BQ151" s="1">
        <f>SUM($AP151,$AQ151:AS151)-SUM($CK151:CN151)</f>
        <v>0</v>
      </c>
      <c r="BR151" s="1">
        <f>SUM($AP151,$AQ151:AT151)-SUM($CK151:CO151)</f>
        <v>0</v>
      </c>
      <c r="BS151" s="1">
        <f>SUM($AP151,$AQ151:AU151)-SUM($CK151:CP151)</f>
        <v>0</v>
      </c>
      <c r="BT151" s="1">
        <f>SUM($AP151,$AQ151:AV151)-SUM($CK151:CQ151)</f>
        <v>-1</v>
      </c>
      <c r="BU151" s="1">
        <f>SUM($AP151,$AQ151:AW151)-SUM($CK151:CR151)</f>
        <v>-3</v>
      </c>
      <c r="BV151" s="1">
        <f>SUM($AP151,$AQ151:AX151)-SUM($CK151:CS151)</f>
        <v>-6</v>
      </c>
      <c r="BW151" s="1">
        <f>SUM($AP151,$AQ151:AY151)-SUM($CK151:CT151)</f>
        <v>-10</v>
      </c>
      <c r="BX151" s="1">
        <f>SUM($AP151,$AQ151:AZ151)-SUM($CK151:CU151)</f>
        <v>-15</v>
      </c>
      <c r="BY151" s="1">
        <f>SUM($AP151,$AQ151:BA151)-SUM($CK151:CV151)</f>
        <v>-21</v>
      </c>
      <c r="BZ151" s="1">
        <f>SUM($AP151,$AQ151:BB151)-SUM($CK151:CW151)</f>
        <v>-28</v>
      </c>
      <c r="CA151" s="1">
        <f>SUM($AP151,$AQ151:BC151)-SUM($CK151:CX151)</f>
        <v>-36</v>
      </c>
      <c r="CB151" s="1">
        <f>SUM($AP151,$AQ151:BD151)-SUM($CK151:CY151)</f>
        <v>-45</v>
      </c>
      <c r="CC151" s="1">
        <f>SUM($AP151,$AQ151:BE151)-SUM($CK151:CZ151)</f>
        <v>-55</v>
      </c>
      <c r="CD151" s="1">
        <f>SUM($AP151,$AQ151:BF151)-SUM($CK151:DA151)</f>
        <v>-66</v>
      </c>
      <c r="CE151" s="1">
        <f>SUM($AP151,$AQ151:BG151)-SUM($CK151:DB151)</f>
        <v>-78</v>
      </c>
      <c r="CF151" s="1">
        <f>SUM($AP151,$AQ151:BH151)-SUM($CK151:DC151)</f>
        <v>-91</v>
      </c>
      <c r="CG151" s="1">
        <f>SUM($AP151,$AQ151:BI151)-SUM($CK151:DD151)</f>
        <v>-91</v>
      </c>
      <c r="CK151" s="1">
        <f t="array" ref="CK151">SUMPRODUCT($H151:$Y151,(TRANSPOSE(CK$2:CK$19)))</f>
        <v>0</v>
      </c>
      <c r="CL151" s="1">
        <f t="array" ref="CL151">SUMPRODUCT($H151:$Y151,(TRANSPOSE(CL$2:CL$19)))</f>
        <v>0</v>
      </c>
      <c r="CM151" s="1">
        <f t="array" ref="CM151">SUMPRODUCT($H151:$Y151,(TRANSPOSE(CM$2:CM$19)))</f>
        <v>0</v>
      </c>
      <c r="CN151" s="1">
        <f t="array" ref="CN151">SUMPRODUCT($H151:$Y151,(TRANSPOSE(CN$2:CN$19)))</f>
        <v>0</v>
      </c>
      <c r="CO151" s="1">
        <f t="array" ref="CO151">SUMPRODUCT($H151:$Y151,(TRANSPOSE(CO$2:CO$19)))</f>
        <v>0</v>
      </c>
      <c r="CP151" s="1">
        <f t="array" ref="CP151">SUMPRODUCT($H151:$Y151,(TRANSPOSE(CP$2:CP$19)))</f>
        <v>0</v>
      </c>
      <c r="CQ151" s="1">
        <f t="array" ref="CQ151">SUMPRODUCT($H151:$Y151,(TRANSPOSE(CQ$2:CQ$19)))</f>
        <v>1</v>
      </c>
      <c r="CR151" s="1">
        <f t="array" ref="CR151">SUMPRODUCT($H151:$Y151,(TRANSPOSE(CR$2:CR$19)))</f>
        <v>2</v>
      </c>
      <c r="CS151" s="1">
        <f t="array" ref="CS151">SUMPRODUCT($H151:$Y151,(TRANSPOSE(CS$2:CS$19)))</f>
        <v>3</v>
      </c>
      <c r="CT151" s="1">
        <f t="array" ref="CT151">SUMPRODUCT($H151:$Y151,(TRANSPOSE(CT$2:CT$19)))</f>
        <v>4</v>
      </c>
      <c r="CU151" s="1">
        <f t="array" ref="CU151">SUMPRODUCT($H151:$Y151,(TRANSPOSE(CU$2:CU$19)))</f>
        <v>5</v>
      </c>
      <c r="CV151" s="1">
        <f t="array" ref="CV151">SUMPRODUCT($H151:$Y151,(TRANSPOSE(CV$2:CV$19)))</f>
        <v>6</v>
      </c>
      <c r="CW151" s="1">
        <f t="array" ref="CW151">SUMPRODUCT($H151:$Y151,(TRANSPOSE(CW$2:CW$19)))</f>
        <v>7</v>
      </c>
      <c r="CX151" s="1">
        <f t="array" ref="CX151">SUMPRODUCT($H151:$Y151,(TRANSPOSE(CX$2:CX$19)))</f>
        <v>8</v>
      </c>
      <c r="CY151" s="1">
        <f t="array" ref="CY151">SUMPRODUCT($H151:$Y151,(TRANSPOSE(CY$2:CY$19)))</f>
        <v>9</v>
      </c>
      <c r="CZ151" s="1">
        <f t="array" ref="CZ151">SUMPRODUCT($H151:$Y151,(TRANSPOSE(CZ$2:CZ$19)))</f>
        <v>10</v>
      </c>
      <c r="DA151" s="1">
        <f t="array" ref="DA151">SUMPRODUCT($H151:$Y151,(TRANSPOSE(DA$2:DA$19)))</f>
        <v>11</v>
      </c>
      <c r="DB151" s="1">
        <f t="array" ref="DB151">SUMPRODUCT($H151:$Y151,(TRANSPOSE(DB$2:DB$19)))</f>
        <v>12</v>
      </c>
      <c r="DC151" s="1">
        <f t="array" ref="DC151">SUMPRODUCT($H151:$Y151,(TRANSPOSE(DC$2:DC$19)))</f>
        <v>13</v>
      </c>
      <c r="DD151" s="1">
        <f t="array" ref="DD151">SUMPRODUCT($H151:$Y151,(TRANSPOSE(DD$2:DD$19)))</f>
        <v>0</v>
      </c>
    </row>
    <row r="152" spans="1:108" x14ac:dyDescent="0.2">
      <c r="A152" s="1">
        <v>167</v>
      </c>
      <c r="B152" s="10" t="s">
        <v>550</v>
      </c>
      <c r="C152" s="1" t="s">
        <v>22</v>
      </c>
      <c r="D152" s="1">
        <v>400493201</v>
      </c>
      <c r="E152" s="1">
        <v>400750278</v>
      </c>
      <c r="F152" s="1" t="s">
        <v>549</v>
      </c>
      <c r="G152" s="1" t="s">
        <v>20</v>
      </c>
      <c r="H152" s="1">
        <v>0</v>
      </c>
      <c r="I152" s="1">
        <v>0</v>
      </c>
      <c r="J152" s="1">
        <v>0</v>
      </c>
      <c r="K152" s="1">
        <v>14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f>SUM(H152:Y152)</f>
        <v>14</v>
      </c>
      <c r="AA152" s="1">
        <f>SUMPRODUCT(H152:Y152,$H$16:$Y$16)</f>
        <v>12740</v>
      </c>
      <c r="AB152" s="1" t="s">
        <v>18</v>
      </c>
      <c r="AC152" s="1">
        <v>0</v>
      </c>
      <c r="AD152" s="9"/>
      <c r="AE152" s="1" t="s">
        <v>19</v>
      </c>
      <c r="AF152" s="1">
        <f>AC152</f>
        <v>0</v>
      </c>
      <c r="AG152" s="1">
        <v>1</v>
      </c>
      <c r="AH152" s="1">
        <v>1</v>
      </c>
      <c r="AI152" s="1" t="s">
        <v>18</v>
      </c>
      <c r="AJ152" s="1" t="s">
        <v>18</v>
      </c>
      <c r="AK152" s="1" t="s">
        <v>18</v>
      </c>
      <c r="AL152" s="1" t="s">
        <v>18</v>
      </c>
      <c r="AM152" s="1" t="s">
        <v>18</v>
      </c>
      <c r="AN152" s="2" t="s">
        <v>18</v>
      </c>
      <c r="BO152" s="1">
        <f>SUM($AP152,$AQ152:AQ152)-SUM($CK152:CL152)</f>
        <v>0</v>
      </c>
      <c r="BP152" s="1">
        <f>SUM($AP152,$AQ152:AR152)-SUM($CK152:CM152)</f>
        <v>0</v>
      </c>
      <c r="BQ152" s="1">
        <f>SUM($AP152,$AQ152:AS152)-SUM($CK152:CN152)</f>
        <v>0</v>
      </c>
      <c r="BR152" s="1">
        <f>SUM($AP152,$AQ152:AT152)-SUM($CK152:CO152)</f>
        <v>-140</v>
      </c>
      <c r="BS152" s="1">
        <f>SUM($AP152,$AQ152:AU152)-SUM($CK152:CP152)</f>
        <v>-420</v>
      </c>
      <c r="BT152" s="1">
        <f>SUM($AP152,$AQ152:AV152)-SUM($CK152:CQ152)</f>
        <v>-840</v>
      </c>
      <c r="BU152" s="1">
        <f>SUM($AP152,$AQ152:AW152)-SUM($CK152:CR152)</f>
        <v>-1400</v>
      </c>
      <c r="BV152" s="1">
        <f>SUM($AP152,$AQ152:AX152)-SUM($CK152:CS152)</f>
        <v>-2100</v>
      </c>
      <c r="BW152" s="1">
        <f>SUM($AP152,$AQ152:AY152)-SUM($CK152:CT152)</f>
        <v>-2940</v>
      </c>
      <c r="BX152" s="1">
        <f>SUM($AP152,$AQ152:AZ152)-SUM($CK152:CU152)</f>
        <v>-3920</v>
      </c>
      <c r="BY152" s="1">
        <f>SUM($AP152,$AQ152:BA152)-SUM($CK152:CV152)</f>
        <v>-5040</v>
      </c>
      <c r="BZ152" s="1">
        <f>SUM($AP152,$AQ152:BB152)-SUM($CK152:CW152)</f>
        <v>-6300</v>
      </c>
      <c r="CA152" s="1">
        <f>SUM($AP152,$AQ152:BC152)-SUM($CK152:CX152)</f>
        <v>-7700</v>
      </c>
      <c r="CB152" s="1">
        <f>SUM($AP152,$AQ152:BD152)-SUM($CK152:CY152)</f>
        <v>-9240</v>
      </c>
      <c r="CC152" s="1">
        <f>SUM($AP152,$AQ152:BE152)-SUM($CK152:CZ152)</f>
        <v>-10920</v>
      </c>
      <c r="CD152" s="1">
        <f>SUM($AP152,$AQ152:BF152)-SUM($CK152:DA152)</f>
        <v>-12740</v>
      </c>
      <c r="CE152" s="1">
        <f>SUM($AP152,$AQ152:BG152)-SUM($CK152:DB152)</f>
        <v>-12740</v>
      </c>
      <c r="CF152" s="1">
        <f>SUM($AP152,$AQ152:BH152)-SUM($CK152:DC152)</f>
        <v>-12740</v>
      </c>
      <c r="CG152" s="1">
        <f>SUM($AP152,$AQ152:BI152)-SUM($CK152:DD152)</f>
        <v>-12740</v>
      </c>
      <c r="CK152" s="1">
        <f t="array" ref="CK152">SUMPRODUCT($H152:$Y152,(TRANSPOSE(CK$2:CK$19)))</f>
        <v>0</v>
      </c>
      <c r="CL152" s="1">
        <f t="array" ref="CL152">SUMPRODUCT($H152:$Y152,(TRANSPOSE(CL$2:CL$19)))</f>
        <v>0</v>
      </c>
      <c r="CM152" s="1">
        <f t="array" ref="CM152">SUMPRODUCT($H152:$Y152,(TRANSPOSE(CM$2:CM$19)))</f>
        <v>0</v>
      </c>
      <c r="CN152" s="1">
        <f t="array" ref="CN152">SUMPRODUCT($H152:$Y152,(TRANSPOSE(CN$2:CN$19)))</f>
        <v>0</v>
      </c>
      <c r="CO152" s="1">
        <f t="array" ref="CO152">SUMPRODUCT($H152:$Y152,(TRANSPOSE(CO$2:CO$19)))</f>
        <v>140</v>
      </c>
      <c r="CP152" s="1">
        <f t="array" ref="CP152">SUMPRODUCT($H152:$Y152,(TRANSPOSE(CP$2:CP$19)))</f>
        <v>280</v>
      </c>
      <c r="CQ152" s="1">
        <f t="array" ref="CQ152">SUMPRODUCT($H152:$Y152,(TRANSPOSE(CQ$2:CQ$19)))</f>
        <v>420</v>
      </c>
      <c r="CR152" s="1">
        <f t="array" ref="CR152">SUMPRODUCT($H152:$Y152,(TRANSPOSE(CR$2:CR$19)))</f>
        <v>560</v>
      </c>
      <c r="CS152" s="1">
        <f t="array" ref="CS152">SUMPRODUCT($H152:$Y152,(TRANSPOSE(CS$2:CS$19)))</f>
        <v>700</v>
      </c>
      <c r="CT152" s="1">
        <f t="array" ref="CT152">SUMPRODUCT($H152:$Y152,(TRANSPOSE(CT$2:CT$19)))</f>
        <v>840</v>
      </c>
      <c r="CU152" s="1">
        <f t="array" ref="CU152">SUMPRODUCT($H152:$Y152,(TRANSPOSE(CU$2:CU$19)))</f>
        <v>980</v>
      </c>
      <c r="CV152" s="1">
        <f t="array" ref="CV152">SUMPRODUCT($H152:$Y152,(TRANSPOSE(CV$2:CV$19)))</f>
        <v>1120</v>
      </c>
      <c r="CW152" s="1">
        <f t="array" ref="CW152">SUMPRODUCT($H152:$Y152,(TRANSPOSE(CW$2:CW$19)))</f>
        <v>1260</v>
      </c>
      <c r="CX152" s="1">
        <f t="array" ref="CX152">SUMPRODUCT($H152:$Y152,(TRANSPOSE(CX$2:CX$19)))</f>
        <v>1400</v>
      </c>
      <c r="CY152" s="1">
        <f t="array" ref="CY152">SUMPRODUCT($H152:$Y152,(TRANSPOSE(CY$2:CY$19)))</f>
        <v>1540</v>
      </c>
      <c r="CZ152" s="1">
        <f t="array" ref="CZ152">SUMPRODUCT($H152:$Y152,(TRANSPOSE(CZ$2:CZ$19)))</f>
        <v>1680</v>
      </c>
      <c r="DA152" s="1">
        <f t="array" ref="DA152">SUMPRODUCT($H152:$Y152,(TRANSPOSE(DA$2:DA$19)))</f>
        <v>1820</v>
      </c>
      <c r="DB152" s="1">
        <f t="array" ref="DB152">SUMPRODUCT($H152:$Y152,(TRANSPOSE(DB$2:DB$19)))</f>
        <v>0</v>
      </c>
      <c r="DC152" s="1">
        <f t="array" ref="DC152">SUMPRODUCT($H152:$Y152,(TRANSPOSE(DC$2:DC$19)))</f>
        <v>0</v>
      </c>
      <c r="DD152" s="1">
        <f t="array" ref="DD152">SUMPRODUCT($H152:$Y152,(TRANSPOSE(DD$2:DD$19)))</f>
        <v>0</v>
      </c>
    </row>
    <row r="153" spans="1:108" x14ac:dyDescent="0.2">
      <c r="A153" s="1">
        <v>168</v>
      </c>
      <c r="B153" s="10" t="s">
        <v>548</v>
      </c>
      <c r="C153" s="1" t="s">
        <v>22</v>
      </c>
      <c r="D153" s="1">
        <v>401387650</v>
      </c>
      <c r="F153" s="1" t="s">
        <v>547</v>
      </c>
      <c r="G153" s="1" t="s">
        <v>20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2</v>
      </c>
      <c r="V153" s="1">
        <v>0</v>
      </c>
      <c r="W153" s="1">
        <v>0</v>
      </c>
      <c r="X153" s="1">
        <v>0</v>
      </c>
      <c r="Y153" s="1">
        <v>2</v>
      </c>
      <c r="Z153" s="1">
        <f>SUM(H153:Y153)</f>
        <v>4</v>
      </c>
      <c r="AA153" s="1">
        <f>SUMPRODUCT(H153:Y153,$H$16:$Y$16)</f>
        <v>3640</v>
      </c>
      <c r="AB153" s="1" t="s">
        <v>273</v>
      </c>
      <c r="AC153" s="1">
        <v>1.4008</v>
      </c>
      <c r="AD153" s="9"/>
      <c r="AE153" s="1" t="s">
        <v>28</v>
      </c>
      <c r="AF153" s="1">
        <f>AC153</f>
        <v>1.4008</v>
      </c>
      <c r="AG153" s="1">
        <v>50</v>
      </c>
      <c r="AH153" s="1">
        <v>160</v>
      </c>
      <c r="AI153" s="1">
        <v>13</v>
      </c>
      <c r="AK153" s="1" t="s">
        <v>81</v>
      </c>
      <c r="AL153" s="1" t="s">
        <v>272</v>
      </c>
      <c r="AM153" s="1" t="s">
        <v>271</v>
      </c>
      <c r="AN153" s="2" t="s">
        <v>270</v>
      </c>
      <c r="BO153" s="1">
        <f>SUM($AP153,$AQ153:AQ153)-SUM($CK153:CL153)</f>
        <v>0</v>
      </c>
      <c r="BP153" s="1">
        <f>SUM($AP153,$AQ153:AR153)-SUM($CK153:CM153)</f>
        <v>0</v>
      </c>
      <c r="BQ153" s="1">
        <f>SUM($AP153,$AQ153:AS153)-SUM($CK153:CN153)</f>
        <v>0</v>
      </c>
      <c r="BR153" s="1">
        <f>SUM($AP153,$AQ153:AT153)-SUM($CK153:CO153)</f>
        <v>-40</v>
      </c>
      <c r="BS153" s="1">
        <f>SUM($AP153,$AQ153:AU153)-SUM($CK153:CP153)</f>
        <v>-120</v>
      </c>
      <c r="BT153" s="1">
        <f>SUM($AP153,$AQ153:AV153)-SUM($CK153:CQ153)</f>
        <v>-240</v>
      </c>
      <c r="BU153" s="1">
        <f>SUM($AP153,$AQ153:AW153)-SUM($CK153:CR153)</f>
        <v>-400</v>
      </c>
      <c r="BV153" s="1">
        <f>SUM($AP153,$AQ153:AX153)-SUM($CK153:CS153)</f>
        <v>-600</v>
      </c>
      <c r="BW153" s="1">
        <f>SUM($AP153,$AQ153:AY153)-SUM($CK153:CT153)</f>
        <v>-840</v>
      </c>
      <c r="BX153" s="1">
        <f>SUM($AP153,$AQ153:AZ153)-SUM($CK153:CU153)</f>
        <v>-1120</v>
      </c>
      <c r="BY153" s="1">
        <f>SUM($AP153,$AQ153:BA153)-SUM($CK153:CV153)</f>
        <v>-1440</v>
      </c>
      <c r="BZ153" s="1">
        <f>SUM($AP153,$AQ153:BB153)-SUM($CK153:CW153)</f>
        <v>-1800</v>
      </c>
      <c r="CA153" s="1">
        <f>SUM($AP153,$AQ153:BC153)-SUM($CK153:CX153)</f>
        <v>-2200</v>
      </c>
      <c r="CB153" s="1">
        <f>SUM($AP153,$AQ153:BD153)-SUM($CK153:CY153)</f>
        <v>-2640</v>
      </c>
      <c r="CC153" s="1">
        <f>SUM($AP153,$AQ153:BE153)-SUM($CK153:CZ153)</f>
        <v>-3120</v>
      </c>
      <c r="CD153" s="1">
        <f>SUM($AP153,$AQ153:BF153)-SUM($CK153:DA153)</f>
        <v>-3640</v>
      </c>
      <c r="CE153" s="1">
        <f>SUM($AP153,$AQ153:BG153)-SUM($CK153:DB153)</f>
        <v>-3640</v>
      </c>
      <c r="CF153" s="1">
        <f>SUM($AP153,$AQ153:BH153)-SUM($CK153:DC153)</f>
        <v>-3640</v>
      </c>
      <c r="CG153" s="1">
        <f>SUM($AP153,$AQ153:BI153)-SUM($CK153:DD153)</f>
        <v>-3640</v>
      </c>
      <c r="CK153" s="1">
        <f t="array" ref="CK153">SUMPRODUCT($H153:$Y153,(TRANSPOSE(CK$2:CK$19)))</f>
        <v>0</v>
      </c>
      <c r="CL153" s="1">
        <f t="array" ref="CL153">SUMPRODUCT($H153:$Y153,(TRANSPOSE(CL$2:CL$19)))</f>
        <v>0</v>
      </c>
      <c r="CM153" s="1">
        <f t="array" ref="CM153">SUMPRODUCT($H153:$Y153,(TRANSPOSE(CM$2:CM$19)))</f>
        <v>0</v>
      </c>
      <c r="CN153" s="1">
        <f t="array" ref="CN153">SUMPRODUCT($H153:$Y153,(TRANSPOSE(CN$2:CN$19)))</f>
        <v>0</v>
      </c>
      <c r="CO153" s="1">
        <f t="array" ref="CO153">SUMPRODUCT($H153:$Y153,(TRANSPOSE(CO$2:CO$19)))</f>
        <v>40</v>
      </c>
      <c r="CP153" s="1">
        <f t="array" ref="CP153">SUMPRODUCT($H153:$Y153,(TRANSPOSE(CP$2:CP$19)))</f>
        <v>80</v>
      </c>
      <c r="CQ153" s="1">
        <f t="array" ref="CQ153">SUMPRODUCT($H153:$Y153,(TRANSPOSE(CQ$2:CQ$19)))</f>
        <v>120</v>
      </c>
      <c r="CR153" s="1">
        <f t="array" ref="CR153">SUMPRODUCT($H153:$Y153,(TRANSPOSE(CR$2:CR$19)))</f>
        <v>160</v>
      </c>
      <c r="CS153" s="1">
        <f t="array" ref="CS153">SUMPRODUCT($H153:$Y153,(TRANSPOSE(CS$2:CS$19)))</f>
        <v>200</v>
      </c>
      <c r="CT153" s="1">
        <f t="array" ref="CT153">SUMPRODUCT($H153:$Y153,(TRANSPOSE(CT$2:CT$19)))</f>
        <v>240</v>
      </c>
      <c r="CU153" s="1">
        <f t="array" ref="CU153">SUMPRODUCT($H153:$Y153,(TRANSPOSE(CU$2:CU$19)))</f>
        <v>280</v>
      </c>
      <c r="CV153" s="1">
        <f t="array" ref="CV153">SUMPRODUCT($H153:$Y153,(TRANSPOSE(CV$2:CV$19)))</f>
        <v>320</v>
      </c>
      <c r="CW153" s="1">
        <f t="array" ref="CW153">SUMPRODUCT($H153:$Y153,(TRANSPOSE(CW$2:CW$19)))</f>
        <v>360</v>
      </c>
      <c r="CX153" s="1">
        <f t="array" ref="CX153">SUMPRODUCT($H153:$Y153,(TRANSPOSE(CX$2:CX$19)))</f>
        <v>400</v>
      </c>
      <c r="CY153" s="1">
        <f t="array" ref="CY153">SUMPRODUCT($H153:$Y153,(TRANSPOSE(CY$2:CY$19)))</f>
        <v>440</v>
      </c>
      <c r="CZ153" s="1">
        <f t="array" ref="CZ153">SUMPRODUCT($H153:$Y153,(TRANSPOSE(CZ$2:CZ$19)))</f>
        <v>480</v>
      </c>
      <c r="DA153" s="1">
        <f t="array" ref="DA153">SUMPRODUCT($H153:$Y153,(TRANSPOSE(DA$2:DA$19)))</f>
        <v>520</v>
      </c>
      <c r="DB153" s="1">
        <f t="array" ref="DB153">SUMPRODUCT($H153:$Y153,(TRANSPOSE(DB$2:DB$19)))</f>
        <v>0</v>
      </c>
      <c r="DC153" s="1">
        <f t="array" ref="DC153">SUMPRODUCT($H153:$Y153,(TRANSPOSE(DC$2:DC$19)))</f>
        <v>0</v>
      </c>
      <c r="DD153" s="1">
        <f t="array" ref="DD153">SUMPRODUCT($H153:$Y153,(TRANSPOSE(DD$2:DD$19)))</f>
        <v>0</v>
      </c>
    </row>
    <row r="154" spans="1:108" x14ac:dyDescent="0.2">
      <c r="A154" s="1">
        <v>169</v>
      </c>
      <c r="B154" s="10" t="s">
        <v>546</v>
      </c>
      <c r="C154" s="1" t="s">
        <v>22</v>
      </c>
      <c r="D154" s="1">
        <v>732191549</v>
      </c>
      <c r="F154" s="1" t="s">
        <v>545</v>
      </c>
      <c r="G154" s="1" t="s">
        <v>125</v>
      </c>
      <c r="H154" s="1">
        <v>0</v>
      </c>
      <c r="I154" s="1">
        <v>0</v>
      </c>
      <c r="J154" s="1">
        <v>0</v>
      </c>
      <c r="K154" s="1">
        <v>0</v>
      </c>
      <c r="L154" s="1">
        <v>0.05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f>SUM(H154:Y154)</f>
        <v>0.05</v>
      </c>
      <c r="AA154" s="1">
        <f>SUMPRODUCT(H154:Y154,$H$16:$Y$16)</f>
        <v>45.5</v>
      </c>
      <c r="AB154" s="1" t="s">
        <v>18</v>
      </c>
      <c r="AC154" s="17">
        <v>0</v>
      </c>
      <c r="AD154" s="9"/>
      <c r="AE154" s="1" t="s">
        <v>19</v>
      </c>
      <c r="AF154" s="1">
        <f>AC154</f>
        <v>0</v>
      </c>
      <c r="AG154" s="1">
        <v>1</v>
      </c>
      <c r="AH154" s="1">
        <v>1</v>
      </c>
      <c r="AI154" s="1" t="s">
        <v>18</v>
      </c>
      <c r="AJ154" s="1" t="s">
        <v>18</v>
      </c>
      <c r="AK154" s="1" t="s">
        <v>18</v>
      </c>
      <c r="AL154" s="1" t="s">
        <v>18</v>
      </c>
      <c r="AM154" s="1" t="s">
        <v>18</v>
      </c>
      <c r="AN154" s="2" t="s">
        <v>18</v>
      </c>
      <c r="BO154" s="1">
        <f>SUM($AP154,$AQ154:AQ154)-SUM($CK154:CL154)</f>
        <v>0</v>
      </c>
      <c r="BP154" s="1">
        <f>SUM($AP154,$AQ154:AR154)-SUM($CK154:CM154)</f>
        <v>0</v>
      </c>
      <c r="BQ154" s="1">
        <f>SUM($AP154,$AQ154:AS154)-SUM($CK154:CN154)</f>
        <v>-0.5</v>
      </c>
      <c r="BR154" s="1">
        <f>SUM($AP154,$AQ154:AT154)-SUM($CK154:CO154)</f>
        <v>-1.5</v>
      </c>
      <c r="BS154" s="1">
        <f>SUM($AP154,$AQ154:AU154)-SUM($CK154:CP154)</f>
        <v>-3</v>
      </c>
      <c r="BT154" s="1">
        <f>SUM($AP154,$AQ154:AV154)-SUM($CK154:CQ154)</f>
        <v>-5</v>
      </c>
      <c r="BU154" s="1">
        <f>SUM($AP154,$AQ154:AW154)-SUM($CK154:CR154)</f>
        <v>-7.5</v>
      </c>
      <c r="BV154" s="1">
        <f>SUM($AP154,$AQ154:AX154)-SUM($CK154:CS154)</f>
        <v>-10.5</v>
      </c>
      <c r="BW154" s="1">
        <f>SUM($AP154,$AQ154:AY154)-SUM($CK154:CT154)</f>
        <v>-14</v>
      </c>
      <c r="BX154" s="1">
        <f>SUM($AP154,$AQ154:AZ154)-SUM($CK154:CU154)</f>
        <v>-18</v>
      </c>
      <c r="BY154" s="1">
        <f>SUM($AP154,$AQ154:BA154)-SUM($CK154:CV154)</f>
        <v>-22.5</v>
      </c>
      <c r="BZ154" s="1">
        <f>SUM($AP154,$AQ154:BB154)-SUM($CK154:CW154)</f>
        <v>-27.5</v>
      </c>
      <c r="CA154" s="1">
        <f>SUM($AP154,$AQ154:BC154)-SUM($CK154:CX154)</f>
        <v>-33</v>
      </c>
      <c r="CB154" s="1">
        <f>SUM($AP154,$AQ154:BD154)-SUM($CK154:CY154)</f>
        <v>-39</v>
      </c>
      <c r="CC154" s="1">
        <f>SUM($AP154,$AQ154:BE154)-SUM($CK154:CZ154)</f>
        <v>-45.5</v>
      </c>
      <c r="CD154" s="1">
        <f>SUM($AP154,$AQ154:BF154)-SUM($CK154:DA154)</f>
        <v>-45.5</v>
      </c>
      <c r="CE154" s="1">
        <f>SUM($AP154,$AQ154:BG154)-SUM($CK154:DB154)</f>
        <v>-45.5</v>
      </c>
      <c r="CF154" s="1">
        <f>SUM($AP154,$AQ154:BH154)-SUM($CK154:DC154)</f>
        <v>-45.5</v>
      </c>
      <c r="CG154" s="1">
        <f>SUM($AP154,$AQ154:BI154)-SUM($CK154:DD154)</f>
        <v>-45.5</v>
      </c>
      <c r="CK154" s="1">
        <f t="array" ref="CK154">SUMPRODUCT($H154:$Y154,(TRANSPOSE(CK$2:CK$19)))</f>
        <v>0</v>
      </c>
      <c r="CL154" s="1">
        <f t="array" ref="CL154">SUMPRODUCT($H154:$Y154,(TRANSPOSE(CL$2:CL$19)))</f>
        <v>0</v>
      </c>
      <c r="CM154" s="1">
        <f t="array" ref="CM154">SUMPRODUCT($H154:$Y154,(TRANSPOSE(CM$2:CM$19)))</f>
        <v>0</v>
      </c>
      <c r="CN154" s="1">
        <f t="array" ref="CN154">SUMPRODUCT($H154:$Y154,(TRANSPOSE(CN$2:CN$19)))</f>
        <v>0.5</v>
      </c>
      <c r="CO154" s="1">
        <f t="array" ref="CO154">SUMPRODUCT($H154:$Y154,(TRANSPOSE(CO$2:CO$19)))</f>
        <v>1</v>
      </c>
      <c r="CP154" s="1">
        <f t="array" ref="CP154">SUMPRODUCT($H154:$Y154,(TRANSPOSE(CP$2:CP$19)))</f>
        <v>1.5</v>
      </c>
      <c r="CQ154" s="1">
        <f t="array" ref="CQ154">SUMPRODUCT($H154:$Y154,(TRANSPOSE(CQ$2:CQ$19)))</f>
        <v>2</v>
      </c>
      <c r="CR154" s="1">
        <f t="array" ref="CR154">SUMPRODUCT($H154:$Y154,(TRANSPOSE(CR$2:CR$19)))</f>
        <v>2.5</v>
      </c>
      <c r="CS154" s="1">
        <f t="array" ref="CS154">SUMPRODUCT($H154:$Y154,(TRANSPOSE(CS$2:CS$19)))</f>
        <v>3</v>
      </c>
      <c r="CT154" s="1">
        <f t="array" ref="CT154">SUMPRODUCT($H154:$Y154,(TRANSPOSE(CT$2:CT$19)))</f>
        <v>3.5</v>
      </c>
      <c r="CU154" s="1">
        <f t="array" ref="CU154">SUMPRODUCT($H154:$Y154,(TRANSPOSE(CU$2:CU$19)))</f>
        <v>4</v>
      </c>
      <c r="CV154" s="1">
        <f t="array" ref="CV154">SUMPRODUCT($H154:$Y154,(TRANSPOSE(CV$2:CV$19)))</f>
        <v>4.5</v>
      </c>
      <c r="CW154" s="1">
        <f t="array" ref="CW154">SUMPRODUCT($H154:$Y154,(TRANSPOSE(CW$2:CW$19)))</f>
        <v>5</v>
      </c>
      <c r="CX154" s="1">
        <f t="array" ref="CX154">SUMPRODUCT($H154:$Y154,(TRANSPOSE(CX$2:CX$19)))</f>
        <v>5.5</v>
      </c>
      <c r="CY154" s="1">
        <f t="array" ref="CY154">SUMPRODUCT($H154:$Y154,(TRANSPOSE(CY$2:CY$19)))</f>
        <v>6</v>
      </c>
      <c r="CZ154" s="1">
        <f t="array" ref="CZ154">SUMPRODUCT($H154:$Y154,(TRANSPOSE(CZ$2:CZ$19)))</f>
        <v>6.5</v>
      </c>
      <c r="DA154" s="1">
        <f t="array" ref="DA154">SUMPRODUCT($H154:$Y154,(TRANSPOSE(DA$2:DA$19)))</f>
        <v>0</v>
      </c>
      <c r="DB154" s="1">
        <f t="array" ref="DB154">SUMPRODUCT($H154:$Y154,(TRANSPOSE(DB$2:DB$19)))</f>
        <v>0</v>
      </c>
      <c r="DC154" s="1">
        <f t="array" ref="DC154">SUMPRODUCT($H154:$Y154,(TRANSPOSE(DC$2:DC$19)))</f>
        <v>0</v>
      </c>
      <c r="DD154" s="1">
        <f t="array" ref="DD154">SUMPRODUCT($H154:$Y154,(TRANSPOSE(DD$2:DD$19)))</f>
        <v>0</v>
      </c>
    </row>
    <row r="155" spans="1:108" x14ac:dyDescent="0.2">
      <c r="A155" s="1">
        <v>171</v>
      </c>
      <c r="B155" s="10" t="s">
        <v>544</v>
      </c>
      <c r="C155" s="1" t="s">
        <v>22</v>
      </c>
      <c r="D155" s="1">
        <v>401018376</v>
      </c>
      <c r="F155" s="1" t="s">
        <v>543</v>
      </c>
      <c r="G155" s="1" t="s">
        <v>20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2</v>
      </c>
      <c r="V155" s="1">
        <v>0</v>
      </c>
      <c r="W155" s="1">
        <v>0</v>
      </c>
      <c r="X155" s="1">
        <v>0</v>
      </c>
      <c r="Y155" s="1">
        <v>2</v>
      </c>
      <c r="Z155" s="1">
        <f>SUM(H155:Y155)</f>
        <v>4</v>
      </c>
      <c r="AA155" s="1">
        <f>SUMPRODUCT(H155:Y155,$H$16:$Y$16)</f>
        <v>3640</v>
      </c>
      <c r="AB155" s="1" t="s">
        <v>542</v>
      </c>
      <c r="AC155" s="1">
        <v>1.38</v>
      </c>
      <c r="AD155" s="9"/>
      <c r="AE155" s="1" t="s">
        <v>28</v>
      </c>
      <c r="AF155" s="1">
        <f>AC155</f>
        <v>1.38</v>
      </c>
      <c r="AG155" s="1">
        <v>90</v>
      </c>
      <c r="AH155" s="1">
        <v>90</v>
      </c>
      <c r="AI155" s="1">
        <v>19</v>
      </c>
      <c r="AJ155" s="14" t="s">
        <v>156</v>
      </c>
      <c r="AK155" s="1" t="s">
        <v>541</v>
      </c>
      <c r="AN155" s="2"/>
      <c r="BO155" s="1">
        <f>SUM($AP155,$AQ155:AQ155)-SUM($CK155:CL155)</f>
        <v>0</v>
      </c>
      <c r="BP155" s="1">
        <f>SUM($AP155,$AQ155:AR155)-SUM($CK155:CM155)</f>
        <v>0</v>
      </c>
      <c r="BQ155" s="1">
        <f>SUM($AP155,$AQ155:AS155)-SUM($CK155:CN155)</f>
        <v>0</v>
      </c>
      <c r="BR155" s="1">
        <f>SUM($AP155,$AQ155:AT155)-SUM($CK155:CO155)</f>
        <v>-40</v>
      </c>
      <c r="BS155" s="1">
        <f>SUM($AP155,$AQ155:AU155)-SUM($CK155:CP155)</f>
        <v>-120</v>
      </c>
      <c r="BT155" s="1">
        <f>SUM($AP155,$AQ155:AV155)-SUM($CK155:CQ155)</f>
        <v>-240</v>
      </c>
      <c r="BU155" s="1">
        <f>SUM($AP155,$AQ155:AW155)-SUM($CK155:CR155)</f>
        <v>-400</v>
      </c>
      <c r="BV155" s="1">
        <f>SUM($AP155,$AQ155:AX155)-SUM($CK155:CS155)</f>
        <v>-600</v>
      </c>
      <c r="BW155" s="1">
        <f>SUM($AP155,$AQ155:AY155)-SUM($CK155:CT155)</f>
        <v>-840</v>
      </c>
      <c r="BX155" s="1">
        <f>SUM($AP155,$AQ155:AZ155)-SUM($CK155:CU155)</f>
        <v>-1120</v>
      </c>
      <c r="BY155" s="1">
        <f>SUM($AP155,$AQ155:BA155)-SUM($CK155:CV155)</f>
        <v>-1440</v>
      </c>
      <c r="BZ155" s="1">
        <f>SUM($AP155,$AQ155:BB155)-SUM($CK155:CW155)</f>
        <v>-1800</v>
      </c>
      <c r="CA155" s="1">
        <f>SUM($AP155,$AQ155:BC155)-SUM($CK155:CX155)</f>
        <v>-2200</v>
      </c>
      <c r="CB155" s="1">
        <f>SUM($AP155,$AQ155:BD155)-SUM($CK155:CY155)</f>
        <v>-2640</v>
      </c>
      <c r="CC155" s="1">
        <f>SUM($AP155,$AQ155:BE155)-SUM($CK155:CZ155)</f>
        <v>-3120</v>
      </c>
      <c r="CD155" s="1">
        <f>SUM($AP155,$AQ155:BF155)-SUM($CK155:DA155)</f>
        <v>-3640</v>
      </c>
      <c r="CE155" s="1">
        <f>SUM($AP155,$AQ155:BG155)-SUM($CK155:DB155)</f>
        <v>-3640</v>
      </c>
      <c r="CF155" s="1">
        <f>SUM($AP155,$AQ155:BH155)-SUM($CK155:DC155)</f>
        <v>-3640</v>
      </c>
      <c r="CG155" s="1">
        <f>SUM($AP155,$AQ155:BI155)-SUM($CK155:DD155)</f>
        <v>-3640</v>
      </c>
      <c r="CK155" s="1">
        <f t="array" ref="CK155">SUMPRODUCT($H155:$Y155,(TRANSPOSE(CK$2:CK$19)))</f>
        <v>0</v>
      </c>
      <c r="CL155" s="1">
        <f t="array" ref="CL155">SUMPRODUCT($H155:$Y155,(TRANSPOSE(CL$2:CL$19)))</f>
        <v>0</v>
      </c>
      <c r="CM155" s="1">
        <f t="array" ref="CM155">SUMPRODUCT($H155:$Y155,(TRANSPOSE(CM$2:CM$19)))</f>
        <v>0</v>
      </c>
      <c r="CN155" s="1">
        <f t="array" ref="CN155">SUMPRODUCT($H155:$Y155,(TRANSPOSE(CN$2:CN$19)))</f>
        <v>0</v>
      </c>
      <c r="CO155" s="1">
        <f t="array" ref="CO155">SUMPRODUCT($H155:$Y155,(TRANSPOSE(CO$2:CO$19)))</f>
        <v>40</v>
      </c>
      <c r="CP155" s="1">
        <f t="array" ref="CP155">SUMPRODUCT($H155:$Y155,(TRANSPOSE(CP$2:CP$19)))</f>
        <v>80</v>
      </c>
      <c r="CQ155" s="1">
        <f t="array" ref="CQ155">SUMPRODUCT($H155:$Y155,(TRANSPOSE(CQ$2:CQ$19)))</f>
        <v>120</v>
      </c>
      <c r="CR155" s="1">
        <f t="array" ref="CR155">SUMPRODUCT($H155:$Y155,(TRANSPOSE(CR$2:CR$19)))</f>
        <v>160</v>
      </c>
      <c r="CS155" s="1">
        <f t="array" ref="CS155">SUMPRODUCT($H155:$Y155,(TRANSPOSE(CS$2:CS$19)))</f>
        <v>200</v>
      </c>
      <c r="CT155" s="1">
        <f t="array" ref="CT155">SUMPRODUCT($H155:$Y155,(TRANSPOSE(CT$2:CT$19)))</f>
        <v>240</v>
      </c>
      <c r="CU155" s="1">
        <f t="array" ref="CU155">SUMPRODUCT($H155:$Y155,(TRANSPOSE(CU$2:CU$19)))</f>
        <v>280</v>
      </c>
      <c r="CV155" s="1">
        <f t="array" ref="CV155">SUMPRODUCT($H155:$Y155,(TRANSPOSE(CV$2:CV$19)))</f>
        <v>320</v>
      </c>
      <c r="CW155" s="1">
        <f t="array" ref="CW155">SUMPRODUCT($H155:$Y155,(TRANSPOSE(CW$2:CW$19)))</f>
        <v>360</v>
      </c>
      <c r="CX155" s="1">
        <f t="array" ref="CX155">SUMPRODUCT($H155:$Y155,(TRANSPOSE(CX$2:CX$19)))</f>
        <v>400</v>
      </c>
      <c r="CY155" s="1">
        <f t="array" ref="CY155">SUMPRODUCT($H155:$Y155,(TRANSPOSE(CY$2:CY$19)))</f>
        <v>440</v>
      </c>
      <c r="CZ155" s="1">
        <f t="array" ref="CZ155">SUMPRODUCT($H155:$Y155,(TRANSPOSE(CZ$2:CZ$19)))</f>
        <v>480</v>
      </c>
      <c r="DA155" s="1">
        <f t="array" ref="DA155">SUMPRODUCT($H155:$Y155,(TRANSPOSE(DA$2:DA$19)))</f>
        <v>520</v>
      </c>
      <c r="DB155" s="1">
        <f t="array" ref="DB155">SUMPRODUCT($H155:$Y155,(TRANSPOSE(DB$2:DB$19)))</f>
        <v>0</v>
      </c>
      <c r="DC155" s="1">
        <f t="array" ref="DC155">SUMPRODUCT($H155:$Y155,(TRANSPOSE(DC$2:DC$19)))</f>
        <v>0</v>
      </c>
      <c r="DD155" s="1">
        <f t="array" ref="DD155">SUMPRODUCT($H155:$Y155,(TRANSPOSE(DD$2:DD$19)))</f>
        <v>0</v>
      </c>
    </row>
    <row r="156" spans="1:108" x14ac:dyDescent="0.2">
      <c r="A156" s="1">
        <v>172</v>
      </c>
      <c r="B156" s="10" t="s">
        <v>540</v>
      </c>
      <c r="C156" s="1" t="s">
        <v>22</v>
      </c>
      <c r="D156" s="1">
        <v>417083260</v>
      </c>
      <c r="E156" s="1">
        <v>403846526</v>
      </c>
      <c r="F156" s="1" t="s">
        <v>539</v>
      </c>
      <c r="G156" s="1" t="s">
        <v>20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68</v>
      </c>
      <c r="Y156" s="1">
        <v>0</v>
      </c>
      <c r="Z156" s="1">
        <f>SUM(H156:Y156)</f>
        <v>68</v>
      </c>
      <c r="AA156" s="1">
        <f>SUMPRODUCT(H156:Y156,$H$16:$Y$16)</f>
        <v>61880</v>
      </c>
      <c r="AB156" s="1" t="s">
        <v>538</v>
      </c>
      <c r="AC156" s="1">
        <v>0.36</v>
      </c>
      <c r="AD156" s="9"/>
      <c r="AE156" s="1" t="s">
        <v>28</v>
      </c>
      <c r="AF156" s="1">
        <f>AC156</f>
        <v>0.36</v>
      </c>
      <c r="AG156" s="1">
        <v>500</v>
      </c>
      <c r="AH156" s="1">
        <v>500</v>
      </c>
      <c r="AI156" s="1">
        <v>20</v>
      </c>
      <c r="AK156" s="1" t="s">
        <v>264</v>
      </c>
      <c r="AL156" s="1" t="s">
        <v>537</v>
      </c>
      <c r="AM156" s="1" t="s">
        <v>262</v>
      </c>
      <c r="AN156" s="2" t="s">
        <v>536</v>
      </c>
      <c r="BO156" s="1">
        <f>SUM($AP156,$AQ156:AQ156)-SUM($CK156:CL156)</f>
        <v>0</v>
      </c>
      <c r="BP156" s="1">
        <f>SUM($AP156,$AQ156:AR156)-SUM($CK156:CM156)</f>
        <v>0</v>
      </c>
      <c r="BQ156" s="1">
        <f>SUM($AP156,$AQ156:AS156)-SUM($CK156:CN156)</f>
        <v>0</v>
      </c>
      <c r="BR156" s="1">
        <f>SUM($AP156,$AQ156:AT156)-SUM($CK156:CO156)</f>
        <v>-680</v>
      </c>
      <c r="BS156" s="1">
        <f>SUM($AP156,$AQ156:AU156)-SUM($CK156:CP156)</f>
        <v>-2040</v>
      </c>
      <c r="BT156" s="1">
        <f>SUM($AP156,$AQ156:AV156)-SUM($CK156:CQ156)</f>
        <v>-4080</v>
      </c>
      <c r="BU156" s="1">
        <f>SUM($AP156,$AQ156:AW156)-SUM($CK156:CR156)</f>
        <v>-6800</v>
      </c>
      <c r="BV156" s="1">
        <f>SUM($AP156,$AQ156:AX156)-SUM($CK156:CS156)</f>
        <v>-10200</v>
      </c>
      <c r="BW156" s="1">
        <f>SUM($AP156,$AQ156:AY156)-SUM($CK156:CT156)</f>
        <v>-14280</v>
      </c>
      <c r="BX156" s="1">
        <f>SUM($AP156,$AQ156:AZ156)-SUM($CK156:CU156)</f>
        <v>-19040</v>
      </c>
      <c r="BY156" s="1">
        <f>SUM($AP156,$AQ156:BA156)-SUM($CK156:CV156)</f>
        <v>-24480</v>
      </c>
      <c r="BZ156" s="1">
        <f>SUM($AP156,$AQ156:BB156)-SUM($CK156:CW156)</f>
        <v>-30600</v>
      </c>
      <c r="CA156" s="1">
        <f>SUM($AP156,$AQ156:BC156)-SUM($CK156:CX156)</f>
        <v>-37400</v>
      </c>
      <c r="CB156" s="1">
        <f>SUM($AP156,$AQ156:BD156)-SUM($CK156:CY156)</f>
        <v>-44880</v>
      </c>
      <c r="CC156" s="1">
        <f>SUM($AP156,$AQ156:BE156)-SUM($CK156:CZ156)</f>
        <v>-53040</v>
      </c>
      <c r="CD156" s="1">
        <f>SUM($AP156,$AQ156:BF156)-SUM($CK156:DA156)</f>
        <v>-61880</v>
      </c>
      <c r="CE156" s="1">
        <f>SUM($AP156,$AQ156:BG156)-SUM($CK156:DB156)</f>
        <v>-61880</v>
      </c>
      <c r="CF156" s="1">
        <f>SUM($AP156,$AQ156:BH156)-SUM($CK156:DC156)</f>
        <v>-61880</v>
      </c>
      <c r="CG156" s="1">
        <f>SUM($AP156,$AQ156:BI156)-SUM($CK156:DD156)</f>
        <v>-61880</v>
      </c>
      <c r="CK156" s="1">
        <f t="array" ref="CK156">SUMPRODUCT($H156:$Y156,(TRANSPOSE(CK$2:CK$19)))</f>
        <v>0</v>
      </c>
      <c r="CL156" s="1">
        <f t="array" ref="CL156">SUMPRODUCT($H156:$Y156,(TRANSPOSE(CL$2:CL$19)))</f>
        <v>0</v>
      </c>
      <c r="CM156" s="1">
        <f t="array" ref="CM156">SUMPRODUCT($H156:$Y156,(TRANSPOSE(CM$2:CM$19)))</f>
        <v>0</v>
      </c>
      <c r="CN156" s="1">
        <f t="array" ref="CN156">SUMPRODUCT($H156:$Y156,(TRANSPOSE(CN$2:CN$19)))</f>
        <v>0</v>
      </c>
      <c r="CO156" s="1">
        <f t="array" ref="CO156">SUMPRODUCT($H156:$Y156,(TRANSPOSE(CO$2:CO$19)))</f>
        <v>680</v>
      </c>
      <c r="CP156" s="1">
        <f t="array" ref="CP156">SUMPRODUCT($H156:$Y156,(TRANSPOSE(CP$2:CP$19)))</f>
        <v>1360</v>
      </c>
      <c r="CQ156" s="1">
        <f t="array" ref="CQ156">SUMPRODUCT($H156:$Y156,(TRANSPOSE(CQ$2:CQ$19)))</f>
        <v>2040</v>
      </c>
      <c r="CR156" s="1">
        <f t="array" ref="CR156">SUMPRODUCT($H156:$Y156,(TRANSPOSE(CR$2:CR$19)))</f>
        <v>2720</v>
      </c>
      <c r="CS156" s="1">
        <f t="array" ref="CS156">SUMPRODUCT($H156:$Y156,(TRANSPOSE(CS$2:CS$19)))</f>
        <v>3400</v>
      </c>
      <c r="CT156" s="1">
        <f t="array" ref="CT156">SUMPRODUCT($H156:$Y156,(TRANSPOSE(CT$2:CT$19)))</f>
        <v>4080</v>
      </c>
      <c r="CU156" s="1">
        <f t="array" ref="CU156">SUMPRODUCT($H156:$Y156,(TRANSPOSE(CU$2:CU$19)))</f>
        <v>4760</v>
      </c>
      <c r="CV156" s="1">
        <f t="array" ref="CV156">SUMPRODUCT($H156:$Y156,(TRANSPOSE(CV$2:CV$19)))</f>
        <v>5440</v>
      </c>
      <c r="CW156" s="1">
        <f t="array" ref="CW156">SUMPRODUCT($H156:$Y156,(TRANSPOSE(CW$2:CW$19)))</f>
        <v>6120</v>
      </c>
      <c r="CX156" s="1">
        <f t="array" ref="CX156">SUMPRODUCT($H156:$Y156,(TRANSPOSE(CX$2:CX$19)))</f>
        <v>6800</v>
      </c>
      <c r="CY156" s="1">
        <f t="array" ref="CY156">SUMPRODUCT($H156:$Y156,(TRANSPOSE(CY$2:CY$19)))</f>
        <v>7480</v>
      </c>
      <c r="CZ156" s="1">
        <f t="array" ref="CZ156">SUMPRODUCT($H156:$Y156,(TRANSPOSE(CZ$2:CZ$19)))</f>
        <v>8160</v>
      </c>
      <c r="DA156" s="1">
        <f t="array" ref="DA156">SUMPRODUCT($H156:$Y156,(TRANSPOSE(DA$2:DA$19)))</f>
        <v>8840</v>
      </c>
      <c r="DB156" s="1">
        <f t="array" ref="DB156">SUMPRODUCT($H156:$Y156,(TRANSPOSE(DB$2:DB$19)))</f>
        <v>0</v>
      </c>
      <c r="DC156" s="1">
        <f t="array" ref="DC156">SUMPRODUCT($H156:$Y156,(TRANSPOSE(DC$2:DC$19)))</f>
        <v>0</v>
      </c>
      <c r="DD156" s="1">
        <f t="array" ref="DD156">SUMPRODUCT($H156:$Y156,(TRANSPOSE(DD$2:DD$19)))</f>
        <v>0</v>
      </c>
    </row>
    <row r="157" spans="1:108" x14ac:dyDescent="0.2">
      <c r="A157" s="1">
        <v>173</v>
      </c>
      <c r="B157" s="10" t="s">
        <v>535</v>
      </c>
      <c r="C157" s="1" t="s">
        <v>22</v>
      </c>
      <c r="D157" s="1">
        <v>400043186</v>
      </c>
      <c r="F157" s="1" t="s">
        <v>534</v>
      </c>
      <c r="G157" s="1" t="s">
        <v>20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278</v>
      </c>
      <c r="U157" s="1">
        <v>0</v>
      </c>
      <c r="V157" s="1">
        <v>0</v>
      </c>
      <c r="W157" s="1">
        <v>0</v>
      </c>
      <c r="X157" s="1">
        <v>278</v>
      </c>
      <c r="Y157" s="1">
        <v>0</v>
      </c>
      <c r="Z157" s="1">
        <f>SUM(H157:Y157)</f>
        <v>556</v>
      </c>
      <c r="AA157" s="1">
        <f>SUMPRODUCT(H157:Y157,$H$16:$Y$16)</f>
        <v>505960</v>
      </c>
      <c r="AB157" s="1" t="s">
        <v>165</v>
      </c>
      <c r="AC157" s="1">
        <v>1.2999999999999999E-2</v>
      </c>
      <c r="AD157" s="9"/>
      <c r="AE157" s="1" t="s">
        <v>28</v>
      </c>
      <c r="AF157" s="1">
        <f>AC157</f>
        <v>1.2999999999999999E-2</v>
      </c>
      <c r="AG157" s="1">
        <v>10000</v>
      </c>
      <c r="AH157" s="1">
        <v>10000</v>
      </c>
      <c r="AI157" s="1" t="s">
        <v>164</v>
      </c>
      <c r="AK157" s="1" t="s">
        <v>163</v>
      </c>
      <c r="AL157" s="1" t="s">
        <v>162</v>
      </c>
      <c r="AM157" s="1" t="s">
        <v>161</v>
      </c>
      <c r="AN157" s="2" t="s">
        <v>282</v>
      </c>
      <c r="BO157" s="1">
        <f>SUM($AP157,$AQ157:AQ157)-SUM($CK157:CL157)</f>
        <v>0</v>
      </c>
      <c r="BP157" s="1">
        <f>SUM($AP157,$AQ157:AR157)-SUM($CK157:CM157)</f>
        <v>0</v>
      </c>
      <c r="BQ157" s="1">
        <f>SUM($AP157,$AQ157:AS157)-SUM($CK157:CN157)</f>
        <v>0</v>
      </c>
      <c r="BR157" s="1">
        <f>SUM($AP157,$AQ157:AT157)-SUM($CK157:CO157)</f>
        <v>-5560</v>
      </c>
      <c r="BS157" s="1">
        <f>SUM($AP157,$AQ157:AU157)-SUM($CK157:CP157)</f>
        <v>-16680</v>
      </c>
      <c r="BT157" s="1">
        <f>SUM($AP157,$AQ157:AV157)-SUM($CK157:CQ157)</f>
        <v>-33360</v>
      </c>
      <c r="BU157" s="1">
        <f>SUM($AP157,$AQ157:AW157)-SUM($CK157:CR157)</f>
        <v>-55600</v>
      </c>
      <c r="BV157" s="1">
        <f>SUM($AP157,$AQ157:AX157)-SUM($CK157:CS157)</f>
        <v>-83400</v>
      </c>
      <c r="BW157" s="1">
        <f>SUM($AP157,$AQ157:AY157)-SUM($CK157:CT157)</f>
        <v>-116760</v>
      </c>
      <c r="BX157" s="1">
        <f>SUM($AP157,$AQ157:AZ157)-SUM($CK157:CU157)</f>
        <v>-155680</v>
      </c>
      <c r="BY157" s="1">
        <f>SUM($AP157,$AQ157:BA157)-SUM($CK157:CV157)</f>
        <v>-200160</v>
      </c>
      <c r="BZ157" s="1">
        <f>SUM($AP157,$AQ157:BB157)-SUM($CK157:CW157)</f>
        <v>-250200</v>
      </c>
      <c r="CA157" s="1">
        <f>SUM($AP157,$AQ157:BC157)-SUM($CK157:CX157)</f>
        <v>-305800</v>
      </c>
      <c r="CB157" s="1">
        <f>SUM($AP157,$AQ157:BD157)-SUM($CK157:CY157)</f>
        <v>-366960</v>
      </c>
      <c r="CC157" s="1">
        <f>SUM($AP157,$AQ157:BE157)-SUM($CK157:CZ157)</f>
        <v>-433680</v>
      </c>
      <c r="CD157" s="1">
        <f>SUM($AP157,$AQ157:BF157)-SUM($CK157:DA157)</f>
        <v>-505960</v>
      </c>
      <c r="CE157" s="1">
        <f>SUM($AP157,$AQ157:BG157)-SUM($CK157:DB157)</f>
        <v>-505960</v>
      </c>
      <c r="CF157" s="1">
        <f>SUM($AP157,$AQ157:BH157)-SUM($CK157:DC157)</f>
        <v>-505960</v>
      </c>
      <c r="CG157" s="1">
        <f>SUM($AP157,$AQ157:BI157)-SUM($CK157:DD157)</f>
        <v>-505960</v>
      </c>
      <c r="CK157" s="1">
        <f t="array" ref="CK157">SUMPRODUCT($H157:$Y157,(TRANSPOSE(CK$2:CK$19)))</f>
        <v>0</v>
      </c>
      <c r="CL157" s="1">
        <f t="array" ref="CL157">SUMPRODUCT($H157:$Y157,(TRANSPOSE(CL$2:CL$19)))</f>
        <v>0</v>
      </c>
      <c r="CM157" s="1">
        <f t="array" ref="CM157">SUMPRODUCT($H157:$Y157,(TRANSPOSE(CM$2:CM$19)))</f>
        <v>0</v>
      </c>
      <c r="CN157" s="1">
        <f t="array" ref="CN157">SUMPRODUCT($H157:$Y157,(TRANSPOSE(CN$2:CN$19)))</f>
        <v>0</v>
      </c>
      <c r="CO157" s="1">
        <f t="array" ref="CO157">SUMPRODUCT($H157:$Y157,(TRANSPOSE(CO$2:CO$19)))</f>
        <v>5560</v>
      </c>
      <c r="CP157" s="1">
        <f t="array" ref="CP157">SUMPRODUCT($H157:$Y157,(TRANSPOSE(CP$2:CP$19)))</f>
        <v>11120</v>
      </c>
      <c r="CQ157" s="1">
        <f t="array" ref="CQ157">SUMPRODUCT($H157:$Y157,(TRANSPOSE(CQ$2:CQ$19)))</f>
        <v>16680</v>
      </c>
      <c r="CR157" s="1">
        <f t="array" ref="CR157">SUMPRODUCT($H157:$Y157,(TRANSPOSE(CR$2:CR$19)))</f>
        <v>22240</v>
      </c>
      <c r="CS157" s="1">
        <f t="array" ref="CS157">SUMPRODUCT($H157:$Y157,(TRANSPOSE(CS$2:CS$19)))</f>
        <v>27800</v>
      </c>
      <c r="CT157" s="1">
        <f t="array" ref="CT157">SUMPRODUCT($H157:$Y157,(TRANSPOSE(CT$2:CT$19)))</f>
        <v>33360</v>
      </c>
      <c r="CU157" s="1">
        <f t="array" ref="CU157">SUMPRODUCT($H157:$Y157,(TRANSPOSE(CU$2:CU$19)))</f>
        <v>38920</v>
      </c>
      <c r="CV157" s="1">
        <f t="array" ref="CV157">SUMPRODUCT($H157:$Y157,(TRANSPOSE(CV$2:CV$19)))</f>
        <v>44480</v>
      </c>
      <c r="CW157" s="1">
        <f t="array" ref="CW157">SUMPRODUCT($H157:$Y157,(TRANSPOSE(CW$2:CW$19)))</f>
        <v>50040</v>
      </c>
      <c r="CX157" s="1">
        <f t="array" ref="CX157">SUMPRODUCT($H157:$Y157,(TRANSPOSE(CX$2:CX$19)))</f>
        <v>55600</v>
      </c>
      <c r="CY157" s="1">
        <f t="array" ref="CY157">SUMPRODUCT($H157:$Y157,(TRANSPOSE(CY$2:CY$19)))</f>
        <v>61160</v>
      </c>
      <c r="CZ157" s="1">
        <f t="array" ref="CZ157">SUMPRODUCT($H157:$Y157,(TRANSPOSE(CZ$2:CZ$19)))</f>
        <v>66720</v>
      </c>
      <c r="DA157" s="1">
        <f t="array" ref="DA157">SUMPRODUCT($H157:$Y157,(TRANSPOSE(DA$2:DA$19)))</f>
        <v>72280</v>
      </c>
      <c r="DB157" s="1">
        <f t="array" ref="DB157">SUMPRODUCT($H157:$Y157,(TRANSPOSE(DB$2:DB$19)))</f>
        <v>0</v>
      </c>
      <c r="DC157" s="1">
        <f t="array" ref="DC157">SUMPRODUCT($H157:$Y157,(TRANSPOSE(DC$2:DC$19)))</f>
        <v>0</v>
      </c>
      <c r="DD157" s="1">
        <f t="array" ref="DD157">SUMPRODUCT($H157:$Y157,(TRANSPOSE(DD$2:DD$19)))</f>
        <v>0</v>
      </c>
    </row>
    <row r="158" spans="1:108" x14ac:dyDescent="0.2">
      <c r="A158" s="1">
        <v>174</v>
      </c>
      <c r="B158" s="10" t="s">
        <v>533</v>
      </c>
      <c r="C158" s="1" t="s">
        <v>22</v>
      </c>
      <c r="D158" s="1">
        <v>400112300</v>
      </c>
      <c r="F158" s="1" t="s">
        <v>532</v>
      </c>
      <c r="G158" s="1" t="s">
        <v>20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122</v>
      </c>
      <c r="U158" s="1">
        <v>0</v>
      </c>
      <c r="V158" s="1">
        <v>0</v>
      </c>
      <c r="W158" s="1">
        <v>0</v>
      </c>
      <c r="X158" s="1">
        <v>122</v>
      </c>
      <c r="Y158" s="1">
        <v>0</v>
      </c>
      <c r="Z158" s="1">
        <f>SUM(H158:Y158)</f>
        <v>244</v>
      </c>
      <c r="AA158" s="1">
        <f>SUMPRODUCT(H158:Y158,$H$16:$Y$16)</f>
        <v>222040</v>
      </c>
      <c r="AB158" s="1" t="s">
        <v>165</v>
      </c>
      <c r="AC158" s="1">
        <v>1.4999999999999999E-2</v>
      </c>
      <c r="AD158" s="9"/>
      <c r="AE158" s="1" t="s">
        <v>28</v>
      </c>
      <c r="AF158" s="1">
        <f>AC158</f>
        <v>1.4999999999999999E-2</v>
      </c>
      <c r="AG158" s="1">
        <v>10000</v>
      </c>
      <c r="AH158" s="1">
        <v>10000</v>
      </c>
      <c r="AI158" s="1" t="s">
        <v>164</v>
      </c>
      <c r="AK158" s="1" t="s">
        <v>163</v>
      </c>
      <c r="AL158" s="1" t="s">
        <v>162</v>
      </c>
      <c r="AM158" s="1" t="s">
        <v>161</v>
      </c>
      <c r="AN158" s="2" t="s">
        <v>282</v>
      </c>
      <c r="BO158" s="1">
        <f>SUM($AP158,$AQ158:AQ158)-SUM($CK158:CL158)</f>
        <v>0</v>
      </c>
      <c r="BP158" s="1">
        <f>SUM($AP158,$AQ158:AR158)-SUM($CK158:CM158)</f>
        <v>0</v>
      </c>
      <c r="BQ158" s="1">
        <f>SUM($AP158,$AQ158:AS158)-SUM($CK158:CN158)</f>
        <v>0</v>
      </c>
      <c r="BR158" s="1">
        <f>SUM($AP158,$AQ158:AT158)-SUM($CK158:CO158)</f>
        <v>-2440</v>
      </c>
      <c r="BS158" s="1">
        <f>SUM($AP158,$AQ158:AU158)-SUM($CK158:CP158)</f>
        <v>-7320</v>
      </c>
      <c r="BT158" s="1">
        <f>SUM($AP158,$AQ158:AV158)-SUM($CK158:CQ158)</f>
        <v>-14640</v>
      </c>
      <c r="BU158" s="1">
        <f>SUM($AP158,$AQ158:AW158)-SUM($CK158:CR158)</f>
        <v>-24400</v>
      </c>
      <c r="BV158" s="1">
        <f>SUM($AP158,$AQ158:AX158)-SUM($CK158:CS158)</f>
        <v>-36600</v>
      </c>
      <c r="BW158" s="1">
        <f>SUM($AP158,$AQ158:AY158)-SUM($CK158:CT158)</f>
        <v>-51240</v>
      </c>
      <c r="BX158" s="1">
        <f>SUM($AP158,$AQ158:AZ158)-SUM($CK158:CU158)</f>
        <v>-68320</v>
      </c>
      <c r="BY158" s="1">
        <f>SUM($AP158,$AQ158:BA158)-SUM($CK158:CV158)</f>
        <v>-87840</v>
      </c>
      <c r="BZ158" s="1">
        <f>SUM($AP158,$AQ158:BB158)-SUM($CK158:CW158)</f>
        <v>-109800</v>
      </c>
      <c r="CA158" s="1">
        <f>SUM($AP158,$AQ158:BC158)-SUM($CK158:CX158)</f>
        <v>-134200</v>
      </c>
      <c r="CB158" s="1">
        <f>SUM($AP158,$AQ158:BD158)-SUM($CK158:CY158)</f>
        <v>-161040</v>
      </c>
      <c r="CC158" s="1">
        <f>SUM($AP158,$AQ158:BE158)-SUM($CK158:CZ158)</f>
        <v>-190320</v>
      </c>
      <c r="CD158" s="1">
        <f>SUM($AP158,$AQ158:BF158)-SUM($CK158:DA158)</f>
        <v>-222040</v>
      </c>
      <c r="CE158" s="1">
        <f>SUM($AP158,$AQ158:BG158)-SUM($CK158:DB158)</f>
        <v>-222040</v>
      </c>
      <c r="CF158" s="1">
        <f>SUM($AP158,$AQ158:BH158)-SUM($CK158:DC158)</f>
        <v>-222040</v>
      </c>
      <c r="CG158" s="1">
        <f>SUM($AP158,$AQ158:BI158)-SUM($CK158:DD158)</f>
        <v>-222040</v>
      </c>
      <c r="CK158" s="1">
        <f t="array" ref="CK158">SUMPRODUCT($H158:$Y158,(TRANSPOSE(CK$2:CK$19)))</f>
        <v>0</v>
      </c>
      <c r="CL158" s="1">
        <f t="array" ref="CL158">SUMPRODUCT($H158:$Y158,(TRANSPOSE(CL$2:CL$19)))</f>
        <v>0</v>
      </c>
      <c r="CM158" s="1">
        <f t="array" ref="CM158">SUMPRODUCT($H158:$Y158,(TRANSPOSE(CM$2:CM$19)))</f>
        <v>0</v>
      </c>
      <c r="CN158" s="1">
        <f t="array" ref="CN158">SUMPRODUCT($H158:$Y158,(TRANSPOSE(CN$2:CN$19)))</f>
        <v>0</v>
      </c>
      <c r="CO158" s="1">
        <f t="array" ref="CO158">SUMPRODUCT($H158:$Y158,(TRANSPOSE(CO$2:CO$19)))</f>
        <v>2440</v>
      </c>
      <c r="CP158" s="1">
        <f t="array" ref="CP158">SUMPRODUCT($H158:$Y158,(TRANSPOSE(CP$2:CP$19)))</f>
        <v>4880</v>
      </c>
      <c r="CQ158" s="1">
        <f t="array" ref="CQ158">SUMPRODUCT($H158:$Y158,(TRANSPOSE(CQ$2:CQ$19)))</f>
        <v>7320</v>
      </c>
      <c r="CR158" s="1">
        <f t="array" ref="CR158">SUMPRODUCT($H158:$Y158,(TRANSPOSE(CR$2:CR$19)))</f>
        <v>9760</v>
      </c>
      <c r="CS158" s="1">
        <f t="array" ref="CS158">SUMPRODUCT($H158:$Y158,(TRANSPOSE(CS$2:CS$19)))</f>
        <v>12200</v>
      </c>
      <c r="CT158" s="1">
        <f t="array" ref="CT158">SUMPRODUCT($H158:$Y158,(TRANSPOSE(CT$2:CT$19)))</f>
        <v>14640</v>
      </c>
      <c r="CU158" s="1">
        <f t="array" ref="CU158">SUMPRODUCT($H158:$Y158,(TRANSPOSE(CU$2:CU$19)))</f>
        <v>17080</v>
      </c>
      <c r="CV158" s="1">
        <f t="array" ref="CV158">SUMPRODUCT($H158:$Y158,(TRANSPOSE(CV$2:CV$19)))</f>
        <v>19520</v>
      </c>
      <c r="CW158" s="1">
        <f t="array" ref="CW158">SUMPRODUCT($H158:$Y158,(TRANSPOSE(CW$2:CW$19)))</f>
        <v>21960</v>
      </c>
      <c r="CX158" s="1">
        <f t="array" ref="CX158">SUMPRODUCT($H158:$Y158,(TRANSPOSE(CX$2:CX$19)))</f>
        <v>24400</v>
      </c>
      <c r="CY158" s="1">
        <f t="array" ref="CY158">SUMPRODUCT($H158:$Y158,(TRANSPOSE(CY$2:CY$19)))</f>
        <v>26840</v>
      </c>
      <c r="CZ158" s="1">
        <f t="array" ref="CZ158">SUMPRODUCT($H158:$Y158,(TRANSPOSE(CZ$2:CZ$19)))</f>
        <v>29280</v>
      </c>
      <c r="DA158" s="1">
        <f t="array" ref="DA158">SUMPRODUCT($H158:$Y158,(TRANSPOSE(DA$2:DA$19)))</f>
        <v>31720</v>
      </c>
      <c r="DB158" s="1">
        <f t="array" ref="DB158">SUMPRODUCT($H158:$Y158,(TRANSPOSE(DB$2:DB$19)))</f>
        <v>0</v>
      </c>
      <c r="DC158" s="1">
        <f t="array" ref="DC158">SUMPRODUCT($H158:$Y158,(TRANSPOSE(DC$2:DC$19)))</f>
        <v>0</v>
      </c>
      <c r="DD158" s="1">
        <f t="array" ref="DD158">SUMPRODUCT($H158:$Y158,(TRANSPOSE(DD$2:DD$19)))</f>
        <v>0</v>
      </c>
    </row>
    <row r="159" spans="1:108" x14ac:dyDescent="0.2">
      <c r="A159" s="1">
        <v>175</v>
      </c>
      <c r="B159" s="10" t="s">
        <v>531</v>
      </c>
      <c r="C159" s="1" t="s">
        <v>22</v>
      </c>
      <c r="D159" s="1" t="s">
        <v>530</v>
      </c>
      <c r="F159" s="1" t="s">
        <v>529</v>
      </c>
      <c r="G159" s="1" t="s">
        <v>20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12</v>
      </c>
      <c r="U159" s="1">
        <v>0</v>
      </c>
      <c r="V159" s="1">
        <v>0</v>
      </c>
      <c r="W159" s="1">
        <v>0</v>
      </c>
      <c r="X159" s="1">
        <v>12</v>
      </c>
      <c r="Y159" s="1">
        <v>0</v>
      </c>
      <c r="Z159" s="1">
        <f>SUM(H159:Y159)</f>
        <v>24</v>
      </c>
      <c r="AA159" s="1">
        <f>SUMPRODUCT(H159:Y159,$H$16:$Y$16)</f>
        <v>21840</v>
      </c>
      <c r="AB159" s="1" t="s">
        <v>165</v>
      </c>
      <c r="AC159" s="1">
        <v>4.4999999999999998E-2</v>
      </c>
      <c r="AD159" s="9"/>
      <c r="AE159" s="1" t="s">
        <v>28</v>
      </c>
      <c r="AF159" s="1">
        <f>AC159</f>
        <v>4.4999999999999998E-2</v>
      </c>
      <c r="AG159" s="1">
        <v>3000</v>
      </c>
      <c r="AH159" s="1">
        <v>3000</v>
      </c>
      <c r="AI159" s="1" t="s">
        <v>164</v>
      </c>
      <c r="AK159" s="1" t="s">
        <v>163</v>
      </c>
      <c r="AL159" s="1" t="s">
        <v>162</v>
      </c>
      <c r="AM159" s="1" t="s">
        <v>161</v>
      </c>
      <c r="AN159" s="2" t="s">
        <v>282</v>
      </c>
      <c r="BO159" s="1">
        <f>SUM($AP159,$AQ159:AQ159)-SUM($CK159:CL159)</f>
        <v>0</v>
      </c>
      <c r="BP159" s="1">
        <f>SUM($AP159,$AQ159:AR159)-SUM($CK159:CM159)</f>
        <v>0</v>
      </c>
      <c r="BQ159" s="1">
        <f>SUM($AP159,$AQ159:AS159)-SUM($CK159:CN159)</f>
        <v>0</v>
      </c>
      <c r="BR159" s="1">
        <f>SUM($AP159,$AQ159:AT159)-SUM($CK159:CO159)</f>
        <v>-240</v>
      </c>
      <c r="BS159" s="1">
        <f>SUM($AP159,$AQ159:AU159)-SUM($CK159:CP159)</f>
        <v>-720</v>
      </c>
      <c r="BT159" s="1">
        <f>SUM($AP159,$AQ159:AV159)-SUM($CK159:CQ159)</f>
        <v>-1440</v>
      </c>
      <c r="BU159" s="1">
        <f>SUM($AP159,$AQ159:AW159)-SUM($CK159:CR159)</f>
        <v>-2400</v>
      </c>
      <c r="BV159" s="1">
        <f>SUM($AP159,$AQ159:AX159)-SUM($CK159:CS159)</f>
        <v>-3600</v>
      </c>
      <c r="BW159" s="1">
        <f>SUM($AP159,$AQ159:AY159)-SUM($CK159:CT159)</f>
        <v>-5040</v>
      </c>
      <c r="BX159" s="1">
        <f>SUM($AP159,$AQ159:AZ159)-SUM($CK159:CU159)</f>
        <v>-6720</v>
      </c>
      <c r="BY159" s="1">
        <f>SUM($AP159,$AQ159:BA159)-SUM($CK159:CV159)</f>
        <v>-8640</v>
      </c>
      <c r="BZ159" s="1">
        <f>SUM($AP159,$AQ159:BB159)-SUM($CK159:CW159)</f>
        <v>-10800</v>
      </c>
      <c r="CA159" s="1">
        <f>SUM($AP159,$AQ159:BC159)-SUM($CK159:CX159)</f>
        <v>-13200</v>
      </c>
      <c r="CB159" s="1">
        <f>SUM($AP159,$AQ159:BD159)-SUM($CK159:CY159)</f>
        <v>-15840</v>
      </c>
      <c r="CC159" s="1">
        <f>SUM($AP159,$AQ159:BE159)-SUM($CK159:CZ159)</f>
        <v>-18720</v>
      </c>
      <c r="CD159" s="1">
        <f>SUM($AP159,$AQ159:BF159)-SUM($CK159:DA159)</f>
        <v>-21840</v>
      </c>
      <c r="CE159" s="1">
        <f>SUM($AP159,$AQ159:BG159)-SUM($CK159:DB159)</f>
        <v>-21840</v>
      </c>
      <c r="CF159" s="1">
        <f>SUM($AP159,$AQ159:BH159)-SUM($CK159:DC159)</f>
        <v>-21840</v>
      </c>
      <c r="CG159" s="1">
        <f>SUM($AP159,$AQ159:BI159)-SUM($CK159:DD159)</f>
        <v>-21840</v>
      </c>
      <c r="CK159" s="1">
        <f t="array" ref="CK159">SUMPRODUCT($H159:$Y159,(TRANSPOSE(CK$2:CK$19)))</f>
        <v>0</v>
      </c>
      <c r="CL159" s="1">
        <f t="array" ref="CL159">SUMPRODUCT($H159:$Y159,(TRANSPOSE(CL$2:CL$19)))</f>
        <v>0</v>
      </c>
      <c r="CM159" s="1">
        <f t="array" ref="CM159">SUMPRODUCT($H159:$Y159,(TRANSPOSE(CM$2:CM$19)))</f>
        <v>0</v>
      </c>
      <c r="CN159" s="1">
        <f t="array" ref="CN159">SUMPRODUCT($H159:$Y159,(TRANSPOSE(CN$2:CN$19)))</f>
        <v>0</v>
      </c>
      <c r="CO159" s="1">
        <f t="array" ref="CO159">SUMPRODUCT($H159:$Y159,(TRANSPOSE(CO$2:CO$19)))</f>
        <v>240</v>
      </c>
      <c r="CP159" s="1">
        <f t="array" ref="CP159">SUMPRODUCT($H159:$Y159,(TRANSPOSE(CP$2:CP$19)))</f>
        <v>480</v>
      </c>
      <c r="CQ159" s="1">
        <f t="array" ref="CQ159">SUMPRODUCT($H159:$Y159,(TRANSPOSE(CQ$2:CQ$19)))</f>
        <v>720</v>
      </c>
      <c r="CR159" s="1">
        <f t="array" ref="CR159">SUMPRODUCT($H159:$Y159,(TRANSPOSE(CR$2:CR$19)))</f>
        <v>960</v>
      </c>
      <c r="CS159" s="1">
        <f t="array" ref="CS159">SUMPRODUCT($H159:$Y159,(TRANSPOSE(CS$2:CS$19)))</f>
        <v>1200</v>
      </c>
      <c r="CT159" s="1">
        <f t="array" ref="CT159">SUMPRODUCT($H159:$Y159,(TRANSPOSE(CT$2:CT$19)))</f>
        <v>1440</v>
      </c>
      <c r="CU159" s="1">
        <f t="array" ref="CU159">SUMPRODUCT($H159:$Y159,(TRANSPOSE(CU$2:CU$19)))</f>
        <v>1680</v>
      </c>
      <c r="CV159" s="1">
        <f t="array" ref="CV159">SUMPRODUCT($H159:$Y159,(TRANSPOSE(CV$2:CV$19)))</f>
        <v>1920</v>
      </c>
      <c r="CW159" s="1">
        <f t="array" ref="CW159">SUMPRODUCT($H159:$Y159,(TRANSPOSE(CW$2:CW$19)))</f>
        <v>2160</v>
      </c>
      <c r="CX159" s="1">
        <f t="array" ref="CX159">SUMPRODUCT($H159:$Y159,(TRANSPOSE(CX$2:CX$19)))</f>
        <v>2400</v>
      </c>
      <c r="CY159" s="1">
        <f t="array" ref="CY159">SUMPRODUCT($H159:$Y159,(TRANSPOSE(CY$2:CY$19)))</f>
        <v>2640</v>
      </c>
      <c r="CZ159" s="1">
        <f t="array" ref="CZ159">SUMPRODUCT($H159:$Y159,(TRANSPOSE(CZ$2:CZ$19)))</f>
        <v>2880</v>
      </c>
      <c r="DA159" s="1">
        <f t="array" ref="DA159">SUMPRODUCT($H159:$Y159,(TRANSPOSE(DA$2:DA$19)))</f>
        <v>3120</v>
      </c>
      <c r="DB159" s="1">
        <f t="array" ref="DB159">SUMPRODUCT($H159:$Y159,(TRANSPOSE(DB$2:DB$19)))</f>
        <v>0</v>
      </c>
      <c r="DC159" s="1">
        <f t="array" ref="DC159">SUMPRODUCT($H159:$Y159,(TRANSPOSE(DC$2:DC$19)))</f>
        <v>0</v>
      </c>
      <c r="DD159" s="1">
        <f t="array" ref="DD159">SUMPRODUCT($H159:$Y159,(TRANSPOSE(DD$2:DD$19)))</f>
        <v>0</v>
      </c>
    </row>
    <row r="160" spans="1:108" x14ac:dyDescent="0.2">
      <c r="A160" s="1">
        <v>176</v>
      </c>
      <c r="B160" s="10" t="s">
        <v>528</v>
      </c>
      <c r="C160" s="1" t="s">
        <v>22</v>
      </c>
      <c r="D160" s="1">
        <v>401172747</v>
      </c>
      <c r="E160" s="1">
        <v>400326573</v>
      </c>
      <c r="F160" s="1" t="s">
        <v>527</v>
      </c>
      <c r="G160" s="1" t="s">
        <v>20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1274</v>
      </c>
      <c r="U160" s="1">
        <v>0</v>
      </c>
      <c r="V160" s="1">
        <v>0</v>
      </c>
      <c r="W160" s="1">
        <v>0</v>
      </c>
      <c r="X160" s="1">
        <v>1274</v>
      </c>
      <c r="Y160" s="1">
        <v>0</v>
      </c>
      <c r="Z160" s="1">
        <f>SUM(H160:Y160)</f>
        <v>2548</v>
      </c>
      <c r="AA160" s="1">
        <f>SUMPRODUCT(H160:Y160,$H$16:$Y$16)</f>
        <v>2318680</v>
      </c>
      <c r="AB160" s="1" t="s">
        <v>497</v>
      </c>
      <c r="AC160" s="1">
        <v>1.6500000000000001E-2</v>
      </c>
      <c r="AD160" s="9"/>
      <c r="AE160" s="1" t="s">
        <v>28</v>
      </c>
      <c r="AF160" s="1">
        <f>AC160</f>
        <v>1.6500000000000001E-2</v>
      </c>
      <c r="AH160" s="1">
        <v>10000</v>
      </c>
      <c r="AI160" s="1" t="s">
        <v>526</v>
      </c>
      <c r="AK160" s="1" t="s">
        <v>509</v>
      </c>
      <c r="AL160" s="1" t="s">
        <v>508</v>
      </c>
      <c r="AM160" s="1" t="s">
        <v>507</v>
      </c>
      <c r="AN160" s="2" t="s">
        <v>506</v>
      </c>
      <c r="BO160" s="1">
        <f>SUM($AP160,$AQ160:AQ160)-SUM($CK160:CL160)</f>
        <v>0</v>
      </c>
      <c r="BP160" s="1">
        <f>SUM($AP160,$AQ160:AR160)-SUM($CK160:CM160)</f>
        <v>0</v>
      </c>
      <c r="BQ160" s="1">
        <f>SUM($AP160,$AQ160:AS160)-SUM($CK160:CN160)</f>
        <v>0</v>
      </c>
      <c r="BR160" s="1">
        <f>SUM($AP160,$AQ160:AT160)-SUM($CK160:CO160)</f>
        <v>-25480</v>
      </c>
      <c r="BS160" s="1">
        <f>SUM($AP160,$AQ160:AU160)-SUM($CK160:CP160)</f>
        <v>-76440</v>
      </c>
      <c r="BT160" s="1">
        <f>SUM($AP160,$AQ160:AV160)-SUM($CK160:CQ160)</f>
        <v>-152880</v>
      </c>
      <c r="BU160" s="1">
        <f>SUM($AP160,$AQ160:AW160)-SUM($CK160:CR160)</f>
        <v>-254800</v>
      </c>
      <c r="BV160" s="1">
        <f>SUM($AP160,$AQ160:AX160)-SUM($CK160:CS160)</f>
        <v>-382200</v>
      </c>
      <c r="BW160" s="1">
        <f>SUM($AP160,$AQ160:AY160)-SUM($CK160:CT160)</f>
        <v>-535080</v>
      </c>
      <c r="BX160" s="1">
        <f>SUM($AP160,$AQ160:AZ160)-SUM($CK160:CU160)</f>
        <v>-713440</v>
      </c>
      <c r="BY160" s="1">
        <f>SUM($AP160,$AQ160:BA160)-SUM($CK160:CV160)</f>
        <v>-917280</v>
      </c>
      <c r="BZ160" s="1">
        <f>SUM($AP160,$AQ160:BB160)-SUM($CK160:CW160)</f>
        <v>-1146600</v>
      </c>
      <c r="CA160" s="1">
        <f>SUM($AP160,$AQ160:BC160)-SUM($CK160:CX160)</f>
        <v>-1401400</v>
      </c>
      <c r="CB160" s="1">
        <f>SUM($AP160,$AQ160:BD160)-SUM($CK160:CY160)</f>
        <v>-1681680</v>
      </c>
      <c r="CC160" s="1">
        <f>SUM($AP160,$AQ160:BE160)-SUM($CK160:CZ160)</f>
        <v>-1987440</v>
      </c>
      <c r="CD160" s="1">
        <f>SUM($AP160,$AQ160:BF160)-SUM($CK160:DA160)</f>
        <v>-2318680</v>
      </c>
      <c r="CE160" s="1">
        <f>SUM($AP160,$AQ160:BG160)-SUM($CK160:DB160)</f>
        <v>-2318680</v>
      </c>
      <c r="CF160" s="1">
        <f>SUM($AP160,$AQ160:BH160)-SUM($CK160:DC160)</f>
        <v>-2318680</v>
      </c>
      <c r="CG160" s="1">
        <f>SUM($AP160,$AQ160:BI160)-SUM($CK160:DD160)</f>
        <v>-2318680</v>
      </c>
      <c r="CK160" s="1">
        <f t="array" ref="CK160">SUMPRODUCT($H160:$Y160,(TRANSPOSE(CK$2:CK$19)))</f>
        <v>0</v>
      </c>
      <c r="CL160" s="1">
        <f t="array" ref="CL160">SUMPRODUCT($H160:$Y160,(TRANSPOSE(CL$2:CL$19)))</f>
        <v>0</v>
      </c>
      <c r="CM160" s="1">
        <f t="array" ref="CM160">SUMPRODUCT($H160:$Y160,(TRANSPOSE(CM$2:CM$19)))</f>
        <v>0</v>
      </c>
      <c r="CN160" s="1">
        <f t="array" ref="CN160">SUMPRODUCT($H160:$Y160,(TRANSPOSE(CN$2:CN$19)))</f>
        <v>0</v>
      </c>
      <c r="CO160" s="1">
        <f t="array" ref="CO160">SUMPRODUCT($H160:$Y160,(TRANSPOSE(CO$2:CO$19)))</f>
        <v>25480</v>
      </c>
      <c r="CP160" s="1">
        <f t="array" ref="CP160">SUMPRODUCT($H160:$Y160,(TRANSPOSE(CP$2:CP$19)))</f>
        <v>50960</v>
      </c>
      <c r="CQ160" s="1">
        <f t="array" ref="CQ160">SUMPRODUCT($H160:$Y160,(TRANSPOSE(CQ$2:CQ$19)))</f>
        <v>76440</v>
      </c>
      <c r="CR160" s="1">
        <f t="array" ref="CR160">SUMPRODUCT($H160:$Y160,(TRANSPOSE(CR$2:CR$19)))</f>
        <v>101920</v>
      </c>
      <c r="CS160" s="1">
        <f t="array" ref="CS160">SUMPRODUCT($H160:$Y160,(TRANSPOSE(CS$2:CS$19)))</f>
        <v>127400</v>
      </c>
      <c r="CT160" s="1">
        <f t="array" ref="CT160">SUMPRODUCT($H160:$Y160,(TRANSPOSE(CT$2:CT$19)))</f>
        <v>152880</v>
      </c>
      <c r="CU160" s="1">
        <f t="array" ref="CU160">SUMPRODUCT($H160:$Y160,(TRANSPOSE(CU$2:CU$19)))</f>
        <v>178360</v>
      </c>
      <c r="CV160" s="1">
        <f t="array" ref="CV160">SUMPRODUCT($H160:$Y160,(TRANSPOSE(CV$2:CV$19)))</f>
        <v>203840</v>
      </c>
      <c r="CW160" s="1">
        <f t="array" ref="CW160">SUMPRODUCT($H160:$Y160,(TRANSPOSE(CW$2:CW$19)))</f>
        <v>229320</v>
      </c>
      <c r="CX160" s="1">
        <f t="array" ref="CX160">SUMPRODUCT($H160:$Y160,(TRANSPOSE(CX$2:CX$19)))</f>
        <v>254800</v>
      </c>
      <c r="CY160" s="1">
        <f t="array" ref="CY160">SUMPRODUCT($H160:$Y160,(TRANSPOSE(CY$2:CY$19)))</f>
        <v>280280</v>
      </c>
      <c r="CZ160" s="1">
        <f t="array" ref="CZ160">SUMPRODUCT($H160:$Y160,(TRANSPOSE(CZ$2:CZ$19)))</f>
        <v>305760</v>
      </c>
      <c r="DA160" s="1">
        <f t="array" ref="DA160">SUMPRODUCT($H160:$Y160,(TRANSPOSE(DA$2:DA$19)))</f>
        <v>331240</v>
      </c>
      <c r="DB160" s="1">
        <f t="array" ref="DB160">SUMPRODUCT($H160:$Y160,(TRANSPOSE(DB$2:DB$19)))</f>
        <v>0</v>
      </c>
      <c r="DC160" s="1">
        <f t="array" ref="DC160">SUMPRODUCT($H160:$Y160,(TRANSPOSE(DC$2:DC$19)))</f>
        <v>0</v>
      </c>
      <c r="DD160" s="1">
        <f t="array" ref="DD160">SUMPRODUCT($H160:$Y160,(TRANSPOSE(DD$2:DD$19)))</f>
        <v>0</v>
      </c>
    </row>
    <row r="161" spans="1:108" x14ac:dyDescent="0.2">
      <c r="A161" s="1">
        <v>177</v>
      </c>
      <c r="B161" s="10" t="s">
        <v>525</v>
      </c>
      <c r="C161" s="1" t="s">
        <v>22</v>
      </c>
      <c r="D161" s="1">
        <v>400536577</v>
      </c>
      <c r="E161" s="1">
        <v>400326574</v>
      </c>
      <c r="F161" s="1" t="s">
        <v>524</v>
      </c>
      <c r="G161" s="1" t="s">
        <v>20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420</v>
      </c>
      <c r="U161" s="1">
        <v>0</v>
      </c>
      <c r="V161" s="1">
        <v>0</v>
      </c>
      <c r="W161" s="1">
        <v>0</v>
      </c>
      <c r="X161" s="1">
        <v>420</v>
      </c>
      <c r="Y161" s="1">
        <v>0</v>
      </c>
      <c r="Z161" s="1">
        <f>SUM(H161:Y161)</f>
        <v>840</v>
      </c>
      <c r="AA161" s="1">
        <f>SUMPRODUCT(H161:Y161,$H$16:$Y$16)</f>
        <v>764400</v>
      </c>
      <c r="AB161" s="1" t="s">
        <v>497</v>
      </c>
      <c r="AC161" s="1">
        <v>2.7750000000000001E-3</v>
      </c>
      <c r="AD161" s="9"/>
      <c r="AE161" s="1" t="s">
        <v>28</v>
      </c>
      <c r="AF161" s="1">
        <f>AC161</f>
        <v>2.7750000000000001E-3</v>
      </c>
      <c r="AH161" s="1">
        <v>10000</v>
      </c>
      <c r="AI161" s="1" t="s">
        <v>523</v>
      </c>
      <c r="AJ161" s="14" t="s">
        <v>156</v>
      </c>
      <c r="AK161" s="1" t="s">
        <v>513</v>
      </c>
      <c r="AL161" s="1" t="s">
        <v>308</v>
      </c>
      <c r="AM161" s="1" t="s">
        <v>307</v>
      </c>
      <c r="AN161" s="2" t="s">
        <v>306</v>
      </c>
      <c r="BO161" s="1">
        <f>SUM($AP161,$AQ161:AQ161)-SUM($CK161:CL161)</f>
        <v>0</v>
      </c>
      <c r="BP161" s="1">
        <f>SUM($AP161,$AQ161:AR161)-SUM($CK161:CM161)</f>
        <v>0</v>
      </c>
      <c r="BQ161" s="1">
        <f>SUM($AP161,$AQ161:AS161)-SUM($CK161:CN161)</f>
        <v>0</v>
      </c>
      <c r="BR161" s="1">
        <f>SUM($AP161,$AQ161:AT161)-SUM($CK161:CO161)</f>
        <v>-8400</v>
      </c>
      <c r="BS161" s="1">
        <f>SUM($AP161,$AQ161:AU161)-SUM($CK161:CP161)</f>
        <v>-25200</v>
      </c>
      <c r="BT161" s="1">
        <f>SUM($AP161,$AQ161:AV161)-SUM($CK161:CQ161)</f>
        <v>-50400</v>
      </c>
      <c r="BU161" s="1">
        <f>SUM($AP161,$AQ161:AW161)-SUM($CK161:CR161)</f>
        <v>-84000</v>
      </c>
      <c r="BV161" s="1">
        <f>SUM($AP161,$AQ161:AX161)-SUM($CK161:CS161)</f>
        <v>-126000</v>
      </c>
      <c r="BW161" s="1">
        <f>SUM($AP161,$AQ161:AY161)-SUM($CK161:CT161)</f>
        <v>-176400</v>
      </c>
      <c r="BX161" s="1">
        <f>SUM($AP161,$AQ161:AZ161)-SUM($CK161:CU161)</f>
        <v>-235200</v>
      </c>
      <c r="BY161" s="1">
        <f>SUM($AP161,$AQ161:BA161)-SUM($CK161:CV161)</f>
        <v>-302400</v>
      </c>
      <c r="BZ161" s="1">
        <f>SUM($AP161,$AQ161:BB161)-SUM($CK161:CW161)</f>
        <v>-378000</v>
      </c>
      <c r="CA161" s="1">
        <f>SUM($AP161,$AQ161:BC161)-SUM($CK161:CX161)</f>
        <v>-462000</v>
      </c>
      <c r="CB161" s="1">
        <f>SUM($AP161,$AQ161:BD161)-SUM($CK161:CY161)</f>
        <v>-554400</v>
      </c>
      <c r="CC161" s="1">
        <f>SUM($AP161,$AQ161:BE161)-SUM($CK161:CZ161)</f>
        <v>-655200</v>
      </c>
      <c r="CD161" s="1">
        <f>SUM($AP161,$AQ161:BF161)-SUM($CK161:DA161)</f>
        <v>-764400</v>
      </c>
      <c r="CE161" s="1">
        <f>SUM($AP161,$AQ161:BG161)-SUM($CK161:DB161)</f>
        <v>-764400</v>
      </c>
      <c r="CF161" s="1">
        <f>SUM($AP161,$AQ161:BH161)-SUM($CK161:DC161)</f>
        <v>-764400</v>
      </c>
      <c r="CG161" s="1">
        <f>SUM($AP161,$AQ161:BI161)-SUM($CK161:DD161)</f>
        <v>-764400</v>
      </c>
      <c r="CK161" s="1">
        <f t="array" ref="CK161">SUMPRODUCT($H161:$Y161,(TRANSPOSE(CK$2:CK$19)))</f>
        <v>0</v>
      </c>
      <c r="CL161" s="1">
        <f t="array" ref="CL161">SUMPRODUCT($H161:$Y161,(TRANSPOSE(CL$2:CL$19)))</f>
        <v>0</v>
      </c>
      <c r="CM161" s="1">
        <f t="array" ref="CM161">SUMPRODUCT($H161:$Y161,(TRANSPOSE(CM$2:CM$19)))</f>
        <v>0</v>
      </c>
      <c r="CN161" s="1">
        <f t="array" ref="CN161">SUMPRODUCT($H161:$Y161,(TRANSPOSE(CN$2:CN$19)))</f>
        <v>0</v>
      </c>
      <c r="CO161" s="1">
        <f t="array" ref="CO161">SUMPRODUCT($H161:$Y161,(TRANSPOSE(CO$2:CO$19)))</f>
        <v>8400</v>
      </c>
      <c r="CP161" s="1">
        <f t="array" ref="CP161">SUMPRODUCT($H161:$Y161,(TRANSPOSE(CP$2:CP$19)))</f>
        <v>16800</v>
      </c>
      <c r="CQ161" s="1">
        <f t="array" ref="CQ161">SUMPRODUCT($H161:$Y161,(TRANSPOSE(CQ$2:CQ$19)))</f>
        <v>25200</v>
      </c>
      <c r="CR161" s="1">
        <f t="array" ref="CR161">SUMPRODUCT($H161:$Y161,(TRANSPOSE(CR$2:CR$19)))</f>
        <v>33600</v>
      </c>
      <c r="CS161" s="1">
        <f t="array" ref="CS161">SUMPRODUCT($H161:$Y161,(TRANSPOSE(CS$2:CS$19)))</f>
        <v>42000</v>
      </c>
      <c r="CT161" s="1">
        <f t="array" ref="CT161">SUMPRODUCT($H161:$Y161,(TRANSPOSE(CT$2:CT$19)))</f>
        <v>50400</v>
      </c>
      <c r="CU161" s="1">
        <f t="array" ref="CU161">SUMPRODUCT($H161:$Y161,(TRANSPOSE(CU$2:CU$19)))</f>
        <v>58800</v>
      </c>
      <c r="CV161" s="1">
        <f t="array" ref="CV161">SUMPRODUCT($H161:$Y161,(TRANSPOSE(CV$2:CV$19)))</f>
        <v>67200</v>
      </c>
      <c r="CW161" s="1">
        <f t="array" ref="CW161">SUMPRODUCT($H161:$Y161,(TRANSPOSE(CW$2:CW$19)))</f>
        <v>75600</v>
      </c>
      <c r="CX161" s="1">
        <f t="array" ref="CX161">SUMPRODUCT($H161:$Y161,(TRANSPOSE(CX$2:CX$19)))</f>
        <v>84000</v>
      </c>
      <c r="CY161" s="1">
        <f t="array" ref="CY161">SUMPRODUCT($H161:$Y161,(TRANSPOSE(CY$2:CY$19)))</f>
        <v>92400</v>
      </c>
      <c r="CZ161" s="1">
        <f t="array" ref="CZ161">SUMPRODUCT($H161:$Y161,(TRANSPOSE(CZ$2:CZ$19)))</f>
        <v>100800</v>
      </c>
      <c r="DA161" s="1">
        <f t="array" ref="DA161">SUMPRODUCT($H161:$Y161,(TRANSPOSE(DA$2:DA$19)))</f>
        <v>109200</v>
      </c>
      <c r="DB161" s="1">
        <f t="array" ref="DB161">SUMPRODUCT($H161:$Y161,(TRANSPOSE(DB$2:DB$19)))</f>
        <v>0</v>
      </c>
      <c r="DC161" s="1">
        <f t="array" ref="DC161">SUMPRODUCT($H161:$Y161,(TRANSPOSE(DC$2:DC$19)))</f>
        <v>0</v>
      </c>
      <c r="DD161" s="1">
        <f t="array" ref="DD161">SUMPRODUCT($H161:$Y161,(TRANSPOSE(DD$2:DD$19)))</f>
        <v>0</v>
      </c>
    </row>
    <row r="162" spans="1:108" x14ac:dyDescent="0.2">
      <c r="A162" s="1">
        <v>178</v>
      </c>
      <c r="B162" s="10" t="s">
        <v>522</v>
      </c>
      <c r="C162" s="1" t="s">
        <v>22</v>
      </c>
      <c r="D162" s="1">
        <v>400984937</v>
      </c>
      <c r="E162" s="1">
        <v>400326577</v>
      </c>
      <c r="F162" s="1" t="s">
        <v>521</v>
      </c>
      <c r="G162" s="1" t="s">
        <v>20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686</v>
      </c>
      <c r="U162" s="1">
        <v>8</v>
      </c>
      <c r="V162" s="1">
        <v>0</v>
      </c>
      <c r="W162" s="1">
        <v>0</v>
      </c>
      <c r="X162" s="1">
        <v>686</v>
      </c>
      <c r="Y162" s="1">
        <v>8</v>
      </c>
      <c r="Z162" s="1">
        <f>SUM(H162:Y162)</f>
        <v>1388</v>
      </c>
      <c r="AA162" s="1">
        <f>SUMPRODUCT(H162:Y162,$H$16:$Y$16)</f>
        <v>1263080</v>
      </c>
      <c r="AB162" s="1" t="s">
        <v>497</v>
      </c>
      <c r="AC162" s="1">
        <v>2.2200000000000002E-3</v>
      </c>
      <c r="AD162" s="9"/>
      <c r="AE162" s="1" t="s">
        <v>28</v>
      </c>
      <c r="AF162" s="1">
        <f>AC162</f>
        <v>2.2200000000000002E-3</v>
      </c>
      <c r="AH162" s="1">
        <v>10000</v>
      </c>
      <c r="AI162" s="1" t="s">
        <v>520</v>
      </c>
      <c r="AJ162" s="14" t="s">
        <v>156</v>
      </c>
      <c r="AK162" s="1" t="s">
        <v>513</v>
      </c>
      <c r="AL162" s="1" t="s">
        <v>308</v>
      </c>
      <c r="AM162" s="1" t="s">
        <v>307</v>
      </c>
      <c r="AN162" s="2" t="s">
        <v>306</v>
      </c>
      <c r="BO162" s="1">
        <f>SUM($AP162,$AQ162:AQ162)-SUM($CK162:CL162)</f>
        <v>0</v>
      </c>
      <c r="BP162" s="1">
        <f>SUM($AP162,$AQ162:AR162)-SUM($CK162:CM162)</f>
        <v>0</v>
      </c>
      <c r="BQ162" s="1">
        <f>SUM($AP162,$AQ162:AS162)-SUM($CK162:CN162)</f>
        <v>0</v>
      </c>
      <c r="BR162" s="1">
        <f>SUM($AP162,$AQ162:AT162)-SUM($CK162:CO162)</f>
        <v>-13880</v>
      </c>
      <c r="BS162" s="1">
        <f>SUM($AP162,$AQ162:AU162)-SUM($CK162:CP162)</f>
        <v>-41640</v>
      </c>
      <c r="BT162" s="1">
        <f>SUM($AP162,$AQ162:AV162)-SUM($CK162:CQ162)</f>
        <v>-83280</v>
      </c>
      <c r="BU162" s="1">
        <f>SUM($AP162,$AQ162:AW162)-SUM($CK162:CR162)</f>
        <v>-138800</v>
      </c>
      <c r="BV162" s="1">
        <f>SUM($AP162,$AQ162:AX162)-SUM($CK162:CS162)</f>
        <v>-208200</v>
      </c>
      <c r="BW162" s="1">
        <f>SUM($AP162,$AQ162:AY162)-SUM($CK162:CT162)</f>
        <v>-291480</v>
      </c>
      <c r="BX162" s="1">
        <f>SUM($AP162,$AQ162:AZ162)-SUM($CK162:CU162)</f>
        <v>-388640</v>
      </c>
      <c r="BY162" s="1">
        <f>SUM($AP162,$AQ162:BA162)-SUM($CK162:CV162)</f>
        <v>-499680</v>
      </c>
      <c r="BZ162" s="1">
        <f>SUM($AP162,$AQ162:BB162)-SUM($CK162:CW162)</f>
        <v>-624600</v>
      </c>
      <c r="CA162" s="1">
        <f>SUM($AP162,$AQ162:BC162)-SUM($CK162:CX162)</f>
        <v>-763400</v>
      </c>
      <c r="CB162" s="1">
        <f>SUM($AP162,$AQ162:BD162)-SUM($CK162:CY162)</f>
        <v>-916080</v>
      </c>
      <c r="CC162" s="1">
        <f>SUM($AP162,$AQ162:BE162)-SUM($CK162:CZ162)</f>
        <v>-1082640</v>
      </c>
      <c r="CD162" s="1">
        <f>SUM($AP162,$AQ162:BF162)-SUM($CK162:DA162)</f>
        <v>-1263080</v>
      </c>
      <c r="CE162" s="1">
        <f>SUM($AP162,$AQ162:BG162)-SUM($CK162:DB162)</f>
        <v>-1263080</v>
      </c>
      <c r="CF162" s="1">
        <f>SUM($AP162,$AQ162:BH162)-SUM($CK162:DC162)</f>
        <v>-1263080</v>
      </c>
      <c r="CG162" s="1">
        <f>SUM($AP162,$AQ162:BI162)-SUM($CK162:DD162)</f>
        <v>-1263080</v>
      </c>
      <c r="CK162" s="1">
        <f t="array" ref="CK162">SUMPRODUCT($H162:$Y162,(TRANSPOSE(CK$2:CK$19)))</f>
        <v>0</v>
      </c>
      <c r="CL162" s="1">
        <f t="array" ref="CL162">SUMPRODUCT($H162:$Y162,(TRANSPOSE(CL$2:CL$19)))</f>
        <v>0</v>
      </c>
      <c r="CM162" s="1">
        <f t="array" ref="CM162">SUMPRODUCT($H162:$Y162,(TRANSPOSE(CM$2:CM$19)))</f>
        <v>0</v>
      </c>
      <c r="CN162" s="1">
        <f t="array" ref="CN162">SUMPRODUCT($H162:$Y162,(TRANSPOSE(CN$2:CN$19)))</f>
        <v>0</v>
      </c>
      <c r="CO162" s="1">
        <f t="array" ref="CO162">SUMPRODUCT($H162:$Y162,(TRANSPOSE(CO$2:CO$19)))</f>
        <v>13880</v>
      </c>
      <c r="CP162" s="1">
        <f t="array" ref="CP162">SUMPRODUCT($H162:$Y162,(TRANSPOSE(CP$2:CP$19)))</f>
        <v>27760</v>
      </c>
      <c r="CQ162" s="1">
        <f t="array" ref="CQ162">SUMPRODUCT($H162:$Y162,(TRANSPOSE(CQ$2:CQ$19)))</f>
        <v>41640</v>
      </c>
      <c r="CR162" s="1">
        <f t="array" ref="CR162">SUMPRODUCT($H162:$Y162,(TRANSPOSE(CR$2:CR$19)))</f>
        <v>55520</v>
      </c>
      <c r="CS162" s="1">
        <f t="array" ref="CS162">SUMPRODUCT($H162:$Y162,(TRANSPOSE(CS$2:CS$19)))</f>
        <v>69400</v>
      </c>
      <c r="CT162" s="1">
        <f t="array" ref="CT162">SUMPRODUCT($H162:$Y162,(TRANSPOSE(CT$2:CT$19)))</f>
        <v>83280</v>
      </c>
      <c r="CU162" s="1">
        <f t="array" ref="CU162">SUMPRODUCT($H162:$Y162,(TRANSPOSE(CU$2:CU$19)))</f>
        <v>97160</v>
      </c>
      <c r="CV162" s="1">
        <f t="array" ref="CV162">SUMPRODUCT($H162:$Y162,(TRANSPOSE(CV$2:CV$19)))</f>
        <v>111040</v>
      </c>
      <c r="CW162" s="1">
        <f t="array" ref="CW162">SUMPRODUCT($H162:$Y162,(TRANSPOSE(CW$2:CW$19)))</f>
        <v>124920</v>
      </c>
      <c r="CX162" s="1">
        <f t="array" ref="CX162">SUMPRODUCT($H162:$Y162,(TRANSPOSE(CX$2:CX$19)))</f>
        <v>138800</v>
      </c>
      <c r="CY162" s="1">
        <f t="array" ref="CY162">SUMPRODUCT($H162:$Y162,(TRANSPOSE(CY$2:CY$19)))</f>
        <v>152680</v>
      </c>
      <c r="CZ162" s="1">
        <f t="array" ref="CZ162">SUMPRODUCT($H162:$Y162,(TRANSPOSE(CZ$2:CZ$19)))</f>
        <v>166560</v>
      </c>
      <c r="DA162" s="1">
        <f t="array" ref="DA162">SUMPRODUCT($H162:$Y162,(TRANSPOSE(DA$2:DA$19)))</f>
        <v>180440</v>
      </c>
      <c r="DB162" s="1">
        <f t="array" ref="DB162">SUMPRODUCT($H162:$Y162,(TRANSPOSE(DB$2:DB$19)))</f>
        <v>0</v>
      </c>
      <c r="DC162" s="1">
        <f t="array" ref="DC162">SUMPRODUCT($H162:$Y162,(TRANSPOSE(DC$2:DC$19)))</f>
        <v>0</v>
      </c>
      <c r="DD162" s="1">
        <f t="array" ref="DD162">SUMPRODUCT($H162:$Y162,(TRANSPOSE(DD$2:DD$19)))</f>
        <v>0</v>
      </c>
    </row>
    <row r="163" spans="1:108" x14ac:dyDescent="0.2">
      <c r="A163" s="1">
        <v>179</v>
      </c>
      <c r="B163" s="10" t="s">
        <v>519</v>
      </c>
      <c r="C163" s="1" t="s">
        <v>22</v>
      </c>
      <c r="D163" s="1">
        <v>401246012</v>
      </c>
      <c r="E163" s="1">
        <v>400326580</v>
      </c>
      <c r="F163" s="1" t="s">
        <v>518</v>
      </c>
      <c r="G163" s="1" t="s">
        <v>20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148</v>
      </c>
      <c r="U163" s="1">
        <v>198</v>
      </c>
      <c r="V163" s="1">
        <v>0</v>
      </c>
      <c r="W163" s="1">
        <v>0</v>
      </c>
      <c r="X163" s="1">
        <v>148</v>
      </c>
      <c r="Y163" s="1">
        <v>198</v>
      </c>
      <c r="Z163" s="1">
        <f>SUM(H163:Y163)</f>
        <v>692</v>
      </c>
      <c r="AA163" s="1">
        <f>SUMPRODUCT(H163:Y163,$H$16:$Y$16)</f>
        <v>629720</v>
      </c>
      <c r="AB163" s="1" t="s">
        <v>497</v>
      </c>
      <c r="AC163" s="1">
        <v>4.0000000000000001E-3</v>
      </c>
      <c r="AD163" s="9"/>
      <c r="AE163" s="1" t="s">
        <v>28</v>
      </c>
      <c r="AF163" s="1">
        <f>AC163</f>
        <v>4.0000000000000001E-3</v>
      </c>
      <c r="AH163" s="1">
        <v>10000</v>
      </c>
      <c r="AI163" s="1" t="s">
        <v>510</v>
      </c>
      <c r="AK163" s="1" t="s">
        <v>509</v>
      </c>
      <c r="AL163" s="1" t="s">
        <v>508</v>
      </c>
      <c r="AM163" s="1" t="s">
        <v>507</v>
      </c>
      <c r="AN163" s="2" t="s">
        <v>506</v>
      </c>
      <c r="BO163" s="1">
        <f>SUM($AP163,$AQ163:AQ163)-SUM($CK163:CL163)</f>
        <v>0</v>
      </c>
      <c r="BP163" s="1">
        <f>SUM($AP163,$AQ163:AR163)-SUM($CK163:CM163)</f>
        <v>0</v>
      </c>
      <c r="BQ163" s="1">
        <f>SUM($AP163,$AQ163:AS163)-SUM($CK163:CN163)</f>
        <v>0</v>
      </c>
      <c r="BR163" s="1">
        <f>SUM($AP163,$AQ163:AT163)-SUM($CK163:CO163)</f>
        <v>-6920</v>
      </c>
      <c r="BS163" s="1">
        <f>SUM($AP163,$AQ163:AU163)-SUM($CK163:CP163)</f>
        <v>-20760</v>
      </c>
      <c r="BT163" s="1">
        <f>SUM($AP163,$AQ163:AV163)-SUM($CK163:CQ163)</f>
        <v>-41520</v>
      </c>
      <c r="BU163" s="1">
        <f>SUM($AP163,$AQ163:AW163)-SUM($CK163:CR163)</f>
        <v>-69200</v>
      </c>
      <c r="BV163" s="1">
        <f>SUM($AP163,$AQ163:AX163)-SUM($CK163:CS163)</f>
        <v>-103800</v>
      </c>
      <c r="BW163" s="1">
        <f>SUM($AP163,$AQ163:AY163)-SUM($CK163:CT163)</f>
        <v>-145320</v>
      </c>
      <c r="BX163" s="1">
        <f>SUM($AP163,$AQ163:AZ163)-SUM($CK163:CU163)</f>
        <v>-193760</v>
      </c>
      <c r="BY163" s="1">
        <f>SUM($AP163,$AQ163:BA163)-SUM($CK163:CV163)</f>
        <v>-249120</v>
      </c>
      <c r="BZ163" s="1">
        <f>SUM($AP163,$AQ163:BB163)-SUM($CK163:CW163)</f>
        <v>-311400</v>
      </c>
      <c r="CA163" s="1">
        <f>SUM($AP163,$AQ163:BC163)-SUM($CK163:CX163)</f>
        <v>-380600</v>
      </c>
      <c r="CB163" s="1">
        <f>SUM($AP163,$AQ163:BD163)-SUM($CK163:CY163)</f>
        <v>-456720</v>
      </c>
      <c r="CC163" s="1">
        <f>SUM($AP163,$AQ163:BE163)-SUM($CK163:CZ163)</f>
        <v>-539760</v>
      </c>
      <c r="CD163" s="1">
        <f>SUM($AP163,$AQ163:BF163)-SUM($CK163:DA163)</f>
        <v>-629720</v>
      </c>
      <c r="CE163" s="1">
        <f>SUM($AP163,$AQ163:BG163)-SUM($CK163:DB163)</f>
        <v>-629720</v>
      </c>
      <c r="CF163" s="1">
        <f>SUM($AP163,$AQ163:BH163)-SUM($CK163:DC163)</f>
        <v>-629720</v>
      </c>
      <c r="CG163" s="1">
        <f>SUM($AP163,$AQ163:BI163)-SUM($CK163:DD163)</f>
        <v>-629720</v>
      </c>
      <c r="CK163" s="1">
        <f t="array" ref="CK163">SUMPRODUCT($H163:$Y163,(TRANSPOSE(CK$2:CK$19)))</f>
        <v>0</v>
      </c>
      <c r="CL163" s="1">
        <f t="array" ref="CL163">SUMPRODUCT($H163:$Y163,(TRANSPOSE(CL$2:CL$19)))</f>
        <v>0</v>
      </c>
      <c r="CM163" s="1">
        <f t="array" ref="CM163">SUMPRODUCT($H163:$Y163,(TRANSPOSE(CM$2:CM$19)))</f>
        <v>0</v>
      </c>
      <c r="CN163" s="1">
        <f t="array" ref="CN163">SUMPRODUCT($H163:$Y163,(TRANSPOSE(CN$2:CN$19)))</f>
        <v>0</v>
      </c>
      <c r="CO163" s="1">
        <f t="array" ref="CO163">SUMPRODUCT($H163:$Y163,(TRANSPOSE(CO$2:CO$19)))</f>
        <v>6920</v>
      </c>
      <c r="CP163" s="1">
        <f t="array" ref="CP163">SUMPRODUCT($H163:$Y163,(TRANSPOSE(CP$2:CP$19)))</f>
        <v>13840</v>
      </c>
      <c r="CQ163" s="1">
        <f t="array" ref="CQ163">SUMPRODUCT($H163:$Y163,(TRANSPOSE(CQ$2:CQ$19)))</f>
        <v>20760</v>
      </c>
      <c r="CR163" s="1">
        <f t="array" ref="CR163">SUMPRODUCT($H163:$Y163,(TRANSPOSE(CR$2:CR$19)))</f>
        <v>27680</v>
      </c>
      <c r="CS163" s="1">
        <f t="array" ref="CS163">SUMPRODUCT($H163:$Y163,(TRANSPOSE(CS$2:CS$19)))</f>
        <v>34600</v>
      </c>
      <c r="CT163" s="1">
        <f t="array" ref="CT163">SUMPRODUCT($H163:$Y163,(TRANSPOSE(CT$2:CT$19)))</f>
        <v>41520</v>
      </c>
      <c r="CU163" s="1">
        <f t="array" ref="CU163">SUMPRODUCT($H163:$Y163,(TRANSPOSE(CU$2:CU$19)))</f>
        <v>48440</v>
      </c>
      <c r="CV163" s="1">
        <f t="array" ref="CV163">SUMPRODUCT($H163:$Y163,(TRANSPOSE(CV$2:CV$19)))</f>
        <v>55360</v>
      </c>
      <c r="CW163" s="1">
        <f t="array" ref="CW163">SUMPRODUCT($H163:$Y163,(TRANSPOSE(CW$2:CW$19)))</f>
        <v>62280</v>
      </c>
      <c r="CX163" s="1">
        <f t="array" ref="CX163">SUMPRODUCT($H163:$Y163,(TRANSPOSE(CX$2:CX$19)))</f>
        <v>69200</v>
      </c>
      <c r="CY163" s="1">
        <f t="array" ref="CY163">SUMPRODUCT($H163:$Y163,(TRANSPOSE(CY$2:CY$19)))</f>
        <v>76120</v>
      </c>
      <c r="CZ163" s="1">
        <f t="array" ref="CZ163">SUMPRODUCT($H163:$Y163,(TRANSPOSE(CZ$2:CZ$19)))</f>
        <v>83040</v>
      </c>
      <c r="DA163" s="1">
        <f t="array" ref="DA163">SUMPRODUCT($H163:$Y163,(TRANSPOSE(DA$2:DA$19)))</f>
        <v>89960</v>
      </c>
      <c r="DB163" s="1">
        <f t="array" ref="DB163">SUMPRODUCT($H163:$Y163,(TRANSPOSE(DB$2:DB$19)))</f>
        <v>0</v>
      </c>
      <c r="DC163" s="1">
        <f t="array" ref="DC163">SUMPRODUCT($H163:$Y163,(TRANSPOSE(DC$2:DC$19)))</f>
        <v>0</v>
      </c>
      <c r="DD163" s="1">
        <f t="array" ref="DD163">SUMPRODUCT($H163:$Y163,(TRANSPOSE(DD$2:DD$19)))</f>
        <v>0</v>
      </c>
    </row>
    <row r="164" spans="1:108" x14ac:dyDescent="0.2">
      <c r="A164" s="1">
        <v>180</v>
      </c>
      <c r="B164" s="10" t="s">
        <v>517</v>
      </c>
      <c r="C164" s="1" t="s">
        <v>22</v>
      </c>
      <c r="D164" s="1">
        <v>400584360</v>
      </c>
      <c r="E164" s="1">
        <v>400856302</v>
      </c>
      <c r="F164" s="1" t="s">
        <v>516</v>
      </c>
      <c r="G164" s="1" t="s">
        <v>20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68</v>
      </c>
      <c r="U164" s="1">
        <v>0</v>
      </c>
      <c r="V164" s="1">
        <v>0</v>
      </c>
      <c r="W164" s="1">
        <v>0</v>
      </c>
      <c r="X164" s="1">
        <v>68</v>
      </c>
      <c r="Y164" s="1">
        <v>0</v>
      </c>
      <c r="Z164" s="1">
        <f>SUM(H164:Y164)</f>
        <v>136</v>
      </c>
      <c r="AA164" s="1">
        <f>SUMPRODUCT(H164:Y164,$H$16:$Y$16)</f>
        <v>123760</v>
      </c>
      <c r="AB164" s="1" t="s">
        <v>497</v>
      </c>
      <c r="AC164" s="1">
        <v>3.7999999999999999E-2</v>
      </c>
      <c r="AD164" s="9"/>
      <c r="AE164" s="1" t="s">
        <v>28</v>
      </c>
      <c r="AF164" s="1">
        <f>AC164</f>
        <v>3.7999999999999999E-2</v>
      </c>
      <c r="AH164" s="1">
        <v>10000</v>
      </c>
      <c r="AI164" s="1" t="s">
        <v>510</v>
      </c>
      <c r="AK164" s="1" t="s">
        <v>509</v>
      </c>
      <c r="AL164" s="1" t="s">
        <v>508</v>
      </c>
      <c r="AM164" s="1" t="s">
        <v>507</v>
      </c>
      <c r="AN164" s="2" t="s">
        <v>506</v>
      </c>
      <c r="BO164" s="1">
        <f>SUM($AP164,$AQ164:AQ164)-SUM($CK164:CL164)</f>
        <v>0</v>
      </c>
      <c r="BP164" s="1">
        <f>SUM($AP164,$AQ164:AR164)-SUM($CK164:CM164)</f>
        <v>0</v>
      </c>
      <c r="BQ164" s="1">
        <f>SUM($AP164,$AQ164:AS164)-SUM($CK164:CN164)</f>
        <v>0</v>
      </c>
      <c r="BR164" s="1">
        <f>SUM($AP164,$AQ164:AT164)-SUM($CK164:CO164)</f>
        <v>-1360</v>
      </c>
      <c r="BS164" s="1">
        <f>SUM($AP164,$AQ164:AU164)-SUM($CK164:CP164)</f>
        <v>-4080</v>
      </c>
      <c r="BT164" s="1">
        <f>SUM($AP164,$AQ164:AV164)-SUM($CK164:CQ164)</f>
        <v>-8160</v>
      </c>
      <c r="BU164" s="1">
        <f>SUM($AP164,$AQ164:AW164)-SUM($CK164:CR164)</f>
        <v>-13600</v>
      </c>
      <c r="BV164" s="1">
        <f>SUM($AP164,$AQ164:AX164)-SUM($CK164:CS164)</f>
        <v>-20400</v>
      </c>
      <c r="BW164" s="1">
        <f>SUM($AP164,$AQ164:AY164)-SUM($CK164:CT164)</f>
        <v>-28560</v>
      </c>
      <c r="BX164" s="1">
        <f>SUM($AP164,$AQ164:AZ164)-SUM($CK164:CU164)</f>
        <v>-38080</v>
      </c>
      <c r="BY164" s="1">
        <f>SUM($AP164,$AQ164:BA164)-SUM($CK164:CV164)</f>
        <v>-48960</v>
      </c>
      <c r="BZ164" s="1">
        <f>SUM($AP164,$AQ164:BB164)-SUM($CK164:CW164)</f>
        <v>-61200</v>
      </c>
      <c r="CA164" s="1">
        <f>SUM($AP164,$AQ164:BC164)-SUM($CK164:CX164)</f>
        <v>-74800</v>
      </c>
      <c r="CB164" s="1">
        <f>SUM($AP164,$AQ164:BD164)-SUM($CK164:CY164)</f>
        <v>-89760</v>
      </c>
      <c r="CC164" s="1">
        <f>SUM($AP164,$AQ164:BE164)-SUM($CK164:CZ164)</f>
        <v>-106080</v>
      </c>
      <c r="CD164" s="1">
        <f>SUM($AP164,$AQ164:BF164)-SUM($CK164:DA164)</f>
        <v>-123760</v>
      </c>
      <c r="CE164" s="1">
        <f>SUM($AP164,$AQ164:BG164)-SUM($CK164:DB164)</f>
        <v>-123760</v>
      </c>
      <c r="CF164" s="1">
        <f>SUM($AP164,$AQ164:BH164)-SUM($CK164:DC164)</f>
        <v>-123760</v>
      </c>
      <c r="CG164" s="1">
        <f>SUM($AP164,$AQ164:BI164)-SUM($CK164:DD164)</f>
        <v>-123760</v>
      </c>
      <c r="CK164" s="1">
        <f t="array" ref="CK164">SUMPRODUCT($H164:$Y164,(TRANSPOSE(CK$2:CK$19)))</f>
        <v>0</v>
      </c>
      <c r="CL164" s="1">
        <f t="array" ref="CL164">SUMPRODUCT($H164:$Y164,(TRANSPOSE(CL$2:CL$19)))</f>
        <v>0</v>
      </c>
      <c r="CM164" s="1">
        <f t="array" ref="CM164">SUMPRODUCT($H164:$Y164,(TRANSPOSE(CM$2:CM$19)))</f>
        <v>0</v>
      </c>
      <c r="CN164" s="1">
        <f t="array" ref="CN164">SUMPRODUCT($H164:$Y164,(TRANSPOSE(CN$2:CN$19)))</f>
        <v>0</v>
      </c>
      <c r="CO164" s="1">
        <f t="array" ref="CO164">SUMPRODUCT($H164:$Y164,(TRANSPOSE(CO$2:CO$19)))</f>
        <v>1360</v>
      </c>
      <c r="CP164" s="1">
        <f t="array" ref="CP164">SUMPRODUCT($H164:$Y164,(TRANSPOSE(CP$2:CP$19)))</f>
        <v>2720</v>
      </c>
      <c r="CQ164" s="1">
        <f t="array" ref="CQ164">SUMPRODUCT($H164:$Y164,(TRANSPOSE(CQ$2:CQ$19)))</f>
        <v>4080</v>
      </c>
      <c r="CR164" s="1">
        <f t="array" ref="CR164">SUMPRODUCT($H164:$Y164,(TRANSPOSE(CR$2:CR$19)))</f>
        <v>5440</v>
      </c>
      <c r="CS164" s="1">
        <f t="array" ref="CS164">SUMPRODUCT($H164:$Y164,(TRANSPOSE(CS$2:CS$19)))</f>
        <v>6800</v>
      </c>
      <c r="CT164" s="1">
        <f t="array" ref="CT164">SUMPRODUCT($H164:$Y164,(TRANSPOSE(CT$2:CT$19)))</f>
        <v>8160</v>
      </c>
      <c r="CU164" s="1">
        <f t="array" ref="CU164">SUMPRODUCT($H164:$Y164,(TRANSPOSE(CU$2:CU$19)))</f>
        <v>9520</v>
      </c>
      <c r="CV164" s="1">
        <f t="array" ref="CV164">SUMPRODUCT($H164:$Y164,(TRANSPOSE(CV$2:CV$19)))</f>
        <v>10880</v>
      </c>
      <c r="CW164" s="1">
        <f t="array" ref="CW164">SUMPRODUCT($H164:$Y164,(TRANSPOSE(CW$2:CW$19)))</f>
        <v>12240</v>
      </c>
      <c r="CX164" s="1">
        <f t="array" ref="CX164">SUMPRODUCT($H164:$Y164,(TRANSPOSE(CX$2:CX$19)))</f>
        <v>13600</v>
      </c>
      <c r="CY164" s="1">
        <f t="array" ref="CY164">SUMPRODUCT($H164:$Y164,(TRANSPOSE(CY$2:CY$19)))</f>
        <v>14960</v>
      </c>
      <c r="CZ164" s="1">
        <f t="array" ref="CZ164">SUMPRODUCT($H164:$Y164,(TRANSPOSE(CZ$2:CZ$19)))</f>
        <v>16320</v>
      </c>
      <c r="DA164" s="1">
        <f t="array" ref="DA164">SUMPRODUCT($H164:$Y164,(TRANSPOSE(DA$2:DA$19)))</f>
        <v>17680</v>
      </c>
      <c r="DB164" s="1">
        <f t="array" ref="DB164">SUMPRODUCT($H164:$Y164,(TRANSPOSE(DB$2:DB$19)))</f>
        <v>0</v>
      </c>
      <c r="DC164" s="1">
        <f t="array" ref="DC164">SUMPRODUCT($H164:$Y164,(TRANSPOSE(DC$2:DC$19)))</f>
        <v>0</v>
      </c>
      <c r="DD164" s="1">
        <f t="array" ref="DD164">SUMPRODUCT($H164:$Y164,(TRANSPOSE(DD$2:DD$19)))</f>
        <v>0</v>
      </c>
    </row>
    <row r="165" spans="1:108" x14ac:dyDescent="0.2">
      <c r="A165" s="1">
        <v>181</v>
      </c>
      <c r="B165" s="10" t="s">
        <v>515</v>
      </c>
      <c r="C165" s="1" t="s">
        <v>22</v>
      </c>
      <c r="D165" s="1">
        <v>400713754</v>
      </c>
      <c r="E165" s="1">
        <v>400481229</v>
      </c>
      <c r="F165" s="1" t="s">
        <v>514</v>
      </c>
      <c r="G165" s="1" t="s">
        <v>20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206</v>
      </c>
      <c r="U165" s="1">
        <v>0</v>
      </c>
      <c r="V165" s="1">
        <v>0</v>
      </c>
      <c r="W165" s="1">
        <v>0</v>
      </c>
      <c r="X165" s="1">
        <v>206</v>
      </c>
      <c r="Y165" s="1">
        <v>0</v>
      </c>
      <c r="Z165" s="1">
        <f>SUM(H165:Y165)</f>
        <v>412</v>
      </c>
      <c r="AA165" s="1">
        <f>SUMPRODUCT(H165:Y165,$H$16:$Y$16)</f>
        <v>374920</v>
      </c>
      <c r="AB165" s="1" t="s">
        <v>497</v>
      </c>
      <c r="AC165" s="1">
        <v>8.8800000000000007E-3</v>
      </c>
      <c r="AD165" s="9"/>
      <c r="AE165" s="1" t="s">
        <v>28</v>
      </c>
      <c r="AF165" s="1">
        <f>AC165</f>
        <v>8.8800000000000007E-3</v>
      </c>
      <c r="AH165" s="1">
        <v>4000</v>
      </c>
      <c r="AI165" s="1" t="s">
        <v>510</v>
      </c>
      <c r="AJ165" s="14" t="s">
        <v>156</v>
      </c>
      <c r="AK165" s="1" t="s">
        <v>513</v>
      </c>
      <c r="AL165" s="1" t="s">
        <v>308</v>
      </c>
      <c r="AM165" s="1" t="s">
        <v>307</v>
      </c>
      <c r="AN165" s="2" t="s">
        <v>306</v>
      </c>
      <c r="BO165" s="1">
        <f>SUM($AP165,$AQ165:AQ165)-SUM($CK165:CL165)</f>
        <v>0</v>
      </c>
      <c r="BP165" s="1">
        <f>SUM($AP165,$AQ165:AR165)-SUM($CK165:CM165)</f>
        <v>0</v>
      </c>
      <c r="BQ165" s="1">
        <f>SUM($AP165,$AQ165:AS165)-SUM($CK165:CN165)</f>
        <v>0</v>
      </c>
      <c r="BR165" s="1">
        <f>SUM($AP165,$AQ165:AT165)-SUM($CK165:CO165)</f>
        <v>-4120</v>
      </c>
      <c r="BS165" s="1">
        <f>SUM($AP165,$AQ165:AU165)-SUM($CK165:CP165)</f>
        <v>-12360</v>
      </c>
      <c r="BT165" s="1">
        <f>SUM($AP165,$AQ165:AV165)-SUM($CK165:CQ165)</f>
        <v>-24720</v>
      </c>
      <c r="BU165" s="1">
        <f>SUM($AP165,$AQ165:AW165)-SUM($CK165:CR165)</f>
        <v>-41200</v>
      </c>
      <c r="BV165" s="1">
        <f>SUM($AP165,$AQ165:AX165)-SUM($CK165:CS165)</f>
        <v>-61800</v>
      </c>
      <c r="BW165" s="1">
        <f>SUM($AP165,$AQ165:AY165)-SUM($CK165:CT165)</f>
        <v>-86520</v>
      </c>
      <c r="BX165" s="1">
        <f>SUM($AP165,$AQ165:AZ165)-SUM($CK165:CU165)</f>
        <v>-115360</v>
      </c>
      <c r="BY165" s="1">
        <f>SUM($AP165,$AQ165:BA165)-SUM($CK165:CV165)</f>
        <v>-148320</v>
      </c>
      <c r="BZ165" s="1">
        <f>SUM($AP165,$AQ165:BB165)-SUM($CK165:CW165)</f>
        <v>-185400</v>
      </c>
      <c r="CA165" s="1">
        <f>SUM($AP165,$AQ165:BC165)-SUM($CK165:CX165)</f>
        <v>-226600</v>
      </c>
      <c r="CB165" s="1">
        <f>SUM($AP165,$AQ165:BD165)-SUM($CK165:CY165)</f>
        <v>-271920</v>
      </c>
      <c r="CC165" s="1">
        <f>SUM($AP165,$AQ165:BE165)-SUM($CK165:CZ165)</f>
        <v>-321360</v>
      </c>
      <c r="CD165" s="1">
        <f>SUM($AP165,$AQ165:BF165)-SUM($CK165:DA165)</f>
        <v>-374920</v>
      </c>
      <c r="CE165" s="1">
        <f>SUM($AP165,$AQ165:BG165)-SUM($CK165:DB165)</f>
        <v>-374920</v>
      </c>
      <c r="CF165" s="1">
        <f>SUM($AP165,$AQ165:BH165)-SUM($CK165:DC165)</f>
        <v>-374920</v>
      </c>
      <c r="CG165" s="1">
        <f>SUM($AP165,$AQ165:BI165)-SUM($CK165:DD165)</f>
        <v>-374920</v>
      </c>
      <c r="CK165" s="1">
        <f t="array" ref="CK165">SUMPRODUCT($H165:$Y165,(TRANSPOSE(CK$2:CK$19)))</f>
        <v>0</v>
      </c>
      <c r="CL165" s="1">
        <f t="array" ref="CL165">SUMPRODUCT($H165:$Y165,(TRANSPOSE(CL$2:CL$19)))</f>
        <v>0</v>
      </c>
      <c r="CM165" s="1">
        <f t="array" ref="CM165">SUMPRODUCT($H165:$Y165,(TRANSPOSE(CM$2:CM$19)))</f>
        <v>0</v>
      </c>
      <c r="CN165" s="1">
        <f t="array" ref="CN165">SUMPRODUCT($H165:$Y165,(TRANSPOSE(CN$2:CN$19)))</f>
        <v>0</v>
      </c>
      <c r="CO165" s="1">
        <f t="array" ref="CO165">SUMPRODUCT($H165:$Y165,(TRANSPOSE(CO$2:CO$19)))</f>
        <v>4120</v>
      </c>
      <c r="CP165" s="1">
        <f t="array" ref="CP165">SUMPRODUCT($H165:$Y165,(TRANSPOSE(CP$2:CP$19)))</f>
        <v>8240</v>
      </c>
      <c r="CQ165" s="1">
        <f t="array" ref="CQ165">SUMPRODUCT($H165:$Y165,(TRANSPOSE(CQ$2:CQ$19)))</f>
        <v>12360</v>
      </c>
      <c r="CR165" s="1">
        <f t="array" ref="CR165">SUMPRODUCT($H165:$Y165,(TRANSPOSE(CR$2:CR$19)))</f>
        <v>16480</v>
      </c>
      <c r="CS165" s="1">
        <f t="array" ref="CS165">SUMPRODUCT($H165:$Y165,(TRANSPOSE(CS$2:CS$19)))</f>
        <v>20600</v>
      </c>
      <c r="CT165" s="1">
        <f t="array" ref="CT165">SUMPRODUCT($H165:$Y165,(TRANSPOSE(CT$2:CT$19)))</f>
        <v>24720</v>
      </c>
      <c r="CU165" s="1">
        <f t="array" ref="CU165">SUMPRODUCT($H165:$Y165,(TRANSPOSE(CU$2:CU$19)))</f>
        <v>28840</v>
      </c>
      <c r="CV165" s="1">
        <f t="array" ref="CV165">SUMPRODUCT($H165:$Y165,(TRANSPOSE(CV$2:CV$19)))</f>
        <v>32960</v>
      </c>
      <c r="CW165" s="1">
        <f t="array" ref="CW165">SUMPRODUCT($H165:$Y165,(TRANSPOSE(CW$2:CW$19)))</f>
        <v>37080</v>
      </c>
      <c r="CX165" s="1">
        <f t="array" ref="CX165">SUMPRODUCT($H165:$Y165,(TRANSPOSE(CX$2:CX$19)))</f>
        <v>41200</v>
      </c>
      <c r="CY165" s="1">
        <f t="array" ref="CY165">SUMPRODUCT($H165:$Y165,(TRANSPOSE(CY$2:CY$19)))</f>
        <v>45320</v>
      </c>
      <c r="CZ165" s="1">
        <f t="array" ref="CZ165">SUMPRODUCT($H165:$Y165,(TRANSPOSE(CZ$2:CZ$19)))</f>
        <v>49440</v>
      </c>
      <c r="DA165" s="1">
        <f t="array" ref="DA165">SUMPRODUCT($H165:$Y165,(TRANSPOSE(DA$2:DA$19)))</f>
        <v>53560</v>
      </c>
      <c r="DB165" s="1">
        <f t="array" ref="DB165">SUMPRODUCT($H165:$Y165,(TRANSPOSE(DB$2:DB$19)))</f>
        <v>0</v>
      </c>
      <c r="DC165" s="1">
        <f t="array" ref="DC165">SUMPRODUCT($H165:$Y165,(TRANSPOSE(DC$2:DC$19)))</f>
        <v>0</v>
      </c>
      <c r="DD165" s="1">
        <f t="array" ref="DD165">SUMPRODUCT($H165:$Y165,(TRANSPOSE(DD$2:DD$19)))</f>
        <v>0</v>
      </c>
    </row>
    <row r="166" spans="1:108" x14ac:dyDescent="0.2">
      <c r="A166" s="1">
        <v>182</v>
      </c>
      <c r="B166" s="10" t="s">
        <v>512</v>
      </c>
      <c r="C166" s="1" t="s">
        <v>22</v>
      </c>
      <c r="D166" s="1">
        <v>400538428</v>
      </c>
      <c r="E166" s="1">
        <v>400326598</v>
      </c>
      <c r="F166" s="1" t="s">
        <v>511</v>
      </c>
      <c r="G166" s="1" t="s">
        <v>20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22</v>
      </c>
      <c r="V166" s="1">
        <v>0</v>
      </c>
      <c r="W166" s="1">
        <v>0</v>
      </c>
      <c r="X166" s="1">
        <v>0</v>
      </c>
      <c r="Y166" s="1">
        <v>22</v>
      </c>
      <c r="Z166" s="1">
        <f>SUM(H166:Y166)</f>
        <v>44</v>
      </c>
      <c r="AA166" s="1">
        <f>SUMPRODUCT(H166:Y166,$H$16:$Y$16)</f>
        <v>40040</v>
      </c>
      <c r="AB166" s="1" t="s">
        <v>497</v>
      </c>
      <c r="AC166" s="1">
        <v>0.12</v>
      </c>
      <c r="AD166" s="9"/>
      <c r="AE166" s="1" t="s">
        <v>28</v>
      </c>
      <c r="AF166" s="1">
        <f>AC166</f>
        <v>0.12</v>
      </c>
      <c r="AH166" s="1">
        <v>4000</v>
      </c>
      <c r="AI166" s="1" t="s">
        <v>510</v>
      </c>
      <c r="AK166" s="1" t="s">
        <v>509</v>
      </c>
      <c r="AL166" s="1" t="s">
        <v>508</v>
      </c>
      <c r="AM166" s="1" t="s">
        <v>507</v>
      </c>
      <c r="AN166" s="2" t="s">
        <v>506</v>
      </c>
      <c r="BO166" s="1">
        <f>SUM($AP166,$AQ166:AQ166)-SUM($CK166:CL166)</f>
        <v>0</v>
      </c>
      <c r="BP166" s="1">
        <f>SUM($AP166,$AQ166:AR166)-SUM($CK166:CM166)</f>
        <v>0</v>
      </c>
      <c r="BQ166" s="1">
        <f>SUM($AP166,$AQ166:AS166)-SUM($CK166:CN166)</f>
        <v>0</v>
      </c>
      <c r="BR166" s="1">
        <f>SUM($AP166,$AQ166:AT166)-SUM($CK166:CO166)</f>
        <v>-440</v>
      </c>
      <c r="BS166" s="1">
        <f>SUM($AP166,$AQ166:AU166)-SUM($CK166:CP166)</f>
        <v>-1320</v>
      </c>
      <c r="BT166" s="1">
        <f>SUM($AP166,$AQ166:AV166)-SUM($CK166:CQ166)</f>
        <v>-2640</v>
      </c>
      <c r="BU166" s="1">
        <f>SUM($AP166,$AQ166:AW166)-SUM($CK166:CR166)</f>
        <v>-4400</v>
      </c>
      <c r="BV166" s="1">
        <f>SUM($AP166,$AQ166:AX166)-SUM($CK166:CS166)</f>
        <v>-6600</v>
      </c>
      <c r="BW166" s="1">
        <f>SUM($AP166,$AQ166:AY166)-SUM($CK166:CT166)</f>
        <v>-9240</v>
      </c>
      <c r="BX166" s="1">
        <f>SUM($AP166,$AQ166:AZ166)-SUM($CK166:CU166)</f>
        <v>-12320</v>
      </c>
      <c r="BY166" s="1">
        <f>SUM($AP166,$AQ166:BA166)-SUM($CK166:CV166)</f>
        <v>-15840</v>
      </c>
      <c r="BZ166" s="1">
        <f>SUM($AP166,$AQ166:BB166)-SUM($CK166:CW166)</f>
        <v>-19800</v>
      </c>
      <c r="CA166" s="1">
        <f>SUM($AP166,$AQ166:BC166)-SUM($CK166:CX166)</f>
        <v>-24200</v>
      </c>
      <c r="CB166" s="1">
        <f>SUM($AP166,$AQ166:BD166)-SUM($CK166:CY166)</f>
        <v>-29040</v>
      </c>
      <c r="CC166" s="1">
        <f>SUM($AP166,$AQ166:BE166)-SUM($CK166:CZ166)</f>
        <v>-34320</v>
      </c>
      <c r="CD166" s="1">
        <f>SUM($AP166,$AQ166:BF166)-SUM($CK166:DA166)</f>
        <v>-40040</v>
      </c>
      <c r="CE166" s="1">
        <f>SUM($AP166,$AQ166:BG166)-SUM($CK166:DB166)</f>
        <v>-40040</v>
      </c>
      <c r="CF166" s="1">
        <f>SUM($AP166,$AQ166:BH166)-SUM($CK166:DC166)</f>
        <v>-40040</v>
      </c>
      <c r="CG166" s="1">
        <f>SUM($AP166,$AQ166:BI166)-SUM($CK166:DD166)</f>
        <v>-40040</v>
      </c>
      <c r="CK166" s="1">
        <f t="array" ref="CK166">SUMPRODUCT($H166:$Y166,(TRANSPOSE(CK$2:CK$19)))</f>
        <v>0</v>
      </c>
      <c r="CL166" s="1">
        <f t="array" ref="CL166">SUMPRODUCT($H166:$Y166,(TRANSPOSE(CL$2:CL$19)))</f>
        <v>0</v>
      </c>
      <c r="CM166" s="1">
        <f t="array" ref="CM166">SUMPRODUCT($H166:$Y166,(TRANSPOSE(CM$2:CM$19)))</f>
        <v>0</v>
      </c>
      <c r="CN166" s="1">
        <f t="array" ref="CN166">SUMPRODUCT($H166:$Y166,(TRANSPOSE(CN$2:CN$19)))</f>
        <v>0</v>
      </c>
      <c r="CO166" s="1">
        <f t="array" ref="CO166">SUMPRODUCT($H166:$Y166,(TRANSPOSE(CO$2:CO$19)))</f>
        <v>440</v>
      </c>
      <c r="CP166" s="1">
        <f t="array" ref="CP166">SUMPRODUCT($H166:$Y166,(TRANSPOSE(CP$2:CP$19)))</f>
        <v>880</v>
      </c>
      <c r="CQ166" s="1">
        <f t="array" ref="CQ166">SUMPRODUCT($H166:$Y166,(TRANSPOSE(CQ$2:CQ$19)))</f>
        <v>1320</v>
      </c>
      <c r="CR166" s="1">
        <f t="array" ref="CR166">SUMPRODUCT($H166:$Y166,(TRANSPOSE(CR$2:CR$19)))</f>
        <v>1760</v>
      </c>
      <c r="CS166" s="1">
        <f t="array" ref="CS166">SUMPRODUCT($H166:$Y166,(TRANSPOSE(CS$2:CS$19)))</f>
        <v>2200</v>
      </c>
      <c r="CT166" s="1">
        <f t="array" ref="CT166">SUMPRODUCT($H166:$Y166,(TRANSPOSE(CT$2:CT$19)))</f>
        <v>2640</v>
      </c>
      <c r="CU166" s="1">
        <f t="array" ref="CU166">SUMPRODUCT($H166:$Y166,(TRANSPOSE(CU$2:CU$19)))</f>
        <v>3080</v>
      </c>
      <c r="CV166" s="1">
        <f t="array" ref="CV166">SUMPRODUCT($H166:$Y166,(TRANSPOSE(CV$2:CV$19)))</f>
        <v>3520</v>
      </c>
      <c r="CW166" s="1">
        <f t="array" ref="CW166">SUMPRODUCT($H166:$Y166,(TRANSPOSE(CW$2:CW$19)))</f>
        <v>3960</v>
      </c>
      <c r="CX166" s="1">
        <f t="array" ref="CX166">SUMPRODUCT($H166:$Y166,(TRANSPOSE(CX$2:CX$19)))</f>
        <v>4400</v>
      </c>
      <c r="CY166" s="1">
        <f t="array" ref="CY166">SUMPRODUCT($H166:$Y166,(TRANSPOSE(CY$2:CY$19)))</f>
        <v>4840</v>
      </c>
      <c r="CZ166" s="1">
        <f t="array" ref="CZ166">SUMPRODUCT($H166:$Y166,(TRANSPOSE(CZ$2:CZ$19)))</f>
        <v>5280</v>
      </c>
      <c r="DA166" s="1">
        <f t="array" ref="DA166">SUMPRODUCT($H166:$Y166,(TRANSPOSE(DA$2:DA$19)))</f>
        <v>5720</v>
      </c>
      <c r="DB166" s="1">
        <f t="array" ref="DB166">SUMPRODUCT($H166:$Y166,(TRANSPOSE(DB$2:DB$19)))</f>
        <v>0</v>
      </c>
      <c r="DC166" s="1">
        <f t="array" ref="DC166">SUMPRODUCT($H166:$Y166,(TRANSPOSE(DC$2:DC$19)))</f>
        <v>0</v>
      </c>
      <c r="DD166" s="1">
        <f t="array" ref="DD166">SUMPRODUCT($H166:$Y166,(TRANSPOSE(DD$2:DD$19)))</f>
        <v>0</v>
      </c>
    </row>
    <row r="167" spans="1:108" x14ac:dyDescent="0.2">
      <c r="A167" s="1">
        <v>183</v>
      </c>
      <c r="B167" s="10" t="s">
        <v>505</v>
      </c>
      <c r="C167" s="1" t="s">
        <v>22</v>
      </c>
      <c r="D167" s="1">
        <v>401554938</v>
      </c>
      <c r="E167" s="1">
        <v>401502404</v>
      </c>
      <c r="F167" s="1" t="s">
        <v>504</v>
      </c>
      <c r="G167" s="1" t="s">
        <v>20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710</v>
      </c>
      <c r="U167" s="1">
        <v>0</v>
      </c>
      <c r="V167" s="1">
        <v>0</v>
      </c>
      <c r="W167" s="1">
        <v>0</v>
      </c>
      <c r="X167" s="1">
        <v>710</v>
      </c>
      <c r="Y167" s="1">
        <v>0</v>
      </c>
      <c r="Z167" s="1">
        <f>SUM(H167:Y167)</f>
        <v>1420</v>
      </c>
      <c r="AA167" s="1">
        <f>SUMPRODUCT(H167:Y167,$H$16:$Y$16)</f>
        <v>1292200</v>
      </c>
      <c r="AB167" s="1" t="s">
        <v>497</v>
      </c>
      <c r="AC167" s="1">
        <v>1.7999999999999999E-2</v>
      </c>
      <c r="AD167" s="9"/>
      <c r="AE167" s="1" t="s">
        <v>28</v>
      </c>
      <c r="AF167" s="1">
        <f>AC167</f>
        <v>1.7999999999999999E-2</v>
      </c>
      <c r="AH167" s="1">
        <v>2500</v>
      </c>
      <c r="AI167" s="1">
        <v>12</v>
      </c>
      <c r="AK167" s="1" t="s">
        <v>481</v>
      </c>
      <c r="AL167" s="1" t="s">
        <v>480</v>
      </c>
      <c r="AM167" s="1" t="s">
        <v>479</v>
      </c>
      <c r="AN167" s="2" t="s">
        <v>478</v>
      </c>
      <c r="AO167" s="1" t="s">
        <v>503</v>
      </c>
      <c r="BO167" s="1">
        <f>SUM($AP167,$AQ167:AQ167)-SUM($CK167:CL167)</f>
        <v>0</v>
      </c>
      <c r="BP167" s="1">
        <f>SUM($AP167,$AQ167:AR167)-SUM($CK167:CM167)</f>
        <v>0</v>
      </c>
      <c r="BQ167" s="1">
        <f>SUM($AP167,$AQ167:AS167)-SUM($CK167:CN167)</f>
        <v>0</v>
      </c>
      <c r="BR167" s="1">
        <f>SUM($AP167,$AQ167:AT167)-SUM($CK167:CO167)</f>
        <v>-14200</v>
      </c>
      <c r="BS167" s="1">
        <f>SUM($AP167,$AQ167:AU167)-SUM($CK167:CP167)</f>
        <v>-42600</v>
      </c>
      <c r="BT167" s="1">
        <f>SUM($AP167,$AQ167:AV167)-SUM($CK167:CQ167)</f>
        <v>-85200</v>
      </c>
      <c r="BU167" s="1">
        <f>SUM($AP167,$AQ167:AW167)-SUM($CK167:CR167)</f>
        <v>-142000</v>
      </c>
      <c r="BV167" s="1">
        <f>SUM($AP167,$AQ167:AX167)-SUM($CK167:CS167)</f>
        <v>-213000</v>
      </c>
      <c r="BW167" s="1">
        <f>SUM($AP167,$AQ167:AY167)-SUM($CK167:CT167)</f>
        <v>-298200</v>
      </c>
      <c r="BX167" s="1">
        <f>SUM($AP167,$AQ167:AZ167)-SUM($CK167:CU167)</f>
        <v>-397600</v>
      </c>
      <c r="BY167" s="1">
        <f>SUM($AP167,$AQ167:BA167)-SUM($CK167:CV167)</f>
        <v>-511200</v>
      </c>
      <c r="BZ167" s="1">
        <f>SUM($AP167,$AQ167:BB167)-SUM($CK167:CW167)</f>
        <v>-639000</v>
      </c>
      <c r="CA167" s="1">
        <f>SUM($AP167,$AQ167:BC167)-SUM($CK167:CX167)</f>
        <v>-781000</v>
      </c>
      <c r="CB167" s="1">
        <f>SUM($AP167,$AQ167:BD167)-SUM($CK167:CY167)</f>
        <v>-937200</v>
      </c>
      <c r="CC167" s="1">
        <f>SUM($AP167,$AQ167:BE167)-SUM($CK167:CZ167)</f>
        <v>-1107600</v>
      </c>
      <c r="CD167" s="1">
        <f>SUM($AP167,$AQ167:BF167)-SUM($CK167:DA167)</f>
        <v>-1292200</v>
      </c>
      <c r="CE167" s="1">
        <f>SUM($AP167,$AQ167:BG167)-SUM($CK167:DB167)</f>
        <v>-1292200</v>
      </c>
      <c r="CF167" s="1">
        <f>SUM($AP167,$AQ167:BH167)-SUM($CK167:DC167)</f>
        <v>-1292200</v>
      </c>
      <c r="CG167" s="1">
        <f>SUM($AP167,$AQ167:BI167)-SUM($CK167:DD167)</f>
        <v>-1292200</v>
      </c>
      <c r="CK167" s="1">
        <f t="array" ref="CK167">SUMPRODUCT($H167:$Y167,(TRANSPOSE(CK$2:CK$19)))</f>
        <v>0</v>
      </c>
      <c r="CL167" s="1">
        <f t="array" ref="CL167">SUMPRODUCT($H167:$Y167,(TRANSPOSE(CL$2:CL$19)))</f>
        <v>0</v>
      </c>
      <c r="CM167" s="1">
        <f t="array" ref="CM167">SUMPRODUCT($H167:$Y167,(TRANSPOSE(CM$2:CM$19)))</f>
        <v>0</v>
      </c>
      <c r="CN167" s="1">
        <f t="array" ref="CN167">SUMPRODUCT($H167:$Y167,(TRANSPOSE(CN$2:CN$19)))</f>
        <v>0</v>
      </c>
      <c r="CO167" s="1">
        <f t="array" ref="CO167">SUMPRODUCT($H167:$Y167,(TRANSPOSE(CO$2:CO$19)))</f>
        <v>14200</v>
      </c>
      <c r="CP167" s="1">
        <f t="array" ref="CP167">SUMPRODUCT($H167:$Y167,(TRANSPOSE(CP$2:CP$19)))</f>
        <v>28400</v>
      </c>
      <c r="CQ167" s="1">
        <f t="array" ref="CQ167">SUMPRODUCT($H167:$Y167,(TRANSPOSE(CQ$2:CQ$19)))</f>
        <v>42600</v>
      </c>
      <c r="CR167" s="1">
        <f t="array" ref="CR167">SUMPRODUCT($H167:$Y167,(TRANSPOSE(CR$2:CR$19)))</f>
        <v>56800</v>
      </c>
      <c r="CS167" s="1">
        <f t="array" ref="CS167">SUMPRODUCT($H167:$Y167,(TRANSPOSE(CS$2:CS$19)))</f>
        <v>71000</v>
      </c>
      <c r="CT167" s="1">
        <f t="array" ref="CT167">SUMPRODUCT($H167:$Y167,(TRANSPOSE(CT$2:CT$19)))</f>
        <v>85200</v>
      </c>
      <c r="CU167" s="1">
        <f t="array" ref="CU167">SUMPRODUCT($H167:$Y167,(TRANSPOSE(CU$2:CU$19)))</f>
        <v>99400</v>
      </c>
      <c r="CV167" s="1">
        <f t="array" ref="CV167">SUMPRODUCT($H167:$Y167,(TRANSPOSE(CV$2:CV$19)))</f>
        <v>113600</v>
      </c>
      <c r="CW167" s="1">
        <f t="array" ref="CW167">SUMPRODUCT($H167:$Y167,(TRANSPOSE(CW$2:CW$19)))</f>
        <v>127800</v>
      </c>
      <c r="CX167" s="1">
        <f t="array" ref="CX167">SUMPRODUCT($H167:$Y167,(TRANSPOSE(CX$2:CX$19)))</f>
        <v>142000</v>
      </c>
      <c r="CY167" s="1">
        <f t="array" ref="CY167">SUMPRODUCT($H167:$Y167,(TRANSPOSE(CY$2:CY$19)))</f>
        <v>156200</v>
      </c>
      <c r="CZ167" s="1">
        <f t="array" ref="CZ167">SUMPRODUCT($H167:$Y167,(TRANSPOSE(CZ$2:CZ$19)))</f>
        <v>170400</v>
      </c>
      <c r="DA167" s="1">
        <f t="array" ref="DA167">SUMPRODUCT($H167:$Y167,(TRANSPOSE(DA$2:DA$19)))</f>
        <v>184600</v>
      </c>
      <c r="DB167" s="1">
        <f t="array" ref="DB167">SUMPRODUCT($H167:$Y167,(TRANSPOSE(DB$2:DB$19)))</f>
        <v>0</v>
      </c>
      <c r="DC167" s="1">
        <f t="array" ref="DC167">SUMPRODUCT($H167:$Y167,(TRANSPOSE(DC$2:DC$19)))</f>
        <v>0</v>
      </c>
      <c r="DD167" s="1">
        <f t="array" ref="DD167">SUMPRODUCT($H167:$Y167,(TRANSPOSE(DD$2:DD$19)))</f>
        <v>0</v>
      </c>
    </row>
    <row r="168" spans="1:108" x14ac:dyDescent="0.2">
      <c r="A168" s="1">
        <v>184</v>
      </c>
      <c r="B168" s="10" t="s">
        <v>502</v>
      </c>
      <c r="C168" s="1" t="s">
        <v>22</v>
      </c>
      <c r="D168" s="1">
        <v>584100838</v>
      </c>
      <c r="F168" s="1" t="s">
        <v>501</v>
      </c>
      <c r="G168" s="1" t="s">
        <v>20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4</v>
      </c>
      <c r="S168" s="1">
        <v>0</v>
      </c>
      <c r="T168" s="1">
        <v>0</v>
      </c>
      <c r="U168" s="1">
        <v>0</v>
      </c>
      <c r="V168" s="1">
        <v>4</v>
      </c>
      <c r="W168" s="1">
        <v>0</v>
      </c>
      <c r="X168" s="1">
        <v>0</v>
      </c>
      <c r="Y168" s="1">
        <v>0</v>
      </c>
      <c r="Z168" s="1">
        <f>SUM(H168:Y168)</f>
        <v>8</v>
      </c>
      <c r="AA168" s="1">
        <f>SUMPRODUCT(H168:Y168,$H$16:$Y$16)</f>
        <v>7280</v>
      </c>
      <c r="AB168" s="1" t="s">
        <v>500</v>
      </c>
      <c r="AC168" s="1">
        <v>1.72</v>
      </c>
      <c r="AD168" s="9"/>
      <c r="AE168" s="1" t="s">
        <v>28</v>
      </c>
      <c r="AF168" s="1">
        <f>AC168</f>
        <v>1.72</v>
      </c>
      <c r="AH168" s="1">
        <v>1</v>
      </c>
      <c r="AK168" s="1" t="s">
        <v>183</v>
      </c>
      <c r="AL168" s="1" t="s">
        <v>182</v>
      </c>
      <c r="AM168" s="1" t="s">
        <v>181</v>
      </c>
      <c r="AN168" s="2" t="s">
        <v>180</v>
      </c>
      <c r="BO168" s="1">
        <f>SUM($AP168,$AQ168:AQ168)-SUM($CK168:CL168)</f>
        <v>0</v>
      </c>
      <c r="BP168" s="1">
        <f>SUM($AP168,$AQ168:AR168)-SUM($CK168:CM168)</f>
        <v>0</v>
      </c>
      <c r="BQ168" s="1">
        <f>SUM($AP168,$AQ168:AS168)-SUM($CK168:CN168)</f>
        <v>0</v>
      </c>
      <c r="BR168" s="1">
        <f>SUM($AP168,$AQ168:AT168)-SUM($CK168:CO168)</f>
        <v>0</v>
      </c>
      <c r="BS168" s="1">
        <f>SUM($AP168,$AQ168:AU168)-SUM($CK168:CP168)</f>
        <v>0</v>
      </c>
      <c r="BT168" s="1">
        <f>SUM($AP168,$AQ168:AV168)-SUM($CK168:CQ168)</f>
        <v>-80</v>
      </c>
      <c r="BU168" s="1">
        <f>SUM($AP168,$AQ168:AW168)-SUM($CK168:CR168)</f>
        <v>-240</v>
      </c>
      <c r="BV168" s="1">
        <f>SUM($AP168,$AQ168:AX168)-SUM($CK168:CS168)</f>
        <v>-480</v>
      </c>
      <c r="BW168" s="1">
        <f>SUM($AP168,$AQ168:AY168)-SUM($CK168:CT168)</f>
        <v>-800</v>
      </c>
      <c r="BX168" s="1">
        <f>SUM($AP168,$AQ168:AZ168)-SUM($CK168:CU168)</f>
        <v>-1200</v>
      </c>
      <c r="BY168" s="1">
        <f>SUM($AP168,$AQ168:BA168)-SUM($CK168:CV168)</f>
        <v>-1680</v>
      </c>
      <c r="BZ168" s="1">
        <f>SUM($AP168,$AQ168:BB168)-SUM($CK168:CW168)</f>
        <v>-2240</v>
      </c>
      <c r="CA168" s="1">
        <f>SUM($AP168,$AQ168:BC168)-SUM($CK168:CX168)</f>
        <v>-2880</v>
      </c>
      <c r="CB168" s="1">
        <f>SUM($AP168,$AQ168:BD168)-SUM($CK168:CY168)</f>
        <v>-3600</v>
      </c>
      <c r="CC168" s="1">
        <f>SUM($AP168,$AQ168:BE168)-SUM($CK168:CZ168)</f>
        <v>-4400</v>
      </c>
      <c r="CD168" s="1">
        <f>SUM($AP168,$AQ168:BF168)-SUM($CK168:DA168)</f>
        <v>-5280</v>
      </c>
      <c r="CE168" s="1">
        <f>SUM($AP168,$AQ168:BG168)-SUM($CK168:DB168)</f>
        <v>-6240</v>
      </c>
      <c r="CF168" s="1">
        <f>SUM($AP168,$AQ168:BH168)-SUM($CK168:DC168)</f>
        <v>-7280</v>
      </c>
      <c r="CG168" s="1">
        <f>SUM($AP168,$AQ168:BI168)-SUM($CK168:DD168)</f>
        <v>-7280</v>
      </c>
      <c r="CK168" s="1">
        <f t="array" ref="CK168">SUMPRODUCT($H168:$Y168,(TRANSPOSE(CK$2:CK$19)))</f>
        <v>0</v>
      </c>
      <c r="CL168" s="1">
        <f t="array" ref="CL168">SUMPRODUCT($H168:$Y168,(TRANSPOSE(CL$2:CL$19)))</f>
        <v>0</v>
      </c>
      <c r="CM168" s="1">
        <f t="array" ref="CM168">SUMPRODUCT($H168:$Y168,(TRANSPOSE(CM$2:CM$19)))</f>
        <v>0</v>
      </c>
      <c r="CN168" s="1">
        <f t="array" ref="CN168">SUMPRODUCT($H168:$Y168,(TRANSPOSE(CN$2:CN$19)))</f>
        <v>0</v>
      </c>
      <c r="CO168" s="1">
        <f t="array" ref="CO168">SUMPRODUCT($H168:$Y168,(TRANSPOSE(CO$2:CO$19)))</f>
        <v>0</v>
      </c>
      <c r="CP168" s="1">
        <f t="array" ref="CP168">SUMPRODUCT($H168:$Y168,(TRANSPOSE(CP$2:CP$19)))</f>
        <v>0</v>
      </c>
      <c r="CQ168" s="1">
        <f t="array" ref="CQ168">SUMPRODUCT($H168:$Y168,(TRANSPOSE(CQ$2:CQ$19)))</f>
        <v>80</v>
      </c>
      <c r="CR168" s="1">
        <f t="array" ref="CR168">SUMPRODUCT($H168:$Y168,(TRANSPOSE(CR$2:CR$19)))</f>
        <v>160</v>
      </c>
      <c r="CS168" s="1">
        <f t="array" ref="CS168">SUMPRODUCT($H168:$Y168,(TRANSPOSE(CS$2:CS$19)))</f>
        <v>240</v>
      </c>
      <c r="CT168" s="1">
        <f t="array" ref="CT168">SUMPRODUCT($H168:$Y168,(TRANSPOSE(CT$2:CT$19)))</f>
        <v>320</v>
      </c>
      <c r="CU168" s="1">
        <f t="array" ref="CU168">SUMPRODUCT($H168:$Y168,(TRANSPOSE(CU$2:CU$19)))</f>
        <v>400</v>
      </c>
      <c r="CV168" s="1">
        <f t="array" ref="CV168">SUMPRODUCT($H168:$Y168,(TRANSPOSE(CV$2:CV$19)))</f>
        <v>480</v>
      </c>
      <c r="CW168" s="1">
        <f t="array" ref="CW168">SUMPRODUCT($H168:$Y168,(TRANSPOSE(CW$2:CW$19)))</f>
        <v>560</v>
      </c>
      <c r="CX168" s="1">
        <f t="array" ref="CX168">SUMPRODUCT($H168:$Y168,(TRANSPOSE(CX$2:CX$19)))</f>
        <v>640</v>
      </c>
      <c r="CY168" s="1">
        <f t="array" ref="CY168">SUMPRODUCT($H168:$Y168,(TRANSPOSE(CY$2:CY$19)))</f>
        <v>720</v>
      </c>
      <c r="CZ168" s="1">
        <f t="array" ref="CZ168">SUMPRODUCT($H168:$Y168,(TRANSPOSE(CZ$2:CZ$19)))</f>
        <v>800</v>
      </c>
      <c r="DA168" s="1">
        <f t="array" ref="DA168">SUMPRODUCT($H168:$Y168,(TRANSPOSE(DA$2:DA$19)))</f>
        <v>880</v>
      </c>
      <c r="DB168" s="1">
        <f t="array" ref="DB168">SUMPRODUCT($H168:$Y168,(TRANSPOSE(DB$2:DB$19)))</f>
        <v>960</v>
      </c>
      <c r="DC168" s="1">
        <f t="array" ref="DC168">SUMPRODUCT($H168:$Y168,(TRANSPOSE(DC$2:DC$19)))</f>
        <v>1040</v>
      </c>
      <c r="DD168" s="1">
        <f t="array" ref="DD168">SUMPRODUCT($H168:$Y168,(TRANSPOSE(DD$2:DD$19)))</f>
        <v>0</v>
      </c>
    </row>
    <row r="169" spans="1:108" x14ac:dyDescent="0.2">
      <c r="A169" s="1">
        <v>185</v>
      </c>
      <c r="B169" s="10" t="s">
        <v>499</v>
      </c>
      <c r="C169" s="1" t="s">
        <v>22</v>
      </c>
      <c r="D169" s="1">
        <v>405656805</v>
      </c>
      <c r="E169" s="1">
        <v>403175049</v>
      </c>
      <c r="F169" s="1" t="s">
        <v>498</v>
      </c>
      <c r="G169" s="1" t="s">
        <v>20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314</v>
      </c>
      <c r="U169" s="1">
        <v>0</v>
      </c>
      <c r="V169" s="1">
        <v>0</v>
      </c>
      <c r="W169" s="1">
        <v>0</v>
      </c>
      <c r="X169" s="1">
        <v>314</v>
      </c>
      <c r="Y169" s="1">
        <v>0</v>
      </c>
      <c r="Z169" s="1">
        <f>SUM(H169:Y169)</f>
        <v>628</v>
      </c>
      <c r="AA169" s="1">
        <f>SUMPRODUCT(H169:Y169,$H$16:$Y$16)</f>
        <v>571480</v>
      </c>
      <c r="AB169" s="1" t="s">
        <v>497</v>
      </c>
      <c r="AC169" s="1">
        <v>0.12</v>
      </c>
      <c r="AD169" s="9"/>
      <c r="AE169" s="1" t="s">
        <v>28</v>
      </c>
      <c r="AF169" s="1">
        <f>AC169</f>
        <v>0.12</v>
      </c>
      <c r="AH169" s="1">
        <v>1000</v>
      </c>
      <c r="AI169" s="1">
        <v>12</v>
      </c>
      <c r="AK169" s="1" t="s">
        <v>481</v>
      </c>
      <c r="AL169" s="1" t="s">
        <v>480</v>
      </c>
      <c r="AM169" s="1" t="s">
        <v>479</v>
      </c>
      <c r="AN169" s="2" t="s">
        <v>478</v>
      </c>
      <c r="AO169" s="1" t="s">
        <v>496</v>
      </c>
      <c r="BO169" s="1">
        <f>SUM($AP169,$AQ169:AQ169)-SUM($CK169:CL169)</f>
        <v>0</v>
      </c>
      <c r="BP169" s="1">
        <f>SUM($AP169,$AQ169:AR169)-SUM($CK169:CM169)</f>
        <v>0</v>
      </c>
      <c r="BQ169" s="1">
        <f>SUM($AP169,$AQ169:AS169)-SUM($CK169:CN169)</f>
        <v>0</v>
      </c>
      <c r="BR169" s="1">
        <f>SUM($AP169,$AQ169:AT169)-SUM($CK169:CO169)</f>
        <v>-6280</v>
      </c>
      <c r="BS169" s="1">
        <f>SUM($AP169,$AQ169:AU169)-SUM($CK169:CP169)</f>
        <v>-18840</v>
      </c>
      <c r="BT169" s="1">
        <f>SUM($AP169,$AQ169:AV169)-SUM($CK169:CQ169)</f>
        <v>-37680</v>
      </c>
      <c r="BU169" s="1">
        <f>SUM($AP169,$AQ169:AW169)-SUM($CK169:CR169)</f>
        <v>-62800</v>
      </c>
      <c r="BV169" s="1">
        <f>SUM($AP169,$AQ169:AX169)-SUM($CK169:CS169)</f>
        <v>-94200</v>
      </c>
      <c r="BW169" s="1">
        <f>SUM($AP169,$AQ169:AY169)-SUM($CK169:CT169)</f>
        <v>-131880</v>
      </c>
      <c r="BX169" s="1">
        <f>SUM($AP169,$AQ169:AZ169)-SUM($CK169:CU169)</f>
        <v>-175840</v>
      </c>
      <c r="BY169" s="1">
        <f>SUM($AP169,$AQ169:BA169)-SUM($CK169:CV169)</f>
        <v>-226080</v>
      </c>
      <c r="BZ169" s="1">
        <f>SUM($AP169,$AQ169:BB169)-SUM($CK169:CW169)</f>
        <v>-282600</v>
      </c>
      <c r="CA169" s="1">
        <f>SUM($AP169,$AQ169:BC169)-SUM($CK169:CX169)</f>
        <v>-345400</v>
      </c>
      <c r="CB169" s="1">
        <f>SUM($AP169,$AQ169:BD169)-SUM($CK169:CY169)</f>
        <v>-414480</v>
      </c>
      <c r="CC169" s="1">
        <f>SUM($AP169,$AQ169:BE169)-SUM($CK169:CZ169)</f>
        <v>-489840</v>
      </c>
      <c r="CD169" s="1">
        <f>SUM($AP169,$AQ169:BF169)-SUM($CK169:DA169)</f>
        <v>-571480</v>
      </c>
      <c r="CE169" s="1">
        <f>SUM($AP169,$AQ169:BG169)-SUM($CK169:DB169)</f>
        <v>-571480</v>
      </c>
      <c r="CF169" s="1">
        <f>SUM($AP169,$AQ169:BH169)-SUM($CK169:DC169)</f>
        <v>-571480</v>
      </c>
      <c r="CG169" s="1">
        <f>SUM($AP169,$AQ169:BI169)-SUM($CK169:DD169)</f>
        <v>-571480</v>
      </c>
      <c r="CK169" s="1">
        <f t="array" ref="CK169">SUMPRODUCT($H169:$Y169,(TRANSPOSE(CK$2:CK$19)))</f>
        <v>0</v>
      </c>
      <c r="CL169" s="1">
        <f t="array" ref="CL169">SUMPRODUCT($H169:$Y169,(TRANSPOSE(CL$2:CL$19)))</f>
        <v>0</v>
      </c>
      <c r="CM169" s="1">
        <f t="array" ref="CM169">SUMPRODUCT($H169:$Y169,(TRANSPOSE(CM$2:CM$19)))</f>
        <v>0</v>
      </c>
      <c r="CN169" s="1">
        <f t="array" ref="CN169">SUMPRODUCT($H169:$Y169,(TRANSPOSE(CN$2:CN$19)))</f>
        <v>0</v>
      </c>
      <c r="CO169" s="1">
        <f t="array" ref="CO169">SUMPRODUCT($H169:$Y169,(TRANSPOSE(CO$2:CO$19)))</f>
        <v>6280</v>
      </c>
      <c r="CP169" s="1">
        <f t="array" ref="CP169">SUMPRODUCT($H169:$Y169,(TRANSPOSE(CP$2:CP$19)))</f>
        <v>12560</v>
      </c>
      <c r="CQ169" s="1">
        <f t="array" ref="CQ169">SUMPRODUCT($H169:$Y169,(TRANSPOSE(CQ$2:CQ$19)))</f>
        <v>18840</v>
      </c>
      <c r="CR169" s="1">
        <f t="array" ref="CR169">SUMPRODUCT($H169:$Y169,(TRANSPOSE(CR$2:CR$19)))</f>
        <v>25120</v>
      </c>
      <c r="CS169" s="1">
        <f t="array" ref="CS169">SUMPRODUCT($H169:$Y169,(TRANSPOSE(CS$2:CS$19)))</f>
        <v>31400</v>
      </c>
      <c r="CT169" s="1">
        <f t="array" ref="CT169">SUMPRODUCT($H169:$Y169,(TRANSPOSE(CT$2:CT$19)))</f>
        <v>37680</v>
      </c>
      <c r="CU169" s="1">
        <f t="array" ref="CU169">SUMPRODUCT($H169:$Y169,(TRANSPOSE(CU$2:CU$19)))</f>
        <v>43960</v>
      </c>
      <c r="CV169" s="1">
        <f t="array" ref="CV169">SUMPRODUCT($H169:$Y169,(TRANSPOSE(CV$2:CV$19)))</f>
        <v>50240</v>
      </c>
      <c r="CW169" s="1">
        <f t="array" ref="CW169">SUMPRODUCT($H169:$Y169,(TRANSPOSE(CW$2:CW$19)))</f>
        <v>56520</v>
      </c>
      <c r="CX169" s="1">
        <f t="array" ref="CX169">SUMPRODUCT($H169:$Y169,(TRANSPOSE(CX$2:CX$19)))</f>
        <v>62800</v>
      </c>
      <c r="CY169" s="1">
        <f t="array" ref="CY169">SUMPRODUCT($H169:$Y169,(TRANSPOSE(CY$2:CY$19)))</f>
        <v>69080</v>
      </c>
      <c r="CZ169" s="1">
        <f t="array" ref="CZ169">SUMPRODUCT($H169:$Y169,(TRANSPOSE(CZ$2:CZ$19)))</f>
        <v>75360</v>
      </c>
      <c r="DA169" s="1">
        <f t="array" ref="DA169">SUMPRODUCT($H169:$Y169,(TRANSPOSE(DA$2:DA$19)))</f>
        <v>81640</v>
      </c>
      <c r="DB169" s="1">
        <f t="array" ref="DB169">SUMPRODUCT($H169:$Y169,(TRANSPOSE(DB$2:DB$19)))</f>
        <v>0</v>
      </c>
      <c r="DC169" s="1">
        <f t="array" ref="DC169">SUMPRODUCT($H169:$Y169,(TRANSPOSE(DC$2:DC$19)))</f>
        <v>0</v>
      </c>
      <c r="DD169" s="1">
        <f t="array" ref="DD169">SUMPRODUCT($H169:$Y169,(TRANSPOSE(DD$2:DD$19)))</f>
        <v>0</v>
      </c>
    </row>
    <row r="170" spans="1:108" ht="13.5" thickBot="1" x14ac:dyDescent="0.25">
      <c r="A170" s="1">
        <v>186</v>
      </c>
      <c r="B170" s="10" t="s">
        <v>495</v>
      </c>
      <c r="C170" s="1" t="s">
        <v>22</v>
      </c>
      <c r="D170" s="1">
        <v>416653035</v>
      </c>
      <c r="F170" s="1" t="s">
        <v>494</v>
      </c>
      <c r="G170" s="1" t="s">
        <v>20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4</v>
      </c>
      <c r="V170" s="1">
        <v>0</v>
      </c>
      <c r="W170" s="1">
        <v>0</v>
      </c>
      <c r="X170" s="1">
        <v>0</v>
      </c>
      <c r="Y170" s="1">
        <v>4</v>
      </c>
      <c r="Z170" s="1">
        <f>SUM(H170:Y170)</f>
        <v>8</v>
      </c>
      <c r="AA170" s="1">
        <f>SUMPRODUCT(H170:Y170,$H$16:$Y$16)</f>
        <v>7280</v>
      </c>
      <c r="AB170" s="1" t="s">
        <v>493</v>
      </c>
      <c r="AC170" s="1">
        <v>0.39900000000000002</v>
      </c>
      <c r="AD170" s="9"/>
      <c r="AE170" s="1" t="s">
        <v>174</v>
      </c>
      <c r="AF170" s="1">
        <f>AC170*1.1171</f>
        <v>0.44572290000000003</v>
      </c>
      <c r="AG170" s="1">
        <v>500</v>
      </c>
      <c r="AH170" s="1">
        <v>500</v>
      </c>
      <c r="AI170" s="1">
        <v>52</v>
      </c>
      <c r="AK170" s="1" t="s">
        <v>173</v>
      </c>
      <c r="AL170" s="1" t="s">
        <v>172</v>
      </c>
      <c r="AM170" s="1" t="s">
        <v>171</v>
      </c>
      <c r="AN170" s="2" t="s">
        <v>170</v>
      </c>
      <c r="BO170" s="1">
        <f>SUM($AP170,$AQ170:AQ170)-SUM($CK170:CL170)</f>
        <v>0</v>
      </c>
      <c r="BP170" s="1">
        <f>SUM($AP170,$AQ170:AR170)-SUM($CK170:CM170)</f>
        <v>0</v>
      </c>
      <c r="BQ170" s="1">
        <f>SUM($AP170,$AQ170:AS170)-SUM($CK170:CN170)</f>
        <v>0</v>
      </c>
      <c r="BR170" s="1">
        <f>SUM($AP170,$AQ170:AT170)-SUM($CK170:CO170)</f>
        <v>-80</v>
      </c>
      <c r="BS170" s="1">
        <f>SUM($AP170,$AQ170:AU170)-SUM($CK170:CP170)</f>
        <v>-240</v>
      </c>
      <c r="BT170" s="1">
        <f>SUM($AP170,$AQ170:AV170)-SUM($CK170:CQ170)</f>
        <v>-480</v>
      </c>
      <c r="BU170" s="1">
        <f>SUM($AP170,$AQ170:AW170)-SUM($CK170:CR170)</f>
        <v>-800</v>
      </c>
      <c r="BV170" s="1">
        <f>SUM($AP170,$AQ170:AX170)-SUM($CK170:CS170)</f>
        <v>-1200</v>
      </c>
      <c r="BW170" s="1">
        <f>SUM($AP170,$AQ170:AY170)-SUM($CK170:CT170)</f>
        <v>-1680</v>
      </c>
      <c r="BX170" s="1">
        <f>SUM($AP170,$AQ170:AZ170)-SUM($CK170:CU170)</f>
        <v>-2240</v>
      </c>
      <c r="BY170" s="1">
        <f>SUM($AP170,$AQ170:BA170)-SUM($CK170:CV170)</f>
        <v>-2880</v>
      </c>
      <c r="BZ170" s="1">
        <f>SUM($AP170,$AQ170:BB170)-SUM($CK170:CW170)</f>
        <v>-3600</v>
      </c>
      <c r="CA170" s="1">
        <f>SUM($AP170,$AQ170:BC170)-SUM($CK170:CX170)</f>
        <v>-4400</v>
      </c>
      <c r="CB170" s="1">
        <f>SUM($AP170,$AQ170:BD170)-SUM($CK170:CY170)</f>
        <v>-5280</v>
      </c>
      <c r="CC170" s="1">
        <f>SUM($AP170,$AQ170:BE170)-SUM($CK170:CZ170)</f>
        <v>-6240</v>
      </c>
      <c r="CD170" s="1">
        <f>SUM($AP170,$AQ170:BF170)-SUM($CK170:DA170)</f>
        <v>-7280</v>
      </c>
      <c r="CE170" s="1">
        <f>SUM($AP170,$AQ170:BG170)-SUM($CK170:DB170)</f>
        <v>-7280</v>
      </c>
      <c r="CF170" s="1">
        <f>SUM($AP170,$AQ170:BH170)-SUM($CK170:DC170)</f>
        <v>-7280</v>
      </c>
      <c r="CG170" s="1">
        <f>SUM($AP170,$AQ170:BI170)-SUM($CK170:DD170)</f>
        <v>-7280</v>
      </c>
      <c r="CK170" s="1">
        <f t="array" ref="CK170">SUMPRODUCT($H170:$Y170,(TRANSPOSE(CK$2:CK$19)))</f>
        <v>0</v>
      </c>
      <c r="CL170" s="1">
        <f t="array" ref="CL170">SUMPRODUCT($H170:$Y170,(TRANSPOSE(CL$2:CL$19)))</f>
        <v>0</v>
      </c>
      <c r="CM170" s="1">
        <f t="array" ref="CM170">SUMPRODUCT($H170:$Y170,(TRANSPOSE(CM$2:CM$19)))</f>
        <v>0</v>
      </c>
      <c r="CN170" s="1">
        <f t="array" ref="CN170">SUMPRODUCT($H170:$Y170,(TRANSPOSE(CN$2:CN$19)))</f>
        <v>0</v>
      </c>
      <c r="CO170" s="1">
        <f t="array" ref="CO170">SUMPRODUCT($H170:$Y170,(TRANSPOSE(CO$2:CO$19)))</f>
        <v>80</v>
      </c>
      <c r="CP170" s="1">
        <f t="array" ref="CP170">SUMPRODUCT($H170:$Y170,(TRANSPOSE(CP$2:CP$19)))</f>
        <v>160</v>
      </c>
      <c r="CQ170" s="1">
        <f t="array" ref="CQ170">SUMPRODUCT($H170:$Y170,(TRANSPOSE(CQ$2:CQ$19)))</f>
        <v>240</v>
      </c>
      <c r="CR170" s="1">
        <f t="array" ref="CR170">SUMPRODUCT($H170:$Y170,(TRANSPOSE(CR$2:CR$19)))</f>
        <v>320</v>
      </c>
      <c r="CS170" s="1">
        <f t="array" ref="CS170">SUMPRODUCT($H170:$Y170,(TRANSPOSE(CS$2:CS$19)))</f>
        <v>400</v>
      </c>
      <c r="CT170" s="1">
        <f t="array" ref="CT170">SUMPRODUCT($H170:$Y170,(TRANSPOSE(CT$2:CT$19)))</f>
        <v>480</v>
      </c>
      <c r="CU170" s="1">
        <f t="array" ref="CU170">SUMPRODUCT($H170:$Y170,(TRANSPOSE(CU$2:CU$19)))</f>
        <v>560</v>
      </c>
      <c r="CV170" s="1">
        <f t="array" ref="CV170">SUMPRODUCT($H170:$Y170,(TRANSPOSE(CV$2:CV$19)))</f>
        <v>640</v>
      </c>
      <c r="CW170" s="1">
        <f t="array" ref="CW170">SUMPRODUCT($H170:$Y170,(TRANSPOSE(CW$2:CW$19)))</f>
        <v>720</v>
      </c>
      <c r="CX170" s="1">
        <f t="array" ref="CX170">SUMPRODUCT($H170:$Y170,(TRANSPOSE(CX$2:CX$19)))</f>
        <v>800</v>
      </c>
      <c r="CY170" s="1">
        <f t="array" ref="CY170">SUMPRODUCT($H170:$Y170,(TRANSPOSE(CY$2:CY$19)))</f>
        <v>880</v>
      </c>
      <c r="CZ170" s="1">
        <f t="array" ref="CZ170">SUMPRODUCT($H170:$Y170,(TRANSPOSE(CZ$2:CZ$19)))</f>
        <v>960</v>
      </c>
      <c r="DA170" s="1">
        <f t="array" ref="DA170">SUMPRODUCT($H170:$Y170,(TRANSPOSE(DA$2:DA$19)))</f>
        <v>1040</v>
      </c>
      <c r="DB170" s="1">
        <f t="array" ref="DB170">SUMPRODUCT($H170:$Y170,(TRANSPOSE(DB$2:DB$19)))</f>
        <v>0</v>
      </c>
      <c r="DC170" s="1">
        <f t="array" ref="DC170">SUMPRODUCT($H170:$Y170,(TRANSPOSE(DC$2:DC$19)))</f>
        <v>0</v>
      </c>
      <c r="DD170" s="1">
        <f t="array" ref="DD170">SUMPRODUCT($H170:$Y170,(TRANSPOSE(DD$2:DD$19)))</f>
        <v>0</v>
      </c>
    </row>
    <row r="171" spans="1:108" ht="13.5" thickBot="1" x14ac:dyDescent="0.25">
      <c r="A171" s="1">
        <v>187</v>
      </c>
      <c r="B171" s="10" t="s">
        <v>492</v>
      </c>
      <c r="C171" s="1" t="s">
        <v>22</v>
      </c>
      <c r="D171" s="1">
        <v>417983106</v>
      </c>
      <c r="E171" s="1">
        <v>400481181</v>
      </c>
      <c r="F171" s="1" t="s">
        <v>491</v>
      </c>
      <c r="G171" s="1" t="s">
        <v>20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372</v>
      </c>
      <c r="V171" s="1">
        <v>0</v>
      </c>
      <c r="W171" s="1">
        <v>0</v>
      </c>
      <c r="X171" s="1">
        <v>0</v>
      </c>
      <c r="Y171" s="1">
        <v>372</v>
      </c>
      <c r="Z171" s="1">
        <f>SUM(H171:Y171)</f>
        <v>744</v>
      </c>
      <c r="AA171" s="1">
        <f>SUMPRODUCT(H171:Y171,$H$16:$Y$16)</f>
        <v>677040</v>
      </c>
      <c r="AB171" s="11" t="s">
        <v>483</v>
      </c>
      <c r="AC171" s="1">
        <v>2.5000000000000001E-3</v>
      </c>
      <c r="AD171" s="9"/>
      <c r="AE171" s="1" t="s">
        <v>28</v>
      </c>
      <c r="AF171" s="1">
        <f>AC171</f>
        <v>2.5000000000000001E-3</v>
      </c>
      <c r="AH171" s="1">
        <v>10000</v>
      </c>
      <c r="AI171" s="1" t="s">
        <v>482</v>
      </c>
      <c r="AK171" s="1" t="s">
        <v>481</v>
      </c>
      <c r="AL171" s="1" t="s">
        <v>480</v>
      </c>
      <c r="AM171" s="1" t="s">
        <v>479</v>
      </c>
      <c r="AN171" s="2" t="s">
        <v>478</v>
      </c>
      <c r="BO171" s="1">
        <f>SUM($AP171,$AQ171:AQ171)-SUM($CK171:CL171)</f>
        <v>0</v>
      </c>
      <c r="BP171" s="1">
        <f>SUM($AP171,$AQ171:AR171)-SUM($CK171:CM171)</f>
        <v>0</v>
      </c>
      <c r="BQ171" s="1">
        <f>SUM($AP171,$AQ171:AS171)-SUM($CK171:CN171)</f>
        <v>0</v>
      </c>
      <c r="BR171" s="1">
        <f>SUM($AP171,$AQ171:AT171)-SUM($CK171:CO171)</f>
        <v>-7440</v>
      </c>
      <c r="BS171" s="1">
        <f>SUM($AP171,$AQ171:AU171)-SUM($CK171:CP171)</f>
        <v>-22320</v>
      </c>
      <c r="BT171" s="1">
        <f>SUM($AP171,$AQ171:AV171)-SUM($CK171:CQ171)</f>
        <v>-44640</v>
      </c>
      <c r="BU171" s="1">
        <f>SUM($AP171,$AQ171:AW171)-SUM($CK171:CR171)</f>
        <v>-74400</v>
      </c>
      <c r="BV171" s="1">
        <f>SUM($AP171,$AQ171:AX171)-SUM($CK171:CS171)</f>
        <v>-111600</v>
      </c>
      <c r="BW171" s="1">
        <f>SUM($AP171,$AQ171:AY171)-SUM($CK171:CT171)</f>
        <v>-156240</v>
      </c>
      <c r="BX171" s="1">
        <f>SUM($AP171,$AQ171:AZ171)-SUM($CK171:CU171)</f>
        <v>-208320</v>
      </c>
      <c r="BY171" s="1">
        <f>SUM($AP171,$AQ171:BA171)-SUM($CK171:CV171)</f>
        <v>-267840</v>
      </c>
      <c r="BZ171" s="1">
        <f>SUM($AP171,$AQ171:BB171)-SUM($CK171:CW171)</f>
        <v>-334800</v>
      </c>
      <c r="CA171" s="1">
        <f>SUM($AP171,$AQ171:BC171)-SUM($CK171:CX171)</f>
        <v>-409200</v>
      </c>
      <c r="CB171" s="1">
        <f>SUM($AP171,$AQ171:BD171)-SUM($CK171:CY171)</f>
        <v>-491040</v>
      </c>
      <c r="CC171" s="1">
        <f>SUM($AP171,$AQ171:BE171)-SUM($CK171:CZ171)</f>
        <v>-580320</v>
      </c>
      <c r="CD171" s="1">
        <f>SUM($AP171,$AQ171:BF171)-SUM($CK171:DA171)</f>
        <v>-677040</v>
      </c>
      <c r="CE171" s="1">
        <f>SUM($AP171,$AQ171:BG171)-SUM($CK171:DB171)</f>
        <v>-677040</v>
      </c>
      <c r="CF171" s="1">
        <f>SUM($AP171,$AQ171:BH171)-SUM($CK171:DC171)</f>
        <v>-677040</v>
      </c>
      <c r="CG171" s="1">
        <f>SUM($AP171,$AQ171:BI171)-SUM($CK171:DD171)</f>
        <v>-677040</v>
      </c>
      <c r="CK171" s="1">
        <f t="array" ref="CK171">SUMPRODUCT($H171:$Y171,(TRANSPOSE(CK$2:CK$19)))</f>
        <v>0</v>
      </c>
      <c r="CL171" s="1">
        <f t="array" ref="CL171">SUMPRODUCT($H171:$Y171,(TRANSPOSE(CL$2:CL$19)))</f>
        <v>0</v>
      </c>
      <c r="CM171" s="1">
        <f t="array" ref="CM171">SUMPRODUCT($H171:$Y171,(TRANSPOSE(CM$2:CM$19)))</f>
        <v>0</v>
      </c>
      <c r="CN171" s="1">
        <f t="array" ref="CN171">SUMPRODUCT($H171:$Y171,(TRANSPOSE(CN$2:CN$19)))</f>
        <v>0</v>
      </c>
      <c r="CO171" s="1">
        <f t="array" ref="CO171">SUMPRODUCT($H171:$Y171,(TRANSPOSE(CO$2:CO$19)))</f>
        <v>7440</v>
      </c>
      <c r="CP171" s="1">
        <f t="array" ref="CP171">SUMPRODUCT($H171:$Y171,(TRANSPOSE(CP$2:CP$19)))</f>
        <v>14880</v>
      </c>
      <c r="CQ171" s="1">
        <f t="array" ref="CQ171">SUMPRODUCT($H171:$Y171,(TRANSPOSE(CQ$2:CQ$19)))</f>
        <v>22320</v>
      </c>
      <c r="CR171" s="1">
        <f t="array" ref="CR171">SUMPRODUCT($H171:$Y171,(TRANSPOSE(CR$2:CR$19)))</f>
        <v>29760</v>
      </c>
      <c r="CS171" s="1">
        <f t="array" ref="CS171">SUMPRODUCT($H171:$Y171,(TRANSPOSE(CS$2:CS$19)))</f>
        <v>37200</v>
      </c>
      <c r="CT171" s="1">
        <f t="array" ref="CT171">SUMPRODUCT($H171:$Y171,(TRANSPOSE(CT$2:CT$19)))</f>
        <v>44640</v>
      </c>
      <c r="CU171" s="1">
        <f t="array" ref="CU171">SUMPRODUCT($H171:$Y171,(TRANSPOSE(CU$2:CU$19)))</f>
        <v>52080</v>
      </c>
      <c r="CV171" s="1">
        <f t="array" ref="CV171">SUMPRODUCT($H171:$Y171,(TRANSPOSE(CV$2:CV$19)))</f>
        <v>59520</v>
      </c>
      <c r="CW171" s="1">
        <f t="array" ref="CW171">SUMPRODUCT($H171:$Y171,(TRANSPOSE(CW$2:CW$19)))</f>
        <v>66960</v>
      </c>
      <c r="CX171" s="1">
        <f t="array" ref="CX171">SUMPRODUCT($H171:$Y171,(TRANSPOSE(CX$2:CX$19)))</f>
        <v>74400</v>
      </c>
      <c r="CY171" s="1">
        <f t="array" ref="CY171">SUMPRODUCT($H171:$Y171,(TRANSPOSE(CY$2:CY$19)))</f>
        <v>81840</v>
      </c>
      <c r="CZ171" s="1">
        <f t="array" ref="CZ171">SUMPRODUCT($H171:$Y171,(TRANSPOSE(CZ$2:CZ$19)))</f>
        <v>89280</v>
      </c>
      <c r="DA171" s="1">
        <f t="array" ref="DA171">SUMPRODUCT($H171:$Y171,(TRANSPOSE(DA$2:DA$19)))</f>
        <v>96720</v>
      </c>
      <c r="DB171" s="1">
        <f t="array" ref="DB171">SUMPRODUCT($H171:$Y171,(TRANSPOSE(DB$2:DB$19)))</f>
        <v>0</v>
      </c>
      <c r="DC171" s="1">
        <f t="array" ref="DC171">SUMPRODUCT($H171:$Y171,(TRANSPOSE(DC$2:DC$19)))</f>
        <v>0</v>
      </c>
      <c r="DD171" s="1">
        <f t="array" ref="DD171">SUMPRODUCT($H171:$Y171,(TRANSPOSE(DD$2:DD$19)))</f>
        <v>0</v>
      </c>
    </row>
    <row r="172" spans="1:108" ht="13.5" thickBot="1" x14ac:dyDescent="0.25">
      <c r="A172" s="1">
        <v>188</v>
      </c>
      <c r="B172" s="10" t="s">
        <v>490</v>
      </c>
      <c r="C172" s="1" t="s">
        <v>22</v>
      </c>
      <c r="D172" s="1">
        <v>417983107</v>
      </c>
      <c r="E172" s="1">
        <v>400481196</v>
      </c>
      <c r="F172" s="1" t="s">
        <v>489</v>
      </c>
      <c r="G172" s="1" t="s">
        <v>20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2</v>
      </c>
      <c r="U172" s="1">
        <v>0</v>
      </c>
      <c r="V172" s="1">
        <v>0</v>
      </c>
      <c r="W172" s="1">
        <v>0</v>
      </c>
      <c r="X172" s="1">
        <v>2</v>
      </c>
      <c r="Y172" s="1">
        <v>0</v>
      </c>
      <c r="Z172" s="1">
        <f>SUM(H172:Y172)</f>
        <v>4</v>
      </c>
      <c r="AA172" s="1">
        <f>SUMPRODUCT(H172:Y172,$H$16:$Y$16)</f>
        <v>3640</v>
      </c>
      <c r="AB172" s="11" t="s">
        <v>483</v>
      </c>
      <c r="AC172" s="1">
        <v>2.6862000000000001E-3</v>
      </c>
      <c r="AD172" s="9"/>
      <c r="AE172" s="1" t="s">
        <v>28</v>
      </c>
      <c r="AF172" s="1">
        <f>AC172</f>
        <v>2.6862000000000001E-3</v>
      </c>
      <c r="AH172" s="1">
        <v>10000</v>
      </c>
      <c r="AI172" s="1" t="s">
        <v>482</v>
      </c>
      <c r="AJ172" s="14" t="s">
        <v>156</v>
      </c>
      <c r="AK172" s="1" t="s">
        <v>441</v>
      </c>
      <c r="AL172" s="1" t="s">
        <v>172</v>
      </c>
      <c r="AN172" s="2"/>
      <c r="BO172" s="1">
        <f>SUM($AP172,$AQ172:AQ172)-SUM($CK172:CL172)</f>
        <v>0</v>
      </c>
      <c r="BP172" s="1">
        <f>SUM($AP172,$AQ172:AR172)-SUM($CK172:CM172)</f>
        <v>0</v>
      </c>
      <c r="BQ172" s="1">
        <f>SUM($AP172,$AQ172:AS172)-SUM($CK172:CN172)</f>
        <v>0</v>
      </c>
      <c r="BR172" s="1">
        <f>SUM($AP172,$AQ172:AT172)-SUM($CK172:CO172)</f>
        <v>-40</v>
      </c>
      <c r="BS172" s="1">
        <f>SUM($AP172,$AQ172:AU172)-SUM($CK172:CP172)</f>
        <v>-120</v>
      </c>
      <c r="BT172" s="1">
        <f>SUM($AP172,$AQ172:AV172)-SUM($CK172:CQ172)</f>
        <v>-240</v>
      </c>
      <c r="BU172" s="1">
        <f>SUM($AP172,$AQ172:AW172)-SUM($CK172:CR172)</f>
        <v>-400</v>
      </c>
      <c r="BV172" s="1">
        <f>SUM($AP172,$AQ172:AX172)-SUM($CK172:CS172)</f>
        <v>-600</v>
      </c>
      <c r="BW172" s="1">
        <f>SUM($AP172,$AQ172:AY172)-SUM($CK172:CT172)</f>
        <v>-840</v>
      </c>
      <c r="BX172" s="1">
        <f>SUM($AP172,$AQ172:AZ172)-SUM($CK172:CU172)</f>
        <v>-1120</v>
      </c>
      <c r="BY172" s="1">
        <f>SUM($AP172,$AQ172:BA172)-SUM($CK172:CV172)</f>
        <v>-1440</v>
      </c>
      <c r="BZ172" s="1">
        <f>SUM($AP172,$AQ172:BB172)-SUM($CK172:CW172)</f>
        <v>-1800</v>
      </c>
      <c r="CA172" s="1">
        <f>SUM($AP172,$AQ172:BC172)-SUM($CK172:CX172)</f>
        <v>-2200</v>
      </c>
      <c r="CB172" s="1">
        <f>SUM($AP172,$AQ172:BD172)-SUM($CK172:CY172)</f>
        <v>-2640</v>
      </c>
      <c r="CC172" s="1">
        <f>SUM($AP172,$AQ172:BE172)-SUM($CK172:CZ172)</f>
        <v>-3120</v>
      </c>
      <c r="CD172" s="1">
        <f>SUM($AP172,$AQ172:BF172)-SUM($CK172:DA172)</f>
        <v>-3640</v>
      </c>
      <c r="CE172" s="1">
        <f>SUM($AP172,$AQ172:BG172)-SUM($CK172:DB172)</f>
        <v>-3640</v>
      </c>
      <c r="CF172" s="1">
        <f>SUM($AP172,$AQ172:BH172)-SUM($CK172:DC172)</f>
        <v>-3640</v>
      </c>
      <c r="CG172" s="1">
        <f>SUM($AP172,$AQ172:BI172)-SUM($CK172:DD172)</f>
        <v>-3640</v>
      </c>
      <c r="CK172" s="1">
        <f t="array" ref="CK172">SUMPRODUCT($H172:$Y172,(TRANSPOSE(CK$2:CK$19)))</f>
        <v>0</v>
      </c>
      <c r="CL172" s="1">
        <f t="array" ref="CL172">SUMPRODUCT($H172:$Y172,(TRANSPOSE(CL$2:CL$19)))</f>
        <v>0</v>
      </c>
      <c r="CM172" s="1">
        <f t="array" ref="CM172">SUMPRODUCT($H172:$Y172,(TRANSPOSE(CM$2:CM$19)))</f>
        <v>0</v>
      </c>
      <c r="CN172" s="1">
        <f t="array" ref="CN172">SUMPRODUCT($H172:$Y172,(TRANSPOSE(CN$2:CN$19)))</f>
        <v>0</v>
      </c>
      <c r="CO172" s="1">
        <f t="array" ref="CO172">SUMPRODUCT($H172:$Y172,(TRANSPOSE(CO$2:CO$19)))</f>
        <v>40</v>
      </c>
      <c r="CP172" s="1">
        <f t="array" ref="CP172">SUMPRODUCT($H172:$Y172,(TRANSPOSE(CP$2:CP$19)))</f>
        <v>80</v>
      </c>
      <c r="CQ172" s="1">
        <f t="array" ref="CQ172">SUMPRODUCT($H172:$Y172,(TRANSPOSE(CQ$2:CQ$19)))</f>
        <v>120</v>
      </c>
      <c r="CR172" s="1">
        <f t="array" ref="CR172">SUMPRODUCT($H172:$Y172,(TRANSPOSE(CR$2:CR$19)))</f>
        <v>160</v>
      </c>
      <c r="CS172" s="1">
        <f t="array" ref="CS172">SUMPRODUCT($H172:$Y172,(TRANSPOSE(CS$2:CS$19)))</f>
        <v>200</v>
      </c>
      <c r="CT172" s="1">
        <f t="array" ref="CT172">SUMPRODUCT($H172:$Y172,(TRANSPOSE(CT$2:CT$19)))</f>
        <v>240</v>
      </c>
      <c r="CU172" s="1">
        <f t="array" ref="CU172">SUMPRODUCT($H172:$Y172,(TRANSPOSE(CU$2:CU$19)))</f>
        <v>280</v>
      </c>
      <c r="CV172" s="1">
        <f t="array" ref="CV172">SUMPRODUCT($H172:$Y172,(TRANSPOSE(CV$2:CV$19)))</f>
        <v>320</v>
      </c>
      <c r="CW172" s="1">
        <f t="array" ref="CW172">SUMPRODUCT($H172:$Y172,(TRANSPOSE(CW$2:CW$19)))</f>
        <v>360</v>
      </c>
      <c r="CX172" s="1">
        <f t="array" ref="CX172">SUMPRODUCT($H172:$Y172,(TRANSPOSE(CX$2:CX$19)))</f>
        <v>400</v>
      </c>
      <c r="CY172" s="1">
        <f t="array" ref="CY172">SUMPRODUCT($H172:$Y172,(TRANSPOSE(CY$2:CY$19)))</f>
        <v>440</v>
      </c>
      <c r="CZ172" s="1">
        <f t="array" ref="CZ172">SUMPRODUCT($H172:$Y172,(TRANSPOSE(CZ$2:CZ$19)))</f>
        <v>480</v>
      </c>
      <c r="DA172" s="1">
        <f t="array" ref="DA172">SUMPRODUCT($H172:$Y172,(TRANSPOSE(DA$2:DA$19)))</f>
        <v>520</v>
      </c>
      <c r="DB172" s="1">
        <f t="array" ref="DB172">SUMPRODUCT($H172:$Y172,(TRANSPOSE(DB$2:DB$19)))</f>
        <v>0</v>
      </c>
      <c r="DC172" s="1">
        <f t="array" ref="DC172">SUMPRODUCT($H172:$Y172,(TRANSPOSE(DC$2:DC$19)))</f>
        <v>0</v>
      </c>
      <c r="DD172" s="1">
        <f t="array" ref="DD172">SUMPRODUCT($H172:$Y172,(TRANSPOSE(DD$2:DD$19)))</f>
        <v>0</v>
      </c>
    </row>
    <row r="173" spans="1:108" ht="13.5" thickBot="1" x14ac:dyDescent="0.25">
      <c r="A173" s="1">
        <v>189</v>
      </c>
      <c r="B173" s="10" t="s">
        <v>488</v>
      </c>
      <c r="C173" s="1" t="s">
        <v>22</v>
      </c>
      <c r="D173" s="1">
        <v>417983111</v>
      </c>
      <c r="E173" s="1">
        <v>400481213</v>
      </c>
      <c r="F173" s="1" t="s">
        <v>487</v>
      </c>
      <c r="G173" s="1" t="s">
        <v>20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208</v>
      </c>
      <c r="U173" s="1">
        <v>0</v>
      </c>
      <c r="V173" s="1">
        <v>0</v>
      </c>
      <c r="W173" s="1">
        <v>0</v>
      </c>
      <c r="X173" s="1">
        <v>208</v>
      </c>
      <c r="Y173" s="1">
        <v>0</v>
      </c>
      <c r="Z173" s="1">
        <f>SUM(H173:Y173)</f>
        <v>416</v>
      </c>
      <c r="AA173" s="1">
        <f>SUMPRODUCT(H173:Y173,$H$16:$Y$16)</f>
        <v>378560</v>
      </c>
      <c r="AB173" s="11" t="s">
        <v>483</v>
      </c>
      <c r="AC173" s="1">
        <v>1.2210000000000001E-3</v>
      </c>
      <c r="AD173" s="9"/>
      <c r="AE173" s="1" t="s">
        <v>28</v>
      </c>
      <c r="AF173" s="1">
        <f>AC173</f>
        <v>1.2210000000000001E-3</v>
      </c>
      <c r="AH173" s="1">
        <v>20000</v>
      </c>
      <c r="AI173" s="1" t="s">
        <v>482</v>
      </c>
      <c r="AJ173" s="14" t="s">
        <v>156</v>
      </c>
      <c r="AK173" s="1" t="s">
        <v>441</v>
      </c>
      <c r="AL173" s="1" t="s">
        <v>486</v>
      </c>
      <c r="AN173" s="2"/>
      <c r="BO173" s="1">
        <f>SUM($AP173,$AQ173:AQ173)-SUM($CK173:CL173)</f>
        <v>0</v>
      </c>
      <c r="BP173" s="1">
        <f>SUM($AP173,$AQ173:AR173)-SUM($CK173:CM173)</f>
        <v>0</v>
      </c>
      <c r="BQ173" s="1">
        <f>SUM($AP173,$AQ173:AS173)-SUM($CK173:CN173)</f>
        <v>0</v>
      </c>
      <c r="BR173" s="1">
        <f>SUM($AP173,$AQ173:AT173)-SUM($CK173:CO173)</f>
        <v>-4160</v>
      </c>
      <c r="BS173" s="1">
        <f>SUM($AP173,$AQ173:AU173)-SUM($CK173:CP173)</f>
        <v>-12480</v>
      </c>
      <c r="BT173" s="1">
        <f>SUM($AP173,$AQ173:AV173)-SUM($CK173:CQ173)</f>
        <v>-24960</v>
      </c>
      <c r="BU173" s="1">
        <f>SUM($AP173,$AQ173:AW173)-SUM($CK173:CR173)</f>
        <v>-41600</v>
      </c>
      <c r="BV173" s="1">
        <f>SUM($AP173,$AQ173:AX173)-SUM($CK173:CS173)</f>
        <v>-62400</v>
      </c>
      <c r="BW173" s="1">
        <f>SUM($AP173,$AQ173:AY173)-SUM($CK173:CT173)</f>
        <v>-87360</v>
      </c>
      <c r="BX173" s="1">
        <f>SUM($AP173,$AQ173:AZ173)-SUM($CK173:CU173)</f>
        <v>-116480</v>
      </c>
      <c r="BY173" s="1">
        <f>SUM($AP173,$AQ173:BA173)-SUM($CK173:CV173)</f>
        <v>-149760</v>
      </c>
      <c r="BZ173" s="1">
        <f>SUM($AP173,$AQ173:BB173)-SUM($CK173:CW173)</f>
        <v>-187200</v>
      </c>
      <c r="CA173" s="1">
        <f>SUM($AP173,$AQ173:BC173)-SUM($CK173:CX173)</f>
        <v>-228800</v>
      </c>
      <c r="CB173" s="1">
        <f>SUM($AP173,$AQ173:BD173)-SUM($CK173:CY173)</f>
        <v>-274560</v>
      </c>
      <c r="CC173" s="1">
        <f>SUM($AP173,$AQ173:BE173)-SUM($CK173:CZ173)</f>
        <v>-324480</v>
      </c>
      <c r="CD173" s="1">
        <f>SUM($AP173,$AQ173:BF173)-SUM($CK173:DA173)</f>
        <v>-378560</v>
      </c>
      <c r="CE173" s="1">
        <f>SUM($AP173,$AQ173:BG173)-SUM($CK173:DB173)</f>
        <v>-378560</v>
      </c>
      <c r="CF173" s="1">
        <f>SUM($AP173,$AQ173:BH173)-SUM($CK173:DC173)</f>
        <v>-378560</v>
      </c>
      <c r="CG173" s="1">
        <f>SUM($AP173,$AQ173:BI173)-SUM($CK173:DD173)</f>
        <v>-378560</v>
      </c>
      <c r="CK173" s="1">
        <f t="array" ref="CK173">SUMPRODUCT($H173:$Y173,(TRANSPOSE(CK$2:CK$19)))</f>
        <v>0</v>
      </c>
      <c r="CL173" s="1">
        <f t="array" ref="CL173">SUMPRODUCT($H173:$Y173,(TRANSPOSE(CL$2:CL$19)))</f>
        <v>0</v>
      </c>
      <c r="CM173" s="1">
        <f t="array" ref="CM173">SUMPRODUCT($H173:$Y173,(TRANSPOSE(CM$2:CM$19)))</f>
        <v>0</v>
      </c>
      <c r="CN173" s="1">
        <f t="array" ref="CN173">SUMPRODUCT($H173:$Y173,(TRANSPOSE(CN$2:CN$19)))</f>
        <v>0</v>
      </c>
      <c r="CO173" s="1">
        <f t="array" ref="CO173">SUMPRODUCT($H173:$Y173,(TRANSPOSE(CO$2:CO$19)))</f>
        <v>4160</v>
      </c>
      <c r="CP173" s="1">
        <f t="array" ref="CP173">SUMPRODUCT($H173:$Y173,(TRANSPOSE(CP$2:CP$19)))</f>
        <v>8320</v>
      </c>
      <c r="CQ173" s="1">
        <f t="array" ref="CQ173">SUMPRODUCT($H173:$Y173,(TRANSPOSE(CQ$2:CQ$19)))</f>
        <v>12480</v>
      </c>
      <c r="CR173" s="1">
        <f t="array" ref="CR173">SUMPRODUCT($H173:$Y173,(TRANSPOSE(CR$2:CR$19)))</f>
        <v>16640</v>
      </c>
      <c r="CS173" s="1">
        <f t="array" ref="CS173">SUMPRODUCT($H173:$Y173,(TRANSPOSE(CS$2:CS$19)))</f>
        <v>20800</v>
      </c>
      <c r="CT173" s="1">
        <f t="array" ref="CT173">SUMPRODUCT($H173:$Y173,(TRANSPOSE(CT$2:CT$19)))</f>
        <v>24960</v>
      </c>
      <c r="CU173" s="1">
        <f t="array" ref="CU173">SUMPRODUCT($H173:$Y173,(TRANSPOSE(CU$2:CU$19)))</f>
        <v>29120</v>
      </c>
      <c r="CV173" s="1">
        <f t="array" ref="CV173">SUMPRODUCT($H173:$Y173,(TRANSPOSE(CV$2:CV$19)))</f>
        <v>33280</v>
      </c>
      <c r="CW173" s="1">
        <f t="array" ref="CW173">SUMPRODUCT($H173:$Y173,(TRANSPOSE(CW$2:CW$19)))</f>
        <v>37440</v>
      </c>
      <c r="CX173" s="1">
        <f t="array" ref="CX173">SUMPRODUCT($H173:$Y173,(TRANSPOSE(CX$2:CX$19)))</f>
        <v>41600</v>
      </c>
      <c r="CY173" s="1">
        <f t="array" ref="CY173">SUMPRODUCT($H173:$Y173,(TRANSPOSE(CY$2:CY$19)))</f>
        <v>45760</v>
      </c>
      <c r="CZ173" s="1">
        <f t="array" ref="CZ173">SUMPRODUCT($H173:$Y173,(TRANSPOSE(CZ$2:CZ$19)))</f>
        <v>49920</v>
      </c>
      <c r="DA173" s="1">
        <f t="array" ref="DA173">SUMPRODUCT($H173:$Y173,(TRANSPOSE(DA$2:DA$19)))</f>
        <v>54080</v>
      </c>
      <c r="DB173" s="1">
        <f t="array" ref="DB173">SUMPRODUCT($H173:$Y173,(TRANSPOSE(DB$2:DB$19)))</f>
        <v>0</v>
      </c>
      <c r="DC173" s="1">
        <f t="array" ref="DC173">SUMPRODUCT($H173:$Y173,(TRANSPOSE(DC$2:DC$19)))</f>
        <v>0</v>
      </c>
      <c r="DD173" s="1">
        <f t="array" ref="DD173">SUMPRODUCT($H173:$Y173,(TRANSPOSE(DD$2:DD$19)))</f>
        <v>0</v>
      </c>
    </row>
    <row r="174" spans="1:108" x14ac:dyDescent="0.2">
      <c r="A174" s="1">
        <v>190</v>
      </c>
      <c r="B174" s="10" t="s">
        <v>485</v>
      </c>
      <c r="C174" s="1" t="s">
        <v>22</v>
      </c>
      <c r="D174" s="1">
        <v>417983138</v>
      </c>
      <c r="E174" s="1">
        <v>400095447</v>
      </c>
      <c r="F174" s="1" t="s">
        <v>484</v>
      </c>
      <c r="G174" s="1" t="s">
        <v>20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6</v>
      </c>
      <c r="U174" s="1">
        <v>0</v>
      </c>
      <c r="V174" s="1">
        <v>0</v>
      </c>
      <c r="W174" s="1">
        <v>0</v>
      </c>
      <c r="X174" s="1">
        <v>6</v>
      </c>
      <c r="Y174" s="1">
        <v>0</v>
      </c>
      <c r="Z174" s="1">
        <f>SUM(H174:Y174)</f>
        <v>12</v>
      </c>
      <c r="AA174" s="1">
        <f>SUMPRODUCT(H174:Y174,$H$16:$Y$16)</f>
        <v>10920</v>
      </c>
      <c r="AB174" s="1" t="s">
        <v>483</v>
      </c>
      <c r="AC174" s="1">
        <v>2.5000000000000001E-2</v>
      </c>
      <c r="AD174" s="9"/>
      <c r="AE174" s="1" t="s">
        <v>28</v>
      </c>
      <c r="AF174" s="1">
        <f>AC174</f>
        <v>2.5000000000000001E-2</v>
      </c>
      <c r="AH174" s="1">
        <v>28000</v>
      </c>
      <c r="AI174" s="1" t="s">
        <v>482</v>
      </c>
      <c r="AK174" s="1" t="s">
        <v>481</v>
      </c>
      <c r="AL174" s="1" t="s">
        <v>480</v>
      </c>
      <c r="AM174" s="1" t="s">
        <v>479</v>
      </c>
      <c r="AN174" s="2" t="s">
        <v>478</v>
      </c>
      <c r="BO174" s="1">
        <f>SUM($AP174,$AQ174:AQ174)-SUM($CK174:CL174)</f>
        <v>0</v>
      </c>
      <c r="BP174" s="1">
        <f>SUM($AP174,$AQ174:AR174)-SUM($CK174:CM174)</f>
        <v>0</v>
      </c>
      <c r="BQ174" s="1">
        <f>SUM($AP174,$AQ174:AS174)-SUM($CK174:CN174)</f>
        <v>0</v>
      </c>
      <c r="BR174" s="1">
        <f>SUM($AP174,$AQ174:AT174)-SUM($CK174:CO174)</f>
        <v>-120</v>
      </c>
      <c r="BS174" s="1">
        <f>SUM($AP174,$AQ174:AU174)-SUM($CK174:CP174)</f>
        <v>-360</v>
      </c>
      <c r="BT174" s="1">
        <f>SUM($AP174,$AQ174:AV174)-SUM($CK174:CQ174)</f>
        <v>-720</v>
      </c>
      <c r="BU174" s="1">
        <f>SUM($AP174,$AQ174:AW174)-SUM($CK174:CR174)</f>
        <v>-1200</v>
      </c>
      <c r="BV174" s="1">
        <f>SUM($AP174,$AQ174:AX174)-SUM($CK174:CS174)</f>
        <v>-1800</v>
      </c>
      <c r="BW174" s="1">
        <f>SUM($AP174,$AQ174:AY174)-SUM($CK174:CT174)</f>
        <v>-2520</v>
      </c>
      <c r="BX174" s="1">
        <f>SUM($AP174,$AQ174:AZ174)-SUM($CK174:CU174)</f>
        <v>-3360</v>
      </c>
      <c r="BY174" s="1">
        <f>SUM($AP174,$AQ174:BA174)-SUM($CK174:CV174)</f>
        <v>-4320</v>
      </c>
      <c r="BZ174" s="1">
        <f>SUM($AP174,$AQ174:BB174)-SUM($CK174:CW174)</f>
        <v>-5400</v>
      </c>
      <c r="CA174" s="1">
        <f>SUM($AP174,$AQ174:BC174)-SUM($CK174:CX174)</f>
        <v>-6600</v>
      </c>
      <c r="CB174" s="1">
        <f>SUM($AP174,$AQ174:BD174)-SUM($CK174:CY174)</f>
        <v>-7920</v>
      </c>
      <c r="CC174" s="1">
        <f>SUM($AP174,$AQ174:BE174)-SUM($CK174:CZ174)</f>
        <v>-9360</v>
      </c>
      <c r="CD174" s="1">
        <f>SUM($AP174,$AQ174:BF174)-SUM($CK174:DA174)</f>
        <v>-10920</v>
      </c>
      <c r="CE174" s="1">
        <f>SUM($AP174,$AQ174:BG174)-SUM($CK174:DB174)</f>
        <v>-10920</v>
      </c>
      <c r="CF174" s="1">
        <f>SUM($AP174,$AQ174:BH174)-SUM($CK174:DC174)</f>
        <v>-10920</v>
      </c>
      <c r="CG174" s="1">
        <f>SUM($AP174,$AQ174:BI174)-SUM($CK174:DD174)</f>
        <v>-10920</v>
      </c>
      <c r="CK174" s="1">
        <f t="array" ref="CK174">SUMPRODUCT($H174:$Y174,(TRANSPOSE(CK$2:CK$19)))</f>
        <v>0</v>
      </c>
      <c r="CL174" s="1">
        <f t="array" ref="CL174">SUMPRODUCT($H174:$Y174,(TRANSPOSE(CL$2:CL$19)))</f>
        <v>0</v>
      </c>
      <c r="CM174" s="1">
        <f t="array" ref="CM174">SUMPRODUCT($H174:$Y174,(TRANSPOSE(CM$2:CM$19)))</f>
        <v>0</v>
      </c>
      <c r="CN174" s="1">
        <f t="array" ref="CN174">SUMPRODUCT($H174:$Y174,(TRANSPOSE(CN$2:CN$19)))</f>
        <v>0</v>
      </c>
      <c r="CO174" s="1">
        <f t="array" ref="CO174">SUMPRODUCT($H174:$Y174,(TRANSPOSE(CO$2:CO$19)))</f>
        <v>120</v>
      </c>
      <c r="CP174" s="1">
        <f t="array" ref="CP174">SUMPRODUCT($H174:$Y174,(TRANSPOSE(CP$2:CP$19)))</f>
        <v>240</v>
      </c>
      <c r="CQ174" s="1">
        <f t="array" ref="CQ174">SUMPRODUCT($H174:$Y174,(TRANSPOSE(CQ$2:CQ$19)))</f>
        <v>360</v>
      </c>
      <c r="CR174" s="1">
        <f t="array" ref="CR174">SUMPRODUCT($H174:$Y174,(TRANSPOSE(CR$2:CR$19)))</f>
        <v>480</v>
      </c>
      <c r="CS174" s="1">
        <f t="array" ref="CS174">SUMPRODUCT($H174:$Y174,(TRANSPOSE(CS$2:CS$19)))</f>
        <v>600</v>
      </c>
      <c r="CT174" s="1">
        <f t="array" ref="CT174">SUMPRODUCT($H174:$Y174,(TRANSPOSE(CT$2:CT$19)))</f>
        <v>720</v>
      </c>
      <c r="CU174" s="1">
        <f t="array" ref="CU174">SUMPRODUCT($H174:$Y174,(TRANSPOSE(CU$2:CU$19)))</f>
        <v>840</v>
      </c>
      <c r="CV174" s="1">
        <f t="array" ref="CV174">SUMPRODUCT($H174:$Y174,(TRANSPOSE(CV$2:CV$19)))</f>
        <v>960</v>
      </c>
      <c r="CW174" s="1">
        <f t="array" ref="CW174">SUMPRODUCT($H174:$Y174,(TRANSPOSE(CW$2:CW$19)))</f>
        <v>1080</v>
      </c>
      <c r="CX174" s="1">
        <f t="array" ref="CX174">SUMPRODUCT($H174:$Y174,(TRANSPOSE(CX$2:CX$19)))</f>
        <v>1200</v>
      </c>
      <c r="CY174" s="1">
        <f t="array" ref="CY174">SUMPRODUCT($H174:$Y174,(TRANSPOSE(CY$2:CY$19)))</f>
        <v>1320</v>
      </c>
      <c r="CZ174" s="1">
        <f t="array" ref="CZ174">SUMPRODUCT($H174:$Y174,(TRANSPOSE(CZ$2:CZ$19)))</f>
        <v>1440</v>
      </c>
      <c r="DA174" s="1">
        <f t="array" ref="DA174">SUMPRODUCT($H174:$Y174,(TRANSPOSE(DA$2:DA$19)))</f>
        <v>1560</v>
      </c>
      <c r="DB174" s="1">
        <f t="array" ref="DB174">SUMPRODUCT($H174:$Y174,(TRANSPOSE(DB$2:DB$19)))</f>
        <v>0</v>
      </c>
      <c r="DC174" s="1">
        <f t="array" ref="DC174">SUMPRODUCT($H174:$Y174,(TRANSPOSE(DC$2:DC$19)))</f>
        <v>0</v>
      </c>
      <c r="DD174" s="1">
        <f t="array" ref="DD174">SUMPRODUCT($H174:$Y174,(TRANSPOSE(DD$2:DD$19)))</f>
        <v>0</v>
      </c>
    </row>
    <row r="175" spans="1:108" x14ac:dyDescent="0.2">
      <c r="A175" s="1">
        <v>191</v>
      </c>
      <c r="B175" s="10" t="s">
        <v>477</v>
      </c>
      <c r="C175" s="1" t="s">
        <v>22</v>
      </c>
      <c r="D175" s="1">
        <v>400709578</v>
      </c>
      <c r="E175" s="1">
        <v>400095450</v>
      </c>
      <c r="F175" s="1" t="s">
        <v>476</v>
      </c>
      <c r="G175" s="1" t="s">
        <v>20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2</v>
      </c>
      <c r="U175" s="1">
        <v>0</v>
      </c>
      <c r="V175" s="1">
        <v>0</v>
      </c>
      <c r="W175" s="1">
        <v>0</v>
      </c>
      <c r="X175" s="1">
        <v>2</v>
      </c>
      <c r="Y175" s="1">
        <v>0</v>
      </c>
      <c r="Z175" s="1">
        <f>SUM(H175:Y175)</f>
        <v>4</v>
      </c>
      <c r="AA175" s="1">
        <f>SUMPRODUCT(H175:Y175,$H$16:$Y$16)</f>
        <v>3640</v>
      </c>
      <c r="AB175" s="1" t="s">
        <v>386</v>
      </c>
      <c r="AC175" s="1">
        <v>4.0000000000000001E-3</v>
      </c>
      <c r="AD175" s="9"/>
      <c r="AE175" s="1" t="s">
        <v>28</v>
      </c>
      <c r="AF175" s="1">
        <f>AC175</f>
        <v>4.0000000000000001E-3</v>
      </c>
      <c r="AG175" s="1">
        <v>10000</v>
      </c>
      <c r="AH175" s="1">
        <v>10000</v>
      </c>
      <c r="AI175" s="1" t="s">
        <v>82</v>
      </c>
      <c r="AK175" s="1" t="s">
        <v>89</v>
      </c>
      <c r="AL175" s="1" t="s">
        <v>88</v>
      </c>
      <c r="AM175" s="1" t="s">
        <v>87</v>
      </c>
      <c r="AN175" s="2" t="s">
        <v>86</v>
      </c>
      <c r="BO175" s="1">
        <f>SUM($AP175,$AQ175:AQ175)-SUM($CK175:CL175)</f>
        <v>0</v>
      </c>
      <c r="BP175" s="1">
        <f>SUM($AP175,$AQ175:AR175)-SUM($CK175:CM175)</f>
        <v>0</v>
      </c>
      <c r="BQ175" s="1">
        <f>SUM($AP175,$AQ175:AS175)-SUM($CK175:CN175)</f>
        <v>0</v>
      </c>
      <c r="BR175" s="1">
        <f>SUM($AP175,$AQ175:AT175)-SUM($CK175:CO175)</f>
        <v>-40</v>
      </c>
      <c r="BS175" s="1">
        <f>SUM($AP175,$AQ175:AU175)-SUM($CK175:CP175)</f>
        <v>-120</v>
      </c>
      <c r="BT175" s="1">
        <f>SUM($AP175,$AQ175:AV175)-SUM($CK175:CQ175)</f>
        <v>-240</v>
      </c>
      <c r="BU175" s="1">
        <f>SUM($AP175,$AQ175:AW175)-SUM($CK175:CR175)</f>
        <v>-400</v>
      </c>
      <c r="BV175" s="1">
        <f>SUM($AP175,$AQ175:AX175)-SUM($CK175:CS175)</f>
        <v>-600</v>
      </c>
      <c r="BW175" s="1">
        <f>SUM($AP175,$AQ175:AY175)-SUM($CK175:CT175)</f>
        <v>-840</v>
      </c>
      <c r="BX175" s="1">
        <f>SUM($AP175,$AQ175:AZ175)-SUM($CK175:CU175)</f>
        <v>-1120</v>
      </c>
      <c r="BY175" s="1">
        <f>SUM($AP175,$AQ175:BA175)-SUM($CK175:CV175)</f>
        <v>-1440</v>
      </c>
      <c r="BZ175" s="1">
        <f>SUM($AP175,$AQ175:BB175)-SUM($CK175:CW175)</f>
        <v>-1800</v>
      </c>
      <c r="CA175" s="1">
        <f>SUM($AP175,$AQ175:BC175)-SUM($CK175:CX175)</f>
        <v>-2200</v>
      </c>
      <c r="CB175" s="1">
        <f>SUM($AP175,$AQ175:BD175)-SUM($CK175:CY175)</f>
        <v>-2640</v>
      </c>
      <c r="CC175" s="1">
        <f>SUM($AP175,$AQ175:BE175)-SUM($CK175:CZ175)</f>
        <v>-3120</v>
      </c>
      <c r="CD175" s="1">
        <f>SUM($AP175,$AQ175:BF175)-SUM($CK175:DA175)</f>
        <v>-3640</v>
      </c>
      <c r="CE175" s="1">
        <f>SUM($AP175,$AQ175:BG175)-SUM($CK175:DB175)</f>
        <v>-3640</v>
      </c>
      <c r="CF175" s="1">
        <f>SUM($AP175,$AQ175:BH175)-SUM($CK175:DC175)</f>
        <v>-3640</v>
      </c>
      <c r="CG175" s="1">
        <f>SUM($AP175,$AQ175:BI175)-SUM($CK175:DD175)</f>
        <v>-3640</v>
      </c>
      <c r="CK175" s="1">
        <f t="array" ref="CK175">SUMPRODUCT($H175:$Y175,(TRANSPOSE(CK$2:CK$19)))</f>
        <v>0</v>
      </c>
      <c r="CL175" s="1">
        <f t="array" ref="CL175">SUMPRODUCT($H175:$Y175,(TRANSPOSE(CL$2:CL$19)))</f>
        <v>0</v>
      </c>
      <c r="CM175" s="1">
        <f t="array" ref="CM175">SUMPRODUCT($H175:$Y175,(TRANSPOSE(CM$2:CM$19)))</f>
        <v>0</v>
      </c>
      <c r="CN175" s="1">
        <f t="array" ref="CN175">SUMPRODUCT($H175:$Y175,(TRANSPOSE(CN$2:CN$19)))</f>
        <v>0</v>
      </c>
      <c r="CO175" s="1">
        <f t="array" ref="CO175">SUMPRODUCT($H175:$Y175,(TRANSPOSE(CO$2:CO$19)))</f>
        <v>40</v>
      </c>
      <c r="CP175" s="1">
        <f t="array" ref="CP175">SUMPRODUCT($H175:$Y175,(TRANSPOSE(CP$2:CP$19)))</f>
        <v>80</v>
      </c>
      <c r="CQ175" s="1">
        <f t="array" ref="CQ175">SUMPRODUCT($H175:$Y175,(TRANSPOSE(CQ$2:CQ$19)))</f>
        <v>120</v>
      </c>
      <c r="CR175" s="1">
        <f t="array" ref="CR175">SUMPRODUCT($H175:$Y175,(TRANSPOSE(CR$2:CR$19)))</f>
        <v>160</v>
      </c>
      <c r="CS175" s="1">
        <f t="array" ref="CS175">SUMPRODUCT($H175:$Y175,(TRANSPOSE(CS$2:CS$19)))</f>
        <v>200</v>
      </c>
      <c r="CT175" s="1">
        <f t="array" ref="CT175">SUMPRODUCT($H175:$Y175,(TRANSPOSE(CT$2:CT$19)))</f>
        <v>240</v>
      </c>
      <c r="CU175" s="1">
        <f t="array" ref="CU175">SUMPRODUCT($H175:$Y175,(TRANSPOSE(CU$2:CU$19)))</f>
        <v>280</v>
      </c>
      <c r="CV175" s="1">
        <f t="array" ref="CV175">SUMPRODUCT($H175:$Y175,(TRANSPOSE(CV$2:CV$19)))</f>
        <v>320</v>
      </c>
      <c r="CW175" s="1">
        <f t="array" ref="CW175">SUMPRODUCT($H175:$Y175,(TRANSPOSE(CW$2:CW$19)))</f>
        <v>360</v>
      </c>
      <c r="CX175" s="1">
        <f t="array" ref="CX175">SUMPRODUCT($H175:$Y175,(TRANSPOSE(CX$2:CX$19)))</f>
        <v>400</v>
      </c>
      <c r="CY175" s="1">
        <f t="array" ref="CY175">SUMPRODUCT($H175:$Y175,(TRANSPOSE(CY$2:CY$19)))</f>
        <v>440</v>
      </c>
      <c r="CZ175" s="1">
        <f t="array" ref="CZ175">SUMPRODUCT($H175:$Y175,(TRANSPOSE(CZ$2:CZ$19)))</f>
        <v>480</v>
      </c>
      <c r="DA175" s="1">
        <f t="array" ref="DA175">SUMPRODUCT($H175:$Y175,(TRANSPOSE(DA$2:DA$19)))</f>
        <v>520</v>
      </c>
      <c r="DB175" s="1">
        <f t="array" ref="DB175">SUMPRODUCT($H175:$Y175,(TRANSPOSE(DB$2:DB$19)))</f>
        <v>0</v>
      </c>
      <c r="DC175" s="1">
        <f t="array" ref="DC175">SUMPRODUCT($H175:$Y175,(TRANSPOSE(DC$2:DC$19)))</f>
        <v>0</v>
      </c>
      <c r="DD175" s="1">
        <f t="array" ref="DD175">SUMPRODUCT($H175:$Y175,(TRANSPOSE(DD$2:DD$19)))</f>
        <v>0</v>
      </c>
    </row>
    <row r="176" spans="1:108" x14ac:dyDescent="0.2">
      <c r="A176" s="1">
        <v>192</v>
      </c>
      <c r="B176" s="10" t="s">
        <v>475</v>
      </c>
      <c r="C176" s="1" t="s">
        <v>22</v>
      </c>
      <c r="D176" s="1">
        <v>400656755</v>
      </c>
      <c r="E176" s="1" t="s">
        <v>474</v>
      </c>
      <c r="F176" s="1" t="s">
        <v>473</v>
      </c>
      <c r="G176" s="1" t="s">
        <v>20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68</v>
      </c>
      <c r="U176" s="1">
        <v>0</v>
      </c>
      <c r="V176" s="1">
        <v>0</v>
      </c>
      <c r="W176" s="1">
        <v>0</v>
      </c>
      <c r="X176" s="1">
        <v>68</v>
      </c>
      <c r="Y176" s="1">
        <v>0</v>
      </c>
      <c r="Z176" s="1">
        <f>SUM(H176:Y176)</f>
        <v>136</v>
      </c>
      <c r="AA176" s="1">
        <f>SUMPRODUCT(H176:Y176,$H$16:$Y$16)</f>
        <v>123760</v>
      </c>
      <c r="AB176" s="1" t="s">
        <v>462</v>
      </c>
      <c r="AC176" s="1">
        <v>4.0000000000000001E-3</v>
      </c>
      <c r="AD176" s="9"/>
      <c r="AE176" s="1" t="s">
        <v>28</v>
      </c>
      <c r="AF176" s="1">
        <f>AC176</f>
        <v>4.0000000000000001E-3</v>
      </c>
      <c r="AG176" s="1">
        <v>10000</v>
      </c>
      <c r="AH176" s="1">
        <v>10000</v>
      </c>
      <c r="AI176" s="1" t="s">
        <v>82</v>
      </c>
      <c r="AK176" s="1" t="s">
        <v>89</v>
      </c>
      <c r="AL176" s="1" t="s">
        <v>88</v>
      </c>
      <c r="AM176" s="1" t="s">
        <v>87</v>
      </c>
      <c r="AN176" s="2" t="s">
        <v>86</v>
      </c>
      <c r="BO176" s="1">
        <f>SUM($AP176,$AQ176:AQ176)-SUM($CK176:CL176)</f>
        <v>0</v>
      </c>
      <c r="BP176" s="1">
        <f>SUM($AP176,$AQ176:AR176)-SUM($CK176:CM176)</f>
        <v>0</v>
      </c>
      <c r="BQ176" s="1">
        <f>SUM($AP176,$AQ176:AS176)-SUM($CK176:CN176)</f>
        <v>0</v>
      </c>
      <c r="BR176" s="1">
        <f>SUM($AP176,$AQ176:AT176)-SUM($CK176:CO176)</f>
        <v>-1360</v>
      </c>
      <c r="BS176" s="1">
        <f>SUM($AP176,$AQ176:AU176)-SUM($CK176:CP176)</f>
        <v>-4080</v>
      </c>
      <c r="BT176" s="1">
        <f>SUM($AP176,$AQ176:AV176)-SUM($CK176:CQ176)</f>
        <v>-8160</v>
      </c>
      <c r="BU176" s="1">
        <f>SUM($AP176,$AQ176:AW176)-SUM($CK176:CR176)</f>
        <v>-13600</v>
      </c>
      <c r="BV176" s="1">
        <f>SUM($AP176,$AQ176:AX176)-SUM($CK176:CS176)</f>
        <v>-20400</v>
      </c>
      <c r="BW176" s="1">
        <f>SUM($AP176,$AQ176:AY176)-SUM($CK176:CT176)</f>
        <v>-28560</v>
      </c>
      <c r="BX176" s="1">
        <f>SUM($AP176,$AQ176:AZ176)-SUM($CK176:CU176)</f>
        <v>-38080</v>
      </c>
      <c r="BY176" s="1">
        <f>SUM($AP176,$AQ176:BA176)-SUM($CK176:CV176)</f>
        <v>-48960</v>
      </c>
      <c r="BZ176" s="1">
        <f>SUM($AP176,$AQ176:BB176)-SUM($CK176:CW176)</f>
        <v>-61200</v>
      </c>
      <c r="CA176" s="1">
        <f>SUM($AP176,$AQ176:BC176)-SUM($CK176:CX176)</f>
        <v>-74800</v>
      </c>
      <c r="CB176" s="1">
        <f>SUM($AP176,$AQ176:BD176)-SUM($CK176:CY176)</f>
        <v>-89760</v>
      </c>
      <c r="CC176" s="1">
        <f>SUM($AP176,$AQ176:BE176)-SUM($CK176:CZ176)</f>
        <v>-106080</v>
      </c>
      <c r="CD176" s="1">
        <f>SUM($AP176,$AQ176:BF176)-SUM($CK176:DA176)</f>
        <v>-123760</v>
      </c>
      <c r="CE176" s="1">
        <f>SUM($AP176,$AQ176:BG176)-SUM($CK176:DB176)</f>
        <v>-123760</v>
      </c>
      <c r="CF176" s="1">
        <f>SUM($AP176,$AQ176:BH176)-SUM($CK176:DC176)</f>
        <v>-123760</v>
      </c>
      <c r="CG176" s="1">
        <f>SUM($AP176,$AQ176:BI176)-SUM($CK176:DD176)</f>
        <v>-123760</v>
      </c>
      <c r="CK176" s="1">
        <f t="array" ref="CK176">SUMPRODUCT($H176:$Y176,(TRANSPOSE(CK$2:CK$19)))</f>
        <v>0</v>
      </c>
      <c r="CL176" s="1">
        <f t="array" ref="CL176">SUMPRODUCT($H176:$Y176,(TRANSPOSE(CL$2:CL$19)))</f>
        <v>0</v>
      </c>
      <c r="CM176" s="1">
        <f t="array" ref="CM176">SUMPRODUCT($H176:$Y176,(TRANSPOSE(CM$2:CM$19)))</f>
        <v>0</v>
      </c>
      <c r="CN176" s="1">
        <f t="array" ref="CN176">SUMPRODUCT($H176:$Y176,(TRANSPOSE(CN$2:CN$19)))</f>
        <v>0</v>
      </c>
      <c r="CO176" s="1">
        <f t="array" ref="CO176">SUMPRODUCT($H176:$Y176,(TRANSPOSE(CO$2:CO$19)))</f>
        <v>1360</v>
      </c>
      <c r="CP176" s="1">
        <f t="array" ref="CP176">SUMPRODUCT($H176:$Y176,(TRANSPOSE(CP$2:CP$19)))</f>
        <v>2720</v>
      </c>
      <c r="CQ176" s="1">
        <f t="array" ref="CQ176">SUMPRODUCT($H176:$Y176,(TRANSPOSE(CQ$2:CQ$19)))</f>
        <v>4080</v>
      </c>
      <c r="CR176" s="1">
        <f t="array" ref="CR176">SUMPRODUCT($H176:$Y176,(TRANSPOSE(CR$2:CR$19)))</f>
        <v>5440</v>
      </c>
      <c r="CS176" s="1">
        <f t="array" ref="CS176">SUMPRODUCT($H176:$Y176,(TRANSPOSE(CS$2:CS$19)))</f>
        <v>6800</v>
      </c>
      <c r="CT176" s="1">
        <f t="array" ref="CT176">SUMPRODUCT($H176:$Y176,(TRANSPOSE(CT$2:CT$19)))</f>
        <v>8160</v>
      </c>
      <c r="CU176" s="1">
        <f t="array" ref="CU176">SUMPRODUCT($H176:$Y176,(TRANSPOSE(CU$2:CU$19)))</f>
        <v>9520</v>
      </c>
      <c r="CV176" s="1">
        <f t="array" ref="CV176">SUMPRODUCT($H176:$Y176,(TRANSPOSE(CV$2:CV$19)))</f>
        <v>10880</v>
      </c>
      <c r="CW176" s="1">
        <f t="array" ref="CW176">SUMPRODUCT($H176:$Y176,(TRANSPOSE(CW$2:CW$19)))</f>
        <v>12240</v>
      </c>
      <c r="CX176" s="1">
        <f t="array" ref="CX176">SUMPRODUCT($H176:$Y176,(TRANSPOSE(CX$2:CX$19)))</f>
        <v>13600</v>
      </c>
      <c r="CY176" s="1">
        <f t="array" ref="CY176">SUMPRODUCT($H176:$Y176,(TRANSPOSE(CY$2:CY$19)))</f>
        <v>14960</v>
      </c>
      <c r="CZ176" s="1">
        <f t="array" ref="CZ176">SUMPRODUCT($H176:$Y176,(TRANSPOSE(CZ$2:CZ$19)))</f>
        <v>16320</v>
      </c>
      <c r="DA176" s="1">
        <f t="array" ref="DA176">SUMPRODUCT($H176:$Y176,(TRANSPOSE(DA$2:DA$19)))</f>
        <v>17680</v>
      </c>
      <c r="DB176" s="1">
        <f t="array" ref="DB176">SUMPRODUCT($H176:$Y176,(TRANSPOSE(DB$2:DB$19)))</f>
        <v>0</v>
      </c>
      <c r="DC176" s="1">
        <f t="array" ref="DC176">SUMPRODUCT($H176:$Y176,(TRANSPOSE(DC$2:DC$19)))</f>
        <v>0</v>
      </c>
      <c r="DD176" s="1">
        <f t="array" ref="DD176">SUMPRODUCT($H176:$Y176,(TRANSPOSE(DD$2:DD$19)))</f>
        <v>0</v>
      </c>
    </row>
    <row r="177" spans="1:108" x14ac:dyDescent="0.2">
      <c r="A177" s="1">
        <v>193</v>
      </c>
      <c r="B177" s="10" t="s">
        <v>472</v>
      </c>
      <c r="C177" s="1" t="s">
        <v>22</v>
      </c>
      <c r="D177" s="1">
        <v>400656760</v>
      </c>
      <c r="E177" s="1" t="s">
        <v>471</v>
      </c>
      <c r="F177" s="1" t="s">
        <v>470</v>
      </c>
      <c r="G177" s="1" t="s">
        <v>20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136</v>
      </c>
      <c r="U177" s="1">
        <v>0</v>
      </c>
      <c r="V177" s="1">
        <v>0</v>
      </c>
      <c r="W177" s="1">
        <v>0</v>
      </c>
      <c r="X177" s="1">
        <v>136</v>
      </c>
      <c r="Y177" s="1">
        <v>0</v>
      </c>
      <c r="Z177" s="1">
        <f>SUM(H177:Y177)</f>
        <v>272</v>
      </c>
      <c r="AA177" s="1">
        <f>SUMPRODUCT(H177:Y177,$H$16:$Y$16)</f>
        <v>247520</v>
      </c>
      <c r="AB177" s="1" t="s">
        <v>386</v>
      </c>
      <c r="AC177" s="1">
        <v>4.0000000000000001E-3</v>
      </c>
      <c r="AD177" s="9"/>
      <c r="AE177" s="1" t="s">
        <v>28</v>
      </c>
      <c r="AF177" s="1">
        <f>AC177</f>
        <v>4.0000000000000001E-3</v>
      </c>
      <c r="AG177" s="1">
        <v>10000</v>
      </c>
      <c r="AH177" s="1">
        <v>10000</v>
      </c>
      <c r="AI177" s="1" t="s">
        <v>82</v>
      </c>
      <c r="AK177" s="1" t="s">
        <v>89</v>
      </c>
      <c r="AL177" s="1" t="s">
        <v>88</v>
      </c>
      <c r="AM177" s="1" t="s">
        <v>87</v>
      </c>
      <c r="AN177" s="2" t="s">
        <v>86</v>
      </c>
      <c r="BO177" s="1">
        <f>SUM($AP177,$AQ177:AQ177)-SUM($CK177:CL177)</f>
        <v>0</v>
      </c>
      <c r="BP177" s="1">
        <f>SUM($AP177,$AQ177:AR177)-SUM($CK177:CM177)</f>
        <v>0</v>
      </c>
      <c r="BQ177" s="1">
        <f>SUM($AP177,$AQ177:AS177)-SUM($CK177:CN177)</f>
        <v>0</v>
      </c>
      <c r="BR177" s="1">
        <f>SUM($AP177,$AQ177:AT177)-SUM($CK177:CO177)</f>
        <v>-2720</v>
      </c>
      <c r="BS177" s="1">
        <f>SUM($AP177,$AQ177:AU177)-SUM($CK177:CP177)</f>
        <v>-8160</v>
      </c>
      <c r="BT177" s="1">
        <f>SUM($AP177,$AQ177:AV177)-SUM($CK177:CQ177)</f>
        <v>-16320</v>
      </c>
      <c r="BU177" s="1">
        <f>SUM($AP177,$AQ177:AW177)-SUM($CK177:CR177)</f>
        <v>-27200</v>
      </c>
      <c r="BV177" s="1">
        <f>SUM($AP177,$AQ177:AX177)-SUM($CK177:CS177)</f>
        <v>-40800</v>
      </c>
      <c r="BW177" s="1">
        <f>SUM($AP177,$AQ177:AY177)-SUM($CK177:CT177)</f>
        <v>-57120</v>
      </c>
      <c r="BX177" s="1">
        <f>SUM($AP177,$AQ177:AZ177)-SUM($CK177:CU177)</f>
        <v>-76160</v>
      </c>
      <c r="BY177" s="1">
        <f>SUM($AP177,$AQ177:BA177)-SUM($CK177:CV177)</f>
        <v>-97920</v>
      </c>
      <c r="BZ177" s="1">
        <f>SUM($AP177,$AQ177:BB177)-SUM($CK177:CW177)</f>
        <v>-122400</v>
      </c>
      <c r="CA177" s="1">
        <f>SUM($AP177,$AQ177:BC177)-SUM($CK177:CX177)</f>
        <v>-149600</v>
      </c>
      <c r="CB177" s="1">
        <f>SUM($AP177,$AQ177:BD177)-SUM($CK177:CY177)</f>
        <v>-179520</v>
      </c>
      <c r="CC177" s="1">
        <f>SUM($AP177,$AQ177:BE177)-SUM($CK177:CZ177)</f>
        <v>-212160</v>
      </c>
      <c r="CD177" s="1">
        <f>SUM($AP177,$AQ177:BF177)-SUM($CK177:DA177)</f>
        <v>-247520</v>
      </c>
      <c r="CE177" s="1">
        <f>SUM($AP177,$AQ177:BG177)-SUM($CK177:DB177)</f>
        <v>-247520</v>
      </c>
      <c r="CF177" s="1">
        <f>SUM($AP177,$AQ177:BH177)-SUM($CK177:DC177)</f>
        <v>-247520</v>
      </c>
      <c r="CG177" s="1">
        <f>SUM($AP177,$AQ177:BI177)-SUM($CK177:DD177)</f>
        <v>-247520</v>
      </c>
      <c r="CK177" s="1">
        <f t="array" ref="CK177">SUMPRODUCT($H177:$Y177,(TRANSPOSE(CK$2:CK$19)))</f>
        <v>0</v>
      </c>
      <c r="CL177" s="1">
        <f t="array" ref="CL177">SUMPRODUCT($H177:$Y177,(TRANSPOSE(CL$2:CL$19)))</f>
        <v>0</v>
      </c>
      <c r="CM177" s="1">
        <f t="array" ref="CM177">SUMPRODUCT($H177:$Y177,(TRANSPOSE(CM$2:CM$19)))</f>
        <v>0</v>
      </c>
      <c r="CN177" s="1">
        <f t="array" ref="CN177">SUMPRODUCT($H177:$Y177,(TRANSPOSE(CN$2:CN$19)))</f>
        <v>0</v>
      </c>
      <c r="CO177" s="1">
        <f t="array" ref="CO177">SUMPRODUCT($H177:$Y177,(TRANSPOSE(CO$2:CO$19)))</f>
        <v>2720</v>
      </c>
      <c r="CP177" s="1">
        <f t="array" ref="CP177">SUMPRODUCT($H177:$Y177,(TRANSPOSE(CP$2:CP$19)))</f>
        <v>5440</v>
      </c>
      <c r="CQ177" s="1">
        <f t="array" ref="CQ177">SUMPRODUCT($H177:$Y177,(TRANSPOSE(CQ$2:CQ$19)))</f>
        <v>8160</v>
      </c>
      <c r="CR177" s="1">
        <f t="array" ref="CR177">SUMPRODUCT($H177:$Y177,(TRANSPOSE(CR$2:CR$19)))</f>
        <v>10880</v>
      </c>
      <c r="CS177" s="1">
        <f t="array" ref="CS177">SUMPRODUCT($H177:$Y177,(TRANSPOSE(CS$2:CS$19)))</f>
        <v>13600</v>
      </c>
      <c r="CT177" s="1">
        <f t="array" ref="CT177">SUMPRODUCT($H177:$Y177,(TRANSPOSE(CT$2:CT$19)))</f>
        <v>16320</v>
      </c>
      <c r="CU177" s="1">
        <f t="array" ref="CU177">SUMPRODUCT($H177:$Y177,(TRANSPOSE(CU$2:CU$19)))</f>
        <v>19040</v>
      </c>
      <c r="CV177" s="1">
        <f t="array" ref="CV177">SUMPRODUCT($H177:$Y177,(TRANSPOSE(CV$2:CV$19)))</f>
        <v>21760</v>
      </c>
      <c r="CW177" s="1">
        <f t="array" ref="CW177">SUMPRODUCT($H177:$Y177,(TRANSPOSE(CW$2:CW$19)))</f>
        <v>24480</v>
      </c>
      <c r="CX177" s="1">
        <f t="array" ref="CX177">SUMPRODUCT($H177:$Y177,(TRANSPOSE(CX$2:CX$19)))</f>
        <v>27200</v>
      </c>
      <c r="CY177" s="1">
        <f t="array" ref="CY177">SUMPRODUCT($H177:$Y177,(TRANSPOSE(CY$2:CY$19)))</f>
        <v>29920</v>
      </c>
      <c r="CZ177" s="1">
        <f t="array" ref="CZ177">SUMPRODUCT($H177:$Y177,(TRANSPOSE(CZ$2:CZ$19)))</f>
        <v>32640</v>
      </c>
      <c r="DA177" s="1">
        <f t="array" ref="DA177">SUMPRODUCT($H177:$Y177,(TRANSPOSE(DA$2:DA$19)))</f>
        <v>35360</v>
      </c>
      <c r="DB177" s="1">
        <f t="array" ref="DB177">SUMPRODUCT($H177:$Y177,(TRANSPOSE(DB$2:DB$19)))</f>
        <v>0</v>
      </c>
      <c r="DC177" s="1">
        <f t="array" ref="DC177">SUMPRODUCT($H177:$Y177,(TRANSPOSE(DC$2:DC$19)))</f>
        <v>0</v>
      </c>
      <c r="DD177" s="1">
        <f t="array" ref="DD177">SUMPRODUCT($H177:$Y177,(TRANSPOSE(DD$2:DD$19)))</f>
        <v>0</v>
      </c>
    </row>
    <row r="178" spans="1:108" x14ac:dyDescent="0.2">
      <c r="A178" s="1">
        <v>194</v>
      </c>
      <c r="B178" s="10" t="s">
        <v>469</v>
      </c>
      <c r="C178" s="1" t="s">
        <v>22</v>
      </c>
      <c r="D178" s="1">
        <v>401239839</v>
      </c>
      <c r="E178" s="1" t="s">
        <v>468</v>
      </c>
      <c r="F178" s="1" t="s">
        <v>467</v>
      </c>
      <c r="G178" s="1" t="s">
        <v>20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2</v>
      </c>
      <c r="U178" s="1">
        <v>0</v>
      </c>
      <c r="V178" s="1">
        <v>0</v>
      </c>
      <c r="W178" s="1">
        <v>0</v>
      </c>
      <c r="X178" s="1">
        <v>2</v>
      </c>
      <c r="Y178" s="1">
        <v>0</v>
      </c>
      <c r="Z178" s="1">
        <f>SUM(H178:Y178)</f>
        <v>4</v>
      </c>
      <c r="AA178" s="1">
        <f>SUMPRODUCT(H178:Y178,$H$16:$Y$16)</f>
        <v>3640</v>
      </c>
      <c r="AB178" s="1" t="s">
        <v>386</v>
      </c>
      <c r="AC178" s="1">
        <v>4.0000000000000001E-3</v>
      </c>
      <c r="AD178" s="9"/>
      <c r="AE178" s="1" t="s">
        <v>28</v>
      </c>
      <c r="AF178" s="1">
        <f>AC178</f>
        <v>4.0000000000000001E-3</v>
      </c>
      <c r="AG178" s="1">
        <v>10000</v>
      </c>
      <c r="AH178" s="1">
        <v>10000</v>
      </c>
      <c r="AI178" s="1" t="s">
        <v>82</v>
      </c>
      <c r="AK178" s="1" t="s">
        <v>89</v>
      </c>
      <c r="AL178" s="1" t="s">
        <v>88</v>
      </c>
      <c r="AM178" s="1" t="s">
        <v>87</v>
      </c>
      <c r="AN178" s="2" t="s">
        <v>86</v>
      </c>
      <c r="BO178" s="1">
        <f>SUM($AP178,$AQ178:AQ178)-SUM($CK178:CL178)</f>
        <v>0</v>
      </c>
      <c r="BP178" s="1">
        <f>SUM($AP178,$AQ178:AR178)-SUM($CK178:CM178)</f>
        <v>0</v>
      </c>
      <c r="BQ178" s="1">
        <f>SUM($AP178,$AQ178:AS178)-SUM($CK178:CN178)</f>
        <v>0</v>
      </c>
      <c r="BR178" s="1">
        <f>SUM($AP178,$AQ178:AT178)-SUM($CK178:CO178)</f>
        <v>-40</v>
      </c>
      <c r="BS178" s="1">
        <f>SUM($AP178,$AQ178:AU178)-SUM($CK178:CP178)</f>
        <v>-120</v>
      </c>
      <c r="BT178" s="1">
        <f>SUM($AP178,$AQ178:AV178)-SUM($CK178:CQ178)</f>
        <v>-240</v>
      </c>
      <c r="BU178" s="1">
        <f>SUM($AP178,$AQ178:AW178)-SUM($CK178:CR178)</f>
        <v>-400</v>
      </c>
      <c r="BV178" s="1">
        <f>SUM($AP178,$AQ178:AX178)-SUM($CK178:CS178)</f>
        <v>-600</v>
      </c>
      <c r="BW178" s="1">
        <f>SUM($AP178,$AQ178:AY178)-SUM($CK178:CT178)</f>
        <v>-840</v>
      </c>
      <c r="BX178" s="1">
        <f>SUM($AP178,$AQ178:AZ178)-SUM($CK178:CU178)</f>
        <v>-1120</v>
      </c>
      <c r="BY178" s="1">
        <f>SUM($AP178,$AQ178:BA178)-SUM($CK178:CV178)</f>
        <v>-1440</v>
      </c>
      <c r="BZ178" s="1">
        <f>SUM($AP178,$AQ178:BB178)-SUM($CK178:CW178)</f>
        <v>-1800</v>
      </c>
      <c r="CA178" s="1">
        <f>SUM($AP178,$AQ178:BC178)-SUM($CK178:CX178)</f>
        <v>-2200</v>
      </c>
      <c r="CB178" s="1">
        <f>SUM($AP178,$AQ178:BD178)-SUM($CK178:CY178)</f>
        <v>-2640</v>
      </c>
      <c r="CC178" s="1">
        <f>SUM($AP178,$AQ178:BE178)-SUM($CK178:CZ178)</f>
        <v>-3120</v>
      </c>
      <c r="CD178" s="1">
        <f>SUM($AP178,$AQ178:BF178)-SUM($CK178:DA178)</f>
        <v>-3640</v>
      </c>
      <c r="CE178" s="1">
        <f>SUM($AP178,$AQ178:BG178)-SUM($CK178:DB178)</f>
        <v>-3640</v>
      </c>
      <c r="CF178" s="1">
        <f>SUM($AP178,$AQ178:BH178)-SUM($CK178:DC178)</f>
        <v>-3640</v>
      </c>
      <c r="CG178" s="1">
        <f>SUM($AP178,$AQ178:BI178)-SUM($CK178:DD178)</f>
        <v>-3640</v>
      </c>
      <c r="CK178" s="1">
        <f t="array" ref="CK178">SUMPRODUCT($H178:$Y178,(TRANSPOSE(CK$2:CK$19)))</f>
        <v>0</v>
      </c>
      <c r="CL178" s="1">
        <f t="array" ref="CL178">SUMPRODUCT($H178:$Y178,(TRANSPOSE(CL$2:CL$19)))</f>
        <v>0</v>
      </c>
      <c r="CM178" s="1">
        <f t="array" ref="CM178">SUMPRODUCT($H178:$Y178,(TRANSPOSE(CM$2:CM$19)))</f>
        <v>0</v>
      </c>
      <c r="CN178" s="1">
        <f t="array" ref="CN178">SUMPRODUCT($H178:$Y178,(TRANSPOSE(CN$2:CN$19)))</f>
        <v>0</v>
      </c>
      <c r="CO178" s="1">
        <f t="array" ref="CO178">SUMPRODUCT($H178:$Y178,(TRANSPOSE(CO$2:CO$19)))</f>
        <v>40</v>
      </c>
      <c r="CP178" s="1">
        <f t="array" ref="CP178">SUMPRODUCT($H178:$Y178,(TRANSPOSE(CP$2:CP$19)))</f>
        <v>80</v>
      </c>
      <c r="CQ178" s="1">
        <f t="array" ref="CQ178">SUMPRODUCT($H178:$Y178,(TRANSPOSE(CQ$2:CQ$19)))</f>
        <v>120</v>
      </c>
      <c r="CR178" s="1">
        <f t="array" ref="CR178">SUMPRODUCT($H178:$Y178,(TRANSPOSE(CR$2:CR$19)))</f>
        <v>160</v>
      </c>
      <c r="CS178" s="1">
        <f t="array" ref="CS178">SUMPRODUCT($H178:$Y178,(TRANSPOSE(CS$2:CS$19)))</f>
        <v>200</v>
      </c>
      <c r="CT178" s="1">
        <f t="array" ref="CT178">SUMPRODUCT($H178:$Y178,(TRANSPOSE(CT$2:CT$19)))</f>
        <v>240</v>
      </c>
      <c r="CU178" s="1">
        <f t="array" ref="CU178">SUMPRODUCT($H178:$Y178,(TRANSPOSE(CU$2:CU$19)))</f>
        <v>280</v>
      </c>
      <c r="CV178" s="1">
        <f t="array" ref="CV178">SUMPRODUCT($H178:$Y178,(TRANSPOSE(CV$2:CV$19)))</f>
        <v>320</v>
      </c>
      <c r="CW178" s="1">
        <f t="array" ref="CW178">SUMPRODUCT($H178:$Y178,(TRANSPOSE(CW$2:CW$19)))</f>
        <v>360</v>
      </c>
      <c r="CX178" s="1">
        <f t="array" ref="CX178">SUMPRODUCT($H178:$Y178,(TRANSPOSE(CX$2:CX$19)))</f>
        <v>400</v>
      </c>
      <c r="CY178" s="1">
        <f t="array" ref="CY178">SUMPRODUCT($H178:$Y178,(TRANSPOSE(CY$2:CY$19)))</f>
        <v>440</v>
      </c>
      <c r="CZ178" s="1">
        <f t="array" ref="CZ178">SUMPRODUCT($H178:$Y178,(TRANSPOSE(CZ$2:CZ$19)))</f>
        <v>480</v>
      </c>
      <c r="DA178" s="1">
        <f t="array" ref="DA178">SUMPRODUCT($H178:$Y178,(TRANSPOSE(DA$2:DA$19)))</f>
        <v>520</v>
      </c>
      <c r="DB178" s="1">
        <f t="array" ref="DB178">SUMPRODUCT($H178:$Y178,(TRANSPOSE(DB$2:DB$19)))</f>
        <v>0</v>
      </c>
      <c r="DC178" s="1">
        <f t="array" ref="DC178">SUMPRODUCT($H178:$Y178,(TRANSPOSE(DC$2:DC$19)))</f>
        <v>0</v>
      </c>
      <c r="DD178" s="1">
        <f t="array" ref="DD178">SUMPRODUCT($H178:$Y178,(TRANSPOSE(DD$2:DD$19)))</f>
        <v>0</v>
      </c>
    </row>
    <row r="179" spans="1:108" x14ac:dyDescent="0.2">
      <c r="A179" s="1">
        <v>195</v>
      </c>
      <c r="B179" s="10" t="s">
        <v>466</v>
      </c>
      <c r="C179" s="1" t="s">
        <v>22</v>
      </c>
      <c r="D179" s="1">
        <v>401481543</v>
      </c>
      <c r="E179" s="1">
        <v>400275502</v>
      </c>
      <c r="F179" s="1" t="s">
        <v>465</v>
      </c>
      <c r="G179" s="1" t="s">
        <v>20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136</v>
      </c>
      <c r="U179" s="1">
        <v>0</v>
      </c>
      <c r="V179" s="1">
        <v>0</v>
      </c>
      <c r="W179" s="1">
        <v>0</v>
      </c>
      <c r="X179" s="1">
        <v>136</v>
      </c>
      <c r="Y179" s="1">
        <v>0</v>
      </c>
      <c r="Z179" s="1">
        <f>SUM(H179:Y179)</f>
        <v>272</v>
      </c>
      <c r="AA179" s="1">
        <f>SUMPRODUCT(H179:Y179,$H$16:$Y$16)</f>
        <v>247520</v>
      </c>
      <c r="AB179" s="1" t="s">
        <v>386</v>
      </c>
      <c r="AC179" s="1">
        <v>4.0000000000000001E-3</v>
      </c>
      <c r="AD179" s="9"/>
      <c r="AE179" s="1" t="s">
        <v>28</v>
      </c>
      <c r="AF179" s="1">
        <f>AC179</f>
        <v>4.0000000000000001E-3</v>
      </c>
      <c r="AG179" s="1">
        <v>10000</v>
      </c>
      <c r="AH179" s="1">
        <v>10000</v>
      </c>
      <c r="AI179" s="1" t="s">
        <v>82</v>
      </c>
      <c r="AK179" s="1" t="s">
        <v>89</v>
      </c>
      <c r="AL179" s="1" t="s">
        <v>88</v>
      </c>
      <c r="AM179" s="1" t="s">
        <v>87</v>
      </c>
      <c r="AN179" s="2" t="s">
        <v>86</v>
      </c>
      <c r="BO179" s="1">
        <f>SUM($AP179,$AQ179:AQ179)-SUM($CK179:CL179)</f>
        <v>0</v>
      </c>
      <c r="BP179" s="1">
        <f>SUM($AP179,$AQ179:AR179)-SUM($CK179:CM179)</f>
        <v>0</v>
      </c>
      <c r="BQ179" s="1">
        <f>SUM($AP179,$AQ179:AS179)-SUM($CK179:CN179)</f>
        <v>0</v>
      </c>
      <c r="BR179" s="1">
        <f>SUM($AP179,$AQ179:AT179)-SUM($CK179:CO179)</f>
        <v>-2720</v>
      </c>
      <c r="BS179" s="1">
        <f>SUM($AP179,$AQ179:AU179)-SUM($CK179:CP179)</f>
        <v>-8160</v>
      </c>
      <c r="BT179" s="1">
        <f>SUM($AP179,$AQ179:AV179)-SUM($CK179:CQ179)</f>
        <v>-16320</v>
      </c>
      <c r="BU179" s="1">
        <f>SUM($AP179,$AQ179:AW179)-SUM($CK179:CR179)</f>
        <v>-27200</v>
      </c>
      <c r="BV179" s="1">
        <f>SUM($AP179,$AQ179:AX179)-SUM($CK179:CS179)</f>
        <v>-40800</v>
      </c>
      <c r="BW179" s="1">
        <f>SUM($AP179,$AQ179:AY179)-SUM($CK179:CT179)</f>
        <v>-57120</v>
      </c>
      <c r="BX179" s="1">
        <f>SUM($AP179,$AQ179:AZ179)-SUM($CK179:CU179)</f>
        <v>-76160</v>
      </c>
      <c r="BY179" s="1">
        <f>SUM($AP179,$AQ179:BA179)-SUM($CK179:CV179)</f>
        <v>-97920</v>
      </c>
      <c r="BZ179" s="1">
        <f>SUM($AP179,$AQ179:BB179)-SUM($CK179:CW179)</f>
        <v>-122400</v>
      </c>
      <c r="CA179" s="1">
        <f>SUM($AP179,$AQ179:BC179)-SUM($CK179:CX179)</f>
        <v>-149600</v>
      </c>
      <c r="CB179" s="1">
        <f>SUM($AP179,$AQ179:BD179)-SUM($CK179:CY179)</f>
        <v>-179520</v>
      </c>
      <c r="CC179" s="1">
        <f>SUM($AP179,$AQ179:BE179)-SUM($CK179:CZ179)</f>
        <v>-212160</v>
      </c>
      <c r="CD179" s="1">
        <f>SUM($AP179,$AQ179:BF179)-SUM($CK179:DA179)</f>
        <v>-247520</v>
      </c>
      <c r="CE179" s="1">
        <f>SUM($AP179,$AQ179:BG179)-SUM($CK179:DB179)</f>
        <v>-247520</v>
      </c>
      <c r="CF179" s="1">
        <f>SUM($AP179,$AQ179:BH179)-SUM($CK179:DC179)</f>
        <v>-247520</v>
      </c>
      <c r="CG179" s="1">
        <f>SUM($AP179,$AQ179:BI179)-SUM($CK179:DD179)</f>
        <v>-247520</v>
      </c>
      <c r="CK179" s="1">
        <f t="array" ref="CK179">SUMPRODUCT($H179:$Y179,(TRANSPOSE(CK$2:CK$19)))</f>
        <v>0</v>
      </c>
      <c r="CL179" s="1">
        <f t="array" ref="CL179">SUMPRODUCT($H179:$Y179,(TRANSPOSE(CL$2:CL$19)))</f>
        <v>0</v>
      </c>
      <c r="CM179" s="1">
        <f t="array" ref="CM179">SUMPRODUCT($H179:$Y179,(TRANSPOSE(CM$2:CM$19)))</f>
        <v>0</v>
      </c>
      <c r="CN179" s="1">
        <f t="array" ref="CN179">SUMPRODUCT($H179:$Y179,(TRANSPOSE(CN$2:CN$19)))</f>
        <v>0</v>
      </c>
      <c r="CO179" s="1">
        <f t="array" ref="CO179">SUMPRODUCT($H179:$Y179,(TRANSPOSE(CO$2:CO$19)))</f>
        <v>2720</v>
      </c>
      <c r="CP179" s="1">
        <f t="array" ref="CP179">SUMPRODUCT($H179:$Y179,(TRANSPOSE(CP$2:CP$19)))</f>
        <v>5440</v>
      </c>
      <c r="CQ179" s="1">
        <f t="array" ref="CQ179">SUMPRODUCT($H179:$Y179,(TRANSPOSE(CQ$2:CQ$19)))</f>
        <v>8160</v>
      </c>
      <c r="CR179" s="1">
        <f t="array" ref="CR179">SUMPRODUCT($H179:$Y179,(TRANSPOSE(CR$2:CR$19)))</f>
        <v>10880</v>
      </c>
      <c r="CS179" s="1">
        <f t="array" ref="CS179">SUMPRODUCT($H179:$Y179,(TRANSPOSE(CS$2:CS$19)))</f>
        <v>13600</v>
      </c>
      <c r="CT179" s="1">
        <f t="array" ref="CT179">SUMPRODUCT($H179:$Y179,(TRANSPOSE(CT$2:CT$19)))</f>
        <v>16320</v>
      </c>
      <c r="CU179" s="1">
        <f t="array" ref="CU179">SUMPRODUCT($H179:$Y179,(TRANSPOSE(CU$2:CU$19)))</f>
        <v>19040</v>
      </c>
      <c r="CV179" s="1">
        <f t="array" ref="CV179">SUMPRODUCT($H179:$Y179,(TRANSPOSE(CV$2:CV$19)))</f>
        <v>21760</v>
      </c>
      <c r="CW179" s="1">
        <f t="array" ref="CW179">SUMPRODUCT($H179:$Y179,(TRANSPOSE(CW$2:CW$19)))</f>
        <v>24480</v>
      </c>
      <c r="CX179" s="1">
        <f t="array" ref="CX179">SUMPRODUCT($H179:$Y179,(TRANSPOSE(CX$2:CX$19)))</f>
        <v>27200</v>
      </c>
      <c r="CY179" s="1">
        <f t="array" ref="CY179">SUMPRODUCT($H179:$Y179,(TRANSPOSE(CY$2:CY$19)))</f>
        <v>29920</v>
      </c>
      <c r="CZ179" s="1">
        <f t="array" ref="CZ179">SUMPRODUCT($H179:$Y179,(TRANSPOSE(CZ$2:CZ$19)))</f>
        <v>32640</v>
      </c>
      <c r="DA179" s="1">
        <f t="array" ref="DA179">SUMPRODUCT($H179:$Y179,(TRANSPOSE(DA$2:DA$19)))</f>
        <v>35360</v>
      </c>
      <c r="DB179" s="1">
        <f t="array" ref="DB179">SUMPRODUCT($H179:$Y179,(TRANSPOSE(DB$2:DB$19)))</f>
        <v>0</v>
      </c>
      <c r="DC179" s="1">
        <f t="array" ref="DC179">SUMPRODUCT($H179:$Y179,(TRANSPOSE(DC$2:DC$19)))</f>
        <v>0</v>
      </c>
      <c r="DD179" s="1">
        <f t="array" ref="DD179">SUMPRODUCT($H179:$Y179,(TRANSPOSE(DD$2:DD$19)))</f>
        <v>0</v>
      </c>
    </row>
    <row r="180" spans="1:108" x14ac:dyDescent="0.2">
      <c r="A180" s="1">
        <v>196</v>
      </c>
      <c r="B180" s="10" t="s">
        <v>464</v>
      </c>
      <c r="C180" s="1" t="s">
        <v>22</v>
      </c>
      <c r="D180" s="1">
        <v>405295603</v>
      </c>
      <c r="E180" s="1">
        <v>400275509</v>
      </c>
      <c r="F180" s="1" t="s">
        <v>463</v>
      </c>
      <c r="G180" s="1" t="s">
        <v>20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272</v>
      </c>
      <c r="U180" s="1">
        <v>0</v>
      </c>
      <c r="V180" s="1">
        <v>0</v>
      </c>
      <c r="W180" s="1">
        <v>0</v>
      </c>
      <c r="X180" s="1">
        <v>272</v>
      </c>
      <c r="Y180" s="1">
        <v>0</v>
      </c>
      <c r="Z180" s="1">
        <f>SUM(H180:Y180)</f>
        <v>544</v>
      </c>
      <c r="AA180" s="1">
        <f>SUMPRODUCT(H180:Y180,$H$16:$Y$16)</f>
        <v>495040</v>
      </c>
      <c r="AB180" s="1" t="s">
        <v>462</v>
      </c>
      <c r="AC180" s="1">
        <v>4.0000000000000001E-3</v>
      </c>
      <c r="AD180" s="9"/>
      <c r="AE180" s="1" t="s">
        <v>28</v>
      </c>
      <c r="AF180" s="1">
        <f>AC180</f>
        <v>4.0000000000000001E-3</v>
      </c>
      <c r="AG180" s="1">
        <v>10000</v>
      </c>
      <c r="AH180" s="1">
        <v>10000</v>
      </c>
      <c r="AI180" s="1" t="s">
        <v>82</v>
      </c>
      <c r="AK180" s="1" t="s">
        <v>89</v>
      </c>
      <c r="AL180" s="1" t="s">
        <v>88</v>
      </c>
      <c r="AM180" s="1" t="s">
        <v>87</v>
      </c>
      <c r="AN180" s="2" t="s">
        <v>86</v>
      </c>
      <c r="BO180" s="1">
        <f>SUM($AP180,$AQ180:AQ180)-SUM($CK180:CL180)</f>
        <v>0</v>
      </c>
      <c r="BP180" s="1">
        <f>SUM($AP180,$AQ180:AR180)-SUM($CK180:CM180)</f>
        <v>0</v>
      </c>
      <c r="BQ180" s="1">
        <f>SUM($AP180,$AQ180:AS180)-SUM($CK180:CN180)</f>
        <v>0</v>
      </c>
      <c r="BR180" s="1">
        <f>SUM($AP180,$AQ180:AT180)-SUM($CK180:CO180)</f>
        <v>-5440</v>
      </c>
      <c r="BS180" s="1">
        <f>SUM($AP180,$AQ180:AU180)-SUM($CK180:CP180)</f>
        <v>-16320</v>
      </c>
      <c r="BT180" s="1">
        <f>SUM($AP180,$AQ180:AV180)-SUM($CK180:CQ180)</f>
        <v>-32640</v>
      </c>
      <c r="BU180" s="1">
        <f>SUM($AP180,$AQ180:AW180)-SUM($CK180:CR180)</f>
        <v>-54400</v>
      </c>
      <c r="BV180" s="1">
        <f>SUM($AP180,$AQ180:AX180)-SUM($CK180:CS180)</f>
        <v>-81600</v>
      </c>
      <c r="BW180" s="1">
        <f>SUM($AP180,$AQ180:AY180)-SUM($CK180:CT180)</f>
        <v>-114240</v>
      </c>
      <c r="BX180" s="1">
        <f>SUM($AP180,$AQ180:AZ180)-SUM($CK180:CU180)</f>
        <v>-152320</v>
      </c>
      <c r="BY180" s="1">
        <f>SUM($AP180,$AQ180:BA180)-SUM($CK180:CV180)</f>
        <v>-195840</v>
      </c>
      <c r="BZ180" s="1">
        <f>SUM($AP180,$AQ180:BB180)-SUM($CK180:CW180)</f>
        <v>-244800</v>
      </c>
      <c r="CA180" s="1">
        <f>SUM($AP180,$AQ180:BC180)-SUM($CK180:CX180)</f>
        <v>-299200</v>
      </c>
      <c r="CB180" s="1">
        <f>SUM($AP180,$AQ180:BD180)-SUM($CK180:CY180)</f>
        <v>-359040</v>
      </c>
      <c r="CC180" s="1">
        <f>SUM($AP180,$AQ180:BE180)-SUM($CK180:CZ180)</f>
        <v>-424320</v>
      </c>
      <c r="CD180" s="1">
        <f>SUM($AP180,$AQ180:BF180)-SUM($CK180:DA180)</f>
        <v>-495040</v>
      </c>
      <c r="CE180" s="1">
        <f>SUM($AP180,$AQ180:BG180)-SUM($CK180:DB180)</f>
        <v>-495040</v>
      </c>
      <c r="CF180" s="1">
        <f>SUM($AP180,$AQ180:BH180)-SUM($CK180:DC180)</f>
        <v>-495040</v>
      </c>
      <c r="CG180" s="1">
        <f>SUM($AP180,$AQ180:BI180)-SUM($CK180:DD180)</f>
        <v>-495040</v>
      </c>
      <c r="CK180" s="1">
        <f t="array" ref="CK180">SUMPRODUCT($H180:$Y180,(TRANSPOSE(CK$2:CK$19)))</f>
        <v>0</v>
      </c>
      <c r="CL180" s="1">
        <f t="array" ref="CL180">SUMPRODUCT($H180:$Y180,(TRANSPOSE(CL$2:CL$19)))</f>
        <v>0</v>
      </c>
      <c r="CM180" s="1">
        <f t="array" ref="CM180">SUMPRODUCT($H180:$Y180,(TRANSPOSE(CM$2:CM$19)))</f>
        <v>0</v>
      </c>
      <c r="CN180" s="1">
        <f t="array" ref="CN180">SUMPRODUCT($H180:$Y180,(TRANSPOSE(CN$2:CN$19)))</f>
        <v>0</v>
      </c>
      <c r="CO180" s="1">
        <f t="array" ref="CO180">SUMPRODUCT($H180:$Y180,(TRANSPOSE(CO$2:CO$19)))</f>
        <v>5440</v>
      </c>
      <c r="CP180" s="1">
        <f t="array" ref="CP180">SUMPRODUCT($H180:$Y180,(TRANSPOSE(CP$2:CP$19)))</f>
        <v>10880</v>
      </c>
      <c r="CQ180" s="1">
        <f t="array" ref="CQ180">SUMPRODUCT($H180:$Y180,(TRANSPOSE(CQ$2:CQ$19)))</f>
        <v>16320</v>
      </c>
      <c r="CR180" s="1">
        <f t="array" ref="CR180">SUMPRODUCT($H180:$Y180,(TRANSPOSE(CR$2:CR$19)))</f>
        <v>21760</v>
      </c>
      <c r="CS180" s="1">
        <f t="array" ref="CS180">SUMPRODUCT($H180:$Y180,(TRANSPOSE(CS$2:CS$19)))</f>
        <v>27200</v>
      </c>
      <c r="CT180" s="1">
        <f t="array" ref="CT180">SUMPRODUCT($H180:$Y180,(TRANSPOSE(CT$2:CT$19)))</f>
        <v>32640</v>
      </c>
      <c r="CU180" s="1">
        <f t="array" ref="CU180">SUMPRODUCT($H180:$Y180,(TRANSPOSE(CU$2:CU$19)))</f>
        <v>38080</v>
      </c>
      <c r="CV180" s="1">
        <f t="array" ref="CV180">SUMPRODUCT($H180:$Y180,(TRANSPOSE(CV$2:CV$19)))</f>
        <v>43520</v>
      </c>
      <c r="CW180" s="1">
        <f t="array" ref="CW180">SUMPRODUCT($H180:$Y180,(TRANSPOSE(CW$2:CW$19)))</f>
        <v>48960</v>
      </c>
      <c r="CX180" s="1">
        <f t="array" ref="CX180">SUMPRODUCT($H180:$Y180,(TRANSPOSE(CX$2:CX$19)))</f>
        <v>54400</v>
      </c>
      <c r="CY180" s="1">
        <f t="array" ref="CY180">SUMPRODUCT($H180:$Y180,(TRANSPOSE(CY$2:CY$19)))</f>
        <v>59840</v>
      </c>
      <c r="CZ180" s="1">
        <f t="array" ref="CZ180">SUMPRODUCT($H180:$Y180,(TRANSPOSE(CZ$2:CZ$19)))</f>
        <v>65280</v>
      </c>
      <c r="DA180" s="1">
        <f t="array" ref="DA180">SUMPRODUCT($H180:$Y180,(TRANSPOSE(DA$2:DA$19)))</f>
        <v>70720</v>
      </c>
      <c r="DB180" s="1">
        <f t="array" ref="DB180">SUMPRODUCT($H180:$Y180,(TRANSPOSE(DB$2:DB$19)))</f>
        <v>0</v>
      </c>
      <c r="DC180" s="1">
        <f t="array" ref="DC180">SUMPRODUCT($H180:$Y180,(TRANSPOSE(DC$2:DC$19)))</f>
        <v>0</v>
      </c>
      <c r="DD180" s="1">
        <f t="array" ref="DD180">SUMPRODUCT($H180:$Y180,(TRANSPOSE(DD$2:DD$19)))</f>
        <v>0</v>
      </c>
    </row>
    <row r="181" spans="1:108" x14ac:dyDescent="0.2">
      <c r="A181" s="1">
        <v>197</v>
      </c>
      <c r="B181" s="10" t="s">
        <v>461</v>
      </c>
      <c r="C181" s="1" t="s">
        <v>22</v>
      </c>
      <c r="D181" s="1">
        <v>401053359</v>
      </c>
      <c r="E181" s="1">
        <v>400275523</v>
      </c>
      <c r="F181" s="1" t="s">
        <v>460</v>
      </c>
      <c r="G181" s="1" t="s">
        <v>20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136</v>
      </c>
      <c r="U181" s="1">
        <v>20</v>
      </c>
      <c r="V181" s="1">
        <v>0</v>
      </c>
      <c r="W181" s="1">
        <v>0</v>
      </c>
      <c r="X181" s="1">
        <v>136</v>
      </c>
      <c r="Y181" s="1">
        <v>20</v>
      </c>
      <c r="Z181" s="1">
        <f>SUM(H181:Y181)</f>
        <v>312</v>
      </c>
      <c r="AA181" s="1">
        <f>SUMPRODUCT(H181:Y181,$H$16:$Y$16)</f>
        <v>283920</v>
      </c>
      <c r="AB181" s="1" t="s">
        <v>386</v>
      </c>
      <c r="AC181" s="1">
        <v>4.0000000000000001E-3</v>
      </c>
      <c r="AD181" s="9"/>
      <c r="AE181" s="1" t="s">
        <v>28</v>
      </c>
      <c r="AF181" s="1">
        <f>AC181</f>
        <v>4.0000000000000001E-3</v>
      </c>
      <c r="AG181" s="1">
        <v>10000</v>
      </c>
      <c r="AH181" s="1">
        <v>10000</v>
      </c>
      <c r="AI181" s="1" t="s">
        <v>82</v>
      </c>
      <c r="AK181" s="1" t="s">
        <v>89</v>
      </c>
      <c r="AL181" s="1" t="s">
        <v>88</v>
      </c>
      <c r="AM181" s="1" t="s">
        <v>87</v>
      </c>
      <c r="AN181" s="2" t="s">
        <v>86</v>
      </c>
      <c r="BO181" s="1">
        <f>SUM($AP181,$AQ181:AQ181)-SUM($CK181:CL181)</f>
        <v>0</v>
      </c>
      <c r="BP181" s="1">
        <f>SUM($AP181,$AQ181:AR181)-SUM($CK181:CM181)</f>
        <v>0</v>
      </c>
      <c r="BQ181" s="1">
        <f>SUM($AP181,$AQ181:AS181)-SUM($CK181:CN181)</f>
        <v>0</v>
      </c>
      <c r="BR181" s="1">
        <f>SUM($AP181,$AQ181:AT181)-SUM($CK181:CO181)</f>
        <v>-3120</v>
      </c>
      <c r="BS181" s="1">
        <f>SUM($AP181,$AQ181:AU181)-SUM($CK181:CP181)</f>
        <v>-9360</v>
      </c>
      <c r="BT181" s="1">
        <f>SUM($AP181,$AQ181:AV181)-SUM($CK181:CQ181)</f>
        <v>-18720</v>
      </c>
      <c r="BU181" s="1">
        <f>SUM($AP181,$AQ181:AW181)-SUM($CK181:CR181)</f>
        <v>-31200</v>
      </c>
      <c r="BV181" s="1">
        <f>SUM($AP181,$AQ181:AX181)-SUM($CK181:CS181)</f>
        <v>-46800</v>
      </c>
      <c r="BW181" s="1">
        <f>SUM($AP181,$AQ181:AY181)-SUM($CK181:CT181)</f>
        <v>-65520</v>
      </c>
      <c r="BX181" s="1">
        <f>SUM($AP181,$AQ181:AZ181)-SUM($CK181:CU181)</f>
        <v>-87360</v>
      </c>
      <c r="BY181" s="1">
        <f>SUM($AP181,$AQ181:BA181)-SUM($CK181:CV181)</f>
        <v>-112320</v>
      </c>
      <c r="BZ181" s="1">
        <f>SUM($AP181,$AQ181:BB181)-SUM($CK181:CW181)</f>
        <v>-140400</v>
      </c>
      <c r="CA181" s="1">
        <f>SUM($AP181,$AQ181:BC181)-SUM($CK181:CX181)</f>
        <v>-171600</v>
      </c>
      <c r="CB181" s="1">
        <f>SUM($AP181,$AQ181:BD181)-SUM($CK181:CY181)</f>
        <v>-205920</v>
      </c>
      <c r="CC181" s="1">
        <f>SUM($AP181,$AQ181:BE181)-SUM($CK181:CZ181)</f>
        <v>-243360</v>
      </c>
      <c r="CD181" s="1">
        <f>SUM($AP181,$AQ181:BF181)-SUM($CK181:DA181)</f>
        <v>-283920</v>
      </c>
      <c r="CE181" s="1">
        <f>SUM($AP181,$AQ181:BG181)-SUM($CK181:DB181)</f>
        <v>-283920</v>
      </c>
      <c r="CF181" s="1">
        <f>SUM($AP181,$AQ181:BH181)-SUM($CK181:DC181)</f>
        <v>-283920</v>
      </c>
      <c r="CG181" s="1">
        <f>SUM($AP181,$AQ181:BI181)-SUM($CK181:DD181)</f>
        <v>-283920</v>
      </c>
      <c r="CK181" s="1">
        <f t="array" ref="CK181">SUMPRODUCT($H181:$Y181,(TRANSPOSE(CK$2:CK$19)))</f>
        <v>0</v>
      </c>
      <c r="CL181" s="1">
        <f t="array" ref="CL181">SUMPRODUCT($H181:$Y181,(TRANSPOSE(CL$2:CL$19)))</f>
        <v>0</v>
      </c>
      <c r="CM181" s="1">
        <f t="array" ref="CM181">SUMPRODUCT($H181:$Y181,(TRANSPOSE(CM$2:CM$19)))</f>
        <v>0</v>
      </c>
      <c r="CN181" s="1">
        <f t="array" ref="CN181">SUMPRODUCT($H181:$Y181,(TRANSPOSE(CN$2:CN$19)))</f>
        <v>0</v>
      </c>
      <c r="CO181" s="1">
        <f t="array" ref="CO181">SUMPRODUCT($H181:$Y181,(TRANSPOSE(CO$2:CO$19)))</f>
        <v>3120</v>
      </c>
      <c r="CP181" s="1">
        <f t="array" ref="CP181">SUMPRODUCT($H181:$Y181,(TRANSPOSE(CP$2:CP$19)))</f>
        <v>6240</v>
      </c>
      <c r="CQ181" s="1">
        <f t="array" ref="CQ181">SUMPRODUCT($H181:$Y181,(TRANSPOSE(CQ$2:CQ$19)))</f>
        <v>9360</v>
      </c>
      <c r="CR181" s="1">
        <f t="array" ref="CR181">SUMPRODUCT($H181:$Y181,(TRANSPOSE(CR$2:CR$19)))</f>
        <v>12480</v>
      </c>
      <c r="CS181" s="1">
        <f t="array" ref="CS181">SUMPRODUCT($H181:$Y181,(TRANSPOSE(CS$2:CS$19)))</f>
        <v>15600</v>
      </c>
      <c r="CT181" s="1">
        <f t="array" ref="CT181">SUMPRODUCT($H181:$Y181,(TRANSPOSE(CT$2:CT$19)))</f>
        <v>18720</v>
      </c>
      <c r="CU181" s="1">
        <f t="array" ref="CU181">SUMPRODUCT($H181:$Y181,(TRANSPOSE(CU$2:CU$19)))</f>
        <v>21840</v>
      </c>
      <c r="CV181" s="1">
        <f t="array" ref="CV181">SUMPRODUCT($H181:$Y181,(TRANSPOSE(CV$2:CV$19)))</f>
        <v>24960</v>
      </c>
      <c r="CW181" s="1">
        <f t="array" ref="CW181">SUMPRODUCT($H181:$Y181,(TRANSPOSE(CW$2:CW$19)))</f>
        <v>28080</v>
      </c>
      <c r="CX181" s="1">
        <f t="array" ref="CX181">SUMPRODUCT($H181:$Y181,(TRANSPOSE(CX$2:CX$19)))</f>
        <v>31200</v>
      </c>
      <c r="CY181" s="1">
        <f t="array" ref="CY181">SUMPRODUCT($H181:$Y181,(TRANSPOSE(CY$2:CY$19)))</f>
        <v>34320</v>
      </c>
      <c r="CZ181" s="1">
        <f t="array" ref="CZ181">SUMPRODUCT($H181:$Y181,(TRANSPOSE(CZ$2:CZ$19)))</f>
        <v>37440</v>
      </c>
      <c r="DA181" s="1">
        <f t="array" ref="DA181">SUMPRODUCT($H181:$Y181,(TRANSPOSE(DA$2:DA$19)))</f>
        <v>40560</v>
      </c>
      <c r="DB181" s="1">
        <f t="array" ref="DB181">SUMPRODUCT($H181:$Y181,(TRANSPOSE(DB$2:DB$19)))</f>
        <v>0</v>
      </c>
      <c r="DC181" s="1">
        <f t="array" ref="DC181">SUMPRODUCT($H181:$Y181,(TRANSPOSE(DC$2:DC$19)))</f>
        <v>0</v>
      </c>
      <c r="DD181" s="1">
        <f t="array" ref="DD181">SUMPRODUCT($H181:$Y181,(TRANSPOSE(DD$2:DD$19)))</f>
        <v>0</v>
      </c>
    </row>
    <row r="182" spans="1:108" x14ac:dyDescent="0.2">
      <c r="A182" s="1">
        <v>198</v>
      </c>
      <c r="B182" s="10" t="s">
        <v>459</v>
      </c>
      <c r="C182" s="1" t="s">
        <v>22</v>
      </c>
      <c r="D182" s="1">
        <v>400679613</v>
      </c>
      <c r="E182" s="1" t="s">
        <v>458</v>
      </c>
      <c r="F182" s="1" t="s">
        <v>457</v>
      </c>
      <c r="G182" s="1" t="s">
        <v>20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138</v>
      </c>
      <c r="U182" s="1">
        <v>16</v>
      </c>
      <c r="V182" s="1">
        <v>0</v>
      </c>
      <c r="W182" s="1">
        <v>0</v>
      </c>
      <c r="X182" s="1">
        <v>138</v>
      </c>
      <c r="Y182" s="1">
        <v>16</v>
      </c>
      <c r="Z182" s="1">
        <f>SUM(H182:Y182)</f>
        <v>308</v>
      </c>
      <c r="AA182" s="1">
        <f>SUMPRODUCT(H182:Y182,$H$16:$Y$16)</f>
        <v>280280</v>
      </c>
      <c r="AB182" s="1" t="s">
        <v>386</v>
      </c>
      <c r="AC182" s="1">
        <v>4.0000000000000001E-3</v>
      </c>
      <c r="AD182" s="9"/>
      <c r="AE182" s="1" t="s">
        <v>28</v>
      </c>
      <c r="AF182" s="1">
        <f>AC182</f>
        <v>4.0000000000000001E-3</v>
      </c>
      <c r="AG182" s="1">
        <v>5000</v>
      </c>
      <c r="AH182" s="1">
        <v>5000</v>
      </c>
      <c r="AI182" s="1" t="s">
        <v>82</v>
      </c>
      <c r="AK182" s="1" t="s">
        <v>89</v>
      </c>
      <c r="AL182" s="1" t="s">
        <v>88</v>
      </c>
      <c r="AM182" s="1" t="s">
        <v>87</v>
      </c>
      <c r="AN182" s="2" t="s">
        <v>86</v>
      </c>
      <c r="BO182" s="1">
        <f>SUM($AP182,$AQ182:AQ182)-SUM($CK182:CL182)</f>
        <v>0</v>
      </c>
      <c r="BP182" s="1">
        <f>SUM($AP182,$AQ182:AR182)-SUM($CK182:CM182)</f>
        <v>0</v>
      </c>
      <c r="BQ182" s="1">
        <f>SUM($AP182,$AQ182:AS182)-SUM($CK182:CN182)</f>
        <v>0</v>
      </c>
      <c r="BR182" s="1">
        <f>SUM($AP182,$AQ182:AT182)-SUM($CK182:CO182)</f>
        <v>-3080</v>
      </c>
      <c r="BS182" s="1">
        <f>SUM($AP182,$AQ182:AU182)-SUM($CK182:CP182)</f>
        <v>-9240</v>
      </c>
      <c r="BT182" s="1">
        <f>SUM($AP182,$AQ182:AV182)-SUM($CK182:CQ182)</f>
        <v>-18480</v>
      </c>
      <c r="BU182" s="1">
        <f>SUM($AP182,$AQ182:AW182)-SUM($CK182:CR182)</f>
        <v>-30800</v>
      </c>
      <c r="BV182" s="1">
        <f>SUM($AP182,$AQ182:AX182)-SUM($CK182:CS182)</f>
        <v>-46200</v>
      </c>
      <c r="BW182" s="1">
        <f>SUM($AP182,$AQ182:AY182)-SUM($CK182:CT182)</f>
        <v>-64680</v>
      </c>
      <c r="BX182" s="1">
        <f>SUM($AP182,$AQ182:AZ182)-SUM($CK182:CU182)</f>
        <v>-86240</v>
      </c>
      <c r="BY182" s="1">
        <f>SUM($AP182,$AQ182:BA182)-SUM($CK182:CV182)</f>
        <v>-110880</v>
      </c>
      <c r="BZ182" s="1">
        <f>SUM($AP182,$AQ182:BB182)-SUM($CK182:CW182)</f>
        <v>-138600</v>
      </c>
      <c r="CA182" s="1">
        <f>SUM($AP182,$AQ182:BC182)-SUM($CK182:CX182)</f>
        <v>-169400</v>
      </c>
      <c r="CB182" s="1">
        <f>SUM($AP182,$AQ182:BD182)-SUM($CK182:CY182)</f>
        <v>-203280</v>
      </c>
      <c r="CC182" s="1">
        <f>SUM($AP182,$AQ182:BE182)-SUM($CK182:CZ182)</f>
        <v>-240240</v>
      </c>
      <c r="CD182" s="1">
        <f>SUM($AP182,$AQ182:BF182)-SUM($CK182:DA182)</f>
        <v>-280280</v>
      </c>
      <c r="CE182" s="1">
        <f>SUM($AP182,$AQ182:BG182)-SUM($CK182:DB182)</f>
        <v>-280280</v>
      </c>
      <c r="CF182" s="1">
        <f>SUM($AP182,$AQ182:BH182)-SUM($CK182:DC182)</f>
        <v>-280280</v>
      </c>
      <c r="CG182" s="1">
        <f>SUM($AP182,$AQ182:BI182)-SUM($CK182:DD182)</f>
        <v>-280280</v>
      </c>
      <c r="CK182" s="1">
        <f t="array" ref="CK182">SUMPRODUCT($H182:$Y182,(TRANSPOSE(CK$2:CK$19)))</f>
        <v>0</v>
      </c>
      <c r="CL182" s="1">
        <f t="array" ref="CL182">SUMPRODUCT($H182:$Y182,(TRANSPOSE(CL$2:CL$19)))</f>
        <v>0</v>
      </c>
      <c r="CM182" s="1">
        <f t="array" ref="CM182">SUMPRODUCT($H182:$Y182,(TRANSPOSE(CM$2:CM$19)))</f>
        <v>0</v>
      </c>
      <c r="CN182" s="1">
        <f t="array" ref="CN182">SUMPRODUCT($H182:$Y182,(TRANSPOSE(CN$2:CN$19)))</f>
        <v>0</v>
      </c>
      <c r="CO182" s="1">
        <f t="array" ref="CO182">SUMPRODUCT($H182:$Y182,(TRANSPOSE(CO$2:CO$19)))</f>
        <v>3080</v>
      </c>
      <c r="CP182" s="1">
        <f t="array" ref="CP182">SUMPRODUCT($H182:$Y182,(TRANSPOSE(CP$2:CP$19)))</f>
        <v>6160</v>
      </c>
      <c r="CQ182" s="1">
        <f t="array" ref="CQ182">SUMPRODUCT($H182:$Y182,(TRANSPOSE(CQ$2:CQ$19)))</f>
        <v>9240</v>
      </c>
      <c r="CR182" s="1">
        <f t="array" ref="CR182">SUMPRODUCT($H182:$Y182,(TRANSPOSE(CR$2:CR$19)))</f>
        <v>12320</v>
      </c>
      <c r="CS182" s="1">
        <f t="array" ref="CS182">SUMPRODUCT($H182:$Y182,(TRANSPOSE(CS$2:CS$19)))</f>
        <v>15400</v>
      </c>
      <c r="CT182" s="1">
        <f t="array" ref="CT182">SUMPRODUCT($H182:$Y182,(TRANSPOSE(CT$2:CT$19)))</f>
        <v>18480</v>
      </c>
      <c r="CU182" s="1">
        <f t="array" ref="CU182">SUMPRODUCT($H182:$Y182,(TRANSPOSE(CU$2:CU$19)))</f>
        <v>21560</v>
      </c>
      <c r="CV182" s="1">
        <f t="array" ref="CV182">SUMPRODUCT($H182:$Y182,(TRANSPOSE(CV$2:CV$19)))</f>
        <v>24640</v>
      </c>
      <c r="CW182" s="1">
        <f t="array" ref="CW182">SUMPRODUCT($H182:$Y182,(TRANSPOSE(CW$2:CW$19)))</f>
        <v>27720</v>
      </c>
      <c r="CX182" s="1">
        <f t="array" ref="CX182">SUMPRODUCT($H182:$Y182,(TRANSPOSE(CX$2:CX$19)))</f>
        <v>30800</v>
      </c>
      <c r="CY182" s="1">
        <f t="array" ref="CY182">SUMPRODUCT($H182:$Y182,(TRANSPOSE(CY$2:CY$19)))</f>
        <v>33880</v>
      </c>
      <c r="CZ182" s="1">
        <f t="array" ref="CZ182">SUMPRODUCT($H182:$Y182,(TRANSPOSE(CZ$2:CZ$19)))</f>
        <v>36960</v>
      </c>
      <c r="DA182" s="1">
        <f t="array" ref="DA182">SUMPRODUCT($H182:$Y182,(TRANSPOSE(DA$2:DA$19)))</f>
        <v>40040</v>
      </c>
      <c r="DB182" s="1">
        <f t="array" ref="DB182">SUMPRODUCT($H182:$Y182,(TRANSPOSE(DB$2:DB$19)))</f>
        <v>0</v>
      </c>
      <c r="DC182" s="1">
        <f t="array" ref="DC182">SUMPRODUCT($H182:$Y182,(TRANSPOSE(DC$2:DC$19)))</f>
        <v>0</v>
      </c>
      <c r="DD182" s="1">
        <f t="array" ref="DD182">SUMPRODUCT($H182:$Y182,(TRANSPOSE(DD$2:DD$19)))</f>
        <v>0</v>
      </c>
    </row>
    <row r="183" spans="1:108" x14ac:dyDescent="0.2">
      <c r="A183" s="1">
        <v>199</v>
      </c>
      <c r="B183" s="10" t="s">
        <v>456</v>
      </c>
      <c r="C183" s="1" t="s">
        <v>22</v>
      </c>
      <c r="D183" s="1">
        <v>400693196</v>
      </c>
      <c r="E183" s="1" t="s">
        <v>455</v>
      </c>
      <c r="F183" s="1" t="s">
        <v>454</v>
      </c>
      <c r="G183" s="1" t="s">
        <v>20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2</v>
      </c>
      <c r="V183" s="1">
        <v>0</v>
      </c>
      <c r="W183" s="1">
        <v>0</v>
      </c>
      <c r="X183" s="1">
        <v>0</v>
      </c>
      <c r="Y183" s="1">
        <v>2</v>
      </c>
      <c r="Z183" s="1">
        <f>SUM(H183:Y183)</f>
        <v>4</v>
      </c>
      <c r="AA183" s="1">
        <f>SUMPRODUCT(H183:Y183,$H$16:$Y$16)</f>
        <v>3640</v>
      </c>
      <c r="AB183" s="1" t="s">
        <v>386</v>
      </c>
      <c r="AC183" s="1">
        <v>4.0000000000000001E-3</v>
      </c>
      <c r="AD183" s="9"/>
      <c r="AE183" s="1" t="s">
        <v>28</v>
      </c>
      <c r="AF183" s="1">
        <f>AC183</f>
        <v>4.0000000000000001E-3</v>
      </c>
      <c r="AG183" s="1">
        <v>5000</v>
      </c>
      <c r="AH183" s="1">
        <v>5000</v>
      </c>
      <c r="AI183" s="1" t="s">
        <v>82</v>
      </c>
      <c r="AK183" s="1" t="s">
        <v>89</v>
      </c>
      <c r="AL183" s="1" t="s">
        <v>88</v>
      </c>
      <c r="AM183" s="1" t="s">
        <v>87</v>
      </c>
      <c r="AN183" s="2" t="s">
        <v>86</v>
      </c>
      <c r="BO183" s="1">
        <f>SUM($AP183,$AQ183:AQ183)-SUM($CK183:CL183)</f>
        <v>0</v>
      </c>
      <c r="BP183" s="1">
        <f>SUM($AP183,$AQ183:AR183)-SUM($CK183:CM183)</f>
        <v>0</v>
      </c>
      <c r="BQ183" s="1">
        <f>SUM($AP183,$AQ183:AS183)-SUM($CK183:CN183)</f>
        <v>0</v>
      </c>
      <c r="BR183" s="1">
        <f>SUM($AP183,$AQ183:AT183)-SUM($CK183:CO183)</f>
        <v>-40</v>
      </c>
      <c r="BS183" s="1">
        <f>SUM($AP183,$AQ183:AU183)-SUM($CK183:CP183)</f>
        <v>-120</v>
      </c>
      <c r="BT183" s="1">
        <f>SUM($AP183,$AQ183:AV183)-SUM($CK183:CQ183)</f>
        <v>-240</v>
      </c>
      <c r="BU183" s="1">
        <f>SUM($AP183,$AQ183:AW183)-SUM($CK183:CR183)</f>
        <v>-400</v>
      </c>
      <c r="BV183" s="1">
        <f>SUM($AP183,$AQ183:AX183)-SUM($CK183:CS183)</f>
        <v>-600</v>
      </c>
      <c r="BW183" s="1">
        <f>SUM($AP183,$AQ183:AY183)-SUM($CK183:CT183)</f>
        <v>-840</v>
      </c>
      <c r="BX183" s="1">
        <f>SUM($AP183,$AQ183:AZ183)-SUM($CK183:CU183)</f>
        <v>-1120</v>
      </c>
      <c r="BY183" s="1">
        <f>SUM($AP183,$AQ183:BA183)-SUM($CK183:CV183)</f>
        <v>-1440</v>
      </c>
      <c r="BZ183" s="1">
        <f>SUM($AP183,$AQ183:BB183)-SUM($CK183:CW183)</f>
        <v>-1800</v>
      </c>
      <c r="CA183" s="1">
        <f>SUM($AP183,$AQ183:BC183)-SUM($CK183:CX183)</f>
        <v>-2200</v>
      </c>
      <c r="CB183" s="1">
        <f>SUM($AP183,$AQ183:BD183)-SUM($CK183:CY183)</f>
        <v>-2640</v>
      </c>
      <c r="CC183" s="1">
        <f>SUM($AP183,$AQ183:BE183)-SUM($CK183:CZ183)</f>
        <v>-3120</v>
      </c>
      <c r="CD183" s="1">
        <f>SUM($AP183,$AQ183:BF183)-SUM($CK183:DA183)</f>
        <v>-3640</v>
      </c>
      <c r="CE183" s="1">
        <f>SUM($AP183,$AQ183:BG183)-SUM($CK183:DB183)</f>
        <v>-3640</v>
      </c>
      <c r="CF183" s="1">
        <f>SUM($AP183,$AQ183:BH183)-SUM($CK183:DC183)</f>
        <v>-3640</v>
      </c>
      <c r="CG183" s="1">
        <f>SUM($AP183,$AQ183:BI183)-SUM($CK183:DD183)</f>
        <v>-3640</v>
      </c>
      <c r="CK183" s="1">
        <f t="array" ref="CK183">SUMPRODUCT($H183:$Y183,(TRANSPOSE(CK$2:CK$19)))</f>
        <v>0</v>
      </c>
      <c r="CL183" s="1">
        <f t="array" ref="CL183">SUMPRODUCT($H183:$Y183,(TRANSPOSE(CL$2:CL$19)))</f>
        <v>0</v>
      </c>
      <c r="CM183" s="1">
        <f t="array" ref="CM183">SUMPRODUCT($H183:$Y183,(TRANSPOSE(CM$2:CM$19)))</f>
        <v>0</v>
      </c>
      <c r="CN183" s="1">
        <f t="array" ref="CN183">SUMPRODUCT($H183:$Y183,(TRANSPOSE(CN$2:CN$19)))</f>
        <v>0</v>
      </c>
      <c r="CO183" s="1">
        <f t="array" ref="CO183">SUMPRODUCT($H183:$Y183,(TRANSPOSE(CO$2:CO$19)))</f>
        <v>40</v>
      </c>
      <c r="CP183" s="1">
        <f t="array" ref="CP183">SUMPRODUCT($H183:$Y183,(TRANSPOSE(CP$2:CP$19)))</f>
        <v>80</v>
      </c>
      <c r="CQ183" s="1">
        <f t="array" ref="CQ183">SUMPRODUCT($H183:$Y183,(TRANSPOSE(CQ$2:CQ$19)))</f>
        <v>120</v>
      </c>
      <c r="CR183" s="1">
        <f t="array" ref="CR183">SUMPRODUCT($H183:$Y183,(TRANSPOSE(CR$2:CR$19)))</f>
        <v>160</v>
      </c>
      <c r="CS183" s="1">
        <f t="array" ref="CS183">SUMPRODUCT($H183:$Y183,(TRANSPOSE(CS$2:CS$19)))</f>
        <v>200</v>
      </c>
      <c r="CT183" s="1">
        <f t="array" ref="CT183">SUMPRODUCT($H183:$Y183,(TRANSPOSE(CT$2:CT$19)))</f>
        <v>240</v>
      </c>
      <c r="CU183" s="1">
        <f t="array" ref="CU183">SUMPRODUCT($H183:$Y183,(TRANSPOSE(CU$2:CU$19)))</f>
        <v>280</v>
      </c>
      <c r="CV183" s="1">
        <f t="array" ref="CV183">SUMPRODUCT($H183:$Y183,(TRANSPOSE(CV$2:CV$19)))</f>
        <v>320</v>
      </c>
      <c r="CW183" s="1">
        <f t="array" ref="CW183">SUMPRODUCT($H183:$Y183,(TRANSPOSE(CW$2:CW$19)))</f>
        <v>360</v>
      </c>
      <c r="CX183" s="1">
        <f t="array" ref="CX183">SUMPRODUCT($H183:$Y183,(TRANSPOSE(CX$2:CX$19)))</f>
        <v>400</v>
      </c>
      <c r="CY183" s="1">
        <f t="array" ref="CY183">SUMPRODUCT($H183:$Y183,(TRANSPOSE(CY$2:CY$19)))</f>
        <v>440</v>
      </c>
      <c r="CZ183" s="1">
        <f t="array" ref="CZ183">SUMPRODUCT($H183:$Y183,(TRANSPOSE(CZ$2:CZ$19)))</f>
        <v>480</v>
      </c>
      <c r="DA183" s="1">
        <f t="array" ref="DA183">SUMPRODUCT($H183:$Y183,(TRANSPOSE(DA$2:DA$19)))</f>
        <v>520</v>
      </c>
      <c r="DB183" s="1">
        <f t="array" ref="DB183">SUMPRODUCT($H183:$Y183,(TRANSPOSE(DB$2:DB$19)))</f>
        <v>0</v>
      </c>
      <c r="DC183" s="1">
        <f t="array" ref="DC183">SUMPRODUCT($H183:$Y183,(TRANSPOSE(DC$2:DC$19)))</f>
        <v>0</v>
      </c>
      <c r="DD183" s="1">
        <f t="array" ref="DD183">SUMPRODUCT($H183:$Y183,(TRANSPOSE(DD$2:DD$19)))</f>
        <v>0</v>
      </c>
    </row>
    <row r="184" spans="1:108" x14ac:dyDescent="0.2">
      <c r="A184" s="1">
        <v>200</v>
      </c>
      <c r="B184" s="10" t="s">
        <v>453</v>
      </c>
      <c r="C184" s="1" t="s">
        <v>22</v>
      </c>
      <c r="D184" s="1">
        <v>400693201</v>
      </c>
      <c r="E184" s="1" t="s">
        <v>452</v>
      </c>
      <c r="F184" s="1" t="s">
        <v>451</v>
      </c>
      <c r="G184" s="1" t="s">
        <v>20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88</v>
      </c>
      <c r="U184" s="1">
        <v>22</v>
      </c>
      <c r="V184" s="1">
        <v>0</v>
      </c>
      <c r="W184" s="1">
        <v>0</v>
      </c>
      <c r="X184" s="1">
        <v>88</v>
      </c>
      <c r="Y184" s="1">
        <v>22</v>
      </c>
      <c r="Z184" s="1">
        <f>SUM(H184:Y184)</f>
        <v>220</v>
      </c>
      <c r="AA184" s="1">
        <f>SUMPRODUCT(H184:Y184,$H$16:$Y$16)</f>
        <v>200200</v>
      </c>
      <c r="AB184" s="1" t="s">
        <v>386</v>
      </c>
      <c r="AC184" s="1">
        <v>4.0000000000000001E-3</v>
      </c>
      <c r="AD184" s="9"/>
      <c r="AE184" s="1" t="s">
        <v>28</v>
      </c>
      <c r="AF184" s="1">
        <f>AC184</f>
        <v>4.0000000000000001E-3</v>
      </c>
      <c r="AG184" s="1">
        <v>5000</v>
      </c>
      <c r="AH184" s="1">
        <v>5000</v>
      </c>
      <c r="AI184" s="1" t="s">
        <v>82</v>
      </c>
      <c r="AK184" s="1" t="s">
        <v>89</v>
      </c>
      <c r="AL184" s="1" t="s">
        <v>88</v>
      </c>
      <c r="AM184" s="1" t="s">
        <v>87</v>
      </c>
      <c r="AN184" s="2" t="s">
        <v>86</v>
      </c>
      <c r="BO184" s="1">
        <f>SUM($AP184,$AQ184:AQ184)-SUM($CK184:CL184)</f>
        <v>0</v>
      </c>
      <c r="BP184" s="1">
        <f>SUM($AP184,$AQ184:AR184)-SUM($CK184:CM184)</f>
        <v>0</v>
      </c>
      <c r="BQ184" s="1">
        <f>SUM($AP184,$AQ184:AS184)-SUM($CK184:CN184)</f>
        <v>0</v>
      </c>
      <c r="BR184" s="1">
        <f>SUM($AP184,$AQ184:AT184)-SUM($CK184:CO184)</f>
        <v>-2200</v>
      </c>
      <c r="BS184" s="1">
        <f>SUM($AP184,$AQ184:AU184)-SUM($CK184:CP184)</f>
        <v>-6600</v>
      </c>
      <c r="BT184" s="1">
        <f>SUM($AP184,$AQ184:AV184)-SUM($CK184:CQ184)</f>
        <v>-13200</v>
      </c>
      <c r="BU184" s="1">
        <f>SUM($AP184,$AQ184:AW184)-SUM($CK184:CR184)</f>
        <v>-22000</v>
      </c>
      <c r="BV184" s="1">
        <f>SUM($AP184,$AQ184:AX184)-SUM($CK184:CS184)</f>
        <v>-33000</v>
      </c>
      <c r="BW184" s="1">
        <f>SUM($AP184,$AQ184:AY184)-SUM($CK184:CT184)</f>
        <v>-46200</v>
      </c>
      <c r="BX184" s="1">
        <f>SUM($AP184,$AQ184:AZ184)-SUM($CK184:CU184)</f>
        <v>-61600</v>
      </c>
      <c r="BY184" s="1">
        <f>SUM($AP184,$AQ184:BA184)-SUM($CK184:CV184)</f>
        <v>-79200</v>
      </c>
      <c r="BZ184" s="1">
        <f>SUM($AP184,$AQ184:BB184)-SUM($CK184:CW184)</f>
        <v>-99000</v>
      </c>
      <c r="CA184" s="1">
        <f>SUM($AP184,$AQ184:BC184)-SUM($CK184:CX184)</f>
        <v>-121000</v>
      </c>
      <c r="CB184" s="1">
        <f>SUM($AP184,$AQ184:BD184)-SUM($CK184:CY184)</f>
        <v>-145200</v>
      </c>
      <c r="CC184" s="1">
        <f>SUM($AP184,$AQ184:BE184)-SUM($CK184:CZ184)</f>
        <v>-171600</v>
      </c>
      <c r="CD184" s="1">
        <f>SUM($AP184,$AQ184:BF184)-SUM($CK184:DA184)</f>
        <v>-200200</v>
      </c>
      <c r="CE184" s="1">
        <f>SUM($AP184,$AQ184:BG184)-SUM($CK184:DB184)</f>
        <v>-200200</v>
      </c>
      <c r="CF184" s="1">
        <f>SUM($AP184,$AQ184:BH184)-SUM($CK184:DC184)</f>
        <v>-200200</v>
      </c>
      <c r="CG184" s="1">
        <f>SUM($AP184,$AQ184:BI184)-SUM($CK184:DD184)</f>
        <v>-200200</v>
      </c>
      <c r="CK184" s="1">
        <f t="array" ref="CK184">SUMPRODUCT($H184:$Y184,(TRANSPOSE(CK$2:CK$19)))</f>
        <v>0</v>
      </c>
      <c r="CL184" s="1">
        <f t="array" ref="CL184">SUMPRODUCT($H184:$Y184,(TRANSPOSE(CL$2:CL$19)))</f>
        <v>0</v>
      </c>
      <c r="CM184" s="1">
        <f t="array" ref="CM184">SUMPRODUCT($H184:$Y184,(TRANSPOSE(CM$2:CM$19)))</f>
        <v>0</v>
      </c>
      <c r="CN184" s="1">
        <f t="array" ref="CN184">SUMPRODUCT($H184:$Y184,(TRANSPOSE(CN$2:CN$19)))</f>
        <v>0</v>
      </c>
      <c r="CO184" s="1">
        <f t="array" ref="CO184">SUMPRODUCT($H184:$Y184,(TRANSPOSE(CO$2:CO$19)))</f>
        <v>2200</v>
      </c>
      <c r="CP184" s="1">
        <f t="array" ref="CP184">SUMPRODUCT($H184:$Y184,(TRANSPOSE(CP$2:CP$19)))</f>
        <v>4400</v>
      </c>
      <c r="CQ184" s="1">
        <f t="array" ref="CQ184">SUMPRODUCT($H184:$Y184,(TRANSPOSE(CQ$2:CQ$19)))</f>
        <v>6600</v>
      </c>
      <c r="CR184" s="1">
        <f t="array" ref="CR184">SUMPRODUCT($H184:$Y184,(TRANSPOSE(CR$2:CR$19)))</f>
        <v>8800</v>
      </c>
      <c r="CS184" s="1">
        <f t="array" ref="CS184">SUMPRODUCT($H184:$Y184,(TRANSPOSE(CS$2:CS$19)))</f>
        <v>11000</v>
      </c>
      <c r="CT184" s="1">
        <f t="array" ref="CT184">SUMPRODUCT($H184:$Y184,(TRANSPOSE(CT$2:CT$19)))</f>
        <v>13200</v>
      </c>
      <c r="CU184" s="1">
        <f t="array" ref="CU184">SUMPRODUCT($H184:$Y184,(TRANSPOSE(CU$2:CU$19)))</f>
        <v>15400</v>
      </c>
      <c r="CV184" s="1">
        <f t="array" ref="CV184">SUMPRODUCT($H184:$Y184,(TRANSPOSE(CV$2:CV$19)))</f>
        <v>17600</v>
      </c>
      <c r="CW184" s="1">
        <f t="array" ref="CW184">SUMPRODUCT($H184:$Y184,(TRANSPOSE(CW$2:CW$19)))</f>
        <v>19800</v>
      </c>
      <c r="CX184" s="1">
        <f t="array" ref="CX184">SUMPRODUCT($H184:$Y184,(TRANSPOSE(CX$2:CX$19)))</f>
        <v>22000</v>
      </c>
      <c r="CY184" s="1">
        <f t="array" ref="CY184">SUMPRODUCT($H184:$Y184,(TRANSPOSE(CY$2:CY$19)))</f>
        <v>24200</v>
      </c>
      <c r="CZ184" s="1">
        <f t="array" ref="CZ184">SUMPRODUCT($H184:$Y184,(TRANSPOSE(CZ$2:CZ$19)))</f>
        <v>26400</v>
      </c>
      <c r="DA184" s="1">
        <f t="array" ref="DA184">SUMPRODUCT($H184:$Y184,(TRANSPOSE(DA$2:DA$19)))</f>
        <v>28600</v>
      </c>
      <c r="DB184" s="1">
        <f t="array" ref="DB184">SUMPRODUCT($H184:$Y184,(TRANSPOSE(DB$2:DB$19)))</f>
        <v>0</v>
      </c>
      <c r="DC184" s="1">
        <f t="array" ref="DC184">SUMPRODUCT($H184:$Y184,(TRANSPOSE(DC$2:DC$19)))</f>
        <v>0</v>
      </c>
      <c r="DD184" s="1">
        <f t="array" ref="DD184">SUMPRODUCT($H184:$Y184,(TRANSPOSE(DD$2:DD$19)))</f>
        <v>0</v>
      </c>
    </row>
    <row r="185" spans="1:108" ht="13.5" thickBot="1" x14ac:dyDescent="0.25">
      <c r="A185" s="1">
        <v>201</v>
      </c>
      <c r="B185" s="10" t="s">
        <v>450</v>
      </c>
      <c r="C185" s="1" t="s">
        <v>22</v>
      </c>
      <c r="D185" s="1">
        <v>401053474</v>
      </c>
      <c r="E185" s="1" t="s">
        <v>449</v>
      </c>
      <c r="F185" s="1" t="s">
        <v>448</v>
      </c>
      <c r="G185" s="1" t="s">
        <v>20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16</v>
      </c>
      <c r="V185" s="1">
        <v>0</v>
      </c>
      <c r="W185" s="1">
        <v>0</v>
      </c>
      <c r="X185" s="1">
        <v>0</v>
      </c>
      <c r="Y185" s="1">
        <v>16</v>
      </c>
      <c r="Z185" s="1">
        <f>SUM(H185:Y185)</f>
        <v>32</v>
      </c>
      <c r="AA185" s="1">
        <f>SUMPRODUCT(H185:Y185,$H$16:$Y$16)</f>
        <v>29120</v>
      </c>
      <c r="AB185" s="1" t="s">
        <v>386</v>
      </c>
      <c r="AC185" s="1">
        <v>4.0000000000000001E-3</v>
      </c>
      <c r="AD185" s="9"/>
      <c r="AE185" s="1" t="s">
        <v>28</v>
      </c>
      <c r="AF185" s="1">
        <f>AC185</f>
        <v>4.0000000000000001E-3</v>
      </c>
      <c r="AG185" s="1">
        <v>5000</v>
      </c>
      <c r="AH185" s="1">
        <v>5000</v>
      </c>
      <c r="AI185" s="1" t="s">
        <v>82</v>
      </c>
      <c r="AK185" s="1" t="s">
        <v>89</v>
      </c>
      <c r="AL185" s="1" t="s">
        <v>88</v>
      </c>
      <c r="AM185" s="1" t="s">
        <v>87</v>
      </c>
      <c r="AN185" s="2" t="s">
        <v>86</v>
      </c>
      <c r="BO185" s="1">
        <f>SUM($AP185,$AQ185:AQ185)-SUM($CK185:CL185)</f>
        <v>0</v>
      </c>
      <c r="BP185" s="1">
        <f>SUM($AP185,$AQ185:AR185)-SUM($CK185:CM185)</f>
        <v>0</v>
      </c>
      <c r="BQ185" s="1">
        <f>SUM($AP185,$AQ185:AS185)-SUM($CK185:CN185)</f>
        <v>0</v>
      </c>
      <c r="BR185" s="1">
        <f>SUM($AP185,$AQ185:AT185)-SUM($CK185:CO185)</f>
        <v>-320</v>
      </c>
      <c r="BS185" s="1">
        <f>SUM($AP185,$AQ185:AU185)-SUM($CK185:CP185)</f>
        <v>-960</v>
      </c>
      <c r="BT185" s="1">
        <f>SUM($AP185,$AQ185:AV185)-SUM($CK185:CQ185)</f>
        <v>-1920</v>
      </c>
      <c r="BU185" s="1">
        <f>SUM($AP185,$AQ185:AW185)-SUM($CK185:CR185)</f>
        <v>-3200</v>
      </c>
      <c r="BV185" s="1">
        <f>SUM($AP185,$AQ185:AX185)-SUM($CK185:CS185)</f>
        <v>-4800</v>
      </c>
      <c r="BW185" s="1">
        <f>SUM($AP185,$AQ185:AY185)-SUM($CK185:CT185)</f>
        <v>-6720</v>
      </c>
      <c r="BX185" s="1">
        <f>SUM($AP185,$AQ185:AZ185)-SUM($CK185:CU185)</f>
        <v>-8960</v>
      </c>
      <c r="BY185" s="1">
        <f>SUM($AP185,$AQ185:BA185)-SUM($CK185:CV185)</f>
        <v>-11520</v>
      </c>
      <c r="BZ185" s="1">
        <f>SUM($AP185,$AQ185:BB185)-SUM($CK185:CW185)</f>
        <v>-14400</v>
      </c>
      <c r="CA185" s="1">
        <f>SUM($AP185,$AQ185:BC185)-SUM($CK185:CX185)</f>
        <v>-17600</v>
      </c>
      <c r="CB185" s="1">
        <f>SUM($AP185,$AQ185:BD185)-SUM($CK185:CY185)</f>
        <v>-21120</v>
      </c>
      <c r="CC185" s="1">
        <f>SUM($AP185,$AQ185:BE185)-SUM($CK185:CZ185)</f>
        <v>-24960</v>
      </c>
      <c r="CD185" s="1">
        <f>SUM($AP185,$AQ185:BF185)-SUM($CK185:DA185)</f>
        <v>-29120</v>
      </c>
      <c r="CE185" s="1">
        <f>SUM($AP185,$AQ185:BG185)-SUM($CK185:DB185)</f>
        <v>-29120</v>
      </c>
      <c r="CF185" s="1">
        <f>SUM($AP185,$AQ185:BH185)-SUM($CK185:DC185)</f>
        <v>-29120</v>
      </c>
      <c r="CG185" s="1">
        <f>SUM($AP185,$AQ185:BI185)-SUM($CK185:DD185)</f>
        <v>-29120</v>
      </c>
      <c r="CK185" s="1">
        <f t="array" ref="CK185">SUMPRODUCT($H185:$Y185,(TRANSPOSE(CK$2:CK$19)))</f>
        <v>0</v>
      </c>
      <c r="CL185" s="1">
        <f t="array" ref="CL185">SUMPRODUCT($H185:$Y185,(TRANSPOSE(CL$2:CL$19)))</f>
        <v>0</v>
      </c>
      <c r="CM185" s="1">
        <f t="array" ref="CM185">SUMPRODUCT($H185:$Y185,(TRANSPOSE(CM$2:CM$19)))</f>
        <v>0</v>
      </c>
      <c r="CN185" s="1">
        <f t="array" ref="CN185">SUMPRODUCT($H185:$Y185,(TRANSPOSE(CN$2:CN$19)))</f>
        <v>0</v>
      </c>
      <c r="CO185" s="1">
        <f t="array" ref="CO185">SUMPRODUCT($H185:$Y185,(TRANSPOSE(CO$2:CO$19)))</f>
        <v>320</v>
      </c>
      <c r="CP185" s="1">
        <f t="array" ref="CP185">SUMPRODUCT($H185:$Y185,(TRANSPOSE(CP$2:CP$19)))</f>
        <v>640</v>
      </c>
      <c r="CQ185" s="1">
        <f t="array" ref="CQ185">SUMPRODUCT($H185:$Y185,(TRANSPOSE(CQ$2:CQ$19)))</f>
        <v>960</v>
      </c>
      <c r="CR185" s="1">
        <f t="array" ref="CR185">SUMPRODUCT($H185:$Y185,(TRANSPOSE(CR$2:CR$19)))</f>
        <v>1280</v>
      </c>
      <c r="CS185" s="1">
        <f t="array" ref="CS185">SUMPRODUCT($H185:$Y185,(TRANSPOSE(CS$2:CS$19)))</f>
        <v>1600</v>
      </c>
      <c r="CT185" s="1">
        <f t="array" ref="CT185">SUMPRODUCT($H185:$Y185,(TRANSPOSE(CT$2:CT$19)))</f>
        <v>1920</v>
      </c>
      <c r="CU185" s="1">
        <f t="array" ref="CU185">SUMPRODUCT($H185:$Y185,(TRANSPOSE(CU$2:CU$19)))</f>
        <v>2240</v>
      </c>
      <c r="CV185" s="1">
        <f t="array" ref="CV185">SUMPRODUCT($H185:$Y185,(TRANSPOSE(CV$2:CV$19)))</f>
        <v>2560</v>
      </c>
      <c r="CW185" s="1">
        <f t="array" ref="CW185">SUMPRODUCT($H185:$Y185,(TRANSPOSE(CW$2:CW$19)))</f>
        <v>2880</v>
      </c>
      <c r="CX185" s="1">
        <f t="array" ref="CX185">SUMPRODUCT($H185:$Y185,(TRANSPOSE(CX$2:CX$19)))</f>
        <v>3200</v>
      </c>
      <c r="CY185" s="1">
        <f t="array" ref="CY185">SUMPRODUCT($H185:$Y185,(TRANSPOSE(CY$2:CY$19)))</f>
        <v>3520</v>
      </c>
      <c r="CZ185" s="1">
        <f t="array" ref="CZ185">SUMPRODUCT($H185:$Y185,(TRANSPOSE(CZ$2:CZ$19)))</f>
        <v>3840</v>
      </c>
      <c r="DA185" s="1">
        <f t="array" ref="DA185">SUMPRODUCT($H185:$Y185,(TRANSPOSE(DA$2:DA$19)))</f>
        <v>4160</v>
      </c>
      <c r="DB185" s="1">
        <f t="array" ref="DB185">SUMPRODUCT($H185:$Y185,(TRANSPOSE(DB$2:DB$19)))</f>
        <v>0</v>
      </c>
      <c r="DC185" s="1">
        <f t="array" ref="DC185">SUMPRODUCT($H185:$Y185,(TRANSPOSE(DC$2:DC$19)))</f>
        <v>0</v>
      </c>
      <c r="DD185" s="1">
        <f t="array" ref="DD185">SUMPRODUCT($H185:$Y185,(TRANSPOSE(DD$2:DD$19)))</f>
        <v>0</v>
      </c>
    </row>
    <row r="186" spans="1:108" ht="13.5" thickBot="1" x14ac:dyDescent="0.25">
      <c r="A186" s="1">
        <v>202</v>
      </c>
      <c r="B186" s="10" t="s">
        <v>447</v>
      </c>
      <c r="C186" s="1" t="s">
        <v>22</v>
      </c>
      <c r="D186" s="1">
        <v>400271772</v>
      </c>
      <c r="E186" s="1" t="s">
        <v>446</v>
      </c>
      <c r="F186" s="1" t="s">
        <v>445</v>
      </c>
      <c r="G186" s="1" t="s">
        <v>20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2</v>
      </c>
      <c r="V186" s="1">
        <v>0</v>
      </c>
      <c r="W186" s="1">
        <v>0</v>
      </c>
      <c r="X186" s="1">
        <v>0</v>
      </c>
      <c r="Y186" s="1">
        <v>2</v>
      </c>
      <c r="Z186" s="1">
        <f>SUM(H186:Y186)</f>
        <v>4</v>
      </c>
      <c r="AA186" s="1">
        <f>SUMPRODUCT(H186:Y186,$H$16:$Y$16)</f>
        <v>3640</v>
      </c>
      <c r="AB186" s="11" t="s">
        <v>386</v>
      </c>
      <c r="AC186" s="1">
        <v>4.0000000000000001E-3</v>
      </c>
      <c r="AD186" s="9"/>
      <c r="AE186" s="1" t="s">
        <v>28</v>
      </c>
      <c r="AF186" s="1">
        <f>AC186</f>
        <v>4.0000000000000001E-3</v>
      </c>
      <c r="AG186" s="1">
        <v>5000</v>
      </c>
      <c r="AH186" s="1">
        <v>5000</v>
      </c>
      <c r="AI186" s="1" t="s">
        <v>82</v>
      </c>
      <c r="AK186" s="1" t="s">
        <v>89</v>
      </c>
      <c r="AL186" s="1" t="s">
        <v>88</v>
      </c>
      <c r="AM186" s="1" t="s">
        <v>87</v>
      </c>
      <c r="AN186" s="2" t="s">
        <v>86</v>
      </c>
      <c r="BO186" s="1">
        <f>SUM($AP186,$AQ186:AQ186)-SUM($CK186:CL186)</f>
        <v>0</v>
      </c>
      <c r="BP186" s="1">
        <f>SUM($AP186,$AQ186:AR186)-SUM($CK186:CM186)</f>
        <v>0</v>
      </c>
      <c r="BQ186" s="1">
        <f>SUM($AP186,$AQ186:AS186)-SUM($CK186:CN186)</f>
        <v>0</v>
      </c>
      <c r="BR186" s="1">
        <f>SUM($AP186,$AQ186:AT186)-SUM($CK186:CO186)</f>
        <v>-40</v>
      </c>
      <c r="BS186" s="1">
        <f>SUM($AP186,$AQ186:AU186)-SUM($CK186:CP186)</f>
        <v>-120</v>
      </c>
      <c r="BT186" s="1">
        <f>SUM($AP186,$AQ186:AV186)-SUM($CK186:CQ186)</f>
        <v>-240</v>
      </c>
      <c r="BU186" s="1">
        <f>SUM($AP186,$AQ186:AW186)-SUM($CK186:CR186)</f>
        <v>-400</v>
      </c>
      <c r="BV186" s="1">
        <f>SUM($AP186,$AQ186:AX186)-SUM($CK186:CS186)</f>
        <v>-600</v>
      </c>
      <c r="BW186" s="1">
        <f>SUM($AP186,$AQ186:AY186)-SUM($CK186:CT186)</f>
        <v>-840</v>
      </c>
      <c r="BX186" s="1">
        <f>SUM($AP186,$AQ186:AZ186)-SUM($CK186:CU186)</f>
        <v>-1120</v>
      </c>
      <c r="BY186" s="1">
        <f>SUM($AP186,$AQ186:BA186)-SUM($CK186:CV186)</f>
        <v>-1440</v>
      </c>
      <c r="BZ186" s="1">
        <f>SUM($AP186,$AQ186:BB186)-SUM($CK186:CW186)</f>
        <v>-1800</v>
      </c>
      <c r="CA186" s="1">
        <f>SUM($AP186,$AQ186:BC186)-SUM($CK186:CX186)</f>
        <v>-2200</v>
      </c>
      <c r="CB186" s="1">
        <f>SUM($AP186,$AQ186:BD186)-SUM($CK186:CY186)</f>
        <v>-2640</v>
      </c>
      <c r="CC186" s="1">
        <f>SUM($AP186,$AQ186:BE186)-SUM($CK186:CZ186)</f>
        <v>-3120</v>
      </c>
      <c r="CD186" s="1">
        <f>SUM($AP186,$AQ186:BF186)-SUM($CK186:DA186)</f>
        <v>-3640</v>
      </c>
      <c r="CE186" s="1">
        <f>SUM($AP186,$AQ186:BG186)-SUM($CK186:DB186)</f>
        <v>-3640</v>
      </c>
      <c r="CF186" s="1">
        <f>SUM($AP186,$AQ186:BH186)-SUM($CK186:DC186)</f>
        <v>-3640</v>
      </c>
      <c r="CG186" s="1">
        <f>SUM($AP186,$AQ186:BI186)-SUM($CK186:DD186)</f>
        <v>-3640</v>
      </c>
      <c r="CK186" s="1">
        <f t="array" ref="CK186">SUMPRODUCT($H186:$Y186,(TRANSPOSE(CK$2:CK$19)))</f>
        <v>0</v>
      </c>
      <c r="CL186" s="1">
        <f t="array" ref="CL186">SUMPRODUCT($H186:$Y186,(TRANSPOSE(CL$2:CL$19)))</f>
        <v>0</v>
      </c>
      <c r="CM186" s="1">
        <f t="array" ref="CM186">SUMPRODUCT($H186:$Y186,(TRANSPOSE(CM$2:CM$19)))</f>
        <v>0</v>
      </c>
      <c r="CN186" s="1">
        <f t="array" ref="CN186">SUMPRODUCT($H186:$Y186,(TRANSPOSE(CN$2:CN$19)))</f>
        <v>0</v>
      </c>
      <c r="CO186" s="1">
        <f t="array" ref="CO186">SUMPRODUCT($H186:$Y186,(TRANSPOSE(CO$2:CO$19)))</f>
        <v>40</v>
      </c>
      <c r="CP186" s="1">
        <f t="array" ref="CP186">SUMPRODUCT($H186:$Y186,(TRANSPOSE(CP$2:CP$19)))</f>
        <v>80</v>
      </c>
      <c r="CQ186" s="1">
        <f t="array" ref="CQ186">SUMPRODUCT($H186:$Y186,(TRANSPOSE(CQ$2:CQ$19)))</f>
        <v>120</v>
      </c>
      <c r="CR186" s="1">
        <f t="array" ref="CR186">SUMPRODUCT($H186:$Y186,(TRANSPOSE(CR$2:CR$19)))</f>
        <v>160</v>
      </c>
      <c r="CS186" s="1">
        <f t="array" ref="CS186">SUMPRODUCT($H186:$Y186,(TRANSPOSE(CS$2:CS$19)))</f>
        <v>200</v>
      </c>
      <c r="CT186" s="1">
        <f t="array" ref="CT186">SUMPRODUCT($H186:$Y186,(TRANSPOSE(CT$2:CT$19)))</f>
        <v>240</v>
      </c>
      <c r="CU186" s="1">
        <f t="array" ref="CU186">SUMPRODUCT($H186:$Y186,(TRANSPOSE(CU$2:CU$19)))</f>
        <v>280</v>
      </c>
      <c r="CV186" s="1">
        <f t="array" ref="CV186">SUMPRODUCT($H186:$Y186,(TRANSPOSE(CV$2:CV$19)))</f>
        <v>320</v>
      </c>
      <c r="CW186" s="1">
        <f t="array" ref="CW186">SUMPRODUCT($H186:$Y186,(TRANSPOSE(CW$2:CW$19)))</f>
        <v>360</v>
      </c>
      <c r="CX186" s="1">
        <f t="array" ref="CX186">SUMPRODUCT($H186:$Y186,(TRANSPOSE(CX$2:CX$19)))</f>
        <v>400</v>
      </c>
      <c r="CY186" s="1">
        <f t="array" ref="CY186">SUMPRODUCT($H186:$Y186,(TRANSPOSE(CY$2:CY$19)))</f>
        <v>440</v>
      </c>
      <c r="CZ186" s="1">
        <f t="array" ref="CZ186">SUMPRODUCT($H186:$Y186,(TRANSPOSE(CZ$2:CZ$19)))</f>
        <v>480</v>
      </c>
      <c r="DA186" s="1">
        <f t="array" ref="DA186">SUMPRODUCT($H186:$Y186,(TRANSPOSE(DA$2:DA$19)))</f>
        <v>520</v>
      </c>
      <c r="DB186" s="1">
        <f t="array" ref="DB186">SUMPRODUCT($H186:$Y186,(TRANSPOSE(DB$2:DB$19)))</f>
        <v>0</v>
      </c>
      <c r="DC186" s="1">
        <f t="array" ref="DC186">SUMPRODUCT($H186:$Y186,(TRANSPOSE(DC$2:DC$19)))</f>
        <v>0</v>
      </c>
      <c r="DD186" s="1">
        <f t="array" ref="DD186">SUMPRODUCT($H186:$Y186,(TRANSPOSE(DD$2:DD$19)))</f>
        <v>0</v>
      </c>
    </row>
    <row r="187" spans="1:108" x14ac:dyDescent="0.2">
      <c r="A187" s="1">
        <v>203</v>
      </c>
      <c r="B187" s="10" t="s">
        <v>444</v>
      </c>
      <c r="C187" s="1" t="s">
        <v>22</v>
      </c>
      <c r="D187" s="1">
        <v>400693203</v>
      </c>
      <c r="E187" s="1" t="s">
        <v>443</v>
      </c>
      <c r="F187" s="1" t="s">
        <v>442</v>
      </c>
      <c r="G187" s="1" t="s">
        <v>20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4</v>
      </c>
      <c r="V187" s="1">
        <v>0</v>
      </c>
      <c r="W187" s="1">
        <v>0</v>
      </c>
      <c r="X187" s="1">
        <v>0</v>
      </c>
      <c r="Y187" s="1">
        <v>4</v>
      </c>
      <c r="Z187" s="1">
        <f>SUM(H187:Y187)</f>
        <v>8</v>
      </c>
      <c r="AA187" s="1">
        <f>SUMPRODUCT(H187:Y187,$H$16:$Y$16)</f>
        <v>7280</v>
      </c>
      <c r="AB187" s="1" t="s">
        <v>386</v>
      </c>
      <c r="AC187" s="1">
        <v>1.5096000000000003E-3</v>
      </c>
      <c r="AD187" s="9"/>
      <c r="AE187" s="1" t="s">
        <v>28</v>
      </c>
      <c r="AF187" s="1">
        <f>AC187</f>
        <v>1.5096000000000003E-3</v>
      </c>
      <c r="AG187" s="1">
        <v>5000</v>
      </c>
      <c r="AH187" s="1">
        <v>5000</v>
      </c>
      <c r="AI187" s="1" t="s">
        <v>82</v>
      </c>
      <c r="AJ187" s="14" t="s">
        <v>156</v>
      </c>
      <c r="AK187" s="1" t="s">
        <v>441</v>
      </c>
      <c r="AN187" s="2"/>
      <c r="BO187" s="1">
        <f>SUM($AP187,$AQ187:AQ187)-SUM($CK187:CL187)</f>
        <v>0</v>
      </c>
      <c r="BP187" s="1">
        <f>SUM($AP187,$AQ187:AR187)-SUM($CK187:CM187)</f>
        <v>0</v>
      </c>
      <c r="BQ187" s="1">
        <f>SUM($AP187,$AQ187:AS187)-SUM($CK187:CN187)</f>
        <v>0</v>
      </c>
      <c r="BR187" s="1">
        <f>SUM($AP187,$AQ187:AT187)-SUM($CK187:CO187)</f>
        <v>-80</v>
      </c>
      <c r="BS187" s="1">
        <f>SUM($AP187,$AQ187:AU187)-SUM($CK187:CP187)</f>
        <v>-240</v>
      </c>
      <c r="BT187" s="1">
        <f>SUM($AP187,$AQ187:AV187)-SUM($CK187:CQ187)</f>
        <v>-480</v>
      </c>
      <c r="BU187" s="1">
        <f>SUM($AP187,$AQ187:AW187)-SUM($CK187:CR187)</f>
        <v>-800</v>
      </c>
      <c r="BV187" s="1">
        <f>SUM($AP187,$AQ187:AX187)-SUM($CK187:CS187)</f>
        <v>-1200</v>
      </c>
      <c r="BW187" s="1">
        <f>SUM($AP187,$AQ187:AY187)-SUM($CK187:CT187)</f>
        <v>-1680</v>
      </c>
      <c r="BX187" s="1">
        <f>SUM($AP187,$AQ187:AZ187)-SUM($CK187:CU187)</f>
        <v>-2240</v>
      </c>
      <c r="BY187" s="1">
        <f>SUM($AP187,$AQ187:BA187)-SUM($CK187:CV187)</f>
        <v>-2880</v>
      </c>
      <c r="BZ187" s="1">
        <f>SUM($AP187,$AQ187:BB187)-SUM($CK187:CW187)</f>
        <v>-3600</v>
      </c>
      <c r="CA187" s="1">
        <f>SUM($AP187,$AQ187:BC187)-SUM($CK187:CX187)</f>
        <v>-4400</v>
      </c>
      <c r="CB187" s="1">
        <f>SUM($AP187,$AQ187:BD187)-SUM($CK187:CY187)</f>
        <v>-5280</v>
      </c>
      <c r="CC187" s="1">
        <f>SUM($AP187,$AQ187:BE187)-SUM($CK187:CZ187)</f>
        <v>-6240</v>
      </c>
      <c r="CD187" s="1">
        <f>SUM($AP187,$AQ187:BF187)-SUM($CK187:DA187)</f>
        <v>-7280</v>
      </c>
      <c r="CE187" s="1">
        <f>SUM($AP187,$AQ187:BG187)-SUM($CK187:DB187)</f>
        <v>-7280</v>
      </c>
      <c r="CF187" s="1">
        <f>SUM($AP187,$AQ187:BH187)-SUM($CK187:DC187)</f>
        <v>-7280</v>
      </c>
      <c r="CG187" s="1">
        <f>SUM($AP187,$AQ187:BI187)-SUM($CK187:DD187)</f>
        <v>-7280</v>
      </c>
      <c r="CK187" s="1">
        <f t="array" ref="CK187">SUMPRODUCT($H187:$Y187,(TRANSPOSE(CK$2:CK$19)))</f>
        <v>0</v>
      </c>
      <c r="CL187" s="1">
        <f t="array" ref="CL187">SUMPRODUCT($H187:$Y187,(TRANSPOSE(CL$2:CL$19)))</f>
        <v>0</v>
      </c>
      <c r="CM187" s="1">
        <f t="array" ref="CM187">SUMPRODUCT($H187:$Y187,(TRANSPOSE(CM$2:CM$19)))</f>
        <v>0</v>
      </c>
      <c r="CN187" s="1">
        <f t="array" ref="CN187">SUMPRODUCT($H187:$Y187,(TRANSPOSE(CN$2:CN$19)))</f>
        <v>0</v>
      </c>
      <c r="CO187" s="1">
        <f t="array" ref="CO187">SUMPRODUCT($H187:$Y187,(TRANSPOSE(CO$2:CO$19)))</f>
        <v>80</v>
      </c>
      <c r="CP187" s="1">
        <f t="array" ref="CP187">SUMPRODUCT($H187:$Y187,(TRANSPOSE(CP$2:CP$19)))</f>
        <v>160</v>
      </c>
      <c r="CQ187" s="1">
        <f t="array" ref="CQ187">SUMPRODUCT($H187:$Y187,(TRANSPOSE(CQ$2:CQ$19)))</f>
        <v>240</v>
      </c>
      <c r="CR187" s="1">
        <f t="array" ref="CR187">SUMPRODUCT($H187:$Y187,(TRANSPOSE(CR$2:CR$19)))</f>
        <v>320</v>
      </c>
      <c r="CS187" s="1">
        <f t="array" ref="CS187">SUMPRODUCT($H187:$Y187,(TRANSPOSE(CS$2:CS$19)))</f>
        <v>400</v>
      </c>
      <c r="CT187" s="1">
        <f t="array" ref="CT187">SUMPRODUCT($H187:$Y187,(TRANSPOSE(CT$2:CT$19)))</f>
        <v>480</v>
      </c>
      <c r="CU187" s="1">
        <f t="array" ref="CU187">SUMPRODUCT($H187:$Y187,(TRANSPOSE(CU$2:CU$19)))</f>
        <v>560</v>
      </c>
      <c r="CV187" s="1">
        <f t="array" ref="CV187">SUMPRODUCT($H187:$Y187,(TRANSPOSE(CV$2:CV$19)))</f>
        <v>640</v>
      </c>
      <c r="CW187" s="1">
        <f t="array" ref="CW187">SUMPRODUCT($H187:$Y187,(TRANSPOSE(CW$2:CW$19)))</f>
        <v>720</v>
      </c>
      <c r="CX187" s="1">
        <f t="array" ref="CX187">SUMPRODUCT($H187:$Y187,(TRANSPOSE(CX$2:CX$19)))</f>
        <v>800</v>
      </c>
      <c r="CY187" s="1">
        <f t="array" ref="CY187">SUMPRODUCT($H187:$Y187,(TRANSPOSE(CY$2:CY$19)))</f>
        <v>880</v>
      </c>
      <c r="CZ187" s="1">
        <f t="array" ref="CZ187">SUMPRODUCT($H187:$Y187,(TRANSPOSE(CZ$2:CZ$19)))</f>
        <v>960</v>
      </c>
      <c r="DA187" s="1">
        <f t="array" ref="DA187">SUMPRODUCT($H187:$Y187,(TRANSPOSE(DA$2:DA$19)))</f>
        <v>1040</v>
      </c>
      <c r="DB187" s="1">
        <f t="array" ref="DB187">SUMPRODUCT($H187:$Y187,(TRANSPOSE(DB$2:DB$19)))</f>
        <v>0</v>
      </c>
      <c r="DC187" s="1">
        <f t="array" ref="DC187">SUMPRODUCT($H187:$Y187,(TRANSPOSE(DC$2:DC$19)))</f>
        <v>0</v>
      </c>
      <c r="DD187" s="1">
        <f t="array" ref="DD187">SUMPRODUCT($H187:$Y187,(TRANSPOSE(DD$2:DD$19)))</f>
        <v>0</v>
      </c>
    </row>
    <row r="188" spans="1:108" x14ac:dyDescent="0.2">
      <c r="A188" s="1">
        <v>204</v>
      </c>
      <c r="B188" s="10" t="s">
        <v>440</v>
      </c>
      <c r="C188" s="1" t="s">
        <v>22</v>
      </c>
      <c r="D188" s="1">
        <v>400931576</v>
      </c>
      <c r="E188" s="1" t="s">
        <v>439</v>
      </c>
      <c r="F188" s="1" t="s">
        <v>438</v>
      </c>
      <c r="G188" s="1" t="s">
        <v>20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48</v>
      </c>
      <c r="V188" s="1">
        <v>0</v>
      </c>
      <c r="W188" s="1">
        <v>0</v>
      </c>
      <c r="X188" s="1">
        <v>0</v>
      </c>
      <c r="Y188" s="1">
        <v>48</v>
      </c>
      <c r="Z188" s="1">
        <f>SUM(H188:Y188)</f>
        <v>96</v>
      </c>
      <c r="AA188" s="1">
        <f>SUMPRODUCT(H188:Y188,$H$16:$Y$16)</f>
        <v>87360</v>
      </c>
      <c r="AB188" s="1" t="s">
        <v>386</v>
      </c>
      <c r="AC188" s="1">
        <v>4.0000000000000001E-3</v>
      </c>
      <c r="AD188" s="9"/>
      <c r="AE188" s="1" t="s">
        <v>28</v>
      </c>
      <c r="AF188" s="1">
        <f>AC188</f>
        <v>4.0000000000000001E-3</v>
      </c>
      <c r="AG188" s="1">
        <v>5000</v>
      </c>
      <c r="AH188" s="1">
        <v>5000</v>
      </c>
      <c r="AI188" s="1" t="s">
        <v>82</v>
      </c>
      <c r="AK188" s="1" t="s">
        <v>89</v>
      </c>
      <c r="AL188" s="1" t="s">
        <v>88</v>
      </c>
      <c r="AM188" s="1" t="s">
        <v>87</v>
      </c>
      <c r="AN188" s="2" t="s">
        <v>86</v>
      </c>
      <c r="BO188" s="1">
        <f>SUM($AP188,$AQ188:AQ188)-SUM($CK188:CL188)</f>
        <v>0</v>
      </c>
      <c r="BP188" s="1">
        <f>SUM($AP188,$AQ188:AR188)-SUM($CK188:CM188)</f>
        <v>0</v>
      </c>
      <c r="BQ188" s="1">
        <f>SUM($AP188,$AQ188:AS188)-SUM($CK188:CN188)</f>
        <v>0</v>
      </c>
      <c r="BR188" s="1">
        <f>SUM($AP188,$AQ188:AT188)-SUM($CK188:CO188)</f>
        <v>-960</v>
      </c>
      <c r="BS188" s="1">
        <f>SUM($AP188,$AQ188:AU188)-SUM($CK188:CP188)</f>
        <v>-2880</v>
      </c>
      <c r="BT188" s="1">
        <f>SUM($AP188,$AQ188:AV188)-SUM($CK188:CQ188)</f>
        <v>-5760</v>
      </c>
      <c r="BU188" s="1">
        <f>SUM($AP188,$AQ188:AW188)-SUM($CK188:CR188)</f>
        <v>-9600</v>
      </c>
      <c r="BV188" s="1">
        <f>SUM($AP188,$AQ188:AX188)-SUM($CK188:CS188)</f>
        <v>-14400</v>
      </c>
      <c r="BW188" s="1">
        <f>SUM($AP188,$AQ188:AY188)-SUM($CK188:CT188)</f>
        <v>-20160</v>
      </c>
      <c r="BX188" s="1">
        <f>SUM($AP188,$AQ188:AZ188)-SUM($CK188:CU188)</f>
        <v>-26880</v>
      </c>
      <c r="BY188" s="1">
        <f>SUM($AP188,$AQ188:BA188)-SUM($CK188:CV188)</f>
        <v>-34560</v>
      </c>
      <c r="BZ188" s="1">
        <f>SUM($AP188,$AQ188:BB188)-SUM($CK188:CW188)</f>
        <v>-43200</v>
      </c>
      <c r="CA188" s="1">
        <f>SUM($AP188,$AQ188:BC188)-SUM($CK188:CX188)</f>
        <v>-52800</v>
      </c>
      <c r="CB188" s="1">
        <f>SUM($AP188,$AQ188:BD188)-SUM($CK188:CY188)</f>
        <v>-63360</v>
      </c>
      <c r="CC188" s="1">
        <f>SUM($AP188,$AQ188:BE188)-SUM($CK188:CZ188)</f>
        <v>-74880</v>
      </c>
      <c r="CD188" s="1">
        <f>SUM($AP188,$AQ188:BF188)-SUM($CK188:DA188)</f>
        <v>-87360</v>
      </c>
      <c r="CE188" s="1">
        <f>SUM($AP188,$AQ188:BG188)-SUM($CK188:DB188)</f>
        <v>-87360</v>
      </c>
      <c r="CF188" s="1">
        <f>SUM($AP188,$AQ188:BH188)-SUM($CK188:DC188)</f>
        <v>-87360</v>
      </c>
      <c r="CG188" s="1">
        <f>SUM($AP188,$AQ188:BI188)-SUM($CK188:DD188)</f>
        <v>-87360</v>
      </c>
      <c r="CK188" s="1">
        <f t="array" ref="CK188">SUMPRODUCT($H188:$Y188,(TRANSPOSE(CK$2:CK$19)))</f>
        <v>0</v>
      </c>
      <c r="CL188" s="1">
        <f t="array" ref="CL188">SUMPRODUCT($H188:$Y188,(TRANSPOSE(CL$2:CL$19)))</f>
        <v>0</v>
      </c>
      <c r="CM188" s="1">
        <f t="array" ref="CM188">SUMPRODUCT($H188:$Y188,(TRANSPOSE(CM$2:CM$19)))</f>
        <v>0</v>
      </c>
      <c r="CN188" s="1">
        <f t="array" ref="CN188">SUMPRODUCT($H188:$Y188,(TRANSPOSE(CN$2:CN$19)))</f>
        <v>0</v>
      </c>
      <c r="CO188" s="1">
        <f t="array" ref="CO188">SUMPRODUCT($H188:$Y188,(TRANSPOSE(CO$2:CO$19)))</f>
        <v>960</v>
      </c>
      <c r="CP188" s="1">
        <f t="array" ref="CP188">SUMPRODUCT($H188:$Y188,(TRANSPOSE(CP$2:CP$19)))</f>
        <v>1920</v>
      </c>
      <c r="CQ188" s="1">
        <f t="array" ref="CQ188">SUMPRODUCT($H188:$Y188,(TRANSPOSE(CQ$2:CQ$19)))</f>
        <v>2880</v>
      </c>
      <c r="CR188" s="1">
        <f t="array" ref="CR188">SUMPRODUCT($H188:$Y188,(TRANSPOSE(CR$2:CR$19)))</f>
        <v>3840</v>
      </c>
      <c r="CS188" s="1">
        <f t="array" ref="CS188">SUMPRODUCT($H188:$Y188,(TRANSPOSE(CS$2:CS$19)))</f>
        <v>4800</v>
      </c>
      <c r="CT188" s="1">
        <f t="array" ref="CT188">SUMPRODUCT($H188:$Y188,(TRANSPOSE(CT$2:CT$19)))</f>
        <v>5760</v>
      </c>
      <c r="CU188" s="1">
        <f t="array" ref="CU188">SUMPRODUCT($H188:$Y188,(TRANSPOSE(CU$2:CU$19)))</f>
        <v>6720</v>
      </c>
      <c r="CV188" s="1">
        <f t="array" ref="CV188">SUMPRODUCT($H188:$Y188,(TRANSPOSE(CV$2:CV$19)))</f>
        <v>7680</v>
      </c>
      <c r="CW188" s="1">
        <f t="array" ref="CW188">SUMPRODUCT($H188:$Y188,(TRANSPOSE(CW$2:CW$19)))</f>
        <v>8640</v>
      </c>
      <c r="CX188" s="1">
        <f t="array" ref="CX188">SUMPRODUCT($H188:$Y188,(TRANSPOSE(CX$2:CX$19)))</f>
        <v>9600</v>
      </c>
      <c r="CY188" s="1">
        <f t="array" ref="CY188">SUMPRODUCT($H188:$Y188,(TRANSPOSE(CY$2:CY$19)))</f>
        <v>10560</v>
      </c>
      <c r="CZ188" s="1">
        <f t="array" ref="CZ188">SUMPRODUCT($H188:$Y188,(TRANSPOSE(CZ$2:CZ$19)))</f>
        <v>11520</v>
      </c>
      <c r="DA188" s="1">
        <f t="array" ref="DA188">SUMPRODUCT($H188:$Y188,(TRANSPOSE(DA$2:DA$19)))</f>
        <v>12480</v>
      </c>
      <c r="DB188" s="1">
        <f t="array" ref="DB188">SUMPRODUCT($H188:$Y188,(TRANSPOSE(DB$2:DB$19)))</f>
        <v>0</v>
      </c>
      <c r="DC188" s="1">
        <f t="array" ref="DC188">SUMPRODUCT($H188:$Y188,(TRANSPOSE(DC$2:DC$19)))</f>
        <v>0</v>
      </c>
      <c r="DD188" s="1">
        <f t="array" ref="DD188">SUMPRODUCT($H188:$Y188,(TRANSPOSE(DD$2:DD$19)))</f>
        <v>0</v>
      </c>
    </row>
    <row r="189" spans="1:108" x14ac:dyDescent="0.2">
      <c r="A189" s="1">
        <v>205</v>
      </c>
      <c r="B189" s="10" t="s">
        <v>437</v>
      </c>
      <c r="C189" s="1" t="s">
        <v>22</v>
      </c>
      <c r="D189" s="1">
        <v>403690601</v>
      </c>
      <c r="E189" s="1" t="s">
        <v>436</v>
      </c>
      <c r="F189" s="1" t="s">
        <v>435</v>
      </c>
      <c r="G189" s="1" t="s">
        <v>20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2</v>
      </c>
      <c r="U189" s="1">
        <v>2</v>
      </c>
      <c r="V189" s="1">
        <v>0</v>
      </c>
      <c r="W189" s="1">
        <v>0</v>
      </c>
      <c r="X189" s="1">
        <v>2</v>
      </c>
      <c r="Y189" s="1">
        <v>2</v>
      </c>
      <c r="Z189" s="1">
        <f>SUM(H189:Y189)</f>
        <v>8</v>
      </c>
      <c r="AA189" s="1">
        <f>SUMPRODUCT(H189:Y189,$H$16:$Y$16)</f>
        <v>7280</v>
      </c>
      <c r="AB189" s="1" t="s">
        <v>386</v>
      </c>
      <c r="AC189" s="1">
        <v>4.0000000000000001E-3</v>
      </c>
      <c r="AD189" s="9"/>
      <c r="AE189" s="1" t="s">
        <v>28</v>
      </c>
      <c r="AF189" s="1">
        <f>AC189</f>
        <v>4.0000000000000001E-3</v>
      </c>
      <c r="AG189" s="1">
        <v>5000</v>
      </c>
      <c r="AH189" s="1">
        <v>5000</v>
      </c>
      <c r="AI189" s="1" t="s">
        <v>82</v>
      </c>
      <c r="AK189" s="1" t="s">
        <v>89</v>
      </c>
      <c r="AL189" s="1" t="s">
        <v>88</v>
      </c>
      <c r="AM189" s="1" t="s">
        <v>87</v>
      </c>
      <c r="AN189" s="2" t="s">
        <v>86</v>
      </c>
      <c r="BO189" s="1">
        <f>SUM($AP189,$AQ189:AQ189)-SUM($CK189:CL189)</f>
        <v>0</v>
      </c>
      <c r="BP189" s="1">
        <f>SUM($AP189,$AQ189:AR189)-SUM($CK189:CM189)</f>
        <v>0</v>
      </c>
      <c r="BQ189" s="1">
        <f>SUM($AP189,$AQ189:AS189)-SUM($CK189:CN189)</f>
        <v>0</v>
      </c>
      <c r="BR189" s="1">
        <f>SUM($AP189,$AQ189:AT189)-SUM($CK189:CO189)</f>
        <v>-80</v>
      </c>
      <c r="BS189" s="1">
        <f>SUM($AP189,$AQ189:AU189)-SUM($CK189:CP189)</f>
        <v>-240</v>
      </c>
      <c r="BT189" s="1">
        <f>SUM($AP189,$AQ189:AV189)-SUM($CK189:CQ189)</f>
        <v>-480</v>
      </c>
      <c r="BU189" s="1">
        <f>SUM($AP189,$AQ189:AW189)-SUM($CK189:CR189)</f>
        <v>-800</v>
      </c>
      <c r="BV189" s="1">
        <f>SUM($AP189,$AQ189:AX189)-SUM($CK189:CS189)</f>
        <v>-1200</v>
      </c>
      <c r="BW189" s="1">
        <f>SUM($AP189,$AQ189:AY189)-SUM($CK189:CT189)</f>
        <v>-1680</v>
      </c>
      <c r="BX189" s="1">
        <f>SUM($AP189,$AQ189:AZ189)-SUM($CK189:CU189)</f>
        <v>-2240</v>
      </c>
      <c r="BY189" s="1">
        <f>SUM($AP189,$AQ189:BA189)-SUM($CK189:CV189)</f>
        <v>-2880</v>
      </c>
      <c r="BZ189" s="1">
        <f>SUM($AP189,$AQ189:BB189)-SUM($CK189:CW189)</f>
        <v>-3600</v>
      </c>
      <c r="CA189" s="1">
        <f>SUM($AP189,$AQ189:BC189)-SUM($CK189:CX189)</f>
        <v>-4400</v>
      </c>
      <c r="CB189" s="1">
        <f>SUM($AP189,$AQ189:BD189)-SUM($CK189:CY189)</f>
        <v>-5280</v>
      </c>
      <c r="CC189" s="1">
        <f>SUM($AP189,$AQ189:BE189)-SUM($CK189:CZ189)</f>
        <v>-6240</v>
      </c>
      <c r="CD189" s="1">
        <f>SUM($AP189,$AQ189:BF189)-SUM($CK189:DA189)</f>
        <v>-7280</v>
      </c>
      <c r="CE189" s="1">
        <f>SUM($AP189,$AQ189:BG189)-SUM($CK189:DB189)</f>
        <v>-7280</v>
      </c>
      <c r="CF189" s="1">
        <f>SUM($AP189,$AQ189:BH189)-SUM($CK189:DC189)</f>
        <v>-7280</v>
      </c>
      <c r="CG189" s="1">
        <f>SUM($AP189,$AQ189:BI189)-SUM($CK189:DD189)</f>
        <v>-7280</v>
      </c>
      <c r="CK189" s="1">
        <f t="array" ref="CK189">SUMPRODUCT($H189:$Y189,(TRANSPOSE(CK$2:CK$19)))</f>
        <v>0</v>
      </c>
      <c r="CL189" s="1">
        <f t="array" ref="CL189">SUMPRODUCT($H189:$Y189,(TRANSPOSE(CL$2:CL$19)))</f>
        <v>0</v>
      </c>
      <c r="CM189" s="1">
        <f t="array" ref="CM189">SUMPRODUCT($H189:$Y189,(TRANSPOSE(CM$2:CM$19)))</f>
        <v>0</v>
      </c>
      <c r="CN189" s="1">
        <f t="array" ref="CN189">SUMPRODUCT($H189:$Y189,(TRANSPOSE(CN$2:CN$19)))</f>
        <v>0</v>
      </c>
      <c r="CO189" s="1">
        <f t="array" ref="CO189">SUMPRODUCT($H189:$Y189,(TRANSPOSE(CO$2:CO$19)))</f>
        <v>80</v>
      </c>
      <c r="CP189" s="1">
        <f t="array" ref="CP189">SUMPRODUCT($H189:$Y189,(TRANSPOSE(CP$2:CP$19)))</f>
        <v>160</v>
      </c>
      <c r="CQ189" s="1">
        <f t="array" ref="CQ189">SUMPRODUCT($H189:$Y189,(TRANSPOSE(CQ$2:CQ$19)))</f>
        <v>240</v>
      </c>
      <c r="CR189" s="1">
        <f t="array" ref="CR189">SUMPRODUCT($H189:$Y189,(TRANSPOSE(CR$2:CR$19)))</f>
        <v>320</v>
      </c>
      <c r="CS189" s="1">
        <f t="array" ref="CS189">SUMPRODUCT($H189:$Y189,(TRANSPOSE(CS$2:CS$19)))</f>
        <v>400</v>
      </c>
      <c r="CT189" s="1">
        <f t="array" ref="CT189">SUMPRODUCT($H189:$Y189,(TRANSPOSE(CT$2:CT$19)))</f>
        <v>480</v>
      </c>
      <c r="CU189" s="1">
        <f t="array" ref="CU189">SUMPRODUCT($H189:$Y189,(TRANSPOSE(CU$2:CU$19)))</f>
        <v>560</v>
      </c>
      <c r="CV189" s="1">
        <f t="array" ref="CV189">SUMPRODUCT($H189:$Y189,(TRANSPOSE(CV$2:CV$19)))</f>
        <v>640</v>
      </c>
      <c r="CW189" s="1">
        <f t="array" ref="CW189">SUMPRODUCT($H189:$Y189,(TRANSPOSE(CW$2:CW$19)))</f>
        <v>720</v>
      </c>
      <c r="CX189" s="1">
        <f t="array" ref="CX189">SUMPRODUCT($H189:$Y189,(TRANSPOSE(CX$2:CX$19)))</f>
        <v>800</v>
      </c>
      <c r="CY189" s="1">
        <f t="array" ref="CY189">SUMPRODUCT($H189:$Y189,(TRANSPOSE(CY$2:CY$19)))</f>
        <v>880</v>
      </c>
      <c r="CZ189" s="1">
        <f t="array" ref="CZ189">SUMPRODUCT($H189:$Y189,(TRANSPOSE(CZ$2:CZ$19)))</f>
        <v>960</v>
      </c>
      <c r="DA189" s="1">
        <f t="array" ref="DA189">SUMPRODUCT($H189:$Y189,(TRANSPOSE(DA$2:DA$19)))</f>
        <v>1040</v>
      </c>
      <c r="DB189" s="1">
        <f t="array" ref="DB189">SUMPRODUCT($H189:$Y189,(TRANSPOSE(DB$2:DB$19)))</f>
        <v>0</v>
      </c>
      <c r="DC189" s="1">
        <f t="array" ref="DC189">SUMPRODUCT($H189:$Y189,(TRANSPOSE(DC$2:DC$19)))</f>
        <v>0</v>
      </c>
      <c r="DD189" s="1">
        <f t="array" ref="DD189">SUMPRODUCT($H189:$Y189,(TRANSPOSE(DD$2:DD$19)))</f>
        <v>0</v>
      </c>
    </row>
    <row r="190" spans="1:108" x14ac:dyDescent="0.2">
      <c r="A190" s="1">
        <v>206</v>
      </c>
      <c r="B190" s="10" t="s">
        <v>434</v>
      </c>
      <c r="C190" s="1" t="s">
        <v>22</v>
      </c>
      <c r="D190" s="1">
        <v>401007782</v>
      </c>
      <c r="E190" s="1" t="s">
        <v>433</v>
      </c>
      <c r="F190" s="1" t="s">
        <v>432</v>
      </c>
      <c r="G190" s="1" t="s">
        <v>20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118</v>
      </c>
      <c r="V190" s="1">
        <v>0</v>
      </c>
      <c r="W190" s="1">
        <v>0</v>
      </c>
      <c r="X190" s="1">
        <v>0</v>
      </c>
      <c r="Y190" s="1">
        <v>118</v>
      </c>
      <c r="Z190" s="1">
        <f>SUM(H190:Y190)</f>
        <v>236</v>
      </c>
      <c r="AA190" s="1">
        <f>SUMPRODUCT(H190:Y190,$H$16:$Y$16)</f>
        <v>214760</v>
      </c>
      <c r="AB190" s="1" t="s">
        <v>386</v>
      </c>
      <c r="AC190" s="1">
        <v>4.0000000000000001E-3</v>
      </c>
      <c r="AD190" s="9"/>
      <c r="AE190" s="1" t="s">
        <v>28</v>
      </c>
      <c r="AF190" s="1">
        <f>AC190</f>
        <v>4.0000000000000001E-3</v>
      </c>
      <c r="AG190" s="1">
        <v>5000</v>
      </c>
      <c r="AH190" s="1">
        <v>5000</v>
      </c>
      <c r="AI190" s="1" t="s">
        <v>82</v>
      </c>
      <c r="AK190" s="1" t="s">
        <v>89</v>
      </c>
      <c r="AL190" s="1" t="s">
        <v>88</v>
      </c>
      <c r="AM190" s="1" t="s">
        <v>87</v>
      </c>
      <c r="AN190" s="2" t="s">
        <v>86</v>
      </c>
      <c r="BO190" s="1">
        <f>SUM($AP190,$AQ190:AQ190)-SUM($CK190:CL190)</f>
        <v>0</v>
      </c>
      <c r="BP190" s="1">
        <f>SUM($AP190,$AQ190:AR190)-SUM($CK190:CM190)</f>
        <v>0</v>
      </c>
      <c r="BQ190" s="1">
        <f>SUM($AP190,$AQ190:AS190)-SUM($CK190:CN190)</f>
        <v>0</v>
      </c>
      <c r="BR190" s="1">
        <f>SUM($AP190,$AQ190:AT190)-SUM($CK190:CO190)</f>
        <v>-2360</v>
      </c>
      <c r="BS190" s="1">
        <f>SUM($AP190,$AQ190:AU190)-SUM($CK190:CP190)</f>
        <v>-7080</v>
      </c>
      <c r="BT190" s="1">
        <f>SUM($AP190,$AQ190:AV190)-SUM($CK190:CQ190)</f>
        <v>-14160</v>
      </c>
      <c r="BU190" s="1">
        <f>SUM($AP190,$AQ190:AW190)-SUM($CK190:CR190)</f>
        <v>-23600</v>
      </c>
      <c r="BV190" s="1">
        <f>SUM($AP190,$AQ190:AX190)-SUM($CK190:CS190)</f>
        <v>-35400</v>
      </c>
      <c r="BW190" s="1">
        <f>SUM($AP190,$AQ190:AY190)-SUM($CK190:CT190)</f>
        <v>-49560</v>
      </c>
      <c r="BX190" s="1">
        <f>SUM($AP190,$AQ190:AZ190)-SUM($CK190:CU190)</f>
        <v>-66080</v>
      </c>
      <c r="BY190" s="1">
        <f>SUM($AP190,$AQ190:BA190)-SUM($CK190:CV190)</f>
        <v>-84960</v>
      </c>
      <c r="BZ190" s="1">
        <f>SUM($AP190,$AQ190:BB190)-SUM($CK190:CW190)</f>
        <v>-106200</v>
      </c>
      <c r="CA190" s="1">
        <f>SUM($AP190,$AQ190:BC190)-SUM($CK190:CX190)</f>
        <v>-129800</v>
      </c>
      <c r="CB190" s="1">
        <f>SUM($AP190,$AQ190:BD190)-SUM($CK190:CY190)</f>
        <v>-155760</v>
      </c>
      <c r="CC190" s="1">
        <f>SUM($AP190,$AQ190:BE190)-SUM($CK190:CZ190)</f>
        <v>-184080</v>
      </c>
      <c r="CD190" s="1">
        <f>SUM($AP190,$AQ190:BF190)-SUM($CK190:DA190)</f>
        <v>-214760</v>
      </c>
      <c r="CE190" s="1">
        <f>SUM($AP190,$AQ190:BG190)-SUM($CK190:DB190)</f>
        <v>-214760</v>
      </c>
      <c r="CF190" s="1">
        <f>SUM($AP190,$AQ190:BH190)-SUM($CK190:DC190)</f>
        <v>-214760</v>
      </c>
      <c r="CG190" s="1">
        <f>SUM($AP190,$AQ190:BI190)-SUM($CK190:DD190)</f>
        <v>-214760</v>
      </c>
      <c r="CK190" s="1">
        <f t="array" ref="CK190">SUMPRODUCT($H190:$Y190,(TRANSPOSE(CK$2:CK$19)))</f>
        <v>0</v>
      </c>
      <c r="CL190" s="1">
        <f t="array" ref="CL190">SUMPRODUCT($H190:$Y190,(TRANSPOSE(CL$2:CL$19)))</f>
        <v>0</v>
      </c>
      <c r="CM190" s="1">
        <f t="array" ref="CM190">SUMPRODUCT($H190:$Y190,(TRANSPOSE(CM$2:CM$19)))</f>
        <v>0</v>
      </c>
      <c r="CN190" s="1">
        <f t="array" ref="CN190">SUMPRODUCT($H190:$Y190,(TRANSPOSE(CN$2:CN$19)))</f>
        <v>0</v>
      </c>
      <c r="CO190" s="1">
        <f t="array" ref="CO190">SUMPRODUCT($H190:$Y190,(TRANSPOSE(CO$2:CO$19)))</f>
        <v>2360</v>
      </c>
      <c r="CP190" s="1">
        <f t="array" ref="CP190">SUMPRODUCT($H190:$Y190,(TRANSPOSE(CP$2:CP$19)))</f>
        <v>4720</v>
      </c>
      <c r="CQ190" s="1">
        <f t="array" ref="CQ190">SUMPRODUCT($H190:$Y190,(TRANSPOSE(CQ$2:CQ$19)))</f>
        <v>7080</v>
      </c>
      <c r="CR190" s="1">
        <f t="array" ref="CR190">SUMPRODUCT($H190:$Y190,(TRANSPOSE(CR$2:CR$19)))</f>
        <v>9440</v>
      </c>
      <c r="CS190" s="1">
        <f t="array" ref="CS190">SUMPRODUCT($H190:$Y190,(TRANSPOSE(CS$2:CS$19)))</f>
        <v>11800</v>
      </c>
      <c r="CT190" s="1">
        <f t="array" ref="CT190">SUMPRODUCT($H190:$Y190,(TRANSPOSE(CT$2:CT$19)))</f>
        <v>14160</v>
      </c>
      <c r="CU190" s="1">
        <f t="array" ref="CU190">SUMPRODUCT($H190:$Y190,(TRANSPOSE(CU$2:CU$19)))</f>
        <v>16520</v>
      </c>
      <c r="CV190" s="1">
        <f t="array" ref="CV190">SUMPRODUCT($H190:$Y190,(TRANSPOSE(CV$2:CV$19)))</f>
        <v>18880</v>
      </c>
      <c r="CW190" s="1">
        <f t="array" ref="CW190">SUMPRODUCT($H190:$Y190,(TRANSPOSE(CW$2:CW$19)))</f>
        <v>21240</v>
      </c>
      <c r="CX190" s="1">
        <f t="array" ref="CX190">SUMPRODUCT($H190:$Y190,(TRANSPOSE(CX$2:CX$19)))</f>
        <v>23600</v>
      </c>
      <c r="CY190" s="1">
        <f t="array" ref="CY190">SUMPRODUCT($H190:$Y190,(TRANSPOSE(CY$2:CY$19)))</f>
        <v>25960</v>
      </c>
      <c r="CZ190" s="1">
        <f t="array" ref="CZ190">SUMPRODUCT($H190:$Y190,(TRANSPOSE(CZ$2:CZ$19)))</f>
        <v>28320</v>
      </c>
      <c r="DA190" s="1">
        <f t="array" ref="DA190">SUMPRODUCT($H190:$Y190,(TRANSPOSE(DA$2:DA$19)))</f>
        <v>30680</v>
      </c>
      <c r="DB190" s="1">
        <f t="array" ref="DB190">SUMPRODUCT($H190:$Y190,(TRANSPOSE(DB$2:DB$19)))</f>
        <v>0</v>
      </c>
      <c r="DC190" s="1">
        <f t="array" ref="DC190">SUMPRODUCT($H190:$Y190,(TRANSPOSE(DC$2:DC$19)))</f>
        <v>0</v>
      </c>
      <c r="DD190" s="1">
        <f t="array" ref="DD190">SUMPRODUCT($H190:$Y190,(TRANSPOSE(DD$2:DD$19)))</f>
        <v>0</v>
      </c>
    </row>
    <row r="191" spans="1:108" x14ac:dyDescent="0.2">
      <c r="A191" s="1">
        <v>207</v>
      </c>
      <c r="B191" s="10" t="s">
        <v>431</v>
      </c>
      <c r="C191" s="1" t="s">
        <v>22</v>
      </c>
      <c r="D191" s="1">
        <v>401225492</v>
      </c>
      <c r="E191" s="1" t="s">
        <v>430</v>
      </c>
      <c r="F191" s="1" t="s">
        <v>429</v>
      </c>
      <c r="G191" s="1" t="s">
        <v>20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2</v>
      </c>
      <c r="V191" s="1">
        <v>0</v>
      </c>
      <c r="W191" s="1">
        <v>0</v>
      </c>
      <c r="X191" s="1">
        <v>0</v>
      </c>
      <c r="Y191" s="1">
        <v>2</v>
      </c>
      <c r="Z191" s="1">
        <f>SUM(H191:Y191)</f>
        <v>4</v>
      </c>
      <c r="AA191" s="1">
        <f>SUMPRODUCT(H191:Y191,$H$16:$Y$16)</f>
        <v>3640</v>
      </c>
      <c r="AB191" s="1" t="s">
        <v>386</v>
      </c>
      <c r="AC191" s="1">
        <v>4.0000000000000001E-3</v>
      </c>
      <c r="AD191" s="9"/>
      <c r="AE191" s="1" t="s">
        <v>28</v>
      </c>
      <c r="AF191" s="1">
        <f>AC191</f>
        <v>4.0000000000000001E-3</v>
      </c>
      <c r="AG191" s="1">
        <v>5000</v>
      </c>
      <c r="AH191" s="1">
        <v>5000</v>
      </c>
      <c r="AI191" s="1" t="s">
        <v>82</v>
      </c>
      <c r="AK191" s="1" t="s">
        <v>89</v>
      </c>
      <c r="AL191" s="1" t="s">
        <v>88</v>
      </c>
      <c r="AM191" s="1" t="s">
        <v>87</v>
      </c>
      <c r="AN191" s="2" t="s">
        <v>86</v>
      </c>
      <c r="BO191" s="1">
        <f>SUM($AP191,$AQ191:AQ191)-SUM($CK191:CL191)</f>
        <v>0</v>
      </c>
      <c r="BP191" s="1">
        <f>SUM($AP191,$AQ191:AR191)-SUM($CK191:CM191)</f>
        <v>0</v>
      </c>
      <c r="BQ191" s="1">
        <f>SUM($AP191,$AQ191:AS191)-SUM($CK191:CN191)</f>
        <v>0</v>
      </c>
      <c r="BR191" s="1">
        <f>SUM($AP191,$AQ191:AT191)-SUM($CK191:CO191)</f>
        <v>-40</v>
      </c>
      <c r="BS191" s="1">
        <f>SUM($AP191,$AQ191:AU191)-SUM($CK191:CP191)</f>
        <v>-120</v>
      </c>
      <c r="BT191" s="1">
        <f>SUM($AP191,$AQ191:AV191)-SUM($CK191:CQ191)</f>
        <v>-240</v>
      </c>
      <c r="BU191" s="1">
        <f>SUM($AP191,$AQ191:AW191)-SUM($CK191:CR191)</f>
        <v>-400</v>
      </c>
      <c r="BV191" s="1">
        <f>SUM($AP191,$AQ191:AX191)-SUM($CK191:CS191)</f>
        <v>-600</v>
      </c>
      <c r="BW191" s="1">
        <f>SUM($AP191,$AQ191:AY191)-SUM($CK191:CT191)</f>
        <v>-840</v>
      </c>
      <c r="BX191" s="1">
        <f>SUM($AP191,$AQ191:AZ191)-SUM($CK191:CU191)</f>
        <v>-1120</v>
      </c>
      <c r="BY191" s="1">
        <f>SUM($AP191,$AQ191:BA191)-SUM($CK191:CV191)</f>
        <v>-1440</v>
      </c>
      <c r="BZ191" s="1">
        <f>SUM($AP191,$AQ191:BB191)-SUM($CK191:CW191)</f>
        <v>-1800</v>
      </c>
      <c r="CA191" s="1">
        <f>SUM($AP191,$AQ191:BC191)-SUM($CK191:CX191)</f>
        <v>-2200</v>
      </c>
      <c r="CB191" s="1">
        <f>SUM($AP191,$AQ191:BD191)-SUM($CK191:CY191)</f>
        <v>-2640</v>
      </c>
      <c r="CC191" s="1">
        <f>SUM($AP191,$AQ191:BE191)-SUM($CK191:CZ191)</f>
        <v>-3120</v>
      </c>
      <c r="CD191" s="1">
        <f>SUM($AP191,$AQ191:BF191)-SUM($CK191:DA191)</f>
        <v>-3640</v>
      </c>
      <c r="CE191" s="1">
        <f>SUM($AP191,$AQ191:BG191)-SUM($CK191:DB191)</f>
        <v>-3640</v>
      </c>
      <c r="CF191" s="1">
        <f>SUM($AP191,$AQ191:BH191)-SUM($CK191:DC191)</f>
        <v>-3640</v>
      </c>
      <c r="CG191" s="1">
        <f>SUM($AP191,$AQ191:BI191)-SUM($CK191:DD191)</f>
        <v>-3640</v>
      </c>
      <c r="CK191" s="1">
        <f t="array" ref="CK191">SUMPRODUCT($H191:$Y191,(TRANSPOSE(CK$2:CK$19)))</f>
        <v>0</v>
      </c>
      <c r="CL191" s="1">
        <f t="array" ref="CL191">SUMPRODUCT($H191:$Y191,(TRANSPOSE(CL$2:CL$19)))</f>
        <v>0</v>
      </c>
      <c r="CM191" s="1">
        <f t="array" ref="CM191">SUMPRODUCT($H191:$Y191,(TRANSPOSE(CM$2:CM$19)))</f>
        <v>0</v>
      </c>
      <c r="CN191" s="1">
        <f t="array" ref="CN191">SUMPRODUCT($H191:$Y191,(TRANSPOSE(CN$2:CN$19)))</f>
        <v>0</v>
      </c>
      <c r="CO191" s="1">
        <f t="array" ref="CO191">SUMPRODUCT($H191:$Y191,(TRANSPOSE(CO$2:CO$19)))</f>
        <v>40</v>
      </c>
      <c r="CP191" s="1">
        <f t="array" ref="CP191">SUMPRODUCT($H191:$Y191,(TRANSPOSE(CP$2:CP$19)))</f>
        <v>80</v>
      </c>
      <c r="CQ191" s="1">
        <f t="array" ref="CQ191">SUMPRODUCT($H191:$Y191,(TRANSPOSE(CQ$2:CQ$19)))</f>
        <v>120</v>
      </c>
      <c r="CR191" s="1">
        <f t="array" ref="CR191">SUMPRODUCT($H191:$Y191,(TRANSPOSE(CR$2:CR$19)))</f>
        <v>160</v>
      </c>
      <c r="CS191" s="1">
        <f t="array" ref="CS191">SUMPRODUCT($H191:$Y191,(TRANSPOSE(CS$2:CS$19)))</f>
        <v>200</v>
      </c>
      <c r="CT191" s="1">
        <f t="array" ref="CT191">SUMPRODUCT($H191:$Y191,(TRANSPOSE(CT$2:CT$19)))</f>
        <v>240</v>
      </c>
      <c r="CU191" s="1">
        <f t="array" ref="CU191">SUMPRODUCT($H191:$Y191,(TRANSPOSE(CU$2:CU$19)))</f>
        <v>280</v>
      </c>
      <c r="CV191" s="1">
        <f t="array" ref="CV191">SUMPRODUCT($H191:$Y191,(TRANSPOSE(CV$2:CV$19)))</f>
        <v>320</v>
      </c>
      <c r="CW191" s="1">
        <f t="array" ref="CW191">SUMPRODUCT($H191:$Y191,(TRANSPOSE(CW$2:CW$19)))</f>
        <v>360</v>
      </c>
      <c r="CX191" s="1">
        <f t="array" ref="CX191">SUMPRODUCT($H191:$Y191,(TRANSPOSE(CX$2:CX$19)))</f>
        <v>400</v>
      </c>
      <c r="CY191" s="1">
        <f t="array" ref="CY191">SUMPRODUCT($H191:$Y191,(TRANSPOSE(CY$2:CY$19)))</f>
        <v>440</v>
      </c>
      <c r="CZ191" s="1">
        <f t="array" ref="CZ191">SUMPRODUCT($H191:$Y191,(TRANSPOSE(CZ$2:CZ$19)))</f>
        <v>480</v>
      </c>
      <c r="DA191" s="1">
        <f t="array" ref="DA191">SUMPRODUCT($H191:$Y191,(TRANSPOSE(DA$2:DA$19)))</f>
        <v>520</v>
      </c>
      <c r="DB191" s="1">
        <f t="array" ref="DB191">SUMPRODUCT($H191:$Y191,(TRANSPOSE(DB$2:DB$19)))</f>
        <v>0</v>
      </c>
      <c r="DC191" s="1">
        <f t="array" ref="DC191">SUMPRODUCT($H191:$Y191,(TRANSPOSE(DC$2:DC$19)))</f>
        <v>0</v>
      </c>
      <c r="DD191" s="1">
        <f t="array" ref="DD191">SUMPRODUCT($H191:$Y191,(TRANSPOSE(DD$2:DD$19)))</f>
        <v>0</v>
      </c>
    </row>
    <row r="192" spans="1:108" x14ac:dyDescent="0.2">
      <c r="A192" s="1">
        <v>208</v>
      </c>
      <c r="B192" s="10" t="s">
        <v>428</v>
      </c>
      <c r="C192" s="1" t="s">
        <v>22</v>
      </c>
      <c r="D192" s="1">
        <v>401234950</v>
      </c>
      <c r="E192" s="1" t="s">
        <v>427</v>
      </c>
      <c r="F192" s="1" t="s">
        <v>426</v>
      </c>
      <c r="G192" s="1" t="s">
        <v>20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222</v>
      </c>
      <c r="V192" s="1">
        <v>0</v>
      </c>
      <c r="W192" s="1">
        <v>0</v>
      </c>
      <c r="X192" s="1">
        <v>0</v>
      </c>
      <c r="Y192" s="1">
        <v>222</v>
      </c>
      <c r="Z192" s="1">
        <f>SUM(H192:Y192)</f>
        <v>444</v>
      </c>
      <c r="AA192" s="1">
        <f>SUMPRODUCT(H192:Y192,$H$16:$Y$16)</f>
        <v>404040</v>
      </c>
      <c r="AB192" s="1" t="s">
        <v>386</v>
      </c>
      <c r="AC192" s="1">
        <v>4.0000000000000001E-3</v>
      </c>
      <c r="AD192" s="9"/>
      <c r="AE192" s="1" t="s">
        <v>28</v>
      </c>
      <c r="AF192" s="1">
        <f>AC192</f>
        <v>4.0000000000000001E-3</v>
      </c>
      <c r="AG192" s="1">
        <v>5000</v>
      </c>
      <c r="AH192" s="1">
        <v>5000</v>
      </c>
      <c r="AI192" s="1" t="s">
        <v>82</v>
      </c>
      <c r="AK192" s="1" t="s">
        <v>89</v>
      </c>
      <c r="AL192" s="1" t="s">
        <v>88</v>
      </c>
      <c r="AM192" s="1" t="s">
        <v>87</v>
      </c>
      <c r="AN192" s="2" t="s">
        <v>86</v>
      </c>
      <c r="BO192" s="1">
        <f>SUM($AP192,$AQ192:AQ192)-SUM($CK192:CL192)</f>
        <v>0</v>
      </c>
      <c r="BP192" s="1">
        <f>SUM($AP192,$AQ192:AR192)-SUM($CK192:CM192)</f>
        <v>0</v>
      </c>
      <c r="BQ192" s="1">
        <f>SUM($AP192,$AQ192:AS192)-SUM($CK192:CN192)</f>
        <v>0</v>
      </c>
      <c r="BR192" s="1">
        <f>SUM($AP192,$AQ192:AT192)-SUM($CK192:CO192)</f>
        <v>-4440</v>
      </c>
      <c r="BS192" s="1">
        <f>SUM($AP192,$AQ192:AU192)-SUM($CK192:CP192)</f>
        <v>-13320</v>
      </c>
      <c r="BT192" s="1">
        <f>SUM($AP192,$AQ192:AV192)-SUM($CK192:CQ192)</f>
        <v>-26640</v>
      </c>
      <c r="BU192" s="1">
        <f>SUM($AP192,$AQ192:AW192)-SUM($CK192:CR192)</f>
        <v>-44400</v>
      </c>
      <c r="BV192" s="1">
        <f>SUM($AP192,$AQ192:AX192)-SUM($CK192:CS192)</f>
        <v>-66600</v>
      </c>
      <c r="BW192" s="1">
        <f>SUM($AP192,$AQ192:AY192)-SUM($CK192:CT192)</f>
        <v>-93240</v>
      </c>
      <c r="BX192" s="1">
        <f>SUM($AP192,$AQ192:AZ192)-SUM($CK192:CU192)</f>
        <v>-124320</v>
      </c>
      <c r="BY192" s="1">
        <f>SUM($AP192,$AQ192:BA192)-SUM($CK192:CV192)</f>
        <v>-159840</v>
      </c>
      <c r="BZ192" s="1">
        <f>SUM($AP192,$AQ192:BB192)-SUM($CK192:CW192)</f>
        <v>-199800</v>
      </c>
      <c r="CA192" s="1">
        <f>SUM($AP192,$AQ192:BC192)-SUM($CK192:CX192)</f>
        <v>-244200</v>
      </c>
      <c r="CB192" s="1">
        <f>SUM($AP192,$AQ192:BD192)-SUM($CK192:CY192)</f>
        <v>-293040</v>
      </c>
      <c r="CC192" s="1">
        <f>SUM($AP192,$AQ192:BE192)-SUM($CK192:CZ192)</f>
        <v>-346320</v>
      </c>
      <c r="CD192" s="1">
        <f>SUM($AP192,$AQ192:BF192)-SUM($CK192:DA192)</f>
        <v>-404040</v>
      </c>
      <c r="CE192" s="1">
        <f>SUM($AP192,$AQ192:BG192)-SUM($CK192:DB192)</f>
        <v>-404040</v>
      </c>
      <c r="CF192" s="1">
        <f>SUM($AP192,$AQ192:BH192)-SUM($CK192:DC192)</f>
        <v>-404040</v>
      </c>
      <c r="CG192" s="1">
        <f>SUM($AP192,$AQ192:BI192)-SUM($CK192:DD192)</f>
        <v>-404040</v>
      </c>
      <c r="CK192" s="1">
        <f t="array" ref="CK192">SUMPRODUCT($H192:$Y192,(TRANSPOSE(CK$2:CK$19)))</f>
        <v>0</v>
      </c>
      <c r="CL192" s="1">
        <f t="array" ref="CL192">SUMPRODUCT($H192:$Y192,(TRANSPOSE(CL$2:CL$19)))</f>
        <v>0</v>
      </c>
      <c r="CM192" s="1">
        <f t="array" ref="CM192">SUMPRODUCT($H192:$Y192,(TRANSPOSE(CM$2:CM$19)))</f>
        <v>0</v>
      </c>
      <c r="CN192" s="1">
        <f t="array" ref="CN192">SUMPRODUCT($H192:$Y192,(TRANSPOSE(CN$2:CN$19)))</f>
        <v>0</v>
      </c>
      <c r="CO192" s="1">
        <f t="array" ref="CO192">SUMPRODUCT($H192:$Y192,(TRANSPOSE(CO$2:CO$19)))</f>
        <v>4440</v>
      </c>
      <c r="CP192" s="1">
        <f t="array" ref="CP192">SUMPRODUCT($H192:$Y192,(TRANSPOSE(CP$2:CP$19)))</f>
        <v>8880</v>
      </c>
      <c r="CQ192" s="1">
        <f t="array" ref="CQ192">SUMPRODUCT($H192:$Y192,(TRANSPOSE(CQ$2:CQ$19)))</f>
        <v>13320</v>
      </c>
      <c r="CR192" s="1">
        <f t="array" ref="CR192">SUMPRODUCT($H192:$Y192,(TRANSPOSE(CR$2:CR$19)))</f>
        <v>17760</v>
      </c>
      <c r="CS192" s="1">
        <f t="array" ref="CS192">SUMPRODUCT($H192:$Y192,(TRANSPOSE(CS$2:CS$19)))</f>
        <v>22200</v>
      </c>
      <c r="CT192" s="1">
        <f t="array" ref="CT192">SUMPRODUCT($H192:$Y192,(TRANSPOSE(CT$2:CT$19)))</f>
        <v>26640</v>
      </c>
      <c r="CU192" s="1">
        <f t="array" ref="CU192">SUMPRODUCT($H192:$Y192,(TRANSPOSE(CU$2:CU$19)))</f>
        <v>31080</v>
      </c>
      <c r="CV192" s="1">
        <f t="array" ref="CV192">SUMPRODUCT($H192:$Y192,(TRANSPOSE(CV$2:CV$19)))</f>
        <v>35520</v>
      </c>
      <c r="CW192" s="1">
        <f t="array" ref="CW192">SUMPRODUCT($H192:$Y192,(TRANSPOSE(CW$2:CW$19)))</f>
        <v>39960</v>
      </c>
      <c r="CX192" s="1">
        <f t="array" ref="CX192">SUMPRODUCT($H192:$Y192,(TRANSPOSE(CX$2:CX$19)))</f>
        <v>44400</v>
      </c>
      <c r="CY192" s="1">
        <f t="array" ref="CY192">SUMPRODUCT($H192:$Y192,(TRANSPOSE(CY$2:CY$19)))</f>
        <v>48840</v>
      </c>
      <c r="CZ192" s="1">
        <f t="array" ref="CZ192">SUMPRODUCT($H192:$Y192,(TRANSPOSE(CZ$2:CZ$19)))</f>
        <v>53280</v>
      </c>
      <c r="DA192" s="1">
        <f t="array" ref="DA192">SUMPRODUCT($H192:$Y192,(TRANSPOSE(DA$2:DA$19)))</f>
        <v>57720</v>
      </c>
      <c r="DB192" s="1">
        <f t="array" ref="DB192">SUMPRODUCT($H192:$Y192,(TRANSPOSE(DB$2:DB$19)))</f>
        <v>0</v>
      </c>
      <c r="DC192" s="1">
        <f t="array" ref="DC192">SUMPRODUCT($H192:$Y192,(TRANSPOSE(DC$2:DC$19)))</f>
        <v>0</v>
      </c>
      <c r="DD192" s="1">
        <f t="array" ref="DD192">SUMPRODUCT($H192:$Y192,(TRANSPOSE(DD$2:DD$19)))</f>
        <v>0</v>
      </c>
    </row>
    <row r="193" spans="1:108" ht="13.5" thickBot="1" x14ac:dyDescent="0.25">
      <c r="A193" s="1">
        <v>209</v>
      </c>
      <c r="B193" s="10" t="s">
        <v>425</v>
      </c>
      <c r="C193" s="1" t="s">
        <v>22</v>
      </c>
      <c r="D193" s="1">
        <v>400693204</v>
      </c>
      <c r="E193" s="1" t="s">
        <v>424</v>
      </c>
      <c r="F193" s="1" t="s">
        <v>423</v>
      </c>
      <c r="G193" s="1" t="s">
        <v>20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2</v>
      </c>
      <c r="U193" s="1">
        <v>6</v>
      </c>
      <c r="V193" s="1">
        <v>0</v>
      </c>
      <c r="W193" s="1">
        <v>0</v>
      </c>
      <c r="X193" s="1">
        <v>2</v>
      </c>
      <c r="Y193" s="1">
        <v>6</v>
      </c>
      <c r="Z193" s="1">
        <f>SUM(H193:Y193)</f>
        <v>16</v>
      </c>
      <c r="AA193" s="1">
        <f>SUMPRODUCT(H193:Y193,$H$16:$Y$16)</f>
        <v>14560</v>
      </c>
      <c r="AB193" s="1" t="s">
        <v>386</v>
      </c>
      <c r="AC193" s="1">
        <v>4.0000000000000001E-3</v>
      </c>
      <c r="AD193" s="9"/>
      <c r="AE193" s="1" t="s">
        <v>28</v>
      </c>
      <c r="AF193" s="1">
        <f>AC193</f>
        <v>4.0000000000000001E-3</v>
      </c>
      <c r="AG193" s="1">
        <v>5000</v>
      </c>
      <c r="AH193" s="1">
        <v>5000</v>
      </c>
      <c r="AI193" s="1" t="s">
        <v>82</v>
      </c>
      <c r="AK193" s="1" t="s">
        <v>89</v>
      </c>
      <c r="AL193" s="1" t="s">
        <v>88</v>
      </c>
      <c r="AM193" s="1" t="s">
        <v>87</v>
      </c>
      <c r="AN193" s="2" t="s">
        <v>86</v>
      </c>
      <c r="BO193" s="1">
        <f>SUM($AP193,$AQ193:AQ193)-SUM($CK193:CL193)</f>
        <v>0</v>
      </c>
      <c r="BP193" s="1">
        <f>SUM($AP193,$AQ193:AR193)-SUM($CK193:CM193)</f>
        <v>0</v>
      </c>
      <c r="BQ193" s="1">
        <f>SUM($AP193,$AQ193:AS193)-SUM($CK193:CN193)</f>
        <v>0</v>
      </c>
      <c r="BR193" s="1">
        <f>SUM($AP193,$AQ193:AT193)-SUM($CK193:CO193)</f>
        <v>-160</v>
      </c>
      <c r="BS193" s="1">
        <f>SUM($AP193,$AQ193:AU193)-SUM($CK193:CP193)</f>
        <v>-480</v>
      </c>
      <c r="BT193" s="1">
        <f>SUM($AP193,$AQ193:AV193)-SUM($CK193:CQ193)</f>
        <v>-960</v>
      </c>
      <c r="BU193" s="1">
        <f>SUM($AP193,$AQ193:AW193)-SUM($CK193:CR193)</f>
        <v>-1600</v>
      </c>
      <c r="BV193" s="1">
        <f>SUM($AP193,$AQ193:AX193)-SUM($CK193:CS193)</f>
        <v>-2400</v>
      </c>
      <c r="BW193" s="1">
        <f>SUM($AP193,$AQ193:AY193)-SUM($CK193:CT193)</f>
        <v>-3360</v>
      </c>
      <c r="BX193" s="1">
        <f>SUM($AP193,$AQ193:AZ193)-SUM($CK193:CU193)</f>
        <v>-4480</v>
      </c>
      <c r="BY193" s="1">
        <f>SUM($AP193,$AQ193:BA193)-SUM($CK193:CV193)</f>
        <v>-5760</v>
      </c>
      <c r="BZ193" s="1">
        <f>SUM($AP193,$AQ193:BB193)-SUM($CK193:CW193)</f>
        <v>-7200</v>
      </c>
      <c r="CA193" s="1">
        <f>SUM($AP193,$AQ193:BC193)-SUM($CK193:CX193)</f>
        <v>-8800</v>
      </c>
      <c r="CB193" s="1">
        <f>SUM($AP193,$AQ193:BD193)-SUM($CK193:CY193)</f>
        <v>-10560</v>
      </c>
      <c r="CC193" s="1">
        <f>SUM($AP193,$AQ193:BE193)-SUM($CK193:CZ193)</f>
        <v>-12480</v>
      </c>
      <c r="CD193" s="1">
        <f>SUM($AP193,$AQ193:BF193)-SUM($CK193:DA193)</f>
        <v>-14560</v>
      </c>
      <c r="CE193" s="1">
        <f>SUM($AP193,$AQ193:BG193)-SUM($CK193:DB193)</f>
        <v>-14560</v>
      </c>
      <c r="CF193" s="1">
        <f>SUM($AP193,$AQ193:BH193)-SUM($CK193:DC193)</f>
        <v>-14560</v>
      </c>
      <c r="CG193" s="1">
        <f>SUM($AP193,$AQ193:BI193)-SUM($CK193:DD193)</f>
        <v>-14560</v>
      </c>
      <c r="CK193" s="1">
        <f t="array" ref="CK193">SUMPRODUCT($H193:$Y193,(TRANSPOSE(CK$2:CK$19)))</f>
        <v>0</v>
      </c>
      <c r="CL193" s="1">
        <f t="array" ref="CL193">SUMPRODUCT($H193:$Y193,(TRANSPOSE(CL$2:CL$19)))</f>
        <v>0</v>
      </c>
      <c r="CM193" s="1">
        <f t="array" ref="CM193">SUMPRODUCT($H193:$Y193,(TRANSPOSE(CM$2:CM$19)))</f>
        <v>0</v>
      </c>
      <c r="CN193" s="1">
        <f t="array" ref="CN193">SUMPRODUCT($H193:$Y193,(TRANSPOSE(CN$2:CN$19)))</f>
        <v>0</v>
      </c>
      <c r="CO193" s="1">
        <f t="array" ref="CO193">SUMPRODUCT($H193:$Y193,(TRANSPOSE(CO$2:CO$19)))</f>
        <v>160</v>
      </c>
      <c r="CP193" s="1">
        <f t="array" ref="CP193">SUMPRODUCT($H193:$Y193,(TRANSPOSE(CP$2:CP$19)))</f>
        <v>320</v>
      </c>
      <c r="CQ193" s="1">
        <f t="array" ref="CQ193">SUMPRODUCT($H193:$Y193,(TRANSPOSE(CQ$2:CQ$19)))</f>
        <v>480</v>
      </c>
      <c r="CR193" s="1">
        <f t="array" ref="CR193">SUMPRODUCT($H193:$Y193,(TRANSPOSE(CR$2:CR$19)))</f>
        <v>640</v>
      </c>
      <c r="CS193" s="1">
        <f t="array" ref="CS193">SUMPRODUCT($H193:$Y193,(TRANSPOSE(CS$2:CS$19)))</f>
        <v>800</v>
      </c>
      <c r="CT193" s="1">
        <f t="array" ref="CT193">SUMPRODUCT($H193:$Y193,(TRANSPOSE(CT$2:CT$19)))</f>
        <v>960</v>
      </c>
      <c r="CU193" s="1">
        <f t="array" ref="CU193">SUMPRODUCT($H193:$Y193,(TRANSPOSE(CU$2:CU$19)))</f>
        <v>1120</v>
      </c>
      <c r="CV193" s="1">
        <f t="array" ref="CV193">SUMPRODUCT($H193:$Y193,(TRANSPOSE(CV$2:CV$19)))</f>
        <v>1280</v>
      </c>
      <c r="CW193" s="1">
        <f t="array" ref="CW193">SUMPRODUCT($H193:$Y193,(TRANSPOSE(CW$2:CW$19)))</f>
        <v>1440</v>
      </c>
      <c r="CX193" s="1">
        <f t="array" ref="CX193">SUMPRODUCT($H193:$Y193,(TRANSPOSE(CX$2:CX$19)))</f>
        <v>1600</v>
      </c>
      <c r="CY193" s="1">
        <f t="array" ref="CY193">SUMPRODUCT($H193:$Y193,(TRANSPOSE(CY$2:CY$19)))</f>
        <v>1760</v>
      </c>
      <c r="CZ193" s="1">
        <f t="array" ref="CZ193">SUMPRODUCT($H193:$Y193,(TRANSPOSE(CZ$2:CZ$19)))</f>
        <v>1920</v>
      </c>
      <c r="DA193" s="1">
        <f t="array" ref="DA193">SUMPRODUCT($H193:$Y193,(TRANSPOSE(DA$2:DA$19)))</f>
        <v>2080</v>
      </c>
      <c r="DB193" s="1">
        <f t="array" ref="DB193">SUMPRODUCT($H193:$Y193,(TRANSPOSE(DB$2:DB$19)))</f>
        <v>0</v>
      </c>
      <c r="DC193" s="1">
        <f t="array" ref="DC193">SUMPRODUCT($H193:$Y193,(TRANSPOSE(DC$2:DC$19)))</f>
        <v>0</v>
      </c>
      <c r="DD193" s="1">
        <f t="array" ref="DD193">SUMPRODUCT($H193:$Y193,(TRANSPOSE(DD$2:DD$19)))</f>
        <v>0</v>
      </c>
    </row>
    <row r="194" spans="1:108" ht="13.5" thickBot="1" x14ac:dyDescent="0.25">
      <c r="A194" s="1">
        <v>210</v>
      </c>
      <c r="B194" s="10" t="s">
        <v>422</v>
      </c>
      <c r="C194" s="1" t="s">
        <v>22</v>
      </c>
      <c r="D194" s="1">
        <v>400272339</v>
      </c>
      <c r="E194" s="1" t="s">
        <v>421</v>
      </c>
      <c r="F194" s="1" t="s">
        <v>420</v>
      </c>
      <c r="G194" s="1" t="s">
        <v>20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2</v>
      </c>
      <c r="V194" s="1">
        <v>0</v>
      </c>
      <c r="W194" s="1">
        <v>0</v>
      </c>
      <c r="X194" s="1">
        <v>0</v>
      </c>
      <c r="Y194" s="1">
        <v>2</v>
      </c>
      <c r="Z194" s="1">
        <f>SUM(H194:Y194)</f>
        <v>4</v>
      </c>
      <c r="AA194" s="1">
        <f>SUMPRODUCT(H194:Y194,$H$16:$Y$16)</f>
        <v>3640</v>
      </c>
      <c r="AB194" s="11" t="s">
        <v>386</v>
      </c>
      <c r="AC194" s="1">
        <v>4.0000000000000001E-3</v>
      </c>
      <c r="AD194" s="9"/>
      <c r="AE194" s="1" t="s">
        <v>28</v>
      </c>
      <c r="AF194" s="1">
        <f>AC194</f>
        <v>4.0000000000000001E-3</v>
      </c>
      <c r="AG194" s="1">
        <v>5000</v>
      </c>
      <c r="AH194" s="1">
        <v>5000</v>
      </c>
      <c r="AI194" s="1" t="s">
        <v>82</v>
      </c>
      <c r="AK194" s="1" t="s">
        <v>89</v>
      </c>
      <c r="AL194" s="1" t="s">
        <v>88</v>
      </c>
      <c r="AM194" s="1" t="s">
        <v>87</v>
      </c>
      <c r="AN194" s="2" t="s">
        <v>86</v>
      </c>
      <c r="BO194" s="1">
        <f>SUM($AP194,$AQ194:AQ194)-SUM($CK194:CL194)</f>
        <v>0</v>
      </c>
      <c r="BP194" s="1">
        <f>SUM($AP194,$AQ194:AR194)-SUM($CK194:CM194)</f>
        <v>0</v>
      </c>
      <c r="BQ194" s="1">
        <f>SUM($AP194,$AQ194:AS194)-SUM($CK194:CN194)</f>
        <v>0</v>
      </c>
      <c r="BR194" s="1">
        <f>SUM($AP194,$AQ194:AT194)-SUM($CK194:CO194)</f>
        <v>-40</v>
      </c>
      <c r="BS194" s="1">
        <f>SUM($AP194,$AQ194:AU194)-SUM($CK194:CP194)</f>
        <v>-120</v>
      </c>
      <c r="BT194" s="1">
        <f>SUM($AP194,$AQ194:AV194)-SUM($CK194:CQ194)</f>
        <v>-240</v>
      </c>
      <c r="BU194" s="1">
        <f>SUM($AP194,$AQ194:AW194)-SUM($CK194:CR194)</f>
        <v>-400</v>
      </c>
      <c r="BV194" s="1">
        <f>SUM($AP194,$AQ194:AX194)-SUM($CK194:CS194)</f>
        <v>-600</v>
      </c>
      <c r="BW194" s="1">
        <f>SUM($AP194,$AQ194:AY194)-SUM($CK194:CT194)</f>
        <v>-840</v>
      </c>
      <c r="BX194" s="1">
        <f>SUM($AP194,$AQ194:AZ194)-SUM($CK194:CU194)</f>
        <v>-1120</v>
      </c>
      <c r="BY194" s="1">
        <f>SUM($AP194,$AQ194:BA194)-SUM($CK194:CV194)</f>
        <v>-1440</v>
      </c>
      <c r="BZ194" s="1">
        <f>SUM($AP194,$AQ194:BB194)-SUM($CK194:CW194)</f>
        <v>-1800</v>
      </c>
      <c r="CA194" s="1">
        <f>SUM($AP194,$AQ194:BC194)-SUM($CK194:CX194)</f>
        <v>-2200</v>
      </c>
      <c r="CB194" s="1">
        <f>SUM($AP194,$AQ194:BD194)-SUM($CK194:CY194)</f>
        <v>-2640</v>
      </c>
      <c r="CC194" s="1">
        <f>SUM($AP194,$AQ194:BE194)-SUM($CK194:CZ194)</f>
        <v>-3120</v>
      </c>
      <c r="CD194" s="1">
        <f>SUM($AP194,$AQ194:BF194)-SUM($CK194:DA194)</f>
        <v>-3640</v>
      </c>
      <c r="CE194" s="1">
        <f>SUM($AP194,$AQ194:BG194)-SUM($CK194:DB194)</f>
        <v>-3640</v>
      </c>
      <c r="CF194" s="1">
        <f>SUM($AP194,$AQ194:BH194)-SUM($CK194:DC194)</f>
        <v>-3640</v>
      </c>
      <c r="CG194" s="1">
        <f>SUM($AP194,$AQ194:BI194)-SUM($CK194:DD194)</f>
        <v>-3640</v>
      </c>
      <c r="CK194" s="1">
        <f t="array" ref="CK194">SUMPRODUCT($H194:$Y194,(TRANSPOSE(CK$2:CK$19)))</f>
        <v>0</v>
      </c>
      <c r="CL194" s="1">
        <f t="array" ref="CL194">SUMPRODUCT($H194:$Y194,(TRANSPOSE(CL$2:CL$19)))</f>
        <v>0</v>
      </c>
      <c r="CM194" s="1">
        <f t="array" ref="CM194">SUMPRODUCT($H194:$Y194,(TRANSPOSE(CM$2:CM$19)))</f>
        <v>0</v>
      </c>
      <c r="CN194" s="1">
        <f t="array" ref="CN194">SUMPRODUCT($H194:$Y194,(TRANSPOSE(CN$2:CN$19)))</f>
        <v>0</v>
      </c>
      <c r="CO194" s="1">
        <f t="array" ref="CO194">SUMPRODUCT($H194:$Y194,(TRANSPOSE(CO$2:CO$19)))</f>
        <v>40</v>
      </c>
      <c r="CP194" s="1">
        <f t="array" ref="CP194">SUMPRODUCT($H194:$Y194,(TRANSPOSE(CP$2:CP$19)))</f>
        <v>80</v>
      </c>
      <c r="CQ194" s="1">
        <f t="array" ref="CQ194">SUMPRODUCT($H194:$Y194,(TRANSPOSE(CQ$2:CQ$19)))</f>
        <v>120</v>
      </c>
      <c r="CR194" s="1">
        <f t="array" ref="CR194">SUMPRODUCT($H194:$Y194,(TRANSPOSE(CR$2:CR$19)))</f>
        <v>160</v>
      </c>
      <c r="CS194" s="1">
        <f t="array" ref="CS194">SUMPRODUCT($H194:$Y194,(TRANSPOSE(CS$2:CS$19)))</f>
        <v>200</v>
      </c>
      <c r="CT194" s="1">
        <f t="array" ref="CT194">SUMPRODUCT($H194:$Y194,(TRANSPOSE(CT$2:CT$19)))</f>
        <v>240</v>
      </c>
      <c r="CU194" s="1">
        <f t="array" ref="CU194">SUMPRODUCT($H194:$Y194,(TRANSPOSE(CU$2:CU$19)))</f>
        <v>280</v>
      </c>
      <c r="CV194" s="1">
        <f t="array" ref="CV194">SUMPRODUCT($H194:$Y194,(TRANSPOSE(CV$2:CV$19)))</f>
        <v>320</v>
      </c>
      <c r="CW194" s="1">
        <f t="array" ref="CW194">SUMPRODUCT($H194:$Y194,(TRANSPOSE(CW$2:CW$19)))</f>
        <v>360</v>
      </c>
      <c r="CX194" s="1">
        <f t="array" ref="CX194">SUMPRODUCT($H194:$Y194,(TRANSPOSE(CX$2:CX$19)))</f>
        <v>400</v>
      </c>
      <c r="CY194" s="1">
        <f t="array" ref="CY194">SUMPRODUCT($H194:$Y194,(TRANSPOSE(CY$2:CY$19)))</f>
        <v>440</v>
      </c>
      <c r="CZ194" s="1">
        <f t="array" ref="CZ194">SUMPRODUCT($H194:$Y194,(TRANSPOSE(CZ$2:CZ$19)))</f>
        <v>480</v>
      </c>
      <c r="DA194" s="1">
        <f t="array" ref="DA194">SUMPRODUCT($H194:$Y194,(TRANSPOSE(DA$2:DA$19)))</f>
        <v>520</v>
      </c>
      <c r="DB194" s="1">
        <f t="array" ref="DB194">SUMPRODUCT($H194:$Y194,(TRANSPOSE(DB$2:DB$19)))</f>
        <v>0</v>
      </c>
      <c r="DC194" s="1">
        <f t="array" ref="DC194">SUMPRODUCT($H194:$Y194,(TRANSPOSE(DC$2:DC$19)))</f>
        <v>0</v>
      </c>
      <c r="DD194" s="1">
        <f t="array" ref="DD194">SUMPRODUCT($H194:$Y194,(TRANSPOSE(DD$2:DD$19)))</f>
        <v>0</v>
      </c>
    </row>
    <row r="195" spans="1:108" ht="13.5" thickBot="1" x14ac:dyDescent="0.25">
      <c r="A195" s="1">
        <v>211</v>
      </c>
      <c r="B195" s="10" t="s">
        <v>419</v>
      </c>
      <c r="C195" s="1" t="s">
        <v>22</v>
      </c>
      <c r="D195" s="1">
        <v>401234952</v>
      </c>
      <c r="E195" s="1" t="s">
        <v>418</v>
      </c>
      <c r="F195" s="1" t="s">
        <v>417</v>
      </c>
      <c r="G195" s="1" t="s">
        <v>20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2</v>
      </c>
      <c r="U195" s="1">
        <v>0</v>
      </c>
      <c r="V195" s="1">
        <v>0</v>
      </c>
      <c r="W195" s="1">
        <v>0</v>
      </c>
      <c r="X195" s="1">
        <v>2</v>
      </c>
      <c r="Y195" s="1">
        <v>0</v>
      </c>
      <c r="Z195" s="1">
        <f>SUM(H195:Y195)</f>
        <v>4</v>
      </c>
      <c r="AA195" s="1">
        <f>SUMPRODUCT(H195:Y195,$H$16:$Y$16)</f>
        <v>3640</v>
      </c>
      <c r="AB195" s="1" t="s">
        <v>386</v>
      </c>
      <c r="AC195" s="1">
        <v>4.0000000000000001E-3</v>
      </c>
      <c r="AD195" s="9"/>
      <c r="AE195" s="1" t="s">
        <v>28</v>
      </c>
      <c r="AF195" s="1">
        <f>AC195</f>
        <v>4.0000000000000001E-3</v>
      </c>
      <c r="AG195" s="1">
        <v>5000</v>
      </c>
      <c r="AH195" s="1">
        <v>5000</v>
      </c>
      <c r="AI195" s="1" t="s">
        <v>82</v>
      </c>
      <c r="AK195" s="1" t="s">
        <v>89</v>
      </c>
      <c r="AL195" s="1" t="s">
        <v>88</v>
      </c>
      <c r="AM195" s="1" t="s">
        <v>87</v>
      </c>
      <c r="AN195" s="2" t="s">
        <v>86</v>
      </c>
      <c r="BO195" s="1">
        <f>SUM($AP195,$AQ195:AQ195)-SUM($CK195:CL195)</f>
        <v>0</v>
      </c>
      <c r="BP195" s="1">
        <f>SUM($AP195,$AQ195:AR195)-SUM($CK195:CM195)</f>
        <v>0</v>
      </c>
      <c r="BQ195" s="1">
        <f>SUM($AP195,$AQ195:AS195)-SUM($CK195:CN195)</f>
        <v>0</v>
      </c>
      <c r="BR195" s="1">
        <f>SUM($AP195,$AQ195:AT195)-SUM($CK195:CO195)</f>
        <v>-40</v>
      </c>
      <c r="BS195" s="1">
        <f>SUM($AP195,$AQ195:AU195)-SUM($CK195:CP195)</f>
        <v>-120</v>
      </c>
      <c r="BT195" s="1">
        <f>SUM($AP195,$AQ195:AV195)-SUM($CK195:CQ195)</f>
        <v>-240</v>
      </c>
      <c r="BU195" s="1">
        <f>SUM($AP195,$AQ195:AW195)-SUM($CK195:CR195)</f>
        <v>-400</v>
      </c>
      <c r="BV195" s="1">
        <f>SUM($AP195,$AQ195:AX195)-SUM($CK195:CS195)</f>
        <v>-600</v>
      </c>
      <c r="BW195" s="1">
        <f>SUM($AP195,$AQ195:AY195)-SUM($CK195:CT195)</f>
        <v>-840</v>
      </c>
      <c r="BX195" s="1">
        <f>SUM($AP195,$AQ195:AZ195)-SUM($CK195:CU195)</f>
        <v>-1120</v>
      </c>
      <c r="BY195" s="1">
        <f>SUM($AP195,$AQ195:BA195)-SUM($CK195:CV195)</f>
        <v>-1440</v>
      </c>
      <c r="BZ195" s="1">
        <f>SUM($AP195,$AQ195:BB195)-SUM($CK195:CW195)</f>
        <v>-1800</v>
      </c>
      <c r="CA195" s="1">
        <f>SUM($AP195,$AQ195:BC195)-SUM($CK195:CX195)</f>
        <v>-2200</v>
      </c>
      <c r="CB195" s="1">
        <f>SUM($AP195,$AQ195:BD195)-SUM($CK195:CY195)</f>
        <v>-2640</v>
      </c>
      <c r="CC195" s="1">
        <f>SUM($AP195,$AQ195:BE195)-SUM($CK195:CZ195)</f>
        <v>-3120</v>
      </c>
      <c r="CD195" s="1">
        <f>SUM($AP195,$AQ195:BF195)-SUM($CK195:DA195)</f>
        <v>-3640</v>
      </c>
      <c r="CE195" s="1">
        <f>SUM($AP195,$AQ195:BG195)-SUM($CK195:DB195)</f>
        <v>-3640</v>
      </c>
      <c r="CF195" s="1">
        <f>SUM($AP195,$AQ195:BH195)-SUM($CK195:DC195)</f>
        <v>-3640</v>
      </c>
      <c r="CG195" s="1">
        <f>SUM($AP195,$AQ195:BI195)-SUM($CK195:DD195)</f>
        <v>-3640</v>
      </c>
      <c r="CK195" s="1">
        <f t="array" ref="CK195">SUMPRODUCT($H195:$Y195,(TRANSPOSE(CK$2:CK$19)))</f>
        <v>0</v>
      </c>
      <c r="CL195" s="1">
        <f t="array" ref="CL195">SUMPRODUCT($H195:$Y195,(TRANSPOSE(CL$2:CL$19)))</f>
        <v>0</v>
      </c>
      <c r="CM195" s="1">
        <f t="array" ref="CM195">SUMPRODUCT($H195:$Y195,(TRANSPOSE(CM$2:CM$19)))</f>
        <v>0</v>
      </c>
      <c r="CN195" s="1">
        <f t="array" ref="CN195">SUMPRODUCT($H195:$Y195,(TRANSPOSE(CN$2:CN$19)))</f>
        <v>0</v>
      </c>
      <c r="CO195" s="1">
        <f t="array" ref="CO195">SUMPRODUCT($H195:$Y195,(TRANSPOSE(CO$2:CO$19)))</f>
        <v>40</v>
      </c>
      <c r="CP195" s="1">
        <f t="array" ref="CP195">SUMPRODUCT($H195:$Y195,(TRANSPOSE(CP$2:CP$19)))</f>
        <v>80</v>
      </c>
      <c r="CQ195" s="1">
        <f t="array" ref="CQ195">SUMPRODUCT($H195:$Y195,(TRANSPOSE(CQ$2:CQ$19)))</f>
        <v>120</v>
      </c>
      <c r="CR195" s="1">
        <f t="array" ref="CR195">SUMPRODUCT($H195:$Y195,(TRANSPOSE(CR$2:CR$19)))</f>
        <v>160</v>
      </c>
      <c r="CS195" s="1">
        <f t="array" ref="CS195">SUMPRODUCT($H195:$Y195,(TRANSPOSE(CS$2:CS$19)))</f>
        <v>200</v>
      </c>
      <c r="CT195" s="1">
        <f t="array" ref="CT195">SUMPRODUCT($H195:$Y195,(TRANSPOSE(CT$2:CT$19)))</f>
        <v>240</v>
      </c>
      <c r="CU195" s="1">
        <f t="array" ref="CU195">SUMPRODUCT($H195:$Y195,(TRANSPOSE(CU$2:CU$19)))</f>
        <v>280</v>
      </c>
      <c r="CV195" s="1">
        <f t="array" ref="CV195">SUMPRODUCT($H195:$Y195,(TRANSPOSE(CV$2:CV$19)))</f>
        <v>320</v>
      </c>
      <c r="CW195" s="1">
        <f t="array" ref="CW195">SUMPRODUCT($H195:$Y195,(TRANSPOSE(CW$2:CW$19)))</f>
        <v>360</v>
      </c>
      <c r="CX195" s="1">
        <f t="array" ref="CX195">SUMPRODUCT($H195:$Y195,(TRANSPOSE(CX$2:CX$19)))</f>
        <v>400</v>
      </c>
      <c r="CY195" s="1">
        <f t="array" ref="CY195">SUMPRODUCT($H195:$Y195,(TRANSPOSE(CY$2:CY$19)))</f>
        <v>440</v>
      </c>
      <c r="CZ195" s="1">
        <f t="array" ref="CZ195">SUMPRODUCT($H195:$Y195,(TRANSPOSE(CZ$2:CZ$19)))</f>
        <v>480</v>
      </c>
      <c r="DA195" s="1">
        <f t="array" ref="DA195">SUMPRODUCT($H195:$Y195,(TRANSPOSE(DA$2:DA$19)))</f>
        <v>520</v>
      </c>
      <c r="DB195" s="1">
        <f t="array" ref="DB195">SUMPRODUCT($H195:$Y195,(TRANSPOSE(DB$2:DB$19)))</f>
        <v>0</v>
      </c>
      <c r="DC195" s="1">
        <f t="array" ref="DC195">SUMPRODUCT($H195:$Y195,(TRANSPOSE(DC$2:DC$19)))</f>
        <v>0</v>
      </c>
      <c r="DD195" s="1">
        <f t="array" ref="DD195">SUMPRODUCT($H195:$Y195,(TRANSPOSE(DD$2:DD$19)))</f>
        <v>0</v>
      </c>
    </row>
    <row r="196" spans="1:108" ht="13.5" thickBot="1" x14ac:dyDescent="0.25">
      <c r="A196" s="1">
        <v>212</v>
      </c>
      <c r="B196" s="10" t="s">
        <v>416</v>
      </c>
      <c r="C196" s="1" t="s">
        <v>22</v>
      </c>
      <c r="D196" s="1">
        <v>400272402</v>
      </c>
      <c r="E196" s="1" t="s">
        <v>415</v>
      </c>
      <c r="F196" s="1" t="s">
        <v>414</v>
      </c>
      <c r="G196" s="1" t="s">
        <v>20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2</v>
      </c>
      <c r="V196" s="1">
        <v>0</v>
      </c>
      <c r="W196" s="1">
        <v>0</v>
      </c>
      <c r="X196" s="1">
        <v>0</v>
      </c>
      <c r="Y196" s="1">
        <v>2</v>
      </c>
      <c r="Z196" s="1">
        <f>SUM(H196:Y196)</f>
        <v>4</v>
      </c>
      <c r="AA196" s="1">
        <f>SUMPRODUCT(H196:Y196,$H$16:$Y$16)</f>
        <v>3640</v>
      </c>
      <c r="AB196" s="11" t="s">
        <v>386</v>
      </c>
      <c r="AC196" s="1">
        <v>4.0000000000000001E-3</v>
      </c>
      <c r="AD196" s="9"/>
      <c r="AE196" s="1" t="s">
        <v>28</v>
      </c>
      <c r="AF196" s="1">
        <f>AC196</f>
        <v>4.0000000000000001E-3</v>
      </c>
      <c r="AG196" s="1">
        <v>5000</v>
      </c>
      <c r="AH196" s="1">
        <v>5000</v>
      </c>
      <c r="AI196" s="1" t="s">
        <v>82</v>
      </c>
      <c r="AK196" s="1" t="s">
        <v>89</v>
      </c>
      <c r="AL196" s="1" t="s">
        <v>88</v>
      </c>
      <c r="AM196" s="1" t="s">
        <v>87</v>
      </c>
      <c r="AN196" s="2" t="s">
        <v>86</v>
      </c>
      <c r="BO196" s="1">
        <f>SUM($AP196,$AQ196:AQ196)-SUM($CK196:CL196)</f>
        <v>0</v>
      </c>
      <c r="BP196" s="1">
        <f>SUM($AP196,$AQ196:AR196)-SUM($CK196:CM196)</f>
        <v>0</v>
      </c>
      <c r="BQ196" s="1">
        <f>SUM($AP196,$AQ196:AS196)-SUM($CK196:CN196)</f>
        <v>0</v>
      </c>
      <c r="BR196" s="1">
        <f>SUM($AP196,$AQ196:AT196)-SUM($CK196:CO196)</f>
        <v>-40</v>
      </c>
      <c r="BS196" s="1">
        <f>SUM($AP196,$AQ196:AU196)-SUM($CK196:CP196)</f>
        <v>-120</v>
      </c>
      <c r="BT196" s="1">
        <f>SUM($AP196,$AQ196:AV196)-SUM($CK196:CQ196)</f>
        <v>-240</v>
      </c>
      <c r="BU196" s="1">
        <f>SUM($AP196,$AQ196:AW196)-SUM($CK196:CR196)</f>
        <v>-400</v>
      </c>
      <c r="BV196" s="1">
        <f>SUM($AP196,$AQ196:AX196)-SUM($CK196:CS196)</f>
        <v>-600</v>
      </c>
      <c r="BW196" s="1">
        <f>SUM($AP196,$AQ196:AY196)-SUM($CK196:CT196)</f>
        <v>-840</v>
      </c>
      <c r="BX196" s="1">
        <f>SUM($AP196,$AQ196:AZ196)-SUM($CK196:CU196)</f>
        <v>-1120</v>
      </c>
      <c r="BY196" s="1">
        <f>SUM($AP196,$AQ196:BA196)-SUM($CK196:CV196)</f>
        <v>-1440</v>
      </c>
      <c r="BZ196" s="1">
        <f>SUM($AP196,$AQ196:BB196)-SUM($CK196:CW196)</f>
        <v>-1800</v>
      </c>
      <c r="CA196" s="1">
        <f>SUM($AP196,$AQ196:BC196)-SUM($CK196:CX196)</f>
        <v>-2200</v>
      </c>
      <c r="CB196" s="1">
        <f>SUM($AP196,$AQ196:BD196)-SUM($CK196:CY196)</f>
        <v>-2640</v>
      </c>
      <c r="CC196" s="1">
        <f>SUM($AP196,$AQ196:BE196)-SUM($CK196:CZ196)</f>
        <v>-3120</v>
      </c>
      <c r="CD196" s="1">
        <f>SUM($AP196,$AQ196:BF196)-SUM($CK196:DA196)</f>
        <v>-3640</v>
      </c>
      <c r="CE196" s="1">
        <f>SUM($AP196,$AQ196:BG196)-SUM($CK196:DB196)</f>
        <v>-3640</v>
      </c>
      <c r="CF196" s="1">
        <f>SUM($AP196,$AQ196:BH196)-SUM($CK196:DC196)</f>
        <v>-3640</v>
      </c>
      <c r="CG196" s="1">
        <f>SUM($AP196,$AQ196:BI196)-SUM($CK196:DD196)</f>
        <v>-3640</v>
      </c>
      <c r="CK196" s="1">
        <f t="array" ref="CK196">SUMPRODUCT($H196:$Y196,(TRANSPOSE(CK$2:CK$19)))</f>
        <v>0</v>
      </c>
      <c r="CL196" s="1">
        <f t="array" ref="CL196">SUMPRODUCT($H196:$Y196,(TRANSPOSE(CL$2:CL$19)))</f>
        <v>0</v>
      </c>
      <c r="CM196" s="1">
        <f t="array" ref="CM196">SUMPRODUCT($H196:$Y196,(TRANSPOSE(CM$2:CM$19)))</f>
        <v>0</v>
      </c>
      <c r="CN196" s="1">
        <f t="array" ref="CN196">SUMPRODUCT($H196:$Y196,(TRANSPOSE(CN$2:CN$19)))</f>
        <v>0</v>
      </c>
      <c r="CO196" s="1">
        <f t="array" ref="CO196">SUMPRODUCT($H196:$Y196,(TRANSPOSE(CO$2:CO$19)))</f>
        <v>40</v>
      </c>
      <c r="CP196" s="1">
        <f t="array" ref="CP196">SUMPRODUCT($H196:$Y196,(TRANSPOSE(CP$2:CP$19)))</f>
        <v>80</v>
      </c>
      <c r="CQ196" s="1">
        <f t="array" ref="CQ196">SUMPRODUCT($H196:$Y196,(TRANSPOSE(CQ$2:CQ$19)))</f>
        <v>120</v>
      </c>
      <c r="CR196" s="1">
        <f t="array" ref="CR196">SUMPRODUCT($H196:$Y196,(TRANSPOSE(CR$2:CR$19)))</f>
        <v>160</v>
      </c>
      <c r="CS196" s="1">
        <f t="array" ref="CS196">SUMPRODUCT($H196:$Y196,(TRANSPOSE(CS$2:CS$19)))</f>
        <v>200</v>
      </c>
      <c r="CT196" s="1">
        <f t="array" ref="CT196">SUMPRODUCT($H196:$Y196,(TRANSPOSE(CT$2:CT$19)))</f>
        <v>240</v>
      </c>
      <c r="CU196" s="1">
        <f t="array" ref="CU196">SUMPRODUCT($H196:$Y196,(TRANSPOSE(CU$2:CU$19)))</f>
        <v>280</v>
      </c>
      <c r="CV196" s="1">
        <f t="array" ref="CV196">SUMPRODUCT($H196:$Y196,(TRANSPOSE(CV$2:CV$19)))</f>
        <v>320</v>
      </c>
      <c r="CW196" s="1">
        <f t="array" ref="CW196">SUMPRODUCT($H196:$Y196,(TRANSPOSE(CW$2:CW$19)))</f>
        <v>360</v>
      </c>
      <c r="CX196" s="1">
        <f t="array" ref="CX196">SUMPRODUCT($H196:$Y196,(TRANSPOSE(CX$2:CX$19)))</f>
        <v>400</v>
      </c>
      <c r="CY196" s="1">
        <f t="array" ref="CY196">SUMPRODUCT($H196:$Y196,(TRANSPOSE(CY$2:CY$19)))</f>
        <v>440</v>
      </c>
      <c r="CZ196" s="1">
        <f t="array" ref="CZ196">SUMPRODUCT($H196:$Y196,(TRANSPOSE(CZ$2:CZ$19)))</f>
        <v>480</v>
      </c>
      <c r="DA196" s="1">
        <f t="array" ref="DA196">SUMPRODUCT($H196:$Y196,(TRANSPOSE(DA$2:DA$19)))</f>
        <v>520</v>
      </c>
      <c r="DB196" s="1">
        <f t="array" ref="DB196">SUMPRODUCT($H196:$Y196,(TRANSPOSE(DB$2:DB$19)))</f>
        <v>0</v>
      </c>
      <c r="DC196" s="1">
        <f t="array" ref="DC196">SUMPRODUCT($H196:$Y196,(TRANSPOSE(DC$2:DC$19)))</f>
        <v>0</v>
      </c>
      <c r="DD196" s="1">
        <f t="array" ref="DD196">SUMPRODUCT($H196:$Y196,(TRANSPOSE(DD$2:DD$19)))</f>
        <v>0</v>
      </c>
    </row>
    <row r="197" spans="1:108" x14ac:dyDescent="0.2">
      <c r="A197" s="1">
        <v>213</v>
      </c>
      <c r="B197" s="10" t="s">
        <v>413</v>
      </c>
      <c r="C197" s="1" t="s">
        <v>22</v>
      </c>
      <c r="D197" s="1">
        <v>402134268</v>
      </c>
      <c r="E197" s="1" t="s">
        <v>412</v>
      </c>
      <c r="F197" s="1" t="s">
        <v>411</v>
      </c>
      <c r="G197" s="1" t="s">
        <v>20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68</v>
      </c>
      <c r="U197" s="1">
        <v>0</v>
      </c>
      <c r="V197" s="1">
        <v>0</v>
      </c>
      <c r="W197" s="1">
        <v>0</v>
      </c>
      <c r="X197" s="1">
        <v>68</v>
      </c>
      <c r="Y197" s="1">
        <v>0</v>
      </c>
      <c r="Z197" s="1">
        <f>SUM(H197:Y197)</f>
        <v>136</v>
      </c>
      <c r="AA197" s="1">
        <f>SUMPRODUCT(H197:Y197,$H$16:$Y$16)</f>
        <v>123760</v>
      </c>
      <c r="AB197" s="1" t="s">
        <v>386</v>
      </c>
      <c r="AC197" s="1">
        <v>4.0000000000000001E-3</v>
      </c>
      <c r="AD197" s="9"/>
      <c r="AE197" s="1" t="s">
        <v>28</v>
      </c>
      <c r="AF197" s="1">
        <f>AC197</f>
        <v>4.0000000000000001E-3</v>
      </c>
      <c r="AG197" s="1">
        <v>5000</v>
      </c>
      <c r="AH197" s="1">
        <v>5000</v>
      </c>
      <c r="AI197" s="1" t="s">
        <v>82</v>
      </c>
      <c r="AK197" s="1" t="s">
        <v>89</v>
      </c>
      <c r="AL197" s="1" t="s">
        <v>88</v>
      </c>
      <c r="AM197" s="1" t="s">
        <v>87</v>
      </c>
      <c r="AN197" s="2" t="s">
        <v>86</v>
      </c>
      <c r="BO197" s="1">
        <f>SUM($AP197,$AQ197:AQ197)-SUM($CK197:CL197)</f>
        <v>0</v>
      </c>
      <c r="BP197" s="1">
        <f>SUM($AP197,$AQ197:AR197)-SUM($CK197:CM197)</f>
        <v>0</v>
      </c>
      <c r="BQ197" s="1">
        <f>SUM($AP197,$AQ197:AS197)-SUM($CK197:CN197)</f>
        <v>0</v>
      </c>
      <c r="BR197" s="1">
        <f>SUM($AP197,$AQ197:AT197)-SUM($CK197:CO197)</f>
        <v>-1360</v>
      </c>
      <c r="BS197" s="1">
        <f>SUM($AP197,$AQ197:AU197)-SUM($CK197:CP197)</f>
        <v>-4080</v>
      </c>
      <c r="BT197" s="1">
        <f>SUM($AP197,$AQ197:AV197)-SUM($CK197:CQ197)</f>
        <v>-8160</v>
      </c>
      <c r="BU197" s="1">
        <f>SUM($AP197,$AQ197:AW197)-SUM($CK197:CR197)</f>
        <v>-13600</v>
      </c>
      <c r="BV197" s="1">
        <f>SUM($AP197,$AQ197:AX197)-SUM($CK197:CS197)</f>
        <v>-20400</v>
      </c>
      <c r="BW197" s="1">
        <f>SUM($AP197,$AQ197:AY197)-SUM($CK197:CT197)</f>
        <v>-28560</v>
      </c>
      <c r="BX197" s="1">
        <f>SUM($AP197,$AQ197:AZ197)-SUM($CK197:CU197)</f>
        <v>-38080</v>
      </c>
      <c r="BY197" s="1">
        <f>SUM($AP197,$AQ197:BA197)-SUM($CK197:CV197)</f>
        <v>-48960</v>
      </c>
      <c r="BZ197" s="1">
        <f>SUM($AP197,$AQ197:BB197)-SUM($CK197:CW197)</f>
        <v>-61200</v>
      </c>
      <c r="CA197" s="1">
        <f>SUM($AP197,$AQ197:BC197)-SUM($CK197:CX197)</f>
        <v>-74800</v>
      </c>
      <c r="CB197" s="1">
        <f>SUM($AP197,$AQ197:BD197)-SUM($CK197:CY197)</f>
        <v>-89760</v>
      </c>
      <c r="CC197" s="1">
        <f>SUM($AP197,$AQ197:BE197)-SUM($CK197:CZ197)</f>
        <v>-106080</v>
      </c>
      <c r="CD197" s="1">
        <f>SUM($AP197,$AQ197:BF197)-SUM($CK197:DA197)</f>
        <v>-123760</v>
      </c>
      <c r="CE197" s="1">
        <f>SUM($AP197,$AQ197:BG197)-SUM($CK197:DB197)</f>
        <v>-123760</v>
      </c>
      <c r="CF197" s="1">
        <f>SUM($AP197,$AQ197:BH197)-SUM($CK197:DC197)</f>
        <v>-123760</v>
      </c>
      <c r="CG197" s="1">
        <f>SUM($AP197,$AQ197:BI197)-SUM($CK197:DD197)</f>
        <v>-123760</v>
      </c>
      <c r="CK197" s="1">
        <f t="array" ref="CK197">SUMPRODUCT($H197:$Y197,(TRANSPOSE(CK$2:CK$19)))</f>
        <v>0</v>
      </c>
      <c r="CL197" s="1">
        <f t="array" ref="CL197">SUMPRODUCT($H197:$Y197,(TRANSPOSE(CL$2:CL$19)))</f>
        <v>0</v>
      </c>
      <c r="CM197" s="1">
        <f t="array" ref="CM197">SUMPRODUCT($H197:$Y197,(TRANSPOSE(CM$2:CM$19)))</f>
        <v>0</v>
      </c>
      <c r="CN197" s="1">
        <f t="array" ref="CN197">SUMPRODUCT($H197:$Y197,(TRANSPOSE(CN$2:CN$19)))</f>
        <v>0</v>
      </c>
      <c r="CO197" s="1">
        <f t="array" ref="CO197">SUMPRODUCT($H197:$Y197,(TRANSPOSE(CO$2:CO$19)))</f>
        <v>1360</v>
      </c>
      <c r="CP197" s="1">
        <f t="array" ref="CP197">SUMPRODUCT($H197:$Y197,(TRANSPOSE(CP$2:CP$19)))</f>
        <v>2720</v>
      </c>
      <c r="CQ197" s="1">
        <f t="array" ref="CQ197">SUMPRODUCT($H197:$Y197,(TRANSPOSE(CQ$2:CQ$19)))</f>
        <v>4080</v>
      </c>
      <c r="CR197" s="1">
        <f t="array" ref="CR197">SUMPRODUCT($H197:$Y197,(TRANSPOSE(CR$2:CR$19)))</f>
        <v>5440</v>
      </c>
      <c r="CS197" s="1">
        <f t="array" ref="CS197">SUMPRODUCT($H197:$Y197,(TRANSPOSE(CS$2:CS$19)))</f>
        <v>6800</v>
      </c>
      <c r="CT197" s="1">
        <f t="array" ref="CT197">SUMPRODUCT($H197:$Y197,(TRANSPOSE(CT$2:CT$19)))</f>
        <v>8160</v>
      </c>
      <c r="CU197" s="1">
        <f t="array" ref="CU197">SUMPRODUCT($H197:$Y197,(TRANSPOSE(CU$2:CU$19)))</f>
        <v>9520</v>
      </c>
      <c r="CV197" s="1">
        <f t="array" ref="CV197">SUMPRODUCT($H197:$Y197,(TRANSPOSE(CV$2:CV$19)))</f>
        <v>10880</v>
      </c>
      <c r="CW197" s="1">
        <f t="array" ref="CW197">SUMPRODUCT($H197:$Y197,(TRANSPOSE(CW$2:CW$19)))</f>
        <v>12240</v>
      </c>
      <c r="CX197" s="1">
        <f t="array" ref="CX197">SUMPRODUCT($H197:$Y197,(TRANSPOSE(CX$2:CX$19)))</f>
        <v>13600</v>
      </c>
      <c r="CY197" s="1">
        <f t="array" ref="CY197">SUMPRODUCT($H197:$Y197,(TRANSPOSE(CY$2:CY$19)))</f>
        <v>14960</v>
      </c>
      <c r="CZ197" s="1">
        <f t="array" ref="CZ197">SUMPRODUCT($H197:$Y197,(TRANSPOSE(CZ$2:CZ$19)))</f>
        <v>16320</v>
      </c>
      <c r="DA197" s="1">
        <f t="array" ref="DA197">SUMPRODUCT($H197:$Y197,(TRANSPOSE(DA$2:DA$19)))</f>
        <v>17680</v>
      </c>
      <c r="DB197" s="1">
        <f t="array" ref="DB197">SUMPRODUCT($H197:$Y197,(TRANSPOSE(DB$2:DB$19)))</f>
        <v>0</v>
      </c>
      <c r="DC197" s="1">
        <f t="array" ref="DC197">SUMPRODUCT($H197:$Y197,(TRANSPOSE(DC$2:DC$19)))</f>
        <v>0</v>
      </c>
      <c r="DD197" s="1">
        <f t="array" ref="DD197">SUMPRODUCT($H197:$Y197,(TRANSPOSE(DD$2:DD$19)))</f>
        <v>0</v>
      </c>
    </row>
    <row r="198" spans="1:108" ht="13.5" thickBot="1" x14ac:dyDescent="0.25">
      <c r="A198" s="1">
        <v>214</v>
      </c>
      <c r="B198" s="10" t="s">
        <v>410</v>
      </c>
      <c r="C198" s="1" t="s">
        <v>22</v>
      </c>
      <c r="D198" s="1">
        <v>401468750</v>
      </c>
      <c r="E198" s="1" t="s">
        <v>409</v>
      </c>
      <c r="F198" s="1" t="s">
        <v>408</v>
      </c>
      <c r="G198" s="1" t="s">
        <v>20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48</v>
      </c>
      <c r="V198" s="1">
        <v>0</v>
      </c>
      <c r="W198" s="1">
        <v>0</v>
      </c>
      <c r="X198" s="1">
        <v>0</v>
      </c>
      <c r="Y198" s="1">
        <v>48</v>
      </c>
      <c r="Z198" s="1">
        <f>SUM(H198:Y198)</f>
        <v>96</v>
      </c>
      <c r="AA198" s="1">
        <f>SUMPRODUCT(H198:Y198,$H$16:$Y$16)</f>
        <v>87360</v>
      </c>
      <c r="AB198" s="1" t="s">
        <v>386</v>
      </c>
      <c r="AC198" s="1">
        <v>4.0000000000000001E-3</v>
      </c>
      <c r="AD198" s="9"/>
      <c r="AE198" s="1" t="s">
        <v>28</v>
      </c>
      <c r="AF198" s="1">
        <f>AC198</f>
        <v>4.0000000000000001E-3</v>
      </c>
      <c r="AG198" s="1">
        <v>5000</v>
      </c>
      <c r="AH198" s="1">
        <v>5000</v>
      </c>
      <c r="AI198" s="1" t="s">
        <v>82</v>
      </c>
      <c r="AK198" s="1" t="s">
        <v>89</v>
      </c>
      <c r="AL198" s="1" t="s">
        <v>88</v>
      </c>
      <c r="AM198" s="1" t="s">
        <v>87</v>
      </c>
      <c r="AN198" s="2" t="s">
        <v>86</v>
      </c>
      <c r="BO198" s="1">
        <f>SUM($AP198,$AQ198:AQ198)-SUM($CK198:CL198)</f>
        <v>0</v>
      </c>
      <c r="BP198" s="1">
        <f>SUM($AP198,$AQ198:AR198)-SUM($CK198:CM198)</f>
        <v>0</v>
      </c>
      <c r="BQ198" s="1">
        <f>SUM($AP198,$AQ198:AS198)-SUM($CK198:CN198)</f>
        <v>0</v>
      </c>
      <c r="BR198" s="1">
        <f>SUM($AP198,$AQ198:AT198)-SUM($CK198:CO198)</f>
        <v>-960</v>
      </c>
      <c r="BS198" s="1">
        <f>SUM($AP198,$AQ198:AU198)-SUM($CK198:CP198)</f>
        <v>-2880</v>
      </c>
      <c r="BT198" s="1">
        <f>SUM($AP198,$AQ198:AV198)-SUM($CK198:CQ198)</f>
        <v>-5760</v>
      </c>
      <c r="BU198" s="1">
        <f>SUM($AP198,$AQ198:AW198)-SUM($CK198:CR198)</f>
        <v>-9600</v>
      </c>
      <c r="BV198" s="1">
        <f>SUM($AP198,$AQ198:AX198)-SUM($CK198:CS198)</f>
        <v>-14400</v>
      </c>
      <c r="BW198" s="1">
        <f>SUM($AP198,$AQ198:AY198)-SUM($CK198:CT198)</f>
        <v>-20160</v>
      </c>
      <c r="BX198" s="1">
        <f>SUM($AP198,$AQ198:AZ198)-SUM($CK198:CU198)</f>
        <v>-26880</v>
      </c>
      <c r="BY198" s="1">
        <f>SUM($AP198,$AQ198:BA198)-SUM($CK198:CV198)</f>
        <v>-34560</v>
      </c>
      <c r="BZ198" s="1">
        <f>SUM($AP198,$AQ198:BB198)-SUM($CK198:CW198)</f>
        <v>-43200</v>
      </c>
      <c r="CA198" s="1">
        <f>SUM($AP198,$AQ198:BC198)-SUM($CK198:CX198)</f>
        <v>-52800</v>
      </c>
      <c r="CB198" s="1">
        <f>SUM($AP198,$AQ198:BD198)-SUM($CK198:CY198)</f>
        <v>-63360</v>
      </c>
      <c r="CC198" s="1">
        <f>SUM($AP198,$AQ198:BE198)-SUM($CK198:CZ198)</f>
        <v>-74880</v>
      </c>
      <c r="CD198" s="1">
        <f>SUM($AP198,$AQ198:BF198)-SUM($CK198:DA198)</f>
        <v>-87360</v>
      </c>
      <c r="CE198" s="1">
        <f>SUM($AP198,$AQ198:BG198)-SUM($CK198:DB198)</f>
        <v>-87360</v>
      </c>
      <c r="CF198" s="1">
        <f>SUM($AP198,$AQ198:BH198)-SUM($CK198:DC198)</f>
        <v>-87360</v>
      </c>
      <c r="CG198" s="1">
        <f>SUM($AP198,$AQ198:BI198)-SUM($CK198:DD198)</f>
        <v>-87360</v>
      </c>
      <c r="CK198" s="1">
        <f t="array" ref="CK198">SUMPRODUCT($H198:$Y198,(TRANSPOSE(CK$2:CK$19)))</f>
        <v>0</v>
      </c>
      <c r="CL198" s="1">
        <f t="array" ref="CL198">SUMPRODUCT($H198:$Y198,(TRANSPOSE(CL$2:CL$19)))</f>
        <v>0</v>
      </c>
      <c r="CM198" s="1">
        <f t="array" ref="CM198">SUMPRODUCT($H198:$Y198,(TRANSPOSE(CM$2:CM$19)))</f>
        <v>0</v>
      </c>
      <c r="CN198" s="1">
        <f t="array" ref="CN198">SUMPRODUCT($H198:$Y198,(TRANSPOSE(CN$2:CN$19)))</f>
        <v>0</v>
      </c>
      <c r="CO198" s="1">
        <f t="array" ref="CO198">SUMPRODUCT($H198:$Y198,(TRANSPOSE(CO$2:CO$19)))</f>
        <v>960</v>
      </c>
      <c r="CP198" s="1">
        <f t="array" ref="CP198">SUMPRODUCT($H198:$Y198,(TRANSPOSE(CP$2:CP$19)))</f>
        <v>1920</v>
      </c>
      <c r="CQ198" s="1">
        <f t="array" ref="CQ198">SUMPRODUCT($H198:$Y198,(TRANSPOSE(CQ$2:CQ$19)))</f>
        <v>2880</v>
      </c>
      <c r="CR198" s="1">
        <f t="array" ref="CR198">SUMPRODUCT($H198:$Y198,(TRANSPOSE(CR$2:CR$19)))</f>
        <v>3840</v>
      </c>
      <c r="CS198" s="1">
        <f t="array" ref="CS198">SUMPRODUCT($H198:$Y198,(TRANSPOSE(CS$2:CS$19)))</f>
        <v>4800</v>
      </c>
      <c r="CT198" s="1">
        <f t="array" ref="CT198">SUMPRODUCT($H198:$Y198,(TRANSPOSE(CT$2:CT$19)))</f>
        <v>5760</v>
      </c>
      <c r="CU198" s="1">
        <f t="array" ref="CU198">SUMPRODUCT($H198:$Y198,(TRANSPOSE(CU$2:CU$19)))</f>
        <v>6720</v>
      </c>
      <c r="CV198" s="1">
        <f t="array" ref="CV198">SUMPRODUCT($H198:$Y198,(TRANSPOSE(CV$2:CV$19)))</f>
        <v>7680</v>
      </c>
      <c r="CW198" s="1">
        <f t="array" ref="CW198">SUMPRODUCT($H198:$Y198,(TRANSPOSE(CW$2:CW$19)))</f>
        <v>8640</v>
      </c>
      <c r="CX198" s="1">
        <f t="array" ref="CX198">SUMPRODUCT($H198:$Y198,(TRANSPOSE(CX$2:CX$19)))</f>
        <v>9600</v>
      </c>
      <c r="CY198" s="1">
        <f t="array" ref="CY198">SUMPRODUCT($H198:$Y198,(TRANSPOSE(CY$2:CY$19)))</f>
        <v>10560</v>
      </c>
      <c r="CZ198" s="1">
        <f t="array" ref="CZ198">SUMPRODUCT($H198:$Y198,(TRANSPOSE(CZ$2:CZ$19)))</f>
        <v>11520</v>
      </c>
      <c r="DA198" s="1">
        <f t="array" ref="DA198">SUMPRODUCT($H198:$Y198,(TRANSPOSE(DA$2:DA$19)))</f>
        <v>12480</v>
      </c>
      <c r="DB198" s="1">
        <f t="array" ref="DB198">SUMPRODUCT($H198:$Y198,(TRANSPOSE(DB$2:DB$19)))</f>
        <v>0</v>
      </c>
      <c r="DC198" s="1">
        <f t="array" ref="DC198">SUMPRODUCT($H198:$Y198,(TRANSPOSE(DC$2:DC$19)))</f>
        <v>0</v>
      </c>
      <c r="DD198" s="1">
        <f t="array" ref="DD198">SUMPRODUCT($H198:$Y198,(TRANSPOSE(DD$2:DD$19)))</f>
        <v>0</v>
      </c>
    </row>
    <row r="199" spans="1:108" ht="13.5" thickBot="1" x14ac:dyDescent="0.25">
      <c r="A199" s="1">
        <v>215</v>
      </c>
      <c r="B199" s="10" t="s">
        <v>407</v>
      </c>
      <c r="C199" s="1" t="s">
        <v>22</v>
      </c>
      <c r="D199" s="1">
        <v>400265792</v>
      </c>
      <c r="E199" s="1" t="s">
        <v>406</v>
      </c>
      <c r="F199" s="1" t="s">
        <v>405</v>
      </c>
      <c r="G199" s="1" t="s">
        <v>20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2</v>
      </c>
      <c r="U199" s="1">
        <v>0</v>
      </c>
      <c r="V199" s="1">
        <v>0</v>
      </c>
      <c r="W199" s="1">
        <v>0</v>
      </c>
      <c r="X199" s="1">
        <v>2</v>
      </c>
      <c r="Y199" s="1">
        <v>0</v>
      </c>
      <c r="Z199" s="1">
        <f>SUM(H199:Y199)</f>
        <v>4</v>
      </c>
      <c r="AA199" s="1">
        <f>SUMPRODUCT(H199:Y199,$H$16:$Y$16)</f>
        <v>3640</v>
      </c>
      <c r="AB199" s="11" t="s">
        <v>386</v>
      </c>
      <c r="AC199" s="1">
        <v>4.0000000000000001E-3</v>
      </c>
      <c r="AD199" s="9"/>
      <c r="AE199" s="1" t="s">
        <v>28</v>
      </c>
      <c r="AF199" s="1">
        <f>AC199</f>
        <v>4.0000000000000001E-3</v>
      </c>
      <c r="AG199" s="1">
        <v>5000</v>
      </c>
      <c r="AH199" s="1">
        <v>5000</v>
      </c>
      <c r="AI199" s="1" t="s">
        <v>82</v>
      </c>
      <c r="AK199" s="1" t="s">
        <v>89</v>
      </c>
      <c r="AL199" s="1" t="s">
        <v>88</v>
      </c>
      <c r="AM199" s="1" t="s">
        <v>87</v>
      </c>
      <c r="AN199" s="2" t="s">
        <v>86</v>
      </c>
      <c r="BO199" s="1">
        <f>SUM($AP199,$AQ199:AQ199)-SUM($CK199:CL199)</f>
        <v>0</v>
      </c>
      <c r="BP199" s="1">
        <f>SUM($AP199,$AQ199:AR199)-SUM($CK199:CM199)</f>
        <v>0</v>
      </c>
      <c r="BQ199" s="1">
        <f>SUM($AP199,$AQ199:AS199)-SUM($CK199:CN199)</f>
        <v>0</v>
      </c>
      <c r="BR199" s="1">
        <f>SUM($AP199,$AQ199:AT199)-SUM($CK199:CO199)</f>
        <v>-40</v>
      </c>
      <c r="BS199" s="1">
        <f>SUM($AP199,$AQ199:AU199)-SUM($CK199:CP199)</f>
        <v>-120</v>
      </c>
      <c r="BT199" s="1">
        <f>SUM($AP199,$AQ199:AV199)-SUM($CK199:CQ199)</f>
        <v>-240</v>
      </c>
      <c r="BU199" s="1">
        <f>SUM($AP199,$AQ199:AW199)-SUM($CK199:CR199)</f>
        <v>-400</v>
      </c>
      <c r="BV199" s="1">
        <f>SUM($AP199,$AQ199:AX199)-SUM($CK199:CS199)</f>
        <v>-600</v>
      </c>
      <c r="BW199" s="1">
        <f>SUM($AP199,$AQ199:AY199)-SUM($CK199:CT199)</f>
        <v>-840</v>
      </c>
      <c r="BX199" s="1">
        <f>SUM($AP199,$AQ199:AZ199)-SUM($CK199:CU199)</f>
        <v>-1120</v>
      </c>
      <c r="BY199" s="1">
        <f>SUM($AP199,$AQ199:BA199)-SUM($CK199:CV199)</f>
        <v>-1440</v>
      </c>
      <c r="BZ199" s="1">
        <f>SUM($AP199,$AQ199:BB199)-SUM($CK199:CW199)</f>
        <v>-1800</v>
      </c>
      <c r="CA199" s="1">
        <f>SUM($AP199,$AQ199:BC199)-SUM($CK199:CX199)</f>
        <v>-2200</v>
      </c>
      <c r="CB199" s="1">
        <f>SUM($AP199,$AQ199:BD199)-SUM($CK199:CY199)</f>
        <v>-2640</v>
      </c>
      <c r="CC199" s="1">
        <f>SUM($AP199,$AQ199:BE199)-SUM($CK199:CZ199)</f>
        <v>-3120</v>
      </c>
      <c r="CD199" s="1">
        <f>SUM($AP199,$AQ199:BF199)-SUM($CK199:DA199)</f>
        <v>-3640</v>
      </c>
      <c r="CE199" s="1">
        <f>SUM($AP199,$AQ199:BG199)-SUM($CK199:DB199)</f>
        <v>-3640</v>
      </c>
      <c r="CF199" s="1">
        <f>SUM($AP199,$AQ199:BH199)-SUM($CK199:DC199)</f>
        <v>-3640</v>
      </c>
      <c r="CG199" s="1">
        <f>SUM($AP199,$AQ199:BI199)-SUM($CK199:DD199)</f>
        <v>-3640</v>
      </c>
      <c r="CK199" s="1">
        <f t="array" ref="CK199">SUMPRODUCT($H199:$Y199,(TRANSPOSE(CK$2:CK$19)))</f>
        <v>0</v>
      </c>
      <c r="CL199" s="1">
        <f t="array" ref="CL199">SUMPRODUCT($H199:$Y199,(TRANSPOSE(CL$2:CL$19)))</f>
        <v>0</v>
      </c>
      <c r="CM199" s="1">
        <f t="array" ref="CM199">SUMPRODUCT($H199:$Y199,(TRANSPOSE(CM$2:CM$19)))</f>
        <v>0</v>
      </c>
      <c r="CN199" s="1">
        <f t="array" ref="CN199">SUMPRODUCT($H199:$Y199,(TRANSPOSE(CN$2:CN$19)))</f>
        <v>0</v>
      </c>
      <c r="CO199" s="1">
        <f t="array" ref="CO199">SUMPRODUCT($H199:$Y199,(TRANSPOSE(CO$2:CO$19)))</f>
        <v>40</v>
      </c>
      <c r="CP199" s="1">
        <f t="array" ref="CP199">SUMPRODUCT($H199:$Y199,(TRANSPOSE(CP$2:CP$19)))</f>
        <v>80</v>
      </c>
      <c r="CQ199" s="1">
        <f t="array" ref="CQ199">SUMPRODUCT($H199:$Y199,(TRANSPOSE(CQ$2:CQ$19)))</f>
        <v>120</v>
      </c>
      <c r="CR199" s="1">
        <f t="array" ref="CR199">SUMPRODUCT($H199:$Y199,(TRANSPOSE(CR$2:CR$19)))</f>
        <v>160</v>
      </c>
      <c r="CS199" s="1">
        <f t="array" ref="CS199">SUMPRODUCT($H199:$Y199,(TRANSPOSE(CS$2:CS$19)))</f>
        <v>200</v>
      </c>
      <c r="CT199" s="1">
        <f t="array" ref="CT199">SUMPRODUCT($H199:$Y199,(TRANSPOSE(CT$2:CT$19)))</f>
        <v>240</v>
      </c>
      <c r="CU199" s="1">
        <f t="array" ref="CU199">SUMPRODUCT($H199:$Y199,(TRANSPOSE(CU$2:CU$19)))</f>
        <v>280</v>
      </c>
      <c r="CV199" s="1">
        <f t="array" ref="CV199">SUMPRODUCT($H199:$Y199,(TRANSPOSE(CV$2:CV$19)))</f>
        <v>320</v>
      </c>
      <c r="CW199" s="1">
        <f t="array" ref="CW199">SUMPRODUCT($H199:$Y199,(TRANSPOSE(CW$2:CW$19)))</f>
        <v>360</v>
      </c>
      <c r="CX199" s="1">
        <f t="array" ref="CX199">SUMPRODUCT($H199:$Y199,(TRANSPOSE(CX$2:CX$19)))</f>
        <v>400</v>
      </c>
      <c r="CY199" s="1">
        <f t="array" ref="CY199">SUMPRODUCT($H199:$Y199,(TRANSPOSE(CY$2:CY$19)))</f>
        <v>440</v>
      </c>
      <c r="CZ199" s="1">
        <f t="array" ref="CZ199">SUMPRODUCT($H199:$Y199,(TRANSPOSE(CZ$2:CZ$19)))</f>
        <v>480</v>
      </c>
      <c r="DA199" s="1">
        <f t="array" ref="DA199">SUMPRODUCT($H199:$Y199,(TRANSPOSE(DA$2:DA$19)))</f>
        <v>520</v>
      </c>
      <c r="DB199" s="1">
        <f t="array" ref="DB199">SUMPRODUCT($H199:$Y199,(TRANSPOSE(DB$2:DB$19)))</f>
        <v>0</v>
      </c>
      <c r="DC199" s="1">
        <f t="array" ref="DC199">SUMPRODUCT($H199:$Y199,(TRANSPOSE(DC$2:DC$19)))</f>
        <v>0</v>
      </c>
      <c r="DD199" s="1">
        <f t="array" ref="DD199">SUMPRODUCT($H199:$Y199,(TRANSPOSE(DD$2:DD$19)))</f>
        <v>0</v>
      </c>
    </row>
    <row r="200" spans="1:108" ht="13.5" thickBot="1" x14ac:dyDescent="0.25">
      <c r="A200" s="1">
        <v>216</v>
      </c>
      <c r="B200" s="10" t="s">
        <v>404</v>
      </c>
      <c r="C200" s="1" t="s">
        <v>22</v>
      </c>
      <c r="D200" s="1">
        <v>400265809</v>
      </c>
      <c r="E200" s="1" t="s">
        <v>403</v>
      </c>
      <c r="F200" s="1" t="s">
        <v>402</v>
      </c>
      <c r="G200" s="1" t="s">
        <v>20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12</v>
      </c>
      <c r="U200" s="1">
        <v>0</v>
      </c>
      <c r="V200" s="1">
        <v>0</v>
      </c>
      <c r="W200" s="1">
        <v>0</v>
      </c>
      <c r="X200" s="1">
        <v>12</v>
      </c>
      <c r="Y200" s="1">
        <v>0</v>
      </c>
      <c r="Z200" s="1">
        <f>SUM(H200:Y200)</f>
        <v>24</v>
      </c>
      <c r="AA200" s="1">
        <f>SUMPRODUCT(H200:Y200,$H$16:$Y$16)</f>
        <v>21840</v>
      </c>
      <c r="AB200" s="1" t="s">
        <v>386</v>
      </c>
      <c r="AC200" s="1">
        <v>4.0000000000000001E-3</v>
      </c>
      <c r="AD200" s="9"/>
      <c r="AE200" s="1" t="s">
        <v>28</v>
      </c>
      <c r="AF200" s="1">
        <f>AC200</f>
        <v>4.0000000000000001E-3</v>
      </c>
      <c r="AG200" s="1">
        <v>5000</v>
      </c>
      <c r="AH200" s="1">
        <v>5000</v>
      </c>
      <c r="AI200" s="1" t="s">
        <v>82</v>
      </c>
      <c r="AK200" s="1" t="s">
        <v>89</v>
      </c>
      <c r="AL200" s="1" t="s">
        <v>88</v>
      </c>
      <c r="AM200" s="1" t="s">
        <v>87</v>
      </c>
      <c r="AN200" s="2" t="s">
        <v>86</v>
      </c>
      <c r="BO200" s="1">
        <f>SUM($AP200,$AQ200:AQ200)-SUM($CK200:CL200)</f>
        <v>0</v>
      </c>
      <c r="BP200" s="1">
        <f>SUM($AP200,$AQ200:AR200)-SUM($CK200:CM200)</f>
        <v>0</v>
      </c>
      <c r="BQ200" s="1">
        <f>SUM($AP200,$AQ200:AS200)-SUM($CK200:CN200)</f>
        <v>0</v>
      </c>
      <c r="BR200" s="1">
        <f>SUM($AP200,$AQ200:AT200)-SUM($CK200:CO200)</f>
        <v>-240</v>
      </c>
      <c r="BS200" s="1">
        <f>SUM($AP200,$AQ200:AU200)-SUM($CK200:CP200)</f>
        <v>-720</v>
      </c>
      <c r="BT200" s="1">
        <f>SUM($AP200,$AQ200:AV200)-SUM($CK200:CQ200)</f>
        <v>-1440</v>
      </c>
      <c r="BU200" s="1">
        <f>SUM($AP200,$AQ200:AW200)-SUM($CK200:CR200)</f>
        <v>-2400</v>
      </c>
      <c r="BV200" s="1">
        <f>SUM($AP200,$AQ200:AX200)-SUM($CK200:CS200)</f>
        <v>-3600</v>
      </c>
      <c r="BW200" s="1">
        <f>SUM($AP200,$AQ200:AY200)-SUM($CK200:CT200)</f>
        <v>-5040</v>
      </c>
      <c r="BX200" s="1">
        <f>SUM($AP200,$AQ200:AZ200)-SUM($CK200:CU200)</f>
        <v>-6720</v>
      </c>
      <c r="BY200" s="1">
        <f>SUM($AP200,$AQ200:BA200)-SUM($CK200:CV200)</f>
        <v>-8640</v>
      </c>
      <c r="BZ200" s="1">
        <f>SUM($AP200,$AQ200:BB200)-SUM($CK200:CW200)</f>
        <v>-10800</v>
      </c>
      <c r="CA200" s="1">
        <f>SUM($AP200,$AQ200:BC200)-SUM($CK200:CX200)</f>
        <v>-13200</v>
      </c>
      <c r="CB200" s="1">
        <f>SUM($AP200,$AQ200:BD200)-SUM($CK200:CY200)</f>
        <v>-15840</v>
      </c>
      <c r="CC200" s="1">
        <f>SUM($AP200,$AQ200:BE200)-SUM($CK200:CZ200)</f>
        <v>-18720</v>
      </c>
      <c r="CD200" s="1">
        <f>SUM($AP200,$AQ200:BF200)-SUM($CK200:DA200)</f>
        <v>-21840</v>
      </c>
      <c r="CE200" s="1">
        <f>SUM($AP200,$AQ200:BG200)-SUM($CK200:DB200)</f>
        <v>-21840</v>
      </c>
      <c r="CF200" s="1">
        <f>SUM($AP200,$AQ200:BH200)-SUM($CK200:DC200)</f>
        <v>-21840</v>
      </c>
      <c r="CG200" s="1">
        <f>SUM($AP200,$AQ200:BI200)-SUM($CK200:DD200)</f>
        <v>-21840</v>
      </c>
      <c r="CK200" s="1">
        <f t="array" ref="CK200">SUMPRODUCT($H200:$Y200,(TRANSPOSE(CK$2:CK$19)))</f>
        <v>0</v>
      </c>
      <c r="CL200" s="1">
        <f t="array" ref="CL200">SUMPRODUCT($H200:$Y200,(TRANSPOSE(CL$2:CL$19)))</f>
        <v>0</v>
      </c>
      <c r="CM200" s="1">
        <f t="array" ref="CM200">SUMPRODUCT($H200:$Y200,(TRANSPOSE(CM$2:CM$19)))</f>
        <v>0</v>
      </c>
      <c r="CN200" s="1">
        <f t="array" ref="CN200">SUMPRODUCT($H200:$Y200,(TRANSPOSE(CN$2:CN$19)))</f>
        <v>0</v>
      </c>
      <c r="CO200" s="1">
        <f t="array" ref="CO200">SUMPRODUCT($H200:$Y200,(TRANSPOSE(CO$2:CO$19)))</f>
        <v>240</v>
      </c>
      <c r="CP200" s="1">
        <f t="array" ref="CP200">SUMPRODUCT($H200:$Y200,(TRANSPOSE(CP$2:CP$19)))</f>
        <v>480</v>
      </c>
      <c r="CQ200" s="1">
        <f t="array" ref="CQ200">SUMPRODUCT($H200:$Y200,(TRANSPOSE(CQ$2:CQ$19)))</f>
        <v>720</v>
      </c>
      <c r="CR200" s="1">
        <f t="array" ref="CR200">SUMPRODUCT($H200:$Y200,(TRANSPOSE(CR$2:CR$19)))</f>
        <v>960</v>
      </c>
      <c r="CS200" s="1">
        <f t="array" ref="CS200">SUMPRODUCT($H200:$Y200,(TRANSPOSE(CS$2:CS$19)))</f>
        <v>1200</v>
      </c>
      <c r="CT200" s="1">
        <f t="array" ref="CT200">SUMPRODUCT($H200:$Y200,(TRANSPOSE(CT$2:CT$19)))</f>
        <v>1440</v>
      </c>
      <c r="CU200" s="1">
        <f t="array" ref="CU200">SUMPRODUCT($H200:$Y200,(TRANSPOSE(CU$2:CU$19)))</f>
        <v>1680</v>
      </c>
      <c r="CV200" s="1">
        <f t="array" ref="CV200">SUMPRODUCT($H200:$Y200,(TRANSPOSE(CV$2:CV$19)))</f>
        <v>1920</v>
      </c>
      <c r="CW200" s="1">
        <f t="array" ref="CW200">SUMPRODUCT($H200:$Y200,(TRANSPOSE(CW$2:CW$19)))</f>
        <v>2160</v>
      </c>
      <c r="CX200" s="1">
        <f t="array" ref="CX200">SUMPRODUCT($H200:$Y200,(TRANSPOSE(CX$2:CX$19)))</f>
        <v>2400</v>
      </c>
      <c r="CY200" s="1">
        <f t="array" ref="CY200">SUMPRODUCT($H200:$Y200,(TRANSPOSE(CY$2:CY$19)))</f>
        <v>2640</v>
      </c>
      <c r="CZ200" s="1">
        <f t="array" ref="CZ200">SUMPRODUCT($H200:$Y200,(TRANSPOSE(CZ$2:CZ$19)))</f>
        <v>2880</v>
      </c>
      <c r="DA200" s="1">
        <f t="array" ref="DA200">SUMPRODUCT($H200:$Y200,(TRANSPOSE(DA$2:DA$19)))</f>
        <v>3120</v>
      </c>
      <c r="DB200" s="1">
        <f t="array" ref="DB200">SUMPRODUCT($H200:$Y200,(TRANSPOSE(DB$2:DB$19)))</f>
        <v>0</v>
      </c>
      <c r="DC200" s="1">
        <f t="array" ref="DC200">SUMPRODUCT($H200:$Y200,(TRANSPOSE(DC$2:DC$19)))</f>
        <v>0</v>
      </c>
      <c r="DD200" s="1">
        <f t="array" ref="DD200">SUMPRODUCT($H200:$Y200,(TRANSPOSE(DD$2:DD$19)))</f>
        <v>0</v>
      </c>
    </row>
    <row r="201" spans="1:108" ht="13.5" thickBot="1" x14ac:dyDescent="0.25">
      <c r="A201" s="1">
        <v>217</v>
      </c>
      <c r="B201" s="10" t="s">
        <v>401</v>
      </c>
      <c r="C201" s="1" t="s">
        <v>22</v>
      </c>
      <c r="D201" s="1">
        <v>408369023</v>
      </c>
      <c r="E201" s="1" t="s">
        <v>400</v>
      </c>
      <c r="F201" s="1" t="s">
        <v>399</v>
      </c>
      <c r="G201" s="1" t="s">
        <v>20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12</v>
      </c>
      <c r="U201" s="1">
        <v>0</v>
      </c>
      <c r="V201" s="1">
        <v>0</v>
      </c>
      <c r="W201" s="1">
        <v>0</v>
      </c>
      <c r="X201" s="1">
        <v>12</v>
      </c>
      <c r="Y201" s="1">
        <v>0</v>
      </c>
      <c r="Z201" s="1">
        <f>SUM(H201:Y201)</f>
        <v>24</v>
      </c>
      <c r="AA201" s="1">
        <f>SUMPRODUCT(H201:Y201,$H$16:$Y$16)</f>
        <v>21840</v>
      </c>
      <c r="AB201" s="11" t="s">
        <v>386</v>
      </c>
      <c r="AC201" s="1">
        <v>4.0000000000000001E-3</v>
      </c>
      <c r="AD201" s="9"/>
      <c r="AE201" s="1" t="s">
        <v>28</v>
      </c>
      <c r="AF201" s="1">
        <f>AC201</f>
        <v>4.0000000000000001E-3</v>
      </c>
      <c r="AG201" s="1">
        <v>5000</v>
      </c>
      <c r="AH201" s="1">
        <v>5000</v>
      </c>
      <c r="AI201" s="1" t="s">
        <v>82</v>
      </c>
      <c r="AK201" s="1" t="s">
        <v>89</v>
      </c>
      <c r="AL201" s="1" t="s">
        <v>88</v>
      </c>
      <c r="AM201" s="1" t="s">
        <v>87</v>
      </c>
      <c r="AN201" s="2" t="s">
        <v>86</v>
      </c>
      <c r="BO201" s="1">
        <f>SUM($AP201,$AQ201:AQ201)-SUM($CK201:CL201)</f>
        <v>0</v>
      </c>
      <c r="BP201" s="1">
        <f>SUM($AP201,$AQ201:AR201)-SUM($CK201:CM201)</f>
        <v>0</v>
      </c>
      <c r="BQ201" s="1">
        <f>SUM($AP201,$AQ201:AS201)-SUM($CK201:CN201)</f>
        <v>0</v>
      </c>
      <c r="BR201" s="1">
        <f>SUM($AP201,$AQ201:AT201)-SUM($CK201:CO201)</f>
        <v>-240</v>
      </c>
      <c r="BS201" s="1">
        <f>SUM($AP201,$AQ201:AU201)-SUM($CK201:CP201)</f>
        <v>-720</v>
      </c>
      <c r="BT201" s="1">
        <f>SUM($AP201,$AQ201:AV201)-SUM($CK201:CQ201)</f>
        <v>-1440</v>
      </c>
      <c r="BU201" s="1">
        <f>SUM($AP201,$AQ201:AW201)-SUM($CK201:CR201)</f>
        <v>-2400</v>
      </c>
      <c r="BV201" s="1">
        <f>SUM($AP201,$AQ201:AX201)-SUM($CK201:CS201)</f>
        <v>-3600</v>
      </c>
      <c r="BW201" s="1">
        <f>SUM($AP201,$AQ201:AY201)-SUM($CK201:CT201)</f>
        <v>-5040</v>
      </c>
      <c r="BX201" s="1">
        <f>SUM($AP201,$AQ201:AZ201)-SUM($CK201:CU201)</f>
        <v>-6720</v>
      </c>
      <c r="BY201" s="1">
        <f>SUM($AP201,$AQ201:BA201)-SUM($CK201:CV201)</f>
        <v>-8640</v>
      </c>
      <c r="BZ201" s="1">
        <f>SUM($AP201,$AQ201:BB201)-SUM($CK201:CW201)</f>
        <v>-10800</v>
      </c>
      <c r="CA201" s="1">
        <f>SUM($AP201,$AQ201:BC201)-SUM($CK201:CX201)</f>
        <v>-13200</v>
      </c>
      <c r="CB201" s="1">
        <f>SUM($AP201,$AQ201:BD201)-SUM($CK201:CY201)</f>
        <v>-15840</v>
      </c>
      <c r="CC201" s="1">
        <f>SUM($AP201,$AQ201:BE201)-SUM($CK201:CZ201)</f>
        <v>-18720</v>
      </c>
      <c r="CD201" s="1">
        <f>SUM($AP201,$AQ201:BF201)-SUM($CK201:DA201)</f>
        <v>-21840</v>
      </c>
      <c r="CE201" s="1">
        <f>SUM($AP201,$AQ201:BG201)-SUM($CK201:DB201)</f>
        <v>-21840</v>
      </c>
      <c r="CF201" s="1">
        <f>SUM($AP201,$AQ201:BH201)-SUM($CK201:DC201)</f>
        <v>-21840</v>
      </c>
      <c r="CG201" s="1">
        <f>SUM($AP201,$AQ201:BI201)-SUM($CK201:DD201)</f>
        <v>-21840</v>
      </c>
      <c r="CK201" s="1">
        <f t="array" ref="CK201">SUMPRODUCT($H201:$Y201,(TRANSPOSE(CK$2:CK$19)))</f>
        <v>0</v>
      </c>
      <c r="CL201" s="1">
        <f t="array" ref="CL201">SUMPRODUCT($H201:$Y201,(TRANSPOSE(CL$2:CL$19)))</f>
        <v>0</v>
      </c>
      <c r="CM201" s="1">
        <f t="array" ref="CM201">SUMPRODUCT($H201:$Y201,(TRANSPOSE(CM$2:CM$19)))</f>
        <v>0</v>
      </c>
      <c r="CN201" s="1">
        <f t="array" ref="CN201">SUMPRODUCT($H201:$Y201,(TRANSPOSE(CN$2:CN$19)))</f>
        <v>0</v>
      </c>
      <c r="CO201" s="1">
        <f t="array" ref="CO201">SUMPRODUCT($H201:$Y201,(TRANSPOSE(CO$2:CO$19)))</f>
        <v>240</v>
      </c>
      <c r="CP201" s="1">
        <f t="array" ref="CP201">SUMPRODUCT($H201:$Y201,(TRANSPOSE(CP$2:CP$19)))</f>
        <v>480</v>
      </c>
      <c r="CQ201" s="1">
        <f t="array" ref="CQ201">SUMPRODUCT($H201:$Y201,(TRANSPOSE(CQ$2:CQ$19)))</f>
        <v>720</v>
      </c>
      <c r="CR201" s="1">
        <f t="array" ref="CR201">SUMPRODUCT($H201:$Y201,(TRANSPOSE(CR$2:CR$19)))</f>
        <v>960</v>
      </c>
      <c r="CS201" s="1">
        <f t="array" ref="CS201">SUMPRODUCT($H201:$Y201,(TRANSPOSE(CS$2:CS$19)))</f>
        <v>1200</v>
      </c>
      <c r="CT201" s="1">
        <f t="array" ref="CT201">SUMPRODUCT($H201:$Y201,(TRANSPOSE(CT$2:CT$19)))</f>
        <v>1440</v>
      </c>
      <c r="CU201" s="1">
        <f t="array" ref="CU201">SUMPRODUCT($H201:$Y201,(TRANSPOSE(CU$2:CU$19)))</f>
        <v>1680</v>
      </c>
      <c r="CV201" s="1">
        <f t="array" ref="CV201">SUMPRODUCT($H201:$Y201,(TRANSPOSE(CV$2:CV$19)))</f>
        <v>1920</v>
      </c>
      <c r="CW201" s="1">
        <f t="array" ref="CW201">SUMPRODUCT($H201:$Y201,(TRANSPOSE(CW$2:CW$19)))</f>
        <v>2160</v>
      </c>
      <c r="CX201" s="1">
        <f t="array" ref="CX201">SUMPRODUCT($H201:$Y201,(TRANSPOSE(CX$2:CX$19)))</f>
        <v>2400</v>
      </c>
      <c r="CY201" s="1">
        <f t="array" ref="CY201">SUMPRODUCT($H201:$Y201,(TRANSPOSE(CY$2:CY$19)))</f>
        <v>2640</v>
      </c>
      <c r="CZ201" s="1">
        <f t="array" ref="CZ201">SUMPRODUCT($H201:$Y201,(TRANSPOSE(CZ$2:CZ$19)))</f>
        <v>2880</v>
      </c>
      <c r="DA201" s="1">
        <f t="array" ref="DA201">SUMPRODUCT($H201:$Y201,(TRANSPOSE(DA$2:DA$19)))</f>
        <v>3120</v>
      </c>
      <c r="DB201" s="1">
        <f t="array" ref="DB201">SUMPRODUCT($H201:$Y201,(TRANSPOSE(DB$2:DB$19)))</f>
        <v>0</v>
      </c>
      <c r="DC201" s="1">
        <f t="array" ref="DC201">SUMPRODUCT($H201:$Y201,(TRANSPOSE(DC$2:DC$19)))</f>
        <v>0</v>
      </c>
      <c r="DD201" s="1">
        <f t="array" ref="DD201">SUMPRODUCT($H201:$Y201,(TRANSPOSE(DD$2:DD$19)))</f>
        <v>0</v>
      </c>
    </row>
    <row r="202" spans="1:108" x14ac:dyDescent="0.2">
      <c r="A202" s="1">
        <v>218</v>
      </c>
      <c r="B202" s="10" t="s">
        <v>398</v>
      </c>
      <c r="C202" s="1" t="s">
        <v>22</v>
      </c>
      <c r="D202" s="1">
        <v>400700886</v>
      </c>
      <c r="E202" s="1" t="s">
        <v>397</v>
      </c>
      <c r="F202" s="1" t="s">
        <v>396</v>
      </c>
      <c r="G202" s="1" t="s">
        <v>20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2</v>
      </c>
      <c r="U202" s="1">
        <v>0</v>
      </c>
      <c r="V202" s="1">
        <v>0</v>
      </c>
      <c r="W202" s="1">
        <v>0</v>
      </c>
      <c r="X202" s="1">
        <v>2</v>
      </c>
      <c r="Y202" s="1">
        <v>0</v>
      </c>
      <c r="Z202" s="1">
        <f>SUM(H202:Y202)</f>
        <v>4</v>
      </c>
      <c r="AA202" s="1">
        <f>SUMPRODUCT(H202:Y202,$H$16:$Y$16)</f>
        <v>3640</v>
      </c>
      <c r="AB202" s="1" t="s">
        <v>386</v>
      </c>
      <c r="AC202" s="1">
        <v>0.01</v>
      </c>
      <c r="AD202" s="9"/>
      <c r="AE202" s="1" t="s">
        <v>28</v>
      </c>
      <c r="AF202" s="1">
        <f>AC202</f>
        <v>0.01</v>
      </c>
      <c r="AG202" s="1">
        <v>5000</v>
      </c>
      <c r="AH202" s="1">
        <v>5000</v>
      </c>
      <c r="AI202" s="1" t="s">
        <v>82</v>
      </c>
      <c r="AK202" s="1" t="s">
        <v>89</v>
      </c>
      <c r="AL202" s="1" t="s">
        <v>88</v>
      </c>
      <c r="AM202" s="1" t="s">
        <v>87</v>
      </c>
      <c r="AN202" s="2" t="s">
        <v>86</v>
      </c>
      <c r="BO202" s="1">
        <f>SUM($AP202,$AQ202:AQ202)-SUM($CK202:CL202)</f>
        <v>0</v>
      </c>
      <c r="BP202" s="1">
        <f>SUM($AP202,$AQ202:AR202)-SUM($CK202:CM202)</f>
        <v>0</v>
      </c>
      <c r="BQ202" s="1">
        <f>SUM($AP202,$AQ202:AS202)-SUM($CK202:CN202)</f>
        <v>0</v>
      </c>
      <c r="BR202" s="1">
        <f>SUM($AP202,$AQ202:AT202)-SUM($CK202:CO202)</f>
        <v>-40</v>
      </c>
      <c r="BS202" s="1">
        <f>SUM($AP202,$AQ202:AU202)-SUM($CK202:CP202)</f>
        <v>-120</v>
      </c>
      <c r="BT202" s="1">
        <f>SUM($AP202,$AQ202:AV202)-SUM($CK202:CQ202)</f>
        <v>-240</v>
      </c>
      <c r="BU202" s="1">
        <f>SUM($AP202,$AQ202:AW202)-SUM($CK202:CR202)</f>
        <v>-400</v>
      </c>
      <c r="BV202" s="1">
        <f>SUM($AP202,$AQ202:AX202)-SUM($CK202:CS202)</f>
        <v>-600</v>
      </c>
      <c r="BW202" s="1">
        <f>SUM($AP202,$AQ202:AY202)-SUM($CK202:CT202)</f>
        <v>-840</v>
      </c>
      <c r="BX202" s="1">
        <f>SUM($AP202,$AQ202:AZ202)-SUM($CK202:CU202)</f>
        <v>-1120</v>
      </c>
      <c r="BY202" s="1">
        <f>SUM($AP202,$AQ202:BA202)-SUM($CK202:CV202)</f>
        <v>-1440</v>
      </c>
      <c r="BZ202" s="1">
        <f>SUM($AP202,$AQ202:BB202)-SUM($CK202:CW202)</f>
        <v>-1800</v>
      </c>
      <c r="CA202" s="1">
        <f>SUM($AP202,$AQ202:BC202)-SUM($CK202:CX202)</f>
        <v>-2200</v>
      </c>
      <c r="CB202" s="1">
        <f>SUM($AP202,$AQ202:BD202)-SUM($CK202:CY202)</f>
        <v>-2640</v>
      </c>
      <c r="CC202" s="1">
        <f>SUM($AP202,$AQ202:BE202)-SUM($CK202:CZ202)</f>
        <v>-3120</v>
      </c>
      <c r="CD202" s="1">
        <f>SUM($AP202,$AQ202:BF202)-SUM($CK202:DA202)</f>
        <v>-3640</v>
      </c>
      <c r="CE202" s="1">
        <f>SUM($AP202,$AQ202:BG202)-SUM($CK202:DB202)</f>
        <v>-3640</v>
      </c>
      <c r="CF202" s="1">
        <f>SUM($AP202,$AQ202:BH202)-SUM($CK202:DC202)</f>
        <v>-3640</v>
      </c>
      <c r="CG202" s="1">
        <f>SUM($AP202,$AQ202:BI202)-SUM($CK202:DD202)</f>
        <v>-3640</v>
      </c>
      <c r="CK202" s="1">
        <f t="array" ref="CK202">SUMPRODUCT($H202:$Y202,(TRANSPOSE(CK$2:CK$19)))</f>
        <v>0</v>
      </c>
      <c r="CL202" s="1">
        <f t="array" ref="CL202">SUMPRODUCT($H202:$Y202,(TRANSPOSE(CL$2:CL$19)))</f>
        <v>0</v>
      </c>
      <c r="CM202" s="1">
        <f t="array" ref="CM202">SUMPRODUCT($H202:$Y202,(TRANSPOSE(CM$2:CM$19)))</f>
        <v>0</v>
      </c>
      <c r="CN202" s="1">
        <f t="array" ref="CN202">SUMPRODUCT($H202:$Y202,(TRANSPOSE(CN$2:CN$19)))</f>
        <v>0</v>
      </c>
      <c r="CO202" s="1">
        <f t="array" ref="CO202">SUMPRODUCT($H202:$Y202,(TRANSPOSE(CO$2:CO$19)))</f>
        <v>40</v>
      </c>
      <c r="CP202" s="1">
        <f t="array" ref="CP202">SUMPRODUCT($H202:$Y202,(TRANSPOSE(CP$2:CP$19)))</f>
        <v>80</v>
      </c>
      <c r="CQ202" s="1">
        <f t="array" ref="CQ202">SUMPRODUCT($H202:$Y202,(TRANSPOSE(CQ$2:CQ$19)))</f>
        <v>120</v>
      </c>
      <c r="CR202" s="1">
        <f t="array" ref="CR202">SUMPRODUCT($H202:$Y202,(TRANSPOSE(CR$2:CR$19)))</f>
        <v>160</v>
      </c>
      <c r="CS202" s="1">
        <f t="array" ref="CS202">SUMPRODUCT($H202:$Y202,(TRANSPOSE(CS$2:CS$19)))</f>
        <v>200</v>
      </c>
      <c r="CT202" s="1">
        <f t="array" ref="CT202">SUMPRODUCT($H202:$Y202,(TRANSPOSE(CT$2:CT$19)))</f>
        <v>240</v>
      </c>
      <c r="CU202" s="1">
        <f t="array" ref="CU202">SUMPRODUCT($H202:$Y202,(TRANSPOSE(CU$2:CU$19)))</f>
        <v>280</v>
      </c>
      <c r="CV202" s="1">
        <f t="array" ref="CV202">SUMPRODUCT($H202:$Y202,(TRANSPOSE(CV$2:CV$19)))</f>
        <v>320</v>
      </c>
      <c r="CW202" s="1">
        <f t="array" ref="CW202">SUMPRODUCT($H202:$Y202,(TRANSPOSE(CW$2:CW$19)))</f>
        <v>360</v>
      </c>
      <c r="CX202" s="1">
        <f t="array" ref="CX202">SUMPRODUCT($H202:$Y202,(TRANSPOSE(CX$2:CX$19)))</f>
        <v>400</v>
      </c>
      <c r="CY202" s="1">
        <f t="array" ref="CY202">SUMPRODUCT($H202:$Y202,(TRANSPOSE(CY$2:CY$19)))</f>
        <v>440</v>
      </c>
      <c r="CZ202" s="1">
        <f t="array" ref="CZ202">SUMPRODUCT($H202:$Y202,(TRANSPOSE(CZ$2:CZ$19)))</f>
        <v>480</v>
      </c>
      <c r="DA202" s="1">
        <f t="array" ref="DA202">SUMPRODUCT($H202:$Y202,(TRANSPOSE(DA$2:DA$19)))</f>
        <v>520</v>
      </c>
      <c r="DB202" s="1">
        <f t="array" ref="DB202">SUMPRODUCT($H202:$Y202,(TRANSPOSE(DB$2:DB$19)))</f>
        <v>0</v>
      </c>
      <c r="DC202" s="1">
        <f t="array" ref="DC202">SUMPRODUCT($H202:$Y202,(TRANSPOSE(DC$2:DC$19)))</f>
        <v>0</v>
      </c>
      <c r="DD202" s="1">
        <f t="array" ref="DD202">SUMPRODUCT($H202:$Y202,(TRANSPOSE(DD$2:DD$19)))</f>
        <v>0</v>
      </c>
    </row>
    <row r="203" spans="1:108" x14ac:dyDescent="0.2">
      <c r="A203" s="1">
        <v>219</v>
      </c>
      <c r="B203" s="10" t="s">
        <v>395</v>
      </c>
      <c r="C203" s="1" t="s">
        <v>22</v>
      </c>
      <c r="D203" s="1">
        <v>400676835</v>
      </c>
      <c r="E203" s="1" t="s">
        <v>394</v>
      </c>
      <c r="F203" s="1" t="s">
        <v>393</v>
      </c>
      <c r="G203" s="1" t="s">
        <v>20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2</v>
      </c>
      <c r="U203" s="1">
        <v>0</v>
      </c>
      <c r="V203" s="1">
        <v>0</v>
      </c>
      <c r="W203" s="1">
        <v>0</v>
      </c>
      <c r="X203" s="1">
        <v>2</v>
      </c>
      <c r="Y203" s="1">
        <v>0</v>
      </c>
      <c r="Z203" s="1">
        <f>SUM(H203:Y203)</f>
        <v>4</v>
      </c>
      <c r="AA203" s="1">
        <f>SUMPRODUCT(H203:Y203,$H$16:$Y$16)</f>
        <v>3640</v>
      </c>
      <c r="AB203" s="1" t="s">
        <v>386</v>
      </c>
      <c r="AC203" s="1">
        <v>0.01</v>
      </c>
      <c r="AD203" s="9"/>
      <c r="AE203" s="1" t="s">
        <v>28</v>
      </c>
      <c r="AF203" s="1">
        <f>AC203</f>
        <v>0.01</v>
      </c>
      <c r="AG203" s="1">
        <v>5000</v>
      </c>
      <c r="AH203" s="1">
        <v>5000</v>
      </c>
      <c r="AI203" s="1" t="s">
        <v>82</v>
      </c>
      <c r="AK203" s="1" t="s">
        <v>89</v>
      </c>
      <c r="AL203" s="1" t="s">
        <v>88</v>
      </c>
      <c r="AM203" s="1" t="s">
        <v>87</v>
      </c>
      <c r="AN203" s="2" t="s">
        <v>86</v>
      </c>
      <c r="BO203" s="1">
        <f>SUM($AP203,$AQ203:AQ203)-SUM($CK203:CL203)</f>
        <v>0</v>
      </c>
      <c r="BP203" s="1">
        <f>SUM($AP203,$AQ203:AR203)-SUM($CK203:CM203)</f>
        <v>0</v>
      </c>
      <c r="BQ203" s="1">
        <f>SUM($AP203,$AQ203:AS203)-SUM($CK203:CN203)</f>
        <v>0</v>
      </c>
      <c r="BR203" s="1">
        <f>SUM($AP203,$AQ203:AT203)-SUM($CK203:CO203)</f>
        <v>-40</v>
      </c>
      <c r="BS203" s="1">
        <f>SUM($AP203,$AQ203:AU203)-SUM($CK203:CP203)</f>
        <v>-120</v>
      </c>
      <c r="BT203" s="1">
        <f>SUM($AP203,$AQ203:AV203)-SUM($CK203:CQ203)</f>
        <v>-240</v>
      </c>
      <c r="BU203" s="1">
        <f>SUM($AP203,$AQ203:AW203)-SUM($CK203:CR203)</f>
        <v>-400</v>
      </c>
      <c r="BV203" s="1">
        <f>SUM($AP203,$AQ203:AX203)-SUM($CK203:CS203)</f>
        <v>-600</v>
      </c>
      <c r="BW203" s="1">
        <f>SUM($AP203,$AQ203:AY203)-SUM($CK203:CT203)</f>
        <v>-840</v>
      </c>
      <c r="BX203" s="1">
        <f>SUM($AP203,$AQ203:AZ203)-SUM($CK203:CU203)</f>
        <v>-1120</v>
      </c>
      <c r="BY203" s="1">
        <f>SUM($AP203,$AQ203:BA203)-SUM($CK203:CV203)</f>
        <v>-1440</v>
      </c>
      <c r="BZ203" s="1">
        <f>SUM($AP203,$AQ203:BB203)-SUM($CK203:CW203)</f>
        <v>-1800</v>
      </c>
      <c r="CA203" s="1">
        <f>SUM($AP203,$AQ203:BC203)-SUM($CK203:CX203)</f>
        <v>-2200</v>
      </c>
      <c r="CB203" s="1">
        <f>SUM($AP203,$AQ203:BD203)-SUM($CK203:CY203)</f>
        <v>-2640</v>
      </c>
      <c r="CC203" s="1">
        <f>SUM($AP203,$AQ203:BE203)-SUM($CK203:CZ203)</f>
        <v>-3120</v>
      </c>
      <c r="CD203" s="1">
        <f>SUM($AP203,$AQ203:BF203)-SUM($CK203:DA203)</f>
        <v>-3640</v>
      </c>
      <c r="CE203" s="1">
        <f>SUM($AP203,$AQ203:BG203)-SUM($CK203:DB203)</f>
        <v>-3640</v>
      </c>
      <c r="CF203" s="1">
        <f>SUM($AP203,$AQ203:BH203)-SUM($CK203:DC203)</f>
        <v>-3640</v>
      </c>
      <c r="CG203" s="1">
        <f>SUM($AP203,$AQ203:BI203)-SUM($CK203:DD203)</f>
        <v>-3640</v>
      </c>
      <c r="CK203" s="1">
        <f t="array" ref="CK203">SUMPRODUCT($H203:$Y203,(TRANSPOSE(CK$2:CK$19)))</f>
        <v>0</v>
      </c>
      <c r="CL203" s="1">
        <f t="array" ref="CL203">SUMPRODUCT($H203:$Y203,(TRANSPOSE(CL$2:CL$19)))</f>
        <v>0</v>
      </c>
      <c r="CM203" s="1">
        <f t="array" ref="CM203">SUMPRODUCT($H203:$Y203,(TRANSPOSE(CM$2:CM$19)))</f>
        <v>0</v>
      </c>
      <c r="CN203" s="1">
        <f t="array" ref="CN203">SUMPRODUCT($H203:$Y203,(TRANSPOSE(CN$2:CN$19)))</f>
        <v>0</v>
      </c>
      <c r="CO203" s="1">
        <f t="array" ref="CO203">SUMPRODUCT($H203:$Y203,(TRANSPOSE(CO$2:CO$19)))</f>
        <v>40</v>
      </c>
      <c r="CP203" s="1">
        <f t="array" ref="CP203">SUMPRODUCT($H203:$Y203,(TRANSPOSE(CP$2:CP$19)))</f>
        <v>80</v>
      </c>
      <c r="CQ203" s="1">
        <f t="array" ref="CQ203">SUMPRODUCT($H203:$Y203,(TRANSPOSE(CQ$2:CQ$19)))</f>
        <v>120</v>
      </c>
      <c r="CR203" s="1">
        <f t="array" ref="CR203">SUMPRODUCT($H203:$Y203,(TRANSPOSE(CR$2:CR$19)))</f>
        <v>160</v>
      </c>
      <c r="CS203" s="1">
        <f t="array" ref="CS203">SUMPRODUCT($H203:$Y203,(TRANSPOSE(CS$2:CS$19)))</f>
        <v>200</v>
      </c>
      <c r="CT203" s="1">
        <f t="array" ref="CT203">SUMPRODUCT($H203:$Y203,(TRANSPOSE(CT$2:CT$19)))</f>
        <v>240</v>
      </c>
      <c r="CU203" s="1">
        <f t="array" ref="CU203">SUMPRODUCT($H203:$Y203,(TRANSPOSE(CU$2:CU$19)))</f>
        <v>280</v>
      </c>
      <c r="CV203" s="1">
        <f t="array" ref="CV203">SUMPRODUCT($H203:$Y203,(TRANSPOSE(CV$2:CV$19)))</f>
        <v>320</v>
      </c>
      <c r="CW203" s="1">
        <f t="array" ref="CW203">SUMPRODUCT($H203:$Y203,(TRANSPOSE(CW$2:CW$19)))</f>
        <v>360</v>
      </c>
      <c r="CX203" s="1">
        <f t="array" ref="CX203">SUMPRODUCT($H203:$Y203,(TRANSPOSE(CX$2:CX$19)))</f>
        <v>400</v>
      </c>
      <c r="CY203" s="1">
        <f t="array" ref="CY203">SUMPRODUCT($H203:$Y203,(TRANSPOSE(CY$2:CY$19)))</f>
        <v>440</v>
      </c>
      <c r="CZ203" s="1">
        <f t="array" ref="CZ203">SUMPRODUCT($H203:$Y203,(TRANSPOSE(CZ$2:CZ$19)))</f>
        <v>480</v>
      </c>
      <c r="DA203" s="1">
        <f t="array" ref="DA203">SUMPRODUCT($H203:$Y203,(TRANSPOSE(DA$2:DA$19)))</f>
        <v>520</v>
      </c>
      <c r="DB203" s="1">
        <f t="array" ref="DB203">SUMPRODUCT($H203:$Y203,(TRANSPOSE(DB$2:DB$19)))</f>
        <v>0</v>
      </c>
      <c r="DC203" s="1">
        <f t="array" ref="DC203">SUMPRODUCT($H203:$Y203,(TRANSPOSE(DC$2:DC$19)))</f>
        <v>0</v>
      </c>
      <c r="DD203" s="1">
        <f t="array" ref="DD203">SUMPRODUCT($H203:$Y203,(TRANSPOSE(DD$2:DD$19)))</f>
        <v>0</v>
      </c>
    </row>
    <row r="204" spans="1:108" ht="13.5" thickBot="1" x14ac:dyDescent="0.25">
      <c r="A204" s="1">
        <v>220</v>
      </c>
      <c r="B204" s="10" t="s">
        <v>392</v>
      </c>
      <c r="C204" s="1" t="s">
        <v>22</v>
      </c>
      <c r="D204" s="1">
        <v>417531772</v>
      </c>
      <c r="E204" s="1" t="s">
        <v>391</v>
      </c>
      <c r="F204" s="1" t="s">
        <v>390</v>
      </c>
      <c r="G204" s="1" t="s">
        <v>20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2</v>
      </c>
      <c r="U204" s="1">
        <v>0</v>
      </c>
      <c r="V204" s="1">
        <v>0</v>
      </c>
      <c r="W204" s="1">
        <v>0</v>
      </c>
      <c r="X204" s="1">
        <v>2</v>
      </c>
      <c r="Y204" s="1">
        <v>0</v>
      </c>
      <c r="Z204" s="1">
        <f>SUM(H204:Y204)</f>
        <v>4</v>
      </c>
      <c r="AA204" s="1">
        <f>SUMPRODUCT(H204:Y204,$H$16:$Y$16)</f>
        <v>3640</v>
      </c>
      <c r="AB204" s="1" t="s">
        <v>386</v>
      </c>
      <c r="AC204" s="1">
        <v>0.01</v>
      </c>
      <c r="AD204" s="9"/>
      <c r="AE204" s="1" t="s">
        <v>28</v>
      </c>
      <c r="AF204" s="1">
        <f>AC204</f>
        <v>0.01</v>
      </c>
      <c r="AG204" s="1">
        <v>5000</v>
      </c>
      <c r="AH204" s="1">
        <v>5000</v>
      </c>
      <c r="AI204" s="1" t="s">
        <v>82</v>
      </c>
      <c r="AK204" s="1" t="s">
        <v>89</v>
      </c>
      <c r="AL204" s="1" t="s">
        <v>88</v>
      </c>
      <c r="AM204" s="1" t="s">
        <v>87</v>
      </c>
      <c r="AN204" s="2" t="s">
        <v>86</v>
      </c>
      <c r="BO204" s="1">
        <f>SUM($AP204,$AQ204:AQ204)-SUM($CK204:CL204)</f>
        <v>0</v>
      </c>
      <c r="BP204" s="1">
        <f>SUM($AP204,$AQ204:AR204)-SUM($CK204:CM204)</f>
        <v>0</v>
      </c>
      <c r="BQ204" s="1">
        <f>SUM($AP204,$AQ204:AS204)-SUM($CK204:CN204)</f>
        <v>0</v>
      </c>
      <c r="BR204" s="1">
        <f>SUM($AP204,$AQ204:AT204)-SUM($CK204:CO204)</f>
        <v>-40</v>
      </c>
      <c r="BS204" s="1">
        <f>SUM($AP204,$AQ204:AU204)-SUM($CK204:CP204)</f>
        <v>-120</v>
      </c>
      <c r="BT204" s="1">
        <f>SUM($AP204,$AQ204:AV204)-SUM($CK204:CQ204)</f>
        <v>-240</v>
      </c>
      <c r="BU204" s="1">
        <f>SUM($AP204,$AQ204:AW204)-SUM($CK204:CR204)</f>
        <v>-400</v>
      </c>
      <c r="BV204" s="1">
        <f>SUM($AP204,$AQ204:AX204)-SUM($CK204:CS204)</f>
        <v>-600</v>
      </c>
      <c r="BW204" s="1">
        <f>SUM($AP204,$AQ204:AY204)-SUM($CK204:CT204)</f>
        <v>-840</v>
      </c>
      <c r="BX204" s="1">
        <f>SUM($AP204,$AQ204:AZ204)-SUM($CK204:CU204)</f>
        <v>-1120</v>
      </c>
      <c r="BY204" s="1">
        <f>SUM($AP204,$AQ204:BA204)-SUM($CK204:CV204)</f>
        <v>-1440</v>
      </c>
      <c r="BZ204" s="1">
        <f>SUM($AP204,$AQ204:BB204)-SUM($CK204:CW204)</f>
        <v>-1800</v>
      </c>
      <c r="CA204" s="1">
        <f>SUM($AP204,$AQ204:BC204)-SUM($CK204:CX204)</f>
        <v>-2200</v>
      </c>
      <c r="CB204" s="1">
        <f>SUM($AP204,$AQ204:BD204)-SUM($CK204:CY204)</f>
        <v>-2640</v>
      </c>
      <c r="CC204" s="1">
        <f>SUM($AP204,$AQ204:BE204)-SUM($CK204:CZ204)</f>
        <v>-3120</v>
      </c>
      <c r="CD204" s="1">
        <f>SUM($AP204,$AQ204:BF204)-SUM($CK204:DA204)</f>
        <v>-3640</v>
      </c>
      <c r="CE204" s="1">
        <f>SUM($AP204,$AQ204:BG204)-SUM($CK204:DB204)</f>
        <v>-3640</v>
      </c>
      <c r="CF204" s="1">
        <f>SUM($AP204,$AQ204:BH204)-SUM($CK204:DC204)</f>
        <v>-3640</v>
      </c>
      <c r="CG204" s="1">
        <f>SUM($AP204,$AQ204:BI204)-SUM($CK204:DD204)</f>
        <v>-3640</v>
      </c>
      <c r="CK204" s="1">
        <f t="array" ref="CK204">SUMPRODUCT($H204:$Y204,(TRANSPOSE(CK$2:CK$19)))</f>
        <v>0</v>
      </c>
      <c r="CL204" s="1">
        <f t="array" ref="CL204">SUMPRODUCT($H204:$Y204,(TRANSPOSE(CL$2:CL$19)))</f>
        <v>0</v>
      </c>
      <c r="CM204" s="1">
        <f t="array" ref="CM204">SUMPRODUCT($H204:$Y204,(TRANSPOSE(CM$2:CM$19)))</f>
        <v>0</v>
      </c>
      <c r="CN204" s="1">
        <f t="array" ref="CN204">SUMPRODUCT($H204:$Y204,(TRANSPOSE(CN$2:CN$19)))</f>
        <v>0</v>
      </c>
      <c r="CO204" s="1">
        <f t="array" ref="CO204">SUMPRODUCT($H204:$Y204,(TRANSPOSE(CO$2:CO$19)))</f>
        <v>40</v>
      </c>
      <c r="CP204" s="1">
        <f t="array" ref="CP204">SUMPRODUCT($H204:$Y204,(TRANSPOSE(CP$2:CP$19)))</f>
        <v>80</v>
      </c>
      <c r="CQ204" s="1">
        <f t="array" ref="CQ204">SUMPRODUCT($H204:$Y204,(TRANSPOSE(CQ$2:CQ$19)))</f>
        <v>120</v>
      </c>
      <c r="CR204" s="1">
        <f t="array" ref="CR204">SUMPRODUCT($H204:$Y204,(TRANSPOSE(CR$2:CR$19)))</f>
        <v>160</v>
      </c>
      <c r="CS204" s="1">
        <f t="array" ref="CS204">SUMPRODUCT($H204:$Y204,(TRANSPOSE(CS$2:CS$19)))</f>
        <v>200</v>
      </c>
      <c r="CT204" s="1">
        <f t="array" ref="CT204">SUMPRODUCT($H204:$Y204,(TRANSPOSE(CT$2:CT$19)))</f>
        <v>240</v>
      </c>
      <c r="CU204" s="1">
        <f t="array" ref="CU204">SUMPRODUCT($H204:$Y204,(TRANSPOSE(CU$2:CU$19)))</f>
        <v>280</v>
      </c>
      <c r="CV204" s="1">
        <f t="array" ref="CV204">SUMPRODUCT($H204:$Y204,(TRANSPOSE(CV$2:CV$19)))</f>
        <v>320</v>
      </c>
      <c r="CW204" s="1">
        <f t="array" ref="CW204">SUMPRODUCT($H204:$Y204,(TRANSPOSE(CW$2:CW$19)))</f>
        <v>360</v>
      </c>
      <c r="CX204" s="1">
        <f t="array" ref="CX204">SUMPRODUCT($H204:$Y204,(TRANSPOSE(CX$2:CX$19)))</f>
        <v>400</v>
      </c>
      <c r="CY204" s="1">
        <f t="array" ref="CY204">SUMPRODUCT($H204:$Y204,(TRANSPOSE(CY$2:CY$19)))</f>
        <v>440</v>
      </c>
      <c r="CZ204" s="1">
        <f t="array" ref="CZ204">SUMPRODUCT($H204:$Y204,(TRANSPOSE(CZ$2:CZ$19)))</f>
        <v>480</v>
      </c>
      <c r="DA204" s="1">
        <f t="array" ref="DA204">SUMPRODUCT($H204:$Y204,(TRANSPOSE(DA$2:DA$19)))</f>
        <v>520</v>
      </c>
      <c r="DB204" s="1">
        <f t="array" ref="DB204">SUMPRODUCT($H204:$Y204,(TRANSPOSE(DB$2:DB$19)))</f>
        <v>0</v>
      </c>
      <c r="DC204" s="1">
        <f t="array" ref="DC204">SUMPRODUCT($H204:$Y204,(TRANSPOSE(DC$2:DC$19)))</f>
        <v>0</v>
      </c>
      <c r="DD204" s="1">
        <f t="array" ref="DD204">SUMPRODUCT($H204:$Y204,(TRANSPOSE(DD$2:DD$19)))</f>
        <v>0</v>
      </c>
    </row>
    <row r="205" spans="1:108" ht="13.5" thickBot="1" x14ac:dyDescent="0.25">
      <c r="A205" s="1">
        <v>221</v>
      </c>
      <c r="B205" s="10" t="s">
        <v>389</v>
      </c>
      <c r="C205" s="1" t="s">
        <v>22</v>
      </c>
      <c r="D205" s="1">
        <v>400249347</v>
      </c>
      <c r="E205" s="1" t="s">
        <v>388</v>
      </c>
      <c r="F205" s="1" t="s">
        <v>387</v>
      </c>
      <c r="G205" s="1" t="s">
        <v>20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2</v>
      </c>
      <c r="U205" s="1">
        <v>0</v>
      </c>
      <c r="V205" s="1">
        <v>0</v>
      </c>
      <c r="W205" s="1">
        <v>0</v>
      </c>
      <c r="X205" s="1">
        <v>2</v>
      </c>
      <c r="Y205" s="1">
        <v>0</v>
      </c>
      <c r="Z205" s="1">
        <f>SUM(H205:Y205)</f>
        <v>4</v>
      </c>
      <c r="AA205" s="1">
        <f>SUMPRODUCT(H205:Y205,$H$16:$Y$16)</f>
        <v>3640</v>
      </c>
      <c r="AB205" s="11" t="s">
        <v>386</v>
      </c>
      <c r="AC205" s="1">
        <v>0.01</v>
      </c>
      <c r="AD205" s="9"/>
      <c r="AE205" s="1" t="s">
        <v>28</v>
      </c>
      <c r="AF205" s="1">
        <f>AC205</f>
        <v>0.01</v>
      </c>
      <c r="AG205" s="1">
        <v>5000</v>
      </c>
      <c r="AH205" s="1">
        <v>5000</v>
      </c>
      <c r="AI205" s="1" t="s">
        <v>82</v>
      </c>
      <c r="AK205" s="1" t="s">
        <v>89</v>
      </c>
      <c r="AL205" s="1" t="s">
        <v>88</v>
      </c>
      <c r="AM205" s="1" t="s">
        <v>87</v>
      </c>
      <c r="AN205" s="2" t="s">
        <v>86</v>
      </c>
      <c r="BO205" s="1">
        <f>SUM($AP205,$AQ205:AQ205)-SUM($CK205:CL205)</f>
        <v>0</v>
      </c>
      <c r="BP205" s="1">
        <f>SUM($AP205,$AQ205:AR205)-SUM($CK205:CM205)</f>
        <v>0</v>
      </c>
      <c r="BQ205" s="1">
        <f>SUM($AP205,$AQ205:AS205)-SUM($CK205:CN205)</f>
        <v>0</v>
      </c>
      <c r="BR205" s="1">
        <f>SUM($AP205,$AQ205:AT205)-SUM($CK205:CO205)</f>
        <v>-40</v>
      </c>
      <c r="BS205" s="1">
        <f>SUM($AP205,$AQ205:AU205)-SUM($CK205:CP205)</f>
        <v>-120</v>
      </c>
      <c r="BT205" s="1">
        <f>SUM($AP205,$AQ205:AV205)-SUM($CK205:CQ205)</f>
        <v>-240</v>
      </c>
      <c r="BU205" s="1">
        <f>SUM($AP205,$AQ205:AW205)-SUM($CK205:CR205)</f>
        <v>-400</v>
      </c>
      <c r="BV205" s="1">
        <f>SUM($AP205,$AQ205:AX205)-SUM($CK205:CS205)</f>
        <v>-600</v>
      </c>
      <c r="BW205" s="1">
        <f>SUM($AP205,$AQ205:AY205)-SUM($CK205:CT205)</f>
        <v>-840</v>
      </c>
      <c r="BX205" s="1">
        <f>SUM($AP205,$AQ205:AZ205)-SUM($CK205:CU205)</f>
        <v>-1120</v>
      </c>
      <c r="BY205" s="1">
        <f>SUM($AP205,$AQ205:BA205)-SUM($CK205:CV205)</f>
        <v>-1440</v>
      </c>
      <c r="BZ205" s="1">
        <f>SUM($AP205,$AQ205:BB205)-SUM($CK205:CW205)</f>
        <v>-1800</v>
      </c>
      <c r="CA205" s="1">
        <f>SUM($AP205,$AQ205:BC205)-SUM($CK205:CX205)</f>
        <v>-2200</v>
      </c>
      <c r="CB205" s="1">
        <f>SUM($AP205,$AQ205:BD205)-SUM($CK205:CY205)</f>
        <v>-2640</v>
      </c>
      <c r="CC205" s="1">
        <f>SUM($AP205,$AQ205:BE205)-SUM($CK205:CZ205)</f>
        <v>-3120</v>
      </c>
      <c r="CD205" s="1">
        <f>SUM($AP205,$AQ205:BF205)-SUM($CK205:DA205)</f>
        <v>-3640</v>
      </c>
      <c r="CE205" s="1">
        <f>SUM($AP205,$AQ205:BG205)-SUM($CK205:DB205)</f>
        <v>-3640</v>
      </c>
      <c r="CF205" s="1">
        <f>SUM($AP205,$AQ205:BH205)-SUM($CK205:DC205)</f>
        <v>-3640</v>
      </c>
      <c r="CG205" s="1">
        <f>SUM($AP205,$AQ205:BI205)-SUM($CK205:DD205)</f>
        <v>-3640</v>
      </c>
      <c r="CK205" s="1">
        <f t="array" ref="CK205">SUMPRODUCT($H205:$Y205,(TRANSPOSE(CK$2:CK$19)))</f>
        <v>0</v>
      </c>
      <c r="CL205" s="1">
        <f t="array" ref="CL205">SUMPRODUCT($H205:$Y205,(TRANSPOSE(CL$2:CL$19)))</f>
        <v>0</v>
      </c>
      <c r="CM205" s="1">
        <f t="array" ref="CM205">SUMPRODUCT($H205:$Y205,(TRANSPOSE(CM$2:CM$19)))</f>
        <v>0</v>
      </c>
      <c r="CN205" s="1">
        <f t="array" ref="CN205">SUMPRODUCT($H205:$Y205,(TRANSPOSE(CN$2:CN$19)))</f>
        <v>0</v>
      </c>
      <c r="CO205" s="1">
        <f t="array" ref="CO205">SUMPRODUCT($H205:$Y205,(TRANSPOSE(CO$2:CO$19)))</f>
        <v>40</v>
      </c>
      <c r="CP205" s="1">
        <f t="array" ref="CP205">SUMPRODUCT($H205:$Y205,(TRANSPOSE(CP$2:CP$19)))</f>
        <v>80</v>
      </c>
      <c r="CQ205" s="1">
        <f t="array" ref="CQ205">SUMPRODUCT($H205:$Y205,(TRANSPOSE(CQ$2:CQ$19)))</f>
        <v>120</v>
      </c>
      <c r="CR205" s="1">
        <f t="array" ref="CR205">SUMPRODUCT($H205:$Y205,(TRANSPOSE(CR$2:CR$19)))</f>
        <v>160</v>
      </c>
      <c r="CS205" s="1">
        <f t="array" ref="CS205">SUMPRODUCT($H205:$Y205,(TRANSPOSE(CS$2:CS$19)))</f>
        <v>200</v>
      </c>
      <c r="CT205" s="1">
        <f t="array" ref="CT205">SUMPRODUCT($H205:$Y205,(TRANSPOSE(CT$2:CT$19)))</f>
        <v>240</v>
      </c>
      <c r="CU205" s="1">
        <f t="array" ref="CU205">SUMPRODUCT($H205:$Y205,(TRANSPOSE(CU$2:CU$19)))</f>
        <v>280</v>
      </c>
      <c r="CV205" s="1">
        <f t="array" ref="CV205">SUMPRODUCT($H205:$Y205,(TRANSPOSE(CV$2:CV$19)))</f>
        <v>320</v>
      </c>
      <c r="CW205" s="1">
        <f t="array" ref="CW205">SUMPRODUCT($H205:$Y205,(TRANSPOSE(CW$2:CW$19)))</f>
        <v>360</v>
      </c>
      <c r="CX205" s="1">
        <f t="array" ref="CX205">SUMPRODUCT($H205:$Y205,(TRANSPOSE(CX$2:CX$19)))</f>
        <v>400</v>
      </c>
      <c r="CY205" s="1">
        <f t="array" ref="CY205">SUMPRODUCT($H205:$Y205,(TRANSPOSE(CY$2:CY$19)))</f>
        <v>440</v>
      </c>
      <c r="CZ205" s="1">
        <f t="array" ref="CZ205">SUMPRODUCT($H205:$Y205,(TRANSPOSE(CZ$2:CZ$19)))</f>
        <v>480</v>
      </c>
      <c r="DA205" s="1">
        <f t="array" ref="DA205">SUMPRODUCT($H205:$Y205,(TRANSPOSE(DA$2:DA$19)))</f>
        <v>520</v>
      </c>
      <c r="DB205" s="1">
        <f t="array" ref="DB205">SUMPRODUCT($H205:$Y205,(TRANSPOSE(DB$2:DB$19)))</f>
        <v>0</v>
      </c>
      <c r="DC205" s="1">
        <f t="array" ref="DC205">SUMPRODUCT($H205:$Y205,(TRANSPOSE(DC$2:DC$19)))</f>
        <v>0</v>
      </c>
      <c r="DD205" s="1">
        <f t="array" ref="DD205">SUMPRODUCT($H205:$Y205,(TRANSPOSE(DD$2:DD$19)))</f>
        <v>0</v>
      </c>
    </row>
    <row r="206" spans="1:108" x14ac:dyDescent="0.2">
      <c r="A206" s="1">
        <v>222</v>
      </c>
      <c r="B206" s="10" t="s">
        <v>385</v>
      </c>
      <c r="C206" s="1" t="s">
        <v>22</v>
      </c>
      <c r="D206" s="1">
        <v>400971792</v>
      </c>
      <c r="F206" s="1" t="s">
        <v>384</v>
      </c>
      <c r="G206" s="1" t="s">
        <v>20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2</v>
      </c>
      <c r="U206" s="1">
        <v>0</v>
      </c>
      <c r="V206" s="1">
        <v>0</v>
      </c>
      <c r="W206" s="1">
        <v>0</v>
      </c>
      <c r="X206" s="1">
        <v>2</v>
      </c>
      <c r="Y206" s="1">
        <v>0</v>
      </c>
      <c r="Z206" s="1">
        <f>SUM(H206:Y206)</f>
        <v>4</v>
      </c>
      <c r="AA206" s="1">
        <f>SUMPRODUCT(H206:Y206,$H$16:$Y$16)</f>
        <v>3640</v>
      </c>
      <c r="AB206" s="1" t="s">
        <v>383</v>
      </c>
      <c r="AD206" s="9"/>
      <c r="AK206" s="1" t="s">
        <v>382</v>
      </c>
      <c r="AN206" s="2"/>
      <c r="BO206" s="1">
        <f>SUM($AP206,$AQ206:AQ206)-SUM($CK206:CL206)</f>
        <v>0</v>
      </c>
      <c r="BP206" s="1">
        <f>SUM($AP206,$AQ206:AR206)-SUM($CK206:CM206)</f>
        <v>0</v>
      </c>
      <c r="BQ206" s="1">
        <f>SUM($AP206,$AQ206:AS206)-SUM($CK206:CN206)</f>
        <v>0</v>
      </c>
      <c r="BR206" s="1">
        <f>SUM($AP206,$AQ206:AT206)-SUM($CK206:CO206)</f>
        <v>-40</v>
      </c>
      <c r="BS206" s="1">
        <f>SUM($AP206,$AQ206:AU206)-SUM($CK206:CP206)</f>
        <v>-120</v>
      </c>
      <c r="BT206" s="1">
        <f>SUM($AP206,$AQ206:AV206)-SUM($CK206:CQ206)</f>
        <v>-240</v>
      </c>
      <c r="BU206" s="1">
        <f>SUM($AP206,$AQ206:AW206)-SUM($CK206:CR206)</f>
        <v>-400</v>
      </c>
      <c r="BV206" s="1">
        <f>SUM($AP206,$AQ206:AX206)-SUM($CK206:CS206)</f>
        <v>-600</v>
      </c>
      <c r="BW206" s="1">
        <f>SUM($AP206,$AQ206:AY206)-SUM($CK206:CT206)</f>
        <v>-840</v>
      </c>
      <c r="BX206" s="1">
        <f>SUM($AP206,$AQ206:AZ206)-SUM($CK206:CU206)</f>
        <v>-1120</v>
      </c>
      <c r="BY206" s="1">
        <f>SUM($AP206,$AQ206:BA206)-SUM($CK206:CV206)</f>
        <v>-1440</v>
      </c>
      <c r="BZ206" s="1">
        <f>SUM($AP206,$AQ206:BB206)-SUM($CK206:CW206)</f>
        <v>-1800</v>
      </c>
      <c r="CA206" s="1">
        <f>SUM($AP206,$AQ206:BC206)-SUM($CK206:CX206)</f>
        <v>-2200</v>
      </c>
      <c r="CB206" s="1">
        <f>SUM($AP206,$AQ206:BD206)-SUM($CK206:CY206)</f>
        <v>-2640</v>
      </c>
      <c r="CC206" s="1">
        <f>SUM($AP206,$AQ206:BE206)-SUM($CK206:CZ206)</f>
        <v>-3120</v>
      </c>
      <c r="CD206" s="1">
        <f>SUM($AP206,$AQ206:BF206)-SUM($CK206:DA206)</f>
        <v>-3640</v>
      </c>
      <c r="CE206" s="1">
        <f>SUM($AP206,$AQ206:BG206)-SUM($CK206:DB206)</f>
        <v>-3640</v>
      </c>
      <c r="CF206" s="1">
        <f>SUM($AP206,$AQ206:BH206)-SUM($CK206:DC206)</f>
        <v>-3640</v>
      </c>
      <c r="CG206" s="1">
        <f>SUM($AP206,$AQ206:BI206)-SUM($CK206:DD206)</f>
        <v>-3640</v>
      </c>
      <c r="CK206" s="1">
        <f t="array" ref="CK206">SUMPRODUCT($H206:$Y206,(TRANSPOSE(CK$2:CK$19)))</f>
        <v>0</v>
      </c>
      <c r="CL206" s="1">
        <f t="array" ref="CL206">SUMPRODUCT($H206:$Y206,(TRANSPOSE(CL$2:CL$19)))</f>
        <v>0</v>
      </c>
      <c r="CM206" s="1">
        <f t="array" ref="CM206">SUMPRODUCT($H206:$Y206,(TRANSPOSE(CM$2:CM$19)))</f>
        <v>0</v>
      </c>
      <c r="CN206" s="1">
        <f t="array" ref="CN206">SUMPRODUCT($H206:$Y206,(TRANSPOSE(CN$2:CN$19)))</f>
        <v>0</v>
      </c>
      <c r="CO206" s="1">
        <f t="array" ref="CO206">SUMPRODUCT($H206:$Y206,(TRANSPOSE(CO$2:CO$19)))</f>
        <v>40</v>
      </c>
      <c r="CP206" s="1">
        <f t="array" ref="CP206">SUMPRODUCT($H206:$Y206,(TRANSPOSE(CP$2:CP$19)))</f>
        <v>80</v>
      </c>
      <c r="CQ206" s="1">
        <f t="array" ref="CQ206">SUMPRODUCT($H206:$Y206,(TRANSPOSE(CQ$2:CQ$19)))</f>
        <v>120</v>
      </c>
      <c r="CR206" s="1">
        <f t="array" ref="CR206">SUMPRODUCT($H206:$Y206,(TRANSPOSE(CR$2:CR$19)))</f>
        <v>160</v>
      </c>
      <c r="CS206" s="1">
        <f t="array" ref="CS206">SUMPRODUCT($H206:$Y206,(TRANSPOSE(CS$2:CS$19)))</f>
        <v>200</v>
      </c>
      <c r="CT206" s="1">
        <f t="array" ref="CT206">SUMPRODUCT($H206:$Y206,(TRANSPOSE(CT$2:CT$19)))</f>
        <v>240</v>
      </c>
      <c r="CU206" s="1">
        <f t="array" ref="CU206">SUMPRODUCT($H206:$Y206,(TRANSPOSE(CU$2:CU$19)))</f>
        <v>280</v>
      </c>
      <c r="CV206" s="1">
        <f t="array" ref="CV206">SUMPRODUCT($H206:$Y206,(TRANSPOSE(CV$2:CV$19)))</f>
        <v>320</v>
      </c>
      <c r="CW206" s="1">
        <f t="array" ref="CW206">SUMPRODUCT($H206:$Y206,(TRANSPOSE(CW$2:CW$19)))</f>
        <v>360</v>
      </c>
      <c r="CX206" s="1">
        <f t="array" ref="CX206">SUMPRODUCT($H206:$Y206,(TRANSPOSE(CX$2:CX$19)))</f>
        <v>400</v>
      </c>
      <c r="CY206" s="1">
        <f t="array" ref="CY206">SUMPRODUCT($H206:$Y206,(TRANSPOSE(CY$2:CY$19)))</f>
        <v>440</v>
      </c>
      <c r="CZ206" s="1">
        <f t="array" ref="CZ206">SUMPRODUCT($H206:$Y206,(TRANSPOSE(CZ$2:CZ$19)))</f>
        <v>480</v>
      </c>
      <c r="DA206" s="1">
        <f t="array" ref="DA206">SUMPRODUCT($H206:$Y206,(TRANSPOSE(DA$2:DA$19)))</f>
        <v>520</v>
      </c>
      <c r="DB206" s="1">
        <f t="array" ref="DB206">SUMPRODUCT($H206:$Y206,(TRANSPOSE(DB$2:DB$19)))</f>
        <v>0</v>
      </c>
      <c r="DC206" s="1">
        <f t="array" ref="DC206">SUMPRODUCT($H206:$Y206,(TRANSPOSE(DC$2:DC$19)))</f>
        <v>0</v>
      </c>
      <c r="DD206" s="1">
        <f t="array" ref="DD206">SUMPRODUCT($H206:$Y206,(TRANSPOSE(DD$2:DD$19)))</f>
        <v>0</v>
      </c>
    </row>
    <row r="207" spans="1:108" x14ac:dyDescent="0.2">
      <c r="A207" s="1">
        <v>229</v>
      </c>
      <c r="B207" s="10" t="s">
        <v>381</v>
      </c>
      <c r="C207" s="1" t="s">
        <v>22</v>
      </c>
      <c r="D207" s="1" t="s">
        <v>380</v>
      </c>
      <c r="F207" s="1" t="s">
        <v>379</v>
      </c>
      <c r="G207" s="1" t="s">
        <v>20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2</v>
      </c>
      <c r="S207" s="1">
        <v>0</v>
      </c>
      <c r="T207" s="1">
        <v>0</v>
      </c>
      <c r="U207" s="1">
        <v>0</v>
      </c>
      <c r="V207" s="1">
        <v>2</v>
      </c>
      <c r="W207" s="1">
        <v>0</v>
      </c>
      <c r="X207" s="1">
        <v>0</v>
      </c>
      <c r="Y207" s="1">
        <v>0</v>
      </c>
      <c r="Z207" s="1">
        <f>SUM(H207:Y207)</f>
        <v>4</v>
      </c>
      <c r="AA207" s="1">
        <f>SUMPRODUCT(H207:Y207,$H$16:$Y$16)</f>
        <v>3640</v>
      </c>
      <c r="AB207" s="1" t="s">
        <v>372</v>
      </c>
      <c r="AC207" s="1">
        <v>6.35</v>
      </c>
      <c r="AD207" s="9"/>
      <c r="AE207" s="1" t="s">
        <v>28</v>
      </c>
      <c r="AF207" s="1">
        <f>AC207</f>
        <v>6.35</v>
      </c>
      <c r="AH207" s="1">
        <v>1</v>
      </c>
      <c r="AK207" s="1" t="s">
        <v>370</v>
      </c>
      <c r="AL207" s="1" t="s">
        <v>369</v>
      </c>
      <c r="AM207" s="1" t="s">
        <v>368</v>
      </c>
      <c r="AN207" s="2" t="s">
        <v>367</v>
      </c>
      <c r="BO207" s="1">
        <f>SUM($AP207,$AQ207:AQ207)-SUM($CK207:CL207)</f>
        <v>0</v>
      </c>
      <c r="BP207" s="1">
        <f>SUM($AP207,$AQ207:AR207)-SUM($CK207:CM207)</f>
        <v>0</v>
      </c>
      <c r="BQ207" s="1">
        <f>SUM($AP207,$AQ207:AS207)-SUM($CK207:CN207)</f>
        <v>0</v>
      </c>
      <c r="BR207" s="1">
        <f>SUM($AP207,$AQ207:AT207)-SUM($CK207:CO207)</f>
        <v>0</v>
      </c>
      <c r="BS207" s="1">
        <f>SUM($AP207,$AQ207:AU207)-SUM($CK207:CP207)</f>
        <v>0</v>
      </c>
      <c r="BT207" s="1">
        <f>SUM($AP207,$AQ207:AV207)-SUM($CK207:CQ207)</f>
        <v>-40</v>
      </c>
      <c r="BU207" s="1">
        <f>SUM($AP207,$AQ207:AW207)-SUM($CK207:CR207)</f>
        <v>-120</v>
      </c>
      <c r="BV207" s="1">
        <f>SUM($AP207,$AQ207:AX207)-SUM($CK207:CS207)</f>
        <v>-240</v>
      </c>
      <c r="BW207" s="1">
        <f>SUM($AP207,$AQ207:AY207)-SUM($CK207:CT207)</f>
        <v>-400</v>
      </c>
      <c r="BX207" s="1">
        <f>SUM($AP207,$AQ207:AZ207)-SUM($CK207:CU207)</f>
        <v>-600</v>
      </c>
      <c r="BY207" s="1">
        <f>SUM($AP207,$AQ207:BA207)-SUM($CK207:CV207)</f>
        <v>-840</v>
      </c>
      <c r="BZ207" s="1">
        <f>SUM($AP207,$AQ207:BB207)-SUM($CK207:CW207)</f>
        <v>-1120</v>
      </c>
      <c r="CA207" s="1">
        <f>SUM($AP207,$AQ207:BC207)-SUM($CK207:CX207)</f>
        <v>-1440</v>
      </c>
      <c r="CB207" s="1">
        <f>SUM($AP207,$AQ207:BD207)-SUM($CK207:CY207)</f>
        <v>-1800</v>
      </c>
      <c r="CC207" s="1">
        <f>SUM($AP207,$AQ207:BE207)-SUM($CK207:CZ207)</f>
        <v>-2200</v>
      </c>
      <c r="CD207" s="1">
        <f>SUM($AP207,$AQ207:BF207)-SUM($CK207:DA207)</f>
        <v>-2640</v>
      </c>
      <c r="CE207" s="1">
        <f>SUM($AP207,$AQ207:BG207)-SUM($CK207:DB207)</f>
        <v>-3120</v>
      </c>
      <c r="CF207" s="1">
        <f>SUM($AP207,$AQ207:BH207)-SUM($CK207:DC207)</f>
        <v>-3640</v>
      </c>
      <c r="CG207" s="1">
        <f>SUM($AP207,$AQ207:BI207)-SUM($CK207:DD207)</f>
        <v>-3640</v>
      </c>
      <c r="CK207" s="1">
        <f t="array" ref="CK207">SUMPRODUCT($H207:$Y207,(TRANSPOSE(CK$2:CK$19)))</f>
        <v>0</v>
      </c>
      <c r="CL207" s="1">
        <f t="array" ref="CL207">SUMPRODUCT($H207:$Y207,(TRANSPOSE(CL$2:CL$19)))</f>
        <v>0</v>
      </c>
      <c r="CM207" s="1">
        <f t="array" ref="CM207">SUMPRODUCT($H207:$Y207,(TRANSPOSE(CM$2:CM$19)))</f>
        <v>0</v>
      </c>
      <c r="CN207" s="1">
        <f t="array" ref="CN207">SUMPRODUCT($H207:$Y207,(TRANSPOSE(CN$2:CN$19)))</f>
        <v>0</v>
      </c>
      <c r="CO207" s="1">
        <f t="array" ref="CO207">SUMPRODUCT($H207:$Y207,(TRANSPOSE(CO$2:CO$19)))</f>
        <v>0</v>
      </c>
      <c r="CP207" s="1">
        <f t="array" ref="CP207">SUMPRODUCT($H207:$Y207,(TRANSPOSE(CP$2:CP$19)))</f>
        <v>0</v>
      </c>
      <c r="CQ207" s="1">
        <f t="array" ref="CQ207">SUMPRODUCT($H207:$Y207,(TRANSPOSE(CQ$2:CQ$19)))</f>
        <v>40</v>
      </c>
      <c r="CR207" s="1">
        <f t="array" ref="CR207">SUMPRODUCT($H207:$Y207,(TRANSPOSE(CR$2:CR$19)))</f>
        <v>80</v>
      </c>
      <c r="CS207" s="1">
        <f t="array" ref="CS207">SUMPRODUCT($H207:$Y207,(TRANSPOSE(CS$2:CS$19)))</f>
        <v>120</v>
      </c>
      <c r="CT207" s="1">
        <f t="array" ref="CT207">SUMPRODUCT($H207:$Y207,(TRANSPOSE(CT$2:CT$19)))</f>
        <v>160</v>
      </c>
      <c r="CU207" s="1">
        <f t="array" ref="CU207">SUMPRODUCT($H207:$Y207,(TRANSPOSE(CU$2:CU$19)))</f>
        <v>200</v>
      </c>
      <c r="CV207" s="1">
        <f t="array" ref="CV207">SUMPRODUCT($H207:$Y207,(TRANSPOSE(CV$2:CV$19)))</f>
        <v>240</v>
      </c>
      <c r="CW207" s="1">
        <f t="array" ref="CW207">SUMPRODUCT($H207:$Y207,(TRANSPOSE(CW$2:CW$19)))</f>
        <v>280</v>
      </c>
      <c r="CX207" s="1">
        <f t="array" ref="CX207">SUMPRODUCT($H207:$Y207,(TRANSPOSE(CX$2:CX$19)))</f>
        <v>320</v>
      </c>
      <c r="CY207" s="1">
        <f t="array" ref="CY207">SUMPRODUCT($H207:$Y207,(TRANSPOSE(CY$2:CY$19)))</f>
        <v>360</v>
      </c>
      <c r="CZ207" s="1">
        <f t="array" ref="CZ207">SUMPRODUCT($H207:$Y207,(TRANSPOSE(CZ$2:CZ$19)))</f>
        <v>400</v>
      </c>
      <c r="DA207" s="1">
        <f t="array" ref="DA207">SUMPRODUCT($H207:$Y207,(TRANSPOSE(DA$2:DA$19)))</f>
        <v>440</v>
      </c>
      <c r="DB207" s="1">
        <f t="array" ref="DB207">SUMPRODUCT($H207:$Y207,(TRANSPOSE(DB$2:DB$19)))</f>
        <v>480</v>
      </c>
      <c r="DC207" s="1">
        <f t="array" ref="DC207">SUMPRODUCT($H207:$Y207,(TRANSPOSE(DC$2:DC$19)))</f>
        <v>520</v>
      </c>
      <c r="DD207" s="1">
        <f t="array" ref="DD207">SUMPRODUCT($H207:$Y207,(TRANSPOSE(DD$2:DD$19)))</f>
        <v>0</v>
      </c>
    </row>
    <row r="208" spans="1:108" x14ac:dyDescent="0.2">
      <c r="A208" s="1">
        <v>230</v>
      </c>
      <c r="B208" s="10" t="s">
        <v>378</v>
      </c>
      <c r="C208" s="1" t="s">
        <v>22</v>
      </c>
      <c r="D208" s="1" t="s">
        <v>377</v>
      </c>
      <c r="F208" s="1" t="s">
        <v>376</v>
      </c>
      <c r="G208" s="1" t="s">
        <v>20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2</v>
      </c>
      <c r="S208" s="1">
        <v>0</v>
      </c>
      <c r="T208" s="1">
        <v>0</v>
      </c>
      <c r="U208" s="1">
        <v>0</v>
      </c>
      <c r="V208" s="1">
        <v>2</v>
      </c>
      <c r="W208" s="1">
        <v>0</v>
      </c>
      <c r="X208" s="1">
        <v>0</v>
      </c>
      <c r="Y208" s="1">
        <v>0</v>
      </c>
      <c r="Z208" s="1">
        <f>SUM(H208:Y208)</f>
        <v>4</v>
      </c>
      <c r="AA208" s="1">
        <f>SUMPRODUCT(H208:Y208,$H$16:$Y$16)</f>
        <v>3640</v>
      </c>
      <c r="AB208" s="1" t="s">
        <v>372</v>
      </c>
      <c r="AC208" s="1">
        <v>6.8</v>
      </c>
      <c r="AD208" s="9"/>
      <c r="AE208" s="1" t="s">
        <v>28</v>
      </c>
      <c r="AF208" s="1">
        <f>AC208</f>
        <v>6.8</v>
      </c>
      <c r="AH208" s="1">
        <v>1</v>
      </c>
      <c r="AI208" s="1" t="s">
        <v>371</v>
      </c>
      <c r="AK208" s="1" t="s">
        <v>370</v>
      </c>
      <c r="AL208" s="1" t="s">
        <v>369</v>
      </c>
      <c r="AM208" s="1" t="s">
        <v>368</v>
      </c>
      <c r="AN208" s="2" t="s">
        <v>367</v>
      </c>
      <c r="BO208" s="1">
        <f>SUM($AP208,$AQ208:AQ208)-SUM($CK208:CL208)</f>
        <v>0</v>
      </c>
      <c r="BP208" s="1">
        <f>SUM($AP208,$AQ208:AR208)-SUM($CK208:CM208)</f>
        <v>0</v>
      </c>
      <c r="BQ208" s="1">
        <f>SUM($AP208,$AQ208:AS208)-SUM($CK208:CN208)</f>
        <v>0</v>
      </c>
      <c r="BR208" s="1">
        <f>SUM($AP208,$AQ208:AT208)-SUM($CK208:CO208)</f>
        <v>0</v>
      </c>
      <c r="BS208" s="1">
        <f>SUM($AP208,$AQ208:AU208)-SUM($CK208:CP208)</f>
        <v>0</v>
      </c>
      <c r="BT208" s="1">
        <f>SUM($AP208,$AQ208:AV208)-SUM($CK208:CQ208)</f>
        <v>-40</v>
      </c>
      <c r="BU208" s="1">
        <f>SUM($AP208,$AQ208:AW208)-SUM($CK208:CR208)</f>
        <v>-120</v>
      </c>
      <c r="BV208" s="1">
        <f>SUM($AP208,$AQ208:AX208)-SUM($CK208:CS208)</f>
        <v>-240</v>
      </c>
      <c r="BW208" s="1">
        <f>SUM($AP208,$AQ208:AY208)-SUM($CK208:CT208)</f>
        <v>-400</v>
      </c>
      <c r="BX208" s="1">
        <f>SUM($AP208,$AQ208:AZ208)-SUM($CK208:CU208)</f>
        <v>-600</v>
      </c>
      <c r="BY208" s="1">
        <f>SUM($AP208,$AQ208:BA208)-SUM($CK208:CV208)</f>
        <v>-840</v>
      </c>
      <c r="BZ208" s="1">
        <f>SUM($AP208,$AQ208:BB208)-SUM($CK208:CW208)</f>
        <v>-1120</v>
      </c>
      <c r="CA208" s="1">
        <f>SUM($AP208,$AQ208:BC208)-SUM($CK208:CX208)</f>
        <v>-1440</v>
      </c>
      <c r="CB208" s="1">
        <f>SUM($AP208,$AQ208:BD208)-SUM($CK208:CY208)</f>
        <v>-1800</v>
      </c>
      <c r="CC208" s="1">
        <f>SUM($AP208,$AQ208:BE208)-SUM($CK208:CZ208)</f>
        <v>-2200</v>
      </c>
      <c r="CD208" s="1">
        <f>SUM($AP208,$AQ208:BF208)-SUM($CK208:DA208)</f>
        <v>-2640</v>
      </c>
      <c r="CE208" s="1">
        <f>SUM($AP208,$AQ208:BG208)-SUM($CK208:DB208)</f>
        <v>-3120</v>
      </c>
      <c r="CF208" s="1">
        <f>SUM($AP208,$AQ208:BH208)-SUM($CK208:DC208)</f>
        <v>-3640</v>
      </c>
      <c r="CG208" s="1">
        <f>SUM($AP208,$AQ208:BI208)-SUM($CK208:DD208)</f>
        <v>-3640</v>
      </c>
      <c r="CK208" s="1">
        <f t="array" ref="CK208">SUMPRODUCT($H208:$Y208,(TRANSPOSE(CK$2:CK$19)))</f>
        <v>0</v>
      </c>
      <c r="CL208" s="1">
        <f t="array" ref="CL208">SUMPRODUCT($H208:$Y208,(TRANSPOSE(CL$2:CL$19)))</f>
        <v>0</v>
      </c>
      <c r="CM208" s="1">
        <f t="array" ref="CM208">SUMPRODUCT($H208:$Y208,(TRANSPOSE(CM$2:CM$19)))</f>
        <v>0</v>
      </c>
      <c r="CN208" s="1">
        <f t="array" ref="CN208">SUMPRODUCT($H208:$Y208,(TRANSPOSE(CN$2:CN$19)))</f>
        <v>0</v>
      </c>
      <c r="CO208" s="1">
        <f t="array" ref="CO208">SUMPRODUCT($H208:$Y208,(TRANSPOSE(CO$2:CO$19)))</f>
        <v>0</v>
      </c>
      <c r="CP208" s="1">
        <f t="array" ref="CP208">SUMPRODUCT($H208:$Y208,(TRANSPOSE(CP$2:CP$19)))</f>
        <v>0</v>
      </c>
      <c r="CQ208" s="1">
        <f t="array" ref="CQ208">SUMPRODUCT($H208:$Y208,(TRANSPOSE(CQ$2:CQ$19)))</f>
        <v>40</v>
      </c>
      <c r="CR208" s="1">
        <f t="array" ref="CR208">SUMPRODUCT($H208:$Y208,(TRANSPOSE(CR$2:CR$19)))</f>
        <v>80</v>
      </c>
      <c r="CS208" s="1">
        <f t="array" ref="CS208">SUMPRODUCT($H208:$Y208,(TRANSPOSE(CS$2:CS$19)))</f>
        <v>120</v>
      </c>
      <c r="CT208" s="1">
        <f t="array" ref="CT208">SUMPRODUCT($H208:$Y208,(TRANSPOSE(CT$2:CT$19)))</f>
        <v>160</v>
      </c>
      <c r="CU208" s="1">
        <f t="array" ref="CU208">SUMPRODUCT($H208:$Y208,(TRANSPOSE(CU$2:CU$19)))</f>
        <v>200</v>
      </c>
      <c r="CV208" s="1">
        <f t="array" ref="CV208">SUMPRODUCT($H208:$Y208,(TRANSPOSE(CV$2:CV$19)))</f>
        <v>240</v>
      </c>
      <c r="CW208" s="1">
        <f t="array" ref="CW208">SUMPRODUCT($H208:$Y208,(TRANSPOSE(CW$2:CW$19)))</f>
        <v>280</v>
      </c>
      <c r="CX208" s="1">
        <f t="array" ref="CX208">SUMPRODUCT($H208:$Y208,(TRANSPOSE(CX$2:CX$19)))</f>
        <v>320</v>
      </c>
      <c r="CY208" s="1">
        <f t="array" ref="CY208">SUMPRODUCT($H208:$Y208,(TRANSPOSE(CY$2:CY$19)))</f>
        <v>360</v>
      </c>
      <c r="CZ208" s="1">
        <f t="array" ref="CZ208">SUMPRODUCT($H208:$Y208,(TRANSPOSE(CZ$2:CZ$19)))</f>
        <v>400</v>
      </c>
      <c r="DA208" s="1">
        <f t="array" ref="DA208">SUMPRODUCT($H208:$Y208,(TRANSPOSE(DA$2:DA$19)))</f>
        <v>440</v>
      </c>
      <c r="DB208" s="1">
        <f t="array" ref="DB208">SUMPRODUCT($H208:$Y208,(TRANSPOSE(DB$2:DB$19)))</f>
        <v>480</v>
      </c>
      <c r="DC208" s="1">
        <f t="array" ref="DC208">SUMPRODUCT($H208:$Y208,(TRANSPOSE(DC$2:DC$19)))</f>
        <v>520</v>
      </c>
      <c r="DD208" s="1">
        <f t="array" ref="DD208">SUMPRODUCT($H208:$Y208,(TRANSPOSE(DD$2:DD$19)))</f>
        <v>0</v>
      </c>
    </row>
    <row r="209" spans="1:108" x14ac:dyDescent="0.2">
      <c r="A209" s="1">
        <v>231</v>
      </c>
      <c r="B209" s="10" t="s">
        <v>375</v>
      </c>
      <c r="C209" s="1" t="s">
        <v>22</v>
      </c>
      <c r="D209" s="1" t="s">
        <v>374</v>
      </c>
      <c r="F209" s="1" t="s">
        <v>373</v>
      </c>
      <c r="G209" s="1" t="s">
        <v>20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2</v>
      </c>
      <c r="S209" s="1">
        <v>0</v>
      </c>
      <c r="T209" s="1">
        <v>0</v>
      </c>
      <c r="U209" s="1">
        <v>0</v>
      </c>
      <c r="V209" s="1">
        <v>2</v>
      </c>
      <c r="W209" s="1">
        <v>0</v>
      </c>
      <c r="X209" s="1">
        <v>0</v>
      </c>
      <c r="Y209" s="1">
        <v>0</v>
      </c>
      <c r="Z209" s="1">
        <f>SUM(H209:Y209)</f>
        <v>4</v>
      </c>
      <c r="AA209" s="1">
        <f>SUMPRODUCT(H209:Y209,$H$16:$Y$16)</f>
        <v>3640</v>
      </c>
      <c r="AB209" s="1" t="s">
        <v>372</v>
      </c>
      <c r="AC209" s="1">
        <v>7.5</v>
      </c>
      <c r="AD209" s="9"/>
      <c r="AE209" s="1" t="s">
        <v>28</v>
      </c>
      <c r="AF209" s="1">
        <f>AC209</f>
        <v>7.5</v>
      </c>
      <c r="AH209" s="1">
        <v>1</v>
      </c>
      <c r="AI209" s="1" t="s">
        <v>371</v>
      </c>
      <c r="AK209" s="1" t="s">
        <v>370</v>
      </c>
      <c r="AL209" s="1" t="s">
        <v>369</v>
      </c>
      <c r="AM209" s="1" t="s">
        <v>368</v>
      </c>
      <c r="AN209" s="2" t="s">
        <v>367</v>
      </c>
      <c r="BO209" s="1">
        <f>SUM($AP209,$AQ209:AQ209)-SUM($CK209:CL209)</f>
        <v>0</v>
      </c>
      <c r="BP209" s="1">
        <f>SUM($AP209,$AQ209:AR209)-SUM($CK209:CM209)</f>
        <v>0</v>
      </c>
      <c r="BQ209" s="1">
        <f>SUM($AP209,$AQ209:AS209)-SUM($CK209:CN209)</f>
        <v>0</v>
      </c>
      <c r="BR209" s="1">
        <f>SUM($AP209,$AQ209:AT209)-SUM($CK209:CO209)</f>
        <v>0</v>
      </c>
      <c r="BS209" s="1">
        <f>SUM($AP209,$AQ209:AU209)-SUM($CK209:CP209)</f>
        <v>0</v>
      </c>
      <c r="BT209" s="1">
        <f>SUM($AP209,$AQ209:AV209)-SUM($CK209:CQ209)</f>
        <v>-40</v>
      </c>
      <c r="BU209" s="1">
        <f>SUM($AP209,$AQ209:AW209)-SUM($CK209:CR209)</f>
        <v>-120</v>
      </c>
      <c r="BV209" s="1">
        <f>SUM($AP209,$AQ209:AX209)-SUM($CK209:CS209)</f>
        <v>-240</v>
      </c>
      <c r="BW209" s="1">
        <f>SUM($AP209,$AQ209:AY209)-SUM($CK209:CT209)</f>
        <v>-400</v>
      </c>
      <c r="BX209" s="1">
        <f>SUM($AP209,$AQ209:AZ209)-SUM($CK209:CU209)</f>
        <v>-600</v>
      </c>
      <c r="BY209" s="1">
        <f>SUM($AP209,$AQ209:BA209)-SUM($CK209:CV209)</f>
        <v>-840</v>
      </c>
      <c r="BZ209" s="1">
        <f>SUM($AP209,$AQ209:BB209)-SUM($CK209:CW209)</f>
        <v>-1120</v>
      </c>
      <c r="CA209" s="1">
        <f>SUM($AP209,$AQ209:BC209)-SUM($CK209:CX209)</f>
        <v>-1440</v>
      </c>
      <c r="CB209" s="1">
        <f>SUM($AP209,$AQ209:BD209)-SUM($CK209:CY209)</f>
        <v>-1800</v>
      </c>
      <c r="CC209" s="1">
        <f>SUM($AP209,$AQ209:BE209)-SUM($CK209:CZ209)</f>
        <v>-2200</v>
      </c>
      <c r="CD209" s="1">
        <f>SUM($AP209,$AQ209:BF209)-SUM($CK209:DA209)</f>
        <v>-2640</v>
      </c>
      <c r="CE209" s="1">
        <f>SUM($AP209,$AQ209:BG209)-SUM($CK209:DB209)</f>
        <v>-3120</v>
      </c>
      <c r="CF209" s="1">
        <f>SUM($AP209,$AQ209:BH209)-SUM($CK209:DC209)</f>
        <v>-3640</v>
      </c>
      <c r="CG209" s="1">
        <f>SUM($AP209,$AQ209:BI209)-SUM($CK209:DD209)</f>
        <v>-3640</v>
      </c>
      <c r="CK209" s="1">
        <f t="array" ref="CK209">SUMPRODUCT($H209:$Y209,(TRANSPOSE(CK$2:CK$19)))</f>
        <v>0</v>
      </c>
      <c r="CL209" s="1">
        <f t="array" ref="CL209">SUMPRODUCT($H209:$Y209,(TRANSPOSE(CL$2:CL$19)))</f>
        <v>0</v>
      </c>
      <c r="CM209" s="1">
        <f t="array" ref="CM209">SUMPRODUCT($H209:$Y209,(TRANSPOSE(CM$2:CM$19)))</f>
        <v>0</v>
      </c>
      <c r="CN209" s="1">
        <f t="array" ref="CN209">SUMPRODUCT($H209:$Y209,(TRANSPOSE(CN$2:CN$19)))</f>
        <v>0</v>
      </c>
      <c r="CO209" s="1">
        <f t="array" ref="CO209">SUMPRODUCT($H209:$Y209,(TRANSPOSE(CO$2:CO$19)))</f>
        <v>0</v>
      </c>
      <c r="CP209" s="1">
        <f t="array" ref="CP209">SUMPRODUCT($H209:$Y209,(TRANSPOSE(CP$2:CP$19)))</f>
        <v>0</v>
      </c>
      <c r="CQ209" s="1">
        <f t="array" ref="CQ209">SUMPRODUCT($H209:$Y209,(TRANSPOSE(CQ$2:CQ$19)))</f>
        <v>40</v>
      </c>
      <c r="CR209" s="1">
        <f t="array" ref="CR209">SUMPRODUCT($H209:$Y209,(TRANSPOSE(CR$2:CR$19)))</f>
        <v>80</v>
      </c>
      <c r="CS209" s="1">
        <f t="array" ref="CS209">SUMPRODUCT($H209:$Y209,(TRANSPOSE(CS$2:CS$19)))</f>
        <v>120</v>
      </c>
      <c r="CT209" s="1">
        <f t="array" ref="CT209">SUMPRODUCT($H209:$Y209,(TRANSPOSE(CT$2:CT$19)))</f>
        <v>160</v>
      </c>
      <c r="CU209" s="1">
        <f t="array" ref="CU209">SUMPRODUCT($H209:$Y209,(TRANSPOSE(CU$2:CU$19)))</f>
        <v>200</v>
      </c>
      <c r="CV209" s="1">
        <f t="array" ref="CV209">SUMPRODUCT($H209:$Y209,(TRANSPOSE(CV$2:CV$19)))</f>
        <v>240</v>
      </c>
      <c r="CW209" s="1">
        <f t="array" ref="CW209">SUMPRODUCT($H209:$Y209,(TRANSPOSE(CW$2:CW$19)))</f>
        <v>280</v>
      </c>
      <c r="CX209" s="1">
        <f t="array" ref="CX209">SUMPRODUCT($H209:$Y209,(TRANSPOSE(CX$2:CX$19)))</f>
        <v>320</v>
      </c>
      <c r="CY209" s="1">
        <f t="array" ref="CY209">SUMPRODUCT($H209:$Y209,(TRANSPOSE(CY$2:CY$19)))</f>
        <v>360</v>
      </c>
      <c r="CZ209" s="1">
        <f t="array" ref="CZ209">SUMPRODUCT($H209:$Y209,(TRANSPOSE(CZ$2:CZ$19)))</f>
        <v>400</v>
      </c>
      <c r="DA209" s="1">
        <f t="array" ref="DA209">SUMPRODUCT($H209:$Y209,(TRANSPOSE(DA$2:DA$19)))</f>
        <v>440</v>
      </c>
      <c r="DB209" s="1">
        <f t="array" ref="DB209">SUMPRODUCT($H209:$Y209,(TRANSPOSE(DB$2:DB$19)))</f>
        <v>480</v>
      </c>
      <c r="DC209" s="1">
        <f t="array" ref="DC209">SUMPRODUCT($H209:$Y209,(TRANSPOSE(DC$2:DC$19)))</f>
        <v>520</v>
      </c>
      <c r="DD209" s="1">
        <f t="array" ref="DD209">SUMPRODUCT($H209:$Y209,(TRANSPOSE(DD$2:DD$19)))</f>
        <v>0</v>
      </c>
    </row>
    <row r="210" spans="1:108" x14ac:dyDescent="0.2">
      <c r="A210" s="1">
        <v>232</v>
      </c>
      <c r="B210" s="10" t="s">
        <v>366</v>
      </c>
      <c r="C210" s="1" t="s">
        <v>38</v>
      </c>
      <c r="D210" s="1">
        <v>400176910</v>
      </c>
      <c r="E210" s="1">
        <v>400032153</v>
      </c>
      <c r="F210" s="1" t="s">
        <v>365</v>
      </c>
      <c r="G210" s="1" t="s">
        <v>20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32</v>
      </c>
      <c r="T210" s="1">
        <v>0</v>
      </c>
      <c r="U210" s="1">
        <v>0</v>
      </c>
      <c r="V210" s="1">
        <v>0</v>
      </c>
      <c r="W210" s="1">
        <v>32</v>
      </c>
      <c r="X210" s="1">
        <v>0</v>
      </c>
      <c r="Y210" s="1">
        <v>0</v>
      </c>
      <c r="Z210" s="1">
        <f>SUM(H210:Y210)</f>
        <v>64</v>
      </c>
      <c r="AA210" s="1">
        <f>SUMPRODUCT(H210:Y210,$H$16:$Y$16)</f>
        <v>58240</v>
      </c>
      <c r="AB210" s="1" t="s">
        <v>364</v>
      </c>
      <c r="AC210" s="1">
        <v>8.59</v>
      </c>
      <c r="AD210" s="9"/>
      <c r="AE210" s="1" t="s">
        <v>28</v>
      </c>
      <c r="AF210" s="1">
        <f>AC210</f>
        <v>8.59</v>
      </c>
      <c r="AH210" s="1">
        <v>1</v>
      </c>
      <c r="AI210" s="1" t="s">
        <v>363</v>
      </c>
      <c r="AK210" s="1" t="s">
        <v>183</v>
      </c>
      <c r="AL210" s="1" t="s">
        <v>182</v>
      </c>
      <c r="AM210" s="1" t="s">
        <v>181</v>
      </c>
      <c r="AN210" s="2" t="s">
        <v>180</v>
      </c>
      <c r="BO210" s="1">
        <f>SUM($AP210,$AQ210:AQ210)-SUM($CK210:CL210)</f>
        <v>0</v>
      </c>
      <c r="BP210" s="1">
        <f>SUM($AP210,$AQ210:AR210)-SUM($CK210:CM210)</f>
        <v>0</v>
      </c>
      <c r="BQ210" s="1">
        <f>SUM($AP210,$AQ210:AS210)-SUM($CK210:CN210)</f>
        <v>0</v>
      </c>
      <c r="BR210" s="1">
        <f>SUM($AP210,$AQ210:AT210)-SUM($CK210:CO210)</f>
        <v>0</v>
      </c>
      <c r="BS210" s="1">
        <f>SUM($AP210,$AQ210:AU210)-SUM($CK210:CP210)</f>
        <v>-640</v>
      </c>
      <c r="BT210" s="1">
        <f>SUM($AP210,$AQ210:AV210)-SUM($CK210:CQ210)</f>
        <v>-1920</v>
      </c>
      <c r="BU210" s="1">
        <f>SUM($AP210,$AQ210:AW210)-SUM($CK210:CR210)</f>
        <v>-3840</v>
      </c>
      <c r="BV210" s="1">
        <f>SUM($AP210,$AQ210:AX210)-SUM($CK210:CS210)</f>
        <v>-6400</v>
      </c>
      <c r="BW210" s="1">
        <f>SUM($AP210,$AQ210:AY210)-SUM($CK210:CT210)</f>
        <v>-9600</v>
      </c>
      <c r="BX210" s="1">
        <f>SUM($AP210,$AQ210:AZ210)-SUM($CK210:CU210)</f>
        <v>-13440</v>
      </c>
      <c r="BY210" s="1">
        <f>SUM($AP210,$AQ210:BA210)-SUM($CK210:CV210)</f>
        <v>-17920</v>
      </c>
      <c r="BZ210" s="1">
        <f>SUM($AP210,$AQ210:BB210)-SUM($CK210:CW210)</f>
        <v>-23040</v>
      </c>
      <c r="CA210" s="1">
        <f>SUM($AP210,$AQ210:BC210)-SUM($CK210:CX210)</f>
        <v>-28800</v>
      </c>
      <c r="CB210" s="1">
        <f>SUM($AP210,$AQ210:BD210)-SUM($CK210:CY210)</f>
        <v>-35200</v>
      </c>
      <c r="CC210" s="1">
        <f>SUM($AP210,$AQ210:BE210)-SUM($CK210:CZ210)</f>
        <v>-42240</v>
      </c>
      <c r="CD210" s="1">
        <f>SUM($AP210,$AQ210:BF210)-SUM($CK210:DA210)</f>
        <v>-49920</v>
      </c>
      <c r="CE210" s="1">
        <f>SUM($AP210,$AQ210:BG210)-SUM($CK210:DB210)</f>
        <v>-58240</v>
      </c>
      <c r="CF210" s="1">
        <f>SUM($AP210,$AQ210:BH210)-SUM($CK210:DC210)</f>
        <v>-58240</v>
      </c>
      <c r="CG210" s="1">
        <f>SUM($AP210,$AQ210:BI210)-SUM($CK210:DD210)</f>
        <v>-58240</v>
      </c>
      <c r="CK210" s="1">
        <f t="array" ref="CK210">SUMPRODUCT($H210:$Y210,(TRANSPOSE(CK$2:CK$19)))</f>
        <v>0</v>
      </c>
      <c r="CL210" s="1">
        <f t="array" ref="CL210">SUMPRODUCT($H210:$Y210,(TRANSPOSE(CL$2:CL$19)))</f>
        <v>0</v>
      </c>
      <c r="CM210" s="1">
        <f t="array" ref="CM210">SUMPRODUCT($H210:$Y210,(TRANSPOSE(CM$2:CM$19)))</f>
        <v>0</v>
      </c>
      <c r="CN210" s="1">
        <f t="array" ref="CN210">SUMPRODUCT($H210:$Y210,(TRANSPOSE(CN$2:CN$19)))</f>
        <v>0</v>
      </c>
      <c r="CO210" s="1">
        <f t="array" ref="CO210">SUMPRODUCT($H210:$Y210,(TRANSPOSE(CO$2:CO$19)))</f>
        <v>0</v>
      </c>
      <c r="CP210" s="1">
        <f t="array" ref="CP210">SUMPRODUCT($H210:$Y210,(TRANSPOSE(CP$2:CP$19)))</f>
        <v>640</v>
      </c>
      <c r="CQ210" s="1">
        <f t="array" ref="CQ210">SUMPRODUCT($H210:$Y210,(TRANSPOSE(CQ$2:CQ$19)))</f>
        <v>1280</v>
      </c>
      <c r="CR210" s="1">
        <f t="array" ref="CR210">SUMPRODUCT($H210:$Y210,(TRANSPOSE(CR$2:CR$19)))</f>
        <v>1920</v>
      </c>
      <c r="CS210" s="1">
        <f t="array" ref="CS210">SUMPRODUCT($H210:$Y210,(TRANSPOSE(CS$2:CS$19)))</f>
        <v>2560</v>
      </c>
      <c r="CT210" s="1">
        <f t="array" ref="CT210">SUMPRODUCT($H210:$Y210,(TRANSPOSE(CT$2:CT$19)))</f>
        <v>3200</v>
      </c>
      <c r="CU210" s="1">
        <f t="array" ref="CU210">SUMPRODUCT($H210:$Y210,(TRANSPOSE(CU$2:CU$19)))</f>
        <v>3840</v>
      </c>
      <c r="CV210" s="1">
        <f t="array" ref="CV210">SUMPRODUCT($H210:$Y210,(TRANSPOSE(CV$2:CV$19)))</f>
        <v>4480</v>
      </c>
      <c r="CW210" s="1">
        <f t="array" ref="CW210">SUMPRODUCT($H210:$Y210,(TRANSPOSE(CW$2:CW$19)))</f>
        <v>5120</v>
      </c>
      <c r="CX210" s="1">
        <f t="array" ref="CX210">SUMPRODUCT($H210:$Y210,(TRANSPOSE(CX$2:CX$19)))</f>
        <v>5760</v>
      </c>
      <c r="CY210" s="1">
        <f t="array" ref="CY210">SUMPRODUCT($H210:$Y210,(TRANSPOSE(CY$2:CY$19)))</f>
        <v>6400</v>
      </c>
      <c r="CZ210" s="1">
        <f t="array" ref="CZ210">SUMPRODUCT($H210:$Y210,(TRANSPOSE(CZ$2:CZ$19)))</f>
        <v>7040</v>
      </c>
      <c r="DA210" s="1">
        <f t="array" ref="DA210">SUMPRODUCT($H210:$Y210,(TRANSPOSE(DA$2:DA$19)))</f>
        <v>7680</v>
      </c>
      <c r="DB210" s="1">
        <f t="array" ref="DB210">SUMPRODUCT($H210:$Y210,(TRANSPOSE(DB$2:DB$19)))</f>
        <v>8320</v>
      </c>
      <c r="DC210" s="1">
        <f t="array" ref="DC210">SUMPRODUCT($H210:$Y210,(TRANSPOSE(DC$2:DC$19)))</f>
        <v>0</v>
      </c>
      <c r="DD210" s="1">
        <f t="array" ref="DD210">SUMPRODUCT($H210:$Y210,(TRANSPOSE(DD$2:DD$19)))</f>
        <v>0</v>
      </c>
    </row>
    <row r="211" spans="1:108" x14ac:dyDescent="0.2">
      <c r="A211" s="1">
        <v>233</v>
      </c>
      <c r="B211" s="10" t="s">
        <v>362</v>
      </c>
      <c r="C211" s="1" t="s">
        <v>38</v>
      </c>
      <c r="D211" s="1">
        <v>731587267</v>
      </c>
      <c r="E211" s="1" t="s">
        <v>361</v>
      </c>
      <c r="F211" s="1" t="s">
        <v>360</v>
      </c>
      <c r="G211" s="1" t="s">
        <v>125</v>
      </c>
      <c r="H211" s="1">
        <v>0</v>
      </c>
      <c r="I211" s="1">
        <v>0</v>
      </c>
      <c r="J211" s="1">
        <v>0.05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0.05</v>
      </c>
      <c r="S211" s="1">
        <v>0</v>
      </c>
      <c r="T211" s="1">
        <v>0</v>
      </c>
      <c r="U211" s="1">
        <v>0</v>
      </c>
      <c r="V211" s="1">
        <v>0.05</v>
      </c>
      <c r="W211" s="1">
        <v>0</v>
      </c>
      <c r="X211" s="1">
        <v>0</v>
      </c>
      <c r="Y211" s="1">
        <v>0</v>
      </c>
      <c r="Z211" s="1">
        <f>SUM(H211:Y211)</f>
        <v>0.15000000000000002</v>
      </c>
      <c r="AA211" s="1">
        <f>SUMPRODUCT(H211:Y211,$H$16:$Y$16)</f>
        <v>136.5</v>
      </c>
      <c r="AB211" s="1" t="s">
        <v>18</v>
      </c>
      <c r="AC211" s="1">
        <v>0</v>
      </c>
      <c r="AD211" s="9"/>
      <c r="AE211" s="1" t="s">
        <v>19</v>
      </c>
      <c r="AF211" s="1">
        <f>AC211</f>
        <v>0</v>
      </c>
      <c r="AG211" s="1">
        <v>1</v>
      </c>
      <c r="AH211" s="1">
        <v>1</v>
      </c>
      <c r="AI211" s="1" t="s">
        <v>18</v>
      </c>
      <c r="AJ211" s="1" t="s">
        <v>18</v>
      </c>
      <c r="AK211" s="1" t="s">
        <v>18</v>
      </c>
      <c r="AL211" s="1" t="s">
        <v>18</v>
      </c>
      <c r="AM211" s="1" t="s">
        <v>18</v>
      </c>
      <c r="AN211" s="2" t="s">
        <v>18</v>
      </c>
      <c r="BO211" s="1">
        <f>SUM($AP211,$AQ211:AQ211)-SUM($CK211:CL211)</f>
        <v>0</v>
      </c>
      <c r="BP211" s="1">
        <f>SUM($AP211,$AQ211:AR211)-SUM($CK211:CM211)</f>
        <v>0</v>
      </c>
      <c r="BQ211" s="1">
        <f>SUM($AP211,$AQ211:AS211)-SUM($CK211:CN211)</f>
        <v>0</v>
      </c>
      <c r="BR211" s="1">
        <f>SUM($AP211,$AQ211:AT211)-SUM($CK211:CO211)</f>
        <v>0</v>
      </c>
      <c r="BS211" s="1">
        <f>SUM($AP211,$AQ211:AU211)-SUM($CK211:CP211)</f>
        <v>-0.5</v>
      </c>
      <c r="BT211" s="1">
        <f>SUM($AP211,$AQ211:AV211)-SUM($CK211:CQ211)</f>
        <v>-2.5</v>
      </c>
      <c r="BU211" s="1">
        <f>SUM($AP211,$AQ211:AW211)-SUM($CK211:CR211)</f>
        <v>-6</v>
      </c>
      <c r="BV211" s="1">
        <f>SUM($AP211,$AQ211:AX211)-SUM($CK211:CS211)</f>
        <v>-11</v>
      </c>
      <c r="BW211" s="1">
        <f>SUM($AP211,$AQ211:AY211)-SUM($CK211:CT211)</f>
        <v>-17.5</v>
      </c>
      <c r="BX211" s="1">
        <f>SUM($AP211,$AQ211:AZ211)-SUM($CK211:CU211)</f>
        <v>-25.5</v>
      </c>
      <c r="BY211" s="1">
        <f>SUM($AP211,$AQ211:BA211)-SUM($CK211:CV211)</f>
        <v>-35</v>
      </c>
      <c r="BZ211" s="1">
        <f>SUM($AP211,$AQ211:BB211)-SUM($CK211:CW211)</f>
        <v>-46</v>
      </c>
      <c r="CA211" s="1">
        <f>SUM($AP211,$AQ211:BC211)-SUM($CK211:CX211)</f>
        <v>-58.5</v>
      </c>
      <c r="CB211" s="1">
        <f>SUM($AP211,$AQ211:BD211)-SUM($CK211:CY211)</f>
        <v>-72.5</v>
      </c>
      <c r="CC211" s="1">
        <f>SUM($AP211,$AQ211:BE211)-SUM($CK211:CZ211)</f>
        <v>-88</v>
      </c>
      <c r="CD211" s="1">
        <f>SUM($AP211,$AQ211:BF211)-SUM($CK211:DA211)</f>
        <v>-105</v>
      </c>
      <c r="CE211" s="1">
        <f>SUM($AP211,$AQ211:BG211)-SUM($CK211:DB211)</f>
        <v>-123.5</v>
      </c>
      <c r="CF211" s="1">
        <f>SUM($AP211,$AQ211:BH211)-SUM($CK211:DC211)</f>
        <v>-136.5</v>
      </c>
      <c r="CG211" s="1">
        <f>SUM($AP211,$AQ211:BI211)-SUM($CK211:DD211)</f>
        <v>-136.5</v>
      </c>
      <c r="CK211" s="1">
        <f t="array" ref="CK211">SUMPRODUCT($H211:$Y211,(TRANSPOSE(CK$2:CK$19)))</f>
        <v>0</v>
      </c>
      <c r="CL211" s="1">
        <f t="array" ref="CL211">SUMPRODUCT($H211:$Y211,(TRANSPOSE(CL$2:CL$19)))</f>
        <v>0</v>
      </c>
      <c r="CM211" s="1">
        <f t="array" ref="CM211">SUMPRODUCT($H211:$Y211,(TRANSPOSE(CM$2:CM$19)))</f>
        <v>0</v>
      </c>
      <c r="CN211" s="1">
        <f t="array" ref="CN211">SUMPRODUCT($H211:$Y211,(TRANSPOSE(CN$2:CN$19)))</f>
        <v>0</v>
      </c>
      <c r="CO211" s="1">
        <f t="array" ref="CO211">SUMPRODUCT($H211:$Y211,(TRANSPOSE(CO$2:CO$19)))</f>
        <v>0</v>
      </c>
      <c r="CP211" s="1">
        <f t="array" ref="CP211">SUMPRODUCT($H211:$Y211,(TRANSPOSE(CP$2:CP$19)))</f>
        <v>0.5</v>
      </c>
      <c r="CQ211" s="1">
        <f t="array" ref="CQ211">SUMPRODUCT($H211:$Y211,(TRANSPOSE(CQ$2:CQ$19)))</f>
        <v>2</v>
      </c>
      <c r="CR211" s="1">
        <f t="array" ref="CR211">SUMPRODUCT($H211:$Y211,(TRANSPOSE(CR$2:CR$19)))</f>
        <v>3.5</v>
      </c>
      <c r="CS211" s="1">
        <f t="array" ref="CS211">SUMPRODUCT($H211:$Y211,(TRANSPOSE(CS$2:CS$19)))</f>
        <v>5</v>
      </c>
      <c r="CT211" s="1">
        <f t="array" ref="CT211">SUMPRODUCT($H211:$Y211,(TRANSPOSE(CT$2:CT$19)))</f>
        <v>6.5</v>
      </c>
      <c r="CU211" s="1">
        <f t="array" ref="CU211">SUMPRODUCT($H211:$Y211,(TRANSPOSE(CU$2:CU$19)))</f>
        <v>8</v>
      </c>
      <c r="CV211" s="1">
        <f t="array" ref="CV211">SUMPRODUCT($H211:$Y211,(TRANSPOSE(CV$2:CV$19)))</f>
        <v>9.5</v>
      </c>
      <c r="CW211" s="1">
        <f t="array" ref="CW211">SUMPRODUCT($H211:$Y211,(TRANSPOSE(CW$2:CW$19)))</f>
        <v>11</v>
      </c>
      <c r="CX211" s="1">
        <f t="array" ref="CX211">SUMPRODUCT($H211:$Y211,(TRANSPOSE(CX$2:CX$19)))</f>
        <v>12.5</v>
      </c>
      <c r="CY211" s="1">
        <f t="array" ref="CY211">SUMPRODUCT($H211:$Y211,(TRANSPOSE(CY$2:CY$19)))</f>
        <v>14</v>
      </c>
      <c r="CZ211" s="1">
        <f t="array" ref="CZ211">SUMPRODUCT($H211:$Y211,(TRANSPOSE(CZ$2:CZ$19)))</f>
        <v>15.5</v>
      </c>
      <c r="DA211" s="1">
        <f t="array" ref="DA211">SUMPRODUCT($H211:$Y211,(TRANSPOSE(DA$2:DA$19)))</f>
        <v>17</v>
      </c>
      <c r="DB211" s="1">
        <f t="array" ref="DB211">SUMPRODUCT($H211:$Y211,(TRANSPOSE(DB$2:DB$19)))</f>
        <v>18.5</v>
      </c>
      <c r="DC211" s="1">
        <f t="array" ref="DC211">SUMPRODUCT($H211:$Y211,(TRANSPOSE(DC$2:DC$19)))</f>
        <v>13</v>
      </c>
      <c r="DD211" s="1">
        <f t="array" ref="DD211">SUMPRODUCT($H211:$Y211,(TRANSPOSE(DD$2:DD$19)))</f>
        <v>0</v>
      </c>
    </row>
    <row r="212" spans="1:108" x14ac:dyDescent="0.2">
      <c r="A212" s="1">
        <v>234</v>
      </c>
      <c r="B212" s="10" t="s">
        <v>359</v>
      </c>
      <c r="C212" s="1" t="s">
        <v>22</v>
      </c>
      <c r="D212" s="1">
        <v>400052375</v>
      </c>
      <c r="E212" s="1">
        <v>400510855</v>
      </c>
      <c r="F212" s="1" t="s">
        <v>358</v>
      </c>
      <c r="G212" s="1" t="s">
        <v>20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4</v>
      </c>
      <c r="V212" s="1">
        <v>0</v>
      </c>
      <c r="W212" s="1">
        <v>0</v>
      </c>
      <c r="X212" s="1">
        <v>0</v>
      </c>
      <c r="Y212" s="1">
        <v>4</v>
      </c>
      <c r="Z212" s="1">
        <f>SUM(H212:Y212)</f>
        <v>8</v>
      </c>
      <c r="AA212" s="1">
        <f>SUMPRODUCT(H212:Y212,$H$16:$Y$16)</f>
        <v>7280</v>
      </c>
      <c r="AB212" s="1" t="s">
        <v>83</v>
      </c>
      <c r="AC212" s="1">
        <f>0.51*1.03</f>
        <v>0.52529999999999999</v>
      </c>
      <c r="AD212" s="9"/>
      <c r="AE212" s="1" t="s">
        <v>28</v>
      </c>
      <c r="AF212" s="1">
        <f>AC212</f>
        <v>0.52529999999999999</v>
      </c>
      <c r="AG212" s="1">
        <v>2500</v>
      </c>
      <c r="AH212" s="1">
        <v>2500</v>
      </c>
      <c r="AI212" s="1">
        <v>41974</v>
      </c>
      <c r="AK212" s="1" t="s">
        <v>81</v>
      </c>
      <c r="AL212" s="1" t="s">
        <v>80</v>
      </c>
      <c r="AM212" s="1" t="s">
        <v>79</v>
      </c>
      <c r="AN212" s="2" t="s">
        <v>78</v>
      </c>
      <c r="BO212" s="1">
        <f>SUM($AP212,$AQ212:AQ212)-SUM($CK212:CL212)</f>
        <v>0</v>
      </c>
      <c r="BP212" s="1">
        <f>SUM($AP212,$AQ212:AR212)-SUM($CK212:CM212)</f>
        <v>0</v>
      </c>
      <c r="BQ212" s="1">
        <f>SUM($AP212,$AQ212:AS212)-SUM($CK212:CN212)</f>
        <v>0</v>
      </c>
      <c r="BR212" s="1">
        <f>SUM($AP212,$AQ212:AT212)-SUM($CK212:CO212)</f>
        <v>-80</v>
      </c>
      <c r="BS212" s="1">
        <f>SUM($AP212,$AQ212:AU212)-SUM($CK212:CP212)</f>
        <v>-240</v>
      </c>
      <c r="BT212" s="1">
        <f>SUM($AP212,$AQ212:AV212)-SUM($CK212:CQ212)</f>
        <v>-480</v>
      </c>
      <c r="BU212" s="1">
        <f>SUM($AP212,$AQ212:AW212)-SUM($CK212:CR212)</f>
        <v>-800</v>
      </c>
      <c r="BV212" s="1">
        <f>SUM($AP212,$AQ212:AX212)-SUM($CK212:CS212)</f>
        <v>-1200</v>
      </c>
      <c r="BW212" s="1">
        <f>SUM($AP212,$AQ212:AY212)-SUM($CK212:CT212)</f>
        <v>-1680</v>
      </c>
      <c r="BX212" s="1">
        <f>SUM($AP212,$AQ212:AZ212)-SUM($CK212:CU212)</f>
        <v>-2240</v>
      </c>
      <c r="BY212" s="1">
        <f>SUM($AP212,$AQ212:BA212)-SUM($CK212:CV212)</f>
        <v>-2880</v>
      </c>
      <c r="BZ212" s="1">
        <f>SUM($AP212,$AQ212:BB212)-SUM($CK212:CW212)</f>
        <v>-3600</v>
      </c>
      <c r="CA212" s="1">
        <f>SUM($AP212,$AQ212:BC212)-SUM($CK212:CX212)</f>
        <v>-4400</v>
      </c>
      <c r="CB212" s="1">
        <f>SUM($AP212,$AQ212:BD212)-SUM($CK212:CY212)</f>
        <v>-5280</v>
      </c>
      <c r="CC212" s="1">
        <f>SUM($AP212,$AQ212:BE212)-SUM($CK212:CZ212)</f>
        <v>-6240</v>
      </c>
      <c r="CD212" s="1">
        <f>SUM($AP212,$AQ212:BF212)-SUM($CK212:DA212)</f>
        <v>-7280</v>
      </c>
      <c r="CE212" s="1">
        <f>SUM($AP212,$AQ212:BG212)-SUM($CK212:DB212)</f>
        <v>-7280</v>
      </c>
      <c r="CF212" s="1">
        <f>SUM($AP212,$AQ212:BH212)-SUM($CK212:DC212)</f>
        <v>-7280</v>
      </c>
      <c r="CG212" s="1">
        <f>SUM($AP212,$AQ212:BI212)-SUM($CK212:DD212)</f>
        <v>-7280</v>
      </c>
      <c r="CK212" s="1">
        <f t="array" ref="CK212">SUMPRODUCT($H212:$Y212,(TRANSPOSE(CK$2:CK$19)))</f>
        <v>0</v>
      </c>
      <c r="CL212" s="1">
        <f t="array" ref="CL212">SUMPRODUCT($H212:$Y212,(TRANSPOSE(CL$2:CL$19)))</f>
        <v>0</v>
      </c>
      <c r="CM212" s="1">
        <f t="array" ref="CM212">SUMPRODUCT($H212:$Y212,(TRANSPOSE(CM$2:CM$19)))</f>
        <v>0</v>
      </c>
      <c r="CN212" s="1">
        <f t="array" ref="CN212">SUMPRODUCT($H212:$Y212,(TRANSPOSE(CN$2:CN$19)))</f>
        <v>0</v>
      </c>
      <c r="CO212" s="1">
        <f t="array" ref="CO212">SUMPRODUCT($H212:$Y212,(TRANSPOSE(CO$2:CO$19)))</f>
        <v>80</v>
      </c>
      <c r="CP212" s="1">
        <f t="array" ref="CP212">SUMPRODUCT($H212:$Y212,(TRANSPOSE(CP$2:CP$19)))</f>
        <v>160</v>
      </c>
      <c r="CQ212" s="1">
        <f t="array" ref="CQ212">SUMPRODUCT($H212:$Y212,(TRANSPOSE(CQ$2:CQ$19)))</f>
        <v>240</v>
      </c>
      <c r="CR212" s="1">
        <f t="array" ref="CR212">SUMPRODUCT($H212:$Y212,(TRANSPOSE(CR$2:CR$19)))</f>
        <v>320</v>
      </c>
      <c r="CS212" s="1">
        <f t="array" ref="CS212">SUMPRODUCT($H212:$Y212,(TRANSPOSE(CS$2:CS$19)))</f>
        <v>400</v>
      </c>
      <c r="CT212" s="1">
        <f t="array" ref="CT212">SUMPRODUCT($H212:$Y212,(TRANSPOSE(CT$2:CT$19)))</f>
        <v>480</v>
      </c>
      <c r="CU212" s="1">
        <f t="array" ref="CU212">SUMPRODUCT($H212:$Y212,(TRANSPOSE(CU$2:CU$19)))</f>
        <v>560</v>
      </c>
      <c r="CV212" s="1">
        <f t="array" ref="CV212">SUMPRODUCT($H212:$Y212,(TRANSPOSE(CV$2:CV$19)))</f>
        <v>640</v>
      </c>
      <c r="CW212" s="1">
        <f t="array" ref="CW212">SUMPRODUCT($H212:$Y212,(TRANSPOSE(CW$2:CW$19)))</f>
        <v>720</v>
      </c>
      <c r="CX212" s="1">
        <f t="array" ref="CX212">SUMPRODUCT($H212:$Y212,(TRANSPOSE(CX$2:CX$19)))</f>
        <v>800</v>
      </c>
      <c r="CY212" s="1">
        <f t="array" ref="CY212">SUMPRODUCT($H212:$Y212,(TRANSPOSE(CY$2:CY$19)))</f>
        <v>880</v>
      </c>
      <c r="CZ212" s="1">
        <f t="array" ref="CZ212">SUMPRODUCT($H212:$Y212,(TRANSPOSE(CZ$2:CZ$19)))</f>
        <v>960</v>
      </c>
      <c r="DA212" s="1">
        <f t="array" ref="DA212">SUMPRODUCT($H212:$Y212,(TRANSPOSE(DA$2:DA$19)))</f>
        <v>1040</v>
      </c>
      <c r="DB212" s="1">
        <f t="array" ref="DB212">SUMPRODUCT($H212:$Y212,(TRANSPOSE(DB$2:DB$19)))</f>
        <v>0</v>
      </c>
      <c r="DC212" s="1">
        <f t="array" ref="DC212">SUMPRODUCT($H212:$Y212,(TRANSPOSE(DC$2:DC$19)))</f>
        <v>0</v>
      </c>
      <c r="DD212" s="1">
        <f t="array" ref="DD212">SUMPRODUCT($H212:$Y212,(TRANSPOSE(DD$2:DD$19)))</f>
        <v>0</v>
      </c>
    </row>
    <row r="213" spans="1:108" x14ac:dyDescent="0.2">
      <c r="A213" s="1">
        <v>235</v>
      </c>
      <c r="B213" s="10" t="s">
        <v>357</v>
      </c>
      <c r="C213" s="1" t="s">
        <v>22</v>
      </c>
      <c r="D213" s="1">
        <v>732002563</v>
      </c>
      <c r="F213" s="1" t="s">
        <v>356</v>
      </c>
      <c r="G213" s="1" t="s">
        <v>125</v>
      </c>
      <c r="H213" s="1">
        <v>0</v>
      </c>
      <c r="I213" s="1">
        <v>0</v>
      </c>
      <c r="J213" s="1">
        <v>0</v>
      </c>
      <c r="K213" s="1">
        <v>0</v>
      </c>
      <c r="L213" s="1">
        <v>0.05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f>SUM(H213:Y213)</f>
        <v>0.05</v>
      </c>
      <c r="AA213" s="1">
        <f>SUMPRODUCT(H213:Y213,$H$16:$Y$16)</f>
        <v>45.5</v>
      </c>
      <c r="AB213" s="1" t="s">
        <v>18</v>
      </c>
      <c r="AC213" s="1">
        <v>0</v>
      </c>
      <c r="AD213" s="9"/>
      <c r="AE213" s="1" t="s">
        <v>19</v>
      </c>
      <c r="AF213" s="1">
        <f>AC213</f>
        <v>0</v>
      </c>
      <c r="AG213" s="1">
        <v>1</v>
      </c>
      <c r="AH213" s="1">
        <v>1</v>
      </c>
      <c r="AI213" s="1" t="s">
        <v>18</v>
      </c>
      <c r="AJ213" s="1" t="s">
        <v>18</v>
      </c>
      <c r="AK213" s="1" t="s">
        <v>18</v>
      </c>
      <c r="AL213" s="1" t="s">
        <v>18</v>
      </c>
      <c r="AM213" s="1" t="s">
        <v>18</v>
      </c>
      <c r="AN213" s="2" t="s">
        <v>18</v>
      </c>
      <c r="BO213" s="1">
        <f>SUM($AP213,$AQ213:AQ213)-SUM($CK213:CL213)</f>
        <v>0</v>
      </c>
      <c r="BP213" s="1">
        <f>SUM($AP213,$AQ213:AR213)-SUM($CK213:CM213)</f>
        <v>0</v>
      </c>
      <c r="BQ213" s="1">
        <f>SUM($AP213,$AQ213:AS213)-SUM($CK213:CN213)</f>
        <v>-0.5</v>
      </c>
      <c r="BR213" s="1">
        <f>SUM($AP213,$AQ213:AT213)-SUM($CK213:CO213)</f>
        <v>-1.5</v>
      </c>
      <c r="BS213" s="1">
        <f>SUM($AP213,$AQ213:AU213)-SUM($CK213:CP213)</f>
        <v>-3</v>
      </c>
      <c r="BT213" s="1">
        <f>SUM($AP213,$AQ213:AV213)-SUM($CK213:CQ213)</f>
        <v>-5</v>
      </c>
      <c r="BU213" s="1">
        <f>SUM($AP213,$AQ213:AW213)-SUM($CK213:CR213)</f>
        <v>-7.5</v>
      </c>
      <c r="BV213" s="1">
        <f>SUM($AP213,$AQ213:AX213)-SUM($CK213:CS213)</f>
        <v>-10.5</v>
      </c>
      <c r="BW213" s="1">
        <f>SUM($AP213,$AQ213:AY213)-SUM($CK213:CT213)</f>
        <v>-14</v>
      </c>
      <c r="BX213" s="1">
        <f>SUM($AP213,$AQ213:AZ213)-SUM($CK213:CU213)</f>
        <v>-18</v>
      </c>
      <c r="BY213" s="1">
        <f>SUM($AP213,$AQ213:BA213)-SUM($CK213:CV213)</f>
        <v>-22.5</v>
      </c>
      <c r="BZ213" s="1">
        <f>SUM($AP213,$AQ213:BB213)-SUM($CK213:CW213)</f>
        <v>-27.5</v>
      </c>
      <c r="CA213" s="1">
        <f>SUM($AP213,$AQ213:BC213)-SUM($CK213:CX213)</f>
        <v>-33</v>
      </c>
      <c r="CB213" s="1">
        <f>SUM($AP213,$AQ213:BD213)-SUM($CK213:CY213)</f>
        <v>-39</v>
      </c>
      <c r="CC213" s="1">
        <f>SUM($AP213,$AQ213:BE213)-SUM($CK213:CZ213)</f>
        <v>-45.5</v>
      </c>
      <c r="CD213" s="1">
        <f>SUM($AP213,$AQ213:BF213)-SUM($CK213:DA213)</f>
        <v>-45.5</v>
      </c>
      <c r="CE213" s="1">
        <f>SUM($AP213,$AQ213:BG213)-SUM($CK213:DB213)</f>
        <v>-45.5</v>
      </c>
      <c r="CF213" s="1">
        <f>SUM($AP213,$AQ213:BH213)-SUM($CK213:DC213)</f>
        <v>-45.5</v>
      </c>
      <c r="CG213" s="1">
        <f>SUM($AP213,$AQ213:BI213)-SUM($CK213:DD213)</f>
        <v>-45.5</v>
      </c>
      <c r="CK213" s="1">
        <f t="array" ref="CK213">SUMPRODUCT($H213:$Y213,(TRANSPOSE(CK$2:CK$19)))</f>
        <v>0</v>
      </c>
      <c r="CL213" s="1">
        <f t="array" ref="CL213">SUMPRODUCT($H213:$Y213,(TRANSPOSE(CL$2:CL$19)))</f>
        <v>0</v>
      </c>
      <c r="CM213" s="1">
        <f t="array" ref="CM213">SUMPRODUCT($H213:$Y213,(TRANSPOSE(CM$2:CM$19)))</f>
        <v>0</v>
      </c>
      <c r="CN213" s="1">
        <f t="array" ref="CN213">SUMPRODUCT($H213:$Y213,(TRANSPOSE(CN$2:CN$19)))</f>
        <v>0.5</v>
      </c>
      <c r="CO213" s="1">
        <f t="array" ref="CO213">SUMPRODUCT($H213:$Y213,(TRANSPOSE(CO$2:CO$19)))</f>
        <v>1</v>
      </c>
      <c r="CP213" s="1">
        <f t="array" ref="CP213">SUMPRODUCT($H213:$Y213,(TRANSPOSE(CP$2:CP$19)))</f>
        <v>1.5</v>
      </c>
      <c r="CQ213" s="1">
        <f t="array" ref="CQ213">SUMPRODUCT($H213:$Y213,(TRANSPOSE(CQ$2:CQ$19)))</f>
        <v>2</v>
      </c>
      <c r="CR213" s="1">
        <f t="array" ref="CR213">SUMPRODUCT($H213:$Y213,(TRANSPOSE(CR$2:CR$19)))</f>
        <v>2.5</v>
      </c>
      <c r="CS213" s="1">
        <f t="array" ref="CS213">SUMPRODUCT($H213:$Y213,(TRANSPOSE(CS$2:CS$19)))</f>
        <v>3</v>
      </c>
      <c r="CT213" s="1">
        <f t="array" ref="CT213">SUMPRODUCT($H213:$Y213,(TRANSPOSE(CT$2:CT$19)))</f>
        <v>3.5</v>
      </c>
      <c r="CU213" s="1">
        <f t="array" ref="CU213">SUMPRODUCT($H213:$Y213,(TRANSPOSE(CU$2:CU$19)))</f>
        <v>4</v>
      </c>
      <c r="CV213" s="1">
        <f t="array" ref="CV213">SUMPRODUCT($H213:$Y213,(TRANSPOSE(CV$2:CV$19)))</f>
        <v>4.5</v>
      </c>
      <c r="CW213" s="1">
        <f t="array" ref="CW213">SUMPRODUCT($H213:$Y213,(TRANSPOSE(CW$2:CW$19)))</f>
        <v>5</v>
      </c>
      <c r="CX213" s="1">
        <f t="array" ref="CX213">SUMPRODUCT($H213:$Y213,(TRANSPOSE(CX$2:CX$19)))</f>
        <v>5.5</v>
      </c>
      <c r="CY213" s="1">
        <f t="array" ref="CY213">SUMPRODUCT($H213:$Y213,(TRANSPOSE(CY$2:CY$19)))</f>
        <v>6</v>
      </c>
      <c r="CZ213" s="1">
        <f t="array" ref="CZ213">SUMPRODUCT($H213:$Y213,(TRANSPOSE(CZ$2:CZ$19)))</f>
        <v>6.5</v>
      </c>
      <c r="DA213" s="1">
        <f t="array" ref="DA213">SUMPRODUCT($H213:$Y213,(TRANSPOSE(DA$2:DA$19)))</f>
        <v>0</v>
      </c>
      <c r="DB213" s="1">
        <f t="array" ref="DB213">SUMPRODUCT($H213:$Y213,(TRANSPOSE(DB$2:DB$19)))</f>
        <v>0</v>
      </c>
      <c r="DC213" s="1">
        <f t="array" ref="DC213">SUMPRODUCT($H213:$Y213,(TRANSPOSE(DC$2:DC$19)))</f>
        <v>0</v>
      </c>
      <c r="DD213" s="1">
        <f t="array" ref="DD213">SUMPRODUCT($H213:$Y213,(TRANSPOSE(DD$2:DD$19)))</f>
        <v>0</v>
      </c>
    </row>
    <row r="214" spans="1:108" x14ac:dyDescent="0.2">
      <c r="A214" s="1">
        <v>236</v>
      </c>
      <c r="B214" s="10" t="s">
        <v>355</v>
      </c>
      <c r="C214" s="1" t="s">
        <v>22</v>
      </c>
      <c r="D214" s="1">
        <v>732009568</v>
      </c>
      <c r="E214" s="1" t="s">
        <v>354</v>
      </c>
      <c r="F214" s="1" t="s">
        <v>353</v>
      </c>
      <c r="G214" s="1" t="s">
        <v>125</v>
      </c>
      <c r="H214" s="1">
        <v>0</v>
      </c>
      <c r="I214" s="1">
        <v>0</v>
      </c>
      <c r="J214" s="1">
        <v>0</v>
      </c>
      <c r="K214" s="1">
        <v>0.05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f>SUM(H214:Y214)</f>
        <v>0.05</v>
      </c>
      <c r="AA214" s="1">
        <f>SUMPRODUCT(H214:Y214,$H$16:$Y$16)</f>
        <v>45.5</v>
      </c>
      <c r="AB214" s="1" t="s">
        <v>18</v>
      </c>
      <c r="AC214" s="1">
        <v>0</v>
      </c>
      <c r="AD214" s="9"/>
      <c r="AE214" s="1" t="s">
        <v>19</v>
      </c>
      <c r="AF214" s="1">
        <f>AC214</f>
        <v>0</v>
      </c>
      <c r="AG214" s="1">
        <v>1</v>
      </c>
      <c r="AH214" s="1">
        <v>1</v>
      </c>
      <c r="AI214" s="1" t="s">
        <v>18</v>
      </c>
      <c r="AJ214" s="1" t="s">
        <v>18</v>
      </c>
      <c r="AK214" s="1" t="s">
        <v>18</v>
      </c>
      <c r="AL214" s="1" t="s">
        <v>18</v>
      </c>
      <c r="AM214" s="1" t="s">
        <v>18</v>
      </c>
      <c r="AN214" s="2" t="s">
        <v>18</v>
      </c>
      <c r="BO214" s="1">
        <f>SUM($AP214,$AQ214:AQ214)-SUM($CK214:CL214)</f>
        <v>0</v>
      </c>
      <c r="BP214" s="1">
        <f>SUM($AP214,$AQ214:AR214)-SUM($CK214:CM214)</f>
        <v>0</v>
      </c>
      <c r="BQ214" s="1">
        <f>SUM($AP214,$AQ214:AS214)-SUM($CK214:CN214)</f>
        <v>0</v>
      </c>
      <c r="BR214" s="1">
        <f>SUM($AP214,$AQ214:AT214)-SUM($CK214:CO214)</f>
        <v>-0.5</v>
      </c>
      <c r="BS214" s="1">
        <f>SUM($AP214,$AQ214:AU214)-SUM($CK214:CP214)</f>
        <v>-1.5</v>
      </c>
      <c r="BT214" s="1">
        <f>SUM($AP214,$AQ214:AV214)-SUM($CK214:CQ214)</f>
        <v>-3</v>
      </c>
      <c r="BU214" s="1">
        <f>SUM($AP214,$AQ214:AW214)-SUM($CK214:CR214)</f>
        <v>-5</v>
      </c>
      <c r="BV214" s="1">
        <f>SUM($AP214,$AQ214:AX214)-SUM($CK214:CS214)</f>
        <v>-7.5</v>
      </c>
      <c r="BW214" s="1">
        <f>SUM($AP214,$AQ214:AY214)-SUM($CK214:CT214)</f>
        <v>-10.5</v>
      </c>
      <c r="BX214" s="1">
        <f>SUM($AP214,$AQ214:AZ214)-SUM($CK214:CU214)</f>
        <v>-14</v>
      </c>
      <c r="BY214" s="1">
        <f>SUM($AP214,$AQ214:BA214)-SUM($CK214:CV214)</f>
        <v>-18</v>
      </c>
      <c r="BZ214" s="1">
        <f>SUM($AP214,$AQ214:BB214)-SUM($CK214:CW214)</f>
        <v>-22.5</v>
      </c>
      <c r="CA214" s="1">
        <f>SUM($AP214,$AQ214:BC214)-SUM($CK214:CX214)</f>
        <v>-27.5</v>
      </c>
      <c r="CB214" s="1">
        <f>SUM($AP214,$AQ214:BD214)-SUM($CK214:CY214)</f>
        <v>-33</v>
      </c>
      <c r="CC214" s="1">
        <f>SUM($AP214,$AQ214:BE214)-SUM($CK214:CZ214)</f>
        <v>-39</v>
      </c>
      <c r="CD214" s="1">
        <f>SUM($AP214,$AQ214:BF214)-SUM($CK214:DA214)</f>
        <v>-45.5</v>
      </c>
      <c r="CE214" s="1">
        <f>SUM($AP214,$AQ214:BG214)-SUM($CK214:DB214)</f>
        <v>-45.5</v>
      </c>
      <c r="CF214" s="1">
        <f>SUM($AP214,$AQ214:BH214)-SUM($CK214:DC214)</f>
        <v>-45.5</v>
      </c>
      <c r="CG214" s="1">
        <f>SUM($AP214,$AQ214:BI214)-SUM($CK214:DD214)</f>
        <v>-45.5</v>
      </c>
      <c r="CK214" s="1">
        <f t="array" ref="CK214">SUMPRODUCT($H214:$Y214,(TRANSPOSE(CK$2:CK$19)))</f>
        <v>0</v>
      </c>
      <c r="CL214" s="1">
        <f t="array" ref="CL214">SUMPRODUCT($H214:$Y214,(TRANSPOSE(CL$2:CL$19)))</f>
        <v>0</v>
      </c>
      <c r="CM214" s="1">
        <f t="array" ref="CM214">SUMPRODUCT($H214:$Y214,(TRANSPOSE(CM$2:CM$19)))</f>
        <v>0</v>
      </c>
      <c r="CN214" s="1">
        <f t="array" ref="CN214">SUMPRODUCT($H214:$Y214,(TRANSPOSE(CN$2:CN$19)))</f>
        <v>0</v>
      </c>
      <c r="CO214" s="1">
        <f t="array" ref="CO214">SUMPRODUCT($H214:$Y214,(TRANSPOSE(CO$2:CO$19)))</f>
        <v>0.5</v>
      </c>
      <c r="CP214" s="1">
        <f t="array" ref="CP214">SUMPRODUCT($H214:$Y214,(TRANSPOSE(CP$2:CP$19)))</f>
        <v>1</v>
      </c>
      <c r="CQ214" s="1">
        <f t="array" ref="CQ214">SUMPRODUCT($H214:$Y214,(TRANSPOSE(CQ$2:CQ$19)))</f>
        <v>1.5</v>
      </c>
      <c r="CR214" s="1">
        <f t="array" ref="CR214">SUMPRODUCT($H214:$Y214,(TRANSPOSE(CR$2:CR$19)))</f>
        <v>2</v>
      </c>
      <c r="CS214" s="1">
        <f t="array" ref="CS214">SUMPRODUCT($H214:$Y214,(TRANSPOSE(CS$2:CS$19)))</f>
        <v>2.5</v>
      </c>
      <c r="CT214" s="1">
        <f t="array" ref="CT214">SUMPRODUCT($H214:$Y214,(TRANSPOSE(CT$2:CT$19)))</f>
        <v>3</v>
      </c>
      <c r="CU214" s="1">
        <f t="array" ref="CU214">SUMPRODUCT($H214:$Y214,(TRANSPOSE(CU$2:CU$19)))</f>
        <v>3.5</v>
      </c>
      <c r="CV214" s="1">
        <f t="array" ref="CV214">SUMPRODUCT($H214:$Y214,(TRANSPOSE(CV$2:CV$19)))</f>
        <v>4</v>
      </c>
      <c r="CW214" s="1">
        <f t="array" ref="CW214">SUMPRODUCT($H214:$Y214,(TRANSPOSE(CW$2:CW$19)))</f>
        <v>4.5</v>
      </c>
      <c r="CX214" s="1">
        <f t="array" ref="CX214">SUMPRODUCT($H214:$Y214,(TRANSPOSE(CX$2:CX$19)))</f>
        <v>5</v>
      </c>
      <c r="CY214" s="1">
        <f t="array" ref="CY214">SUMPRODUCT($H214:$Y214,(TRANSPOSE(CY$2:CY$19)))</f>
        <v>5.5</v>
      </c>
      <c r="CZ214" s="1">
        <f t="array" ref="CZ214">SUMPRODUCT($H214:$Y214,(TRANSPOSE(CZ$2:CZ$19)))</f>
        <v>6</v>
      </c>
      <c r="DA214" s="1">
        <f t="array" ref="DA214">SUMPRODUCT($H214:$Y214,(TRANSPOSE(DA$2:DA$19)))</f>
        <v>6.5</v>
      </c>
      <c r="DB214" s="1">
        <f t="array" ref="DB214">SUMPRODUCT($H214:$Y214,(TRANSPOSE(DB$2:DB$19)))</f>
        <v>0</v>
      </c>
      <c r="DC214" s="1">
        <f t="array" ref="DC214">SUMPRODUCT($H214:$Y214,(TRANSPOSE(DC$2:DC$19)))</f>
        <v>0</v>
      </c>
      <c r="DD214" s="1">
        <f t="array" ref="DD214">SUMPRODUCT($H214:$Y214,(TRANSPOSE(DD$2:DD$19)))</f>
        <v>0</v>
      </c>
    </row>
    <row r="215" spans="1:108" x14ac:dyDescent="0.2">
      <c r="A215" s="1">
        <v>239</v>
      </c>
      <c r="B215" s="10" t="s">
        <v>352</v>
      </c>
      <c r="C215" s="1" t="s">
        <v>22</v>
      </c>
      <c r="D215" s="1">
        <v>400174386</v>
      </c>
      <c r="F215" s="1" t="s">
        <v>351</v>
      </c>
      <c r="G215" s="1" t="s">
        <v>20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2</v>
      </c>
      <c r="V215" s="1">
        <v>0</v>
      </c>
      <c r="W215" s="1">
        <v>0</v>
      </c>
      <c r="X215" s="1">
        <v>0</v>
      </c>
      <c r="Y215" s="1">
        <v>2</v>
      </c>
      <c r="Z215" s="1">
        <f>SUM(H215:Y215)</f>
        <v>4</v>
      </c>
      <c r="AA215" s="1">
        <f>SUMPRODUCT(H215:Y215,$H$16:$Y$16)</f>
        <v>3640</v>
      </c>
      <c r="AB215" s="1" t="s">
        <v>350</v>
      </c>
      <c r="AC215" s="1">
        <v>143.69999999999999</v>
      </c>
      <c r="AD215" s="9"/>
      <c r="AE215" s="1" t="s">
        <v>28</v>
      </c>
      <c r="AF215" s="1">
        <f>AC215</f>
        <v>143.69999999999999</v>
      </c>
      <c r="AG215" s="1">
        <v>27</v>
      </c>
      <c r="AH215" s="1">
        <v>27</v>
      </c>
      <c r="AI215" s="1">
        <v>16</v>
      </c>
      <c r="AK215" s="1" t="s">
        <v>346</v>
      </c>
      <c r="AL215" s="1" t="s">
        <v>345</v>
      </c>
      <c r="AM215" s="1" t="s">
        <v>344</v>
      </c>
      <c r="AN215" s="2" t="s">
        <v>343</v>
      </c>
      <c r="BO215" s="1">
        <f>SUM($AP215,$AQ215:AQ215)-SUM($CK215:CL215)</f>
        <v>0</v>
      </c>
      <c r="BP215" s="1">
        <f>SUM($AP215,$AQ215:AR215)-SUM($CK215:CM215)</f>
        <v>0</v>
      </c>
      <c r="BQ215" s="1">
        <f>SUM($AP215,$AQ215:AS215)-SUM($CK215:CN215)</f>
        <v>0</v>
      </c>
      <c r="BR215" s="1">
        <f>SUM($AP215,$AQ215:AT215)-SUM($CK215:CO215)</f>
        <v>-40</v>
      </c>
      <c r="BS215" s="1">
        <f>SUM($AP215,$AQ215:AU215)-SUM($CK215:CP215)</f>
        <v>-120</v>
      </c>
      <c r="BT215" s="1">
        <f>SUM($AP215,$AQ215:AV215)-SUM($CK215:CQ215)</f>
        <v>-240</v>
      </c>
      <c r="BU215" s="1">
        <f>SUM($AP215,$AQ215:AW215)-SUM($CK215:CR215)</f>
        <v>-400</v>
      </c>
      <c r="BV215" s="1">
        <f>SUM($AP215,$AQ215:AX215)-SUM($CK215:CS215)</f>
        <v>-600</v>
      </c>
      <c r="BW215" s="1">
        <f>SUM($AP215,$AQ215:AY215)-SUM($CK215:CT215)</f>
        <v>-840</v>
      </c>
      <c r="BX215" s="1">
        <f>SUM($AP215,$AQ215:AZ215)-SUM($CK215:CU215)</f>
        <v>-1120</v>
      </c>
      <c r="BY215" s="1">
        <f>SUM($AP215,$AQ215:BA215)-SUM($CK215:CV215)</f>
        <v>-1440</v>
      </c>
      <c r="BZ215" s="1">
        <f>SUM($AP215,$AQ215:BB215)-SUM($CK215:CW215)</f>
        <v>-1800</v>
      </c>
      <c r="CA215" s="1">
        <f>SUM($AP215,$AQ215:BC215)-SUM($CK215:CX215)</f>
        <v>-2200</v>
      </c>
      <c r="CB215" s="1">
        <f>SUM($AP215,$AQ215:BD215)-SUM($CK215:CY215)</f>
        <v>-2640</v>
      </c>
      <c r="CC215" s="1">
        <f>SUM($AP215,$AQ215:BE215)-SUM($CK215:CZ215)</f>
        <v>-3120</v>
      </c>
      <c r="CD215" s="1">
        <f>SUM($AP215,$AQ215:BF215)-SUM($CK215:DA215)</f>
        <v>-3640</v>
      </c>
      <c r="CE215" s="1">
        <f>SUM($AP215,$AQ215:BG215)-SUM($CK215:DB215)</f>
        <v>-3640</v>
      </c>
      <c r="CF215" s="1">
        <f>SUM($AP215,$AQ215:BH215)-SUM($CK215:DC215)</f>
        <v>-3640</v>
      </c>
      <c r="CG215" s="1">
        <f>SUM($AP215,$AQ215:BI215)-SUM($CK215:DD215)</f>
        <v>-3640</v>
      </c>
      <c r="CK215" s="1">
        <f t="array" ref="CK215">SUMPRODUCT($H215:$Y215,(TRANSPOSE(CK$2:CK$19)))</f>
        <v>0</v>
      </c>
      <c r="CL215" s="1">
        <f t="array" ref="CL215">SUMPRODUCT($H215:$Y215,(TRANSPOSE(CL$2:CL$19)))</f>
        <v>0</v>
      </c>
      <c r="CM215" s="1">
        <f t="array" ref="CM215">SUMPRODUCT($H215:$Y215,(TRANSPOSE(CM$2:CM$19)))</f>
        <v>0</v>
      </c>
      <c r="CN215" s="1">
        <f t="array" ref="CN215">SUMPRODUCT($H215:$Y215,(TRANSPOSE(CN$2:CN$19)))</f>
        <v>0</v>
      </c>
      <c r="CO215" s="1">
        <f t="array" ref="CO215">SUMPRODUCT($H215:$Y215,(TRANSPOSE(CO$2:CO$19)))</f>
        <v>40</v>
      </c>
      <c r="CP215" s="1">
        <f t="array" ref="CP215">SUMPRODUCT($H215:$Y215,(TRANSPOSE(CP$2:CP$19)))</f>
        <v>80</v>
      </c>
      <c r="CQ215" s="1">
        <f t="array" ref="CQ215">SUMPRODUCT($H215:$Y215,(TRANSPOSE(CQ$2:CQ$19)))</f>
        <v>120</v>
      </c>
      <c r="CR215" s="1">
        <f t="array" ref="CR215">SUMPRODUCT($H215:$Y215,(TRANSPOSE(CR$2:CR$19)))</f>
        <v>160</v>
      </c>
      <c r="CS215" s="1">
        <f t="array" ref="CS215">SUMPRODUCT($H215:$Y215,(TRANSPOSE(CS$2:CS$19)))</f>
        <v>200</v>
      </c>
      <c r="CT215" s="1">
        <f t="array" ref="CT215">SUMPRODUCT($H215:$Y215,(TRANSPOSE(CT$2:CT$19)))</f>
        <v>240</v>
      </c>
      <c r="CU215" s="1">
        <f t="array" ref="CU215">SUMPRODUCT($H215:$Y215,(TRANSPOSE(CU$2:CU$19)))</f>
        <v>280</v>
      </c>
      <c r="CV215" s="1">
        <f t="array" ref="CV215">SUMPRODUCT($H215:$Y215,(TRANSPOSE(CV$2:CV$19)))</f>
        <v>320</v>
      </c>
      <c r="CW215" s="1">
        <f t="array" ref="CW215">SUMPRODUCT($H215:$Y215,(TRANSPOSE(CW$2:CW$19)))</f>
        <v>360</v>
      </c>
      <c r="CX215" s="1">
        <f t="array" ref="CX215">SUMPRODUCT($H215:$Y215,(TRANSPOSE(CX$2:CX$19)))</f>
        <v>400</v>
      </c>
      <c r="CY215" s="1">
        <f t="array" ref="CY215">SUMPRODUCT($H215:$Y215,(TRANSPOSE(CY$2:CY$19)))</f>
        <v>440</v>
      </c>
      <c r="CZ215" s="1">
        <f t="array" ref="CZ215">SUMPRODUCT($H215:$Y215,(TRANSPOSE(CZ$2:CZ$19)))</f>
        <v>480</v>
      </c>
      <c r="DA215" s="1">
        <f t="array" ref="DA215">SUMPRODUCT($H215:$Y215,(TRANSPOSE(DA$2:DA$19)))</f>
        <v>520</v>
      </c>
      <c r="DB215" s="1">
        <f t="array" ref="DB215">SUMPRODUCT($H215:$Y215,(TRANSPOSE(DB$2:DB$19)))</f>
        <v>0</v>
      </c>
      <c r="DC215" s="1">
        <f t="array" ref="DC215">SUMPRODUCT($H215:$Y215,(TRANSPOSE(DC$2:DC$19)))</f>
        <v>0</v>
      </c>
      <c r="DD215" s="1">
        <f t="array" ref="DD215">SUMPRODUCT($H215:$Y215,(TRANSPOSE(DD$2:DD$19)))</f>
        <v>0</v>
      </c>
    </row>
    <row r="216" spans="1:108" x14ac:dyDescent="0.2">
      <c r="A216" s="1">
        <v>240</v>
      </c>
      <c r="B216" s="10" t="s">
        <v>349</v>
      </c>
      <c r="C216" s="1" t="s">
        <v>22</v>
      </c>
      <c r="D216" s="1">
        <v>411359913</v>
      </c>
      <c r="F216" s="1" t="s">
        <v>348</v>
      </c>
      <c r="G216" s="1" t="s">
        <v>20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2</v>
      </c>
      <c r="V216" s="1">
        <v>0</v>
      </c>
      <c r="W216" s="1">
        <v>0</v>
      </c>
      <c r="X216" s="1">
        <v>0</v>
      </c>
      <c r="Y216" s="1">
        <v>2</v>
      </c>
      <c r="Z216" s="1">
        <f>SUM(H216:Y216)</f>
        <v>4</v>
      </c>
      <c r="AA216" s="1">
        <f>SUMPRODUCT(H216:Y216,$H$16:$Y$16)</f>
        <v>3640</v>
      </c>
      <c r="AB216" s="1" t="s">
        <v>347</v>
      </c>
      <c r="AC216" s="1">
        <v>5.04</v>
      </c>
      <c r="AD216" s="9"/>
      <c r="AE216" s="1" t="s">
        <v>28</v>
      </c>
      <c r="AF216" s="1">
        <f>AC216</f>
        <v>5.04</v>
      </c>
      <c r="AG216" s="1">
        <v>44</v>
      </c>
      <c r="AH216" s="1">
        <v>44</v>
      </c>
      <c r="AI216" s="1">
        <v>20</v>
      </c>
      <c r="AK216" s="1" t="s">
        <v>346</v>
      </c>
      <c r="AL216" s="1" t="s">
        <v>345</v>
      </c>
      <c r="AM216" s="1" t="s">
        <v>344</v>
      </c>
      <c r="AN216" s="2" t="s">
        <v>343</v>
      </c>
      <c r="BO216" s="1">
        <f>SUM($AP216,$AQ216:AQ216)-SUM($CK216:CL216)</f>
        <v>0</v>
      </c>
      <c r="BP216" s="1">
        <f>SUM($AP216,$AQ216:AR216)-SUM($CK216:CM216)</f>
        <v>0</v>
      </c>
      <c r="BQ216" s="1">
        <f>SUM($AP216,$AQ216:AS216)-SUM($CK216:CN216)</f>
        <v>0</v>
      </c>
      <c r="BR216" s="1">
        <f>SUM($AP216,$AQ216:AT216)-SUM($CK216:CO216)</f>
        <v>-40</v>
      </c>
      <c r="BS216" s="1">
        <f>SUM($AP216,$AQ216:AU216)-SUM($CK216:CP216)</f>
        <v>-120</v>
      </c>
      <c r="BT216" s="1">
        <f>SUM($AP216,$AQ216:AV216)-SUM($CK216:CQ216)</f>
        <v>-240</v>
      </c>
      <c r="BU216" s="1">
        <f>SUM($AP216,$AQ216:AW216)-SUM($CK216:CR216)</f>
        <v>-400</v>
      </c>
      <c r="BV216" s="1">
        <f>SUM($AP216,$AQ216:AX216)-SUM($CK216:CS216)</f>
        <v>-600</v>
      </c>
      <c r="BW216" s="1">
        <f>SUM($AP216,$AQ216:AY216)-SUM($CK216:CT216)</f>
        <v>-840</v>
      </c>
      <c r="BX216" s="1">
        <f>SUM($AP216,$AQ216:AZ216)-SUM($CK216:CU216)</f>
        <v>-1120</v>
      </c>
      <c r="BY216" s="1">
        <f>SUM($AP216,$AQ216:BA216)-SUM($CK216:CV216)</f>
        <v>-1440</v>
      </c>
      <c r="BZ216" s="1">
        <f>SUM($AP216,$AQ216:BB216)-SUM($CK216:CW216)</f>
        <v>-1800</v>
      </c>
      <c r="CA216" s="1">
        <f>SUM($AP216,$AQ216:BC216)-SUM($CK216:CX216)</f>
        <v>-2200</v>
      </c>
      <c r="CB216" s="1">
        <f>SUM($AP216,$AQ216:BD216)-SUM($CK216:CY216)</f>
        <v>-2640</v>
      </c>
      <c r="CC216" s="1">
        <f>SUM($AP216,$AQ216:BE216)-SUM($CK216:CZ216)</f>
        <v>-3120</v>
      </c>
      <c r="CD216" s="1">
        <f>SUM($AP216,$AQ216:BF216)-SUM($CK216:DA216)</f>
        <v>-3640</v>
      </c>
      <c r="CE216" s="1">
        <f>SUM($AP216,$AQ216:BG216)-SUM($CK216:DB216)</f>
        <v>-3640</v>
      </c>
      <c r="CF216" s="1">
        <f>SUM($AP216,$AQ216:BH216)-SUM($CK216:DC216)</f>
        <v>-3640</v>
      </c>
      <c r="CG216" s="1">
        <f>SUM($AP216,$AQ216:BI216)-SUM($CK216:DD216)</f>
        <v>-3640</v>
      </c>
      <c r="CK216" s="1">
        <f t="array" ref="CK216">SUMPRODUCT($H216:$Y216,(TRANSPOSE(CK$2:CK$19)))</f>
        <v>0</v>
      </c>
      <c r="CL216" s="1">
        <f t="array" ref="CL216">SUMPRODUCT($H216:$Y216,(TRANSPOSE(CL$2:CL$19)))</f>
        <v>0</v>
      </c>
      <c r="CM216" s="1">
        <f t="array" ref="CM216">SUMPRODUCT($H216:$Y216,(TRANSPOSE(CM$2:CM$19)))</f>
        <v>0</v>
      </c>
      <c r="CN216" s="1">
        <f t="array" ref="CN216">SUMPRODUCT($H216:$Y216,(TRANSPOSE(CN$2:CN$19)))</f>
        <v>0</v>
      </c>
      <c r="CO216" s="1">
        <f t="array" ref="CO216">SUMPRODUCT($H216:$Y216,(TRANSPOSE(CO$2:CO$19)))</f>
        <v>40</v>
      </c>
      <c r="CP216" s="1">
        <f t="array" ref="CP216">SUMPRODUCT($H216:$Y216,(TRANSPOSE(CP$2:CP$19)))</f>
        <v>80</v>
      </c>
      <c r="CQ216" s="1">
        <f t="array" ref="CQ216">SUMPRODUCT($H216:$Y216,(TRANSPOSE(CQ$2:CQ$19)))</f>
        <v>120</v>
      </c>
      <c r="CR216" s="1">
        <f t="array" ref="CR216">SUMPRODUCT($H216:$Y216,(TRANSPOSE(CR$2:CR$19)))</f>
        <v>160</v>
      </c>
      <c r="CS216" s="1">
        <f t="array" ref="CS216">SUMPRODUCT($H216:$Y216,(TRANSPOSE(CS$2:CS$19)))</f>
        <v>200</v>
      </c>
      <c r="CT216" s="1">
        <f t="array" ref="CT216">SUMPRODUCT($H216:$Y216,(TRANSPOSE(CT$2:CT$19)))</f>
        <v>240</v>
      </c>
      <c r="CU216" s="1">
        <f t="array" ref="CU216">SUMPRODUCT($H216:$Y216,(TRANSPOSE(CU$2:CU$19)))</f>
        <v>280</v>
      </c>
      <c r="CV216" s="1">
        <f t="array" ref="CV216">SUMPRODUCT($H216:$Y216,(TRANSPOSE(CV$2:CV$19)))</f>
        <v>320</v>
      </c>
      <c r="CW216" s="1">
        <f t="array" ref="CW216">SUMPRODUCT($H216:$Y216,(TRANSPOSE(CW$2:CW$19)))</f>
        <v>360</v>
      </c>
      <c r="CX216" s="1">
        <f t="array" ref="CX216">SUMPRODUCT($H216:$Y216,(TRANSPOSE(CX$2:CX$19)))</f>
        <v>400</v>
      </c>
      <c r="CY216" s="1">
        <f t="array" ref="CY216">SUMPRODUCT($H216:$Y216,(TRANSPOSE(CY$2:CY$19)))</f>
        <v>440</v>
      </c>
      <c r="CZ216" s="1">
        <f t="array" ref="CZ216">SUMPRODUCT($H216:$Y216,(TRANSPOSE(CZ$2:CZ$19)))</f>
        <v>480</v>
      </c>
      <c r="DA216" s="1">
        <f t="array" ref="DA216">SUMPRODUCT($H216:$Y216,(TRANSPOSE(DA$2:DA$19)))</f>
        <v>520</v>
      </c>
      <c r="DB216" s="1">
        <f t="array" ref="DB216">SUMPRODUCT($H216:$Y216,(TRANSPOSE(DB$2:DB$19)))</f>
        <v>0</v>
      </c>
      <c r="DC216" s="1">
        <f t="array" ref="DC216">SUMPRODUCT($H216:$Y216,(TRANSPOSE(DC$2:DC$19)))</f>
        <v>0</v>
      </c>
      <c r="DD216" s="1">
        <f t="array" ref="DD216">SUMPRODUCT($H216:$Y216,(TRANSPOSE(DD$2:DD$19)))</f>
        <v>0</v>
      </c>
    </row>
    <row r="217" spans="1:108" x14ac:dyDescent="0.2">
      <c r="A217" s="1">
        <v>244</v>
      </c>
      <c r="B217" s="10" t="s">
        <v>342</v>
      </c>
      <c r="C217" s="1" t="s">
        <v>22</v>
      </c>
      <c r="D217" s="1">
        <v>400703056</v>
      </c>
      <c r="F217" s="1" t="s">
        <v>341</v>
      </c>
      <c r="G217" s="1" t="s">
        <v>20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2</v>
      </c>
      <c r="V217" s="1">
        <v>0</v>
      </c>
      <c r="W217" s="1">
        <v>0</v>
      </c>
      <c r="X217" s="1">
        <v>0</v>
      </c>
      <c r="Y217" s="1">
        <v>2</v>
      </c>
      <c r="Z217" s="1">
        <f>SUM(H217:Y217)</f>
        <v>4</v>
      </c>
      <c r="AA217" s="1">
        <f>SUMPRODUCT(H217:Y217,$H$16:$Y$16)</f>
        <v>3640</v>
      </c>
      <c r="AB217" s="1" t="s">
        <v>175</v>
      </c>
      <c r="AC217" s="1">
        <v>0.122</v>
      </c>
      <c r="AD217" s="9"/>
      <c r="AE217" s="1" t="s">
        <v>174</v>
      </c>
      <c r="AF217" s="1">
        <f>AC217*1.1171</f>
        <v>0.1362862</v>
      </c>
      <c r="AG217" s="1">
        <v>3000</v>
      </c>
      <c r="AH217" s="1">
        <v>3000</v>
      </c>
      <c r="AI217" s="1">
        <v>16</v>
      </c>
      <c r="AK217" s="1" t="s">
        <v>173</v>
      </c>
      <c r="AL217" s="1" t="s">
        <v>172</v>
      </c>
      <c r="AM217" s="1" t="s">
        <v>171</v>
      </c>
      <c r="AN217" s="2" t="s">
        <v>170</v>
      </c>
      <c r="BO217" s="1">
        <f>SUM($AP217,$AQ217:AQ217)-SUM($CK217:CL217)</f>
        <v>0</v>
      </c>
      <c r="BP217" s="1">
        <f>SUM($AP217,$AQ217:AR217)-SUM($CK217:CM217)</f>
        <v>0</v>
      </c>
      <c r="BQ217" s="1">
        <f>SUM($AP217,$AQ217:AS217)-SUM($CK217:CN217)</f>
        <v>0</v>
      </c>
      <c r="BR217" s="1">
        <f>SUM($AP217,$AQ217:AT217)-SUM($CK217:CO217)</f>
        <v>-40</v>
      </c>
      <c r="BS217" s="1">
        <f>SUM($AP217,$AQ217:AU217)-SUM($CK217:CP217)</f>
        <v>-120</v>
      </c>
      <c r="BT217" s="1">
        <f>SUM($AP217,$AQ217:AV217)-SUM($CK217:CQ217)</f>
        <v>-240</v>
      </c>
      <c r="BU217" s="1">
        <f>SUM($AP217,$AQ217:AW217)-SUM($CK217:CR217)</f>
        <v>-400</v>
      </c>
      <c r="BV217" s="1">
        <f>SUM($AP217,$AQ217:AX217)-SUM($CK217:CS217)</f>
        <v>-600</v>
      </c>
      <c r="BW217" s="1">
        <f>SUM($AP217,$AQ217:AY217)-SUM($CK217:CT217)</f>
        <v>-840</v>
      </c>
      <c r="BX217" s="1">
        <f>SUM($AP217,$AQ217:AZ217)-SUM($CK217:CU217)</f>
        <v>-1120</v>
      </c>
      <c r="BY217" s="1">
        <f>SUM($AP217,$AQ217:BA217)-SUM($CK217:CV217)</f>
        <v>-1440</v>
      </c>
      <c r="BZ217" s="1">
        <f>SUM($AP217,$AQ217:BB217)-SUM($CK217:CW217)</f>
        <v>-1800</v>
      </c>
      <c r="CA217" s="1">
        <f>SUM($AP217,$AQ217:BC217)-SUM($CK217:CX217)</f>
        <v>-2200</v>
      </c>
      <c r="CB217" s="1">
        <f>SUM($AP217,$AQ217:BD217)-SUM($CK217:CY217)</f>
        <v>-2640</v>
      </c>
      <c r="CC217" s="1">
        <f>SUM($AP217,$AQ217:BE217)-SUM($CK217:CZ217)</f>
        <v>-3120</v>
      </c>
      <c r="CD217" s="1">
        <f>SUM($AP217,$AQ217:BF217)-SUM($CK217:DA217)</f>
        <v>-3640</v>
      </c>
      <c r="CE217" s="1">
        <f>SUM($AP217,$AQ217:BG217)-SUM($CK217:DB217)</f>
        <v>-3640</v>
      </c>
      <c r="CF217" s="1">
        <f>SUM($AP217,$AQ217:BH217)-SUM($CK217:DC217)</f>
        <v>-3640</v>
      </c>
      <c r="CG217" s="1">
        <f>SUM($AP217,$AQ217:BI217)-SUM($CK217:DD217)</f>
        <v>-3640</v>
      </c>
      <c r="CK217" s="1">
        <f t="array" ref="CK217">SUMPRODUCT($H217:$Y217,(TRANSPOSE(CK$2:CK$19)))</f>
        <v>0</v>
      </c>
      <c r="CL217" s="1">
        <f t="array" ref="CL217">SUMPRODUCT($H217:$Y217,(TRANSPOSE(CL$2:CL$19)))</f>
        <v>0</v>
      </c>
      <c r="CM217" s="1">
        <f t="array" ref="CM217">SUMPRODUCT($H217:$Y217,(TRANSPOSE(CM$2:CM$19)))</f>
        <v>0</v>
      </c>
      <c r="CN217" s="1">
        <f t="array" ref="CN217">SUMPRODUCT($H217:$Y217,(TRANSPOSE(CN$2:CN$19)))</f>
        <v>0</v>
      </c>
      <c r="CO217" s="1">
        <f t="array" ref="CO217">SUMPRODUCT($H217:$Y217,(TRANSPOSE(CO$2:CO$19)))</f>
        <v>40</v>
      </c>
      <c r="CP217" s="1">
        <f t="array" ref="CP217">SUMPRODUCT($H217:$Y217,(TRANSPOSE(CP$2:CP$19)))</f>
        <v>80</v>
      </c>
      <c r="CQ217" s="1">
        <f t="array" ref="CQ217">SUMPRODUCT($H217:$Y217,(TRANSPOSE(CQ$2:CQ$19)))</f>
        <v>120</v>
      </c>
      <c r="CR217" s="1">
        <f t="array" ref="CR217">SUMPRODUCT($H217:$Y217,(TRANSPOSE(CR$2:CR$19)))</f>
        <v>160</v>
      </c>
      <c r="CS217" s="1">
        <f t="array" ref="CS217">SUMPRODUCT($H217:$Y217,(TRANSPOSE(CS$2:CS$19)))</f>
        <v>200</v>
      </c>
      <c r="CT217" s="1">
        <f t="array" ref="CT217">SUMPRODUCT($H217:$Y217,(TRANSPOSE(CT$2:CT$19)))</f>
        <v>240</v>
      </c>
      <c r="CU217" s="1">
        <f t="array" ref="CU217">SUMPRODUCT($H217:$Y217,(TRANSPOSE(CU$2:CU$19)))</f>
        <v>280</v>
      </c>
      <c r="CV217" s="1">
        <f t="array" ref="CV217">SUMPRODUCT($H217:$Y217,(TRANSPOSE(CV$2:CV$19)))</f>
        <v>320</v>
      </c>
      <c r="CW217" s="1">
        <f t="array" ref="CW217">SUMPRODUCT($H217:$Y217,(TRANSPOSE(CW$2:CW$19)))</f>
        <v>360</v>
      </c>
      <c r="CX217" s="1">
        <f t="array" ref="CX217">SUMPRODUCT($H217:$Y217,(TRANSPOSE(CX$2:CX$19)))</f>
        <v>400</v>
      </c>
      <c r="CY217" s="1">
        <f t="array" ref="CY217">SUMPRODUCT($H217:$Y217,(TRANSPOSE(CY$2:CY$19)))</f>
        <v>440</v>
      </c>
      <c r="CZ217" s="1">
        <f t="array" ref="CZ217">SUMPRODUCT($H217:$Y217,(TRANSPOSE(CZ$2:CZ$19)))</f>
        <v>480</v>
      </c>
      <c r="DA217" s="1">
        <f t="array" ref="DA217">SUMPRODUCT($H217:$Y217,(TRANSPOSE(DA$2:DA$19)))</f>
        <v>520</v>
      </c>
      <c r="DB217" s="1">
        <f t="array" ref="DB217">SUMPRODUCT($H217:$Y217,(TRANSPOSE(DB$2:DB$19)))</f>
        <v>0</v>
      </c>
      <c r="DC217" s="1">
        <f t="array" ref="DC217">SUMPRODUCT($H217:$Y217,(TRANSPOSE(DC$2:DC$19)))</f>
        <v>0</v>
      </c>
      <c r="DD217" s="1">
        <f t="array" ref="DD217">SUMPRODUCT($H217:$Y217,(TRANSPOSE(DD$2:DD$19)))</f>
        <v>0</v>
      </c>
    </row>
    <row r="218" spans="1:108" x14ac:dyDescent="0.2">
      <c r="A218" s="1">
        <v>245</v>
      </c>
      <c r="B218" s="10" t="s">
        <v>340</v>
      </c>
      <c r="C218" s="1" t="s">
        <v>22</v>
      </c>
      <c r="D218" s="1">
        <v>526945878</v>
      </c>
      <c r="F218" s="1" t="s">
        <v>339</v>
      </c>
      <c r="G218" s="1" t="s">
        <v>20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32</v>
      </c>
      <c r="T218" s="1">
        <v>0</v>
      </c>
      <c r="U218" s="1">
        <v>0</v>
      </c>
      <c r="V218" s="1">
        <v>0</v>
      </c>
      <c r="W218" s="1">
        <v>32</v>
      </c>
      <c r="X218" s="1">
        <v>0</v>
      </c>
      <c r="Y218" s="1">
        <v>0</v>
      </c>
      <c r="Z218" s="1">
        <f>SUM(H218:Y218)</f>
        <v>64</v>
      </c>
      <c r="AA218" s="1">
        <f>SUMPRODUCT(H218:Y218,$H$16:$Y$16)</f>
        <v>58240</v>
      </c>
      <c r="AB218" s="1" t="s">
        <v>338</v>
      </c>
      <c r="AC218" s="1">
        <v>4.26</v>
      </c>
      <c r="AD218" s="9"/>
      <c r="AE218" s="1" t="s">
        <v>28</v>
      </c>
      <c r="AF218" s="1">
        <f>AC218</f>
        <v>4.26</v>
      </c>
      <c r="AH218" s="1">
        <v>1</v>
      </c>
      <c r="AJ218" s="1" t="s">
        <v>156</v>
      </c>
      <c r="AK218" s="1" t="s">
        <v>337</v>
      </c>
      <c r="AN218" s="2"/>
      <c r="BO218" s="1">
        <f>SUM($AP218,$AQ218:AQ218)-SUM($CK218:CL218)</f>
        <v>0</v>
      </c>
      <c r="BP218" s="1">
        <f>SUM($AP218,$AQ218:AR218)-SUM($CK218:CM218)</f>
        <v>0</v>
      </c>
      <c r="BQ218" s="1">
        <f>SUM($AP218,$AQ218:AS218)-SUM($CK218:CN218)</f>
        <v>0</v>
      </c>
      <c r="BR218" s="1">
        <f>SUM($AP218,$AQ218:AT218)-SUM($CK218:CO218)</f>
        <v>0</v>
      </c>
      <c r="BS218" s="1">
        <f>SUM($AP218,$AQ218:AU218)-SUM($CK218:CP218)</f>
        <v>-640</v>
      </c>
      <c r="BT218" s="1">
        <f>SUM($AP218,$AQ218:AV218)-SUM($CK218:CQ218)</f>
        <v>-1920</v>
      </c>
      <c r="BU218" s="1">
        <f>SUM($AP218,$AQ218:AW218)-SUM($CK218:CR218)</f>
        <v>-3840</v>
      </c>
      <c r="BV218" s="1">
        <f>SUM($AP218,$AQ218:AX218)-SUM($CK218:CS218)</f>
        <v>-6400</v>
      </c>
      <c r="BW218" s="1">
        <f>SUM($AP218,$AQ218:AY218)-SUM($CK218:CT218)</f>
        <v>-9600</v>
      </c>
      <c r="BX218" s="1">
        <f>SUM($AP218,$AQ218:AZ218)-SUM($CK218:CU218)</f>
        <v>-13440</v>
      </c>
      <c r="BY218" s="1">
        <f>SUM($AP218,$AQ218:BA218)-SUM($CK218:CV218)</f>
        <v>-17920</v>
      </c>
      <c r="BZ218" s="1">
        <f>SUM($AP218,$AQ218:BB218)-SUM($CK218:CW218)</f>
        <v>-23040</v>
      </c>
      <c r="CA218" s="1">
        <f>SUM($AP218,$AQ218:BC218)-SUM($CK218:CX218)</f>
        <v>-28800</v>
      </c>
      <c r="CB218" s="1">
        <f>SUM($AP218,$AQ218:BD218)-SUM($CK218:CY218)</f>
        <v>-35200</v>
      </c>
      <c r="CC218" s="1">
        <f>SUM($AP218,$AQ218:BE218)-SUM($CK218:CZ218)</f>
        <v>-42240</v>
      </c>
      <c r="CD218" s="1">
        <f>SUM($AP218,$AQ218:BF218)-SUM($CK218:DA218)</f>
        <v>-49920</v>
      </c>
      <c r="CE218" s="1">
        <f>SUM($AP218,$AQ218:BG218)-SUM($CK218:DB218)</f>
        <v>-58240</v>
      </c>
      <c r="CF218" s="1">
        <f>SUM($AP218,$AQ218:BH218)-SUM($CK218:DC218)</f>
        <v>-58240</v>
      </c>
      <c r="CG218" s="1">
        <f>SUM($AP218,$AQ218:BI218)-SUM($CK218:DD218)</f>
        <v>-58240</v>
      </c>
      <c r="CK218" s="1">
        <f t="array" ref="CK218">SUMPRODUCT($H218:$Y218,(TRANSPOSE(CK$2:CK$19)))</f>
        <v>0</v>
      </c>
      <c r="CL218" s="1">
        <f t="array" ref="CL218">SUMPRODUCT($H218:$Y218,(TRANSPOSE(CL$2:CL$19)))</f>
        <v>0</v>
      </c>
      <c r="CM218" s="1">
        <f t="array" ref="CM218">SUMPRODUCT($H218:$Y218,(TRANSPOSE(CM$2:CM$19)))</f>
        <v>0</v>
      </c>
      <c r="CN218" s="1">
        <f t="array" ref="CN218">SUMPRODUCT($H218:$Y218,(TRANSPOSE(CN$2:CN$19)))</f>
        <v>0</v>
      </c>
      <c r="CO218" s="1">
        <f t="array" ref="CO218">SUMPRODUCT($H218:$Y218,(TRANSPOSE(CO$2:CO$19)))</f>
        <v>0</v>
      </c>
      <c r="CP218" s="1">
        <f t="array" ref="CP218">SUMPRODUCT($H218:$Y218,(TRANSPOSE(CP$2:CP$19)))</f>
        <v>640</v>
      </c>
      <c r="CQ218" s="1">
        <f t="array" ref="CQ218">SUMPRODUCT($H218:$Y218,(TRANSPOSE(CQ$2:CQ$19)))</f>
        <v>1280</v>
      </c>
      <c r="CR218" s="1">
        <f t="array" ref="CR218">SUMPRODUCT($H218:$Y218,(TRANSPOSE(CR$2:CR$19)))</f>
        <v>1920</v>
      </c>
      <c r="CS218" s="1">
        <f t="array" ref="CS218">SUMPRODUCT($H218:$Y218,(TRANSPOSE(CS$2:CS$19)))</f>
        <v>2560</v>
      </c>
      <c r="CT218" s="1">
        <f t="array" ref="CT218">SUMPRODUCT($H218:$Y218,(TRANSPOSE(CT$2:CT$19)))</f>
        <v>3200</v>
      </c>
      <c r="CU218" s="1">
        <f t="array" ref="CU218">SUMPRODUCT($H218:$Y218,(TRANSPOSE(CU$2:CU$19)))</f>
        <v>3840</v>
      </c>
      <c r="CV218" s="1">
        <f t="array" ref="CV218">SUMPRODUCT($H218:$Y218,(TRANSPOSE(CV$2:CV$19)))</f>
        <v>4480</v>
      </c>
      <c r="CW218" s="1">
        <f t="array" ref="CW218">SUMPRODUCT($H218:$Y218,(TRANSPOSE(CW$2:CW$19)))</f>
        <v>5120</v>
      </c>
      <c r="CX218" s="1">
        <f t="array" ref="CX218">SUMPRODUCT($H218:$Y218,(TRANSPOSE(CX$2:CX$19)))</f>
        <v>5760</v>
      </c>
      <c r="CY218" s="1">
        <f t="array" ref="CY218">SUMPRODUCT($H218:$Y218,(TRANSPOSE(CY$2:CY$19)))</f>
        <v>6400</v>
      </c>
      <c r="CZ218" s="1">
        <f t="array" ref="CZ218">SUMPRODUCT($H218:$Y218,(TRANSPOSE(CZ$2:CZ$19)))</f>
        <v>7040</v>
      </c>
      <c r="DA218" s="1">
        <f t="array" ref="DA218">SUMPRODUCT($H218:$Y218,(TRANSPOSE(DA$2:DA$19)))</f>
        <v>7680</v>
      </c>
      <c r="DB218" s="1">
        <f t="array" ref="DB218">SUMPRODUCT($H218:$Y218,(TRANSPOSE(DB$2:DB$19)))</f>
        <v>8320</v>
      </c>
      <c r="DC218" s="1">
        <f t="array" ref="DC218">SUMPRODUCT($H218:$Y218,(TRANSPOSE(DC$2:DC$19)))</f>
        <v>0</v>
      </c>
      <c r="DD218" s="1">
        <f t="array" ref="DD218">SUMPRODUCT($H218:$Y218,(TRANSPOSE(DD$2:DD$19)))</f>
        <v>0</v>
      </c>
    </row>
    <row r="219" spans="1:108" ht="13.5" thickBot="1" x14ac:dyDescent="0.25">
      <c r="A219" s="1">
        <v>246</v>
      </c>
      <c r="B219" s="10" t="s">
        <v>336</v>
      </c>
      <c r="C219" s="1" t="s">
        <v>22</v>
      </c>
      <c r="D219" s="1">
        <v>417049490</v>
      </c>
      <c r="E219" s="1">
        <v>400326581</v>
      </c>
      <c r="F219" s="1" t="s">
        <v>335</v>
      </c>
      <c r="G219" s="1" t="s">
        <v>20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1044</v>
      </c>
      <c r="U219" s="1">
        <v>0</v>
      </c>
      <c r="V219" s="1">
        <v>0</v>
      </c>
      <c r="W219" s="1">
        <v>0</v>
      </c>
      <c r="X219" s="1">
        <v>1044</v>
      </c>
      <c r="Y219" s="1">
        <v>0</v>
      </c>
      <c r="Z219" s="1">
        <f>SUM(H219:Y219)</f>
        <v>2088</v>
      </c>
      <c r="AA219" s="1">
        <f>SUMPRODUCT(H219:Y219,$H$16:$Y$16)</f>
        <v>1900080</v>
      </c>
      <c r="AB219" s="1" t="s">
        <v>165</v>
      </c>
      <c r="AC219" s="1">
        <v>1E-3</v>
      </c>
      <c r="AD219" s="9"/>
      <c r="AE219" s="1" t="s">
        <v>28</v>
      </c>
      <c r="AF219" s="1">
        <f>AC219</f>
        <v>1E-3</v>
      </c>
      <c r="AH219" s="1">
        <v>10000</v>
      </c>
      <c r="AI219" s="1" t="s">
        <v>164</v>
      </c>
      <c r="AK219" s="1" t="s">
        <v>163</v>
      </c>
      <c r="AL219" s="1" t="s">
        <v>162</v>
      </c>
      <c r="AM219" s="1" t="s">
        <v>161</v>
      </c>
      <c r="AN219" s="2" t="s">
        <v>282</v>
      </c>
      <c r="BO219" s="1">
        <f>SUM($AP219,$AQ219:AQ219)-SUM($CK219:CL219)</f>
        <v>0</v>
      </c>
      <c r="BP219" s="1">
        <f>SUM($AP219,$AQ219:AR219)-SUM($CK219:CM219)</f>
        <v>0</v>
      </c>
      <c r="BQ219" s="1">
        <f>SUM($AP219,$AQ219:AS219)-SUM($CK219:CN219)</f>
        <v>0</v>
      </c>
      <c r="BR219" s="1">
        <f>SUM($AP219,$AQ219:AT219)-SUM($CK219:CO219)</f>
        <v>-20880</v>
      </c>
      <c r="BS219" s="1">
        <f>SUM($AP219,$AQ219:AU219)-SUM($CK219:CP219)</f>
        <v>-62640</v>
      </c>
      <c r="BT219" s="1">
        <f>SUM($AP219,$AQ219:AV219)-SUM($CK219:CQ219)</f>
        <v>-125280</v>
      </c>
      <c r="BU219" s="1">
        <f>SUM($AP219,$AQ219:AW219)-SUM($CK219:CR219)</f>
        <v>-208800</v>
      </c>
      <c r="BV219" s="1">
        <f>SUM($AP219,$AQ219:AX219)-SUM($CK219:CS219)</f>
        <v>-313200</v>
      </c>
      <c r="BW219" s="1">
        <f>SUM($AP219,$AQ219:AY219)-SUM($CK219:CT219)</f>
        <v>-438480</v>
      </c>
      <c r="BX219" s="1">
        <f>SUM($AP219,$AQ219:AZ219)-SUM($CK219:CU219)</f>
        <v>-584640</v>
      </c>
      <c r="BY219" s="1">
        <f>SUM($AP219,$AQ219:BA219)-SUM($CK219:CV219)</f>
        <v>-751680</v>
      </c>
      <c r="BZ219" s="1">
        <f>SUM($AP219,$AQ219:BB219)-SUM($CK219:CW219)</f>
        <v>-939600</v>
      </c>
      <c r="CA219" s="1">
        <f>SUM($AP219,$AQ219:BC219)-SUM($CK219:CX219)</f>
        <v>-1148400</v>
      </c>
      <c r="CB219" s="1">
        <f>SUM($AP219,$AQ219:BD219)-SUM($CK219:CY219)</f>
        <v>-1378080</v>
      </c>
      <c r="CC219" s="1">
        <f>SUM($AP219,$AQ219:BE219)-SUM($CK219:CZ219)</f>
        <v>-1628640</v>
      </c>
      <c r="CD219" s="1">
        <f>SUM($AP219,$AQ219:BF219)-SUM($CK219:DA219)</f>
        <v>-1900080</v>
      </c>
      <c r="CE219" s="1">
        <f>SUM($AP219,$AQ219:BG219)-SUM($CK219:DB219)</f>
        <v>-1900080</v>
      </c>
      <c r="CF219" s="1">
        <f>SUM($AP219,$AQ219:BH219)-SUM($CK219:DC219)</f>
        <v>-1900080</v>
      </c>
      <c r="CG219" s="1">
        <f>SUM($AP219,$AQ219:BI219)-SUM($CK219:DD219)</f>
        <v>-1900080</v>
      </c>
      <c r="CK219" s="1">
        <f t="array" ref="CK219">SUMPRODUCT($H219:$Y219,(TRANSPOSE(CK$2:CK$19)))</f>
        <v>0</v>
      </c>
      <c r="CL219" s="1">
        <f t="array" ref="CL219">SUMPRODUCT($H219:$Y219,(TRANSPOSE(CL$2:CL$19)))</f>
        <v>0</v>
      </c>
      <c r="CM219" s="1">
        <f t="array" ref="CM219">SUMPRODUCT($H219:$Y219,(TRANSPOSE(CM$2:CM$19)))</f>
        <v>0</v>
      </c>
      <c r="CN219" s="1">
        <f t="array" ref="CN219">SUMPRODUCT($H219:$Y219,(TRANSPOSE(CN$2:CN$19)))</f>
        <v>0</v>
      </c>
      <c r="CO219" s="1">
        <f t="array" ref="CO219">SUMPRODUCT($H219:$Y219,(TRANSPOSE(CO$2:CO$19)))</f>
        <v>20880</v>
      </c>
      <c r="CP219" s="1">
        <f t="array" ref="CP219">SUMPRODUCT($H219:$Y219,(TRANSPOSE(CP$2:CP$19)))</f>
        <v>41760</v>
      </c>
      <c r="CQ219" s="1">
        <f t="array" ref="CQ219">SUMPRODUCT($H219:$Y219,(TRANSPOSE(CQ$2:CQ$19)))</f>
        <v>62640</v>
      </c>
      <c r="CR219" s="1">
        <f t="array" ref="CR219">SUMPRODUCT($H219:$Y219,(TRANSPOSE(CR$2:CR$19)))</f>
        <v>83520</v>
      </c>
      <c r="CS219" s="1">
        <f t="array" ref="CS219">SUMPRODUCT($H219:$Y219,(TRANSPOSE(CS$2:CS$19)))</f>
        <v>104400</v>
      </c>
      <c r="CT219" s="1">
        <f t="array" ref="CT219">SUMPRODUCT($H219:$Y219,(TRANSPOSE(CT$2:CT$19)))</f>
        <v>125280</v>
      </c>
      <c r="CU219" s="1">
        <f t="array" ref="CU219">SUMPRODUCT($H219:$Y219,(TRANSPOSE(CU$2:CU$19)))</f>
        <v>146160</v>
      </c>
      <c r="CV219" s="1">
        <f t="array" ref="CV219">SUMPRODUCT($H219:$Y219,(TRANSPOSE(CV$2:CV$19)))</f>
        <v>167040</v>
      </c>
      <c r="CW219" s="1">
        <f t="array" ref="CW219">SUMPRODUCT($H219:$Y219,(TRANSPOSE(CW$2:CW$19)))</f>
        <v>187920</v>
      </c>
      <c r="CX219" s="1">
        <f t="array" ref="CX219">SUMPRODUCT($H219:$Y219,(TRANSPOSE(CX$2:CX$19)))</f>
        <v>208800</v>
      </c>
      <c r="CY219" s="1">
        <f t="array" ref="CY219">SUMPRODUCT($H219:$Y219,(TRANSPOSE(CY$2:CY$19)))</f>
        <v>229680</v>
      </c>
      <c r="CZ219" s="1">
        <f t="array" ref="CZ219">SUMPRODUCT($H219:$Y219,(TRANSPOSE(CZ$2:CZ$19)))</f>
        <v>250560</v>
      </c>
      <c r="DA219" s="1">
        <f t="array" ref="DA219">SUMPRODUCT($H219:$Y219,(TRANSPOSE(DA$2:DA$19)))</f>
        <v>271440</v>
      </c>
      <c r="DB219" s="1">
        <f t="array" ref="DB219">SUMPRODUCT($H219:$Y219,(TRANSPOSE(DB$2:DB$19)))</f>
        <v>0</v>
      </c>
      <c r="DC219" s="1">
        <f t="array" ref="DC219">SUMPRODUCT($H219:$Y219,(TRANSPOSE(DC$2:DC$19)))</f>
        <v>0</v>
      </c>
      <c r="DD219" s="1">
        <f t="array" ref="DD219">SUMPRODUCT($H219:$Y219,(TRANSPOSE(DD$2:DD$19)))</f>
        <v>0</v>
      </c>
    </row>
    <row r="220" spans="1:108" ht="13.5" thickBot="1" x14ac:dyDescent="0.25">
      <c r="A220" s="1">
        <v>247</v>
      </c>
      <c r="B220" s="10" t="s">
        <v>334</v>
      </c>
      <c r="C220" s="1" t="s">
        <v>22</v>
      </c>
      <c r="D220" s="1">
        <v>402231969</v>
      </c>
      <c r="E220" s="1">
        <v>400481203</v>
      </c>
      <c r="F220" s="1" t="s">
        <v>333</v>
      </c>
      <c r="G220" s="1" t="s">
        <v>20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136</v>
      </c>
      <c r="U220" s="1">
        <v>0</v>
      </c>
      <c r="V220" s="1">
        <v>0</v>
      </c>
      <c r="W220" s="1">
        <v>0</v>
      </c>
      <c r="X220" s="1">
        <v>136</v>
      </c>
      <c r="Y220" s="1">
        <v>0</v>
      </c>
      <c r="Z220" s="1">
        <f>SUM(H220:Y220)</f>
        <v>272</v>
      </c>
      <c r="AA220" s="1">
        <f>SUMPRODUCT(H220:Y220,$H$16:$Y$16)</f>
        <v>247520</v>
      </c>
      <c r="AB220" s="11" t="s">
        <v>165</v>
      </c>
      <c r="AC220" s="1">
        <v>2E-3</v>
      </c>
      <c r="AD220" s="9"/>
      <c r="AE220" s="1" t="s">
        <v>28</v>
      </c>
      <c r="AF220" s="1">
        <f>AC220</f>
        <v>2E-3</v>
      </c>
      <c r="AG220" s="1">
        <v>10000</v>
      </c>
      <c r="AH220" s="1">
        <v>10000</v>
      </c>
      <c r="AI220" s="1" t="s">
        <v>164</v>
      </c>
      <c r="AK220" s="1" t="s">
        <v>163</v>
      </c>
      <c r="AL220" s="1" t="s">
        <v>162</v>
      </c>
      <c r="AM220" s="1" t="s">
        <v>161</v>
      </c>
      <c r="AN220" s="2" t="s">
        <v>282</v>
      </c>
      <c r="BO220" s="1">
        <f>SUM($AP220,$AQ220:AQ220)-SUM($CK220:CL220)</f>
        <v>0</v>
      </c>
      <c r="BP220" s="1">
        <f>SUM($AP220,$AQ220:AR220)-SUM($CK220:CM220)</f>
        <v>0</v>
      </c>
      <c r="BQ220" s="1">
        <f>SUM($AP220,$AQ220:AS220)-SUM($CK220:CN220)</f>
        <v>0</v>
      </c>
      <c r="BR220" s="1">
        <f>SUM($AP220,$AQ220:AT220)-SUM($CK220:CO220)</f>
        <v>-2720</v>
      </c>
      <c r="BS220" s="1">
        <f>SUM($AP220,$AQ220:AU220)-SUM($CK220:CP220)</f>
        <v>-8160</v>
      </c>
      <c r="BT220" s="1">
        <f>SUM($AP220,$AQ220:AV220)-SUM($CK220:CQ220)</f>
        <v>-16320</v>
      </c>
      <c r="BU220" s="1">
        <f>SUM($AP220,$AQ220:AW220)-SUM($CK220:CR220)</f>
        <v>-27200</v>
      </c>
      <c r="BV220" s="1">
        <f>SUM($AP220,$AQ220:AX220)-SUM($CK220:CS220)</f>
        <v>-40800</v>
      </c>
      <c r="BW220" s="1">
        <f>SUM($AP220,$AQ220:AY220)-SUM($CK220:CT220)</f>
        <v>-57120</v>
      </c>
      <c r="BX220" s="1">
        <f>SUM($AP220,$AQ220:AZ220)-SUM($CK220:CU220)</f>
        <v>-76160</v>
      </c>
      <c r="BY220" s="1">
        <f>SUM($AP220,$AQ220:BA220)-SUM($CK220:CV220)</f>
        <v>-97920</v>
      </c>
      <c r="BZ220" s="1">
        <f>SUM($AP220,$AQ220:BB220)-SUM($CK220:CW220)</f>
        <v>-122400</v>
      </c>
      <c r="CA220" s="1">
        <f>SUM($AP220,$AQ220:BC220)-SUM($CK220:CX220)</f>
        <v>-149600</v>
      </c>
      <c r="CB220" s="1">
        <f>SUM($AP220,$AQ220:BD220)-SUM($CK220:CY220)</f>
        <v>-179520</v>
      </c>
      <c r="CC220" s="1">
        <f>SUM($AP220,$AQ220:BE220)-SUM($CK220:CZ220)</f>
        <v>-212160</v>
      </c>
      <c r="CD220" s="1">
        <f>SUM($AP220,$AQ220:BF220)-SUM($CK220:DA220)</f>
        <v>-247520</v>
      </c>
      <c r="CE220" s="1">
        <f>SUM($AP220,$AQ220:BG220)-SUM($CK220:DB220)</f>
        <v>-247520</v>
      </c>
      <c r="CF220" s="1">
        <f>SUM($AP220,$AQ220:BH220)-SUM($CK220:DC220)</f>
        <v>-247520</v>
      </c>
      <c r="CG220" s="1">
        <f>SUM($AP220,$AQ220:BI220)-SUM($CK220:DD220)</f>
        <v>-247520</v>
      </c>
      <c r="CK220" s="1">
        <f t="array" ref="CK220">SUMPRODUCT($H220:$Y220,(TRANSPOSE(CK$2:CK$19)))</f>
        <v>0</v>
      </c>
      <c r="CL220" s="1">
        <f t="array" ref="CL220">SUMPRODUCT($H220:$Y220,(TRANSPOSE(CL$2:CL$19)))</f>
        <v>0</v>
      </c>
      <c r="CM220" s="1">
        <f t="array" ref="CM220">SUMPRODUCT($H220:$Y220,(TRANSPOSE(CM$2:CM$19)))</f>
        <v>0</v>
      </c>
      <c r="CN220" s="1">
        <f t="array" ref="CN220">SUMPRODUCT($H220:$Y220,(TRANSPOSE(CN$2:CN$19)))</f>
        <v>0</v>
      </c>
      <c r="CO220" s="1">
        <f t="array" ref="CO220">SUMPRODUCT($H220:$Y220,(TRANSPOSE(CO$2:CO$19)))</f>
        <v>2720</v>
      </c>
      <c r="CP220" s="1">
        <f t="array" ref="CP220">SUMPRODUCT($H220:$Y220,(TRANSPOSE(CP$2:CP$19)))</f>
        <v>5440</v>
      </c>
      <c r="CQ220" s="1">
        <f t="array" ref="CQ220">SUMPRODUCT($H220:$Y220,(TRANSPOSE(CQ$2:CQ$19)))</f>
        <v>8160</v>
      </c>
      <c r="CR220" s="1">
        <f t="array" ref="CR220">SUMPRODUCT($H220:$Y220,(TRANSPOSE(CR$2:CR$19)))</f>
        <v>10880</v>
      </c>
      <c r="CS220" s="1">
        <f t="array" ref="CS220">SUMPRODUCT($H220:$Y220,(TRANSPOSE(CS$2:CS$19)))</f>
        <v>13600</v>
      </c>
      <c r="CT220" s="1">
        <f t="array" ref="CT220">SUMPRODUCT($H220:$Y220,(TRANSPOSE(CT$2:CT$19)))</f>
        <v>16320</v>
      </c>
      <c r="CU220" s="1">
        <f t="array" ref="CU220">SUMPRODUCT($H220:$Y220,(TRANSPOSE(CU$2:CU$19)))</f>
        <v>19040</v>
      </c>
      <c r="CV220" s="1">
        <f t="array" ref="CV220">SUMPRODUCT($H220:$Y220,(TRANSPOSE(CV$2:CV$19)))</f>
        <v>21760</v>
      </c>
      <c r="CW220" s="1">
        <f t="array" ref="CW220">SUMPRODUCT($H220:$Y220,(TRANSPOSE(CW$2:CW$19)))</f>
        <v>24480</v>
      </c>
      <c r="CX220" s="1">
        <f t="array" ref="CX220">SUMPRODUCT($H220:$Y220,(TRANSPOSE(CX$2:CX$19)))</f>
        <v>27200</v>
      </c>
      <c r="CY220" s="1">
        <f t="array" ref="CY220">SUMPRODUCT($H220:$Y220,(TRANSPOSE(CY$2:CY$19)))</f>
        <v>29920</v>
      </c>
      <c r="CZ220" s="1">
        <f t="array" ref="CZ220">SUMPRODUCT($H220:$Y220,(TRANSPOSE(CZ$2:CZ$19)))</f>
        <v>32640</v>
      </c>
      <c r="DA220" s="1">
        <f t="array" ref="DA220">SUMPRODUCT($H220:$Y220,(TRANSPOSE(DA$2:DA$19)))</f>
        <v>35360</v>
      </c>
      <c r="DB220" s="1">
        <f t="array" ref="DB220">SUMPRODUCT($H220:$Y220,(TRANSPOSE(DB$2:DB$19)))</f>
        <v>0</v>
      </c>
      <c r="DC220" s="1">
        <f t="array" ref="DC220">SUMPRODUCT($H220:$Y220,(TRANSPOSE(DC$2:DC$19)))</f>
        <v>0</v>
      </c>
      <c r="DD220" s="1">
        <f t="array" ref="DD220">SUMPRODUCT($H220:$Y220,(TRANSPOSE(DD$2:DD$19)))</f>
        <v>0</v>
      </c>
    </row>
    <row r="221" spans="1:108" x14ac:dyDescent="0.2">
      <c r="A221" s="1">
        <v>248</v>
      </c>
      <c r="B221" s="10" t="s">
        <v>332</v>
      </c>
      <c r="C221" s="1" t="s">
        <v>22</v>
      </c>
      <c r="D221" s="1">
        <v>403326394</v>
      </c>
      <c r="E221" s="1">
        <v>400481547</v>
      </c>
      <c r="F221" s="1" t="s">
        <v>331</v>
      </c>
      <c r="G221" s="1" t="s">
        <v>20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12</v>
      </c>
      <c r="V221" s="1">
        <v>0</v>
      </c>
      <c r="W221" s="1">
        <v>0</v>
      </c>
      <c r="X221" s="1">
        <v>0</v>
      </c>
      <c r="Y221" s="1">
        <v>12</v>
      </c>
      <c r="Z221" s="1">
        <f>SUM(H221:Y221)</f>
        <v>24</v>
      </c>
      <c r="AA221" s="1">
        <f>SUMPRODUCT(H221:Y221,$H$16:$Y$16)</f>
        <v>21840</v>
      </c>
      <c r="AB221" s="1" t="s">
        <v>310</v>
      </c>
      <c r="AC221" s="1">
        <v>2.16</v>
      </c>
      <c r="AD221" s="9"/>
      <c r="AE221" s="1" t="s">
        <v>28</v>
      </c>
      <c r="AF221" s="1">
        <f>AC221</f>
        <v>2.16</v>
      </c>
      <c r="AG221" s="1">
        <v>1500</v>
      </c>
      <c r="AH221" s="1">
        <v>1500</v>
      </c>
      <c r="AI221" s="1">
        <v>16</v>
      </c>
      <c r="AK221" s="1" t="s">
        <v>309</v>
      </c>
      <c r="AL221" s="1" t="s">
        <v>308</v>
      </c>
      <c r="AM221" s="1" t="s">
        <v>307</v>
      </c>
      <c r="AN221" s="2" t="s">
        <v>306</v>
      </c>
      <c r="BO221" s="1">
        <f>SUM($AP221,$AQ221:AQ221)-SUM($CK221:CL221)</f>
        <v>0</v>
      </c>
      <c r="BP221" s="1">
        <f>SUM($AP221,$AQ221:AR221)-SUM($CK221:CM221)</f>
        <v>0</v>
      </c>
      <c r="BQ221" s="1">
        <f>SUM($AP221,$AQ221:AS221)-SUM($CK221:CN221)</f>
        <v>0</v>
      </c>
      <c r="BR221" s="1">
        <f>SUM($AP221,$AQ221:AT221)-SUM($CK221:CO221)</f>
        <v>-240</v>
      </c>
      <c r="BS221" s="1">
        <f>SUM($AP221,$AQ221:AU221)-SUM($CK221:CP221)</f>
        <v>-720</v>
      </c>
      <c r="BT221" s="1">
        <f>SUM($AP221,$AQ221:AV221)-SUM($CK221:CQ221)</f>
        <v>-1440</v>
      </c>
      <c r="BU221" s="1">
        <f>SUM($AP221,$AQ221:AW221)-SUM($CK221:CR221)</f>
        <v>-2400</v>
      </c>
      <c r="BV221" s="1">
        <f>SUM($AP221,$AQ221:AX221)-SUM($CK221:CS221)</f>
        <v>-3600</v>
      </c>
      <c r="BW221" s="1">
        <f>SUM($AP221,$AQ221:AY221)-SUM($CK221:CT221)</f>
        <v>-5040</v>
      </c>
      <c r="BX221" s="1">
        <f>SUM($AP221,$AQ221:AZ221)-SUM($CK221:CU221)</f>
        <v>-6720</v>
      </c>
      <c r="BY221" s="1">
        <f>SUM($AP221,$AQ221:BA221)-SUM($CK221:CV221)</f>
        <v>-8640</v>
      </c>
      <c r="BZ221" s="1">
        <f>SUM($AP221,$AQ221:BB221)-SUM($CK221:CW221)</f>
        <v>-10800</v>
      </c>
      <c r="CA221" s="1">
        <f>SUM($AP221,$AQ221:BC221)-SUM($CK221:CX221)</f>
        <v>-13200</v>
      </c>
      <c r="CB221" s="1">
        <f>SUM($AP221,$AQ221:BD221)-SUM($CK221:CY221)</f>
        <v>-15840</v>
      </c>
      <c r="CC221" s="1">
        <f>SUM($AP221,$AQ221:BE221)-SUM($CK221:CZ221)</f>
        <v>-18720</v>
      </c>
      <c r="CD221" s="1">
        <f>SUM($AP221,$AQ221:BF221)-SUM($CK221:DA221)</f>
        <v>-21840</v>
      </c>
      <c r="CE221" s="1">
        <f>SUM($AP221,$AQ221:BG221)-SUM($CK221:DB221)</f>
        <v>-21840</v>
      </c>
      <c r="CF221" s="1">
        <f>SUM($AP221,$AQ221:BH221)-SUM($CK221:DC221)</f>
        <v>-21840</v>
      </c>
      <c r="CG221" s="1">
        <f>SUM($AP221,$AQ221:BI221)-SUM($CK221:DD221)</f>
        <v>-21840</v>
      </c>
      <c r="CK221" s="1">
        <f t="array" ref="CK221">SUMPRODUCT($H221:$Y221,(TRANSPOSE(CK$2:CK$19)))</f>
        <v>0</v>
      </c>
      <c r="CL221" s="1">
        <f t="array" ref="CL221">SUMPRODUCT($H221:$Y221,(TRANSPOSE(CL$2:CL$19)))</f>
        <v>0</v>
      </c>
      <c r="CM221" s="1">
        <f t="array" ref="CM221">SUMPRODUCT($H221:$Y221,(TRANSPOSE(CM$2:CM$19)))</f>
        <v>0</v>
      </c>
      <c r="CN221" s="1">
        <f t="array" ref="CN221">SUMPRODUCT($H221:$Y221,(TRANSPOSE(CN$2:CN$19)))</f>
        <v>0</v>
      </c>
      <c r="CO221" s="1">
        <f t="array" ref="CO221">SUMPRODUCT($H221:$Y221,(TRANSPOSE(CO$2:CO$19)))</f>
        <v>240</v>
      </c>
      <c r="CP221" s="1">
        <f t="array" ref="CP221">SUMPRODUCT($H221:$Y221,(TRANSPOSE(CP$2:CP$19)))</f>
        <v>480</v>
      </c>
      <c r="CQ221" s="1">
        <f t="array" ref="CQ221">SUMPRODUCT($H221:$Y221,(TRANSPOSE(CQ$2:CQ$19)))</f>
        <v>720</v>
      </c>
      <c r="CR221" s="1">
        <f t="array" ref="CR221">SUMPRODUCT($H221:$Y221,(TRANSPOSE(CR$2:CR$19)))</f>
        <v>960</v>
      </c>
      <c r="CS221" s="1">
        <f t="array" ref="CS221">SUMPRODUCT($H221:$Y221,(TRANSPOSE(CS$2:CS$19)))</f>
        <v>1200</v>
      </c>
      <c r="CT221" s="1">
        <f t="array" ref="CT221">SUMPRODUCT($H221:$Y221,(TRANSPOSE(CT$2:CT$19)))</f>
        <v>1440</v>
      </c>
      <c r="CU221" s="1">
        <f t="array" ref="CU221">SUMPRODUCT($H221:$Y221,(TRANSPOSE(CU$2:CU$19)))</f>
        <v>1680</v>
      </c>
      <c r="CV221" s="1">
        <f t="array" ref="CV221">SUMPRODUCT($H221:$Y221,(TRANSPOSE(CV$2:CV$19)))</f>
        <v>1920</v>
      </c>
      <c r="CW221" s="1">
        <f t="array" ref="CW221">SUMPRODUCT($H221:$Y221,(TRANSPOSE(CW$2:CW$19)))</f>
        <v>2160</v>
      </c>
      <c r="CX221" s="1">
        <f t="array" ref="CX221">SUMPRODUCT($H221:$Y221,(TRANSPOSE(CX$2:CX$19)))</f>
        <v>2400</v>
      </c>
      <c r="CY221" s="1">
        <f t="array" ref="CY221">SUMPRODUCT($H221:$Y221,(TRANSPOSE(CY$2:CY$19)))</f>
        <v>2640</v>
      </c>
      <c r="CZ221" s="1">
        <f t="array" ref="CZ221">SUMPRODUCT($H221:$Y221,(TRANSPOSE(CZ$2:CZ$19)))</f>
        <v>2880</v>
      </c>
      <c r="DA221" s="1">
        <f t="array" ref="DA221">SUMPRODUCT($H221:$Y221,(TRANSPOSE(DA$2:DA$19)))</f>
        <v>3120</v>
      </c>
      <c r="DB221" s="1">
        <f t="array" ref="DB221">SUMPRODUCT($H221:$Y221,(TRANSPOSE(DB$2:DB$19)))</f>
        <v>0</v>
      </c>
      <c r="DC221" s="1">
        <f t="array" ref="DC221">SUMPRODUCT($H221:$Y221,(TRANSPOSE(DC$2:DC$19)))</f>
        <v>0</v>
      </c>
      <c r="DD221" s="1">
        <f t="array" ref="DD221">SUMPRODUCT($H221:$Y221,(TRANSPOSE(DD$2:DD$19)))</f>
        <v>0</v>
      </c>
    </row>
    <row r="222" spans="1:108" x14ac:dyDescent="0.2">
      <c r="A222" s="1">
        <v>249</v>
      </c>
      <c r="B222" s="10" t="s">
        <v>330</v>
      </c>
      <c r="C222" s="1" t="s">
        <v>38</v>
      </c>
      <c r="D222" s="1">
        <v>720709658</v>
      </c>
      <c r="F222" s="1" t="s">
        <v>329</v>
      </c>
      <c r="G222" s="1" t="s">
        <v>328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0.05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f>SUM(H222:Y222)</f>
        <v>0.05</v>
      </c>
      <c r="AA222" s="1">
        <f>SUMPRODUCT(H222:Y222,$H$16:$Y$16)</f>
        <v>45.5</v>
      </c>
      <c r="AB222" s="1" t="s">
        <v>18</v>
      </c>
      <c r="AC222" s="17">
        <v>0</v>
      </c>
      <c r="AD222" s="9"/>
      <c r="AE222" s="1" t="s">
        <v>19</v>
      </c>
      <c r="AF222" s="1">
        <f>AC222</f>
        <v>0</v>
      </c>
      <c r="AG222" s="1">
        <v>1</v>
      </c>
      <c r="AH222" s="1">
        <v>1</v>
      </c>
      <c r="AI222" s="1" t="s">
        <v>18</v>
      </c>
      <c r="AJ222" s="1" t="s">
        <v>18</v>
      </c>
      <c r="AK222" s="1" t="s">
        <v>18</v>
      </c>
      <c r="AL222" s="1" t="s">
        <v>18</v>
      </c>
      <c r="AM222" s="1" t="s">
        <v>18</v>
      </c>
      <c r="AN222" s="2" t="s">
        <v>18</v>
      </c>
      <c r="BO222" s="1">
        <f>SUM($AP222,$AQ222:AQ222)-SUM($CK222:CL222)</f>
        <v>0</v>
      </c>
      <c r="BP222" s="1">
        <f>SUM($AP222,$AQ222:AR222)-SUM($CK222:CM222)</f>
        <v>-0.5</v>
      </c>
      <c r="BQ222" s="1">
        <f>SUM($AP222,$AQ222:AS222)-SUM($CK222:CN222)</f>
        <v>-1.5</v>
      </c>
      <c r="BR222" s="1">
        <f>SUM($AP222,$AQ222:AT222)-SUM($CK222:CO222)</f>
        <v>-3</v>
      </c>
      <c r="BS222" s="1">
        <f>SUM($AP222,$AQ222:AU222)-SUM($CK222:CP222)</f>
        <v>-5</v>
      </c>
      <c r="BT222" s="1">
        <f>SUM($AP222,$AQ222:AV222)-SUM($CK222:CQ222)</f>
        <v>-7.5</v>
      </c>
      <c r="BU222" s="1">
        <f>SUM($AP222,$AQ222:AW222)-SUM($CK222:CR222)</f>
        <v>-10.5</v>
      </c>
      <c r="BV222" s="1">
        <f>SUM($AP222,$AQ222:AX222)-SUM($CK222:CS222)</f>
        <v>-14</v>
      </c>
      <c r="BW222" s="1">
        <f>SUM($AP222,$AQ222:AY222)-SUM($CK222:CT222)</f>
        <v>-18</v>
      </c>
      <c r="BX222" s="1">
        <f>SUM($AP222,$AQ222:AZ222)-SUM($CK222:CU222)</f>
        <v>-22.5</v>
      </c>
      <c r="BY222" s="1">
        <f>SUM($AP222,$AQ222:BA222)-SUM($CK222:CV222)</f>
        <v>-27.5</v>
      </c>
      <c r="BZ222" s="1">
        <f>SUM($AP222,$AQ222:BB222)-SUM($CK222:CW222)</f>
        <v>-33</v>
      </c>
      <c r="CA222" s="1">
        <f>SUM($AP222,$AQ222:BC222)-SUM($CK222:CX222)</f>
        <v>-39</v>
      </c>
      <c r="CB222" s="1">
        <f>SUM($AP222,$AQ222:BD222)-SUM($CK222:CY222)</f>
        <v>-45.5</v>
      </c>
      <c r="CC222" s="1">
        <f>SUM($AP222,$AQ222:BE222)-SUM($CK222:CZ222)</f>
        <v>-45.5</v>
      </c>
      <c r="CD222" s="1">
        <f>SUM($AP222,$AQ222:BF222)-SUM($CK222:DA222)</f>
        <v>-45.5</v>
      </c>
      <c r="CE222" s="1">
        <f>SUM($AP222,$AQ222:BG222)-SUM($CK222:DB222)</f>
        <v>-45.5</v>
      </c>
      <c r="CF222" s="1">
        <f>SUM($AP222,$AQ222:BH222)-SUM($CK222:DC222)</f>
        <v>-45.5</v>
      </c>
      <c r="CG222" s="1">
        <f>SUM($AP222,$AQ222:BI222)-SUM($CK222:DD222)</f>
        <v>-45.5</v>
      </c>
      <c r="CK222" s="1">
        <f t="array" ref="CK222">SUMPRODUCT($H222:$Y222,(TRANSPOSE(CK$2:CK$19)))</f>
        <v>0</v>
      </c>
      <c r="CL222" s="1">
        <f t="array" ref="CL222">SUMPRODUCT($H222:$Y222,(TRANSPOSE(CL$2:CL$19)))</f>
        <v>0</v>
      </c>
      <c r="CM222" s="1">
        <f t="array" ref="CM222">SUMPRODUCT($H222:$Y222,(TRANSPOSE(CM$2:CM$19)))</f>
        <v>0.5</v>
      </c>
      <c r="CN222" s="1">
        <f t="array" ref="CN222">SUMPRODUCT($H222:$Y222,(TRANSPOSE(CN$2:CN$19)))</f>
        <v>1</v>
      </c>
      <c r="CO222" s="1">
        <f t="array" ref="CO222">SUMPRODUCT($H222:$Y222,(TRANSPOSE(CO$2:CO$19)))</f>
        <v>1.5</v>
      </c>
      <c r="CP222" s="1">
        <f t="array" ref="CP222">SUMPRODUCT($H222:$Y222,(TRANSPOSE(CP$2:CP$19)))</f>
        <v>2</v>
      </c>
      <c r="CQ222" s="1">
        <f t="array" ref="CQ222">SUMPRODUCT($H222:$Y222,(TRANSPOSE(CQ$2:CQ$19)))</f>
        <v>2.5</v>
      </c>
      <c r="CR222" s="1">
        <f t="array" ref="CR222">SUMPRODUCT($H222:$Y222,(TRANSPOSE(CR$2:CR$19)))</f>
        <v>3</v>
      </c>
      <c r="CS222" s="1">
        <f t="array" ref="CS222">SUMPRODUCT($H222:$Y222,(TRANSPOSE(CS$2:CS$19)))</f>
        <v>3.5</v>
      </c>
      <c r="CT222" s="1">
        <f t="array" ref="CT222">SUMPRODUCT($H222:$Y222,(TRANSPOSE(CT$2:CT$19)))</f>
        <v>4</v>
      </c>
      <c r="CU222" s="1">
        <f t="array" ref="CU222">SUMPRODUCT($H222:$Y222,(TRANSPOSE(CU$2:CU$19)))</f>
        <v>4.5</v>
      </c>
      <c r="CV222" s="1">
        <f t="array" ref="CV222">SUMPRODUCT($H222:$Y222,(TRANSPOSE(CV$2:CV$19)))</f>
        <v>5</v>
      </c>
      <c r="CW222" s="1">
        <f t="array" ref="CW222">SUMPRODUCT($H222:$Y222,(TRANSPOSE(CW$2:CW$19)))</f>
        <v>5.5</v>
      </c>
      <c r="CX222" s="1">
        <f t="array" ref="CX222">SUMPRODUCT($H222:$Y222,(TRANSPOSE(CX$2:CX$19)))</f>
        <v>6</v>
      </c>
      <c r="CY222" s="1">
        <f t="array" ref="CY222">SUMPRODUCT($H222:$Y222,(TRANSPOSE(CY$2:CY$19)))</f>
        <v>6.5</v>
      </c>
      <c r="CZ222" s="1">
        <f t="array" ref="CZ222">SUMPRODUCT($H222:$Y222,(TRANSPOSE(CZ$2:CZ$19)))</f>
        <v>0</v>
      </c>
      <c r="DA222" s="1">
        <f t="array" ref="DA222">SUMPRODUCT($H222:$Y222,(TRANSPOSE(DA$2:DA$19)))</f>
        <v>0</v>
      </c>
      <c r="DB222" s="1">
        <f t="array" ref="DB222">SUMPRODUCT($H222:$Y222,(TRANSPOSE(DB$2:DB$19)))</f>
        <v>0</v>
      </c>
      <c r="DC222" s="1">
        <f t="array" ref="DC222">SUMPRODUCT($H222:$Y222,(TRANSPOSE(DC$2:DC$19)))</f>
        <v>0</v>
      </c>
      <c r="DD222" s="1">
        <f t="array" ref="DD222">SUMPRODUCT($H222:$Y222,(TRANSPOSE(DD$2:DD$19)))</f>
        <v>0</v>
      </c>
    </row>
    <row r="223" spans="1:108" x14ac:dyDescent="0.2">
      <c r="A223" s="1">
        <v>250</v>
      </c>
      <c r="B223" s="10" t="s">
        <v>327</v>
      </c>
      <c r="C223" s="1" t="s">
        <v>22</v>
      </c>
      <c r="D223" s="1">
        <v>421559188</v>
      </c>
      <c r="E223" s="1">
        <v>421960159</v>
      </c>
      <c r="F223" s="1" t="s">
        <v>326</v>
      </c>
      <c r="G223" s="1" t="s">
        <v>20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10</v>
      </c>
      <c r="U223" s="1">
        <v>0</v>
      </c>
      <c r="V223" s="1">
        <v>0</v>
      </c>
      <c r="W223" s="1">
        <v>0</v>
      </c>
      <c r="X223" s="1">
        <v>10</v>
      </c>
      <c r="Y223" s="1">
        <v>0</v>
      </c>
      <c r="Z223" s="1">
        <f>SUM(H223:Y223)</f>
        <v>20</v>
      </c>
      <c r="AA223" s="1">
        <f>SUMPRODUCT(H223:Y223,$H$16:$Y$16)</f>
        <v>18200</v>
      </c>
      <c r="AB223" s="1" t="s">
        <v>273</v>
      </c>
      <c r="AC223" s="1">
        <v>1.0814999999999999</v>
      </c>
      <c r="AD223" s="9"/>
      <c r="AE223" s="1" t="s">
        <v>28</v>
      </c>
      <c r="AF223" s="1">
        <f>AC223</f>
        <v>1.0814999999999999</v>
      </c>
      <c r="AG223" s="1">
        <v>500</v>
      </c>
      <c r="AH223" s="1">
        <v>500</v>
      </c>
      <c r="AI223" s="1">
        <v>13</v>
      </c>
      <c r="AK223" s="1" t="s">
        <v>81</v>
      </c>
      <c r="AL223" s="1" t="s">
        <v>272</v>
      </c>
      <c r="AM223" s="1" t="s">
        <v>271</v>
      </c>
      <c r="AN223" s="2" t="s">
        <v>270</v>
      </c>
      <c r="BO223" s="1">
        <f>SUM($AP223,$AQ223:AQ223)-SUM($CK223:CL223)</f>
        <v>0</v>
      </c>
      <c r="BP223" s="1">
        <f>SUM($AP223,$AQ223:AR223)-SUM($CK223:CM223)</f>
        <v>0</v>
      </c>
      <c r="BQ223" s="1">
        <f>SUM($AP223,$AQ223:AS223)-SUM($CK223:CN223)</f>
        <v>0</v>
      </c>
      <c r="BR223" s="1">
        <f>SUM($AP223,$AQ223:AT223)-SUM($CK223:CO223)</f>
        <v>-200</v>
      </c>
      <c r="BS223" s="1">
        <f>SUM($AP223,$AQ223:AU223)-SUM($CK223:CP223)</f>
        <v>-600</v>
      </c>
      <c r="BT223" s="1">
        <f>SUM($AP223,$AQ223:AV223)-SUM($CK223:CQ223)</f>
        <v>-1200</v>
      </c>
      <c r="BU223" s="1">
        <f>SUM($AP223,$AQ223:AW223)-SUM($CK223:CR223)</f>
        <v>-2000</v>
      </c>
      <c r="BV223" s="1">
        <f>SUM($AP223,$AQ223:AX223)-SUM($CK223:CS223)</f>
        <v>-3000</v>
      </c>
      <c r="BW223" s="1">
        <f>SUM($AP223,$AQ223:AY223)-SUM($CK223:CT223)</f>
        <v>-4200</v>
      </c>
      <c r="BX223" s="1">
        <f>SUM($AP223,$AQ223:AZ223)-SUM($CK223:CU223)</f>
        <v>-5600</v>
      </c>
      <c r="BY223" s="1">
        <f>SUM($AP223,$AQ223:BA223)-SUM($CK223:CV223)</f>
        <v>-7200</v>
      </c>
      <c r="BZ223" s="1">
        <f>SUM($AP223,$AQ223:BB223)-SUM($CK223:CW223)</f>
        <v>-9000</v>
      </c>
      <c r="CA223" s="1">
        <f>SUM($AP223,$AQ223:BC223)-SUM($CK223:CX223)</f>
        <v>-11000</v>
      </c>
      <c r="CB223" s="1">
        <f>SUM($AP223,$AQ223:BD223)-SUM($CK223:CY223)</f>
        <v>-13200</v>
      </c>
      <c r="CC223" s="1">
        <f>SUM($AP223,$AQ223:BE223)-SUM($CK223:CZ223)</f>
        <v>-15600</v>
      </c>
      <c r="CD223" s="1">
        <f>SUM($AP223,$AQ223:BF223)-SUM($CK223:DA223)</f>
        <v>-18200</v>
      </c>
      <c r="CE223" s="1">
        <f>SUM($AP223,$AQ223:BG223)-SUM($CK223:DB223)</f>
        <v>-18200</v>
      </c>
      <c r="CF223" s="1">
        <f>SUM($AP223,$AQ223:BH223)-SUM($CK223:DC223)</f>
        <v>-18200</v>
      </c>
      <c r="CG223" s="1">
        <f>SUM($AP223,$AQ223:BI223)-SUM($CK223:DD223)</f>
        <v>-18200</v>
      </c>
      <c r="CK223" s="1">
        <f t="array" ref="CK223">SUMPRODUCT($H223:$Y223,(TRANSPOSE(CK$2:CK$19)))</f>
        <v>0</v>
      </c>
      <c r="CL223" s="1">
        <f t="array" ref="CL223">SUMPRODUCT($H223:$Y223,(TRANSPOSE(CL$2:CL$19)))</f>
        <v>0</v>
      </c>
      <c r="CM223" s="1">
        <f t="array" ref="CM223">SUMPRODUCT($H223:$Y223,(TRANSPOSE(CM$2:CM$19)))</f>
        <v>0</v>
      </c>
      <c r="CN223" s="1">
        <f t="array" ref="CN223">SUMPRODUCT($H223:$Y223,(TRANSPOSE(CN$2:CN$19)))</f>
        <v>0</v>
      </c>
      <c r="CO223" s="1">
        <f t="array" ref="CO223">SUMPRODUCT($H223:$Y223,(TRANSPOSE(CO$2:CO$19)))</f>
        <v>200</v>
      </c>
      <c r="CP223" s="1">
        <f t="array" ref="CP223">SUMPRODUCT($H223:$Y223,(TRANSPOSE(CP$2:CP$19)))</f>
        <v>400</v>
      </c>
      <c r="CQ223" s="1">
        <f t="array" ref="CQ223">SUMPRODUCT($H223:$Y223,(TRANSPOSE(CQ$2:CQ$19)))</f>
        <v>600</v>
      </c>
      <c r="CR223" s="1">
        <f t="array" ref="CR223">SUMPRODUCT($H223:$Y223,(TRANSPOSE(CR$2:CR$19)))</f>
        <v>800</v>
      </c>
      <c r="CS223" s="1">
        <f t="array" ref="CS223">SUMPRODUCT($H223:$Y223,(TRANSPOSE(CS$2:CS$19)))</f>
        <v>1000</v>
      </c>
      <c r="CT223" s="1">
        <f t="array" ref="CT223">SUMPRODUCT($H223:$Y223,(TRANSPOSE(CT$2:CT$19)))</f>
        <v>1200</v>
      </c>
      <c r="CU223" s="1">
        <f t="array" ref="CU223">SUMPRODUCT($H223:$Y223,(TRANSPOSE(CU$2:CU$19)))</f>
        <v>1400</v>
      </c>
      <c r="CV223" s="1">
        <f t="array" ref="CV223">SUMPRODUCT($H223:$Y223,(TRANSPOSE(CV$2:CV$19)))</f>
        <v>1600</v>
      </c>
      <c r="CW223" s="1">
        <f t="array" ref="CW223">SUMPRODUCT($H223:$Y223,(TRANSPOSE(CW$2:CW$19)))</f>
        <v>1800</v>
      </c>
      <c r="CX223" s="1">
        <f t="array" ref="CX223">SUMPRODUCT($H223:$Y223,(TRANSPOSE(CX$2:CX$19)))</f>
        <v>2000</v>
      </c>
      <c r="CY223" s="1">
        <f t="array" ref="CY223">SUMPRODUCT($H223:$Y223,(TRANSPOSE(CY$2:CY$19)))</f>
        <v>2200</v>
      </c>
      <c r="CZ223" s="1">
        <f t="array" ref="CZ223">SUMPRODUCT($H223:$Y223,(TRANSPOSE(CZ$2:CZ$19)))</f>
        <v>2400</v>
      </c>
      <c r="DA223" s="1">
        <f t="array" ref="DA223">SUMPRODUCT($H223:$Y223,(TRANSPOSE(DA$2:DA$19)))</f>
        <v>2600</v>
      </c>
      <c r="DB223" s="1">
        <f t="array" ref="DB223">SUMPRODUCT($H223:$Y223,(TRANSPOSE(DB$2:DB$19)))</f>
        <v>0</v>
      </c>
      <c r="DC223" s="1">
        <f t="array" ref="DC223">SUMPRODUCT($H223:$Y223,(TRANSPOSE(DC$2:DC$19)))</f>
        <v>0</v>
      </c>
      <c r="DD223" s="1">
        <f t="array" ref="DD223">SUMPRODUCT($H223:$Y223,(TRANSPOSE(DD$2:DD$19)))</f>
        <v>0</v>
      </c>
    </row>
    <row r="224" spans="1:108" x14ac:dyDescent="0.2">
      <c r="A224" s="1">
        <v>251</v>
      </c>
      <c r="B224" s="10" t="s">
        <v>325</v>
      </c>
      <c r="C224" s="1" t="s">
        <v>22</v>
      </c>
      <c r="D224" s="1">
        <v>400359753</v>
      </c>
      <c r="F224" s="1" t="s">
        <v>324</v>
      </c>
      <c r="G224" s="1" t="s">
        <v>20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68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f>SUM(H224:Y224)</f>
        <v>68</v>
      </c>
      <c r="AA224" s="1">
        <f>SUMPRODUCT(H224:Y224,$H$16:$Y$16)</f>
        <v>61880</v>
      </c>
      <c r="AB224" s="1" t="s">
        <v>273</v>
      </c>
      <c r="AC224" s="1">
        <v>2.8531</v>
      </c>
      <c r="AD224" s="9"/>
      <c r="AE224" s="1" t="s">
        <v>28</v>
      </c>
      <c r="AF224" s="1">
        <f>AC224</f>
        <v>2.8531</v>
      </c>
      <c r="AG224" s="1">
        <v>500</v>
      </c>
      <c r="AH224" s="1">
        <v>500</v>
      </c>
      <c r="AI224" s="1">
        <v>13</v>
      </c>
      <c r="AK224" s="1" t="s">
        <v>81</v>
      </c>
      <c r="AL224" s="1" t="s">
        <v>272</v>
      </c>
      <c r="AM224" s="1" t="s">
        <v>271</v>
      </c>
      <c r="AN224" s="2" t="s">
        <v>270</v>
      </c>
      <c r="BO224" s="1">
        <f>SUM($AP224,$AQ224:AQ224)-SUM($CK224:CL224)</f>
        <v>0</v>
      </c>
      <c r="BP224" s="1">
        <f>SUM($AP224,$AQ224:AR224)-SUM($CK224:CM224)</f>
        <v>0</v>
      </c>
      <c r="BQ224" s="1">
        <f>SUM($AP224,$AQ224:AS224)-SUM($CK224:CN224)</f>
        <v>0</v>
      </c>
      <c r="BR224" s="1">
        <f>SUM($AP224,$AQ224:AT224)-SUM($CK224:CO224)</f>
        <v>-680</v>
      </c>
      <c r="BS224" s="1">
        <f>SUM($AP224,$AQ224:AU224)-SUM($CK224:CP224)</f>
        <v>-2040</v>
      </c>
      <c r="BT224" s="1">
        <f>SUM($AP224,$AQ224:AV224)-SUM($CK224:CQ224)</f>
        <v>-4080</v>
      </c>
      <c r="BU224" s="1">
        <f>SUM($AP224,$AQ224:AW224)-SUM($CK224:CR224)</f>
        <v>-6800</v>
      </c>
      <c r="BV224" s="1">
        <f>SUM($AP224,$AQ224:AX224)-SUM($CK224:CS224)</f>
        <v>-10200</v>
      </c>
      <c r="BW224" s="1">
        <f>SUM($AP224,$AQ224:AY224)-SUM($CK224:CT224)</f>
        <v>-14280</v>
      </c>
      <c r="BX224" s="1">
        <f>SUM($AP224,$AQ224:AZ224)-SUM($CK224:CU224)</f>
        <v>-19040</v>
      </c>
      <c r="BY224" s="1">
        <f>SUM($AP224,$AQ224:BA224)-SUM($CK224:CV224)</f>
        <v>-24480</v>
      </c>
      <c r="BZ224" s="1">
        <f>SUM($AP224,$AQ224:BB224)-SUM($CK224:CW224)</f>
        <v>-30600</v>
      </c>
      <c r="CA224" s="1">
        <f>SUM($AP224,$AQ224:BC224)-SUM($CK224:CX224)</f>
        <v>-37400</v>
      </c>
      <c r="CB224" s="1">
        <f>SUM($AP224,$AQ224:BD224)-SUM($CK224:CY224)</f>
        <v>-44880</v>
      </c>
      <c r="CC224" s="1">
        <f>SUM($AP224,$AQ224:BE224)-SUM($CK224:CZ224)</f>
        <v>-53040</v>
      </c>
      <c r="CD224" s="1">
        <f>SUM($AP224,$AQ224:BF224)-SUM($CK224:DA224)</f>
        <v>-61880</v>
      </c>
      <c r="CE224" s="1">
        <f>SUM($AP224,$AQ224:BG224)-SUM($CK224:DB224)</f>
        <v>-61880</v>
      </c>
      <c r="CF224" s="1">
        <f>SUM($AP224,$AQ224:BH224)-SUM($CK224:DC224)</f>
        <v>-61880</v>
      </c>
      <c r="CG224" s="1">
        <f>SUM($AP224,$AQ224:BI224)-SUM($CK224:DD224)</f>
        <v>-61880</v>
      </c>
      <c r="CK224" s="1">
        <f t="array" ref="CK224">SUMPRODUCT($H224:$Y224,(TRANSPOSE(CK$2:CK$19)))</f>
        <v>0</v>
      </c>
      <c r="CL224" s="1">
        <f t="array" ref="CL224">SUMPRODUCT($H224:$Y224,(TRANSPOSE(CL$2:CL$19)))</f>
        <v>0</v>
      </c>
      <c r="CM224" s="1">
        <f t="array" ref="CM224">SUMPRODUCT($H224:$Y224,(TRANSPOSE(CM$2:CM$19)))</f>
        <v>0</v>
      </c>
      <c r="CN224" s="1">
        <f t="array" ref="CN224">SUMPRODUCT($H224:$Y224,(TRANSPOSE(CN$2:CN$19)))</f>
        <v>0</v>
      </c>
      <c r="CO224" s="1">
        <f t="array" ref="CO224">SUMPRODUCT($H224:$Y224,(TRANSPOSE(CO$2:CO$19)))</f>
        <v>680</v>
      </c>
      <c r="CP224" s="1">
        <f t="array" ref="CP224">SUMPRODUCT($H224:$Y224,(TRANSPOSE(CP$2:CP$19)))</f>
        <v>1360</v>
      </c>
      <c r="CQ224" s="1">
        <f t="array" ref="CQ224">SUMPRODUCT($H224:$Y224,(TRANSPOSE(CQ$2:CQ$19)))</f>
        <v>2040</v>
      </c>
      <c r="CR224" s="1">
        <f t="array" ref="CR224">SUMPRODUCT($H224:$Y224,(TRANSPOSE(CR$2:CR$19)))</f>
        <v>2720</v>
      </c>
      <c r="CS224" s="1">
        <f t="array" ref="CS224">SUMPRODUCT($H224:$Y224,(TRANSPOSE(CS$2:CS$19)))</f>
        <v>3400</v>
      </c>
      <c r="CT224" s="1">
        <f t="array" ref="CT224">SUMPRODUCT($H224:$Y224,(TRANSPOSE(CT$2:CT$19)))</f>
        <v>4080</v>
      </c>
      <c r="CU224" s="1">
        <f t="array" ref="CU224">SUMPRODUCT($H224:$Y224,(TRANSPOSE(CU$2:CU$19)))</f>
        <v>4760</v>
      </c>
      <c r="CV224" s="1">
        <f t="array" ref="CV224">SUMPRODUCT($H224:$Y224,(TRANSPOSE(CV$2:CV$19)))</f>
        <v>5440</v>
      </c>
      <c r="CW224" s="1">
        <f t="array" ref="CW224">SUMPRODUCT($H224:$Y224,(TRANSPOSE(CW$2:CW$19)))</f>
        <v>6120</v>
      </c>
      <c r="CX224" s="1">
        <f t="array" ref="CX224">SUMPRODUCT($H224:$Y224,(TRANSPOSE(CX$2:CX$19)))</f>
        <v>6800</v>
      </c>
      <c r="CY224" s="1">
        <f t="array" ref="CY224">SUMPRODUCT($H224:$Y224,(TRANSPOSE(CY$2:CY$19)))</f>
        <v>7480</v>
      </c>
      <c r="CZ224" s="1">
        <f t="array" ref="CZ224">SUMPRODUCT($H224:$Y224,(TRANSPOSE(CZ$2:CZ$19)))</f>
        <v>8160</v>
      </c>
      <c r="DA224" s="1">
        <f t="array" ref="DA224">SUMPRODUCT($H224:$Y224,(TRANSPOSE(DA$2:DA$19)))</f>
        <v>8840</v>
      </c>
      <c r="DB224" s="1">
        <f t="array" ref="DB224">SUMPRODUCT($H224:$Y224,(TRANSPOSE(DB$2:DB$19)))</f>
        <v>0</v>
      </c>
      <c r="DC224" s="1">
        <f t="array" ref="DC224">SUMPRODUCT($H224:$Y224,(TRANSPOSE(DC$2:DC$19)))</f>
        <v>0</v>
      </c>
      <c r="DD224" s="1">
        <f t="array" ref="DD224">SUMPRODUCT($H224:$Y224,(TRANSPOSE(DD$2:DD$19)))</f>
        <v>0</v>
      </c>
    </row>
    <row r="225" spans="1:108" x14ac:dyDescent="0.2">
      <c r="A225" s="1">
        <v>252</v>
      </c>
      <c r="B225" s="10" t="s">
        <v>323</v>
      </c>
      <c r="C225" s="1" t="s">
        <v>22</v>
      </c>
      <c r="D225" s="1">
        <v>400547664</v>
      </c>
      <c r="F225" s="1" t="s">
        <v>322</v>
      </c>
      <c r="G225" s="1" t="s">
        <v>20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2</v>
      </c>
      <c r="U225" s="1">
        <v>0</v>
      </c>
      <c r="V225" s="1">
        <v>0</v>
      </c>
      <c r="W225" s="1">
        <v>0</v>
      </c>
      <c r="X225" s="1">
        <v>2</v>
      </c>
      <c r="Y225" s="1">
        <v>0</v>
      </c>
      <c r="Z225" s="1">
        <f>SUM(H225:Y225)</f>
        <v>4</v>
      </c>
      <c r="AA225" s="1">
        <f>SUMPRODUCT(H225:Y225,$H$16:$Y$16)</f>
        <v>3640</v>
      </c>
      <c r="AB225" s="1" t="s">
        <v>273</v>
      </c>
      <c r="AC225" s="1">
        <v>1.9570000000000001</v>
      </c>
      <c r="AD225" s="9"/>
      <c r="AE225" s="1" t="s">
        <v>28</v>
      </c>
      <c r="AF225" s="1">
        <f>AC225</f>
        <v>1.9570000000000001</v>
      </c>
      <c r="AG225" s="1">
        <v>500</v>
      </c>
      <c r="AH225" s="1">
        <v>124</v>
      </c>
      <c r="AI225" s="1">
        <v>13</v>
      </c>
      <c r="AK225" s="1" t="s">
        <v>81</v>
      </c>
      <c r="AL225" s="1" t="s">
        <v>272</v>
      </c>
      <c r="AM225" s="1" t="s">
        <v>271</v>
      </c>
      <c r="AN225" s="2" t="s">
        <v>270</v>
      </c>
      <c r="BO225" s="1">
        <f>SUM($AP225,$AQ225:AQ225)-SUM($CK225:CL225)</f>
        <v>0</v>
      </c>
      <c r="BP225" s="1">
        <f>SUM($AP225,$AQ225:AR225)-SUM($CK225:CM225)</f>
        <v>0</v>
      </c>
      <c r="BQ225" s="1">
        <f>SUM($AP225,$AQ225:AS225)-SUM($CK225:CN225)</f>
        <v>0</v>
      </c>
      <c r="BR225" s="1">
        <f>SUM($AP225,$AQ225:AT225)-SUM($CK225:CO225)</f>
        <v>-40</v>
      </c>
      <c r="BS225" s="1">
        <f>SUM($AP225,$AQ225:AU225)-SUM($CK225:CP225)</f>
        <v>-120</v>
      </c>
      <c r="BT225" s="1">
        <f>SUM($AP225,$AQ225:AV225)-SUM($CK225:CQ225)</f>
        <v>-240</v>
      </c>
      <c r="BU225" s="1">
        <f>SUM($AP225,$AQ225:AW225)-SUM($CK225:CR225)</f>
        <v>-400</v>
      </c>
      <c r="BV225" s="1">
        <f>SUM($AP225,$AQ225:AX225)-SUM($CK225:CS225)</f>
        <v>-600</v>
      </c>
      <c r="BW225" s="1">
        <f>SUM($AP225,$AQ225:AY225)-SUM($CK225:CT225)</f>
        <v>-840</v>
      </c>
      <c r="BX225" s="1">
        <f>SUM($AP225,$AQ225:AZ225)-SUM($CK225:CU225)</f>
        <v>-1120</v>
      </c>
      <c r="BY225" s="1">
        <f>SUM($AP225,$AQ225:BA225)-SUM($CK225:CV225)</f>
        <v>-1440</v>
      </c>
      <c r="BZ225" s="1">
        <f>SUM($AP225,$AQ225:BB225)-SUM($CK225:CW225)</f>
        <v>-1800</v>
      </c>
      <c r="CA225" s="1">
        <f>SUM($AP225,$AQ225:BC225)-SUM($CK225:CX225)</f>
        <v>-2200</v>
      </c>
      <c r="CB225" s="1">
        <f>SUM($AP225,$AQ225:BD225)-SUM($CK225:CY225)</f>
        <v>-2640</v>
      </c>
      <c r="CC225" s="1">
        <f>SUM($AP225,$AQ225:BE225)-SUM($CK225:CZ225)</f>
        <v>-3120</v>
      </c>
      <c r="CD225" s="1">
        <f>SUM($AP225,$AQ225:BF225)-SUM($CK225:DA225)</f>
        <v>-3640</v>
      </c>
      <c r="CE225" s="1">
        <f>SUM($AP225,$AQ225:BG225)-SUM($CK225:DB225)</f>
        <v>-3640</v>
      </c>
      <c r="CF225" s="1">
        <f>SUM($AP225,$AQ225:BH225)-SUM($CK225:DC225)</f>
        <v>-3640</v>
      </c>
      <c r="CG225" s="1">
        <f>SUM($AP225,$AQ225:BI225)-SUM($CK225:DD225)</f>
        <v>-3640</v>
      </c>
      <c r="CK225" s="1">
        <f t="array" ref="CK225">SUMPRODUCT($H225:$Y225,(TRANSPOSE(CK$2:CK$19)))</f>
        <v>0</v>
      </c>
      <c r="CL225" s="1">
        <f t="array" ref="CL225">SUMPRODUCT($H225:$Y225,(TRANSPOSE(CL$2:CL$19)))</f>
        <v>0</v>
      </c>
      <c r="CM225" s="1">
        <f t="array" ref="CM225">SUMPRODUCT($H225:$Y225,(TRANSPOSE(CM$2:CM$19)))</f>
        <v>0</v>
      </c>
      <c r="CN225" s="1">
        <f t="array" ref="CN225">SUMPRODUCT($H225:$Y225,(TRANSPOSE(CN$2:CN$19)))</f>
        <v>0</v>
      </c>
      <c r="CO225" s="1">
        <f t="array" ref="CO225">SUMPRODUCT($H225:$Y225,(TRANSPOSE(CO$2:CO$19)))</f>
        <v>40</v>
      </c>
      <c r="CP225" s="1">
        <f t="array" ref="CP225">SUMPRODUCT($H225:$Y225,(TRANSPOSE(CP$2:CP$19)))</f>
        <v>80</v>
      </c>
      <c r="CQ225" s="1">
        <f t="array" ref="CQ225">SUMPRODUCT($H225:$Y225,(TRANSPOSE(CQ$2:CQ$19)))</f>
        <v>120</v>
      </c>
      <c r="CR225" s="1">
        <f t="array" ref="CR225">SUMPRODUCT($H225:$Y225,(TRANSPOSE(CR$2:CR$19)))</f>
        <v>160</v>
      </c>
      <c r="CS225" s="1">
        <f t="array" ref="CS225">SUMPRODUCT($H225:$Y225,(TRANSPOSE(CS$2:CS$19)))</f>
        <v>200</v>
      </c>
      <c r="CT225" s="1">
        <f t="array" ref="CT225">SUMPRODUCT($H225:$Y225,(TRANSPOSE(CT$2:CT$19)))</f>
        <v>240</v>
      </c>
      <c r="CU225" s="1">
        <f t="array" ref="CU225">SUMPRODUCT($H225:$Y225,(TRANSPOSE(CU$2:CU$19)))</f>
        <v>280</v>
      </c>
      <c r="CV225" s="1">
        <f t="array" ref="CV225">SUMPRODUCT($H225:$Y225,(TRANSPOSE(CV$2:CV$19)))</f>
        <v>320</v>
      </c>
      <c r="CW225" s="1">
        <f t="array" ref="CW225">SUMPRODUCT($H225:$Y225,(TRANSPOSE(CW$2:CW$19)))</f>
        <v>360</v>
      </c>
      <c r="CX225" s="1">
        <f t="array" ref="CX225">SUMPRODUCT($H225:$Y225,(TRANSPOSE(CX$2:CX$19)))</f>
        <v>400</v>
      </c>
      <c r="CY225" s="1">
        <f t="array" ref="CY225">SUMPRODUCT($H225:$Y225,(TRANSPOSE(CY$2:CY$19)))</f>
        <v>440</v>
      </c>
      <c r="CZ225" s="1">
        <f t="array" ref="CZ225">SUMPRODUCT($H225:$Y225,(TRANSPOSE(CZ$2:CZ$19)))</f>
        <v>480</v>
      </c>
      <c r="DA225" s="1">
        <f t="array" ref="DA225">SUMPRODUCT($H225:$Y225,(TRANSPOSE(DA$2:DA$19)))</f>
        <v>520</v>
      </c>
      <c r="DB225" s="1">
        <f t="array" ref="DB225">SUMPRODUCT($H225:$Y225,(TRANSPOSE(DB$2:DB$19)))</f>
        <v>0</v>
      </c>
      <c r="DC225" s="1">
        <f t="array" ref="DC225">SUMPRODUCT($H225:$Y225,(TRANSPOSE(DC$2:DC$19)))</f>
        <v>0</v>
      </c>
      <c r="DD225" s="1">
        <f t="array" ref="DD225">SUMPRODUCT($H225:$Y225,(TRANSPOSE(DD$2:DD$19)))</f>
        <v>0</v>
      </c>
    </row>
    <row r="226" spans="1:108" x14ac:dyDescent="0.2">
      <c r="A226" s="1">
        <v>253</v>
      </c>
      <c r="B226" s="10" t="s">
        <v>321</v>
      </c>
      <c r="C226" s="1" t="s">
        <v>22</v>
      </c>
      <c r="D226" s="1">
        <v>400524033</v>
      </c>
      <c r="F226" s="1" t="s">
        <v>320</v>
      </c>
      <c r="G226" s="1" t="s">
        <v>20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2</v>
      </c>
      <c r="V226" s="1">
        <v>0</v>
      </c>
      <c r="W226" s="1">
        <v>0</v>
      </c>
      <c r="X226" s="1">
        <v>0</v>
      </c>
      <c r="Y226" s="1">
        <v>2</v>
      </c>
      <c r="Z226" s="1">
        <f>SUM(H226:Y226)</f>
        <v>4</v>
      </c>
      <c r="AA226" s="1">
        <f>SUMPRODUCT(H226:Y226,$H$16:$Y$16)</f>
        <v>3640</v>
      </c>
      <c r="AB226" s="1" t="s">
        <v>310</v>
      </c>
      <c r="AC226" s="1">
        <v>0.108</v>
      </c>
      <c r="AD226" s="9"/>
      <c r="AE226" s="1" t="s">
        <v>28</v>
      </c>
      <c r="AF226" s="1">
        <f>AC226</f>
        <v>0.108</v>
      </c>
      <c r="AH226" s="1">
        <v>3000</v>
      </c>
      <c r="AK226" s="1" t="s">
        <v>319</v>
      </c>
      <c r="AL226" s="1" t="s">
        <v>318</v>
      </c>
      <c r="AM226" s="1" t="s">
        <v>317</v>
      </c>
      <c r="AN226" s="1" t="s">
        <v>316</v>
      </c>
      <c r="BO226" s="1">
        <f>SUM($AP226,$AQ226:AQ226)-SUM($CK226:CL226)</f>
        <v>0</v>
      </c>
      <c r="BP226" s="1">
        <f>SUM($AP226,$AQ226:AR226)-SUM($CK226:CM226)</f>
        <v>0</v>
      </c>
      <c r="BQ226" s="1">
        <f>SUM($AP226,$AQ226:AS226)-SUM($CK226:CN226)</f>
        <v>0</v>
      </c>
      <c r="BR226" s="1">
        <f>SUM($AP226,$AQ226:AT226)-SUM($CK226:CO226)</f>
        <v>-40</v>
      </c>
      <c r="BS226" s="1">
        <f>SUM($AP226,$AQ226:AU226)-SUM($CK226:CP226)</f>
        <v>-120</v>
      </c>
      <c r="BT226" s="1">
        <f>SUM($AP226,$AQ226:AV226)-SUM($CK226:CQ226)</f>
        <v>-240</v>
      </c>
      <c r="BU226" s="1">
        <f>SUM($AP226,$AQ226:AW226)-SUM($CK226:CR226)</f>
        <v>-400</v>
      </c>
      <c r="BV226" s="1">
        <f>SUM($AP226,$AQ226:AX226)-SUM($CK226:CS226)</f>
        <v>-600</v>
      </c>
      <c r="BW226" s="1">
        <f>SUM($AP226,$AQ226:AY226)-SUM($CK226:CT226)</f>
        <v>-840</v>
      </c>
      <c r="BX226" s="1">
        <f>SUM($AP226,$AQ226:AZ226)-SUM($CK226:CU226)</f>
        <v>-1120</v>
      </c>
      <c r="BY226" s="1">
        <f>SUM($AP226,$AQ226:BA226)-SUM($CK226:CV226)</f>
        <v>-1440</v>
      </c>
      <c r="BZ226" s="1">
        <f>SUM($AP226,$AQ226:BB226)-SUM($CK226:CW226)</f>
        <v>-1800</v>
      </c>
      <c r="CA226" s="1">
        <f>SUM($AP226,$AQ226:BC226)-SUM($CK226:CX226)</f>
        <v>-2200</v>
      </c>
      <c r="CB226" s="1">
        <f>SUM($AP226,$AQ226:BD226)-SUM($CK226:CY226)</f>
        <v>-2640</v>
      </c>
      <c r="CC226" s="1">
        <f>SUM($AP226,$AQ226:BE226)-SUM($CK226:CZ226)</f>
        <v>-3120</v>
      </c>
      <c r="CD226" s="1">
        <f>SUM($AP226,$AQ226:BF226)-SUM($CK226:DA226)</f>
        <v>-3640</v>
      </c>
      <c r="CE226" s="1">
        <f>SUM($AP226,$AQ226:BG226)-SUM($CK226:DB226)</f>
        <v>-3640</v>
      </c>
      <c r="CF226" s="1">
        <f>SUM($AP226,$AQ226:BH226)-SUM($CK226:DC226)</f>
        <v>-3640</v>
      </c>
      <c r="CG226" s="1">
        <f>SUM($AP226,$AQ226:BI226)-SUM($CK226:DD226)</f>
        <v>-3640</v>
      </c>
      <c r="CK226" s="1">
        <f t="array" ref="CK226">SUMPRODUCT($H226:$Y226,(TRANSPOSE(CK$2:CK$19)))</f>
        <v>0</v>
      </c>
      <c r="CL226" s="1">
        <f t="array" ref="CL226">SUMPRODUCT($H226:$Y226,(TRANSPOSE(CL$2:CL$19)))</f>
        <v>0</v>
      </c>
      <c r="CM226" s="1">
        <f t="array" ref="CM226">SUMPRODUCT($H226:$Y226,(TRANSPOSE(CM$2:CM$19)))</f>
        <v>0</v>
      </c>
      <c r="CN226" s="1">
        <f t="array" ref="CN226">SUMPRODUCT($H226:$Y226,(TRANSPOSE(CN$2:CN$19)))</f>
        <v>0</v>
      </c>
      <c r="CO226" s="1">
        <f t="array" ref="CO226">SUMPRODUCT($H226:$Y226,(TRANSPOSE(CO$2:CO$19)))</f>
        <v>40</v>
      </c>
      <c r="CP226" s="1">
        <f t="array" ref="CP226">SUMPRODUCT($H226:$Y226,(TRANSPOSE(CP$2:CP$19)))</f>
        <v>80</v>
      </c>
      <c r="CQ226" s="1">
        <f t="array" ref="CQ226">SUMPRODUCT($H226:$Y226,(TRANSPOSE(CQ$2:CQ$19)))</f>
        <v>120</v>
      </c>
      <c r="CR226" s="1">
        <f t="array" ref="CR226">SUMPRODUCT($H226:$Y226,(TRANSPOSE(CR$2:CR$19)))</f>
        <v>160</v>
      </c>
      <c r="CS226" s="1">
        <f t="array" ref="CS226">SUMPRODUCT($H226:$Y226,(TRANSPOSE(CS$2:CS$19)))</f>
        <v>200</v>
      </c>
      <c r="CT226" s="1">
        <f t="array" ref="CT226">SUMPRODUCT($H226:$Y226,(TRANSPOSE(CT$2:CT$19)))</f>
        <v>240</v>
      </c>
      <c r="CU226" s="1">
        <f t="array" ref="CU226">SUMPRODUCT($H226:$Y226,(TRANSPOSE(CU$2:CU$19)))</f>
        <v>280</v>
      </c>
      <c r="CV226" s="1">
        <f t="array" ref="CV226">SUMPRODUCT($H226:$Y226,(TRANSPOSE(CV$2:CV$19)))</f>
        <v>320</v>
      </c>
      <c r="CW226" s="1">
        <f t="array" ref="CW226">SUMPRODUCT($H226:$Y226,(TRANSPOSE(CW$2:CW$19)))</f>
        <v>360</v>
      </c>
      <c r="CX226" s="1">
        <f t="array" ref="CX226">SUMPRODUCT($H226:$Y226,(TRANSPOSE(CX$2:CX$19)))</f>
        <v>400</v>
      </c>
      <c r="CY226" s="1">
        <f t="array" ref="CY226">SUMPRODUCT($H226:$Y226,(TRANSPOSE(CY$2:CY$19)))</f>
        <v>440</v>
      </c>
      <c r="CZ226" s="1">
        <f t="array" ref="CZ226">SUMPRODUCT($H226:$Y226,(TRANSPOSE(CZ$2:CZ$19)))</f>
        <v>480</v>
      </c>
      <c r="DA226" s="1">
        <f t="array" ref="DA226">SUMPRODUCT($H226:$Y226,(TRANSPOSE(DA$2:DA$19)))</f>
        <v>520</v>
      </c>
      <c r="DB226" s="1">
        <f t="array" ref="DB226">SUMPRODUCT($H226:$Y226,(TRANSPOSE(DB$2:DB$19)))</f>
        <v>0</v>
      </c>
      <c r="DC226" s="1">
        <f t="array" ref="DC226">SUMPRODUCT($H226:$Y226,(TRANSPOSE(DC$2:DC$19)))</f>
        <v>0</v>
      </c>
      <c r="DD226" s="1">
        <f t="array" ref="DD226">SUMPRODUCT($H226:$Y226,(TRANSPOSE(DD$2:DD$19)))</f>
        <v>0</v>
      </c>
    </row>
    <row r="227" spans="1:108" x14ac:dyDescent="0.2">
      <c r="A227" s="1">
        <v>254</v>
      </c>
      <c r="B227" s="10" t="s">
        <v>315</v>
      </c>
      <c r="C227" s="1" t="s">
        <v>22</v>
      </c>
      <c r="D227" s="1">
        <v>400523828</v>
      </c>
      <c r="F227" s="1" t="s">
        <v>314</v>
      </c>
      <c r="G227" s="1" t="s">
        <v>20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6</v>
      </c>
      <c r="V227" s="1">
        <v>0</v>
      </c>
      <c r="W227" s="1">
        <v>0</v>
      </c>
      <c r="X227" s="1">
        <v>0</v>
      </c>
      <c r="Y227" s="1">
        <v>6</v>
      </c>
      <c r="Z227" s="1">
        <f>SUM(H227:Y227)</f>
        <v>12</v>
      </c>
      <c r="AA227" s="1">
        <f>SUMPRODUCT(H227:Y227,$H$16:$Y$16)</f>
        <v>10920</v>
      </c>
      <c r="AB227" s="1" t="s">
        <v>310</v>
      </c>
      <c r="AC227" s="1">
        <v>0.11</v>
      </c>
      <c r="AD227" s="9"/>
      <c r="AE227" s="1" t="s">
        <v>28</v>
      </c>
      <c r="AF227" s="1">
        <f>AC227</f>
        <v>0.11</v>
      </c>
      <c r="AG227" s="1">
        <v>3000</v>
      </c>
      <c r="AH227" s="1">
        <v>3000</v>
      </c>
      <c r="AI227" s="1">
        <v>19</v>
      </c>
      <c r="AK227" s="1" t="s">
        <v>309</v>
      </c>
      <c r="AL227" s="1" t="s">
        <v>308</v>
      </c>
      <c r="AM227" s="1" t="s">
        <v>307</v>
      </c>
      <c r="AN227" s="2" t="s">
        <v>306</v>
      </c>
      <c r="BO227" s="1">
        <f>SUM($AP227,$AQ227:AQ227)-SUM($CK227:CL227)</f>
        <v>0</v>
      </c>
      <c r="BP227" s="1">
        <f>SUM($AP227,$AQ227:AR227)-SUM($CK227:CM227)</f>
        <v>0</v>
      </c>
      <c r="BQ227" s="1">
        <f>SUM($AP227,$AQ227:AS227)-SUM($CK227:CN227)</f>
        <v>0</v>
      </c>
      <c r="BR227" s="1">
        <f>SUM($AP227,$AQ227:AT227)-SUM($CK227:CO227)</f>
        <v>-120</v>
      </c>
      <c r="BS227" s="1">
        <f>SUM($AP227,$AQ227:AU227)-SUM($CK227:CP227)</f>
        <v>-360</v>
      </c>
      <c r="BT227" s="1">
        <f>SUM($AP227,$AQ227:AV227)-SUM($CK227:CQ227)</f>
        <v>-720</v>
      </c>
      <c r="BU227" s="1">
        <f>SUM($AP227,$AQ227:AW227)-SUM($CK227:CR227)</f>
        <v>-1200</v>
      </c>
      <c r="BV227" s="1">
        <f>SUM($AP227,$AQ227:AX227)-SUM($CK227:CS227)</f>
        <v>-1800</v>
      </c>
      <c r="BW227" s="1">
        <f>SUM($AP227,$AQ227:AY227)-SUM($CK227:CT227)</f>
        <v>-2520</v>
      </c>
      <c r="BX227" s="1">
        <f>SUM($AP227,$AQ227:AZ227)-SUM($CK227:CU227)</f>
        <v>-3360</v>
      </c>
      <c r="BY227" s="1">
        <f>SUM($AP227,$AQ227:BA227)-SUM($CK227:CV227)</f>
        <v>-4320</v>
      </c>
      <c r="BZ227" s="1">
        <f>SUM($AP227,$AQ227:BB227)-SUM($CK227:CW227)</f>
        <v>-5400</v>
      </c>
      <c r="CA227" s="1">
        <f>SUM($AP227,$AQ227:BC227)-SUM($CK227:CX227)</f>
        <v>-6600</v>
      </c>
      <c r="CB227" s="1">
        <f>SUM($AP227,$AQ227:BD227)-SUM($CK227:CY227)</f>
        <v>-7920</v>
      </c>
      <c r="CC227" s="1">
        <f>SUM($AP227,$AQ227:BE227)-SUM($CK227:CZ227)</f>
        <v>-9360</v>
      </c>
      <c r="CD227" s="1">
        <f>SUM($AP227,$AQ227:BF227)-SUM($CK227:DA227)</f>
        <v>-10920</v>
      </c>
      <c r="CE227" s="1">
        <f>SUM($AP227,$AQ227:BG227)-SUM($CK227:DB227)</f>
        <v>-10920</v>
      </c>
      <c r="CF227" s="1">
        <f>SUM($AP227,$AQ227:BH227)-SUM($CK227:DC227)</f>
        <v>-10920</v>
      </c>
      <c r="CG227" s="1">
        <f>SUM($AP227,$AQ227:BI227)-SUM($CK227:DD227)</f>
        <v>-10920</v>
      </c>
      <c r="CK227" s="1">
        <f t="array" ref="CK227">SUMPRODUCT($H227:$Y227,(TRANSPOSE(CK$2:CK$19)))</f>
        <v>0</v>
      </c>
      <c r="CL227" s="1">
        <f t="array" ref="CL227">SUMPRODUCT($H227:$Y227,(TRANSPOSE(CL$2:CL$19)))</f>
        <v>0</v>
      </c>
      <c r="CM227" s="1">
        <f t="array" ref="CM227">SUMPRODUCT($H227:$Y227,(TRANSPOSE(CM$2:CM$19)))</f>
        <v>0</v>
      </c>
      <c r="CN227" s="1">
        <f t="array" ref="CN227">SUMPRODUCT($H227:$Y227,(TRANSPOSE(CN$2:CN$19)))</f>
        <v>0</v>
      </c>
      <c r="CO227" s="1">
        <f t="array" ref="CO227">SUMPRODUCT($H227:$Y227,(TRANSPOSE(CO$2:CO$19)))</f>
        <v>120</v>
      </c>
      <c r="CP227" s="1">
        <f t="array" ref="CP227">SUMPRODUCT($H227:$Y227,(TRANSPOSE(CP$2:CP$19)))</f>
        <v>240</v>
      </c>
      <c r="CQ227" s="1">
        <f t="array" ref="CQ227">SUMPRODUCT($H227:$Y227,(TRANSPOSE(CQ$2:CQ$19)))</f>
        <v>360</v>
      </c>
      <c r="CR227" s="1">
        <f t="array" ref="CR227">SUMPRODUCT($H227:$Y227,(TRANSPOSE(CR$2:CR$19)))</f>
        <v>480</v>
      </c>
      <c r="CS227" s="1">
        <f t="array" ref="CS227">SUMPRODUCT($H227:$Y227,(TRANSPOSE(CS$2:CS$19)))</f>
        <v>600</v>
      </c>
      <c r="CT227" s="1">
        <f t="array" ref="CT227">SUMPRODUCT($H227:$Y227,(TRANSPOSE(CT$2:CT$19)))</f>
        <v>720</v>
      </c>
      <c r="CU227" s="1">
        <f t="array" ref="CU227">SUMPRODUCT($H227:$Y227,(TRANSPOSE(CU$2:CU$19)))</f>
        <v>840</v>
      </c>
      <c r="CV227" s="1">
        <f t="array" ref="CV227">SUMPRODUCT($H227:$Y227,(TRANSPOSE(CV$2:CV$19)))</f>
        <v>960</v>
      </c>
      <c r="CW227" s="1">
        <f t="array" ref="CW227">SUMPRODUCT($H227:$Y227,(TRANSPOSE(CW$2:CW$19)))</f>
        <v>1080</v>
      </c>
      <c r="CX227" s="1">
        <f t="array" ref="CX227">SUMPRODUCT($H227:$Y227,(TRANSPOSE(CX$2:CX$19)))</f>
        <v>1200</v>
      </c>
      <c r="CY227" s="1">
        <f t="array" ref="CY227">SUMPRODUCT($H227:$Y227,(TRANSPOSE(CY$2:CY$19)))</f>
        <v>1320</v>
      </c>
      <c r="CZ227" s="1">
        <f t="array" ref="CZ227">SUMPRODUCT($H227:$Y227,(TRANSPOSE(CZ$2:CZ$19)))</f>
        <v>1440</v>
      </c>
      <c r="DA227" s="1">
        <f t="array" ref="DA227">SUMPRODUCT($H227:$Y227,(TRANSPOSE(DA$2:DA$19)))</f>
        <v>1560</v>
      </c>
      <c r="DB227" s="1">
        <f t="array" ref="DB227">SUMPRODUCT($H227:$Y227,(TRANSPOSE(DB$2:DB$19)))</f>
        <v>0</v>
      </c>
      <c r="DC227" s="1">
        <f t="array" ref="DC227">SUMPRODUCT($H227:$Y227,(TRANSPOSE(DC$2:DC$19)))</f>
        <v>0</v>
      </c>
      <c r="DD227" s="1">
        <f t="array" ref="DD227">SUMPRODUCT($H227:$Y227,(TRANSPOSE(DD$2:DD$19)))</f>
        <v>0</v>
      </c>
    </row>
    <row r="228" spans="1:108" x14ac:dyDescent="0.2">
      <c r="A228" s="1">
        <v>255</v>
      </c>
      <c r="B228" s="10" t="s">
        <v>313</v>
      </c>
      <c r="C228" s="1" t="s">
        <v>22</v>
      </c>
      <c r="D228" s="1" t="s">
        <v>312</v>
      </c>
      <c r="F228" s="1" t="s">
        <v>311</v>
      </c>
      <c r="G228" s="1" t="s">
        <v>20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2</v>
      </c>
      <c r="V228" s="1">
        <v>0</v>
      </c>
      <c r="W228" s="1">
        <v>0</v>
      </c>
      <c r="X228" s="1">
        <v>0</v>
      </c>
      <c r="Y228" s="1">
        <v>2</v>
      </c>
      <c r="Z228" s="1">
        <f>SUM(H228:Y228)</f>
        <v>4</v>
      </c>
      <c r="AA228" s="1">
        <f>SUMPRODUCT(H228:Y228,$H$16:$Y$16)</f>
        <v>3640</v>
      </c>
      <c r="AB228" s="1" t="s">
        <v>310</v>
      </c>
      <c r="AC228" s="1">
        <v>74.31</v>
      </c>
      <c r="AD228" s="9"/>
      <c r="AE228" s="1" t="s">
        <v>28</v>
      </c>
      <c r="AF228" s="1">
        <f>AC228</f>
        <v>74.31</v>
      </c>
      <c r="AH228" s="1">
        <v>1</v>
      </c>
      <c r="AI228" s="1">
        <v>14</v>
      </c>
      <c r="AK228" s="1" t="s">
        <v>309</v>
      </c>
      <c r="AL228" s="1" t="s">
        <v>308</v>
      </c>
      <c r="AM228" s="1" t="s">
        <v>307</v>
      </c>
      <c r="AN228" s="2" t="s">
        <v>306</v>
      </c>
      <c r="BO228" s="1">
        <f>SUM($AP228,$AQ228:AQ228)-SUM($CK228:CL228)</f>
        <v>0</v>
      </c>
      <c r="BP228" s="1">
        <f>SUM($AP228,$AQ228:AR228)-SUM($CK228:CM228)</f>
        <v>0</v>
      </c>
      <c r="BQ228" s="1">
        <f>SUM($AP228,$AQ228:AS228)-SUM($CK228:CN228)</f>
        <v>0</v>
      </c>
      <c r="BR228" s="1">
        <f>SUM($AP228,$AQ228:AT228)-SUM($CK228:CO228)</f>
        <v>-40</v>
      </c>
      <c r="BS228" s="1">
        <f>SUM($AP228,$AQ228:AU228)-SUM($CK228:CP228)</f>
        <v>-120</v>
      </c>
      <c r="BT228" s="1">
        <f>SUM($AP228,$AQ228:AV228)-SUM($CK228:CQ228)</f>
        <v>-240</v>
      </c>
      <c r="BU228" s="1">
        <f>SUM($AP228,$AQ228:AW228)-SUM($CK228:CR228)</f>
        <v>-400</v>
      </c>
      <c r="BV228" s="1">
        <f>SUM($AP228,$AQ228:AX228)-SUM($CK228:CS228)</f>
        <v>-600</v>
      </c>
      <c r="BW228" s="1">
        <f>SUM($AP228,$AQ228:AY228)-SUM($CK228:CT228)</f>
        <v>-840</v>
      </c>
      <c r="BX228" s="1">
        <f>SUM($AP228,$AQ228:AZ228)-SUM($CK228:CU228)</f>
        <v>-1120</v>
      </c>
      <c r="BY228" s="1">
        <f>SUM($AP228,$AQ228:BA228)-SUM($CK228:CV228)</f>
        <v>-1440</v>
      </c>
      <c r="BZ228" s="1">
        <f>SUM($AP228,$AQ228:BB228)-SUM($CK228:CW228)</f>
        <v>-1800</v>
      </c>
      <c r="CA228" s="1">
        <f>SUM($AP228,$AQ228:BC228)-SUM($CK228:CX228)</f>
        <v>-2200</v>
      </c>
      <c r="CB228" s="1">
        <f>SUM($AP228,$AQ228:BD228)-SUM($CK228:CY228)</f>
        <v>-2640</v>
      </c>
      <c r="CC228" s="1">
        <f>SUM($AP228,$AQ228:BE228)-SUM($CK228:CZ228)</f>
        <v>-3120</v>
      </c>
      <c r="CD228" s="1">
        <f>SUM($AP228,$AQ228:BF228)-SUM($CK228:DA228)</f>
        <v>-3640</v>
      </c>
      <c r="CE228" s="1">
        <f>SUM($AP228,$AQ228:BG228)-SUM($CK228:DB228)</f>
        <v>-3640</v>
      </c>
      <c r="CF228" s="1">
        <f>SUM($AP228,$AQ228:BH228)-SUM($CK228:DC228)</f>
        <v>-3640</v>
      </c>
      <c r="CG228" s="1">
        <f>SUM($AP228,$AQ228:BI228)-SUM($CK228:DD228)</f>
        <v>-3640</v>
      </c>
      <c r="CK228" s="1">
        <f t="array" ref="CK228">SUMPRODUCT($H228:$Y228,(TRANSPOSE(CK$2:CK$19)))</f>
        <v>0</v>
      </c>
      <c r="CL228" s="1">
        <f t="array" ref="CL228">SUMPRODUCT($H228:$Y228,(TRANSPOSE(CL$2:CL$19)))</f>
        <v>0</v>
      </c>
      <c r="CM228" s="1">
        <f t="array" ref="CM228">SUMPRODUCT($H228:$Y228,(TRANSPOSE(CM$2:CM$19)))</f>
        <v>0</v>
      </c>
      <c r="CN228" s="1">
        <f t="array" ref="CN228">SUMPRODUCT($H228:$Y228,(TRANSPOSE(CN$2:CN$19)))</f>
        <v>0</v>
      </c>
      <c r="CO228" s="1">
        <f t="array" ref="CO228">SUMPRODUCT($H228:$Y228,(TRANSPOSE(CO$2:CO$19)))</f>
        <v>40</v>
      </c>
      <c r="CP228" s="1">
        <f t="array" ref="CP228">SUMPRODUCT($H228:$Y228,(TRANSPOSE(CP$2:CP$19)))</f>
        <v>80</v>
      </c>
      <c r="CQ228" s="1">
        <f t="array" ref="CQ228">SUMPRODUCT($H228:$Y228,(TRANSPOSE(CQ$2:CQ$19)))</f>
        <v>120</v>
      </c>
      <c r="CR228" s="1">
        <f t="array" ref="CR228">SUMPRODUCT($H228:$Y228,(TRANSPOSE(CR$2:CR$19)))</f>
        <v>160</v>
      </c>
      <c r="CS228" s="1">
        <f t="array" ref="CS228">SUMPRODUCT($H228:$Y228,(TRANSPOSE(CS$2:CS$19)))</f>
        <v>200</v>
      </c>
      <c r="CT228" s="1">
        <f t="array" ref="CT228">SUMPRODUCT($H228:$Y228,(TRANSPOSE(CT$2:CT$19)))</f>
        <v>240</v>
      </c>
      <c r="CU228" s="1">
        <f t="array" ref="CU228">SUMPRODUCT($H228:$Y228,(TRANSPOSE(CU$2:CU$19)))</f>
        <v>280</v>
      </c>
      <c r="CV228" s="1">
        <f t="array" ref="CV228">SUMPRODUCT($H228:$Y228,(TRANSPOSE(CV$2:CV$19)))</f>
        <v>320</v>
      </c>
      <c r="CW228" s="1">
        <f t="array" ref="CW228">SUMPRODUCT($H228:$Y228,(TRANSPOSE(CW$2:CW$19)))</f>
        <v>360</v>
      </c>
      <c r="CX228" s="1">
        <f t="array" ref="CX228">SUMPRODUCT($H228:$Y228,(TRANSPOSE(CX$2:CX$19)))</f>
        <v>400</v>
      </c>
      <c r="CY228" s="1">
        <f t="array" ref="CY228">SUMPRODUCT($H228:$Y228,(TRANSPOSE(CY$2:CY$19)))</f>
        <v>440</v>
      </c>
      <c r="CZ228" s="1">
        <f t="array" ref="CZ228">SUMPRODUCT($H228:$Y228,(TRANSPOSE(CZ$2:CZ$19)))</f>
        <v>480</v>
      </c>
      <c r="DA228" s="1">
        <f t="array" ref="DA228">SUMPRODUCT($H228:$Y228,(TRANSPOSE(DA$2:DA$19)))</f>
        <v>520</v>
      </c>
      <c r="DB228" s="1">
        <f t="array" ref="DB228">SUMPRODUCT($H228:$Y228,(TRANSPOSE(DB$2:DB$19)))</f>
        <v>0</v>
      </c>
      <c r="DC228" s="1">
        <f t="array" ref="DC228">SUMPRODUCT($H228:$Y228,(TRANSPOSE(DC$2:DC$19)))</f>
        <v>0</v>
      </c>
      <c r="DD228" s="1">
        <f t="array" ref="DD228">SUMPRODUCT($H228:$Y228,(TRANSPOSE(DD$2:DD$19)))</f>
        <v>0</v>
      </c>
    </row>
    <row r="229" spans="1:108" x14ac:dyDescent="0.2">
      <c r="A229" s="1">
        <v>257</v>
      </c>
      <c r="B229" s="10" t="s">
        <v>305</v>
      </c>
      <c r="C229" s="1" t="s">
        <v>22</v>
      </c>
      <c r="D229" s="1">
        <v>401501905</v>
      </c>
      <c r="F229" s="1" t="s">
        <v>304</v>
      </c>
      <c r="G229" s="1" t="s">
        <v>20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2</v>
      </c>
      <c r="U229" s="1">
        <v>0</v>
      </c>
      <c r="V229" s="1">
        <v>0</v>
      </c>
      <c r="W229" s="1">
        <v>0</v>
      </c>
      <c r="X229" s="1">
        <v>2</v>
      </c>
      <c r="Y229" s="1">
        <v>0</v>
      </c>
      <c r="Z229" s="1">
        <f>SUM(H229:Y229)</f>
        <v>4</v>
      </c>
      <c r="AA229" s="1">
        <f>SUMPRODUCT(H229:Y229,$H$16:$Y$16)</f>
        <v>3640</v>
      </c>
      <c r="AB229" s="1" t="s">
        <v>157</v>
      </c>
      <c r="AC229" s="1">
        <v>2.4300000000000002</v>
      </c>
      <c r="AD229" s="9"/>
      <c r="AE229" s="1" t="s">
        <v>28</v>
      </c>
      <c r="AF229" s="1">
        <f>AC229</f>
        <v>2.4300000000000002</v>
      </c>
      <c r="AG229" s="1">
        <v>0</v>
      </c>
      <c r="AH229" s="1">
        <v>2000</v>
      </c>
      <c r="AK229" s="1" t="s">
        <v>303</v>
      </c>
      <c r="AL229" s="1" t="s">
        <v>154</v>
      </c>
      <c r="AM229" s="1" t="s">
        <v>153</v>
      </c>
      <c r="AN229" s="2" t="s">
        <v>152</v>
      </c>
      <c r="BO229" s="1">
        <f>SUM($AP229,$AQ229:AQ229)-SUM($CK229:CL229)</f>
        <v>0</v>
      </c>
      <c r="BP229" s="1">
        <f>SUM($AP229,$AQ229:AR229)-SUM($CK229:CM229)</f>
        <v>0</v>
      </c>
      <c r="BQ229" s="1">
        <f>SUM($AP229,$AQ229:AS229)-SUM($CK229:CN229)</f>
        <v>0</v>
      </c>
      <c r="BR229" s="1">
        <f>SUM($AP229,$AQ229:AT229)-SUM($CK229:CO229)</f>
        <v>-40</v>
      </c>
      <c r="BS229" s="1">
        <f>SUM($AP229,$AQ229:AU229)-SUM($CK229:CP229)</f>
        <v>-120</v>
      </c>
      <c r="BT229" s="1">
        <f>SUM($AP229,$AQ229:AV229)-SUM($CK229:CQ229)</f>
        <v>-240</v>
      </c>
      <c r="BU229" s="1">
        <f>SUM($AP229,$AQ229:AW229)-SUM($CK229:CR229)</f>
        <v>-400</v>
      </c>
      <c r="BV229" s="1">
        <f>SUM($AP229,$AQ229:AX229)-SUM($CK229:CS229)</f>
        <v>-600</v>
      </c>
      <c r="BW229" s="1">
        <f>SUM($AP229,$AQ229:AY229)-SUM($CK229:CT229)</f>
        <v>-840</v>
      </c>
      <c r="BX229" s="1">
        <f>SUM($AP229,$AQ229:AZ229)-SUM($CK229:CU229)</f>
        <v>-1120</v>
      </c>
      <c r="BY229" s="1">
        <f>SUM($AP229,$AQ229:BA229)-SUM($CK229:CV229)</f>
        <v>-1440</v>
      </c>
      <c r="BZ229" s="1">
        <f>SUM($AP229,$AQ229:BB229)-SUM($CK229:CW229)</f>
        <v>-1800</v>
      </c>
      <c r="CA229" s="1">
        <f>SUM($AP229,$AQ229:BC229)-SUM($CK229:CX229)</f>
        <v>-2200</v>
      </c>
      <c r="CB229" s="1">
        <f>SUM($AP229,$AQ229:BD229)-SUM($CK229:CY229)</f>
        <v>-2640</v>
      </c>
      <c r="CC229" s="1">
        <f>SUM($AP229,$AQ229:BE229)-SUM($CK229:CZ229)</f>
        <v>-3120</v>
      </c>
      <c r="CD229" s="1">
        <f>SUM($AP229,$AQ229:BF229)-SUM($CK229:DA229)</f>
        <v>-3640</v>
      </c>
      <c r="CE229" s="1">
        <f>SUM($AP229,$AQ229:BG229)-SUM($CK229:DB229)</f>
        <v>-3640</v>
      </c>
      <c r="CF229" s="1">
        <f>SUM($AP229,$AQ229:BH229)-SUM($CK229:DC229)</f>
        <v>-3640</v>
      </c>
      <c r="CG229" s="1">
        <f>SUM($AP229,$AQ229:BI229)-SUM($CK229:DD229)</f>
        <v>-3640</v>
      </c>
      <c r="CK229" s="1">
        <f t="array" ref="CK229">SUMPRODUCT($H229:$Y229,(TRANSPOSE(CK$2:CK$19)))</f>
        <v>0</v>
      </c>
      <c r="CL229" s="1">
        <f t="array" ref="CL229">SUMPRODUCT($H229:$Y229,(TRANSPOSE(CL$2:CL$19)))</f>
        <v>0</v>
      </c>
      <c r="CM229" s="1">
        <f t="array" ref="CM229">SUMPRODUCT($H229:$Y229,(TRANSPOSE(CM$2:CM$19)))</f>
        <v>0</v>
      </c>
      <c r="CN229" s="1">
        <f t="array" ref="CN229">SUMPRODUCT($H229:$Y229,(TRANSPOSE(CN$2:CN$19)))</f>
        <v>0</v>
      </c>
      <c r="CO229" s="1">
        <f t="array" ref="CO229">SUMPRODUCT($H229:$Y229,(TRANSPOSE(CO$2:CO$19)))</f>
        <v>40</v>
      </c>
      <c r="CP229" s="1">
        <f t="array" ref="CP229">SUMPRODUCT($H229:$Y229,(TRANSPOSE(CP$2:CP$19)))</f>
        <v>80</v>
      </c>
      <c r="CQ229" s="1">
        <f t="array" ref="CQ229">SUMPRODUCT($H229:$Y229,(TRANSPOSE(CQ$2:CQ$19)))</f>
        <v>120</v>
      </c>
      <c r="CR229" s="1">
        <f t="array" ref="CR229">SUMPRODUCT($H229:$Y229,(TRANSPOSE(CR$2:CR$19)))</f>
        <v>160</v>
      </c>
      <c r="CS229" s="1">
        <f t="array" ref="CS229">SUMPRODUCT($H229:$Y229,(TRANSPOSE(CS$2:CS$19)))</f>
        <v>200</v>
      </c>
      <c r="CT229" s="1">
        <f t="array" ref="CT229">SUMPRODUCT($H229:$Y229,(TRANSPOSE(CT$2:CT$19)))</f>
        <v>240</v>
      </c>
      <c r="CU229" s="1">
        <f t="array" ref="CU229">SUMPRODUCT($H229:$Y229,(TRANSPOSE(CU$2:CU$19)))</f>
        <v>280</v>
      </c>
      <c r="CV229" s="1">
        <f t="array" ref="CV229">SUMPRODUCT($H229:$Y229,(TRANSPOSE(CV$2:CV$19)))</f>
        <v>320</v>
      </c>
      <c r="CW229" s="1">
        <f t="array" ref="CW229">SUMPRODUCT($H229:$Y229,(TRANSPOSE(CW$2:CW$19)))</f>
        <v>360</v>
      </c>
      <c r="CX229" s="1">
        <f t="array" ref="CX229">SUMPRODUCT($H229:$Y229,(TRANSPOSE(CX$2:CX$19)))</f>
        <v>400</v>
      </c>
      <c r="CY229" s="1">
        <f t="array" ref="CY229">SUMPRODUCT($H229:$Y229,(TRANSPOSE(CY$2:CY$19)))</f>
        <v>440</v>
      </c>
      <c r="CZ229" s="1">
        <f t="array" ref="CZ229">SUMPRODUCT($H229:$Y229,(TRANSPOSE(CZ$2:CZ$19)))</f>
        <v>480</v>
      </c>
      <c r="DA229" s="1">
        <f t="array" ref="DA229">SUMPRODUCT($H229:$Y229,(TRANSPOSE(DA$2:DA$19)))</f>
        <v>520</v>
      </c>
      <c r="DB229" s="1">
        <f t="array" ref="DB229">SUMPRODUCT($H229:$Y229,(TRANSPOSE(DB$2:DB$19)))</f>
        <v>0</v>
      </c>
      <c r="DC229" s="1">
        <f t="array" ref="DC229">SUMPRODUCT($H229:$Y229,(TRANSPOSE(DC$2:DC$19)))</f>
        <v>0</v>
      </c>
      <c r="DD229" s="1">
        <f t="array" ref="DD229">SUMPRODUCT($H229:$Y229,(TRANSPOSE(DD$2:DD$19)))</f>
        <v>0</v>
      </c>
    </row>
    <row r="230" spans="1:108" x14ac:dyDescent="0.2">
      <c r="A230" s="1">
        <v>258</v>
      </c>
      <c r="B230" s="10" t="s">
        <v>302</v>
      </c>
      <c r="C230" s="1" t="s">
        <v>22</v>
      </c>
      <c r="D230" s="1">
        <v>724409123</v>
      </c>
      <c r="F230" s="1" t="s">
        <v>301</v>
      </c>
      <c r="G230" s="1" t="s">
        <v>125</v>
      </c>
      <c r="H230" s="1">
        <v>0</v>
      </c>
      <c r="I230" s="1">
        <v>0</v>
      </c>
      <c r="J230" s="1">
        <v>0.05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f>SUM(H230:Y230)</f>
        <v>0.05</v>
      </c>
      <c r="AA230" s="1">
        <f>SUMPRODUCT(H230:Y230,$H$16:$Y$16)</f>
        <v>45.5</v>
      </c>
      <c r="AB230" s="1" t="s">
        <v>18</v>
      </c>
      <c r="AC230" s="1">
        <v>0</v>
      </c>
      <c r="AD230" s="9"/>
      <c r="AE230" s="1" t="s">
        <v>19</v>
      </c>
      <c r="AF230" s="1">
        <f>AC230</f>
        <v>0</v>
      </c>
      <c r="AG230" s="1">
        <v>1</v>
      </c>
      <c r="AH230" s="1">
        <v>1</v>
      </c>
      <c r="AI230" s="1" t="s">
        <v>18</v>
      </c>
      <c r="AJ230" s="1" t="s">
        <v>18</v>
      </c>
      <c r="AK230" s="1" t="s">
        <v>18</v>
      </c>
      <c r="AL230" s="1" t="s">
        <v>18</v>
      </c>
      <c r="AM230" s="1" t="s">
        <v>18</v>
      </c>
      <c r="AN230" s="2" t="s">
        <v>18</v>
      </c>
      <c r="BO230" s="1">
        <f>SUM($AP230,$AQ230:AQ230)-SUM($CK230:CL230)</f>
        <v>0</v>
      </c>
      <c r="BP230" s="1">
        <f>SUM($AP230,$AQ230:AR230)-SUM($CK230:CM230)</f>
        <v>0</v>
      </c>
      <c r="BQ230" s="1">
        <f>SUM($AP230,$AQ230:AS230)-SUM($CK230:CN230)</f>
        <v>0</v>
      </c>
      <c r="BR230" s="1">
        <f>SUM($AP230,$AQ230:AT230)-SUM($CK230:CO230)</f>
        <v>0</v>
      </c>
      <c r="BS230" s="1">
        <f>SUM($AP230,$AQ230:AU230)-SUM($CK230:CP230)</f>
        <v>-0.5</v>
      </c>
      <c r="BT230" s="1">
        <f>SUM($AP230,$AQ230:AV230)-SUM($CK230:CQ230)</f>
        <v>-1.5</v>
      </c>
      <c r="BU230" s="1">
        <f>SUM($AP230,$AQ230:AW230)-SUM($CK230:CR230)</f>
        <v>-3</v>
      </c>
      <c r="BV230" s="1">
        <f>SUM($AP230,$AQ230:AX230)-SUM($CK230:CS230)</f>
        <v>-5</v>
      </c>
      <c r="BW230" s="1">
        <f>SUM($AP230,$AQ230:AY230)-SUM($CK230:CT230)</f>
        <v>-7.5</v>
      </c>
      <c r="BX230" s="1">
        <f>SUM($AP230,$AQ230:AZ230)-SUM($CK230:CU230)</f>
        <v>-10.5</v>
      </c>
      <c r="BY230" s="1">
        <f>SUM($AP230,$AQ230:BA230)-SUM($CK230:CV230)</f>
        <v>-14</v>
      </c>
      <c r="BZ230" s="1">
        <f>SUM($AP230,$AQ230:BB230)-SUM($CK230:CW230)</f>
        <v>-18</v>
      </c>
      <c r="CA230" s="1">
        <f>SUM($AP230,$AQ230:BC230)-SUM($CK230:CX230)</f>
        <v>-22.5</v>
      </c>
      <c r="CB230" s="1">
        <f>SUM($AP230,$AQ230:BD230)-SUM($CK230:CY230)</f>
        <v>-27.5</v>
      </c>
      <c r="CC230" s="1">
        <f>SUM($AP230,$AQ230:BE230)-SUM($CK230:CZ230)</f>
        <v>-33</v>
      </c>
      <c r="CD230" s="1">
        <f>SUM($AP230,$AQ230:BF230)-SUM($CK230:DA230)</f>
        <v>-39</v>
      </c>
      <c r="CE230" s="1">
        <f>SUM($AP230,$AQ230:BG230)-SUM($CK230:DB230)</f>
        <v>-45.5</v>
      </c>
      <c r="CF230" s="1">
        <f>SUM($AP230,$AQ230:BH230)-SUM($CK230:DC230)</f>
        <v>-45.5</v>
      </c>
      <c r="CG230" s="1">
        <f>SUM($AP230,$AQ230:BI230)-SUM($CK230:DD230)</f>
        <v>-45.5</v>
      </c>
      <c r="CK230" s="1">
        <f t="array" ref="CK230">SUMPRODUCT($H230:$Y230,(TRANSPOSE(CK$2:CK$19)))</f>
        <v>0</v>
      </c>
      <c r="CL230" s="1">
        <f t="array" ref="CL230">SUMPRODUCT($H230:$Y230,(TRANSPOSE(CL$2:CL$19)))</f>
        <v>0</v>
      </c>
      <c r="CM230" s="1">
        <f t="array" ref="CM230">SUMPRODUCT($H230:$Y230,(TRANSPOSE(CM$2:CM$19)))</f>
        <v>0</v>
      </c>
      <c r="CN230" s="1">
        <f t="array" ref="CN230">SUMPRODUCT($H230:$Y230,(TRANSPOSE(CN$2:CN$19)))</f>
        <v>0</v>
      </c>
      <c r="CO230" s="1">
        <f t="array" ref="CO230">SUMPRODUCT($H230:$Y230,(TRANSPOSE(CO$2:CO$19)))</f>
        <v>0</v>
      </c>
      <c r="CP230" s="1">
        <f t="array" ref="CP230">SUMPRODUCT($H230:$Y230,(TRANSPOSE(CP$2:CP$19)))</f>
        <v>0.5</v>
      </c>
      <c r="CQ230" s="1">
        <f t="array" ref="CQ230">SUMPRODUCT($H230:$Y230,(TRANSPOSE(CQ$2:CQ$19)))</f>
        <v>1</v>
      </c>
      <c r="CR230" s="1">
        <f t="array" ref="CR230">SUMPRODUCT($H230:$Y230,(TRANSPOSE(CR$2:CR$19)))</f>
        <v>1.5</v>
      </c>
      <c r="CS230" s="1">
        <f t="array" ref="CS230">SUMPRODUCT($H230:$Y230,(TRANSPOSE(CS$2:CS$19)))</f>
        <v>2</v>
      </c>
      <c r="CT230" s="1">
        <f t="array" ref="CT230">SUMPRODUCT($H230:$Y230,(TRANSPOSE(CT$2:CT$19)))</f>
        <v>2.5</v>
      </c>
      <c r="CU230" s="1">
        <f t="array" ref="CU230">SUMPRODUCT($H230:$Y230,(TRANSPOSE(CU$2:CU$19)))</f>
        <v>3</v>
      </c>
      <c r="CV230" s="1">
        <f t="array" ref="CV230">SUMPRODUCT($H230:$Y230,(TRANSPOSE(CV$2:CV$19)))</f>
        <v>3.5</v>
      </c>
      <c r="CW230" s="1">
        <f t="array" ref="CW230">SUMPRODUCT($H230:$Y230,(TRANSPOSE(CW$2:CW$19)))</f>
        <v>4</v>
      </c>
      <c r="CX230" s="1">
        <f t="array" ref="CX230">SUMPRODUCT($H230:$Y230,(TRANSPOSE(CX$2:CX$19)))</f>
        <v>4.5</v>
      </c>
      <c r="CY230" s="1">
        <f t="array" ref="CY230">SUMPRODUCT($H230:$Y230,(TRANSPOSE(CY$2:CY$19)))</f>
        <v>5</v>
      </c>
      <c r="CZ230" s="1">
        <f t="array" ref="CZ230">SUMPRODUCT($H230:$Y230,(TRANSPOSE(CZ$2:CZ$19)))</f>
        <v>5.5</v>
      </c>
      <c r="DA230" s="1">
        <f t="array" ref="DA230">SUMPRODUCT($H230:$Y230,(TRANSPOSE(DA$2:DA$19)))</f>
        <v>6</v>
      </c>
      <c r="DB230" s="1">
        <f t="array" ref="DB230">SUMPRODUCT($H230:$Y230,(TRANSPOSE(DB$2:DB$19)))</f>
        <v>6.5</v>
      </c>
      <c r="DC230" s="1">
        <f t="array" ref="DC230">SUMPRODUCT($H230:$Y230,(TRANSPOSE(DC$2:DC$19)))</f>
        <v>0</v>
      </c>
      <c r="DD230" s="1">
        <f t="array" ref="DD230">SUMPRODUCT($H230:$Y230,(TRANSPOSE(DD$2:DD$19)))</f>
        <v>0</v>
      </c>
    </row>
    <row r="231" spans="1:108" x14ac:dyDescent="0.2">
      <c r="A231" s="1">
        <v>259</v>
      </c>
      <c r="B231" s="10" t="s">
        <v>300</v>
      </c>
      <c r="C231" s="1" t="s">
        <v>22</v>
      </c>
      <c r="D231" s="1">
        <v>404102750</v>
      </c>
      <c r="F231" s="1" t="s">
        <v>298</v>
      </c>
      <c r="G231" s="1" t="s">
        <v>20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66</v>
      </c>
      <c r="U231" s="1">
        <v>0</v>
      </c>
      <c r="V231" s="1">
        <v>0</v>
      </c>
      <c r="W231" s="1">
        <v>0</v>
      </c>
      <c r="X231" s="1">
        <v>66</v>
      </c>
      <c r="Y231" s="1">
        <v>0</v>
      </c>
      <c r="Z231" s="1">
        <f>SUM(H231:Y231)</f>
        <v>132</v>
      </c>
      <c r="AA231" s="1">
        <f>SUMPRODUCT(H231:Y231,$H$16:$Y$16)</f>
        <v>120120</v>
      </c>
      <c r="AB231" s="1" t="s">
        <v>297</v>
      </c>
      <c r="AC231" s="1">
        <v>14.5</v>
      </c>
      <c r="AD231" s="9"/>
      <c r="AE231" s="1" t="s">
        <v>28</v>
      </c>
      <c r="AF231" s="1">
        <f>AC231</f>
        <v>14.5</v>
      </c>
      <c r="AG231" s="1">
        <v>0</v>
      </c>
      <c r="AH231" s="1">
        <v>1</v>
      </c>
      <c r="AK231" s="1" t="s">
        <v>296</v>
      </c>
      <c r="AL231" s="1" t="s">
        <v>295</v>
      </c>
      <c r="AM231" s="1" t="s">
        <v>294</v>
      </c>
      <c r="AN231" s="2" t="s">
        <v>293</v>
      </c>
      <c r="BO231" s="1">
        <f>SUM($AP231,$AQ231:AQ231)-SUM($CK231:CL231)</f>
        <v>0</v>
      </c>
      <c r="BP231" s="1">
        <f>SUM($AP231,$AQ231:AR231)-SUM($CK231:CM231)</f>
        <v>0</v>
      </c>
      <c r="BQ231" s="1">
        <f>SUM($AP231,$AQ231:AS231)-SUM($CK231:CN231)</f>
        <v>0</v>
      </c>
      <c r="BR231" s="1">
        <f>SUM($AP231,$AQ231:AT231)-SUM($CK231:CO231)</f>
        <v>-1320</v>
      </c>
      <c r="BS231" s="1">
        <f>SUM($AP231,$AQ231:AU231)-SUM($CK231:CP231)</f>
        <v>-3960</v>
      </c>
      <c r="BT231" s="1">
        <f>SUM($AP231,$AQ231:AV231)-SUM($CK231:CQ231)</f>
        <v>-7920</v>
      </c>
      <c r="BU231" s="1">
        <f>SUM($AP231,$AQ231:AW231)-SUM($CK231:CR231)</f>
        <v>-13200</v>
      </c>
      <c r="BV231" s="1">
        <f>SUM($AP231,$AQ231:AX231)-SUM($CK231:CS231)</f>
        <v>-19800</v>
      </c>
      <c r="BW231" s="1">
        <f>SUM($AP231,$AQ231:AY231)-SUM($CK231:CT231)</f>
        <v>-27720</v>
      </c>
      <c r="BX231" s="1">
        <f>SUM($AP231,$AQ231:AZ231)-SUM($CK231:CU231)</f>
        <v>-36960</v>
      </c>
      <c r="BY231" s="1">
        <f>SUM($AP231,$AQ231:BA231)-SUM($CK231:CV231)</f>
        <v>-47520</v>
      </c>
      <c r="BZ231" s="1">
        <f>SUM($AP231,$AQ231:BB231)-SUM($CK231:CW231)</f>
        <v>-59400</v>
      </c>
      <c r="CA231" s="1">
        <f>SUM($AP231,$AQ231:BC231)-SUM($CK231:CX231)</f>
        <v>-72600</v>
      </c>
      <c r="CB231" s="1">
        <f>SUM($AP231,$AQ231:BD231)-SUM($CK231:CY231)</f>
        <v>-87120</v>
      </c>
      <c r="CC231" s="1">
        <f>SUM($AP231,$AQ231:BE231)-SUM($CK231:CZ231)</f>
        <v>-102960</v>
      </c>
      <c r="CD231" s="1">
        <f>SUM($AP231,$AQ231:BF231)-SUM($CK231:DA231)</f>
        <v>-120120</v>
      </c>
      <c r="CE231" s="1">
        <f>SUM($AP231,$AQ231:BG231)-SUM($CK231:DB231)</f>
        <v>-120120</v>
      </c>
      <c r="CF231" s="1">
        <f>SUM($AP231,$AQ231:BH231)-SUM($CK231:DC231)</f>
        <v>-120120</v>
      </c>
      <c r="CG231" s="1">
        <f>SUM($AP231,$AQ231:BI231)-SUM($CK231:DD231)</f>
        <v>-120120</v>
      </c>
      <c r="CK231" s="1">
        <f t="array" ref="CK231">SUMPRODUCT($H231:$Y231,(TRANSPOSE(CK$2:CK$19)))</f>
        <v>0</v>
      </c>
      <c r="CL231" s="1">
        <f t="array" ref="CL231">SUMPRODUCT($H231:$Y231,(TRANSPOSE(CL$2:CL$19)))</f>
        <v>0</v>
      </c>
      <c r="CM231" s="1">
        <f t="array" ref="CM231">SUMPRODUCT($H231:$Y231,(TRANSPOSE(CM$2:CM$19)))</f>
        <v>0</v>
      </c>
      <c r="CN231" s="1">
        <f t="array" ref="CN231">SUMPRODUCT($H231:$Y231,(TRANSPOSE(CN$2:CN$19)))</f>
        <v>0</v>
      </c>
      <c r="CO231" s="1">
        <f t="array" ref="CO231">SUMPRODUCT($H231:$Y231,(TRANSPOSE(CO$2:CO$19)))</f>
        <v>1320</v>
      </c>
      <c r="CP231" s="1">
        <f t="array" ref="CP231">SUMPRODUCT($H231:$Y231,(TRANSPOSE(CP$2:CP$19)))</f>
        <v>2640</v>
      </c>
      <c r="CQ231" s="1">
        <f t="array" ref="CQ231">SUMPRODUCT($H231:$Y231,(TRANSPOSE(CQ$2:CQ$19)))</f>
        <v>3960</v>
      </c>
      <c r="CR231" s="1">
        <f t="array" ref="CR231">SUMPRODUCT($H231:$Y231,(TRANSPOSE(CR$2:CR$19)))</f>
        <v>5280</v>
      </c>
      <c r="CS231" s="1">
        <f t="array" ref="CS231">SUMPRODUCT($H231:$Y231,(TRANSPOSE(CS$2:CS$19)))</f>
        <v>6600</v>
      </c>
      <c r="CT231" s="1">
        <f t="array" ref="CT231">SUMPRODUCT($H231:$Y231,(TRANSPOSE(CT$2:CT$19)))</f>
        <v>7920</v>
      </c>
      <c r="CU231" s="1">
        <f t="array" ref="CU231">SUMPRODUCT($H231:$Y231,(TRANSPOSE(CU$2:CU$19)))</f>
        <v>9240</v>
      </c>
      <c r="CV231" s="1">
        <f t="array" ref="CV231">SUMPRODUCT($H231:$Y231,(TRANSPOSE(CV$2:CV$19)))</f>
        <v>10560</v>
      </c>
      <c r="CW231" s="1">
        <f t="array" ref="CW231">SUMPRODUCT($H231:$Y231,(TRANSPOSE(CW$2:CW$19)))</f>
        <v>11880</v>
      </c>
      <c r="CX231" s="1">
        <f t="array" ref="CX231">SUMPRODUCT($H231:$Y231,(TRANSPOSE(CX$2:CX$19)))</f>
        <v>13200</v>
      </c>
      <c r="CY231" s="1">
        <f t="array" ref="CY231">SUMPRODUCT($H231:$Y231,(TRANSPOSE(CY$2:CY$19)))</f>
        <v>14520</v>
      </c>
      <c r="CZ231" s="1">
        <f t="array" ref="CZ231">SUMPRODUCT($H231:$Y231,(TRANSPOSE(CZ$2:CZ$19)))</f>
        <v>15840</v>
      </c>
      <c r="DA231" s="1">
        <f t="array" ref="DA231">SUMPRODUCT($H231:$Y231,(TRANSPOSE(DA$2:DA$19)))</f>
        <v>17160</v>
      </c>
      <c r="DB231" s="1">
        <f t="array" ref="DB231">SUMPRODUCT($H231:$Y231,(TRANSPOSE(DB$2:DB$19)))</f>
        <v>0</v>
      </c>
      <c r="DC231" s="1">
        <f t="array" ref="DC231">SUMPRODUCT($H231:$Y231,(TRANSPOSE(DC$2:DC$19)))</f>
        <v>0</v>
      </c>
      <c r="DD231" s="1">
        <f t="array" ref="DD231">SUMPRODUCT($H231:$Y231,(TRANSPOSE(DD$2:DD$19)))</f>
        <v>0</v>
      </c>
    </row>
    <row r="232" spans="1:108" x14ac:dyDescent="0.2">
      <c r="A232" s="1">
        <v>260</v>
      </c>
      <c r="B232" s="10" t="s">
        <v>299</v>
      </c>
      <c r="C232" s="1" t="s">
        <v>22</v>
      </c>
      <c r="D232" s="1">
        <v>404102751</v>
      </c>
      <c r="F232" s="1" t="s">
        <v>298</v>
      </c>
      <c r="G232" s="1" t="s">
        <v>20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4</v>
      </c>
      <c r="U232" s="1">
        <v>0</v>
      </c>
      <c r="V232" s="1">
        <v>0</v>
      </c>
      <c r="W232" s="1">
        <v>0</v>
      </c>
      <c r="X232" s="1">
        <v>4</v>
      </c>
      <c r="Y232" s="1">
        <v>0</v>
      </c>
      <c r="Z232" s="1">
        <f>SUM(H232:Y232)</f>
        <v>8</v>
      </c>
      <c r="AA232" s="1">
        <f>SUMPRODUCT(H232:Y232,$H$16:$Y$16)</f>
        <v>7280</v>
      </c>
      <c r="AB232" s="1" t="s">
        <v>297</v>
      </c>
      <c r="AC232" s="1">
        <v>14.5</v>
      </c>
      <c r="AD232" s="9"/>
      <c r="AE232" s="1" t="s">
        <v>28</v>
      </c>
      <c r="AF232" s="1">
        <f>AC232</f>
        <v>14.5</v>
      </c>
      <c r="AG232" s="1">
        <v>0</v>
      </c>
      <c r="AH232" s="1">
        <v>1</v>
      </c>
      <c r="AK232" s="1" t="s">
        <v>296</v>
      </c>
      <c r="AL232" s="1" t="s">
        <v>295</v>
      </c>
      <c r="AM232" s="1" t="s">
        <v>294</v>
      </c>
      <c r="AN232" s="2" t="s">
        <v>293</v>
      </c>
      <c r="BO232" s="1">
        <f>SUM($AP232,$AQ232:AQ232)-SUM($CK232:CL232)</f>
        <v>0</v>
      </c>
      <c r="BP232" s="1">
        <f>SUM($AP232,$AQ232:AR232)-SUM($CK232:CM232)</f>
        <v>0</v>
      </c>
      <c r="BQ232" s="1">
        <f>SUM($AP232,$AQ232:AS232)-SUM($CK232:CN232)</f>
        <v>0</v>
      </c>
      <c r="BR232" s="1">
        <f>SUM($AP232,$AQ232:AT232)-SUM($CK232:CO232)</f>
        <v>-80</v>
      </c>
      <c r="BS232" s="1">
        <f>SUM($AP232,$AQ232:AU232)-SUM($CK232:CP232)</f>
        <v>-240</v>
      </c>
      <c r="BT232" s="1">
        <f>SUM($AP232,$AQ232:AV232)-SUM($CK232:CQ232)</f>
        <v>-480</v>
      </c>
      <c r="BU232" s="1">
        <f>SUM($AP232,$AQ232:AW232)-SUM($CK232:CR232)</f>
        <v>-800</v>
      </c>
      <c r="BV232" s="1">
        <f>SUM($AP232,$AQ232:AX232)-SUM($CK232:CS232)</f>
        <v>-1200</v>
      </c>
      <c r="BW232" s="1">
        <f>SUM($AP232,$AQ232:AY232)-SUM($CK232:CT232)</f>
        <v>-1680</v>
      </c>
      <c r="BX232" s="1">
        <f>SUM($AP232,$AQ232:AZ232)-SUM($CK232:CU232)</f>
        <v>-2240</v>
      </c>
      <c r="BY232" s="1">
        <f>SUM($AP232,$AQ232:BA232)-SUM($CK232:CV232)</f>
        <v>-2880</v>
      </c>
      <c r="BZ232" s="1">
        <f>SUM($AP232,$AQ232:BB232)-SUM($CK232:CW232)</f>
        <v>-3600</v>
      </c>
      <c r="CA232" s="1">
        <f>SUM($AP232,$AQ232:BC232)-SUM($CK232:CX232)</f>
        <v>-4400</v>
      </c>
      <c r="CB232" s="1">
        <f>SUM($AP232,$AQ232:BD232)-SUM($CK232:CY232)</f>
        <v>-5280</v>
      </c>
      <c r="CC232" s="1">
        <f>SUM($AP232,$AQ232:BE232)-SUM($CK232:CZ232)</f>
        <v>-6240</v>
      </c>
      <c r="CD232" s="1">
        <f>SUM($AP232,$AQ232:BF232)-SUM($CK232:DA232)</f>
        <v>-7280</v>
      </c>
      <c r="CE232" s="1">
        <f>SUM($AP232,$AQ232:BG232)-SUM($CK232:DB232)</f>
        <v>-7280</v>
      </c>
      <c r="CF232" s="1">
        <f>SUM($AP232,$AQ232:BH232)-SUM($CK232:DC232)</f>
        <v>-7280</v>
      </c>
      <c r="CG232" s="1">
        <f>SUM($AP232,$AQ232:BI232)-SUM($CK232:DD232)</f>
        <v>-7280</v>
      </c>
      <c r="CK232" s="1">
        <f t="array" ref="CK232">SUMPRODUCT($H232:$Y232,(TRANSPOSE(CK$2:CK$19)))</f>
        <v>0</v>
      </c>
      <c r="CL232" s="1">
        <f t="array" ref="CL232">SUMPRODUCT($H232:$Y232,(TRANSPOSE(CL$2:CL$19)))</f>
        <v>0</v>
      </c>
      <c r="CM232" s="1">
        <f t="array" ref="CM232">SUMPRODUCT($H232:$Y232,(TRANSPOSE(CM$2:CM$19)))</f>
        <v>0</v>
      </c>
      <c r="CN232" s="1">
        <f t="array" ref="CN232">SUMPRODUCT($H232:$Y232,(TRANSPOSE(CN$2:CN$19)))</f>
        <v>0</v>
      </c>
      <c r="CO232" s="1">
        <f t="array" ref="CO232">SUMPRODUCT($H232:$Y232,(TRANSPOSE(CO$2:CO$19)))</f>
        <v>80</v>
      </c>
      <c r="CP232" s="1">
        <f t="array" ref="CP232">SUMPRODUCT($H232:$Y232,(TRANSPOSE(CP$2:CP$19)))</f>
        <v>160</v>
      </c>
      <c r="CQ232" s="1">
        <f t="array" ref="CQ232">SUMPRODUCT($H232:$Y232,(TRANSPOSE(CQ$2:CQ$19)))</f>
        <v>240</v>
      </c>
      <c r="CR232" s="1">
        <f t="array" ref="CR232">SUMPRODUCT($H232:$Y232,(TRANSPOSE(CR$2:CR$19)))</f>
        <v>320</v>
      </c>
      <c r="CS232" s="1">
        <f t="array" ref="CS232">SUMPRODUCT($H232:$Y232,(TRANSPOSE(CS$2:CS$19)))</f>
        <v>400</v>
      </c>
      <c r="CT232" s="1">
        <f t="array" ref="CT232">SUMPRODUCT($H232:$Y232,(TRANSPOSE(CT$2:CT$19)))</f>
        <v>480</v>
      </c>
      <c r="CU232" s="1">
        <f t="array" ref="CU232">SUMPRODUCT($H232:$Y232,(TRANSPOSE(CU$2:CU$19)))</f>
        <v>560</v>
      </c>
      <c r="CV232" s="1">
        <f t="array" ref="CV232">SUMPRODUCT($H232:$Y232,(TRANSPOSE(CV$2:CV$19)))</f>
        <v>640</v>
      </c>
      <c r="CW232" s="1">
        <f t="array" ref="CW232">SUMPRODUCT($H232:$Y232,(TRANSPOSE(CW$2:CW$19)))</f>
        <v>720</v>
      </c>
      <c r="CX232" s="1">
        <f t="array" ref="CX232">SUMPRODUCT($H232:$Y232,(TRANSPOSE(CX$2:CX$19)))</f>
        <v>800</v>
      </c>
      <c r="CY232" s="1">
        <f t="array" ref="CY232">SUMPRODUCT($H232:$Y232,(TRANSPOSE(CY$2:CY$19)))</f>
        <v>880</v>
      </c>
      <c r="CZ232" s="1">
        <f t="array" ref="CZ232">SUMPRODUCT($H232:$Y232,(TRANSPOSE(CZ$2:CZ$19)))</f>
        <v>960</v>
      </c>
      <c r="DA232" s="1">
        <f t="array" ref="DA232">SUMPRODUCT($H232:$Y232,(TRANSPOSE(DA$2:DA$19)))</f>
        <v>1040</v>
      </c>
      <c r="DB232" s="1">
        <f t="array" ref="DB232">SUMPRODUCT($H232:$Y232,(TRANSPOSE(DB$2:DB$19)))</f>
        <v>0</v>
      </c>
      <c r="DC232" s="1">
        <f t="array" ref="DC232">SUMPRODUCT($H232:$Y232,(TRANSPOSE(DC$2:DC$19)))</f>
        <v>0</v>
      </c>
      <c r="DD232" s="1">
        <f t="array" ref="DD232">SUMPRODUCT($H232:$Y232,(TRANSPOSE(DD$2:DD$19)))</f>
        <v>0</v>
      </c>
    </row>
    <row r="233" spans="1:108" x14ac:dyDescent="0.2">
      <c r="A233" s="1">
        <v>261</v>
      </c>
      <c r="B233" s="10" t="s">
        <v>292</v>
      </c>
      <c r="C233" s="1" t="s">
        <v>38</v>
      </c>
      <c r="D233" s="1">
        <v>732603683</v>
      </c>
      <c r="F233" s="1" t="s">
        <v>289</v>
      </c>
      <c r="G233" s="1" t="s">
        <v>125</v>
      </c>
      <c r="H233" s="1">
        <v>0</v>
      </c>
      <c r="I233" s="1">
        <v>0</v>
      </c>
      <c r="J233" s="1">
        <v>0</v>
      </c>
      <c r="K233" s="1">
        <v>0.05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0.05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f>SUM(H233:Y233)</f>
        <v>0.1</v>
      </c>
      <c r="AA233" s="1">
        <f>SUMPRODUCT(H233:Y233,$H$16:$Y$16)</f>
        <v>91</v>
      </c>
      <c r="AB233" s="1" t="s">
        <v>18</v>
      </c>
      <c r="AC233" s="1">
        <v>0</v>
      </c>
      <c r="AD233" s="9"/>
      <c r="AE233" s="1" t="s">
        <v>19</v>
      </c>
      <c r="AF233" s="1">
        <f>AC233</f>
        <v>0</v>
      </c>
      <c r="AG233" s="1">
        <v>1</v>
      </c>
      <c r="AH233" s="1">
        <v>1</v>
      </c>
      <c r="AI233" s="1" t="s">
        <v>18</v>
      </c>
      <c r="AJ233" s="1" t="s">
        <v>18</v>
      </c>
      <c r="AK233" s="1" t="s">
        <v>18</v>
      </c>
      <c r="AL233" s="1" t="s">
        <v>18</v>
      </c>
      <c r="AM233" s="1" t="s">
        <v>18</v>
      </c>
      <c r="AN233" s="2" t="s">
        <v>18</v>
      </c>
      <c r="BO233" s="1">
        <f>SUM($AP233,$AQ233:AQ233)-SUM($CK233:CL233)</f>
        <v>0</v>
      </c>
      <c r="BP233" s="1">
        <f>SUM($AP233,$AQ233:AR233)-SUM($CK233:CM233)</f>
        <v>0</v>
      </c>
      <c r="BQ233" s="1">
        <f>SUM($AP233,$AQ233:AS233)-SUM($CK233:CN233)</f>
        <v>0</v>
      </c>
      <c r="BR233" s="1">
        <f>SUM($AP233,$AQ233:AT233)-SUM($CK233:CO233)</f>
        <v>-1</v>
      </c>
      <c r="BS233" s="1">
        <f>SUM($AP233,$AQ233:AU233)-SUM($CK233:CP233)</f>
        <v>-3</v>
      </c>
      <c r="BT233" s="1">
        <f>SUM($AP233,$AQ233:AV233)-SUM($CK233:CQ233)</f>
        <v>-6</v>
      </c>
      <c r="BU233" s="1">
        <f>SUM($AP233,$AQ233:AW233)-SUM($CK233:CR233)</f>
        <v>-10</v>
      </c>
      <c r="BV233" s="1">
        <f>SUM($AP233,$AQ233:AX233)-SUM($CK233:CS233)</f>
        <v>-15</v>
      </c>
      <c r="BW233" s="1">
        <f>SUM($AP233,$AQ233:AY233)-SUM($CK233:CT233)</f>
        <v>-21</v>
      </c>
      <c r="BX233" s="1">
        <f>SUM($AP233,$AQ233:AZ233)-SUM($CK233:CU233)</f>
        <v>-28</v>
      </c>
      <c r="BY233" s="1">
        <f>SUM($AP233,$AQ233:BA233)-SUM($CK233:CV233)</f>
        <v>-36</v>
      </c>
      <c r="BZ233" s="1">
        <f>SUM($AP233,$AQ233:BB233)-SUM($CK233:CW233)</f>
        <v>-45</v>
      </c>
      <c r="CA233" s="1">
        <f>SUM($AP233,$AQ233:BC233)-SUM($CK233:CX233)</f>
        <v>-55</v>
      </c>
      <c r="CB233" s="1">
        <f>SUM($AP233,$AQ233:BD233)-SUM($CK233:CY233)</f>
        <v>-66</v>
      </c>
      <c r="CC233" s="1">
        <f>SUM($AP233,$AQ233:BE233)-SUM($CK233:CZ233)</f>
        <v>-78</v>
      </c>
      <c r="CD233" s="1">
        <f>SUM($AP233,$AQ233:BF233)-SUM($CK233:DA233)</f>
        <v>-91</v>
      </c>
      <c r="CE233" s="1">
        <f>SUM($AP233,$AQ233:BG233)-SUM($CK233:DB233)</f>
        <v>-91</v>
      </c>
      <c r="CF233" s="1">
        <f>SUM($AP233,$AQ233:BH233)-SUM($CK233:DC233)</f>
        <v>-91</v>
      </c>
      <c r="CG233" s="1">
        <f>SUM($AP233,$AQ233:BI233)-SUM($CK233:DD233)</f>
        <v>-91</v>
      </c>
      <c r="CK233" s="1">
        <f t="array" ref="CK233">SUMPRODUCT($H233:$Y233,(TRANSPOSE(CK$2:CK$19)))</f>
        <v>0</v>
      </c>
      <c r="CL233" s="1">
        <f t="array" ref="CL233">SUMPRODUCT($H233:$Y233,(TRANSPOSE(CL$2:CL$19)))</f>
        <v>0</v>
      </c>
      <c r="CM233" s="1">
        <f t="array" ref="CM233">SUMPRODUCT($H233:$Y233,(TRANSPOSE(CM$2:CM$19)))</f>
        <v>0</v>
      </c>
      <c r="CN233" s="1">
        <f t="array" ref="CN233">SUMPRODUCT($H233:$Y233,(TRANSPOSE(CN$2:CN$19)))</f>
        <v>0</v>
      </c>
      <c r="CO233" s="1">
        <f t="array" ref="CO233">SUMPRODUCT($H233:$Y233,(TRANSPOSE(CO$2:CO$19)))</f>
        <v>1</v>
      </c>
      <c r="CP233" s="1">
        <f t="array" ref="CP233">SUMPRODUCT($H233:$Y233,(TRANSPOSE(CP$2:CP$19)))</f>
        <v>2</v>
      </c>
      <c r="CQ233" s="1">
        <f t="array" ref="CQ233">SUMPRODUCT($H233:$Y233,(TRANSPOSE(CQ$2:CQ$19)))</f>
        <v>3</v>
      </c>
      <c r="CR233" s="1">
        <f t="array" ref="CR233">SUMPRODUCT($H233:$Y233,(TRANSPOSE(CR$2:CR$19)))</f>
        <v>4</v>
      </c>
      <c r="CS233" s="1">
        <f t="array" ref="CS233">SUMPRODUCT($H233:$Y233,(TRANSPOSE(CS$2:CS$19)))</f>
        <v>5</v>
      </c>
      <c r="CT233" s="1">
        <f t="array" ref="CT233">SUMPRODUCT($H233:$Y233,(TRANSPOSE(CT$2:CT$19)))</f>
        <v>6</v>
      </c>
      <c r="CU233" s="1">
        <f t="array" ref="CU233">SUMPRODUCT($H233:$Y233,(TRANSPOSE(CU$2:CU$19)))</f>
        <v>7</v>
      </c>
      <c r="CV233" s="1">
        <f t="array" ref="CV233">SUMPRODUCT($H233:$Y233,(TRANSPOSE(CV$2:CV$19)))</f>
        <v>8</v>
      </c>
      <c r="CW233" s="1">
        <f t="array" ref="CW233">SUMPRODUCT($H233:$Y233,(TRANSPOSE(CW$2:CW$19)))</f>
        <v>9</v>
      </c>
      <c r="CX233" s="1">
        <f t="array" ref="CX233">SUMPRODUCT($H233:$Y233,(TRANSPOSE(CX$2:CX$19)))</f>
        <v>10</v>
      </c>
      <c r="CY233" s="1">
        <f t="array" ref="CY233">SUMPRODUCT($H233:$Y233,(TRANSPOSE(CY$2:CY$19)))</f>
        <v>11</v>
      </c>
      <c r="CZ233" s="1">
        <f t="array" ref="CZ233">SUMPRODUCT($H233:$Y233,(TRANSPOSE(CZ$2:CZ$19)))</f>
        <v>12</v>
      </c>
      <c r="DA233" s="1">
        <f t="array" ref="DA233">SUMPRODUCT($H233:$Y233,(TRANSPOSE(DA$2:DA$19)))</f>
        <v>13</v>
      </c>
      <c r="DB233" s="1">
        <f t="array" ref="DB233">SUMPRODUCT($H233:$Y233,(TRANSPOSE(DB$2:DB$19)))</f>
        <v>0</v>
      </c>
      <c r="DC233" s="1">
        <f t="array" ref="DC233">SUMPRODUCT($H233:$Y233,(TRANSPOSE(DC$2:DC$19)))</f>
        <v>0</v>
      </c>
      <c r="DD233" s="1">
        <f t="array" ref="DD233">SUMPRODUCT($H233:$Y233,(TRANSPOSE(DD$2:DD$19)))</f>
        <v>0</v>
      </c>
    </row>
    <row r="234" spans="1:108" x14ac:dyDescent="0.2">
      <c r="A234" s="1">
        <v>262</v>
      </c>
      <c r="B234" s="10" t="s">
        <v>291</v>
      </c>
      <c r="C234" s="1" t="s">
        <v>38</v>
      </c>
      <c r="D234" s="1">
        <v>732684436</v>
      </c>
      <c r="E234" s="1" t="s">
        <v>290</v>
      </c>
      <c r="F234" s="1" t="s">
        <v>289</v>
      </c>
      <c r="G234" s="1" t="s">
        <v>125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0.05</v>
      </c>
      <c r="T234" s="1">
        <v>0.05</v>
      </c>
      <c r="U234" s="1">
        <v>0.05</v>
      </c>
      <c r="V234" s="1">
        <v>0</v>
      </c>
      <c r="W234" s="1">
        <v>0.05</v>
      </c>
      <c r="X234" s="1">
        <v>0.05</v>
      </c>
      <c r="Y234" s="1">
        <v>0.05</v>
      </c>
      <c r="Z234" s="1">
        <f>SUM(H234:Y234)</f>
        <v>0.3</v>
      </c>
      <c r="AA234" s="1">
        <f>SUMPRODUCT(H234:Y234,$H$16:$Y$16)</f>
        <v>273</v>
      </c>
      <c r="AB234" s="1" t="s">
        <v>288</v>
      </c>
      <c r="AC234" s="1">
        <v>0.18</v>
      </c>
      <c r="AD234" s="9"/>
      <c r="AE234" s="1" t="s">
        <v>28</v>
      </c>
      <c r="AF234" s="1">
        <f>AC234</f>
        <v>0.18</v>
      </c>
      <c r="AH234" s="1">
        <v>1</v>
      </c>
      <c r="AJ234" s="1" t="s">
        <v>156</v>
      </c>
      <c r="AK234" s="1" t="s">
        <v>287</v>
      </c>
      <c r="AN234" s="2"/>
      <c r="BO234" s="1">
        <f>SUM($AP234,$AQ234:AQ234)-SUM($CK234:CL234)</f>
        <v>0</v>
      </c>
      <c r="BP234" s="1">
        <f>SUM($AP234,$AQ234:AR234)-SUM($CK234:CM234)</f>
        <v>0</v>
      </c>
      <c r="BQ234" s="1">
        <f>SUM($AP234,$AQ234:AS234)-SUM($CK234:CN234)</f>
        <v>0</v>
      </c>
      <c r="BR234" s="1">
        <f>SUM($AP234,$AQ234:AT234)-SUM($CK234:CO234)</f>
        <v>-2</v>
      </c>
      <c r="BS234" s="1">
        <f>SUM($AP234,$AQ234:AU234)-SUM($CK234:CP234)</f>
        <v>-7</v>
      </c>
      <c r="BT234" s="1">
        <f>SUM($AP234,$AQ234:AV234)-SUM($CK234:CQ234)</f>
        <v>-15</v>
      </c>
      <c r="BU234" s="1">
        <f>SUM($AP234,$AQ234:AW234)-SUM($CK234:CR234)</f>
        <v>-26</v>
      </c>
      <c r="BV234" s="1">
        <f>SUM($AP234,$AQ234:AX234)-SUM($CK234:CS234)</f>
        <v>-40</v>
      </c>
      <c r="BW234" s="1">
        <f>SUM($AP234,$AQ234:AY234)-SUM($CK234:CT234)</f>
        <v>-57</v>
      </c>
      <c r="BX234" s="1">
        <f>SUM($AP234,$AQ234:AZ234)-SUM($CK234:CU234)</f>
        <v>-77</v>
      </c>
      <c r="BY234" s="1">
        <f>SUM($AP234,$AQ234:BA234)-SUM($CK234:CV234)</f>
        <v>-100</v>
      </c>
      <c r="BZ234" s="1">
        <f>SUM($AP234,$AQ234:BB234)-SUM($CK234:CW234)</f>
        <v>-126</v>
      </c>
      <c r="CA234" s="1">
        <f>SUM($AP234,$AQ234:BC234)-SUM($CK234:CX234)</f>
        <v>-155</v>
      </c>
      <c r="CB234" s="1">
        <f>SUM($AP234,$AQ234:BD234)-SUM($CK234:CY234)</f>
        <v>-187</v>
      </c>
      <c r="CC234" s="1">
        <f>SUM($AP234,$AQ234:BE234)-SUM($CK234:CZ234)</f>
        <v>-222</v>
      </c>
      <c r="CD234" s="1">
        <f>SUM($AP234,$AQ234:BF234)-SUM($CK234:DA234)</f>
        <v>-260</v>
      </c>
      <c r="CE234" s="1">
        <f>SUM($AP234,$AQ234:BG234)-SUM($CK234:DB234)</f>
        <v>-273</v>
      </c>
      <c r="CF234" s="1">
        <f>SUM($AP234,$AQ234:BH234)-SUM($CK234:DC234)</f>
        <v>-273</v>
      </c>
      <c r="CG234" s="1">
        <f>SUM($AP234,$AQ234:BI234)-SUM($CK234:DD234)</f>
        <v>-273</v>
      </c>
      <c r="CK234" s="1">
        <f t="array" ref="CK234">SUMPRODUCT($H234:$Y234,(TRANSPOSE(CK$2:CK$19)))</f>
        <v>0</v>
      </c>
      <c r="CL234" s="1">
        <f t="array" ref="CL234">SUMPRODUCT($H234:$Y234,(TRANSPOSE(CL$2:CL$19)))</f>
        <v>0</v>
      </c>
      <c r="CM234" s="1">
        <f t="array" ref="CM234">SUMPRODUCT($H234:$Y234,(TRANSPOSE(CM$2:CM$19)))</f>
        <v>0</v>
      </c>
      <c r="CN234" s="1">
        <f t="array" ref="CN234">SUMPRODUCT($H234:$Y234,(TRANSPOSE(CN$2:CN$19)))</f>
        <v>0</v>
      </c>
      <c r="CO234" s="1">
        <f t="array" ref="CO234">SUMPRODUCT($H234:$Y234,(TRANSPOSE(CO$2:CO$19)))</f>
        <v>2</v>
      </c>
      <c r="CP234" s="1">
        <f t="array" ref="CP234">SUMPRODUCT($H234:$Y234,(TRANSPOSE(CP$2:CP$19)))</f>
        <v>5</v>
      </c>
      <c r="CQ234" s="1">
        <f t="array" ref="CQ234">SUMPRODUCT($H234:$Y234,(TRANSPOSE(CQ$2:CQ$19)))</f>
        <v>8</v>
      </c>
      <c r="CR234" s="1">
        <f t="array" ref="CR234">SUMPRODUCT($H234:$Y234,(TRANSPOSE(CR$2:CR$19)))</f>
        <v>11</v>
      </c>
      <c r="CS234" s="1">
        <f t="array" ref="CS234">SUMPRODUCT($H234:$Y234,(TRANSPOSE(CS$2:CS$19)))</f>
        <v>14</v>
      </c>
      <c r="CT234" s="1">
        <f t="array" ref="CT234">SUMPRODUCT($H234:$Y234,(TRANSPOSE(CT$2:CT$19)))</f>
        <v>17</v>
      </c>
      <c r="CU234" s="1">
        <f t="array" ref="CU234">SUMPRODUCT($H234:$Y234,(TRANSPOSE(CU$2:CU$19)))</f>
        <v>20</v>
      </c>
      <c r="CV234" s="1">
        <f t="array" ref="CV234">SUMPRODUCT($H234:$Y234,(TRANSPOSE(CV$2:CV$19)))</f>
        <v>23</v>
      </c>
      <c r="CW234" s="1">
        <f t="array" ref="CW234">SUMPRODUCT($H234:$Y234,(TRANSPOSE(CW$2:CW$19)))</f>
        <v>26</v>
      </c>
      <c r="CX234" s="1">
        <f t="array" ref="CX234">SUMPRODUCT($H234:$Y234,(TRANSPOSE(CX$2:CX$19)))</f>
        <v>29</v>
      </c>
      <c r="CY234" s="1">
        <f t="array" ref="CY234">SUMPRODUCT($H234:$Y234,(TRANSPOSE(CY$2:CY$19)))</f>
        <v>32</v>
      </c>
      <c r="CZ234" s="1">
        <f t="array" ref="CZ234">SUMPRODUCT($H234:$Y234,(TRANSPOSE(CZ$2:CZ$19)))</f>
        <v>35</v>
      </c>
      <c r="DA234" s="1">
        <f t="array" ref="DA234">SUMPRODUCT($H234:$Y234,(TRANSPOSE(DA$2:DA$19)))</f>
        <v>38</v>
      </c>
      <c r="DB234" s="1">
        <f t="array" ref="DB234">SUMPRODUCT($H234:$Y234,(TRANSPOSE(DB$2:DB$19)))</f>
        <v>13</v>
      </c>
      <c r="DC234" s="1">
        <f t="array" ref="DC234">SUMPRODUCT($H234:$Y234,(TRANSPOSE(DC$2:DC$19)))</f>
        <v>0</v>
      </c>
      <c r="DD234" s="1">
        <f t="array" ref="DD234">SUMPRODUCT($H234:$Y234,(TRANSPOSE(DD$2:DD$19)))</f>
        <v>0</v>
      </c>
    </row>
    <row r="235" spans="1:108" x14ac:dyDescent="0.2">
      <c r="A235" s="1">
        <v>263</v>
      </c>
      <c r="B235" s="10" t="s">
        <v>286</v>
      </c>
      <c r="C235" s="1" t="s">
        <v>22</v>
      </c>
      <c r="D235" s="1">
        <v>401363827</v>
      </c>
      <c r="F235" s="1" t="s">
        <v>285</v>
      </c>
      <c r="G235" s="1" t="s">
        <v>20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68</v>
      </c>
      <c r="U235" s="1">
        <v>0</v>
      </c>
      <c r="V235" s="1">
        <v>0</v>
      </c>
      <c r="W235" s="1">
        <v>0</v>
      </c>
      <c r="X235" s="1">
        <v>68</v>
      </c>
      <c r="Y235" s="1">
        <v>0</v>
      </c>
      <c r="Z235" s="1">
        <f>SUM(H235:Y235)</f>
        <v>136</v>
      </c>
      <c r="AA235" s="1">
        <f>SUMPRODUCT(H235:Y235,$H$16:$Y$16)</f>
        <v>123760</v>
      </c>
      <c r="AB235" s="1" t="s">
        <v>165</v>
      </c>
      <c r="AC235" s="1">
        <v>3.7999999999999999E-2</v>
      </c>
      <c r="AD235" s="9"/>
      <c r="AE235" s="1" t="s">
        <v>28</v>
      </c>
      <c r="AF235" s="1">
        <f>AC235</f>
        <v>3.7999999999999999E-2</v>
      </c>
      <c r="AG235" s="1">
        <v>10000</v>
      </c>
      <c r="AH235" s="1">
        <v>10000</v>
      </c>
      <c r="AI235" s="1" t="s">
        <v>164</v>
      </c>
      <c r="AK235" s="1" t="s">
        <v>163</v>
      </c>
      <c r="AL235" s="1" t="s">
        <v>162</v>
      </c>
      <c r="AM235" s="1" t="s">
        <v>161</v>
      </c>
      <c r="AN235" s="2" t="s">
        <v>282</v>
      </c>
      <c r="BO235" s="1">
        <f>SUM($AP235,$AQ235:AQ235)-SUM($CK235:CL235)</f>
        <v>0</v>
      </c>
      <c r="BP235" s="1">
        <f>SUM($AP235,$AQ235:AR235)-SUM($CK235:CM235)</f>
        <v>0</v>
      </c>
      <c r="BQ235" s="1">
        <f>SUM($AP235,$AQ235:AS235)-SUM($CK235:CN235)</f>
        <v>0</v>
      </c>
      <c r="BR235" s="1">
        <f>SUM($AP235,$AQ235:AT235)-SUM($CK235:CO235)</f>
        <v>-1360</v>
      </c>
      <c r="BS235" s="1">
        <f>SUM($AP235,$AQ235:AU235)-SUM($CK235:CP235)</f>
        <v>-4080</v>
      </c>
      <c r="BT235" s="1">
        <f>SUM($AP235,$AQ235:AV235)-SUM($CK235:CQ235)</f>
        <v>-8160</v>
      </c>
      <c r="BU235" s="1">
        <f>SUM($AP235,$AQ235:AW235)-SUM($CK235:CR235)</f>
        <v>-13600</v>
      </c>
      <c r="BV235" s="1">
        <f>SUM($AP235,$AQ235:AX235)-SUM($CK235:CS235)</f>
        <v>-20400</v>
      </c>
      <c r="BW235" s="1">
        <f>SUM($AP235,$AQ235:AY235)-SUM($CK235:CT235)</f>
        <v>-28560</v>
      </c>
      <c r="BX235" s="1">
        <f>SUM($AP235,$AQ235:AZ235)-SUM($CK235:CU235)</f>
        <v>-38080</v>
      </c>
      <c r="BY235" s="1">
        <f>SUM($AP235,$AQ235:BA235)-SUM($CK235:CV235)</f>
        <v>-48960</v>
      </c>
      <c r="BZ235" s="1">
        <f>SUM($AP235,$AQ235:BB235)-SUM($CK235:CW235)</f>
        <v>-61200</v>
      </c>
      <c r="CA235" s="1">
        <f>SUM($AP235,$AQ235:BC235)-SUM($CK235:CX235)</f>
        <v>-74800</v>
      </c>
      <c r="CB235" s="1">
        <f>SUM($AP235,$AQ235:BD235)-SUM($CK235:CY235)</f>
        <v>-89760</v>
      </c>
      <c r="CC235" s="1">
        <f>SUM($AP235,$AQ235:BE235)-SUM($CK235:CZ235)</f>
        <v>-106080</v>
      </c>
      <c r="CD235" s="1">
        <f>SUM($AP235,$AQ235:BF235)-SUM($CK235:DA235)</f>
        <v>-123760</v>
      </c>
      <c r="CE235" s="1">
        <f>SUM($AP235,$AQ235:BG235)-SUM($CK235:DB235)</f>
        <v>-123760</v>
      </c>
      <c r="CF235" s="1">
        <f>SUM($AP235,$AQ235:BH235)-SUM($CK235:DC235)</f>
        <v>-123760</v>
      </c>
      <c r="CG235" s="1">
        <f>SUM($AP235,$AQ235:BI235)-SUM($CK235:DD235)</f>
        <v>-123760</v>
      </c>
      <c r="CK235" s="1">
        <f t="array" ref="CK235">SUMPRODUCT($H235:$Y235,(TRANSPOSE(CK$2:CK$19)))</f>
        <v>0</v>
      </c>
      <c r="CL235" s="1">
        <f t="array" ref="CL235">SUMPRODUCT($H235:$Y235,(TRANSPOSE(CL$2:CL$19)))</f>
        <v>0</v>
      </c>
      <c r="CM235" s="1">
        <f t="array" ref="CM235">SUMPRODUCT($H235:$Y235,(TRANSPOSE(CM$2:CM$19)))</f>
        <v>0</v>
      </c>
      <c r="CN235" s="1">
        <f t="array" ref="CN235">SUMPRODUCT($H235:$Y235,(TRANSPOSE(CN$2:CN$19)))</f>
        <v>0</v>
      </c>
      <c r="CO235" s="1">
        <f t="array" ref="CO235">SUMPRODUCT($H235:$Y235,(TRANSPOSE(CO$2:CO$19)))</f>
        <v>1360</v>
      </c>
      <c r="CP235" s="1">
        <f t="array" ref="CP235">SUMPRODUCT($H235:$Y235,(TRANSPOSE(CP$2:CP$19)))</f>
        <v>2720</v>
      </c>
      <c r="CQ235" s="1">
        <f t="array" ref="CQ235">SUMPRODUCT($H235:$Y235,(TRANSPOSE(CQ$2:CQ$19)))</f>
        <v>4080</v>
      </c>
      <c r="CR235" s="1">
        <f t="array" ref="CR235">SUMPRODUCT($H235:$Y235,(TRANSPOSE(CR$2:CR$19)))</f>
        <v>5440</v>
      </c>
      <c r="CS235" s="1">
        <f t="array" ref="CS235">SUMPRODUCT($H235:$Y235,(TRANSPOSE(CS$2:CS$19)))</f>
        <v>6800</v>
      </c>
      <c r="CT235" s="1">
        <f t="array" ref="CT235">SUMPRODUCT($H235:$Y235,(TRANSPOSE(CT$2:CT$19)))</f>
        <v>8160</v>
      </c>
      <c r="CU235" s="1">
        <f t="array" ref="CU235">SUMPRODUCT($H235:$Y235,(TRANSPOSE(CU$2:CU$19)))</f>
        <v>9520</v>
      </c>
      <c r="CV235" s="1">
        <f t="array" ref="CV235">SUMPRODUCT($H235:$Y235,(TRANSPOSE(CV$2:CV$19)))</f>
        <v>10880</v>
      </c>
      <c r="CW235" s="1">
        <f t="array" ref="CW235">SUMPRODUCT($H235:$Y235,(TRANSPOSE(CW$2:CW$19)))</f>
        <v>12240</v>
      </c>
      <c r="CX235" s="1">
        <f t="array" ref="CX235">SUMPRODUCT($H235:$Y235,(TRANSPOSE(CX$2:CX$19)))</f>
        <v>13600</v>
      </c>
      <c r="CY235" s="1">
        <f t="array" ref="CY235">SUMPRODUCT($H235:$Y235,(TRANSPOSE(CY$2:CY$19)))</f>
        <v>14960</v>
      </c>
      <c r="CZ235" s="1">
        <f t="array" ref="CZ235">SUMPRODUCT($H235:$Y235,(TRANSPOSE(CZ$2:CZ$19)))</f>
        <v>16320</v>
      </c>
      <c r="DA235" s="1">
        <f t="array" ref="DA235">SUMPRODUCT($H235:$Y235,(TRANSPOSE(DA$2:DA$19)))</f>
        <v>17680</v>
      </c>
      <c r="DB235" s="1">
        <f t="array" ref="DB235">SUMPRODUCT($H235:$Y235,(TRANSPOSE(DB$2:DB$19)))</f>
        <v>0</v>
      </c>
      <c r="DC235" s="1">
        <f t="array" ref="DC235">SUMPRODUCT($H235:$Y235,(TRANSPOSE(DC$2:DC$19)))</f>
        <v>0</v>
      </c>
      <c r="DD235" s="1">
        <f t="array" ref="DD235">SUMPRODUCT($H235:$Y235,(TRANSPOSE(DD$2:DD$19)))</f>
        <v>0</v>
      </c>
    </row>
    <row r="236" spans="1:108" x14ac:dyDescent="0.2">
      <c r="A236" s="1">
        <v>264</v>
      </c>
      <c r="B236" s="10" t="s">
        <v>284</v>
      </c>
      <c r="C236" s="1" t="s">
        <v>22</v>
      </c>
      <c r="D236" s="1">
        <v>406825833</v>
      </c>
      <c r="F236" s="1" t="s">
        <v>283</v>
      </c>
      <c r="G236" s="1" t="s">
        <v>20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272</v>
      </c>
      <c r="U236" s="1">
        <v>0</v>
      </c>
      <c r="V236" s="1">
        <v>0</v>
      </c>
      <c r="W236" s="1">
        <v>0</v>
      </c>
      <c r="X236" s="1">
        <v>272</v>
      </c>
      <c r="Y236" s="1">
        <v>0</v>
      </c>
      <c r="Z236" s="1">
        <f>SUM(H236:Y236)</f>
        <v>544</v>
      </c>
      <c r="AA236" s="1">
        <f>SUMPRODUCT(H236:Y236,$H$16:$Y$16)</f>
        <v>495040</v>
      </c>
      <c r="AB236" s="1" t="s">
        <v>165</v>
      </c>
      <c r="AC236" s="1">
        <v>3.9E-2</v>
      </c>
      <c r="AD236" s="9"/>
      <c r="AE236" s="1" t="s">
        <v>28</v>
      </c>
      <c r="AF236" s="1">
        <f>AC236</f>
        <v>3.9E-2</v>
      </c>
      <c r="AG236" s="1">
        <v>150000</v>
      </c>
      <c r="AH236" s="1">
        <v>4000</v>
      </c>
      <c r="AI236" s="1" t="s">
        <v>164</v>
      </c>
      <c r="AK236" s="1" t="s">
        <v>163</v>
      </c>
      <c r="AL236" s="1" t="s">
        <v>162</v>
      </c>
      <c r="AM236" s="1" t="s">
        <v>161</v>
      </c>
      <c r="AN236" s="2" t="s">
        <v>282</v>
      </c>
      <c r="BO236" s="1">
        <f>SUM($AP236,$AQ236:AQ236)-SUM($CK236:CL236)</f>
        <v>0</v>
      </c>
      <c r="BP236" s="1">
        <f>SUM($AP236,$AQ236:AR236)-SUM($CK236:CM236)</f>
        <v>0</v>
      </c>
      <c r="BQ236" s="1">
        <f>SUM($AP236,$AQ236:AS236)-SUM($CK236:CN236)</f>
        <v>0</v>
      </c>
      <c r="BR236" s="1">
        <f>SUM($AP236,$AQ236:AT236)-SUM($CK236:CO236)</f>
        <v>-5440</v>
      </c>
      <c r="BS236" s="1">
        <f>SUM($AP236,$AQ236:AU236)-SUM($CK236:CP236)</f>
        <v>-16320</v>
      </c>
      <c r="BT236" s="1">
        <f>SUM($AP236,$AQ236:AV236)-SUM($CK236:CQ236)</f>
        <v>-32640</v>
      </c>
      <c r="BU236" s="1">
        <f>SUM($AP236,$AQ236:AW236)-SUM($CK236:CR236)</f>
        <v>-54400</v>
      </c>
      <c r="BV236" s="1">
        <f>SUM($AP236,$AQ236:AX236)-SUM($CK236:CS236)</f>
        <v>-81600</v>
      </c>
      <c r="BW236" s="1">
        <f>SUM($AP236,$AQ236:AY236)-SUM($CK236:CT236)</f>
        <v>-114240</v>
      </c>
      <c r="BX236" s="1">
        <f>SUM($AP236,$AQ236:AZ236)-SUM($CK236:CU236)</f>
        <v>-152320</v>
      </c>
      <c r="BY236" s="1">
        <f>SUM($AP236,$AQ236:BA236)-SUM($CK236:CV236)</f>
        <v>-195840</v>
      </c>
      <c r="BZ236" s="1">
        <f>SUM($AP236,$AQ236:BB236)-SUM($CK236:CW236)</f>
        <v>-244800</v>
      </c>
      <c r="CA236" s="1">
        <f>SUM($AP236,$AQ236:BC236)-SUM($CK236:CX236)</f>
        <v>-299200</v>
      </c>
      <c r="CB236" s="1">
        <f>SUM($AP236,$AQ236:BD236)-SUM($CK236:CY236)</f>
        <v>-359040</v>
      </c>
      <c r="CC236" s="1">
        <f>SUM($AP236,$AQ236:BE236)-SUM($CK236:CZ236)</f>
        <v>-424320</v>
      </c>
      <c r="CD236" s="1">
        <f>SUM($AP236,$AQ236:BF236)-SUM($CK236:DA236)</f>
        <v>-495040</v>
      </c>
      <c r="CE236" s="1">
        <f>SUM($AP236,$AQ236:BG236)-SUM($CK236:DB236)</f>
        <v>-495040</v>
      </c>
      <c r="CF236" s="1">
        <f>SUM($AP236,$AQ236:BH236)-SUM($CK236:DC236)</f>
        <v>-495040</v>
      </c>
      <c r="CG236" s="1">
        <f>SUM($AP236,$AQ236:BI236)-SUM($CK236:DD236)</f>
        <v>-495040</v>
      </c>
      <c r="CK236" s="1">
        <f t="array" ref="CK236">SUMPRODUCT($H236:$Y236,(TRANSPOSE(CK$2:CK$19)))</f>
        <v>0</v>
      </c>
      <c r="CL236" s="1">
        <f t="array" ref="CL236">SUMPRODUCT($H236:$Y236,(TRANSPOSE(CL$2:CL$19)))</f>
        <v>0</v>
      </c>
      <c r="CM236" s="1">
        <f t="array" ref="CM236">SUMPRODUCT($H236:$Y236,(TRANSPOSE(CM$2:CM$19)))</f>
        <v>0</v>
      </c>
      <c r="CN236" s="1">
        <f t="array" ref="CN236">SUMPRODUCT($H236:$Y236,(TRANSPOSE(CN$2:CN$19)))</f>
        <v>0</v>
      </c>
      <c r="CO236" s="1">
        <f t="array" ref="CO236">SUMPRODUCT($H236:$Y236,(TRANSPOSE(CO$2:CO$19)))</f>
        <v>5440</v>
      </c>
      <c r="CP236" s="1">
        <f t="array" ref="CP236">SUMPRODUCT($H236:$Y236,(TRANSPOSE(CP$2:CP$19)))</f>
        <v>10880</v>
      </c>
      <c r="CQ236" s="1">
        <f t="array" ref="CQ236">SUMPRODUCT($H236:$Y236,(TRANSPOSE(CQ$2:CQ$19)))</f>
        <v>16320</v>
      </c>
      <c r="CR236" s="1">
        <f t="array" ref="CR236">SUMPRODUCT($H236:$Y236,(TRANSPOSE(CR$2:CR$19)))</f>
        <v>21760</v>
      </c>
      <c r="CS236" s="1">
        <f t="array" ref="CS236">SUMPRODUCT($H236:$Y236,(TRANSPOSE(CS$2:CS$19)))</f>
        <v>27200</v>
      </c>
      <c r="CT236" s="1">
        <f t="array" ref="CT236">SUMPRODUCT($H236:$Y236,(TRANSPOSE(CT$2:CT$19)))</f>
        <v>32640</v>
      </c>
      <c r="CU236" s="1">
        <f t="array" ref="CU236">SUMPRODUCT($H236:$Y236,(TRANSPOSE(CU$2:CU$19)))</f>
        <v>38080</v>
      </c>
      <c r="CV236" s="1">
        <f t="array" ref="CV236">SUMPRODUCT($H236:$Y236,(TRANSPOSE(CV$2:CV$19)))</f>
        <v>43520</v>
      </c>
      <c r="CW236" s="1">
        <f t="array" ref="CW236">SUMPRODUCT($H236:$Y236,(TRANSPOSE(CW$2:CW$19)))</f>
        <v>48960</v>
      </c>
      <c r="CX236" s="1">
        <f t="array" ref="CX236">SUMPRODUCT($H236:$Y236,(TRANSPOSE(CX$2:CX$19)))</f>
        <v>54400</v>
      </c>
      <c r="CY236" s="1">
        <f t="array" ref="CY236">SUMPRODUCT($H236:$Y236,(TRANSPOSE(CY$2:CY$19)))</f>
        <v>59840</v>
      </c>
      <c r="CZ236" s="1">
        <f t="array" ref="CZ236">SUMPRODUCT($H236:$Y236,(TRANSPOSE(CZ$2:CZ$19)))</f>
        <v>65280</v>
      </c>
      <c r="DA236" s="1">
        <f t="array" ref="DA236">SUMPRODUCT($H236:$Y236,(TRANSPOSE(DA$2:DA$19)))</f>
        <v>70720</v>
      </c>
      <c r="DB236" s="1">
        <f t="array" ref="DB236">SUMPRODUCT($H236:$Y236,(TRANSPOSE(DB$2:DB$19)))</f>
        <v>0</v>
      </c>
      <c r="DC236" s="1">
        <f t="array" ref="DC236">SUMPRODUCT($H236:$Y236,(TRANSPOSE(DC$2:DC$19)))</f>
        <v>0</v>
      </c>
      <c r="DD236" s="1">
        <f t="array" ref="DD236">SUMPRODUCT($H236:$Y236,(TRANSPOSE(DD$2:DD$19)))</f>
        <v>0</v>
      </c>
    </row>
    <row r="237" spans="1:108" x14ac:dyDescent="0.2">
      <c r="A237" s="1">
        <v>265</v>
      </c>
      <c r="B237" s="10" t="s">
        <v>281</v>
      </c>
      <c r="C237" s="1" t="s">
        <v>38</v>
      </c>
      <c r="D237" s="1">
        <v>400897248</v>
      </c>
      <c r="F237" s="1" t="s">
        <v>280</v>
      </c>
      <c r="G237" s="1" t="s">
        <v>20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12</v>
      </c>
      <c r="U237" s="1">
        <v>0</v>
      </c>
      <c r="V237" s="1">
        <v>0</v>
      </c>
      <c r="W237" s="1">
        <v>0</v>
      </c>
      <c r="X237" s="1">
        <v>12</v>
      </c>
      <c r="Y237" s="1">
        <v>0</v>
      </c>
      <c r="Z237" s="1">
        <f>SUM(H237:Y237)</f>
        <v>24</v>
      </c>
      <c r="AA237" s="1">
        <f>SUMPRODUCT(H237:Y237,$H$16:$Y$16)</f>
        <v>21840</v>
      </c>
      <c r="AB237" s="1" t="s">
        <v>273</v>
      </c>
      <c r="AC237" s="1">
        <v>2.0291000000000001</v>
      </c>
      <c r="AD237" s="9"/>
      <c r="AE237" s="1" t="s">
        <v>28</v>
      </c>
      <c r="AF237" s="1">
        <f>AC237</f>
        <v>2.0291000000000001</v>
      </c>
      <c r="AG237" s="1">
        <v>2500</v>
      </c>
      <c r="AH237" s="1">
        <v>2500</v>
      </c>
      <c r="AI237" s="1">
        <v>13</v>
      </c>
      <c r="AK237" s="1" t="s">
        <v>81</v>
      </c>
      <c r="AL237" s="1" t="s">
        <v>272</v>
      </c>
      <c r="AM237" s="1" t="s">
        <v>271</v>
      </c>
      <c r="AN237" s="2" t="s">
        <v>270</v>
      </c>
      <c r="BO237" s="1">
        <f>SUM($AP237,$AQ237:AQ237)-SUM($CK237:CL237)</f>
        <v>0</v>
      </c>
      <c r="BP237" s="1">
        <f>SUM($AP237,$AQ237:AR237)-SUM($CK237:CM237)</f>
        <v>0</v>
      </c>
      <c r="BQ237" s="1">
        <f>SUM($AP237,$AQ237:AS237)-SUM($CK237:CN237)</f>
        <v>0</v>
      </c>
      <c r="BR237" s="1">
        <f>SUM($AP237,$AQ237:AT237)-SUM($CK237:CO237)</f>
        <v>-240</v>
      </c>
      <c r="BS237" s="1">
        <f>SUM($AP237,$AQ237:AU237)-SUM($CK237:CP237)</f>
        <v>-720</v>
      </c>
      <c r="BT237" s="1">
        <f>SUM($AP237,$AQ237:AV237)-SUM($CK237:CQ237)</f>
        <v>-1440</v>
      </c>
      <c r="BU237" s="1">
        <f>SUM($AP237,$AQ237:AW237)-SUM($CK237:CR237)</f>
        <v>-2400</v>
      </c>
      <c r="BV237" s="1">
        <f>SUM($AP237,$AQ237:AX237)-SUM($CK237:CS237)</f>
        <v>-3600</v>
      </c>
      <c r="BW237" s="1">
        <f>SUM($AP237,$AQ237:AY237)-SUM($CK237:CT237)</f>
        <v>-5040</v>
      </c>
      <c r="BX237" s="1">
        <f>SUM($AP237,$AQ237:AZ237)-SUM($CK237:CU237)</f>
        <v>-6720</v>
      </c>
      <c r="BY237" s="1">
        <f>SUM($AP237,$AQ237:BA237)-SUM($CK237:CV237)</f>
        <v>-8640</v>
      </c>
      <c r="BZ237" s="1">
        <f>SUM($AP237,$AQ237:BB237)-SUM($CK237:CW237)</f>
        <v>-10800</v>
      </c>
      <c r="CA237" s="1">
        <f>SUM($AP237,$AQ237:BC237)-SUM($CK237:CX237)</f>
        <v>-13200</v>
      </c>
      <c r="CB237" s="1">
        <f>SUM($AP237,$AQ237:BD237)-SUM($CK237:CY237)</f>
        <v>-15840</v>
      </c>
      <c r="CC237" s="1">
        <f>SUM($AP237,$AQ237:BE237)-SUM($CK237:CZ237)</f>
        <v>-18720</v>
      </c>
      <c r="CD237" s="1">
        <f>SUM($AP237,$AQ237:BF237)-SUM($CK237:DA237)</f>
        <v>-21840</v>
      </c>
      <c r="CE237" s="1">
        <f>SUM($AP237,$AQ237:BG237)-SUM($CK237:DB237)</f>
        <v>-21840</v>
      </c>
      <c r="CF237" s="1">
        <f>SUM($AP237,$AQ237:BH237)-SUM($CK237:DC237)</f>
        <v>-21840</v>
      </c>
      <c r="CG237" s="1">
        <f>SUM($AP237,$AQ237:BI237)-SUM($CK237:DD237)</f>
        <v>-21840</v>
      </c>
      <c r="CK237" s="1">
        <f t="array" ref="CK237">SUMPRODUCT($H237:$Y237,(TRANSPOSE(CK$2:CK$19)))</f>
        <v>0</v>
      </c>
      <c r="CL237" s="1">
        <f t="array" ref="CL237">SUMPRODUCT($H237:$Y237,(TRANSPOSE(CL$2:CL$19)))</f>
        <v>0</v>
      </c>
      <c r="CM237" s="1">
        <f t="array" ref="CM237">SUMPRODUCT($H237:$Y237,(TRANSPOSE(CM$2:CM$19)))</f>
        <v>0</v>
      </c>
      <c r="CN237" s="1">
        <f t="array" ref="CN237">SUMPRODUCT($H237:$Y237,(TRANSPOSE(CN$2:CN$19)))</f>
        <v>0</v>
      </c>
      <c r="CO237" s="1">
        <f t="array" ref="CO237">SUMPRODUCT($H237:$Y237,(TRANSPOSE(CO$2:CO$19)))</f>
        <v>240</v>
      </c>
      <c r="CP237" s="1">
        <f t="array" ref="CP237">SUMPRODUCT($H237:$Y237,(TRANSPOSE(CP$2:CP$19)))</f>
        <v>480</v>
      </c>
      <c r="CQ237" s="1">
        <f t="array" ref="CQ237">SUMPRODUCT($H237:$Y237,(TRANSPOSE(CQ$2:CQ$19)))</f>
        <v>720</v>
      </c>
      <c r="CR237" s="1">
        <f t="array" ref="CR237">SUMPRODUCT($H237:$Y237,(TRANSPOSE(CR$2:CR$19)))</f>
        <v>960</v>
      </c>
      <c r="CS237" s="1">
        <f t="array" ref="CS237">SUMPRODUCT($H237:$Y237,(TRANSPOSE(CS$2:CS$19)))</f>
        <v>1200</v>
      </c>
      <c r="CT237" s="1">
        <f t="array" ref="CT237">SUMPRODUCT($H237:$Y237,(TRANSPOSE(CT$2:CT$19)))</f>
        <v>1440</v>
      </c>
      <c r="CU237" s="1">
        <f t="array" ref="CU237">SUMPRODUCT($H237:$Y237,(TRANSPOSE(CU$2:CU$19)))</f>
        <v>1680</v>
      </c>
      <c r="CV237" s="1">
        <f t="array" ref="CV237">SUMPRODUCT($H237:$Y237,(TRANSPOSE(CV$2:CV$19)))</f>
        <v>1920</v>
      </c>
      <c r="CW237" s="1">
        <f t="array" ref="CW237">SUMPRODUCT($H237:$Y237,(TRANSPOSE(CW$2:CW$19)))</f>
        <v>2160</v>
      </c>
      <c r="CX237" s="1">
        <f t="array" ref="CX237">SUMPRODUCT($H237:$Y237,(TRANSPOSE(CX$2:CX$19)))</f>
        <v>2400</v>
      </c>
      <c r="CY237" s="1">
        <f t="array" ref="CY237">SUMPRODUCT($H237:$Y237,(TRANSPOSE(CY$2:CY$19)))</f>
        <v>2640</v>
      </c>
      <c r="CZ237" s="1">
        <f t="array" ref="CZ237">SUMPRODUCT($H237:$Y237,(TRANSPOSE(CZ$2:CZ$19)))</f>
        <v>2880</v>
      </c>
      <c r="DA237" s="1">
        <f t="array" ref="DA237">SUMPRODUCT($H237:$Y237,(TRANSPOSE(DA$2:DA$19)))</f>
        <v>3120</v>
      </c>
      <c r="DB237" s="1">
        <f t="array" ref="DB237">SUMPRODUCT($H237:$Y237,(TRANSPOSE(DB$2:DB$19)))</f>
        <v>0</v>
      </c>
      <c r="DC237" s="1">
        <f t="array" ref="DC237">SUMPRODUCT($H237:$Y237,(TRANSPOSE(DC$2:DC$19)))</f>
        <v>0</v>
      </c>
      <c r="DD237" s="1">
        <f t="array" ref="DD237">SUMPRODUCT($H237:$Y237,(TRANSPOSE(DD$2:DD$19)))</f>
        <v>0</v>
      </c>
    </row>
    <row r="238" spans="1:108" x14ac:dyDescent="0.2">
      <c r="A238" s="1">
        <v>266</v>
      </c>
      <c r="B238" s="10" t="s">
        <v>279</v>
      </c>
      <c r="C238" s="1" t="s">
        <v>38</v>
      </c>
      <c r="D238" s="1">
        <v>416807302</v>
      </c>
      <c r="E238" s="1">
        <v>419398857</v>
      </c>
      <c r="F238" s="1" t="s">
        <v>278</v>
      </c>
      <c r="G238" s="1" t="s">
        <v>20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2</v>
      </c>
      <c r="V238" s="1">
        <v>0</v>
      </c>
      <c r="W238" s="1">
        <v>0</v>
      </c>
      <c r="X238" s="1">
        <v>0</v>
      </c>
      <c r="Y238" s="1">
        <v>2</v>
      </c>
      <c r="Z238" s="1">
        <f>SUM(H238:Y238)</f>
        <v>4</v>
      </c>
      <c r="AA238" s="1">
        <f>SUMPRODUCT(H238:Y238,$H$16:$Y$16)</f>
        <v>3640</v>
      </c>
      <c r="AB238" s="1" t="s">
        <v>273</v>
      </c>
      <c r="AC238" s="1">
        <v>3.1002999999999998</v>
      </c>
      <c r="AD238" s="9"/>
      <c r="AE238" s="1" t="s">
        <v>28</v>
      </c>
      <c r="AF238" s="1">
        <f>AC238</f>
        <v>3.1002999999999998</v>
      </c>
      <c r="AG238" s="1">
        <v>500</v>
      </c>
      <c r="AH238" s="1">
        <v>500</v>
      </c>
      <c r="AI238" s="1">
        <v>13</v>
      </c>
      <c r="AK238" s="1" t="s">
        <v>81</v>
      </c>
      <c r="AL238" s="1" t="s">
        <v>272</v>
      </c>
      <c r="AM238" s="1" t="s">
        <v>271</v>
      </c>
      <c r="AN238" s="2" t="s">
        <v>270</v>
      </c>
      <c r="BO238" s="1">
        <f>SUM($AP238,$AQ238:AQ238)-SUM($CK238:CL238)</f>
        <v>0</v>
      </c>
      <c r="BP238" s="1">
        <f>SUM($AP238,$AQ238:AR238)-SUM($CK238:CM238)</f>
        <v>0</v>
      </c>
      <c r="BQ238" s="1">
        <f>SUM($AP238,$AQ238:AS238)-SUM($CK238:CN238)</f>
        <v>0</v>
      </c>
      <c r="BR238" s="1">
        <f>SUM($AP238,$AQ238:AT238)-SUM($CK238:CO238)</f>
        <v>-40</v>
      </c>
      <c r="BS238" s="1">
        <f>SUM($AP238,$AQ238:AU238)-SUM($CK238:CP238)</f>
        <v>-120</v>
      </c>
      <c r="BT238" s="1">
        <f>SUM($AP238,$AQ238:AV238)-SUM($CK238:CQ238)</f>
        <v>-240</v>
      </c>
      <c r="BU238" s="1">
        <f>SUM($AP238,$AQ238:AW238)-SUM($CK238:CR238)</f>
        <v>-400</v>
      </c>
      <c r="BV238" s="1">
        <f>SUM($AP238,$AQ238:AX238)-SUM($CK238:CS238)</f>
        <v>-600</v>
      </c>
      <c r="BW238" s="1">
        <f>SUM($AP238,$AQ238:AY238)-SUM($CK238:CT238)</f>
        <v>-840</v>
      </c>
      <c r="BX238" s="1">
        <f>SUM($AP238,$AQ238:AZ238)-SUM($CK238:CU238)</f>
        <v>-1120</v>
      </c>
      <c r="BY238" s="1">
        <f>SUM($AP238,$AQ238:BA238)-SUM($CK238:CV238)</f>
        <v>-1440</v>
      </c>
      <c r="BZ238" s="1">
        <f>SUM($AP238,$AQ238:BB238)-SUM($CK238:CW238)</f>
        <v>-1800</v>
      </c>
      <c r="CA238" s="1">
        <f>SUM($AP238,$AQ238:BC238)-SUM($CK238:CX238)</f>
        <v>-2200</v>
      </c>
      <c r="CB238" s="1">
        <f>SUM($AP238,$AQ238:BD238)-SUM($CK238:CY238)</f>
        <v>-2640</v>
      </c>
      <c r="CC238" s="1">
        <f>SUM($AP238,$AQ238:BE238)-SUM($CK238:CZ238)</f>
        <v>-3120</v>
      </c>
      <c r="CD238" s="1">
        <f>SUM($AP238,$AQ238:BF238)-SUM($CK238:DA238)</f>
        <v>-3640</v>
      </c>
      <c r="CE238" s="1">
        <f>SUM($AP238,$AQ238:BG238)-SUM($CK238:DB238)</f>
        <v>-3640</v>
      </c>
      <c r="CF238" s="1">
        <f>SUM($AP238,$AQ238:BH238)-SUM($CK238:DC238)</f>
        <v>-3640</v>
      </c>
      <c r="CG238" s="1">
        <f>SUM($AP238,$AQ238:BI238)-SUM($CK238:DD238)</f>
        <v>-3640</v>
      </c>
      <c r="CK238" s="1">
        <f t="array" ref="CK238">SUMPRODUCT($H238:$Y238,(TRANSPOSE(CK$2:CK$19)))</f>
        <v>0</v>
      </c>
      <c r="CL238" s="1">
        <f t="array" ref="CL238">SUMPRODUCT($H238:$Y238,(TRANSPOSE(CL$2:CL$19)))</f>
        <v>0</v>
      </c>
      <c r="CM238" s="1">
        <f t="array" ref="CM238">SUMPRODUCT($H238:$Y238,(TRANSPOSE(CM$2:CM$19)))</f>
        <v>0</v>
      </c>
      <c r="CN238" s="1">
        <f t="array" ref="CN238">SUMPRODUCT($H238:$Y238,(TRANSPOSE(CN$2:CN$19)))</f>
        <v>0</v>
      </c>
      <c r="CO238" s="1">
        <f t="array" ref="CO238">SUMPRODUCT($H238:$Y238,(TRANSPOSE(CO$2:CO$19)))</f>
        <v>40</v>
      </c>
      <c r="CP238" s="1">
        <f t="array" ref="CP238">SUMPRODUCT($H238:$Y238,(TRANSPOSE(CP$2:CP$19)))</f>
        <v>80</v>
      </c>
      <c r="CQ238" s="1">
        <f t="array" ref="CQ238">SUMPRODUCT($H238:$Y238,(TRANSPOSE(CQ$2:CQ$19)))</f>
        <v>120</v>
      </c>
      <c r="CR238" s="1">
        <f t="array" ref="CR238">SUMPRODUCT($H238:$Y238,(TRANSPOSE(CR$2:CR$19)))</f>
        <v>160</v>
      </c>
      <c r="CS238" s="1">
        <f t="array" ref="CS238">SUMPRODUCT($H238:$Y238,(TRANSPOSE(CS$2:CS$19)))</f>
        <v>200</v>
      </c>
      <c r="CT238" s="1">
        <f t="array" ref="CT238">SUMPRODUCT($H238:$Y238,(TRANSPOSE(CT$2:CT$19)))</f>
        <v>240</v>
      </c>
      <c r="CU238" s="1">
        <f t="array" ref="CU238">SUMPRODUCT($H238:$Y238,(TRANSPOSE(CU$2:CU$19)))</f>
        <v>280</v>
      </c>
      <c r="CV238" s="1">
        <f t="array" ref="CV238">SUMPRODUCT($H238:$Y238,(TRANSPOSE(CV$2:CV$19)))</f>
        <v>320</v>
      </c>
      <c r="CW238" s="1">
        <f t="array" ref="CW238">SUMPRODUCT($H238:$Y238,(TRANSPOSE(CW$2:CW$19)))</f>
        <v>360</v>
      </c>
      <c r="CX238" s="1">
        <f t="array" ref="CX238">SUMPRODUCT($H238:$Y238,(TRANSPOSE(CX$2:CX$19)))</f>
        <v>400</v>
      </c>
      <c r="CY238" s="1">
        <f t="array" ref="CY238">SUMPRODUCT($H238:$Y238,(TRANSPOSE(CY$2:CY$19)))</f>
        <v>440</v>
      </c>
      <c r="CZ238" s="1">
        <f t="array" ref="CZ238">SUMPRODUCT($H238:$Y238,(TRANSPOSE(CZ$2:CZ$19)))</f>
        <v>480</v>
      </c>
      <c r="DA238" s="1">
        <f t="array" ref="DA238">SUMPRODUCT($H238:$Y238,(TRANSPOSE(DA$2:DA$19)))</f>
        <v>520</v>
      </c>
      <c r="DB238" s="1">
        <f t="array" ref="DB238">SUMPRODUCT($H238:$Y238,(TRANSPOSE(DB$2:DB$19)))</f>
        <v>0</v>
      </c>
      <c r="DC238" s="1">
        <f t="array" ref="DC238">SUMPRODUCT($H238:$Y238,(TRANSPOSE(DC$2:DC$19)))</f>
        <v>0</v>
      </c>
      <c r="DD238" s="1">
        <f t="array" ref="DD238">SUMPRODUCT($H238:$Y238,(TRANSPOSE(DD$2:DD$19)))</f>
        <v>0</v>
      </c>
    </row>
    <row r="239" spans="1:108" x14ac:dyDescent="0.2">
      <c r="A239" s="1">
        <v>267</v>
      </c>
      <c r="B239" s="10" t="s">
        <v>277</v>
      </c>
      <c r="C239" s="1" t="s">
        <v>22</v>
      </c>
      <c r="D239" s="1">
        <v>401681605</v>
      </c>
      <c r="F239" s="1" t="s">
        <v>276</v>
      </c>
      <c r="G239" s="1" t="s">
        <v>20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68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f>SUM(H239:Y239)</f>
        <v>68</v>
      </c>
      <c r="AA239" s="1">
        <f>SUMPRODUCT(H239:Y239,$H$16:$Y$16)</f>
        <v>61880</v>
      </c>
      <c r="AB239" s="1" t="s">
        <v>273</v>
      </c>
      <c r="AC239" s="1">
        <v>1.7922</v>
      </c>
      <c r="AD239" s="9"/>
      <c r="AE239" s="1" t="s">
        <v>28</v>
      </c>
      <c r="AF239" s="1">
        <f>AC239</f>
        <v>1.7922</v>
      </c>
      <c r="AG239" s="1">
        <v>2500</v>
      </c>
      <c r="AH239" s="1">
        <v>2500</v>
      </c>
      <c r="AI239" s="1">
        <v>13</v>
      </c>
      <c r="AK239" s="1" t="s">
        <v>81</v>
      </c>
      <c r="AL239" s="1" t="s">
        <v>272</v>
      </c>
      <c r="AM239" s="1" t="s">
        <v>271</v>
      </c>
      <c r="AN239" s="2" t="s">
        <v>270</v>
      </c>
      <c r="BO239" s="1">
        <f>SUM($AP239,$AQ239:AQ239)-SUM($CK239:CL239)</f>
        <v>0</v>
      </c>
      <c r="BP239" s="1">
        <f>SUM($AP239,$AQ239:AR239)-SUM($CK239:CM239)</f>
        <v>0</v>
      </c>
      <c r="BQ239" s="1">
        <f>SUM($AP239,$AQ239:AS239)-SUM($CK239:CN239)</f>
        <v>0</v>
      </c>
      <c r="BR239" s="1">
        <f>SUM($AP239,$AQ239:AT239)-SUM($CK239:CO239)</f>
        <v>-680</v>
      </c>
      <c r="BS239" s="1">
        <f>SUM($AP239,$AQ239:AU239)-SUM($CK239:CP239)</f>
        <v>-2040</v>
      </c>
      <c r="BT239" s="1">
        <f>SUM($AP239,$AQ239:AV239)-SUM($CK239:CQ239)</f>
        <v>-4080</v>
      </c>
      <c r="BU239" s="1">
        <f>SUM($AP239,$AQ239:AW239)-SUM($CK239:CR239)</f>
        <v>-6800</v>
      </c>
      <c r="BV239" s="1">
        <f>SUM($AP239,$AQ239:AX239)-SUM($CK239:CS239)</f>
        <v>-10200</v>
      </c>
      <c r="BW239" s="1">
        <f>SUM($AP239,$AQ239:AY239)-SUM($CK239:CT239)</f>
        <v>-14280</v>
      </c>
      <c r="BX239" s="1">
        <f>SUM($AP239,$AQ239:AZ239)-SUM($CK239:CU239)</f>
        <v>-19040</v>
      </c>
      <c r="BY239" s="1">
        <f>SUM($AP239,$AQ239:BA239)-SUM($CK239:CV239)</f>
        <v>-24480</v>
      </c>
      <c r="BZ239" s="1">
        <f>SUM($AP239,$AQ239:BB239)-SUM($CK239:CW239)</f>
        <v>-30600</v>
      </c>
      <c r="CA239" s="1">
        <f>SUM($AP239,$AQ239:BC239)-SUM($CK239:CX239)</f>
        <v>-37400</v>
      </c>
      <c r="CB239" s="1">
        <f>SUM($AP239,$AQ239:BD239)-SUM($CK239:CY239)</f>
        <v>-44880</v>
      </c>
      <c r="CC239" s="1">
        <f>SUM($AP239,$AQ239:BE239)-SUM($CK239:CZ239)</f>
        <v>-53040</v>
      </c>
      <c r="CD239" s="1">
        <f>SUM($AP239,$AQ239:BF239)-SUM($CK239:DA239)</f>
        <v>-61880</v>
      </c>
      <c r="CE239" s="1">
        <f>SUM($AP239,$AQ239:BG239)-SUM($CK239:DB239)</f>
        <v>-61880</v>
      </c>
      <c r="CF239" s="1">
        <f>SUM($AP239,$AQ239:BH239)-SUM($CK239:DC239)</f>
        <v>-61880</v>
      </c>
      <c r="CG239" s="1">
        <f>SUM($AP239,$AQ239:BI239)-SUM($CK239:DD239)</f>
        <v>-61880</v>
      </c>
      <c r="CK239" s="1">
        <f t="array" ref="CK239">SUMPRODUCT($H239:$Y239,(TRANSPOSE(CK$2:CK$19)))</f>
        <v>0</v>
      </c>
      <c r="CL239" s="1">
        <f t="array" ref="CL239">SUMPRODUCT($H239:$Y239,(TRANSPOSE(CL$2:CL$19)))</f>
        <v>0</v>
      </c>
      <c r="CM239" s="1">
        <f t="array" ref="CM239">SUMPRODUCT($H239:$Y239,(TRANSPOSE(CM$2:CM$19)))</f>
        <v>0</v>
      </c>
      <c r="CN239" s="1">
        <f t="array" ref="CN239">SUMPRODUCT($H239:$Y239,(TRANSPOSE(CN$2:CN$19)))</f>
        <v>0</v>
      </c>
      <c r="CO239" s="1">
        <f t="array" ref="CO239">SUMPRODUCT($H239:$Y239,(TRANSPOSE(CO$2:CO$19)))</f>
        <v>680</v>
      </c>
      <c r="CP239" s="1">
        <f t="array" ref="CP239">SUMPRODUCT($H239:$Y239,(TRANSPOSE(CP$2:CP$19)))</f>
        <v>1360</v>
      </c>
      <c r="CQ239" s="1">
        <f t="array" ref="CQ239">SUMPRODUCT($H239:$Y239,(TRANSPOSE(CQ$2:CQ$19)))</f>
        <v>2040</v>
      </c>
      <c r="CR239" s="1">
        <f t="array" ref="CR239">SUMPRODUCT($H239:$Y239,(TRANSPOSE(CR$2:CR$19)))</f>
        <v>2720</v>
      </c>
      <c r="CS239" s="1">
        <f t="array" ref="CS239">SUMPRODUCT($H239:$Y239,(TRANSPOSE(CS$2:CS$19)))</f>
        <v>3400</v>
      </c>
      <c r="CT239" s="1">
        <f t="array" ref="CT239">SUMPRODUCT($H239:$Y239,(TRANSPOSE(CT$2:CT$19)))</f>
        <v>4080</v>
      </c>
      <c r="CU239" s="1">
        <f t="array" ref="CU239">SUMPRODUCT($H239:$Y239,(TRANSPOSE(CU$2:CU$19)))</f>
        <v>4760</v>
      </c>
      <c r="CV239" s="1">
        <f t="array" ref="CV239">SUMPRODUCT($H239:$Y239,(TRANSPOSE(CV$2:CV$19)))</f>
        <v>5440</v>
      </c>
      <c r="CW239" s="1">
        <f t="array" ref="CW239">SUMPRODUCT($H239:$Y239,(TRANSPOSE(CW$2:CW$19)))</f>
        <v>6120</v>
      </c>
      <c r="CX239" s="1">
        <f t="array" ref="CX239">SUMPRODUCT($H239:$Y239,(TRANSPOSE(CX$2:CX$19)))</f>
        <v>6800</v>
      </c>
      <c r="CY239" s="1">
        <f t="array" ref="CY239">SUMPRODUCT($H239:$Y239,(TRANSPOSE(CY$2:CY$19)))</f>
        <v>7480</v>
      </c>
      <c r="CZ239" s="1">
        <f t="array" ref="CZ239">SUMPRODUCT($H239:$Y239,(TRANSPOSE(CZ$2:CZ$19)))</f>
        <v>8160</v>
      </c>
      <c r="DA239" s="1">
        <f t="array" ref="DA239">SUMPRODUCT($H239:$Y239,(TRANSPOSE(DA$2:DA$19)))</f>
        <v>8840</v>
      </c>
      <c r="DB239" s="1">
        <f t="array" ref="DB239">SUMPRODUCT($H239:$Y239,(TRANSPOSE(DB$2:DB$19)))</f>
        <v>0</v>
      </c>
      <c r="DC239" s="1">
        <f t="array" ref="DC239">SUMPRODUCT($H239:$Y239,(TRANSPOSE(DC$2:DC$19)))</f>
        <v>0</v>
      </c>
      <c r="DD239" s="1">
        <f t="array" ref="DD239">SUMPRODUCT($H239:$Y239,(TRANSPOSE(DD$2:DD$19)))</f>
        <v>0</v>
      </c>
    </row>
    <row r="240" spans="1:108" x14ac:dyDescent="0.2">
      <c r="A240" s="1">
        <v>268</v>
      </c>
      <c r="B240" s="10" t="s">
        <v>275</v>
      </c>
      <c r="C240" s="1" t="s">
        <v>38</v>
      </c>
      <c r="D240" s="1">
        <v>401246606</v>
      </c>
      <c r="F240" s="1" t="s">
        <v>274</v>
      </c>
      <c r="G240" s="1" t="s">
        <v>20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2</v>
      </c>
      <c r="U240" s="1">
        <v>0</v>
      </c>
      <c r="V240" s="1">
        <v>0</v>
      </c>
      <c r="W240" s="1">
        <v>0</v>
      </c>
      <c r="X240" s="1">
        <v>2</v>
      </c>
      <c r="Y240" s="1">
        <v>0</v>
      </c>
      <c r="Z240" s="1">
        <f>SUM(H240:Y240)</f>
        <v>4</v>
      </c>
      <c r="AA240" s="1">
        <f>SUMPRODUCT(H240:Y240,$H$16:$Y$16)</f>
        <v>3640</v>
      </c>
      <c r="AB240" s="1" t="s">
        <v>273</v>
      </c>
      <c r="AC240" s="1">
        <v>20.6206</v>
      </c>
      <c r="AD240" s="9"/>
      <c r="AE240" s="1" t="s">
        <v>28</v>
      </c>
      <c r="AF240" s="1">
        <f>AC240</f>
        <v>20.6206</v>
      </c>
      <c r="AG240" s="1">
        <v>119</v>
      </c>
      <c r="AH240" s="1">
        <v>119</v>
      </c>
      <c r="AI240" s="1">
        <v>13</v>
      </c>
      <c r="AK240" s="1" t="s">
        <v>81</v>
      </c>
      <c r="AL240" s="1" t="s">
        <v>272</v>
      </c>
      <c r="AM240" s="1" t="s">
        <v>271</v>
      </c>
      <c r="AN240" s="2" t="s">
        <v>270</v>
      </c>
      <c r="BO240" s="1">
        <f>SUM($AP240,$AQ240:AQ240)-SUM($CK240:CL240)</f>
        <v>0</v>
      </c>
      <c r="BP240" s="1">
        <f>SUM($AP240,$AQ240:AR240)-SUM($CK240:CM240)</f>
        <v>0</v>
      </c>
      <c r="BQ240" s="1">
        <f>SUM($AP240,$AQ240:AS240)-SUM($CK240:CN240)</f>
        <v>0</v>
      </c>
      <c r="BR240" s="1">
        <f>SUM($AP240,$AQ240:AT240)-SUM($CK240:CO240)</f>
        <v>-40</v>
      </c>
      <c r="BS240" s="1">
        <f>SUM($AP240,$AQ240:AU240)-SUM($CK240:CP240)</f>
        <v>-120</v>
      </c>
      <c r="BT240" s="1">
        <f>SUM($AP240,$AQ240:AV240)-SUM($CK240:CQ240)</f>
        <v>-240</v>
      </c>
      <c r="BU240" s="1">
        <f>SUM($AP240,$AQ240:AW240)-SUM($CK240:CR240)</f>
        <v>-400</v>
      </c>
      <c r="BV240" s="1">
        <f>SUM($AP240,$AQ240:AX240)-SUM($CK240:CS240)</f>
        <v>-600</v>
      </c>
      <c r="BW240" s="1">
        <f>SUM($AP240,$AQ240:AY240)-SUM($CK240:CT240)</f>
        <v>-840</v>
      </c>
      <c r="BX240" s="1">
        <f>SUM($AP240,$AQ240:AZ240)-SUM($CK240:CU240)</f>
        <v>-1120</v>
      </c>
      <c r="BY240" s="1">
        <f>SUM($AP240,$AQ240:BA240)-SUM($CK240:CV240)</f>
        <v>-1440</v>
      </c>
      <c r="BZ240" s="1">
        <f>SUM($AP240,$AQ240:BB240)-SUM($CK240:CW240)</f>
        <v>-1800</v>
      </c>
      <c r="CA240" s="1">
        <f>SUM($AP240,$AQ240:BC240)-SUM($CK240:CX240)</f>
        <v>-2200</v>
      </c>
      <c r="CB240" s="1">
        <f>SUM($AP240,$AQ240:BD240)-SUM($CK240:CY240)</f>
        <v>-2640</v>
      </c>
      <c r="CC240" s="1">
        <f>SUM($AP240,$AQ240:BE240)-SUM($CK240:CZ240)</f>
        <v>-3120</v>
      </c>
      <c r="CD240" s="1">
        <f>SUM($AP240,$AQ240:BF240)-SUM($CK240:DA240)</f>
        <v>-3640</v>
      </c>
      <c r="CE240" s="1">
        <f>SUM($AP240,$AQ240:BG240)-SUM($CK240:DB240)</f>
        <v>-3640</v>
      </c>
      <c r="CF240" s="1">
        <f>SUM($AP240,$AQ240:BH240)-SUM($CK240:DC240)</f>
        <v>-3640</v>
      </c>
      <c r="CG240" s="1">
        <f>SUM($AP240,$AQ240:BI240)-SUM($CK240:DD240)</f>
        <v>-3640</v>
      </c>
      <c r="CK240" s="1">
        <f t="array" ref="CK240">SUMPRODUCT($H240:$Y240,(TRANSPOSE(CK$2:CK$19)))</f>
        <v>0</v>
      </c>
      <c r="CL240" s="1">
        <f t="array" ref="CL240">SUMPRODUCT($H240:$Y240,(TRANSPOSE(CL$2:CL$19)))</f>
        <v>0</v>
      </c>
      <c r="CM240" s="1">
        <f t="array" ref="CM240">SUMPRODUCT($H240:$Y240,(TRANSPOSE(CM$2:CM$19)))</f>
        <v>0</v>
      </c>
      <c r="CN240" s="1">
        <f t="array" ref="CN240">SUMPRODUCT($H240:$Y240,(TRANSPOSE(CN$2:CN$19)))</f>
        <v>0</v>
      </c>
      <c r="CO240" s="1">
        <f t="array" ref="CO240">SUMPRODUCT($H240:$Y240,(TRANSPOSE(CO$2:CO$19)))</f>
        <v>40</v>
      </c>
      <c r="CP240" s="1">
        <f t="array" ref="CP240">SUMPRODUCT($H240:$Y240,(TRANSPOSE(CP$2:CP$19)))</f>
        <v>80</v>
      </c>
      <c r="CQ240" s="1">
        <f t="array" ref="CQ240">SUMPRODUCT($H240:$Y240,(TRANSPOSE(CQ$2:CQ$19)))</f>
        <v>120</v>
      </c>
      <c r="CR240" s="1">
        <f t="array" ref="CR240">SUMPRODUCT($H240:$Y240,(TRANSPOSE(CR$2:CR$19)))</f>
        <v>160</v>
      </c>
      <c r="CS240" s="1">
        <f t="array" ref="CS240">SUMPRODUCT($H240:$Y240,(TRANSPOSE(CS$2:CS$19)))</f>
        <v>200</v>
      </c>
      <c r="CT240" s="1">
        <f t="array" ref="CT240">SUMPRODUCT($H240:$Y240,(TRANSPOSE(CT$2:CT$19)))</f>
        <v>240</v>
      </c>
      <c r="CU240" s="1">
        <f t="array" ref="CU240">SUMPRODUCT($H240:$Y240,(TRANSPOSE(CU$2:CU$19)))</f>
        <v>280</v>
      </c>
      <c r="CV240" s="1">
        <f t="array" ref="CV240">SUMPRODUCT($H240:$Y240,(TRANSPOSE(CV$2:CV$19)))</f>
        <v>320</v>
      </c>
      <c r="CW240" s="1">
        <f t="array" ref="CW240">SUMPRODUCT($H240:$Y240,(TRANSPOSE(CW$2:CW$19)))</f>
        <v>360</v>
      </c>
      <c r="CX240" s="1">
        <f t="array" ref="CX240">SUMPRODUCT($H240:$Y240,(TRANSPOSE(CX$2:CX$19)))</f>
        <v>400</v>
      </c>
      <c r="CY240" s="1">
        <f t="array" ref="CY240">SUMPRODUCT($H240:$Y240,(TRANSPOSE(CY$2:CY$19)))</f>
        <v>440</v>
      </c>
      <c r="CZ240" s="1">
        <f t="array" ref="CZ240">SUMPRODUCT($H240:$Y240,(TRANSPOSE(CZ$2:CZ$19)))</f>
        <v>480</v>
      </c>
      <c r="DA240" s="1">
        <f t="array" ref="DA240">SUMPRODUCT($H240:$Y240,(TRANSPOSE(DA$2:DA$19)))</f>
        <v>520</v>
      </c>
      <c r="DB240" s="1">
        <f t="array" ref="DB240">SUMPRODUCT($H240:$Y240,(TRANSPOSE(DB$2:DB$19)))</f>
        <v>0</v>
      </c>
      <c r="DC240" s="1">
        <f t="array" ref="DC240">SUMPRODUCT($H240:$Y240,(TRANSPOSE(DC$2:DC$19)))</f>
        <v>0</v>
      </c>
      <c r="DD240" s="1">
        <f t="array" ref="DD240">SUMPRODUCT($H240:$Y240,(TRANSPOSE(DD$2:DD$19)))</f>
        <v>0</v>
      </c>
    </row>
    <row r="241" spans="1:108" x14ac:dyDescent="0.2">
      <c r="A241" s="1">
        <v>277</v>
      </c>
      <c r="B241" s="10" t="s">
        <v>269</v>
      </c>
      <c r="C241" s="1" t="s">
        <v>22</v>
      </c>
      <c r="D241" s="1">
        <v>414290613</v>
      </c>
      <c r="F241" s="1" t="s">
        <v>268</v>
      </c>
      <c r="G241" s="1" t="s">
        <v>20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2</v>
      </c>
      <c r="V241" s="1">
        <v>0</v>
      </c>
      <c r="W241" s="1">
        <v>0</v>
      </c>
      <c r="X241" s="1">
        <v>0</v>
      </c>
      <c r="Y241" s="1">
        <v>2</v>
      </c>
      <c r="Z241" s="1">
        <f>SUM(H241:Y241)</f>
        <v>4</v>
      </c>
      <c r="AA241" s="1">
        <f>SUMPRODUCT(H241:Y241,$H$16:$Y$16)</f>
        <v>3640</v>
      </c>
      <c r="AB241" s="1" t="s">
        <v>267</v>
      </c>
      <c r="AC241" s="1">
        <v>15.89</v>
      </c>
      <c r="AD241" s="9"/>
      <c r="AE241" s="1" t="s">
        <v>266</v>
      </c>
      <c r="AF241" s="1">
        <f>AC241*1.3371</f>
        <v>21.246518999999999</v>
      </c>
      <c r="AH241" s="1">
        <v>1</v>
      </c>
      <c r="AI241" s="1" t="s">
        <v>265</v>
      </c>
      <c r="AK241" s="1" t="s">
        <v>264</v>
      </c>
      <c r="AL241" s="1" t="s">
        <v>263</v>
      </c>
      <c r="AM241" s="1" t="s">
        <v>262</v>
      </c>
      <c r="AN241" s="2" t="s">
        <v>261</v>
      </c>
      <c r="BO241" s="1">
        <f>SUM($AP241,$AQ241:AQ241)-SUM($CK241:CL241)</f>
        <v>0</v>
      </c>
      <c r="BP241" s="1">
        <f>SUM($AP241,$AQ241:AR241)-SUM($CK241:CM241)</f>
        <v>0</v>
      </c>
      <c r="BQ241" s="1">
        <f>SUM($AP241,$AQ241:AS241)-SUM($CK241:CN241)</f>
        <v>0</v>
      </c>
      <c r="BR241" s="1">
        <f>SUM($AP241,$AQ241:AT241)-SUM($CK241:CO241)</f>
        <v>-40</v>
      </c>
      <c r="BS241" s="1">
        <f>SUM($AP241,$AQ241:AU241)-SUM($CK241:CP241)</f>
        <v>-120</v>
      </c>
      <c r="BT241" s="1">
        <f>SUM($AP241,$AQ241:AV241)-SUM($CK241:CQ241)</f>
        <v>-240</v>
      </c>
      <c r="BU241" s="1">
        <f>SUM($AP241,$AQ241:AW241)-SUM($CK241:CR241)</f>
        <v>-400</v>
      </c>
      <c r="BV241" s="1">
        <f>SUM($AP241,$AQ241:AX241)-SUM($CK241:CS241)</f>
        <v>-600</v>
      </c>
      <c r="BW241" s="1">
        <f>SUM($AP241,$AQ241:AY241)-SUM($CK241:CT241)</f>
        <v>-840</v>
      </c>
      <c r="BX241" s="1">
        <f>SUM($AP241,$AQ241:AZ241)-SUM($CK241:CU241)</f>
        <v>-1120</v>
      </c>
      <c r="BY241" s="1">
        <f>SUM($AP241,$AQ241:BA241)-SUM($CK241:CV241)</f>
        <v>-1440</v>
      </c>
      <c r="BZ241" s="1">
        <f>SUM($AP241,$AQ241:BB241)-SUM($CK241:CW241)</f>
        <v>-1800</v>
      </c>
      <c r="CA241" s="1">
        <f>SUM($AP241,$AQ241:BC241)-SUM($CK241:CX241)</f>
        <v>-2200</v>
      </c>
      <c r="CB241" s="1">
        <f>SUM($AP241,$AQ241:BD241)-SUM($CK241:CY241)</f>
        <v>-2640</v>
      </c>
      <c r="CC241" s="1">
        <f>SUM($AP241,$AQ241:BE241)-SUM($CK241:CZ241)</f>
        <v>-3120</v>
      </c>
      <c r="CD241" s="1">
        <f>SUM($AP241,$AQ241:BF241)-SUM($CK241:DA241)</f>
        <v>-3640</v>
      </c>
      <c r="CE241" s="1">
        <f>SUM($AP241,$AQ241:BG241)-SUM($CK241:DB241)</f>
        <v>-3640</v>
      </c>
      <c r="CF241" s="1">
        <f>SUM($AP241,$AQ241:BH241)-SUM($CK241:DC241)</f>
        <v>-3640</v>
      </c>
      <c r="CG241" s="1">
        <f>SUM($AP241,$AQ241:BI241)-SUM($CK241:DD241)</f>
        <v>-3640</v>
      </c>
      <c r="CK241" s="1">
        <f t="array" ref="CK241">SUMPRODUCT($H241:$Y241,(TRANSPOSE(CK$2:CK$19)))</f>
        <v>0</v>
      </c>
      <c r="CL241" s="1">
        <f t="array" ref="CL241">SUMPRODUCT($H241:$Y241,(TRANSPOSE(CL$2:CL$19)))</f>
        <v>0</v>
      </c>
      <c r="CM241" s="1">
        <f t="array" ref="CM241">SUMPRODUCT($H241:$Y241,(TRANSPOSE(CM$2:CM$19)))</f>
        <v>0</v>
      </c>
      <c r="CN241" s="1">
        <f t="array" ref="CN241">SUMPRODUCT($H241:$Y241,(TRANSPOSE(CN$2:CN$19)))</f>
        <v>0</v>
      </c>
      <c r="CO241" s="1">
        <f t="array" ref="CO241">SUMPRODUCT($H241:$Y241,(TRANSPOSE(CO$2:CO$19)))</f>
        <v>40</v>
      </c>
      <c r="CP241" s="1">
        <f t="array" ref="CP241">SUMPRODUCT($H241:$Y241,(TRANSPOSE(CP$2:CP$19)))</f>
        <v>80</v>
      </c>
      <c r="CQ241" s="1">
        <f t="array" ref="CQ241">SUMPRODUCT($H241:$Y241,(TRANSPOSE(CQ$2:CQ$19)))</f>
        <v>120</v>
      </c>
      <c r="CR241" s="1">
        <f t="array" ref="CR241">SUMPRODUCT($H241:$Y241,(TRANSPOSE(CR$2:CR$19)))</f>
        <v>160</v>
      </c>
      <c r="CS241" s="1">
        <f t="array" ref="CS241">SUMPRODUCT($H241:$Y241,(TRANSPOSE(CS$2:CS$19)))</f>
        <v>200</v>
      </c>
      <c r="CT241" s="1">
        <f t="array" ref="CT241">SUMPRODUCT($H241:$Y241,(TRANSPOSE(CT$2:CT$19)))</f>
        <v>240</v>
      </c>
      <c r="CU241" s="1">
        <f t="array" ref="CU241">SUMPRODUCT($H241:$Y241,(TRANSPOSE(CU$2:CU$19)))</f>
        <v>280</v>
      </c>
      <c r="CV241" s="1">
        <f t="array" ref="CV241">SUMPRODUCT($H241:$Y241,(TRANSPOSE(CV$2:CV$19)))</f>
        <v>320</v>
      </c>
      <c r="CW241" s="1">
        <f t="array" ref="CW241">SUMPRODUCT($H241:$Y241,(TRANSPOSE(CW$2:CW$19)))</f>
        <v>360</v>
      </c>
      <c r="CX241" s="1">
        <f t="array" ref="CX241">SUMPRODUCT($H241:$Y241,(TRANSPOSE(CX$2:CX$19)))</f>
        <v>400</v>
      </c>
      <c r="CY241" s="1">
        <f t="array" ref="CY241">SUMPRODUCT($H241:$Y241,(TRANSPOSE(CY$2:CY$19)))</f>
        <v>440</v>
      </c>
      <c r="CZ241" s="1">
        <f t="array" ref="CZ241">SUMPRODUCT($H241:$Y241,(TRANSPOSE(CZ$2:CZ$19)))</f>
        <v>480</v>
      </c>
      <c r="DA241" s="1">
        <f t="array" ref="DA241">SUMPRODUCT($H241:$Y241,(TRANSPOSE(DA$2:DA$19)))</f>
        <v>520</v>
      </c>
      <c r="DB241" s="1">
        <f t="array" ref="DB241">SUMPRODUCT($H241:$Y241,(TRANSPOSE(DB$2:DB$19)))</f>
        <v>0</v>
      </c>
      <c r="DC241" s="1">
        <f t="array" ref="DC241">SUMPRODUCT($H241:$Y241,(TRANSPOSE(DC$2:DC$19)))</f>
        <v>0</v>
      </c>
      <c r="DD241" s="1">
        <f t="array" ref="DD241">SUMPRODUCT($H241:$Y241,(TRANSPOSE(DD$2:DD$19)))</f>
        <v>0</v>
      </c>
    </row>
    <row r="242" spans="1:108" x14ac:dyDescent="0.2">
      <c r="A242" s="1">
        <v>280</v>
      </c>
      <c r="B242" s="10" t="s">
        <v>260</v>
      </c>
      <c r="C242" s="1" t="s">
        <v>38</v>
      </c>
      <c r="D242" s="1">
        <v>400330009</v>
      </c>
      <c r="F242" s="1" t="s">
        <v>259</v>
      </c>
      <c r="G242" s="1" t="s">
        <v>20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2</v>
      </c>
      <c r="V242" s="1">
        <v>0</v>
      </c>
      <c r="W242" s="1">
        <v>0</v>
      </c>
      <c r="X242" s="1">
        <v>0</v>
      </c>
      <c r="Y242" s="1">
        <v>2</v>
      </c>
      <c r="Z242" s="1">
        <f>SUM(H242:Y242)</f>
        <v>4</v>
      </c>
      <c r="AA242" s="1">
        <f>SUMPRODUCT(H242:Y242,$H$16:$Y$16)</f>
        <v>3640</v>
      </c>
      <c r="AB242" s="1" t="s">
        <v>258</v>
      </c>
      <c r="AC242" s="1">
        <v>2.19</v>
      </c>
      <c r="AD242" s="9"/>
      <c r="AE242" s="1" t="s">
        <v>28</v>
      </c>
      <c r="AF242" s="1">
        <f>AC242</f>
        <v>2.19</v>
      </c>
      <c r="AG242" s="1">
        <v>2500</v>
      </c>
      <c r="AH242" s="1">
        <v>2500</v>
      </c>
      <c r="AI242" s="1">
        <v>10</v>
      </c>
      <c r="AK242" s="1" t="s">
        <v>173</v>
      </c>
      <c r="AL242" s="1" t="s">
        <v>172</v>
      </c>
      <c r="AM242" s="1" t="s">
        <v>171</v>
      </c>
      <c r="AN242" s="2" t="s">
        <v>170</v>
      </c>
      <c r="BO242" s="1">
        <f>SUM($AP242,$AQ242:AQ242)-SUM($CK242:CL242)</f>
        <v>0</v>
      </c>
      <c r="BP242" s="1">
        <f>SUM($AP242,$AQ242:AR242)-SUM($CK242:CM242)</f>
        <v>0</v>
      </c>
      <c r="BQ242" s="1">
        <f>SUM($AP242,$AQ242:AS242)-SUM($CK242:CN242)</f>
        <v>0</v>
      </c>
      <c r="BR242" s="1">
        <f>SUM($AP242,$AQ242:AT242)-SUM($CK242:CO242)</f>
        <v>-40</v>
      </c>
      <c r="BS242" s="1">
        <f>SUM($AP242,$AQ242:AU242)-SUM($CK242:CP242)</f>
        <v>-120</v>
      </c>
      <c r="BT242" s="1">
        <f>SUM($AP242,$AQ242:AV242)-SUM($CK242:CQ242)</f>
        <v>-240</v>
      </c>
      <c r="BU242" s="1">
        <f>SUM($AP242,$AQ242:AW242)-SUM($CK242:CR242)</f>
        <v>-400</v>
      </c>
      <c r="BV242" s="1">
        <f>SUM($AP242,$AQ242:AX242)-SUM($CK242:CS242)</f>
        <v>-600</v>
      </c>
      <c r="BW242" s="1">
        <f>SUM($AP242,$AQ242:AY242)-SUM($CK242:CT242)</f>
        <v>-840</v>
      </c>
      <c r="BX242" s="1">
        <f>SUM($AP242,$AQ242:AZ242)-SUM($CK242:CU242)</f>
        <v>-1120</v>
      </c>
      <c r="BY242" s="1">
        <f>SUM($AP242,$AQ242:BA242)-SUM($CK242:CV242)</f>
        <v>-1440</v>
      </c>
      <c r="BZ242" s="1">
        <f>SUM($AP242,$AQ242:BB242)-SUM($CK242:CW242)</f>
        <v>-1800</v>
      </c>
      <c r="CA242" s="1">
        <f>SUM($AP242,$AQ242:BC242)-SUM($CK242:CX242)</f>
        <v>-2200</v>
      </c>
      <c r="CB242" s="1">
        <f>SUM($AP242,$AQ242:BD242)-SUM($CK242:CY242)</f>
        <v>-2640</v>
      </c>
      <c r="CC242" s="1">
        <f>SUM($AP242,$AQ242:BE242)-SUM($CK242:CZ242)</f>
        <v>-3120</v>
      </c>
      <c r="CD242" s="1">
        <f>SUM($AP242,$AQ242:BF242)-SUM($CK242:DA242)</f>
        <v>-3640</v>
      </c>
      <c r="CE242" s="1">
        <f>SUM($AP242,$AQ242:BG242)-SUM($CK242:DB242)</f>
        <v>-3640</v>
      </c>
      <c r="CF242" s="1">
        <f>SUM($AP242,$AQ242:BH242)-SUM($CK242:DC242)</f>
        <v>-3640</v>
      </c>
      <c r="CG242" s="1">
        <f>SUM($AP242,$AQ242:BI242)-SUM($CK242:DD242)</f>
        <v>-3640</v>
      </c>
      <c r="CK242" s="1">
        <f t="array" ref="CK242">SUMPRODUCT($H242:$Y242,(TRANSPOSE(CK$2:CK$19)))</f>
        <v>0</v>
      </c>
      <c r="CL242" s="1">
        <f t="array" ref="CL242">SUMPRODUCT($H242:$Y242,(TRANSPOSE(CL$2:CL$19)))</f>
        <v>0</v>
      </c>
      <c r="CM242" s="1">
        <f t="array" ref="CM242">SUMPRODUCT($H242:$Y242,(TRANSPOSE(CM$2:CM$19)))</f>
        <v>0</v>
      </c>
      <c r="CN242" s="1">
        <f t="array" ref="CN242">SUMPRODUCT($H242:$Y242,(TRANSPOSE(CN$2:CN$19)))</f>
        <v>0</v>
      </c>
      <c r="CO242" s="1">
        <f t="array" ref="CO242">SUMPRODUCT($H242:$Y242,(TRANSPOSE(CO$2:CO$19)))</f>
        <v>40</v>
      </c>
      <c r="CP242" s="1">
        <f t="array" ref="CP242">SUMPRODUCT($H242:$Y242,(TRANSPOSE(CP$2:CP$19)))</f>
        <v>80</v>
      </c>
      <c r="CQ242" s="1">
        <f t="array" ref="CQ242">SUMPRODUCT($H242:$Y242,(TRANSPOSE(CQ$2:CQ$19)))</f>
        <v>120</v>
      </c>
      <c r="CR242" s="1">
        <f t="array" ref="CR242">SUMPRODUCT($H242:$Y242,(TRANSPOSE(CR$2:CR$19)))</f>
        <v>160</v>
      </c>
      <c r="CS242" s="1">
        <f t="array" ref="CS242">SUMPRODUCT($H242:$Y242,(TRANSPOSE(CS$2:CS$19)))</f>
        <v>200</v>
      </c>
      <c r="CT242" s="1">
        <f t="array" ref="CT242">SUMPRODUCT($H242:$Y242,(TRANSPOSE(CT$2:CT$19)))</f>
        <v>240</v>
      </c>
      <c r="CU242" s="1">
        <f t="array" ref="CU242">SUMPRODUCT($H242:$Y242,(TRANSPOSE(CU$2:CU$19)))</f>
        <v>280</v>
      </c>
      <c r="CV242" s="1">
        <f t="array" ref="CV242">SUMPRODUCT($H242:$Y242,(TRANSPOSE(CV$2:CV$19)))</f>
        <v>320</v>
      </c>
      <c r="CW242" s="1">
        <f t="array" ref="CW242">SUMPRODUCT($H242:$Y242,(TRANSPOSE(CW$2:CW$19)))</f>
        <v>360</v>
      </c>
      <c r="CX242" s="1">
        <f t="array" ref="CX242">SUMPRODUCT($H242:$Y242,(TRANSPOSE(CX$2:CX$19)))</f>
        <v>400</v>
      </c>
      <c r="CY242" s="1">
        <f t="array" ref="CY242">SUMPRODUCT($H242:$Y242,(TRANSPOSE(CY$2:CY$19)))</f>
        <v>440</v>
      </c>
      <c r="CZ242" s="1">
        <f t="array" ref="CZ242">SUMPRODUCT($H242:$Y242,(TRANSPOSE(CZ$2:CZ$19)))</f>
        <v>480</v>
      </c>
      <c r="DA242" s="1">
        <f t="array" ref="DA242">SUMPRODUCT($H242:$Y242,(TRANSPOSE(DA$2:DA$19)))</f>
        <v>520</v>
      </c>
      <c r="DB242" s="1">
        <f t="array" ref="DB242">SUMPRODUCT($H242:$Y242,(TRANSPOSE(DB$2:DB$19)))</f>
        <v>0</v>
      </c>
      <c r="DC242" s="1">
        <f t="array" ref="DC242">SUMPRODUCT($H242:$Y242,(TRANSPOSE(DC$2:DC$19)))</f>
        <v>0</v>
      </c>
      <c r="DD242" s="1">
        <f t="array" ref="DD242">SUMPRODUCT($H242:$Y242,(TRANSPOSE(DD$2:DD$19)))</f>
        <v>0</v>
      </c>
    </row>
    <row r="243" spans="1:108" x14ac:dyDescent="0.2">
      <c r="A243" s="1">
        <v>281</v>
      </c>
      <c r="B243" s="10" t="s">
        <v>257</v>
      </c>
      <c r="C243" s="1" t="s">
        <v>22</v>
      </c>
      <c r="D243" s="1">
        <v>400391792</v>
      </c>
      <c r="E243" s="1">
        <v>409377480</v>
      </c>
      <c r="F243" s="1" t="s">
        <v>256</v>
      </c>
      <c r="G243" s="1" t="s">
        <v>20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2</v>
      </c>
      <c r="U243" s="1">
        <v>0</v>
      </c>
      <c r="V243" s="1">
        <v>0</v>
      </c>
      <c r="W243" s="1">
        <v>0</v>
      </c>
      <c r="X243" s="1">
        <v>2</v>
      </c>
      <c r="Y243" s="1">
        <v>0</v>
      </c>
      <c r="Z243" s="1">
        <f>SUM(H243:Y243)</f>
        <v>4</v>
      </c>
      <c r="AA243" s="1">
        <f>SUMPRODUCT(H243:Y243,$H$16:$Y$16)</f>
        <v>3640</v>
      </c>
      <c r="AB243" s="1" t="s">
        <v>175</v>
      </c>
      <c r="AC243" s="1">
        <v>0.11600000000000001</v>
      </c>
      <c r="AD243" s="9"/>
      <c r="AE243" s="1" t="s">
        <v>174</v>
      </c>
      <c r="AF243" s="1">
        <f>AC243*1.1171</f>
        <v>0.12958359999999999</v>
      </c>
      <c r="AG243" s="1">
        <v>2500</v>
      </c>
      <c r="AH243" s="1">
        <v>2500</v>
      </c>
      <c r="AI243" s="1">
        <v>16</v>
      </c>
      <c r="AK243" s="1" t="s">
        <v>173</v>
      </c>
      <c r="AL243" s="1" t="s">
        <v>172</v>
      </c>
      <c r="AM243" s="1" t="s">
        <v>171</v>
      </c>
      <c r="AN243" s="2" t="s">
        <v>170</v>
      </c>
      <c r="BO243" s="1">
        <f>SUM($AP243,$AQ243:AQ243)-SUM($CK243:CL243)</f>
        <v>0</v>
      </c>
      <c r="BP243" s="1">
        <f>SUM($AP243,$AQ243:AR243)-SUM($CK243:CM243)</f>
        <v>0</v>
      </c>
      <c r="BQ243" s="1">
        <f>SUM($AP243,$AQ243:AS243)-SUM($CK243:CN243)</f>
        <v>0</v>
      </c>
      <c r="BR243" s="1">
        <f>SUM($AP243,$AQ243:AT243)-SUM($CK243:CO243)</f>
        <v>-40</v>
      </c>
      <c r="BS243" s="1">
        <f>SUM($AP243,$AQ243:AU243)-SUM($CK243:CP243)</f>
        <v>-120</v>
      </c>
      <c r="BT243" s="1">
        <f>SUM($AP243,$AQ243:AV243)-SUM($CK243:CQ243)</f>
        <v>-240</v>
      </c>
      <c r="BU243" s="1">
        <f>SUM($AP243,$AQ243:AW243)-SUM($CK243:CR243)</f>
        <v>-400</v>
      </c>
      <c r="BV243" s="1">
        <f>SUM($AP243,$AQ243:AX243)-SUM($CK243:CS243)</f>
        <v>-600</v>
      </c>
      <c r="BW243" s="1">
        <f>SUM($AP243,$AQ243:AY243)-SUM($CK243:CT243)</f>
        <v>-840</v>
      </c>
      <c r="BX243" s="1">
        <f>SUM($AP243,$AQ243:AZ243)-SUM($CK243:CU243)</f>
        <v>-1120</v>
      </c>
      <c r="BY243" s="1">
        <f>SUM($AP243,$AQ243:BA243)-SUM($CK243:CV243)</f>
        <v>-1440</v>
      </c>
      <c r="BZ243" s="1">
        <f>SUM($AP243,$AQ243:BB243)-SUM($CK243:CW243)</f>
        <v>-1800</v>
      </c>
      <c r="CA243" s="1">
        <f>SUM($AP243,$AQ243:BC243)-SUM($CK243:CX243)</f>
        <v>-2200</v>
      </c>
      <c r="CB243" s="1">
        <f>SUM($AP243,$AQ243:BD243)-SUM($CK243:CY243)</f>
        <v>-2640</v>
      </c>
      <c r="CC243" s="1">
        <f>SUM($AP243,$AQ243:BE243)-SUM($CK243:CZ243)</f>
        <v>-3120</v>
      </c>
      <c r="CD243" s="1">
        <f>SUM($AP243,$AQ243:BF243)-SUM($CK243:DA243)</f>
        <v>-3640</v>
      </c>
      <c r="CE243" s="1">
        <f>SUM($AP243,$AQ243:BG243)-SUM($CK243:DB243)</f>
        <v>-3640</v>
      </c>
      <c r="CF243" s="1">
        <f>SUM($AP243,$AQ243:BH243)-SUM($CK243:DC243)</f>
        <v>-3640</v>
      </c>
      <c r="CG243" s="1">
        <f>SUM($AP243,$AQ243:BI243)-SUM($CK243:DD243)</f>
        <v>-3640</v>
      </c>
      <c r="CK243" s="1">
        <f t="array" ref="CK243">SUMPRODUCT($H243:$Y243,(TRANSPOSE(CK$2:CK$19)))</f>
        <v>0</v>
      </c>
      <c r="CL243" s="1">
        <f t="array" ref="CL243">SUMPRODUCT($H243:$Y243,(TRANSPOSE(CL$2:CL$19)))</f>
        <v>0</v>
      </c>
      <c r="CM243" s="1">
        <f t="array" ref="CM243">SUMPRODUCT($H243:$Y243,(TRANSPOSE(CM$2:CM$19)))</f>
        <v>0</v>
      </c>
      <c r="CN243" s="1">
        <f t="array" ref="CN243">SUMPRODUCT($H243:$Y243,(TRANSPOSE(CN$2:CN$19)))</f>
        <v>0</v>
      </c>
      <c r="CO243" s="1">
        <f t="array" ref="CO243">SUMPRODUCT($H243:$Y243,(TRANSPOSE(CO$2:CO$19)))</f>
        <v>40</v>
      </c>
      <c r="CP243" s="1">
        <f t="array" ref="CP243">SUMPRODUCT($H243:$Y243,(TRANSPOSE(CP$2:CP$19)))</f>
        <v>80</v>
      </c>
      <c r="CQ243" s="1">
        <f t="array" ref="CQ243">SUMPRODUCT($H243:$Y243,(TRANSPOSE(CQ$2:CQ$19)))</f>
        <v>120</v>
      </c>
      <c r="CR243" s="1">
        <f t="array" ref="CR243">SUMPRODUCT($H243:$Y243,(TRANSPOSE(CR$2:CR$19)))</f>
        <v>160</v>
      </c>
      <c r="CS243" s="1">
        <f t="array" ref="CS243">SUMPRODUCT($H243:$Y243,(TRANSPOSE(CS$2:CS$19)))</f>
        <v>200</v>
      </c>
      <c r="CT243" s="1">
        <f t="array" ref="CT243">SUMPRODUCT($H243:$Y243,(TRANSPOSE(CT$2:CT$19)))</f>
        <v>240</v>
      </c>
      <c r="CU243" s="1">
        <f t="array" ref="CU243">SUMPRODUCT($H243:$Y243,(TRANSPOSE(CU$2:CU$19)))</f>
        <v>280</v>
      </c>
      <c r="CV243" s="1">
        <f t="array" ref="CV243">SUMPRODUCT($H243:$Y243,(TRANSPOSE(CV$2:CV$19)))</f>
        <v>320</v>
      </c>
      <c r="CW243" s="1">
        <f t="array" ref="CW243">SUMPRODUCT($H243:$Y243,(TRANSPOSE(CW$2:CW$19)))</f>
        <v>360</v>
      </c>
      <c r="CX243" s="1">
        <f t="array" ref="CX243">SUMPRODUCT($H243:$Y243,(TRANSPOSE(CX$2:CX$19)))</f>
        <v>400</v>
      </c>
      <c r="CY243" s="1">
        <f t="array" ref="CY243">SUMPRODUCT($H243:$Y243,(TRANSPOSE(CY$2:CY$19)))</f>
        <v>440</v>
      </c>
      <c r="CZ243" s="1">
        <f t="array" ref="CZ243">SUMPRODUCT($H243:$Y243,(TRANSPOSE(CZ$2:CZ$19)))</f>
        <v>480</v>
      </c>
      <c r="DA243" s="1">
        <f t="array" ref="DA243">SUMPRODUCT($H243:$Y243,(TRANSPOSE(DA$2:DA$19)))</f>
        <v>520</v>
      </c>
      <c r="DB243" s="1">
        <f t="array" ref="DB243">SUMPRODUCT($H243:$Y243,(TRANSPOSE(DB$2:DB$19)))</f>
        <v>0</v>
      </c>
      <c r="DC243" s="1">
        <f t="array" ref="DC243">SUMPRODUCT($H243:$Y243,(TRANSPOSE(DC$2:DC$19)))</f>
        <v>0</v>
      </c>
      <c r="DD243" s="1">
        <f t="array" ref="DD243">SUMPRODUCT($H243:$Y243,(TRANSPOSE(DD$2:DD$19)))</f>
        <v>0</v>
      </c>
    </row>
    <row r="244" spans="1:108" x14ac:dyDescent="0.2">
      <c r="A244" s="1">
        <v>282</v>
      </c>
      <c r="B244" s="10" t="s">
        <v>255</v>
      </c>
      <c r="C244" s="1" t="s">
        <v>22</v>
      </c>
      <c r="D244" s="1">
        <v>400149265</v>
      </c>
      <c r="F244" s="1" t="s">
        <v>254</v>
      </c>
      <c r="G244" s="1" t="s">
        <v>20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68</v>
      </c>
      <c r="U244" s="1">
        <v>30</v>
      </c>
      <c r="V244" s="1">
        <v>0</v>
      </c>
      <c r="W244" s="1">
        <v>0</v>
      </c>
      <c r="X244" s="1">
        <v>68</v>
      </c>
      <c r="Y244" s="1">
        <v>30</v>
      </c>
      <c r="Z244" s="1">
        <f>SUM(H244:Y244)</f>
        <v>196</v>
      </c>
      <c r="AA244" s="1">
        <f>SUMPRODUCT(H244:Y244,$H$16:$Y$16)</f>
        <v>178360</v>
      </c>
      <c r="AB244" s="1" t="s">
        <v>253</v>
      </c>
      <c r="AC244" s="1">
        <v>2.3199999999999998E-2</v>
      </c>
      <c r="AD244" s="9"/>
      <c r="AE244" s="1" t="s">
        <v>174</v>
      </c>
      <c r="AF244" s="1">
        <f>AC244*1.1171</f>
        <v>2.5916719999999997E-2</v>
      </c>
      <c r="AG244" s="1">
        <v>20000</v>
      </c>
      <c r="AH244" s="1">
        <v>20000</v>
      </c>
      <c r="AI244" s="1">
        <v>38</v>
      </c>
      <c r="AJ244" s="1" t="s">
        <v>156</v>
      </c>
      <c r="AK244" s="1" t="s">
        <v>252</v>
      </c>
      <c r="AN244" s="2"/>
      <c r="BO244" s="1">
        <f>SUM($AP244,$AQ244:AQ244)-SUM($CK244:CL244)</f>
        <v>0</v>
      </c>
      <c r="BP244" s="1">
        <f>SUM($AP244,$AQ244:AR244)-SUM($CK244:CM244)</f>
        <v>0</v>
      </c>
      <c r="BQ244" s="1">
        <f>SUM($AP244,$AQ244:AS244)-SUM($CK244:CN244)</f>
        <v>0</v>
      </c>
      <c r="BR244" s="1">
        <f>SUM($AP244,$AQ244:AT244)-SUM($CK244:CO244)</f>
        <v>-1960</v>
      </c>
      <c r="BS244" s="1">
        <f>SUM($AP244,$AQ244:AU244)-SUM($CK244:CP244)</f>
        <v>-5880</v>
      </c>
      <c r="BT244" s="1">
        <f>SUM($AP244,$AQ244:AV244)-SUM($CK244:CQ244)</f>
        <v>-11760</v>
      </c>
      <c r="BU244" s="1">
        <f>SUM($AP244,$AQ244:AW244)-SUM($CK244:CR244)</f>
        <v>-19600</v>
      </c>
      <c r="BV244" s="1">
        <f>SUM($AP244,$AQ244:AX244)-SUM($CK244:CS244)</f>
        <v>-29400</v>
      </c>
      <c r="BW244" s="1">
        <f>SUM($AP244,$AQ244:AY244)-SUM($CK244:CT244)</f>
        <v>-41160</v>
      </c>
      <c r="BX244" s="1">
        <f>SUM($AP244,$AQ244:AZ244)-SUM($CK244:CU244)</f>
        <v>-54880</v>
      </c>
      <c r="BY244" s="1">
        <f>SUM($AP244,$AQ244:BA244)-SUM($CK244:CV244)</f>
        <v>-70560</v>
      </c>
      <c r="BZ244" s="1">
        <f>SUM($AP244,$AQ244:BB244)-SUM($CK244:CW244)</f>
        <v>-88200</v>
      </c>
      <c r="CA244" s="1">
        <f>SUM($AP244,$AQ244:BC244)-SUM($CK244:CX244)</f>
        <v>-107800</v>
      </c>
      <c r="CB244" s="1">
        <f>SUM($AP244,$AQ244:BD244)-SUM($CK244:CY244)</f>
        <v>-129360</v>
      </c>
      <c r="CC244" s="1">
        <f>SUM($AP244,$AQ244:BE244)-SUM($CK244:CZ244)</f>
        <v>-152880</v>
      </c>
      <c r="CD244" s="1">
        <f>SUM($AP244,$AQ244:BF244)-SUM($CK244:DA244)</f>
        <v>-178360</v>
      </c>
      <c r="CE244" s="1">
        <f>SUM($AP244,$AQ244:BG244)-SUM($CK244:DB244)</f>
        <v>-178360</v>
      </c>
      <c r="CF244" s="1">
        <f>SUM($AP244,$AQ244:BH244)-SUM($CK244:DC244)</f>
        <v>-178360</v>
      </c>
      <c r="CG244" s="1">
        <f>SUM($AP244,$AQ244:BI244)-SUM($CK244:DD244)</f>
        <v>-178360</v>
      </c>
      <c r="CK244" s="1">
        <f t="array" ref="CK244">SUMPRODUCT($H244:$Y244,(TRANSPOSE(CK$2:CK$19)))</f>
        <v>0</v>
      </c>
      <c r="CL244" s="1">
        <f t="array" ref="CL244">SUMPRODUCT($H244:$Y244,(TRANSPOSE(CL$2:CL$19)))</f>
        <v>0</v>
      </c>
      <c r="CM244" s="1">
        <f t="array" ref="CM244">SUMPRODUCT($H244:$Y244,(TRANSPOSE(CM$2:CM$19)))</f>
        <v>0</v>
      </c>
      <c r="CN244" s="1">
        <f t="array" ref="CN244">SUMPRODUCT($H244:$Y244,(TRANSPOSE(CN$2:CN$19)))</f>
        <v>0</v>
      </c>
      <c r="CO244" s="1">
        <f t="array" ref="CO244">SUMPRODUCT($H244:$Y244,(TRANSPOSE(CO$2:CO$19)))</f>
        <v>1960</v>
      </c>
      <c r="CP244" s="1">
        <f t="array" ref="CP244">SUMPRODUCT($H244:$Y244,(TRANSPOSE(CP$2:CP$19)))</f>
        <v>3920</v>
      </c>
      <c r="CQ244" s="1">
        <f t="array" ref="CQ244">SUMPRODUCT($H244:$Y244,(TRANSPOSE(CQ$2:CQ$19)))</f>
        <v>5880</v>
      </c>
      <c r="CR244" s="1">
        <f t="array" ref="CR244">SUMPRODUCT($H244:$Y244,(TRANSPOSE(CR$2:CR$19)))</f>
        <v>7840</v>
      </c>
      <c r="CS244" s="1">
        <f t="array" ref="CS244">SUMPRODUCT($H244:$Y244,(TRANSPOSE(CS$2:CS$19)))</f>
        <v>9800</v>
      </c>
      <c r="CT244" s="1">
        <f t="array" ref="CT244">SUMPRODUCT($H244:$Y244,(TRANSPOSE(CT$2:CT$19)))</f>
        <v>11760</v>
      </c>
      <c r="CU244" s="1">
        <f t="array" ref="CU244">SUMPRODUCT($H244:$Y244,(TRANSPOSE(CU$2:CU$19)))</f>
        <v>13720</v>
      </c>
      <c r="CV244" s="1">
        <f t="array" ref="CV244">SUMPRODUCT($H244:$Y244,(TRANSPOSE(CV$2:CV$19)))</f>
        <v>15680</v>
      </c>
      <c r="CW244" s="1">
        <f t="array" ref="CW244">SUMPRODUCT($H244:$Y244,(TRANSPOSE(CW$2:CW$19)))</f>
        <v>17640</v>
      </c>
      <c r="CX244" s="1">
        <f t="array" ref="CX244">SUMPRODUCT($H244:$Y244,(TRANSPOSE(CX$2:CX$19)))</f>
        <v>19600</v>
      </c>
      <c r="CY244" s="1">
        <f t="array" ref="CY244">SUMPRODUCT($H244:$Y244,(TRANSPOSE(CY$2:CY$19)))</f>
        <v>21560</v>
      </c>
      <c r="CZ244" s="1">
        <f t="array" ref="CZ244">SUMPRODUCT($H244:$Y244,(TRANSPOSE(CZ$2:CZ$19)))</f>
        <v>23520</v>
      </c>
      <c r="DA244" s="1">
        <f t="array" ref="DA244">SUMPRODUCT($H244:$Y244,(TRANSPOSE(DA$2:DA$19)))</f>
        <v>25480</v>
      </c>
      <c r="DB244" s="1">
        <f t="array" ref="DB244">SUMPRODUCT($H244:$Y244,(TRANSPOSE(DB$2:DB$19)))</f>
        <v>0</v>
      </c>
      <c r="DC244" s="1">
        <f t="array" ref="DC244">SUMPRODUCT($H244:$Y244,(TRANSPOSE(DC$2:DC$19)))</f>
        <v>0</v>
      </c>
      <c r="DD244" s="1">
        <f t="array" ref="DD244">SUMPRODUCT($H244:$Y244,(TRANSPOSE(DD$2:DD$19)))</f>
        <v>0</v>
      </c>
    </row>
    <row r="245" spans="1:108" x14ac:dyDescent="0.2">
      <c r="A245" s="1">
        <v>283</v>
      </c>
      <c r="B245" s="10" t="s">
        <v>251</v>
      </c>
      <c r="C245" s="1" t="s">
        <v>22</v>
      </c>
      <c r="D245" s="1">
        <v>400054690</v>
      </c>
      <c r="F245" s="1" t="s">
        <v>250</v>
      </c>
      <c r="G245" s="1" t="s">
        <v>20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68</v>
      </c>
      <c r="U245" s="1">
        <v>0</v>
      </c>
      <c r="V245" s="1">
        <v>0</v>
      </c>
      <c r="W245" s="1">
        <v>0</v>
      </c>
      <c r="X245" s="1">
        <v>68</v>
      </c>
      <c r="Y245" s="1">
        <v>0</v>
      </c>
      <c r="Z245" s="1">
        <f>SUM(H245:Y245)</f>
        <v>136</v>
      </c>
      <c r="AA245" s="1">
        <f>SUMPRODUCT(H245:Y245,$H$16:$Y$16)</f>
        <v>123760</v>
      </c>
      <c r="AB245" s="1" t="s">
        <v>175</v>
      </c>
      <c r="AC245" s="1">
        <v>1.2999999999999999E-2</v>
      </c>
      <c r="AD245" s="9"/>
      <c r="AE245" s="1" t="s">
        <v>174</v>
      </c>
      <c r="AF245" s="1">
        <f>AC245*1.1171</f>
        <v>1.4522299999999998E-2</v>
      </c>
      <c r="AG245" s="1">
        <v>36000</v>
      </c>
      <c r="AH245" s="1">
        <v>36000</v>
      </c>
      <c r="AI245" s="1">
        <v>21</v>
      </c>
      <c r="AK245" s="1" t="s">
        <v>173</v>
      </c>
      <c r="AL245" s="1" t="s">
        <v>172</v>
      </c>
      <c r="AM245" s="1" t="s">
        <v>171</v>
      </c>
      <c r="AN245" s="2" t="s">
        <v>170</v>
      </c>
      <c r="BO245" s="1">
        <f>SUM($AP245,$AQ245:AQ245)-SUM($CK245:CL245)</f>
        <v>0</v>
      </c>
      <c r="BP245" s="1">
        <f>SUM($AP245,$AQ245:AR245)-SUM($CK245:CM245)</f>
        <v>0</v>
      </c>
      <c r="BQ245" s="1">
        <f>SUM($AP245,$AQ245:AS245)-SUM($CK245:CN245)</f>
        <v>0</v>
      </c>
      <c r="BR245" s="1">
        <f>SUM($AP245,$AQ245:AT245)-SUM($CK245:CO245)</f>
        <v>-1360</v>
      </c>
      <c r="BS245" s="1">
        <f>SUM($AP245,$AQ245:AU245)-SUM($CK245:CP245)</f>
        <v>-4080</v>
      </c>
      <c r="BT245" s="1">
        <f>SUM($AP245,$AQ245:AV245)-SUM($CK245:CQ245)</f>
        <v>-8160</v>
      </c>
      <c r="BU245" s="1">
        <f>SUM($AP245,$AQ245:AW245)-SUM($CK245:CR245)</f>
        <v>-13600</v>
      </c>
      <c r="BV245" s="1">
        <f>SUM($AP245,$AQ245:AX245)-SUM($CK245:CS245)</f>
        <v>-20400</v>
      </c>
      <c r="BW245" s="1">
        <f>SUM($AP245,$AQ245:AY245)-SUM($CK245:CT245)</f>
        <v>-28560</v>
      </c>
      <c r="BX245" s="1">
        <f>SUM($AP245,$AQ245:AZ245)-SUM($CK245:CU245)</f>
        <v>-38080</v>
      </c>
      <c r="BY245" s="1">
        <f>SUM($AP245,$AQ245:BA245)-SUM($CK245:CV245)</f>
        <v>-48960</v>
      </c>
      <c r="BZ245" s="1">
        <f>SUM($AP245,$AQ245:BB245)-SUM($CK245:CW245)</f>
        <v>-61200</v>
      </c>
      <c r="CA245" s="1">
        <f>SUM($AP245,$AQ245:BC245)-SUM($CK245:CX245)</f>
        <v>-74800</v>
      </c>
      <c r="CB245" s="1">
        <f>SUM($AP245,$AQ245:BD245)-SUM($CK245:CY245)</f>
        <v>-89760</v>
      </c>
      <c r="CC245" s="1">
        <f>SUM($AP245,$AQ245:BE245)-SUM($CK245:CZ245)</f>
        <v>-106080</v>
      </c>
      <c r="CD245" s="1">
        <f>SUM($AP245,$AQ245:BF245)-SUM($CK245:DA245)</f>
        <v>-123760</v>
      </c>
      <c r="CE245" s="1">
        <f>SUM($AP245,$AQ245:BG245)-SUM($CK245:DB245)</f>
        <v>-123760</v>
      </c>
      <c r="CF245" s="1">
        <f>SUM($AP245,$AQ245:BH245)-SUM($CK245:DC245)</f>
        <v>-123760</v>
      </c>
      <c r="CG245" s="1">
        <f>SUM($AP245,$AQ245:BI245)-SUM($CK245:DD245)</f>
        <v>-123760</v>
      </c>
      <c r="CK245" s="1">
        <f t="array" ref="CK245">SUMPRODUCT($H245:$Y245,(TRANSPOSE(CK$2:CK$19)))</f>
        <v>0</v>
      </c>
      <c r="CL245" s="1">
        <f t="array" ref="CL245">SUMPRODUCT($H245:$Y245,(TRANSPOSE(CL$2:CL$19)))</f>
        <v>0</v>
      </c>
      <c r="CM245" s="1">
        <f t="array" ref="CM245">SUMPRODUCT($H245:$Y245,(TRANSPOSE(CM$2:CM$19)))</f>
        <v>0</v>
      </c>
      <c r="CN245" s="1">
        <f t="array" ref="CN245">SUMPRODUCT($H245:$Y245,(TRANSPOSE(CN$2:CN$19)))</f>
        <v>0</v>
      </c>
      <c r="CO245" s="1">
        <f t="array" ref="CO245">SUMPRODUCT($H245:$Y245,(TRANSPOSE(CO$2:CO$19)))</f>
        <v>1360</v>
      </c>
      <c r="CP245" s="1">
        <f t="array" ref="CP245">SUMPRODUCT($H245:$Y245,(TRANSPOSE(CP$2:CP$19)))</f>
        <v>2720</v>
      </c>
      <c r="CQ245" s="1">
        <f t="array" ref="CQ245">SUMPRODUCT($H245:$Y245,(TRANSPOSE(CQ$2:CQ$19)))</f>
        <v>4080</v>
      </c>
      <c r="CR245" s="1">
        <f t="array" ref="CR245">SUMPRODUCT($H245:$Y245,(TRANSPOSE(CR$2:CR$19)))</f>
        <v>5440</v>
      </c>
      <c r="CS245" s="1">
        <f t="array" ref="CS245">SUMPRODUCT($H245:$Y245,(TRANSPOSE(CS$2:CS$19)))</f>
        <v>6800</v>
      </c>
      <c r="CT245" s="1">
        <f t="array" ref="CT245">SUMPRODUCT($H245:$Y245,(TRANSPOSE(CT$2:CT$19)))</f>
        <v>8160</v>
      </c>
      <c r="CU245" s="1">
        <f t="array" ref="CU245">SUMPRODUCT($H245:$Y245,(TRANSPOSE(CU$2:CU$19)))</f>
        <v>9520</v>
      </c>
      <c r="CV245" s="1">
        <f t="array" ref="CV245">SUMPRODUCT($H245:$Y245,(TRANSPOSE(CV$2:CV$19)))</f>
        <v>10880</v>
      </c>
      <c r="CW245" s="1">
        <f t="array" ref="CW245">SUMPRODUCT($H245:$Y245,(TRANSPOSE(CW$2:CW$19)))</f>
        <v>12240</v>
      </c>
      <c r="CX245" s="1">
        <f t="array" ref="CX245">SUMPRODUCT($H245:$Y245,(TRANSPOSE(CX$2:CX$19)))</f>
        <v>13600</v>
      </c>
      <c r="CY245" s="1">
        <f t="array" ref="CY245">SUMPRODUCT($H245:$Y245,(TRANSPOSE(CY$2:CY$19)))</f>
        <v>14960</v>
      </c>
      <c r="CZ245" s="1">
        <f t="array" ref="CZ245">SUMPRODUCT($H245:$Y245,(TRANSPOSE(CZ$2:CZ$19)))</f>
        <v>16320</v>
      </c>
      <c r="DA245" s="1">
        <f t="array" ref="DA245">SUMPRODUCT($H245:$Y245,(TRANSPOSE(DA$2:DA$19)))</f>
        <v>17680</v>
      </c>
      <c r="DB245" s="1">
        <f t="array" ref="DB245">SUMPRODUCT($H245:$Y245,(TRANSPOSE(DB$2:DB$19)))</f>
        <v>0</v>
      </c>
      <c r="DC245" s="1">
        <f t="array" ref="DC245">SUMPRODUCT($H245:$Y245,(TRANSPOSE(DC$2:DC$19)))</f>
        <v>0</v>
      </c>
      <c r="DD245" s="1">
        <f t="array" ref="DD245">SUMPRODUCT($H245:$Y245,(TRANSPOSE(DD$2:DD$19)))</f>
        <v>0</v>
      </c>
    </row>
    <row r="246" spans="1:108" x14ac:dyDescent="0.2">
      <c r="A246" s="1">
        <v>284</v>
      </c>
      <c r="B246" s="10" t="s">
        <v>249</v>
      </c>
      <c r="C246" s="1" t="s">
        <v>22</v>
      </c>
      <c r="D246" s="1">
        <v>400068581</v>
      </c>
      <c r="E246" s="1">
        <v>400856511</v>
      </c>
      <c r="F246" s="1" t="s">
        <v>248</v>
      </c>
      <c r="G246" s="1" t="s">
        <v>20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2</v>
      </c>
      <c r="U246" s="1">
        <v>0</v>
      </c>
      <c r="V246" s="1">
        <v>0</v>
      </c>
      <c r="W246" s="1">
        <v>0</v>
      </c>
      <c r="X246" s="1">
        <v>2</v>
      </c>
      <c r="Y246" s="1">
        <v>0</v>
      </c>
      <c r="Z246" s="1">
        <f>SUM(H246:Y246)</f>
        <v>4</v>
      </c>
      <c r="AA246" s="1">
        <f>SUMPRODUCT(H246:Y246,$H$16:$Y$16)</f>
        <v>3640</v>
      </c>
      <c r="AB246" s="1" t="s">
        <v>175</v>
      </c>
      <c r="AC246" s="1">
        <v>1.6799999999999999E-2</v>
      </c>
      <c r="AD246" s="9"/>
      <c r="AE246" s="1" t="s">
        <v>174</v>
      </c>
      <c r="AF246" s="1">
        <f>AC246*1.1171</f>
        <v>1.8767279999999997E-2</v>
      </c>
      <c r="AG246" s="1">
        <v>3000</v>
      </c>
      <c r="AH246" s="1">
        <v>3000</v>
      </c>
      <c r="AI246" s="1">
        <v>11</v>
      </c>
      <c r="AK246" s="1" t="s">
        <v>173</v>
      </c>
      <c r="AL246" s="1" t="s">
        <v>172</v>
      </c>
      <c r="AM246" s="1" t="s">
        <v>171</v>
      </c>
      <c r="AN246" s="2" t="s">
        <v>170</v>
      </c>
      <c r="BO246" s="1">
        <f>SUM($AP246,$AQ246:AQ246)-SUM($CK246:CL246)</f>
        <v>0</v>
      </c>
      <c r="BP246" s="1">
        <f>SUM($AP246,$AQ246:AR246)-SUM($CK246:CM246)</f>
        <v>0</v>
      </c>
      <c r="BQ246" s="1">
        <f>SUM($AP246,$AQ246:AS246)-SUM($CK246:CN246)</f>
        <v>0</v>
      </c>
      <c r="BR246" s="1">
        <f>SUM($AP246,$AQ246:AT246)-SUM($CK246:CO246)</f>
        <v>-40</v>
      </c>
      <c r="BS246" s="1">
        <f>SUM($AP246,$AQ246:AU246)-SUM($CK246:CP246)</f>
        <v>-120</v>
      </c>
      <c r="BT246" s="1">
        <f>SUM($AP246,$AQ246:AV246)-SUM($CK246:CQ246)</f>
        <v>-240</v>
      </c>
      <c r="BU246" s="1">
        <f>SUM($AP246,$AQ246:AW246)-SUM($CK246:CR246)</f>
        <v>-400</v>
      </c>
      <c r="BV246" s="1">
        <f>SUM($AP246,$AQ246:AX246)-SUM($CK246:CS246)</f>
        <v>-600</v>
      </c>
      <c r="BW246" s="1">
        <f>SUM($AP246,$AQ246:AY246)-SUM($CK246:CT246)</f>
        <v>-840</v>
      </c>
      <c r="BX246" s="1">
        <f>SUM($AP246,$AQ246:AZ246)-SUM($CK246:CU246)</f>
        <v>-1120</v>
      </c>
      <c r="BY246" s="1">
        <f>SUM($AP246,$AQ246:BA246)-SUM($CK246:CV246)</f>
        <v>-1440</v>
      </c>
      <c r="BZ246" s="1">
        <f>SUM($AP246,$AQ246:BB246)-SUM($CK246:CW246)</f>
        <v>-1800</v>
      </c>
      <c r="CA246" s="1">
        <f>SUM($AP246,$AQ246:BC246)-SUM($CK246:CX246)</f>
        <v>-2200</v>
      </c>
      <c r="CB246" s="1">
        <f>SUM($AP246,$AQ246:BD246)-SUM($CK246:CY246)</f>
        <v>-2640</v>
      </c>
      <c r="CC246" s="1">
        <f>SUM($AP246,$AQ246:BE246)-SUM($CK246:CZ246)</f>
        <v>-3120</v>
      </c>
      <c r="CD246" s="1">
        <f>SUM($AP246,$AQ246:BF246)-SUM($CK246:DA246)</f>
        <v>-3640</v>
      </c>
      <c r="CE246" s="1">
        <f>SUM($AP246,$AQ246:BG246)-SUM($CK246:DB246)</f>
        <v>-3640</v>
      </c>
      <c r="CF246" s="1">
        <f>SUM($AP246,$AQ246:BH246)-SUM($CK246:DC246)</f>
        <v>-3640</v>
      </c>
      <c r="CG246" s="1">
        <f>SUM($AP246,$AQ246:BI246)-SUM($CK246:DD246)</f>
        <v>-3640</v>
      </c>
      <c r="CK246" s="1">
        <f t="array" ref="CK246">SUMPRODUCT($H246:$Y246,(TRANSPOSE(CK$2:CK$19)))</f>
        <v>0</v>
      </c>
      <c r="CL246" s="1">
        <f t="array" ref="CL246">SUMPRODUCT($H246:$Y246,(TRANSPOSE(CL$2:CL$19)))</f>
        <v>0</v>
      </c>
      <c r="CM246" s="1">
        <f t="array" ref="CM246">SUMPRODUCT($H246:$Y246,(TRANSPOSE(CM$2:CM$19)))</f>
        <v>0</v>
      </c>
      <c r="CN246" s="1">
        <f t="array" ref="CN246">SUMPRODUCT($H246:$Y246,(TRANSPOSE(CN$2:CN$19)))</f>
        <v>0</v>
      </c>
      <c r="CO246" s="1">
        <f t="array" ref="CO246">SUMPRODUCT($H246:$Y246,(TRANSPOSE(CO$2:CO$19)))</f>
        <v>40</v>
      </c>
      <c r="CP246" s="1">
        <f t="array" ref="CP246">SUMPRODUCT($H246:$Y246,(TRANSPOSE(CP$2:CP$19)))</f>
        <v>80</v>
      </c>
      <c r="CQ246" s="1">
        <f t="array" ref="CQ246">SUMPRODUCT($H246:$Y246,(TRANSPOSE(CQ$2:CQ$19)))</f>
        <v>120</v>
      </c>
      <c r="CR246" s="1">
        <f t="array" ref="CR246">SUMPRODUCT($H246:$Y246,(TRANSPOSE(CR$2:CR$19)))</f>
        <v>160</v>
      </c>
      <c r="CS246" s="1">
        <f t="array" ref="CS246">SUMPRODUCT($H246:$Y246,(TRANSPOSE(CS$2:CS$19)))</f>
        <v>200</v>
      </c>
      <c r="CT246" s="1">
        <f t="array" ref="CT246">SUMPRODUCT($H246:$Y246,(TRANSPOSE(CT$2:CT$19)))</f>
        <v>240</v>
      </c>
      <c r="CU246" s="1">
        <f t="array" ref="CU246">SUMPRODUCT($H246:$Y246,(TRANSPOSE(CU$2:CU$19)))</f>
        <v>280</v>
      </c>
      <c r="CV246" s="1">
        <f t="array" ref="CV246">SUMPRODUCT($H246:$Y246,(TRANSPOSE(CV$2:CV$19)))</f>
        <v>320</v>
      </c>
      <c r="CW246" s="1">
        <f t="array" ref="CW246">SUMPRODUCT($H246:$Y246,(TRANSPOSE(CW$2:CW$19)))</f>
        <v>360</v>
      </c>
      <c r="CX246" s="1">
        <f t="array" ref="CX246">SUMPRODUCT($H246:$Y246,(TRANSPOSE(CX$2:CX$19)))</f>
        <v>400</v>
      </c>
      <c r="CY246" s="1">
        <f t="array" ref="CY246">SUMPRODUCT($H246:$Y246,(TRANSPOSE(CY$2:CY$19)))</f>
        <v>440</v>
      </c>
      <c r="CZ246" s="1">
        <f t="array" ref="CZ246">SUMPRODUCT($H246:$Y246,(TRANSPOSE(CZ$2:CZ$19)))</f>
        <v>480</v>
      </c>
      <c r="DA246" s="1">
        <f t="array" ref="DA246">SUMPRODUCT($H246:$Y246,(TRANSPOSE(DA$2:DA$19)))</f>
        <v>520</v>
      </c>
      <c r="DB246" s="1">
        <f t="array" ref="DB246">SUMPRODUCT($H246:$Y246,(TRANSPOSE(DB$2:DB$19)))</f>
        <v>0</v>
      </c>
      <c r="DC246" s="1">
        <f t="array" ref="DC246">SUMPRODUCT($H246:$Y246,(TRANSPOSE(DC$2:DC$19)))</f>
        <v>0</v>
      </c>
      <c r="DD246" s="1">
        <f t="array" ref="DD246">SUMPRODUCT($H246:$Y246,(TRANSPOSE(DD$2:DD$19)))</f>
        <v>0</v>
      </c>
    </row>
    <row r="247" spans="1:108" x14ac:dyDescent="0.2">
      <c r="A247" s="1">
        <v>285</v>
      </c>
      <c r="B247" s="10" t="s">
        <v>247</v>
      </c>
      <c r="C247" s="1" t="s">
        <v>22</v>
      </c>
      <c r="D247" s="1">
        <v>424084749</v>
      </c>
      <c r="E247" s="1">
        <v>424101102</v>
      </c>
      <c r="F247" s="1" t="s">
        <v>246</v>
      </c>
      <c r="G247" s="1" t="s">
        <v>20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26</v>
      </c>
      <c r="V247" s="1">
        <v>0</v>
      </c>
      <c r="W247" s="1">
        <v>0</v>
      </c>
      <c r="X247" s="1">
        <v>0</v>
      </c>
      <c r="Y247" s="1">
        <v>26</v>
      </c>
      <c r="Z247" s="1">
        <f>SUM(H247:Y247)</f>
        <v>52</v>
      </c>
      <c r="AA247" s="1">
        <f>SUMPRODUCT(H247:Y247,$H$16:$Y$16)</f>
        <v>47320</v>
      </c>
      <c r="AB247" s="1" t="s">
        <v>245</v>
      </c>
      <c r="AC247" s="1">
        <v>1.06E-2</v>
      </c>
      <c r="AD247" s="9"/>
      <c r="AE247" s="1" t="s">
        <v>174</v>
      </c>
      <c r="AF247" s="1">
        <f>AC247*1.1171</f>
        <v>1.1841259999999999E-2</v>
      </c>
      <c r="AG247" s="1">
        <v>3000</v>
      </c>
      <c r="AH247" s="1">
        <v>3000</v>
      </c>
      <c r="AI247" s="1">
        <v>8</v>
      </c>
      <c r="AK247" s="1" t="s">
        <v>173</v>
      </c>
      <c r="AL247" s="1" t="s">
        <v>172</v>
      </c>
      <c r="AM247" s="1" t="s">
        <v>171</v>
      </c>
      <c r="AN247" s="2" t="s">
        <v>170</v>
      </c>
      <c r="BO247" s="1">
        <f>SUM($AP247,$AQ247:AQ247)-SUM($CK247:CL247)</f>
        <v>0</v>
      </c>
      <c r="BP247" s="1">
        <f>SUM($AP247,$AQ247:AR247)-SUM($CK247:CM247)</f>
        <v>0</v>
      </c>
      <c r="BQ247" s="1">
        <f>SUM($AP247,$AQ247:AS247)-SUM($CK247:CN247)</f>
        <v>0</v>
      </c>
      <c r="BR247" s="1">
        <f>SUM($AP247,$AQ247:AT247)-SUM($CK247:CO247)</f>
        <v>-520</v>
      </c>
      <c r="BS247" s="1">
        <f>SUM($AP247,$AQ247:AU247)-SUM($CK247:CP247)</f>
        <v>-1560</v>
      </c>
      <c r="BT247" s="1">
        <f>SUM($AP247,$AQ247:AV247)-SUM($CK247:CQ247)</f>
        <v>-3120</v>
      </c>
      <c r="BU247" s="1">
        <f>SUM($AP247,$AQ247:AW247)-SUM($CK247:CR247)</f>
        <v>-5200</v>
      </c>
      <c r="BV247" s="1">
        <f>SUM($AP247,$AQ247:AX247)-SUM($CK247:CS247)</f>
        <v>-7800</v>
      </c>
      <c r="BW247" s="1">
        <f>SUM($AP247,$AQ247:AY247)-SUM($CK247:CT247)</f>
        <v>-10920</v>
      </c>
      <c r="BX247" s="1">
        <f>SUM($AP247,$AQ247:AZ247)-SUM($CK247:CU247)</f>
        <v>-14560</v>
      </c>
      <c r="BY247" s="1">
        <f>SUM($AP247,$AQ247:BA247)-SUM($CK247:CV247)</f>
        <v>-18720</v>
      </c>
      <c r="BZ247" s="1">
        <f>SUM($AP247,$AQ247:BB247)-SUM($CK247:CW247)</f>
        <v>-23400</v>
      </c>
      <c r="CA247" s="1">
        <f>SUM($AP247,$AQ247:BC247)-SUM($CK247:CX247)</f>
        <v>-28600</v>
      </c>
      <c r="CB247" s="1">
        <f>SUM($AP247,$AQ247:BD247)-SUM($CK247:CY247)</f>
        <v>-34320</v>
      </c>
      <c r="CC247" s="1">
        <f>SUM($AP247,$AQ247:BE247)-SUM($CK247:CZ247)</f>
        <v>-40560</v>
      </c>
      <c r="CD247" s="1">
        <f>SUM($AP247,$AQ247:BF247)-SUM($CK247:DA247)</f>
        <v>-47320</v>
      </c>
      <c r="CE247" s="1">
        <f>SUM($AP247,$AQ247:BG247)-SUM($CK247:DB247)</f>
        <v>-47320</v>
      </c>
      <c r="CF247" s="1">
        <f>SUM($AP247,$AQ247:BH247)-SUM($CK247:DC247)</f>
        <v>-47320</v>
      </c>
      <c r="CG247" s="1">
        <f>SUM($AP247,$AQ247:BI247)-SUM($CK247:DD247)</f>
        <v>-47320</v>
      </c>
      <c r="CK247" s="1">
        <f t="array" ref="CK247">SUMPRODUCT($H247:$Y247,(TRANSPOSE(CK$2:CK$19)))</f>
        <v>0</v>
      </c>
      <c r="CL247" s="1">
        <f t="array" ref="CL247">SUMPRODUCT($H247:$Y247,(TRANSPOSE(CL$2:CL$19)))</f>
        <v>0</v>
      </c>
      <c r="CM247" s="1">
        <f t="array" ref="CM247">SUMPRODUCT($H247:$Y247,(TRANSPOSE(CM$2:CM$19)))</f>
        <v>0</v>
      </c>
      <c r="CN247" s="1">
        <f t="array" ref="CN247">SUMPRODUCT($H247:$Y247,(TRANSPOSE(CN$2:CN$19)))</f>
        <v>0</v>
      </c>
      <c r="CO247" s="1">
        <f t="array" ref="CO247">SUMPRODUCT($H247:$Y247,(TRANSPOSE(CO$2:CO$19)))</f>
        <v>520</v>
      </c>
      <c r="CP247" s="1">
        <f t="array" ref="CP247">SUMPRODUCT($H247:$Y247,(TRANSPOSE(CP$2:CP$19)))</f>
        <v>1040</v>
      </c>
      <c r="CQ247" s="1">
        <f t="array" ref="CQ247">SUMPRODUCT($H247:$Y247,(TRANSPOSE(CQ$2:CQ$19)))</f>
        <v>1560</v>
      </c>
      <c r="CR247" s="1">
        <f t="array" ref="CR247">SUMPRODUCT($H247:$Y247,(TRANSPOSE(CR$2:CR$19)))</f>
        <v>2080</v>
      </c>
      <c r="CS247" s="1">
        <f t="array" ref="CS247">SUMPRODUCT($H247:$Y247,(TRANSPOSE(CS$2:CS$19)))</f>
        <v>2600</v>
      </c>
      <c r="CT247" s="1">
        <f t="array" ref="CT247">SUMPRODUCT($H247:$Y247,(TRANSPOSE(CT$2:CT$19)))</f>
        <v>3120</v>
      </c>
      <c r="CU247" s="1">
        <f t="array" ref="CU247">SUMPRODUCT($H247:$Y247,(TRANSPOSE(CU$2:CU$19)))</f>
        <v>3640</v>
      </c>
      <c r="CV247" s="1">
        <f t="array" ref="CV247">SUMPRODUCT($H247:$Y247,(TRANSPOSE(CV$2:CV$19)))</f>
        <v>4160</v>
      </c>
      <c r="CW247" s="1">
        <f t="array" ref="CW247">SUMPRODUCT($H247:$Y247,(TRANSPOSE(CW$2:CW$19)))</f>
        <v>4680</v>
      </c>
      <c r="CX247" s="1">
        <f t="array" ref="CX247">SUMPRODUCT($H247:$Y247,(TRANSPOSE(CX$2:CX$19)))</f>
        <v>5200</v>
      </c>
      <c r="CY247" s="1">
        <f t="array" ref="CY247">SUMPRODUCT($H247:$Y247,(TRANSPOSE(CY$2:CY$19)))</f>
        <v>5720</v>
      </c>
      <c r="CZ247" s="1">
        <f t="array" ref="CZ247">SUMPRODUCT($H247:$Y247,(TRANSPOSE(CZ$2:CZ$19)))</f>
        <v>6240</v>
      </c>
      <c r="DA247" s="1">
        <f t="array" ref="DA247">SUMPRODUCT($H247:$Y247,(TRANSPOSE(DA$2:DA$19)))</f>
        <v>6760</v>
      </c>
      <c r="DB247" s="1">
        <f t="array" ref="DB247">SUMPRODUCT($H247:$Y247,(TRANSPOSE(DB$2:DB$19)))</f>
        <v>0</v>
      </c>
      <c r="DC247" s="1">
        <f t="array" ref="DC247">SUMPRODUCT($H247:$Y247,(TRANSPOSE(DC$2:DC$19)))</f>
        <v>0</v>
      </c>
      <c r="DD247" s="1">
        <f t="array" ref="DD247">SUMPRODUCT($H247:$Y247,(TRANSPOSE(DD$2:DD$19)))</f>
        <v>0</v>
      </c>
    </row>
    <row r="248" spans="1:108" x14ac:dyDescent="0.2">
      <c r="A248" s="1">
        <v>286</v>
      </c>
      <c r="B248" s="10" t="s">
        <v>244</v>
      </c>
      <c r="C248" s="1" t="s">
        <v>22</v>
      </c>
      <c r="D248" s="1">
        <v>400280614</v>
      </c>
      <c r="E248" s="1">
        <v>400481611</v>
      </c>
      <c r="F248" s="1" t="s">
        <v>243</v>
      </c>
      <c r="G248" s="1" t="s">
        <v>20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70</v>
      </c>
      <c r="U248" s="1">
        <v>0</v>
      </c>
      <c r="V248" s="1">
        <v>0</v>
      </c>
      <c r="W248" s="1">
        <v>0</v>
      </c>
      <c r="X248" s="1">
        <v>70</v>
      </c>
      <c r="Y248" s="1">
        <v>0</v>
      </c>
      <c r="Z248" s="1">
        <f>SUM(H248:Y248)</f>
        <v>140</v>
      </c>
      <c r="AA248" s="1">
        <f>SUMPRODUCT(H248:Y248,$H$16:$Y$16)</f>
        <v>127400</v>
      </c>
      <c r="AB248" s="1" t="s">
        <v>175</v>
      </c>
      <c r="AC248" s="1">
        <v>8.8999999999999999E-3</v>
      </c>
      <c r="AD248" s="9"/>
      <c r="AE248" s="1" t="s">
        <v>174</v>
      </c>
      <c r="AF248" s="1">
        <f>AC248*1.1171</f>
        <v>9.9421900000000001E-3</v>
      </c>
      <c r="AG248" s="1">
        <v>51000</v>
      </c>
      <c r="AH248" s="1">
        <v>51000</v>
      </c>
      <c r="AI248" s="1">
        <v>12</v>
      </c>
      <c r="AK248" s="1" t="s">
        <v>173</v>
      </c>
      <c r="AL248" s="1" t="s">
        <v>172</v>
      </c>
      <c r="AM248" s="1" t="s">
        <v>171</v>
      </c>
      <c r="AN248" s="2" t="s">
        <v>170</v>
      </c>
      <c r="BO248" s="1">
        <f>SUM($AP248,$AQ248:AQ248)-SUM($CK248:CL248)</f>
        <v>0</v>
      </c>
      <c r="BP248" s="1">
        <f>SUM($AP248,$AQ248:AR248)-SUM($CK248:CM248)</f>
        <v>0</v>
      </c>
      <c r="BQ248" s="1">
        <f>SUM($AP248,$AQ248:AS248)-SUM($CK248:CN248)</f>
        <v>0</v>
      </c>
      <c r="BR248" s="1">
        <f>SUM($AP248,$AQ248:AT248)-SUM($CK248:CO248)</f>
        <v>-1400</v>
      </c>
      <c r="BS248" s="1">
        <f>SUM($AP248,$AQ248:AU248)-SUM($CK248:CP248)</f>
        <v>-4200</v>
      </c>
      <c r="BT248" s="1">
        <f>SUM($AP248,$AQ248:AV248)-SUM($CK248:CQ248)</f>
        <v>-8400</v>
      </c>
      <c r="BU248" s="1">
        <f>SUM($AP248,$AQ248:AW248)-SUM($CK248:CR248)</f>
        <v>-14000</v>
      </c>
      <c r="BV248" s="1">
        <f>SUM($AP248,$AQ248:AX248)-SUM($CK248:CS248)</f>
        <v>-21000</v>
      </c>
      <c r="BW248" s="1">
        <f>SUM($AP248,$AQ248:AY248)-SUM($CK248:CT248)</f>
        <v>-29400</v>
      </c>
      <c r="BX248" s="1">
        <f>SUM($AP248,$AQ248:AZ248)-SUM($CK248:CU248)</f>
        <v>-39200</v>
      </c>
      <c r="BY248" s="1">
        <f>SUM($AP248,$AQ248:BA248)-SUM($CK248:CV248)</f>
        <v>-50400</v>
      </c>
      <c r="BZ248" s="1">
        <f>SUM($AP248,$AQ248:BB248)-SUM($CK248:CW248)</f>
        <v>-63000</v>
      </c>
      <c r="CA248" s="1">
        <f>SUM($AP248,$AQ248:BC248)-SUM($CK248:CX248)</f>
        <v>-77000</v>
      </c>
      <c r="CB248" s="1">
        <f>SUM($AP248,$AQ248:BD248)-SUM($CK248:CY248)</f>
        <v>-92400</v>
      </c>
      <c r="CC248" s="1">
        <f>SUM($AP248,$AQ248:BE248)-SUM($CK248:CZ248)</f>
        <v>-109200</v>
      </c>
      <c r="CD248" s="1">
        <f>SUM($AP248,$AQ248:BF248)-SUM($CK248:DA248)</f>
        <v>-127400</v>
      </c>
      <c r="CE248" s="1">
        <f>SUM($AP248,$AQ248:BG248)-SUM($CK248:DB248)</f>
        <v>-127400</v>
      </c>
      <c r="CF248" s="1">
        <f>SUM($AP248,$AQ248:BH248)-SUM($CK248:DC248)</f>
        <v>-127400</v>
      </c>
      <c r="CG248" s="1">
        <f>SUM($AP248,$AQ248:BI248)-SUM($CK248:DD248)</f>
        <v>-127400</v>
      </c>
      <c r="CK248" s="1">
        <f t="array" ref="CK248">SUMPRODUCT($H248:$Y248,(TRANSPOSE(CK$2:CK$19)))</f>
        <v>0</v>
      </c>
      <c r="CL248" s="1">
        <f t="array" ref="CL248">SUMPRODUCT($H248:$Y248,(TRANSPOSE(CL$2:CL$19)))</f>
        <v>0</v>
      </c>
      <c r="CM248" s="1">
        <f t="array" ref="CM248">SUMPRODUCT($H248:$Y248,(TRANSPOSE(CM$2:CM$19)))</f>
        <v>0</v>
      </c>
      <c r="CN248" s="1">
        <f t="array" ref="CN248">SUMPRODUCT($H248:$Y248,(TRANSPOSE(CN$2:CN$19)))</f>
        <v>0</v>
      </c>
      <c r="CO248" s="1">
        <f t="array" ref="CO248">SUMPRODUCT($H248:$Y248,(TRANSPOSE(CO$2:CO$19)))</f>
        <v>1400</v>
      </c>
      <c r="CP248" s="1">
        <f t="array" ref="CP248">SUMPRODUCT($H248:$Y248,(TRANSPOSE(CP$2:CP$19)))</f>
        <v>2800</v>
      </c>
      <c r="CQ248" s="1">
        <f t="array" ref="CQ248">SUMPRODUCT($H248:$Y248,(TRANSPOSE(CQ$2:CQ$19)))</f>
        <v>4200</v>
      </c>
      <c r="CR248" s="1">
        <f t="array" ref="CR248">SUMPRODUCT($H248:$Y248,(TRANSPOSE(CR$2:CR$19)))</f>
        <v>5600</v>
      </c>
      <c r="CS248" s="1">
        <f t="array" ref="CS248">SUMPRODUCT($H248:$Y248,(TRANSPOSE(CS$2:CS$19)))</f>
        <v>7000</v>
      </c>
      <c r="CT248" s="1">
        <f t="array" ref="CT248">SUMPRODUCT($H248:$Y248,(TRANSPOSE(CT$2:CT$19)))</f>
        <v>8400</v>
      </c>
      <c r="CU248" s="1">
        <f t="array" ref="CU248">SUMPRODUCT($H248:$Y248,(TRANSPOSE(CU$2:CU$19)))</f>
        <v>9800</v>
      </c>
      <c r="CV248" s="1">
        <f t="array" ref="CV248">SUMPRODUCT($H248:$Y248,(TRANSPOSE(CV$2:CV$19)))</f>
        <v>11200</v>
      </c>
      <c r="CW248" s="1">
        <f t="array" ref="CW248">SUMPRODUCT($H248:$Y248,(TRANSPOSE(CW$2:CW$19)))</f>
        <v>12600</v>
      </c>
      <c r="CX248" s="1">
        <f t="array" ref="CX248">SUMPRODUCT($H248:$Y248,(TRANSPOSE(CX$2:CX$19)))</f>
        <v>14000</v>
      </c>
      <c r="CY248" s="1">
        <f t="array" ref="CY248">SUMPRODUCT($H248:$Y248,(TRANSPOSE(CY$2:CY$19)))</f>
        <v>15400</v>
      </c>
      <c r="CZ248" s="1">
        <f t="array" ref="CZ248">SUMPRODUCT($H248:$Y248,(TRANSPOSE(CZ$2:CZ$19)))</f>
        <v>16800</v>
      </c>
      <c r="DA248" s="1">
        <f t="array" ref="DA248">SUMPRODUCT($H248:$Y248,(TRANSPOSE(DA$2:DA$19)))</f>
        <v>18200</v>
      </c>
      <c r="DB248" s="1">
        <f t="array" ref="DB248">SUMPRODUCT($H248:$Y248,(TRANSPOSE(DB$2:DB$19)))</f>
        <v>0</v>
      </c>
      <c r="DC248" s="1">
        <f t="array" ref="DC248">SUMPRODUCT($H248:$Y248,(TRANSPOSE(DC$2:DC$19)))</f>
        <v>0</v>
      </c>
      <c r="DD248" s="1">
        <f t="array" ref="DD248">SUMPRODUCT($H248:$Y248,(TRANSPOSE(DD$2:DD$19)))</f>
        <v>0</v>
      </c>
    </row>
    <row r="249" spans="1:108" x14ac:dyDescent="0.2">
      <c r="A249" s="1">
        <v>293</v>
      </c>
      <c r="B249" s="10" t="s">
        <v>242</v>
      </c>
      <c r="C249" s="1" t="s">
        <v>22</v>
      </c>
      <c r="D249" s="1">
        <v>512306812</v>
      </c>
      <c r="F249" s="1" t="s">
        <v>203</v>
      </c>
      <c r="G249" s="1" t="s">
        <v>20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4</v>
      </c>
      <c r="S249" s="1">
        <v>0</v>
      </c>
      <c r="T249" s="1">
        <v>0</v>
      </c>
      <c r="U249" s="1">
        <v>0</v>
      </c>
      <c r="V249" s="1">
        <v>4</v>
      </c>
      <c r="W249" s="1">
        <v>0</v>
      </c>
      <c r="X249" s="1">
        <v>0</v>
      </c>
      <c r="Y249" s="1">
        <v>0</v>
      </c>
      <c r="Z249" s="1">
        <f>SUM(H249:Y249)</f>
        <v>8</v>
      </c>
      <c r="AA249" s="1">
        <f>SUMPRODUCT(H249:Y249,$H$16:$Y$16)</f>
        <v>7280</v>
      </c>
      <c r="AB249" s="1" t="s">
        <v>184</v>
      </c>
      <c r="AC249" s="1">
        <v>0.15</v>
      </c>
      <c r="AD249" s="9"/>
      <c r="AE249" s="1" t="s">
        <v>28</v>
      </c>
      <c r="AF249" s="1">
        <f>AC249</f>
        <v>0.15</v>
      </c>
      <c r="AH249" s="1">
        <v>1</v>
      </c>
      <c r="AK249" s="1" t="s">
        <v>183</v>
      </c>
      <c r="AL249" s="1" t="s">
        <v>182</v>
      </c>
      <c r="AM249" s="1" t="s">
        <v>181</v>
      </c>
      <c r="AN249" s="2" t="s">
        <v>180</v>
      </c>
      <c r="BO249" s="1">
        <f>SUM($AP249,$AQ249:AQ249)-SUM($CK249:CL249)</f>
        <v>0</v>
      </c>
      <c r="BP249" s="1">
        <f>SUM($AP249,$AQ249:AR249)-SUM($CK249:CM249)</f>
        <v>0</v>
      </c>
      <c r="BQ249" s="1">
        <f>SUM($AP249,$AQ249:AS249)-SUM($CK249:CN249)</f>
        <v>0</v>
      </c>
      <c r="BR249" s="1">
        <f>SUM($AP249,$AQ249:AT249)-SUM($CK249:CO249)</f>
        <v>0</v>
      </c>
      <c r="BS249" s="1">
        <f>SUM($AP249,$AQ249:AU249)-SUM($CK249:CP249)</f>
        <v>0</v>
      </c>
      <c r="BT249" s="1">
        <f>SUM($AP249,$AQ249:AV249)-SUM($CK249:CQ249)</f>
        <v>-80</v>
      </c>
      <c r="BU249" s="1">
        <f>SUM($AP249,$AQ249:AW249)-SUM($CK249:CR249)</f>
        <v>-240</v>
      </c>
      <c r="BV249" s="1">
        <f>SUM($AP249,$AQ249:AX249)-SUM($CK249:CS249)</f>
        <v>-480</v>
      </c>
      <c r="BW249" s="1">
        <f>SUM($AP249,$AQ249:AY249)-SUM($CK249:CT249)</f>
        <v>-800</v>
      </c>
      <c r="BX249" s="1">
        <f>SUM($AP249,$AQ249:AZ249)-SUM($CK249:CU249)</f>
        <v>-1200</v>
      </c>
      <c r="BY249" s="1">
        <f>SUM($AP249,$AQ249:BA249)-SUM($CK249:CV249)</f>
        <v>-1680</v>
      </c>
      <c r="BZ249" s="1">
        <f>SUM($AP249,$AQ249:BB249)-SUM($CK249:CW249)</f>
        <v>-2240</v>
      </c>
      <c r="CA249" s="1">
        <f>SUM($AP249,$AQ249:BC249)-SUM($CK249:CX249)</f>
        <v>-2880</v>
      </c>
      <c r="CB249" s="1">
        <f>SUM($AP249,$AQ249:BD249)-SUM($CK249:CY249)</f>
        <v>-3600</v>
      </c>
      <c r="CC249" s="1">
        <f>SUM($AP249,$AQ249:BE249)-SUM($CK249:CZ249)</f>
        <v>-4400</v>
      </c>
      <c r="CD249" s="1">
        <f>SUM($AP249,$AQ249:BF249)-SUM($CK249:DA249)</f>
        <v>-5280</v>
      </c>
      <c r="CE249" s="1">
        <f>SUM($AP249,$AQ249:BG249)-SUM($CK249:DB249)</f>
        <v>-6240</v>
      </c>
      <c r="CF249" s="1">
        <f>SUM($AP249,$AQ249:BH249)-SUM($CK249:DC249)</f>
        <v>-7280</v>
      </c>
      <c r="CG249" s="1">
        <f>SUM($AP249,$AQ249:BI249)-SUM($CK249:DD249)</f>
        <v>-7280</v>
      </c>
      <c r="CK249" s="1">
        <f t="array" ref="CK249">SUMPRODUCT($H249:$Y249,(TRANSPOSE(CK$2:CK$19)))</f>
        <v>0</v>
      </c>
      <c r="CL249" s="1">
        <f t="array" ref="CL249">SUMPRODUCT($H249:$Y249,(TRANSPOSE(CL$2:CL$19)))</f>
        <v>0</v>
      </c>
      <c r="CM249" s="1">
        <f t="array" ref="CM249">SUMPRODUCT($H249:$Y249,(TRANSPOSE(CM$2:CM$19)))</f>
        <v>0</v>
      </c>
      <c r="CN249" s="1">
        <f t="array" ref="CN249">SUMPRODUCT($H249:$Y249,(TRANSPOSE(CN$2:CN$19)))</f>
        <v>0</v>
      </c>
      <c r="CO249" s="1">
        <f t="array" ref="CO249">SUMPRODUCT($H249:$Y249,(TRANSPOSE(CO$2:CO$19)))</f>
        <v>0</v>
      </c>
      <c r="CP249" s="1">
        <f t="array" ref="CP249">SUMPRODUCT($H249:$Y249,(TRANSPOSE(CP$2:CP$19)))</f>
        <v>0</v>
      </c>
      <c r="CQ249" s="1">
        <f t="array" ref="CQ249">SUMPRODUCT($H249:$Y249,(TRANSPOSE(CQ$2:CQ$19)))</f>
        <v>80</v>
      </c>
      <c r="CR249" s="1">
        <f t="array" ref="CR249">SUMPRODUCT($H249:$Y249,(TRANSPOSE(CR$2:CR$19)))</f>
        <v>160</v>
      </c>
      <c r="CS249" s="1">
        <f t="array" ref="CS249">SUMPRODUCT($H249:$Y249,(TRANSPOSE(CS$2:CS$19)))</f>
        <v>240</v>
      </c>
      <c r="CT249" s="1">
        <f t="array" ref="CT249">SUMPRODUCT($H249:$Y249,(TRANSPOSE(CT$2:CT$19)))</f>
        <v>320</v>
      </c>
      <c r="CU249" s="1">
        <f t="array" ref="CU249">SUMPRODUCT($H249:$Y249,(TRANSPOSE(CU$2:CU$19)))</f>
        <v>400</v>
      </c>
      <c r="CV249" s="1">
        <f t="array" ref="CV249">SUMPRODUCT($H249:$Y249,(TRANSPOSE(CV$2:CV$19)))</f>
        <v>480</v>
      </c>
      <c r="CW249" s="1">
        <f t="array" ref="CW249">SUMPRODUCT($H249:$Y249,(TRANSPOSE(CW$2:CW$19)))</f>
        <v>560</v>
      </c>
      <c r="CX249" s="1">
        <f t="array" ref="CX249">SUMPRODUCT($H249:$Y249,(TRANSPOSE(CX$2:CX$19)))</f>
        <v>640</v>
      </c>
      <c r="CY249" s="1">
        <f t="array" ref="CY249">SUMPRODUCT($H249:$Y249,(TRANSPOSE(CY$2:CY$19)))</f>
        <v>720</v>
      </c>
      <c r="CZ249" s="1">
        <f t="array" ref="CZ249">SUMPRODUCT($H249:$Y249,(TRANSPOSE(CZ$2:CZ$19)))</f>
        <v>800</v>
      </c>
      <c r="DA249" s="1">
        <f t="array" ref="DA249">SUMPRODUCT($H249:$Y249,(TRANSPOSE(DA$2:DA$19)))</f>
        <v>880</v>
      </c>
      <c r="DB249" s="1">
        <f t="array" ref="DB249">SUMPRODUCT($H249:$Y249,(TRANSPOSE(DB$2:DB$19)))</f>
        <v>960</v>
      </c>
      <c r="DC249" s="1">
        <f t="array" ref="DC249">SUMPRODUCT($H249:$Y249,(TRANSPOSE(DC$2:DC$19)))</f>
        <v>1040</v>
      </c>
      <c r="DD249" s="1">
        <f t="array" ref="DD249">SUMPRODUCT($H249:$Y249,(TRANSPOSE(DD$2:DD$19)))</f>
        <v>0</v>
      </c>
    </row>
    <row r="250" spans="1:108" x14ac:dyDescent="0.2">
      <c r="A250" s="1">
        <v>294</v>
      </c>
      <c r="B250" s="10" t="s">
        <v>241</v>
      </c>
      <c r="C250" s="1" t="s">
        <v>22</v>
      </c>
      <c r="D250" s="1">
        <v>512306820</v>
      </c>
      <c r="F250" s="1" t="s">
        <v>203</v>
      </c>
      <c r="G250" s="1" t="s">
        <v>20</v>
      </c>
      <c r="H250" s="1">
        <v>0</v>
      </c>
      <c r="I250" s="1">
        <v>0</v>
      </c>
      <c r="J250" s="1">
        <v>0</v>
      </c>
      <c r="K250" s="1">
        <v>192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f>SUM(H250:Y250)</f>
        <v>192</v>
      </c>
      <c r="AA250" s="1">
        <f>SUMPRODUCT(H250:Y250,$H$16:$Y$16)</f>
        <v>174720</v>
      </c>
      <c r="AB250" s="1" t="s">
        <v>18</v>
      </c>
      <c r="AC250" s="1">
        <v>0</v>
      </c>
      <c r="AD250" s="9"/>
      <c r="AE250" s="1" t="s">
        <v>19</v>
      </c>
      <c r="AF250" s="1">
        <f>AC250</f>
        <v>0</v>
      </c>
      <c r="AG250" s="1">
        <v>1</v>
      </c>
      <c r="AH250" s="1">
        <v>1</v>
      </c>
      <c r="AI250" s="1" t="s">
        <v>18</v>
      </c>
      <c r="AJ250" s="1" t="s">
        <v>18</v>
      </c>
      <c r="AK250" s="1" t="s">
        <v>18</v>
      </c>
      <c r="AL250" s="1" t="s">
        <v>18</v>
      </c>
      <c r="AM250" s="1" t="s">
        <v>18</v>
      </c>
      <c r="AN250" s="2" t="s">
        <v>18</v>
      </c>
      <c r="BO250" s="1">
        <f>SUM($AP250,$AQ250:AQ250)-SUM($CK250:CL250)</f>
        <v>0</v>
      </c>
      <c r="BP250" s="1">
        <f>SUM($AP250,$AQ250:AR250)-SUM($CK250:CM250)</f>
        <v>0</v>
      </c>
      <c r="BQ250" s="1">
        <f>SUM($AP250,$AQ250:AS250)-SUM($CK250:CN250)</f>
        <v>0</v>
      </c>
      <c r="BR250" s="1">
        <f>SUM($AP250,$AQ250:AT250)-SUM($CK250:CO250)</f>
        <v>-1920</v>
      </c>
      <c r="BS250" s="1">
        <f>SUM($AP250,$AQ250:AU250)-SUM($CK250:CP250)</f>
        <v>-5760</v>
      </c>
      <c r="BT250" s="1">
        <f>SUM($AP250,$AQ250:AV250)-SUM($CK250:CQ250)</f>
        <v>-11520</v>
      </c>
      <c r="BU250" s="1">
        <f>SUM($AP250,$AQ250:AW250)-SUM($CK250:CR250)</f>
        <v>-19200</v>
      </c>
      <c r="BV250" s="1">
        <f>SUM($AP250,$AQ250:AX250)-SUM($CK250:CS250)</f>
        <v>-28800</v>
      </c>
      <c r="BW250" s="1">
        <f>SUM($AP250,$AQ250:AY250)-SUM($CK250:CT250)</f>
        <v>-40320</v>
      </c>
      <c r="BX250" s="1">
        <f>SUM($AP250,$AQ250:AZ250)-SUM($CK250:CU250)</f>
        <v>-53760</v>
      </c>
      <c r="BY250" s="1">
        <f>SUM($AP250,$AQ250:BA250)-SUM($CK250:CV250)</f>
        <v>-69120</v>
      </c>
      <c r="BZ250" s="1">
        <f>SUM($AP250,$AQ250:BB250)-SUM($CK250:CW250)</f>
        <v>-86400</v>
      </c>
      <c r="CA250" s="1">
        <f>SUM($AP250,$AQ250:BC250)-SUM($CK250:CX250)</f>
        <v>-105600</v>
      </c>
      <c r="CB250" s="1">
        <f>SUM($AP250,$AQ250:BD250)-SUM($CK250:CY250)</f>
        <v>-126720</v>
      </c>
      <c r="CC250" s="1">
        <f>SUM($AP250,$AQ250:BE250)-SUM($CK250:CZ250)</f>
        <v>-149760</v>
      </c>
      <c r="CD250" s="1">
        <f>SUM($AP250,$AQ250:BF250)-SUM($CK250:DA250)</f>
        <v>-174720</v>
      </c>
      <c r="CE250" s="1">
        <f>SUM($AP250,$AQ250:BG250)-SUM($CK250:DB250)</f>
        <v>-174720</v>
      </c>
      <c r="CF250" s="1">
        <f>SUM($AP250,$AQ250:BH250)-SUM($CK250:DC250)</f>
        <v>-174720</v>
      </c>
      <c r="CG250" s="1">
        <f>SUM($AP250,$AQ250:BI250)-SUM($CK250:DD250)</f>
        <v>-174720</v>
      </c>
      <c r="CK250" s="1">
        <f t="array" ref="CK250">SUMPRODUCT($H250:$Y250,(TRANSPOSE(CK$2:CK$19)))</f>
        <v>0</v>
      </c>
      <c r="CL250" s="1">
        <f t="array" ref="CL250">SUMPRODUCT($H250:$Y250,(TRANSPOSE(CL$2:CL$19)))</f>
        <v>0</v>
      </c>
      <c r="CM250" s="1">
        <f t="array" ref="CM250">SUMPRODUCT($H250:$Y250,(TRANSPOSE(CM$2:CM$19)))</f>
        <v>0</v>
      </c>
      <c r="CN250" s="1">
        <f t="array" ref="CN250">SUMPRODUCT($H250:$Y250,(TRANSPOSE(CN$2:CN$19)))</f>
        <v>0</v>
      </c>
      <c r="CO250" s="1">
        <f t="array" ref="CO250">SUMPRODUCT($H250:$Y250,(TRANSPOSE(CO$2:CO$19)))</f>
        <v>1920</v>
      </c>
      <c r="CP250" s="1">
        <f t="array" ref="CP250">SUMPRODUCT($H250:$Y250,(TRANSPOSE(CP$2:CP$19)))</f>
        <v>3840</v>
      </c>
      <c r="CQ250" s="1">
        <f t="array" ref="CQ250">SUMPRODUCT($H250:$Y250,(TRANSPOSE(CQ$2:CQ$19)))</f>
        <v>5760</v>
      </c>
      <c r="CR250" s="1">
        <f t="array" ref="CR250">SUMPRODUCT($H250:$Y250,(TRANSPOSE(CR$2:CR$19)))</f>
        <v>7680</v>
      </c>
      <c r="CS250" s="1">
        <f t="array" ref="CS250">SUMPRODUCT($H250:$Y250,(TRANSPOSE(CS$2:CS$19)))</f>
        <v>9600</v>
      </c>
      <c r="CT250" s="1">
        <f t="array" ref="CT250">SUMPRODUCT($H250:$Y250,(TRANSPOSE(CT$2:CT$19)))</f>
        <v>11520</v>
      </c>
      <c r="CU250" s="1">
        <f t="array" ref="CU250">SUMPRODUCT($H250:$Y250,(TRANSPOSE(CU$2:CU$19)))</f>
        <v>13440</v>
      </c>
      <c r="CV250" s="1">
        <f t="array" ref="CV250">SUMPRODUCT($H250:$Y250,(TRANSPOSE(CV$2:CV$19)))</f>
        <v>15360</v>
      </c>
      <c r="CW250" s="1">
        <f t="array" ref="CW250">SUMPRODUCT($H250:$Y250,(TRANSPOSE(CW$2:CW$19)))</f>
        <v>17280</v>
      </c>
      <c r="CX250" s="1">
        <f t="array" ref="CX250">SUMPRODUCT($H250:$Y250,(TRANSPOSE(CX$2:CX$19)))</f>
        <v>19200</v>
      </c>
      <c r="CY250" s="1">
        <f t="array" ref="CY250">SUMPRODUCT($H250:$Y250,(TRANSPOSE(CY$2:CY$19)))</f>
        <v>21120</v>
      </c>
      <c r="CZ250" s="1">
        <f t="array" ref="CZ250">SUMPRODUCT($H250:$Y250,(TRANSPOSE(CZ$2:CZ$19)))</f>
        <v>23040</v>
      </c>
      <c r="DA250" s="1">
        <f t="array" ref="DA250">SUMPRODUCT($H250:$Y250,(TRANSPOSE(DA$2:DA$19)))</f>
        <v>24960</v>
      </c>
      <c r="DB250" s="1">
        <f t="array" ref="DB250">SUMPRODUCT($H250:$Y250,(TRANSPOSE(DB$2:DB$19)))</f>
        <v>0</v>
      </c>
      <c r="DC250" s="1">
        <f t="array" ref="DC250">SUMPRODUCT($H250:$Y250,(TRANSPOSE(DC$2:DC$19)))</f>
        <v>0</v>
      </c>
      <c r="DD250" s="1">
        <f t="array" ref="DD250">SUMPRODUCT($H250:$Y250,(TRANSPOSE(DD$2:DD$19)))</f>
        <v>0</v>
      </c>
    </row>
    <row r="251" spans="1:108" x14ac:dyDescent="0.2">
      <c r="A251" s="1">
        <v>295</v>
      </c>
      <c r="B251" s="10" t="s">
        <v>240</v>
      </c>
      <c r="C251" s="1" t="s">
        <v>22</v>
      </c>
      <c r="D251" s="1">
        <v>512306846</v>
      </c>
      <c r="F251" s="1" t="s">
        <v>203</v>
      </c>
      <c r="G251" s="1" t="s">
        <v>20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40</v>
      </c>
      <c r="S251" s="1">
        <v>0</v>
      </c>
      <c r="T251" s="1">
        <v>0</v>
      </c>
      <c r="U251" s="1">
        <v>0</v>
      </c>
      <c r="V251" s="1">
        <v>40</v>
      </c>
      <c r="W251" s="1">
        <v>0</v>
      </c>
      <c r="X251" s="1">
        <v>0</v>
      </c>
      <c r="Y251" s="1">
        <v>0</v>
      </c>
      <c r="Z251" s="1">
        <f>SUM(H251:Y251)</f>
        <v>80</v>
      </c>
      <c r="AA251" s="1">
        <f>SUMPRODUCT(H251:Y251,$H$16:$Y$16)</f>
        <v>72800</v>
      </c>
      <c r="AB251" s="1" t="s">
        <v>184</v>
      </c>
      <c r="AC251" s="1">
        <v>0.11899999999999999</v>
      </c>
      <c r="AD251" s="9"/>
      <c r="AE251" s="1" t="s">
        <v>28</v>
      </c>
      <c r="AF251" s="1">
        <f>AC251</f>
        <v>0.11899999999999999</v>
      </c>
      <c r="AH251" s="1">
        <v>1</v>
      </c>
      <c r="AK251" s="1" t="s">
        <v>183</v>
      </c>
      <c r="AL251" s="1" t="s">
        <v>182</v>
      </c>
      <c r="AM251" s="1" t="s">
        <v>181</v>
      </c>
      <c r="AN251" s="2" t="s">
        <v>180</v>
      </c>
      <c r="BO251" s="1">
        <f>SUM($AP251,$AQ251:AQ251)-SUM($CK251:CL251)</f>
        <v>0</v>
      </c>
      <c r="BP251" s="1">
        <f>SUM($AP251,$AQ251:AR251)-SUM($CK251:CM251)</f>
        <v>0</v>
      </c>
      <c r="BQ251" s="1">
        <f>SUM($AP251,$AQ251:AS251)-SUM($CK251:CN251)</f>
        <v>0</v>
      </c>
      <c r="BR251" s="1">
        <f>SUM($AP251,$AQ251:AT251)-SUM($CK251:CO251)</f>
        <v>0</v>
      </c>
      <c r="BS251" s="1">
        <f>SUM($AP251,$AQ251:AU251)-SUM($CK251:CP251)</f>
        <v>0</v>
      </c>
      <c r="BT251" s="1">
        <f>SUM($AP251,$AQ251:AV251)-SUM($CK251:CQ251)</f>
        <v>-800</v>
      </c>
      <c r="BU251" s="1">
        <f>SUM($AP251,$AQ251:AW251)-SUM($CK251:CR251)</f>
        <v>-2400</v>
      </c>
      <c r="BV251" s="1">
        <f>SUM($AP251,$AQ251:AX251)-SUM($CK251:CS251)</f>
        <v>-4800</v>
      </c>
      <c r="BW251" s="1">
        <f>SUM($AP251,$AQ251:AY251)-SUM($CK251:CT251)</f>
        <v>-8000</v>
      </c>
      <c r="BX251" s="1">
        <f>SUM($AP251,$AQ251:AZ251)-SUM($CK251:CU251)</f>
        <v>-12000</v>
      </c>
      <c r="BY251" s="1">
        <f>SUM($AP251,$AQ251:BA251)-SUM($CK251:CV251)</f>
        <v>-16800</v>
      </c>
      <c r="BZ251" s="1">
        <f>SUM($AP251,$AQ251:BB251)-SUM($CK251:CW251)</f>
        <v>-22400</v>
      </c>
      <c r="CA251" s="1">
        <f>SUM($AP251,$AQ251:BC251)-SUM($CK251:CX251)</f>
        <v>-28800</v>
      </c>
      <c r="CB251" s="1">
        <f>SUM($AP251,$AQ251:BD251)-SUM($CK251:CY251)</f>
        <v>-36000</v>
      </c>
      <c r="CC251" s="1">
        <f>SUM($AP251,$AQ251:BE251)-SUM($CK251:CZ251)</f>
        <v>-44000</v>
      </c>
      <c r="CD251" s="1">
        <f>SUM($AP251,$AQ251:BF251)-SUM($CK251:DA251)</f>
        <v>-52800</v>
      </c>
      <c r="CE251" s="1">
        <f>SUM($AP251,$AQ251:BG251)-SUM($CK251:DB251)</f>
        <v>-62400</v>
      </c>
      <c r="CF251" s="1">
        <f>SUM($AP251,$AQ251:BH251)-SUM($CK251:DC251)</f>
        <v>-72800</v>
      </c>
      <c r="CG251" s="1">
        <f>SUM($AP251,$AQ251:BI251)-SUM($CK251:DD251)</f>
        <v>-72800</v>
      </c>
      <c r="CK251" s="1">
        <f t="array" ref="CK251">SUMPRODUCT($H251:$Y251,(TRANSPOSE(CK$2:CK$19)))</f>
        <v>0</v>
      </c>
      <c r="CL251" s="1">
        <f t="array" ref="CL251">SUMPRODUCT($H251:$Y251,(TRANSPOSE(CL$2:CL$19)))</f>
        <v>0</v>
      </c>
      <c r="CM251" s="1">
        <f t="array" ref="CM251">SUMPRODUCT($H251:$Y251,(TRANSPOSE(CM$2:CM$19)))</f>
        <v>0</v>
      </c>
      <c r="CN251" s="1">
        <f t="array" ref="CN251">SUMPRODUCT($H251:$Y251,(TRANSPOSE(CN$2:CN$19)))</f>
        <v>0</v>
      </c>
      <c r="CO251" s="1">
        <f t="array" ref="CO251">SUMPRODUCT($H251:$Y251,(TRANSPOSE(CO$2:CO$19)))</f>
        <v>0</v>
      </c>
      <c r="CP251" s="1">
        <f t="array" ref="CP251">SUMPRODUCT($H251:$Y251,(TRANSPOSE(CP$2:CP$19)))</f>
        <v>0</v>
      </c>
      <c r="CQ251" s="1">
        <f t="array" ref="CQ251">SUMPRODUCT($H251:$Y251,(TRANSPOSE(CQ$2:CQ$19)))</f>
        <v>800</v>
      </c>
      <c r="CR251" s="1">
        <f t="array" ref="CR251">SUMPRODUCT($H251:$Y251,(TRANSPOSE(CR$2:CR$19)))</f>
        <v>1600</v>
      </c>
      <c r="CS251" s="1">
        <f t="array" ref="CS251">SUMPRODUCT($H251:$Y251,(TRANSPOSE(CS$2:CS$19)))</f>
        <v>2400</v>
      </c>
      <c r="CT251" s="1">
        <f t="array" ref="CT251">SUMPRODUCT($H251:$Y251,(TRANSPOSE(CT$2:CT$19)))</f>
        <v>3200</v>
      </c>
      <c r="CU251" s="1">
        <f t="array" ref="CU251">SUMPRODUCT($H251:$Y251,(TRANSPOSE(CU$2:CU$19)))</f>
        <v>4000</v>
      </c>
      <c r="CV251" s="1">
        <f t="array" ref="CV251">SUMPRODUCT($H251:$Y251,(TRANSPOSE(CV$2:CV$19)))</f>
        <v>4800</v>
      </c>
      <c r="CW251" s="1">
        <f t="array" ref="CW251">SUMPRODUCT($H251:$Y251,(TRANSPOSE(CW$2:CW$19)))</f>
        <v>5600</v>
      </c>
      <c r="CX251" s="1">
        <f t="array" ref="CX251">SUMPRODUCT($H251:$Y251,(TRANSPOSE(CX$2:CX$19)))</f>
        <v>6400</v>
      </c>
      <c r="CY251" s="1">
        <f t="array" ref="CY251">SUMPRODUCT($H251:$Y251,(TRANSPOSE(CY$2:CY$19)))</f>
        <v>7200</v>
      </c>
      <c r="CZ251" s="1">
        <f t="array" ref="CZ251">SUMPRODUCT($H251:$Y251,(TRANSPOSE(CZ$2:CZ$19)))</f>
        <v>8000</v>
      </c>
      <c r="DA251" s="1">
        <f t="array" ref="DA251">SUMPRODUCT($H251:$Y251,(TRANSPOSE(DA$2:DA$19)))</f>
        <v>8800</v>
      </c>
      <c r="DB251" s="1">
        <f t="array" ref="DB251">SUMPRODUCT($H251:$Y251,(TRANSPOSE(DB$2:DB$19)))</f>
        <v>9600</v>
      </c>
      <c r="DC251" s="1">
        <f t="array" ref="DC251">SUMPRODUCT($H251:$Y251,(TRANSPOSE(DC$2:DC$19)))</f>
        <v>10400</v>
      </c>
      <c r="DD251" s="1">
        <f t="array" ref="DD251">SUMPRODUCT($H251:$Y251,(TRANSPOSE(DD$2:DD$19)))</f>
        <v>0</v>
      </c>
    </row>
    <row r="252" spans="1:108" x14ac:dyDescent="0.2">
      <c r="A252" s="1">
        <v>296</v>
      </c>
      <c r="B252" s="10" t="s">
        <v>239</v>
      </c>
      <c r="C252" s="1" t="s">
        <v>22</v>
      </c>
      <c r="D252" s="1">
        <v>512306838</v>
      </c>
      <c r="F252" s="1" t="s">
        <v>203</v>
      </c>
      <c r="G252" s="1" t="s">
        <v>20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60</v>
      </c>
      <c r="S252" s="1">
        <v>0</v>
      </c>
      <c r="T252" s="1">
        <v>0</v>
      </c>
      <c r="U252" s="1">
        <v>0</v>
      </c>
      <c r="V252" s="1">
        <v>60</v>
      </c>
      <c r="W252" s="1">
        <v>0</v>
      </c>
      <c r="X252" s="1">
        <v>0</v>
      </c>
      <c r="Y252" s="1">
        <v>0</v>
      </c>
      <c r="Z252" s="1">
        <f>SUM(H252:Y252)</f>
        <v>120</v>
      </c>
      <c r="AA252" s="1">
        <f>SUMPRODUCT(H252:Y252,$H$16:$Y$16)</f>
        <v>109200</v>
      </c>
      <c r="AB252" s="1" t="s">
        <v>184</v>
      </c>
      <c r="AC252" s="1">
        <v>0.13500000000000001</v>
      </c>
      <c r="AD252" s="9"/>
      <c r="AE252" s="1" t="s">
        <v>28</v>
      </c>
      <c r="AF252" s="1">
        <f>AC252</f>
        <v>0.13500000000000001</v>
      </c>
      <c r="AH252" s="1">
        <v>1</v>
      </c>
      <c r="AK252" s="1" t="s">
        <v>183</v>
      </c>
      <c r="AL252" s="1" t="s">
        <v>182</v>
      </c>
      <c r="AM252" s="1" t="s">
        <v>181</v>
      </c>
      <c r="AN252" s="2" t="s">
        <v>180</v>
      </c>
      <c r="BO252" s="1">
        <f>SUM($AP252,$AQ252:AQ252)-SUM($CK252:CL252)</f>
        <v>0</v>
      </c>
      <c r="BP252" s="1">
        <f>SUM($AP252,$AQ252:AR252)-SUM($CK252:CM252)</f>
        <v>0</v>
      </c>
      <c r="BQ252" s="1">
        <f>SUM($AP252,$AQ252:AS252)-SUM($CK252:CN252)</f>
        <v>0</v>
      </c>
      <c r="BR252" s="1">
        <f>SUM($AP252,$AQ252:AT252)-SUM($CK252:CO252)</f>
        <v>0</v>
      </c>
      <c r="BS252" s="1">
        <f>SUM($AP252,$AQ252:AU252)-SUM($CK252:CP252)</f>
        <v>0</v>
      </c>
      <c r="BT252" s="1">
        <f>SUM($AP252,$AQ252:AV252)-SUM($CK252:CQ252)</f>
        <v>-1200</v>
      </c>
      <c r="BU252" s="1">
        <f>SUM($AP252,$AQ252:AW252)-SUM($CK252:CR252)</f>
        <v>-3600</v>
      </c>
      <c r="BV252" s="1">
        <f>SUM($AP252,$AQ252:AX252)-SUM($CK252:CS252)</f>
        <v>-7200</v>
      </c>
      <c r="BW252" s="1">
        <f>SUM($AP252,$AQ252:AY252)-SUM($CK252:CT252)</f>
        <v>-12000</v>
      </c>
      <c r="BX252" s="1">
        <f>SUM($AP252,$AQ252:AZ252)-SUM($CK252:CU252)</f>
        <v>-18000</v>
      </c>
      <c r="BY252" s="1">
        <f>SUM($AP252,$AQ252:BA252)-SUM($CK252:CV252)</f>
        <v>-25200</v>
      </c>
      <c r="BZ252" s="1">
        <f>SUM($AP252,$AQ252:BB252)-SUM($CK252:CW252)</f>
        <v>-33600</v>
      </c>
      <c r="CA252" s="1">
        <f>SUM($AP252,$AQ252:BC252)-SUM($CK252:CX252)</f>
        <v>-43200</v>
      </c>
      <c r="CB252" s="1">
        <f>SUM($AP252,$AQ252:BD252)-SUM($CK252:CY252)</f>
        <v>-54000</v>
      </c>
      <c r="CC252" s="1">
        <f>SUM($AP252,$AQ252:BE252)-SUM($CK252:CZ252)</f>
        <v>-66000</v>
      </c>
      <c r="CD252" s="1">
        <f>SUM($AP252,$AQ252:BF252)-SUM($CK252:DA252)</f>
        <v>-79200</v>
      </c>
      <c r="CE252" s="1">
        <f>SUM($AP252,$AQ252:BG252)-SUM($CK252:DB252)</f>
        <v>-93600</v>
      </c>
      <c r="CF252" s="1">
        <f>SUM($AP252,$AQ252:BH252)-SUM($CK252:DC252)</f>
        <v>-109200</v>
      </c>
      <c r="CG252" s="1">
        <f>SUM($AP252,$AQ252:BI252)-SUM($CK252:DD252)</f>
        <v>-109200</v>
      </c>
      <c r="CK252" s="1">
        <f t="array" ref="CK252">SUMPRODUCT($H252:$Y252,(TRANSPOSE(CK$2:CK$19)))</f>
        <v>0</v>
      </c>
      <c r="CL252" s="1">
        <f t="array" ref="CL252">SUMPRODUCT($H252:$Y252,(TRANSPOSE(CL$2:CL$19)))</f>
        <v>0</v>
      </c>
      <c r="CM252" s="1">
        <f t="array" ref="CM252">SUMPRODUCT($H252:$Y252,(TRANSPOSE(CM$2:CM$19)))</f>
        <v>0</v>
      </c>
      <c r="CN252" s="1">
        <f t="array" ref="CN252">SUMPRODUCT($H252:$Y252,(TRANSPOSE(CN$2:CN$19)))</f>
        <v>0</v>
      </c>
      <c r="CO252" s="1">
        <f t="array" ref="CO252">SUMPRODUCT($H252:$Y252,(TRANSPOSE(CO$2:CO$19)))</f>
        <v>0</v>
      </c>
      <c r="CP252" s="1">
        <f t="array" ref="CP252">SUMPRODUCT($H252:$Y252,(TRANSPOSE(CP$2:CP$19)))</f>
        <v>0</v>
      </c>
      <c r="CQ252" s="1">
        <f t="array" ref="CQ252">SUMPRODUCT($H252:$Y252,(TRANSPOSE(CQ$2:CQ$19)))</f>
        <v>1200</v>
      </c>
      <c r="CR252" s="1">
        <f t="array" ref="CR252">SUMPRODUCT($H252:$Y252,(TRANSPOSE(CR$2:CR$19)))</f>
        <v>2400</v>
      </c>
      <c r="CS252" s="1">
        <f t="array" ref="CS252">SUMPRODUCT($H252:$Y252,(TRANSPOSE(CS$2:CS$19)))</f>
        <v>3600</v>
      </c>
      <c r="CT252" s="1">
        <f t="array" ref="CT252">SUMPRODUCT($H252:$Y252,(TRANSPOSE(CT$2:CT$19)))</f>
        <v>4800</v>
      </c>
      <c r="CU252" s="1">
        <f t="array" ref="CU252">SUMPRODUCT($H252:$Y252,(TRANSPOSE(CU$2:CU$19)))</f>
        <v>6000</v>
      </c>
      <c r="CV252" s="1">
        <f t="array" ref="CV252">SUMPRODUCT($H252:$Y252,(TRANSPOSE(CV$2:CV$19)))</f>
        <v>7200</v>
      </c>
      <c r="CW252" s="1">
        <f t="array" ref="CW252">SUMPRODUCT($H252:$Y252,(TRANSPOSE(CW$2:CW$19)))</f>
        <v>8400</v>
      </c>
      <c r="CX252" s="1">
        <f t="array" ref="CX252">SUMPRODUCT($H252:$Y252,(TRANSPOSE(CX$2:CX$19)))</f>
        <v>9600</v>
      </c>
      <c r="CY252" s="1">
        <f t="array" ref="CY252">SUMPRODUCT($H252:$Y252,(TRANSPOSE(CY$2:CY$19)))</f>
        <v>10800</v>
      </c>
      <c r="CZ252" s="1">
        <f t="array" ref="CZ252">SUMPRODUCT($H252:$Y252,(TRANSPOSE(CZ$2:CZ$19)))</f>
        <v>12000</v>
      </c>
      <c r="DA252" s="1">
        <f t="array" ref="DA252">SUMPRODUCT($H252:$Y252,(TRANSPOSE(DA$2:DA$19)))</f>
        <v>13200</v>
      </c>
      <c r="DB252" s="1">
        <f t="array" ref="DB252">SUMPRODUCT($H252:$Y252,(TRANSPOSE(DB$2:DB$19)))</f>
        <v>14400</v>
      </c>
      <c r="DC252" s="1">
        <f t="array" ref="DC252">SUMPRODUCT($H252:$Y252,(TRANSPOSE(DC$2:DC$19)))</f>
        <v>15600</v>
      </c>
      <c r="DD252" s="1">
        <f t="array" ref="DD252">SUMPRODUCT($H252:$Y252,(TRANSPOSE(DD$2:DD$19)))</f>
        <v>0</v>
      </c>
    </row>
    <row r="253" spans="1:108" x14ac:dyDescent="0.2">
      <c r="A253" s="1">
        <v>297</v>
      </c>
      <c r="B253" s="10" t="s">
        <v>238</v>
      </c>
      <c r="C253" s="1" t="s">
        <v>22</v>
      </c>
      <c r="D253" s="1">
        <v>512306861</v>
      </c>
      <c r="F253" s="1" t="s">
        <v>203</v>
      </c>
      <c r="G253" s="1" t="s">
        <v>20</v>
      </c>
      <c r="H253" s="1">
        <v>0</v>
      </c>
      <c r="I253" s="1">
        <v>0</v>
      </c>
      <c r="J253" s="1">
        <v>68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8</v>
      </c>
      <c r="S253" s="1">
        <v>0</v>
      </c>
      <c r="T253" s="1">
        <v>0</v>
      </c>
      <c r="U253" s="1">
        <v>0</v>
      </c>
      <c r="V253" s="1">
        <v>8</v>
      </c>
      <c r="W253" s="1">
        <v>0</v>
      </c>
      <c r="X253" s="1">
        <v>0</v>
      </c>
      <c r="Y253" s="1">
        <v>0</v>
      </c>
      <c r="Z253" s="1">
        <f>SUM(H253:Y253)</f>
        <v>84</v>
      </c>
      <c r="AA253" s="1">
        <f>SUMPRODUCT(H253:Y253,$H$16:$Y$16)</f>
        <v>76440</v>
      </c>
      <c r="AB253" s="1" t="s">
        <v>18</v>
      </c>
      <c r="AC253" s="1">
        <v>0</v>
      </c>
      <c r="AD253" s="9"/>
      <c r="AE253" s="1" t="s">
        <v>19</v>
      </c>
      <c r="AF253" s="1">
        <f>AC253</f>
        <v>0</v>
      </c>
      <c r="AG253" s="1">
        <v>1</v>
      </c>
      <c r="AH253" s="1">
        <v>1</v>
      </c>
      <c r="AI253" s="1" t="s">
        <v>18</v>
      </c>
      <c r="AJ253" s="1" t="s">
        <v>18</v>
      </c>
      <c r="AK253" s="1" t="s">
        <v>18</v>
      </c>
      <c r="AL253" s="1" t="s">
        <v>18</v>
      </c>
      <c r="AM253" s="1" t="s">
        <v>18</v>
      </c>
      <c r="AN253" s="2" t="s">
        <v>18</v>
      </c>
      <c r="BO253" s="1">
        <f>SUM($AP253,$AQ253:AQ253)-SUM($CK253:CL253)</f>
        <v>0</v>
      </c>
      <c r="BP253" s="1">
        <f>SUM($AP253,$AQ253:AR253)-SUM($CK253:CM253)</f>
        <v>0</v>
      </c>
      <c r="BQ253" s="1">
        <f>SUM($AP253,$AQ253:AS253)-SUM($CK253:CN253)</f>
        <v>0</v>
      </c>
      <c r="BR253" s="1">
        <f>SUM($AP253,$AQ253:AT253)-SUM($CK253:CO253)</f>
        <v>0</v>
      </c>
      <c r="BS253" s="1">
        <f>SUM($AP253,$AQ253:AU253)-SUM($CK253:CP253)</f>
        <v>-680</v>
      </c>
      <c r="BT253" s="1">
        <f>SUM($AP253,$AQ253:AV253)-SUM($CK253:CQ253)</f>
        <v>-2200</v>
      </c>
      <c r="BU253" s="1">
        <f>SUM($AP253,$AQ253:AW253)-SUM($CK253:CR253)</f>
        <v>-4560</v>
      </c>
      <c r="BV253" s="1">
        <f>SUM($AP253,$AQ253:AX253)-SUM($CK253:CS253)</f>
        <v>-7760</v>
      </c>
      <c r="BW253" s="1">
        <f>SUM($AP253,$AQ253:AY253)-SUM($CK253:CT253)</f>
        <v>-11800</v>
      </c>
      <c r="BX253" s="1">
        <f>SUM($AP253,$AQ253:AZ253)-SUM($CK253:CU253)</f>
        <v>-16680</v>
      </c>
      <c r="BY253" s="1">
        <f>SUM($AP253,$AQ253:BA253)-SUM($CK253:CV253)</f>
        <v>-22400</v>
      </c>
      <c r="BZ253" s="1">
        <f>SUM($AP253,$AQ253:BB253)-SUM($CK253:CW253)</f>
        <v>-28960</v>
      </c>
      <c r="CA253" s="1">
        <f>SUM($AP253,$AQ253:BC253)-SUM($CK253:CX253)</f>
        <v>-36360</v>
      </c>
      <c r="CB253" s="1">
        <f>SUM($AP253,$AQ253:BD253)-SUM($CK253:CY253)</f>
        <v>-44600</v>
      </c>
      <c r="CC253" s="1">
        <f>SUM($AP253,$AQ253:BE253)-SUM($CK253:CZ253)</f>
        <v>-53680</v>
      </c>
      <c r="CD253" s="1">
        <f>SUM($AP253,$AQ253:BF253)-SUM($CK253:DA253)</f>
        <v>-63600</v>
      </c>
      <c r="CE253" s="1">
        <f>SUM($AP253,$AQ253:BG253)-SUM($CK253:DB253)</f>
        <v>-74360</v>
      </c>
      <c r="CF253" s="1">
        <f>SUM($AP253,$AQ253:BH253)-SUM($CK253:DC253)</f>
        <v>-76440</v>
      </c>
      <c r="CG253" s="1">
        <f>SUM($AP253,$AQ253:BI253)-SUM($CK253:DD253)</f>
        <v>-76440</v>
      </c>
      <c r="CK253" s="1">
        <f t="array" ref="CK253">SUMPRODUCT($H253:$Y253,(TRANSPOSE(CK$2:CK$19)))</f>
        <v>0</v>
      </c>
      <c r="CL253" s="1">
        <f t="array" ref="CL253">SUMPRODUCT($H253:$Y253,(TRANSPOSE(CL$2:CL$19)))</f>
        <v>0</v>
      </c>
      <c r="CM253" s="1">
        <f t="array" ref="CM253">SUMPRODUCT($H253:$Y253,(TRANSPOSE(CM$2:CM$19)))</f>
        <v>0</v>
      </c>
      <c r="CN253" s="1">
        <f t="array" ref="CN253">SUMPRODUCT($H253:$Y253,(TRANSPOSE(CN$2:CN$19)))</f>
        <v>0</v>
      </c>
      <c r="CO253" s="1">
        <f t="array" ref="CO253">SUMPRODUCT($H253:$Y253,(TRANSPOSE(CO$2:CO$19)))</f>
        <v>0</v>
      </c>
      <c r="CP253" s="1">
        <f t="array" ref="CP253">SUMPRODUCT($H253:$Y253,(TRANSPOSE(CP$2:CP$19)))</f>
        <v>680</v>
      </c>
      <c r="CQ253" s="1">
        <f t="array" ref="CQ253">SUMPRODUCT($H253:$Y253,(TRANSPOSE(CQ$2:CQ$19)))</f>
        <v>1520</v>
      </c>
      <c r="CR253" s="1">
        <f t="array" ref="CR253">SUMPRODUCT($H253:$Y253,(TRANSPOSE(CR$2:CR$19)))</f>
        <v>2360</v>
      </c>
      <c r="CS253" s="1">
        <f t="array" ref="CS253">SUMPRODUCT($H253:$Y253,(TRANSPOSE(CS$2:CS$19)))</f>
        <v>3200</v>
      </c>
      <c r="CT253" s="1">
        <f t="array" ref="CT253">SUMPRODUCT($H253:$Y253,(TRANSPOSE(CT$2:CT$19)))</f>
        <v>4040</v>
      </c>
      <c r="CU253" s="1">
        <f t="array" ref="CU253">SUMPRODUCT($H253:$Y253,(TRANSPOSE(CU$2:CU$19)))</f>
        <v>4880</v>
      </c>
      <c r="CV253" s="1">
        <f t="array" ref="CV253">SUMPRODUCT($H253:$Y253,(TRANSPOSE(CV$2:CV$19)))</f>
        <v>5720</v>
      </c>
      <c r="CW253" s="1">
        <f t="array" ref="CW253">SUMPRODUCT($H253:$Y253,(TRANSPOSE(CW$2:CW$19)))</f>
        <v>6560</v>
      </c>
      <c r="CX253" s="1">
        <f t="array" ref="CX253">SUMPRODUCT($H253:$Y253,(TRANSPOSE(CX$2:CX$19)))</f>
        <v>7400</v>
      </c>
      <c r="CY253" s="1">
        <f t="array" ref="CY253">SUMPRODUCT($H253:$Y253,(TRANSPOSE(CY$2:CY$19)))</f>
        <v>8240</v>
      </c>
      <c r="CZ253" s="1">
        <f t="array" ref="CZ253">SUMPRODUCT($H253:$Y253,(TRANSPOSE(CZ$2:CZ$19)))</f>
        <v>9080</v>
      </c>
      <c r="DA253" s="1">
        <f t="array" ref="DA253">SUMPRODUCT($H253:$Y253,(TRANSPOSE(DA$2:DA$19)))</f>
        <v>9920</v>
      </c>
      <c r="DB253" s="1">
        <f t="array" ref="DB253">SUMPRODUCT($H253:$Y253,(TRANSPOSE(DB$2:DB$19)))</f>
        <v>10760</v>
      </c>
      <c r="DC253" s="1">
        <f t="array" ref="DC253">SUMPRODUCT($H253:$Y253,(TRANSPOSE(DC$2:DC$19)))</f>
        <v>2080</v>
      </c>
      <c r="DD253" s="1">
        <f t="array" ref="DD253">SUMPRODUCT($H253:$Y253,(TRANSPOSE(DD$2:DD$19)))</f>
        <v>0</v>
      </c>
    </row>
    <row r="254" spans="1:108" x14ac:dyDescent="0.2">
      <c r="A254" s="1">
        <v>304</v>
      </c>
      <c r="B254" s="10" t="s">
        <v>237</v>
      </c>
      <c r="C254" s="1" t="s">
        <v>22</v>
      </c>
      <c r="D254" s="1">
        <v>512313149</v>
      </c>
      <c r="E254" s="1">
        <v>401411645</v>
      </c>
      <c r="F254" s="1" t="s">
        <v>236</v>
      </c>
      <c r="G254" s="1" t="s">
        <v>20</v>
      </c>
      <c r="H254" s="1">
        <v>0</v>
      </c>
      <c r="I254" s="1">
        <v>560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f>SUM(H254:Y254)</f>
        <v>560</v>
      </c>
      <c r="AA254" s="1">
        <f>SUMPRODUCT(H254:Y254,$H$16:$Y$16)</f>
        <v>509600</v>
      </c>
      <c r="AB254" s="1" t="s">
        <v>18</v>
      </c>
      <c r="AC254" s="1">
        <v>0</v>
      </c>
      <c r="AD254" s="9"/>
      <c r="AE254" s="1" t="s">
        <v>19</v>
      </c>
      <c r="AF254" s="1">
        <f>AC254</f>
        <v>0</v>
      </c>
      <c r="AG254" s="1">
        <v>1</v>
      </c>
      <c r="AH254" s="1">
        <v>1</v>
      </c>
      <c r="AI254" s="1" t="s">
        <v>18</v>
      </c>
      <c r="AJ254" s="1" t="s">
        <v>18</v>
      </c>
      <c r="AK254" s="1" t="s">
        <v>18</v>
      </c>
      <c r="AL254" s="1" t="s">
        <v>18</v>
      </c>
      <c r="AM254" s="1" t="s">
        <v>18</v>
      </c>
      <c r="AN254" s="2" t="s">
        <v>18</v>
      </c>
      <c r="BO254" s="1">
        <f>SUM($AP254,$AQ254:AQ254)-SUM($CK254:CL254)</f>
        <v>0</v>
      </c>
      <c r="BP254" s="1">
        <f>SUM($AP254,$AQ254:AR254)-SUM($CK254:CM254)</f>
        <v>0</v>
      </c>
      <c r="BQ254" s="1">
        <f>SUM($AP254,$AQ254:AS254)-SUM($CK254:CN254)</f>
        <v>0</v>
      </c>
      <c r="BR254" s="1">
        <f>SUM($AP254,$AQ254:AT254)-SUM($CK254:CO254)</f>
        <v>0</v>
      </c>
      <c r="BS254" s="1">
        <f>SUM($AP254,$AQ254:AU254)-SUM($CK254:CP254)</f>
        <v>0</v>
      </c>
      <c r="BT254" s="1">
        <f>SUM($AP254,$AQ254:AV254)-SUM($CK254:CQ254)</f>
        <v>-5600</v>
      </c>
      <c r="BU254" s="1">
        <f>SUM($AP254,$AQ254:AW254)-SUM($CK254:CR254)</f>
        <v>-16800</v>
      </c>
      <c r="BV254" s="1">
        <f>SUM($AP254,$AQ254:AX254)-SUM($CK254:CS254)</f>
        <v>-33600</v>
      </c>
      <c r="BW254" s="1">
        <f>SUM($AP254,$AQ254:AY254)-SUM($CK254:CT254)</f>
        <v>-56000</v>
      </c>
      <c r="BX254" s="1">
        <f>SUM($AP254,$AQ254:AZ254)-SUM($CK254:CU254)</f>
        <v>-84000</v>
      </c>
      <c r="BY254" s="1">
        <f>SUM($AP254,$AQ254:BA254)-SUM($CK254:CV254)</f>
        <v>-117600</v>
      </c>
      <c r="BZ254" s="1">
        <f>SUM($AP254,$AQ254:BB254)-SUM($CK254:CW254)</f>
        <v>-156800</v>
      </c>
      <c r="CA254" s="1">
        <f>SUM($AP254,$AQ254:BC254)-SUM($CK254:CX254)</f>
        <v>-201600</v>
      </c>
      <c r="CB254" s="1">
        <f>SUM($AP254,$AQ254:BD254)-SUM($CK254:CY254)</f>
        <v>-252000</v>
      </c>
      <c r="CC254" s="1">
        <f>SUM($AP254,$AQ254:BE254)-SUM($CK254:CZ254)</f>
        <v>-308000</v>
      </c>
      <c r="CD254" s="1">
        <f>SUM($AP254,$AQ254:BF254)-SUM($CK254:DA254)</f>
        <v>-369600</v>
      </c>
      <c r="CE254" s="1">
        <f>SUM($AP254,$AQ254:BG254)-SUM($CK254:DB254)</f>
        <v>-436800</v>
      </c>
      <c r="CF254" s="1">
        <f>SUM($AP254,$AQ254:BH254)-SUM($CK254:DC254)</f>
        <v>-509600</v>
      </c>
      <c r="CG254" s="1">
        <f>SUM($AP254,$AQ254:BI254)-SUM($CK254:DD254)</f>
        <v>-509600</v>
      </c>
      <c r="CK254" s="1">
        <f t="array" ref="CK254">SUMPRODUCT($H254:$Y254,(TRANSPOSE(CK$2:CK$19)))</f>
        <v>0</v>
      </c>
      <c r="CL254" s="1">
        <f t="array" ref="CL254">SUMPRODUCT($H254:$Y254,(TRANSPOSE(CL$2:CL$19)))</f>
        <v>0</v>
      </c>
      <c r="CM254" s="1">
        <f t="array" ref="CM254">SUMPRODUCT($H254:$Y254,(TRANSPOSE(CM$2:CM$19)))</f>
        <v>0</v>
      </c>
      <c r="CN254" s="1">
        <f t="array" ref="CN254">SUMPRODUCT($H254:$Y254,(TRANSPOSE(CN$2:CN$19)))</f>
        <v>0</v>
      </c>
      <c r="CO254" s="1">
        <f t="array" ref="CO254">SUMPRODUCT($H254:$Y254,(TRANSPOSE(CO$2:CO$19)))</f>
        <v>0</v>
      </c>
      <c r="CP254" s="1">
        <f t="array" ref="CP254">SUMPRODUCT($H254:$Y254,(TRANSPOSE(CP$2:CP$19)))</f>
        <v>0</v>
      </c>
      <c r="CQ254" s="1">
        <f t="array" ref="CQ254">SUMPRODUCT($H254:$Y254,(TRANSPOSE(CQ$2:CQ$19)))</f>
        <v>5600</v>
      </c>
      <c r="CR254" s="1">
        <f t="array" ref="CR254">SUMPRODUCT($H254:$Y254,(TRANSPOSE(CR$2:CR$19)))</f>
        <v>11200</v>
      </c>
      <c r="CS254" s="1">
        <f t="array" ref="CS254">SUMPRODUCT($H254:$Y254,(TRANSPOSE(CS$2:CS$19)))</f>
        <v>16800</v>
      </c>
      <c r="CT254" s="1">
        <f t="array" ref="CT254">SUMPRODUCT($H254:$Y254,(TRANSPOSE(CT$2:CT$19)))</f>
        <v>22400</v>
      </c>
      <c r="CU254" s="1">
        <f t="array" ref="CU254">SUMPRODUCT($H254:$Y254,(TRANSPOSE(CU$2:CU$19)))</f>
        <v>28000</v>
      </c>
      <c r="CV254" s="1">
        <f t="array" ref="CV254">SUMPRODUCT($H254:$Y254,(TRANSPOSE(CV$2:CV$19)))</f>
        <v>33600</v>
      </c>
      <c r="CW254" s="1">
        <f t="array" ref="CW254">SUMPRODUCT($H254:$Y254,(TRANSPOSE(CW$2:CW$19)))</f>
        <v>39200</v>
      </c>
      <c r="CX254" s="1">
        <f t="array" ref="CX254">SUMPRODUCT($H254:$Y254,(TRANSPOSE(CX$2:CX$19)))</f>
        <v>44800</v>
      </c>
      <c r="CY254" s="1">
        <f t="array" ref="CY254">SUMPRODUCT($H254:$Y254,(TRANSPOSE(CY$2:CY$19)))</f>
        <v>50400</v>
      </c>
      <c r="CZ254" s="1">
        <f t="array" ref="CZ254">SUMPRODUCT($H254:$Y254,(TRANSPOSE(CZ$2:CZ$19)))</f>
        <v>56000</v>
      </c>
      <c r="DA254" s="1">
        <f t="array" ref="DA254">SUMPRODUCT($H254:$Y254,(TRANSPOSE(DA$2:DA$19)))</f>
        <v>61600</v>
      </c>
      <c r="DB254" s="1">
        <f t="array" ref="DB254">SUMPRODUCT($H254:$Y254,(TRANSPOSE(DB$2:DB$19)))</f>
        <v>67200</v>
      </c>
      <c r="DC254" s="1">
        <f t="array" ref="DC254">SUMPRODUCT($H254:$Y254,(TRANSPOSE(DC$2:DC$19)))</f>
        <v>72800</v>
      </c>
      <c r="DD254" s="1">
        <f t="array" ref="DD254">SUMPRODUCT($H254:$Y254,(TRANSPOSE(DD$2:DD$19)))</f>
        <v>0</v>
      </c>
    </row>
    <row r="255" spans="1:108" x14ac:dyDescent="0.2">
      <c r="A255" s="1">
        <v>305</v>
      </c>
      <c r="B255" s="10" t="s">
        <v>235</v>
      </c>
      <c r="C255" s="1" t="s">
        <v>22</v>
      </c>
      <c r="D255" s="1">
        <v>512313164</v>
      </c>
      <c r="E255" s="1">
        <v>401411682</v>
      </c>
      <c r="F255" s="1" t="s">
        <v>233</v>
      </c>
      <c r="G255" s="1" t="s">
        <v>20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24</v>
      </c>
      <c r="T255" s="1">
        <v>0</v>
      </c>
      <c r="U255" s="1">
        <v>0</v>
      </c>
      <c r="V255" s="1">
        <v>0</v>
      </c>
      <c r="W255" s="1">
        <v>24</v>
      </c>
      <c r="X255" s="1">
        <v>0</v>
      </c>
      <c r="Y255" s="1">
        <v>0</v>
      </c>
      <c r="Z255" s="1">
        <f>SUM(H255:Y255)</f>
        <v>48</v>
      </c>
      <c r="AA255" s="1">
        <f>SUMPRODUCT(H255:Y255,$H$16:$Y$16)</f>
        <v>43680</v>
      </c>
      <c r="AB255" s="1" t="s">
        <v>184</v>
      </c>
      <c r="AC255" s="1">
        <v>3.9E-2</v>
      </c>
      <c r="AD255" s="9"/>
      <c r="AE255" s="1" t="s">
        <v>28</v>
      </c>
      <c r="AF255" s="1">
        <f>AC255</f>
        <v>3.9E-2</v>
      </c>
      <c r="AH255" s="1">
        <v>1</v>
      </c>
      <c r="AK255" s="1" t="s">
        <v>183</v>
      </c>
      <c r="AL255" s="1" t="s">
        <v>182</v>
      </c>
      <c r="AM255" s="1" t="s">
        <v>181</v>
      </c>
      <c r="AN255" s="2" t="s">
        <v>180</v>
      </c>
      <c r="BO255" s="1">
        <f>SUM($AP255,$AQ255:AQ255)-SUM($CK255:CL255)</f>
        <v>0</v>
      </c>
      <c r="BP255" s="1">
        <f>SUM($AP255,$AQ255:AR255)-SUM($CK255:CM255)</f>
        <v>0</v>
      </c>
      <c r="BQ255" s="1">
        <f>SUM($AP255,$AQ255:AS255)-SUM($CK255:CN255)</f>
        <v>0</v>
      </c>
      <c r="BR255" s="1">
        <f>SUM($AP255,$AQ255:AT255)-SUM($CK255:CO255)</f>
        <v>0</v>
      </c>
      <c r="BS255" s="1">
        <f>SUM($AP255,$AQ255:AU255)-SUM($CK255:CP255)</f>
        <v>-480</v>
      </c>
      <c r="BT255" s="1">
        <f>SUM($AP255,$AQ255:AV255)-SUM($CK255:CQ255)</f>
        <v>-1440</v>
      </c>
      <c r="BU255" s="1">
        <f>SUM($AP255,$AQ255:AW255)-SUM($CK255:CR255)</f>
        <v>-2880</v>
      </c>
      <c r="BV255" s="1">
        <f>SUM($AP255,$AQ255:AX255)-SUM($CK255:CS255)</f>
        <v>-4800</v>
      </c>
      <c r="BW255" s="1">
        <f>SUM($AP255,$AQ255:AY255)-SUM($CK255:CT255)</f>
        <v>-7200</v>
      </c>
      <c r="BX255" s="1">
        <f>SUM($AP255,$AQ255:AZ255)-SUM($CK255:CU255)</f>
        <v>-10080</v>
      </c>
      <c r="BY255" s="1">
        <f>SUM($AP255,$AQ255:BA255)-SUM($CK255:CV255)</f>
        <v>-13440</v>
      </c>
      <c r="BZ255" s="1">
        <f>SUM($AP255,$AQ255:BB255)-SUM($CK255:CW255)</f>
        <v>-17280</v>
      </c>
      <c r="CA255" s="1">
        <f>SUM($AP255,$AQ255:BC255)-SUM($CK255:CX255)</f>
        <v>-21600</v>
      </c>
      <c r="CB255" s="1">
        <f>SUM($AP255,$AQ255:BD255)-SUM($CK255:CY255)</f>
        <v>-26400</v>
      </c>
      <c r="CC255" s="1">
        <f>SUM($AP255,$AQ255:BE255)-SUM($CK255:CZ255)</f>
        <v>-31680</v>
      </c>
      <c r="CD255" s="1">
        <f>SUM($AP255,$AQ255:BF255)-SUM($CK255:DA255)</f>
        <v>-37440</v>
      </c>
      <c r="CE255" s="1">
        <f>SUM($AP255,$AQ255:BG255)-SUM($CK255:DB255)</f>
        <v>-43680</v>
      </c>
      <c r="CF255" s="1">
        <f>SUM($AP255,$AQ255:BH255)-SUM($CK255:DC255)</f>
        <v>-43680</v>
      </c>
      <c r="CG255" s="1">
        <f>SUM($AP255,$AQ255:BI255)-SUM($CK255:DD255)</f>
        <v>-43680</v>
      </c>
      <c r="CK255" s="1">
        <f t="array" ref="CK255">SUMPRODUCT($H255:$Y255,(TRANSPOSE(CK$2:CK$19)))</f>
        <v>0</v>
      </c>
      <c r="CL255" s="1">
        <f t="array" ref="CL255">SUMPRODUCT($H255:$Y255,(TRANSPOSE(CL$2:CL$19)))</f>
        <v>0</v>
      </c>
      <c r="CM255" s="1">
        <f t="array" ref="CM255">SUMPRODUCT($H255:$Y255,(TRANSPOSE(CM$2:CM$19)))</f>
        <v>0</v>
      </c>
      <c r="CN255" s="1">
        <f t="array" ref="CN255">SUMPRODUCT($H255:$Y255,(TRANSPOSE(CN$2:CN$19)))</f>
        <v>0</v>
      </c>
      <c r="CO255" s="1">
        <f t="array" ref="CO255">SUMPRODUCT($H255:$Y255,(TRANSPOSE(CO$2:CO$19)))</f>
        <v>0</v>
      </c>
      <c r="CP255" s="1">
        <f t="array" ref="CP255">SUMPRODUCT($H255:$Y255,(TRANSPOSE(CP$2:CP$19)))</f>
        <v>480</v>
      </c>
      <c r="CQ255" s="1">
        <f t="array" ref="CQ255">SUMPRODUCT($H255:$Y255,(TRANSPOSE(CQ$2:CQ$19)))</f>
        <v>960</v>
      </c>
      <c r="CR255" s="1">
        <f t="array" ref="CR255">SUMPRODUCT($H255:$Y255,(TRANSPOSE(CR$2:CR$19)))</f>
        <v>1440</v>
      </c>
      <c r="CS255" s="1">
        <f t="array" ref="CS255">SUMPRODUCT($H255:$Y255,(TRANSPOSE(CS$2:CS$19)))</f>
        <v>1920</v>
      </c>
      <c r="CT255" s="1">
        <f t="array" ref="CT255">SUMPRODUCT($H255:$Y255,(TRANSPOSE(CT$2:CT$19)))</f>
        <v>2400</v>
      </c>
      <c r="CU255" s="1">
        <f t="array" ref="CU255">SUMPRODUCT($H255:$Y255,(TRANSPOSE(CU$2:CU$19)))</f>
        <v>2880</v>
      </c>
      <c r="CV255" s="1">
        <f t="array" ref="CV255">SUMPRODUCT($H255:$Y255,(TRANSPOSE(CV$2:CV$19)))</f>
        <v>3360</v>
      </c>
      <c r="CW255" s="1">
        <f t="array" ref="CW255">SUMPRODUCT($H255:$Y255,(TRANSPOSE(CW$2:CW$19)))</f>
        <v>3840</v>
      </c>
      <c r="CX255" s="1">
        <f t="array" ref="CX255">SUMPRODUCT($H255:$Y255,(TRANSPOSE(CX$2:CX$19)))</f>
        <v>4320</v>
      </c>
      <c r="CY255" s="1">
        <f t="array" ref="CY255">SUMPRODUCT($H255:$Y255,(TRANSPOSE(CY$2:CY$19)))</f>
        <v>4800</v>
      </c>
      <c r="CZ255" s="1">
        <f t="array" ref="CZ255">SUMPRODUCT($H255:$Y255,(TRANSPOSE(CZ$2:CZ$19)))</f>
        <v>5280</v>
      </c>
      <c r="DA255" s="1">
        <f t="array" ref="DA255">SUMPRODUCT($H255:$Y255,(TRANSPOSE(DA$2:DA$19)))</f>
        <v>5760</v>
      </c>
      <c r="DB255" s="1">
        <f t="array" ref="DB255">SUMPRODUCT($H255:$Y255,(TRANSPOSE(DB$2:DB$19)))</f>
        <v>6240</v>
      </c>
      <c r="DC255" s="1">
        <f t="array" ref="DC255">SUMPRODUCT($H255:$Y255,(TRANSPOSE(DC$2:DC$19)))</f>
        <v>0</v>
      </c>
      <c r="DD255" s="1">
        <f t="array" ref="DD255">SUMPRODUCT($H255:$Y255,(TRANSPOSE(DD$2:DD$19)))</f>
        <v>0</v>
      </c>
    </row>
    <row r="256" spans="1:108" x14ac:dyDescent="0.2">
      <c r="A256" s="1">
        <v>306</v>
      </c>
      <c r="B256" s="10" t="s">
        <v>234</v>
      </c>
      <c r="C256" s="1" t="s">
        <v>22</v>
      </c>
      <c r="D256" s="1">
        <v>512316308</v>
      </c>
      <c r="F256" s="1" t="s">
        <v>233</v>
      </c>
      <c r="G256" s="1" t="s">
        <v>20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180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f>SUM(H256:Y256)</f>
        <v>180</v>
      </c>
      <c r="AA256" s="1">
        <f>SUMPRODUCT(H256:Y256,$H$16:$Y$16)</f>
        <v>163800</v>
      </c>
      <c r="AB256" s="1" t="s">
        <v>18</v>
      </c>
      <c r="AC256" s="1">
        <v>0</v>
      </c>
      <c r="AD256" s="9"/>
      <c r="AE256" s="1" t="s">
        <v>19</v>
      </c>
      <c r="AF256" s="1">
        <f>AC256</f>
        <v>0</v>
      </c>
      <c r="AG256" s="1">
        <v>1</v>
      </c>
      <c r="AH256" s="1">
        <v>1</v>
      </c>
      <c r="AI256" s="1" t="s">
        <v>18</v>
      </c>
      <c r="AJ256" s="1" t="s">
        <v>18</v>
      </c>
      <c r="AK256" s="1" t="s">
        <v>18</v>
      </c>
      <c r="AL256" s="1" t="s">
        <v>18</v>
      </c>
      <c r="AM256" s="1" t="s">
        <v>18</v>
      </c>
      <c r="AN256" s="2" t="s">
        <v>18</v>
      </c>
      <c r="BO256" s="1">
        <f>SUM($AP256,$AQ256:AQ256)-SUM($CK256:CL256)</f>
        <v>0</v>
      </c>
      <c r="BP256" s="1">
        <f>SUM($AP256,$AQ256:AR256)-SUM($CK256:CM256)</f>
        <v>-1800</v>
      </c>
      <c r="BQ256" s="1">
        <f>SUM($AP256,$AQ256:AS256)-SUM($CK256:CN256)</f>
        <v>-5400</v>
      </c>
      <c r="BR256" s="1">
        <f>SUM($AP256,$AQ256:AT256)-SUM($CK256:CO256)</f>
        <v>-10800</v>
      </c>
      <c r="BS256" s="1">
        <f>SUM($AP256,$AQ256:AU256)-SUM($CK256:CP256)</f>
        <v>-18000</v>
      </c>
      <c r="BT256" s="1">
        <f>SUM($AP256,$AQ256:AV256)-SUM($CK256:CQ256)</f>
        <v>-27000</v>
      </c>
      <c r="BU256" s="1">
        <f>SUM($AP256,$AQ256:AW256)-SUM($CK256:CR256)</f>
        <v>-37800</v>
      </c>
      <c r="BV256" s="1">
        <f>SUM($AP256,$AQ256:AX256)-SUM($CK256:CS256)</f>
        <v>-50400</v>
      </c>
      <c r="BW256" s="1">
        <f>SUM($AP256,$AQ256:AY256)-SUM($CK256:CT256)</f>
        <v>-64800</v>
      </c>
      <c r="BX256" s="1">
        <f>SUM($AP256,$AQ256:AZ256)-SUM($CK256:CU256)</f>
        <v>-81000</v>
      </c>
      <c r="BY256" s="1">
        <f>SUM($AP256,$AQ256:BA256)-SUM($CK256:CV256)</f>
        <v>-99000</v>
      </c>
      <c r="BZ256" s="1">
        <f>SUM($AP256,$AQ256:BB256)-SUM($CK256:CW256)</f>
        <v>-118800</v>
      </c>
      <c r="CA256" s="1">
        <f>SUM($AP256,$AQ256:BC256)-SUM($CK256:CX256)</f>
        <v>-140400</v>
      </c>
      <c r="CB256" s="1">
        <f>SUM($AP256,$AQ256:BD256)-SUM($CK256:CY256)</f>
        <v>-163800</v>
      </c>
      <c r="CC256" s="1">
        <f>SUM($AP256,$AQ256:BE256)-SUM($CK256:CZ256)</f>
        <v>-163800</v>
      </c>
      <c r="CD256" s="1">
        <f>SUM($AP256,$AQ256:BF256)-SUM($CK256:DA256)</f>
        <v>-163800</v>
      </c>
      <c r="CE256" s="1">
        <f>SUM($AP256,$AQ256:BG256)-SUM($CK256:DB256)</f>
        <v>-163800</v>
      </c>
      <c r="CF256" s="1">
        <f>SUM($AP256,$AQ256:BH256)-SUM($CK256:DC256)</f>
        <v>-163800</v>
      </c>
      <c r="CG256" s="1">
        <f>SUM($AP256,$AQ256:BI256)-SUM($CK256:DD256)</f>
        <v>-163800</v>
      </c>
      <c r="CK256" s="1">
        <f t="array" ref="CK256">SUMPRODUCT($H256:$Y256,(TRANSPOSE(CK$2:CK$19)))</f>
        <v>0</v>
      </c>
      <c r="CL256" s="1">
        <f t="array" ref="CL256">SUMPRODUCT($H256:$Y256,(TRANSPOSE(CL$2:CL$19)))</f>
        <v>0</v>
      </c>
      <c r="CM256" s="1">
        <f t="array" ref="CM256">SUMPRODUCT($H256:$Y256,(TRANSPOSE(CM$2:CM$19)))</f>
        <v>1800</v>
      </c>
      <c r="CN256" s="1">
        <f t="array" ref="CN256">SUMPRODUCT($H256:$Y256,(TRANSPOSE(CN$2:CN$19)))</f>
        <v>3600</v>
      </c>
      <c r="CO256" s="1">
        <f t="array" ref="CO256">SUMPRODUCT($H256:$Y256,(TRANSPOSE(CO$2:CO$19)))</f>
        <v>5400</v>
      </c>
      <c r="CP256" s="1">
        <f t="array" ref="CP256">SUMPRODUCT($H256:$Y256,(TRANSPOSE(CP$2:CP$19)))</f>
        <v>7200</v>
      </c>
      <c r="CQ256" s="1">
        <f t="array" ref="CQ256">SUMPRODUCT($H256:$Y256,(TRANSPOSE(CQ$2:CQ$19)))</f>
        <v>9000</v>
      </c>
      <c r="CR256" s="1">
        <f t="array" ref="CR256">SUMPRODUCT($H256:$Y256,(TRANSPOSE(CR$2:CR$19)))</f>
        <v>10800</v>
      </c>
      <c r="CS256" s="1">
        <f t="array" ref="CS256">SUMPRODUCT($H256:$Y256,(TRANSPOSE(CS$2:CS$19)))</f>
        <v>12600</v>
      </c>
      <c r="CT256" s="1">
        <f t="array" ref="CT256">SUMPRODUCT($H256:$Y256,(TRANSPOSE(CT$2:CT$19)))</f>
        <v>14400</v>
      </c>
      <c r="CU256" s="1">
        <f t="array" ref="CU256">SUMPRODUCT($H256:$Y256,(TRANSPOSE(CU$2:CU$19)))</f>
        <v>16200</v>
      </c>
      <c r="CV256" s="1">
        <f t="array" ref="CV256">SUMPRODUCT($H256:$Y256,(TRANSPOSE(CV$2:CV$19)))</f>
        <v>18000</v>
      </c>
      <c r="CW256" s="1">
        <f t="array" ref="CW256">SUMPRODUCT($H256:$Y256,(TRANSPOSE(CW$2:CW$19)))</f>
        <v>19800</v>
      </c>
      <c r="CX256" s="1">
        <f t="array" ref="CX256">SUMPRODUCT($H256:$Y256,(TRANSPOSE(CX$2:CX$19)))</f>
        <v>21600</v>
      </c>
      <c r="CY256" s="1">
        <f t="array" ref="CY256">SUMPRODUCT($H256:$Y256,(TRANSPOSE(CY$2:CY$19)))</f>
        <v>23400</v>
      </c>
      <c r="CZ256" s="1">
        <f t="array" ref="CZ256">SUMPRODUCT($H256:$Y256,(TRANSPOSE(CZ$2:CZ$19)))</f>
        <v>0</v>
      </c>
      <c r="DA256" s="1">
        <f t="array" ref="DA256">SUMPRODUCT($H256:$Y256,(TRANSPOSE(DA$2:DA$19)))</f>
        <v>0</v>
      </c>
      <c r="DB256" s="1">
        <f t="array" ref="DB256">SUMPRODUCT($H256:$Y256,(TRANSPOSE(DB$2:DB$19)))</f>
        <v>0</v>
      </c>
      <c r="DC256" s="1">
        <f t="array" ref="DC256">SUMPRODUCT($H256:$Y256,(TRANSPOSE(DC$2:DC$19)))</f>
        <v>0</v>
      </c>
      <c r="DD256" s="1">
        <f t="array" ref="DD256">SUMPRODUCT($H256:$Y256,(TRANSPOSE(DD$2:DD$19)))</f>
        <v>0</v>
      </c>
    </row>
    <row r="257" spans="1:108" x14ac:dyDescent="0.2">
      <c r="A257" s="1">
        <v>309</v>
      </c>
      <c r="B257" s="10" t="s">
        <v>232</v>
      </c>
      <c r="C257" s="1" t="s">
        <v>22</v>
      </c>
      <c r="D257" s="1">
        <v>512346461</v>
      </c>
      <c r="F257" s="1" t="s">
        <v>215</v>
      </c>
      <c r="G257" s="1" t="s">
        <v>20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2</v>
      </c>
      <c r="S257" s="1">
        <v>0</v>
      </c>
      <c r="T257" s="1">
        <v>0</v>
      </c>
      <c r="U257" s="1">
        <v>0</v>
      </c>
      <c r="V257" s="1">
        <v>2</v>
      </c>
      <c r="W257" s="1">
        <v>0</v>
      </c>
      <c r="X257" s="1">
        <v>0</v>
      </c>
      <c r="Y257" s="1">
        <v>0</v>
      </c>
      <c r="Z257" s="1">
        <f>SUM(H257:Y257)</f>
        <v>4</v>
      </c>
      <c r="AA257" s="1">
        <f>SUMPRODUCT(H257:Y257,$H$16:$Y$16)</f>
        <v>3640</v>
      </c>
      <c r="AB257" s="1" t="s">
        <v>184</v>
      </c>
      <c r="AC257" s="1">
        <v>0.32700000000000001</v>
      </c>
      <c r="AD257" s="9"/>
      <c r="AE257" s="1" t="s">
        <v>28</v>
      </c>
      <c r="AF257" s="1">
        <f>AC257</f>
        <v>0.32700000000000001</v>
      </c>
      <c r="AH257" s="1">
        <v>1</v>
      </c>
      <c r="AK257" s="1" t="s">
        <v>183</v>
      </c>
      <c r="AL257" s="1" t="s">
        <v>182</v>
      </c>
      <c r="AM257" s="1" t="s">
        <v>181</v>
      </c>
      <c r="AN257" s="2" t="s">
        <v>180</v>
      </c>
      <c r="BO257" s="1">
        <f>SUM($AP257,$AQ257:AQ257)-SUM($CK257:CL257)</f>
        <v>0</v>
      </c>
      <c r="BP257" s="1">
        <f>SUM($AP257,$AQ257:AR257)-SUM($CK257:CM257)</f>
        <v>0</v>
      </c>
      <c r="BQ257" s="1">
        <f>SUM($AP257,$AQ257:AS257)-SUM($CK257:CN257)</f>
        <v>0</v>
      </c>
      <c r="BR257" s="1">
        <f>SUM($AP257,$AQ257:AT257)-SUM($CK257:CO257)</f>
        <v>0</v>
      </c>
      <c r="BS257" s="1">
        <f>SUM($AP257,$AQ257:AU257)-SUM($CK257:CP257)</f>
        <v>0</v>
      </c>
      <c r="BT257" s="1">
        <f>SUM($AP257,$AQ257:AV257)-SUM($CK257:CQ257)</f>
        <v>-40</v>
      </c>
      <c r="BU257" s="1">
        <f>SUM($AP257,$AQ257:AW257)-SUM($CK257:CR257)</f>
        <v>-120</v>
      </c>
      <c r="BV257" s="1">
        <f>SUM($AP257,$AQ257:AX257)-SUM($CK257:CS257)</f>
        <v>-240</v>
      </c>
      <c r="BW257" s="1">
        <f>SUM($AP257,$AQ257:AY257)-SUM($CK257:CT257)</f>
        <v>-400</v>
      </c>
      <c r="BX257" s="1">
        <f>SUM($AP257,$AQ257:AZ257)-SUM($CK257:CU257)</f>
        <v>-600</v>
      </c>
      <c r="BY257" s="1">
        <f>SUM($AP257,$AQ257:BA257)-SUM($CK257:CV257)</f>
        <v>-840</v>
      </c>
      <c r="BZ257" s="1">
        <f>SUM($AP257,$AQ257:BB257)-SUM($CK257:CW257)</f>
        <v>-1120</v>
      </c>
      <c r="CA257" s="1">
        <f>SUM($AP257,$AQ257:BC257)-SUM($CK257:CX257)</f>
        <v>-1440</v>
      </c>
      <c r="CB257" s="1">
        <f>SUM($AP257,$AQ257:BD257)-SUM($CK257:CY257)</f>
        <v>-1800</v>
      </c>
      <c r="CC257" s="1">
        <f>SUM($AP257,$AQ257:BE257)-SUM($CK257:CZ257)</f>
        <v>-2200</v>
      </c>
      <c r="CD257" s="1">
        <f>SUM($AP257,$AQ257:BF257)-SUM($CK257:DA257)</f>
        <v>-2640</v>
      </c>
      <c r="CE257" s="1">
        <f>SUM($AP257,$AQ257:BG257)-SUM($CK257:DB257)</f>
        <v>-3120</v>
      </c>
      <c r="CF257" s="1">
        <f>SUM($AP257,$AQ257:BH257)-SUM($CK257:DC257)</f>
        <v>-3640</v>
      </c>
      <c r="CG257" s="1">
        <f>SUM($AP257,$AQ257:BI257)-SUM($CK257:DD257)</f>
        <v>-3640</v>
      </c>
      <c r="CK257" s="1">
        <f t="array" ref="CK257">SUMPRODUCT($H257:$Y257,(TRANSPOSE(CK$2:CK$19)))</f>
        <v>0</v>
      </c>
      <c r="CL257" s="1">
        <f t="array" ref="CL257">SUMPRODUCT($H257:$Y257,(TRANSPOSE(CL$2:CL$19)))</f>
        <v>0</v>
      </c>
      <c r="CM257" s="1">
        <f t="array" ref="CM257">SUMPRODUCT($H257:$Y257,(TRANSPOSE(CM$2:CM$19)))</f>
        <v>0</v>
      </c>
      <c r="CN257" s="1">
        <f t="array" ref="CN257">SUMPRODUCT($H257:$Y257,(TRANSPOSE(CN$2:CN$19)))</f>
        <v>0</v>
      </c>
      <c r="CO257" s="1">
        <f t="array" ref="CO257">SUMPRODUCT($H257:$Y257,(TRANSPOSE(CO$2:CO$19)))</f>
        <v>0</v>
      </c>
      <c r="CP257" s="1">
        <f t="array" ref="CP257">SUMPRODUCT($H257:$Y257,(TRANSPOSE(CP$2:CP$19)))</f>
        <v>0</v>
      </c>
      <c r="CQ257" s="1">
        <f t="array" ref="CQ257">SUMPRODUCT($H257:$Y257,(TRANSPOSE(CQ$2:CQ$19)))</f>
        <v>40</v>
      </c>
      <c r="CR257" s="1">
        <f t="array" ref="CR257">SUMPRODUCT($H257:$Y257,(TRANSPOSE(CR$2:CR$19)))</f>
        <v>80</v>
      </c>
      <c r="CS257" s="1">
        <f t="array" ref="CS257">SUMPRODUCT($H257:$Y257,(TRANSPOSE(CS$2:CS$19)))</f>
        <v>120</v>
      </c>
      <c r="CT257" s="1">
        <f t="array" ref="CT257">SUMPRODUCT($H257:$Y257,(TRANSPOSE(CT$2:CT$19)))</f>
        <v>160</v>
      </c>
      <c r="CU257" s="1">
        <f t="array" ref="CU257">SUMPRODUCT($H257:$Y257,(TRANSPOSE(CU$2:CU$19)))</f>
        <v>200</v>
      </c>
      <c r="CV257" s="1">
        <f t="array" ref="CV257">SUMPRODUCT($H257:$Y257,(TRANSPOSE(CV$2:CV$19)))</f>
        <v>240</v>
      </c>
      <c r="CW257" s="1">
        <f t="array" ref="CW257">SUMPRODUCT($H257:$Y257,(TRANSPOSE(CW$2:CW$19)))</f>
        <v>280</v>
      </c>
      <c r="CX257" s="1">
        <f t="array" ref="CX257">SUMPRODUCT($H257:$Y257,(TRANSPOSE(CX$2:CX$19)))</f>
        <v>320</v>
      </c>
      <c r="CY257" s="1">
        <f t="array" ref="CY257">SUMPRODUCT($H257:$Y257,(TRANSPOSE(CY$2:CY$19)))</f>
        <v>360</v>
      </c>
      <c r="CZ257" s="1">
        <f t="array" ref="CZ257">SUMPRODUCT($H257:$Y257,(TRANSPOSE(CZ$2:CZ$19)))</f>
        <v>400</v>
      </c>
      <c r="DA257" s="1">
        <f t="array" ref="DA257">SUMPRODUCT($H257:$Y257,(TRANSPOSE(DA$2:DA$19)))</f>
        <v>440</v>
      </c>
      <c r="DB257" s="1">
        <f t="array" ref="DB257">SUMPRODUCT($H257:$Y257,(TRANSPOSE(DB$2:DB$19)))</f>
        <v>480</v>
      </c>
      <c r="DC257" s="1">
        <f t="array" ref="DC257">SUMPRODUCT($H257:$Y257,(TRANSPOSE(DC$2:DC$19)))</f>
        <v>520</v>
      </c>
      <c r="DD257" s="1">
        <f t="array" ref="DD257">SUMPRODUCT($H257:$Y257,(TRANSPOSE(DD$2:DD$19)))</f>
        <v>0</v>
      </c>
    </row>
    <row r="258" spans="1:108" x14ac:dyDescent="0.2">
      <c r="A258" s="1">
        <v>310</v>
      </c>
      <c r="B258" s="10" t="s">
        <v>231</v>
      </c>
      <c r="C258" s="1" t="s">
        <v>22</v>
      </c>
      <c r="D258" s="1">
        <v>514301548</v>
      </c>
      <c r="F258" s="1" t="s">
        <v>226</v>
      </c>
      <c r="G258" s="1" t="s">
        <v>20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32</v>
      </c>
      <c r="T258" s="1">
        <v>0</v>
      </c>
      <c r="U258" s="1">
        <v>4</v>
      </c>
      <c r="V258" s="1">
        <v>0</v>
      </c>
      <c r="W258" s="1">
        <v>32</v>
      </c>
      <c r="X258" s="1">
        <v>0</v>
      </c>
      <c r="Y258" s="1">
        <v>4</v>
      </c>
      <c r="Z258" s="1">
        <f>SUM(H258:Y258)</f>
        <v>72</v>
      </c>
      <c r="AA258" s="1">
        <f>SUMPRODUCT(H258:Y258,$H$16:$Y$16)</f>
        <v>65520</v>
      </c>
      <c r="AB258" s="1" t="s">
        <v>184</v>
      </c>
      <c r="AC258" s="1">
        <v>1.2500000000000001E-2</v>
      </c>
      <c r="AD258" s="9"/>
      <c r="AE258" s="1" t="s">
        <v>28</v>
      </c>
      <c r="AF258" s="1">
        <f>AC258</f>
        <v>1.2500000000000001E-2</v>
      </c>
      <c r="AH258" s="1">
        <v>1</v>
      </c>
      <c r="AK258" s="1" t="s">
        <v>183</v>
      </c>
      <c r="AL258" s="1" t="s">
        <v>182</v>
      </c>
      <c r="AM258" s="1" t="s">
        <v>181</v>
      </c>
      <c r="AN258" s="2" t="s">
        <v>180</v>
      </c>
      <c r="BO258" s="1">
        <f>SUM($AP258,$AQ258:AQ258)-SUM($CK258:CL258)</f>
        <v>0</v>
      </c>
      <c r="BP258" s="1">
        <f>SUM($AP258,$AQ258:AR258)-SUM($CK258:CM258)</f>
        <v>0</v>
      </c>
      <c r="BQ258" s="1">
        <f>SUM($AP258,$AQ258:AS258)-SUM($CK258:CN258)</f>
        <v>0</v>
      </c>
      <c r="BR258" s="1">
        <f>SUM($AP258,$AQ258:AT258)-SUM($CK258:CO258)</f>
        <v>-80</v>
      </c>
      <c r="BS258" s="1">
        <f>SUM($AP258,$AQ258:AU258)-SUM($CK258:CP258)</f>
        <v>-880</v>
      </c>
      <c r="BT258" s="1">
        <f>SUM($AP258,$AQ258:AV258)-SUM($CK258:CQ258)</f>
        <v>-2400</v>
      </c>
      <c r="BU258" s="1">
        <f>SUM($AP258,$AQ258:AW258)-SUM($CK258:CR258)</f>
        <v>-4640</v>
      </c>
      <c r="BV258" s="1">
        <f>SUM($AP258,$AQ258:AX258)-SUM($CK258:CS258)</f>
        <v>-7600</v>
      </c>
      <c r="BW258" s="1">
        <f>SUM($AP258,$AQ258:AY258)-SUM($CK258:CT258)</f>
        <v>-11280</v>
      </c>
      <c r="BX258" s="1">
        <f>SUM($AP258,$AQ258:AZ258)-SUM($CK258:CU258)</f>
        <v>-15680</v>
      </c>
      <c r="BY258" s="1">
        <f>SUM($AP258,$AQ258:BA258)-SUM($CK258:CV258)</f>
        <v>-20800</v>
      </c>
      <c r="BZ258" s="1">
        <f>SUM($AP258,$AQ258:BB258)-SUM($CK258:CW258)</f>
        <v>-26640</v>
      </c>
      <c r="CA258" s="1">
        <f>SUM($AP258,$AQ258:BC258)-SUM($CK258:CX258)</f>
        <v>-33200</v>
      </c>
      <c r="CB258" s="1">
        <f>SUM($AP258,$AQ258:BD258)-SUM($CK258:CY258)</f>
        <v>-40480</v>
      </c>
      <c r="CC258" s="1">
        <f>SUM($AP258,$AQ258:BE258)-SUM($CK258:CZ258)</f>
        <v>-48480</v>
      </c>
      <c r="CD258" s="1">
        <f>SUM($AP258,$AQ258:BF258)-SUM($CK258:DA258)</f>
        <v>-57200</v>
      </c>
      <c r="CE258" s="1">
        <f>SUM($AP258,$AQ258:BG258)-SUM($CK258:DB258)</f>
        <v>-65520</v>
      </c>
      <c r="CF258" s="1">
        <f>SUM($AP258,$AQ258:BH258)-SUM($CK258:DC258)</f>
        <v>-65520</v>
      </c>
      <c r="CG258" s="1">
        <f>SUM($AP258,$AQ258:BI258)-SUM($CK258:DD258)</f>
        <v>-65520</v>
      </c>
      <c r="CK258" s="1">
        <f t="array" ref="CK258">SUMPRODUCT($H258:$Y258,(TRANSPOSE(CK$2:CK$19)))</f>
        <v>0</v>
      </c>
      <c r="CL258" s="1">
        <f t="array" ref="CL258">SUMPRODUCT($H258:$Y258,(TRANSPOSE(CL$2:CL$19)))</f>
        <v>0</v>
      </c>
      <c r="CM258" s="1">
        <f t="array" ref="CM258">SUMPRODUCT($H258:$Y258,(TRANSPOSE(CM$2:CM$19)))</f>
        <v>0</v>
      </c>
      <c r="CN258" s="1">
        <f t="array" ref="CN258">SUMPRODUCT($H258:$Y258,(TRANSPOSE(CN$2:CN$19)))</f>
        <v>0</v>
      </c>
      <c r="CO258" s="1">
        <f t="array" ref="CO258">SUMPRODUCT($H258:$Y258,(TRANSPOSE(CO$2:CO$19)))</f>
        <v>80</v>
      </c>
      <c r="CP258" s="1">
        <f t="array" ref="CP258">SUMPRODUCT($H258:$Y258,(TRANSPOSE(CP$2:CP$19)))</f>
        <v>800</v>
      </c>
      <c r="CQ258" s="1">
        <f t="array" ref="CQ258">SUMPRODUCT($H258:$Y258,(TRANSPOSE(CQ$2:CQ$19)))</f>
        <v>1520</v>
      </c>
      <c r="CR258" s="1">
        <f t="array" ref="CR258">SUMPRODUCT($H258:$Y258,(TRANSPOSE(CR$2:CR$19)))</f>
        <v>2240</v>
      </c>
      <c r="CS258" s="1">
        <f t="array" ref="CS258">SUMPRODUCT($H258:$Y258,(TRANSPOSE(CS$2:CS$19)))</f>
        <v>2960</v>
      </c>
      <c r="CT258" s="1">
        <f t="array" ref="CT258">SUMPRODUCT($H258:$Y258,(TRANSPOSE(CT$2:CT$19)))</f>
        <v>3680</v>
      </c>
      <c r="CU258" s="1">
        <f t="array" ref="CU258">SUMPRODUCT($H258:$Y258,(TRANSPOSE(CU$2:CU$19)))</f>
        <v>4400</v>
      </c>
      <c r="CV258" s="1">
        <f t="array" ref="CV258">SUMPRODUCT($H258:$Y258,(TRANSPOSE(CV$2:CV$19)))</f>
        <v>5120</v>
      </c>
      <c r="CW258" s="1">
        <f t="array" ref="CW258">SUMPRODUCT($H258:$Y258,(TRANSPOSE(CW$2:CW$19)))</f>
        <v>5840</v>
      </c>
      <c r="CX258" s="1">
        <f t="array" ref="CX258">SUMPRODUCT($H258:$Y258,(TRANSPOSE(CX$2:CX$19)))</f>
        <v>6560</v>
      </c>
      <c r="CY258" s="1">
        <f t="array" ref="CY258">SUMPRODUCT($H258:$Y258,(TRANSPOSE(CY$2:CY$19)))</f>
        <v>7280</v>
      </c>
      <c r="CZ258" s="1">
        <f t="array" ref="CZ258">SUMPRODUCT($H258:$Y258,(TRANSPOSE(CZ$2:CZ$19)))</f>
        <v>8000</v>
      </c>
      <c r="DA258" s="1">
        <f t="array" ref="DA258">SUMPRODUCT($H258:$Y258,(TRANSPOSE(DA$2:DA$19)))</f>
        <v>8720</v>
      </c>
      <c r="DB258" s="1">
        <f t="array" ref="DB258">SUMPRODUCT($H258:$Y258,(TRANSPOSE(DB$2:DB$19)))</f>
        <v>8320</v>
      </c>
      <c r="DC258" s="1">
        <f t="array" ref="DC258">SUMPRODUCT($H258:$Y258,(TRANSPOSE(DC$2:DC$19)))</f>
        <v>0</v>
      </c>
      <c r="DD258" s="1">
        <f t="array" ref="DD258">SUMPRODUCT($H258:$Y258,(TRANSPOSE(DD$2:DD$19)))</f>
        <v>0</v>
      </c>
    </row>
    <row r="259" spans="1:108" x14ac:dyDescent="0.2">
      <c r="A259" s="1">
        <v>311</v>
      </c>
      <c r="B259" s="10" t="s">
        <v>230</v>
      </c>
      <c r="C259" s="1" t="s">
        <v>22</v>
      </c>
      <c r="D259" s="1">
        <v>514301316</v>
      </c>
      <c r="F259" s="1" t="s">
        <v>226</v>
      </c>
      <c r="G259" s="1" t="s">
        <v>20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28</v>
      </c>
      <c r="S259" s="1">
        <v>52</v>
      </c>
      <c r="T259" s="1">
        <v>0</v>
      </c>
      <c r="U259" s="1">
        <v>0</v>
      </c>
      <c r="V259" s="1">
        <v>28</v>
      </c>
      <c r="W259" s="1">
        <v>52</v>
      </c>
      <c r="X259" s="1">
        <v>0</v>
      </c>
      <c r="Y259" s="1">
        <v>0</v>
      </c>
      <c r="Z259" s="1">
        <f>SUM(H259:Y259)</f>
        <v>160</v>
      </c>
      <c r="AA259" s="1">
        <f>SUMPRODUCT(H259:Y259,$H$16:$Y$16)</f>
        <v>145600</v>
      </c>
      <c r="AB259" s="1" t="s">
        <v>184</v>
      </c>
      <c r="AC259" s="1">
        <v>1.35E-2</v>
      </c>
      <c r="AD259" s="9"/>
      <c r="AE259" s="1" t="s">
        <v>28</v>
      </c>
      <c r="AF259" s="1">
        <f>AC259</f>
        <v>1.35E-2</v>
      </c>
      <c r="AH259" s="1">
        <v>1</v>
      </c>
      <c r="AK259" s="1" t="s">
        <v>183</v>
      </c>
      <c r="AL259" s="1" t="s">
        <v>182</v>
      </c>
      <c r="AM259" s="1" t="s">
        <v>181</v>
      </c>
      <c r="AN259" s="2" t="s">
        <v>180</v>
      </c>
      <c r="BO259" s="1">
        <f>SUM($AP259,$AQ259:AQ259)-SUM($CK259:CL259)</f>
        <v>0</v>
      </c>
      <c r="BP259" s="1">
        <f>SUM($AP259,$AQ259:AR259)-SUM($CK259:CM259)</f>
        <v>0</v>
      </c>
      <c r="BQ259" s="1">
        <f>SUM($AP259,$AQ259:AS259)-SUM($CK259:CN259)</f>
        <v>0</v>
      </c>
      <c r="BR259" s="1">
        <f>SUM($AP259,$AQ259:AT259)-SUM($CK259:CO259)</f>
        <v>0</v>
      </c>
      <c r="BS259" s="1">
        <f>SUM($AP259,$AQ259:AU259)-SUM($CK259:CP259)</f>
        <v>-1040</v>
      </c>
      <c r="BT259" s="1">
        <f>SUM($AP259,$AQ259:AV259)-SUM($CK259:CQ259)</f>
        <v>-3680</v>
      </c>
      <c r="BU259" s="1">
        <f>SUM($AP259,$AQ259:AW259)-SUM($CK259:CR259)</f>
        <v>-7920</v>
      </c>
      <c r="BV259" s="1">
        <f>SUM($AP259,$AQ259:AX259)-SUM($CK259:CS259)</f>
        <v>-13760</v>
      </c>
      <c r="BW259" s="1">
        <f>SUM($AP259,$AQ259:AY259)-SUM($CK259:CT259)</f>
        <v>-21200</v>
      </c>
      <c r="BX259" s="1">
        <f>SUM($AP259,$AQ259:AZ259)-SUM($CK259:CU259)</f>
        <v>-30240</v>
      </c>
      <c r="BY259" s="1">
        <f>SUM($AP259,$AQ259:BA259)-SUM($CK259:CV259)</f>
        <v>-40880</v>
      </c>
      <c r="BZ259" s="1">
        <f>SUM($AP259,$AQ259:BB259)-SUM($CK259:CW259)</f>
        <v>-53120</v>
      </c>
      <c r="CA259" s="1">
        <f>SUM($AP259,$AQ259:BC259)-SUM($CK259:CX259)</f>
        <v>-66960</v>
      </c>
      <c r="CB259" s="1">
        <f>SUM($AP259,$AQ259:BD259)-SUM($CK259:CY259)</f>
        <v>-82400</v>
      </c>
      <c r="CC259" s="1">
        <f>SUM($AP259,$AQ259:BE259)-SUM($CK259:CZ259)</f>
        <v>-99440</v>
      </c>
      <c r="CD259" s="1">
        <f>SUM($AP259,$AQ259:BF259)-SUM($CK259:DA259)</f>
        <v>-118080</v>
      </c>
      <c r="CE259" s="1">
        <f>SUM($AP259,$AQ259:BG259)-SUM($CK259:DB259)</f>
        <v>-138320</v>
      </c>
      <c r="CF259" s="1">
        <f>SUM($AP259,$AQ259:BH259)-SUM($CK259:DC259)</f>
        <v>-145600</v>
      </c>
      <c r="CG259" s="1">
        <f>SUM($AP259,$AQ259:BI259)-SUM($CK259:DD259)</f>
        <v>-145600</v>
      </c>
      <c r="CK259" s="1">
        <f t="array" ref="CK259">SUMPRODUCT($H259:$Y259,(TRANSPOSE(CK$2:CK$19)))</f>
        <v>0</v>
      </c>
      <c r="CL259" s="1">
        <f t="array" ref="CL259">SUMPRODUCT($H259:$Y259,(TRANSPOSE(CL$2:CL$19)))</f>
        <v>0</v>
      </c>
      <c r="CM259" s="1">
        <f t="array" ref="CM259">SUMPRODUCT($H259:$Y259,(TRANSPOSE(CM$2:CM$19)))</f>
        <v>0</v>
      </c>
      <c r="CN259" s="1">
        <f t="array" ref="CN259">SUMPRODUCT($H259:$Y259,(TRANSPOSE(CN$2:CN$19)))</f>
        <v>0</v>
      </c>
      <c r="CO259" s="1">
        <f t="array" ref="CO259">SUMPRODUCT($H259:$Y259,(TRANSPOSE(CO$2:CO$19)))</f>
        <v>0</v>
      </c>
      <c r="CP259" s="1">
        <f t="array" ref="CP259">SUMPRODUCT($H259:$Y259,(TRANSPOSE(CP$2:CP$19)))</f>
        <v>1040</v>
      </c>
      <c r="CQ259" s="1">
        <f t="array" ref="CQ259">SUMPRODUCT($H259:$Y259,(TRANSPOSE(CQ$2:CQ$19)))</f>
        <v>2640</v>
      </c>
      <c r="CR259" s="1">
        <f t="array" ref="CR259">SUMPRODUCT($H259:$Y259,(TRANSPOSE(CR$2:CR$19)))</f>
        <v>4240</v>
      </c>
      <c r="CS259" s="1">
        <f t="array" ref="CS259">SUMPRODUCT($H259:$Y259,(TRANSPOSE(CS$2:CS$19)))</f>
        <v>5840</v>
      </c>
      <c r="CT259" s="1">
        <f t="array" ref="CT259">SUMPRODUCT($H259:$Y259,(TRANSPOSE(CT$2:CT$19)))</f>
        <v>7440</v>
      </c>
      <c r="CU259" s="1">
        <f t="array" ref="CU259">SUMPRODUCT($H259:$Y259,(TRANSPOSE(CU$2:CU$19)))</f>
        <v>9040</v>
      </c>
      <c r="CV259" s="1">
        <f t="array" ref="CV259">SUMPRODUCT($H259:$Y259,(TRANSPOSE(CV$2:CV$19)))</f>
        <v>10640</v>
      </c>
      <c r="CW259" s="1">
        <f t="array" ref="CW259">SUMPRODUCT($H259:$Y259,(TRANSPOSE(CW$2:CW$19)))</f>
        <v>12240</v>
      </c>
      <c r="CX259" s="1">
        <f t="array" ref="CX259">SUMPRODUCT($H259:$Y259,(TRANSPOSE(CX$2:CX$19)))</f>
        <v>13840</v>
      </c>
      <c r="CY259" s="1">
        <f t="array" ref="CY259">SUMPRODUCT($H259:$Y259,(TRANSPOSE(CY$2:CY$19)))</f>
        <v>15440</v>
      </c>
      <c r="CZ259" s="1">
        <f t="array" ref="CZ259">SUMPRODUCT($H259:$Y259,(TRANSPOSE(CZ$2:CZ$19)))</f>
        <v>17040</v>
      </c>
      <c r="DA259" s="1">
        <f t="array" ref="DA259">SUMPRODUCT($H259:$Y259,(TRANSPOSE(DA$2:DA$19)))</f>
        <v>18640</v>
      </c>
      <c r="DB259" s="1">
        <f t="array" ref="DB259">SUMPRODUCT($H259:$Y259,(TRANSPOSE(DB$2:DB$19)))</f>
        <v>20240</v>
      </c>
      <c r="DC259" s="1">
        <f t="array" ref="DC259">SUMPRODUCT($H259:$Y259,(TRANSPOSE(DC$2:DC$19)))</f>
        <v>7280</v>
      </c>
      <c r="DD259" s="1">
        <f t="array" ref="DD259">SUMPRODUCT($H259:$Y259,(TRANSPOSE(DD$2:DD$19)))</f>
        <v>0</v>
      </c>
    </row>
    <row r="260" spans="1:108" x14ac:dyDescent="0.2">
      <c r="A260" s="1">
        <v>312</v>
      </c>
      <c r="B260" s="10" t="s">
        <v>229</v>
      </c>
      <c r="C260" s="1" t="s">
        <v>22</v>
      </c>
      <c r="D260" s="1">
        <v>514301324</v>
      </c>
      <c r="F260" s="1" t="s">
        <v>228</v>
      </c>
      <c r="G260" s="1" t="s">
        <v>20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138</v>
      </c>
      <c r="T260" s="1">
        <v>0</v>
      </c>
      <c r="U260" s="1">
        <v>0</v>
      </c>
      <c r="V260" s="1">
        <v>12</v>
      </c>
      <c r="W260" s="1">
        <v>138</v>
      </c>
      <c r="X260" s="1">
        <v>0</v>
      </c>
      <c r="Y260" s="1">
        <v>0</v>
      </c>
      <c r="Z260" s="1">
        <f>SUM(H260:Y260)</f>
        <v>288</v>
      </c>
      <c r="AA260" s="1">
        <f>SUMPRODUCT(H260:Y260,$H$16:$Y$16)</f>
        <v>262080</v>
      </c>
      <c r="AB260" s="1" t="s">
        <v>184</v>
      </c>
      <c r="AC260" s="1">
        <v>1.35E-2</v>
      </c>
      <c r="AD260" s="9"/>
      <c r="AE260" s="1" t="s">
        <v>28</v>
      </c>
      <c r="AF260" s="1">
        <f>AC260</f>
        <v>1.35E-2</v>
      </c>
      <c r="AH260" s="1">
        <v>1</v>
      </c>
      <c r="AK260" s="1" t="s">
        <v>183</v>
      </c>
      <c r="AL260" s="1" t="s">
        <v>182</v>
      </c>
      <c r="AM260" s="1" t="s">
        <v>181</v>
      </c>
      <c r="AN260" s="2" t="s">
        <v>180</v>
      </c>
      <c r="BO260" s="1">
        <f>SUM($AP260,$AQ260:AQ260)-SUM($CK260:CL260)</f>
        <v>0</v>
      </c>
      <c r="BP260" s="1">
        <f>SUM($AP260,$AQ260:AR260)-SUM($CK260:CM260)</f>
        <v>0</v>
      </c>
      <c r="BQ260" s="1">
        <f>SUM($AP260,$AQ260:AS260)-SUM($CK260:CN260)</f>
        <v>0</v>
      </c>
      <c r="BR260" s="1">
        <f>SUM($AP260,$AQ260:AT260)-SUM($CK260:CO260)</f>
        <v>0</v>
      </c>
      <c r="BS260" s="1">
        <f>SUM($AP260,$AQ260:AU260)-SUM($CK260:CP260)</f>
        <v>-2760</v>
      </c>
      <c r="BT260" s="1">
        <f>SUM($AP260,$AQ260:AV260)-SUM($CK260:CQ260)</f>
        <v>-8400</v>
      </c>
      <c r="BU260" s="1">
        <f>SUM($AP260,$AQ260:AW260)-SUM($CK260:CR260)</f>
        <v>-16920</v>
      </c>
      <c r="BV260" s="1">
        <f>SUM($AP260,$AQ260:AX260)-SUM($CK260:CS260)</f>
        <v>-28320</v>
      </c>
      <c r="BW260" s="1">
        <f>SUM($AP260,$AQ260:AY260)-SUM($CK260:CT260)</f>
        <v>-42600</v>
      </c>
      <c r="BX260" s="1">
        <f>SUM($AP260,$AQ260:AZ260)-SUM($CK260:CU260)</f>
        <v>-59760</v>
      </c>
      <c r="BY260" s="1">
        <f>SUM($AP260,$AQ260:BA260)-SUM($CK260:CV260)</f>
        <v>-79800</v>
      </c>
      <c r="BZ260" s="1">
        <f>SUM($AP260,$AQ260:BB260)-SUM($CK260:CW260)</f>
        <v>-102720</v>
      </c>
      <c r="CA260" s="1">
        <f>SUM($AP260,$AQ260:BC260)-SUM($CK260:CX260)</f>
        <v>-128520</v>
      </c>
      <c r="CB260" s="1">
        <f>SUM($AP260,$AQ260:BD260)-SUM($CK260:CY260)</f>
        <v>-157200</v>
      </c>
      <c r="CC260" s="1">
        <f>SUM($AP260,$AQ260:BE260)-SUM($CK260:CZ260)</f>
        <v>-188760</v>
      </c>
      <c r="CD260" s="1">
        <f>SUM($AP260,$AQ260:BF260)-SUM($CK260:DA260)</f>
        <v>-223200</v>
      </c>
      <c r="CE260" s="1">
        <f>SUM($AP260,$AQ260:BG260)-SUM($CK260:DB260)</f>
        <v>-260520</v>
      </c>
      <c r="CF260" s="1">
        <f>SUM($AP260,$AQ260:BH260)-SUM($CK260:DC260)</f>
        <v>-262080</v>
      </c>
      <c r="CG260" s="1">
        <f>SUM($AP260,$AQ260:BI260)-SUM($CK260:DD260)</f>
        <v>-262080</v>
      </c>
      <c r="CK260" s="1">
        <f t="array" ref="CK260">SUMPRODUCT($H260:$Y260,(TRANSPOSE(CK$2:CK$19)))</f>
        <v>0</v>
      </c>
      <c r="CL260" s="1">
        <f t="array" ref="CL260">SUMPRODUCT($H260:$Y260,(TRANSPOSE(CL$2:CL$19)))</f>
        <v>0</v>
      </c>
      <c r="CM260" s="1">
        <f t="array" ref="CM260">SUMPRODUCT($H260:$Y260,(TRANSPOSE(CM$2:CM$19)))</f>
        <v>0</v>
      </c>
      <c r="CN260" s="1">
        <f t="array" ref="CN260">SUMPRODUCT($H260:$Y260,(TRANSPOSE(CN$2:CN$19)))</f>
        <v>0</v>
      </c>
      <c r="CO260" s="1">
        <f t="array" ref="CO260">SUMPRODUCT($H260:$Y260,(TRANSPOSE(CO$2:CO$19)))</f>
        <v>0</v>
      </c>
      <c r="CP260" s="1">
        <f t="array" ref="CP260">SUMPRODUCT($H260:$Y260,(TRANSPOSE(CP$2:CP$19)))</f>
        <v>2760</v>
      </c>
      <c r="CQ260" s="1">
        <f t="array" ref="CQ260">SUMPRODUCT($H260:$Y260,(TRANSPOSE(CQ$2:CQ$19)))</f>
        <v>5640</v>
      </c>
      <c r="CR260" s="1">
        <f t="array" ref="CR260">SUMPRODUCT($H260:$Y260,(TRANSPOSE(CR$2:CR$19)))</f>
        <v>8520</v>
      </c>
      <c r="CS260" s="1">
        <f t="array" ref="CS260">SUMPRODUCT($H260:$Y260,(TRANSPOSE(CS$2:CS$19)))</f>
        <v>11400</v>
      </c>
      <c r="CT260" s="1">
        <f t="array" ref="CT260">SUMPRODUCT($H260:$Y260,(TRANSPOSE(CT$2:CT$19)))</f>
        <v>14280</v>
      </c>
      <c r="CU260" s="1">
        <f t="array" ref="CU260">SUMPRODUCT($H260:$Y260,(TRANSPOSE(CU$2:CU$19)))</f>
        <v>17160</v>
      </c>
      <c r="CV260" s="1">
        <f t="array" ref="CV260">SUMPRODUCT($H260:$Y260,(TRANSPOSE(CV$2:CV$19)))</f>
        <v>20040</v>
      </c>
      <c r="CW260" s="1">
        <f t="array" ref="CW260">SUMPRODUCT($H260:$Y260,(TRANSPOSE(CW$2:CW$19)))</f>
        <v>22920</v>
      </c>
      <c r="CX260" s="1">
        <f t="array" ref="CX260">SUMPRODUCT($H260:$Y260,(TRANSPOSE(CX$2:CX$19)))</f>
        <v>25800</v>
      </c>
      <c r="CY260" s="1">
        <f t="array" ref="CY260">SUMPRODUCT($H260:$Y260,(TRANSPOSE(CY$2:CY$19)))</f>
        <v>28680</v>
      </c>
      <c r="CZ260" s="1">
        <f t="array" ref="CZ260">SUMPRODUCT($H260:$Y260,(TRANSPOSE(CZ$2:CZ$19)))</f>
        <v>31560</v>
      </c>
      <c r="DA260" s="1">
        <f t="array" ref="DA260">SUMPRODUCT($H260:$Y260,(TRANSPOSE(DA$2:DA$19)))</f>
        <v>34440</v>
      </c>
      <c r="DB260" s="1">
        <f t="array" ref="DB260">SUMPRODUCT($H260:$Y260,(TRANSPOSE(DB$2:DB$19)))</f>
        <v>37320</v>
      </c>
      <c r="DC260" s="1">
        <f t="array" ref="DC260">SUMPRODUCT($H260:$Y260,(TRANSPOSE(DC$2:DC$19)))</f>
        <v>1560</v>
      </c>
      <c r="DD260" s="1">
        <f t="array" ref="DD260">SUMPRODUCT($H260:$Y260,(TRANSPOSE(DD$2:DD$19)))</f>
        <v>0</v>
      </c>
    </row>
    <row r="261" spans="1:108" x14ac:dyDescent="0.2">
      <c r="A261" s="1">
        <v>313</v>
      </c>
      <c r="B261" s="10" t="s">
        <v>227</v>
      </c>
      <c r="C261" s="1" t="s">
        <v>22</v>
      </c>
      <c r="D261" s="1">
        <v>514301407</v>
      </c>
      <c r="E261" s="1">
        <v>400329170</v>
      </c>
      <c r="F261" s="1" t="s">
        <v>226</v>
      </c>
      <c r="G261" s="1" t="s">
        <v>20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16</v>
      </c>
      <c r="S261" s="1">
        <v>0</v>
      </c>
      <c r="T261" s="1">
        <v>0</v>
      </c>
      <c r="U261" s="1">
        <v>0</v>
      </c>
      <c r="V261" s="1">
        <v>16</v>
      </c>
      <c r="W261" s="1">
        <v>0</v>
      </c>
      <c r="X261" s="1">
        <v>0</v>
      </c>
      <c r="Y261" s="1">
        <v>0</v>
      </c>
      <c r="Z261" s="1">
        <f>SUM(H261:Y261)</f>
        <v>32</v>
      </c>
      <c r="AA261" s="1">
        <f>SUMPRODUCT(H261:Y261,$H$16:$Y$16)</f>
        <v>29120</v>
      </c>
      <c r="AB261" s="1" t="s">
        <v>184</v>
      </c>
      <c r="AC261" s="1">
        <v>1.8499999999999999E-2</v>
      </c>
      <c r="AD261" s="9"/>
      <c r="AE261" s="1" t="s">
        <v>28</v>
      </c>
      <c r="AF261" s="1">
        <f>AC261</f>
        <v>1.8499999999999999E-2</v>
      </c>
      <c r="AH261" s="1">
        <v>1</v>
      </c>
      <c r="AK261" s="1" t="s">
        <v>183</v>
      </c>
      <c r="AL261" s="1" t="s">
        <v>182</v>
      </c>
      <c r="AM261" s="1" t="s">
        <v>181</v>
      </c>
      <c r="AN261" s="2" t="s">
        <v>180</v>
      </c>
      <c r="BO261" s="1">
        <f>SUM($AP261,$AQ261:AQ261)-SUM($CK261:CL261)</f>
        <v>0</v>
      </c>
      <c r="BP261" s="1">
        <f>SUM($AP261,$AQ261:AR261)-SUM($CK261:CM261)</f>
        <v>0</v>
      </c>
      <c r="BQ261" s="1">
        <f>SUM($AP261,$AQ261:AS261)-SUM($CK261:CN261)</f>
        <v>0</v>
      </c>
      <c r="BR261" s="1">
        <f>SUM($AP261,$AQ261:AT261)-SUM($CK261:CO261)</f>
        <v>0</v>
      </c>
      <c r="BS261" s="1">
        <f>SUM($AP261,$AQ261:AU261)-SUM($CK261:CP261)</f>
        <v>0</v>
      </c>
      <c r="BT261" s="1">
        <f>SUM($AP261,$AQ261:AV261)-SUM($CK261:CQ261)</f>
        <v>-320</v>
      </c>
      <c r="BU261" s="1">
        <f>SUM($AP261,$AQ261:AW261)-SUM($CK261:CR261)</f>
        <v>-960</v>
      </c>
      <c r="BV261" s="1">
        <f>SUM($AP261,$AQ261:AX261)-SUM($CK261:CS261)</f>
        <v>-1920</v>
      </c>
      <c r="BW261" s="1">
        <f>SUM($AP261,$AQ261:AY261)-SUM($CK261:CT261)</f>
        <v>-3200</v>
      </c>
      <c r="BX261" s="1">
        <f>SUM($AP261,$AQ261:AZ261)-SUM($CK261:CU261)</f>
        <v>-4800</v>
      </c>
      <c r="BY261" s="1">
        <f>SUM($AP261,$AQ261:BA261)-SUM($CK261:CV261)</f>
        <v>-6720</v>
      </c>
      <c r="BZ261" s="1">
        <f>SUM($AP261,$AQ261:BB261)-SUM($CK261:CW261)</f>
        <v>-8960</v>
      </c>
      <c r="CA261" s="1">
        <f>SUM($AP261,$AQ261:BC261)-SUM($CK261:CX261)</f>
        <v>-11520</v>
      </c>
      <c r="CB261" s="1">
        <f>SUM($AP261,$AQ261:BD261)-SUM($CK261:CY261)</f>
        <v>-14400</v>
      </c>
      <c r="CC261" s="1">
        <f>SUM($AP261,$AQ261:BE261)-SUM($CK261:CZ261)</f>
        <v>-17600</v>
      </c>
      <c r="CD261" s="1">
        <f>SUM($AP261,$AQ261:BF261)-SUM($CK261:DA261)</f>
        <v>-21120</v>
      </c>
      <c r="CE261" s="1">
        <f>SUM($AP261,$AQ261:BG261)-SUM($CK261:DB261)</f>
        <v>-24960</v>
      </c>
      <c r="CF261" s="1">
        <f>SUM($AP261,$AQ261:BH261)-SUM($CK261:DC261)</f>
        <v>-29120</v>
      </c>
      <c r="CG261" s="1">
        <f>SUM($AP261,$AQ261:BI261)-SUM($CK261:DD261)</f>
        <v>-29120</v>
      </c>
      <c r="CK261" s="1">
        <f t="array" ref="CK261">SUMPRODUCT($H261:$Y261,(TRANSPOSE(CK$2:CK$19)))</f>
        <v>0</v>
      </c>
      <c r="CL261" s="1">
        <f t="array" ref="CL261">SUMPRODUCT($H261:$Y261,(TRANSPOSE(CL$2:CL$19)))</f>
        <v>0</v>
      </c>
      <c r="CM261" s="1">
        <f t="array" ref="CM261">SUMPRODUCT($H261:$Y261,(TRANSPOSE(CM$2:CM$19)))</f>
        <v>0</v>
      </c>
      <c r="CN261" s="1">
        <f t="array" ref="CN261">SUMPRODUCT($H261:$Y261,(TRANSPOSE(CN$2:CN$19)))</f>
        <v>0</v>
      </c>
      <c r="CO261" s="1">
        <f t="array" ref="CO261">SUMPRODUCT($H261:$Y261,(TRANSPOSE(CO$2:CO$19)))</f>
        <v>0</v>
      </c>
      <c r="CP261" s="1">
        <f t="array" ref="CP261">SUMPRODUCT($H261:$Y261,(TRANSPOSE(CP$2:CP$19)))</f>
        <v>0</v>
      </c>
      <c r="CQ261" s="1">
        <f t="array" ref="CQ261">SUMPRODUCT($H261:$Y261,(TRANSPOSE(CQ$2:CQ$19)))</f>
        <v>320</v>
      </c>
      <c r="CR261" s="1">
        <f t="array" ref="CR261">SUMPRODUCT($H261:$Y261,(TRANSPOSE(CR$2:CR$19)))</f>
        <v>640</v>
      </c>
      <c r="CS261" s="1">
        <f t="array" ref="CS261">SUMPRODUCT($H261:$Y261,(TRANSPOSE(CS$2:CS$19)))</f>
        <v>960</v>
      </c>
      <c r="CT261" s="1">
        <f t="array" ref="CT261">SUMPRODUCT($H261:$Y261,(TRANSPOSE(CT$2:CT$19)))</f>
        <v>1280</v>
      </c>
      <c r="CU261" s="1">
        <f t="array" ref="CU261">SUMPRODUCT($H261:$Y261,(TRANSPOSE(CU$2:CU$19)))</f>
        <v>1600</v>
      </c>
      <c r="CV261" s="1">
        <f t="array" ref="CV261">SUMPRODUCT($H261:$Y261,(TRANSPOSE(CV$2:CV$19)))</f>
        <v>1920</v>
      </c>
      <c r="CW261" s="1">
        <f t="array" ref="CW261">SUMPRODUCT($H261:$Y261,(TRANSPOSE(CW$2:CW$19)))</f>
        <v>2240</v>
      </c>
      <c r="CX261" s="1">
        <f t="array" ref="CX261">SUMPRODUCT($H261:$Y261,(TRANSPOSE(CX$2:CX$19)))</f>
        <v>2560</v>
      </c>
      <c r="CY261" s="1">
        <f t="array" ref="CY261">SUMPRODUCT($H261:$Y261,(TRANSPOSE(CY$2:CY$19)))</f>
        <v>2880</v>
      </c>
      <c r="CZ261" s="1">
        <f t="array" ref="CZ261">SUMPRODUCT($H261:$Y261,(TRANSPOSE(CZ$2:CZ$19)))</f>
        <v>3200</v>
      </c>
      <c r="DA261" s="1">
        <f t="array" ref="DA261">SUMPRODUCT($H261:$Y261,(TRANSPOSE(DA$2:DA$19)))</f>
        <v>3520</v>
      </c>
      <c r="DB261" s="1">
        <f t="array" ref="DB261">SUMPRODUCT($H261:$Y261,(TRANSPOSE(DB$2:DB$19)))</f>
        <v>3840</v>
      </c>
      <c r="DC261" s="1">
        <f t="array" ref="DC261">SUMPRODUCT($H261:$Y261,(TRANSPOSE(DC$2:DC$19)))</f>
        <v>4160</v>
      </c>
      <c r="DD261" s="1">
        <f t="array" ref="DD261">SUMPRODUCT($H261:$Y261,(TRANSPOSE(DD$2:DD$19)))</f>
        <v>0</v>
      </c>
    </row>
    <row r="262" spans="1:108" x14ac:dyDescent="0.2">
      <c r="A262" s="1">
        <v>316</v>
      </c>
      <c r="B262" s="10" t="s">
        <v>225</v>
      </c>
      <c r="C262" s="1" t="s">
        <v>22</v>
      </c>
      <c r="D262" s="1">
        <v>512304791</v>
      </c>
      <c r="F262" s="1" t="s">
        <v>215</v>
      </c>
      <c r="G262" s="1" t="s">
        <v>20</v>
      </c>
      <c r="H262" s="1">
        <v>0</v>
      </c>
      <c r="I262" s="1">
        <v>0</v>
      </c>
      <c r="J262" s="1">
        <v>0</v>
      </c>
      <c r="K262" s="1">
        <v>120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20</v>
      </c>
      <c r="S262" s="1">
        <v>0</v>
      </c>
      <c r="T262" s="1">
        <v>0</v>
      </c>
      <c r="U262" s="1">
        <v>0</v>
      </c>
      <c r="V262" s="1">
        <v>20</v>
      </c>
      <c r="W262" s="1">
        <v>0</v>
      </c>
      <c r="X262" s="1">
        <v>0</v>
      </c>
      <c r="Y262" s="1">
        <v>0</v>
      </c>
      <c r="Z262" s="1">
        <f>SUM(H262:Y262)</f>
        <v>160</v>
      </c>
      <c r="AA262" s="1">
        <f>SUMPRODUCT(H262:Y262,$H$16:$Y$16)</f>
        <v>145600</v>
      </c>
      <c r="AB262" s="1" t="s">
        <v>18</v>
      </c>
      <c r="AC262" s="1">
        <v>0</v>
      </c>
      <c r="AD262" s="9"/>
      <c r="AE262" s="1" t="s">
        <v>19</v>
      </c>
      <c r="AF262" s="1">
        <f>AC262</f>
        <v>0</v>
      </c>
      <c r="AG262" s="1">
        <v>1</v>
      </c>
      <c r="AH262" s="1">
        <v>1</v>
      </c>
      <c r="AI262" s="1" t="s">
        <v>18</v>
      </c>
      <c r="AJ262" s="1" t="s">
        <v>18</v>
      </c>
      <c r="AK262" s="1" t="s">
        <v>18</v>
      </c>
      <c r="AL262" s="1" t="s">
        <v>18</v>
      </c>
      <c r="AM262" s="1" t="s">
        <v>18</v>
      </c>
      <c r="AN262" s="2" t="s">
        <v>18</v>
      </c>
      <c r="BO262" s="1">
        <f>SUM($AP262,$AQ262:AQ262)-SUM($CK262:CL262)</f>
        <v>0</v>
      </c>
      <c r="BP262" s="1">
        <f>SUM($AP262,$AQ262:AR262)-SUM($CK262:CM262)</f>
        <v>0</v>
      </c>
      <c r="BQ262" s="1">
        <f>SUM($AP262,$AQ262:AS262)-SUM($CK262:CN262)</f>
        <v>0</v>
      </c>
      <c r="BR262" s="1">
        <f>SUM($AP262,$AQ262:AT262)-SUM($CK262:CO262)</f>
        <v>-1200</v>
      </c>
      <c r="BS262" s="1">
        <f>SUM($AP262,$AQ262:AU262)-SUM($CK262:CP262)</f>
        <v>-3600</v>
      </c>
      <c r="BT262" s="1">
        <f>SUM($AP262,$AQ262:AV262)-SUM($CK262:CQ262)</f>
        <v>-7600</v>
      </c>
      <c r="BU262" s="1">
        <f>SUM($AP262,$AQ262:AW262)-SUM($CK262:CR262)</f>
        <v>-13200</v>
      </c>
      <c r="BV262" s="1">
        <f>SUM($AP262,$AQ262:AX262)-SUM($CK262:CS262)</f>
        <v>-20400</v>
      </c>
      <c r="BW262" s="1">
        <f>SUM($AP262,$AQ262:AY262)-SUM($CK262:CT262)</f>
        <v>-29200</v>
      </c>
      <c r="BX262" s="1">
        <f>SUM($AP262,$AQ262:AZ262)-SUM($CK262:CU262)</f>
        <v>-39600</v>
      </c>
      <c r="BY262" s="1">
        <f>SUM($AP262,$AQ262:BA262)-SUM($CK262:CV262)</f>
        <v>-51600</v>
      </c>
      <c r="BZ262" s="1">
        <f>SUM($AP262,$AQ262:BB262)-SUM($CK262:CW262)</f>
        <v>-65200</v>
      </c>
      <c r="CA262" s="1">
        <f>SUM($AP262,$AQ262:BC262)-SUM($CK262:CX262)</f>
        <v>-80400</v>
      </c>
      <c r="CB262" s="1">
        <f>SUM($AP262,$AQ262:BD262)-SUM($CK262:CY262)</f>
        <v>-97200</v>
      </c>
      <c r="CC262" s="1">
        <f>SUM($AP262,$AQ262:BE262)-SUM($CK262:CZ262)</f>
        <v>-115600</v>
      </c>
      <c r="CD262" s="1">
        <f>SUM($AP262,$AQ262:BF262)-SUM($CK262:DA262)</f>
        <v>-135600</v>
      </c>
      <c r="CE262" s="1">
        <f>SUM($AP262,$AQ262:BG262)-SUM($CK262:DB262)</f>
        <v>-140400</v>
      </c>
      <c r="CF262" s="1">
        <f>SUM($AP262,$AQ262:BH262)-SUM($CK262:DC262)</f>
        <v>-145600</v>
      </c>
      <c r="CG262" s="1">
        <f>SUM($AP262,$AQ262:BI262)-SUM($CK262:DD262)</f>
        <v>-145600</v>
      </c>
      <c r="CK262" s="1">
        <f t="array" ref="CK262">SUMPRODUCT($H262:$Y262,(TRANSPOSE(CK$2:CK$19)))</f>
        <v>0</v>
      </c>
      <c r="CL262" s="1">
        <f t="array" ref="CL262">SUMPRODUCT($H262:$Y262,(TRANSPOSE(CL$2:CL$19)))</f>
        <v>0</v>
      </c>
      <c r="CM262" s="1">
        <f t="array" ref="CM262">SUMPRODUCT($H262:$Y262,(TRANSPOSE(CM$2:CM$19)))</f>
        <v>0</v>
      </c>
      <c r="CN262" s="1">
        <f t="array" ref="CN262">SUMPRODUCT($H262:$Y262,(TRANSPOSE(CN$2:CN$19)))</f>
        <v>0</v>
      </c>
      <c r="CO262" s="1">
        <f t="array" ref="CO262">SUMPRODUCT($H262:$Y262,(TRANSPOSE(CO$2:CO$19)))</f>
        <v>1200</v>
      </c>
      <c r="CP262" s="1">
        <f t="array" ref="CP262">SUMPRODUCT($H262:$Y262,(TRANSPOSE(CP$2:CP$19)))</f>
        <v>2400</v>
      </c>
      <c r="CQ262" s="1">
        <f t="array" ref="CQ262">SUMPRODUCT($H262:$Y262,(TRANSPOSE(CQ$2:CQ$19)))</f>
        <v>4000</v>
      </c>
      <c r="CR262" s="1">
        <f t="array" ref="CR262">SUMPRODUCT($H262:$Y262,(TRANSPOSE(CR$2:CR$19)))</f>
        <v>5600</v>
      </c>
      <c r="CS262" s="1">
        <f t="array" ref="CS262">SUMPRODUCT($H262:$Y262,(TRANSPOSE(CS$2:CS$19)))</f>
        <v>7200</v>
      </c>
      <c r="CT262" s="1">
        <f t="array" ref="CT262">SUMPRODUCT($H262:$Y262,(TRANSPOSE(CT$2:CT$19)))</f>
        <v>8800</v>
      </c>
      <c r="CU262" s="1">
        <f t="array" ref="CU262">SUMPRODUCT($H262:$Y262,(TRANSPOSE(CU$2:CU$19)))</f>
        <v>10400</v>
      </c>
      <c r="CV262" s="1">
        <f t="array" ref="CV262">SUMPRODUCT($H262:$Y262,(TRANSPOSE(CV$2:CV$19)))</f>
        <v>12000</v>
      </c>
      <c r="CW262" s="1">
        <f t="array" ref="CW262">SUMPRODUCT($H262:$Y262,(TRANSPOSE(CW$2:CW$19)))</f>
        <v>13600</v>
      </c>
      <c r="CX262" s="1">
        <f t="array" ref="CX262">SUMPRODUCT($H262:$Y262,(TRANSPOSE(CX$2:CX$19)))</f>
        <v>15200</v>
      </c>
      <c r="CY262" s="1">
        <f t="array" ref="CY262">SUMPRODUCT($H262:$Y262,(TRANSPOSE(CY$2:CY$19)))</f>
        <v>16800</v>
      </c>
      <c r="CZ262" s="1">
        <f t="array" ref="CZ262">SUMPRODUCT($H262:$Y262,(TRANSPOSE(CZ$2:CZ$19)))</f>
        <v>18400</v>
      </c>
      <c r="DA262" s="1">
        <f t="array" ref="DA262">SUMPRODUCT($H262:$Y262,(TRANSPOSE(DA$2:DA$19)))</f>
        <v>20000</v>
      </c>
      <c r="DB262" s="1">
        <f t="array" ref="DB262">SUMPRODUCT($H262:$Y262,(TRANSPOSE(DB$2:DB$19)))</f>
        <v>4800</v>
      </c>
      <c r="DC262" s="1">
        <f t="array" ref="DC262">SUMPRODUCT($H262:$Y262,(TRANSPOSE(DC$2:DC$19)))</f>
        <v>5200</v>
      </c>
      <c r="DD262" s="1">
        <f t="array" ref="DD262">SUMPRODUCT($H262:$Y262,(TRANSPOSE(DD$2:DD$19)))</f>
        <v>0</v>
      </c>
    </row>
    <row r="263" spans="1:108" x14ac:dyDescent="0.2">
      <c r="A263" s="1">
        <v>317</v>
      </c>
      <c r="B263" s="10" t="s">
        <v>224</v>
      </c>
      <c r="C263" s="1" t="s">
        <v>22</v>
      </c>
      <c r="D263" s="1">
        <v>512304809</v>
      </c>
      <c r="F263" s="1" t="s">
        <v>217</v>
      </c>
      <c r="G263" s="1" t="s">
        <v>20</v>
      </c>
      <c r="H263" s="1">
        <v>0</v>
      </c>
      <c r="I263" s="1">
        <v>0</v>
      </c>
      <c r="J263" s="1">
        <v>0</v>
      </c>
      <c r="K263" s="1">
        <v>2</v>
      </c>
      <c r="L263" s="1">
        <v>0</v>
      </c>
      <c r="M263" s="1">
        <v>360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52</v>
      </c>
      <c r="T263" s="1">
        <v>0</v>
      </c>
      <c r="U263" s="1">
        <v>0</v>
      </c>
      <c r="V263" s="1">
        <v>0</v>
      </c>
      <c r="W263" s="1">
        <v>52</v>
      </c>
      <c r="X263" s="1">
        <v>0</v>
      </c>
      <c r="Y263" s="1">
        <v>0</v>
      </c>
      <c r="Z263" s="1">
        <f>SUM(H263:Y263)</f>
        <v>466</v>
      </c>
      <c r="AA263" s="1">
        <f>SUMPRODUCT(H263:Y263,$H$16:$Y$16)</f>
        <v>424060</v>
      </c>
      <c r="AB263" s="1" t="s">
        <v>18</v>
      </c>
      <c r="AC263" s="1">
        <v>0</v>
      </c>
      <c r="AD263" s="9"/>
      <c r="AE263" s="1" t="s">
        <v>19</v>
      </c>
      <c r="AF263" s="1">
        <f>AC263</f>
        <v>0</v>
      </c>
      <c r="AG263" s="1">
        <v>1</v>
      </c>
      <c r="AH263" s="1">
        <v>1</v>
      </c>
      <c r="AI263" s="1" t="s">
        <v>18</v>
      </c>
      <c r="AJ263" s="1" t="s">
        <v>18</v>
      </c>
      <c r="AK263" s="1" t="s">
        <v>18</v>
      </c>
      <c r="AL263" s="1" t="s">
        <v>18</v>
      </c>
      <c r="AM263" s="1" t="s">
        <v>18</v>
      </c>
      <c r="AN263" s="2" t="s">
        <v>18</v>
      </c>
      <c r="BO263" s="1">
        <f>SUM($AP263,$AQ263:AQ263)-SUM($CK263:CL263)</f>
        <v>0</v>
      </c>
      <c r="BP263" s="1">
        <f>SUM($AP263,$AQ263:AR263)-SUM($CK263:CM263)</f>
        <v>-3600</v>
      </c>
      <c r="BQ263" s="1">
        <f>SUM($AP263,$AQ263:AS263)-SUM($CK263:CN263)</f>
        <v>-10800</v>
      </c>
      <c r="BR263" s="1">
        <f>SUM($AP263,$AQ263:AT263)-SUM($CK263:CO263)</f>
        <v>-21620</v>
      </c>
      <c r="BS263" s="1">
        <f>SUM($AP263,$AQ263:AU263)-SUM($CK263:CP263)</f>
        <v>-37100</v>
      </c>
      <c r="BT263" s="1">
        <f>SUM($AP263,$AQ263:AV263)-SUM($CK263:CQ263)</f>
        <v>-57240</v>
      </c>
      <c r="BU263" s="1">
        <f>SUM($AP263,$AQ263:AW263)-SUM($CK263:CR263)</f>
        <v>-82040</v>
      </c>
      <c r="BV263" s="1">
        <f>SUM($AP263,$AQ263:AX263)-SUM($CK263:CS263)</f>
        <v>-111500</v>
      </c>
      <c r="BW263" s="1">
        <f>SUM($AP263,$AQ263:AY263)-SUM($CK263:CT263)</f>
        <v>-145620</v>
      </c>
      <c r="BX263" s="1">
        <f>SUM($AP263,$AQ263:AZ263)-SUM($CK263:CU263)</f>
        <v>-184400</v>
      </c>
      <c r="BY263" s="1">
        <f>SUM($AP263,$AQ263:BA263)-SUM($CK263:CV263)</f>
        <v>-227840</v>
      </c>
      <c r="BZ263" s="1">
        <f>SUM($AP263,$AQ263:BB263)-SUM($CK263:CW263)</f>
        <v>-275940</v>
      </c>
      <c r="CA263" s="1">
        <f>SUM($AP263,$AQ263:BC263)-SUM($CK263:CX263)</f>
        <v>-328700</v>
      </c>
      <c r="CB263" s="1">
        <f>SUM($AP263,$AQ263:BD263)-SUM($CK263:CY263)</f>
        <v>-386120</v>
      </c>
      <c r="CC263" s="1">
        <f>SUM($AP263,$AQ263:BE263)-SUM($CK263:CZ263)</f>
        <v>-397800</v>
      </c>
      <c r="CD263" s="1">
        <f>SUM($AP263,$AQ263:BF263)-SUM($CK263:DA263)</f>
        <v>-410540</v>
      </c>
      <c r="CE263" s="1">
        <f>SUM($AP263,$AQ263:BG263)-SUM($CK263:DB263)</f>
        <v>-424060</v>
      </c>
      <c r="CF263" s="1">
        <f>SUM($AP263,$AQ263:BH263)-SUM($CK263:DC263)</f>
        <v>-424060</v>
      </c>
      <c r="CG263" s="1">
        <f>SUM($AP263,$AQ263:BI263)-SUM($CK263:DD263)</f>
        <v>-424060</v>
      </c>
      <c r="CK263" s="1">
        <f t="array" ref="CK263">SUMPRODUCT($H263:$Y263,(TRANSPOSE(CK$2:CK$19)))</f>
        <v>0</v>
      </c>
      <c r="CL263" s="1">
        <f t="array" ref="CL263">SUMPRODUCT($H263:$Y263,(TRANSPOSE(CL$2:CL$19)))</f>
        <v>0</v>
      </c>
      <c r="CM263" s="1">
        <f t="array" ref="CM263">SUMPRODUCT($H263:$Y263,(TRANSPOSE(CM$2:CM$19)))</f>
        <v>3600</v>
      </c>
      <c r="CN263" s="1">
        <f t="array" ref="CN263">SUMPRODUCT($H263:$Y263,(TRANSPOSE(CN$2:CN$19)))</f>
        <v>7200</v>
      </c>
      <c r="CO263" s="1">
        <f t="array" ref="CO263">SUMPRODUCT($H263:$Y263,(TRANSPOSE(CO$2:CO$19)))</f>
        <v>10820</v>
      </c>
      <c r="CP263" s="1">
        <f t="array" ref="CP263">SUMPRODUCT($H263:$Y263,(TRANSPOSE(CP$2:CP$19)))</f>
        <v>15480</v>
      </c>
      <c r="CQ263" s="1">
        <f t="array" ref="CQ263">SUMPRODUCT($H263:$Y263,(TRANSPOSE(CQ$2:CQ$19)))</f>
        <v>20140</v>
      </c>
      <c r="CR263" s="1">
        <f t="array" ref="CR263">SUMPRODUCT($H263:$Y263,(TRANSPOSE(CR$2:CR$19)))</f>
        <v>24800</v>
      </c>
      <c r="CS263" s="1">
        <f t="array" ref="CS263">SUMPRODUCT($H263:$Y263,(TRANSPOSE(CS$2:CS$19)))</f>
        <v>29460</v>
      </c>
      <c r="CT263" s="1">
        <f t="array" ref="CT263">SUMPRODUCT($H263:$Y263,(TRANSPOSE(CT$2:CT$19)))</f>
        <v>34120</v>
      </c>
      <c r="CU263" s="1">
        <f t="array" ref="CU263">SUMPRODUCT($H263:$Y263,(TRANSPOSE(CU$2:CU$19)))</f>
        <v>38780</v>
      </c>
      <c r="CV263" s="1">
        <f t="array" ref="CV263">SUMPRODUCT($H263:$Y263,(TRANSPOSE(CV$2:CV$19)))</f>
        <v>43440</v>
      </c>
      <c r="CW263" s="1">
        <f t="array" ref="CW263">SUMPRODUCT($H263:$Y263,(TRANSPOSE(CW$2:CW$19)))</f>
        <v>48100</v>
      </c>
      <c r="CX263" s="1">
        <f t="array" ref="CX263">SUMPRODUCT($H263:$Y263,(TRANSPOSE(CX$2:CX$19)))</f>
        <v>52760</v>
      </c>
      <c r="CY263" s="1">
        <f t="array" ref="CY263">SUMPRODUCT($H263:$Y263,(TRANSPOSE(CY$2:CY$19)))</f>
        <v>57420</v>
      </c>
      <c r="CZ263" s="1">
        <f t="array" ref="CZ263">SUMPRODUCT($H263:$Y263,(TRANSPOSE(CZ$2:CZ$19)))</f>
        <v>11680</v>
      </c>
      <c r="DA263" s="1">
        <f t="array" ref="DA263">SUMPRODUCT($H263:$Y263,(TRANSPOSE(DA$2:DA$19)))</f>
        <v>12740</v>
      </c>
      <c r="DB263" s="1">
        <f t="array" ref="DB263">SUMPRODUCT($H263:$Y263,(TRANSPOSE(DB$2:DB$19)))</f>
        <v>13520</v>
      </c>
      <c r="DC263" s="1">
        <f t="array" ref="DC263">SUMPRODUCT($H263:$Y263,(TRANSPOSE(DC$2:DC$19)))</f>
        <v>0</v>
      </c>
      <c r="DD263" s="1">
        <f t="array" ref="DD263">SUMPRODUCT($H263:$Y263,(TRANSPOSE(DD$2:DD$19)))</f>
        <v>0</v>
      </c>
    </row>
    <row r="264" spans="1:108" x14ac:dyDescent="0.2">
      <c r="A264" s="1">
        <v>318</v>
      </c>
      <c r="B264" s="10" t="s">
        <v>223</v>
      </c>
      <c r="C264" s="1" t="s">
        <v>22</v>
      </c>
      <c r="D264" s="1">
        <v>512326521</v>
      </c>
      <c r="F264" s="1" t="s">
        <v>215</v>
      </c>
      <c r="G264" s="1" t="s">
        <v>20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4</v>
      </c>
      <c r="V264" s="1">
        <v>0</v>
      </c>
      <c r="W264" s="1">
        <v>0</v>
      </c>
      <c r="X264" s="1">
        <v>0</v>
      </c>
      <c r="Y264" s="1">
        <v>4</v>
      </c>
      <c r="Z264" s="1">
        <f>SUM(H264:Y264)</f>
        <v>8</v>
      </c>
      <c r="AA264" s="1">
        <f>SUMPRODUCT(H264:Y264,$H$16:$Y$16)</f>
        <v>7280</v>
      </c>
      <c r="AB264" s="1" t="s">
        <v>214</v>
      </c>
      <c r="AC264" s="1">
        <v>2.5000000000000001E-2</v>
      </c>
      <c r="AD264" s="9"/>
      <c r="AE264" s="1" t="s">
        <v>28</v>
      </c>
      <c r="AF264" s="1">
        <f>AC264</f>
        <v>2.5000000000000001E-2</v>
      </c>
      <c r="AH264" s="1">
        <v>1</v>
      </c>
      <c r="AI264" s="1">
        <v>12</v>
      </c>
      <c r="AK264" s="1" t="s">
        <v>183</v>
      </c>
      <c r="AL264" s="1" t="s">
        <v>182</v>
      </c>
      <c r="AM264" s="1" t="s">
        <v>181</v>
      </c>
      <c r="AN264" s="2" t="s">
        <v>180</v>
      </c>
      <c r="BO264" s="1">
        <f>SUM($AP264,$AQ264:AQ264)-SUM($CK264:CL264)</f>
        <v>0</v>
      </c>
      <c r="BP264" s="1">
        <f>SUM($AP264,$AQ264:AR264)-SUM($CK264:CM264)</f>
        <v>0</v>
      </c>
      <c r="BQ264" s="1">
        <f>SUM($AP264,$AQ264:AS264)-SUM($CK264:CN264)</f>
        <v>0</v>
      </c>
      <c r="BR264" s="1">
        <f>SUM($AP264,$AQ264:AT264)-SUM($CK264:CO264)</f>
        <v>-80</v>
      </c>
      <c r="BS264" s="1">
        <f>SUM($AP264,$AQ264:AU264)-SUM($CK264:CP264)</f>
        <v>-240</v>
      </c>
      <c r="BT264" s="1">
        <f>SUM($AP264,$AQ264:AV264)-SUM($CK264:CQ264)</f>
        <v>-480</v>
      </c>
      <c r="BU264" s="1">
        <f>SUM($AP264,$AQ264:AW264)-SUM($CK264:CR264)</f>
        <v>-800</v>
      </c>
      <c r="BV264" s="1">
        <f>SUM($AP264,$AQ264:AX264)-SUM($CK264:CS264)</f>
        <v>-1200</v>
      </c>
      <c r="BW264" s="1">
        <f>SUM($AP264,$AQ264:AY264)-SUM($CK264:CT264)</f>
        <v>-1680</v>
      </c>
      <c r="BX264" s="1">
        <f>SUM($AP264,$AQ264:AZ264)-SUM($CK264:CU264)</f>
        <v>-2240</v>
      </c>
      <c r="BY264" s="1">
        <f>SUM($AP264,$AQ264:BA264)-SUM($CK264:CV264)</f>
        <v>-2880</v>
      </c>
      <c r="BZ264" s="1">
        <f>SUM($AP264,$AQ264:BB264)-SUM($CK264:CW264)</f>
        <v>-3600</v>
      </c>
      <c r="CA264" s="1">
        <f>SUM($AP264,$AQ264:BC264)-SUM($CK264:CX264)</f>
        <v>-4400</v>
      </c>
      <c r="CB264" s="1">
        <f>SUM($AP264,$AQ264:BD264)-SUM($CK264:CY264)</f>
        <v>-5280</v>
      </c>
      <c r="CC264" s="1">
        <f>SUM($AP264,$AQ264:BE264)-SUM($CK264:CZ264)</f>
        <v>-6240</v>
      </c>
      <c r="CD264" s="1">
        <f>SUM($AP264,$AQ264:BF264)-SUM($CK264:DA264)</f>
        <v>-7280</v>
      </c>
      <c r="CE264" s="1">
        <f>SUM($AP264,$AQ264:BG264)-SUM($CK264:DB264)</f>
        <v>-7280</v>
      </c>
      <c r="CF264" s="1">
        <f>SUM($AP264,$AQ264:BH264)-SUM($CK264:DC264)</f>
        <v>-7280</v>
      </c>
      <c r="CG264" s="1">
        <f>SUM($AP264,$AQ264:BI264)-SUM($CK264:DD264)</f>
        <v>-7280</v>
      </c>
      <c r="CK264" s="1">
        <f t="array" ref="CK264">SUMPRODUCT($H264:$Y264,(TRANSPOSE(CK$2:CK$19)))</f>
        <v>0</v>
      </c>
      <c r="CL264" s="1">
        <f t="array" ref="CL264">SUMPRODUCT($H264:$Y264,(TRANSPOSE(CL$2:CL$19)))</f>
        <v>0</v>
      </c>
      <c r="CM264" s="1">
        <f t="array" ref="CM264">SUMPRODUCT($H264:$Y264,(TRANSPOSE(CM$2:CM$19)))</f>
        <v>0</v>
      </c>
      <c r="CN264" s="1">
        <f t="array" ref="CN264">SUMPRODUCT($H264:$Y264,(TRANSPOSE(CN$2:CN$19)))</f>
        <v>0</v>
      </c>
      <c r="CO264" s="1">
        <f t="array" ref="CO264">SUMPRODUCT($H264:$Y264,(TRANSPOSE(CO$2:CO$19)))</f>
        <v>80</v>
      </c>
      <c r="CP264" s="1">
        <f t="array" ref="CP264">SUMPRODUCT($H264:$Y264,(TRANSPOSE(CP$2:CP$19)))</f>
        <v>160</v>
      </c>
      <c r="CQ264" s="1">
        <f t="array" ref="CQ264">SUMPRODUCT($H264:$Y264,(TRANSPOSE(CQ$2:CQ$19)))</f>
        <v>240</v>
      </c>
      <c r="CR264" s="1">
        <f t="array" ref="CR264">SUMPRODUCT($H264:$Y264,(TRANSPOSE(CR$2:CR$19)))</f>
        <v>320</v>
      </c>
      <c r="CS264" s="1">
        <f t="array" ref="CS264">SUMPRODUCT($H264:$Y264,(TRANSPOSE(CS$2:CS$19)))</f>
        <v>400</v>
      </c>
      <c r="CT264" s="1">
        <f t="array" ref="CT264">SUMPRODUCT($H264:$Y264,(TRANSPOSE(CT$2:CT$19)))</f>
        <v>480</v>
      </c>
      <c r="CU264" s="1">
        <f t="array" ref="CU264">SUMPRODUCT($H264:$Y264,(TRANSPOSE(CU$2:CU$19)))</f>
        <v>560</v>
      </c>
      <c r="CV264" s="1">
        <f t="array" ref="CV264">SUMPRODUCT($H264:$Y264,(TRANSPOSE(CV$2:CV$19)))</f>
        <v>640</v>
      </c>
      <c r="CW264" s="1">
        <f t="array" ref="CW264">SUMPRODUCT($H264:$Y264,(TRANSPOSE(CW$2:CW$19)))</f>
        <v>720</v>
      </c>
      <c r="CX264" s="1">
        <f t="array" ref="CX264">SUMPRODUCT($H264:$Y264,(TRANSPOSE(CX$2:CX$19)))</f>
        <v>800</v>
      </c>
      <c r="CY264" s="1">
        <f t="array" ref="CY264">SUMPRODUCT($H264:$Y264,(TRANSPOSE(CY$2:CY$19)))</f>
        <v>880</v>
      </c>
      <c r="CZ264" s="1">
        <f t="array" ref="CZ264">SUMPRODUCT($H264:$Y264,(TRANSPOSE(CZ$2:CZ$19)))</f>
        <v>960</v>
      </c>
      <c r="DA264" s="1">
        <f t="array" ref="DA264">SUMPRODUCT($H264:$Y264,(TRANSPOSE(DA$2:DA$19)))</f>
        <v>1040</v>
      </c>
      <c r="DB264" s="1">
        <f t="array" ref="DB264">SUMPRODUCT($H264:$Y264,(TRANSPOSE(DB$2:DB$19)))</f>
        <v>0</v>
      </c>
      <c r="DC264" s="1">
        <f t="array" ref="DC264">SUMPRODUCT($H264:$Y264,(TRANSPOSE(DC$2:DC$19)))</f>
        <v>0</v>
      </c>
      <c r="DD264" s="1">
        <f t="array" ref="DD264">SUMPRODUCT($H264:$Y264,(TRANSPOSE(DD$2:DD$19)))</f>
        <v>0</v>
      </c>
    </row>
    <row r="265" spans="1:108" x14ac:dyDescent="0.2">
      <c r="A265" s="1">
        <v>319</v>
      </c>
      <c r="B265" s="10" t="s">
        <v>222</v>
      </c>
      <c r="C265" s="1" t="s">
        <v>22</v>
      </c>
      <c r="D265" s="1">
        <v>512305368</v>
      </c>
      <c r="F265" s="1" t="s">
        <v>217</v>
      </c>
      <c r="G265" s="1" t="s">
        <v>20</v>
      </c>
      <c r="H265" s="1">
        <v>0</v>
      </c>
      <c r="I265" s="1">
        <v>0</v>
      </c>
      <c r="J265" s="1">
        <v>0</v>
      </c>
      <c r="K265" s="1">
        <v>2</v>
      </c>
      <c r="L265" s="1">
        <v>0</v>
      </c>
      <c r="M265" s="1">
        <v>497</v>
      </c>
      <c r="N265" s="1">
        <v>0</v>
      </c>
      <c r="O265" s="1">
        <v>0</v>
      </c>
      <c r="P265" s="1">
        <v>0</v>
      </c>
      <c r="Q265" s="1">
        <v>0</v>
      </c>
      <c r="R265" s="1">
        <v>8</v>
      </c>
      <c r="S265" s="1">
        <v>0</v>
      </c>
      <c r="T265" s="1">
        <v>0</v>
      </c>
      <c r="U265" s="1">
        <v>0</v>
      </c>
      <c r="V265" s="1">
        <v>8</v>
      </c>
      <c r="W265" s="1">
        <v>0</v>
      </c>
      <c r="X265" s="1">
        <v>0</v>
      </c>
      <c r="Y265" s="1">
        <v>0</v>
      </c>
      <c r="Z265" s="1">
        <f>SUM(H265:Y265)</f>
        <v>515</v>
      </c>
      <c r="AA265" s="1">
        <f>SUMPRODUCT(H265:Y265,$H$16:$Y$16)</f>
        <v>468650</v>
      </c>
      <c r="AB265" s="1" t="s">
        <v>18</v>
      </c>
      <c r="AC265" s="1">
        <v>0</v>
      </c>
      <c r="AD265" s="9"/>
      <c r="AE265" s="1" t="s">
        <v>19</v>
      </c>
      <c r="AF265" s="1">
        <f>AC265</f>
        <v>0</v>
      </c>
      <c r="AG265" s="1">
        <v>1</v>
      </c>
      <c r="AH265" s="1">
        <v>1</v>
      </c>
      <c r="AI265" s="1" t="s">
        <v>18</v>
      </c>
      <c r="AJ265" s="1" t="s">
        <v>18</v>
      </c>
      <c r="AK265" s="1" t="s">
        <v>18</v>
      </c>
      <c r="AL265" s="1" t="s">
        <v>18</v>
      </c>
      <c r="AM265" s="1" t="s">
        <v>18</v>
      </c>
      <c r="AN265" s="2" t="s">
        <v>18</v>
      </c>
      <c r="BO265" s="1">
        <f>SUM($AP265,$AQ265:AQ265)-SUM($CK265:CL265)</f>
        <v>0</v>
      </c>
      <c r="BP265" s="1">
        <f>SUM($AP265,$AQ265:AR265)-SUM($CK265:CM265)</f>
        <v>-4970</v>
      </c>
      <c r="BQ265" s="1">
        <f>SUM($AP265,$AQ265:AS265)-SUM($CK265:CN265)</f>
        <v>-14910</v>
      </c>
      <c r="BR265" s="1">
        <f>SUM($AP265,$AQ265:AT265)-SUM($CK265:CO265)</f>
        <v>-29840</v>
      </c>
      <c r="BS265" s="1">
        <f>SUM($AP265,$AQ265:AU265)-SUM($CK265:CP265)</f>
        <v>-49760</v>
      </c>
      <c r="BT265" s="1">
        <f>SUM($AP265,$AQ265:AV265)-SUM($CK265:CQ265)</f>
        <v>-74830</v>
      </c>
      <c r="BU265" s="1">
        <f>SUM($AP265,$AQ265:AW265)-SUM($CK265:CR265)</f>
        <v>-105050</v>
      </c>
      <c r="BV265" s="1">
        <f>SUM($AP265,$AQ265:AX265)-SUM($CK265:CS265)</f>
        <v>-140420</v>
      </c>
      <c r="BW265" s="1">
        <f>SUM($AP265,$AQ265:AY265)-SUM($CK265:CT265)</f>
        <v>-180940</v>
      </c>
      <c r="BX265" s="1">
        <f>SUM($AP265,$AQ265:AZ265)-SUM($CK265:CU265)</f>
        <v>-226610</v>
      </c>
      <c r="BY265" s="1">
        <f>SUM($AP265,$AQ265:BA265)-SUM($CK265:CV265)</f>
        <v>-277430</v>
      </c>
      <c r="BZ265" s="1">
        <f>SUM($AP265,$AQ265:BB265)-SUM($CK265:CW265)</f>
        <v>-333400</v>
      </c>
      <c r="CA265" s="1">
        <f>SUM($AP265,$AQ265:BC265)-SUM($CK265:CX265)</f>
        <v>-394520</v>
      </c>
      <c r="CB265" s="1">
        <f>SUM($AP265,$AQ265:BD265)-SUM($CK265:CY265)</f>
        <v>-460790</v>
      </c>
      <c r="CC265" s="1">
        <f>SUM($AP265,$AQ265:BE265)-SUM($CK265:CZ265)</f>
        <v>-462630</v>
      </c>
      <c r="CD265" s="1">
        <f>SUM($AP265,$AQ265:BF265)-SUM($CK265:DA265)</f>
        <v>-464650</v>
      </c>
      <c r="CE265" s="1">
        <f>SUM($AP265,$AQ265:BG265)-SUM($CK265:DB265)</f>
        <v>-466570</v>
      </c>
      <c r="CF265" s="1">
        <f>SUM($AP265,$AQ265:BH265)-SUM($CK265:DC265)</f>
        <v>-468650</v>
      </c>
      <c r="CG265" s="1">
        <f>SUM($AP265,$AQ265:BI265)-SUM($CK265:DD265)</f>
        <v>-468650</v>
      </c>
      <c r="CK265" s="1">
        <f t="array" ref="CK265">SUMPRODUCT($H265:$Y265,(TRANSPOSE(CK$2:CK$19)))</f>
        <v>0</v>
      </c>
      <c r="CL265" s="1">
        <f t="array" ref="CL265">SUMPRODUCT($H265:$Y265,(TRANSPOSE(CL$2:CL$19)))</f>
        <v>0</v>
      </c>
      <c r="CM265" s="1">
        <f t="array" ref="CM265">SUMPRODUCT($H265:$Y265,(TRANSPOSE(CM$2:CM$19)))</f>
        <v>4970</v>
      </c>
      <c r="CN265" s="1">
        <f t="array" ref="CN265">SUMPRODUCT($H265:$Y265,(TRANSPOSE(CN$2:CN$19)))</f>
        <v>9940</v>
      </c>
      <c r="CO265" s="1">
        <f t="array" ref="CO265">SUMPRODUCT($H265:$Y265,(TRANSPOSE(CO$2:CO$19)))</f>
        <v>14930</v>
      </c>
      <c r="CP265" s="1">
        <f t="array" ref="CP265">SUMPRODUCT($H265:$Y265,(TRANSPOSE(CP$2:CP$19)))</f>
        <v>19920</v>
      </c>
      <c r="CQ265" s="1">
        <f t="array" ref="CQ265">SUMPRODUCT($H265:$Y265,(TRANSPOSE(CQ$2:CQ$19)))</f>
        <v>25070</v>
      </c>
      <c r="CR265" s="1">
        <f t="array" ref="CR265">SUMPRODUCT($H265:$Y265,(TRANSPOSE(CR$2:CR$19)))</f>
        <v>30220</v>
      </c>
      <c r="CS265" s="1">
        <f t="array" ref="CS265">SUMPRODUCT($H265:$Y265,(TRANSPOSE(CS$2:CS$19)))</f>
        <v>35370</v>
      </c>
      <c r="CT265" s="1">
        <f t="array" ref="CT265">SUMPRODUCT($H265:$Y265,(TRANSPOSE(CT$2:CT$19)))</f>
        <v>40520</v>
      </c>
      <c r="CU265" s="1">
        <f t="array" ref="CU265">SUMPRODUCT($H265:$Y265,(TRANSPOSE(CU$2:CU$19)))</f>
        <v>45670</v>
      </c>
      <c r="CV265" s="1">
        <f t="array" ref="CV265">SUMPRODUCT($H265:$Y265,(TRANSPOSE(CV$2:CV$19)))</f>
        <v>50820</v>
      </c>
      <c r="CW265" s="1">
        <f t="array" ref="CW265">SUMPRODUCT($H265:$Y265,(TRANSPOSE(CW$2:CW$19)))</f>
        <v>55970</v>
      </c>
      <c r="CX265" s="1">
        <f t="array" ref="CX265">SUMPRODUCT($H265:$Y265,(TRANSPOSE(CX$2:CX$19)))</f>
        <v>61120</v>
      </c>
      <c r="CY265" s="1">
        <f t="array" ref="CY265">SUMPRODUCT($H265:$Y265,(TRANSPOSE(CY$2:CY$19)))</f>
        <v>66270</v>
      </c>
      <c r="CZ265" s="1">
        <f t="array" ref="CZ265">SUMPRODUCT($H265:$Y265,(TRANSPOSE(CZ$2:CZ$19)))</f>
        <v>1840</v>
      </c>
      <c r="DA265" s="1">
        <f t="array" ref="DA265">SUMPRODUCT($H265:$Y265,(TRANSPOSE(DA$2:DA$19)))</f>
        <v>2020</v>
      </c>
      <c r="DB265" s="1">
        <f t="array" ref="DB265">SUMPRODUCT($H265:$Y265,(TRANSPOSE(DB$2:DB$19)))</f>
        <v>1920</v>
      </c>
      <c r="DC265" s="1">
        <f t="array" ref="DC265">SUMPRODUCT($H265:$Y265,(TRANSPOSE(DC$2:DC$19)))</f>
        <v>2080</v>
      </c>
      <c r="DD265" s="1">
        <f t="array" ref="DD265">SUMPRODUCT($H265:$Y265,(TRANSPOSE(DD$2:DD$19)))</f>
        <v>0</v>
      </c>
    </row>
    <row r="266" spans="1:108" x14ac:dyDescent="0.2">
      <c r="A266" s="1">
        <v>320</v>
      </c>
      <c r="B266" s="10" t="s">
        <v>221</v>
      </c>
      <c r="C266" s="1" t="s">
        <v>22</v>
      </c>
      <c r="D266" s="1">
        <v>512304874</v>
      </c>
      <c r="F266" s="1" t="s">
        <v>215</v>
      </c>
      <c r="G266" s="1" t="s">
        <v>20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4</v>
      </c>
      <c r="T266" s="1">
        <v>0</v>
      </c>
      <c r="U266" s="1">
        <v>0</v>
      </c>
      <c r="V266" s="1">
        <v>0</v>
      </c>
      <c r="W266" s="1">
        <v>4</v>
      </c>
      <c r="X266" s="1">
        <v>0</v>
      </c>
      <c r="Y266" s="1">
        <v>0</v>
      </c>
      <c r="Z266" s="1">
        <f>SUM(H266:Y266)</f>
        <v>8</v>
      </c>
      <c r="AA266" s="1">
        <f>SUMPRODUCT(H266:Y266,$H$16:$Y$16)</f>
        <v>7280</v>
      </c>
      <c r="AB266" s="1" t="s">
        <v>214</v>
      </c>
      <c r="AC266" s="1">
        <v>0.05</v>
      </c>
      <c r="AD266" s="9"/>
      <c r="AE266" s="1" t="s">
        <v>28</v>
      </c>
      <c r="AF266" s="1">
        <f>AC266</f>
        <v>0.05</v>
      </c>
      <c r="AH266" s="1">
        <v>1</v>
      </c>
      <c r="AK266" s="1" t="s">
        <v>183</v>
      </c>
      <c r="AL266" s="1" t="s">
        <v>182</v>
      </c>
      <c r="AM266" s="1" t="s">
        <v>181</v>
      </c>
      <c r="AN266" s="2" t="s">
        <v>180</v>
      </c>
      <c r="BO266" s="1">
        <f>SUM($AP266,$AQ266:AQ266)-SUM($CK266:CL266)</f>
        <v>0</v>
      </c>
      <c r="BP266" s="1">
        <f>SUM($AP266,$AQ266:AR266)-SUM($CK266:CM266)</f>
        <v>0</v>
      </c>
      <c r="BQ266" s="1">
        <f>SUM($AP266,$AQ266:AS266)-SUM($CK266:CN266)</f>
        <v>0</v>
      </c>
      <c r="BR266" s="1">
        <f>SUM($AP266,$AQ266:AT266)-SUM($CK266:CO266)</f>
        <v>0</v>
      </c>
      <c r="BS266" s="1">
        <f>SUM($AP266,$AQ266:AU266)-SUM($CK266:CP266)</f>
        <v>-80</v>
      </c>
      <c r="BT266" s="1">
        <f>SUM($AP266,$AQ266:AV266)-SUM($CK266:CQ266)</f>
        <v>-240</v>
      </c>
      <c r="BU266" s="1">
        <f>SUM($AP266,$AQ266:AW266)-SUM($CK266:CR266)</f>
        <v>-480</v>
      </c>
      <c r="BV266" s="1">
        <f>SUM($AP266,$AQ266:AX266)-SUM($CK266:CS266)</f>
        <v>-800</v>
      </c>
      <c r="BW266" s="1">
        <f>SUM($AP266,$AQ266:AY266)-SUM($CK266:CT266)</f>
        <v>-1200</v>
      </c>
      <c r="BX266" s="1">
        <f>SUM($AP266,$AQ266:AZ266)-SUM($CK266:CU266)</f>
        <v>-1680</v>
      </c>
      <c r="BY266" s="1">
        <f>SUM($AP266,$AQ266:BA266)-SUM($CK266:CV266)</f>
        <v>-2240</v>
      </c>
      <c r="BZ266" s="1">
        <f>SUM($AP266,$AQ266:BB266)-SUM($CK266:CW266)</f>
        <v>-2880</v>
      </c>
      <c r="CA266" s="1">
        <f>SUM($AP266,$AQ266:BC266)-SUM($CK266:CX266)</f>
        <v>-3600</v>
      </c>
      <c r="CB266" s="1">
        <f>SUM($AP266,$AQ266:BD266)-SUM($CK266:CY266)</f>
        <v>-4400</v>
      </c>
      <c r="CC266" s="1">
        <f>SUM($AP266,$AQ266:BE266)-SUM($CK266:CZ266)</f>
        <v>-5280</v>
      </c>
      <c r="CD266" s="1">
        <f>SUM($AP266,$AQ266:BF266)-SUM($CK266:DA266)</f>
        <v>-6240</v>
      </c>
      <c r="CE266" s="1">
        <f>SUM($AP266,$AQ266:BG266)-SUM($CK266:DB266)</f>
        <v>-7280</v>
      </c>
      <c r="CF266" s="1">
        <f>SUM($AP266,$AQ266:BH266)-SUM($CK266:DC266)</f>
        <v>-7280</v>
      </c>
      <c r="CG266" s="1">
        <f>SUM($AP266,$AQ266:BI266)-SUM($CK266:DD266)</f>
        <v>-7280</v>
      </c>
      <c r="CK266" s="1">
        <f t="array" ref="CK266">SUMPRODUCT($H266:$Y266,(TRANSPOSE(CK$2:CK$19)))</f>
        <v>0</v>
      </c>
      <c r="CL266" s="1">
        <f t="array" ref="CL266">SUMPRODUCT($H266:$Y266,(TRANSPOSE(CL$2:CL$19)))</f>
        <v>0</v>
      </c>
      <c r="CM266" s="1">
        <f t="array" ref="CM266">SUMPRODUCT($H266:$Y266,(TRANSPOSE(CM$2:CM$19)))</f>
        <v>0</v>
      </c>
      <c r="CN266" s="1">
        <f t="array" ref="CN266">SUMPRODUCT($H266:$Y266,(TRANSPOSE(CN$2:CN$19)))</f>
        <v>0</v>
      </c>
      <c r="CO266" s="1">
        <f t="array" ref="CO266">SUMPRODUCT($H266:$Y266,(TRANSPOSE(CO$2:CO$19)))</f>
        <v>0</v>
      </c>
      <c r="CP266" s="1">
        <f t="array" ref="CP266">SUMPRODUCT($H266:$Y266,(TRANSPOSE(CP$2:CP$19)))</f>
        <v>80</v>
      </c>
      <c r="CQ266" s="1">
        <f t="array" ref="CQ266">SUMPRODUCT($H266:$Y266,(TRANSPOSE(CQ$2:CQ$19)))</f>
        <v>160</v>
      </c>
      <c r="CR266" s="1">
        <f t="array" ref="CR266">SUMPRODUCT($H266:$Y266,(TRANSPOSE(CR$2:CR$19)))</f>
        <v>240</v>
      </c>
      <c r="CS266" s="1">
        <f t="array" ref="CS266">SUMPRODUCT($H266:$Y266,(TRANSPOSE(CS$2:CS$19)))</f>
        <v>320</v>
      </c>
      <c r="CT266" s="1">
        <f t="array" ref="CT266">SUMPRODUCT($H266:$Y266,(TRANSPOSE(CT$2:CT$19)))</f>
        <v>400</v>
      </c>
      <c r="CU266" s="1">
        <f t="array" ref="CU266">SUMPRODUCT($H266:$Y266,(TRANSPOSE(CU$2:CU$19)))</f>
        <v>480</v>
      </c>
      <c r="CV266" s="1">
        <f t="array" ref="CV266">SUMPRODUCT($H266:$Y266,(TRANSPOSE(CV$2:CV$19)))</f>
        <v>560</v>
      </c>
      <c r="CW266" s="1">
        <f t="array" ref="CW266">SUMPRODUCT($H266:$Y266,(TRANSPOSE(CW$2:CW$19)))</f>
        <v>640</v>
      </c>
      <c r="CX266" s="1">
        <f t="array" ref="CX266">SUMPRODUCT($H266:$Y266,(TRANSPOSE(CX$2:CX$19)))</f>
        <v>720</v>
      </c>
      <c r="CY266" s="1">
        <f t="array" ref="CY266">SUMPRODUCT($H266:$Y266,(TRANSPOSE(CY$2:CY$19)))</f>
        <v>800</v>
      </c>
      <c r="CZ266" s="1">
        <f t="array" ref="CZ266">SUMPRODUCT($H266:$Y266,(TRANSPOSE(CZ$2:CZ$19)))</f>
        <v>880</v>
      </c>
      <c r="DA266" s="1">
        <f t="array" ref="DA266">SUMPRODUCT($H266:$Y266,(TRANSPOSE(DA$2:DA$19)))</f>
        <v>960</v>
      </c>
      <c r="DB266" s="1">
        <f t="array" ref="DB266">SUMPRODUCT($H266:$Y266,(TRANSPOSE(DB$2:DB$19)))</f>
        <v>1040</v>
      </c>
      <c r="DC266" s="1">
        <f t="array" ref="DC266">SUMPRODUCT($H266:$Y266,(TRANSPOSE(DC$2:DC$19)))</f>
        <v>0</v>
      </c>
      <c r="DD266" s="1">
        <f t="array" ref="DD266">SUMPRODUCT($H266:$Y266,(TRANSPOSE(DD$2:DD$19)))</f>
        <v>0</v>
      </c>
    </row>
    <row r="267" spans="1:108" x14ac:dyDescent="0.2">
      <c r="A267" s="1">
        <v>321</v>
      </c>
      <c r="B267" s="10" t="s">
        <v>220</v>
      </c>
      <c r="C267" s="1" t="s">
        <v>22</v>
      </c>
      <c r="D267" s="1">
        <v>512305350</v>
      </c>
      <c r="F267" s="1" t="s">
        <v>217</v>
      </c>
      <c r="G267" s="1" t="s">
        <v>20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12</v>
      </c>
      <c r="W267" s="1">
        <v>0</v>
      </c>
      <c r="X267" s="1">
        <v>0</v>
      </c>
      <c r="Y267" s="1">
        <v>0</v>
      </c>
      <c r="Z267" s="1">
        <f>SUM(H267:Y267)</f>
        <v>12</v>
      </c>
      <c r="AA267" s="1">
        <f>SUMPRODUCT(H267:Y267,$H$16:$Y$16)</f>
        <v>10920</v>
      </c>
      <c r="AB267" s="1" t="s">
        <v>214</v>
      </c>
      <c r="AC267" s="1">
        <v>0.14000000000000001</v>
      </c>
      <c r="AD267" s="9"/>
      <c r="AE267" s="1" t="s">
        <v>28</v>
      </c>
      <c r="AF267" s="1">
        <f>AC267</f>
        <v>0.14000000000000001</v>
      </c>
      <c r="AH267" s="1">
        <v>1</v>
      </c>
      <c r="AK267" s="1" t="s">
        <v>183</v>
      </c>
      <c r="AL267" s="1" t="s">
        <v>182</v>
      </c>
      <c r="AM267" s="1" t="s">
        <v>181</v>
      </c>
      <c r="AN267" s="2" t="s">
        <v>180</v>
      </c>
      <c r="BO267" s="1">
        <f>SUM($AP267,$AQ267:AQ267)-SUM($CK267:CL267)</f>
        <v>0</v>
      </c>
      <c r="BP267" s="1">
        <f>SUM($AP267,$AQ267:AR267)-SUM($CK267:CM267)</f>
        <v>0</v>
      </c>
      <c r="BQ267" s="1">
        <f>SUM($AP267,$AQ267:AS267)-SUM($CK267:CN267)</f>
        <v>0</v>
      </c>
      <c r="BR267" s="1">
        <f>SUM($AP267,$AQ267:AT267)-SUM($CK267:CO267)</f>
        <v>0</v>
      </c>
      <c r="BS267" s="1">
        <f>SUM($AP267,$AQ267:AU267)-SUM($CK267:CP267)</f>
        <v>0</v>
      </c>
      <c r="BT267" s="1">
        <f>SUM($AP267,$AQ267:AV267)-SUM($CK267:CQ267)</f>
        <v>-120</v>
      </c>
      <c r="BU267" s="1">
        <f>SUM($AP267,$AQ267:AW267)-SUM($CK267:CR267)</f>
        <v>-360</v>
      </c>
      <c r="BV267" s="1">
        <f>SUM($AP267,$AQ267:AX267)-SUM($CK267:CS267)</f>
        <v>-720</v>
      </c>
      <c r="BW267" s="1">
        <f>SUM($AP267,$AQ267:AY267)-SUM($CK267:CT267)</f>
        <v>-1200</v>
      </c>
      <c r="BX267" s="1">
        <f>SUM($AP267,$AQ267:AZ267)-SUM($CK267:CU267)</f>
        <v>-1800</v>
      </c>
      <c r="BY267" s="1">
        <f>SUM($AP267,$AQ267:BA267)-SUM($CK267:CV267)</f>
        <v>-2520</v>
      </c>
      <c r="BZ267" s="1">
        <f>SUM($AP267,$AQ267:BB267)-SUM($CK267:CW267)</f>
        <v>-3360</v>
      </c>
      <c r="CA267" s="1">
        <f>SUM($AP267,$AQ267:BC267)-SUM($CK267:CX267)</f>
        <v>-4320</v>
      </c>
      <c r="CB267" s="1">
        <f>SUM($AP267,$AQ267:BD267)-SUM($CK267:CY267)</f>
        <v>-5400</v>
      </c>
      <c r="CC267" s="1">
        <f>SUM($AP267,$AQ267:BE267)-SUM($CK267:CZ267)</f>
        <v>-6600</v>
      </c>
      <c r="CD267" s="1">
        <f>SUM($AP267,$AQ267:BF267)-SUM($CK267:DA267)</f>
        <v>-7920</v>
      </c>
      <c r="CE267" s="1">
        <f>SUM($AP267,$AQ267:BG267)-SUM($CK267:DB267)</f>
        <v>-9360</v>
      </c>
      <c r="CF267" s="1">
        <f>SUM($AP267,$AQ267:BH267)-SUM($CK267:DC267)</f>
        <v>-10920</v>
      </c>
      <c r="CG267" s="1">
        <f>SUM($AP267,$AQ267:BI267)-SUM($CK267:DD267)</f>
        <v>-10920</v>
      </c>
      <c r="CK267" s="1">
        <f t="array" ref="CK267">SUMPRODUCT($H267:$Y267,(TRANSPOSE(CK$2:CK$19)))</f>
        <v>0</v>
      </c>
      <c r="CL267" s="1">
        <f t="array" ref="CL267">SUMPRODUCT($H267:$Y267,(TRANSPOSE(CL$2:CL$19)))</f>
        <v>0</v>
      </c>
      <c r="CM267" s="1">
        <f t="array" ref="CM267">SUMPRODUCT($H267:$Y267,(TRANSPOSE(CM$2:CM$19)))</f>
        <v>0</v>
      </c>
      <c r="CN267" s="1">
        <f t="array" ref="CN267">SUMPRODUCT($H267:$Y267,(TRANSPOSE(CN$2:CN$19)))</f>
        <v>0</v>
      </c>
      <c r="CO267" s="1">
        <f t="array" ref="CO267">SUMPRODUCT($H267:$Y267,(TRANSPOSE(CO$2:CO$19)))</f>
        <v>0</v>
      </c>
      <c r="CP267" s="1">
        <f t="array" ref="CP267">SUMPRODUCT($H267:$Y267,(TRANSPOSE(CP$2:CP$19)))</f>
        <v>0</v>
      </c>
      <c r="CQ267" s="1">
        <f t="array" ref="CQ267">SUMPRODUCT($H267:$Y267,(TRANSPOSE(CQ$2:CQ$19)))</f>
        <v>120</v>
      </c>
      <c r="CR267" s="1">
        <f t="array" ref="CR267">SUMPRODUCT($H267:$Y267,(TRANSPOSE(CR$2:CR$19)))</f>
        <v>240</v>
      </c>
      <c r="CS267" s="1">
        <f t="array" ref="CS267">SUMPRODUCT($H267:$Y267,(TRANSPOSE(CS$2:CS$19)))</f>
        <v>360</v>
      </c>
      <c r="CT267" s="1">
        <f t="array" ref="CT267">SUMPRODUCT($H267:$Y267,(TRANSPOSE(CT$2:CT$19)))</f>
        <v>480</v>
      </c>
      <c r="CU267" s="1">
        <f t="array" ref="CU267">SUMPRODUCT($H267:$Y267,(TRANSPOSE(CU$2:CU$19)))</f>
        <v>600</v>
      </c>
      <c r="CV267" s="1">
        <f t="array" ref="CV267">SUMPRODUCT($H267:$Y267,(TRANSPOSE(CV$2:CV$19)))</f>
        <v>720</v>
      </c>
      <c r="CW267" s="1">
        <f t="array" ref="CW267">SUMPRODUCT($H267:$Y267,(TRANSPOSE(CW$2:CW$19)))</f>
        <v>840</v>
      </c>
      <c r="CX267" s="1">
        <f t="array" ref="CX267">SUMPRODUCT($H267:$Y267,(TRANSPOSE(CX$2:CX$19)))</f>
        <v>960</v>
      </c>
      <c r="CY267" s="1">
        <f t="array" ref="CY267">SUMPRODUCT($H267:$Y267,(TRANSPOSE(CY$2:CY$19)))</f>
        <v>1080</v>
      </c>
      <c r="CZ267" s="1">
        <f t="array" ref="CZ267">SUMPRODUCT($H267:$Y267,(TRANSPOSE(CZ$2:CZ$19)))</f>
        <v>1200</v>
      </c>
      <c r="DA267" s="1">
        <f t="array" ref="DA267">SUMPRODUCT($H267:$Y267,(TRANSPOSE(DA$2:DA$19)))</f>
        <v>1320</v>
      </c>
      <c r="DB267" s="1">
        <f t="array" ref="DB267">SUMPRODUCT($H267:$Y267,(TRANSPOSE(DB$2:DB$19)))</f>
        <v>1440</v>
      </c>
      <c r="DC267" s="1">
        <f t="array" ref="DC267">SUMPRODUCT($H267:$Y267,(TRANSPOSE(DC$2:DC$19)))</f>
        <v>1560</v>
      </c>
      <c r="DD267" s="1">
        <f t="array" ref="DD267">SUMPRODUCT($H267:$Y267,(TRANSPOSE(DD$2:DD$19)))</f>
        <v>0</v>
      </c>
    </row>
    <row r="268" spans="1:108" x14ac:dyDescent="0.2">
      <c r="A268" s="1">
        <v>322</v>
      </c>
      <c r="B268" s="10" t="s">
        <v>219</v>
      </c>
      <c r="C268" s="1" t="s">
        <v>22</v>
      </c>
      <c r="D268" s="1">
        <v>512308669</v>
      </c>
      <c r="F268" s="1" t="s">
        <v>215</v>
      </c>
      <c r="G268" s="1" t="s">
        <v>20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32</v>
      </c>
      <c r="T268" s="1">
        <v>0</v>
      </c>
      <c r="U268" s="1">
        <v>0</v>
      </c>
      <c r="V268" s="1">
        <v>0</v>
      </c>
      <c r="W268" s="1">
        <v>32</v>
      </c>
      <c r="X268" s="1">
        <v>0</v>
      </c>
      <c r="Y268" s="1">
        <v>0</v>
      </c>
      <c r="Z268" s="1">
        <f>SUM(H268:Y268)</f>
        <v>64</v>
      </c>
      <c r="AA268" s="1">
        <f>SUMPRODUCT(H268:Y268,$H$16:$Y$16)</f>
        <v>58240</v>
      </c>
      <c r="AB268" s="1" t="s">
        <v>214</v>
      </c>
      <c r="AC268" s="1">
        <v>4.4999999999999998E-2</v>
      </c>
      <c r="AD268" s="9"/>
      <c r="AE268" s="1" t="s">
        <v>28</v>
      </c>
      <c r="AF268" s="1">
        <f>AC268</f>
        <v>4.4999999999999998E-2</v>
      </c>
      <c r="AH268" s="1">
        <v>1</v>
      </c>
      <c r="AK268" s="1" t="s">
        <v>183</v>
      </c>
      <c r="AL268" s="1" t="s">
        <v>182</v>
      </c>
      <c r="AM268" s="1" t="s">
        <v>181</v>
      </c>
      <c r="AN268" s="2" t="s">
        <v>180</v>
      </c>
      <c r="BO268" s="1">
        <f>SUM($AP268,$AQ268:AQ268)-SUM($CK268:CL268)</f>
        <v>0</v>
      </c>
      <c r="BP268" s="1">
        <f>SUM($AP268,$AQ268:AR268)-SUM($CK268:CM268)</f>
        <v>0</v>
      </c>
      <c r="BQ268" s="1">
        <f>SUM($AP268,$AQ268:AS268)-SUM($CK268:CN268)</f>
        <v>0</v>
      </c>
      <c r="BR268" s="1">
        <f>SUM($AP268,$AQ268:AT268)-SUM($CK268:CO268)</f>
        <v>0</v>
      </c>
      <c r="BS268" s="1">
        <f>SUM($AP268,$AQ268:AU268)-SUM($CK268:CP268)</f>
        <v>-640</v>
      </c>
      <c r="BT268" s="1">
        <f>SUM($AP268,$AQ268:AV268)-SUM($CK268:CQ268)</f>
        <v>-1920</v>
      </c>
      <c r="BU268" s="1">
        <f>SUM($AP268,$AQ268:AW268)-SUM($CK268:CR268)</f>
        <v>-3840</v>
      </c>
      <c r="BV268" s="1">
        <f>SUM($AP268,$AQ268:AX268)-SUM($CK268:CS268)</f>
        <v>-6400</v>
      </c>
      <c r="BW268" s="1">
        <f>SUM($AP268,$AQ268:AY268)-SUM($CK268:CT268)</f>
        <v>-9600</v>
      </c>
      <c r="BX268" s="1">
        <f>SUM($AP268,$AQ268:AZ268)-SUM($CK268:CU268)</f>
        <v>-13440</v>
      </c>
      <c r="BY268" s="1">
        <f>SUM($AP268,$AQ268:BA268)-SUM($CK268:CV268)</f>
        <v>-17920</v>
      </c>
      <c r="BZ268" s="1">
        <f>SUM($AP268,$AQ268:BB268)-SUM($CK268:CW268)</f>
        <v>-23040</v>
      </c>
      <c r="CA268" s="1">
        <f>SUM($AP268,$AQ268:BC268)-SUM($CK268:CX268)</f>
        <v>-28800</v>
      </c>
      <c r="CB268" s="1">
        <f>SUM($AP268,$AQ268:BD268)-SUM($CK268:CY268)</f>
        <v>-35200</v>
      </c>
      <c r="CC268" s="1">
        <f>SUM($AP268,$AQ268:BE268)-SUM($CK268:CZ268)</f>
        <v>-42240</v>
      </c>
      <c r="CD268" s="1">
        <f>SUM($AP268,$AQ268:BF268)-SUM($CK268:DA268)</f>
        <v>-49920</v>
      </c>
      <c r="CE268" s="1">
        <f>SUM($AP268,$AQ268:BG268)-SUM($CK268:DB268)</f>
        <v>-58240</v>
      </c>
      <c r="CF268" s="1">
        <f>SUM($AP268,$AQ268:BH268)-SUM($CK268:DC268)</f>
        <v>-58240</v>
      </c>
      <c r="CG268" s="1">
        <f>SUM($AP268,$AQ268:BI268)-SUM($CK268:DD268)</f>
        <v>-58240</v>
      </c>
      <c r="CK268" s="1">
        <f t="array" ref="CK268">SUMPRODUCT($H268:$Y268,(TRANSPOSE(CK$2:CK$19)))</f>
        <v>0</v>
      </c>
      <c r="CL268" s="1">
        <f t="array" ref="CL268">SUMPRODUCT($H268:$Y268,(TRANSPOSE(CL$2:CL$19)))</f>
        <v>0</v>
      </c>
      <c r="CM268" s="1">
        <f t="array" ref="CM268">SUMPRODUCT($H268:$Y268,(TRANSPOSE(CM$2:CM$19)))</f>
        <v>0</v>
      </c>
      <c r="CN268" s="1">
        <f t="array" ref="CN268">SUMPRODUCT($H268:$Y268,(TRANSPOSE(CN$2:CN$19)))</f>
        <v>0</v>
      </c>
      <c r="CO268" s="1">
        <f t="array" ref="CO268">SUMPRODUCT($H268:$Y268,(TRANSPOSE(CO$2:CO$19)))</f>
        <v>0</v>
      </c>
      <c r="CP268" s="1">
        <f t="array" ref="CP268">SUMPRODUCT($H268:$Y268,(TRANSPOSE(CP$2:CP$19)))</f>
        <v>640</v>
      </c>
      <c r="CQ268" s="1">
        <f t="array" ref="CQ268">SUMPRODUCT($H268:$Y268,(TRANSPOSE(CQ$2:CQ$19)))</f>
        <v>1280</v>
      </c>
      <c r="CR268" s="1">
        <f t="array" ref="CR268">SUMPRODUCT($H268:$Y268,(TRANSPOSE(CR$2:CR$19)))</f>
        <v>1920</v>
      </c>
      <c r="CS268" s="1">
        <f t="array" ref="CS268">SUMPRODUCT($H268:$Y268,(TRANSPOSE(CS$2:CS$19)))</f>
        <v>2560</v>
      </c>
      <c r="CT268" s="1">
        <f t="array" ref="CT268">SUMPRODUCT($H268:$Y268,(TRANSPOSE(CT$2:CT$19)))</f>
        <v>3200</v>
      </c>
      <c r="CU268" s="1">
        <f t="array" ref="CU268">SUMPRODUCT($H268:$Y268,(TRANSPOSE(CU$2:CU$19)))</f>
        <v>3840</v>
      </c>
      <c r="CV268" s="1">
        <f t="array" ref="CV268">SUMPRODUCT($H268:$Y268,(TRANSPOSE(CV$2:CV$19)))</f>
        <v>4480</v>
      </c>
      <c r="CW268" s="1">
        <f t="array" ref="CW268">SUMPRODUCT($H268:$Y268,(TRANSPOSE(CW$2:CW$19)))</f>
        <v>5120</v>
      </c>
      <c r="CX268" s="1">
        <f t="array" ref="CX268">SUMPRODUCT($H268:$Y268,(TRANSPOSE(CX$2:CX$19)))</f>
        <v>5760</v>
      </c>
      <c r="CY268" s="1">
        <f t="array" ref="CY268">SUMPRODUCT($H268:$Y268,(TRANSPOSE(CY$2:CY$19)))</f>
        <v>6400</v>
      </c>
      <c r="CZ268" s="1">
        <f t="array" ref="CZ268">SUMPRODUCT($H268:$Y268,(TRANSPOSE(CZ$2:CZ$19)))</f>
        <v>7040</v>
      </c>
      <c r="DA268" s="1">
        <f t="array" ref="DA268">SUMPRODUCT($H268:$Y268,(TRANSPOSE(DA$2:DA$19)))</f>
        <v>7680</v>
      </c>
      <c r="DB268" s="1">
        <f t="array" ref="DB268">SUMPRODUCT($H268:$Y268,(TRANSPOSE(DB$2:DB$19)))</f>
        <v>8320</v>
      </c>
      <c r="DC268" s="1">
        <f t="array" ref="DC268">SUMPRODUCT($H268:$Y268,(TRANSPOSE(DC$2:DC$19)))</f>
        <v>0</v>
      </c>
      <c r="DD268" s="1">
        <f t="array" ref="DD268">SUMPRODUCT($H268:$Y268,(TRANSPOSE(DD$2:DD$19)))</f>
        <v>0</v>
      </c>
    </row>
    <row r="269" spans="1:108" x14ac:dyDescent="0.2">
      <c r="A269" s="1">
        <v>323</v>
      </c>
      <c r="B269" s="10" t="s">
        <v>218</v>
      </c>
      <c r="C269" s="1" t="s">
        <v>22</v>
      </c>
      <c r="D269" s="1">
        <v>512304908</v>
      </c>
      <c r="F269" s="1" t="s">
        <v>217</v>
      </c>
      <c r="G269" s="1" t="s">
        <v>20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8</v>
      </c>
      <c r="T269" s="1">
        <v>0</v>
      </c>
      <c r="U269" s="1">
        <v>0</v>
      </c>
      <c r="V269" s="1">
        <v>0</v>
      </c>
      <c r="W269" s="1">
        <v>8</v>
      </c>
      <c r="X269" s="1">
        <v>0</v>
      </c>
      <c r="Y269" s="1">
        <v>0</v>
      </c>
      <c r="Z269" s="1">
        <f>SUM(H269:Y269)</f>
        <v>16</v>
      </c>
      <c r="AA269" s="1">
        <f>SUMPRODUCT(H269:Y269,$H$16:$Y$16)</f>
        <v>14560</v>
      </c>
      <c r="AB269" s="1" t="s">
        <v>214</v>
      </c>
      <c r="AC269" s="1">
        <v>0.08</v>
      </c>
      <c r="AD269" s="9"/>
      <c r="AE269" s="1" t="s">
        <v>28</v>
      </c>
      <c r="AF269" s="1">
        <f>AC269</f>
        <v>0.08</v>
      </c>
      <c r="AH269" s="1">
        <v>1</v>
      </c>
      <c r="AK269" s="1" t="s">
        <v>183</v>
      </c>
      <c r="AL269" s="1" t="s">
        <v>182</v>
      </c>
      <c r="AM269" s="1" t="s">
        <v>181</v>
      </c>
      <c r="AN269" s="2" t="s">
        <v>180</v>
      </c>
      <c r="BO269" s="1">
        <f>SUM($AP269,$AQ269:AQ269)-SUM($CK269:CL269)</f>
        <v>0</v>
      </c>
      <c r="BP269" s="1">
        <f>SUM($AP269,$AQ269:AR269)-SUM($CK269:CM269)</f>
        <v>0</v>
      </c>
      <c r="BQ269" s="1">
        <f>SUM($AP269,$AQ269:AS269)-SUM($CK269:CN269)</f>
        <v>0</v>
      </c>
      <c r="BR269" s="1">
        <f>SUM($AP269,$AQ269:AT269)-SUM($CK269:CO269)</f>
        <v>0</v>
      </c>
      <c r="BS269" s="1">
        <f>SUM($AP269,$AQ269:AU269)-SUM($CK269:CP269)</f>
        <v>-160</v>
      </c>
      <c r="BT269" s="1">
        <f>SUM($AP269,$AQ269:AV269)-SUM($CK269:CQ269)</f>
        <v>-480</v>
      </c>
      <c r="BU269" s="1">
        <f>SUM($AP269,$AQ269:AW269)-SUM($CK269:CR269)</f>
        <v>-960</v>
      </c>
      <c r="BV269" s="1">
        <f>SUM($AP269,$AQ269:AX269)-SUM($CK269:CS269)</f>
        <v>-1600</v>
      </c>
      <c r="BW269" s="1">
        <f>SUM($AP269,$AQ269:AY269)-SUM($CK269:CT269)</f>
        <v>-2400</v>
      </c>
      <c r="BX269" s="1">
        <f>SUM($AP269,$AQ269:AZ269)-SUM($CK269:CU269)</f>
        <v>-3360</v>
      </c>
      <c r="BY269" s="1">
        <f>SUM($AP269,$AQ269:BA269)-SUM($CK269:CV269)</f>
        <v>-4480</v>
      </c>
      <c r="BZ269" s="1">
        <f>SUM($AP269,$AQ269:BB269)-SUM($CK269:CW269)</f>
        <v>-5760</v>
      </c>
      <c r="CA269" s="1">
        <f>SUM($AP269,$AQ269:BC269)-SUM($CK269:CX269)</f>
        <v>-7200</v>
      </c>
      <c r="CB269" s="1">
        <f>SUM($AP269,$AQ269:BD269)-SUM($CK269:CY269)</f>
        <v>-8800</v>
      </c>
      <c r="CC269" s="1">
        <f>SUM($AP269,$AQ269:BE269)-SUM($CK269:CZ269)</f>
        <v>-10560</v>
      </c>
      <c r="CD269" s="1">
        <f>SUM($AP269,$AQ269:BF269)-SUM($CK269:DA269)</f>
        <v>-12480</v>
      </c>
      <c r="CE269" s="1">
        <f>SUM($AP269,$AQ269:BG269)-SUM($CK269:DB269)</f>
        <v>-14560</v>
      </c>
      <c r="CF269" s="1">
        <f>SUM($AP269,$AQ269:BH269)-SUM($CK269:DC269)</f>
        <v>-14560</v>
      </c>
      <c r="CG269" s="1">
        <f>SUM($AP269,$AQ269:BI269)-SUM($CK269:DD269)</f>
        <v>-14560</v>
      </c>
      <c r="CK269" s="1">
        <f t="array" ref="CK269">SUMPRODUCT($H269:$Y269,(TRANSPOSE(CK$2:CK$19)))</f>
        <v>0</v>
      </c>
      <c r="CL269" s="1">
        <f t="array" ref="CL269">SUMPRODUCT($H269:$Y269,(TRANSPOSE(CL$2:CL$19)))</f>
        <v>0</v>
      </c>
      <c r="CM269" s="1">
        <f t="array" ref="CM269">SUMPRODUCT($H269:$Y269,(TRANSPOSE(CM$2:CM$19)))</f>
        <v>0</v>
      </c>
      <c r="CN269" s="1">
        <f t="array" ref="CN269">SUMPRODUCT($H269:$Y269,(TRANSPOSE(CN$2:CN$19)))</f>
        <v>0</v>
      </c>
      <c r="CO269" s="1">
        <f t="array" ref="CO269">SUMPRODUCT($H269:$Y269,(TRANSPOSE(CO$2:CO$19)))</f>
        <v>0</v>
      </c>
      <c r="CP269" s="1">
        <f t="array" ref="CP269">SUMPRODUCT($H269:$Y269,(TRANSPOSE(CP$2:CP$19)))</f>
        <v>160</v>
      </c>
      <c r="CQ269" s="1">
        <f t="array" ref="CQ269">SUMPRODUCT($H269:$Y269,(TRANSPOSE(CQ$2:CQ$19)))</f>
        <v>320</v>
      </c>
      <c r="CR269" s="1">
        <f t="array" ref="CR269">SUMPRODUCT($H269:$Y269,(TRANSPOSE(CR$2:CR$19)))</f>
        <v>480</v>
      </c>
      <c r="CS269" s="1">
        <f t="array" ref="CS269">SUMPRODUCT($H269:$Y269,(TRANSPOSE(CS$2:CS$19)))</f>
        <v>640</v>
      </c>
      <c r="CT269" s="1">
        <f t="array" ref="CT269">SUMPRODUCT($H269:$Y269,(TRANSPOSE(CT$2:CT$19)))</f>
        <v>800</v>
      </c>
      <c r="CU269" s="1">
        <f t="array" ref="CU269">SUMPRODUCT($H269:$Y269,(TRANSPOSE(CU$2:CU$19)))</f>
        <v>960</v>
      </c>
      <c r="CV269" s="1">
        <f t="array" ref="CV269">SUMPRODUCT($H269:$Y269,(TRANSPOSE(CV$2:CV$19)))</f>
        <v>1120</v>
      </c>
      <c r="CW269" s="1">
        <f t="array" ref="CW269">SUMPRODUCT($H269:$Y269,(TRANSPOSE(CW$2:CW$19)))</f>
        <v>1280</v>
      </c>
      <c r="CX269" s="1">
        <f t="array" ref="CX269">SUMPRODUCT($H269:$Y269,(TRANSPOSE(CX$2:CX$19)))</f>
        <v>1440</v>
      </c>
      <c r="CY269" s="1">
        <f t="array" ref="CY269">SUMPRODUCT($H269:$Y269,(TRANSPOSE(CY$2:CY$19)))</f>
        <v>1600</v>
      </c>
      <c r="CZ269" s="1">
        <f t="array" ref="CZ269">SUMPRODUCT($H269:$Y269,(TRANSPOSE(CZ$2:CZ$19)))</f>
        <v>1760</v>
      </c>
      <c r="DA269" s="1">
        <f t="array" ref="DA269">SUMPRODUCT($H269:$Y269,(TRANSPOSE(DA$2:DA$19)))</f>
        <v>1920</v>
      </c>
      <c r="DB269" s="1">
        <f t="array" ref="DB269">SUMPRODUCT($H269:$Y269,(TRANSPOSE(DB$2:DB$19)))</f>
        <v>2080</v>
      </c>
      <c r="DC269" s="1">
        <f t="array" ref="DC269">SUMPRODUCT($H269:$Y269,(TRANSPOSE(DC$2:DC$19)))</f>
        <v>0</v>
      </c>
      <c r="DD269" s="1">
        <f t="array" ref="DD269">SUMPRODUCT($H269:$Y269,(TRANSPOSE(DD$2:DD$19)))</f>
        <v>0</v>
      </c>
    </row>
    <row r="270" spans="1:108" x14ac:dyDescent="0.2">
      <c r="A270" s="1">
        <v>324</v>
      </c>
      <c r="B270" s="10" t="s">
        <v>216</v>
      </c>
      <c r="C270" s="1" t="s">
        <v>22</v>
      </c>
      <c r="D270" s="1">
        <v>512313669</v>
      </c>
      <c r="F270" s="1" t="s">
        <v>215</v>
      </c>
      <c r="G270" s="1" t="s">
        <v>20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126</v>
      </c>
      <c r="T270" s="1">
        <v>0</v>
      </c>
      <c r="U270" s="1">
        <v>0</v>
      </c>
      <c r="V270" s="1">
        <v>0</v>
      </c>
      <c r="W270" s="1">
        <v>126</v>
      </c>
      <c r="X270" s="1">
        <v>0</v>
      </c>
      <c r="Y270" s="1">
        <v>0</v>
      </c>
      <c r="Z270" s="1">
        <f>SUM(H270:Y270)</f>
        <v>252</v>
      </c>
      <c r="AA270" s="1">
        <f>SUMPRODUCT(H270:Y270,$H$16:$Y$16)</f>
        <v>229320</v>
      </c>
      <c r="AB270" s="1" t="s">
        <v>214</v>
      </c>
      <c r="AC270" s="1">
        <v>8.3500000000000005E-2</v>
      </c>
      <c r="AD270" s="9"/>
      <c r="AE270" s="1" t="s">
        <v>28</v>
      </c>
      <c r="AF270" s="1">
        <f>AC270</f>
        <v>8.3500000000000005E-2</v>
      </c>
      <c r="AH270" s="1">
        <v>1</v>
      </c>
      <c r="AK270" s="1" t="s">
        <v>183</v>
      </c>
      <c r="AL270" s="1" t="s">
        <v>182</v>
      </c>
      <c r="AM270" s="1" t="s">
        <v>181</v>
      </c>
      <c r="AN270" s="2" t="s">
        <v>180</v>
      </c>
      <c r="BO270" s="1">
        <f>SUM($AP270,$AQ270:AQ270)-SUM($CK270:CL270)</f>
        <v>0</v>
      </c>
      <c r="BP270" s="1">
        <f>SUM($AP270,$AQ270:AR270)-SUM($CK270:CM270)</f>
        <v>0</v>
      </c>
      <c r="BQ270" s="1">
        <f>SUM($AP270,$AQ270:AS270)-SUM($CK270:CN270)</f>
        <v>0</v>
      </c>
      <c r="BR270" s="1">
        <f>SUM($AP270,$AQ270:AT270)-SUM($CK270:CO270)</f>
        <v>0</v>
      </c>
      <c r="BS270" s="1">
        <f>SUM($AP270,$AQ270:AU270)-SUM($CK270:CP270)</f>
        <v>-2520</v>
      </c>
      <c r="BT270" s="1">
        <f>SUM($AP270,$AQ270:AV270)-SUM($CK270:CQ270)</f>
        <v>-7560</v>
      </c>
      <c r="BU270" s="1">
        <f>SUM($AP270,$AQ270:AW270)-SUM($CK270:CR270)</f>
        <v>-15120</v>
      </c>
      <c r="BV270" s="1">
        <f>SUM($AP270,$AQ270:AX270)-SUM($CK270:CS270)</f>
        <v>-25200</v>
      </c>
      <c r="BW270" s="1">
        <f>SUM($AP270,$AQ270:AY270)-SUM($CK270:CT270)</f>
        <v>-37800</v>
      </c>
      <c r="BX270" s="1">
        <f>SUM($AP270,$AQ270:AZ270)-SUM($CK270:CU270)</f>
        <v>-52920</v>
      </c>
      <c r="BY270" s="1">
        <f>SUM($AP270,$AQ270:BA270)-SUM($CK270:CV270)</f>
        <v>-70560</v>
      </c>
      <c r="BZ270" s="1">
        <f>SUM($AP270,$AQ270:BB270)-SUM($CK270:CW270)</f>
        <v>-90720</v>
      </c>
      <c r="CA270" s="1">
        <f>SUM($AP270,$AQ270:BC270)-SUM($CK270:CX270)</f>
        <v>-113400</v>
      </c>
      <c r="CB270" s="1">
        <f>SUM($AP270,$AQ270:BD270)-SUM($CK270:CY270)</f>
        <v>-138600</v>
      </c>
      <c r="CC270" s="1">
        <f>SUM($AP270,$AQ270:BE270)-SUM($CK270:CZ270)</f>
        <v>-166320</v>
      </c>
      <c r="CD270" s="1">
        <f>SUM($AP270,$AQ270:BF270)-SUM($CK270:DA270)</f>
        <v>-196560</v>
      </c>
      <c r="CE270" s="1">
        <f>SUM($AP270,$AQ270:BG270)-SUM($CK270:DB270)</f>
        <v>-229320</v>
      </c>
      <c r="CF270" s="1">
        <f>SUM($AP270,$AQ270:BH270)-SUM($CK270:DC270)</f>
        <v>-229320</v>
      </c>
      <c r="CG270" s="1">
        <f>SUM($AP270,$AQ270:BI270)-SUM($CK270:DD270)</f>
        <v>-229320</v>
      </c>
      <c r="CK270" s="1">
        <f t="array" ref="CK270">SUMPRODUCT($H270:$Y270,(TRANSPOSE(CK$2:CK$19)))</f>
        <v>0</v>
      </c>
      <c r="CL270" s="1">
        <f t="array" ref="CL270">SUMPRODUCT($H270:$Y270,(TRANSPOSE(CL$2:CL$19)))</f>
        <v>0</v>
      </c>
      <c r="CM270" s="1">
        <f t="array" ref="CM270">SUMPRODUCT($H270:$Y270,(TRANSPOSE(CM$2:CM$19)))</f>
        <v>0</v>
      </c>
      <c r="CN270" s="1">
        <f t="array" ref="CN270">SUMPRODUCT($H270:$Y270,(TRANSPOSE(CN$2:CN$19)))</f>
        <v>0</v>
      </c>
      <c r="CO270" s="1">
        <f t="array" ref="CO270">SUMPRODUCT($H270:$Y270,(TRANSPOSE(CO$2:CO$19)))</f>
        <v>0</v>
      </c>
      <c r="CP270" s="1">
        <f t="array" ref="CP270">SUMPRODUCT($H270:$Y270,(TRANSPOSE(CP$2:CP$19)))</f>
        <v>2520</v>
      </c>
      <c r="CQ270" s="1">
        <f t="array" ref="CQ270">SUMPRODUCT($H270:$Y270,(TRANSPOSE(CQ$2:CQ$19)))</f>
        <v>5040</v>
      </c>
      <c r="CR270" s="1">
        <f t="array" ref="CR270">SUMPRODUCT($H270:$Y270,(TRANSPOSE(CR$2:CR$19)))</f>
        <v>7560</v>
      </c>
      <c r="CS270" s="1">
        <f t="array" ref="CS270">SUMPRODUCT($H270:$Y270,(TRANSPOSE(CS$2:CS$19)))</f>
        <v>10080</v>
      </c>
      <c r="CT270" s="1">
        <f t="array" ref="CT270">SUMPRODUCT($H270:$Y270,(TRANSPOSE(CT$2:CT$19)))</f>
        <v>12600</v>
      </c>
      <c r="CU270" s="1">
        <f t="array" ref="CU270">SUMPRODUCT($H270:$Y270,(TRANSPOSE(CU$2:CU$19)))</f>
        <v>15120</v>
      </c>
      <c r="CV270" s="1">
        <f t="array" ref="CV270">SUMPRODUCT($H270:$Y270,(TRANSPOSE(CV$2:CV$19)))</f>
        <v>17640</v>
      </c>
      <c r="CW270" s="1">
        <f t="array" ref="CW270">SUMPRODUCT($H270:$Y270,(TRANSPOSE(CW$2:CW$19)))</f>
        <v>20160</v>
      </c>
      <c r="CX270" s="1">
        <f t="array" ref="CX270">SUMPRODUCT($H270:$Y270,(TRANSPOSE(CX$2:CX$19)))</f>
        <v>22680</v>
      </c>
      <c r="CY270" s="1">
        <f t="array" ref="CY270">SUMPRODUCT($H270:$Y270,(TRANSPOSE(CY$2:CY$19)))</f>
        <v>25200</v>
      </c>
      <c r="CZ270" s="1">
        <f t="array" ref="CZ270">SUMPRODUCT($H270:$Y270,(TRANSPOSE(CZ$2:CZ$19)))</f>
        <v>27720</v>
      </c>
      <c r="DA270" s="1">
        <f t="array" ref="DA270">SUMPRODUCT($H270:$Y270,(TRANSPOSE(DA$2:DA$19)))</f>
        <v>30240</v>
      </c>
      <c r="DB270" s="1">
        <f t="array" ref="DB270">SUMPRODUCT($H270:$Y270,(TRANSPOSE(DB$2:DB$19)))</f>
        <v>32760</v>
      </c>
      <c r="DC270" s="1">
        <f t="array" ref="DC270">SUMPRODUCT($H270:$Y270,(TRANSPOSE(DC$2:DC$19)))</f>
        <v>0</v>
      </c>
      <c r="DD270" s="1">
        <f t="array" ref="DD270">SUMPRODUCT($H270:$Y270,(TRANSPOSE(DD$2:DD$19)))</f>
        <v>0</v>
      </c>
    </row>
    <row r="271" spans="1:108" x14ac:dyDescent="0.2">
      <c r="A271" s="1">
        <v>326</v>
      </c>
      <c r="B271" s="10" t="s">
        <v>213</v>
      </c>
      <c r="C271" s="1" t="s">
        <v>22</v>
      </c>
      <c r="D271" s="1">
        <v>400991035</v>
      </c>
      <c r="E271" s="1">
        <v>400992077</v>
      </c>
      <c r="F271" s="1" t="s">
        <v>212</v>
      </c>
      <c r="G271" s="1" t="s">
        <v>20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2</v>
      </c>
      <c r="V271" s="1">
        <v>0</v>
      </c>
      <c r="W271" s="1">
        <v>0</v>
      </c>
      <c r="X271" s="1">
        <v>0</v>
      </c>
      <c r="Y271" s="1">
        <v>2</v>
      </c>
      <c r="Z271" s="1">
        <f>SUM(H271:Y271)</f>
        <v>4</v>
      </c>
      <c r="AA271" s="1">
        <f>SUMPRODUCT(H271:Y271,$H$16:$Y$16)</f>
        <v>3640</v>
      </c>
      <c r="AB271" s="1" t="s">
        <v>211</v>
      </c>
      <c r="AC271" s="1">
        <v>1.2</v>
      </c>
      <c r="AD271" s="9"/>
      <c r="AE271" s="1" t="s">
        <v>28</v>
      </c>
      <c r="AF271" s="1">
        <f>AC271</f>
        <v>1.2</v>
      </c>
      <c r="AH271" s="1">
        <v>1</v>
      </c>
      <c r="AI271" s="1" t="s">
        <v>210</v>
      </c>
      <c r="AK271" s="1" t="s">
        <v>209</v>
      </c>
      <c r="AL271" s="1" t="s">
        <v>208</v>
      </c>
      <c r="AM271" s="1" t="s">
        <v>207</v>
      </c>
      <c r="AN271" s="1" t="s">
        <v>206</v>
      </c>
      <c r="BO271" s="1">
        <f>SUM($AP271,$AQ271:AQ271)-SUM($CK271:CL271)</f>
        <v>0</v>
      </c>
      <c r="BP271" s="1">
        <f>SUM($AP271,$AQ271:AR271)-SUM($CK271:CM271)</f>
        <v>0</v>
      </c>
      <c r="BQ271" s="1">
        <f>SUM($AP271,$AQ271:AS271)-SUM($CK271:CN271)</f>
        <v>0</v>
      </c>
      <c r="BR271" s="1">
        <f>SUM($AP271,$AQ271:AT271)-SUM($CK271:CO271)</f>
        <v>-40</v>
      </c>
      <c r="BS271" s="1">
        <f>SUM($AP271,$AQ271:AU271)-SUM($CK271:CP271)</f>
        <v>-120</v>
      </c>
      <c r="BT271" s="1">
        <f>SUM($AP271,$AQ271:AV271)-SUM($CK271:CQ271)</f>
        <v>-240</v>
      </c>
      <c r="BU271" s="1">
        <f>SUM($AP271,$AQ271:AW271)-SUM($CK271:CR271)</f>
        <v>-400</v>
      </c>
      <c r="BV271" s="1">
        <f>SUM($AP271,$AQ271:AX271)-SUM($CK271:CS271)</f>
        <v>-600</v>
      </c>
      <c r="BW271" s="1">
        <f>SUM($AP271,$AQ271:AY271)-SUM($CK271:CT271)</f>
        <v>-840</v>
      </c>
      <c r="BX271" s="1">
        <f>SUM($AP271,$AQ271:AZ271)-SUM($CK271:CU271)</f>
        <v>-1120</v>
      </c>
      <c r="BY271" s="1">
        <f>SUM($AP271,$AQ271:BA271)-SUM($CK271:CV271)</f>
        <v>-1440</v>
      </c>
      <c r="BZ271" s="1">
        <f>SUM($AP271,$AQ271:BB271)-SUM($CK271:CW271)</f>
        <v>-1800</v>
      </c>
      <c r="CA271" s="1">
        <f>SUM($AP271,$AQ271:BC271)-SUM($CK271:CX271)</f>
        <v>-2200</v>
      </c>
      <c r="CB271" s="1">
        <f>SUM($AP271,$AQ271:BD271)-SUM($CK271:CY271)</f>
        <v>-2640</v>
      </c>
      <c r="CC271" s="1">
        <f>SUM($AP271,$AQ271:BE271)-SUM($CK271:CZ271)</f>
        <v>-3120</v>
      </c>
      <c r="CD271" s="1">
        <f>SUM($AP271,$AQ271:BF271)-SUM($CK271:DA271)</f>
        <v>-3640</v>
      </c>
      <c r="CE271" s="1">
        <f>SUM($AP271,$AQ271:BG271)-SUM($CK271:DB271)</f>
        <v>-3640</v>
      </c>
      <c r="CF271" s="1">
        <f>SUM($AP271,$AQ271:BH271)-SUM($CK271:DC271)</f>
        <v>-3640</v>
      </c>
      <c r="CG271" s="1">
        <f>SUM($AP271,$AQ271:BI271)-SUM($CK271:DD271)</f>
        <v>-3640</v>
      </c>
      <c r="CK271" s="1">
        <f t="array" ref="CK271">SUMPRODUCT($H271:$Y271,(TRANSPOSE(CK$2:CK$19)))</f>
        <v>0</v>
      </c>
      <c r="CL271" s="1">
        <f t="array" ref="CL271">SUMPRODUCT($H271:$Y271,(TRANSPOSE(CL$2:CL$19)))</f>
        <v>0</v>
      </c>
      <c r="CM271" s="1">
        <f t="array" ref="CM271">SUMPRODUCT($H271:$Y271,(TRANSPOSE(CM$2:CM$19)))</f>
        <v>0</v>
      </c>
      <c r="CN271" s="1">
        <f t="array" ref="CN271">SUMPRODUCT($H271:$Y271,(TRANSPOSE(CN$2:CN$19)))</f>
        <v>0</v>
      </c>
      <c r="CO271" s="1">
        <f t="array" ref="CO271">SUMPRODUCT($H271:$Y271,(TRANSPOSE(CO$2:CO$19)))</f>
        <v>40</v>
      </c>
      <c r="CP271" s="1">
        <f t="array" ref="CP271">SUMPRODUCT($H271:$Y271,(TRANSPOSE(CP$2:CP$19)))</f>
        <v>80</v>
      </c>
      <c r="CQ271" s="1">
        <f t="array" ref="CQ271">SUMPRODUCT($H271:$Y271,(TRANSPOSE(CQ$2:CQ$19)))</f>
        <v>120</v>
      </c>
      <c r="CR271" s="1">
        <f t="array" ref="CR271">SUMPRODUCT($H271:$Y271,(TRANSPOSE(CR$2:CR$19)))</f>
        <v>160</v>
      </c>
      <c r="CS271" s="1">
        <f t="array" ref="CS271">SUMPRODUCT($H271:$Y271,(TRANSPOSE(CS$2:CS$19)))</f>
        <v>200</v>
      </c>
      <c r="CT271" s="1">
        <f t="array" ref="CT271">SUMPRODUCT($H271:$Y271,(TRANSPOSE(CT$2:CT$19)))</f>
        <v>240</v>
      </c>
      <c r="CU271" s="1">
        <f t="array" ref="CU271">SUMPRODUCT($H271:$Y271,(TRANSPOSE(CU$2:CU$19)))</f>
        <v>280</v>
      </c>
      <c r="CV271" s="1">
        <f t="array" ref="CV271">SUMPRODUCT($H271:$Y271,(TRANSPOSE(CV$2:CV$19)))</f>
        <v>320</v>
      </c>
      <c r="CW271" s="1">
        <f t="array" ref="CW271">SUMPRODUCT($H271:$Y271,(TRANSPOSE(CW$2:CW$19)))</f>
        <v>360</v>
      </c>
      <c r="CX271" s="1">
        <f t="array" ref="CX271">SUMPRODUCT($H271:$Y271,(TRANSPOSE(CX$2:CX$19)))</f>
        <v>400</v>
      </c>
      <c r="CY271" s="1">
        <f t="array" ref="CY271">SUMPRODUCT($H271:$Y271,(TRANSPOSE(CY$2:CY$19)))</f>
        <v>440</v>
      </c>
      <c r="CZ271" s="1">
        <f t="array" ref="CZ271">SUMPRODUCT($H271:$Y271,(TRANSPOSE(CZ$2:CZ$19)))</f>
        <v>480</v>
      </c>
      <c r="DA271" s="1">
        <f t="array" ref="DA271">SUMPRODUCT($H271:$Y271,(TRANSPOSE(DA$2:DA$19)))</f>
        <v>520</v>
      </c>
      <c r="DB271" s="1">
        <f t="array" ref="DB271">SUMPRODUCT($H271:$Y271,(TRANSPOSE(DB$2:DB$19)))</f>
        <v>0</v>
      </c>
      <c r="DC271" s="1">
        <f t="array" ref="DC271">SUMPRODUCT($H271:$Y271,(TRANSPOSE(DC$2:DC$19)))</f>
        <v>0</v>
      </c>
      <c r="DD271" s="1">
        <f t="array" ref="DD271">SUMPRODUCT($H271:$Y271,(TRANSPOSE(DD$2:DD$19)))</f>
        <v>0</v>
      </c>
    </row>
    <row r="272" spans="1:108" x14ac:dyDescent="0.2">
      <c r="A272" s="1">
        <v>328</v>
      </c>
      <c r="B272" s="10" t="s">
        <v>205</v>
      </c>
      <c r="C272" s="1" t="s">
        <v>22</v>
      </c>
      <c r="D272" s="1">
        <v>521362392</v>
      </c>
      <c r="E272" s="1">
        <v>401436174</v>
      </c>
      <c r="F272" s="1" t="s">
        <v>203</v>
      </c>
      <c r="G272" s="1" t="s">
        <v>20</v>
      </c>
      <c r="H272" s="1">
        <v>0</v>
      </c>
      <c r="I272" s="1">
        <v>0</v>
      </c>
      <c r="J272" s="1">
        <v>0</v>
      </c>
      <c r="K272" s="1">
        <v>5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f>SUM(H272:Y272)</f>
        <v>5</v>
      </c>
      <c r="AA272" s="1">
        <f>SUMPRODUCT(H272:Y272,$H$16:$Y$16)</f>
        <v>4550</v>
      </c>
      <c r="AB272" s="1" t="s">
        <v>18</v>
      </c>
      <c r="AC272" s="1">
        <v>0</v>
      </c>
      <c r="AD272" s="9"/>
      <c r="AE272" s="1" t="s">
        <v>19</v>
      </c>
      <c r="AF272" s="1">
        <f>AC272</f>
        <v>0</v>
      </c>
      <c r="AG272" s="1">
        <v>1</v>
      </c>
      <c r="AH272" s="1">
        <v>1</v>
      </c>
      <c r="AI272" s="1" t="s">
        <v>18</v>
      </c>
      <c r="AJ272" s="1" t="s">
        <v>18</v>
      </c>
      <c r="AK272" s="1" t="s">
        <v>18</v>
      </c>
      <c r="AL272" s="1" t="s">
        <v>18</v>
      </c>
      <c r="AM272" s="1" t="s">
        <v>18</v>
      </c>
      <c r="AN272" s="2" t="s">
        <v>18</v>
      </c>
      <c r="BO272" s="1">
        <f>SUM($AP272,$AQ272:AQ272)-SUM($CK272:CL272)</f>
        <v>0</v>
      </c>
      <c r="BP272" s="1">
        <f>SUM($AP272,$AQ272:AR272)-SUM($CK272:CM272)</f>
        <v>0</v>
      </c>
      <c r="BQ272" s="1">
        <f>SUM($AP272,$AQ272:AS272)-SUM($CK272:CN272)</f>
        <v>0</v>
      </c>
      <c r="BR272" s="1">
        <f>SUM($AP272,$AQ272:AT272)-SUM($CK272:CO272)</f>
        <v>-50</v>
      </c>
      <c r="BS272" s="1">
        <f>SUM($AP272,$AQ272:AU272)-SUM($CK272:CP272)</f>
        <v>-150</v>
      </c>
      <c r="BT272" s="1">
        <f>SUM($AP272,$AQ272:AV272)-SUM($CK272:CQ272)</f>
        <v>-300</v>
      </c>
      <c r="BU272" s="1">
        <f>SUM($AP272,$AQ272:AW272)-SUM($CK272:CR272)</f>
        <v>-500</v>
      </c>
      <c r="BV272" s="1">
        <f>SUM($AP272,$AQ272:AX272)-SUM($CK272:CS272)</f>
        <v>-750</v>
      </c>
      <c r="BW272" s="1">
        <f>SUM($AP272,$AQ272:AY272)-SUM($CK272:CT272)</f>
        <v>-1050</v>
      </c>
      <c r="BX272" s="1">
        <f>SUM($AP272,$AQ272:AZ272)-SUM($CK272:CU272)</f>
        <v>-1400</v>
      </c>
      <c r="BY272" s="1">
        <f>SUM($AP272,$AQ272:BA272)-SUM($CK272:CV272)</f>
        <v>-1800</v>
      </c>
      <c r="BZ272" s="1">
        <f>SUM($AP272,$AQ272:BB272)-SUM($CK272:CW272)</f>
        <v>-2250</v>
      </c>
      <c r="CA272" s="1">
        <f>SUM($AP272,$AQ272:BC272)-SUM($CK272:CX272)</f>
        <v>-2750</v>
      </c>
      <c r="CB272" s="1">
        <f>SUM($AP272,$AQ272:BD272)-SUM($CK272:CY272)</f>
        <v>-3300</v>
      </c>
      <c r="CC272" s="1">
        <f>SUM($AP272,$AQ272:BE272)-SUM($CK272:CZ272)</f>
        <v>-3900</v>
      </c>
      <c r="CD272" s="1">
        <f>SUM($AP272,$AQ272:BF272)-SUM($CK272:DA272)</f>
        <v>-4550</v>
      </c>
      <c r="CE272" s="1">
        <f>SUM($AP272,$AQ272:BG272)-SUM($CK272:DB272)</f>
        <v>-4550</v>
      </c>
      <c r="CF272" s="1">
        <f>SUM($AP272,$AQ272:BH272)-SUM($CK272:DC272)</f>
        <v>-4550</v>
      </c>
      <c r="CG272" s="1">
        <f>SUM($AP272,$AQ272:BI272)-SUM($CK272:DD272)</f>
        <v>-4550</v>
      </c>
      <c r="CK272" s="1">
        <f t="array" ref="CK272">SUMPRODUCT($H272:$Y272,(TRANSPOSE(CK$2:CK$19)))</f>
        <v>0</v>
      </c>
      <c r="CL272" s="1">
        <f t="array" ref="CL272">SUMPRODUCT($H272:$Y272,(TRANSPOSE(CL$2:CL$19)))</f>
        <v>0</v>
      </c>
      <c r="CM272" s="1">
        <f t="array" ref="CM272">SUMPRODUCT($H272:$Y272,(TRANSPOSE(CM$2:CM$19)))</f>
        <v>0</v>
      </c>
      <c r="CN272" s="1">
        <f t="array" ref="CN272">SUMPRODUCT($H272:$Y272,(TRANSPOSE(CN$2:CN$19)))</f>
        <v>0</v>
      </c>
      <c r="CO272" s="1">
        <f t="array" ref="CO272">SUMPRODUCT($H272:$Y272,(TRANSPOSE(CO$2:CO$19)))</f>
        <v>50</v>
      </c>
      <c r="CP272" s="1">
        <f t="array" ref="CP272">SUMPRODUCT($H272:$Y272,(TRANSPOSE(CP$2:CP$19)))</f>
        <v>100</v>
      </c>
      <c r="CQ272" s="1">
        <f t="array" ref="CQ272">SUMPRODUCT($H272:$Y272,(TRANSPOSE(CQ$2:CQ$19)))</f>
        <v>150</v>
      </c>
      <c r="CR272" s="1">
        <f t="array" ref="CR272">SUMPRODUCT($H272:$Y272,(TRANSPOSE(CR$2:CR$19)))</f>
        <v>200</v>
      </c>
      <c r="CS272" s="1">
        <f t="array" ref="CS272">SUMPRODUCT($H272:$Y272,(TRANSPOSE(CS$2:CS$19)))</f>
        <v>250</v>
      </c>
      <c r="CT272" s="1">
        <f t="array" ref="CT272">SUMPRODUCT($H272:$Y272,(TRANSPOSE(CT$2:CT$19)))</f>
        <v>300</v>
      </c>
      <c r="CU272" s="1">
        <f t="array" ref="CU272">SUMPRODUCT($H272:$Y272,(TRANSPOSE(CU$2:CU$19)))</f>
        <v>350</v>
      </c>
      <c r="CV272" s="1">
        <f t="array" ref="CV272">SUMPRODUCT($H272:$Y272,(TRANSPOSE(CV$2:CV$19)))</f>
        <v>400</v>
      </c>
      <c r="CW272" s="1">
        <f t="array" ref="CW272">SUMPRODUCT($H272:$Y272,(TRANSPOSE(CW$2:CW$19)))</f>
        <v>450</v>
      </c>
      <c r="CX272" s="1">
        <f t="array" ref="CX272">SUMPRODUCT($H272:$Y272,(TRANSPOSE(CX$2:CX$19)))</f>
        <v>500</v>
      </c>
      <c r="CY272" s="1">
        <f t="array" ref="CY272">SUMPRODUCT($H272:$Y272,(TRANSPOSE(CY$2:CY$19)))</f>
        <v>550</v>
      </c>
      <c r="CZ272" s="1">
        <f t="array" ref="CZ272">SUMPRODUCT($H272:$Y272,(TRANSPOSE(CZ$2:CZ$19)))</f>
        <v>600</v>
      </c>
      <c r="DA272" s="1">
        <f t="array" ref="DA272">SUMPRODUCT($H272:$Y272,(TRANSPOSE(DA$2:DA$19)))</f>
        <v>650</v>
      </c>
      <c r="DB272" s="1">
        <f t="array" ref="DB272">SUMPRODUCT($H272:$Y272,(TRANSPOSE(DB$2:DB$19)))</f>
        <v>0</v>
      </c>
      <c r="DC272" s="1">
        <f t="array" ref="DC272">SUMPRODUCT($H272:$Y272,(TRANSPOSE(DC$2:DC$19)))</f>
        <v>0</v>
      </c>
      <c r="DD272" s="1">
        <f t="array" ref="DD272">SUMPRODUCT($H272:$Y272,(TRANSPOSE(DD$2:DD$19)))</f>
        <v>0</v>
      </c>
    </row>
    <row r="273" spans="1:108" x14ac:dyDescent="0.2">
      <c r="A273" s="1">
        <v>329</v>
      </c>
      <c r="B273" s="10" t="s">
        <v>204</v>
      </c>
      <c r="C273" s="1" t="s">
        <v>22</v>
      </c>
      <c r="D273" s="1">
        <v>512219262</v>
      </c>
      <c r="F273" s="1" t="s">
        <v>203</v>
      </c>
      <c r="G273" s="1" t="s">
        <v>20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14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f>SUM(H273:Y273)</f>
        <v>14</v>
      </c>
      <c r="AA273" s="1">
        <f>SUMPRODUCT(H273:Y273,$H$16:$Y$16)</f>
        <v>12740</v>
      </c>
      <c r="AB273" s="1" t="s">
        <v>184</v>
      </c>
      <c r="AC273" s="1">
        <v>0.12</v>
      </c>
      <c r="AD273" s="9"/>
      <c r="AE273" s="1" t="s">
        <v>28</v>
      </c>
      <c r="AF273" s="1">
        <f>AC273</f>
        <v>0.12</v>
      </c>
      <c r="AH273" s="1">
        <v>1</v>
      </c>
      <c r="AK273" s="1" t="s">
        <v>183</v>
      </c>
      <c r="AL273" s="1" t="s">
        <v>182</v>
      </c>
      <c r="AM273" s="1" t="s">
        <v>181</v>
      </c>
      <c r="AN273" s="2" t="s">
        <v>180</v>
      </c>
      <c r="BO273" s="1">
        <f>SUM($AP273,$AQ273:AQ273)-SUM($CK273:CL273)</f>
        <v>0</v>
      </c>
      <c r="BP273" s="1">
        <f>SUM($AP273,$AQ273:AR273)-SUM($CK273:CM273)</f>
        <v>0</v>
      </c>
      <c r="BQ273" s="1">
        <f>SUM($AP273,$AQ273:AS273)-SUM($CK273:CN273)</f>
        <v>0</v>
      </c>
      <c r="BR273" s="1">
        <f>SUM($AP273,$AQ273:AT273)-SUM($CK273:CO273)</f>
        <v>0</v>
      </c>
      <c r="BS273" s="1">
        <f>SUM($AP273,$AQ273:AU273)-SUM($CK273:CP273)</f>
        <v>0</v>
      </c>
      <c r="BT273" s="1">
        <f>SUM($AP273,$AQ273:AV273)-SUM($CK273:CQ273)</f>
        <v>-140</v>
      </c>
      <c r="BU273" s="1">
        <f>SUM($AP273,$AQ273:AW273)-SUM($CK273:CR273)</f>
        <v>-420</v>
      </c>
      <c r="BV273" s="1">
        <f>SUM($AP273,$AQ273:AX273)-SUM($CK273:CS273)</f>
        <v>-840</v>
      </c>
      <c r="BW273" s="1">
        <f>SUM($AP273,$AQ273:AY273)-SUM($CK273:CT273)</f>
        <v>-1400</v>
      </c>
      <c r="BX273" s="1">
        <f>SUM($AP273,$AQ273:AZ273)-SUM($CK273:CU273)</f>
        <v>-2100</v>
      </c>
      <c r="BY273" s="1">
        <f>SUM($AP273,$AQ273:BA273)-SUM($CK273:CV273)</f>
        <v>-2940</v>
      </c>
      <c r="BZ273" s="1">
        <f>SUM($AP273,$AQ273:BB273)-SUM($CK273:CW273)</f>
        <v>-3920</v>
      </c>
      <c r="CA273" s="1">
        <f>SUM($AP273,$AQ273:BC273)-SUM($CK273:CX273)</f>
        <v>-5040</v>
      </c>
      <c r="CB273" s="1">
        <f>SUM($AP273,$AQ273:BD273)-SUM($CK273:CY273)</f>
        <v>-6300</v>
      </c>
      <c r="CC273" s="1">
        <f>SUM($AP273,$AQ273:BE273)-SUM($CK273:CZ273)</f>
        <v>-7700</v>
      </c>
      <c r="CD273" s="1">
        <f>SUM($AP273,$AQ273:BF273)-SUM($CK273:DA273)</f>
        <v>-9240</v>
      </c>
      <c r="CE273" s="1">
        <f>SUM($AP273,$AQ273:BG273)-SUM($CK273:DB273)</f>
        <v>-10920</v>
      </c>
      <c r="CF273" s="1">
        <f>SUM($AP273,$AQ273:BH273)-SUM($CK273:DC273)</f>
        <v>-12740</v>
      </c>
      <c r="CG273" s="1">
        <f>SUM($AP273,$AQ273:BI273)-SUM($CK273:DD273)</f>
        <v>-12740</v>
      </c>
      <c r="CK273" s="1">
        <f t="array" ref="CK273">SUMPRODUCT($H273:$Y273,(TRANSPOSE(CK$2:CK$19)))</f>
        <v>0</v>
      </c>
      <c r="CL273" s="1">
        <f t="array" ref="CL273">SUMPRODUCT($H273:$Y273,(TRANSPOSE(CL$2:CL$19)))</f>
        <v>0</v>
      </c>
      <c r="CM273" s="1">
        <f t="array" ref="CM273">SUMPRODUCT($H273:$Y273,(TRANSPOSE(CM$2:CM$19)))</f>
        <v>0</v>
      </c>
      <c r="CN273" s="1">
        <f t="array" ref="CN273">SUMPRODUCT($H273:$Y273,(TRANSPOSE(CN$2:CN$19)))</f>
        <v>0</v>
      </c>
      <c r="CO273" s="1">
        <f t="array" ref="CO273">SUMPRODUCT($H273:$Y273,(TRANSPOSE(CO$2:CO$19)))</f>
        <v>0</v>
      </c>
      <c r="CP273" s="1">
        <f t="array" ref="CP273">SUMPRODUCT($H273:$Y273,(TRANSPOSE(CP$2:CP$19)))</f>
        <v>0</v>
      </c>
      <c r="CQ273" s="1">
        <f t="array" ref="CQ273">SUMPRODUCT($H273:$Y273,(TRANSPOSE(CQ$2:CQ$19)))</f>
        <v>140</v>
      </c>
      <c r="CR273" s="1">
        <f t="array" ref="CR273">SUMPRODUCT($H273:$Y273,(TRANSPOSE(CR$2:CR$19)))</f>
        <v>280</v>
      </c>
      <c r="CS273" s="1">
        <f t="array" ref="CS273">SUMPRODUCT($H273:$Y273,(TRANSPOSE(CS$2:CS$19)))</f>
        <v>420</v>
      </c>
      <c r="CT273" s="1">
        <f t="array" ref="CT273">SUMPRODUCT($H273:$Y273,(TRANSPOSE(CT$2:CT$19)))</f>
        <v>560</v>
      </c>
      <c r="CU273" s="1">
        <f t="array" ref="CU273">SUMPRODUCT($H273:$Y273,(TRANSPOSE(CU$2:CU$19)))</f>
        <v>700</v>
      </c>
      <c r="CV273" s="1">
        <f t="array" ref="CV273">SUMPRODUCT($H273:$Y273,(TRANSPOSE(CV$2:CV$19)))</f>
        <v>840</v>
      </c>
      <c r="CW273" s="1">
        <f t="array" ref="CW273">SUMPRODUCT($H273:$Y273,(TRANSPOSE(CW$2:CW$19)))</f>
        <v>980</v>
      </c>
      <c r="CX273" s="1">
        <f t="array" ref="CX273">SUMPRODUCT($H273:$Y273,(TRANSPOSE(CX$2:CX$19)))</f>
        <v>1120</v>
      </c>
      <c r="CY273" s="1">
        <f t="array" ref="CY273">SUMPRODUCT($H273:$Y273,(TRANSPOSE(CY$2:CY$19)))</f>
        <v>1260</v>
      </c>
      <c r="CZ273" s="1">
        <f t="array" ref="CZ273">SUMPRODUCT($H273:$Y273,(TRANSPOSE(CZ$2:CZ$19)))</f>
        <v>1400</v>
      </c>
      <c r="DA273" s="1">
        <f t="array" ref="DA273">SUMPRODUCT($H273:$Y273,(TRANSPOSE(DA$2:DA$19)))</f>
        <v>1540</v>
      </c>
      <c r="DB273" s="1">
        <f t="array" ref="DB273">SUMPRODUCT($H273:$Y273,(TRANSPOSE(DB$2:DB$19)))</f>
        <v>1680</v>
      </c>
      <c r="DC273" s="1">
        <f t="array" ref="DC273">SUMPRODUCT($H273:$Y273,(TRANSPOSE(DC$2:DC$19)))</f>
        <v>1820</v>
      </c>
      <c r="DD273" s="1">
        <f t="array" ref="DD273">SUMPRODUCT($H273:$Y273,(TRANSPOSE(DD$2:DD$19)))</f>
        <v>0</v>
      </c>
    </row>
    <row r="274" spans="1:108" x14ac:dyDescent="0.2">
      <c r="A274" s="1">
        <v>330</v>
      </c>
      <c r="B274" s="10" t="s">
        <v>202</v>
      </c>
      <c r="C274" s="1" t="s">
        <v>22</v>
      </c>
      <c r="D274" s="1">
        <v>511261935</v>
      </c>
      <c r="F274" s="1" t="s">
        <v>201</v>
      </c>
      <c r="G274" s="1" t="s">
        <v>20</v>
      </c>
      <c r="H274" s="1">
        <v>0</v>
      </c>
      <c r="I274" s="1">
        <v>22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f>SUM(H274:Y274)</f>
        <v>22</v>
      </c>
      <c r="AA274" s="1">
        <f>SUMPRODUCT(H274:Y274,$H$16:$Y$16)</f>
        <v>20020</v>
      </c>
      <c r="AB274" s="1" t="s">
        <v>18</v>
      </c>
      <c r="AC274" s="1">
        <v>0</v>
      </c>
      <c r="AD274" s="9"/>
      <c r="AE274" s="1" t="s">
        <v>19</v>
      </c>
      <c r="AF274" s="1">
        <f>AC274</f>
        <v>0</v>
      </c>
      <c r="AG274" s="1">
        <v>1</v>
      </c>
      <c r="AH274" s="1">
        <v>1</v>
      </c>
      <c r="AI274" s="1" t="s">
        <v>18</v>
      </c>
      <c r="AJ274" s="1" t="s">
        <v>18</v>
      </c>
      <c r="AK274" s="1" t="s">
        <v>18</v>
      </c>
      <c r="AL274" s="1" t="s">
        <v>18</v>
      </c>
      <c r="AM274" s="1" t="s">
        <v>18</v>
      </c>
      <c r="AN274" s="2" t="s">
        <v>18</v>
      </c>
      <c r="BO274" s="1">
        <f>SUM($AP274,$AQ274:AQ274)-SUM($CK274:CL274)</f>
        <v>0</v>
      </c>
      <c r="BP274" s="1">
        <f>SUM($AP274,$AQ274:AR274)-SUM($CK274:CM274)</f>
        <v>0</v>
      </c>
      <c r="BQ274" s="1">
        <f>SUM($AP274,$AQ274:AS274)-SUM($CK274:CN274)</f>
        <v>0</v>
      </c>
      <c r="BR274" s="1">
        <f>SUM($AP274,$AQ274:AT274)-SUM($CK274:CO274)</f>
        <v>0</v>
      </c>
      <c r="BS274" s="1">
        <f>SUM($AP274,$AQ274:AU274)-SUM($CK274:CP274)</f>
        <v>0</v>
      </c>
      <c r="BT274" s="1">
        <f>SUM($AP274,$AQ274:AV274)-SUM($CK274:CQ274)</f>
        <v>-220</v>
      </c>
      <c r="BU274" s="1">
        <f>SUM($AP274,$AQ274:AW274)-SUM($CK274:CR274)</f>
        <v>-660</v>
      </c>
      <c r="BV274" s="1">
        <f>SUM($AP274,$AQ274:AX274)-SUM($CK274:CS274)</f>
        <v>-1320</v>
      </c>
      <c r="BW274" s="1">
        <f>SUM($AP274,$AQ274:AY274)-SUM($CK274:CT274)</f>
        <v>-2200</v>
      </c>
      <c r="BX274" s="1">
        <f>SUM($AP274,$AQ274:AZ274)-SUM($CK274:CU274)</f>
        <v>-3300</v>
      </c>
      <c r="BY274" s="1">
        <f>SUM($AP274,$AQ274:BA274)-SUM($CK274:CV274)</f>
        <v>-4620</v>
      </c>
      <c r="BZ274" s="1">
        <f>SUM($AP274,$AQ274:BB274)-SUM($CK274:CW274)</f>
        <v>-6160</v>
      </c>
      <c r="CA274" s="1">
        <f>SUM($AP274,$AQ274:BC274)-SUM($CK274:CX274)</f>
        <v>-7920</v>
      </c>
      <c r="CB274" s="1">
        <f>SUM($AP274,$AQ274:BD274)-SUM($CK274:CY274)</f>
        <v>-9900</v>
      </c>
      <c r="CC274" s="1">
        <f>SUM($AP274,$AQ274:BE274)-SUM($CK274:CZ274)</f>
        <v>-12100</v>
      </c>
      <c r="CD274" s="1">
        <f>SUM($AP274,$AQ274:BF274)-SUM($CK274:DA274)</f>
        <v>-14520</v>
      </c>
      <c r="CE274" s="1">
        <f>SUM($AP274,$AQ274:BG274)-SUM($CK274:DB274)</f>
        <v>-17160</v>
      </c>
      <c r="CF274" s="1">
        <f>SUM($AP274,$AQ274:BH274)-SUM($CK274:DC274)</f>
        <v>-20020</v>
      </c>
      <c r="CG274" s="1">
        <f>SUM($AP274,$AQ274:BI274)-SUM($CK274:DD274)</f>
        <v>-20020</v>
      </c>
      <c r="CK274" s="1">
        <f t="array" ref="CK274">SUMPRODUCT($H274:$Y274,(TRANSPOSE(CK$2:CK$19)))</f>
        <v>0</v>
      </c>
      <c r="CL274" s="1">
        <f t="array" ref="CL274">SUMPRODUCT($H274:$Y274,(TRANSPOSE(CL$2:CL$19)))</f>
        <v>0</v>
      </c>
      <c r="CM274" s="1">
        <f t="array" ref="CM274">SUMPRODUCT($H274:$Y274,(TRANSPOSE(CM$2:CM$19)))</f>
        <v>0</v>
      </c>
      <c r="CN274" s="1">
        <f t="array" ref="CN274">SUMPRODUCT($H274:$Y274,(TRANSPOSE(CN$2:CN$19)))</f>
        <v>0</v>
      </c>
      <c r="CO274" s="1">
        <f t="array" ref="CO274">SUMPRODUCT($H274:$Y274,(TRANSPOSE(CO$2:CO$19)))</f>
        <v>0</v>
      </c>
      <c r="CP274" s="1">
        <f t="array" ref="CP274">SUMPRODUCT($H274:$Y274,(TRANSPOSE(CP$2:CP$19)))</f>
        <v>0</v>
      </c>
      <c r="CQ274" s="1">
        <f t="array" ref="CQ274">SUMPRODUCT($H274:$Y274,(TRANSPOSE(CQ$2:CQ$19)))</f>
        <v>220</v>
      </c>
      <c r="CR274" s="1">
        <f t="array" ref="CR274">SUMPRODUCT($H274:$Y274,(TRANSPOSE(CR$2:CR$19)))</f>
        <v>440</v>
      </c>
      <c r="CS274" s="1">
        <f t="array" ref="CS274">SUMPRODUCT($H274:$Y274,(TRANSPOSE(CS$2:CS$19)))</f>
        <v>660</v>
      </c>
      <c r="CT274" s="1">
        <f t="array" ref="CT274">SUMPRODUCT($H274:$Y274,(TRANSPOSE(CT$2:CT$19)))</f>
        <v>880</v>
      </c>
      <c r="CU274" s="1">
        <f t="array" ref="CU274">SUMPRODUCT($H274:$Y274,(TRANSPOSE(CU$2:CU$19)))</f>
        <v>1100</v>
      </c>
      <c r="CV274" s="1">
        <f t="array" ref="CV274">SUMPRODUCT($H274:$Y274,(TRANSPOSE(CV$2:CV$19)))</f>
        <v>1320</v>
      </c>
      <c r="CW274" s="1">
        <f t="array" ref="CW274">SUMPRODUCT($H274:$Y274,(TRANSPOSE(CW$2:CW$19)))</f>
        <v>1540</v>
      </c>
      <c r="CX274" s="1">
        <f t="array" ref="CX274">SUMPRODUCT($H274:$Y274,(TRANSPOSE(CX$2:CX$19)))</f>
        <v>1760</v>
      </c>
      <c r="CY274" s="1">
        <f t="array" ref="CY274">SUMPRODUCT($H274:$Y274,(TRANSPOSE(CY$2:CY$19)))</f>
        <v>1980</v>
      </c>
      <c r="CZ274" s="1">
        <f t="array" ref="CZ274">SUMPRODUCT($H274:$Y274,(TRANSPOSE(CZ$2:CZ$19)))</f>
        <v>2200</v>
      </c>
      <c r="DA274" s="1">
        <f t="array" ref="DA274">SUMPRODUCT($H274:$Y274,(TRANSPOSE(DA$2:DA$19)))</f>
        <v>2420</v>
      </c>
      <c r="DB274" s="1">
        <f t="array" ref="DB274">SUMPRODUCT($H274:$Y274,(TRANSPOSE(DB$2:DB$19)))</f>
        <v>2640</v>
      </c>
      <c r="DC274" s="1">
        <f t="array" ref="DC274">SUMPRODUCT($H274:$Y274,(TRANSPOSE(DC$2:DC$19)))</f>
        <v>2860</v>
      </c>
      <c r="DD274" s="1">
        <f t="array" ref="DD274">SUMPRODUCT($H274:$Y274,(TRANSPOSE(DD$2:DD$19)))</f>
        <v>0</v>
      </c>
    </row>
    <row r="275" spans="1:108" x14ac:dyDescent="0.2">
      <c r="A275" s="1">
        <v>331</v>
      </c>
      <c r="B275" s="10" t="s">
        <v>200</v>
      </c>
      <c r="C275" s="1" t="s">
        <v>22</v>
      </c>
      <c r="D275" s="1">
        <v>541553780</v>
      </c>
      <c r="F275" s="1" t="s">
        <v>199</v>
      </c>
      <c r="G275" s="1" t="s">
        <v>20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14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f>SUM(H275:Y275)</f>
        <v>14</v>
      </c>
      <c r="AA275" s="1">
        <f>SUMPRODUCT(H275:Y275,$H$16:$Y$16)</f>
        <v>12740</v>
      </c>
      <c r="AB275" s="1" t="s">
        <v>184</v>
      </c>
      <c r="AC275" s="1">
        <v>8.5000000000000006E-2</v>
      </c>
      <c r="AD275" s="9"/>
      <c r="AE275" s="1" t="s">
        <v>28</v>
      </c>
      <c r="AF275" s="1">
        <f>AC275</f>
        <v>8.5000000000000006E-2</v>
      </c>
      <c r="AH275" s="1">
        <v>1</v>
      </c>
      <c r="AK275" s="1" t="s">
        <v>183</v>
      </c>
      <c r="AL275" s="1" t="s">
        <v>182</v>
      </c>
      <c r="AM275" s="1" t="s">
        <v>181</v>
      </c>
      <c r="AN275" s="2" t="s">
        <v>180</v>
      </c>
      <c r="BO275" s="1">
        <f>SUM($AP275,$AQ275:AQ275)-SUM($CK275:CL275)</f>
        <v>0</v>
      </c>
      <c r="BP275" s="1">
        <f>SUM($AP275,$AQ275:AR275)-SUM($CK275:CM275)</f>
        <v>0</v>
      </c>
      <c r="BQ275" s="1">
        <f>SUM($AP275,$AQ275:AS275)-SUM($CK275:CN275)</f>
        <v>0</v>
      </c>
      <c r="BR275" s="1">
        <f>SUM($AP275,$AQ275:AT275)-SUM($CK275:CO275)</f>
        <v>0</v>
      </c>
      <c r="BS275" s="1">
        <f>SUM($AP275,$AQ275:AU275)-SUM($CK275:CP275)</f>
        <v>0</v>
      </c>
      <c r="BT275" s="1">
        <f>SUM($AP275,$AQ275:AV275)-SUM($CK275:CQ275)</f>
        <v>-140</v>
      </c>
      <c r="BU275" s="1">
        <f>SUM($AP275,$AQ275:AW275)-SUM($CK275:CR275)</f>
        <v>-420</v>
      </c>
      <c r="BV275" s="1">
        <f>SUM($AP275,$AQ275:AX275)-SUM($CK275:CS275)</f>
        <v>-840</v>
      </c>
      <c r="BW275" s="1">
        <f>SUM($AP275,$AQ275:AY275)-SUM($CK275:CT275)</f>
        <v>-1400</v>
      </c>
      <c r="BX275" s="1">
        <f>SUM($AP275,$AQ275:AZ275)-SUM($CK275:CU275)</f>
        <v>-2100</v>
      </c>
      <c r="BY275" s="1">
        <f>SUM($AP275,$AQ275:BA275)-SUM($CK275:CV275)</f>
        <v>-2940</v>
      </c>
      <c r="BZ275" s="1">
        <f>SUM($AP275,$AQ275:BB275)-SUM($CK275:CW275)</f>
        <v>-3920</v>
      </c>
      <c r="CA275" s="1">
        <f>SUM($AP275,$AQ275:BC275)-SUM($CK275:CX275)</f>
        <v>-5040</v>
      </c>
      <c r="CB275" s="1">
        <f>SUM($AP275,$AQ275:BD275)-SUM($CK275:CY275)</f>
        <v>-6300</v>
      </c>
      <c r="CC275" s="1">
        <f>SUM($AP275,$AQ275:BE275)-SUM($CK275:CZ275)</f>
        <v>-7700</v>
      </c>
      <c r="CD275" s="1">
        <f>SUM($AP275,$AQ275:BF275)-SUM($CK275:DA275)</f>
        <v>-9240</v>
      </c>
      <c r="CE275" s="1">
        <f>SUM($AP275,$AQ275:BG275)-SUM($CK275:DB275)</f>
        <v>-10920</v>
      </c>
      <c r="CF275" s="1">
        <f>SUM($AP275,$AQ275:BH275)-SUM($CK275:DC275)</f>
        <v>-12740</v>
      </c>
      <c r="CG275" s="1">
        <f>SUM($AP275,$AQ275:BI275)-SUM($CK275:DD275)</f>
        <v>-12740</v>
      </c>
      <c r="CK275" s="1">
        <f t="array" ref="CK275">SUMPRODUCT($H275:$Y275,(TRANSPOSE(CK$2:CK$19)))</f>
        <v>0</v>
      </c>
      <c r="CL275" s="1">
        <f t="array" ref="CL275">SUMPRODUCT($H275:$Y275,(TRANSPOSE(CL$2:CL$19)))</f>
        <v>0</v>
      </c>
      <c r="CM275" s="1">
        <f t="array" ref="CM275">SUMPRODUCT($H275:$Y275,(TRANSPOSE(CM$2:CM$19)))</f>
        <v>0</v>
      </c>
      <c r="CN275" s="1">
        <f t="array" ref="CN275">SUMPRODUCT($H275:$Y275,(TRANSPOSE(CN$2:CN$19)))</f>
        <v>0</v>
      </c>
      <c r="CO275" s="1">
        <f t="array" ref="CO275">SUMPRODUCT($H275:$Y275,(TRANSPOSE(CO$2:CO$19)))</f>
        <v>0</v>
      </c>
      <c r="CP275" s="1">
        <f t="array" ref="CP275">SUMPRODUCT($H275:$Y275,(TRANSPOSE(CP$2:CP$19)))</f>
        <v>0</v>
      </c>
      <c r="CQ275" s="1">
        <f t="array" ref="CQ275">SUMPRODUCT($H275:$Y275,(TRANSPOSE(CQ$2:CQ$19)))</f>
        <v>140</v>
      </c>
      <c r="CR275" s="1">
        <f t="array" ref="CR275">SUMPRODUCT($H275:$Y275,(TRANSPOSE(CR$2:CR$19)))</f>
        <v>280</v>
      </c>
      <c r="CS275" s="1">
        <f t="array" ref="CS275">SUMPRODUCT($H275:$Y275,(TRANSPOSE(CS$2:CS$19)))</f>
        <v>420</v>
      </c>
      <c r="CT275" s="1">
        <f t="array" ref="CT275">SUMPRODUCT($H275:$Y275,(TRANSPOSE(CT$2:CT$19)))</f>
        <v>560</v>
      </c>
      <c r="CU275" s="1">
        <f t="array" ref="CU275">SUMPRODUCT($H275:$Y275,(TRANSPOSE(CU$2:CU$19)))</f>
        <v>700</v>
      </c>
      <c r="CV275" s="1">
        <f t="array" ref="CV275">SUMPRODUCT($H275:$Y275,(TRANSPOSE(CV$2:CV$19)))</f>
        <v>840</v>
      </c>
      <c r="CW275" s="1">
        <f t="array" ref="CW275">SUMPRODUCT($H275:$Y275,(TRANSPOSE(CW$2:CW$19)))</f>
        <v>980</v>
      </c>
      <c r="CX275" s="1">
        <f t="array" ref="CX275">SUMPRODUCT($H275:$Y275,(TRANSPOSE(CX$2:CX$19)))</f>
        <v>1120</v>
      </c>
      <c r="CY275" s="1">
        <f t="array" ref="CY275">SUMPRODUCT($H275:$Y275,(TRANSPOSE(CY$2:CY$19)))</f>
        <v>1260</v>
      </c>
      <c r="CZ275" s="1">
        <f t="array" ref="CZ275">SUMPRODUCT($H275:$Y275,(TRANSPOSE(CZ$2:CZ$19)))</f>
        <v>1400</v>
      </c>
      <c r="DA275" s="1">
        <f t="array" ref="DA275">SUMPRODUCT($H275:$Y275,(TRANSPOSE(DA$2:DA$19)))</f>
        <v>1540</v>
      </c>
      <c r="DB275" s="1">
        <f t="array" ref="DB275">SUMPRODUCT($H275:$Y275,(TRANSPOSE(DB$2:DB$19)))</f>
        <v>1680</v>
      </c>
      <c r="DC275" s="1">
        <f t="array" ref="DC275">SUMPRODUCT($H275:$Y275,(TRANSPOSE(DC$2:DC$19)))</f>
        <v>1820</v>
      </c>
      <c r="DD275" s="1">
        <f t="array" ref="DD275">SUMPRODUCT($H275:$Y275,(TRANSPOSE(DD$2:DD$19)))</f>
        <v>0</v>
      </c>
    </row>
    <row r="276" spans="1:108" x14ac:dyDescent="0.2">
      <c r="A276" s="1">
        <v>332</v>
      </c>
      <c r="B276" s="10" t="s">
        <v>198</v>
      </c>
      <c r="C276" s="1" t="s">
        <v>22</v>
      </c>
      <c r="D276" s="1">
        <v>541553756</v>
      </c>
      <c r="F276" s="1" t="s">
        <v>197</v>
      </c>
      <c r="G276" s="1" t="s">
        <v>20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104</v>
      </c>
      <c r="S276" s="1">
        <v>0</v>
      </c>
      <c r="T276" s="1">
        <v>0</v>
      </c>
      <c r="U276" s="1">
        <v>0</v>
      </c>
      <c r="V276" s="1">
        <v>104</v>
      </c>
      <c r="W276" s="1">
        <v>0</v>
      </c>
      <c r="X276" s="1">
        <v>0</v>
      </c>
      <c r="Y276" s="1">
        <v>0</v>
      </c>
      <c r="Z276" s="1">
        <f>SUM(H276:Y276)</f>
        <v>208</v>
      </c>
      <c r="AA276" s="1">
        <f>SUMPRODUCT(H276:Y276,$H$16:$Y$16)</f>
        <v>189280</v>
      </c>
      <c r="AB276" s="1" t="s">
        <v>184</v>
      </c>
      <c r="AC276" s="1">
        <v>2.3900000000000001E-2</v>
      </c>
      <c r="AD276" s="9"/>
      <c r="AE276" s="1" t="s">
        <v>28</v>
      </c>
      <c r="AF276" s="1">
        <f>AC276</f>
        <v>2.3900000000000001E-2</v>
      </c>
      <c r="AH276" s="1">
        <v>1</v>
      </c>
      <c r="AK276" s="1" t="s">
        <v>183</v>
      </c>
      <c r="AL276" s="1" t="s">
        <v>182</v>
      </c>
      <c r="AM276" s="1" t="s">
        <v>181</v>
      </c>
      <c r="AN276" s="2" t="s">
        <v>180</v>
      </c>
      <c r="BO276" s="1">
        <f>SUM($AP276,$AQ276:AQ276)-SUM($CK276:CL276)</f>
        <v>0</v>
      </c>
      <c r="BP276" s="1">
        <f>SUM($AP276,$AQ276:AR276)-SUM($CK276:CM276)</f>
        <v>0</v>
      </c>
      <c r="BQ276" s="1">
        <f>SUM($AP276,$AQ276:AS276)-SUM($CK276:CN276)</f>
        <v>0</v>
      </c>
      <c r="BR276" s="1">
        <f>SUM($AP276,$AQ276:AT276)-SUM($CK276:CO276)</f>
        <v>0</v>
      </c>
      <c r="BS276" s="1">
        <f>SUM($AP276,$AQ276:AU276)-SUM($CK276:CP276)</f>
        <v>0</v>
      </c>
      <c r="BT276" s="1">
        <f>SUM($AP276,$AQ276:AV276)-SUM($CK276:CQ276)</f>
        <v>-2080</v>
      </c>
      <c r="BU276" s="1">
        <f>SUM($AP276,$AQ276:AW276)-SUM($CK276:CR276)</f>
        <v>-6240</v>
      </c>
      <c r="BV276" s="1">
        <f>SUM($AP276,$AQ276:AX276)-SUM($CK276:CS276)</f>
        <v>-12480</v>
      </c>
      <c r="BW276" s="1">
        <f>SUM($AP276,$AQ276:AY276)-SUM($CK276:CT276)</f>
        <v>-20800</v>
      </c>
      <c r="BX276" s="1">
        <f>SUM($AP276,$AQ276:AZ276)-SUM($CK276:CU276)</f>
        <v>-31200</v>
      </c>
      <c r="BY276" s="1">
        <f>SUM($AP276,$AQ276:BA276)-SUM($CK276:CV276)</f>
        <v>-43680</v>
      </c>
      <c r="BZ276" s="1">
        <f>SUM($AP276,$AQ276:BB276)-SUM($CK276:CW276)</f>
        <v>-58240</v>
      </c>
      <c r="CA276" s="1">
        <f>SUM($AP276,$AQ276:BC276)-SUM($CK276:CX276)</f>
        <v>-74880</v>
      </c>
      <c r="CB276" s="1">
        <f>SUM($AP276,$AQ276:BD276)-SUM($CK276:CY276)</f>
        <v>-93600</v>
      </c>
      <c r="CC276" s="1">
        <f>SUM($AP276,$AQ276:BE276)-SUM($CK276:CZ276)</f>
        <v>-114400</v>
      </c>
      <c r="CD276" s="1">
        <f>SUM($AP276,$AQ276:BF276)-SUM($CK276:DA276)</f>
        <v>-137280</v>
      </c>
      <c r="CE276" s="1">
        <f>SUM($AP276,$AQ276:BG276)-SUM($CK276:DB276)</f>
        <v>-162240</v>
      </c>
      <c r="CF276" s="1">
        <f>SUM($AP276,$AQ276:BH276)-SUM($CK276:DC276)</f>
        <v>-189280</v>
      </c>
      <c r="CG276" s="1">
        <f>SUM($AP276,$AQ276:BI276)-SUM($CK276:DD276)</f>
        <v>-189280</v>
      </c>
      <c r="CK276" s="1">
        <f t="array" ref="CK276">SUMPRODUCT($H276:$Y276,(TRANSPOSE(CK$2:CK$19)))</f>
        <v>0</v>
      </c>
      <c r="CL276" s="1">
        <f t="array" ref="CL276">SUMPRODUCT($H276:$Y276,(TRANSPOSE(CL$2:CL$19)))</f>
        <v>0</v>
      </c>
      <c r="CM276" s="1">
        <f t="array" ref="CM276">SUMPRODUCT($H276:$Y276,(TRANSPOSE(CM$2:CM$19)))</f>
        <v>0</v>
      </c>
      <c r="CN276" s="1">
        <f t="array" ref="CN276">SUMPRODUCT($H276:$Y276,(TRANSPOSE(CN$2:CN$19)))</f>
        <v>0</v>
      </c>
      <c r="CO276" s="1">
        <f t="array" ref="CO276">SUMPRODUCT($H276:$Y276,(TRANSPOSE(CO$2:CO$19)))</f>
        <v>0</v>
      </c>
      <c r="CP276" s="1">
        <f t="array" ref="CP276">SUMPRODUCT($H276:$Y276,(TRANSPOSE(CP$2:CP$19)))</f>
        <v>0</v>
      </c>
      <c r="CQ276" s="1">
        <f t="array" ref="CQ276">SUMPRODUCT($H276:$Y276,(TRANSPOSE(CQ$2:CQ$19)))</f>
        <v>2080</v>
      </c>
      <c r="CR276" s="1">
        <f t="array" ref="CR276">SUMPRODUCT($H276:$Y276,(TRANSPOSE(CR$2:CR$19)))</f>
        <v>4160</v>
      </c>
      <c r="CS276" s="1">
        <f t="array" ref="CS276">SUMPRODUCT($H276:$Y276,(TRANSPOSE(CS$2:CS$19)))</f>
        <v>6240</v>
      </c>
      <c r="CT276" s="1">
        <f t="array" ref="CT276">SUMPRODUCT($H276:$Y276,(TRANSPOSE(CT$2:CT$19)))</f>
        <v>8320</v>
      </c>
      <c r="CU276" s="1">
        <f t="array" ref="CU276">SUMPRODUCT($H276:$Y276,(TRANSPOSE(CU$2:CU$19)))</f>
        <v>10400</v>
      </c>
      <c r="CV276" s="1">
        <f t="array" ref="CV276">SUMPRODUCT($H276:$Y276,(TRANSPOSE(CV$2:CV$19)))</f>
        <v>12480</v>
      </c>
      <c r="CW276" s="1">
        <f t="array" ref="CW276">SUMPRODUCT($H276:$Y276,(TRANSPOSE(CW$2:CW$19)))</f>
        <v>14560</v>
      </c>
      <c r="CX276" s="1">
        <f t="array" ref="CX276">SUMPRODUCT($H276:$Y276,(TRANSPOSE(CX$2:CX$19)))</f>
        <v>16640</v>
      </c>
      <c r="CY276" s="1">
        <f t="array" ref="CY276">SUMPRODUCT($H276:$Y276,(TRANSPOSE(CY$2:CY$19)))</f>
        <v>18720</v>
      </c>
      <c r="CZ276" s="1">
        <f t="array" ref="CZ276">SUMPRODUCT($H276:$Y276,(TRANSPOSE(CZ$2:CZ$19)))</f>
        <v>20800</v>
      </c>
      <c r="DA276" s="1">
        <f t="array" ref="DA276">SUMPRODUCT($H276:$Y276,(TRANSPOSE(DA$2:DA$19)))</f>
        <v>22880</v>
      </c>
      <c r="DB276" s="1">
        <f t="array" ref="DB276">SUMPRODUCT($H276:$Y276,(TRANSPOSE(DB$2:DB$19)))</f>
        <v>24960</v>
      </c>
      <c r="DC276" s="1">
        <f t="array" ref="DC276">SUMPRODUCT($H276:$Y276,(TRANSPOSE(DC$2:DC$19)))</f>
        <v>27040</v>
      </c>
      <c r="DD276" s="1">
        <f t="array" ref="DD276">SUMPRODUCT($H276:$Y276,(TRANSPOSE(DD$2:DD$19)))</f>
        <v>0</v>
      </c>
    </row>
    <row r="277" spans="1:108" x14ac:dyDescent="0.2">
      <c r="A277" s="1">
        <v>333</v>
      </c>
      <c r="B277" s="10" t="s">
        <v>196</v>
      </c>
      <c r="C277" s="1" t="s">
        <v>22</v>
      </c>
      <c r="D277" s="1">
        <v>514201177</v>
      </c>
      <c r="F277" s="1" t="s">
        <v>195</v>
      </c>
      <c r="G277" s="1" t="s">
        <v>20</v>
      </c>
      <c r="H277" s="1">
        <v>0</v>
      </c>
      <c r="I277" s="1">
        <v>0</v>
      </c>
      <c r="J277" s="1">
        <v>0</v>
      </c>
      <c r="K277" s="1">
        <v>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32</v>
      </c>
      <c r="T277" s="1">
        <v>0</v>
      </c>
      <c r="U277" s="1">
        <v>8</v>
      </c>
      <c r="V277" s="1">
        <v>0</v>
      </c>
      <c r="W277" s="1">
        <v>32</v>
      </c>
      <c r="X277" s="1">
        <v>0</v>
      </c>
      <c r="Y277" s="1">
        <v>8</v>
      </c>
      <c r="Z277" s="1">
        <f>SUM(H277:Y277)</f>
        <v>85</v>
      </c>
      <c r="AA277" s="1">
        <f>SUMPRODUCT(H277:Y277,$H$16:$Y$16)</f>
        <v>77350</v>
      </c>
      <c r="AB277" s="1" t="s">
        <v>18</v>
      </c>
      <c r="AC277" s="1">
        <v>0</v>
      </c>
      <c r="AD277" s="9"/>
      <c r="AE277" s="1" t="s">
        <v>19</v>
      </c>
      <c r="AF277" s="1">
        <f>AC277</f>
        <v>0</v>
      </c>
      <c r="AG277" s="1">
        <v>1</v>
      </c>
      <c r="AH277" s="1">
        <v>1</v>
      </c>
      <c r="AI277" s="1" t="s">
        <v>18</v>
      </c>
      <c r="AJ277" s="1" t="s">
        <v>18</v>
      </c>
      <c r="AK277" s="1" t="s">
        <v>18</v>
      </c>
      <c r="AL277" s="1" t="s">
        <v>18</v>
      </c>
      <c r="AM277" s="1" t="s">
        <v>18</v>
      </c>
      <c r="AN277" s="2" t="s">
        <v>18</v>
      </c>
      <c r="BO277" s="1">
        <f>SUM($AP277,$AQ277:AQ277)-SUM($CK277:CL277)</f>
        <v>0</v>
      </c>
      <c r="BP277" s="1">
        <f>SUM($AP277,$AQ277:AR277)-SUM($CK277:CM277)</f>
        <v>0</v>
      </c>
      <c r="BQ277" s="1">
        <f>SUM($AP277,$AQ277:AS277)-SUM($CK277:CN277)</f>
        <v>0</v>
      </c>
      <c r="BR277" s="1">
        <f>SUM($AP277,$AQ277:AT277)-SUM($CK277:CO277)</f>
        <v>-210</v>
      </c>
      <c r="BS277" s="1">
        <f>SUM($AP277,$AQ277:AU277)-SUM($CK277:CP277)</f>
        <v>-1270</v>
      </c>
      <c r="BT277" s="1">
        <f>SUM($AP277,$AQ277:AV277)-SUM($CK277:CQ277)</f>
        <v>-3180</v>
      </c>
      <c r="BU277" s="1">
        <f>SUM($AP277,$AQ277:AW277)-SUM($CK277:CR277)</f>
        <v>-5940</v>
      </c>
      <c r="BV277" s="1">
        <f>SUM($AP277,$AQ277:AX277)-SUM($CK277:CS277)</f>
        <v>-9550</v>
      </c>
      <c r="BW277" s="1">
        <f>SUM($AP277,$AQ277:AY277)-SUM($CK277:CT277)</f>
        <v>-14010</v>
      </c>
      <c r="BX277" s="1">
        <f>SUM($AP277,$AQ277:AZ277)-SUM($CK277:CU277)</f>
        <v>-19320</v>
      </c>
      <c r="BY277" s="1">
        <f>SUM($AP277,$AQ277:BA277)-SUM($CK277:CV277)</f>
        <v>-25480</v>
      </c>
      <c r="BZ277" s="1">
        <f>SUM($AP277,$AQ277:BB277)-SUM($CK277:CW277)</f>
        <v>-32490</v>
      </c>
      <c r="CA277" s="1">
        <f>SUM($AP277,$AQ277:BC277)-SUM($CK277:CX277)</f>
        <v>-40350</v>
      </c>
      <c r="CB277" s="1">
        <f>SUM($AP277,$AQ277:BD277)-SUM($CK277:CY277)</f>
        <v>-49060</v>
      </c>
      <c r="CC277" s="1">
        <f>SUM($AP277,$AQ277:BE277)-SUM($CK277:CZ277)</f>
        <v>-58620</v>
      </c>
      <c r="CD277" s="1">
        <f>SUM($AP277,$AQ277:BF277)-SUM($CK277:DA277)</f>
        <v>-69030</v>
      </c>
      <c r="CE277" s="1">
        <f>SUM($AP277,$AQ277:BG277)-SUM($CK277:DB277)</f>
        <v>-77350</v>
      </c>
      <c r="CF277" s="1">
        <f>SUM($AP277,$AQ277:BH277)-SUM($CK277:DC277)</f>
        <v>-77350</v>
      </c>
      <c r="CG277" s="1">
        <f>SUM($AP277,$AQ277:BI277)-SUM($CK277:DD277)</f>
        <v>-77350</v>
      </c>
      <c r="CK277" s="1">
        <f t="array" ref="CK277">SUMPRODUCT($H277:$Y277,(TRANSPOSE(CK$2:CK$19)))</f>
        <v>0</v>
      </c>
      <c r="CL277" s="1">
        <f t="array" ref="CL277">SUMPRODUCT($H277:$Y277,(TRANSPOSE(CL$2:CL$19)))</f>
        <v>0</v>
      </c>
      <c r="CM277" s="1">
        <f t="array" ref="CM277">SUMPRODUCT($H277:$Y277,(TRANSPOSE(CM$2:CM$19)))</f>
        <v>0</v>
      </c>
      <c r="CN277" s="1">
        <f t="array" ref="CN277">SUMPRODUCT($H277:$Y277,(TRANSPOSE(CN$2:CN$19)))</f>
        <v>0</v>
      </c>
      <c r="CO277" s="1">
        <f t="array" ref="CO277">SUMPRODUCT($H277:$Y277,(TRANSPOSE(CO$2:CO$19)))</f>
        <v>210</v>
      </c>
      <c r="CP277" s="1">
        <f t="array" ref="CP277">SUMPRODUCT($H277:$Y277,(TRANSPOSE(CP$2:CP$19)))</f>
        <v>1060</v>
      </c>
      <c r="CQ277" s="1">
        <f t="array" ref="CQ277">SUMPRODUCT($H277:$Y277,(TRANSPOSE(CQ$2:CQ$19)))</f>
        <v>1910</v>
      </c>
      <c r="CR277" s="1">
        <f t="array" ref="CR277">SUMPRODUCT($H277:$Y277,(TRANSPOSE(CR$2:CR$19)))</f>
        <v>2760</v>
      </c>
      <c r="CS277" s="1">
        <f t="array" ref="CS277">SUMPRODUCT($H277:$Y277,(TRANSPOSE(CS$2:CS$19)))</f>
        <v>3610</v>
      </c>
      <c r="CT277" s="1">
        <f t="array" ref="CT277">SUMPRODUCT($H277:$Y277,(TRANSPOSE(CT$2:CT$19)))</f>
        <v>4460</v>
      </c>
      <c r="CU277" s="1">
        <f t="array" ref="CU277">SUMPRODUCT($H277:$Y277,(TRANSPOSE(CU$2:CU$19)))</f>
        <v>5310</v>
      </c>
      <c r="CV277" s="1">
        <f t="array" ref="CV277">SUMPRODUCT($H277:$Y277,(TRANSPOSE(CV$2:CV$19)))</f>
        <v>6160</v>
      </c>
      <c r="CW277" s="1">
        <f t="array" ref="CW277">SUMPRODUCT($H277:$Y277,(TRANSPOSE(CW$2:CW$19)))</f>
        <v>7010</v>
      </c>
      <c r="CX277" s="1">
        <f t="array" ref="CX277">SUMPRODUCT($H277:$Y277,(TRANSPOSE(CX$2:CX$19)))</f>
        <v>7860</v>
      </c>
      <c r="CY277" s="1">
        <f t="array" ref="CY277">SUMPRODUCT($H277:$Y277,(TRANSPOSE(CY$2:CY$19)))</f>
        <v>8710</v>
      </c>
      <c r="CZ277" s="1">
        <f t="array" ref="CZ277">SUMPRODUCT($H277:$Y277,(TRANSPOSE(CZ$2:CZ$19)))</f>
        <v>9560</v>
      </c>
      <c r="DA277" s="1">
        <f t="array" ref="DA277">SUMPRODUCT($H277:$Y277,(TRANSPOSE(DA$2:DA$19)))</f>
        <v>10410</v>
      </c>
      <c r="DB277" s="1">
        <f t="array" ref="DB277">SUMPRODUCT($H277:$Y277,(TRANSPOSE(DB$2:DB$19)))</f>
        <v>8320</v>
      </c>
      <c r="DC277" s="1">
        <f t="array" ref="DC277">SUMPRODUCT($H277:$Y277,(TRANSPOSE(DC$2:DC$19)))</f>
        <v>0</v>
      </c>
      <c r="DD277" s="1">
        <f t="array" ref="DD277">SUMPRODUCT($H277:$Y277,(TRANSPOSE(DD$2:DD$19)))</f>
        <v>0</v>
      </c>
    </row>
    <row r="278" spans="1:108" x14ac:dyDescent="0.2">
      <c r="A278" s="1">
        <v>334</v>
      </c>
      <c r="B278" s="10" t="s">
        <v>194</v>
      </c>
      <c r="C278" s="1" t="s">
        <v>22</v>
      </c>
      <c r="D278" s="1">
        <v>514200799</v>
      </c>
      <c r="F278" s="1" t="s">
        <v>193</v>
      </c>
      <c r="G278" s="1" t="s">
        <v>20</v>
      </c>
      <c r="H278" s="1">
        <v>0</v>
      </c>
      <c r="I278" s="1">
        <v>0</v>
      </c>
      <c r="J278" s="1">
        <v>0</v>
      </c>
      <c r="K278" s="1">
        <v>4</v>
      </c>
      <c r="L278" s="1">
        <v>0</v>
      </c>
      <c r="M278" s="1">
        <v>857</v>
      </c>
      <c r="N278" s="1">
        <v>0</v>
      </c>
      <c r="O278" s="1">
        <v>0</v>
      </c>
      <c r="P278" s="1">
        <v>0</v>
      </c>
      <c r="Q278" s="1">
        <v>0</v>
      </c>
      <c r="R278" s="1">
        <v>42</v>
      </c>
      <c r="S278" s="1">
        <v>52</v>
      </c>
      <c r="T278" s="1">
        <v>0</v>
      </c>
      <c r="U278" s="1">
        <v>0</v>
      </c>
      <c r="V278" s="1">
        <v>42</v>
      </c>
      <c r="W278" s="1">
        <v>52</v>
      </c>
      <c r="X278" s="1">
        <v>0</v>
      </c>
      <c r="Y278" s="1">
        <v>0</v>
      </c>
      <c r="Z278" s="1">
        <f>SUM(H278:Y278)</f>
        <v>1049</v>
      </c>
      <c r="AA278" s="1">
        <f>SUMPRODUCT(H278:Y278,$H$16:$Y$16)</f>
        <v>954590</v>
      </c>
      <c r="AB278" s="1" t="s">
        <v>18</v>
      </c>
      <c r="AC278" s="1">
        <v>0</v>
      </c>
      <c r="AD278" s="9"/>
      <c r="AE278" s="1" t="s">
        <v>19</v>
      </c>
      <c r="AF278" s="1">
        <f>AC278</f>
        <v>0</v>
      </c>
      <c r="AG278" s="1">
        <v>1</v>
      </c>
      <c r="AH278" s="1">
        <v>1</v>
      </c>
      <c r="AI278" s="1" t="s">
        <v>18</v>
      </c>
      <c r="AJ278" s="1" t="s">
        <v>18</v>
      </c>
      <c r="AK278" s="1" t="s">
        <v>18</v>
      </c>
      <c r="AL278" s="1" t="s">
        <v>18</v>
      </c>
      <c r="AM278" s="1" t="s">
        <v>18</v>
      </c>
      <c r="AN278" s="2" t="s">
        <v>18</v>
      </c>
      <c r="BO278" s="1">
        <f>SUM($AP278,$AQ278:AQ278)-SUM($CK278:CL278)</f>
        <v>0</v>
      </c>
      <c r="BP278" s="1">
        <f>SUM($AP278,$AQ278:AR278)-SUM($CK278:CM278)</f>
        <v>-8570</v>
      </c>
      <c r="BQ278" s="1">
        <f>SUM($AP278,$AQ278:AS278)-SUM($CK278:CN278)</f>
        <v>-25710</v>
      </c>
      <c r="BR278" s="1">
        <f>SUM($AP278,$AQ278:AT278)-SUM($CK278:CO278)</f>
        <v>-51460</v>
      </c>
      <c r="BS278" s="1">
        <f>SUM($AP278,$AQ278:AU278)-SUM($CK278:CP278)</f>
        <v>-86860</v>
      </c>
      <c r="BT278" s="1">
        <f>SUM($AP278,$AQ278:AV278)-SUM($CK278:CQ278)</f>
        <v>-132750</v>
      </c>
      <c r="BU278" s="1">
        <f>SUM($AP278,$AQ278:AW278)-SUM($CK278:CR278)</f>
        <v>-189130</v>
      </c>
      <c r="BV278" s="1">
        <f>SUM($AP278,$AQ278:AX278)-SUM($CK278:CS278)</f>
        <v>-256000</v>
      </c>
      <c r="BW278" s="1">
        <f>SUM($AP278,$AQ278:AY278)-SUM($CK278:CT278)</f>
        <v>-333360</v>
      </c>
      <c r="BX278" s="1">
        <f>SUM($AP278,$AQ278:AZ278)-SUM($CK278:CU278)</f>
        <v>-421210</v>
      </c>
      <c r="BY278" s="1">
        <f>SUM($AP278,$AQ278:BA278)-SUM($CK278:CV278)</f>
        <v>-519550</v>
      </c>
      <c r="BZ278" s="1">
        <f>SUM($AP278,$AQ278:BB278)-SUM($CK278:CW278)</f>
        <v>-628380</v>
      </c>
      <c r="CA278" s="1">
        <f>SUM($AP278,$AQ278:BC278)-SUM($CK278:CX278)</f>
        <v>-747700</v>
      </c>
      <c r="CB278" s="1">
        <f>SUM($AP278,$AQ278:BD278)-SUM($CK278:CY278)</f>
        <v>-877510</v>
      </c>
      <c r="CC278" s="1">
        <f>SUM($AP278,$AQ278:BE278)-SUM($CK278:CZ278)</f>
        <v>-897830</v>
      </c>
      <c r="CD278" s="1">
        <f>SUM($AP278,$AQ278:BF278)-SUM($CK278:DA278)</f>
        <v>-920070</v>
      </c>
      <c r="CE278" s="1">
        <f>SUM($AP278,$AQ278:BG278)-SUM($CK278:DB278)</f>
        <v>-943670</v>
      </c>
      <c r="CF278" s="1">
        <f>SUM($AP278,$AQ278:BH278)-SUM($CK278:DC278)</f>
        <v>-954590</v>
      </c>
      <c r="CG278" s="1">
        <f>SUM($AP278,$AQ278:BI278)-SUM($CK278:DD278)</f>
        <v>-954590</v>
      </c>
      <c r="CK278" s="1">
        <f t="array" ref="CK278">SUMPRODUCT($H278:$Y278,(TRANSPOSE(CK$2:CK$19)))</f>
        <v>0</v>
      </c>
      <c r="CL278" s="1">
        <f t="array" ref="CL278">SUMPRODUCT($H278:$Y278,(TRANSPOSE(CL$2:CL$19)))</f>
        <v>0</v>
      </c>
      <c r="CM278" s="1">
        <f t="array" ref="CM278">SUMPRODUCT($H278:$Y278,(TRANSPOSE(CM$2:CM$19)))</f>
        <v>8570</v>
      </c>
      <c r="CN278" s="1">
        <f t="array" ref="CN278">SUMPRODUCT($H278:$Y278,(TRANSPOSE(CN$2:CN$19)))</f>
        <v>17140</v>
      </c>
      <c r="CO278" s="1">
        <f t="array" ref="CO278">SUMPRODUCT($H278:$Y278,(TRANSPOSE(CO$2:CO$19)))</f>
        <v>25750</v>
      </c>
      <c r="CP278" s="1">
        <f t="array" ref="CP278">SUMPRODUCT($H278:$Y278,(TRANSPOSE(CP$2:CP$19)))</f>
        <v>35400</v>
      </c>
      <c r="CQ278" s="1">
        <f t="array" ref="CQ278">SUMPRODUCT($H278:$Y278,(TRANSPOSE(CQ$2:CQ$19)))</f>
        <v>45890</v>
      </c>
      <c r="CR278" s="1">
        <f t="array" ref="CR278">SUMPRODUCT($H278:$Y278,(TRANSPOSE(CR$2:CR$19)))</f>
        <v>56380</v>
      </c>
      <c r="CS278" s="1">
        <f t="array" ref="CS278">SUMPRODUCT($H278:$Y278,(TRANSPOSE(CS$2:CS$19)))</f>
        <v>66870</v>
      </c>
      <c r="CT278" s="1">
        <f t="array" ref="CT278">SUMPRODUCT($H278:$Y278,(TRANSPOSE(CT$2:CT$19)))</f>
        <v>77360</v>
      </c>
      <c r="CU278" s="1">
        <f t="array" ref="CU278">SUMPRODUCT($H278:$Y278,(TRANSPOSE(CU$2:CU$19)))</f>
        <v>87850</v>
      </c>
      <c r="CV278" s="1">
        <f t="array" ref="CV278">SUMPRODUCT($H278:$Y278,(TRANSPOSE(CV$2:CV$19)))</f>
        <v>98340</v>
      </c>
      <c r="CW278" s="1">
        <f t="array" ref="CW278">SUMPRODUCT($H278:$Y278,(TRANSPOSE(CW$2:CW$19)))</f>
        <v>108830</v>
      </c>
      <c r="CX278" s="1">
        <f t="array" ref="CX278">SUMPRODUCT($H278:$Y278,(TRANSPOSE(CX$2:CX$19)))</f>
        <v>119320</v>
      </c>
      <c r="CY278" s="1">
        <f t="array" ref="CY278">SUMPRODUCT($H278:$Y278,(TRANSPOSE(CY$2:CY$19)))</f>
        <v>129810</v>
      </c>
      <c r="CZ278" s="1">
        <f t="array" ref="CZ278">SUMPRODUCT($H278:$Y278,(TRANSPOSE(CZ$2:CZ$19)))</f>
        <v>20320</v>
      </c>
      <c r="DA278" s="1">
        <f t="array" ref="DA278">SUMPRODUCT($H278:$Y278,(TRANSPOSE(DA$2:DA$19)))</f>
        <v>22240</v>
      </c>
      <c r="DB278" s="1">
        <f t="array" ref="DB278">SUMPRODUCT($H278:$Y278,(TRANSPOSE(DB$2:DB$19)))</f>
        <v>23600</v>
      </c>
      <c r="DC278" s="1">
        <f t="array" ref="DC278">SUMPRODUCT($H278:$Y278,(TRANSPOSE(DC$2:DC$19)))</f>
        <v>10920</v>
      </c>
      <c r="DD278" s="1">
        <f t="array" ref="DD278">SUMPRODUCT($H278:$Y278,(TRANSPOSE(DD$2:DD$19)))</f>
        <v>0</v>
      </c>
    </row>
    <row r="279" spans="1:108" x14ac:dyDescent="0.2">
      <c r="A279" s="1">
        <v>335</v>
      </c>
      <c r="B279" s="10" t="s">
        <v>192</v>
      </c>
      <c r="C279" s="1" t="s">
        <v>22</v>
      </c>
      <c r="D279" s="1">
        <v>514202670</v>
      </c>
      <c r="F279" s="1" t="s">
        <v>191</v>
      </c>
      <c r="G279" s="1" t="s">
        <v>20</v>
      </c>
      <c r="H279" s="1">
        <v>0</v>
      </c>
      <c r="I279" s="1">
        <v>0</v>
      </c>
      <c r="J279" s="1">
        <v>0</v>
      </c>
      <c r="K279" s="1">
        <v>120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f>SUM(H279:Y279)</f>
        <v>120</v>
      </c>
      <c r="AA279" s="1">
        <f>SUMPRODUCT(H279:Y279,$H$16:$Y$16)</f>
        <v>109200</v>
      </c>
      <c r="AB279" s="1" t="s">
        <v>18</v>
      </c>
      <c r="AC279" s="1">
        <v>0</v>
      </c>
      <c r="AD279" s="9"/>
      <c r="AE279" s="1" t="s">
        <v>19</v>
      </c>
      <c r="AF279" s="1">
        <f>AC279</f>
        <v>0</v>
      </c>
      <c r="AG279" s="1">
        <v>1</v>
      </c>
      <c r="AH279" s="1">
        <v>1</v>
      </c>
      <c r="AI279" s="1" t="s">
        <v>18</v>
      </c>
      <c r="AJ279" s="1" t="s">
        <v>18</v>
      </c>
      <c r="AK279" s="1" t="s">
        <v>18</v>
      </c>
      <c r="AL279" s="1" t="s">
        <v>18</v>
      </c>
      <c r="AM279" s="1" t="s">
        <v>18</v>
      </c>
      <c r="AN279" s="2" t="s">
        <v>18</v>
      </c>
      <c r="BO279" s="1">
        <f>SUM($AP279,$AQ279:AQ279)-SUM($CK279:CL279)</f>
        <v>0</v>
      </c>
      <c r="BP279" s="1">
        <f>SUM($AP279,$AQ279:AR279)-SUM($CK279:CM279)</f>
        <v>0</v>
      </c>
      <c r="BQ279" s="1">
        <f>SUM($AP279,$AQ279:AS279)-SUM($CK279:CN279)</f>
        <v>0</v>
      </c>
      <c r="BR279" s="1">
        <f>SUM($AP279,$AQ279:AT279)-SUM($CK279:CO279)</f>
        <v>-1200</v>
      </c>
      <c r="BS279" s="1">
        <f>SUM($AP279,$AQ279:AU279)-SUM($CK279:CP279)</f>
        <v>-3600</v>
      </c>
      <c r="BT279" s="1">
        <f>SUM($AP279,$AQ279:AV279)-SUM($CK279:CQ279)</f>
        <v>-7200</v>
      </c>
      <c r="BU279" s="1">
        <f>SUM($AP279,$AQ279:AW279)-SUM($CK279:CR279)</f>
        <v>-12000</v>
      </c>
      <c r="BV279" s="1">
        <f>SUM($AP279,$AQ279:AX279)-SUM($CK279:CS279)</f>
        <v>-18000</v>
      </c>
      <c r="BW279" s="1">
        <f>SUM($AP279,$AQ279:AY279)-SUM($CK279:CT279)</f>
        <v>-25200</v>
      </c>
      <c r="BX279" s="1">
        <f>SUM($AP279,$AQ279:AZ279)-SUM($CK279:CU279)</f>
        <v>-33600</v>
      </c>
      <c r="BY279" s="1">
        <f>SUM($AP279,$AQ279:BA279)-SUM($CK279:CV279)</f>
        <v>-43200</v>
      </c>
      <c r="BZ279" s="1">
        <f>SUM($AP279,$AQ279:BB279)-SUM($CK279:CW279)</f>
        <v>-54000</v>
      </c>
      <c r="CA279" s="1">
        <f>SUM($AP279,$AQ279:BC279)-SUM($CK279:CX279)</f>
        <v>-66000</v>
      </c>
      <c r="CB279" s="1">
        <f>SUM($AP279,$AQ279:BD279)-SUM($CK279:CY279)</f>
        <v>-79200</v>
      </c>
      <c r="CC279" s="1">
        <f>SUM($AP279,$AQ279:BE279)-SUM($CK279:CZ279)</f>
        <v>-93600</v>
      </c>
      <c r="CD279" s="1">
        <f>SUM($AP279,$AQ279:BF279)-SUM($CK279:DA279)</f>
        <v>-109200</v>
      </c>
      <c r="CE279" s="1">
        <f>SUM($AP279,$AQ279:BG279)-SUM($CK279:DB279)</f>
        <v>-109200</v>
      </c>
      <c r="CF279" s="1">
        <f>SUM($AP279,$AQ279:BH279)-SUM($CK279:DC279)</f>
        <v>-109200</v>
      </c>
      <c r="CG279" s="1">
        <f>SUM($AP279,$AQ279:BI279)-SUM($CK279:DD279)</f>
        <v>-109200</v>
      </c>
      <c r="CK279" s="1">
        <f t="array" ref="CK279">SUMPRODUCT($H279:$Y279,(TRANSPOSE(CK$2:CK$19)))</f>
        <v>0</v>
      </c>
      <c r="CL279" s="1">
        <f t="array" ref="CL279">SUMPRODUCT($H279:$Y279,(TRANSPOSE(CL$2:CL$19)))</f>
        <v>0</v>
      </c>
      <c r="CM279" s="1">
        <f t="array" ref="CM279">SUMPRODUCT($H279:$Y279,(TRANSPOSE(CM$2:CM$19)))</f>
        <v>0</v>
      </c>
      <c r="CN279" s="1">
        <f t="array" ref="CN279">SUMPRODUCT($H279:$Y279,(TRANSPOSE(CN$2:CN$19)))</f>
        <v>0</v>
      </c>
      <c r="CO279" s="1">
        <f t="array" ref="CO279">SUMPRODUCT($H279:$Y279,(TRANSPOSE(CO$2:CO$19)))</f>
        <v>1200</v>
      </c>
      <c r="CP279" s="1">
        <f t="array" ref="CP279">SUMPRODUCT($H279:$Y279,(TRANSPOSE(CP$2:CP$19)))</f>
        <v>2400</v>
      </c>
      <c r="CQ279" s="1">
        <f t="array" ref="CQ279">SUMPRODUCT($H279:$Y279,(TRANSPOSE(CQ$2:CQ$19)))</f>
        <v>3600</v>
      </c>
      <c r="CR279" s="1">
        <f t="array" ref="CR279">SUMPRODUCT($H279:$Y279,(TRANSPOSE(CR$2:CR$19)))</f>
        <v>4800</v>
      </c>
      <c r="CS279" s="1">
        <f t="array" ref="CS279">SUMPRODUCT($H279:$Y279,(TRANSPOSE(CS$2:CS$19)))</f>
        <v>6000</v>
      </c>
      <c r="CT279" s="1">
        <f t="array" ref="CT279">SUMPRODUCT($H279:$Y279,(TRANSPOSE(CT$2:CT$19)))</f>
        <v>7200</v>
      </c>
      <c r="CU279" s="1">
        <f t="array" ref="CU279">SUMPRODUCT($H279:$Y279,(TRANSPOSE(CU$2:CU$19)))</f>
        <v>8400</v>
      </c>
      <c r="CV279" s="1">
        <f t="array" ref="CV279">SUMPRODUCT($H279:$Y279,(TRANSPOSE(CV$2:CV$19)))</f>
        <v>9600</v>
      </c>
      <c r="CW279" s="1">
        <f t="array" ref="CW279">SUMPRODUCT($H279:$Y279,(TRANSPOSE(CW$2:CW$19)))</f>
        <v>10800</v>
      </c>
      <c r="CX279" s="1">
        <f t="array" ref="CX279">SUMPRODUCT($H279:$Y279,(TRANSPOSE(CX$2:CX$19)))</f>
        <v>12000</v>
      </c>
      <c r="CY279" s="1">
        <f t="array" ref="CY279">SUMPRODUCT($H279:$Y279,(TRANSPOSE(CY$2:CY$19)))</f>
        <v>13200</v>
      </c>
      <c r="CZ279" s="1">
        <f t="array" ref="CZ279">SUMPRODUCT($H279:$Y279,(TRANSPOSE(CZ$2:CZ$19)))</f>
        <v>14400</v>
      </c>
      <c r="DA279" s="1">
        <f t="array" ref="DA279">SUMPRODUCT($H279:$Y279,(TRANSPOSE(DA$2:DA$19)))</f>
        <v>15600</v>
      </c>
      <c r="DB279" s="1">
        <f t="array" ref="DB279">SUMPRODUCT($H279:$Y279,(TRANSPOSE(DB$2:DB$19)))</f>
        <v>0</v>
      </c>
      <c r="DC279" s="1">
        <f t="array" ref="DC279">SUMPRODUCT($H279:$Y279,(TRANSPOSE(DC$2:DC$19)))</f>
        <v>0</v>
      </c>
      <c r="DD279" s="1">
        <f t="array" ref="DD279">SUMPRODUCT($H279:$Y279,(TRANSPOSE(DD$2:DD$19)))</f>
        <v>0</v>
      </c>
    </row>
    <row r="280" spans="1:108" x14ac:dyDescent="0.2">
      <c r="A280" s="1">
        <v>336</v>
      </c>
      <c r="B280" s="10" t="s">
        <v>190</v>
      </c>
      <c r="C280" s="1" t="s">
        <v>22</v>
      </c>
      <c r="D280" s="1">
        <v>514200518</v>
      </c>
      <c r="F280" s="1" t="s">
        <v>189</v>
      </c>
      <c r="G280" s="1" t="s">
        <v>20</v>
      </c>
      <c r="H280" s="1">
        <v>0</v>
      </c>
      <c r="I280" s="1">
        <v>0</v>
      </c>
      <c r="J280" s="1">
        <v>0</v>
      </c>
      <c r="K280" s="1">
        <v>192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100</v>
      </c>
      <c r="S280" s="1">
        <v>138</v>
      </c>
      <c r="T280" s="1">
        <v>0</v>
      </c>
      <c r="U280" s="1">
        <v>0</v>
      </c>
      <c r="V280" s="1">
        <v>112</v>
      </c>
      <c r="W280" s="1">
        <v>138</v>
      </c>
      <c r="X280" s="1">
        <v>0</v>
      </c>
      <c r="Y280" s="1">
        <v>0</v>
      </c>
      <c r="Z280" s="1">
        <f>SUM(H280:Y280)</f>
        <v>680</v>
      </c>
      <c r="AA280" s="1">
        <f>SUMPRODUCT(H280:Y280,$H$16:$Y$16)</f>
        <v>618800</v>
      </c>
      <c r="AB280" s="1" t="s">
        <v>18</v>
      </c>
      <c r="AC280" s="1">
        <v>0</v>
      </c>
      <c r="AD280" s="9"/>
      <c r="AE280" s="1" t="s">
        <v>19</v>
      </c>
      <c r="AF280" s="1">
        <f>AC280</f>
        <v>0</v>
      </c>
      <c r="AG280" s="1">
        <v>1</v>
      </c>
      <c r="AH280" s="1">
        <v>1</v>
      </c>
      <c r="AI280" s="1" t="s">
        <v>18</v>
      </c>
      <c r="AJ280" s="1" t="s">
        <v>18</v>
      </c>
      <c r="AK280" s="1" t="s">
        <v>18</v>
      </c>
      <c r="AL280" s="1" t="s">
        <v>18</v>
      </c>
      <c r="AM280" s="1" t="s">
        <v>18</v>
      </c>
      <c r="AN280" s="2" t="s">
        <v>18</v>
      </c>
      <c r="BO280" s="1">
        <f>SUM($AP280,$AQ280:AQ280)-SUM($CK280:CL280)</f>
        <v>0</v>
      </c>
      <c r="BP280" s="1">
        <f>SUM($AP280,$AQ280:AR280)-SUM($CK280:CM280)</f>
        <v>0</v>
      </c>
      <c r="BQ280" s="1">
        <f>SUM($AP280,$AQ280:AS280)-SUM($CK280:CN280)</f>
        <v>0</v>
      </c>
      <c r="BR280" s="1">
        <f>SUM($AP280,$AQ280:AT280)-SUM($CK280:CO280)</f>
        <v>-1920</v>
      </c>
      <c r="BS280" s="1">
        <f>SUM($AP280,$AQ280:AU280)-SUM($CK280:CP280)</f>
        <v>-8520</v>
      </c>
      <c r="BT280" s="1">
        <f>SUM($AP280,$AQ280:AV280)-SUM($CK280:CQ280)</f>
        <v>-21920</v>
      </c>
      <c r="BU280" s="1">
        <f>SUM($AP280,$AQ280:AW280)-SUM($CK280:CR280)</f>
        <v>-42120</v>
      </c>
      <c r="BV280" s="1">
        <f>SUM($AP280,$AQ280:AX280)-SUM($CK280:CS280)</f>
        <v>-69120</v>
      </c>
      <c r="BW280" s="1">
        <f>SUM($AP280,$AQ280:AY280)-SUM($CK280:CT280)</f>
        <v>-102920</v>
      </c>
      <c r="BX280" s="1">
        <f>SUM($AP280,$AQ280:AZ280)-SUM($CK280:CU280)</f>
        <v>-143520</v>
      </c>
      <c r="BY280" s="1">
        <f>SUM($AP280,$AQ280:BA280)-SUM($CK280:CV280)</f>
        <v>-190920</v>
      </c>
      <c r="BZ280" s="1">
        <f>SUM($AP280,$AQ280:BB280)-SUM($CK280:CW280)</f>
        <v>-245120</v>
      </c>
      <c r="CA280" s="1">
        <f>SUM($AP280,$AQ280:BC280)-SUM($CK280:CX280)</f>
        <v>-306120</v>
      </c>
      <c r="CB280" s="1">
        <f>SUM($AP280,$AQ280:BD280)-SUM($CK280:CY280)</f>
        <v>-373920</v>
      </c>
      <c r="CC280" s="1">
        <f>SUM($AP280,$AQ280:BE280)-SUM($CK280:CZ280)</f>
        <v>-448520</v>
      </c>
      <c r="CD280" s="1">
        <f>SUM($AP280,$AQ280:BF280)-SUM($CK280:DA280)</f>
        <v>-529920</v>
      </c>
      <c r="CE280" s="1">
        <f>SUM($AP280,$AQ280:BG280)-SUM($CK280:DB280)</f>
        <v>-591240</v>
      </c>
      <c r="CF280" s="1">
        <f>SUM($AP280,$AQ280:BH280)-SUM($CK280:DC280)</f>
        <v>-618800</v>
      </c>
      <c r="CG280" s="1">
        <f>SUM($AP280,$AQ280:BI280)-SUM($CK280:DD280)</f>
        <v>-618800</v>
      </c>
      <c r="CK280" s="1">
        <f t="array" ref="CK280">SUMPRODUCT($H280:$Y280,(TRANSPOSE(CK$2:CK$19)))</f>
        <v>0</v>
      </c>
      <c r="CL280" s="1">
        <f t="array" ref="CL280">SUMPRODUCT($H280:$Y280,(TRANSPOSE(CL$2:CL$19)))</f>
        <v>0</v>
      </c>
      <c r="CM280" s="1">
        <f t="array" ref="CM280">SUMPRODUCT($H280:$Y280,(TRANSPOSE(CM$2:CM$19)))</f>
        <v>0</v>
      </c>
      <c r="CN280" s="1">
        <f t="array" ref="CN280">SUMPRODUCT($H280:$Y280,(TRANSPOSE(CN$2:CN$19)))</f>
        <v>0</v>
      </c>
      <c r="CO280" s="1">
        <f t="array" ref="CO280">SUMPRODUCT($H280:$Y280,(TRANSPOSE(CO$2:CO$19)))</f>
        <v>1920</v>
      </c>
      <c r="CP280" s="1">
        <f t="array" ref="CP280">SUMPRODUCT($H280:$Y280,(TRANSPOSE(CP$2:CP$19)))</f>
        <v>6600</v>
      </c>
      <c r="CQ280" s="1">
        <f t="array" ref="CQ280">SUMPRODUCT($H280:$Y280,(TRANSPOSE(CQ$2:CQ$19)))</f>
        <v>13400</v>
      </c>
      <c r="CR280" s="1">
        <f t="array" ref="CR280">SUMPRODUCT($H280:$Y280,(TRANSPOSE(CR$2:CR$19)))</f>
        <v>20200</v>
      </c>
      <c r="CS280" s="1">
        <f t="array" ref="CS280">SUMPRODUCT($H280:$Y280,(TRANSPOSE(CS$2:CS$19)))</f>
        <v>27000</v>
      </c>
      <c r="CT280" s="1">
        <f t="array" ref="CT280">SUMPRODUCT($H280:$Y280,(TRANSPOSE(CT$2:CT$19)))</f>
        <v>33800</v>
      </c>
      <c r="CU280" s="1">
        <f t="array" ref="CU280">SUMPRODUCT($H280:$Y280,(TRANSPOSE(CU$2:CU$19)))</f>
        <v>40600</v>
      </c>
      <c r="CV280" s="1">
        <f t="array" ref="CV280">SUMPRODUCT($H280:$Y280,(TRANSPOSE(CV$2:CV$19)))</f>
        <v>47400</v>
      </c>
      <c r="CW280" s="1">
        <f t="array" ref="CW280">SUMPRODUCT($H280:$Y280,(TRANSPOSE(CW$2:CW$19)))</f>
        <v>54200</v>
      </c>
      <c r="CX280" s="1">
        <f t="array" ref="CX280">SUMPRODUCT($H280:$Y280,(TRANSPOSE(CX$2:CX$19)))</f>
        <v>61000</v>
      </c>
      <c r="CY280" s="1">
        <f t="array" ref="CY280">SUMPRODUCT($H280:$Y280,(TRANSPOSE(CY$2:CY$19)))</f>
        <v>67800</v>
      </c>
      <c r="CZ280" s="1">
        <f t="array" ref="CZ280">SUMPRODUCT($H280:$Y280,(TRANSPOSE(CZ$2:CZ$19)))</f>
        <v>74600</v>
      </c>
      <c r="DA280" s="1">
        <f t="array" ref="DA280">SUMPRODUCT($H280:$Y280,(TRANSPOSE(DA$2:DA$19)))</f>
        <v>81400</v>
      </c>
      <c r="DB280" s="1">
        <f t="array" ref="DB280">SUMPRODUCT($H280:$Y280,(TRANSPOSE(DB$2:DB$19)))</f>
        <v>61320</v>
      </c>
      <c r="DC280" s="1">
        <f t="array" ref="DC280">SUMPRODUCT($H280:$Y280,(TRANSPOSE(DC$2:DC$19)))</f>
        <v>27560</v>
      </c>
      <c r="DD280" s="1">
        <f t="array" ref="DD280">SUMPRODUCT($H280:$Y280,(TRANSPOSE(DD$2:DD$19)))</f>
        <v>0</v>
      </c>
    </row>
    <row r="281" spans="1:108" x14ac:dyDescent="0.2">
      <c r="A281" s="1">
        <v>337</v>
      </c>
      <c r="B281" s="10" t="s">
        <v>188</v>
      </c>
      <c r="C281" s="1" t="s">
        <v>22</v>
      </c>
      <c r="D281" s="1">
        <v>514201029</v>
      </c>
      <c r="F281" s="1" t="s">
        <v>187</v>
      </c>
      <c r="G281" s="1" t="s">
        <v>20</v>
      </c>
      <c r="H281" s="1">
        <v>0</v>
      </c>
      <c r="I281" s="1">
        <v>0</v>
      </c>
      <c r="J281" s="1">
        <v>68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8</v>
      </c>
      <c r="S281" s="1">
        <v>0</v>
      </c>
      <c r="T281" s="1">
        <v>0</v>
      </c>
      <c r="U281" s="1">
        <v>0</v>
      </c>
      <c r="V281" s="1">
        <v>8</v>
      </c>
      <c r="W281" s="1">
        <v>0</v>
      </c>
      <c r="X281" s="1">
        <v>0</v>
      </c>
      <c r="Y281" s="1">
        <v>0</v>
      </c>
      <c r="Z281" s="1">
        <f>SUM(H281:Y281)</f>
        <v>84</v>
      </c>
      <c r="AA281" s="1">
        <f>SUMPRODUCT(H281:Y281,$H$16:$Y$16)</f>
        <v>76440</v>
      </c>
      <c r="AB281" s="1" t="s">
        <v>18</v>
      </c>
      <c r="AC281" s="1">
        <v>0</v>
      </c>
      <c r="AD281" s="9"/>
      <c r="AE281" s="1" t="s">
        <v>19</v>
      </c>
      <c r="AF281" s="1">
        <f>AC281</f>
        <v>0</v>
      </c>
      <c r="AG281" s="1">
        <v>1</v>
      </c>
      <c r="AH281" s="1">
        <v>1</v>
      </c>
      <c r="AI281" s="1" t="s">
        <v>18</v>
      </c>
      <c r="AJ281" s="1" t="s">
        <v>18</v>
      </c>
      <c r="AK281" s="1" t="s">
        <v>18</v>
      </c>
      <c r="AL281" s="1" t="s">
        <v>18</v>
      </c>
      <c r="AM281" s="1" t="s">
        <v>18</v>
      </c>
      <c r="AN281" s="2" t="s">
        <v>18</v>
      </c>
      <c r="BO281" s="1">
        <f>SUM($AP281,$AQ281:AQ281)-SUM($CK281:CL281)</f>
        <v>0</v>
      </c>
      <c r="BP281" s="1">
        <f>SUM($AP281,$AQ281:AR281)-SUM($CK281:CM281)</f>
        <v>0</v>
      </c>
      <c r="BQ281" s="1">
        <f>SUM($AP281,$AQ281:AS281)-SUM($CK281:CN281)</f>
        <v>0</v>
      </c>
      <c r="BR281" s="1">
        <f>SUM($AP281,$AQ281:AT281)-SUM($CK281:CO281)</f>
        <v>0</v>
      </c>
      <c r="BS281" s="1">
        <f>SUM($AP281,$AQ281:AU281)-SUM($CK281:CP281)</f>
        <v>-680</v>
      </c>
      <c r="BT281" s="1">
        <f>SUM($AP281,$AQ281:AV281)-SUM($CK281:CQ281)</f>
        <v>-2200</v>
      </c>
      <c r="BU281" s="1">
        <f>SUM($AP281,$AQ281:AW281)-SUM($CK281:CR281)</f>
        <v>-4560</v>
      </c>
      <c r="BV281" s="1">
        <f>SUM($AP281,$AQ281:AX281)-SUM($CK281:CS281)</f>
        <v>-7760</v>
      </c>
      <c r="BW281" s="1">
        <f>SUM($AP281,$AQ281:AY281)-SUM($CK281:CT281)</f>
        <v>-11800</v>
      </c>
      <c r="BX281" s="1">
        <f>SUM($AP281,$AQ281:AZ281)-SUM($CK281:CU281)</f>
        <v>-16680</v>
      </c>
      <c r="BY281" s="1">
        <f>SUM($AP281,$AQ281:BA281)-SUM($CK281:CV281)</f>
        <v>-22400</v>
      </c>
      <c r="BZ281" s="1">
        <f>SUM($AP281,$AQ281:BB281)-SUM($CK281:CW281)</f>
        <v>-28960</v>
      </c>
      <c r="CA281" s="1">
        <f>SUM($AP281,$AQ281:BC281)-SUM($CK281:CX281)</f>
        <v>-36360</v>
      </c>
      <c r="CB281" s="1">
        <f>SUM($AP281,$AQ281:BD281)-SUM($CK281:CY281)</f>
        <v>-44600</v>
      </c>
      <c r="CC281" s="1">
        <f>SUM($AP281,$AQ281:BE281)-SUM($CK281:CZ281)</f>
        <v>-53680</v>
      </c>
      <c r="CD281" s="1">
        <f>SUM($AP281,$AQ281:BF281)-SUM($CK281:DA281)</f>
        <v>-63600</v>
      </c>
      <c r="CE281" s="1">
        <f>SUM($AP281,$AQ281:BG281)-SUM($CK281:DB281)</f>
        <v>-74360</v>
      </c>
      <c r="CF281" s="1">
        <f>SUM($AP281,$AQ281:BH281)-SUM($CK281:DC281)</f>
        <v>-76440</v>
      </c>
      <c r="CG281" s="1">
        <f>SUM($AP281,$AQ281:BI281)-SUM($CK281:DD281)</f>
        <v>-76440</v>
      </c>
      <c r="CK281" s="1">
        <f t="array" ref="CK281">SUMPRODUCT($H281:$Y281,(TRANSPOSE(CK$2:CK$19)))</f>
        <v>0</v>
      </c>
      <c r="CL281" s="1">
        <f t="array" ref="CL281">SUMPRODUCT($H281:$Y281,(TRANSPOSE(CL$2:CL$19)))</f>
        <v>0</v>
      </c>
      <c r="CM281" s="1">
        <f t="array" ref="CM281">SUMPRODUCT($H281:$Y281,(TRANSPOSE(CM$2:CM$19)))</f>
        <v>0</v>
      </c>
      <c r="CN281" s="1">
        <f t="array" ref="CN281">SUMPRODUCT($H281:$Y281,(TRANSPOSE(CN$2:CN$19)))</f>
        <v>0</v>
      </c>
      <c r="CO281" s="1">
        <f t="array" ref="CO281">SUMPRODUCT($H281:$Y281,(TRANSPOSE(CO$2:CO$19)))</f>
        <v>0</v>
      </c>
      <c r="CP281" s="1">
        <f t="array" ref="CP281">SUMPRODUCT($H281:$Y281,(TRANSPOSE(CP$2:CP$19)))</f>
        <v>680</v>
      </c>
      <c r="CQ281" s="1">
        <f t="array" ref="CQ281">SUMPRODUCT($H281:$Y281,(TRANSPOSE(CQ$2:CQ$19)))</f>
        <v>1520</v>
      </c>
      <c r="CR281" s="1">
        <f t="array" ref="CR281">SUMPRODUCT($H281:$Y281,(TRANSPOSE(CR$2:CR$19)))</f>
        <v>2360</v>
      </c>
      <c r="CS281" s="1">
        <f t="array" ref="CS281">SUMPRODUCT($H281:$Y281,(TRANSPOSE(CS$2:CS$19)))</f>
        <v>3200</v>
      </c>
      <c r="CT281" s="1">
        <f t="array" ref="CT281">SUMPRODUCT($H281:$Y281,(TRANSPOSE(CT$2:CT$19)))</f>
        <v>4040</v>
      </c>
      <c r="CU281" s="1">
        <f t="array" ref="CU281">SUMPRODUCT($H281:$Y281,(TRANSPOSE(CU$2:CU$19)))</f>
        <v>4880</v>
      </c>
      <c r="CV281" s="1">
        <f t="array" ref="CV281">SUMPRODUCT($H281:$Y281,(TRANSPOSE(CV$2:CV$19)))</f>
        <v>5720</v>
      </c>
      <c r="CW281" s="1">
        <f t="array" ref="CW281">SUMPRODUCT($H281:$Y281,(TRANSPOSE(CW$2:CW$19)))</f>
        <v>6560</v>
      </c>
      <c r="CX281" s="1">
        <f t="array" ref="CX281">SUMPRODUCT($H281:$Y281,(TRANSPOSE(CX$2:CX$19)))</f>
        <v>7400</v>
      </c>
      <c r="CY281" s="1">
        <f t="array" ref="CY281">SUMPRODUCT($H281:$Y281,(TRANSPOSE(CY$2:CY$19)))</f>
        <v>8240</v>
      </c>
      <c r="CZ281" s="1">
        <f t="array" ref="CZ281">SUMPRODUCT($H281:$Y281,(TRANSPOSE(CZ$2:CZ$19)))</f>
        <v>9080</v>
      </c>
      <c r="DA281" s="1">
        <f t="array" ref="DA281">SUMPRODUCT($H281:$Y281,(TRANSPOSE(DA$2:DA$19)))</f>
        <v>9920</v>
      </c>
      <c r="DB281" s="1">
        <f t="array" ref="DB281">SUMPRODUCT($H281:$Y281,(TRANSPOSE(DB$2:DB$19)))</f>
        <v>10760</v>
      </c>
      <c r="DC281" s="1">
        <f t="array" ref="DC281">SUMPRODUCT($H281:$Y281,(TRANSPOSE(DC$2:DC$19)))</f>
        <v>2080</v>
      </c>
      <c r="DD281" s="1">
        <f t="array" ref="DD281">SUMPRODUCT($H281:$Y281,(TRANSPOSE(DD$2:DD$19)))</f>
        <v>0</v>
      </c>
    </row>
    <row r="282" spans="1:108" x14ac:dyDescent="0.2">
      <c r="A282" s="1">
        <v>338</v>
      </c>
      <c r="B282" s="10" t="s">
        <v>186</v>
      </c>
      <c r="C282" s="1" t="s">
        <v>22</v>
      </c>
      <c r="D282" s="1">
        <v>513206524</v>
      </c>
      <c r="F282" s="1" t="s">
        <v>185</v>
      </c>
      <c r="G282" s="1" t="s">
        <v>20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4</v>
      </c>
      <c r="V282" s="1">
        <v>0</v>
      </c>
      <c r="W282" s="1">
        <v>0</v>
      </c>
      <c r="X282" s="1">
        <v>0</v>
      </c>
      <c r="Y282" s="1">
        <v>4</v>
      </c>
      <c r="Z282" s="1">
        <f>SUM(H282:Y282)</f>
        <v>8</v>
      </c>
      <c r="AA282" s="1">
        <f>SUMPRODUCT(H282:Y282,$H$16:$Y$16)</f>
        <v>7280</v>
      </c>
      <c r="AB282" s="1" t="s">
        <v>184</v>
      </c>
      <c r="AC282" s="1">
        <v>0.32500000000000001</v>
      </c>
      <c r="AD282" s="9"/>
      <c r="AE282" s="1" t="s">
        <v>28</v>
      </c>
      <c r="AF282" s="1">
        <f>AC282</f>
        <v>0.32500000000000001</v>
      </c>
      <c r="AH282" s="1">
        <v>1</v>
      </c>
      <c r="AK282" s="1" t="s">
        <v>183</v>
      </c>
      <c r="AL282" s="1" t="s">
        <v>182</v>
      </c>
      <c r="AM282" s="1" t="s">
        <v>181</v>
      </c>
      <c r="AN282" s="2" t="s">
        <v>180</v>
      </c>
      <c r="BO282" s="1">
        <f>SUM($AP282,$AQ282:AQ282)-SUM($CK282:CL282)</f>
        <v>0</v>
      </c>
      <c r="BP282" s="1">
        <f>SUM($AP282,$AQ282:AR282)-SUM($CK282:CM282)</f>
        <v>0</v>
      </c>
      <c r="BQ282" s="1">
        <f>SUM($AP282,$AQ282:AS282)-SUM($CK282:CN282)</f>
        <v>0</v>
      </c>
      <c r="BR282" s="1">
        <f>SUM($AP282,$AQ282:AT282)-SUM($CK282:CO282)</f>
        <v>-80</v>
      </c>
      <c r="BS282" s="1">
        <f>SUM($AP282,$AQ282:AU282)-SUM($CK282:CP282)</f>
        <v>-240</v>
      </c>
      <c r="BT282" s="1">
        <f>SUM($AP282,$AQ282:AV282)-SUM($CK282:CQ282)</f>
        <v>-480</v>
      </c>
      <c r="BU282" s="1">
        <f>SUM($AP282,$AQ282:AW282)-SUM($CK282:CR282)</f>
        <v>-800</v>
      </c>
      <c r="BV282" s="1">
        <f>SUM($AP282,$AQ282:AX282)-SUM($CK282:CS282)</f>
        <v>-1200</v>
      </c>
      <c r="BW282" s="1">
        <f>SUM($AP282,$AQ282:AY282)-SUM($CK282:CT282)</f>
        <v>-1680</v>
      </c>
      <c r="BX282" s="1">
        <f>SUM($AP282,$AQ282:AZ282)-SUM($CK282:CU282)</f>
        <v>-2240</v>
      </c>
      <c r="BY282" s="1">
        <f>SUM($AP282,$AQ282:BA282)-SUM($CK282:CV282)</f>
        <v>-2880</v>
      </c>
      <c r="BZ282" s="1">
        <f>SUM($AP282,$AQ282:BB282)-SUM($CK282:CW282)</f>
        <v>-3600</v>
      </c>
      <c r="CA282" s="1">
        <f>SUM($AP282,$AQ282:BC282)-SUM($CK282:CX282)</f>
        <v>-4400</v>
      </c>
      <c r="CB282" s="1">
        <f>SUM($AP282,$AQ282:BD282)-SUM($CK282:CY282)</f>
        <v>-5280</v>
      </c>
      <c r="CC282" s="1">
        <f>SUM($AP282,$AQ282:BE282)-SUM($CK282:CZ282)</f>
        <v>-6240</v>
      </c>
      <c r="CD282" s="1">
        <f>SUM($AP282,$AQ282:BF282)-SUM($CK282:DA282)</f>
        <v>-7280</v>
      </c>
      <c r="CE282" s="1">
        <f>SUM($AP282,$AQ282:BG282)-SUM($CK282:DB282)</f>
        <v>-7280</v>
      </c>
      <c r="CF282" s="1">
        <f>SUM($AP282,$AQ282:BH282)-SUM($CK282:DC282)</f>
        <v>-7280</v>
      </c>
      <c r="CG282" s="1">
        <f>SUM($AP282,$AQ282:BI282)-SUM($CK282:DD282)</f>
        <v>-7280</v>
      </c>
      <c r="CK282" s="1">
        <f t="array" ref="CK282">SUMPRODUCT($H282:$Y282,(TRANSPOSE(CK$2:CK$19)))</f>
        <v>0</v>
      </c>
      <c r="CL282" s="1">
        <f t="array" ref="CL282">SUMPRODUCT($H282:$Y282,(TRANSPOSE(CL$2:CL$19)))</f>
        <v>0</v>
      </c>
      <c r="CM282" s="1">
        <f t="array" ref="CM282">SUMPRODUCT($H282:$Y282,(TRANSPOSE(CM$2:CM$19)))</f>
        <v>0</v>
      </c>
      <c r="CN282" s="1">
        <f t="array" ref="CN282">SUMPRODUCT($H282:$Y282,(TRANSPOSE(CN$2:CN$19)))</f>
        <v>0</v>
      </c>
      <c r="CO282" s="1">
        <f t="array" ref="CO282">SUMPRODUCT($H282:$Y282,(TRANSPOSE(CO$2:CO$19)))</f>
        <v>80</v>
      </c>
      <c r="CP282" s="1">
        <f t="array" ref="CP282">SUMPRODUCT($H282:$Y282,(TRANSPOSE(CP$2:CP$19)))</f>
        <v>160</v>
      </c>
      <c r="CQ282" s="1">
        <f t="array" ref="CQ282">SUMPRODUCT($H282:$Y282,(TRANSPOSE(CQ$2:CQ$19)))</f>
        <v>240</v>
      </c>
      <c r="CR282" s="1">
        <f t="array" ref="CR282">SUMPRODUCT($H282:$Y282,(TRANSPOSE(CR$2:CR$19)))</f>
        <v>320</v>
      </c>
      <c r="CS282" s="1">
        <f t="array" ref="CS282">SUMPRODUCT($H282:$Y282,(TRANSPOSE(CS$2:CS$19)))</f>
        <v>400</v>
      </c>
      <c r="CT282" s="1">
        <f t="array" ref="CT282">SUMPRODUCT($H282:$Y282,(TRANSPOSE(CT$2:CT$19)))</f>
        <v>480</v>
      </c>
      <c r="CU282" s="1">
        <f t="array" ref="CU282">SUMPRODUCT($H282:$Y282,(TRANSPOSE(CU$2:CU$19)))</f>
        <v>560</v>
      </c>
      <c r="CV282" s="1">
        <f t="array" ref="CV282">SUMPRODUCT($H282:$Y282,(TRANSPOSE(CV$2:CV$19)))</f>
        <v>640</v>
      </c>
      <c r="CW282" s="1">
        <f t="array" ref="CW282">SUMPRODUCT($H282:$Y282,(TRANSPOSE(CW$2:CW$19)))</f>
        <v>720</v>
      </c>
      <c r="CX282" s="1">
        <f t="array" ref="CX282">SUMPRODUCT($H282:$Y282,(TRANSPOSE(CX$2:CX$19)))</f>
        <v>800</v>
      </c>
      <c r="CY282" s="1">
        <f t="array" ref="CY282">SUMPRODUCT($H282:$Y282,(TRANSPOSE(CY$2:CY$19)))</f>
        <v>880</v>
      </c>
      <c r="CZ282" s="1">
        <f t="array" ref="CZ282">SUMPRODUCT($H282:$Y282,(TRANSPOSE(CZ$2:CZ$19)))</f>
        <v>960</v>
      </c>
      <c r="DA282" s="1">
        <f t="array" ref="DA282">SUMPRODUCT($H282:$Y282,(TRANSPOSE(DA$2:DA$19)))</f>
        <v>1040</v>
      </c>
      <c r="DB282" s="1">
        <f t="array" ref="DB282">SUMPRODUCT($H282:$Y282,(TRANSPOSE(DB$2:DB$19)))</f>
        <v>0</v>
      </c>
      <c r="DC282" s="1">
        <f t="array" ref="DC282">SUMPRODUCT($H282:$Y282,(TRANSPOSE(DC$2:DC$19)))</f>
        <v>0</v>
      </c>
      <c r="DD282" s="1">
        <f t="array" ref="DD282">SUMPRODUCT($H282:$Y282,(TRANSPOSE(DD$2:DD$19)))</f>
        <v>0</v>
      </c>
    </row>
    <row r="283" spans="1:108" x14ac:dyDescent="0.2">
      <c r="A283" s="1">
        <v>339</v>
      </c>
      <c r="B283" s="10" t="s">
        <v>179</v>
      </c>
      <c r="C283" s="1" t="s">
        <v>22</v>
      </c>
      <c r="D283" s="1">
        <v>400022971</v>
      </c>
      <c r="E283" s="1">
        <v>407383885</v>
      </c>
      <c r="F283" s="1" t="s">
        <v>178</v>
      </c>
      <c r="G283" s="1" t="s">
        <v>20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80</v>
      </c>
      <c r="U283" s="1">
        <v>0</v>
      </c>
      <c r="V283" s="1">
        <v>0</v>
      </c>
      <c r="W283" s="1">
        <v>0</v>
      </c>
      <c r="X283" s="1">
        <v>80</v>
      </c>
      <c r="Y283" s="1">
        <v>0</v>
      </c>
      <c r="Z283" s="1">
        <f>SUM(H283:Y283)</f>
        <v>160</v>
      </c>
      <c r="AA283" s="1">
        <f>SUMPRODUCT(H283:Y283,$H$16:$Y$16)</f>
        <v>145600</v>
      </c>
      <c r="AB283" s="1" t="s">
        <v>175</v>
      </c>
      <c r="AC283" s="1">
        <v>2.4299999999999999E-2</v>
      </c>
      <c r="AD283" s="9"/>
      <c r="AE283" s="1" t="s">
        <v>174</v>
      </c>
      <c r="AF283" s="1">
        <f>AC283*1.1171</f>
        <v>2.7145529999999998E-2</v>
      </c>
      <c r="AG283" s="1">
        <v>3000</v>
      </c>
      <c r="AH283" s="1">
        <v>3000</v>
      </c>
      <c r="AI283" s="1">
        <v>18</v>
      </c>
      <c r="AK283" s="1" t="s">
        <v>173</v>
      </c>
      <c r="AL283" s="1" t="s">
        <v>172</v>
      </c>
      <c r="AM283" s="1" t="s">
        <v>171</v>
      </c>
      <c r="AN283" s="2" t="s">
        <v>170</v>
      </c>
      <c r="BO283" s="1">
        <f>SUM($AP283,$AQ283:AQ283)-SUM($CK283:CL283)</f>
        <v>0</v>
      </c>
      <c r="BP283" s="1">
        <f>SUM($AP283,$AQ283:AR283)-SUM($CK283:CM283)</f>
        <v>0</v>
      </c>
      <c r="BQ283" s="1">
        <f>SUM($AP283,$AQ283:AS283)-SUM($CK283:CN283)</f>
        <v>0</v>
      </c>
      <c r="BR283" s="1">
        <f>SUM($AP283,$AQ283:AT283)-SUM($CK283:CO283)</f>
        <v>-1600</v>
      </c>
      <c r="BS283" s="1">
        <f>SUM($AP283,$AQ283:AU283)-SUM($CK283:CP283)</f>
        <v>-4800</v>
      </c>
      <c r="BT283" s="1">
        <f>SUM($AP283,$AQ283:AV283)-SUM($CK283:CQ283)</f>
        <v>-9600</v>
      </c>
      <c r="BU283" s="1">
        <f>SUM($AP283,$AQ283:AW283)-SUM($CK283:CR283)</f>
        <v>-16000</v>
      </c>
      <c r="BV283" s="1">
        <f>SUM($AP283,$AQ283:AX283)-SUM($CK283:CS283)</f>
        <v>-24000</v>
      </c>
      <c r="BW283" s="1">
        <f>SUM($AP283,$AQ283:AY283)-SUM($CK283:CT283)</f>
        <v>-33600</v>
      </c>
      <c r="BX283" s="1">
        <f>SUM($AP283,$AQ283:AZ283)-SUM($CK283:CU283)</f>
        <v>-44800</v>
      </c>
      <c r="BY283" s="1">
        <f>SUM($AP283,$AQ283:BA283)-SUM($CK283:CV283)</f>
        <v>-57600</v>
      </c>
      <c r="BZ283" s="1">
        <f>SUM($AP283,$AQ283:BB283)-SUM($CK283:CW283)</f>
        <v>-72000</v>
      </c>
      <c r="CA283" s="1">
        <f>SUM($AP283,$AQ283:BC283)-SUM($CK283:CX283)</f>
        <v>-88000</v>
      </c>
      <c r="CB283" s="1">
        <f>SUM($AP283,$AQ283:BD283)-SUM($CK283:CY283)</f>
        <v>-105600</v>
      </c>
      <c r="CC283" s="1">
        <f>SUM($AP283,$AQ283:BE283)-SUM($CK283:CZ283)</f>
        <v>-124800</v>
      </c>
      <c r="CD283" s="1">
        <f>SUM($AP283,$AQ283:BF283)-SUM($CK283:DA283)</f>
        <v>-145600</v>
      </c>
      <c r="CE283" s="1">
        <f>SUM($AP283,$AQ283:BG283)-SUM($CK283:DB283)</f>
        <v>-145600</v>
      </c>
      <c r="CF283" s="1">
        <f>SUM($AP283,$AQ283:BH283)-SUM($CK283:DC283)</f>
        <v>-145600</v>
      </c>
      <c r="CG283" s="1">
        <f>SUM($AP283,$AQ283:BI283)-SUM($CK283:DD283)</f>
        <v>-145600</v>
      </c>
      <c r="CK283" s="1">
        <f t="array" ref="CK283">SUMPRODUCT($H283:$Y283,(TRANSPOSE(CK$2:CK$19)))</f>
        <v>0</v>
      </c>
      <c r="CL283" s="1">
        <f t="array" ref="CL283">SUMPRODUCT($H283:$Y283,(TRANSPOSE(CL$2:CL$19)))</f>
        <v>0</v>
      </c>
      <c r="CM283" s="1">
        <f t="array" ref="CM283">SUMPRODUCT($H283:$Y283,(TRANSPOSE(CM$2:CM$19)))</f>
        <v>0</v>
      </c>
      <c r="CN283" s="1">
        <f t="array" ref="CN283">SUMPRODUCT($H283:$Y283,(TRANSPOSE(CN$2:CN$19)))</f>
        <v>0</v>
      </c>
      <c r="CO283" s="1">
        <f t="array" ref="CO283">SUMPRODUCT($H283:$Y283,(TRANSPOSE(CO$2:CO$19)))</f>
        <v>1600</v>
      </c>
      <c r="CP283" s="1">
        <f t="array" ref="CP283">SUMPRODUCT($H283:$Y283,(TRANSPOSE(CP$2:CP$19)))</f>
        <v>3200</v>
      </c>
      <c r="CQ283" s="1">
        <f t="array" ref="CQ283">SUMPRODUCT($H283:$Y283,(TRANSPOSE(CQ$2:CQ$19)))</f>
        <v>4800</v>
      </c>
      <c r="CR283" s="1">
        <f t="array" ref="CR283">SUMPRODUCT($H283:$Y283,(TRANSPOSE(CR$2:CR$19)))</f>
        <v>6400</v>
      </c>
      <c r="CS283" s="1">
        <f t="array" ref="CS283">SUMPRODUCT($H283:$Y283,(TRANSPOSE(CS$2:CS$19)))</f>
        <v>8000</v>
      </c>
      <c r="CT283" s="1">
        <f t="array" ref="CT283">SUMPRODUCT($H283:$Y283,(TRANSPOSE(CT$2:CT$19)))</f>
        <v>9600</v>
      </c>
      <c r="CU283" s="1">
        <f t="array" ref="CU283">SUMPRODUCT($H283:$Y283,(TRANSPOSE(CU$2:CU$19)))</f>
        <v>11200</v>
      </c>
      <c r="CV283" s="1">
        <f t="array" ref="CV283">SUMPRODUCT($H283:$Y283,(TRANSPOSE(CV$2:CV$19)))</f>
        <v>12800</v>
      </c>
      <c r="CW283" s="1">
        <f t="array" ref="CW283">SUMPRODUCT($H283:$Y283,(TRANSPOSE(CW$2:CW$19)))</f>
        <v>14400</v>
      </c>
      <c r="CX283" s="1">
        <f t="array" ref="CX283">SUMPRODUCT($H283:$Y283,(TRANSPOSE(CX$2:CX$19)))</f>
        <v>16000</v>
      </c>
      <c r="CY283" s="1">
        <f t="array" ref="CY283">SUMPRODUCT($H283:$Y283,(TRANSPOSE(CY$2:CY$19)))</f>
        <v>17600</v>
      </c>
      <c r="CZ283" s="1">
        <f t="array" ref="CZ283">SUMPRODUCT($H283:$Y283,(TRANSPOSE(CZ$2:CZ$19)))</f>
        <v>19200</v>
      </c>
      <c r="DA283" s="1">
        <f t="array" ref="DA283">SUMPRODUCT($H283:$Y283,(TRANSPOSE(DA$2:DA$19)))</f>
        <v>20800</v>
      </c>
      <c r="DB283" s="1">
        <f t="array" ref="DB283">SUMPRODUCT($H283:$Y283,(TRANSPOSE(DB$2:DB$19)))</f>
        <v>0</v>
      </c>
      <c r="DC283" s="1">
        <f t="array" ref="DC283">SUMPRODUCT($H283:$Y283,(TRANSPOSE(DC$2:DC$19)))</f>
        <v>0</v>
      </c>
      <c r="DD283" s="1">
        <f t="array" ref="DD283">SUMPRODUCT($H283:$Y283,(TRANSPOSE(DD$2:DD$19)))</f>
        <v>0</v>
      </c>
    </row>
    <row r="284" spans="1:108" x14ac:dyDescent="0.2">
      <c r="A284" s="1">
        <v>340</v>
      </c>
      <c r="B284" s="10" t="s">
        <v>177</v>
      </c>
      <c r="C284" s="1" t="s">
        <v>38</v>
      </c>
      <c r="D284" s="1">
        <v>407374949</v>
      </c>
      <c r="E284" s="1">
        <v>400525702</v>
      </c>
      <c r="F284" s="1" t="s">
        <v>176</v>
      </c>
      <c r="G284" s="1" t="s">
        <v>20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72</v>
      </c>
      <c r="U284" s="1">
        <v>0</v>
      </c>
      <c r="V284" s="1">
        <v>0</v>
      </c>
      <c r="W284" s="1">
        <v>0</v>
      </c>
      <c r="X284" s="1">
        <v>72</v>
      </c>
      <c r="Y284" s="1">
        <v>0</v>
      </c>
      <c r="Z284" s="1">
        <f>SUM(H284:Y284)</f>
        <v>144</v>
      </c>
      <c r="AA284" s="1">
        <f>SUMPRODUCT(H284:Y284,$H$16:$Y$16)</f>
        <v>131040</v>
      </c>
      <c r="AB284" s="1" t="s">
        <v>175</v>
      </c>
      <c r="AC284" s="1">
        <v>3.5999999999999997E-2</v>
      </c>
      <c r="AD284" s="9"/>
      <c r="AE284" s="1" t="s">
        <v>174</v>
      </c>
      <c r="AF284" s="1">
        <f>AC284*1.1171</f>
        <v>4.0215599999999997E-2</v>
      </c>
      <c r="AG284" s="1">
        <v>3000</v>
      </c>
      <c r="AH284" s="1">
        <v>3000</v>
      </c>
      <c r="AI284" s="1">
        <v>12</v>
      </c>
      <c r="AK284" s="1" t="s">
        <v>173</v>
      </c>
      <c r="AL284" s="1" t="s">
        <v>172</v>
      </c>
      <c r="AM284" s="1" t="s">
        <v>171</v>
      </c>
      <c r="AN284" s="2" t="s">
        <v>170</v>
      </c>
      <c r="BO284" s="1">
        <f>SUM($AP284,$AQ284:AQ284)-SUM($CK284:CL284)</f>
        <v>0</v>
      </c>
      <c r="BP284" s="1">
        <f>SUM($AP284,$AQ284:AR284)-SUM($CK284:CM284)</f>
        <v>0</v>
      </c>
      <c r="BQ284" s="1">
        <f>SUM($AP284,$AQ284:AS284)-SUM($CK284:CN284)</f>
        <v>0</v>
      </c>
      <c r="BR284" s="1">
        <f>SUM($AP284,$AQ284:AT284)-SUM($CK284:CO284)</f>
        <v>-1440</v>
      </c>
      <c r="BS284" s="1">
        <f>SUM($AP284,$AQ284:AU284)-SUM($CK284:CP284)</f>
        <v>-4320</v>
      </c>
      <c r="BT284" s="1">
        <f>SUM($AP284,$AQ284:AV284)-SUM($CK284:CQ284)</f>
        <v>-8640</v>
      </c>
      <c r="BU284" s="1">
        <f>SUM($AP284,$AQ284:AW284)-SUM($CK284:CR284)</f>
        <v>-14400</v>
      </c>
      <c r="BV284" s="1">
        <f>SUM($AP284,$AQ284:AX284)-SUM($CK284:CS284)</f>
        <v>-21600</v>
      </c>
      <c r="BW284" s="1">
        <f>SUM($AP284,$AQ284:AY284)-SUM($CK284:CT284)</f>
        <v>-30240</v>
      </c>
      <c r="BX284" s="1">
        <f>SUM($AP284,$AQ284:AZ284)-SUM($CK284:CU284)</f>
        <v>-40320</v>
      </c>
      <c r="BY284" s="1">
        <f>SUM($AP284,$AQ284:BA284)-SUM($CK284:CV284)</f>
        <v>-51840</v>
      </c>
      <c r="BZ284" s="1">
        <f>SUM($AP284,$AQ284:BB284)-SUM($CK284:CW284)</f>
        <v>-64800</v>
      </c>
      <c r="CA284" s="1">
        <f>SUM($AP284,$AQ284:BC284)-SUM($CK284:CX284)</f>
        <v>-79200</v>
      </c>
      <c r="CB284" s="1">
        <f>SUM($AP284,$AQ284:BD284)-SUM($CK284:CY284)</f>
        <v>-95040</v>
      </c>
      <c r="CC284" s="1">
        <f>SUM($AP284,$AQ284:BE284)-SUM($CK284:CZ284)</f>
        <v>-112320</v>
      </c>
      <c r="CD284" s="1">
        <f>SUM($AP284,$AQ284:BF284)-SUM($CK284:DA284)</f>
        <v>-131040</v>
      </c>
      <c r="CE284" s="1">
        <f>SUM($AP284,$AQ284:BG284)-SUM($CK284:DB284)</f>
        <v>-131040</v>
      </c>
      <c r="CF284" s="1">
        <f>SUM($AP284,$AQ284:BH284)-SUM($CK284:DC284)</f>
        <v>-131040</v>
      </c>
      <c r="CG284" s="1">
        <f>SUM($AP284,$AQ284:BI284)-SUM($CK284:DD284)</f>
        <v>-131040</v>
      </c>
      <c r="CK284" s="1">
        <f t="array" ref="CK284">SUMPRODUCT($H284:$Y284,(TRANSPOSE(CK$2:CK$19)))</f>
        <v>0</v>
      </c>
      <c r="CL284" s="1">
        <f t="array" ref="CL284">SUMPRODUCT($H284:$Y284,(TRANSPOSE(CL$2:CL$19)))</f>
        <v>0</v>
      </c>
      <c r="CM284" s="1">
        <f t="array" ref="CM284">SUMPRODUCT($H284:$Y284,(TRANSPOSE(CM$2:CM$19)))</f>
        <v>0</v>
      </c>
      <c r="CN284" s="1">
        <f t="array" ref="CN284">SUMPRODUCT($H284:$Y284,(TRANSPOSE(CN$2:CN$19)))</f>
        <v>0</v>
      </c>
      <c r="CO284" s="1">
        <f t="array" ref="CO284">SUMPRODUCT($H284:$Y284,(TRANSPOSE(CO$2:CO$19)))</f>
        <v>1440</v>
      </c>
      <c r="CP284" s="1">
        <f t="array" ref="CP284">SUMPRODUCT($H284:$Y284,(TRANSPOSE(CP$2:CP$19)))</f>
        <v>2880</v>
      </c>
      <c r="CQ284" s="1">
        <f t="array" ref="CQ284">SUMPRODUCT($H284:$Y284,(TRANSPOSE(CQ$2:CQ$19)))</f>
        <v>4320</v>
      </c>
      <c r="CR284" s="1">
        <f t="array" ref="CR284">SUMPRODUCT($H284:$Y284,(TRANSPOSE(CR$2:CR$19)))</f>
        <v>5760</v>
      </c>
      <c r="CS284" s="1">
        <f t="array" ref="CS284">SUMPRODUCT($H284:$Y284,(TRANSPOSE(CS$2:CS$19)))</f>
        <v>7200</v>
      </c>
      <c r="CT284" s="1">
        <f t="array" ref="CT284">SUMPRODUCT($H284:$Y284,(TRANSPOSE(CT$2:CT$19)))</f>
        <v>8640</v>
      </c>
      <c r="CU284" s="1">
        <f t="array" ref="CU284">SUMPRODUCT($H284:$Y284,(TRANSPOSE(CU$2:CU$19)))</f>
        <v>10080</v>
      </c>
      <c r="CV284" s="1">
        <f t="array" ref="CV284">SUMPRODUCT($H284:$Y284,(TRANSPOSE(CV$2:CV$19)))</f>
        <v>11520</v>
      </c>
      <c r="CW284" s="1">
        <f t="array" ref="CW284">SUMPRODUCT($H284:$Y284,(TRANSPOSE(CW$2:CW$19)))</f>
        <v>12960</v>
      </c>
      <c r="CX284" s="1">
        <f t="array" ref="CX284">SUMPRODUCT($H284:$Y284,(TRANSPOSE(CX$2:CX$19)))</f>
        <v>14400</v>
      </c>
      <c r="CY284" s="1">
        <f t="array" ref="CY284">SUMPRODUCT($H284:$Y284,(TRANSPOSE(CY$2:CY$19)))</f>
        <v>15840</v>
      </c>
      <c r="CZ284" s="1">
        <f t="array" ref="CZ284">SUMPRODUCT($H284:$Y284,(TRANSPOSE(CZ$2:CZ$19)))</f>
        <v>17280</v>
      </c>
      <c r="DA284" s="1">
        <f t="array" ref="DA284">SUMPRODUCT($H284:$Y284,(TRANSPOSE(DA$2:DA$19)))</f>
        <v>18720</v>
      </c>
      <c r="DB284" s="1">
        <f t="array" ref="DB284">SUMPRODUCT($H284:$Y284,(TRANSPOSE(DB$2:DB$19)))</f>
        <v>0</v>
      </c>
      <c r="DC284" s="1">
        <f t="array" ref="DC284">SUMPRODUCT($H284:$Y284,(TRANSPOSE(DC$2:DC$19)))</f>
        <v>0</v>
      </c>
      <c r="DD284" s="1">
        <f t="array" ref="DD284">SUMPRODUCT($H284:$Y284,(TRANSPOSE(DD$2:DD$19)))</f>
        <v>0</v>
      </c>
    </row>
    <row r="285" spans="1:108" x14ac:dyDescent="0.2">
      <c r="A285" s="1">
        <v>341</v>
      </c>
      <c r="B285" s="10" t="s">
        <v>169</v>
      </c>
      <c r="C285" s="1" t="s">
        <v>22</v>
      </c>
      <c r="D285" s="1">
        <v>407135463</v>
      </c>
      <c r="F285" s="1" t="s">
        <v>168</v>
      </c>
      <c r="G285" s="1" t="s">
        <v>20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852</v>
      </c>
      <c r="U285" s="1">
        <v>0</v>
      </c>
      <c r="V285" s="1">
        <v>0</v>
      </c>
      <c r="W285" s="1">
        <v>0</v>
      </c>
      <c r="X285" s="1">
        <v>852</v>
      </c>
      <c r="Y285" s="1">
        <v>0</v>
      </c>
      <c r="Z285" s="1">
        <f>SUM(H285:Y285)</f>
        <v>1704</v>
      </c>
      <c r="AA285" s="1">
        <f>SUMPRODUCT(H285:Y285,$H$16:$Y$16)</f>
        <v>1550640</v>
      </c>
      <c r="AB285" s="1" t="s">
        <v>165</v>
      </c>
      <c r="AC285" s="1">
        <v>0.17299999999999999</v>
      </c>
      <c r="AD285" s="9"/>
      <c r="AE285" s="1" t="s">
        <v>28</v>
      </c>
      <c r="AF285" s="1">
        <f>AC285</f>
        <v>0.17299999999999999</v>
      </c>
      <c r="AG285" s="1">
        <v>4000</v>
      </c>
      <c r="AH285" s="1">
        <v>4000</v>
      </c>
      <c r="AI285" s="1" t="s">
        <v>164</v>
      </c>
      <c r="AK285" s="1" t="s">
        <v>163</v>
      </c>
      <c r="AL285" s="1" t="s">
        <v>162</v>
      </c>
      <c r="AM285" s="1" t="s">
        <v>161</v>
      </c>
      <c r="AN285" s="2" t="s">
        <v>160</v>
      </c>
      <c r="BO285" s="1">
        <f>SUM($AP285,$AQ285:AQ285)-SUM($CK285:CL285)</f>
        <v>0</v>
      </c>
      <c r="BP285" s="1">
        <f>SUM($AP285,$AQ285:AR285)-SUM($CK285:CM285)</f>
        <v>0</v>
      </c>
      <c r="BQ285" s="1">
        <f>SUM($AP285,$AQ285:AS285)-SUM($CK285:CN285)</f>
        <v>0</v>
      </c>
      <c r="BR285" s="1">
        <f>SUM($AP285,$AQ285:AT285)-SUM($CK285:CO285)</f>
        <v>-17040</v>
      </c>
      <c r="BS285" s="1">
        <f>SUM($AP285,$AQ285:AU285)-SUM($CK285:CP285)</f>
        <v>-51120</v>
      </c>
      <c r="BT285" s="1">
        <f>SUM($AP285,$AQ285:AV285)-SUM($CK285:CQ285)</f>
        <v>-102240</v>
      </c>
      <c r="BU285" s="1">
        <f>SUM($AP285,$AQ285:AW285)-SUM($CK285:CR285)</f>
        <v>-170400</v>
      </c>
      <c r="BV285" s="1">
        <f>SUM($AP285,$AQ285:AX285)-SUM($CK285:CS285)</f>
        <v>-255600</v>
      </c>
      <c r="BW285" s="1">
        <f>SUM($AP285,$AQ285:AY285)-SUM($CK285:CT285)</f>
        <v>-357840</v>
      </c>
      <c r="BX285" s="1">
        <f>SUM($AP285,$AQ285:AZ285)-SUM($CK285:CU285)</f>
        <v>-477120</v>
      </c>
      <c r="BY285" s="1">
        <f>SUM($AP285,$AQ285:BA285)-SUM($CK285:CV285)</f>
        <v>-613440</v>
      </c>
      <c r="BZ285" s="1">
        <f>SUM($AP285,$AQ285:BB285)-SUM($CK285:CW285)</f>
        <v>-766800</v>
      </c>
      <c r="CA285" s="1">
        <f>SUM($AP285,$AQ285:BC285)-SUM($CK285:CX285)</f>
        <v>-937200</v>
      </c>
      <c r="CB285" s="1">
        <f>SUM($AP285,$AQ285:BD285)-SUM($CK285:CY285)</f>
        <v>-1124640</v>
      </c>
      <c r="CC285" s="1">
        <f>SUM($AP285,$AQ285:BE285)-SUM($CK285:CZ285)</f>
        <v>-1329120</v>
      </c>
      <c r="CD285" s="1">
        <f>SUM($AP285,$AQ285:BF285)-SUM($CK285:DA285)</f>
        <v>-1550640</v>
      </c>
      <c r="CE285" s="1">
        <f>SUM($AP285,$AQ285:BG285)-SUM($CK285:DB285)</f>
        <v>-1550640</v>
      </c>
      <c r="CF285" s="1">
        <f>SUM($AP285,$AQ285:BH285)-SUM($CK285:DC285)</f>
        <v>-1550640</v>
      </c>
      <c r="CG285" s="1">
        <f>SUM($AP285,$AQ285:BI285)-SUM($CK285:DD285)</f>
        <v>-1550640</v>
      </c>
      <c r="CK285" s="1">
        <f t="array" ref="CK285">SUMPRODUCT($H285:$Y285,(TRANSPOSE(CK$2:CK$19)))</f>
        <v>0</v>
      </c>
      <c r="CL285" s="1">
        <f t="array" ref="CL285">SUMPRODUCT($H285:$Y285,(TRANSPOSE(CL$2:CL$19)))</f>
        <v>0</v>
      </c>
      <c r="CM285" s="1">
        <f t="array" ref="CM285">SUMPRODUCT($H285:$Y285,(TRANSPOSE(CM$2:CM$19)))</f>
        <v>0</v>
      </c>
      <c r="CN285" s="1">
        <f t="array" ref="CN285">SUMPRODUCT($H285:$Y285,(TRANSPOSE(CN$2:CN$19)))</f>
        <v>0</v>
      </c>
      <c r="CO285" s="1">
        <f t="array" ref="CO285">SUMPRODUCT($H285:$Y285,(TRANSPOSE(CO$2:CO$19)))</f>
        <v>17040</v>
      </c>
      <c r="CP285" s="1">
        <f t="array" ref="CP285">SUMPRODUCT($H285:$Y285,(TRANSPOSE(CP$2:CP$19)))</f>
        <v>34080</v>
      </c>
      <c r="CQ285" s="1">
        <f t="array" ref="CQ285">SUMPRODUCT($H285:$Y285,(TRANSPOSE(CQ$2:CQ$19)))</f>
        <v>51120</v>
      </c>
      <c r="CR285" s="1">
        <f t="array" ref="CR285">SUMPRODUCT($H285:$Y285,(TRANSPOSE(CR$2:CR$19)))</f>
        <v>68160</v>
      </c>
      <c r="CS285" s="1">
        <f t="array" ref="CS285">SUMPRODUCT($H285:$Y285,(TRANSPOSE(CS$2:CS$19)))</f>
        <v>85200</v>
      </c>
      <c r="CT285" s="1">
        <f t="array" ref="CT285">SUMPRODUCT($H285:$Y285,(TRANSPOSE(CT$2:CT$19)))</f>
        <v>102240</v>
      </c>
      <c r="CU285" s="1">
        <f t="array" ref="CU285">SUMPRODUCT($H285:$Y285,(TRANSPOSE(CU$2:CU$19)))</f>
        <v>119280</v>
      </c>
      <c r="CV285" s="1">
        <f t="array" ref="CV285">SUMPRODUCT($H285:$Y285,(TRANSPOSE(CV$2:CV$19)))</f>
        <v>136320</v>
      </c>
      <c r="CW285" s="1">
        <f t="array" ref="CW285">SUMPRODUCT($H285:$Y285,(TRANSPOSE(CW$2:CW$19)))</f>
        <v>153360</v>
      </c>
      <c r="CX285" s="1">
        <f t="array" ref="CX285">SUMPRODUCT($H285:$Y285,(TRANSPOSE(CX$2:CX$19)))</f>
        <v>170400</v>
      </c>
      <c r="CY285" s="1">
        <f t="array" ref="CY285">SUMPRODUCT($H285:$Y285,(TRANSPOSE(CY$2:CY$19)))</f>
        <v>187440</v>
      </c>
      <c r="CZ285" s="1">
        <f t="array" ref="CZ285">SUMPRODUCT($H285:$Y285,(TRANSPOSE(CZ$2:CZ$19)))</f>
        <v>204480</v>
      </c>
      <c r="DA285" s="1">
        <f t="array" ref="DA285">SUMPRODUCT($H285:$Y285,(TRANSPOSE(DA$2:DA$19)))</f>
        <v>221520</v>
      </c>
      <c r="DB285" s="1">
        <f t="array" ref="DB285">SUMPRODUCT($H285:$Y285,(TRANSPOSE(DB$2:DB$19)))</f>
        <v>0</v>
      </c>
      <c r="DC285" s="1">
        <f t="array" ref="DC285">SUMPRODUCT($H285:$Y285,(TRANSPOSE(DC$2:DC$19)))</f>
        <v>0</v>
      </c>
      <c r="DD285" s="1">
        <f t="array" ref="DD285">SUMPRODUCT($H285:$Y285,(TRANSPOSE(DD$2:DD$19)))</f>
        <v>0</v>
      </c>
    </row>
    <row r="286" spans="1:108" x14ac:dyDescent="0.2">
      <c r="A286" s="1">
        <v>342</v>
      </c>
      <c r="B286" s="10" t="s">
        <v>167</v>
      </c>
      <c r="C286" s="1" t="s">
        <v>22</v>
      </c>
      <c r="D286" s="1">
        <v>407135456</v>
      </c>
      <c r="F286" s="1" t="s">
        <v>166</v>
      </c>
      <c r="G286" s="1" t="s">
        <v>20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362</v>
      </c>
      <c r="U286" s="1">
        <v>0</v>
      </c>
      <c r="V286" s="1">
        <v>0</v>
      </c>
      <c r="W286" s="1">
        <v>0</v>
      </c>
      <c r="X286" s="1">
        <v>362</v>
      </c>
      <c r="Y286" s="1">
        <v>0</v>
      </c>
      <c r="Z286" s="1">
        <f>SUM(H286:Y286)</f>
        <v>724</v>
      </c>
      <c r="AA286" s="1">
        <f>SUMPRODUCT(H286:Y286,$H$16:$Y$16)</f>
        <v>658840</v>
      </c>
      <c r="AB286" s="1" t="s">
        <v>165</v>
      </c>
      <c r="AC286" s="1">
        <v>0.17299999999999999</v>
      </c>
      <c r="AD286" s="9"/>
      <c r="AE286" s="1" t="s">
        <v>28</v>
      </c>
      <c r="AF286" s="1">
        <f>AC286</f>
        <v>0.17299999999999999</v>
      </c>
      <c r="AG286" s="1">
        <v>4000</v>
      </c>
      <c r="AH286" s="1">
        <v>4000</v>
      </c>
      <c r="AI286" s="1" t="s">
        <v>164</v>
      </c>
      <c r="AK286" s="1" t="s">
        <v>163</v>
      </c>
      <c r="AL286" s="1" t="s">
        <v>162</v>
      </c>
      <c r="AM286" s="1" t="s">
        <v>161</v>
      </c>
      <c r="AN286" s="2" t="s">
        <v>160</v>
      </c>
      <c r="BO286" s="1">
        <f>SUM($AP286,$AQ286:AQ286)-SUM($CK286:CL286)</f>
        <v>0</v>
      </c>
      <c r="BP286" s="1">
        <f>SUM($AP286,$AQ286:AR286)-SUM($CK286:CM286)</f>
        <v>0</v>
      </c>
      <c r="BQ286" s="1">
        <f>SUM($AP286,$AQ286:AS286)-SUM($CK286:CN286)</f>
        <v>0</v>
      </c>
      <c r="BR286" s="1">
        <f>SUM($AP286,$AQ286:AT286)-SUM($CK286:CO286)</f>
        <v>-7240</v>
      </c>
      <c r="BS286" s="1">
        <f>SUM($AP286,$AQ286:AU286)-SUM($CK286:CP286)</f>
        <v>-21720</v>
      </c>
      <c r="BT286" s="1">
        <f>SUM($AP286,$AQ286:AV286)-SUM($CK286:CQ286)</f>
        <v>-43440</v>
      </c>
      <c r="BU286" s="1">
        <f>SUM($AP286,$AQ286:AW286)-SUM($CK286:CR286)</f>
        <v>-72400</v>
      </c>
      <c r="BV286" s="1">
        <f>SUM($AP286,$AQ286:AX286)-SUM($CK286:CS286)</f>
        <v>-108600</v>
      </c>
      <c r="BW286" s="1">
        <f>SUM($AP286,$AQ286:AY286)-SUM($CK286:CT286)</f>
        <v>-152040</v>
      </c>
      <c r="BX286" s="1">
        <f>SUM($AP286,$AQ286:AZ286)-SUM($CK286:CU286)</f>
        <v>-202720</v>
      </c>
      <c r="BY286" s="1">
        <f>SUM($AP286,$AQ286:BA286)-SUM($CK286:CV286)</f>
        <v>-260640</v>
      </c>
      <c r="BZ286" s="1">
        <f>SUM($AP286,$AQ286:BB286)-SUM($CK286:CW286)</f>
        <v>-325800</v>
      </c>
      <c r="CA286" s="1">
        <f>SUM($AP286,$AQ286:BC286)-SUM($CK286:CX286)</f>
        <v>-398200</v>
      </c>
      <c r="CB286" s="1">
        <f>SUM($AP286,$AQ286:BD286)-SUM($CK286:CY286)</f>
        <v>-477840</v>
      </c>
      <c r="CC286" s="1">
        <f>SUM($AP286,$AQ286:BE286)-SUM($CK286:CZ286)</f>
        <v>-564720</v>
      </c>
      <c r="CD286" s="1">
        <f>SUM($AP286,$AQ286:BF286)-SUM($CK286:DA286)</f>
        <v>-658840</v>
      </c>
      <c r="CE286" s="1">
        <f>SUM($AP286,$AQ286:BG286)-SUM($CK286:DB286)</f>
        <v>-658840</v>
      </c>
      <c r="CF286" s="1">
        <f>SUM($AP286,$AQ286:BH286)-SUM($CK286:DC286)</f>
        <v>-658840</v>
      </c>
      <c r="CG286" s="1">
        <f>SUM($AP286,$AQ286:BI286)-SUM($CK286:DD286)</f>
        <v>-658840</v>
      </c>
      <c r="CK286" s="1">
        <f t="array" ref="CK286">SUMPRODUCT($H286:$Y286,(TRANSPOSE(CK$2:CK$19)))</f>
        <v>0</v>
      </c>
      <c r="CL286" s="1">
        <f t="array" ref="CL286">SUMPRODUCT($H286:$Y286,(TRANSPOSE(CL$2:CL$19)))</f>
        <v>0</v>
      </c>
      <c r="CM286" s="1">
        <f t="array" ref="CM286">SUMPRODUCT($H286:$Y286,(TRANSPOSE(CM$2:CM$19)))</f>
        <v>0</v>
      </c>
      <c r="CN286" s="1">
        <f t="array" ref="CN286">SUMPRODUCT($H286:$Y286,(TRANSPOSE(CN$2:CN$19)))</f>
        <v>0</v>
      </c>
      <c r="CO286" s="1">
        <f t="array" ref="CO286">SUMPRODUCT($H286:$Y286,(TRANSPOSE(CO$2:CO$19)))</f>
        <v>7240</v>
      </c>
      <c r="CP286" s="1">
        <f t="array" ref="CP286">SUMPRODUCT($H286:$Y286,(TRANSPOSE(CP$2:CP$19)))</f>
        <v>14480</v>
      </c>
      <c r="CQ286" s="1">
        <f t="array" ref="CQ286">SUMPRODUCT($H286:$Y286,(TRANSPOSE(CQ$2:CQ$19)))</f>
        <v>21720</v>
      </c>
      <c r="CR286" s="1">
        <f t="array" ref="CR286">SUMPRODUCT($H286:$Y286,(TRANSPOSE(CR$2:CR$19)))</f>
        <v>28960</v>
      </c>
      <c r="CS286" s="1">
        <f t="array" ref="CS286">SUMPRODUCT($H286:$Y286,(TRANSPOSE(CS$2:CS$19)))</f>
        <v>36200</v>
      </c>
      <c r="CT286" s="1">
        <f t="array" ref="CT286">SUMPRODUCT($H286:$Y286,(TRANSPOSE(CT$2:CT$19)))</f>
        <v>43440</v>
      </c>
      <c r="CU286" s="1">
        <f t="array" ref="CU286">SUMPRODUCT($H286:$Y286,(TRANSPOSE(CU$2:CU$19)))</f>
        <v>50680</v>
      </c>
      <c r="CV286" s="1">
        <f t="array" ref="CV286">SUMPRODUCT($H286:$Y286,(TRANSPOSE(CV$2:CV$19)))</f>
        <v>57920</v>
      </c>
      <c r="CW286" s="1">
        <f t="array" ref="CW286">SUMPRODUCT($H286:$Y286,(TRANSPOSE(CW$2:CW$19)))</f>
        <v>65160</v>
      </c>
      <c r="CX286" s="1">
        <f t="array" ref="CX286">SUMPRODUCT($H286:$Y286,(TRANSPOSE(CX$2:CX$19)))</f>
        <v>72400</v>
      </c>
      <c r="CY286" s="1">
        <f t="array" ref="CY286">SUMPRODUCT($H286:$Y286,(TRANSPOSE(CY$2:CY$19)))</f>
        <v>79640</v>
      </c>
      <c r="CZ286" s="1">
        <f t="array" ref="CZ286">SUMPRODUCT($H286:$Y286,(TRANSPOSE(CZ$2:CZ$19)))</f>
        <v>86880</v>
      </c>
      <c r="DA286" s="1">
        <f t="array" ref="DA286">SUMPRODUCT($H286:$Y286,(TRANSPOSE(DA$2:DA$19)))</f>
        <v>94120</v>
      </c>
      <c r="DB286" s="1">
        <f t="array" ref="DB286">SUMPRODUCT($H286:$Y286,(TRANSPOSE(DB$2:DB$19)))</f>
        <v>0</v>
      </c>
      <c r="DC286" s="1">
        <f t="array" ref="DC286">SUMPRODUCT($H286:$Y286,(TRANSPOSE(DC$2:DC$19)))</f>
        <v>0</v>
      </c>
      <c r="DD286" s="1">
        <f t="array" ref="DD286">SUMPRODUCT($H286:$Y286,(TRANSPOSE(DD$2:DD$19)))</f>
        <v>0</v>
      </c>
    </row>
    <row r="287" spans="1:108" x14ac:dyDescent="0.2">
      <c r="A287" s="1">
        <v>343</v>
      </c>
      <c r="B287" s="10" t="s">
        <v>159</v>
      </c>
      <c r="C287" s="1" t="s">
        <v>22</v>
      </c>
      <c r="D287" s="1">
        <v>401354460</v>
      </c>
      <c r="E287" s="1">
        <v>401424469</v>
      </c>
      <c r="F287" s="1" t="s">
        <v>158</v>
      </c>
      <c r="G287" s="1" t="s">
        <v>20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136</v>
      </c>
      <c r="Y287" s="1">
        <v>0</v>
      </c>
      <c r="Z287" s="1">
        <f>SUM(H287:Y287)</f>
        <v>136</v>
      </c>
      <c r="AA287" s="1">
        <f>SUMPRODUCT(H287:Y287,$H$16:$Y$16)</f>
        <v>123760</v>
      </c>
      <c r="AB287" s="1" t="s">
        <v>157</v>
      </c>
      <c r="AC287" s="1">
        <v>1.3</v>
      </c>
      <c r="AD287" s="9"/>
      <c r="AE287" s="1" t="s">
        <v>28</v>
      </c>
      <c r="AF287" s="1">
        <f>AC287</f>
        <v>1.3</v>
      </c>
      <c r="AH287" s="1">
        <v>3500</v>
      </c>
      <c r="AI287" s="1">
        <v>3</v>
      </c>
      <c r="AJ287" s="14" t="s">
        <v>156</v>
      </c>
      <c r="AK287" s="1" t="s">
        <v>155</v>
      </c>
      <c r="AL287" s="1" t="s">
        <v>154</v>
      </c>
      <c r="AM287" s="1" t="s">
        <v>153</v>
      </c>
      <c r="AN287" s="2" t="s">
        <v>152</v>
      </c>
      <c r="BO287" s="1">
        <f>SUM($AP287,$AQ287:AQ287)-SUM($CK287:CL287)</f>
        <v>0</v>
      </c>
      <c r="BP287" s="1">
        <f>SUM($AP287,$AQ287:AR287)-SUM($CK287:CM287)</f>
        <v>0</v>
      </c>
      <c r="BQ287" s="1">
        <f>SUM($AP287,$AQ287:AS287)-SUM($CK287:CN287)</f>
        <v>0</v>
      </c>
      <c r="BR287" s="1">
        <f>SUM($AP287,$AQ287:AT287)-SUM($CK287:CO287)</f>
        <v>-1360</v>
      </c>
      <c r="BS287" s="1">
        <f>SUM($AP287,$AQ287:AU287)-SUM($CK287:CP287)</f>
        <v>-4080</v>
      </c>
      <c r="BT287" s="1">
        <f>SUM($AP287,$AQ287:AV287)-SUM($CK287:CQ287)</f>
        <v>-8160</v>
      </c>
      <c r="BU287" s="1">
        <f>SUM($AP287,$AQ287:AW287)-SUM($CK287:CR287)</f>
        <v>-13600</v>
      </c>
      <c r="BV287" s="1">
        <f>SUM($AP287,$AQ287:AX287)-SUM($CK287:CS287)</f>
        <v>-20400</v>
      </c>
      <c r="BW287" s="1">
        <f>SUM($AP287,$AQ287:AY287)-SUM($CK287:CT287)</f>
        <v>-28560</v>
      </c>
      <c r="BX287" s="1">
        <f>SUM($AP287,$AQ287:AZ287)-SUM($CK287:CU287)</f>
        <v>-38080</v>
      </c>
      <c r="BY287" s="1">
        <f>SUM($AP287,$AQ287:BA287)-SUM($CK287:CV287)</f>
        <v>-48960</v>
      </c>
      <c r="BZ287" s="1">
        <f>SUM($AP287,$AQ287:BB287)-SUM($CK287:CW287)</f>
        <v>-61200</v>
      </c>
      <c r="CA287" s="1">
        <f>SUM($AP287,$AQ287:BC287)-SUM($CK287:CX287)</f>
        <v>-74800</v>
      </c>
      <c r="CB287" s="1">
        <f>SUM($AP287,$AQ287:BD287)-SUM($CK287:CY287)</f>
        <v>-89760</v>
      </c>
      <c r="CC287" s="1">
        <f>SUM($AP287,$AQ287:BE287)-SUM($CK287:CZ287)</f>
        <v>-106080</v>
      </c>
      <c r="CD287" s="1">
        <f>SUM($AP287,$AQ287:BF287)-SUM($CK287:DA287)</f>
        <v>-123760</v>
      </c>
      <c r="CE287" s="1">
        <f>SUM($AP287,$AQ287:BG287)-SUM($CK287:DB287)</f>
        <v>-123760</v>
      </c>
      <c r="CF287" s="1">
        <f>SUM($AP287,$AQ287:BH287)-SUM($CK287:DC287)</f>
        <v>-123760</v>
      </c>
      <c r="CG287" s="1">
        <f>SUM($AP287,$AQ287:BI287)-SUM($CK287:DD287)</f>
        <v>-123760</v>
      </c>
      <c r="CK287" s="1">
        <f t="array" ref="CK287">SUMPRODUCT($H287:$Y287,(TRANSPOSE(CK$2:CK$19)))</f>
        <v>0</v>
      </c>
      <c r="CL287" s="1">
        <f t="array" ref="CL287">SUMPRODUCT($H287:$Y287,(TRANSPOSE(CL$2:CL$19)))</f>
        <v>0</v>
      </c>
      <c r="CM287" s="1">
        <f t="array" ref="CM287">SUMPRODUCT($H287:$Y287,(TRANSPOSE(CM$2:CM$19)))</f>
        <v>0</v>
      </c>
      <c r="CN287" s="1">
        <f t="array" ref="CN287">SUMPRODUCT($H287:$Y287,(TRANSPOSE(CN$2:CN$19)))</f>
        <v>0</v>
      </c>
      <c r="CO287" s="1">
        <f t="array" ref="CO287">SUMPRODUCT($H287:$Y287,(TRANSPOSE(CO$2:CO$19)))</f>
        <v>1360</v>
      </c>
      <c r="CP287" s="1">
        <f t="array" ref="CP287">SUMPRODUCT($H287:$Y287,(TRANSPOSE(CP$2:CP$19)))</f>
        <v>2720</v>
      </c>
      <c r="CQ287" s="1">
        <f t="array" ref="CQ287">SUMPRODUCT($H287:$Y287,(TRANSPOSE(CQ$2:CQ$19)))</f>
        <v>4080</v>
      </c>
      <c r="CR287" s="1">
        <f t="array" ref="CR287">SUMPRODUCT($H287:$Y287,(TRANSPOSE(CR$2:CR$19)))</f>
        <v>5440</v>
      </c>
      <c r="CS287" s="1">
        <f t="array" ref="CS287">SUMPRODUCT($H287:$Y287,(TRANSPOSE(CS$2:CS$19)))</f>
        <v>6800</v>
      </c>
      <c r="CT287" s="1">
        <f t="array" ref="CT287">SUMPRODUCT($H287:$Y287,(TRANSPOSE(CT$2:CT$19)))</f>
        <v>8160</v>
      </c>
      <c r="CU287" s="1">
        <f t="array" ref="CU287">SUMPRODUCT($H287:$Y287,(TRANSPOSE(CU$2:CU$19)))</f>
        <v>9520</v>
      </c>
      <c r="CV287" s="1">
        <f t="array" ref="CV287">SUMPRODUCT($H287:$Y287,(TRANSPOSE(CV$2:CV$19)))</f>
        <v>10880</v>
      </c>
      <c r="CW287" s="1">
        <f t="array" ref="CW287">SUMPRODUCT($H287:$Y287,(TRANSPOSE(CW$2:CW$19)))</f>
        <v>12240</v>
      </c>
      <c r="CX287" s="1">
        <f t="array" ref="CX287">SUMPRODUCT($H287:$Y287,(TRANSPOSE(CX$2:CX$19)))</f>
        <v>13600</v>
      </c>
      <c r="CY287" s="1">
        <f t="array" ref="CY287">SUMPRODUCT($H287:$Y287,(TRANSPOSE(CY$2:CY$19)))</f>
        <v>14960</v>
      </c>
      <c r="CZ287" s="1">
        <f t="array" ref="CZ287">SUMPRODUCT($H287:$Y287,(TRANSPOSE(CZ$2:CZ$19)))</f>
        <v>16320</v>
      </c>
      <c r="DA287" s="1">
        <f t="array" ref="DA287">SUMPRODUCT($H287:$Y287,(TRANSPOSE(DA$2:DA$19)))</f>
        <v>17680</v>
      </c>
      <c r="DB287" s="1">
        <f t="array" ref="DB287">SUMPRODUCT($H287:$Y287,(TRANSPOSE(DB$2:DB$19)))</f>
        <v>0</v>
      </c>
      <c r="DC287" s="1">
        <f t="array" ref="DC287">SUMPRODUCT($H287:$Y287,(TRANSPOSE(DC$2:DC$19)))</f>
        <v>0</v>
      </c>
      <c r="DD287" s="1">
        <f t="array" ref="DD287">SUMPRODUCT($H287:$Y287,(TRANSPOSE(DD$2:DD$19)))</f>
        <v>0</v>
      </c>
    </row>
    <row r="288" spans="1:108" x14ac:dyDescent="0.2">
      <c r="A288" s="1">
        <v>353</v>
      </c>
      <c r="B288" s="10" t="s">
        <v>151</v>
      </c>
      <c r="C288" s="1" t="s">
        <v>22</v>
      </c>
      <c r="D288" s="1">
        <v>724201546</v>
      </c>
      <c r="F288" s="1" t="s">
        <v>150</v>
      </c>
      <c r="G288" s="1" t="s">
        <v>125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0.05</v>
      </c>
      <c r="U288" s="1">
        <v>0</v>
      </c>
      <c r="V288" s="1">
        <v>0</v>
      </c>
      <c r="W288" s="1">
        <v>0</v>
      </c>
      <c r="X288" s="1">
        <v>0.05</v>
      </c>
      <c r="Y288" s="1">
        <v>0</v>
      </c>
      <c r="Z288" s="1">
        <f>SUM(H288:Y288)</f>
        <v>0.1</v>
      </c>
      <c r="AA288" s="1">
        <f>SUMPRODUCT(H288:Y288,$H$16:$Y$16)</f>
        <v>91</v>
      </c>
      <c r="AB288" s="1" t="s">
        <v>149</v>
      </c>
      <c r="AC288" s="1">
        <v>62.61</v>
      </c>
      <c r="AD288" s="9"/>
      <c r="AE288" s="1" t="s">
        <v>28</v>
      </c>
      <c r="AF288" s="1">
        <f>AC288</f>
        <v>62.61</v>
      </c>
      <c r="AH288" s="1">
        <v>1</v>
      </c>
      <c r="AK288" s="1" t="s">
        <v>148</v>
      </c>
      <c r="AL288" s="1" t="s">
        <v>147</v>
      </c>
      <c r="AN288" s="2" t="s">
        <v>146</v>
      </c>
      <c r="BO288" s="1">
        <f>SUM($AP288,$AQ288:AQ288)-SUM($CK288:CL288)</f>
        <v>0</v>
      </c>
      <c r="BP288" s="1">
        <f>SUM($AP288,$AQ288:AR288)-SUM($CK288:CM288)</f>
        <v>0</v>
      </c>
      <c r="BQ288" s="1">
        <f>SUM($AP288,$AQ288:AS288)-SUM($CK288:CN288)</f>
        <v>0</v>
      </c>
      <c r="BR288" s="1">
        <f>SUM($AP288,$AQ288:AT288)-SUM($CK288:CO288)</f>
        <v>-1</v>
      </c>
      <c r="BS288" s="1">
        <f>SUM($AP288,$AQ288:AU288)-SUM($CK288:CP288)</f>
        <v>-3</v>
      </c>
      <c r="BT288" s="1">
        <f>SUM($AP288,$AQ288:AV288)-SUM($CK288:CQ288)</f>
        <v>-6</v>
      </c>
      <c r="BU288" s="1">
        <f>SUM($AP288,$AQ288:AW288)-SUM($CK288:CR288)</f>
        <v>-10</v>
      </c>
      <c r="BV288" s="1">
        <f>SUM($AP288,$AQ288:AX288)-SUM($CK288:CS288)</f>
        <v>-15</v>
      </c>
      <c r="BW288" s="1">
        <f>SUM($AP288,$AQ288:AY288)-SUM($CK288:CT288)</f>
        <v>-21</v>
      </c>
      <c r="BX288" s="1">
        <f>SUM($AP288,$AQ288:AZ288)-SUM($CK288:CU288)</f>
        <v>-28</v>
      </c>
      <c r="BY288" s="1">
        <f>SUM($AP288,$AQ288:BA288)-SUM($CK288:CV288)</f>
        <v>-36</v>
      </c>
      <c r="BZ288" s="1">
        <f>SUM($AP288,$AQ288:BB288)-SUM($CK288:CW288)</f>
        <v>-45</v>
      </c>
      <c r="CA288" s="1">
        <f>SUM($AP288,$AQ288:BC288)-SUM($CK288:CX288)</f>
        <v>-55</v>
      </c>
      <c r="CB288" s="1">
        <f>SUM($AP288,$AQ288:BD288)-SUM($CK288:CY288)</f>
        <v>-66</v>
      </c>
      <c r="CC288" s="1">
        <f>SUM($AP288,$AQ288:BE288)-SUM($CK288:CZ288)</f>
        <v>-78</v>
      </c>
      <c r="CD288" s="1">
        <f>SUM($AP288,$AQ288:BF288)-SUM($CK288:DA288)</f>
        <v>-91</v>
      </c>
      <c r="CE288" s="1">
        <f>SUM($AP288,$AQ288:BG288)-SUM($CK288:DB288)</f>
        <v>-91</v>
      </c>
      <c r="CF288" s="1">
        <f>SUM($AP288,$AQ288:BH288)-SUM($CK288:DC288)</f>
        <v>-91</v>
      </c>
      <c r="CG288" s="1">
        <f>SUM($AP288,$AQ288:BI288)-SUM($CK288:DD288)</f>
        <v>-91</v>
      </c>
      <c r="CK288" s="1">
        <f t="array" ref="CK288">SUMPRODUCT($H288:$Y288,(TRANSPOSE(CK$2:CK$19)))</f>
        <v>0</v>
      </c>
      <c r="CL288" s="1">
        <f t="array" ref="CL288">SUMPRODUCT($H288:$Y288,(TRANSPOSE(CL$2:CL$19)))</f>
        <v>0</v>
      </c>
      <c r="CM288" s="1">
        <f t="array" ref="CM288">SUMPRODUCT($H288:$Y288,(TRANSPOSE(CM$2:CM$19)))</f>
        <v>0</v>
      </c>
      <c r="CN288" s="1">
        <f t="array" ref="CN288">SUMPRODUCT($H288:$Y288,(TRANSPOSE(CN$2:CN$19)))</f>
        <v>0</v>
      </c>
      <c r="CO288" s="1">
        <f t="array" ref="CO288">SUMPRODUCT($H288:$Y288,(TRANSPOSE(CO$2:CO$19)))</f>
        <v>1</v>
      </c>
      <c r="CP288" s="1">
        <f t="array" ref="CP288">SUMPRODUCT($H288:$Y288,(TRANSPOSE(CP$2:CP$19)))</f>
        <v>2</v>
      </c>
      <c r="CQ288" s="1">
        <f t="array" ref="CQ288">SUMPRODUCT($H288:$Y288,(TRANSPOSE(CQ$2:CQ$19)))</f>
        <v>3</v>
      </c>
      <c r="CR288" s="1">
        <f t="array" ref="CR288">SUMPRODUCT($H288:$Y288,(TRANSPOSE(CR$2:CR$19)))</f>
        <v>4</v>
      </c>
      <c r="CS288" s="1">
        <f t="array" ref="CS288">SUMPRODUCT($H288:$Y288,(TRANSPOSE(CS$2:CS$19)))</f>
        <v>5</v>
      </c>
      <c r="CT288" s="1">
        <f t="array" ref="CT288">SUMPRODUCT($H288:$Y288,(TRANSPOSE(CT$2:CT$19)))</f>
        <v>6</v>
      </c>
      <c r="CU288" s="1">
        <f t="array" ref="CU288">SUMPRODUCT($H288:$Y288,(TRANSPOSE(CU$2:CU$19)))</f>
        <v>7</v>
      </c>
      <c r="CV288" s="1">
        <f t="array" ref="CV288">SUMPRODUCT($H288:$Y288,(TRANSPOSE(CV$2:CV$19)))</f>
        <v>8</v>
      </c>
      <c r="CW288" s="1">
        <f t="array" ref="CW288">SUMPRODUCT($H288:$Y288,(TRANSPOSE(CW$2:CW$19)))</f>
        <v>9</v>
      </c>
      <c r="CX288" s="1">
        <f t="array" ref="CX288">SUMPRODUCT($H288:$Y288,(TRANSPOSE(CX$2:CX$19)))</f>
        <v>10</v>
      </c>
      <c r="CY288" s="1">
        <f t="array" ref="CY288">SUMPRODUCT($H288:$Y288,(TRANSPOSE(CY$2:CY$19)))</f>
        <v>11</v>
      </c>
      <c r="CZ288" s="1">
        <f t="array" ref="CZ288">SUMPRODUCT($H288:$Y288,(TRANSPOSE(CZ$2:CZ$19)))</f>
        <v>12</v>
      </c>
      <c r="DA288" s="1">
        <f t="array" ref="DA288">SUMPRODUCT($H288:$Y288,(TRANSPOSE(DA$2:DA$19)))</f>
        <v>13</v>
      </c>
      <c r="DB288" s="1">
        <f t="array" ref="DB288">SUMPRODUCT($H288:$Y288,(TRANSPOSE(DB$2:DB$19)))</f>
        <v>0</v>
      </c>
      <c r="DC288" s="1">
        <f t="array" ref="DC288">SUMPRODUCT($H288:$Y288,(TRANSPOSE(DC$2:DC$19)))</f>
        <v>0</v>
      </c>
      <c r="DD288" s="1">
        <f t="array" ref="DD288">SUMPRODUCT($H288:$Y288,(TRANSPOSE(DD$2:DD$19)))</f>
        <v>0</v>
      </c>
    </row>
    <row r="289" spans="1:108" x14ac:dyDescent="0.2">
      <c r="A289" s="1">
        <v>354</v>
      </c>
      <c r="B289" s="10" t="s">
        <v>145</v>
      </c>
      <c r="C289" s="1" t="s">
        <v>22</v>
      </c>
      <c r="D289" s="1">
        <v>400057230</v>
      </c>
      <c r="E289" s="1" t="s">
        <v>144</v>
      </c>
      <c r="F289" s="1" t="s">
        <v>143</v>
      </c>
      <c r="G289" s="1" t="s">
        <v>20</v>
      </c>
      <c r="H289" s="1">
        <v>0</v>
      </c>
      <c r="I289" s="1">
        <v>0</v>
      </c>
      <c r="J289" s="1">
        <v>0</v>
      </c>
      <c r="K289" s="1">
        <v>150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16</v>
      </c>
      <c r="S289" s="1">
        <v>0</v>
      </c>
      <c r="T289" s="1">
        <v>0</v>
      </c>
      <c r="U289" s="1">
        <v>0</v>
      </c>
      <c r="V289" s="1">
        <v>16</v>
      </c>
      <c r="W289" s="1">
        <v>0</v>
      </c>
      <c r="X289" s="1">
        <v>0</v>
      </c>
      <c r="Y289" s="1">
        <v>0</v>
      </c>
      <c r="Z289" s="1">
        <f>SUM(H289:Y289)</f>
        <v>182</v>
      </c>
      <c r="AA289" s="1">
        <f>SUMPRODUCT(H289:Y289,$H$16:$Y$16)</f>
        <v>165620</v>
      </c>
      <c r="AB289" s="1" t="s">
        <v>18</v>
      </c>
      <c r="AC289" s="1">
        <v>0</v>
      </c>
      <c r="AD289" s="9"/>
      <c r="AE289" s="1" t="s">
        <v>19</v>
      </c>
      <c r="AF289" s="1">
        <f>AC289</f>
        <v>0</v>
      </c>
      <c r="AG289" s="1">
        <v>1</v>
      </c>
      <c r="AH289" s="1">
        <v>1</v>
      </c>
      <c r="AI289" s="1" t="s">
        <v>18</v>
      </c>
      <c r="AJ289" s="1" t="s">
        <v>18</v>
      </c>
      <c r="AK289" s="1" t="s">
        <v>18</v>
      </c>
      <c r="AL289" s="1" t="s">
        <v>18</v>
      </c>
      <c r="AM289" s="1" t="s">
        <v>18</v>
      </c>
      <c r="AN289" s="2" t="s">
        <v>18</v>
      </c>
      <c r="BO289" s="1">
        <f>SUM($AP289,$AQ289:AQ289)-SUM($CK289:CL289)</f>
        <v>0</v>
      </c>
      <c r="BP289" s="1">
        <f>SUM($AP289,$AQ289:AR289)-SUM($CK289:CM289)</f>
        <v>0</v>
      </c>
      <c r="BQ289" s="1">
        <f>SUM($AP289,$AQ289:AS289)-SUM($CK289:CN289)</f>
        <v>0</v>
      </c>
      <c r="BR289" s="1">
        <f>SUM($AP289,$AQ289:AT289)-SUM($CK289:CO289)</f>
        <v>-1500</v>
      </c>
      <c r="BS289" s="1">
        <f>SUM($AP289,$AQ289:AU289)-SUM($CK289:CP289)</f>
        <v>-4500</v>
      </c>
      <c r="BT289" s="1">
        <f>SUM($AP289,$AQ289:AV289)-SUM($CK289:CQ289)</f>
        <v>-9320</v>
      </c>
      <c r="BU289" s="1">
        <f>SUM($AP289,$AQ289:AW289)-SUM($CK289:CR289)</f>
        <v>-15960</v>
      </c>
      <c r="BV289" s="1">
        <f>SUM($AP289,$AQ289:AX289)-SUM($CK289:CS289)</f>
        <v>-24420</v>
      </c>
      <c r="BW289" s="1">
        <f>SUM($AP289,$AQ289:AY289)-SUM($CK289:CT289)</f>
        <v>-34700</v>
      </c>
      <c r="BX289" s="1">
        <f>SUM($AP289,$AQ289:AZ289)-SUM($CK289:CU289)</f>
        <v>-46800</v>
      </c>
      <c r="BY289" s="1">
        <f>SUM($AP289,$AQ289:BA289)-SUM($CK289:CV289)</f>
        <v>-60720</v>
      </c>
      <c r="BZ289" s="1">
        <f>SUM($AP289,$AQ289:BB289)-SUM($CK289:CW289)</f>
        <v>-76460</v>
      </c>
      <c r="CA289" s="1">
        <f>SUM($AP289,$AQ289:BC289)-SUM($CK289:CX289)</f>
        <v>-94020</v>
      </c>
      <c r="CB289" s="1">
        <f>SUM($AP289,$AQ289:BD289)-SUM($CK289:CY289)</f>
        <v>-113400</v>
      </c>
      <c r="CC289" s="1">
        <f>SUM($AP289,$AQ289:BE289)-SUM($CK289:CZ289)</f>
        <v>-134600</v>
      </c>
      <c r="CD289" s="1">
        <f>SUM($AP289,$AQ289:BF289)-SUM($CK289:DA289)</f>
        <v>-157620</v>
      </c>
      <c r="CE289" s="1">
        <f>SUM($AP289,$AQ289:BG289)-SUM($CK289:DB289)</f>
        <v>-161460</v>
      </c>
      <c r="CF289" s="1">
        <f>SUM($AP289,$AQ289:BH289)-SUM($CK289:DC289)</f>
        <v>-165620</v>
      </c>
      <c r="CG289" s="1">
        <f>SUM($AP289,$AQ289:BI289)-SUM($CK289:DD289)</f>
        <v>-165620</v>
      </c>
      <c r="CK289" s="1">
        <f t="array" ref="CK289">SUMPRODUCT($H289:$Y289,(TRANSPOSE(CK$2:CK$19)))</f>
        <v>0</v>
      </c>
      <c r="CL289" s="1">
        <f t="array" ref="CL289">SUMPRODUCT($H289:$Y289,(TRANSPOSE(CL$2:CL$19)))</f>
        <v>0</v>
      </c>
      <c r="CM289" s="1">
        <f t="array" ref="CM289">SUMPRODUCT($H289:$Y289,(TRANSPOSE(CM$2:CM$19)))</f>
        <v>0</v>
      </c>
      <c r="CN289" s="1">
        <f t="array" ref="CN289">SUMPRODUCT($H289:$Y289,(TRANSPOSE(CN$2:CN$19)))</f>
        <v>0</v>
      </c>
      <c r="CO289" s="1">
        <f t="array" ref="CO289">SUMPRODUCT($H289:$Y289,(TRANSPOSE(CO$2:CO$19)))</f>
        <v>1500</v>
      </c>
      <c r="CP289" s="1">
        <f t="array" ref="CP289">SUMPRODUCT($H289:$Y289,(TRANSPOSE(CP$2:CP$19)))</f>
        <v>3000</v>
      </c>
      <c r="CQ289" s="1">
        <f t="array" ref="CQ289">SUMPRODUCT($H289:$Y289,(TRANSPOSE(CQ$2:CQ$19)))</f>
        <v>4820</v>
      </c>
      <c r="CR289" s="1">
        <f t="array" ref="CR289">SUMPRODUCT($H289:$Y289,(TRANSPOSE(CR$2:CR$19)))</f>
        <v>6640</v>
      </c>
      <c r="CS289" s="1">
        <f t="array" ref="CS289">SUMPRODUCT($H289:$Y289,(TRANSPOSE(CS$2:CS$19)))</f>
        <v>8460</v>
      </c>
      <c r="CT289" s="1">
        <f t="array" ref="CT289">SUMPRODUCT($H289:$Y289,(TRANSPOSE(CT$2:CT$19)))</f>
        <v>10280</v>
      </c>
      <c r="CU289" s="1">
        <f t="array" ref="CU289">SUMPRODUCT($H289:$Y289,(TRANSPOSE(CU$2:CU$19)))</f>
        <v>12100</v>
      </c>
      <c r="CV289" s="1">
        <f t="array" ref="CV289">SUMPRODUCT($H289:$Y289,(TRANSPOSE(CV$2:CV$19)))</f>
        <v>13920</v>
      </c>
      <c r="CW289" s="1">
        <f t="array" ref="CW289">SUMPRODUCT($H289:$Y289,(TRANSPOSE(CW$2:CW$19)))</f>
        <v>15740</v>
      </c>
      <c r="CX289" s="1">
        <f t="array" ref="CX289">SUMPRODUCT($H289:$Y289,(TRANSPOSE(CX$2:CX$19)))</f>
        <v>17560</v>
      </c>
      <c r="CY289" s="1">
        <f t="array" ref="CY289">SUMPRODUCT($H289:$Y289,(TRANSPOSE(CY$2:CY$19)))</f>
        <v>19380</v>
      </c>
      <c r="CZ289" s="1">
        <f t="array" ref="CZ289">SUMPRODUCT($H289:$Y289,(TRANSPOSE(CZ$2:CZ$19)))</f>
        <v>21200</v>
      </c>
      <c r="DA289" s="1">
        <f t="array" ref="DA289">SUMPRODUCT($H289:$Y289,(TRANSPOSE(DA$2:DA$19)))</f>
        <v>23020</v>
      </c>
      <c r="DB289" s="1">
        <f t="array" ref="DB289">SUMPRODUCT($H289:$Y289,(TRANSPOSE(DB$2:DB$19)))</f>
        <v>3840</v>
      </c>
      <c r="DC289" s="1">
        <f t="array" ref="DC289">SUMPRODUCT($H289:$Y289,(TRANSPOSE(DC$2:DC$19)))</f>
        <v>4160</v>
      </c>
      <c r="DD289" s="1">
        <f t="array" ref="DD289">SUMPRODUCT($H289:$Y289,(TRANSPOSE(DD$2:DD$19)))</f>
        <v>0</v>
      </c>
    </row>
    <row r="290" spans="1:108" x14ac:dyDescent="0.2">
      <c r="A290" s="1">
        <v>355</v>
      </c>
      <c r="B290" s="10" t="s">
        <v>142</v>
      </c>
      <c r="C290" s="1" t="s">
        <v>22</v>
      </c>
      <c r="D290" s="1">
        <v>400399198</v>
      </c>
      <c r="F290" s="1" t="s">
        <v>141</v>
      </c>
      <c r="G290" s="1" t="s">
        <v>20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16</v>
      </c>
      <c r="V290" s="1">
        <v>0</v>
      </c>
      <c r="W290" s="1">
        <v>0</v>
      </c>
      <c r="X290" s="1">
        <v>0</v>
      </c>
      <c r="Y290" s="1">
        <v>16</v>
      </c>
      <c r="Z290" s="1">
        <f>SUM(H290:Y290)</f>
        <v>32</v>
      </c>
      <c r="AA290" s="1">
        <f>SUMPRODUCT(H290:Y290,$H$16:$Y$16)</f>
        <v>29120</v>
      </c>
      <c r="AB290" s="1" t="s">
        <v>140</v>
      </c>
      <c r="AC290" s="1">
        <v>0.19</v>
      </c>
      <c r="AD290" s="9"/>
      <c r="AE290" s="1" t="s">
        <v>28</v>
      </c>
      <c r="AF290" s="1">
        <f>AC290</f>
        <v>0.19</v>
      </c>
      <c r="AG290" s="1">
        <v>3000</v>
      </c>
      <c r="AH290" s="1">
        <v>3000</v>
      </c>
      <c r="AI290" s="1" t="s">
        <v>139</v>
      </c>
      <c r="AK290" s="1" t="s">
        <v>138</v>
      </c>
      <c r="AL290" s="1" t="s">
        <v>137</v>
      </c>
      <c r="AM290" s="1" t="s">
        <v>136</v>
      </c>
      <c r="AN290" s="2"/>
      <c r="BO290" s="1">
        <f>SUM($AP290,$AQ290:AQ290)-SUM($CK290:CL290)</f>
        <v>0</v>
      </c>
      <c r="BP290" s="1">
        <f>SUM($AP290,$AQ290:AR290)-SUM($CK290:CM290)</f>
        <v>0</v>
      </c>
      <c r="BQ290" s="1">
        <f>SUM($AP290,$AQ290:AS290)-SUM($CK290:CN290)</f>
        <v>0</v>
      </c>
      <c r="BR290" s="1">
        <f>SUM($AP290,$AQ290:AT290)-SUM($CK290:CO290)</f>
        <v>-320</v>
      </c>
      <c r="BS290" s="1">
        <f>SUM($AP290,$AQ290:AU290)-SUM($CK290:CP290)</f>
        <v>-960</v>
      </c>
      <c r="BT290" s="1">
        <f>SUM($AP290,$AQ290:AV290)-SUM($CK290:CQ290)</f>
        <v>-1920</v>
      </c>
      <c r="BU290" s="1">
        <f>SUM($AP290,$AQ290:AW290)-SUM($CK290:CR290)</f>
        <v>-3200</v>
      </c>
      <c r="BV290" s="1">
        <f>SUM($AP290,$AQ290:AX290)-SUM($CK290:CS290)</f>
        <v>-4800</v>
      </c>
      <c r="BW290" s="1">
        <f>SUM($AP290,$AQ290:AY290)-SUM($CK290:CT290)</f>
        <v>-6720</v>
      </c>
      <c r="BX290" s="1">
        <f>SUM($AP290,$AQ290:AZ290)-SUM($CK290:CU290)</f>
        <v>-8960</v>
      </c>
      <c r="BY290" s="1">
        <f>SUM($AP290,$AQ290:BA290)-SUM($CK290:CV290)</f>
        <v>-11520</v>
      </c>
      <c r="BZ290" s="1">
        <f>SUM($AP290,$AQ290:BB290)-SUM($CK290:CW290)</f>
        <v>-14400</v>
      </c>
      <c r="CA290" s="1">
        <f>SUM($AP290,$AQ290:BC290)-SUM($CK290:CX290)</f>
        <v>-17600</v>
      </c>
      <c r="CB290" s="1">
        <f>SUM($AP290,$AQ290:BD290)-SUM($CK290:CY290)</f>
        <v>-21120</v>
      </c>
      <c r="CC290" s="1">
        <f>SUM($AP290,$AQ290:BE290)-SUM($CK290:CZ290)</f>
        <v>-24960</v>
      </c>
      <c r="CD290" s="1">
        <f>SUM($AP290,$AQ290:BF290)-SUM($CK290:DA290)</f>
        <v>-29120</v>
      </c>
      <c r="CE290" s="1">
        <f>SUM($AP290,$AQ290:BG290)-SUM($CK290:DB290)</f>
        <v>-29120</v>
      </c>
      <c r="CF290" s="1">
        <f>SUM($AP290,$AQ290:BH290)-SUM($CK290:DC290)</f>
        <v>-29120</v>
      </c>
      <c r="CG290" s="1">
        <f>SUM($AP290,$AQ290:BI290)-SUM($CK290:DD290)</f>
        <v>-29120</v>
      </c>
      <c r="CK290" s="1">
        <f t="array" ref="CK290">SUMPRODUCT($H290:$Y290,(TRANSPOSE(CK$2:CK$19)))</f>
        <v>0</v>
      </c>
      <c r="CL290" s="1">
        <f t="array" ref="CL290">SUMPRODUCT($H290:$Y290,(TRANSPOSE(CL$2:CL$19)))</f>
        <v>0</v>
      </c>
      <c r="CM290" s="1">
        <f t="array" ref="CM290">SUMPRODUCT($H290:$Y290,(TRANSPOSE(CM$2:CM$19)))</f>
        <v>0</v>
      </c>
      <c r="CN290" s="1">
        <f t="array" ref="CN290">SUMPRODUCT($H290:$Y290,(TRANSPOSE(CN$2:CN$19)))</f>
        <v>0</v>
      </c>
      <c r="CO290" s="1">
        <f t="array" ref="CO290">SUMPRODUCT($H290:$Y290,(TRANSPOSE(CO$2:CO$19)))</f>
        <v>320</v>
      </c>
      <c r="CP290" s="1">
        <f t="array" ref="CP290">SUMPRODUCT($H290:$Y290,(TRANSPOSE(CP$2:CP$19)))</f>
        <v>640</v>
      </c>
      <c r="CQ290" s="1">
        <f t="array" ref="CQ290">SUMPRODUCT($H290:$Y290,(TRANSPOSE(CQ$2:CQ$19)))</f>
        <v>960</v>
      </c>
      <c r="CR290" s="1">
        <f t="array" ref="CR290">SUMPRODUCT($H290:$Y290,(TRANSPOSE(CR$2:CR$19)))</f>
        <v>1280</v>
      </c>
      <c r="CS290" s="1">
        <f t="array" ref="CS290">SUMPRODUCT($H290:$Y290,(TRANSPOSE(CS$2:CS$19)))</f>
        <v>1600</v>
      </c>
      <c r="CT290" s="1">
        <f t="array" ref="CT290">SUMPRODUCT($H290:$Y290,(TRANSPOSE(CT$2:CT$19)))</f>
        <v>1920</v>
      </c>
      <c r="CU290" s="1">
        <f t="array" ref="CU290">SUMPRODUCT($H290:$Y290,(TRANSPOSE(CU$2:CU$19)))</f>
        <v>2240</v>
      </c>
      <c r="CV290" s="1">
        <f t="array" ref="CV290">SUMPRODUCT($H290:$Y290,(TRANSPOSE(CV$2:CV$19)))</f>
        <v>2560</v>
      </c>
      <c r="CW290" s="1">
        <f t="array" ref="CW290">SUMPRODUCT($H290:$Y290,(TRANSPOSE(CW$2:CW$19)))</f>
        <v>2880</v>
      </c>
      <c r="CX290" s="1">
        <f t="array" ref="CX290">SUMPRODUCT($H290:$Y290,(TRANSPOSE(CX$2:CX$19)))</f>
        <v>3200</v>
      </c>
      <c r="CY290" s="1">
        <f t="array" ref="CY290">SUMPRODUCT($H290:$Y290,(TRANSPOSE(CY$2:CY$19)))</f>
        <v>3520</v>
      </c>
      <c r="CZ290" s="1">
        <f t="array" ref="CZ290">SUMPRODUCT($H290:$Y290,(TRANSPOSE(CZ$2:CZ$19)))</f>
        <v>3840</v>
      </c>
      <c r="DA290" s="1">
        <f t="array" ref="DA290">SUMPRODUCT($H290:$Y290,(TRANSPOSE(DA$2:DA$19)))</f>
        <v>4160</v>
      </c>
      <c r="DB290" s="1">
        <f t="array" ref="DB290">SUMPRODUCT($H290:$Y290,(TRANSPOSE(DB$2:DB$19)))</f>
        <v>0</v>
      </c>
      <c r="DC290" s="1">
        <f t="array" ref="DC290">SUMPRODUCT($H290:$Y290,(TRANSPOSE(DC$2:DC$19)))</f>
        <v>0</v>
      </c>
      <c r="DD290" s="1">
        <f t="array" ref="DD290">SUMPRODUCT($H290:$Y290,(TRANSPOSE(DD$2:DD$19)))</f>
        <v>0</v>
      </c>
    </row>
    <row r="291" spans="1:108" ht="14.25" x14ac:dyDescent="0.2">
      <c r="A291" s="1">
        <v>356</v>
      </c>
      <c r="B291" s="10" t="s">
        <v>135</v>
      </c>
      <c r="C291" s="1" t="s">
        <v>22</v>
      </c>
      <c r="D291" s="1">
        <v>400002897</v>
      </c>
      <c r="E291" s="1">
        <v>405536560</v>
      </c>
      <c r="F291" s="1" t="s">
        <v>134</v>
      </c>
      <c r="G291" s="1" t="s">
        <v>125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0.05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f>SUM(H291:Y291)</f>
        <v>0.05</v>
      </c>
      <c r="AA291" s="1">
        <f>SUMPRODUCT(H291:Y291,$H$16:$Y$16)</f>
        <v>45.5</v>
      </c>
      <c r="AB291" s="1" t="s">
        <v>18</v>
      </c>
      <c r="AC291" s="1">
        <v>0</v>
      </c>
      <c r="AD291" s="9"/>
      <c r="AE291" s="1" t="s">
        <v>19</v>
      </c>
      <c r="AF291" s="1">
        <f>AC291</f>
        <v>0</v>
      </c>
      <c r="AG291" s="1">
        <v>1</v>
      </c>
      <c r="AH291" s="1">
        <v>1</v>
      </c>
      <c r="AI291" s="1" t="s">
        <v>18</v>
      </c>
      <c r="AJ291" s="1" t="s">
        <v>18</v>
      </c>
      <c r="AK291" s="1" t="s">
        <v>18</v>
      </c>
      <c r="AL291" s="13" t="s">
        <v>18</v>
      </c>
      <c r="AM291" s="13" t="s">
        <v>18</v>
      </c>
      <c r="AN291" s="2" t="s">
        <v>18</v>
      </c>
      <c r="AO291" s="16"/>
      <c r="BO291" s="1">
        <f>SUM($AP291,$AQ291:AQ291)-SUM($CK291:CL291)</f>
        <v>0</v>
      </c>
      <c r="BP291" s="1">
        <f>SUM($AP291,$AQ291:AR291)-SUM($CK291:CM291)</f>
        <v>-0.5</v>
      </c>
      <c r="BQ291" s="1">
        <f>SUM($AP291,$AQ291:AS291)-SUM($CK291:CN291)</f>
        <v>-1.5</v>
      </c>
      <c r="BR291" s="1">
        <f>SUM($AP291,$AQ291:AT291)-SUM($CK291:CO291)</f>
        <v>-3</v>
      </c>
      <c r="BS291" s="1">
        <f>SUM($AP291,$AQ291:AU291)-SUM($CK291:CP291)</f>
        <v>-5</v>
      </c>
      <c r="BT291" s="1">
        <f>SUM($AP291,$AQ291:AV291)-SUM($CK291:CQ291)</f>
        <v>-7.5</v>
      </c>
      <c r="BU291" s="1">
        <f>SUM($AP291,$AQ291:AW291)-SUM($CK291:CR291)</f>
        <v>-10.5</v>
      </c>
      <c r="BV291" s="1">
        <f>SUM($AP291,$AQ291:AX291)-SUM($CK291:CS291)</f>
        <v>-14</v>
      </c>
      <c r="BW291" s="1">
        <f>SUM($AP291,$AQ291:AY291)-SUM($CK291:CT291)</f>
        <v>-18</v>
      </c>
      <c r="BX291" s="1">
        <f>SUM($AP291,$AQ291:AZ291)-SUM($CK291:CU291)</f>
        <v>-22.5</v>
      </c>
      <c r="BY291" s="1">
        <f>SUM($AP291,$AQ291:BA291)-SUM($CK291:CV291)</f>
        <v>-27.5</v>
      </c>
      <c r="BZ291" s="1">
        <f>SUM($AP291,$AQ291:BB291)-SUM($CK291:CW291)</f>
        <v>-33</v>
      </c>
      <c r="CA291" s="1">
        <f>SUM($AP291,$AQ291:BC291)-SUM($CK291:CX291)</f>
        <v>-39</v>
      </c>
      <c r="CB291" s="1">
        <f>SUM($AP291,$AQ291:BD291)-SUM($CK291:CY291)</f>
        <v>-45.5</v>
      </c>
      <c r="CC291" s="1">
        <f>SUM($AP291,$AQ291:BE291)-SUM($CK291:CZ291)</f>
        <v>-45.5</v>
      </c>
      <c r="CD291" s="1">
        <f>SUM($AP291,$AQ291:BF291)-SUM($CK291:DA291)</f>
        <v>-45.5</v>
      </c>
      <c r="CE291" s="1">
        <f>SUM($AP291,$AQ291:BG291)-SUM($CK291:DB291)</f>
        <v>-45.5</v>
      </c>
      <c r="CF291" s="1">
        <f>SUM($AP291,$AQ291:BH291)-SUM($CK291:DC291)</f>
        <v>-45.5</v>
      </c>
      <c r="CG291" s="1">
        <f>SUM($AP291,$AQ291:BI291)-SUM($CK291:DD291)</f>
        <v>-45.5</v>
      </c>
      <c r="CK291" s="1">
        <f t="array" ref="CK291">SUMPRODUCT($H291:$Y291,(TRANSPOSE(CK$2:CK$19)))</f>
        <v>0</v>
      </c>
      <c r="CL291" s="1">
        <f t="array" ref="CL291">SUMPRODUCT($H291:$Y291,(TRANSPOSE(CL$2:CL$19)))</f>
        <v>0</v>
      </c>
      <c r="CM291" s="1">
        <f t="array" ref="CM291">SUMPRODUCT($H291:$Y291,(TRANSPOSE(CM$2:CM$19)))</f>
        <v>0.5</v>
      </c>
      <c r="CN291" s="1">
        <f t="array" ref="CN291">SUMPRODUCT($H291:$Y291,(TRANSPOSE(CN$2:CN$19)))</f>
        <v>1</v>
      </c>
      <c r="CO291" s="1">
        <f t="array" ref="CO291">SUMPRODUCT($H291:$Y291,(TRANSPOSE(CO$2:CO$19)))</f>
        <v>1.5</v>
      </c>
      <c r="CP291" s="1">
        <f t="array" ref="CP291">SUMPRODUCT($H291:$Y291,(TRANSPOSE(CP$2:CP$19)))</f>
        <v>2</v>
      </c>
      <c r="CQ291" s="1">
        <f t="array" ref="CQ291">SUMPRODUCT($H291:$Y291,(TRANSPOSE(CQ$2:CQ$19)))</f>
        <v>2.5</v>
      </c>
      <c r="CR291" s="1">
        <f t="array" ref="CR291">SUMPRODUCT($H291:$Y291,(TRANSPOSE(CR$2:CR$19)))</f>
        <v>3</v>
      </c>
      <c r="CS291" s="1">
        <f t="array" ref="CS291">SUMPRODUCT($H291:$Y291,(TRANSPOSE(CS$2:CS$19)))</f>
        <v>3.5</v>
      </c>
      <c r="CT291" s="1">
        <f t="array" ref="CT291">SUMPRODUCT($H291:$Y291,(TRANSPOSE(CT$2:CT$19)))</f>
        <v>4</v>
      </c>
      <c r="CU291" s="1">
        <f t="array" ref="CU291">SUMPRODUCT($H291:$Y291,(TRANSPOSE(CU$2:CU$19)))</f>
        <v>4.5</v>
      </c>
      <c r="CV291" s="1">
        <f t="array" ref="CV291">SUMPRODUCT($H291:$Y291,(TRANSPOSE(CV$2:CV$19)))</f>
        <v>5</v>
      </c>
      <c r="CW291" s="1">
        <f t="array" ref="CW291">SUMPRODUCT($H291:$Y291,(TRANSPOSE(CW$2:CW$19)))</f>
        <v>5.5</v>
      </c>
      <c r="CX291" s="1">
        <f t="array" ref="CX291">SUMPRODUCT($H291:$Y291,(TRANSPOSE(CX$2:CX$19)))</f>
        <v>6</v>
      </c>
      <c r="CY291" s="1">
        <f t="array" ref="CY291">SUMPRODUCT($H291:$Y291,(TRANSPOSE(CY$2:CY$19)))</f>
        <v>6.5</v>
      </c>
      <c r="CZ291" s="1">
        <f t="array" ref="CZ291">SUMPRODUCT($H291:$Y291,(TRANSPOSE(CZ$2:CZ$19)))</f>
        <v>0</v>
      </c>
      <c r="DA291" s="1">
        <f t="array" ref="DA291">SUMPRODUCT($H291:$Y291,(TRANSPOSE(DA$2:DA$19)))</f>
        <v>0</v>
      </c>
      <c r="DB291" s="1">
        <f t="array" ref="DB291">SUMPRODUCT($H291:$Y291,(TRANSPOSE(DB$2:DB$19)))</f>
        <v>0</v>
      </c>
      <c r="DC291" s="1">
        <f t="array" ref="DC291">SUMPRODUCT($H291:$Y291,(TRANSPOSE(DC$2:DC$19)))</f>
        <v>0</v>
      </c>
      <c r="DD291" s="1">
        <f t="array" ref="DD291">SUMPRODUCT($H291:$Y291,(TRANSPOSE(DD$2:DD$19)))</f>
        <v>0</v>
      </c>
    </row>
    <row r="292" spans="1:108" ht="14.25" x14ac:dyDescent="0.2">
      <c r="A292" s="1">
        <v>357</v>
      </c>
      <c r="B292" s="10" t="s">
        <v>133</v>
      </c>
      <c r="C292" s="1" t="s">
        <v>22</v>
      </c>
      <c r="D292" s="1">
        <v>405530594</v>
      </c>
      <c r="E292" s="1">
        <v>405536567</v>
      </c>
      <c r="F292" s="1" t="s">
        <v>132</v>
      </c>
      <c r="G292" s="1" t="s">
        <v>20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2</v>
      </c>
      <c r="U292" s="1">
        <v>0</v>
      </c>
      <c r="V292" s="1">
        <v>0</v>
      </c>
      <c r="W292" s="1">
        <v>0</v>
      </c>
      <c r="X292" s="1">
        <v>2</v>
      </c>
      <c r="Y292" s="1">
        <v>0</v>
      </c>
      <c r="Z292" s="1">
        <f>SUM(H292:Y292)</f>
        <v>4</v>
      </c>
      <c r="AA292" s="1">
        <f>SUMPRODUCT(H292:Y292,$H$16:$Y$16)</f>
        <v>3640</v>
      </c>
      <c r="AB292" s="1" t="s">
        <v>63</v>
      </c>
      <c r="AC292" s="1">
        <v>0.28000000000000003</v>
      </c>
      <c r="AD292" s="9"/>
      <c r="AE292" s="1" t="s">
        <v>28</v>
      </c>
      <c r="AF292" s="1">
        <f>AC292</f>
        <v>0.28000000000000003</v>
      </c>
      <c r="AG292" s="1">
        <v>750</v>
      </c>
      <c r="AH292" s="1">
        <v>750</v>
      </c>
      <c r="AI292" s="1">
        <v>8</v>
      </c>
      <c r="AK292" s="1" t="s">
        <v>62</v>
      </c>
      <c r="AL292" s="13" t="s">
        <v>61</v>
      </c>
      <c r="AM292" s="13" t="s">
        <v>60</v>
      </c>
      <c r="AN292" s="2" t="s">
        <v>59</v>
      </c>
      <c r="AO292" s="16" t="s">
        <v>131</v>
      </c>
      <c r="BO292" s="1">
        <f>SUM($AP292,$AQ292:AQ292)-SUM($CK292:CL292)</f>
        <v>0</v>
      </c>
      <c r="BP292" s="1">
        <f>SUM($AP292,$AQ292:AR292)-SUM($CK292:CM292)</f>
        <v>0</v>
      </c>
      <c r="BQ292" s="1">
        <f>SUM($AP292,$AQ292:AS292)-SUM($CK292:CN292)</f>
        <v>0</v>
      </c>
      <c r="BR292" s="1">
        <f>SUM($AP292,$AQ292:AT292)-SUM($CK292:CO292)</f>
        <v>-40</v>
      </c>
      <c r="BS292" s="1">
        <f>SUM($AP292,$AQ292:AU292)-SUM($CK292:CP292)</f>
        <v>-120</v>
      </c>
      <c r="BT292" s="1">
        <f>SUM($AP292,$AQ292:AV292)-SUM($CK292:CQ292)</f>
        <v>-240</v>
      </c>
      <c r="BU292" s="1">
        <f>SUM($AP292,$AQ292:AW292)-SUM($CK292:CR292)</f>
        <v>-400</v>
      </c>
      <c r="BV292" s="1">
        <f>SUM($AP292,$AQ292:AX292)-SUM($CK292:CS292)</f>
        <v>-600</v>
      </c>
      <c r="BW292" s="1">
        <f>SUM($AP292,$AQ292:AY292)-SUM($CK292:CT292)</f>
        <v>-840</v>
      </c>
      <c r="BX292" s="1">
        <f>SUM($AP292,$AQ292:AZ292)-SUM($CK292:CU292)</f>
        <v>-1120</v>
      </c>
      <c r="BY292" s="1">
        <f>SUM($AP292,$AQ292:BA292)-SUM($CK292:CV292)</f>
        <v>-1440</v>
      </c>
      <c r="BZ292" s="1">
        <f>SUM($AP292,$AQ292:BB292)-SUM($CK292:CW292)</f>
        <v>-1800</v>
      </c>
      <c r="CA292" s="1">
        <f>SUM($AP292,$AQ292:BC292)-SUM($CK292:CX292)</f>
        <v>-2200</v>
      </c>
      <c r="CB292" s="1">
        <f>SUM($AP292,$AQ292:BD292)-SUM($CK292:CY292)</f>
        <v>-2640</v>
      </c>
      <c r="CC292" s="1">
        <f>SUM($AP292,$AQ292:BE292)-SUM($CK292:CZ292)</f>
        <v>-3120</v>
      </c>
      <c r="CD292" s="1">
        <f>SUM($AP292,$AQ292:BF292)-SUM($CK292:DA292)</f>
        <v>-3640</v>
      </c>
      <c r="CE292" s="1">
        <f>SUM($AP292,$AQ292:BG292)-SUM($CK292:DB292)</f>
        <v>-3640</v>
      </c>
      <c r="CF292" s="1">
        <f>SUM($AP292,$AQ292:BH292)-SUM($CK292:DC292)</f>
        <v>-3640</v>
      </c>
      <c r="CG292" s="1">
        <f>SUM($AP292,$AQ292:BI292)-SUM($CK292:DD292)</f>
        <v>-3640</v>
      </c>
      <c r="CK292" s="1">
        <f t="array" ref="CK292">SUMPRODUCT($H292:$Y292,(TRANSPOSE(CK$2:CK$19)))</f>
        <v>0</v>
      </c>
      <c r="CL292" s="1">
        <f t="array" ref="CL292">SUMPRODUCT($H292:$Y292,(TRANSPOSE(CL$2:CL$19)))</f>
        <v>0</v>
      </c>
      <c r="CM292" s="1">
        <f t="array" ref="CM292">SUMPRODUCT($H292:$Y292,(TRANSPOSE(CM$2:CM$19)))</f>
        <v>0</v>
      </c>
      <c r="CN292" s="1">
        <f t="array" ref="CN292">SUMPRODUCT($H292:$Y292,(TRANSPOSE(CN$2:CN$19)))</f>
        <v>0</v>
      </c>
      <c r="CO292" s="1">
        <f t="array" ref="CO292">SUMPRODUCT($H292:$Y292,(TRANSPOSE(CO$2:CO$19)))</f>
        <v>40</v>
      </c>
      <c r="CP292" s="1">
        <f t="array" ref="CP292">SUMPRODUCT($H292:$Y292,(TRANSPOSE(CP$2:CP$19)))</f>
        <v>80</v>
      </c>
      <c r="CQ292" s="1">
        <f t="array" ref="CQ292">SUMPRODUCT($H292:$Y292,(TRANSPOSE(CQ$2:CQ$19)))</f>
        <v>120</v>
      </c>
      <c r="CR292" s="1">
        <f t="array" ref="CR292">SUMPRODUCT($H292:$Y292,(TRANSPOSE(CR$2:CR$19)))</f>
        <v>160</v>
      </c>
      <c r="CS292" s="1">
        <f t="array" ref="CS292">SUMPRODUCT($H292:$Y292,(TRANSPOSE(CS$2:CS$19)))</f>
        <v>200</v>
      </c>
      <c r="CT292" s="1">
        <f t="array" ref="CT292">SUMPRODUCT($H292:$Y292,(TRANSPOSE(CT$2:CT$19)))</f>
        <v>240</v>
      </c>
      <c r="CU292" s="1">
        <f t="array" ref="CU292">SUMPRODUCT($H292:$Y292,(TRANSPOSE(CU$2:CU$19)))</f>
        <v>280</v>
      </c>
      <c r="CV292" s="1">
        <f t="array" ref="CV292">SUMPRODUCT($H292:$Y292,(TRANSPOSE(CV$2:CV$19)))</f>
        <v>320</v>
      </c>
      <c r="CW292" s="1">
        <f t="array" ref="CW292">SUMPRODUCT($H292:$Y292,(TRANSPOSE(CW$2:CW$19)))</f>
        <v>360</v>
      </c>
      <c r="CX292" s="1">
        <f t="array" ref="CX292">SUMPRODUCT($H292:$Y292,(TRANSPOSE(CX$2:CX$19)))</f>
        <v>400</v>
      </c>
      <c r="CY292" s="1">
        <f t="array" ref="CY292">SUMPRODUCT($H292:$Y292,(TRANSPOSE(CY$2:CY$19)))</f>
        <v>440</v>
      </c>
      <c r="CZ292" s="1">
        <f t="array" ref="CZ292">SUMPRODUCT($H292:$Y292,(TRANSPOSE(CZ$2:CZ$19)))</f>
        <v>480</v>
      </c>
      <c r="DA292" s="1">
        <f t="array" ref="DA292">SUMPRODUCT($H292:$Y292,(TRANSPOSE(DA$2:DA$19)))</f>
        <v>520</v>
      </c>
      <c r="DB292" s="1">
        <f t="array" ref="DB292">SUMPRODUCT($H292:$Y292,(TRANSPOSE(DB$2:DB$19)))</f>
        <v>0</v>
      </c>
      <c r="DC292" s="1">
        <f t="array" ref="DC292">SUMPRODUCT($H292:$Y292,(TRANSPOSE(DC$2:DC$19)))</f>
        <v>0</v>
      </c>
      <c r="DD292" s="1">
        <f t="array" ref="DD292">SUMPRODUCT($H292:$Y292,(TRANSPOSE(DD$2:DD$19)))</f>
        <v>0</v>
      </c>
    </row>
    <row r="293" spans="1:108" x14ac:dyDescent="0.2">
      <c r="A293" s="1">
        <v>359</v>
      </c>
      <c r="B293" s="10" t="s">
        <v>130</v>
      </c>
      <c r="C293" s="1" t="s">
        <v>38</v>
      </c>
      <c r="D293" s="1" t="s">
        <v>129</v>
      </c>
      <c r="F293" s="1" t="s">
        <v>128</v>
      </c>
      <c r="G293" s="1" t="s">
        <v>20</v>
      </c>
      <c r="H293" s="1">
        <v>0</v>
      </c>
      <c r="I293" s="1">
        <v>0</v>
      </c>
      <c r="J293" s="1">
        <v>0</v>
      </c>
      <c r="K293" s="1">
        <v>26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f>SUM(H293:Y293)</f>
        <v>26</v>
      </c>
      <c r="AA293" s="1">
        <f>SUMPRODUCT(H293:Y293,$H$16:$Y$16)</f>
        <v>23660</v>
      </c>
      <c r="AB293" s="1" t="s">
        <v>18</v>
      </c>
      <c r="AC293" s="1">
        <v>0</v>
      </c>
      <c r="AD293" s="9"/>
      <c r="AE293" s="1" t="s">
        <v>19</v>
      </c>
      <c r="AF293" s="1">
        <f>AC293</f>
        <v>0</v>
      </c>
      <c r="AG293" s="1">
        <v>1</v>
      </c>
      <c r="AH293" s="1">
        <v>1</v>
      </c>
      <c r="AI293" s="1" t="s">
        <v>18</v>
      </c>
      <c r="AJ293" s="1" t="s">
        <v>18</v>
      </c>
      <c r="AK293" s="1" t="s">
        <v>18</v>
      </c>
      <c r="AL293" s="1" t="s">
        <v>18</v>
      </c>
      <c r="AM293" s="1" t="s">
        <v>18</v>
      </c>
      <c r="AN293" s="2" t="s">
        <v>18</v>
      </c>
      <c r="BO293" s="1">
        <f>SUM($AP293,$AQ293:AQ293)-SUM($CK293:CL293)</f>
        <v>0</v>
      </c>
      <c r="BP293" s="1">
        <f>SUM($AP293,$AQ293:AR293)-SUM($CK293:CM293)</f>
        <v>0</v>
      </c>
      <c r="BQ293" s="1">
        <f>SUM($AP293,$AQ293:AS293)-SUM($CK293:CN293)</f>
        <v>0</v>
      </c>
      <c r="BR293" s="1">
        <f>SUM($AP293,$AQ293:AT293)-SUM($CK293:CO293)</f>
        <v>-260</v>
      </c>
      <c r="BS293" s="1">
        <f>SUM($AP293,$AQ293:AU293)-SUM($CK293:CP293)</f>
        <v>-780</v>
      </c>
      <c r="BT293" s="1">
        <f>SUM($AP293,$AQ293:AV293)-SUM($CK293:CQ293)</f>
        <v>-1560</v>
      </c>
      <c r="BU293" s="1">
        <f>SUM($AP293,$AQ293:AW293)-SUM($CK293:CR293)</f>
        <v>-2600</v>
      </c>
      <c r="BV293" s="1">
        <f>SUM($AP293,$AQ293:AX293)-SUM($CK293:CS293)</f>
        <v>-3900</v>
      </c>
      <c r="BW293" s="1">
        <f>SUM($AP293,$AQ293:AY293)-SUM($CK293:CT293)</f>
        <v>-5460</v>
      </c>
      <c r="BX293" s="1">
        <f>SUM($AP293,$AQ293:AZ293)-SUM($CK293:CU293)</f>
        <v>-7280</v>
      </c>
      <c r="BY293" s="1">
        <f>SUM($AP293,$AQ293:BA293)-SUM($CK293:CV293)</f>
        <v>-9360</v>
      </c>
      <c r="BZ293" s="1">
        <f>SUM($AP293,$AQ293:BB293)-SUM($CK293:CW293)</f>
        <v>-11700</v>
      </c>
      <c r="CA293" s="1">
        <f>SUM($AP293,$AQ293:BC293)-SUM($CK293:CX293)</f>
        <v>-14300</v>
      </c>
      <c r="CB293" s="1">
        <f>SUM($AP293,$AQ293:BD293)-SUM($CK293:CY293)</f>
        <v>-17160</v>
      </c>
      <c r="CC293" s="1">
        <f>SUM($AP293,$AQ293:BE293)-SUM($CK293:CZ293)</f>
        <v>-20280</v>
      </c>
      <c r="CD293" s="1">
        <f>SUM($AP293,$AQ293:BF293)-SUM($CK293:DA293)</f>
        <v>-23660</v>
      </c>
      <c r="CE293" s="1">
        <f>SUM($AP293,$AQ293:BG293)-SUM($CK293:DB293)</f>
        <v>-23660</v>
      </c>
      <c r="CF293" s="1">
        <f>SUM($AP293,$AQ293:BH293)-SUM($CK293:DC293)</f>
        <v>-23660</v>
      </c>
      <c r="CG293" s="1">
        <f>SUM($AP293,$AQ293:BI293)-SUM($CK293:DD293)</f>
        <v>-23660</v>
      </c>
      <c r="CK293" s="1">
        <f t="array" ref="CK293">SUMPRODUCT($H293:$Y293,(TRANSPOSE(CK$2:CK$19)))</f>
        <v>0</v>
      </c>
      <c r="CL293" s="1">
        <f t="array" ref="CL293">SUMPRODUCT($H293:$Y293,(TRANSPOSE(CL$2:CL$19)))</f>
        <v>0</v>
      </c>
      <c r="CM293" s="1">
        <f t="array" ref="CM293">SUMPRODUCT($H293:$Y293,(TRANSPOSE(CM$2:CM$19)))</f>
        <v>0</v>
      </c>
      <c r="CN293" s="1">
        <f t="array" ref="CN293">SUMPRODUCT($H293:$Y293,(TRANSPOSE(CN$2:CN$19)))</f>
        <v>0</v>
      </c>
      <c r="CO293" s="1">
        <f t="array" ref="CO293">SUMPRODUCT($H293:$Y293,(TRANSPOSE(CO$2:CO$19)))</f>
        <v>260</v>
      </c>
      <c r="CP293" s="1">
        <f t="array" ref="CP293">SUMPRODUCT($H293:$Y293,(TRANSPOSE(CP$2:CP$19)))</f>
        <v>520</v>
      </c>
      <c r="CQ293" s="1">
        <f t="array" ref="CQ293">SUMPRODUCT($H293:$Y293,(TRANSPOSE(CQ$2:CQ$19)))</f>
        <v>780</v>
      </c>
      <c r="CR293" s="1">
        <f t="array" ref="CR293">SUMPRODUCT($H293:$Y293,(TRANSPOSE(CR$2:CR$19)))</f>
        <v>1040</v>
      </c>
      <c r="CS293" s="1">
        <f t="array" ref="CS293">SUMPRODUCT($H293:$Y293,(TRANSPOSE(CS$2:CS$19)))</f>
        <v>1300</v>
      </c>
      <c r="CT293" s="1">
        <f t="array" ref="CT293">SUMPRODUCT($H293:$Y293,(TRANSPOSE(CT$2:CT$19)))</f>
        <v>1560</v>
      </c>
      <c r="CU293" s="1">
        <f t="array" ref="CU293">SUMPRODUCT($H293:$Y293,(TRANSPOSE(CU$2:CU$19)))</f>
        <v>1820</v>
      </c>
      <c r="CV293" s="1">
        <f t="array" ref="CV293">SUMPRODUCT($H293:$Y293,(TRANSPOSE(CV$2:CV$19)))</f>
        <v>2080</v>
      </c>
      <c r="CW293" s="1">
        <f t="array" ref="CW293">SUMPRODUCT($H293:$Y293,(TRANSPOSE(CW$2:CW$19)))</f>
        <v>2340</v>
      </c>
      <c r="CX293" s="1">
        <f t="array" ref="CX293">SUMPRODUCT($H293:$Y293,(TRANSPOSE(CX$2:CX$19)))</f>
        <v>2600</v>
      </c>
      <c r="CY293" s="1">
        <f t="array" ref="CY293">SUMPRODUCT($H293:$Y293,(TRANSPOSE(CY$2:CY$19)))</f>
        <v>2860</v>
      </c>
      <c r="CZ293" s="1">
        <f t="array" ref="CZ293">SUMPRODUCT($H293:$Y293,(TRANSPOSE(CZ$2:CZ$19)))</f>
        <v>3120</v>
      </c>
      <c r="DA293" s="1">
        <f t="array" ref="DA293">SUMPRODUCT($H293:$Y293,(TRANSPOSE(DA$2:DA$19)))</f>
        <v>3380</v>
      </c>
      <c r="DB293" s="1">
        <f t="array" ref="DB293">SUMPRODUCT($H293:$Y293,(TRANSPOSE(DB$2:DB$19)))</f>
        <v>0</v>
      </c>
      <c r="DC293" s="1">
        <f t="array" ref="DC293">SUMPRODUCT($H293:$Y293,(TRANSPOSE(DC$2:DC$19)))</f>
        <v>0</v>
      </c>
      <c r="DD293" s="1">
        <f t="array" ref="DD293">SUMPRODUCT($H293:$Y293,(TRANSPOSE(DD$2:DD$19)))</f>
        <v>0</v>
      </c>
    </row>
    <row r="294" spans="1:108" x14ac:dyDescent="0.2">
      <c r="A294" s="1">
        <v>361</v>
      </c>
      <c r="B294" s="10" t="s">
        <v>127</v>
      </c>
      <c r="C294" s="1" t="s">
        <v>22</v>
      </c>
      <c r="D294" s="1">
        <v>732400080</v>
      </c>
      <c r="F294" s="1" t="s">
        <v>126</v>
      </c>
      <c r="G294" s="1" t="s">
        <v>125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0.05</v>
      </c>
      <c r="S294" s="1">
        <v>0.05</v>
      </c>
      <c r="T294" s="1">
        <v>0</v>
      </c>
      <c r="U294" s="1">
        <v>0</v>
      </c>
      <c r="V294" s="1">
        <v>0.05</v>
      </c>
      <c r="W294" s="1">
        <v>0.05</v>
      </c>
      <c r="X294" s="1">
        <v>0</v>
      </c>
      <c r="Y294" s="1">
        <v>0</v>
      </c>
      <c r="Z294" s="1">
        <f>SUM(H294:Y294)</f>
        <v>0.2</v>
      </c>
      <c r="AA294" s="1">
        <f>SUMPRODUCT(H294:Y294,$H$16:$Y$16)</f>
        <v>182</v>
      </c>
      <c r="AB294" s="1" t="s">
        <v>124</v>
      </c>
      <c r="AC294" s="1">
        <v>30.61</v>
      </c>
      <c r="AD294" s="9"/>
      <c r="AE294" s="1" t="s">
        <v>28</v>
      </c>
      <c r="AF294" s="1">
        <f>AC294</f>
        <v>30.61</v>
      </c>
      <c r="AH294" s="1">
        <v>1</v>
      </c>
      <c r="AK294" s="1" t="s">
        <v>123</v>
      </c>
      <c r="AL294" s="1" t="s">
        <v>122</v>
      </c>
      <c r="AN294" s="2" t="s">
        <v>121</v>
      </c>
      <c r="BO294" s="1">
        <f>SUM($AP294,$AQ294:AQ294)-SUM($CK294:CL294)</f>
        <v>0</v>
      </c>
      <c r="BP294" s="1">
        <f>SUM($AP294,$AQ294:AR294)-SUM($CK294:CM294)</f>
        <v>0</v>
      </c>
      <c r="BQ294" s="1">
        <f>SUM($AP294,$AQ294:AS294)-SUM($CK294:CN294)</f>
        <v>0</v>
      </c>
      <c r="BR294" s="1">
        <f>SUM($AP294,$AQ294:AT294)-SUM($CK294:CO294)</f>
        <v>0</v>
      </c>
      <c r="BS294" s="1">
        <f>SUM($AP294,$AQ294:AU294)-SUM($CK294:CP294)</f>
        <v>-1</v>
      </c>
      <c r="BT294" s="1">
        <f>SUM($AP294,$AQ294:AV294)-SUM($CK294:CQ294)</f>
        <v>-4</v>
      </c>
      <c r="BU294" s="1">
        <f>SUM($AP294,$AQ294:AW294)-SUM($CK294:CR294)</f>
        <v>-9</v>
      </c>
      <c r="BV294" s="1">
        <f>SUM($AP294,$AQ294:AX294)-SUM($CK294:CS294)</f>
        <v>-16</v>
      </c>
      <c r="BW294" s="1">
        <f>SUM($AP294,$AQ294:AY294)-SUM($CK294:CT294)</f>
        <v>-25</v>
      </c>
      <c r="BX294" s="1">
        <f>SUM($AP294,$AQ294:AZ294)-SUM($CK294:CU294)</f>
        <v>-36</v>
      </c>
      <c r="BY294" s="1">
        <f>SUM($AP294,$AQ294:BA294)-SUM($CK294:CV294)</f>
        <v>-49</v>
      </c>
      <c r="BZ294" s="1">
        <f>SUM($AP294,$AQ294:BB294)-SUM($CK294:CW294)</f>
        <v>-64</v>
      </c>
      <c r="CA294" s="1">
        <f>SUM($AP294,$AQ294:BC294)-SUM($CK294:CX294)</f>
        <v>-81</v>
      </c>
      <c r="CB294" s="1">
        <f>SUM($AP294,$AQ294:BD294)-SUM($CK294:CY294)</f>
        <v>-100</v>
      </c>
      <c r="CC294" s="1">
        <f>SUM($AP294,$AQ294:BE294)-SUM($CK294:CZ294)</f>
        <v>-121</v>
      </c>
      <c r="CD294" s="1">
        <f>SUM($AP294,$AQ294:BF294)-SUM($CK294:DA294)</f>
        <v>-144</v>
      </c>
      <c r="CE294" s="1">
        <f>SUM($AP294,$AQ294:BG294)-SUM($CK294:DB294)</f>
        <v>-169</v>
      </c>
      <c r="CF294" s="1">
        <f>SUM($AP294,$AQ294:BH294)-SUM($CK294:DC294)</f>
        <v>-182</v>
      </c>
      <c r="CG294" s="1">
        <f>SUM($AP294,$AQ294:BI294)-SUM($CK294:DD294)</f>
        <v>-182</v>
      </c>
      <c r="CK294" s="1">
        <f t="array" ref="CK294">SUMPRODUCT($H294:$Y294,(TRANSPOSE(CK$2:CK$19)))</f>
        <v>0</v>
      </c>
      <c r="CL294" s="1">
        <f t="array" ref="CL294">SUMPRODUCT($H294:$Y294,(TRANSPOSE(CL$2:CL$19)))</f>
        <v>0</v>
      </c>
      <c r="CM294" s="1">
        <f t="array" ref="CM294">SUMPRODUCT($H294:$Y294,(TRANSPOSE(CM$2:CM$19)))</f>
        <v>0</v>
      </c>
      <c r="CN294" s="1">
        <f t="array" ref="CN294">SUMPRODUCT($H294:$Y294,(TRANSPOSE(CN$2:CN$19)))</f>
        <v>0</v>
      </c>
      <c r="CO294" s="1">
        <f t="array" ref="CO294">SUMPRODUCT($H294:$Y294,(TRANSPOSE(CO$2:CO$19)))</f>
        <v>0</v>
      </c>
      <c r="CP294" s="1">
        <f t="array" ref="CP294">SUMPRODUCT($H294:$Y294,(TRANSPOSE(CP$2:CP$19)))</f>
        <v>1</v>
      </c>
      <c r="CQ294" s="1">
        <f t="array" ref="CQ294">SUMPRODUCT($H294:$Y294,(TRANSPOSE(CQ$2:CQ$19)))</f>
        <v>3</v>
      </c>
      <c r="CR294" s="1">
        <f t="array" ref="CR294">SUMPRODUCT($H294:$Y294,(TRANSPOSE(CR$2:CR$19)))</f>
        <v>5</v>
      </c>
      <c r="CS294" s="1">
        <f t="array" ref="CS294">SUMPRODUCT($H294:$Y294,(TRANSPOSE(CS$2:CS$19)))</f>
        <v>7</v>
      </c>
      <c r="CT294" s="1">
        <f t="array" ref="CT294">SUMPRODUCT($H294:$Y294,(TRANSPOSE(CT$2:CT$19)))</f>
        <v>9</v>
      </c>
      <c r="CU294" s="1">
        <f t="array" ref="CU294">SUMPRODUCT($H294:$Y294,(TRANSPOSE(CU$2:CU$19)))</f>
        <v>11</v>
      </c>
      <c r="CV294" s="1">
        <f t="array" ref="CV294">SUMPRODUCT($H294:$Y294,(TRANSPOSE(CV$2:CV$19)))</f>
        <v>13</v>
      </c>
      <c r="CW294" s="1">
        <f t="array" ref="CW294">SUMPRODUCT($H294:$Y294,(TRANSPOSE(CW$2:CW$19)))</f>
        <v>15</v>
      </c>
      <c r="CX294" s="1">
        <f t="array" ref="CX294">SUMPRODUCT($H294:$Y294,(TRANSPOSE(CX$2:CX$19)))</f>
        <v>17</v>
      </c>
      <c r="CY294" s="1">
        <f t="array" ref="CY294">SUMPRODUCT($H294:$Y294,(TRANSPOSE(CY$2:CY$19)))</f>
        <v>19</v>
      </c>
      <c r="CZ294" s="1">
        <f t="array" ref="CZ294">SUMPRODUCT($H294:$Y294,(TRANSPOSE(CZ$2:CZ$19)))</f>
        <v>21</v>
      </c>
      <c r="DA294" s="1">
        <f t="array" ref="DA294">SUMPRODUCT($H294:$Y294,(TRANSPOSE(DA$2:DA$19)))</f>
        <v>23</v>
      </c>
      <c r="DB294" s="1">
        <f t="array" ref="DB294">SUMPRODUCT($H294:$Y294,(TRANSPOSE(DB$2:DB$19)))</f>
        <v>25</v>
      </c>
      <c r="DC294" s="1">
        <f t="array" ref="DC294">SUMPRODUCT($H294:$Y294,(TRANSPOSE(DC$2:DC$19)))</f>
        <v>13</v>
      </c>
      <c r="DD294" s="1">
        <f t="array" ref="DD294">SUMPRODUCT($H294:$Y294,(TRANSPOSE(DD$2:DD$19)))</f>
        <v>0</v>
      </c>
    </row>
    <row r="295" spans="1:108" x14ac:dyDescent="0.2">
      <c r="A295" s="1">
        <v>366</v>
      </c>
      <c r="B295" s="10" t="s">
        <v>120</v>
      </c>
      <c r="C295" s="1" t="s">
        <v>38</v>
      </c>
      <c r="D295" s="1">
        <v>400607645</v>
      </c>
      <c r="F295" s="1" t="s">
        <v>119</v>
      </c>
      <c r="G295" s="1" t="s">
        <v>20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64</v>
      </c>
      <c r="U295" s="1">
        <v>0</v>
      </c>
      <c r="V295" s="1">
        <v>0</v>
      </c>
      <c r="W295" s="1">
        <v>0</v>
      </c>
      <c r="X295" s="1">
        <v>64</v>
      </c>
      <c r="Y295" s="1">
        <v>0</v>
      </c>
      <c r="Z295" s="1">
        <f>SUM(H295:Y295)</f>
        <v>128</v>
      </c>
      <c r="AA295" s="1">
        <f>SUMPRODUCT(H295:Y295,$H$16:$Y$16)</f>
        <v>116480</v>
      </c>
      <c r="AB295" s="1" t="s">
        <v>118</v>
      </c>
      <c r="AC295" s="1">
        <v>0.86</v>
      </c>
      <c r="AD295" s="9"/>
      <c r="AE295" s="1" t="s">
        <v>28</v>
      </c>
      <c r="AF295" s="1">
        <f>AC295</f>
        <v>0.86</v>
      </c>
      <c r="AH295" s="1">
        <v>50</v>
      </c>
      <c r="AK295" s="1" t="s">
        <v>117</v>
      </c>
      <c r="AL295" s="13" t="s">
        <v>116</v>
      </c>
      <c r="AM295" s="13" t="s">
        <v>115</v>
      </c>
      <c r="AN295" s="15" t="s">
        <v>114</v>
      </c>
      <c r="BO295" s="1">
        <f>SUM($AP295,$AQ295:AQ295)-SUM($CK295:CL295)</f>
        <v>0</v>
      </c>
      <c r="BP295" s="1">
        <f>SUM($AP295,$AQ295:AR295)-SUM($CK295:CM295)</f>
        <v>0</v>
      </c>
      <c r="BQ295" s="1">
        <f>SUM($AP295,$AQ295:AS295)-SUM($CK295:CN295)</f>
        <v>0</v>
      </c>
      <c r="BR295" s="1">
        <f>SUM($AP295,$AQ295:AT295)-SUM($CK295:CO295)</f>
        <v>-1280</v>
      </c>
      <c r="BS295" s="1">
        <f>SUM($AP295,$AQ295:AU295)-SUM($CK295:CP295)</f>
        <v>-3840</v>
      </c>
      <c r="BT295" s="1">
        <f>SUM($AP295,$AQ295:AV295)-SUM($CK295:CQ295)</f>
        <v>-7680</v>
      </c>
      <c r="BU295" s="1">
        <f>SUM($AP295,$AQ295:AW295)-SUM($CK295:CR295)</f>
        <v>-12800</v>
      </c>
      <c r="BV295" s="1">
        <f>SUM($AP295,$AQ295:AX295)-SUM($CK295:CS295)</f>
        <v>-19200</v>
      </c>
      <c r="BW295" s="1">
        <f>SUM($AP295,$AQ295:AY295)-SUM($CK295:CT295)</f>
        <v>-26880</v>
      </c>
      <c r="BX295" s="1">
        <f>SUM($AP295,$AQ295:AZ295)-SUM($CK295:CU295)</f>
        <v>-35840</v>
      </c>
      <c r="BY295" s="1">
        <f>SUM($AP295,$AQ295:BA295)-SUM($CK295:CV295)</f>
        <v>-46080</v>
      </c>
      <c r="BZ295" s="1">
        <f>SUM($AP295,$AQ295:BB295)-SUM($CK295:CW295)</f>
        <v>-57600</v>
      </c>
      <c r="CA295" s="1">
        <f>SUM($AP295,$AQ295:BC295)-SUM($CK295:CX295)</f>
        <v>-70400</v>
      </c>
      <c r="CB295" s="1">
        <f>SUM($AP295,$AQ295:BD295)-SUM($CK295:CY295)</f>
        <v>-84480</v>
      </c>
      <c r="CC295" s="1">
        <f>SUM($AP295,$AQ295:BE295)-SUM($CK295:CZ295)</f>
        <v>-99840</v>
      </c>
      <c r="CD295" s="1">
        <f>SUM($AP295,$AQ295:BF295)-SUM($CK295:DA295)</f>
        <v>-116480</v>
      </c>
      <c r="CE295" s="1">
        <f>SUM($AP295,$AQ295:BG295)-SUM($CK295:DB295)</f>
        <v>-116480</v>
      </c>
      <c r="CF295" s="1">
        <f>SUM($AP295,$AQ295:BH295)-SUM($CK295:DC295)</f>
        <v>-116480</v>
      </c>
      <c r="CG295" s="1">
        <f>SUM($AP295,$AQ295:BI295)-SUM($CK295:DD295)</f>
        <v>-116480</v>
      </c>
      <c r="CK295" s="1">
        <f t="array" ref="CK295">SUMPRODUCT($H295:$Y295,(TRANSPOSE(CK$2:CK$19)))</f>
        <v>0</v>
      </c>
      <c r="CL295" s="1">
        <f t="array" ref="CL295">SUMPRODUCT($H295:$Y295,(TRANSPOSE(CL$2:CL$19)))</f>
        <v>0</v>
      </c>
      <c r="CM295" s="1">
        <f t="array" ref="CM295">SUMPRODUCT($H295:$Y295,(TRANSPOSE(CM$2:CM$19)))</f>
        <v>0</v>
      </c>
      <c r="CN295" s="1">
        <f t="array" ref="CN295">SUMPRODUCT($H295:$Y295,(TRANSPOSE(CN$2:CN$19)))</f>
        <v>0</v>
      </c>
      <c r="CO295" s="1">
        <f t="array" ref="CO295">SUMPRODUCT($H295:$Y295,(TRANSPOSE(CO$2:CO$19)))</f>
        <v>1280</v>
      </c>
      <c r="CP295" s="1">
        <f t="array" ref="CP295">SUMPRODUCT($H295:$Y295,(TRANSPOSE(CP$2:CP$19)))</f>
        <v>2560</v>
      </c>
      <c r="CQ295" s="1">
        <f t="array" ref="CQ295">SUMPRODUCT($H295:$Y295,(TRANSPOSE(CQ$2:CQ$19)))</f>
        <v>3840</v>
      </c>
      <c r="CR295" s="1">
        <f t="array" ref="CR295">SUMPRODUCT($H295:$Y295,(TRANSPOSE(CR$2:CR$19)))</f>
        <v>5120</v>
      </c>
      <c r="CS295" s="1">
        <f t="array" ref="CS295">SUMPRODUCT($H295:$Y295,(TRANSPOSE(CS$2:CS$19)))</f>
        <v>6400</v>
      </c>
      <c r="CT295" s="1">
        <f t="array" ref="CT295">SUMPRODUCT($H295:$Y295,(TRANSPOSE(CT$2:CT$19)))</f>
        <v>7680</v>
      </c>
      <c r="CU295" s="1">
        <f t="array" ref="CU295">SUMPRODUCT($H295:$Y295,(TRANSPOSE(CU$2:CU$19)))</f>
        <v>8960</v>
      </c>
      <c r="CV295" s="1">
        <f t="array" ref="CV295">SUMPRODUCT($H295:$Y295,(TRANSPOSE(CV$2:CV$19)))</f>
        <v>10240</v>
      </c>
      <c r="CW295" s="1">
        <f t="array" ref="CW295">SUMPRODUCT($H295:$Y295,(TRANSPOSE(CW$2:CW$19)))</f>
        <v>11520</v>
      </c>
      <c r="CX295" s="1">
        <f t="array" ref="CX295">SUMPRODUCT($H295:$Y295,(TRANSPOSE(CX$2:CX$19)))</f>
        <v>12800</v>
      </c>
      <c r="CY295" s="1">
        <f t="array" ref="CY295">SUMPRODUCT($H295:$Y295,(TRANSPOSE(CY$2:CY$19)))</f>
        <v>14080</v>
      </c>
      <c r="CZ295" s="1">
        <f t="array" ref="CZ295">SUMPRODUCT($H295:$Y295,(TRANSPOSE(CZ$2:CZ$19)))</f>
        <v>15360</v>
      </c>
      <c r="DA295" s="1">
        <f t="array" ref="DA295">SUMPRODUCT($H295:$Y295,(TRANSPOSE(DA$2:DA$19)))</f>
        <v>16640</v>
      </c>
      <c r="DB295" s="1">
        <f t="array" ref="DB295">SUMPRODUCT($H295:$Y295,(TRANSPOSE(DB$2:DB$19)))</f>
        <v>0</v>
      </c>
      <c r="DC295" s="1">
        <f t="array" ref="DC295">SUMPRODUCT($H295:$Y295,(TRANSPOSE(DC$2:DC$19)))</f>
        <v>0</v>
      </c>
      <c r="DD295" s="1">
        <f t="array" ref="DD295">SUMPRODUCT($H295:$Y295,(TRANSPOSE(DD$2:DD$19)))</f>
        <v>0</v>
      </c>
    </row>
    <row r="296" spans="1:108" x14ac:dyDescent="0.2">
      <c r="A296" s="1">
        <v>367</v>
      </c>
      <c r="B296" s="10" t="s">
        <v>113</v>
      </c>
      <c r="C296" s="1" t="s">
        <v>22</v>
      </c>
      <c r="D296" s="1">
        <v>400237666</v>
      </c>
      <c r="F296" s="1" t="s">
        <v>112</v>
      </c>
      <c r="G296" s="1" t="s">
        <v>20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4</v>
      </c>
      <c r="U296" s="1">
        <v>0</v>
      </c>
      <c r="V296" s="1">
        <v>0</v>
      </c>
      <c r="W296" s="1">
        <v>0</v>
      </c>
      <c r="X296" s="1">
        <v>4</v>
      </c>
      <c r="Y296" s="1">
        <v>0</v>
      </c>
      <c r="Z296" s="1">
        <f>SUM(H296:Y296)</f>
        <v>8</v>
      </c>
      <c r="AA296" s="1">
        <f>SUMPRODUCT(H296:Y296,$H$16:$Y$16)</f>
        <v>7280</v>
      </c>
      <c r="AB296" s="1" t="s">
        <v>109</v>
      </c>
      <c r="AC296" s="1">
        <v>9.64</v>
      </c>
      <c r="AD296" s="9"/>
      <c r="AE296" s="1" t="s">
        <v>28</v>
      </c>
      <c r="AF296" s="1">
        <f>AC296</f>
        <v>9.64</v>
      </c>
      <c r="AG296" s="1">
        <v>0</v>
      </c>
      <c r="AH296" s="1">
        <v>200</v>
      </c>
      <c r="AK296" s="1" t="s">
        <v>109</v>
      </c>
      <c r="AL296" s="1" t="s">
        <v>108</v>
      </c>
      <c r="AM296" s="1" t="s">
        <v>107</v>
      </c>
      <c r="AN296" s="2" t="s">
        <v>106</v>
      </c>
      <c r="BO296" s="1">
        <f>SUM($AP296,$AQ296:AQ296)-SUM($CK296:CL296)</f>
        <v>0</v>
      </c>
      <c r="BP296" s="1">
        <f>SUM($AP296,$AQ296:AR296)-SUM($CK296:CM296)</f>
        <v>0</v>
      </c>
      <c r="BQ296" s="1">
        <f>SUM($AP296,$AQ296:AS296)-SUM($CK296:CN296)</f>
        <v>0</v>
      </c>
      <c r="BR296" s="1">
        <f>SUM($AP296,$AQ296:AT296)-SUM($CK296:CO296)</f>
        <v>-80</v>
      </c>
      <c r="BS296" s="1">
        <f>SUM($AP296,$AQ296:AU296)-SUM($CK296:CP296)</f>
        <v>-240</v>
      </c>
      <c r="BT296" s="1">
        <f>SUM($AP296,$AQ296:AV296)-SUM($CK296:CQ296)</f>
        <v>-480</v>
      </c>
      <c r="BU296" s="1">
        <f>SUM($AP296,$AQ296:AW296)-SUM($CK296:CR296)</f>
        <v>-800</v>
      </c>
      <c r="BV296" s="1">
        <f>SUM($AP296,$AQ296:AX296)-SUM($CK296:CS296)</f>
        <v>-1200</v>
      </c>
      <c r="BW296" s="1">
        <f>SUM($AP296,$AQ296:AY296)-SUM($CK296:CT296)</f>
        <v>-1680</v>
      </c>
      <c r="BX296" s="1">
        <f>SUM($AP296,$AQ296:AZ296)-SUM($CK296:CU296)</f>
        <v>-2240</v>
      </c>
      <c r="BY296" s="1">
        <f>SUM($AP296,$AQ296:BA296)-SUM($CK296:CV296)</f>
        <v>-2880</v>
      </c>
      <c r="BZ296" s="1">
        <f>SUM($AP296,$AQ296:BB296)-SUM($CK296:CW296)</f>
        <v>-3600</v>
      </c>
      <c r="CA296" s="1">
        <f>SUM($AP296,$AQ296:BC296)-SUM($CK296:CX296)</f>
        <v>-4400</v>
      </c>
      <c r="CB296" s="1">
        <f>SUM($AP296,$AQ296:BD296)-SUM($CK296:CY296)</f>
        <v>-5280</v>
      </c>
      <c r="CC296" s="1">
        <f>SUM($AP296,$AQ296:BE296)-SUM($CK296:CZ296)</f>
        <v>-6240</v>
      </c>
      <c r="CD296" s="1">
        <f>SUM($AP296,$AQ296:BF296)-SUM($CK296:DA296)</f>
        <v>-7280</v>
      </c>
      <c r="CE296" s="1">
        <f>SUM($AP296,$AQ296:BG296)-SUM($CK296:DB296)</f>
        <v>-7280</v>
      </c>
      <c r="CF296" s="1">
        <f>SUM($AP296,$AQ296:BH296)-SUM($CK296:DC296)</f>
        <v>-7280</v>
      </c>
      <c r="CG296" s="1">
        <f>SUM($AP296,$AQ296:BI296)-SUM($CK296:DD296)</f>
        <v>-7280</v>
      </c>
      <c r="CK296" s="1">
        <f t="array" ref="CK296">SUMPRODUCT($H296:$Y296,(TRANSPOSE(CK$2:CK$19)))</f>
        <v>0</v>
      </c>
      <c r="CL296" s="1">
        <f t="array" ref="CL296">SUMPRODUCT($H296:$Y296,(TRANSPOSE(CL$2:CL$19)))</f>
        <v>0</v>
      </c>
      <c r="CM296" s="1">
        <f t="array" ref="CM296">SUMPRODUCT($H296:$Y296,(TRANSPOSE(CM$2:CM$19)))</f>
        <v>0</v>
      </c>
      <c r="CN296" s="1">
        <f t="array" ref="CN296">SUMPRODUCT($H296:$Y296,(TRANSPOSE(CN$2:CN$19)))</f>
        <v>0</v>
      </c>
      <c r="CO296" s="1">
        <f t="array" ref="CO296">SUMPRODUCT($H296:$Y296,(TRANSPOSE(CO$2:CO$19)))</f>
        <v>80</v>
      </c>
      <c r="CP296" s="1">
        <f t="array" ref="CP296">SUMPRODUCT($H296:$Y296,(TRANSPOSE(CP$2:CP$19)))</f>
        <v>160</v>
      </c>
      <c r="CQ296" s="1">
        <f t="array" ref="CQ296">SUMPRODUCT($H296:$Y296,(TRANSPOSE(CQ$2:CQ$19)))</f>
        <v>240</v>
      </c>
      <c r="CR296" s="1">
        <f t="array" ref="CR296">SUMPRODUCT($H296:$Y296,(TRANSPOSE(CR$2:CR$19)))</f>
        <v>320</v>
      </c>
      <c r="CS296" s="1">
        <f t="array" ref="CS296">SUMPRODUCT($H296:$Y296,(TRANSPOSE(CS$2:CS$19)))</f>
        <v>400</v>
      </c>
      <c r="CT296" s="1">
        <f t="array" ref="CT296">SUMPRODUCT($H296:$Y296,(TRANSPOSE(CT$2:CT$19)))</f>
        <v>480</v>
      </c>
      <c r="CU296" s="1">
        <f t="array" ref="CU296">SUMPRODUCT($H296:$Y296,(TRANSPOSE(CU$2:CU$19)))</f>
        <v>560</v>
      </c>
      <c r="CV296" s="1">
        <f t="array" ref="CV296">SUMPRODUCT($H296:$Y296,(TRANSPOSE(CV$2:CV$19)))</f>
        <v>640</v>
      </c>
      <c r="CW296" s="1">
        <f t="array" ref="CW296">SUMPRODUCT($H296:$Y296,(TRANSPOSE(CW$2:CW$19)))</f>
        <v>720</v>
      </c>
      <c r="CX296" s="1">
        <f t="array" ref="CX296">SUMPRODUCT($H296:$Y296,(TRANSPOSE(CX$2:CX$19)))</f>
        <v>800</v>
      </c>
      <c r="CY296" s="1">
        <f t="array" ref="CY296">SUMPRODUCT($H296:$Y296,(TRANSPOSE(CY$2:CY$19)))</f>
        <v>880</v>
      </c>
      <c r="CZ296" s="1">
        <f t="array" ref="CZ296">SUMPRODUCT($H296:$Y296,(TRANSPOSE(CZ$2:CZ$19)))</f>
        <v>960</v>
      </c>
      <c r="DA296" s="1">
        <f t="array" ref="DA296">SUMPRODUCT($H296:$Y296,(TRANSPOSE(DA$2:DA$19)))</f>
        <v>1040</v>
      </c>
      <c r="DB296" s="1">
        <f t="array" ref="DB296">SUMPRODUCT($H296:$Y296,(TRANSPOSE(DB$2:DB$19)))</f>
        <v>0</v>
      </c>
      <c r="DC296" s="1">
        <f t="array" ref="DC296">SUMPRODUCT($H296:$Y296,(TRANSPOSE(DC$2:DC$19)))</f>
        <v>0</v>
      </c>
      <c r="DD296" s="1">
        <f t="array" ref="DD296">SUMPRODUCT($H296:$Y296,(TRANSPOSE(DD$2:DD$19)))</f>
        <v>0</v>
      </c>
    </row>
    <row r="297" spans="1:108" x14ac:dyDescent="0.2">
      <c r="A297" s="1">
        <v>368</v>
      </c>
      <c r="B297" s="10" t="s">
        <v>111</v>
      </c>
      <c r="C297" s="1" t="s">
        <v>22</v>
      </c>
      <c r="D297" s="1">
        <v>400236682</v>
      </c>
      <c r="F297" s="1" t="s">
        <v>110</v>
      </c>
      <c r="G297" s="1" t="s">
        <v>20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4</v>
      </c>
      <c r="V297" s="1">
        <v>0</v>
      </c>
      <c r="W297" s="1">
        <v>0</v>
      </c>
      <c r="X297" s="1">
        <v>0</v>
      </c>
      <c r="Y297" s="1">
        <v>4</v>
      </c>
      <c r="Z297" s="1">
        <f>SUM(H297:Y297)</f>
        <v>8</v>
      </c>
      <c r="AA297" s="1">
        <f>SUMPRODUCT(H297:Y297,$H$16:$Y$16)</f>
        <v>7280</v>
      </c>
      <c r="AB297" s="1" t="s">
        <v>109</v>
      </c>
      <c r="AC297" s="1">
        <v>10.41</v>
      </c>
      <c r="AD297" s="9"/>
      <c r="AE297" s="1" t="s">
        <v>28</v>
      </c>
      <c r="AF297" s="1">
        <f>AC297</f>
        <v>10.41</v>
      </c>
      <c r="AG297" s="1">
        <v>0</v>
      </c>
      <c r="AH297" s="1">
        <v>200</v>
      </c>
      <c r="AK297" s="1" t="s">
        <v>109</v>
      </c>
      <c r="AL297" s="1" t="s">
        <v>108</v>
      </c>
      <c r="AM297" s="1" t="s">
        <v>107</v>
      </c>
      <c r="AN297" s="2" t="s">
        <v>106</v>
      </c>
      <c r="BO297" s="1">
        <f>SUM($AP297,$AQ297:AQ297)-SUM($CK297:CL297)</f>
        <v>0</v>
      </c>
      <c r="BP297" s="1">
        <f>SUM($AP297,$AQ297:AR297)-SUM($CK297:CM297)</f>
        <v>0</v>
      </c>
      <c r="BQ297" s="1">
        <f>SUM($AP297,$AQ297:AS297)-SUM($CK297:CN297)</f>
        <v>0</v>
      </c>
      <c r="BR297" s="1">
        <f>SUM($AP297,$AQ297:AT297)-SUM($CK297:CO297)</f>
        <v>-80</v>
      </c>
      <c r="BS297" s="1">
        <f>SUM($AP297,$AQ297:AU297)-SUM($CK297:CP297)</f>
        <v>-240</v>
      </c>
      <c r="BT297" s="1">
        <f>SUM($AP297,$AQ297:AV297)-SUM($CK297:CQ297)</f>
        <v>-480</v>
      </c>
      <c r="BU297" s="1">
        <f>SUM($AP297,$AQ297:AW297)-SUM($CK297:CR297)</f>
        <v>-800</v>
      </c>
      <c r="BV297" s="1">
        <f>SUM($AP297,$AQ297:AX297)-SUM($CK297:CS297)</f>
        <v>-1200</v>
      </c>
      <c r="BW297" s="1">
        <f>SUM($AP297,$AQ297:AY297)-SUM($CK297:CT297)</f>
        <v>-1680</v>
      </c>
      <c r="BX297" s="1">
        <f>SUM($AP297,$AQ297:AZ297)-SUM($CK297:CU297)</f>
        <v>-2240</v>
      </c>
      <c r="BY297" s="1">
        <f>SUM($AP297,$AQ297:BA297)-SUM($CK297:CV297)</f>
        <v>-2880</v>
      </c>
      <c r="BZ297" s="1">
        <f>SUM($AP297,$AQ297:BB297)-SUM($CK297:CW297)</f>
        <v>-3600</v>
      </c>
      <c r="CA297" s="1">
        <f>SUM($AP297,$AQ297:BC297)-SUM($CK297:CX297)</f>
        <v>-4400</v>
      </c>
      <c r="CB297" s="1">
        <f>SUM($AP297,$AQ297:BD297)-SUM($CK297:CY297)</f>
        <v>-5280</v>
      </c>
      <c r="CC297" s="1">
        <f>SUM($AP297,$AQ297:BE297)-SUM($CK297:CZ297)</f>
        <v>-6240</v>
      </c>
      <c r="CD297" s="1">
        <f>SUM($AP297,$AQ297:BF297)-SUM($CK297:DA297)</f>
        <v>-7280</v>
      </c>
      <c r="CE297" s="1">
        <f>SUM($AP297,$AQ297:BG297)-SUM($CK297:DB297)</f>
        <v>-7280</v>
      </c>
      <c r="CF297" s="1">
        <f>SUM($AP297,$AQ297:BH297)-SUM($CK297:DC297)</f>
        <v>-7280</v>
      </c>
      <c r="CG297" s="1">
        <f>SUM($AP297,$AQ297:BI297)-SUM($CK297:DD297)</f>
        <v>-7280</v>
      </c>
      <c r="CK297" s="1">
        <f t="array" ref="CK297">SUMPRODUCT($H297:$Y297,(TRANSPOSE(CK$2:CK$19)))</f>
        <v>0</v>
      </c>
      <c r="CL297" s="1">
        <f t="array" ref="CL297">SUMPRODUCT($H297:$Y297,(TRANSPOSE(CL$2:CL$19)))</f>
        <v>0</v>
      </c>
      <c r="CM297" s="1">
        <f t="array" ref="CM297">SUMPRODUCT($H297:$Y297,(TRANSPOSE(CM$2:CM$19)))</f>
        <v>0</v>
      </c>
      <c r="CN297" s="1">
        <f t="array" ref="CN297">SUMPRODUCT($H297:$Y297,(TRANSPOSE(CN$2:CN$19)))</f>
        <v>0</v>
      </c>
      <c r="CO297" s="1">
        <f t="array" ref="CO297">SUMPRODUCT($H297:$Y297,(TRANSPOSE(CO$2:CO$19)))</f>
        <v>80</v>
      </c>
      <c r="CP297" s="1">
        <f t="array" ref="CP297">SUMPRODUCT($H297:$Y297,(TRANSPOSE(CP$2:CP$19)))</f>
        <v>160</v>
      </c>
      <c r="CQ297" s="1">
        <f t="array" ref="CQ297">SUMPRODUCT($H297:$Y297,(TRANSPOSE(CQ$2:CQ$19)))</f>
        <v>240</v>
      </c>
      <c r="CR297" s="1">
        <f t="array" ref="CR297">SUMPRODUCT($H297:$Y297,(TRANSPOSE(CR$2:CR$19)))</f>
        <v>320</v>
      </c>
      <c r="CS297" s="1">
        <f t="array" ref="CS297">SUMPRODUCT($H297:$Y297,(TRANSPOSE(CS$2:CS$19)))</f>
        <v>400</v>
      </c>
      <c r="CT297" s="1">
        <f t="array" ref="CT297">SUMPRODUCT($H297:$Y297,(TRANSPOSE(CT$2:CT$19)))</f>
        <v>480</v>
      </c>
      <c r="CU297" s="1">
        <f t="array" ref="CU297">SUMPRODUCT($H297:$Y297,(TRANSPOSE(CU$2:CU$19)))</f>
        <v>560</v>
      </c>
      <c r="CV297" s="1">
        <f t="array" ref="CV297">SUMPRODUCT($H297:$Y297,(TRANSPOSE(CV$2:CV$19)))</f>
        <v>640</v>
      </c>
      <c r="CW297" s="1">
        <f t="array" ref="CW297">SUMPRODUCT($H297:$Y297,(TRANSPOSE(CW$2:CW$19)))</f>
        <v>720</v>
      </c>
      <c r="CX297" s="1">
        <f t="array" ref="CX297">SUMPRODUCT($H297:$Y297,(TRANSPOSE(CX$2:CX$19)))</f>
        <v>800</v>
      </c>
      <c r="CY297" s="1">
        <f t="array" ref="CY297">SUMPRODUCT($H297:$Y297,(TRANSPOSE(CY$2:CY$19)))</f>
        <v>880</v>
      </c>
      <c r="CZ297" s="1">
        <f t="array" ref="CZ297">SUMPRODUCT($H297:$Y297,(TRANSPOSE(CZ$2:CZ$19)))</f>
        <v>960</v>
      </c>
      <c r="DA297" s="1">
        <f t="array" ref="DA297">SUMPRODUCT($H297:$Y297,(TRANSPOSE(DA$2:DA$19)))</f>
        <v>1040</v>
      </c>
      <c r="DB297" s="1">
        <f t="array" ref="DB297">SUMPRODUCT($H297:$Y297,(TRANSPOSE(DB$2:DB$19)))</f>
        <v>0</v>
      </c>
      <c r="DC297" s="1">
        <f t="array" ref="DC297">SUMPRODUCT($H297:$Y297,(TRANSPOSE(DC$2:DC$19)))</f>
        <v>0</v>
      </c>
      <c r="DD297" s="1">
        <f t="array" ref="DD297">SUMPRODUCT($H297:$Y297,(TRANSPOSE(DD$2:DD$19)))</f>
        <v>0</v>
      </c>
    </row>
    <row r="298" spans="1:108" x14ac:dyDescent="0.2">
      <c r="A298" s="1">
        <v>369</v>
      </c>
      <c r="B298" s="10" t="s">
        <v>105</v>
      </c>
      <c r="C298" s="1" t="s">
        <v>22</v>
      </c>
      <c r="D298" s="1">
        <v>409729294</v>
      </c>
      <c r="F298" s="1" t="s">
        <v>104</v>
      </c>
      <c r="G298" s="1" t="s">
        <v>20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68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f>SUM(H298:Y298)</f>
        <v>68</v>
      </c>
      <c r="AA298" s="1">
        <f>SUMPRODUCT(H298:Y298,$H$16:$Y$16)</f>
        <v>61880</v>
      </c>
      <c r="AB298" s="1" t="s">
        <v>103</v>
      </c>
      <c r="AC298" s="1">
        <v>0.67</v>
      </c>
      <c r="AD298" s="9"/>
      <c r="AE298" s="1" t="s">
        <v>28</v>
      </c>
      <c r="AF298" s="1">
        <f>AC298</f>
        <v>0.67</v>
      </c>
      <c r="AG298" s="1">
        <v>3000</v>
      </c>
      <c r="AH298" s="1">
        <v>3000</v>
      </c>
      <c r="AI298" s="1">
        <v>20</v>
      </c>
      <c r="AK298" s="1" t="s">
        <v>89</v>
      </c>
      <c r="AL298" s="1" t="s">
        <v>88</v>
      </c>
      <c r="AM298" s="1" t="s">
        <v>87</v>
      </c>
      <c r="AN298" s="2" t="s">
        <v>86</v>
      </c>
      <c r="BO298" s="1">
        <f>SUM($AP298,$AQ298:AQ298)-SUM($CK298:CL298)</f>
        <v>0</v>
      </c>
      <c r="BP298" s="1">
        <f>SUM($AP298,$AQ298:AR298)-SUM($CK298:CM298)</f>
        <v>0</v>
      </c>
      <c r="BQ298" s="1">
        <f>SUM($AP298,$AQ298:AS298)-SUM($CK298:CN298)</f>
        <v>0</v>
      </c>
      <c r="BR298" s="1">
        <f>SUM($AP298,$AQ298:AT298)-SUM($CK298:CO298)</f>
        <v>-680</v>
      </c>
      <c r="BS298" s="1">
        <f>SUM($AP298,$AQ298:AU298)-SUM($CK298:CP298)</f>
        <v>-2040</v>
      </c>
      <c r="BT298" s="1">
        <f>SUM($AP298,$AQ298:AV298)-SUM($CK298:CQ298)</f>
        <v>-4080</v>
      </c>
      <c r="BU298" s="1">
        <f>SUM($AP298,$AQ298:AW298)-SUM($CK298:CR298)</f>
        <v>-6800</v>
      </c>
      <c r="BV298" s="1">
        <f>SUM($AP298,$AQ298:AX298)-SUM($CK298:CS298)</f>
        <v>-10200</v>
      </c>
      <c r="BW298" s="1">
        <f>SUM($AP298,$AQ298:AY298)-SUM($CK298:CT298)</f>
        <v>-14280</v>
      </c>
      <c r="BX298" s="1">
        <f>SUM($AP298,$AQ298:AZ298)-SUM($CK298:CU298)</f>
        <v>-19040</v>
      </c>
      <c r="BY298" s="1">
        <f>SUM($AP298,$AQ298:BA298)-SUM($CK298:CV298)</f>
        <v>-24480</v>
      </c>
      <c r="BZ298" s="1">
        <f>SUM($AP298,$AQ298:BB298)-SUM($CK298:CW298)</f>
        <v>-30600</v>
      </c>
      <c r="CA298" s="1">
        <f>SUM($AP298,$AQ298:BC298)-SUM($CK298:CX298)</f>
        <v>-37400</v>
      </c>
      <c r="CB298" s="1">
        <f>SUM($AP298,$AQ298:BD298)-SUM($CK298:CY298)</f>
        <v>-44880</v>
      </c>
      <c r="CC298" s="1">
        <f>SUM($AP298,$AQ298:BE298)-SUM($CK298:CZ298)</f>
        <v>-53040</v>
      </c>
      <c r="CD298" s="1">
        <f>SUM($AP298,$AQ298:BF298)-SUM($CK298:DA298)</f>
        <v>-61880</v>
      </c>
      <c r="CE298" s="1">
        <f>SUM($AP298,$AQ298:BG298)-SUM($CK298:DB298)</f>
        <v>-61880</v>
      </c>
      <c r="CF298" s="1">
        <f>SUM($AP298,$AQ298:BH298)-SUM($CK298:DC298)</f>
        <v>-61880</v>
      </c>
      <c r="CG298" s="1">
        <f>SUM($AP298,$AQ298:BI298)-SUM($CK298:DD298)</f>
        <v>-61880</v>
      </c>
      <c r="CK298" s="1">
        <f t="array" ref="CK298">SUMPRODUCT($H298:$Y298,(TRANSPOSE(CK$2:CK$19)))</f>
        <v>0</v>
      </c>
      <c r="CL298" s="1">
        <f t="array" ref="CL298">SUMPRODUCT($H298:$Y298,(TRANSPOSE(CL$2:CL$19)))</f>
        <v>0</v>
      </c>
      <c r="CM298" s="1">
        <f t="array" ref="CM298">SUMPRODUCT($H298:$Y298,(TRANSPOSE(CM$2:CM$19)))</f>
        <v>0</v>
      </c>
      <c r="CN298" s="1">
        <f t="array" ref="CN298">SUMPRODUCT($H298:$Y298,(TRANSPOSE(CN$2:CN$19)))</f>
        <v>0</v>
      </c>
      <c r="CO298" s="1">
        <f t="array" ref="CO298">SUMPRODUCT($H298:$Y298,(TRANSPOSE(CO$2:CO$19)))</f>
        <v>680</v>
      </c>
      <c r="CP298" s="1">
        <f t="array" ref="CP298">SUMPRODUCT($H298:$Y298,(TRANSPOSE(CP$2:CP$19)))</f>
        <v>1360</v>
      </c>
      <c r="CQ298" s="1">
        <f t="array" ref="CQ298">SUMPRODUCT($H298:$Y298,(TRANSPOSE(CQ$2:CQ$19)))</f>
        <v>2040</v>
      </c>
      <c r="CR298" s="1">
        <f t="array" ref="CR298">SUMPRODUCT($H298:$Y298,(TRANSPOSE(CR$2:CR$19)))</f>
        <v>2720</v>
      </c>
      <c r="CS298" s="1">
        <f t="array" ref="CS298">SUMPRODUCT($H298:$Y298,(TRANSPOSE(CS$2:CS$19)))</f>
        <v>3400</v>
      </c>
      <c r="CT298" s="1">
        <f t="array" ref="CT298">SUMPRODUCT($H298:$Y298,(TRANSPOSE(CT$2:CT$19)))</f>
        <v>4080</v>
      </c>
      <c r="CU298" s="1">
        <f t="array" ref="CU298">SUMPRODUCT($H298:$Y298,(TRANSPOSE(CU$2:CU$19)))</f>
        <v>4760</v>
      </c>
      <c r="CV298" s="1">
        <f t="array" ref="CV298">SUMPRODUCT($H298:$Y298,(TRANSPOSE(CV$2:CV$19)))</f>
        <v>5440</v>
      </c>
      <c r="CW298" s="1">
        <f t="array" ref="CW298">SUMPRODUCT($H298:$Y298,(TRANSPOSE(CW$2:CW$19)))</f>
        <v>6120</v>
      </c>
      <c r="CX298" s="1">
        <f t="array" ref="CX298">SUMPRODUCT($H298:$Y298,(TRANSPOSE(CX$2:CX$19)))</f>
        <v>6800</v>
      </c>
      <c r="CY298" s="1">
        <f t="array" ref="CY298">SUMPRODUCT($H298:$Y298,(TRANSPOSE(CY$2:CY$19)))</f>
        <v>7480</v>
      </c>
      <c r="CZ298" s="1">
        <f t="array" ref="CZ298">SUMPRODUCT($H298:$Y298,(TRANSPOSE(CZ$2:CZ$19)))</f>
        <v>8160</v>
      </c>
      <c r="DA298" s="1">
        <f t="array" ref="DA298">SUMPRODUCT($H298:$Y298,(TRANSPOSE(DA$2:DA$19)))</f>
        <v>8840</v>
      </c>
      <c r="DB298" s="1">
        <f t="array" ref="DB298">SUMPRODUCT($H298:$Y298,(TRANSPOSE(DB$2:DB$19)))</f>
        <v>0</v>
      </c>
      <c r="DC298" s="1">
        <f t="array" ref="DC298">SUMPRODUCT($H298:$Y298,(TRANSPOSE(DC$2:DC$19)))</f>
        <v>0</v>
      </c>
      <c r="DD298" s="1">
        <f t="array" ref="DD298">SUMPRODUCT($H298:$Y298,(TRANSPOSE(DD$2:DD$19)))</f>
        <v>0</v>
      </c>
    </row>
    <row r="299" spans="1:108" x14ac:dyDescent="0.2">
      <c r="A299" s="1">
        <v>370</v>
      </c>
      <c r="B299" s="10" t="s">
        <v>102</v>
      </c>
      <c r="C299" s="1" t="s">
        <v>22</v>
      </c>
      <c r="D299" s="1" t="s">
        <v>101</v>
      </c>
      <c r="E299" s="1">
        <v>401239990</v>
      </c>
      <c r="F299" s="1" t="s">
        <v>100</v>
      </c>
      <c r="G299" s="1" t="s">
        <v>20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2</v>
      </c>
      <c r="U299" s="1">
        <v>0</v>
      </c>
      <c r="V299" s="1">
        <v>0</v>
      </c>
      <c r="W299" s="1">
        <v>0</v>
      </c>
      <c r="X299" s="1">
        <v>2</v>
      </c>
      <c r="Y299" s="1">
        <v>0</v>
      </c>
      <c r="Z299" s="1">
        <f>SUM(H299:Y299)</f>
        <v>4</v>
      </c>
      <c r="AA299" s="1">
        <f>SUMPRODUCT(H299:Y299,$H$16:$Y$16)</f>
        <v>3640</v>
      </c>
      <c r="AB299" s="1" t="s">
        <v>99</v>
      </c>
      <c r="AC299" s="1">
        <v>4.7100000000000003E-2</v>
      </c>
      <c r="AD299" s="9"/>
      <c r="AE299" s="1" t="s">
        <v>28</v>
      </c>
      <c r="AF299" s="1">
        <f>AC299</f>
        <v>4.7100000000000003E-2</v>
      </c>
      <c r="AG299" s="1">
        <v>3000</v>
      </c>
      <c r="AH299" s="1">
        <v>3000</v>
      </c>
      <c r="AI299" s="1">
        <v>14</v>
      </c>
      <c r="AK299" s="1" t="s">
        <v>98</v>
      </c>
      <c r="AL299" s="1" t="s">
        <v>97</v>
      </c>
      <c r="AM299" s="1" t="s">
        <v>96</v>
      </c>
      <c r="AN299" s="2" t="s">
        <v>95</v>
      </c>
      <c r="AO299" s="1" t="s">
        <v>94</v>
      </c>
      <c r="BO299" s="1">
        <f>SUM($AP299,$AQ299:AQ299)-SUM($CK299:CL299)</f>
        <v>0</v>
      </c>
      <c r="BP299" s="1">
        <f>SUM($AP299,$AQ299:AR299)-SUM($CK299:CM299)</f>
        <v>0</v>
      </c>
      <c r="BQ299" s="1">
        <f>SUM($AP299,$AQ299:AS299)-SUM($CK299:CN299)</f>
        <v>0</v>
      </c>
      <c r="BR299" s="1">
        <f>SUM($AP299,$AQ299:AT299)-SUM($CK299:CO299)</f>
        <v>-40</v>
      </c>
      <c r="BS299" s="1">
        <f>SUM($AP299,$AQ299:AU299)-SUM($CK299:CP299)</f>
        <v>-120</v>
      </c>
      <c r="BT299" s="1">
        <f>SUM($AP299,$AQ299:AV299)-SUM($CK299:CQ299)</f>
        <v>-240</v>
      </c>
      <c r="BU299" s="1">
        <f>SUM($AP299,$AQ299:AW299)-SUM($CK299:CR299)</f>
        <v>-400</v>
      </c>
      <c r="BV299" s="1">
        <f>SUM($AP299,$AQ299:AX299)-SUM($CK299:CS299)</f>
        <v>-600</v>
      </c>
      <c r="BW299" s="1">
        <f>SUM($AP299,$AQ299:AY299)-SUM($CK299:CT299)</f>
        <v>-840</v>
      </c>
      <c r="BX299" s="1">
        <f>SUM($AP299,$AQ299:AZ299)-SUM($CK299:CU299)</f>
        <v>-1120</v>
      </c>
      <c r="BY299" s="1">
        <f>SUM($AP299,$AQ299:BA299)-SUM($CK299:CV299)</f>
        <v>-1440</v>
      </c>
      <c r="BZ299" s="1">
        <f>SUM($AP299,$AQ299:BB299)-SUM($CK299:CW299)</f>
        <v>-1800</v>
      </c>
      <c r="CA299" s="1">
        <f>SUM($AP299,$AQ299:BC299)-SUM($CK299:CX299)</f>
        <v>-2200</v>
      </c>
      <c r="CB299" s="1">
        <f>SUM($AP299,$AQ299:BD299)-SUM($CK299:CY299)</f>
        <v>-2640</v>
      </c>
      <c r="CC299" s="1">
        <f>SUM($AP299,$AQ299:BE299)-SUM($CK299:CZ299)</f>
        <v>-3120</v>
      </c>
      <c r="CD299" s="1">
        <f>SUM($AP299,$AQ299:BF299)-SUM($CK299:DA299)</f>
        <v>-3640</v>
      </c>
      <c r="CE299" s="1">
        <f>SUM($AP299,$AQ299:BG299)-SUM($CK299:DB299)</f>
        <v>-3640</v>
      </c>
      <c r="CF299" s="1">
        <f>SUM($AP299,$AQ299:BH299)-SUM($CK299:DC299)</f>
        <v>-3640</v>
      </c>
      <c r="CG299" s="1">
        <f>SUM($AP299,$AQ299:BI299)-SUM($CK299:DD299)</f>
        <v>-3640</v>
      </c>
      <c r="CK299" s="1">
        <f t="array" ref="CK299">SUMPRODUCT($H299:$Y299,(TRANSPOSE(CK$2:CK$19)))</f>
        <v>0</v>
      </c>
      <c r="CL299" s="1">
        <f t="array" ref="CL299">SUMPRODUCT($H299:$Y299,(TRANSPOSE(CL$2:CL$19)))</f>
        <v>0</v>
      </c>
      <c r="CM299" s="1">
        <f t="array" ref="CM299">SUMPRODUCT($H299:$Y299,(TRANSPOSE(CM$2:CM$19)))</f>
        <v>0</v>
      </c>
      <c r="CN299" s="1">
        <f t="array" ref="CN299">SUMPRODUCT($H299:$Y299,(TRANSPOSE(CN$2:CN$19)))</f>
        <v>0</v>
      </c>
      <c r="CO299" s="1">
        <f t="array" ref="CO299">SUMPRODUCT($H299:$Y299,(TRANSPOSE(CO$2:CO$19)))</f>
        <v>40</v>
      </c>
      <c r="CP299" s="1">
        <f t="array" ref="CP299">SUMPRODUCT($H299:$Y299,(TRANSPOSE(CP$2:CP$19)))</f>
        <v>80</v>
      </c>
      <c r="CQ299" s="1">
        <f t="array" ref="CQ299">SUMPRODUCT($H299:$Y299,(TRANSPOSE(CQ$2:CQ$19)))</f>
        <v>120</v>
      </c>
      <c r="CR299" s="1">
        <f t="array" ref="CR299">SUMPRODUCT($H299:$Y299,(TRANSPOSE(CR$2:CR$19)))</f>
        <v>160</v>
      </c>
      <c r="CS299" s="1">
        <f t="array" ref="CS299">SUMPRODUCT($H299:$Y299,(TRANSPOSE(CS$2:CS$19)))</f>
        <v>200</v>
      </c>
      <c r="CT299" s="1">
        <f t="array" ref="CT299">SUMPRODUCT($H299:$Y299,(TRANSPOSE(CT$2:CT$19)))</f>
        <v>240</v>
      </c>
      <c r="CU299" s="1">
        <f t="array" ref="CU299">SUMPRODUCT($H299:$Y299,(TRANSPOSE(CU$2:CU$19)))</f>
        <v>280</v>
      </c>
      <c r="CV299" s="1">
        <f t="array" ref="CV299">SUMPRODUCT($H299:$Y299,(TRANSPOSE(CV$2:CV$19)))</f>
        <v>320</v>
      </c>
      <c r="CW299" s="1">
        <f t="array" ref="CW299">SUMPRODUCT($H299:$Y299,(TRANSPOSE(CW$2:CW$19)))</f>
        <v>360</v>
      </c>
      <c r="CX299" s="1">
        <f t="array" ref="CX299">SUMPRODUCT($H299:$Y299,(TRANSPOSE(CX$2:CX$19)))</f>
        <v>400</v>
      </c>
      <c r="CY299" s="1">
        <f t="array" ref="CY299">SUMPRODUCT($H299:$Y299,(TRANSPOSE(CY$2:CY$19)))</f>
        <v>440</v>
      </c>
      <c r="CZ299" s="1">
        <f t="array" ref="CZ299">SUMPRODUCT($H299:$Y299,(TRANSPOSE(CZ$2:CZ$19)))</f>
        <v>480</v>
      </c>
      <c r="DA299" s="1">
        <f t="array" ref="DA299">SUMPRODUCT($H299:$Y299,(TRANSPOSE(DA$2:DA$19)))</f>
        <v>520</v>
      </c>
      <c r="DB299" s="1">
        <f t="array" ref="DB299">SUMPRODUCT($H299:$Y299,(TRANSPOSE(DB$2:DB$19)))</f>
        <v>0</v>
      </c>
      <c r="DC299" s="1">
        <f t="array" ref="DC299">SUMPRODUCT($H299:$Y299,(TRANSPOSE(DC$2:DC$19)))</f>
        <v>0</v>
      </c>
      <c r="DD299" s="1">
        <f t="array" ref="DD299">SUMPRODUCT($H299:$Y299,(TRANSPOSE(DD$2:DD$19)))</f>
        <v>0</v>
      </c>
    </row>
    <row r="300" spans="1:108" x14ac:dyDescent="0.2">
      <c r="A300" s="1">
        <v>371</v>
      </c>
      <c r="B300" s="10" t="s">
        <v>93</v>
      </c>
      <c r="C300" s="1" t="s">
        <v>22</v>
      </c>
      <c r="D300" s="1">
        <v>401480774</v>
      </c>
      <c r="E300" s="1" t="s">
        <v>92</v>
      </c>
      <c r="F300" s="1" t="s">
        <v>91</v>
      </c>
      <c r="G300" s="1" t="s">
        <v>20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6</v>
      </c>
      <c r="U300" s="1">
        <v>0</v>
      </c>
      <c r="V300" s="1">
        <v>0</v>
      </c>
      <c r="W300" s="1">
        <v>0</v>
      </c>
      <c r="X300" s="1">
        <v>6</v>
      </c>
      <c r="Y300" s="1">
        <v>0</v>
      </c>
      <c r="Z300" s="1">
        <f>SUM(H300:Y300)</f>
        <v>12</v>
      </c>
      <c r="AA300" s="1">
        <f>SUMPRODUCT(H300:Y300,$H$16:$Y$16)</f>
        <v>10920</v>
      </c>
      <c r="AB300" s="1" t="s">
        <v>90</v>
      </c>
      <c r="AC300" s="1">
        <v>0.06</v>
      </c>
      <c r="AD300" s="9"/>
      <c r="AE300" s="1" t="s">
        <v>28</v>
      </c>
      <c r="AF300" s="1">
        <f>AC300</f>
        <v>0.06</v>
      </c>
      <c r="AG300" s="1">
        <v>750</v>
      </c>
      <c r="AH300" s="1">
        <v>750</v>
      </c>
      <c r="AI300" s="1">
        <v>20</v>
      </c>
      <c r="AK300" s="1" t="s">
        <v>89</v>
      </c>
      <c r="AL300" s="1" t="s">
        <v>88</v>
      </c>
      <c r="AM300" s="1" t="s">
        <v>87</v>
      </c>
      <c r="AN300" s="2" t="s">
        <v>86</v>
      </c>
      <c r="BO300" s="1">
        <f>SUM($AP300,$AQ300:AQ300)-SUM($CK300:CL300)</f>
        <v>0</v>
      </c>
      <c r="BP300" s="1">
        <f>SUM($AP300,$AQ300:AR300)-SUM($CK300:CM300)</f>
        <v>0</v>
      </c>
      <c r="BQ300" s="1">
        <f>SUM($AP300,$AQ300:AS300)-SUM($CK300:CN300)</f>
        <v>0</v>
      </c>
      <c r="BR300" s="1">
        <f>SUM($AP300,$AQ300:AT300)-SUM($CK300:CO300)</f>
        <v>-120</v>
      </c>
      <c r="BS300" s="1">
        <f>SUM($AP300,$AQ300:AU300)-SUM($CK300:CP300)</f>
        <v>-360</v>
      </c>
      <c r="BT300" s="1">
        <f>SUM($AP300,$AQ300:AV300)-SUM($CK300:CQ300)</f>
        <v>-720</v>
      </c>
      <c r="BU300" s="1">
        <f>SUM($AP300,$AQ300:AW300)-SUM($CK300:CR300)</f>
        <v>-1200</v>
      </c>
      <c r="BV300" s="1">
        <f>SUM($AP300,$AQ300:AX300)-SUM($CK300:CS300)</f>
        <v>-1800</v>
      </c>
      <c r="BW300" s="1">
        <f>SUM($AP300,$AQ300:AY300)-SUM($CK300:CT300)</f>
        <v>-2520</v>
      </c>
      <c r="BX300" s="1">
        <f>SUM($AP300,$AQ300:AZ300)-SUM($CK300:CU300)</f>
        <v>-3360</v>
      </c>
      <c r="BY300" s="1">
        <f>SUM($AP300,$AQ300:BA300)-SUM($CK300:CV300)</f>
        <v>-4320</v>
      </c>
      <c r="BZ300" s="1">
        <f>SUM($AP300,$AQ300:BB300)-SUM($CK300:CW300)</f>
        <v>-5400</v>
      </c>
      <c r="CA300" s="1">
        <f>SUM($AP300,$AQ300:BC300)-SUM($CK300:CX300)</f>
        <v>-6600</v>
      </c>
      <c r="CB300" s="1">
        <f>SUM($AP300,$AQ300:BD300)-SUM($CK300:CY300)</f>
        <v>-7920</v>
      </c>
      <c r="CC300" s="1">
        <f>SUM($AP300,$AQ300:BE300)-SUM($CK300:CZ300)</f>
        <v>-9360</v>
      </c>
      <c r="CD300" s="1">
        <f>SUM($AP300,$AQ300:BF300)-SUM($CK300:DA300)</f>
        <v>-10920</v>
      </c>
      <c r="CE300" s="1">
        <f>SUM($AP300,$AQ300:BG300)-SUM($CK300:DB300)</f>
        <v>-10920</v>
      </c>
      <c r="CF300" s="1">
        <f>SUM($AP300,$AQ300:BH300)-SUM($CK300:DC300)</f>
        <v>-10920</v>
      </c>
      <c r="CG300" s="1">
        <f>SUM($AP300,$AQ300:BI300)-SUM($CK300:DD300)</f>
        <v>-10920</v>
      </c>
      <c r="CK300" s="1">
        <f t="array" ref="CK300">SUMPRODUCT($H300:$Y300,(TRANSPOSE(CK$2:CK$19)))</f>
        <v>0</v>
      </c>
      <c r="CL300" s="1">
        <f t="array" ref="CL300">SUMPRODUCT($H300:$Y300,(TRANSPOSE(CL$2:CL$19)))</f>
        <v>0</v>
      </c>
      <c r="CM300" s="1">
        <f t="array" ref="CM300">SUMPRODUCT($H300:$Y300,(TRANSPOSE(CM$2:CM$19)))</f>
        <v>0</v>
      </c>
      <c r="CN300" s="1">
        <f t="array" ref="CN300">SUMPRODUCT($H300:$Y300,(TRANSPOSE(CN$2:CN$19)))</f>
        <v>0</v>
      </c>
      <c r="CO300" s="1">
        <f t="array" ref="CO300">SUMPRODUCT($H300:$Y300,(TRANSPOSE(CO$2:CO$19)))</f>
        <v>120</v>
      </c>
      <c r="CP300" s="1">
        <f t="array" ref="CP300">SUMPRODUCT($H300:$Y300,(TRANSPOSE(CP$2:CP$19)))</f>
        <v>240</v>
      </c>
      <c r="CQ300" s="1">
        <f t="array" ref="CQ300">SUMPRODUCT($H300:$Y300,(TRANSPOSE(CQ$2:CQ$19)))</f>
        <v>360</v>
      </c>
      <c r="CR300" s="1">
        <f t="array" ref="CR300">SUMPRODUCT($H300:$Y300,(TRANSPOSE(CR$2:CR$19)))</f>
        <v>480</v>
      </c>
      <c r="CS300" s="1">
        <f t="array" ref="CS300">SUMPRODUCT($H300:$Y300,(TRANSPOSE(CS$2:CS$19)))</f>
        <v>600</v>
      </c>
      <c r="CT300" s="1">
        <f t="array" ref="CT300">SUMPRODUCT($H300:$Y300,(TRANSPOSE(CT$2:CT$19)))</f>
        <v>720</v>
      </c>
      <c r="CU300" s="1">
        <f t="array" ref="CU300">SUMPRODUCT($H300:$Y300,(TRANSPOSE(CU$2:CU$19)))</f>
        <v>840</v>
      </c>
      <c r="CV300" s="1">
        <f t="array" ref="CV300">SUMPRODUCT($H300:$Y300,(TRANSPOSE(CV$2:CV$19)))</f>
        <v>960</v>
      </c>
      <c r="CW300" s="1">
        <f t="array" ref="CW300">SUMPRODUCT($H300:$Y300,(TRANSPOSE(CW$2:CW$19)))</f>
        <v>1080</v>
      </c>
      <c r="CX300" s="1">
        <f t="array" ref="CX300">SUMPRODUCT($H300:$Y300,(TRANSPOSE(CX$2:CX$19)))</f>
        <v>1200</v>
      </c>
      <c r="CY300" s="1">
        <f t="array" ref="CY300">SUMPRODUCT($H300:$Y300,(TRANSPOSE(CY$2:CY$19)))</f>
        <v>1320</v>
      </c>
      <c r="CZ300" s="1">
        <f t="array" ref="CZ300">SUMPRODUCT($H300:$Y300,(TRANSPOSE(CZ$2:CZ$19)))</f>
        <v>1440</v>
      </c>
      <c r="DA300" s="1">
        <f t="array" ref="DA300">SUMPRODUCT($H300:$Y300,(TRANSPOSE(DA$2:DA$19)))</f>
        <v>1560</v>
      </c>
      <c r="DB300" s="1">
        <f t="array" ref="DB300">SUMPRODUCT($H300:$Y300,(TRANSPOSE(DB$2:DB$19)))</f>
        <v>0</v>
      </c>
      <c r="DC300" s="1">
        <f t="array" ref="DC300">SUMPRODUCT($H300:$Y300,(TRANSPOSE(DC$2:DC$19)))</f>
        <v>0</v>
      </c>
      <c r="DD300" s="1">
        <f t="array" ref="DD300">SUMPRODUCT($H300:$Y300,(TRANSPOSE(DD$2:DD$19)))</f>
        <v>0</v>
      </c>
    </row>
    <row r="301" spans="1:108" x14ac:dyDescent="0.2">
      <c r="A301" s="1">
        <v>372</v>
      </c>
      <c r="B301" s="10" t="s">
        <v>85</v>
      </c>
      <c r="C301" s="1" t="s">
        <v>22</v>
      </c>
      <c r="D301" s="1">
        <v>403578730</v>
      </c>
      <c r="E301" s="1">
        <v>403581722</v>
      </c>
      <c r="F301" s="1" t="s">
        <v>84</v>
      </c>
      <c r="G301" s="1" t="s">
        <v>20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54</v>
      </c>
      <c r="V301" s="1">
        <v>0</v>
      </c>
      <c r="W301" s="1">
        <v>0</v>
      </c>
      <c r="X301" s="1">
        <v>0</v>
      </c>
      <c r="Y301" s="1">
        <v>54</v>
      </c>
      <c r="Z301" s="1">
        <f>SUM(H301:Y301)</f>
        <v>108</v>
      </c>
      <c r="AA301" s="1">
        <f>SUMPRODUCT(H301:Y301,$H$16:$Y$16)</f>
        <v>98280</v>
      </c>
      <c r="AB301" s="1" t="s">
        <v>83</v>
      </c>
      <c r="AC301" s="1">
        <f>0.26*1.03</f>
        <v>0.26780000000000004</v>
      </c>
      <c r="AD301" s="9"/>
      <c r="AE301" s="1" t="s">
        <v>28</v>
      </c>
      <c r="AF301" s="1">
        <f>AC301</f>
        <v>0.26780000000000004</v>
      </c>
      <c r="AG301" s="1">
        <v>2000</v>
      </c>
      <c r="AH301" s="1">
        <v>2000</v>
      </c>
      <c r="AI301" s="1" t="s">
        <v>82</v>
      </c>
      <c r="AK301" s="1" t="s">
        <v>81</v>
      </c>
      <c r="AL301" s="1" t="s">
        <v>80</v>
      </c>
      <c r="AM301" s="1" t="s">
        <v>79</v>
      </c>
      <c r="AN301" s="2" t="s">
        <v>78</v>
      </c>
      <c r="BO301" s="1">
        <f>SUM($AP301,$AQ301:AQ301)-SUM($CK301:CL301)</f>
        <v>0</v>
      </c>
      <c r="BP301" s="1">
        <f>SUM($AP301,$AQ301:AR301)-SUM($CK301:CM301)</f>
        <v>0</v>
      </c>
      <c r="BQ301" s="1">
        <f>SUM($AP301,$AQ301:AS301)-SUM($CK301:CN301)</f>
        <v>0</v>
      </c>
      <c r="BR301" s="1">
        <f>SUM($AP301,$AQ301:AT301)-SUM($CK301:CO301)</f>
        <v>-1080</v>
      </c>
      <c r="BS301" s="1">
        <f>SUM($AP301,$AQ301:AU301)-SUM($CK301:CP301)</f>
        <v>-3240</v>
      </c>
      <c r="BT301" s="1">
        <f>SUM($AP301,$AQ301:AV301)-SUM($CK301:CQ301)</f>
        <v>-6480</v>
      </c>
      <c r="BU301" s="1">
        <f>SUM($AP301,$AQ301:AW301)-SUM($CK301:CR301)</f>
        <v>-10800</v>
      </c>
      <c r="BV301" s="1">
        <f>SUM($AP301,$AQ301:AX301)-SUM($CK301:CS301)</f>
        <v>-16200</v>
      </c>
      <c r="BW301" s="1">
        <f>SUM($AP301,$AQ301:AY301)-SUM($CK301:CT301)</f>
        <v>-22680</v>
      </c>
      <c r="BX301" s="1">
        <f>SUM($AP301,$AQ301:AZ301)-SUM($CK301:CU301)</f>
        <v>-30240</v>
      </c>
      <c r="BY301" s="1">
        <f>SUM($AP301,$AQ301:BA301)-SUM($CK301:CV301)</f>
        <v>-38880</v>
      </c>
      <c r="BZ301" s="1">
        <f>SUM($AP301,$AQ301:BB301)-SUM($CK301:CW301)</f>
        <v>-48600</v>
      </c>
      <c r="CA301" s="1">
        <f>SUM($AP301,$AQ301:BC301)-SUM($CK301:CX301)</f>
        <v>-59400</v>
      </c>
      <c r="CB301" s="1">
        <f>SUM($AP301,$AQ301:BD301)-SUM($CK301:CY301)</f>
        <v>-71280</v>
      </c>
      <c r="CC301" s="1">
        <f>SUM($AP301,$AQ301:BE301)-SUM($CK301:CZ301)</f>
        <v>-84240</v>
      </c>
      <c r="CD301" s="1">
        <f>SUM($AP301,$AQ301:BF301)-SUM($CK301:DA301)</f>
        <v>-98280</v>
      </c>
      <c r="CE301" s="1">
        <f>SUM($AP301,$AQ301:BG301)-SUM($CK301:DB301)</f>
        <v>-98280</v>
      </c>
      <c r="CF301" s="1">
        <f>SUM($AP301,$AQ301:BH301)-SUM($CK301:DC301)</f>
        <v>-98280</v>
      </c>
      <c r="CG301" s="1">
        <f>SUM($AP301,$AQ301:BI301)-SUM($CK301:DD301)</f>
        <v>-98280</v>
      </c>
      <c r="CK301" s="1">
        <f t="array" ref="CK301">SUMPRODUCT($H301:$Y301,(TRANSPOSE(CK$2:CK$19)))</f>
        <v>0</v>
      </c>
      <c r="CL301" s="1">
        <f t="array" ref="CL301">SUMPRODUCT($H301:$Y301,(TRANSPOSE(CL$2:CL$19)))</f>
        <v>0</v>
      </c>
      <c r="CM301" s="1">
        <f t="array" ref="CM301">SUMPRODUCT($H301:$Y301,(TRANSPOSE(CM$2:CM$19)))</f>
        <v>0</v>
      </c>
      <c r="CN301" s="1">
        <f t="array" ref="CN301">SUMPRODUCT($H301:$Y301,(TRANSPOSE(CN$2:CN$19)))</f>
        <v>0</v>
      </c>
      <c r="CO301" s="1">
        <f t="array" ref="CO301">SUMPRODUCT($H301:$Y301,(TRANSPOSE(CO$2:CO$19)))</f>
        <v>1080</v>
      </c>
      <c r="CP301" s="1">
        <f t="array" ref="CP301">SUMPRODUCT($H301:$Y301,(TRANSPOSE(CP$2:CP$19)))</f>
        <v>2160</v>
      </c>
      <c r="CQ301" s="1">
        <f t="array" ref="CQ301">SUMPRODUCT($H301:$Y301,(TRANSPOSE(CQ$2:CQ$19)))</f>
        <v>3240</v>
      </c>
      <c r="CR301" s="1">
        <f t="array" ref="CR301">SUMPRODUCT($H301:$Y301,(TRANSPOSE(CR$2:CR$19)))</f>
        <v>4320</v>
      </c>
      <c r="CS301" s="1">
        <f t="array" ref="CS301">SUMPRODUCT($H301:$Y301,(TRANSPOSE(CS$2:CS$19)))</f>
        <v>5400</v>
      </c>
      <c r="CT301" s="1">
        <f t="array" ref="CT301">SUMPRODUCT($H301:$Y301,(TRANSPOSE(CT$2:CT$19)))</f>
        <v>6480</v>
      </c>
      <c r="CU301" s="1">
        <f t="array" ref="CU301">SUMPRODUCT($H301:$Y301,(TRANSPOSE(CU$2:CU$19)))</f>
        <v>7560</v>
      </c>
      <c r="CV301" s="1">
        <f t="array" ref="CV301">SUMPRODUCT($H301:$Y301,(TRANSPOSE(CV$2:CV$19)))</f>
        <v>8640</v>
      </c>
      <c r="CW301" s="1">
        <f t="array" ref="CW301">SUMPRODUCT($H301:$Y301,(TRANSPOSE(CW$2:CW$19)))</f>
        <v>9720</v>
      </c>
      <c r="CX301" s="1">
        <f t="array" ref="CX301">SUMPRODUCT($H301:$Y301,(TRANSPOSE(CX$2:CX$19)))</f>
        <v>10800</v>
      </c>
      <c r="CY301" s="1">
        <f t="array" ref="CY301">SUMPRODUCT($H301:$Y301,(TRANSPOSE(CY$2:CY$19)))</f>
        <v>11880</v>
      </c>
      <c r="CZ301" s="1">
        <f t="array" ref="CZ301">SUMPRODUCT($H301:$Y301,(TRANSPOSE(CZ$2:CZ$19)))</f>
        <v>12960</v>
      </c>
      <c r="DA301" s="1">
        <f t="array" ref="DA301">SUMPRODUCT($H301:$Y301,(TRANSPOSE(DA$2:DA$19)))</f>
        <v>14040</v>
      </c>
      <c r="DB301" s="1">
        <f t="array" ref="DB301">SUMPRODUCT($H301:$Y301,(TRANSPOSE(DB$2:DB$19)))</f>
        <v>0</v>
      </c>
      <c r="DC301" s="1">
        <f t="array" ref="DC301">SUMPRODUCT($H301:$Y301,(TRANSPOSE(DC$2:DC$19)))</f>
        <v>0</v>
      </c>
      <c r="DD301" s="1">
        <f t="array" ref="DD301">SUMPRODUCT($H301:$Y301,(TRANSPOSE(DD$2:DD$19)))</f>
        <v>0</v>
      </c>
    </row>
    <row r="302" spans="1:108" x14ac:dyDescent="0.2">
      <c r="A302" s="1">
        <v>374</v>
      </c>
      <c r="B302" s="10" t="s">
        <v>77</v>
      </c>
      <c r="C302" s="1" t="s">
        <v>22</v>
      </c>
      <c r="D302" s="1" t="s">
        <v>76</v>
      </c>
      <c r="F302" s="1" t="s">
        <v>75</v>
      </c>
      <c r="G302" s="1" t="s">
        <v>20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34</v>
      </c>
      <c r="V302" s="1">
        <v>0</v>
      </c>
      <c r="W302" s="1">
        <v>0</v>
      </c>
      <c r="X302" s="1">
        <v>0</v>
      </c>
      <c r="Y302" s="1">
        <v>34</v>
      </c>
      <c r="Z302" s="1">
        <f>SUM(H302:Y302)</f>
        <v>68</v>
      </c>
      <c r="AA302" s="1">
        <f>SUMPRODUCT(H302:Y302,$H$16:$Y$16)</f>
        <v>61880</v>
      </c>
      <c r="AB302" s="1" t="s">
        <v>74</v>
      </c>
      <c r="AC302" s="1">
        <v>0.45</v>
      </c>
      <c r="AD302" s="9"/>
      <c r="AE302" s="1" t="s">
        <v>28</v>
      </c>
      <c r="AF302" s="1">
        <f>AC302</f>
        <v>0.45</v>
      </c>
      <c r="AG302" s="1">
        <v>2500</v>
      </c>
      <c r="AH302" s="1">
        <v>2500</v>
      </c>
      <c r="AI302" s="1">
        <v>16</v>
      </c>
      <c r="AK302" s="1" t="s">
        <v>73</v>
      </c>
      <c r="AL302" s="1" t="s">
        <v>72</v>
      </c>
      <c r="AM302" s="1" t="s">
        <v>71</v>
      </c>
      <c r="AN302" s="2" t="s">
        <v>70</v>
      </c>
      <c r="BO302" s="1">
        <f>SUM($AP302,$AQ302:AQ302)-SUM($CK302:CL302)</f>
        <v>0</v>
      </c>
      <c r="BP302" s="1">
        <f>SUM($AP302,$AQ302:AR302)-SUM($CK302:CM302)</f>
        <v>0</v>
      </c>
      <c r="BQ302" s="1">
        <f>SUM($AP302,$AQ302:AS302)-SUM($CK302:CN302)</f>
        <v>0</v>
      </c>
      <c r="BR302" s="1">
        <f>SUM($AP302,$AQ302:AT302)-SUM($CK302:CO302)</f>
        <v>-680</v>
      </c>
      <c r="BS302" s="1">
        <f>SUM($AP302,$AQ302:AU302)-SUM($CK302:CP302)</f>
        <v>-2040</v>
      </c>
      <c r="BT302" s="1">
        <f>SUM($AP302,$AQ302:AV302)-SUM($CK302:CQ302)</f>
        <v>-4080</v>
      </c>
      <c r="BU302" s="1">
        <f>SUM($AP302,$AQ302:AW302)-SUM($CK302:CR302)</f>
        <v>-6800</v>
      </c>
      <c r="BV302" s="1">
        <f>SUM($AP302,$AQ302:AX302)-SUM($CK302:CS302)</f>
        <v>-10200</v>
      </c>
      <c r="BW302" s="1">
        <f>SUM($AP302,$AQ302:AY302)-SUM($CK302:CT302)</f>
        <v>-14280</v>
      </c>
      <c r="BX302" s="1">
        <f>SUM($AP302,$AQ302:AZ302)-SUM($CK302:CU302)</f>
        <v>-19040</v>
      </c>
      <c r="BY302" s="1">
        <f>SUM($AP302,$AQ302:BA302)-SUM($CK302:CV302)</f>
        <v>-24480</v>
      </c>
      <c r="BZ302" s="1">
        <f>SUM($AP302,$AQ302:BB302)-SUM($CK302:CW302)</f>
        <v>-30600</v>
      </c>
      <c r="CA302" s="1">
        <f>SUM($AP302,$AQ302:BC302)-SUM($CK302:CX302)</f>
        <v>-37400</v>
      </c>
      <c r="CB302" s="1">
        <f>SUM($AP302,$AQ302:BD302)-SUM($CK302:CY302)</f>
        <v>-44880</v>
      </c>
      <c r="CC302" s="1">
        <f>SUM($AP302,$AQ302:BE302)-SUM($CK302:CZ302)</f>
        <v>-53040</v>
      </c>
      <c r="CD302" s="1">
        <f>SUM($AP302,$AQ302:BF302)-SUM($CK302:DA302)</f>
        <v>-61880</v>
      </c>
      <c r="CE302" s="1">
        <f>SUM($AP302,$AQ302:BG302)-SUM($CK302:DB302)</f>
        <v>-61880</v>
      </c>
      <c r="CF302" s="1">
        <f>SUM($AP302,$AQ302:BH302)-SUM($CK302:DC302)</f>
        <v>-61880</v>
      </c>
      <c r="CG302" s="1">
        <f>SUM($AP302,$AQ302:BI302)-SUM($CK302:DD302)</f>
        <v>-61880</v>
      </c>
      <c r="CK302" s="1">
        <f t="array" ref="CK302">SUMPRODUCT($H302:$Y302,(TRANSPOSE(CK$2:CK$19)))</f>
        <v>0</v>
      </c>
      <c r="CL302" s="1">
        <f t="array" ref="CL302">SUMPRODUCT($H302:$Y302,(TRANSPOSE(CL$2:CL$19)))</f>
        <v>0</v>
      </c>
      <c r="CM302" s="1">
        <f t="array" ref="CM302">SUMPRODUCT($H302:$Y302,(TRANSPOSE(CM$2:CM$19)))</f>
        <v>0</v>
      </c>
      <c r="CN302" s="1">
        <f t="array" ref="CN302">SUMPRODUCT($H302:$Y302,(TRANSPOSE(CN$2:CN$19)))</f>
        <v>0</v>
      </c>
      <c r="CO302" s="1">
        <f t="array" ref="CO302">SUMPRODUCT($H302:$Y302,(TRANSPOSE(CO$2:CO$19)))</f>
        <v>680</v>
      </c>
      <c r="CP302" s="1">
        <f t="array" ref="CP302">SUMPRODUCT($H302:$Y302,(TRANSPOSE(CP$2:CP$19)))</f>
        <v>1360</v>
      </c>
      <c r="CQ302" s="1">
        <f t="array" ref="CQ302">SUMPRODUCT($H302:$Y302,(TRANSPOSE(CQ$2:CQ$19)))</f>
        <v>2040</v>
      </c>
      <c r="CR302" s="1">
        <f t="array" ref="CR302">SUMPRODUCT($H302:$Y302,(TRANSPOSE(CR$2:CR$19)))</f>
        <v>2720</v>
      </c>
      <c r="CS302" s="1">
        <f t="array" ref="CS302">SUMPRODUCT($H302:$Y302,(TRANSPOSE(CS$2:CS$19)))</f>
        <v>3400</v>
      </c>
      <c r="CT302" s="1">
        <f t="array" ref="CT302">SUMPRODUCT($H302:$Y302,(TRANSPOSE(CT$2:CT$19)))</f>
        <v>4080</v>
      </c>
      <c r="CU302" s="1">
        <f t="array" ref="CU302">SUMPRODUCT($H302:$Y302,(TRANSPOSE(CU$2:CU$19)))</f>
        <v>4760</v>
      </c>
      <c r="CV302" s="1">
        <f t="array" ref="CV302">SUMPRODUCT($H302:$Y302,(TRANSPOSE(CV$2:CV$19)))</f>
        <v>5440</v>
      </c>
      <c r="CW302" s="1">
        <f t="array" ref="CW302">SUMPRODUCT($H302:$Y302,(TRANSPOSE(CW$2:CW$19)))</f>
        <v>6120</v>
      </c>
      <c r="CX302" s="1">
        <f t="array" ref="CX302">SUMPRODUCT($H302:$Y302,(TRANSPOSE(CX$2:CX$19)))</f>
        <v>6800</v>
      </c>
      <c r="CY302" s="1">
        <f t="array" ref="CY302">SUMPRODUCT($H302:$Y302,(TRANSPOSE(CY$2:CY$19)))</f>
        <v>7480</v>
      </c>
      <c r="CZ302" s="1">
        <f t="array" ref="CZ302">SUMPRODUCT($H302:$Y302,(TRANSPOSE(CZ$2:CZ$19)))</f>
        <v>8160</v>
      </c>
      <c r="DA302" s="1">
        <f t="array" ref="DA302">SUMPRODUCT($H302:$Y302,(TRANSPOSE(DA$2:DA$19)))</f>
        <v>8840</v>
      </c>
      <c r="DB302" s="1">
        <f t="array" ref="DB302">SUMPRODUCT($H302:$Y302,(TRANSPOSE(DB$2:DB$19)))</f>
        <v>0</v>
      </c>
      <c r="DC302" s="1">
        <f t="array" ref="DC302">SUMPRODUCT($H302:$Y302,(TRANSPOSE(DC$2:DC$19)))</f>
        <v>0</v>
      </c>
      <c r="DD302" s="1">
        <f t="array" ref="DD302">SUMPRODUCT($H302:$Y302,(TRANSPOSE(DD$2:DD$19)))</f>
        <v>0</v>
      </c>
    </row>
    <row r="303" spans="1:108" x14ac:dyDescent="0.2">
      <c r="A303" s="1">
        <v>376</v>
      </c>
      <c r="B303" s="1" t="s">
        <v>69</v>
      </c>
      <c r="C303" s="1" t="s">
        <v>19</v>
      </c>
      <c r="D303" s="1">
        <v>408602563</v>
      </c>
      <c r="F303" s="1" t="s">
        <v>68</v>
      </c>
      <c r="G303" s="1" t="s">
        <v>20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70</v>
      </c>
      <c r="U303" s="1">
        <v>0</v>
      </c>
      <c r="V303" s="1">
        <v>0</v>
      </c>
      <c r="W303" s="1">
        <v>0</v>
      </c>
      <c r="X303" s="1">
        <v>70</v>
      </c>
      <c r="Y303" s="1">
        <v>0</v>
      </c>
      <c r="Z303" s="1">
        <f>SUM(H303:Y303)</f>
        <v>140</v>
      </c>
      <c r="AA303" s="1">
        <f>SUMPRODUCT(H303:Y303,$H$16:$Y$16)</f>
        <v>127400</v>
      </c>
      <c r="AB303" s="1" t="s">
        <v>18</v>
      </c>
      <c r="AC303" s="14"/>
      <c r="AD303" s="9"/>
      <c r="AF303" s="1">
        <f>AC303</f>
        <v>0</v>
      </c>
      <c r="AG303" s="1">
        <v>1</v>
      </c>
      <c r="AH303" s="1">
        <v>1</v>
      </c>
      <c r="AI303" s="1" t="s">
        <v>18</v>
      </c>
      <c r="AJ303" s="1" t="s">
        <v>18</v>
      </c>
      <c r="AK303" s="1" t="s">
        <v>18</v>
      </c>
      <c r="AL303" s="1" t="s">
        <v>18</v>
      </c>
      <c r="AM303" s="1" t="s">
        <v>18</v>
      </c>
      <c r="AN303" s="2" t="s">
        <v>18</v>
      </c>
      <c r="BO303" s="1">
        <f>SUM($AP303,$AQ303:AQ303)-SUM($CK303:CL303)</f>
        <v>0</v>
      </c>
      <c r="BP303" s="1">
        <f>SUM($AP303,$AQ303:AR303)-SUM($CK303:CM303)</f>
        <v>0</v>
      </c>
      <c r="BQ303" s="1">
        <f>SUM($AP303,$AQ303:AS303)-SUM($CK303:CN303)</f>
        <v>0</v>
      </c>
      <c r="BR303" s="1">
        <f>SUM($AP303,$AQ303:AT303)-SUM($CK303:CO303)</f>
        <v>-1400</v>
      </c>
      <c r="BS303" s="1">
        <f>SUM($AP303,$AQ303:AU303)-SUM($CK303:CP303)</f>
        <v>-4200</v>
      </c>
      <c r="BT303" s="1">
        <f>SUM($AP303,$AQ303:AV303)-SUM($CK303:CQ303)</f>
        <v>-8400</v>
      </c>
      <c r="BU303" s="1">
        <f>SUM($AP303,$AQ303:AW303)-SUM($CK303:CR303)</f>
        <v>-14000</v>
      </c>
      <c r="BV303" s="1">
        <f>SUM($AP303,$AQ303:AX303)-SUM($CK303:CS303)</f>
        <v>-21000</v>
      </c>
      <c r="BW303" s="1">
        <f>SUM($AP303,$AQ303:AY303)-SUM($CK303:CT303)</f>
        <v>-29400</v>
      </c>
      <c r="BX303" s="1">
        <f>SUM($AP303,$AQ303:AZ303)-SUM($CK303:CU303)</f>
        <v>-39200</v>
      </c>
      <c r="BY303" s="1">
        <f>SUM($AP303,$AQ303:BA303)-SUM($CK303:CV303)</f>
        <v>-50400</v>
      </c>
      <c r="BZ303" s="1">
        <f>SUM($AP303,$AQ303:BB303)-SUM($CK303:CW303)</f>
        <v>-63000</v>
      </c>
      <c r="CA303" s="1">
        <f>SUM($AP303,$AQ303:BC303)-SUM($CK303:CX303)</f>
        <v>-77000</v>
      </c>
      <c r="CB303" s="1">
        <f>SUM($AP303,$AQ303:BD303)-SUM($CK303:CY303)</f>
        <v>-92400</v>
      </c>
      <c r="CC303" s="1">
        <f>SUM($AP303,$AQ303:BE303)-SUM($CK303:CZ303)</f>
        <v>-109200</v>
      </c>
      <c r="CD303" s="1">
        <f>SUM($AP303,$AQ303:BF303)-SUM($CK303:DA303)</f>
        <v>-127400</v>
      </c>
      <c r="CE303" s="1">
        <f>SUM($AP303,$AQ303:BG303)-SUM($CK303:DB303)</f>
        <v>-127400</v>
      </c>
      <c r="CF303" s="1">
        <f>SUM($AP303,$AQ303:BH303)-SUM($CK303:DC303)</f>
        <v>-127400</v>
      </c>
      <c r="CG303" s="1">
        <f>SUM($AP303,$AQ303:BI303)-SUM($CK303:DD303)</f>
        <v>-127400</v>
      </c>
      <c r="CK303" s="1">
        <f t="array" ref="CK303">SUMPRODUCT($H303:$Y303,(TRANSPOSE(CK$2:CK$19)))</f>
        <v>0</v>
      </c>
      <c r="CL303" s="1">
        <f t="array" ref="CL303">SUMPRODUCT($H303:$Y303,(TRANSPOSE(CL$2:CL$19)))</f>
        <v>0</v>
      </c>
      <c r="CM303" s="1">
        <f t="array" ref="CM303">SUMPRODUCT($H303:$Y303,(TRANSPOSE(CM$2:CM$19)))</f>
        <v>0</v>
      </c>
      <c r="CN303" s="1">
        <f t="array" ref="CN303">SUMPRODUCT($H303:$Y303,(TRANSPOSE(CN$2:CN$19)))</f>
        <v>0</v>
      </c>
      <c r="CO303" s="1">
        <f t="array" ref="CO303">SUMPRODUCT($H303:$Y303,(TRANSPOSE(CO$2:CO$19)))</f>
        <v>1400</v>
      </c>
      <c r="CP303" s="1">
        <f t="array" ref="CP303">SUMPRODUCT($H303:$Y303,(TRANSPOSE(CP$2:CP$19)))</f>
        <v>2800</v>
      </c>
      <c r="CQ303" s="1">
        <f t="array" ref="CQ303">SUMPRODUCT($H303:$Y303,(TRANSPOSE(CQ$2:CQ$19)))</f>
        <v>4200</v>
      </c>
      <c r="CR303" s="1">
        <f t="array" ref="CR303">SUMPRODUCT($H303:$Y303,(TRANSPOSE(CR$2:CR$19)))</f>
        <v>5600</v>
      </c>
      <c r="CS303" s="1">
        <f t="array" ref="CS303">SUMPRODUCT($H303:$Y303,(TRANSPOSE(CS$2:CS$19)))</f>
        <v>7000</v>
      </c>
      <c r="CT303" s="1">
        <f t="array" ref="CT303">SUMPRODUCT($H303:$Y303,(TRANSPOSE(CT$2:CT$19)))</f>
        <v>8400</v>
      </c>
      <c r="CU303" s="1">
        <f t="array" ref="CU303">SUMPRODUCT($H303:$Y303,(TRANSPOSE(CU$2:CU$19)))</f>
        <v>9800</v>
      </c>
      <c r="CV303" s="1">
        <f t="array" ref="CV303">SUMPRODUCT($H303:$Y303,(TRANSPOSE(CV$2:CV$19)))</f>
        <v>11200</v>
      </c>
      <c r="CW303" s="1">
        <f t="array" ref="CW303">SUMPRODUCT($H303:$Y303,(TRANSPOSE(CW$2:CW$19)))</f>
        <v>12600</v>
      </c>
      <c r="CX303" s="1">
        <f t="array" ref="CX303">SUMPRODUCT($H303:$Y303,(TRANSPOSE(CX$2:CX$19)))</f>
        <v>14000</v>
      </c>
      <c r="CY303" s="1">
        <f t="array" ref="CY303">SUMPRODUCT($H303:$Y303,(TRANSPOSE(CY$2:CY$19)))</f>
        <v>15400</v>
      </c>
      <c r="CZ303" s="1">
        <f t="array" ref="CZ303">SUMPRODUCT($H303:$Y303,(TRANSPOSE(CZ$2:CZ$19)))</f>
        <v>16800</v>
      </c>
      <c r="DA303" s="1">
        <f t="array" ref="DA303">SUMPRODUCT($H303:$Y303,(TRANSPOSE(DA$2:DA$19)))</f>
        <v>18200</v>
      </c>
      <c r="DB303" s="1">
        <f t="array" ref="DB303">SUMPRODUCT($H303:$Y303,(TRANSPOSE(DB$2:DB$19)))</f>
        <v>0</v>
      </c>
      <c r="DC303" s="1">
        <f t="array" ref="DC303">SUMPRODUCT($H303:$Y303,(TRANSPOSE(DC$2:DC$19)))</f>
        <v>0</v>
      </c>
      <c r="DD303" s="1">
        <f t="array" ref="DD303">SUMPRODUCT($H303:$Y303,(TRANSPOSE(DD$2:DD$19)))</f>
        <v>0</v>
      </c>
    </row>
    <row r="304" spans="1:108" x14ac:dyDescent="0.2">
      <c r="A304" s="1">
        <v>377</v>
      </c>
      <c r="B304" s="10" t="s">
        <v>67</v>
      </c>
      <c r="C304" s="1" t="s">
        <v>22</v>
      </c>
      <c r="D304" s="1">
        <v>400005328</v>
      </c>
      <c r="F304" s="1" t="s">
        <v>66</v>
      </c>
      <c r="G304" s="1" t="s">
        <v>20</v>
      </c>
      <c r="H304" s="1">
        <v>0</v>
      </c>
      <c r="I304" s="1">
        <v>0</v>
      </c>
      <c r="J304" s="1">
        <v>0</v>
      </c>
      <c r="K304" s="1">
        <v>1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f>SUM(H304:Y304)</f>
        <v>1</v>
      </c>
      <c r="AA304" s="1">
        <f>SUMPRODUCT(H304:Y304,$H$16:$Y$16)</f>
        <v>910</v>
      </c>
      <c r="AB304" s="1" t="s">
        <v>18</v>
      </c>
      <c r="AC304" s="1">
        <v>0</v>
      </c>
      <c r="AD304" s="9"/>
      <c r="AE304" s="1" t="s">
        <v>19</v>
      </c>
      <c r="AF304" s="1">
        <f>AC304</f>
        <v>0</v>
      </c>
      <c r="AG304" s="1">
        <v>1</v>
      </c>
      <c r="AH304" s="1">
        <v>1</v>
      </c>
      <c r="AI304" s="1" t="s">
        <v>18</v>
      </c>
      <c r="AJ304" s="1" t="s">
        <v>18</v>
      </c>
      <c r="AK304" s="1" t="s">
        <v>18</v>
      </c>
      <c r="AL304" s="1" t="s">
        <v>18</v>
      </c>
      <c r="AM304" s="1" t="s">
        <v>18</v>
      </c>
      <c r="AN304" s="2" t="s">
        <v>18</v>
      </c>
      <c r="BO304" s="1">
        <f>SUM($AP304,$AQ304:AQ304)-SUM($CK304:CL304)</f>
        <v>0</v>
      </c>
      <c r="BP304" s="1">
        <f>SUM($AP304,$AQ304:AR304)-SUM($CK304:CM304)</f>
        <v>0</v>
      </c>
      <c r="BQ304" s="1">
        <f>SUM($AP304,$AQ304:AS304)-SUM($CK304:CN304)</f>
        <v>0</v>
      </c>
      <c r="BR304" s="1">
        <f>SUM($AP304,$AQ304:AT304)-SUM($CK304:CO304)</f>
        <v>-10</v>
      </c>
      <c r="BS304" s="1">
        <f>SUM($AP304,$AQ304:AU304)-SUM($CK304:CP304)</f>
        <v>-30</v>
      </c>
      <c r="BT304" s="1">
        <f>SUM($AP304,$AQ304:AV304)-SUM($CK304:CQ304)</f>
        <v>-60</v>
      </c>
      <c r="BU304" s="1">
        <f>SUM($AP304,$AQ304:AW304)-SUM($CK304:CR304)</f>
        <v>-100</v>
      </c>
      <c r="BV304" s="1">
        <f>SUM($AP304,$AQ304:AX304)-SUM($CK304:CS304)</f>
        <v>-150</v>
      </c>
      <c r="BW304" s="1">
        <f>SUM($AP304,$AQ304:AY304)-SUM($CK304:CT304)</f>
        <v>-210</v>
      </c>
      <c r="BX304" s="1">
        <f>SUM($AP304,$AQ304:AZ304)-SUM($CK304:CU304)</f>
        <v>-280</v>
      </c>
      <c r="BY304" s="1">
        <f>SUM($AP304,$AQ304:BA304)-SUM($CK304:CV304)</f>
        <v>-360</v>
      </c>
      <c r="BZ304" s="1">
        <f>SUM($AP304,$AQ304:BB304)-SUM($CK304:CW304)</f>
        <v>-450</v>
      </c>
      <c r="CA304" s="1">
        <f>SUM($AP304,$AQ304:BC304)-SUM($CK304:CX304)</f>
        <v>-550</v>
      </c>
      <c r="CB304" s="1">
        <f>SUM($AP304,$AQ304:BD304)-SUM($CK304:CY304)</f>
        <v>-660</v>
      </c>
      <c r="CC304" s="1">
        <f>SUM($AP304,$AQ304:BE304)-SUM($CK304:CZ304)</f>
        <v>-780</v>
      </c>
      <c r="CD304" s="1">
        <f>SUM($AP304,$AQ304:BF304)-SUM($CK304:DA304)</f>
        <v>-910</v>
      </c>
      <c r="CE304" s="1">
        <f>SUM($AP304,$AQ304:BG304)-SUM($CK304:DB304)</f>
        <v>-910</v>
      </c>
      <c r="CF304" s="1">
        <f>SUM($AP304,$AQ304:BH304)-SUM($CK304:DC304)</f>
        <v>-910</v>
      </c>
      <c r="CG304" s="1">
        <f>SUM($AP304,$AQ304:BI304)-SUM($CK304:DD304)</f>
        <v>-910</v>
      </c>
      <c r="CK304" s="1">
        <f t="array" ref="CK304">SUMPRODUCT($H304:$Y304,(TRANSPOSE(CK$2:CK$19)))</f>
        <v>0</v>
      </c>
      <c r="CL304" s="1">
        <f t="array" ref="CL304">SUMPRODUCT($H304:$Y304,(TRANSPOSE(CL$2:CL$19)))</f>
        <v>0</v>
      </c>
      <c r="CM304" s="1">
        <f t="array" ref="CM304">SUMPRODUCT($H304:$Y304,(TRANSPOSE(CM$2:CM$19)))</f>
        <v>0</v>
      </c>
      <c r="CN304" s="1">
        <f t="array" ref="CN304">SUMPRODUCT($H304:$Y304,(TRANSPOSE(CN$2:CN$19)))</f>
        <v>0</v>
      </c>
      <c r="CO304" s="1">
        <f t="array" ref="CO304">SUMPRODUCT($H304:$Y304,(TRANSPOSE(CO$2:CO$19)))</f>
        <v>10</v>
      </c>
      <c r="CP304" s="1">
        <f t="array" ref="CP304">SUMPRODUCT($H304:$Y304,(TRANSPOSE(CP$2:CP$19)))</f>
        <v>20</v>
      </c>
      <c r="CQ304" s="1">
        <f t="array" ref="CQ304">SUMPRODUCT($H304:$Y304,(TRANSPOSE(CQ$2:CQ$19)))</f>
        <v>30</v>
      </c>
      <c r="CR304" s="1">
        <f t="array" ref="CR304">SUMPRODUCT($H304:$Y304,(TRANSPOSE(CR$2:CR$19)))</f>
        <v>40</v>
      </c>
      <c r="CS304" s="1">
        <f t="array" ref="CS304">SUMPRODUCT($H304:$Y304,(TRANSPOSE(CS$2:CS$19)))</f>
        <v>50</v>
      </c>
      <c r="CT304" s="1">
        <f t="array" ref="CT304">SUMPRODUCT($H304:$Y304,(TRANSPOSE(CT$2:CT$19)))</f>
        <v>60</v>
      </c>
      <c r="CU304" s="1">
        <f t="array" ref="CU304">SUMPRODUCT($H304:$Y304,(TRANSPOSE(CU$2:CU$19)))</f>
        <v>70</v>
      </c>
      <c r="CV304" s="1">
        <f t="array" ref="CV304">SUMPRODUCT($H304:$Y304,(TRANSPOSE(CV$2:CV$19)))</f>
        <v>80</v>
      </c>
      <c r="CW304" s="1">
        <f t="array" ref="CW304">SUMPRODUCT($H304:$Y304,(TRANSPOSE(CW$2:CW$19)))</f>
        <v>90</v>
      </c>
      <c r="CX304" s="1">
        <f t="array" ref="CX304">SUMPRODUCT($H304:$Y304,(TRANSPOSE(CX$2:CX$19)))</f>
        <v>100</v>
      </c>
      <c r="CY304" s="1">
        <f t="array" ref="CY304">SUMPRODUCT($H304:$Y304,(TRANSPOSE(CY$2:CY$19)))</f>
        <v>110</v>
      </c>
      <c r="CZ304" s="1">
        <f t="array" ref="CZ304">SUMPRODUCT($H304:$Y304,(TRANSPOSE(CZ$2:CZ$19)))</f>
        <v>120</v>
      </c>
      <c r="DA304" s="1">
        <f t="array" ref="DA304">SUMPRODUCT($H304:$Y304,(TRANSPOSE(DA$2:DA$19)))</f>
        <v>130</v>
      </c>
      <c r="DB304" s="1">
        <f t="array" ref="DB304">SUMPRODUCT($H304:$Y304,(TRANSPOSE(DB$2:DB$19)))</f>
        <v>0</v>
      </c>
      <c r="DC304" s="1">
        <f t="array" ref="DC304">SUMPRODUCT($H304:$Y304,(TRANSPOSE(DC$2:DC$19)))</f>
        <v>0</v>
      </c>
      <c r="DD304" s="1">
        <f t="array" ref="DD304">SUMPRODUCT($H304:$Y304,(TRANSPOSE(DD$2:DD$19)))</f>
        <v>0</v>
      </c>
    </row>
    <row r="305" spans="1:108" x14ac:dyDescent="0.2">
      <c r="A305" s="1">
        <v>378</v>
      </c>
      <c r="B305" s="10" t="s">
        <v>65</v>
      </c>
      <c r="C305" s="1" t="s">
        <v>22</v>
      </c>
      <c r="D305" s="1">
        <v>410928732</v>
      </c>
      <c r="F305" s="1" t="s">
        <v>64</v>
      </c>
      <c r="G305" s="1" t="s">
        <v>20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2</v>
      </c>
      <c r="V305" s="1">
        <v>0</v>
      </c>
      <c r="W305" s="1">
        <v>0</v>
      </c>
      <c r="X305" s="1">
        <v>0</v>
      </c>
      <c r="Y305" s="1">
        <v>2</v>
      </c>
      <c r="Z305" s="1">
        <f>SUM(H305:Y305)</f>
        <v>4</v>
      </c>
      <c r="AA305" s="1">
        <f>SUMPRODUCT(H305:Y305,$H$16:$Y$16)</f>
        <v>3640</v>
      </c>
      <c r="AB305" s="1" t="s">
        <v>63</v>
      </c>
      <c r="AC305" s="1">
        <v>7.1300000000000002E-2</v>
      </c>
      <c r="AD305" s="9"/>
      <c r="AE305" s="1" t="s">
        <v>28</v>
      </c>
      <c r="AF305" s="1">
        <f>AC305</f>
        <v>7.1300000000000002E-2</v>
      </c>
      <c r="AG305" s="1">
        <v>10000</v>
      </c>
      <c r="AH305" s="1">
        <v>10000</v>
      </c>
      <c r="AI305" s="1">
        <v>8</v>
      </c>
      <c r="AK305" s="1" t="s">
        <v>62</v>
      </c>
      <c r="AL305" s="13" t="s">
        <v>61</v>
      </c>
      <c r="AM305" s="13" t="s">
        <v>60</v>
      </c>
      <c r="AN305" s="2" t="s">
        <v>59</v>
      </c>
      <c r="BO305" s="1">
        <f>SUM($AP305,$AQ305:AQ305)-SUM($CK305:CL305)</f>
        <v>0</v>
      </c>
      <c r="BP305" s="1">
        <f>SUM($AP305,$AQ305:AR305)-SUM($CK305:CM305)</f>
        <v>0</v>
      </c>
      <c r="BQ305" s="1">
        <f>SUM($AP305,$AQ305:AS305)-SUM($CK305:CN305)</f>
        <v>0</v>
      </c>
      <c r="BR305" s="1">
        <f>SUM($AP305,$AQ305:AT305)-SUM($CK305:CO305)</f>
        <v>-40</v>
      </c>
      <c r="BS305" s="1">
        <f>SUM($AP305,$AQ305:AU305)-SUM($CK305:CP305)</f>
        <v>-120</v>
      </c>
      <c r="BT305" s="1">
        <f>SUM($AP305,$AQ305:AV305)-SUM($CK305:CQ305)</f>
        <v>-240</v>
      </c>
      <c r="BU305" s="1">
        <f>SUM($AP305,$AQ305:AW305)-SUM($CK305:CR305)</f>
        <v>-400</v>
      </c>
      <c r="BV305" s="1">
        <f>SUM($AP305,$AQ305:AX305)-SUM($CK305:CS305)</f>
        <v>-600</v>
      </c>
      <c r="BW305" s="1">
        <f>SUM($AP305,$AQ305:AY305)-SUM($CK305:CT305)</f>
        <v>-840</v>
      </c>
      <c r="BX305" s="1">
        <f>SUM($AP305,$AQ305:AZ305)-SUM($CK305:CU305)</f>
        <v>-1120</v>
      </c>
      <c r="BY305" s="1">
        <f>SUM($AP305,$AQ305:BA305)-SUM($CK305:CV305)</f>
        <v>-1440</v>
      </c>
      <c r="BZ305" s="1">
        <f>SUM($AP305,$AQ305:BB305)-SUM($CK305:CW305)</f>
        <v>-1800</v>
      </c>
      <c r="CA305" s="1">
        <f>SUM($AP305,$AQ305:BC305)-SUM($CK305:CX305)</f>
        <v>-2200</v>
      </c>
      <c r="CB305" s="1">
        <f>SUM($AP305,$AQ305:BD305)-SUM($CK305:CY305)</f>
        <v>-2640</v>
      </c>
      <c r="CC305" s="1">
        <f>SUM($AP305,$AQ305:BE305)-SUM($CK305:CZ305)</f>
        <v>-3120</v>
      </c>
      <c r="CD305" s="1">
        <f>SUM($AP305,$AQ305:BF305)-SUM($CK305:DA305)</f>
        <v>-3640</v>
      </c>
      <c r="CE305" s="1">
        <f>SUM($AP305,$AQ305:BG305)-SUM($CK305:DB305)</f>
        <v>-3640</v>
      </c>
      <c r="CF305" s="1">
        <f>SUM($AP305,$AQ305:BH305)-SUM($CK305:DC305)</f>
        <v>-3640</v>
      </c>
      <c r="CG305" s="1">
        <f>SUM($AP305,$AQ305:BI305)-SUM($CK305:DD305)</f>
        <v>-3640</v>
      </c>
      <c r="CK305" s="1">
        <f t="array" ref="CK305">SUMPRODUCT($H305:$Y305,(TRANSPOSE(CK$2:CK$19)))</f>
        <v>0</v>
      </c>
      <c r="CL305" s="1">
        <f t="array" ref="CL305">SUMPRODUCT($H305:$Y305,(TRANSPOSE(CL$2:CL$19)))</f>
        <v>0</v>
      </c>
      <c r="CM305" s="1">
        <f t="array" ref="CM305">SUMPRODUCT($H305:$Y305,(TRANSPOSE(CM$2:CM$19)))</f>
        <v>0</v>
      </c>
      <c r="CN305" s="1">
        <f t="array" ref="CN305">SUMPRODUCT($H305:$Y305,(TRANSPOSE(CN$2:CN$19)))</f>
        <v>0</v>
      </c>
      <c r="CO305" s="1">
        <f t="array" ref="CO305">SUMPRODUCT($H305:$Y305,(TRANSPOSE(CO$2:CO$19)))</f>
        <v>40</v>
      </c>
      <c r="CP305" s="1">
        <f t="array" ref="CP305">SUMPRODUCT($H305:$Y305,(TRANSPOSE(CP$2:CP$19)))</f>
        <v>80</v>
      </c>
      <c r="CQ305" s="1">
        <f t="array" ref="CQ305">SUMPRODUCT($H305:$Y305,(TRANSPOSE(CQ$2:CQ$19)))</f>
        <v>120</v>
      </c>
      <c r="CR305" s="1">
        <f t="array" ref="CR305">SUMPRODUCT($H305:$Y305,(TRANSPOSE(CR$2:CR$19)))</f>
        <v>160</v>
      </c>
      <c r="CS305" s="1">
        <f t="array" ref="CS305">SUMPRODUCT($H305:$Y305,(TRANSPOSE(CS$2:CS$19)))</f>
        <v>200</v>
      </c>
      <c r="CT305" s="1">
        <f t="array" ref="CT305">SUMPRODUCT($H305:$Y305,(TRANSPOSE(CT$2:CT$19)))</f>
        <v>240</v>
      </c>
      <c r="CU305" s="1">
        <f t="array" ref="CU305">SUMPRODUCT($H305:$Y305,(TRANSPOSE(CU$2:CU$19)))</f>
        <v>280</v>
      </c>
      <c r="CV305" s="1">
        <f t="array" ref="CV305">SUMPRODUCT($H305:$Y305,(TRANSPOSE(CV$2:CV$19)))</f>
        <v>320</v>
      </c>
      <c r="CW305" s="1">
        <f t="array" ref="CW305">SUMPRODUCT($H305:$Y305,(TRANSPOSE(CW$2:CW$19)))</f>
        <v>360</v>
      </c>
      <c r="CX305" s="1">
        <f t="array" ref="CX305">SUMPRODUCT($H305:$Y305,(TRANSPOSE(CX$2:CX$19)))</f>
        <v>400</v>
      </c>
      <c r="CY305" s="1">
        <f t="array" ref="CY305">SUMPRODUCT($H305:$Y305,(TRANSPOSE(CY$2:CY$19)))</f>
        <v>440</v>
      </c>
      <c r="CZ305" s="1">
        <f t="array" ref="CZ305">SUMPRODUCT($H305:$Y305,(TRANSPOSE(CZ$2:CZ$19)))</f>
        <v>480</v>
      </c>
      <c r="DA305" s="1">
        <f t="array" ref="DA305">SUMPRODUCT($H305:$Y305,(TRANSPOSE(DA$2:DA$19)))</f>
        <v>520</v>
      </c>
      <c r="DB305" s="1">
        <f t="array" ref="DB305">SUMPRODUCT($H305:$Y305,(TRANSPOSE(DB$2:DB$19)))</f>
        <v>0</v>
      </c>
      <c r="DC305" s="1">
        <f t="array" ref="DC305">SUMPRODUCT($H305:$Y305,(TRANSPOSE(DC$2:DC$19)))</f>
        <v>0</v>
      </c>
      <c r="DD305" s="1">
        <f t="array" ref="DD305">SUMPRODUCT($H305:$Y305,(TRANSPOSE(DD$2:DD$19)))</f>
        <v>0</v>
      </c>
    </row>
    <row r="306" spans="1:108" x14ac:dyDescent="0.2">
      <c r="A306" s="1">
        <v>379</v>
      </c>
      <c r="B306" s="10" t="s">
        <v>58</v>
      </c>
      <c r="C306" s="1" t="s">
        <v>22</v>
      </c>
      <c r="D306" s="1">
        <v>584100192</v>
      </c>
      <c r="E306" s="1">
        <v>400563162</v>
      </c>
      <c r="F306" s="1" t="s">
        <v>57</v>
      </c>
      <c r="G306" s="1" t="s">
        <v>20</v>
      </c>
      <c r="H306" s="1">
        <v>0</v>
      </c>
      <c r="I306" s="1">
        <v>0</v>
      </c>
      <c r="J306" s="1">
        <v>0</v>
      </c>
      <c r="K306" s="1">
        <v>120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6</v>
      </c>
      <c r="S306" s="1">
        <v>12</v>
      </c>
      <c r="T306" s="1">
        <v>0</v>
      </c>
      <c r="U306" s="1">
        <v>0</v>
      </c>
      <c r="V306" s="1">
        <v>6</v>
      </c>
      <c r="W306" s="1">
        <v>12</v>
      </c>
      <c r="X306" s="1">
        <v>0</v>
      </c>
      <c r="Y306" s="1">
        <v>0</v>
      </c>
      <c r="Z306" s="1">
        <f>SUM(H306:Y306)</f>
        <v>156</v>
      </c>
      <c r="AA306" s="1">
        <f>SUMPRODUCT(H306:Y306,$H$16:$Y$16)</f>
        <v>141960</v>
      </c>
      <c r="AB306" s="1" t="s">
        <v>18</v>
      </c>
      <c r="AC306" s="1">
        <v>0</v>
      </c>
      <c r="AD306" s="9"/>
      <c r="AE306" s="1" t="s">
        <v>19</v>
      </c>
      <c r="AF306" s="1">
        <f>AC306</f>
        <v>0</v>
      </c>
      <c r="AG306" s="1">
        <v>1</v>
      </c>
      <c r="AH306" s="1">
        <v>1</v>
      </c>
      <c r="AI306" s="1" t="s">
        <v>18</v>
      </c>
      <c r="AJ306" s="1" t="s">
        <v>18</v>
      </c>
      <c r="AK306" s="1" t="s">
        <v>18</v>
      </c>
      <c r="AL306" s="1" t="s">
        <v>18</v>
      </c>
      <c r="AM306" s="1" t="s">
        <v>18</v>
      </c>
      <c r="AN306" s="2" t="s">
        <v>18</v>
      </c>
      <c r="BO306" s="1">
        <f>SUM($AP306,$AQ306:AQ306)-SUM($CK306:CL306)</f>
        <v>0</v>
      </c>
      <c r="BP306" s="1">
        <f>SUM($AP306,$AQ306:AR306)-SUM($CK306:CM306)</f>
        <v>0</v>
      </c>
      <c r="BQ306" s="1">
        <f>SUM($AP306,$AQ306:AS306)-SUM($CK306:CN306)</f>
        <v>0</v>
      </c>
      <c r="BR306" s="1">
        <f>SUM($AP306,$AQ306:AT306)-SUM($CK306:CO306)</f>
        <v>-1200</v>
      </c>
      <c r="BS306" s="1">
        <f>SUM($AP306,$AQ306:AU306)-SUM($CK306:CP306)</f>
        <v>-3840</v>
      </c>
      <c r="BT306" s="1">
        <f>SUM($AP306,$AQ306:AV306)-SUM($CK306:CQ306)</f>
        <v>-8040</v>
      </c>
      <c r="BU306" s="1">
        <f>SUM($AP306,$AQ306:AW306)-SUM($CK306:CR306)</f>
        <v>-13800</v>
      </c>
      <c r="BV306" s="1">
        <f>SUM($AP306,$AQ306:AX306)-SUM($CK306:CS306)</f>
        <v>-21120</v>
      </c>
      <c r="BW306" s="1">
        <f>SUM($AP306,$AQ306:AY306)-SUM($CK306:CT306)</f>
        <v>-30000</v>
      </c>
      <c r="BX306" s="1">
        <f>SUM($AP306,$AQ306:AZ306)-SUM($CK306:CU306)</f>
        <v>-40440</v>
      </c>
      <c r="BY306" s="1">
        <f>SUM($AP306,$AQ306:BA306)-SUM($CK306:CV306)</f>
        <v>-52440</v>
      </c>
      <c r="BZ306" s="1">
        <f>SUM($AP306,$AQ306:BB306)-SUM($CK306:CW306)</f>
        <v>-66000</v>
      </c>
      <c r="CA306" s="1">
        <f>SUM($AP306,$AQ306:BC306)-SUM($CK306:CX306)</f>
        <v>-81120</v>
      </c>
      <c r="CB306" s="1">
        <f>SUM($AP306,$AQ306:BD306)-SUM($CK306:CY306)</f>
        <v>-97800</v>
      </c>
      <c r="CC306" s="1">
        <f>SUM($AP306,$AQ306:BE306)-SUM($CK306:CZ306)</f>
        <v>-116040</v>
      </c>
      <c r="CD306" s="1">
        <f>SUM($AP306,$AQ306:BF306)-SUM($CK306:DA306)</f>
        <v>-135840</v>
      </c>
      <c r="CE306" s="1">
        <f>SUM($AP306,$AQ306:BG306)-SUM($CK306:DB306)</f>
        <v>-140400</v>
      </c>
      <c r="CF306" s="1">
        <f>SUM($AP306,$AQ306:BH306)-SUM($CK306:DC306)</f>
        <v>-141960</v>
      </c>
      <c r="CG306" s="1">
        <f>SUM($AP306,$AQ306:BI306)-SUM($CK306:DD306)</f>
        <v>-141960</v>
      </c>
      <c r="CK306" s="1">
        <f t="array" ref="CK306">SUMPRODUCT($H306:$Y306,(TRANSPOSE(CK$2:CK$19)))</f>
        <v>0</v>
      </c>
      <c r="CL306" s="1">
        <f t="array" ref="CL306">SUMPRODUCT($H306:$Y306,(TRANSPOSE(CL$2:CL$19)))</f>
        <v>0</v>
      </c>
      <c r="CM306" s="1">
        <f t="array" ref="CM306">SUMPRODUCT($H306:$Y306,(TRANSPOSE(CM$2:CM$19)))</f>
        <v>0</v>
      </c>
      <c r="CN306" s="1">
        <f t="array" ref="CN306">SUMPRODUCT($H306:$Y306,(TRANSPOSE(CN$2:CN$19)))</f>
        <v>0</v>
      </c>
      <c r="CO306" s="1">
        <f t="array" ref="CO306">SUMPRODUCT($H306:$Y306,(TRANSPOSE(CO$2:CO$19)))</f>
        <v>1200</v>
      </c>
      <c r="CP306" s="1">
        <f t="array" ref="CP306">SUMPRODUCT($H306:$Y306,(TRANSPOSE(CP$2:CP$19)))</f>
        <v>2640</v>
      </c>
      <c r="CQ306" s="1">
        <f t="array" ref="CQ306">SUMPRODUCT($H306:$Y306,(TRANSPOSE(CQ$2:CQ$19)))</f>
        <v>4200</v>
      </c>
      <c r="CR306" s="1">
        <f t="array" ref="CR306">SUMPRODUCT($H306:$Y306,(TRANSPOSE(CR$2:CR$19)))</f>
        <v>5760</v>
      </c>
      <c r="CS306" s="1">
        <f t="array" ref="CS306">SUMPRODUCT($H306:$Y306,(TRANSPOSE(CS$2:CS$19)))</f>
        <v>7320</v>
      </c>
      <c r="CT306" s="1">
        <f t="array" ref="CT306">SUMPRODUCT($H306:$Y306,(TRANSPOSE(CT$2:CT$19)))</f>
        <v>8880</v>
      </c>
      <c r="CU306" s="1">
        <f t="array" ref="CU306">SUMPRODUCT($H306:$Y306,(TRANSPOSE(CU$2:CU$19)))</f>
        <v>10440</v>
      </c>
      <c r="CV306" s="1">
        <f t="array" ref="CV306">SUMPRODUCT($H306:$Y306,(TRANSPOSE(CV$2:CV$19)))</f>
        <v>12000</v>
      </c>
      <c r="CW306" s="1">
        <f t="array" ref="CW306">SUMPRODUCT($H306:$Y306,(TRANSPOSE(CW$2:CW$19)))</f>
        <v>13560</v>
      </c>
      <c r="CX306" s="1">
        <f t="array" ref="CX306">SUMPRODUCT($H306:$Y306,(TRANSPOSE(CX$2:CX$19)))</f>
        <v>15120</v>
      </c>
      <c r="CY306" s="1">
        <f t="array" ref="CY306">SUMPRODUCT($H306:$Y306,(TRANSPOSE(CY$2:CY$19)))</f>
        <v>16680</v>
      </c>
      <c r="CZ306" s="1">
        <f t="array" ref="CZ306">SUMPRODUCT($H306:$Y306,(TRANSPOSE(CZ$2:CZ$19)))</f>
        <v>18240</v>
      </c>
      <c r="DA306" s="1">
        <f t="array" ref="DA306">SUMPRODUCT($H306:$Y306,(TRANSPOSE(DA$2:DA$19)))</f>
        <v>19800</v>
      </c>
      <c r="DB306" s="1">
        <f t="array" ref="DB306">SUMPRODUCT($H306:$Y306,(TRANSPOSE(DB$2:DB$19)))</f>
        <v>4560</v>
      </c>
      <c r="DC306" s="1">
        <f t="array" ref="DC306">SUMPRODUCT($H306:$Y306,(TRANSPOSE(DC$2:DC$19)))</f>
        <v>1560</v>
      </c>
      <c r="DD306" s="1">
        <f t="array" ref="DD306">SUMPRODUCT($H306:$Y306,(TRANSPOSE(DD$2:DD$19)))</f>
        <v>0</v>
      </c>
    </row>
    <row r="307" spans="1:108" x14ac:dyDescent="0.2">
      <c r="A307" s="1">
        <v>383</v>
      </c>
      <c r="B307" s="10" t="s">
        <v>56</v>
      </c>
      <c r="C307" s="1" t="s">
        <v>22</v>
      </c>
      <c r="D307" s="1">
        <v>407349608</v>
      </c>
      <c r="F307" s="1" t="s">
        <v>55</v>
      </c>
      <c r="G307" s="1" t="s">
        <v>20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68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f>SUM(H307:Y307)</f>
        <v>68</v>
      </c>
      <c r="AA307" s="1">
        <f>SUMPRODUCT(H307:Y307,$H$16:$Y$16)</f>
        <v>61880</v>
      </c>
      <c r="AB307" s="1" t="s">
        <v>54</v>
      </c>
      <c r="AC307" s="1">
        <v>0.75</v>
      </c>
      <c r="AD307" s="9"/>
      <c r="AE307" s="1" t="s">
        <v>28</v>
      </c>
      <c r="AF307" s="1">
        <f>AC307</f>
        <v>0.75</v>
      </c>
      <c r="AG307" s="1">
        <v>3000</v>
      </c>
      <c r="AH307" s="1">
        <v>3000</v>
      </c>
      <c r="AI307" s="1" t="s">
        <v>53</v>
      </c>
      <c r="AK307" s="1" t="s">
        <v>52</v>
      </c>
      <c r="AL307" s="1" t="s">
        <v>51</v>
      </c>
      <c r="AM307" s="1" t="s">
        <v>50</v>
      </c>
      <c r="AN307" s="2" t="s">
        <v>49</v>
      </c>
      <c r="BO307" s="1">
        <f>SUM($AP307,$AQ307:AQ307)-SUM($CK307:CL307)</f>
        <v>0</v>
      </c>
      <c r="BP307" s="1">
        <f>SUM($AP307,$AQ307:AR307)-SUM($CK307:CM307)</f>
        <v>0</v>
      </c>
      <c r="BQ307" s="1">
        <f>SUM($AP307,$AQ307:AS307)-SUM($CK307:CN307)</f>
        <v>0</v>
      </c>
      <c r="BR307" s="1">
        <f>SUM($AP307,$AQ307:AT307)-SUM($CK307:CO307)</f>
        <v>-680</v>
      </c>
      <c r="BS307" s="1">
        <f>SUM($AP307,$AQ307:AU307)-SUM($CK307:CP307)</f>
        <v>-2040</v>
      </c>
      <c r="BT307" s="1">
        <f>SUM($AP307,$AQ307:AV307)-SUM($CK307:CQ307)</f>
        <v>-4080</v>
      </c>
      <c r="BU307" s="1">
        <f>SUM($AP307,$AQ307:AW307)-SUM($CK307:CR307)</f>
        <v>-6800</v>
      </c>
      <c r="BV307" s="1">
        <f>SUM($AP307,$AQ307:AX307)-SUM($CK307:CS307)</f>
        <v>-10200</v>
      </c>
      <c r="BW307" s="1">
        <f>SUM($AP307,$AQ307:AY307)-SUM($CK307:CT307)</f>
        <v>-14280</v>
      </c>
      <c r="BX307" s="1">
        <f>SUM($AP307,$AQ307:AZ307)-SUM($CK307:CU307)</f>
        <v>-19040</v>
      </c>
      <c r="BY307" s="1">
        <f>SUM($AP307,$AQ307:BA307)-SUM($CK307:CV307)</f>
        <v>-24480</v>
      </c>
      <c r="BZ307" s="1">
        <f>SUM($AP307,$AQ307:BB307)-SUM($CK307:CW307)</f>
        <v>-30600</v>
      </c>
      <c r="CA307" s="1">
        <f>SUM($AP307,$AQ307:BC307)-SUM($CK307:CX307)</f>
        <v>-37400</v>
      </c>
      <c r="CB307" s="1">
        <f>SUM($AP307,$AQ307:BD307)-SUM($CK307:CY307)</f>
        <v>-44880</v>
      </c>
      <c r="CC307" s="1">
        <f>SUM($AP307,$AQ307:BE307)-SUM($CK307:CZ307)</f>
        <v>-53040</v>
      </c>
      <c r="CD307" s="1">
        <f>SUM($AP307,$AQ307:BF307)-SUM($CK307:DA307)</f>
        <v>-61880</v>
      </c>
      <c r="CE307" s="1">
        <f>SUM($AP307,$AQ307:BG307)-SUM($CK307:DB307)</f>
        <v>-61880</v>
      </c>
      <c r="CF307" s="1">
        <f>SUM($AP307,$AQ307:BH307)-SUM($CK307:DC307)</f>
        <v>-61880</v>
      </c>
      <c r="CG307" s="1">
        <f>SUM($AP307,$AQ307:BI307)-SUM($CK307:DD307)</f>
        <v>-61880</v>
      </c>
      <c r="CK307" s="1">
        <f t="array" ref="CK307">SUMPRODUCT($H307:$Y307,(TRANSPOSE(CK$2:CK$19)))</f>
        <v>0</v>
      </c>
      <c r="CL307" s="1">
        <f t="array" ref="CL307">SUMPRODUCT($H307:$Y307,(TRANSPOSE(CL$2:CL$19)))</f>
        <v>0</v>
      </c>
      <c r="CM307" s="1">
        <f t="array" ref="CM307">SUMPRODUCT($H307:$Y307,(TRANSPOSE(CM$2:CM$19)))</f>
        <v>0</v>
      </c>
      <c r="CN307" s="1">
        <f t="array" ref="CN307">SUMPRODUCT($H307:$Y307,(TRANSPOSE(CN$2:CN$19)))</f>
        <v>0</v>
      </c>
      <c r="CO307" s="1">
        <f t="array" ref="CO307">SUMPRODUCT($H307:$Y307,(TRANSPOSE(CO$2:CO$19)))</f>
        <v>680</v>
      </c>
      <c r="CP307" s="1">
        <f t="array" ref="CP307">SUMPRODUCT($H307:$Y307,(TRANSPOSE(CP$2:CP$19)))</f>
        <v>1360</v>
      </c>
      <c r="CQ307" s="1">
        <f t="array" ref="CQ307">SUMPRODUCT($H307:$Y307,(TRANSPOSE(CQ$2:CQ$19)))</f>
        <v>2040</v>
      </c>
      <c r="CR307" s="1">
        <f t="array" ref="CR307">SUMPRODUCT($H307:$Y307,(TRANSPOSE(CR$2:CR$19)))</f>
        <v>2720</v>
      </c>
      <c r="CS307" s="1">
        <f t="array" ref="CS307">SUMPRODUCT($H307:$Y307,(TRANSPOSE(CS$2:CS$19)))</f>
        <v>3400</v>
      </c>
      <c r="CT307" s="1">
        <f t="array" ref="CT307">SUMPRODUCT($H307:$Y307,(TRANSPOSE(CT$2:CT$19)))</f>
        <v>4080</v>
      </c>
      <c r="CU307" s="1">
        <f t="array" ref="CU307">SUMPRODUCT($H307:$Y307,(TRANSPOSE(CU$2:CU$19)))</f>
        <v>4760</v>
      </c>
      <c r="CV307" s="1">
        <f t="array" ref="CV307">SUMPRODUCT($H307:$Y307,(TRANSPOSE(CV$2:CV$19)))</f>
        <v>5440</v>
      </c>
      <c r="CW307" s="1">
        <f t="array" ref="CW307">SUMPRODUCT($H307:$Y307,(TRANSPOSE(CW$2:CW$19)))</f>
        <v>6120</v>
      </c>
      <c r="CX307" s="1">
        <f t="array" ref="CX307">SUMPRODUCT($H307:$Y307,(TRANSPOSE(CX$2:CX$19)))</f>
        <v>6800</v>
      </c>
      <c r="CY307" s="1">
        <f t="array" ref="CY307">SUMPRODUCT($H307:$Y307,(TRANSPOSE(CY$2:CY$19)))</f>
        <v>7480</v>
      </c>
      <c r="CZ307" s="1">
        <f t="array" ref="CZ307">SUMPRODUCT($H307:$Y307,(TRANSPOSE(CZ$2:CZ$19)))</f>
        <v>8160</v>
      </c>
      <c r="DA307" s="1">
        <f t="array" ref="DA307">SUMPRODUCT($H307:$Y307,(TRANSPOSE(DA$2:DA$19)))</f>
        <v>8840</v>
      </c>
      <c r="DB307" s="1">
        <f t="array" ref="DB307">SUMPRODUCT($H307:$Y307,(TRANSPOSE(DB$2:DB$19)))</f>
        <v>0</v>
      </c>
      <c r="DC307" s="1">
        <f t="array" ref="DC307">SUMPRODUCT($H307:$Y307,(TRANSPOSE(DC$2:DC$19)))</f>
        <v>0</v>
      </c>
      <c r="DD307" s="1">
        <f t="array" ref="DD307">SUMPRODUCT($H307:$Y307,(TRANSPOSE(DD$2:DD$19)))</f>
        <v>0</v>
      </c>
    </row>
    <row r="308" spans="1:108" ht="13.5" thickBot="1" x14ac:dyDescent="0.25">
      <c r="A308" s="1">
        <v>384</v>
      </c>
      <c r="B308" s="10" t="s">
        <v>48</v>
      </c>
      <c r="C308" s="1" t="s">
        <v>38</v>
      </c>
      <c r="D308" s="1" t="s">
        <v>47</v>
      </c>
      <c r="F308" s="1" t="s">
        <v>46</v>
      </c>
      <c r="G308" s="1" t="s">
        <v>20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f>SUM(H308:Y308)</f>
        <v>2</v>
      </c>
      <c r="AA308" s="1">
        <f>SUMPRODUCT(H308:Y308,$H$16:$Y$16)</f>
        <v>1820</v>
      </c>
      <c r="AB308" s="1" t="s">
        <v>18</v>
      </c>
      <c r="AC308" s="1">
        <v>0</v>
      </c>
      <c r="AD308" s="9"/>
      <c r="AE308" s="1" t="s">
        <v>19</v>
      </c>
      <c r="AF308" s="1">
        <f>AC308</f>
        <v>0</v>
      </c>
      <c r="AG308" s="1">
        <v>1</v>
      </c>
      <c r="AH308" s="1">
        <v>1</v>
      </c>
      <c r="AI308" s="1" t="s">
        <v>18</v>
      </c>
      <c r="AJ308" s="1" t="s">
        <v>18</v>
      </c>
      <c r="AK308" s="1" t="s">
        <v>18</v>
      </c>
      <c r="AL308" s="1" t="s">
        <v>18</v>
      </c>
      <c r="AM308" s="1" t="s">
        <v>18</v>
      </c>
      <c r="AN308" s="2" t="s">
        <v>18</v>
      </c>
      <c r="BO308" s="1">
        <f>SUM($AP308,$AQ308:AQ308)-SUM($CK308:CL308)</f>
        <v>0</v>
      </c>
      <c r="BP308" s="1">
        <f>SUM($AP308,$AQ308:AR308)-SUM($CK308:CM308)</f>
        <v>0</v>
      </c>
      <c r="BQ308" s="1">
        <f>SUM($AP308,$AQ308:AS308)-SUM($CK308:CN308)</f>
        <v>-20</v>
      </c>
      <c r="BR308" s="1">
        <f>SUM($AP308,$AQ308:AT308)-SUM($CK308:CO308)</f>
        <v>-60</v>
      </c>
      <c r="BS308" s="1">
        <f>SUM($AP308,$AQ308:AU308)-SUM($CK308:CP308)</f>
        <v>-120</v>
      </c>
      <c r="BT308" s="1">
        <f>SUM($AP308,$AQ308:AV308)-SUM($CK308:CQ308)</f>
        <v>-200</v>
      </c>
      <c r="BU308" s="1">
        <f>SUM($AP308,$AQ308:AW308)-SUM($CK308:CR308)</f>
        <v>-300</v>
      </c>
      <c r="BV308" s="1">
        <f>SUM($AP308,$AQ308:AX308)-SUM($CK308:CS308)</f>
        <v>-420</v>
      </c>
      <c r="BW308" s="1">
        <f>SUM($AP308,$AQ308:AY308)-SUM($CK308:CT308)</f>
        <v>-560</v>
      </c>
      <c r="BX308" s="1">
        <f>SUM($AP308,$AQ308:AZ308)-SUM($CK308:CU308)</f>
        <v>-720</v>
      </c>
      <c r="BY308" s="1">
        <f>SUM($AP308,$AQ308:BA308)-SUM($CK308:CV308)</f>
        <v>-900</v>
      </c>
      <c r="BZ308" s="1">
        <f>SUM($AP308,$AQ308:BB308)-SUM($CK308:CW308)</f>
        <v>-1100</v>
      </c>
      <c r="CA308" s="1">
        <f>SUM($AP308,$AQ308:BC308)-SUM($CK308:CX308)</f>
        <v>-1320</v>
      </c>
      <c r="CB308" s="1">
        <f>SUM($AP308,$AQ308:BD308)-SUM($CK308:CY308)</f>
        <v>-1560</v>
      </c>
      <c r="CC308" s="1">
        <f>SUM($AP308,$AQ308:BE308)-SUM($CK308:CZ308)</f>
        <v>-1820</v>
      </c>
      <c r="CD308" s="1">
        <f>SUM($AP308,$AQ308:BF308)-SUM($CK308:DA308)</f>
        <v>-1820</v>
      </c>
      <c r="CE308" s="1">
        <f>SUM($AP308,$AQ308:BG308)-SUM($CK308:DB308)</f>
        <v>-1820</v>
      </c>
      <c r="CF308" s="1">
        <f>SUM($AP308,$AQ308:BH308)-SUM($CK308:DC308)</f>
        <v>-1820</v>
      </c>
      <c r="CG308" s="1">
        <f>SUM($AP308,$AQ308:BI308)-SUM($CK308:DD308)</f>
        <v>-1820</v>
      </c>
      <c r="CK308" s="1">
        <f t="array" ref="CK308">SUMPRODUCT($H308:$Y308,(TRANSPOSE(CK$2:CK$19)))</f>
        <v>0</v>
      </c>
      <c r="CL308" s="1">
        <f t="array" ref="CL308">SUMPRODUCT($H308:$Y308,(TRANSPOSE(CL$2:CL$19)))</f>
        <v>0</v>
      </c>
      <c r="CM308" s="1">
        <f t="array" ref="CM308">SUMPRODUCT($H308:$Y308,(TRANSPOSE(CM$2:CM$19)))</f>
        <v>0</v>
      </c>
      <c r="CN308" s="1">
        <f t="array" ref="CN308">SUMPRODUCT($H308:$Y308,(TRANSPOSE(CN$2:CN$19)))</f>
        <v>20</v>
      </c>
      <c r="CO308" s="1">
        <f t="array" ref="CO308">SUMPRODUCT($H308:$Y308,(TRANSPOSE(CO$2:CO$19)))</f>
        <v>40</v>
      </c>
      <c r="CP308" s="1">
        <f t="array" ref="CP308">SUMPRODUCT($H308:$Y308,(TRANSPOSE(CP$2:CP$19)))</f>
        <v>60</v>
      </c>
      <c r="CQ308" s="1">
        <f t="array" ref="CQ308">SUMPRODUCT($H308:$Y308,(TRANSPOSE(CQ$2:CQ$19)))</f>
        <v>80</v>
      </c>
      <c r="CR308" s="1">
        <f t="array" ref="CR308">SUMPRODUCT($H308:$Y308,(TRANSPOSE(CR$2:CR$19)))</f>
        <v>100</v>
      </c>
      <c r="CS308" s="1">
        <f t="array" ref="CS308">SUMPRODUCT($H308:$Y308,(TRANSPOSE(CS$2:CS$19)))</f>
        <v>120</v>
      </c>
      <c r="CT308" s="1">
        <f t="array" ref="CT308">SUMPRODUCT($H308:$Y308,(TRANSPOSE(CT$2:CT$19)))</f>
        <v>140</v>
      </c>
      <c r="CU308" s="1">
        <f t="array" ref="CU308">SUMPRODUCT($H308:$Y308,(TRANSPOSE(CU$2:CU$19)))</f>
        <v>160</v>
      </c>
      <c r="CV308" s="1">
        <f t="array" ref="CV308">SUMPRODUCT($H308:$Y308,(TRANSPOSE(CV$2:CV$19)))</f>
        <v>180</v>
      </c>
      <c r="CW308" s="1">
        <f t="array" ref="CW308">SUMPRODUCT($H308:$Y308,(TRANSPOSE(CW$2:CW$19)))</f>
        <v>200</v>
      </c>
      <c r="CX308" s="1">
        <f t="array" ref="CX308">SUMPRODUCT($H308:$Y308,(TRANSPOSE(CX$2:CX$19)))</f>
        <v>220</v>
      </c>
      <c r="CY308" s="1">
        <f t="array" ref="CY308">SUMPRODUCT($H308:$Y308,(TRANSPOSE(CY$2:CY$19)))</f>
        <v>240</v>
      </c>
      <c r="CZ308" s="1">
        <f t="array" ref="CZ308">SUMPRODUCT($H308:$Y308,(TRANSPOSE(CZ$2:CZ$19)))</f>
        <v>260</v>
      </c>
      <c r="DA308" s="1">
        <f t="array" ref="DA308">SUMPRODUCT($H308:$Y308,(TRANSPOSE(DA$2:DA$19)))</f>
        <v>0</v>
      </c>
      <c r="DB308" s="1">
        <f t="array" ref="DB308">SUMPRODUCT($H308:$Y308,(TRANSPOSE(DB$2:DB$19)))</f>
        <v>0</v>
      </c>
      <c r="DC308" s="1">
        <f t="array" ref="DC308">SUMPRODUCT($H308:$Y308,(TRANSPOSE(DC$2:DC$19)))</f>
        <v>0</v>
      </c>
      <c r="DD308" s="1">
        <f t="array" ref="DD308">SUMPRODUCT($H308:$Y308,(TRANSPOSE(DD$2:DD$19)))</f>
        <v>0</v>
      </c>
    </row>
    <row r="309" spans="1:108" ht="13.5" thickBot="1" x14ac:dyDescent="0.25">
      <c r="A309" s="1">
        <v>385</v>
      </c>
      <c r="B309" s="12" t="s">
        <v>45</v>
      </c>
      <c r="C309" s="1" t="s">
        <v>22</v>
      </c>
      <c r="D309" s="1">
        <v>400396960</v>
      </c>
      <c r="F309" s="1" t="s">
        <v>44</v>
      </c>
      <c r="G309" s="1" t="s">
        <v>20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2</v>
      </c>
      <c r="Y309" s="1">
        <v>0</v>
      </c>
      <c r="Z309" s="1">
        <f>SUM(H309:Y309)</f>
        <v>2</v>
      </c>
      <c r="AA309" s="1">
        <f>SUMPRODUCT(H309:Y309,$H$16:$Y$16)</f>
        <v>1820</v>
      </c>
      <c r="AB309" s="11" t="s">
        <v>29</v>
      </c>
      <c r="AC309" s="1">
        <v>5.9</v>
      </c>
      <c r="AD309" s="9"/>
      <c r="AE309" s="1" t="s">
        <v>28</v>
      </c>
      <c r="AF309" s="1">
        <f>AC309</f>
        <v>5.9</v>
      </c>
      <c r="AG309" s="1">
        <v>1000</v>
      </c>
      <c r="AH309" s="1">
        <v>1</v>
      </c>
      <c r="AI309" s="1" t="s">
        <v>43</v>
      </c>
      <c r="AK309" s="1" t="s">
        <v>27</v>
      </c>
      <c r="AL309" s="1" t="s">
        <v>26</v>
      </c>
      <c r="AM309" s="1" t="s">
        <v>25</v>
      </c>
      <c r="AN309" s="2" t="s">
        <v>24</v>
      </c>
      <c r="BO309" s="1">
        <f>SUM($AP309,$AQ309:AQ309)-SUM($CK309:CL309)</f>
        <v>0</v>
      </c>
      <c r="BP309" s="1">
        <f>SUM($AP309,$AQ309:AR309)-SUM($CK309:CM309)</f>
        <v>0</v>
      </c>
      <c r="BQ309" s="1">
        <f>SUM($AP309,$AQ309:AS309)-SUM($CK309:CN309)</f>
        <v>0</v>
      </c>
      <c r="BR309" s="1">
        <f>SUM($AP309,$AQ309:AT309)-SUM($CK309:CO309)</f>
        <v>-20</v>
      </c>
      <c r="BS309" s="1">
        <f>SUM($AP309,$AQ309:AU309)-SUM($CK309:CP309)</f>
        <v>-60</v>
      </c>
      <c r="BT309" s="1">
        <f>SUM($AP309,$AQ309:AV309)-SUM($CK309:CQ309)</f>
        <v>-120</v>
      </c>
      <c r="BU309" s="1">
        <f>SUM($AP309,$AQ309:AW309)-SUM($CK309:CR309)</f>
        <v>-200</v>
      </c>
      <c r="BV309" s="1">
        <f>SUM($AP309,$AQ309:AX309)-SUM($CK309:CS309)</f>
        <v>-300</v>
      </c>
      <c r="BW309" s="1">
        <f>SUM($AP309,$AQ309:AY309)-SUM($CK309:CT309)</f>
        <v>-420</v>
      </c>
      <c r="BX309" s="1">
        <f>SUM($AP309,$AQ309:AZ309)-SUM($CK309:CU309)</f>
        <v>-560</v>
      </c>
      <c r="BY309" s="1">
        <f>SUM($AP309,$AQ309:BA309)-SUM($CK309:CV309)</f>
        <v>-720</v>
      </c>
      <c r="BZ309" s="1">
        <f>SUM($AP309,$AQ309:BB309)-SUM($CK309:CW309)</f>
        <v>-900</v>
      </c>
      <c r="CA309" s="1">
        <f>SUM($AP309,$AQ309:BC309)-SUM($CK309:CX309)</f>
        <v>-1100</v>
      </c>
      <c r="CB309" s="1">
        <f>SUM($AP309,$AQ309:BD309)-SUM($CK309:CY309)</f>
        <v>-1320</v>
      </c>
      <c r="CC309" s="1">
        <f>SUM($AP309,$AQ309:BE309)-SUM($CK309:CZ309)</f>
        <v>-1560</v>
      </c>
      <c r="CD309" s="1">
        <f>SUM($AP309,$AQ309:BF309)-SUM($CK309:DA309)</f>
        <v>-1820</v>
      </c>
      <c r="CE309" s="1">
        <f>SUM($AP309,$AQ309:BG309)-SUM($CK309:DB309)</f>
        <v>-1820</v>
      </c>
      <c r="CF309" s="1">
        <f>SUM($AP309,$AQ309:BH309)-SUM($CK309:DC309)</f>
        <v>-1820</v>
      </c>
      <c r="CG309" s="1">
        <f>SUM($AP309,$AQ309:BI309)-SUM($CK309:DD309)</f>
        <v>-1820</v>
      </c>
      <c r="CK309" s="1">
        <f t="array" ref="CK309">SUMPRODUCT($H309:$Y309,(TRANSPOSE(CK$2:CK$19)))</f>
        <v>0</v>
      </c>
      <c r="CL309" s="1">
        <f t="array" ref="CL309">SUMPRODUCT($H309:$Y309,(TRANSPOSE(CL$2:CL$19)))</f>
        <v>0</v>
      </c>
      <c r="CM309" s="1">
        <f t="array" ref="CM309">SUMPRODUCT($H309:$Y309,(TRANSPOSE(CM$2:CM$19)))</f>
        <v>0</v>
      </c>
      <c r="CN309" s="1">
        <f t="array" ref="CN309">SUMPRODUCT($H309:$Y309,(TRANSPOSE(CN$2:CN$19)))</f>
        <v>0</v>
      </c>
      <c r="CO309" s="1">
        <f t="array" ref="CO309">SUMPRODUCT($H309:$Y309,(TRANSPOSE(CO$2:CO$19)))</f>
        <v>20</v>
      </c>
      <c r="CP309" s="1">
        <f t="array" ref="CP309">SUMPRODUCT($H309:$Y309,(TRANSPOSE(CP$2:CP$19)))</f>
        <v>40</v>
      </c>
      <c r="CQ309" s="1">
        <f t="array" ref="CQ309">SUMPRODUCT($H309:$Y309,(TRANSPOSE(CQ$2:CQ$19)))</f>
        <v>60</v>
      </c>
      <c r="CR309" s="1">
        <f t="array" ref="CR309">SUMPRODUCT($H309:$Y309,(TRANSPOSE(CR$2:CR$19)))</f>
        <v>80</v>
      </c>
      <c r="CS309" s="1">
        <f t="array" ref="CS309">SUMPRODUCT($H309:$Y309,(TRANSPOSE(CS$2:CS$19)))</f>
        <v>100</v>
      </c>
      <c r="CT309" s="1">
        <f t="array" ref="CT309">SUMPRODUCT($H309:$Y309,(TRANSPOSE(CT$2:CT$19)))</f>
        <v>120</v>
      </c>
      <c r="CU309" s="1">
        <f t="array" ref="CU309">SUMPRODUCT($H309:$Y309,(TRANSPOSE(CU$2:CU$19)))</f>
        <v>140</v>
      </c>
      <c r="CV309" s="1">
        <f t="array" ref="CV309">SUMPRODUCT($H309:$Y309,(TRANSPOSE(CV$2:CV$19)))</f>
        <v>160</v>
      </c>
      <c r="CW309" s="1">
        <f t="array" ref="CW309">SUMPRODUCT($H309:$Y309,(TRANSPOSE(CW$2:CW$19)))</f>
        <v>180</v>
      </c>
      <c r="CX309" s="1">
        <f t="array" ref="CX309">SUMPRODUCT($H309:$Y309,(TRANSPOSE(CX$2:CX$19)))</f>
        <v>200</v>
      </c>
      <c r="CY309" s="1">
        <f t="array" ref="CY309">SUMPRODUCT($H309:$Y309,(TRANSPOSE(CY$2:CY$19)))</f>
        <v>220</v>
      </c>
      <c r="CZ309" s="1">
        <f t="array" ref="CZ309">SUMPRODUCT($H309:$Y309,(TRANSPOSE(CZ$2:CZ$19)))</f>
        <v>240</v>
      </c>
      <c r="DA309" s="1">
        <f t="array" ref="DA309">SUMPRODUCT($H309:$Y309,(TRANSPOSE(DA$2:DA$19)))</f>
        <v>260</v>
      </c>
      <c r="DB309" s="1">
        <f t="array" ref="DB309">SUMPRODUCT($H309:$Y309,(TRANSPOSE(DB$2:DB$19)))</f>
        <v>0</v>
      </c>
      <c r="DC309" s="1">
        <f t="array" ref="DC309">SUMPRODUCT($H309:$Y309,(TRANSPOSE(DC$2:DC$19)))</f>
        <v>0</v>
      </c>
      <c r="DD309" s="1">
        <f t="array" ref="DD309">SUMPRODUCT($H309:$Y309,(TRANSPOSE(DD$2:DD$19)))</f>
        <v>0</v>
      </c>
    </row>
    <row r="310" spans="1:108" x14ac:dyDescent="0.2">
      <c r="A310" s="1">
        <v>386</v>
      </c>
      <c r="B310" s="10" t="s">
        <v>42</v>
      </c>
      <c r="C310" s="1" t="s">
        <v>22</v>
      </c>
      <c r="D310" s="1" t="s">
        <v>41</v>
      </c>
      <c r="F310" s="1" t="s">
        <v>40</v>
      </c>
      <c r="G310" s="1" t="s">
        <v>20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2</v>
      </c>
      <c r="U310" s="1">
        <v>0</v>
      </c>
      <c r="V310" s="1">
        <v>0</v>
      </c>
      <c r="W310" s="1">
        <v>0</v>
      </c>
      <c r="X310" s="1">
        <v>2</v>
      </c>
      <c r="Y310" s="1">
        <v>0</v>
      </c>
      <c r="Z310" s="1">
        <f>SUM(H310:Y310)</f>
        <v>4</v>
      </c>
      <c r="AA310" s="1">
        <f>SUMPRODUCT(H310:Y310,$H$16:$Y$16)</f>
        <v>3640</v>
      </c>
      <c r="AB310" s="1" t="s">
        <v>29</v>
      </c>
      <c r="AC310" s="1">
        <v>1.75</v>
      </c>
      <c r="AD310" s="9"/>
      <c r="AE310" s="1" t="s">
        <v>28</v>
      </c>
      <c r="AF310" s="1">
        <f>AC310</f>
        <v>1.75</v>
      </c>
      <c r="AH310" s="1">
        <v>250</v>
      </c>
      <c r="AK310" s="1" t="s">
        <v>27</v>
      </c>
      <c r="AL310" s="1" t="s">
        <v>26</v>
      </c>
      <c r="AM310" s="1" t="s">
        <v>25</v>
      </c>
      <c r="AN310" s="2" t="s">
        <v>24</v>
      </c>
      <c r="BO310" s="1">
        <f>SUM($AP310,$AQ310:AQ310)-SUM($CK310:CL310)</f>
        <v>0</v>
      </c>
      <c r="BP310" s="1">
        <f>SUM($AP310,$AQ310:AR310)-SUM($CK310:CM310)</f>
        <v>0</v>
      </c>
      <c r="BQ310" s="1">
        <f>SUM($AP310,$AQ310:AS310)-SUM($CK310:CN310)</f>
        <v>0</v>
      </c>
      <c r="BR310" s="1">
        <f>SUM($AP310,$AQ310:AT310)-SUM($CK310:CO310)</f>
        <v>-40</v>
      </c>
      <c r="BS310" s="1">
        <f>SUM($AP310,$AQ310:AU310)-SUM($CK310:CP310)</f>
        <v>-120</v>
      </c>
      <c r="BT310" s="1">
        <f>SUM($AP310,$AQ310:AV310)-SUM($CK310:CQ310)</f>
        <v>-240</v>
      </c>
      <c r="BU310" s="1">
        <f>SUM($AP310,$AQ310:AW310)-SUM($CK310:CR310)</f>
        <v>-400</v>
      </c>
      <c r="BV310" s="1">
        <f>SUM($AP310,$AQ310:AX310)-SUM($CK310:CS310)</f>
        <v>-600</v>
      </c>
      <c r="BW310" s="1">
        <f>SUM($AP310,$AQ310:AY310)-SUM($CK310:CT310)</f>
        <v>-840</v>
      </c>
      <c r="BX310" s="1">
        <f>SUM($AP310,$AQ310:AZ310)-SUM($CK310:CU310)</f>
        <v>-1120</v>
      </c>
      <c r="BY310" s="1">
        <f>SUM($AP310,$AQ310:BA310)-SUM($CK310:CV310)</f>
        <v>-1440</v>
      </c>
      <c r="BZ310" s="1">
        <f>SUM($AP310,$AQ310:BB310)-SUM($CK310:CW310)</f>
        <v>-1800</v>
      </c>
      <c r="CA310" s="1">
        <f>SUM($AP310,$AQ310:BC310)-SUM($CK310:CX310)</f>
        <v>-2200</v>
      </c>
      <c r="CB310" s="1">
        <f>SUM($AP310,$AQ310:BD310)-SUM($CK310:CY310)</f>
        <v>-2640</v>
      </c>
      <c r="CC310" s="1">
        <f>SUM($AP310,$AQ310:BE310)-SUM($CK310:CZ310)</f>
        <v>-3120</v>
      </c>
      <c r="CD310" s="1">
        <f>SUM($AP310,$AQ310:BF310)-SUM($CK310:DA310)</f>
        <v>-3640</v>
      </c>
      <c r="CE310" s="1">
        <f>SUM($AP310,$AQ310:BG310)-SUM($CK310:DB310)</f>
        <v>-3640</v>
      </c>
      <c r="CF310" s="1">
        <f>SUM($AP310,$AQ310:BH310)-SUM($CK310:DC310)</f>
        <v>-3640</v>
      </c>
      <c r="CG310" s="1">
        <f>SUM($AP310,$AQ310:BI310)-SUM($CK310:DD310)</f>
        <v>-3640</v>
      </c>
      <c r="CK310" s="1">
        <f t="array" ref="CK310">SUMPRODUCT($H310:$Y310,(TRANSPOSE(CK$2:CK$19)))</f>
        <v>0</v>
      </c>
      <c r="CL310" s="1">
        <f t="array" ref="CL310">SUMPRODUCT($H310:$Y310,(TRANSPOSE(CL$2:CL$19)))</f>
        <v>0</v>
      </c>
      <c r="CM310" s="1">
        <f t="array" ref="CM310">SUMPRODUCT($H310:$Y310,(TRANSPOSE(CM$2:CM$19)))</f>
        <v>0</v>
      </c>
      <c r="CN310" s="1">
        <f t="array" ref="CN310">SUMPRODUCT($H310:$Y310,(TRANSPOSE(CN$2:CN$19)))</f>
        <v>0</v>
      </c>
      <c r="CO310" s="1">
        <f t="array" ref="CO310">SUMPRODUCT($H310:$Y310,(TRANSPOSE(CO$2:CO$19)))</f>
        <v>40</v>
      </c>
      <c r="CP310" s="1">
        <f t="array" ref="CP310">SUMPRODUCT($H310:$Y310,(TRANSPOSE(CP$2:CP$19)))</f>
        <v>80</v>
      </c>
      <c r="CQ310" s="1">
        <f t="array" ref="CQ310">SUMPRODUCT($H310:$Y310,(TRANSPOSE(CQ$2:CQ$19)))</f>
        <v>120</v>
      </c>
      <c r="CR310" s="1">
        <f t="array" ref="CR310">SUMPRODUCT($H310:$Y310,(TRANSPOSE(CR$2:CR$19)))</f>
        <v>160</v>
      </c>
      <c r="CS310" s="1">
        <f t="array" ref="CS310">SUMPRODUCT($H310:$Y310,(TRANSPOSE(CS$2:CS$19)))</f>
        <v>200</v>
      </c>
      <c r="CT310" s="1">
        <f t="array" ref="CT310">SUMPRODUCT($H310:$Y310,(TRANSPOSE(CT$2:CT$19)))</f>
        <v>240</v>
      </c>
      <c r="CU310" s="1">
        <f t="array" ref="CU310">SUMPRODUCT($H310:$Y310,(TRANSPOSE(CU$2:CU$19)))</f>
        <v>280</v>
      </c>
      <c r="CV310" s="1">
        <f t="array" ref="CV310">SUMPRODUCT($H310:$Y310,(TRANSPOSE(CV$2:CV$19)))</f>
        <v>320</v>
      </c>
      <c r="CW310" s="1">
        <f t="array" ref="CW310">SUMPRODUCT($H310:$Y310,(TRANSPOSE(CW$2:CW$19)))</f>
        <v>360</v>
      </c>
      <c r="CX310" s="1">
        <f t="array" ref="CX310">SUMPRODUCT($H310:$Y310,(TRANSPOSE(CX$2:CX$19)))</f>
        <v>400</v>
      </c>
      <c r="CY310" s="1">
        <f t="array" ref="CY310">SUMPRODUCT($H310:$Y310,(TRANSPOSE(CY$2:CY$19)))</f>
        <v>440</v>
      </c>
      <c r="CZ310" s="1">
        <f t="array" ref="CZ310">SUMPRODUCT($H310:$Y310,(TRANSPOSE(CZ$2:CZ$19)))</f>
        <v>480</v>
      </c>
      <c r="DA310" s="1">
        <f t="array" ref="DA310">SUMPRODUCT($H310:$Y310,(TRANSPOSE(DA$2:DA$19)))</f>
        <v>520</v>
      </c>
      <c r="DB310" s="1">
        <f t="array" ref="DB310">SUMPRODUCT($H310:$Y310,(TRANSPOSE(DB$2:DB$19)))</f>
        <v>0</v>
      </c>
      <c r="DC310" s="1">
        <f t="array" ref="DC310">SUMPRODUCT($H310:$Y310,(TRANSPOSE(DC$2:DC$19)))</f>
        <v>0</v>
      </c>
      <c r="DD310" s="1">
        <f t="array" ref="DD310">SUMPRODUCT($H310:$Y310,(TRANSPOSE(DD$2:DD$19)))</f>
        <v>0</v>
      </c>
    </row>
    <row r="311" spans="1:108" x14ac:dyDescent="0.2">
      <c r="A311" s="1">
        <v>387</v>
      </c>
      <c r="B311" s="10" t="s">
        <v>39</v>
      </c>
      <c r="C311" s="1" t="s">
        <v>38</v>
      </c>
      <c r="D311" s="1" t="s">
        <v>37</v>
      </c>
      <c r="F311" s="1" t="s">
        <v>36</v>
      </c>
      <c r="G311" s="1" t="s">
        <v>20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2</v>
      </c>
      <c r="U311" s="1">
        <v>0</v>
      </c>
      <c r="V311" s="1">
        <v>0</v>
      </c>
      <c r="W311" s="1">
        <v>0</v>
      </c>
      <c r="X311" s="1">
        <v>2</v>
      </c>
      <c r="Y311" s="1">
        <v>0</v>
      </c>
      <c r="Z311" s="1">
        <f>SUM(H311:Y311)</f>
        <v>4</v>
      </c>
      <c r="AA311" s="1">
        <f>SUMPRODUCT(H311:Y311,$H$16:$Y$16)</f>
        <v>3640</v>
      </c>
      <c r="AB311" s="1" t="s">
        <v>29</v>
      </c>
      <c r="AC311" s="1">
        <v>7.77</v>
      </c>
      <c r="AD311" s="9"/>
      <c r="AE311" s="1" t="s">
        <v>28</v>
      </c>
      <c r="AF311" s="1">
        <f>AC311</f>
        <v>7.77</v>
      </c>
      <c r="AH311" s="1">
        <v>250</v>
      </c>
      <c r="AK311" s="1" t="s">
        <v>27</v>
      </c>
      <c r="AL311" s="1" t="s">
        <v>26</v>
      </c>
      <c r="AM311" s="1" t="s">
        <v>25</v>
      </c>
      <c r="AN311" s="2" t="s">
        <v>24</v>
      </c>
      <c r="AO311" s="1" t="s">
        <v>35</v>
      </c>
      <c r="BO311" s="1">
        <f>SUM($AP311,$AQ311:AQ311)-SUM($CK311:CL311)</f>
        <v>0</v>
      </c>
      <c r="BP311" s="1">
        <f>SUM($AP311,$AQ311:AR311)-SUM($CK311:CM311)</f>
        <v>0</v>
      </c>
      <c r="BQ311" s="1">
        <f>SUM($AP311,$AQ311:AS311)-SUM($CK311:CN311)</f>
        <v>0</v>
      </c>
      <c r="BR311" s="1">
        <f>SUM($AP311,$AQ311:AT311)-SUM($CK311:CO311)</f>
        <v>-40</v>
      </c>
      <c r="BS311" s="1">
        <f>SUM($AP311,$AQ311:AU311)-SUM($CK311:CP311)</f>
        <v>-120</v>
      </c>
      <c r="BT311" s="1">
        <f>SUM($AP311,$AQ311:AV311)-SUM($CK311:CQ311)</f>
        <v>-240</v>
      </c>
      <c r="BU311" s="1">
        <f>SUM($AP311,$AQ311:AW311)-SUM($CK311:CR311)</f>
        <v>-400</v>
      </c>
      <c r="BV311" s="1">
        <f>SUM($AP311,$AQ311:AX311)-SUM($CK311:CS311)</f>
        <v>-600</v>
      </c>
      <c r="BW311" s="1">
        <f>SUM($AP311,$AQ311:AY311)-SUM($CK311:CT311)</f>
        <v>-840</v>
      </c>
      <c r="BX311" s="1">
        <f>SUM($AP311,$AQ311:AZ311)-SUM($CK311:CU311)</f>
        <v>-1120</v>
      </c>
      <c r="BY311" s="1">
        <f>SUM($AP311,$AQ311:BA311)-SUM($CK311:CV311)</f>
        <v>-1440</v>
      </c>
      <c r="BZ311" s="1">
        <f>SUM($AP311,$AQ311:BB311)-SUM($CK311:CW311)</f>
        <v>-1800</v>
      </c>
      <c r="CA311" s="1">
        <f>SUM($AP311,$AQ311:BC311)-SUM($CK311:CX311)</f>
        <v>-2200</v>
      </c>
      <c r="CB311" s="1">
        <f>SUM($AP311,$AQ311:BD311)-SUM($CK311:CY311)</f>
        <v>-2640</v>
      </c>
      <c r="CC311" s="1">
        <f>SUM($AP311,$AQ311:BE311)-SUM($CK311:CZ311)</f>
        <v>-3120</v>
      </c>
      <c r="CD311" s="1">
        <f>SUM($AP311,$AQ311:BF311)-SUM($CK311:DA311)</f>
        <v>-3640</v>
      </c>
      <c r="CE311" s="1">
        <f>SUM($AP311,$AQ311:BG311)-SUM($CK311:DB311)</f>
        <v>-3640</v>
      </c>
      <c r="CF311" s="1">
        <f>SUM($AP311,$AQ311:BH311)-SUM($CK311:DC311)</f>
        <v>-3640</v>
      </c>
      <c r="CG311" s="1">
        <f>SUM($AP311,$AQ311:BI311)-SUM($CK311:DD311)</f>
        <v>-3640</v>
      </c>
      <c r="CK311" s="1">
        <f t="array" ref="CK311">SUMPRODUCT($H311:$Y311,(TRANSPOSE(CK$2:CK$19)))</f>
        <v>0</v>
      </c>
      <c r="CL311" s="1">
        <f t="array" ref="CL311">SUMPRODUCT($H311:$Y311,(TRANSPOSE(CL$2:CL$19)))</f>
        <v>0</v>
      </c>
      <c r="CM311" s="1">
        <f t="array" ref="CM311">SUMPRODUCT($H311:$Y311,(TRANSPOSE(CM$2:CM$19)))</f>
        <v>0</v>
      </c>
      <c r="CN311" s="1">
        <f t="array" ref="CN311">SUMPRODUCT($H311:$Y311,(TRANSPOSE(CN$2:CN$19)))</f>
        <v>0</v>
      </c>
      <c r="CO311" s="1">
        <f t="array" ref="CO311">SUMPRODUCT($H311:$Y311,(TRANSPOSE(CO$2:CO$19)))</f>
        <v>40</v>
      </c>
      <c r="CP311" s="1">
        <f t="array" ref="CP311">SUMPRODUCT($H311:$Y311,(TRANSPOSE(CP$2:CP$19)))</f>
        <v>80</v>
      </c>
      <c r="CQ311" s="1">
        <f t="array" ref="CQ311">SUMPRODUCT($H311:$Y311,(TRANSPOSE(CQ$2:CQ$19)))</f>
        <v>120</v>
      </c>
      <c r="CR311" s="1">
        <f t="array" ref="CR311">SUMPRODUCT($H311:$Y311,(TRANSPOSE(CR$2:CR$19)))</f>
        <v>160</v>
      </c>
      <c r="CS311" s="1">
        <f t="array" ref="CS311">SUMPRODUCT($H311:$Y311,(TRANSPOSE(CS$2:CS$19)))</f>
        <v>200</v>
      </c>
      <c r="CT311" s="1">
        <f t="array" ref="CT311">SUMPRODUCT($H311:$Y311,(TRANSPOSE(CT$2:CT$19)))</f>
        <v>240</v>
      </c>
      <c r="CU311" s="1">
        <f t="array" ref="CU311">SUMPRODUCT($H311:$Y311,(TRANSPOSE(CU$2:CU$19)))</f>
        <v>280</v>
      </c>
      <c r="CV311" s="1">
        <f t="array" ref="CV311">SUMPRODUCT($H311:$Y311,(TRANSPOSE(CV$2:CV$19)))</f>
        <v>320</v>
      </c>
      <c r="CW311" s="1">
        <f t="array" ref="CW311">SUMPRODUCT($H311:$Y311,(TRANSPOSE(CW$2:CW$19)))</f>
        <v>360</v>
      </c>
      <c r="CX311" s="1">
        <f t="array" ref="CX311">SUMPRODUCT($H311:$Y311,(TRANSPOSE(CX$2:CX$19)))</f>
        <v>400</v>
      </c>
      <c r="CY311" s="1">
        <f t="array" ref="CY311">SUMPRODUCT($H311:$Y311,(TRANSPOSE(CY$2:CY$19)))</f>
        <v>440</v>
      </c>
      <c r="CZ311" s="1">
        <f t="array" ref="CZ311">SUMPRODUCT($H311:$Y311,(TRANSPOSE(CZ$2:CZ$19)))</f>
        <v>480</v>
      </c>
      <c r="DA311" s="1">
        <f t="array" ref="DA311">SUMPRODUCT($H311:$Y311,(TRANSPOSE(DA$2:DA$19)))</f>
        <v>520</v>
      </c>
      <c r="DB311" s="1">
        <f t="array" ref="DB311">SUMPRODUCT($H311:$Y311,(TRANSPOSE(DB$2:DB$19)))</f>
        <v>0</v>
      </c>
      <c r="DC311" s="1">
        <f t="array" ref="DC311">SUMPRODUCT($H311:$Y311,(TRANSPOSE(DC$2:DC$19)))</f>
        <v>0</v>
      </c>
      <c r="DD311" s="1">
        <f t="array" ref="DD311">SUMPRODUCT($H311:$Y311,(TRANSPOSE(DD$2:DD$19)))</f>
        <v>0</v>
      </c>
    </row>
    <row r="312" spans="1:108" x14ac:dyDescent="0.2">
      <c r="A312" s="1">
        <v>388</v>
      </c>
      <c r="B312" s="10" t="s">
        <v>34</v>
      </c>
      <c r="C312" s="1" t="s">
        <v>22</v>
      </c>
      <c r="D312" s="1" t="s">
        <v>33</v>
      </c>
      <c r="F312" s="1" t="s">
        <v>32</v>
      </c>
      <c r="G312" s="1" t="s">
        <v>20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2</v>
      </c>
      <c r="U312" s="1">
        <v>0</v>
      </c>
      <c r="V312" s="1">
        <v>0</v>
      </c>
      <c r="W312" s="1">
        <v>0</v>
      </c>
      <c r="X312" s="1">
        <v>2</v>
      </c>
      <c r="Y312" s="1">
        <v>0</v>
      </c>
      <c r="Z312" s="1">
        <f>SUM(H312:Y312)</f>
        <v>4</v>
      </c>
      <c r="AA312" s="1">
        <f>SUMPRODUCT(H312:Y312,$H$16:$Y$16)</f>
        <v>3640</v>
      </c>
      <c r="AB312" s="1" t="s">
        <v>29</v>
      </c>
      <c r="AC312" s="1">
        <v>4.59</v>
      </c>
      <c r="AD312" s="9"/>
      <c r="AE312" s="1" t="s">
        <v>28</v>
      </c>
      <c r="AF312" s="1">
        <f>AC312</f>
        <v>4.59</v>
      </c>
      <c r="AH312" s="1">
        <v>250</v>
      </c>
      <c r="AK312" s="1" t="s">
        <v>27</v>
      </c>
      <c r="AL312" s="1" t="s">
        <v>26</v>
      </c>
      <c r="AM312" s="1" t="s">
        <v>25</v>
      </c>
      <c r="AN312" s="2" t="s">
        <v>24</v>
      </c>
      <c r="BO312" s="1">
        <f>SUM($AP312,$AQ312:AQ312)-SUM($CK312:CL312)</f>
        <v>0</v>
      </c>
      <c r="BP312" s="1">
        <f>SUM($AP312,$AQ312:AR312)-SUM($CK312:CM312)</f>
        <v>0</v>
      </c>
      <c r="BQ312" s="1">
        <f>SUM($AP312,$AQ312:AS312)-SUM($CK312:CN312)</f>
        <v>0</v>
      </c>
      <c r="BR312" s="1">
        <f>SUM($AP312,$AQ312:AT312)-SUM($CK312:CO312)</f>
        <v>-40</v>
      </c>
      <c r="BS312" s="1">
        <f>SUM($AP312,$AQ312:AU312)-SUM($CK312:CP312)</f>
        <v>-120</v>
      </c>
      <c r="BT312" s="1">
        <f>SUM($AP312,$AQ312:AV312)-SUM($CK312:CQ312)</f>
        <v>-240</v>
      </c>
      <c r="BU312" s="1">
        <f>SUM($AP312,$AQ312:AW312)-SUM($CK312:CR312)</f>
        <v>-400</v>
      </c>
      <c r="BV312" s="1">
        <f>SUM($AP312,$AQ312:AX312)-SUM($CK312:CS312)</f>
        <v>-600</v>
      </c>
      <c r="BW312" s="1">
        <f>SUM($AP312,$AQ312:AY312)-SUM($CK312:CT312)</f>
        <v>-840</v>
      </c>
      <c r="BX312" s="1">
        <f>SUM($AP312,$AQ312:AZ312)-SUM($CK312:CU312)</f>
        <v>-1120</v>
      </c>
      <c r="BY312" s="1">
        <f>SUM($AP312,$AQ312:BA312)-SUM($CK312:CV312)</f>
        <v>-1440</v>
      </c>
      <c r="BZ312" s="1">
        <f>SUM($AP312,$AQ312:BB312)-SUM($CK312:CW312)</f>
        <v>-1800</v>
      </c>
      <c r="CA312" s="1">
        <f>SUM($AP312,$AQ312:BC312)-SUM($CK312:CX312)</f>
        <v>-2200</v>
      </c>
      <c r="CB312" s="1">
        <f>SUM($AP312,$AQ312:BD312)-SUM($CK312:CY312)</f>
        <v>-2640</v>
      </c>
      <c r="CC312" s="1">
        <f>SUM($AP312,$AQ312:BE312)-SUM($CK312:CZ312)</f>
        <v>-3120</v>
      </c>
      <c r="CD312" s="1">
        <f>SUM($AP312,$AQ312:BF312)-SUM($CK312:DA312)</f>
        <v>-3640</v>
      </c>
      <c r="CE312" s="1">
        <f>SUM($AP312,$AQ312:BG312)-SUM($CK312:DB312)</f>
        <v>-3640</v>
      </c>
      <c r="CF312" s="1">
        <f>SUM($AP312,$AQ312:BH312)-SUM($CK312:DC312)</f>
        <v>-3640</v>
      </c>
      <c r="CG312" s="1">
        <f>SUM($AP312,$AQ312:BI312)-SUM($CK312:DD312)</f>
        <v>-3640</v>
      </c>
      <c r="CK312" s="1">
        <f t="array" ref="CK312">SUMPRODUCT($H312:$Y312,(TRANSPOSE(CK$2:CK$19)))</f>
        <v>0</v>
      </c>
      <c r="CL312" s="1">
        <f t="array" ref="CL312">SUMPRODUCT($H312:$Y312,(TRANSPOSE(CL$2:CL$19)))</f>
        <v>0</v>
      </c>
      <c r="CM312" s="1">
        <f t="array" ref="CM312">SUMPRODUCT($H312:$Y312,(TRANSPOSE(CM$2:CM$19)))</f>
        <v>0</v>
      </c>
      <c r="CN312" s="1">
        <f t="array" ref="CN312">SUMPRODUCT($H312:$Y312,(TRANSPOSE(CN$2:CN$19)))</f>
        <v>0</v>
      </c>
      <c r="CO312" s="1">
        <f t="array" ref="CO312">SUMPRODUCT($H312:$Y312,(TRANSPOSE(CO$2:CO$19)))</f>
        <v>40</v>
      </c>
      <c r="CP312" s="1">
        <f t="array" ref="CP312">SUMPRODUCT($H312:$Y312,(TRANSPOSE(CP$2:CP$19)))</f>
        <v>80</v>
      </c>
      <c r="CQ312" s="1">
        <f t="array" ref="CQ312">SUMPRODUCT($H312:$Y312,(TRANSPOSE(CQ$2:CQ$19)))</f>
        <v>120</v>
      </c>
      <c r="CR312" s="1">
        <f t="array" ref="CR312">SUMPRODUCT($H312:$Y312,(TRANSPOSE(CR$2:CR$19)))</f>
        <v>160</v>
      </c>
      <c r="CS312" s="1">
        <f t="array" ref="CS312">SUMPRODUCT($H312:$Y312,(TRANSPOSE(CS$2:CS$19)))</f>
        <v>200</v>
      </c>
      <c r="CT312" s="1">
        <f t="array" ref="CT312">SUMPRODUCT($H312:$Y312,(TRANSPOSE(CT$2:CT$19)))</f>
        <v>240</v>
      </c>
      <c r="CU312" s="1">
        <f t="array" ref="CU312">SUMPRODUCT($H312:$Y312,(TRANSPOSE(CU$2:CU$19)))</f>
        <v>280</v>
      </c>
      <c r="CV312" s="1">
        <f t="array" ref="CV312">SUMPRODUCT($H312:$Y312,(TRANSPOSE(CV$2:CV$19)))</f>
        <v>320</v>
      </c>
      <c r="CW312" s="1">
        <f t="array" ref="CW312">SUMPRODUCT($H312:$Y312,(TRANSPOSE(CW$2:CW$19)))</f>
        <v>360</v>
      </c>
      <c r="CX312" s="1">
        <f t="array" ref="CX312">SUMPRODUCT($H312:$Y312,(TRANSPOSE(CX$2:CX$19)))</f>
        <v>400</v>
      </c>
      <c r="CY312" s="1">
        <f t="array" ref="CY312">SUMPRODUCT($H312:$Y312,(TRANSPOSE(CY$2:CY$19)))</f>
        <v>440</v>
      </c>
      <c r="CZ312" s="1">
        <f t="array" ref="CZ312">SUMPRODUCT($H312:$Y312,(TRANSPOSE(CZ$2:CZ$19)))</f>
        <v>480</v>
      </c>
      <c r="DA312" s="1">
        <f t="array" ref="DA312">SUMPRODUCT($H312:$Y312,(TRANSPOSE(DA$2:DA$19)))</f>
        <v>520</v>
      </c>
      <c r="DB312" s="1">
        <f t="array" ref="DB312">SUMPRODUCT($H312:$Y312,(TRANSPOSE(DB$2:DB$19)))</f>
        <v>0</v>
      </c>
      <c r="DC312" s="1">
        <f t="array" ref="DC312">SUMPRODUCT($H312:$Y312,(TRANSPOSE(DC$2:DC$19)))</f>
        <v>0</v>
      </c>
      <c r="DD312" s="1">
        <f t="array" ref="DD312">SUMPRODUCT($H312:$Y312,(TRANSPOSE(DD$2:DD$19)))</f>
        <v>0</v>
      </c>
    </row>
    <row r="313" spans="1:108" x14ac:dyDescent="0.2">
      <c r="A313" s="1">
        <v>389</v>
      </c>
      <c r="B313" s="10" t="s">
        <v>31</v>
      </c>
      <c r="C313" s="1" t="s">
        <v>22</v>
      </c>
      <c r="D313" s="1">
        <v>400048227</v>
      </c>
      <c r="E313" s="1">
        <v>400508538</v>
      </c>
      <c r="F313" s="1" t="s">
        <v>30</v>
      </c>
      <c r="G313" s="1" t="s">
        <v>20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68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f>SUM(H313:Y313)</f>
        <v>68</v>
      </c>
      <c r="AA313" s="1">
        <f>SUMPRODUCT(H313:Y313,$H$16:$Y$16)</f>
        <v>61880</v>
      </c>
      <c r="AB313" s="1" t="s">
        <v>29</v>
      </c>
      <c r="AC313" s="1">
        <v>1.75</v>
      </c>
      <c r="AD313" s="9"/>
      <c r="AE313" s="1" t="s">
        <v>28</v>
      </c>
      <c r="AF313" s="1">
        <f>AC313</f>
        <v>1.75</v>
      </c>
      <c r="AH313" s="1">
        <v>1000</v>
      </c>
      <c r="AK313" s="1" t="s">
        <v>27</v>
      </c>
      <c r="AL313" s="1" t="s">
        <v>26</v>
      </c>
      <c r="AM313" s="1" t="s">
        <v>25</v>
      </c>
      <c r="AN313" s="2" t="s">
        <v>24</v>
      </c>
      <c r="BO313" s="1">
        <f>SUM($AP313,$AQ313:AQ313)-SUM($CK313:CL313)</f>
        <v>0</v>
      </c>
      <c r="BP313" s="1">
        <f>SUM($AP313,$AQ313:AR313)-SUM($CK313:CM313)</f>
        <v>0</v>
      </c>
      <c r="BQ313" s="1">
        <f>SUM($AP313,$AQ313:AS313)-SUM($CK313:CN313)</f>
        <v>0</v>
      </c>
      <c r="BR313" s="1">
        <f>SUM($AP313,$AQ313:AT313)-SUM($CK313:CO313)</f>
        <v>-680</v>
      </c>
      <c r="BS313" s="1">
        <f>SUM($AP313,$AQ313:AU313)-SUM($CK313:CP313)</f>
        <v>-2040</v>
      </c>
      <c r="BT313" s="1">
        <f>SUM($AP313,$AQ313:AV313)-SUM($CK313:CQ313)</f>
        <v>-4080</v>
      </c>
      <c r="BU313" s="1">
        <f>SUM($AP313,$AQ313:AW313)-SUM($CK313:CR313)</f>
        <v>-6800</v>
      </c>
      <c r="BV313" s="1">
        <f>SUM($AP313,$AQ313:AX313)-SUM($CK313:CS313)</f>
        <v>-10200</v>
      </c>
      <c r="BW313" s="1">
        <f>SUM($AP313,$AQ313:AY313)-SUM($CK313:CT313)</f>
        <v>-14280</v>
      </c>
      <c r="BX313" s="1">
        <f>SUM($AP313,$AQ313:AZ313)-SUM($CK313:CU313)</f>
        <v>-19040</v>
      </c>
      <c r="BY313" s="1">
        <f>SUM($AP313,$AQ313:BA313)-SUM($CK313:CV313)</f>
        <v>-24480</v>
      </c>
      <c r="BZ313" s="1">
        <f>SUM($AP313,$AQ313:BB313)-SUM($CK313:CW313)</f>
        <v>-30600</v>
      </c>
      <c r="CA313" s="1">
        <f>SUM($AP313,$AQ313:BC313)-SUM($CK313:CX313)</f>
        <v>-37400</v>
      </c>
      <c r="CB313" s="1">
        <f>SUM($AP313,$AQ313:BD313)-SUM($CK313:CY313)</f>
        <v>-44880</v>
      </c>
      <c r="CC313" s="1">
        <f>SUM($AP313,$AQ313:BE313)-SUM($CK313:CZ313)</f>
        <v>-53040</v>
      </c>
      <c r="CD313" s="1">
        <f>SUM($AP313,$AQ313:BF313)-SUM($CK313:DA313)</f>
        <v>-61880</v>
      </c>
      <c r="CE313" s="1">
        <f>SUM($AP313,$AQ313:BG313)-SUM($CK313:DB313)</f>
        <v>-61880</v>
      </c>
      <c r="CF313" s="1">
        <f>SUM($AP313,$AQ313:BH313)-SUM($CK313:DC313)</f>
        <v>-61880</v>
      </c>
      <c r="CG313" s="1">
        <f>SUM($AP313,$AQ313:BI313)-SUM($CK313:DD313)</f>
        <v>-61880</v>
      </c>
      <c r="CK313" s="1">
        <f t="array" ref="CK313">SUMPRODUCT($H313:$Y313,(TRANSPOSE(CK$2:CK$19)))</f>
        <v>0</v>
      </c>
      <c r="CL313" s="1">
        <f t="array" ref="CL313">SUMPRODUCT($H313:$Y313,(TRANSPOSE(CL$2:CL$19)))</f>
        <v>0</v>
      </c>
      <c r="CM313" s="1">
        <f t="array" ref="CM313">SUMPRODUCT($H313:$Y313,(TRANSPOSE(CM$2:CM$19)))</f>
        <v>0</v>
      </c>
      <c r="CN313" s="1">
        <f t="array" ref="CN313">SUMPRODUCT($H313:$Y313,(TRANSPOSE(CN$2:CN$19)))</f>
        <v>0</v>
      </c>
      <c r="CO313" s="1">
        <f t="array" ref="CO313">SUMPRODUCT($H313:$Y313,(TRANSPOSE(CO$2:CO$19)))</f>
        <v>680</v>
      </c>
      <c r="CP313" s="1">
        <f t="array" ref="CP313">SUMPRODUCT($H313:$Y313,(TRANSPOSE(CP$2:CP$19)))</f>
        <v>1360</v>
      </c>
      <c r="CQ313" s="1">
        <f t="array" ref="CQ313">SUMPRODUCT($H313:$Y313,(TRANSPOSE(CQ$2:CQ$19)))</f>
        <v>2040</v>
      </c>
      <c r="CR313" s="1">
        <f t="array" ref="CR313">SUMPRODUCT($H313:$Y313,(TRANSPOSE(CR$2:CR$19)))</f>
        <v>2720</v>
      </c>
      <c r="CS313" s="1">
        <f t="array" ref="CS313">SUMPRODUCT($H313:$Y313,(TRANSPOSE(CS$2:CS$19)))</f>
        <v>3400</v>
      </c>
      <c r="CT313" s="1">
        <f t="array" ref="CT313">SUMPRODUCT($H313:$Y313,(TRANSPOSE(CT$2:CT$19)))</f>
        <v>4080</v>
      </c>
      <c r="CU313" s="1">
        <f t="array" ref="CU313">SUMPRODUCT($H313:$Y313,(TRANSPOSE(CU$2:CU$19)))</f>
        <v>4760</v>
      </c>
      <c r="CV313" s="1">
        <f t="array" ref="CV313">SUMPRODUCT($H313:$Y313,(TRANSPOSE(CV$2:CV$19)))</f>
        <v>5440</v>
      </c>
      <c r="CW313" s="1">
        <f t="array" ref="CW313">SUMPRODUCT($H313:$Y313,(TRANSPOSE(CW$2:CW$19)))</f>
        <v>6120</v>
      </c>
      <c r="CX313" s="1">
        <f t="array" ref="CX313">SUMPRODUCT($H313:$Y313,(TRANSPOSE(CX$2:CX$19)))</f>
        <v>6800</v>
      </c>
      <c r="CY313" s="1">
        <f t="array" ref="CY313">SUMPRODUCT($H313:$Y313,(TRANSPOSE(CY$2:CY$19)))</f>
        <v>7480</v>
      </c>
      <c r="CZ313" s="1">
        <f t="array" ref="CZ313">SUMPRODUCT($H313:$Y313,(TRANSPOSE(CZ$2:CZ$19)))</f>
        <v>8160</v>
      </c>
      <c r="DA313" s="1">
        <f t="array" ref="DA313">SUMPRODUCT($H313:$Y313,(TRANSPOSE(DA$2:DA$19)))</f>
        <v>8840</v>
      </c>
      <c r="DB313" s="1">
        <f t="array" ref="DB313">SUMPRODUCT($H313:$Y313,(TRANSPOSE(DB$2:DB$19)))</f>
        <v>0</v>
      </c>
      <c r="DC313" s="1">
        <f t="array" ref="DC313">SUMPRODUCT($H313:$Y313,(TRANSPOSE(DC$2:DC$19)))</f>
        <v>0</v>
      </c>
      <c r="DD313" s="1">
        <f t="array" ref="DD313">SUMPRODUCT($H313:$Y313,(TRANSPOSE(DD$2:DD$19)))</f>
        <v>0</v>
      </c>
    </row>
    <row r="314" spans="1:108" x14ac:dyDescent="0.2">
      <c r="A314" s="1">
        <v>394</v>
      </c>
      <c r="B314" s="10" t="s">
        <v>23</v>
      </c>
      <c r="C314" s="1" t="s">
        <v>22</v>
      </c>
      <c r="D314" s="1">
        <v>414747781</v>
      </c>
      <c r="F314" s="1" t="s">
        <v>21</v>
      </c>
      <c r="G314" s="1" t="s">
        <v>20</v>
      </c>
      <c r="H314" s="1">
        <v>0</v>
      </c>
      <c r="I314" s="1">
        <v>0</v>
      </c>
      <c r="J314" s="1">
        <v>0</v>
      </c>
      <c r="K314" s="1">
        <v>1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f>SUM(H314:Y314)</f>
        <v>1</v>
      </c>
      <c r="AA314" s="1">
        <f>SUMPRODUCT(H314:Y314,$H$16:$Y$16)</f>
        <v>910</v>
      </c>
      <c r="AB314" s="1" t="s">
        <v>18</v>
      </c>
      <c r="AC314" s="1">
        <v>0</v>
      </c>
      <c r="AD314" s="9"/>
      <c r="AE314" s="1" t="s">
        <v>19</v>
      </c>
      <c r="AF314" s="1">
        <f>AC314</f>
        <v>0</v>
      </c>
      <c r="AG314" s="1">
        <v>1</v>
      </c>
      <c r="AH314" s="1">
        <v>1</v>
      </c>
      <c r="AI314" s="1" t="s">
        <v>18</v>
      </c>
      <c r="AJ314" s="1" t="s">
        <v>18</v>
      </c>
      <c r="AK314" s="1" t="s">
        <v>18</v>
      </c>
      <c r="AL314" s="1" t="s">
        <v>18</v>
      </c>
      <c r="AM314" s="1" t="s">
        <v>18</v>
      </c>
      <c r="AN314" s="2" t="s">
        <v>18</v>
      </c>
      <c r="BO314" s="1">
        <f>SUM($AP314,$AQ314:AQ314)-SUM($CK314:CL314)</f>
        <v>0</v>
      </c>
      <c r="BP314" s="1">
        <f>SUM($AP314,$AQ314:AR314)-SUM($CK314:CM314)</f>
        <v>0</v>
      </c>
      <c r="BQ314" s="1">
        <f>SUM($AP314,$AQ314:AS314)-SUM($CK314:CN314)</f>
        <v>0</v>
      </c>
      <c r="BR314" s="1">
        <f>SUM($AP314,$AQ314:AT314)-SUM($CK314:CO314)</f>
        <v>-10</v>
      </c>
      <c r="BS314" s="1">
        <f>SUM($AP314,$AQ314:AU314)-SUM($CK314:CP314)</f>
        <v>-30</v>
      </c>
      <c r="BT314" s="1">
        <f>SUM($AP314,$AQ314:AV314)-SUM($CK314:CQ314)</f>
        <v>-60</v>
      </c>
      <c r="BU314" s="1">
        <f>SUM($AP314,$AQ314:AW314)-SUM($CK314:CR314)</f>
        <v>-100</v>
      </c>
      <c r="BV314" s="1">
        <f>SUM($AP314,$AQ314:AX314)-SUM($CK314:CS314)</f>
        <v>-150</v>
      </c>
      <c r="BW314" s="1">
        <f>SUM($AP314,$AQ314:AY314)-SUM($CK314:CT314)</f>
        <v>-210</v>
      </c>
      <c r="BX314" s="1">
        <f>SUM($AP314,$AQ314:AZ314)-SUM($CK314:CU314)</f>
        <v>-280</v>
      </c>
      <c r="BY314" s="1">
        <f>SUM($AP314,$AQ314:BA314)-SUM($CK314:CV314)</f>
        <v>-360</v>
      </c>
      <c r="BZ314" s="1">
        <f>SUM($AP314,$AQ314:BB314)-SUM($CK314:CW314)</f>
        <v>-450</v>
      </c>
      <c r="CA314" s="1">
        <f>SUM($AP314,$AQ314:BC314)-SUM($CK314:CX314)</f>
        <v>-550</v>
      </c>
      <c r="CB314" s="1">
        <f>SUM($AP314,$AQ314:BD314)-SUM($CK314:CY314)</f>
        <v>-660</v>
      </c>
      <c r="CC314" s="1">
        <f>SUM($AP314,$AQ314:BE314)-SUM($CK314:CZ314)</f>
        <v>-780</v>
      </c>
      <c r="CD314" s="1">
        <f>SUM($AP314,$AQ314:BF314)-SUM($CK314:DA314)</f>
        <v>-910</v>
      </c>
      <c r="CE314" s="1">
        <f>SUM($AP314,$AQ314:BG314)-SUM($CK314:DB314)</f>
        <v>-910</v>
      </c>
      <c r="CF314" s="1">
        <f>SUM($AP314,$AQ314:BH314)-SUM($CK314:DC314)</f>
        <v>-910</v>
      </c>
      <c r="CG314" s="1">
        <f>SUM($AP314,$AQ314:BI314)-SUM($CK314:DD314)</f>
        <v>-910</v>
      </c>
      <c r="CK314" s="1">
        <f t="array" ref="CK314">SUMPRODUCT($H314:$Y314,(TRANSPOSE(CK$2:CK$19)))</f>
        <v>0</v>
      </c>
      <c r="CL314" s="1">
        <f t="array" ref="CL314">SUMPRODUCT($H314:$Y314,(TRANSPOSE(CL$2:CL$19)))</f>
        <v>0</v>
      </c>
      <c r="CM314" s="1">
        <f t="array" ref="CM314">SUMPRODUCT($H314:$Y314,(TRANSPOSE(CM$2:CM$19)))</f>
        <v>0</v>
      </c>
      <c r="CN314" s="1">
        <f t="array" ref="CN314">SUMPRODUCT($H314:$Y314,(TRANSPOSE(CN$2:CN$19)))</f>
        <v>0</v>
      </c>
      <c r="CO314" s="1">
        <f t="array" ref="CO314">SUMPRODUCT($H314:$Y314,(TRANSPOSE(CO$2:CO$19)))</f>
        <v>10</v>
      </c>
      <c r="CP314" s="1">
        <f t="array" ref="CP314">SUMPRODUCT($H314:$Y314,(TRANSPOSE(CP$2:CP$19)))</f>
        <v>20</v>
      </c>
      <c r="CQ314" s="1">
        <f t="array" ref="CQ314">SUMPRODUCT($H314:$Y314,(TRANSPOSE(CQ$2:CQ$19)))</f>
        <v>30</v>
      </c>
      <c r="CR314" s="1">
        <f t="array" ref="CR314">SUMPRODUCT($H314:$Y314,(TRANSPOSE(CR$2:CR$19)))</f>
        <v>40</v>
      </c>
      <c r="CS314" s="1">
        <f t="array" ref="CS314">SUMPRODUCT($H314:$Y314,(TRANSPOSE(CS$2:CS$19)))</f>
        <v>50</v>
      </c>
      <c r="CT314" s="1">
        <f t="array" ref="CT314">SUMPRODUCT($H314:$Y314,(TRANSPOSE(CT$2:CT$19)))</f>
        <v>60</v>
      </c>
      <c r="CU314" s="1">
        <f t="array" ref="CU314">SUMPRODUCT($H314:$Y314,(TRANSPOSE(CU$2:CU$19)))</f>
        <v>70</v>
      </c>
      <c r="CV314" s="1">
        <f t="array" ref="CV314">SUMPRODUCT($H314:$Y314,(TRANSPOSE(CV$2:CV$19)))</f>
        <v>80</v>
      </c>
      <c r="CW314" s="1">
        <f t="array" ref="CW314">SUMPRODUCT($H314:$Y314,(TRANSPOSE(CW$2:CW$19)))</f>
        <v>90</v>
      </c>
      <c r="CX314" s="1">
        <f t="array" ref="CX314">SUMPRODUCT($H314:$Y314,(TRANSPOSE(CX$2:CX$19)))</f>
        <v>100</v>
      </c>
      <c r="CY314" s="1">
        <f t="array" ref="CY314">SUMPRODUCT($H314:$Y314,(TRANSPOSE(CY$2:CY$19)))</f>
        <v>110</v>
      </c>
      <c r="CZ314" s="1">
        <f t="array" ref="CZ314">SUMPRODUCT($H314:$Y314,(TRANSPOSE(CZ$2:CZ$19)))</f>
        <v>120</v>
      </c>
      <c r="DA314" s="1">
        <f t="array" ref="DA314">SUMPRODUCT($H314:$Y314,(TRANSPOSE(DA$2:DA$19)))</f>
        <v>130</v>
      </c>
      <c r="DB314" s="1">
        <f t="array" ref="DB314">SUMPRODUCT($H314:$Y314,(TRANSPOSE(DB$2:DB$19)))</f>
        <v>0</v>
      </c>
      <c r="DC314" s="1">
        <f t="array" ref="DC314">SUMPRODUCT($H314:$Y314,(TRANSPOSE(DC$2:DC$19)))</f>
        <v>0</v>
      </c>
      <c r="DD314" s="1">
        <f t="array" ref="DD314">SUMPRODUCT($H314:$Y314,(TRANSPOSE(DD$2:DD$19)))</f>
        <v>0</v>
      </c>
    </row>
    <row r="315" spans="1:108" x14ac:dyDescent="0.2">
      <c r="AN315" s="2"/>
    </row>
    <row r="316" spans="1:108" ht="24" thickBot="1" x14ac:dyDescent="0.25">
      <c r="H316" s="8" t="e">
        <f ca="1">SUMPRODUCT(#REF!,SUBTOTAL(9,OFFSET(H21:H314,ROW(H21:H314)-MIN(ROW(H21:H314)),0,1)))</f>
        <v>#REF!</v>
      </c>
      <c r="I316" s="8" t="e">
        <f ca="1">SUMPRODUCT(#REF!,SUBTOTAL(9,OFFSET(I21:I314,ROW(I21:I314)-MIN(ROW(I21:I314)),0,1)))</f>
        <v>#REF!</v>
      </c>
      <c r="J316" s="8" t="e">
        <f ca="1">SUMPRODUCT(#REF!,SUBTOTAL(9,OFFSET(J21:J314,ROW(J21:J314)-MIN(ROW(J21:J314)),0,1)))</f>
        <v>#REF!</v>
      </c>
      <c r="K316" s="8" t="e">
        <f ca="1">SUMPRODUCT(#REF!,SUBTOTAL(9,OFFSET(K21:K314,ROW(K21:K314)-MIN(ROW(K21:K314)),0,1)))</f>
        <v>#REF!</v>
      </c>
      <c r="L316" s="8" t="e">
        <f ca="1">SUMPRODUCT(#REF!,SUBTOTAL(9,OFFSET(L21:L314,ROW(L21:L314)-MIN(ROW(L21:L314)),0,1)))</f>
        <v>#REF!</v>
      </c>
      <c r="M316" s="8" t="e">
        <f ca="1">SUMPRODUCT(#REF!,SUBTOTAL(9,OFFSET(M21:M314,ROW(M21:M314)-MIN(ROW(M21:M314)),0,1)))</f>
        <v>#REF!</v>
      </c>
      <c r="N316" s="8" t="e">
        <f ca="1">SUMPRODUCT(#REF!,SUBTOTAL(9,OFFSET(N21:N314,ROW(N21:N314)-MIN(ROW(N21:N314)),0,1)))</f>
        <v>#REF!</v>
      </c>
      <c r="O316" s="8" t="e">
        <f ca="1">SUMPRODUCT(#REF!,SUBTOTAL(9,OFFSET(O21:O314,ROW(O21:O314)-MIN(ROW(O21:O314)),0,1)))</f>
        <v>#REF!</v>
      </c>
      <c r="P316" s="8" t="e">
        <f ca="1">SUMPRODUCT(#REF!,SUBTOTAL(9,OFFSET(P21:P314,ROW(P21:P314)-MIN(ROW(P21:P314)),0,1)))</f>
        <v>#REF!</v>
      </c>
      <c r="Q316" s="8" t="e">
        <f ca="1">SUMPRODUCT(#REF!,SUBTOTAL(9,OFFSET(Q21:Q314,ROW(Q21:Q314)-MIN(ROW(Q21:Q314)),0,1)))</f>
        <v>#REF!</v>
      </c>
      <c r="R316" s="8" t="e">
        <f ca="1">SUMPRODUCT(#REF!,SUBTOTAL(9,OFFSET(R21:R314,ROW(R21:R314)-MIN(ROW(R21:R314)),0,1)))</f>
        <v>#REF!</v>
      </c>
      <c r="S316" s="8" t="e">
        <f ca="1">SUMPRODUCT(#REF!,SUBTOTAL(9,OFFSET(S21:S314,ROW(S21:S314)-MIN(ROW(S21:S314)),0,1)))</f>
        <v>#REF!</v>
      </c>
      <c r="T316" s="8" t="e">
        <f ca="1">SUMPRODUCT(#REF!,SUBTOTAL(9,OFFSET(T21:T314,ROW(T21:T314)-MIN(ROW(T21:T314)),0,1)))</f>
        <v>#REF!</v>
      </c>
      <c r="U316" s="8" t="e">
        <f ca="1">SUMPRODUCT(#REF!,SUBTOTAL(9,OFFSET(U21:U314,ROW(U21:U314)-MIN(ROW(U21:U314)),0,1)))</f>
        <v>#REF!</v>
      </c>
      <c r="V316" s="8" t="e">
        <f ca="1">SUMPRODUCT(#REF!,SUBTOTAL(9,OFFSET(V21:V314,ROW(V21:V314)-MIN(ROW(V21:V314)),0,1)))</f>
        <v>#REF!</v>
      </c>
      <c r="W316" s="8" t="e">
        <f ca="1">SUMPRODUCT(#REF!,SUBTOTAL(9,OFFSET(W21:W314,ROW(W21:W314)-MIN(ROW(W21:W314)),0,1)))</f>
        <v>#REF!</v>
      </c>
      <c r="X316" s="8" t="e">
        <f ca="1">SUMPRODUCT(#REF!,SUBTOTAL(9,OFFSET(X21:X314,ROW(X21:X314)-MIN(ROW(X21:X314)),0,1)))</f>
        <v>#REF!</v>
      </c>
      <c r="Y316" s="8" t="e">
        <f ca="1">SUMPRODUCT(#REF!,SUBTOTAL(9,OFFSET(Y21:Y314,ROW(Y21:Y314)-MIN(ROW(Y21:Y314)),0,1)))</f>
        <v>#REF!</v>
      </c>
      <c r="Z316" s="8"/>
      <c r="AA316" s="7" t="e">
        <f ca="1">SUM(H316:X316)</f>
        <v>#REF!</v>
      </c>
      <c r="AN316" s="2"/>
    </row>
    <row r="317" spans="1:108" ht="24" thickBot="1" x14ac:dyDescent="0.25">
      <c r="H317" s="4">
        <f>VLOOKUP(H319,$B$21:$F$314,4,)</f>
        <v>0</v>
      </c>
      <c r="I317" s="4">
        <f>VLOOKUP(I319,$B$21:$F$314,4,)</f>
        <v>0</v>
      </c>
      <c r="J317" s="4">
        <f>VLOOKUP(J319,$B$21:$F$314,4,)</f>
        <v>0</v>
      </c>
      <c r="K317" s="4">
        <f>VLOOKUP(K319,$B$21:$F$314,4,)</f>
        <v>0</v>
      </c>
      <c r="L317" s="4">
        <f>VLOOKUP(L319,$B$21:$F$314,4,)</f>
        <v>0</v>
      </c>
      <c r="M317" s="4">
        <f>VLOOKUP(M319,$B$21:$F$314,4,)</f>
        <v>0</v>
      </c>
      <c r="N317" s="4">
        <f>VLOOKUP(N319,$B$21:$F$314,4,)</f>
        <v>0</v>
      </c>
      <c r="O317" s="4">
        <f>VLOOKUP(O319,$B$21:$F$314,4,)</f>
        <v>0</v>
      </c>
      <c r="P317" s="4">
        <f>VLOOKUP(P319,$B$21:$F$314,4,)</f>
        <v>0</v>
      </c>
      <c r="Q317" s="4">
        <f>VLOOKUP(Q319,$B$21:$F$314,4,)</f>
        <v>0</v>
      </c>
      <c r="R317" s="4">
        <f>VLOOKUP(R319,$B$21:$F$314,4,)</f>
        <v>0</v>
      </c>
      <c r="S317" s="4">
        <f>VLOOKUP(S319,$B$21:$F$314,4,)</f>
        <v>0</v>
      </c>
      <c r="T317" s="4">
        <f>VLOOKUP(T319,$B$21:$F$314,4,)</f>
        <v>0</v>
      </c>
      <c r="U317" s="4">
        <f>VLOOKUP(U319,$B$21:$F$314,4,)</f>
        <v>0</v>
      </c>
      <c r="V317" s="4">
        <f>VLOOKUP(V319,$B$21:$F$314,4,)</f>
        <v>0</v>
      </c>
      <c r="W317" s="4">
        <f>VLOOKUP(W319,$B$21:$F$314,4,)</f>
        <v>0</v>
      </c>
      <c r="X317" s="4">
        <f>VLOOKUP(X319,$B$21:$F$314,4,)</f>
        <v>0</v>
      </c>
      <c r="Y317" s="4">
        <f>VLOOKUP(Y319,$B$21:$F$314,4,)</f>
        <v>0</v>
      </c>
      <c r="Z317" s="3"/>
      <c r="AA317" s="6" t="s">
        <v>17</v>
      </c>
      <c r="AN317" s="2"/>
    </row>
    <row r="318" spans="1:108" ht="13.5" thickBot="1" x14ac:dyDescent="0.25">
      <c r="D318" s="5"/>
      <c r="H318" s="4">
        <f>VLOOKUP(H319,'[1]הזנת נתונים'!$K$2:$L$75,2,)</f>
        <v>0</v>
      </c>
      <c r="I318" s="4">
        <f>VLOOKUP(I319,'[1]הזנת נתונים'!$K$2:$L$75,2,)</f>
        <v>1</v>
      </c>
      <c r="J318" s="4">
        <f>VLOOKUP(J319,'[1]הזנת נתונים'!$K$2:$L$75,2,)</f>
        <v>2</v>
      </c>
      <c r="K318" s="4">
        <f>VLOOKUP(K319,'[1]הזנת נתונים'!$K$2:$L$75,2,)</f>
        <v>3</v>
      </c>
      <c r="L318" s="4">
        <f>VLOOKUP(L319,'[1]הזנת נתונים'!$K$2:$L$75,2,)</f>
        <v>4</v>
      </c>
      <c r="M318" s="4">
        <f>VLOOKUP(M319,'[1]הזנת נתונים'!$K$2:$L$75,2,)</f>
        <v>5</v>
      </c>
      <c r="N318" s="4">
        <f>VLOOKUP(N319,'[1]הזנת נתונים'!$K$2:$L$75,2,)</f>
        <v>6</v>
      </c>
      <c r="O318" s="4">
        <f>VLOOKUP(O319,'[1]הזנת נתונים'!$K$2:$L$75,2,)</f>
        <v>5</v>
      </c>
      <c r="P318" s="4">
        <f>VLOOKUP(P319,'[1]הזנת נתונים'!$K$2:$L$75,2,)</f>
        <v>4</v>
      </c>
      <c r="Q318" s="4">
        <f>VLOOKUP(Q319,'[1]הזנת נתונים'!$K$2:$L$75,2,)</f>
        <v>3</v>
      </c>
      <c r="R318" s="4">
        <f>VLOOKUP(R319,'[1]הזנת נתונים'!$K$2:$L$75,2,)</f>
        <v>1</v>
      </c>
      <c r="S318" s="4">
        <f>VLOOKUP(S319,'[1]הזנת נתונים'!$K$2:$L$75,2,)</f>
        <v>2</v>
      </c>
      <c r="T318" s="4">
        <f>VLOOKUP(T319,'[1]הזנת נתונים'!$K$2:$L$75,2,)</f>
        <v>3</v>
      </c>
      <c r="U318" s="4">
        <f>VLOOKUP(U319,'[1]הזנת נתונים'!$K$2:$L$75,2,)</f>
        <v>3</v>
      </c>
      <c r="V318" s="4">
        <f>VLOOKUP(V319,'[1]הזנת נתונים'!$K$2:$L$75,2,)</f>
        <v>1</v>
      </c>
      <c r="W318" s="4">
        <f>VLOOKUP(W319,'[1]הזנת נתונים'!$K$2:$L$75,2,)</f>
        <v>2</v>
      </c>
      <c r="X318" s="4">
        <f>VLOOKUP(X319,'[1]הזנת נתונים'!$K$2:$L$75,2,)</f>
        <v>3</v>
      </c>
      <c r="Y318" s="4">
        <f>VLOOKUP(Y319,'[1]הזנת נתונים'!$K$2:$L$75,2,)</f>
        <v>3</v>
      </c>
      <c r="Z318" s="3"/>
      <c r="AN318" s="2"/>
    </row>
    <row r="319" spans="1:108" ht="13.5" thickBot="1" x14ac:dyDescent="0.25">
      <c r="H319" s="4" t="s">
        <v>16</v>
      </c>
      <c r="I319" s="4" t="s">
        <v>15</v>
      </c>
      <c r="J319" s="4" t="s">
        <v>14</v>
      </c>
      <c r="K319" s="4" t="s">
        <v>13</v>
      </c>
      <c r="L319" s="4" t="s">
        <v>12</v>
      </c>
      <c r="M319" s="4" t="s">
        <v>11</v>
      </c>
      <c r="N319" s="4" t="s">
        <v>10</v>
      </c>
      <c r="O319" s="4" t="s">
        <v>9</v>
      </c>
      <c r="P319" s="4" t="s">
        <v>8</v>
      </c>
      <c r="Q319" s="4" t="s">
        <v>7</v>
      </c>
      <c r="R319" s="4" t="s">
        <v>6</v>
      </c>
      <c r="S319" s="4" t="s">
        <v>5</v>
      </c>
      <c r="T319" s="4" t="s">
        <v>4</v>
      </c>
      <c r="U319" s="4" t="s">
        <v>0</v>
      </c>
      <c r="V319" s="4" t="s">
        <v>3</v>
      </c>
      <c r="W319" s="4" t="s">
        <v>2</v>
      </c>
      <c r="X319" s="4" t="s">
        <v>1</v>
      </c>
      <c r="Y319" s="4" t="s">
        <v>0</v>
      </c>
      <c r="Z319" s="3"/>
      <c r="AN319" s="2"/>
    </row>
    <row r="320" spans="1:108" x14ac:dyDescent="0.2">
      <c r="AN320" s="2"/>
    </row>
  </sheetData>
  <autoFilter ref="A20:WXE319" xr:uid="{E4ACC0E9-2B5C-46A1-9158-47AB15C3F253}"/>
  <mergeCells count="3">
    <mergeCell ref="AQ18:BI19"/>
    <mergeCell ref="BK1:CG1"/>
    <mergeCell ref="CH1:DD1"/>
  </mergeCells>
  <hyperlinks>
    <hyperlink ref="B21" r:id="rId1" display="http://eltweb04.elta.iai/pls/iman_Production/link_to_iman?item_id=1038B800-001" xr:uid="{A161C532-9600-4293-B59D-FBCCEDD85469}"/>
    <hyperlink ref="B22" r:id="rId2" display="http://eltweb04.elta.iai/pls/iman_Production/link_to_iman?item_id=01M110-712-60F02M" xr:uid="{DBE5625F-C41F-4EC5-B72C-FB28B0978AE5}"/>
    <hyperlink ref="B23" r:id="rId3" display="http://eltweb04.elta.iai/pls/iman_Production/link_to_iman?item_id=01M129-545-01M129" xr:uid="{2F19576F-755E-4784-85A5-00D8F1DA90DD}"/>
    <hyperlink ref="B24" r:id="rId4" display="http://eltweb04.elta.iai/pls/iman_Production/link_to_iman?item_id=01M129-75.8-01M110" xr:uid="{44F1C1B7-3871-4230-8899-0B9601612BC9}"/>
    <hyperlink ref="B25" r:id="rId5" display="http://eltweb04.elta.iai/pls/iman_Production/link_to_iman?item_id=01M12R-305-60F17K" xr:uid="{82CF77FD-7830-4859-A768-50B11F470A1F}"/>
    <hyperlink ref="B26" r:id="rId6" display="http://eltweb04.elta.iai/pls/iman_Production/link_to_iman?item_id=0200090" xr:uid="{B45DB3DF-6C9A-45E6-A41F-0F3528C4A383}"/>
    <hyperlink ref="B27" r:id="rId7" display="http://eltweb04.elta.iai/pls/iman_Production/link_to_iman?item_id=04021J0R7PBSTR" xr:uid="{29FBDD56-4941-4967-8657-7FC62B657950}"/>
    <hyperlink ref="B28" r:id="rId8" display="http://eltweb04.elta.iai/pls/iman_Production/link_to_iman?item_id=04025J3R3ABSTR" xr:uid="{00BD3F9E-21B7-4993-92CF-A0AD680B5EDE}"/>
    <hyperlink ref="B29" r:id="rId9" display="http://eltweb04.elta.iai/pls/iman_Production/link_to_iman?item_id=0440.500WR" xr:uid="{6244D8A2-77B6-4A65-931B-FB341061C26E}"/>
    <hyperlink ref="B30" r:id="rId10" display="http://eltweb04.elta.iai/pls/iman_Production/link_to_iman?item_id=0440001.WR" xr:uid="{D0C19439-4BE1-40EA-98B7-A71F2DAF3FCA}"/>
    <hyperlink ref="B31" r:id="rId11" display="http://eltweb04.elta.iai/pls/iman_Production/link_to_iman?item_id=0466002.NRHF" xr:uid="{CFEE094A-EAD4-4350-8F6F-206C099EFFB2}"/>
    <hyperlink ref="B32" r:id="rId12" display="http://eltweb04.elta.iai/pls/iman_Production/link_to_iman?item_id=0505P100JW151XTV" xr:uid="{D5DBCAB8-9643-4E3C-A53D-7EBF1D966743}"/>
    <hyperlink ref="B33" r:id="rId13" display="http://eltweb04.elta.iai/pls/iman_Production/link_to_iman?item_id=0505P4R7BW151XTV" xr:uid="{60DAADD7-B48B-4BB7-9626-BF2C4D88BA7D}"/>
    <hyperlink ref="B34" r:id="rId14" display="http://eltweb04.elta.iai/pls/iman_Production/link_to_iman?item_id=080-1200" xr:uid="{0EC41421-E41C-4B6B-99D3-EF658B357905}"/>
    <hyperlink ref="B35" r:id="rId15" display="http://eltweb04.elta.iai/pls/iman_Production/link_to_iman?item_id=1/4-28X7/8SOCCAP316SSSIL" xr:uid="{E1985D2A-7788-4B71-AD1D-9F4B7DCA58A8}"/>
    <hyperlink ref="B36" r:id="rId16" display="http://eltweb04.elta.iai/pls/iman_Production/link_to_iman?item_id=100A4R7BT150XTV" xr:uid="{38B35A78-242C-4B2F-BDD2-B32E0A59A8DD}"/>
    <hyperlink ref="B37" r:id="rId17" display="http://eltweb04.elta.iai/pls/iman_Production/link_to_iman?item_id=100RC37SCBRP1" xr:uid="{770560EC-78AB-464F-8FBE-C71C0C2921EF}"/>
    <hyperlink ref="B38" r:id="rId18" display="http://eltweb04.elta.iai/pls/iman_Production/link_to_iman?item_id=1018419" xr:uid="{FBE2F419-7FA7-4956-8DE8-E315A8210E7A}"/>
    <hyperlink ref="B39" r:id="rId19" display="http://eltweb04.elta.iai/pls/iman_Production/link_to_iman?item_id=1038B611-001" xr:uid="{244DB6DC-224F-4812-9956-483F11DD1EC2}"/>
    <hyperlink ref="B40" r:id="rId20" display="http://eltweb04.elta.iai/pls/iman_Production/link_to_iman?item_id=1038B801-001" xr:uid="{CFAB20E8-9C8A-46C5-8EDB-0078C2087764}"/>
    <hyperlink ref="B41" r:id="rId21" display="http://eltweb04.elta.iai/pls/iman_Production/link_to_iman?item_id=1038B850-001" xr:uid="{B4D1FD66-F44D-4FF0-A50F-C177289F7EA9}"/>
    <hyperlink ref="B42" r:id="rId22" display="http://eltweb04.elta.iai/pls/iman_Production/link_to_iman?item_id=1038B851-001" xr:uid="{6C7C9497-1E33-41E9-9983-B3F6D42D850F}"/>
    <hyperlink ref="B43" r:id="rId23" display="http://eltweb04.elta.iai/pls/iman_Production/link_to_iman?item_id=1038B900-001" xr:uid="{00B75544-78A5-4E3D-885E-F8063FF95E32}"/>
    <hyperlink ref="B44" r:id="rId24" display="http://eltweb04.elta.iai/pls/iman_Production/link_to_iman?item_id=1038B910-001" xr:uid="{7158825F-46DB-4AC3-B684-2AB9C69B0130}"/>
    <hyperlink ref="B45" r:id="rId25" display="http://eltweb04.elta.iai/pls/iman_Production/link_to_iman?item_id=1038B930-001" xr:uid="{95B98AE6-6F24-4905-9722-6F50350437A3}"/>
    <hyperlink ref="B46" r:id="rId26" display="http://eltweb04.elta.iai/pls/iman_Production/link_to_iman?item_id=1038B933-001" xr:uid="{222D53BD-14AB-4567-8A39-871D076FC4F5}"/>
    <hyperlink ref="B47" r:id="rId27" display="http://eltweb04.elta.iai/pls/iman_Production/link_to_iman?item_id=1038B940-001" xr:uid="{CD233734-E9CA-41FF-A41F-55111EE10FA3}"/>
    <hyperlink ref="B48" r:id="rId28" display="http://eltweb04.elta.iai/pls/iman_Production/link_to_iman?item_id=1038H563-002" xr:uid="{7AD86671-0FA0-4B1B-830B-3DA90AF27723}"/>
    <hyperlink ref="B49" r:id="rId29" display="http://eltweb04.elta.iai/pls/iman_Production/link_to_iman?item_id=1038H564-001" xr:uid="{A389A623-2C51-41F7-AB11-CE132762414C}"/>
    <hyperlink ref="B50" r:id="rId30" display="http://eltweb04.elta.iai/pls/iman_Production/link_to_iman?item_id=1038H565-001" xr:uid="{33C9A3BE-D8A8-4F07-A0E6-81EE664FE902}"/>
    <hyperlink ref="B51" r:id="rId31" display="http://eltweb04.elta.iai/pls/iman_Production/link_to_iman?item_id=1039H771-001" xr:uid="{0D381D38-A067-4FA3-84D1-8A0016EB3FBB}"/>
    <hyperlink ref="B52" r:id="rId32" display="http://eltweb04.elta.iai/pls/iman_Production/link_to_iman?item_id=1092L481-001" xr:uid="{DF0E25E8-EA0A-4A87-B97E-0A5B9842E048}"/>
    <hyperlink ref="B53" r:id="rId33" display="http://eltweb04.elta.iai/pls/iman_Production/link_to_iman?item_id=1093J357-001" xr:uid="{1509B137-D0CA-47A2-8BB5-B2CCF1745679}"/>
    <hyperlink ref="B54" r:id="rId34" display="http://eltweb04.elta.iai/pls/iman_Production/link_to_iman?item_id=1093J365-002" xr:uid="{782BB7E2-AAF4-42AE-8B9E-FF8EC3A15F7C}"/>
    <hyperlink ref="B55" r:id="rId35" display="http://eltweb04.elta.iai/pls/iman_Production/link_to_iman?item_id=1093L847-001" xr:uid="{05090F42-D60B-49B4-989D-3B565C6D4041}"/>
    <hyperlink ref="B56" r:id="rId36" display="http://eltweb04.elta.iai/pls/iman_Production/link_to_iman?item_id=1093R459-003" xr:uid="{93E55F23-5850-4DF7-8D00-C0852F7461AA}"/>
    <hyperlink ref="B57" r:id="rId37" display="http://eltweb04.elta.iai/pls/iman_Production/link_to_iman?item_id=1093R492-006" xr:uid="{D1165EDF-1172-4C8C-B146-68BFD1DACD4B}"/>
    <hyperlink ref="B58" r:id="rId38" display="http://eltweb04.elta.iai/pls/iman_Production/link_to_iman?item_id=1094H538-001" xr:uid="{27568628-E069-44E7-AAD5-971A4F5C7A20}"/>
    <hyperlink ref="B59" r:id="rId39" display="http://eltweb04.elta.iai/pls/iman_Production/link_to_iman?item_id=1094R477-001" xr:uid="{4D039FF4-C89E-44A0-8164-D2F2149012AF}"/>
    <hyperlink ref="B60" r:id="rId40" display="http://eltweb04.elta.iai/pls/iman_Production/link_to_iman?item_id=1094R482-001" xr:uid="{69111F60-4DC9-40FC-AD30-B9DE01086C75}"/>
    <hyperlink ref="B61" r:id="rId41" display="http://eltweb04.elta.iai/pls/iman_Production/link_to_iman?item_id=1094T791-001" xr:uid="{C66449A4-3AE7-416D-9EC1-070BDA2094ED}"/>
    <hyperlink ref="B62" r:id="rId42" display="http://eltweb04.elta.iai/pls/iman_Production/link_to_iman?item_id=1094V044-001" xr:uid="{5D6498BF-5906-4520-82D6-8168D370A61F}"/>
    <hyperlink ref="B63" r:id="rId43" display="http://eltweb04.elta.iai/pls/iman_Production/link_to_iman?item_id=1094V797-001" xr:uid="{C7FD3C2A-F61E-42DD-BC45-D65008008F80}"/>
    <hyperlink ref="B64" r:id="rId44" display="http://eltweb04.elta.iai/pls/iman_Production/link_to_iman?item_id=1094V798-001" xr:uid="{190A43D6-5C50-41B7-B472-693AAAA436D3}"/>
    <hyperlink ref="B65" r:id="rId45" display="http://eltweb04.elta.iai/pls/iman_Production/link_to_iman?item_id=1094V799-002" xr:uid="{2265876B-DD39-4E44-BC68-C5A0CCDA47B8}"/>
    <hyperlink ref="B66" r:id="rId46" display="http://eltweb04.elta.iai/pls/iman_Production/link_to_iman?item_id=1094V811-002" xr:uid="{4B16378C-3BEE-42B1-88B0-189756D38940}"/>
    <hyperlink ref="B67" r:id="rId47" display="http://eltweb04.elta.iai/pls/iman_Production/link_to_iman?item_id=1094V816-001" xr:uid="{6871399D-3B56-43FB-8B92-209D99303095}"/>
    <hyperlink ref="B68" r:id="rId48" display="http://eltweb04.elta.iai/pls/iman_Production/link_to_iman?item_id=1094V826-001" xr:uid="{CB6DBDB1-DB62-4D46-9543-07BA743CEDB7}"/>
    <hyperlink ref="B69" r:id="rId49" display="http://eltweb04.elta.iai/pls/iman_Production/link_to_iman?item_id=1094V828-001" xr:uid="{69BFB996-2549-4589-88F0-A77B42AC606A}"/>
    <hyperlink ref="B70" r:id="rId50" display="http://eltweb04.elta.iai/pls/iman_Production/link_to_iman?item_id=1094V829-001" xr:uid="{EC025AB6-409E-4549-98F3-F310BD248671}"/>
    <hyperlink ref="B71" r:id="rId51" display="http://eltweb04.elta.iai/pls/iman_Production/link_to_iman?item_id=1096D934-002" xr:uid="{2926DA0D-1B8C-4F72-8E2C-2444D7BB7AE8}"/>
    <hyperlink ref="B72" r:id="rId52" display="http://eltweb04.elta.iai/pls/iman_Production/link_to_iman?item_id=1096H331-001" xr:uid="{547372E9-9B5A-480D-8E9D-25908F7DAF14}"/>
    <hyperlink ref="B73" r:id="rId53" display="http://eltweb04.elta.iai/pls/iman_Production/link_to_iman?item_id=1096M279-001" xr:uid="{AFD53576-CCBA-42DB-A4AE-CE7F7AA0159B}"/>
    <hyperlink ref="B74" r:id="rId54" display="http://eltweb04.elta.iai/pls/iman_Production/link_to_iman?item_id=1096M280-001" xr:uid="{E4F67D64-6679-48BB-B4F8-92C238B3CD4D}"/>
    <hyperlink ref="B75" r:id="rId55" display="http://eltweb04.elta.iai/pls/iman_Production/link_to_iman?item_id=1096M281-001" xr:uid="{5BC83BDE-A6E0-46DE-8AE2-E34CA4B47BFB}"/>
    <hyperlink ref="B76" r:id="rId56" display="http://eltweb04.elta.iai/pls/iman_Production/link_to_iman?item_id=1096M289-001" xr:uid="{EA1D0F9A-CFFD-4635-8E1D-A62ACE603A48}"/>
    <hyperlink ref="B77" r:id="rId57" display="http://eltweb04.elta.iai/pls/iman_Production/link_to_iman?item_id=1096M290-001" xr:uid="{DB588C80-08DE-4B1C-8A45-103859D2BBAC}"/>
    <hyperlink ref="B78" r:id="rId58" display="http://eltweb04.elta.iai/pls/iman_Production/link_to_iman?item_id=1096M291-001" xr:uid="{A96D53C4-F6CD-4ACE-9D93-B992A2F08025}"/>
    <hyperlink ref="B79" r:id="rId59" display="http://eltweb04.elta.iai/pls/iman_Production/link_to_iman?item_id=1096M292-001" xr:uid="{73E9D66E-6A68-4E32-AF51-E067C344DC70}"/>
    <hyperlink ref="B80" r:id="rId60" display="http://eltweb04.elta.iai/pls/iman_Production/link_to_iman?item_id=1096M299-001" xr:uid="{0A158FC6-72C9-4085-969D-A5260D30A9D0}"/>
    <hyperlink ref="B81" r:id="rId61" display="http://eltweb04.elta.iai/pls/iman_Production/link_to_iman?item_id=1097A510-001" xr:uid="{E7915FC2-3D48-47EB-B32E-0B26F4B885D1}"/>
    <hyperlink ref="B82" r:id="rId62" display="http://eltweb04.elta.iai/pls/iman_Production/link_to_iman?item_id=1097U041-001" xr:uid="{D4B3A5E9-2322-432F-B68F-E466EC5762D9}"/>
    <hyperlink ref="B83" r:id="rId63" display="http://eltweb04.elta.iai/pls/iman_Production/link_to_iman?item_id=1097U077-001" xr:uid="{AFC61D44-DCC2-4677-B4A7-F6DB01AA9D48}"/>
    <hyperlink ref="B84" r:id="rId64" display="http://eltweb04.elta.iai/pls/iman_Production/link_to_iman?item_id=1099M222-001" xr:uid="{9A32C13B-76EE-42E7-8A7A-B4D3EDDF094D}"/>
    <hyperlink ref="B85" r:id="rId65" display="http://eltweb04.elta.iai/pls/iman_Production/link_to_iman?item_id=1099M223-002" xr:uid="{F2310134-72D0-4F3F-A4C8-DB6E5D166A77}"/>
    <hyperlink ref="B86" r:id="rId66" display="http://eltweb04.elta.iai/pls/iman_Production/link_to_iman?item_id=1099M224-001" xr:uid="{463B6A4E-21A0-40D0-BC66-3DD5D2787EDC}"/>
    <hyperlink ref="B87" r:id="rId67" display="http://eltweb04.elta.iai/pls/iman_Production/link_to_iman?item_id=1099M225-001" xr:uid="{ECD35B49-55A1-4910-B735-992CDA47527E}"/>
    <hyperlink ref="B88" r:id="rId68" display="http://eltweb04.elta.iai/pls/iman_Production/link_to_iman?item_id=1099M229-001" xr:uid="{87121651-D3BE-4359-A2F5-0A6DEA865F3B}"/>
    <hyperlink ref="B89" r:id="rId69" display="http://eltweb04.elta.iai/pls/iman_Production/link_to_iman?item_id=1099M230-001" xr:uid="{4C401D78-CC3F-4296-A4A0-ED799F4C03FF}"/>
    <hyperlink ref="B90" r:id="rId70" display="http://eltweb04.elta.iai/pls/iman_Production/link_to_iman?item_id=1099M231-001" xr:uid="{5A00CD1F-4B69-417F-A874-4F031FE32CFE}"/>
    <hyperlink ref="B91" r:id="rId71" display="http://eltweb04.elta.iai/pls/iman_Production/link_to_iman?item_id=1099M232-001" xr:uid="{4B57E91D-19EB-4F95-8E75-5358066E4E8B}"/>
    <hyperlink ref="B92" r:id="rId72" display="http://eltweb04.elta.iai/pls/iman_Production/link_to_iman?item_id=1099M233-001" xr:uid="{53D06948-11F2-4E07-B8A2-A66855A77659}"/>
    <hyperlink ref="B93" r:id="rId73" display="http://eltweb04.elta.iai/pls/iman_Production/link_to_iman?item_id=1099M234-001" xr:uid="{E50D8B39-5091-4D09-922E-0A86B7771060}"/>
    <hyperlink ref="B94" r:id="rId74" display="http://eltweb04.elta.iai/pls/iman_Production/link_to_iman?item_id=1099M235-001" xr:uid="{7309FCEA-1A9D-41D5-B9CC-61ABFC10A054}"/>
    <hyperlink ref="B95" r:id="rId75" display="http://eltweb04.elta.iai/pls/iman_Production/link_to_iman?item_id=1099M236-001" xr:uid="{0D88E6FC-23B1-4A69-B856-A2710548E7D6}"/>
    <hyperlink ref="B96" r:id="rId76" display="http://eltweb04.elta.iai/pls/iman_Production/link_to_iman?item_id=1099M237-001" xr:uid="{FBB8EDCE-8C63-43F8-AB42-561F63AC1579}"/>
    <hyperlink ref="B97" r:id="rId77" display="http://eltweb04.elta.iai/pls/iman_Production/link_to_iman?item_id=1099M238-001" xr:uid="{59947202-C9EF-40F3-B8AC-0B9A776D3F89}"/>
    <hyperlink ref="B98" r:id="rId78" display="http://eltweb04.elta.iai/pls/iman_Production/link_to_iman?item_id=1099M239-001" xr:uid="{9869BCE0-3778-4D5A-A49B-63719E668085}"/>
    <hyperlink ref="B99" r:id="rId79" display="http://eltweb04.elta.iai/pls/iman_Production/link_to_iman?item_id=1099M240-001" xr:uid="{CB904CAB-5832-4E68-9BEC-6F4F669959C5}"/>
    <hyperlink ref="B100" r:id="rId80" display="http://eltweb04.elta.iai/pls/iman_Production/link_to_iman?item_id=1099M246-001" xr:uid="{B86E1C45-DE4F-4049-BE76-968C5439E69E}"/>
    <hyperlink ref="B101" r:id="rId81" display="http://eltweb04.elta.iai/pls/iman_Production/link_to_iman?item_id=1099M255-001" xr:uid="{613FFD26-51BB-4DDA-9BFD-8EE9A21FC696}"/>
    <hyperlink ref="B102" r:id="rId82" display="http://eltweb04.elta.iai/pls/iman_Production/link_to_iman?item_id=1099M256-001" xr:uid="{0E886D33-E354-46E5-8FB5-82EACE273F53}"/>
    <hyperlink ref="B103" r:id="rId83" display="http://eltweb04.elta.iai/pls/iman_Production/link_to_iman?item_id=1099M269-001" xr:uid="{0E48135D-6297-45EF-B7A5-70AFB35A3201}"/>
    <hyperlink ref="B104" r:id="rId84" display="http://eltweb04.elta.iai/pls/iman_Production/link_to_iman?item_id=1099M273-002" xr:uid="{A3B685F8-ED61-4929-9EFB-69DD41B7E3F9}"/>
    <hyperlink ref="B105" r:id="rId85" display="http://eltweb04.elta.iai/pls/iman_Production/link_to_iman?item_id=1099M310-002" xr:uid="{58B079F3-2731-47FA-8EAA-44611F83FA8C}"/>
    <hyperlink ref="B106" r:id="rId86" display="http://eltweb04.elta.iai/pls/iman_Production/link_to_iman?item_id=1099M311-002" xr:uid="{EC18C212-C608-4A25-AB3B-78AF2A79D037}"/>
    <hyperlink ref="B107" r:id="rId87" display="http://eltweb04.elta.iai/pls/iman_Production/link_to_iman?item_id=1099M315-001" xr:uid="{91FB8BEF-EF90-4B7E-AB4D-C24912D0F9DE}"/>
    <hyperlink ref="B108" r:id="rId88" display="http://eltweb04.elta.iai/pls/iman_Production/link_to_iman?item_id=1099M316-001" xr:uid="{EDAD109F-77BA-4473-B518-5353F28E4397}"/>
    <hyperlink ref="B109" r:id="rId89" display="http://eltweb04.elta.iai/pls/iman_Production/link_to_iman?item_id=1099M317-002" xr:uid="{15021E2B-FC94-44A2-9C93-DB408379C8C4}"/>
    <hyperlink ref="B110" r:id="rId90" display="http://eltweb04.elta.iai/pls/iman_Production/link_to_iman?item_id=1099M319-001" xr:uid="{80E74A9A-34E0-4520-9127-365063200B06}"/>
    <hyperlink ref="B111" r:id="rId91" display="http://eltweb04.elta.iai/pls/iman_Production/link_to_iman?item_id=1099M320-001" xr:uid="{8FDDCC25-51EC-4723-93F3-B56CB5071F8D}"/>
    <hyperlink ref="B112" r:id="rId92" display="http://eltweb04.elta.iai/pls/iman_Production/link_to_iman?item_id=1099M321-001" xr:uid="{3EACE13B-8896-4F31-BF36-074AD8D42B04}"/>
    <hyperlink ref="B113" r:id="rId93" display="http://eltweb04.elta.iai/pls/iman_Production/link_to_iman?item_id=1099M334-001" xr:uid="{5FAD0380-4042-43FA-B6E1-B016603784F2}"/>
    <hyperlink ref="B114" r:id="rId94" display="http://eltweb04.elta.iai/pls/iman_Production/link_to_iman?item_id=1099M335-001" xr:uid="{851CB5C7-13E0-48A6-AC06-7CE0F9E259D6}"/>
    <hyperlink ref="B115" r:id="rId95" display="http://eltweb04.elta.iai/pls/iman_Production/link_to_iman?item_id=1099M336-001" xr:uid="{234BAE7E-C7C8-423E-930A-70689B298264}"/>
    <hyperlink ref="B116" r:id="rId96" display="http://eltweb04.elta.iai/pls/iman_Production/link_to_iman?item_id=1099M337-001" xr:uid="{555F45E7-7CB4-49E1-A5B8-2189B57352BF}"/>
    <hyperlink ref="B117" r:id="rId97" display="http://eltweb04.elta.iai/pls/iman_Production/link_to_iman?item_id=1099M345-001" xr:uid="{30E6ADCC-FE41-4E26-AA5A-BB17E1843A96}"/>
    <hyperlink ref="B118" r:id="rId98" display="http://eltweb04.elta.iai/pls/iman_Production/link_to_iman?item_id=1099M348-001" xr:uid="{96F24084-648D-495E-9477-E5EA5DA80C27}"/>
    <hyperlink ref="B119" r:id="rId99" display="http://eltweb04.elta.iai/pls/iman_Production/link_to_iman?item_id=1099M349-001" xr:uid="{A784AF34-E0B1-4D2C-8F15-474C9B5CD21D}"/>
    <hyperlink ref="B120" r:id="rId100" display="http://eltweb04.elta.iai/pls/iman_Production/link_to_iman?item_id=1099M361-001" xr:uid="{BE1EE668-9883-4117-A167-0010F114EF10}"/>
    <hyperlink ref="B121" r:id="rId101" display="http://eltweb04.elta.iai/pls/iman_Production/link_to_iman?item_id=1099M362-001" xr:uid="{6FD43752-94AF-49D9-A001-82D6EF21B419}"/>
    <hyperlink ref="B122" r:id="rId102" display="http://eltweb04.elta.iai/pls/iman_Production/link_to_iman?item_id=1099M364-001" xr:uid="{487DC03A-97D0-4293-83A5-DEE08DC065DC}"/>
    <hyperlink ref="B123" r:id="rId103" display="http://eltweb04.elta.iai/pls/iman_Production/link_to_iman?item_id=1099M369-001" xr:uid="{E2BE34EA-70E3-468F-A3BA-C880BB83C496}"/>
    <hyperlink ref="B124" r:id="rId104" display="http://eltweb04.elta.iai/pls/iman_Production/link_to_iman?item_id=1099M370-001" xr:uid="{8C63E979-B3C3-4205-BB69-2ECA7C3F3330}"/>
    <hyperlink ref="B125" r:id="rId105" display="http://eltweb04.elta.iai/pls/iman_Production/link_to_iman?item_id=1099M371-001" xr:uid="{AA5A9F23-B2E8-48E3-A214-42EDC179750F}"/>
    <hyperlink ref="B126" r:id="rId106" display="http://eltweb04.elta.iai/pls/iman_Production/link_to_iman?item_id=1099R700-001" xr:uid="{C79F3A39-5544-446D-80C9-B8AFAF081EE6}"/>
    <hyperlink ref="B127" r:id="rId107" display="http://eltweb04.elta.iai/pls/iman_Production/link_to_iman?item_id=1099R709-001" xr:uid="{B00D42D1-9200-41D0-8B07-8953A06B3E56}"/>
    <hyperlink ref="B128" r:id="rId108" display="http://eltweb04.elta.iai/pls/iman_Production/link_to_iman?item_id=1099R718-001" xr:uid="{5DE05A99-74E5-47CF-896F-F95FB559BBC8}"/>
    <hyperlink ref="B129" r:id="rId109" display="http://eltweb04.elta.iai/pls/iman_Production/link_to_iman?item_id=1099R726-001" xr:uid="{091CCD21-BF6A-4239-8779-ED03E5A850E5}"/>
    <hyperlink ref="B130" r:id="rId110" display="http://eltweb04.elta.iai/pls/iman_Production/link_to_iman?item_id=10S519-S60N3" xr:uid="{4EFD7C8E-58D4-48A4-BCA0-6ADEEF8C7040}"/>
    <hyperlink ref="B131" r:id="rId111" display="http://eltweb04.elta.iai/pls/iman_Production/link_to_iman?item_id=145-A03K/188" xr:uid="{A903E0E4-B3F4-49D2-837C-0A670518E005}"/>
    <hyperlink ref="B132" r:id="rId112" display="http://eltweb04.elta.iai/pls/iman_Production/link_to_iman?item_id=19K101-K00L5" xr:uid="{58A84D89-6E55-4A7B-B072-E9C624596CD8}"/>
    <hyperlink ref="B133" r:id="rId113" display="http://eltweb04.elta.iai/pls/iman_Production/link_to_iman?item_id=19K119-K40L5" xr:uid="{5CC1BA64-55B1-4D84-9D99-6BBF10F0B2A5}"/>
    <hyperlink ref="B134" r:id="rId114" display="http://eltweb04.elta.iai/pls/iman_Production/link_to_iman?item_id=19S11E-400L5" xr:uid="{55B317B9-978B-485C-803F-71135144EA87}"/>
    <hyperlink ref="B135" r:id="rId115" display="http://eltweb04.elta.iai/pls/iman_Production/link_to_iman?item_id=19S11T-40ML5" xr:uid="{1BE0D077-64AA-40E3-B206-A3C119B96B7F}"/>
    <hyperlink ref="B136" r:id="rId116" display="http://eltweb04.elta.iai/pls/iman_Production/link_to_iman?item_id=20-41111" xr:uid="{4DD6F522-7228-4E99-BAF3-B7C1878FEA23}"/>
    <hyperlink ref="B137" r:id="rId117" display="http://eltweb04.elta.iai/pls/iman_Production/link_to_iman?item_id=221T34F24" xr:uid="{D9CA0918-3F5D-4CA2-97D3-9605E7272D64}"/>
    <hyperlink ref="B138" r:id="rId118" display="http://eltweb04.elta.iai/pls/iman_Production/link_to_iman?item_id=242 50CC" xr:uid="{E18943CB-43C1-4631-A994-5D86D1A38D3B}"/>
    <hyperlink ref="B139" r:id="rId119" display="http://eltweb04.elta.iai/pls/iman_Production/link_to_iman?item_id=293D106X9010A2TE3" xr:uid="{390D860B-20E4-4751-B47D-186130169D66}"/>
    <hyperlink ref="B140" r:id="rId120" display="http://eltweb04.elta.iai/pls/iman_Production/link_to_iman?item_id=293D107X9010D2TE3" xr:uid="{E15E69E5-508D-4F48-968D-0DB900150137}"/>
    <hyperlink ref="B141" r:id="rId121" display="http://eltweb04.elta.iai/pls/iman_Production/link_to_iman?item_id=293D475X9016A2TE3" xr:uid="{1FAC8EFD-27AC-4CB0-9B7B-7440CACE4D8D}"/>
    <hyperlink ref="B142" r:id="rId122" display="http://eltweb04.elta.iai/pls/iman_Production/link_to_iman?item_id=34_BMA-SMA-N50-8/1--_UE" xr:uid="{C463FFD0-1AB9-4813-AFC2-4C9A5B57ECF1}"/>
    <hyperlink ref="B143" r:id="rId123" display="http://eltweb04.elta.iai/pls/iman_Production/link_to_iman?item_id=400L0R7PT200T" xr:uid="{6B0D9DCE-62E6-41A2-86F8-4E4F2A906AD6}"/>
    <hyperlink ref="B144" r:id="rId124" display="http://eltweb04.elta.iai/pls/iman_Production/link_to_iman?item_id=400L3R3AT50T" xr:uid="{FF76C888-66B4-40A5-B61E-48D8C917D438}"/>
    <hyperlink ref="B145" r:id="rId125" display="http://eltweb04.elta.iai/pls/iman_Production/link_to_iman?item_id=542-50CC" xr:uid="{6E044B2F-E736-422C-BA31-7D9E4AD41B25}"/>
    <hyperlink ref="B146" r:id="rId126" display="http://eltweb04.elta.iai/pls/iman_Production/link_to_iman?item_id=597D227X0020R2T" xr:uid="{7615B8E1-CDAE-41BA-99CD-56A2E8FEAB1C}"/>
    <hyperlink ref="B147" r:id="rId127" display="http://eltweb04.elta.iai/pls/iman_Production/link_to_iman?item_id=597D476X9050Z2T" xr:uid="{9A275813-0BF3-456E-B2C5-3F4CE6003EFE}"/>
    <hyperlink ref="B148" r:id="rId128" display="http://eltweb04.elta.iai/pls/iman_Production/link_to_iman?item_id=700A102KT50XTV" xr:uid="{1801A206-FD9D-4470-AB08-FA6CEAB7996E}"/>
    <hyperlink ref="B149" r:id="rId129" display="http://eltweb04.elta.iai/pls/iman_Production/link_to_iman?item_id=74ACT04SCX" xr:uid="{8031103F-FB31-4DE5-9945-E5E96D3DE846}"/>
    <hyperlink ref="B150" r:id="rId130" display="http://eltweb04.elta.iai/pls/iman_Production/link_to_iman?item_id=74LVXC3245MTCX" xr:uid="{C145CDC8-1A00-4320-9DF6-9606E190BCF4}"/>
    <hyperlink ref="B151" r:id="rId131" display="http://eltweb04.elta.iai/pls/iman_Production/link_to_iman?item_id=A-A-52080-B-5 BLACK" xr:uid="{B7585392-813E-40A7-99CB-7DB94336D972}"/>
    <hyperlink ref="B152" r:id="rId132" display="http://eltweb04.elta.iai/pls/iman_Production/link_to_iman?item_id=ABM1M-AT-M" xr:uid="{B4A2DEF2-EF15-4D41-9CF7-283647EA31E7}"/>
    <hyperlink ref="B153" r:id="rId133" display="http://eltweb04.elta.iai/pls/iman_Production/link_to_iman?item_id=AD7814ARMZ" xr:uid="{3FC92763-0A41-4273-ADFA-8CD02BFD7DD0}"/>
    <hyperlink ref="B154" r:id="rId134" display="http://eltweb04.elta.iai/pls/iman_Production/link_to_iman?item_id=AF163-2OST 0.03PSF" xr:uid="{82258FD8-7705-4B89-8C1C-28D760855A7D}"/>
    <hyperlink ref="B155" r:id="rId135" display="http://eltweb04.elta.iai/pls/iman_Production/link_to_iman?item_id=AT25DF321A-SH-B" xr:uid="{CE413A62-4BCF-4431-B556-11D14C07D4B8}"/>
    <hyperlink ref="B156" r:id="rId136" display="http://eltweb04.elta.iai/pls/iman_Production/link_to_iman?item_id=ATC100A100JW150XTV" xr:uid="{62C2AF1F-FAF9-43AE-B8FD-7755B265C50B}"/>
    <hyperlink ref="B157" r:id="rId137" display="http://eltweb04.elta.iai/pls/iman_Production/link_to_iman?item_id=BLM15EG221SN1D" xr:uid="{8E84DFCD-38FB-46C2-A9ED-22FF6871B46E}"/>
    <hyperlink ref="B158" r:id="rId138" display="http://eltweb04.elta.iai/pls/iman_Production/link_to_iman?item_id=BLM18SG260TN1D" xr:uid="{92941F0E-6305-43F2-876F-01077A022085}"/>
    <hyperlink ref="B159" r:id="rId139" display="http://eltweb04.elta.iai/pls/iman_Production/link_to_iman?item_id=BLM31PG500SN1L" xr:uid="{9786E1A9-2D7C-4D33-B487-EA60676B8F4F}"/>
    <hyperlink ref="B160" r:id="rId140" display="http://eltweb04.elta.iai/pls/iman_Production/link_to_iman?item_id=C0402C100C5GAC7867" xr:uid="{8B8FA629-BD27-42C7-8841-7D7CDEE86011}"/>
    <hyperlink ref="B161" r:id="rId141" display="http://eltweb04.elta.iai/pls/iman_Production/link_to_iman?item_id=C0402C101J3GACTU" xr:uid="{12B069A9-FC11-4D27-B28C-48B2A4544972}"/>
    <hyperlink ref="B162" r:id="rId142" display="http://eltweb04.elta.iai/pls/iman_Production/link_to_iman?item_id=C0402C102K5RAC7867" xr:uid="{24272B16-96FF-4C27-AB52-9D131395B105}"/>
    <hyperlink ref="B163" r:id="rId143" display="http://eltweb04.elta.iai/pls/iman_Production/link_to_iman?item_id=C0402C103K3RAC7867" xr:uid="{CE249DD4-A3E6-4DC1-92C9-2BB0341C1727}"/>
    <hyperlink ref="B164" r:id="rId144" display="http://eltweb04.elta.iai/pls/iman_Production/link_to_iman?item_id=C0402C103K5RALTU" xr:uid="{3A087A5B-6CC6-467F-AC1A-FD039445EB6F}"/>
    <hyperlink ref="B165" r:id="rId145" display="http://eltweb04.elta.iai/pls/iman_Production/link_to_iman?item_id=C0603C104K5RAC7867" xr:uid="{BA9D81F6-8D59-409F-A53B-F417E82A79BA}"/>
    <hyperlink ref="B166" r:id="rId146" display="http://eltweb04.elta.iai/pls/iman_Production/link_to_iman?item_id=C0603C560G5GACTU" xr:uid="{2FF930DD-A28C-4190-AAD3-CF8F42CC1788}"/>
    <hyperlink ref="B167" r:id="rId147" display="http://eltweb04.elta.iai/pls/iman_Production/link_to_iman?item_id=C0805C475K4RAC7025" xr:uid="{B12B8068-C8F4-4F40-AC51-EAF0096E794D}"/>
    <hyperlink ref="B168" r:id="rId148" display="http://eltweb04.elta.iai/pls/iman_Production/link_to_iman?item_id=C10-218" xr:uid="{4BF66D39-B91C-4CF2-9C9E-58F649B13DAB}"/>
    <hyperlink ref="B169" r:id="rId149" display="http://eltweb04.elta.iai/pls/iman_Production/link_to_iman?item_id=C1210C106K5RACTU" xr:uid="{F78AC001-FA84-4D3F-B357-5C1AC74AA5E6}"/>
    <hyperlink ref="B170" r:id="rId150" display="http://eltweb04.elta.iai/pls/iman_Production/link_to_iman?item_id=C4532X5R1A476M280KA" xr:uid="{0F59683C-1A1F-4405-9489-9EA662391E16}"/>
    <hyperlink ref="B171" r:id="rId151" display="http://eltweb04.elta.iai/pls/iman_Production/link_to_iman?item_id=CL05B104KP5NNNC" xr:uid="{F1531BAA-CBA8-4EFE-A0B9-99D5DFC83695}"/>
    <hyperlink ref="B172" r:id="rId152" display="http://eltweb04.elta.iai/pls/iman_Production/link_to_iman?item_id=CL05C010BB5NNNC" xr:uid="{B7B4DD14-8C51-48C9-824A-8803C2CE5208}"/>
    <hyperlink ref="B173" r:id="rId153" display="http://eltweb04.elta.iai/pls/iman_Production/link_to_iman?item_id=CL05C4R7CB5NNNC" xr:uid="{4CB3EFA5-3CAB-4200-BBB7-CC1B305BED72}"/>
    <hyperlink ref="B174" r:id="rId154" display="http://eltweb04.elta.iai/pls/iman_Production/link_to_iman?item_id=CL31B105KAHNNNE" xr:uid="{58327779-B20E-4A1F-934D-961107129CC2}"/>
    <hyperlink ref="B175" r:id="rId155" display="http://eltweb04.elta.iai/pls/iman_Production/link_to_iman?item_id=CRCW04020000ZSED" xr:uid="{138DA3D3-A078-427E-94DA-BFDC490739D7}"/>
    <hyperlink ref="B176" r:id="rId156" display="http://eltweb04.elta.iai/pls/iman_Production/link_to_iman?item_id=CRCW040210K0FKED" xr:uid="{EA9B39F7-124A-496A-A712-7B60E3907A8A}"/>
    <hyperlink ref="B177" r:id="rId157" display="http://eltweb04.elta.iai/pls/iman_Production/link_to_iman?item_id=CRCW04021K00FKED" xr:uid="{4FA45883-1004-4519-B0AE-9249BB2B5D5D}"/>
    <hyperlink ref="B178" r:id="rId158" display="http://eltweb04.elta.iai/pls/iman_Production/link_to_iman?item_id=CRCW04021M00FKED" xr:uid="{61C3C31A-4B70-49DA-B7D9-37C3A617A867}"/>
    <hyperlink ref="B179" r:id="rId159" display="http://eltweb04.elta.iai/pls/iman_Production/link_to_iman?item_id=CRCW0402243RFKED" xr:uid="{4D5C6482-3D03-49A1-B67B-08395986ADFD}"/>
    <hyperlink ref="B180" r:id="rId160" display="http://eltweb04.elta.iai/pls/iman_Production/link_to_iman?item_id=CRCW040224R3FKED" xr:uid="{186B5148-F2A8-4AC2-A53D-D94DE010CFAC}"/>
    <hyperlink ref="B181" r:id="rId161" display="http://eltweb04.elta.iai/pls/iman_Production/link_to_iman?item_id=CRCW040230R1FKED" xr:uid="{C704F712-4467-48BE-944A-F409A80A38C7}"/>
    <hyperlink ref="B182" r:id="rId162" display="http://eltweb04.elta.iai/pls/iman_Production/link_to_iman?item_id=CRCW06030000Z0EA" xr:uid="{5001C737-D63B-443C-A8E9-F150E6E63F75}"/>
    <hyperlink ref="B183" r:id="rId163" display="http://eltweb04.elta.iai/pls/iman_Production/link_to_iman?item_id=CRCW0603100KFKEA" xr:uid="{CDCDA591-2B50-43ED-9582-ED1E001B4871}"/>
    <hyperlink ref="B184" r:id="rId164" display="http://eltweb04.elta.iai/pls/iman_Production/link_to_iman?item_id=CRCW0603100RFKEA" xr:uid="{714BEEFF-141C-499A-8A12-0FD1E199C76F}"/>
    <hyperlink ref="B185" r:id="rId165" display="http://eltweb04.elta.iai/pls/iman_Production/link_to_iman?item_id=CRCW060310K0FKEA" xr:uid="{A2441ED3-AC38-47AD-859F-9F7CA942798E}"/>
    <hyperlink ref="B186" r:id="rId166" display="http://eltweb04.elta.iai/pls/iman_Production/link_to_iman?item_id=CRCW0603110KFKTA" xr:uid="{22272F0A-3751-48A9-9EB5-0136A9D0A505}"/>
    <hyperlink ref="B187" r:id="rId167" display="http://eltweb04.elta.iai/pls/iman_Production/link_to_iman?item_id=CRCW0603150RFKEA" xr:uid="{78329D93-71E2-4693-9E19-A345EECDD5A8}"/>
    <hyperlink ref="B188" r:id="rId168" display="http://eltweb04.elta.iai/pls/iman_Production/link_to_iman?item_id=CRCW06031K00FKEA" xr:uid="{6570C177-8AF1-4731-926D-CB8253AE0285}"/>
    <hyperlink ref="B189" r:id="rId169" display="http://eltweb04.elta.iai/pls/iman_Production/link_to_iman?item_id=CRCW06031K33FKEA" xr:uid="{96727F83-AB6A-416E-970A-A9EFABC2F254}"/>
    <hyperlink ref="B190" r:id="rId170" display="http://eltweb04.elta.iai/pls/iman_Production/link_to_iman?item_id=CRCW0603221RFKEA" xr:uid="{C24BF635-52F1-43CE-879F-2EC3C66FD75E}"/>
    <hyperlink ref="B191" r:id="rId171" display="http://eltweb04.elta.iai/pls/iman_Production/link_to_iman?item_id=CRCW060324R9FKEA" xr:uid="{93FCD28B-55EF-4135-9216-AB91634A1E6F}"/>
    <hyperlink ref="B192" r:id="rId172" display="http://eltweb04.elta.iai/pls/iman_Production/link_to_iman?item_id=CRCW0603301RFKEA" xr:uid="{1B7C8387-8CD5-4EFF-85F6-3219E94F6E00}"/>
    <hyperlink ref="B193" r:id="rId173" display="http://eltweb04.elta.iai/pls/iman_Production/link_to_iman?item_id=CRCW060349R9FKEA" xr:uid="{622C9351-A4B9-4CCE-804B-2B4350E9544A}"/>
    <hyperlink ref="B194" r:id="rId174" display="http://eltweb04.elta.iai/pls/iman_Production/link_to_iman?item_id=CRCW0603562KFKTA" xr:uid="{923E7EBD-5B5C-4714-9C47-55F2D1FC544B}"/>
    <hyperlink ref="B195" r:id="rId175" display="http://eltweb04.elta.iai/pls/iman_Production/link_to_iman?item_id=CRCW060356K2FKEA" xr:uid="{176CCC7C-3453-48DD-9009-BAF0B7AD3CDC}"/>
    <hyperlink ref="B196" r:id="rId176" display="http://eltweb04.elta.iai/pls/iman_Production/link_to_iman?item_id=CRCW0603825KFKTA" xr:uid="{97DC59F8-3E13-40AD-A6AC-82D7F7C1A70D}"/>
    <hyperlink ref="B197" r:id="rId177" display="http://eltweb04.elta.iai/pls/iman_Production/link_to_iman?item_id=CRCW0603825RFKEA" xr:uid="{41142625-784F-4EEC-AFF4-4BD81760765D}"/>
    <hyperlink ref="B198" r:id="rId178" display="http://eltweb04.elta.iai/pls/iman_Production/link_to_iman?item_id=CRCW060382R5FKEA" xr:uid="{64346BFE-3E6B-4C96-BA4A-BAD63A188A63}"/>
    <hyperlink ref="B199" r:id="rId179" display="http://eltweb04.elta.iai/pls/iman_Production/link_to_iman?item_id=CRCW060390K9FKTA" xr:uid="{FA571C35-EC79-4F2D-AC77-2E1A696AEE98}"/>
    <hyperlink ref="B200" r:id="rId180" display="http://eltweb04.elta.iai/pls/iman_Production/link_to_iman?item_id=CRCW080512K1FKTA" xr:uid="{831151B2-C146-4E7D-8575-DCEC7BF00376}"/>
    <hyperlink ref="B201" r:id="rId181" display="http://eltweb04.elta.iai/pls/iman_Production/link_to_iman?item_id=CRCW080523K2FKEA" xr:uid="{A44ACF19-094A-418A-85C1-04D2FF4B14BA}"/>
    <hyperlink ref="B202" r:id="rId182" display="http://eltweb04.elta.iai/pls/iman_Production/link_to_iman?item_id=CRCW12060000ZSEA" xr:uid="{FF629757-E9E9-42E0-BDC9-6C83C927F612}"/>
    <hyperlink ref="B203" r:id="rId183" display="http://eltweb04.elta.iai/pls/iman_Production/link_to_iman?item_id=CRCW120610K0FKEA" xr:uid="{C7BCA2AC-007D-47D4-A6F3-1ED13A79A571}"/>
    <hyperlink ref="B204" r:id="rId184" display="http://eltweb04.elta.iai/pls/iman_Production/link_to_iman?item_id=CRCW12061K10FKEA" xr:uid="{76F3DAD8-A3EE-4677-86BE-78850F034A49}"/>
    <hyperlink ref="B205" r:id="rId185" display="http://eltweb04.elta.iai/pls/iman_Production/link_to_iman?item_id=CRCW12061K50FKTA" xr:uid="{E3846DA8-2CB5-4E6A-A0B2-2FC814CA60D6}"/>
    <hyperlink ref="B206" r:id="rId186" display="http://eltweb04.elta.iai/pls/iman_Production/link_to_iman?item_id=CSD16325Q5C" xr:uid="{105E32A2-D3D0-4154-BED3-1D6406E9674B}"/>
    <hyperlink ref="B207" r:id="rId187" display="http://eltweb04.elta.iai/pls/iman_Production/link_to_iman?item_id=D38999/33W15N" xr:uid="{365489D8-9A26-4F69-AEC0-70C0B6C506E6}"/>
    <hyperlink ref="B208" r:id="rId188" display="http://eltweb04.elta.iai/pls/iman_Production/link_to_iman?item_id=D38999/33W19N" xr:uid="{F01CA2E6-B76D-40FF-82D2-829DE5A1B22C}"/>
    <hyperlink ref="B209" r:id="rId189" display="http://eltweb04.elta.iai/pls/iman_Production/link_to_iman?item_id=D38999/33W21N" xr:uid="{CE2E22CC-719A-48CC-B175-75365374C711}"/>
    <hyperlink ref="B210" r:id="rId190" display="http://eltweb04.elta.iai/pls/iman_Production/link_to_iman?item_id=D791639-8/10-B" xr:uid="{E17AED24-113C-4C6F-AD52-5954194DFEE2}"/>
    <hyperlink ref="B211" r:id="rId191" display="http://eltweb04.elta.iai/pls/iman_Production/link_to_iman?item_id=DC4" xr:uid="{687A3745-4B38-45DF-80DF-2DD588966B6A}"/>
    <hyperlink ref="B212" r:id="rId192" display="http://eltweb04.elta.iai/pls/iman_Production/link_to_iman?item_id=DS26C31TMX/NOPB" xr:uid="{59CFEAC4-4042-4503-8CE4-01F638771605}"/>
    <hyperlink ref="B213" r:id="rId193" display="http://eltweb04.elta.iai/pls/iman_Production/link_to_iman?item_id=EA9394-KT1QT" xr:uid="{8E83303A-D03F-4327-9ED7-FB8795B44564}"/>
    <hyperlink ref="B214" r:id="rId194" display="http://eltweb04.elta.iai/pls/iman_Production/link_to_iman?item_id=EC2216A/B GRAY KT2OZ" xr:uid="{766D35E2-316A-459D-92ED-BA2430FA44D7}"/>
    <hyperlink ref="B215" r:id="rId195" display="http://eltweb04.elta.iai/pls/iman_Production/link_to_iman?item_id=EP2C70F896I8" xr:uid="{A1007A35-893F-4DBF-B310-1912E9798014}"/>
    <hyperlink ref="B216" r:id="rId196" display="http://eltweb04.elta.iai/pls/iman_Production/link_to_iman?item_id=EPCQ64ASI16N" xr:uid="{B10966B0-164E-415A-9188-2DAFEBC248DA}"/>
    <hyperlink ref="B217" r:id="rId197" display="http://eltweb04.elta.iai/pls/iman_Production/link_to_iman?item_id=FDN339AN" xr:uid="{CD20E42D-AF3D-424E-A085-C8239B92A7C0}"/>
    <hyperlink ref="B218" r:id="rId198" display="http://eltweb04.elta.iai/pls/iman_Production/link_to_iman?item_id=FT1737HS-10-8-A" xr:uid="{AD86FC0D-EE7F-4C2B-B4A3-C8D0877E6FD1}"/>
    <hyperlink ref="B219" r:id="rId199" display="http://eltweb04.elta.iai/pls/iman_Production/link_to_iman?item_id=GRM155R71C104KA88D" xr:uid="{309E1D2C-DD5A-4E9C-8B0C-1424D8408132}"/>
    <hyperlink ref="B220" r:id="rId200" display="http://eltweb04.elta.iai/pls/iman_Production/link_to_iman?item_id=GRM155R71H331KA01D" xr:uid="{EC2F46B2-B6E8-4522-B6BC-0B7BC541DA76}"/>
    <hyperlink ref="B221" r:id="rId201" display="http://eltweb04.elta.iai/pls/iman_Production/link_to_iman?item_id=HCPL-063L-500E" xr:uid="{6A3F191A-788E-4A3F-864B-DFFD314CD97A}"/>
    <hyperlink ref="B222" r:id="rId202" display="http://eltweb04.elta.iai/pls/iman_Production/link_to_iman?item_id=HEXPLY 913G/7781/37%" xr:uid="{E68BCF5F-8B97-4B2D-9218-C330AFC5541F}"/>
    <hyperlink ref="B223" r:id="rId203" display="http://eltweb04.elta.iai/pls/iman_Production/link_to_iman?item_id=HMC284AMS8GETR" xr:uid="{01CD2385-6050-42A1-A8CA-5E5C336F2549}"/>
    <hyperlink ref="B224" r:id="rId204" display="http://eltweb04.elta.iai/pls/iman_Production/link_to_iman?item_id=HMC326MS8GETR" xr:uid="{12103420-FC25-4653-A6E3-4F7AA32DBCD1}"/>
    <hyperlink ref="B225" r:id="rId205" display="http://eltweb04.elta.iai/pls/iman_Production/link_to_iman?item_id=HMC536MS8GE" xr:uid="{2071008B-1787-40FD-BC2F-A22BDD6ADBB2}"/>
    <hyperlink ref="B226" r:id="rId206" display="http://eltweb04.elta.iai/pls/iman_Production/link_to_iman?item_id=HSMG-C680" xr:uid="{AA749308-62A8-43BB-9CDB-22A962A5795B}"/>
    <hyperlink ref="B227" r:id="rId207" display="http://eltweb04.elta.iai/pls/iman_Production/link_to_iman?item_id=HSMS-C680" xr:uid="{1CAABC69-85AD-4CBC-A22E-EBF8607596D7}"/>
    <hyperlink ref="B228" r:id="rId208" location="300" display="http://eltweb04.elta.iai/pls/iman_Production/link_to_iman?item_id=HSSR-7110#300" xr:uid="{9A6C3471-70B8-4E12-AAE2-ADB088B76E95}"/>
    <hyperlink ref="B229" r:id="rId209" display="http://eltweb04.elta.iai/pls/iman_Production/link_to_iman?item_id=IAC-2512-WA-02-D0" xr:uid="{FCA93B7C-4DD6-47A1-9F60-47743202FBD2}"/>
    <hyperlink ref="B230" r:id="rId210" display="http://eltweb04.elta.iai/pls/iman_Production/link_to_iman?item_id=IDEAL 9185 MASKING TAPE" xr:uid="{5E75DD3D-5185-4DF2-8AF8-59394722A41F}"/>
    <hyperlink ref="B231" r:id="rId211" display="http://eltweb04.elta.iai/pls/iman_Production/link_to_iman?item_id=JCM2900T3400VM1R" xr:uid="{AA6C4975-108C-4C70-84F1-D3EDE3AF9C32}"/>
    <hyperlink ref="B232" r:id="rId212" display="http://eltweb04.elta.iai/pls/iman_Production/link_to_iman?item_id=JCM2900T3400VM1RC" xr:uid="{18CFDA3B-5506-4EE3-BBDA-79A2B1FB67A7}"/>
    <hyperlink ref="B233" r:id="rId213" display="http://eltweb04.elta.iai/pls/iman_Production/link_to_iman?item_id=LOCTITE 222-10CC" xr:uid="{7ACA7836-1676-41C6-81E2-F5D9CB9B587F}"/>
    <hyperlink ref="B234" r:id="rId214" display="http://eltweb04.elta.iai/pls/iman_Production/link_to_iman?item_id=LOCTITE 222-50CC" xr:uid="{A552C1BB-F5E3-4136-81C6-55F1B913F2B1}"/>
    <hyperlink ref="B235" r:id="rId215" display="http://eltweb04.elta.iai/pls/iman_Production/link_to_iman?item_id=LQW15AN10NG00D" xr:uid="{96D41CE3-966D-48C2-88F9-E1376320C96E}"/>
    <hyperlink ref="B236" r:id="rId216" display="http://eltweb04.elta.iai/pls/iman_Production/link_to_iman?item_id=LQW15AN5N8B00D" xr:uid="{89A1486B-94BB-41ED-A8C5-1B2A1081D4C0}"/>
    <hyperlink ref="B237" r:id="rId217" location="TRPBF" display="http://eltweb04.elta.iai/pls/iman_Production/link_to_iman?item_id=LT1964IDD#TRPBF" xr:uid="{46F773D4-9F16-433A-B4F9-A07152F27505}"/>
    <hyperlink ref="B238" r:id="rId218" location="TRMPBF" display="http://eltweb04.elta.iai/pls/iman_Production/link_to_iman?item_id=LTC2908IDDB-A1#TRMPBF" xr:uid="{2F105695-6BEB-4955-BEE7-EA3A905C3A40}"/>
    <hyperlink ref="B239" r:id="rId219" location="TRPBF" display="http://eltweb04.elta.iai/pls/iman_Production/link_to_iman?item_id=LTC4444HMS8E-5#TRPBF" xr:uid="{8E63FE78-7D80-41D6-B5A2-16B9CF4CDEBF}"/>
    <hyperlink ref="B240" r:id="rId220" location="PBF" display="http://eltweb04.elta.iai/pls/iman_Production/link_to_iman?item_id=LTM8027IV#PBF" xr:uid="{6875375C-B86A-460C-9E4B-BC0DFAB0D2B9}"/>
    <hyperlink ref="B241" r:id="rId221" display="http://eltweb04.elta.iai/pls/iman_Production/link_to_iman?item_id=M80-5S22005M7" xr:uid="{C5A14A78-2CD8-4009-A496-07F8EB1E92E0}"/>
    <hyperlink ref="B242" r:id="rId222" display="http://eltweb04.elta.iai/pls/iman_Production/link_to_iman?item_id=MAX8557ETE+T" xr:uid="{C383F54A-0626-44C3-AA04-6FE46F9528D1}"/>
    <hyperlink ref="B243" r:id="rId223" display="http://eltweb04.elta.iai/pls/iman_Production/link_to_iman?item_id=MC74ACT04DR2G" xr:uid="{D8673112-06D5-4FF3-A5F8-A2B1D9A53682}"/>
    <hyperlink ref="B244" r:id="rId224" display="http://eltweb04.elta.iai/pls/iman_Production/link_to_iman?item_id=MI0603J601R-10" xr:uid="{2A4358C8-1D72-45E1-AB60-02FC09C3842B}"/>
    <hyperlink ref="B245" r:id="rId225" display="http://eltweb04.elta.iai/pls/iman_Production/link_to_iman?item_id=MM3Z3V3T1G" xr:uid="{B98BA09D-9829-4C9A-A8A9-3E6FF9EBDBA0}"/>
    <hyperlink ref="B246" r:id="rId226" display="http://eltweb04.elta.iai/pls/iman_Production/link_to_iman?item_id=MM3Z5V1T1G" xr:uid="{0A7E8D55-EAB7-4035-AC9A-82EA30A83B2F}"/>
    <hyperlink ref="B247" r:id="rId227" display="http://eltweb04.elta.iai/pls/iman_Production/link_to_iman?item_id=MMBD4148-7-F" xr:uid="{AE8ECA7C-0E05-44DB-8394-17CCAFAF76C0}"/>
    <hyperlink ref="B248" r:id="rId228" display="http://eltweb04.elta.iai/pls/iman_Production/link_to_iman?item_id=MMBT2222ALT1G" xr:uid="{DDDD258A-6F3C-4578-9AF9-992F5A0C9AB1}"/>
    <hyperlink ref="B249" r:id="rId229" display="http://eltweb04.elta.iai/pls/iman_Production/link_to_iman?item_id=MS16995-16" xr:uid="{2814FF72-739A-40C6-AF9D-25C7F16E635F}"/>
    <hyperlink ref="B250" r:id="rId230" display="http://eltweb04.elta.iai/pls/iman_Production/link_to_iman?item_id=MS16995-17" xr:uid="{53A78692-38B6-4184-AE12-BC63F15342FC}"/>
    <hyperlink ref="B251" r:id="rId231" display="http://eltweb04.elta.iai/pls/iman_Production/link_to_iman?item_id=MS16995-18" xr:uid="{0CBC314D-2386-4323-ABA3-587D99780837}"/>
    <hyperlink ref="B252" r:id="rId232" display="http://eltweb04.elta.iai/pls/iman_Production/link_to_iman?item_id=MS16995-19" xr:uid="{E631C764-1C30-4479-8F4A-F7BEB1997BED}"/>
    <hyperlink ref="B253" r:id="rId233" display="http://eltweb04.elta.iai/pls/iman_Production/link_to_iman?item_id=MS16995-26" xr:uid="{C806C90E-DB02-47A0-87CF-268F353FF456}"/>
    <hyperlink ref="B254" r:id="rId234" display="http://eltweb04.elta.iai/pls/iman_Production/link_to_iman?item_id=MS24693-C3" xr:uid="{F476C62F-4255-4DCD-9343-AD07B3C70FC9}"/>
    <hyperlink ref="B255" r:id="rId235" display="http://eltweb04.elta.iai/pls/iman_Production/link_to_iman?item_id=MS24693-C4" xr:uid="{6876572C-7763-4CFA-8BB3-75595DCBC722}"/>
    <hyperlink ref="B256" r:id="rId236" display="http://eltweb04.elta.iai/pls/iman_Production/link_to_iman?item_id=MS24693-C7" xr:uid="{1952B6F3-5288-49C1-89D9-8B1C9614E6FD}"/>
    <hyperlink ref="B257" r:id="rId237" display="http://eltweb04.elta.iai/pls/iman_Production/link_to_iman?item_id=MS3213-22" xr:uid="{3D7FC05C-B095-4BCF-93EE-3122DAC3A440}"/>
    <hyperlink ref="B258" r:id="rId238" display="http://eltweb04.elta.iai/pls/iman_Production/link_to_iman?item_id=MS35338-134" xr:uid="{BC0A78C3-B57C-49FC-9482-F7090309698E}"/>
    <hyperlink ref="B259" r:id="rId239" display="http://eltweb04.elta.iai/pls/iman_Production/link_to_iman?item_id=MS35338-135" xr:uid="{480A09F6-6A01-4724-832A-1DD86036CF1C}"/>
    <hyperlink ref="B260" r:id="rId240" display="http://eltweb04.elta.iai/pls/iman_Production/link_to_iman?item_id=MS35338-136" xr:uid="{AD06D0B0-08B2-4D31-AE5C-D5F544FA1E05}"/>
    <hyperlink ref="B261" r:id="rId241" display="http://eltweb04.elta.iai/pls/iman_Production/link_to_iman?item_id=MS35338-137" xr:uid="{0557EAFC-0DD1-47E9-B534-8510D62C83DF}"/>
    <hyperlink ref="B262" r:id="rId242" display="http://eltweb04.elta.iai/pls/iman_Production/link_to_iman?item_id=MS51957-13" xr:uid="{CC7FE633-1165-4AFF-BFBE-3EDFE149D5BC}"/>
    <hyperlink ref="B263" r:id="rId243" display="http://eltweb04.elta.iai/pls/iman_Production/link_to_iman?item_id=MS51957-14" xr:uid="{FC918E1F-DFC1-4321-BC72-9A0804602955}"/>
    <hyperlink ref="B264" r:id="rId244" display="http://eltweb04.elta.iai/pls/iman_Production/link_to_iman?item_id=MS51957-141" xr:uid="{8EE54906-2460-42A7-AA34-1A64BD73917B}"/>
    <hyperlink ref="B265" r:id="rId245" display="http://eltweb04.elta.iai/pls/iman_Production/link_to_iman?item_id=MS51957-15" xr:uid="{D7175E83-12BF-40C5-9DC1-72AC2883E474}"/>
    <hyperlink ref="B266" r:id="rId246" display="http://eltweb04.elta.iai/pls/iman_Production/link_to_iman?item_id=MS51957-28" xr:uid="{74C275F5-66E9-42FD-88DE-56B83EF5A367}"/>
    <hyperlink ref="B267" r:id="rId247" display="http://eltweb04.elta.iai/pls/iman_Production/link_to_iman?item_id=MS51957-29" xr:uid="{D592E4B0-59BA-43B7-BC81-DDD200A79F46}"/>
    <hyperlink ref="B268" r:id="rId248" display="http://eltweb04.elta.iai/pls/iman_Production/link_to_iman?item_id=MS51957-3" xr:uid="{6F52B33F-D8DE-403E-BB95-FE4AF91BE794}"/>
    <hyperlink ref="B269" r:id="rId249" display="http://eltweb04.elta.iai/pls/iman_Production/link_to_iman?item_id=MS51957-31" xr:uid="{11CBFCC9-E06F-4A75-BE04-AE0112E83144}"/>
    <hyperlink ref="B270" r:id="rId250" display="http://eltweb04.elta.iai/pls/iman_Production/link_to_iman?item_id=MS51957-32" xr:uid="{555D8FD6-5C87-4972-8599-EFD44597F29E}"/>
    <hyperlink ref="B271" r:id="rId251" display="http://eltweb04.elta.iai/pls/iman_Production/link_to_iman?item_id=N2510-5002-RB" xr:uid="{8D6F2A02-B683-466B-B083-EC58F711BE85}"/>
    <hyperlink ref="B272" r:id="rId252" display="http://eltweb04.elta.iai/pls/iman_Production/link_to_iman?item_id=NAS1352C02-9" xr:uid="{5BC67BD6-EE75-457B-A22B-DEB6616948FD}"/>
    <hyperlink ref="B273" r:id="rId253" display="http://eltweb04.elta.iai/pls/iman_Production/link_to_iman?item_id=NAS1352C04-8" xr:uid="{AA764FCD-C09F-4F03-87F7-507A37104201}"/>
    <hyperlink ref="B274" r:id="rId254" display="http://eltweb04.elta.iai/pls/iman_Production/link_to_iman?item_id=NAS1581C4T5" xr:uid="{1D9656EE-5188-4622-B339-FD2CCC931530}"/>
    <hyperlink ref="B275" r:id="rId255" display="http://eltweb04.elta.iai/pls/iman_Production/link_to_iman?item_id=NAS1676C4" xr:uid="{12718015-B910-40BB-A4D8-9E8EA831946A}"/>
    <hyperlink ref="B276" r:id="rId256" display="http://eltweb04.elta.iai/pls/iman_Production/link_to_iman?item_id=NAS1676C6" xr:uid="{8740C122-3AA6-454A-BB4E-59CB52EFA668}"/>
    <hyperlink ref="B277" r:id="rId257" display="http://eltweb04.elta.iai/pls/iman_Production/link_to_iman?item_id=NAS620C2" xr:uid="{5002FBB1-98B5-448B-8BD1-20F3DDF42BC7}"/>
    <hyperlink ref="B278" r:id="rId258" display="http://eltweb04.elta.iai/pls/iman_Production/link_to_iman?item_id=NAS620C4" xr:uid="{D0FE88FA-FB25-4E3A-AD5C-4E16FB251361}"/>
    <hyperlink ref="B279" r:id="rId259" display="http://eltweb04.elta.iai/pls/iman_Production/link_to_iman?item_id=NAS620C4L" xr:uid="{4BEDEF09-9DD3-4BBD-99B5-F7738E3E279B}"/>
    <hyperlink ref="B280" r:id="rId260" display="http://eltweb04.elta.iai/pls/iman_Production/link_to_iman?item_id=NAS620C6" xr:uid="{3C0D91AF-EB41-4432-B970-3817AB6742BE}"/>
    <hyperlink ref="B281" r:id="rId261" display="http://eltweb04.elta.iai/pls/iman_Production/link_to_iman?item_id=NAS620C8" xr:uid="{0B192EDD-C860-48E9-B285-2F7DA009F8EB}"/>
    <hyperlink ref="B282" r:id="rId262" display="http://eltweb04.elta.iai/pls/iman_Production/link_to_iman?item_id=NAS671C2" xr:uid="{7CB150B2-FAFB-4ECB-9793-D638A1B8A5F1}"/>
    <hyperlink ref="B283" r:id="rId263" display="http://eltweb04.elta.iai/pls/iman_Production/link_to_iman?item_id=NC7ST04P5X" xr:uid="{954AFE53-C260-454F-8E42-A5A54BC6EAA8}"/>
    <hyperlink ref="B284" r:id="rId264" display="http://eltweb04.elta.iai/pls/iman_Production/link_to_iman?item_id=NC7SZ08M5X-L22090" xr:uid="{AB7D82F3-58D8-4A74-A9CB-B35C1E0BE96C}"/>
    <hyperlink ref="B285" r:id="rId265" display="http://eltweb04.elta.iai/pls/iman_Production/link_to_iman?item_id=NFL18ZT207H1A3D" xr:uid="{E48E34C4-F034-4420-AD35-6389153E1E30}"/>
    <hyperlink ref="B286" r:id="rId266" display="http://eltweb04.elta.iai/pls/iman_Production/link_to_iman?item_id=NFL18ZT507H1A3D" xr:uid="{87F89DFD-936E-407B-83A9-118FD2E79405}"/>
    <hyperlink ref="B287" r:id="rId267" display="http://eltweb04.elta.iai/pls/iman_Production/link_to_iman?item_id=NGC-1206CS50R0G" xr:uid="{07AC1F2B-EF45-4E86-A9F6-A695EDAC30FD}"/>
    <hyperlink ref="B288" r:id="rId268" display="http://eltweb04.elta.iai/pls/iman_Production/link_to_iman?item_id=P222-1IN" xr:uid="{B4581CB5-C180-40A7-9D5C-D7317DEF2031}"/>
    <hyperlink ref="B289" r:id="rId269" display="http://eltweb04.elta.iai/pls/iman_Production/link_to_iman?item_id=PLT1M-M" xr:uid="{291DEE35-1622-4BE7-B3E4-43DDF92B88ED}"/>
    <hyperlink ref="B290" r:id="rId270" display="http://eltweb04.elta.iai/pls/iman_Production/link_to_iman?item_id=PSOT05C-LF-T7" xr:uid="{6419DF6E-D234-47B6-8C2F-014D2B8C1AE1}"/>
    <hyperlink ref="B291" r:id="rId271" display="http://eltweb04.elta.iai/pls/iman_Production/link_to_iman?item_id=PTL-16-426" xr:uid="{CACC0A07-163F-4472-9CAC-8CDF9A361569}"/>
    <hyperlink ref="B292" r:id="rId272" display="http://eltweb04.elta.iai/pls/iman_Production/link_to_iman?item_id=PTL-9-724" xr:uid="{D817AC39-1D27-4362-8A5E-B7961CC215BC}"/>
    <hyperlink ref="B293" r:id="rId273" display="http://eltweb04.elta.iai/pls/iman_Production/link_to_iman?item_id=R404.210.000" xr:uid="{3F18409D-0238-4EF8-BB4B-62E46CD4E2EA}"/>
    <hyperlink ref="B294" r:id="rId274" display="http://eltweb04.elta.iai/pls/iman_Production/link_to_iman?item_id=RTV 167-2.8 FL/OZ" xr:uid="{15D656BE-863D-40DC-B846-003F65F6EADD}"/>
    <hyperlink ref="B295" r:id="rId275" display="http://eltweb04.elta.iai/pls/iman_Production/link_to_iman?item_id=SCN-2-35+" xr:uid="{3A19419C-7EA8-41B5-BDB9-EA0DCF65E800}"/>
    <hyperlink ref="B296" r:id="rId276" display="http://eltweb04.elta.iai/pls/iman_Production/link_to_iman?item_id=SEAF30-06.5S-10-1-A-K-TR" xr:uid="{ABBA60EB-BC5C-4E50-839C-CF599FF89DAA}"/>
    <hyperlink ref="B297" r:id="rId277" display="http://eltweb04.elta.iai/pls/iman_Production/link_to_iman?item_id=SEAM30-03.5S-10-1-A-K-TR" xr:uid="{1B7232E4-B4CC-4929-9775-D7BFCECC884D}"/>
    <hyperlink ref="B298" r:id="rId278" display="http://eltweb04.elta.iai/pls/iman_Production/link_to_iman?item_id=SI7252DP-T1-GE3" xr:uid="{15033206-304D-485A-A5AA-EC3F7776804E}"/>
    <hyperlink ref="B299" r:id="rId279" display="http://eltweb04.elta.iai/pls/iman_Production/link_to_iman?item_id=SMBJ24A" xr:uid="{FF6907CD-D0BC-45E3-95FB-85BD8CD3AE6A}"/>
    <hyperlink ref="B300" r:id="rId280" display="http://eltweb04.elta.iai/pls/iman_Production/link_to_iman?item_id=SMBJ5.0AE3/52" xr:uid="{3CF6EA88-2427-4DA2-880D-F4E83D7520F4}"/>
    <hyperlink ref="B301" r:id="rId281" display="http://eltweb04.elta.iai/pls/iman_Production/link_to_iman?item_id=SN74LVTH16244ADGGR" xr:uid="{3F385B27-86A4-453E-9EB6-7E9FC22CBFAC}"/>
    <hyperlink ref="B302" r:id="rId282" display="http://eltweb04.elta.iai/pls/iman_Production/link_to_iman?item_id=TACR106K010RTA" xr:uid="{C452EBD2-0116-478F-B2F8-796ADF7E2E05}"/>
    <hyperlink ref="B304" r:id="rId283" display="http://eltweb04.elta.iai/pls/iman_Production/link_to_iman?item_id=TGP-A0232" xr:uid="{F6377E58-1CCB-4CA7-B9BE-D9901A1D8C8C}"/>
    <hyperlink ref="B305" r:id="rId284" display="http://eltweb04.elta.iai/pls/iman_Production/link_to_iman?item_id=THT-1-724-10" xr:uid="{CA1CC5AE-A907-4BD3-9EEF-F47E47638E1E}"/>
    <hyperlink ref="B306" r:id="rId285" display="http://eltweb04.elta.iai/pls/iman_Production/link_to_iman?item_id=TM1S4-C" xr:uid="{FABD05D7-76C8-45AF-8B97-8AC60916948A}"/>
    <hyperlink ref="B307" r:id="rId286" display="http://eltweb04.elta.iai/pls/iman_Production/link_to_iman?item_id=TQP369184" xr:uid="{9E522C97-9237-4711-86BF-DDF54FC280AC}"/>
    <hyperlink ref="B308" r:id="rId287" display="http://eltweb04.elta.iai/pls/iman_Production/link_to_iman?item_id=TRM-2090-MC-SMA-02" xr:uid="{1DD316C2-452B-4CB1-BE6E-BDDE2539B91E}"/>
    <hyperlink ref="B309" r:id="rId288" display="http://eltweb04.elta.iai/pls/iman_Production/link_to_iman?item_id=TS0300S" xr:uid="{79E3E8B5-7E62-42EA-A667-7DBAB12D626F}"/>
    <hyperlink ref="B310" r:id="rId289" display="http://eltweb04.elta.iai/pls/iman_Production/link_to_iman?item_id=TS0302W3" xr:uid="{47661CC0-7373-4A4A-87FB-1203F323938F}"/>
    <hyperlink ref="B311" r:id="rId290" display="http://eltweb04.elta.iai/pls/iman_Production/link_to_iman?item_id=TS0310W3S" xr:uid="{B72D8EF1-C40D-493D-A12C-0D8BCE7B390A}"/>
    <hyperlink ref="B312" r:id="rId291" display="http://eltweb04.elta.iai/pls/iman_Production/link_to_iman?item_id=TS0312W3" xr:uid="{8B66930D-6DD2-43ED-B82F-8D774906F55B}"/>
    <hyperlink ref="B313" r:id="rId292" display="http://eltweb04.elta.iai/pls/iman_Production/link_to_iman?item_id=TS0501W3S/TR" xr:uid="{D7464EAE-4959-41FA-A01B-0B3F6979AB00}"/>
    <hyperlink ref="B314" r:id="rId293" display="http://eltweb04.elta.iai/pls/iman_Production/link_to_iman?item_id=VERSAFLEX-1/2-0-SP" xr:uid="{6A520990-1E63-45E9-AD6E-B005150BADCE}"/>
    <hyperlink ref="B317" r:id="rId294" display="http://eltweb04.elta.iai/pls/iman_Production/link_to_iman?item_id=VERSAFLEX-3/8-0-SP" xr:uid="{302401FC-2127-4D57-BA4B-EFBCACE501D0}"/>
    <hyperlink ref="B316" r:id="rId295" display="http://eltweb04.elta.iai/pls/iman_Production/link_to_iman?item_id=VERSAFLEX-1/8-0-SP" xr:uid="{197392C9-B0D7-4FD7-9096-195E81B5F630}"/>
    <hyperlink ref="B315" r:id="rId296" display="http://eltweb04.elta.iai/pls/iman_Production/link_to_iman?item_id=VERSAFLEX-1/4-0-SP" xr:uid="{8BF94FF4-A826-4ACA-B5B9-592CD0D389FF}"/>
    <hyperlink ref="AN153" r:id="rId297" xr:uid="{D2088D93-7AF5-4EFD-97C7-6031D88A46FD}"/>
    <hyperlink ref="AN149" r:id="rId298" xr:uid="{73934943-E1D4-4354-87D0-F2508CF83AD6}"/>
    <hyperlink ref="AN221" r:id="rId299" xr:uid="{EC9DCD26-C291-48BA-8CF7-55F2D6EAB8EC}"/>
    <hyperlink ref="AN291" r:id="rId300" xr:uid="{C9C6E11B-A6A8-495F-8354-2241BB081A83}"/>
    <hyperlink ref="AN292" r:id="rId301" xr:uid="{256A2E5F-DAA8-4C27-8D1E-338B7FA777F5}"/>
    <hyperlink ref="AN305" r:id="rId302" xr:uid="{5C3C86EE-81D2-4604-B962-BC94D105D658}"/>
    <hyperlink ref="AN211" r:id="rId303" xr:uid="{8882B6DE-7B1B-484D-A49F-24B5F609CF3E}"/>
    <hyperlink ref="AN222" r:id="rId304" xr:uid="{5B1EE8AD-702E-45F6-8DA6-BEC5DD91E087}"/>
    <hyperlink ref="AN86" r:id="rId305" xr:uid="{C7502999-B464-44CA-B9E2-C8097306C91B}"/>
    <hyperlink ref="AN87" r:id="rId306" xr:uid="{40DCF267-DAF7-46A9-A89B-9B7321BD3277}"/>
    <hyperlink ref="AN35" r:id="rId307" xr:uid="{918F9D5C-26FC-4D66-AC07-5065DEA69027}"/>
    <hyperlink ref="AN295" r:id="rId308" xr:uid="{F94C691F-6671-46AD-8204-81D2761883F3}"/>
    <hyperlink ref="AN137" r:id="rId309" xr:uid="{9DC71584-DCF6-45FC-9A1D-44FFB81E51A3}"/>
    <hyperlink ref="AN310" r:id="rId310" xr:uid="{19B00DA9-EC1B-47DA-A43D-8B92C03A911C}"/>
    <hyperlink ref="AN88" r:id="rId311" xr:uid="{A25CA942-74A3-4527-8434-2822FEA456DA}"/>
    <hyperlink ref="AN131" r:id="rId312" xr:uid="{376FACF3-ACA2-440C-92E1-0507685BB885}"/>
    <hyperlink ref="AN26" r:id="rId313" xr:uid="{919749B5-7820-42CF-861A-64AA84B482D5}"/>
    <hyperlink ref="AN309" r:id="rId314" xr:uid="{58E7540F-FB75-43AE-97B6-C15B24A232ED}"/>
    <hyperlink ref="AN165" r:id="rId315" xr:uid="{D117FA51-4212-4D5B-A70A-D97B31C00CE2}"/>
    <hyperlink ref="AN162" r:id="rId316" xr:uid="{8BBF5D4D-7F93-4C56-ADE0-FC76825FF1D0}"/>
    <hyperlink ref="AN161" r:id="rId317" xr:uid="{C635378C-4A36-40C3-8F94-58F307644157}"/>
    <hyperlink ref="AN314" r:id="rId318" xr:uid="{BDAEA132-E7F7-4F28-9D5F-A6AD4DC19DF1}"/>
    <hyperlink ref="AN101" r:id="rId319" xr:uid="{7C42C81C-13D9-42D5-934B-EA63E577639D}"/>
    <hyperlink ref="AN122" r:id="rId320" xr:uid="{DC5CD6BC-B10C-4F1D-A6FB-82ADF513A7BE}"/>
  </hyperlinks>
  <printOptions gridLines="1" gridLinesSet="0"/>
  <pageMargins left="0.75" right="0.75" top="1" bottom="1" header="0.5" footer="0.5"/>
  <pageSetup paperSize="9" fitToWidth="0" fitToHeight="0" orientation="portrait" r:id="rId32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IMOE001</dc:creator>
  <cp:lastModifiedBy>IMOE001</cp:lastModifiedBy>
  <dcterms:created xsi:type="dcterms:W3CDTF">2026-08-06T05:00:04Z</dcterms:created>
  <dcterms:modified xsi:type="dcterms:W3CDTF">2026-08-06T05:00:23Z</dcterms:modified>
</cp:coreProperties>
</file>