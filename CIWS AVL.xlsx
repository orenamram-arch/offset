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ram1003\Desktop\OFFSET BTP\"/>
    </mc:Choice>
  </mc:AlternateContent>
  <xr:revisionPtr revIDLastSave="0" documentId="8_{7889216C-4E75-48FC-971A-563C92F0F1E3}" xr6:coauthVersionLast="47" xr6:coauthVersionMax="47" xr10:uidLastSave="{00000000-0000-0000-0000-000000000000}"/>
  <bookViews>
    <workbookView xWindow="-120" yWindow="-120" windowWidth="20730" windowHeight="11040" firstSheet="2" activeTab="2" xr2:uid="{00000000-000D-0000-FFFF-FFFF00000000}"/>
  </bookViews>
  <sheets>
    <sheet name="Summary" sheetId="2" r:id="rId1"/>
    <sheet name="Sheet3" sheetId="13" r:id="rId2"/>
    <sheet name="AVL" sheetId="1" r:id="rId3"/>
  </sheets>
  <definedNames>
    <definedName name="_xlnm._FilterDatabase" localSheetId="2" hidden="1">AVL!$A$21:$DO$507</definedName>
    <definedName name="_xlnm._FilterDatabase" localSheetId="0" hidden="1">Summary!$A$27:$G$82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Q5" i="1" l="1"/>
  <c r="CR5" i="1"/>
  <c r="CS5" i="1"/>
  <c r="CT5" i="1"/>
  <c r="CU5" i="1"/>
  <c r="CV5" i="1"/>
  <c r="CW5" i="1"/>
  <c r="CX5" i="1"/>
  <c r="CY5" i="1"/>
  <c r="CZ5" i="1"/>
  <c r="DA5" i="1"/>
  <c r="DB5" i="1"/>
  <c r="DC5" i="1"/>
  <c r="DD5" i="1"/>
  <c r="DE5" i="1"/>
  <c r="DF5" i="1"/>
  <c r="DG5" i="1"/>
  <c r="DH5" i="1"/>
  <c r="DI5" i="1"/>
  <c r="DJ5" i="1"/>
  <c r="DK5" i="1"/>
  <c r="DL5" i="1"/>
  <c r="DM5" i="1"/>
  <c r="DN5" i="1"/>
  <c r="DO5" i="1"/>
  <c r="CQ6" i="1"/>
  <c r="CR6" i="1"/>
  <c r="CS6" i="1"/>
  <c r="CT6" i="1"/>
  <c r="CU6" i="1"/>
  <c r="CV6" i="1"/>
  <c r="CW6" i="1"/>
  <c r="CX6" i="1"/>
  <c r="CY6" i="1"/>
  <c r="CZ6" i="1"/>
  <c r="DA6" i="1"/>
  <c r="DB6" i="1"/>
  <c r="DC6" i="1"/>
  <c r="DD6" i="1"/>
  <c r="DE6" i="1"/>
  <c r="DF6" i="1"/>
  <c r="DG6" i="1"/>
  <c r="DH6" i="1"/>
  <c r="DI6" i="1"/>
  <c r="DJ6" i="1"/>
  <c r="DK6" i="1"/>
  <c r="DL6" i="1"/>
  <c r="DM6" i="1"/>
  <c r="DN6" i="1"/>
  <c r="DO6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CQ8" i="1"/>
  <c r="CR8" i="1"/>
  <c r="CS8" i="1"/>
  <c r="CT8" i="1"/>
  <c r="CU8" i="1"/>
  <c r="CV8" i="1"/>
  <c r="CW8" i="1"/>
  <c r="CX8" i="1"/>
  <c r="CY8" i="1"/>
  <c r="CZ8" i="1"/>
  <c r="DA8" i="1"/>
  <c r="DB8" i="1"/>
  <c r="DC8" i="1"/>
  <c r="DD8" i="1"/>
  <c r="DE8" i="1"/>
  <c r="DF8" i="1"/>
  <c r="DG8" i="1"/>
  <c r="DH8" i="1"/>
  <c r="DI8" i="1"/>
  <c r="DJ8" i="1"/>
  <c r="DK8" i="1"/>
  <c r="DL8" i="1"/>
  <c r="DM8" i="1"/>
  <c r="DN8" i="1"/>
  <c r="DO8" i="1"/>
  <c r="CQ9" i="1"/>
  <c r="CR9" i="1"/>
  <c r="CS9" i="1"/>
  <c r="CT9" i="1"/>
  <c r="CU9" i="1"/>
  <c r="CV9" i="1"/>
  <c r="CW9" i="1"/>
  <c r="CX9" i="1"/>
  <c r="CY9" i="1"/>
  <c r="CZ9" i="1"/>
  <c r="DA9" i="1"/>
  <c r="DB9" i="1"/>
  <c r="DC9" i="1"/>
  <c r="DD9" i="1"/>
  <c r="DE9" i="1"/>
  <c r="DF9" i="1"/>
  <c r="DG9" i="1"/>
  <c r="DH9" i="1"/>
  <c r="DI9" i="1"/>
  <c r="DJ9" i="1"/>
  <c r="DK9" i="1"/>
  <c r="DL9" i="1"/>
  <c r="DM9" i="1"/>
  <c r="DN9" i="1"/>
  <c r="DO9" i="1"/>
  <c r="CQ10" i="1"/>
  <c r="CR10" i="1"/>
  <c r="CS10" i="1"/>
  <c r="CT10" i="1"/>
  <c r="CU10" i="1"/>
  <c r="CV10" i="1"/>
  <c r="CW10" i="1"/>
  <c r="CX10" i="1"/>
  <c r="CY10" i="1"/>
  <c r="CZ10" i="1"/>
  <c r="DA10" i="1"/>
  <c r="DB10" i="1"/>
  <c r="DC10" i="1"/>
  <c r="DD10" i="1"/>
  <c r="DE10" i="1"/>
  <c r="DF10" i="1"/>
  <c r="DG10" i="1"/>
  <c r="DH10" i="1"/>
  <c r="DI10" i="1"/>
  <c r="DJ10" i="1"/>
  <c r="DK10" i="1"/>
  <c r="DL10" i="1"/>
  <c r="DM10" i="1"/>
  <c r="DN10" i="1"/>
  <c r="DO10" i="1"/>
  <c r="CQ11" i="1"/>
  <c r="CR11" i="1"/>
  <c r="CS11" i="1"/>
  <c r="CT11" i="1"/>
  <c r="CU11" i="1"/>
  <c r="CV11" i="1"/>
  <c r="CW11" i="1"/>
  <c r="CX11" i="1"/>
  <c r="CY11" i="1"/>
  <c r="CZ11" i="1"/>
  <c r="DA11" i="1"/>
  <c r="DB11" i="1"/>
  <c r="DC11" i="1"/>
  <c r="DD11" i="1"/>
  <c r="DE11" i="1"/>
  <c r="DF11" i="1"/>
  <c r="DG11" i="1"/>
  <c r="DH11" i="1"/>
  <c r="DI11" i="1"/>
  <c r="DJ11" i="1"/>
  <c r="DK11" i="1"/>
  <c r="DL11" i="1"/>
  <c r="DM11" i="1"/>
  <c r="DN11" i="1"/>
  <c r="DO11" i="1"/>
  <c r="CQ12" i="1"/>
  <c r="CR12" i="1"/>
  <c r="CS12" i="1"/>
  <c r="CT12" i="1"/>
  <c r="CU12" i="1"/>
  <c r="CV12" i="1"/>
  <c r="CW12" i="1"/>
  <c r="CX12" i="1"/>
  <c r="CY12" i="1"/>
  <c r="CZ12" i="1"/>
  <c r="DA12" i="1"/>
  <c r="DB12" i="1"/>
  <c r="DC12" i="1"/>
  <c r="DD12" i="1"/>
  <c r="DE12" i="1"/>
  <c r="DF12" i="1"/>
  <c r="DG12" i="1"/>
  <c r="DH12" i="1"/>
  <c r="DI12" i="1"/>
  <c r="DJ12" i="1"/>
  <c r="DK12" i="1"/>
  <c r="DL12" i="1"/>
  <c r="DM12" i="1"/>
  <c r="DN12" i="1"/>
  <c r="DO12" i="1"/>
  <c r="CQ13" i="1"/>
  <c r="CR13" i="1"/>
  <c r="CS13" i="1"/>
  <c r="CT13" i="1"/>
  <c r="CU13" i="1"/>
  <c r="CV13" i="1"/>
  <c r="CW13" i="1"/>
  <c r="CX13" i="1"/>
  <c r="CY13" i="1"/>
  <c r="CZ13" i="1"/>
  <c r="DA13" i="1"/>
  <c r="DB13" i="1"/>
  <c r="DC13" i="1"/>
  <c r="DD13" i="1"/>
  <c r="DE13" i="1"/>
  <c r="DF13" i="1"/>
  <c r="DG13" i="1"/>
  <c r="DH13" i="1"/>
  <c r="DI13" i="1"/>
  <c r="DJ13" i="1"/>
  <c r="DK13" i="1"/>
  <c r="DL13" i="1"/>
  <c r="DM13" i="1"/>
  <c r="DN13" i="1"/>
  <c r="DO13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CQ15" i="1"/>
  <c r="CR15" i="1"/>
  <c r="CS15" i="1"/>
  <c r="CT15" i="1"/>
  <c r="CU15" i="1"/>
  <c r="CV15" i="1"/>
  <c r="CW15" i="1"/>
  <c r="CX15" i="1"/>
  <c r="CY15" i="1"/>
  <c r="CZ15" i="1"/>
  <c r="DA15" i="1"/>
  <c r="DB15" i="1"/>
  <c r="DC15" i="1"/>
  <c r="DD15" i="1"/>
  <c r="DE15" i="1"/>
  <c r="DF15" i="1"/>
  <c r="DG15" i="1"/>
  <c r="DH15" i="1"/>
  <c r="DI15" i="1"/>
  <c r="DJ15" i="1"/>
  <c r="DK15" i="1"/>
  <c r="DL15" i="1"/>
  <c r="DM15" i="1"/>
  <c r="DN15" i="1"/>
  <c r="DO15" i="1"/>
  <c r="CQ16" i="1"/>
  <c r="CR16" i="1"/>
  <c r="CS16" i="1"/>
  <c r="CT16" i="1"/>
  <c r="CU16" i="1"/>
  <c r="CV16" i="1"/>
  <c r="CW16" i="1"/>
  <c r="CX16" i="1"/>
  <c r="CY16" i="1"/>
  <c r="CZ16" i="1"/>
  <c r="DA16" i="1"/>
  <c r="DB16" i="1"/>
  <c r="DC16" i="1"/>
  <c r="DD16" i="1"/>
  <c r="DE16" i="1"/>
  <c r="DF16" i="1"/>
  <c r="DG16" i="1"/>
  <c r="DH16" i="1"/>
  <c r="DI16" i="1"/>
  <c r="DJ16" i="1"/>
  <c r="DK16" i="1"/>
  <c r="DL16" i="1"/>
  <c r="DM16" i="1"/>
  <c r="DN16" i="1"/>
  <c r="DO16" i="1"/>
  <c r="CQ17" i="1"/>
  <c r="CR17" i="1"/>
  <c r="CS17" i="1"/>
  <c r="CT17" i="1"/>
  <c r="CU17" i="1"/>
  <c r="CV17" i="1"/>
  <c r="CW17" i="1"/>
  <c r="CX17" i="1"/>
  <c r="CY17" i="1"/>
  <c r="CZ17" i="1"/>
  <c r="DA17" i="1"/>
  <c r="DB17" i="1"/>
  <c r="DC17" i="1"/>
  <c r="DD17" i="1"/>
  <c r="DE17" i="1"/>
  <c r="DF17" i="1"/>
  <c r="DG17" i="1"/>
  <c r="DH17" i="1"/>
  <c r="DI17" i="1"/>
  <c r="DJ17" i="1"/>
  <c r="DK17" i="1"/>
  <c r="DL17" i="1"/>
  <c r="DM17" i="1"/>
  <c r="DN17" i="1"/>
  <c r="DO17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G18" i="1"/>
  <c r="DH18" i="1"/>
  <c r="DI18" i="1"/>
  <c r="DJ18" i="1"/>
  <c r="DK18" i="1"/>
  <c r="DL18" i="1"/>
  <c r="DM18" i="1"/>
  <c r="DN18" i="1"/>
  <c r="DO18" i="1"/>
  <c r="CQ19" i="1"/>
  <c r="CR19" i="1"/>
  <c r="CS19" i="1"/>
  <c r="CT19" i="1"/>
  <c r="CU19" i="1"/>
  <c r="CV19" i="1"/>
  <c r="CW19" i="1"/>
  <c r="CX19" i="1"/>
  <c r="CY19" i="1"/>
  <c r="CZ19" i="1"/>
  <c r="DA19" i="1"/>
  <c r="DB19" i="1"/>
  <c r="DC19" i="1"/>
  <c r="DD19" i="1"/>
  <c r="DE19" i="1"/>
  <c r="DF19" i="1"/>
  <c r="DG19" i="1"/>
  <c r="DH19" i="1"/>
  <c r="DI19" i="1"/>
  <c r="DJ19" i="1"/>
  <c r="DK19" i="1"/>
  <c r="DL19" i="1"/>
  <c r="DM19" i="1"/>
  <c r="DN19" i="1"/>
  <c r="DO19" i="1"/>
  <c r="CQ20" i="1"/>
  <c r="CR20" i="1"/>
  <c r="CS20" i="1"/>
  <c r="CT20" i="1"/>
  <c r="CU20" i="1"/>
  <c r="CV20" i="1"/>
  <c r="CW20" i="1"/>
  <c r="CX20" i="1"/>
  <c r="CY20" i="1"/>
  <c r="CZ20" i="1"/>
  <c r="DA20" i="1"/>
  <c r="DB20" i="1"/>
  <c r="DC20" i="1"/>
  <c r="DD20" i="1"/>
  <c r="DE20" i="1"/>
  <c r="DF20" i="1"/>
  <c r="DG20" i="1"/>
  <c r="DH20" i="1"/>
  <c r="DI20" i="1"/>
  <c r="DJ20" i="1"/>
  <c r="DK20" i="1"/>
  <c r="DL20" i="1"/>
  <c r="DM20" i="1"/>
  <c r="DN20" i="1"/>
  <c r="DO20" i="1"/>
  <c r="CR4" i="1"/>
  <c r="CS4" i="1"/>
  <c r="CT4" i="1"/>
  <c r="CT501" i="1" s="1" a="1"/>
  <c r="CT501" i="1" s="1"/>
  <c r="CU4" i="1"/>
  <c r="CV4" i="1"/>
  <c r="CW4" i="1"/>
  <c r="CX4" i="1"/>
  <c r="CY4" i="1"/>
  <c r="CZ4" i="1"/>
  <c r="DA4" i="1"/>
  <c r="DB4" i="1"/>
  <c r="DC4" i="1"/>
  <c r="DD4" i="1"/>
  <c r="DE4" i="1"/>
  <c r="DF4" i="1"/>
  <c r="DF493" i="1" s="1" a="1"/>
  <c r="DF493" i="1" s="1"/>
  <c r="DG4" i="1"/>
  <c r="DH4" i="1"/>
  <c r="DI4" i="1"/>
  <c r="DJ4" i="1"/>
  <c r="DJ492" i="1" s="1" a="1"/>
  <c r="DJ492" i="1" s="1"/>
  <c r="DK4" i="1"/>
  <c r="DL4" i="1"/>
  <c r="DM4" i="1"/>
  <c r="DN4" i="1"/>
  <c r="DN507" i="1" s="1" a="1"/>
  <c r="DN507" i="1" s="1"/>
  <c r="DO4" i="1"/>
  <c r="CQ4" i="1"/>
  <c r="CN23" i="1" a="1"/>
  <c r="CN23" i="1" s="1"/>
  <c r="CO23" i="1" a="1"/>
  <c r="CO23" i="1" s="1"/>
  <c r="CP23" i="1" a="1"/>
  <c r="CP23" i="1" s="1"/>
  <c r="CN24" i="1" a="1"/>
  <c r="CN24" i="1" s="1"/>
  <c r="CO24" i="1" a="1"/>
  <c r="CO24" i="1" s="1"/>
  <c r="CP24" i="1" a="1"/>
  <c r="CP24" i="1" s="1"/>
  <c r="CN25" i="1" a="1"/>
  <c r="CN25" i="1" s="1"/>
  <c r="CO25" i="1" a="1"/>
  <c r="CO25" i="1" s="1"/>
  <c r="CP25" i="1" a="1"/>
  <c r="CP25" i="1" s="1"/>
  <c r="CN26" i="1" a="1"/>
  <c r="CN26" i="1" s="1"/>
  <c r="CO26" i="1" a="1"/>
  <c r="CO26" i="1" s="1"/>
  <c r="CP26" i="1" a="1"/>
  <c r="CP26" i="1" s="1"/>
  <c r="CN27" i="1" a="1"/>
  <c r="CN27" i="1" s="1"/>
  <c r="CO27" i="1" a="1"/>
  <c r="CO27" i="1" s="1"/>
  <c r="CP27" i="1" a="1"/>
  <c r="CP27" i="1" s="1"/>
  <c r="CN28" i="1" a="1"/>
  <c r="CN28" i="1" s="1"/>
  <c r="CO28" i="1" a="1"/>
  <c r="CO28" i="1" s="1"/>
  <c r="CP28" i="1" a="1"/>
  <c r="CP28" i="1" s="1"/>
  <c r="CN29" i="1" a="1"/>
  <c r="CN29" i="1" s="1"/>
  <c r="CO29" i="1" a="1"/>
  <c r="CO29" i="1" s="1"/>
  <c r="CP29" i="1" a="1"/>
  <c r="CP29" i="1" s="1"/>
  <c r="CN30" i="1" a="1"/>
  <c r="CN30" i="1" s="1"/>
  <c r="CO30" i="1" a="1"/>
  <c r="CO30" i="1" s="1"/>
  <c r="CP30" i="1" a="1"/>
  <c r="CP30" i="1" s="1"/>
  <c r="CN31" i="1" a="1"/>
  <c r="CN31" i="1" s="1"/>
  <c r="CO31" i="1" a="1"/>
  <c r="CO31" i="1" s="1"/>
  <c r="CP31" i="1" a="1"/>
  <c r="CP31" i="1" s="1"/>
  <c r="CN32" i="1" a="1"/>
  <c r="CN32" i="1" s="1"/>
  <c r="CO32" i="1" a="1"/>
  <c r="CO32" i="1" s="1"/>
  <c r="CP32" i="1" a="1"/>
  <c r="CP32" i="1" s="1"/>
  <c r="CN33" i="1" a="1"/>
  <c r="CN33" i="1" s="1"/>
  <c r="CO33" i="1" a="1"/>
  <c r="CO33" i="1" s="1"/>
  <c r="CP33" i="1" a="1"/>
  <c r="CP33" i="1" s="1"/>
  <c r="CN34" i="1" a="1"/>
  <c r="CN34" i="1" s="1"/>
  <c r="CO34" i="1" a="1"/>
  <c r="CO34" i="1" s="1"/>
  <c r="CP34" i="1" a="1"/>
  <c r="CP34" i="1" s="1"/>
  <c r="CN35" i="1" a="1"/>
  <c r="CN35" i="1" s="1"/>
  <c r="CO35" i="1" a="1"/>
  <c r="CO35" i="1" s="1"/>
  <c r="CP35" i="1" a="1"/>
  <c r="CP35" i="1" s="1"/>
  <c r="CN36" i="1" a="1"/>
  <c r="CN36" i="1" s="1"/>
  <c r="CO36" i="1" a="1"/>
  <c r="CO36" i="1" s="1"/>
  <c r="CP36" i="1" a="1"/>
  <c r="CP36" i="1" s="1"/>
  <c r="CN37" i="1" a="1"/>
  <c r="CN37" i="1" s="1"/>
  <c r="CO37" i="1" a="1"/>
  <c r="CO37" i="1" s="1"/>
  <c r="CP37" i="1" a="1"/>
  <c r="CP37" i="1" s="1"/>
  <c r="CN38" i="1" a="1"/>
  <c r="CN38" i="1" s="1"/>
  <c r="CO38" i="1" a="1"/>
  <c r="CO38" i="1" s="1"/>
  <c r="CP38" i="1" a="1"/>
  <c r="CP38" i="1" s="1"/>
  <c r="CN39" i="1" a="1"/>
  <c r="CN39" i="1" s="1"/>
  <c r="CO39" i="1" a="1"/>
  <c r="CO39" i="1" s="1"/>
  <c r="CP39" i="1" a="1"/>
  <c r="CP39" i="1" s="1"/>
  <c r="CN40" i="1" a="1"/>
  <c r="CN40" i="1" s="1"/>
  <c r="CO40" i="1" a="1"/>
  <c r="CO40" i="1" s="1"/>
  <c r="CP40" i="1" a="1"/>
  <c r="CP40" i="1" s="1"/>
  <c r="CN41" i="1" a="1"/>
  <c r="CN41" i="1" s="1"/>
  <c r="CO41" i="1" a="1"/>
  <c r="CO41" i="1" s="1"/>
  <c r="CP41" i="1" a="1"/>
  <c r="CP41" i="1" s="1"/>
  <c r="CN42" i="1" a="1"/>
  <c r="CN42" i="1" s="1"/>
  <c r="CO42" i="1" a="1"/>
  <c r="CO42" i="1" s="1"/>
  <c r="CP42" i="1" a="1"/>
  <c r="CP42" i="1" s="1"/>
  <c r="CN43" i="1" a="1"/>
  <c r="CN43" i="1" s="1"/>
  <c r="CO43" i="1" a="1"/>
  <c r="CO43" i="1" s="1"/>
  <c r="CP43" i="1" a="1"/>
  <c r="CP43" i="1" s="1"/>
  <c r="CN44" i="1" a="1"/>
  <c r="CN44" i="1" s="1"/>
  <c r="CO44" i="1" a="1"/>
  <c r="CO44" i="1" s="1"/>
  <c r="CP44" i="1" a="1"/>
  <c r="CP44" i="1" s="1"/>
  <c r="CN45" i="1" a="1"/>
  <c r="CN45" i="1" s="1"/>
  <c r="CO45" i="1" a="1"/>
  <c r="CO45" i="1" s="1"/>
  <c r="CP45" i="1" a="1"/>
  <c r="CP45" i="1" s="1"/>
  <c r="CN46" i="1" a="1"/>
  <c r="CN46" i="1" s="1"/>
  <c r="CO46" i="1" a="1"/>
  <c r="CO46" i="1" s="1"/>
  <c r="CP46" i="1" a="1"/>
  <c r="CP46" i="1" s="1"/>
  <c r="CN47" i="1" a="1"/>
  <c r="CN47" i="1" s="1"/>
  <c r="CO47" i="1" a="1"/>
  <c r="CO47" i="1" s="1"/>
  <c r="CP47" i="1" a="1"/>
  <c r="CP47" i="1" s="1"/>
  <c r="CN48" i="1" a="1"/>
  <c r="CN48" i="1" s="1"/>
  <c r="CO48" i="1" a="1"/>
  <c r="CO48" i="1" s="1"/>
  <c r="CP48" i="1" a="1"/>
  <c r="CP48" i="1" s="1"/>
  <c r="CN49" i="1" a="1"/>
  <c r="CN49" i="1" s="1"/>
  <c r="CO49" i="1" a="1"/>
  <c r="CO49" i="1" s="1"/>
  <c r="CP49" i="1" a="1"/>
  <c r="CP49" i="1" s="1"/>
  <c r="CN50" i="1" a="1"/>
  <c r="CN50" i="1" s="1"/>
  <c r="CO50" i="1" a="1"/>
  <c r="CO50" i="1" s="1"/>
  <c r="CP50" i="1" a="1"/>
  <c r="CP50" i="1" s="1"/>
  <c r="CN51" i="1" a="1"/>
  <c r="CN51" i="1" s="1"/>
  <c r="CO51" i="1" a="1"/>
  <c r="CO51" i="1" s="1"/>
  <c r="CP51" i="1" a="1"/>
  <c r="CP51" i="1" s="1"/>
  <c r="CN52" i="1" a="1"/>
  <c r="CN52" i="1" s="1"/>
  <c r="CO52" i="1" a="1"/>
  <c r="CO52" i="1" s="1"/>
  <c r="CP52" i="1" a="1"/>
  <c r="CP52" i="1" s="1"/>
  <c r="CN53" i="1" a="1"/>
  <c r="CN53" i="1" s="1"/>
  <c r="CO53" i="1" a="1"/>
  <c r="CO53" i="1" s="1"/>
  <c r="CP53" i="1" a="1"/>
  <c r="CP53" i="1" s="1"/>
  <c r="CN54" i="1" a="1"/>
  <c r="CN54" i="1" s="1"/>
  <c r="CO54" i="1" a="1"/>
  <c r="CO54" i="1" s="1"/>
  <c r="CP54" i="1" a="1"/>
  <c r="CP54" i="1" s="1"/>
  <c r="CN55" i="1" a="1"/>
  <c r="CN55" i="1" s="1"/>
  <c r="CO55" i="1" a="1"/>
  <c r="CO55" i="1" s="1"/>
  <c r="CP55" i="1" a="1"/>
  <c r="CP55" i="1" s="1"/>
  <c r="CN56" i="1" a="1"/>
  <c r="CN56" i="1" s="1"/>
  <c r="CO56" i="1" a="1"/>
  <c r="CO56" i="1" s="1"/>
  <c r="CP56" i="1" a="1"/>
  <c r="CP56" i="1" s="1"/>
  <c r="CN57" i="1" a="1"/>
  <c r="CN57" i="1" s="1"/>
  <c r="CO57" i="1" a="1"/>
  <c r="CO57" i="1" s="1"/>
  <c r="CP57" i="1" a="1"/>
  <c r="CP57" i="1" s="1"/>
  <c r="CN58" i="1" a="1"/>
  <c r="CN58" i="1" s="1"/>
  <c r="CO58" i="1" a="1"/>
  <c r="CO58" i="1" s="1"/>
  <c r="CP58" i="1" a="1"/>
  <c r="CP58" i="1" s="1"/>
  <c r="CN59" i="1" a="1"/>
  <c r="CN59" i="1" s="1"/>
  <c r="CO59" i="1" a="1"/>
  <c r="CO59" i="1" s="1"/>
  <c r="CP59" i="1" a="1"/>
  <c r="CP59" i="1" s="1"/>
  <c r="CN60" i="1" a="1"/>
  <c r="CN60" i="1" s="1"/>
  <c r="CO60" i="1" a="1"/>
  <c r="CO60" i="1" s="1"/>
  <c r="CP60" i="1" a="1"/>
  <c r="CP60" i="1" s="1"/>
  <c r="CN61" i="1" a="1"/>
  <c r="CN61" i="1" s="1"/>
  <c r="CO61" i="1" a="1"/>
  <c r="CO61" i="1" s="1"/>
  <c r="CP61" i="1" a="1"/>
  <c r="CP61" i="1" s="1"/>
  <c r="CN62" i="1" a="1"/>
  <c r="CN62" i="1" s="1"/>
  <c r="CO62" i="1" a="1"/>
  <c r="CO62" i="1" s="1"/>
  <c r="CP62" i="1" a="1"/>
  <c r="CP62" i="1" s="1"/>
  <c r="CN63" i="1" a="1"/>
  <c r="CN63" i="1" s="1"/>
  <c r="CO63" i="1" a="1"/>
  <c r="CO63" i="1" s="1"/>
  <c r="CP63" i="1" a="1"/>
  <c r="CP63" i="1" s="1"/>
  <c r="CN64" i="1" a="1"/>
  <c r="CN64" i="1" s="1"/>
  <c r="CO64" i="1" a="1"/>
  <c r="CO64" i="1" s="1"/>
  <c r="CP64" i="1" a="1"/>
  <c r="CP64" i="1" s="1"/>
  <c r="CN65" i="1" a="1"/>
  <c r="CN65" i="1" s="1"/>
  <c r="CO65" i="1" a="1"/>
  <c r="CO65" i="1" s="1"/>
  <c r="CP65" i="1" a="1"/>
  <c r="CP65" i="1" s="1"/>
  <c r="CN66" i="1" a="1"/>
  <c r="CN66" i="1" s="1"/>
  <c r="CO66" i="1" a="1"/>
  <c r="CO66" i="1" s="1"/>
  <c r="CP66" i="1" a="1"/>
  <c r="CP66" i="1" s="1"/>
  <c r="CN67" i="1" a="1"/>
  <c r="CN67" i="1" s="1"/>
  <c r="CO67" i="1" a="1"/>
  <c r="CO67" i="1" s="1"/>
  <c r="CP67" i="1" a="1"/>
  <c r="CP67" i="1" s="1"/>
  <c r="CN68" i="1" a="1"/>
  <c r="CN68" i="1" s="1"/>
  <c r="CO68" i="1" a="1"/>
  <c r="CO68" i="1" s="1"/>
  <c r="CP68" i="1" a="1"/>
  <c r="CP68" i="1" s="1"/>
  <c r="CN69" i="1" a="1"/>
  <c r="CN69" i="1" s="1"/>
  <c r="CO69" i="1" a="1"/>
  <c r="CO69" i="1" s="1"/>
  <c r="CP69" i="1" a="1"/>
  <c r="CP69" i="1" s="1"/>
  <c r="CN70" i="1" a="1"/>
  <c r="CN70" i="1" s="1"/>
  <c r="CO70" i="1" a="1"/>
  <c r="CO70" i="1" s="1"/>
  <c r="CP70" i="1" a="1"/>
  <c r="CP70" i="1" s="1"/>
  <c r="CN71" i="1" a="1"/>
  <c r="CN71" i="1" s="1"/>
  <c r="CO71" i="1" a="1"/>
  <c r="CO71" i="1" s="1"/>
  <c r="CP71" i="1" a="1"/>
  <c r="CP71" i="1" s="1"/>
  <c r="CN72" i="1" a="1"/>
  <c r="CN72" i="1" s="1"/>
  <c r="CO72" i="1" a="1"/>
  <c r="CO72" i="1" s="1"/>
  <c r="CP72" i="1" a="1"/>
  <c r="CP72" i="1" s="1"/>
  <c r="CN73" i="1" a="1"/>
  <c r="CN73" i="1" s="1"/>
  <c r="CO73" i="1" a="1"/>
  <c r="CO73" i="1" s="1"/>
  <c r="CP73" i="1" a="1"/>
  <c r="CP73" i="1" s="1"/>
  <c r="CN74" i="1" a="1"/>
  <c r="CN74" i="1" s="1"/>
  <c r="CO74" i="1" a="1"/>
  <c r="CO74" i="1" s="1"/>
  <c r="CP74" i="1" a="1"/>
  <c r="CP74" i="1" s="1"/>
  <c r="CN75" i="1" a="1"/>
  <c r="CN75" i="1" s="1"/>
  <c r="CO75" i="1" a="1"/>
  <c r="CO75" i="1" s="1"/>
  <c r="CP75" i="1" a="1"/>
  <c r="CP75" i="1" s="1"/>
  <c r="CN76" i="1" a="1"/>
  <c r="CN76" i="1" s="1"/>
  <c r="CO76" i="1" a="1"/>
  <c r="CO76" i="1" s="1"/>
  <c r="CP76" i="1" a="1"/>
  <c r="CP76" i="1" s="1"/>
  <c r="CN77" i="1" a="1"/>
  <c r="CN77" i="1" s="1"/>
  <c r="CO77" i="1" a="1"/>
  <c r="CO77" i="1" s="1"/>
  <c r="CP77" i="1" a="1"/>
  <c r="CP77" i="1" s="1"/>
  <c r="CN78" i="1" a="1"/>
  <c r="CN78" i="1" s="1"/>
  <c r="CO78" i="1" a="1"/>
  <c r="CO78" i="1" s="1"/>
  <c r="CP78" i="1" a="1"/>
  <c r="CP78" i="1" s="1"/>
  <c r="CN79" i="1" a="1"/>
  <c r="CN79" i="1" s="1"/>
  <c r="CO79" i="1" a="1"/>
  <c r="CO79" i="1" s="1"/>
  <c r="CP79" i="1" a="1"/>
  <c r="CP79" i="1" s="1"/>
  <c r="CN80" i="1" a="1"/>
  <c r="CN80" i="1" s="1"/>
  <c r="CO80" i="1" a="1"/>
  <c r="CO80" i="1" s="1"/>
  <c r="CP80" i="1" a="1"/>
  <c r="CP80" i="1" s="1"/>
  <c r="CN81" i="1" a="1"/>
  <c r="CN81" i="1" s="1"/>
  <c r="CO81" i="1" a="1"/>
  <c r="CO81" i="1" s="1"/>
  <c r="CP81" i="1" a="1"/>
  <c r="CP81" i="1" s="1"/>
  <c r="CN82" i="1" a="1"/>
  <c r="CN82" i="1" s="1"/>
  <c r="CO82" i="1" a="1"/>
  <c r="CO82" i="1" s="1"/>
  <c r="CP82" i="1" a="1"/>
  <c r="CP82" i="1" s="1"/>
  <c r="CN83" i="1" a="1"/>
  <c r="CN83" i="1" s="1"/>
  <c r="CO83" i="1" a="1"/>
  <c r="CO83" i="1" s="1"/>
  <c r="CP83" i="1" a="1"/>
  <c r="CP83" i="1" s="1"/>
  <c r="CN84" i="1" a="1"/>
  <c r="CN84" i="1" s="1"/>
  <c r="CO84" i="1" a="1"/>
  <c r="CO84" i="1" s="1"/>
  <c r="CP84" i="1" a="1"/>
  <c r="CP84" i="1" s="1"/>
  <c r="CN85" i="1" a="1"/>
  <c r="CN85" i="1" s="1"/>
  <c r="CO85" i="1" a="1"/>
  <c r="CO85" i="1" s="1"/>
  <c r="CP85" i="1" a="1"/>
  <c r="CP85" i="1" s="1"/>
  <c r="CN86" i="1" a="1"/>
  <c r="CN86" i="1" s="1"/>
  <c r="CO86" i="1" a="1"/>
  <c r="CO86" i="1" s="1"/>
  <c r="CP86" i="1" a="1"/>
  <c r="CP86" i="1" s="1"/>
  <c r="CN87" i="1" a="1"/>
  <c r="CN87" i="1" s="1"/>
  <c r="CO87" i="1" a="1"/>
  <c r="CO87" i="1" s="1"/>
  <c r="CP87" i="1" a="1"/>
  <c r="CP87" i="1" s="1"/>
  <c r="CN88" i="1" a="1"/>
  <c r="CN88" i="1" s="1"/>
  <c r="CO88" i="1" a="1"/>
  <c r="CO88" i="1" s="1"/>
  <c r="CP88" i="1" a="1"/>
  <c r="CP88" i="1" s="1"/>
  <c r="CN89" i="1" a="1"/>
  <c r="CN89" i="1" s="1"/>
  <c r="CO89" i="1" a="1"/>
  <c r="CO89" i="1" s="1"/>
  <c r="CP89" i="1" a="1"/>
  <c r="CP89" i="1" s="1"/>
  <c r="CN90" i="1" a="1"/>
  <c r="CN90" i="1" s="1"/>
  <c r="CO90" i="1" a="1"/>
  <c r="CO90" i="1" s="1"/>
  <c r="CP90" i="1" a="1"/>
  <c r="CP90" i="1" s="1"/>
  <c r="CN91" i="1" a="1"/>
  <c r="CN91" i="1" s="1"/>
  <c r="CO91" i="1" a="1"/>
  <c r="CO91" i="1" s="1"/>
  <c r="CP91" i="1" a="1"/>
  <c r="CP91" i="1" s="1"/>
  <c r="CN92" i="1" a="1"/>
  <c r="CN92" i="1" s="1"/>
  <c r="CO92" i="1" a="1"/>
  <c r="CO92" i="1" s="1"/>
  <c r="CP92" i="1" a="1"/>
  <c r="CP92" i="1" s="1"/>
  <c r="CN93" i="1" a="1"/>
  <c r="CN93" i="1" s="1"/>
  <c r="CO93" i="1" a="1"/>
  <c r="CO93" i="1" s="1"/>
  <c r="CP93" i="1" a="1"/>
  <c r="CP93" i="1" s="1"/>
  <c r="CN94" i="1" a="1"/>
  <c r="CN94" i="1" s="1"/>
  <c r="CO94" i="1" a="1"/>
  <c r="CO94" i="1" s="1"/>
  <c r="CP94" i="1" a="1"/>
  <c r="CP94" i="1" s="1"/>
  <c r="CN95" i="1" a="1"/>
  <c r="CN95" i="1" s="1"/>
  <c r="CO95" i="1" a="1"/>
  <c r="CO95" i="1" s="1"/>
  <c r="CP95" i="1" a="1"/>
  <c r="CP95" i="1" s="1"/>
  <c r="CN96" i="1" a="1"/>
  <c r="CN96" i="1" s="1"/>
  <c r="CO96" i="1" a="1"/>
  <c r="CO96" i="1" s="1"/>
  <c r="CP96" i="1" a="1"/>
  <c r="CP96" i="1" s="1"/>
  <c r="CN97" i="1" a="1"/>
  <c r="CN97" i="1" s="1"/>
  <c r="CO97" i="1" a="1"/>
  <c r="CO97" i="1" s="1"/>
  <c r="CP97" i="1" a="1"/>
  <c r="CP97" i="1" s="1"/>
  <c r="CN98" i="1" a="1"/>
  <c r="CN98" i="1" s="1"/>
  <c r="CO98" i="1" a="1"/>
  <c r="CO98" i="1" s="1"/>
  <c r="CP98" i="1" a="1"/>
  <c r="CP98" i="1" s="1"/>
  <c r="CN99" i="1" a="1"/>
  <c r="CN99" i="1" s="1"/>
  <c r="CO99" i="1" a="1"/>
  <c r="CO99" i="1" s="1"/>
  <c r="CP99" i="1" a="1"/>
  <c r="CP99" i="1" s="1"/>
  <c r="CN100" i="1" a="1"/>
  <c r="CN100" i="1" s="1"/>
  <c r="CO100" i="1" a="1"/>
  <c r="CO100" i="1" s="1"/>
  <c r="CP100" i="1" a="1"/>
  <c r="CP100" i="1" s="1"/>
  <c r="CN101" i="1" a="1"/>
  <c r="CN101" i="1" s="1"/>
  <c r="CO101" i="1" a="1"/>
  <c r="CO101" i="1" s="1"/>
  <c r="CP101" i="1" a="1"/>
  <c r="CP101" i="1" s="1"/>
  <c r="CN102" i="1" a="1"/>
  <c r="CN102" i="1" s="1"/>
  <c r="CO102" i="1" a="1"/>
  <c r="CO102" i="1" s="1"/>
  <c r="CP102" i="1" a="1"/>
  <c r="CP102" i="1" s="1"/>
  <c r="CN103" i="1" a="1"/>
  <c r="CN103" i="1" s="1"/>
  <c r="CO103" i="1" a="1"/>
  <c r="CO103" i="1" s="1"/>
  <c r="CP103" i="1" a="1"/>
  <c r="CP103" i="1" s="1"/>
  <c r="CN104" i="1" a="1"/>
  <c r="CN104" i="1" s="1"/>
  <c r="CO104" i="1" a="1"/>
  <c r="CO104" i="1" s="1"/>
  <c r="CP104" i="1" a="1"/>
  <c r="CP104" i="1" s="1"/>
  <c r="CN105" i="1" a="1"/>
  <c r="CN105" i="1" s="1"/>
  <c r="CO105" i="1" a="1"/>
  <c r="CO105" i="1" s="1"/>
  <c r="CP105" i="1" a="1"/>
  <c r="CP105" i="1" s="1"/>
  <c r="CN106" i="1" a="1"/>
  <c r="CN106" i="1" s="1"/>
  <c r="CO106" i="1" a="1"/>
  <c r="CO106" i="1" s="1"/>
  <c r="CP106" i="1" a="1"/>
  <c r="CP106" i="1" s="1"/>
  <c r="CN107" i="1" a="1"/>
  <c r="CN107" i="1" s="1"/>
  <c r="CO107" i="1" a="1"/>
  <c r="CO107" i="1" s="1"/>
  <c r="CP107" i="1" a="1"/>
  <c r="CP107" i="1" s="1"/>
  <c r="CN108" i="1" a="1"/>
  <c r="CN108" i="1" s="1"/>
  <c r="CO108" i="1" a="1"/>
  <c r="CO108" i="1" s="1"/>
  <c r="CP108" i="1" a="1"/>
  <c r="CP108" i="1" s="1"/>
  <c r="CN109" i="1" a="1"/>
  <c r="CN109" i="1" s="1"/>
  <c r="CO109" i="1" a="1"/>
  <c r="CO109" i="1" s="1"/>
  <c r="CP109" i="1" a="1"/>
  <c r="CP109" i="1" s="1"/>
  <c r="CN110" i="1" a="1"/>
  <c r="CN110" i="1" s="1"/>
  <c r="CO110" i="1" a="1"/>
  <c r="CO110" i="1" s="1"/>
  <c r="CP110" i="1" a="1"/>
  <c r="CP110" i="1" s="1"/>
  <c r="CN111" i="1" a="1"/>
  <c r="CN111" i="1" s="1"/>
  <c r="CO111" i="1" a="1"/>
  <c r="CO111" i="1" s="1"/>
  <c r="CP111" i="1" a="1"/>
  <c r="CP111" i="1" s="1"/>
  <c r="CN112" i="1" a="1"/>
  <c r="CN112" i="1" s="1"/>
  <c r="CO112" i="1" a="1"/>
  <c r="CO112" i="1" s="1"/>
  <c r="CP112" i="1" a="1"/>
  <c r="CP112" i="1" s="1"/>
  <c r="CN113" i="1" a="1"/>
  <c r="CN113" i="1" s="1"/>
  <c r="CO113" i="1" a="1"/>
  <c r="CO113" i="1" s="1"/>
  <c r="CP113" i="1" a="1"/>
  <c r="CP113" i="1" s="1"/>
  <c r="CN114" i="1" a="1"/>
  <c r="CN114" i="1" s="1"/>
  <c r="CO114" i="1" a="1"/>
  <c r="CO114" i="1" s="1"/>
  <c r="CP114" i="1" a="1"/>
  <c r="CP114" i="1" s="1"/>
  <c r="CN115" i="1" a="1"/>
  <c r="CN115" i="1" s="1"/>
  <c r="CO115" i="1" a="1"/>
  <c r="CO115" i="1" s="1"/>
  <c r="CP115" i="1" a="1"/>
  <c r="CP115" i="1" s="1"/>
  <c r="CN116" i="1" a="1"/>
  <c r="CN116" i="1" s="1"/>
  <c r="CO116" i="1" a="1"/>
  <c r="CO116" i="1" s="1"/>
  <c r="CP116" i="1" a="1"/>
  <c r="CP116" i="1" s="1"/>
  <c r="CN117" i="1" a="1"/>
  <c r="CN117" i="1" s="1"/>
  <c r="CO117" i="1" a="1"/>
  <c r="CO117" i="1" s="1"/>
  <c r="CP117" i="1" a="1"/>
  <c r="CP117" i="1" s="1"/>
  <c r="CN118" i="1" a="1"/>
  <c r="CN118" i="1" s="1"/>
  <c r="CO118" i="1" a="1"/>
  <c r="CO118" i="1" s="1"/>
  <c r="CP118" i="1" a="1"/>
  <c r="CP118" i="1" s="1"/>
  <c r="CN119" i="1" a="1"/>
  <c r="CN119" i="1" s="1"/>
  <c r="CO119" i="1" a="1"/>
  <c r="CO119" i="1" s="1"/>
  <c r="CP119" i="1" a="1"/>
  <c r="CP119" i="1" s="1"/>
  <c r="CN120" i="1" a="1"/>
  <c r="CN120" i="1" s="1"/>
  <c r="CO120" i="1" a="1"/>
  <c r="CO120" i="1" s="1"/>
  <c r="CP120" i="1" a="1"/>
  <c r="CP120" i="1" s="1"/>
  <c r="CN121" i="1" a="1"/>
  <c r="CN121" i="1" s="1"/>
  <c r="CO121" i="1" a="1"/>
  <c r="CO121" i="1" s="1"/>
  <c r="CP121" i="1" a="1"/>
  <c r="CP121" i="1" s="1"/>
  <c r="CN122" i="1" a="1"/>
  <c r="CN122" i="1" s="1"/>
  <c r="CO122" i="1" a="1"/>
  <c r="CO122" i="1" s="1"/>
  <c r="CP122" i="1" a="1"/>
  <c r="CP122" i="1" s="1"/>
  <c r="CN123" i="1" a="1"/>
  <c r="CN123" i="1" s="1"/>
  <c r="CO123" i="1" a="1"/>
  <c r="CO123" i="1" s="1"/>
  <c r="CP123" i="1" a="1"/>
  <c r="CP123" i="1" s="1"/>
  <c r="CN124" i="1" a="1"/>
  <c r="CN124" i="1" s="1"/>
  <c r="CO124" i="1" a="1"/>
  <c r="CO124" i="1" s="1"/>
  <c r="CP124" i="1" a="1"/>
  <c r="CP124" i="1" s="1"/>
  <c r="CN125" i="1" a="1"/>
  <c r="CN125" i="1" s="1"/>
  <c r="CO125" i="1" a="1"/>
  <c r="CO125" i="1" s="1"/>
  <c r="CP125" i="1" a="1"/>
  <c r="CP125" i="1" s="1"/>
  <c r="CN126" i="1" a="1"/>
  <c r="CN126" i="1" s="1"/>
  <c r="CO126" i="1" a="1"/>
  <c r="CO126" i="1" s="1"/>
  <c r="CP126" i="1" a="1"/>
  <c r="CP126" i="1" s="1"/>
  <c r="CN127" i="1" a="1"/>
  <c r="CN127" i="1" s="1"/>
  <c r="CO127" i="1" a="1"/>
  <c r="CO127" i="1" s="1"/>
  <c r="CP127" i="1" a="1"/>
  <c r="CP127" i="1" s="1"/>
  <c r="CN128" i="1" a="1"/>
  <c r="CN128" i="1" s="1"/>
  <c r="CO128" i="1" a="1"/>
  <c r="CO128" i="1" s="1"/>
  <c r="CP128" i="1" a="1"/>
  <c r="CP128" i="1" s="1"/>
  <c r="CN129" i="1" a="1"/>
  <c r="CN129" i="1" s="1"/>
  <c r="CO129" i="1" a="1"/>
  <c r="CO129" i="1" s="1"/>
  <c r="CP129" i="1" a="1"/>
  <c r="CP129" i="1" s="1"/>
  <c r="CN130" i="1" a="1"/>
  <c r="CN130" i="1" s="1"/>
  <c r="CO130" i="1" a="1"/>
  <c r="CO130" i="1" s="1"/>
  <c r="CP130" i="1" a="1"/>
  <c r="CP130" i="1" s="1"/>
  <c r="CN131" i="1" a="1"/>
  <c r="CN131" i="1" s="1"/>
  <c r="CO131" i="1" a="1"/>
  <c r="CO131" i="1" s="1"/>
  <c r="CP131" i="1" a="1"/>
  <c r="CP131" i="1" s="1"/>
  <c r="CN132" i="1" a="1"/>
  <c r="CN132" i="1" s="1"/>
  <c r="CO132" i="1" a="1"/>
  <c r="CO132" i="1" s="1"/>
  <c r="CP132" i="1" a="1"/>
  <c r="CP132" i="1" s="1"/>
  <c r="CN133" i="1" a="1"/>
  <c r="CN133" i="1" s="1"/>
  <c r="CO133" i="1" a="1"/>
  <c r="CO133" i="1" s="1"/>
  <c r="CP133" i="1" a="1"/>
  <c r="CP133" i="1" s="1"/>
  <c r="CN134" i="1" a="1"/>
  <c r="CN134" i="1" s="1"/>
  <c r="CO134" i="1" a="1"/>
  <c r="CO134" i="1" s="1"/>
  <c r="CP134" i="1" a="1"/>
  <c r="CP134" i="1" s="1"/>
  <c r="CN135" i="1" a="1"/>
  <c r="CN135" i="1" s="1"/>
  <c r="CO135" i="1" a="1"/>
  <c r="CO135" i="1" s="1"/>
  <c r="CP135" i="1" a="1"/>
  <c r="CP135" i="1" s="1"/>
  <c r="CN136" i="1" a="1"/>
  <c r="CN136" i="1" s="1"/>
  <c r="CO136" i="1" a="1"/>
  <c r="CO136" i="1" s="1"/>
  <c r="CP136" i="1" a="1"/>
  <c r="CP136" i="1" s="1"/>
  <c r="CN137" i="1" a="1"/>
  <c r="CN137" i="1" s="1"/>
  <c r="CO137" i="1" a="1"/>
  <c r="CO137" i="1" s="1"/>
  <c r="CP137" i="1" a="1"/>
  <c r="CP137" i="1" s="1"/>
  <c r="CN138" i="1" a="1"/>
  <c r="CN138" i="1" s="1"/>
  <c r="CO138" i="1" a="1"/>
  <c r="CO138" i="1" s="1"/>
  <c r="CP138" i="1" a="1"/>
  <c r="CP138" i="1" s="1"/>
  <c r="CN139" i="1" a="1"/>
  <c r="CN139" i="1" s="1"/>
  <c r="CO139" i="1" a="1"/>
  <c r="CO139" i="1" s="1"/>
  <c r="CP139" i="1" a="1"/>
  <c r="CP139" i="1" s="1"/>
  <c r="CN140" i="1" a="1"/>
  <c r="CN140" i="1" s="1"/>
  <c r="CO140" i="1" a="1"/>
  <c r="CO140" i="1" s="1"/>
  <c r="CP140" i="1" a="1"/>
  <c r="CP140" i="1" s="1"/>
  <c r="CN141" i="1" a="1"/>
  <c r="CN141" i="1" s="1"/>
  <c r="CO141" i="1" a="1"/>
  <c r="CO141" i="1" s="1"/>
  <c r="CP141" i="1" a="1"/>
  <c r="CP141" i="1" s="1"/>
  <c r="CN142" i="1" a="1"/>
  <c r="CN142" i="1" s="1"/>
  <c r="CO142" i="1" a="1"/>
  <c r="CO142" i="1" s="1"/>
  <c r="CP142" i="1" a="1"/>
  <c r="CP142" i="1" s="1"/>
  <c r="CN143" i="1" a="1"/>
  <c r="CN143" i="1" s="1"/>
  <c r="CO143" i="1" a="1"/>
  <c r="CO143" i="1" s="1"/>
  <c r="CP143" i="1" a="1"/>
  <c r="CP143" i="1" s="1"/>
  <c r="CN144" i="1" a="1"/>
  <c r="CN144" i="1" s="1"/>
  <c r="CO144" i="1" a="1"/>
  <c r="CO144" i="1" s="1"/>
  <c r="CP144" i="1" a="1"/>
  <c r="CP144" i="1" s="1"/>
  <c r="CN145" i="1" a="1"/>
  <c r="CN145" i="1" s="1"/>
  <c r="CO145" i="1" a="1"/>
  <c r="CO145" i="1" s="1"/>
  <c r="CP145" i="1" a="1"/>
  <c r="CP145" i="1" s="1"/>
  <c r="CN146" i="1" a="1"/>
  <c r="CN146" i="1" s="1"/>
  <c r="CO146" i="1" a="1"/>
  <c r="CO146" i="1" s="1"/>
  <c r="CP146" i="1" a="1"/>
  <c r="CP146" i="1" s="1"/>
  <c r="CN147" i="1" a="1"/>
  <c r="CN147" i="1" s="1"/>
  <c r="CO147" i="1" a="1"/>
  <c r="CO147" i="1" s="1"/>
  <c r="CP147" i="1" a="1"/>
  <c r="CP147" i="1" s="1"/>
  <c r="CN148" i="1" a="1"/>
  <c r="CN148" i="1" s="1"/>
  <c r="CO148" i="1" a="1"/>
  <c r="CO148" i="1" s="1"/>
  <c r="CP148" i="1" a="1"/>
  <c r="CP148" i="1" s="1"/>
  <c r="CN149" i="1" a="1"/>
  <c r="CN149" i="1" s="1"/>
  <c r="CO149" i="1" a="1"/>
  <c r="CO149" i="1" s="1"/>
  <c r="CP149" i="1" a="1"/>
  <c r="CP149" i="1" s="1"/>
  <c r="CN150" i="1" a="1"/>
  <c r="CN150" i="1" s="1"/>
  <c r="CO150" i="1" a="1"/>
  <c r="CO150" i="1" s="1"/>
  <c r="CP150" i="1" a="1"/>
  <c r="CP150" i="1" s="1"/>
  <c r="CN151" i="1" a="1"/>
  <c r="CN151" i="1" s="1"/>
  <c r="CO151" i="1" a="1"/>
  <c r="CO151" i="1" s="1"/>
  <c r="CP151" i="1" a="1"/>
  <c r="CP151" i="1" s="1"/>
  <c r="CN152" i="1" a="1"/>
  <c r="CN152" i="1" s="1"/>
  <c r="CO152" i="1" a="1"/>
  <c r="CO152" i="1" s="1"/>
  <c r="CP152" i="1" a="1"/>
  <c r="CP152" i="1" s="1"/>
  <c r="CN153" i="1" a="1"/>
  <c r="CN153" i="1" s="1"/>
  <c r="CO153" i="1" a="1"/>
  <c r="CO153" i="1" s="1"/>
  <c r="CP153" i="1" a="1"/>
  <c r="CP153" i="1" s="1"/>
  <c r="CN154" i="1" a="1"/>
  <c r="CN154" i="1" s="1"/>
  <c r="CO154" i="1" a="1"/>
  <c r="CO154" i="1" s="1"/>
  <c r="CP154" i="1" a="1"/>
  <c r="CP154" i="1" s="1"/>
  <c r="CN155" i="1" a="1"/>
  <c r="CN155" i="1" s="1"/>
  <c r="CO155" i="1" a="1"/>
  <c r="CO155" i="1" s="1"/>
  <c r="CP155" i="1" a="1"/>
  <c r="CP155" i="1" s="1"/>
  <c r="CN156" i="1" a="1"/>
  <c r="CN156" i="1" s="1"/>
  <c r="CO156" i="1" a="1"/>
  <c r="CO156" i="1" s="1"/>
  <c r="CP156" i="1" a="1"/>
  <c r="CP156" i="1" s="1"/>
  <c r="CN157" i="1" a="1"/>
  <c r="CN157" i="1" s="1"/>
  <c r="CO157" i="1" a="1"/>
  <c r="CO157" i="1" s="1"/>
  <c r="CP157" i="1" a="1"/>
  <c r="CP157" i="1" s="1"/>
  <c r="CN158" i="1" a="1"/>
  <c r="CN158" i="1" s="1"/>
  <c r="CO158" i="1" a="1"/>
  <c r="CO158" i="1" s="1"/>
  <c r="CP158" i="1" a="1"/>
  <c r="CP158" i="1" s="1"/>
  <c r="CN159" i="1" a="1"/>
  <c r="CN159" i="1" s="1"/>
  <c r="CO159" i="1" a="1"/>
  <c r="CO159" i="1" s="1"/>
  <c r="CP159" i="1" a="1"/>
  <c r="CP159" i="1" s="1"/>
  <c r="CN160" i="1" a="1"/>
  <c r="CN160" i="1" s="1"/>
  <c r="CO160" i="1" a="1"/>
  <c r="CO160" i="1" s="1"/>
  <c r="CP160" i="1" a="1"/>
  <c r="CP160" i="1" s="1"/>
  <c r="CN161" i="1" a="1"/>
  <c r="CN161" i="1" s="1"/>
  <c r="CO161" i="1" a="1"/>
  <c r="CO161" i="1" s="1"/>
  <c r="CP161" i="1" a="1"/>
  <c r="CP161" i="1" s="1"/>
  <c r="CN162" i="1" a="1"/>
  <c r="CN162" i="1" s="1"/>
  <c r="CO162" i="1" a="1"/>
  <c r="CO162" i="1" s="1"/>
  <c r="CP162" i="1" a="1"/>
  <c r="CP162" i="1" s="1"/>
  <c r="CN163" i="1" a="1"/>
  <c r="CN163" i="1" s="1"/>
  <c r="CO163" i="1" a="1"/>
  <c r="CO163" i="1" s="1"/>
  <c r="CP163" i="1" a="1"/>
  <c r="CP163" i="1" s="1"/>
  <c r="CN164" i="1" a="1"/>
  <c r="CN164" i="1" s="1"/>
  <c r="CO164" i="1" a="1"/>
  <c r="CO164" i="1" s="1"/>
  <c r="CP164" i="1" a="1"/>
  <c r="CP164" i="1" s="1"/>
  <c r="CN165" i="1" a="1"/>
  <c r="CN165" i="1" s="1"/>
  <c r="CO165" i="1" a="1"/>
  <c r="CO165" i="1" s="1"/>
  <c r="CP165" i="1" a="1"/>
  <c r="CP165" i="1" s="1"/>
  <c r="CN166" i="1" a="1"/>
  <c r="CN166" i="1" s="1"/>
  <c r="CO166" i="1" a="1"/>
  <c r="CO166" i="1" s="1"/>
  <c r="CP166" i="1" a="1"/>
  <c r="CP166" i="1" s="1"/>
  <c r="CN167" i="1" a="1"/>
  <c r="CN167" i="1" s="1"/>
  <c r="CO167" i="1" a="1"/>
  <c r="CO167" i="1" s="1"/>
  <c r="CP167" i="1" a="1"/>
  <c r="CP167" i="1" s="1"/>
  <c r="CN168" i="1" a="1"/>
  <c r="CN168" i="1" s="1"/>
  <c r="CO168" i="1" a="1"/>
  <c r="CO168" i="1" s="1"/>
  <c r="CP168" i="1" a="1"/>
  <c r="CP168" i="1" s="1"/>
  <c r="CN169" i="1" a="1"/>
  <c r="CN169" i="1" s="1"/>
  <c r="CO169" i="1" a="1"/>
  <c r="CO169" i="1" s="1"/>
  <c r="CP169" i="1" a="1"/>
  <c r="CP169" i="1" s="1"/>
  <c r="CN170" i="1" a="1"/>
  <c r="CN170" i="1" s="1"/>
  <c r="CO170" i="1" a="1"/>
  <c r="CO170" i="1" s="1"/>
  <c r="CP170" i="1" a="1"/>
  <c r="CP170" i="1" s="1"/>
  <c r="CN171" i="1" a="1"/>
  <c r="CN171" i="1" s="1"/>
  <c r="CO171" i="1" a="1"/>
  <c r="CO171" i="1" s="1"/>
  <c r="CP171" i="1" a="1"/>
  <c r="CP171" i="1" s="1"/>
  <c r="CN172" i="1" a="1"/>
  <c r="CN172" i="1" s="1"/>
  <c r="CO172" i="1" a="1"/>
  <c r="CO172" i="1" s="1"/>
  <c r="CP172" i="1" a="1"/>
  <c r="CP172" i="1" s="1"/>
  <c r="CN173" i="1" a="1"/>
  <c r="CN173" i="1" s="1"/>
  <c r="CO173" i="1" a="1"/>
  <c r="CO173" i="1" s="1"/>
  <c r="CP173" i="1" a="1"/>
  <c r="CP173" i="1" s="1"/>
  <c r="CN174" i="1" a="1"/>
  <c r="CN174" i="1" s="1"/>
  <c r="CO174" i="1" a="1"/>
  <c r="CO174" i="1" s="1"/>
  <c r="CP174" i="1" a="1"/>
  <c r="CP174" i="1" s="1"/>
  <c r="CN175" i="1" a="1"/>
  <c r="CN175" i="1" s="1"/>
  <c r="CO175" i="1" a="1"/>
  <c r="CO175" i="1" s="1"/>
  <c r="CP175" i="1" a="1"/>
  <c r="CP175" i="1" s="1"/>
  <c r="CN176" i="1" a="1"/>
  <c r="CN176" i="1" s="1"/>
  <c r="CO176" i="1" a="1"/>
  <c r="CO176" i="1" s="1"/>
  <c r="CP176" i="1" a="1"/>
  <c r="CP176" i="1" s="1"/>
  <c r="CN177" i="1" a="1"/>
  <c r="CN177" i="1" s="1"/>
  <c r="CO177" i="1" a="1"/>
  <c r="CO177" i="1" s="1"/>
  <c r="CP177" i="1" a="1"/>
  <c r="CP177" i="1" s="1"/>
  <c r="CN178" i="1" a="1"/>
  <c r="CN178" i="1" s="1"/>
  <c r="CO178" i="1" a="1"/>
  <c r="CO178" i="1" s="1"/>
  <c r="CP178" i="1" a="1"/>
  <c r="CP178" i="1" s="1"/>
  <c r="CN179" i="1" a="1"/>
  <c r="CN179" i="1" s="1"/>
  <c r="CO179" i="1" a="1"/>
  <c r="CO179" i="1" s="1"/>
  <c r="CP179" i="1" a="1"/>
  <c r="CP179" i="1" s="1"/>
  <c r="CN180" i="1" a="1"/>
  <c r="CN180" i="1" s="1"/>
  <c r="CO180" i="1" a="1"/>
  <c r="CO180" i="1" s="1"/>
  <c r="CP180" i="1" a="1"/>
  <c r="CP180" i="1" s="1"/>
  <c r="CN181" i="1" a="1"/>
  <c r="CN181" i="1" s="1"/>
  <c r="CO181" i="1" a="1"/>
  <c r="CO181" i="1" s="1"/>
  <c r="CP181" i="1" a="1"/>
  <c r="CP181" i="1" s="1"/>
  <c r="CN182" i="1" a="1"/>
  <c r="CN182" i="1" s="1"/>
  <c r="CO182" i="1" a="1"/>
  <c r="CO182" i="1" s="1"/>
  <c r="CP182" i="1" a="1"/>
  <c r="CP182" i="1" s="1"/>
  <c r="CN183" i="1" a="1"/>
  <c r="CN183" i="1" s="1"/>
  <c r="CO183" i="1" a="1"/>
  <c r="CO183" i="1" s="1"/>
  <c r="CP183" i="1" a="1"/>
  <c r="CP183" i="1" s="1"/>
  <c r="CN184" i="1" a="1"/>
  <c r="CN184" i="1" s="1"/>
  <c r="CO184" i="1" a="1"/>
  <c r="CO184" i="1" s="1"/>
  <c r="CP184" i="1" a="1"/>
  <c r="CP184" i="1" s="1"/>
  <c r="CN185" i="1" a="1"/>
  <c r="CN185" i="1" s="1"/>
  <c r="CO185" i="1" a="1"/>
  <c r="CO185" i="1" s="1"/>
  <c r="CP185" i="1" a="1"/>
  <c r="CP185" i="1" s="1"/>
  <c r="CN186" i="1" a="1"/>
  <c r="CN186" i="1" s="1"/>
  <c r="CO186" i="1" a="1"/>
  <c r="CO186" i="1" s="1"/>
  <c r="CP186" i="1" a="1"/>
  <c r="CP186" i="1" s="1"/>
  <c r="CN187" i="1" a="1"/>
  <c r="CN187" i="1" s="1"/>
  <c r="CO187" i="1" a="1"/>
  <c r="CO187" i="1" s="1"/>
  <c r="CP187" i="1" a="1"/>
  <c r="CP187" i="1" s="1"/>
  <c r="CN188" i="1" a="1"/>
  <c r="CN188" i="1" s="1"/>
  <c r="CO188" i="1" a="1"/>
  <c r="CO188" i="1" s="1"/>
  <c r="CP188" i="1" a="1"/>
  <c r="CP188" i="1" s="1"/>
  <c r="CN189" i="1" a="1"/>
  <c r="CN189" i="1" s="1"/>
  <c r="CO189" i="1" a="1"/>
  <c r="CO189" i="1" s="1"/>
  <c r="CP189" i="1" a="1"/>
  <c r="CP189" i="1" s="1"/>
  <c r="CN190" i="1" a="1"/>
  <c r="CN190" i="1" s="1"/>
  <c r="CO190" i="1" a="1"/>
  <c r="CO190" i="1" s="1"/>
  <c r="CP190" i="1" a="1"/>
  <c r="CP190" i="1" s="1"/>
  <c r="CN191" i="1" a="1"/>
  <c r="CN191" i="1" s="1"/>
  <c r="CO191" i="1" a="1"/>
  <c r="CO191" i="1" s="1"/>
  <c r="CP191" i="1" a="1"/>
  <c r="CP191" i="1" s="1"/>
  <c r="CN192" i="1" a="1"/>
  <c r="CN192" i="1" s="1"/>
  <c r="CO192" i="1" a="1"/>
  <c r="CO192" i="1" s="1"/>
  <c r="CP192" i="1" a="1"/>
  <c r="CP192" i="1" s="1"/>
  <c r="CN193" i="1" a="1"/>
  <c r="CN193" i="1" s="1"/>
  <c r="CO193" i="1" a="1"/>
  <c r="CO193" i="1" s="1"/>
  <c r="CP193" i="1" a="1"/>
  <c r="CP193" i="1" s="1"/>
  <c r="CN194" i="1" a="1"/>
  <c r="CN194" i="1" s="1"/>
  <c r="CO194" i="1" a="1"/>
  <c r="CO194" i="1" s="1"/>
  <c r="CP194" i="1" a="1"/>
  <c r="CP194" i="1" s="1"/>
  <c r="CN195" i="1" a="1"/>
  <c r="CN195" i="1" s="1"/>
  <c r="CO195" i="1" a="1"/>
  <c r="CO195" i="1" s="1"/>
  <c r="CP195" i="1" a="1"/>
  <c r="CP195" i="1" s="1"/>
  <c r="CN196" i="1" a="1"/>
  <c r="CN196" i="1" s="1"/>
  <c r="CO196" i="1" a="1"/>
  <c r="CO196" i="1" s="1"/>
  <c r="CP196" i="1" a="1"/>
  <c r="CP196" i="1" s="1"/>
  <c r="CN197" i="1" a="1"/>
  <c r="CN197" i="1" s="1"/>
  <c r="CO197" i="1" a="1"/>
  <c r="CO197" i="1" s="1"/>
  <c r="CP197" i="1" a="1"/>
  <c r="CP197" i="1" s="1"/>
  <c r="CN198" i="1" a="1"/>
  <c r="CN198" i="1" s="1"/>
  <c r="CO198" i="1" a="1"/>
  <c r="CO198" i="1" s="1"/>
  <c r="CP198" i="1" a="1"/>
  <c r="CP198" i="1" s="1"/>
  <c r="CN199" i="1" a="1"/>
  <c r="CN199" i="1" s="1"/>
  <c r="CO199" i="1" a="1"/>
  <c r="CO199" i="1" s="1"/>
  <c r="CP199" i="1" a="1"/>
  <c r="CP199" i="1" s="1"/>
  <c r="CN200" i="1" a="1"/>
  <c r="CN200" i="1" s="1"/>
  <c r="CO200" i="1" a="1"/>
  <c r="CO200" i="1" s="1"/>
  <c r="CP200" i="1" a="1"/>
  <c r="CP200" i="1" s="1"/>
  <c r="CN201" i="1" a="1"/>
  <c r="CN201" i="1" s="1"/>
  <c r="CO201" i="1" a="1"/>
  <c r="CO201" i="1" s="1"/>
  <c r="CP201" i="1" a="1"/>
  <c r="CP201" i="1" s="1"/>
  <c r="CN202" i="1" a="1"/>
  <c r="CN202" i="1" s="1"/>
  <c r="CO202" i="1" a="1"/>
  <c r="CO202" i="1" s="1"/>
  <c r="CP202" i="1" a="1"/>
  <c r="CP202" i="1" s="1"/>
  <c r="CN203" i="1" a="1"/>
  <c r="CN203" i="1" s="1"/>
  <c r="CO203" i="1" a="1"/>
  <c r="CO203" i="1" s="1"/>
  <c r="CP203" i="1" a="1"/>
  <c r="CP203" i="1" s="1"/>
  <c r="CN204" i="1" a="1"/>
  <c r="CN204" i="1" s="1"/>
  <c r="CO204" i="1" a="1"/>
  <c r="CO204" i="1" s="1"/>
  <c r="CP204" i="1" a="1"/>
  <c r="CP204" i="1" s="1"/>
  <c r="CN205" i="1" a="1"/>
  <c r="CN205" i="1" s="1"/>
  <c r="CO205" i="1" a="1"/>
  <c r="CO205" i="1" s="1"/>
  <c r="CP205" i="1" a="1"/>
  <c r="CP205" i="1" s="1"/>
  <c r="CN206" i="1" a="1"/>
  <c r="CN206" i="1" s="1"/>
  <c r="CO206" i="1" a="1"/>
  <c r="CO206" i="1" s="1"/>
  <c r="CP206" i="1" a="1"/>
  <c r="CP206" i="1" s="1"/>
  <c r="CN207" i="1" a="1"/>
  <c r="CN207" i="1" s="1"/>
  <c r="CO207" i="1" a="1"/>
  <c r="CO207" i="1" s="1"/>
  <c r="CP207" i="1" a="1"/>
  <c r="CP207" i="1" s="1"/>
  <c r="CN208" i="1" a="1"/>
  <c r="CN208" i="1" s="1"/>
  <c r="CO208" i="1" a="1"/>
  <c r="CO208" i="1" s="1"/>
  <c r="CP208" i="1" a="1"/>
  <c r="CP208" i="1" s="1"/>
  <c r="CN209" i="1" a="1"/>
  <c r="CN209" i="1" s="1"/>
  <c r="CO209" i="1" a="1"/>
  <c r="CO209" i="1" s="1"/>
  <c r="CP209" i="1" a="1"/>
  <c r="CP209" i="1" s="1"/>
  <c r="CN210" i="1" a="1"/>
  <c r="CN210" i="1" s="1"/>
  <c r="CO210" i="1" a="1"/>
  <c r="CO210" i="1" s="1"/>
  <c r="CP210" i="1" a="1"/>
  <c r="CP210" i="1" s="1"/>
  <c r="CN211" i="1" a="1"/>
  <c r="CN211" i="1" s="1"/>
  <c r="CO211" i="1" a="1"/>
  <c r="CO211" i="1" s="1"/>
  <c r="CP211" i="1" a="1"/>
  <c r="CP211" i="1" s="1"/>
  <c r="CN212" i="1" a="1"/>
  <c r="CN212" i="1" s="1"/>
  <c r="CO212" i="1" a="1"/>
  <c r="CO212" i="1" s="1"/>
  <c r="CP212" i="1" a="1"/>
  <c r="CP212" i="1" s="1"/>
  <c r="CN213" i="1" a="1"/>
  <c r="CN213" i="1" s="1"/>
  <c r="CO213" i="1" a="1"/>
  <c r="CO213" i="1" s="1"/>
  <c r="CP213" i="1" a="1"/>
  <c r="CP213" i="1" s="1"/>
  <c r="CN214" i="1" a="1"/>
  <c r="CN214" i="1" s="1"/>
  <c r="CO214" i="1" a="1"/>
  <c r="CO214" i="1" s="1"/>
  <c r="CP214" i="1" a="1"/>
  <c r="CP214" i="1" s="1"/>
  <c r="CN215" i="1" a="1"/>
  <c r="CN215" i="1" s="1"/>
  <c r="CO215" i="1" a="1"/>
  <c r="CO215" i="1" s="1"/>
  <c r="CP215" i="1" a="1"/>
  <c r="CP215" i="1" s="1"/>
  <c r="CN216" i="1" a="1"/>
  <c r="CN216" i="1" s="1"/>
  <c r="CO216" i="1" a="1"/>
  <c r="CO216" i="1" s="1"/>
  <c r="CP216" i="1" a="1"/>
  <c r="CP216" i="1" s="1"/>
  <c r="CN217" i="1" a="1"/>
  <c r="CN217" i="1" s="1"/>
  <c r="CO217" i="1" a="1"/>
  <c r="CO217" i="1" s="1"/>
  <c r="CP217" i="1" a="1"/>
  <c r="CP217" i="1" s="1"/>
  <c r="CN218" i="1" a="1"/>
  <c r="CN218" i="1" s="1"/>
  <c r="CO218" i="1" a="1"/>
  <c r="CO218" i="1" s="1"/>
  <c r="CP218" i="1" a="1"/>
  <c r="CP218" i="1" s="1"/>
  <c r="CN219" i="1" a="1"/>
  <c r="CN219" i="1" s="1"/>
  <c r="CO219" i="1" a="1"/>
  <c r="CO219" i="1" s="1"/>
  <c r="CP219" i="1" a="1"/>
  <c r="CP219" i="1" s="1"/>
  <c r="CN220" i="1" a="1"/>
  <c r="CN220" i="1" s="1"/>
  <c r="CO220" i="1" a="1"/>
  <c r="CO220" i="1" s="1"/>
  <c r="CP220" i="1" a="1"/>
  <c r="CP220" i="1" s="1"/>
  <c r="CN221" i="1" a="1"/>
  <c r="CN221" i="1" s="1"/>
  <c r="CO221" i="1" a="1"/>
  <c r="CO221" i="1" s="1"/>
  <c r="CP221" i="1" a="1"/>
  <c r="CP221" i="1" s="1"/>
  <c r="CN222" i="1" a="1"/>
  <c r="CN222" i="1" s="1"/>
  <c r="CO222" i="1" a="1"/>
  <c r="CO222" i="1" s="1"/>
  <c r="CP222" i="1" a="1"/>
  <c r="CP222" i="1" s="1"/>
  <c r="CN223" i="1" a="1"/>
  <c r="CN223" i="1" s="1"/>
  <c r="CO223" i="1" a="1"/>
  <c r="CO223" i="1" s="1"/>
  <c r="CP223" i="1" a="1"/>
  <c r="CP223" i="1" s="1"/>
  <c r="CN224" i="1" a="1"/>
  <c r="CN224" i="1" s="1"/>
  <c r="CO224" i="1" a="1"/>
  <c r="CO224" i="1" s="1"/>
  <c r="CP224" i="1" a="1"/>
  <c r="CP224" i="1" s="1"/>
  <c r="CN225" i="1" a="1"/>
  <c r="CN225" i="1" s="1"/>
  <c r="CO225" i="1" a="1"/>
  <c r="CO225" i="1" s="1"/>
  <c r="CP225" i="1" a="1"/>
  <c r="CP225" i="1" s="1"/>
  <c r="CN226" i="1" a="1"/>
  <c r="CN226" i="1" s="1"/>
  <c r="CO226" i="1" a="1"/>
  <c r="CO226" i="1" s="1"/>
  <c r="CP226" i="1" a="1"/>
  <c r="CP226" i="1" s="1"/>
  <c r="CN227" i="1" a="1"/>
  <c r="CN227" i="1" s="1"/>
  <c r="CO227" i="1" a="1"/>
  <c r="CO227" i="1" s="1"/>
  <c r="CP227" i="1" a="1"/>
  <c r="CP227" i="1" s="1"/>
  <c r="CN228" i="1" a="1"/>
  <c r="CN228" i="1" s="1"/>
  <c r="CO228" i="1" a="1"/>
  <c r="CO228" i="1" s="1"/>
  <c r="CP228" i="1" a="1"/>
  <c r="CP228" i="1" s="1"/>
  <c r="CN229" i="1" a="1"/>
  <c r="CN229" i="1" s="1"/>
  <c r="CO229" i="1" a="1"/>
  <c r="CO229" i="1" s="1"/>
  <c r="CP229" i="1" a="1"/>
  <c r="CP229" i="1" s="1"/>
  <c r="CN230" i="1" a="1"/>
  <c r="CN230" i="1" s="1"/>
  <c r="CO230" i="1" a="1"/>
  <c r="CO230" i="1" s="1"/>
  <c r="CP230" i="1" a="1"/>
  <c r="CP230" i="1" s="1"/>
  <c r="CN231" i="1" a="1"/>
  <c r="CN231" i="1" s="1"/>
  <c r="CO231" i="1" a="1"/>
  <c r="CO231" i="1" s="1"/>
  <c r="CP231" i="1" a="1"/>
  <c r="CP231" i="1" s="1"/>
  <c r="CN232" i="1" a="1"/>
  <c r="CN232" i="1" s="1"/>
  <c r="CO232" i="1" a="1"/>
  <c r="CO232" i="1" s="1"/>
  <c r="CP232" i="1" a="1"/>
  <c r="CP232" i="1" s="1"/>
  <c r="CN233" i="1" a="1"/>
  <c r="CN233" i="1" s="1"/>
  <c r="CO233" i="1" a="1"/>
  <c r="CO233" i="1" s="1"/>
  <c r="CP233" i="1" a="1"/>
  <c r="CP233" i="1" s="1"/>
  <c r="CN234" i="1" a="1"/>
  <c r="CN234" i="1" s="1"/>
  <c r="CO234" i="1" a="1"/>
  <c r="CO234" i="1" s="1"/>
  <c r="CP234" i="1" a="1"/>
  <c r="CP234" i="1" s="1"/>
  <c r="CN235" i="1" a="1"/>
  <c r="CN235" i="1" s="1"/>
  <c r="CO235" i="1" a="1"/>
  <c r="CO235" i="1" s="1"/>
  <c r="CP235" i="1" a="1"/>
  <c r="CP235" i="1" s="1"/>
  <c r="CN236" i="1" a="1"/>
  <c r="CN236" i="1" s="1"/>
  <c r="CO236" i="1" a="1"/>
  <c r="CO236" i="1" s="1"/>
  <c r="CP236" i="1" a="1"/>
  <c r="CP236" i="1" s="1"/>
  <c r="CN237" i="1" a="1"/>
  <c r="CN237" i="1" s="1"/>
  <c r="CO237" i="1" a="1"/>
  <c r="CO237" i="1" s="1"/>
  <c r="CP237" i="1" a="1"/>
  <c r="CP237" i="1" s="1"/>
  <c r="CN238" i="1" a="1"/>
  <c r="CN238" i="1" s="1"/>
  <c r="CO238" i="1" a="1"/>
  <c r="CO238" i="1" s="1"/>
  <c r="CP238" i="1" a="1"/>
  <c r="CP238" i="1" s="1"/>
  <c r="CN239" i="1" a="1"/>
  <c r="CN239" i="1" s="1"/>
  <c r="CO239" i="1" a="1"/>
  <c r="CO239" i="1" s="1"/>
  <c r="CP239" i="1" a="1"/>
  <c r="CP239" i="1" s="1"/>
  <c r="CN240" i="1" a="1"/>
  <c r="CN240" i="1" s="1"/>
  <c r="CO240" i="1" a="1"/>
  <c r="CO240" i="1" s="1"/>
  <c r="CP240" i="1" a="1"/>
  <c r="CP240" i="1" s="1"/>
  <c r="CN241" i="1" a="1"/>
  <c r="CN241" i="1" s="1"/>
  <c r="CO241" i="1" a="1"/>
  <c r="CO241" i="1" s="1"/>
  <c r="CP241" i="1" a="1"/>
  <c r="CP241" i="1" s="1"/>
  <c r="CN242" i="1" a="1"/>
  <c r="CN242" i="1" s="1"/>
  <c r="CO242" i="1" a="1"/>
  <c r="CO242" i="1" s="1"/>
  <c r="CP242" i="1" a="1"/>
  <c r="CP242" i="1" s="1"/>
  <c r="CN243" i="1" a="1"/>
  <c r="CN243" i="1" s="1"/>
  <c r="CO243" i="1" a="1"/>
  <c r="CO243" i="1" s="1"/>
  <c r="CP243" i="1" a="1"/>
  <c r="CP243" i="1" s="1"/>
  <c r="CN244" i="1" a="1"/>
  <c r="CN244" i="1" s="1"/>
  <c r="CO244" i="1" a="1"/>
  <c r="CO244" i="1" s="1"/>
  <c r="CP244" i="1" a="1"/>
  <c r="CP244" i="1" s="1"/>
  <c r="CN245" i="1" a="1"/>
  <c r="CN245" i="1" s="1"/>
  <c r="CO245" i="1" a="1"/>
  <c r="CO245" i="1" s="1"/>
  <c r="CP245" i="1" a="1"/>
  <c r="CP245" i="1" s="1"/>
  <c r="CN246" i="1" a="1"/>
  <c r="CN246" i="1" s="1"/>
  <c r="CO246" i="1" a="1"/>
  <c r="CO246" i="1" s="1"/>
  <c r="CP246" i="1" a="1"/>
  <c r="CP246" i="1" s="1"/>
  <c r="CN247" i="1" a="1"/>
  <c r="CN247" i="1" s="1"/>
  <c r="CO247" i="1" a="1"/>
  <c r="CO247" i="1" s="1"/>
  <c r="CP247" i="1" a="1"/>
  <c r="CP247" i="1" s="1"/>
  <c r="CN248" i="1" a="1"/>
  <c r="CN248" i="1" s="1"/>
  <c r="CO248" i="1" a="1"/>
  <c r="CO248" i="1" s="1"/>
  <c r="CP248" i="1" a="1"/>
  <c r="CP248" i="1" s="1"/>
  <c r="CN249" i="1" a="1"/>
  <c r="CN249" i="1" s="1"/>
  <c r="CO249" i="1" a="1"/>
  <c r="CO249" i="1" s="1"/>
  <c r="CP249" i="1" a="1"/>
  <c r="CP249" i="1" s="1"/>
  <c r="CN250" i="1" a="1"/>
  <c r="CN250" i="1" s="1"/>
  <c r="CO250" i="1" a="1"/>
  <c r="CO250" i="1" s="1"/>
  <c r="CP250" i="1" a="1"/>
  <c r="CP250" i="1" s="1"/>
  <c r="CN251" i="1" a="1"/>
  <c r="CN251" i="1" s="1"/>
  <c r="CO251" i="1" a="1"/>
  <c r="CO251" i="1" s="1"/>
  <c r="CP251" i="1" a="1"/>
  <c r="CP251" i="1" s="1"/>
  <c r="CN252" i="1" a="1"/>
  <c r="CN252" i="1" s="1"/>
  <c r="CO252" i="1" a="1"/>
  <c r="CO252" i="1" s="1"/>
  <c r="CP252" i="1" a="1"/>
  <c r="CP252" i="1" s="1"/>
  <c r="CN253" i="1" a="1"/>
  <c r="CN253" i="1" s="1"/>
  <c r="CO253" i="1" a="1"/>
  <c r="CO253" i="1" s="1"/>
  <c r="CP253" i="1" a="1"/>
  <c r="CP253" i="1" s="1"/>
  <c r="CN254" i="1" a="1"/>
  <c r="CN254" i="1" s="1"/>
  <c r="CO254" i="1" a="1"/>
  <c r="CO254" i="1" s="1"/>
  <c r="CP254" i="1" a="1"/>
  <c r="CP254" i="1" s="1"/>
  <c r="CN255" i="1" a="1"/>
  <c r="CN255" i="1" s="1"/>
  <c r="CO255" i="1" a="1"/>
  <c r="CO255" i="1" s="1"/>
  <c r="CP255" i="1" a="1"/>
  <c r="CP255" i="1" s="1"/>
  <c r="CN256" i="1" a="1"/>
  <c r="CN256" i="1" s="1"/>
  <c r="CO256" i="1" a="1"/>
  <c r="CO256" i="1" s="1"/>
  <c r="CP256" i="1" a="1"/>
  <c r="CP256" i="1" s="1"/>
  <c r="CN257" i="1" a="1"/>
  <c r="CN257" i="1" s="1"/>
  <c r="CO257" i="1" a="1"/>
  <c r="CO257" i="1" s="1"/>
  <c r="CP257" i="1" a="1"/>
  <c r="CP257" i="1" s="1"/>
  <c r="CN258" i="1" a="1"/>
  <c r="CN258" i="1" s="1"/>
  <c r="CO258" i="1" a="1"/>
  <c r="CO258" i="1" s="1"/>
  <c r="CP258" i="1" a="1"/>
  <c r="CP258" i="1" s="1"/>
  <c r="CN259" i="1" a="1"/>
  <c r="CN259" i="1" s="1"/>
  <c r="CO259" i="1" a="1"/>
  <c r="CO259" i="1" s="1"/>
  <c r="CP259" i="1" a="1"/>
  <c r="CP259" i="1" s="1"/>
  <c r="CN260" i="1" a="1"/>
  <c r="CN260" i="1" s="1"/>
  <c r="CO260" i="1" a="1"/>
  <c r="CO260" i="1" s="1"/>
  <c r="CP260" i="1" a="1"/>
  <c r="CP260" i="1" s="1"/>
  <c r="CN261" i="1" a="1"/>
  <c r="CN261" i="1" s="1"/>
  <c r="CO261" i="1" a="1"/>
  <c r="CO261" i="1" s="1"/>
  <c r="CP261" i="1" a="1"/>
  <c r="CP261" i="1" s="1"/>
  <c r="CN262" i="1" a="1"/>
  <c r="CN262" i="1" s="1"/>
  <c r="CO262" i="1" a="1"/>
  <c r="CO262" i="1" s="1"/>
  <c r="CP262" i="1" a="1"/>
  <c r="CP262" i="1" s="1"/>
  <c r="CN263" i="1" a="1"/>
  <c r="CN263" i="1" s="1"/>
  <c r="CO263" i="1" a="1"/>
  <c r="CO263" i="1" s="1"/>
  <c r="CP263" i="1" a="1"/>
  <c r="CP263" i="1" s="1"/>
  <c r="CN264" i="1" a="1"/>
  <c r="CN264" i="1" s="1"/>
  <c r="CO264" i="1" a="1"/>
  <c r="CO264" i="1" s="1"/>
  <c r="CP264" i="1" a="1"/>
  <c r="CP264" i="1" s="1"/>
  <c r="CN265" i="1" a="1"/>
  <c r="CN265" i="1" s="1"/>
  <c r="CO265" i="1" a="1"/>
  <c r="CO265" i="1" s="1"/>
  <c r="CP265" i="1" a="1"/>
  <c r="CP265" i="1" s="1"/>
  <c r="CN266" i="1" a="1"/>
  <c r="CN266" i="1" s="1"/>
  <c r="CO266" i="1" a="1"/>
  <c r="CO266" i="1" s="1"/>
  <c r="CP266" i="1" a="1"/>
  <c r="CP266" i="1" s="1"/>
  <c r="CN267" i="1" a="1"/>
  <c r="CN267" i="1" s="1"/>
  <c r="CO267" i="1" a="1"/>
  <c r="CO267" i="1" s="1"/>
  <c r="CP267" i="1" a="1"/>
  <c r="CP267" i="1" s="1"/>
  <c r="CN268" i="1" a="1"/>
  <c r="CN268" i="1" s="1"/>
  <c r="CO268" i="1" a="1"/>
  <c r="CO268" i="1" s="1"/>
  <c r="CP268" i="1" a="1"/>
  <c r="CP268" i="1" s="1"/>
  <c r="CN269" i="1" a="1"/>
  <c r="CN269" i="1" s="1"/>
  <c r="CO269" i="1" a="1"/>
  <c r="CO269" i="1" s="1"/>
  <c r="CP269" i="1" a="1"/>
  <c r="CP269" i="1" s="1"/>
  <c r="CN270" i="1" a="1"/>
  <c r="CN270" i="1" s="1"/>
  <c r="CO270" i="1" a="1"/>
  <c r="CO270" i="1" s="1"/>
  <c r="CP270" i="1" a="1"/>
  <c r="CP270" i="1" s="1"/>
  <c r="CN271" i="1" a="1"/>
  <c r="CN271" i="1" s="1"/>
  <c r="CO271" i="1" a="1"/>
  <c r="CO271" i="1" s="1"/>
  <c r="CP271" i="1" a="1"/>
  <c r="CP271" i="1" s="1"/>
  <c r="CN272" i="1" a="1"/>
  <c r="CN272" i="1" s="1"/>
  <c r="CO272" i="1" a="1"/>
  <c r="CO272" i="1" s="1"/>
  <c r="CP272" i="1" a="1"/>
  <c r="CP272" i="1" s="1"/>
  <c r="CN273" i="1" a="1"/>
  <c r="CN273" i="1" s="1"/>
  <c r="CO273" i="1" a="1"/>
  <c r="CO273" i="1" s="1"/>
  <c r="CP273" i="1" a="1"/>
  <c r="CP273" i="1" s="1"/>
  <c r="CN274" i="1" a="1"/>
  <c r="CN274" i="1" s="1"/>
  <c r="CO274" i="1" a="1"/>
  <c r="CO274" i="1" s="1"/>
  <c r="CP274" i="1" a="1"/>
  <c r="CP274" i="1" s="1"/>
  <c r="CN275" i="1" a="1"/>
  <c r="CN275" i="1" s="1"/>
  <c r="CO275" i="1" a="1"/>
  <c r="CO275" i="1" s="1"/>
  <c r="CP275" i="1" a="1"/>
  <c r="CP275" i="1" s="1"/>
  <c r="CN276" i="1" a="1"/>
  <c r="CN276" i="1" s="1"/>
  <c r="CO276" i="1" a="1"/>
  <c r="CO276" i="1" s="1"/>
  <c r="CP276" i="1" a="1"/>
  <c r="CP276" i="1" s="1"/>
  <c r="CN277" i="1" a="1"/>
  <c r="CN277" i="1" s="1"/>
  <c r="CO277" i="1" a="1"/>
  <c r="CO277" i="1" s="1"/>
  <c r="CP277" i="1" a="1"/>
  <c r="CP277" i="1" s="1"/>
  <c r="CN278" i="1" a="1"/>
  <c r="CN278" i="1" s="1"/>
  <c r="CO278" i="1" a="1"/>
  <c r="CO278" i="1" s="1"/>
  <c r="CP278" i="1" a="1"/>
  <c r="CP278" i="1" s="1"/>
  <c r="CN279" i="1" a="1"/>
  <c r="CN279" i="1" s="1"/>
  <c r="CO279" i="1" a="1"/>
  <c r="CO279" i="1" s="1"/>
  <c r="CP279" i="1" a="1"/>
  <c r="CP279" i="1" s="1"/>
  <c r="CN280" i="1" a="1"/>
  <c r="CN280" i="1" s="1"/>
  <c r="CO280" i="1" a="1"/>
  <c r="CO280" i="1" s="1"/>
  <c r="CP280" i="1" a="1"/>
  <c r="CP280" i="1" s="1"/>
  <c r="CN281" i="1" a="1"/>
  <c r="CN281" i="1" s="1"/>
  <c r="CO281" i="1" a="1"/>
  <c r="CO281" i="1" s="1"/>
  <c r="CP281" i="1" a="1"/>
  <c r="CP281" i="1" s="1"/>
  <c r="CN282" i="1" a="1"/>
  <c r="CN282" i="1" s="1"/>
  <c r="CO282" i="1" a="1"/>
  <c r="CO282" i="1" s="1"/>
  <c r="CP282" i="1" a="1"/>
  <c r="CP282" i="1" s="1"/>
  <c r="CN283" i="1" a="1"/>
  <c r="CN283" i="1" s="1"/>
  <c r="CO283" i="1" a="1"/>
  <c r="CO283" i="1" s="1"/>
  <c r="CP283" i="1" a="1"/>
  <c r="CP283" i="1" s="1"/>
  <c r="CN284" i="1" a="1"/>
  <c r="CN284" i="1" s="1"/>
  <c r="CO284" i="1" a="1"/>
  <c r="CO284" i="1" s="1"/>
  <c r="CP284" i="1" a="1"/>
  <c r="CP284" i="1" s="1"/>
  <c r="CN285" i="1" a="1"/>
  <c r="CN285" i="1" s="1"/>
  <c r="CO285" i="1" a="1"/>
  <c r="CO285" i="1" s="1"/>
  <c r="CP285" i="1" a="1"/>
  <c r="CP285" i="1" s="1"/>
  <c r="CN286" i="1" a="1"/>
  <c r="CN286" i="1" s="1"/>
  <c r="CO286" i="1" a="1"/>
  <c r="CO286" i="1" s="1"/>
  <c r="CP286" i="1" a="1"/>
  <c r="CP286" i="1" s="1"/>
  <c r="CN287" i="1" a="1"/>
  <c r="CN287" i="1" s="1"/>
  <c r="CO287" i="1" a="1"/>
  <c r="CO287" i="1" s="1"/>
  <c r="CP287" i="1" a="1"/>
  <c r="CP287" i="1" s="1"/>
  <c r="CN288" i="1" a="1"/>
  <c r="CN288" i="1" s="1"/>
  <c r="CO288" i="1" a="1"/>
  <c r="CO288" i="1" s="1"/>
  <c r="CP288" i="1" a="1"/>
  <c r="CP288" i="1" s="1"/>
  <c r="CN289" i="1" a="1"/>
  <c r="CN289" i="1" s="1"/>
  <c r="CO289" i="1" a="1"/>
  <c r="CO289" i="1" s="1"/>
  <c r="CP289" i="1" a="1"/>
  <c r="CP289" i="1" s="1"/>
  <c r="CN290" i="1" a="1"/>
  <c r="CN290" i="1" s="1"/>
  <c r="CO290" i="1" a="1"/>
  <c r="CO290" i="1" s="1"/>
  <c r="CP290" i="1" a="1"/>
  <c r="CP290" i="1" s="1"/>
  <c r="CN291" i="1" a="1"/>
  <c r="CN291" i="1" s="1"/>
  <c r="CO291" i="1" a="1"/>
  <c r="CO291" i="1" s="1"/>
  <c r="CP291" i="1" a="1"/>
  <c r="CP291" i="1" s="1"/>
  <c r="CN292" i="1" a="1"/>
  <c r="CN292" i="1" s="1"/>
  <c r="CO292" i="1" a="1"/>
  <c r="CO292" i="1" s="1"/>
  <c r="CP292" i="1" a="1"/>
  <c r="CP292" i="1" s="1"/>
  <c r="CN293" i="1" a="1"/>
  <c r="CN293" i="1" s="1"/>
  <c r="CO293" i="1" a="1"/>
  <c r="CO293" i="1" s="1"/>
  <c r="CP293" i="1" a="1"/>
  <c r="CP293" i="1" s="1"/>
  <c r="CN294" i="1" a="1"/>
  <c r="CN294" i="1" s="1"/>
  <c r="CO294" i="1" a="1"/>
  <c r="CO294" i="1" s="1"/>
  <c r="CP294" i="1" a="1"/>
  <c r="CP294" i="1" s="1"/>
  <c r="CN295" i="1" a="1"/>
  <c r="CN295" i="1" s="1"/>
  <c r="CO295" i="1" a="1"/>
  <c r="CO295" i="1" s="1"/>
  <c r="CP295" i="1" a="1"/>
  <c r="CP295" i="1" s="1"/>
  <c r="CN296" i="1" a="1"/>
  <c r="CN296" i="1" s="1"/>
  <c r="CO296" i="1" a="1"/>
  <c r="CO296" i="1" s="1"/>
  <c r="CP296" i="1" a="1"/>
  <c r="CP296" i="1" s="1"/>
  <c r="CN297" i="1" a="1"/>
  <c r="CN297" i="1" s="1"/>
  <c r="CO297" i="1" a="1"/>
  <c r="CO297" i="1" s="1"/>
  <c r="CP297" i="1" a="1"/>
  <c r="CP297" i="1" s="1"/>
  <c r="CN298" i="1" a="1"/>
  <c r="CN298" i="1" s="1"/>
  <c r="CO298" i="1" a="1"/>
  <c r="CO298" i="1" s="1"/>
  <c r="CP298" i="1" a="1"/>
  <c r="CP298" i="1" s="1"/>
  <c r="CN299" i="1" a="1"/>
  <c r="CN299" i="1" s="1"/>
  <c r="CO299" i="1" a="1"/>
  <c r="CO299" i="1" s="1"/>
  <c r="CP299" i="1" a="1"/>
  <c r="CP299" i="1" s="1"/>
  <c r="CN300" i="1" a="1"/>
  <c r="CN300" i="1" s="1"/>
  <c r="CO300" i="1" a="1"/>
  <c r="CO300" i="1" s="1"/>
  <c r="CP300" i="1" a="1"/>
  <c r="CP300" i="1" s="1"/>
  <c r="CN301" i="1" a="1"/>
  <c r="CN301" i="1" s="1"/>
  <c r="CO301" i="1" a="1"/>
  <c r="CO301" i="1" s="1"/>
  <c r="CP301" i="1" a="1"/>
  <c r="CP301" i="1" s="1"/>
  <c r="CN302" i="1" a="1"/>
  <c r="CN302" i="1" s="1"/>
  <c r="CO302" i="1" a="1"/>
  <c r="CO302" i="1" s="1"/>
  <c r="CP302" i="1" a="1"/>
  <c r="CP302" i="1" s="1"/>
  <c r="CN303" i="1" a="1"/>
  <c r="CN303" i="1" s="1"/>
  <c r="CO303" i="1" a="1"/>
  <c r="CO303" i="1" s="1"/>
  <c r="CP303" i="1" a="1"/>
  <c r="CP303" i="1" s="1"/>
  <c r="CN304" i="1" a="1"/>
  <c r="CN304" i="1" s="1"/>
  <c r="CO304" i="1" a="1"/>
  <c r="CO304" i="1" s="1"/>
  <c r="CP304" i="1" a="1"/>
  <c r="CP304" i="1" s="1"/>
  <c r="CN305" i="1" a="1"/>
  <c r="CN305" i="1" s="1"/>
  <c r="CO305" i="1" a="1"/>
  <c r="CO305" i="1" s="1"/>
  <c r="CP305" i="1" a="1"/>
  <c r="CP305" i="1" s="1"/>
  <c r="CN306" i="1" a="1"/>
  <c r="CN306" i="1" s="1"/>
  <c r="CO306" i="1" a="1"/>
  <c r="CO306" i="1" s="1"/>
  <c r="CP306" i="1" a="1"/>
  <c r="CP306" i="1" s="1"/>
  <c r="CN307" i="1" a="1"/>
  <c r="CN307" i="1" s="1"/>
  <c r="CO307" i="1" a="1"/>
  <c r="CO307" i="1" s="1"/>
  <c r="CP307" i="1" a="1"/>
  <c r="CP307" i="1" s="1"/>
  <c r="CN308" i="1" a="1"/>
  <c r="CN308" i="1" s="1"/>
  <c r="CO308" i="1" a="1"/>
  <c r="CO308" i="1" s="1"/>
  <c r="CP308" i="1" a="1"/>
  <c r="CP308" i="1" s="1"/>
  <c r="CN309" i="1" a="1"/>
  <c r="CN309" i="1" s="1"/>
  <c r="CO309" i="1" a="1"/>
  <c r="CO309" i="1" s="1"/>
  <c r="CP309" i="1" a="1"/>
  <c r="CP309" i="1" s="1"/>
  <c r="CN310" i="1" a="1"/>
  <c r="CN310" i="1" s="1"/>
  <c r="CO310" i="1" a="1"/>
  <c r="CO310" i="1" s="1"/>
  <c r="CP310" i="1" a="1"/>
  <c r="CP310" i="1" s="1"/>
  <c r="CN311" i="1" a="1"/>
  <c r="CN311" i="1" s="1"/>
  <c r="CO311" i="1" a="1"/>
  <c r="CO311" i="1" s="1"/>
  <c r="CP311" i="1" a="1"/>
  <c r="CP311" i="1" s="1"/>
  <c r="CN312" i="1" a="1"/>
  <c r="CN312" i="1" s="1"/>
  <c r="CO312" i="1" a="1"/>
  <c r="CO312" i="1" s="1"/>
  <c r="CP312" i="1" a="1"/>
  <c r="CP312" i="1" s="1"/>
  <c r="CN313" i="1" a="1"/>
  <c r="CN313" i="1" s="1"/>
  <c r="CO313" i="1" a="1"/>
  <c r="CO313" i="1" s="1"/>
  <c r="CP313" i="1" a="1"/>
  <c r="CP313" i="1" s="1"/>
  <c r="CN314" i="1" a="1"/>
  <c r="CN314" i="1" s="1"/>
  <c r="CO314" i="1" a="1"/>
  <c r="CO314" i="1" s="1"/>
  <c r="CP314" i="1" a="1"/>
  <c r="CP314" i="1" s="1"/>
  <c r="CN315" i="1" a="1"/>
  <c r="CN315" i="1" s="1"/>
  <c r="CO315" i="1" a="1"/>
  <c r="CO315" i="1" s="1"/>
  <c r="CP315" i="1" a="1"/>
  <c r="CP315" i="1" s="1"/>
  <c r="CN316" i="1" a="1"/>
  <c r="CN316" i="1" s="1"/>
  <c r="CO316" i="1" a="1"/>
  <c r="CO316" i="1" s="1"/>
  <c r="CP316" i="1" a="1"/>
  <c r="CP316" i="1" s="1"/>
  <c r="CN317" i="1" a="1"/>
  <c r="CN317" i="1" s="1"/>
  <c r="CO317" i="1" a="1"/>
  <c r="CO317" i="1" s="1"/>
  <c r="CP317" i="1" a="1"/>
  <c r="CP317" i="1" s="1"/>
  <c r="CN318" i="1" a="1"/>
  <c r="CN318" i="1" s="1"/>
  <c r="CO318" i="1" a="1"/>
  <c r="CO318" i="1" s="1"/>
  <c r="CP318" i="1" a="1"/>
  <c r="CP318" i="1" s="1"/>
  <c r="CN319" i="1" a="1"/>
  <c r="CN319" i="1" s="1"/>
  <c r="CO319" i="1" a="1"/>
  <c r="CO319" i="1" s="1"/>
  <c r="CP319" i="1" a="1"/>
  <c r="CP319" i="1" s="1"/>
  <c r="CN320" i="1" a="1"/>
  <c r="CN320" i="1" s="1"/>
  <c r="CO320" i="1" a="1"/>
  <c r="CO320" i="1" s="1"/>
  <c r="CP320" i="1" a="1"/>
  <c r="CP320" i="1" s="1"/>
  <c r="CN321" i="1" a="1"/>
  <c r="CN321" i="1" s="1"/>
  <c r="CO321" i="1" a="1"/>
  <c r="CO321" i="1" s="1"/>
  <c r="CP321" i="1" a="1"/>
  <c r="CP321" i="1" s="1"/>
  <c r="CN322" i="1" a="1"/>
  <c r="CN322" i="1" s="1"/>
  <c r="CO322" i="1" a="1"/>
  <c r="CO322" i="1" s="1"/>
  <c r="CP322" i="1" a="1"/>
  <c r="CP322" i="1" s="1"/>
  <c r="CN323" i="1" a="1"/>
  <c r="CN323" i="1" s="1"/>
  <c r="CO323" i="1" a="1"/>
  <c r="CO323" i="1" s="1"/>
  <c r="CP323" i="1" a="1"/>
  <c r="CP323" i="1" s="1"/>
  <c r="CN324" i="1" a="1"/>
  <c r="CN324" i="1" s="1"/>
  <c r="CO324" i="1" a="1"/>
  <c r="CO324" i="1" s="1"/>
  <c r="CP324" i="1" a="1"/>
  <c r="CP324" i="1" s="1"/>
  <c r="CN325" i="1" a="1"/>
  <c r="CN325" i="1" s="1"/>
  <c r="CO325" i="1" a="1"/>
  <c r="CO325" i="1" s="1"/>
  <c r="CP325" i="1" a="1"/>
  <c r="CP325" i="1" s="1"/>
  <c r="CN326" i="1" a="1"/>
  <c r="CN326" i="1" s="1"/>
  <c r="CO326" i="1" a="1"/>
  <c r="CO326" i="1" s="1"/>
  <c r="CP326" i="1" a="1"/>
  <c r="CP326" i="1" s="1"/>
  <c r="CN327" i="1" a="1"/>
  <c r="CN327" i="1" s="1"/>
  <c r="CO327" i="1" a="1"/>
  <c r="CO327" i="1" s="1"/>
  <c r="CP327" i="1" a="1"/>
  <c r="CP327" i="1" s="1"/>
  <c r="CN328" i="1" a="1"/>
  <c r="CN328" i="1" s="1"/>
  <c r="CO328" i="1" a="1"/>
  <c r="CO328" i="1" s="1"/>
  <c r="CP328" i="1" a="1"/>
  <c r="CP328" i="1" s="1"/>
  <c r="CN329" i="1" a="1"/>
  <c r="CN329" i="1" s="1"/>
  <c r="CO329" i="1" a="1"/>
  <c r="CO329" i="1" s="1"/>
  <c r="CP329" i="1" a="1"/>
  <c r="CP329" i="1" s="1"/>
  <c r="CN330" i="1" a="1"/>
  <c r="CN330" i="1" s="1"/>
  <c r="CO330" i="1" a="1"/>
  <c r="CO330" i="1" s="1"/>
  <c r="CP330" i="1" a="1"/>
  <c r="CP330" i="1" s="1"/>
  <c r="CN331" i="1" a="1"/>
  <c r="CN331" i="1" s="1"/>
  <c r="CO331" i="1" a="1"/>
  <c r="CO331" i="1" s="1"/>
  <c r="CP331" i="1" a="1"/>
  <c r="CP331" i="1" s="1"/>
  <c r="CN332" i="1" a="1"/>
  <c r="CN332" i="1" s="1"/>
  <c r="CO332" i="1" a="1"/>
  <c r="CO332" i="1" s="1"/>
  <c r="CP332" i="1" a="1"/>
  <c r="CP332" i="1" s="1"/>
  <c r="CN333" i="1" a="1"/>
  <c r="CN333" i="1" s="1"/>
  <c r="CO333" i="1" a="1"/>
  <c r="CO333" i="1" s="1"/>
  <c r="CP333" i="1" a="1"/>
  <c r="CP333" i="1" s="1"/>
  <c r="CN334" i="1" a="1"/>
  <c r="CN334" i="1" s="1"/>
  <c r="CO334" i="1" a="1"/>
  <c r="CO334" i="1" s="1"/>
  <c r="CP334" i="1" a="1"/>
  <c r="CP334" i="1" s="1"/>
  <c r="CN335" i="1" a="1"/>
  <c r="CN335" i="1" s="1"/>
  <c r="CO335" i="1" a="1"/>
  <c r="CO335" i="1" s="1"/>
  <c r="CP335" i="1" a="1"/>
  <c r="CP335" i="1" s="1"/>
  <c r="CN336" i="1" a="1"/>
  <c r="CN336" i="1" s="1"/>
  <c r="CO336" i="1" a="1"/>
  <c r="CO336" i="1" s="1"/>
  <c r="CP336" i="1" a="1"/>
  <c r="CP336" i="1" s="1"/>
  <c r="CN337" i="1" a="1"/>
  <c r="CN337" i="1" s="1"/>
  <c r="CO337" i="1" a="1"/>
  <c r="CO337" i="1" s="1"/>
  <c r="CP337" i="1" a="1"/>
  <c r="CP337" i="1" s="1"/>
  <c r="CN338" i="1" a="1"/>
  <c r="CN338" i="1" s="1"/>
  <c r="CO338" i="1" a="1"/>
  <c r="CO338" i="1" s="1"/>
  <c r="CP338" i="1" a="1"/>
  <c r="CP338" i="1" s="1"/>
  <c r="CN339" i="1" a="1"/>
  <c r="CN339" i="1" s="1"/>
  <c r="CO339" i="1" a="1"/>
  <c r="CO339" i="1" s="1"/>
  <c r="CP339" i="1" a="1"/>
  <c r="CP339" i="1" s="1"/>
  <c r="CN340" i="1" a="1"/>
  <c r="CN340" i="1" s="1"/>
  <c r="CO340" i="1" a="1"/>
  <c r="CO340" i="1" s="1"/>
  <c r="CP340" i="1" a="1"/>
  <c r="CP340" i="1" s="1"/>
  <c r="CN341" i="1" a="1"/>
  <c r="CN341" i="1" s="1"/>
  <c r="CO341" i="1" a="1"/>
  <c r="CO341" i="1" s="1"/>
  <c r="CP341" i="1" a="1"/>
  <c r="CP341" i="1" s="1"/>
  <c r="CN342" i="1" a="1"/>
  <c r="CN342" i="1" s="1"/>
  <c r="CO342" i="1" a="1"/>
  <c r="CO342" i="1" s="1"/>
  <c r="CP342" i="1" a="1"/>
  <c r="CP342" i="1" s="1"/>
  <c r="CN343" i="1" a="1"/>
  <c r="CN343" i="1" s="1"/>
  <c r="CO343" i="1" a="1"/>
  <c r="CO343" i="1" s="1"/>
  <c r="CP343" i="1" a="1"/>
  <c r="CP343" i="1" s="1"/>
  <c r="CN344" i="1" a="1"/>
  <c r="CN344" i="1" s="1"/>
  <c r="CO344" i="1" a="1"/>
  <c r="CO344" i="1" s="1"/>
  <c r="CP344" i="1" a="1"/>
  <c r="CP344" i="1" s="1"/>
  <c r="CN345" i="1" a="1"/>
  <c r="CN345" i="1" s="1"/>
  <c r="CO345" i="1" a="1"/>
  <c r="CO345" i="1" s="1"/>
  <c r="CP345" i="1" a="1"/>
  <c r="CP345" i="1" s="1"/>
  <c r="CN346" i="1" a="1"/>
  <c r="CN346" i="1" s="1"/>
  <c r="CO346" i="1" a="1"/>
  <c r="CO346" i="1" s="1"/>
  <c r="CP346" i="1" a="1"/>
  <c r="CP346" i="1" s="1"/>
  <c r="CN347" i="1" a="1"/>
  <c r="CN347" i="1" s="1"/>
  <c r="CO347" i="1" a="1"/>
  <c r="CO347" i="1" s="1"/>
  <c r="CP347" i="1" a="1"/>
  <c r="CP347" i="1" s="1"/>
  <c r="CN348" i="1" a="1"/>
  <c r="CN348" i="1" s="1"/>
  <c r="CO348" i="1" a="1"/>
  <c r="CO348" i="1" s="1"/>
  <c r="CP348" i="1" a="1"/>
  <c r="CP348" i="1" s="1"/>
  <c r="CN349" i="1" a="1"/>
  <c r="CN349" i="1" s="1"/>
  <c r="CO349" i="1" a="1"/>
  <c r="CO349" i="1" s="1"/>
  <c r="CP349" i="1" a="1"/>
  <c r="CP349" i="1" s="1"/>
  <c r="CN350" i="1" a="1"/>
  <c r="CN350" i="1" s="1"/>
  <c r="CO350" i="1" a="1"/>
  <c r="CO350" i="1" s="1"/>
  <c r="CP350" i="1" a="1"/>
  <c r="CP350" i="1" s="1"/>
  <c r="CN351" i="1" a="1"/>
  <c r="CN351" i="1" s="1"/>
  <c r="CO351" i="1" a="1"/>
  <c r="CO351" i="1" s="1"/>
  <c r="CP351" i="1" a="1"/>
  <c r="CP351" i="1" s="1"/>
  <c r="CN352" i="1" a="1"/>
  <c r="CN352" i="1" s="1"/>
  <c r="CO352" i="1" a="1"/>
  <c r="CO352" i="1" s="1"/>
  <c r="CP352" i="1" a="1"/>
  <c r="CP352" i="1" s="1"/>
  <c r="CN353" i="1" a="1"/>
  <c r="CN353" i="1" s="1"/>
  <c r="CO353" i="1" a="1"/>
  <c r="CO353" i="1" s="1"/>
  <c r="CP353" i="1" a="1"/>
  <c r="CP353" i="1" s="1"/>
  <c r="CN354" i="1" a="1"/>
  <c r="CN354" i="1" s="1"/>
  <c r="CO354" i="1" a="1"/>
  <c r="CO354" i="1" s="1"/>
  <c r="CP354" i="1" a="1"/>
  <c r="CP354" i="1" s="1"/>
  <c r="CN355" i="1" a="1"/>
  <c r="CN355" i="1" s="1"/>
  <c r="CO355" i="1" a="1"/>
  <c r="CO355" i="1" s="1"/>
  <c r="CP355" i="1" a="1"/>
  <c r="CP355" i="1" s="1"/>
  <c r="CN356" i="1" a="1"/>
  <c r="CN356" i="1" s="1"/>
  <c r="CO356" i="1" a="1"/>
  <c r="CO356" i="1" s="1"/>
  <c r="CP356" i="1" a="1"/>
  <c r="CP356" i="1" s="1"/>
  <c r="CN357" i="1" a="1"/>
  <c r="CN357" i="1" s="1"/>
  <c r="CO357" i="1" a="1"/>
  <c r="CO357" i="1" s="1"/>
  <c r="CP357" i="1" a="1"/>
  <c r="CP357" i="1" s="1"/>
  <c r="CN358" i="1" a="1"/>
  <c r="CN358" i="1" s="1"/>
  <c r="CO358" i="1" a="1"/>
  <c r="CO358" i="1" s="1"/>
  <c r="CP358" i="1" a="1"/>
  <c r="CP358" i="1" s="1"/>
  <c r="CN359" i="1" a="1"/>
  <c r="CN359" i="1" s="1"/>
  <c r="CO359" i="1" a="1"/>
  <c r="CO359" i="1" s="1"/>
  <c r="CP359" i="1" a="1"/>
  <c r="CP359" i="1" s="1"/>
  <c r="CN360" i="1" a="1"/>
  <c r="CN360" i="1" s="1"/>
  <c r="CO360" i="1" a="1"/>
  <c r="CO360" i="1" s="1"/>
  <c r="CP360" i="1" a="1"/>
  <c r="CP360" i="1" s="1"/>
  <c r="CN361" i="1" a="1"/>
  <c r="CN361" i="1" s="1"/>
  <c r="CO361" i="1" a="1"/>
  <c r="CO361" i="1" s="1"/>
  <c r="CP361" i="1" a="1"/>
  <c r="CP361" i="1" s="1"/>
  <c r="CN362" i="1" a="1"/>
  <c r="CN362" i="1" s="1"/>
  <c r="CO362" i="1" a="1"/>
  <c r="CO362" i="1" s="1"/>
  <c r="CP362" i="1" a="1"/>
  <c r="CP362" i="1" s="1"/>
  <c r="CN363" i="1" a="1"/>
  <c r="CN363" i="1" s="1"/>
  <c r="CO363" i="1" a="1"/>
  <c r="CO363" i="1" s="1"/>
  <c r="CP363" i="1" a="1"/>
  <c r="CP363" i="1" s="1"/>
  <c r="CN364" i="1" a="1"/>
  <c r="CN364" i="1" s="1"/>
  <c r="CO364" i="1" a="1"/>
  <c r="CO364" i="1" s="1"/>
  <c r="CP364" i="1" a="1"/>
  <c r="CP364" i="1" s="1"/>
  <c r="CN365" i="1" a="1"/>
  <c r="CN365" i="1" s="1"/>
  <c r="CO365" i="1" a="1"/>
  <c r="CO365" i="1" s="1"/>
  <c r="CP365" i="1" a="1"/>
  <c r="CP365" i="1" s="1"/>
  <c r="CN366" i="1" a="1"/>
  <c r="CN366" i="1" s="1"/>
  <c r="CO366" i="1" a="1"/>
  <c r="CO366" i="1" s="1"/>
  <c r="CP366" i="1" a="1"/>
  <c r="CP366" i="1" s="1"/>
  <c r="CN367" i="1" a="1"/>
  <c r="CN367" i="1" s="1"/>
  <c r="CO367" i="1" a="1"/>
  <c r="CO367" i="1" s="1"/>
  <c r="CP367" i="1" a="1"/>
  <c r="CP367" i="1" s="1"/>
  <c r="CN368" i="1" a="1"/>
  <c r="CN368" i="1" s="1"/>
  <c r="CO368" i="1" a="1"/>
  <c r="CO368" i="1" s="1"/>
  <c r="CP368" i="1" a="1"/>
  <c r="CP368" i="1" s="1"/>
  <c r="CN369" i="1" a="1"/>
  <c r="CN369" i="1" s="1"/>
  <c r="CO369" i="1" a="1"/>
  <c r="CO369" i="1" s="1"/>
  <c r="CP369" i="1" a="1"/>
  <c r="CP369" i="1" s="1"/>
  <c r="CN370" i="1" a="1"/>
  <c r="CN370" i="1" s="1"/>
  <c r="CO370" i="1" a="1"/>
  <c r="CO370" i="1" s="1"/>
  <c r="CP370" i="1" a="1"/>
  <c r="CP370" i="1" s="1"/>
  <c r="CN371" i="1" a="1"/>
  <c r="CN371" i="1" s="1"/>
  <c r="CO371" i="1" a="1"/>
  <c r="CO371" i="1" s="1"/>
  <c r="CP371" i="1" a="1"/>
  <c r="CP371" i="1" s="1"/>
  <c r="CN372" i="1" a="1"/>
  <c r="CN372" i="1" s="1"/>
  <c r="CO372" i="1" a="1"/>
  <c r="CO372" i="1" s="1"/>
  <c r="CP372" i="1" a="1"/>
  <c r="CP372" i="1" s="1"/>
  <c r="CN373" i="1" a="1"/>
  <c r="CN373" i="1" s="1"/>
  <c r="CO373" i="1" a="1"/>
  <c r="CO373" i="1" s="1"/>
  <c r="CP373" i="1" a="1"/>
  <c r="CP373" i="1" s="1"/>
  <c r="CN374" i="1" a="1"/>
  <c r="CN374" i="1" s="1"/>
  <c r="CO374" i="1" a="1"/>
  <c r="CO374" i="1" s="1"/>
  <c r="CP374" i="1" a="1"/>
  <c r="CP374" i="1" s="1"/>
  <c r="CN375" i="1" a="1"/>
  <c r="CN375" i="1" s="1"/>
  <c r="CO375" i="1" a="1"/>
  <c r="CO375" i="1" s="1"/>
  <c r="CP375" i="1" a="1"/>
  <c r="CP375" i="1" s="1"/>
  <c r="CN376" i="1" a="1"/>
  <c r="CN376" i="1" s="1"/>
  <c r="CO376" i="1" a="1"/>
  <c r="CO376" i="1" s="1"/>
  <c r="CP376" i="1" a="1"/>
  <c r="CP376" i="1" s="1"/>
  <c r="CN377" i="1" a="1"/>
  <c r="CN377" i="1" s="1"/>
  <c r="CO377" i="1" a="1"/>
  <c r="CO377" i="1" s="1"/>
  <c r="CP377" i="1" a="1"/>
  <c r="CP377" i="1" s="1"/>
  <c r="CN378" i="1" a="1"/>
  <c r="CN378" i="1" s="1"/>
  <c r="CO378" i="1" a="1"/>
  <c r="CO378" i="1" s="1"/>
  <c r="CP378" i="1" a="1"/>
  <c r="CP378" i="1" s="1"/>
  <c r="CN379" i="1" a="1"/>
  <c r="CN379" i="1" s="1"/>
  <c r="CO379" i="1" a="1"/>
  <c r="CO379" i="1" s="1"/>
  <c r="CP379" i="1" a="1"/>
  <c r="CP379" i="1" s="1"/>
  <c r="CN380" i="1" a="1"/>
  <c r="CN380" i="1" s="1"/>
  <c r="CO380" i="1" a="1"/>
  <c r="CO380" i="1" s="1"/>
  <c r="CP380" i="1" a="1"/>
  <c r="CP380" i="1" s="1"/>
  <c r="CN381" i="1" a="1"/>
  <c r="CN381" i="1" s="1"/>
  <c r="CO381" i="1" a="1"/>
  <c r="CO381" i="1" s="1"/>
  <c r="CP381" i="1" a="1"/>
  <c r="CP381" i="1" s="1"/>
  <c r="CN382" i="1" a="1"/>
  <c r="CN382" i="1" s="1"/>
  <c r="CO382" i="1" a="1"/>
  <c r="CO382" i="1" s="1"/>
  <c r="CP382" i="1" a="1"/>
  <c r="CP382" i="1" s="1"/>
  <c r="CN383" i="1" a="1"/>
  <c r="CN383" i="1" s="1"/>
  <c r="CO383" i="1" a="1"/>
  <c r="CO383" i="1" s="1"/>
  <c r="CP383" i="1" a="1"/>
  <c r="CP383" i="1" s="1"/>
  <c r="CN384" i="1" a="1"/>
  <c r="CN384" i="1" s="1"/>
  <c r="CO384" i="1" a="1"/>
  <c r="CO384" i="1" s="1"/>
  <c r="CP384" i="1" a="1"/>
  <c r="CP384" i="1" s="1"/>
  <c r="CN385" i="1" a="1"/>
  <c r="CN385" i="1" s="1"/>
  <c r="CO385" i="1" a="1"/>
  <c r="CO385" i="1" s="1"/>
  <c r="CP385" i="1" a="1"/>
  <c r="CP385" i="1" s="1"/>
  <c r="CN386" i="1" a="1"/>
  <c r="CN386" i="1" s="1"/>
  <c r="CO386" i="1" a="1"/>
  <c r="CO386" i="1" s="1"/>
  <c r="CP386" i="1" a="1"/>
  <c r="CP386" i="1" s="1"/>
  <c r="CN387" i="1" a="1"/>
  <c r="CN387" i="1" s="1"/>
  <c r="CO387" i="1" a="1"/>
  <c r="CO387" i="1" s="1"/>
  <c r="CP387" i="1" a="1"/>
  <c r="CP387" i="1" s="1"/>
  <c r="CN388" i="1" a="1"/>
  <c r="CN388" i="1" s="1"/>
  <c r="CO388" i="1" a="1"/>
  <c r="CO388" i="1" s="1"/>
  <c r="CP388" i="1" a="1"/>
  <c r="CP388" i="1" s="1"/>
  <c r="CN389" i="1" a="1"/>
  <c r="CN389" i="1" s="1"/>
  <c r="CO389" i="1" a="1"/>
  <c r="CO389" i="1" s="1"/>
  <c r="CP389" i="1" a="1"/>
  <c r="CP389" i="1" s="1"/>
  <c r="CN390" i="1" a="1"/>
  <c r="CN390" i="1" s="1"/>
  <c r="CO390" i="1" a="1"/>
  <c r="CO390" i="1" s="1"/>
  <c r="CP390" i="1" a="1"/>
  <c r="CP390" i="1" s="1"/>
  <c r="CN391" i="1" a="1"/>
  <c r="CN391" i="1" s="1"/>
  <c r="CO391" i="1" a="1"/>
  <c r="CO391" i="1" s="1"/>
  <c r="CP391" i="1" a="1"/>
  <c r="CP391" i="1" s="1"/>
  <c r="CN392" i="1" a="1"/>
  <c r="CN392" i="1" s="1"/>
  <c r="CO392" i="1" a="1"/>
  <c r="CO392" i="1" s="1"/>
  <c r="CP392" i="1" a="1"/>
  <c r="CP392" i="1" s="1"/>
  <c r="CN393" i="1" a="1"/>
  <c r="CN393" i="1" s="1"/>
  <c r="CO393" i="1" a="1"/>
  <c r="CO393" i="1" s="1"/>
  <c r="CP393" i="1" a="1"/>
  <c r="CP393" i="1" s="1"/>
  <c r="CN394" i="1" a="1"/>
  <c r="CN394" i="1" s="1"/>
  <c r="CO394" i="1" a="1"/>
  <c r="CO394" i="1" s="1"/>
  <c r="CP394" i="1" a="1"/>
  <c r="CP394" i="1" s="1"/>
  <c r="CN395" i="1" a="1"/>
  <c r="CN395" i="1" s="1"/>
  <c r="CO395" i="1" a="1"/>
  <c r="CO395" i="1" s="1"/>
  <c r="CP395" i="1" a="1"/>
  <c r="CP395" i="1" s="1"/>
  <c r="CN396" i="1" a="1"/>
  <c r="CN396" i="1" s="1"/>
  <c r="CO396" i="1" a="1"/>
  <c r="CO396" i="1" s="1"/>
  <c r="CP396" i="1" a="1"/>
  <c r="CP396" i="1" s="1"/>
  <c r="CN397" i="1" a="1"/>
  <c r="CN397" i="1" s="1"/>
  <c r="CO397" i="1" a="1"/>
  <c r="CO397" i="1" s="1"/>
  <c r="CP397" i="1" a="1"/>
  <c r="CP397" i="1" s="1"/>
  <c r="CN398" i="1" a="1"/>
  <c r="CN398" i="1" s="1"/>
  <c r="CO398" i="1" a="1"/>
  <c r="CO398" i="1" s="1"/>
  <c r="CP398" i="1" a="1"/>
  <c r="CP398" i="1" s="1"/>
  <c r="CN399" i="1" a="1"/>
  <c r="CN399" i="1" s="1"/>
  <c r="CO399" i="1" a="1"/>
  <c r="CO399" i="1" s="1"/>
  <c r="CP399" i="1" a="1"/>
  <c r="CP399" i="1" s="1"/>
  <c r="CN400" i="1" a="1"/>
  <c r="CN400" i="1" s="1"/>
  <c r="CO400" i="1" a="1"/>
  <c r="CO400" i="1" s="1"/>
  <c r="CP400" i="1" a="1"/>
  <c r="CP400" i="1" s="1"/>
  <c r="CN401" i="1" a="1"/>
  <c r="CN401" i="1" s="1"/>
  <c r="CO401" i="1" a="1"/>
  <c r="CO401" i="1" s="1"/>
  <c r="CP401" i="1" a="1"/>
  <c r="CP401" i="1" s="1"/>
  <c r="CN402" i="1" a="1"/>
  <c r="CN402" i="1" s="1"/>
  <c r="CO402" i="1" a="1"/>
  <c r="CO402" i="1" s="1"/>
  <c r="CP402" i="1" a="1"/>
  <c r="CP402" i="1" s="1"/>
  <c r="CN403" i="1" a="1"/>
  <c r="CN403" i="1" s="1"/>
  <c r="CO403" i="1" a="1"/>
  <c r="CO403" i="1" s="1"/>
  <c r="CP403" i="1" a="1"/>
  <c r="CP403" i="1" s="1"/>
  <c r="CN404" i="1" a="1"/>
  <c r="CN404" i="1" s="1"/>
  <c r="CO404" i="1" a="1"/>
  <c r="CO404" i="1" s="1"/>
  <c r="CP404" i="1" a="1"/>
  <c r="CP404" i="1" s="1"/>
  <c r="CN405" i="1" a="1"/>
  <c r="CN405" i="1" s="1"/>
  <c r="CO405" i="1" a="1"/>
  <c r="CO405" i="1" s="1"/>
  <c r="CP405" i="1" a="1"/>
  <c r="CP405" i="1" s="1"/>
  <c r="CN406" i="1" a="1"/>
  <c r="CN406" i="1" s="1"/>
  <c r="CO406" i="1" a="1"/>
  <c r="CO406" i="1" s="1"/>
  <c r="CP406" i="1" a="1"/>
  <c r="CP406" i="1" s="1"/>
  <c r="CN407" i="1" a="1"/>
  <c r="CN407" i="1" s="1"/>
  <c r="CO407" i="1" a="1"/>
  <c r="CO407" i="1" s="1"/>
  <c r="CP407" i="1" a="1"/>
  <c r="CP407" i="1" s="1"/>
  <c r="CN408" i="1" a="1"/>
  <c r="CN408" i="1" s="1"/>
  <c r="CO408" i="1" a="1"/>
  <c r="CO408" i="1" s="1"/>
  <c r="CP408" i="1" a="1"/>
  <c r="CP408" i="1" s="1"/>
  <c r="CN409" i="1" a="1"/>
  <c r="CN409" i="1" s="1"/>
  <c r="CO409" i="1" a="1"/>
  <c r="CO409" i="1" s="1"/>
  <c r="CP409" i="1" a="1"/>
  <c r="CP409" i="1" s="1"/>
  <c r="CN410" i="1" a="1"/>
  <c r="CN410" i="1" s="1"/>
  <c r="CO410" i="1" a="1"/>
  <c r="CO410" i="1" s="1"/>
  <c r="CP410" i="1" a="1"/>
  <c r="CP410" i="1" s="1"/>
  <c r="CN411" i="1" a="1"/>
  <c r="CN411" i="1" s="1"/>
  <c r="CO411" i="1" a="1"/>
  <c r="CO411" i="1" s="1"/>
  <c r="CP411" i="1" a="1"/>
  <c r="CP411" i="1" s="1"/>
  <c r="CN412" i="1" a="1"/>
  <c r="CN412" i="1" s="1"/>
  <c r="CO412" i="1" a="1"/>
  <c r="CO412" i="1" s="1"/>
  <c r="CP412" i="1" a="1"/>
  <c r="CP412" i="1" s="1"/>
  <c r="CN413" i="1" a="1"/>
  <c r="CN413" i="1" s="1"/>
  <c r="CO413" i="1" a="1"/>
  <c r="CO413" i="1" s="1"/>
  <c r="CP413" i="1" a="1"/>
  <c r="CP413" i="1" s="1"/>
  <c r="CN414" i="1" a="1"/>
  <c r="CN414" i="1" s="1"/>
  <c r="CO414" i="1" a="1"/>
  <c r="CO414" i="1" s="1"/>
  <c r="CP414" i="1" a="1"/>
  <c r="CP414" i="1" s="1"/>
  <c r="CN415" i="1" a="1"/>
  <c r="CN415" i="1" s="1"/>
  <c r="CO415" i="1" a="1"/>
  <c r="CO415" i="1" s="1"/>
  <c r="CP415" i="1" a="1"/>
  <c r="CP415" i="1" s="1"/>
  <c r="CN416" i="1" a="1"/>
  <c r="CN416" i="1" s="1"/>
  <c r="CO416" i="1" a="1"/>
  <c r="CO416" i="1" s="1"/>
  <c r="CP416" i="1" a="1"/>
  <c r="CP416" i="1" s="1"/>
  <c r="CN417" i="1" a="1"/>
  <c r="CN417" i="1" s="1"/>
  <c r="CO417" i="1" a="1"/>
  <c r="CO417" i="1" s="1"/>
  <c r="CP417" i="1" a="1"/>
  <c r="CP417" i="1" s="1"/>
  <c r="CN418" i="1" a="1"/>
  <c r="CN418" i="1" s="1"/>
  <c r="CO418" i="1" a="1"/>
  <c r="CO418" i="1" s="1"/>
  <c r="CP418" i="1" a="1"/>
  <c r="CP418" i="1" s="1"/>
  <c r="CN419" i="1" a="1"/>
  <c r="CN419" i="1" s="1"/>
  <c r="CO419" i="1" a="1"/>
  <c r="CO419" i="1" s="1"/>
  <c r="CP419" i="1" a="1"/>
  <c r="CP419" i="1" s="1"/>
  <c r="CN420" i="1" a="1"/>
  <c r="CN420" i="1" s="1"/>
  <c r="CO420" i="1" a="1"/>
  <c r="CO420" i="1" s="1"/>
  <c r="CP420" i="1" a="1"/>
  <c r="CP420" i="1" s="1"/>
  <c r="CN421" i="1" a="1"/>
  <c r="CN421" i="1" s="1"/>
  <c r="CO421" i="1" a="1"/>
  <c r="CO421" i="1" s="1"/>
  <c r="CP421" i="1" a="1"/>
  <c r="CP421" i="1" s="1"/>
  <c r="CN422" i="1" a="1"/>
  <c r="CN422" i="1" s="1"/>
  <c r="CO422" i="1" a="1"/>
  <c r="CO422" i="1" s="1"/>
  <c r="CP422" i="1" a="1"/>
  <c r="CP422" i="1" s="1"/>
  <c r="CN423" i="1" a="1"/>
  <c r="CN423" i="1" s="1"/>
  <c r="CO423" i="1" a="1"/>
  <c r="CO423" i="1" s="1"/>
  <c r="CP423" i="1" a="1"/>
  <c r="CP423" i="1" s="1"/>
  <c r="CN424" i="1" a="1"/>
  <c r="CN424" i="1" s="1"/>
  <c r="CO424" i="1" a="1"/>
  <c r="CO424" i="1" s="1"/>
  <c r="CP424" i="1" a="1"/>
  <c r="CP424" i="1" s="1"/>
  <c r="CN425" i="1" a="1"/>
  <c r="CN425" i="1" s="1"/>
  <c r="CO425" i="1" a="1"/>
  <c r="CO425" i="1" s="1"/>
  <c r="CP425" i="1" a="1"/>
  <c r="CP425" i="1" s="1"/>
  <c r="CN426" i="1" a="1"/>
  <c r="CN426" i="1" s="1"/>
  <c r="CO426" i="1" a="1"/>
  <c r="CO426" i="1" s="1"/>
  <c r="CP426" i="1" a="1"/>
  <c r="CP426" i="1" s="1"/>
  <c r="CN427" i="1" a="1"/>
  <c r="CN427" i="1" s="1"/>
  <c r="CO427" i="1" a="1"/>
  <c r="CO427" i="1" s="1"/>
  <c r="CP427" i="1" a="1"/>
  <c r="CP427" i="1" s="1"/>
  <c r="CN428" i="1" a="1"/>
  <c r="CN428" i="1" s="1"/>
  <c r="CO428" i="1" a="1"/>
  <c r="CO428" i="1" s="1"/>
  <c r="CP428" i="1" a="1"/>
  <c r="CP428" i="1" s="1"/>
  <c r="CN429" i="1" a="1"/>
  <c r="CN429" i="1" s="1"/>
  <c r="CO429" i="1" a="1"/>
  <c r="CO429" i="1" s="1"/>
  <c r="CP429" i="1" a="1"/>
  <c r="CP429" i="1" s="1"/>
  <c r="CN430" i="1" a="1"/>
  <c r="CN430" i="1" s="1"/>
  <c r="CO430" i="1" a="1"/>
  <c r="CO430" i="1" s="1"/>
  <c r="CP430" i="1" a="1"/>
  <c r="CP430" i="1" s="1"/>
  <c r="CN431" i="1" a="1"/>
  <c r="CN431" i="1" s="1"/>
  <c r="CO431" i="1" a="1"/>
  <c r="CO431" i="1" s="1"/>
  <c r="CP431" i="1" a="1"/>
  <c r="CP431" i="1" s="1"/>
  <c r="CN432" i="1" a="1"/>
  <c r="CN432" i="1" s="1"/>
  <c r="CO432" i="1" a="1"/>
  <c r="CO432" i="1" s="1"/>
  <c r="CP432" i="1" a="1"/>
  <c r="CP432" i="1" s="1"/>
  <c r="CN433" i="1" a="1"/>
  <c r="CN433" i="1" s="1"/>
  <c r="CO433" i="1" a="1"/>
  <c r="CO433" i="1" s="1"/>
  <c r="CP433" i="1" a="1"/>
  <c r="CP433" i="1" s="1"/>
  <c r="CN434" i="1" a="1"/>
  <c r="CN434" i="1" s="1"/>
  <c r="CO434" i="1" a="1"/>
  <c r="CO434" i="1" s="1"/>
  <c r="CP434" i="1" a="1"/>
  <c r="CP434" i="1" s="1"/>
  <c r="CN435" i="1" a="1"/>
  <c r="CN435" i="1" s="1"/>
  <c r="CO435" i="1" a="1"/>
  <c r="CO435" i="1" s="1"/>
  <c r="CP435" i="1" a="1"/>
  <c r="CP435" i="1" s="1"/>
  <c r="CN436" i="1" a="1"/>
  <c r="CN436" i="1" s="1"/>
  <c r="CO436" i="1" a="1"/>
  <c r="CO436" i="1" s="1"/>
  <c r="CP436" i="1" a="1"/>
  <c r="CP436" i="1" s="1"/>
  <c r="CN437" i="1" a="1"/>
  <c r="CN437" i="1" s="1"/>
  <c r="CO437" i="1" a="1"/>
  <c r="CO437" i="1" s="1"/>
  <c r="CP437" i="1" a="1"/>
  <c r="CP437" i="1" s="1"/>
  <c r="CN438" i="1" a="1"/>
  <c r="CN438" i="1" s="1"/>
  <c r="CO438" i="1" a="1"/>
  <c r="CO438" i="1" s="1"/>
  <c r="CP438" i="1" a="1"/>
  <c r="CP438" i="1" s="1"/>
  <c r="CN439" i="1" a="1"/>
  <c r="CN439" i="1" s="1"/>
  <c r="CO439" i="1" a="1"/>
  <c r="CO439" i="1" s="1"/>
  <c r="CP439" i="1" a="1"/>
  <c r="CP439" i="1" s="1"/>
  <c r="CN440" i="1" a="1"/>
  <c r="CN440" i="1" s="1"/>
  <c r="CO440" i="1" a="1"/>
  <c r="CO440" i="1" s="1"/>
  <c r="CP440" i="1" a="1"/>
  <c r="CP440" i="1" s="1"/>
  <c r="CN441" i="1" a="1"/>
  <c r="CN441" i="1" s="1"/>
  <c r="CO441" i="1" a="1"/>
  <c r="CO441" i="1" s="1"/>
  <c r="CP441" i="1" a="1"/>
  <c r="CP441" i="1" s="1"/>
  <c r="CN442" i="1" a="1"/>
  <c r="CN442" i="1" s="1"/>
  <c r="CO442" i="1" a="1"/>
  <c r="CO442" i="1" s="1"/>
  <c r="CP442" i="1" a="1"/>
  <c r="CP442" i="1" s="1"/>
  <c r="CN443" i="1" a="1"/>
  <c r="CN443" i="1" s="1"/>
  <c r="CO443" i="1" a="1"/>
  <c r="CO443" i="1" s="1"/>
  <c r="CP443" i="1" a="1"/>
  <c r="CP443" i="1" s="1"/>
  <c r="CN444" i="1" a="1"/>
  <c r="CN444" i="1" s="1"/>
  <c r="CO444" i="1" a="1"/>
  <c r="CO444" i="1" s="1"/>
  <c r="CP444" i="1" a="1"/>
  <c r="CP444" i="1" s="1"/>
  <c r="CN445" i="1" a="1"/>
  <c r="CN445" i="1" s="1"/>
  <c r="CO445" i="1" a="1"/>
  <c r="CO445" i="1" s="1"/>
  <c r="CP445" i="1" a="1"/>
  <c r="CP445" i="1" s="1"/>
  <c r="DH445" i="1" a="1"/>
  <c r="DH445" i="1" s="1"/>
  <c r="CN446" i="1" a="1"/>
  <c r="CN446" i="1" s="1"/>
  <c r="CO446" i="1" a="1"/>
  <c r="CO446" i="1" s="1"/>
  <c r="CP446" i="1" a="1"/>
  <c r="CP446" i="1" s="1"/>
  <c r="DD446" i="1" a="1"/>
  <c r="DD446" i="1" s="1"/>
  <c r="CN447" i="1" a="1"/>
  <c r="CN447" i="1" s="1"/>
  <c r="CO447" i="1" a="1"/>
  <c r="CO447" i="1" s="1"/>
  <c r="CP447" i="1" a="1"/>
  <c r="CP447" i="1" s="1"/>
  <c r="CY447" i="1" a="1"/>
  <c r="CY447" i="1" s="1"/>
  <c r="CN448" i="1" a="1"/>
  <c r="CN448" i="1" s="1"/>
  <c r="CO448" i="1" a="1"/>
  <c r="CO448" i="1" s="1"/>
  <c r="CP448" i="1" a="1"/>
  <c r="CP448" i="1" s="1"/>
  <c r="CN449" i="1" a="1"/>
  <c r="CN449" i="1" s="1"/>
  <c r="CO449" i="1" a="1"/>
  <c r="CO449" i="1" s="1"/>
  <c r="CP449" i="1" a="1"/>
  <c r="CP449" i="1" s="1"/>
  <c r="CN450" i="1" a="1"/>
  <c r="CN450" i="1" s="1"/>
  <c r="CO450" i="1" a="1"/>
  <c r="CO450" i="1" s="1"/>
  <c r="CP450" i="1" a="1"/>
  <c r="CP450" i="1" s="1"/>
  <c r="CN451" i="1" a="1"/>
  <c r="CN451" i="1" s="1"/>
  <c r="CO451" i="1" a="1"/>
  <c r="CO451" i="1" s="1"/>
  <c r="CP451" i="1" a="1"/>
  <c r="CP451" i="1" s="1"/>
  <c r="CN452" i="1" a="1"/>
  <c r="CN452" i="1" s="1"/>
  <c r="CO452" i="1" a="1"/>
  <c r="CO452" i="1" s="1"/>
  <c r="CP452" i="1" a="1"/>
  <c r="CP452" i="1" s="1"/>
  <c r="CN453" i="1" a="1"/>
  <c r="CN453" i="1" s="1"/>
  <c r="CO453" i="1" a="1"/>
  <c r="CO453" i="1" s="1"/>
  <c r="CP453" i="1" a="1"/>
  <c r="CP453" i="1" s="1"/>
  <c r="CN454" i="1" a="1"/>
  <c r="CN454" i="1" s="1"/>
  <c r="CO454" i="1" a="1"/>
  <c r="CO454" i="1" s="1"/>
  <c r="CP454" i="1" a="1"/>
  <c r="CP454" i="1" s="1"/>
  <c r="CN455" i="1" a="1"/>
  <c r="CN455" i="1" s="1"/>
  <c r="CO455" i="1" a="1"/>
  <c r="CO455" i="1" s="1"/>
  <c r="CP455" i="1" a="1"/>
  <c r="CP455" i="1" s="1"/>
  <c r="CN456" i="1" a="1"/>
  <c r="CN456" i="1" s="1"/>
  <c r="CO456" i="1" a="1"/>
  <c r="CO456" i="1" s="1"/>
  <c r="CP456" i="1" a="1"/>
  <c r="CP456" i="1" s="1"/>
  <c r="CN457" i="1" a="1"/>
  <c r="CN457" i="1" s="1"/>
  <c r="CO457" i="1" a="1"/>
  <c r="CO457" i="1" s="1"/>
  <c r="CP457" i="1" a="1"/>
  <c r="CP457" i="1" s="1"/>
  <c r="CN458" i="1" a="1"/>
  <c r="CN458" i="1" s="1"/>
  <c r="CO458" i="1" a="1"/>
  <c r="CO458" i="1" s="1"/>
  <c r="CP458" i="1" a="1"/>
  <c r="CP458" i="1" s="1"/>
  <c r="CN459" i="1" a="1"/>
  <c r="CN459" i="1" s="1"/>
  <c r="CO459" i="1" a="1"/>
  <c r="CO459" i="1" s="1"/>
  <c r="CP459" i="1" a="1"/>
  <c r="CP459" i="1" s="1"/>
  <c r="CN460" i="1" a="1"/>
  <c r="CN460" i="1" s="1"/>
  <c r="CO460" i="1" a="1"/>
  <c r="CO460" i="1" s="1"/>
  <c r="CP460" i="1" a="1"/>
  <c r="CP460" i="1" s="1"/>
  <c r="CN461" i="1" a="1"/>
  <c r="CN461" i="1" s="1"/>
  <c r="CO461" i="1" a="1"/>
  <c r="CO461" i="1" s="1"/>
  <c r="CP461" i="1" a="1"/>
  <c r="CP461" i="1" s="1"/>
  <c r="CN462" i="1" a="1"/>
  <c r="CN462" i="1" s="1"/>
  <c r="CO462" i="1" a="1"/>
  <c r="CO462" i="1" s="1"/>
  <c r="CP462" i="1" a="1"/>
  <c r="CP462" i="1" s="1"/>
  <c r="CN463" i="1" a="1"/>
  <c r="CN463" i="1" s="1"/>
  <c r="CO463" i="1" a="1"/>
  <c r="CO463" i="1" s="1"/>
  <c r="CP463" i="1" a="1"/>
  <c r="CP463" i="1" s="1"/>
  <c r="CN464" i="1" a="1"/>
  <c r="CN464" i="1" s="1"/>
  <c r="CO464" i="1" a="1"/>
  <c r="CO464" i="1" s="1"/>
  <c r="CP464" i="1" a="1"/>
  <c r="CP464" i="1" s="1"/>
  <c r="CN465" i="1" a="1"/>
  <c r="CN465" i="1" s="1"/>
  <c r="CO465" i="1" a="1"/>
  <c r="CO465" i="1" s="1"/>
  <c r="CP465" i="1" a="1"/>
  <c r="CP465" i="1" s="1"/>
  <c r="CN466" i="1" a="1"/>
  <c r="CN466" i="1" s="1"/>
  <c r="CO466" i="1" a="1"/>
  <c r="CO466" i="1" s="1"/>
  <c r="CP466" i="1" a="1"/>
  <c r="CP466" i="1" s="1"/>
  <c r="CN467" i="1" a="1"/>
  <c r="CN467" i="1" s="1"/>
  <c r="CO467" i="1" a="1"/>
  <c r="CO467" i="1" s="1"/>
  <c r="CP467" i="1" a="1"/>
  <c r="CP467" i="1" s="1"/>
  <c r="CN468" i="1" a="1"/>
  <c r="CN468" i="1" s="1"/>
  <c r="CO468" i="1" a="1"/>
  <c r="CO468" i="1" s="1"/>
  <c r="CP468" i="1" a="1"/>
  <c r="CP468" i="1" s="1"/>
  <c r="CN469" i="1" a="1"/>
  <c r="CN469" i="1" s="1"/>
  <c r="CO469" i="1" a="1"/>
  <c r="CO469" i="1" s="1"/>
  <c r="CP469" i="1" a="1"/>
  <c r="CP469" i="1" s="1"/>
  <c r="CN470" i="1" a="1"/>
  <c r="CN470" i="1" s="1"/>
  <c r="CO470" i="1" a="1"/>
  <c r="CO470" i="1" s="1"/>
  <c r="CP470" i="1" a="1"/>
  <c r="CP470" i="1" s="1"/>
  <c r="CN471" i="1" a="1"/>
  <c r="CN471" i="1" s="1"/>
  <c r="CO471" i="1" a="1"/>
  <c r="CO471" i="1" s="1"/>
  <c r="CP471" i="1" a="1"/>
  <c r="CP471" i="1" s="1"/>
  <c r="CN472" i="1" a="1"/>
  <c r="CN472" i="1" s="1"/>
  <c r="CO472" i="1" a="1"/>
  <c r="CO472" i="1" s="1"/>
  <c r="CP472" i="1" a="1"/>
  <c r="CP472" i="1" s="1"/>
  <c r="CN473" i="1" a="1"/>
  <c r="CN473" i="1" s="1"/>
  <c r="CO473" i="1" a="1"/>
  <c r="CO473" i="1" s="1"/>
  <c r="CP473" i="1" a="1"/>
  <c r="CP473" i="1" s="1"/>
  <c r="CN474" i="1" a="1"/>
  <c r="CN474" i="1" s="1"/>
  <c r="CO474" i="1" a="1"/>
  <c r="CO474" i="1" s="1"/>
  <c r="CP474" i="1" a="1"/>
  <c r="CP474" i="1" s="1"/>
  <c r="CN475" i="1" a="1"/>
  <c r="CN475" i="1" s="1"/>
  <c r="CO475" i="1" a="1"/>
  <c r="CO475" i="1" s="1"/>
  <c r="CP475" i="1" a="1"/>
  <c r="CP475" i="1" s="1"/>
  <c r="CN476" i="1" a="1"/>
  <c r="CN476" i="1" s="1"/>
  <c r="CO476" i="1" a="1"/>
  <c r="CO476" i="1" s="1"/>
  <c r="CP476" i="1" a="1"/>
  <c r="CP476" i="1" s="1"/>
  <c r="CN477" i="1" a="1"/>
  <c r="CN477" i="1" s="1"/>
  <c r="CO477" i="1" a="1"/>
  <c r="CO477" i="1" s="1"/>
  <c r="CP477" i="1" a="1"/>
  <c r="CP477" i="1" s="1"/>
  <c r="CN478" i="1" a="1"/>
  <c r="CN478" i="1" s="1"/>
  <c r="CO478" i="1" a="1"/>
  <c r="CO478" i="1" s="1"/>
  <c r="CP478" i="1" a="1"/>
  <c r="CP478" i="1" s="1"/>
  <c r="CN479" i="1" a="1"/>
  <c r="CN479" i="1" s="1"/>
  <c r="CO479" i="1" a="1"/>
  <c r="CO479" i="1" s="1"/>
  <c r="CP479" i="1" a="1"/>
  <c r="CP479" i="1" s="1"/>
  <c r="CN480" i="1" a="1"/>
  <c r="CN480" i="1" s="1"/>
  <c r="CO480" i="1" a="1"/>
  <c r="CO480" i="1" s="1"/>
  <c r="CP480" i="1" a="1"/>
  <c r="CP480" i="1" s="1"/>
  <c r="CN481" i="1" a="1"/>
  <c r="CN481" i="1" s="1"/>
  <c r="CO481" i="1" a="1"/>
  <c r="CO481" i="1" s="1"/>
  <c r="CP481" i="1" a="1"/>
  <c r="CP481" i="1" s="1"/>
  <c r="CN482" i="1" a="1"/>
  <c r="CN482" i="1" s="1"/>
  <c r="CO482" i="1" a="1"/>
  <c r="CO482" i="1" s="1"/>
  <c r="CP482" i="1" a="1"/>
  <c r="CP482" i="1" s="1"/>
  <c r="CN483" i="1" a="1"/>
  <c r="CN483" i="1" s="1"/>
  <c r="CO483" i="1" a="1"/>
  <c r="CO483" i="1" s="1"/>
  <c r="CP483" i="1" a="1"/>
  <c r="CP483" i="1" s="1"/>
  <c r="CN484" i="1" a="1"/>
  <c r="CN484" i="1" s="1"/>
  <c r="CO484" i="1" a="1"/>
  <c r="CO484" i="1" s="1"/>
  <c r="CP484" i="1" a="1"/>
  <c r="CP484" i="1" s="1"/>
  <c r="CN485" i="1" a="1"/>
  <c r="CN485" i="1" s="1"/>
  <c r="CO485" i="1" a="1"/>
  <c r="CO485" i="1" s="1"/>
  <c r="CP485" i="1" a="1"/>
  <c r="CP485" i="1" s="1"/>
  <c r="CN486" i="1" a="1"/>
  <c r="CN486" i="1" s="1"/>
  <c r="CO486" i="1" a="1"/>
  <c r="CO486" i="1" s="1"/>
  <c r="CP486" i="1" a="1"/>
  <c r="CP486" i="1" s="1"/>
  <c r="CN487" i="1" a="1"/>
  <c r="CN487" i="1" s="1"/>
  <c r="CO487" i="1" a="1"/>
  <c r="CO487" i="1" s="1"/>
  <c r="CP487" i="1" a="1"/>
  <c r="CP487" i="1" s="1"/>
  <c r="CN488" i="1" a="1"/>
  <c r="CN488" i="1" s="1"/>
  <c r="CO488" i="1" a="1"/>
  <c r="CO488" i="1" s="1"/>
  <c r="CP488" i="1" a="1"/>
  <c r="CP488" i="1" s="1"/>
  <c r="CN489" i="1" a="1"/>
  <c r="CN489" i="1" s="1"/>
  <c r="CO489" i="1" a="1"/>
  <c r="CO489" i="1" s="1"/>
  <c r="CP489" i="1" a="1"/>
  <c r="CP489" i="1" s="1"/>
  <c r="CN490" i="1" a="1"/>
  <c r="CN490" i="1" s="1"/>
  <c r="CO490" i="1" a="1"/>
  <c r="CO490" i="1" s="1"/>
  <c r="CP490" i="1" a="1"/>
  <c r="CP490" i="1" s="1"/>
  <c r="CN491" i="1" a="1"/>
  <c r="CN491" i="1" s="1"/>
  <c r="CO491" i="1" a="1"/>
  <c r="CO491" i="1" s="1"/>
  <c r="CP491" i="1" a="1"/>
  <c r="CP491" i="1" s="1"/>
  <c r="CN492" i="1" a="1"/>
  <c r="CN492" i="1" s="1"/>
  <c r="CO492" i="1" a="1"/>
  <c r="CO492" i="1" s="1"/>
  <c r="CP492" i="1" a="1"/>
  <c r="CP492" i="1" s="1"/>
  <c r="CN493" i="1" a="1"/>
  <c r="CN493" i="1" s="1"/>
  <c r="CO493" i="1" a="1"/>
  <c r="CO493" i="1" s="1"/>
  <c r="CP493" i="1" a="1"/>
  <c r="CP493" i="1" s="1"/>
  <c r="CN494" i="1" a="1"/>
  <c r="CN494" i="1" s="1"/>
  <c r="CO494" i="1" a="1"/>
  <c r="CO494" i="1" s="1"/>
  <c r="CP494" i="1" a="1"/>
  <c r="CP494" i="1" s="1"/>
  <c r="CN495" i="1" a="1"/>
  <c r="CN495" i="1" s="1"/>
  <c r="CO495" i="1" a="1"/>
  <c r="CO495" i="1" s="1"/>
  <c r="CP495" i="1" a="1"/>
  <c r="CP495" i="1" s="1"/>
  <c r="CN496" i="1" a="1"/>
  <c r="CN496" i="1" s="1"/>
  <c r="CO496" i="1" a="1"/>
  <c r="CO496" i="1" s="1"/>
  <c r="CP496" i="1" a="1"/>
  <c r="CP496" i="1" s="1"/>
  <c r="CN497" i="1" a="1"/>
  <c r="CN497" i="1" s="1"/>
  <c r="CO497" i="1" a="1"/>
  <c r="CO497" i="1" s="1"/>
  <c r="CP497" i="1" a="1"/>
  <c r="CP497" i="1" s="1"/>
  <c r="CN498" i="1" a="1"/>
  <c r="CN498" i="1" s="1"/>
  <c r="CO498" i="1" a="1"/>
  <c r="CO498" i="1" s="1"/>
  <c r="CP498" i="1" a="1"/>
  <c r="CP498" i="1" s="1"/>
  <c r="CN499" i="1" a="1"/>
  <c r="CN499" i="1" s="1"/>
  <c r="CO499" i="1" a="1"/>
  <c r="CO499" i="1" s="1"/>
  <c r="CP499" i="1" a="1"/>
  <c r="CP499" i="1" s="1"/>
  <c r="CN500" i="1" a="1"/>
  <c r="CN500" i="1" s="1"/>
  <c r="CO500" i="1" a="1"/>
  <c r="CO500" i="1" s="1"/>
  <c r="CP500" i="1" a="1"/>
  <c r="CP500" i="1" s="1"/>
  <c r="CN501" i="1" a="1"/>
  <c r="CN501" i="1" s="1"/>
  <c r="CO501" i="1" a="1"/>
  <c r="CO501" i="1" s="1"/>
  <c r="CP501" i="1" a="1"/>
  <c r="CP501" i="1" s="1"/>
  <c r="CN502" i="1" a="1"/>
  <c r="CN502" i="1" s="1"/>
  <c r="CO502" i="1" a="1"/>
  <c r="CO502" i="1" s="1"/>
  <c r="CP502" i="1" a="1"/>
  <c r="CP502" i="1" s="1"/>
  <c r="CN503" i="1" a="1"/>
  <c r="CN503" i="1" s="1"/>
  <c r="CO503" i="1" a="1"/>
  <c r="CO503" i="1" s="1"/>
  <c r="CP503" i="1" a="1"/>
  <c r="CP503" i="1" s="1"/>
  <c r="CN504" i="1" a="1"/>
  <c r="CN504" i="1" s="1"/>
  <c r="CO504" i="1" a="1"/>
  <c r="CO504" i="1" s="1"/>
  <c r="CP504" i="1" a="1"/>
  <c r="CP504" i="1" s="1"/>
  <c r="DM504" i="1" a="1"/>
  <c r="DM504" i="1" s="1"/>
  <c r="CN505" i="1" a="1"/>
  <c r="CN505" i="1" s="1"/>
  <c r="CO505" i="1" a="1"/>
  <c r="CO505" i="1" s="1"/>
  <c r="CP505" i="1" a="1"/>
  <c r="CP505" i="1" s="1"/>
  <c r="CS505" i="1" a="1"/>
  <c r="CS505" i="1" s="1"/>
  <c r="CN506" i="1" a="1"/>
  <c r="CN506" i="1" s="1"/>
  <c r="CO506" i="1" a="1"/>
  <c r="CO506" i="1" s="1"/>
  <c r="CP506" i="1" a="1"/>
  <c r="CP506" i="1" s="1"/>
  <c r="CN507" i="1" a="1"/>
  <c r="CN507" i="1" s="1"/>
  <c r="CO507" i="1" a="1"/>
  <c r="CO507" i="1" s="1"/>
  <c r="CP507" i="1" a="1"/>
  <c r="CP507" i="1" s="1"/>
  <c r="CN22" i="1" a="1"/>
  <c r="CN22" i="1" s="1"/>
  <c r="CO22" i="1" a="1"/>
  <c r="CO22" i="1" s="1"/>
  <c r="CP22" i="1" a="1"/>
  <c r="CP22" i="1" s="1"/>
  <c r="B4" i="2"/>
  <c r="E81" i="2"/>
  <c r="B81" i="2"/>
  <c r="E80" i="2"/>
  <c r="B80" i="2"/>
  <c r="E79" i="2"/>
  <c r="B79" i="2"/>
  <c r="E78" i="2"/>
  <c r="B78" i="2"/>
  <c r="E77" i="2"/>
  <c r="B77" i="2"/>
  <c r="E76" i="2"/>
  <c r="B76" i="2"/>
  <c r="E75" i="2"/>
  <c r="B75" i="2"/>
  <c r="E74" i="2"/>
  <c r="B74" i="2"/>
  <c r="E73" i="2"/>
  <c r="B73" i="2"/>
  <c r="E72" i="2"/>
  <c r="D72" i="2"/>
  <c r="F72" i="2" s="1"/>
  <c r="B72" i="2"/>
  <c r="E71" i="2"/>
  <c r="B71" i="2"/>
  <c r="E70" i="2"/>
  <c r="B70" i="2"/>
  <c r="E69" i="2"/>
  <c r="B69" i="2"/>
  <c r="E68" i="2"/>
  <c r="B68" i="2"/>
  <c r="E67" i="2"/>
  <c r="B67" i="2"/>
  <c r="E66" i="2"/>
  <c r="B66" i="2"/>
  <c r="E65" i="2"/>
  <c r="D65" i="2"/>
  <c r="F65" i="2" s="1"/>
  <c r="B65" i="2"/>
  <c r="E64" i="2"/>
  <c r="B64" i="2"/>
  <c r="E63" i="2"/>
  <c r="B63" i="2"/>
  <c r="E62" i="2"/>
  <c r="B62" i="2"/>
  <c r="E61" i="2"/>
  <c r="B61" i="2"/>
  <c r="E60" i="2"/>
  <c r="B60" i="2"/>
  <c r="E59" i="2"/>
  <c r="D59" i="2"/>
  <c r="B59" i="2"/>
  <c r="E58" i="2"/>
  <c r="B58" i="2"/>
  <c r="F57" i="2"/>
  <c r="E57" i="2"/>
  <c r="B57" i="2"/>
  <c r="E56" i="2"/>
  <c r="B56" i="2"/>
  <c r="E55" i="2"/>
  <c r="B55" i="2"/>
  <c r="E54" i="2"/>
  <c r="D54" i="2"/>
  <c r="B54" i="2"/>
  <c r="E53" i="2"/>
  <c r="B53" i="2"/>
  <c r="E52" i="2"/>
  <c r="D52" i="2"/>
  <c r="B52" i="2"/>
  <c r="E51" i="2"/>
  <c r="B51" i="2"/>
  <c r="E50" i="2"/>
  <c r="B50" i="2"/>
  <c r="E49" i="2"/>
  <c r="B49" i="2"/>
  <c r="E48" i="2"/>
  <c r="B48" i="2"/>
  <c r="E47" i="2"/>
  <c r="D47" i="2"/>
  <c r="B47" i="2"/>
  <c r="E46" i="2"/>
  <c r="B46" i="2"/>
  <c r="E45" i="2"/>
  <c r="B45" i="2"/>
  <c r="E44" i="2"/>
  <c r="B44" i="2"/>
  <c r="E43" i="2"/>
  <c r="B43" i="2"/>
  <c r="E42" i="2"/>
  <c r="D42" i="2"/>
  <c r="F42" i="2" s="1"/>
  <c r="B42" i="2"/>
  <c r="E41" i="2"/>
  <c r="B41" i="2"/>
  <c r="E40" i="2"/>
  <c r="D40" i="2"/>
  <c r="B40" i="2"/>
  <c r="E39" i="2"/>
  <c r="B39" i="2"/>
  <c r="E38" i="2"/>
  <c r="B38" i="2"/>
  <c r="E37" i="2"/>
  <c r="B37" i="2"/>
  <c r="E36" i="2"/>
  <c r="B36" i="2"/>
  <c r="E35" i="2"/>
  <c r="B35" i="2"/>
  <c r="E34" i="2"/>
  <c r="B34" i="2"/>
  <c r="E33" i="2"/>
  <c r="D33" i="2"/>
  <c r="F33" i="2" s="1"/>
  <c r="B33" i="2"/>
  <c r="E32" i="2"/>
  <c r="B32" i="2"/>
  <c r="E31" i="2"/>
  <c r="B31" i="2"/>
  <c r="E30" i="2"/>
  <c r="B30" i="2"/>
  <c r="E29" i="2"/>
  <c r="B29" i="2"/>
  <c r="E28" i="2"/>
  <c r="B28" i="2"/>
  <c r="B13" i="2"/>
  <c r="B12" i="2"/>
  <c r="B11" i="2"/>
  <c r="B10" i="2"/>
  <c r="G9" i="2"/>
  <c r="G10" i="2" s="1"/>
  <c r="B9" i="2"/>
  <c r="D8" i="2"/>
  <c r="B8" i="2"/>
  <c r="B7" i="2"/>
  <c r="B6" i="2"/>
  <c r="B5" i="2"/>
  <c r="A23" i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DO465" i="1" l="1" a="1"/>
  <c r="DO465" i="1" s="1"/>
  <c r="DK472" i="1" a="1"/>
  <c r="DK472" i="1" s="1"/>
  <c r="DG506" i="1" a="1"/>
  <c r="DG506" i="1" s="1"/>
  <c r="DC473" i="1" a="1"/>
  <c r="DC473" i="1" s="1"/>
  <c r="CY488" i="1" a="1"/>
  <c r="CY488" i="1" s="1"/>
  <c r="CU459" i="1" a="1"/>
  <c r="CU459" i="1" s="1"/>
  <c r="CQ466" i="1" a="1"/>
  <c r="CQ466" i="1" s="1"/>
  <c r="BK466" i="1" s="1"/>
  <c r="DH505" i="1" a="1"/>
  <c r="DH505" i="1" s="1"/>
  <c r="DD487" i="1" a="1"/>
  <c r="DD487" i="1" s="1"/>
  <c r="CV500" i="1" a="1"/>
  <c r="CV500" i="1" s="1"/>
  <c r="DI486" i="1" a="1"/>
  <c r="DI486" i="1" s="1"/>
  <c r="DE502" i="1" a="1"/>
  <c r="DE502" i="1" s="1"/>
  <c r="DA494" i="1" a="1"/>
  <c r="DA494" i="1" s="1"/>
  <c r="CW474" i="1" a="1"/>
  <c r="CW474" i="1" s="1"/>
  <c r="DE22" i="1" a="1"/>
  <c r="DE22" i="1" s="1"/>
  <c r="CW504" i="1" a="1"/>
  <c r="CW504" i="1" s="1"/>
  <c r="DA503" i="1" a="1"/>
  <c r="DA503" i="1" s="1"/>
  <c r="DJ501" i="1" a="1"/>
  <c r="DJ501" i="1" s="1"/>
  <c r="DC458" i="1" a="1"/>
  <c r="DC458" i="1" s="1"/>
  <c r="DH457" i="1" a="1"/>
  <c r="DH457" i="1" s="1"/>
  <c r="DO500" i="1" a="1"/>
  <c r="DO500" i="1" s="1"/>
  <c r="DA498" i="1" a="1"/>
  <c r="DA498" i="1" s="1"/>
  <c r="CQ497" i="1" a="1"/>
  <c r="CQ497" i="1" s="1"/>
  <c r="BK497" i="1" s="1"/>
  <c r="DO496" i="1" a="1"/>
  <c r="DO496" i="1" s="1"/>
  <c r="CW495" i="1" a="1"/>
  <c r="CW495" i="1" s="1"/>
  <c r="CY480" i="1" a="1"/>
  <c r="CY480" i="1" s="1"/>
  <c r="DD479" i="1" a="1"/>
  <c r="DD479" i="1" s="1"/>
  <c r="DI478" i="1" a="1"/>
  <c r="DI478" i="1" s="1"/>
  <c r="CY507" i="1" a="1"/>
  <c r="CY507" i="1" s="1"/>
  <c r="DN453" i="1" a="1"/>
  <c r="DN453" i="1" s="1"/>
  <c r="DN483" i="1" a="1"/>
  <c r="DN483" i="1" s="1"/>
  <c r="DN492" i="1" a="1"/>
  <c r="DN492" i="1" s="1"/>
  <c r="DN358" i="1" a="1"/>
  <c r="DN358" i="1" s="1"/>
  <c r="DN374" i="1" a="1"/>
  <c r="DN374" i="1" s="1"/>
  <c r="DN390" i="1" a="1"/>
  <c r="DN390" i="1" s="1"/>
  <c r="DN406" i="1" a="1"/>
  <c r="DN406" i="1" s="1"/>
  <c r="DN466" i="1" a="1"/>
  <c r="DN466" i="1" s="1"/>
  <c r="DN448" i="1" a="1"/>
  <c r="DN448" i="1" s="1"/>
  <c r="DN467" i="1" a="1"/>
  <c r="DN467" i="1" s="1"/>
  <c r="DN473" i="1" a="1"/>
  <c r="DN473" i="1" s="1"/>
  <c r="DN476" i="1" a="1"/>
  <c r="DN476" i="1" s="1"/>
  <c r="DJ481" i="1" a="1"/>
  <c r="DJ481" i="1" s="1"/>
  <c r="DJ493" i="1" a="1"/>
  <c r="DJ493" i="1" s="1"/>
  <c r="DJ448" i="1" a="1"/>
  <c r="DJ448" i="1" s="1"/>
  <c r="DJ467" i="1" a="1"/>
  <c r="DJ467" i="1" s="1"/>
  <c r="DJ473" i="1" a="1"/>
  <c r="DJ473" i="1" s="1"/>
  <c r="DJ462" i="1" a="1"/>
  <c r="DJ462" i="1" s="1"/>
  <c r="DJ468" i="1" a="1"/>
  <c r="DJ468" i="1" s="1"/>
  <c r="DJ477" i="1" a="1"/>
  <c r="DJ477" i="1" s="1"/>
  <c r="DJ488" i="1" a="1"/>
  <c r="DJ488" i="1" s="1"/>
  <c r="DJ491" i="1" a="1"/>
  <c r="DJ491" i="1" s="1"/>
  <c r="DJ497" i="1" a="1"/>
  <c r="DJ497" i="1" s="1"/>
  <c r="DF423" i="1" a="1"/>
  <c r="DF423" i="1" s="1"/>
  <c r="DF467" i="1" a="1"/>
  <c r="DF467" i="1" s="1"/>
  <c r="DF462" i="1" a="1"/>
  <c r="DF462" i="1" s="1"/>
  <c r="DF468" i="1" a="1"/>
  <c r="DF468" i="1" s="1"/>
  <c r="DF477" i="1" a="1"/>
  <c r="DF477" i="1" s="1"/>
  <c r="DF491" i="1" a="1"/>
  <c r="DF491" i="1" s="1"/>
  <c r="DF459" i="1" a="1"/>
  <c r="DF459" i="1" s="1"/>
  <c r="DF463" i="1" a="1"/>
  <c r="DF463" i="1" s="1"/>
  <c r="DF486" i="1" a="1"/>
  <c r="DF486" i="1" s="1"/>
  <c r="DF492" i="1" a="1"/>
  <c r="DF492" i="1" s="1"/>
  <c r="DB468" i="1" a="1"/>
  <c r="DB468" i="1" s="1"/>
  <c r="DB477" i="1" a="1"/>
  <c r="DB477" i="1" s="1"/>
  <c r="DB443" i="1" a="1"/>
  <c r="DB443" i="1" s="1"/>
  <c r="DB459" i="1" a="1"/>
  <c r="DB459" i="1" s="1"/>
  <c r="DB463" i="1" a="1"/>
  <c r="DB463" i="1" s="1"/>
  <c r="DB486" i="1" a="1"/>
  <c r="DB486" i="1" s="1"/>
  <c r="DB489" i="1" a="1"/>
  <c r="DB489" i="1" s="1"/>
  <c r="DB492" i="1" a="1"/>
  <c r="DB492" i="1" s="1"/>
  <c r="DB481" i="1" a="1"/>
  <c r="DB481" i="1" s="1"/>
  <c r="DB493" i="1" a="1"/>
  <c r="DB493" i="1" s="1"/>
  <c r="CX463" i="1" a="1"/>
  <c r="CX463" i="1" s="1"/>
  <c r="CX489" i="1" a="1"/>
  <c r="CX489" i="1" s="1"/>
  <c r="CX492" i="1" a="1"/>
  <c r="CX492" i="1" s="1"/>
  <c r="CX498" i="1" a="1"/>
  <c r="CX498" i="1" s="1"/>
  <c r="CX444" i="1" a="1"/>
  <c r="CX444" i="1" s="1"/>
  <c r="CX481" i="1" a="1"/>
  <c r="CX481" i="1" s="1"/>
  <c r="CX493" i="1" a="1"/>
  <c r="CX493" i="1" s="1"/>
  <c r="CX467" i="1" a="1"/>
  <c r="CX467" i="1" s="1"/>
  <c r="CT448" i="1" a="1"/>
  <c r="CT448" i="1" s="1"/>
  <c r="CT493" i="1" a="1"/>
  <c r="CT493" i="1" s="1"/>
  <c r="CT359" i="1" a="1"/>
  <c r="CT359" i="1" s="1"/>
  <c r="CT375" i="1" a="1"/>
  <c r="CT375" i="1" s="1"/>
  <c r="CT391" i="1" a="1"/>
  <c r="CT391" i="1" s="1"/>
  <c r="CT407" i="1" a="1"/>
  <c r="CT407" i="1" s="1"/>
  <c r="CT467" i="1" a="1"/>
  <c r="CT467" i="1" s="1"/>
  <c r="CT449" i="1" a="1"/>
  <c r="CT449" i="1" s="1"/>
  <c r="CT468" i="1" a="1"/>
  <c r="CT468" i="1" s="1"/>
  <c r="CT477" i="1" a="1"/>
  <c r="CT477" i="1" s="1"/>
  <c r="DO447" i="1" a="1"/>
  <c r="DO447" i="1" s="1"/>
  <c r="DO472" i="1" a="1"/>
  <c r="DO472" i="1" s="1"/>
  <c r="DO464" i="1" a="1"/>
  <c r="DO464" i="1" s="1"/>
  <c r="DO479" i="1" a="1"/>
  <c r="DO479" i="1" s="1"/>
  <c r="DO487" i="1" a="1"/>
  <c r="DO487" i="1" s="1"/>
  <c r="DO279" i="1" a="1"/>
  <c r="DO279" i="1" s="1"/>
  <c r="DO458" i="1" a="1"/>
  <c r="DO458" i="1" s="1"/>
  <c r="DO471" i="1" a="1"/>
  <c r="DO471" i="1" s="1"/>
  <c r="DO485" i="1" a="1"/>
  <c r="DO485" i="1" s="1"/>
  <c r="DK466" i="1" a="1"/>
  <c r="DK466" i="1" s="1"/>
  <c r="DK496" i="1" a="1"/>
  <c r="DK496" i="1" s="1"/>
  <c r="DK442" i="1" a="1"/>
  <c r="DK442" i="1" s="1"/>
  <c r="DK458" i="1" a="1"/>
  <c r="DK458" i="1" s="1"/>
  <c r="DK471" i="1" a="1"/>
  <c r="DK471" i="1" s="1"/>
  <c r="DK476" i="1" a="1"/>
  <c r="DK476" i="1" s="1"/>
  <c r="DK485" i="1" a="1"/>
  <c r="DK485" i="1" s="1"/>
  <c r="DK452" i="1" a="1"/>
  <c r="DK452" i="1" s="1"/>
  <c r="DK465" i="1" a="1"/>
  <c r="DK465" i="1" s="1"/>
  <c r="DK480" i="1" a="1"/>
  <c r="DK480" i="1" s="1"/>
  <c r="DG458" i="1" a="1"/>
  <c r="DG458" i="1" s="1"/>
  <c r="DG473" i="1" a="1"/>
  <c r="DG473" i="1" s="1"/>
  <c r="DG476" i="1" a="1"/>
  <c r="DG476" i="1" s="1"/>
  <c r="DG485" i="1" a="1"/>
  <c r="DG485" i="1" s="1"/>
  <c r="DG452" i="1" a="1"/>
  <c r="DG452" i="1" s="1"/>
  <c r="DG465" i="1" a="1"/>
  <c r="DG465" i="1" s="1"/>
  <c r="DG480" i="1" a="1"/>
  <c r="DG480" i="1" s="1"/>
  <c r="DG488" i="1" a="1"/>
  <c r="DG488" i="1" s="1"/>
  <c r="DG472" i="1" a="1"/>
  <c r="DG472" i="1" s="1"/>
  <c r="DG483" i="1" a="1"/>
  <c r="DG483" i="1" s="1"/>
  <c r="DC436" i="1" a="1"/>
  <c r="DC436" i="1" s="1"/>
  <c r="DC462" i="1" a="1"/>
  <c r="DC462" i="1" s="1"/>
  <c r="DC465" i="1" a="1"/>
  <c r="DC465" i="1" s="1"/>
  <c r="DC480" i="1" a="1"/>
  <c r="DC480" i="1" s="1"/>
  <c r="DC488" i="1" a="1"/>
  <c r="DC488" i="1" s="1"/>
  <c r="DC491" i="1" a="1"/>
  <c r="DC491" i="1" s="1"/>
  <c r="DC497" i="1" a="1"/>
  <c r="DC497" i="1" s="1"/>
  <c r="DC472" i="1" a="1"/>
  <c r="DC472" i="1" s="1"/>
  <c r="DC483" i="1" a="1"/>
  <c r="DC483" i="1" s="1"/>
  <c r="DC466" i="1" a="1"/>
  <c r="DC466" i="1" s="1"/>
  <c r="DC496" i="1" a="1"/>
  <c r="DC496" i="1" s="1"/>
  <c r="CY459" i="1" a="1"/>
  <c r="CY459" i="1" s="1"/>
  <c r="CY472" i="1" a="1"/>
  <c r="CY472" i="1" s="1"/>
  <c r="CY483" i="1" a="1"/>
  <c r="CY483" i="1" s="1"/>
  <c r="CY486" i="1" a="1"/>
  <c r="CY486" i="1" s="1"/>
  <c r="CY466" i="1" a="1"/>
  <c r="CY466" i="1" s="1"/>
  <c r="CY453" i="1" a="1"/>
  <c r="CY453" i="1" s="1"/>
  <c r="CY458" i="1" a="1"/>
  <c r="CY458" i="1" s="1"/>
  <c r="CY473" i="1" a="1"/>
  <c r="CY473" i="1" s="1"/>
  <c r="CY476" i="1" a="1"/>
  <c r="CY476" i="1" s="1"/>
  <c r="CY485" i="1" a="1"/>
  <c r="CY485" i="1" s="1"/>
  <c r="CU452" i="1" a="1"/>
  <c r="CU452" i="1" s="1"/>
  <c r="CU466" i="1" a="1"/>
  <c r="CU466" i="1" s="1"/>
  <c r="CU481" i="1" a="1"/>
  <c r="CU481" i="1" s="1"/>
  <c r="CU496" i="1" a="1"/>
  <c r="CU496" i="1" s="1"/>
  <c r="CU458" i="1" a="1"/>
  <c r="CU458" i="1" s="1"/>
  <c r="CU473" i="1" a="1"/>
  <c r="CU473" i="1" s="1"/>
  <c r="CU476" i="1" a="1"/>
  <c r="CU476" i="1" s="1"/>
  <c r="CU465" i="1" a="1"/>
  <c r="CU465" i="1" s="1"/>
  <c r="CU480" i="1" a="1"/>
  <c r="CU480" i="1" s="1"/>
  <c r="CU488" i="1" a="1"/>
  <c r="CU488" i="1" s="1"/>
  <c r="CU491" i="1" a="1"/>
  <c r="CU491" i="1" s="1"/>
  <c r="CU497" i="1" a="1"/>
  <c r="CU497" i="1" s="1"/>
  <c r="CQ458" i="1" a="1"/>
  <c r="CQ458" i="1" s="1"/>
  <c r="CQ473" i="1" a="1"/>
  <c r="CQ473" i="1" s="1"/>
  <c r="BK473" i="1" s="1"/>
  <c r="CQ476" i="1" a="1"/>
  <c r="CQ476" i="1" s="1"/>
  <c r="BK476" i="1" s="1"/>
  <c r="CQ465" i="1" a="1"/>
  <c r="CQ465" i="1" s="1"/>
  <c r="BK465" i="1" s="1"/>
  <c r="CQ480" i="1" a="1"/>
  <c r="CQ480" i="1" s="1"/>
  <c r="CQ488" i="1" a="1"/>
  <c r="CQ488" i="1" s="1"/>
  <c r="CQ491" i="1" a="1"/>
  <c r="CQ491" i="1" s="1"/>
  <c r="BK491" i="1" s="1"/>
  <c r="CQ280" i="1" a="1"/>
  <c r="CQ280" i="1" s="1"/>
  <c r="BK280" i="1" s="1"/>
  <c r="CQ427" i="1" a="1"/>
  <c r="CQ427" i="1" s="1"/>
  <c r="CQ459" i="1" a="1"/>
  <c r="CQ459" i="1" s="1"/>
  <c r="BK459" i="1" s="1"/>
  <c r="CQ472" i="1" a="1"/>
  <c r="CQ472" i="1" s="1"/>
  <c r="BK472" i="1" s="1"/>
  <c r="CQ483" i="1" a="1"/>
  <c r="CQ483" i="1" s="1"/>
  <c r="BK483" i="1" s="1"/>
  <c r="CQ486" i="1" a="1"/>
  <c r="CQ486" i="1" s="1"/>
  <c r="DL457" i="1" a="1"/>
  <c r="DL457" i="1" s="1"/>
  <c r="DL475" i="1" a="1"/>
  <c r="DL475" i="1" s="1"/>
  <c r="DL489" i="1" a="1"/>
  <c r="DL489" i="1" s="1"/>
  <c r="DL460" i="1" a="1"/>
  <c r="DL460" i="1" s="1"/>
  <c r="DL490" i="1" a="1"/>
  <c r="DL490" i="1" s="1"/>
  <c r="DL432" i="1" a="1"/>
  <c r="DL432" i="1" s="1"/>
  <c r="DL461" i="1" a="1"/>
  <c r="DL461" i="1" s="1"/>
  <c r="DL482" i="1" a="1"/>
  <c r="DL482" i="1" s="1"/>
  <c r="DH460" i="1" a="1"/>
  <c r="DH460" i="1" s="1"/>
  <c r="DH464" i="1" a="1"/>
  <c r="DH464" i="1" s="1"/>
  <c r="DH479" i="1" a="1"/>
  <c r="DH479" i="1" s="1"/>
  <c r="DH487" i="1" a="1"/>
  <c r="DH487" i="1" s="1"/>
  <c r="DH490" i="1" a="1"/>
  <c r="DH490" i="1" s="1"/>
  <c r="DH499" i="1" a="1"/>
  <c r="DH499" i="1" s="1"/>
  <c r="DH461" i="1" a="1"/>
  <c r="DH461" i="1" s="1"/>
  <c r="DH482" i="1" a="1"/>
  <c r="DH482" i="1" s="1"/>
  <c r="DH495" i="1" a="1"/>
  <c r="DH495" i="1" s="1"/>
  <c r="DD461" i="1" a="1"/>
  <c r="DD461" i="1" s="1"/>
  <c r="DD471" i="1" a="1"/>
  <c r="DD471" i="1" s="1"/>
  <c r="DD482" i="1" a="1"/>
  <c r="DD482" i="1" s="1"/>
  <c r="DD495" i="1" a="1"/>
  <c r="DD495" i="1" s="1"/>
  <c r="DD457" i="1" a="1"/>
  <c r="DD457" i="1" s="1"/>
  <c r="CZ457" i="1" a="1"/>
  <c r="CZ457" i="1" s="1"/>
  <c r="CZ451" i="1" a="1"/>
  <c r="CZ451" i="1" s="1"/>
  <c r="CZ460" i="1" a="1"/>
  <c r="CZ460" i="1" s="1"/>
  <c r="CZ479" i="1" a="1"/>
  <c r="CZ479" i="1" s="1"/>
  <c r="CZ487" i="1" a="1"/>
  <c r="CZ487" i="1" s="1"/>
  <c r="CZ490" i="1" a="1"/>
  <c r="CZ490" i="1" s="1"/>
  <c r="CZ499" i="1" a="1"/>
  <c r="CZ499" i="1" s="1"/>
  <c r="CV460" i="1" a="1"/>
  <c r="CV460" i="1" s="1"/>
  <c r="CV479" i="1" a="1"/>
  <c r="CV479" i="1" s="1"/>
  <c r="CV487" i="1" a="1"/>
  <c r="CV487" i="1" s="1"/>
  <c r="CV490" i="1" a="1"/>
  <c r="CV490" i="1" s="1"/>
  <c r="CV461" i="1" a="1"/>
  <c r="CV461" i="1" s="1"/>
  <c r="CR460" i="1" a="1"/>
  <c r="CR460" i="1" s="1"/>
  <c r="CR490" i="1" a="1"/>
  <c r="CR490" i="1" s="1"/>
  <c r="CR499" i="1" a="1"/>
  <c r="CR499" i="1" s="1"/>
  <c r="CR461" i="1" a="1"/>
  <c r="CR461" i="1" s="1"/>
  <c r="CR485" i="1" a="1"/>
  <c r="CR485" i="1" s="1"/>
  <c r="CR433" i="1" a="1"/>
  <c r="CR433" i="1" s="1"/>
  <c r="CR462" i="1" a="1"/>
  <c r="CR462" i="1" s="1"/>
  <c r="DM441" i="1" a="1"/>
  <c r="DM441" i="1" s="1"/>
  <c r="DM459" i="1" a="1"/>
  <c r="DM459" i="1" s="1"/>
  <c r="DM463" i="1" a="1"/>
  <c r="DM463" i="1" s="1"/>
  <c r="DM469" i="1" a="1"/>
  <c r="DM469" i="1" s="1"/>
  <c r="DM478" i="1" a="1"/>
  <c r="DM478" i="1" s="1"/>
  <c r="DM486" i="1" a="1"/>
  <c r="DM486" i="1" s="1"/>
  <c r="DM498" i="1" a="1"/>
  <c r="DM498" i="1" s="1"/>
  <c r="DM454" i="1" a="1"/>
  <c r="DM454" i="1" s="1"/>
  <c r="DM470" i="1" a="1"/>
  <c r="DM470" i="1" s="1"/>
  <c r="DM481" i="1" a="1"/>
  <c r="DM481" i="1" s="1"/>
  <c r="DM484" i="1" a="1"/>
  <c r="DM484" i="1" s="1"/>
  <c r="DM493" i="1" a="1"/>
  <c r="DM493" i="1" s="1"/>
  <c r="DM444" i="1" a="1"/>
  <c r="DM444" i="1" s="1"/>
  <c r="DM455" i="1" a="1"/>
  <c r="DM455" i="1" s="1"/>
  <c r="DM494" i="1" a="1"/>
  <c r="DM494" i="1" s="1"/>
  <c r="DI449" i="1" a="1"/>
  <c r="DI449" i="1" s="1"/>
  <c r="DI454" i="1" a="1"/>
  <c r="DI454" i="1" s="1"/>
  <c r="DI470" i="1" a="1"/>
  <c r="DI470" i="1" s="1"/>
  <c r="DI484" i="1" a="1"/>
  <c r="DI484" i="1" s="1"/>
  <c r="DI455" i="1" a="1"/>
  <c r="DI455" i="1" s="1"/>
  <c r="DI494" i="1" a="1"/>
  <c r="DI494" i="1" s="1"/>
  <c r="DI456" i="1" a="1"/>
  <c r="DI456" i="1" s="1"/>
  <c r="DI474" i="1" a="1"/>
  <c r="DI474" i="1" s="1"/>
  <c r="DE455" i="1" a="1"/>
  <c r="DE455" i="1" s="1"/>
  <c r="DE494" i="1" a="1"/>
  <c r="DE494" i="1" s="1"/>
  <c r="DE450" i="1" a="1"/>
  <c r="DE450" i="1" s="1"/>
  <c r="DE456" i="1" a="1"/>
  <c r="DE456" i="1" s="1"/>
  <c r="DE474" i="1" a="1"/>
  <c r="DE474" i="1" s="1"/>
  <c r="DE469" i="1" a="1"/>
  <c r="DE469" i="1" s="1"/>
  <c r="DE475" i="1" a="1"/>
  <c r="DE475" i="1" s="1"/>
  <c r="DE478" i="1" a="1"/>
  <c r="DE478" i="1" s="1"/>
  <c r="DE489" i="1" a="1"/>
  <c r="DE489" i="1" s="1"/>
  <c r="DE498" i="1" a="1"/>
  <c r="DE498" i="1" s="1"/>
  <c r="DA424" i="1" a="1"/>
  <c r="DA424" i="1" s="1"/>
  <c r="DA450" i="1" a="1"/>
  <c r="DA450" i="1" s="1"/>
  <c r="DA456" i="1" a="1"/>
  <c r="DA456" i="1" s="1"/>
  <c r="DA474" i="1" a="1"/>
  <c r="DA474" i="1" s="1"/>
  <c r="DA495" i="1" a="1"/>
  <c r="DA495" i="1" s="1"/>
  <c r="DA469" i="1" a="1"/>
  <c r="DA469" i="1" s="1"/>
  <c r="DA475" i="1" a="1"/>
  <c r="DA475" i="1" s="1"/>
  <c r="DA478" i="1" a="1"/>
  <c r="DA478" i="1" s="1"/>
  <c r="DA454" i="1" a="1"/>
  <c r="DA454" i="1" s="1"/>
  <c r="DA464" i="1" a="1"/>
  <c r="DA464" i="1" s="1"/>
  <c r="DA470" i="1" a="1"/>
  <c r="DA470" i="1" s="1"/>
  <c r="DA484" i="1" a="1"/>
  <c r="DA484" i="1" s="1"/>
  <c r="CW457" i="1" a="1"/>
  <c r="CW457" i="1" s="1"/>
  <c r="CW469" i="1" a="1"/>
  <c r="CW469" i="1" s="1"/>
  <c r="CW475" i="1" a="1"/>
  <c r="CW475" i="1" s="1"/>
  <c r="CW478" i="1" a="1"/>
  <c r="CW478" i="1" s="1"/>
  <c r="CW451" i="1" a="1"/>
  <c r="CW451" i="1" s="1"/>
  <c r="CW454" i="1" a="1"/>
  <c r="CW454" i="1" s="1"/>
  <c r="CW464" i="1" a="1"/>
  <c r="CW464" i="1" s="1"/>
  <c r="CW470" i="1" a="1"/>
  <c r="CW470" i="1" s="1"/>
  <c r="CW484" i="1" a="1"/>
  <c r="CW484" i="1" s="1"/>
  <c r="CW455" i="1" a="1"/>
  <c r="CW455" i="1" s="1"/>
  <c r="CW471" i="1" a="1"/>
  <c r="CW471" i="1" s="1"/>
  <c r="CW482" i="1" a="1"/>
  <c r="CW482" i="1" s="1"/>
  <c r="CW494" i="1" a="1"/>
  <c r="CW494" i="1" s="1"/>
  <c r="CS442" i="1" a="1"/>
  <c r="CS442" i="1" s="1"/>
  <c r="CS454" i="1" a="1"/>
  <c r="CS454" i="1" s="1"/>
  <c r="CS464" i="1" a="1"/>
  <c r="CS464" i="1" s="1"/>
  <c r="CS470" i="1" a="1"/>
  <c r="CS470" i="1" s="1"/>
  <c r="CS479" i="1" a="1"/>
  <c r="CS479" i="1" s="1"/>
  <c r="CS484" i="1" a="1"/>
  <c r="CS484" i="1" s="1"/>
  <c r="CS487" i="1" a="1"/>
  <c r="CS487" i="1" s="1"/>
  <c r="CS455" i="1" a="1"/>
  <c r="CS455" i="1" s="1"/>
  <c r="CS471" i="1" a="1"/>
  <c r="CS471" i="1" s="1"/>
  <c r="CS482" i="1" a="1"/>
  <c r="CS482" i="1" s="1"/>
  <c r="CS494" i="1" a="1"/>
  <c r="CS494" i="1" s="1"/>
  <c r="CS445" i="1" a="1"/>
  <c r="CS445" i="1" s="1"/>
  <c r="CS456" i="1" a="1"/>
  <c r="CS456" i="1" s="1"/>
  <c r="CS474" i="1" a="1"/>
  <c r="CS474" i="1" s="1"/>
  <c r="CS495" i="1" a="1"/>
  <c r="CS495" i="1" s="1"/>
  <c r="DA22" i="1" a="1"/>
  <c r="DA22" i="1" s="1"/>
  <c r="DK507" i="1" a="1"/>
  <c r="DK507" i="1" s="1"/>
  <c r="CU507" i="1" a="1"/>
  <c r="CU507" i="1" s="1"/>
  <c r="DC506" i="1" a="1"/>
  <c r="DC506" i="1" s="1"/>
  <c r="DD505" i="1" a="1"/>
  <c r="DD505" i="1" s="1"/>
  <c r="DI504" i="1" a="1"/>
  <c r="DI504" i="1" s="1"/>
  <c r="CS504" i="1" a="1"/>
  <c r="CS504" i="1" s="1"/>
  <c r="DM503" i="1" a="1"/>
  <c r="DM503" i="1" s="1"/>
  <c r="CW503" i="1" a="1"/>
  <c r="CW503" i="1" s="1"/>
  <c r="DA502" i="1" a="1"/>
  <c r="DA502" i="1" s="1"/>
  <c r="DF501" i="1" a="1"/>
  <c r="DF501" i="1" s="1"/>
  <c r="DK500" i="1" a="1"/>
  <c r="DK500" i="1" s="1"/>
  <c r="CR500" i="1" a="1"/>
  <c r="CR500" i="1" s="1"/>
  <c r="DL499" i="1" a="1"/>
  <c r="DL499" i="1" s="1"/>
  <c r="CT498" i="1" a="1"/>
  <c r="CT498" i="1" s="1"/>
  <c r="DN497" i="1" a="1"/>
  <c r="DN497" i="1" s="1"/>
  <c r="DG496" i="1" a="1"/>
  <c r="DG496" i="1" s="1"/>
  <c r="CT492" i="1" a="1"/>
  <c r="CT492" i="1" s="1"/>
  <c r="DN491" i="1" a="1"/>
  <c r="DN491" i="1" s="1"/>
  <c r="CU486" i="1" a="1"/>
  <c r="CU486" i="1" s="1"/>
  <c r="DC485" i="1" a="1"/>
  <c r="DC485" i="1" s="1"/>
  <c r="DE484" i="1" a="1"/>
  <c r="DE484" i="1" s="1"/>
  <c r="DK483" i="1" a="1"/>
  <c r="DK483" i="1" s="1"/>
  <c r="CT478" i="1" a="1"/>
  <c r="CT478" i="1" s="1"/>
  <c r="DN477" i="1" a="1"/>
  <c r="DN477" i="1" s="1"/>
  <c r="CU472" i="1" a="1"/>
  <c r="CU472" i="1" s="1"/>
  <c r="CZ471" i="1" a="1"/>
  <c r="CZ471" i="1" s="1"/>
  <c r="DE470" i="1" a="1"/>
  <c r="DE470" i="1" s="1"/>
  <c r="DI469" i="1" a="1"/>
  <c r="DI469" i="1" s="1"/>
  <c r="CY465" i="1" a="1"/>
  <c r="CY465" i="1" s="1"/>
  <c r="DD464" i="1" a="1"/>
  <c r="DD464" i="1" s="1"/>
  <c r="DI463" i="1" a="1"/>
  <c r="DI463" i="1" s="1"/>
  <c r="CS457" i="1" a="1"/>
  <c r="CS457" i="1" s="1"/>
  <c r="DM456" i="1" a="1"/>
  <c r="DM456" i="1" s="1"/>
  <c r="DE449" i="1" a="1"/>
  <c r="DE449" i="1" s="1"/>
  <c r="CW441" i="1" a="1"/>
  <c r="CW441" i="1" s="1"/>
  <c r="DA440" i="1" a="1"/>
  <c r="DA440" i="1" s="1"/>
  <c r="DD439" i="1" a="1"/>
  <c r="DD439" i="1" s="1"/>
  <c r="DC438" i="1" a="1"/>
  <c r="DC438" i="1" s="1"/>
  <c r="CT399" i="1" a="1"/>
  <c r="CT399" i="1" s="1"/>
  <c r="DN398" i="1" a="1"/>
  <c r="DN398" i="1" s="1"/>
  <c r="CT367" i="1" a="1"/>
  <c r="CT367" i="1" s="1"/>
  <c r="DN366" i="1" a="1"/>
  <c r="DN366" i="1" s="1"/>
  <c r="DM22" i="1" a="1"/>
  <c r="DM22" i="1" s="1"/>
  <c r="CW22" i="1" a="1"/>
  <c r="CW22" i="1" s="1"/>
  <c r="DG507" i="1" a="1"/>
  <c r="DG507" i="1" s="1"/>
  <c r="CQ507" i="1" a="1"/>
  <c r="CQ507" i="1" s="1"/>
  <c r="BK507" i="1" s="1"/>
  <c r="DO506" i="1" a="1"/>
  <c r="DO506" i="1" s="1"/>
  <c r="CV506" i="1" a="1"/>
  <c r="CV506" i="1" s="1"/>
  <c r="DA505" i="1" a="1"/>
  <c r="DA505" i="1" s="1"/>
  <c r="DE504" i="1" a="1"/>
  <c r="DE504" i="1" s="1"/>
  <c r="DI503" i="1" a="1"/>
  <c r="DI503" i="1" s="1"/>
  <c r="CS503" i="1" a="1"/>
  <c r="CS503" i="1" s="1"/>
  <c r="DM502" i="1" a="1"/>
  <c r="DM502" i="1" s="1"/>
  <c r="CW502" i="1" a="1"/>
  <c r="CW502" i="1" s="1"/>
  <c r="DB501" i="1" a="1"/>
  <c r="DB501" i="1" s="1"/>
  <c r="DD500" i="1" a="1"/>
  <c r="DD500" i="1" s="1"/>
  <c r="DD499" i="1" a="1"/>
  <c r="DD499" i="1" s="1"/>
  <c r="DF497" i="1" a="1"/>
  <c r="DF497" i="1" s="1"/>
  <c r="CY496" i="1" a="1"/>
  <c r="CY496" i="1" s="1"/>
  <c r="CY491" i="1" a="1"/>
  <c r="CY491" i="1" s="1"/>
  <c r="DD490" i="1" a="1"/>
  <c r="DD490" i="1" s="1"/>
  <c r="DI489" i="1" a="1"/>
  <c r="DI489" i="1" s="1"/>
  <c r="CU483" i="1" a="1"/>
  <c r="CU483" i="1" s="1"/>
  <c r="CZ482" i="1" a="1"/>
  <c r="CZ482" i="1" s="1"/>
  <c r="DF481" i="1" a="1"/>
  <c r="DF481" i="1" s="1"/>
  <c r="CX477" i="1" a="1"/>
  <c r="CX477" i="1" s="1"/>
  <c r="DC476" i="1" a="1"/>
  <c r="DC476" i="1" s="1"/>
  <c r="DH475" i="1" a="1"/>
  <c r="DH475" i="1" s="1"/>
  <c r="CS469" i="1" a="1"/>
  <c r="CS469" i="1" s="1"/>
  <c r="DN468" i="1" a="1"/>
  <c r="DN468" i="1" s="1"/>
  <c r="CT463" i="1" a="1"/>
  <c r="CT463" i="1" s="1"/>
  <c r="DN462" i="1" a="1"/>
  <c r="DN462" i="1" s="1"/>
  <c r="CW456" i="1" a="1"/>
  <c r="CW456" i="1" s="1"/>
  <c r="DA455" i="1" a="1"/>
  <c r="DA455" i="1" s="1"/>
  <c r="DE454" i="1" a="1"/>
  <c r="DE454" i="1" s="1"/>
  <c r="DC453" i="1" a="1"/>
  <c r="DC453" i="1" s="1"/>
  <c r="CQ452" i="1" a="1"/>
  <c r="CQ452" i="1" s="1"/>
  <c r="DO451" i="1" a="1"/>
  <c r="DO451" i="1" s="1"/>
  <c r="DI22" i="1" a="1"/>
  <c r="DI22" i="1" s="1"/>
  <c r="CS22" i="1" a="1"/>
  <c r="CS22" i="1" s="1"/>
  <c r="DC507" i="1" a="1"/>
  <c r="DC507" i="1" s="1"/>
  <c r="DK506" i="1" a="1"/>
  <c r="DK506" i="1" s="1"/>
  <c r="CR506" i="1" a="1"/>
  <c r="CR506" i="1" s="1"/>
  <c r="DL505" i="1" a="1"/>
  <c r="DL505" i="1" s="1"/>
  <c r="CW505" i="1" a="1"/>
  <c r="CW505" i="1" s="1"/>
  <c r="DA504" i="1" a="1"/>
  <c r="DA504" i="1" s="1"/>
  <c r="DE503" i="1" a="1"/>
  <c r="DE503" i="1" s="1"/>
  <c r="DI502" i="1" a="1"/>
  <c r="DI502" i="1" s="1"/>
  <c r="CS502" i="1" a="1"/>
  <c r="CS502" i="1" s="1"/>
  <c r="DM501" i="1" a="1"/>
  <c r="DM501" i="1" s="1"/>
  <c r="CX501" i="1" a="1"/>
  <c r="CX501" i="1" s="1"/>
  <c r="CZ500" i="1" a="1"/>
  <c r="CZ500" i="1" s="1"/>
  <c r="CV499" i="1" a="1"/>
  <c r="CV499" i="1" s="1"/>
  <c r="DI498" i="1" a="1"/>
  <c r="DI498" i="1" s="1"/>
  <c r="CY497" i="1" a="1"/>
  <c r="CY497" i="1" s="1"/>
  <c r="CQ496" i="1" a="1"/>
  <c r="CQ496" i="1" s="1"/>
  <c r="BK496" i="1" s="1"/>
  <c r="DO495" i="1" a="1"/>
  <c r="DO495" i="1" s="1"/>
  <c r="CT489" i="1" a="1"/>
  <c r="CT489" i="1" s="1"/>
  <c r="DN488" i="1" a="1"/>
  <c r="DN488" i="1" s="1"/>
  <c r="CQ481" i="1" a="1"/>
  <c r="CQ481" i="1" s="1"/>
  <c r="BK481" i="1" s="1"/>
  <c r="DO480" i="1" a="1"/>
  <c r="DO480" i="1" s="1"/>
  <c r="CS475" i="1" a="1"/>
  <c r="CS475" i="1" s="1"/>
  <c r="DM474" i="1" a="1"/>
  <c r="DM474" i="1" s="1"/>
  <c r="CX468" i="1" a="1"/>
  <c r="CX468" i="1" s="1"/>
  <c r="DB467" i="1" a="1"/>
  <c r="DB467" i="1" s="1"/>
  <c r="DG466" i="1" a="1"/>
  <c r="DG466" i="1" s="1"/>
  <c r="CY462" i="1" a="1"/>
  <c r="CY462" i="1" s="1"/>
  <c r="CZ461" i="1" a="1"/>
  <c r="CZ461" i="1" s="1"/>
  <c r="DD460" i="1" a="1"/>
  <c r="DD460" i="1" s="1"/>
  <c r="DI459" i="1" a="1"/>
  <c r="DI459" i="1" s="1"/>
  <c r="CT415" i="1" a="1"/>
  <c r="CT415" i="1" s="1"/>
  <c r="DN414" i="1" a="1"/>
  <c r="DN414" i="1" s="1"/>
  <c r="CT383" i="1" a="1"/>
  <c r="CT383" i="1" s="1"/>
  <c r="DN382" i="1" a="1"/>
  <c r="DN382" i="1" s="1"/>
  <c r="DM428" i="1" a="1"/>
  <c r="DM428" i="1" s="1"/>
  <c r="DM449" i="1" a="1"/>
  <c r="DM449" i="1" s="1"/>
  <c r="DM440" i="1" a="1"/>
  <c r="DM440" i="1" s="1"/>
  <c r="DM450" i="1" a="1"/>
  <c r="DM450" i="1" s="1"/>
  <c r="DI349" i="1" a="1"/>
  <c r="DI349" i="1" s="1"/>
  <c r="DI440" i="1" a="1"/>
  <c r="DI440" i="1" s="1"/>
  <c r="DI450" i="1" a="1"/>
  <c r="DI450" i="1" s="1"/>
  <c r="DI441" i="1" a="1"/>
  <c r="DI441" i="1" s="1"/>
  <c r="DE440" i="1" a="1"/>
  <c r="DE440" i="1" s="1"/>
  <c r="DE289" i="1" a="1"/>
  <c r="DE289" i="1" s="1"/>
  <c r="DE343" i="1" a="1"/>
  <c r="DE343" i="1" s="1"/>
  <c r="DE419" i="1" a="1"/>
  <c r="DE419" i="1" s="1"/>
  <c r="DE441" i="1" a="1"/>
  <c r="DE441" i="1" s="1"/>
  <c r="DE445" i="1" a="1"/>
  <c r="DE445" i="1" s="1"/>
  <c r="DA299" i="1" a="1"/>
  <c r="DA299" i="1" s="1"/>
  <c r="DA301" i="1" a="1"/>
  <c r="DA301" i="1" s="1"/>
  <c r="DA303" i="1" a="1"/>
  <c r="DA303" i="1" s="1"/>
  <c r="DA305" i="1" a="1"/>
  <c r="DA305" i="1" s="1"/>
  <c r="DA307" i="1" a="1"/>
  <c r="DA307" i="1" s="1"/>
  <c r="DA309" i="1" a="1"/>
  <c r="DA309" i="1" s="1"/>
  <c r="DA311" i="1" a="1"/>
  <c r="DA311" i="1" s="1"/>
  <c r="DA441" i="1" a="1"/>
  <c r="DA441" i="1" s="1"/>
  <c r="DA24" i="1" a="1"/>
  <c r="DA24" i="1" s="1"/>
  <c r="DA284" i="1" a="1"/>
  <c r="DA284" i="1" s="1"/>
  <c r="DA286" i="1" a="1"/>
  <c r="DA286" i="1" s="1"/>
  <c r="DA420" i="1" a="1"/>
  <c r="DA420" i="1" s="1"/>
  <c r="DA445" i="1" a="1"/>
  <c r="DA445" i="1" s="1"/>
  <c r="DA422" i="1" a="1"/>
  <c r="DA422" i="1" s="1"/>
  <c r="DA431" i="1" a="1"/>
  <c r="DA431" i="1" s="1"/>
  <c r="DA449" i="1" a="1"/>
  <c r="DA449" i="1" s="1"/>
  <c r="CW445" i="1" a="1"/>
  <c r="CW445" i="1" s="1"/>
  <c r="CW438" i="1" a="1"/>
  <c r="CW438" i="1" s="1"/>
  <c r="CW440" i="1" a="1"/>
  <c r="CW440" i="1" s="1"/>
  <c r="CW450" i="1" a="1"/>
  <c r="CW450" i="1" s="1"/>
  <c r="CS352" i="1" a="1"/>
  <c r="CS352" i="1" s="1"/>
  <c r="CS450" i="1" a="1"/>
  <c r="CS450" i="1" s="1"/>
  <c r="CS441" i="1" a="1"/>
  <c r="CS441" i="1" s="1"/>
  <c r="CS451" i="1" a="1"/>
  <c r="CS451" i="1" s="1"/>
  <c r="DN354" i="1" a="1"/>
  <c r="DN354" i="1" s="1"/>
  <c r="DN362" i="1" a="1"/>
  <c r="DN362" i="1" s="1"/>
  <c r="DN370" i="1" a="1"/>
  <c r="DN370" i="1" s="1"/>
  <c r="DN378" i="1" a="1"/>
  <c r="DN378" i="1" s="1"/>
  <c r="DN386" i="1" a="1"/>
  <c r="DN386" i="1" s="1"/>
  <c r="DN394" i="1" a="1"/>
  <c r="DN394" i="1" s="1"/>
  <c r="DN402" i="1" a="1"/>
  <c r="DN402" i="1" s="1"/>
  <c r="DN410" i="1" a="1"/>
  <c r="DN410" i="1" s="1"/>
  <c r="DN418" i="1" a="1"/>
  <c r="DN418" i="1" s="1"/>
  <c r="DN434" i="1" a="1"/>
  <c r="DN434" i="1" s="1"/>
  <c r="DN439" i="1" a="1"/>
  <c r="DN439" i="1" s="1"/>
  <c r="DN254" i="1" a="1"/>
  <c r="DN254" i="1" s="1"/>
  <c r="DN443" i="1" a="1"/>
  <c r="DN443" i="1" s="1"/>
  <c r="DJ359" i="1" a="1"/>
  <c r="DJ359" i="1" s="1"/>
  <c r="DJ367" i="1" a="1"/>
  <c r="DJ367" i="1" s="1"/>
  <c r="DJ375" i="1" a="1"/>
  <c r="DJ375" i="1" s="1"/>
  <c r="DJ383" i="1" a="1"/>
  <c r="DJ383" i="1" s="1"/>
  <c r="DJ391" i="1" a="1"/>
  <c r="DJ391" i="1" s="1"/>
  <c r="DJ399" i="1" a="1"/>
  <c r="DJ399" i="1" s="1"/>
  <c r="DJ407" i="1" a="1"/>
  <c r="DJ407" i="1" s="1"/>
  <c r="DJ415" i="1" a="1"/>
  <c r="DJ415" i="1" s="1"/>
  <c r="DJ436" i="1" a="1"/>
  <c r="DJ436" i="1" s="1"/>
  <c r="DJ439" i="1" a="1"/>
  <c r="DJ439" i="1" s="1"/>
  <c r="DJ291" i="1" a="1"/>
  <c r="DJ291" i="1" s="1"/>
  <c r="DJ443" i="1" a="1"/>
  <c r="DJ443" i="1" s="1"/>
  <c r="DJ355" i="1" a="1"/>
  <c r="DJ355" i="1" s="1"/>
  <c r="DJ363" i="1" a="1"/>
  <c r="DJ363" i="1" s="1"/>
  <c r="DJ371" i="1" a="1"/>
  <c r="DJ371" i="1" s="1"/>
  <c r="DJ379" i="1" a="1"/>
  <c r="DJ379" i="1" s="1"/>
  <c r="DJ387" i="1" a="1"/>
  <c r="DJ387" i="1" s="1"/>
  <c r="DJ395" i="1" a="1"/>
  <c r="DJ395" i="1" s="1"/>
  <c r="DJ403" i="1" a="1"/>
  <c r="DJ403" i="1" s="1"/>
  <c r="DJ411" i="1" a="1"/>
  <c r="DJ411" i="1" s="1"/>
  <c r="DJ435" i="1" a="1"/>
  <c r="DJ435" i="1" s="1"/>
  <c r="DJ444" i="1" a="1"/>
  <c r="DJ444" i="1" s="1"/>
  <c r="DJ453" i="1" a="1"/>
  <c r="DJ453" i="1" s="1"/>
  <c r="DF360" i="1" a="1"/>
  <c r="DF360" i="1" s="1"/>
  <c r="DF368" i="1" a="1"/>
  <c r="DF368" i="1" s="1"/>
  <c r="DF376" i="1" a="1"/>
  <c r="DF376" i="1" s="1"/>
  <c r="DF384" i="1" a="1"/>
  <c r="DF384" i="1" s="1"/>
  <c r="DF392" i="1" a="1"/>
  <c r="DF392" i="1" s="1"/>
  <c r="DF400" i="1" a="1"/>
  <c r="DF400" i="1" s="1"/>
  <c r="DF408" i="1" a="1"/>
  <c r="DF408" i="1" s="1"/>
  <c r="DF416" i="1" a="1"/>
  <c r="DF416" i="1" s="1"/>
  <c r="DF425" i="1" a="1"/>
  <c r="DF425" i="1" s="1"/>
  <c r="DF443" i="1" a="1"/>
  <c r="DF443" i="1" s="1"/>
  <c r="DF444" i="1" a="1"/>
  <c r="DF444" i="1" s="1"/>
  <c r="DF356" i="1" a="1"/>
  <c r="DF356" i="1" s="1"/>
  <c r="DF364" i="1" a="1"/>
  <c r="DF364" i="1" s="1"/>
  <c r="DF372" i="1" a="1"/>
  <c r="DF372" i="1" s="1"/>
  <c r="DF380" i="1" a="1"/>
  <c r="DF380" i="1" s="1"/>
  <c r="DF388" i="1" a="1"/>
  <c r="DF388" i="1" s="1"/>
  <c r="DF396" i="1" a="1"/>
  <c r="DF396" i="1" s="1"/>
  <c r="DF404" i="1" a="1"/>
  <c r="DF404" i="1" s="1"/>
  <c r="DF412" i="1" a="1"/>
  <c r="DF412" i="1" s="1"/>
  <c r="DF421" i="1" a="1"/>
  <c r="DF421" i="1" s="1"/>
  <c r="DF448" i="1" a="1"/>
  <c r="DF448" i="1" s="1"/>
  <c r="DB353" i="1" a="1"/>
  <c r="DB353" i="1" s="1"/>
  <c r="DB361" i="1" a="1"/>
  <c r="DB361" i="1" s="1"/>
  <c r="DB369" i="1" a="1"/>
  <c r="DB369" i="1" s="1"/>
  <c r="DB377" i="1" a="1"/>
  <c r="DB377" i="1" s="1"/>
  <c r="DB385" i="1" a="1"/>
  <c r="DB385" i="1" s="1"/>
  <c r="DB393" i="1" a="1"/>
  <c r="DB393" i="1" s="1"/>
  <c r="DB401" i="1" a="1"/>
  <c r="DB401" i="1" s="1"/>
  <c r="DB409" i="1" a="1"/>
  <c r="DB409" i="1" s="1"/>
  <c r="DB417" i="1" a="1"/>
  <c r="DB417" i="1" s="1"/>
  <c r="DB444" i="1" a="1"/>
  <c r="DB444" i="1" s="1"/>
  <c r="DB288" i="1" a="1"/>
  <c r="DB288" i="1" s="1"/>
  <c r="DB448" i="1" a="1"/>
  <c r="DB448" i="1" s="1"/>
  <c r="DB357" i="1" a="1"/>
  <c r="DB357" i="1" s="1"/>
  <c r="DB365" i="1" a="1"/>
  <c r="DB365" i="1" s="1"/>
  <c r="DB373" i="1" a="1"/>
  <c r="DB373" i="1" s="1"/>
  <c r="DB381" i="1" a="1"/>
  <c r="DB381" i="1" s="1"/>
  <c r="DB389" i="1" a="1"/>
  <c r="DB389" i="1" s="1"/>
  <c r="DB397" i="1" a="1"/>
  <c r="DB397" i="1" s="1"/>
  <c r="DB405" i="1" a="1"/>
  <c r="DB405" i="1" s="1"/>
  <c r="DB413" i="1" a="1"/>
  <c r="DB413" i="1" s="1"/>
  <c r="CX354" i="1" a="1"/>
  <c r="CX354" i="1" s="1"/>
  <c r="CX362" i="1" a="1"/>
  <c r="CX362" i="1" s="1"/>
  <c r="CX370" i="1" a="1"/>
  <c r="CX370" i="1" s="1"/>
  <c r="CX378" i="1" a="1"/>
  <c r="CX378" i="1" s="1"/>
  <c r="CX386" i="1" a="1"/>
  <c r="CX386" i="1" s="1"/>
  <c r="CX394" i="1" a="1"/>
  <c r="CX394" i="1" s="1"/>
  <c r="CX402" i="1" a="1"/>
  <c r="CX402" i="1" s="1"/>
  <c r="CX410" i="1" a="1"/>
  <c r="CX410" i="1" s="1"/>
  <c r="CX418" i="1" a="1"/>
  <c r="CX418" i="1" s="1"/>
  <c r="CX448" i="1" a="1"/>
  <c r="CX448" i="1" s="1"/>
  <c r="CX449" i="1" a="1"/>
  <c r="CX449" i="1" s="1"/>
  <c r="CX358" i="1" a="1"/>
  <c r="CX358" i="1" s="1"/>
  <c r="CX366" i="1" a="1"/>
  <c r="CX366" i="1" s="1"/>
  <c r="CX374" i="1" a="1"/>
  <c r="CX374" i="1" s="1"/>
  <c r="CX382" i="1" a="1"/>
  <c r="CX382" i="1" s="1"/>
  <c r="CX390" i="1" a="1"/>
  <c r="CX390" i="1" s="1"/>
  <c r="CX398" i="1" a="1"/>
  <c r="CX398" i="1" s="1"/>
  <c r="CX406" i="1" a="1"/>
  <c r="CX406" i="1" s="1"/>
  <c r="CX414" i="1" a="1"/>
  <c r="CX414" i="1" s="1"/>
  <c r="CT355" i="1" a="1"/>
  <c r="CT355" i="1" s="1"/>
  <c r="CT363" i="1" a="1"/>
  <c r="CT363" i="1" s="1"/>
  <c r="CT371" i="1" a="1"/>
  <c r="CT371" i="1" s="1"/>
  <c r="CT379" i="1" a="1"/>
  <c r="CT379" i="1" s="1"/>
  <c r="CT387" i="1" a="1"/>
  <c r="CT387" i="1" s="1"/>
  <c r="CT395" i="1" a="1"/>
  <c r="CT395" i="1" s="1"/>
  <c r="CT403" i="1" a="1"/>
  <c r="CT403" i="1" s="1"/>
  <c r="CT411" i="1" a="1"/>
  <c r="CT411" i="1" s="1"/>
  <c r="CT435" i="1" a="1"/>
  <c r="CT435" i="1" s="1"/>
  <c r="CT439" i="1" a="1"/>
  <c r="CT439" i="1" s="1"/>
  <c r="CT440" i="1" a="1"/>
  <c r="CT440" i="1" s="1"/>
  <c r="CT444" i="1" a="1"/>
  <c r="CT444" i="1" s="1"/>
  <c r="DO424" i="1" a="1"/>
  <c r="DO424" i="1" s="1"/>
  <c r="DO442" i="1" a="1"/>
  <c r="DO442" i="1" s="1"/>
  <c r="DO446" i="1" a="1"/>
  <c r="DO446" i="1" s="1"/>
  <c r="DO452" i="1" a="1"/>
  <c r="DO452" i="1" s="1"/>
  <c r="DO420" i="1" a="1"/>
  <c r="DO420" i="1" s="1"/>
  <c r="DK430" i="1" a="1"/>
  <c r="DK430" i="1" s="1"/>
  <c r="DK447" i="1" a="1"/>
  <c r="DK447" i="1" s="1"/>
  <c r="DK451" i="1" a="1"/>
  <c r="DK451" i="1" s="1"/>
  <c r="DG427" i="1" a="1"/>
  <c r="DG427" i="1" s="1"/>
  <c r="DG433" i="1" a="1"/>
  <c r="DG433" i="1" s="1"/>
  <c r="DG447" i="1" a="1"/>
  <c r="DG447" i="1" s="1"/>
  <c r="DG453" i="1" a="1"/>
  <c r="DG453" i="1" s="1"/>
  <c r="DG442" i="1" a="1"/>
  <c r="DG442" i="1" s="1"/>
  <c r="DC330" i="1" a="1"/>
  <c r="DC330" i="1" s="1"/>
  <c r="DC447" i="1" a="1"/>
  <c r="DC447" i="1" s="1"/>
  <c r="DC452" i="1" a="1"/>
  <c r="DC452" i="1" s="1"/>
  <c r="CY428" i="1" a="1"/>
  <c r="CY428" i="1" s="1"/>
  <c r="CY434" i="1" a="1"/>
  <c r="CY434" i="1" s="1"/>
  <c r="CY452" i="1" a="1"/>
  <c r="CY452" i="1" s="1"/>
  <c r="CY439" i="1" a="1"/>
  <c r="CY439" i="1" s="1"/>
  <c r="CY443" i="1" a="1"/>
  <c r="CY443" i="1" s="1"/>
  <c r="CU312" i="1" a="1"/>
  <c r="CU312" i="1" s="1"/>
  <c r="CU331" i="1" a="1"/>
  <c r="CU331" i="1" s="1"/>
  <c r="CU430" i="1" a="1"/>
  <c r="CU430" i="1" s="1"/>
  <c r="CU443" i="1" a="1"/>
  <c r="CU443" i="1" s="1"/>
  <c r="CU436" i="1" a="1"/>
  <c r="CU436" i="1" s="1"/>
  <c r="CU447" i="1" a="1"/>
  <c r="CU447" i="1" s="1"/>
  <c r="CU453" i="1" a="1"/>
  <c r="CU453" i="1" s="1"/>
  <c r="CQ443" i="1" a="1"/>
  <c r="CQ443" i="1" s="1"/>
  <c r="BK443" i="1" s="1"/>
  <c r="CQ447" i="1" a="1"/>
  <c r="CQ447" i="1" s="1"/>
  <c r="BK447" i="1" s="1"/>
  <c r="CQ453" i="1" a="1"/>
  <c r="CQ453" i="1" s="1"/>
  <c r="BK453" i="1" s="1"/>
  <c r="CQ255" i="1" a="1"/>
  <c r="CQ255" i="1" s="1"/>
  <c r="BK255" i="1" s="1"/>
  <c r="CQ423" i="1" a="1"/>
  <c r="CQ423" i="1" s="1"/>
  <c r="DL329" i="1" a="1"/>
  <c r="DL329" i="1" s="1"/>
  <c r="DL445" i="1" a="1"/>
  <c r="DL445" i="1" s="1"/>
  <c r="DL344" i="1" a="1"/>
  <c r="DL344" i="1" s="1"/>
  <c r="DL346" i="1" a="1"/>
  <c r="DL346" i="1" s="1"/>
  <c r="DL438" i="1" a="1"/>
  <c r="DL438" i="1" s="1"/>
  <c r="DL334" i="1" a="1"/>
  <c r="DL334" i="1" s="1"/>
  <c r="DL341" i="1" a="1"/>
  <c r="DL341" i="1" s="1"/>
  <c r="DL437" i="1" a="1"/>
  <c r="DL437" i="1" s="1"/>
  <c r="DH351" i="1" a="1"/>
  <c r="DH351" i="1" s="1"/>
  <c r="DH438" i="1" a="1"/>
  <c r="DH438" i="1" s="1"/>
  <c r="DH446" i="1" a="1"/>
  <c r="DH446" i="1" s="1"/>
  <c r="DH290" i="1" a="1"/>
  <c r="DH290" i="1" s="1"/>
  <c r="DH337" i="1" a="1"/>
  <c r="DH337" i="1" s="1"/>
  <c r="DD300" i="1" a="1"/>
  <c r="DD300" i="1" s="1"/>
  <c r="DD302" i="1" a="1"/>
  <c r="DD302" i="1" s="1"/>
  <c r="DD304" i="1" a="1"/>
  <c r="DD304" i="1" s="1"/>
  <c r="DD306" i="1" a="1"/>
  <c r="DD306" i="1" s="1"/>
  <c r="DD308" i="1" a="1"/>
  <c r="DD308" i="1" s="1"/>
  <c r="DD310" i="1" a="1"/>
  <c r="DD310" i="1" s="1"/>
  <c r="DD283" i="1" a="1"/>
  <c r="DD283" i="1" s="1"/>
  <c r="DD285" i="1" a="1"/>
  <c r="DD285" i="1" s="1"/>
  <c r="DD429" i="1" a="1"/>
  <c r="DD429" i="1" s="1"/>
  <c r="DD437" i="1" a="1"/>
  <c r="DD437" i="1" s="1"/>
  <c r="DD451" i="1" a="1"/>
  <c r="DD451" i="1" s="1"/>
  <c r="CZ171" i="1" a="1"/>
  <c r="CZ171" i="1" s="1"/>
  <c r="CZ298" i="1" a="1"/>
  <c r="CZ298" i="1" s="1"/>
  <c r="CZ287" i="1" a="1"/>
  <c r="CZ287" i="1" s="1"/>
  <c r="CZ442" i="1" a="1"/>
  <c r="CZ442" i="1" s="1"/>
  <c r="CZ446" i="1" a="1"/>
  <c r="CZ446" i="1" s="1"/>
  <c r="CV350" i="1" a="1"/>
  <c r="CV350" i="1" s="1"/>
  <c r="CV437" i="1" a="1"/>
  <c r="CV437" i="1" s="1"/>
  <c r="CV442" i="1" a="1"/>
  <c r="CV442" i="1" s="1"/>
  <c r="CV345" i="1" a="1"/>
  <c r="CV345" i="1" s="1"/>
  <c r="CV446" i="1" a="1"/>
  <c r="CV446" i="1" s="1"/>
  <c r="CV432" i="1" a="1"/>
  <c r="CV432" i="1" s="1"/>
  <c r="CR446" i="1" a="1"/>
  <c r="CR446" i="1" s="1"/>
  <c r="CR292" i="1" a="1"/>
  <c r="CR292" i="1" s="1"/>
  <c r="CR347" i="1" a="1"/>
  <c r="CR347" i="1" s="1"/>
  <c r="CR335" i="1" a="1"/>
  <c r="CR335" i="1" s="1"/>
  <c r="CQ24" i="1" a="1"/>
  <c r="CQ24" i="1" s="1"/>
  <c r="DO427" i="1" a="1"/>
  <c r="DO427" i="1" s="1"/>
  <c r="DK420" i="1" a="1"/>
  <c r="DK420" i="1" s="1"/>
  <c r="DC315" i="1" a="1"/>
  <c r="DC315" i="1" s="1"/>
  <c r="CY442" i="1" a="1"/>
  <c r="CY442" i="1" s="1"/>
  <c r="CU316" i="1" a="1"/>
  <c r="CU316" i="1" s="1"/>
  <c r="DL342" i="1" a="1"/>
  <c r="DL342" i="1" s="1"/>
  <c r="DH321" i="1" a="1"/>
  <c r="DH321" i="1" s="1"/>
  <c r="CZ326" i="1" a="1"/>
  <c r="CZ326" i="1" s="1"/>
  <c r="CV344" i="1" a="1"/>
  <c r="CV344" i="1" s="1"/>
  <c r="DM323" i="1" a="1"/>
  <c r="DM323" i="1" s="1"/>
  <c r="DE320" i="1" a="1"/>
  <c r="DE320" i="1" s="1"/>
  <c r="CW325" i="1" a="1"/>
  <c r="CW325" i="1" s="1"/>
  <c r="CS353" i="1" a="1"/>
  <c r="CS353" i="1" s="1"/>
  <c r="DN249" i="1" a="1"/>
  <c r="DN249" i="1" s="1"/>
  <c r="DF258" i="1" a="1"/>
  <c r="DF258" i="1" s="1"/>
  <c r="DB327" i="1" a="1"/>
  <c r="DB327" i="1" s="1"/>
  <c r="CX356" i="1" a="1"/>
  <c r="CX356" i="1" s="1"/>
  <c r="BK423" i="1"/>
  <c r="BK486" i="1"/>
  <c r="BK427" i="1"/>
  <c r="BK452" i="1"/>
  <c r="BK24" i="1"/>
  <c r="BK488" i="1"/>
  <c r="BK480" i="1"/>
  <c r="BK458" i="1"/>
  <c r="DG286" i="1" a="1"/>
  <c r="DG286" i="1" s="1"/>
  <c r="DG268" i="1" a="1"/>
  <c r="DG268" i="1" s="1"/>
  <c r="DG328" i="1" a="1"/>
  <c r="DG328" i="1" s="1"/>
  <c r="DG329" i="1" a="1"/>
  <c r="DG329" i="1" s="1"/>
  <c r="DG334" i="1" a="1"/>
  <c r="DG334" i="1" s="1"/>
  <c r="DG335" i="1" a="1"/>
  <c r="DG335" i="1" s="1"/>
  <c r="DG342" i="1" a="1"/>
  <c r="DG342" i="1" s="1"/>
  <c r="DG343" i="1" a="1"/>
  <c r="DG343" i="1" s="1"/>
  <c r="DG350" i="1" a="1"/>
  <c r="DG350" i="1" s="1"/>
  <c r="DG351" i="1" a="1"/>
  <c r="DG351" i="1" s="1"/>
  <c r="DG352" i="1" a="1"/>
  <c r="DG352" i="1" s="1"/>
  <c r="DG313" i="1" a="1"/>
  <c r="DG313" i="1" s="1"/>
  <c r="DG315" i="1" a="1"/>
  <c r="DG315" i="1" s="1"/>
  <c r="DG330" i="1" a="1"/>
  <c r="DG330" i="1" s="1"/>
  <c r="DG338" i="1" a="1"/>
  <c r="DG338" i="1" s="1"/>
  <c r="DG344" i="1" a="1"/>
  <c r="DG344" i="1" s="1"/>
  <c r="DG353" i="1" a="1"/>
  <c r="DG353" i="1" s="1"/>
  <c r="DG354" i="1" a="1"/>
  <c r="DG354" i="1" s="1"/>
  <c r="DG355" i="1" a="1"/>
  <c r="DG355" i="1" s="1"/>
  <c r="DG356" i="1" a="1"/>
  <c r="DG356" i="1" s="1"/>
  <c r="DG357" i="1" a="1"/>
  <c r="DG357" i="1" s="1"/>
  <c r="DG358" i="1" a="1"/>
  <c r="DG358" i="1" s="1"/>
  <c r="DG359" i="1" a="1"/>
  <c r="DG359" i="1" s="1"/>
  <c r="DG360" i="1" a="1"/>
  <c r="DG360" i="1" s="1"/>
  <c r="DG361" i="1" a="1"/>
  <c r="DG361" i="1" s="1"/>
  <c r="DG362" i="1" a="1"/>
  <c r="DG362" i="1" s="1"/>
  <c r="DG363" i="1" a="1"/>
  <c r="DG363" i="1" s="1"/>
  <c r="DG364" i="1" a="1"/>
  <c r="DG364" i="1" s="1"/>
  <c r="DG365" i="1" a="1"/>
  <c r="DG365" i="1" s="1"/>
  <c r="DG366" i="1" a="1"/>
  <c r="DG366" i="1" s="1"/>
  <c r="DG367" i="1" a="1"/>
  <c r="DG367" i="1" s="1"/>
  <c r="DG368" i="1" a="1"/>
  <c r="DG368" i="1" s="1"/>
  <c r="DG369" i="1" a="1"/>
  <c r="DG369" i="1" s="1"/>
  <c r="DG370" i="1" a="1"/>
  <c r="DG370" i="1" s="1"/>
  <c r="DG371" i="1" a="1"/>
  <c r="DG371" i="1" s="1"/>
  <c r="DG372" i="1" a="1"/>
  <c r="DG372" i="1" s="1"/>
  <c r="DG373" i="1" a="1"/>
  <c r="DG373" i="1" s="1"/>
  <c r="DG374" i="1" a="1"/>
  <c r="DG374" i="1" s="1"/>
  <c r="DG375" i="1" a="1"/>
  <c r="DG375" i="1" s="1"/>
  <c r="DG376" i="1" a="1"/>
  <c r="DG376" i="1" s="1"/>
  <c r="DG377" i="1" a="1"/>
  <c r="DG377" i="1" s="1"/>
  <c r="DG378" i="1" a="1"/>
  <c r="DG378" i="1" s="1"/>
  <c r="DG379" i="1" a="1"/>
  <c r="DG379" i="1" s="1"/>
  <c r="DG380" i="1" a="1"/>
  <c r="DG380" i="1" s="1"/>
  <c r="DG381" i="1" a="1"/>
  <c r="DG381" i="1" s="1"/>
  <c r="DG382" i="1" a="1"/>
  <c r="DG382" i="1" s="1"/>
  <c r="DG383" i="1" a="1"/>
  <c r="DG383" i="1" s="1"/>
  <c r="DG384" i="1" a="1"/>
  <c r="DG384" i="1" s="1"/>
  <c r="DG385" i="1" a="1"/>
  <c r="DG385" i="1" s="1"/>
  <c r="DG386" i="1" a="1"/>
  <c r="DG386" i="1" s="1"/>
  <c r="DG387" i="1" a="1"/>
  <c r="DG387" i="1" s="1"/>
  <c r="DG388" i="1" a="1"/>
  <c r="DG388" i="1" s="1"/>
  <c r="DG389" i="1" a="1"/>
  <c r="DG389" i="1" s="1"/>
  <c r="DG390" i="1" a="1"/>
  <c r="DG390" i="1" s="1"/>
  <c r="DG391" i="1" a="1"/>
  <c r="DG391" i="1" s="1"/>
  <c r="DG392" i="1" a="1"/>
  <c r="DG392" i="1" s="1"/>
  <c r="DG393" i="1" a="1"/>
  <c r="DG393" i="1" s="1"/>
  <c r="DG394" i="1" a="1"/>
  <c r="DG394" i="1" s="1"/>
  <c r="DG395" i="1" a="1"/>
  <c r="DG395" i="1" s="1"/>
  <c r="DG396" i="1" a="1"/>
  <c r="DG396" i="1" s="1"/>
  <c r="DG397" i="1" a="1"/>
  <c r="DG397" i="1" s="1"/>
  <c r="DG398" i="1" a="1"/>
  <c r="DG398" i="1" s="1"/>
  <c r="DG399" i="1" a="1"/>
  <c r="DG399" i="1" s="1"/>
  <c r="DG400" i="1" a="1"/>
  <c r="DG400" i="1" s="1"/>
  <c r="DG401" i="1" a="1"/>
  <c r="DG401" i="1" s="1"/>
  <c r="DG402" i="1" a="1"/>
  <c r="DG402" i="1" s="1"/>
  <c r="DG403" i="1" a="1"/>
  <c r="DG403" i="1" s="1"/>
  <c r="DG404" i="1" a="1"/>
  <c r="DG404" i="1" s="1"/>
  <c r="DG405" i="1" a="1"/>
  <c r="DG405" i="1" s="1"/>
  <c r="DG406" i="1" a="1"/>
  <c r="DG406" i="1" s="1"/>
  <c r="DG407" i="1" a="1"/>
  <c r="DG407" i="1" s="1"/>
  <c r="DG408" i="1" a="1"/>
  <c r="DG408" i="1" s="1"/>
  <c r="DG409" i="1" a="1"/>
  <c r="DG409" i="1" s="1"/>
  <c r="DG410" i="1" a="1"/>
  <c r="DG410" i="1" s="1"/>
  <c r="DG411" i="1" a="1"/>
  <c r="DG411" i="1" s="1"/>
  <c r="DG412" i="1" a="1"/>
  <c r="DG412" i="1" s="1"/>
  <c r="DG413" i="1" a="1"/>
  <c r="DG413" i="1" s="1"/>
  <c r="DG414" i="1" a="1"/>
  <c r="DG414" i="1" s="1"/>
  <c r="DG415" i="1" a="1"/>
  <c r="DG415" i="1" s="1"/>
  <c r="DG416" i="1" a="1"/>
  <c r="DG416" i="1" s="1"/>
  <c r="DG417" i="1" a="1"/>
  <c r="DG417" i="1" s="1"/>
  <c r="DG418" i="1" a="1"/>
  <c r="DG418" i="1" s="1"/>
  <c r="DG421" i="1" a="1"/>
  <c r="DG421" i="1" s="1"/>
  <c r="DG423" i="1" a="1"/>
  <c r="DG423" i="1" s="1"/>
  <c r="DG425" i="1" a="1"/>
  <c r="DG425" i="1" s="1"/>
  <c r="DG428" i="1" a="1"/>
  <c r="DG428" i="1" s="1"/>
  <c r="DG434" i="1" a="1"/>
  <c r="DG434" i="1" s="1"/>
  <c r="DG435" i="1" a="1"/>
  <c r="DG435" i="1" s="1"/>
  <c r="DG336" i="1" a="1"/>
  <c r="DG336" i="1" s="1"/>
  <c r="DG419" i="1" a="1"/>
  <c r="DG419" i="1" s="1"/>
  <c r="DG424" i="1" a="1"/>
  <c r="DG424" i="1" s="1"/>
  <c r="DG426" i="1" a="1"/>
  <c r="DG426" i="1" s="1"/>
  <c r="DG436" i="1" a="1"/>
  <c r="DG436" i="1" s="1"/>
  <c r="DG312" i="1" a="1"/>
  <c r="DG312" i="1" s="1"/>
  <c r="DG314" i="1" a="1"/>
  <c r="DG314" i="1" s="1"/>
  <c r="DG331" i="1" a="1"/>
  <c r="DG331" i="1" s="1"/>
  <c r="DG339" i="1" a="1"/>
  <c r="DG339" i="1" s="1"/>
  <c r="DG420" i="1" a="1"/>
  <c r="DG420" i="1" s="1"/>
  <c r="DG422" i="1" a="1"/>
  <c r="DG422" i="1" s="1"/>
  <c r="DG429" i="1" a="1"/>
  <c r="DG429" i="1" s="1"/>
  <c r="DG431" i="1" a="1"/>
  <c r="DG431" i="1" s="1"/>
  <c r="DG432" i="1" a="1"/>
  <c r="DG432" i="1" s="1"/>
  <c r="DG437" i="1" a="1"/>
  <c r="DG437" i="1" s="1"/>
  <c r="CQ27" i="1" a="1"/>
  <c r="CQ27" i="1" s="1"/>
  <c r="CQ29" i="1" a="1"/>
  <c r="CQ29" i="1" s="1"/>
  <c r="CQ44" i="1" a="1"/>
  <c r="CQ44" i="1" s="1"/>
  <c r="CQ46" i="1" a="1"/>
  <c r="CQ46" i="1" s="1"/>
  <c r="BK46" i="1" s="1"/>
  <c r="CQ23" i="1" a="1"/>
  <c r="CQ23" i="1" s="1"/>
  <c r="CQ25" i="1" a="1"/>
  <c r="CQ25" i="1" s="1"/>
  <c r="CQ30" i="1" a="1"/>
  <c r="CQ30" i="1" s="1"/>
  <c r="CQ31" i="1" a="1"/>
  <c r="CQ31" i="1" s="1"/>
  <c r="CQ32" i="1" a="1"/>
  <c r="CQ32" i="1" s="1"/>
  <c r="CQ33" i="1" a="1"/>
  <c r="CQ33" i="1" s="1"/>
  <c r="CQ34" i="1" a="1"/>
  <c r="CQ34" i="1" s="1"/>
  <c r="CQ35" i="1" a="1"/>
  <c r="CQ35" i="1" s="1"/>
  <c r="CQ36" i="1" a="1"/>
  <c r="CQ36" i="1" s="1"/>
  <c r="CQ37" i="1" a="1"/>
  <c r="CQ37" i="1" s="1"/>
  <c r="CQ38" i="1" a="1"/>
  <c r="CQ38" i="1" s="1"/>
  <c r="BK38" i="1" s="1"/>
  <c r="CQ39" i="1" a="1"/>
  <c r="CQ39" i="1" s="1"/>
  <c r="CQ42" i="1" a="1"/>
  <c r="CQ42" i="1" s="1"/>
  <c r="CQ40" i="1" a="1"/>
  <c r="CQ40" i="1" s="1"/>
  <c r="CQ43" i="1" a="1"/>
  <c r="CQ43" i="1" s="1"/>
  <c r="CQ47" i="1" a="1"/>
  <c r="CQ47" i="1" s="1"/>
  <c r="CQ48" i="1" a="1"/>
  <c r="CQ48" i="1" s="1"/>
  <c r="BK48" i="1" s="1"/>
  <c r="CQ53" i="1" a="1"/>
  <c r="CQ53" i="1" s="1"/>
  <c r="CQ54" i="1" a="1"/>
  <c r="CQ54" i="1" s="1"/>
  <c r="CQ49" i="1" a="1"/>
  <c r="CQ49" i="1" s="1"/>
  <c r="CQ50" i="1" a="1"/>
  <c r="CQ50" i="1" s="1"/>
  <c r="CQ55" i="1" a="1"/>
  <c r="CQ55" i="1" s="1"/>
  <c r="CQ59" i="1" a="1"/>
  <c r="CQ59" i="1" s="1"/>
  <c r="CQ41" i="1" a="1"/>
  <c r="CQ41" i="1" s="1"/>
  <c r="CQ51" i="1" a="1"/>
  <c r="CQ51" i="1" s="1"/>
  <c r="CQ52" i="1" a="1"/>
  <c r="CQ52" i="1" s="1"/>
  <c r="BK52" i="1" s="1"/>
  <c r="CQ56" i="1" a="1"/>
  <c r="CQ56" i="1" s="1"/>
  <c r="CQ57" i="1" a="1"/>
  <c r="CQ57" i="1" s="1"/>
  <c r="BK57" i="1" s="1"/>
  <c r="CQ60" i="1" a="1"/>
  <c r="CQ60" i="1" s="1"/>
  <c r="CQ61" i="1" a="1"/>
  <c r="CQ61" i="1" s="1"/>
  <c r="CQ63" i="1" a="1"/>
  <c r="CQ63" i="1" s="1"/>
  <c r="CQ58" i="1" a="1"/>
  <c r="CQ58" i="1" s="1"/>
  <c r="CQ66" i="1" a="1"/>
  <c r="CQ66" i="1" s="1"/>
  <c r="CQ67" i="1" a="1"/>
  <c r="CQ67" i="1" s="1"/>
  <c r="CQ68" i="1" a="1"/>
  <c r="CQ68" i="1" s="1"/>
  <c r="BK68" i="1" s="1"/>
  <c r="CQ69" i="1" a="1"/>
  <c r="CQ69" i="1" s="1"/>
  <c r="CQ70" i="1" a="1"/>
  <c r="CQ70" i="1" s="1"/>
  <c r="CQ71" i="1" a="1"/>
  <c r="CQ71" i="1" s="1"/>
  <c r="CQ72" i="1" a="1"/>
  <c r="CQ72" i="1" s="1"/>
  <c r="BK72" i="1" s="1"/>
  <c r="CQ73" i="1" a="1"/>
  <c r="CQ73" i="1" s="1"/>
  <c r="CQ74" i="1" a="1"/>
  <c r="CQ74" i="1" s="1"/>
  <c r="CQ75" i="1" a="1"/>
  <c r="CQ75" i="1" s="1"/>
  <c r="CQ76" i="1" a="1"/>
  <c r="CQ76" i="1" s="1"/>
  <c r="CQ77" i="1" a="1"/>
  <c r="CQ77" i="1" s="1"/>
  <c r="CQ80" i="1" a="1"/>
  <c r="CQ80" i="1" s="1"/>
  <c r="CQ65" i="1" a="1"/>
  <c r="CQ65" i="1" s="1"/>
  <c r="CQ81" i="1" a="1"/>
  <c r="CQ81" i="1" s="1"/>
  <c r="CQ84" i="1" a="1"/>
  <c r="CQ84" i="1" s="1"/>
  <c r="CQ85" i="1" a="1"/>
  <c r="CQ85" i="1" s="1"/>
  <c r="CQ45" i="1" a="1"/>
  <c r="CQ45" i="1" s="1"/>
  <c r="CQ78" i="1" a="1"/>
  <c r="CQ78" i="1" s="1"/>
  <c r="CQ79" i="1" a="1"/>
  <c r="CQ79" i="1" s="1"/>
  <c r="CQ82" i="1" a="1"/>
  <c r="CQ82" i="1" s="1"/>
  <c r="CQ86" i="1" a="1"/>
  <c r="CQ86" i="1" s="1"/>
  <c r="CQ64" i="1" a="1"/>
  <c r="CQ64" i="1" s="1"/>
  <c r="BK64" i="1" s="1"/>
  <c r="CQ110" i="1" a="1"/>
  <c r="CQ110" i="1" s="1"/>
  <c r="CQ111" i="1" a="1"/>
  <c r="CQ111" i="1" s="1"/>
  <c r="CQ113" i="1" a="1"/>
  <c r="CQ113" i="1" s="1"/>
  <c r="CQ114" i="1" a="1"/>
  <c r="CQ114" i="1" s="1"/>
  <c r="BK114" i="1" s="1"/>
  <c r="CQ115" i="1" a="1"/>
  <c r="CQ115" i="1" s="1"/>
  <c r="CQ120" i="1" a="1"/>
  <c r="CQ120" i="1" s="1"/>
  <c r="CQ121" i="1" a="1"/>
  <c r="CQ121" i="1" s="1"/>
  <c r="CQ122" i="1" a="1"/>
  <c r="CQ122" i="1" s="1"/>
  <c r="CQ123" i="1" a="1"/>
  <c r="CQ123" i="1" s="1"/>
  <c r="BK123" i="1" s="1"/>
  <c r="CQ124" i="1" a="1"/>
  <c r="CQ124" i="1" s="1"/>
  <c r="CQ125" i="1" a="1"/>
  <c r="CQ125" i="1" s="1"/>
  <c r="CQ126" i="1" a="1"/>
  <c r="CQ126" i="1" s="1"/>
  <c r="CQ127" i="1" a="1"/>
  <c r="CQ127" i="1" s="1"/>
  <c r="CQ128" i="1" a="1"/>
  <c r="CQ128" i="1" s="1"/>
  <c r="CQ83" i="1" a="1"/>
  <c r="CQ83" i="1" s="1"/>
  <c r="CQ91" i="1" a="1"/>
  <c r="CQ91" i="1" s="1"/>
  <c r="CQ92" i="1" a="1"/>
  <c r="CQ92" i="1" s="1"/>
  <c r="CQ100" i="1" a="1"/>
  <c r="CQ100" i="1" s="1"/>
  <c r="BK100" i="1" s="1"/>
  <c r="CQ112" i="1" a="1"/>
  <c r="CQ112" i="1" s="1"/>
  <c r="CQ62" i="1" a="1"/>
  <c r="CQ62" i="1" s="1"/>
  <c r="CQ87" i="1" a="1"/>
  <c r="CQ87" i="1" s="1"/>
  <c r="CQ88" i="1" a="1"/>
  <c r="CQ88" i="1" s="1"/>
  <c r="CQ93" i="1" a="1"/>
  <c r="CQ93" i="1" s="1"/>
  <c r="CQ94" i="1" a="1"/>
  <c r="CQ94" i="1" s="1"/>
  <c r="CQ95" i="1" a="1"/>
  <c r="CQ95" i="1" s="1"/>
  <c r="BK95" i="1" s="1"/>
  <c r="CQ101" i="1" a="1"/>
  <c r="CQ101" i="1" s="1"/>
  <c r="CQ116" i="1" a="1"/>
  <c r="CQ116" i="1" s="1"/>
  <c r="CQ117" i="1" a="1"/>
  <c r="CQ117" i="1" s="1"/>
  <c r="CQ89" i="1" a="1"/>
  <c r="CQ89" i="1" s="1"/>
  <c r="CQ99" i="1" a="1"/>
  <c r="CQ99" i="1" s="1"/>
  <c r="CQ103" i="1" a="1"/>
  <c r="CQ103" i="1" s="1"/>
  <c r="CQ107" i="1" a="1"/>
  <c r="CQ107" i="1" s="1"/>
  <c r="CQ138" i="1" a="1"/>
  <c r="CQ138" i="1" s="1"/>
  <c r="CQ140" i="1" a="1"/>
  <c r="CQ140" i="1" s="1"/>
  <c r="CQ142" i="1" a="1"/>
  <c r="CQ142" i="1" s="1"/>
  <c r="CQ144" i="1" a="1"/>
  <c r="CQ144" i="1" s="1"/>
  <c r="CQ147" i="1" a="1"/>
  <c r="CQ147" i="1" s="1"/>
  <c r="CQ150" i="1" a="1"/>
  <c r="CQ150" i="1" s="1"/>
  <c r="CQ97" i="1" a="1"/>
  <c r="CQ97" i="1" s="1"/>
  <c r="CQ98" i="1" a="1"/>
  <c r="CQ98" i="1" s="1"/>
  <c r="CQ102" i="1" a="1"/>
  <c r="CQ102" i="1" s="1"/>
  <c r="CQ106" i="1" a="1"/>
  <c r="CQ106" i="1" s="1"/>
  <c r="CQ148" i="1" a="1"/>
  <c r="CQ148" i="1" s="1"/>
  <c r="CQ149" i="1" a="1"/>
  <c r="CQ149" i="1" s="1"/>
  <c r="CQ152" i="1" a="1"/>
  <c r="CQ152" i="1" s="1"/>
  <c r="BK152" i="1" s="1"/>
  <c r="CQ154" i="1" a="1"/>
  <c r="CQ154" i="1" s="1"/>
  <c r="CQ156" i="1" a="1"/>
  <c r="CQ156" i="1" s="1"/>
  <c r="CQ158" i="1" a="1"/>
  <c r="CQ158" i="1" s="1"/>
  <c r="CQ96" i="1" a="1"/>
  <c r="CQ96" i="1" s="1"/>
  <c r="CQ105" i="1" a="1"/>
  <c r="CQ105" i="1" s="1"/>
  <c r="CQ109" i="1" a="1"/>
  <c r="CQ109" i="1" s="1"/>
  <c r="CQ119" i="1" a="1"/>
  <c r="CQ119" i="1" s="1"/>
  <c r="CQ129" i="1" a="1"/>
  <c r="CQ129" i="1" s="1"/>
  <c r="CQ139" i="1" a="1"/>
  <c r="CQ139" i="1" s="1"/>
  <c r="CQ141" i="1" a="1"/>
  <c r="CQ141" i="1" s="1"/>
  <c r="CQ143" i="1" a="1"/>
  <c r="CQ143" i="1" s="1"/>
  <c r="CQ145" i="1" a="1"/>
  <c r="CQ145" i="1" s="1"/>
  <c r="CQ146" i="1" a="1"/>
  <c r="CQ146" i="1" s="1"/>
  <c r="CQ90" i="1" a="1"/>
  <c r="CQ90" i="1" s="1"/>
  <c r="CQ132" i="1" a="1"/>
  <c r="CQ132" i="1" s="1"/>
  <c r="CQ136" i="1" a="1"/>
  <c r="CQ136" i="1" s="1"/>
  <c r="BK136" i="1" s="1"/>
  <c r="CQ159" i="1" a="1"/>
  <c r="CQ159" i="1" s="1"/>
  <c r="CQ168" i="1" a="1"/>
  <c r="CQ168" i="1" s="1"/>
  <c r="CQ170" i="1" a="1"/>
  <c r="CQ170" i="1" s="1"/>
  <c r="CQ171" i="1" a="1"/>
  <c r="CQ171" i="1" s="1"/>
  <c r="CQ174" i="1" a="1"/>
  <c r="CQ174" i="1" s="1"/>
  <c r="CQ176" i="1" a="1"/>
  <c r="CQ176" i="1" s="1"/>
  <c r="CQ181" i="1" a="1"/>
  <c r="CQ181" i="1" s="1"/>
  <c r="CQ183" i="1" a="1"/>
  <c r="CQ183" i="1" s="1"/>
  <c r="BK183" i="1" s="1"/>
  <c r="CQ104" i="1" a="1"/>
  <c r="CQ104" i="1" s="1"/>
  <c r="BK104" i="1" s="1"/>
  <c r="CQ108" i="1" a="1"/>
  <c r="CQ108" i="1" s="1"/>
  <c r="CQ131" i="1" a="1"/>
  <c r="CQ131" i="1" s="1"/>
  <c r="CQ135" i="1" a="1"/>
  <c r="CQ135" i="1" s="1"/>
  <c r="CQ157" i="1" a="1"/>
  <c r="CQ157" i="1" s="1"/>
  <c r="CQ161" i="1" a="1"/>
  <c r="CQ161" i="1" s="1"/>
  <c r="CQ163" i="1" a="1"/>
  <c r="CQ163" i="1" s="1"/>
  <c r="CQ165" i="1" a="1"/>
  <c r="CQ165" i="1" s="1"/>
  <c r="CQ167" i="1" a="1"/>
  <c r="CQ167" i="1" s="1"/>
  <c r="BK167" i="1" s="1"/>
  <c r="CQ173" i="1" a="1"/>
  <c r="CQ173" i="1" s="1"/>
  <c r="CQ178" i="1" a="1"/>
  <c r="CQ178" i="1" s="1"/>
  <c r="CQ118" i="1" a="1"/>
  <c r="CQ118" i="1" s="1"/>
  <c r="BK118" i="1" s="1"/>
  <c r="CQ130" i="1" a="1"/>
  <c r="CQ130" i="1" s="1"/>
  <c r="CQ134" i="1" a="1"/>
  <c r="CQ134" i="1" s="1"/>
  <c r="CQ160" i="1" a="1"/>
  <c r="CQ160" i="1" s="1"/>
  <c r="CQ169" i="1" a="1"/>
  <c r="CQ169" i="1" s="1"/>
  <c r="CQ175" i="1" a="1"/>
  <c r="CQ175" i="1" s="1"/>
  <c r="CQ180" i="1" a="1"/>
  <c r="CQ180" i="1" s="1"/>
  <c r="CQ182" i="1" a="1"/>
  <c r="CQ182" i="1" s="1"/>
  <c r="CQ133" i="1" a="1"/>
  <c r="CQ133" i="1" s="1"/>
  <c r="CQ137" i="1" a="1"/>
  <c r="CQ137" i="1" s="1"/>
  <c r="CQ151" i="1" a="1"/>
  <c r="CQ151" i="1" s="1"/>
  <c r="BK151" i="1" s="1"/>
  <c r="CQ155" i="1" a="1"/>
  <c r="CQ155" i="1" s="1"/>
  <c r="CQ192" i="1" a="1"/>
  <c r="CQ192" i="1" s="1"/>
  <c r="CQ195" i="1" a="1"/>
  <c r="CQ195" i="1" s="1"/>
  <c r="CQ197" i="1" a="1"/>
  <c r="CQ197" i="1" s="1"/>
  <c r="CQ199" i="1" a="1"/>
  <c r="CQ199" i="1" s="1"/>
  <c r="CQ246" i="1" a="1"/>
  <c r="CQ246" i="1" s="1"/>
  <c r="CQ177" i="1" a="1"/>
  <c r="CQ177" i="1" s="1"/>
  <c r="CQ179" i="1" a="1"/>
  <c r="CQ179" i="1" s="1"/>
  <c r="CQ184" i="1" a="1"/>
  <c r="CQ184" i="1" s="1"/>
  <c r="CQ185" i="1" a="1"/>
  <c r="CQ185" i="1" s="1"/>
  <c r="CQ188" i="1" a="1"/>
  <c r="CQ188" i="1" s="1"/>
  <c r="CQ189" i="1" a="1"/>
  <c r="CQ189" i="1" s="1"/>
  <c r="CQ191" i="1" a="1"/>
  <c r="CQ191" i="1" s="1"/>
  <c r="CQ194" i="1" a="1"/>
  <c r="CQ194" i="1" s="1"/>
  <c r="CQ201" i="1" a="1"/>
  <c r="CQ201" i="1" s="1"/>
  <c r="CQ203" i="1" a="1"/>
  <c r="CQ203" i="1" s="1"/>
  <c r="CQ205" i="1" a="1"/>
  <c r="CQ205" i="1" s="1"/>
  <c r="CQ207" i="1" a="1"/>
  <c r="CQ207" i="1" s="1"/>
  <c r="CQ209" i="1" a="1"/>
  <c r="CQ209" i="1" s="1"/>
  <c r="CQ211" i="1" a="1"/>
  <c r="CQ211" i="1" s="1"/>
  <c r="CQ213" i="1" a="1"/>
  <c r="CQ213" i="1" s="1"/>
  <c r="CQ215" i="1" a="1"/>
  <c r="CQ215" i="1" s="1"/>
  <c r="CQ217" i="1" a="1"/>
  <c r="CQ217" i="1" s="1"/>
  <c r="CQ219" i="1" a="1"/>
  <c r="CQ219" i="1" s="1"/>
  <c r="CQ221" i="1" a="1"/>
  <c r="CQ221" i="1" s="1"/>
  <c r="CQ223" i="1" a="1"/>
  <c r="CQ223" i="1" s="1"/>
  <c r="CQ225" i="1" a="1"/>
  <c r="CQ225" i="1" s="1"/>
  <c r="CQ227" i="1" a="1"/>
  <c r="CQ227" i="1" s="1"/>
  <c r="CQ229" i="1" a="1"/>
  <c r="CQ229" i="1" s="1"/>
  <c r="CQ231" i="1" a="1"/>
  <c r="CQ231" i="1" s="1"/>
  <c r="BK231" i="1" s="1"/>
  <c r="CQ233" i="1" a="1"/>
  <c r="CQ233" i="1" s="1"/>
  <c r="CQ235" i="1" a="1"/>
  <c r="CQ235" i="1" s="1"/>
  <c r="CQ237" i="1" a="1"/>
  <c r="CQ237" i="1" s="1"/>
  <c r="CQ239" i="1" a="1"/>
  <c r="CQ239" i="1" s="1"/>
  <c r="CQ241" i="1" a="1"/>
  <c r="CQ241" i="1" s="1"/>
  <c r="CQ153" i="1" a="1"/>
  <c r="CQ153" i="1" s="1"/>
  <c r="CQ162" i="1" a="1"/>
  <c r="CQ162" i="1" s="1"/>
  <c r="CQ164" i="1" a="1"/>
  <c r="CQ164" i="1" s="1"/>
  <c r="BK164" i="1" s="1"/>
  <c r="CQ166" i="1" a="1"/>
  <c r="CQ166" i="1" s="1"/>
  <c r="CQ172" i="1" a="1"/>
  <c r="CQ172" i="1" s="1"/>
  <c r="CQ186" i="1" a="1"/>
  <c r="CQ186" i="1" s="1"/>
  <c r="CQ196" i="1" a="1"/>
  <c r="CQ196" i="1" s="1"/>
  <c r="CQ198" i="1" a="1"/>
  <c r="CQ198" i="1" s="1"/>
  <c r="CQ250" i="1" a="1"/>
  <c r="CQ250" i="1" s="1"/>
  <c r="CQ252" i="1" a="1"/>
  <c r="CQ252" i="1" s="1"/>
  <c r="CQ262" i="1" a="1"/>
  <c r="CQ262" i="1" s="1"/>
  <c r="CQ270" i="1" a="1"/>
  <c r="CQ270" i="1" s="1"/>
  <c r="CQ287" i="1" a="1"/>
  <c r="CQ287" i="1" s="1"/>
  <c r="CQ289" i="1" a="1"/>
  <c r="CQ289" i="1" s="1"/>
  <c r="CQ291" i="1" a="1"/>
  <c r="CQ291" i="1" s="1"/>
  <c r="CQ293" i="1" a="1"/>
  <c r="CQ293" i="1" s="1"/>
  <c r="CQ295" i="1" a="1"/>
  <c r="CQ295" i="1" s="1"/>
  <c r="CQ190" i="1" a="1"/>
  <c r="CQ190" i="1" s="1"/>
  <c r="CQ200" i="1" a="1"/>
  <c r="CQ200" i="1" s="1"/>
  <c r="CQ202" i="1" a="1"/>
  <c r="CQ202" i="1" s="1"/>
  <c r="CQ204" i="1" a="1"/>
  <c r="CQ204" i="1" s="1"/>
  <c r="CQ206" i="1" a="1"/>
  <c r="CQ206" i="1" s="1"/>
  <c r="CQ208" i="1" a="1"/>
  <c r="CQ208" i="1" s="1"/>
  <c r="CQ210" i="1" a="1"/>
  <c r="CQ210" i="1" s="1"/>
  <c r="CQ212" i="1" a="1"/>
  <c r="CQ212" i="1" s="1"/>
  <c r="CQ214" i="1" a="1"/>
  <c r="CQ214" i="1" s="1"/>
  <c r="CQ216" i="1" a="1"/>
  <c r="CQ216" i="1" s="1"/>
  <c r="CQ218" i="1" a="1"/>
  <c r="CQ218" i="1" s="1"/>
  <c r="CQ220" i="1" a="1"/>
  <c r="CQ220" i="1" s="1"/>
  <c r="CQ222" i="1" a="1"/>
  <c r="CQ222" i="1" s="1"/>
  <c r="CQ224" i="1" a="1"/>
  <c r="CQ224" i="1" s="1"/>
  <c r="CQ226" i="1" a="1"/>
  <c r="CQ226" i="1" s="1"/>
  <c r="CQ228" i="1" a="1"/>
  <c r="CQ228" i="1" s="1"/>
  <c r="CQ230" i="1" a="1"/>
  <c r="CQ230" i="1" s="1"/>
  <c r="CQ232" i="1" a="1"/>
  <c r="CQ232" i="1" s="1"/>
  <c r="CQ234" i="1" a="1"/>
  <c r="CQ234" i="1" s="1"/>
  <c r="CQ236" i="1" a="1"/>
  <c r="CQ236" i="1" s="1"/>
  <c r="CQ238" i="1" a="1"/>
  <c r="CQ238" i="1" s="1"/>
  <c r="CQ240" i="1" a="1"/>
  <c r="CQ240" i="1" s="1"/>
  <c r="CQ242" i="1" a="1"/>
  <c r="CQ242" i="1" s="1"/>
  <c r="CQ243" i="1" a="1"/>
  <c r="CQ243" i="1" s="1"/>
  <c r="CQ245" i="1" a="1"/>
  <c r="CQ245" i="1" s="1"/>
  <c r="CQ247" i="1" a="1"/>
  <c r="CQ247" i="1" s="1"/>
  <c r="CQ249" i="1" a="1"/>
  <c r="CQ249" i="1" s="1"/>
  <c r="CQ254" i="1" a="1"/>
  <c r="CQ254" i="1" s="1"/>
  <c r="CQ256" i="1" a="1"/>
  <c r="CQ256" i="1" s="1"/>
  <c r="CQ259" i="1" a="1"/>
  <c r="CQ259" i="1" s="1"/>
  <c r="CQ261" i="1" a="1"/>
  <c r="CQ261" i="1" s="1"/>
  <c r="CQ264" i="1" a="1"/>
  <c r="CQ264" i="1" s="1"/>
  <c r="CQ267" i="1" a="1"/>
  <c r="CQ267" i="1" s="1"/>
  <c r="CQ269" i="1" a="1"/>
  <c r="CQ269" i="1" s="1"/>
  <c r="CQ272" i="1" a="1"/>
  <c r="CQ272" i="1" s="1"/>
  <c r="BK272" i="1" s="1"/>
  <c r="CQ275" i="1" a="1"/>
  <c r="CQ275" i="1" s="1"/>
  <c r="CQ277" i="1" a="1"/>
  <c r="CQ277" i="1" s="1"/>
  <c r="CQ278" i="1" a="1"/>
  <c r="CQ278" i="1" s="1"/>
  <c r="CQ282" i="1" a="1"/>
  <c r="CQ282" i="1" s="1"/>
  <c r="CQ283" i="1" a="1"/>
  <c r="CQ283" i="1" s="1"/>
  <c r="CQ285" i="1" a="1"/>
  <c r="CQ285" i="1" s="1"/>
  <c r="CQ286" i="1" a="1"/>
  <c r="CQ286" i="1" s="1"/>
  <c r="CQ187" i="1" a="1"/>
  <c r="CQ187" i="1" s="1"/>
  <c r="CQ193" i="1" a="1"/>
  <c r="CQ193" i="1" s="1"/>
  <c r="CQ244" i="1" a="1"/>
  <c r="CQ244" i="1" s="1"/>
  <c r="CQ248" i="1" a="1"/>
  <c r="CQ248" i="1" s="1"/>
  <c r="CQ251" i="1" a="1"/>
  <c r="CQ251" i="1" s="1"/>
  <c r="CQ253" i="1" a="1"/>
  <c r="CQ253" i="1" s="1"/>
  <c r="CQ266" i="1" a="1"/>
  <c r="CQ266" i="1" s="1"/>
  <c r="CQ281" i="1" a="1"/>
  <c r="CQ281" i="1" s="1"/>
  <c r="CQ288" i="1" a="1"/>
  <c r="CQ288" i="1" s="1"/>
  <c r="BK288" i="1" s="1"/>
  <c r="CQ290" i="1" a="1"/>
  <c r="CQ290" i="1" s="1"/>
  <c r="CQ292" i="1" a="1"/>
  <c r="CQ292" i="1" s="1"/>
  <c r="CQ294" i="1" a="1"/>
  <c r="CQ294" i="1" s="1"/>
  <c r="CQ296" i="1" a="1"/>
  <c r="CQ296" i="1" s="1"/>
  <c r="CQ298" i="1" a="1"/>
  <c r="CQ298" i="1" s="1"/>
  <c r="CQ258" i="1" a="1"/>
  <c r="CQ258" i="1" s="1"/>
  <c r="CQ260" i="1" a="1"/>
  <c r="CQ260" i="1" s="1"/>
  <c r="CQ271" i="1" a="1"/>
  <c r="CQ271" i="1" s="1"/>
  <c r="CQ273" i="1" a="1"/>
  <c r="CQ273" i="1" s="1"/>
  <c r="CQ318" i="1" a="1"/>
  <c r="CQ318" i="1" s="1"/>
  <c r="CQ320" i="1" a="1"/>
  <c r="CQ320" i="1" s="1"/>
  <c r="CQ322" i="1" a="1"/>
  <c r="CQ322" i="1" s="1"/>
  <c r="CQ324" i="1" a="1"/>
  <c r="CQ324" i="1" s="1"/>
  <c r="CQ326" i="1" a="1"/>
  <c r="CQ326" i="1" s="1"/>
  <c r="CQ332" i="1" a="1"/>
  <c r="CQ332" i="1" s="1"/>
  <c r="CQ340" i="1" a="1"/>
  <c r="CQ340" i="1" s="1"/>
  <c r="CQ263" i="1" a="1"/>
  <c r="CQ263" i="1" s="1"/>
  <c r="CQ265" i="1" a="1"/>
  <c r="CQ265" i="1" s="1"/>
  <c r="CQ274" i="1" a="1"/>
  <c r="CQ274" i="1" s="1"/>
  <c r="CQ276" i="1" a="1"/>
  <c r="CQ276" i="1" s="1"/>
  <c r="CQ284" i="1" a="1"/>
  <c r="CQ284" i="1" s="1"/>
  <c r="CQ297" i="1" a="1"/>
  <c r="CQ297" i="1" s="1"/>
  <c r="CQ300" i="1" a="1"/>
  <c r="CQ300" i="1" s="1"/>
  <c r="CQ302" i="1" a="1"/>
  <c r="CQ302" i="1" s="1"/>
  <c r="CQ304" i="1" a="1"/>
  <c r="CQ304" i="1" s="1"/>
  <c r="CQ306" i="1" a="1"/>
  <c r="CQ306" i="1" s="1"/>
  <c r="CQ308" i="1" a="1"/>
  <c r="CQ308" i="1" s="1"/>
  <c r="CQ310" i="1" a="1"/>
  <c r="CQ310" i="1" s="1"/>
  <c r="CQ338" i="1" a="1"/>
  <c r="CQ338" i="1" s="1"/>
  <c r="CQ268" i="1" a="1"/>
  <c r="CQ268" i="1" s="1"/>
  <c r="CQ279" i="1" a="1"/>
  <c r="CQ279" i="1" s="1"/>
  <c r="CQ317" i="1" a="1"/>
  <c r="CQ317" i="1" s="1"/>
  <c r="CQ319" i="1" a="1"/>
  <c r="CQ319" i="1" s="1"/>
  <c r="CQ321" i="1" a="1"/>
  <c r="CQ321" i="1" s="1"/>
  <c r="CQ323" i="1" a="1"/>
  <c r="CQ323" i="1" s="1"/>
  <c r="CQ325" i="1" a="1"/>
  <c r="CQ325" i="1" s="1"/>
  <c r="CQ327" i="1" a="1"/>
  <c r="CQ327" i="1" s="1"/>
  <c r="CQ328" i="1" a="1"/>
  <c r="CQ328" i="1" s="1"/>
  <c r="CQ329" i="1" a="1"/>
  <c r="CQ329" i="1" s="1"/>
  <c r="CQ334" i="1" a="1"/>
  <c r="CQ334" i="1" s="1"/>
  <c r="CQ335" i="1" a="1"/>
  <c r="CQ335" i="1" s="1"/>
  <c r="CQ342" i="1" a="1"/>
  <c r="CQ342" i="1" s="1"/>
  <c r="CQ343" i="1" a="1"/>
  <c r="CQ343" i="1" s="1"/>
  <c r="CQ347" i="1" a="1"/>
  <c r="CQ347" i="1" s="1"/>
  <c r="CQ349" i="1" a="1"/>
  <c r="CQ349" i="1" s="1"/>
  <c r="CQ351" i="1" a="1"/>
  <c r="CQ351" i="1" s="1"/>
  <c r="CQ352" i="1" a="1"/>
  <c r="CQ352" i="1" s="1"/>
  <c r="CQ313" i="1" a="1"/>
  <c r="CQ313" i="1" s="1"/>
  <c r="CQ315" i="1" a="1"/>
  <c r="CQ315" i="1" s="1"/>
  <c r="CQ330" i="1" a="1"/>
  <c r="CQ330" i="1" s="1"/>
  <c r="CQ344" i="1" a="1"/>
  <c r="CQ344" i="1" s="1"/>
  <c r="CQ345" i="1" a="1"/>
  <c r="CQ345" i="1" s="1"/>
  <c r="CQ348" i="1" a="1"/>
  <c r="CQ348" i="1" s="1"/>
  <c r="CQ354" i="1" a="1"/>
  <c r="CQ354" i="1" s="1"/>
  <c r="CQ355" i="1" a="1"/>
  <c r="CQ355" i="1" s="1"/>
  <c r="CQ356" i="1" a="1"/>
  <c r="CQ356" i="1" s="1"/>
  <c r="CQ357" i="1" a="1"/>
  <c r="CQ357" i="1" s="1"/>
  <c r="CQ358" i="1" a="1"/>
  <c r="CQ358" i="1" s="1"/>
  <c r="CQ359" i="1" a="1"/>
  <c r="CQ359" i="1" s="1"/>
  <c r="BK359" i="1" s="1"/>
  <c r="CQ360" i="1" a="1"/>
  <c r="CQ360" i="1" s="1"/>
  <c r="CQ361" i="1" a="1"/>
  <c r="CQ361" i="1" s="1"/>
  <c r="CQ362" i="1" a="1"/>
  <c r="CQ362" i="1" s="1"/>
  <c r="CQ363" i="1" a="1"/>
  <c r="CQ363" i="1" s="1"/>
  <c r="CQ364" i="1" a="1"/>
  <c r="CQ364" i="1" s="1"/>
  <c r="CQ365" i="1" a="1"/>
  <c r="CQ365" i="1" s="1"/>
  <c r="CQ366" i="1" a="1"/>
  <c r="CQ366" i="1" s="1"/>
  <c r="CQ367" i="1" a="1"/>
  <c r="CQ367" i="1" s="1"/>
  <c r="BK367" i="1" s="1"/>
  <c r="CQ368" i="1" a="1"/>
  <c r="CQ368" i="1" s="1"/>
  <c r="CQ369" i="1" a="1"/>
  <c r="CQ369" i="1" s="1"/>
  <c r="CQ370" i="1" a="1"/>
  <c r="CQ370" i="1" s="1"/>
  <c r="CQ371" i="1" a="1"/>
  <c r="CQ371" i="1" s="1"/>
  <c r="CQ372" i="1" a="1"/>
  <c r="CQ372" i="1" s="1"/>
  <c r="CQ373" i="1" a="1"/>
  <c r="CQ373" i="1" s="1"/>
  <c r="CQ374" i="1" a="1"/>
  <c r="CQ374" i="1" s="1"/>
  <c r="CQ375" i="1" a="1"/>
  <c r="CQ375" i="1" s="1"/>
  <c r="CQ376" i="1" a="1"/>
  <c r="CQ376" i="1" s="1"/>
  <c r="CQ377" i="1" a="1"/>
  <c r="CQ377" i="1" s="1"/>
  <c r="CQ378" i="1" a="1"/>
  <c r="CQ378" i="1" s="1"/>
  <c r="CQ379" i="1" a="1"/>
  <c r="CQ379" i="1" s="1"/>
  <c r="CQ380" i="1" a="1"/>
  <c r="CQ380" i="1" s="1"/>
  <c r="CQ381" i="1" a="1"/>
  <c r="CQ381" i="1" s="1"/>
  <c r="CQ382" i="1" a="1"/>
  <c r="CQ382" i="1" s="1"/>
  <c r="CQ383" i="1" a="1"/>
  <c r="CQ383" i="1" s="1"/>
  <c r="CQ384" i="1" a="1"/>
  <c r="CQ384" i="1" s="1"/>
  <c r="CQ385" i="1" a="1"/>
  <c r="CQ385" i="1" s="1"/>
  <c r="CQ386" i="1" a="1"/>
  <c r="CQ386" i="1" s="1"/>
  <c r="CQ387" i="1" a="1"/>
  <c r="CQ387" i="1" s="1"/>
  <c r="CQ388" i="1" a="1"/>
  <c r="CQ388" i="1" s="1"/>
  <c r="CQ389" i="1" a="1"/>
  <c r="CQ389" i="1" s="1"/>
  <c r="CQ390" i="1" a="1"/>
  <c r="CQ390" i="1" s="1"/>
  <c r="CQ391" i="1" a="1"/>
  <c r="CQ391" i="1" s="1"/>
  <c r="BK391" i="1" s="1"/>
  <c r="CQ392" i="1" a="1"/>
  <c r="CQ392" i="1" s="1"/>
  <c r="CQ393" i="1" a="1"/>
  <c r="CQ393" i="1" s="1"/>
  <c r="CQ394" i="1" a="1"/>
  <c r="CQ394" i="1" s="1"/>
  <c r="CQ395" i="1" a="1"/>
  <c r="CQ395" i="1" s="1"/>
  <c r="CQ396" i="1" a="1"/>
  <c r="CQ396" i="1" s="1"/>
  <c r="BK396" i="1" s="1"/>
  <c r="CQ397" i="1" a="1"/>
  <c r="CQ397" i="1" s="1"/>
  <c r="CQ398" i="1" a="1"/>
  <c r="CQ398" i="1" s="1"/>
  <c r="CQ399" i="1" a="1"/>
  <c r="CQ399" i="1" s="1"/>
  <c r="BK399" i="1" s="1"/>
  <c r="CQ400" i="1" a="1"/>
  <c r="CQ400" i="1" s="1"/>
  <c r="CQ401" i="1" a="1"/>
  <c r="CQ401" i="1" s="1"/>
  <c r="CQ402" i="1" a="1"/>
  <c r="CQ402" i="1" s="1"/>
  <c r="CQ403" i="1" a="1"/>
  <c r="CQ403" i="1" s="1"/>
  <c r="CQ404" i="1" a="1"/>
  <c r="CQ404" i="1" s="1"/>
  <c r="CQ405" i="1" a="1"/>
  <c r="CQ405" i="1" s="1"/>
  <c r="CQ406" i="1" a="1"/>
  <c r="CQ406" i="1" s="1"/>
  <c r="CQ407" i="1" a="1"/>
  <c r="CQ407" i="1" s="1"/>
  <c r="CQ408" i="1" a="1"/>
  <c r="CQ408" i="1" s="1"/>
  <c r="CQ409" i="1" a="1"/>
  <c r="CQ409" i="1" s="1"/>
  <c r="CQ410" i="1" a="1"/>
  <c r="CQ410" i="1" s="1"/>
  <c r="CQ411" i="1" a="1"/>
  <c r="CQ411" i="1" s="1"/>
  <c r="CQ412" i="1" a="1"/>
  <c r="CQ412" i="1" s="1"/>
  <c r="CQ413" i="1" a="1"/>
  <c r="CQ413" i="1" s="1"/>
  <c r="CQ414" i="1" a="1"/>
  <c r="CQ414" i="1" s="1"/>
  <c r="CQ415" i="1" a="1"/>
  <c r="CQ415" i="1" s="1"/>
  <c r="CQ416" i="1" a="1"/>
  <c r="CQ416" i="1" s="1"/>
  <c r="CQ417" i="1" a="1"/>
  <c r="CQ417" i="1" s="1"/>
  <c r="CQ418" i="1" a="1"/>
  <c r="CQ418" i="1" s="1"/>
  <c r="CQ421" i="1" a="1"/>
  <c r="CQ421" i="1" s="1"/>
  <c r="CQ425" i="1" a="1"/>
  <c r="CQ425" i="1" s="1"/>
  <c r="CQ426" i="1" a="1"/>
  <c r="CQ426" i="1" s="1"/>
  <c r="CQ431" i="1" a="1"/>
  <c r="CQ431" i="1" s="1"/>
  <c r="CQ435" i="1" a="1"/>
  <c r="CQ435" i="1" s="1"/>
  <c r="CQ257" i="1" a="1"/>
  <c r="CQ257" i="1" s="1"/>
  <c r="CQ299" i="1" a="1"/>
  <c r="CQ299" i="1" s="1"/>
  <c r="CQ301" i="1" a="1"/>
  <c r="CQ301" i="1" s="1"/>
  <c r="CQ303" i="1" a="1"/>
  <c r="CQ303" i="1" s="1"/>
  <c r="CQ305" i="1" a="1"/>
  <c r="CQ305" i="1" s="1"/>
  <c r="CQ307" i="1" a="1"/>
  <c r="CQ307" i="1" s="1"/>
  <c r="CQ309" i="1" a="1"/>
  <c r="CQ309" i="1" s="1"/>
  <c r="CQ311" i="1" a="1"/>
  <c r="CQ311" i="1" s="1"/>
  <c r="CQ333" i="1" a="1"/>
  <c r="CQ333" i="1" s="1"/>
  <c r="CQ336" i="1" a="1"/>
  <c r="CQ336" i="1" s="1"/>
  <c r="CQ341" i="1" a="1"/>
  <c r="CQ341" i="1" s="1"/>
  <c r="CQ350" i="1" a="1"/>
  <c r="CQ350" i="1" s="1"/>
  <c r="CQ353" i="1" a="1"/>
  <c r="CQ353" i="1" s="1"/>
  <c r="CQ419" i="1" a="1"/>
  <c r="CQ419" i="1" s="1"/>
  <c r="CQ420" i="1" a="1"/>
  <c r="CQ420" i="1" s="1"/>
  <c r="CQ422" i="1" a="1"/>
  <c r="CQ422" i="1" s="1"/>
  <c r="CQ424" i="1" a="1"/>
  <c r="CQ424" i="1" s="1"/>
  <c r="CQ312" i="1" a="1"/>
  <c r="CQ312" i="1" s="1"/>
  <c r="CQ314" i="1" a="1"/>
  <c r="CQ314" i="1" s="1"/>
  <c r="CQ316" i="1" a="1"/>
  <c r="CQ316" i="1" s="1"/>
  <c r="CQ331" i="1" a="1"/>
  <c r="CQ331" i="1" s="1"/>
  <c r="CQ339" i="1" a="1"/>
  <c r="CQ339" i="1" s="1"/>
  <c r="CQ429" i="1" a="1"/>
  <c r="CQ429" i="1" s="1"/>
  <c r="CQ432" i="1" a="1"/>
  <c r="CQ432" i="1" s="1"/>
  <c r="CQ433" i="1" a="1"/>
  <c r="CQ433" i="1" s="1"/>
  <c r="BL433" i="1" s="1"/>
  <c r="CQ437" i="1" a="1"/>
  <c r="CQ437" i="1" s="1"/>
  <c r="CQ438" i="1" a="1"/>
  <c r="CQ438" i="1" s="1"/>
  <c r="DD23" i="1" a="1"/>
  <c r="DD23" i="1" s="1"/>
  <c r="DD24" i="1" a="1"/>
  <c r="DD24" i="1" s="1"/>
  <c r="DD25" i="1" a="1"/>
  <c r="DD25" i="1" s="1"/>
  <c r="DD29" i="1" a="1"/>
  <c r="DD29" i="1" s="1"/>
  <c r="DD30" i="1" a="1"/>
  <c r="DD30" i="1" s="1"/>
  <c r="DD31" i="1" a="1"/>
  <c r="DD31" i="1" s="1"/>
  <c r="DD32" i="1" a="1"/>
  <c r="DD32" i="1" s="1"/>
  <c r="DD33" i="1" a="1"/>
  <c r="DD33" i="1" s="1"/>
  <c r="DD34" i="1" a="1"/>
  <c r="DD34" i="1" s="1"/>
  <c r="DD35" i="1" a="1"/>
  <c r="DD35" i="1" s="1"/>
  <c r="DD36" i="1" a="1"/>
  <c r="DD36" i="1" s="1"/>
  <c r="DD37" i="1" a="1"/>
  <c r="DD37" i="1" s="1"/>
  <c r="DD38" i="1" a="1"/>
  <c r="DD38" i="1" s="1"/>
  <c r="DD39" i="1" a="1"/>
  <c r="DD39" i="1" s="1"/>
  <c r="DD44" i="1" a="1"/>
  <c r="DD44" i="1" s="1"/>
  <c r="DD40" i="1" a="1"/>
  <c r="DD40" i="1" s="1"/>
  <c r="DD42" i="1" a="1"/>
  <c r="DD42" i="1" s="1"/>
  <c r="DD43" i="1" a="1"/>
  <c r="DD43" i="1" s="1"/>
  <c r="DD45" i="1" a="1"/>
  <c r="DD45" i="1" s="1"/>
  <c r="DD41" i="1" a="1"/>
  <c r="DD41" i="1" s="1"/>
  <c r="DD49" i="1" a="1"/>
  <c r="DD49" i="1" s="1"/>
  <c r="DD50" i="1" a="1"/>
  <c r="DD50" i="1" s="1"/>
  <c r="DD55" i="1" a="1"/>
  <c r="DD55" i="1" s="1"/>
  <c r="DD59" i="1" a="1"/>
  <c r="DD59" i="1" s="1"/>
  <c r="DD27" i="1" a="1"/>
  <c r="DD27" i="1" s="1"/>
  <c r="DD51" i="1" a="1"/>
  <c r="DD51" i="1" s="1"/>
  <c r="DD56" i="1" a="1"/>
  <c r="DD56" i="1" s="1"/>
  <c r="DD57" i="1" a="1"/>
  <c r="DD57" i="1" s="1"/>
  <c r="DD60" i="1" a="1"/>
  <c r="DD60" i="1" s="1"/>
  <c r="DD61" i="1" a="1"/>
  <c r="DD61" i="1" s="1"/>
  <c r="DD63" i="1" a="1"/>
  <c r="DD63" i="1" s="1"/>
  <c r="DD47" i="1" a="1"/>
  <c r="DD47" i="1" s="1"/>
  <c r="DD52" i="1" a="1"/>
  <c r="DD52" i="1" s="1"/>
  <c r="DD64" i="1" a="1"/>
  <c r="DD64" i="1" s="1"/>
  <c r="DD53" i="1" a="1"/>
  <c r="DD53" i="1" s="1"/>
  <c r="DD28" i="1" a="1"/>
  <c r="DD28" i="1" s="1"/>
  <c r="DD78" i="1" a="1"/>
  <c r="DD78" i="1" s="1"/>
  <c r="DD79" i="1" a="1"/>
  <c r="DD79" i="1" s="1"/>
  <c r="DD81" i="1" a="1"/>
  <c r="DD81" i="1" s="1"/>
  <c r="DD82" i="1" a="1"/>
  <c r="DD82" i="1" s="1"/>
  <c r="DD86" i="1" a="1"/>
  <c r="DD86" i="1" s="1"/>
  <c r="DD26" i="1" a="1"/>
  <c r="DD26" i="1" s="1"/>
  <c r="DD48" i="1" a="1"/>
  <c r="DD48" i="1" s="1"/>
  <c r="DD54" i="1" a="1"/>
  <c r="DD54" i="1" s="1"/>
  <c r="DD58" i="1" a="1"/>
  <c r="DD58" i="1" s="1"/>
  <c r="DD46" i="1" a="1"/>
  <c r="DD46" i="1" s="1"/>
  <c r="DD66" i="1" a="1"/>
  <c r="DD66" i="1" s="1"/>
  <c r="DD68" i="1" a="1"/>
  <c r="DD68" i="1" s="1"/>
  <c r="DD70" i="1" a="1"/>
  <c r="DD70" i="1" s="1"/>
  <c r="DD72" i="1" a="1"/>
  <c r="DD72" i="1" s="1"/>
  <c r="DD74" i="1" a="1"/>
  <c r="DD74" i="1" s="1"/>
  <c r="DD76" i="1" a="1"/>
  <c r="DD76" i="1" s="1"/>
  <c r="DD80" i="1" a="1"/>
  <c r="DD80" i="1" s="1"/>
  <c r="DD84" i="1" a="1"/>
  <c r="DD84" i="1" s="1"/>
  <c r="DD91" i="1" a="1"/>
  <c r="DD91" i="1" s="1"/>
  <c r="DD112" i="1" a="1"/>
  <c r="DD112" i="1" s="1"/>
  <c r="DD115" i="1" a="1"/>
  <c r="DD115" i="1" s="1"/>
  <c r="DD117" i="1" a="1"/>
  <c r="DD117" i="1" s="1"/>
  <c r="DD83" i="1" a="1"/>
  <c r="DD83" i="1" s="1"/>
  <c r="DD85" i="1" a="1"/>
  <c r="DD85" i="1" s="1"/>
  <c r="DD87" i="1" a="1"/>
  <c r="DD87" i="1" s="1"/>
  <c r="DD92" i="1" a="1"/>
  <c r="DD92" i="1" s="1"/>
  <c r="DD93" i="1" a="1"/>
  <c r="DD93" i="1" s="1"/>
  <c r="DD94" i="1" a="1"/>
  <c r="DD94" i="1" s="1"/>
  <c r="DD95" i="1" a="1"/>
  <c r="DD95" i="1" s="1"/>
  <c r="DD99" i="1" a="1"/>
  <c r="DD99" i="1" s="1"/>
  <c r="DD100" i="1" a="1"/>
  <c r="DD100" i="1" s="1"/>
  <c r="DD110" i="1" a="1"/>
  <c r="DD110" i="1" s="1"/>
  <c r="DD116" i="1" a="1"/>
  <c r="DD116" i="1" s="1"/>
  <c r="DD65" i="1" a="1"/>
  <c r="DD65" i="1" s="1"/>
  <c r="DD67" i="1" a="1"/>
  <c r="DD67" i="1" s="1"/>
  <c r="DD69" i="1" a="1"/>
  <c r="DD69" i="1" s="1"/>
  <c r="DD71" i="1" a="1"/>
  <c r="DD71" i="1" s="1"/>
  <c r="DD73" i="1" a="1"/>
  <c r="DD73" i="1" s="1"/>
  <c r="DD75" i="1" a="1"/>
  <c r="DD75" i="1" s="1"/>
  <c r="DD77" i="1" a="1"/>
  <c r="DD77" i="1" s="1"/>
  <c r="DD88" i="1" a="1"/>
  <c r="DD88" i="1" s="1"/>
  <c r="DD89" i="1" a="1"/>
  <c r="DD89" i="1" s="1"/>
  <c r="DD96" i="1" a="1"/>
  <c r="DD96" i="1" s="1"/>
  <c r="DD97" i="1" a="1"/>
  <c r="DD97" i="1" s="1"/>
  <c r="DD98" i="1" a="1"/>
  <c r="DD98" i="1" s="1"/>
  <c r="DD101" i="1" a="1"/>
  <c r="DD101" i="1" s="1"/>
  <c r="DD102" i="1" a="1"/>
  <c r="DD102" i="1" s="1"/>
  <c r="DD103" i="1" a="1"/>
  <c r="DD103" i="1" s="1"/>
  <c r="DD104" i="1" a="1"/>
  <c r="DD104" i="1" s="1"/>
  <c r="DD105" i="1" a="1"/>
  <c r="DD105" i="1" s="1"/>
  <c r="DD106" i="1" a="1"/>
  <c r="DD106" i="1" s="1"/>
  <c r="DD107" i="1" a="1"/>
  <c r="DD107" i="1" s="1"/>
  <c r="DD108" i="1" a="1"/>
  <c r="DD108" i="1" s="1"/>
  <c r="DD109" i="1" a="1"/>
  <c r="DD109" i="1" s="1"/>
  <c r="DD118" i="1" a="1"/>
  <c r="DD118" i="1" s="1"/>
  <c r="DD119" i="1" a="1"/>
  <c r="DD119" i="1" s="1"/>
  <c r="DD120" i="1" a="1"/>
  <c r="DD120" i="1" s="1"/>
  <c r="DD122" i="1" a="1"/>
  <c r="DD122" i="1" s="1"/>
  <c r="DD124" i="1" a="1"/>
  <c r="DD124" i="1" s="1"/>
  <c r="DD126" i="1" a="1"/>
  <c r="DD126" i="1" s="1"/>
  <c r="DD137" i="1" a="1"/>
  <c r="DD137" i="1" s="1"/>
  <c r="DD139" i="1" a="1"/>
  <c r="DD139" i="1" s="1"/>
  <c r="DD141" i="1" a="1"/>
  <c r="DD141" i="1" s="1"/>
  <c r="DD146" i="1" a="1"/>
  <c r="DD146" i="1" s="1"/>
  <c r="DD147" i="1" a="1"/>
  <c r="DD147" i="1" s="1"/>
  <c r="DD150" i="1" a="1"/>
  <c r="DD150" i="1" s="1"/>
  <c r="DD62" i="1" a="1"/>
  <c r="DD62" i="1" s="1"/>
  <c r="DD90" i="1" a="1"/>
  <c r="DD90" i="1" s="1"/>
  <c r="DD111" i="1" a="1"/>
  <c r="DD111" i="1" s="1"/>
  <c r="DD114" i="1" a="1"/>
  <c r="DD114" i="1" s="1"/>
  <c r="DD145" i="1" a="1"/>
  <c r="DD145" i="1" s="1"/>
  <c r="DD148" i="1" a="1"/>
  <c r="DD148" i="1" s="1"/>
  <c r="DD151" i="1" a="1"/>
  <c r="DD151" i="1" s="1"/>
  <c r="DD153" i="1" a="1"/>
  <c r="DD153" i="1" s="1"/>
  <c r="DD155" i="1" a="1"/>
  <c r="DD155" i="1" s="1"/>
  <c r="DD157" i="1" a="1"/>
  <c r="DD157" i="1" s="1"/>
  <c r="DD121" i="1" a="1"/>
  <c r="DD121" i="1" s="1"/>
  <c r="DD123" i="1" a="1"/>
  <c r="DD123" i="1" s="1"/>
  <c r="DD125" i="1" a="1"/>
  <c r="DD125" i="1" s="1"/>
  <c r="DD127" i="1" a="1"/>
  <c r="DD127" i="1" s="1"/>
  <c r="DD128" i="1" a="1"/>
  <c r="DD128" i="1" s="1"/>
  <c r="DD130" i="1" a="1"/>
  <c r="DD130" i="1" s="1"/>
  <c r="DD131" i="1" a="1"/>
  <c r="DD131" i="1" s="1"/>
  <c r="DD132" i="1" a="1"/>
  <c r="DD132" i="1" s="1"/>
  <c r="DD133" i="1" a="1"/>
  <c r="DD133" i="1" s="1"/>
  <c r="DD134" i="1" a="1"/>
  <c r="DD134" i="1" s="1"/>
  <c r="DD135" i="1" a="1"/>
  <c r="DD135" i="1" s="1"/>
  <c r="DD136" i="1" a="1"/>
  <c r="DD136" i="1" s="1"/>
  <c r="DD138" i="1" a="1"/>
  <c r="DD138" i="1" s="1"/>
  <c r="DD140" i="1" a="1"/>
  <c r="DD140" i="1" s="1"/>
  <c r="DD142" i="1" a="1"/>
  <c r="DD142" i="1" s="1"/>
  <c r="DD143" i="1" a="1"/>
  <c r="DD143" i="1" s="1"/>
  <c r="DD144" i="1" a="1"/>
  <c r="DD144" i="1" s="1"/>
  <c r="DD159" i="1" a="1"/>
  <c r="DD159" i="1" s="1"/>
  <c r="DD169" i="1" a="1"/>
  <c r="DD169" i="1" s="1"/>
  <c r="DD175" i="1" a="1"/>
  <c r="DD175" i="1" s="1"/>
  <c r="DD180" i="1" a="1"/>
  <c r="DD180" i="1" s="1"/>
  <c r="DD182" i="1" a="1"/>
  <c r="DD182" i="1" s="1"/>
  <c r="DD113" i="1" a="1"/>
  <c r="DD113" i="1" s="1"/>
  <c r="DD129" i="1" a="1"/>
  <c r="DD129" i="1" s="1"/>
  <c r="DD152" i="1" a="1"/>
  <c r="DD152" i="1" s="1"/>
  <c r="DD154" i="1" a="1"/>
  <c r="DD154" i="1" s="1"/>
  <c r="DD156" i="1" a="1"/>
  <c r="DD156" i="1" s="1"/>
  <c r="DD160" i="1" a="1"/>
  <c r="DD160" i="1" s="1"/>
  <c r="DD162" i="1" a="1"/>
  <c r="DD162" i="1" s="1"/>
  <c r="DD164" i="1" a="1"/>
  <c r="DD164" i="1" s="1"/>
  <c r="DD166" i="1" a="1"/>
  <c r="DD166" i="1" s="1"/>
  <c r="DD172" i="1" a="1"/>
  <c r="DD172" i="1" s="1"/>
  <c r="DD177" i="1" a="1"/>
  <c r="DD177" i="1" s="1"/>
  <c r="DD179" i="1" a="1"/>
  <c r="DD179" i="1" s="1"/>
  <c r="DD184" i="1" a="1"/>
  <c r="DD184" i="1" s="1"/>
  <c r="DD158" i="1" a="1"/>
  <c r="DD158" i="1" s="1"/>
  <c r="DD168" i="1" a="1"/>
  <c r="DD168" i="1" s="1"/>
  <c r="DD171" i="1" a="1"/>
  <c r="DD171" i="1" s="1"/>
  <c r="DD174" i="1" a="1"/>
  <c r="DD174" i="1" s="1"/>
  <c r="DD176" i="1" a="1"/>
  <c r="DD176" i="1" s="1"/>
  <c r="DD181" i="1" a="1"/>
  <c r="DD181" i="1" s="1"/>
  <c r="DD183" i="1" a="1"/>
  <c r="DD183" i="1" s="1"/>
  <c r="DD149" i="1" a="1"/>
  <c r="DD149" i="1" s="1"/>
  <c r="DD161" i="1" a="1"/>
  <c r="DD161" i="1" s="1"/>
  <c r="DD163" i="1" a="1"/>
  <c r="DD163" i="1" s="1"/>
  <c r="DD165" i="1" a="1"/>
  <c r="DD165" i="1" s="1"/>
  <c r="DD167" i="1" a="1"/>
  <c r="DD167" i="1" s="1"/>
  <c r="DD173" i="1" a="1"/>
  <c r="DD173" i="1" s="1"/>
  <c r="DD196" i="1" a="1"/>
  <c r="DD196" i="1" s="1"/>
  <c r="DD198" i="1" a="1"/>
  <c r="DD198" i="1" s="1"/>
  <c r="DD247" i="1" a="1"/>
  <c r="DD247" i="1" s="1"/>
  <c r="DD186" i="1" a="1"/>
  <c r="DD186" i="1" s="1"/>
  <c r="DD188" i="1" a="1"/>
  <c r="DD188" i="1" s="1"/>
  <c r="DD190" i="1" a="1"/>
  <c r="DD190" i="1" s="1"/>
  <c r="DD193" i="1" a="1"/>
  <c r="DD193" i="1" s="1"/>
  <c r="DD200" i="1" a="1"/>
  <c r="DD200" i="1" s="1"/>
  <c r="DD202" i="1" a="1"/>
  <c r="DD202" i="1" s="1"/>
  <c r="DD204" i="1" a="1"/>
  <c r="DD204" i="1" s="1"/>
  <c r="DD206" i="1" a="1"/>
  <c r="DD206" i="1" s="1"/>
  <c r="DD208" i="1" a="1"/>
  <c r="DD208" i="1" s="1"/>
  <c r="DD210" i="1" a="1"/>
  <c r="DD210" i="1" s="1"/>
  <c r="DD212" i="1" a="1"/>
  <c r="DD212" i="1" s="1"/>
  <c r="DD214" i="1" a="1"/>
  <c r="DD214" i="1" s="1"/>
  <c r="DD216" i="1" a="1"/>
  <c r="DD216" i="1" s="1"/>
  <c r="DD218" i="1" a="1"/>
  <c r="DD218" i="1" s="1"/>
  <c r="DD220" i="1" a="1"/>
  <c r="DD220" i="1" s="1"/>
  <c r="DD222" i="1" a="1"/>
  <c r="DD222" i="1" s="1"/>
  <c r="DD224" i="1" a="1"/>
  <c r="DD224" i="1" s="1"/>
  <c r="DD226" i="1" a="1"/>
  <c r="DD226" i="1" s="1"/>
  <c r="DD228" i="1" a="1"/>
  <c r="DD228" i="1" s="1"/>
  <c r="DD230" i="1" a="1"/>
  <c r="DD230" i="1" s="1"/>
  <c r="DD232" i="1" a="1"/>
  <c r="DD232" i="1" s="1"/>
  <c r="DD234" i="1" a="1"/>
  <c r="DD234" i="1" s="1"/>
  <c r="DD236" i="1" a="1"/>
  <c r="DD236" i="1" s="1"/>
  <c r="DD238" i="1" a="1"/>
  <c r="DD238" i="1" s="1"/>
  <c r="DD240" i="1" a="1"/>
  <c r="DD240" i="1" s="1"/>
  <c r="DD242" i="1" a="1"/>
  <c r="DD242" i="1" s="1"/>
  <c r="DD185" i="1" a="1"/>
  <c r="DD185" i="1" s="1"/>
  <c r="DD187" i="1" a="1"/>
  <c r="DD187" i="1" s="1"/>
  <c r="DD192" i="1" a="1"/>
  <c r="DD192" i="1" s="1"/>
  <c r="DD195" i="1" a="1"/>
  <c r="DD195" i="1" s="1"/>
  <c r="DD197" i="1" a="1"/>
  <c r="DD197" i="1" s="1"/>
  <c r="DD199" i="1" a="1"/>
  <c r="DD199" i="1" s="1"/>
  <c r="DD178" i="1" a="1"/>
  <c r="DD178" i="1" s="1"/>
  <c r="DD194" i="1" a="1"/>
  <c r="DD194" i="1" s="1"/>
  <c r="DD248" i="1" a="1"/>
  <c r="DD248" i="1" s="1"/>
  <c r="DD251" i="1" a="1"/>
  <c r="DD251" i="1" s="1"/>
  <c r="DD253" i="1" a="1"/>
  <c r="DD253" i="1" s="1"/>
  <c r="DD266" i="1" a="1"/>
  <c r="DD266" i="1" s="1"/>
  <c r="DD277" i="1" a="1"/>
  <c r="DD277" i="1" s="1"/>
  <c r="DD281" i="1" a="1"/>
  <c r="DD281" i="1" s="1"/>
  <c r="DD288" i="1" a="1"/>
  <c r="DD288" i="1" s="1"/>
  <c r="DD290" i="1" a="1"/>
  <c r="DD290" i="1" s="1"/>
  <c r="DD292" i="1" a="1"/>
  <c r="DD292" i="1" s="1"/>
  <c r="DD294" i="1" a="1"/>
  <c r="DD294" i="1" s="1"/>
  <c r="DD245" i="1" a="1"/>
  <c r="DD245" i="1" s="1"/>
  <c r="DD255" i="1" a="1"/>
  <c r="DD255" i="1" s="1"/>
  <c r="DD258" i="1" a="1"/>
  <c r="DD258" i="1" s="1"/>
  <c r="DD260" i="1" a="1"/>
  <c r="DD260" i="1" s="1"/>
  <c r="DD263" i="1" a="1"/>
  <c r="DD263" i="1" s="1"/>
  <c r="DD265" i="1" a="1"/>
  <c r="DD265" i="1" s="1"/>
  <c r="DD271" i="1" a="1"/>
  <c r="DD271" i="1" s="1"/>
  <c r="DD274" i="1" a="1"/>
  <c r="DD274" i="1" s="1"/>
  <c r="DD276" i="1" a="1"/>
  <c r="DD276" i="1" s="1"/>
  <c r="DD279" i="1" a="1"/>
  <c r="DD279" i="1" s="1"/>
  <c r="DD284" i="1" a="1"/>
  <c r="DD284" i="1" s="1"/>
  <c r="DD170" i="1" a="1"/>
  <c r="DD170" i="1" s="1"/>
  <c r="DD243" i="1" a="1"/>
  <c r="DD243" i="1" s="1"/>
  <c r="DD250" i="1" a="1"/>
  <c r="DD250" i="1" s="1"/>
  <c r="DD252" i="1" a="1"/>
  <c r="DD252" i="1" s="1"/>
  <c r="DD257" i="1" a="1"/>
  <c r="DD257" i="1" s="1"/>
  <c r="DD262" i="1" a="1"/>
  <c r="DD262" i="1" s="1"/>
  <c r="DD270" i="1" a="1"/>
  <c r="DD270" i="1" s="1"/>
  <c r="DD273" i="1" a="1"/>
  <c r="DD273" i="1" s="1"/>
  <c r="DD280" i="1" a="1"/>
  <c r="DD280" i="1" s="1"/>
  <c r="DD286" i="1" a="1"/>
  <c r="DD286" i="1" s="1"/>
  <c r="DD287" i="1" a="1"/>
  <c r="DD287" i="1" s="1"/>
  <c r="DD289" i="1" a="1"/>
  <c r="DD289" i="1" s="1"/>
  <c r="DD291" i="1" a="1"/>
  <c r="DD291" i="1" s="1"/>
  <c r="DD293" i="1" a="1"/>
  <c r="DD293" i="1" s="1"/>
  <c r="DD295" i="1" a="1"/>
  <c r="DD295" i="1" s="1"/>
  <c r="DD297" i="1" a="1"/>
  <c r="DD297" i="1" s="1"/>
  <c r="DD201" i="1" a="1"/>
  <c r="DD201" i="1" s="1"/>
  <c r="DD203" i="1" a="1"/>
  <c r="DD203" i="1" s="1"/>
  <c r="DD205" i="1" a="1"/>
  <c r="DD205" i="1" s="1"/>
  <c r="DD207" i="1" a="1"/>
  <c r="DD207" i="1" s="1"/>
  <c r="DD209" i="1" a="1"/>
  <c r="DD209" i="1" s="1"/>
  <c r="DD211" i="1" a="1"/>
  <c r="DD211" i="1" s="1"/>
  <c r="DD213" i="1" a="1"/>
  <c r="DD213" i="1" s="1"/>
  <c r="DD215" i="1" a="1"/>
  <c r="DD215" i="1" s="1"/>
  <c r="DD217" i="1" a="1"/>
  <c r="DD217" i="1" s="1"/>
  <c r="DD219" i="1" a="1"/>
  <c r="DD219" i="1" s="1"/>
  <c r="DD221" i="1" a="1"/>
  <c r="DD221" i="1" s="1"/>
  <c r="DD223" i="1" a="1"/>
  <c r="DD223" i="1" s="1"/>
  <c r="DD225" i="1" a="1"/>
  <c r="DD225" i="1" s="1"/>
  <c r="DD227" i="1" a="1"/>
  <c r="DD227" i="1" s="1"/>
  <c r="DD229" i="1" a="1"/>
  <c r="DD229" i="1" s="1"/>
  <c r="DD231" i="1" a="1"/>
  <c r="DD231" i="1" s="1"/>
  <c r="DD233" i="1" a="1"/>
  <c r="DD233" i="1" s="1"/>
  <c r="DD235" i="1" a="1"/>
  <c r="DD235" i="1" s="1"/>
  <c r="DD237" i="1" a="1"/>
  <c r="DD237" i="1" s="1"/>
  <c r="DD239" i="1" a="1"/>
  <c r="DD239" i="1" s="1"/>
  <c r="DD241" i="1" a="1"/>
  <c r="DD241" i="1" s="1"/>
  <c r="DD246" i="1" a="1"/>
  <c r="DD246" i="1" s="1"/>
  <c r="DD267" i="1" a="1"/>
  <c r="DD267" i="1" s="1"/>
  <c r="DD278" i="1" a="1"/>
  <c r="DD278" i="1" s="1"/>
  <c r="DD312" i="1" a="1"/>
  <c r="DD312" i="1" s="1"/>
  <c r="DD313" i="1" a="1"/>
  <c r="DD313" i="1" s="1"/>
  <c r="DD314" i="1" a="1"/>
  <c r="DD314" i="1" s="1"/>
  <c r="DD315" i="1" a="1"/>
  <c r="DD315" i="1" s="1"/>
  <c r="DD317" i="1" a="1"/>
  <c r="DD317" i="1" s="1"/>
  <c r="DD319" i="1" a="1"/>
  <c r="DD319" i="1" s="1"/>
  <c r="DD321" i="1" a="1"/>
  <c r="DD321" i="1" s="1"/>
  <c r="DD323" i="1" a="1"/>
  <c r="DD323" i="1" s="1"/>
  <c r="DD325" i="1" a="1"/>
  <c r="DD325" i="1" s="1"/>
  <c r="DD327" i="1" a="1"/>
  <c r="DD327" i="1" s="1"/>
  <c r="DD330" i="1" a="1"/>
  <c r="DD330" i="1" s="1"/>
  <c r="DD331" i="1" a="1"/>
  <c r="DD331" i="1" s="1"/>
  <c r="DD336" i="1" a="1"/>
  <c r="DD336" i="1" s="1"/>
  <c r="DD337" i="1" a="1"/>
  <c r="DD337" i="1" s="1"/>
  <c r="DD339" i="1" a="1"/>
  <c r="DD339" i="1" s="1"/>
  <c r="DD249" i="1" a="1"/>
  <c r="DD249" i="1" s="1"/>
  <c r="DD254" i="1" a="1"/>
  <c r="DD254" i="1" s="1"/>
  <c r="DD256" i="1" a="1"/>
  <c r="DD256" i="1" s="1"/>
  <c r="DD268" i="1" a="1"/>
  <c r="DD268" i="1" s="1"/>
  <c r="DD269" i="1" a="1"/>
  <c r="DD269" i="1" s="1"/>
  <c r="DD298" i="1" a="1"/>
  <c r="DD298" i="1" s="1"/>
  <c r="DD299" i="1" a="1"/>
  <c r="DD299" i="1" s="1"/>
  <c r="DD301" i="1" a="1"/>
  <c r="DD301" i="1" s="1"/>
  <c r="DD303" i="1" a="1"/>
  <c r="DD303" i="1" s="1"/>
  <c r="DD305" i="1" a="1"/>
  <c r="DD305" i="1" s="1"/>
  <c r="DD307" i="1" a="1"/>
  <c r="DD307" i="1" s="1"/>
  <c r="DD309" i="1" a="1"/>
  <c r="DD309" i="1" s="1"/>
  <c r="DD311" i="1" a="1"/>
  <c r="DD311" i="1" s="1"/>
  <c r="DD333" i="1" a="1"/>
  <c r="DD333" i="1" s="1"/>
  <c r="DD341" i="1" a="1"/>
  <c r="DD341" i="1" s="1"/>
  <c r="DD189" i="1" a="1"/>
  <c r="DD189" i="1" s="1"/>
  <c r="DD191" i="1" a="1"/>
  <c r="DD191" i="1" s="1"/>
  <c r="DD244" i="1" a="1"/>
  <c r="DD244" i="1" s="1"/>
  <c r="DD259" i="1" a="1"/>
  <c r="DD259" i="1" s="1"/>
  <c r="DD261" i="1" a="1"/>
  <c r="DD261" i="1" s="1"/>
  <c r="DD272" i="1" a="1"/>
  <c r="DD272" i="1" s="1"/>
  <c r="DD282" i="1" a="1"/>
  <c r="DD282" i="1" s="1"/>
  <c r="DD316" i="1" a="1"/>
  <c r="DD316" i="1" s="1"/>
  <c r="DD318" i="1" a="1"/>
  <c r="DD318" i="1" s="1"/>
  <c r="DD320" i="1" a="1"/>
  <c r="DD320" i="1" s="1"/>
  <c r="DD322" i="1" a="1"/>
  <c r="DD322" i="1" s="1"/>
  <c r="DD324" i="1" a="1"/>
  <c r="DD324" i="1" s="1"/>
  <c r="DD326" i="1" a="1"/>
  <c r="DD326" i="1" s="1"/>
  <c r="DD332" i="1" a="1"/>
  <c r="DD332" i="1" s="1"/>
  <c r="DD340" i="1" a="1"/>
  <c r="DD340" i="1" s="1"/>
  <c r="DD346" i="1" a="1"/>
  <c r="DD346" i="1" s="1"/>
  <c r="DD348" i="1" a="1"/>
  <c r="DD348" i="1" s="1"/>
  <c r="DD264" i="1" a="1"/>
  <c r="DD264" i="1" s="1"/>
  <c r="DD328" i="1" a="1"/>
  <c r="DD328" i="1" s="1"/>
  <c r="DD347" i="1" a="1"/>
  <c r="DD347" i="1" s="1"/>
  <c r="DD352" i="1" a="1"/>
  <c r="DD352" i="1" s="1"/>
  <c r="DD423" i="1" a="1"/>
  <c r="DD423" i="1" s="1"/>
  <c r="DD427" i="1" a="1"/>
  <c r="DD427" i="1" s="1"/>
  <c r="DD430" i="1" a="1"/>
  <c r="DD430" i="1" s="1"/>
  <c r="DD433" i="1" a="1"/>
  <c r="DD433" i="1" s="1"/>
  <c r="DD275" i="1" a="1"/>
  <c r="DD275" i="1" s="1"/>
  <c r="DD329" i="1" a="1"/>
  <c r="DD329" i="1" s="1"/>
  <c r="DD334" i="1" a="1"/>
  <c r="DD334" i="1" s="1"/>
  <c r="DD349" i="1" a="1"/>
  <c r="DD349" i="1" s="1"/>
  <c r="DD351" i="1" a="1"/>
  <c r="DD351" i="1" s="1"/>
  <c r="DD353" i="1" a="1"/>
  <c r="DD353" i="1" s="1"/>
  <c r="DD354" i="1" a="1"/>
  <c r="DD354" i="1" s="1"/>
  <c r="DD355" i="1" a="1"/>
  <c r="DD355" i="1" s="1"/>
  <c r="DD356" i="1" a="1"/>
  <c r="DD356" i="1" s="1"/>
  <c r="DD357" i="1" a="1"/>
  <c r="DD357" i="1" s="1"/>
  <c r="DD358" i="1" a="1"/>
  <c r="DD358" i="1" s="1"/>
  <c r="DD359" i="1" a="1"/>
  <c r="DD359" i="1" s="1"/>
  <c r="DD360" i="1" a="1"/>
  <c r="DD360" i="1" s="1"/>
  <c r="DD361" i="1" a="1"/>
  <c r="DD361" i="1" s="1"/>
  <c r="DD362" i="1" a="1"/>
  <c r="DD362" i="1" s="1"/>
  <c r="DD363" i="1" a="1"/>
  <c r="DD363" i="1" s="1"/>
  <c r="DD364" i="1" a="1"/>
  <c r="DD364" i="1" s="1"/>
  <c r="DD365" i="1" a="1"/>
  <c r="DD365" i="1" s="1"/>
  <c r="DD366" i="1" a="1"/>
  <c r="DD366" i="1" s="1"/>
  <c r="DD367" i="1" a="1"/>
  <c r="DD367" i="1" s="1"/>
  <c r="DD368" i="1" a="1"/>
  <c r="DD368" i="1" s="1"/>
  <c r="DD369" i="1" a="1"/>
  <c r="DD369" i="1" s="1"/>
  <c r="DD370" i="1" a="1"/>
  <c r="DD370" i="1" s="1"/>
  <c r="DD371" i="1" a="1"/>
  <c r="DD371" i="1" s="1"/>
  <c r="DD372" i="1" a="1"/>
  <c r="DD372" i="1" s="1"/>
  <c r="DD373" i="1" a="1"/>
  <c r="DD373" i="1" s="1"/>
  <c r="DD374" i="1" a="1"/>
  <c r="DD374" i="1" s="1"/>
  <c r="DD375" i="1" a="1"/>
  <c r="DD375" i="1" s="1"/>
  <c r="DD376" i="1" a="1"/>
  <c r="DD376" i="1" s="1"/>
  <c r="DD377" i="1" a="1"/>
  <c r="DD377" i="1" s="1"/>
  <c r="DD378" i="1" a="1"/>
  <c r="DD378" i="1" s="1"/>
  <c r="DD379" i="1" a="1"/>
  <c r="DD379" i="1" s="1"/>
  <c r="DD380" i="1" a="1"/>
  <c r="DD380" i="1" s="1"/>
  <c r="DD381" i="1" a="1"/>
  <c r="DD381" i="1" s="1"/>
  <c r="DD382" i="1" a="1"/>
  <c r="DD382" i="1" s="1"/>
  <c r="DD383" i="1" a="1"/>
  <c r="DD383" i="1" s="1"/>
  <c r="DD384" i="1" a="1"/>
  <c r="DD384" i="1" s="1"/>
  <c r="DD385" i="1" a="1"/>
  <c r="DD385" i="1" s="1"/>
  <c r="DD386" i="1" a="1"/>
  <c r="DD386" i="1" s="1"/>
  <c r="DD387" i="1" a="1"/>
  <c r="DD387" i="1" s="1"/>
  <c r="DD388" i="1" a="1"/>
  <c r="DD388" i="1" s="1"/>
  <c r="DD389" i="1" a="1"/>
  <c r="DD389" i="1" s="1"/>
  <c r="DD390" i="1" a="1"/>
  <c r="DD390" i="1" s="1"/>
  <c r="DD391" i="1" a="1"/>
  <c r="DD391" i="1" s="1"/>
  <c r="DD392" i="1" a="1"/>
  <c r="DD392" i="1" s="1"/>
  <c r="DD393" i="1" a="1"/>
  <c r="DD393" i="1" s="1"/>
  <c r="DD394" i="1" a="1"/>
  <c r="DD394" i="1" s="1"/>
  <c r="DD395" i="1" a="1"/>
  <c r="DD395" i="1" s="1"/>
  <c r="DD396" i="1" a="1"/>
  <c r="DD396" i="1" s="1"/>
  <c r="DD397" i="1" a="1"/>
  <c r="DD397" i="1" s="1"/>
  <c r="DD398" i="1" a="1"/>
  <c r="DD398" i="1" s="1"/>
  <c r="DD399" i="1" a="1"/>
  <c r="DD399" i="1" s="1"/>
  <c r="DD400" i="1" a="1"/>
  <c r="DD400" i="1" s="1"/>
  <c r="DD401" i="1" a="1"/>
  <c r="DD401" i="1" s="1"/>
  <c r="DD402" i="1" a="1"/>
  <c r="DD402" i="1" s="1"/>
  <c r="DD403" i="1" a="1"/>
  <c r="DD403" i="1" s="1"/>
  <c r="DD404" i="1" a="1"/>
  <c r="DD404" i="1" s="1"/>
  <c r="DD405" i="1" a="1"/>
  <c r="DD405" i="1" s="1"/>
  <c r="DD406" i="1" a="1"/>
  <c r="DD406" i="1" s="1"/>
  <c r="DD407" i="1" a="1"/>
  <c r="DD407" i="1" s="1"/>
  <c r="DD408" i="1" a="1"/>
  <c r="DD408" i="1" s="1"/>
  <c r="DD409" i="1" a="1"/>
  <c r="DD409" i="1" s="1"/>
  <c r="DD410" i="1" a="1"/>
  <c r="DD410" i="1" s="1"/>
  <c r="DD411" i="1" a="1"/>
  <c r="DD411" i="1" s="1"/>
  <c r="DD412" i="1" a="1"/>
  <c r="DD412" i="1" s="1"/>
  <c r="DD413" i="1" a="1"/>
  <c r="DD413" i="1" s="1"/>
  <c r="DD414" i="1" a="1"/>
  <c r="DD414" i="1" s="1"/>
  <c r="DD415" i="1" a="1"/>
  <c r="DD415" i="1" s="1"/>
  <c r="DD416" i="1" a="1"/>
  <c r="DD416" i="1" s="1"/>
  <c r="DD417" i="1" a="1"/>
  <c r="DD417" i="1" s="1"/>
  <c r="DD418" i="1" a="1"/>
  <c r="DD418" i="1" s="1"/>
  <c r="DD421" i="1" a="1"/>
  <c r="DD421" i="1" s="1"/>
  <c r="DD425" i="1" a="1"/>
  <c r="DD425" i="1" s="1"/>
  <c r="DD428" i="1" a="1"/>
  <c r="DD428" i="1" s="1"/>
  <c r="DD434" i="1" a="1"/>
  <c r="DD434" i="1" s="1"/>
  <c r="DD435" i="1" a="1"/>
  <c r="DD435" i="1" s="1"/>
  <c r="DD335" i="1" a="1"/>
  <c r="DD335" i="1" s="1"/>
  <c r="DD343" i="1" a="1"/>
  <c r="DD343" i="1" s="1"/>
  <c r="DD350" i="1" a="1"/>
  <c r="DD350" i="1" s="1"/>
  <c r="DD419" i="1" a="1"/>
  <c r="DD419" i="1" s="1"/>
  <c r="DD424" i="1" a="1"/>
  <c r="DD424" i="1" s="1"/>
  <c r="DD426" i="1" a="1"/>
  <c r="DD426" i="1" s="1"/>
  <c r="DD436" i="1" a="1"/>
  <c r="DD436" i="1" s="1"/>
  <c r="CR41" i="1" a="1"/>
  <c r="CR41" i="1" s="1"/>
  <c r="CR45" i="1" a="1"/>
  <c r="CR45" i="1" s="1"/>
  <c r="CR23" i="1" a="1"/>
  <c r="CR23" i="1" s="1"/>
  <c r="CR26" i="1" a="1"/>
  <c r="CR26" i="1" s="1"/>
  <c r="CR27" i="1" a="1"/>
  <c r="CR27" i="1" s="1"/>
  <c r="CR28" i="1" a="1"/>
  <c r="CR28" i="1" s="1"/>
  <c r="CR29" i="1" a="1"/>
  <c r="CR29" i="1" s="1"/>
  <c r="CR44" i="1" a="1"/>
  <c r="CR44" i="1" s="1"/>
  <c r="CR24" i="1" a="1"/>
  <c r="CR24" i="1" s="1"/>
  <c r="CR25" i="1" a="1"/>
  <c r="CR25" i="1" s="1"/>
  <c r="CR30" i="1" a="1"/>
  <c r="CR30" i="1" s="1"/>
  <c r="CR31" i="1" a="1"/>
  <c r="CR31" i="1" s="1"/>
  <c r="CR32" i="1" a="1"/>
  <c r="CR32" i="1" s="1"/>
  <c r="CR33" i="1" a="1"/>
  <c r="CR33" i="1" s="1"/>
  <c r="CR34" i="1" a="1"/>
  <c r="CR34" i="1" s="1"/>
  <c r="CR35" i="1" a="1"/>
  <c r="CR35" i="1" s="1"/>
  <c r="CR36" i="1" a="1"/>
  <c r="CR36" i="1" s="1"/>
  <c r="CR37" i="1" a="1"/>
  <c r="CR37" i="1" s="1"/>
  <c r="CR38" i="1" a="1"/>
  <c r="CR38" i="1" s="1"/>
  <c r="CR39" i="1" a="1"/>
  <c r="CR39" i="1" s="1"/>
  <c r="CR42" i="1" a="1"/>
  <c r="CR42" i="1" s="1"/>
  <c r="CR43" i="1" a="1"/>
  <c r="CR43" i="1" s="1"/>
  <c r="CR46" i="1" a="1"/>
  <c r="CR46" i="1" s="1"/>
  <c r="CR48" i="1" a="1"/>
  <c r="CR48" i="1" s="1"/>
  <c r="CR58" i="1" a="1"/>
  <c r="CR58" i="1" s="1"/>
  <c r="CR53" i="1" a="1"/>
  <c r="CR53" i="1" s="1"/>
  <c r="CR54" i="1" a="1"/>
  <c r="CR54" i="1" s="1"/>
  <c r="CR62" i="1" a="1"/>
  <c r="CR62" i="1" s="1"/>
  <c r="CR49" i="1" a="1"/>
  <c r="CR49" i="1" s="1"/>
  <c r="CR50" i="1" a="1"/>
  <c r="CR50" i="1" s="1"/>
  <c r="CR55" i="1" a="1"/>
  <c r="CR55" i="1" s="1"/>
  <c r="CR59" i="1" a="1"/>
  <c r="CR59" i="1" s="1"/>
  <c r="CR40" i="1" a="1"/>
  <c r="CR40" i="1" s="1"/>
  <c r="CR47" i="1" a="1"/>
  <c r="CR47" i="1" s="1"/>
  <c r="CR61" i="1" a="1"/>
  <c r="CR61" i="1" s="1"/>
  <c r="CR64" i="1" a="1"/>
  <c r="CR64" i="1" s="1"/>
  <c r="CR51" i="1" a="1"/>
  <c r="CR51" i="1" s="1"/>
  <c r="CR57" i="1" a="1"/>
  <c r="CR57" i="1" s="1"/>
  <c r="CR63" i="1" a="1"/>
  <c r="CR63" i="1" s="1"/>
  <c r="CR66" i="1" a="1"/>
  <c r="CR66" i="1" s="1"/>
  <c r="CR67" i="1" a="1"/>
  <c r="CR67" i="1" s="1"/>
  <c r="CR68" i="1" a="1"/>
  <c r="CR68" i="1" s="1"/>
  <c r="CR69" i="1" a="1"/>
  <c r="CR69" i="1" s="1"/>
  <c r="CR70" i="1" a="1"/>
  <c r="CR70" i="1" s="1"/>
  <c r="CR71" i="1" a="1"/>
  <c r="CR71" i="1" s="1"/>
  <c r="CR72" i="1" a="1"/>
  <c r="CR72" i="1" s="1"/>
  <c r="CR73" i="1" a="1"/>
  <c r="CR73" i="1" s="1"/>
  <c r="CR74" i="1" a="1"/>
  <c r="CR74" i="1" s="1"/>
  <c r="CR75" i="1" a="1"/>
  <c r="CR75" i="1" s="1"/>
  <c r="CR76" i="1" a="1"/>
  <c r="CR76" i="1" s="1"/>
  <c r="CR77" i="1" a="1"/>
  <c r="CR77" i="1" s="1"/>
  <c r="CR80" i="1" a="1"/>
  <c r="CR80" i="1" s="1"/>
  <c r="CR60" i="1" a="1"/>
  <c r="CR60" i="1" s="1"/>
  <c r="CR65" i="1" a="1"/>
  <c r="CR65" i="1" s="1"/>
  <c r="CR81" i="1" a="1"/>
  <c r="CR81" i="1" s="1"/>
  <c r="CR84" i="1" a="1"/>
  <c r="CR84" i="1" s="1"/>
  <c r="CR85" i="1" a="1"/>
  <c r="CR85" i="1" s="1"/>
  <c r="CR89" i="1" a="1"/>
  <c r="CR89" i="1" s="1"/>
  <c r="CR90" i="1" a="1"/>
  <c r="CR90" i="1" s="1"/>
  <c r="CR96" i="1" a="1"/>
  <c r="CR96" i="1" s="1"/>
  <c r="CR97" i="1" a="1"/>
  <c r="CR97" i="1" s="1"/>
  <c r="CR98" i="1" a="1"/>
  <c r="CR98" i="1" s="1"/>
  <c r="CR99" i="1" a="1"/>
  <c r="CR99" i="1" s="1"/>
  <c r="CR102" i="1" a="1"/>
  <c r="CR102" i="1" s="1"/>
  <c r="CR103" i="1" a="1"/>
  <c r="CR103" i="1" s="1"/>
  <c r="CR104" i="1" a="1"/>
  <c r="CR104" i="1" s="1"/>
  <c r="CR105" i="1" a="1"/>
  <c r="CR105" i="1" s="1"/>
  <c r="BL105" i="1" s="1"/>
  <c r="CR106" i="1" a="1"/>
  <c r="CR106" i="1" s="1"/>
  <c r="CR107" i="1" a="1"/>
  <c r="CR107" i="1" s="1"/>
  <c r="CR108" i="1" a="1"/>
  <c r="CR108" i="1" s="1"/>
  <c r="CR109" i="1" a="1"/>
  <c r="CR109" i="1" s="1"/>
  <c r="CR118" i="1" a="1"/>
  <c r="CR118" i="1" s="1"/>
  <c r="CR119" i="1" a="1"/>
  <c r="CR119" i="1" s="1"/>
  <c r="CR52" i="1" a="1"/>
  <c r="CR52" i="1" s="1"/>
  <c r="CR78" i="1" a="1"/>
  <c r="CR78" i="1" s="1"/>
  <c r="CR110" i="1" a="1"/>
  <c r="CR110" i="1" s="1"/>
  <c r="CR111" i="1" a="1"/>
  <c r="CR111" i="1" s="1"/>
  <c r="CR113" i="1" a="1"/>
  <c r="CR113" i="1" s="1"/>
  <c r="CR114" i="1" a="1"/>
  <c r="CR114" i="1" s="1"/>
  <c r="CR115" i="1" a="1"/>
  <c r="CR115" i="1" s="1"/>
  <c r="CR120" i="1" a="1"/>
  <c r="CR120" i="1" s="1"/>
  <c r="CR121" i="1" a="1"/>
  <c r="CR121" i="1" s="1"/>
  <c r="CR122" i="1" a="1"/>
  <c r="CR122" i="1" s="1"/>
  <c r="CR123" i="1" a="1"/>
  <c r="CR123" i="1" s="1"/>
  <c r="CR124" i="1" a="1"/>
  <c r="CR124" i="1" s="1"/>
  <c r="CR125" i="1" a="1"/>
  <c r="CR125" i="1" s="1"/>
  <c r="CR126" i="1" a="1"/>
  <c r="CR126" i="1" s="1"/>
  <c r="CR127" i="1" a="1"/>
  <c r="CR127" i="1" s="1"/>
  <c r="CR128" i="1" a="1"/>
  <c r="CR128" i="1" s="1"/>
  <c r="CR129" i="1" a="1"/>
  <c r="CR129" i="1" s="1"/>
  <c r="CR83" i="1" a="1"/>
  <c r="CR83" i="1" s="1"/>
  <c r="CR91" i="1" a="1"/>
  <c r="CR91" i="1" s="1"/>
  <c r="CR92" i="1" a="1"/>
  <c r="CR92" i="1" s="1"/>
  <c r="CR100" i="1" a="1"/>
  <c r="CR100" i="1" s="1"/>
  <c r="CR112" i="1" a="1"/>
  <c r="CR112" i="1" s="1"/>
  <c r="CR82" i="1" a="1"/>
  <c r="CR82" i="1" s="1"/>
  <c r="CR130" i="1" a="1"/>
  <c r="CR130" i="1" s="1"/>
  <c r="CR131" i="1" a="1"/>
  <c r="CR131" i="1" s="1"/>
  <c r="CR132" i="1" a="1"/>
  <c r="CR132" i="1" s="1"/>
  <c r="CR133" i="1" a="1"/>
  <c r="CR133" i="1" s="1"/>
  <c r="CR134" i="1" a="1"/>
  <c r="CR134" i="1" s="1"/>
  <c r="CR135" i="1" a="1"/>
  <c r="CR135" i="1" s="1"/>
  <c r="CR136" i="1" a="1"/>
  <c r="CR136" i="1" s="1"/>
  <c r="CR137" i="1" a="1"/>
  <c r="CR137" i="1" s="1"/>
  <c r="CR151" i="1" a="1"/>
  <c r="CR151" i="1" s="1"/>
  <c r="CR153" i="1" a="1"/>
  <c r="CR153" i="1" s="1"/>
  <c r="CR155" i="1" a="1"/>
  <c r="CR155" i="1" s="1"/>
  <c r="CR86" i="1" a="1"/>
  <c r="CR86" i="1" s="1"/>
  <c r="CR88" i="1" a="1"/>
  <c r="CR88" i="1" s="1"/>
  <c r="CR94" i="1" a="1"/>
  <c r="CR94" i="1" s="1"/>
  <c r="CR116" i="1" a="1"/>
  <c r="CR116" i="1" s="1"/>
  <c r="CR138" i="1" a="1"/>
  <c r="CR138" i="1" s="1"/>
  <c r="CR140" i="1" a="1"/>
  <c r="CR140" i="1" s="1"/>
  <c r="CR142" i="1" a="1"/>
  <c r="CR142" i="1" s="1"/>
  <c r="CR144" i="1" a="1"/>
  <c r="CR144" i="1" s="1"/>
  <c r="CR147" i="1" a="1"/>
  <c r="CR147" i="1" s="1"/>
  <c r="CR56" i="1" a="1"/>
  <c r="CR56" i="1" s="1"/>
  <c r="CR101" i="1" a="1"/>
  <c r="CR101" i="1" s="1"/>
  <c r="CR148" i="1" a="1"/>
  <c r="CR148" i="1" s="1"/>
  <c r="CR149" i="1" a="1"/>
  <c r="CR149" i="1" s="1"/>
  <c r="CR150" i="1" a="1"/>
  <c r="CR150" i="1" s="1"/>
  <c r="CR152" i="1" a="1"/>
  <c r="CR152" i="1" s="1"/>
  <c r="CR154" i="1" a="1"/>
  <c r="CR154" i="1" s="1"/>
  <c r="CR156" i="1" a="1"/>
  <c r="CR156" i="1" s="1"/>
  <c r="CR158" i="1" a="1"/>
  <c r="CR158" i="1" s="1"/>
  <c r="CR160" i="1" a="1"/>
  <c r="CR160" i="1" s="1"/>
  <c r="CR87" i="1" a="1"/>
  <c r="CR87" i="1" s="1"/>
  <c r="CR143" i="1" a="1"/>
  <c r="CR143" i="1" s="1"/>
  <c r="CR146" i="1" a="1"/>
  <c r="CR146" i="1" s="1"/>
  <c r="CR162" i="1" a="1"/>
  <c r="CR162" i="1" s="1"/>
  <c r="CR164" i="1" a="1"/>
  <c r="CR164" i="1" s="1"/>
  <c r="CR166" i="1" a="1"/>
  <c r="CR166" i="1" s="1"/>
  <c r="CR172" i="1" a="1"/>
  <c r="CR172" i="1" s="1"/>
  <c r="CR177" i="1" a="1"/>
  <c r="CR177" i="1" s="1"/>
  <c r="CR179" i="1" a="1"/>
  <c r="CR179" i="1" s="1"/>
  <c r="CR184" i="1" a="1"/>
  <c r="CR184" i="1" s="1"/>
  <c r="CR186" i="1" a="1"/>
  <c r="CR186" i="1" s="1"/>
  <c r="CR93" i="1" a="1"/>
  <c r="CR93" i="1" s="1"/>
  <c r="CR95" i="1" a="1"/>
  <c r="CR95" i="1" s="1"/>
  <c r="CR117" i="1" a="1"/>
  <c r="CR117" i="1" s="1"/>
  <c r="CR141" i="1" a="1"/>
  <c r="CR141" i="1" s="1"/>
  <c r="CR159" i="1" a="1"/>
  <c r="CR159" i="1" s="1"/>
  <c r="CR168" i="1" a="1"/>
  <c r="CR168" i="1" s="1"/>
  <c r="CR170" i="1" a="1"/>
  <c r="CR170" i="1" s="1"/>
  <c r="CR171" i="1" a="1"/>
  <c r="CR171" i="1" s="1"/>
  <c r="CR174" i="1" a="1"/>
  <c r="CR174" i="1" s="1"/>
  <c r="CR176" i="1" a="1"/>
  <c r="CR176" i="1" s="1"/>
  <c r="CR181" i="1" a="1"/>
  <c r="CR181" i="1" s="1"/>
  <c r="CR183" i="1" a="1"/>
  <c r="CR183" i="1" s="1"/>
  <c r="CR79" i="1" a="1"/>
  <c r="CR79" i="1" s="1"/>
  <c r="CR139" i="1" a="1"/>
  <c r="CR139" i="1" s="1"/>
  <c r="CR145" i="1" a="1"/>
  <c r="CR145" i="1" s="1"/>
  <c r="CR157" i="1" a="1"/>
  <c r="CR157" i="1" s="1"/>
  <c r="CR161" i="1" a="1"/>
  <c r="CR161" i="1" s="1"/>
  <c r="CR163" i="1" a="1"/>
  <c r="CR163" i="1" s="1"/>
  <c r="CR165" i="1" a="1"/>
  <c r="CR165" i="1" s="1"/>
  <c r="CR167" i="1" a="1"/>
  <c r="CR167" i="1" s="1"/>
  <c r="CR173" i="1" a="1"/>
  <c r="CR173" i="1" s="1"/>
  <c r="CR178" i="1" a="1"/>
  <c r="CR178" i="1" s="1"/>
  <c r="CR185" i="1" a="1"/>
  <c r="CR185" i="1" s="1"/>
  <c r="CR187" i="1" a="1"/>
  <c r="CR187" i="1" s="1"/>
  <c r="CR190" i="1" a="1"/>
  <c r="CR190" i="1" s="1"/>
  <c r="CR193" i="1" a="1"/>
  <c r="CR193" i="1" s="1"/>
  <c r="CR200" i="1" a="1"/>
  <c r="CR200" i="1" s="1"/>
  <c r="CR202" i="1" a="1"/>
  <c r="CR202" i="1" s="1"/>
  <c r="CR204" i="1" a="1"/>
  <c r="CR204" i="1" s="1"/>
  <c r="CR206" i="1" a="1"/>
  <c r="CR206" i="1" s="1"/>
  <c r="CR208" i="1" a="1"/>
  <c r="CR208" i="1" s="1"/>
  <c r="CR210" i="1" a="1"/>
  <c r="CR210" i="1" s="1"/>
  <c r="CR212" i="1" a="1"/>
  <c r="CR212" i="1" s="1"/>
  <c r="CR214" i="1" a="1"/>
  <c r="CR214" i="1" s="1"/>
  <c r="CR216" i="1" a="1"/>
  <c r="CR216" i="1" s="1"/>
  <c r="CR218" i="1" a="1"/>
  <c r="CR218" i="1" s="1"/>
  <c r="CR220" i="1" a="1"/>
  <c r="CR220" i="1" s="1"/>
  <c r="CR222" i="1" a="1"/>
  <c r="CR222" i="1" s="1"/>
  <c r="CR224" i="1" a="1"/>
  <c r="CR224" i="1" s="1"/>
  <c r="CR226" i="1" a="1"/>
  <c r="CR226" i="1" s="1"/>
  <c r="CR228" i="1" a="1"/>
  <c r="CR228" i="1" s="1"/>
  <c r="CR230" i="1" a="1"/>
  <c r="CR230" i="1" s="1"/>
  <c r="CR232" i="1" a="1"/>
  <c r="CR232" i="1" s="1"/>
  <c r="CR234" i="1" a="1"/>
  <c r="CR234" i="1" s="1"/>
  <c r="CR236" i="1" a="1"/>
  <c r="CR236" i="1" s="1"/>
  <c r="CR238" i="1" a="1"/>
  <c r="CR238" i="1" s="1"/>
  <c r="CR240" i="1" a="1"/>
  <c r="CR240" i="1" s="1"/>
  <c r="CR242" i="1" a="1"/>
  <c r="CR242" i="1" s="1"/>
  <c r="CR244" i="1" a="1"/>
  <c r="CR244" i="1" s="1"/>
  <c r="CR169" i="1" a="1"/>
  <c r="CR169" i="1" s="1"/>
  <c r="CR175" i="1" a="1"/>
  <c r="CR175" i="1" s="1"/>
  <c r="CR182" i="1" a="1"/>
  <c r="CR182" i="1" s="1"/>
  <c r="CR192" i="1" a="1"/>
  <c r="CR192" i="1" s="1"/>
  <c r="CR195" i="1" a="1"/>
  <c r="CR195" i="1" s="1"/>
  <c r="CR197" i="1" a="1"/>
  <c r="CR197" i="1" s="1"/>
  <c r="CR199" i="1" a="1"/>
  <c r="CR199" i="1" s="1"/>
  <c r="CR180" i="1" a="1"/>
  <c r="CR180" i="1" s="1"/>
  <c r="CR188" i="1" a="1"/>
  <c r="CR188" i="1" s="1"/>
  <c r="CR189" i="1" a="1"/>
  <c r="CR189" i="1" s="1"/>
  <c r="CR191" i="1" a="1"/>
  <c r="CR191" i="1" s="1"/>
  <c r="CR194" i="1" a="1"/>
  <c r="CR194" i="1" s="1"/>
  <c r="CR201" i="1" a="1"/>
  <c r="CR201" i="1" s="1"/>
  <c r="CR203" i="1" a="1"/>
  <c r="CR203" i="1" s="1"/>
  <c r="CR205" i="1" a="1"/>
  <c r="CR205" i="1" s="1"/>
  <c r="CR207" i="1" a="1"/>
  <c r="CR207" i="1" s="1"/>
  <c r="CR209" i="1" a="1"/>
  <c r="CR209" i="1" s="1"/>
  <c r="CR211" i="1" a="1"/>
  <c r="CR211" i="1" s="1"/>
  <c r="CR213" i="1" a="1"/>
  <c r="CR213" i="1" s="1"/>
  <c r="CR215" i="1" a="1"/>
  <c r="CR215" i="1" s="1"/>
  <c r="CR217" i="1" a="1"/>
  <c r="CR217" i="1" s="1"/>
  <c r="CR219" i="1" a="1"/>
  <c r="CR219" i="1" s="1"/>
  <c r="CR221" i="1" a="1"/>
  <c r="CR221" i="1" s="1"/>
  <c r="CR223" i="1" a="1"/>
  <c r="CR223" i="1" s="1"/>
  <c r="CR225" i="1" a="1"/>
  <c r="CR225" i="1" s="1"/>
  <c r="CR227" i="1" a="1"/>
  <c r="CR227" i="1" s="1"/>
  <c r="CR229" i="1" a="1"/>
  <c r="CR229" i="1" s="1"/>
  <c r="CR231" i="1" a="1"/>
  <c r="CR231" i="1" s="1"/>
  <c r="CR233" i="1" a="1"/>
  <c r="CR233" i="1" s="1"/>
  <c r="CR235" i="1" a="1"/>
  <c r="CR235" i="1" s="1"/>
  <c r="CR237" i="1" a="1"/>
  <c r="CR237" i="1" s="1"/>
  <c r="CR239" i="1" a="1"/>
  <c r="CR239" i="1" s="1"/>
  <c r="CR241" i="1" a="1"/>
  <c r="CR241" i="1" s="1"/>
  <c r="CR243" i="1" a="1"/>
  <c r="CR243" i="1" s="1"/>
  <c r="CR246" i="1" a="1"/>
  <c r="CR246" i="1" s="1"/>
  <c r="CR255" i="1" a="1"/>
  <c r="CR255" i="1" s="1"/>
  <c r="CR257" i="1" a="1"/>
  <c r="CR257" i="1" s="1"/>
  <c r="CR258" i="1" a="1"/>
  <c r="CR258" i="1" s="1"/>
  <c r="CR260" i="1" a="1"/>
  <c r="CR260" i="1" s="1"/>
  <c r="CR263" i="1" a="1"/>
  <c r="CR263" i="1" s="1"/>
  <c r="CR265" i="1" a="1"/>
  <c r="CR265" i="1" s="1"/>
  <c r="CR268" i="1" a="1"/>
  <c r="CR268" i="1" s="1"/>
  <c r="CR271" i="1" a="1"/>
  <c r="CR271" i="1" s="1"/>
  <c r="CR273" i="1" a="1"/>
  <c r="CR273" i="1" s="1"/>
  <c r="CR274" i="1" a="1"/>
  <c r="CR274" i="1" s="1"/>
  <c r="CR276" i="1" a="1"/>
  <c r="CR276" i="1" s="1"/>
  <c r="CR279" i="1" a="1"/>
  <c r="CR279" i="1" s="1"/>
  <c r="CR280" i="1" a="1"/>
  <c r="CR280" i="1" s="1"/>
  <c r="CR284" i="1" a="1"/>
  <c r="CR284" i="1" s="1"/>
  <c r="CR198" i="1" a="1"/>
  <c r="CR198" i="1" s="1"/>
  <c r="CR250" i="1" a="1"/>
  <c r="CR250" i="1" s="1"/>
  <c r="CR252" i="1" a="1"/>
  <c r="CR252" i="1" s="1"/>
  <c r="CR262" i="1" a="1"/>
  <c r="CR262" i="1" s="1"/>
  <c r="CR270" i="1" a="1"/>
  <c r="CR270" i="1" s="1"/>
  <c r="CR287" i="1" a="1"/>
  <c r="CR287" i="1" s="1"/>
  <c r="CR289" i="1" a="1"/>
  <c r="CR289" i="1" s="1"/>
  <c r="CR291" i="1" a="1"/>
  <c r="CR291" i="1" s="1"/>
  <c r="CR293" i="1" a="1"/>
  <c r="CR293" i="1" s="1"/>
  <c r="CR196" i="1" a="1"/>
  <c r="CR196" i="1" s="1"/>
  <c r="CR245" i="1" a="1"/>
  <c r="CR245" i="1" s="1"/>
  <c r="CR247" i="1" a="1"/>
  <c r="CR247" i="1" s="1"/>
  <c r="CR249" i="1" a="1"/>
  <c r="CR249" i="1" s="1"/>
  <c r="CR254" i="1" a="1"/>
  <c r="CR254" i="1" s="1"/>
  <c r="CR256" i="1" a="1"/>
  <c r="CR256" i="1" s="1"/>
  <c r="CR259" i="1" a="1"/>
  <c r="CR259" i="1" s="1"/>
  <c r="CR261" i="1" a="1"/>
  <c r="CR261" i="1" s="1"/>
  <c r="CR264" i="1" a="1"/>
  <c r="CR264" i="1" s="1"/>
  <c r="CR267" i="1" a="1"/>
  <c r="CR267" i="1" s="1"/>
  <c r="CR269" i="1" a="1"/>
  <c r="CR269" i="1" s="1"/>
  <c r="CR272" i="1" a="1"/>
  <c r="CR272" i="1" s="1"/>
  <c r="CR275" i="1" a="1"/>
  <c r="CR275" i="1" s="1"/>
  <c r="CR277" i="1" a="1"/>
  <c r="CR277" i="1" s="1"/>
  <c r="CR278" i="1" a="1"/>
  <c r="CR278" i="1" s="1"/>
  <c r="CR282" i="1" a="1"/>
  <c r="CR282" i="1" s="1"/>
  <c r="CR283" i="1" a="1"/>
  <c r="CR283" i="1" s="1"/>
  <c r="CR285" i="1" a="1"/>
  <c r="CR285" i="1" s="1"/>
  <c r="CR286" i="1" a="1"/>
  <c r="CR286" i="1" s="1"/>
  <c r="CR290" i="1" a="1"/>
  <c r="CR290" i="1" s="1"/>
  <c r="CR295" i="1" a="1"/>
  <c r="CR295" i="1" s="1"/>
  <c r="CR296" i="1" a="1"/>
  <c r="CR296" i="1" s="1"/>
  <c r="CR299" i="1" a="1"/>
  <c r="CR299" i="1" s="1"/>
  <c r="CR301" i="1" a="1"/>
  <c r="CR301" i="1" s="1"/>
  <c r="CR303" i="1" a="1"/>
  <c r="CR303" i="1" s="1"/>
  <c r="CR305" i="1" a="1"/>
  <c r="CR305" i="1" s="1"/>
  <c r="CR307" i="1" a="1"/>
  <c r="CR307" i="1" s="1"/>
  <c r="CR309" i="1" a="1"/>
  <c r="CR309" i="1" s="1"/>
  <c r="CR311" i="1" a="1"/>
  <c r="CR311" i="1" s="1"/>
  <c r="CR312" i="1" a="1"/>
  <c r="CR312" i="1" s="1"/>
  <c r="CR313" i="1" a="1"/>
  <c r="CR313" i="1" s="1"/>
  <c r="CR314" i="1" a="1"/>
  <c r="CR314" i="1" s="1"/>
  <c r="CR315" i="1" a="1"/>
  <c r="CR315" i="1" s="1"/>
  <c r="CR316" i="1" a="1"/>
  <c r="CR316" i="1" s="1"/>
  <c r="CR330" i="1" a="1"/>
  <c r="CR330" i="1" s="1"/>
  <c r="CR331" i="1" a="1"/>
  <c r="CR331" i="1" s="1"/>
  <c r="CR333" i="1" a="1"/>
  <c r="CR333" i="1" s="1"/>
  <c r="CR336" i="1" a="1"/>
  <c r="CR336" i="1" s="1"/>
  <c r="CR337" i="1" a="1"/>
  <c r="CR337" i="1" s="1"/>
  <c r="CR339" i="1" a="1"/>
  <c r="CR339" i="1" s="1"/>
  <c r="CR341" i="1" a="1"/>
  <c r="CR341" i="1" s="1"/>
  <c r="CR288" i="1" a="1"/>
  <c r="CR288" i="1" s="1"/>
  <c r="CR318" i="1" a="1"/>
  <c r="CR318" i="1" s="1"/>
  <c r="CR320" i="1" a="1"/>
  <c r="CR320" i="1" s="1"/>
  <c r="CR322" i="1" a="1"/>
  <c r="CR322" i="1" s="1"/>
  <c r="CR324" i="1" a="1"/>
  <c r="CR324" i="1" s="1"/>
  <c r="CR326" i="1" a="1"/>
  <c r="CR326" i="1" s="1"/>
  <c r="CR332" i="1" a="1"/>
  <c r="CR332" i="1" s="1"/>
  <c r="CR340" i="1" a="1"/>
  <c r="CR340" i="1" s="1"/>
  <c r="CR346" i="1" a="1"/>
  <c r="CR346" i="1" s="1"/>
  <c r="CR348" i="1" a="1"/>
  <c r="CR348" i="1" s="1"/>
  <c r="CR350" i="1" a="1"/>
  <c r="CR350" i="1" s="1"/>
  <c r="CR253" i="1" a="1"/>
  <c r="CR253" i="1" s="1"/>
  <c r="CR266" i="1" a="1"/>
  <c r="CR266" i="1" s="1"/>
  <c r="CR294" i="1" a="1"/>
  <c r="CR294" i="1" s="1"/>
  <c r="CR297" i="1" a="1"/>
  <c r="CR297" i="1" s="1"/>
  <c r="CR298" i="1" a="1"/>
  <c r="CR298" i="1" s="1"/>
  <c r="CR300" i="1" a="1"/>
  <c r="CR300" i="1" s="1"/>
  <c r="CR302" i="1" a="1"/>
  <c r="CR302" i="1" s="1"/>
  <c r="CR304" i="1" a="1"/>
  <c r="CR304" i="1" s="1"/>
  <c r="CR306" i="1" a="1"/>
  <c r="CR306" i="1" s="1"/>
  <c r="CR308" i="1" a="1"/>
  <c r="CR308" i="1" s="1"/>
  <c r="CR310" i="1" a="1"/>
  <c r="CR310" i="1" s="1"/>
  <c r="CR338" i="1" a="1"/>
  <c r="CR338" i="1" s="1"/>
  <c r="CR251" i="1" a="1"/>
  <c r="CR251" i="1" s="1"/>
  <c r="CR281" i="1" a="1"/>
  <c r="CR281" i="1" s="1"/>
  <c r="CR321" i="1" a="1"/>
  <c r="CR321" i="1" s="1"/>
  <c r="CR343" i="1" a="1"/>
  <c r="CR343" i="1" s="1"/>
  <c r="CR349" i="1" a="1"/>
  <c r="CR349" i="1" s="1"/>
  <c r="CR423" i="1" a="1"/>
  <c r="CR423" i="1" s="1"/>
  <c r="CR427" i="1" a="1"/>
  <c r="CR427" i="1" s="1"/>
  <c r="CR428" i="1" a="1"/>
  <c r="CR428" i="1" s="1"/>
  <c r="CR430" i="1" a="1"/>
  <c r="CR430" i="1" s="1"/>
  <c r="CR434" i="1" a="1"/>
  <c r="CR434" i="1" s="1"/>
  <c r="CR248" i="1" a="1"/>
  <c r="CR248" i="1" s="1"/>
  <c r="CR319" i="1" a="1"/>
  <c r="CR319" i="1" s="1"/>
  <c r="CR327" i="1" a="1"/>
  <c r="CR327" i="1" s="1"/>
  <c r="CR328" i="1" a="1"/>
  <c r="CR328" i="1" s="1"/>
  <c r="CR342" i="1" a="1"/>
  <c r="CR342" i="1" s="1"/>
  <c r="CR344" i="1" a="1"/>
  <c r="CR344" i="1" s="1"/>
  <c r="CR345" i="1" a="1"/>
  <c r="CR345" i="1" s="1"/>
  <c r="CR354" i="1" a="1"/>
  <c r="CR354" i="1" s="1"/>
  <c r="CR355" i="1" a="1"/>
  <c r="CR355" i="1" s="1"/>
  <c r="CR356" i="1" a="1"/>
  <c r="CR356" i="1" s="1"/>
  <c r="CR357" i="1" a="1"/>
  <c r="CR357" i="1" s="1"/>
  <c r="CR358" i="1" a="1"/>
  <c r="CR358" i="1" s="1"/>
  <c r="CR359" i="1" a="1"/>
  <c r="CR359" i="1" s="1"/>
  <c r="CR360" i="1" a="1"/>
  <c r="CR360" i="1" s="1"/>
  <c r="CR361" i="1" a="1"/>
  <c r="CR361" i="1" s="1"/>
  <c r="CR362" i="1" a="1"/>
  <c r="CR362" i="1" s="1"/>
  <c r="CR363" i="1" a="1"/>
  <c r="CR363" i="1" s="1"/>
  <c r="CR364" i="1" a="1"/>
  <c r="CR364" i="1" s="1"/>
  <c r="CR365" i="1" a="1"/>
  <c r="CR365" i="1" s="1"/>
  <c r="CR366" i="1" a="1"/>
  <c r="CR366" i="1" s="1"/>
  <c r="CR367" i="1" a="1"/>
  <c r="CR367" i="1" s="1"/>
  <c r="CR368" i="1" a="1"/>
  <c r="CR368" i="1" s="1"/>
  <c r="CR369" i="1" a="1"/>
  <c r="CR369" i="1" s="1"/>
  <c r="CR370" i="1" a="1"/>
  <c r="CR370" i="1" s="1"/>
  <c r="CR371" i="1" a="1"/>
  <c r="CR371" i="1" s="1"/>
  <c r="CR372" i="1" a="1"/>
  <c r="CR372" i="1" s="1"/>
  <c r="CR373" i="1" a="1"/>
  <c r="CR373" i="1" s="1"/>
  <c r="CR374" i="1" a="1"/>
  <c r="CR374" i="1" s="1"/>
  <c r="CR375" i="1" a="1"/>
  <c r="CR375" i="1" s="1"/>
  <c r="CR376" i="1" a="1"/>
  <c r="CR376" i="1" s="1"/>
  <c r="CR377" i="1" a="1"/>
  <c r="CR377" i="1" s="1"/>
  <c r="CR378" i="1" a="1"/>
  <c r="CR378" i="1" s="1"/>
  <c r="CR379" i="1" a="1"/>
  <c r="CR379" i="1" s="1"/>
  <c r="CR380" i="1" a="1"/>
  <c r="CR380" i="1" s="1"/>
  <c r="CR381" i="1" a="1"/>
  <c r="CR381" i="1" s="1"/>
  <c r="CR382" i="1" a="1"/>
  <c r="CR382" i="1" s="1"/>
  <c r="CR383" i="1" a="1"/>
  <c r="CR383" i="1" s="1"/>
  <c r="CR384" i="1" a="1"/>
  <c r="CR384" i="1" s="1"/>
  <c r="BL384" i="1" s="1"/>
  <c r="CR385" i="1" a="1"/>
  <c r="CR385" i="1" s="1"/>
  <c r="CR386" i="1" a="1"/>
  <c r="CR386" i="1" s="1"/>
  <c r="CR387" i="1" a="1"/>
  <c r="CR387" i="1" s="1"/>
  <c r="CR388" i="1" a="1"/>
  <c r="CR388" i="1" s="1"/>
  <c r="CR389" i="1" a="1"/>
  <c r="CR389" i="1" s="1"/>
  <c r="CR390" i="1" a="1"/>
  <c r="CR390" i="1" s="1"/>
  <c r="CR391" i="1" a="1"/>
  <c r="CR391" i="1" s="1"/>
  <c r="CR392" i="1" a="1"/>
  <c r="CR392" i="1" s="1"/>
  <c r="CR393" i="1" a="1"/>
  <c r="CR393" i="1" s="1"/>
  <c r="CR394" i="1" a="1"/>
  <c r="CR394" i="1" s="1"/>
  <c r="CR395" i="1" a="1"/>
  <c r="CR395" i="1" s="1"/>
  <c r="CR396" i="1" a="1"/>
  <c r="CR396" i="1" s="1"/>
  <c r="CR397" i="1" a="1"/>
  <c r="CR397" i="1" s="1"/>
  <c r="CR398" i="1" a="1"/>
  <c r="CR398" i="1" s="1"/>
  <c r="CR399" i="1" a="1"/>
  <c r="CR399" i="1" s="1"/>
  <c r="CR400" i="1" a="1"/>
  <c r="CR400" i="1" s="1"/>
  <c r="CR401" i="1" a="1"/>
  <c r="CR401" i="1" s="1"/>
  <c r="CR402" i="1" a="1"/>
  <c r="CR402" i="1" s="1"/>
  <c r="CR403" i="1" a="1"/>
  <c r="CR403" i="1" s="1"/>
  <c r="CR404" i="1" a="1"/>
  <c r="CR404" i="1" s="1"/>
  <c r="CR405" i="1" a="1"/>
  <c r="CR405" i="1" s="1"/>
  <c r="CR406" i="1" a="1"/>
  <c r="CR406" i="1" s="1"/>
  <c r="CR407" i="1" a="1"/>
  <c r="CR407" i="1" s="1"/>
  <c r="CR408" i="1" a="1"/>
  <c r="CR408" i="1" s="1"/>
  <c r="CR409" i="1" a="1"/>
  <c r="CR409" i="1" s="1"/>
  <c r="CR410" i="1" a="1"/>
  <c r="CR410" i="1" s="1"/>
  <c r="CR411" i="1" a="1"/>
  <c r="CR411" i="1" s="1"/>
  <c r="CR412" i="1" a="1"/>
  <c r="CR412" i="1" s="1"/>
  <c r="CR413" i="1" a="1"/>
  <c r="CR413" i="1" s="1"/>
  <c r="CR414" i="1" a="1"/>
  <c r="CR414" i="1" s="1"/>
  <c r="CR415" i="1" a="1"/>
  <c r="CR415" i="1" s="1"/>
  <c r="CR416" i="1" a="1"/>
  <c r="CR416" i="1" s="1"/>
  <c r="CR417" i="1" a="1"/>
  <c r="CR417" i="1" s="1"/>
  <c r="CR418" i="1" a="1"/>
  <c r="CR418" i="1" s="1"/>
  <c r="CR421" i="1" a="1"/>
  <c r="CR421" i="1" s="1"/>
  <c r="CR425" i="1" a="1"/>
  <c r="CR425" i="1" s="1"/>
  <c r="CR426" i="1" a="1"/>
  <c r="CR426" i="1" s="1"/>
  <c r="CR431" i="1" a="1"/>
  <c r="CR431" i="1" s="1"/>
  <c r="CR435" i="1" a="1"/>
  <c r="CR435" i="1" s="1"/>
  <c r="CR436" i="1" a="1"/>
  <c r="CR436" i="1" s="1"/>
  <c r="CR317" i="1" a="1"/>
  <c r="CR317" i="1" s="1"/>
  <c r="CR325" i="1" a="1"/>
  <c r="CR325" i="1" s="1"/>
  <c r="CR329" i="1" a="1"/>
  <c r="CR329" i="1" s="1"/>
  <c r="CR334" i="1" a="1"/>
  <c r="CR334" i="1" s="1"/>
  <c r="CR352" i="1" a="1"/>
  <c r="CR352" i="1" s="1"/>
  <c r="CR353" i="1" a="1"/>
  <c r="CR353" i="1" s="1"/>
  <c r="CR419" i="1" a="1"/>
  <c r="CR419" i="1" s="1"/>
  <c r="CR420" i="1" a="1"/>
  <c r="CR420" i="1" s="1"/>
  <c r="CR422" i="1" a="1"/>
  <c r="CR422" i="1" s="1"/>
  <c r="BL422" i="1" s="1"/>
  <c r="CR424" i="1" a="1"/>
  <c r="CR424" i="1" s="1"/>
  <c r="DI42" i="1" a="1"/>
  <c r="DI42" i="1" s="1"/>
  <c r="DI44" i="1" a="1"/>
  <c r="DI44" i="1" s="1"/>
  <c r="DI47" i="1" a="1"/>
  <c r="DI47" i="1" s="1"/>
  <c r="DI40" i="1" a="1"/>
  <c r="DI40" i="1" s="1"/>
  <c r="DI43" i="1" a="1"/>
  <c r="DI43" i="1" s="1"/>
  <c r="DI26" i="1" a="1"/>
  <c r="DI26" i="1" s="1"/>
  <c r="DI27" i="1" a="1"/>
  <c r="DI27" i="1" s="1"/>
  <c r="DI28" i="1" a="1"/>
  <c r="DI28" i="1" s="1"/>
  <c r="DI41" i="1" a="1"/>
  <c r="DI41" i="1" s="1"/>
  <c r="DI45" i="1" a="1"/>
  <c r="DI45" i="1" s="1"/>
  <c r="DI24" i="1" a="1"/>
  <c r="DI24" i="1" s="1"/>
  <c r="DI30" i="1" a="1"/>
  <c r="DI30" i="1" s="1"/>
  <c r="DI32" i="1" a="1"/>
  <c r="DI32" i="1" s="1"/>
  <c r="DI34" i="1" a="1"/>
  <c r="DI34" i="1" s="1"/>
  <c r="DI36" i="1" a="1"/>
  <c r="DI36" i="1" s="1"/>
  <c r="DI38" i="1" a="1"/>
  <c r="DI38" i="1" s="1"/>
  <c r="DI51" i="1" a="1"/>
  <c r="DI51" i="1" s="1"/>
  <c r="DI56" i="1" a="1"/>
  <c r="DI56" i="1" s="1"/>
  <c r="DI57" i="1" a="1"/>
  <c r="DI57" i="1" s="1"/>
  <c r="DI60" i="1" a="1"/>
  <c r="DI60" i="1" s="1"/>
  <c r="DI46" i="1" a="1"/>
  <c r="DI46" i="1" s="1"/>
  <c r="DI52" i="1" a="1"/>
  <c r="DI52" i="1" s="1"/>
  <c r="DI64" i="1" a="1"/>
  <c r="DI64" i="1" s="1"/>
  <c r="DI23" i="1" a="1"/>
  <c r="DI23" i="1" s="1"/>
  <c r="DI25" i="1" a="1"/>
  <c r="DI25" i="1" s="1"/>
  <c r="DI29" i="1" a="1"/>
  <c r="DI29" i="1" s="1"/>
  <c r="DI31" i="1" a="1"/>
  <c r="DI31" i="1" s="1"/>
  <c r="DI33" i="1" a="1"/>
  <c r="DI33" i="1" s="1"/>
  <c r="DI35" i="1" a="1"/>
  <c r="DI35" i="1" s="1"/>
  <c r="DI37" i="1" a="1"/>
  <c r="DI37" i="1" s="1"/>
  <c r="DI39" i="1" a="1"/>
  <c r="DI39" i="1" s="1"/>
  <c r="DI48" i="1" a="1"/>
  <c r="DI48" i="1" s="1"/>
  <c r="DI53" i="1" a="1"/>
  <c r="DI53" i="1" s="1"/>
  <c r="DI54" i="1" a="1"/>
  <c r="DI54" i="1" s="1"/>
  <c r="DI58" i="1" a="1"/>
  <c r="DI58" i="1" s="1"/>
  <c r="DI50" i="1" a="1"/>
  <c r="DI50" i="1" s="1"/>
  <c r="DI62" i="1" a="1"/>
  <c r="DI62" i="1" s="1"/>
  <c r="DI78" i="1" a="1"/>
  <c r="DI78" i="1" s="1"/>
  <c r="DI79" i="1" a="1"/>
  <c r="DI79" i="1" s="1"/>
  <c r="DI81" i="1" a="1"/>
  <c r="DI81" i="1" s="1"/>
  <c r="DI59" i="1" a="1"/>
  <c r="DI59" i="1" s="1"/>
  <c r="DI61" i="1" a="1"/>
  <c r="DI61" i="1" s="1"/>
  <c r="DI49" i="1" a="1"/>
  <c r="DI49" i="1" s="1"/>
  <c r="DI55" i="1" a="1"/>
  <c r="DI55" i="1" s="1"/>
  <c r="DI63" i="1" a="1"/>
  <c r="DI63" i="1" s="1"/>
  <c r="DI65" i="1" a="1"/>
  <c r="DI65" i="1" s="1"/>
  <c r="DI66" i="1" a="1"/>
  <c r="DI66" i="1" s="1"/>
  <c r="DI67" i="1" a="1"/>
  <c r="DI67" i="1" s="1"/>
  <c r="DI68" i="1" a="1"/>
  <c r="DI68" i="1" s="1"/>
  <c r="DI69" i="1" a="1"/>
  <c r="DI69" i="1" s="1"/>
  <c r="DI70" i="1" a="1"/>
  <c r="DI70" i="1" s="1"/>
  <c r="DI71" i="1" a="1"/>
  <c r="DI71" i="1" s="1"/>
  <c r="DI72" i="1" a="1"/>
  <c r="DI72" i="1" s="1"/>
  <c r="DI73" i="1" a="1"/>
  <c r="DI73" i="1" s="1"/>
  <c r="DI74" i="1" a="1"/>
  <c r="DI74" i="1" s="1"/>
  <c r="DI75" i="1" a="1"/>
  <c r="DI75" i="1" s="1"/>
  <c r="DI76" i="1" a="1"/>
  <c r="DI76" i="1" s="1"/>
  <c r="DI77" i="1" a="1"/>
  <c r="DI77" i="1" s="1"/>
  <c r="DI83" i="1" a="1"/>
  <c r="DI83" i="1" s="1"/>
  <c r="DI82" i="1" a="1"/>
  <c r="DI82" i="1" s="1"/>
  <c r="DI86" i="1" a="1"/>
  <c r="DI86" i="1" s="1"/>
  <c r="DI87" i="1" a="1"/>
  <c r="DI87" i="1" s="1"/>
  <c r="DI92" i="1" a="1"/>
  <c r="DI92" i="1" s="1"/>
  <c r="DI93" i="1" a="1"/>
  <c r="DI93" i="1" s="1"/>
  <c r="DI94" i="1" a="1"/>
  <c r="DI94" i="1" s="1"/>
  <c r="DI95" i="1" a="1"/>
  <c r="DI95" i="1" s="1"/>
  <c r="DI100" i="1" a="1"/>
  <c r="DI100" i="1" s="1"/>
  <c r="DI112" i="1" a="1"/>
  <c r="DI112" i="1" s="1"/>
  <c r="DI116" i="1" a="1"/>
  <c r="DI116" i="1" s="1"/>
  <c r="DI117" i="1" a="1"/>
  <c r="DI117" i="1" s="1"/>
  <c r="DI80" i="1" a="1"/>
  <c r="DI80" i="1" s="1"/>
  <c r="DI84" i="1" a="1"/>
  <c r="DI84" i="1" s="1"/>
  <c r="DI88" i="1" a="1"/>
  <c r="DI88" i="1" s="1"/>
  <c r="DI89" i="1" a="1"/>
  <c r="DI89" i="1" s="1"/>
  <c r="DI96" i="1" a="1"/>
  <c r="DI96" i="1" s="1"/>
  <c r="DI98" i="1" a="1"/>
  <c r="DI98" i="1" s="1"/>
  <c r="DI99" i="1" a="1"/>
  <c r="DI99" i="1" s="1"/>
  <c r="DI101" i="1" a="1"/>
  <c r="DI101" i="1" s="1"/>
  <c r="DI102" i="1" a="1"/>
  <c r="DI102" i="1" s="1"/>
  <c r="DI103" i="1" a="1"/>
  <c r="DI103" i="1" s="1"/>
  <c r="DI104" i="1" a="1"/>
  <c r="DI104" i="1" s="1"/>
  <c r="DI105" i="1" a="1"/>
  <c r="DI105" i="1" s="1"/>
  <c r="DI106" i="1" a="1"/>
  <c r="DI106" i="1" s="1"/>
  <c r="DI107" i="1" a="1"/>
  <c r="DI107" i="1" s="1"/>
  <c r="DI108" i="1" a="1"/>
  <c r="DI108" i="1" s="1"/>
  <c r="DI109" i="1" a="1"/>
  <c r="DI109" i="1" s="1"/>
  <c r="DI110" i="1" a="1"/>
  <c r="DI110" i="1" s="1"/>
  <c r="DI118" i="1" a="1"/>
  <c r="DI118" i="1" s="1"/>
  <c r="DI85" i="1" a="1"/>
  <c r="DI85" i="1" s="1"/>
  <c r="DI90" i="1" a="1"/>
  <c r="DI90" i="1" s="1"/>
  <c r="DI97" i="1" a="1"/>
  <c r="DI97" i="1" s="1"/>
  <c r="DI111" i="1" a="1"/>
  <c r="DI111" i="1" s="1"/>
  <c r="DI113" i="1" a="1"/>
  <c r="DI113" i="1" s="1"/>
  <c r="DI114" i="1" a="1"/>
  <c r="DI114" i="1" s="1"/>
  <c r="DI120" i="1" a="1"/>
  <c r="DI120" i="1" s="1"/>
  <c r="DI121" i="1" a="1"/>
  <c r="DI121" i="1" s="1"/>
  <c r="DI122" i="1" a="1"/>
  <c r="DI122" i="1" s="1"/>
  <c r="DI123" i="1" a="1"/>
  <c r="DI123" i="1" s="1"/>
  <c r="DI124" i="1" a="1"/>
  <c r="DI124" i="1" s="1"/>
  <c r="DI125" i="1" a="1"/>
  <c r="DI125" i="1" s="1"/>
  <c r="DI126" i="1" a="1"/>
  <c r="DI126" i="1" s="1"/>
  <c r="DI127" i="1" a="1"/>
  <c r="DI127" i="1" s="1"/>
  <c r="DI115" i="1" a="1"/>
  <c r="DI115" i="1" s="1"/>
  <c r="DI128" i="1" a="1"/>
  <c r="DI128" i="1" s="1"/>
  <c r="DI137" i="1" a="1"/>
  <c r="DI137" i="1" s="1"/>
  <c r="DI139" i="1" a="1"/>
  <c r="DI139" i="1" s="1"/>
  <c r="DI141" i="1" a="1"/>
  <c r="DI141" i="1" s="1"/>
  <c r="DI145" i="1" a="1"/>
  <c r="DI145" i="1" s="1"/>
  <c r="DI146" i="1" a="1"/>
  <c r="DI146" i="1" s="1"/>
  <c r="DI91" i="1" a="1"/>
  <c r="DI91" i="1" s="1"/>
  <c r="DI119" i="1" a="1"/>
  <c r="DI119" i="1" s="1"/>
  <c r="DI129" i="1" a="1"/>
  <c r="DI129" i="1" s="1"/>
  <c r="DI130" i="1" a="1"/>
  <c r="DI130" i="1" s="1"/>
  <c r="DI131" i="1" a="1"/>
  <c r="DI131" i="1" s="1"/>
  <c r="DI132" i="1" a="1"/>
  <c r="DI132" i="1" s="1"/>
  <c r="DI133" i="1" a="1"/>
  <c r="DI133" i="1" s="1"/>
  <c r="DI134" i="1" a="1"/>
  <c r="DI134" i="1" s="1"/>
  <c r="DI135" i="1" a="1"/>
  <c r="DI135" i="1" s="1"/>
  <c r="DI136" i="1" a="1"/>
  <c r="DI136" i="1" s="1"/>
  <c r="DI143" i="1" a="1"/>
  <c r="DI143" i="1" s="1"/>
  <c r="DI148" i="1" a="1"/>
  <c r="DI148" i="1" s="1"/>
  <c r="DI151" i="1" a="1"/>
  <c r="DI151" i="1" s="1"/>
  <c r="DI153" i="1" a="1"/>
  <c r="DI153" i="1" s="1"/>
  <c r="DI155" i="1" a="1"/>
  <c r="DI155" i="1" s="1"/>
  <c r="DI157" i="1" a="1"/>
  <c r="DI157" i="1" s="1"/>
  <c r="DI138" i="1" a="1"/>
  <c r="DI138" i="1" s="1"/>
  <c r="DI140" i="1" a="1"/>
  <c r="DI140" i="1" s="1"/>
  <c r="DI142" i="1" a="1"/>
  <c r="DI142" i="1" s="1"/>
  <c r="DI144" i="1" a="1"/>
  <c r="DI144" i="1" s="1"/>
  <c r="DI149" i="1" a="1"/>
  <c r="DI149" i="1" s="1"/>
  <c r="DI167" i="1" a="1"/>
  <c r="DI167" i="1" s="1"/>
  <c r="DI169" i="1" a="1"/>
  <c r="DI169" i="1" s="1"/>
  <c r="DI175" i="1" a="1"/>
  <c r="DI175" i="1" s="1"/>
  <c r="DI180" i="1" a="1"/>
  <c r="DI180" i="1" s="1"/>
  <c r="DI182" i="1" a="1"/>
  <c r="DI182" i="1" s="1"/>
  <c r="DI158" i="1" a="1"/>
  <c r="DI158" i="1" s="1"/>
  <c r="DI160" i="1" a="1"/>
  <c r="DI160" i="1" s="1"/>
  <c r="DI162" i="1" a="1"/>
  <c r="DI162" i="1" s="1"/>
  <c r="DI164" i="1" a="1"/>
  <c r="DI164" i="1" s="1"/>
  <c r="DI166" i="1" a="1"/>
  <c r="DI166" i="1" s="1"/>
  <c r="DI172" i="1" a="1"/>
  <c r="DI172" i="1" s="1"/>
  <c r="DI177" i="1" a="1"/>
  <c r="DI177" i="1" s="1"/>
  <c r="DI179" i="1" a="1"/>
  <c r="DI179" i="1" s="1"/>
  <c r="DI184" i="1" a="1"/>
  <c r="DI184" i="1" s="1"/>
  <c r="DI147" i="1" a="1"/>
  <c r="DI147" i="1" s="1"/>
  <c r="DI150" i="1" a="1"/>
  <c r="DI150" i="1" s="1"/>
  <c r="DI152" i="1" a="1"/>
  <c r="DI152" i="1" s="1"/>
  <c r="DI154" i="1" a="1"/>
  <c r="DI154" i="1" s="1"/>
  <c r="DI168" i="1" a="1"/>
  <c r="DI168" i="1" s="1"/>
  <c r="DI171" i="1" a="1"/>
  <c r="DI171" i="1" s="1"/>
  <c r="DI174" i="1" a="1"/>
  <c r="DI174" i="1" s="1"/>
  <c r="DI181" i="1" a="1"/>
  <c r="DI181" i="1" s="1"/>
  <c r="DI183" i="1" a="1"/>
  <c r="DI183" i="1" s="1"/>
  <c r="DI170" i="1" a="1"/>
  <c r="DI170" i="1" s="1"/>
  <c r="DI176" i="1" a="1"/>
  <c r="DI176" i="1" s="1"/>
  <c r="DI178" i="1" a="1"/>
  <c r="DI178" i="1" s="1"/>
  <c r="DI185" i="1" a="1"/>
  <c r="DI185" i="1" s="1"/>
  <c r="DI186" i="1" a="1"/>
  <c r="DI186" i="1" s="1"/>
  <c r="DI196" i="1" a="1"/>
  <c r="DI196" i="1" s="1"/>
  <c r="DI198" i="1" a="1"/>
  <c r="DI198" i="1" s="1"/>
  <c r="DI247" i="1" a="1"/>
  <c r="DI247" i="1" s="1"/>
  <c r="DI161" i="1" a="1"/>
  <c r="DI161" i="1" s="1"/>
  <c r="DI163" i="1" a="1"/>
  <c r="DI163" i="1" s="1"/>
  <c r="DI165" i="1" a="1"/>
  <c r="DI165" i="1" s="1"/>
  <c r="DI173" i="1" a="1"/>
  <c r="DI173" i="1" s="1"/>
  <c r="DI187" i="1" a="1"/>
  <c r="DI187" i="1" s="1"/>
  <c r="DI188" i="1" a="1"/>
  <c r="DI188" i="1" s="1"/>
  <c r="DI190" i="1" a="1"/>
  <c r="DI190" i="1" s="1"/>
  <c r="DI193" i="1" a="1"/>
  <c r="DI193" i="1" s="1"/>
  <c r="DI200" i="1" a="1"/>
  <c r="DI200" i="1" s="1"/>
  <c r="DI202" i="1" a="1"/>
  <c r="DI202" i="1" s="1"/>
  <c r="DI204" i="1" a="1"/>
  <c r="DI204" i="1" s="1"/>
  <c r="DI206" i="1" a="1"/>
  <c r="DI206" i="1" s="1"/>
  <c r="DI208" i="1" a="1"/>
  <c r="DI208" i="1" s="1"/>
  <c r="DI210" i="1" a="1"/>
  <c r="DI210" i="1" s="1"/>
  <c r="DI212" i="1" a="1"/>
  <c r="DI212" i="1" s="1"/>
  <c r="DI214" i="1" a="1"/>
  <c r="DI214" i="1" s="1"/>
  <c r="DI216" i="1" a="1"/>
  <c r="DI216" i="1" s="1"/>
  <c r="DI218" i="1" a="1"/>
  <c r="DI218" i="1" s="1"/>
  <c r="DI220" i="1" a="1"/>
  <c r="DI220" i="1" s="1"/>
  <c r="DI222" i="1" a="1"/>
  <c r="DI222" i="1" s="1"/>
  <c r="DI224" i="1" a="1"/>
  <c r="DI224" i="1" s="1"/>
  <c r="DI226" i="1" a="1"/>
  <c r="DI226" i="1" s="1"/>
  <c r="DI228" i="1" a="1"/>
  <c r="DI228" i="1" s="1"/>
  <c r="DI230" i="1" a="1"/>
  <c r="DI230" i="1" s="1"/>
  <c r="DI232" i="1" a="1"/>
  <c r="DI232" i="1" s="1"/>
  <c r="DI234" i="1" a="1"/>
  <c r="DI234" i="1" s="1"/>
  <c r="DI236" i="1" a="1"/>
  <c r="DI236" i="1" s="1"/>
  <c r="DI238" i="1" a="1"/>
  <c r="DI238" i="1" s="1"/>
  <c r="DI240" i="1" a="1"/>
  <c r="DI240" i="1" s="1"/>
  <c r="DI242" i="1" a="1"/>
  <c r="DI242" i="1" s="1"/>
  <c r="DI156" i="1" a="1"/>
  <c r="DI156" i="1" s="1"/>
  <c r="DI192" i="1" a="1"/>
  <c r="DI192" i="1" s="1"/>
  <c r="DI195" i="1" a="1"/>
  <c r="DI195" i="1" s="1"/>
  <c r="DI197" i="1" a="1"/>
  <c r="DI197" i="1" s="1"/>
  <c r="DI199" i="1" a="1"/>
  <c r="DI199" i="1" s="1"/>
  <c r="DI189" i="1" a="1"/>
  <c r="DI189" i="1" s="1"/>
  <c r="DI191" i="1" a="1"/>
  <c r="DI191" i="1" s="1"/>
  <c r="DI201" i="1" a="1"/>
  <c r="DI201" i="1" s="1"/>
  <c r="DI203" i="1" a="1"/>
  <c r="DI203" i="1" s="1"/>
  <c r="DI205" i="1" a="1"/>
  <c r="DI205" i="1" s="1"/>
  <c r="DI207" i="1" a="1"/>
  <c r="DI207" i="1" s="1"/>
  <c r="DI209" i="1" a="1"/>
  <c r="DI209" i="1" s="1"/>
  <c r="DI211" i="1" a="1"/>
  <c r="DI211" i="1" s="1"/>
  <c r="DI213" i="1" a="1"/>
  <c r="DI213" i="1" s="1"/>
  <c r="DI215" i="1" a="1"/>
  <c r="DI215" i="1" s="1"/>
  <c r="DI217" i="1" a="1"/>
  <c r="DI217" i="1" s="1"/>
  <c r="DI219" i="1" a="1"/>
  <c r="DI219" i="1" s="1"/>
  <c r="DI221" i="1" a="1"/>
  <c r="DI221" i="1" s="1"/>
  <c r="DI223" i="1" a="1"/>
  <c r="DI223" i="1" s="1"/>
  <c r="DI225" i="1" a="1"/>
  <c r="DI225" i="1" s="1"/>
  <c r="DI227" i="1" a="1"/>
  <c r="DI227" i="1" s="1"/>
  <c r="DI229" i="1" a="1"/>
  <c r="DI229" i="1" s="1"/>
  <c r="DI231" i="1" a="1"/>
  <c r="DI231" i="1" s="1"/>
  <c r="DI233" i="1" a="1"/>
  <c r="DI233" i="1" s="1"/>
  <c r="DI235" i="1" a="1"/>
  <c r="DI235" i="1" s="1"/>
  <c r="DI237" i="1" a="1"/>
  <c r="DI237" i="1" s="1"/>
  <c r="DI239" i="1" a="1"/>
  <c r="DI239" i="1" s="1"/>
  <c r="DI241" i="1" a="1"/>
  <c r="DI241" i="1" s="1"/>
  <c r="DI243" i="1" a="1"/>
  <c r="DI243" i="1" s="1"/>
  <c r="DI245" i="1" a="1"/>
  <c r="DI245" i="1" s="1"/>
  <c r="DI248" i="1" a="1"/>
  <c r="DI248" i="1" s="1"/>
  <c r="DI251" i="1" a="1"/>
  <c r="DI251" i="1" s="1"/>
  <c r="DI253" i="1" a="1"/>
  <c r="DI253" i="1" s="1"/>
  <c r="DI268" i="1" a="1"/>
  <c r="DI268" i="1" s="1"/>
  <c r="DI277" i="1" a="1"/>
  <c r="DI277" i="1" s="1"/>
  <c r="DI281" i="1" a="1"/>
  <c r="DI281" i="1" s="1"/>
  <c r="DI282" i="1" a="1"/>
  <c r="DI282" i="1" s="1"/>
  <c r="DI288" i="1" a="1"/>
  <c r="DI288" i="1" s="1"/>
  <c r="DI290" i="1" a="1"/>
  <c r="DI290" i="1" s="1"/>
  <c r="DI292" i="1" a="1"/>
  <c r="DI292" i="1" s="1"/>
  <c r="DI294" i="1" a="1"/>
  <c r="DI294" i="1" s="1"/>
  <c r="DI194" i="1" a="1"/>
  <c r="DI194" i="1" s="1"/>
  <c r="DI255" i="1" a="1"/>
  <c r="DI255" i="1" s="1"/>
  <c r="DI258" i="1" a="1"/>
  <c r="DI258" i="1" s="1"/>
  <c r="DI260" i="1" a="1"/>
  <c r="DI260" i="1" s="1"/>
  <c r="DI263" i="1" a="1"/>
  <c r="DI263" i="1" s="1"/>
  <c r="DI265" i="1" a="1"/>
  <c r="DI265" i="1" s="1"/>
  <c r="DI266" i="1" a="1"/>
  <c r="DI266" i="1" s="1"/>
  <c r="DI271" i="1" a="1"/>
  <c r="DI271" i="1" s="1"/>
  <c r="DI274" i="1" a="1"/>
  <c r="DI274" i="1" s="1"/>
  <c r="DI276" i="1" a="1"/>
  <c r="DI276" i="1" s="1"/>
  <c r="DI279" i="1" a="1"/>
  <c r="DI279" i="1" s="1"/>
  <c r="DI284" i="1" a="1"/>
  <c r="DI284" i="1" s="1"/>
  <c r="DI159" i="1" a="1"/>
  <c r="DI159" i="1" s="1"/>
  <c r="DI244" i="1" a="1"/>
  <c r="DI244" i="1" s="1"/>
  <c r="DI246" i="1" a="1"/>
  <c r="DI246" i="1" s="1"/>
  <c r="DI250" i="1" a="1"/>
  <c r="DI250" i="1" s="1"/>
  <c r="DI252" i="1" a="1"/>
  <c r="DI252" i="1" s="1"/>
  <c r="DI257" i="1" a="1"/>
  <c r="DI257" i="1" s="1"/>
  <c r="DI273" i="1" a="1"/>
  <c r="DI273" i="1" s="1"/>
  <c r="DI280" i="1" a="1"/>
  <c r="DI280" i="1" s="1"/>
  <c r="DI287" i="1" a="1"/>
  <c r="DI287" i="1" s="1"/>
  <c r="DI289" i="1" a="1"/>
  <c r="DI289" i="1" s="1"/>
  <c r="DI291" i="1" a="1"/>
  <c r="DI291" i="1" s="1"/>
  <c r="DI293" i="1" a="1"/>
  <c r="DI293" i="1" s="1"/>
  <c r="DI295" i="1" a="1"/>
  <c r="DI295" i="1" s="1"/>
  <c r="DI297" i="1" a="1"/>
  <c r="DI297" i="1" s="1"/>
  <c r="DI262" i="1" a="1"/>
  <c r="DI262" i="1" s="1"/>
  <c r="DI264" i="1" a="1"/>
  <c r="DI264" i="1" s="1"/>
  <c r="DI275" i="1" a="1"/>
  <c r="DI275" i="1" s="1"/>
  <c r="DI283" i="1" a="1"/>
  <c r="DI283" i="1" s="1"/>
  <c r="DI285" i="1" a="1"/>
  <c r="DI285" i="1" s="1"/>
  <c r="DI298" i="1" a="1"/>
  <c r="DI298" i="1" s="1"/>
  <c r="DI317" i="1" a="1"/>
  <c r="DI317" i="1" s="1"/>
  <c r="DI319" i="1" a="1"/>
  <c r="DI319" i="1" s="1"/>
  <c r="DI321" i="1" a="1"/>
  <c r="DI321" i="1" s="1"/>
  <c r="DI323" i="1" a="1"/>
  <c r="DI323" i="1" s="1"/>
  <c r="DI325" i="1" a="1"/>
  <c r="DI325" i="1" s="1"/>
  <c r="DI327" i="1" a="1"/>
  <c r="DI327" i="1" s="1"/>
  <c r="DI328" i="1" a="1"/>
  <c r="DI328" i="1" s="1"/>
  <c r="DI329" i="1" a="1"/>
  <c r="DI329" i="1" s="1"/>
  <c r="DI334" i="1" a="1"/>
  <c r="DI334" i="1" s="1"/>
  <c r="DI335" i="1" a="1"/>
  <c r="DI335" i="1" s="1"/>
  <c r="DI337" i="1" a="1"/>
  <c r="DI337" i="1" s="1"/>
  <c r="DI267" i="1" a="1"/>
  <c r="DI267" i="1" s="1"/>
  <c r="DI278" i="1" a="1"/>
  <c r="DI278" i="1" s="1"/>
  <c r="DI286" i="1" a="1"/>
  <c r="DI286" i="1" s="1"/>
  <c r="DI299" i="1" a="1"/>
  <c r="DI299" i="1" s="1"/>
  <c r="DI301" i="1" a="1"/>
  <c r="DI301" i="1" s="1"/>
  <c r="DI303" i="1" a="1"/>
  <c r="DI303" i="1" s="1"/>
  <c r="DI305" i="1" a="1"/>
  <c r="DI305" i="1" s="1"/>
  <c r="DI307" i="1" a="1"/>
  <c r="DI307" i="1" s="1"/>
  <c r="DI309" i="1" a="1"/>
  <c r="DI309" i="1" s="1"/>
  <c r="DI311" i="1" a="1"/>
  <c r="DI311" i="1" s="1"/>
  <c r="DI312" i="1" a="1"/>
  <c r="DI312" i="1" s="1"/>
  <c r="DI313" i="1" a="1"/>
  <c r="DI313" i="1" s="1"/>
  <c r="DI314" i="1" a="1"/>
  <c r="DI314" i="1" s="1"/>
  <c r="DI315" i="1" a="1"/>
  <c r="DI315" i="1" s="1"/>
  <c r="DI330" i="1" a="1"/>
  <c r="DI330" i="1" s="1"/>
  <c r="DI331" i="1" a="1"/>
  <c r="DI331" i="1" s="1"/>
  <c r="DI333" i="1" a="1"/>
  <c r="DI333" i="1" s="1"/>
  <c r="DI336" i="1" a="1"/>
  <c r="DI336" i="1" s="1"/>
  <c r="DI338" i="1" a="1"/>
  <c r="DI338" i="1" s="1"/>
  <c r="DI339" i="1" a="1"/>
  <c r="DI339" i="1" s="1"/>
  <c r="DI341" i="1" a="1"/>
  <c r="DI341" i="1" s="1"/>
  <c r="DI344" i="1" a="1"/>
  <c r="DI344" i="1" s="1"/>
  <c r="DI249" i="1" a="1"/>
  <c r="DI249" i="1" s="1"/>
  <c r="DI254" i="1" a="1"/>
  <c r="DI254" i="1" s="1"/>
  <c r="DI256" i="1" a="1"/>
  <c r="DI256" i="1" s="1"/>
  <c r="DI269" i="1" a="1"/>
  <c r="DI269" i="1" s="1"/>
  <c r="DI296" i="1" a="1"/>
  <c r="DI296" i="1" s="1"/>
  <c r="DI316" i="1" a="1"/>
  <c r="DI316" i="1" s="1"/>
  <c r="DI318" i="1" a="1"/>
  <c r="DI318" i="1" s="1"/>
  <c r="DI320" i="1" a="1"/>
  <c r="DI320" i="1" s="1"/>
  <c r="DI322" i="1" a="1"/>
  <c r="DI322" i="1" s="1"/>
  <c r="DI324" i="1" a="1"/>
  <c r="DI324" i="1" s="1"/>
  <c r="DI326" i="1" a="1"/>
  <c r="DI326" i="1" s="1"/>
  <c r="DI332" i="1" a="1"/>
  <c r="DI332" i="1" s="1"/>
  <c r="DI340" i="1" a="1"/>
  <c r="DI340" i="1" s="1"/>
  <c r="DI346" i="1" a="1"/>
  <c r="DI346" i="1" s="1"/>
  <c r="DI348" i="1" a="1"/>
  <c r="DI348" i="1" s="1"/>
  <c r="DI270" i="1" a="1"/>
  <c r="DI270" i="1" s="1"/>
  <c r="DI272" i="1" a="1"/>
  <c r="DI272" i="1" s="1"/>
  <c r="DI300" i="1" a="1"/>
  <c r="DI300" i="1" s="1"/>
  <c r="DI302" i="1" a="1"/>
  <c r="DI302" i="1" s="1"/>
  <c r="DI304" i="1" a="1"/>
  <c r="DI304" i="1" s="1"/>
  <c r="DI306" i="1" a="1"/>
  <c r="DI306" i="1" s="1"/>
  <c r="DI308" i="1" a="1"/>
  <c r="DI308" i="1" s="1"/>
  <c r="DI310" i="1" a="1"/>
  <c r="DI310" i="1" s="1"/>
  <c r="DI351" i="1" a="1"/>
  <c r="DI351" i="1" s="1"/>
  <c r="DI420" i="1" a="1"/>
  <c r="DI420" i="1" s="1"/>
  <c r="DI422" i="1" a="1"/>
  <c r="DI422" i="1" s="1"/>
  <c r="DI424" i="1" a="1"/>
  <c r="DI424" i="1" s="1"/>
  <c r="DI429" i="1" a="1"/>
  <c r="DI429" i="1" s="1"/>
  <c r="DI431" i="1" a="1"/>
  <c r="DI431" i="1" s="1"/>
  <c r="DI432" i="1" a="1"/>
  <c r="DI432" i="1" s="1"/>
  <c r="DI343" i="1" a="1"/>
  <c r="DI343" i="1" s="1"/>
  <c r="DI345" i="1" a="1"/>
  <c r="DI345" i="1" s="1"/>
  <c r="DI350" i="1" a="1"/>
  <c r="DI350" i="1" s="1"/>
  <c r="DI427" i="1" a="1"/>
  <c r="DI427" i="1" s="1"/>
  <c r="DI430" i="1" a="1"/>
  <c r="DI430" i="1" s="1"/>
  <c r="DI433" i="1" a="1"/>
  <c r="DI433" i="1" s="1"/>
  <c r="DI439" i="1" a="1"/>
  <c r="DI439" i="1" s="1"/>
  <c r="DI342" i="1" a="1"/>
  <c r="DI342" i="1" s="1"/>
  <c r="DI347" i="1" a="1"/>
  <c r="DI347" i="1" s="1"/>
  <c r="DI353" i="1" a="1"/>
  <c r="DI353" i="1" s="1"/>
  <c r="DI354" i="1" a="1"/>
  <c r="DI354" i="1" s="1"/>
  <c r="DI355" i="1" a="1"/>
  <c r="DI355" i="1" s="1"/>
  <c r="DI356" i="1" a="1"/>
  <c r="DI356" i="1" s="1"/>
  <c r="DI357" i="1" a="1"/>
  <c r="DI357" i="1" s="1"/>
  <c r="DI358" i="1" a="1"/>
  <c r="DI358" i="1" s="1"/>
  <c r="DI359" i="1" a="1"/>
  <c r="DI359" i="1" s="1"/>
  <c r="DI360" i="1" a="1"/>
  <c r="DI360" i="1" s="1"/>
  <c r="DI361" i="1" a="1"/>
  <c r="DI361" i="1" s="1"/>
  <c r="DI362" i="1" a="1"/>
  <c r="DI362" i="1" s="1"/>
  <c r="DI363" i="1" a="1"/>
  <c r="DI363" i="1" s="1"/>
  <c r="DI364" i="1" a="1"/>
  <c r="DI364" i="1" s="1"/>
  <c r="DI365" i="1" a="1"/>
  <c r="DI365" i="1" s="1"/>
  <c r="DI366" i="1" a="1"/>
  <c r="DI366" i="1" s="1"/>
  <c r="DI367" i="1" a="1"/>
  <c r="DI367" i="1" s="1"/>
  <c r="DI368" i="1" a="1"/>
  <c r="DI368" i="1" s="1"/>
  <c r="DI369" i="1" a="1"/>
  <c r="DI369" i="1" s="1"/>
  <c r="DI370" i="1" a="1"/>
  <c r="DI370" i="1" s="1"/>
  <c r="DI371" i="1" a="1"/>
  <c r="DI371" i="1" s="1"/>
  <c r="DI372" i="1" a="1"/>
  <c r="DI372" i="1" s="1"/>
  <c r="DI373" i="1" a="1"/>
  <c r="DI373" i="1" s="1"/>
  <c r="DI374" i="1" a="1"/>
  <c r="DI374" i="1" s="1"/>
  <c r="DI375" i="1" a="1"/>
  <c r="DI375" i="1" s="1"/>
  <c r="DI376" i="1" a="1"/>
  <c r="DI376" i="1" s="1"/>
  <c r="DI377" i="1" a="1"/>
  <c r="DI377" i="1" s="1"/>
  <c r="DI378" i="1" a="1"/>
  <c r="DI378" i="1" s="1"/>
  <c r="DI379" i="1" a="1"/>
  <c r="DI379" i="1" s="1"/>
  <c r="DI380" i="1" a="1"/>
  <c r="DI380" i="1" s="1"/>
  <c r="DI381" i="1" a="1"/>
  <c r="DI381" i="1" s="1"/>
  <c r="DI382" i="1" a="1"/>
  <c r="DI382" i="1" s="1"/>
  <c r="DI383" i="1" a="1"/>
  <c r="DI383" i="1" s="1"/>
  <c r="DI384" i="1" a="1"/>
  <c r="DI384" i="1" s="1"/>
  <c r="DI385" i="1" a="1"/>
  <c r="DI385" i="1" s="1"/>
  <c r="DI386" i="1" a="1"/>
  <c r="DI386" i="1" s="1"/>
  <c r="DI387" i="1" a="1"/>
  <c r="DI387" i="1" s="1"/>
  <c r="DI388" i="1" a="1"/>
  <c r="DI388" i="1" s="1"/>
  <c r="DI389" i="1" a="1"/>
  <c r="DI389" i="1" s="1"/>
  <c r="DI390" i="1" a="1"/>
  <c r="DI390" i="1" s="1"/>
  <c r="DI391" i="1" a="1"/>
  <c r="DI391" i="1" s="1"/>
  <c r="DI392" i="1" a="1"/>
  <c r="DI392" i="1" s="1"/>
  <c r="DI393" i="1" a="1"/>
  <c r="DI393" i="1" s="1"/>
  <c r="DI394" i="1" a="1"/>
  <c r="DI394" i="1" s="1"/>
  <c r="DI395" i="1" a="1"/>
  <c r="DI395" i="1" s="1"/>
  <c r="DI396" i="1" a="1"/>
  <c r="DI396" i="1" s="1"/>
  <c r="DI397" i="1" a="1"/>
  <c r="DI397" i="1" s="1"/>
  <c r="DI398" i="1" a="1"/>
  <c r="DI398" i="1" s="1"/>
  <c r="DI399" i="1" a="1"/>
  <c r="DI399" i="1" s="1"/>
  <c r="DI400" i="1" a="1"/>
  <c r="DI400" i="1" s="1"/>
  <c r="DI401" i="1" a="1"/>
  <c r="DI401" i="1" s="1"/>
  <c r="DI402" i="1" a="1"/>
  <c r="DI402" i="1" s="1"/>
  <c r="DI403" i="1" a="1"/>
  <c r="DI403" i="1" s="1"/>
  <c r="DI404" i="1" a="1"/>
  <c r="DI404" i="1" s="1"/>
  <c r="DI405" i="1" a="1"/>
  <c r="DI405" i="1" s="1"/>
  <c r="DI406" i="1" a="1"/>
  <c r="DI406" i="1" s="1"/>
  <c r="DI407" i="1" a="1"/>
  <c r="DI407" i="1" s="1"/>
  <c r="DI408" i="1" a="1"/>
  <c r="DI408" i="1" s="1"/>
  <c r="DI409" i="1" a="1"/>
  <c r="DI409" i="1" s="1"/>
  <c r="DI410" i="1" a="1"/>
  <c r="DI410" i="1" s="1"/>
  <c r="DI411" i="1" a="1"/>
  <c r="DI411" i="1" s="1"/>
  <c r="DI412" i="1" a="1"/>
  <c r="DI412" i="1" s="1"/>
  <c r="DI413" i="1" a="1"/>
  <c r="DI413" i="1" s="1"/>
  <c r="DI414" i="1" a="1"/>
  <c r="DI414" i="1" s="1"/>
  <c r="DI415" i="1" a="1"/>
  <c r="DI415" i="1" s="1"/>
  <c r="DI416" i="1" a="1"/>
  <c r="DI416" i="1" s="1"/>
  <c r="DI417" i="1" a="1"/>
  <c r="DI417" i="1" s="1"/>
  <c r="DI418" i="1" a="1"/>
  <c r="DI418" i="1" s="1"/>
  <c r="DI421" i="1" a="1"/>
  <c r="DI421" i="1" s="1"/>
  <c r="DI423" i="1" a="1"/>
  <c r="DI423" i="1" s="1"/>
  <c r="DI425" i="1" a="1"/>
  <c r="DI425" i="1" s="1"/>
  <c r="DI428" i="1" a="1"/>
  <c r="DI428" i="1" s="1"/>
  <c r="DI434" i="1" a="1"/>
  <c r="DI434" i="1" s="1"/>
  <c r="DI435" i="1" a="1"/>
  <c r="DI435" i="1" s="1"/>
  <c r="DA40" i="1" a="1"/>
  <c r="DA40" i="1" s="1"/>
  <c r="DA42" i="1" a="1"/>
  <c r="DA42" i="1" s="1"/>
  <c r="DA47" i="1" a="1"/>
  <c r="DA47" i="1" s="1"/>
  <c r="DA43" i="1" a="1"/>
  <c r="DA43" i="1" s="1"/>
  <c r="DA26" i="1" a="1"/>
  <c r="DA26" i="1" s="1"/>
  <c r="DA27" i="1" a="1"/>
  <c r="DA27" i="1" s="1"/>
  <c r="DA28" i="1" a="1"/>
  <c r="DA28" i="1" s="1"/>
  <c r="DA41" i="1" a="1"/>
  <c r="DA41" i="1" s="1"/>
  <c r="DA46" i="1" a="1"/>
  <c r="DA46" i="1" s="1"/>
  <c r="DA51" i="1" a="1"/>
  <c r="DA51" i="1" s="1"/>
  <c r="DA56" i="1" a="1"/>
  <c r="DA56" i="1" s="1"/>
  <c r="DA57" i="1" a="1"/>
  <c r="DA57" i="1" s="1"/>
  <c r="DA60" i="1" a="1"/>
  <c r="DA60" i="1" s="1"/>
  <c r="DA23" i="1" a="1"/>
  <c r="DA23" i="1" s="1"/>
  <c r="DA25" i="1" a="1"/>
  <c r="DA25" i="1" s="1"/>
  <c r="DA29" i="1" a="1"/>
  <c r="DA29" i="1" s="1"/>
  <c r="DA31" i="1" a="1"/>
  <c r="DA31" i="1" s="1"/>
  <c r="DA33" i="1" a="1"/>
  <c r="DA33" i="1" s="1"/>
  <c r="DA35" i="1" a="1"/>
  <c r="DA35" i="1" s="1"/>
  <c r="DA37" i="1" a="1"/>
  <c r="DA37" i="1" s="1"/>
  <c r="DA39" i="1" a="1"/>
  <c r="DA39" i="1" s="1"/>
  <c r="DA44" i="1" a="1"/>
  <c r="DA44" i="1" s="1"/>
  <c r="DA45" i="1" a="1"/>
  <c r="DA45" i="1" s="1"/>
  <c r="DA52" i="1" a="1"/>
  <c r="DA52" i="1" s="1"/>
  <c r="DA64" i="1" a="1"/>
  <c r="DA64" i="1" s="1"/>
  <c r="DA48" i="1" a="1"/>
  <c r="DA48" i="1" s="1"/>
  <c r="DA53" i="1" a="1"/>
  <c r="DA53" i="1" s="1"/>
  <c r="DA54" i="1" a="1"/>
  <c r="DA54" i="1" s="1"/>
  <c r="DA58" i="1" a="1"/>
  <c r="DA58" i="1" s="1"/>
  <c r="DA30" i="1" a="1"/>
  <c r="DA30" i="1" s="1"/>
  <c r="DA38" i="1" a="1"/>
  <c r="DA38" i="1" s="1"/>
  <c r="DA59" i="1" a="1"/>
  <c r="DA59" i="1" s="1"/>
  <c r="DA63" i="1" a="1"/>
  <c r="DA63" i="1" s="1"/>
  <c r="DA78" i="1" a="1"/>
  <c r="DA78" i="1" s="1"/>
  <c r="DA79" i="1" a="1"/>
  <c r="DA79" i="1" s="1"/>
  <c r="DA81" i="1" a="1"/>
  <c r="DA81" i="1" s="1"/>
  <c r="DA36" i="1" a="1"/>
  <c r="DA36" i="1" s="1"/>
  <c r="DA49" i="1" a="1"/>
  <c r="DA49" i="1" s="1"/>
  <c r="DA55" i="1" a="1"/>
  <c r="DA55" i="1" s="1"/>
  <c r="DA34" i="1" a="1"/>
  <c r="DA34" i="1" s="1"/>
  <c r="DA62" i="1" a="1"/>
  <c r="DA62" i="1" s="1"/>
  <c r="DA65" i="1" a="1"/>
  <c r="DA65" i="1" s="1"/>
  <c r="DA66" i="1" a="1"/>
  <c r="DA66" i="1" s="1"/>
  <c r="DA67" i="1" a="1"/>
  <c r="DA67" i="1" s="1"/>
  <c r="DA68" i="1" a="1"/>
  <c r="DA68" i="1" s="1"/>
  <c r="DA69" i="1" a="1"/>
  <c r="DA69" i="1" s="1"/>
  <c r="DA70" i="1" a="1"/>
  <c r="DA70" i="1" s="1"/>
  <c r="DA71" i="1" a="1"/>
  <c r="DA71" i="1" s="1"/>
  <c r="DA72" i="1" a="1"/>
  <c r="DA72" i="1" s="1"/>
  <c r="DA73" i="1" a="1"/>
  <c r="DA73" i="1" s="1"/>
  <c r="DA74" i="1" a="1"/>
  <c r="DA74" i="1" s="1"/>
  <c r="DA75" i="1" a="1"/>
  <c r="DA75" i="1" s="1"/>
  <c r="DA76" i="1" a="1"/>
  <c r="DA76" i="1" s="1"/>
  <c r="DA77" i="1" a="1"/>
  <c r="DA77" i="1" s="1"/>
  <c r="DA80" i="1" a="1"/>
  <c r="DA80" i="1" s="1"/>
  <c r="DA83" i="1" a="1"/>
  <c r="DA83" i="1" s="1"/>
  <c r="DA32" i="1" a="1"/>
  <c r="DA32" i="1" s="1"/>
  <c r="DA50" i="1" a="1"/>
  <c r="DA50" i="1" s="1"/>
  <c r="DA85" i="1" a="1"/>
  <c r="DA85" i="1" s="1"/>
  <c r="DA87" i="1" a="1"/>
  <c r="DA87" i="1" s="1"/>
  <c r="DA92" i="1" a="1"/>
  <c r="DA92" i="1" s="1"/>
  <c r="DA93" i="1" a="1"/>
  <c r="DA93" i="1" s="1"/>
  <c r="DA94" i="1" a="1"/>
  <c r="DA94" i="1" s="1"/>
  <c r="DA95" i="1" a="1"/>
  <c r="DA95" i="1" s="1"/>
  <c r="DA100" i="1" a="1"/>
  <c r="DA100" i="1" s="1"/>
  <c r="DA116" i="1" a="1"/>
  <c r="DA116" i="1" s="1"/>
  <c r="DA61" i="1" a="1"/>
  <c r="DA61" i="1" s="1"/>
  <c r="DA88" i="1" a="1"/>
  <c r="DA88" i="1" s="1"/>
  <c r="DA89" i="1" a="1"/>
  <c r="DA89" i="1" s="1"/>
  <c r="DA96" i="1" a="1"/>
  <c r="DA96" i="1" s="1"/>
  <c r="DA97" i="1" a="1"/>
  <c r="DA97" i="1" s="1"/>
  <c r="DA98" i="1" a="1"/>
  <c r="DA98" i="1" s="1"/>
  <c r="DA101" i="1" a="1"/>
  <c r="DA101" i="1" s="1"/>
  <c r="DA102" i="1" a="1"/>
  <c r="DA102" i="1" s="1"/>
  <c r="DA103" i="1" a="1"/>
  <c r="DA103" i="1" s="1"/>
  <c r="DA104" i="1" a="1"/>
  <c r="DA104" i="1" s="1"/>
  <c r="DA105" i="1" a="1"/>
  <c r="DA105" i="1" s="1"/>
  <c r="DA106" i="1" a="1"/>
  <c r="DA106" i="1" s="1"/>
  <c r="DA107" i="1" a="1"/>
  <c r="DA107" i="1" s="1"/>
  <c r="DA108" i="1" a="1"/>
  <c r="DA108" i="1" s="1"/>
  <c r="DA109" i="1" a="1"/>
  <c r="DA109" i="1" s="1"/>
  <c r="DA118" i="1" a="1"/>
  <c r="DA118" i="1" s="1"/>
  <c r="DA119" i="1" a="1"/>
  <c r="DA119" i="1" s="1"/>
  <c r="DA82" i="1" a="1"/>
  <c r="DA82" i="1" s="1"/>
  <c r="DA86" i="1" a="1"/>
  <c r="DA86" i="1" s="1"/>
  <c r="DA90" i="1" a="1"/>
  <c r="DA90" i="1" s="1"/>
  <c r="DA111" i="1" a="1"/>
  <c r="DA111" i="1" s="1"/>
  <c r="DA113" i="1" a="1"/>
  <c r="DA113" i="1" s="1"/>
  <c r="DA114" i="1" a="1"/>
  <c r="DA114" i="1" s="1"/>
  <c r="DA115" i="1" a="1"/>
  <c r="DA115" i="1" s="1"/>
  <c r="DA117" i="1" a="1"/>
  <c r="DA117" i="1" s="1"/>
  <c r="DA120" i="1" a="1"/>
  <c r="DA120" i="1" s="1"/>
  <c r="DA121" i="1" a="1"/>
  <c r="DA121" i="1" s="1"/>
  <c r="DA122" i="1" a="1"/>
  <c r="DA122" i="1" s="1"/>
  <c r="DA123" i="1" a="1"/>
  <c r="DA123" i="1" s="1"/>
  <c r="DA124" i="1" a="1"/>
  <c r="DA124" i="1" s="1"/>
  <c r="DA125" i="1" a="1"/>
  <c r="DA125" i="1" s="1"/>
  <c r="DA126" i="1" a="1"/>
  <c r="DA126" i="1" s="1"/>
  <c r="DA127" i="1" a="1"/>
  <c r="DA127" i="1" s="1"/>
  <c r="DA84" i="1" a="1"/>
  <c r="DA84" i="1" s="1"/>
  <c r="DA91" i="1" a="1"/>
  <c r="DA91" i="1" s="1"/>
  <c r="DA112" i="1" a="1"/>
  <c r="DA112" i="1" s="1"/>
  <c r="DA138" i="1" a="1"/>
  <c r="DA138" i="1" s="1"/>
  <c r="DA140" i="1" a="1"/>
  <c r="DA140" i="1" s="1"/>
  <c r="DA142" i="1" a="1"/>
  <c r="DA142" i="1" s="1"/>
  <c r="DA144" i="1" a="1"/>
  <c r="DA144" i="1" s="1"/>
  <c r="DA145" i="1" a="1"/>
  <c r="DA145" i="1" s="1"/>
  <c r="DA128" i="1" a="1"/>
  <c r="DA128" i="1" s="1"/>
  <c r="DA130" i="1" a="1"/>
  <c r="DA130" i="1" s="1"/>
  <c r="DA131" i="1" a="1"/>
  <c r="DA131" i="1" s="1"/>
  <c r="DA132" i="1" a="1"/>
  <c r="DA132" i="1" s="1"/>
  <c r="DA133" i="1" a="1"/>
  <c r="DA133" i="1" s="1"/>
  <c r="DA134" i="1" a="1"/>
  <c r="DA134" i="1" s="1"/>
  <c r="DA135" i="1" a="1"/>
  <c r="DA135" i="1" s="1"/>
  <c r="DA136" i="1" a="1"/>
  <c r="DA136" i="1" s="1"/>
  <c r="DA143" i="1" a="1"/>
  <c r="DA143" i="1" s="1"/>
  <c r="DA149" i="1" a="1"/>
  <c r="DA149" i="1" s="1"/>
  <c r="DA152" i="1" a="1"/>
  <c r="DA152" i="1" s="1"/>
  <c r="DA154" i="1" a="1"/>
  <c r="DA154" i="1" s="1"/>
  <c r="DA156" i="1" a="1"/>
  <c r="DA156" i="1" s="1"/>
  <c r="DA158" i="1" a="1"/>
  <c r="DA158" i="1" s="1"/>
  <c r="DA99" i="1" a="1"/>
  <c r="DA99" i="1" s="1"/>
  <c r="DA110" i="1" a="1"/>
  <c r="DA110" i="1" s="1"/>
  <c r="DA129" i="1" a="1"/>
  <c r="DA129" i="1" s="1"/>
  <c r="DA137" i="1" a="1"/>
  <c r="DA137" i="1" s="1"/>
  <c r="DA139" i="1" a="1"/>
  <c r="DA139" i="1" s="1"/>
  <c r="DA141" i="1" a="1"/>
  <c r="DA141" i="1" s="1"/>
  <c r="DA146" i="1" a="1"/>
  <c r="DA146" i="1" s="1"/>
  <c r="DA160" i="1" a="1"/>
  <c r="DA160" i="1" s="1"/>
  <c r="DA168" i="1" a="1"/>
  <c r="DA168" i="1" s="1"/>
  <c r="DA170" i="1" a="1"/>
  <c r="DA170" i="1" s="1"/>
  <c r="DA171" i="1" a="1"/>
  <c r="DA171" i="1" s="1"/>
  <c r="DA174" i="1" a="1"/>
  <c r="DA174" i="1" s="1"/>
  <c r="DA176" i="1" a="1"/>
  <c r="DA176" i="1" s="1"/>
  <c r="DA181" i="1" a="1"/>
  <c r="DA181" i="1" s="1"/>
  <c r="DA183" i="1" a="1"/>
  <c r="DA183" i="1" s="1"/>
  <c r="DA147" i="1" a="1"/>
  <c r="DA147" i="1" s="1"/>
  <c r="DA150" i="1" a="1"/>
  <c r="DA150" i="1" s="1"/>
  <c r="DA151" i="1" a="1"/>
  <c r="DA151" i="1" s="1"/>
  <c r="DA153" i="1" a="1"/>
  <c r="DA153" i="1" s="1"/>
  <c r="DA155" i="1" a="1"/>
  <c r="DA155" i="1" s="1"/>
  <c r="DA157" i="1" a="1"/>
  <c r="DA157" i="1" s="1"/>
  <c r="DA161" i="1" a="1"/>
  <c r="DA161" i="1" s="1"/>
  <c r="DA163" i="1" a="1"/>
  <c r="DA163" i="1" s="1"/>
  <c r="DA165" i="1" a="1"/>
  <c r="DA165" i="1" s="1"/>
  <c r="DA167" i="1" a="1"/>
  <c r="DA167" i="1" s="1"/>
  <c r="DA173" i="1" a="1"/>
  <c r="DA173" i="1" s="1"/>
  <c r="DA178" i="1" a="1"/>
  <c r="DA178" i="1" s="1"/>
  <c r="DA159" i="1" a="1"/>
  <c r="DA159" i="1" s="1"/>
  <c r="DA169" i="1" a="1"/>
  <c r="DA169" i="1" s="1"/>
  <c r="DA175" i="1" a="1"/>
  <c r="DA175" i="1" s="1"/>
  <c r="DA180" i="1" a="1"/>
  <c r="DA180" i="1" s="1"/>
  <c r="DA182" i="1" a="1"/>
  <c r="DA182" i="1" s="1"/>
  <c r="DA148" i="1" a="1"/>
  <c r="DA148" i="1" s="1"/>
  <c r="DA162" i="1" a="1"/>
  <c r="DA162" i="1" s="1"/>
  <c r="DA164" i="1" a="1"/>
  <c r="DA164" i="1" s="1"/>
  <c r="DA166" i="1" a="1"/>
  <c r="DA166" i="1" s="1"/>
  <c r="DA172" i="1" a="1"/>
  <c r="DA172" i="1" s="1"/>
  <c r="DA192" i="1" a="1"/>
  <c r="DA192" i="1" s="1"/>
  <c r="DA195" i="1" a="1"/>
  <c r="DA195" i="1" s="1"/>
  <c r="DA197" i="1" a="1"/>
  <c r="DA197" i="1" s="1"/>
  <c r="DA199" i="1" a="1"/>
  <c r="DA199" i="1" s="1"/>
  <c r="DA246" i="1" a="1"/>
  <c r="DA246" i="1" s="1"/>
  <c r="DA185" i="1" a="1"/>
  <c r="DA185" i="1" s="1"/>
  <c r="DA187" i="1" a="1"/>
  <c r="DA187" i="1" s="1"/>
  <c r="DA189" i="1" a="1"/>
  <c r="DA189" i="1" s="1"/>
  <c r="DA191" i="1" a="1"/>
  <c r="DA191" i="1" s="1"/>
  <c r="DA194" i="1" a="1"/>
  <c r="DA194" i="1" s="1"/>
  <c r="DA201" i="1" a="1"/>
  <c r="DA201" i="1" s="1"/>
  <c r="DA203" i="1" a="1"/>
  <c r="DA203" i="1" s="1"/>
  <c r="DA205" i="1" a="1"/>
  <c r="DA205" i="1" s="1"/>
  <c r="DA207" i="1" a="1"/>
  <c r="DA207" i="1" s="1"/>
  <c r="DA209" i="1" a="1"/>
  <c r="DA209" i="1" s="1"/>
  <c r="DA211" i="1" a="1"/>
  <c r="DA211" i="1" s="1"/>
  <c r="DA213" i="1" a="1"/>
  <c r="DA213" i="1" s="1"/>
  <c r="DA215" i="1" a="1"/>
  <c r="DA215" i="1" s="1"/>
  <c r="DA217" i="1" a="1"/>
  <c r="DA217" i="1" s="1"/>
  <c r="DA219" i="1" a="1"/>
  <c r="DA219" i="1" s="1"/>
  <c r="DA221" i="1" a="1"/>
  <c r="DA221" i="1" s="1"/>
  <c r="DA223" i="1" a="1"/>
  <c r="DA223" i="1" s="1"/>
  <c r="DA225" i="1" a="1"/>
  <c r="DA225" i="1" s="1"/>
  <c r="DA227" i="1" a="1"/>
  <c r="DA227" i="1" s="1"/>
  <c r="DA229" i="1" a="1"/>
  <c r="DA229" i="1" s="1"/>
  <c r="DA231" i="1" a="1"/>
  <c r="DA231" i="1" s="1"/>
  <c r="DA233" i="1" a="1"/>
  <c r="DA233" i="1" s="1"/>
  <c r="DA235" i="1" a="1"/>
  <c r="DA235" i="1" s="1"/>
  <c r="DA237" i="1" a="1"/>
  <c r="DA237" i="1" s="1"/>
  <c r="DA239" i="1" a="1"/>
  <c r="DA239" i="1" s="1"/>
  <c r="DA241" i="1" a="1"/>
  <c r="DA241" i="1" s="1"/>
  <c r="DA196" i="1" a="1"/>
  <c r="DA196" i="1" s="1"/>
  <c r="DA198" i="1" a="1"/>
  <c r="DA198" i="1" s="1"/>
  <c r="DA177" i="1" a="1"/>
  <c r="DA177" i="1" s="1"/>
  <c r="DA179" i="1" a="1"/>
  <c r="DA179" i="1" s="1"/>
  <c r="DA186" i="1" a="1"/>
  <c r="DA186" i="1" s="1"/>
  <c r="DA193" i="1" a="1"/>
  <c r="DA193" i="1" s="1"/>
  <c r="DA250" i="1" a="1"/>
  <c r="DA250" i="1" s="1"/>
  <c r="DA252" i="1" a="1"/>
  <c r="DA252" i="1" s="1"/>
  <c r="DA257" i="1" a="1"/>
  <c r="DA257" i="1" s="1"/>
  <c r="DA262" i="1" a="1"/>
  <c r="DA262" i="1" s="1"/>
  <c r="DA268" i="1" a="1"/>
  <c r="DA268" i="1" s="1"/>
  <c r="DA270" i="1" a="1"/>
  <c r="DA270" i="1" s="1"/>
  <c r="DA273" i="1" a="1"/>
  <c r="DA273" i="1" s="1"/>
  <c r="DA280" i="1" a="1"/>
  <c r="DA280" i="1" s="1"/>
  <c r="DA287" i="1" a="1"/>
  <c r="DA287" i="1" s="1"/>
  <c r="DA289" i="1" a="1"/>
  <c r="DA289" i="1" s="1"/>
  <c r="DA291" i="1" a="1"/>
  <c r="DA291" i="1" s="1"/>
  <c r="DA293" i="1" a="1"/>
  <c r="DA293" i="1" s="1"/>
  <c r="DA295" i="1" a="1"/>
  <c r="DA295" i="1" s="1"/>
  <c r="DA243" i="1" a="1"/>
  <c r="DA243" i="1" s="1"/>
  <c r="DA249" i="1" a="1"/>
  <c r="DA249" i="1" s="1"/>
  <c r="DA254" i="1" a="1"/>
  <c r="DA254" i="1" s="1"/>
  <c r="DA256" i="1" a="1"/>
  <c r="DA256" i="1" s="1"/>
  <c r="DA259" i="1" a="1"/>
  <c r="DA259" i="1" s="1"/>
  <c r="DA261" i="1" a="1"/>
  <c r="DA261" i="1" s="1"/>
  <c r="DA264" i="1" a="1"/>
  <c r="DA264" i="1" s="1"/>
  <c r="DA267" i="1" a="1"/>
  <c r="DA267" i="1" s="1"/>
  <c r="DA269" i="1" a="1"/>
  <c r="DA269" i="1" s="1"/>
  <c r="DA272" i="1" a="1"/>
  <c r="DA272" i="1" s="1"/>
  <c r="DA275" i="1" a="1"/>
  <c r="DA275" i="1" s="1"/>
  <c r="DA278" i="1" a="1"/>
  <c r="DA278" i="1" s="1"/>
  <c r="DA282" i="1" a="1"/>
  <c r="DA282" i="1" s="1"/>
  <c r="DA283" i="1" a="1"/>
  <c r="DA283" i="1" s="1"/>
  <c r="DA285" i="1" a="1"/>
  <c r="DA285" i="1" s="1"/>
  <c r="DA184" i="1" a="1"/>
  <c r="DA184" i="1" s="1"/>
  <c r="DA244" i="1" a="1"/>
  <c r="DA244" i="1" s="1"/>
  <c r="DA248" i="1" a="1"/>
  <c r="DA248" i="1" s="1"/>
  <c r="DA251" i="1" a="1"/>
  <c r="DA251" i="1" s="1"/>
  <c r="DA253" i="1" a="1"/>
  <c r="DA253" i="1" s="1"/>
  <c r="DA266" i="1" a="1"/>
  <c r="DA266" i="1" s="1"/>
  <c r="DA277" i="1" a="1"/>
  <c r="DA277" i="1" s="1"/>
  <c r="DA281" i="1" a="1"/>
  <c r="DA281" i="1" s="1"/>
  <c r="DA288" i="1" a="1"/>
  <c r="DA288" i="1" s="1"/>
  <c r="DA290" i="1" a="1"/>
  <c r="DA290" i="1" s="1"/>
  <c r="DA292" i="1" a="1"/>
  <c r="DA292" i="1" s="1"/>
  <c r="DA294" i="1" a="1"/>
  <c r="DA294" i="1" s="1"/>
  <c r="DA296" i="1" a="1"/>
  <c r="DA296" i="1" s="1"/>
  <c r="DA298" i="1" a="1"/>
  <c r="DA298" i="1" s="1"/>
  <c r="DA200" i="1" a="1"/>
  <c r="DA200" i="1" s="1"/>
  <c r="DA202" i="1" a="1"/>
  <c r="DA202" i="1" s="1"/>
  <c r="DA204" i="1" a="1"/>
  <c r="DA204" i="1" s="1"/>
  <c r="DA206" i="1" a="1"/>
  <c r="DA206" i="1" s="1"/>
  <c r="DA208" i="1" a="1"/>
  <c r="DA208" i="1" s="1"/>
  <c r="DA210" i="1" a="1"/>
  <c r="DA210" i="1" s="1"/>
  <c r="DA212" i="1" a="1"/>
  <c r="DA212" i="1" s="1"/>
  <c r="DA214" i="1" a="1"/>
  <c r="DA214" i="1" s="1"/>
  <c r="DA216" i="1" a="1"/>
  <c r="DA216" i="1" s="1"/>
  <c r="DA218" i="1" a="1"/>
  <c r="DA218" i="1" s="1"/>
  <c r="DA220" i="1" a="1"/>
  <c r="DA220" i="1" s="1"/>
  <c r="DA222" i="1" a="1"/>
  <c r="DA222" i="1" s="1"/>
  <c r="DA224" i="1" a="1"/>
  <c r="DA224" i="1" s="1"/>
  <c r="DA226" i="1" a="1"/>
  <c r="DA226" i="1" s="1"/>
  <c r="DA228" i="1" a="1"/>
  <c r="DA228" i="1" s="1"/>
  <c r="DA230" i="1" a="1"/>
  <c r="DA230" i="1" s="1"/>
  <c r="DA232" i="1" a="1"/>
  <c r="DA232" i="1" s="1"/>
  <c r="DA234" i="1" a="1"/>
  <c r="DA234" i="1" s="1"/>
  <c r="DA236" i="1" a="1"/>
  <c r="DA236" i="1" s="1"/>
  <c r="DA238" i="1" a="1"/>
  <c r="DA238" i="1" s="1"/>
  <c r="DA240" i="1" a="1"/>
  <c r="DA240" i="1" s="1"/>
  <c r="DA242" i="1" a="1"/>
  <c r="DA242" i="1" s="1"/>
  <c r="DA245" i="1" a="1"/>
  <c r="DA245" i="1" s="1"/>
  <c r="DA279" i="1" a="1"/>
  <c r="DA279" i="1" s="1"/>
  <c r="DA316" i="1" a="1"/>
  <c r="DA316" i="1" s="1"/>
  <c r="DA318" i="1" a="1"/>
  <c r="DA318" i="1" s="1"/>
  <c r="DA320" i="1" a="1"/>
  <c r="DA320" i="1" s="1"/>
  <c r="DA322" i="1" a="1"/>
  <c r="DA322" i="1" s="1"/>
  <c r="DA324" i="1" a="1"/>
  <c r="DA324" i="1" s="1"/>
  <c r="DA326" i="1" a="1"/>
  <c r="DA326" i="1" s="1"/>
  <c r="DA328" i="1" a="1"/>
  <c r="DA328" i="1" s="1"/>
  <c r="DA329" i="1" a="1"/>
  <c r="DA329" i="1" s="1"/>
  <c r="DA332" i="1" a="1"/>
  <c r="DA332" i="1" s="1"/>
  <c r="DA334" i="1" a="1"/>
  <c r="DA334" i="1" s="1"/>
  <c r="DA335" i="1" a="1"/>
  <c r="DA335" i="1" s="1"/>
  <c r="DA340" i="1" a="1"/>
  <c r="DA340" i="1" s="1"/>
  <c r="DA255" i="1" a="1"/>
  <c r="DA255" i="1" s="1"/>
  <c r="DA300" i="1" a="1"/>
  <c r="DA300" i="1" s="1"/>
  <c r="DA302" i="1" a="1"/>
  <c r="DA302" i="1" s="1"/>
  <c r="DA304" i="1" a="1"/>
  <c r="DA304" i="1" s="1"/>
  <c r="DA306" i="1" a="1"/>
  <c r="DA306" i="1" s="1"/>
  <c r="DA308" i="1" a="1"/>
  <c r="DA308" i="1" s="1"/>
  <c r="DA310" i="1" a="1"/>
  <c r="DA310" i="1" s="1"/>
  <c r="DA312" i="1" a="1"/>
  <c r="DA312" i="1" s="1"/>
  <c r="DA313" i="1" a="1"/>
  <c r="DA313" i="1" s="1"/>
  <c r="DA314" i="1" a="1"/>
  <c r="DA314" i="1" s="1"/>
  <c r="DA315" i="1" a="1"/>
  <c r="DA315" i="1" s="1"/>
  <c r="DA330" i="1" a="1"/>
  <c r="DA330" i="1" s="1"/>
  <c r="DA331" i="1" a="1"/>
  <c r="DA331" i="1" s="1"/>
  <c r="DA336" i="1" a="1"/>
  <c r="DA336" i="1" s="1"/>
  <c r="DA338" i="1" a="1"/>
  <c r="DA338" i="1" s="1"/>
  <c r="DA339" i="1" a="1"/>
  <c r="DA339" i="1" s="1"/>
  <c r="DA344" i="1" a="1"/>
  <c r="DA344" i="1" s="1"/>
  <c r="DA188" i="1" a="1"/>
  <c r="DA188" i="1" s="1"/>
  <c r="DA190" i="1" a="1"/>
  <c r="DA190" i="1" s="1"/>
  <c r="DA247" i="1" a="1"/>
  <c r="DA247" i="1" s="1"/>
  <c r="DA258" i="1" a="1"/>
  <c r="DA258" i="1" s="1"/>
  <c r="DA260" i="1" a="1"/>
  <c r="DA260" i="1" s="1"/>
  <c r="DA271" i="1" a="1"/>
  <c r="DA271" i="1" s="1"/>
  <c r="DA317" i="1" a="1"/>
  <c r="DA317" i="1" s="1"/>
  <c r="DA319" i="1" a="1"/>
  <c r="DA319" i="1" s="1"/>
  <c r="DA321" i="1" a="1"/>
  <c r="DA321" i="1" s="1"/>
  <c r="DA323" i="1" a="1"/>
  <c r="DA323" i="1" s="1"/>
  <c r="DA325" i="1" a="1"/>
  <c r="DA325" i="1" s="1"/>
  <c r="DA327" i="1" a="1"/>
  <c r="DA327" i="1" s="1"/>
  <c r="DA337" i="1" a="1"/>
  <c r="DA337" i="1" s="1"/>
  <c r="DA345" i="1" a="1"/>
  <c r="DA345" i="1" s="1"/>
  <c r="DA347" i="1" a="1"/>
  <c r="DA347" i="1" s="1"/>
  <c r="DA349" i="1" a="1"/>
  <c r="DA349" i="1" s="1"/>
  <c r="DA263" i="1" a="1"/>
  <c r="DA263" i="1" s="1"/>
  <c r="DA265" i="1" a="1"/>
  <c r="DA265" i="1" s="1"/>
  <c r="DA348" i="1" a="1"/>
  <c r="DA348" i="1" s="1"/>
  <c r="DA351" i="1" a="1"/>
  <c r="DA351" i="1" s="1"/>
  <c r="DA429" i="1" a="1"/>
  <c r="DA429" i="1" s="1"/>
  <c r="DA432" i="1" a="1"/>
  <c r="DA432" i="1" s="1"/>
  <c r="DA274" i="1" a="1"/>
  <c r="DA274" i="1" s="1"/>
  <c r="DA276" i="1" a="1"/>
  <c r="DA276" i="1" s="1"/>
  <c r="DA297" i="1" a="1"/>
  <c r="DA297" i="1" s="1"/>
  <c r="DA343" i="1" a="1"/>
  <c r="DA343" i="1" s="1"/>
  <c r="DA350" i="1" a="1"/>
  <c r="DA350" i="1" s="1"/>
  <c r="DA423" i="1" a="1"/>
  <c r="DA423" i="1" s="1"/>
  <c r="DA427" i="1" a="1"/>
  <c r="DA427" i="1" s="1"/>
  <c r="DA428" i="1" a="1"/>
  <c r="DA428" i="1" s="1"/>
  <c r="DA430" i="1" a="1"/>
  <c r="DA430" i="1" s="1"/>
  <c r="DA433" i="1" a="1"/>
  <c r="DA433" i="1" s="1"/>
  <c r="DA434" i="1" a="1"/>
  <c r="DA434" i="1" s="1"/>
  <c r="DA439" i="1" a="1"/>
  <c r="DA439" i="1" s="1"/>
  <c r="DA342" i="1" a="1"/>
  <c r="DA342" i="1" s="1"/>
  <c r="DA353" i="1" a="1"/>
  <c r="DA353" i="1" s="1"/>
  <c r="DA354" i="1" a="1"/>
  <c r="DA354" i="1" s="1"/>
  <c r="DA355" i="1" a="1"/>
  <c r="DA355" i="1" s="1"/>
  <c r="DA356" i="1" a="1"/>
  <c r="DA356" i="1" s="1"/>
  <c r="DA357" i="1" a="1"/>
  <c r="DA357" i="1" s="1"/>
  <c r="DA358" i="1" a="1"/>
  <c r="DA358" i="1" s="1"/>
  <c r="DA359" i="1" a="1"/>
  <c r="DA359" i="1" s="1"/>
  <c r="DA360" i="1" a="1"/>
  <c r="DA360" i="1" s="1"/>
  <c r="DA361" i="1" a="1"/>
  <c r="DA361" i="1" s="1"/>
  <c r="DA362" i="1" a="1"/>
  <c r="DA362" i="1" s="1"/>
  <c r="DA363" i="1" a="1"/>
  <c r="DA363" i="1" s="1"/>
  <c r="DA364" i="1" a="1"/>
  <c r="DA364" i="1" s="1"/>
  <c r="DA365" i="1" a="1"/>
  <c r="DA365" i="1" s="1"/>
  <c r="DA366" i="1" a="1"/>
  <c r="DA366" i="1" s="1"/>
  <c r="DA367" i="1" a="1"/>
  <c r="DA367" i="1" s="1"/>
  <c r="DA368" i="1" a="1"/>
  <c r="DA368" i="1" s="1"/>
  <c r="DA369" i="1" a="1"/>
  <c r="DA369" i="1" s="1"/>
  <c r="DA370" i="1" a="1"/>
  <c r="DA370" i="1" s="1"/>
  <c r="DA371" i="1" a="1"/>
  <c r="DA371" i="1" s="1"/>
  <c r="DA372" i="1" a="1"/>
  <c r="DA372" i="1" s="1"/>
  <c r="DA373" i="1" a="1"/>
  <c r="DA373" i="1" s="1"/>
  <c r="DA374" i="1" a="1"/>
  <c r="DA374" i="1" s="1"/>
  <c r="DA375" i="1" a="1"/>
  <c r="DA375" i="1" s="1"/>
  <c r="DA376" i="1" a="1"/>
  <c r="DA376" i="1" s="1"/>
  <c r="DA377" i="1" a="1"/>
  <c r="DA377" i="1" s="1"/>
  <c r="DA378" i="1" a="1"/>
  <c r="DA378" i="1" s="1"/>
  <c r="DA379" i="1" a="1"/>
  <c r="DA379" i="1" s="1"/>
  <c r="DA380" i="1" a="1"/>
  <c r="DA380" i="1" s="1"/>
  <c r="DA381" i="1" a="1"/>
  <c r="DA381" i="1" s="1"/>
  <c r="DA382" i="1" a="1"/>
  <c r="DA382" i="1" s="1"/>
  <c r="DA383" i="1" a="1"/>
  <c r="DA383" i="1" s="1"/>
  <c r="DA384" i="1" a="1"/>
  <c r="DA384" i="1" s="1"/>
  <c r="DA385" i="1" a="1"/>
  <c r="DA385" i="1" s="1"/>
  <c r="DA386" i="1" a="1"/>
  <c r="DA386" i="1" s="1"/>
  <c r="DA387" i="1" a="1"/>
  <c r="DA387" i="1" s="1"/>
  <c r="DA388" i="1" a="1"/>
  <c r="DA388" i="1" s="1"/>
  <c r="DA389" i="1" a="1"/>
  <c r="DA389" i="1" s="1"/>
  <c r="DA390" i="1" a="1"/>
  <c r="DA390" i="1" s="1"/>
  <c r="DA391" i="1" a="1"/>
  <c r="DA391" i="1" s="1"/>
  <c r="DA392" i="1" a="1"/>
  <c r="DA392" i="1" s="1"/>
  <c r="DA393" i="1" a="1"/>
  <c r="DA393" i="1" s="1"/>
  <c r="DA394" i="1" a="1"/>
  <c r="DA394" i="1" s="1"/>
  <c r="DA395" i="1" a="1"/>
  <c r="DA395" i="1" s="1"/>
  <c r="DA396" i="1" a="1"/>
  <c r="DA396" i="1" s="1"/>
  <c r="DA397" i="1" a="1"/>
  <c r="DA397" i="1" s="1"/>
  <c r="DA398" i="1" a="1"/>
  <c r="DA398" i="1" s="1"/>
  <c r="DA399" i="1" a="1"/>
  <c r="DA399" i="1" s="1"/>
  <c r="DA400" i="1" a="1"/>
  <c r="DA400" i="1" s="1"/>
  <c r="DA401" i="1" a="1"/>
  <c r="DA401" i="1" s="1"/>
  <c r="DA402" i="1" a="1"/>
  <c r="DA402" i="1" s="1"/>
  <c r="DA403" i="1" a="1"/>
  <c r="DA403" i="1" s="1"/>
  <c r="DA404" i="1" a="1"/>
  <c r="DA404" i="1" s="1"/>
  <c r="DA405" i="1" a="1"/>
  <c r="DA405" i="1" s="1"/>
  <c r="DA406" i="1" a="1"/>
  <c r="DA406" i="1" s="1"/>
  <c r="DA407" i="1" a="1"/>
  <c r="DA407" i="1" s="1"/>
  <c r="DA408" i="1" a="1"/>
  <c r="DA408" i="1" s="1"/>
  <c r="DA409" i="1" a="1"/>
  <c r="DA409" i="1" s="1"/>
  <c r="DA410" i="1" a="1"/>
  <c r="DA410" i="1" s="1"/>
  <c r="DA411" i="1" a="1"/>
  <c r="DA411" i="1" s="1"/>
  <c r="DA412" i="1" a="1"/>
  <c r="DA412" i="1" s="1"/>
  <c r="DA413" i="1" a="1"/>
  <c r="DA413" i="1" s="1"/>
  <c r="DA414" i="1" a="1"/>
  <c r="DA414" i="1" s="1"/>
  <c r="DA415" i="1" a="1"/>
  <c r="DA415" i="1" s="1"/>
  <c r="DA416" i="1" a="1"/>
  <c r="DA416" i="1" s="1"/>
  <c r="DA417" i="1" a="1"/>
  <c r="DA417" i="1" s="1"/>
  <c r="DA418" i="1" a="1"/>
  <c r="DA418" i="1" s="1"/>
  <c r="DA421" i="1" a="1"/>
  <c r="DA421" i="1" s="1"/>
  <c r="DA425" i="1" a="1"/>
  <c r="DA425" i="1" s="1"/>
  <c r="DA426" i="1" a="1"/>
  <c r="DA426" i="1" s="1"/>
  <c r="DA435" i="1" a="1"/>
  <c r="DA435" i="1" s="1"/>
  <c r="DA436" i="1" a="1"/>
  <c r="DA436" i="1" s="1"/>
  <c r="DJ119" i="1" a="1"/>
  <c r="DJ119" i="1" s="1"/>
  <c r="DJ112" i="1" a="1"/>
  <c r="DJ112" i="1" s="1"/>
  <c r="DJ99" i="1" a="1"/>
  <c r="DJ99" i="1" s="1"/>
  <c r="DJ110" i="1" a="1"/>
  <c r="DJ110" i="1" s="1"/>
  <c r="DJ97" i="1" a="1"/>
  <c r="DJ97" i="1" s="1"/>
  <c r="DJ150" i="1" a="1"/>
  <c r="DJ150" i="1" s="1"/>
  <c r="DJ152" i="1" a="1"/>
  <c r="DJ152" i="1" s="1"/>
  <c r="DJ154" i="1" a="1"/>
  <c r="DJ154" i="1" s="1"/>
  <c r="DJ137" i="1" a="1"/>
  <c r="DJ137" i="1" s="1"/>
  <c r="DJ139" i="1" a="1"/>
  <c r="DJ139" i="1" s="1"/>
  <c r="DJ141" i="1" a="1"/>
  <c r="DJ141" i="1" s="1"/>
  <c r="DJ146" i="1" a="1"/>
  <c r="DJ146" i="1" s="1"/>
  <c r="DJ148" i="1" a="1"/>
  <c r="DJ148" i="1" s="1"/>
  <c r="DJ151" i="1" a="1"/>
  <c r="DJ151" i="1" s="1"/>
  <c r="DJ153" i="1" a="1"/>
  <c r="DJ153" i="1" s="1"/>
  <c r="DJ155" i="1" a="1"/>
  <c r="DJ155" i="1" s="1"/>
  <c r="DJ157" i="1" a="1"/>
  <c r="DJ157" i="1" s="1"/>
  <c r="DJ159" i="1" a="1"/>
  <c r="DJ159" i="1" s="1"/>
  <c r="DJ142" i="1" a="1"/>
  <c r="DJ142" i="1" s="1"/>
  <c r="DJ156" i="1" a="1"/>
  <c r="DJ156" i="1" s="1"/>
  <c r="DJ161" i="1" a="1"/>
  <c r="DJ161" i="1" s="1"/>
  <c r="DJ163" i="1" a="1"/>
  <c r="DJ163" i="1" s="1"/>
  <c r="DJ165" i="1" a="1"/>
  <c r="DJ165" i="1" s="1"/>
  <c r="DJ170" i="1" a="1"/>
  <c r="DJ170" i="1" s="1"/>
  <c r="DJ173" i="1" a="1"/>
  <c r="DJ173" i="1" s="1"/>
  <c r="DJ176" i="1" a="1"/>
  <c r="DJ176" i="1" s="1"/>
  <c r="DJ178" i="1" a="1"/>
  <c r="DJ178" i="1" s="1"/>
  <c r="DJ185" i="1" a="1"/>
  <c r="DJ185" i="1" s="1"/>
  <c r="DJ140" i="1" a="1"/>
  <c r="DJ140" i="1" s="1"/>
  <c r="DJ167" i="1" a="1"/>
  <c r="DJ167" i="1" s="1"/>
  <c r="DJ169" i="1" a="1"/>
  <c r="DJ169" i="1" s="1"/>
  <c r="DJ175" i="1" a="1"/>
  <c r="DJ175" i="1" s="1"/>
  <c r="DJ180" i="1" a="1"/>
  <c r="DJ180" i="1" s="1"/>
  <c r="DJ182" i="1" a="1"/>
  <c r="DJ182" i="1" s="1"/>
  <c r="DJ138" i="1" a="1"/>
  <c r="DJ138" i="1" s="1"/>
  <c r="DJ144" i="1" a="1"/>
  <c r="DJ144" i="1" s="1"/>
  <c r="DJ158" i="1" a="1"/>
  <c r="DJ158" i="1" s="1"/>
  <c r="DJ160" i="1" a="1"/>
  <c r="DJ160" i="1" s="1"/>
  <c r="DJ162" i="1" a="1"/>
  <c r="DJ162" i="1" s="1"/>
  <c r="DJ164" i="1" a="1"/>
  <c r="DJ164" i="1" s="1"/>
  <c r="DJ166" i="1" a="1"/>
  <c r="DJ166" i="1" s="1"/>
  <c r="DJ172" i="1" a="1"/>
  <c r="DJ172" i="1" s="1"/>
  <c r="DJ177" i="1" a="1"/>
  <c r="DJ177" i="1" s="1"/>
  <c r="DJ179" i="1" a="1"/>
  <c r="DJ179" i="1" s="1"/>
  <c r="DJ184" i="1" a="1"/>
  <c r="DJ184" i="1" s="1"/>
  <c r="DJ186" i="1" a="1"/>
  <c r="DJ186" i="1" s="1"/>
  <c r="DJ183" i="1" a="1"/>
  <c r="DJ183" i="1" s="1"/>
  <c r="DJ189" i="1" a="1"/>
  <c r="DJ189" i="1" s="1"/>
  <c r="DJ191" i="1" a="1"/>
  <c r="DJ191" i="1" s="1"/>
  <c r="DJ194" i="1" a="1"/>
  <c r="DJ194" i="1" s="1"/>
  <c r="DJ201" i="1" a="1"/>
  <c r="DJ201" i="1" s="1"/>
  <c r="DJ203" i="1" a="1"/>
  <c r="DJ203" i="1" s="1"/>
  <c r="DJ205" i="1" a="1"/>
  <c r="DJ205" i="1" s="1"/>
  <c r="DJ207" i="1" a="1"/>
  <c r="DJ207" i="1" s="1"/>
  <c r="DJ209" i="1" a="1"/>
  <c r="DJ209" i="1" s="1"/>
  <c r="DJ211" i="1" a="1"/>
  <c r="DJ211" i="1" s="1"/>
  <c r="DJ213" i="1" a="1"/>
  <c r="DJ213" i="1" s="1"/>
  <c r="DJ215" i="1" a="1"/>
  <c r="DJ215" i="1" s="1"/>
  <c r="DJ217" i="1" a="1"/>
  <c r="DJ217" i="1" s="1"/>
  <c r="DJ219" i="1" a="1"/>
  <c r="DJ219" i="1" s="1"/>
  <c r="DJ221" i="1" a="1"/>
  <c r="DJ221" i="1" s="1"/>
  <c r="DJ223" i="1" a="1"/>
  <c r="DJ223" i="1" s="1"/>
  <c r="DJ225" i="1" a="1"/>
  <c r="DJ225" i="1" s="1"/>
  <c r="DJ227" i="1" a="1"/>
  <c r="DJ227" i="1" s="1"/>
  <c r="DJ229" i="1" a="1"/>
  <c r="DJ229" i="1" s="1"/>
  <c r="DJ231" i="1" a="1"/>
  <c r="DJ231" i="1" s="1"/>
  <c r="DJ233" i="1" a="1"/>
  <c r="DJ233" i="1" s="1"/>
  <c r="DJ235" i="1" a="1"/>
  <c r="DJ235" i="1" s="1"/>
  <c r="DJ237" i="1" a="1"/>
  <c r="DJ237" i="1" s="1"/>
  <c r="DJ239" i="1" a="1"/>
  <c r="DJ239" i="1" s="1"/>
  <c r="DJ241" i="1" a="1"/>
  <c r="DJ241" i="1" s="1"/>
  <c r="DJ243" i="1" a="1"/>
  <c r="DJ243" i="1" s="1"/>
  <c r="DJ245" i="1" a="1"/>
  <c r="DJ245" i="1" s="1"/>
  <c r="DJ168" i="1" a="1"/>
  <c r="DJ168" i="1" s="1"/>
  <c r="DJ171" i="1" a="1"/>
  <c r="DJ171" i="1" s="1"/>
  <c r="DJ174" i="1" a="1"/>
  <c r="DJ174" i="1" s="1"/>
  <c r="DJ181" i="1" a="1"/>
  <c r="DJ181" i="1" s="1"/>
  <c r="DJ196" i="1" a="1"/>
  <c r="DJ196" i="1" s="1"/>
  <c r="DJ198" i="1" a="1"/>
  <c r="DJ198" i="1" s="1"/>
  <c r="DJ187" i="1" a="1"/>
  <c r="DJ187" i="1" s="1"/>
  <c r="DJ188" i="1" a="1"/>
  <c r="DJ188" i="1" s="1"/>
  <c r="DJ190" i="1" a="1"/>
  <c r="DJ190" i="1" s="1"/>
  <c r="DJ193" i="1" a="1"/>
  <c r="DJ193" i="1" s="1"/>
  <c r="DJ200" i="1" a="1"/>
  <c r="DJ200" i="1" s="1"/>
  <c r="DJ202" i="1" a="1"/>
  <c r="DJ202" i="1" s="1"/>
  <c r="DJ204" i="1" a="1"/>
  <c r="DJ204" i="1" s="1"/>
  <c r="DJ206" i="1" a="1"/>
  <c r="DJ206" i="1" s="1"/>
  <c r="DJ208" i="1" a="1"/>
  <c r="DJ208" i="1" s="1"/>
  <c r="DJ210" i="1" a="1"/>
  <c r="DJ210" i="1" s="1"/>
  <c r="DJ212" i="1" a="1"/>
  <c r="DJ212" i="1" s="1"/>
  <c r="DJ214" i="1" a="1"/>
  <c r="DJ214" i="1" s="1"/>
  <c r="DJ216" i="1" a="1"/>
  <c r="DJ216" i="1" s="1"/>
  <c r="DJ218" i="1" a="1"/>
  <c r="DJ218" i="1" s="1"/>
  <c r="DJ220" i="1" a="1"/>
  <c r="DJ220" i="1" s="1"/>
  <c r="DJ222" i="1" a="1"/>
  <c r="DJ222" i="1" s="1"/>
  <c r="DJ224" i="1" a="1"/>
  <c r="DJ224" i="1" s="1"/>
  <c r="DJ226" i="1" a="1"/>
  <c r="DJ226" i="1" s="1"/>
  <c r="DJ228" i="1" a="1"/>
  <c r="DJ228" i="1" s="1"/>
  <c r="DJ230" i="1" a="1"/>
  <c r="DJ230" i="1" s="1"/>
  <c r="DJ232" i="1" a="1"/>
  <c r="DJ232" i="1" s="1"/>
  <c r="DJ234" i="1" a="1"/>
  <c r="DJ234" i="1" s="1"/>
  <c r="DJ236" i="1" a="1"/>
  <c r="DJ236" i="1" s="1"/>
  <c r="DJ238" i="1" a="1"/>
  <c r="DJ238" i="1" s="1"/>
  <c r="DJ240" i="1" a="1"/>
  <c r="DJ240" i="1" s="1"/>
  <c r="DJ242" i="1" a="1"/>
  <c r="DJ242" i="1" s="1"/>
  <c r="DJ199" i="1" a="1"/>
  <c r="DJ199" i="1" s="1"/>
  <c r="DJ247" i="1" a="1"/>
  <c r="DJ247" i="1" s="1"/>
  <c r="DJ249" i="1" a="1"/>
  <c r="DJ249" i="1" s="1"/>
  <c r="DJ254" i="1" a="1"/>
  <c r="DJ254" i="1" s="1"/>
  <c r="DJ256" i="1" a="1"/>
  <c r="DJ256" i="1" s="1"/>
  <c r="DJ259" i="1" a="1"/>
  <c r="DJ259" i="1" s="1"/>
  <c r="DJ261" i="1" a="1"/>
  <c r="DJ261" i="1" s="1"/>
  <c r="DJ262" i="1" a="1"/>
  <c r="DJ262" i="1" s="1"/>
  <c r="DJ264" i="1" a="1"/>
  <c r="DJ264" i="1" s="1"/>
  <c r="DJ267" i="1" a="1"/>
  <c r="DJ267" i="1" s="1"/>
  <c r="DJ269" i="1" a="1"/>
  <c r="DJ269" i="1" s="1"/>
  <c r="DJ270" i="1" a="1"/>
  <c r="DJ270" i="1" s="1"/>
  <c r="DJ272" i="1" a="1"/>
  <c r="DJ272" i="1" s="1"/>
  <c r="DJ275" i="1" a="1"/>
  <c r="DJ275" i="1" s="1"/>
  <c r="DJ278" i="1" a="1"/>
  <c r="DJ278" i="1" s="1"/>
  <c r="DJ283" i="1" a="1"/>
  <c r="DJ283" i="1" s="1"/>
  <c r="DJ285" i="1" a="1"/>
  <c r="DJ285" i="1" s="1"/>
  <c r="DJ286" i="1" a="1"/>
  <c r="DJ286" i="1" s="1"/>
  <c r="DJ192" i="1" a="1"/>
  <c r="DJ192" i="1" s="1"/>
  <c r="DJ197" i="1" a="1"/>
  <c r="DJ197" i="1" s="1"/>
  <c r="DJ248" i="1" a="1"/>
  <c r="DJ248" i="1" s="1"/>
  <c r="DJ251" i="1" a="1"/>
  <c r="DJ251" i="1" s="1"/>
  <c r="DJ253" i="1" a="1"/>
  <c r="DJ253" i="1" s="1"/>
  <c r="DJ268" i="1" a="1"/>
  <c r="DJ268" i="1" s="1"/>
  <c r="DJ277" i="1" a="1"/>
  <c r="DJ277" i="1" s="1"/>
  <c r="DJ281" i="1" a="1"/>
  <c r="DJ281" i="1" s="1"/>
  <c r="DJ282" i="1" a="1"/>
  <c r="DJ282" i="1" s="1"/>
  <c r="DJ288" i="1" a="1"/>
  <c r="DJ288" i="1" s="1"/>
  <c r="DJ290" i="1" a="1"/>
  <c r="DJ290" i="1" s="1"/>
  <c r="DJ292" i="1" a="1"/>
  <c r="DJ292" i="1" s="1"/>
  <c r="DJ195" i="1" a="1"/>
  <c r="DJ195" i="1" s="1"/>
  <c r="DJ255" i="1" a="1"/>
  <c r="DJ255" i="1" s="1"/>
  <c r="DJ258" i="1" a="1"/>
  <c r="DJ258" i="1" s="1"/>
  <c r="DJ260" i="1" a="1"/>
  <c r="DJ260" i="1" s="1"/>
  <c r="DJ263" i="1" a="1"/>
  <c r="DJ263" i="1" s="1"/>
  <c r="DJ265" i="1" a="1"/>
  <c r="DJ265" i="1" s="1"/>
  <c r="DJ266" i="1" a="1"/>
  <c r="DJ266" i="1" s="1"/>
  <c r="DJ271" i="1" a="1"/>
  <c r="DJ271" i="1" s="1"/>
  <c r="DJ274" i="1" a="1"/>
  <c r="DJ274" i="1" s="1"/>
  <c r="DJ276" i="1" a="1"/>
  <c r="DJ276" i="1" s="1"/>
  <c r="DJ279" i="1" a="1"/>
  <c r="DJ279" i="1" s="1"/>
  <c r="DJ284" i="1" a="1"/>
  <c r="DJ284" i="1" s="1"/>
  <c r="DJ273" i="1" a="1"/>
  <c r="DJ273" i="1" s="1"/>
  <c r="DJ289" i="1" a="1"/>
  <c r="DJ289" i="1" s="1"/>
  <c r="DJ297" i="1" a="1"/>
  <c r="DJ297" i="1" s="1"/>
  <c r="DJ300" i="1" a="1"/>
  <c r="DJ300" i="1" s="1"/>
  <c r="DJ302" i="1" a="1"/>
  <c r="DJ302" i="1" s="1"/>
  <c r="DJ304" i="1" a="1"/>
  <c r="DJ304" i="1" s="1"/>
  <c r="DJ306" i="1" a="1"/>
  <c r="DJ306" i="1" s="1"/>
  <c r="DJ308" i="1" a="1"/>
  <c r="DJ308" i="1" s="1"/>
  <c r="DJ310" i="1" a="1"/>
  <c r="DJ310" i="1" s="1"/>
  <c r="DJ246" i="1" a="1"/>
  <c r="DJ246" i="1" s="1"/>
  <c r="DJ287" i="1" a="1"/>
  <c r="DJ287" i="1" s="1"/>
  <c r="DJ298" i="1" a="1"/>
  <c r="DJ298" i="1" s="1"/>
  <c r="DJ317" i="1" a="1"/>
  <c r="DJ317" i="1" s="1"/>
  <c r="DJ319" i="1" a="1"/>
  <c r="DJ319" i="1" s="1"/>
  <c r="DJ321" i="1" a="1"/>
  <c r="DJ321" i="1" s="1"/>
  <c r="DJ323" i="1" a="1"/>
  <c r="DJ323" i="1" s="1"/>
  <c r="DJ325" i="1" a="1"/>
  <c r="DJ325" i="1" s="1"/>
  <c r="DJ327" i="1" a="1"/>
  <c r="DJ327" i="1" s="1"/>
  <c r="DJ328" i="1" a="1"/>
  <c r="DJ328" i="1" s="1"/>
  <c r="DJ329" i="1" a="1"/>
  <c r="DJ329" i="1" s="1"/>
  <c r="DJ334" i="1" a="1"/>
  <c r="DJ334" i="1" s="1"/>
  <c r="DJ335" i="1" a="1"/>
  <c r="DJ335" i="1" s="1"/>
  <c r="DJ337" i="1" a="1"/>
  <c r="DJ337" i="1" s="1"/>
  <c r="DJ342" i="1" a="1"/>
  <c r="DJ342" i="1" s="1"/>
  <c r="DJ343" i="1" a="1"/>
  <c r="DJ343" i="1" s="1"/>
  <c r="DJ345" i="1" a="1"/>
  <c r="DJ345" i="1" s="1"/>
  <c r="DJ347" i="1" a="1"/>
  <c r="DJ347" i="1" s="1"/>
  <c r="DJ349" i="1" a="1"/>
  <c r="DJ349" i="1" s="1"/>
  <c r="DJ350" i="1" a="1"/>
  <c r="DJ350" i="1" s="1"/>
  <c r="DJ351" i="1" a="1"/>
  <c r="DJ351" i="1" s="1"/>
  <c r="DJ352" i="1" a="1"/>
  <c r="DJ352" i="1" s="1"/>
  <c r="DJ252" i="1" a="1"/>
  <c r="DJ252" i="1" s="1"/>
  <c r="DJ293" i="1" a="1"/>
  <c r="DJ293" i="1" s="1"/>
  <c r="DJ299" i="1" a="1"/>
  <c r="DJ299" i="1" s="1"/>
  <c r="DJ301" i="1" a="1"/>
  <c r="DJ301" i="1" s="1"/>
  <c r="DJ303" i="1" a="1"/>
  <c r="DJ303" i="1" s="1"/>
  <c r="DJ305" i="1" a="1"/>
  <c r="DJ305" i="1" s="1"/>
  <c r="DJ307" i="1" a="1"/>
  <c r="DJ307" i="1" s="1"/>
  <c r="DJ309" i="1" a="1"/>
  <c r="DJ309" i="1" s="1"/>
  <c r="DJ311" i="1" a="1"/>
  <c r="DJ311" i="1" s="1"/>
  <c r="DJ312" i="1" a="1"/>
  <c r="DJ312" i="1" s="1"/>
  <c r="DJ313" i="1" a="1"/>
  <c r="DJ313" i="1" s="1"/>
  <c r="DJ314" i="1" a="1"/>
  <c r="DJ314" i="1" s="1"/>
  <c r="DJ315" i="1" a="1"/>
  <c r="DJ315" i="1" s="1"/>
  <c r="DJ330" i="1" a="1"/>
  <c r="DJ330" i="1" s="1"/>
  <c r="DJ331" i="1" a="1"/>
  <c r="DJ331" i="1" s="1"/>
  <c r="DJ333" i="1" a="1"/>
  <c r="DJ333" i="1" s="1"/>
  <c r="DJ336" i="1" a="1"/>
  <c r="DJ336" i="1" s="1"/>
  <c r="DJ338" i="1" a="1"/>
  <c r="DJ338" i="1" s="1"/>
  <c r="DJ339" i="1" a="1"/>
  <c r="DJ339" i="1" s="1"/>
  <c r="DJ341" i="1" a="1"/>
  <c r="DJ341" i="1" s="1"/>
  <c r="DJ344" i="1" a="1"/>
  <c r="DJ344" i="1" s="1"/>
  <c r="DJ244" i="1" a="1"/>
  <c r="DJ244" i="1" s="1"/>
  <c r="DJ250" i="1" a="1"/>
  <c r="DJ250" i="1" s="1"/>
  <c r="DJ280" i="1" a="1"/>
  <c r="DJ280" i="1" s="1"/>
  <c r="DJ296" i="1" a="1"/>
  <c r="DJ296" i="1" s="1"/>
  <c r="DJ320" i="1" a="1"/>
  <c r="DJ320" i="1" s="1"/>
  <c r="DJ332" i="1" a="1"/>
  <c r="DJ332" i="1" s="1"/>
  <c r="DJ340" i="1" a="1"/>
  <c r="DJ340" i="1" s="1"/>
  <c r="DJ419" i="1" a="1"/>
  <c r="DJ419" i="1" s="1"/>
  <c r="DJ428" i="1" a="1"/>
  <c r="DJ428" i="1" s="1"/>
  <c r="DJ294" i="1" a="1"/>
  <c r="DJ294" i="1" s="1"/>
  <c r="DJ318" i="1" a="1"/>
  <c r="DJ318" i="1" s="1"/>
  <c r="DJ326" i="1" a="1"/>
  <c r="DJ326" i="1" s="1"/>
  <c r="DJ422" i="1" a="1"/>
  <c r="DJ422" i="1" s="1"/>
  <c r="DJ426" i="1" a="1"/>
  <c r="DJ426" i="1" s="1"/>
  <c r="DJ429" i="1" a="1"/>
  <c r="DJ429" i="1" s="1"/>
  <c r="DJ431" i="1" a="1"/>
  <c r="DJ431" i="1" s="1"/>
  <c r="DJ432" i="1" a="1"/>
  <c r="DJ432" i="1" s="1"/>
  <c r="DJ437" i="1" a="1"/>
  <c r="DJ437" i="1" s="1"/>
  <c r="DJ438" i="1" a="1"/>
  <c r="DJ438" i="1" s="1"/>
  <c r="DJ257" i="1" a="1"/>
  <c r="DJ257" i="1" s="1"/>
  <c r="DJ295" i="1" a="1"/>
  <c r="DJ295" i="1" s="1"/>
  <c r="DJ316" i="1" a="1"/>
  <c r="DJ316" i="1" s="1"/>
  <c r="DJ324" i="1" a="1"/>
  <c r="DJ324" i="1" s="1"/>
  <c r="DJ346" i="1" a="1"/>
  <c r="DJ346" i="1" s="1"/>
  <c r="DJ420" i="1" a="1"/>
  <c r="DJ420" i="1" s="1"/>
  <c r="DJ424" i="1" a="1"/>
  <c r="DJ424" i="1" s="1"/>
  <c r="DJ427" i="1" a="1"/>
  <c r="DJ427" i="1" s="1"/>
  <c r="DJ430" i="1" a="1"/>
  <c r="DJ430" i="1" s="1"/>
  <c r="DJ433" i="1" a="1"/>
  <c r="DJ433" i="1" s="1"/>
  <c r="CT100" i="1" a="1"/>
  <c r="CT100" i="1" s="1"/>
  <c r="CT117" i="1" a="1"/>
  <c r="CT117" i="1" s="1"/>
  <c r="CT99" i="1" a="1"/>
  <c r="CT99" i="1" s="1"/>
  <c r="CT149" i="1" a="1"/>
  <c r="CT149" i="1" s="1"/>
  <c r="CT152" i="1" a="1"/>
  <c r="CT152" i="1" s="1"/>
  <c r="CT154" i="1" a="1"/>
  <c r="CT154" i="1" s="1"/>
  <c r="CT156" i="1" a="1"/>
  <c r="CT156" i="1" s="1"/>
  <c r="CT139" i="1" a="1"/>
  <c r="CT139" i="1" s="1"/>
  <c r="CT141" i="1" a="1"/>
  <c r="CT141" i="1" s="1"/>
  <c r="CT143" i="1" a="1"/>
  <c r="CT143" i="1" s="1"/>
  <c r="CT146" i="1" a="1"/>
  <c r="CT146" i="1" s="1"/>
  <c r="CT151" i="1" a="1"/>
  <c r="CT151" i="1" s="1"/>
  <c r="CT153" i="1" a="1"/>
  <c r="CT153" i="1" s="1"/>
  <c r="CT155" i="1" a="1"/>
  <c r="CT155" i="1" s="1"/>
  <c r="CT157" i="1" a="1"/>
  <c r="CT157" i="1" s="1"/>
  <c r="CT159" i="1" a="1"/>
  <c r="CT159" i="1" s="1"/>
  <c r="CT147" i="1" a="1"/>
  <c r="CT147" i="1" s="1"/>
  <c r="CT160" i="1" a="1"/>
  <c r="CT160" i="1" s="1"/>
  <c r="CT161" i="1" a="1"/>
  <c r="CT161" i="1" s="1"/>
  <c r="CT163" i="1" a="1"/>
  <c r="CT163" i="1" s="1"/>
  <c r="CT165" i="1" a="1"/>
  <c r="CT165" i="1" s="1"/>
  <c r="CT167" i="1" a="1"/>
  <c r="CT167" i="1" s="1"/>
  <c r="CT173" i="1" a="1"/>
  <c r="CT173" i="1" s="1"/>
  <c r="CT178" i="1" a="1"/>
  <c r="CT178" i="1" s="1"/>
  <c r="CT185" i="1" a="1"/>
  <c r="CT185" i="1" s="1"/>
  <c r="CT142" i="1" a="1"/>
  <c r="CT142" i="1" s="1"/>
  <c r="CT169" i="1" a="1"/>
  <c r="CT169" i="1" s="1"/>
  <c r="CT175" i="1" a="1"/>
  <c r="CT175" i="1" s="1"/>
  <c r="CT180" i="1" a="1"/>
  <c r="CT180" i="1" s="1"/>
  <c r="CT182" i="1" a="1"/>
  <c r="CT182" i="1" s="1"/>
  <c r="CT140" i="1" a="1"/>
  <c r="CT140" i="1" s="1"/>
  <c r="CT162" i="1" a="1"/>
  <c r="CT162" i="1" s="1"/>
  <c r="CT164" i="1" a="1"/>
  <c r="CT164" i="1" s="1"/>
  <c r="CT166" i="1" a="1"/>
  <c r="CT166" i="1" s="1"/>
  <c r="CT172" i="1" a="1"/>
  <c r="CT172" i="1" s="1"/>
  <c r="CT177" i="1" a="1"/>
  <c r="CT177" i="1" s="1"/>
  <c r="CT179" i="1" a="1"/>
  <c r="CT179" i="1" s="1"/>
  <c r="CT184" i="1" a="1"/>
  <c r="CT184" i="1" s="1"/>
  <c r="CT186" i="1" a="1"/>
  <c r="CT186" i="1" s="1"/>
  <c r="CT189" i="1" a="1"/>
  <c r="CT189" i="1" s="1"/>
  <c r="CT191" i="1" a="1"/>
  <c r="CT191" i="1" s="1"/>
  <c r="CT194" i="1" a="1"/>
  <c r="CT194" i="1" s="1"/>
  <c r="CT201" i="1" a="1"/>
  <c r="CT201" i="1" s="1"/>
  <c r="CT203" i="1" a="1"/>
  <c r="CT203" i="1" s="1"/>
  <c r="CT205" i="1" a="1"/>
  <c r="CT205" i="1" s="1"/>
  <c r="CT207" i="1" a="1"/>
  <c r="CT207" i="1" s="1"/>
  <c r="CT209" i="1" a="1"/>
  <c r="CT209" i="1" s="1"/>
  <c r="CT211" i="1" a="1"/>
  <c r="CT211" i="1" s="1"/>
  <c r="CT213" i="1" a="1"/>
  <c r="CT213" i="1" s="1"/>
  <c r="CT215" i="1" a="1"/>
  <c r="CT215" i="1" s="1"/>
  <c r="CT217" i="1" a="1"/>
  <c r="CT217" i="1" s="1"/>
  <c r="CT219" i="1" a="1"/>
  <c r="CT219" i="1" s="1"/>
  <c r="CT221" i="1" a="1"/>
  <c r="CT221" i="1" s="1"/>
  <c r="CT223" i="1" a="1"/>
  <c r="CT223" i="1" s="1"/>
  <c r="CT225" i="1" a="1"/>
  <c r="CT225" i="1" s="1"/>
  <c r="CT227" i="1" a="1"/>
  <c r="CT227" i="1" s="1"/>
  <c r="CT229" i="1" a="1"/>
  <c r="CT229" i="1" s="1"/>
  <c r="CT231" i="1" a="1"/>
  <c r="CT231" i="1" s="1"/>
  <c r="CT233" i="1" a="1"/>
  <c r="CT233" i="1" s="1"/>
  <c r="CT235" i="1" a="1"/>
  <c r="CT235" i="1" s="1"/>
  <c r="CT237" i="1" a="1"/>
  <c r="CT237" i="1" s="1"/>
  <c r="CT239" i="1" a="1"/>
  <c r="CT239" i="1" s="1"/>
  <c r="CT241" i="1" a="1"/>
  <c r="CT241" i="1" s="1"/>
  <c r="CT243" i="1" a="1"/>
  <c r="CT243" i="1" s="1"/>
  <c r="CT245" i="1" a="1"/>
  <c r="CT245" i="1" s="1"/>
  <c r="CT138" i="1" a="1"/>
  <c r="CT138" i="1" s="1"/>
  <c r="CT144" i="1" a="1"/>
  <c r="CT144" i="1" s="1"/>
  <c r="CT170" i="1" a="1"/>
  <c r="CT170" i="1" s="1"/>
  <c r="CT176" i="1" a="1"/>
  <c r="CT176" i="1" s="1"/>
  <c r="CT183" i="1" a="1"/>
  <c r="CT183" i="1" s="1"/>
  <c r="CT187" i="1" a="1"/>
  <c r="CT187" i="1" s="1"/>
  <c r="CT196" i="1" a="1"/>
  <c r="CT196" i="1" s="1"/>
  <c r="CT198" i="1" a="1"/>
  <c r="CT198" i="1" s="1"/>
  <c r="CT168" i="1" a="1"/>
  <c r="CT168" i="1" s="1"/>
  <c r="CT171" i="1" a="1"/>
  <c r="CT171" i="1" s="1"/>
  <c r="CT174" i="1" a="1"/>
  <c r="CT174" i="1" s="1"/>
  <c r="CT181" i="1" a="1"/>
  <c r="CT181" i="1" s="1"/>
  <c r="CT190" i="1" a="1"/>
  <c r="CT190" i="1" s="1"/>
  <c r="CT193" i="1" a="1"/>
  <c r="CT193" i="1" s="1"/>
  <c r="CT200" i="1" a="1"/>
  <c r="CT200" i="1" s="1"/>
  <c r="CT202" i="1" a="1"/>
  <c r="CT202" i="1" s="1"/>
  <c r="CT204" i="1" a="1"/>
  <c r="CT204" i="1" s="1"/>
  <c r="CT206" i="1" a="1"/>
  <c r="CT206" i="1" s="1"/>
  <c r="CT208" i="1" a="1"/>
  <c r="CT208" i="1" s="1"/>
  <c r="CT210" i="1" a="1"/>
  <c r="CT210" i="1" s="1"/>
  <c r="CT212" i="1" a="1"/>
  <c r="CT212" i="1" s="1"/>
  <c r="CT214" i="1" a="1"/>
  <c r="CT214" i="1" s="1"/>
  <c r="CT216" i="1" a="1"/>
  <c r="CT216" i="1" s="1"/>
  <c r="CT218" i="1" a="1"/>
  <c r="CT218" i="1" s="1"/>
  <c r="CT220" i="1" a="1"/>
  <c r="CT220" i="1" s="1"/>
  <c r="CT222" i="1" a="1"/>
  <c r="CT222" i="1" s="1"/>
  <c r="CT224" i="1" a="1"/>
  <c r="CT224" i="1" s="1"/>
  <c r="CT226" i="1" a="1"/>
  <c r="CT226" i="1" s="1"/>
  <c r="CT228" i="1" a="1"/>
  <c r="CT228" i="1" s="1"/>
  <c r="CT230" i="1" a="1"/>
  <c r="CT230" i="1" s="1"/>
  <c r="CT232" i="1" a="1"/>
  <c r="CT232" i="1" s="1"/>
  <c r="CT234" i="1" a="1"/>
  <c r="CT234" i="1" s="1"/>
  <c r="CT236" i="1" a="1"/>
  <c r="CT236" i="1" s="1"/>
  <c r="CT238" i="1" a="1"/>
  <c r="CT238" i="1" s="1"/>
  <c r="CT240" i="1" a="1"/>
  <c r="CT240" i="1" s="1"/>
  <c r="CT242" i="1" a="1"/>
  <c r="CT242" i="1" s="1"/>
  <c r="CT244" i="1" a="1"/>
  <c r="CT244" i="1" s="1"/>
  <c r="CT249" i="1" a="1"/>
  <c r="CT249" i="1" s="1"/>
  <c r="CT254" i="1" a="1"/>
  <c r="CT254" i="1" s="1"/>
  <c r="CT256" i="1" a="1"/>
  <c r="CT256" i="1" s="1"/>
  <c r="CT259" i="1" a="1"/>
  <c r="CT259" i="1" s="1"/>
  <c r="CT261" i="1" a="1"/>
  <c r="CT261" i="1" s="1"/>
  <c r="CT264" i="1" a="1"/>
  <c r="CT264" i="1" s="1"/>
  <c r="CT267" i="1" a="1"/>
  <c r="CT267" i="1" s="1"/>
  <c r="CT269" i="1" a="1"/>
  <c r="CT269" i="1" s="1"/>
  <c r="CT272" i="1" a="1"/>
  <c r="CT272" i="1" s="1"/>
  <c r="CT275" i="1" a="1"/>
  <c r="CT275" i="1" s="1"/>
  <c r="CT277" i="1" a="1"/>
  <c r="CT277" i="1" s="1"/>
  <c r="CT278" i="1" a="1"/>
  <c r="CT278" i="1" s="1"/>
  <c r="CT282" i="1" a="1"/>
  <c r="CT282" i="1" s="1"/>
  <c r="CT283" i="1" a="1"/>
  <c r="CT283" i="1" s="1"/>
  <c r="CT285" i="1" a="1"/>
  <c r="CT285" i="1" s="1"/>
  <c r="CT286" i="1" a="1"/>
  <c r="CT286" i="1" s="1"/>
  <c r="CT199" i="1" a="1"/>
  <c r="CT199" i="1" s="1"/>
  <c r="CT248" i="1" a="1"/>
  <c r="CT248" i="1" s="1"/>
  <c r="CT251" i="1" a="1"/>
  <c r="CT251" i="1" s="1"/>
  <c r="CT253" i="1" a="1"/>
  <c r="CT253" i="1" s="1"/>
  <c r="CT266" i="1" a="1"/>
  <c r="CT266" i="1" s="1"/>
  <c r="CT281" i="1" a="1"/>
  <c r="CT281" i="1" s="1"/>
  <c r="CT288" i="1" a="1"/>
  <c r="CT288" i="1" s="1"/>
  <c r="CT290" i="1" a="1"/>
  <c r="CT290" i="1" s="1"/>
  <c r="CT292" i="1" a="1"/>
  <c r="CT292" i="1" s="1"/>
  <c r="CT294" i="1" a="1"/>
  <c r="CT294" i="1" s="1"/>
  <c r="CT158" i="1" a="1"/>
  <c r="CT158" i="1" s="1"/>
  <c r="CT188" i="1" a="1"/>
  <c r="CT188" i="1" s="1"/>
  <c r="CT192" i="1" a="1"/>
  <c r="CT192" i="1" s="1"/>
  <c r="CT197" i="1" a="1"/>
  <c r="CT197" i="1" s="1"/>
  <c r="CT246" i="1" a="1"/>
  <c r="CT246" i="1" s="1"/>
  <c r="CT255" i="1" a="1"/>
  <c r="CT255" i="1" s="1"/>
  <c r="CT257" i="1" a="1"/>
  <c r="CT257" i="1" s="1"/>
  <c r="CT258" i="1" a="1"/>
  <c r="CT258" i="1" s="1"/>
  <c r="CT260" i="1" a="1"/>
  <c r="CT260" i="1" s="1"/>
  <c r="CT263" i="1" a="1"/>
  <c r="CT263" i="1" s="1"/>
  <c r="CT265" i="1" a="1"/>
  <c r="CT265" i="1" s="1"/>
  <c r="CT268" i="1" a="1"/>
  <c r="CT268" i="1" s="1"/>
  <c r="CT271" i="1" a="1"/>
  <c r="CT271" i="1" s="1"/>
  <c r="CT273" i="1" a="1"/>
  <c r="CT273" i="1" s="1"/>
  <c r="CT274" i="1" a="1"/>
  <c r="CT274" i="1" s="1"/>
  <c r="CT276" i="1" a="1"/>
  <c r="CT276" i="1" s="1"/>
  <c r="CT279" i="1" a="1"/>
  <c r="CT279" i="1" s="1"/>
  <c r="CT280" i="1" a="1"/>
  <c r="CT280" i="1" s="1"/>
  <c r="CT284" i="1" a="1"/>
  <c r="CT284" i="1" s="1"/>
  <c r="CT195" i="1" a="1"/>
  <c r="CT195" i="1" s="1"/>
  <c r="CT250" i="1" a="1"/>
  <c r="CT250" i="1" s="1"/>
  <c r="CT270" i="1" a="1"/>
  <c r="CT270" i="1" s="1"/>
  <c r="CT291" i="1" a="1"/>
  <c r="CT291" i="1" s="1"/>
  <c r="CT298" i="1" a="1"/>
  <c r="CT298" i="1" s="1"/>
  <c r="CT300" i="1" a="1"/>
  <c r="CT300" i="1" s="1"/>
  <c r="CT302" i="1" a="1"/>
  <c r="CT302" i="1" s="1"/>
  <c r="CT304" i="1" a="1"/>
  <c r="CT304" i="1" s="1"/>
  <c r="CT306" i="1" a="1"/>
  <c r="CT306" i="1" s="1"/>
  <c r="CT308" i="1" a="1"/>
  <c r="CT308" i="1" s="1"/>
  <c r="CT310" i="1" a="1"/>
  <c r="CT310" i="1" s="1"/>
  <c r="CT338" i="1" a="1"/>
  <c r="CT338" i="1" s="1"/>
  <c r="CT247" i="1" a="1"/>
  <c r="CT247" i="1" s="1"/>
  <c r="CT262" i="1" a="1"/>
  <c r="CT262" i="1" s="1"/>
  <c r="CT289" i="1" a="1"/>
  <c r="CT289" i="1" s="1"/>
  <c r="CT295" i="1" a="1"/>
  <c r="CT295" i="1" s="1"/>
  <c r="CT317" i="1" a="1"/>
  <c r="CT317" i="1" s="1"/>
  <c r="CT319" i="1" a="1"/>
  <c r="CT319" i="1" s="1"/>
  <c r="CT321" i="1" a="1"/>
  <c r="CT321" i="1" s="1"/>
  <c r="CT323" i="1" a="1"/>
  <c r="CT323" i="1" s="1"/>
  <c r="CT325" i="1" a="1"/>
  <c r="CT325" i="1" s="1"/>
  <c r="CT327" i="1" a="1"/>
  <c r="CT327" i="1" s="1"/>
  <c r="CT328" i="1" a="1"/>
  <c r="CT328" i="1" s="1"/>
  <c r="CT329" i="1" a="1"/>
  <c r="CT329" i="1" s="1"/>
  <c r="CT334" i="1" a="1"/>
  <c r="CT334" i="1" s="1"/>
  <c r="CT335" i="1" a="1"/>
  <c r="CT335" i="1" s="1"/>
  <c r="CT342" i="1" a="1"/>
  <c r="CT342" i="1" s="1"/>
  <c r="CT343" i="1" a="1"/>
  <c r="CT343" i="1" s="1"/>
  <c r="CT347" i="1" a="1"/>
  <c r="CT347" i="1" s="1"/>
  <c r="CT349" i="1" a="1"/>
  <c r="CT349" i="1" s="1"/>
  <c r="CT351" i="1" a="1"/>
  <c r="CT351" i="1" s="1"/>
  <c r="CT352" i="1" a="1"/>
  <c r="CT352" i="1" s="1"/>
  <c r="CT353" i="1" a="1"/>
  <c r="CT353" i="1" s="1"/>
  <c r="CT287" i="1" a="1"/>
  <c r="CT287" i="1" s="1"/>
  <c r="CT296" i="1" a="1"/>
  <c r="CT296" i="1" s="1"/>
  <c r="CT299" i="1" a="1"/>
  <c r="CT299" i="1" s="1"/>
  <c r="CT301" i="1" a="1"/>
  <c r="CT301" i="1" s="1"/>
  <c r="CT303" i="1" a="1"/>
  <c r="CT303" i="1" s="1"/>
  <c r="CT305" i="1" a="1"/>
  <c r="CT305" i="1" s="1"/>
  <c r="CT307" i="1" a="1"/>
  <c r="CT307" i="1" s="1"/>
  <c r="CT309" i="1" a="1"/>
  <c r="CT309" i="1" s="1"/>
  <c r="CT311" i="1" a="1"/>
  <c r="CT311" i="1" s="1"/>
  <c r="CT312" i="1" a="1"/>
  <c r="CT312" i="1" s="1"/>
  <c r="CT313" i="1" a="1"/>
  <c r="CT313" i="1" s="1"/>
  <c r="CT314" i="1" a="1"/>
  <c r="CT314" i="1" s="1"/>
  <c r="CT315" i="1" a="1"/>
  <c r="CT315" i="1" s="1"/>
  <c r="CT316" i="1" a="1"/>
  <c r="CT316" i="1" s="1"/>
  <c r="CT330" i="1" a="1"/>
  <c r="CT330" i="1" s="1"/>
  <c r="CT331" i="1" a="1"/>
  <c r="CT331" i="1" s="1"/>
  <c r="CT333" i="1" a="1"/>
  <c r="CT333" i="1" s="1"/>
  <c r="CT336" i="1" a="1"/>
  <c r="CT336" i="1" s="1"/>
  <c r="CT337" i="1" a="1"/>
  <c r="CT337" i="1" s="1"/>
  <c r="CT339" i="1" a="1"/>
  <c r="CT339" i="1" s="1"/>
  <c r="CT341" i="1" a="1"/>
  <c r="CT341" i="1" s="1"/>
  <c r="CT344" i="1" a="1"/>
  <c r="CT344" i="1" s="1"/>
  <c r="CT345" i="1" a="1"/>
  <c r="CT345" i="1" s="1"/>
  <c r="CT293" i="1" a="1"/>
  <c r="CT293" i="1" s="1"/>
  <c r="CT297" i="1" a="1"/>
  <c r="CT297" i="1" s="1"/>
  <c r="CT322" i="1" a="1"/>
  <c r="CT322" i="1" s="1"/>
  <c r="CT346" i="1" a="1"/>
  <c r="CT346" i="1" s="1"/>
  <c r="CT419" i="1" a="1"/>
  <c r="CT419" i="1" s="1"/>
  <c r="CT420" i="1" a="1"/>
  <c r="CT420" i="1" s="1"/>
  <c r="CT422" i="1" a="1"/>
  <c r="CT422" i="1" s="1"/>
  <c r="CT424" i="1" a="1"/>
  <c r="CT424" i="1" s="1"/>
  <c r="CT252" i="1" a="1"/>
  <c r="CT252" i="1" s="1"/>
  <c r="CT320" i="1" a="1"/>
  <c r="CT320" i="1" s="1"/>
  <c r="CT332" i="1" a="1"/>
  <c r="CT332" i="1" s="1"/>
  <c r="CT340" i="1" a="1"/>
  <c r="CT340" i="1" s="1"/>
  <c r="CT348" i="1" a="1"/>
  <c r="CT348" i="1" s="1"/>
  <c r="CT429" i="1" a="1"/>
  <c r="CT429" i="1" s="1"/>
  <c r="CT432" i="1" a="1"/>
  <c r="CT432" i="1" s="1"/>
  <c r="CT433" i="1" a="1"/>
  <c r="CT433" i="1" s="1"/>
  <c r="CT437" i="1" a="1"/>
  <c r="CT437" i="1" s="1"/>
  <c r="CT438" i="1" a="1"/>
  <c r="CT438" i="1" s="1"/>
  <c r="CT318" i="1" a="1"/>
  <c r="CT318" i="1" s="1"/>
  <c r="CT326" i="1" a="1"/>
  <c r="CT326" i="1" s="1"/>
  <c r="CT350" i="1" a="1"/>
  <c r="CT350" i="1" s="1"/>
  <c r="CT423" i="1" a="1"/>
  <c r="CT423" i="1" s="1"/>
  <c r="CT427" i="1" a="1"/>
  <c r="CT427" i="1" s="1"/>
  <c r="CT428" i="1" a="1"/>
  <c r="CT428" i="1" s="1"/>
  <c r="CT430" i="1" a="1"/>
  <c r="CT430" i="1" s="1"/>
  <c r="CT434" i="1" a="1"/>
  <c r="CT434" i="1" s="1"/>
  <c r="DL22" i="1" a="1"/>
  <c r="DL22" i="1" s="1"/>
  <c r="DH22" i="1" a="1"/>
  <c r="DH22" i="1" s="1"/>
  <c r="DD22" i="1" a="1"/>
  <c r="DD22" i="1" s="1"/>
  <c r="CZ22" i="1" a="1"/>
  <c r="CZ22" i="1" s="1"/>
  <c r="CV22" i="1" a="1"/>
  <c r="CV22" i="1" s="1"/>
  <c r="CR22" i="1" a="1"/>
  <c r="CR22" i="1" s="1"/>
  <c r="DM507" i="1" a="1"/>
  <c r="DM507" i="1" s="1"/>
  <c r="DJ507" i="1" a="1"/>
  <c r="DJ507" i="1" s="1"/>
  <c r="DF507" i="1" a="1"/>
  <c r="DF507" i="1" s="1"/>
  <c r="DB507" i="1" a="1"/>
  <c r="DB507" i="1" s="1"/>
  <c r="CX507" i="1" a="1"/>
  <c r="CX507" i="1" s="1"/>
  <c r="CT507" i="1" a="1"/>
  <c r="CT507" i="1" s="1"/>
  <c r="DN506" i="1" a="1"/>
  <c r="DN506" i="1" s="1"/>
  <c r="DJ506" i="1" a="1"/>
  <c r="DJ506" i="1" s="1"/>
  <c r="DF506" i="1" a="1"/>
  <c r="DF506" i="1" s="1"/>
  <c r="DB506" i="1" a="1"/>
  <c r="DB506" i="1" s="1"/>
  <c r="CY506" i="1" a="1"/>
  <c r="CY506" i="1" s="1"/>
  <c r="CU506" i="1" a="1"/>
  <c r="CU506" i="1" s="1"/>
  <c r="CQ506" i="1" a="1"/>
  <c r="CQ506" i="1" s="1"/>
  <c r="DO505" i="1" a="1"/>
  <c r="DO505" i="1" s="1"/>
  <c r="DK505" i="1" a="1"/>
  <c r="DK505" i="1" s="1"/>
  <c r="DG505" i="1" a="1"/>
  <c r="DG505" i="1" s="1"/>
  <c r="CZ505" i="1" a="1"/>
  <c r="CZ505" i="1" s="1"/>
  <c r="CV505" i="1" a="1"/>
  <c r="CV505" i="1" s="1"/>
  <c r="CR505" i="1" a="1"/>
  <c r="CR505" i="1" s="1"/>
  <c r="DL504" i="1" a="1"/>
  <c r="DL504" i="1" s="1"/>
  <c r="DH504" i="1" a="1"/>
  <c r="DH504" i="1" s="1"/>
  <c r="DD504" i="1" a="1"/>
  <c r="DD504" i="1" s="1"/>
  <c r="CZ504" i="1" a="1"/>
  <c r="CZ504" i="1" s="1"/>
  <c r="CV504" i="1" a="1"/>
  <c r="CV504" i="1" s="1"/>
  <c r="CR504" i="1" a="1"/>
  <c r="CR504" i="1" s="1"/>
  <c r="DL503" i="1" a="1"/>
  <c r="DL503" i="1" s="1"/>
  <c r="DH503" i="1" a="1"/>
  <c r="DH503" i="1" s="1"/>
  <c r="DD503" i="1" a="1"/>
  <c r="DD503" i="1" s="1"/>
  <c r="CZ503" i="1" a="1"/>
  <c r="CZ503" i="1" s="1"/>
  <c r="CV503" i="1" a="1"/>
  <c r="CV503" i="1" s="1"/>
  <c r="CR503" i="1" a="1"/>
  <c r="CR503" i="1" s="1"/>
  <c r="DL502" i="1" a="1"/>
  <c r="DL502" i="1" s="1"/>
  <c r="DH502" i="1" a="1"/>
  <c r="DH502" i="1" s="1"/>
  <c r="DD502" i="1" a="1"/>
  <c r="DD502" i="1" s="1"/>
  <c r="CZ502" i="1" a="1"/>
  <c r="CZ502" i="1" s="1"/>
  <c r="CV502" i="1" a="1"/>
  <c r="CV502" i="1" s="1"/>
  <c r="CR502" i="1" a="1"/>
  <c r="CR502" i="1" s="1"/>
  <c r="DL501" i="1" a="1"/>
  <c r="DL501" i="1" s="1"/>
  <c r="DI501" i="1" a="1"/>
  <c r="DI501" i="1" s="1"/>
  <c r="DE501" i="1" a="1"/>
  <c r="DE501" i="1" s="1"/>
  <c r="DA501" i="1" a="1"/>
  <c r="DA501" i="1" s="1"/>
  <c r="CW501" i="1" a="1"/>
  <c r="CW501" i="1" s="1"/>
  <c r="CS501" i="1" a="1"/>
  <c r="CS501" i="1" s="1"/>
  <c r="DN500" i="1" a="1"/>
  <c r="DN500" i="1" s="1"/>
  <c r="DJ500" i="1" a="1"/>
  <c r="DJ500" i="1" s="1"/>
  <c r="DG500" i="1" a="1"/>
  <c r="DG500" i="1" s="1"/>
  <c r="DC500" i="1" a="1"/>
  <c r="DC500" i="1" s="1"/>
  <c r="CY500" i="1" a="1"/>
  <c r="CY500" i="1" s="1"/>
  <c r="CU500" i="1" a="1"/>
  <c r="CU500" i="1" s="1"/>
  <c r="CQ500" i="1" a="1"/>
  <c r="CQ500" i="1" s="1"/>
  <c r="DO499" i="1" a="1"/>
  <c r="DO499" i="1" s="1"/>
  <c r="DK499" i="1" a="1"/>
  <c r="DK499" i="1" s="1"/>
  <c r="DG499" i="1" a="1"/>
  <c r="DG499" i="1" s="1"/>
  <c r="DC499" i="1" a="1"/>
  <c r="DC499" i="1" s="1"/>
  <c r="CY499" i="1" a="1"/>
  <c r="CY499" i="1" s="1"/>
  <c r="CU499" i="1" a="1"/>
  <c r="CU499" i="1" s="1"/>
  <c r="CQ499" i="1" a="1"/>
  <c r="CQ499" i="1" s="1"/>
  <c r="DL498" i="1" a="1"/>
  <c r="DL498" i="1" s="1"/>
  <c r="DH498" i="1" a="1"/>
  <c r="DH498" i="1" s="1"/>
  <c r="DD498" i="1" a="1"/>
  <c r="DD498" i="1" s="1"/>
  <c r="CZ498" i="1" a="1"/>
  <c r="CZ498" i="1" s="1"/>
  <c r="CW498" i="1" a="1"/>
  <c r="CW498" i="1" s="1"/>
  <c r="CS498" i="1" a="1"/>
  <c r="CS498" i="1" s="1"/>
  <c r="DM497" i="1" a="1"/>
  <c r="DM497" i="1" s="1"/>
  <c r="DI497" i="1" a="1"/>
  <c r="DI497" i="1" s="1"/>
  <c r="DE497" i="1" a="1"/>
  <c r="DE497" i="1" s="1"/>
  <c r="DB497" i="1" a="1"/>
  <c r="DB497" i="1" s="1"/>
  <c r="CX497" i="1" a="1"/>
  <c r="CX497" i="1" s="1"/>
  <c r="CT497" i="1" a="1"/>
  <c r="CT497" i="1" s="1"/>
  <c r="DN496" i="1" a="1"/>
  <c r="DN496" i="1" s="1"/>
  <c r="DJ496" i="1" a="1"/>
  <c r="DJ496" i="1" s="1"/>
  <c r="DF496" i="1" a="1"/>
  <c r="DF496" i="1" s="1"/>
  <c r="DB496" i="1" a="1"/>
  <c r="DB496" i="1" s="1"/>
  <c r="CX496" i="1" a="1"/>
  <c r="CX496" i="1" s="1"/>
  <c r="CT496" i="1" a="1"/>
  <c r="CT496" i="1" s="1"/>
  <c r="DN495" i="1" a="1"/>
  <c r="DN495" i="1" s="1"/>
  <c r="DK495" i="1" a="1"/>
  <c r="DK495" i="1" s="1"/>
  <c r="DG495" i="1" a="1"/>
  <c r="DG495" i="1" s="1"/>
  <c r="DC495" i="1" a="1"/>
  <c r="DC495" i="1" s="1"/>
  <c r="CZ495" i="1" a="1"/>
  <c r="CZ495" i="1" s="1"/>
  <c r="CV495" i="1" a="1"/>
  <c r="CV495" i="1" s="1"/>
  <c r="CR495" i="1" a="1"/>
  <c r="CR495" i="1" s="1"/>
  <c r="DL494" i="1" a="1"/>
  <c r="DL494" i="1" s="1"/>
  <c r="DH494" i="1" a="1"/>
  <c r="DH494" i="1" s="1"/>
  <c r="DD494" i="1" a="1"/>
  <c r="DD494" i="1" s="1"/>
  <c r="CZ494" i="1" a="1"/>
  <c r="CZ494" i="1" s="1"/>
  <c r="CV494" i="1" a="1"/>
  <c r="CV494" i="1" s="1"/>
  <c r="CR494" i="1" a="1"/>
  <c r="CR494" i="1" s="1"/>
  <c r="DL493" i="1" a="1"/>
  <c r="DL493" i="1" s="1"/>
  <c r="DI493" i="1" a="1"/>
  <c r="DI493" i="1" s="1"/>
  <c r="DE493" i="1" a="1"/>
  <c r="DE493" i="1" s="1"/>
  <c r="DA493" i="1" a="1"/>
  <c r="DA493" i="1" s="1"/>
  <c r="CW493" i="1" a="1"/>
  <c r="CW493" i="1" s="1"/>
  <c r="CS493" i="1" a="1"/>
  <c r="CS493" i="1" s="1"/>
  <c r="DM492" i="1" a="1"/>
  <c r="DM492" i="1" s="1"/>
  <c r="DI492" i="1" a="1"/>
  <c r="DI492" i="1" s="1"/>
  <c r="DE492" i="1" a="1"/>
  <c r="DE492" i="1" s="1"/>
  <c r="DA492" i="1" a="1"/>
  <c r="DA492" i="1" s="1"/>
  <c r="CW492" i="1" a="1"/>
  <c r="CW492" i="1" s="1"/>
  <c r="CS492" i="1" a="1"/>
  <c r="CS492" i="1" s="1"/>
  <c r="DM491" i="1" a="1"/>
  <c r="DM491" i="1" s="1"/>
  <c r="DI491" i="1" a="1"/>
  <c r="DI491" i="1" s="1"/>
  <c r="DE491" i="1" a="1"/>
  <c r="DE491" i="1" s="1"/>
  <c r="DB491" i="1" a="1"/>
  <c r="DB491" i="1" s="1"/>
  <c r="CX491" i="1" a="1"/>
  <c r="CX491" i="1" s="1"/>
  <c r="CT491" i="1" a="1"/>
  <c r="CT491" i="1" s="1"/>
  <c r="DO490" i="1" a="1"/>
  <c r="DO490" i="1" s="1"/>
  <c r="DK490" i="1" a="1"/>
  <c r="DK490" i="1" s="1"/>
  <c r="DG490" i="1" a="1"/>
  <c r="DG490" i="1" s="1"/>
  <c r="DC490" i="1" a="1"/>
  <c r="DC490" i="1" s="1"/>
  <c r="CY490" i="1" a="1"/>
  <c r="CY490" i="1" s="1"/>
  <c r="CU490" i="1" a="1"/>
  <c r="CU490" i="1" s="1"/>
  <c r="CQ490" i="1" a="1"/>
  <c r="CQ490" i="1" s="1"/>
  <c r="DO489" i="1" a="1"/>
  <c r="DO489" i="1" s="1"/>
  <c r="DK489" i="1" a="1"/>
  <c r="DK489" i="1" s="1"/>
  <c r="DH489" i="1" a="1"/>
  <c r="DH489" i="1" s="1"/>
  <c r="DD489" i="1" a="1"/>
  <c r="DD489" i="1" s="1"/>
  <c r="DA489" i="1" a="1"/>
  <c r="DA489" i="1" s="1"/>
  <c r="CW489" i="1" a="1"/>
  <c r="CW489" i="1" s="1"/>
  <c r="CS489" i="1" a="1"/>
  <c r="CS489" i="1" s="1"/>
  <c r="DM488" i="1" a="1"/>
  <c r="DM488" i="1" s="1"/>
  <c r="DI488" i="1" a="1"/>
  <c r="DI488" i="1" s="1"/>
  <c r="DF488" i="1" a="1"/>
  <c r="DF488" i="1" s="1"/>
  <c r="DB488" i="1" a="1"/>
  <c r="DB488" i="1" s="1"/>
  <c r="CX488" i="1" a="1"/>
  <c r="CX488" i="1" s="1"/>
  <c r="CT488" i="1" a="1"/>
  <c r="CT488" i="1" s="1"/>
  <c r="DN487" i="1" a="1"/>
  <c r="DN487" i="1" s="1"/>
  <c r="DK487" i="1" a="1"/>
  <c r="DK487" i="1" s="1"/>
  <c r="DG487" i="1" a="1"/>
  <c r="DG487" i="1" s="1"/>
  <c r="DC487" i="1" a="1"/>
  <c r="DC487" i="1" s="1"/>
  <c r="CY487" i="1" a="1"/>
  <c r="CY487" i="1" s="1"/>
  <c r="CR487" i="1" a="1"/>
  <c r="CR487" i="1" s="1"/>
  <c r="DL486" i="1" a="1"/>
  <c r="DL486" i="1" s="1"/>
  <c r="DH486" i="1" a="1"/>
  <c r="DH486" i="1" s="1"/>
  <c r="DE486" i="1" a="1"/>
  <c r="DE486" i="1" s="1"/>
  <c r="DA486" i="1" a="1"/>
  <c r="DA486" i="1" s="1"/>
  <c r="CX486" i="1" a="1"/>
  <c r="CX486" i="1" s="1"/>
  <c r="CT486" i="1" a="1"/>
  <c r="CT486" i="1" s="1"/>
  <c r="DN485" i="1" a="1"/>
  <c r="DN485" i="1" s="1"/>
  <c r="DJ485" i="1" a="1"/>
  <c r="DJ485" i="1" s="1"/>
  <c r="DF485" i="1" a="1"/>
  <c r="DF485" i="1" s="1"/>
  <c r="DB485" i="1" a="1"/>
  <c r="DB485" i="1" s="1"/>
  <c r="CX485" i="1" a="1"/>
  <c r="CX485" i="1" s="1"/>
  <c r="CU485" i="1" a="1"/>
  <c r="CU485" i="1" s="1"/>
  <c r="CQ485" i="1" a="1"/>
  <c r="CQ485" i="1" s="1"/>
  <c r="DL484" i="1" a="1"/>
  <c r="DL484" i="1" s="1"/>
  <c r="DH484" i="1" a="1"/>
  <c r="DH484" i="1" s="1"/>
  <c r="DD484" i="1" a="1"/>
  <c r="DD484" i="1" s="1"/>
  <c r="CZ484" i="1" a="1"/>
  <c r="CZ484" i="1" s="1"/>
  <c r="CV484" i="1" a="1"/>
  <c r="CV484" i="1" s="1"/>
  <c r="CR484" i="1" a="1"/>
  <c r="CR484" i="1" s="1"/>
  <c r="DM483" i="1" a="1"/>
  <c r="DM483" i="1" s="1"/>
  <c r="DJ483" i="1" a="1"/>
  <c r="DJ483" i="1" s="1"/>
  <c r="DF483" i="1" a="1"/>
  <c r="DF483" i="1" s="1"/>
  <c r="DB483" i="1" a="1"/>
  <c r="DB483" i="1" s="1"/>
  <c r="CX483" i="1" a="1"/>
  <c r="CX483" i="1" s="1"/>
  <c r="CT483" i="1" a="1"/>
  <c r="CT483" i="1" s="1"/>
  <c r="DO482" i="1" a="1"/>
  <c r="DO482" i="1" s="1"/>
  <c r="DK482" i="1" a="1"/>
  <c r="DK482" i="1" s="1"/>
  <c r="DG482" i="1" a="1"/>
  <c r="DG482" i="1" s="1"/>
  <c r="DC482" i="1" a="1"/>
  <c r="DC482" i="1" s="1"/>
  <c r="CY482" i="1" a="1"/>
  <c r="CY482" i="1" s="1"/>
  <c r="CV482" i="1" a="1"/>
  <c r="CV482" i="1" s="1"/>
  <c r="CR482" i="1" a="1"/>
  <c r="CR482" i="1" s="1"/>
  <c r="DL481" i="1" a="1"/>
  <c r="DL481" i="1" s="1"/>
  <c r="DI481" i="1" a="1"/>
  <c r="DI481" i="1" s="1"/>
  <c r="DE481" i="1" a="1"/>
  <c r="DE481" i="1" s="1"/>
  <c r="DA481" i="1" a="1"/>
  <c r="DA481" i="1" s="1"/>
  <c r="CW481" i="1" a="1"/>
  <c r="CW481" i="1" s="1"/>
  <c r="CT481" i="1" a="1"/>
  <c r="CT481" i="1" s="1"/>
  <c r="DN480" i="1" a="1"/>
  <c r="DN480" i="1" s="1"/>
  <c r="DJ480" i="1" a="1"/>
  <c r="DJ480" i="1" s="1"/>
  <c r="DF480" i="1" a="1"/>
  <c r="DF480" i="1" s="1"/>
  <c r="DB480" i="1" a="1"/>
  <c r="DB480" i="1" s="1"/>
  <c r="CX480" i="1" a="1"/>
  <c r="CX480" i="1" s="1"/>
  <c r="CT480" i="1" a="1"/>
  <c r="CT480" i="1" s="1"/>
  <c r="DN479" i="1" a="1"/>
  <c r="DN479" i="1" s="1"/>
  <c r="DK479" i="1" a="1"/>
  <c r="DK479" i="1" s="1"/>
  <c r="DG479" i="1" a="1"/>
  <c r="DG479" i="1" s="1"/>
  <c r="DC479" i="1" a="1"/>
  <c r="DC479" i="1" s="1"/>
  <c r="CY479" i="1" a="1"/>
  <c r="CY479" i="1" s="1"/>
  <c r="CR479" i="1" a="1"/>
  <c r="CR479" i="1" s="1"/>
  <c r="DL478" i="1" a="1"/>
  <c r="DL478" i="1" s="1"/>
  <c r="DH478" i="1" a="1"/>
  <c r="DH478" i="1" s="1"/>
  <c r="DD478" i="1" a="1"/>
  <c r="DD478" i="1" s="1"/>
  <c r="CZ478" i="1" a="1"/>
  <c r="CZ478" i="1" s="1"/>
  <c r="CV478" i="1" a="1"/>
  <c r="CV478" i="1" s="1"/>
  <c r="CS478" i="1" a="1"/>
  <c r="CS478" i="1" s="1"/>
  <c r="DM477" i="1" a="1"/>
  <c r="DM477" i="1" s="1"/>
  <c r="DI477" i="1" a="1"/>
  <c r="DI477" i="1" s="1"/>
  <c r="DE477" i="1" a="1"/>
  <c r="DE477" i="1" s="1"/>
  <c r="DA477" i="1" a="1"/>
  <c r="DA477" i="1" s="1"/>
  <c r="CW477" i="1" a="1"/>
  <c r="CW477" i="1" s="1"/>
  <c r="CS477" i="1" a="1"/>
  <c r="CS477" i="1" s="1"/>
  <c r="DM476" i="1" a="1"/>
  <c r="DM476" i="1" s="1"/>
  <c r="DJ476" i="1" a="1"/>
  <c r="DJ476" i="1" s="1"/>
  <c r="DF476" i="1" a="1"/>
  <c r="DF476" i="1" s="1"/>
  <c r="DB476" i="1" a="1"/>
  <c r="DB476" i="1" s="1"/>
  <c r="CX476" i="1" a="1"/>
  <c r="CX476" i="1" s="1"/>
  <c r="CT476" i="1" a="1"/>
  <c r="CT476" i="1" s="1"/>
  <c r="DO475" i="1" a="1"/>
  <c r="DO475" i="1" s="1"/>
  <c r="DK475" i="1" a="1"/>
  <c r="DK475" i="1" s="1"/>
  <c r="DD475" i="1" a="1"/>
  <c r="DD475" i="1" s="1"/>
  <c r="CZ475" i="1" a="1"/>
  <c r="CZ475" i="1" s="1"/>
  <c r="CV475" i="1" a="1"/>
  <c r="CV475" i="1" s="1"/>
  <c r="CR475" i="1" a="1"/>
  <c r="CR475" i="1" s="1"/>
  <c r="DL474" i="1" a="1"/>
  <c r="DL474" i="1" s="1"/>
  <c r="DH474" i="1" a="1"/>
  <c r="DH474" i="1" s="1"/>
  <c r="DD474" i="1" a="1"/>
  <c r="DD474" i="1" s="1"/>
  <c r="CZ474" i="1" a="1"/>
  <c r="CZ474" i="1" s="1"/>
  <c r="CV474" i="1" a="1"/>
  <c r="CV474" i="1" s="1"/>
  <c r="CR474" i="1" a="1"/>
  <c r="CR474" i="1" s="1"/>
  <c r="DM473" i="1" a="1"/>
  <c r="DM473" i="1" s="1"/>
  <c r="DI473" i="1" a="1"/>
  <c r="DI473" i="1" s="1"/>
  <c r="DF473" i="1" a="1"/>
  <c r="DF473" i="1" s="1"/>
  <c r="DB473" i="1" a="1"/>
  <c r="DB473" i="1" s="1"/>
  <c r="CX473" i="1" a="1"/>
  <c r="CX473" i="1" s="1"/>
  <c r="CT473" i="1" a="1"/>
  <c r="CT473" i="1" s="1"/>
  <c r="DN472" i="1" a="1"/>
  <c r="DN472" i="1" s="1"/>
  <c r="DJ472" i="1" a="1"/>
  <c r="DJ472" i="1" s="1"/>
  <c r="DF472" i="1" a="1"/>
  <c r="DF472" i="1" s="1"/>
  <c r="DB472" i="1" a="1"/>
  <c r="DB472" i="1" s="1"/>
  <c r="CX472" i="1" a="1"/>
  <c r="CX472" i="1" s="1"/>
  <c r="CT472" i="1" a="1"/>
  <c r="CT472" i="1" s="1"/>
  <c r="DN471" i="1" a="1"/>
  <c r="DN471" i="1" s="1"/>
  <c r="DJ471" i="1" a="1"/>
  <c r="DJ471" i="1" s="1"/>
  <c r="DG471" i="1" a="1"/>
  <c r="DG471" i="1" s="1"/>
  <c r="DC471" i="1" a="1"/>
  <c r="DC471" i="1" s="1"/>
  <c r="CV471" i="1" a="1"/>
  <c r="CV471" i="1" s="1"/>
  <c r="CR471" i="1" a="1"/>
  <c r="CR471" i="1" s="1"/>
  <c r="DL470" i="1" a="1"/>
  <c r="DL470" i="1" s="1"/>
  <c r="DH470" i="1" a="1"/>
  <c r="DH470" i="1" s="1"/>
  <c r="DD470" i="1" a="1"/>
  <c r="DD470" i="1" s="1"/>
  <c r="CZ470" i="1" a="1"/>
  <c r="CZ470" i="1" s="1"/>
  <c r="CV470" i="1" a="1"/>
  <c r="CV470" i="1" s="1"/>
  <c r="CR470" i="1" a="1"/>
  <c r="CR470" i="1" s="1"/>
  <c r="DL469" i="1" a="1"/>
  <c r="DL469" i="1" s="1"/>
  <c r="DH469" i="1" a="1"/>
  <c r="DH469" i="1" s="1"/>
  <c r="DD469" i="1" a="1"/>
  <c r="DD469" i="1" s="1"/>
  <c r="CZ469" i="1" a="1"/>
  <c r="CZ469" i="1" s="1"/>
  <c r="CV469" i="1" a="1"/>
  <c r="CV469" i="1" s="1"/>
  <c r="CR469" i="1" a="1"/>
  <c r="CR469" i="1" s="1"/>
  <c r="DM468" i="1" a="1"/>
  <c r="DM468" i="1" s="1"/>
  <c r="DI468" i="1" a="1"/>
  <c r="DI468" i="1" s="1"/>
  <c r="DE468" i="1" a="1"/>
  <c r="DE468" i="1" s="1"/>
  <c r="DA468" i="1" a="1"/>
  <c r="DA468" i="1" s="1"/>
  <c r="CW468" i="1" a="1"/>
  <c r="CW468" i="1" s="1"/>
  <c r="CS468" i="1" a="1"/>
  <c r="CS468" i="1" s="1"/>
  <c r="DM467" i="1" a="1"/>
  <c r="DM467" i="1" s="1"/>
  <c r="DI467" i="1" a="1"/>
  <c r="DI467" i="1" s="1"/>
  <c r="DE467" i="1" a="1"/>
  <c r="DE467" i="1" s="1"/>
  <c r="DA467" i="1" a="1"/>
  <c r="DA467" i="1" s="1"/>
  <c r="CW467" i="1" a="1"/>
  <c r="CW467" i="1" s="1"/>
  <c r="CS467" i="1" a="1"/>
  <c r="CS467" i="1" s="1"/>
  <c r="DM466" i="1" a="1"/>
  <c r="DM466" i="1" s="1"/>
  <c r="DJ466" i="1" a="1"/>
  <c r="DJ466" i="1" s="1"/>
  <c r="DF466" i="1" a="1"/>
  <c r="DF466" i="1" s="1"/>
  <c r="DB466" i="1" a="1"/>
  <c r="DB466" i="1" s="1"/>
  <c r="CX466" i="1" a="1"/>
  <c r="CX466" i="1" s="1"/>
  <c r="CT466" i="1" a="1"/>
  <c r="CT466" i="1" s="1"/>
  <c r="DN465" i="1" a="1"/>
  <c r="DN465" i="1" s="1"/>
  <c r="DJ465" i="1" a="1"/>
  <c r="DJ465" i="1" s="1"/>
  <c r="DF465" i="1" a="1"/>
  <c r="DF465" i="1" s="1"/>
  <c r="DB465" i="1" a="1"/>
  <c r="DB465" i="1" s="1"/>
  <c r="CX465" i="1" a="1"/>
  <c r="CX465" i="1" s="1"/>
  <c r="CT465" i="1" a="1"/>
  <c r="CT465" i="1" s="1"/>
  <c r="DN464" i="1" a="1"/>
  <c r="DN464" i="1" s="1"/>
  <c r="DK464" i="1" a="1"/>
  <c r="DK464" i="1" s="1"/>
  <c r="DG464" i="1" a="1"/>
  <c r="DG464" i="1" s="1"/>
  <c r="CZ464" i="1" a="1"/>
  <c r="CZ464" i="1" s="1"/>
  <c r="CV464" i="1" a="1"/>
  <c r="CV464" i="1" s="1"/>
  <c r="CR464" i="1" a="1"/>
  <c r="CR464" i="1" s="1"/>
  <c r="DL463" i="1" a="1"/>
  <c r="DL463" i="1" s="1"/>
  <c r="DH463" i="1" a="1"/>
  <c r="DH463" i="1" s="1"/>
  <c r="DE463" i="1" a="1"/>
  <c r="DE463" i="1" s="1"/>
  <c r="DA463" i="1" a="1"/>
  <c r="DA463" i="1" s="1"/>
  <c r="CW463" i="1" a="1"/>
  <c r="CW463" i="1" s="1"/>
  <c r="CS463" i="1" a="1"/>
  <c r="CS463" i="1" s="1"/>
  <c r="DM462" i="1" a="1"/>
  <c r="DM462" i="1" s="1"/>
  <c r="DI462" i="1" a="1"/>
  <c r="DI462" i="1" s="1"/>
  <c r="DE462" i="1" a="1"/>
  <c r="DE462" i="1" s="1"/>
  <c r="DB462" i="1" a="1"/>
  <c r="DB462" i="1" s="1"/>
  <c r="CX462" i="1" a="1"/>
  <c r="CX462" i="1" s="1"/>
  <c r="CU462" i="1" a="1"/>
  <c r="CU462" i="1" s="1"/>
  <c r="CQ462" i="1" a="1"/>
  <c r="CQ462" i="1" s="1"/>
  <c r="DO461" i="1" a="1"/>
  <c r="DO461" i="1" s="1"/>
  <c r="DK461" i="1" a="1"/>
  <c r="DK461" i="1" s="1"/>
  <c r="DG461" i="1" a="1"/>
  <c r="DG461" i="1" s="1"/>
  <c r="DC461" i="1" a="1"/>
  <c r="DC461" i="1" s="1"/>
  <c r="CY461" i="1" a="1"/>
  <c r="CY461" i="1" s="1"/>
  <c r="CU461" i="1" a="1"/>
  <c r="CU461" i="1" s="1"/>
  <c r="CQ461" i="1" a="1"/>
  <c r="CQ461" i="1" s="1"/>
  <c r="DO460" i="1" a="1"/>
  <c r="DO460" i="1" s="1"/>
  <c r="DK460" i="1" a="1"/>
  <c r="DK460" i="1" s="1"/>
  <c r="DG460" i="1" a="1"/>
  <c r="DG460" i="1" s="1"/>
  <c r="DC460" i="1" a="1"/>
  <c r="DC460" i="1" s="1"/>
  <c r="CY460" i="1" a="1"/>
  <c r="CY460" i="1" s="1"/>
  <c r="CU460" i="1" a="1"/>
  <c r="CU460" i="1" s="1"/>
  <c r="CQ460" i="1" a="1"/>
  <c r="CQ460" i="1" s="1"/>
  <c r="DL459" i="1" a="1"/>
  <c r="DL459" i="1" s="1"/>
  <c r="DH459" i="1" a="1"/>
  <c r="DH459" i="1" s="1"/>
  <c r="DE459" i="1" a="1"/>
  <c r="DE459" i="1" s="1"/>
  <c r="DA459" i="1" a="1"/>
  <c r="DA459" i="1" s="1"/>
  <c r="CX459" i="1" a="1"/>
  <c r="CX459" i="1" s="1"/>
  <c r="CT459" i="1" a="1"/>
  <c r="CT459" i="1" s="1"/>
  <c r="DN458" i="1" a="1"/>
  <c r="DN458" i="1" s="1"/>
  <c r="DJ458" i="1" a="1"/>
  <c r="DJ458" i="1" s="1"/>
  <c r="DF458" i="1" a="1"/>
  <c r="DF458" i="1" s="1"/>
  <c r="DB458" i="1" a="1"/>
  <c r="DB458" i="1" s="1"/>
  <c r="CX458" i="1" a="1"/>
  <c r="CX458" i="1" s="1"/>
  <c r="CT458" i="1" a="1"/>
  <c r="CT458" i="1" s="1"/>
  <c r="DO457" i="1" a="1"/>
  <c r="DO457" i="1" s="1"/>
  <c r="DK457" i="1" a="1"/>
  <c r="DK457" i="1" s="1"/>
  <c r="DG457" i="1" a="1"/>
  <c r="DG457" i="1" s="1"/>
  <c r="DC457" i="1" a="1"/>
  <c r="DC457" i="1" s="1"/>
  <c r="CV457" i="1" a="1"/>
  <c r="CV457" i="1" s="1"/>
  <c r="CR457" i="1" a="1"/>
  <c r="CR457" i="1" s="1"/>
  <c r="DL456" i="1" a="1"/>
  <c r="DL456" i="1" s="1"/>
  <c r="DH456" i="1" a="1"/>
  <c r="DH456" i="1" s="1"/>
  <c r="DD456" i="1" a="1"/>
  <c r="DD456" i="1" s="1"/>
  <c r="CZ456" i="1" a="1"/>
  <c r="CZ456" i="1" s="1"/>
  <c r="CV456" i="1" a="1"/>
  <c r="CV456" i="1" s="1"/>
  <c r="CR456" i="1" a="1"/>
  <c r="CR456" i="1" s="1"/>
  <c r="DL455" i="1" a="1"/>
  <c r="DL455" i="1" s="1"/>
  <c r="DH455" i="1" a="1"/>
  <c r="DH455" i="1" s="1"/>
  <c r="DD455" i="1" a="1"/>
  <c r="DD455" i="1" s="1"/>
  <c r="CZ455" i="1" a="1"/>
  <c r="CZ455" i="1" s="1"/>
  <c r="CV455" i="1" a="1"/>
  <c r="CV455" i="1" s="1"/>
  <c r="CR455" i="1" a="1"/>
  <c r="CR455" i="1" s="1"/>
  <c r="DL454" i="1" a="1"/>
  <c r="DL454" i="1" s="1"/>
  <c r="DH454" i="1" a="1"/>
  <c r="DH454" i="1" s="1"/>
  <c r="DD454" i="1" a="1"/>
  <c r="DD454" i="1" s="1"/>
  <c r="CZ454" i="1" a="1"/>
  <c r="CZ454" i="1" s="1"/>
  <c r="CV454" i="1" a="1"/>
  <c r="CV454" i="1" s="1"/>
  <c r="CR454" i="1" a="1"/>
  <c r="CR454" i="1" s="1"/>
  <c r="DM453" i="1" a="1"/>
  <c r="DM453" i="1" s="1"/>
  <c r="DI453" i="1" a="1"/>
  <c r="DI453" i="1" s="1"/>
  <c r="DF453" i="1" a="1"/>
  <c r="DF453" i="1" s="1"/>
  <c r="DB453" i="1" a="1"/>
  <c r="DB453" i="1" s="1"/>
  <c r="CX453" i="1" a="1"/>
  <c r="CX453" i="1" s="1"/>
  <c r="CT453" i="1" a="1"/>
  <c r="CT453" i="1" s="1"/>
  <c r="DN452" i="1" a="1"/>
  <c r="DN452" i="1" s="1"/>
  <c r="DJ452" i="1" a="1"/>
  <c r="DJ452" i="1" s="1"/>
  <c r="DF452" i="1" a="1"/>
  <c r="DF452" i="1" s="1"/>
  <c r="DB452" i="1" a="1"/>
  <c r="DB452" i="1" s="1"/>
  <c r="CX452" i="1" a="1"/>
  <c r="CX452" i="1" s="1"/>
  <c r="CT452" i="1" a="1"/>
  <c r="CT452" i="1" s="1"/>
  <c r="DN451" i="1" a="1"/>
  <c r="DN451" i="1" s="1"/>
  <c r="DJ451" i="1" a="1"/>
  <c r="DJ451" i="1" s="1"/>
  <c r="DG451" i="1" a="1"/>
  <c r="DG451" i="1" s="1"/>
  <c r="DC451" i="1" a="1"/>
  <c r="DC451" i="1" s="1"/>
  <c r="CV451" i="1" a="1"/>
  <c r="CV451" i="1" s="1"/>
  <c r="CR451" i="1" a="1"/>
  <c r="CR451" i="1" s="1"/>
  <c r="DL450" i="1" a="1"/>
  <c r="DL450" i="1" s="1"/>
  <c r="DH450" i="1" a="1"/>
  <c r="DH450" i="1" s="1"/>
  <c r="DD450" i="1" a="1"/>
  <c r="DD450" i="1" s="1"/>
  <c r="CZ450" i="1" a="1"/>
  <c r="CZ450" i="1" s="1"/>
  <c r="CV450" i="1" a="1"/>
  <c r="CV450" i="1" s="1"/>
  <c r="CR450" i="1" a="1"/>
  <c r="CR450" i="1" s="1"/>
  <c r="DL449" i="1" a="1"/>
  <c r="DL449" i="1" s="1"/>
  <c r="DH449" i="1" a="1"/>
  <c r="DH449" i="1" s="1"/>
  <c r="DD449" i="1" a="1"/>
  <c r="DD449" i="1" s="1"/>
  <c r="CZ449" i="1" a="1"/>
  <c r="CZ449" i="1" s="1"/>
  <c r="CW449" i="1" a="1"/>
  <c r="CW449" i="1" s="1"/>
  <c r="CS449" i="1" a="1"/>
  <c r="CS449" i="1" s="1"/>
  <c r="DM448" i="1" a="1"/>
  <c r="DM448" i="1" s="1"/>
  <c r="DI448" i="1" a="1"/>
  <c r="DI448" i="1" s="1"/>
  <c r="DE448" i="1" a="1"/>
  <c r="DE448" i="1" s="1"/>
  <c r="DA448" i="1" a="1"/>
  <c r="DA448" i="1" s="1"/>
  <c r="CW448" i="1" a="1"/>
  <c r="CW448" i="1" s="1"/>
  <c r="CS448" i="1" a="1"/>
  <c r="CS448" i="1" s="1"/>
  <c r="DN447" i="1" a="1"/>
  <c r="DN447" i="1" s="1"/>
  <c r="DJ447" i="1" a="1"/>
  <c r="DJ447" i="1" s="1"/>
  <c r="DF447" i="1" a="1"/>
  <c r="DF447" i="1" s="1"/>
  <c r="DB447" i="1" a="1"/>
  <c r="DB447" i="1" s="1"/>
  <c r="CX447" i="1" a="1"/>
  <c r="CX447" i="1" s="1"/>
  <c r="CT447" i="1" a="1"/>
  <c r="CT447" i="1" s="1"/>
  <c r="DN446" i="1" a="1"/>
  <c r="DN446" i="1" s="1"/>
  <c r="DK446" i="1" a="1"/>
  <c r="DK446" i="1" s="1"/>
  <c r="DG446" i="1" a="1"/>
  <c r="DG446" i="1" s="1"/>
  <c r="DC446" i="1" a="1"/>
  <c r="DC446" i="1" s="1"/>
  <c r="CY446" i="1" a="1"/>
  <c r="CY446" i="1" s="1"/>
  <c r="CU446" i="1" a="1"/>
  <c r="CU446" i="1" s="1"/>
  <c r="CQ446" i="1" a="1"/>
  <c r="CQ446" i="1" s="1"/>
  <c r="DO445" i="1" a="1"/>
  <c r="DO445" i="1" s="1"/>
  <c r="DK445" i="1" a="1"/>
  <c r="DK445" i="1" s="1"/>
  <c r="DD445" i="1" a="1"/>
  <c r="DD445" i="1" s="1"/>
  <c r="CZ445" i="1" a="1"/>
  <c r="CZ445" i="1" s="1"/>
  <c r="CV445" i="1" a="1"/>
  <c r="CV445" i="1" s="1"/>
  <c r="CR445" i="1" a="1"/>
  <c r="CR445" i="1" s="1"/>
  <c r="DL444" i="1" a="1"/>
  <c r="DL444" i="1" s="1"/>
  <c r="DI444" i="1" a="1"/>
  <c r="DI444" i="1" s="1"/>
  <c r="DE444" i="1" a="1"/>
  <c r="DE444" i="1" s="1"/>
  <c r="DA444" i="1" a="1"/>
  <c r="DA444" i="1" s="1"/>
  <c r="CW444" i="1" a="1"/>
  <c r="CW444" i="1" s="1"/>
  <c r="CS444" i="1" a="1"/>
  <c r="CS444" i="1" s="1"/>
  <c r="DM443" i="1" a="1"/>
  <c r="DM443" i="1" s="1"/>
  <c r="DI443" i="1" a="1"/>
  <c r="DI443" i="1" s="1"/>
  <c r="DE443" i="1" a="1"/>
  <c r="DE443" i="1" s="1"/>
  <c r="DA443" i="1" a="1"/>
  <c r="DA443" i="1" s="1"/>
  <c r="CX443" i="1" a="1"/>
  <c r="CX443" i="1" s="1"/>
  <c r="CT443" i="1" a="1"/>
  <c r="CT443" i="1" s="1"/>
  <c r="DN442" i="1" a="1"/>
  <c r="DN442" i="1" s="1"/>
  <c r="DJ442" i="1" a="1"/>
  <c r="DJ442" i="1" s="1"/>
  <c r="DF442" i="1" a="1"/>
  <c r="DF442" i="1" s="1"/>
  <c r="DC442" i="1" a="1"/>
  <c r="DC442" i="1" s="1"/>
  <c r="CR442" i="1" a="1"/>
  <c r="CR442" i="1" s="1"/>
  <c r="DL441" i="1" a="1"/>
  <c r="DL441" i="1" s="1"/>
  <c r="DH441" i="1" a="1"/>
  <c r="DH441" i="1" s="1"/>
  <c r="DD441" i="1" a="1"/>
  <c r="DD441" i="1" s="1"/>
  <c r="CZ441" i="1" a="1"/>
  <c r="CZ441" i="1" s="1"/>
  <c r="CV441" i="1" a="1"/>
  <c r="CV441" i="1" s="1"/>
  <c r="CR441" i="1" a="1"/>
  <c r="CR441" i="1" s="1"/>
  <c r="DL440" i="1" a="1"/>
  <c r="DL440" i="1" s="1"/>
  <c r="DH440" i="1" a="1"/>
  <c r="DH440" i="1" s="1"/>
  <c r="DD440" i="1" a="1"/>
  <c r="DD440" i="1" s="1"/>
  <c r="CZ440" i="1" a="1"/>
  <c r="CZ440" i="1" s="1"/>
  <c r="CV440" i="1" a="1"/>
  <c r="CV440" i="1" s="1"/>
  <c r="CS440" i="1" a="1"/>
  <c r="CS440" i="1" s="1"/>
  <c r="DM439" i="1" a="1"/>
  <c r="DM439" i="1" s="1"/>
  <c r="DH439" i="1" a="1"/>
  <c r="DH439" i="1" s="1"/>
  <c r="DC439" i="1" a="1"/>
  <c r="DC439" i="1" s="1"/>
  <c r="CX439" i="1" a="1"/>
  <c r="CX439" i="1" s="1"/>
  <c r="CR439" i="1" a="1"/>
  <c r="CR439" i="1" s="1"/>
  <c r="DG438" i="1" a="1"/>
  <c r="DG438" i="1" s="1"/>
  <c r="DA438" i="1" a="1"/>
  <c r="DA438" i="1" s="1"/>
  <c r="CV438" i="1" a="1"/>
  <c r="CV438" i="1" s="1"/>
  <c r="DI437" i="1" a="1"/>
  <c r="DI437" i="1" s="1"/>
  <c r="DA437" i="1" a="1"/>
  <c r="DA437" i="1" s="1"/>
  <c r="CS437" i="1" a="1"/>
  <c r="CS437" i="1" s="1"/>
  <c r="DI436" i="1" a="1"/>
  <c r="DI436" i="1" s="1"/>
  <c r="DB436" i="1" a="1"/>
  <c r="DB436" i="1" s="1"/>
  <c r="CT436" i="1" a="1"/>
  <c r="CT436" i="1" s="1"/>
  <c r="DF435" i="1" a="1"/>
  <c r="DF435" i="1" s="1"/>
  <c r="DJ434" i="1" a="1"/>
  <c r="DJ434" i="1" s="1"/>
  <c r="CU434" i="1" a="1"/>
  <c r="CU434" i="1" s="1"/>
  <c r="DC433" i="1" a="1"/>
  <c r="DC433" i="1" s="1"/>
  <c r="DH432" i="1" a="1"/>
  <c r="DH432" i="1" s="1"/>
  <c r="CR432" i="1" a="1"/>
  <c r="CR432" i="1" s="1"/>
  <c r="DL431" i="1" a="1"/>
  <c r="DL431" i="1" s="1"/>
  <c r="CX431" i="1" a="1"/>
  <c r="CX431" i="1" s="1"/>
  <c r="DG430" i="1" a="1"/>
  <c r="DG430" i="1" s="1"/>
  <c r="CQ430" i="1" a="1"/>
  <c r="CQ430" i="1" s="1"/>
  <c r="DO429" i="1" a="1"/>
  <c r="DO429" i="1" s="1"/>
  <c r="CZ429" i="1" a="1"/>
  <c r="CZ429" i="1" s="1"/>
  <c r="CU428" i="1" a="1"/>
  <c r="CU428" i="1" s="1"/>
  <c r="DC427" i="1" a="1"/>
  <c r="DC427" i="1" s="1"/>
  <c r="DL426" i="1" a="1"/>
  <c r="DL426" i="1" s="1"/>
  <c r="CX426" i="1" a="1"/>
  <c r="CX426" i="1" s="1"/>
  <c r="DB425" i="1" a="1"/>
  <c r="DB425" i="1" s="1"/>
  <c r="DK424" i="1" a="1"/>
  <c r="DK424" i="1" s="1"/>
  <c r="CW424" i="1" a="1"/>
  <c r="CW424" i="1" s="1"/>
  <c r="DC423" i="1" a="1"/>
  <c r="DC423" i="1" s="1"/>
  <c r="DL422" i="1" a="1"/>
  <c r="DL422" i="1" s="1"/>
  <c r="CW422" i="1" a="1"/>
  <c r="CW422" i="1" s="1"/>
  <c r="DB421" i="1" a="1"/>
  <c r="DB421" i="1" s="1"/>
  <c r="CW420" i="1" a="1"/>
  <c r="CW420" i="1" s="1"/>
  <c r="DA419" i="1" a="1"/>
  <c r="DA419" i="1" s="1"/>
  <c r="DJ418" i="1" a="1"/>
  <c r="DJ418" i="1" s="1"/>
  <c r="CT418" i="1" a="1"/>
  <c r="CT418" i="1" s="1"/>
  <c r="DN417" i="1" a="1"/>
  <c r="DN417" i="1" s="1"/>
  <c r="CX417" i="1" a="1"/>
  <c r="CX417" i="1" s="1"/>
  <c r="DB416" i="1" a="1"/>
  <c r="DB416" i="1" s="1"/>
  <c r="DF415" i="1" a="1"/>
  <c r="DF415" i="1" s="1"/>
  <c r="DJ414" i="1" a="1"/>
  <c r="DJ414" i="1" s="1"/>
  <c r="CT414" i="1" a="1"/>
  <c r="CT414" i="1" s="1"/>
  <c r="DN413" i="1" a="1"/>
  <c r="DN413" i="1" s="1"/>
  <c r="CX413" i="1" a="1"/>
  <c r="CX413" i="1" s="1"/>
  <c r="DB412" i="1" a="1"/>
  <c r="DB412" i="1" s="1"/>
  <c r="DF411" i="1" a="1"/>
  <c r="DF411" i="1" s="1"/>
  <c r="DJ410" i="1" a="1"/>
  <c r="DJ410" i="1" s="1"/>
  <c r="CT410" i="1" a="1"/>
  <c r="CT410" i="1" s="1"/>
  <c r="DN409" i="1" a="1"/>
  <c r="DN409" i="1" s="1"/>
  <c r="CX409" i="1" a="1"/>
  <c r="CX409" i="1" s="1"/>
  <c r="DB408" i="1" a="1"/>
  <c r="DB408" i="1" s="1"/>
  <c r="DF407" i="1" a="1"/>
  <c r="DF407" i="1" s="1"/>
  <c r="DJ406" i="1" a="1"/>
  <c r="DJ406" i="1" s="1"/>
  <c r="CT406" i="1" a="1"/>
  <c r="CT406" i="1" s="1"/>
  <c r="DN405" i="1" a="1"/>
  <c r="DN405" i="1" s="1"/>
  <c r="CX405" i="1" a="1"/>
  <c r="CX405" i="1" s="1"/>
  <c r="DB404" i="1" a="1"/>
  <c r="DB404" i="1" s="1"/>
  <c r="DF403" i="1" a="1"/>
  <c r="DF403" i="1" s="1"/>
  <c r="DJ402" i="1" a="1"/>
  <c r="DJ402" i="1" s="1"/>
  <c r="CT402" i="1" a="1"/>
  <c r="CT402" i="1" s="1"/>
  <c r="DN401" i="1" a="1"/>
  <c r="DN401" i="1" s="1"/>
  <c r="CX401" i="1" a="1"/>
  <c r="CX401" i="1" s="1"/>
  <c r="DB400" i="1" a="1"/>
  <c r="DB400" i="1" s="1"/>
  <c r="DF399" i="1" a="1"/>
  <c r="DF399" i="1" s="1"/>
  <c r="DJ398" i="1" a="1"/>
  <c r="DJ398" i="1" s="1"/>
  <c r="CT398" i="1" a="1"/>
  <c r="CT398" i="1" s="1"/>
  <c r="DN397" i="1" a="1"/>
  <c r="DN397" i="1" s="1"/>
  <c r="CX397" i="1" a="1"/>
  <c r="CX397" i="1" s="1"/>
  <c r="DB396" i="1" a="1"/>
  <c r="DB396" i="1" s="1"/>
  <c r="DF395" i="1" a="1"/>
  <c r="DF395" i="1" s="1"/>
  <c r="DJ394" i="1" a="1"/>
  <c r="DJ394" i="1" s="1"/>
  <c r="CT394" i="1" a="1"/>
  <c r="CT394" i="1" s="1"/>
  <c r="DN393" i="1" a="1"/>
  <c r="DN393" i="1" s="1"/>
  <c r="CX393" i="1" a="1"/>
  <c r="CX393" i="1" s="1"/>
  <c r="DB392" i="1" a="1"/>
  <c r="DB392" i="1" s="1"/>
  <c r="DF391" i="1" a="1"/>
  <c r="DF391" i="1" s="1"/>
  <c r="DJ390" i="1" a="1"/>
  <c r="DJ390" i="1" s="1"/>
  <c r="CT390" i="1" a="1"/>
  <c r="CT390" i="1" s="1"/>
  <c r="DN389" i="1" a="1"/>
  <c r="DN389" i="1" s="1"/>
  <c r="CX389" i="1" a="1"/>
  <c r="CX389" i="1" s="1"/>
  <c r="DB388" i="1" a="1"/>
  <c r="DB388" i="1" s="1"/>
  <c r="DF387" i="1" a="1"/>
  <c r="DF387" i="1" s="1"/>
  <c r="DJ386" i="1" a="1"/>
  <c r="DJ386" i="1" s="1"/>
  <c r="CT386" i="1" a="1"/>
  <c r="CT386" i="1" s="1"/>
  <c r="DN385" i="1" a="1"/>
  <c r="DN385" i="1" s="1"/>
  <c r="CX385" i="1" a="1"/>
  <c r="CX385" i="1" s="1"/>
  <c r="DB384" i="1" a="1"/>
  <c r="DB384" i="1" s="1"/>
  <c r="DF383" i="1" a="1"/>
  <c r="DF383" i="1" s="1"/>
  <c r="DJ382" i="1" a="1"/>
  <c r="DJ382" i="1" s="1"/>
  <c r="CT382" i="1" a="1"/>
  <c r="CT382" i="1" s="1"/>
  <c r="DN381" i="1" a="1"/>
  <c r="DN381" i="1" s="1"/>
  <c r="CX381" i="1" a="1"/>
  <c r="CX381" i="1" s="1"/>
  <c r="DB380" i="1" a="1"/>
  <c r="DB380" i="1" s="1"/>
  <c r="DF379" i="1" a="1"/>
  <c r="DF379" i="1" s="1"/>
  <c r="DJ378" i="1" a="1"/>
  <c r="DJ378" i="1" s="1"/>
  <c r="CT378" i="1" a="1"/>
  <c r="CT378" i="1" s="1"/>
  <c r="DN377" i="1" a="1"/>
  <c r="DN377" i="1" s="1"/>
  <c r="CX377" i="1" a="1"/>
  <c r="CX377" i="1" s="1"/>
  <c r="DB376" i="1" a="1"/>
  <c r="DB376" i="1" s="1"/>
  <c r="DF375" i="1" a="1"/>
  <c r="DF375" i="1" s="1"/>
  <c r="DJ374" i="1" a="1"/>
  <c r="DJ374" i="1" s="1"/>
  <c r="CT374" i="1" a="1"/>
  <c r="CT374" i="1" s="1"/>
  <c r="DN373" i="1" a="1"/>
  <c r="DN373" i="1" s="1"/>
  <c r="CX373" i="1" a="1"/>
  <c r="CX373" i="1" s="1"/>
  <c r="DB372" i="1" a="1"/>
  <c r="DB372" i="1" s="1"/>
  <c r="DF371" i="1" a="1"/>
  <c r="DF371" i="1" s="1"/>
  <c r="DJ370" i="1" a="1"/>
  <c r="DJ370" i="1" s="1"/>
  <c r="CT370" i="1" a="1"/>
  <c r="CT370" i="1" s="1"/>
  <c r="DN369" i="1" a="1"/>
  <c r="DN369" i="1" s="1"/>
  <c r="CX369" i="1" a="1"/>
  <c r="CX369" i="1" s="1"/>
  <c r="DB368" i="1" a="1"/>
  <c r="DB368" i="1" s="1"/>
  <c r="DF367" i="1" a="1"/>
  <c r="DF367" i="1" s="1"/>
  <c r="DJ366" i="1" a="1"/>
  <c r="DJ366" i="1" s="1"/>
  <c r="CT366" i="1" a="1"/>
  <c r="CT366" i="1" s="1"/>
  <c r="DN365" i="1" a="1"/>
  <c r="DN365" i="1" s="1"/>
  <c r="CX365" i="1" a="1"/>
  <c r="CX365" i="1" s="1"/>
  <c r="DB364" i="1" a="1"/>
  <c r="DB364" i="1" s="1"/>
  <c r="DF363" i="1" a="1"/>
  <c r="DF363" i="1" s="1"/>
  <c r="DJ362" i="1" a="1"/>
  <c r="DJ362" i="1" s="1"/>
  <c r="CT362" i="1" a="1"/>
  <c r="CT362" i="1" s="1"/>
  <c r="DN361" i="1" a="1"/>
  <c r="DN361" i="1" s="1"/>
  <c r="CX361" i="1" a="1"/>
  <c r="CX361" i="1" s="1"/>
  <c r="DB360" i="1" a="1"/>
  <c r="DB360" i="1" s="1"/>
  <c r="DF359" i="1" a="1"/>
  <c r="DF359" i="1" s="1"/>
  <c r="DJ358" i="1" a="1"/>
  <c r="DJ358" i="1" s="1"/>
  <c r="CT358" i="1" a="1"/>
  <c r="CT358" i="1" s="1"/>
  <c r="DN357" i="1" a="1"/>
  <c r="DN357" i="1" s="1"/>
  <c r="CX357" i="1" a="1"/>
  <c r="CX357" i="1" s="1"/>
  <c r="DB356" i="1" a="1"/>
  <c r="DB356" i="1" s="1"/>
  <c r="DF355" i="1" a="1"/>
  <c r="DF355" i="1" s="1"/>
  <c r="DJ354" i="1" a="1"/>
  <c r="DJ354" i="1" s="1"/>
  <c r="CT354" i="1" a="1"/>
  <c r="CT354" i="1" s="1"/>
  <c r="DN353" i="1" a="1"/>
  <c r="DN353" i="1" s="1"/>
  <c r="CX353" i="1" a="1"/>
  <c r="CX353" i="1" s="1"/>
  <c r="CZ351" i="1" a="1"/>
  <c r="CZ351" i="1" s="1"/>
  <c r="CX349" i="1" a="1"/>
  <c r="CX349" i="1" s="1"/>
  <c r="DJ348" i="1" a="1"/>
  <c r="DJ348" i="1" s="1"/>
  <c r="DA346" i="1" a="1"/>
  <c r="DA346" i="1" s="1"/>
  <c r="DD344" i="1" a="1"/>
  <c r="DD344" i="1" s="1"/>
  <c r="CW343" i="1" a="1"/>
  <c r="CW343" i="1" s="1"/>
  <c r="DA341" i="1" a="1"/>
  <c r="DA341" i="1" s="1"/>
  <c r="DE340" i="1" a="1"/>
  <c r="DE340" i="1" s="1"/>
  <c r="CQ337" i="1" a="1"/>
  <c r="CQ337" i="1" s="1"/>
  <c r="DO336" i="1" a="1"/>
  <c r="DO336" i="1" s="1"/>
  <c r="CV334" i="1" a="1"/>
  <c r="CV334" i="1" s="1"/>
  <c r="CV329" i="1" a="1"/>
  <c r="CV329" i="1" s="1"/>
  <c r="CZ328" i="1" a="1"/>
  <c r="CZ328" i="1" s="1"/>
  <c r="CT324" i="1" a="1"/>
  <c r="CT324" i="1" s="1"/>
  <c r="DI261" i="1" a="1"/>
  <c r="DI261" i="1" s="1"/>
  <c r="DF260" i="1" a="1"/>
  <c r="DF260" i="1" s="1"/>
  <c r="DI259" i="1" a="1"/>
  <c r="DI259" i="1" s="1"/>
  <c r="DK27" i="1" a="1"/>
  <c r="DK27" i="1" s="1"/>
  <c r="DK285" i="1" a="1"/>
  <c r="DK285" i="1" s="1"/>
  <c r="DK286" i="1" a="1"/>
  <c r="DK286" i="1" s="1"/>
  <c r="DK268" i="1" a="1"/>
  <c r="DK268" i="1" s="1"/>
  <c r="DK279" i="1" a="1"/>
  <c r="DK279" i="1" s="1"/>
  <c r="DK327" i="1" a="1"/>
  <c r="DK327" i="1" s="1"/>
  <c r="DK328" i="1" a="1"/>
  <c r="DK328" i="1" s="1"/>
  <c r="DK329" i="1" a="1"/>
  <c r="DK329" i="1" s="1"/>
  <c r="DK334" i="1" a="1"/>
  <c r="DK334" i="1" s="1"/>
  <c r="DK335" i="1" a="1"/>
  <c r="DK335" i="1" s="1"/>
  <c r="DK342" i="1" a="1"/>
  <c r="DK342" i="1" s="1"/>
  <c r="DK343" i="1" a="1"/>
  <c r="DK343" i="1" s="1"/>
  <c r="DK350" i="1" a="1"/>
  <c r="DK350" i="1" s="1"/>
  <c r="DK351" i="1" a="1"/>
  <c r="DK351" i="1" s="1"/>
  <c r="DK352" i="1" a="1"/>
  <c r="DK352" i="1" s="1"/>
  <c r="DK353" i="1" a="1"/>
  <c r="DK353" i="1" s="1"/>
  <c r="DK354" i="1" a="1"/>
  <c r="DK354" i="1" s="1"/>
  <c r="DK355" i="1" a="1"/>
  <c r="DK355" i="1" s="1"/>
  <c r="DK356" i="1" a="1"/>
  <c r="DK356" i="1" s="1"/>
  <c r="DK357" i="1" a="1"/>
  <c r="DK357" i="1" s="1"/>
  <c r="DK358" i="1" a="1"/>
  <c r="DK358" i="1" s="1"/>
  <c r="DK359" i="1" a="1"/>
  <c r="DK359" i="1" s="1"/>
  <c r="DK360" i="1" a="1"/>
  <c r="DK360" i="1" s="1"/>
  <c r="DK361" i="1" a="1"/>
  <c r="DK361" i="1" s="1"/>
  <c r="DK362" i="1" a="1"/>
  <c r="DK362" i="1" s="1"/>
  <c r="DK363" i="1" a="1"/>
  <c r="DK363" i="1" s="1"/>
  <c r="DK364" i="1" a="1"/>
  <c r="DK364" i="1" s="1"/>
  <c r="DK365" i="1" a="1"/>
  <c r="DK365" i="1" s="1"/>
  <c r="DK366" i="1" a="1"/>
  <c r="DK366" i="1" s="1"/>
  <c r="DK367" i="1" a="1"/>
  <c r="DK367" i="1" s="1"/>
  <c r="DK368" i="1" a="1"/>
  <c r="DK368" i="1" s="1"/>
  <c r="DK369" i="1" a="1"/>
  <c r="DK369" i="1" s="1"/>
  <c r="DK370" i="1" a="1"/>
  <c r="DK370" i="1" s="1"/>
  <c r="DK371" i="1" a="1"/>
  <c r="DK371" i="1" s="1"/>
  <c r="DK372" i="1" a="1"/>
  <c r="DK372" i="1" s="1"/>
  <c r="DK373" i="1" a="1"/>
  <c r="DK373" i="1" s="1"/>
  <c r="DK374" i="1" a="1"/>
  <c r="DK374" i="1" s="1"/>
  <c r="DK375" i="1" a="1"/>
  <c r="DK375" i="1" s="1"/>
  <c r="DK376" i="1" a="1"/>
  <c r="DK376" i="1" s="1"/>
  <c r="DK377" i="1" a="1"/>
  <c r="DK377" i="1" s="1"/>
  <c r="DK378" i="1" a="1"/>
  <c r="DK378" i="1" s="1"/>
  <c r="DK379" i="1" a="1"/>
  <c r="DK379" i="1" s="1"/>
  <c r="DK380" i="1" a="1"/>
  <c r="DK380" i="1" s="1"/>
  <c r="DK381" i="1" a="1"/>
  <c r="DK381" i="1" s="1"/>
  <c r="DK382" i="1" a="1"/>
  <c r="DK382" i="1" s="1"/>
  <c r="DK383" i="1" a="1"/>
  <c r="DK383" i="1" s="1"/>
  <c r="DK384" i="1" a="1"/>
  <c r="DK384" i="1" s="1"/>
  <c r="DK385" i="1" a="1"/>
  <c r="DK385" i="1" s="1"/>
  <c r="DK386" i="1" a="1"/>
  <c r="DK386" i="1" s="1"/>
  <c r="DK387" i="1" a="1"/>
  <c r="DK387" i="1" s="1"/>
  <c r="DK388" i="1" a="1"/>
  <c r="DK388" i="1" s="1"/>
  <c r="DK389" i="1" a="1"/>
  <c r="DK389" i="1" s="1"/>
  <c r="DK390" i="1" a="1"/>
  <c r="DK390" i="1" s="1"/>
  <c r="DK391" i="1" a="1"/>
  <c r="DK391" i="1" s="1"/>
  <c r="DK392" i="1" a="1"/>
  <c r="DK392" i="1" s="1"/>
  <c r="DK393" i="1" a="1"/>
  <c r="DK393" i="1" s="1"/>
  <c r="DK394" i="1" a="1"/>
  <c r="DK394" i="1" s="1"/>
  <c r="DK395" i="1" a="1"/>
  <c r="DK395" i="1" s="1"/>
  <c r="DK396" i="1" a="1"/>
  <c r="DK396" i="1" s="1"/>
  <c r="DK397" i="1" a="1"/>
  <c r="DK397" i="1" s="1"/>
  <c r="DK398" i="1" a="1"/>
  <c r="DK398" i="1" s="1"/>
  <c r="DK399" i="1" a="1"/>
  <c r="DK399" i="1" s="1"/>
  <c r="DK400" i="1" a="1"/>
  <c r="DK400" i="1" s="1"/>
  <c r="DK401" i="1" a="1"/>
  <c r="DK401" i="1" s="1"/>
  <c r="DK402" i="1" a="1"/>
  <c r="DK402" i="1" s="1"/>
  <c r="DK403" i="1" a="1"/>
  <c r="DK403" i="1" s="1"/>
  <c r="DK404" i="1" a="1"/>
  <c r="DK404" i="1" s="1"/>
  <c r="DK405" i="1" a="1"/>
  <c r="DK405" i="1" s="1"/>
  <c r="DK406" i="1" a="1"/>
  <c r="DK406" i="1" s="1"/>
  <c r="DK407" i="1" a="1"/>
  <c r="DK407" i="1" s="1"/>
  <c r="DK408" i="1" a="1"/>
  <c r="DK408" i="1" s="1"/>
  <c r="DK409" i="1" a="1"/>
  <c r="DK409" i="1" s="1"/>
  <c r="DK410" i="1" a="1"/>
  <c r="DK410" i="1" s="1"/>
  <c r="DK411" i="1" a="1"/>
  <c r="DK411" i="1" s="1"/>
  <c r="DK412" i="1" a="1"/>
  <c r="DK412" i="1" s="1"/>
  <c r="DK413" i="1" a="1"/>
  <c r="DK413" i="1" s="1"/>
  <c r="DK414" i="1" a="1"/>
  <c r="DK414" i="1" s="1"/>
  <c r="DK415" i="1" a="1"/>
  <c r="DK415" i="1" s="1"/>
  <c r="DK416" i="1" a="1"/>
  <c r="DK416" i="1" s="1"/>
  <c r="DK417" i="1" a="1"/>
  <c r="DK417" i="1" s="1"/>
  <c r="DK418" i="1" a="1"/>
  <c r="DK418" i="1" s="1"/>
  <c r="DK421" i="1" a="1"/>
  <c r="DK421" i="1" s="1"/>
  <c r="DK423" i="1" a="1"/>
  <c r="DK423" i="1" s="1"/>
  <c r="DK425" i="1" a="1"/>
  <c r="DK425" i="1" s="1"/>
  <c r="DK434" i="1" a="1"/>
  <c r="DK434" i="1" s="1"/>
  <c r="DK435" i="1" a="1"/>
  <c r="DK435" i="1" s="1"/>
  <c r="DK311" i="1" a="1"/>
  <c r="DK311" i="1" s="1"/>
  <c r="DK313" i="1" a="1"/>
  <c r="DK313" i="1" s="1"/>
  <c r="DK315" i="1" a="1"/>
  <c r="DK315" i="1" s="1"/>
  <c r="DK330" i="1" a="1"/>
  <c r="DK330" i="1" s="1"/>
  <c r="DK338" i="1" a="1"/>
  <c r="DK338" i="1" s="1"/>
  <c r="DK419" i="1" a="1"/>
  <c r="DK419" i="1" s="1"/>
  <c r="DK428" i="1" a="1"/>
  <c r="DK428" i="1" s="1"/>
  <c r="DK436" i="1" a="1"/>
  <c r="DK436" i="1" s="1"/>
  <c r="DK336" i="1" a="1"/>
  <c r="DK336" i="1" s="1"/>
  <c r="DK344" i="1" a="1"/>
  <c r="DK344" i="1" s="1"/>
  <c r="DK422" i="1" a="1"/>
  <c r="DK422" i="1" s="1"/>
  <c r="DK426" i="1" a="1"/>
  <c r="DK426" i="1" s="1"/>
  <c r="DK429" i="1" a="1"/>
  <c r="DK429" i="1" s="1"/>
  <c r="DK431" i="1" a="1"/>
  <c r="DK431" i="1" s="1"/>
  <c r="DK432" i="1" a="1"/>
  <c r="DK432" i="1" s="1"/>
  <c r="DK437" i="1" a="1"/>
  <c r="DK437" i="1" s="1"/>
  <c r="CY286" i="1" a="1"/>
  <c r="CY286" i="1" s="1"/>
  <c r="CY268" i="1" a="1"/>
  <c r="CY268" i="1" s="1"/>
  <c r="CY328" i="1" a="1"/>
  <c r="CY328" i="1" s="1"/>
  <c r="CY329" i="1" a="1"/>
  <c r="CY329" i="1" s="1"/>
  <c r="CY334" i="1" a="1"/>
  <c r="CY334" i="1" s="1"/>
  <c r="CY335" i="1" a="1"/>
  <c r="CY335" i="1" s="1"/>
  <c r="CY342" i="1" a="1"/>
  <c r="CY342" i="1" s="1"/>
  <c r="CY343" i="1" a="1"/>
  <c r="CY343" i="1" s="1"/>
  <c r="CY351" i="1" a="1"/>
  <c r="CY351" i="1" s="1"/>
  <c r="CY352" i="1" a="1"/>
  <c r="CY352" i="1" s="1"/>
  <c r="CY312" i="1" a="1"/>
  <c r="CY312" i="1" s="1"/>
  <c r="CY314" i="1" a="1"/>
  <c r="CY314" i="1" s="1"/>
  <c r="CY331" i="1" a="1"/>
  <c r="CY331" i="1" s="1"/>
  <c r="CY339" i="1" a="1"/>
  <c r="CY339" i="1" s="1"/>
  <c r="CY344" i="1" a="1"/>
  <c r="CY344" i="1" s="1"/>
  <c r="CY345" i="1" a="1"/>
  <c r="CY345" i="1" s="1"/>
  <c r="CY353" i="1" a="1"/>
  <c r="CY353" i="1" s="1"/>
  <c r="CY354" i="1" a="1"/>
  <c r="CY354" i="1" s="1"/>
  <c r="CY355" i="1" a="1"/>
  <c r="CY355" i="1" s="1"/>
  <c r="CY356" i="1" a="1"/>
  <c r="CY356" i="1" s="1"/>
  <c r="CY357" i="1" a="1"/>
  <c r="CY357" i="1" s="1"/>
  <c r="CY358" i="1" a="1"/>
  <c r="CY358" i="1" s="1"/>
  <c r="CY359" i="1" a="1"/>
  <c r="CY359" i="1" s="1"/>
  <c r="CY360" i="1" a="1"/>
  <c r="CY360" i="1" s="1"/>
  <c r="CY361" i="1" a="1"/>
  <c r="CY361" i="1" s="1"/>
  <c r="CY362" i="1" a="1"/>
  <c r="CY362" i="1" s="1"/>
  <c r="CY363" i="1" a="1"/>
  <c r="CY363" i="1" s="1"/>
  <c r="CY364" i="1" a="1"/>
  <c r="CY364" i="1" s="1"/>
  <c r="CY365" i="1" a="1"/>
  <c r="CY365" i="1" s="1"/>
  <c r="CY366" i="1" a="1"/>
  <c r="CY366" i="1" s="1"/>
  <c r="CY367" i="1" a="1"/>
  <c r="CY367" i="1" s="1"/>
  <c r="CY368" i="1" a="1"/>
  <c r="CY368" i="1" s="1"/>
  <c r="CY369" i="1" a="1"/>
  <c r="CY369" i="1" s="1"/>
  <c r="CY370" i="1" a="1"/>
  <c r="CY370" i="1" s="1"/>
  <c r="CY371" i="1" a="1"/>
  <c r="CY371" i="1" s="1"/>
  <c r="CY372" i="1" a="1"/>
  <c r="CY372" i="1" s="1"/>
  <c r="CY373" i="1" a="1"/>
  <c r="CY373" i="1" s="1"/>
  <c r="CY374" i="1" a="1"/>
  <c r="CY374" i="1" s="1"/>
  <c r="CY375" i="1" a="1"/>
  <c r="CY375" i="1" s="1"/>
  <c r="CY376" i="1" a="1"/>
  <c r="CY376" i="1" s="1"/>
  <c r="CY377" i="1" a="1"/>
  <c r="CY377" i="1" s="1"/>
  <c r="CY378" i="1" a="1"/>
  <c r="CY378" i="1" s="1"/>
  <c r="CY379" i="1" a="1"/>
  <c r="CY379" i="1" s="1"/>
  <c r="CY380" i="1" a="1"/>
  <c r="CY380" i="1" s="1"/>
  <c r="CY381" i="1" a="1"/>
  <c r="CY381" i="1" s="1"/>
  <c r="CY382" i="1" a="1"/>
  <c r="CY382" i="1" s="1"/>
  <c r="CY383" i="1" a="1"/>
  <c r="CY383" i="1" s="1"/>
  <c r="CY384" i="1" a="1"/>
  <c r="CY384" i="1" s="1"/>
  <c r="CY385" i="1" a="1"/>
  <c r="CY385" i="1" s="1"/>
  <c r="CY386" i="1" a="1"/>
  <c r="CY386" i="1" s="1"/>
  <c r="CY387" i="1" a="1"/>
  <c r="CY387" i="1" s="1"/>
  <c r="CY388" i="1" a="1"/>
  <c r="CY388" i="1" s="1"/>
  <c r="CY389" i="1" a="1"/>
  <c r="CY389" i="1" s="1"/>
  <c r="CY390" i="1" a="1"/>
  <c r="CY390" i="1" s="1"/>
  <c r="CY391" i="1" a="1"/>
  <c r="CY391" i="1" s="1"/>
  <c r="CY392" i="1" a="1"/>
  <c r="CY392" i="1" s="1"/>
  <c r="CY393" i="1" a="1"/>
  <c r="CY393" i="1" s="1"/>
  <c r="CY394" i="1" a="1"/>
  <c r="CY394" i="1" s="1"/>
  <c r="CY395" i="1" a="1"/>
  <c r="CY395" i="1" s="1"/>
  <c r="CY396" i="1" a="1"/>
  <c r="CY396" i="1" s="1"/>
  <c r="CY397" i="1" a="1"/>
  <c r="CY397" i="1" s="1"/>
  <c r="CY398" i="1" a="1"/>
  <c r="CY398" i="1" s="1"/>
  <c r="CY399" i="1" a="1"/>
  <c r="CY399" i="1" s="1"/>
  <c r="CY400" i="1" a="1"/>
  <c r="CY400" i="1" s="1"/>
  <c r="CY401" i="1" a="1"/>
  <c r="CY401" i="1" s="1"/>
  <c r="CY402" i="1" a="1"/>
  <c r="CY402" i="1" s="1"/>
  <c r="CY403" i="1" a="1"/>
  <c r="CY403" i="1" s="1"/>
  <c r="CY404" i="1" a="1"/>
  <c r="CY404" i="1" s="1"/>
  <c r="CY405" i="1" a="1"/>
  <c r="CY405" i="1" s="1"/>
  <c r="CY406" i="1" a="1"/>
  <c r="CY406" i="1" s="1"/>
  <c r="CY407" i="1" a="1"/>
  <c r="CY407" i="1" s="1"/>
  <c r="CY408" i="1" a="1"/>
  <c r="CY408" i="1" s="1"/>
  <c r="CY409" i="1" a="1"/>
  <c r="CY409" i="1" s="1"/>
  <c r="CY410" i="1" a="1"/>
  <c r="CY410" i="1" s="1"/>
  <c r="CY411" i="1" a="1"/>
  <c r="CY411" i="1" s="1"/>
  <c r="CY412" i="1" a="1"/>
  <c r="CY412" i="1" s="1"/>
  <c r="CY413" i="1" a="1"/>
  <c r="CY413" i="1" s="1"/>
  <c r="CY414" i="1" a="1"/>
  <c r="CY414" i="1" s="1"/>
  <c r="CY415" i="1" a="1"/>
  <c r="CY415" i="1" s="1"/>
  <c r="CY416" i="1" a="1"/>
  <c r="CY416" i="1" s="1"/>
  <c r="CY417" i="1" a="1"/>
  <c r="CY417" i="1" s="1"/>
  <c r="CY418" i="1" a="1"/>
  <c r="CY418" i="1" s="1"/>
  <c r="CY421" i="1" a="1"/>
  <c r="CY421" i="1" s="1"/>
  <c r="CY425" i="1" a="1"/>
  <c r="CY425" i="1" s="1"/>
  <c r="CY426" i="1" a="1"/>
  <c r="CY426" i="1" s="1"/>
  <c r="CY431" i="1" a="1"/>
  <c r="CY431" i="1" s="1"/>
  <c r="CY435" i="1" a="1"/>
  <c r="CY435" i="1" s="1"/>
  <c r="CY337" i="1" a="1"/>
  <c r="CY337" i="1" s="1"/>
  <c r="CY419" i="1" a="1"/>
  <c r="CY419" i="1" s="1"/>
  <c r="CY420" i="1" a="1"/>
  <c r="CY420" i="1" s="1"/>
  <c r="CY422" i="1" a="1"/>
  <c r="CY422" i="1" s="1"/>
  <c r="CY424" i="1" a="1"/>
  <c r="CY424" i="1" s="1"/>
  <c r="CY313" i="1" a="1"/>
  <c r="CY313" i="1" s="1"/>
  <c r="CY315" i="1" a="1"/>
  <c r="CY315" i="1" s="1"/>
  <c r="CY330" i="1" a="1"/>
  <c r="CY330" i="1" s="1"/>
  <c r="CY429" i="1" a="1"/>
  <c r="CY429" i="1" s="1"/>
  <c r="CY432" i="1" a="1"/>
  <c r="CY432" i="1" s="1"/>
  <c r="CY433" i="1" a="1"/>
  <c r="CY433" i="1" s="1"/>
  <c r="CY437" i="1" a="1"/>
  <c r="CY437" i="1" s="1"/>
  <c r="DL23" i="1" a="1"/>
  <c r="DL23" i="1" s="1"/>
  <c r="DL24" i="1" a="1"/>
  <c r="DL24" i="1" s="1"/>
  <c r="DL25" i="1" a="1"/>
  <c r="DL25" i="1" s="1"/>
  <c r="DL27" i="1" a="1"/>
  <c r="DL27" i="1" s="1"/>
  <c r="DL29" i="1" a="1"/>
  <c r="DL29" i="1" s="1"/>
  <c r="DL30" i="1" a="1"/>
  <c r="DL30" i="1" s="1"/>
  <c r="DL31" i="1" a="1"/>
  <c r="DL31" i="1" s="1"/>
  <c r="DL32" i="1" a="1"/>
  <c r="DL32" i="1" s="1"/>
  <c r="DL33" i="1" a="1"/>
  <c r="DL33" i="1" s="1"/>
  <c r="DL34" i="1" a="1"/>
  <c r="DL34" i="1" s="1"/>
  <c r="DL35" i="1" a="1"/>
  <c r="DL35" i="1" s="1"/>
  <c r="DL36" i="1" a="1"/>
  <c r="DL36" i="1" s="1"/>
  <c r="DL37" i="1" a="1"/>
  <c r="DL37" i="1" s="1"/>
  <c r="DL38" i="1" a="1"/>
  <c r="DL38" i="1" s="1"/>
  <c r="DL39" i="1" a="1"/>
  <c r="DL39" i="1" s="1"/>
  <c r="DL46" i="1" a="1"/>
  <c r="DL46" i="1" s="1"/>
  <c r="DL42" i="1" a="1"/>
  <c r="DL42" i="1" s="1"/>
  <c r="DL44" i="1" a="1"/>
  <c r="DL44" i="1" s="1"/>
  <c r="DL40" i="1" a="1"/>
  <c r="DL40" i="1" s="1"/>
  <c r="DL43" i="1" a="1"/>
  <c r="DL43" i="1" s="1"/>
  <c r="DL26" i="1" a="1"/>
  <c r="DL26" i="1" s="1"/>
  <c r="DL28" i="1" a="1"/>
  <c r="DL28" i="1" s="1"/>
  <c r="DL45" i="1" a="1"/>
  <c r="DL45" i="1" s="1"/>
  <c r="DL47" i="1" a="1"/>
  <c r="DL47" i="1" s="1"/>
  <c r="DL49" i="1" a="1"/>
  <c r="DL49" i="1" s="1"/>
  <c r="DL50" i="1" a="1"/>
  <c r="DL50" i="1" s="1"/>
  <c r="DL55" i="1" a="1"/>
  <c r="DL55" i="1" s="1"/>
  <c r="DL59" i="1" a="1"/>
  <c r="DL59" i="1" s="1"/>
  <c r="DL41" i="1" a="1"/>
  <c r="DL41" i="1" s="1"/>
  <c r="DL51" i="1" a="1"/>
  <c r="DL51" i="1" s="1"/>
  <c r="DL56" i="1" a="1"/>
  <c r="DL56" i="1" s="1"/>
  <c r="DL57" i="1" a="1"/>
  <c r="DL57" i="1" s="1"/>
  <c r="DL60" i="1" a="1"/>
  <c r="DL60" i="1" s="1"/>
  <c r="DL63" i="1" a="1"/>
  <c r="DL63" i="1" s="1"/>
  <c r="DL52" i="1" a="1"/>
  <c r="DL52" i="1" s="1"/>
  <c r="DL61" i="1" a="1"/>
  <c r="DL61" i="1" s="1"/>
  <c r="DL64" i="1" a="1"/>
  <c r="DL64" i="1" s="1"/>
  <c r="DL80" i="1" a="1"/>
  <c r="DL80" i="1" s="1"/>
  <c r="DL53" i="1" a="1"/>
  <c r="DL53" i="1" s="1"/>
  <c r="DL62" i="1" a="1"/>
  <c r="DL62" i="1" s="1"/>
  <c r="DL78" i="1" a="1"/>
  <c r="DL78" i="1" s="1"/>
  <c r="DL79" i="1" a="1"/>
  <c r="DL79" i="1" s="1"/>
  <c r="DL81" i="1" a="1"/>
  <c r="DL81" i="1" s="1"/>
  <c r="DL82" i="1" a="1"/>
  <c r="DL82" i="1" s="1"/>
  <c r="DL86" i="1" a="1"/>
  <c r="DL86" i="1" s="1"/>
  <c r="DL48" i="1" a="1"/>
  <c r="DL48" i="1" s="1"/>
  <c r="DL58" i="1" a="1"/>
  <c r="DL58" i="1" s="1"/>
  <c r="DL91" i="1" a="1"/>
  <c r="DL91" i="1" s="1"/>
  <c r="DL97" i="1" a="1"/>
  <c r="DL97" i="1" s="1"/>
  <c r="DL115" i="1" a="1"/>
  <c r="DL115" i="1" s="1"/>
  <c r="DL66" i="1" a="1"/>
  <c r="DL66" i="1" s="1"/>
  <c r="DL68" i="1" a="1"/>
  <c r="DL68" i="1" s="1"/>
  <c r="DL70" i="1" a="1"/>
  <c r="DL70" i="1" s="1"/>
  <c r="DL72" i="1" a="1"/>
  <c r="DL72" i="1" s="1"/>
  <c r="DL74" i="1" a="1"/>
  <c r="DL74" i="1" s="1"/>
  <c r="DL76" i="1" a="1"/>
  <c r="DL76" i="1" s="1"/>
  <c r="DL87" i="1" a="1"/>
  <c r="DL87" i="1" s="1"/>
  <c r="DL92" i="1" a="1"/>
  <c r="DL92" i="1" s="1"/>
  <c r="DL93" i="1" a="1"/>
  <c r="DL93" i="1" s="1"/>
  <c r="DL94" i="1" a="1"/>
  <c r="DL94" i="1" s="1"/>
  <c r="DL95" i="1" a="1"/>
  <c r="DL95" i="1" s="1"/>
  <c r="DL100" i="1" a="1"/>
  <c r="DL100" i="1" s="1"/>
  <c r="DL116" i="1" a="1"/>
  <c r="DL116" i="1" s="1"/>
  <c r="DL119" i="1" a="1"/>
  <c r="DL119" i="1" s="1"/>
  <c r="DL54" i="1" a="1"/>
  <c r="DL54" i="1" s="1"/>
  <c r="DL84" i="1" a="1"/>
  <c r="DL84" i="1" s="1"/>
  <c r="DL88" i="1" a="1"/>
  <c r="DL88" i="1" s="1"/>
  <c r="DL89" i="1" a="1"/>
  <c r="DL89" i="1" s="1"/>
  <c r="DL96" i="1" a="1"/>
  <c r="DL96" i="1" s="1"/>
  <c r="DL98" i="1" a="1"/>
  <c r="DL98" i="1" s="1"/>
  <c r="DL101" i="1" a="1"/>
  <c r="DL101" i="1" s="1"/>
  <c r="DL102" i="1" a="1"/>
  <c r="DL102" i="1" s="1"/>
  <c r="DL103" i="1" a="1"/>
  <c r="DL103" i="1" s="1"/>
  <c r="DL104" i="1" a="1"/>
  <c r="DL104" i="1" s="1"/>
  <c r="DL105" i="1" a="1"/>
  <c r="DL105" i="1" s="1"/>
  <c r="DL106" i="1" a="1"/>
  <c r="DL106" i="1" s="1"/>
  <c r="DL107" i="1" a="1"/>
  <c r="DL107" i="1" s="1"/>
  <c r="DL108" i="1" a="1"/>
  <c r="DL108" i="1" s="1"/>
  <c r="DL112" i="1" a="1"/>
  <c r="DL112" i="1" s="1"/>
  <c r="DL117" i="1" a="1"/>
  <c r="DL117" i="1" s="1"/>
  <c r="DL118" i="1" a="1"/>
  <c r="DL118" i="1" s="1"/>
  <c r="DL99" i="1" a="1"/>
  <c r="DL99" i="1" s="1"/>
  <c r="DL110" i="1" a="1"/>
  <c r="DL110" i="1" s="1"/>
  <c r="DL113" i="1" a="1"/>
  <c r="DL113" i="1" s="1"/>
  <c r="DL138" i="1" a="1"/>
  <c r="DL138" i="1" s="1"/>
  <c r="DL140" i="1" a="1"/>
  <c r="DL140" i="1" s="1"/>
  <c r="DL142" i="1" a="1"/>
  <c r="DL142" i="1" s="1"/>
  <c r="DL144" i="1" a="1"/>
  <c r="DL144" i="1" s="1"/>
  <c r="DL147" i="1" a="1"/>
  <c r="DL147" i="1" s="1"/>
  <c r="DL65" i="1" a="1"/>
  <c r="DL65" i="1" s="1"/>
  <c r="DL67" i="1" a="1"/>
  <c r="DL67" i="1" s="1"/>
  <c r="DL69" i="1" a="1"/>
  <c r="DL69" i="1" s="1"/>
  <c r="DL71" i="1" a="1"/>
  <c r="DL71" i="1" s="1"/>
  <c r="DL73" i="1" a="1"/>
  <c r="DL73" i="1" s="1"/>
  <c r="DL75" i="1" a="1"/>
  <c r="DL75" i="1" s="1"/>
  <c r="DL77" i="1" a="1"/>
  <c r="DL77" i="1" s="1"/>
  <c r="DL85" i="1" a="1"/>
  <c r="DL85" i="1" s="1"/>
  <c r="DL109" i="1" a="1"/>
  <c r="DL109" i="1" s="1"/>
  <c r="DL120" i="1" a="1"/>
  <c r="DL120" i="1" s="1"/>
  <c r="DL122" i="1" a="1"/>
  <c r="DL122" i="1" s="1"/>
  <c r="DL124" i="1" a="1"/>
  <c r="DL124" i="1" s="1"/>
  <c r="DL126" i="1" a="1"/>
  <c r="DL126" i="1" s="1"/>
  <c r="DL128" i="1" a="1"/>
  <c r="DL128" i="1" s="1"/>
  <c r="DL145" i="1" a="1"/>
  <c r="DL145" i="1" s="1"/>
  <c r="DL150" i="1" a="1"/>
  <c r="DL150" i="1" s="1"/>
  <c r="DL152" i="1" a="1"/>
  <c r="DL152" i="1" s="1"/>
  <c r="DL154" i="1" a="1"/>
  <c r="DL154" i="1" s="1"/>
  <c r="DL156" i="1" a="1"/>
  <c r="DL156" i="1" s="1"/>
  <c r="DL90" i="1" a="1"/>
  <c r="DL90" i="1" s="1"/>
  <c r="DL111" i="1" a="1"/>
  <c r="DL111" i="1" s="1"/>
  <c r="DL114" i="1" a="1"/>
  <c r="DL114" i="1" s="1"/>
  <c r="DL129" i="1" a="1"/>
  <c r="DL129" i="1" s="1"/>
  <c r="DL130" i="1" a="1"/>
  <c r="DL130" i="1" s="1"/>
  <c r="DL131" i="1" a="1"/>
  <c r="DL131" i="1" s="1"/>
  <c r="DL132" i="1" a="1"/>
  <c r="DL132" i="1" s="1"/>
  <c r="DL133" i="1" a="1"/>
  <c r="DL133" i="1" s="1"/>
  <c r="DL134" i="1" a="1"/>
  <c r="DL134" i="1" s="1"/>
  <c r="DL135" i="1" a="1"/>
  <c r="DL135" i="1" s="1"/>
  <c r="DL136" i="1" a="1"/>
  <c r="DL136" i="1" s="1"/>
  <c r="DL137" i="1" a="1"/>
  <c r="DL137" i="1" s="1"/>
  <c r="DL139" i="1" a="1"/>
  <c r="DL139" i="1" s="1"/>
  <c r="DL141" i="1" a="1"/>
  <c r="DL141" i="1" s="1"/>
  <c r="DL143" i="1" a="1"/>
  <c r="DL143" i="1" s="1"/>
  <c r="DL146" i="1" a="1"/>
  <c r="DL146" i="1" s="1"/>
  <c r="DL149" i="1" a="1"/>
  <c r="DL149" i="1" s="1"/>
  <c r="DL159" i="1" a="1"/>
  <c r="DL159" i="1" s="1"/>
  <c r="DL168" i="1" a="1"/>
  <c r="DL168" i="1" s="1"/>
  <c r="DL171" i="1" a="1"/>
  <c r="DL171" i="1" s="1"/>
  <c r="DL174" i="1" a="1"/>
  <c r="DL174" i="1" s="1"/>
  <c r="DL181" i="1" a="1"/>
  <c r="DL181" i="1" s="1"/>
  <c r="DL183" i="1" a="1"/>
  <c r="DL183" i="1" s="1"/>
  <c r="DL83" i="1" a="1"/>
  <c r="DL83" i="1" s="1"/>
  <c r="DL148" i="1" a="1"/>
  <c r="DL148" i="1" s="1"/>
  <c r="DL157" i="1" a="1"/>
  <c r="DL157" i="1" s="1"/>
  <c r="DL161" i="1" a="1"/>
  <c r="DL161" i="1" s="1"/>
  <c r="DL163" i="1" a="1"/>
  <c r="DL163" i="1" s="1"/>
  <c r="DL165" i="1" a="1"/>
  <c r="DL165" i="1" s="1"/>
  <c r="DL170" i="1" a="1"/>
  <c r="DL170" i="1" s="1"/>
  <c r="DL173" i="1" a="1"/>
  <c r="DL173" i="1" s="1"/>
  <c r="DL176" i="1" a="1"/>
  <c r="DL176" i="1" s="1"/>
  <c r="DL178" i="1" a="1"/>
  <c r="DL178" i="1" s="1"/>
  <c r="DL167" i="1" a="1"/>
  <c r="DL167" i="1" s="1"/>
  <c r="DL169" i="1" a="1"/>
  <c r="DL169" i="1" s="1"/>
  <c r="DL175" i="1" a="1"/>
  <c r="DL175" i="1" s="1"/>
  <c r="DL180" i="1" a="1"/>
  <c r="DL180" i="1" s="1"/>
  <c r="DL182" i="1" a="1"/>
  <c r="DL182" i="1" s="1"/>
  <c r="DL195" i="1" a="1"/>
  <c r="DL195" i="1" s="1"/>
  <c r="DL197" i="1" a="1"/>
  <c r="DL197" i="1" s="1"/>
  <c r="DL199" i="1" a="1"/>
  <c r="DL199" i="1" s="1"/>
  <c r="DL246" i="1" a="1"/>
  <c r="DL246" i="1" s="1"/>
  <c r="DL121" i="1" a="1"/>
  <c r="DL121" i="1" s="1"/>
  <c r="DL123" i="1" a="1"/>
  <c r="DL123" i="1" s="1"/>
  <c r="DL125" i="1" a="1"/>
  <c r="DL125" i="1" s="1"/>
  <c r="DL127" i="1" a="1"/>
  <c r="DL127" i="1" s="1"/>
  <c r="DL151" i="1" a="1"/>
  <c r="DL151" i="1" s="1"/>
  <c r="DL155" i="1" a="1"/>
  <c r="DL155" i="1" s="1"/>
  <c r="DL158" i="1" a="1"/>
  <c r="DL158" i="1" s="1"/>
  <c r="DL177" i="1" a="1"/>
  <c r="DL177" i="1" s="1"/>
  <c r="DL179" i="1" a="1"/>
  <c r="DL179" i="1" s="1"/>
  <c r="DL184" i="1" a="1"/>
  <c r="DL184" i="1" s="1"/>
  <c r="DL185" i="1" a="1"/>
  <c r="DL185" i="1" s="1"/>
  <c r="DL186" i="1" a="1"/>
  <c r="DL186" i="1" s="1"/>
  <c r="DL189" i="1" a="1"/>
  <c r="DL189" i="1" s="1"/>
  <c r="DL191" i="1" a="1"/>
  <c r="DL191" i="1" s="1"/>
  <c r="DL192" i="1" a="1"/>
  <c r="DL192" i="1" s="1"/>
  <c r="DL194" i="1" a="1"/>
  <c r="DL194" i="1" s="1"/>
  <c r="DL201" i="1" a="1"/>
  <c r="DL201" i="1" s="1"/>
  <c r="DL203" i="1" a="1"/>
  <c r="DL203" i="1" s="1"/>
  <c r="DL205" i="1" a="1"/>
  <c r="DL205" i="1" s="1"/>
  <c r="DL207" i="1" a="1"/>
  <c r="DL207" i="1" s="1"/>
  <c r="DL209" i="1" a="1"/>
  <c r="DL209" i="1" s="1"/>
  <c r="DL211" i="1" a="1"/>
  <c r="DL211" i="1" s="1"/>
  <c r="DL213" i="1" a="1"/>
  <c r="DL213" i="1" s="1"/>
  <c r="DL215" i="1" a="1"/>
  <c r="DL215" i="1" s="1"/>
  <c r="DL217" i="1" a="1"/>
  <c r="DL217" i="1" s="1"/>
  <c r="DL219" i="1" a="1"/>
  <c r="DL219" i="1" s="1"/>
  <c r="DL221" i="1" a="1"/>
  <c r="DL221" i="1" s="1"/>
  <c r="DL223" i="1" a="1"/>
  <c r="DL223" i="1" s="1"/>
  <c r="DL225" i="1" a="1"/>
  <c r="DL225" i="1" s="1"/>
  <c r="DL227" i="1" a="1"/>
  <c r="DL227" i="1" s="1"/>
  <c r="DL229" i="1" a="1"/>
  <c r="DL229" i="1" s="1"/>
  <c r="DL231" i="1" a="1"/>
  <c r="DL231" i="1" s="1"/>
  <c r="DL233" i="1" a="1"/>
  <c r="DL233" i="1" s="1"/>
  <c r="DL235" i="1" a="1"/>
  <c r="DL235" i="1" s="1"/>
  <c r="DL237" i="1" a="1"/>
  <c r="DL237" i="1" s="1"/>
  <c r="DL239" i="1" a="1"/>
  <c r="DL239" i="1" s="1"/>
  <c r="DL241" i="1" a="1"/>
  <c r="DL241" i="1" s="1"/>
  <c r="DL160" i="1" a="1"/>
  <c r="DL160" i="1" s="1"/>
  <c r="DL162" i="1" a="1"/>
  <c r="DL162" i="1" s="1"/>
  <c r="DL164" i="1" a="1"/>
  <c r="DL164" i="1" s="1"/>
  <c r="DL166" i="1" a="1"/>
  <c r="DL166" i="1" s="1"/>
  <c r="DL172" i="1" a="1"/>
  <c r="DL172" i="1" s="1"/>
  <c r="DL196" i="1" a="1"/>
  <c r="DL196" i="1" s="1"/>
  <c r="DL198" i="1" a="1"/>
  <c r="DL198" i="1" s="1"/>
  <c r="DL153" i="1" a="1"/>
  <c r="DL153" i="1" s="1"/>
  <c r="DL244" i="1" a="1"/>
  <c r="DL244" i="1" s="1"/>
  <c r="DL250" i="1" a="1"/>
  <c r="DL250" i="1" s="1"/>
  <c r="DL252" i="1" a="1"/>
  <c r="DL252" i="1" s="1"/>
  <c r="DL257" i="1" a="1"/>
  <c r="DL257" i="1" s="1"/>
  <c r="DL273" i="1" a="1"/>
  <c r="DL273" i="1" s="1"/>
  <c r="DL279" i="1" a="1"/>
  <c r="DL279" i="1" s="1"/>
  <c r="DL280" i="1" a="1"/>
  <c r="DL280" i="1" s="1"/>
  <c r="DL287" i="1" a="1"/>
  <c r="DL287" i="1" s="1"/>
  <c r="DL289" i="1" a="1"/>
  <c r="DL289" i="1" s="1"/>
  <c r="DL291" i="1" a="1"/>
  <c r="DL291" i="1" s="1"/>
  <c r="DL293" i="1" a="1"/>
  <c r="DL293" i="1" s="1"/>
  <c r="DL295" i="1" a="1"/>
  <c r="DL295" i="1" s="1"/>
  <c r="DL187" i="1" a="1"/>
  <c r="DL187" i="1" s="1"/>
  <c r="DL188" i="1" a="1"/>
  <c r="DL188" i="1" s="1"/>
  <c r="DL190" i="1" a="1"/>
  <c r="DL190" i="1" s="1"/>
  <c r="DL200" i="1" a="1"/>
  <c r="DL200" i="1" s="1"/>
  <c r="DL202" i="1" a="1"/>
  <c r="DL202" i="1" s="1"/>
  <c r="DL204" i="1" a="1"/>
  <c r="DL204" i="1" s="1"/>
  <c r="DL206" i="1" a="1"/>
  <c r="DL206" i="1" s="1"/>
  <c r="DL208" i="1" a="1"/>
  <c r="DL208" i="1" s="1"/>
  <c r="DL210" i="1" a="1"/>
  <c r="DL210" i="1" s="1"/>
  <c r="DL212" i="1" a="1"/>
  <c r="DL212" i="1" s="1"/>
  <c r="DL214" i="1" a="1"/>
  <c r="DL214" i="1" s="1"/>
  <c r="DL216" i="1" a="1"/>
  <c r="DL216" i="1" s="1"/>
  <c r="DL218" i="1" a="1"/>
  <c r="DL218" i="1" s="1"/>
  <c r="DL220" i="1" a="1"/>
  <c r="DL220" i="1" s="1"/>
  <c r="DL222" i="1" a="1"/>
  <c r="DL222" i="1" s="1"/>
  <c r="DL224" i="1" a="1"/>
  <c r="DL224" i="1" s="1"/>
  <c r="DL226" i="1" a="1"/>
  <c r="DL226" i="1" s="1"/>
  <c r="DL228" i="1" a="1"/>
  <c r="DL228" i="1" s="1"/>
  <c r="DL230" i="1" a="1"/>
  <c r="DL230" i="1" s="1"/>
  <c r="DL232" i="1" a="1"/>
  <c r="DL232" i="1" s="1"/>
  <c r="DL234" i="1" a="1"/>
  <c r="DL234" i="1" s="1"/>
  <c r="DL236" i="1" a="1"/>
  <c r="DL236" i="1" s="1"/>
  <c r="DL238" i="1" a="1"/>
  <c r="DL238" i="1" s="1"/>
  <c r="DL240" i="1" a="1"/>
  <c r="DL240" i="1" s="1"/>
  <c r="DL242" i="1" a="1"/>
  <c r="DL242" i="1" s="1"/>
  <c r="DL243" i="1" a="1"/>
  <c r="DL243" i="1" s="1"/>
  <c r="DL245" i="1" a="1"/>
  <c r="DL245" i="1" s="1"/>
  <c r="DL247" i="1" a="1"/>
  <c r="DL247" i="1" s="1"/>
  <c r="DL249" i="1" a="1"/>
  <c r="DL249" i="1" s="1"/>
  <c r="DL254" i="1" a="1"/>
  <c r="DL254" i="1" s="1"/>
  <c r="DL256" i="1" a="1"/>
  <c r="DL256" i="1" s="1"/>
  <c r="DL259" i="1" a="1"/>
  <c r="DL259" i="1" s="1"/>
  <c r="DL261" i="1" a="1"/>
  <c r="DL261" i="1" s="1"/>
  <c r="DL262" i="1" a="1"/>
  <c r="DL262" i="1" s="1"/>
  <c r="DL264" i="1" a="1"/>
  <c r="DL264" i="1" s="1"/>
  <c r="DL267" i="1" a="1"/>
  <c r="DL267" i="1" s="1"/>
  <c r="DL269" i="1" a="1"/>
  <c r="DL269" i="1" s="1"/>
  <c r="DL270" i="1" a="1"/>
  <c r="DL270" i="1" s="1"/>
  <c r="DL272" i="1" a="1"/>
  <c r="DL272" i="1" s="1"/>
  <c r="DL275" i="1" a="1"/>
  <c r="DL275" i="1" s="1"/>
  <c r="DL278" i="1" a="1"/>
  <c r="DL278" i="1" s="1"/>
  <c r="DL283" i="1" a="1"/>
  <c r="DL283" i="1" s="1"/>
  <c r="DL193" i="1" a="1"/>
  <c r="DL193" i="1" s="1"/>
  <c r="DL248" i="1" a="1"/>
  <c r="DL248" i="1" s="1"/>
  <c r="DL251" i="1" a="1"/>
  <c r="DL251" i="1" s="1"/>
  <c r="DL253" i="1" a="1"/>
  <c r="DL253" i="1" s="1"/>
  <c r="DL277" i="1" a="1"/>
  <c r="DL277" i="1" s="1"/>
  <c r="DL281" i="1" a="1"/>
  <c r="DL281" i="1" s="1"/>
  <c r="DL282" i="1" a="1"/>
  <c r="DL282" i="1" s="1"/>
  <c r="DL285" i="1" a="1"/>
  <c r="DL285" i="1" s="1"/>
  <c r="DL286" i="1" a="1"/>
  <c r="DL286" i="1" s="1"/>
  <c r="DL288" i="1" a="1"/>
  <c r="DL288" i="1" s="1"/>
  <c r="DL290" i="1" a="1"/>
  <c r="DL290" i="1" s="1"/>
  <c r="DL292" i="1" a="1"/>
  <c r="DL292" i="1" s="1"/>
  <c r="DL294" i="1" a="1"/>
  <c r="DL294" i="1" s="1"/>
  <c r="DL296" i="1" a="1"/>
  <c r="DL296" i="1" s="1"/>
  <c r="DL298" i="1" a="1"/>
  <c r="DL298" i="1" s="1"/>
  <c r="DL258" i="1" a="1"/>
  <c r="DL258" i="1" s="1"/>
  <c r="DL260" i="1" a="1"/>
  <c r="DL260" i="1" s="1"/>
  <c r="DL271" i="1" a="1"/>
  <c r="DL271" i="1" s="1"/>
  <c r="DL311" i="1" a="1"/>
  <c r="DL311" i="1" s="1"/>
  <c r="DL312" i="1" a="1"/>
  <c r="DL312" i="1" s="1"/>
  <c r="DL313" i="1" a="1"/>
  <c r="DL313" i="1" s="1"/>
  <c r="DL314" i="1" a="1"/>
  <c r="DL314" i="1" s="1"/>
  <c r="DL315" i="1" a="1"/>
  <c r="DL315" i="1" s="1"/>
  <c r="DL316" i="1" a="1"/>
  <c r="DL316" i="1" s="1"/>
  <c r="DL318" i="1" a="1"/>
  <c r="DL318" i="1" s="1"/>
  <c r="DL320" i="1" a="1"/>
  <c r="DL320" i="1" s="1"/>
  <c r="DL322" i="1" a="1"/>
  <c r="DL322" i="1" s="1"/>
  <c r="DL324" i="1" a="1"/>
  <c r="DL324" i="1" s="1"/>
  <c r="DL326" i="1" a="1"/>
  <c r="DL326" i="1" s="1"/>
  <c r="DL330" i="1" a="1"/>
  <c r="DL330" i="1" s="1"/>
  <c r="DL331" i="1" a="1"/>
  <c r="DL331" i="1" s="1"/>
  <c r="DL332" i="1" a="1"/>
  <c r="DL332" i="1" s="1"/>
  <c r="DL336" i="1" a="1"/>
  <c r="DL336" i="1" s="1"/>
  <c r="DL338" i="1" a="1"/>
  <c r="DL338" i="1" s="1"/>
  <c r="DL339" i="1" a="1"/>
  <c r="DL339" i="1" s="1"/>
  <c r="DL340" i="1" a="1"/>
  <c r="DL340" i="1" s="1"/>
  <c r="DL263" i="1" a="1"/>
  <c r="DL263" i="1" s="1"/>
  <c r="DL265" i="1" a="1"/>
  <c r="DL265" i="1" s="1"/>
  <c r="DL274" i="1" a="1"/>
  <c r="DL274" i="1" s="1"/>
  <c r="DL276" i="1" a="1"/>
  <c r="DL276" i="1" s="1"/>
  <c r="DL284" i="1" a="1"/>
  <c r="DL284" i="1" s="1"/>
  <c r="DL297" i="1" a="1"/>
  <c r="DL297" i="1" s="1"/>
  <c r="DL300" i="1" a="1"/>
  <c r="DL300" i="1" s="1"/>
  <c r="DL302" i="1" a="1"/>
  <c r="DL302" i="1" s="1"/>
  <c r="DL304" i="1" a="1"/>
  <c r="DL304" i="1" s="1"/>
  <c r="DL306" i="1" a="1"/>
  <c r="DL306" i="1" s="1"/>
  <c r="DL308" i="1" a="1"/>
  <c r="DL308" i="1" s="1"/>
  <c r="DL310" i="1" a="1"/>
  <c r="DL310" i="1" s="1"/>
  <c r="DL266" i="1" a="1"/>
  <c r="DL266" i="1" s="1"/>
  <c r="DL317" i="1" a="1"/>
  <c r="DL317" i="1" s="1"/>
  <c r="DL319" i="1" a="1"/>
  <c r="DL319" i="1" s="1"/>
  <c r="DL321" i="1" a="1"/>
  <c r="DL321" i="1" s="1"/>
  <c r="DL323" i="1" a="1"/>
  <c r="DL323" i="1" s="1"/>
  <c r="DL325" i="1" a="1"/>
  <c r="DL325" i="1" s="1"/>
  <c r="DL337" i="1" a="1"/>
  <c r="DL337" i="1" s="1"/>
  <c r="DL345" i="1" a="1"/>
  <c r="DL345" i="1" s="1"/>
  <c r="DL347" i="1" a="1"/>
  <c r="DL347" i="1" s="1"/>
  <c r="DL349" i="1" a="1"/>
  <c r="DL349" i="1" s="1"/>
  <c r="DL255" i="1" a="1"/>
  <c r="DL255" i="1" s="1"/>
  <c r="DL335" i="1" a="1"/>
  <c r="DL335" i="1" s="1"/>
  <c r="DL348" i="1" a="1"/>
  <c r="DL348" i="1" s="1"/>
  <c r="DL352" i="1" a="1"/>
  <c r="DL352" i="1" s="1"/>
  <c r="DL420" i="1" a="1"/>
  <c r="DL420" i="1" s="1"/>
  <c r="DL424" i="1" a="1"/>
  <c r="DL424" i="1" s="1"/>
  <c r="DL427" i="1" a="1"/>
  <c r="DL427" i="1" s="1"/>
  <c r="DL430" i="1" a="1"/>
  <c r="DL430" i="1" s="1"/>
  <c r="DL433" i="1" a="1"/>
  <c r="DL433" i="1" s="1"/>
  <c r="DL299" i="1" a="1"/>
  <c r="DL299" i="1" s="1"/>
  <c r="DL301" i="1" a="1"/>
  <c r="DL301" i="1" s="1"/>
  <c r="DL303" i="1" a="1"/>
  <c r="DL303" i="1" s="1"/>
  <c r="DL305" i="1" a="1"/>
  <c r="DL305" i="1" s="1"/>
  <c r="DL307" i="1" a="1"/>
  <c r="DL307" i="1" s="1"/>
  <c r="DL309" i="1" a="1"/>
  <c r="DL309" i="1" s="1"/>
  <c r="DL327" i="1" a="1"/>
  <c r="DL327" i="1" s="1"/>
  <c r="DL333" i="1" a="1"/>
  <c r="DL333" i="1" s="1"/>
  <c r="DL351" i="1" a="1"/>
  <c r="DL351" i="1" s="1"/>
  <c r="DL353" i="1" a="1"/>
  <c r="DL353" i="1" s="1"/>
  <c r="DL354" i="1" a="1"/>
  <c r="DL354" i="1" s="1"/>
  <c r="DL355" i="1" a="1"/>
  <c r="DL355" i="1" s="1"/>
  <c r="DL356" i="1" a="1"/>
  <c r="DL356" i="1" s="1"/>
  <c r="DL357" i="1" a="1"/>
  <c r="DL357" i="1" s="1"/>
  <c r="DL358" i="1" a="1"/>
  <c r="DL358" i="1" s="1"/>
  <c r="DL359" i="1" a="1"/>
  <c r="DL359" i="1" s="1"/>
  <c r="DL360" i="1" a="1"/>
  <c r="DL360" i="1" s="1"/>
  <c r="DL361" i="1" a="1"/>
  <c r="DL361" i="1" s="1"/>
  <c r="DL362" i="1" a="1"/>
  <c r="DL362" i="1" s="1"/>
  <c r="DL363" i="1" a="1"/>
  <c r="DL363" i="1" s="1"/>
  <c r="DL364" i="1" a="1"/>
  <c r="DL364" i="1" s="1"/>
  <c r="DL365" i="1" a="1"/>
  <c r="DL365" i="1" s="1"/>
  <c r="DL366" i="1" a="1"/>
  <c r="DL366" i="1" s="1"/>
  <c r="DL367" i="1" a="1"/>
  <c r="DL367" i="1" s="1"/>
  <c r="DL368" i="1" a="1"/>
  <c r="DL368" i="1" s="1"/>
  <c r="DL369" i="1" a="1"/>
  <c r="DL369" i="1" s="1"/>
  <c r="DL370" i="1" a="1"/>
  <c r="DL370" i="1" s="1"/>
  <c r="DL371" i="1" a="1"/>
  <c r="DL371" i="1" s="1"/>
  <c r="DL372" i="1" a="1"/>
  <c r="DL372" i="1" s="1"/>
  <c r="DL373" i="1" a="1"/>
  <c r="DL373" i="1" s="1"/>
  <c r="DL374" i="1" a="1"/>
  <c r="DL374" i="1" s="1"/>
  <c r="DL375" i="1" a="1"/>
  <c r="DL375" i="1" s="1"/>
  <c r="DL376" i="1" a="1"/>
  <c r="DL376" i="1" s="1"/>
  <c r="DL377" i="1" a="1"/>
  <c r="DL377" i="1" s="1"/>
  <c r="DL378" i="1" a="1"/>
  <c r="DL378" i="1" s="1"/>
  <c r="DL379" i="1" a="1"/>
  <c r="DL379" i="1" s="1"/>
  <c r="DL380" i="1" a="1"/>
  <c r="DL380" i="1" s="1"/>
  <c r="DL381" i="1" a="1"/>
  <c r="DL381" i="1" s="1"/>
  <c r="DL382" i="1" a="1"/>
  <c r="DL382" i="1" s="1"/>
  <c r="DL383" i="1" a="1"/>
  <c r="DL383" i="1" s="1"/>
  <c r="DL384" i="1" a="1"/>
  <c r="DL384" i="1" s="1"/>
  <c r="DL385" i="1" a="1"/>
  <c r="DL385" i="1" s="1"/>
  <c r="DL386" i="1" a="1"/>
  <c r="DL386" i="1" s="1"/>
  <c r="DL387" i="1" a="1"/>
  <c r="DL387" i="1" s="1"/>
  <c r="DL388" i="1" a="1"/>
  <c r="DL388" i="1" s="1"/>
  <c r="DL389" i="1" a="1"/>
  <c r="DL389" i="1" s="1"/>
  <c r="DL390" i="1" a="1"/>
  <c r="DL390" i="1" s="1"/>
  <c r="DL391" i="1" a="1"/>
  <c r="DL391" i="1" s="1"/>
  <c r="DL392" i="1" a="1"/>
  <c r="DL392" i="1" s="1"/>
  <c r="DL393" i="1" a="1"/>
  <c r="DL393" i="1" s="1"/>
  <c r="DL394" i="1" a="1"/>
  <c r="DL394" i="1" s="1"/>
  <c r="DL395" i="1" a="1"/>
  <c r="DL395" i="1" s="1"/>
  <c r="DL396" i="1" a="1"/>
  <c r="DL396" i="1" s="1"/>
  <c r="DL397" i="1" a="1"/>
  <c r="DL397" i="1" s="1"/>
  <c r="DL398" i="1" a="1"/>
  <c r="DL398" i="1" s="1"/>
  <c r="DL399" i="1" a="1"/>
  <c r="DL399" i="1" s="1"/>
  <c r="DL400" i="1" a="1"/>
  <c r="DL400" i="1" s="1"/>
  <c r="DL401" i="1" a="1"/>
  <c r="DL401" i="1" s="1"/>
  <c r="DL402" i="1" a="1"/>
  <c r="DL402" i="1" s="1"/>
  <c r="DL403" i="1" a="1"/>
  <c r="DL403" i="1" s="1"/>
  <c r="DL404" i="1" a="1"/>
  <c r="DL404" i="1" s="1"/>
  <c r="DL405" i="1" a="1"/>
  <c r="DL405" i="1" s="1"/>
  <c r="DL406" i="1" a="1"/>
  <c r="DL406" i="1" s="1"/>
  <c r="DL407" i="1" a="1"/>
  <c r="DL407" i="1" s="1"/>
  <c r="DL408" i="1" a="1"/>
  <c r="DL408" i="1" s="1"/>
  <c r="DL409" i="1" a="1"/>
  <c r="DL409" i="1" s="1"/>
  <c r="DL410" i="1" a="1"/>
  <c r="DL410" i="1" s="1"/>
  <c r="DL411" i="1" a="1"/>
  <c r="DL411" i="1" s="1"/>
  <c r="DL412" i="1" a="1"/>
  <c r="DL412" i="1" s="1"/>
  <c r="DL413" i="1" a="1"/>
  <c r="DL413" i="1" s="1"/>
  <c r="DL414" i="1" a="1"/>
  <c r="DL414" i="1" s="1"/>
  <c r="DL415" i="1" a="1"/>
  <c r="DL415" i="1" s="1"/>
  <c r="DL416" i="1" a="1"/>
  <c r="DL416" i="1" s="1"/>
  <c r="DL417" i="1" a="1"/>
  <c r="DL417" i="1" s="1"/>
  <c r="DL418" i="1" a="1"/>
  <c r="DL418" i="1" s="1"/>
  <c r="DL421" i="1" a="1"/>
  <c r="DL421" i="1" s="1"/>
  <c r="DL423" i="1" a="1"/>
  <c r="DL423" i="1" s="1"/>
  <c r="DL425" i="1" a="1"/>
  <c r="DL425" i="1" s="1"/>
  <c r="DL434" i="1" a="1"/>
  <c r="DL434" i="1" s="1"/>
  <c r="DL435" i="1" a="1"/>
  <c r="DL435" i="1" s="1"/>
  <c r="DL268" i="1" a="1"/>
  <c r="DL268" i="1" s="1"/>
  <c r="DL328" i="1" a="1"/>
  <c r="DL328" i="1" s="1"/>
  <c r="DL343" i="1" a="1"/>
  <c r="DL343" i="1" s="1"/>
  <c r="DL350" i="1" a="1"/>
  <c r="DL350" i="1" s="1"/>
  <c r="DL419" i="1" a="1"/>
  <c r="DL419" i="1" s="1"/>
  <c r="DL428" i="1" a="1"/>
  <c r="DL428" i="1" s="1"/>
  <c r="CZ45" i="1" a="1"/>
  <c r="CZ45" i="1" s="1"/>
  <c r="CZ26" i="1" a="1"/>
  <c r="CZ26" i="1" s="1"/>
  <c r="CZ27" i="1" a="1"/>
  <c r="CZ27" i="1" s="1"/>
  <c r="CZ28" i="1" a="1"/>
  <c r="CZ28" i="1" s="1"/>
  <c r="CZ41" i="1" a="1"/>
  <c r="CZ41" i="1" s="1"/>
  <c r="CZ44" i="1" a="1"/>
  <c r="CZ44" i="1" s="1"/>
  <c r="CZ23" i="1" a="1"/>
  <c r="CZ23" i="1" s="1"/>
  <c r="CZ24" i="1" a="1"/>
  <c r="CZ24" i="1" s="1"/>
  <c r="CZ25" i="1" a="1"/>
  <c r="CZ25" i="1" s="1"/>
  <c r="CZ29" i="1" a="1"/>
  <c r="CZ29" i="1" s="1"/>
  <c r="CZ30" i="1" a="1"/>
  <c r="CZ30" i="1" s="1"/>
  <c r="CZ31" i="1" a="1"/>
  <c r="CZ31" i="1" s="1"/>
  <c r="CZ32" i="1" a="1"/>
  <c r="CZ32" i="1" s="1"/>
  <c r="CZ33" i="1" a="1"/>
  <c r="CZ33" i="1" s="1"/>
  <c r="CZ34" i="1" a="1"/>
  <c r="CZ34" i="1" s="1"/>
  <c r="CZ35" i="1" a="1"/>
  <c r="CZ35" i="1" s="1"/>
  <c r="CZ36" i="1" a="1"/>
  <c r="CZ36" i="1" s="1"/>
  <c r="CZ37" i="1" a="1"/>
  <c r="CZ37" i="1" s="1"/>
  <c r="CZ38" i="1" a="1"/>
  <c r="CZ38" i="1" s="1"/>
  <c r="CZ39" i="1" a="1"/>
  <c r="CZ39" i="1" s="1"/>
  <c r="CZ40" i="1" a="1"/>
  <c r="CZ40" i="1" s="1"/>
  <c r="CZ48" i="1" a="1"/>
  <c r="CZ48" i="1" s="1"/>
  <c r="CZ43" i="1" a="1"/>
  <c r="CZ43" i="1" s="1"/>
  <c r="CZ47" i="1" a="1"/>
  <c r="CZ47" i="1" s="1"/>
  <c r="CZ53" i="1" a="1"/>
  <c r="CZ53" i="1" s="1"/>
  <c r="CZ54" i="1" a="1"/>
  <c r="CZ54" i="1" s="1"/>
  <c r="CZ58" i="1" a="1"/>
  <c r="CZ58" i="1" s="1"/>
  <c r="CZ65" i="1" a="1"/>
  <c r="CZ65" i="1" s="1"/>
  <c r="CZ46" i="1" a="1"/>
  <c r="CZ46" i="1" s="1"/>
  <c r="CZ49" i="1" a="1"/>
  <c r="CZ49" i="1" s="1"/>
  <c r="CZ50" i="1" a="1"/>
  <c r="CZ50" i="1" s="1"/>
  <c r="CZ55" i="1" a="1"/>
  <c r="CZ55" i="1" s="1"/>
  <c r="CZ59" i="1" a="1"/>
  <c r="CZ59" i="1" s="1"/>
  <c r="CZ62" i="1" a="1"/>
  <c r="CZ62" i="1" s="1"/>
  <c r="CZ52" i="1" a="1"/>
  <c r="CZ52" i="1" s="1"/>
  <c r="CZ56" i="1" a="1"/>
  <c r="CZ56" i="1" s="1"/>
  <c r="CZ42" i="1" a="1"/>
  <c r="CZ42" i="1" s="1"/>
  <c r="CZ66" i="1" a="1"/>
  <c r="CZ66" i="1" s="1"/>
  <c r="CZ67" i="1" a="1"/>
  <c r="CZ67" i="1" s="1"/>
  <c r="CZ68" i="1" a="1"/>
  <c r="CZ68" i="1" s="1"/>
  <c r="CZ69" i="1" a="1"/>
  <c r="CZ69" i="1" s="1"/>
  <c r="CZ70" i="1" a="1"/>
  <c r="CZ70" i="1" s="1"/>
  <c r="CZ71" i="1" a="1"/>
  <c r="CZ71" i="1" s="1"/>
  <c r="CZ72" i="1" a="1"/>
  <c r="CZ72" i="1" s="1"/>
  <c r="CZ73" i="1" a="1"/>
  <c r="CZ73" i="1" s="1"/>
  <c r="CZ74" i="1" a="1"/>
  <c r="CZ74" i="1" s="1"/>
  <c r="CZ75" i="1" a="1"/>
  <c r="CZ75" i="1" s="1"/>
  <c r="CZ76" i="1" a="1"/>
  <c r="CZ76" i="1" s="1"/>
  <c r="CZ77" i="1" a="1"/>
  <c r="CZ77" i="1" s="1"/>
  <c r="CZ80" i="1" a="1"/>
  <c r="CZ80" i="1" s="1"/>
  <c r="CZ51" i="1" a="1"/>
  <c r="CZ51" i="1" s="1"/>
  <c r="CZ57" i="1" a="1"/>
  <c r="CZ57" i="1" s="1"/>
  <c r="CZ61" i="1" a="1"/>
  <c r="CZ61" i="1" s="1"/>
  <c r="CZ64" i="1" a="1"/>
  <c r="CZ64" i="1" s="1"/>
  <c r="CZ81" i="1" a="1"/>
  <c r="CZ81" i="1" s="1"/>
  <c r="CZ84" i="1" a="1"/>
  <c r="CZ84" i="1" s="1"/>
  <c r="CZ85" i="1" a="1"/>
  <c r="CZ85" i="1" s="1"/>
  <c r="CZ79" i="1" a="1"/>
  <c r="CZ79" i="1" s="1"/>
  <c r="CZ83" i="1" a="1"/>
  <c r="CZ83" i="1" s="1"/>
  <c r="CZ88" i="1" a="1"/>
  <c r="CZ88" i="1" s="1"/>
  <c r="CZ89" i="1" a="1"/>
  <c r="CZ89" i="1" s="1"/>
  <c r="CZ90" i="1" a="1"/>
  <c r="CZ90" i="1" s="1"/>
  <c r="CZ96" i="1" a="1"/>
  <c r="CZ96" i="1" s="1"/>
  <c r="CZ97" i="1" a="1"/>
  <c r="CZ97" i="1" s="1"/>
  <c r="CZ98" i="1" a="1"/>
  <c r="CZ98" i="1" s="1"/>
  <c r="CZ102" i="1" a="1"/>
  <c r="CZ102" i="1" s="1"/>
  <c r="CZ103" i="1" a="1"/>
  <c r="CZ103" i="1" s="1"/>
  <c r="CZ104" i="1" a="1"/>
  <c r="CZ104" i="1" s="1"/>
  <c r="CZ105" i="1" a="1"/>
  <c r="CZ105" i="1" s="1"/>
  <c r="CZ106" i="1" a="1"/>
  <c r="CZ106" i="1" s="1"/>
  <c r="CZ107" i="1" a="1"/>
  <c r="CZ107" i="1" s="1"/>
  <c r="CZ108" i="1" a="1"/>
  <c r="CZ108" i="1" s="1"/>
  <c r="CZ109" i="1" a="1"/>
  <c r="CZ109" i="1" s="1"/>
  <c r="CZ118" i="1" a="1"/>
  <c r="CZ118" i="1" s="1"/>
  <c r="CZ119" i="1" a="1"/>
  <c r="CZ119" i="1" s="1"/>
  <c r="CZ60" i="1" a="1"/>
  <c r="CZ60" i="1" s="1"/>
  <c r="CZ82" i="1" a="1"/>
  <c r="CZ82" i="1" s="1"/>
  <c r="CZ86" i="1" a="1"/>
  <c r="CZ86" i="1" s="1"/>
  <c r="CZ111" i="1" a="1"/>
  <c r="CZ111" i="1" s="1"/>
  <c r="CZ113" i="1" a="1"/>
  <c r="CZ113" i="1" s="1"/>
  <c r="CZ114" i="1" a="1"/>
  <c r="CZ114" i="1" s="1"/>
  <c r="CZ115" i="1" a="1"/>
  <c r="CZ115" i="1" s="1"/>
  <c r="CZ117" i="1" a="1"/>
  <c r="CZ117" i="1" s="1"/>
  <c r="CZ120" i="1" a="1"/>
  <c r="CZ120" i="1" s="1"/>
  <c r="CZ121" i="1" a="1"/>
  <c r="CZ121" i="1" s="1"/>
  <c r="CZ122" i="1" a="1"/>
  <c r="CZ122" i="1" s="1"/>
  <c r="CZ123" i="1" a="1"/>
  <c r="CZ123" i="1" s="1"/>
  <c r="CZ124" i="1" a="1"/>
  <c r="CZ124" i="1" s="1"/>
  <c r="CZ125" i="1" a="1"/>
  <c r="CZ125" i="1" s="1"/>
  <c r="CZ126" i="1" a="1"/>
  <c r="CZ126" i="1" s="1"/>
  <c r="CZ127" i="1" a="1"/>
  <c r="CZ127" i="1" s="1"/>
  <c r="CZ128" i="1" a="1"/>
  <c r="CZ128" i="1" s="1"/>
  <c r="CZ129" i="1" a="1"/>
  <c r="CZ129" i="1" s="1"/>
  <c r="CZ78" i="1" a="1"/>
  <c r="CZ78" i="1" s="1"/>
  <c r="CZ91" i="1" a="1"/>
  <c r="CZ91" i="1" s="1"/>
  <c r="CZ99" i="1" a="1"/>
  <c r="CZ99" i="1" s="1"/>
  <c r="CZ110" i="1" a="1"/>
  <c r="CZ110" i="1" s="1"/>
  <c r="CZ112" i="1" a="1"/>
  <c r="CZ112" i="1" s="1"/>
  <c r="CZ87" i="1" a="1"/>
  <c r="CZ87" i="1" s="1"/>
  <c r="CZ93" i="1" a="1"/>
  <c r="CZ93" i="1" s="1"/>
  <c r="CZ95" i="1" a="1"/>
  <c r="CZ95" i="1" s="1"/>
  <c r="CZ130" i="1" a="1"/>
  <c r="CZ130" i="1" s="1"/>
  <c r="CZ131" i="1" a="1"/>
  <c r="CZ131" i="1" s="1"/>
  <c r="CZ132" i="1" a="1"/>
  <c r="CZ132" i="1" s="1"/>
  <c r="CZ133" i="1" a="1"/>
  <c r="CZ133" i="1" s="1"/>
  <c r="CZ134" i="1" a="1"/>
  <c r="CZ134" i="1" s="1"/>
  <c r="CZ135" i="1" a="1"/>
  <c r="CZ135" i="1" s="1"/>
  <c r="CZ136" i="1" a="1"/>
  <c r="CZ136" i="1" s="1"/>
  <c r="CZ143" i="1" a="1"/>
  <c r="CZ143" i="1" s="1"/>
  <c r="CZ149" i="1" a="1"/>
  <c r="CZ149" i="1" s="1"/>
  <c r="CZ152" i="1" a="1"/>
  <c r="CZ152" i="1" s="1"/>
  <c r="CZ154" i="1" a="1"/>
  <c r="CZ154" i="1" s="1"/>
  <c r="CZ156" i="1" a="1"/>
  <c r="CZ156" i="1" s="1"/>
  <c r="CZ63" i="1" a="1"/>
  <c r="CZ63" i="1" s="1"/>
  <c r="CZ100" i="1" a="1"/>
  <c r="CZ100" i="1" s="1"/>
  <c r="CZ137" i="1" a="1"/>
  <c r="CZ137" i="1" s="1"/>
  <c r="CZ139" i="1" a="1"/>
  <c r="CZ139" i="1" s="1"/>
  <c r="CZ141" i="1" a="1"/>
  <c r="CZ141" i="1" s="1"/>
  <c r="CZ146" i="1" a="1"/>
  <c r="CZ146" i="1" s="1"/>
  <c r="CZ92" i="1" a="1"/>
  <c r="CZ92" i="1" s="1"/>
  <c r="CZ94" i="1" a="1"/>
  <c r="CZ94" i="1" s="1"/>
  <c r="CZ116" i="1" a="1"/>
  <c r="CZ116" i="1" s="1"/>
  <c r="CZ147" i="1" a="1"/>
  <c r="CZ147" i="1" s="1"/>
  <c r="CZ148" i="1" a="1"/>
  <c r="CZ148" i="1" s="1"/>
  <c r="CZ150" i="1" a="1"/>
  <c r="CZ150" i="1" s="1"/>
  <c r="CZ151" i="1" a="1"/>
  <c r="CZ151" i="1" s="1"/>
  <c r="CZ153" i="1" a="1"/>
  <c r="CZ153" i="1" s="1"/>
  <c r="CZ155" i="1" a="1"/>
  <c r="CZ155" i="1" s="1"/>
  <c r="CZ157" i="1" a="1"/>
  <c r="CZ157" i="1" s="1"/>
  <c r="CZ159" i="1" a="1"/>
  <c r="CZ159" i="1" s="1"/>
  <c r="CZ138" i="1" a="1"/>
  <c r="CZ138" i="1" s="1"/>
  <c r="CZ144" i="1" a="1"/>
  <c r="CZ144" i="1" s="1"/>
  <c r="CZ161" i="1" a="1"/>
  <c r="CZ161" i="1" s="1"/>
  <c r="CZ163" i="1" a="1"/>
  <c r="CZ163" i="1" s="1"/>
  <c r="CZ165" i="1" a="1"/>
  <c r="CZ165" i="1" s="1"/>
  <c r="CZ167" i="1" a="1"/>
  <c r="CZ167" i="1" s="1"/>
  <c r="CZ173" i="1" a="1"/>
  <c r="CZ173" i="1" s="1"/>
  <c r="CZ178" i="1" a="1"/>
  <c r="CZ178" i="1" s="1"/>
  <c r="CZ185" i="1" a="1"/>
  <c r="CZ185" i="1" s="1"/>
  <c r="CZ101" i="1" a="1"/>
  <c r="CZ101" i="1" s="1"/>
  <c r="CZ158" i="1" a="1"/>
  <c r="CZ158" i="1" s="1"/>
  <c r="CZ169" i="1" a="1"/>
  <c r="CZ169" i="1" s="1"/>
  <c r="CZ175" i="1" a="1"/>
  <c r="CZ175" i="1" s="1"/>
  <c r="CZ180" i="1" a="1"/>
  <c r="CZ180" i="1" s="1"/>
  <c r="CZ182" i="1" a="1"/>
  <c r="CZ182" i="1" s="1"/>
  <c r="CZ142" i="1" a="1"/>
  <c r="CZ142" i="1" s="1"/>
  <c r="CZ162" i="1" a="1"/>
  <c r="CZ162" i="1" s="1"/>
  <c r="CZ164" i="1" a="1"/>
  <c r="CZ164" i="1" s="1"/>
  <c r="CZ166" i="1" a="1"/>
  <c r="CZ166" i="1" s="1"/>
  <c r="CZ172" i="1" a="1"/>
  <c r="CZ172" i="1" s="1"/>
  <c r="CZ177" i="1" a="1"/>
  <c r="CZ177" i="1" s="1"/>
  <c r="CZ179" i="1" a="1"/>
  <c r="CZ179" i="1" s="1"/>
  <c r="CZ184" i="1" a="1"/>
  <c r="CZ184" i="1" s="1"/>
  <c r="CZ186" i="1" a="1"/>
  <c r="CZ186" i="1" s="1"/>
  <c r="CZ160" i="1" a="1"/>
  <c r="CZ160" i="1" s="1"/>
  <c r="CZ187" i="1" a="1"/>
  <c r="CZ187" i="1" s="1"/>
  <c r="CZ189" i="1" a="1"/>
  <c r="CZ189" i="1" s="1"/>
  <c r="CZ191" i="1" a="1"/>
  <c r="CZ191" i="1" s="1"/>
  <c r="CZ194" i="1" a="1"/>
  <c r="CZ194" i="1" s="1"/>
  <c r="CZ201" i="1" a="1"/>
  <c r="CZ201" i="1" s="1"/>
  <c r="CZ203" i="1" a="1"/>
  <c r="CZ203" i="1" s="1"/>
  <c r="CZ205" i="1" a="1"/>
  <c r="CZ205" i="1" s="1"/>
  <c r="CZ207" i="1" a="1"/>
  <c r="CZ207" i="1" s="1"/>
  <c r="CZ209" i="1" a="1"/>
  <c r="CZ209" i="1" s="1"/>
  <c r="CZ211" i="1" a="1"/>
  <c r="CZ211" i="1" s="1"/>
  <c r="CZ213" i="1" a="1"/>
  <c r="CZ213" i="1" s="1"/>
  <c r="CZ215" i="1" a="1"/>
  <c r="CZ215" i="1" s="1"/>
  <c r="CZ217" i="1" a="1"/>
  <c r="CZ217" i="1" s="1"/>
  <c r="CZ219" i="1" a="1"/>
  <c r="CZ219" i="1" s="1"/>
  <c r="CZ221" i="1" a="1"/>
  <c r="CZ221" i="1" s="1"/>
  <c r="CZ223" i="1" a="1"/>
  <c r="CZ223" i="1" s="1"/>
  <c r="CZ225" i="1" a="1"/>
  <c r="CZ225" i="1" s="1"/>
  <c r="CZ227" i="1" a="1"/>
  <c r="CZ227" i="1" s="1"/>
  <c r="CZ229" i="1" a="1"/>
  <c r="CZ229" i="1" s="1"/>
  <c r="CZ231" i="1" a="1"/>
  <c r="CZ231" i="1" s="1"/>
  <c r="CZ233" i="1" a="1"/>
  <c r="CZ233" i="1" s="1"/>
  <c r="CZ235" i="1" a="1"/>
  <c r="CZ235" i="1" s="1"/>
  <c r="CZ237" i="1" a="1"/>
  <c r="CZ237" i="1" s="1"/>
  <c r="CZ239" i="1" a="1"/>
  <c r="CZ239" i="1" s="1"/>
  <c r="CZ241" i="1" a="1"/>
  <c r="CZ241" i="1" s="1"/>
  <c r="CZ243" i="1" a="1"/>
  <c r="CZ243" i="1" s="1"/>
  <c r="CZ245" i="1" a="1"/>
  <c r="CZ245" i="1" s="1"/>
  <c r="CZ140" i="1" a="1"/>
  <c r="CZ140" i="1" s="1"/>
  <c r="CZ145" i="1" a="1"/>
  <c r="CZ145" i="1" s="1"/>
  <c r="CZ196" i="1" a="1"/>
  <c r="CZ196" i="1" s="1"/>
  <c r="CZ198" i="1" a="1"/>
  <c r="CZ198" i="1" s="1"/>
  <c r="CZ170" i="1" a="1"/>
  <c r="CZ170" i="1" s="1"/>
  <c r="CZ176" i="1" a="1"/>
  <c r="CZ176" i="1" s="1"/>
  <c r="CZ183" i="1" a="1"/>
  <c r="CZ183" i="1" s="1"/>
  <c r="CZ188" i="1" a="1"/>
  <c r="CZ188" i="1" s="1"/>
  <c r="CZ190" i="1" a="1"/>
  <c r="CZ190" i="1" s="1"/>
  <c r="CZ193" i="1" a="1"/>
  <c r="CZ193" i="1" s="1"/>
  <c r="CZ200" i="1" a="1"/>
  <c r="CZ200" i="1" s="1"/>
  <c r="CZ202" i="1" a="1"/>
  <c r="CZ202" i="1" s="1"/>
  <c r="CZ204" i="1" a="1"/>
  <c r="CZ204" i="1" s="1"/>
  <c r="CZ206" i="1" a="1"/>
  <c r="CZ206" i="1" s="1"/>
  <c r="CZ208" i="1" a="1"/>
  <c r="CZ208" i="1" s="1"/>
  <c r="CZ210" i="1" a="1"/>
  <c r="CZ210" i="1" s="1"/>
  <c r="CZ212" i="1" a="1"/>
  <c r="CZ212" i="1" s="1"/>
  <c r="CZ214" i="1" a="1"/>
  <c r="CZ214" i="1" s="1"/>
  <c r="CZ216" i="1" a="1"/>
  <c r="CZ216" i="1" s="1"/>
  <c r="CZ218" i="1" a="1"/>
  <c r="CZ218" i="1" s="1"/>
  <c r="CZ220" i="1" a="1"/>
  <c r="CZ220" i="1" s="1"/>
  <c r="CZ222" i="1" a="1"/>
  <c r="CZ222" i="1" s="1"/>
  <c r="CZ224" i="1" a="1"/>
  <c r="CZ224" i="1" s="1"/>
  <c r="CZ226" i="1" a="1"/>
  <c r="CZ226" i="1" s="1"/>
  <c r="CZ228" i="1" a="1"/>
  <c r="CZ228" i="1" s="1"/>
  <c r="CZ230" i="1" a="1"/>
  <c r="CZ230" i="1" s="1"/>
  <c r="CZ232" i="1" a="1"/>
  <c r="CZ232" i="1" s="1"/>
  <c r="CZ234" i="1" a="1"/>
  <c r="CZ234" i="1" s="1"/>
  <c r="CZ236" i="1" a="1"/>
  <c r="CZ236" i="1" s="1"/>
  <c r="CZ238" i="1" a="1"/>
  <c r="CZ238" i="1" s="1"/>
  <c r="CZ240" i="1" a="1"/>
  <c r="CZ240" i="1" s="1"/>
  <c r="CZ242" i="1" a="1"/>
  <c r="CZ242" i="1" s="1"/>
  <c r="CZ244" i="1" a="1"/>
  <c r="CZ244" i="1" s="1"/>
  <c r="CZ174" i="1" a="1"/>
  <c r="CZ174" i="1" s="1"/>
  <c r="CZ195" i="1" a="1"/>
  <c r="CZ195" i="1" s="1"/>
  <c r="CZ249" i="1" a="1"/>
  <c r="CZ249" i="1" s="1"/>
  <c r="CZ254" i="1" a="1"/>
  <c r="CZ254" i="1" s="1"/>
  <c r="CZ256" i="1" a="1"/>
  <c r="CZ256" i="1" s="1"/>
  <c r="CZ259" i="1" a="1"/>
  <c r="CZ259" i="1" s="1"/>
  <c r="CZ261" i="1" a="1"/>
  <c r="CZ261" i="1" s="1"/>
  <c r="CZ264" i="1" a="1"/>
  <c r="CZ264" i="1" s="1"/>
  <c r="CZ267" i="1" a="1"/>
  <c r="CZ267" i="1" s="1"/>
  <c r="CZ269" i="1" a="1"/>
  <c r="CZ269" i="1" s="1"/>
  <c r="CZ272" i="1" a="1"/>
  <c r="CZ272" i="1" s="1"/>
  <c r="CZ275" i="1" a="1"/>
  <c r="CZ275" i="1" s="1"/>
  <c r="CZ277" i="1" a="1"/>
  <c r="CZ277" i="1" s="1"/>
  <c r="CZ278" i="1" a="1"/>
  <c r="CZ278" i="1" s="1"/>
  <c r="CZ282" i="1" a="1"/>
  <c r="CZ282" i="1" s="1"/>
  <c r="CZ283" i="1" a="1"/>
  <c r="CZ283" i="1" s="1"/>
  <c r="CZ285" i="1" a="1"/>
  <c r="CZ285" i="1" s="1"/>
  <c r="CZ181" i="1" a="1"/>
  <c r="CZ181" i="1" s="1"/>
  <c r="CZ246" i="1" a="1"/>
  <c r="CZ246" i="1" s="1"/>
  <c r="CZ248" i="1" a="1"/>
  <c r="CZ248" i="1" s="1"/>
  <c r="CZ251" i="1" a="1"/>
  <c r="CZ251" i="1" s="1"/>
  <c r="CZ253" i="1" a="1"/>
  <c r="CZ253" i="1" s="1"/>
  <c r="CZ266" i="1" a="1"/>
  <c r="CZ266" i="1" s="1"/>
  <c r="CZ281" i="1" a="1"/>
  <c r="CZ281" i="1" s="1"/>
  <c r="CZ288" i="1" a="1"/>
  <c r="CZ288" i="1" s="1"/>
  <c r="CZ290" i="1" a="1"/>
  <c r="CZ290" i="1" s="1"/>
  <c r="CZ292" i="1" a="1"/>
  <c r="CZ292" i="1" s="1"/>
  <c r="CZ294" i="1" a="1"/>
  <c r="CZ294" i="1" s="1"/>
  <c r="CZ168" i="1" a="1"/>
  <c r="CZ168" i="1" s="1"/>
  <c r="CZ199" i="1" a="1"/>
  <c r="CZ199" i="1" s="1"/>
  <c r="CZ247" i="1" a="1"/>
  <c r="CZ247" i="1" s="1"/>
  <c r="CZ255" i="1" a="1"/>
  <c r="CZ255" i="1" s="1"/>
  <c r="CZ257" i="1" a="1"/>
  <c r="CZ257" i="1" s="1"/>
  <c r="CZ258" i="1" a="1"/>
  <c r="CZ258" i="1" s="1"/>
  <c r="CZ260" i="1" a="1"/>
  <c r="CZ260" i="1" s="1"/>
  <c r="CZ263" i="1" a="1"/>
  <c r="CZ263" i="1" s="1"/>
  <c r="CZ265" i="1" a="1"/>
  <c r="CZ265" i="1" s="1"/>
  <c r="CZ271" i="1" a="1"/>
  <c r="CZ271" i="1" s="1"/>
  <c r="CZ273" i="1" a="1"/>
  <c r="CZ273" i="1" s="1"/>
  <c r="CZ274" i="1" a="1"/>
  <c r="CZ274" i="1" s="1"/>
  <c r="CZ276" i="1" a="1"/>
  <c r="CZ276" i="1" s="1"/>
  <c r="CZ279" i="1" a="1"/>
  <c r="CZ279" i="1" s="1"/>
  <c r="CZ284" i="1" a="1"/>
  <c r="CZ284" i="1" s="1"/>
  <c r="CZ286" i="1" a="1"/>
  <c r="CZ286" i="1" s="1"/>
  <c r="CZ197" i="1" a="1"/>
  <c r="CZ197" i="1" s="1"/>
  <c r="CZ252" i="1" a="1"/>
  <c r="CZ252" i="1" s="1"/>
  <c r="CZ268" i="1" a="1"/>
  <c r="CZ268" i="1" s="1"/>
  <c r="CZ293" i="1" a="1"/>
  <c r="CZ293" i="1" s="1"/>
  <c r="CZ300" i="1" a="1"/>
  <c r="CZ300" i="1" s="1"/>
  <c r="CZ302" i="1" a="1"/>
  <c r="CZ302" i="1" s="1"/>
  <c r="CZ304" i="1" a="1"/>
  <c r="CZ304" i="1" s="1"/>
  <c r="CZ306" i="1" a="1"/>
  <c r="CZ306" i="1" s="1"/>
  <c r="CZ308" i="1" a="1"/>
  <c r="CZ308" i="1" s="1"/>
  <c r="CZ310" i="1" a="1"/>
  <c r="CZ310" i="1" s="1"/>
  <c r="CZ312" i="1" a="1"/>
  <c r="CZ312" i="1" s="1"/>
  <c r="CZ313" i="1" a="1"/>
  <c r="CZ313" i="1" s="1"/>
  <c r="CZ314" i="1" a="1"/>
  <c r="CZ314" i="1" s="1"/>
  <c r="CZ315" i="1" a="1"/>
  <c r="CZ315" i="1" s="1"/>
  <c r="CZ330" i="1" a="1"/>
  <c r="CZ330" i="1" s="1"/>
  <c r="CZ331" i="1" a="1"/>
  <c r="CZ331" i="1" s="1"/>
  <c r="CZ336" i="1" a="1"/>
  <c r="CZ336" i="1" s="1"/>
  <c r="CZ337" i="1" a="1"/>
  <c r="CZ337" i="1" s="1"/>
  <c r="CZ338" i="1" a="1"/>
  <c r="CZ338" i="1" s="1"/>
  <c r="CZ339" i="1" a="1"/>
  <c r="CZ339" i="1" s="1"/>
  <c r="CZ250" i="1" a="1"/>
  <c r="CZ250" i="1" s="1"/>
  <c r="CZ270" i="1" a="1"/>
  <c r="CZ270" i="1" s="1"/>
  <c r="CZ280" i="1" a="1"/>
  <c r="CZ280" i="1" s="1"/>
  <c r="CZ291" i="1" a="1"/>
  <c r="CZ291" i="1" s="1"/>
  <c r="CZ296" i="1" a="1"/>
  <c r="CZ296" i="1" s="1"/>
  <c r="CZ317" i="1" a="1"/>
  <c r="CZ317" i="1" s="1"/>
  <c r="CZ319" i="1" a="1"/>
  <c r="CZ319" i="1" s="1"/>
  <c r="CZ321" i="1" a="1"/>
  <c r="CZ321" i="1" s="1"/>
  <c r="CZ323" i="1" a="1"/>
  <c r="CZ323" i="1" s="1"/>
  <c r="CZ325" i="1" a="1"/>
  <c r="CZ325" i="1" s="1"/>
  <c r="CZ327" i="1" a="1"/>
  <c r="CZ327" i="1" s="1"/>
  <c r="CZ347" i="1" a="1"/>
  <c r="CZ347" i="1" s="1"/>
  <c r="CZ349" i="1" a="1"/>
  <c r="CZ349" i="1" s="1"/>
  <c r="CZ262" i="1" a="1"/>
  <c r="CZ262" i="1" s="1"/>
  <c r="CZ289" i="1" a="1"/>
  <c r="CZ289" i="1" s="1"/>
  <c r="CZ297" i="1" a="1"/>
  <c r="CZ297" i="1" s="1"/>
  <c r="CZ299" i="1" a="1"/>
  <c r="CZ299" i="1" s="1"/>
  <c r="CZ301" i="1" a="1"/>
  <c r="CZ301" i="1" s="1"/>
  <c r="CZ303" i="1" a="1"/>
  <c r="CZ303" i="1" s="1"/>
  <c r="CZ305" i="1" a="1"/>
  <c r="CZ305" i="1" s="1"/>
  <c r="CZ307" i="1" a="1"/>
  <c r="CZ307" i="1" s="1"/>
  <c r="CZ309" i="1" a="1"/>
  <c r="CZ309" i="1" s="1"/>
  <c r="CZ311" i="1" a="1"/>
  <c r="CZ311" i="1" s="1"/>
  <c r="CZ333" i="1" a="1"/>
  <c r="CZ333" i="1" s="1"/>
  <c r="CZ341" i="1" a="1"/>
  <c r="CZ341" i="1" s="1"/>
  <c r="CZ192" i="1" a="1"/>
  <c r="CZ192" i="1" s="1"/>
  <c r="CZ316" i="1" a="1"/>
  <c r="CZ316" i="1" s="1"/>
  <c r="CZ324" i="1" a="1"/>
  <c r="CZ324" i="1" s="1"/>
  <c r="CZ329" i="1" a="1"/>
  <c r="CZ329" i="1" s="1"/>
  <c r="CZ334" i="1" a="1"/>
  <c r="CZ334" i="1" s="1"/>
  <c r="CZ343" i="1" a="1"/>
  <c r="CZ343" i="1" s="1"/>
  <c r="CZ350" i="1" a="1"/>
  <c r="CZ350" i="1" s="1"/>
  <c r="CZ423" i="1" a="1"/>
  <c r="CZ423" i="1" s="1"/>
  <c r="CZ427" i="1" a="1"/>
  <c r="CZ427" i="1" s="1"/>
  <c r="CZ428" i="1" a="1"/>
  <c r="CZ428" i="1" s="1"/>
  <c r="CZ430" i="1" a="1"/>
  <c r="CZ430" i="1" s="1"/>
  <c r="CZ433" i="1" a="1"/>
  <c r="CZ433" i="1" s="1"/>
  <c r="CZ434" i="1" a="1"/>
  <c r="CZ434" i="1" s="1"/>
  <c r="CZ295" i="1" a="1"/>
  <c r="CZ295" i="1" s="1"/>
  <c r="CZ322" i="1" a="1"/>
  <c r="CZ322" i="1" s="1"/>
  <c r="CZ335" i="1" a="1"/>
  <c r="CZ335" i="1" s="1"/>
  <c r="CZ342" i="1" a="1"/>
  <c r="CZ342" i="1" s="1"/>
  <c r="CZ344" i="1" a="1"/>
  <c r="CZ344" i="1" s="1"/>
  <c r="CZ345" i="1" a="1"/>
  <c r="CZ345" i="1" s="1"/>
  <c r="CZ353" i="1" a="1"/>
  <c r="CZ353" i="1" s="1"/>
  <c r="CZ354" i="1" a="1"/>
  <c r="CZ354" i="1" s="1"/>
  <c r="CZ355" i="1" a="1"/>
  <c r="CZ355" i="1" s="1"/>
  <c r="CZ356" i="1" a="1"/>
  <c r="CZ356" i="1" s="1"/>
  <c r="CZ357" i="1" a="1"/>
  <c r="CZ357" i="1" s="1"/>
  <c r="CZ358" i="1" a="1"/>
  <c r="CZ358" i="1" s="1"/>
  <c r="CZ359" i="1" a="1"/>
  <c r="CZ359" i="1" s="1"/>
  <c r="CZ360" i="1" a="1"/>
  <c r="CZ360" i="1" s="1"/>
  <c r="CZ361" i="1" a="1"/>
  <c r="CZ361" i="1" s="1"/>
  <c r="CZ362" i="1" a="1"/>
  <c r="CZ362" i="1" s="1"/>
  <c r="CZ363" i="1" a="1"/>
  <c r="CZ363" i="1" s="1"/>
  <c r="CZ364" i="1" a="1"/>
  <c r="CZ364" i="1" s="1"/>
  <c r="CZ365" i="1" a="1"/>
  <c r="CZ365" i="1" s="1"/>
  <c r="CZ366" i="1" a="1"/>
  <c r="CZ366" i="1" s="1"/>
  <c r="CZ367" i="1" a="1"/>
  <c r="CZ367" i="1" s="1"/>
  <c r="CZ368" i="1" a="1"/>
  <c r="CZ368" i="1" s="1"/>
  <c r="CZ369" i="1" a="1"/>
  <c r="CZ369" i="1" s="1"/>
  <c r="CZ370" i="1" a="1"/>
  <c r="CZ370" i="1" s="1"/>
  <c r="CZ371" i="1" a="1"/>
  <c r="CZ371" i="1" s="1"/>
  <c r="CZ372" i="1" a="1"/>
  <c r="CZ372" i="1" s="1"/>
  <c r="CZ373" i="1" a="1"/>
  <c r="CZ373" i="1" s="1"/>
  <c r="CZ374" i="1" a="1"/>
  <c r="CZ374" i="1" s="1"/>
  <c r="CZ375" i="1" a="1"/>
  <c r="CZ375" i="1" s="1"/>
  <c r="CZ376" i="1" a="1"/>
  <c r="CZ376" i="1" s="1"/>
  <c r="CZ377" i="1" a="1"/>
  <c r="CZ377" i="1" s="1"/>
  <c r="CZ378" i="1" a="1"/>
  <c r="CZ378" i="1" s="1"/>
  <c r="CZ379" i="1" a="1"/>
  <c r="CZ379" i="1" s="1"/>
  <c r="CZ380" i="1" a="1"/>
  <c r="CZ380" i="1" s="1"/>
  <c r="CZ381" i="1" a="1"/>
  <c r="CZ381" i="1" s="1"/>
  <c r="CZ382" i="1" a="1"/>
  <c r="CZ382" i="1" s="1"/>
  <c r="CZ383" i="1" a="1"/>
  <c r="CZ383" i="1" s="1"/>
  <c r="CZ384" i="1" a="1"/>
  <c r="CZ384" i="1" s="1"/>
  <c r="CZ385" i="1" a="1"/>
  <c r="CZ385" i="1" s="1"/>
  <c r="CZ386" i="1" a="1"/>
  <c r="CZ386" i="1" s="1"/>
  <c r="CZ387" i="1" a="1"/>
  <c r="CZ387" i="1" s="1"/>
  <c r="CZ388" i="1" a="1"/>
  <c r="CZ388" i="1" s="1"/>
  <c r="CZ389" i="1" a="1"/>
  <c r="CZ389" i="1" s="1"/>
  <c r="CZ390" i="1" a="1"/>
  <c r="CZ390" i="1" s="1"/>
  <c r="CZ391" i="1" a="1"/>
  <c r="CZ391" i="1" s="1"/>
  <c r="CZ392" i="1" a="1"/>
  <c r="CZ392" i="1" s="1"/>
  <c r="CZ393" i="1" a="1"/>
  <c r="CZ393" i="1" s="1"/>
  <c r="CZ394" i="1" a="1"/>
  <c r="CZ394" i="1" s="1"/>
  <c r="CZ395" i="1" a="1"/>
  <c r="CZ395" i="1" s="1"/>
  <c r="CZ396" i="1" a="1"/>
  <c r="CZ396" i="1" s="1"/>
  <c r="CZ397" i="1" a="1"/>
  <c r="CZ397" i="1" s="1"/>
  <c r="CZ398" i="1" a="1"/>
  <c r="CZ398" i="1" s="1"/>
  <c r="CZ399" i="1" a="1"/>
  <c r="CZ399" i="1" s="1"/>
  <c r="CZ400" i="1" a="1"/>
  <c r="CZ400" i="1" s="1"/>
  <c r="CZ401" i="1" a="1"/>
  <c r="CZ401" i="1" s="1"/>
  <c r="CZ402" i="1" a="1"/>
  <c r="CZ402" i="1" s="1"/>
  <c r="CZ403" i="1" a="1"/>
  <c r="CZ403" i="1" s="1"/>
  <c r="CZ404" i="1" a="1"/>
  <c r="CZ404" i="1" s="1"/>
  <c r="CZ405" i="1" a="1"/>
  <c r="CZ405" i="1" s="1"/>
  <c r="CZ406" i="1" a="1"/>
  <c r="CZ406" i="1" s="1"/>
  <c r="CZ407" i="1" a="1"/>
  <c r="CZ407" i="1" s="1"/>
  <c r="CZ408" i="1" a="1"/>
  <c r="CZ408" i="1" s="1"/>
  <c r="CZ409" i="1" a="1"/>
  <c r="CZ409" i="1" s="1"/>
  <c r="CZ410" i="1" a="1"/>
  <c r="CZ410" i="1" s="1"/>
  <c r="CZ411" i="1" a="1"/>
  <c r="CZ411" i="1" s="1"/>
  <c r="CZ412" i="1" a="1"/>
  <c r="CZ412" i="1" s="1"/>
  <c r="CZ413" i="1" a="1"/>
  <c r="CZ413" i="1" s="1"/>
  <c r="CZ414" i="1" a="1"/>
  <c r="CZ414" i="1" s="1"/>
  <c r="CZ415" i="1" a="1"/>
  <c r="CZ415" i="1" s="1"/>
  <c r="CZ416" i="1" a="1"/>
  <c r="CZ416" i="1" s="1"/>
  <c r="CZ417" i="1" a="1"/>
  <c r="CZ417" i="1" s="1"/>
  <c r="CZ418" i="1" a="1"/>
  <c r="CZ418" i="1" s="1"/>
  <c r="CZ421" i="1" a="1"/>
  <c r="CZ421" i="1" s="1"/>
  <c r="CZ425" i="1" a="1"/>
  <c r="CZ425" i="1" s="1"/>
  <c r="CZ426" i="1" a="1"/>
  <c r="CZ426" i="1" s="1"/>
  <c r="CZ435" i="1" a="1"/>
  <c r="CZ435" i="1" s="1"/>
  <c r="CZ436" i="1" a="1"/>
  <c r="CZ436" i="1" s="1"/>
  <c r="CZ320" i="1" a="1"/>
  <c r="CZ320" i="1" s="1"/>
  <c r="CZ332" i="1" a="1"/>
  <c r="CZ332" i="1" s="1"/>
  <c r="CZ340" i="1" a="1"/>
  <c r="CZ340" i="1" s="1"/>
  <c r="CZ346" i="1" a="1"/>
  <c r="CZ346" i="1" s="1"/>
  <c r="CZ352" i="1" a="1"/>
  <c r="CZ352" i="1" s="1"/>
  <c r="CZ419" i="1" a="1"/>
  <c r="CZ419" i="1" s="1"/>
  <c r="CZ420" i="1" a="1"/>
  <c r="CZ420" i="1" s="1"/>
  <c r="CZ422" i="1" a="1"/>
  <c r="CZ422" i="1" s="1"/>
  <c r="CZ424" i="1" a="1"/>
  <c r="CZ424" i="1" s="1"/>
  <c r="CZ431" i="1" a="1"/>
  <c r="CZ431" i="1" s="1"/>
  <c r="DM26" i="1" a="1"/>
  <c r="DM26" i="1" s="1"/>
  <c r="DM28" i="1" a="1"/>
  <c r="DM28" i="1" s="1"/>
  <c r="DM41" i="1" a="1"/>
  <c r="DM41" i="1" s="1"/>
  <c r="DM45" i="1" a="1"/>
  <c r="DM45" i="1" s="1"/>
  <c r="DM23" i="1" a="1"/>
  <c r="DM23" i="1" s="1"/>
  <c r="DM24" i="1" a="1"/>
  <c r="DM24" i="1" s="1"/>
  <c r="DM25" i="1" a="1"/>
  <c r="DM25" i="1" s="1"/>
  <c r="DM27" i="1" a="1"/>
  <c r="DM27" i="1" s="1"/>
  <c r="DM29" i="1" a="1"/>
  <c r="DM29" i="1" s="1"/>
  <c r="DM30" i="1" a="1"/>
  <c r="DM30" i="1" s="1"/>
  <c r="DM31" i="1" a="1"/>
  <c r="DM31" i="1" s="1"/>
  <c r="DM32" i="1" a="1"/>
  <c r="DM32" i="1" s="1"/>
  <c r="DM33" i="1" a="1"/>
  <c r="DM33" i="1" s="1"/>
  <c r="DM34" i="1" a="1"/>
  <c r="DM34" i="1" s="1"/>
  <c r="DM35" i="1" a="1"/>
  <c r="DM35" i="1" s="1"/>
  <c r="DM36" i="1" a="1"/>
  <c r="DM36" i="1" s="1"/>
  <c r="DM37" i="1" a="1"/>
  <c r="DM37" i="1" s="1"/>
  <c r="DM38" i="1" a="1"/>
  <c r="DM38" i="1" s="1"/>
  <c r="DM39" i="1" a="1"/>
  <c r="DM39" i="1" s="1"/>
  <c r="DM42" i="1" a="1"/>
  <c r="DM42" i="1" s="1"/>
  <c r="DM44" i="1" a="1"/>
  <c r="DM44" i="1" s="1"/>
  <c r="DM47" i="1" a="1"/>
  <c r="DM47" i="1" s="1"/>
  <c r="DM48" i="1" a="1"/>
  <c r="DM48" i="1" s="1"/>
  <c r="DM53" i="1" a="1"/>
  <c r="DM53" i="1" s="1"/>
  <c r="DM54" i="1" a="1"/>
  <c r="DM54" i="1" s="1"/>
  <c r="DM58" i="1" a="1"/>
  <c r="DM58" i="1" s="1"/>
  <c r="DM49" i="1" a="1"/>
  <c r="DM49" i="1" s="1"/>
  <c r="DM50" i="1" a="1"/>
  <c r="DM50" i="1" s="1"/>
  <c r="DM55" i="1" a="1"/>
  <c r="DM55" i="1" s="1"/>
  <c r="DM59" i="1" a="1"/>
  <c r="DM59" i="1" s="1"/>
  <c r="DM62" i="1" a="1"/>
  <c r="DM62" i="1" s="1"/>
  <c r="DM40" i="1" a="1"/>
  <c r="DM40" i="1" s="1"/>
  <c r="DM46" i="1" a="1"/>
  <c r="DM46" i="1" s="1"/>
  <c r="DM51" i="1" a="1"/>
  <c r="DM51" i="1" s="1"/>
  <c r="DM56" i="1" a="1"/>
  <c r="DM56" i="1" s="1"/>
  <c r="DM57" i="1" a="1"/>
  <c r="DM57" i="1" s="1"/>
  <c r="DM60" i="1" a="1"/>
  <c r="DM60" i="1" s="1"/>
  <c r="DM63" i="1" a="1"/>
  <c r="DM63" i="1" s="1"/>
  <c r="DM65" i="1" a="1"/>
  <c r="DM65" i="1" s="1"/>
  <c r="DM66" i="1" a="1"/>
  <c r="DM66" i="1" s="1"/>
  <c r="DM67" i="1" a="1"/>
  <c r="DM67" i="1" s="1"/>
  <c r="DM68" i="1" a="1"/>
  <c r="DM68" i="1" s="1"/>
  <c r="DM69" i="1" a="1"/>
  <c r="DM69" i="1" s="1"/>
  <c r="DM70" i="1" a="1"/>
  <c r="DM70" i="1" s="1"/>
  <c r="DM71" i="1" a="1"/>
  <c r="DM71" i="1" s="1"/>
  <c r="DM72" i="1" a="1"/>
  <c r="DM72" i="1" s="1"/>
  <c r="DM73" i="1" a="1"/>
  <c r="DM73" i="1" s="1"/>
  <c r="DM74" i="1" a="1"/>
  <c r="DM74" i="1" s="1"/>
  <c r="DM75" i="1" a="1"/>
  <c r="DM75" i="1" s="1"/>
  <c r="DM76" i="1" a="1"/>
  <c r="DM76" i="1" s="1"/>
  <c r="DM77" i="1" a="1"/>
  <c r="DM77" i="1" s="1"/>
  <c r="DM43" i="1" a="1"/>
  <c r="DM43" i="1" s="1"/>
  <c r="DM64" i="1" a="1"/>
  <c r="DM64" i="1" s="1"/>
  <c r="DM80" i="1" a="1"/>
  <c r="DM80" i="1" s="1"/>
  <c r="DM84" i="1" a="1"/>
  <c r="DM84" i="1" s="1"/>
  <c r="DM52" i="1" a="1"/>
  <c r="DM52" i="1" s="1"/>
  <c r="DM61" i="1" a="1"/>
  <c r="DM61" i="1" s="1"/>
  <c r="DM78" i="1" a="1"/>
  <c r="DM78" i="1" s="1"/>
  <c r="DM79" i="1" a="1"/>
  <c r="DM79" i="1" s="1"/>
  <c r="DM81" i="1" a="1"/>
  <c r="DM81" i="1" s="1"/>
  <c r="DM82" i="1" a="1"/>
  <c r="DM82" i="1" s="1"/>
  <c r="DM85" i="1" a="1"/>
  <c r="DM85" i="1" s="1"/>
  <c r="DM83" i="1" a="1"/>
  <c r="DM83" i="1" s="1"/>
  <c r="DM90" i="1" a="1"/>
  <c r="DM90" i="1" s="1"/>
  <c r="DM99" i="1" a="1"/>
  <c r="DM99" i="1" s="1"/>
  <c r="DM109" i="1" a="1"/>
  <c r="DM109" i="1" s="1"/>
  <c r="DM110" i="1" a="1"/>
  <c r="DM110" i="1" s="1"/>
  <c r="DM111" i="1" a="1"/>
  <c r="DM111" i="1" s="1"/>
  <c r="DM113" i="1" a="1"/>
  <c r="DM113" i="1" s="1"/>
  <c r="DM114" i="1" a="1"/>
  <c r="DM114" i="1" s="1"/>
  <c r="DM120" i="1" a="1"/>
  <c r="DM120" i="1" s="1"/>
  <c r="DM121" i="1" a="1"/>
  <c r="DM121" i="1" s="1"/>
  <c r="DM122" i="1" a="1"/>
  <c r="DM122" i="1" s="1"/>
  <c r="DM123" i="1" a="1"/>
  <c r="DM123" i="1" s="1"/>
  <c r="DM124" i="1" a="1"/>
  <c r="DM124" i="1" s="1"/>
  <c r="DM125" i="1" a="1"/>
  <c r="DM125" i="1" s="1"/>
  <c r="DM126" i="1" a="1"/>
  <c r="DM126" i="1" s="1"/>
  <c r="DM127" i="1" a="1"/>
  <c r="DM127" i="1" s="1"/>
  <c r="DM86" i="1" a="1"/>
  <c r="DM86" i="1" s="1"/>
  <c r="DM91" i="1" a="1"/>
  <c r="DM91" i="1" s="1"/>
  <c r="DM97" i="1" a="1"/>
  <c r="DM97" i="1" s="1"/>
  <c r="DM115" i="1" a="1"/>
  <c r="DM115" i="1" s="1"/>
  <c r="DM87" i="1" a="1"/>
  <c r="DM87" i="1" s="1"/>
  <c r="DM92" i="1" a="1"/>
  <c r="DM92" i="1" s="1"/>
  <c r="DM93" i="1" a="1"/>
  <c r="DM93" i="1" s="1"/>
  <c r="DM94" i="1" a="1"/>
  <c r="DM94" i="1" s="1"/>
  <c r="DM100" i="1" a="1"/>
  <c r="DM100" i="1" s="1"/>
  <c r="DM116" i="1" a="1"/>
  <c r="DM116" i="1" s="1"/>
  <c r="DM119" i="1" a="1"/>
  <c r="DM119" i="1" s="1"/>
  <c r="DM88" i="1" a="1"/>
  <c r="DM88" i="1" s="1"/>
  <c r="DM98" i="1" a="1"/>
  <c r="DM98" i="1" s="1"/>
  <c r="DM102" i="1" a="1"/>
  <c r="DM102" i="1" s="1"/>
  <c r="DM106" i="1" a="1"/>
  <c r="DM106" i="1" s="1"/>
  <c r="DM148" i="1" a="1"/>
  <c r="DM148" i="1" s="1"/>
  <c r="DM149" i="1" a="1"/>
  <c r="DM149" i="1" s="1"/>
  <c r="DM151" i="1" a="1"/>
  <c r="DM151" i="1" s="1"/>
  <c r="DM153" i="1" a="1"/>
  <c r="DM153" i="1" s="1"/>
  <c r="DM155" i="1" a="1"/>
  <c r="DM155" i="1" s="1"/>
  <c r="DM96" i="1" a="1"/>
  <c r="DM96" i="1" s="1"/>
  <c r="DM101" i="1" a="1"/>
  <c r="DM101" i="1" s="1"/>
  <c r="DM105" i="1" a="1"/>
  <c r="DM105" i="1" s="1"/>
  <c r="DM138" i="1" a="1"/>
  <c r="DM138" i="1" s="1"/>
  <c r="DM140" i="1" a="1"/>
  <c r="DM140" i="1" s="1"/>
  <c r="DM142" i="1" a="1"/>
  <c r="DM142" i="1" s="1"/>
  <c r="DM144" i="1" a="1"/>
  <c r="DM144" i="1" s="1"/>
  <c r="DM147" i="1" a="1"/>
  <c r="DM147" i="1" s="1"/>
  <c r="DM95" i="1" a="1"/>
  <c r="DM95" i="1" s="1"/>
  <c r="DM104" i="1" a="1"/>
  <c r="DM104" i="1" s="1"/>
  <c r="DM108" i="1" a="1"/>
  <c r="DM108" i="1" s="1"/>
  <c r="DM112" i="1" a="1"/>
  <c r="DM112" i="1" s="1"/>
  <c r="DM118" i="1" a="1"/>
  <c r="DM118" i="1" s="1"/>
  <c r="DM128" i="1" a="1"/>
  <c r="DM128" i="1" s="1"/>
  <c r="DM145" i="1" a="1"/>
  <c r="DM145" i="1" s="1"/>
  <c r="DM150" i="1" a="1"/>
  <c r="DM150" i="1" s="1"/>
  <c r="DM152" i="1" a="1"/>
  <c r="DM152" i="1" s="1"/>
  <c r="DM154" i="1" a="1"/>
  <c r="DM154" i="1" s="1"/>
  <c r="DM156" i="1" a="1"/>
  <c r="DM156" i="1" s="1"/>
  <c r="DM158" i="1" a="1"/>
  <c r="DM158" i="1" s="1"/>
  <c r="DM89" i="1" a="1"/>
  <c r="DM89" i="1" s="1"/>
  <c r="DM131" i="1" a="1"/>
  <c r="DM131" i="1" s="1"/>
  <c r="DM135" i="1" a="1"/>
  <c r="DM135" i="1" s="1"/>
  <c r="DM146" i="1" a="1"/>
  <c r="DM146" i="1" s="1"/>
  <c r="DM160" i="1" a="1"/>
  <c r="DM160" i="1" s="1"/>
  <c r="DM162" i="1" a="1"/>
  <c r="DM162" i="1" s="1"/>
  <c r="DM164" i="1" a="1"/>
  <c r="DM164" i="1" s="1"/>
  <c r="DM166" i="1" a="1"/>
  <c r="DM166" i="1" s="1"/>
  <c r="DM172" i="1" a="1"/>
  <c r="DM172" i="1" s="1"/>
  <c r="DM177" i="1" a="1"/>
  <c r="DM177" i="1" s="1"/>
  <c r="DM179" i="1" a="1"/>
  <c r="DM179" i="1" s="1"/>
  <c r="DM184" i="1" a="1"/>
  <c r="DM184" i="1" s="1"/>
  <c r="DM103" i="1" a="1"/>
  <c r="DM103" i="1" s="1"/>
  <c r="DM107" i="1" a="1"/>
  <c r="DM107" i="1" s="1"/>
  <c r="DM130" i="1" a="1"/>
  <c r="DM130" i="1" s="1"/>
  <c r="DM134" i="1" a="1"/>
  <c r="DM134" i="1" s="1"/>
  <c r="DM141" i="1" a="1"/>
  <c r="DM141" i="1" s="1"/>
  <c r="DM159" i="1" a="1"/>
  <c r="DM159" i="1" s="1"/>
  <c r="DM168" i="1" a="1"/>
  <c r="DM168" i="1" s="1"/>
  <c r="DM171" i="1" a="1"/>
  <c r="DM171" i="1" s="1"/>
  <c r="DM174" i="1" a="1"/>
  <c r="DM174" i="1" s="1"/>
  <c r="DM181" i="1" a="1"/>
  <c r="DM181" i="1" s="1"/>
  <c r="DM183" i="1" a="1"/>
  <c r="DM183" i="1" s="1"/>
  <c r="DM117" i="1" a="1"/>
  <c r="DM117" i="1" s="1"/>
  <c r="DM129" i="1" a="1"/>
  <c r="DM129" i="1" s="1"/>
  <c r="DM133" i="1" a="1"/>
  <c r="DM133" i="1" s="1"/>
  <c r="DM139" i="1" a="1"/>
  <c r="DM139" i="1" s="1"/>
  <c r="DM157" i="1" a="1"/>
  <c r="DM157" i="1" s="1"/>
  <c r="DM161" i="1" a="1"/>
  <c r="DM161" i="1" s="1"/>
  <c r="DM163" i="1" a="1"/>
  <c r="DM163" i="1" s="1"/>
  <c r="DM165" i="1" a="1"/>
  <c r="DM165" i="1" s="1"/>
  <c r="DM170" i="1" a="1"/>
  <c r="DM170" i="1" s="1"/>
  <c r="DM173" i="1" a="1"/>
  <c r="DM173" i="1" s="1"/>
  <c r="DM176" i="1" a="1"/>
  <c r="DM176" i="1" s="1"/>
  <c r="DM178" i="1" a="1"/>
  <c r="DM178" i="1" s="1"/>
  <c r="DM185" i="1" a="1"/>
  <c r="DM185" i="1" s="1"/>
  <c r="DM187" i="1" a="1"/>
  <c r="DM187" i="1" s="1"/>
  <c r="DM132" i="1" a="1"/>
  <c r="DM132" i="1" s="1"/>
  <c r="DM136" i="1" a="1"/>
  <c r="DM136" i="1" s="1"/>
  <c r="DM188" i="1" a="1"/>
  <c r="DM188" i="1" s="1"/>
  <c r="DM190" i="1" a="1"/>
  <c r="DM190" i="1" s="1"/>
  <c r="DM193" i="1" a="1"/>
  <c r="DM193" i="1" s="1"/>
  <c r="DM200" i="1" a="1"/>
  <c r="DM200" i="1" s="1"/>
  <c r="DM202" i="1" a="1"/>
  <c r="DM202" i="1" s="1"/>
  <c r="DM204" i="1" a="1"/>
  <c r="DM204" i="1" s="1"/>
  <c r="DM206" i="1" a="1"/>
  <c r="DM206" i="1" s="1"/>
  <c r="DM208" i="1" a="1"/>
  <c r="DM208" i="1" s="1"/>
  <c r="DM210" i="1" a="1"/>
  <c r="DM210" i="1" s="1"/>
  <c r="DM212" i="1" a="1"/>
  <c r="DM212" i="1" s="1"/>
  <c r="DM214" i="1" a="1"/>
  <c r="DM214" i="1" s="1"/>
  <c r="DM216" i="1" a="1"/>
  <c r="DM216" i="1" s="1"/>
  <c r="DM218" i="1" a="1"/>
  <c r="DM218" i="1" s="1"/>
  <c r="DM220" i="1" a="1"/>
  <c r="DM220" i="1" s="1"/>
  <c r="DM222" i="1" a="1"/>
  <c r="DM222" i="1" s="1"/>
  <c r="DM224" i="1" a="1"/>
  <c r="DM224" i="1" s="1"/>
  <c r="DM226" i="1" a="1"/>
  <c r="DM226" i="1" s="1"/>
  <c r="DM228" i="1" a="1"/>
  <c r="DM228" i="1" s="1"/>
  <c r="DM230" i="1" a="1"/>
  <c r="DM230" i="1" s="1"/>
  <c r="DM232" i="1" a="1"/>
  <c r="DM232" i="1" s="1"/>
  <c r="DM234" i="1" a="1"/>
  <c r="DM234" i="1" s="1"/>
  <c r="DM236" i="1" a="1"/>
  <c r="DM236" i="1" s="1"/>
  <c r="DM238" i="1" a="1"/>
  <c r="DM238" i="1" s="1"/>
  <c r="DM240" i="1" a="1"/>
  <c r="DM240" i="1" s="1"/>
  <c r="DM242" i="1" a="1"/>
  <c r="DM242" i="1" s="1"/>
  <c r="DM244" i="1" a="1"/>
  <c r="DM244" i="1" s="1"/>
  <c r="DM137" i="1" a="1"/>
  <c r="DM137" i="1" s="1"/>
  <c r="DM143" i="1" a="1"/>
  <c r="DM143" i="1" s="1"/>
  <c r="DM169" i="1" a="1"/>
  <c r="DM169" i="1" s="1"/>
  <c r="DM175" i="1" a="1"/>
  <c r="DM175" i="1" s="1"/>
  <c r="DM182" i="1" a="1"/>
  <c r="DM182" i="1" s="1"/>
  <c r="DM195" i="1" a="1"/>
  <c r="DM195" i="1" s="1"/>
  <c r="DM197" i="1" a="1"/>
  <c r="DM197" i="1" s="1"/>
  <c r="DM199" i="1" a="1"/>
  <c r="DM199" i="1" s="1"/>
  <c r="DM167" i="1" a="1"/>
  <c r="DM167" i="1" s="1"/>
  <c r="DM180" i="1" a="1"/>
  <c r="DM180" i="1" s="1"/>
  <c r="DM186" i="1" a="1"/>
  <c r="DM186" i="1" s="1"/>
  <c r="DM189" i="1" a="1"/>
  <c r="DM189" i="1" s="1"/>
  <c r="DM191" i="1" a="1"/>
  <c r="DM191" i="1" s="1"/>
  <c r="DM192" i="1" a="1"/>
  <c r="DM192" i="1" s="1"/>
  <c r="DM194" i="1" a="1"/>
  <c r="DM194" i="1" s="1"/>
  <c r="DM201" i="1" a="1"/>
  <c r="DM201" i="1" s="1"/>
  <c r="DM203" i="1" a="1"/>
  <c r="DM203" i="1" s="1"/>
  <c r="DM205" i="1" a="1"/>
  <c r="DM205" i="1" s="1"/>
  <c r="DM207" i="1" a="1"/>
  <c r="DM207" i="1" s="1"/>
  <c r="DM209" i="1" a="1"/>
  <c r="DM209" i="1" s="1"/>
  <c r="DM211" i="1" a="1"/>
  <c r="DM211" i="1" s="1"/>
  <c r="DM213" i="1" a="1"/>
  <c r="DM213" i="1" s="1"/>
  <c r="DM215" i="1" a="1"/>
  <c r="DM215" i="1" s="1"/>
  <c r="DM217" i="1" a="1"/>
  <c r="DM217" i="1" s="1"/>
  <c r="DM219" i="1" a="1"/>
  <c r="DM219" i="1" s="1"/>
  <c r="DM221" i="1" a="1"/>
  <c r="DM221" i="1" s="1"/>
  <c r="DM223" i="1" a="1"/>
  <c r="DM223" i="1" s="1"/>
  <c r="DM225" i="1" a="1"/>
  <c r="DM225" i="1" s="1"/>
  <c r="DM227" i="1" a="1"/>
  <c r="DM227" i="1" s="1"/>
  <c r="DM229" i="1" a="1"/>
  <c r="DM229" i="1" s="1"/>
  <c r="DM231" i="1" a="1"/>
  <c r="DM231" i="1" s="1"/>
  <c r="DM233" i="1" a="1"/>
  <c r="DM233" i="1" s="1"/>
  <c r="DM235" i="1" a="1"/>
  <c r="DM235" i="1" s="1"/>
  <c r="DM237" i="1" a="1"/>
  <c r="DM237" i="1" s="1"/>
  <c r="DM239" i="1" a="1"/>
  <c r="DM239" i="1" s="1"/>
  <c r="DM241" i="1" a="1"/>
  <c r="DM241" i="1" s="1"/>
  <c r="DM243" i="1" a="1"/>
  <c r="DM243" i="1" s="1"/>
  <c r="DM246" i="1" a="1"/>
  <c r="DM246" i="1" s="1"/>
  <c r="DM248" i="1" a="1"/>
  <c r="DM248" i="1" s="1"/>
  <c r="DM255" i="1" a="1"/>
  <c r="DM255" i="1" s="1"/>
  <c r="DM258" i="1" a="1"/>
  <c r="DM258" i="1" s="1"/>
  <c r="DM260" i="1" a="1"/>
  <c r="DM260" i="1" s="1"/>
  <c r="DM263" i="1" a="1"/>
  <c r="DM263" i="1" s="1"/>
  <c r="DM265" i="1" a="1"/>
  <c r="DM265" i="1" s="1"/>
  <c r="DM266" i="1" a="1"/>
  <c r="DM266" i="1" s="1"/>
  <c r="DM268" i="1" a="1"/>
  <c r="DM268" i="1" s="1"/>
  <c r="DM271" i="1" a="1"/>
  <c r="DM271" i="1" s="1"/>
  <c r="DM274" i="1" a="1"/>
  <c r="DM274" i="1" s="1"/>
  <c r="DM276" i="1" a="1"/>
  <c r="DM276" i="1" s="1"/>
  <c r="DM284" i="1" a="1"/>
  <c r="DM284" i="1" s="1"/>
  <c r="DM198" i="1" a="1"/>
  <c r="DM198" i="1" s="1"/>
  <c r="DM250" i="1" a="1"/>
  <c r="DM250" i="1" s="1"/>
  <c r="DM252" i="1" a="1"/>
  <c r="DM252" i="1" s="1"/>
  <c r="DM257" i="1" a="1"/>
  <c r="DM257" i="1" s="1"/>
  <c r="DM273" i="1" a="1"/>
  <c r="DM273" i="1" s="1"/>
  <c r="DM279" i="1" a="1"/>
  <c r="DM279" i="1" s="1"/>
  <c r="DM280" i="1" a="1"/>
  <c r="DM280" i="1" s="1"/>
  <c r="DM287" i="1" a="1"/>
  <c r="DM287" i="1" s="1"/>
  <c r="DM289" i="1" a="1"/>
  <c r="DM289" i="1" s="1"/>
  <c r="DM291" i="1" a="1"/>
  <c r="DM291" i="1" s="1"/>
  <c r="DM293" i="1" a="1"/>
  <c r="DM293" i="1" s="1"/>
  <c r="DM196" i="1" a="1"/>
  <c r="DM196" i="1" s="1"/>
  <c r="DM245" i="1" a="1"/>
  <c r="DM245" i="1" s="1"/>
  <c r="DM247" i="1" a="1"/>
  <c r="DM247" i="1" s="1"/>
  <c r="DM249" i="1" a="1"/>
  <c r="DM249" i="1" s="1"/>
  <c r="DM254" i="1" a="1"/>
  <c r="DM254" i="1" s="1"/>
  <c r="DM256" i="1" a="1"/>
  <c r="DM256" i="1" s="1"/>
  <c r="DM259" i="1" a="1"/>
  <c r="DM259" i="1" s="1"/>
  <c r="DM261" i="1" a="1"/>
  <c r="DM261" i="1" s="1"/>
  <c r="DM262" i="1" a="1"/>
  <c r="DM262" i="1" s="1"/>
  <c r="DM264" i="1" a="1"/>
  <c r="DM264" i="1" s="1"/>
  <c r="DM267" i="1" a="1"/>
  <c r="DM267" i="1" s="1"/>
  <c r="DM269" i="1" a="1"/>
  <c r="DM269" i="1" s="1"/>
  <c r="DM270" i="1" a="1"/>
  <c r="DM270" i="1" s="1"/>
  <c r="DM272" i="1" a="1"/>
  <c r="DM272" i="1" s="1"/>
  <c r="DM275" i="1" a="1"/>
  <c r="DM275" i="1" s="1"/>
  <c r="DM278" i="1" a="1"/>
  <c r="DM278" i="1" s="1"/>
  <c r="DM283" i="1" a="1"/>
  <c r="DM283" i="1" s="1"/>
  <c r="DM282" i="1" a="1"/>
  <c r="DM282" i="1" s="1"/>
  <c r="DM290" i="1" a="1"/>
  <c r="DM290" i="1" s="1"/>
  <c r="DM294" i="1" a="1"/>
  <c r="DM294" i="1" s="1"/>
  <c r="DM295" i="1" a="1"/>
  <c r="DM295" i="1" s="1"/>
  <c r="DM296" i="1" a="1"/>
  <c r="DM296" i="1" s="1"/>
  <c r="DM299" i="1" a="1"/>
  <c r="DM299" i="1" s="1"/>
  <c r="DM301" i="1" a="1"/>
  <c r="DM301" i="1" s="1"/>
  <c r="DM303" i="1" a="1"/>
  <c r="DM303" i="1" s="1"/>
  <c r="DM305" i="1" a="1"/>
  <c r="DM305" i="1" s="1"/>
  <c r="DM307" i="1" a="1"/>
  <c r="DM307" i="1" s="1"/>
  <c r="DM309" i="1" a="1"/>
  <c r="DM309" i="1" s="1"/>
  <c r="DM327" i="1" a="1"/>
  <c r="DM327" i="1" s="1"/>
  <c r="DM328" i="1" a="1"/>
  <c r="DM328" i="1" s="1"/>
  <c r="DM329" i="1" a="1"/>
  <c r="DM329" i="1" s="1"/>
  <c r="DM333" i="1" a="1"/>
  <c r="DM333" i="1" s="1"/>
  <c r="DM334" i="1" a="1"/>
  <c r="DM334" i="1" s="1"/>
  <c r="DM335" i="1" a="1"/>
  <c r="DM335" i="1" s="1"/>
  <c r="DM277" i="1" a="1"/>
  <c r="DM277" i="1" s="1"/>
  <c r="DM285" i="1" a="1"/>
  <c r="DM285" i="1" s="1"/>
  <c r="DM288" i="1" a="1"/>
  <c r="DM288" i="1" s="1"/>
  <c r="DM311" i="1" a="1"/>
  <c r="DM311" i="1" s="1"/>
  <c r="DM312" i="1" a="1"/>
  <c r="DM312" i="1" s="1"/>
  <c r="DM313" i="1" a="1"/>
  <c r="DM313" i="1" s="1"/>
  <c r="DM314" i="1" a="1"/>
  <c r="DM314" i="1" s="1"/>
  <c r="DM315" i="1" a="1"/>
  <c r="DM315" i="1" s="1"/>
  <c r="DM316" i="1" a="1"/>
  <c r="DM316" i="1" s="1"/>
  <c r="DM318" i="1" a="1"/>
  <c r="DM318" i="1" s="1"/>
  <c r="DM320" i="1" a="1"/>
  <c r="DM320" i="1" s="1"/>
  <c r="DM322" i="1" a="1"/>
  <c r="DM322" i="1" s="1"/>
  <c r="DM324" i="1" a="1"/>
  <c r="DM324" i="1" s="1"/>
  <c r="DM326" i="1" a="1"/>
  <c r="DM326" i="1" s="1"/>
  <c r="DM330" i="1" a="1"/>
  <c r="DM330" i="1" s="1"/>
  <c r="DM331" i="1" a="1"/>
  <c r="DM331" i="1" s="1"/>
  <c r="DM336" i="1" a="1"/>
  <c r="DM336" i="1" s="1"/>
  <c r="DM338" i="1" a="1"/>
  <c r="DM338" i="1" s="1"/>
  <c r="DM339" i="1" a="1"/>
  <c r="DM339" i="1" s="1"/>
  <c r="DM344" i="1" a="1"/>
  <c r="DM344" i="1" s="1"/>
  <c r="DM346" i="1" a="1"/>
  <c r="DM346" i="1" s="1"/>
  <c r="DM348" i="1" a="1"/>
  <c r="DM348" i="1" s="1"/>
  <c r="DM253" i="1" a="1"/>
  <c r="DM253" i="1" s="1"/>
  <c r="DM286" i="1" a="1"/>
  <c r="DM286" i="1" s="1"/>
  <c r="DM297" i="1" a="1"/>
  <c r="DM297" i="1" s="1"/>
  <c r="DM298" i="1" a="1"/>
  <c r="DM298" i="1" s="1"/>
  <c r="DM300" i="1" a="1"/>
  <c r="DM300" i="1" s="1"/>
  <c r="DM302" i="1" a="1"/>
  <c r="DM302" i="1" s="1"/>
  <c r="DM304" i="1" a="1"/>
  <c r="DM304" i="1" s="1"/>
  <c r="DM306" i="1" a="1"/>
  <c r="DM306" i="1" s="1"/>
  <c r="DM308" i="1" a="1"/>
  <c r="DM308" i="1" s="1"/>
  <c r="DM310" i="1" a="1"/>
  <c r="DM310" i="1" s="1"/>
  <c r="DM332" i="1" a="1"/>
  <c r="DM332" i="1" s="1"/>
  <c r="DM340" i="1" a="1"/>
  <c r="DM340" i="1" s="1"/>
  <c r="DM292" i="1" a="1"/>
  <c r="DM292" i="1" s="1"/>
  <c r="DM321" i="1" a="1"/>
  <c r="DM321" i="1" s="1"/>
  <c r="DM337" i="1" a="1"/>
  <c r="DM337" i="1" s="1"/>
  <c r="DM341" i="1" a="1"/>
  <c r="DM341" i="1" s="1"/>
  <c r="DM342" i="1" a="1"/>
  <c r="DM342" i="1" s="1"/>
  <c r="DM349" i="1" a="1"/>
  <c r="DM349" i="1" s="1"/>
  <c r="DM422" i="1" a="1"/>
  <c r="DM422" i="1" s="1"/>
  <c r="DM426" i="1" a="1"/>
  <c r="DM426" i="1" s="1"/>
  <c r="DM429" i="1" a="1"/>
  <c r="DM429" i="1" s="1"/>
  <c r="DM431" i="1" a="1"/>
  <c r="DM431" i="1" s="1"/>
  <c r="DM432" i="1" a="1"/>
  <c r="DM432" i="1" s="1"/>
  <c r="DM251" i="1" a="1"/>
  <c r="DM251" i="1" s="1"/>
  <c r="DM281" i="1" a="1"/>
  <c r="DM281" i="1" s="1"/>
  <c r="DM319" i="1" a="1"/>
  <c r="DM319" i="1" s="1"/>
  <c r="DM352" i="1" a="1"/>
  <c r="DM352" i="1" s="1"/>
  <c r="DM420" i="1" a="1"/>
  <c r="DM420" i="1" s="1"/>
  <c r="DM424" i="1" a="1"/>
  <c r="DM424" i="1" s="1"/>
  <c r="DM427" i="1" a="1"/>
  <c r="DM427" i="1" s="1"/>
  <c r="DM430" i="1" a="1"/>
  <c r="DM430" i="1" s="1"/>
  <c r="DM433" i="1" a="1"/>
  <c r="DM433" i="1" s="1"/>
  <c r="DM438" i="1" a="1"/>
  <c r="DM438" i="1" s="1"/>
  <c r="DM317" i="1" a="1"/>
  <c r="DM317" i="1" s="1"/>
  <c r="DM325" i="1" a="1"/>
  <c r="DM325" i="1" s="1"/>
  <c r="DM345" i="1" a="1"/>
  <c r="DM345" i="1" s="1"/>
  <c r="DM351" i="1" a="1"/>
  <c r="DM351" i="1" s="1"/>
  <c r="DM353" i="1" a="1"/>
  <c r="DM353" i="1" s="1"/>
  <c r="DM354" i="1" a="1"/>
  <c r="DM354" i="1" s="1"/>
  <c r="DM355" i="1" a="1"/>
  <c r="DM355" i="1" s="1"/>
  <c r="DM356" i="1" a="1"/>
  <c r="DM356" i="1" s="1"/>
  <c r="DM357" i="1" a="1"/>
  <c r="DM357" i="1" s="1"/>
  <c r="DM358" i="1" a="1"/>
  <c r="DM358" i="1" s="1"/>
  <c r="DM359" i="1" a="1"/>
  <c r="DM359" i="1" s="1"/>
  <c r="DM360" i="1" a="1"/>
  <c r="DM360" i="1" s="1"/>
  <c r="DM361" i="1" a="1"/>
  <c r="DM361" i="1" s="1"/>
  <c r="DM362" i="1" a="1"/>
  <c r="DM362" i="1" s="1"/>
  <c r="DM363" i="1" a="1"/>
  <c r="DM363" i="1" s="1"/>
  <c r="DM364" i="1" a="1"/>
  <c r="DM364" i="1" s="1"/>
  <c r="DM365" i="1" a="1"/>
  <c r="DM365" i="1" s="1"/>
  <c r="DM366" i="1" a="1"/>
  <c r="DM366" i="1" s="1"/>
  <c r="DM367" i="1" a="1"/>
  <c r="DM367" i="1" s="1"/>
  <c r="DM368" i="1" a="1"/>
  <c r="DM368" i="1" s="1"/>
  <c r="DM369" i="1" a="1"/>
  <c r="DM369" i="1" s="1"/>
  <c r="DM370" i="1" a="1"/>
  <c r="DM370" i="1" s="1"/>
  <c r="DM371" i="1" a="1"/>
  <c r="DM371" i="1" s="1"/>
  <c r="DM372" i="1" a="1"/>
  <c r="DM372" i="1" s="1"/>
  <c r="DM373" i="1" a="1"/>
  <c r="DM373" i="1" s="1"/>
  <c r="DM374" i="1" a="1"/>
  <c r="DM374" i="1" s="1"/>
  <c r="DM375" i="1" a="1"/>
  <c r="DM375" i="1" s="1"/>
  <c r="DM376" i="1" a="1"/>
  <c r="DM376" i="1" s="1"/>
  <c r="DM377" i="1" a="1"/>
  <c r="DM377" i="1" s="1"/>
  <c r="DM378" i="1" a="1"/>
  <c r="DM378" i="1" s="1"/>
  <c r="DM379" i="1" a="1"/>
  <c r="DM379" i="1" s="1"/>
  <c r="DM380" i="1" a="1"/>
  <c r="DM380" i="1" s="1"/>
  <c r="DM381" i="1" a="1"/>
  <c r="DM381" i="1" s="1"/>
  <c r="DM382" i="1" a="1"/>
  <c r="DM382" i="1" s="1"/>
  <c r="DM383" i="1" a="1"/>
  <c r="DM383" i="1" s="1"/>
  <c r="DM384" i="1" a="1"/>
  <c r="DM384" i="1" s="1"/>
  <c r="DM385" i="1" a="1"/>
  <c r="DM385" i="1" s="1"/>
  <c r="DM386" i="1" a="1"/>
  <c r="DM386" i="1" s="1"/>
  <c r="DM387" i="1" a="1"/>
  <c r="DM387" i="1" s="1"/>
  <c r="DM388" i="1" a="1"/>
  <c r="DM388" i="1" s="1"/>
  <c r="DM389" i="1" a="1"/>
  <c r="DM389" i="1" s="1"/>
  <c r="DM390" i="1" a="1"/>
  <c r="DM390" i="1" s="1"/>
  <c r="DM391" i="1" a="1"/>
  <c r="DM391" i="1" s="1"/>
  <c r="DM392" i="1" a="1"/>
  <c r="DM392" i="1" s="1"/>
  <c r="DM393" i="1" a="1"/>
  <c r="DM393" i="1" s="1"/>
  <c r="DM394" i="1" a="1"/>
  <c r="DM394" i="1" s="1"/>
  <c r="DM395" i="1" a="1"/>
  <c r="DM395" i="1" s="1"/>
  <c r="DM396" i="1" a="1"/>
  <c r="DM396" i="1" s="1"/>
  <c r="DM397" i="1" a="1"/>
  <c r="DM397" i="1" s="1"/>
  <c r="DM398" i="1" a="1"/>
  <c r="DM398" i="1" s="1"/>
  <c r="DM399" i="1" a="1"/>
  <c r="DM399" i="1" s="1"/>
  <c r="DM400" i="1" a="1"/>
  <c r="DM400" i="1" s="1"/>
  <c r="DM401" i="1" a="1"/>
  <c r="DM401" i="1" s="1"/>
  <c r="DM402" i="1" a="1"/>
  <c r="DM402" i="1" s="1"/>
  <c r="DM403" i="1" a="1"/>
  <c r="DM403" i="1" s="1"/>
  <c r="DM404" i="1" a="1"/>
  <c r="DM404" i="1" s="1"/>
  <c r="DM405" i="1" a="1"/>
  <c r="DM405" i="1" s="1"/>
  <c r="DM406" i="1" a="1"/>
  <c r="DM406" i="1" s="1"/>
  <c r="DM407" i="1" a="1"/>
  <c r="DM407" i="1" s="1"/>
  <c r="DM408" i="1" a="1"/>
  <c r="DM408" i="1" s="1"/>
  <c r="DM409" i="1" a="1"/>
  <c r="DM409" i="1" s="1"/>
  <c r="DM410" i="1" a="1"/>
  <c r="DM410" i="1" s="1"/>
  <c r="DM411" i="1" a="1"/>
  <c r="DM411" i="1" s="1"/>
  <c r="DM412" i="1" a="1"/>
  <c r="DM412" i="1" s="1"/>
  <c r="DM413" i="1" a="1"/>
  <c r="DM413" i="1" s="1"/>
  <c r="DM414" i="1" a="1"/>
  <c r="DM414" i="1" s="1"/>
  <c r="DM415" i="1" a="1"/>
  <c r="DM415" i="1" s="1"/>
  <c r="DM416" i="1" a="1"/>
  <c r="DM416" i="1" s="1"/>
  <c r="DM417" i="1" a="1"/>
  <c r="DM417" i="1" s="1"/>
  <c r="DM418" i="1" a="1"/>
  <c r="DM418" i="1" s="1"/>
  <c r="DM421" i="1" a="1"/>
  <c r="DM421" i="1" s="1"/>
  <c r="DM423" i="1" a="1"/>
  <c r="DM423" i="1" s="1"/>
  <c r="DM425" i="1" a="1"/>
  <c r="DM425" i="1" s="1"/>
  <c r="DM434" i="1" a="1"/>
  <c r="DM434" i="1" s="1"/>
  <c r="DM435" i="1" a="1"/>
  <c r="DM435" i="1" s="1"/>
  <c r="CW26" i="1" a="1"/>
  <c r="CW26" i="1" s="1"/>
  <c r="CW27" i="1" a="1"/>
  <c r="CW27" i="1" s="1"/>
  <c r="CW28" i="1" a="1"/>
  <c r="CW28" i="1" s="1"/>
  <c r="CW41" i="1" a="1"/>
  <c r="CW41" i="1" s="1"/>
  <c r="CW44" i="1" a="1"/>
  <c r="CW44" i="1" s="1"/>
  <c r="CW46" i="1" a="1"/>
  <c r="CW46" i="1" s="1"/>
  <c r="CW23" i="1" a="1"/>
  <c r="CW23" i="1" s="1"/>
  <c r="CW24" i="1" a="1"/>
  <c r="CW24" i="1" s="1"/>
  <c r="CW25" i="1" a="1"/>
  <c r="CW25" i="1" s="1"/>
  <c r="CW29" i="1" a="1"/>
  <c r="CW29" i="1" s="1"/>
  <c r="CW30" i="1" a="1"/>
  <c r="CW30" i="1" s="1"/>
  <c r="CW31" i="1" a="1"/>
  <c r="CW31" i="1" s="1"/>
  <c r="CW32" i="1" a="1"/>
  <c r="CW32" i="1" s="1"/>
  <c r="CW33" i="1" a="1"/>
  <c r="CW33" i="1" s="1"/>
  <c r="CW34" i="1" a="1"/>
  <c r="CW34" i="1" s="1"/>
  <c r="CW35" i="1" a="1"/>
  <c r="CW35" i="1" s="1"/>
  <c r="CW36" i="1" a="1"/>
  <c r="CW36" i="1" s="1"/>
  <c r="CW37" i="1" a="1"/>
  <c r="CW37" i="1" s="1"/>
  <c r="CW38" i="1" a="1"/>
  <c r="CW38" i="1" s="1"/>
  <c r="CW39" i="1" a="1"/>
  <c r="CW39" i="1" s="1"/>
  <c r="CW40" i="1" a="1"/>
  <c r="CW40" i="1" s="1"/>
  <c r="CW42" i="1" a="1"/>
  <c r="CW42" i="1" s="1"/>
  <c r="CW43" i="1" a="1"/>
  <c r="CW43" i="1" s="1"/>
  <c r="CW47" i="1" a="1"/>
  <c r="CW47" i="1" s="1"/>
  <c r="CW45" i="1" a="1"/>
  <c r="CW45" i="1" s="1"/>
  <c r="CW53" i="1" a="1"/>
  <c r="CW53" i="1" s="1"/>
  <c r="CW54" i="1" a="1"/>
  <c r="CW54" i="1" s="1"/>
  <c r="CW49" i="1" a="1"/>
  <c r="CW49" i="1" s="1"/>
  <c r="CW50" i="1" a="1"/>
  <c r="CW50" i="1" s="1"/>
  <c r="CW55" i="1" a="1"/>
  <c r="CW55" i="1" s="1"/>
  <c r="CW59" i="1" a="1"/>
  <c r="CW59" i="1" s="1"/>
  <c r="CW51" i="1" a="1"/>
  <c r="CW51" i="1" s="1"/>
  <c r="CW52" i="1" a="1"/>
  <c r="CW52" i="1" s="1"/>
  <c r="CW56" i="1" a="1"/>
  <c r="CW56" i="1" s="1"/>
  <c r="CW57" i="1" a="1"/>
  <c r="CW57" i="1" s="1"/>
  <c r="CW60" i="1" a="1"/>
  <c r="CW60" i="1" s="1"/>
  <c r="CW61" i="1" a="1"/>
  <c r="CW61" i="1" s="1"/>
  <c r="CW63" i="1" a="1"/>
  <c r="CW63" i="1" s="1"/>
  <c r="CW66" i="1" a="1"/>
  <c r="CW66" i="1" s="1"/>
  <c r="CW67" i="1" a="1"/>
  <c r="CW67" i="1" s="1"/>
  <c r="CW68" i="1" a="1"/>
  <c r="CW68" i="1" s="1"/>
  <c r="CW69" i="1" a="1"/>
  <c r="CW69" i="1" s="1"/>
  <c r="CW70" i="1" a="1"/>
  <c r="CW70" i="1" s="1"/>
  <c r="CW71" i="1" a="1"/>
  <c r="CW71" i="1" s="1"/>
  <c r="CW72" i="1" a="1"/>
  <c r="CW72" i="1" s="1"/>
  <c r="CW73" i="1" a="1"/>
  <c r="CW73" i="1" s="1"/>
  <c r="CW74" i="1" a="1"/>
  <c r="CW74" i="1" s="1"/>
  <c r="CW75" i="1" a="1"/>
  <c r="CW75" i="1" s="1"/>
  <c r="CW76" i="1" a="1"/>
  <c r="CW76" i="1" s="1"/>
  <c r="CW77" i="1" a="1"/>
  <c r="CW77" i="1" s="1"/>
  <c r="CW80" i="1" a="1"/>
  <c r="CW80" i="1" s="1"/>
  <c r="CW48" i="1" a="1"/>
  <c r="CW48" i="1" s="1"/>
  <c r="CW58" i="1" a="1"/>
  <c r="CW58" i="1" s="1"/>
  <c r="CW62" i="1" a="1"/>
  <c r="CW62" i="1" s="1"/>
  <c r="CW64" i="1" a="1"/>
  <c r="CW64" i="1" s="1"/>
  <c r="CW65" i="1" a="1"/>
  <c r="CW65" i="1" s="1"/>
  <c r="CW81" i="1" a="1"/>
  <c r="CW81" i="1" s="1"/>
  <c r="CW84" i="1" a="1"/>
  <c r="CW84" i="1" s="1"/>
  <c r="CW85" i="1" a="1"/>
  <c r="CW85" i="1" s="1"/>
  <c r="CW78" i="1" a="1"/>
  <c r="CW78" i="1" s="1"/>
  <c r="CW79" i="1" a="1"/>
  <c r="CW79" i="1" s="1"/>
  <c r="CW82" i="1" a="1"/>
  <c r="CW82" i="1" s="1"/>
  <c r="CW86" i="1" a="1"/>
  <c r="CW86" i="1" s="1"/>
  <c r="CW99" i="1" a="1"/>
  <c r="CW99" i="1" s="1"/>
  <c r="CW110" i="1" a="1"/>
  <c r="CW110" i="1" s="1"/>
  <c r="CW111" i="1" a="1"/>
  <c r="CW111" i="1" s="1"/>
  <c r="CW113" i="1" a="1"/>
  <c r="CW113" i="1" s="1"/>
  <c r="CW114" i="1" a="1"/>
  <c r="CW114" i="1" s="1"/>
  <c r="CW115" i="1" a="1"/>
  <c r="CW115" i="1" s="1"/>
  <c r="CW120" i="1" a="1"/>
  <c r="CW120" i="1" s="1"/>
  <c r="CW121" i="1" a="1"/>
  <c r="CW121" i="1" s="1"/>
  <c r="CW122" i="1" a="1"/>
  <c r="CW122" i="1" s="1"/>
  <c r="CW123" i="1" a="1"/>
  <c r="CW123" i="1" s="1"/>
  <c r="CW124" i="1" a="1"/>
  <c r="CW124" i="1" s="1"/>
  <c r="CW125" i="1" a="1"/>
  <c r="CW125" i="1" s="1"/>
  <c r="CW126" i="1" a="1"/>
  <c r="CW126" i="1" s="1"/>
  <c r="CW127" i="1" a="1"/>
  <c r="CW127" i="1" s="1"/>
  <c r="CW91" i="1" a="1"/>
  <c r="CW91" i="1" s="1"/>
  <c r="CW112" i="1" a="1"/>
  <c r="CW112" i="1" s="1"/>
  <c r="CW87" i="1" a="1"/>
  <c r="CW87" i="1" s="1"/>
  <c r="CW92" i="1" a="1"/>
  <c r="CW92" i="1" s="1"/>
  <c r="CW93" i="1" a="1"/>
  <c r="CW93" i="1" s="1"/>
  <c r="CW94" i="1" a="1"/>
  <c r="CW94" i="1" s="1"/>
  <c r="CW95" i="1" a="1"/>
  <c r="CW95" i="1" s="1"/>
  <c r="CW100" i="1" a="1"/>
  <c r="CW100" i="1" s="1"/>
  <c r="CW101" i="1" a="1"/>
  <c r="CW101" i="1" s="1"/>
  <c r="CW116" i="1" a="1"/>
  <c r="CW116" i="1" s="1"/>
  <c r="CW90" i="1" a="1"/>
  <c r="CW90" i="1" s="1"/>
  <c r="CW104" i="1" a="1"/>
  <c r="CW104" i="1" s="1"/>
  <c r="CW108" i="1" a="1"/>
  <c r="CW108" i="1" s="1"/>
  <c r="CW117" i="1" a="1"/>
  <c r="CW117" i="1" s="1"/>
  <c r="CW118" i="1" a="1"/>
  <c r="CW118" i="1" s="1"/>
  <c r="CW128" i="1" a="1"/>
  <c r="CW128" i="1" s="1"/>
  <c r="CW151" i="1" a="1"/>
  <c r="CW151" i="1" s="1"/>
  <c r="CW153" i="1" a="1"/>
  <c r="CW153" i="1" s="1"/>
  <c r="CW155" i="1" a="1"/>
  <c r="CW155" i="1" s="1"/>
  <c r="CW89" i="1" a="1"/>
  <c r="CW89" i="1" s="1"/>
  <c r="CW103" i="1" a="1"/>
  <c r="CW103" i="1" s="1"/>
  <c r="CW107" i="1" a="1"/>
  <c r="CW107" i="1" s="1"/>
  <c r="CW129" i="1" a="1"/>
  <c r="CW129" i="1" s="1"/>
  <c r="CW138" i="1" a="1"/>
  <c r="CW138" i="1" s="1"/>
  <c r="CW140" i="1" a="1"/>
  <c r="CW140" i="1" s="1"/>
  <c r="CW142" i="1" a="1"/>
  <c r="CW142" i="1" s="1"/>
  <c r="CW144" i="1" a="1"/>
  <c r="CW144" i="1" s="1"/>
  <c r="CW147" i="1" a="1"/>
  <c r="CW147" i="1" s="1"/>
  <c r="CW148" i="1" a="1"/>
  <c r="CW148" i="1" s="1"/>
  <c r="CW150" i="1" a="1"/>
  <c r="CW150" i="1" s="1"/>
  <c r="CW83" i="1" a="1"/>
  <c r="CW83" i="1" s="1"/>
  <c r="CW88" i="1" a="1"/>
  <c r="CW88" i="1" s="1"/>
  <c r="CW97" i="1" a="1"/>
  <c r="CW97" i="1" s="1"/>
  <c r="CW98" i="1" a="1"/>
  <c r="CW98" i="1" s="1"/>
  <c r="CW102" i="1" a="1"/>
  <c r="CW102" i="1" s="1"/>
  <c r="CW106" i="1" a="1"/>
  <c r="CW106" i="1" s="1"/>
  <c r="CW145" i="1" a="1"/>
  <c r="CW145" i="1" s="1"/>
  <c r="CW149" i="1" a="1"/>
  <c r="CW149" i="1" s="1"/>
  <c r="CW152" i="1" a="1"/>
  <c r="CW152" i="1" s="1"/>
  <c r="CW154" i="1" a="1"/>
  <c r="CW154" i="1" s="1"/>
  <c r="CW156" i="1" a="1"/>
  <c r="CW156" i="1" s="1"/>
  <c r="CW158" i="1" a="1"/>
  <c r="CW158" i="1" s="1"/>
  <c r="CW160" i="1" a="1"/>
  <c r="CW160" i="1" s="1"/>
  <c r="CW133" i="1" a="1"/>
  <c r="CW133" i="1" s="1"/>
  <c r="CW137" i="1" a="1"/>
  <c r="CW137" i="1" s="1"/>
  <c r="CW157" i="1" a="1"/>
  <c r="CW157" i="1" s="1"/>
  <c r="CW159" i="1" a="1"/>
  <c r="CW159" i="1" s="1"/>
  <c r="CW162" i="1" a="1"/>
  <c r="CW162" i="1" s="1"/>
  <c r="CW164" i="1" a="1"/>
  <c r="CW164" i="1" s="1"/>
  <c r="CW166" i="1" a="1"/>
  <c r="CW166" i="1" s="1"/>
  <c r="CW172" i="1" a="1"/>
  <c r="CW172" i="1" s="1"/>
  <c r="CW177" i="1" a="1"/>
  <c r="CW177" i="1" s="1"/>
  <c r="CW179" i="1" a="1"/>
  <c r="CW179" i="1" s="1"/>
  <c r="CW184" i="1" a="1"/>
  <c r="CW184" i="1" s="1"/>
  <c r="CW96" i="1" a="1"/>
  <c r="CW96" i="1" s="1"/>
  <c r="CW105" i="1" a="1"/>
  <c r="CW105" i="1" s="1"/>
  <c r="CW109" i="1" a="1"/>
  <c r="CW109" i="1" s="1"/>
  <c r="CW132" i="1" a="1"/>
  <c r="CW132" i="1" s="1"/>
  <c r="CW136" i="1" a="1"/>
  <c r="CW136" i="1" s="1"/>
  <c r="CW143" i="1" a="1"/>
  <c r="CW143" i="1" s="1"/>
  <c r="CW146" i="1" a="1"/>
  <c r="CW146" i="1" s="1"/>
  <c r="CW168" i="1" a="1"/>
  <c r="CW168" i="1" s="1"/>
  <c r="CW170" i="1" a="1"/>
  <c r="CW170" i="1" s="1"/>
  <c r="CW171" i="1" a="1"/>
  <c r="CW171" i="1" s="1"/>
  <c r="CW174" i="1" a="1"/>
  <c r="CW174" i="1" s="1"/>
  <c r="CW176" i="1" a="1"/>
  <c r="CW176" i="1" s="1"/>
  <c r="CW181" i="1" a="1"/>
  <c r="CW181" i="1" s="1"/>
  <c r="CW183" i="1" a="1"/>
  <c r="CW183" i="1" s="1"/>
  <c r="CW119" i="1" a="1"/>
  <c r="CW119" i="1" s="1"/>
  <c r="CW131" i="1" a="1"/>
  <c r="CW131" i="1" s="1"/>
  <c r="CW135" i="1" a="1"/>
  <c r="CW135" i="1" s="1"/>
  <c r="CW141" i="1" a="1"/>
  <c r="CW141" i="1" s="1"/>
  <c r="CW161" i="1" a="1"/>
  <c r="CW161" i="1" s="1"/>
  <c r="CW163" i="1" a="1"/>
  <c r="CW163" i="1" s="1"/>
  <c r="CW165" i="1" a="1"/>
  <c r="CW165" i="1" s="1"/>
  <c r="CW167" i="1" a="1"/>
  <c r="CW167" i="1" s="1"/>
  <c r="CW173" i="1" a="1"/>
  <c r="CW173" i="1" s="1"/>
  <c r="CW178" i="1" a="1"/>
  <c r="CW178" i="1" s="1"/>
  <c r="CW185" i="1" a="1"/>
  <c r="CW185" i="1" s="1"/>
  <c r="CW187" i="1" a="1"/>
  <c r="CW187" i="1" s="1"/>
  <c r="CW130" i="1" a="1"/>
  <c r="CW130" i="1" s="1"/>
  <c r="CW134" i="1" a="1"/>
  <c r="CW134" i="1" s="1"/>
  <c r="CW190" i="1" a="1"/>
  <c r="CW190" i="1" s="1"/>
  <c r="CW193" i="1" a="1"/>
  <c r="CW193" i="1" s="1"/>
  <c r="CW200" i="1" a="1"/>
  <c r="CW200" i="1" s="1"/>
  <c r="CW202" i="1" a="1"/>
  <c r="CW202" i="1" s="1"/>
  <c r="CW204" i="1" a="1"/>
  <c r="CW204" i="1" s="1"/>
  <c r="CW206" i="1" a="1"/>
  <c r="CW206" i="1" s="1"/>
  <c r="CW208" i="1" a="1"/>
  <c r="CW208" i="1" s="1"/>
  <c r="CW210" i="1" a="1"/>
  <c r="CW210" i="1" s="1"/>
  <c r="CW212" i="1" a="1"/>
  <c r="CW212" i="1" s="1"/>
  <c r="CW214" i="1" a="1"/>
  <c r="CW214" i="1" s="1"/>
  <c r="CW216" i="1" a="1"/>
  <c r="CW216" i="1" s="1"/>
  <c r="CW218" i="1" a="1"/>
  <c r="CW218" i="1" s="1"/>
  <c r="CW220" i="1" a="1"/>
  <c r="CW220" i="1" s="1"/>
  <c r="CW222" i="1" a="1"/>
  <c r="CW222" i="1" s="1"/>
  <c r="CW224" i="1" a="1"/>
  <c r="CW224" i="1" s="1"/>
  <c r="CW226" i="1" a="1"/>
  <c r="CW226" i="1" s="1"/>
  <c r="CW228" i="1" a="1"/>
  <c r="CW228" i="1" s="1"/>
  <c r="CW230" i="1" a="1"/>
  <c r="CW230" i="1" s="1"/>
  <c r="CW232" i="1" a="1"/>
  <c r="CW232" i="1" s="1"/>
  <c r="CW234" i="1" a="1"/>
  <c r="CW234" i="1" s="1"/>
  <c r="CW236" i="1" a="1"/>
  <c r="CW236" i="1" s="1"/>
  <c r="CW238" i="1" a="1"/>
  <c r="CW238" i="1" s="1"/>
  <c r="CW240" i="1" a="1"/>
  <c r="CW240" i="1" s="1"/>
  <c r="CW242" i="1" a="1"/>
  <c r="CW242" i="1" s="1"/>
  <c r="CW244" i="1" a="1"/>
  <c r="CW244" i="1" s="1"/>
  <c r="CW139" i="1" a="1"/>
  <c r="CW139" i="1" s="1"/>
  <c r="CW186" i="1" a="1"/>
  <c r="CW186" i="1" s="1"/>
  <c r="CW188" i="1" a="1"/>
  <c r="CW188" i="1" s="1"/>
  <c r="CW192" i="1" a="1"/>
  <c r="CW192" i="1" s="1"/>
  <c r="CW195" i="1" a="1"/>
  <c r="CW195" i="1" s="1"/>
  <c r="CW197" i="1" a="1"/>
  <c r="CW197" i="1" s="1"/>
  <c r="CW199" i="1" a="1"/>
  <c r="CW199" i="1" s="1"/>
  <c r="CW169" i="1" a="1"/>
  <c r="CW169" i="1" s="1"/>
  <c r="CW175" i="1" a="1"/>
  <c r="CW175" i="1" s="1"/>
  <c r="CW182" i="1" a="1"/>
  <c r="CW182" i="1" s="1"/>
  <c r="CW189" i="1" a="1"/>
  <c r="CW189" i="1" s="1"/>
  <c r="CW191" i="1" a="1"/>
  <c r="CW191" i="1" s="1"/>
  <c r="CW194" i="1" a="1"/>
  <c r="CW194" i="1" s="1"/>
  <c r="CW201" i="1" a="1"/>
  <c r="CW201" i="1" s="1"/>
  <c r="CW203" i="1" a="1"/>
  <c r="CW203" i="1" s="1"/>
  <c r="CW205" i="1" a="1"/>
  <c r="CW205" i="1" s="1"/>
  <c r="CW207" i="1" a="1"/>
  <c r="CW207" i="1" s="1"/>
  <c r="CW209" i="1" a="1"/>
  <c r="CW209" i="1" s="1"/>
  <c r="CW211" i="1" a="1"/>
  <c r="CW211" i="1" s="1"/>
  <c r="CW213" i="1" a="1"/>
  <c r="CW213" i="1" s="1"/>
  <c r="CW215" i="1" a="1"/>
  <c r="CW215" i="1" s="1"/>
  <c r="CW217" i="1" a="1"/>
  <c r="CW217" i="1" s="1"/>
  <c r="CW219" i="1" a="1"/>
  <c r="CW219" i="1" s="1"/>
  <c r="CW221" i="1" a="1"/>
  <c r="CW221" i="1" s="1"/>
  <c r="CW223" i="1" a="1"/>
  <c r="CW223" i="1" s="1"/>
  <c r="CW225" i="1" a="1"/>
  <c r="CW225" i="1" s="1"/>
  <c r="CW227" i="1" a="1"/>
  <c r="CW227" i="1" s="1"/>
  <c r="CW229" i="1" a="1"/>
  <c r="CW229" i="1" s="1"/>
  <c r="CW231" i="1" a="1"/>
  <c r="CW231" i="1" s="1"/>
  <c r="CW233" i="1" a="1"/>
  <c r="CW233" i="1" s="1"/>
  <c r="CW235" i="1" a="1"/>
  <c r="CW235" i="1" s="1"/>
  <c r="CW237" i="1" a="1"/>
  <c r="CW237" i="1" s="1"/>
  <c r="CW239" i="1" a="1"/>
  <c r="CW239" i="1" s="1"/>
  <c r="CW241" i="1" a="1"/>
  <c r="CW241" i="1" s="1"/>
  <c r="CW243" i="1" a="1"/>
  <c r="CW243" i="1" s="1"/>
  <c r="CW255" i="1" a="1"/>
  <c r="CW255" i="1" s="1"/>
  <c r="CW257" i="1" a="1"/>
  <c r="CW257" i="1" s="1"/>
  <c r="CW258" i="1" a="1"/>
  <c r="CW258" i="1" s="1"/>
  <c r="CW260" i="1" a="1"/>
  <c r="CW260" i="1" s="1"/>
  <c r="CW263" i="1" a="1"/>
  <c r="CW263" i="1" s="1"/>
  <c r="CW265" i="1" a="1"/>
  <c r="CW265" i="1" s="1"/>
  <c r="CW268" i="1" a="1"/>
  <c r="CW268" i="1" s="1"/>
  <c r="CW271" i="1" a="1"/>
  <c r="CW271" i="1" s="1"/>
  <c r="CW273" i="1" a="1"/>
  <c r="CW273" i="1" s="1"/>
  <c r="CW274" i="1" a="1"/>
  <c r="CW274" i="1" s="1"/>
  <c r="CW276" i="1" a="1"/>
  <c r="CW276" i="1" s="1"/>
  <c r="CW279" i="1" a="1"/>
  <c r="CW279" i="1" s="1"/>
  <c r="CW284" i="1" a="1"/>
  <c r="CW284" i="1" s="1"/>
  <c r="CW180" i="1" a="1"/>
  <c r="CW180" i="1" s="1"/>
  <c r="CW245" i="1" a="1"/>
  <c r="CW245" i="1" s="1"/>
  <c r="CW247" i="1" a="1"/>
  <c r="CW247" i="1" s="1"/>
  <c r="CW250" i="1" a="1"/>
  <c r="CW250" i="1" s="1"/>
  <c r="CW252" i="1" a="1"/>
  <c r="CW252" i="1" s="1"/>
  <c r="CW262" i="1" a="1"/>
  <c r="CW262" i="1" s="1"/>
  <c r="CW270" i="1" a="1"/>
  <c r="CW270" i="1" s="1"/>
  <c r="CW280" i="1" a="1"/>
  <c r="CW280" i="1" s="1"/>
  <c r="CW287" i="1" a="1"/>
  <c r="CW287" i="1" s="1"/>
  <c r="CW289" i="1" a="1"/>
  <c r="CW289" i="1" s="1"/>
  <c r="CW291" i="1" a="1"/>
  <c r="CW291" i="1" s="1"/>
  <c r="CW293" i="1" a="1"/>
  <c r="CW293" i="1" s="1"/>
  <c r="CW198" i="1" a="1"/>
  <c r="CW198" i="1" s="1"/>
  <c r="CW249" i="1" a="1"/>
  <c r="CW249" i="1" s="1"/>
  <c r="CW254" i="1" a="1"/>
  <c r="CW254" i="1" s="1"/>
  <c r="CW256" i="1" a="1"/>
  <c r="CW256" i="1" s="1"/>
  <c r="CW259" i="1" a="1"/>
  <c r="CW259" i="1" s="1"/>
  <c r="CW261" i="1" a="1"/>
  <c r="CW261" i="1" s="1"/>
  <c r="CW264" i="1" a="1"/>
  <c r="CW264" i="1" s="1"/>
  <c r="CW267" i="1" a="1"/>
  <c r="CW267" i="1" s="1"/>
  <c r="CW269" i="1" a="1"/>
  <c r="CW269" i="1" s="1"/>
  <c r="CW272" i="1" a="1"/>
  <c r="CW272" i="1" s="1"/>
  <c r="CW275" i="1" a="1"/>
  <c r="CW275" i="1" s="1"/>
  <c r="CW277" i="1" a="1"/>
  <c r="CW277" i="1" s="1"/>
  <c r="CW278" i="1" a="1"/>
  <c r="CW278" i="1" s="1"/>
  <c r="CW282" i="1" a="1"/>
  <c r="CW282" i="1" s="1"/>
  <c r="CW283" i="1" a="1"/>
  <c r="CW283" i="1" s="1"/>
  <c r="CW285" i="1" a="1"/>
  <c r="CW285" i="1" s="1"/>
  <c r="CW196" i="1" a="1"/>
  <c r="CW196" i="1" s="1"/>
  <c r="CW248" i="1" a="1"/>
  <c r="CW248" i="1" s="1"/>
  <c r="CW251" i="1" a="1"/>
  <c r="CW251" i="1" s="1"/>
  <c r="CW281" i="1" a="1"/>
  <c r="CW281" i="1" s="1"/>
  <c r="CW292" i="1" a="1"/>
  <c r="CW292" i="1" s="1"/>
  <c r="CW299" i="1" a="1"/>
  <c r="CW299" i="1" s="1"/>
  <c r="CW301" i="1" a="1"/>
  <c r="CW301" i="1" s="1"/>
  <c r="CW303" i="1" a="1"/>
  <c r="CW303" i="1" s="1"/>
  <c r="CW305" i="1" a="1"/>
  <c r="CW305" i="1" s="1"/>
  <c r="CW307" i="1" a="1"/>
  <c r="CW307" i="1" s="1"/>
  <c r="CW309" i="1" a="1"/>
  <c r="CW309" i="1" s="1"/>
  <c r="CW311" i="1" a="1"/>
  <c r="CW311" i="1" s="1"/>
  <c r="CW328" i="1" a="1"/>
  <c r="CW328" i="1" s="1"/>
  <c r="CW329" i="1" a="1"/>
  <c r="CW329" i="1" s="1"/>
  <c r="CW333" i="1" a="1"/>
  <c r="CW333" i="1" s="1"/>
  <c r="CW334" i="1" a="1"/>
  <c r="CW334" i="1" s="1"/>
  <c r="CW335" i="1" a="1"/>
  <c r="CW335" i="1" s="1"/>
  <c r="CW341" i="1" a="1"/>
  <c r="CW341" i="1" s="1"/>
  <c r="CW290" i="1" a="1"/>
  <c r="CW290" i="1" s="1"/>
  <c r="CW297" i="1" a="1"/>
  <c r="CW297" i="1" s="1"/>
  <c r="CW298" i="1" a="1"/>
  <c r="CW298" i="1" s="1"/>
  <c r="CW312" i="1" a="1"/>
  <c r="CW312" i="1" s="1"/>
  <c r="CW313" i="1" a="1"/>
  <c r="CW313" i="1" s="1"/>
  <c r="CW314" i="1" a="1"/>
  <c r="CW314" i="1" s="1"/>
  <c r="CW315" i="1" a="1"/>
  <c r="CW315" i="1" s="1"/>
  <c r="CW316" i="1" a="1"/>
  <c r="CW316" i="1" s="1"/>
  <c r="CW318" i="1" a="1"/>
  <c r="CW318" i="1" s="1"/>
  <c r="CW320" i="1" a="1"/>
  <c r="CW320" i="1" s="1"/>
  <c r="CW322" i="1" a="1"/>
  <c r="CW322" i="1" s="1"/>
  <c r="CW324" i="1" a="1"/>
  <c r="CW324" i="1" s="1"/>
  <c r="CW326" i="1" a="1"/>
  <c r="CW326" i="1" s="1"/>
  <c r="CW330" i="1" a="1"/>
  <c r="CW330" i="1" s="1"/>
  <c r="CW331" i="1" a="1"/>
  <c r="CW331" i="1" s="1"/>
  <c r="CW332" i="1" a="1"/>
  <c r="CW332" i="1" s="1"/>
  <c r="CW336" i="1" a="1"/>
  <c r="CW336" i="1" s="1"/>
  <c r="CW337" i="1" a="1"/>
  <c r="CW337" i="1" s="1"/>
  <c r="CW339" i="1" a="1"/>
  <c r="CW339" i="1" s="1"/>
  <c r="CW340" i="1" a="1"/>
  <c r="CW340" i="1" s="1"/>
  <c r="CW344" i="1" a="1"/>
  <c r="CW344" i="1" s="1"/>
  <c r="CW345" i="1" a="1"/>
  <c r="CW345" i="1" s="1"/>
  <c r="CW346" i="1" a="1"/>
  <c r="CW346" i="1" s="1"/>
  <c r="CW348" i="1" a="1"/>
  <c r="CW348" i="1" s="1"/>
  <c r="CW350" i="1" a="1"/>
  <c r="CW350" i="1" s="1"/>
  <c r="CW286" i="1" a="1"/>
  <c r="CW286" i="1" s="1"/>
  <c r="CW288" i="1" a="1"/>
  <c r="CW288" i="1" s="1"/>
  <c r="CW295" i="1" a="1"/>
  <c r="CW295" i="1" s="1"/>
  <c r="CW300" i="1" a="1"/>
  <c r="CW300" i="1" s="1"/>
  <c r="CW302" i="1" a="1"/>
  <c r="CW302" i="1" s="1"/>
  <c r="CW304" i="1" a="1"/>
  <c r="CW304" i="1" s="1"/>
  <c r="CW306" i="1" a="1"/>
  <c r="CW306" i="1" s="1"/>
  <c r="CW308" i="1" a="1"/>
  <c r="CW308" i="1" s="1"/>
  <c r="CW310" i="1" a="1"/>
  <c r="CW310" i="1" s="1"/>
  <c r="CW338" i="1" a="1"/>
  <c r="CW338" i="1" s="1"/>
  <c r="CW294" i="1" a="1"/>
  <c r="CW294" i="1" s="1"/>
  <c r="CW323" i="1" a="1"/>
  <c r="CW323" i="1" s="1"/>
  <c r="CW342" i="1" a="1"/>
  <c r="CW342" i="1" s="1"/>
  <c r="CW429" i="1" a="1"/>
  <c r="CW429" i="1" s="1"/>
  <c r="CW432" i="1" a="1"/>
  <c r="CW432" i="1" s="1"/>
  <c r="CW433" i="1" a="1"/>
  <c r="CW433" i="1" s="1"/>
  <c r="CW246" i="1" a="1"/>
  <c r="CW246" i="1" s="1"/>
  <c r="CW253" i="1" a="1"/>
  <c r="CW253" i="1" s="1"/>
  <c r="CW266" i="1" a="1"/>
  <c r="CW266" i="1" s="1"/>
  <c r="CW321" i="1" a="1"/>
  <c r="CW321" i="1" s="1"/>
  <c r="CW347" i="1" a="1"/>
  <c r="CW347" i="1" s="1"/>
  <c r="CW352" i="1" a="1"/>
  <c r="CW352" i="1" s="1"/>
  <c r="CW423" i="1" a="1"/>
  <c r="CW423" i="1" s="1"/>
  <c r="CW427" i="1" a="1"/>
  <c r="CW427" i="1" s="1"/>
  <c r="CW428" i="1" a="1"/>
  <c r="CW428" i="1" s="1"/>
  <c r="CW430" i="1" a="1"/>
  <c r="CW430" i="1" s="1"/>
  <c r="CW434" i="1" a="1"/>
  <c r="CW434" i="1" s="1"/>
  <c r="CW439" i="1" a="1"/>
  <c r="CW439" i="1" s="1"/>
  <c r="CW296" i="1" a="1"/>
  <c r="CW296" i="1" s="1"/>
  <c r="CW319" i="1" a="1"/>
  <c r="CW319" i="1" s="1"/>
  <c r="CW327" i="1" a="1"/>
  <c r="CW327" i="1" s="1"/>
  <c r="CW349" i="1" a="1"/>
  <c r="CW349" i="1" s="1"/>
  <c r="CW351" i="1" a="1"/>
  <c r="CW351" i="1" s="1"/>
  <c r="CW353" i="1" a="1"/>
  <c r="CW353" i="1" s="1"/>
  <c r="CW354" i="1" a="1"/>
  <c r="CW354" i="1" s="1"/>
  <c r="CW355" i="1" a="1"/>
  <c r="CW355" i="1" s="1"/>
  <c r="CW356" i="1" a="1"/>
  <c r="CW356" i="1" s="1"/>
  <c r="CW357" i="1" a="1"/>
  <c r="CW357" i="1" s="1"/>
  <c r="CW358" i="1" a="1"/>
  <c r="CW358" i="1" s="1"/>
  <c r="CW359" i="1" a="1"/>
  <c r="CW359" i="1" s="1"/>
  <c r="CW360" i="1" a="1"/>
  <c r="CW360" i="1" s="1"/>
  <c r="CW361" i="1" a="1"/>
  <c r="CW361" i="1" s="1"/>
  <c r="CW362" i="1" a="1"/>
  <c r="CW362" i="1" s="1"/>
  <c r="CW363" i="1" a="1"/>
  <c r="CW363" i="1" s="1"/>
  <c r="CW364" i="1" a="1"/>
  <c r="CW364" i="1" s="1"/>
  <c r="CW365" i="1" a="1"/>
  <c r="CW365" i="1" s="1"/>
  <c r="CW366" i="1" a="1"/>
  <c r="CW366" i="1" s="1"/>
  <c r="CW367" i="1" a="1"/>
  <c r="CW367" i="1" s="1"/>
  <c r="CW368" i="1" a="1"/>
  <c r="CW368" i="1" s="1"/>
  <c r="CW369" i="1" a="1"/>
  <c r="CW369" i="1" s="1"/>
  <c r="CW370" i="1" a="1"/>
  <c r="CW370" i="1" s="1"/>
  <c r="CW371" i="1" a="1"/>
  <c r="CW371" i="1" s="1"/>
  <c r="CW372" i="1" a="1"/>
  <c r="CW372" i="1" s="1"/>
  <c r="CW373" i="1" a="1"/>
  <c r="CW373" i="1" s="1"/>
  <c r="CW374" i="1" a="1"/>
  <c r="CW374" i="1" s="1"/>
  <c r="CW375" i="1" a="1"/>
  <c r="CW375" i="1" s="1"/>
  <c r="CW376" i="1" a="1"/>
  <c r="CW376" i="1" s="1"/>
  <c r="CW377" i="1" a="1"/>
  <c r="CW377" i="1" s="1"/>
  <c r="CW378" i="1" a="1"/>
  <c r="CW378" i="1" s="1"/>
  <c r="CW379" i="1" a="1"/>
  <c r="CW379" i="1" s="1"/>
  <c r="CW380" i="1" a="1"/>
  <c r="CW380" i="1" s="1"/>
  <c r="CW381" i="1" a="1"/>
  <c r="CW381" i="1" s="1"/>
  <c r="CW382" i="1" a="1"/>
  <c r="CW382" i="1" s="1"/>
  <c r="CW383" i="1" a="1"/>
  <c r="CW383" i="1" s="1"/>
  <c r="CW384" i="1" a="1"/>
  <c r="CW384" i="1" s="1"/>
  <c r="CW385" i="1" a="1"/>
  <c r="CW385" i="1" s="1"/>
  <c r="CW386" i="1" a="1"/>
  <c r="CW386" i="1" s="1"/>
  <c r="CW387" i="1" a="1"/>
  <c r="CW387" i="1" s="1"/>
  <c r="CW388" i="1" a="1"/>
  <c r="CW388" i="1" s="1"/>
  <c r="CW389" i="1" a="1"/>
  <c r="CW389" i="1" s="1"/>
  <c r="CW390" i="1" a="1"/>
  <c r="CW390" i="1" s="1"/>
  <c r="CW391" i="1" a="1"/>
  <c r="CW391" i="1" s="1"/>
  <c r="CW392" i="1" a="1"/>
  <c r="CW392" i="1" s="1"/>
  <c r="CW393" i="1" a="1"/>
  <c r="CW393" i="1" s="1"/>
  <c r="CW394" i="1" a="1"/>
  <c r="CW394" i="1" s="1"/>
  <c r="CW395" i="1" a="1"/>
  <c r="CW395" i="1" s="1"/>
  <c r="CW396" i="1" a="1"/>
  <c r="CW396" i="1" s="1"/>
  <c r="CW397" i="1" a="1"/>
  <c r="CW397" i="1" s="1"/>
  <c r="CW398" i="1" a="1"/>
  <c r="CW398" i="1" s="1"/>
  <c r="CW399" i="1" a="1"/>
  <c r="CW399" i="1" s="1"/>
  <c r="CW400" i="1" a="1"/>
  <c r="CW400" i="1" s="1"/>
  <c r="CW401" i="1" a="1"/>
  <c r="CW401" i="1" s="1"/>
  <c r="CW402" i="1" a="1"/>
  <c r="CW402" i="1" s="1"/>
  <c r="CW403" i="1" a="1"/>
  <c r="CW403" i="1" s="1"/>
  <c r="CW404" i="1" a="1"/>
  <c r="CW404" i="1" s="1"/>
  <c r="CW405" i="1" a="1"/>
  <c r="CW405" i="1" s="1"/>
  <c r="CW406" i="1" a="1"/>
  <c r="CW406" i="1" s="1"/>
  <c r="CW407" i="1" a="1"/>
  <c r="CW407" i="1" s="1"/>
  <c r="CW408" i="1" a="1"/>
  <c r="CW408" i="1" s="1"/>
  <c r="CW409" i="1" a="1"/>
  <c r="CW409" i="1" s="1"/>
  <c r="CW410" i="1" a="1"/>
  <c r="CW410" i="1" s="1"/>
  <c r="CW411" i="1" a="1"/>
  <c r="CW411" i="1" s="1"/>
  <c r="CW412" i="1" a="1"/>
  <c r="CW412" i="1" s="1"/>
  <c r="CW413" i="1" a="1"/>
  <c r="CW413" i="1" s="1"/>
  <c r="CW414" i="1" a="1"/>
  <c r="CW414" i="1" s="1"/>
  <c r="CW415" i="1" a="1"/>
  <c r="CW415" i="1" s="1"/>
  <c r="CW416" i="1" a="1"/>
  <c r="CW416" i="1" s="1"/>
  <c r="CW417" i="1" a="1"/>
  <c r="CW417" i="1" s="1"/>
  <c r="CW418" i="1" a="1"/>
  <c r="CW418" i="1" s="1"/>
  <c r="CW421" i="1" a="1"/>
  <c r="CW421" i="1" s="1"/>
  <c r="CW425" i="1" a="1"/>
  <c r="CW425" i="1" s="1"/>
  <c r="CW426" i="1" a="1"/>
  <c r="CW426" i="1" s="1"/>
  <c r="CW431" i="1" a="1"/>
  <c r="CW431" i="1" s="1"/>
  <c r="CW435" i="1" a="1"/>
  <c r="CW435" i="1" s="1"/>
  <c r="CW436" i="1" a="1"/>
  <c r="CW436" i="1" s="1"/>
  <c r="DF97" i="1" a="1"/>
  <c r="DF97" i="1" s="1"/>
  <c r="DF119" i="1" a="1"/>
  <c r="DF119" i="1" s="1"/>
  <c r="DF112" i="1" a="1"/>
  <c r="DF112" i="1" s="1"/>
  <c r="DF117" i="1" a="1"/>
  <c r="DF117" i="1" s="1"/>
  <c r="DF138" i="1" a="1"/>
  <c r="DF138" i="1" s="1"/>
  <c r="DF140" i="1" a="1"/>
  <c r="DF140" i="1" s="1"/>
  <c r="DF142" i="1" a="1"/>
  <c r="DF142" i="1" s="1"/>
  <c r="DF144" i="1" a="1"/>
  <c r="DF144" i="1" s="1"/>
  <c r="DF152" i="1" a="1"/>
  <c r="DF152" i="1" s="1"/>
  <c r="DF154" i="1" a="1"/>
  <c r="DF154" i="1" s="1"/>
  <c r="DF156" i="1" a="1"/>
  <c r="DF156" i="1" s="1"/>
  <c r="DF137" i="1" a="1"/>
  <c r="DF137" i="1" s="1"/>
  <c r="DF139" i="1" a="1"/>
  <c r="DF139" i="1" s="1"/>
  <c r="DF141" i="1" a="1"/>
  <c r="DF141" i="1" s="1"/>
  <c r="DF146" i="1" a="1"/>
  <c r="DF146" i="1" s="1"/>
  <c r="DF148" i="1" a="1"/>
  <c r="DF148" i="1" s="1"/>
  <c r="DF158" i="1" a="1"/>
  <c r="DF158" i="1" s="1"/>
  <c r="DF168" i="1" a="1"/>
  <c r="DF168" i="1" s="1"/>
  <c r="DF171" i="1" a="1"/>
  <c r="DF171" i="1" s="1"/>
  <c r="DF174" i="1" a="1"/>
  <c r="DF174" i="1" s="1"/>
  <c r="DF181" i="1" a="1"/>
  <c r="DF181" i="1" s="1"/>
  <c r="DF183" i="1" a="1"/>
  <c r="DF183" i="1" s="1"/>
  <c r="DF110" i="1" a="1"/>
  <c r="DF110" i="1" s="1"/>
  <c r="DF159" i="1" a="1"/>
  <c r="DF159" i="1" s="1"/>
  <c r="DF161" i="1" a="1"/>
  <c r="DF161" i="1" s="1"/>
  <c r="DF163" i="1" a="1"/>
  <c r="DF163" i="1" s="1"/>
  <c r="DF165" i="1" a="1"/>
  <c r="DF165" i="1" s="1"/>
  <c r="DF167" i="1" a="1"/>
  <c r="DF167" i="1" s="1"/>
  <c r="DF170" i="1" a="1"/>
  <c r="DF170" i="1" s="1"/>
  <c r="DF173" i="1" a="1"/>
  <c r="DF173" i="1" s="1"/>
  <c r="DF176" i="1" a="1"/>
  <c r="DF176" i="1" s="1"/>
  <c r="DF178" i="1" a="1"/>
  <c r="DF178" i="1" s="1"/>
  <c r="DF99" i="1" a="1"/>
  <c r="DF99" i="1" s="1"/>
  <c r="DF151" i="1" a="1"/>
  <c r="DF151" i="1" s="1"/>
  <c r="DF153" i="1" a="1"/>
  <c r="DF153" i="1" s="1"/>
  <c r="DF155" i="1" a="1"/>
  <c r="DF155" i="1" s="1"/>
  <c r="DF169" i="1" a="1"/>
  <c r="DF169" i="1" s="1"/>
  <c r="DF175" i="1" a="1"/>
  <c r="DF175" i="1" s="1"/>
  <c r="DF180" i="1" a="1"/>
  <c r="DF180" i="1" s="1"/>
  <c r="DF182" i="1" a="1"/>
  <c r="DF182" i="1" s="1"/>
  <c r="DF177" i="1" a="1"/>
  <c r="DF177" i="1" s="1"/>
  <c r="DF179" i="1" a="1"/>
  <c r="DF179" i="1" s="1"/>
  <c r="DF184" i="1" a="1"/>
  <c r="DF184" i="1" s="1"/>
  <c r="DF187" i="1" a="1"/>
  <c r="DF187" i="1" s="1"/>
  <c r="DF192" i="1" a="1"/>
  <c r="DF192" i="1" s="1"/>
  <c r="DF195" i="1" a="1"/>
  <c r="DF195" i="1" s="1"/>
  <c r="DF197" i="1" a="1"/>
  <c r="DF197" i="1" s="1"/>
  <c r="DF199" i="1" a="1"/>
  <c r="DF199" i="1" s="1"/>
  <c r="DF246" i="1" a="1"/>
  <c r="DF246" i="1" s="1"/>
  <c r="DF160" i="1" a="1"/>
  <c r="DF160" i="1" s="1"/>
  <c r="DF162" i="1" a="1"/>
  <c r="DF162" i="1" s="1"/>
  <c r="DF164" i="1" a="1"/>
  <c r="DF164" i="1" s="1"/>
  <c r="DF166" i="1" a="1"/>
  <c r="DF166" i="1" s="1"/>
  <c r="DF172" i="1" a="1"/>
  <c r="DF172" i="1" s="1"/>
  <c r="DF189" i="1" a="1"/>
  <c r="DF189" i="1" s="1"/>
  <c r="DF191" i="1" a="1"/>
  <c r="DF191" i="1" s="1"/>
  <c r="DF194" i="1" a="1"/>
  <c r="DF194" i="1" s="1"/>
  <c r="DF201" i="1" a="1"/>
  <c r="DF201" i="1" s="1"/>
  <c r="DF203" i="1" a="1"/>
  <c r="DF203" i="1" s="1"/>
  <c r="DF205" i="1" a="1"/>
  <c r="DF205" i="1" s="1"/>
  <c r="DF207" i="1" a="1"/>
  <c r="DF207" i="1" s="1"/>
  <c r="DF209" i="1" a="1"/>
  <c r="DF209" i="1" s="1"/>
  <c r="DF211" i="1" a="1"/>
  <c r="DF211" i="1" s="1"/>
  <c r="DF213" i="1" a="1"/>
  <c r="DF213" i="1" s="1"/>
  <c r="DF215" i="1" a="1"/>
  <c r="DF215" i="1" s="1"/>
  <c r="DF217" i="1" a="1"/>
  <c r="DF217" i="1" s="1"/>
  <c r="DF219" i="1" a="1"/>
  <c r="DF219" i="1" s="1"/>
  <c r="DF221" i="1" a="1"/>
  <c r="DF221" i="1" s="1"/>
  <c r="DF223" i="1" a="1"/>
  <c r="DF223" i="1" s="1"/>
  <c r="DF225" i="1" a="1"/>
  <c r="DF225" i="1" s="1"/>
  <c r="DF227" i="1" a="1"/>
  <c r="DF227" i="1" s="1"/>
  <c r="DF229" i="1" a="1"/>
  <c r="DF229" i="1" s="1"/>
  <c r="DF231" i="1" a="1"/>
  <c r="DF231" i="1" s="1"/>
  <c r="DF233" i="1" a="1"/>
  <c r="DF233" i="1" s="1"/>
  <c r="DF235" i="1" a="1"/>
  <c r="DF235" i="1" s="1"/>
  <c r="DF237" i="1" a="1"/>
  <c r="DF237" i="1" s="1"/>
  <c r="DF239" i="1" a="1"/>
  <c r="DF239" i="1" s="1"/>
  <c r="DF241" i="1" a="1"/>
  <c r="DF241" i="1" s="1"/>
  <c r="DF186" i="1" a="1"/>
  <c r="DF186" i="1" s="1"/>
  <c r="DF196" i="1" a="1"/>
  <c r="DF196" i="1" s="1"/>
  <c r="DF198" i="1" a="1"/>
  <c r="DF198" i="1" s="1"/>
  <c r="DF188" i="1" a="1"/>
  <c r="DF188" i="1" s="1"/>
  <c r="DF190" i="1" a="1"/>
  <c r="DF190" i="1" s="1"/>
  <c r="DF200" i="1" a="1"/>
  <c r="DF200" i="1" s="1"/>
  <c r="DF202" i="1" a="1"/>
  <c r="DF202" i="1" s="1"/>
  <c r="DF204" i="1" a="1"/>
  <c r="DF204" i="1" s="1"/>
  <c r="DF206" i="1" a="1"/>
  <c r="DF206" i="1" s="1"/>
  <c r="DF208" i="1" a="1"/>
  <c r="DF208" i="1" s="1"/>
  <c r="DF210" i="1" a="1"/>
  <c r="DF210" i="1" s="1"/>
  <c r="DF212" i="1" a="1"/>
  <c r="DF212" i="1" s="1"/>
  <c r="DF214" i="1" a="1"/>
  <c r="DF214" i="1" s="1"/>
  <c r="DF216" i="1" a="1"/>
  <c r="DF216" i="1" s="1"/>
  <c r="DF218" i="1" a="1"/>
  <c r="DF218" i="1" s="1"/>
  <c r="DF220" i="1" a="1"/>
  <c r="DF220" i="1" s="1"/>
  <c r="DF222" i="1" a="1"/>
  <c r="DF222" i="1" s="1"/>
  <c r="DF224" i="1" a="1"/>
  <c r="DF224" i="1" s="1"/>
  <c r="DF226" i="1" a="1"/>
  <c r="DF226" i="1" s="1"/>
  <c r="DF228" i="1" a="1"/>
  <c r="DF228" i="1" s="1"/>
  <c r="DF230" i="1" a="1"/>
  <c r="DF230" i="1" s="1"/>
  <c r="DF232" i="1" a="1"/>
  <c r="DF232" i="1" s="1"/>
  <c r="DF234" i="1" a="1"/>
  <c r="DF234" i="1" s="1"/>
  <c r="DF236" i="1" a="1"/>
  <c r="DF236" i="1" s="1"/>
  <c r="DF238" i="1" a="1"/>
  <c r="DF238" i="1" s="1"/>
  <c r="DF240" i="1" a="1"/>
  <c r="DF240" i="1" s="1"/>
  <c r="DF242" i="1" a="1"/>
  <c r="DF242" i="1" s="1"/>
  <c r="DF250" i="1" a="1"/>
  <c r="DF250" i="1" s="1"/>
  <c r="DF252" i="1" a="1"/>
  <c r="DF252" i="1" s="1"/>
  <c r="DF257" i="1" a="1"/>
  <c r="DF257" i="1" s="1"/>
  <c r="DF273" i="1" a="1"/>
  <c r="DF273" i="1" s="1"/>
  <c r="DF280" i="1" a="1"/>
  <c r="DF280" i="1" s="1"/>
  <c r="DF286" i="1" a="1"/>
  <c r="DF286" i="1" s="1"/>
  <c r="DF287" i="1" a="1"/>
  <c r="DF287" i="1" s="1"/>
  <c r="DF289" i="1" a="1"/>
  <c r="DF289" i="1" s="1"/>
  <c r="DF291" i="1" a="1"/>
  <c r="DF291" i="1" s="1"/>
  <c r="DF293" i="1" a="1"/>
  <c r="DF293" i="1" s="1"/>
  <c r="DF295" i="1" a="1"/>
  <c r="DF295" i="1" s="1"/>
  <c r="DF193" i="1" a="1"/>
  <c r="DF193" i="1" s="1"/>
  <c r="DF244" i="1" a="1"/>
  <c r="DF244" i="1" s="1"/>
  <c r="DF249" i="1" a="1"/>
  <c r="DF249" i="1" s="1"/>
  <c r="DF254" i="1" a="1"/>
  <c r="DF254" i="1" s="1"/>
  <c r="DF256" i="1" a="1"/>
  <c r="DF256" i="1" s="1"/>
  <c r="DF259" i="1" a="1"/>
  <c r="DF259" i="1" s="1"/>
  <c r="DF261" i="1" a="1"/>
  <c r="DF261" i="1" s="1"/>
  <c r="DF262" i="1" a="1"/>
  <c r="DF262" i="1" s="1"/>
  <c r="DF264" i="1" a="1"/>
  <c r="DF264" i="1" s="1"/>
  <c r="DF267" i="1" a="1"/>
  <c r="DF267" i="1" s="1"/>
  <c r="DF268" i="1" a="1"/>
  <c r="DF268" i="1" s="1"/>
  <c r="DF269" i="1" a="1"/>
  <c r="DF269" i="1" s="1"/>
  <c r="DF270" i="1" a="1"/>
  <c r="DF270" i="1" s="1"/>
  <c r="DF272" i="1" a="1"/>
  <c r="DF272" i="1" s="1"/>
  <c r="DF275" i="1" a="1"/>
  <c r="DF275" i="1" s="1"/>
  <c r="DF278" i="1" a="1"/>
  <c r="DF278" i="1" s="1"/>
  <c r="DF283" i="1" a="1"/>
  <c r="DF283" i="1" s="1"/>
  <c r="DF285" i="1" a="1"/>
  <c r="DF285" i="1" s="1"/>
  <c r="DF157" i="1" a="1"/>
  <c r="DF157" i="1" s="1"/>
  <c r="DF245" i="1" a="1"/>
  <c r="DF245" i="1" s="1"/>
  <c r="DF247" i="1" a="1"/>
  <c r="DF247" i="1" s="1"/>
  <c r="DF248" i="1" a="1"/>
  <c r="DF248" i="1" s="1"/>
  <c r="DF251" i="1" a="1"/>
  <c r="DF251" i="1" s="1"/>
  <c r="DF253" i="1" a="1"/>
  <c r="DF253" i="1" s="1"/>
  <c r="DF277" i="1" a="1"/>
  <c r="DF277" i="1" s="1"/>
  <c r="DF281" i="1" a="1"/>
  <c r="DF281" i="1" s="1"/>
  <c r="DF282" i="1" a="1"/>
  <c r="DF282" i="1" s="1"/>
  <c r="DF288" i="1" a="1"/>
  <c r="DF288" i="1" s="1"/>
  <c r="DF290" i="1" a="1"/>
  <c r="DF290" i="1" s="1"/>
  <c r="DF292" i="1" a="1"/>
  <c r="DF292" i="1" s="1"/>
  <c r="DF294" i="1" a="1"/>
  <c r="DF294" i="1" s="1"/>
  <c r="DF296" i="1" a="1"/>
  <c r="DF296" i="1" s="1"/>
  <c r="DF298" i="1" a="1"/>
  <c r="DF298" i="1" s="1"/>
  <c r="DF263" i="1" a="1"/>
  <c r="DF263" i="1" s="1"/>
  <c r="DF265" i="1" a="1"/>
  <c r="DF265" i="1" s="1"/>
  <c r="DF274" i="1" a="1"/>
  <c r="DF274" i="1" s="1"/>
  <c r="DF276" i="1" a="1"/>
  <c r="DF276" i="1" s="1"/>
  <c r="DF284" i="1" a="1"/>
  <c r="DF284" i="1" s="1"/>
  <c r="DF316" i="1" a="1"/>
  <c r="DF316" i="1" s="1"/>
  <c r="DF318" i="1" a="1"/>
  <c r="DF318" i="1" s="1"/>
  <c r="DF320" i="1" a="1"/>
  <c r="DF320" i="1" s="1"/>
  <c r="DF322" i="1" a="1"/>
  <c r="DF322" i="1" s="1"/>
  <c r="DF324" i="1" a="1"/>
  <c r="DF324" i="1" s="1"/>
  <c r="DF326" i="1" a="1"/>
  <c r="DF326" i="1" s="1"/>
  <c r="DF332" i="1" a="1"/>
  <c r="DF332" i="1" s="1"/>
  <c r="DF340" i="1" a="1"/>
  <c r="DF340" i="1" s="1"/>
  <c r="DF185" i="1" a="1"/>
  <c r="DF185" i="1" s="1"/>
  <c r="DF243" i="1" a="1"/>
  <c r="DF243" i="1" s="1"/>
  <c r="DF266" i="1" a="1"/>
  <c r="DF266" i="1" s="1"/>
  <c r="DF279" i="1" a="1"/>
  <c r="DF279" i="1" s="1"/>
  <c r="DF300" i="1" a="1"/>
  <c r="DF300" i="1" s="1"/>
  <c r="DF302" i="1" a="1"/>
  <c r="DF302" i="1" s="1"/>
  <c r="DF304" i="1" a="1"/>
  <c r="DF304" i="1" s="1"/>
  <c r="DF306" i="1" a="1"/>
  <c r="DF306" i="1" s="1"/>
  <c r="DF308" i="1" a="1"/>
  <c r="DF308" i="1" s="1"/>
  <c r="DF310" i="1" a="1"/>
  <c r="DF310" i="1" s="1"/>
  <c r="DF328" i="1" a="1"/>
  <c r="DF328" i="1" s="1"/>
  <c r="DF329" i="1" a="1"/>
  <c r="DF329" i="1" s="1"/>
  <c r="DF334" i="1" a="1"/>
  <c r="DF334" i="1" s="1"/>
  <c r="DF335" i="1" a="1"/>
  <c r="DF335" i="1" s="1"/>
  <c r="DF342" i="1" a="1"/>
  <c r="DF342" i="1" s="1"/>
  <c r="DF343" i="1" a="1"/>
  <c r="DF343" i="1" s="1"/>
  <c r="DF350" i="1" a="1"/>
  <c r="DF350" i="1" s="1"/>
  <c r="DF351" i="1" a="1"/>
  <c r="DF351" i="1" s="1"/>
  <c r="DF352" i="1" a="1"/>
  <c r="DF352" i="1" s="1"/>
  <c r="DF255" i="1" a="1"/>
  <c r="DF255" i="1" s="1"/>
  <c r="DF297" i="1" a="1"/>
  <c r="DF297" i="1" s="1"/>
  <c r="DF312" i="1" a="1"/>
  <c r="DF312" i="1" s="1"/>
  <c r="DF313" i="1" a="1"/>
  <c r="DF313" i="1" s="1"/>
  <c r="DF314" i="1" a="1"/>
  <c r="DF314" i="1" s="1"/>
  <c r="DF315" i="1" a="1"/>
  <c r="DF315" i="1" s="1"/>
  <c r="DF317" i="1" a="1"/>
  <c r="DF317" i="1" s="1"/>
  <c r="DF319" i="1" a="1"/>
  <c r="DF319" i="1" s="1"/>
  <c r="DF321" i="1" a="1"/>
  <c r="DF321" i="1" s="1"/>
  <c r="DF323" i="1" a="1"/>
  <c r="DF323" i="1" s="1"/>
  <c r="DF325" i="1" a="1"/>
  <c r="DF325" i="1" s="1"/>
  <c r="DF327" i="1" a="1"/>
  <c r="DF327" i="1" s="1"/>
  <c r="DF330" i="1" a="1"/>
  <c r="DF330" i="1" s="1"/>
  <c r="DF331" i="1" a="1"/>
  <c r="DF331" i="1" s="1"/>
  <c r="DF336" i="1" a="1"/>
  <c r="DF336" i="1" s="1"/>
  <c r="DF337" i="1" a="1"/>
  <c r="DF337" i="1" s="1"/>
  <c r="DF338" i="1" a="1"/>
  <c r="DF338" i="1" s="1"/>
  <c r="DF339" i="1" a="1"/>
  <c r="DF339" i="1" s="1"/>
  <c r="DF344" i="1" a="1"/>
  <c r="DF344" i="1" s="1"/>
  <c r="DF345" i="1" a="1"/>
  <c r="DF345" i="1" s="1"/>
  <c r="DF347" i="1" a="1"/>
  <c r="DF347" i="1" s="1"/>
  <c r="DF349" i="1" a="1"/>
  <c r="DF349" i="1" s="1"/>
  <c r="DF271" i="1" a="1"/>
  <c r="DF271" i="1" s="1"/>
  <c r="DF299" i="1" a="1"/>
  <c r="DF299" i="1" s="1"/>
  <c r="DF301" i="1" a="1"/>
  <c r="DF301" i="1" s="1"/>
  <c r="DF303" i="1" a="1"/>
  <c r="DF303" i="1" s="1"/>
  <c r="DF305" i="1" a="1"/>
  <c r="DF305" i="1" s="1"/>
  <c r="DF307" i="1" a="1"/>
  <c r="DF307" i="1" s="1"/>
  <c r="DF309" i="1" a="1"/>
  <c r="DF309" i="1" s="1"/>
  <c r="DF311" i="1" a="1"/>
  <c r="DF311" i="1" s="1"/>
  <c r="DF333" i="1" a="1"/>
  <c r="DF333" i="1" s="1"/>
  <c r="DF419" i="1" a="1"/>
  <c r="DF419" i="1" s="1"/>
  <c r="DF424" i="1" a="1"/>
  <c r="DF424" i="1" s="1"/>
  <c r="DF426" i="1" a="1"/>
  <c r="DF426" i="1" s="1"/>
  <c r="DF341" i="1" a="1"/>
  <c r="DF341" i="1" s="1"/>
  <c r="DF346" i="1" a="1"/>
  <c r="DF346" i="1" s="1"/>
  <c r="DF420" i="1" a="1"/>
  <c r="DF420" i="1" s="1"/>
  <c r="DF422" i="1" a="1"/>
  <c r="DF422" i="1" s="1"/>
  <c r="DF429" i="1" a="1"/>
  <c r="DF429" i="1" s="1"/>
  <c r="DF431" i="1" a="1"/>
  <c r="DF431" i="1" s="1"/>
  <c r="DF432" i="1" a="1"/>
  <c r="DF432" i="1" s="1"/>
  <c r="DF437" i="1" a="1"/>
  <c r="DF437" i="1" s="1"/>
  <c r="DF438" i="1" a="1"/>
  <c r="DF438" i="1" s="1"/>
  <c r="DF348" i="1" a="1"/>
  <c r="DF348" i="1" s="1"/>
  <c r="DF427" i="1" a="1"/>
  <c r="DF427" i="1" s="1"/>
  <c r="DF430" i="1" a="1"/>
  <c r="DF430" i="1" s="1"/>
  <c r="DF433" i="1" a="1"/>
  <c r="DF433" i="1" s="1"/>
  <c r="DB99" i="1" a="1"/>
  <c r="DB99" i="1" s="1"/>
  <c r="DB110" i="1" a="1"/>
  <c r="DB110" i="1" s="1"/>
  <c r="DB119" i="1" a="1"/>
  <c r="DB119" i="1" s="1"/>
  <c r="DB148" i="1" a="1"/>
  <c r="DB148" i="1" s="1"/>
  <c r="DB151" i="1" a="1"/>
  <c r="DB151" i="1" s="1"/>
  <c r="DB153" i="1" a="1"/>
  <c r="DB153" i="1" s="1"/>
  <c r="DB155" i="1" a="1"/>
  <c r="DB155" i="1" s="1"/>
  <c r="DB117" i="1" a="1"/>
  <c r="DB117" i="1" s="1"/>
  <c r="DB138" i="1" a="1"/>
  <c r="DB138" i="1" s="1"/>
  <c r="DB140" i="1" a="1"/>
  <c r="DB140" i="1" s="1"/>
  <c r="DB142" i="1" a="1"/>
  <c r="DB142" i="1" s="1"/>
  <c r="DB144" i="1" a="1"/>
  <c r="DB144" i="1" s="1"/>
  <c r="DB149" i="1" a="1"/>
  <c r="DB149" i="1" s="1"/>
  <c r="DB152" i="1" a="1"/>
  <c r="DB152" i="1" s="1"/>
  <c r="DB154" i="1" a="1"/>
  <c r="DB154" i="1" s="1"/>
  <c r="DB156" i="1" a="1"/>
  <c r="DB156" i="1" s="1"/>
  <c r="DB158" i="1" a="1"/>
  <c r="DB158" i="1" s="1"/>
  <c r="DB160" i="1" a="1"/>
  <c r="DB160" i="1" s="1"/>
  <c r="DB139" i="1" a="1"/>
  <c r="DB139" i="1" s="1"/>
  <c r="DB162" i="1" a="1"/>
  <c r="DB162" i="1" s="1"/>
  <c r="DB164" i="1" a="1"/>
  <c r="DB164" i="1" s="1"/>
  <c r="DB166" i="1" a="1"/>
  <c r="DB166" i="1" s="1"/>
  <c r="DB172" i="1" a="1"/>
  <c r="DB172" i="1" s="1"/>
  <c r="DB177" i="1" a="1"/>
  <c r="DB177" i="1" s="1"/>
  <c r="DB179" i="1" a="1"/>
  <c r="DB179" i="1" s="1"/>
  <c r="DB184" i="1" a="1"/>
  <c r="DB184" i="1" s="1"/>
  <c r="DB137" i="1" a="1"/>
  <c r="DB137" i="1" s="1"/>
  <c r="DB168" i="1" a="1"/>
  <c r="DB168" i="1" s="1"/>
  <c r="DB170" i="1" a="1"/>
  <c r="DB170" i="1" s="1"/>
  <c r="DB171" i="1" a="1"/>
  <c r="DB171" i="1" s="1"/>
  <c r="DB174" i="1" a="1"/>
  <c r="DB174" i="1" s="1"/>
  <c r="DB176" i="1" a="1"/>
  <c r="DB176" i="1" s="1"/>
  <c r="DB181" i="1" a="1"/>
  <c r="DB181" i="1" s="1"/>
  <c r="DB183" i="1" a="1"/>
  <c r="DB183" i="1" s="1"/>
  <c r="DB146" i="1" a="1"/>
  <c r="DB146" i="1" s="1"/>
  <c r="DB157" i="1" a="1"/>
  <c r="DB157" i="1" s="1"/>
  <c r="DB161" i="1" a="1"/>
  <c r="DB161" i="1" s="1"/>
  <c r="DB163" i="1" a="1"/>
  <c r="DB163" i="1" s="1"/>
  <c r="DB165" i="1" a="1"/>
  <c r="DB165" i="1" s="1"/>
  <c r="DB167" i="1" a="1"/>
  <c r="DB167" i="1" s="1"/>
  <c r="DB173" i="1" a="1"/>
  <c r="DB173" i="1" s="1"/>
  <c r="DB178" i="1" a="1"/>
  <c r="DB178" i="1" s="1"/>
  <c r="DB185" i="1" a="1"/>
  <c r="DB185" i="1" s="1"/>
  <c r="DB187" i="1" a="1"/>
  <c r="DB187" i="1" s="1"/>
  <c r="DB180" i="1" a="1"/>
  <c r="DB180" i="1" s="1"/>
  <c r="DB186" i="1" a="1"/>
  <c r="DB186" i="1" s="1"/>
  <c r="DB188" i="1" a="1"/>
  <c r="DB188" i="1" s="1"/>
  <c r="DB190" i="1" a="1"/>
  <c r="DB190" i="1" s="1"/>
  <c r="DB193" i="1" a="1"/>
  <c r="DB193" i="1" s="1"/>
  <c r="DB200" i="1" a="1"/>
  <c r="DB200" i="1" s="1"/>
  <c r="DB202" i="1" a="1"/>
  <c r="DB202" i="1" s="1"/>
  <c r="DB204" i="1" a="1"/>
  <c r="DB204" i="1" s="1"/>
  <c r="DB206" i="1" a="1"/>
  <c r="DB206" i="1" s="1"/>
  <c r="DB208" i="1" a="1"/>
  <c r="DB208" i="1" s="1"/>
  <c r="DB210" i="1" a="1"/>
  <c r="DB210" i="1" s="1"/>
  <c r="DB212" i="1" a="1"/>
  <c r="DB212" i="1" s="1"/>
  <c r="DB214" i="1" a="1"/>
  <c r="DB214" i="1" s="1"/>
  <c r="DB216" i="1" a="1"/>
  <c r="DB216" i="1" s="1"/>
  <c r="DB218" i="1" a="1"/>
  <c r="DB218" i="1" s="1"/>
  <c r="DB220" i="1" a="1"/>
  <c r="DB220" i="1" s="1"/>
  <c r="DB222" i="1" a="1"/>
  <c r="DB222" i="1" s="1"/>
  <c r="DB224" i="1" a="1"/>
  <c r="DB224" i="1" s="1"/>
  <c r="DB226" i="1" a="1"/>
  <c r="DB226" i="1" s="1"/>
  <c r="DB228" i="1" a="1"/>
  <c r="DB228" i="1" s="1"/>
  <c r="DB230" i="1" a="1"/>
  <c r="DB230" i="1" s="1"/>
  <c r="DB232" i="1" a="1"/>
  <c r="DB232" i="1" s="1"/>
  <c r="DB234" i="1" a="1"/>
  <c r="DB234" i="1" s="1"/>
  <c r="DB236" i="1" a="1"/>
  <c r="DB236" i="1" s="1"/>
  <c r="DB238" i="1" a="1"/>
  <c r="DB238" i="1" s="1"/>
  <c r="DB240" i="1" a="1"/>
  <c r="DB240" i="1" s="1"/>
  <c r="DB242" i="1" a="1"/>
  <c r="DB242" i="1" s="1"/>
  <c r="DB244" i="1" a="1"/>
  <c r="DB244" i="1" s="1"/>
  <c r="DB141" i="1" a="1"/>
  <c r="DB141" i="1" s="1"/>
  <c r="DB192" i="1" a="1"/>
  <c r="DB192" i="1" s="1"/>
  <c r="DB195" i="1" a="1"/>
  <c r="DB195" i="1" s="1"/>
  <c r="DB197" i="1" a="1"/>
  <c r="DB197" i="1" s="1"/>
  <c r="DB199" i="1" a="1"/>
  <c r="DB199" i="1" s="1"/>
  <c r="DB159" i="1" a="1"/>
  <c r="DB159" i="1" s="1"/>
  <c r="DB189" i="1" a="1"/>
  <c r="DB189" i="1" s="1"/>
  <c r="DB191" i="1" a="1"/>
  <c r="DB191" i="1" s="1"/>
  <c r="DB194" i="1" a="1"/>
  <c r="DB194" i="1" s="1"/>
  <c r="DB201" i="1" a="1"/>
  <c r="DB201" i="1" s="1"/>
  <c r="DB203" i="1" a="1"/>
  <c r="DB203" i="1" s="1"/>
  <c r="DB205" i="1" a="1"/>
  <c r="DB205" i="1" s="1"/>
  <c r="DB207" i="1" a="1"/>
  <c r="DB207" i="1" s="1"/>
  <c r="DB209" i="1" a="1"/>
  <c r="DB209" i="1" s="1"/>
  <c r="DB211" i="1" a="1"/>
  <c r="DB211" i="1" s="1"/>
  <c r="DB213" i="1" a="1"/>
  <c r="DB213" i="1" s="1"/>
  <c r="DB215" i="1" a="1"/>
  <c r="DB215" i="1" s="1"/>
  <c r="DB217" i="1" a="1"/>
  <c r="DB217" i="1" s="1"/>
  <c r="DB219" i="1" a="1"/>
  <c r="DB219" i="1" s="1"/>
  <c r="DB221" i="1" a="1"/>
  <c r="DB221" i="1" s="1"/>
  <c r="DB223" i="1" a="1"/>
  <c r="DB223" i="1" s="1"/>
  <c r="DB225" i="1" a="1"/>
  <c r="DB225" i="1" s="1"/>
  <c r="DB227" i="1" a="1"/>
  <c r="DB227" i="1" s="1"/>
  <c r="DB229" i="1" a="1"/>
  <c r="DB229" i="1" s="1"/>
  <c r="DB231" i="1" a="1"/>
  <c r="DB231" i="1" s="1"/>
  <c r="DB233" i="1" a="1"/>
  <c r="DB233" i="1" s="1"/>
  <c r="DB235" i="1" a="1"/>
  <c r="DB235" i="1" s="1"/>
  <c r="DB237" i="1" a="1"/>
  <c r="DB237" i="1" s="1"/>
  <c r="DB239" i="1" a="1"/>
  <c r="DB239" i="1" s="1"/>
  <c r="DB241" i="1" a="1"/>
  <c r="DB241" i="1" s="1"/>
  <c r="DB243" i="1" a="1"/>
  <c r="DB243" i="1" s="1"/>
  <c r="DB175" i="1" a="1"/>
  <c r="DB175" i="1" s="1"/>
  <c r="DB196" i="1" a="1"/>
  <c r="DB196" i="1" s="1"/>
  <c r="DB245" i="1" a="1"/>
  <c r="DB245" i="1" s="1"/>
  <c r="DB247" i="1" a="1"/>
  <c r="DB247" i="1" s="1"/>
  <c r="DB255" i="1" a="1"/>
  <c r="DB255" i="1" s="1"/>
  <c r="DB258" i="1" a="1"/>
  <c r="DB258" i="1" s="1"/>
  <c r="DB260" i="1" a="1"/>
  <c r="DB260" i="1" s="1"/>
  <c r="DB263" i="1" a="1"/>
  <c r="DB263" i="1" s="1"/>
  <c r="DB265" i="1" a="1"/>
  <c r="DB265" i="1" s="1"/>
  <c r="DB271" i="1" a="1"/>
  <c r="DB271" i="1" s="1"/>
  <c r="DB274" i="1" a="1"/>
  <c r="DB274" i="1" s="1"/>
  <c r="DB276" i="1" a="1"/>
  <c r="DB276" i="1" s="1"/>
  <c r="DB279" i="1" a="1"/>
  <c r="DB279" i="1" s="1"/>
  <c r="DB284" i="1" a="1"/>
  <c r="DB284" i="1" s="1"/>
  <c r="DB286" i="1" a="1"/>
  <c r="DB286" i="1" s="1"/>
  <c r="DB182" i="1" a="1"/>
  <c r="DB182" i="1" s="1"/>
  <c r="DB250" i="1" a="1"/>
  <c r="DB250" i="1" s="1"/>
  <c r="DB252" i="1" a="1"/>
  <c r="DB252" i="1" s="1"/>
  <c r="DB257" i="1" a="1"/>
  <c r="DB257" i="1" s="1"/>
  <c r="DB262" i="1" a="1"/>
  <c r="DB262" i="1" s="1"/>
  <c r="DB268" i="1" a="1"/>
  <c r="DB268" i="1" s="1"/>
  <c r="DB270" i="1" a="1"/>
  <c r="DB270" i="1" s="1"/>
  <c r="DB273" i="1" a="1"/>
  <c r="DB273" i="1" s="1"/>
  <c r="DB280" i="1" a="1"/>
  <c r="DB280" i="1" s="1"/>
  <c r="DB287" i="1" a="1"/>
  <c r="DB287" i="1" s="1"/>
  <c r="DB289" i="1" a="1"/>
  <c r="DB289" i="1" s="1"/>
  <c r="DB291" i="1" a="1"/>
  <c r="DB291" i="1" s="1"/>
  <c r="DB293" i="1" a="1"/>
  <c r="DB293" i="1" s="1"/>
  <c r="DB169" i="1" a="1"/>
  <c r="DB169" i="1" s="1"/>
  <c r="DB246" i="1" a="1"/>
  <c r="DB246" i="1" s="1"/>
  <c r="DB249" i="1" a="1"/>
  <c r="DB249" i="1" s="1"/>
  <c r="DB254" i="1" a="1"/>
  <c r="DB254" i="1" s="1"/>
  <c r="DB256" i="1" a="1"/>
  <c r="DB256" i="1" s="1"/>
  <c r="DB259" i="1" a="1"/>
  <c r="DB259" i="1" s="1"/>
  <c r="DB261" i="1" a="1"/>
  <c r="DB261" i="1" s="1"/>
  <c r="DB264" i="1" a="1"/>
  <c r="DB264" i="1" s="1"/>
  <c r="DB267" i="1" a="1"/>
  <c r="DB267" i="1" s="1"/>
  <c r="DB269" i="1" a="1"/>
  <c r="DB269" i="1" s="1"/>
  <c r="DB272" i="1" a="1"/>
  <c r="DB272" i="1" s="1"/>
  <c r="DB275" i="1" a="1"/>
  <c r="DB275" i="1" s="1"/>
  <c r="DB278" i="1" a="1"/>
  <c r="DB278" i="1" s="1"/>
  <c r="DB282" i="1" a="1"/>
  <c r="DB282" i="1" s="1"/>
  <c r="DB283" i="1" a="1"/>
  <c r="DB283" i="1" s="1"/>
  <c r="DB285" i="1" a="1"/>
  <c r="DB285" i="1" s="1"/>
  <c r="DB198" i="1" a="1"/>
  <c r="DB198" i="1" s="1"/>
  <c r="DB253" i="1" a="1"/>
  <c r="DB253" i="1" s="1"/>
  <c r="DB266" i="1" a="1"/>
  <c r="DB266" i="1" s="1"/>
  <c r="DB294" i="1" a="1"/>
  <c r="DB294" i="1" s="1"/>
  <c r="DB295" i="1" a="1"/>
  <c r="DB295" i="1" s="1"/>
  <c r="DB297" i="1" a="1"/>
  <c r="DB297" i="1" s="1"/>
  <c r="DB298" i="1" a="1"/>
  <c r="DB298" i="1" s="1"/>
  <c r="DB299" i="1" a="1"/>
  <c r="DB299" i="1" s="1"/>
  <c r="DB301" i="1" a="1"/>
  <c r="DB301" i="1" s="1"/>
  <c r="DB303" i="1" a="1"/>
  <c r="DB303" i="1" s="1"/>
  <c r="DB305" i="1" a="1"/>
  <c r="DB305" i="1" s="1"/>
  <c r="DB307" i="1" a="1"/>
  <c r="DB307" i="1" s="1"/>
  <c r="DB309" i="1" a="1"/>
  <c r="DB309" i="1" s="1"/>
  <c r="DB311" i="1" a="1"/>
  <c r="DB311" i="1" s="1"/>
  <c r="DB333" i="1" a="1"/>
  <c r="DB333" i="1" s="1"/>
  <c r="DB248" i="1" a="1"/>
  <c r="DB248" i="1" s="1"/>
  <c r="DB251" i="1" a="1"/>
  <c r="DB251" i="1" s="1"/>
  <c r="DB281" i="1" a="1"/>
  <c r="DB281" i="1" s="1"/>
  <c r="DB292" i="1" a="1"/>
  <c r="DB292" i="1" s="1"/>
  <c r="DB316" i="1" a="1"/>
  <c r="DB316" i="1" s="1"/>
  <c r="DB318" i="1" a="1"/>
  <c r="DB318" i="1" s="1"/>
  <c r="DB320" i="1" a="1"/>
  <c r="DB320" i="1" s="1"/>
  <c r="DB322" i="1" a="1"/>
  <c r="DB322" i="1" s="1"/>
  <c r="DB324" i="1" a="1"/>
  <c r="DB324" i="1" s="1"/>
  <c r="DB326" i="1" a="1"/>
  <c r="DB326" i="1" s="1"/>
  <c r="DB328" i="1" a="1"/>
  <c r="DB328" i="1" s="1"/>
  <c r="DB329" i="1" a="1"/>
  <c r="DB329" i="1" s="1"/>
  <c r="DB332" i="1" a="1"/>
  <c r="DB332" i="1" s="1"/>
  <c r="DB334" i="1" a="1"/>
  <c r="DB334" i="1" s="1"/>
  <c r="DB335" i="1" a="1"/>
  <c r="DB335" i="1" s="1"/>
  <c r="DB340" i="1" a="1"/>
  <c r="DB340" i="1" s="1"/>
  <c r="DB342" i="1" a="1"/>
  <c r="DB342" i="1" s="1"/>
  <c r="DB343" i="1" a="1"/>
  <c r="DB343" i="1" s="1"/>
  <c r="DB346" i="1" a="1"/>
  <c r="DB346" i="1" s="1"/>
  <c r="DB348" i="1" a="1"/>
  <c r="DB348" i="1" s="1"/>
  <c r="DB350" i="1" a="1"/>
  <c r="DB350" i="1" s="1"/>
  <c r="DB351" i="1" a="1"/>
  <c r="DB351" i="1" s="1"/>
  <c r="DB352" i="1" a="1"/>
  <c r="DB352" i="1" s="1"/>
  <c r="DB290" i="1" a="1"/>
  <c r="DB290" i="1" s="1"/>
  <c r="DB296" i="1" a="1"/>
  <c r="DB296" i="1" s="1"/>
  <c r="DB300" i="1" a="1"/>
  <c r="DB300" i="1" s="1"/>
  <c r="DB302" i="1" a="1"/>
  <c r="DB302" i="1" s="1"/>
  <c r="DB304" i="1" a="1"/>
  <c r="DB304" i="1" s="1"/>
  <c r="DB306" i="1" a="1"/>
  <c r="DB306" i="1" s="1"/>
  <c r="DB308" i="1" a="1"/>
  <c r="DB308" i="1" s="1"/>
  <c r="DB310" i="1" a="1"/>
  <c r="DB310" i="1" s="1"/>
  <c r="DB312" i="1" a="1"/>
  <c r="DB312" i="1" s="1"/>
  <c r="DB313" i="1" a="1"/>
  <c r="DB313" i="1" s="1"/>
  <c r="DB314" i="1" a="1"/>
  <c r="DB314" i="1" s="1"/>
  <c r="DB315" i="1" a="1"/>
  <c r="DB315" i="1" s="1"/>
  <c r="DB330" i="1" a="1"/>
  <c r="DB330" i="1" s="1"/>
  <c r="DB331" i="1" a="1"/>
  <c r="DB331" i="1" s="1"/>
  <c r="DB336" i="1" a="1"/>
  <c r="DB336" i="1" s="1"/>
  <c r="DB338" i="1" a="1"/>
  <c r="DB338" i="1" s="1"/>
  <c r="DB339" i="1" a="1"/>
  <c r="DB339" i="1" s="1"/>
  <c r="DB344" i="1" a="1"/>
  <c r="DB344" i="1" s="1"/>
  <c r="DB317" i="1" a="1"/>
  <c r="DB317" i="1" s="1"/>
  <c r="DB325" i="1" a="1"/>
  <c r="DB325" i="1" s="1"/>
  <c r="DB341" i="1" a="1"/>
  <c r="DB341" i="1" s="1"/>
  <c r="DB349" i="1" a="1"/>
  <c r="DB349" i="1" s="1"/>
  <c r="DB419" i="1" a="1"/>
  <c r="DB419" i="1" s="1"/>
  <c r="DB424" i="1" a="1"/>
  <c r="DB424" i="1" s="1"/>
  <c r="DB426" i="1" a="1"/>
  <c r="DB426" i="1" s="1"/>
  <c r="DB277" i="1" a="1"/>
  <c r="DB277" i="1" s="1"/>
  <c r="DB323" i="1" a="1"/>
  <c r="DB323" i="1" s="1"/>
  <c r="DB420" i="1" a="1"/>
  <c r="DB420" i="1" s="1"/>
  <c r="DB422" i="1" a="1"/>
  <c r="DB422" i="1" s="1"/>
  <c r="DB429" i="1" a="1"/>
  <c r="DB429" i="1" s="1"/>
  <c r="DB431" i="1" a="1"/>
  <c r="DB431" i="1" s="1"/>
  <c r="DB432" i="1" a="1"/>
  <c r="DB432" i="1" s="1"/>
  <c r="DB437" i="1" a="1"/>
  <c r="DB437" i="1" s="1"/>
  <c r="DB438" i="1" a="1"/>
  <c r="DB438" i="1" s="1"/>
  <c r="DB321" i="1" a="1"/>
  <c r="DB321" i="1" s="1"/>
  <c r="DB337" i="1" a="1"/>
  <c r="DB337" i="1" s="1"/>
  <c r="DB345" i="1" a="1"/>
  <c r="DB345" i="1" s="1"/>
  <c r="DB423" i="1" a="1"/>
  <c r="DB423" i="1" s="1"/>
  <c r="DB427" i="1" a="1"/>
  <c r="DB427" i="1" s="1"/>
  <c r="DB430" i="1" a="1"/>
  <c r="DB430" i="1" s="1"/>
  <c r="DB433" i="1" a="1"/>
  <c r="DB433" i="1" s="1"/>
  <c r="DB434" i="1" a="1"/>
  <c r="DB434" i="1" s="1"/>
  <c r="DO22" i="1" a="1"/>
  <c r="DO22" i="1" s="1"/>
  <c r="DK22" i="1" a="1"/>
  <c r="DK22" i="1" s="1"/>
  <c r="DG22" i="1" a="1"/>
  <c r="DG22" i="1" s="1"/>
  <c r="DC22" i="1" a="1"/>
  <c r="DC22" i="1" s="1"/>
  <c r="CY22" i="1" a="1"/>
  <c r="CY22" i="1" s="1"/>
  <c r="CU22" i="1" a="1"/>
  <c r="CU22" i="1" s="1"/>
  <c r="CQ22" i="1" a="1"/>
  <c r="CQ22" i="1" s="1"/>
  <c r="DL507" i="1" a="1"/>
  <c r="DL507" i="1" s="1"/>
  <c r="DI507" i="1" a="1"/>
  <c r="DI507" i="1" s="1"/>
  <c r="DE507" i="1" a="1"/>
  <c r="DE507" i="1" s="1"/>
  <c r="DA507" i="1" a="1"/>
  <c r="DA507" i="1" s="1"/>
  <c r="CW507" i="1" a="1"/>
  <c r="CW507" i="1" s="1"/>
  <c r="CS507" i="1" a="1"/>
  <c r="CS507" i="1" s="1"/>
  <c r="DM506" i="1" a="1"/>
  <c r="DM506" i="1" s="1"/>
  <c r="DI506" i="1" a="1"/>
  <c r="DI506" i="1" s="1"/>
  <c r="DE506" i="1" a="1"/>
  <c r="DE506" i="1" s="1"/>
  <c r="DA506" i="1" a="1"/>
  <c r="DA506" i="1" s="1"/>
  <c r="CX506" i="1" a="1"/>
  <c r="CX506" i="1" s="1"/>
  <c r="CT506" i="1" a="1"/>
  <c r="CT506" i="1" s="1"/>
  <c r="DN505" i="1" a="1"/>
  <c r="DN505" i="1" s="1"/>
  <c r="DJ505" i="1" a="1"/>
  <c r="DJ505" i="1" s="1"/>
  <c r="DF505" i="1" a="1"/>
  <c r="DF505" i="1" s="1"/>
  <c r="DC505" i="1" a="1"/>
  <c r="DC505" i="1" s="1"/>
  <c r="CY505" i="1" a="1"/>
  <c r="CY505" i="1" s="1"/>
  <c r="CU505" i="1" a="1"/>
  <c r="CU505" i="1" s="1"/>
  <c r="CQ505" i="1" a="1"/>
  <c r="CQ505" i="1" s="1"/>
  <c r="DO504" i="1" a="1"/>
  <c r="DO504" i="1" s="1"/>
  <c r="DK504" i="1" a="1"/>
  <c r="DK504" i="1" s="1"/>
  <c r="DG504" i="1" a="1"/>
  <c r="DG504" i="1" s="1"/>
  <c r="DC504" i="1" a="1"/>
  <c r="DC504" i="1" s="1"/>
  <c r="CY504" i="1" a="1"/>
  <c r="CY504" i="1" s="1"/>
  <c r="CU504" i="1" a="1"/>
  <c r="CU504" i="1" s="1"/>
  <c r="CQ504" i="1" a="1"/>
  <c r="CQ504" i="1" s="1"/>
  <c r="DO503" i="1" a="1"/>
  <c r="DO503" i="1" s="1"/>
  <c r="DK503" i="1" a="1"/>
  <c r="DK503" i="1" s="1"/>
  <c r="DG503" i="1" a="1"/>
  <c r="DG503" i="1" s="1"/>
  <c r="DC503" i="1" a="1"/>
  <c r="DC503" i="1" s="1"/>
  <c r="CY503" i="1" a="1"/>
  <c r="CY503" i="1" s="1"/>
  <c r="CU503" i="1" a="1"/>
  <c r="CU503" i="1" s="1"/>
  <c r="CQ503" i="1" a="1"/>
  <c r="CQ503" i="1" s="1"/>
  <c r="DO502" i="1" a="1"/>
  <c r="DO502" i="1" s="1"/>
  <c r="DK502" i="1" a="1"/>
  <c r="DK502" i="1" s="1"/>
  <c r="DG502" i="1" a="1"/>
  <c r="DG502" i="1" s="1"/>
  <c r="DC502" i="1" a="1"/>
  <c r="DC502" i="1" s="1"/>
  <c r="CY502" i="1" a="1"/>
  <c r="CY502" i="1" s="1"/>
  <c r="CU502" i="1" a="1"/>
  <c r="CU502" i="1" s="1"/>
  <c r="CQ502" i="1" a="1"/>
  <c r="CQ502" i="1" s="1"/>
  <c r="DO501" i="1" a="1"/>
  <c r="DO501" i="1" s="1"/>
  <c r="DH501" i="1" a="1"/>
  <c r="DH501" i="1" s="1"/>
  <c r="DD501" i="1" a="1"/>
  <c r="DD501" i="1" s="1"/>
  <c r="CZ501" i="1" a="1"/>
  <c r="CZ501" i="1" s="1"/>
  <c r="CV501" i="1" a="1"/>
  <c r="CV501" i="1" s="1"/>
  <c r="CR501" i="1" a="1"/>
  <c r="CR501" i="1" s="1"/>
  <c r="DM500" i="1" a="1"/>
  <c r="DM500" i="1" s="1"/>
  <c r="DI500" i="1" a="1"/>
  <c r="DI500" i="1" s="1"/>
  <c r="DF500" i="1" a="1"/>
  <c r="DF500" i="1" s="1"/>
  <c r="DB500" i="1" a="1"/>
  <c r="DB500" i="1" s="1"/>
  <c r="CX500" i="1" a="1"/>
  <c r="CX500" i="1" s="1"/>
  <c r="CT500" i="1" a="1"/>
  <c r="CT500" i="1" s="1"/>
  <c r="DN499" i="1" a="1"/>
  <c r="DN499" i="1" s="1"/>
  <c r="DJ499" i="1" a="1"/>
  <c r="DJ499" i="1" s="1"/>
  <c r="DF499" i="1" a="1"/>
  <c r="DF499" i="1" s="1"/>
  <c r="DB499" i="1" a="1"/>
  <c r="DB499" i="1" s="1"/>
  <c r="CX499" i="1" a="1"/>
  <c r="CX499" i="1" s="1"/>
  <c r="CT499" i="1" a="1"/>
  <c r="CT499" i="1" s="1"/>
  <c r="DO498" i="1" a="1"/>
  <c r="DO498" i="1" s="1"/>
  <c r="DK498" i="1" a="1"/>
  <c r="DK498" i="1" s="1"/>
  <c r="DG498" i="1" a="1"/>
  <c r="DG498" i="1" s="1"/>
  <c r="DC498" i="1" a="1"/>
  <c r="DC498" i="1" s="1"/>
  <c r="CV498" i="1" a="1"/>
  <c r="CV498" i="1" s="1"/>
  <c r="CR498" i="1" a="1"/>
  <c r="CR498" i="1" s="1"/>
  <c r="DL497" i="1" a="1"/>
  <c r="DL497" i="1" s="1"/>
  <c r="DH497" i="1" a="1"/>
  <c r="DH497" i="1" s="1"/>
  <c r="DD497" i="1" a="1"/>
  <c r="DD497" i="1" s="1"/>
  <c r="DA497" i="1" a="1"/>
  <c r="DA497" i="1" s="1"/>
  <c r="CW497" i="1" a="1"/>
  <c r="CW497" i="1" s="1"/>
  <c r="CS497" i="1" a="1"/>
  <c r="CS497" i="1" s="1"/>
  <c r="DM496" i="1" a="1"/>
  <c r="DM496" i="1" s="1"/>
  <c r="DI496" i="1" a="1"/>
  <c r="DI496" i="1" s="1"/>
  <c r="DE496" i="1" a="1"/>
  <c r="DE496" i="1" s="1"/>
  <c r="DA496" i="1" a="1"/>
  <c r="DA496" i="1" s="1"/>
  <c r="CW496" i="1" a="1"/>
  <c r="CW496" i="1" s="1"/>
  <c r="CS496" i="1" a="1"/>
  <c r="CS496" i="1" s="1"/>
  <c r="DM495" i="1" a="1"/>
  <c r="DM495" i="1" s="1"/>
  <c r="DJ495" i="1" a="1"/>
  <c r="DJ495" i="1" s="1"/>
  <c r="DF495" i="1" a="1"/>
  <c r="DF495" i="1" s="1"/>
  <c r="DB495" i="1" a="1"/>
  <c r="DB495" i="1" s="1"/>
  <c r="CY495" i="1" a="1"/>
  <c r="CY495" i="1" s="1"/>
  <c r="CU495" i="1" a="1"/>
  <c r="CU495" i="1" s="1"/>
  <c r="CQ495" i="1" a="1"/>
  <c r="CQ495" i="1" s="1"/>
  <c r="DO494" i="1" a="1"/>
  <c r="DO494" i="1" s="1"/>
  <c r="DK494" i="1" a="1"/>
  <c r="DK494" i="1" s="1"/>
  <c r="DG494" i="1" a="1"/>
  <c r="DG494" i="1" s="1"/>
  <c r="DC494" i="1" a="1"/>
  <c r="DC494" i="1" s="1"/>
  <c r="CY494" i="1" a="1"/>
  <c r="CY494" i="1" s="1"/>
  <c r="CU494" i="1" a="1"/>
  <c r="CU494" i="1" s="1"/>
  <c r="CQ494" i="1" a="1"/>
  <c r="CQ494" i="1" s="1"/>
  <c r="DO493" i="1" a="1"/>
  <c r="DO493" i="1" s="1"/>
  <c r="DH493" i="1" a="1"/>
  <c r="DH493" i="1" s="1"/>
  <c r="DD493" i="1" a="1"/>
  <c r="DD493" i="1" s="1"/>
  <c r="CZ493" i="1" a="1"/>
  <c r="CZ493" i="1" s="1"/>
  <c r="CV493" i="1" a="1"/>
  <c r="CV493" i="1" s="1"/>
  <c r="CR493" i="1" a="1"/>
  <c r="CR493" i="1" s="1"/>
  <c r="DL492" i="1" a="1"/>
  <c r="DL492" i="1" s="1"/>
  <c r="DH492" i="1" a="1"/>
  <c r="DH492" i="1" s="1"/>
  <c r="DD492" i="1" a="1"/>
  <c r="DD492" i="1" s="1"/>
  <c r="CZ492" i="1" a="1"/>
  <c r="CZ492" i="1" s="1"/>
  <c r="CV492" i="1" a="1"/>
  <c r="CV492" i="1" s="1"/>
  <c r="CR492" i="1" a="1"/>
  <c r="CR492" i="1" s="1"/>
  <c r="DL491" i="1" a="1"/>
  <c r="DL491" i="1" s="1"/>
  <c r="DH491" i="1" a="1"/>
  <c r="DH491" i="1" s="1"/>
  <c r="DD491" i="1" a="1"/>
  <c r="DD491" i="1" s="1"/>
  <c r="DA491" i="1" a="1"/>
  <c r="DA491" i="1" s="1"/>
  <c r="CW491" i="1" a="1"/>
  <c r="CW491" i="1" s="1"/>
  <c r="CS491" i="1" a="1"/>
  <c r="CS491" i="1" s="1"/>
  <c r="DN490" i="1" a="1"/>
  <c r="DN490" i="1" s="1"/>
  <c r="DJ490" i="1" a="1"/>
  <c r="DJ490" i="1" s="1"/>
  <c r="DF490" i="1" a="1"/>
  <c r="DF490" i="1" s="1"/>
  <c r="DB490" i="1" a="1"/>
  <c r="DB490" i="1" s="1"/>
  <c r="CX490" i="1" a="1"/>
  <c r="CX490" i="1" s="1"/>
  <c r="CT490" i="1" a="1"/>
  <c r="CT490" i="1" s="1"/>
  <c r="DN489" i="1" a="1"/>
  <c r="DN489" i="1" s="1"/>
  <c r="DJ489" i="1" a="1"/>
  <c r="DJ489" i="1" s="1"/>
  <c r="DG489" i="1" a="1"/>
  <c r="DG489" i="1" s="1"/>
  <c r="CZ489" i="1" a="1"/>
  <c r="CZ489" i="1" s="1"/>
  <c r="CV489" i="1" a="1"/>
  <c r="CV489" i="1" s="1"/>
  <c r="CR489" i="1" a="1"/>
  <c r="CR489" i="1" s="1"/>
  <c r="DL488" i="1" a="1"/>
  <c r="DL488" i="1" s="1"/>
  <c r="DH488" i="1" a="1"/>
  <c r="DH488" i="1" s="1"/>
  <c r="DE488" i="1" a="1"/>
  <c r="DE488" i="1" s="1"/>
  <c r="DA488" i="1" a="1"/>
  <c r="DA488" i="1" s="1"/>
  <c r="CW488" i="1" a="1"/>
  <c r="CW488" i="1" s="1"/>
  <c r="CS488" i="1" a="1"/>
  <c r="CS488" i="1" s="1"/>
  <c r="DM487" i="1" a="1"/>
  <c r="DM487" i="1" s="1"/>
  <c r="DJ487" i="1" a="1"/>
  <c r="DJ487" i="1" s="1"/>
  <c r="DF487" i="1" a="1"/>
  <c r="DF487" i="1" s="1"/>
  <c r="DB487" i="1" a="1"/>
  <c r="DB487" i="1" s="1"/>
  <c r="CX487" i="1" a="1"/>
  <c r="CX487" i="1" s="1"/>
  <c r="CU487" i="1" a="1"/>
  <c r="CU487" i="1" s="1"/>
  <c r="CQ487" i="1" a="1"/>
  <c r="CQ487" i="1" s="1"/>
  <c r="DO486" i="1" a="1"/>
  <c r="DO486" i="1" s="1"/>
  <c r="DK486" i="1" a="1"/>
  <c r="DK486" i="1" s="1"/>
  <c r="DD486" i="1" a="1"/>
  <c r="DD486" i="1" s="1"/>
  <c r="CZ486" i="1" a="1"/>
  <c r="CZ486" i="1" s="1"/>
  <c r="CW486" i="1" a="1"/>
  <c r="CW486" i="1" s="1"/>
  <c r="CS486" i="1" a="1"/>
  <c r="CS486" i="1" s="1"/>
  <c r="DM485" i="1" a="1"/>
  <c r="DM485" i="1" s="1"/>
  <c r="DI485" i="1" a="1"/>
  <c r="DI485" i="1" s="1"/>
  <c r="DE485" i="1" a="1"/>
  <c r="DE485" i="1" s="1"/>
  <c r="DA485" i="1" a="1"/>
  <c r="DA485" i="1" s="1"/>
  <c r="CW485" i="1" a="1"/>
  <c r="CW485" i="1" s="1"/>
  <c r="CT485" i="1" a="1"/>
  <c r="CT485" i="1" s="1"/>
  <c r="DO484" i="1" a="1"/>
  <c r="DO484" i="1" s="1"/>
  <c r="DK484" i="1" a="1"/>
  <c r="DK484" i="1" s="1"/>
  <c r="DG484" i="1" a="1"/>
  <c r="DG484" i="1" s="1"/>
  <c r="DC484" i="1" a="1"/>
  <c r="DC484" i="1" s="1"/>
  <c r="CY484" i="1" a="1"/>
  <c r="CY484" i="1" s="1"/>
  <c r="CU484" i="1" a="1"/>
  <c r="CU484" i="1" s="1"/>
  <c r="DL483" i="1" a="1"/>
  <c r="DL483" i="1" s="1"/>
  <c r="DI483" i="1" a="1"/>
  <c r="DI483" i="1" s="1"/>
  <c r="DE483" i="1" a="1"/>
  <c r="DE483" i="1" s="1"/>
  <c r="DA483" i="1" a="1"/>
  <c r="DA483" i="1" s="1"/>
  <c r="CW483" i="1" a="1"/>
  <c r="CW483" i="1" s="1"/>
  <c r="CS483" i="1" a="1"/>
  <c r="CS483" i="1" s="1"/>
  <c r="DN482" i="1" a="1"/>
  <c r="DN482" i="1" s="1"/>
  <c r="DJ482" i="1" a="1"/>
  <c r="DJ482" i="1" s="1"/>
  <c r="DF482" i="1" a="1"/>
  <c r="DF482" i="1" s="1"/>
  <c r="DB482" i="1" a="1"/>
  <c r="DB482" i="1" s="1"/>
  <c r="CX482" i="1" a="1"/>
  <c r="CX482" i="1" s="1"/>
  <c r="CU482" i="1" a="1"/>
  <c r="CU482" i="1" s="1"/>
  <c r="CQ482" i="1" a="1"/>
  <c r="CQ482" i="1" s="1"/>
  <c r="DO481" i="1" a="1"/>
  <c r="DO481" i="1" s="1"/>
  <c r="DH481" i="1" a="1"/>
  <c r="DH481" i="1" s="1"/>
  <c r="DD481" i="1" a="1"/>
  <c r="DD481" i="1" s="1"/>
  <c r="CZ481" i="1" a="1"/>
  <c r="CZ481" i="1" s="1"/>
  <c r="CV481" i="1" a="1"/>
  <c r="CV481" i="1" s="1"/>
  <c r="CS481" i="1" a="1"/>
  <c r="CS481" i="1" s="1"/>
  <c r="DM480" i="1" a="1"/>
  <c r="DM480" i="1" s="1"/>
  <c r="DI480" i="1" a="1"/>
  <c r="DI480" i="1" s="1"/>
  <c r="DE480" i="1" a="1"/>
  <c r="DE480" i="1" s="1"/>
  <c r="DA480" i="1" a="1"/>
  <c r="DA480" i="1" s="1"/>
  <c r="CW480" i="1" a="1"/>
  <c r="CW480" i="1" s="1"/>
  <c r="CS480" i="1" a="1"/>
  <c r="CS480" i="1" s="1"/>
  <c r="DM479" i="1" a="1"/>
  <c r="DM479" i="1" s="1"/>
  <c r="DJ479" i="1" a="1"/>
  <c r="DJ479" i="1" s="1"/>
  <c r="DF479" i="1" a="1"/>
  <c r="DF479" i="1" s="1"/>
  <c r="DB479" i="1" a="1"/>
  <c r="DB479" i="1" s="1"/>
  <c r="CX479" i="1" a="1"/>
  <c r="CX479" i="1" s="1"/>
  <c r="CU479" i="1" a="1"/>
  <c r="CU479" i="1" s="1"/>
  <c r="CQ479" i="1" a="1"/>
  <c r="CQ479" i="1" s="1"/>
  <c r="DO478" i="1" a="1"/>
  <c r="DO478" i="1" s="1"/>
  <c r="DK478" i="1" a="1"/>
  <c r="DK478" i="1" s="1"/>
  <c r="DG478" i="1" a="1"/>
  <c r="DG478" i="1" s="1"/>
  <c r="DC478" i="1" a="1"/>
  <c r="DC478" i="1" s="1"/>
  <c r="CY478" i="1" a="1"/>
  <c r="CY478" i="1" s="1"/>
  <c r="CR478" i="1" a="1"/>
  <c r="CR478" i="1" s="1"/>
  <c r="DL477" i="1" a="1"/>
  <c r="DL477" i="1" s="1"/>
  <c r="DH477" i="1" a="1"/>
  <c r="DH477" i="1" s="1"/>
  <c r="DD477" i="1" a="1"/>
  <c r="DD477" i="1" s="1"/>
  <c r="CZ477" i="1" a="1"/>
  <c r="CZ477" i="1" s="1"/>
  <c r="CV477" i="1" a="1"/>
  <c r="CV477" i="1" s="1"/>
  <c r="CR477" i="1" a="1"/>
  <c r="CR477" i="1" s="1"/>
  <c r="DL476" i="1" a="1"/>
  <c r="DL476" i="1" s="1"/>
  <c r="DI476" i="1" a="1"/>
  <c r="DI476" i="1" s="1"/>
  <c r="DE476" i="1" a="1"/>
  <c r="DE476" i="1" s="1"/>
  <c r="DA476" i="1" a="1"/>
  <c r="DA476" i="1" s="1"/>
  <c r="CW476" i="1" a="1"/>
  <c r="CW476" i="1" s="1"/>
  <c r="CS476" i="1" a="1"/>
  <c r="CS476" i="1" s="1"/>
  <c r="DN475" i="1" a="1"/>
  <c r="DN475" i="1" s="1"/>
  <c r="DJ475" i="1" a="1"/>
  <c r="DJ475" i="1" s="1"/>
  <c r="DG475" i="1" a="1"/>
  <c r="DG475" i="1" s="1"/>
  <c r="DC475" i="1" a="1"/>
  <c r="DC475" i="1" s="1"/>
  <c r="CY475" i="1" a="1"/>
  <c r="CY475" i="1" s="1"/>
  <c r="CU475" i="1" a="1"/>
  <c r="CU475" i="1" s="1"/>
  <c r="CQ475" i="1" a="1"/>
  <c r="CQ475" i="1" s="1"/>
  <c r="DO474" i="1" a="1"/>
  <c r="DO474" i="1" s="1"/>
  <c r="DK474" i="1" a="1"/>
  <c r="DK474" i="1" s="1"/>
  <c r="DG474" i="1" a="1"/>
  <c r="DG474" i="1" s="1"/>
  <c r="DC474" i="1" a="1"/>
  <c r="DC474" i="1" s="1"/>
  <c r="CY474" i="1" a="1"/>
  <c r="CY474" i="1" s="1"/>
  <c r="CU474" i="1" a="1"/>
  <c r="CU474" i="1" s="1"/>
  <c r="CQ474" i="1" a="1"/>
  <c r="CQ474" i="1" s="1"/>
  <c r="DL473" i="1" a="1"/>
  <c r="DL473" i="1" s="1"/>
  <c r="DH473" i="1" a="1"/>
  <c r="DH473" i="1" s="1"/>
  <c r="DE473" i="1" a="1"/>
  <c r="DE473" i="1" s="1"/>
  <c r="DA473" i="1" a="1"/>
  <c r="DA473" i="1" s="1"/>
  <c r="CW473" i="1" a="1"/>
  <c r="CW473" i="1" s="1"/>
  <c r="CS473" i="1" a="1"/>
  <c r="CS473" i="1" s="1"/>
  <c r="DM472" i="1" a="1"/>
  <c r="DM472" i="1" s="1"/>
  <c r="DI472" i="1" a="1"/>
  <c r="DI472" i="1" s="1"/>
  <c r="DE472" i="1" a="1"/>
  <c r="DE472" i="1" s="1"/>
  <c r="DA472" i="1" a="1"/>
  <c r="DA472" i="1" s="1"/>
  <c r="CW472" i="1" a="1"/>
  <c r="CW472" i="1" s="1"/>
  <c r="CS472" i="1" a="1"/>
  <c r="CS472" i="1" s="1"/>
  <c r="DM471" i="1" a="1"/>
  <c r="DM471" i="1" s="1"/>
  <c r="DI471" i="1" a="1"/>
  <c r="DI471" i="1" s="1"/>
  <c r="DF471" i="1" a="1"/>
  <c r="DF471" i="1" s="1"/>
  <c r="DB471" i="1" a="1"/>
  <c r="DB471" i="1" s="1"/>
  <c r="CY471" i="1" a="1"/>
  <c r="CY471" i="1" s="1"/>
  <c r="CU471" i="1" a="1"/>
  <c r="CU471" i="1" s="1"/>
  <c r="CQ471" i="1" a="1"/>
  <c r="CQ471" i="1" s="1"/>
  <c r="DO470" i="1" a="1"/>
  <c r="DO470" i="1" s="1"/>
  <c r="DK470" i="1" a="1"/>
  <c r="DK470" i="1" s="1"/>
  <c r="DG470" i="1" a="1"/>
  <c r="DG470" i="1" s="1"/>
  <c r="DC470" i="1" a="1"/>
  <c r="DC470" i="1" s="1"/>
  <c r="CY470" i="1" a="1"/>
  <c r="CY470" i="1" s="1"/>
  <c r="CU470" i="1" a="1"/>
  <c r="CU470" i="1" s="1"/>
  <c r="CQ470" i="1" a="1"/>
  <c r="CQ470" i="1" s="1"/>
  <c r="DO469" i="1" a="1"/>
  <c r="DO469" i="1" s="1"/>
  <c r="DK469" i="1" a="1"/>
  <c r="DK469" i="1" s="1"/>
  <c r="DG469" i="1" a="1"/>
  <c r="DG469" i="1" s="1"/>
  <c r="DC469" i="1" a="1"/>
  <c r="DC469" i="1" s="1"/>
  <c r="CY469" i="1" a="1"/>
  <c r="CY469" i="1" s="1"/>
  <c r="CU469" i="1" a="1"/>
  <c r="CU469" i="1" s="1"/>
  <c r="DL468" i="1" a="1"/>
  <c r="DL468" i="1" s="1"/>
  <c r="DH468" i="1" a="1"/>
  <c r="DH468" i="1" s="1"/>
  <c r="DD468" i="1" a="1"/>
  <c r="DD468" i="1" s="1"/>
  <c r="CZ468" i="1" a="1"/>
  <c r="CZ468" i="1" s="1"/>
  <c r="CV468" i="1" a="1"/>
  <c r="CV468" i="1" s="1"/>
  <c r="CR468" i="1" a="1"/>
  <c r="CR468" i="1" s="1"/>
  <c r="DL467" i="1" a="1"/>
  <c r="DL467" i="1" s="1"/>
  <c r="DH467" i="1" a="1"/>
  <c r="DH467" i="1" s="1"/>
  <c r="DD467" i="1" a="1"/>
  <c r="DD467" i="1" s="1"/>
  <c r="CZ467" i="1" a="1"/>
  <c r="CZ467" i="1" s="1"/>
  <c r="CV467" i="1" a="1"/>
  <c r="CV467" i="1" s="1"/>
  <c r="CR467" i="1" a="1"/>
  <c r="CR467" i="1" s="1"/>
  <c r="DL466" i="1" a="1"/>
  <c r="DL466" i="1" s="1"/>
  <c r="DI466" i="1" a="1"/>
  <c r="DI466" i="1" s="1"/>
  <c r="DE466" i="1" a="1"/>
  <c r="DE466" i="1" s="1"/>
  <c r="DA466" i="1" a="1"/>
  <c r="DA466" i="1" s="1"/>
  <c r="CW466" i="1" a="1"/>
  <c r="CW466" i="1" s="1"/>
  <c r="CS466" i="1" a="1"/>
  <c r="CS466" i="1" s="1"/>
  <c r="DM465" i="1" a="1"/>
  <c r="DM465" i="1" s="1"/>
  <c r="DI465" i="1" a="1"/>
  <c r="DI465" i="1" s="1"/>
  <c r="DE465" i="1" a="1"/>
  <c r="DE465" i="1" s="1"/>
  <c r="DA465" i="1" a="1"/>
  <c r="DA465" i="1" s="1"/>
  <c r="CW465" i="1" a="1"/>
  <c r="CW465" i="1" s="1"/>
  <c r="CS465" i="1" a="1"/>
  <c r="CS465" i="1" s="1"/>
  <c r="DM464" i="1" a="1"/>
  <c r="DM464" i="1" s="1"/>
  <c r="DJ464" i="1" a="1"/>
  <c r="DJ464" i="1" s="1"/>
  <c r="DF464" i="1" a="1"/>
  <c r="DF464" i="1" s="1"/>
  <c r="DC464" i="1" a="1"/>
  <c r="DC464" i="1" s="1"/>
  <c r="CY464" i="1" a="1"/>
  <c r="CY464" i="1" s="1"/>
  <c r="CU464" i="1" a="1"/>
  <c r="CU464" i="1" s="1"/>
  <c r="CQ464" i="1" a="1"/>
  <c r="CQ464" i="1" s="1"/>
  <c r="DO463" i="1" a="1"/>
  <c r="DO463" i="1" s="1"/>
  <c r="DK463" i="1" a="1"/>
  <c r="DK463" i="1" s="1"/>
  <c r="DD463" i="1" a="1"/>
  <c r="DD463" i="1" s="1"/>
  <c r="CZ463" i="1" a="1"/>
  <c r="CZ463" i="1" s="1"/>
  <c r="CV463" i="1" a="1"/>
  <c r="CV463" i="1" s="1"/>
  <c r="CR463" i="1" a="1"/>
  <c r="CR463" i="1" s="1"/>
  <c r="DL462" i="1" a="1"/>
  <c r="DL462" i="1" s="1"/>
  <c r="DH462" i="1" a="1"/>
  <c r="DH462" i="1" s="1"/>
  <c r="DD462" i="1" a="1"/>
  <c r="DD462" i="1" s="1"/>
  <c r="DA462" i="1" a="1"/>
  <c r="DA462" i="1" s="1"/>
  <c r="CW462" i="1" a="1"/>
  <c r="CW462" i="1" s="1"/>
  <c r="CT462" i="1" a="1"/>
  <c r="CT462" i="1" s="1"/>
  <c r="DN461" i="1" a="1"/>
  <c r="DN461" i="1" s="1"/>
  <c r="DJ461" i="1" a="1"/>
  <c r="DJ461" i="1" s="1"/>
  <c r="DF461" i="1" a="1"/>
  <c r="DF461" i="1" s="1"/>
  <c r="DB461" i="1" a="1"/>
  <c r="DB461" i="1" s="1"/>
  <c r="CX461" i="1" a="1"/>
  <c r="CX461" i="1" s="1"/>
  <c r="CT461" i="1" a="1"/>
  <c r="CT461" i="1" s="1"/>
  <c r="DN460" i="1" a="1"/>
  <c r="DN460" i="1" s="1"/>
  <c r="DJ460" i="1" a="1"/>
  <c r="DJ460" i="1" s="1"/>
  <c r="DF460" i="1" a="1"/>
  <c r="DF460" i="1" s="1"/>
  <c r="DB460" i="1" a="1"/>
  <c r="DB460" i="1" s="1"/>
  <c r="CX460" i="1" a="1"/>
  <c r="CX460" i="1" s="1"/>
  <c r="CT460" i="1" a="1"/>
  <c r="CT460" i="1" s="1"/>
  <c r="DO459" i="1" a="1"/>
  <c r="DO459" i="1" s="1"/>
  <c r="DK459" i="1" a="1"/>
  <c r="DK459" i="1" s="1"/>
  <c r="DD459" i="1" a="1"/>
  <c r="DD459" i="1" s="1"/>
  <c r="CZ459" i="1" a="1"/>
  <c r="CZ459" i="1" s="1"/>
  <c r="CW459" i="1" a="1"/>
  <c r="CW459" i="1" s="1"/>
  <c r="CS459" i="1" a="1"/>
  <c r="CS459" i="1" s="1"/>
  <c r="DM458" i="1" a="1"/>
  <c r="DM458" i="1" s="1"/>
  <c r="DI458" i="1" a="1"/>
  <c r="DI458" i="1" s="1"/>
  <c r="DE458" i="1" a="1"/>
  <c r="DE458" i="1" s="1"/>
  <c r="DA458" i="1" a="1"/>
  <c r="DA458" i="1" s="1"/>
  <c r="CW458" i="1" a="1"/>
  <c r="CW458" i="1" s="1"/>
  <c r="CS458" i="1" a="1"/>
  <c r="CS458" i="1" s="1"/>
  <c r="DN457" i="1" a="1"/>
  <c r="DN457" i="1" s="1"/>
  <c r="DJ457" i="1" a="1"/>
  <c r="DJ457" i="1" s="1"/>
  <c r="DF457" i="1" a="1"/>
  <c r="DF457" i="1" s="1"/>
  <c r="DB457" i="1" a="1"/>
  <c r="DB457" i="1" s="1"/>
  <c r="CY457" i="1" a="1"/>
  <c r="CY457" i="1" s="1"/>
  <c r="CU457" i="1" a="1"/>
  <c r="CU457" i="1" s="1"/>
  <c r="CQ457" i="1" a="1"/>
  <c r="CQ457" i="1" s="1"/>
  <c r="DO456" i="1" a="1"/>
  <c r="DO456" i="1" s="1"/>
  <c r="DK456" i="1" a="1"/>
  <c r="DK456" i="1" s="1"/>
  <c r="DG456" i="1" a="1"/>
  <c r="DG456" i="1" s="1"/>
  <c r="DC456" i="1" a="1"/>
  <c r="DC456" i="1" s="1"/>
  <c r="CY456" i="1" a="1"/>
  <c r="CY456" i="1" s="1"/>
  <c r="CU456" i="1" a="1"/>
  <c r="CU456" i="1" s="1"/>
  <c r="CQ456" i="1" a="1"/>
  <c r="CQ456" i="1" s="1"/>
  <c r="DO455" i="1" a="1"/>
  <c r="DO455" i="1" s="1"/>
  <c r="DK455" i="1" a="1"/>
  <c r="DK455" i="1" s="1"/>
  <c r="DG455" i="1" a="1"/>
  <c r="DG455" i="1" s="1"/>
  <c r="DC455" i="1" a="1"/>
  <c r="DC455" i="1" s="1"/>
  <c r="CY455" i="1" a="1"/>
  <c r="CY455" i="1" s="1"/>
  <c r="CU455" i="1" a="1"/>
  <c r="CU455" i="1" s="1"/>
  <c r="CQ455" i="1" a="1"/>
  <c r="CQ455" i="1" s="1"/>
  <c r="DO454" i="1" a="1"/>
  <c r="DO454" i="1" s="1"/>
  <c r="DK454" i="1" a="1"/>
  <c r="DK454" i="1" s="1"/>
  <c r="DG454" i="1" a="1"/>
  <c r="DG454" i="1" s="1"/>
  <c r="DC454" i="1" a="1"/>
  <c r="DC454" i="1" s="1"/>
  <c r="CY454" i="1" a="1"/>
  <c r="CY454" i="1" s="1"/>
  <c r="CU454" i="1" a="1"/>
  <c r="CU454" i="1" s="1"/>
  <c r="CQ454" i="1" a="1"/>
  <c r="CQ454" i="1" s="1"/>
  <c r="DL453" i="1" a="1"/>
  <c r="DL453" i="1" s="1"/>
  <c r="DH453" i="1" a="1"/>
  <c r="DH453" i="1" s="1"/>
  <c r="DE453" i="1" a="1"/>
  <c r="DE453" i="1" s="1"/>
  <c r="DA453" i="1" a="1"/>
  <c r="DA453" i="1" s="1"/>
  <c r="CW453" i="1" a="1"/>
  <c r="CW453" i="1" s="1"/>
  <c r="CS453" i="1" a="1"/>
  <c r="CS453" i="1" s="1"/>
  <c r="DM452" i="1" a="1"/>
  <c r="DM452" i="1" s="1"/>
  <c r="DI452" i="1" a="1"/>
  <c r="DI452" i="1" s="1"/>
  <c r="DE452" i="1" a="1"/>
  <c r="DE452" i="1" s="1"/>
  <c r="DA452" i="1" a="1"/>
  <c r="DA452" i="1" s="1"/>
  <c r="CW452" i="1" a="1"/>
  <c r="CW452" i="1" s="1"/>
  <c r="CS452" i="1" a="1"/>
  <c r="CS452" i="1" s="1"/>
  <c r="DM451" i="1" a="1"/>
  <c r="DM451" i="1" s="1"/>
  <c r="DI451" i="1" a="1"/>
  <c r="DI451" i="1" s="1"/>
  <c r="DF451" i="1" a="1"/>
  <c r="DF451" i="1" s="1"/>
  <c r="DB451" i="1" a="1"/>
  <c r="DB451" i="1" s="1"/>
  <c r="CY451" i="1" a="1"/>
  <c r="CY451" i="1" s="1"/>
  <c r="CU451" i="1" a="1"/>
  <c r="CU451" i="1" s="1"/>
  <c r="CQ451" i="1" a="1"/>
  <c r="CQ451" i="1" s="1"/>
  <c r="DO450" i="1" a="1"/>
  <c r="DO450" i="1" s="1"/>
  <c r="DK450" i="1" a="1"/>
  <c r="DK450" i="1" s="1"/>
  <c r="DG450" i="1" a="1"/>
  <c r="DG450" i="1" s="1"/>
  <c r="DC450" i="1" a="1"/>
  <c r="DC450" i="1" s="1"/>
  <c r="CY450" i="1" a="1"/>
  <c r="CY450" i="1" s="1"/>
  <c r="CU450" i="1" a="1"/>
  <c r="CU450" i="1" s="1"/>
  <c r="CQ450" i="1" a="1"/>
  <c r="CQ450" i="1" s="1"/>
  <c r="DO449" i="1" a="1"/>
  <c r="DO449" i="1" s="1"/>
  <c r="DK449" i="1" a="1"/>
  <c r="DK449" i="1" s="1"/>
  <c r="DG449" i="1" a="1"/>
  <c r="DG449" i="1" s="1"/>
  <c r="DC449" i="1" a="1"/>
  <c r="DC449" i="1" s="1"/>
  <c r="CV449" i="1" a="1"/>
  <c r="CV449" i="1" s="1"/>
  <c r="CR449" i="1" a="1"/>
  <c r="CR449" i="1" s="1"/>
  <c r="DL448" i="1" a="1"/>
  <c r="DL448" i="1" s="1"/>
  <c r="DH448" i="1" a="1"/>
  <c r="DH448" i="1" s="1"/>
  <c r="DD448" i="1" a="1"/>
  <c r="DD448" i="1" s="1"/>
  <c r="CZ448" i="1" a="1"/>
  <c r="CZ448" i="1" s="1"/>
  <c r="CV448" i="1" a="1"/>
  <c r="CV448" i="1" s="1"/>
  <c r="CR448" i="1" a="1"/>
  <c r="CR448" i="1" s="1"/>
  <c r="DM447" i="1" a="1"/>
  <c r="DM447" i="1" s="1"/>
  <c r="DI447" i="1" a="1"/>
  <c r="DI447" i="1" s="1"/>
  <c r="DE447" i="1" a="1"/>
  <c r="DE447" i="1" s="1"/>
  <c r="DA447" i="1" a="1"/>
  <c r="DA447" i="1" s="1"/>
  <c r="CW447" i="1" a="1"/>
  <c r="CW447" i="1" s="1"/>
  <c r="CS447" i="1" a="1"/>
  <c r="CS447" i="1" s="1"/>
  <c r="DM446" i="1" a="1"/>
  <c r="DM446" i="1" s="1"/>
  <c r="DJ446" i="1" a="1"/>
  <c r="DJ446" i="1" s="1"/>
  <c r="DF446" i="1" a="1"/>
  <c r="DF446" i="1" s="1"/>
  <c r="DB446" i="1" a="1"/>
  <c r="DB446" i="1" s="1"/>
  <c r="CX446" i="1" a="1"/>
  <c r="CX446" i="1" s="1"/>
  <c r="CT446" i="1" a="1"/>
  <c r="CT446" i="1" s="1"/>
  <c r="DN445" i="1" a="1"/>
  <c r="DN445" i="1" s="1"/>
  <c r="DJ445" i="1" a="1"/>
  <c r="DJ445" i="1" s="1"/>
  <c r="DG445" i="1" a="1"/>
  <c r="DG445" i="1" s="1"/>
  <c r="DC445" i="1" a="1"/>
  <c r="DC445" i="1" s="1"/>
  <c r="CY445" i="1" a="1"/>
  <c r="CY445" i="1" s="1"/>
  <c r="CU445" i="1" a="1"/>
  <c r="CU445" i="1" s="1"/>
  <c r="CQ445" i="1" a="1"/>
  <c r="CQ445" i="1" s="1"/>
  <c r="DO444" i="1" a="1"/>
  <c r="DO444" i="1" s="1"/>
  <c r="DH444" i="1" a="1"/>
  <c r="DH444" i="1" s="1"/>
  <c r="DD444" i="1" a="1"/>
  <c r="DD444" i="1" s="1"/>
  <c r="CZ444" i="1" a="1"/>
  <c r="CZ444" i="1" s="1"/>
  <c r="CV444" i="1" a="1"/>
  <c r="CV444" i="1" s="1"/>
  <c r="CR444" i="1" a="1"/>
  <c r="CR444" i="1" s="1"/>
  <c r="DL443" i="1" a="1"/>
  <c r="DL443" i="1" s="1"/>
  <c r="DH443" i="1" a="1"/>
  <c r="DH443" i="1" s="1"/>
  <c r="DD443" i="1" a="1"/>
  <c r="DD443" i="1" s="1"/>
  <c r="CZ443" i="1" a="1"/>
  <c r="CZ443" i="1" s="1"/>
  <c r="CW443" i="1" a="1"/>
  <c r="CW443" i="1" s="1"/>
  <c r="CS443" i="1" a="1"/>
  <c r="CS443" i="1" s="1"/>
  <c r="DM442" i="1" a="1"/>
  <c r="DM442" i="1" s="1"/>
  <c r="DI442" i="1" a="1"/>
  <c r="DI442" i="1" s="1"/>
  <c r="DE442" i="1" a="1"/>
  <c r="DE442" i="1" s="1"/>
  <c r="DB442" i="1" a="1"/>
  <c r="DB442" i="1" s="1"/>
  <c r="CX442" i="1" a="1"/>
  <c r="CX442" i="1" s="1"/>
  <c r="CU442" i="1" a="1"/>
  <c r="CU442" i="1" s="1"/>
  <c r="CQ442" i="1" a="1"/>
  <c r="CQ442" i="1" s="1"/>
  <c r="DO441" i="1" a="1"/>
  <c r="DO441" i="1" s="1"/>
  <c r="DK441" i="1" a="1"/>
  <c r="DK441" i="1" s="1"/>
  <c r="DG441" i="1" a="1"/>
  <c r="DG441" i="1" s="1"/>
  <c r="DC441" i="1" a="1"/>
  <c r="DC441" i="1" s="1"/>
  <c r="CY441" i="1" a="1"/>
  <c r="CY441" i="1" s="1"/>
  <c r="CU441" i="1" a="1"/>
  <c r="CU441" i="1" s="1"/>
  <c r="CQ441" i="1" a="1"/>
  <c r="CQ441" i="1" s="1"/>
  <c r="DO440" i="1" a="1"/>
  <c r="DO440" i="1" s="1"/>
  <c r="DK440" i="1" a="1"/>
  <c r="DK440" i="1" s="1"/>
  <c r="DG440" i="1" a="1"/>
  <c r="DG440" i="1" s="1"/>
  <c r="DC440" i="1" a="1"/>
  <c r="DC440" i="1" s="1"/>
  <c r="CY440" i="1" a="1"/>
  <c r="CY440" i="1" s="1"/>
  <c r="CR440" i="1" a="1"/>
  <c r="CR440" i="1" s="1"/>
  <c r="DL439" i="1" a="1"/>
  <c r="DL439" i="1" s="1"/>
  <c r="DG439" i="1" a="1"/>
  <c r="DG439" i="1" s="1"/>
  <c r="DB439" i="1" a="1"/>
  <c r="DB439" i="1" s="1"/>
  <c r="CV439" i="1" a="1"/>
  <c r="CV439" i="1" s="1"/>
  <c r="CQ439" i="1" a="1"/>
  <c r="CQ439" i="1" s="1"/>
  <c r="DO438" i="1" a="1"/>
  <c r="DO438" i="1" s="1"/>
  <c r="DK438" i="1" a="1"/>
  <c r="DK438" i="1" s="1"/>
  <c r="DE438" i="1" a="1"/>
  <c r="DE438" i="1" s="1"/>
  <c r="CZ438" i="1" a="1"/>
  <c r="CZ438" i="1" s="1"/>
  <c r="CS438" i="1" a="1"/>
  <c r="CS438" i="1" s="1"/>
  <c r="DH437" i="1" a="1"/>
  <c r="DH437" i="1" s="1"/>
  <c r="CZ437" i="1" a="1"/>
  <c r="CZ437" i="1" s="1"/>
  <c r="CR437" i="1" a="1"/>
  <c r="CR437" i="1" s="1"/>
  <c r="DM436" i="1" a="1"/>
  <c r="DM436" i="1" s="1"/>
  <c r="DF436" i="1" a="1"/>
  <c r="DF436" i="1" s="1"/>
  <c r="CY436" i="1" a="1"/>
  <c r="CY436" i="1" s="1"/>
  <c r="CQ436" i="1" a="1"/>
  <c r="CQ436" i="1" s="1"/>
  <c r="DO435" i="1" a="1"/>
  <c r="DO435" i="1" s="1"/>
  <c r="DB435" i="1" a="1"/>
  <c r="DB435" i="1" s="1"/>
  <c r="DF434" i="1" a="1"/>
  <c r="DF434" i="1" s="1"/>
  <c r="CQ434" i="1" a="1"/>
  <c r="CQ434" i="1" s="1"/>
  <c r="DO433" i="1" a="1"/>
  <c r="DO433" i="1" s="1"/>
  <c r="DD432" i="1" a="1"/>
  <c r="DD432" i="1" s="1"/>
  <c r="DH431" i="1" a="1"/>
  <c r="DH431" i="1" s="1"/>
  <c r="CT431" i="1" a="1"/>
  <c r="CT431" i="1" s="1"/>
  <c r="DC430" i="1" a="1"/>
  <c r="DC430" i="1" s="1"/>
  <c r="DL429" i="1" a="1"/>
  <c r="DL429" i="1" s="1"/>
  <c r="CV429" i="1" a="1"/>
  <c r="CV429" i="1" s="1"/>
  <c r="DF428" i="1" a="1"/>
  <c r="DF428" i="1" s="1"/>
  <c r="CQ428" i="1" a="1"/>
  <c r="CQ428" i="1" s="1"/>
  <c r="CY427" i="1" a="1"/>
  <c r="CY427" i="1" s="1"/>
  <c r="DI426" i="1" a="1"/>
  <c r="DI426" i="1" s="1"/>
  <c r="CT426" i="1" a="1"/>
  <c r="CT426" i="1" s="1"/>
  <c r="DN425" i="1" a="1"/>
  <c r="DN425" i="1" s="1"/>
  <c r="CX425" i="1" a="1"/>
  <c r="CX425" i="1" s="1"/>
  <c r="DH424" i="1" a="1"/>
  <c r="DH424" i="1" s="1"/>
  <c r="CS424" i="1" a="1"/>
  <c r="CS424" i="1" s="1"/>
  <c r="CY423" i="1" a="1"/>
  <c r="CY423" i="1" s="1"/>
  <c r="DH422" i="1" a="1"/>
  <c r="DH422" i="1" s="1"/>
  <c r="CS422" i="1" a="1"/>
  <c r="CS422" i="1" s="1"/>
  <c r="CX421" i="1" a="1"/>
  <c r="CX421" i="1" s="1"/>
  <c r="DH420" i="1" a="1"/>
  <c r="DH420" i="1" s="1"/>
  <c r="CS420" i="1" a="1"/>
  <c r="CS420" i="1" s="1"/>
  <c r="DM419" i="1" a="1"/>
  <c r="DM419" i="1" s="1"/>
  <c r="CW419" i="1" a="1"/>
  <c r="CW419" i="1" s="1"/>
  <c r="DF418" i="1" a="1"/>
  <c r="DF418" i="1" s="1"/>
  <c r="DJ417" i="1" a="1"/>
  <c r="DJ417" i="1" s="1"/>
  <c r="CT417" i="1" a="1"/>
  <c r="CT417" i="1" s="1"/>
  <c r="DN416" i="1" a="1"/>
  <c r="DN416" i="1" s="1"/>
  <c r="CX416" i="1" a="1"/>
  <c r="CX416" i="1" s="1"/>
  <c r="DB415" i="1" a="1"/>
  <c r="DB415" i="1" s="1"/>
  <c r="DF414" i="1" a="1"/>
  <c r="DF414" i="1" s="1"/>
  <c r="DJ413" i="1" a="1"/>
  <c r="DJ413" i="1" s="1"/>
  <c r="CT413" i="1" a="1"/>
  <c r="CT413" i="1" s="1"/>
  <c r="DN412" i="1" a="1"/>
  <c r="DN412" i="1" s="1"/>
  <c r="CX412" i="1" a="1"/>
  <c r="CX412" i="1" s="1"/>
  <c r="DB411" i="1" a="1"/>
  <c r="DB411" i="1" s="1"/>
  <c r="DF410" i="1" a="1"/>
  <c r="DF410" i="1" s="1"/>
  <c r="DJ409" i="1" a="1"/>
  <c r="DJ409" i="1" s="1"/>
  <c r="CT409" i="1" a="1"/>
  <c r="CT409" i="1" s="1"/>
  <c r="DN408" i="1" a="1"/>
  <c r="DN408" i="1" s="1"/>
  <c r="CX408" i="1" a="1"/>
  <c r="CX408" i="1" s="1"/>
  <c r="DB407" i="1" a="1"/>
  <c r="DB407" i="1" s="1"/>
  <c r="DF406" i="1" a="1"/>
  <c r="DF406" i="1" s="1"/>
  <c r="DJ405" i="1" a="1"/>
  <c r="DJ405" i="1" s="1"/>
  <c r="CT405" i="1" a="1"/>
  <c r="CT405" i="1" s="1"/>
  <c r="DN404" i="1" a="1"/>
  <c r="DN404" i="1" s="1"/>
  <c r="CX404" i="1" a="1"/>
  <c r="CX404" i="1" s="1"/>
  <c r="DB403" i="1" a="1"/>
  <c r="DB403" i="1" s="1"/>
  <c r="DF402" i="1" a="1"/>
  <c r="DF402" i="1" s="1"/>
  <c r="DJ401" i="1" a="1"/>
  <c r="DJ401" i="1" s="1"/>
  <c r="CT401" i="1" a="1"/>
  <c r="CT401" i="1" s="1"/>
  <c r="DN400" i="1" a="1"/>
  <c r="DN400" i="1" s="1"/>
  <c r="CX400" i="1" a="1"/>
  <c r="CX400" i="1" s="1"/>
  <c r="DB399" i="1" a="1"/>
  <c r="DB399" i="1" s="1"/>
  <c r="DF398" i="1" a="1"/>
  <c r="DF398" i="1" s="1"/>
  <c r="DJ397" i="1" a="1"/>
  <c r="DJ397" i="1" s="1"/>
  <c r="CT397" i="1" a="1"/>
  <c r="CT397" i="1" s="1"/>
  <c r="DN396" i="1" a="1"/>
  <c r="DN396" i="1" s="1"/>
  <c r="CX396" i="1" a="1"/>
  <c r="CX396" i="1" s="1"/>
  <c r="DB395" i="1" a="1"/>
  <c r="DB395" i="1" s="1"/>
  <c r="DF394" i="1" a="1"/>
  <c r="DF394" i="1" s="1"/>
  <c r="DJ393" i="1" a="1"/>
  <c r="DJ393" i="1" s="1"/>
  <c r="CT393" i="1" a="1"/>
  <c r="CT393" i="1" s="1"/>
  <c r="DN392" i="1" a="1"/>
  <c r="DN392" i="1" s="1"/>
  <c r="CX392" i="1" a="1"/>
  <c r="CX392" i="1" s="1"/>
  <c r="DB391" i="1" a="1"/>
  <c r="DB391" i="1" s="1"/>
  <c r="DF390" i="1" a="1"/>
  <c r="DF390" i="1" s="1"/>
  <c r="DJ389" i="1" a="1"/>
  <c r="DJ389" i="1" s="1"/>
  <c r="CT389" i="1" a="1"/>
  <c r="CT389" i="1" s="1"/>
  <c r="DN388" i="1" a="1"/>
  <c r="DN388" i="1" s="1"/>
  <c r="CX388" i="1" a="1"/>
  <c r="CX388" i="1" s="1"/>
  <c r="DB387" i="1" a="1"/>
  <c r="DB387" i="1" s="1"/>
  <c r="DF386" i="1" a="1"/>
  <c r="DF386" i="1" s="1"/>
  <c r="DJ385" i="1" a="1"/>
  <c r="DJ385" i="1" s="1"/>
  <c r="CT385" i="1" a="1"/>
  <c r="CT385" i="1" s="1"/>
  <c r="DN384" i="1" a="1"/>
  <c r="DN384" i="1" s="1"/>
  <c r="CX384" i="1" a="1"/>
  <c r="CX384" i="1" s="1"/>
  <c r="DB383" i="1" a="1"/>
  <c r="DB383" i="1" s="1"/>
  <c r="DF382" i="1" a="1"/>
  <c r="DF382" i="1" s="1"/>
  <c r="DJ381" i="1" a="1"/>
  <c r="DJ381" i="1" s="1"/>
  <c r="CT381" i="1" a="1"/>
  <c r="CT381" i="1" s="1"/>
  <c r="DN380" i="1" a="1"/>
  <c r="DN380" i="1" s="1"/>
  <c r="CX380" i="1" a="1"/>
  <c r="CX380" i="1" s="1"/>
  <c r="DB379" i="1" a="1"/>
  <c r="DB379" i="1" s="1"/>
  <c r="DF378" i="1" a="1"/>
  <c r="DF378" i="1" s="1"/>
  <c r="DJ377" i="1" a="1"/>
  <c r="DJ377" i="1" s="1"/>
  <c r="CT377" i="1" a="1"/>
  <c r="CT377" i="1" s="1"/>
  <c r="DN376" i="1" a="1"/>
  <c r="DN376" i="1" s="1"/>
  <c r="CX376" i="1" a="1"/>
  <c r="CX376" i="1" s="1"/>
  <c r="DB375" i="1" a="1"/>
  <c r="DB375" i="1" s="1"/>
  <c r="DF374" i="1" a="1"/>
  <c r="DF374" i="1" s="1"/>
  <c r="DJ373" i="1" a="1"/>
  <c r="DJ373" i="1" s="1"/>
  <c r="CT373" i="1" a="1"/>
  <c r="CT373" i="1" s="1"/>
  <c r="DN372" i="1" a="1"/>
  <c r="DN372" i="1" s="1"/>
  <c r="CX372" i="1" a="1"/>
  <c r="CX372" i="1" s="1"/>
  <c r="DB371" i="1" a="1"/>
  <c r="DB371" i="1" s="1"/>
  <c r="DF370" i="1" a="1"/>
  <c r="DF370" i="1" s="1"/>
  <c r="DJ369" i="1" a="1"/>
  <c r="DJ369" i="1" s="1"/>
  <c r="CT369" i="1" a="1"/>
  <c r="CT369" i="1" s="1"/>
  <c r="DN368" i="1" a="1"/>
  <c r="DN368" i="1" s="1"/>
  <c r="CX368" i="1" a="1"/>
  <c r="CX368" i="1" s="1"/>
  <c r="DB367" i="1" a="1"/>
  <c r="DB367" i="1" s="1"/>
  <c r="DF366" i="1" a="1"/>
  <c r="DF366" i="1" s="1"/>
  <c r="DJ365" i="1" a="1"/>
  <c r="DJ365" i="1" s="1"/>
  <c r="CT365" i="1" a="1"/>
  <c r="CT365" i="1" s="1"/>
  <c r="DN364" i="1" a="1"/>
  <c r="DN364" i="1" s="1"/>
  <c r="CX364" i="1" a="1"/>
  <c r="CX364" i="1" s="1"/>
  <c r="DB363" i="1" a="1"/>
  <c r="DB363" i="1" s="1"/>
  <c r="DF362" i="1" a="1"/>
  <c r="DF362" i="1" s="1"/>
  <c r="DJ361" i="1" a="1"/>
  <c r="DJ361" i="1" s="1"/>
  <c r="CT361" i="1" a="1"/>
  <c r="CT361" i="1" s="1"/>
  <c r="DN360" i="1" a="1"/>
  <c r="DN360" i="1" s="1"/>
  <c r="CX360" i="1" a="1"/>
  <c r="CX360" i="1" s="1"/>
  <c r="DB359" i="1" a="1"/>
  <c r="DB359" i="1" s="1"/>
  <c r="DF358" i="1" a="1"/>
  <c r="DF358" i="1" s="1"/>
  <c r="DJ357" i="1" a="1"/>
  <c r="DJ357" i="1" s="1"/>
  <c r="CT357" i="1" a="1"/>
  <c r="CT357" i="1" s="1"/>
  <c r="DN356" i="1" a="1"/>
  <c r="DN356" i="1" s="1"/>
  <c r="DB355" i="1" a="1"/>
  <c r="DB355" i="1" s="1"/>
  <c r="DF354" i="1" a="1"/>
  <c r="DF354" i="1" s="1"/>
  <c r="DJ353" i="1" a="1"/>
  <c r="DJ353" i="1" s="1"/>
  <c r="DI352" i="1" a="1"/>
  <c r="DI352" i="1" s="1"/>
  <c r="CR351" i="1" a="1"/>
  <c r="CR351" i="1" s="1"/>
  <c r="DM350" i="1" a="1"/>
  <c r="DM350" i="1" s="1"/>
  <c r="CZ348" i="1" a="1"/>
  <c r="CZ348" i="1" s="1"/>
  <c r="DM347" i="1" a="1"/>
  <c r="DM347" i="1" s="1"/>
  <c r="CQ346" i="1" a="1"/>
  <c r="CQ346" i="1" s="1"/>
  <c r="DN345" i="1" a="1"/>
  <c r="DN345" i="1" s="1"/>
  <c r="DD342" i="1" a="1"/>
  <c r="DD342" i="1" s="1"/>
  <c r="DK339" i="1" a="1"/>
  <c r="DK339" i="1" s="1"/>
  <c r="CY336" i="1" a="1"/>
  <c r="CY336" i="1" s="1"/>
  <c r="DA333" i="1" a="1"/>
  <c r="DA333" i="1" s="1"/>
  <c r="DE332" i="1" a="1"/>
  <c r="DE332" i="1" s="1"/>
  <c r="CR323" i="1" a="1"/>
  <c r="CR323" i="1" s="1"/>
  <c r="DJ322" i="1" a="1"/>
  <c r="DJ322" i="1" s="1"/>
  <c r="DB319" i="1" a="1"/>
  <c r="DB319" i="1" s="1"/>
  <c r="CZ318" i="1" a="1"/>
  <c r="CZ318" i="1" s="1"/>
  <c r="CW317" i="1" a="1"/>
  <c r="CW317" i="1" s="1"/>
  <c r="DK314" i="1" a="1"/>
  <c r="DK314" i="1" s="1"/>
  <c r="DN269" i="1" a="1"/>
  <c r="DN269" i="1" s="1"/>
  <c r="DO285" i="1" a="1"/>
  <c r="DO285" i="1" s="1"/>
  <c r="DO327" i="1" a="1"/>
  <c r="DO327" i="1" s="1"/>
  <c r="DO328" i="1" a="1"/>
  <c r="DO328" i="1" s="1"/>
  <c r="DO329" i="1" a="1"/>
  <c r="DO329" i="1" s="1"/>
  <c r="DO334" i="1" a="1"/>
  <c r="DO334" i="1" s="1"/>
  <c r="DO335" i="1" a="1"/>
  <c r="DO335" i="1" s="1"/>
  <c r="DO342" i="1" a="1"/>
  <c r="DO342" i="1" s="1"/>
  <c r="DO343" i="1" a="1"/>
  <c r="DO343" i="1" s="1"/>
  <c r="DO350" i="1" a="1"/>
  <c r="DO350" i="1" s="1"/>
  <c r="DO351" i="1" a="1"/>
  <c r="DO351" i="1" s="1"/>
  <c r="DO352" i="1" a="1"/>
  <c r="DO352" i="1" s="1"/>
  <c r="DO312" i="1" a="1"/>
  <c r="DO312" i="1" s="1"/>
  <c r="DO314" i="1" a="1"/>
  <c r="DO314" i="1" s="1"/>
  <c r="DO331" i="1" a="1"/>
  <c r="DO331" i="1" s="1"/>
  <c r="DO339" i="1" a="1"/>
  <c r="DO339" i="1" s="1"/>
  <c r="DO344" i="1" a="1"/>
  <c r="DO344" i="1" s="1"/>
  <c r="DO353" i="1" a="1"/>
  <c r="DO353" i="1" s="1"/>
  <c r="DO354" i="1" a="1"/>
  <c r="DO354" i="1" s="1"/>
  <c r="DO355" i="1" a="1"/>
  <c r="DO355" i="1" s="1"/>
  <c r="DO356" i="1" a="1"/>
  <c r="DO356" i="1" s="1"/>
  <c r="DO357" i="1" a="1"/>
  <c r="DO357" i="1" s="1"/>
  <c r="DO358" i="1" a="1"/>
  <c r="DO358" i="1" s="1"/>
  <c r="DO359" i="1" a="1"/>
  <c r="DO359" i="1" s="1"/>
  <c r="DO360" i="1" a="1"/>
  <c r="DO360" i="1" s="1"/>
  <c r="DO361" i="1" a="1"/>
  <c r="DO361" i="1" s="1"/>
  <c r="DO362" i="1" a="1"/>
  <c r="DO362" i="1" s="1"/>
  <c r="DO363" i="1" a="1"/>
  <c r="DO363" i="1" s="1"/>
  <c r="DO364" i="1" a="1"/>
  <c r="DO364" i="1" s="1"/>
  <c r="DO365" i="1" a="1"/>
  <c r="DO365" i="1" s="1"/>
  <c r="DO366" i="1" a="1"/>
  <c r="DO366" i="1" s="1"/>
  <c r="DO367" i="1" a="1"/>
  <c r="DO367" i="1" s="1"/>
  <c r="DO368" i="1" a="1"/>
  <c r="DO368" i="1" s="1"/>
  <c r="DO369" i="1" a="1"/>
  <c r="DO369" i="1" s="1"/>
  <c r="DO370" i="1" a="1"/>
  <c r="DO370" i="1" s="1"/>
  <c r="DO371" i="1" a="1"/>
  <c r="DO371" i="1" s="1"/>
  <c r="DO372" i="1" a="1"/>
  <c r="DO372" i="1" s="1"/>
  <c r="DO373" i="1" a="1"/>
  <c r="DO373" i="1" s="1"/>
  <c r="DO374" i="1" a="1"/>
  <c r="DO374" i="1" s="1"/>
  <c r="DO375" i="1" a="1"/>
  <c r="DO375" i="1" s="1"/>
  <c r="DO376" i="1" a="1"/>
  <c r="DO376" i="1" s="1"/>
  <c r="DO377" i="1" a="1"/>
  <c r="DO377" i="1" s="1"/>
  <c r="DO378" i="1" a="1"/>
  <c r="DO378" i="1" s="1"/>
  <c r="DO379" i="1" a="1"/>
  <c r="DO379" i="1" s="1"/>
  <c r="DO380" i="1" a="1"/>
  <c r="DO380" i="1" s="1"/>
  <c r="DO381" i="1" a="1"/>
  <c r="DO381" i="1" s="1"/>
  <c r="DO382" i="1" a="1"/>
  <c r="DO382" i="1" s="1"/>
  <c r="DO383" i="1" a="1"/>
  <c r="DO383" i="1" s="1"/>
  <c r="DO384" i="1" a="1"/>
  <c r="DO384" i="1" s="1"/>
  <c r="DO385" i="1" a="1"/>
  <c r="DO385" i="1" s="1"/>
  <c r="DO386" i="1" a="1"/>
  <c r="DO386" i="1" s="1"/>
  <c r="DO387" i="1" a="1"/>
  <c r="DO387" i="1" s="1"/>
  <c r="DO388" i="1" a="1"/>
  <c r="DO388" i="1" s="1"/>
  <c r="DO389" i="1" a="1"/>
  <c r="DO389" i="1" s="1"/>
  <c r="DO390" i="1" a="1"/>
  <c r="DO390" i="1" s="1"/>
  <c r="DO391" i="1" a="1"/>
  <c r="DO391" i="1" s="1"/>
  <c r="DO392" i="1" a="1"/>
  <c r="DO392" i="1" s="1"/>
  <c r="DO393" i="1" a="1"/>
  <c r="DO393" i="1" s="1"/>
  <c r="DO394" i="1" a="1"/>
  <c r="DO394" i="1" s="1"/>
  <c r="DO395" i="1" a="1"/>
  <c r="DO395" i="1" s="1"/>
  <c r="DO396" i="1" a="1"/>
  <c r="DO396" i="1" s="1"/>
  <c r="DO397" i="1" a="1"/>
  <c r="DO397" i="1" s="1"/>
  <c r="DO398" i="1" a="1"/>
  <c r="DO398" i="1" s="1"/>
  <c r="DO399" i="1" a="1"/>
  <c r="DO399" i="1" s="1"/>
  <c r="DO400" i="1" a="1"/>
  <c r="DO400" i="1" s="1"/>
  <c r="DO401" i="1" a="1"/>
  <c r="DO401" i="1" s="1"/>
  <c r="DO402" i="1" a="1"/>
  <c r="DO402" i="1" s="1"/>
  <c r="DO403" i="1" a="1"/>
  <c r="DO403" i="1" s="1"/>
  <c r="DO404" i="1" a="1"/>
  <c r="DO404" i="1" s="1"/>
  <c r="DO405" i="1" a="1"/>
  <c r="DO405" i="1" s="1"/>
  <c r="DO406" i="1" a="1"/>
  <c r="DO406" i="1" s="1"/>
  <c r="DO407" i="1" a="1"/>
  <c r="DO407" i="1" s="1"/>
  <c r="DO408" i="1" a="1"/>
  <c r="DO408" i="1" s="1"/>
  <c r="DO409" i="1" a="1"/>
  <c r="DO409" i="1" s="1"/>
  <c r="DO410" i="1" a="1"/>
  <c r="DO410" i="1" s="1"/>
  <c r="DO411" i="1" a="1"/>
  <c r="DO411" i="1" s="1"/>
  <c r="DO412" i="1" a="1"/>
  <c r="DO412" i="1" s="1"/>
  <c r="DO413" i="1" a="1"/>
  <c r="DO413" i="1" s="1"/>
  <c r="DO414" i="1" a="1"/>
  <c r="DO414" i="1" s="1"/>
  <c r="DO415" i="1" a="1"/>
  <c r="DO415" i="1" s="1"/>
  <c r="DO416" i="1" a="1"/>
  <c r="DO416" i="1" s="1"/>
  <c r="DO417" i="1" a="1"/>
  <c r="DO417" i="1" s="1"/>
  <c r="DO418" i="1" a="1"/>
  <c r="DO418" i="1" s="1"/>
  <c r="DO425" i="1" a="1"/>
  <c r="DO425" i="1" s="1"/>
  <c r="DO434" i="1" a="1"/>
  <c r="DO434" i="1" s="1"/>
  <c r="DO419" i="1" a="1"/>
  <c r="DO419" i="1" s="1"/>
  <c r="DO421" i="1" a="1"/>
  <c r="DO421" i="1" s="1"/>
  <c r="DO423" i="1" a="1"/>
  <c r="DO423" i="1" s="1"/>
  <c r="DO428" i="1" a="1"/>
  <c r="DO428" i="1" s="1"/>
  <c r="DO311" i="1" a="1"/>
  <c r="DO311" i="1" s="1"/>
  <c r="DO313" i="1" a="1"/>
  <c r="DO313" i="1" s="1"/>
  <c r="DO315" i="1" a="1"/>
  <c r="DO315" i="1" s="1"/>
  <c r="DO330" i="1" a="1"/>
  <c r="DO330" i="1" s="1"/>
  <c r="DO338" i="1" a="1"/>
  <c r="DO338" i="1" s="1"/>
  <c r="DO422" i="1" a="1"/>
  <c r="DO422" i="1" s="1"/>
  <c r="DO426" i="1" a="1"/>
  <c r="DO426" i="1" s="1"/>
  <c r="DO431" i="1" a="1"/>
  <c r="DO431" i="1" s="1"/>
  <c r="DO432" i="1" a="1"/>
  <c r="DO432" i="1" s="1"/>
  <c r="DO436" i="1" a="1"/>
  <c r="DO436" i="1" s="1"/>
  <c r="DO437" i="1" a="1"/>
  <c r="DO437" i="1" s="1"/>
  <c r="DC286" i="1" a="1"/>
  <c r="DC286" i="1" s="1"/>
  <c r="DC268" i="1" a="1"/>
  <c r="DC268" i="1" s="1"/>
  <c r="DC328" i="1" a="1"/>
  <c r="DC328" i="1" s="1"/>
  <c r="DC329" i="1" a="1"/>
  <c r="DC329" i="1" s="1"/>
  <c r="DC334" i="1" a="1"/>
  <c r="DC334" i="1" s="1"/>
  <c r="DC335" i="1" a="1"/>
  <c r="DC335" i="1" s="1"/>
  <c r="DC342" i="1" a="1"/>
  <c r="DC342" i="1" s="1"/>
  <c r="DC343" i="1" a="1"/>
  <c r="DC343" i="1" s="1"/>
  <c r="DC350" i="1" a="1"/>
  <c r="DC350" i="1" s="1"/>
  <c r="DC351" i="1" a="1"/>
  <c r="DC351" i="1" s="1"/>
  <c r="DC352" i="1" a="1"/>
  <c r="DC352" i="1" s="1"/>
  <c r="DC336" i="1" a="1"/>
  <c r="DC336" i="1" s="1"/>
  <c r="DC353" i="1" a="1"/>
  <c r="DC353" i="1" s="1"/>
  <c r="DC354" i="1" a="1"/>
  <c r="DC354" i="1" s="1"/>
  <c r="DC355" i="1" a="1"/>
  <c r="DC355" i="1" s="1"/>
  <c r="DC356" i="1" a="1"/>
  <c r="DC356" i="1" s="1"/>
  <c r="DC357" i="1" a="1"/>
  <c r="DC357" i="1" s="1"/>
  <c r="DC358" i="1" a="1"/>
  <c r="DC358" i="1" s="1"/>
  <c r="DC359" i="1" a="1"/>
  <c r="DC359" i="1" s="1"/>
  <c r="DC360" i="1" a="1"/>
  <c r="DC360" i="1" s="1"/>
  <c r="DC361" i="1" a="1"/>
  <c r="DC361" i="1" s="1"/>
  <c r="DC362" i="1" a="1"/>
  <c r="DC362" i="1" s="1"/>
  <c r="DC363" i="1" a="1"/>
  <c r="DC363" i="1" s="1"/>
  <c r="DC364" i="1" a="1"/>
  <c r="DC364" i="1" s="1"/>
  <c r="DC365" i="1" a="1"/>
  <c r="DC365" i="1" s="1"/>
  <c r="DC366" i="1" a="1"/>
  <c r="DC366" i="1" s="1"/>
  <c r="DC367" i="1" a="1"/>
  <c r="DC367" i="1" s="1"/>
  <c r="DC368" i="1" a="1"/>
  <c r="DC368" i="1" s="1"/>
  <c r="DC369" i="1" a="1"/>
  <c r="DC369" i="1" s="1"/>
  <c r="DC370" i="1" a="1"/>
  <c r="DC370" i="1" s="1"/>
  <c r="DC371" i="1" a="1"/>
  <c r="DC371" i="1" s="1"/>
  <c r="DC372" i="1" a="1"/>
  <c r="DC372" i="1" s="1"/>
  <c r="DC373" i="1" a="1"/>
  <c r="DC373" i="1" s="1"/>
  <c r="DC374" i="1" a="1"/>
  <c r="DC374" i="1" s="1"/>
  <c r="DC375" i="1" a="1"/>
  <c r="DC375" i="1" s="1"/>
  <c r="DC376" i="1" a="1"/>
  <c r="DC376" i="1" s="1"/>
  <c r="DC377" i="1" a="1"/>
  <c r="DC377" i="1" s="1"/>
  <c r="DC378" i="1" a="1"/>
  <c r="DC378" i="1" s="1"/>
  <c r="DC379" i="1" a="1"/>
  <c r="DC379" i="1" s="1"/>
  <c r="DC380" i="1" a="1"/>
  <c r="DC380" i="1" s="1"/>
  <c r="DC381" i="1" a="1"/>
  <c r="DC381" i="1" s="1"/>
  <c r="DC382" i="1" a="1"/>
  <c r="DC382" i="1" s="1"/>
  <c r="DC383" i="1" a="1"/>
  <c r="DC383" i="1" s="1"/>
  <c r="DC384" i="1" a="1"/>
  <c r="DC384" i="1" s="1"/>
  <c r="DC385" i="1" a="1"/>
  <c r="DC385" i="1" s="1"/>
  <c r="DC386" i="1" a="1"/>
  <c r="DC386" i="1" s="1"/>
  <c r="DC387" i="1" a="1"/>
  <c r="DC387" i="1" s="1"/>
  <c r="DC388" i="1" a="1"/>
  <c r="DC388" i="1" s="1"/>
  <c r="DC389" i="1" a="1"/>
  <c r="DC389" i="1" s="1"/>
  <c r="DC390" i="1" a="1"/>
  <c r="DC390" i="1" s="1"/>
  <c r="DC391" i="1" a="1"/>
  <c r="DC391" i="1" s="1"/>
  <c r="DC392" i="1" a="1"/>
  <c r="DC392" i="1" s="1"/>
  <c r="DC393" i="1" a="1"/>
  <c r="DC393" i="1" s="1"/>
  <c r="DC394" i="1" a="1"/>
  <c r="DC394" i="1" s="1"/>
  <c r="DC395" i="1" a="1"/>
  <c r="DC395" i="1" s="1"/>
  <c r="DC396" i="1" a="1"/>
  <c r="DC396" i="1" s="1"/>
  <c r="DC397" i="1" a="1"/>
  <c r="DC397" i="1" s="1"/>
  <c r="DC398" i="1" a="1"/>
  <c r="DC398" i="1" s="1"/>
  <c r="DC399" i="1" a="1"/>
  <c r="DC399" i="1" s="1"/>
  <c r="DC400" i="1" a="1"/>
  <c r="DC400" i="1" s="1"/>
  <c r="DC401" i="1" a="1"/>
  <c r="DC401" i="1" s="1"/>
  <c r="DC402" i="1" a="1"/>
  <c r="DC402" i="1" s="1"/>
  <c r="DC403" i="1" a="1"/>
  <c r="DC403" i="1" s="1"/>
  <c r="DC404" i="1" a="1"/>
  <c r="DC404" i="1" s="1"/>
  <c r="DC405" i="1" a="1"/>
  <c r="DC405" i="1" s="1"/>
  <c r="DC406" i="1" a="1"/>
  <c r="DC406" i="1" s="1"/>
  <c r="DC407" i="1" a="1"/>
  <c r="DC407" i="1" s="1"/>
  <c r="DC408" i="1" a="1"/>
  <c r="DC408" i="1" s="1"/>
  <c r="DC409" i="1" a="1"/>
  <c r="DC409" i="1" s="1"/>
  <c r="DC410" i="1" a="1"/>
  <c r="DC410" i="1" s="1"/>
  <c r="DC411" i="1" a="1"/>
  <c r="DC411" i="1" s="1"/>
  <c r="DC412" i="1" a="1"/>
  <c r="DC412" i="1" s="1"/>
  <c r="DC413" i="1" a="1"/>
  <c r="DC413" i="1" s="1"/>
  <c r="DC414" i="1" a="1"/>
  <c r="DC414" i="1" s="1"/>
  <c r="DC415" i="1" a="1"/>
  <c r="DC415" i="1" s="1"/>
  <c r="DC416" i="1" a="1"/>
  <c r="DC416" i="1" s="1"/>
  <c r="DC417" i="1" a="1"/>
  <c r="DC417" i="1" s="1"/>
  <c r="DC418" i="1" a="1"/>
  <c r="DC418" i="1" s="1"/>
  <c r="DC421" i="1" a="1"/>
  <c r="DC421" i="1" s="1"/>
  <c r="DC425" i="1" a="1"/>
  <c r="DC425" i="1" s="1"/>
  <c r="DC428" i="1" a="1"/>
  <c r="DC428" i="1" s="1"/>
  <c r="DC435" i="1" a="1"/>
  <c r="DC435" i="1" s="1"/>
  <c r="DC312" i="1" a="1"/>
  <c r="DC312" i="1" s="1"/>
  <c r="DC314" i="1" a="1"/>
  <c r="DC314" i="1" s="1"/>
  <c r="DC331" i="1" a="1"/>
  <c r="DC331" i="1" s="1"/>
  <c r="DC339" i="1" a="1"/>
  <c r="DC339" i="1" s="1"/>
  <c r="DC419" i="1" a="1"/>
  <c r="DC419" i="1" s="1"/>
  <c r="DC424" i="1" a="1"/>
  <c r="DC424" i="1" s="1"/>
  <c r="DC426" i="1" a="1"/>
  <c r="DC426" i="1" s="1"/>
  <c r="DC344" i="1" a="1"/>
  <c r="DC344" i="1" s="1"/>
  <c r="DC420" i="1" a="1"/>
  <c r="DC420" i="1" s="1"/>
  <c r="DC422" i="1" a="1"/>
  <c r="DC422" i="1" s="1"/>
  <c r="DC429" i="1" a="1"/>
  <c r="DC429" i="1" s="1"/>
  <c r="DC431" i="1" a="1"/>
  <c r="DC431" i="1" s="1"/>
  <c r="DC432" i="1" a="1"/>
  <c r="DC432" i="1" s="1"/>
  <c r="DC437" i="1" a="1"/>
  <c r="DC437" i="1" s="1"/>
  <c r="CU23" i="1" a="1"/>
  <c r="CU23" i="1" s="1"/>
  <c r="CU29" i="1" a="1"/>
  <c r="CU29" i="1" s="1"/>
  <c r="CU286" i="1" a="1"/>
  <c r="CU286" i="1" s="1"/>
  <c r="CU280" i="1" a="1"/>
  <c r="CU280" i="1" s="1"/>
  <c r="CU328" i="1" a="1"/>
  <c r="CU328" i="1" s="1"/>
  <c r="CU329" i="1" a="1"/>
  <c r="CU329" i="1" s="1"/>
  <c r="CU334" i="1" a="1"/>
  <c r="CU334" i="1" s="1"/>
  <c r="CU335" i="1" a="1"/>
  <c r="CU335" i="1" s="1"/>
  <c r="CU342" i="1" a="1"/>
  <c r="CU342" i="1" s="1"/>
  <c r="CU343" i="1" a="1"/>
  <c r="CU343" i="1" s="1"/>
  <c r="CU351" i="1" a="1"/>
  <c r="CU351" i="1" s="1"/>
  <c r="CU352" i="1" a="1"/>
  <c r="CU352" i="1" s="1"/>
  <c r="CU337" i="1" a="1"/>
  <c r="CU337" i="1" s="1"/>
  <c r="CU353" i="1" a="1"/>
  <c r="CU353" i="1" s="1"/>
  <c r="CU354" i="1" a="1"/>
  <c r="CU354" i="1" s="1"/>
  <c r="CU355" i="1" a="1"/>
  <c r="CU355" i="1" s="1"/>
  <c r="CU356" i="1" a="1"/>
  <c r="CU356" i="1" s="1"/>
  <c r="CU357" i="1" a="1"/>
  <c r="CU357" i="1" s="1"/>
  <c r="CU358" i="1" a="1"/>
  <c r="CU358" i="1" s="1"/>
  <c r="CU359" i="1" a="1"/>
  <c r="CU359" i="1" s="1"/>
  <c r="CU360" i="1" a="1"/>
  <c r="CU360" i="1" s="1"/>
  <c r="CU361" i="1" a="1"/>
  <c r="CU361" i="1" s="1"/>
  <c r="CU362" i="1" a="1"/>
  <c r="CU362" i="1" s="1"/>
  <c r="CU363" i="1" a="1"/>
  <c r="CU363" i="1" s="1"/>
  <c r="CU364" i="1" a="1"/>
  <c r="CU364" i="1" s="1"/>
  <c r="CU365" i="1" a="1"/>
  <c r="CU365" i="1" s="1"/>
  <c r="CU366" i="1" a="1"/>
  <c r="CU366" i="1" s="1"/>
  <c r="CU367" i="1" a="1"/>
  <c r="CU367" i="1" s="1"/>
  <c r="CU368" i="1" a="1"/>
  <c r="CU368" i="1" s="1"/>
  <c r="CU369" i="1" a="1"/>
  <c r="CU369" i="1" s="1"/>
  <c r="CU370" i="1" a="1"/>
  <c r="CU370" i="1" s="1"/>
  <c r="CU371" i="1" a="1"/>
  <c r="CU371" i="1" s="1"/>
  <c r="CU372" i="1" a="1"/>
  <c r="CU372" i="1" s="1"/>
  <c r="CU373" i="1" a="1"/>
  <c r="CU373" i="1" s="1"/>
  <c r="CU374" i="1" a="1"/>
  <c r="CU374" i="1" s="1"/>
  <c r="CU375" i="1" a="1"/>
  <c r="CU375" i="1" s="1"/>
  <c r="CU376" i="1" a="1"/>
  <c r="CU376" i="1" s="1"/>
  <c r="CU377" i="1" a="1"/>
  <c r="CU377" i="1" s="1"/>
  <c r="CU378" i="1" a="1"/>
  <c r="CU378" i="1" s="1"/>
  <c r="CU379" i="1" a="1"/>
  <c r="CU379" i="1" s="1"/>
  <c r="CU380" i="1" a="1"/>
  <c r="CU380" i="1" s="1"/>
  <c r="CU381" i="1" a="1"/>
  <c r="CU381" i="1" s="1"/>
  <c r="CU382" i="1" a="1"/>
  <c r="CU382" i="1" s="1"/>
  <c r="CU383" i="1" a="1"/>
  <c r="CU383" i="1" s="1"/>
  <c r="CU384" i="1" a="1"/>
  <c r="CU384" i="1" s="1"/>
  <c r="CU385" i="1" a="1"/>
  <c r="CU385" i="1" s="1"/>
  <c r="CU386" i="1" a="1"/>
  <c r="CU386" i="1" s="1"/>
  <c r="CU387" i="1" a="1"/>
  <c r="CU387" i="1" s="1"/>
  <c r="CU388" i="1" a="1"/>
  <c r="CU388" i="1" s="1"/>
  <c r="CU389" i="1" a="1"/>
  <c r="CU389" i="1" s="1"/>
  <c r="CU390" i="1" a="1"/>
  <c r="CU390" i="1" s="1"/>
  <c r="CU391" i="1" a="1"/>
  <c r="CU391" i="1" s="1"/>
  <c r="CU392" i="1" a="1"/>
  <c r="CU392" i="1" s="1"/>
  <c r="CU393" i="1" a="1"/>
  <c r="CU393" i="1" s="1"/>
  <c r="CU394" i="1" a="1"/>
  <c r="CU394" i="1" s="1"/>
  <c r="CU395" i="1" a="1"/>
  <c r="CU395" i="1" s="1"/>
  <c r="CU396" i="1" a="1"/>
  <c r="CU396" i="1" s="1"/>
  <c r="CU397" i="1" a="1"/>
  <c r="CU397" i="1" s="1"/>
  <c r="CU398" i="1" a="1"/>
  <c r="CU398" i="1" s="1"/>
  <c r="CU399" i="1" a="1"/>
  <c r="CU399" i="1" s="1"/>
  <c r="CU400" i="1" a="1"/>
  <c r="CU400" i="1" s="1"/>
  <c r="CU401" i="1" a="1"/>
  <c r="CU401" i="1" s="1"/>
  <c r="CU402" i="1" a="1"/>
  <c r="CU402" i="1" s="1"/>
  <c r="CU403" i="1" a="1"/>
  <c r="CU403" i="1" s="1"/>
  <c r="CU404" i="1" a="1"/>
  <c r="CU404" i="1" s="1"/>
  <c r="CU405" i="1" a="1"/>
  <c r="CU405" i="1" s="1"/>
  <c r="CU406" i="1" a="1"/>
  <c r="CU406" i="1" s="1"/>
  <c r="CU407" i="1" a="1"/>
  <c r="CU407" i="1" s="1"/>
  <c r="CU408" i="1" a="1"/>
  <c r="CU408" i="1" s="1"/>
  <c r="CU409" i="1" a="1"/>
  <c r="CU409" i="1" s="1"/>
  <c r="CU410" i="1" a="1"/>
  <c r="CU410" i="1" s="1"/>
  <c r="CU411" i="1" a="1"/>
  <c r="CU411" i="1" s="1"/>
  <c r="CU412" i="1" a="1"/>
  <c r="CU412" i="1" s="1"/>
  <c r="CU413" i="1" a="1"/>
  <c r="CU413" i="1" s="1"/>
  <c r="CU414" i="1" a="1"/>
  <c r="CU414" i="1" s="1"/>
  <c r="CU415" i="1" a="1"/>
  <c r="CU415" i="1" s="1"/>
  <c r="CU416" i="1" a="1"/>
  <c r="CU416" i="1" s="1"/>
  <c r="CU417" i="1" a="1"/>
  <c r="CU417" i="1" s="1"/>
  <c r="CU418" i="1" a="1"/>
  <c r="CU418" i="1" s="1"/>
  <c r="CU421" i="1" a="1"/>
  <c r="CU421" i="1" s="1"/>
  <c r="CU425" i="1" a="1"/>
  <c r="CU425" i="1" s="1"/>
  <c r="CU426" i="1" a="1"/>
  <c r="CU426" i="1" s="1"/>
  <c r="CU431" i="1" a="1"/>
  <c r="CU431" i="1" s="1"/>
  <c r="CU435" i="1" a="1"/>
  <c r="CU435" i="1" s="1"/>
  <c r="CU313" i="1" a="1"/>
  <c r="CU313" i="1" s="1"/>
  <c r="CU315" i="1" a="1"/>
  <c r="CU315" i="1" s="1"/>
  <c r="CU330" i="1" a="1"/>
  <c r="CU330" i="1" s="1"/>
  <c r="CU419" i="1" a="1"/>
  <c r="CU419" i="1" s="1"/>
  <c r="CU420" i="1" a="1"/>
  <c r="CU420" i="1" s="1"/>
  <c r="CU422" i="1" a="1"/>
  <c r="CU422" i="1" s="1"/>
  <c r="CU424" i="1" a="1"/>
  <c r="CU424" i="1" s="1"/>
  <c r="CU336" i="1" a="1"/>
  <c r="CU336" i="1" s="1"/>
  <c r="CU344" i="1" a="1"/>
  <c r="CU344" i="1" s="1"/>
  <c r="CU345" i="1" a="1"/>
  <c r="CU345" i="1" s="1"/>
  <c r="CU429" i="1" a="1"/>
  <c r="CU429" i="1" s="1"/>
  <c r="CU432" i="1" a="1"/>
  <c r="CU432" i="1" s="1"/>
  <c r="CU433" i="1" a="1"/>
  <c r="CU433" i="1" s="1"/>
  <c r="CU437" i="1" a="1"/>
  <c r="CU437" i="1" s="1"/>
  <c r="CU438" i="1" a="1"/>
  <c r="CU438" i="1" s="1"/>
  <c r="DH40" i="1" a="1"/>
  <c r="DH40" i="1" s="1"/>
  <c r="DH43" i="1" a="1"/>
  <c r="DH43" i="1" s="1"/>
  <c r="DH26" i="1" a="1"/>
  <c r="DH26" i="1" s="1"/>
  <c r="DH27" i="1" a="1"/>
  <c r="DH27" i="1" s="1"/>
  <c r="DH28" i="1" a="1"/>
  <c r="DH28" i="1" s="1"/>
  <c r="DH41" i="1" a="1"/>
  <c r="DH41" i="1" s="1"/>
  <c r="DH23" i="1" a="1"/>
  <c r="DH23" i="1" s="1"/>
  <c r="DH24" i="1" a="1"/>
  <c r="DH24" i="1" s="1"/>
  <c r="DH25" i="1" a="1"/>
  <c r="DH25" i="1" s="1"/>
  <c r="DH29" i="1" a="1"/>
  <c r="DH29" i="1" s="1"/>
  <c r="DH30" i="1" a="1"/>
  <c r="DH30" i="1" s="1"/>
  <c r="DH31" i="1" a="1"/>
  <c r="DH31" i="1" s="1"/>
  <c r="DH32" i="1" a="1"/>
  <c r="DH32" i="1" s="1"/>
  <c r="DH33" i="1" a="1"/>
  <c r="DH33" i="1" s="1"/>
  <c r="DH34" i="1" a="1"/>
  <c r="DH34" i="1" s="1"/>
  <c r="DH35" i="1" a="1"/>
  <c r="DH35" i="1" s="1"/>
  <c r="DH36" i="1" a="1"/>
  <c r="DH36" i="1" s="1"/>
  <c r="DH37" i="1" a="1"/>
  <c r="DH37" i="1" s="1"/>
  <c r="DH38" i="1" a="1"/>
  <c r="DH38" i="1" s="1"/>
  <c r="DH39" i="1" a="1"/>
  <c r="DH39" i="1" s="1"/>
  <c r="DH44" i="1" a="1"/>
  <c r="DH44" i="1" s="1"/>
  <c r="DH42" i="1" a="1"/>
  <c r="DH42" i="1" s="1"/>
  <c r="DH46" i="1" a="1"/>
  <c r="DH46" i="1" s="1"/>
  <c r="DH52" i="1" a="1"/>
  <c r="DH52" i="1" s="1"/>
  <c r="DH48" i="1" a="1"/>
  <c r="DH48" i="1" s="1"/>
  <c r="DH53" i="1" a="1"/>
  <c r="DH53" i="1" s="1"/>
  <c r="DH54" i="1" a="1"/>
  <c r="DH54" i="1" s="1"/>
  <c r="DH58" i="1" a="1"/>
  <c r="DH58" i="1" s="1"/>
  <c r="DH49" i="1" a="1"/>
  <c r="DH49" i="1" s="1"/>
  <c r="DH50" i="1" a="1"/>
  <c r="DH50" i="1" s="1"/>
  <c r="DH55" i="1" a="1"/>
  <c r="DH55" i="1" s="1"/>
  <c r="DH59" i="1" a="1"/>
  <c r="DH59" i="1" s="1"/>
  <c r="DH62" i="1" a="1"/>
  <c r="DH62" i="1" s="1"/>
  <c r="DH60" i="1" a="1"/>
  <c r="DH60" i="1" s="1"/>
  <c r="DH61" i="1" a="1"/>
  <c r="DH61" i="1" s="1"/>
  <c r="DH64" i="1" a="1"/>
  <c r="DH64" i="1" s="1"/>
  <c r="DH47" i="1" a="1"/>
  <c r="DH47" i="1" s="1"/>
  <c r="DH56" i="1" a="1"/>
  <c r="DH56" i="1" s="1"/>
  <c r="DH63" i="1" a="1"/>
  <c r="DH63" i="1" s="1"/>
  <c r="DH65" i="1" a="1"/>
  <c r="DH65" i="1" s="1"/>
  <c r="DH66" i="1" a="1"/>
  <c r="DH66" i="1" s="1"/>
  <c r="DH67" i="1" a="1"/>
  <c r="DH67" i="1" s="1"/>
  <c r="DH68" i="1" a="1"/>
  <c r="DH68" i="1" s="1"/>
  <c r="DH69" i="1" a="1"/>
  <c r="DH69" i="1" s="1"/>
  <c r="DH70" i="1" a="1"/>
  <c r="DH70" i="1" s="1"/>
  <c r="DH71" i="1" a="1"/>
  <c r="DH71" i="1" s="1"/>
  <c r="DH72" i="1" a="1"/>
  <c r="DH72" i="1" s="1"/>
  <c r="DH73" i="1" a="1"/>
  <c r="DH73" i="1" s="1"/>
  <c r="DH74" i="1" a="1"/>
  <c r="DH74" i="1" s="1"/>
  <c r="DH75" i="1" a="1"/>
  <c r="DH75" i="1" s="1"/>
  <c r="DH76" i="1" a="1"/>
  <c r="DH76" i="1" s="1"/>
  <c r="DH77" i="1" a="1"/>
  <c r="DH77" i="1" s="1"/>
  <c r="DH83" i="1" a="1"/>
  <c r="DH83" i="1" s="1"/>
  <c r="DH80" i="1" a="1"/>
  <c r="DH80" i="1" s="1"/>
  <c r="DH84" i="1" a="1"/>
  <c r="DH84" i="1" s="1"/>
  <c r="DH85" i="1" a="1"/>
  <c r="DH85" i="1" s="1"/>
  <c r="DH45" i="1" a="1"/>
  <c r="DH45" i="1" s="1"/>
  <c r="DH88" i="1" a="1"/>
  <c r="DH88" i="1" s="1"/>
  <c r="DH89" i="1" a="1"/>
  <c r="DH89" i="1" s="1"/>
  <c r="DH96" i="1" a="1"/>
  <c r="DH96" i="1" s="1"/>
  <c r="DH98" i="1" a="1"/>
  <c r="DH98" i="1" s="1"/>
  <c r="DH99" i="1" a="1"/>
  <c r="DH99" i="1" s="1"/>
  <c r="DH101" i="1" a="1"/>
  <c r="DH101" i="1" s="1"/>
  <c r="DH102" i="1" a="1"/>
  <c r="DH102" i="1" s="1"/>
  <c r="DH103" i="1" a="1"/>
  <c r="DH103" i="1" s="1"/>
  <c r="DH104" i="1" a="1"/>
  <c r="DH104" i="1" s="1"/>
  <c r="DH105" i="1" a="1"/>
  <c r="DH105" i="1" s="1"/>
  <c r="DH106" i="1" a="1"/>
  <c r="DH106" i="1" s="1"/>
  <c r="DH107" i="1" a="1"/>
  <c r="DH107" i="1" s="1"/>
  <c r="DH108" i="1" a="1"/>
  <c r="DH108" i="1" s="1"/>
  <c r="DH109" i="1" a="1"/>
  <c r="DH109" i="1" s="1"/>
  <c r="DH110" i="1" a="1"/>
  <c r="DH110" i="1" s="1"/>
  <c r="DH118" i="1" a="1"/>
  <c r="DH118" i="1" s="1"/>
  <c r="DH51" i="1" a="1"/>
  <c r="DH51" i="1" s="1"/>
  <c r="DH79" i="1" a="1"/>
  <c r="DH79" i="1" s="1"/>
  <c r="DH90" i="1" a="1"/>
  <c r="DH90" i="1" s="1"/>
  <c r="DH97" i="1" a="1"/>
  <c r="DH97" i="1" s="1"/>
  <c r="DH111" i="1" a="1"/>
  <c r="DH111" i="1" s="1"/>
  <c r="DH113" i="1" a="1"/>
  <c r="DH113" i="1" s="1"/>
  <c r="DH114" i="1" a="1"/>
  <c r="DH114" i="1" s="1"/>
  <c r="DH120" i="1" a="1"/>
  <c r="DH120" i="1" s="1"/>
  <c r="DH121" i="1" a="1"/>
  <c r="DH121" i="1" s="1"/>
  <c r="DH122" i="1" a="1"/>
  <c r="DH122" i="1" s="1"/>
  <c r="DH123" i="1" a="1"/>
  <c r="DH123" i="1" s="1"/>
  <c r="DH124" i="1" a="1"/>
  <c r="DH124" i="1" s="1"/>
  <c r="DH125" i="1" a="1"/>
  <c r="DH125" i="1" s="1"/>
  <c r="DH126" i="1" a="1"/>
  <c r="DH126" i="1" s="1"/>
  <c r="DH127" i="1" a="1"/>
  <c r="DH127" i="1" s="1"/>
  <c r="DH128" i="1" a="1"/>
  <c r="DH128" i="1" s="1"/>
  <c r="DH129" i="1" a="1"/>
  <c r="DH129" i="1" s="1"/>
  <c r="DH91" i="1" a="1"/>
  <c r="DH91" i="1" s="1"/>
  <c r="DH115" i="1" a="1"/>
  <c r="DH115" i="1" s="1"/>
  <c r="DH119" i="1" a="1"/>
  <c r="DH119" i="1" s="1"/>
  <c r="DH81" i="1" a="1"/>
  <c r="DH81" i="1" s="1"/>
  <c r="DH130" i="1" a="1"/>
  <c r="DH130" i="1" s="1"/>
  <c r="DH131" i="1" a="1"/>
  <c r="DH131" i="1" s="1"/>
  <c r="DH132" i="1" a="1"/>
  <c r="DH132" i="1" s="1"/>
  <c r="DH133" i="1" a="1"/>
  <c r="DH133" i="1" s="1"/>
  <c r="DH134" i="1" a="1"/>
  <c r="DH134" i="1" s="1"/>
  <c r="DH135" i="1" a="1"/>
  <c r="DH135" i="1" s="1"/>
  <c r="DH136" i="1" a="1"/>
  <c r="DH136" i="1" s="1"/>
  <c r="DH143" i="1" a="1"/>
  <c r="DH143" i="1" s="1"/>
  <c r="DH148" i="1" a="1"/>
  <c r="DH148" i="1" s="1"/>
  <c r="DH151" i="1" a="1"/>
  <c r="DH151" i="1" s="1"/>
  <c r="DH153" i="1" a="1"/>
  <c r="DH153" i="1" s="1"/>
  <c r="DH155" i="1" a="1"/>
  <c r="DH155" i="1" s="1"/>
  <c r="DH82" i="1" a="1"/>
  <c r="DH82" i="1" s="1"/>
  <c r="DH87" i="1" a="1"/>
  <c r="DH87" i="1" s="1"/>
  <c r="DH93" i="1" a="1"/>
  <c r="DH93" i="1" s="1"/>
  <c r="DH95" i="1" a="1"/>
  <c r="DH95" i="1" s="1"/>
  <c r="DH112" i="1" a="1"/>
  <c r="DH112" i="1" s="1"/>
  <c r="DH138" i="1" a="1"/>
  <c r="DH138" i="1" s="1"/>
  <c r="DH140" i="1" a="1"/>
  <c r="DH140" i="1" s="1"/>
  <c r="DH142" i="1" a="1"/>
  <c r="DH142" i="1" s="1"/>
  <c r="DH144" i="1" a="1"/>
  <c r="DH144" i="1" s="1"/>
  <c r="DH149" i="1" a="1"/>
  <c r="DH149" i="1" s="1"/>
  <c r="DH57" i="1" a="1"/>
  <c r="DH57" i="1" s="1"/>
  <c r="DH86" i="1" a="1"/>
  <c r="DH86" i="1" s="1"/>
  <c r="DH100" i="1" a="1"/>
  <c r="DH100" i="1" s="1"/>
  <c r="DH117" i="1" a="1"/>
  <c r="DH117" i="1" s="1"/>
  <c r="DH147" i="1" a="1"/>
  <c r="DH147" i="1" s="1"/>
  <c r="DH150" i="1" a="1"/>
  <c r="DH150" i="1" s="1"/>
  <c r="DH152" i="1" a="1"/>
  <c r="DH152" i="1" s="1"/>
  <c r="DH154" i="1" a="1"/>
  <c r="DH154" i="1" s="1"/>
  <c r="DH156" i="1" a="1"/>
  <c r="DH156" i="1" s="1"/>
  <c r="DH158" i="1" a="1"/>
  <c r="DH158" i="1" s="1"/>
  <c r="DH141" i="1" a="1"/>
  <c r="DH141" i="1" s="1"/>
  <c r="DH145" i="1" a="1"/>
  <c r="DH145" i="1" s="1"/>
  <c r="DH157" i="1" a="1"/>
  <c r="DH157" i="1" s="1"/>
  <c r="DH160" i="1" a="1"/>
  <c r="DH160" i="1" s="1"/>
  <c r="DH162" i="1" a="1"/>
  <c r="DH162" i="1" s="1"/>
  <c r="DH164" i="1" a="1"/>
  <c r="DH164" i="1" s="1"/>
  <c r="DH166" i="1" a="1"/>
  <c r="DH166" i="1" s="1"/>
  <c r="DH172" i="1" a="1"/>
  <c r="DH172" i="1" s="1"/>
  <c r="DH177" i="1" a="1"/>
  <c r="DH177" i="1" s="1"/>
  <c r="DH179" i="1" a="1"/>
  <c r="DH179" i="1" s="1"/>
  <c r="DH184" i="1" a="1"/>
  <c r="DH184" i="1" s="1"/>
  <c r="DH92" i="1" a="1"/>
  <c r="DH92" i="1" s="1"/>
  <c r="DH94" i="1" a="1"/>
  <c r="DH94" i="1" s="1"/>
  <c r="DH116" i="1" a="1"/>
  <c r="DH116" i="1" s="1"/>
  <c r="DH139" i="1" a="1"/>
  <c r="DH139" i="1" s="1"/>
  <c r="DH168" i="1" a="1"/>
  <c r="DH168" i="1" s="1"/>
  <c r="DH171" i="1" a="1"/>
  <c r="DH171" i="1" s="1"/>
  <c r="DH174" i="1" a="1"/>
  <c r="DH174" i="1" s="1"/>
  <c r="DH181" i="1" a="1"/>
  <c r="DH181" i="1" s="1"/>
  <c r="DH183" i="1" a="1"/>
  <c r="DH183" i="1" s="1"/>
  <c r="DH78" i="1" a="1"/>
  <c r="DH78" i="1" s="1"/>
  <c r="DH137" i="1" a="1"/>
  <c r="DH137" i="1" s="1"/>
  <c r="DH159" i="1" a="1"/>
  <c r="DH159" i="1" s="1"/>
  <c r="DH161" i="1" a="1"/>
  <c r="DH161" i="1" s="1"/>
  <c r="DH163" i="1" a="1"/>
  <c r="DH163" i="1" s="1"/>
  <c r="DH165" i="1" a="1"/>
  <c r="DH165" i="1" s="1"/>
  <c r="DH170" i="1" a="1"/>
  <c r="DH170" i="1" s="1"/>
  <c r="DH173" i="1" a="1"/>
  <c r="DH173" i="1" s="1"/>
  <c r="DH176" i="1" a="1"/>
  <c r="DH176" i="1" s="1"/>
  <c r="DH178" i="1" a="1"/>
  <c r="DH178" i="1" s="1"/>
  <c r="DH185" i="1" a="1"/>
  <c r="DH185" i="1" s="1"/>
  <c r="DH187" i="1" a="1"/>
  <c r="DH187" i="1" s="1"/>
  <c r="DH169" i="1" a="1"/>
  <c r="DH169" i="1" s="1"/>
  <c r="DH175" i="1" a="1"/>
  <c r="DH175" i="1" s="1"/>
  <c r="DH182" i="1" a="1"/>
  <c r="DH182" i="1" s="1"/>
  <c r="DH188" i="1" a="1"/>
  <c r="DH188" i="1" s="1"/>
  <c r="DH190" i="1" a="1"/>
  <c r="DH190" i="1" s="1"/>
  <c r="DH193" i="1" a="1"/>
  <c r="DH193" i="1" s="1"/>
  <c r="DH200" i="1" a="1"/>
  <c r="DH200" i="1" s="1"/>
  <c r="DH202" i="1" a="1"/>
  <c r="DH202" i="1" s="1"/>
  <c r="DH204" i="1" a="1"/>
  <c r="DH204" i="1" s="1"/>
  <c r="DH206" i="1" a="1"/>
  <c r="DH206" i="1" s="1"/>
  <c r="DH208" i="1" a="1"/>
  <c r="DH208" i="1" s="1"/>
  <c r="DH210" i="1" a="1"/>
  <c r="DH210" i="1" s="1"/>
  <c r="DH212" i="1" a="1"/>
  <c r="DH212" i="1" s="1"/>
  <c r="DH214" i="1" a="1"/>
  <c r="DH214" i="1" s="1"/>
  <c r="DH216" i="1" a="1"/>
  <c r="DH216" i="1" s="1"/>
  <c r="DH218" i="1" a="1"/>
  <c r="DH218" i="1" s="1"/>
  <c r="DH220" i="1" a="1"/>
  <c r="DH220" i="1" s="1"/>
  <c r="DH222" i="1" a="1"/>
  <c r="DH222" i="1" s="1"/>
  <c r="DH224" i="1" a="1"/>
  <c r="DH224" i="1" s="1"/>
  <c r="DH226" i="1" a="1"/>
  <c r="DH226" i="1" s="1"/>
  <c r="DH228" i="1" a="1"/>
  <c r="DH228" i="1" s="1"/>
  <c r="DH230" i="1" a="1"/>
  <c r="DH230" i="1" s="1"/>
  <c r="DH232" i="1" a="1"/>
  <c r="DH232" i="1" s="1"/>
  <c r="DH234" i="1" a="1"/>
  <c r="DH234" i="1" s="1"/>
  <c r="DH236" i="1" a="1"/>
  <c r="DH236" i="1" s="1"/>
  <c r="DH238" i="1" a="1"/>
  <c r="DH238" i="1" s="1"/>
  <c r="DH240" i="1" a="1"/>
  <c r="DH240" i="1" s="1"/>
  <c r="DH242" i="1" a="1"/>
  <c r="DH242" i="1" s="1"/>
  <c r="DH244" i="1" a="1"/>
  <c r="DH244" i="1" s="1"/>
  <c r="DH146" i="1" a="1"/>
  <c r="DH146" i="1" s="1"/>
  <c r="DH167" i="1" a="1"/>
  <c r="DH167" i="1" s="1"/>
  <c r="DH180" i="1" a="1"/>
  <c r="DH180" i="1" s="1"/>
  <c r="DH192" i="1" a="1"/>
  <c r="DH192" i="1" s="1"/>
  <c r="DH195" i="1" a="1"/>
  <c r="DH195" i="1" s="1"/>
  <c r="DH197" i="1" a="1"/>
  <c r="DH197" i="1" s="1"/>
  <c r="DH199" i="1" a="1"/>
  <c r="DH199" i="1" s="1"/>
  <c r="DH189" i="1" a="1"/>
  <c r="DH189" i="1" s="1"/>
  <c r="DH191" i="1" a="1"/>
  <c r="DH191" i="1" s="1"/>
  <c r="DH194" i="1" a="1"/>
  <c r="DH194" i="1" s="1"/>
  <c r="DH201" i="1" a="1"/>
  <c r="DH201" i="1" s="1"/>
  <c r="DH203" i="1" a="1"/>
  <c r="DH203" i="1" s="1"/>
  <c r="DH205" i="1" a="1"/>
  <c r="DH205" i="1" s="1"/>
  <c r="DH207" i="1" a="1"/>
  <c r="DH207" i="1" s="1"/>
  <c r="DH209" i="1" a="1"/>
  <c r="DH209" i="1" s="1"/>
  <c r="DH211" i="1" a="1"/>
  <c r="DH211" i="1" s="1"/>
  <c r="DH213" i="1" a="1"/>
  <c r="DH213" i="1" s="1"/>
  <c r="DH215" i="1" a="1"/>
  <c r="DH215" i="1" s="1"/>
  <c r="DH217" i="1" a="1"/>
  <c r="DH217" i="1" s="1"/>
  <c r="DH219" i="1" a="1"/>
  <c r="DH219" i="1" s="1"/>
  <c r="DH221" i="1" a="1"/>
  <c r="DH221" i="1" s="1"/>
  <c r="DH223" i="1" a="1"/>
  <c r="DH223" i="1" s="1"/>
  <c r="DH225" i="1" a="1"/>
  <c r="DH225" i="1" s="1"/>
  <c r="DH227" i="1" a="1"/>
  <c r="DH227" i="1" s="1"/>
  <c r="DH229" i="1" a="1"/>
  <c r="DH229" i="1" s="1"/>
  <c r="DH231" i="1" a="1"/>
  <c r="DH231" i="1" s="1"/>
  <c r="DH233" i="1" a="1"/>
  <c r="DH233" i="1" s="1"/>
  <c r="DH235" i="1" a="1"/>
  <c r="DH235" i="1" s="1"/>
  <c r="DH237" i="1" a="1"/>
  <c r="DH237" i="1" s="1"/>
  <c r="DH239" i="1" a="1"/>
  <c r="DH239" i="1" s="1"/>
  <c r="DH241" i="1" a="1"/>
  <c r="DH241" i="1" s="1"/>
  <c r="DH243" i="1" a="1"/>
  <c r="DH243" i="1" s="1"/>
  <c r="DH198" i="1" a="1"/>
  <c r="DH198" i="1" s="1"/>
  <c r="DH255" i="1" a="1"/>
  <c r="DH255" i="1" s="1"/>
  <c r="DH258" i="1" a="1"/>
  <c r="DH258" i="1" s="1"/>
  <c r="DH260" i="1" a="1"/>
  <c r="DH260" i="1" s="1"/>
  <c r="DH263" i="1" a="1"/>
  <c r="DH263" i="1" s="1"/>
  <c r="DH265" i="1" a="1"/>
  <c r="DH265" i="1" s="1"/>
  <c r="DH266" i="1" a="1"/>
  <c r="DH266" i="1" s="1"/>
  <c r="DH271" i="1" a="1"/>
  <c r="DH271" i="1" s="1"/>
  <c r="DH274" i="1" a="1"/>
  <c r="DH274" i="1" s="1"/>
  <c r="DH276" i="1" a="1"/>
  <c r="DH276" i="1" s="1"/>
  <c r="DH279" i="1" a="1"/>
  <c r="DH279" i="1" s="1"/>
  <c r="DH284" i="1" a="1"/>
  <c r="DH284" i="1" s="1"/>
  <c r="DH186" i="1" a="1"/>
  <c r="DH186" i="1" s="1"/>
  <c r="DH196" i="1" a="1"/>
  <c r="DH196" i="1" s="1"/>
  <c r="DH246" i="1" a="1"/>
  <c r="DH246" i="1" s="1"/>
  <c r="DH250" i="1" a="1"/>
  <c r="DH250" i="1" s="1"/>
  <c r="DH252" i="1" a="1"/>
  <c r="DH252" i="1" s="1"/>
  <c r="DH257" i="1" a="1"/>
  <c r="DH257" i="1" s="1"/>
  <c r="DH273" i="1" a="1"/>
  <c r="DH273" i="1" s="1"/>
  <c r="DH280" i="1" a="1"/>
  <c r="DH280" i="1" s="1"/>
  <c r="DH287" i="1" a="1"/>
  <c r="DH287" i="1" s="1"/>
  <c r="DH289" i="1" a="1"/>
  <c r="DH289" i="1" s="1"/>
  <c r="DH291" i="1" a="1"/>
  <c r="DH291" i="1" s="1"/>
  <c r="DH293" i="1" a="1"/>
  <c r="DH293" i="1" s="1"/>
  <c r="DH249" i="1" a="1"/>
  <c r="DH249" i="1" s="1"/>
  <c r="DH254" i="1" a="1"/>
  <c r="DH254" i="1" s="1"/>
  <c r="DH256" i="1" a="1"/>
  <c r="DH256" i="1" s="1"/>
  <c r="DH259" i="1" a="1"/>
  <c r="DH259" i="1" s="1"/>
  <c r="DH261" i="1" a="1"/>
  <c r="DH261" i="1" s="1"/>
  <c r="DH262" i="1" a="1"/>
  <c r="DH262" i="1" s="1"/>
  <c r="DH264" i="1" a="1"/>
  <c r="DH264" i="1" s="1"/>
  <c r="DH267" i="1" a="1"/>
  <c r="DH267" i="1" s="1"/>
  <c r="DH269" i="1" a="1"/>
  <c r="DH269" i="1" s="1"/>
  <c r="DH270" i="1" a="1"/>
  <c r="DH270" i="1" s="1"/>
  <c r="DH272" i="1" a="1"/>
  <c r="DH272" i="1" s="1"/>
  <c r="DH275" i="1" a="1"/>
  <c r="DH275" i="1" s="1"/>
  <c r="DH278" i="1" a="1"/>
  <c r="DH278" i="1" s="1"/>
  <c r="DH283" i="1" a="1"/>
  <c r="DH283" i="1" s="1"/>
  <c r="DH285" i="1" a="1"/>
  <c r="DH285" i="1" s="1"/>
  <c r="DH286" i="1" a="1"/>
  <c r="DH286" i="1" s="1"/>
  <c r="DH277" i="1" a="1"/>
  <c r="DH277" i="1" s="1"/>
  <c r="DH288" i="1" a="1"/>
  <c r="DH288" i="1" s="1"/>
  <c r="DH299" i="1" a="1"/>
  <c r="DH299" i="1" s="1"/>
  <c r="DH301" i="1" a="1"/>
  <c r="DH301" i="1" s="1"/>
  <c r="DH303" i="1" a="1"/>
  <c r="DH303" i="1" s="1"/>
  <c r="DH305" i="1" a="1"/>
  <c r="DH305" i="1" s="1"/>
  <c r="DH307" i="1" a="1"/>
  <c r="DH307" i="1" s="1"/>
  <c r="DH309" i="1" a="1"/>
  <c r="DH309" i="1" s="1"/>
  <c r="DH311" i="1" a="1"/>
  <c r="DH311" i="1" s="1"/>
  <c r="DH312" i="1" a="1"/>
  <c r="DH312" i="1" s="1"/>
  <c r="DH313" i="1" a="1"/>
  <c r="DH313" i="1" s="1"/>
  <c r="DH314" i="1" a="1"/>
  <c r="DH314" i="1" s="1"/>
  <c r="DH315" i="1" a="1"/>
  <c r="DH315" i="1" s="1"/>
  <c r="DH330" i="1" a="1"/>
  <c r="DH330" i="1" s="1"/>
  <c r="DH331" i="1" a="1"/>
  <c r="DH331" i="1" s="1"/>
  <c r="DH333" i="1" a="1"/>
  <c r="DH333" i="1" s="1"/>
  <c r="DH336" i="1" a="1"/>
  <c r="DH336" i="1" s="1"/>
  <c r="DH338" i="1" a="1"/>
  <c r="DH338" i="1" s="1"/>
  <c r="DH339" i="1" a="1"/>
  <c r="DH339" i="1" s="1"/>
  <c r="DH245" i="1" a="1"/>
  <c r="DH245" i="1" s="1"/>
  <c r="DH253" i="1" a="1"/>
  <c r="DH253" i="1" s="1"/>
  <c r="DH296" i="1" a="1"/>
  <c r="DH296" i="1" s="1"/>
  <c r="DH316" i="1" a="1"/>
  <c r="DH316" i="1" s="1"/>
  <c r="DH318" i="1" a="1"/>
  <c r="DH318" i="1" s="1"/>
  <c r="DH320" i="1" a="1"/>
  <c r="DH320" i="1" s="1"/>
  <c r="DH322" i="1" a="1"/>
  <c r="DH322" i="1" s="1"/>
  <c r="DH324" i="1" a="1"/>
  <c r="DH324" i="1" s="1"/>
  <c r="DH326" i="1" a="1"/>
  <c r="DH326" i="1" s="1"/>
  <c r="DH332" i="1" a="1"/>
  <c r="DH332" i="1" s="1"/>
  <c r="DH340" i="1" a="1"/>
  <c r="DH340" i="1" s="1"/>
  <c r="DH346" i="1" a="1"/>
  <c r="DH346" i="1" s="1"/>
  <c r="DH348" i="1" a="1"/>
  <c r="DH348" i="1" s="1"/>
  <c r="DH248" i="1" a="1"/>
  <c r="DH248" i="1" s="1"/>
  <c r="DH251" i="1" a="1"/>
  <c r="DH251" i="1" s="1"/>
  <c r="DH268" i="1" a="1"/>
  <c r="DH268" i="1" s="1"/>
  <c r="DH281" i="1" a="1"/>
  <c r="DH281" i="1" s="1"/>
  <c r="DH292" i="1" a="1"/>
  <c r="DH292" i="1" s="1"/>
  <c r="DH294" i="1" a="1"/>
  <c r="DH294" i="1" s="1"/>
  <c r="DH295" i="1" a="1"/>
  <c r="DH295" i="1" s="1"/>
  <c r="DH300" i="1" a="1"/>
  <c r="DH300" i="1" s="1"/>
  <c r="DH302" i="1" a="1"/>
  <c r="DH302" i="1" s="1"/>
  <c r="DH304" i="1" a="1"/>
  <c r="DH304" i="1" s="1"/>
  <c r="DH306" i="1" a="1"/>
  <c r="DH306" i="1" s="1"/>
  <c r="DH308" i="1" a="1"/>
  <c r="DH308" i="1" s="1"/>
  <c r="DH310" i="1" a="1"/>
  <c r="DH310" i="1" s="1"/>
  <c r="DH298" i="1" a="1"/>
  <c r="DH298" i="1" s="1"/>
  <c r="DH319" i="1" a="1"/>
  <c r="DH319" i="1" s="1"/>
  <c r="DH327" i="1" a="1"/>
  <c r="DH327" i="1" s="1"/>
  <c r="DH343" i="1" a="1"/>
  <c r="DH343" i="1" s="1"/>
  <c r="DH345" i="1" a="1"/>
  <c r="DH345" i="1" s="1"/>
  <c r="DH350" i="1" a="1"/>
  <c r="DH350" i="1" s="1"/>
  <c r="DH427" i="1" a="1"/>
  <c r="DH427" i="1" s="1"/>
  <c r="DH430" i="1" a="1"/>
  <c r="DH430" i="1" s="1"/>
  <c r="DH433" i="1" a="1"/>
  <c r="DH433" i="1" s="1"/>
  <c r="DH247" i="1" a="1"/>
  <c r="DH247" i="1" s="1"/>
  <c r="DH317" i="1" a="1"/>
  <c r="DH317" i="1" s="1"/>
  <c r="DH325" i="1" a="1"/>
  <c r="DH325" i="1" s="1"/>
  <c r="DH328" i="1" a="1"/>
  <c r="DH328" i="1" s="1"/>
  <c r="DH342" i="1" a="1"/>
  <c r="DH342" i="1" s="1"/>
  <c r="DH344" i="1" a="1"/>
  <c r="DH344" i="1" s="1"/>
  <c r="DH347" i="1" a="1"/>
  <c r="DH347" i="1" s="1"/>
  <c r="DH353" i="1" a="1"/>
  <c r="DH353" i="1" s="1"/>
  <c r="DH354" i="1" a="1"/>
  <c r="DH354" i="1" s="1"/>
  <c r="DH355" i="1" a="1"/>
  <c r="DH355" i="1" s="1"/>
  <c r="DH356" i="1" a="1"/>
  <c r="DH356" i="1" s="1"/>
  <c r="DH357" i="1" a="1"/>
  <c r="DH357" i="1" s="1"/>
  <c r="DH358" i="1" a="1"/>
  <c r="DH358" i="1" s="1"/>
  <c r="DH359" i="1" a="1"/>
  <c r="DH359" i="1" s="1"/>
  <c r="DH360" i="1" a="1"/>
  <c r="DH360" i="1" s="1"/>
  <c r="DH361" i="1" a="1"/>
  <c r="DH361" i="1" s="1"/>
  <c r="DH362" i="1" a="1"/>
  <c r="DH362" i="1" s="1"/>
  <c r="DH363" i="1" a="1"/>
  <c r="DH363" i="1" s="1"/>
  <c r="DH364" i="1" a="1"/>
  <c r="DH364" i="1" s="1"/>
  <c r="DH365" i="1" a="1"/>
  <c r="DH365" i="1" s="1"/>
  <c r="DH366" i="1" a="1"/>
  <c r="DH366" i="1" s="1"/>
  <c r="DH367" i="1" a="1"/>
  <c r="DH367" i="1" s="1"/>
  <c r="DH368" i="1" a="1"/>
  <c r="DH368" i="1" s="1"/>
  <c r="DH369" i="1" a="1"/>
  <c r="DH369" i="1" s="1"/>
  <c r="DH370" i="1" a="1"/>
  <c r="DH370" i="1" s="1"/>
  <c r="DH371" i="1" a="1"/>
  <c r="DH371" i="1" s="1"/>
  <c r="DH372" i="1" a="1"/>
  <c r="DH372" i="1" s="1"/>
  <c r="DH373" i="1" a="1"/>
  <c r="DH373" i="1" s="1"/>
  <c r="DH374" i="1" a="1"/>
  <c r="DH374" i="1" s="1"/>
  <c r="DH375" i="1" a="1"/>
  <c r="DH375" i="1" s="1"/>
  <c r="DH376" i="1" a="1"/>
  <c r="DH376" i="1" s="1"/>
  <c r="DH377" i="1" a="1"/>
  <c r="DH377" i="1" s="1"/>
  <c r="DH378" i="1" a="1"/>
  <c r="DH378" i="1" s="1"/>
  <c r="DH379" i="1" a="1"/>
  <c r="DH379" i="1" s="1"/>
  <c r="DH380" i="1" a="1"/>
  <c r="DH380" i="1" s="1"/>
  <c r="DH381" i="1" a="1"/>
  <c r="DH381" i="1" s="1"/>
  <c r="DH382" i="1" a="1"/>
  <c r="DH382" i="1" s="1"/>
  <c r="DH383" i="1" a="1"/>
  <c r="DH383" i="1" s="1"/>
  <c r="DH384" i="1" a="1"/>
  <c r="DH384" i="1" s="1"/>
  <c r="DH385" i="1" a="1"/>
  <c r="DH385" i="1" s="1"/>
  <c r="DH386" i="1" a="1"/>
  <c r="DH386" i="1" s="1"/>
  <c r="DH387" i="1" a="1"/>
  <c r="DH387" i="1" s="1"/>
  <c r="DH388" i="1" a="1"/>
  <c r="DH388" i="1" s="1"/>
  <c r="DH389" i="1" a="1"/>
  <c r="DH389" i="1" s="1"/>
  <c r="DH390" i="1" a="1"/>
  <c r="DH390" i="1" s="1"/>
  <c r="DH391" i="1" a="1"/>
  <c r="DH391" i="1" s="1"/>
  <c r="DH392" i="1" a="1"/>
  <c r="DH392" i="1" s="1"/>
  <c r="DH393" i="1" a="1"/>
  <c r="DH393" i="1" s="1"/>
  <c r="DH394" i="1" a="1"/>
  <c r="DH394" i="1" s="1"/>
  <c r="DH395" i="1" a="1"/>
  <c r="DH395" i="1" s="1"/>
  <c r="DH396" i="1" a="1"/>
  <c r="DH396" i="1" s="1"/>
  <c r="DH397" i="1" a="1"/>
  <c r="DH397" i="1" s="1"/>
  <c r="DH398" i="1" a="1"/>
  <c r="DH398" i="1" s="1"/>
  <c r="DH399" i="1" a="1"/>
  <c r="DH399" i="1" s="1"/>
  <c r="DH400" i="1" a="1"/>
  <c r="DH400" i="1" s="1"/>
  <c r="DH401" i="1" a="1"/>
  <c r="DH401" i="1" s="1"/>
  <c r="DH402" i="1" a="1"/>
  <c r="DH402" i="1" s="1"/>
  <c r="DH403" i="1" a="1"/>
  <c r="DH403" i="1" s="1"/>
  <c r="DH404" i="1" a="1"/>
  <c r="DH404" i="1" s="1"/>
  <c r="DH405" i="1" a="1"/>
  <c r="DH405" i="1" s="1"/>
  <c r="DH406" i="1" a="1"/>
  <c r="DH406" i="1" s="1"/>
  <c r="DH407" i="1" a="1"/>
  <c r="DH407" i="1" s="1"/>
  <c r="DH408" i="1" a="1"/>
  <c r="DH408" i="1" s="1"/>
  <c r="DH409" i="1" a="1"/>
  <c r="DH409" i="1" s="1"/>
  <c r="DH410" i="1" a="1"/>
  <c r="DH410" i="1" s="1"/>
  <c r="DH411" i="1" a="1"/>
  <c r="DH411" i="1" s="1"/>
  <c r="DH412" i="1" a="1"/>
  <c r="DH412" i="1" s="1"/>
  <c r="DH413" i="1" a="1"/>
  <c r="DH413" i="1" s="1"/>
  <c r="DH414" i="1" a="1"/>
  <c r="DH414" i="1" s="1"/>
  <c r="DH415" i="1" a="1"/>
  <c r="DH415" i="1" s="1"/>
  <c r="DH416" i="1" a="1"/>
  <c r="DH416" i="1" s="1"/>
  <c r="DH417" i="1" a="1"/>
  <c r="DH417" i="1" s="1"/>
  <c r="DH418" i="1" a="1"/>
  <c r="DH418" i="1" s="1"/>
  <c r="DH421" i="1" a="1"/>
  <c r="DH421" i="1" s="1"/>
  <c r="DH423" i="1" a="1"/>
  <c r="DH423" i="1" s="1"/>
  <c r="DH425" i="1" a="1"/>
  <c r="DH425" i="1" s="1"/>
  <c r="DH428" i="1" a="1"/>
  <c r="DH428" i="1" s="1"/>
  <c r="DH434" i="1" a="1"/>
  <c r="DH434" i="1" s="1"/>
  <c r="DH435" i="1" a="1"/>
  <c r="DH435" i="1" s="1"/>
  <c r="DH282" i="1" a="1"/>
  <c r="DH282" i="1" s="1"/>
  <c r="DH297" i="1" a="1"/>
  <c r="DH297" i="1" s="1"/>
  <c r="DH323" i="1" a="1"/>
  <c r="DH323" i="1" s="1"/>
  <c r="DH329" i="1" a="1"/>
  <c r="DH329" i="1" s="1"/>
  <c r="DH334" i="1" a="1"/>
  <c r="DH334" i="1" s="1"/>
  <c r="DH341" i="1" a="1"/>
  <c r="DH341" i="1" s="1"/>
  <c r="DH349" i="1" a="1"/>
  <c r="DH349" i="1" s="1"/>
  <c r="DH352" i="1" a="1"/>
  <c r="DH352" i="1" s="1"/>
  <c r="DH419" i="1" a="1"/>
  <c r="DH419" i="1" s="1"/>
  <c r="DH426" i="1" a="1"/>
  <c r="DH426" i="1" s="1"/>
  <c r="DH436" i="1" a="1"/>
  <c r="DH436" i="1" s="1"/>
  <c r="CV23" i="1" a="1"/>
  <c r="CV23" i="1" s="1"/>
  <c r="CV24" i="1" a="1"/>
  <c r="CV24" i="1" s="1"/>
  <c r="CV25" i="1" a="1"/>
  <c r="CV25" i="1" s="1"/>
  <c r="CV29" i="1" a="1"/>
  <c r="CV29" i="1" s="1"/>
  <c r="CV30" i="1" a="1"/>
  <c r="CV30" i="1" s="1"/>
  <c r="CV31" i="1" a="1"/>
  <c r="CV31" i="1" s="1"/>
  <c r="CV32" i="1" a="1"/>
  <c r="CV32" i="1" s="1"/>
  <c r="CV33" i="1" a="1"/>
  <c r="CV33" i="1" s="1"/>
  <c r="CV34" i="1" a="1"/>
  <c r="CV34" i="1" s="1"/>
  <c r="CV35" i="1" a="1"/>
  <c r="CV35" i="1" s="1"/>
  <c r="CV36" i="1" a="1"/>
  <c r="CV36" i="1" s="1"/>
  <c r="CV37" i="1" a="1"/>
  <c r="CV37" i="1" s="1"/>
  <c r="CV38" i="1" a="1"/>
  <c r="CV38" i="1" s="1"/>
  <c r="CV39" i="1" a="1"/>
  <c r="CV39" i="1" s="1"/>
  <c r="CV42" i="1" a="1"/>
  <c r="CV42" i="1" s="1"/>
  <c r="CV40" i="1" a="1"/>
  <c r="CV40" i="1" s="1"/>
  <c r="CV43" i="1" a="1"/>
  <c r="CV43" i="1" s="1"/>
  <c r="CV45" i="1" a="1"/>
  <c r="CV45" i="1" s="1"/>
  <c r="CV27" i="1" a="1"/>
  <c r="CV27" i="1" s="1"/>
  <c r="CV44" i="1" a="1"/>
  <c r="CV44" i="1" s="1"/>
  <c r="CV47" i="1" a="1"/>
  <c r="CV47" i="1" s="1"/>
  <c r="CV49" i="1" a="1"/>
  <c r="CV49" i="1" s="1"/>
  <c r="CV50" i="1" a="1"/>
  <c r="CV50" i="1" s="1"/>
  <c r="CV55" i="1" a="1"/>
  <c r="CV55" i="1" s="1"/>
  <c r="CV59" i="1" a="1"/>
  <c r="CV59" i="1" s="1"/>
  <c r="CV46" i="1" a="1"/>
  <c r="CV46" i="1" s="1"/>
  <c r="CV51" i="1" a="1"/>
  <c r="CV51" i="1" s="1"/>
  <c r="CV52" i="1" a="1"/>
  <c r="CV52" i="1" s="1"/>
  <c r="CV56" i="1" a="1"/>
  <c r="CV56" i="1" s="1"/>
  <c r="CV57" i="1" a="1"/>
  <c r="CV57" i="1" s="1"/>
  <c r="CV60" i="1" a="1"/>
  <c r="CV60" i="1" s="1"/>
  <c r="CV61" i="1" a="1"/>
  <c r="CV61" i="1" s="1"/>
  <c r="CV63" i="1" a="1"/>
  <c r="CV63" i="1" s="1"/>
  <c r="CV26" i="1" a="1"/>
  <c r="CV26" i="1" s="1"/>
  <c r="CV28" i="1" a="1"/>
  <c r="CV28" i="1" s="1"/>
  <c r="CV48" i="1" a="1"/>
  <c r="CV48" i="1" s="1"/>
  <c r="CV58" i="1" a="1"/>
  <c r="CV58" i="1" s="1"/>
  <c r="CV64" i="1" a="1"/>
  <c r="CV64" i="1" s="1"/>
  <c r="CV41" i="1" a="1"/>
  <c r="CV41" i="1" s="1"/>
  <c r="CV62" i="1" a="1"/>
  <c r="CV62" i="1" s="1"/>
  <c r="CV65" i="1" a="1"/>
  <c r="CV65" i="1" s="1"/>
  <c r="CV81" i="1" a="1"/>
  <c r="CV81" i="1" s="1"/>
  <c r="CV54" i="1" a="1"/>
  <c r="CV54" i="1" s="1"/>
  <c r="CV78" i="1" a="1"/>
  <c r="CV78" i="1" s="1"/>
  <c r="CV79" i="1" a="1"/>
  <c r="CV79" i="1" s="1"/>
  <c r="CV82" i="1" a="1"/>
  <c r="CV82" i="1" s="1"/>
  <c r="CV86" i="1" a="1"/>
  <c r="CV86" i="1" s="1"/>
  <c r="CV83" i="1" a="1"/>
  <c r="CV83" i="1" s="1"/>
  <c r="CV91" i="1" a="1"/>
  <c r="CV91" i="1" s="1"/>
  <c r="CV92" i="1" a="1"/>
  <c r="CV92" i="1" s="1"/>
  <c r="CV112" i="1" a="1"/>
  <c r="CV112" i="1" s="1"/>
  <c r="CV67" i="1" a="1"/>
  <c r="CV67" i="1" s="1"/>
  <c r="CV69" i="1" a="1"/>
  <c r="CV69" i="1" s="1"/>
  <c r="CV71" i="1" a="1"/>
  <c r="CV71" i="1" s="1"/>
  <c r="CV73" i="1" a="1"/>
  <c r="CV73" i="1" s="1"/>
  <c r="CV75" i="1" a="1"/>
  <c r="CV75" i="1" s="1"/>
  <c r="CV77" i="1" a="1"/>
  <c r="CV77" i="1" s="1"/>
  <c r="CV87" i="1" a="1"/>
  <c r="CV87" i="1" s="1"/>
  <c r="CV93" i="1" a="1"/>
  <c r="CV93" i="1" s="1"/>
  <c r="CV94" i="1" a="1"/>
  <c r="CV94" i="1" s="1"/>
  <c r="CV95" i="1" a="1"/>
  <c r="CV95" i="1" s="1"/>
  <c r="CV100" i="1" a="1"/>
  <c r="CV100" i="1" s="1"/>
  <c r="CV101" i="1" a="1"/>
  <c r="CV101" i="1" s="1"/>
  <c r="CV116" i="1" a="1"/>
  <c r="CV116" i="1" s="1"/>
  <c r="CV53" i="1" a="1"/>
  <c r="CV53" i="1" s="1"/>
  <c r="CV84" i="1" a="1"/>
  <c r="CV84" i="1" s="1"/>
  <c r="CV88" i="1" a="1"/>
  <c r="CV88" i="1" s="1"/>
  <c r="CV89" i="1" a="1"/>
  <c r="CV89" i="1" s="1"/>
  <c r="CV90" i="1" a="1"/>
  <c r="CV90" i="1" s="1"/>
  <c r="CV96" i="1" a="1"/>
  <c r="CV96" i="1" s="1"/>
  <c r="CV97" i="1" a="1"/>
  <c r="CV97" i="1" s="1"/>
  <c r="CV98" i="1" a="1"/>
  <c r="CV98" i="1" s="1"/>
  <c r="CV102" i="1" a="1"/>
  <c r="CV102" i="1" s="1"/>
  <c r="CV103" i="1" a="1"/>
  <c r="CV103" i="1" s="1"/>
  <c r="CV104" i="1" a="1"/>
  <c r="CV104" i="1" s="1"/>
  <c r="CV105" i="1" a="1"/>
  <c r="CV105" i="1" s="1"/>
  <c r="CV106" i="1" a="1"/>
  <c r="CV106" i="1" s="1"/>
  <c r="CV107" i="1" a="1"/>
  <c r="CV107" i="1" s="1"/>
  <c r="CV108" i="1" a="1"/>
  <c r="CV108" i="1" s="1"/>
  <c r="CV109" i="1" a="1"/>
  <c r="CV109" i="1" s="1"/>
  <c r="CV117" i="1" a="1"/>
  <c r="CV117" i="1" s="1"/>
  <c r="CV118" i="1" a="1"/>
  <c r="CV118" i="1" s="1"/>
  <c r="CV119" i="1" a="1"/>
  <c r="CV119" i="1" s="1"/>
  <c r="CV80" i="1" a="1"/>
  <c r="CV80" i="1" s="1"/>
  <c r="CV85" i="1" a="1"/>
  <c r="CV85" i="1" s="1"/>
  <c r="CV111" i="1" a="1"/>
  <c r="CV111" i="1" s="1"/>
  <c r="CV114" i="1" a="1"/>
  <c r="CV114" i="1" s="1"/>
  <c r="CV129" i="1" a="1"/>
  <c r="CV129" i="1" s="1"/>
  <c r="CV138" i="1" a="1"/>
  <c r="CV138" i="1" s="1"/>
  <c r="CV140" i="1" a="1"/>
  <c r="CV140" i="1" s="1"/>
  <c r="CV142" i="1" a="1"/>
  <c r="CV142" i="1" s="1"/>
  <c r="CV144" i="1" a="1"/>
  <c r="CV144" i="1" s="1"/>
  <c r="CV147" i="1" a="1"/>
  <c r="CV147" i="1" s="1"/>
  <c r="CV148" i="1" a="1"/>
  <c r="CV148" i="1" s="1"/>
  <c r="CV150" i="1" a="1"/>
  <c r="CV150" i="1" s="1"/>
  <c r="CV66" i="1" a="1"/>
  <c r="CV66" i="1" s="1"/>
  <c r="CV68" i="1" a="1"/>
  <c r="CV68" i="1" s="1"/>
  <c r="CV70" i="1" a="1"/>
  <c r="CV70" i="1" s="1"/>
  <c r="CV72" i="1" a="1"/>
  <c r="CV72" i="1" s="1"/>
  <c r="CV74" i="1" a="1"/>
  <c r="CV74" i="1" s="1"/>
  <c r="CV76" i="1" a="1"/>
  <c r="CV76" i="1" s="1"/>
  <c r="CV99" i="1" a="1"/>
  <c r="CV99" i="1" s="1"/>
  <c r="CV110" i="1" a="1"/>
  <c r="CV110" i="1" s="1"/>
  <c r="CV121" i="1" a="1"/>
  <c r="CV121" i="1" s="1"/>
  <c r="CV123" i="1" a="1"/>
  <c r="CV123" i="1" s="1"/>
  <c r="CV125" i="1" a="1"/>
  <c r="CV125" i="1" s="1"/>
  <c r="CV127" i="1" a="1"/>
  <c r="CV127" i="1" s="1"/>
  <c r="CV145" i="1" a="1"/>
  <c r="CV145" i="1" s="1"/>
  <c r="CV149" i="1" a="1"/>
  <c r="CV149" i="1" s="1"/>
  <c r="CV152" i="1" a="1"/>
  <c r="CV152" i="1" s="1"/>
  <c r="CV154" i="1" a="1"/>
  <c r="CV154" i="1" s="1"/>
  <c r="CV156" i="1" a="1"/>
  <c r="CV156" i="1" s="1"/>
  <c r="CV158" i="1" a="1"/>
  <c r="CV158" i="1" s="1"/>
  <c r="CV113" i="1" a="1"/>
  <c r="CV113" i="1" s="1"/>
  <c r="CV115" i="1" a="1"/>
  <c r="CV115" i="1" s="1"/>
  <c r="CV130" i="1" a="1"/>
  <c r="CV130" i="1" s="1"/>
  <c r="CV131" i="1" a="1"/>
  <c r="CV131" i="1" s="1"/>
  <c r="CV132" i="1" a="1"/>
  <c r="CV132" i="1" s="1"/>
  <c r="CV133" i="1" a="1"/>
  <c r="CV133" i="1" s="1"/>
  <c r="CV134" i="1" a="1"/>
  <c r="CV134" i="1" s="1"/>
  <c r="CV135" i="1" a="1"/>
  <c r="CV135" i="1" s="1"/>
  <c r="CV136" i="1" a="1"/>
  <c r="CV136" i="1" s="1"/>
  <c r="CV137" i="1" a="1"/>
  <c r="CV137" i="1" s="1"/>
  <c r="CV139" i="1" a="1"/>
  <c r="CV139" i="1" s="1"/>
  <c r="CV141" i="1" a="1"/>
  <c r="CV141" i="1" s="1"/>
  <c r="CV143" i="1" a="1"/>
  <c r="CV143" i="1" s="1"/>
  <c r="CV146" i="1" a="1"/>
  <c r="CV146" i="1" s="1"/>
  <c r="CV151" i="1" a="1"/>
  <c r="CV151" i="1" s="1"/>
  <c r="CV153" i="1" a="1"/>
  <c r="CV153" i="1" s="1"/>
  <c r="CV155" i="1" a="1"/>
  <c r="CV155" i="1" s="1"/>
  <c r="CV168" i="1" a="1"/>
  <c r="CV168" i="1" s="1"/>
  <c r="CV170" i="1" a="1"/>
  <c r="CV170" i="1" s="1"/>
  <c r="CV171" i="1" a="1"/>
  <c r="CV171" i="1" s="1"/>
  <c r="CV174" i="1" a="1"/>
  <c r="CV174" i="1" s="1"/>
  <c r="CV176" i="1" a="1"/>
  <c r="CV176" i="1" s="1"/>
  <c r="CV181" i="1" a="1"/>
  <c r="CV181" i="1" s="1"/>
  <c r="CV183" i="1" a="1"/>
  <c r="CV183" i="1" s="1"/>
  <c r="CV160" i="1" a="1"/>
  <c r="CV160" i="1" s="1"/>
  <c r="CV161" i="1" a="1"/>
  <c r="CV161" i="1" s="1"/>
  <c r="CV163" i="1" a="1"/>
  <c r="CV163" i="1" s="1"/>
  <c r="CV165" i="1" a="1"/>
  <c r="CV165" i="1" s="1"/>
  <c r="CV167" i="1" a="1"/>
  <c r="CV167" i="1" s="1"/>
  <c r="CV173" i="1" a="1"/>
  <c r="CV173" i="1" s="1"/>
  <c r="CV178" i="1" a="1"/>
  <c r="CV178" i="1" s="1"/>
  <c r="CV169" i="1" a="1"/>
  <c r="CV169" i="1" s="1"/>
  <c r="CV175" i="1" a="1"/>
  <c r="CV175" i="1" s="1"/>
  <c r="CV180" i="1" a="1"/>
  <c r="CV180" i="1" s="1"/>
  <c r="CV182" i="1" a="1"/>
  <c r="CV182" i="1" s="1"/>
  <c r="CV186" i="1" a="1"/>
  <c r="CV186" i="1" s="1"/>
  <c r="CV188" i="1" a="1"/>
  <c r="CV188" i="1" s="1"/>
  <c r="CV192" i="1" a="1"/>
  <c r="CV192" i="1" s="1"/>
  <c r="CV195" i="1" a="1"/>
  <c r="CV195" i="1" s="1"/>
  <c r="CV197" i="1" a="1"/>
  <c r="CV197" i="1" s="1"/>
  <c r="CV199" i="1" a="1"/>
  <c r="CV199" i="1" s="1"/>
  <c r="CV246" i="1" a="1"/>
  <c r="CV246" i="1" s="1"/>
  <c r="CV120" i="1" a="1"/>
  <c r="CV120" i="1" s="1"/>
  <c r="CV122" i="1" a="1"/>
  <c r="CV122" i="1" s="1"/>
  <c r="CV124" i="1" a="1"/>
  <c r="CV124" i="1" s="1"/>
  <c r="CV126" i="1" a="1"/>
  <c r="CV126" i="1" s="1"/>
  <c r="CV128" i="1" a="1"/>
  <c r="CV128" i="1" s="1"/>
  <c r="CV159" i="1" a="1"/>
  <c r="CV159" i="1" s="1"/>
  <c r="CV189" i="1" a="1"/>
  <c r="CV189" i="1" s="1"/>
  <c r="CV191" i="1" a="1"/>
  <c r="CV191" i="1" s="1"/>
  <c r="CV194" i="1" a="1"/>
  <c r="CV194" i="1" s="1"/>
  <c r="CV201" i="1" a="1"/>
  <c r="CV201" i="1" s="1"/>
  <c r="CV203" i="1" a="1"/>
  <c r="CV203" i="1" s="1"/>
  <c r="CV205" i="1" a="1"/>
  <c r="CV205" i="1" s="1"/>
  <c r="CV207" i="1" a="1"/>
  <c r="CV207" i="1" s="1"/>
  <c r="CV209" i="1" a="1"/>
  <c r="CV209" i="1" s="1"/>
  <c r="CV211" i="1" a="1"/>
  <c r="CV211" i="1" s="1"/>
  <c r="CV213" i="1" a="1"/>
  <c r="CV213" i="1" s="1"/>
  <c r="CV215" i="1" a="1"/>
  <c r="CV215" i="1" s="1"/>
  <c r="CV217" i="1" a="1"/>
  <c r="CV217" i="1" s="1"/>
  <c r="CV219" i="1" a="1"/>
  <c r="CV219" i="1" s="1"/>
  <c r="CV221" i="1" a="1"/>
  <c r="CV221" i="1" s="1"/>
  <c r="CV223" i="1" a="1"/>
  <c r="CV223" i="1" s="1"/>
  <c r="CV225" i="1" a="1"/>
  <c r="CV225" i="1" s="1"/>
  <c r="CV227" i="1" a="1"/>
  <c r="CV227" i="1" s="1"/>
  <c r="CV229" i="1" a="1"/>
  <c r="CV229" i="1" s="1"/>
  <c r="CV231" i="1" a="1"/>
  <c r="CV231" i="1" s="1"/>
  <c r="CV233" i="1" a="1"/>
  <c r="CV233" i="1" s="1"/>
  <c r="CV235" i="1" a="1"/>
  <c r="CV235" i="1" s="1"/>
  <c r="CV237" i="1" a="1"/>
  <c r="CV237" i="1" s="1"/>
  <c r="CV239" i="1" a="1"/>
  <c r="CV239" i="1" s="1"/>
  <c r="CV241" i="1" a="1"/>
  <c r="CV241" i="1" s="1"/>
  <c r="CV157" i="1" a="1"/>
  <c r="CV157" i="1" s="1"/>
  <c r="CV177" i="1" a="1"/>
  <c r="CV177" i="1" s="1"/>
  <c r="CV179" i="1" a="1"/>
  <c r="CV179" i="1" s="1"/>
  <c r="CV184" i="1" a="1"/>
  <c r="CV184" i="1" s="1"/>
  <c r="CV187" i="1" a="1"/>
  <c r="CV187" i="1" s="1"/>
  <c r="CV196" i="1" a="1"/>
  <c r="CV196" i="1" s="1"/>
  <c r="CV198" i="1" a="1"/>
  <c r="CV198" i="1" s="1"/>
  <c r="CV172" i="1" a="1"/>
  <c r="CV172" i="1" s="1"/>
  <c r="CV244" i="1" a="1"/>
  <c r="CV244" i="1" s="1"/>
  <c r="CV245" i="1" a="1"/>
  <c r="CV245" i="1" s="1"/>
  <c r="CV247" i="1" a="1"/>
  <c r="CV247" i="1" s="1"/>
  <c r="CV250" i="1" a="1"/>
  <c r="CV250" i="1" s="1"/>
  <c r="CV252" i="1" a="1"/>
  <c r="CV252" i="1" s="1"/>
  <c r="CV262" i="1" a="1"/>
  <c r="CV262" i="1" s="1"/>
  <c r="CV270" i="1" a="1"/>
  <c r="CV270" i="1" s="1"/>
  <c r="CV280" i="1" a="1"/>
  <c r="CV280" i="1" s="1"/>
  <c r="CV287" i="1" a="1"/>
  <c r="CV287" i="1" s="1"/>
  <c r="CV289" i="1" a="1"/>
  <c r="CV289" i="1" s="1"/>
  <c r="CV291" i="1" a="1"/>
  <c r="CV291" i="1" s="1"/>
  <c r="CV293" i="1" a="1"/>
  <c r="CV293" i="1" s="1"/>
  <c r="CV295" i="1" a="1"/>
  <c r="CV295" i="1" s="1"/>
  <c r="CV249" i="1" a="1"/>
  <c r="CV249" i="1" s="1"/>
  <c r="CV254" i="1" a="1"/>
  <c r="CV254" i="1" s="1"/>
  <c r="CV256" i="1" a="1"/>
  <c r="CV256" i="1" s="1"/>
  <c r="CV259" i="1" a="1"/>
  <c r="CV259" i="1" s="1"/>
  <c r="CV261" i="1" a="1"/>
  <c r="CV261" i="1" s="1"/>
  <c r="CV264" i="1" a="1"/>
  <c r="CV264" i="1" s="1"/>
  <c r="CV267" i="1" a="1"/>
  <c r="CV267" i="1" s="1"/>
  <c r="CV269" i="1" a="1"/>
  <c r="CV269" i="1" s="1"/>
  <c r="CV272" i="1" a="1"/>
  <c r="CV272" i="1" s="1"/>
  <c r="CV275" i="1" a="1"/>
  <c r="CV275" i="1" s="1"/>
  <c r="CV277" i="1" a="1"/>
  <c r="CV277" i="1" s="1"/>
  <c r="CV278" i="1" a="1"/>
  <c r="CV278" i="1" s="1"/>
  <c r="CV282" i="1" a="1"/>
  <c r="CV282" i="1" s="1"/>
  <c r="CV283" i="1" a="1"/>
  <c r="CV283" i="1" s="1"/>
  <c r="CV285" i="1" a="1"/>
  <c r="CV285" i="1" s="1"/>
  <c r="CV162" i="1" a="1"/>
  <c r="CV162" i="1" s="1"/>
  <c r="CV164" i="1" a="1"/>
  <c r="CV164" i="1" s="1"/>
  <c r="CV166" i="1" a="1"/>
  <c r="CV166" i="1" s="1"/>
  <c r="CV185" i="1" a="1"/>
  <c r="CV185" i="1" s="1"/>
  <c r="CV190" i="1" a="1"/>
  <c r="CV190" i="1" s="1"/>
  <c r="CV200" i="1" a="1"/>
  <c r="CV200" i="1" s="1"/>
  <c r="CV202" i="1" a="1"/>
  <c r="CV202" i="1" s="1"/>
  <c r="CV204" i="1" a="1"/>
  <c r="CV204" i="1" s="1"/>
  <c r="CV206" i="1" a="1"/>
  <c r="CV206" i="1" s="1"/>
  <c r="CV208" i="1" a="1"/>
  <c r="CV208" i="1" s="1"/>
  <c r="CV210" i="1" a="1"/>
  <c r="CV210" i="1" s="1"/>
  <c r="CV212" i="1" a="1"/>
  <c r="CV212" i="1" s="1"/>
  <c r="CV214" i="1" a="1"/>
  <c r="CV214" i="1" s="1"/>
  <c r="CV216" i="1" a="1"/>
  <c r="CV216" i="1" s="1"/>
  <c r="CV218" i="1" a="1"/>
  <c r="CV218" i="1" s="1"/>
  <c r="CV220" i="1" a="1"/>
  <c r="CV220" i="1" s="1"/>
  <c r="CV222" i="1" a="1"/>
  <c r="CV222" i="1" s="1"/>
  <c r="CV224" i="1" a="1"/>
  <c r="CV224" i="1" s="1"/>
  <c r="CV226" i="1" a="1"/>
  <c r="CV226" i="1" s="1"/>
  <c r="CV228" i="1" a="1"/>
  <c r="CV228" i="1" s="1"/>
  <c r="CV230" i="1" a="1"/>
  <c r="CV230" i="1" s="1"/>
  <c r="CV232" i="1" a="1"/>
  <c r="CV232" i="1" s="1"/>
  <c r="CV234" i="1" a="1"/>
  <c r="CV234" i="1" s="1"/>
  <c r="CV236" i="1" a="1"/>
  <c r="CV236" i="1" s="1"/>
  <c r="CV238" i="1" a="1"/>
  <c r="CV238" i="1" s="1"/>
  <c r="CV240" i="1" a="1"/>
  <c r="CV240" i="1" s="1"/>
  <c r="CV242" i="1" a="1"/>
  <c r="CV242" i="1" s="1"/>
  <c r="CV248" i="1" a="1"/>
  <c r="CV248" i="1" s="1"/>
  <c r="CV251" i="1" a="1"/>
  <c r="CV251" i="1" s="1"/>
  <c r="CV253" i="1" a="1"/>
  <c r="CV253" i="1" s="1"/>
  <c r="CV266" i="1" a="1"/>
  <c r="CV266" i="1" s="1"/>
  <c r="CV281" i="1" a="1"/>
  <c r="CV281" i="1" s="1"/>
  <c r="CV286" i="1" a="1"/>
  <c r="CV286" i="1" s="1"/>
  <c r="CV288" i="1" a="1"/>
  <c r="CV288" i="1" s="1"/>
  <c r="CV290" i="1" a="1"/>
  <c r="CV290" i="1" s="1"/>
  <c r="CV292" i="1" a="1"/>
  <c r="CV292" i="1" s="1"/>
  <c r="CV294" i="1" a="1"/>
  <c r="CV294" i="1" s="1"/>
  <c r="CV296" i="1" a="1"/>
  <c r="CV296" i="1" s="1"/>
  <c r="CV298" i="1" a="1"/>
  <c r="CV298" i="1" s="1"/>
  <c r="CV243" i="1" a="1"/>
  <c r="CV243" i="1" s="1"/>
  <c r="CV255" i="1" a="1"/>
  <c r="CV255" i="1" s="1"/>
  <c r="CV257" i="1" a="1"/>
  <c r="CV257" i="1" s="1"/>
  <c r="CV297" i="1" a="1"/>
  <c r="CV297" i="1" s="1"/>
  <c r="CV312" i="1" a="1"/>
  <c r="CV312" i="1" s="1"/>
  <c r="CV313" i="1" a="1"/>
  <c r="CV313" i="1" s="1"/>
  <c r="CV314" i="1" a="1"/>
  <c r="CV314" i="1" s="1"/>
  <c r="CV315" i="1" a="1"/>
  <c r="CV315" i="1" s="1"/>
  <c r="CV316" i="1" a="1"/>
  <c r="CV316" i="1" s="1"/>
  <c r="CV318" i="1" a="1"/>
  <c r="CV318" i="1" s="1"/>
  <c r="CV320" i="1" a="1"/>
  <c r="CV320" i="1" s="1"/>
  <c r="CV322" i="1" a="1"/>
  <c r="CV322" i="1" s="1"/>
  <c r="CV324" i="1" a="1"/>
  <c r="CV324" i="1" s="1"/>
  <c r="CV326" i="1" a="1"/>
  <c r="CV326" i="1" s="1"/>
  <c r="CV330" i="1" a="1"/>
  <c r="CV330" i="1" s="1"/>
  <c r="CV331" i="1" a="1"/>
  <c r="CV331" i="1" s="1"/>
  <c r="CV332" i="1" a="1"/>
  <c r="CV332" i="1" s="1"/>
  <c r="CV336" i="1" a="1"/>
  <c r="CV336" i="1" s="1"/>
  <c r="CV337" i="1" a="1"/>
  <c r="CV337" i="1" s="1"/>
  <c r="CV339" i="1" a="1"/>
  <c r="CV339" i="1" s="1"/>
  <c r="CV340" i="1" a="1"/>
  <c r="CV340" i="1" s="1"/>
  <c r="CV258" i="1" a="1"/>
  <c r="CV258" i="1" s="1"/>
  <c r="CV260" i="1" a="1"/>
  <c r="CV260" i="1" s="1"/>
  <c r="CV271" i="1" a="1"/>
  <c r="CV271" i="1" s="1"/>
  <c r="CV273" i="1" a="1"/>
  <c r="CV273" i="1" s="1"/>
  <c r="CV300" i="1" a="1"/>
  <c r="CV300" i="1" s="1"/>
  <c r="CV302" i="1" a="1"/>
  <c r="CV302" i="1" s="1"/>
  <c r="CV304" i="1" a="1"/>
  <c r="CV304" i="1" s="1"/>
  <c r="CV306" i="1" a="1"/>
  <c r="CV306" i="1" s="1"/>
  <c r="CV308" i="1" a="1"/>
  <c r="CV308" i="1" s="1"/>
  <c r="CV310" i="1" a="1"/>
  <c r="CV310" i="1" s="1"/>
  <c r="CV338" i="1" a="1"/>
  <c r="CV338" i="1" s="1"/>
  <c r="CV263" i="1" a="1"/>
  <c r="CV263" i="1" s="1"/>
  <c r="CV265" i="1" a="1"/>
  <c r="CV265" i="1" s="1"/>
  <c r="CV274" i="1" a="1"/>
  <c r="CV274" i="1" s="1"/>
  <c r="CV276" i="1" a="1"/>
  <c r="CV276" i="1" s="1"/>
  <c r="CV284" i="1" a="1"/>
  <c r="CV284" i="1" s="1"/>
  <c r="CV317" i="1" a="1"/>
  <c r="CV317" i="1" s="1"/>
  <c r="CV319" i="1" a="1"/>
  <c r="CV319" i="1" s="1"/>
  <c r="CV321" i="1" a="1"/>
  <c r="CV321" i="1" s="1"/>
  <c r="CV323" i="1" a="1"/>
  <c r="CV323" i="1" s="1"/>
  <c r="CV325" i="1" a="1"/>
  <c r="CV325" i="1" s="1"/>
  <c r="CV327" i="1" a="1"/>
  <c r="CV327" i="1" s="1"/>
  <c r="CV347" i="1" a="1"/>
  <c r="CV347" i="1" s="1"/>
  <c r="CV349" i="1" a="1"/>
  <c r="CV349" i="1" s="1"/>
  <c r="CV193" i="1" a="1"/>
  <c r="CV193" i="1" s="1"/>
  <c r="CV335" i="1" a="1"/>
  <c r="CV335" i="1" s="1"/>
  <c r="CV352" i="1" a="1"/>
  <c r="CV352" i="1" s="1"/>
  <c r="CV423" i="1" a="1"/>
  <c r="CV423" i="1" s="1"/>
  <c r="CV427" i="1" a="1"/>
  <c r="CV427" i="1" s="1"/>
  <c r="CV428" i="1" a="1"/>
  <c r="CV428" i="1" s="1"/>
  <c r="CV430" i="1" a="1"/>
  <c r="CV430" i="1" s="1"/>
  <c r="CV434" i="1" a="1"/>
  <c r="CV434" i="1" s="1"/>
  <c r="CV268" i="1" a="1"/>
  <c r="CV268" i="1" s="1"/>
  <c r="CV346" i="1" a="1"/>
  <c r="CV346" i="1" s="1"/>
  <c r="CV351" i="1" a="1"/>
  <c r="CV351" i="1" s="1"/>
  <c r="CV353" i="1" a="1"/>
  <c r="CV353" i="1" s="1"/>
  <c r="CV354" i="1" a="1"/>
  <c r="CV354" i="1" s="1"/>
  <c r="CV355" i="1" a="1"/>
  <c r="CV355" i="1" s="1"/>
  <c r="CV356" i="1" a="1"/>
  <c r="CV356" i="1" s="1"/>
  <c r="CV357" i="1" a="1"/>
  <c r="CV357" i="1" s="1"/>
  <c r="CV358" i="1" a="1"/>
  <c r="CV358" i="1" s="1"/>
  <c r="CV359" i="1" a="1"/>
  <c r="CV359" i="1" s="1"/>
  <c r="CV360" i="1" a="1"/>
  <c r="CV360" i="1" s="1"/>
  <c r="CV361" i="1" a="1"/>
  <c r="CV361" i="1" s="1"/>
  <c r="CV362" i="1" a="1"/>
  <c r="CV362" i="1" s="1"/>
  <c r="CV363" i="1" a="1"/>
  <c r="CV363" i="1" s="1"/>
  <c r="CV364" i="1" a="1"/>
  <c r="CV364" i="1" s="1"/>
  <c r="CV365" i="1" a="1"/>
  <c r="CV365" i="1" s="1"/>
  <c r="CV366" i="1" a="1"/>
  <c r="CV366" i="1" s="1"/>
  <c r="CV367" i="1" a="1"/>
  <c r="CV367" i="1" s="1"/>
  <c r="CV368" i="1" a="1"/>
  <c r="CV368" i="1" s="1"/>
  <c r="CV369" i="1" a="1"/>
  <c r="CV369" i="1" s="1"/>
  <c r="CV370" i="1" a="1"/>
  <c r="CV370" i="1" s="1"/>
  <c r="CV371" i="1" a="1"/>
  <c r="CV371" i="1" s="1"/>
  <c r="CV372" i="1" a="1"/>
  <c r="CV372" i="1" s="1"/>
  <c r="CV373" i="1" a="1"/>
  <c r="CV373" i="1" s="1"/>
  <c r="CV374" i="1" a="1"/>
  <c r="CV374" i="1" s="1"/>
  <c r="CV375" i="1" a="1"/>
  <c r="CV375" i="1" s="1"/>
  <c r="CV376" i="1" a="1"/>
  <c r="CV376" i="1" s="1"/>
  <c r="CV377" i="1" a="1"/>
  <c r="CV377" i="1" s="1"/>
  <c r="CV378" i="1" a="1"/>
  <c r="CV378" i="1" s="1"/>
  <c r="CV379" i="1" a="1"/>
  <c r="CV379" i="1" s="1"/>
  <c r="CV380" i="1" a="1"/>
  <c r="CV380" i="1" s="1"/>
  <c r="CV381" i="1" a="1"/>
  <c r="CV381" i="1" s="1"/>
  <c r="CV382" i="1" a="1"/>
  <c r="CV382" i="1" s="1"/>
  <c r="CV383" i="1" a="1"/>
  <c r="CV383" i="1" s="1"/>
  <c r="CV384" i="1" a="1"/>
  <c r="CV384" i="1" s="1"/>
  <c r="CV385" i="1" a="1"/>
  <c r="CV385" i="1" s="1"/>
  <c r="CV386" i="1" a="1"/>
  <c r="CV386" i="1" s="1"/>
  <c r="CV387" i="1" a="1"/>
  <c r="CV387" i="1" s="1"/>
  <c r="CV388" i="1" a="1"/>
  <c r="CV388" i="1" s="1"/>
  <c r="CV389" i="1" a="1"/>
  <c r="CV389" i="1" s="1"/>
  <c r="CV390" i="1" a="1"/>
  <c r="CV390" i="1" s="1"/>
  <c r="CV391" i="1" a="1"/>
  <c r="CV391" i="1" s="1"/>
  <c r="CV392" i="1" a="1"/>
  <c r="CV392" i="1" s="1"/>
  <c r="CV393" i="1" a="1"/>
  <c r="CV393" i="1" s="1"/>
  <c r="CV394" i="1" a="1"/>
  <c r="CV394" i="1" s="1"/>
  <c r="CV395" i="1" a="1"/>
  <c r="CV395" i="1" s="1"/>
  <c r="CV396" i="1" a="1"/>
  <c r="CV396" i="1" s="1"/>
  <c r="CV397" i="1" a="1"/>
  <c r="CV397" i="1" s="1"/>
  <c r="CV398" i="1" a="1"/>
  <c r="CV398" i="1" s="1"/>
  <c r="CV399" i="1" a="1"/>
  <c r="CV399" i="1" s="1"/>
  <c r="CV400" i="1" a="1"/>
  <c r="CV400" i="1" s="1"/>
  <c r="CV401" i="1" a="1"/>
  <c r="CV401" i="1" s="1"/>
  <c r="CV402" i="1" a="1"/>
  <c r="CV402" i="1" s="1"/>
  <c r="CV403" i="1" a="1"/>
  <c r="CV403" i="1" s="1"/>
  <c r="CV404" i="1" a="1"/>
  <c r="CV404" i="1" s="1"/>
  <c r="CV405" i="1" a="1"/>
  <c r="CV405" i="1" s="1"/>
  <c r="CV406" i="1" a="1"/>
  <c r="CV406" i="1" s="1"/>
  <c r="CV407" i="1" a="1"/>
  <c r="CV407" i="1" s="1"/>
  <c r="CV408" i="1" a="1"/>
  <c r="CV408" i="1" s="1"/>
  <c r="CV409" i="1" a="1"/>
  <c r="CV409" i="1" s="1"/>
  <c r="CV410" i="1" a="1"/>
  <c r="CV410" i="1" s="1"/>
  <c r="CV411" i="1" a="1"/>
  <c r="CV411" i="1" s="1"/>
  <c r="CV412" i="1" a="1"/>
  <c r="CV412" i="1" s="1"/>
  <c r="CV413" i="1" a="1"/>
  <c r="CV413" i="1" s="1"/>
  <c r="CV414" i="1" a="1"/>
  <c r="CV414" i="1" s="1"/>
  <c r="CV415" i="1" a="1"/>
  <c r="CV415" i="1" s="1"/>
  <c r="CV416" i="1" a="1"/>
  <c r="CV416" i="1" s="1"/>
  <c r="CV417" i="1" a="1"/>
  <c r="CV417" i="1" s="1"/>
  <c r="CV418" i="1" a="1"/>
  <c r="CV418" i="1" s="1"/>
  <c r="CV421" i="1" a="1"/>
  <c r="CV421" i="1" s="1"/>
  <c r="CV425" i="1" a="1"/>
  <c r="CV425" i="1" s="1"/>
  <c r="CV426" i="1" a="1"/>
  <c r="CV426" i="1" s="1"/>
  <c r="CV431" i="1" a="1"/>
  <c r="CV431" i="1" s="1"/>
  <c r="CV435" i="1" a="1"/>
  <c r="CV435" i="1" s="1"/>
  <c r="CV436" i="1" a="1"/>
  <c r="CV436" i="1" s="1"/>
  <c r="CV279" i="1" a="1"/>
  <c r="CV279" i="1" s="1"/>
  <c r="CV299" i="1" a="1"/>
  <c r="CV299" i="1" s="1"/>
  <c r="CV301" i="1" a="1"/>
  <c r="CV301" i="1" s="1"/>
  <c r="CV303" i="1" a="1"/>
  <c r="CV303" i="1" s="1"/>
  <c r="CV305" i="1" a="1"/>
  <c r="CV305" i="1" s="1"/>
  <c r="CV307" i="1" a="1"/>
  <c r="CV307" i="1" s="1"/>
  <c r="CV309" i="1" a="1"/>
  <c r="CV309" i="1" s="1"/>
  <c r="CV311" i="1" a="1"/>
  <c r="CV311" i="1" s="1"/>
  <c r="CV328" i="1" a="1"/>
  <c r="CV328" i="1" s="1"/>
  <c r="CV333" i="1" a="1"/>
  <c r="CV333" i="1" s="1"/>
  <c r="CV341" i="1" a="1"/>
  <c r="CV341" i="1" s="1"/>
  <c r="CV343" i="1" a="1"/>
  <c r="CV343" i="1" s="1"/>
  <c r="CV348" i="1" a="1"/>
  <c r="CV348" i="1" s="1"/>
  <c r="CV419" i="1" a="1"/>
  <c r="CV419" i="1" s="1"/>
  <c r="CV420" i="1" a="1"/>
  <c r="CV420" i="1" s="1"/>
  <c r="CV422" i="1" a="1"/>
  <c r="CV422" i="1" s="1"/>
  <c r="CV424" i="1" a="1"/>
  <c r="CV424" i="1" s="1"/>
  <c r="DE26" i="1" a="1"/>
  <c r="DE26" i="1" s="1"/>
  <c r="DE27" i="1" a="1"/>
  <c r="DE27" i="1" s="1"/>
  <c r="DE28" i="1" a="1"/>
  <c r="DE28" i="1" s="1"/>
  <c r="DE41" i="1" a="1"/>
  <c r="DE41" i="1" s="1"/>
  <c r="DE45" i="1" a="1"/>
  <c r="DE45" i="1" s="1"/>
  <c r="DE46" i="1" a="1"/>
  <c r="DE46" i="1" s="1"/>
  <c r="DE23" i="1" a="1"/>
  <c r="DE23" i="1" s="1"/>
  <c r="DE24" i="1" a="1"/>
  <c r="DE24" i="1" s="1"/>
  <c r="DE25" i="1" a="1"/>
  <c r="DE25" i="1" s="1"/>
  <c r="DE29" i="1" a="1"/>
  <c r="DE29" i="1" s="1"/>
  <c r="DE30" i="1" a="1"/>
  <c r="DE30" i="1" s="1"/>
  <c r="DE31" i="1" a="1"/>
  <c r="DE31" i="1" s="1"/>
  <c r="DE32" i="1" a="1"/>
  <c r="DE32" i="1" s="1"/>
  <c r="DE33" i="1" a="1"/>
  <c r="DE33" i="1" s="1"/>
  <c r="DE34" i="1" a="1"/>
  <c r="DE34" i="1" s="1"/>
  <c r="DE35" i="1" a="1"/>
  <c r="DE35" i="1" s="1"/>
  <c r="DE36" i="1" a="1"/>
  <c r="DE36" i="1" s="1"/>
  <c r="DE37" i="1" a="1"/>
  <c r="DE37" i="1" s="1"/>
  <c r="DE38" i="1" a="1"/>
  <c r="DE38" i="1" s="1"/>
  <c r="DE39" i="1" a="1"/>
  <c r="DE39" i="1" s="1"/>
  <c r="DE44" i="1" a="1"/>
  <c r="DE44" i="1" s="1"/>
  <c r="DE42" i="1" a="1"/>
  <c r="DE42" i="1" s="1"/>
  <c r="DE47" i="1" a="1"/>
  <c r="DE47" i="1" s="1"/>
  <c r="DE48" i="1" a="1"/>
  <c r="DE48" i="1" s="1"/>
  <c r="DE53" i="1" a="1"/>
  <c r="DE53" i="1" s="1"/>
  <c r="DE54" i="1" a="1"/>
  <c r="DE54" i="1" s="1"/>
  <c r="DE58" i="1" a="1"/>
  <c r="DE58" i="1" s="1"/>
  <c r="DE40" i="1" a="1"/>
  <c r="DE40" i="1" s="1"/>
  <c r="DE49" i="1" a="1"/>
  <c r="DE49" i="1" s="1"/>
  <c r="DE50" i="1" a="1"/>
  <c r="DE50" i="1" s="1"/>
  <c r="DE55" i="1" a="1"/>
  <c r="DE55" i="1" s="1"/>
  <c r="DE59" i="1" a="1"/>
  <c r="DE59" i="1" s="1"/>
  <c r="DE62" i="1" a="1"/>
  <c r="DE62" i="1" s="1"/>
  <c r="DE43" i="1" a="1"/>
  <c r="DE43" i="1" s="1"/>
  <c r="DE51" i="1" a="1"/>
  <c r="DE51" i="1" s="1"/>
  <c r="DE56" i="1" a="1"/>
  <c r="DE56" i="1" s="1"/>
  <c r="DE57" i="1" a="1"/>
  <c r="DE57" i="1" s="1"/>
  <c r="DE60" i="1" a="1"/>
  <c r="DE60" i="1" s="1"/>
  <c r="DE61" i="1" a="1"/>
  <c r="DE61" i="1" s="1"/>
  <c r="DE63" i="1" a="1"/>
  <c r="DE63" i="1" s="1"/>
  <c r="DE65" i="1" a="1"/>
  <c r="DE65" i="1" s="1"/>
  <c r="DE66" i="1" a="1"/>
  <c r="DE66" i="1" s="1"/>
  <c r="DE67" i="1" a="1"/>
  <c r="DE67" i="1" s="1"/>
  <c r="DE68" i="1" a="1"/>
  <c r="DE68" i="1" s="1"/>
  <c r="DE69" i="1" a="1"/>
  <c r="DE69" i="1" s="1"/>
  <c r="DE70" i="1" a="1"/>
  <c r="DE70" i="1" s="1"/>
  <c r="DE71" i="1" a="1"/>
  <c r="DE71" i="1" s="1"/>
  <c r="DE72" i="1" a="1"/>
  <c r="DE72" i="1" s="1"/>
  <c r="DE73" i="1" a="1"/>
  <c r="DE73" i="1" s="1"/>
  <c r="DE74" i="1" a="1"/>
  <c r="DE74" i="1" s="1"/>
  <c r="DE75" i="1" a="1"/>
  <c r="DE75" i="1" s="1"/>
  <c r="DE76" i="1" a="1"/>
  <c r="DE76" i="1" s="1"/>
  <c r="DE77" i="1" a="1"/>
  <c r="DE77" i="1" s="1"/>
  <c r="DE52" i="1" a="1"/>
  <c r="DE52" i="1" s="1"/>
  <c r="DE80" i="1" a="1"/>
  <c r="DE80" i="1" s="1"/>
  <c r="DE84" i="1" a="1"/>
  <c r="DE84" i="1" s="1"/>
  <c r="DE85" i="1" a="1"/>
  <c r="DE85" i="1" s="1"/>
  <c r="DE78" i="1" a="1"/>
  <c r="DE78" i="1" s="1"/>
  <c r="DE79" i="1" a="1"/>
  <c r="DE79" i="1" s="1"/>
  <c r="DE81" i="1" a="1"/>
  <c r="DE81" i="1" s="1"/>
  <c r="DE82" i="1" a="1"/>
  <c r="DE82" i="1" s="1"/>
  <c r="DE86" i="1" a="1"/>
  <c r="DE86" i="1" s="1"/>
  <c r="DE90" i="1" a="1"/>
  <c r="DE90" i="1" s="1"/>
  <c r="DE111" i="1" a="1"/>
  <c r="DE111" i="1" s="1"/>
  <c r="DE113" i="1" a="1"/>
  <c r="DE113" i="1" s="1"/>
  <c r="DE114" i="1" a="1"/>
  <c r="DE114" i="1" s="1"/>
  <c r="DE119" i="1" a="1"/>
  <c r="DE119" i="1" s="1"/>
  <c r="DE120" i="1" a="1"/>
  <c r="DE120" i="1" s="1"/>
  <c r="DE121" i="1" a="1"/>
  <c r="DE121" i="1" s="1"/>
  <c r="DE122" i="1" a="1"/>
  <c r="DE122" i="1" s="1"/>
  <c r="DE123" i="1" a="1"/>
  <c r="DE123" i="1" s="1"/>
  <c r="DE124" i="1" a="1"/>
  <c r="DE124" i="1" s="1"/>
  <c r="DE125" i="1" a="1"/>
  <c r="DE125" i="1" s="1"/>
  <c r="DE126" i="1" a="1"/>
  <c r="DE126" i="1" s="1"/>
  <c r="DE127" i="1" a="1"/>
  <c r="DE127" i="1" s="1"/>
  <c r="DE64" i="1" a="1"/>
  <c r="DE64" i="1" s="1"/>
  <c r="DE91" i="1" a="1"/>
  <c r="DE91" i="1" s="1"/>
  <c r="DE112" i="1" a="1"/>
  <c r="DE112" i="1" s="1"/>
  <c r="DE115" i="1" a="1"/>
  <c r="DE115" i="1" s="1"/>
  <c r="DE117" i="1" a="1"/>
  <c r="DE117" i="1" s="1"/>
  <c r="DE83" i="1" a="1"/>
  <c r="DE83" i="1" s="1"/>
  <c r="DE87" i="1" a="1"/>
  <c r="DE87" i="1" s="1"/>
  <c r="DE92" i="1" a="1"/>
  <c r="DE92" i="1" s="1"/>
  <c r="DE93" i="1" a="1"/>
  <c r="DE93" i="1" s="1"/>
  <c r="DE94" i="1" a="1"/>
  <c r="DE94" i="1" s="1"/>
  <c r="DE95" i="1" a="1"/>
  <c r="DE95" i="1" s="1"/>
  <c r="DE99" i="1" a="1"/>
  <c r="DE99" i="1" s="1"/>
  <c r="DE100" i="1" a="1"/>
  <c r="DE100" i="1" s="1"/>
  <c r="DE110" i="1" a="1"/>
  <c r="DE110" i="1" s="1"/>
  <c r="DE116" i="1" a="1"/>
  <c r="DE116" i="1" s="1"/>
  <c r="DE96" i="1" a="1"/>
  <c r="DE96" i="1" s="1"/>
  <c r="DE101" i="1" a="1"/>
  <c r="DE101" i="1" s="1"/>
  <c r="DE105" i="1" a="1"/>
  <c r="DE105" i="1" s="1"/>
  <c r="DE109" i="1" a="1"/>
  <c r="DE109" i="1" s="1"/>
  <c r="DE129" i="1" a="1"/>
  <c r="DE129" i="1" s="1"/>
  <c r="DE149" i="1" a="1"/>
  <c r="DE149" i="1" s="1"/>
  <c r="DE152" i="1" a="1"/>
  <c r="DE152" i="1" s="1"/>
  <c r="DE154" i="1" a="1"/>
  <c r="DE154" i="1" s="1"/>
  <c r="DE104" i="1" a="1"/>
  <c r="DE104" i="1" s="1"/>
  <c r="DE108" i="1" a="1"/>
  <c r="DE108" i="1" s="1"/>
  <c r="DE118" i="1" a="1"/>
  <c r="DE118" i="1" s="1"/>
  <c r="DE137" i="1" a="1"/>
  <c r="DE137" i="1" s="1"/>
  <c r="DE139" i="1" a="1"/>
  <c r="DE139" i="1" s="1"/>
  <c r="DE141" i="1" a="1"/>
  <c r="DE141" i="1" s="1"/>
  <c r="DE146" i="1" a="1"/>
  <c r="DE146" i="1" s="1"/>
  <c r="DE147" i="1" a="1"/>
  <c r="DE147" i="1" s="1"/>
  <c r="DE150" i="1" a="1"/>
  <c r="DE150" i="1" s="1"/>
  <c r="DE89" i="1" a="1"/>
  <c r="DE89" i="1" s="1"/>
  <c r="DE103" i="1" a="1"/>
  <c r="DE103" i="1" s="1"/>
  <c r="DE107" i="1" a="1"/>
  <c r="DE107" i="1" s="1"/>
  <c r="DE145" i="1" a="1"/>
  <c r="DE145" i="1" s="1"/>
  <c r="DE148" i="1" a="1"/>
  <c r="DE148" i="1" s="1"/>
  <c r="DE151" i="1" a="1"/>
  <c r="DE151" i="1" s="1"/>
  <c r="DE153" i="1" a="1"/>
  <c r="DE153" i="1" s="1"/>
  <c r="DE155" i="1" a="1"/>
  <c r="DE155" i="1" s="1"/>
  <c r="DE157" i="1" a="1"/>
  <c r="DE157" i="1" s="1"/>
  <c r="DE159" i="1" a="1"/>
  <c r="DE159" i="1" s="1"/>
  <c r="DE88" i="1" a="1"/>
  <c r="DE88" i="1" s="1"/>
  <c r="DE128" i="1" a="1"/>
  <c r="DE128" i="1" s="1"/>
  <c r="DE130" i="1" a="1"/>
  <c r="DE130" i="1" s="1"/>
  <c r="DE134" i="1" a="1"/>
  <c r="DE134" i="1" s="1"/>
  <c r="DE140" i="1" a="1"/>
  <c r="DE140" i="1" s="1"/>
  <c r="DE161" i="1" a="1"/>
  <c r="DE161" i="1" s="1"/>
  <c r="DE163" i="1" a="1"/>
  <c r="DE163" i="1" s="1"/>
  <c r="DE165" i="1" a="1"/>
  <c r="DE165" i="1" s="1"/>
  <c r="DE167" i="1" a="1"/>
  <c r="DE167" i="1" s="1"/>
  <c r="DE170" i="1" a="1"/>
  <c r="DE170" i="1" s="1"/>
  <c r="DE173" i="1" a="1"/>
  <c r="DE173" i="1" s="1"/>
  <c r="DE176" i="1" a="1"/>
  <c r="DE176" i="1" s="1"/>
  <c r="DE178" i="1" a="1"/>
  <c r="DE178" i="1" s="1"/>
  <c r="DE185" i="1" a="1"/>
  <c r="DE185" i="1" s="1"/>
  <c r="DE97" i="1" a="1"/>
  <c r="DE97" i="1" s="1"/>
  <c r="DE102" i="1" a="1"/>
  <c r="DE102" i="1" s="1"/>
  <c r="DE106" i="1" a="1"/>
  <c r="DE106" i="1" s="1"/>
  <c r="DE133" i="1" a="1"/>
  <c r="DE133" i="1" s="1"/>
  <c r="DE138" i="1" a="1"/>
  <c r="DE138" i="1" s="1"/>
  <c r="DE144" i="1" a="1"/>
  <c r="DE144" i="1" s="1"/>
  <c r="DE169" i="1" a="1"/>
  <c r="DE169" i="1" s="1"/>
  <c r="DE175" i="1" a="1"/>
  <c r="DE175" i="1" s="1"/>
  <c r="DE180" i="1" a="1"/>
  <c r="DE180" i="1" s="1"/>
  <c r="DE182" i="1" a="1"/>
  <c r="DE182" i="1" s="1"/>
  <c r="DE98" i="1" a="1"/>
  <c r="DE98" i="1" s="1"/>
  <c r="DE132" i="1" a="1"/>
  <c r="DE132" i="1" s="1"/>
  <c r="DE136" i="1" a="1"/>
  <c r="DE136" i="1" s="1"/>
  <c r="DE143" i="1" a="1"/>
  <c r="DE143" i="1" s="1"/>
  <c r="DE156" i="1" a="1"/>
  <c r="DE156" i="1" s="1"/>
  <c r="DE160" i="1" a="1"/>
  <c r="DE160" i="1" s="1"/>
  <c r="DE162" i="1" a="1"/>
  <c r="DE162" i="1" s="1"/>
  <c r="DE164" i="1" a="1"/>
  <c r="DE164" i="1" s="1"/>
  <c r="DE166" i="1" a="1"/>
  <c r="DE166" i="1" s="1"/>
  <c r="DE172" i="1" a="1"/>
  <c r="DE172" i="1" s="1"/>
  <c r="DE177" i="1" a="1"/>
  <c r="DE177" i="1" s="1"/>
  <c r="DE179" i="1" a="1"/>
  <c r="DE179" i="1" s="1"/>
  <c r="DE184" i="1" a="1"/>
  <c r="DE184" i="1" s="1"/>
  <c r="DE186" i="1" a="1"/>
  <c r="DE186" i="1" s="1"/>
  <c r="DE131" i="1" a="1"/>
  <c r="DE131" i="1" s="1"/>
  <c r="DE135" i="1" a="1"/>
  <c r="DE135" i="1" s="1"/>
  <c r="DE158" i="1" a="1"/>
  <c r="DE158" i="1" s="1"/>
  <c r="DE168" i="1" a="1"/>
  <c r="DE168" i="1" s="1"/>
  <c r="DE171" i="1" a="1"/>
  <c r="DE171" i="1" s="1"/>
  <c r="DE174" i="1" a="1"/>
  <c r="DE174" i="1" s="1"/>
  <c r="DE181" i="1" a="1"/>
  <c r="DE181" i="1" s="1"/>
  <c r="DE189" i="1" a="1"/>
  <c r="DE189" i="1" s="1"/>
  <c r="DE191" i="1" a="1"/>
  <c r="DE191" i="1" s="1"/>
  <c r="DE194" i="1" a="1"/>
  <c r="DE194" i="1" s="1"/>
  <c r="DE201" i="1" a="1"/>
  <c r="DE201" i="1" s="1"/>
  <c r="DE203" i="1" a="1"/>
  <c r="DE203" i="1" s="1"/>
  <c r="DE205" i="1" a="1"/>
  <c r="DE205" i="1" s="1"/>
  <c r="DE207" i="1" a="1"/>
  <c r="DE207" i="1" s="1"/>
  <c r="DE209" i="1" a="1"/>
  <c r="DE209" i="1" s="1"/>
  <c r="DE211" i="1" a="1"/>
  <c r="DE211" i="1" s="1"/>
  <c r="DE213" i="1" a="1"/>
  <c r="DE213" i="1" s="1"/>
  <c r="DE215" i="1" a="1"/>
  <c r="DE215" i="1" s="1"/>
  <c r="DE217" i="1" a="1"/>
  <c r="DE217" i="1" s="1"/>
  <c r="DE219" i="1" a="1"/>
  <c r="DE219" i="1" s="1"/>
  <c r="DE221" i="1" a="1"/>
  <c r="DE221" i="1" s="1"/>
  <c r="DE223" i="1" a="1"/>
  <c r="DE223" i="1" s="1"/>
  <c r="DE225" i="1" a="1"/>
  <c r="DE225" i="1" s="1"/>
  <c r="DE227" i="1" a="1"/>
  <c r="DE227" i="1" s="1"/>
  <c r="DE229" i="1" a="1"/>
  <c r="DE229" i="1" s="1"/>
  <c r="DE231" i="1" a="1"/>
  <c r="DE231" i="1" s="1"/>
  <c r="DE233" i="1" a="1"/>
  <c r="DE233" i="1" s="1"/>
  <c r="DE235" i="1" a="1"/>
  <c r="DE235" i="1" s="1"/>
  <c r="DE237" i="1" a="1"/>
  <c r="DE237" i="1" s="1"/>
  <c r="DE239" i="1" a="1"/>
  <c r="DE239" i="1" s="1"/>
  <c r="DE241" i="1" a="1"/>
  <c r="DE241" i="1" s="1"/>
  <c r="DE243" i="1" a="1"/>
  <c r="DE243" i="1" s="1"/>
  <c r="DE245" i="1" a="1"/>
  <c r="DE245" i="1" s="1"/>
  <c r="DE142" i="1" a="1"/>
  <c r="DE142" i="1" s="1"/>
  <c r="DE196" i="1" a="1"/>
  <c r="DE196" i="1" s="1"/>
  <c r="DE198" i="1" a="1"/>
  <c r="DE198" i="1" s="1"/>
  <c r="DE188" i="1" a="1"/>
  <c r="DE188" i="1" s="1"/>
  <c r="DE190" i="1" a="1"/>
  <c r="DE190" i="1" s="1"/>
  <c r="DE193" i="1" a="1"/>
  <c r="DE193" i="1" s="1"/>
  <c r="DE200" i="1" a="1"/>
  <c r="DE200" i="1" s="1"/>
  <c r="DE202" i="1" a="1"/>
  <c r="DE202" i="1" s="1"/>
  <c r="DE204" i="1" a="1"/>
  <c r="DE204" i="1" s="1"/>
  <c r="DE206" i="1" a="1"/>
  <c r="DE206" i="1" s="1"/>
  <c r="DE208" i="1" a="1"/>
  <c r="DE208" i="1" s="1"/>
  <c r="DE210" i="1" a="1"/>
  <c r="DE210" i="1" s="1"/>
  <c r="DE212" i="1" a="1"/>
  <c r="DE212" i="1" s="1"/>
  <c r="DE214" i="1" a="1"/>
  <c r="DE214" i="1" s="1"/>
  <c r="DE216" i="1" a="1"/>
  <c r="DE216" i="1" s="1"/>
  <c r="DE218" i="1" a="1"/>
  <c r="DE218" i="1" s="1"/>
  <c r="DE220" i="1" a="1"/>
  <c r="DE220" i="1" s="1"/>
  <c r="DE222" i="1" a="1"/>
  <c r="DE222" i="1" s="1"/>
  <c r="DE224" i="1" a="1"/>
  <c r="DE224" i="1" s="1"/>
  <c r="DE226" i="1" a="1"/>
  <c r="DE226" i="1" s="1"/>
  <c r="DE228" i="1" a="1"/>
  <c r="DE228" i="1" s="1"/>
  <c r="DE230" i="1" a="1"/>
  <c r="DE230" i="1" s="1"/>
  <c r="DE232" i="1" a="1"/>
  <c r="DE232" i="1" s="1"/>
  <c r="DE234" i="1" a="1"/>
  <c r="DE234" i="1" s="1"/>
  <c r="DE236" i="1" a="1"/>
  <c r="DE236" i="1" s="1"/>
  <c r="DE238" i="1" a="1"/>
  <c r="DE238" i="1" s="1"/>
  <c r="DE240" i="1" a="1"/>
  <c r="DE240" i="1" s="1"/>
  <c r="DE242" i="1" a="1"/>
  <c r="DE242" i="1" s="1"/>
  <c r="DE187" i="1" a="1"/>
  <c r="DE187" i="1" s="1"/>
  <c r="DE192" i="1" a="1"/>
  <c r="DE192" i="1" s="1"/>
  <c r="DE197" i="1" a="1"/>
  <c r="DE197" i="1" s="1"/>
  <c r="DE244" i="1" a="1"/>
  <c r="DE244" i="1" s="1"/>
  <c r="DE246" i="1" a="1"/>
  <c r="DE246" i="1" s="1"/>
  <c r="DE249" i="1" a="1"/>
  <c r="DE249" i="1" s="1"/>
  <c r="DE254" i="1" a="1"/>
  <c r="DE254" i="1" s="1"/>
  <c r="DE256" i="1" a="1"/>
  <c r="DE256" i="1" s="1"/>
  <c r="DE259" i="1" a="1"/>
  <c r="DE259" i="1" s="1"/>
  <c r="DE261" i="1" a="1"/>
  <c r="DE261" i="1" s="1"/>
  <c r="DE262" i="1" a="1"/>
  <c r="DE262" i="1" s="1"/>
  <c r="DE264" i="1" a="1"/>
  <c r="DE264" i="1" s="1"/>
  <c r="DE267" i="1" a="1"/>
  <c r="DE267" i="1" s="1"/>
  <c r="DE268" i="1" a="1"/>
  <c r="DE268" i="1" s="1"/>
  <c r="DE269" i="1" a="1"/>
  <c r="DE269" i="1" s="1"/>
  <c r="DE270" i="1" a="1"/>
  <c r="DE270" i="1" s="1"/>
  <c r="DE272" i="1" a="1"/>
  <c r="DE272" i="1" s="1"/>
  <c r="DE275" i="1" a="1"/>
  <c r="DE275" i="1" s="1"/>
  <c r="DE278" i="1" a="1"/>
  <c r="DE278" i="1" s="1"/>
  <c r="DE283" i="1" a="1"/>
  <c r="DE283" i="1" s="1"/>
  <c r="DE285" i="1" a="1"/>
  <c r="DE285" i="1" s="1"/>
  <c r="DE183" i="1" a="1"/>
  <c r="DE183" i="1" s="1"/>
  <c r="DE195" i="1" a="1"/>
  <c r="DE195" i="1" s="1"/>
  <c r="DE247" i="1" a="1"/>
  <c r="DE247" i="1" s="1"/>
  <c r="DE248" i="1" a="1"/>
  <c r="DE248" i="1" s="1"/>
  <c r="DE251" i="1" a="1"/>
  <c r="DE251" i="1" s="1"/>
  <c r="DE253" i="1" a="1"/>
  <c r="DE253" i="1" s="1"/>
  <c r="DE277" i="1" a="1"/>
  <c r="DE277" i="1" s="1"/>
  <c r="DE281" i="1" a="1"/>
  <c r="DE281" i="1" s="1"/>
  <c r="DE282" i="1" a="1"/>
  <c r="DE282" i="1" s="1"/>
  <c r="DE288" i="1" a="1"/>
  <c r="DE288" i="1" s="1"/>
  <c r="DE290" i="1" a="1"/>
  <c r="DE290" i="1" s="1"/>
  <c r="DE292" i="1" a="1"/>
  <c r="DE292" i="1" s="1"/>
  <c r="DE255" i="1" a="1"/>
  <c r="DE255" i="1" s="1"/>
  <c r="DE258" i="1" a="1"/>
  <c r="DE258" i="1" s="1"/>
  <c r="DE260" i="1" a="1"/>
  <c r="DE260" i="1" s="1"/>
  <c r="DE263" i="1" a="1"/>
  <c r="DE263" i="1" s="1"/>
  <c r="DE265" i="1" a="1"/>
  <c r="DE265" i="1" s="1"/>
  <c r="DE266" i="1" a="1"/>
  <c r="DE266" i="1" s="1"/>
  <c r="DE271" i="1" a="1"/>
  <c r="DE271" i="1" s="1"/>
  <c r="DE274" i="1" a="1"/>
  <c r="DE274" i="1" s="1"/>
  <c r="DE276" i="1" a="1"/>
  <c r="DE276" i="1" s="1"/>
  <c r="DE279" i="1" a="1"/>
  <c r="DE279" i="1" s="1"/>
  <c r="DE284" i="1" a="1"/>
  <c r="DE284" i="1" s="1"/>
  <c r="DE199" i="1" a="1"/>
  <c r="DE199" i="1" s="1"/>
  <c r="DE286" i="1" a="1"/>
  <c r="DE286" i="1" s="1"/>
  <c r="DE287" i="1" a="1"/>
  <c r="DE287" i="1" s="1"/>
  <c r="DE296" i="1" a="1"/>
  <c r="DE296" i="1" s="1"/>
  <c r="DE300" i="1" a="1"/>
  <c r="DE300" i="1" s="1"/>
  <c r="DE302" i="1" a="1"/>
  <c r="DE302" i="1" s="1"/>
  <c r="DE304" i="1" a="1"/>
  <c r="DE304" i="1" s="1"/>
  <c r="DE306" i="1" a="1"/>
  <c r="DE306" i="1" s="1"/>
  <c r="DE308" i="1" a="1"/>
  <c r="DE308" i="1" s="1"/>
  <c r="DE310" i="1" a="1"/>
  <c r="DE310" i="1" s="1"/>
  <c r="DE328" i="1" a="1"/>
  <c r="DE328" i="1" s="1"/>
  <c r="DE329" i="1" a="1"/>
  <c r="DE329" i="1" s="1"/>
  <c r="DE334" i="1" a="1"/>
  <c r="DE334" i="1" s="1"/>
  <c r="DE335" i="1" a="1"/>
  <c r="DE335" i="1" s="1"/>
  <c r="DE252" i="1" a="1"/>
  <c r="DE252" i="1" s="1"/>
  <c r="DE293" i="1" a="1"/>
  <c r="DE293" i="1" s="1"/>
  <c r="DE294" i="1" a="1"/>
  <c r="DE294" i="1" s="1"/>
  <c r="DE295" i="1" a="1"/>
  <c r="DE295" i="1" s="1"/>
  <c r="DE297" i="1" a="1"/>
  <c r="DE297" i="1" s="1"/>
  <c r="DE312" i="1" a="1"/>
  <c r="DE312" i="1" s="1"/>
  <c r="DE313" i="1" a="1"/>
  <c r="DE313" i="1" s="1"/>
  <c r="DE314" i="1" a="1"/>
  <c r="DE314" i="1" s="1"/>
  <c r="DE315" i="1" a="1"/>
  <c r="DE315" i="1" s="1"/>
  <c r="DE317" i="1" a="1"/>
  <c r="DE317" i="1" s="1"/>
  <c r="DE319" i="1" a="1"/>
  <c r="DE319" i="1" s="1"/>
  <c r="DE321" i="1" a="1"/>
  <c r="DE321" i="1" s="1"/>
  <c r="DE323" i="1" a="1"/>
  <c r="DE323" i="1" s="1"/>
  <c r="DE325" i="1" a="1"/>
  <c r="DE325" i="1" s="1"/>
  <c r="DE327" i="1" a="1"/>
  <c r="DE327" i="1" s="1"/>
  <c r="DE330" i="1" a="1"/>
  <c r="DE330" i="1" s="1"/>
  <c r="DE331" i="1" a="1"/>
  <c r="DE331" i="1" s="1"/>
  <c r="DE336" i="1" a="1"/>
  <c r="DE336" i="1" s="1"/>
  <c r="DE337" i="1" a="1"/>
  <c r="DE337" i="1" s="1"/>
  <c r="DE338" i="1" a="1"/>
  <c r="DE338" i="1" s="1"/>
  <c r="DE339" i="1" a="1"/>
  <c r="DE339" i="1" s="1"/>
  <c r="DE344" i="1" a="1"/>
  <c r="DE344" i="1" s="1"/>
  <c r="DE345" i="1" a="1"/>
  <c r="DE345" i="1" s="1"/>
  <c r="DE347" i="1" a="1"/>
  <c r="DE347" i="1" s="1"/>
  <c r="DE349" i="1" a="1"/>
  <c r="DE349" i="1" s="1"/>
  <c r="DE250" i="1" a="1"/>
  <c r="DE250" i="1" s="1"/>
  <c r="DE257" i="1" a="1"/>
  <c r="DE257" i="1" s="1"/>
  <c r="DE280" i="1" a="1"/>
  <c r="DE280" i="1" s="1"/>
  <c r="DE291" i="1" a="1"/>
  <c r="DE291" i="1" s="1"/>
  <c r="DE298" i="1" a="1"/>
  <c r="DE298" i="1" s="1"/>
  <c r="DE299" i="1" a="1"/>
  <c r="DE299" i="1" s="1"/>
  <c r="DE301" i="1" a="1"/>
  <c r="DE301" i="1" s="1"/>
  <c r="DE303" i="1" a="1"/>
  <c r="DE303" i="1" s="1"/>
  <c r="DE305" i="1" a="1"/>
  <c r="DE305" i="1" s="1"/>
  <c r="DE307" i="1" a="1"/>
  <c r="DE307" i="1" s="1"/>
  <c r="DE309" i="1" a="1"/>
  <c r="DE309" i="1" s="1"/>
  <c r="DE311" i="1" a="1"/>
  <c r="DE311" i="1" s="1"/>
  <c r="DE333" i="1" a="1"/>
  <c r="DE333" i="1" s="1"/>
  <c r="DE341" i="1" a="1"/>
  <c r="DE341" i="1" s="1"/>
  <c r="DE273" i="1" a="1"/>
  <c r="DE273" i="1" s="1"/>
  <c r="DE318" i="1" a="1"/>
  <c r="DE318" i="1" s="1"/>
  <c r="DE326" i="1" a="1"/>
  <c r="DE326" i="1" s="1"/>
  <c r="DE342" i="1" a="1"/>
  <c r="DE342" i="1" s="1"/>
  <c r="DE346" i="1" a="1"/>
  <c r="DE346" i="1" s="1"/>
  <c r="DE420" i="1" a="1"/>
  <c r="DE420" i="1" s="1"/>
  <c r="DE422" i="1" a="1"/>
  <c r="DE422" i="1" s="1"/>
  <c r="DE429" i="1" a="1"/>
  <c r="DE429" i="1" s="1"/>
  <c r="DE431" i="1" a="1"/>
  <c r="DE431" i="1" s="1"/>
  <c r="DE432" i="1" a="1"/>
  <c r="DE432" i="1" s="1"/>
  <c r="DE316" i="1" a="1"/>
  <c r="DE316" i="1" s="1"/>
  <c r="DE324" i="1" a="1"/>
  <c r="DE324" i="1" s="1"/>
  <c r="DE348" i="1" a="1"/>
  <c r="DE348" i="1" s="1"/>
  <c r="DE352" i="1" a="1"/>
  <c r="DE352" i="1" s="1"/>
  <c r="DE423" i="1" a="1"/>
  <c r="DE423" i="1" s="1"/>
  <c r="DE427" i="1" a="1"/>
  <c r="DE427" i="1" s="1"/>
  <c r="DE430" i="1" a="1"/>
  <c r="DE430" i="1" s="1"/>
  <c r="DE433" i="1" a="1"/>
  <c r="DE433" i="1" s="1"/>
  <c r="DE439" i="1" a="1"/>
  <c r="DE439" i="1" s="1"/>
  <c r="DE322" i="1" a="1"/>
  <c r="DE322" i="1" s="1"/>
  <c r="DE351" i="1" a="1"/>
  <c r="DE351" i="1" s="1"/>
  <c r="DE353" i="1" a="1"/>
  <c r="DE353" i="1" s="1"/>
  <c r="DE354" i="1" a="1"/>
  <c r="DE354" i="1" s="1"/>
  <c r="DE355" i="1" a="1"/>
  <c r="DE355" i="1" s="1"/>
  <c r="DE356" i="1" a="1"/>
  <c r="DE356" i="1" s="1"/>
  <c r="DE357" i="1" a="1"/>
  <c r="DE357" i="1" s="1"/>
  <c r="DE358" i="1" a="1"/>
  <c r="DE358" i="1" s="1"/>
  <c r="DE359" i="1" a="1"/>
  <c r="DE359" i="1" s="1"/>
  <c r="DE360" i="1" a="1"/>
  <c r="DE360" i="1" s="1"/>
  <c r="DE361" i="1" a="1"/>
  <c r="DE361" i="1" s="1"/>
  <c r="DE362" i="1" a="1"/>
  <c r="DE362" i="1" s="1"/>
  <c r="DE363" i="1" a="1"/>
  <c r="DE363" i="1" s="1"/>
  <c r="DE364" i="1" a="1"/>
  <c r="DE364" i="1" s="1"/>
  <c r="DE365" i="1" a="1"/>
  <c r="DE365" i="1" s="1"/>
  <c r="DE366" i="1" a="1"/>
  <c r="DE366" i="1" s="1"/>
  <c r="DE367" i="1" a="1"/>
  <c r="DE367" i="1" s="1"/>
  <c r="DE368" i="1" a="1"/>
  <c r="DE368" i="1" s="1"/>
  <c r="DE369" i="1" a="1"/>
  <c r="DE369" i="1" s="1"/>
  <c r="DE370" i="1" a="1"/>
  <c r="DE370" i="1" s="1"/>
  <c r="DE371" i="1" a="1"/>
  <c r="DE371" i="1" s="1"/>
  <c r="DE372" i="1" a="1"/>
  <c r="DE372" i="1" s="1"/>
  <c r="DE373" i="1" a="1"/>
  <c r="DE373" i="1" s="1"/>
  <c r="DE374" i="1" a="1"/>
  <c r="DE374" i="1" s="1"/>
  <c r="DE375" i="1" a="1"/>
  <c r="DE375" i="1" s="1"/>
  <c r="DE376" i="1" a="1"/>
  <c r="DE376" i="1" s="1"/>
  <c r="DE377" i="1" a="1"/>
  <c r="DE377" i="1" s="1"/>
  <c r="DE378" i="1" a="1"/>
  <c r="DE378" i="1" s="1"/>
  <c r="DE379" i="1" a="1"/>
  <c r="DE379" i="1" s="1"/>
  <c r="DE380" i="1" a="1"/>
  <c r="DE380" i="1" s="1"/>
  <c r="DE381" i="1" a="1"/>
  <c r="DE381" i="1" s="1"/>
  <c r="DE382" i="1" a="1"/>
  <c r="DE382" i="1" s="1"/>
  <c r="DE383" i="1" a="1"/>
  <c r="DE383" i="1" s="1"/>
  <c r="DE384" i="1" a="1"/>
  <c r="DE384" i="1" s="1"/>
  <c r="DE385" i="1" a="1"/>
  <c r="DE385" i="1" s="1"/>
  <c r="DE386" i="1" a="1"/>
  <c r="DE386" i="1" s="1"/>
  <c r="DE387" i="1" a="1"/>
  <c r="DE387" i="1" s="1"/>
  <c r="DE388" i="1" a="1"/>
  <c r="DE388" i="1" s="1"/>
  <c r="DE389" i="1" a="1"/>
  <c r="DE389" i="1" s="1"/>
  <c r="DE390" i="1" a="1"/>
  <c r="DE390" i="1" s="1"/>
  <c r="DE391" i="1" a="1"/>
  <c r="DE391" i="1" s="1"/>
  <c r="DE392" i="1" a="1"/>
  <c r="DE392" i="1" s="1"/>
  <c r="DE393" i="1" a="1"/>
  <c r="DE393" i="1" s="1"/>
  <c r="DE394" i="1" a="1"/>
  <c r="DE394" i="1" s="1"/>
  <c r="DE395" i="1" a="1"/>
  <c r="DE395" i="1" s="1"/>
  <c r="DE396" i="1" a="1"/>
  <c r="DE396" i="1" s="1"/>
  <c r="DE397" i="1" a="1"/>
  <c r="DE397" i="1" s="1"/>
  <c r="DE398" i="1" a="1"/>
  <c r="DE398" i="1" s="1"/>
  <c r="DE399" i="1" a="1"/>
  <c r="DE399" i="1" s="1"/>
  <c r="DE400" i="1" a="1"/>
  <c r="DE400" i="1" s="1"/>
  <c r="DE401" i="1" a="1"/>
  <c r="DE401" i="1" s="1"/>
  <c r="DE402" i="1" a="1"/>
  <c r="DE402" i="1" s="1"/>
  <c r="DE403" i="1" a="1"/>
  <c r="DE403" i="1" s="1"/>
  <c r="DE404" i="1" a="1"/>
  <c r="DE404" i="1" s="1"/>
  <c r="DE405" i="1" a="1"/>
  <c r="DE405" i="1" s="1"/>
  <c r="DE406" i="1" a="1"/>
  <c r="DE406" i="1" s="1"/>
  <c r="DE407" i="1" a="1"/>
  <c r="DE407" i="1" s="1"/>
  <c r="DE408" i="1" a="1"/>
  <c r="DE408" i="1" s="1"/>
  <c r="DE409" i="1" a="1"/>
  <c r="DE409" i="1" s="1"/>
  <c r="DE410" i="1" a="1"/>
  <c r="DE410" i="1" s="1"/>
  <c r="DE411" i="1" a="1"/>
  <c r="DE411" i="1" s="1"/>
  <c r="DE412" i="1" a="1"/>
  <c r="DE412" i="1" s="1"/>
  <c r="DE413" i="1" a="1"/>
  <c r="DE413" i="1" s="1"/>
  <c r="DE414" i="1" a="1"/>
  <c r="DE414" i="1" s="1"/>
  <c r="DE415" i="1" a="1"/>
  <c r="DE415" i="1" s="1"/>
  <c r="DE416" i="1" a="1"/>
  <c r="DE416" i="1" s="1"/>
  <c r="DE417" i="1" a="1"/>
  <c r="DE417" i="1" s="1"/>
  <c r="DE418" i="1" a="1"/>
  <c r="DE418" i="1" s="1"/>
  <c r="DE421" i="1" a="1"/>
  <c r="DE421" i="1" s="1"/>
  <c r="DE425" i="1" a="1"/>
  <c r="DE425" i="1" s="1"/>
  <c r="DE428" i="1" a="1"/>
  <c r="DE428" i="1" s="1"/>
  <c r="DE434" i="1" a="1"/>
  <c r="DE434" i="1" s="1"/>
  <c r="DE435" i="1" a="1"/>
  <c r="DE435" i="1" s="1"/>
  <c r="CS40" i="1" a="1"/>
  <c r="CS40" i="1" s="1"/>
  <c r="CS43" i="1" a="1"/>
  <c r="CS43" i="1" s="1"/>
  <c r="CS47" i="1" a="1"/>
  <c r="CS47" i="1" s="1"/>
  <c r="CS45" i="1" a="1"/>
  <c r="CS45" i="1" s="1"/>
  <c r="CS23" i="1" a="1"/>
  <c r="CS23" i="1" s="1"/>
  <c r="CS26" i="1" a="1"/>
  <c r="CS26" i="1" s="1"/>
  <c r="CS27" i="1" a="1"/>
  <c r="CS27" i="1" s="1"/>
  <c r="CS28" i="1" a="1"/>
  <c r="CS28" i="1" s="1"/>
  <c r="CS29" i="1" a="1"/>
  <c r="CS29" i="1" s="1"/>
  <c r="CS41" i="1" a="1"/>
  <c r="CS41" i="1" s="1"/>
  <c r="CS44" i="1" a="1"/>
  <c r="CS44" i="1" s="1"/>
  <c r="CS46" i="1" a="1"/>
  <c r="CS46" i="1" s="1"/>
  <c r="CS25" i="1" a="1"/>
  <c r="CS25" i="1" s="1"/>
  <c r="CS31" i="1" a="1"/>
  <c r="CS31" i="1" s="1"/>
  <c r="CS33" i="1" a="1"/>
  <c r="CS33" i="1" s="1"/>
  <c r="CS35" i="1" a="1"/>
  <c r="CS35" i="1" s="1"/>
  <c r="CS37" i="1" a="1"/>
  <c r="CS37" i="1" s="1"/>
  <c r="CS39" i="1" a="1"/>
  <c r="CS39" i="1" s="1"/>
  <c r="CS51" i="1" a="1"/>
  <c r="CS51" i="1" s="1"/>
  <c r="CS52" i="1" a="1"/>
  <c r="CS52" i="1" s="1"/>
  <c r="CS56" i="1" a="1"/>
  <c r="CS56" i="1" s="1"/>
  <c r="CS57" i="1" a="1"/>
  <c r="CS57" i="1" s="1"/>
  <c r="CS60" i="1" a="1"/>
  <c r="CS60" i="1" s="1"/>
  <c r="CS48" i="1" a="1"/>
  <c r="CS48" i="1" s="1"/>
  <c r="CS58" i="1" a="1"/>
  <c r="CS58" i="1" s="1"/>
  <c r="CS64" i="1" a="1"/>
  <c r="CS64" i="1" s="1"/>
  <c r="CS65" i="1" a="1"/>
  <c r="CS65" i="1" s="1"/>
  <c r="CS24" i="1" a="1"/>
  <c r="CS24" i="1" s="1"/>
  <c r="CS30" i="1" a="1"/>
  <c r="CS30" i="1" s="1"/>
  <c r="CS32" i="1" a="1"/>
  <c r="CS32" i="1" s="1"/>
  <c r="CS34" i="1" a="1"/>
  <c r="CS34" i="1" s="1"/>
  <c r="CS36" i="1" a="1"/>
  <c r="CS36" i="1" s="1"/>
  <c r="CS38" i="1" a="1"/>
  <c r="CS38" i="1" s="1"/>
  <c r="CS42" i="1" a="1"/>
  <c r="CS42" i="1" s="1"/>
  <c r="CS53" i="1" a="1"/>
  <c r="CS53" i="1" s="1"/>
  <c r="CS54" i="1" a="1"/>
  <c r="CS54" i="1" s="1"/>
  <c r="CS62" i="1" a="1"/>
  <c r="CS62" i="1" s="1"/>
  <c r="CS49" i="1" a="1"/>
  <c r="CS49" i="1" s="1"/>
  <c r="CS55" i="1" a="1"/>
  <c r="CS55" i="1" s="1"/>
  <c r="CS78" i="1" a="1"/>
  <c r="CS78" i="1" s="1"/>
  <c r="CS79" i="1" a="1"/>
  <c r="CS79" i="1" s="1"/>
  <c r="CS61" i="1" a="1"/>
  <c r="CS61" i="1" s="1"/>
  <c r="CS83" i="1" a="1"/>
  <c r="CS83" i="1" s="1"/>
  <c r="CS50" i="1" a="1"/>
  <c r="CS50" i="1" s="1"/>
  <c r="CS63" i="1" a="1"/>
  <c r="CS63" i="1" s="1"/>
  <c r="CS66" i="1" a="1"/>
  <c r="CS66" i="1" s="1"/>
  <c r="CS67" i="1" a="1"/>
  <c r="CS67" i="1" s="1"/>
  <c r="CS68" i="1" a="1"/>
  <c r="CS68" i="1" s="1"/>
  <c r="CS69" i="1" a="1"/>
  <c r="CS69" i="1" s="1"/>
  <c r="CS70" i="1" a="1"/>
  <c r="CS70" i="1" s="1"/>
  <c r="CS71" i="1" a="1"/>
  <c r="CS71" i="1" s="1"/>
  <c r="CS72" i="1" a="1"/>
  <c r="CS72" i="1" s="1"/>
  <c r="CS73" i="1" a="1"/>
  <c r="CS73" i="1" s="1"/>
  <c r="CS74" i="1" a="1"/>
  <c r="CS74" i="1" s="1"/>
  <c r="CS75" i="1" a="1"/>
  <c r="CS75" i="1" s="1"/>
  <c r="CS76" i="1" a="1"/>
  <c r="CS76" i="1" s="1"/>
  <c r="CS77" i="1" a="1"/>
  <c r="CS77" i="1" s="1"/>
  <c r="CS80" i="1" a="1"/>
  <c r="CS80" i="1" s="1"/>
  <c r="CS59" i="1" a="1"/>
  <c r="CS59" i="1" s="1"/>
  <c r="CS82" i="1" a="1"/>
  <c r="CS82" i="1" s="1"/>
  <c r="CS86" i="1" a="1"/>
  <c r="CS86" i="1" s="1"/>
  <c r="CS87" i="1" a="1"/>
  <c r="CS87" i="1" s="1"/>
  <c r="CS93" i="1" a="1"/>
  <c r="CS93" i="1" s="1"/>
  <c r="CS94" i="1" a="1"/>
  <c r="CS94" i="1" s="1"/>
  <c r="CS95" i="1" a="1"/>
  <c r="CS95" i="1" s="1"/>
  <c r="CS101" i="1" a="1"/>
  <c r="CS101" i="1" s="1"/>
  <c r="CS116" i="1" a="1"/>
  <c r="CS116" i="1" s="1"/>
  <c r="CS117" i="1" a="1"/>
  <c r="CS117" i="1" s="1"/>
  <c r="CS81" i="1" a="1"/>
  <c r="CS81" i="1" s="1"/>
  <c r="CS84" i="1" a="1"/>
  <c r="CS84" i="1" s="1"/>
  <c r="CS88" i="1" a="1"/>
  <c r="CS88" i="1" s="1"/>
  <c r="CS89" i="1" a="1"/>
  <c r="CS89" i="1" s="1"/>
  <c r="CS90" i="1" a="1"/>
  <c r="CS90" i="1" s="1"/>
  <c r="CS96" i="1" a="1"/>
  <c r="CS96" i="1" s="1"/>
  <c r="CS97" i="1" a="1"/>
  <c r="CS97" i="1" s="1"/>
  <c r="CS98" i="1" a="1"/>
  <c r="CS98" i="1" s="1"/>
  <c r="CS99" i="1" a="1"/>
  <c r="CS99" i="1" s="1"/>
  <c r="CS102" i="1" a="1"/>
  <c r="CS102" i="1" s="1"/>
  <c r="CS103" i="1" a="1"/>
  <c r="CS103" i="1" s="1"/>
  <c r="CS104" i="1" a="1"/>
  <c r="CS104" i="1" s="1"/>
  <c r="BM104" i="1" s="1"/>
  <c r="CS105" i="1" a="1"/>
  <c r="CS105" i="1" s="1"/>
  <c r="CS106" i="1" a="1"/>
  <c r="CS106" i="1" s="1"/>
  <c r="CS107" i="1" a="1"/>
  <c r="CS107" i="1" s="1"/>
  <c r="CS108" i="1" a="1"/>
  <c r="CS108" i="1" s="1"/>
  <c r="CS109" i="1" a="1"/>
  <c r="CS109" i="1" s="1"/>
  <c r="CS118" i="1" a="1"/>
  <c r="CS118" i="1" s="1"/>
  <c r="CS119" i="1" a="1"/>
  <c r="CS119" i="1" s="1"/>
  <c r="CS85" i="1" a="1"/>
  <c r="CS85" i="1" s="1"/>
  <c r="CS110" i="1" a="1"/>
  <c r="CS110" i="1" s="1"/>
  <c r="CS111" i="1" a="1"/>
  <c r="CS111" i="1" s="1"/>
  <c r="CS113" i="1" a="1"/>
  <c r="CS113" i="1" s="1"/>
  <c r="CS114" i="1" a="1"/>
  <c r="CS114" i="1" s="1"/>
  <c r="CS115" i="1" a="1"/>
  <c r="CS115" i="1" s="1"/>
  <c r="CS120" i="1" a="1"/>
  <c r="CS120" i="1" s="1"/>
  <c r="CS121" i="1" a="1"/>
  <c r="CS121" i="1" s="1"/>
  <c r="CS122" i="1" a="1"/>
  <c r="CS122" i="1" s="1"/>
  <c r="CS123" i="1" a="1"/>
  <c r="CS123" i="1" s="1"/>
  <c r="CS124" i="1" a="1"/>
  <c r="CS124" i="1" s="1"/>
  <c r="CS125" i="1" a="1"/>
  <c r="CS125" i="1" s="1"/>
  <c r="CS126" i="1" a="1"/>
  <c r="CS126" i="1" s="1"/>
  <c r="CS127" i="1" a="1"/>
  <c r="CS127" i="1" s="1"/>
  <c r="CS128" i="1" a="1"/>
  <c r="CS128" i="1" s="1"/>
  <c r="CS100" i="1" a="1"/>
  <c r="CS100" i="1" s="1"/>
  <c r="CS139" i="1" a="1"/>
  <c r="CS139" i="1" s="1"/>
  <c r="CS141" i="1" a="1"/>
  <c r="CS141" i="1" s="1"/>
  <c r="CS143" i="1" a="1"/>
  <c r="CS143" i="1" s="1"/>
  <c r="CS145" i="1" a="1"/>
  <c r="CS145" i="1" s="1"/>
  <c r="CS146" i="1" a="1"/>
  <c r="CS146" i="1" s="1"/>
  <c r="CS92" i="1" a="1"/>
  <c r="CS92" i="1" s="1"/>
  <c r="CS130" i="1" a="1"/>
  <c r="CS130" i="1" s="1"/>
  <c r="CS131" i="1" a="1"/>
  <c r="CS131" i="1" s="1"/>
  <c r="CS132" i="1" a="1"/>
  <c r="CS132" i="1" s="1"/>
  <c r="CS133" i="1" a="1"/>
  <c r="CS133" i="1" s="1"/>
  <c r="CS134" i="1" a="1"/>
  <c r="CS134" i="1" s="1"/>
  <c r="CS135" i="1" a="1"/>
  <c r="CS135" i="1" s="1"/>
  <c r="CS136" i="1" a="1"/>
  <c r="CS136" i="1" s="1"/>
  <c r="CS137" i="1" a="1"/>
  <c r="CS137" i="1" s="1"/>
  <c r="CS151" i="1" a="1"/>
  <c r="CS151" i="1" s="1"/>
  <c r="CS153" i="1" a="1"/>
  <c r="CS153" i="1" s="1"/>
  <c r="CS155" i="1" a="1"/>
  <c r="CS155" i="1" s="1"/>
  <c r="CS157" i="1" a="1"/>
  <c r="CS157" i="1" s="1"/>
  <c r="CS138" i="1" a="1"/>
  <c r="CS138" i="1" s="1"/>
  <c r="CS140" i="1" a="1"/>
  <c r="CS140" i="1" s="1"/>
  <c r="CS142" i="1" a="1"/>
  <c r="CS142" i="1" s="1"/>
  <c r="CS144" i="1" a="1"/>
  <c r="CS144" i="1" s="1"/>
  <c r="CS147" i="1" a="1"/>
  <c r="CS147" i="1" s="1"/>
  <c r="CS129" i="1" a="1"/>
  <c r="CS129" i="1" s="1"/>
  <c r="CS150" i="1" a="1"/>
  <c r="CS150" i="1" s="1"/>
  <c r="CS169" i="1" a="1"/>
  <c r="CS169" i="1" s="1"/>
  <c r="CS175" i="1" a="1"/>
  <c r="CS175" i="1" s="1"/>
  <c r="CS180" i="1" a="1"/>
  <c r="CS180" i="1" s="1"/>
  <c r="CS182" i="1" a="1"/>
  <c r="CS182" i="1" s="1"/>
  <c r="CS91" i="1" a="1"/>
  <c r="CS91" i="1" s="1"/>
  <c r="CS112" i="1" a="1"/>
  <c r="CS112" i="1" s="1"/>
  <c r="CS149" i="1" a="1"/>
  <c r="CS149" i="1" s="1"/>
  <c r="CS162" i="1" a="1"/>
  <c r="CS162" i="1" s="1"/>
  <c r="CS164" i="1" a="1"/>
  <c r="CS164" i="1" s="1"/>
  <c r="CS166" i="1" a="1"/>
  <c r="CS166" i="1" s="1"/>
  <c r="CS172" i="1" a="1"/>
  <c r="CS172" i="1" s="1"/>
  <c r="CS177" i="1" a="1"/>
  <c r="CS177" i="1" s="1"/>
  <c r="CS179" i="1" a="1"/>
  <c r="CS179" i="1" s="1"/>
  <c r="CS184" i="1" a="1"/>
  <c r="CS184" i="1" s="1"/>
  <c r="CS148" i="1" a="1"/>
  <c r="CS148" i="1" s="1"/>
  <c r="CS158" i="1" a="1"/>
  <c r="CS158" i="1" s="1"/>
  <c r="CS159" i="1" a="1"/>
  <c r="CS159" i="1" s="1"/>
  <c r="CS168" i="1" a="1"/>
  <c r="CS168" i="1" s="1"/>
  <c r="CS170" i="1" a="1"/>
  <c r="CS170" i="1" s="1"/>
  <c r="CS171" i="1" a="1"/>
  <c r="CS171" i="1" s="1"/>
  <c r="CS174" i="1" a="1"/>
  <c r="CS174" i="1" s="1"/>
  <c r="CS176" i="1" a="1"/>
  <c r="CS176" i="1" s="1"/>
  <c r="CS181" i="1" a="1"/>
  <c r="CS181" i="1" s="1"/>
  <c r="CS183" i="1" a="1"/>
  <c r="CS183" i="1" s="1"/>
  <c r="CS188" i="1" a="1"/>
  <c r="CS188" i="1" s="1"/>
  <c r="CS187" i="1" a="1"/>
  <c r="CS187" i="1" s="1"/>
  <c r="CS196" i="1" a="1"/>
  <c r="CS196" i="1" s="1"/>
  <c r="CS198" i="1" a="1"/>
  <c r="CS198" i="1" s="1"/>
  <c r="CS247" i="1" a="1"/>
  <c r="CS247" i="1" s="1"/>
  <c r="CS152" i="1" a="1"/>
  <c r="CS152" i="1" s="1"/>
  <c r="CS156" i="1" a="1"/>
  <c r="CS156" i="1" s="1"/>
  <c r="CS178" i="1" a="1"/>
  <c r="CS178" i="1" s="1"/>
  <c r="CS190" i="1" a="1"/>
  <c r="CS190" i="1" s="1"/>
  <c r="CS193" i="1" a="1"/>
  <c r="CS193" i="1" s="1"/>
  <c r="CS200" i="1" a="1"/>
  <c r="CS200" i="1" s="1"/>
  <c r="CS202" i="1" a="1"/>
  <c r="CS202" i="1" s="1"/>
  <c r="CS204" i="1" a="1"/>
  <c r="CS204" i="1" s="1"/>
  <c r="CS206" i="1" a="1"/>
  <c r="CS206" i="1" s="1"/>
  <c r="CS208" i="1" a="1"/>
  <c r="CS208" i="1" s="1"/>
  <c r="CS210" i="1" a="1"/>
  <c r="CS210" i="1" s="1"/>
  <c r="CS212" i="1" a="1"/>
  <c r="CS212" i="1" s="1"/>
  <c r="CS214" i="1" a="1"/>
  <c r="CS214" i="1" s="1"/>
  <c r="CS216" i="1" a="1"/>
  <c r="CS216" i="1" s="1"/>
  <c r="CS218" i="1" a="1"/>
  <c r="CS218" i="1" s="1"/>
  <c r="CS220" i="1" a="1"/>
  <c r="CS220" i="1" s="1"/>
  <c r="CS222" i="1" a="1"/>
  <c r="CS222" i="1" s="1"/>
  <c r="CS224" i="1" a="1"/>
  <c r="CS224" i="1" s="1"/>
  <c r="CS226" i="1" a="1"/>
  <c r="CS226" i="1" s="1"/>
  <c r="CS228" i="1" a="1"/>
  <c r="CS228" i="1" s="1"/>
  <c r="CS230" i="1" a="1"/>
  <c r="CS230" i="1" s="1"/>
  <c r="CS232" i="1" a="1"/>
  <c r="CS232" i="1" s="1"/>
  <c r="CS234" i="1" a="1"/>
  <c r="CS234" i="1" s="1"/>
  <c r="CS236" i="1" a="1"/>
  <c r="CS236" i="1" s="1"/>
  <c r="CS238" i="1" a="1"/>
  <c r="CS238" i="1" s="1"/>
  <c r="CS240" i="1" a="1"/>
  <c r="CS240" i="1" s="1"/>
  <c r="CS242" i="1" a="1"/>
  <c r="CS242" i="1" s="1"/>
  <c r="CS161" i="1" a="1"/>
  <c r="CS161" i="1" s="1"/>
  <c r="CS163" i="1" a="1"/>
  <c r="CS163" i="1" s="1"/>
  <c r="CS165" i="1" a="1"/>
  <c r="CS165" i="1" s="1"/>
  <c r="CS167" i="1" a="1"/>
  <c r="CS167" i="1" s="1"/>
  <c r="CS173" i="1" a="1"/>
  <c r="CS173" i="1" s="1"/>
  <c r="CS185" i="1" a="1"/>
  <c r="CS185" i="1" s="1"/>
  <c r="CS192" i="1" a="1"/>
  <c r="CS192" i="1" s="1"/>
  <c r="CS195" i="1" a="1"/>
  <c r="CS195" i="1" s="1"/>
  <c r="CS197" i="1" a="1"/>
  <c r="CS197" i="1" s="1"/>
  <c r="CS199" i="1" a="1"/>
  <c r="CS199" i="1" s="1"/>
  <c r="CS154" i="1" a="1"/>
  <c r="CS154" i="1" s="1"/>
  <c r="CS248" i="1" a="1"/>
  <c r="CS248" i="1" s="1"/>
  <c r="CS251" i="1" a="1"/>
  <c r="CS251" i="1" s="1"/>
  <c r="CS253" i="1" a="1"/>
  <c r="CS253" i="1" s="1"/>
  <c r="CS266" i="1" a="1"/>
  <c r="CS266" i="1" s="1"/>
  <c r="CS281" i="1" a="1"/>
  <c r="CS281" i="1" s="1"/>
  <c r="CS288" i="1" a="1"/>
  <c r="CS288" i="1" s="1"/>
  <c r="CS290" i="1" a="1"/>
  <c r="CS290" i="1" s="1"/>
  <c r="CS292" i="1" a="1"/>
  <c r="CS292" i="1" s="1"/>
  <c r="CS294" i="1" a="1"/>
  <c r="CS294" i="1" s="1"/>
  <c r="CS189" i="1" a="1"/>
  <c r="CS189" i="1" s="1"/>
  <c r="CS191" i="1" a="1"/>
  <c r="CS191" i="1" s="1"/>
  <c r="CS201" i="1" a="1"/>
  <c r="CS201" i="1" s="1"/>
  <c r="CS203" i="1" a="1"/>
  <c r="CS203" i="1" s="1"/>
  <c r="CS205" i="1" a="1"/>
  <c r="CS205" i="1" s="1"/>
  <c r="CS207" i="1" a="1"/>
  <c r="CS207" i="1" s="1"/>
  <c r="BM207" i="1" s="1"/>
  <c r="CS209" i="1" a="1"/>
  <c r="CS209" i="1" s="1"/>
  <c r="CS211" i="1" a="1"/>
  <c r="CS211" i="1" s="1"/>
  <c r="CS213" i="1" a="1"/>
  <c r="CS213" i="1" s="1"/>
  <c r="CS215" i="1" a="1"/>
  <c r="CS215" i="1" s="1"/>
  <c r="CS217" i="1" a="1"/>
  <c r="CS217" i="1" s="1"/>
  <c r="CS219" i="1" a="1"/>
  <c r="CS219" i="1" s="1"/>
  <c r="CS221" i="1" a="1"/>
  <c r="CS221" i="1" s="1"/>
  <c r="CS223" i="1" a="1"/>
  <c r="CS223" i="1" s="1"/>
  <c r="CS225" i="1" a="1"/>
  <c r="CS225" i="1" s="1"/>
  <c r="CS227" i="1" a="1"/>
  <c r="CS227" i="1" s="1"/>
  <c r="CS229" i="1" a="1"/>
  <c r="CS229" i="1" s="1"/>
  <c r="CS231" i="1" a="1"/>
  <c r="CS231" i="1" s="1"/>
  <c r="CS233" i="1" a="1"/>
  <c r="CS233" i="1" s="1"/>
  <c r="CS235" i="1" a="1"/>
  <c r="CS235" i="1" s="1"/>
  <c r="CS237" i="1" a="1"/>
  <c r="CS237" i="1" s="1"/>
  <c r="CS239" i="1" a="1"/>
  <c r="CS239" i="1" s="1"/>
  <c r="BM239" i="1" s="1"/>
  <c r="CS241" i="1" a="1"/>
  <c r="CS241" i="1" s="1"/>
  <c r="CS246" i="1" a="1"/>
  <c r="CS246" i="1" s="1"/>
  <c r="CS255" i="1" a="1"/>
  <c r="CS255" i="1" s="1"/>
  <c r="CS257" i="1" a="1"/>
  <c r="CS257" i="1" s="1"/>
  <c r="CS258" i="1" a="1"/>
  <c r="CS258" i="1" s="1"/>
  <c r="CS260" i="1" a="1"/>
  <c r="CS260" i="1" s="1"/>
  <c r="CS263" i="1" a="1"/>
  <c r="CS263" i="1" s="1"/>
  <c r="CS265" i="1" a="1"/>
  <c r="CS265" i="1" s="1"/>
  <c r="CS268" i="1" a="1"/>
  <c r="CS268" i="1" s="1"/>
  <c r="CS271" i="1" a="1"/>
  <c r="CS271" i="1" s="1"/>
  <c r="CS273" i="1" a="1"/>
  <c r="CS273" i="1" s="1"/>
  <c r="CS274" i="1" a="1"/>
  <c r="CS274" i="1" s="1"/>
  <c r="CS276" i="1" a="1"/>
  <c r="CS276" i="1" s="1"/>
  <c r="CS279" i="1" a="1"/>
  <c r="CS279" i="1" s="1"/>
  <c r="CS280" i="1" a="1"/>
  <c r="CS280" i="1" s="1"/>
  <c r="CS284" i="1" a="1"/>
  <c r="CS284" i="1" s="1"/>
  <c r="CS160" i="1" a="1"/>
  <c r="CS160" i="1" s="1"/>
  <c r="CS194" i="1" a="1"/>
  <c r="CS194" i="1" s="1"/>
  <c r="CS243" i="1" a="1"/>
  <c r="CS243" i="1" s="1"/>
  <c r="CS250" i="1" a="1"/>
  <c r="CS250" i="1" s="1"/>
  <c r="CS252" i="1" a="1"/>
  <c r="CS252" i="1" s="1"/>
  <c r="CS262" i="1" a="1"/>
  <c r="CS262" i="1" s="1"/>
  <c r="CS270" i="1" a="1"/>
  <c r="CS270" i="1" s="1"/>
  <c r="CS287" i="1" a="1"/>
  <c r="CS287" i="1" s="1"/>
  <c r="CS289" i="1" a="1"/>
  <c r="CS289" i="1" s="1"/>
  <c r="CS291" i="1" a="1"/>
  <c r="CS291" i="1" s="1"/>
  <c r="CS293" i="1" a="1"/>
  <c r="CS293" i="1" s="1"/>
  <c r="BM293" i="1" s="1"/>
  <c r="CS295" i="1" a="1"/>
  <c r="CS295" i="1" s="1"/>
  <c r="CS297" i="1" a="1"/>
  <c r="CS297" i="1" s="1"/>
  <c r="CS259" i="1" a="1"/>
  <c r="CS259" i="1" s="1"/>
  <c r="CS261" i="1" a="1"/>
  <c r="CS261" i="1" s="1"/>
  <c r="CS272" i="1" a="1"/>
  <c r="CS272" i="1" s="1"/>
  <c r="CS282" i="1" a="1"/>
  <c r="CS282" i="1" s="1"/>
  <c r="CS317" i="1" a="1"/>
  <c r="CS317" i="1" s="1"/>
  <c r="CS319" i="1" a="1"/>
  <c r="CS319" i="1" s="1"/>
  <c r="CS321" i="1" a="1"/>
  <c r="CS321" i="1" s="1"/>
  <c r="CS323" i="1" a="1"/>
  <c r="CS323" i="1" s="1"/>
  <c r="CS325" i="1" a="1"/>
  <c r="CS325" i="1" s="1"/>
  <c r="CS327" i="1" a="1"/>
  <c r="CS327" i="1" s="1"/>
  <c r="CS328" i="1" a="1"/>
  <c r="CS328" i="1" s="1"/>
  <c r="CS329" i="1" a="1"/>
  <c r="CS329" i="1" s="1"/>
  <c r="CS334" i="1" a="1"/>
  <c r="CS334" i="1" s="1"/>
  <c r="CS335" i="1" a="1"/>
  <c r="CS335" i="1" s="1"/>
  <c r="CS186" i="1" a="1"/>
  <c r="CS186" i="1" s="1"/>
  <c r="CS244" i="1" a="1"/>
  <c r="CS244" i="1" s="1"/>
  <c r="CS264" i="1" a="1"/>
  <c r="CS264" i="1" s="1"/>
  <c r="CS275" i="1" a="1"/>
  <c r="CS275" i="1" s="1"/>
  <c r="CS277" i="1" a="1"/>
  <c r="CS277" i="1" s="1"/>
  <c r="CS283" i="1" a="1"/>
  <c r="CS283" i="1" s="1"/>
  <c r="CS285" i="1" a="1"/>
  <c r="CS285" i="1" s="1"/>
  <c r="BM285" i="1" s="1"/>
  <c r="CS286" i="1" a="1"/>
  <c r="CS286" i="1" s="1"/>
  <c r="CS296" i="1" a="1"/>
  <c r="CS296" i="1" s="1"/>
  <c r="CS299" i="1" a="1"/>
  <c r="CS299" i="1" s="1"/>
  <c r="CS301" i="1" a="1"/>
  <c r="CS301" i="1" s="1"/>
  <c r="CS303" i="1" a="1"/>
  <c r="CS303" i="1" s="1"/>
  <c r="CS305" i="1" a="1"/>
  <c r="CS305" i="1" s="1"/>
  <c r="CS307" i="1" a="1"/>
  <c r="CS307" i="1" s="1"/>
  <c r="CS309" i="1" a="1"/>
  <c r="CS309" i="1" s="1"/>
  <c r="CS311" i="1" a="1"/>
  <c r="CS311" i="1" s="1"/>
  <c r="CS312" i="1" a="1"/>
  <c r="CS312" i="1" s="1"/>
  <c r="CS313" i="1" a="1"/>
  <c r="CS313" i="1" s="1"/>
  <c r="CS314" i="1" a="1"/>
  <c r="CS314" i="1" s="1"/>
  <c r="CS315" i="1" a="1"/>
  <c r="CS315" i="1" s="1"/>
  <c r="CS316" i="1" a="1"/>
  <c r="CS316" i="1" s="1"/>
  <c r="CS330" i="1" a="1"/>
  <c r="CS330" i="1" s="1"/>
  <c r="CS331" i="1" a="1"/>
  <c r="CS331" i="1" s="1"/>
  <c r="CS333" i="1" a="1"/>
  <c r="CS333" i="1" s="1"/>
  <c r="CS336" i="1" a="1"/>
  <c r="CS336" i="1" s="1"/>
  <c r="CS337" i="1" a="1"/>
  <c r="CS337" i="1" s="1"/>
  <c r="CS339" i="1" a="1"/>
  <c r="CS339" i="1" s="1"/>
  <c r="CS341" i="1" a="1"/>
  <c r="CS341" i="1" s="1"/>
  <c r="CS344" i="1" a="1"/>
  <c r="CS344" i="1" s="1"/>
  <c r="CS345" i="1" a="1"/>
  <c r="CS345" i="1" s="1"/>
  <c r="CS267" i="1" a="1"/>
  <c r="CS267" i="1" s="1"/>
  <c r="CS278" i="1" a="1"/>
  <c r="CS278" i="1" s="1"/>
  <c r="CS318" i="1" a="1"/>
  <c r="CS318" i="1" s="1"/>
  <c r="CS320" i="1" a="1"/>
  <c r="CS320" i="1" s="1"/>
  <c r="CS322" i="1" a="1"/>
  <c r="CS322" i="1" s="1"/>
  <c r="CS324" i="1" a="1"/>
  <c r="CS324" i="1" s="1"/>
  <c r="CS326" i="1" a="1"/>
  <c r="CS326" i="1" s="1"/>
  <c r="CS332" i="1" a="1"/>
  <c r="CS332" i="1" s="1"/>
  <c r="CS340" i="1" a="1"/>
  <c r="CS340" i="1" s="1"/>
  <c r="CS346" i="1" a="1"/>
  <c r="CS346" i="1" s="1"/>
  <c r="CS348" i="1" a="1"/>
  <c r="CS348" i="1" s="1"/>
  <c r="CS350" i="1" a="1"/>
  <c r="CS350" i="1" s="1"/>
  <c r="CS245" i="1" a="1"/>
  <c r="CS245" i="1" s="1"/>
  <c r="CS256" i="1" a="1"/>
  <c r="CS256" i="1" s="1"/>
  <c r="BM256" i="1" s="1"/>
  <c r="CS347" i="1" a="1"/>
  <c r="CS347" i="1" s="1"/>
  <c r="CS351" i="1" a="1"/>
  <c r="CS351" i="1" s="1"/>
  <c r="CS429" i="1" a="1"/>
  <c r="CS429" i="1" s="1"/>
  <c r="CS432" i="1" a="1"/>
  <c r="CS432" i="1" s="1"/>
  <c r="CS433" i="1" a="1"/>
  <c r="CS433" i="1" s="1"/>
  <c r="CS300" i="1" a="1"/>
  <c r="CS300" i="1" s="1"/>
  <c r="CS302" i="1" a="1"/>
  <c r="CS302" i="1" s="1"/>
  <c r="CS304" i="1" a="1"/>
  <c r="CS304" i="1" s="1"/>
  <c r="CS306" i="1" a="1"/>
  <c r="CS306" i="1" s="1"/>
  <c r="CS308" i="1" a="1"/>
  <c r="CS308" i="1" s="1"/>
  <c r="CS310" i="1" a="1"/>
  <c r="CS310" i="1" s="1"/>
  <c r="CS338" i="1" a="1"/>
  <c r="CS338" i="1" s="1"/>
  <c r="CS343" i="1" a="1"/>
  <c r="CS343" i="1" s="1"/>
  <c r="CS349" i="1" a="1"/>
  <c r="CS349" i="1" s="1"/>
  <c r="CS423" i="1" a="1"/>
  <c r="CS423" i="1" s="1"/>
  <c r="CS427" i="1" a="1"/>
  <c r="CS427" i="1" s="1"/>
  <c r="CS428" i="1" a="1"/>
  <c r="CS428" i="1" s="1"/>
  <c r="CS430" i="1" a="1"/>
  <c r="CS430" i="1" s="1"/>
  <c r="CS434" i="1" a="1"/>
  <c r="CS434" i="1" s="1"/>
  <c r="CS439" i="1" a="1"/>
  <c r="CS439" i="1" s="1"/>
  <c r="CS249" i="1" a="1"/>
  <c r="CS249" i="1" s="1"/>
  <c r="CS254" i="1" a="1"/>
  <c r="CS254" i="1" s="1"/>
  <c r="CS269" i="1" a="1"/>
  <c r="CS269" i="1" s="1"/>
  <c r="CS298" i="1" a="1"/>
  <c r="CS298" i="1" s="1"/>
  <c r="CS342" i="1" a="1"/>
  <c r="CS342" i="1" s="1"/>
  <c r="CS354" i="1" a="1"/>
  <c r="CS354" i="1" s="1"/>
  <c r="CS355" i="1" a="1"/>
  <c r="CS355" i="1" s="1"/>
  <c r="CS356" i="1" a="1"/>
  <c r="CS356" i="1" s="1"/>
  <c r="CS357" i="1" a="1"/>
  <c r="CS357" i="1" s="1"/>
  <c r="CS358" i="1" a="1"/>
  <c r="CS358" i="1" s="1"/>
  <c r="CS359" i="1" a="1"/>
  <c r="CS359" i="1" s="1"/>
  <c r="CS360" i="1" a="1"/>
  <c r="CS360" i="1" s="1"/>
  <c r="CS361" i="1" a="1"/>
  <c r="CS361" i="1" s="1"/>
  <c r="CS362" i="1" a="1"/>
  <c r="CS362" i="1" s="1"/>
  <c r="CS363" i="1" a="1"/>
  <c r="CS363" i="1" s="1"/>
  <c r="CS364" i="1" a="1"/>
  <c r="CS364" i="1" s="1"/>
  <c r="CS365" i="1" a="1"/>
  <c r="CS365" i="1" s="1"/>
  <c r="CS366" i="1" a="1"/>
  <c r="CS366" i="1" s="1"/>
  <c r="CS367" i="1" a="1"/>
  <c r="CS367" i="1" s="1"/>
  <c r="CS368" i="1" a="1"/>
  <c r="CS368" i="1" s="1"/>
  <c r="CS369" i="1" a="1"/>
  <c r="CS369" i="1" s="1"/>
  <c r="CS370" i="1" a="1"/>
  <c r="CS370" i="1" s="1"/>
  <c r="CS371" i="1" a="1"/>
  <c r="CS371" i="1" s="1"/>
  <c r="CS372" i="1" a="1"/>
  <c r="CS372" i="1" s="1"/>
  <c r="CS373" i="1" a="1"/>
  <c r="CS373" i="1" s="1"/>
  <c r="CS374" i="1" a="1"/>
  <c r="CS374" i="1" s="1"/>
  <c r="CS375" i="1" a="1"/>
  <c r="CS375" i="1" s="1"/>
  <c r="CS376" i="1" a="1"/>
  <c r="CS376" i="1" s="1"/>
  <c r="CS377" i="1" a="1"/>
  <c r="CS377" i="1" s="1"/>
  <c r="CS378" i="1" a="1"/>
  <c r="CS378" i="1" s="1"/>
  <c r="CS379" i="1" a="1"/>
  <c r="CS379" i="1" s="1"/>
  <c r="CS380" i="1" a="1"/>
  <c r="CS380" i="1" s="1"/>
  <c r="CS381" i="1" a="1"/>
  <c r="CS381" i="1" s="1"/>
  <c r="CS382" i="1" a="1"/>
  <c r="CS382" i="1" s="1"/>
  <c r="CS383" i="1" a="1"/>
  <c r="CS383" i="1" s="1"/>
  <c r="CS384" i="1" a="1"/>
  <c r="CS384" i="1" s="1"/>
  <c r="CS385" i="1" a="1"/>
  <c r="CS385" i="1" s="1"/>
  <c r="CS386" i="1" a="1"/>
  <c r="CS386" i="1" s="1"/>
  <c r="CS387" i="1" a="1"/>
  <c r="CS387" i="1" s="1"/>
  <c r="CS388" i="1" a="1"/>
  <c r="CS388" i="1" s="1"/>
  <c r="CS389" i="1" a="1"/>
  <c r="CS389" i="1" s="1"/>
  <c r="CS390" i="1" a="1"/>
  <c r="CS390" i="1" s="1"/>
  <c r="CS391" i="1" a="1"/>
  <c r="CS391" i="1" s="1"/>
  <c r="CS392" i="1" a="1"/>
  <c r="CS392" i="1" s="1"/>
  <c r="CS393" i="1" a="1"/>
  <c r="CS393" i="1" s="1"/>
  <c r="CS394" i="1" a="1"/>
  <c r="CS394" i="1" s="1"/>
  <c r="CS395" i="1" a="1"/>
  <c r="CS395" i="1" s="1"/>
  <c r="CS396" i="1" a="1"/>
  <c r="CS396" i="1" s="1"/>
  <c r="CS397" i="1" a="1"/>
  <c r="CS397" i="1" s="1"/>
  <c r="CS398" i="1" a="1"/>
  <c r="CS398" i="1" s="1"/>
  <c r="CS399" i="1" a="1"/>
  <c r="CS399" i="1" s="1"/>
  <c r="CS400" i="1" a="1"/>
  <c r="CS400" i="1" s="1"/>
  <c r="CS401" i="1" a="1"/>
  <c r="CS401" i="1" s="1"/>
  <c r="CS402" i="1" a="1"/>
  <c r="CS402" i="1" s="1"/>
  <c r="CS403" i="1" a="1"/>
  <c r="CS403" i="1" s="1"/>
  <c r="CS404" i="1" a="1"/>
  <c r="CS404" i="1" s="1"/>
  <c r="CS405" i="1" a="1"/>
  <c r="CS405" i="1" s="1"/>
  <c r="CS406" i="1" a="1"/>
  <c r="CS406" i="1" s="1"/>
  <c r="CS407" i="1" a="1"/>
  <c r="CS407" i="1" s="1"/>
  <c r="CS408" i="1" a="1"/>
  <c r="CS408" i="1" s="1"/>
  <c r="CS409" i="1" a="1"/>
  <c r="CS409" i="1" s="1"/>
  <c r="CS410" i="1" a="1"/>
  <c r="CS410" i="1" s="1"/>
  <c r="CS411" i="1" a="1"/>
  <c r="CS411" i="1" s="1"/>
  <c r="CS412" i="1" a="1"/>
  <c r="CS412" i="1" s="1"/>
  <c r="CS413" i="1" a="1"/>
  <c r="CS413" i="1" s="1"/>
  <c r="CS414" i="1" a="1"/>
  <c r="CS414" i="1" s="1"/>
  <c r="CS415" i="1" a="1"/>
  <c r="CS415" i="1" s="1"/>
  <c r="CS416" i="1" a="1"/>
  <c r="CS416" i="1" s="1"/>
  <c r="CS417" i="1" a="1"/>
  <c r="CS417" i="1" s="1"/>
  <c r="CS418" i="1" a="1"/>
  <c r="CS418" i="1" s="1"/>
  <c r="CS421" i="1" a="1"/>
  <c r="CS421" i="1" s="1"/>
  <c r="CS425" i="1" a="1"/>
  <c r="CS425" i="1" s="1"/>
  <c r="CS426" i="1" a="1"/>
  <c r="CS426" i="1" s="1"/>
  <c r="CS431" i="1" a="1"/>
  <c r="CS431" i="1" s="1"/>
  <c r="CS435" i="1" a="1"/>
  <c r="CS435" i="1" s="1"/>
  <c r="CS436" i="1" a="1"/>
  <c r="CS436" i="1" s="1"/>
  <c r="DN112" i="1" a="1"/>
  <c r="DN112" i="1" s="1"/>
  <c r="DN99" i="1" a="1"/>
  <c r="DN99" i="1" s="1"/>
  <c r="DN79" i="1" a="1"/>
  <c r="DN79" i="1" s="1"/>
  <c r="DN97" i="1" a="1"/>
  <c r="DN97" i="1" s="1"/>
  <c r="DN137" i="1" a="1"/>
  <c r="DN137" i="1" s="1"/>
  <c r="DN139" i="1" a="1"/>
  <c r="DN139" i="1" s="1"/>
  <c r="DN141" i="1" a="1"/>
  <c r="DN141" i="1" s="1"/>
  <c r="DN143" i="1" a="1"/>
  <c r="DN143" i="1" s="1"/>
  <c r="DN146" i="1" a="1"/>
  <c r="DN146" i="1" s="1"/>
  <c r="DN148" i="1" a="1"/>
  <c r="DN148" i="1" s="1"/>
  <c r="DN151" i="1" a="1"/>
  <c r="DN151" i="1" s="1"/>
  <c r="DN153" i="1" a="1"/>
  <c r="DN153" i="1" s="1"/>
  <c r="DN155" i="1" a="1"/>
  <c r="DN155" i="1" s="1"/>
  <c r="DN157" i="1" a="1"/>
  <c r="DN157" i="1" s="1"/>
  <c r="DN119" i="1" a="1"/>
  <c r="DN119" i="1" s="1"/>
  <c r="DN138" i="1" a="1"/>
  <c r="DN138" i="1" s="1"/>
  <c r="DN140" i="1" a="1"/>
  <c r="DN140" i="1" s="1"/>
  <c r="DN142" i="1" a="1"/>
  <c r="DN142" i="1" s="1"/>
  <c r="DN144" i="1" a="1"/>
  <c r="DN144" i="1" s="1"/>
  <c r="DN158" i="1" a="1"/>
  <c r="DN158" i="1" s="1"/>
  <c r="DN167" i="1" a="1"/>
  <c r="DN167" i="1" s="1"/>
  <c r="DN169" i="1" a="1"/>
  <c r="DN169" i="1" s="1"/>
  <c r="DN175" i="1" a="1"/>
  <c r="DN175" i="1" s="1"/>
  <c r="DN180" i="1" a="1"/>
  <c r="DN180" i="1" s="1"/>
  <c r="DN182" i="1" a="1"/>
  <c r="DN182" i="1" s="1"/>
  <c r="DN156" i="1" a="1"/>
  <c r="DN156" i="1" s="1"/>
  <c r="DN160" i="1" a="1"/>
  <c r="DN160" i="1" s="1"/>
  <c r="DN162" i="1" a="1"/>
  <c r="DN162" i="1" s="1"/>
  <c r="DN164" i="1" a="1"/>
  <c r="DN164" i="1" s="1"/>
  <c r="DN166" i="1" a="1"/>
  <c r="DN166" i="1" s="1"/>
  <c r="DN172" i="1" a="1"/>
  <c r="DN172" i="1" s="1"/>
  <c r="DN177" i="1" a="1"/>
  <c r="DN177" i="1" s="1"/>
  <c r="DN179" i="1" a="1"/>
  <c r="DN179" i="1" s="1"/>
  <c r="DN184" i="1" a="1"/>
  <c r="DN184" i="1" s="1"/>
  <c r="DN159" i="1" a="1"/>
  <c r="DN159" i="1" s="1"/>
  <c r="DN168" i="1" a="1"/>
  <c r="DN168" i="1" s="1"/>
  <c r="DN171" i="1" a="1"/>
  <c r="DN171" i="1" s="1"/>
  <c r="DN174" i="1" a="1"/>
  <c r="DN174" i="1" s="1"/>
  <c r="DN181" i="1" a="1"/>
  <c r="DN181" i="1" s="1"/>
  <c r="DN183" i="1" a="1"/>
  <c r="DN183" i="1" s="1"/>
  <c r="DN150" i="1" a="1"/>
  <c r="DN150" i="1" s="1"/>
  <c r="DN154" i="1" a="1"/>
  <c r="DN154" i="1" s="1"/>
  <c r="DN187" i="1" a="1"/>
  <c r="DN187" i="1" s="1"/>
  <c r="DN196" i="1" a="1"/>
  <c r="DN196" i="1" s="1"/>
  <c r="DN198" i="1" a="1"/>
  <c r="DN198" i="1" s="1"/>
  <c r="DN247" i="1" a="1"/>
  <c r="DN247" i="1" s="1"/>
  <c r="DN170" i="1" a="1"/>
  <c r="DN170" i="1" s="1"/>
  <c r="DN176" i="1" a="1"/>
  <c r="DN176" i="1" s="1"/>
  <c r="DN178" i="1" a="1"/>
  <c r="DN178" i="1" s="1"/>
  <c r="DN188" i="1" a="1"/>
  <c r="DN188" i="1" s="1"/>
  <c r="DN190" i="1" a="1"/>
  <c r="DN190" i="1" s="1"/>
  <c r="DN193" i="1" a="1"/>
  <c r="DN193" i="1" s="1"/>
  <c r="DN200" i="1" a="1"/>
  <c r="DN200" i="1" s="1"/>
  <c r="DN202" i="1" a="1"/>
  <c r="DN202" i="1" s="1"/>
  <c r="DN204" i="1" a="1"/>
  <c r="DN204" i="1" s="1"/>
  <c r="DN206" i="1" a="1"/>
  <c r="DN206" i="1" s="1"/>
  <c r="DN208" i="1" a="1"/>
  <c r="DN208" i="1" s="1"/>
  <c r="DN210" i="1" a="1"/>
  <c r="DN210" i="1" s="1"/>
  <c r="DN212" i="1" a="1"/>
  <c r="DN212" i="1" s="1"/>
  <c r="DN214" i="1" a="1"/>
  <c r="DN214" i="1" s="1"/>
  <c r="DN216" i="1" a="1"/>
  <c r="DN216" i="1" s="1"/>
  <c r="DN218" i="1" a="1"/>
  <c r="DN218" i="1" s="1"/>
  <c r="DN220" i="1" a="1"/>
  <c r="DN220" i="1" s="1"/>
  <c r="DN222" i="1" a="1"/>
  <c r="DN222" i="1" s="1"/>
  <c r="DN224" i="1" a="1"/>
  <c r="DN224" i="1" s="1"/>
  <c r="DN226" i="1" a="1"/>
  <c r="DN226" i="1" s="1"/>
  <c r="DN228" i="1" a="1"/>
  <c r="DN228" i="1" s="1"/>
  <c r="DN230" i="1" a="1"/>
  <c r="DN230" i="1" s="1"/>
  <c r="DN232" i="1" a="1"/>
  <c r="DN232" i="1" s="1"/>
  <c r="DN234" i="1" a="1"/>
  <c r="DN234" i="1" s="1"/>
  <c r="DN236" i="1" a="1"/>
  <c r="DN236" i="1" s="1"/>
  <c r="DN238" i="1" a="1"/>
  <c r="DN238" i="1" s="1"/>
  <c r="DN240" i="1" a="1"/>
  <c r="DN240" i="1" s="1"/>
  <c r="DN242" i="1" a="1"/>
  <c r="DN242" i="1" s="1"/>
  <c r="DN152" i="1" a="1"/>
  <c r="DN152" i="1" s="1"/>
  <c r="DN161" i="1" a="1"/>
  <c r="DN161" i="1" s="1"/>
  <c r="DN163" i="1" a="1"/>
  <c r="DN163" i="1" s="1"/>
  <c r="DN165" i="1" a="1"/>
  <c r="DN165" i="1" s="1"/>
  <c r="DN173" i="1" a="1"/>
  <c r="DN173" i="1" s="1"/>
  <c r="DN185" i="1" a="1"/>
  <c r="DN185" i="1" s="1"/>
  <c r="DN195" i="1" a="1"/>
  <c r="DN195" i="1" s="1"/>
  <c r="DN197" i="1" a="1"/>
  <c r="DN197" i="1" s="1"/>
  <c r="DN199" i="1" a="1"/>
  <c r="DN199" i="1" s="1"/>
  <c r="DN251" i="1" a="1"/>
  <c r="DN251" i="1" s="1"/>
  <c r="DN253" i="1" a="1"/>
  <c r="DN253" i="1" s="1"/>
  <c r="DN277" i="1" a="1"/>
  <c r="DN277" i="1" s="1"/>
  <c r="DN281" i="1" a="1"/>
  <c r="DN281" i="1" s="1"/>
  <c r="DN282" i="1" a="1"/>
  <c r="DN282" i="1" s="1"/>
  <c r="DN285" i="1" a="1"/>
  <c r="DN285" i="1" s="1"/>
  <c r="DN286" i="1" a="1"/>
  <c r="DN286" i="1" s="1"/>
  <c r="DN288" i="1" a="1"/>
  <c r="DN288" i="1" s="1"/>
  <c r="DN290" i="1" a="1"/>
  <c r="DN290" i="1" s="1"/>
  <c r="DN292" i="1" a="1"/>
  <c r="DN292" i="1" s="1"/>
  <c r="DN294" i="1" a="1"/>
  <c r="DN294" i="1" s="1"/>
  <c r="DN189" i="1" a="1"/>
  <c r="DN189" i="1" s="1"/>
  <c r="DN191" i="1" a="1"/>
  <c r="DN191" i="1" s="1"/>
  <c r="DN201" i="1" a="1"/>
  <c r="DN201" i="1" s="1"/>
  <c r="DN203" i="1" a="1"/>
  <c r="DN203" i="1" s="1"/>
  <c r="DN205" i="1" a="1"/>
  <c r="DN205" i="1" s="1"/>
  <c r="DN207" i="1" a="1"/>
  <c r="DN207" i="1" s="1"/>
  <c r="DN209" i="1" a="1"/>
  <c r="DN209" i="1" s="1"/>
  <c r="DN211" i="1" a="1"/>
  <c r="DN211" i="1" s="1"/>
  <c r="DN213" i="1" a="1"/>
  <c r="DN213" i="1" s="1"/>
  <c r="DN215" i="1" a="1"/>
  <c r="DN215" i="1" s="1"/>
  <c r="DN217" i="1" a="1"/>
  <c r="DN217" i="1" s="1"/>
  <c r="DN219" i="1" a="1"/>
  <c r="DN219" i="1" s="1"/>
  <c r="DN221" i="1" a="1"/>
  <c r="DN221" i="1" s="1"/>
  <c r="DN223" i="1" a="1"/>
  <c r="DN223" i="1" s="1"/>
  <c r="DN225" i="1" a="1"/>
  <c r="DN225" i="1" s="1"/>
  <c r="DN227" i="1" a="1"/>
  <c r="DN227" i="1" s="1"/>
  <c r="DN229" i="1" a="1"/>
  <c r="DN229" i="1" s="1"/>
  <c r="DN231" i="1" a="1"/>
  <c r="DN231" i="1" s="1"/>
  <c r="DN233" i="1" a="1"/>
  <c r="DN233" i="1" s="1"/>
  <c r="DN235" i="1" a="1"/>
  <c r="DN235" i="1" s="1"/>
  <c r="DN237" i="1" a="1"/>
  <c r="DN237" i="1" s="1"/>
  <c r="DN239" i="1" a="1"/>
  <c r="DN239" i="1" s="1"/>
  <c r="DN241" i="1" a="1"/>
  <c r="DN241" i="1" s="1"/>
  <c r="DN244" i="1" a="1"/>
  <c r="DN244" i="1" s="1"/>
  <c r="DN246" i="1" a="1"/>
  <c r="DN246" i="1" s="1"/>
  <c r="DN248" i="1" a="1"/>
  <c r="DN248" i="1" s="1"/>
  <c r="DN255" i="1" a="1"/>
  <c r="DN255" i="1" s="1"/>
  <c r="DN258" i="1" a="1"/>
  <c r="DN258" i="1" s="1"/>
  <c r="DN260" i="1" a="1"/>
  <c r="DN260" i="1" s="1"/>
  <c r="DN263" i="1" a="1"/>
  <c r="DN263" i="1" s="1"/>
  <c r="DN265" i="1" a="1"/>
  <c r="DN265" i="1" s="1"/>
  <c r="DN266" i="1" a="1"/>
  <c r="DN266" i="1" s="1"/>
  <c r="DN268" i="1" a="1"/>
  <c r="DN268" i="1" s="1"/>
  <c r="DN271" i="1" a="1"/>
  <c r="DN271" i="1" s="1"/>
  <c r="DN274" i="1" a="1"/>
  <c r="DN274" i="1" s="1"/>
  <c r="DN276" i="1" a="1"/>
  <c r="DN276" i="1" s="1"/>
  <c r="DN284" i="1" a="1"/>
  <c r="DN284" i="1" s="1"/>
  <c r="DN186" i="1" a="1"/>
  <c r="DN186" i="1" s="1"/>
  <c r="DN192" i="1" a="1"/>
  <c r="DN192" i="1" s="1"/>
  <c r="DN194" i="1" a="1"/>
  <c r="DN194" i="1" s="1"/>
  <c r="DN243" i="1" a="1"/>
  <c r="DN243" i="1" s="1"/>
  <c r="DN250" i="1" a="1"/>
  <c r="DN250" i="1" s="1"/>
  <c r="DN252" i="1" a="1"/>
  <c r="DN252" i="1" s="1"/>
  <c r="DN257" i="1" a="1"/>
  <c r="DN257" i="1" s="1"/>
  <c r="DN273" i="1" a="1"/>
  <c r="DN273" i="1" s="1"/>
  <c r="DN279" i="1" a="1"/>
  <c r="DN279" i="1" s="1"/>
  <c r="DN280" i="1" a="1"/>
  <c r="DN280" i="1" s="1"/>
  <c r="DN287" i="1" a="1"/>
  <c r="DN287" i="1" s="1"/>
  <c r="DN289" i="1" a="1"/>
  <c r="DN289" i="1" s="1"/>
  <c r="DN291" i="1" a="1"/>
  <c r="DN291" i="1" s="1"/>
  <c r="DN293" i="1" a="1"/>
  <c r="DN293" i="1" s="1"/>
  <c r="DN295" i="1" a="1"/>
  <c r="DN295" i="1" s="1"/>
  <c r="DN297" i="1" a="1"/>
  <c r="DN297" i="1" s="1"/>
  <c r="DN259" i="1" a="1"/>
  <c r="DN259" i="1" s="1"/>
  <c r="DN261" i="1" a="1"/>
  <c r="DN261" i="1" s="1"/>
  <c r="DN270" i="1" a="1"/>
  <c r="DN270" i="1" s="1"/>
  <c r="DN272" i="1" a="1"/>
  <c r="DN272" i="1" s="1"/>
  <c r="DN317" i="1" a="1"/>
  <c r="DN317" i="1" s="1"/>
  <c r="DN319" i="1" a="1"/>
  <c r="DN319" i="1" s="1"/>
  <c r="DN321" i="1" a="1"/>
  <c r="DN321" i="1" s="1"/>
  <c r="DN323" i="1" a="1"/>
  <c r="DN323" i="1" s="1"/>
  <c r="DN325" i="1" a="1"/>
  <c r="DN325" i="1" s="1"/>
  <c r="DN337" i="1" a="1"/>
  <c r="DN337" i="1" s="1"/>
  <c r="DN262" i="1" a="1"/>
  <c r="DN262" i="1" s="1"/>
  <c r="DN264" i="1" a="1"/>
  <c r="DN264" i="1" s="1"/>
  <c r="DN275" i="1" a="1"/>
  <c r="DN275" i="1" s="1"/>
  <c r="DN283" i="1" a="1"/>
  <c r="DN283" i="1" s="1"/>
  <c r="DN296" i="1" a="1"/>
  <c r="DN296" i="1" s="1"/>
  <c r="DN299" i="1" a="1"/>
  <c r="DN299" i="1" s="1"/>
  <c r="DN301" i="1" a="1"/>
  <c r="DN301" i="1" s="1"/>
  <c r="DN303" i="1" a="1"/>
  <c r="DN303" i="1" s="1"/>
  <c r="DN305" i="1" a="1"/>
  <c r="DN305" i="1" s="1"/>
  <c r="DN307" i="1" a="1"/>
  <c r="DN307" i="1" s="1"/>
  <c r="DN309" i="1" a="1"/>
  <c r="DN309" i="1" s="1"/>
  <c r="DN327" i="1" a="1"/>
  <c r="DN327" i="1" s="1"/>
  <c r="DN328" i="1" a="1"/>
  <c r="DN328" i="1" s="1"/>
  <c r="DN329" i="1" a="1"/>
  <c r="DN329" i="1" s="1"/>
  <c r="DN333" i="1" a="1"/>
  <c r="DN333" i="1" s="1"/>
  <c r="DN334" i="1" a="1"/>
  <c r="DN334" i="1" s="1"/>
  <c r="DN335" i="1" a="1"/>
  <c r="DN335" i="1" s="1"/>
  <c r="DN341" i="1" a="1"/>
  <c r="DN341" i="1" s="1"/>
  <c r="DN342" i="1" a="1"/>
  <c r="DN342" i="1" s="1"/>
  <c r="DN343" i="1" a="1"/>
  <c r="DN343" i="1" s="1"/>
  <c r="DN350" i="1" a="1"/>
  <c r="DN350" i="1" s="1"/>
  <c r="DN351" i="1" a="1"/>
  <c r="DN351" i="1" s="1"/>
  <c r="DN352" i="1" a="1"/>
  <c r="DN352" i="1" s="1"/>
  <c r="DN245" i="1" a="1"/>
  <c r="DN245" i="1" s="1"/>
  <c r="DN267" i="1" a="1"/>
  <c r="DN267" i="1" s="1"/>
  <c r="DN278" i="1" a="1"/>
  <c r="DN278" i="1" s="1"/>
  <c r="DN311" i="1" a="1"/>
  <c r="DN311" i="1" s="1"/>
  <c r="DN312" i="1" a="1"/>
  <c r="DN312" i="1" s="1"/>
  <c r="DN313" i="1" a="1"/>
  <c r="DN313" i="1" s="1"/>
  <c r="DN314" i="1" a="1"/>
  <c r="DN314" i="1" s="1"/>
  <c r="DN315" i="1" a="1"/>
  <c r="DN315" i="1" s="1"/>
  <c r="DN316" i="1" a="1"/>
  <c r="DN316" i="1" s="1"/>
  <c r="DN318" i="1" a="1"/>
  <c r="DN318" i="1" s="1"/>
  <c r="DN320" i="1" a="1"/>
  <c r="DN320" i="1" s="1"/>
  <c r="DN322" i="1" a="1"/>
  <c r="DN322" i="1" s="1"/>
  <c r="DN324" i="1" a="1"/>
  <c r="DN324" i="1" s="1"/>
  <c r="DN326" i="1" a="1"/>
  <c r="DN326" i="1" s="1"/>
  <c r="DN330" i="1" a="1"/>
  <c r="DN330" i="1" s="1"/>
  <c r="DN331" i="1" a="1"/>
  <c r="DN331" i="1" s="1"/>
  <c r="DN336" i="1" a="1"/>
  <c r="DN336" i="1" s="1"/>
  <c r="DN338" i="1" a="1"/>
  <c r="DN338" i="1" s="1"/>
  <c r="DN339" i="1" a="1"/>
  <c r="DN339" i="1" s="1"/>
  <c r="DN344" i="1" a="1"/>
  <c r="DN344" i="1" s="1"/>
  <c r="DN346" i="1" a="1"/>
  <c r="DN346" i="1" s="1"/>
  <c r="DN348" i="1" a="1"/>
  <c r="DN348" i="1" s="1"/>
  <c r="DN347" i="1" a="1"/>
  <c r="DN347" i="1" s="1"/>
  <c r="DN419" i="1" a="1"/>
  <c r="DN419" i="1" s="1"/>
  <c r="DN421" i="1" a="1"/>
  <c r="DN421" i="1" s="1"/>
  <c r="DN423" i="1" a="1"/>
  <c r="DN423" i="1" s="1"/>
  <c r="DN428" i="1" a="1"/>
  <c r="DN428" i="1" s="1"/>
  <c r="DN256" i="1" a="1"/>
  <c r="DN256" i="1" s="1"/>
  <c r="DN298" i="1" a="1"/>
  <c r="DN298" i="1" s="1"/>
  <c r="DN300" i="1" a="1"/>
  <c r="DN300" i="1" s="1"/>
  <c r="DN302" i="1" a="1"/>
  <c r="DN302" i="1" s="1"/>
  <c r="DN304" i="1" a="1"/>
  <c r="DN304" i="1" s="1"/>
  <c r="DN306" i="1" a="1"/>
  <c r="DN306" i="1" s="1"/>
  <c r="DN308" i="1" a="1"/>
  <c r="DN308" i="1" s="1"/>
  <c r="DN310" i="1" a="1"/>
  <c r="DN310" i="1" s="1"/>
  <c r="DN332" i="1" a="1"/>
  <c r="DN332" i="1" s="1"/>
  <c r="DN340" i="1" a="1"/>
  <c r="DN340" i="1" s="1"/>
  <c r="DN349" i="1" a="1"/>
  <c r="DN349" i="1" s="1"/>
  <c r="DN422" i="1" a="1"/>
  <c r="DN422" i="1" s="1"/>
  <c r="DN426" i="1" a="1"/>
  <c r="DN426" i="1" s="1"/>
  <c r="DN431" i="1" a="1"/>
  <c r="DN431" i="1" s="1"/>
  <c r="DN432" i="1" a="1"/>
  <c r="DN432" i="1" s="1"/>
  <c r="DN436" i="1" a="1"/>
  <c r="DN436" i="1" s="1"/>
  <c r="DN437" i="1" a="1"/>
  <c r="DN437" i="1" s="1"/>
  <c r="DN420" i="1" a="1"/>
  <c r="DN420" i="1" s="1"/>
  <c r="DN424" i="1" a="1"/>
  <c r="DN424" i="1" s="1"/>
  <c r="DN427" i="1" a="1"/>
  <c r="DN427" i="1" s="1"/>
  <c r="DN429" i="1" a="1"/>
  <c r="DN429" i="1" s="1"/>
  <c r="DN430" i="1" a="1"/>
  <c r="DN430" i="1" s="1"/>
  <c r="DN433" i="1" a="1"/>
  <c r="DN433" i="1" s="1"/>
  <c r="CX117" i="1" a="1"/>
  <c r="CX117" i="1" s="1"/>
  <c r="CX99" i="1" a="1"/>
  <c r="CX99" i="1" s="1"/>
  <c r="CX110" i="1" a="1"/>
  <c r="CX110" i="1" s="1"/>
  <c r="CX137" i="1" a="1"/>
  <c r="CX137" i="1" s="1"/>
  <c r="CX139" i="1" a="1"/>
  <c r="CX139" i="1" s="1"/>
  <c r="CX141" i="1" a="1"/>
  <c r="CX141" i="1" s="1"/>
  <c r="CX146" i="1" a="1"/>
  <c r="CX146" i="1" s="1"/>
  <c r="CX151" i="1" a="1"/>
  <c r="CX151" i="1" s="1"/>
  <c r="CX153" i="1" a="1"/>
  <c r="CX153" i="1" s="1"/>
  <c r="CX155" i="1" a="1"/>
  <c r="CX155" i="1" s="1"/>
  <c r="CX157" i="1" a="1"/>
  <c r="CX157" i="1" s="1"/>
  <c r="CX138" i="1" a="1"/>
  <c r="CX138" i="1" s="1"/>
  <c r="CX140" i="1" a="1"/>
  <c r="CX140" i="1" s="1"/>
  <c r="CX142" i="1" a="1"/>
  <c r="CX142" i="1" s="1"/>
  <c r="CX144" i="1" a="1"/>
  <c r="CX144" i="1" s="1"/>
  <c r="CX152" i="1" a="1"/>
  <c r="CX152" i="1" s="1"/>
  <c r="CX154" i="1" a="1"/>
  <c r="CX154" i="1" s="1"/>
  <c r="CX156" i="1" a="1"/>
  <c r="CX156" i="1" s="1"/>
  <c r="CX158" i="1" a="1"/>
  <c r="CX158" i="1" s="1"/>
  <c r="CX169" i="1" a="1"/>
  <c r="CX169" i="1" s="1"/>
  <c r="CX175" i="1" a="1"/>
  <c r="CX175" i="1" s="1"/>
  <c r="CX180" i="1" a="1"/>
  <c r="CX180" i="1" s="1"/>
  <c r="CX182" i="1" a="1"/>
  <c r="CX182" i="1" s="1"/>
  <c r="CX159" i="1" a="1"/>
  <c r="CX159" i="1" s="1"/>
  <c r="CX162" i="1" a="1"/>
  <c r="CX162" i="1" s="1"/>
  <c r="CX164" i="1" a="1"/>
  <c r="CX164" i="1" s="1"/>
  <c r="CX166" i="1" a="1"/>
  <c r="CX166" i="1" s="1"/>
  <c r="CX172" i="1" a="1"/>
  <c r="CX172" i="1" s="1"/>
  <c r="CX177" i="1" a="1"/>
  <c r="CX177" i="1" s="1"/>
  <c r="CX179" i="1" a="1"/>
  <c r="CX179" i="1" s="1"/>
  <c r="CX184" i="1" a="1"/>
  <c r="CX184" i="1" s="1"/>
  <c r="CX149" i="1" a="1"/>
  <c r="CX149" i="1" s="1"/>
  <c r="CX160" i="1" a="1"/>
  <c r="CX160" i="1" s="1"/>
  <c r="CX168" i="1" a="1"/>
  <c r="CX168" i="1" s="1"/>
  <c r="CX170" i="1" a="1"/>
  <c r="CX170" i="1" s="1"/>
  <c r="CX171" i="1" a="1"/>
  <c r="CX171" i="1" s="1"/>
  <c r="CX174" i="1" a="1"/>
  <c r="CX174" i="1" s="1"/>
  <c r="CX176" i="1" a="1"/>
  <c r="CX176" i="1" s="1"/>
  <c r="CX181" i="1" a="1"/>
  <c r="CX181" i="1" s="1"/>
  <c r="CX183" i="1" a="1"/>
  <c r="CX183" i="1" s="1"/>
  <c r="CX188" i="1" a="1"/>
  <c r="CX188" i="1" s="1"/>
  <c r="CX185" i="1" a="1"/>
  <c r="CX185" i="1" s="1"/>
  <c r="CX196" i="1" a="1"/>
  <c r="CX196" i="1" s="1"/>
  <c r="CX198" i="1" a="1"/>
  <c r="CX198" i="1" s="1"/>
  <c r="CX247" i="1" a="1"/>
  <c r="CX247" i="1" s="1"/>
  <c r="CX190" i="1" a="1"/>
  <c r="CX190" i="1" s="1"/>
  <c r="CX193" i="1" a="1"/>
  <c r="CX193" i="1" s="1"/>
  <c r="CX200" i="1" a="1"/>
  <c r="CX200" i="1" s="1"/>
  <c r="CX202" i="1" a="1"/>
  <c r="CX202" i="1" s="1"/>
  <c r="CX204" i="1" a="1"/>
  <c r="CX204" i="1" s="1"/>
  <c r="CX206" i="1" a="1"/>
  <c r="CX206" i="1" s="1"/>
  <c r="CX208" i="1" a="1"/>
  <c r="CX208" i="1" s="1"/>
  <c r="CX210" i="1" a="1"/>
  <c r="CX210" i="1" s="1"/>
  <c r="CX212" i="1" a="1"/>
  <c r="CX212" i="1" s="1"/>
  <c r="CX214" i="1" a="1"/>
  <c r="CX214" i="1" s="1"/>
  <c r="CX216" i="1" a="1"/>
  <c r="CX216" i="1" s="1"/>
  <c r="CX218" i="1" a="1"/>
  <c r="CX218" i="1" s="1"/>
  <c r="CX220" i="1" a="1"/>
  <c r="CX220" i="1" s="1"/>
  <c r="CX222" i="1" a="1"/>
  <c r="CX222" i="1" s="1"/>
  <c r="CX224" i="1" a="1"/>
  <c r="CX224" i="1" s="1"/>
  <c r="CX226" i="1" a="1"/>
  <c r="CX226" i="1" s="1"/>
  <c r="CX228" i="1" a="1"/>
  <c r="CX228" i="1" s="1"/>
  <c r="CX230" i="1" a="1"/>
  <c r="CX230" i="1" s="1"/>
  <c r="CX232" i="1" a="1"/>
  <c r="CX232" i="1" s="1"/>
  <c r="CX234" i="1" a="1"/>
  <c r="CX234" i="1" s="1"/>
  <c r="CX236" i="1" a="1"/>
  <c r="CX236" i="1" s="1"/>
  <c r="CX238" i="1" a="1"/>
  <c r="CX238" i="1" s="1"/>
  <c r="CX240" i="1" a="1"/>
  <c r="CX240" i="1" s="1"/>
  <c r="CX242" i="1" a="1"/>
  <c r="CX242" i="1" s="1"/>
  <c r="CX178" i="1" a="1"/>
  <c r="CX178" i="1" s="1"/>
  <c r="CX186" i="1" a="1"/>
  <c r="CX186" i="1" s="1"/>
  <c r="CX192" i="1" a="1"/>
  <c r="CX192" i="1" s="1"/>
  <c r="CX195" i="1" a="1"/>
  <c r="CX195" i="1" s="1"/>
  <c r="CX197" i="1" a="1"/>
  <c r="CX197" i="1" s="1"/>
  <c r="CX199" i="1" a="1"/>
  <c r="CX199" i="1" s="1"/>
  <c r="CX173" i="1" a="1"/>
  <c r="CX173" i="1" s="1"/>
  <c r="CX243" i="1" a="1"/>
  <c r="CX243" i="1" s="1"/>
  <c r="CX246" i="1" a="1"/>
  <c r="CX246" i="1" s="1"/>
  <c r="CX248" i="1" a="1"/>
  <c r="CX248" i="1" s="1"/>
  <c r="CX251" i="1" a="1"/>
  <c r="CX251" i="1" s="1"/>
  <c r="CX253" i="1" a="1"/>
  <c r="CX253" i="1" s="1"/>
  <c r="CX266" i="1" a="1"/>
  <c r="CX266" i="1" s="1"/>
  <c r="CX281" i="1" a="1"/>
  <c r="CX281" i="1" s="1"/>
  <c r="CX286" i="1" a="1"/>
  <c r="CX286" i="1" s="1"/>
  <c r="CX288" i="1" a="1"/>
  <c r="CX288" i="1" s="1"/>
  <c r="CX290" i="1" a="1"/>
  <c r="CX290" i="1" s="1"/>
  <c r="CX292" i="1" a="1"/>
  <c r="CX292" i="1" s="1"/>
  <c r="CX294" i="1" a="1"/>
  <c r="CX294" i="1" s="1"/>
  <c r="CX244" i="1" a="1"/>
  <c r="CX244" i="1" s="1"/>
  <c r="CX255" i="1" a="1"/>
  <c r="CX255" i="1" s="1"/>
  <c r="CX257" i="1" a="1"/>
  <c r="CX257" i="1" s="1"/>
  <c r="CX258" i="1" a="1"/>
  <c r="CX258" i="1" s="1"/>
  <c r="CX260" i="1" a="1"/>
  <c r="CX260" i="1" s="1"/>
  <c r="CX263" i="1" a="1"/>
  <c r="CX263" i="1" s="1"/>
  <c r="CX265" i="1" a="1"/>
  <c r="CX265" i="1" s="1"/>
  <c r="CX268" i="1" a="1"/>
  <c r="CX268" i="1" s="1"/>
  <c r="CX271" i="1" a="1"/>
  <c r="CX271" i="1" s="1"/>
  <c r="CX273" i="1" a="1"/>
  <c r="CX273" i="1" s="1"/>
  <c r="CX274" i="1" a="1"/>
  <c r="CX274" i="1" s="1"/>
  <c r="CX276" i="1" a="1"/>
  <c r="CX276" i="1" s="1"/>
  <c r="CX279" i="1" a="1"/>
  <c r="CX279" i="1" s="1"/>
  <c r="CX284" i="1" a="1"/>
  <c r="CX284" i="1" s="1"/>
  <c r="CX161" i="1" a="1"/>
  <c r="CX161" i="1" s="1"/>
  <c r="CX163" i="1" a="1"/>
  <c r="CX163" i="1" s="1"/>
  <c r="CX165" i="1" a="1"/>
  <c r="CX165" i="1" s="1"/>
  <c r="CX167" i="1" a="1"/>
  <c r="CX167" i="1" s="1"/>
  <c r="CX189" i="1" a="1"/>
  <c r="CX189" i="1" s="1"/>
  <c r="CX191" i="1" a="1"/>
  <c r="CX191" i="1" s="1"/>
  <c r="CX201" i="1" a="1"/>
  <c r="CX201" i="1" s="1"/>
  <c r="CX203" i="1" a="1"/>
  <c r="CX203" i="1" s="1"/>
  <c r="CX205" i="1" a="1"/>
  <c r="CX205" i="1" s="1"/>
  <c r="CX207" i="1" a="1"/>
  <c r="CX207" i="1" s="1"/>
  <c r="CX209" i="1" a="1"/>
  <c r="CX209" i="1" s="1"/>
  <c r="CX211" i="1" a="1"/>
  <c r="CX211" i="1" s="1"/>
  <c r="CX213" i="1" a="1"/>
  <c r="CX213" i="1" s="1"/>
  <c r="CX215" i="1" a="1"/>
  <c r="CX215" i="1" s="1"/>
  <c r="CX217" i="1" a="1"/>
  <c r="CX217" i="1" s="1"/>
  <c r="CX219" i="1" a="1"/>
  <c r="CX219" i="1" s="1"/>
  <c r="CX221" i="1" a="1"/>
  <c r="CX221" i="1" s="1"/>
  <c r="CX223" i="1" a="1"/>
  <c r="CX223" i="1" s="1"/>
  <c r="CX225" i="1" a="1"/>
  <c r="CX225" i="1" s="1"/>
  <c r="CX227" i="1" a="1"/>
  <c r="CX227" i="1" s="1"/>
  <c r="CX229" i="1" a="1"/>
  <c r="CX229" i="1" s="1"/>
  <c r="CX231" i="1" a="1"/>
  <c r="CX231" i="1" s="1"/>
  <c r="CX233" i="1" a="1"/>
  <c r="CX233" i="1" s="1"/>
  <c r="CX235" i="1" a="1"/>
  <c r="CX235" i="1" s="1"/>
  <c r="CX237" i="1" a="1"/>
  <c r="CX237" i="1" s="1"/>
  <c r="CX239" i="1" a="1"/>
  <c r="CX239" i="1" s="1"/>
  <c r="CX241" i="1" a="1"/>
  <c r="CX241" i="1" s="1"/>
  <c r="CX245" i="1" a="1"/>
  <c r="CX245" i="1" s="1"/>
  <c r="CX250" i="1" a="1"/>
  <c r="CX250" i="1" s="1"/>
  <c r="CX252" i="1" a="1"/>
  <c r="CX252" i="1" s="1"/>
  <c r="CX262" i="1" a="1"/>
  <c r="CX262" i="1" s="1"/>
  <c r="CX270" i="1" a="1"/>
  <c r="CX270" i="1" s="1"/>
  <c r="CX280" i="1" a="1"/>
  <c r="CX280" i="1" s="1"/>
  <c r="CX287" i="1" a="1"/>
  <c r="CX287" i="1" s="1"/>
  <c r="CX289" i="1" a="1"/>
  <c r="CX289" i="1" s="1"/>
  <c r="CX291" i="1" a="1"/>
  <c r="CX291" i="1" s="1"/>
  <c r="CX293" i="1" a="1"/>
  <c r="CX293" i="1" s="1"/>
  <c r="CX295" i="1" a="1"/>
  <c r="CX295" i="1" s="1"/>
  <c r="CX297" i="1" a="1"/>
  <c r="CX297" i="1" s="1"/>
  <c r="CX249" i="1" a="1"/>
  <c r="CX249" i="1" s="1"/>
  <c r="CX254" i="1" a="1"/>
  <c r="CX254" i="1" s="1"/>
  <c r="CX256" i="1" a="1"/>
  <c r="CX256" i="1" s="1"/>
  <c r="CX269" i="1" a="1"/>
  <c r="CX269" i="1" s="1"/>
  <c r="CX296" i="1" a="1"/>
  <c r="CX296" i="1" s="1"/>
  <c r="CX317" i="1" a="1"/>
  <c r="CX317" i="1" s="1"/>
  <c r="CX319" i="1" a="1"/>
  <c r="CX319" i="1" s="1"/>
  <c r="CX321" i="1" a="1"/>
  <c r="CX321" i="1" s="1"/>
  <c r="CX323" i="1" a="1"/>
  <c r="CX323" i="1" s="1"/>
  <c r="CX325" i="1" a="1"/>
  <c r="CX325" i="1" s="1"/>
  <c r="CX327" i="1" a="1"/>
  <c r="CX327" i="1" s="1"/>
  <c r="CX187" i="1" a="1"/>
  <c r="CX187" i="1" s="1"/>
  <c r="CX259" i="1" a="1"/>
  <c r="CX259" i="1" s="1"/>
  <c r="CX261" i="1" a="1"/>
  <c r="CX261" i="1" s="1"/>
  <c r="CX272" i="1" a="1"/>
  <c r="CX272" i="1" s="1"/>
  <c r="CX282" i="1" a="1"/>
  <c r="CX282" i="1" s="1"/>
  <c r="CX299" i="1" a="1"/>
  <c r="CX299" i="1" s="1"/>
  <c r="CX301" i="1" a="1"/>
  <c r="CX301" i="1" s="1"/>
  <c r="CX303" i="1" a="1"/>
  <c r="CX303" i="1" s="1"/>
  <c r="CX305" i="1" a="1"/>
  <c r="CX305" i="1" s="1"/>
  <c r="CX307" i="1" a="1"/>
  <c r="CX307" i="1" s="1"/>
  <c r="CX309" i="1" a="1"/>
  <c r="CX309" i="1" s="1"/>
  <c r="CX311" i="1" a="1"/>
  <c r="CX311" i="1" s="1"/>
  <c r="CX328" i="1" a="1"/>
  <c r="CX328" i="1" s="1"/>
  <c r="CX329" i="1" a="1"/>
  <c r="CX329" i="1" s="1"/>
  <c r="CX333" i="1" a="1"/>
  <c r="CX333" i="1" s="1"/>
  <c r="CX334" i="1" a="1"/>
  <c r="CX334" i="1" s="1"/>
  <c r="CX335" i="1" a="1"/>
  <c r="CX335" i="1" s="1"/>
  <c r="CX341" i="1" a="1"/>
  <c r="CX341" i="1" s="1"/>
  <c r="CX342" i="1" a="1"/>
  <c r="CX342" i="1" s="1"/>
  <c r="CX343" i="1" a="1"/>
  <c r="CX343" i="1" s="1"/>
  <c r="CX351" i="1" a="1"/>
  <c r="CX351" i="1" s="1"/>
  <c r="CX352" i="1" a="1"/>
  <c r="CX352" i="1" s="1"/>
  <c r="CX264" i="1" a="1"/>
  <c r="CX264" i="1" s="1"/>
  <c r="CX275" i="1" a="1"/>
  <c r="CX275" i="1" s="1"/>
  <c r="CX277" i="1" a="1"/>
  <c r="CX277" i="1" s="1"/>
  <c r="CX283" i="1" a="1"/>
  <c r="CX283" i="1" s="1"/>
  <c r="CX285" i="1" a="1"/>
  <c r="CX285" i="1" s="1"/>
  <c r="CX298" i="1" a="1"/>
  <c r="CX298" i="1" s="1"/>
  <c r="CX312" i="1" a="1"/>
  <c r="CX312" i="1" s="1"/>
  <c r="CX313" i="1" a="1"/>
  <c r="CX313" i="1" s="1"/>
  <c r="CX314" i="1" a="1"/>
  <c r="CX314" i="1" s="1"/>
  <c r="CX315" i="1" a="1"/>
  <c r="CX315" i="1" s="1"/>
  <c r="CX316" i="1" a="1"/>
  <c r="CX316" i="1" s="1"/>
  <c r="CX318" i="1" a="1"/>
  <c r="CX318" i="1" s="1"/>
  <c r="CX320" i="1" a="1"/>
  <c r="CX320" i="1" s="1"/>
  <c r="CX322" i="1" a="1"/>
  <c r="CX322" i="1" s="1"/>
  <c r="CX324" i="1" a="1"/>
  <c r="CX324" i="1" s="1"/>
  <c r="CX326" i="1" a="1"/>
  <c r="CX326" i="1" s="1"/>
  <c r="CX330" i="1" a="1"/>
  <c r="CX330" i="1" s="1"/>
  <c r="CX331" i="1" a="1"/>
  <c r="CX331" i="1" s="1"/>
  <c r="CX332" i="1" a="1"/>
  <c r="CX332" i="1" s="1"/>
  <c r="CX336" i="1" a="1"/>
  <c r="CX336" i="1" s="1"/>
  <c r="CX337" i="1" a="1"/>
  <c r="CX337" i="1" s="1"/>
  <c r="CX339" i="1" a="1"/>
  <c r="CX339" i="1" s="1"/>
  <c r="CX340" i="1" a="1"/>
  <c r="CX340" i="1" s="1"/>
  <c r="CX344" i="1" a="1"/>
  <c r="CX344" i="1" s="1"/>
  <c r="CX345" i="1" a="1"/>
  <c r="CX345" i="1" s="1"/>
  <c r="CX346" i="1" a="1"/>
  <c r="CX346" i="1" s="1"/>
  <c r="CX348" i="1" a="1"/>
  <c r="CX348" i="1" s="1"/>
  <c r="CX350" i="1" a="1"/>
  <c r="CX350" i="1" s="1"/>
  <c r="CX194" i="1" a="1"/>
  <c r="CX194" i="1" s="1"/>
  <c r="CX419" i="1" a="1"/>
  <c r="CX419" i="1" s="1"/>
  <c r="CX420" i="1" a="1"/>
  <c r="CX420" i="1" s="1"/>
  <c r="CX422" i="1" a="1"/>
  <c r="CX422" i="1" s="1"/>
  <c r="CX424" i="1" a="1"/>
  <c r="CX424" i="1" s="1"/>
  <c r="CX267" i="1" a="1"/>
  <c r="CX267" i="1" s="1"/>
  <c r="CX429" i="1" a="1"/>
  <c r="CX429" i="1" s="1"/>
  <c r="CX432" i="1" a="1"/>
  <c r="CX432" i="1" s="1"/>
  <c r="CX433" i="1" a="1"/>
  <c r="CX433" i="1" s="1"/>
  <c r="CX437" i="1" a="1"/>
  <c r="CX437" i="1" s="1"/>
  <c r="CX438" i="1" a="1"/>
  <c r="CX438" i="1" s="1"/>
  <c r="CX278" i="1" a="1"/>
  <c r="CX278" i="1" s="1"/>
  <c r="CX300" i="1" a="1"/>
  <c r="CX300" i="1" s="1"/>
  <c r="CX302" i="1" a="1"/>
  <c r="CX302" i="1" s="1"/>
  <c r="CX304" i="1" a="1"/>
  <c r="CX304" i="1" s="1"/>
  <c r="CX306" i="1" a="1"/>
  <c r="CX306" i="1" s="1"/>
  <c r="CX308" i="1" a="1"/>
  <c r="CX308" i="1" s="1"/>
  <c r="CX310" i="1" a="1"/>
  <c r="CX310" i="1" s="1"/>
  <c r="CX338" i="1" a="1"/>
  <c r="CX338" i="1" s="1"/>
  <c r="CX347" i="1" a="1"/>
  <c r="CX347" i="1" s="1"/>
  <c r="CX423" i="1" a="1"/>
  <c r="CX423" i="1" s="1"/>
  <c r="CX427" i="1" a="1"/>
  <c r="CX427" i="1" s="1"/>
  <c r="CX428" i="1" a="1"/>
  <c r="CX428" i="1" s="1"/>
  <c r="CX430" i="1" a="1"/>
  <c r="CX430" i="1" s="1"/>
  <c r="CX434" i="1" a="1"/>
  <c r="CX434" i="1" s="1"/>
  <c r="DN22" i="1" a="1"/>
  <c r="DN22" i="1" s="1"/>
  <c r="DJ22" i="1" a="1"/>
  <c r="DJ22" i="1" s="1"/>
  <c r="DF22" i="1" a="1"/>
  <c r="DF22" i="1" s="1"/>
  <c r="DB22" i="1" a="1"/>
  <c r="DB22" i="1" s="1"/>
  <c r="CX22" i="1" a="1"/>
  <c r="CX22" i="1" s="1"/>
  <c r="CT22" i="1" a="1"/>
  <c r="CT22" i="1" s="1"/>
  <c r="DO507" i="1" a="1"/>
  <c r="DO507" i="1" s="1"/>
  <c r="DH507" i="1" a="1"/>
  <c r="DH507" i="1" s="1"/>
  <c r="DD507" i="1" a="1"/>
  <c r="DD507" i="1" s="1"/>
  <c r="CZ507" i="1" a="1"/>
  <c r="CZ507" i="1" s="1"/>
  <c r="CV507" i="1" a="1"/>
  <c r="CV507" i="1" s="1"/>
  <c r="CR507" i="1" a="1"/>
  <c r="CR507" i="1" s="1"/>
  <c r="DL506" i="1" a="1"/>
  <c r="DL506" i="1" s="1"/>
  <c r="DH506" i="1" a="1"/>
  <c r="DH506" i="1" s="1"/>
  <c r="DD506" i="1" a="1"/>
  <c r="DD506" i="1" s="1"/>
  <c r="CZ506" i="1" a="1"/>
  <c r="CZ506" i="1" s="1"/>
  <c r="CW506" i="1" a="1"/>
  <c r="CW506" i="1" s="1"/>
  <c r="CS506" i="1" a="1"/>
  <c r="CS506" i="1" s="1"/>
  <c r="DM505" i="1" a="1"/>
  <c r="DM505" i="1" s="1"/>
  <c r="DI505" i="1" a="1"/>
  <c r="DI505" i="1" s="1"/>
  <c r="DE505" i="1" a="1"/>
  <c r="DE505" i="1" s="1"/>
  <c r="DB505" i="1" a="1"/>
  <c r="DB505" i="1" s="1"/>
  <c r="CX505" i="1" a="1"/>
  <c r="CX505" i="1" s="1"/>
  <c r="CT505" i="1" a="1"/>
  <c r="CT505" i="1" s="1"/>
  <c r="DN504" i="1" a="1"/>
  <c r="DN504" i="1" s="1"/>
  <c r="DJ504" i="1" a="1"/>
  <c r="DJ504" i="1" s="1"/>
  <c r="DF504" i="1" a="1"/>
  <c r="DF504" i="1" s="1"/>
  <c r="DB504" i="1" a="1"/>
  <c r="DB504" i="1" s="1"/>
  <c r="CX504" i="1" a="1"/>
  <c r="CX504" i="1" s="1"/>
  <c r="CT504" i="1" a="1"/>
  <c r="CT504" i="1" s="1"/>
  <c r="DN503" i="1" a="1"/>
  <c r="DN503" i="1" s="1"/>
  <c r="DJ503" i="1" a="1"/>
  <c r="DJ503" i="1" s="1"/>
  <c r="DF503" i="1" a="1"/>
  <c r="DF503" i="1" s="1"/>
  <c r="DB503" i="1" a="1"/>
  <c r="DB503" i="1" s="1"/>
  <c r="CX503" i="1" a="1"/>
  <c r="CX503" i="1" s="1"/>
  <c r="CT503" i="1" a="1"/>
  <c r="CT503" i="1" s="1"/>
  <c r="DN502" i="1" a="1"/>
  <c r="DN502" i="1" s="1"/>
  <c r="DJ502" i="1" a="1"/>
  <c r="DJ502" i="1" s="1"/>
  <c r="DF502" i="1" a="1"/>
  <c r="DF502" i="1" s="1"/>
  <c r="DB502" i="1" a="1"/>
  <c r="DB502" i="1" s="1"/>
  <c r="CX502" i="1" a="1"/>
  <c r="CX502" i="1" s="1"/>
  <c r="CT502" i="1" a="1"/>
  <c r="CT502" i="1" s="1"/>
  <c r="DN501" i="1" a="1"/>
  <c r="DN501" i="1" s="1"/>
  <c r="DK501" i="1" a="1"/>
  <c r="DK501" i="1" s="1"/>
  <c r="DG501" i="1" a="1"/>
  <c r="DG501" i="1" s="1"/>
  <c r="DC501" i="1" a="1"/>
  <c r="DC501" i="1" s="1"/>
  <c r="CY501" i="1" a="1"/>
  <c r="CY501" i="1" s="1"/>
  <c r="CU501" i="1" a="1"/>
  <c r="CU501" i="1" s="1"/>
  <c r="CQ501" i="1" a="1"/>
  <c r="CQ501" i="1" s="1"/>
  <c r="DL500" i="1" a="1"/>
  <c r="DL500" i="1" s="1"/>
  <c r="DH500" i="1" a="1"/>
  <c r="DH500" i="1" s="1"/>
  <c r="DE500" i="1" a="1"/>
  <c r="DE500" i="1" s="1"/>
  <c r="DA500" i="1" a="1"/>
  <c r="DA500" i="1" s="1"/>
  <c r="CW500" i="1" a="1"/>
  <c r="CW500" i="1" s="1"/>
  <c r="CS500" i="1" a="1"/>
  <c r="CS500" i="1" s="1"/>
  <c r="DM499" i="1" a="1"/>
  <c r="DM499" i="1" s="1"/>
  <c r="DI499" i="1" a="1"/>
  <c r="DI499" i="1" s="1"/>
  <c r="DE499" i="1" a="1"/>
  <c r="DE499" i="1" s="1"/>
  <c r="DA499" i="1" a="1"/>
  <c r="DA499" i="1" s="1"/>
  <c r="CW499" i="1" a="1"/>
  <c r="CW499" i="1" s="1"/>
  <c r="CS499" i="1" a="1"/>
  <c r="CS499" i="1" s="1"/>
  <c r="DN498" i="1" a="1"/>
  <c r="DN498" i="1" s="1"/>
  <c r="DJ498" i="1" a="1"/>
  <c r="DJ498" i="1" s="1"/>
  <c r="DF498" i="1" a="1"/>
  <c r="DF498" i="1" s="1"/>
  <c r="DB498" i="1" a="1"/>
  <c r="DB498" i="1" s="1"/>
  <c r="CY498" i="1" a="1"/>
  <c r="CY498" i="1" s="1"/>
  <c r="CU498" i="1" a="1"/>
  <c r="CU498" i="1" s="1"/>
  <c r="CQ498" i="1" a="1"/>
  <c r="CQ498" i="1" s="1"/>
  <c r="DO497" i="1" a="1"/>
  <c r="DO497" i="1" s="1"/>
  <c r="DK497" i="1" a="1"/>
  <c r="DK497" i="1" s="1"/>
  <c r="DG497" i="1" a="1"/>
  <c r="DG497" i="1" s="1"/>
  <c r="CZ497" i="1" a="1"/>
  <c r="CZ497" i="1" s="1"/>
  <c r="CV497" i="1" a="1"/>
  <c r="CV497" i="1" s="1"/>
  <c r="CR497" i="1" a="1"/>
  <c r="CR497" i="1" s="1"/>
  <c r="DL496" i="1" a="1"/>
  <c r="DL496" i="1" s="1"/>
  <c r="DH496" i="1" a="1"/>
  <c r="DH496" i="1" s="1"/>
  <c r="DD496" i="1" a="1"/>
  <c r="DD496" i="1" s="1"/>
  <c r="CZ496" i="1" a="1"/>
  <c r="CZ496" i="1" s="1"/>
  <c r="CV496" i="1" a="1"/>
  <c r="CV496" i="1" s="1"/>
  <c r="CR496" i="1" a="1"/>
  <c r="CR496" i="1" s="1"/>
  <c r="DL495" i="1" a="1"/>
  <c r="DL495" i="1" s="1"/>
  <c r="DI495" i="1" a="1"/>
  <c r="DI495" i="1" s="1"/>
  <c r="DE495" i="1" a="1"/>
  <c r="DE495" i="1" s="1"/>
  <c r="CX495" i="1" a="1"/>
  <c r="CX495" i="1" s="1"/>
  <c r="CT495" i="1" a="1"/>
  <c r="CT495" i="1" s="1"/>
  <c r="DN494" i="1" a="1"/>
  <c r="DN494" i="1" s="1"/>
  <c r="DJ494" i="1" a="1"/>
  <c r="DJ494" i="1" s="1"/>
  <c r="DF494" i="1" a="1"/>
  <c r="DF494" i="1" s="1"/>
  <c r="DB494" i="1" a="1"/>
  <c r="DB494" i="1" s="1"/>
  <c r="CX494" i="1" a="1"/>
  <c r="CX494" i="1" s="1"/>
  <c r="CT494" i="1" a="1"/>
  <c r="CT494" i="1" s="1"/>
  <c r="DN493" i="1" a="1"/>
  <c r="DN493" i="1" s="1"/>
  <c r="DK493" i="1" a="1"/>
  <c r="DK493" i="1" s="1"/>
  <c r="DG493" i="1" a="1"/>
  <c r="DG493" i="1" s="1"/>
  <c r="DC493" i="1" a="1"/>
  <c r="DC493" i="1" s="1"/>
  <c r="CY493" i="1" a="1"/>
  <c r="CY493" i="1" s="1"/>
  <c r="CU493" i="1" a="1"/>
  <c r="CU493" i="1" s="1"/>
  <c r="CQ493" i="1" a="1"/>
  <c r="CQ493" i="1" s="1"/>
  <c r="DO492" i="1" a="1"/>
  <c r="DO492" i="1" s="1"/>
  <c r="DK492" i="1" a="1"/>
  <c r="DK492" i="1" s="1"/>
  <c r="DG492" i="1" a="1"/>
  <c r="DG492" i="1" s="1"/>
  <c r="DC492" i="1" a="1"/>
  <c r="DC492" i="1" s="1"/>
  <c r="CY492" i="1" a="1"/>
  <c r="CY492" i="1" s="1"/>
  <c r="CU492" i="1" a="1"/>
  <c r="CU492" i="1" s="1"/>
  <c r="CQ492" i="1" a="1"/>
  <c r="CQ492" i="1" s="1"/>
  <c r="DO491" i="1" a="1"/>
  <c r="DO491" i="1" s="1"/>
  <c r="DK491" i="1" a="1"/>
  <c r="DK491" i="1" s="1"/>
  <c r="DG491" i="1" a="1"/>
  <c r="DG491" i="1" s="1"/>
  <c r="CZ491" i="1" a="1"/>
  <c r="CZ491" i="1" s="1"/>
  <c r="CV491" i="1" a="1"/>
  <c r="CV491" i="1" s="1"/>
  <c r="CR491" i="1" a="1"/>
  <c r="CR491" i="1" s="1"/>
  <c r="DM490" i="1" a="1"/>
  <c r="DM490" i="1" s="1"/>
  <c r="DI490" i="1" a="1"/>
  <c r="DI490" i="1" s="1"/>
  <c r="DE490" i="1" a="1"/>
  <c r="DE490" i="1" s="1"/>
  <c r="DA490" i="1" a="1"/>
  <c r="DA490" i="1" s="1"/>
  <c r="CW490" i="1" a="1"/>
  <c r="CW490" i="1" s="1"/>
  <c r="CS490" i="1" a="1"/>
  <c r="CS490" i="1" s="1"/>
  <c r="DM489" i="1" a="1"/>
  <c r="DM489" i="1" s="1"/>
  <c r="DF489" i="1" a="1"/>
  <c r="DF489" i="1" s="1"/>
  <c r="DC489" i="1" a="1"/>
  <c r="DC489" i="1" s="1"/>
  <c r="CY489" i="1" a="1"/>
  <c r="CY489" i="1" s="1"/>
  <c r="CU489" i="1" a="1"/>
  <c r="CU489" i="1" s="1"/>
  <c r="CQ489" i="1" a="1"/>
  <c r="CQ489" i="1" s="1"/>
  <c r="DO488" i="1" a="1"/>
  <c r="DO488" i="1" s="1"/>
  <c r="DK488" i="1" a="1"/>
  <c r="DK488" i="1" s="1"/>
  <c r="DD488" i="1" a="1"/>
  <c r="DD488" i="1" s="1"/>
  <c r="CZ488" i="1" a="1"/>
  <c r="CZ488" i="1" s="1"/>
  <c r="CV488" i="1" a="1"/>
  <c r="CV488" i="1" s="1"/>
  <c r="CR488" i="1" a="1"/>
  <c r="CR488" i="1" s="1"/>
  <c r="DL487" i="1" a="1"/>
  <c r="DL487" i="1" s="1"/>
  <c r="DI487" i="1" a="1"/>
  <c r="DI487" i="1" s="1"/>
  <c r="DE487" i="1" a="1"/>
  <c r="DE487" i="1" s="1"/>
  <c r="DA487" i="1" a="1"/>
  <c r="DA487" i="1" s="1"/>
  <c r="CW487" i="1" a="1"/>
  <c r="CW487" i="1" s="1"/>
  <c r="CT487" i="1" a="1"/>
  <c r="CT487" i="1" s="1"/>
  <c r="DN486" i="1" a="1"/>
  <c r="DN486" i="1" s="1"/>
  <c r="DJ486" i="1" a="1"/>
  <c r="DJ486" i="1" s="1"/>
  <c r="DG486" i="1" a="1"/>
  <c r="DG486" i="1" s="1"/>
  <c r="DC486" i="1" a="1"/>
  <c r="DC486" i="1" s="1"/>
  <c r="CV486" i="1" a="1"/>
  <c r="CV486" i="1" s="1"/>
  <c r="CR486" i="1" a="1"/>
  <c r="CR486" i="1" s="1"/>
  <c r="DL485" i="1" a="1"/>
  <c r="DL485" i="1" s="1"/>
  <c r="DH485" i="1" a="1"/>
  <c r="DH485" i="1" s="1"/>
  <c r="DD485" i="1" a="1"/>
  <c r="DD485" i="1" s="1"/>
  <c r="CZ485" i="1" a="1"/>
  <c r="CZ485" i="1" s="1"/>
  <c r="CV485" i="1" a="1"/>
  <c r="CV485" i="1" s="1"/>
  <c r="CS485" i="1" a="1"/>
  <c r="CS485" i="1" s="1"/>
  <c r="DN484" i="1" a="1"/>
  <c r="DN484" i="1" s="1"/>
  <c r="DJ484" i="1" a="1"/>
  <c r="DJ484" i="1" s="1"/>
  <c r="DF484" i="1" a="1"/>
  <c r="DF484" i="1" s="1"/>
  <c r="DB484" i="1" a="1"/>
  <c r="DB484" i="1" s="1"/>
  <c r="CX484" i="1" a="1"/>
  <c r="CX484" i="1" s="1"/>
  <c r="CT484" i="1" a="1"/>
  <c r="CT484" i="1" s="1"/>
  <c r="CQ484" i="1" a="1"/>
  <c r="CQ484" i="1" s="1"/>
  <c r="DO483" i="1" a="1"/>
  <c r="DO483" i="1" s="1"/>
  <c r="DH483" i="1" a="1"/>
  <c r="DH483" i="1" s="1"/>
  <c r="DD483" i="1" a="1"/>
  <c r="DD483" i="1" s="1"/>
  <c r="CZ483" i="1" a="1"/>
  <c r="CZ483" i="1" s="1"/>
  <c r="CV483" i="1" a="1"/>
  <c r="CV483" i="1" s="1"/>
  <c r="CR483" i="1" a="1"/>
  <c r="CR483" i="1" s="1"/>
  <c r="DM482" i="1" a="1"/>
  <c r="DM482" i="1" s="1"/>
  <c r="DI482" i="1" a="1"/>
  <c r="DI482" i="1" s="1"/>
  <c r="DE482" i="1" a="1"/>
  <c r="DE482" i="1" s="1"/>
  <c r="DA482" i="1" a="1"/>
  <c r="DA482" i="1" s="1"/>
  <c r="CT482" i="1" a="1"/>
  <c r="CT482" i="1" s="1"/>
  <c r="DN481" i="1" a="1"/>
  <c r="DN481" i="1" s="1"/>
  <c r="DK481" i="1" a="1"/>
  <c r="DK481" i="1" s="1"/>
  <c r="DG481" i="1" a="1"/>
  <c r="DG481" i="1" s="1"/>
  <c r="DC481" i="1" a="1"/>
  <c r="DC481" i="1" s="1"/>
  <c r="CY481" i="1" a="1"/>
  <c r="CY481" i="1" s="1"/>
  <c r="CR481" i="1" a="1"/>
  <c r="CR481" i="1" s="1"/>
  <c r="DL480" i="1" a="1"/>
  <c r="DL480" i="1" s="1"/>
  <c r="DH480" i="1" a="1"/>
  <c r="DH480" i="1" s="1"/>
  <c r="DD480" i="1" a="1"/>
  <c r="DD480" i="1" s="1"/>
  <c r="CZ480" i="1" a="1"/>
  <c r="CZ480" i="1" s="1"/>
  <c r="CV480" i="1" a="1"/>
  <c r="CV480" i="1" s="1"/>
  <c r="CR480" i="1" a="1"/>
  <c r="CR480" i="1" s="1"/>
  <c r="DL479" i="1" a="1"/>
  <c r="DL479" i="1" s="1"/>
  <c r="DI479" i="1" a="1"/>
  <c r="DI479" i="1" s="1"/>
  <c r="DE479" i="1" a="1"/>
  <c r="DE479" i="1" s="1"/>
  <c r="DA479" i="1" a="1"/>
  <c r="DA479" i="1" s="1"/>
  <c r="CW479" i="1" a="1"/>
  <c r="CW479" i="1" s="1"/>
  <c r="CT479" i="1" a="1"/>
  <c r="CT479" i="1" s="1"/>
  <c r="DN478" i="1" a="1"/>
  <c r="DN478" i="1" s="1"/>
  <c r="DJ478" i="1" a="1"/>
  <c r="DJ478" i="1" s="1"/>
  <c r="DF478" i="1" a="1"/>
  <c r="DF478" i="1" s="1"/>
  <c r="DB478" i="1" a="1"/>
  <c r="DB478" i="1" s="1"/>
  <c r="CX478" i="1" a="1"/>
  <c r="CX478" i="1" s="1"/>
  <c r="CU478" i="1" a="1"/>
  <c r="CU478" i="1" s="1"/>
  <c r="CQ478" i="1" a="1"/>
  <c r="CQ478" i="1" s="1"/>
  <c r="DO477" i="1" a="1"/>
  <c r="DO477" i="1" s="1"/>
  <c r="DK477" i="1" a="1"/>
  <c r="DK477" i="1" s="1"/>
  <c r="DG477" i="1" a="1"/>
  <c r="DG477" i="1" s="1"/>
  <c r="DC477" i="1" a="1"/>
  <c r="DC477" i="1" s="1"/>
  <c r="CY477" i="1" a="1"/>
  <c r="CY477" i="1" s="1"/>
  <c r="CU477" i="1" a="1"/>
  <c r="CU477" i="1" s="1"/>
  <c r="CQ477" i="1" a="1"/>
  <c r="CQ477" i="1" s="1"/>
  <c r="DO476" i="1" a="1"/>
  <c r="DO476" i="1" s="1"/>
  <c r="DH476" i="1" a="1"/>
  <c r="DH476" i="1" s="1"/>
  <c r="DD476" i="1" a="1"/>
  <c r="DD476" i="1" s="1"/>
  <c r="CZ476" i="1" a="1"/>
  <c r="CZ476" i="1" s="1"/>
  <c r="CV476" i="1" a="1"/>
  <c r="CV476" i="1" s="1"/>
  <c r="CR476" i="1" a="1"/>
  <c r="CR476" i="1" s="1"/>
  <c r="DM475" i="1" a="1"/>
  <c r="DM475" i="1" s="1"/>
  <c r="DI475" i="1" a="1"/>
  <c r="DI475" i="1" s="1"/>
  <c r="DF475" i="1" a="1"/>
  <c r="DF475" i="1" s="1"/>
  <c r="DB475" i="1" a="1"/>
  <c r="DB475" i="1" s="1"/>
  <c r="CX475" i="1" a="1"/>
  <c r="CX475" i="1" s="1"/>
  <c r="CT475" i="1" a="1"/>
  <c r="CT475" i="1" s="1"/>
  <c r="DN474" i="1" a="1"/>
  <c r="DN474" i="1" s="1"/>
  <c r="DJ474" i="1" a="1"/>
  <c r="DJ474" i="1" s="1"/>
  <c r="DF474" i="1" a="1"/>
  <c r="DF474" i="1" s="1"/>
  <c r="DB474" i="1" a="1"/>
  <c r="DB474" i="1" s="1"/>
  <c r="CX474" i="1" a="1"/>
  <c r="CX474" i="1" s="1"/>
  <c r="CT474" i="1" a="1"/>
  <c r="CT474" i="1" s="1"/>
  <c r="DO473" i="1" a="1"/>
  <c r="DO473" i="1" s="1"/>
  <c r="DK473" i="1" a="1"/>
  <c r="DK473" i="1" s="1"/>
  <c r="DD473" i="1" a="1"/>
  <c r="DD473" i="1" s="1"/>
  <c r="CZ473" i="1" a="1"/>
  <c r="CZ473" i="1" s="1"/>
  <c r="CV473" i="1" a="1"/>
  <c r="CV473" i="1" s="1"/>
  <c r="CR473" i="1" a="1"/>
  <c r="CR473" i="1" s="1"/>
  <c r="DL472" i="1" a="1"/>
  <c r="DL472" i="1" s="1"/>
  <c r="DH472" i="1" a="1"/>
  <c r="DH472" i="1" s="1"/>
  <c r="DD472" i="1" a="1"/>
  <c r="DD472" i="1" s="1"/>
  <c r="CZ472" i="1" a="1"/>
  <c r="CZ472" i="1" s="1"/>
  <c r="CV472" i="1" a="1"/>
  <c r="CV472" i="1" s="1"/>
  <c r="CR472" i="1" a="1"/>
  <c r="CR472" i="1" s="1"/>
  <c r="DL471" i="1" a="1"/>
  <c r="DL471" i="1" s="1"/>
  <c r="DH471" i="1" a="1"/>
  <c r="DH471" i="1" s="1"/>
  <c r="DE471" i="1" a="1"/>
  <c r="DE471" i="1" s="1"/>
  <c r="DA471" i="1" a="1"/>
  <c r="DA471" i="1" s="1"/>
  <c r="CX471" i="1" a="1"/>
  <c r="CX471" i="1" s="1"/>
  <c r="CT471" i="1" a="1"/>
  <c r="CT471" i="1" s="1"/>
  <c r="DN470" i="1" a="1"/>
  <c r="DN470" i="1" s="1"/>
  <c r="DJ470" i="1" a="1"/>
  <c r="DJ470" i="1" s="1"/>
  <c r="DF470" i="1" a="1"/>
  <c r="DF470" i="1" s="1"/>
  <c r="DB470" i="1" a="1"/>
  <c r="DB470" i="1" s="1"/>
  <c r="CX470" i="1" a="1"/>
  <c r="CX470" i="1" s="1"/>
  <c r="CT470" i="1" a="1"/>
  <c r="CT470" i="1" s="1"/>
  <c r="DN469" i="1" a="1"/>
  <c r="DN469" i="1" s="1"/>
  <c r="DJ469" i="1" a="1"/>
  <c r="DJ469" i="1" s="1"/>
  <c r="DF469" i="1" a="1"/>
  <c r="DF469" i="1" s="1"/>
  <c r="DB469" i="1" a="1"/>
  <c r="DB469" i="1" s="1"/>
  <c r="CX469" i="1" a="1"/>
  <c r="CX469" i="1" s="1"/>
  <c r="CT469" i="1" a="1"/>
  <c r="CT469" i="1" s="1"/>
  <c r="CQ469" i="1" a="1"/>
  <c r="CQ469" i="1" s="1"/>
  <c r="DO468" i="1" a="1"/>
  <c r="DO468" i="1" s="1"/>
  <c r="DK468" i="1" a="1"/>
  <c r="DK468" i="1" s="1"/>
  <c r="DG468" i="1" a="1"/>
  <c r="DG468" i="1" s="1"/>
  <c r="DC468" i="1" a="1"/>
  <c r="DC468" i="1" s="1"/>
  <c r="CY468" i="1" a="1"/>
  <c r="CY468" i="1" s="1"/>
  <c r="CU468" i="1" a="1"/>
  <c r="CU468" i="1" s="1"/>
  <c r="CQ468" i="1" a="1"/>
  <c r="CQ468" i="1" s="1"/>
  <c r="DO467" i="1" a="1"/>
  <c r="DO467" i="1" s="1"/>
  <c r="DK467" i="1" a="1"/>
  <c r="DK467" i="1" s="1"/>
  <c r="DG467" i="1" a="1"/>
  <c r="DG467" i="1" s="1"/>
  <c r="DC467" i="1" a="1"/>
  <c r="DC467" i="1" s="1"/>
  <c r="CY467" i="1" a="1"/>
  <c r="CY467" i="1" s="1"/>
  <c r="CU467" i="1" a="1"/>
  <c r="CU467" i="1" s="1"/>
  <c r="CQ467" i="1" a="1"/>
  <c r="CQ467" i="1" s="1"/>
  <c r="DO466" i="1" a="1"/>
  <c r="DO466" i="1" s="1"/>
  <c r="DH466" i="1" a="1"/>
  <c r="DH466" i="1" s="1"/>
  <c r="DD466" i="1" a="1"/>
  <c r="DD466" i="1" s="1"/>
  <c r="CZ466" i="1" a="1"/>
  <c r="CZ466" i="1" s="1"/>
  <c r="CV466" i="1" a="1"/>
  <c r="CV466" i="1" s="1"/>
  <c r="CR466" i="1" a="1"/>
  <c r="CR466" i="1" s="1"/>
  <c r="DL465" i="1" a="1"/>
  <c r="DL465" i="1" s="1"/>
  <c r="DH465" i="1" a="1"/>
  <c r="DH465" i="1" s="1"/>
  <c r="DD465" i="1" a="1"/>
  <c r="DD465" i="1" s="1"/>
  <c r="CZ465" i="1" a="1"/>
  <c r="CZ465" i="1" s="1"/>
  <c r="CV465" i="1" a="1"/>
  <c r="CV465" i="1" s="1"/>
  <c r="CR465" i="1" a="1"/>
  <c r="CR465" i="1" s="1"/>
  <c r="DL464" i="1" a="1"/>
  <c r="DL464" i="1" s="1"/>
  <c r="DI464" i="1" a="1"/>
  <c r="DI464" i="1" s="1"/>
  <c r="DE464" i="1" a="1"/>
  <c r="DE464" i="1" s="1"/>
  <c r="DB464" i="1" a="1"/>
  <c r="DB464" i="1" s="1"/>
  <c r="CX464" i="1" a="1"/>
  <c r="CX464" i="1" s="1"/>
  <c r="CT464" i="1" a="1"/>
  <c r="CT464" i="1" s="1"/>
  <c r="DN463" i="1" a="1"/>
  <c r="DN463" i="1" s="1"/>
  <c r="DJ463" i="1" a="1"/>
  <c r="DJ463" i="1" s="1"/>
  <c r="DG463" i="1" a="1"/>
  <c r="DG463" i="1" s="1"/>
  <c r="DC463" i="1" a="1"/>
  <c r="DC463" i="1" s="1"/>
  <c r="CY463" i="1" a="1"/>
  <c r="CY463" i="1" s="1"/>
  <c r="CU463" i="1" a="1"/>
  <c r="CU463" i="1" s="1"/>
  <c r="CQ463" i="1" a="1"/>
  <c r="CQ463" i="1" s="1"/>
  <c r="DO462" i="1" a="1"/>
  <c r="DO462" i="1" s="1"/>
  <c r="DK462" i="1" a="1"/>
  <c r="DK462" i="1" s="1"/>
  <c r="DG462" i="1" a="1"/>
  <c r="DG462" i="1" s="1"/>
  <c r="CZ462" i="1" a="1"/>
  <c r="CZ462" i="1" s="1"/>
  <c r="CV462" i="1" a="1"/>
  <c r="CV462" i="1" s="1"/>
  <c r="CS462" i="1" a="1"/>
  <c r="CS462" i="1" s="1"/>
  <c r="DM461" i="1" a="1"/>
  <c r="DM461" i="1" s="1"/>
  <c r="DI461" i="1" a="1"/>
  <c r="DI461" i="1" s="1"/>
  <c r="DE461" i="1" a="1"/>
  <c r="DE461" i="1" s="1"/>
  <c r="DA461" i="1" a="1"/>
  <c r="DA461" i="1" s="1"/>
  <c r="CW461" i="1" a="1"/>
  <c r="CW461" i="1" s="1"/>
  <c r="CS461" i="1" a="1"/>
  <c r="CS461" i="1" s="1"/>
  <c r="DM460" i="1" a="1"/>
  <c r="DM460" i="1" s="1"/>
  <c r="DI460" i="1" a="1"/>
  <c r="DI460" i="1" s="1"/>
  <c r="DE460" i="1" a="1"/>
  <c r="DE460" i="1" s="1"/>
  <c r="DA460" i="1" a="1"/>
  <c r="DA460" i="1" s="1"/>
  <c r="CW460" i="1" a="1"/>
  <c r="CW460" i="1" s="1"/>
  <c r="CS460" i="1" a="1"/>
  <c r="CS460" i="1" s="1"/>
  <c r="DN459" i="1" a="1"/>
  <c r="DN459" i="1" s="1"/>
  <c r="DJ459" i="1" a="1"/>
  <c r="DJ459" i="1" s="1"/>
  <c r="DG459" i="1" a="1"/>
  <c r="DG459" i="1" s="1"/>
  <c r="DC459" i="1" a="1"/>
  <c r="DC459" i="1" s="1"/>
  <c r="CV459" i="1" a="1"/>
  <c r="CV459" i="1" s="1"/>
  <c r="CR459" i="1" a="1"/>
  <c r="CR459" i="1" s="1"/>
  <c r="DL458" i="1" a="1"/>
  <c r="DL458" i="1" s="1"/>
  <c r="DH458" i="1" a="1"/>
  <c r="DH458" i="1" s="1"/>
  <c r="DD458" i="1" a="1"/>
  <c r="DD458" i="1" s="1"/>
  <c r="CZ458" i="1" a="1"/>
  <c r="CZ458" i="1" s="1"/>
  <c r="CV458" i="1" a="1"/>
  <c r="CV458" i="1" s="1"/>
  <c r="CR458" i="1" a="1"/>
  <c r="CR458" i="1" s="1"/>
  <c r="DM457" i="1" a="1"/>
  <c r="DM457" i="1" s="1"/>
  <c r="DI457" i="1" a="1"/>
  <c r="DI457" i="1" s="1"/>
  <c r="DE457" i="1" a="1"/>
  <c r="DE457" i="1" s="1"/>
  <c r="DA457" i="1" a="1"/>
  <c r="DA457" i="1" s="1"/>
  <c r="CX457" i="1" a="1"/>
  <c r="CX457" i="1" s="1"/>
  <c r="CT457" i="1" a="1"/>
  <c r="CT457" i="1" s="1"/>
  <c r="DN456" i="1" a="1"/>
  <c r="DN456" i="1" s="1"/>
  <c r="DJ456" i="1" a="1"/>
  <c r="DJ456" i="1" s="1"/>
  <c r="DF456" i="1" a="1"/>
  <c r="DF456" i="1" s="1"/>
  <c r="DB456" i="1" a="1"/>
  <c r="DB456" i="1" s="1"/>
  <c r="CX456" i="1" a="1"/>
  <c r="CX456" i="1" s="1"/>
  <c r="CT456" i="1" a="1"/>
  <c r="CT456" i="1" s="1"/>
  <c r="DN455" i="1" a="1"/>
  <c r="DN455" i="1" s="1"/>
  <c r="DJ455" i="1" a="1"/>
  <c r="DJ455" i="1" s="1"/>
  <c r="DF455" i="1" a="1"/>
  <c r="DF455" i="1" s="1"/>
  <c r="DB455" i="1" a="1"/>
  <c r="DB455" i="1" s="1"/>
  <c r="CX455" i="1" a="1"/>
  <c r="CX455" i="1" s="1"/>
  <c r="CT455" i="1" a="1"/>
  <c r="CT455" i="1" s="1"/>
  <c r="DN454" i="1" a="1"/>
  <c r="DN454" i="1" s="1"/>
  <c r="DJ454" i="1" a="1"/>
  <c r="DJ454" i="1" s="1"/>
  <c r="DF454" i="1" a="1"/>
  <c r="DF454" i="1" s="1"/>
  <c r="DB454" i="1" a="1"/>
  <c r="DB454" i="1" s="1"/>
  <c r="CX454" i="1" a="1"/>
  <c r="CX454" i="1" s="1"/>
  <c r="CT454" i="1" a="1"/>
  <c r="CT454" i="1" s="1"/>
  <c r="DO453" i="1" a="1"/>
  <c r="DO453" i="1" s="1"/>
  <c r="DK453" i="1" a="1"/>
  <c r="DK453" i="1" s="1"/>
  <c r="DD453" i="1" a="1"/>
  <c r="DD453" i="1" s="1"/>
  <c r="CZ453" i="1" a="1"/>
  <c r="CZ453" i="1" s="1"/>
  <c r="CV453" i="1" a="1"/>
  <c r="CV453" i="1" s="1"/>
  <c r="CR453" i="1" a="1"/>
  <c r="CR453" i="1" s="1"/>
  <c r="DL452" i="1" a="1"/>
  <c r="DL452" i="1" s="1"/>
  <c r="DH452" i="1" a="1"/>
  <c r="DH452" i="1" s="1"/>
  <c r="DD452" i="1" a="1"/>
  <c r="DD452" i="1" s="1"/>
  <c r="CZ452" i="1" a="1"/>
  <c r="CZ452" i="1" s="1"/>
  <c r="CV452" i="1" a="1"/>
  <c r="CV452" i="1" s="1"/>
  <c r="CR452" i="1" a="1"/>
  <c r="CR452" i="1" s="1"/>
  <c r="DL451" i="1" a="1"/>
  <c r="DL451" i="1" s="1"/>
  <c r="DH451" i="1" a="1"/>
  <c r="DH451" i="1" s="1"/>
  <c r="DE451" i="1" a="1"/>
  <c r="DE451" i="1" s="1"/>
  <c r="DA451" i="1" a="1"/>
  <c r="DA451" i="1" s="1"/>
  <c r="CX451" i="1" a="1"/>
  <c r="CX451" i="1" s="1"/>
  <c r="CT451" i="1" a="1"/>
  <c r="CT451" i="1" s="1"/>
  <c r="DN450" i="1" a="1"/>
  <c r="DN450" i="1" s="1"/>
  <c r="DJ450" i="1" a="1"/>
  <c r="DJ450" i="1" s="1"/>
  <c r="DF450" i="1" a="1"/>
  <c r="DF450" i="1" s="1"/>
  <c r="DB450" i="1" a="1"/>
  <c r="DB450" i="1" s="1"/>
  <c r="CX450" i="1" a="1"/>
  <c r="CX450" i="1" s="1"/>
  <c r="CT450" i="1" a="1"/>
  <c r="CT450" i="1" s="1"/>
  <c r="DN449" i="1" a="1"/>
  <c r="DN449" i="1" s="1"/>
  <c r="DJ449" i="1" a="1"/>
  <c r="DJ449" i="1" s="1"/>
  <c r="DF449" i="1" a="1"/>
  <c r="DF449" i="1" s="1"/>
  <c r="DB449" i="1" a="1"/>
  <c r="DB449" i="1" s="1"/>
  <c r="CY449" i="1" a="1"/>
  <c r="CY449" i="1" s="1"/>
  <c r="CU449" i="1" a="1"/>
  <c r="CU449" i="1" s="1"/>
  <c r="CQ449" i="1" a="1"/>
  <c r="CQ449" i="1" s="1"/>
  <c r="DO448" i="1" a="1"/>
  <c r="DO448" i="1" s="1"/>
  <c r="DK448" i="1" a="1"/>
  <c r="DK448" i="1" s="1"/>
  <c r="DG448" i="1" a="1"/>
  <c r="DG448" i="1" s="1"/>
  <c r="DC448" i="1" a="1"/>
  <c r="DC448" i="1" s="1"/>
  <c r="CY448" i="1" a="1"/>
  <c r="CY448" i="1" s="1"/>
  <c r="CU448" i="1" a="1"/>
  <c r="CU448" i="1" s="1"/>
  <c r="CQ448" i="1" a="1"/>
  <c r="CQ448" i="1" s="1"/>
  <c r="DL447" i="1" a="1"/>
  <c r="DL447" i="1" s="1"/>
  <c r="DH447" i="1" a="1"/>
  <c r="DH447" i="1" s="1"/>
  <c r="DD447" i="1" a="1"/>
  <c r="DD447" i="1" s="1"/>
  <c r="CZ447" i="1" a="1"/>
  <c r="CZ447" i="1" s="1"/>
  <c r="CV447" i="1" a="1"/>
  <c r="CV447" i="1" s="1"/>
  <c r="CR447" i="1" a="1"/>
  <c r="CR447" i="1" s="1"/>
  <c r="DL446" i="1" a="1"/>
  <c r="DL446" i="1" s="1"/>
  <c r="DI446" i="1" a="1"/>
  <c r="DI446" i="1" s="1"/>
  <c r="DE446" i="1" a="1"/>
  <c r="DE446" i="1" s="1"/>
  <c r="DA446" i="1" a="1"/>
  <c r="DA446" i="1" s="1"/>
  <c r="CW446" i="1" a="1"/>
  <c r="CW446" i="1" s="1"/>
  <c r="CS446" i="1" a="1"/>
  <c r="CS446" i="1" s="1"/>
  <c r="DM445" i="1" a="1"/>
  <c r="DM445" i="1" s="1"/>
  <c r="DI445" i="1" a="1"/>
  <c r="DI445" i="1" s="1"/>
  <c r="DF445" i="1" a="1"/>
  <c r="DF445" i="1" s="1"/>
  <c r="DB445" i="1" a="1"/>
  <c r="DB445" i="1" s="1"/>
  <c r="CX445" i="1" a="1"/>
  <c r="CX445" i="1" s="1"/>
  <c r="CT445" i="1" a="1"/>
  <c r="CT445" i="1" s="1"/>
  <c r="DN444" i="1" a="1"/>
  <c r="DN444" i="1" s="1"/>
  <c r="DK444" i="1" a="1"/>
  <c r="DK444" i="1" s="1"/>
  <c r="DG444" i="1" a="1"/>
  <c r="DG444" i="1" s="1"/>
  <c r="DC444" i="1" a="1"/>
  <c r="DC444" i="1" s="1"/>
  <c r="CY444" i="1" a="1"/>
  <c r="CY444" i="1" s="1"/>
  <c r="CU444" i="1" a="1"/>
  <c r="CU444" i="1" s="1"/>
  <c r="CQ444" i="1" a="1"/>
  <c r="CQ444" i="1" s="1"/>
  <c r="DO443" i="1" a="1"/>
  <c r="DO443" i="1" s="1"/>
  <c r="DK443" i="1" a="1"/>
  <c r="DK443" i="1" s="1"/>
  <c r="DG443" i="1" a="1"/>
  <c r="DG443" i="1" s="1"/>
  <c r="DC443" i="1" a="1"/>
  <c r="DC443" i="1" s="1"/>
  <c r="CV443" i="1" a="1"/>
  <c r="CV443" i="1" s="1"/>
  <c r="CR443" i="1" a="1"/>
  <c r="CR443" i="1" s="1"/>
  <c r="DL442" i="1" a="1"/>
  <c r="DL442" i="1" s="1"/>
  <c r="DH442" i="1" a="1"/>
  <c r="DH442" i="1" s="1"/>
  <c r="DD442" i="1" a="1"/>
  <c r="DD442" i="1" s="1"/>
  <c r="DA442" i="1" a="1"/>
  <c r="DA442" i="1" s="1"/>
  <c r="CW442" i="1" a="1"/>
  <c r="CW442" i="1" s="1"/>
  <c r="CT442" i="1" a="1"/>
  <c r="CT442" i="1" s="1"/>
  <c r="DN441" i="1" a="1"/>
  <c r="DN441" i="1" s="1"/>
  <c r="DJ441" i="1" a="1"/>
  <c r="DJ441" i="1" s="1"/>
  <c r="DF441" i="1" a="1"/>
  <c r="DF441" i="1" s="1"/>
  <c r="DB441" i="1" a="1"/>
  <c r="DB441" i="1" s="1"/>
  <c r="CX441" i="1" a="1"/>
  <c r="CX441" i="1" s="1"/>
  <c r="CT441" i="1" a="1"/>
  <c r="CT441" i="1" s="1"/>
  <c r="DN440" i="1" a="1"/>
  <c r="DN440" i="1" s="1"/>
  <c r="DJ440" i="1" a="1"/>
  <c r="DJ440" i="1" s="1"/>
  <c r="DF440" i="1" a="1"/>
  <c r="DF440" i="1" s="1"/>
  <c r="DB440" i="1" a="1"/>
  <c r="DB440" i="1" s="1"/>
  <c r="CX440" i="1" a="1"/>
  <c r="CX440" i="1" s="1"/>
  <c r="CU440" i="1" a="1"/>
  <c r="CU440" i="1" s="1"/>
  <c r="CQ440" i="1" a="1"/>
  <c r="CQ440" i="1" s="1"/>
  <c r="DO439" i="1" a="1"/>
  <c r="DO439" i="1" s="1"/>
  <c r="DK439" i="1" a="1"/>
  <c r="DK439" i="1" s="1"/>
  <c r="DF439" i="1" a="1"/>
  <c r="DF439" i="1" s="1"/>
  <c r="CZ439" i="1" a="1"/>
  <c r="CZ439" i="1" s="1"/>
  <c r="CU439" i="1" a="1"/>
  <c r="CU439" i="1" s="1"/>
  <c r="DN438" i="1" a="1"/>
  <c r="DN438" i="1" s="1"/>
  <c r="DI438" i="1" a="1"/>
  <c r="DI438" i="1" s="1"/>
  <c r="DD438" i="1" a="1"/>
  <c r="DD438" i="1" s="1"/>
  <c r="CY438" i="1" a="1"/>
  <c r="CY438" i="1" s="1"/>
  <c r="CR438" i="1" a="1"/>
  <c r="CR438" i="1" s="1"/>
  <c r="DM437" i="1" a="1"/>
  <c r="DM437" i="1" s="1"/>
  <c r="DE437" i="1" a="1"/>
  <c r="DE437" i="1" s="1"/>
  <c r="CW437" i="1" a="1"/>
  <c r="CW437" i="1" s="1"/>
  <c r="DL436" i="1" a="1"/>
  <c r="DL436" i="1" s="1"/>
  <c r="DE436" i="1" a="1"/>
  <c r="DE436" i="1" s="1"/>
  <c r="CX436" i="1" a="1"/>
  <c r="CX436" i="1" s="1"/>
  <c r="DN435" i="1" a="1"/>
  <c r="DN435" i="1" s="1"/>
  <c r="CX435" i="1" a="1"/>
  <c r="CX435" i="1" s="1"/>
  <c r="DC434" i="1" a="1"/>
  <c r="DC434" i="1" s="1"/>
  <c r="DK433" i="1" a="1"/>
  <c r="DK433" i="1" s="1"/>
  <c r="CV433" i="1" a="1"/>
  <c r="CV433" i="1" s="1"/>
  <c r="CZ432" i="1" a="1"/>
  <c r="CZ432" i="1" s="1"/>
  <c r="DD431" i="1" a="1"/>
  <c r="DD431" i="1" s="1"/>
  <c r="DO430" i="1" a="1"/>
  <c r="DO430" i="1" s="1"/>
  <c r="CY430" i="1" a="1"/>
  <c r="CY430" i="1" s="1"/>
  <c r="DH429" i="1" a="1"/>
  <c r="DH429" i="1" s="1"/>
  <c r="CR429" i="1" a="1"/>
  <c r="CR429" i="1" s="1"/>
  <c r="DB428" i="1" a="1"/>
  <c r="DB428" i="1" s="1"/>
  <c r="DK427" i="1" a="1"/>
  <c r="DK427" i="1" s="1"/>
  <c r="CU427" i="1" a="1"/>
  <c r="CU427" i="1" s="1"/>
  <c r="DE426" i="1" a="1"/>
  <c r="DE426" i="1" s="1"/>
  <c r="DJ425" i="1" a="1"/>
  <c r="DJ425" i="1" s="1"/>
  <c r="CT425" i="1" a="1"/>
  <c r="CT425" i="1" s="1"/>
  <c r="DE424" i="1" a="1"/>
  <c r="DE424" i="1" s="1"/>
  <c r="DJ423" i="1" a="1"/>
  <c r="DJ423" i="1" s="1"/>
  <c r="CU423" i="1" a="1"/>
  <c r="CU423" i="1" s="1"/>
  <c r="DD422" i="1" a="1"/>
  <c r="DD422" i="1" s="1"/>
  <c r="DJ421" i="1" a="1"/>
  <c r="DJ421" i="1" s="1"/>
  <c r="CT421" i="1" a="1"/>
  <c r="CT421" i="1" s="1"/>
  <c r="DD420" i="1" a="1"/>
  <c r="DD420" i="1" s="1"/>
  <c r="DI419" i="1" a="1"/>
  <c r="DI419" i="1" s="1"/>
  <c r="CS419" i="1" a="1"/>
  <c r="CS419" i="1" s="1"/>
  <c r="DB418" i="1" a="1"/>
  <c r="DB418" i="1" s="1"/>
  <c r="DF417" i="1" a="1"/>
  <c r="DF417" i="1" s="1"/>
  <c r="DJ416" i="1" a="1"/>
  <c r="DJ416" i="1" s="1"/>
  <c r="CT416" i="1" a="1"/>
  <c r="CT416" i="1" s="1"/>
  <c r="DN415" i="1" a="1"/>
  <c r="DN415" i="1" s="1"/>
  <c r="CX415" i="1" a="1"/>
  <c r="CX415" i="1" s="1"/>
  <c r="DB414" i="1" a="1"/>
  <c r="DB414" i="1" s="1"/>
  <c r="DF413" i="1" a="1"/>
  <c r="DF413" i="1" s="1"/>
  <c r="DJ412" i="1" a="1"/>
  <c r="DJ412" i="1" s="1"/>
  <c r="CT412" i="1" a="1"/>
  <c r="CT412" i="1" s="1"/>
  <c r="DN411" i="1" a="1"/>
  <c r="DN411" i="1" s="1"/>
  <c r="CX411" i="1" a="1"/>
  <c r="CX411" i="1" s="1"/>
  <c r="DB410" i="1" a="1"/>
  <c r="DB410" i="1" s="1"/>
  <c r="DF409" i="1" a="1"/>
  <c r="DF409" i="1" s="1"/>
  <c r="DJ408" i="1" a="1"/>
  <c r="DJ408" i="1" s="1"/>
  <c r="CT408" i="1" a="1"/>
  <c r="CT408" i="1" s="1"/>
  <c r="DN407" i="1" a="1"/>
  <c r="DN407" i="1" s="1"/>
  <c r="CX407" i="1" a="1"/>
  <c r="CX407" i="1" s="1"/>
  <c r="DB406" i="1" a="1"/>
  <c r="DB406" i="1" s="1"/>
  <c r="DF405" i="1" a="1"/>
  <c r="DF405" i="1" s="1"/>
  <c r="DJ404" i="1" a="1"/>
  <c r="DJ404" i="1" s="1"/>
  <c r="CT404" i="1" a="1"/>
  <c r="CT404" i="1" s="1"/>
  <c r="DN403" i="1" a="1"/>
  <c r="DN403" i="1" s="1"/>
  <c r="CX403" i="1" a="1"/>
  <c r="CX403" i="1" s="1"/>
  <c r="DB402" i="1" a="1"/>
  <c r="DB402" i="1" s="1"/>
  <c r="DF401" i="1" a="1"/>
  <c r="DF401" i="1" s="1"/>
  <c r="DJ400" i="1" a="1"/>
  <c r="DJ400" i="1" s="1"/>
  <c r="CT400" i="1" a="1"/>
  <c r="CT400" i="1" s="1"/>
  <c r="DN399" i="1" a="1"/>
  <c r="DN399" i="1" s="1"/>
  <c r="CX399" i="1" a="1"/>
  <c r="CX399" i="1" s="1"/>
  <c r="DB398" i="1" a="1"/>
  <c r="DB398" i="1" s="1"/>
  <c r="DF397" i="1" a="1"/>
  <c r="DF397" i="1" s="1"/>
  <c r="DJ396" i="1" a="1"/>
  <c r="DJ396" i="1" s="1"/>
  <c r="CT396" i="1" a="1"/>
  <c r="CT396" i="1" s="1"/>
  <c r="DN395" i="1" a="1"/>
  <c r="DN395" i="1" s="1"/>
  <c r="CX395" i="1" a="1"/>
  <c r="CX395" i="1" s="1"/>
  <c r="DB394" i="1" a="1"/>
  <c r="DB394" i="1" s="1"/>
  <c r="DF393" i="1" a="1"/>
  <c r="DF393" i="1" s="1"/>
  <c r="DJ392" i="1" a="1"/>
  <c r="DJ392" i="1" s="1"/>
  <c r="CT392" i="1" a="1"/>
  <c r="CT392" i="1" s="1"/>
  <c r="DN391" i="1" a="1"/>
  <c r="DN391" i="1" s="1"/>
  <c r="CX391" i="1" a="1"/>
  <c r="CX391" i="1" s="1"/>
  <c r="DB390" i="1" a="1"/>
  <c r="DB390" i="1" s="1"/>
  <c r="DF389" i="1" a="1"/>
  <c r="DF389" i="1" s="1"/>
  <c r="DJ388" i="1" a="1"/>
  <c r="DJ388" i="1" s="1"/>
  <c r="CT388" i="1" a="1"/>
  <c r="CT388" i="1" s="1"/>
  <c r="DN387" i="1" a="1"/>
  <c r="DN387" i="1" s="1"/>
  <c r="CX387" i="1" a="1"/>
  <c r="CX387" i="1" s="1"/>
  <c r="DB386" i="1" a="1"/>
  <c r="DB386" i="1" s="1"/>
  <c r="DF385" i="1" a="1"/>
  <c r="DF385" i="1" s="1"/>
  <c r="DJ384" i="1" a="1"/>
  <c r="DJ384" i="1" s="1"/>
  <c r="CT384" i="1" a="1"/>
  <c r="CT384" i="1" s="1"/>
  <c r="DN383" i="1" a="1"/>
  <c r="DN383" i="1" s="1"/>
  <c r="CX383" i="1" a="1"/>
  <c r="CX383" i="1" s="1"/>
  <c r="DB382" i="1" a="1"/>
  <c r="DB382" i="1" s="1"/>
  <c r="DF381" i="1" a="1"/>
  <c r="DF381" i="1" s="1"/>
  <c r="DJ380" i="1" a="1"/>
  <c r="DJ380" i="1" s="1"/>
  <c r="CT380" i="1" a="1"/>
  <c r="CT380" i="1" s="1"/>
  <c r="DN379" i="1" a="1"/>
  <c r="DN379" i="1" s="1"/>
  <c r="CX379" i="1" a="1"/>
  <c r="CX379" i="1" s="1"/>
  <c r="DB378" i="1" a="1"/>
  <c r="DB378" i="1" s="1"/>
  <c r="DF377" i="1" a="1"/>
  <c r="DF377" i="1" s="1"/>
  <c r="DJ376" i="1" a="1"/>
  <c r="DJ376" i="1" s="1"/>
  <c r="CT376" i="1" a="1"/>
  <c r="CT376" i="1" s="1"/>
  <c r="DN375" i="1" a="1"/>
  <c r="DN375" i="1" s="1"/>
  <c r="CX375" i="1" a="1"/>
  <c r="CX375" i="1" s="1"/>
  <c r="DB374" i="1" a="1"/>
  <c r="DB374" i="1" s="1"/>
  <c r="DF373" i="1" a="1"/>
  <c r="DF373" i="1" s="1"/>
  <c r="DJ372" i="1" a="1"/>
  <c r="DJ372" i="1" s="1"/>
  <c r="CT372" i="1" a="1"/>
  <c r="CT372" i="1" s="1"/>
  <c r="DN371" i="1" a="1"/>
  <c r="DN371" i="1" s="1"/>
  <c r="CX371" i="1" a="1"/>
  <c r="CX371" i="1" s="1"/>
  <c r="DB370" i="1" a="1"/>
  <c r="DB370" i="1" s="1"/>
  <c r="DF369" i="1" a="1"/>
  <c r="DF369" i="1" s="1"/>
  <c r="DJ368" i="1" a="1"/>
  <c r="DJ368" i="1" s="1"/>
  <c r="CT368" i="1" a="1"/>
  <c r="CT368" i="1" s="1"/>
  <c r="DN367" i="1" a="1"/>
  <c r="DN367" i="1" s="1"/>
  <c r="CX367" i="1" a="1"/>
  <c r="CX367" i="1" s="1"/>
  <c r="DB366" i="1" a="1"/>
  <c r="DB366" i="1" s="1"/>
  <c r="DF365" i="1" a="1"/>
  <c r="DF365" i="1" s="1"/>
  <c r="DJ364" i="1" a="1"/>
  <c r="DJ364" i="1" s="1"/>
  <c r="CT364" i="1" a="1"/>
  <c r="CT364" i="1" s="1"/>
  <c r="DN363" i="1" a="1"/>
  <c r="DN363" i="1" s="1"/>
  <c r="CX363" i="1" a="1"/>
  <c r="CX363" i="1" s="1"/>
  <c r="DB362" i="1" a="1"/>
  <c r="DB362" i="1" s="1"/>
  <c r="DF361" i="1" a="1"/>
  <c r="DF361" i="1" s="1"/>
  <c r="DJ360" i="1" a="1"/>
  <c r="DJ360" i="1" s="1"/>
  <c r="CT360" i="1" a="1"/>
  <c r="CT360" i="1" s="1"/>
  <c r="DN359" i="1" a="1"/>
  <c r="DN359" i="1" s="1"/>
  <c r="CX359" i="1" a="1"/>
  <c r="CX359" i="1" s="1"/>
  <c r="DB358" i="1" a="1"/>
  <c r="DB358" i="1" s="1"/>
  <c r="DF357" i="1" a="1"/>
  <c r="DF357" i="1" s="1"/>
  <c r="DJ356" i="1" a="1"/>
  <c r="DJ356" i="1" s="1"/>
  <c r="CT356" i="1" a="1"/>
  <c r="CT356" i="1" s="1"/>
  <c r="DN355" i="1" a="1"/>
  <c r="DN355" i="1" s="1"/>
  <c r="CX355" i="1" a="1"/>
  <c r="CX355" i="1" s="1"/>
  <c r="DB354" i="1" a="1"/>
  <c r="DB354" i="1" s="1"/>
  <c r="DF353" i="1" a="1"/>
  <c r="DF353" i="1" s="1"/>
  <c r="DA352" i="1" a="1"/>
  <c r="DA352" i="1" s="1"/>
  <c r="DE350" i="1" a="1"/>
  <c r="DE350" i="1" s="1"/>
  <c r="DB347" i="1" a="1"/>
  <c r="DB347" i="1" s="1"/>
  <c r="DD345" i="1" a="1"/>
  <c r="DD345" i="1" s="1"/>
  <c r="DM343" i="1" a="1"/>
  <c r="DM343" i="1" s="1"/>
  <c r="CV342" i="1" a="1"/>
  <c r="CV342" i="1" s="1"/>
  <c r="CU339" i="1" a="1"/>
  <c r="CU339" i="1" s="1"/>
  <c r="DD338" i="1" a="1"/>
  <c r="DD338" i="1" s="1"/>
  <c r="DH335" i="1" a="1"/>
  <c r="DH335" i="1" s="1"/>
  <c r="DK331" i="1" a="1"/>
  <c r="DK331" i="1" s="1"/>
  <c r="CU314" i="1" a="1"/>
  <c r="CU314" i="1" s="1"/>
  <c r="DC313" i="1" a="1"/>
  <c r="DC313" i="1" s="1"/>
  <c r="DK312" i="1" a="1"/>
  <c r="DK312" i="1" s="1"/>
  <c r="DD296" i="1" a="1"/>
  <c r="DD296" i="1" s="1"/>
  <c r="CQ28" i="1" a="1"/>
  <c r="CQ28" i="1" s="1"/>
  <c r="DO25" i="1" a="1"/>
  <c r="DO25" i="1" s="1"/>
  <c r="DO26" i="1" a="1"/>
  <c r="DO26" i="1" s="1"/>
  <c r="DO54" i="1" a="1"/>
  <c r="DO54" i="1" s="1"/>
  <c r="DO55" i="1" a="1"/>
  <c r="DO55" i="1" s="1"/>
  <c r="DO56" i="1" a="1"/>
  <c r="DO56" i="1" s="1"/>
  <c r="DO58" i="1" a="1"/>
  <c r="DO58" i="1" s="1"/>
  <c r="DO62" i="1" a="1"/>
  <c r="DO62" i="1" s="1"/>
  <c r="DO66" i="1" a="1"/>
  <c r="DO66" i="1" s="1"/>
  <c r="DO68" i="1" a="1"/>
  <c r="DO68" i="1" s="1"/>
  <c r="DO70" i="1" a="1"/>
  <c r="DO70" i="1" s="1"/>
  <c r="DO72" i="1" a="1"/>
  <c r="DO72" i="1" s="1"/>
  <c r="DO24" i="1" a="1"/>
  <c r="DO24" i="1" s="1"/>
  <c r="DO29" i="1" a="1"/>
  <c r="DO29" i="1" s="1"/>
  <c r="DO31" i="1" a="1"/>
  <c r="DO31" i="1" s="1"/>
  <c r="DO33" i="1" a="1"/>
  <c r="DO33" i="1" s="1"/>
  <c r="DO35" i="1" a="1"/>
  <c r="DO35" i="1" s="1"/>
  <c r="DO37" i="1" a="1"/>
  <c r="DO37" i="1" s="1"/>
  <c r="DO39" i="1" a="1"/>
  <c r="DO39" i="1" s="1"/>
  <c r="DO40" i="1" a="1"/>
  <c r="DO40" i="1" s="1"/>
  <c r="DO41" i="1" a="1"/>
  <c r="DO41" i="1" s="1"/>
  <c r="DO52" i="1" a="1"/>
  <c r="DO52" i="1" s="1"/>
  <c r="DO53" i="1" a="1"/>
  <c r="DO53" i="1" s="1"/>
  <c r="DO23" i="1" a="1"/>
  <c r="DO23" i="1" s="1"/>
  <c r="DO45" i="1" a="1"/>
  <c r="DO45" i="1" s="1"/>
  <c r="DO57" i="1" a="1"/>
  <c r="DO57" i="1" s="1"/>
  <c r="DO76" i="1" a="1"/>
  <c r="DO76" i="1" s="1"/>
  <c r="DO77" i="1" a="1"/>
  <c r="DO77" i="1" s="1"/>
  <c r="DO78" i="1" a="1"/>
  <c r="DO78" i="1" s="1"/>
  <c r="DO85" i="1" a="1"/>
  <c r="DO85" i="1" s="1"/>
  <c r="DO88" i="1" a="1"/>
  <c r="DO88" i="1" s="1"/>
  <c r="DO92" i="1" a="1"/>
  <c r="DO92" i="1" s="1"/>
  <c r="DO27" i="1" a="1"/>
  <c r="DO27" i="1" s="1"/>
  <c r="DO30" i="1" a="1"/>
  <c r="DO30" i="1" s="1"/>
  <c r="DO34" i="1" a="1"/>
  <c r="DO34" i="1" s="1"/>
  <c r="DO38" i="1" a="1"/>
  <c r="DO38" i="1" s="1"/>
  <c r="DO46" i="1" a="1"/>
  <c r="DO46" i="1" s="1"/>
  <c r="DO49" i="1" a="1"/>
  <c r="DO49" i="1" s="1"/>
  <c r="DO50" i="1" a="1"/>
  <c r="DO50" i="1" s="1"/>
  <c r="DO67" i="1" a="1"/>
  <c r="DO67" i="1" s="1"/>
  <c r="DO71" i="1" a="1"/>
  <c r="DO71" i="1" s="1"/>
  <c r="DO80" i="1" a="1"/>
  <c r="DO80" i="1" s="1"/>
  <c r="DO82" i="1" a="1"/>
  <c r="DO82" i="1" s="1"/>
  <c r="DO83" i="1" a="1"/>
  <c r="DO83" i="1" s="1"/>
  <c r="DO84" i="1" a="1"/>
  <c r="DO84" i="1" s="1"/>
  <c r="DO87" i="1" a="1"/>
  <c r="DO87" i="1" s="1"/>
  <c r="DO90" i="1" a="1"/>
  <c r="DO90" i="1" s="1"/>
  <c r="DO91" i="1" a="1"/>
  <c r="DO91" i="1" s="1"/>
  <c r="DO95" i="1" a="1"/>
  <c r="DO95" i="1" s="1"/>
  <c r="DO28" i="1" a="1"/>
  <c r="DO28" i="1" s="1"/>
  <c r="DO36" i="1" a="1"/>
  <c r="DO36" i="1" s="1"/>
  <c r="DO61" i="1" a="1"/>
  <c r="DO61" i="1" s="1"/>
  <c r="DO74" i="1" a="1"/>
  <c r="DO74" i="1" s="1"/>
  <c r="DO79" i="1" a="1"/>
  <c r="DO79" i="1" s="1"/>
  <c r="DO86" i="1" a="1"/>
  <c r="DO86" i="1" s="1"/>
  <c r="DO97" i="1" a="1"/>
  <c r="DO97" i="1" s="1"/>
  <c r="DO103" i="1" a="1"/>
  <c r="DO103" i="1" s="1"/>
  <c r="DO105" i="1" a="1"/>
  <c r="DO105" i="1" s="1"/>
  <c r="DO107" i="1" a="1"/>
  <c r="DO107" i="1" s="1"/>
  <c r="DO110" i="1" a="1"/>
  <c r="DO110" i="1" s="1"/>
  <c r="DO112" i="1" a="1"/>
  <c r="DO112" i="1" s="1"/>
  <c r="DO43" i="1" a="1"/>
  <c r="DO43" i="1" s="1"/>
  <c r="DO48" i="1" a="1"/>
  <c r="DO48" i="1" s="1"/>
  <c r="DO65" i="1" a="1"/>
  <c r="DO65" i="1" s="1"/>
  <c r="DO73" i="1" a="1"/>
  <c r="DO73" i="1" s="1"/>
  <c r="DO93" i="1" a="1"/>
  <c r="DO93" i="1" s="1"/>
  <c r="DO101" i="1" a="1"/>
  <c r="DO101" i="1" s="1"/>
  <c r="DO109" i="1" a="1"/>
  <c r="DO109" i="1" s="1"/>
  <c r="DO118" i="1" a="1"/>
  <c r="DO118" i="1" s="1"/>
  <c r="DO32" i="1" a="1"/>
  <c r="DO32" i="1" s="1"/>
  <c r="DO51" i="1" a="1"/>
  <c r="DO51" i="1" s="1"/>
  <c r="DO60" i="1" a="1"/>
  <c r="DO60" i="1" s="1"/>
  <c r="DO94" i="1" a="1"/>
  <c r="DO94" i="1" s="1"/>
  <c r="DO111" i="1" a="1"/>
  <c r="DO111" i="1" s="1"/>
  <c r="DO114" i="1" a="1"/>
  <c r="DO114" i="1" s="1"/>
  <c r="DO117" i="1" a="1"/>
  <c r="DO117" i="1" s="1"/>
  <c r="DO120" i="1" a="1"/>
  <c r="DO120" i="1" s="1"/>
  <c r="DO121" i="1" a="1"/>
  <c r="DO121" i="1" s="1"/>
  <c r="DO123" i="1" a="1"/>
  <c r="DO123" i="1" s="1"/>
  <c r="DO125" i="1" a="1"/>
  <c r="DO125" i="1" s="1"/>
  <c r="DO127" i="1" a="1"/>
  <c r="DO127" i="1" s="1"/>
  <c r="DO129" i="1" a="1"/>
  <c r="DO129" i="1" s="1"/>
  <c r="DO131" i="1" a="1"/>
  <c r="DO131" i="1" s="1"/>
  <c r="DO133" i="1" a="1"/>
  <c r="DO133" i="1" s="1"/>
  <c r="DO135" i="1" a="1"/>
  <c r="DO135" i="1" s="1"/>
  <c r="DO42" i="1" a="1"/>
  <c r="DO42" i="1" s="1"/>
  <c r="DO59" i="1" a="1"/>
  <c r="DO59" i="1" s="1"/>
  <c r="DO64" i="1" a="1"/>
  <c r="DO64" i="1" s="1"/>
  <c r="DO96" i="1" a="1"/>
  <c r="DO96" i="1" s="1"/>
  <c r="DO98" i="1" a="1"/>
  <c r="DO98" i="1" s="1"/>
  <c r="DO99" i="1" a="1"/>
  <c r="DO99" i="1" s="1"/>
  <c r="DO102" i="1" a="1"/>
  <c r="DO102" i="1" s="1"/>
  <c r="DO106" i="1" a="1"/>
  <c r="DO106" i="1" s="1"/>
  <c r="DO113" i="1" a="1"/>
  <c r="DO113" i="1" s="1"/>
  <c r="DO115" i="1" a="1"/>
  <c r="DO115" i="1" s="1"/>
  <c r="DO116" i="1" a="1"/>
  <c r="DO116" i="1" s="1"/>
  <c r="DO137" i="1" a="1"/>
  <c r="DO137" i="1" s="1"/>
  <c r="DO138" i="1" a="1"/>
  <c r="DO138" i="1" s="1"/>
  <c r="DO139" i="1" a="1"/>
  <c r="DO139" i="1" s="1"/>
  <c r="DO140" i="1" a="1"/>
  <c r="DO140" i="1" s="1"/>
  <c r="DO141" i="1" a="1"/>
  <c r="DO141" i="1" s="1"/>
  <c r="DO142" i="1" a="1"/>
  <c r="DO142" i="1" s="1"/>
  <c r="DO145" i="1" a="1"/>
  <c r="DO145" i="1" s="1"/>
  <c r="DO146" i="1" a="1"/>
  <c r="DO146" i="1" s="1"/>
  <c r="DO147" i="1" a="1"/>
  <c r="DO147" i="1" s="1"/>
  <c r="DO150" i="1" a="1"/>
  <c r="DO150" i="1" s="1"/>
  <c r="DO151" i="1" a="1"/>
  <c r="DO151" i="1" s="1"/>
  <c r="DO47" i="1" a="1"/>
  <c r="DO47" i="1" s="1"/>
  <c r="DO63" i="1" a="1"/>
  <c r="DO63" i="1" s="1"/>
  <c r="DO69" i="1" a="1"/>
  <c r="DO69" i="1" s="1"/>
  <c r="DO75" i="1" a="1"/>
  <c r="DO75" i="1" s="1"/>
  <c r="DO100" i="1" a="1"/>
  <c r="DO100" i="1" s="1"/>
  <c r="DO122" i="1" a="1"/>
  <c r="DO122" i="1" s="1"/>
  <c r="DO124" i="1" a="1"/>
  <c r="DO124" i="1" s="1"/>
  <c r="DO126" i="1" a="1"/>
  <c r="DO126" i="1" s="1"/>
  <c r="DO128" i="1" a="1"/>
  <c r="DO128" i="1" s="1"/>
  <c r="DO130" i="1" a="1"/>
  <c r="DO130" i="1" s="1"/>
  <c r="DO132" i="1" a="1"/>
  <c r="DO132" i="1" s="1"/>
  <c r="DO134" i="1" a="1"/>
  <c r="DO134" i="1" s="1"/>
  <c r="DO136" i="1" a="1"/>
  <c r="DO136" i="1" s="1"/>
  <c r="DO143" i="1" a="1"/>
  <c r="DO143" i="1" s="1"/>
  <c r="DO144" i="1" a="1"/>
  <c r="DO144" i="1" s="1"/>
  <c r="DO152" i="1" a="1"/>
  <c r="DO152" i="1" s="1"/>
  <c r="DO153" i="1" a="1"/>
  <c r="DO153" i="1" s="1"/>
  <c r="DO89" i="1" a="1"/>
  <c r="DO89" i="1" s="1"/>
  <c r="DO104" i="1" a="1"/>
  <c r="DO104" i="1" s="1"/>
  <c r="DO119" i="1" a="1"/>
  <c r="DO119" i="1" s="1"/>
  <c r="DO149" i="1" a="1"/>
  <c r="DO149" i="1" s="1"/>
  <c r="DO167" i="1" a="1"/>
  <c r="DO167" i="1" s="1"/>
  <c r="DO170" i="1" a="1"/>
  <c r="DO170" i="1" s="1"/>
  <c r="DO173" i="1" a="1"/>
  <c r="DO173" i="1" s="1"/>
  <c r="DO174" i="1" a="1"/>
  <c r="DO174" i="1" s="1"/>
  <c r="DO185" i="1" a="1"/>
  <c r="DO185" i="1" s="1"/>
  <c r="DO186" i="1" a="1"/>
  <c r="DO186" i="1" s="1"/>
  <c r="DO189" i="1" a="1"/>
  <c r="DO189" i="1" s="1"/>
  <c r="DO192" i="1" a="1"/>
  <c r="DO192" i="1" s="1"/>
  <c r="DO193" i="1" a="1"/>
  <c r="DO193" i="1" s="1"/>
  <c r="DO199" i="1" a="1"/>
  <c r="DO199" i="1" s="1"/>
  <c r="DO200" i="1" a="1"/>
  <c r="DO200" i="1" s="1"/>
  <c r="DO44" i="1" a="1"/>
  <c r="DO44" i="1" s="1"/>
  <c r="DO81" i="1" a="1"/>
  <c r="DO81" i="1" s="1"/>
  <c r="DO148" i="1" a="1"/>
  <c r="DO148" i="1" s="1"/>
  <c r="DO171" i="1" a="1"/>
  <c r="DO171" i="1" s="1"/>
  <c r="DO175" i="1" a="1"/>
  <c r="DO175" i="1" s="1"/>
  <c r="DO180" i="1" a="1"/>
  <c r="DO180" i="1" s="1"/>
  <c r="DO187" i="1" a="1"/>
  <c r="DO187" i="1" s="1"/>
  <c r="DO190" i="1" a="1"/>
  <c r="DO190" i="1" s="1"/>
  <c r="DO194" i="1" a="1"/>
  <c r="DO194" i="1" s="1"/>
  <c r="DO201" i="1" a="1"/>
  <c r="DO201" i="1" s="1"/>
  <c r="DO202" i="1" a="1"/>
  <c r="DO202" i="1" s="1"/>
  <c r="DO203" i="1" a="1"/>
  <c r="DO203" i="1" s="1"/>
  <c r="DO168" i="1" a="1"/>
  <c r="DO168" i="1" s="1"/>
  <c r="DO176" i="1" a="1"/>
  <c r="DO176" i="1" s="1"/>
  <c r="DO181" i="1" a="1"/>
  <c r="DO181" i="1" s="1"/>
  <c r="DO182" i="1" a="1"/>
  <c r="DO182" i="1" s="1"/>
  <c r="DO183" i="1" a="1"/>
  <c r="DO183" i="1" s="1"/>
  <c r="DO191" i="1" a="1"/>
  <c r="DO191" i="1" s="1"/>
  <c r="DO195" i="1" a="1"/>
  <c r="DO195" i="1" s="1"/>
  <c r="DO196" i="1" a="1"/>
  <c r="DO196" i="1" s="1"/>
  <c r="DO197" i="1" a="1"/>
  <c r="DO197" i="1" s="1"/>
  <c r="DO204" i="1" a="1"/>
  <c r="DO204" i="1" s="1"/>
  <c r="DO205" i="1" a="1"/>
  <c r="DO205" i="1" s="1"/>
  <c r="DO206" i="1" a="1"/>
  <c r="DO206" i="1" s="1"/>
  <c r="DO207" i="1" a="1"/>
  <c r="DO207" i="1" s="1"/>
  <c r="DO208" i="1" a="1"/>
  <c r="DO208" i="1" s="1"/>
  <c r="DO209" i="1" a="1"/>
  <c r="DO209" i="1" s="1"/>
  <c r="DO210" i="1" a="1"/>
  <c r="DO210" i="1" s="1"/>
  <c r="DO211" i="1" a="1"/>
  <c r="DO211" i="1" s="1"/>
  <c r="DO212" i="1" a="1"/>
  <c r="DO212" i="1" s="1"/>
  <c r="DO213" i="1" a="1"/>
  <c r="DO213" i="1" s="1"/>
  <c r="DO214" i="1" a="1"/>
  <c r="DO214" i="1" s="1"/>
  <c r="DO215" i="1" a="1"/>
  <c r="DO215" i="1" s="1"/>
  <c r="DO216" i="1" a="1"/>
  <c r="DO216" i="1" s="1"/>
  <c r="DO217" i="1" a="1"/>
  <c r="DO217" i="1" s="1"/>
  <c r="DO218" i="1" a="1"/>
  <c r="DO218" i="1" s="1"/>
  <c r="DO219" i="1" a="1"/>
  <c r="DO219" i="1" s="1"/>
  <c r="DO220" i="1" a="1"/>
  <c r="DO220" i="1" s="1"/>
  <c r="DO108" i="1" a="1"/>
  <c r="DO108" i="1" s="1"/>
  <c r="DO177" i="1" a="1"/>
  <c r="DO177" i="1" s="1"/>
  <c r="DO178" i="1" a="1"/>
  <c r="DO178" i="1" s="1"/>
  <c r="DO179" i="1" a="1"/>
  <c r="DO179" i="1" s="1"/>
  <c r="DO246" i="1" a="1"/>
  <c r="DO246" i="1" s="1"/>
  <c r="DO247" i="1" a="1"/>
  <c r="DO247" i="1" s="1"/>
  <c r="DO252" i="1" a="1"/>
  <c r="DO252" i="1" s="1"/>
  <c r="DO253" i="1" a="1"/>
  <c r="DO253" i="1" s="1"/>
  <c r="DO259" i="1" a="1"/>
  <c r="DO259" i="1" s="1"/>
  <c r="DO260" i="1" a="1"/>
  <c r="DO260" i="1" s="1"/>
  <c r="DO261" i="1" a="1"/>
  <c r="DO261" i="1" s="1"/>
  <c r="DO264" i="1" a="1"/>
  <c r="DO264" i="1" s="1"/>
  <c r="DO265" i="1" a="1"/>
  <c r="DO265" i="1" s="1"/>
  <c r="DO268" i="1" a="1"/>
  <c r="DO268" i="1" s="1"/>
  <c r="DO269" i="1" a="1"/>
  <c r="DO269" i="1" s="1"/>
  <c r="DO272" i="1" a="1"/>
  <c r="DO272" i="1" s="1"/>
  <c r="DO275" i="1" a="1"/>
  <c r="DO275" i="1" s="1"/>
  <c r="DO276" i="1" a="1"/>
  <c r="DO276" i="1" s="1"/>
  <c r="DO280" i="1" a="1"/>
  <c r="DO280" i="1" s="1"/>
  <c r="DO281" i="1" a="1"/>
  <c r="DO281" i="1" s="1"/>
  <c r="DO283" i="1" a="1"/>
  <c r="DO283" i="1" s="1"/>
  <c r="DO286" i="1" a="1"/>
  <c r="DO286" i="1" s="1"/>
  <c r="DO287" i="1" a="1"/>
  <c r="DO287" i="1" s="1"/>
  <c r="DO288" i="1" a="1"/>
  <c r="DO288" i="1" s="1"/>
  <c r="DO289" i="1" a="1"/>
  <c r="DO289" i="1" s="1"/>
  <c r="DO290" i="1" a="1"/>
  <c r="DO290" i="1" s="1"/>
  <c r="DO291" i="1" a="1"/>
  <c r="DO291" i="1" s="1"/>
  <c r="DO292" i="1" a="1"/>
  <c r="DO292" i="1" s="1"/>
  <c r="DO302" i="1" a="1"/>
  <c r="DO302" i="1" s="1"/>
  <c r="DO303" i="1" a="1"/>
  <c r="DO303" i="1" s="1"/>
  <c r="DO316" i="1" a="1"/>
  <c r="DO316" i="1" s="1"/>
  <c r="DO169" i="1" a="1"/>
  <c r="DO169" i="1" s="1"/>
  <c r="DO198" i="1" a="1"/>
  <c r="DO198" i="1" s="1"/>
  <c r="DO248" i="1" a="1"/>
  <c r="DO248" i="1" s="1"/>
  <c r="DO249" i="1" a="1"/>
  <c r="DO249" i="1" s="1"/>
  <c r="DO254" i="1" a="1"/>
  <c r="DO254" i="1" s="1"/>
  <c r="DO255" i="1" a="1"/>
  <c r="DO255" i="1" s="1"/>
  <c r="DO256" i="1" a="1"/>
  <c r="DO256" i="1" s="1"/>
  <c r="DO273" i="1" a="1"/>
  <c r="DO273" i="1" s="1"/>
  <c r="DO277" i="1" a="1"/>
  <c r="DO277" i="1" s="1"/>
  <c r="DO293" i="1" a="1"/>
  <c r="DO293" i="1" s="1"/>
  <c r="DO294" i="1" a="1"/>
  <c r="DO294" i="1" s="1"/>
  <c r="DO304" i="1" a="1"/>
  <c r="DO304" i="1" s="1"/>
  <c r="DO305" i="1" a="1"/>
  <c r="DO305" i="1" s="1"/>
  <c r="DO306" i="1" a="1"/>
  <c r="DO306" i="1" s="1"/>
  <c r="DO307" i="1" a="1"/>
  <c r="DO307" i="1" s="1"/>
  <c r="DO308" i="1" a="1"/>
  <c r="DO308" i="1" s="1"/>
  <c r="DO318" i="1" a="1"/>
  <c r="DO318" i="1" s="1"/>
  <c r="DO319" i="1" a="1"/>
  <c r="DO319" i="1" s="1"/>
  <c r="DO154" i="1" a="1"/>
  <c r="DO154" i="1" s="1"/>
  <c r="DO155" i="1" a="1"/>
  <c r="DO155" i="1" s="1"/>
  <c r="DO156" i="1" a="1"/>
  <c r="DO156" i="1" s="1"/>
  <c r="DO157" i="1" a="1"/>
  <c r="DO157" i="1" s="1"/>
  <c r="DO158" i="1" a="1"/>
  <c r="DO158" i="1" s="1"/>
  <c r="DO159" i="1" a="1"/>
  <c r="DO159" i="1" s="1"/>
  <c r="DO160" i="1" a="1"/>
  <c r="DO160" i="1" s="1"/>
  <c r="DO161" i="1" a="1"/>
  <c r="DO161" i="1" s="1"/>
  <c r="DO162" i="1" a="1"/>
  <c r="DO162" i="1" s="1"/>
  <c r="DO163" i="1" a="1"/>
  <c r="DO163" i="1" s="1"/>
  <c r="DO164" i="1" a="1"/>
  <c r="DO164" i="1" s="1"/>
  <c r="DO165" i="1" a="1"/>
  <c r="DO165" i="1" s="1"/>
  <c r="DO166" i="1" a="1"/>
  <c r="DO166" i="1" s="1"/>
  <c r="DO172" i="1" a="1"/>
  <c r="DO172" i="1" s="1"/>
  <c r="DO184" i="1" a="1"/>
  <c r="DO184" i="1" s="1"/>
  <c r="DO188" i="1" a="1"/>
  <c r="DO188" i="1" s="1"/>
  <c r="DO257" i="1" a="1"/>
  <c r="DO257" i="1" s="1"/>
  <c r="DO262" i="1" a="1"/>
  <c r="DO262" i="1" s="1"/>
  <c r="DO263" i="1" a="1"/>
  <c r="DO263" i="1" s="1"/>
  <c r="DO266" i="1" a="1"/>
  <c r="DO266" i="1" s="1"/>
  <c r="DO267" i="1" a="1"/>
  <c r="DO267" i="1" s="1"/>
  <c r="DO270" i="1" a="1"/>
  <c r="DO270" i="1" s="1"/>
  <c r="DO278" i="1" a="1"/>
  <c r="DO278" i="1" s="1"/>
  <c r="DO282" i="1" a="1"/>
  <c r="DO282" i="1" s="1"/>
  <c r="DO284" i="1" a="1"/>
  <c r="DO284" i="1" s="1"/>
  <c r="DO295" i="1" a="1"/>
  <c r="DO295" i="1" s="1"/>
  <c r="DO296" i="1" a="1"/>
  <c r="DO296" i="1" s="1"/>
  <c r="DO297" i="1" a="1"/>
  <c r="DO297" i="1" s="1"/>
  <c r="DO309" i="1" a="1"/>
  <c r="DO309" i="1" s="1"/>
  <c r="DO310" i="1" a="1"/>
  <c r="DO310" i="1" s="1"/>
  <c r="DO320" i="1" a="1"/>
  <c r="DO320" i="1" s="1"/>
  <c r="DO321" i="1" a="1"/>
  <c r="DO321" i="1" s="1"/>
  <c r="DO322" i="1" a="1"/>
  <c r="DO322" i="1" s="1"/>
  <c r="DO323" i="1" a="1"/>
  <c r="DO323" i="1" s="1"/>
  <c r="DO324" i="1" a="1"/>
  <c r="DO324" i="1" s="1"/>
  <c r="DK25" i="1" a="1"/>
  <c r="DK25" i="1" s="1"/>
  <c r="DK28" i="1" a="1"/>
  <c r="DK28" i="1" s="1"/>
  <c r="DK30" i="1" a="1"/>
  <c r="DK30" i="1" s="1"/>
  <c r="DK32" i="1" a="1"/>
  <c r="DK32" i="1" s="1"/>
  <c r="DK34" i="1" a="1"/>
  <c r="DK34" i="1" s="1"/>
  <c r="DK36" i="1" a="1"/>
  <c r="DK36" i="1" s="1"/>
  <c r="DK38" i="1" a="1"/>
  <c r="DK38" i="1" s="1"/>
  <c r="DK44" i="1" a="1"/>
  <c r="DK44" i="1" s="1"/>
  <c r="DK45" i="1" a="1"/>
  <c r="DK45" i="1" s="1"/>
  <c r="DK49" i="1" a="1"/>
  <c r="DK49" i="1" s="1"/>
  <c r="DK57" i="1" a="1"/>
  <c r="DK57" i="1" s="1"/>
  <c r="DK58" i="1" a="1"/>
  <c r="DK58" i="1" s="1"/>
  <c r="DK59" i="1" a="1"/>
  <c r="DK59" i="1" s="1"/>
  <c r="DK60" i="1" a="1"/>
  <c r="DK60" i="1" s="1"/>
  <c r="DK62" i="1" a="1"/>
  <c r="DK62" i="1" s="1"/>
  <c r="DK63" i="1" a="1"/>
  <c r="DK63" i="1" s="1"/>
  <c r="DK64" i="1" a="1"/>
  <c r="DK64" i="1" s="1"/>
  <c r="DK26" i="1" a="1"/>
  <c r="DK26" i="1" s="1"/>
  <c r="DK54" i="1" a="1"/>
  <c r="DK54" i="1" s="1"/>
  <c r="DK55" i="1" a="1"/>
  <c r="DK55" i="1" s="1"/>
  <c r="DK56" i="1" a="1"/>
  <c r="DK56" i="1" s="1"/>
  <c r="DK66" i="1" a="1"/>
  <c r="DK66" i="1" s="1"/>
  <c r="DK68" i="1" a="1"/>
  <c r="DK68" i="1" s="1"/>
  <c r="DK70" i="1" a="1"/>
  <c r="DK70" i="1" s="1"/>
  <c r="DK72" i="1" a="1"/>
  <c r="DK72" i="1" s="1"/>
  <c r="DK74" i="1" a="1"/>
  <c r="DK74" i="1" s="1"/>
  <c r="DK29" i="1" a="1"/>
  <c r="DK29" i="1" s="1"/>
  <c r="DK33" i="1" a="1"/>
  <c r="DK33" i="1" s="1"/>
  <c r="DK37" i="1" a="1"/>
  <c r="DK37" i="1" s="1"/>
  <c r="DK48" i="1" a="1"/>
  <c r="DK48" i="1" s="1"/>
  <c r="DK61" i="1" a="1"/>
  <c r="DK61" i="1" s="1"/>
  <c r="DK65" i="1" a="1"/>
  <c r="DK65" i="1" s="1"/>
  <c r="DK69" i="1" a="1"/>
  <c r="DK69" i="1" s="1"/>
  <c r="DK73" i="1" a="1"/>
  <c r="DK73" i="1" s="1"/>
  <c r="DK85" i="1" a="1"/>
  <c r="DK85" i="1" s="1"/>
  <c r="DK93" i="1" a="1"/>
  <c r="DK93" i="1" s="1"/>
  <c r="DK23" i="1" a="1"/>
  <c r="DK23" i="1" s="1"/>
  <c r="DK24" i="1" a="1"/>
  <c r="DK24" i="1" s="1"/>
  <c r="DK76" i="1" a="1"/>
  <c r="DK76" i="1" s="1"/>
  <c r="DK77" i="1" a="1"/>
  <c r="DK77" i="1" s="1"/>
  <c r="DK78" i="1" a="1"/>
  <c r="DK78" i="1" s="1"/>
  <c r="DK80" i="1" a="1"/>
  <c r="DK80" i="1" s="1"/>
  <c r="DK82" i="1" a="1"/>
  <c r="DK82" i="1" s="1"/>
  <c r="DK88" i="1" a="1"/>
  <c r="DK88" i="1" s="1"/>
  <c r="DK92" i="1" a="1"/>
  <c r="DK92" i="1" s="1"/>
  <c r="DK95" i="1" a="1"/>
  <c r="DK95" i="1" s="1"/>
  <c r="DK41" i="1" a="1"/>
  <c r="DK41" i="1" s="1"/>
  <c r="DK46" i="1" a="1"/>
  <c r="DK46" i="1" s="1"/>
  <c r="DK53" i="1" a="1"/>
  <c r="DK53" i="1" s="1"/>
  <c r="DK71" i="1" a="1"/>
  <c r="DK71" i="1" s="1"/>
  <c r="DK79" i="1" a="1"/>
  <c r="DK79" i="1" s="1"/>
  <c r="DK89" i="1" a="1"/>
  <c r="DK89" i="1" s="1"/>
  <c r="DK90" i="1" a="1"/>
  <c r="DK90" i="1" s="1"/>
  <c r="DK91" i="1" a="1"/>
  <c r="DK91" i="1" s="1"/>
  <c r="DK96" i="1" a="1"/>
  <c r="DK96" i="1" s="1"/>
  <c r="DK97" i="1" a="1"/>
  <c r="DK97" i="1" s="1"/>
  <c r="DK98" i="1" a="1"/>
  <c r="DK98" i="1" s="1"/>
  <c r="DK110" i="1" a="1"/>
  <c r="DK110" i="1" s="1"/>
  <c r="DK112" i="1" a="1"/>
  <c r="DK112" i="1" s="1"/>
  <c r="DK115" i="1" a="1"/>
  <c r="DK115" i="1" s="1"/>
  <c r="DK116" i="1" a="1"/>
  <c r="DK116" i="1" s="1"/>
  <c r="DK35" i="1" a="1"/>
  <c r="DK35" i="1" s="1"/>
  <c r="DK50" i="1" a="1"/>
  <c r="DK50" i="1" s="1"/>
  <c r="DK86" i="1" a="1"/>
  <c r="DK86" i="1" s="1"/>
  <c r="DK101" i="1" a="1"/>
  <c r="DK101" i="1" s="1"/>
  <c r="DK103" i="1" a="1"/>
  <c r="DK103" i="1" s="1"/>
  <c r="DK105" i="1" a="1"/>
  <c r="DK105" i="1" s="1"/>
  <c r="DK107" i="1" a="1"/>
  <c r="DK107" i="1" s="1"/>
  <c r="DK118" i="1" a="1"/>
  <c r="DK118" i="1" s="1"/>
  <c r="DK52" i="1" a="1"/>
  <c r="DK52" i="1" s="1"/>
  <c r="DK81" i="1" a="1"/>
  <c r="DK81" i="1" s="1"/>
  <c r="DK83" i="1" a="1"/>
  <c r="DK83" i="1" s="1"/>
  <c r="DK104" i="1" a="1"/>
  <c r="DK104" i="1" s="1"/>
  <c r="DK108" i="1" a="1"/>
  <c r="DK108" i="1" s="1"/>
  <c r="DK31" i="1" a="1"/>
  <c r="DK31" i="1" s="1"/>
  <c r="DK43" i="1" a="1"/>
  <c r="DK43" i="1" s="1"/>
  <c r="DK51" i="1" a="1"/>
  <c r="DK51" i="1" s="1"/>
  <c r="DK87" i="1" a="1"/>
  <c r="DK87" i="1" s="1"/>
  <c r="DK94" i="1" a="1"/>
  <c r="DK94" i="1" s="1"/>
  <c r="DK99" i="1" a="1"/>
  <c r="DK99" i="1" s="1"/>
  <c r="DK109" i="1" a="1"/>
  <c r="DK109" i="1" s="1"/>
  <c r="DK111" i="1" a="1"/>
  <c r="DK111" i="1" s="1"/>
  <c r="DK114" i="1" a="1"/>
  <c r="DK114" i="1" s="1"/>
  <c r="DK117" i="1" a="1"/>
  <c r="DK117" i="1" s="1"/>
  <c r="DK120" i="1" a="1"/>
  <c r="DK120" i="1" s="1"/>
  <c r="DK121" i="1" a="1"/>
  <c r="DK121" i="1" s="1"/>
  <c r="DK123" i="1" a="1"/>
  <c r="DK123" i="1" s="1"/>
  <c r="DK125" i="1" a="1"/>
  <c r="DK125" i="1" s="1"/>
  <c r="DK127" i="1" a="1"/>
  <c r="DK127" i="1" s="1"/>
  <c r="DK129" i="1" a="1"/>
  <c r="DK129" i="1" s="1"/>
  <c r="DK131" i="1" a="1"/>
  <c r="DK131" i="1" s="1"/>
  <c r="DK133" i="1" a="1"/>
  <c r="DK133" i="1" s="1"/>
  <c r="DK135" i="1" a="1"/>
  <c r="DK135" i="1" s="1"/>
  <c r="DK137" i="1" a="1"/>
  <c r="DK137" i="1" s="1"/>
  <c r="DK138" i="1" a="1"/>
  <c r="DK138" i="1" s="1"/>
  <c r="DK139" i="1" a="1"/>
  <c r="DK139" i="1" s="1"/>
  <c r="DK140" i="1" a="1"/>
  <c r="DK140" i="1" s="1"/>
  <c r="DK141" i="1" a="1"/>
  <c r="DK141" i="1" s="1"/>
  <c r="DK142" i="1" a="1"/>
  <c r="DK142" i="1" s="1"/>
  <c r="DK143" i="1" a="1"/>
  <c r="DK143" i="1" s="1"/>
  <c r="DK146" i="1" a="1"/>
  <c r="DK146" i="1" s="1"/>
  <c r="DK147" i="1" a="1"/>
  <c r="DK147" i="1" s="1"/>
  <c r="DK149" i="1" a="1"/>
  <c r="DK149" i="1" s="1"/>
  <c r="DK150" i="1" a="1"/>
  <c r="DK150" i="1" s="1"/>
  <c r="DK151" i="1" a="1"/>
  <c r="DK151" i="1" s="1"/>
  <c r="DK40" i="1" a="1"/>
  <c r="DK40" i="1" s="1"/>
  <c r="DK42" i="1" a="1"/>
  <c r="DK42" i="1" s="1"/>
  <c r="DK84" i="1" a="1"/>
  <c r="DK84" i="1" s="1"/>
  <c r="DK102" i="1" a="1"/>
  <c r="DK102" i="1" s="1"/>
  <c r="DK106" i="1" a="1"/>
  <c r="DK106" i="1" s="1"/>
  <c r="DK113" i="1" a="1"/>
  <c r="DK113" i="1" s="1"/>
  <c r="DK144" i="1" a="1"/>
  <c r="DK144" i="1" s="1"/>
  <c r="DK145" i="1" a="1"/>
  <c r="DK145" i="1" s="1"/>
  <c r="DK152" i="1" a="1"/>
  <c r="DK152" i="1" s="1"/>
  <c r="DK153" i="1" a="1"/>
  <c r="DK153" i="1" s="1"/>
  <c r="DK67" i="1" a="1"/>
  <c r="DK67" i="1" s="1"/>
  <c r="DK119" i="1" a="1"/>
  <c r="DK119" i="1" s="1"/>
  <c r="DK128" i="1" a="1"/>
  <c r="DK128" i="1" s="1"/>
  <c r="DK136" i="1" a="1"/>
  <c r="DK136" i="1" s="1"/>
  <c r="DK167" i="1" a="1"/>
  <c r="DK167" i="1" s="1"/>
  <c r="DK170" i="1" a="1"/>
  <c r="DK170" i="1" s="1"/>
  <c r="DK174" i="1" a="1"/>
  <c r="DK174" i="1" s="1"/>
  <c r="DK185" i="1" a="1"/>
  <c r="DK185" i="1" s="1"/>
  <c r="DK186" i="1" a="1"/>
  <c r="DK186" i="1" s="1"/>
  <c r="DK189" i="1" a="1"/>
  <c r="DK189" i="1" s="1"/>
  <c r="DK190" i="1" a="1"/>
  <c r="DK190" i="1" s="1"/>
  <c r="DK192" i="1" a="1"/>
  <c r="DK192" i="1" s="1"/>
  <c r="DK193" i="1" a="1"/>
  <c r="DK193" i="1" s="1"/>
  <c r="DK200" i="1" a="1"/>
  <c r="DK200" i="1" s="1"/>
  <c r="DK201" i="1" a="1"/>
  <c r="DK201" i="1" s="1"/>
  <c r="DK39" i="1" a="1"/>
  <c r="DK39" i="1" s="1"/>
  <c r="DK47" i="1" a="1"/>
  <c r="DK47" i="1" s="1"/>
  <c r="DK126" i="1" a="1"/>
  <c r="DK126" i="1" s="1"/>
  <c r="DK134" i="1" a="1"/>
  <c r="DK134" i="1" s="1"/>
  <c r="DK148" i="1" a="1"/>
  <c r="DK148" i="1" s="1"/>
  <c r="DK171" i="1" a="1"/>
  <c r="DK171" i="1" s="1"/>
  <c r="DK175" i="1" a="1"/>
  <c r="DK175" i="1" s="1"/>
  <c r="DK180" i="1" a="1"/>
  <c r="DK180" i="1" s="1"/>
  <c r="DK181" i="1" a="1"/>
  <c r="DK181" i="1" s="1"/>
  <c r="DK187" i="1" a="1"/>
  <c r="DK187" i="1" s="1"/>
  <c r="DK194" i="1" a="1"/>
  <c r="DK194" i="1" s="1"/>
  <c r="DK202" i="1" a="1"/>
  <c r="DK202" i="1" s="1"/>
  <c r="DK203" i="1" a="1"/>
  <c r="DK203" i="1" s="1"/>
  <c r="DK75" i="1" a="1"/>
  <c r="DK75" i="1" s="1"/>
  <c r="DK124" i="1" a="1"/>
  <c r="DK124" i="1" s="1"/>
  <c r="DK132" i="1" a="1"/>
  <c r="DK132" i="1" s="1"/>
  <c r="DK168" i="1" a="1"/>
  <c r="DK168" i="1" s="1"/>
  <c r="DK176" i="1" a="1"/>
  <c r="DK176" i="1" s="1"/>
  <c r="DK182" i="1" a="1"/>
  <c r="DK182" i="1" s="1"/>
  <c r="DK183" i="1" a="1"/>
  <c r="DK183" i="1" s="1"/>
  <c r="DK191" i="1" a="1"/>
  <c r="DK191" i="1" s="1"/>
  <c r="DK195" i="1" a="1"/>
  <c r="DK195" i="1" s="1"/>
  <c r="DK196" i="1" a="1"/>
  <c r="DK196" i="1" s="1"/>
  <c r="DK197" i="1" a="1"/>
  <c r="DK197" i="1" s="1"/>
  <c r="DK204" i="1" a="1"/>
  <c r="DK204" i="1" s="1"/>
  <c r="DK205" i="1" a="1"/>
  <c r="DK205" i="1" s="1"/>
  <c r="DK206" i="1" a="1"/>
  <c r="DK206" i="1" s="1"/>
  <c r="DK207" i="1" a="1"/>
  <c r="DK207" i="1" s="1"/>
  <c r="DK208" i="1" a="1"/>
  <c r="DK208" i="1" s="1"/>
  <c r="DK209" i="1" a="1"/>
  <c r="DK209" i="1" s="1"/>
  <c r="DK210" i="1" a="1"/>
  <c r="DK210" i="1" s="1"/>
  <c r="DK211" i="1" a="1"/>
  <c r="DK211" i="1" s="1"/>
  <c r="DK212" i="1" a="1"/>
  <c r="DK212" i="1" s="1"/>
  <c r="DK213" i="1" a="1"/>
  <c r="DK213" i="1" s="1"/>
  <c r="DK214" i="1" a="1"/>
  <c r="DK214" i="1" s="1"/>
  <c r="DK215" i="1" a="1"/>
  <c r="DK215" i="1" s="1"/>
  <c r="DK216" i="1" a="1"/>
  <c r="DK216" i="1" s="1"/>
  <c r="DK217" i="1" a="1"/>
  <c r="DK217" i="1" s="1"/>
  <c r="DK218" i="1" a="1"/>
  <c r="DK218" i="1" s="1"/>
  <c r="DK219" i="1" a="1"/>
  <c r="DK219" i="1" s="1"/>
  <c r="DK220" i="1" a="1"/>
  <c r="DK220" i="1" s="1"/>
  <c r="DK130" i="1" a="1"/>
  <c r="DK130" i="1" s="1"/>
  <c r="DK177" i="1" a="1"/>
  <c r="DK177" i="1" s="1"/>
  <c r="DK178" i="1" a="1"/>
  <c r="DK178" i="1" s="1"/>
  <c r="DK179" i="1" a="1"/>
  <c r="DK179" i="1" s="1"/>
  <c r="DK246" i="1" a="1"/>
  <c r="DK246" i="1" s="1"/>
  <c r="DK247" i="1" a="1"/>
  <c r="DK247" i="1" s="1"/>
  <c r="DK248" i="1" a="1"/>
  <c r="DK248" i="1" s="1"/>
  <c r="DK253" i="1" a="1"/>
  <c r="DK253" i="1" s="1"/>
  <c r="DK259" i="1" a="1"/>
  <c r="DK259" i="1" s="1"/>
  <c r="DK260" i="1" a="1"/>
  <c r="DK260" i="1" s="1"/>
  <c r="DK261" i="1" a="1"/>
  <c r="DK261" i="1" s="1"/>
  <c r="DK265" i="1" a="1"/>
  <c r="DK265" i="1" s="1"/>
  <c r="DK269" i="1" a="1"/>
  <c r="DK269" i="1" s="1"/>
  <c r="DK275" i="1" a="1"/>
  <c r="DK275" i="1" s="1"/>
  <c r="DK276" i="1" a="1"/>
  <c r="DK276" i="1" s="1"/>
  <c r="DK280" i="1" a="1"/>
  <c r="DK280" i="1" s="1"/>
  <c r="DK281" i="1" a="1"/>
  <c r="DK281" i="1" s="1"/>
  <c r="DK283" i="1" a="1"/>
  <c r="DK283" i="1" s="1"/>
  <c r="DK287" i="1" a="1"/>
  <c r="DK287" i="1" s="1"/>
  <c r="DK288" i="1" a="1"/>
  <c r="DK288" i="1" s="1"/>
  <c r="DK289" i="1" a="1"/>
  <c r="DK289" i="1" s="1"/>
  <c r="DK290" i="1" a="1"/>
  <c r="DK290" i="1" s="1"/>
  <c r="DK291" i="1" a="1"/>
  <c r="DK291" i="1" s="1"/>
  <c r="DK292" i="1" a="1"/>
  <c r="DK292" i="1" s="1"/>
  <c r="DK302" i="1" a="1"/>
  <c r="DK302" i="1" s="1"/>
  <c r="DK303" i="1" a="1"/>
  <c r="DK303" i="1" s="1"/>
  <c r="DK304" i="1" a="1"/>
  <c r="DK304" i="1" s="1"/>
  <c r="DK316" i="1" a="1"/>
  <c r="DK316" i="1" s="1"/>
  <c r="DK122" i="1" a="1"/>
  <c r="DK122" i="1" s="1"/>
  <c r="DK169" i="1" a="1"/>
  <c r="DK169" i="1" s="1"/>
  <c r="DK198" i="1" a="1"/>
  <c r="DK198" i="1" s="1"/>
  <c r="DK199" i="1" a="1"/>
  <c r="DK199" i="1" s="1"/>
  <c r="DK249" i="1" a="1"/>
  <c r="DK249" i="1" s="1"/>
  <c r="DK254" i="1" a="1"/>
  <c r="DK254" i="1" s="1"/>
  <c r="DK255" i="1" a="1"/>
  <c r="DK255" i="1" s="1"/>
  <c r="DK256" i="1" a="1"/>
  <c r="DK256" i="1" s="1"/>
  <c r="DK273" i="1" a="1"/>
  <c r="DK273" i="1" s="1"/>
  <c r="DK277" i="1" a="1"/>
  <c r="DK277" i="1" s="1"/>
  <c r="DK293" i="1" a="1"/>
  <c r="DK293" i="1" s="1"/>
  <c r="DK294" i="1" a="1"/>
  <c r="DK294" i="1" s="1"/>
  <c r="DK305" i="1" a="1"/>
  <c r="DK305" i="1" s="1"/>
  <c r="DK306" i="1" a="1"/>
  <c r="DK306" i="1" s="1"/>
  <c r="DK307" i="1" a="1"/>
  <c r="DK307" i="1" s="1"/>
  <c r="DK308" i="1" a="1"/>
  <c r="DK308" i="1" s="1"/>
  <c r="DK318" i="1" a="1"/>
  <c r="DK318" i="1" s="1"/>
  <c r="DK319" i="1" a="1"/>
  <c r="DK319" i="1" s="1"/>
  <c r="DK320" i="1" a="1"/>
  <c r="DK320" i="1" s="1"/>
  <c r="DK154" i="1" a="1"/>
  <c r="DK154" i="1" s="1"/>
  <c r="DK155" i="1" a="1"/>
  <c r="DK155" i="1" s="1"/>
  <c r="DK156" i="1" a="1"/>
  <c r="DK156" i="1" s="1"/>
  <c r="DK157" i="1" a="1"/>
  <c r="DK157" i="1" s="1"/>
  <c r="DK158" i="1" a="1"/>
  <c r="DK158" i="1" s="1"/>
  <c r="DK159" i="1" a="1"/>
  <c r="DK159" i="1" s="1"/>
  <c r="DK160" i="1" a="1"/>
  <c r="DK160" i="1" s="1"/>
  <c r="DK161" i="1" a="1"/>
  <c r="DK161" i="1" s="1"/>
  <c r="DK162" i="1" a="1"/>
  <c r="DK162" i="1" s="1"/>
  <c r="DK163" i="1" a="1"/>
  <c r="DK163" i="1" s="1"/>
  <c r="DK164" i="1" a="1"/>
  <c r="DK164" i="1" s="1"/>
  <c r="DK165" i="1" a="1"/>
  <c r="DK165" i="1" s="1"/>
  <c r="DK166" i="1" a="1"/>
  <c r="DK166" i="1" s="1"/>
  <c r="DK172" i="1" a="1"/>
  <c r="DK172" i="1" s="1"/>
  <c r="DK173" i="1" a="1"/>
  <c r="DK173" i="1" s="1"/>
  <c r="DK184" i="1" a="1"/>
  <c r="DK184" i="1" s="1"/>
  <c r="DK188" i="1" a="1"/>
  <c r="DK188" i="1" s="1"/>
  <c r="DK257" i="1" a="1"/>
  <c r="DK257" i="1" s="1"/>
  <c r="DK262" i="1" a="1"/>
  <c r="DK262" i="1" s="1"/>
  <c r="DK263" i="1" a="1"/>
  <c r="DK263" i="1" s="1"/>
  <c r="DK266" i="1" a="1"/>
  <c r="DK266" i="1" s="1"/>
  <c r="DK267" i="1" a="1"/>
  <c r="DK267" i="1" s="1"/>
  <c r="DK270" i="1" a="1"/>
  <c r="DK270" i="1" s="1"/>
  <c r="DK278" i="1" a="1"/>
  <c r="DK278" i="1" s="1"/>
  <c r="DK282" i="1" a="1"/>
  <c r="DK282" i="1" s="1"/>
  <c r="DK284" i="1" a="1"/>
  <c r="DK284" i="1" s="1"/>
  <c r="DK295" i="1" a="1"/>
  <c r="DK295" i="1" s="1"/>
  <c r="DK296" i="1" a="1"/>
  <c r="DK296" i="1" s="1"/>
  <c r="DK297" i="1" a="1"/>
  <c r="DK297" i="1" s="1"/>
  <c r="DK309" i="1" a="1"/>
  <c r="DK309" i="1" s="1"/>
  <c r="DK310" i="1" a="1"/>
  <c r="DK310" i="1" s="1"/>
  <c r="DK321" i="1" a="1"/>
  <c r="DK321" i="1" s="1"/>
  <c r="DK322" i="1" a="1"/>
  <c r="DK322" i="1" s="1"/>
  <c r="DK323" i="1" a="1"/>
  <c r="DK323" i="1" s="1"/>
  <c r="DK324" i="1" a="1"/>
  <c r="DK324" i="1" s="1"/>
  <c r="DG23" i="1" a="1"/>
  <c r="DG23" i="1" s="1"/>
  <c r="DG25" i="1" a="1"/>
  <c r="DG25" i="1" s="1"/>
  <c r="DG27" i="1" a="1"/>
  <c r="DG27" i="1" s="1"/>
  <c r="DG44" i="1" a="1"/>
  <c r="DG44" i="1" s="1"/>
  <c r="DG48" i="1" a="1"/>
  <c r="DG48" i="1" s="1"/>
  <c r="DG57" i="1" a="1"/>
  <c r="DG57" i="1" s="1"/>
  <c r="DG65" i="1" a="1"/>
  <c r="DG65" i="1" s="1"/>
  <c r="DG67" i="1" a="1"/>
  <c r="DG67" i="1" s="1"/>
  <c r="DG69" i="1" a="1"/>
  <c r="DG69" i="1" s="1"/>
  <c r="DG71" i="1" a="1"/>
  <c r="DG71" i="1" s="1"/>
  <c r="DG73" i="1" a="1"/>
  <c r="DG73" i="1" s="1"/>
  <c r="DG28" i="1" a="1"/>
  <c r="DG28" i="1" s="1"/>
  <c r="DG30" i="1" a="1"/>
  <c r="DG30" i="1" s="1"/>
  <c r="DG32" i="1" a="1"/>
  <c r="DG32" i="1" s="1"/>
  <c r="DG34" i="1" a="1"/>
  <c r="DG34" i="1" s="1"/>
  <c r="DG36" i="1" a="1"/>
  <c r="DG36" i="1" s="1"/>
  <c r="DG38" i="1" a="1"/>
  <c r="DG38" i="1" s="1"/>
  <c r="DG45" i="1" a="1"/>
  <c r="DG45" i="1" s="1"/>
  <c r="DG49" i="1" a="1"/>
  <c r="DG49" i="1" s="1"/>
  <c r="DG58" i="1" a="1"/>
  <c r="DG58" i="1" s="1"/>
  <c r="DG59" i="1" a="1"/>
  <c r="DG59" i="1" s="1"/>
  <c r="DG60" i="1" a="1"/>
  <c r="DG60" i="1" s="1"/>
  <c r="DG62" i="1" a="1"/>
  <c r="DG62" i="1" s="1"/>
  <c r="DG63" i="1" a="1"/>
  <c r="DG63" i="1" s="1"/>
  <c r="DG64" i="1" a="1"/>
  <c r="DG64" i="1" s="1"/>
  <c r="DG40" i="1" a="1"/>
  <c r="DG40" i="1" s="1"/>
  <c r="DG41" i="1" a="1"/>
  <c r="DG41" i="1" s="1"/>
  <c r="DG42" i="1" a="1"/>
  <c r="DG42" i="1" s="1"/>
  <c r="DG43" i="1" a="1"/>
  <c r="DG43" i="1" s="1"/>
  <c r="DG47" i="1" a="1"/>
  <c r="DG47" i="1" s="1"/>
  <c r="DG51" i="1" a="1"/>
  <c r="DG51" i="1" s="1"/>
  <c r="DG52" i="1" a="1"/>
  <c r="DG52" i="1" s="1"/>
  <c r="DG53" i="1" a="1"/>
  <c r="DG53" i="1" s="1"/>
  <c r="DG54" i="1" a="1"/>
  <c r="DG54" i="1" s="1"/>
  <c r="DG55" i="1" a="1"/>
  <c r="DG55" i="1" s="1"/>
  <c r="DG56" i="1" a="1"/>
  <c r="DG56" i="1" s="1"/>
  <c r="DG61" i="1" a="1"/>
  <c r="DG61" i="1" s="1"/>
  <c r="DG79" i="1" a="1"/>
  <c r="DG79" i="1" s="1"/>
  <c r="DG86" i="1" a="1"/>
  <c r="DG86" i="1" s="1"/>
  <c r="DG89" i="1" a="1"/>
  <c r="DG89" i="1" s="1"/>
  <c r="DG26" i="1" a="1"/>
  <c r="DG26" i="1" s="1"/>
  <c r="DG29" i="1" a="1"/>
  <c r="DG29" i="1" s="1"/>
  <c r="DG33" i="1" a="1"/>
  <c r="DG33" i="1" s="1"/>
  <c r="DG37" i="1" a="1"/>
  <c r="DG37" i="1" s="1"/>
  <c r="DG66" i="1" a="1"/>
  <c r="DG66" i="1" s="1"/>
  <c r="DG70" i="1" a="1"/>
  <c r="DG70" i="1" s="1"/>
  <c r="DG77" i="1" a="1"/>
  <c r="DG77" i="1" s="1"/>
  <c r="DG85" i="1" a="1"/>
  <c r="DG85" i="1" s="1"/>
  <c r="DG93" i="1" a="1"/>
  <c r="DG93" i="1" s="1"/>
  <c r="DG96" i="1" a="1"/>
  <c r="DG96" i="1" s="1"/>
  <c r="DG24" i="1" a="1"/>
  <c r="DG24" i="1" s="1"/>
  <c r="DG31" i="1" a="1"/>
  <c r="DG31" i="1" s="1"/>
  <c r="DG39" i="1" a="1"/>
  <c r="DG39" i="1" s="1"/>
  <c r="DG46" i="1" a="1"/>
  <c r="DG46" i="1" s="1"/>
  <c r="DG75" i="1" a="1"/>
  <c r="DG75" i="1" s="1"/>
  <c r="DG81" i="1" a="1"/>
  <c r="DG81" i="1" s="1"/>
  <c r="DG82" i="1" a="1"/>
  <c r="DG82" i="1" s="1"/>
  <c r="DG83" i="1" a="1"/>
  <c r="DG83" i="1" s="1"/>
  <c r="DG84" i="1" a="1"/>
  <c r="DG84" i="1" s="1"/>
  <c r="DG94" i="1" a="1"/>
  <c r="DG94" i="1" s="1"/>
  <c r="DG97" i="1" a="1"/>
  <c r="DG97" i="1" s="1"/>
  <c r="DG100" i="1" a="1"/>
  <c r="DG100" i="1" s="1"/>
  <c r="DG102" i="1" a="1"/>
  <c r="DG102" i="1" s="1"/>
  <c r="DG104" i="1" a="1"/>
  <c r="DG104" i="1" s="1"/>
  <c r="DG106" i="1" a="1"/>
  <c r="DG106" i="1" s="1"/>
  <c r="DG108" i="1" a="1"/>
  <c r="DG108" i="1" s="1"/>
  <c r="DG110" i="1" a="1"/>
  <c r="DG110" i="1" s="1"/>
  <c r="DG111" i="1" a="1"/>
  <c r="DG111" i="1" s="1"/>
  <c r="DG112" i="1" a="1"/>
  <c r="DG112" i="1" s="1"/>
  <c r="DG113" i="1" a="1"/>
  <c r="DG113" i="1" s="1"/>
  <c r="DG120" i="1" a="1"/>
  <c r="DG120" i="1" s="1"/>
  <c r="DG68" i="1" a="1"/>
  <c r="DG68" i="1" s="1"/>
  <c r="DG76" i="1" a="1"/>
  <c r="DG76" i="1" s="1"/>
  <c r="DG80" i="1" a="1"/>
  <c r="DG80" i="1" s="1"/>
  <c r="DG90" i="1" a="1"/>
  <c r="DG90" i="1" s="1"/>
  <c r="DG91" i="1" a="1"/>
  <c r="DG91" i="1" s="1"/>
  <c r="DG92" i="1" a="1"/>
  <c r="DG92" i="1" s="1"/>
  <c r="DG95" i="1" a="1"/>
  <c r="DG95" i="1" s="1"/>
  <c r="DG98" i="1" a="1"/>
  <c r="DG98" i="1" s="1"/>
  <c r="DG101" i="1" a="1"/>
  <c r="DG101" i="1" s="1"/>
  <c r="DG115" i="1" a="1"/>
  <c r="DG115" i="1" s="1"/>
  <c r="DG116" i="1" a="1"/>
  <c r="DG116" i="1" s="1"/>
  <c r="DG72" i="1" a="1"/>
  <c r="DG72" i="1" s="1"/>
  <c r="DG122" i="1" a="1"/>
  <c r="DG122" i="1" s="1"/>
  <c r="DG124" i="1" a="1"/>
  <c r="DG124" i="1" s="1"/>
  <c r="DG126" i="1" a="1"/>
  <c r="DG126" i="1" s="1"/>
  <c r="DG128" i="1" a="1"/>
  <c r="DG128" i="1" s="1"/>
  <c r="DG130" i="1" a="1"/>
  <c r="DG130" i="1" s="1"/>
  <c r="DG132" i="1" a="1"/>
  <c r="DG132" i="1" s="1"/>
  <c r="DG134" i="1" a="1"/>
  <c r="DG134" i="1" s="1"/>
  <c r="DG136" i="1" a="1"/>
  <c r="DG136" i="1" s="1"/>
  <c r="DG50" i="1" a="1"/>
  <c r="DG50" i="1" s="1"/>
  <c r="DG88" i="1" a="1"/>
  <c r="DG88" i="1" s="1"/>
  <c r="DG99" i="1" a="1"/>
  <c r="DG99" i="1" s="1"/>
  <c r="DG105" i="1" a="1"/>
  <c r="DG105" i="1" s="1"/>
  <c r="DG109" i="1" a="1"/>
  <c r="DG109" i="1" s="1"/>
  <c r="DG117" i="1" a="1"/>
  <c r="DG117" i="1" s="1"/>
  <c r="DG137" i="1" a="1"/>
  <c r="DG137" i="1" s="1"/>
  <c r="DG138" i="1" a="1"/>
  <c r="DG138" i="1" s="1"/>
  <c r="DG139" i="1" a="1"/>
  <c r="DG139" i="1" s="1"/>
  <c r="DG140" i="1" a="1"/>
  <c r="DG140" i="1" s="1"/>
  <c r="DG141" i="1" a="1"/>
  <c r="DG141" i="1" s="1"/>
  <c r="DG142" i="1" a="1"/>
  <c r="DG142" i="1" s="1"/>
  <c r="DG146" i="1" a="1"/>
  <c r="DG146" i="1" s="1"/>
  <c r="DG150" i="1" a="1"/>
  <c r="DG150" i="1" s="1"/>
  <c r="DG151" i="1" a="1"/>
  <c r="DG151" i="1" s="1"/>
  <c r="DG35" i="1" a="1"/>
  <c r="DG35" i="1" s="1"/>
  <c r="DG74" i="1" a="1"/>
  <c r="DG74" i="1" s="1"/>
  <c r="DG87" i="1" a="1"/>
  <c r="DG87" i="1" s="1"/>
  <c r="DG114" i="1" a="1"/>
  <c r="DG114" i="1" s="1"/>
  <c r="DG118" i="1" a="1"/>
  <c r="DG118" i="1" s="1"/>
  <c r="DG121" i="1" a="1"/>
  <c r="DG121" i="1" s="1"/>
  <c r="DG123" i="1" a="1"/>
  <c r="DG123" i="1" s="1"/>
  <c r="DG125" i="1" a="1"/>
  <c r="DG125" i="1" s="1"/>
  <c r="DG127" i="1" a="1"/>
  <c r="DG127" i="1" s="1"/>
  <c r="DG129" i="1" a="1"/>
  <c r="DG129" i="1" s="1"/>
  <c r="DG131" i="1" a="1"/>
  <c r="DG131" i="1" s="1"/>
  <c r="DG133" i="1" a="1"/>
  <c r="DG133" i="1" s="1"/>
  <c r="DG135" i="1" a="1"/>
  <c r="DG135" i="1" s="1"/>
  <c r="DG143" i="1" a="1"/>
  <c r="DG143" i="1" s="1"/>
  <c r="DG144" i="1" a="1"/>
  <c r="DG144" i="1" s="1"/>
  <c r="DG147" i="1" a="1"/>
  <c r="DG147" i="1" s="1"/>
  <c r="DG149" i="1" a="1"/>
  <c r="DG149" i="1" s="1"/>
  <c r="DG152" i="1" a="1"/>
  <c r="DG152" i="1" s="1"/>
  <c r="DG153" i="1" a="1"/>
  <c r="DG153" i="1" s="1"/>
  <c r="DG119" i="1" a="1"/>
  <c r="DG119" i="1" s="1"/>
  <c r="DG167" i="1" a="1"/>
  <c r="DG167" i="1" s="1"/>
  <c r="DG170" i="1" a="1"/>
  <c r="DG170" i="1" s="1"/>
  <c r="DG174" i="1" a="1"/>
  <c r="DG174" i="1" s="1"/>
  <c r="DG180" i="1" a="1"/>
  <c r="DG180" i="1" s="1"/>
  <c r="DG185" i="1" a="1"/>
  <c r="DG185" i="1" s="1"/>
  <c r="DG186" i="1" a="1"/>
  <c r="DG186" i="1" s="1"/>
  <c r="DG190" i="1" a="1"/>
  <c r="DG190" i="1" s="1"/>
  <c r="DG193" i="1" a="1"/>
  <c r="DG193" i="1" s="1"/>
  <c r="DG200" i="1" a="1"/>
  <c r="DG200" i="1" s="1"/>
  <c r="DG201" i="1" a="1"/>
  <c r="DG201" i="1" s="1"/>
  <c r="DG148" i="1" a="1"/>
  <c r="DG148" i="1" s="1"/>
  <c r="DG168" i="1" a="1"/>
  <c r="DG168" i="1" s="1"/>
  <c r="DG171" i="1" a="1"/>
  <c r="DG171" i="1" s="1"/>
  <c r="DG175" i="1" a="1"/>
  <c r="DG175" i="1" s="1"/>
  <c r="DG181" i="1" a="1"/>
  <c r="DG181" i="1" s="1"/>
  <c r="DG187" i="1" a="1"/>
  <c r="DG187" i="1" s="1"/>
  <c r="DG194" i="1" a="1"/>
  <c r="DG194" i="1" s="1"/>
  <c r="DG202" i="1" a="1"/>
  <c r="DG202" i="1" s="1"/>
  <c r="DG203" i="1" a="1"/>
  <c r="DG203" i="1" s="1"/>
  <c r="DG107" i="1" a="1"/>
  <c r="DG107" i="1" s="1"/>
  <c r="DG145" i="1" a="1"/>
  <c r="DG145" i="1" s="1"/>
  <c r="DG154" i="1" a="1"/>
  <c r="DG154" i="1" s="1"/>
  <c r="DG176" i="1" a="1"/>
  <c r="DG176" i="1" s="1"/>
  <c r="DG182" i="1" a="1"/>
  <c r="DG182" i="1" s="1"/>
  <c r="DG183" i="1" a="1"/>
  <c r="DG183" i="1" s="1"/>
  <c r="DG191" i="1" a="1"/>
  <c r="DG191" i="1" s="1"/>
  <c r="DG195" i="1" a="1"/>
  <c r="DG195" i="1" s="1"/>
  <c r="DG196" i="1" a="1"/>
  <c r="DG196" i="1" s="1"/>
  <c r="DG197" i="1" a="1"/>
  <c r="DG197" i="1" s="1"/>
  <c r="DG204" i="1" a="1"/>
  <c r="DG204" i="1" s="1"/>
  <c r="DG205" i="1" a="1"/>
  <c r="DG205" i="1" s="1"/>
  <c r="DG206" i="1" a="1"/>
  <c r="DG206" i="1" s="1"/>
  <c r="DG207" i="1" a="1"/>
  <c r="DG207" i="1" s="1"/>
  <c r="DG208" i="1" a="1"/>
  <c r="DG208" i="1" s="1"/>
  <c r="DG209" i="1" a="1"/>
  <c r="DG209" i="1" s="1"/>
  <c r="DG210" i="1" a="1"/>
  <c r="DG210" i="1" s="1"/>
  <c r="DG211" i="1" a="1"/>
  <c r="DG211" i="1" s="1"/>
  <c r="DG212" i="1" a="1"/>
  <c r="DG212" i="1" s="1"/>
  <c r="DG213" i="1" a="1"/>
  <c r="DG213" i="1" s="1"/>
  <c r="DG214" i="1" a="1"/>
  <c r="DG214" i="1" s="1"/>
  <c r="DG215" i="1" a="1"/>
  <c r="DG215" i="1" s="1"/>
  <c r="DG216" i="1" a="1"/>
  <c r="DG216" i="1" s="1"/>
  <c r="DG217" i="1" a="1"/>
  <c r="DG217" i="1" s="1"/>
  <c r="DG218" i="1" a="1"/>
  <c r="DG218" i="1" s="1"/>
  <c r="DG219" i="1" a="1"/>
  <c r="DG219" i="1" s="1"/>
  <c r="DG220" i="1" a="1"/>
  <c r="DG220" i="1" s="1"/>
  <c r="DG177" i="1" a="1"/>
  <c r="DG177" i="1" s="1"/>
  <c r="DG178" i="1" a="1"/>
  <c r="DG178" i="1" s="1"/>
  <c r="DG179" i="1" a="1"/>
  <c r="DG179" i="1" s="1"/>
  <c r="DG246" i="1" a="1"/>
  <c r="DG246" i="1" s="1"/>
  <c r="DG247" i="1" a="1"/>
  <c r="DG247" i="1" s="1"/>
  <c r="DG248" i="1" a="1"/>
  <c r="DG248" i="1" s="1"/>
  <c r="DG253" i="1" a="1"/>
  <c r="DG253" i="1" s="1"/>
  <c r="DG260" i="1" a="1"/>
  <c r="DG260" i="1" s="1"/>
  <c r="DG261" i="1" a="1"/>
  <c r="DG261" i="1" s="1"/>
  <c r="DG265" i="1" a="1"/>
  <c r="DG265" i="1" s="1"/>
  <c r="DG269" i="1" a="1"/>
  <c r="DG269" i="1" s="1"/>
  <c r="DG276" i="1" a="1"/>
  <c r="DG276" i="1" s="1"/>
  <c r="DG280" i="1" a="1"/>
  <c r="DG280" i="1" s="1"/>
  <c r="DG281" i="1" a="1"/>
  <c r="DG281" i="1" s="1"/>
  <c r="DG283" i="1" a="1"/>
  <c r="DG283" i="1" s="1"/>
  <c r="DG287" i="1" a="1"/>
  <c r="DG287" i="1" s="1"/>
  <c r="DG288" i="1" a="1"/>
  <c r="DG288" i="1" s="1"/>
  <c r="DG289" i="1" a="1"/>
  <c r="DG289" i="1" s="1"/>
  <c r="DG290" i="1" a="1"/>
  <c r="DG290" i="1" s="1"/>
  <c r="DG291" i="1" a="1"/>
  <c r="DG291" i="1" s="1"/>
  <c r="DG292" i="1" a="1"/>
  <c r="DG292" i="1" s="1"/>
  <c r="DG302" i="1" a="1"/>
  <c r="DG302" i="1" s="1"/>
  <c r="DG303" i="1" a="1"/>
  <c r="DG303" i="1" s="1"/>
  <c r="DG304" i="1" a="1"/>
  <c r="DG304" i="1" s="1"/>
  <c r="DG316" i="1" a="1"/>
  <c r="DG316" i="1" s="1"/>
  <c r="DG169" i="1" a="1"/>
  <c r="DG169" i="1" s="1"/>
  <c r="DG192" i="1" a="1"/>
  <c r="DG192" i="1" s="1"/>
  <c r="DG198" i="1" a="1"/>
  <c r="DG198" i="1" s="1"/>
  <c r="DG199" i="1" a="1"/>
  <c r="DG199" i="1" s="1"/>
  <c r="DG249" i="1" a="1"/>
  <c r="DG249" i="1" s="1"/>
  <c r="DG254" i="1" a="1"/>
  <c r="DG254" i="1" s="1"/>
  <c r="DG255" i="1" a="1"/>
  <c r="DG255" i="1" s="1"/>
  <c r="DG256" i="1" a="1"/>
  <c r="DG256" i="1" s="1"/>
  <c r="DG273" i="1" a="1"/>
  <c r="DG273" i="1" s="1"/>
  <c r="DG277" i="1" a="1"/>
  <c r="DG277" i="1" s="1"/>
  <c r="DG293" i="1" a="1"/>
  <c r="DG293" i="1" s="1"/>
  <c r="DG294" i="1" a="1"/>
  <c r="DG294" i="1" s="1"/>
  <c r="DG295" i="1" a="1"/>
  <c r="DG295" i="1" s="1"/>
  <c r="DG305" i="1" a="1"/>
  <c r="DG305" i="1" s="1"/>
  <c r="DG306" i="1" a="1"/>
  <c r="DG306" i="1" s="1"/>
  <c r="DG307" i="1" a="1"/>
  <c r="DG307" i="1" s="1"/>
  <c r="DG308" i="1" a="1"/>
  <c r="DG308" i="1" s="1"/>
  <c r="DG318" i="1" a="1"/>
  <c r="DG318" i="1" s="1"/>
  <c r="DG319" i="1" a="1"/>
  <c r="DG319" i="1" s="1"/>
  <c r="DG320" i="1" a="1"/>
  <c r="DG320" i="1" s="1"/>
  <c r="DG155" i="1" a="1"/>
  <c r="DG155" i="1" s="1"/>
  <c r="DG156" i="1" a="1"/>
  <c r="DG156" i="1" s="1"/>
  <c r="DG157" i="1" a="1"/>
  <c r="DG157" i="1" s="1"/>
  <c r="DG158" i="1" a="1"/>
  <c r="DG158" i="1" s="1"/>
  <c r="DG159" i="1" a="1"/>
  <c r="DG159" i="1" s="1"/>
  <c r="DG160" i="1" a="1"/>
  <c r="DG160" i="1" s="1"/>
  <c r="DG161" i="1" a="1"/>
  <c r="DG161" i="1" s="1"/>
  <c r="DG162" i="1" a="1"/>
  <c r="DG162" i="1" s="1"/>
  <c r="DG163" i="1" a="1"/>
  <c r="DG163" i="1" s="1"/>
  <c r="DG164" i="1" a="1"/>
  <c r="DG164" i="1" s="1"/>
  <c r="DG165" i="1" a="1"/>
  <c r="DG165" i="1" s="1"/>
  <c r="DG166" i="1" a="1"/>
  <c r="DG166" i="1" s="1"/>
  <c r="DG172" i="1" a="1"/>
  <c r="DG172" i="1" s="1"/>
  <c r="DG173" i="1" a="1"/>
  <c r="DG173" i="1" s="1"/>
  <c r="DG184" i="1" a="1"/>
  <c r="DG184" i="1" s="1"/>
  <c r="DG188" i="1" a="1"/>
  <c r="DG188" i="1" s="1"/>
  <c r="DG189" i="1" a="1"/>
  <c r="DG189" i="1" s="1"/>
  <c r="DG257" i="1" a="1"/>
  <c r="DG257" i="1" s="1"/>
  <c r="DG262" i="1" a="1"/>
  <c r="DG262" i="1" s="1"/>
  <c r="DG263" i="1" a="1"/>
  <c r="DG263" i="1" s="1"/>
  <c r="DG266" i="1" a="1"/>
  <c r="DG266" i="1" s="1"/>
  <c r="DG267" i="1" a="1"/>
  <c r="DG267" i="1" s="1"/>
  <c r="DG270" i="1" a="1"/>
  <c r="DG270" i="1" s="1"/>
  <c r="DG278" i="1" a="1"/>
  <c r="DG278" i="1" s="1"/>
  <c r="DG279" i="1" a="1"/>
  <c r="DG279" i="1" s="1"/>
  <c r="DG282" i="1" a="1"/>
  <c r="DG282" i="1" s="1"/>
  <c r="DG284" i="1" a="1"/>
  <c r="DG284" i="1" s="1"/>
  <c r="DG285" i="1" a="1"/>
  <c r="DG285" i="1" s="1"/>
  <c r="DG296" i="1" a="1"/>
  <c r="DG296" i="1" s="1"/>
  <c r="DG297" i="1" a="1"/>
  <c r="DG297" i="1" s="1"/>
  <c r="DG309" i="1" a="1"/>
  <c r="DG309" i="1" s="1"/>
  <c r="DG310" i="1" a="1"/>
  <c r="DG310" i="1" s="1"/>
  <c r="DG311" i="1" a="1"/>
  <c r="DG311" i="1" s="1"/>
  <c r="DG321" i="1" a="1"/>
  <c r="DG321" i="1" s="1"/>
  <c r="DG322" i="1" a="1"/>
  <c r="DG322" i="1" s="1"/>
  <c r="DG323" i="1" a="1"/>
  <c r="DG323" i="1" s="1"/>
  <c r="DG324" i="1" a="1"/>
  <c r="DG324" i="1" s="1"/>
  <c r="DC25" i="1" a="1"/>
  <c r="DC25" i="1" s="1"/>
  <c r="DC29" i="1" a="1"/>
  <c r="DC29" i="1" s="1"/>
  <c r="DC31" i="1" a="1"/>
  <c r="DC31" i="1" s="1"/>
  <c r="DC33" i="1" a="1"/>
  <c r="DC33" i="1" s="1"/>
  <c r="DC35" i="1" a="1"/>
  <c r="DC35" i="1" s="1"/>
  <c r="DC37" i="1" a="1"/>
  <c r="DC37" i="1" s="1"/>
  <c r="DC39" i="1" a="1"/>
  <c r="DC39" i="1" s="1"/>
  <c r="DC42" i="1" a="1"/>
  <c r="DC42" i="1" s="1"/>
  <c r="DC43" i="1" a="1"/>
  <c r="DC43" i="1" s="1"/>
  <c r="DC46" i="1" a="1"/>
  <c r="DC46" i="1" s="1"/>
  <c r="DC47" i="1" a="1"/>
  <c r="DC47" i="1" s="1"/>
  <c r="DC50" i="1" a="1"/>
  <c r="DC50" i="1" s="1"/>
  <c r="DC51" i="1" a="1"/>
  <c r="DC51" i="1" s="1"/>
  <c r="DC52" i="1" a="1"/>
  <c r="DC52" i="1" s="1"/>
  <c r="DC61" i="1" a="1"/>
  <c r="DC61" i="1" s="1"/>
  <c r="DC23" i="1" a="1"/>
  <c r="DC23" i="1" s="1"/>
  <c r="DC27" i="1" a="1"/>
  <c r="DC27" i="1" s="1"/>
  <c r="DC44" i="1" a="1"/>
  <c r="DC44" i="1" s="1"/>
  <c r="DC45" i="1" a="1"/>
  <c r="DC45" i="1" s="1"/>
  <c r="DC48" i="1" a="1"/>
  <c r="DC48" i="1" s="1"/>
  <c r="DC49" i="1" a="1"/>
  <c r="DC49" i="1" s="1"/>
  <c r="DC57" i="1" a="1"/>
  <c r="DC57" i="1" s="1"/>
  <c r="DC60" i="1" a="1"/>
  <c r="DC60" i="1" s="1"/>
  <c r="DC64" i="1" a="1"/>
  <c r="DC64" i="1" s="1"/>
  <c r="DC65" i="1" a="1"/>
  <c r="DC65" i="1" s="1"/>
  <c r="DC67" i="1" a="1"/>
  <c r="DC67" i="1" s="1"/>
  <c r="DC69" i="1" a="1"/>
  <c r="DC69" i="1" s="1"/>
  <c r="DC71" i="1" a="1"/>
  <c r="DC71" i="1" s="1"/>
  <c r="DC73" i="1" a="1"/>
  <c r="DC73" i="1" s="1"/>
  <c r="DC28" i="1" a="1"/>
  <c r="DC28" i="1" s="1"/>
  <c r="DC32" i="1" a="1"/>
  <c r="DC32" i="1" s="1"/>
  <c r="DC36" i="1" a="1"/>
  <c r="DC36" i="1" s="1"/>
  <c r="DC40" i="1" a="1"/>
  <c r="DC40" i="1" s="1"/>
  <c r="DC68" i="1" a="1"/>
  <c r="DC68" i="1" s="1"/>
  <c r="DC72" i="1" a="1"/>
  <c r="DC72" i="1" s="1"/>
  <c r="DC81" i="1" a="1"/>
  <c r="DC81" i="1" s="1"/>
  <c r="DC83" i="1" a="1"/>
  <c r="DC83" i="1" s="1"/>
  <c r="DC87" i="1" a="1"/>
  <c r="DC87" i="1" s="1"/>
  <c r="DC90" i="1" a="1"/>
  <c r="DC90" i="1" s="1"/>
  <c r="DC41" i="1" a="1"/>
  <c r="DC41" i="1" s="1"/>
  <c r="DC53" i="1" a="1"/>
  <c r="DC53" i="1" s="1"/>
  <c r="DC54" i="1" a="1"/>
  <c r="DC54" i="1" s="1"/>
  <c r="DC55" i="1" a="1"/>
  <c r="DC55" i="1" s="1"/>
  <c r="DC56" i="1" a="1"/>
  <c r="DC56" i="1" s="1"/>
  <c r="DC77" i="1" a="1"/>
  <c r="DC77" i="1" s="1"/>
  <c r="DC79" i="1" a="1"/>
  <c r="DC79" i="1" s="1"/>
  <c r="DC80" i="1" a="1"/>
  <c r="DC80" i="1" s="1"/>
  <c r="DC86" i="1" a="1"/>
  <c r="DC86" i="1" s="1"/>
  <c r="DC89" i="1" a="1"/>
  <c r="DC89" i="1" s="1"/>
  <c r="DC93" i="1" a="1"/>
  <c r="DC93" i="1" s="1"/>
  <c r="DC26" i="1" a="1"/>
  <c r="DC26" i="1" s="1"/>
  <c r="DC59" i="1" a="1"/>
  <c r="DC59" i="1" s="1"/>
  <c r="DC63" i="1" a="1"/>
  <c r="DC63" i="1" s="1"/>
  <c r="DC66" i="1" a="1"/>
  <c r="DC66" i="1" s="1"/>
  <c r="DC74" i="1" a="1"/>
  <c r="DC74" i="1" s="1"/>
  <c r="DC78" i="1" a="1"/>
  <c r="DC78" i="1" s="1"/>
  <c r="DC88" i="1" a="1"/>
  <c r="DC88" i="1" s="1"/>
  <c r="DC97" i="1" a="1"/>
  <c r="DC97" i="1" s="1"/>
  <c r="DC110" i="1" a="1"/>
  <c r="DC110" i="1" s="1"/>
  <c r="DC112" i="1" a="1"/>
  <c r="DC112" i="1" s="1"/>
  <c r="DC114" i="1" a="1"/>
  <c r="DC114" i="1" s="1"/>
  <c r="DC24" i="1" a="1"/>
  <c r="DC24" i="1" s="1"/>
  <c r="DC30" i="1" a="1"/>
  <c r="DC30" i="1" s="1"/>
  <c r="DC38" i="1" a="1"/>
  <c r="DC38" i="1" s="1"/>
  <c r="DC75" i="1" a="1"/>
  <c r="DC75" i="1" s="1"/>
  <c r="DC82" i="1" a="1"/>
  <c r="DC82" i="1" s="1"/>
  <c r="DC84" i="1" a="1"/>
  <c r="DC84" i="1" s="1"/>
  <c r="DC85" i="1" a="1"/>
  <c r="DC85" i="1" s="1"/>
  <c r="DC94" i="1" a="1"/>
  <c r="DC94" i="1" s="1"/>
  <c r="DC100" i="1" a="1"/>
  <c r="DC100" i="1" s="1"/>
  <c r="DC101" i="1" a="1"/>
  <c r="DC101" i="1" s="1"/>
  <c r="DC102" i="1" a="1"/>
  <c r="DC102" i="1" s="1"/>
  <c r="DC104" i="1" a="1"/>
  <c r="DC104" i="1" s="1"/>
  <c r="DC106" i="1" a="1"/>
  <c r="DC106" i="1" s="1"/>
  <c r="DC108" i="1" a="1"/>
  <c r="DC108" i="1" s="1"/>
  <c r="DC111" i="1" a="1"/>
  <c r="DC111" i="1" s="1"/>
  <c r="DC113" i="1" a="1"/>
  <c r="DC113" i="1" s="1"/>
  <c r="DC116" i="1" a="1"/>
  <c r="DC116" i="1" s="1"/>
  <c r="DC120" i="1" a="1"/>
  <c r="DC120" i="1" s="1"/>
  <c r="DC91" i="1" a="1"/>
  <c r="DC91" i="1" s="1"/>
  <c r="DC95" i="1" a="1"/>
  <c r="DC95" i="1" s="1"/>
  <c r="DC103" i="1" a="1"/>
  <c r="DC103" i="1" s="1"/>
  <c r="DC107" i="1" a="1"/>
  <c r="DC107" i="1" s="1"/>
  <c r="DC58" i="1" a="1"/>
  <c r="DC58" i="1" s="1"/>
  <c r="DC70" i="1" a="1"/>
  <c r="DC70" i="1" s="1"/>
  <c r="DC76" i="1" a="1"/>
  <c r="DC76" i="1" s="1"/>
  <c r="DC99" i="1" a="1"/>
  <c r="DC99" i="1" s="1"/>
  <c r="DC117" i="1" a="1"/>
  <c r="DC117" i="1" s="1"/>
  <c r="DC122" i="1" a="1"/>
  <c r="DC122" i="1" s="1"/>
  <c r="DC124" i="1" a="1"/>
  <c r="DC124" i="1" s="1"/>
  <c r="DC126" i="1" a="1"/>
  <c r="DC126" i="1" s="1"/>
  <c r="DC128" i="1" a="1"/>
  <c r="DC128" i="1" s="1"/>
  <c r="DC130" i="1" a="1"/>
  <c r="DC130" i="1" s="1"/>
  <c r="DC132" i="1" a="1"/>
  <c r="DC132" i="1" s="1"/>
  <c r="DC134" i="1" a="1"/>
  <c r="DC134" i="1" s="1"/>
  <c r="DC136" i="1" a="1"/>
  <c r="DC136" i="1" s="1"/>
  <c r="DC137" i="1" a="1"/>
  <c r="DC137" i="1" s="1"/>
  <c r="DC138" i="1" a="1"/>
  <c r="DC138" i="1" s="1"/>
  <c r="DC139" i="1" a="1"/>
  <c r="DC139" i="1" s="1"/>
  <c r="DC140" i="1" a="1"/>
  <c r="DC140" i="1" s="1"/>
  <c r="DC141" i="1" a="1"/>
  <c r="DC141" i="1" s="1"/>
  <c r="DC142" i="1" a="1"/>
  <c r="DC142" i="1" s="1"/>
  <c r="DC146" i="1" a="1"/>
  <c r="DC146" i="1" s="1"/>
  <c r="DC151" i="1" a="1"/>
  <c r="DC151" i="1" s="1"/>
  <c r="DC62" i="1" a="1"/>
  <c r="DC62" i="1" s="1"/>
  <c r="DC92" i="1" a="1"/>
  <c r="DC92" i="1" s="1"/>
  <c r="DC96" i="1" a="1"/>
  <c r="DC96" i="1" s="1"/>
  <c r="DC98" i="1" a="1"/>
  <c r="DC98" i="1" s="1"/>
  <c r="DC105" i="1" a="1"/>
  <c r="DC105" i="1" s="1"/>
  <c r="DC109" i="1" a="1"/>
  <c r="DC109" i="1" s="1"/>
  <c r="DC115" i="1" a="1"/>
  <c r="DC115" i="1" s="1"/>
  <c r="DC144" i="1" a="1"/>
  <c r="DC144" i="1" s="1"/>
  <c r="DC150" i="1" a="1"/>
  <c r="DC150" i="1" s="1"/>
  <c r="DC152" i="1" a="1"/>
  <c r="DC152" i="1" s="1"/>
  <c r="DC153" i="1" a="1"/>
  <c r="DC153" i="1" s="1"/>
  <c r="DC34" i="1" a="1"/>
  <c r="DC34" i="1" s="1"/>
  <c r="DC119" i="1" a="1"/>
  <c r="DC119" i="1" s="1"/>
  <c r="DC123" i="1" a="1"/>
  <c r="DC123" i="1" s="1"/>
  <c r="DC131" i="1" a="1"/>
  <c r="DC131" i="1" s="1"/>
  <c r="DC168" i="1" a="1"/>
  <c r="DC168" i="1" s="1"/>
  <c r="DC170" i="1" a="1"/>
  <c r="DC170" i="1" s="1"/>
  <c r="DC174" i="1" a="1"/>
  <c r="DC174" i="1" s="1"/>
  <c r="DC175" i="1" a="1"/>
  <c r="DC175" i="1" s="1"/>
  <c r="DC180" i="1" a="1"/>
  <c r="DC180" i="1" s="1"/>
  <c r="DC185" i="1" a="1"/>
  <c r="DC185" i="1" s="1"/>
  <c r="DC186" i="1" a="1"/>
  <c r="DC186" i="1" s="1"/>
  <c r="DC190" i="1" a="1"/>
  <c r="DC190" i="1" s="1"/>
  <c r="DC193" i="1" a="1"/>
  <c r="DC193" i="1" s="1"/>
  <c r="DC200" i="1" a="1"/>
  <c r="DC200" i="1" s="1"/>
  <c r="DC201" i="1" a="1"/>
  <c r="DC201" i="1" s="1"/>
  <c r="DC118" i="1" a="1"/>
  <c r="DC118" i="1" s="1"/>
  <c r="DC121" i="1" a="1"/>
  <c r="DC121" i="1" s="1"/>
  <c r="DC129" i="1" a="1"/>
  <c r="DC129" i="1" s="1"/>
  <c r="DC143" i="1" a="1"/>
  <c r="DC143" i="1" s="1"/>
  <c r="DC147" i="1" a="1"/>
  <c r="DC147" i="1" s="1"/>
  <c r="DC148" i="1" a="1"/>
  <c r="DC148" i="1" s="1"/>
  <c r="DC149" i="1" a="1"/>
  <c r="DC149" i="1" s="1"/>
  <c r="DC171" i="1" a="1"/>
  <c r="DC171" i="1" s="1"/>
  <c r="DC176" i="1" a="1"/>
  <c r="DC176" i="1" s="1"/>
  <c r="DC181" i="1" a="1"/>
  <c r="DC181" i="1" s="1"/>
  <c r="DC187" i="1" a="1"/>
  <c r="DC187" i="1" s="1"/>
  <c r="DC191" i="1" a="1"/>
  <c r="DC191" i="1" s="1"/>
  <c r="DC194" i="1" a="1"/>
  <c r="DC194" i="1" s="1"/>
  <c r="DC202" i="1" a="1"/>
  <c r="DC202" i="1" s="1"/>
  <c r="DC203" i="1" a="1"/>
  <c r="DC203" i="1" s="1"/>
  <c r="DC127" i="1" a="1"/>
  <c r="DC127" i="1" s="1"/>
  <c r="DC135" i="1" a="1"/>
  <c r="DC135" i="1" s="1"/>
  <c r="DC145" i="1" a="1"/>
  <c r="DC145" i="1" s="1"/>
  <c r="DC154" i="1" a="1"/>
  <c r="DC154" i="1" s="1"/>
  <c r="DC182" i="1" a="1"/>
  <c r="DC182" i="1" s="1"/>
  <c r="DC183" i="1" a="1"/>
  <c r="DC183" i="1" s="1"/>
  <c r="DC188" i="1" a="1"/>
  <c r="DC188" i="1" s="1"/>
  <c r="DC195" i="1" a="1"/>
  <c r="DC195" i="1" s="1"/>
  <c r="DC196" i="1" a="1"/>
  <c r="DC196" i="1" s="1"/>
  <c r="DC197" i="1" a="1"/>
  <c r="DC197" i="1" s="1"/>
  <c r="DC204" i="1" a="1"/>
  <c r="DC204" i="1" s="1"/>
  <c r="DC205" i="1" a="1"/>
  <c r="DC205" i="1" s="1"/>
  <c r="DC206" i="1" a="1"/>
  <c r="DC206" i="1" s="1"/>
  <c r="DC207" i="1" a="1"/>
  <c r="DC207" i="1" s="1"/>
  <c r="DC208" i="1" a="1"/>
  <c r="DC208" i="1" s="1"/>
  <c r="DC209" i="1" a="1"/>
  <c r="DC209" i="1" s="1"/>
  <c r="DC210" i="1" a="1"/>
  <c r="DC210" i="1" s="1"/>
  <c r="DC211" i="1" a="1"/>
  <c r="DC211" i="1" s="1"/>
  <c r="DC212" i="1" a="1"/>
  <c r="DC212" i="1" s="1"/>
  <c r="DC213" i="1" a="1"/>
  <c r="DC213" i="1" s="1"/>
  <c r="DC214" i="1" a="1"/>
  <c r="DC214" i="1" s="1"/>
  <c r="DC215" i="1" a="1"/>
  <c r="DC215" i="1" s="1"/>
  <c r="DC216" i="1" a="1"/>
  <c r="DC216" i="1" s="1"/>
  <c r="DC217" i="1" a="1"/>
  <c r="DC217" i="1" s="1"/>
  <c r="DC218" i="1" a="1"/>
  <c r="DC218" i="1" s="1"/>
  <c r="DC219" i="1" a="1"/>
  <c r="DC219" i="1" s="1"/>
  <c r="DC220" i="1" a="1"/>
  <c r="DC220" i="1" s="1"/>
  <c r="DC177" i="1" a="1"/>
  <c r="DC177" i="1" s="1"/>
  <c r="DC178" i="1" a="1"/>
  <c r="DC178" i="1" s="1"/>
  <c r="DC179" i="1" a="1"/>
  <c r="DC179" i="1" s="1"/>
  <c r="DC246" i="1" a="1"/>
  <c r="DC246" i="1" s="1"/>
  <c r="DC247" i="1" a="1"/>
  <c r="DC247" i="1" s="1"/>
  <c r="DC248" i="1" a="1"/>
  <c r="DC248" i="1" s="1"/>
  <c r="DC253" i="1" a="1"/>
  <c r="DC253" i="1" s="1"/>
  <c r="DC260" i="1" a="1"/>
  <c r="DC260" i="1" s="1"/>
  <c r="DC261" i="1" a="1"/>
  <c r="DC261" i="1" s="1"/>
  <c r="DC265" i="1" a="1"/>
  <c r="DC265" i="1" s="1"/>
  <c r="DC269" i="1" a="1"/>
  <c r="DC269" i="1" s="1"/>
  <c r="DC276" i="1" a="1"/>
  <c r="DC276" i="1" s="1"/>
  <c r="DC280" i="1" a="1"/>
  <c r="DC280" i="1" s="1"/>
  <c r="DC281" i="1" a="1"/>
  <c r="DC281" i="1" s="1"/>
  <c r="DC283" i="1" a="1"/>
  <c r="DC283" i="1" s="1"/>
  <c r="DC287" i="1" a="1"/>
  <c r="DC287" i="1" s="1"/>
  <c r="DC288" i="1" a="1"/>
  <c r="DC288" i="1" s="1"/>
  <c r="DC289" i="1" a="1"/>
  <c r="DC289" i="1" s="1"/>
  <c r="DC290" i="1" a="1"/>
  <c r="DC290" i="1" s="1"/>
  <c r="DC291" i="1" a="1"/>
  <c r="DC291" i="1" s="1"/>
  <c r="DC292" i="1" a="1"/>
  <c r="DC292" i="1" s="1"/>
  <c r="DC303" i="1" a="1"/>
  <c r="DC303" i="1" s="1"/>
  <c r="DC304" i="1" a="1"/>
  <c r="DC304" i="1" s="1"/>
  <c r="DC316" i="1" a="1"/>
  <c r="DC316" i="1" s="1"/>
  <c r="DC133" i="1" a="1"/>
  <c r="DC133" i="1" s="1"/>
  <c r="DC169" i="1" a="1"/>
  <c r="DC169" i="1" s="1"/>
  <c r="DC192" i="1" a="1"/>
  <c r="DC192" i="1" s="1"/>
  <c r="DC198" i="1" a="1"/>
  <c r="DC198" i="1" s="1"/>
  <c r="DC199" i="1" a="1"/>
  <c r="DC199" i="1" s="1"/>
  <c r="DC249" i="1" a="1"/>
  <c r="DC249" i="1" s="1"/>
  <c r="DC254" i="1" a="1"/>
  <c r="DC254" i="1" s="1"/>
  <c r="DC255" i="1" a="1"/>
  <c r="DC255" i="1" s="1"/>
  <c r="DC256" i="1" a="1"/>
  <c r="DC256" i="1" s="1"/>
  <c r="DC262" i="1" a="1"/>
  <c r="DC262" i="1" s="1"/>
  <c r="DC266" i="1" a="1"/>
  <c r="DC266" i="1" s="1"/>
  <c r="DC270" i="1" a="1"/>
  <c r="DC270" i="1" s="1"/>
  <c r="DC273" i="1" a="1"/>
  <c r="DC273" i="1" s="1"/>
  <c r="DC277" i="1" a="1"/>
  <c r="DC277" i="1" s="1"/>
  <c r="DC282" i="1" a="1"/>
  <c r="DC282" i="1" s="1"/>
  <c r="DC284" i="1" a="1"/>
  <c r="DC284" i="1" s="1"/>
  <c r="DC293" i="1" a="1"/>
  <c r="DC293" i="1" s="1"/>
  <c r="DC294" i="1" a="1"/>
  <c r="DC294" i="1" s="1"/>
  <c r="DC295" i="1" a="1"/>
  <c r="DC295" i="1" s="1"/>
  <c r="DC305" i="1" a="1"/>
  <c r="DC305" i="1" s="1"/>
  <c r="DC306" i="1" a="1"/>
  <c r="DC306" i="1" s="1"/>
  <c r="DC307" i="1" a="1"/>
  <c r="DC307" i="1" s="1"/>
  <c r="DC308" i="1" a="1"/>
  <c r="DC308" i="1" s="1"/>
  <c r="DC319" i="1" a="1"/>
  <c r="DC319" i="1" s="1"/>
  <c r="DC320" i="1" a="1"/>
  <c r="DC320" i="1" s="1"/>
  <c r="DC125" i="1" a="1"/>
  <c r="DC125" i="1" s="1"/>
  <c r="DC155" i="1" a="1"/>
  <c r="DC155" i="1" s="1"/>
  <c r="DC156" i="1" a="1"/>
  <c r="DC156" i="1" s="1"/>
  <c r="DC157" i="1" a="1"/>
  <c r="DC157" i="1" s="1"/>
  <c r="DC158" i="1" a="1"/>
  <c r="DC158" i="1" s="1"/>
  <c r="DC159" i="1" a="1"/>
  <c r="DC159" i="1" s="1"/>
  <c r="DC160" i="1" a="1"/>
  <c r="DC160" i="1" s="1"/>
  <c r="DC161" i="1" a="1"/>
  <c r="DC161" i="1" s="1"/>
  <c r="DC162" i="1" a="1"/>
  <c r="DC162" i="1" s="1"/>
  <c r="DC163" i="1" a="1"/>
  <c r="DC163" i="1" s="1"/>
  <c r="DC164" i="1" a="1"/>
  <c r="DC164" i="1" s="1"/>
  <c r="DC165" i="1" a="1"/>
  <c r="DC165" i="1" s="1"/>
  <c r="DC166" i="1" a="1"/>
  <c r="DC166" i="1" s="1"/>
  <c r="DC167" i="1" a="1"/>
  <c r="DC167" i="1" s="1"/>
  <c r="DC172" i="1" a="1"/>
  <c r="DC172" i="1" s="1"/>
  <c r="DC173" i="1" a="1"/>
  <c r="DC173" i="1" s="1"/>
  <c r="DC184" i="1" a="1"/>
  <c r="DC184" i="1" s="1"/>
  <c r="DC189" i="1" a="1"/>
  <c r="DC189" i="1" s="1"/>
  <c r="DC250" i="1" a="1"/>
  <c r="DC250" i="1" s="1"/>
  <c r="DC257" i="1" a="1"/>
  <c r="DC257" i="1" s="1"/>
  <c r="DC263" i="1" a="1"/>
  <c r="DC263" i="1" s="1"/>
  <c r="DC267" i="1" a="1"/>
  <c r="DC267" i="1" s="1"/>
  <c r="DC274" i="1" a="1"/>
  <c r="DC274" i="1" s="1"/>
  <c r="DC278" i="1" a="1"/>
  <c r="DC278" i="1" s="1"/>
  <c r="DC279" i="1" a="1"/>
  <c r="DC279" i="1" s="1"/>
  <c r="DC285" i="1" a="1"/>
  <c r="DC285" i="1" s="1"/>
  <c r="DC296" i="1" a="1"/>
  <c r="DC296" i="1" s="1"/>
  <c r="DC297" i="1" a="1"/>
  <c r="DC297" i="1" s="1"/>
  <c r="DC309" i="1" a="1"/>
  <c r="DC309" i="1" s="1"/>
  <c r="DC310" i="1" a="1"/>
  <c r="DC310" i="1" s="1"/>
  <c r="DC311" i="1" a="1"/>
  <c r="DC311" i="1" s="1"/>
  <c r="DC321" i="1" a="1"/>
  <c r="DC321" i="1" s="1"/>
  <c r="DC322" i="1" a="1"/>
  <c r="DC322" i="1" s="1"/>
  <c r="DC323" i="1" a="1"/>
  <c r="DC323" i="1" s="1"/>
  <c r="DC324" i="1" a="1"/>
  <c r="DC324" i="1" s="1"/>
  <c r="CY24" i="1" a="1"/>
  <c r="CY24" i="1" s="1"/>
  <c r="CY25" i="1" a="1"/>
  <c r="CY25" i="1" s="1"/>
  <c r="CY40" i="1" a="1"/>
  <c r="CY40" i="1" s="1"/>
  <c r="CY41" i="1" a="1"/>
  <c r="CY41" i="1" s="1"/>
  <c r="CY43" i="1" a="1"/>
  <c r="CY43" i="1" s="1"/>
  <c r="CY52" i="1" a="1"/>
  <c r="CY52" i="1" s="1"/>
  <c r="CY53" i="1" a="1"/>
  <c r="CY53" i="1" s="1"/>
  <c r="CY66" i="1" a="1"/>
  <c r="CY66" i="1" s="1"/>
  <c r="CY68" i="1" a="1"/>
  <c r="CY68" i="1" s="1"/>
  <c r="CY70" i="1" a="1"/>
  <c r="CY70" i="1" s="1"/>
  <c r="CY72" i="1" a="1"/>
  <c r="CY72" i="1" s="1"/>
  <c r="CY29" i="1" a="1"/>
  <c r="CY29" i="1" s="1"/>
  <c r="CY31" i="1" a="1"/>
  <c r="CY31" i="1" s="1"/>
  <c r="CY33" i="1" a="1"/>
  <c r="CY33" i="1" s="1"/>
  <c r="CY35" i="1" a="1"/>
  <c r="CY35" i="1" s="1"/>
  <c r="CY37" i="1" a="1"/>
  <c r="CY37" i="1" s="1"/>
  <c r="CY39" i="1" a="1"/>
  <c r="CY39" i="1" s="1"/>
  <c r="CY42" i="1" a="1"/>
  <c r="CY42" i="1" s="1"/>
  <c r="CY44" i="1" a="1"/>
  <c r="CY44" i="1" s="1"/>
  <c r="CY46" i="1" a="1"/>
  <c r="CY46" i="1" s="1"/>
  <c r="CY47" i="1" a="1"/>
  <c r="CY47" i="1" s="1"/>
  <c r="CY48" i="1" a="1"/>
  <c r="CY48" i="1" s="1"/>
  <c r="CY50" i="1" a="1"/>
  <c r="CY50" i="1" s="1"/>
  <c r="CY51" i="1" a="1"/>
  <c r="CY51" i="1" s="1"/>
  <c r="CY61" i="1" a="1"/>
  <c r="CY61" i="1" s="1"/>
  <c r="CY58" i="1" a="1"/>
  <c r="CY58" i="1" s="1"/>
  <c r="CY59" i="1" a="1"/>
  <c r="CY59" i="1" s="1"/>
  <c r="CY62" i="1" a="1"/>
  <c r="CY62" i="1" s="1"/>
  <c r="CY63" i="1" a="1"/>
  <c r="CY63" i="1" s="1"/>
  <c r="CY74" i="1" a="1"/>
  <c r="CY74" i="1" s="1"/>
  <c r="CY76" i="1" a="1"/>
  <c r="CY76" i="1" s="1"/>
  <c r="CY78" i="1" a="1"/>
  <c r="CY78" i="1" s="1"/>
  <c r="CY81" i="1" a="1"/>
  <c r="CY81" i="1" s="1"/>
  <c r="CY82" i="1" a="1"/>
  <c r="CY82" i="1" s="1"/>
  <c r="CY83" i="1" a="1"/>
  <c r="CY83" i="1" s="1"/>
  <c r="CY84" i="1" a="1"/>
  <c r="CY84" i="1" s="1"/>
  <c r="CY88" i="1" a="1"/>
  <c r="CY88" i="1" s="1"/>
  <c r="CY90" i="1" a="1"/>
  <c r="CY90" i="1" s="1"/>
  <c r="CY91" i="1" a="1"/>
  <c r="CY91" i="1" s="1"/>
  <c r="CY92" i="1" a="1"/>
  <c r="CY92" i="1" s="1"/>
  <c r="CY28" i="1" a="1"/>
  <c r="CY28" i="1" s="1"/>
  <c r="CY32" i="1" a="1"/>
  <c r="CY32" i="1" s="1"/>
  <c r="CY36" i="1" a="1"/>
  <c r="CY36" i="1" s="1"/>
  <c r="CY60" i="1" a="1"/>
  <c r="CY60" i="1" s="1"/>
  <c r="CY64" i="1" a="1"/>
  <c r="CY64" i="1" s="1"/>
  <c r="CY65" i="1" a="1"/>
  <c r="CY65" i="1" s="1"/>
  <c r="CY69" i="1" a="1"/>
  <c r="CY69" i="1" s="1"/>
  <c r="CY73" i="1" a="1"/>
  <c r="CY73" i="1" s="1"/>
  <c r="CY87" i="1" a="1"/>
  <c r="CY87" i="1" s="1"/>
  <c r="CY94" i="1" a="1"/>
  <c r="CY94" i="1" s="1"/>
  <c r="CY34" i="1" a="1"/>
  <c r="CY34" i="1" s="1"/>
  <c r="CY49" i="1" a="1"/>
  <c r="CY49" i="1" s="1"/>
  <c r="CY96" i="1" a="1"/>
  <c r="CY96" i="1" s="1"/>
  <c r="CY101" i="1" a="1"/>
  <c r="CY101" i="1" s="1"/>
  <c r="CY103" i="1" a="1"/>
  <c r="CY103" i="1" s="1"/>
  <c r="CY105" i="1" a="1"/>
  <c r="CY105" i="1" s="1"/>
  <c r="CY107" i="1" a="1"/>
  <c r="CY107" i="1" s="1"/>
  <c r="CY109" i="1" a="1"/>
  <c r="CY109" i="1" s="1"/>
  <c r="CY110" i="1" a="1"/>
  <c r="CY110" i="1" s="1"/>
  <c r="CY118" i="1" a="1"/>
  <c r="CY118" i="1" s="1"/>
  <c r="CY121" i="1" a="1"/>
  <c r="CY121" i="1" s="1"/>
  <c r="CY26" i="1" a="1"/>
  <c r="CY26" i="1" s="1"/>
  <c r="CY45" i="1" a="1"/>
  <c r="CY45" i="1" s="1"/>
  <c r="CY55" i="1" a="1"/>
  <c r="CY55" i="1" s="1"/>
  <c r="CY57" i="1" a="1"/>
  <c r="CY57" i="1" s="1"/>
  <c r="CY71" i="1" a="1"/>
  <c r="CY71" i="1" s="1"/>
  <c r="CY79" i="1" a="1"/>
  <c r="CY79" i="1" s="1"/>
  <c r="CY89" i="1" a="1"/>
  <c r="CY89" i="1" s="1"/>
  <c r="CY97" i="1" a="1"/>
  <c r="CY97" i="1" s="1"/>
  <c r="CY102" i="1" a="1"/>
  <c r="CY102" i="1" s="1"/>
  <c r="CY112" i="1" a="1"/>
  <c r="CY112" i="1" s="1"/>
  <c r="CY114" i="1" a="1"/>
  <c r="CY114" i="1" s="1"/>
  <c r="CY27" i="1" a="1"/>
  <c r="CY27" i="1" s="1"/>
  <c r="CY38" i="1" a="1"/>
  <c r="CY38" i="1" s="1"/>
  <c r="CY54" i="1" a="1"/>
  <c r="CY54" i="1" s="1"/>
  <c r="CY67" i="1" a="1"/>
  <c r="CY67" i="1" s="1"/>
  <c r="CY75" i="1" a="1"/>
  <c r="CY75" i="1" s="1"/>
  <c r="CY77" i="1" a="1"/>
  <c r="CY77" i="1" s="1"/>
  <c r="CY86" i="1" a="1"/>
  <c r="CY86" i="1" s="1"/>
  <c r="CY100" i="1" a="1"/>
  <c r="CY100" i="1" s="1"/>
  <c r="CY116" i="1" a="1"/>
  <c r="CY116" i="1" s="1"/>
  <c r="CY123" i="1" a="1"/>
  <c r="CY123" i="1" s="1"/>
  <c r="CY125" i="1" a="1"/>
  <c r="CY125" i="1" s="1"/>
  <c r="CY127" i="1" a="1"/>
  <c r="CY127" i="1" s="1"/>
  <c r="CY129" i="1" a="1"/>
  <c r="CY129" i="1" s="1"/>
  <c r="CY131" i="1" a="1"/>
  <c r="CY131" i="1" s="1"/>
  <c r="CY133" i="1" a="1"/>
  <c r="CY133" i="1" s="1"/>
  <c r="CY135" i="1" a="1"/>
  <c r="CY135" i="1" s="1"/>
  <c r="CY143" i="1" a="1"/>
  <c r="CY143" i="1" s="1"/>
  <c r="CY85" i="1" a="1"/>
  <c r="CY85" i="1" s="1"/>
  <c r="CY93" i="1" a="1"/>
  <c r="CY93" i="1" s="1"/>
  <c r="CY95" i="1" a="1"/>
  <c r="CY95" i="1" s="1"/>
  <c r="CY99" i="1" a="1"/>
  <c r="CY99" i="1" s="1"/>
  <c r="CY104" i="1" a="1"/>
  <c r="CY104" i="1" s="1"/>
  <c r="CY108" i="1" a="1"/>
  <c r="CY108" i="1" s="1"/>
  <c r="CY117" i="1" a="1"/>
  <c r="CY117" i="1" s="1"/>
  <c r="CY137" i="1" a="1"/>
  <c r="CY137" i="1" s="1"/>
  <c r="CY138" i="1" a="1"/>
  <c r="CY138" i="1" s="1"/>
  <c r="CY139" i="1" a="1"/>
  <c r="CY139" i="1" s="1"/>
  <c r="CY140" i="1" a="1"/>
  <c r="CY140" i="1" s="1"/>
  <c r="CY141" i="1" a="1"/>
  <c r="CY141" i="1" s="1"/>
  <c r="CY142" i="1" a="1"/>
  <c r="CY142" i="1" s="1"/>
  <c r="CY146" i="1" a="1"/>
  <c r="CY146" i="1" s="1"/>
  <c r="CY151" i="1" a="1"/>
  <c r="CY151" i="1" s="1"/>
  <c r="CY152" i="1" a="1"/>
  <c r="CY152" i="1" s="1"/>
  <c r="CY23" i="1" a="1"/>
  <c r="CY23" i="1" s="1"/>
  <c r="CY30" i="1" a="1"/>
  <c r="CY30" i="1" s="1"/>
  <c r="CY111" i="1" a="1"/>
  <c r="CY111" i="1" s="1"/>
  <c r="CY115" i="1" a="1"/>
  <c r="CY115" i="1" s="1"/>
  <c r="CY120" i="1" a="1"/>
  <c r="CY120" i="1" s="1"/>
  <c r="CY122" i="1" a="1"/>
  <c r="CY122" i="1" s="1"/>
  <c r="CY124" i="1" a="1"/>
  <c r="CY124" i="1" s="1"/>
  <c r="CY126" i="1" a="1"/>
  <c r="CY126" i="1" s="1"/>
  <c r="CY128" i="1" a="1"/>
  <c r="CY128" i="1" s="1"/>
  <c r="CY130" i="1" a="1"/>
  <c r="CY130" i="1" s="1"/>
  <c r="CY132" i="1" a="1"/>
  <c r="CY132" i="1" s="1"/>
  <c r="CY134" i="1" a="1"/>
  <c r="CY134" i="1" s="1"/>
  <c r="CY136" i="1" a="1"/>
  <c r="CY136" i="1" s="1"/>
  <c r="CY144" i="1" a="1"/>
  <c r="CY144" i="1" s="1"/>
  <c r="CY153" i="1" a="1"/>
  <c r="CY153" i="1" s="1"/>
  <c r="CY119" i="1" a="1"/>
  <c r="CY119" i="1" s="1"/>
  <c r="CY168" i="1" a="1"/>
  <c r="CY168" i="1" s="1"/>
  <c r="CY174" i="1" a="1"/>
  <c r="CY174" i="1" s="1"/>
  <c r="CY175" i="1" a="1"/>
  <c r="CY175" i="1" s="1"/>
  <c r="CY180" i="1" a="1"/>
  <c r="CY180" i="1" s="1"/>
  <c r="CY185" i="1" a="1"/>
  <c r="CY185" i="1" s="1"/>
  <c r="CY186" i="1" a="1"/>
  <c r="CY186" i="1" s="1"/>
  <c r="CY187" i="1" a="1"/>
  <c r="CY187" i="1" s="1"/>
  <c r="CY190" i="1" a="1"/>
  <c r="CY190" i="1" s="1"/>
  <c r="CY193" i="1" a="1"/>
  <c r="CY193" i="1" s="1"/>
  <c r="CY200" i="1" a="1"/>
  <c r="CY200" i="1" s="1"/>
  <c r="CY201" i="1" a="1"/>
  <c r="CY201" i="1" s="1"/>
  <c r="CY98" i="1" a="1"/>
  <c r="CY98" i="1" s="1"/>
  <c r="CY106" i="1" a="1"/>
  <c r="CY106" i="1" s="1"/>
  <c r="CY148" i="1" a="1"/>
  <c r="CY148" i="1" s="1"/>
  <c r="CY149" i="1" a="1"/>
  <c r="CY149" i="1" s="1"/>
  <c r="CY171" i="1" a="1"/>
  <c r="CY171" i="1" s="1"/>
  <c r="CY176" i="1" a="1"/>
  <c r="CY176" i="1" s="1"/>
  <c r="CY181" i="1" a="1"/>
  <c r="CY181" i="1" s="1"/>
  <c r="CY191" i="1" a="1"/>
  <c r="CY191" i="1" s="1"/>
  <c r="CY194" i="1" a="1"/>
  <c r="CY194" i="1" s="1"/>
  <c r="CY202" i="1" a="1"/>
  <c r="CY202" i="1" s="1"/>
  <c r="CY203" i="1" a="1"/>
  <c r="CY203" i="1" s="1"/>
  <c r="CY204" i="1" a="1"/>
  <c r="CY204" i="1" s="1"/>
  <c r="CY80" i="1" a="1"/>
  <c r="CY80" i="1" s="1"/>
  <c r="CY113" i="1" a="1"/>
  <c r="CY113" i="1" s="1"/>
  <c r="CY147" i="1" a="1"/>
  <c r="CY147" i="1" s="1"/>
  <c r="CY154" i="1" a="1"/>
  <c r="CY154" i="1" s="1"/>
  <c r="CY182" i="1" a="1"/>
  <c r="CY182" i="1" s="1"/>
  <c r="CY183" i="1" a="1"/>
  <c r="CY183" i="1" s="1"/>
  <c r="CY188" i="1" a="1"/>
  <c r="CY188" i="1" s="1"/>
  <c r="CY195" i="1" a="1"/>
  <c r="CY195" i="1" s="1"/>
  <c r="CY196" i="1" a="1"/>
  <c r="CY196" i="1" s="1"/>
  <c r="CY197" i="1" a="1"/>
  <c r="CY197" i="1" s="1"/>
  <c r="CY198" i="1" a="1"/>
  <c r="CY198" i="1" s="1"/>
  <c r="CY205" i="1" a="1"/>
  <c r="CY205" i="1" s="1"/>
  <c r="CY206" i="1" a="1"/>
  <c r="CY206" i="1" s="1"/>
  <c r="CY207" i="1" a="1"/>
  <c r="CY207" i="1" s="1"/>
  <c r="CY208" i="1" a="1"/>
  <c r="CY208" i="1" s="1"/>
  <c r="CY209" i="1" a="1"/>
  <c r="CY209" i="1" s="1"/>
  <c r="CY210" i="1" a="1"/>
  <c r="CY210" i="1" s="1"/>
  <c r="CY211" i="1" a="1"/>
  <c r="CY211" i="1" s="1"/>
  <c r="CY212" i="1" a="1"/>
  <c r="CY212" i="1" s="1"/>
  <c r="CY213" i="1" a="1"/>
  <c r="CY213" i="1" s="1"/>
  <c r="CY214" i="1" a="1"/>
  <c r="CY214" i="1" s="1"/>
  <c r="CY215" i="1" a="1"/>
  <c r="CY215" i="1" s="1"/>
  <c r="CY216" i="1" a="1"/>
  <c r="CY216" i="1" s="1"/>
  <c r="CY217" i="1" a="1"/>
  <c r="CY217" i="1" s="1"/>
  <c r="CY218" i="1" a="1"/>
  <c r="CY218" i="1" s="1"/>
  <c r="CY219" i="1" a="1"/>
  <c r="CY219" i="1" s="1"/>
  <c r="CY220" i="1" a="1"/>
  <c r="CY220" i="1" s="1"/>
  <c r="CY145" i="1" a="1"/>
  <c r="CY145" i="1" s="1"/>
  <c r="CY177" i="1" a="1"/>
  <c r="CY177" i="1" s="1"/>
  <c r="CY178" i="1" a="1"/>
  <c r="CY178" i="1" s="1"/>
  <c r="CY179" i="1" a="1"/>
  <c r="CY179" i="1" s="1"/>
  <c r="CY246" i="1" a="1"/>
  <c r="CY246" i="1" s="1"/>
  <c r="CY247" i="1" a="1"/>
  <c r="CY247" i="1" s="1"/>
  <c r="CY248" i="1" a="1"/>
  <c r="CY248" i="1" s="1"/>
  <c r="CY253" i="1" a="1"/>
  <c r="CY253" i="1" s="1"/>
  <c r="CY260" i="1" a="1"/>
  <c r="CY260" i="1" s="1"/>
  <c r="CY261" i="1" a="1"/>
  <c r="CY261" i="1" s="1"/>
  <c r="CY265" i="1" a="1"/>
  <c r="CY265" i="1" s="1"/>
  <c r="CY269" i="1" a="1"/>
  <c r="CY269" i="1" s="1"/>
  <c r="CY273" i="1" a="1"/>
  <c r="CY273" i="1" s="1"/>
  <c r="CY276" i="1" a="1"/>
  <c r="CY276" i="1" s="1"/>
  <c r="CY277" i="1" a="1"/>
  <c r="CY277" i="1" s="1"/>
  <c r="CY280" i="1" a="1"/>
  <c r="CY280" i="1" s="1"/>
  <c r="CY281" i="1" a="1"/>
  <c r="CY281" i="1" s="1"/>
  <c r="CY287" i="1" a="1"/>
  <c r="CY287" i="1" s="1"/>
  <c r="CY288" i="1" a="1"/>
  <c r="CY288" i="1" s="1"/>
  <c r="CY289" i="1" a="1"/>
  <c r="CY289" i="1" s="1"/>
  <c r="CY290" i="1" a="1"/>
  <c r="CY290" i="1" s="1"/>
  <c r="CY291" i="1" a="1"/>
  <c r="CY291" i="1" s="1"/>
  <c r="CY292" i="1" a="1"/>
  <c r="CY292" i="1" s="1"/>
  <c r="CY293" i="1" a="1"/>
  <c r="CY293" i="1" s="1"/>
  <c r="CY303" i="1" a="1"/>
  <c r="CY303" i="1" s="1"/>
  <c r="CY304" i="1" a="1"/>
  <c r="CY304" i="1" s="1"/>
  <c r="CY316" i="1" a="1"/>
  <c r="CY316" i="1" s="1"/>
  <c r="CY150" i="1" a="1"/>
  <c r="CY150" i="1" s="1"/>
  <c r="CY169" i="1" a="1"/>
  <c r="CY169" i="1" s="1"/>
  <c r="CY170" i="1" a="1"/>
  <c r="CY170" i="1" s="1"/>
  <c r="CY192" i="1" a="1"/>
  <c r="CY192" i="1" s="1"/>
  <c r="CY199" i="1" a="1"/>
  <c r="CY199" i="1" s="1"/>
  <c r="CY249" i="1" a="1"/>
  <c r="CY249" i="1" s="1"/>
  <c r="CY254" i="1" a="1"/>
  <c r="CY254" i="1" s="1"/>
  <c r="CY255" i="1" a="1"/>
  <c r="CY255" i="1" s="1"/>
  <c r="CY256" i="1" a="1"/>
  <c r="CY256" i="1" s="1"/>
  <c r="CY257" i="1" a="1"/>
  <c r="CY257" i="1" s="1"/>
  <c r="CY262" i="1" a="1"/>
  <c r="CY262" i="1" s="1"/>
  <c r="CY266" i="1" a="1"/>
  <c r="CY266" i="1" s="1"/>
  <c r="CY270" i="1" a="1"/>
  <c r="CY270" i="1" s="1"/>
  <c r="CY282" i="1" a="1"/>
  <c r="CY282" i="1" s="1"/>
  <c r="CY284" i="1" a="1"/>
  <c r="CY284" i="1" s="1"/>
  <c r="CY294" i="1" a="1"/>
  <c r="CY294" i="1" s="1"/>
  <c r="CY295" i="1" a="1"/>
  <c r="CY295" i="1" s="1"/>
  <c r="CY305" i="1" a="1"/>
  <c r="CY305" i="1" s="1"/>
  <c r="CY306" i="1" a="1"/>
  <c r="CY306" i="1" s="1"/>
  <c r="CY307" i="1" a="1"/>
  <c r="CY307" i="1" s="1"/>
  <c r="CY308" i="1" a="1"/>
  <c r="CY308" i="1" s="1"/>
  <c r="CY309" i="1" a="1"/>
  <c r="CY309" i="1" s="1"/>
  <c r="CY319" i="1" a="1"/>
  <c r="CY319" i="1" s="1"/>
  <c r="CY320" i="1" a="1"/>
  <c r="CY320" i="1" s="1"/>
  <c r="CY56" i="1" a="1"/>
  <c r="CY56" i="1" s="1"/>
  <c r="CY155" i="1" a="1"/>
  <c r="CY155" i="1" s="1"/>
  <c r="CY156" i="1" a="1"/>
  <c r="CY156" i="1" s="1"/>
  <c r="CY157" i="1" a="1"/>
  <c r="CY157" i="1" s="1"/>
  <c r="CY158" i="1" a="1"/>
  <c r="CY158" i="1" s="1"/>
  <c r="CY159" i="1" a="1"/>
  <c r="CY159" i="1" s="1"/>
  <c r="CY160" i="1" a="1"/>
  <c r="CY160" i="1" s="1"/>
  <c r="CY161" i="1" a="1"/>
  <c r="CY161" i="1" s="1"/>
  <c r="CY162" i="1" a="1"/>
  <c r="CY162" i="1" s="1"/>
  <c r="CY163" i="1" a="1"/>
  <c r="CY163" i="1" s="1"/>
  <c r="CY164" i="1" a="1"/>
  <c r="CY164" i="1" s="1"/>
  <c r="CY165" i="1" a="1"/>
  <c r="CY165" i="1" s="1"/>
  <c r="CY166" i="1" a="1"/>
  <c r="CY166" i="1" s="1"/>
  <c r="CY167" i="1" a="1"/>
  <c r="CY167" i="1" s="1"/>
  <c r="CY172" i="1" a="1"/>
  <c r="CY172" i="1" s="1"/>
  <c r="CY173" i="1" a="1"/>
  <c r="CY173" i="1" s="1"/>
  <c r="CY184" i="1" a="1"/>
  <c r="CY184" i="1" s="1"/>
  <c r="CY189" i="1" a="1"/>
  <c r="CY189" i="1" s="1"/>
  <c r="CY250" i="1" a="1"/>
  <c r="CY250" i="1" s="1"/>
  <c r="CY263" i="1" a="1"/>
  <c r="CY263" i="1" s="1"/>
  <c r="CY267" i="1" a="1"/>
  <c r="CY267" i="1" s="1"/>
  <c r="CY274" i="1" a="1"/>
  <c r="CY274" i="1" s="1"/>
  <c r="CY278" i="1" a="1"/>
  <c r="CY278" i="1" s="1"/>
  <c r="CY279" i="1" a="1"/>
  <c r="CY279" i="1" s="1"/>
  <c r="CY285" i="1" a="1"/>
  <c r="CY285" i="1" s="1"/>
  <c r="CY296" i="1" a="1"/>
  <c r="CY296" i="1" s="1"/>
  <c r="CY297" i="1" a="1"/>
  <c r="CY297" i="1" s="1"/>
  <c r="CY310" i="1" a="1"/>
  <c r="CY310" i="1" s="1"/>
  <c r="CY311" i="1" a="1"/>
  <c r="CY311" i="1" s="1"/>
  <c r="CY321" i="1" a="1"/>
  <c r="CY321" i="1" s="1"/>
  <c r="CY322" i="1" a="1"/>
  <c r="CY322" i="1" s="1"/>
  <c r="CY323" i="1" a="1"/>
  <c r="CY323" i="1" s="1"/>
  <c r="CY324" i="1" a="1"/>
  <c r="CY324" i="1" s="1"/>
  <c r="CY325" i="1" a="1"/>
  <c r="CY325" i="1" s="1"/>
  <c r="CU25" i="1" a="1"/>
  <c r="CU25" i="1" s="1"/>
  <c r="CU28" i="1" a="1"/>
  <c r="CU28" i="1" s="1"/>
  <c r="CU30" i="1" a="1"/>
  <c r="CU30" i="1" s="1"/>
  <c r="CU32" i="1" a="1"/>
  <c r="CU32" i="1" s="1"/>
  <c r="CU34" i="1" a="1"/>
  <c r="CU34" i="1" s="1"/>
  <c r="CU36" i="1" a="1"/>
  <c r="CU36" i="1" s="1"/>
  <c r="CU38" i="1" a="1"/>
  <c r="CU38" i="1" s="1"/>
  <c r="CU54" i="1" a="1"/>
  <c r="CU54" i="1" s="1"/>
  <c r="CU55" i="1" a="1"/>
  <c r="CU55" i="1" s="1"/>
  <c r="CU56" i="1" a="1"/>
  <c r="CU56" i="1" s="1"/>
  <c r="CU24" i="1" a="1"/>
  <c r="CU24" i="1" s="1"/>
  <c r="CU40" i="1" a="1"/>
  <c r="CU40" i="1" s="1"/>
  <c r="CU41" i="1" a="1"/>
  <c r="CU41" i="1" s="1"/>
  <c r="CU42" i="1" a="1"/>
  <c r="CU42" i="1" s="1"/>
  <c r="CU43" i="1" a="1"/>
  <c r="CU43" i="1" s="1"/>
  <c r="CU52" i="1" a="1"/>
  <c r="CU52" i="1" s="1"/>
  <c r="CU53" i="1" a="1"/>
  <c r="CU53" i="1" s="1"/>
  <c r="CU66" i="1" a="1"/>
  <c r="CU66" i="1" s="1"/>
  <c r="CU68" i="1" a="1"/>
  <c r="CU68" i="1" s="1"/>
  <c r="CU70" i="1" a="1"/>
  <c r="CU70" i="1" s="1"/>
  <c r="CU72" i="1" a="1"/>
  <c r="CU72" i="1" s="1"/>
  <c r="CU74" i="1" a="1"/>
  <c r="CU74" i="1" s="1"/>
  <c r="CU27" i="1" a="1"/>
  <c r="CU27" i="1" s="1"/>
  <c r="CU31" i="1" a="1"/>
  <c r="CU31" i="1" s="1"/>
  <c r="CU35" i="1" a="1"/>
  <c r="CU35" i="1" s="1"/>
  <c r="CU39" i="1" a="1"/>
  <c r="CU39" i="1" s="1"/>
  <c r="CU49" i="1" a="1"/>
  <c r="CU49" i="1" s="1"/>
  <c r="CU50" i="1" a="1"/>
  <c r="CU50" i="1" s="1"/>
  <c r="CU58" i="1" a="1"/>
  <c r="CU58" i="1" s="1"/>
  <c r="CU62" i="1" a="1"/>
  <c r="CU62" i="1" s="1"/>
  <c r="CU67" i="1" a="1"/>
  <c r="CU67" i="1" s="1"/>
  <c r="CU71" i="1" a="1"/>
  <c r="CU71" i="1" s="1"/>
  <c r="CU85" i="1" a="1"/>
  <c r="CU85" i="1" s="1"/>
  <c r="CU92" i="1" a="1"/>
  <c r="CU92" i="1" s="1"/>
  <c r="CU47" i="1" a="1"/>
  <c r="CU47" i="1" s="1"/>
  <c r="CU51" i="1" a="1"/>
  <c r="CU51" i="1" s="1"/>
  <c r="CU59" i="1" a="1"/>
  <c r="CU59" i="1" s="1"/>
  <c r="CU61" i="1" a="1"/>
  <c r="CU61" i="1" s="1"/>
  <c r="CU63" i="1" a="1"/>
  <c r="CU63" i="1" s="1"/>
  <c r="CU76" i="1" a="1"/>
  <c r="CU76" i="1" s="1"/>
  <c r="CU78" i="1" a="1"/>
  <c r="CU78" i="1" s="1"/>
  <c r="CU81" i="1" a="1"/>
  <c r="CU81" i="1" s="1"/>
  <c r="CU82" i="1" a="1"/>
  <c r="CU82" i="1" s="1"/>
  <c r="CU83" i="1" a="1"/>
  <c r="CU83" i="1" s="1"/>
  <c r="CU84" i="1" a="1"/>
  <c r="CU84" i="1" s="1"/>
  <c r="CU88" i="1" a="1"/>
  <c r="CU88" i="1" s="1"/>
  <c r="CU90" i="1" a="1"/>
  <c r="CU90" i="1" s="1"/>
  <c r="CU91" i="1" a="1"/>
  <c r="CU91" i="1" s="1"/>
  <c r="CU95" i="1" a="1"/>
  <c r="CU95" i="1" s="1"/>
  <c r="CU69" i="1" a="1"/>
  <c r="CU69" i="1" s="1"/>
  <c r="CU77" i="1" a="1"/>
  <c r="CU77" i="1" s="1"/>
  <c r="CU80" i="1" a="1"/>
  <c r="CU80" i="1" s="1"/>
  <c r="CU87" i="1" a="1"/>
  <c r="CU87" i="1" s="1"/>
  <c r="CU93" i="1" a="1"/>
  <c r="CU93" i="1" s="1"/>
  <c r="CU94" i="1" a="1"/>
  <c r="CU94" i="1" s="1"/>
  <c r="CU98" i="1" a="1"/>
  <c r="CU98" i="1" s="1"/>
  <c r="CU110" i="1" a="1"/>
  <c r="CU110" i="1" s="1"/>
  <c r="CU119" i="1" a="1"/>
  <c r="CU119" i="1" s="1"/>
  <c r="CU26" i="1" a="1"/>
  <c r="CU26" i="1" s="1"/>
  <c r="CU33" i="1" a="1"/>
  <c r="CU33" i="1" s="1"/>
  <c r="CU44" i="1" a="1"/>
  <c r="CU44" i="1" s="1"/>
  <c r="CU46" i="1" a="1"/>
  <c r="CU46" i="1" s="1"/>
  <c r="CU48" i="1" a="1"/>
  <c r="CU48" i="1" s="1"/>
  <c r="CU96" i="1" a="1"/>
  <c r="CU96" i="1" s="1"/>
  <c r="CU101" i="1" a="1"/>
  <c r="CU101" i="1" s="1"/>
  <c r="CU102" i="1" a="1"/>
  <c r="CU102" i="1" s="1"/>
  <c r="CU103" i="1" a="1"/>
  <c r="CU103" i="1" s="1"/>
  <c r="CU105" i="1" a="1"/>
  <c r="CU105" i="1" s="1"/>
  <c r="CU107" i="1" a="1"/>
  <c r="CU107" i="1" s="1"/>
  <c r="CU109" i="1" a="1"/>
  <c r="CU109" i="1" s="1"/>
  <c r="CU114" i="1" a="1"/>
  <c r="CU114" i="1" s="1"/>
  <c r="CU118" i="1" a="1"/>
  <c r="CU118" i="1" s="1"/>
  <c r="CU121" i="1" a="1"/>
  <c r="CU121" i="1" s="1"/>
  <c r="CU89" i="1" a="1"/>
  <c r="CU89" i="1" s="1"/>
  <c r="CU97" i="1" a="1"/>
  <c r="CU97" i="1" s="1"/>
  <c r="CU106" i="1" a="1"/>
  <c r="CU106" i="1" s="1"/>
  <c r="CU112" i="1" a="1"/>
  <c r="CU112" i="1" s="1"/>
  <c r="CU113" i="1" a="1"/>
  <c r="CU113" i="1" s="1"/>
  <c r="CU37" i="1" a="1"/>
  <c r="CU37" i="1" s="1"/>
  <c r="CU60" i="1" a="1"/>
  <c r="CU60" i="1" s="1"/>
  <c r="CU65" i="1" a="1"/>
  <c r="CU65" i="1" s="1"/>
  <c r="CU75" i="1" a="1"/>
  <c r="CU75" i="1" s="1"/>
  <c r="CU86" i="1" a="1"/>
  <c r="CU86" i="1" s="1"/>
  <c r="CU99" i="1" a="1"/>
  <c r="CU99" i="1" s="1"/>
  <c r="CU100" i="1" a="1"/>
  <c r="CU100" i="1" s="1"/>
  <c r="CU116" i="1" a="1"/>
  <c r="CU116" i="1" s="1"/>
  <c r="CU117" i="1" a="1"/>
  <c r="CU117" i="1" s="1"/>
  <c r="CU123" i="1" a="1"/>
  <c r="CU123" i="1" s="1"/>
  <c r="CU125" i="1" a="1"/>
  <c r="CU125" i="1" s="1"/>
  <c r="CU127" i="1" a="1"/>
  <c r="CU127" i="1" s="1"/>
  <c r="CU129" i="1" a="1"/>
  <c r="CU129" i="1" s="1"/>
  <c r="CU131" i="1" a="1"/>
  <c r="CU131" i="1" s="1"/>
  <c r="CU133" i="1" a="1"/>
  <c r="CU133" i="1" s="1"/>
  <c r="CU135" i="1" a="1"/>
  <c r="CU135" i="1" s="1"/>
  <c r="CU137" i="1" a="1"/>
  <c r="CU137" i="1" s="1"/>
  <c r="CU138" i="1" a="1"/>
  <c r="CU138" i="1" s="1"/>
  <c r="CU139" i="1" a="1"/>
  <c r="CU139" i="1" s="1"/>
  <c r="CU140" i="1" a="1"/>
  <c r="CU140" i="1" s="1"/>
  <c r="CU141" i="1" a="1"/>
  <c r="CU141" i="1" s="1"/>
  <c r="CU142" i="1" a="1"/>
  <c r="CU142" i="1" s="1"/>
  <c r="CU143" i="1" a="1"/>
  <c r="CU143" i="1" s="1"/>
  <c r="CU145" i="1" a="1"/>
  <c r="CU145" i="1" s="1"/>
  <c r="CU146" i="1" a="1"/>
  <c r="CU146" i="1" s="1"/>
  <c r="CU147" i="1" a="1"/>
  <c r="CU147" i="1" s="1"/>
  <c r="CU151" i="1" a="1"/>
  <c r="CU151" i="1" s="1"/>
  <c r="CU152" i="1" a="1"/>
  <c r="CU152" i="1" s="1"/>
  <c r="CU57" i="1" a="1"/>
  <c r="CU57" i="1" s="1"/>
  <c r="CU64" i="1" a="1"/>
  <c r="CU64" i="1" s="1"/>
  <c r="CU79" i="1" a="1"/>
  <c r="CU79" i="1" s="1"/>
  <c r="CU104" i="1" a="1"/>
  <c r="CU104" i="1" s="1"/>
  <c r="CU108" i="1" a="1"/>
  <c r="CU108" i="1" s="1"/>
  <c r="CU144" i="1" a="1"/>
  <c r="CU144" i="1" s="1"/>
  <c r="CU153" i="1" a="1"/>
  <c r="CU153" i="1" s="1"/>
  <c r="CU154" i="1" a="1"/>
  <c r="CU154" i="1" s="1"/>
  <c r="CU120" i="1" a="1"/>
  <c r="CU120" i="1" s="1"/>
  <c r="CU126" i="1" a="1"/>
  <c r="CU126" i="1" s="1"/>
  <c r="CU134" i="1" a="1"/>
  <c r="CU134" i="1" s="1"/>
  <c r="CU150" i="1" a="1"/>
  <c r="CU150" i="1" s="1"/>
  <c r="CU168" i="1" a="1"/>
  <c r="CU168" i="1" s="1"/>
  <c r="CU174" i="1" a="1"/>
  <c r="CU174" i="1" s="1"/>
  <c r="CU175" i="1" a="1"/>
  <c r="CU175" i="1" s="1"/>
  <c r="CU180" i="1" a="1"/>
  <c r="CU180" i="1" s="1"/>
  <c r="CU185" i="1" a="1"/>
  <c r="CU185" i="1" s="1"/>
  <c r="CU186" i="1" a="1"/>
  <c r="CU186" i="1" s="1"/>
  <c r="CU187" i="1" a="1"/>
  <c r="CU187" i="1" s="1"/>
  <c r="CU190" i="1" a="1"/>
  <c r="CU190" i="1" s="1"/>
  <c r="CU193" i="1" a="1"/>
  <c r="CU193" i="1" s="1"/>
  <c r="CU200" i="1" a="1"/>
  <c r="CU200" i="1" s="1"/>
  <c r="CU201" i="1" a="1"/>
  <c r="CU201" i="1" s="1"/>
  <c r="CU45" i="1" a="1"/>
  <c r="CU45" i="1" s="1"/>
  <c r="CU73" i="1" a="1"/>
  <c r="CU73" i="1" s="1"/>
  <c r="CU115" i="1" a="1"/>
  <c r="CU115" i="1" s="1"/>
  <c r="CU124" i="1" a="1"/>
  <c r="CU124" i="1" s="1"/>
  <c r="CU132" i="1" a="1"/>
  <c r="CU132" i="1" s="1"/>
  <c r="CU149" i="1" a="1"/>
  <c r="CU149" i="1" s="1"/>
  <c r="CU171" i="1" a="1"/>
  <c r="CU171" i="1" s="1"/>
  <c r="CU176" i="1" a="1"/>
  <c r="CU176" i="1" s="1"/>
  <c r="CU181" i="1" a="1"/>
  <c r="CU181" i="1" s="1"/>
  <c r="CU191" i="1" a="1"/>
  <c r="CU191" i="1" s="1"/>
  <c r="CU194" i="1" a="1"/>
  <c r="CU194" i="1" s="1"/>
  <c r="CU202" i="1" a="1"/>
  <c r="CU202" i="1" s="1"/>
  <c r="CU203" i="1" a="1"/>
  <c r="CU203" i="1" s="1"/>
  <c r="CU204" i="1" a="1"/>
  <c r="CU204" i="1" s="1"/>
  <c r="CU122" i="1" a="1"/>
  <c r="CU122" i="1" s="1"/>
  <c r="CU130" i="1" a="1"/>
  <c r="CU130" i="1" s="1"/>
  <c r="CU148" i="1" a="1"/>
  <c r="CU148" i="1" s="1"/>
  <c r="CU169" i="1" a="1"/>
  <c r="CU169" i="1" s="1"/>
  <c r="CU177" i="1" a="1"/>
  <c r="CU177" i="1" s="1"/>
  <c r="CU182" i="1" a="1"/>
  <c r="CU182" i="1" s="1"/>
  <c r="CU183" i="1" a="1"/>
  <c r="CU183" i="1" s="1"/>
  <c r="CU188" i="1" a="1"/>
  <c r="CU188" i="1" s="1"/>
  <c r="CU195" i="1" a="1"/>
  <c r="CU195" i="1" s="1"/>
  <c r="CU196" i="1" a="1"/>
  <c r="CU196" i="1" s="1"/>
  <c r="CU197" i="1" a="1"/>
  <c r="CU197" i="1" s="1"/>
  <c r="CU198" i="1" a="1"/>
  <c r="CU198" i="1" s="1"/>
  <c r="CU205" i="1" a="1"/>
  <c r="CU205" i="1" s="1"/>
  <c r="CU206" i="1" a="1"/>
  <c r="CU206" i="1" s="1"/>
  <c r="CU207" i="1" a="1"/>
  <c r="CU207" i="1" s="1"/>
  <c r="CU208" i="1" a="1"/>
  <c r="CU208" i="1" s="1"/>
  <c r="CU209" i="1" a="1"/>
  <c r="CU209" i="1" s="1"/>
  <c r="CU210" i="1" a="1"/>
  <c r="CU210" i="1" s="1"/>
  <c r="CU211" i="1" a="1"/>
  <c r="CU211" i="1" s="1"/>
  <c r="CU212" i="1" a="1"/>
  <c r="CU212" i="1" s="1"/>
  <c r="CU213" i="1" a="1"/>
  <c r="CU213" i="1" s="1"/>
  <c r="CU214" i="1" a="1"/>
  <c r="CU214" i="1" s="1"/>
  <c r="CU215" i="1" a="1"/>
  <c r="CU215" i="1" s="1"/>
  <c r="CU216" i="1" a="1"/>
  <c r="CU216" i="1" s="1"/>
  <c r="CU217" i="1" a="1"/>
  <c r="CU217" i="1" s="1"/>
  <c r="CU218" i="1" a="1"/>
  <c r="CU218" i="1" s="1"/>
  <c r="CU219" i="1" a="1"/>
  <c r="CU219" i="1" s="1"/>
  <c r="CU220" i="1" a="1"/>
  <c r="CU220" i="1" s="1"/>
  <c r="CU111" i="1" a="1"/>
  <c r="CU111" i="1" s="1"/>
  <c r="CU178" i="1" a="1"/>
  <c r="CU178" i="1" s="1"/>
  <c r="CU179" i="1" a="1"/>
  <c r="CU179" i="1" s="1"/>
  <c r="CU246" i="1" a="1"/>
  <c r="CU246" i="1" s="1"/>
  <c r="CU247" i="1" a="1"/>
  <c r="CU247" i="1" s="1"/>
  <c r="CU248" i="1" a="1"/>
  <c r="CU248" i="1" s="1"/>
  <c r="CU253" i="1" a="1"/>
  <c r="CU253" i="1" s="1"/>
  <c r="CU260" i="1" a="1"/>
  <c r="CU260" i="1" s="1"/>
  <c r="CU261" i="1" a="1"/>
  <c r="CU261" i="1" s="1"/>
  <c r="CU265" i="1" a="1"/>
  <c r="CU265" i="1" s="1"/>
  <c r="CU269" i="1" a="1"/>
  <c r="CU269" i="1" s="1"/>
  <c r="CU273" i="1" a="1"/>
  <c r="CU273" i="1" s="1"/>
  <c r="CU276" i="1" a="1"/>
  <c r="CU276" i="1" s="1"/>
  <c r="CU277" i="1" a="1"/>
  <c r="CU277" i="1" s="1"/>
  <c r="CU281" i="1" a="1"/>
  <c r="CU281" i="1" s="1"/>
  <c r="CU287" i="1" a="1"/>
  <c r="CU287" i="1" s="1"/>
  <c r="CU288" i="1" a="1"/>
  <c r="CU288" i="1" s="1"/>
  <c r="CU289" i="1" a="1"/>
  <c r="CU289" i="1" s="1"/>
  <c r="CU290" i="1" a="1"/>
  <c r="CU290" i="1" s="1"/>
  <c r="CU291" i="1" a="1"/>
  <c r="CU291" i="1" s="1"/>
  <c r="CU292" i="1" a="1"/>
  <c r="CU292" i="1" s="1"/>
  <c r="CU293" i="1" a="1"/>
  <c r="CU293" i="1" s="1"/>
  <c r="CU303" i="1" a="1"/>
  <c r="CU303" i="1" s="1"/>
  <c r="CU304" i="1" a="1"/>
  <c r="CU304" i="1" s="1"/>
  <c r="CU317" i="1" a="1"/>
  <c r="CU317" i="1" s="1"/>
  <c r="CU170" i="1" a="1"/>
  <c r="CU170" i="1" s="1"/>
  <c r="CU192" i="1" a="1"/>
  <c r="CU192" i="1" s="1"/>
  <c r="CU199" i="1" a="1"/>
  <c r="CU199" i="1" s="1"/>
  <c r="CU249" i="1" a="1"/>
  <c r="CU249" i="1" s="1"/>
  <c r="CU254" i="1" a="1"/>
  <c r="CU254" i="1" s="1"/>
  <c r="CU255" i="1" a="1"/>
  <c r="CU255" i="1" s="1"/>
  <c r="CU256" i="1" a="1"/>
  <c r="CU256" i="1" s="1"/>
  <c r="CU257" i="1" a="1"/>
  <c r="CU257" i="1" s="1"/>
  <c r="CU262" i="1" a="1"/>
  <c r="CU262" i="1" s="1"/>
  <c r="CU266" i="1" a="1"/>
  <c r="CU266" i="1" s="1"/>
  <c r="CU270" i="1" a="1"/>
  <c r="CU270" i="1" s="1"/>
  <c r="CU282" i="1" a="1"/>
  <c r="CU282" i="1" s="1"/>
  <c r="CU284" i="1" a="1"/>
  <c r="CU284" i="1" s="1"/>
  <c r="CU294" i="1" a="1"/>
  <c r="CU294" i="1" s="1"/>
  <c r="CU295" i="1" a="1"/>
  <c r="CU295" i="1" s="1"/>
  <c r="CU305" i="1" a="1"/>
  <c r="CU305" i="1" s="1"/>
  <c r="CU306" i="1" a="1"/>
  <c r="CU306" i="1" s="1"/>
  <c r="CU307" i="1" a="1"/>
  <c r="CU307" i="1" s="1"/>
  <c r="CU308" i="1" a="1"/>
  <c r="CU308" i="1" s="1"/>
  <c r="CU309" i="1" a="1"/>
  <c r="CU309" i="1" s="1"/>
  <c r="CU319" i="1" a="1"/>
  <c r="CU319" i="1" s="1"/>
  <c r="CU320" i="1" a="1"/>
  <c r="CU320" i="1" s="1"/>
  <c r="CU136" i="1" a="1"/>
  <c r="CU136" i="1" s="1"/>
  <c r="CU155" i="1" a="1"/>
  <c r="CU155" i="1" s="1"/>
  <c r="CU156" i="1" a="1"/>
  <c r="CU156" i="1" s="1"/>
  <c r="CU157" i="1" a="1"/>
  <c r="CU157" i="1" s="1"/>
  <c r="CU158" i="1" a="1"/>
  <c r="CU158" i="1" s="1"/>
  <c r="CU159" i="1" a="1"/>
  <c r="CU159" i="1" s="1"/>
  <c r="CU160" i="1" a="1"/>
  <c r="CU160" i="1" s="1"/>
  <c r="CU161" i="1" a="1"/>
  <c r="CU161" i="1" s="1"/>
  <c r="CU162" i="1" a="1"/>
  <c r="CU162" i="1" s="1"/>
  <c r="CU163" i="1" a="1"/>
  <c r="CU163" i="1" s="1"/>
  <c r="CU164" i="1" a="1"/>
  <c r="CU164" i="1" s="1"/>
  <c r="CU165" i="1" a="1"/>
  <c r="CU165" i="1" s="1"/>
  <c r="CU166" i="1" a="1"/>
  <c r="CU166" i="1" s="1"/>
  <c r="CU167" i="1" a="1"/>
  <c r="CU167" i="1" s="1"/>
  <c r="CU172" i="1" a="1"/>
  <c r="CU172" i="1" s="1"/>
  <c r="CU173" i="1" a="1"/>
  <c r="CU173" i="1" s="1"/>
  <c r="CU184" i="1" a="1"/>
  <c r="CU184" i="1" s="1"/>
  <c r="CU189" i="1" a="1"/>
  <c r="CU189" i="1" s="1"/>
  <c r="CU250" i="1" a="1"/>
  <c r="CU250" i="1" s="1"/>
  <c r="CU263" i="1" a="1"/>
  <c r="CU263" i="1" s="1"/>
  <c r="CU264" i="1" a="1"/>
  <c r="CU264" i="1" s="1"/>
  <c r="CU267" i="1" a="1"/>
  <c r="CU267" i="1" s="1"/>
  <c r="CU268" i="1" a="1"/>
  <c r="CU268" i="1" s="1"/>
  <c r="CU274" i="1" a="1"/>
  <c r="CU274" i="1" s="1"/>
  <c r="CU278" i="1" a="1"/>
  <c r="CU278" i="1" s="1"/>
  <c r="CU279" i="1" a="1"/>
  <c r="CU279" i="1" s="1"/>
  <c r="CU285" i="1" a="1"/>
  <c r="CU285" i="1" s="1"/>
  <c r="CU296" i="1" a="1"/>
  <c r="CU296" i="1" s="1"/>
  <c r="CU297" i="1" a="1"/>
  <c r="CU297" i="1" s="1"/>
  <c r="CU310" i="1" a="1"/>
  <c r="CU310" i="1" s="1"/>
  <c r="CU311" i="1" a="1"/>
  <c r="CU311" i="1" s="1"/>
  <c r="CU321" i="1" a="1"/>
  <c r="CU321" i="1" s="1"/>
  <c r="CU322" i="1" a="1"/>
  <c r="CU322" i="1" s="1"/>
  <c r="CU323" i="1" a="1"/>
  <c r="CU323" i="1" s="1"/>
  <c r="CU324" i="1" a="1"/>
  <c r="CU324" i="1" s="1"/>
  <c r="CU325" i="1" a="1"/>
  <c r="CU325" i="1" s="1"/>
  <c r="DG259" i="1" a="1"/>
  <c r="DG259" i="1" s="1"/>
  <c r="DC259" i="1" a="1"/>
  <c r="DC259" i="1" s="1"/>
  <c r="CY259" i="1" a="1"/>
  <c r="CY259" i="1" s="1"/>
  <c r="CU259" i="1" a="1"/>
  <c r="CU259" i="1" s="1"/>
  <c r="DO258" i="1" a="1"/>
  <c r="DO258" i="1" s="1"/>
  <c r="DK258" i="1" a="1"/>
  <c r="DK258" i="1" s="1"/>
  <c r="DG258" i="1" a="1"/>
  <c r="DG258" i="1" s="1"/>
  <c r="DC258" i="1" a="1"/>
  <c r="DC258" i="1" s="1"/>
  <c r="CY258" i="1" a="1"/>
  <c r="CY258" i="1" s="1"/>
  <c r="CU258" i="1" a="1"/>
  <c r="CU258" i="1" s="1"/>
  <c r="DK252" i="1" a="1"/>
  <c r="DK252" i="1" s="1"/>
  <c r="DG252" i="1" a="1"/>
  <c r="DG252" i="1" s="1"/>
  <c r="DC252" i="1" a="1"/>
  <c r="DC252" i="1" s="1"/>
  <c r="CY252" i="1" a="1"/>
  <c r="CY252" i="1" s="1"/>
  <c r="CU252" i="1" a="1"/>
  <c r="CU252" i="1" s="1"/>
  <c r="DO251" i="1" a="1"/>
  <c r="DO251" i="1" s="1"/>
  <c r="DK251" i="1" a="1"/>
  <c r="DK251" i="1" s="1"/>
  <c r="DG251" i="1" a="1"/>
  <c r="DG251" i="1" s="1"/>
  <c r="DC251" i="1" a="1"/>
  <c r="DC251" i="1" s="1"/>
  <c r="CY251" i="1" a="1"/>
  <c r="CY251" i="1" s="1"/>
  <c r="CU251" i="1" a="1"/>
  <c r="CU251" i="1" s="1"/>
  <c r="DO250" i="1" a="1"/>
  <c r="DO250" i="1" s="1"/>
  <c r="DK250" i="1" a="1"/>
  <c r="DK250" i="1" s="1"/>
  <c r="DG250" i="1" a="1"/>
  <c r="DG250" i="1" s="1"/>
  <c r="DO245" i="1" a="1"/>
  <c r="DO245" i="1" s="1"/>
  <c r="DK245" i="1" a="1"/>
  <c r="DK245" i="1" s="1"/>
  <c r="DG245" i="1" a="1"/>
  <c r="DG245" i="1" s="1"/>
  <c r="DC245" i="1" a="1"/>
  <c r="DC245" i="1" s="1"/>
  <c r="CY245" i="1" a="1"/>
  <c r="CY245" i="1" s="1"/>
  <c r="CU245" i="1" a="1"/>
  <c r="CU245" i="1" s="1"/>
  <c r="DO244" i="1" a="1"/>
  <c r="DO244" i="1" s="1"/>
  <c r="DK244" i="1" a="1"/>
  <c r="DK244" i="1" s="1"/>
  <c r="DG244" i="1" a="1"/>
  <c r="DG244" i="1" s="1"/>
  <c r="DC244" i="1" a="1"/>
  <c r="DC244" i="1" s="1"/>
  <c r="CY244" i="1" a="1"/>
  <c r="CY244" i="1" s="1"/>
  <c r="CU244" i="1" a="1"/>
  <c r="CU244" i="1" s="1"/>
  <c r="DO243" i="1" a="1"/>
  <c r="DO243" i="1" s="1"/>
  <c r="DK243" i="1" a="1"/>
  <c r="DK243" i="1" s="1"/>
  <c r="DG243" i="1" a="1"/>
  <c r="DG243" i="1" s="1"/>
  <c r="DC243" i="1" a="1"/>
  <c r="DC243" i="1" s="1"/>
  <c r="CY243" i="1" a="1"/>
  <c r="CY243" i="1" s="1"/>
  <c r="CU243" i="1" a="1"/>
  <c r="CU243" i="1" s="1"/>
  <c r="DO242" i="1" a="1"/>
  <c r="DO242" i="1" s="1"/>
  <c r="DK242" i="1" a="1"/>
  <c r="DK242" i="1" s="1"/>
  <c r="DG242" i="1" a="1"/>
  <c r="DG242" i="1" s="1"/>
  <c r="DC242" i="1" a="1"/>
  <c r="DC242" i="1" s="1"/>
  <c r="CY242" i="1" a="1"/>
  <c r="CY242" i="1" s="1"/>
  <c r="CU242" i="1" a="1"/>
  <c r="CU242" i="1" s="1"/>
  <c r="DO241" i="1" a="1"/>
  <c r="DO241" i="1" s="1"/>
  <c r="DK241" i="1" a="1"/>
  <c r="DK241" i="1" s="1"/>
  <c r="DG241" i="1" a="1"/>
  <c r="DG241" i="1" s="1"/>
  <c r="DC241" i="1" a="1"/>
  <c r="DC241" i="1" s="1"/>
  <c r="CY241" i="1" a="1"/>
  <c r="CY241" i="1" s="1"/>
  <c r="CU241" i="1" a="1"/>
  <c r="CU241" i="1" s="1"/>
  <c r="DO240" i="1" a="1"/>
  <c r="DO240" i="1" s="1"/>
  <c r="DK240" i="1" a="1"/>
  <c r="DK240" i="1" s="1"/>
  <c r="DG240" i="1" a="1"/>
  <c r="DG240" i="1" s="1"/>
  <c r="DC240" i="1" a="1"/>
  <c r="DC240" i="1" s="1"/>
  <c r="CY240" i="1" a="1"/>
  <c r="CY240" i="1" s="1"/>
  <c r="CU240" i="1" a="1"/>
  <c r="CU240" i="1" s="1"/>
  <c r="DO239" i="1" a="1"/>
  <c r="DO239" i="1" s="1"/>
  <c r="DK239" i="1" a="1"/>
  <c r="DK239" i="1" s="1"/>
  <c r="DG239" i="1" a="1"/>
  <c r="DG239" i="1" s="1"/>
  <c r="DC239" i="1" a="1"/>
  <c r="DC239" i="1" s="1"/>
  <c r="CY239" i="1" a="1"/>
  <c r="CY239" i="1" s="1"/>
  <c r="CU239" i="1" a="1"/>
  <c r="CU239" i="1" s="1"/>
  <c r="DO238" i="1" a="1"/>
  <c r="DO238" i="1" s="1"/>
  <c r="DK238" i="1" a="1"/>
  <c r="DK238" i="1" s="1"/>
  <c r="DG238" i="1" a="1"/>
  <c r="DG238" i="1" s="1"/>
  <c r="DC238" i="1" a="1"/>
  <c r="DC238" i="1" s="1"/>
  <c r="CY238" i="1" a="1"/>
  <c r="CY238" i="1" s="1"/>
  <c r="CU238" i="1" a="1"/>
  <c r="CU238" i="1" s="1"/>
  <c r="DO237" i="1" a="1"/>
  <c r="DO237" i="1" s="1"/>
  <c r="DK237" i="1" a="1"/>
  <c r="DK237" i="1" s="1"/>
  <c r="DG237" i="1" a="1"/>
  <c r="DG237" i="1" s="1"/>
  <c r="DC237" i="1" a="1"/>
  <c r="DC237" i="1" s="1"/>
  <c r="CY237" i="1" a="1"/>
  <c r="CY237" i="1" s="1"/>
  <c r="CU237" i="1" a="1"/>
  <c r="CU237" i="1" s="1"/>
  <c r="DO236" i="1" a="1"/>
  <c r="DO236" i="1" s="1"/>
  <c r="DK236" i="1" a="1"/>
  <c r="DK236" i="1" s="1"/>
  <c r="DG236" i="1" a="1"/>
  <c r="DG236" i="1" s="1"/>
  <c r="DC236" i="1" a="1"/>
  <c r="DC236" i="1" s="1"/>
  <c r="CY236" i="1" a="1"/>
  <c r="CY236" i="1" s="1"/>
  <c r="CU236" i="1" a="1"/>
  <c r="CU236" i="1" s="1"/>
  <c r="DO235" i="1" a="1"/>
  <c r="DO235" i="1" s="1"/>
  <c r="DK235" i="1" a="1"/>
  <c r="DK235" i="1" s="1"/>
  <c r="DG235" i="1" a="1"/>
  <c r="DG235" i="1" s="1"/>
  <c r="DC235" i="1" a="1"/>
  <c r="DC235" i="1" s="1"/>
  <c r="CY235" i="1" a="1"/>
  <c r="CY235" i="1" s="1"/>
  <c r="CU235" i="1" a="1"/>
  <c r="CU235" i="1" s="1"/>
  <c r="DO234" i="1" a="1"/>
  <c r="DO234" i="1" s="1"/>
  <c r="DK234" i="1" a="1"/>
  <c r="DK234" i="1" s="1"/>
  <c r="DG234" i="1" a="1"/>
  <c r="DG234" i="1" s="1"/>
  <c r="DC234" i="1" a="1"/>
  <c r="DC234" i="1" s="1"/>
  <c r="CY234" i="1" a="1"/>
  <c r="CY234" i="1" s="1"/>
  <c r="CU234" i="1" a="1"/>
  <c r="CU234" i="1" s="1"/>
  <c r="DO233" i="1" a="1"/>
  <c r="DO233" i="1" s="1"/>
  <c r="DK233" i="1" a="1"/>
  <c r="DK233" i="1" s="1"/>
  <c r="DG233" i="1" a="1"/>
  <c r="DG233" i="1" s="1"/>
  <c r="DC233" i="1" a="1"/>
  <c r="DC233" i="1" s="1"/>
  <c r="CY233" i="1" a="1"/>
  <c r="CY233" i="1" s="1"/>
  <c r="CU233" i="1" a="1"/>
  <c r="CU233" i="1" s="1"/>
  <c r="DO232" i="1" a="1"/>
  <c r="DO232" i="1" s="1"/>
  <c r="DK232" i="1" a="1"/>
  <c r="DK232" i="1" s="1"/>
  <c r="DG232" i="1" a="1"/>
  <c r="DG232" i="1" s="1"/>
  <c r="DC232" i="1" a="1"/>
  <c r="DC232" i="1" s="1"/>
  <c r="CY232" i="1" a="1"/>
  <c r="CY232" i="1" s="1"/>
  <c r="CU232" i="1" a="1"/>
  <c r="CU232" i="1" s="1"/>
  <c r="DO231" i="1" a="1"/>
  <c r="DO231" i="1" s="1"/>
  <c r="DK231" i="1" a="1"/>
  <c r="DK231" i="1" s="1"/>
  <c r="DG231" i="1" a="1"/>
  <c r="DG231" i="1" s="1"/>
  <c r="DC231" i="1" a="1"/>
  <c r="DC231" i="1" s="1"/>
  <c r="CY231" i="1" a="1"/>
  <c r="CY231" i="1" s="1"/>
  <c r="CU231" i="1" a="1"/>
  <c r="CU231" i="1" s="1"/>
  <c r="DO230" i="1" a="1"/>
  <c r="DO230" i="1" s="1"/>
  <c r="DK230" i="1" a="1"/>
  <c r="DK230" i="1" s="1"/>
  <c r="DG230" i="1" a="1"/>
  <c r="DG230" i="1" s="1"/>
  <c r="DC230" i="1" a="1"/>
  <c r="DC230" i="1" s="1"/>
  <c r="CY230" i="1" a="1"/>
  <c r="CY230" i="1" s="1"/>
  <c r="CU230" i="1" a="1"/>
  <c r="CU230" i="1" s="1"/>
  <c r="DO229" i="1" a="1"/>
  <c r="DO229" i="1" s="1"/>
  <c r="DK229" i="1" a="1"/>
  <c r="DK229" i="1" s="1"/>
  <c r="DG229" i="1" a="1"/>
  <c r="DG229" i="1" s="1"/>
  <c r="DC229" i="1" a="1"/>
  <c r="DC229" i="1" s="1"/>
  <c r="CY229" i="1" a="1"/>
  <c r="CY229" i="1" s="1"/>
  <c r="CU229" i="1" a="1"/>
  <c r="CU229" i="1" s="1"/>
  <c r="DO228" i="1" a="1"/>
  <c r="DO228" i="1" s="1"/>
  <c r="DK228" i="1" a="1"/>
  <c r="DK228" i="1" s="1"/>
  <c r="DG228" i="1" a="1"/>
  <c r="DG228" i="1" s="1"/>
  <c r="DC228" i="1" a="1"/>
  <c r="DC228" i="1" s="1"/>
  <c r="CY228" i="1" a="1"/>
  <c r="CY228" i="1" s="1"/>
  <c r="CU228" i="1" a="1"/>
  <c r="CU228" i="1" s="1"/>
  <c r="DO227" i="1" a="1"/>
  <c r="DO227" i="1" s="1"/>
  <c r="DK227" i="1" a="1"/>
  <c r="DK227" i="1" s="1"/>
  <c r="DG227" i="1" a="1"/>
  <c r="DG227" i="1" s="1"/>
  <c r="DC227" i="1" a="1"/>
  <c r="DC227" i="1" s="1"/>
  <c r="CY227" i="1" a="1"/>
  <c r="CY227" i="1" s="1"/>
  <c r="CU227" i="1" a="1"/>
  <c r="CU227" i="1" s="1"/>
  <c r="DO226" i="1" a="1"/>
  <c r="DO226" i="1" s="1"/>
  <c r="DK226" i="1" a="1"/>
  <c r="DK226" i="1" s="1"/>
  <c r="DG226" i="1" a="1"/>
  <c r="DG226" i="1" s="1"/>
  <c r="DC226" i="1" a="1"/>
  <c r="DC226" i="1" s="1"/>
  <c r="CY226" i="1" a="1"/>
  <c r="CY226" i="1" s="1"/>
  <c r="CU226" i="1" a="1"/>
  <c r="CU226" i="1" s="1"/>
  <c r="DO225" i="1" a="1"/>
  <c r="DO225" i="1" s="1"/>
  <c r="DK225" i="1" a="1"/>
  <c r="DK225" i="1" s="1"/>
  <c r="DG225" i="1" a="1"/>
  <c r="DG225" i="1" s="1"/>
  <c r="DC225" i="1" a="1"/>
  <c r="DC225" i="1" s="1"/>
  <c r="CY225" i="1" a="1"/>
  <c r="CY225" i="1" s="1"/>
  <c r="CU225" i="1" a="1"/>
  <c r="CU225" i="1" s="1"/>
  <c r="DO224" i="1" a="1"/>
  <c r="DO224" i="1" s="1"/>
  <c r="DK224" i="1" a="1"/>
  <c r="DK224" i="1" s="1"/>
  <c r="DG224" i="1" a="1"/>
  <c r="DG224" i="1" s="1"/>
  <c r="DC224" i="1" a="1"/>
  <c r="DC224" i="1" s="1"/>
  <c r="CY224" i="1" a="1"/>
  <c r="CY224" i="1" s="1"/>
  <c r="CU224" i="1" a="1"/>
  <c r="CU224" i="1" s="1"/>
  <c r="DO223" i="1" a="1"/>
  <c r="DO223" i="1" s="1"/>
  <c r="DK223" i="1" a="1"/>
  <c r="DK223" i="1" s="1"/>
  <c r="DG223" i="1" a="1"/>
  <c r="DG223" i="1" s="1"/>
  <c r="DC223" i="1" a="1"/>
  <c r="DC223" i="1" s="1"/>
  <c r="CY223" i="1" a="1"/>
  <c r="CY223" i="1" s="1"/>
  <c r="CU223" i="1" a="1"/>
  <c r="CU223" i="1" s="1"/>
  <c r="DO222" i="1" a="1"/>
  <c r="DO222" i="1" s="1"/>
  <c r="DK222" i="1" a="1"/>
  <c r="DK222" i="1" s="1"/>
  <c r="DG222" i="1" a="1"/>
  <c r="DG222" i="1" s="1"/>
  <c r="DC222" i="1" a="1"/>
  <c r="DC222" i="1" s="1"/>
  <c r="CY222" i="1" a="1"/>
  <c r="CY222" i="1" s="1"/>
  <c r="CU222" i="1" a="1"/>
  <c r="CU222" i="1" s="1"/>
  <c r="DO221" i="1" a="1"/>
  <c r="DO221" i="1" s="1"/>
  <c r="DK221" i="1" a="1"/>
  <c r="DK221" i="1" s="1"/>
  <c r="DG221" i="1" a="1"/>
  <c r="DG221" i="1" s="1"/>
  <c r="DC221" i="1" a="1"/>
  <c r="DC221" i="1" s="1"/>
  <c r="CY221" i="1" a="1"/>
  <c r="CY221" i="1" s="1"/>
  <c r="CU221" i="1" a="1"/>
  <c r="CU221" i="1" s="1"/>
  <c r="CU128" i="1" a="1"/>
  <c r="CU128" i="1" s="1"/>
  <c r="DG103" i="1" a="1"/>
  <c r="DG103" i="1" s="1"/>
  <c r="DK100" i="1" a="1"/>
  <c r="DK100" i="1" s="1"/>
  <c r="DG78" i="1" a="1"/>
  <c r="DG78" i="1" s="1"/>
  <c r="DO341" i="1" a="1"/>
  <c r="DO341" i="1" s="1"/>
  <c r="DK341" i="1" a="1"/>
  <c r="DK341" i="1" s="1"/>
  <c r="DG341" i="1" a="1"/>
  <c r="DG341" i="1" s="1"/>
  <c r="DC341" i="1" a="1"/>
  <c r="DC341" i="1" s="1"/>
  <c r="CY341" i="1" a="1"/>
  <c r="CY341" i="1" s="1"/>
  <c r="CU341" i="1" a="1"/>
  <c r="CU341" i="1" s="1"/>
  <c r="DO340" i="1" a="1"/>
  <c r="DO340" i="1" s="1"/>
  <c r="DC338" i="1" a="1"/>
  <c r="DC338" i="1" s="1"/>
  <c r="CY338" i="1" a="1"/>
  <c r="CY338" i="1" s="1"/>
  <c r="CU338" i="1" a="1"/>
  <c r="CU338" i="1" s="1"/>
  <c r="DO333" i="1" a="1"/>
  <c r="DO333" i="1" s="1"/>
  <c r="DK333" i="1" a="1"/>
  <c r="DK333" i="1" s="1"/>
  <c r="DG333" i="1" a="1"/>
  <c r="DG333" i="1" s="1"/>
  <c r="DC333" i="1" a="1"/>
  <c r="DC333" i="1" s="1"/>
  <c r="CY333" i="1" a="1"/>
  <c r="CY333" i="1" s="1"/>
  <c r="CU333" i="1" a="1"/>
  <c r="CU333" i="1" s="1"/>
  <c r="DO332" i="1" a="1"/>
  <c r="DO332" i="1" s="1"/>
  <c r="DG327" i="1" a="1"/>
  <c r="DG327" i="1" s="1"/>
  <c r="DC327" i="1" a="1"/>
  <c r="DC327" i="1" s="1"/>
  <c r="CY327" i="1" a="1"/>
  <c r="CY327" i="1" s="1"/>
  <c r="CU327" i="1" a="1"/>
  <c r="CU327" i="1" s="1"/>
  <c r="DO326" i="1" a="1"/>
  <c r="DO326" i="1" s="1"/>
  <c r="DK326" i="1" a="1"/>
  <c r="DK326" i="1" s="1"/>
  <c r="DG326" i="1" a="1"/>
  <c r="DG326" i="1" s="1"/>
  <c r="DC326" i="1" a="1"/>
  <c r="DC326" i="1" s="1"/>
  <c r="CY326" i="1" a="1"/>
  <c r="CY326" i="1" s="1"/>
  <c r="CU326" i="1" a="1"/>
  <c r="CU326" i="1" s="1"/>
  <c r="DO325" i="1" a="1"/>
  <c r="DO325" i="1" s="1"/>
  <c r="DK325" i="1" a="1"/>
  <c r="DK325" i="1" s="1"/>
  <c r="DG325" i="1" a="1"/>
  <c r="DG325" i="1" s="1"/>
  <c r="DC325" i="1" a="1"/>
  <c r="DC325" i="1" s="1"/>
  <c r="DC318" i="1" a="1"/>
  <c r="DC318" i="1" s="1"/>
  <c r="CY318" i="1" a="1"/>
  <c r="CY318" i="1" s="1"/>
  <c r="CU318" i="1" a="1"/>
  <c r="CU318" i="1" s="1"/>
  <c r="DO317" i="1" a="1"/>
  <c r="DO317" i="1" s="1"/>
  <c r="DK317" i="1" a="1"/>
  <c r="DK317" i="1" s="1"/>
  <c r="DG317" i="1" a="1"/>
  <c r="DG317" i="1" s="1"/>
  <c r="DC317" i="1" a="1"/>
  <c r="DC317" i="1" s="1"/>
  <c r="CY317" i="1" a="1"/>
  <c r="CY317" i="1" s="1"/>
  <c r="DC302" i="1" a="1"/>
  <c r="DC302" i="1" s="1"/>
  <c r="CY302" i="1" a="1"/>
  <c r="CY302" i="1" s="1"/>
  <c r="CU302" i="1" a="1"/>
  <c r="CU302" i="1" s="1"/>
  <c r="DO301" i="1" a="1"/>
  <c r="DO301" i="1" s="1"/>
  <c r="DK301" i="1" a="1"/>
  <c r="DK301" i="1" s="1"/>
  <c r="DG301" i="1" a="1"/>
  <c r="DG301" i="1" s="1"/>
  <c r="DC301" i="1" a="1"/>
  <c r="DC301" i="1" s="1"/>
  <c r="CY301" i="1" a="1"/>
  <c r="CY301" i="1" s="1"/>
  <c r="CU301" i="1" a="1"/>
  <c r="CU301" i="1" s="1"/>
  <c r="DO300" i="1" a="1"/>
  <c r="DO300" i="1" s="1"/>
  <c r="DK300" i="1" a="1"/>
  <c r="DK300" i="1" s="1"/>
  <c r="DG300" i="1" a="1"/>
  <c r="DG300" i="1" s="1"/>
  <c r="DC300" i="1" a="1"/>
  <c r="DC300" i="1" s="1"/>
  <c r="CY300" i="1" a="1"/>
  <c r="CY300" i="1" s="1"/>
  <c r="CU300" i="1" a="1"/>
  <c r="CU300" i="1" s="1"/>
  <c r="DO299" i="1" a="1"/>
  <c r="DO299" i="1" s="1"/>
  <c r="DK299" i="1" a="1"/>
  <c r="DK299" i="1" s="1"/>
  <c r="DG299" i="1" a="1"/>
  <c r="DG299" i="1" s="1"/>
  <c r="DC299" i="1" a="1"/>
  <c r="DC299" i="1" s="1"/>
  <c r="CY299" i="1" a="1"/>
  <c r="CY299" i="1" s="1"/>
  <c r="CU299" i="1" a="1"/>
  <c r="CU299" i="1" s="1"/>
  <c r="DO298" i="1" a="1"/>
  <c r="DO298" i="1" s="1"/>
  <c r="DK298" i="1" a="1"/>
  <c r="DK298" i="1" s="1"/>
  <c r="DG298" i="1" a="1"/>
  <c r="DG298" i="1" s="1"/>
  <c r="DC298" i="1" a="1"/>
  <c r="DC298" i="1" s="1"/>
  <c r="CY298" i="1" a="1"/>
  <c r="CY298" i="1" s="1"/>
  <c r="CU298" i="1" a="1"/>
  <c r="CU298" i="1" s="1"/>
  <c r="DK264" i="1" a="1"/>
  <c r="DK264" i="1" s="1"/>
  <c r="DG264" i="1" a="1"/>
  <c r="DG264" i="1" s="1"/>
  <c r="DC264" i="1" a="1"/>
  <c r="DC264" i="1" s="1"/>
  <c r="CY264" i="1" a="1"/>
  <c r="CY264" i="1" s="1"/>
  <c r="CY350" i="1" a="1"/>
  <c r="CY350" i="1" s="1"/>
  <c r="CU350" i="1" a="1"/>
  <c r="CU350" i="1" s="1"/>
  <c r="DO349" i="1" a="1"/>
  <c r="DO349" i="1" s="1"/>
  <c r="DK349" i="1" a="1"/>
  <c r="DK349" i="1" s="1"/>
  <c r="DG349" i="1" a="1"/>
  <c r="DG349" i="1" s="1"/>
  <c r="DC349" i="1" a="1"/>
  <c r="DC349" i="1" s="1"/>
  <c r="CY349" i="1" a="1"/>
  <c r="CY349" i="1" s="1"/>
  <c r="CU349" i="1" a="1"/>
  <c r="CU349" i="1" s="1"/>
  <c r="DO348" i="1" a="1"/>
  <c r="DO348" i="1" s="1"/>
  <c r="DK348" i="1" a="1"/>
  <c r="DK348" i="1" s="1"/>
  <c r="DG348" i="1" a="1"/>
  <c r="DG348" i="1" s="1"/>
  <c r="DC348" i="1" a="1"/>
  <c r="DC348" i="1" s="1"/>
  <c r="CY348" i="1" a="1"/>
  <c r="CY348" i="1" s="1"/>
  <c r="CU348" i="1" a="1"/>
  <c r="CU348" i="1" s="1"/>
  <c r="DO347" i="1" a="1"/>
  <c r="DO347" i="1" s="1"/>
  <c r="DK347" i="1" a="1"/>
  <c r="DK347" i="1" s="1"/>
  <c r="DG347" i="1" a="1"/>
  <c r="DG347" i="1" s="1"/>
  <c r="DC347" i="1" a="1"/>
  <c r="DC347" i="1" s="1"/>
  <c r="CY347" i="1" a="1"/>
  <c r="CY347" i="1" s="1"/>
  <c r="CU347" i="1" a="1"/>
  <c r="CU347" i="1" s="1"/>
  <c r="DO346" i="1" a="1"/>
  <c r="DO346" i="1" s="1"/>
  <c r="DK346" i="1" a="1"/>
  <c r="DK346" i="1" s="1"/>
  <c r="DG346" i="1" a="1"/>
  <c r="DG346" i="1" s="1"/>
  <c r="DC346" i="1" a="1"/>
  <c r="DC346" i="1" s="1"/>
  <c r="CY346" i="1" a="1"/>
  <c r="CY346" i="1" s="1"/>
  <c r="CU346" i="1" a="1"/>
  <c r="CU346" i="1" s="1"/>
  <c r="DO345" i="1" a="1"/>
  <c r="DO345" i="1" s="1"/>
  <c r="DK345" i="1" a="1"/>
  <c r="DK345" i="1" s="1"/>
  <c r="DG345" i="1" a="1"/>
  <c r="DG345" i="1" s="1"/>
  <c r="DC345" i="1" a="1"/>
  <c r="DC345" i="1" s="1"/>
  <c r="DK340" i="1" a="1"/>
  <c r="DK340" i="1" s="1"/>
  <c r="DG340" i="1" a="1"/>
  <c r="DG340" i="1" s="1"/>
  <c r="DC340" i="1" a="1"/>
  <c r="DC340" i="1" s="1"/>
  <c r="CY340" i="1" a="1"/>
  <c r="CY340" i="1" s="1"/>
  <c r="CU340" i="1" a="1"/>
  <c r="CU340" i="1" s="1"/>
  <c r="DO337" i="1" a="1"/>
  <c r="DO337" i="1" s="1"/>
  <c r="DK337" i="1" a="1"/>
  <c r="DK337" i="1" s="1"/>
  <c r="DG337" i="1" a="1"/>
  <c r="DG337" i="1" s="1"/>
  <c r="DC337" i="1" a="1"/>
  <c r="DC337" i="1" s="1"/>
  <c r="DK332" i="1" a="1"/>
  <c r="DK332" i="1" s="1"/>
  <c r="DG332" i="1" a="1"/>
  <c r="DG332" i="1" s="1"/>
  <c r="DC332" i="1" a="1"/>
  <c r="DC332" i="1" s="1"/>
  <c r="CY332" i="1" a="1"/>
  <c r="CY332" i="1" s="1"/>
  <c r="CU332" i="1" a="1"/>
  <c r="CU332" i="1" s="1"/>
  <c r="CY283" i="1" a="1"/>
  <c r="CY283" i="1" s="1"/>
  <c r="CU283" i="1" a="1"/>
  <c r="CU283" i="1" s="1"/>
  <c r="DG275" i="1" a="1"/>
  <c r="DG275" i="1" s="1"/>
  <c r="DC275" i="1" a="1"/>
  <c r="DC275" i="1" s="1"/>
  <c r="CY275" i="1" a="1"/>
  <c r="CY275" i="1" s="1"/>
  <c r="CU275" i="1" a="1"/>
  <c r="CU275" i="1" s="1"/>
  <c r="DO274" i="1" a="1"/>
  <c r="DO274" i="1" s="1"/>
  <c r="DK274" i="1" a="1"/>
  <c r="DK274" i="1" s="1"/>
  <c r="DG274" i="1" a="1"/>
  <c r="DG274" i="1" s="1"/>
  <c r="DK272" i="1" a="1"/>
  <c r="DK272" i="1" s="1"/>
  <c r="DG272" i="1" a="1"/>
  <c r="DG272" i="1" s="1"/>
  <c r="DC272" i="1" a="1"/>
  <c r="DC272" i="1" s="1"/>
  <c r="CY272" i="1" a="1"/>
  <c r="CY272" i="1" s="1"/>
  <c r="CU272" i="1" a="1"/>
  <c r="CU272" i="1" s="1"/>
  <c r="DO271" i="1" a="1"/>
  <c r="DO271" i="1" s="1"/>
  <c r="DK271" i="1" a="1"/>
  <c r="DK271" i="1" s="1"/>
  <c r="DG271" i="1" a="1"/>
  <c r="DG271" i="1" s="1"/>
  <c r="DC271" i="1" a="1"/>
  <c r="DC271" i="1" s="1"/>
  <c r="CY271" i="1" a="1"/>
  <c r="CY271" i="1" s="1"/>
  <c r="CU271" i="1" a="1"/>
  <c r="CU271" i="1" s="1"/>
  <c r="DN25" i="1" a="1"/>
  <c r="DN25" i="1" s="1"/>
  <c r="DN101" i="1" a="1"/>
  <c r="DN101" i="1" s="1"/>
  <c r="DN47" i="1" a="1"/>
  <c r="DN47" i="1" s="1"/>
  <c r="DN114" i="1" a="1"/>
  <c r="DN114" i="1" s="1"/>
  <c r="DN121" i="1" a="1"/>
  <c r="DN121" i="1" s="1"/>
  <c r="DN122" i="1" a="1"/>
  <c r="DN122" i="1" s="1"/>
  <c r="DN123" i="1" a="1"/>
  <c r="DN123" i="1" s="1"/>
  <c r="DN124" i="1" a="1"/>
  <c r="DN124" i="1" s="1"/>
  <c r="DN125" i="1" a="1"/>
  <c r="DN125" i="1" s="1"/>
  <c r="DN126" i="1" a="1"/>
  <c r="DN126" i="1" s="1"/>
  <c r="DN127" i="1" a="1"/>
  <c r="DN127" i="1" s="1"/>
  <c r="DN128" i="1" a="1"/>
  <c r="DN128" i="1" s="1"/>
  <c r="DN129" i="1" a="1"/>
  <c r="DN129" i="1" s="1"/>
  <c r="DN130" i="1" a="1"/>
  <c r="DN130" i="1" s="1"/>
  <c r="DN131" i="1" a="1"/>
  <c r="DN131" i="1" s="1"/>
  <c r="DN132" i="1" a="1"/>
  <c r="DN132" i="1" s="1"/>
  <c r="DN133" i="1" a="1"/>
  <c r="DN133" i="1" s="1"/>
  <c r="DN134" i="1" a="1"/>
  <c r="DN134" i="1" s="1"/>
  <c r="DN135" i="1" a="1"/>
  <c r="DN135" i="1" s="1"/>
  <c r="DN136" i="1" a="1"/>
  <c r="DN136" i="1" s="1"/>
  <c r="DJ77" i="1" a="1"/>
  <c r="DJ77" i="1" s="1"/>
  <c r="DJ25" i="1" a="1"/>
  <c r="DJ25" i="1" s="1"/>
  <c r="DJ75" i="1" a="1"/>
  <c r="DJ75" i="1" s="1"/>
  <c r="DJ101" i="1" a="1"/>
  <c r="DJ101" i="1" s="1"/>
  <c r="DJ121" i="1" a="1"/>
  <c r="DJ121" i="1" s="1"/>
  <c r="DJ122" i="1" a="1"/>
  <c r="DJ122" i="1" s="1"/>
  <c r="DJ123" i="1" a="1"/>
  <c r="DJ123" i="1" s="1"/>
  <c r="DJ124" i="1" a="1"/>
  <c r="DJ124" i="1" s="1"/>
  <c r="DJ125" i="1" a="1"/>
  <c r="DJ125" i="1" s="1"/>
  <c r="DJ126" i="1" a="1"/>
  <c r="DJ126" i="1" s="1"/>
  <c r="DJ127" i="1" a="1"/>
  <c r="DJ127" i="1" s="1"/>
  <c r="DJ128" i="1" a="1"/>
  <c r="DJ128" i="1" s="1"/>
  <c r="DJ129" i="1" a="1"/>
  <c r="DJ129" i="1" s="1"/>
  <c r="DJ130" i="1" a="1"/>
  <c r="DJ130" i="1" s="1"/>
  <c r="DJ131" i="1" a="1"/>
  <c r="DJ131" i="1" s="1"/>
  <c r="DJ132" i="1" a="1"/>
  <c r="DJ132" i="1" s="1"/>
  <c r="DJ133" i="1" a="1"/>
  <c r="DJ133" i="1" s="1"/>
  <c r="DJ134" i="1" a="1"/>
  <c r="DJ134" i="1" s="1"/>
  <c r="DJ135" i="1" a="1"/>
  <c r="DJ135" i="1" s="1"/>
  <c r="DJ136" i="1" a="1"/>
  <c r="DJ136" i="1" s="1"/>
  <c r="DF77" i="1" a="1"/>
  <c r="DF77" i="1" s="1"/>
  <c r="DF75" i="1" a="1"/>
  <c r="DF75" i="1" s="1"/>
  <c r="DF80" i="1" a="1"/>
  <c r="DF80" i="1" s="1"/>
  <c r="DF101" i="1" a="1"/>
  <c r="DF101" i="1" s="1"/>
  <c r="DF122" i="1" a="1"/>
  <c r="DF122" i="1" s="1"/>
  <c r="DF123" i="1" a="1"/>
  <c r="DF123" i="1" s="1"/>
  <c r="DF124" i="1" a="1"/>
  <c r="DF124" i="1" s="1"/>
  <c r="DF125" i="1" a="1"/>
  <c r="DF125" i="1" s="1"/>
  <c r="DF126" i="1" a="1"/>
  <c r="DF126" i="1" s="1"/>
  <c r="DF127" i="1" a="1"/>
  <c r="DF127" i="1" s="1"/>
  <c r="DF128" i="1" a="1"/>
  <c r="DF128" i="1" s="1"/>
  <c r="DF129" i="1" a="1"/>
  <c r="DF129" i="1" s="1"/>
  <c r="DF130" i="1" a="1"/>
  <c r="DF130" i="1" s="1"/>
  <c r="DF131" i="1" a="1"/>
  <c r="DF131" i="1" s="1"/>
  <c r="DF132" i="1" a="1"/>
  <c r="DF132" i="1" s="1"/>
  <c r="DF133" i="1" a="1"/>
  <c r="DF133" i="1" s="1"/>
  <c r="DF134" i="1" a="1"/>
  <c r="DF134" i="1" s="1"/>
  <c r="DF135" i="1" a="1"/>
  <c r="DF135" i="1" s="1"/>
  <c r="DF136" i="1" a="1"/>
  <c r="DF136" i="1" s="1"/>
  <c r="DB75" i="1" a="1"/>
  <c r="DB75" i="1" s="1"/>
  <c r="DB97" i="1" a="1"/>
  <c r="DB97" i="1" s="1"/>
  <c r="DB101" i="1" a="1"/>
  <c r="DB101" i="1" s="1"/>
  <c r="DB102" i="1" a="1"/>
  <c r="DB102" i="1" s="1"/>
  <c r="DB122" i="1" a="1"/>
  <c r="DB122" i="1" s="1"/>
  <c r="DB123" i="1" a="1"/>
  <c r="DB123" i="1" s="1"/>
  <c r="DB124" i="1" a="1"/>
  <c r="DB124" i="1" s="1"/>
  <c r="DB125" i="1" a="1"/>
  <c r="DB125" i="1" s="1"/>
  <c r="DB126" i="1" a="1"/>
  <c r="DB126" i="1" s="1"/>
  <c r="DB127" i="1" a="1"/>
  <c r="DB127" i="1" s="1"/>
  <c r="DB128" i="1" a="1"/>
  <c r="DB128" i="1" s="1"/>
  <c r="DB129" i="1" a="1"/>
  <c r="DB129" i="1" s="1"/>
  <c r="DB130" i="1" a="1"/>
  <c r="DB130" i="1" s="1"/>
  <c r="DB131" i="1" a="1"/>
  <c r="DB131" i="1" s="1"/>
  <c r="DB132" i="1" a="1"/>
  <c r="DB132" i="1" s="1"/>
  <c r="DB133" i="1" a="1"/>
  <c r="DB133" i="1" s="1"/>
  <c r="DB134" i="1" a="1"/>
  <c r="DB134" i="1" s="1"/>
  <c r="DB135" i="1" a="1"/>
  <c r="DB135" i="1" s="1"/>
  <c r="DB136" i="1" a="1"/>
  <c r="DB136" i="1" s="1"/>
  <c r="CX25" i="1" a="1"/>
  <c r="CX25" i="1" s="1"/>
  <c r="CX75" i="1" a="1"/>
  <c r="CX75" i="1" s="1"/>
  <c r="CX97" i="1" a="1"/>
  <c r="CX97" i="1" s="1"/>
  <c r="CX26" i="1" a="1"/>
  <c r="CX26" i="1" s="1"/>
  <c r="CX102" i="1" a="1"/>
  <c r="CX102" i="1" s="1"/>
  <c r="CX115" i="1" a="1"/>
  <c r="CX115" i="1" s="1"/>
  <c r="CX122" i="1" a="1"/>
  <c r="CX122" i="1" s="1"/>
  <c r="CX123" i="1" a="1"/>
  <c r="CX123" i="1" s="1"/>
  <c r="CX124" i="1" a="1"/>
  <c r="CX124" i="1" s="1"/>
  <c r="CX125" i="1" a="1"/>
  <c r="CX125" i="1" s="1"/>
  <c r="CX126" i="1" a="1"/>
  <c r="CX126" i="1" s="1"/>
  <c r="CX127" i="1" a="1"/>
  <c r="CX127" i="1" s="1"/>
  <c r="CX128" i="1" a="1"/>
  <c r="CX128" i="1" s="1"/>
  <c r="CX129" i="1" a="1"/>
  <c r="CX129" i="1" s="1"/>
  <c r="CX130" i="1" a="1"/>
  <c r="CX130" i="1" s="1"/>
  <c r="CX131" i="1" a="1"/>
  <c r="CX131" i="1" s="1"/>
  <c r="CX132" i="1" a="1"/>
  <c r="CX132" i="1" s="1"/>
  <c r="CX133" i="1" a="1"/>
  <c r="CX133" i="1" s="1"/>
  <c r="CX134" i="1" a="1"/>
  <c r="CX134" i="1" s="1"/>
  <c r="CX135" i="1" a="1"/>
  <c r="CX135" i="1" s="1"/>
  <c r="CX136" i="1" a="1"/>
  <c r="CX136" i="1" s="1"/>
  <c r="CT81" i="1" a="1"/>
  <c r="CT81" i="1" s="1"/>
  <c r="CT26" i="1" a="1"/>
  <c r="CT26" i="1" s="1"/>
  <c r="CT62" i="1" a="1"/>
  <c r="CT62" i="1" s="1"/>
  <c r="CT102" i="1" a="1"/>
  <c r="CT102" i="1" s="1"/>
  <c r="CT49" i="1" a="1"/>
  <c r="CT49" i="1" s="1"/>
  <c r="CT115" i="1" a="1"/>
  <c r="CT115" i="1" s="1"/>
  <c r="CT122" i="1" a="1"/>
  <c r="CT122" i="1" s="1"/>
  <c r="CT123" i="1" a="1"/>
  <c r="CT123" i="1" s="1"/>
  <c r="CT124" i="1" a="1"/>
  <c r="CT124" i="1" s="1"/>
  <c r="CT125" i="1" a="1"/>
  <c r="CT125" i="1" s="1"/>
  <c r="CT126" i="1" a="1"/>
  <c r="CT126" i="1" s="1"/>
  <c r="CT127" i="1" a="1"/>
  <c r="CT127" i="1" s="1"/>
  <c r="CT128" i="1" a="1"/>
  <c r="CT128" i="1" s="1"/>
  <c r="CT129" i="1" a="1"/>
  <c r="CT129" i="1" s="1"/>
  <c r="CT130" i="1" a="1"/>
  <c r="CT130" i="1" s="1"/>
  <c r="CT131" i="1" a="1"/>
  <c r="CT131" i="1" s="1"/>
  <c r="CT132" i="1" a="1"/>
  <c r="CT132" i="1" s="1"/>
  <c r="CT133" i="1" a="1"/>
  <c r="CT133" i="1" s="1"/>
  <c r="CT134" i="1" a="1"/>
  <c r="CT134" i="1" s="1"/>
  <c r="CT135" i="1" a="1"/>
  <c r="CT135" i="1" s="1"/>
  <c r="CT136" i="1" a="1"/>
  <c r="CT136" i="1" s="1"/>
  <c r="CT137" i="1" a="1"/>
  <c r="CT137" i="1" s="1"/>
  <c r="DB25" i="1" a="1"/>
  <c r="DB25" i="1" s="1"/>
  <c r="DF25" i="1" a="1"/>
  <c r="DF25" i="1" s="1"/>
  <c r="CQ26" i="1" a="1"/>
  <c r="CQ26" i="1" s="1"/>
  <c r="DN23" i="1" a="1"/>
  <c r="DN23" i="1" s="1"/>
  <c r="DN26" i="1" a="1"/>
  <c r="DN26" i="1" s="1"/>
  <c r="DN32" i="1" a="1"/>
  <c r="DN32" i="1" s="1"/>
  <c r="DN44" i="1" a="1"/>
  <c r="DN44" i="1" s="1"/>
  <c r="DN45" i="1" a="1"/>
  <c r="DN45" i="1" s="1"/>
  <c r="DN52" i="1" a="1"/>
  <c r="DN52" i="1" s="1"/>
  <c r="DN53" i="1" a="1"/>
  <c r="DN53" i="1" s="1"/>
  <c r="DN27" i="1" a="1"/>
  <c r="DN27" i="1" s="1"/>
  <c r="DN41" i="1" a="1"/>
  <c r="DN41" i="1" s="1"/>
  <c r="DN42" i="1" a="1"/>
  <c r="DN42" i="1" s="1"/>
  <c r="DN43" i="1" a="1"/>
  <c r="DN43" i="1" s="1"/>
  <c r="DN24" i="1" a="1"/>
  <c r="DN24" i="1" s="1"/>
  <c r="DN28" i="1" a="1"/>
  <c r="DN28" i="1" s="1"/>
  <c r="DN33" i="1" a="1"/>
  <c r="DN33" i="1" s="1"/>
  <c r="DN34" i="1" a="1"/>
  <c r="DN34" i="1" s="1"/>
  <c r="DN35" i="1" a="1"/>
  <c r="DN35" i="1" s="1"/>
  <c r="DN36" i="1" a="1"/>
  <c r="DN36" i="1" s="1"/>
  <c r="DN37" i="1" a="1"/>
  <c r="DN37" i="1" s="1"/>
  <c r="DN38" i="1" a="1"/>
  <c r="DN38" i="1" s="1"/>
  <c r="DN39" i="1" a="1"/>
  <c r="DN39" i="1" s="1"/>
  <c r="DN40" i="1" a="1"/>
  <c r="DN40" i="1" s="1"/>
  <c r="DN48" i="1" a="1"/>
  <c r="DN48" i="1" s="1"/>
  <c r="DN49" i="1" a="1"/>
  <c r="DN49" i="1" s="1"/>
  <c r="DN57" i="1" a="1"/>
  <c r="DN57" i="1" s="1"/>
  <c r="DN58" i="1" a="1"/>
  <c r="DN58" i="1" s="1"/>
  <c r="DN75" i="1" a="1"/>
  <c r="DN75" i="1" s="1"/>
  <c r="DN77" i="1" a="1"/>
  <c r="DN77" i="1" s="1"/>
  <c r="DN78" i="1" a="1"/>
  <c r="DN78" i="1" s="1"/>
  <c r="DN81" i="1" a="1"/>
  <c r="DN81" i="1" s="1"/>
  <c r="DN86" i="1" a="1"/>
  <c r="DN86" i="1" s="1"/>
  <c r="DN88" i="1" a="1"/>
  <c r="DN88" i="1" s="1"/>
  <c r="DN92" i="1" a="1"/>
  <c r="DN92" i="1" s="1"/>
  <c r="DN96" i="1" a="1"/>
  <c r="DN96" i="1" s="1"/>
  <c r="DN29" i="1" a="1"/>
  <c r="DN29" i="1" s="1"/>
  <c r="DN30" i="1" a="1"/>
  <c r="DN30" i="1" s="1"/>
  <c r="DN31" i="1" a="1"/>
  <c r="DN31" i="1" s="1"/>
  <c r="DN46" i="1" a="1"/>
  <c r="DN46" i="1" s="1"/>
  <c r="DN50" i="1" a="1"/>
  <c r="DN50" i="1" s="1"/>
  <c r="DN51" i="1" a="1"/>
  <c r="DN51" i="1" s="1"/>
  <c r="DN55" i="1" a="1"/>
  <c r="DN55" i="1" s="1"/>
  <c r="DN56" i="1" a="1"/>
  <c r="DN56" i="1" s="1"/>
  <c r="DN63" i="1" a="1"/>
  <c r="DN63" i="1" s="1"/>
  <c r="DN64" i="1" a="1"/>
  <c r="DN64" i="1" s="1"/>
  <c r="DN76" i="1" a="1"/>
  <c r="DN76" i="1" s="1"/>
  <c r="DN80" i="1" a="1"/>
  <c r="DN80" i="1" s="1"/>
  <c r="DN84" i="1" a="1"/>
  <c r="DN84" i="1" s="1"/>
  <c r="DN91" i="1" a="1"/>
  <c r="DN91" i="1" s="1"/>
  <c r="DN54" i="1" a="1"/>
  <c r="DN54" i="1" s="1"/>
  <c r="DN61" i="1" a="1"/>
  <c r="DN61" i="1" s="1"/>
  <c r="DN62" i="1" a="1"/>
  <c r="DN62" i="1" s="1"/>
  <c r="DN65" i="1" a="1"/>
  <c r="DN65" i="1" s="1"/>
  <c r="DN66" i="1" a="1"/>
  <c r="DN66" i="1" s="1"/>
  <c r="DN67" i="1" a="1"/>
  <c r="DN67" i="1" s="1"/>
  <c r="DN68" i="1" a="1"/>
  <c r="DN68" i="1" s="1"/>
  <c r="DN69" i="1" a="1"/>
  <c r="DN69" i="1" s="1"/>
  <c r="DN70" i="1" a="1"/>
  <c r="DN70" i="1" s="1"/>
  <c r="DN71" i="1" a="1"/>
  <c r="DN71" i="1" s="1"/>
  <c r="DN72" i="1" a="1"/>
  <c r="DN72" i="1" s="1"/>
  <c r="DN73" i="1" a="1"/>
  <c r="DN73" i="1" s="1"/>
  <c r="DN74" i="1" a="1"/>
  <c r="DN74" i="1" s="1"/>
  <c r="DN83" i="1" a="1"/>
  <c r="DN83" i="1" s="1"/>
  <c r="DN87" i="1" a="1"/>
  <c r="DN87" i="1" s="1"/>
  <c r="DN89" i="1" a="1"/>
  <c r="DN89" i="1" s="1"/>
  <c r="DN98" i="1" a="1"/>
  <c r="DN98" i="1" s="1"/>
  <c r="DJ23" i="1" a="1"/>
  <c r="DJ23" i="1" s="1"/>
  <c r="DJ26" i="1" a="1"/>
  <c r="DJ26" i="1" s="1"/>
  <c r="DJ32" i="1" a="1"/>
  <c r="DJ32" i="1" s="1"/>
  <c r="DJ42" i="1" a="1"/>
  <c r="DJ42" i="1" s="1"/>
  <c r="DJ43" i="1" a="1"/>
  <c r="DJ43" i="1" s="1"/>
  <c r="DJ51" i="1" a="1"/>
  <c r="DJ51" i="1" s="1"/>
  <c r="DJ52" i="1" a="1"/>
  <c r="DJ52" i="1" s="1"/>
  <c r="DJ27" i="1" a="1"/>
  <c r="DJ27" i="1" s="1"/>
  <c r="DJ33" i="1" a="1"/>
  <c r="DJ33" i="1" s="1"/>
  <c r="DJ40" i="1" a="1"/>
  <c r="DJ40" i="1" s="1"/>
  <c r="DJ41" i="1" a="1"/>
  <c r="DJ41" i="1" s="1"/>
  <c r="DJ24" i="1" a="1"/>
  <c r="DJ24" i="1" s="1"/>
  <c r="DJ28" i="1" a="1"/>
  <c r="DJ28" i="1" s="1"/>
  <c r="DJ34" i="1" a="1"/>
  <c r="DJ34" i="1" s="1"/>
  <c r="DJ35" i="1" a="1"/>
  <c r="DJ35" i="1" s="1"/>
  <c r="DJ36" i="1" a="1"/>
  <c r="DJ36" i="1" s="1"/>
  <c r="DJ37" i="1" a="1"/>
  <c r="DJ37" i="1" s="1"/>
  <c r="DJ38" i="1" a="1"/>
  <c r="DJ38" i="1" s="1"/>
  <c r="DJ39" i="1" a="1"/>
  <c r="DJ39" i="1" s="1"/>
  <c r="DJ47" i="1" a="1"/>
  <c r="DJ47" i="1" s="1"/>
  <c r="DJ48" i="1" a="1"/>
  <c r="DJ48" i="1" s="1"/>
  <c r="DJ45" i="1" a="1"/>
  <c r="DJ45" i="1" s="1"/>
  <c r="DJ56" i="1" a="1"/>
  <c r="DJ56" i="1" s="1"/>
  <c r="DJ57" i="1" a="1"/>
  <c r="DJ57" i="1" s="1"/>
  <c r="DJ64" i="1" a="1"/>
  <c r="DJ64" i="1" s="1"/>
  <c r="DJ80" i="1" a="1"/>
  <c r="DJ80" i="1" s="1"/>
  <c r="DJ86" i="1" a="1"/>
  <c r="DJ86" i="1" s="1"/>
  <c r="DJ88" i="1" a="1"/>
  <c r="DJ88" i="1" s="1"/>
  <c r="DJ92" i="1" a="1"/>
  <c r="DJ92" i="1" s="1"/>
  <c r="DJ96" i="1" a="1"/>
  <c r="DJ96" i="1" s="1"/>
  <c r="DJ29" i="1" a="1"/>
  <c r="DJ29" i="1" s="1"/>
  <c r="DJ30" i="1" a="1"/>
  <c r="DJ30" i="1" s="1"/>
  <c r="DJ31" i="1" a="1"/>
  <c r="DJ31" i="1" s="1"/>
  <c r="DJ46" i="1" a="1"/>
  <c r="DJ46" i="1" s="1"/>
  <c r="DJ50" i="1" a="1"/>
  <c r="DJ50" i="1" s="1"/>
  <c r="DJ55" i="1" a="1"/>
  <c r="DJ55" i="1" s="1"/>
  <c r="DJ62" i="1" a="1"/>
  <c r="DJ62" i="1" s="1"/>
  <c r="DJ63" i="1" a="1"/>
  <c r="DJ63" i="1" s="1"/>
  <c r="DJ76" i="1" a="1"/>
  <c r="DJ76" i="1" s="1"/>
  <c r="DJ84" i="1" a="1"/>
  <c r="DJ84" i="1" s="1"/>
  <c r="DJ89" i="1" a="1"/>
  <c r="DJ89" i="1" s="1"/>
  <c r="DJ91" i="1" a="1"/>
  <c r="DJ91" i="1" s="1"/>
  <c r="DJ44" i="1" a="1"/>
  <c r="DJ44" i="1" s="1"/>
  <c r="DJ49" i="1" a="1"/>
  <c r="DJ49" i="1" s="1"/>
  <c r="DJ53" i="1" a="1"/>
  <c r="DJ53" i="1" s="1"/>
  <c r="DJ54" i="1" a="1"/>
  <c r="DJ54" i="1" s="1"/>
  <c r="DJ60" i="1" a="1"/>
  <c r="DJ60" i="1" s="1"/>
  <c r="DJ61" i="1" a="1"/>
  <c r="DJ61" i="1" s="1"/>
  <c r="DJ65" i="1" a="1"/>
  <c r="DJ65" i="1" s="1"/>
  <c r="DJ66" i="1" a="1"/>
  <c r="DJ66" i="1" s="1"/>
  <c r="DJ67" i="1" a="1"/>
  <c r="DJ67" i="1" s="1"/>
  <c r="DJ68" i="1" a="1"/>
  <c r="DJ68" i="1" s="1"/>
  <c r="DJ69" i="1" a="1"/>
  <c r="DJ69" i="1" s="1"/>
  <c r="DJ70" i="1" a="1"/>
  <c r="DJ70" i="1" s="1"/>
  <c r="DJ71" i="1" a="1"/>
  <c r="DJ71" i="1" s="1"/>
  <c r="DJ72" i="1" a="1"/>
  <c r="DJ72" i="1" s="1"/>
  <c r="DJ73" i="1" a="1"/>
  <c r="DJ73" i="1" s="1"/>
  <c r="DJ74" i="1" a="1"/>
  <c r="DJ74" i="1" s="1"/>
  <c r="DJ79" i="1" a="1"/>
  <c r="DJ79" i="1" s="1"/>
  <c r="DJ82" i="1" a="1"/>
  <c r="DJ82" i="1" s="1"/>
  <c r="DJ83" i="1" a="1"/>
  <c r="DJ83" i="1" s="1"/>
  <c r="DJ85" i="1" a="1"/>
  <c r="DJ85" i="1" s="1"/>
  <c r="DJ87" i="1" a="1"/>
  <c r="DJ87" i="1" s="1"/>
  <c r="DJ95" i="1" a="1"/>
  <c r="DJ95" i="1" s="1"/>
  <c r="DJ98" i="1" a="1"/>
  <c r="DJ98" i="1" s="1"/>
  <c r="DF23" i="1" a="1"/>
  <c r="DF23" i="1" s="1"/>
  <c r="DF26" i="1" a="1"/>
  <c r="DF26" i="1" s="1"/>
  <c r="DF41" i="1" a="1"/>
  <c r="DF41" i="1" s="1"/>
  <c r="DF42" i="1" a="1"/>
  <c r="DF42" i="1" s="1"/>
  <c r="DF50" i="1" a="1"/>
  <c r="DF50" i="1" s="1"/>
  <c r="DF51" i="1" a="1"/>
  <c r="DF51" i="1" s="1"/>
  <c r="DF27" i="1" a="1"/>
  <c r="DF27" i="1" s="1"/>
  <c r="DF33" i="1" a="1"/>
  <c r="DF33" i="1" s="1"/>
  <c r="DF40" i="1" a="1"/>
  <c r="DF40" i="1" s="1"/>
  <c r="DF48" i="1" a="1"/>
  <c r="DF48" i="1" s="1"/>
  <c r="DF24" i="1" a="1"/>
  <c r="DF24" i="1" s="1"/>
  <c r="DF28" i="1" a="1"/>
  <c r="DF28" i="1" s="1"/>
  <c r="DF34" i="1" a="1"/>
  <c r="DF34" i="1" s="1"/>
  <c r="DF35" i="1" a="1"/>
  <c r="DF35" i="1" s="1"/>
  <c r="DF36" i="1" a="1"/>
  <c r="DF36" i="1" s="1"/>
  <c r="DF37" i="1" a="1"/>
  <c r="DF37" i="1" s="1"/>
  <c r="DF38" i="1" a="1"/>
  <c r="DF38" i="1" s="1"/>
  <c r="DF39" i="1" a="1"/>
  <c r="DF39" i="1" s="1"/>
  <c r="DF44" i="1" a="1"/>
  <c r="DF44" i="1" s="1"/>
  <c r="DF46" i="1" a="1"/>
  <c r="DF46" i="1" s="1"/>
  <c r="DF47" i="1" a="1"/>
  <c r="DF47" i="1" s="1"/>
  <c r="DF54" i="1" a="1"/>
  <c r="DF54" i="1" s="1"/>
  <c r="DF45" i="1" a="1"/>
  <c r="DF45" i="1" s="1"/>
  <c r="DF52" i="1" a="1"/>
  <c r="DF52" i="1" s="1"/>
  <c r="DF56" i="1" a="1"/>
  <c r="DF56" i="1" s="1"/>
  <c r="DF63" i="1" a="1"/>
  <c r="DF63" i="1" s="1"/>
  <c r="DF64" i="1" a="1"/>
  <c r="DF64" i="1" s="1"/>
  <c r="DF84" i="1" a="1"/>
  <c r="DF84" i="1" s="1"/>
  <c r="DF86" i="1" a="1"/>
  <c r="DF86" i="1" s="1"/>
  <c r="DF94" i="1" a="1"/>
  <c r="DF94" i="1" s="1"/>
  <c r="DF96" i="1" a="1"/>
  <c r="DF96" i="1" s="1"/>
  <c r="DF29" i="1" a="1"/>
  <c r="DF29" i="1" s="1"/>
  <c r="DF30" i="1" a="1"/>
  <c r="DF30" i="1" s="1"/>
  <c r="DF31" i="1" a="1"/>
  <c r="DF31" i="1" s="1"/>
  <c r="DF32" i="1" a="1"/>
  <c r="DF32" i="1" s="1"/>
  <c r="DF55" i="1" a="1"/>
  <c r="DF55" i="1" s="1"/>
  <c r="DF61" i="1" a="1"/>
  <c r="DF61" i="1" s="1"/>
  <c r="DF62" i="1" a="1"/>
  <c r="DF62" i="1" s="1"/>
  <c r="DF76" i="1" a="1"/>
  <c r="DF76" i="1" s="1"/>
  <c r="DF79" i="1" a="1"/>
  <c r="DF79" i="1" s="1"/>
  <c r="DF89" i="1" a="1"/>
  <c r="DF89" i="1" s="1"/>
  <c r="DF91" i="1" a="1"/>
  <c r="DF91" i="1" s="1"/>
  <c r="DF43" i="1" a="1"/>
  <c r="DF43" i="1" s="1"/>
  <c r="DF49" i="1" a="1"/>
  <c r="DF49" i="1" s="1"/>
  <c r="DF53" i="1" a="1"/>
  <c r="DF53" i="1" s="1"/>
  <c r="DF59" i="1" a="1"/>
  <c r="DF59" i="1" s="1"/>
  <c r="DF60" i="1" a="1"/>
  <c r="DF60" i="1" s="1"/>
  <c r="DF65" i="1" a="1"/>
  <c r="DF65" i="1" s="1"/>
  <c r="DF66" i="1" a="1"/>
  <c r="DF66" i="1" s="1"/>
  <c r="DF67" i="1" a="1"/>
  <c r="DF67" i="1" s="1"/>
  <c r="DF68" i="1" a="1"/>
  <c r="DF68" i="1" s="1"/>
  <c r="DF69" i="1" a="1"/>
  <c r="DF69" i="1" s="1"/>
  <c r="DF70" i="1" a="1"/>
  <c r="DF70" i="1" s="1"/>
  <c r="DF71" i="1" a="1"/>
  <c r="DF71" i="1" s="1"/>
  <c r="DF72" i="1" a="1"/>
  <c r="DF72" i="1" s="1"/>
  <c r="DF73" i="1" a="1"/>
  <c r="DF73" i="1" s="1"/>
  <c r="DF74" i="1" a="1"/>
  <c r="DF74" i="1" s="1"/>
  <c r="DF78" i="1" a="1"/>
  <c r="DF78" i="1" s="1"/>
  <c r="DF81" i="1" a="1"/>
  <c r="DF81" i="1" s="1"/>
  <c r="DF82" i="1" a="1"/>
  <c r="DF82" i="1" s="1"/>
  <c r="DF83" i="1" a="1"/>
  <c r="DF83" i="1" s="1"/>
  <c r="DF85" i="1" a="1"/>
  <c r="DF85" i="1" s="1"/>
  <c r="DF87" i="1" a="1"/>
  <c r="DF87" i="1" s="1"/>
  <c r="DF95" i="1" a="1"/>
  <c r="DF95" i="1" s="1"/>
  <c r="DF98" i="1" a="1"/>
  <c r="DF98" i="1" s="1"/>
  <c r="DB23" i="1" a="1"/>
  <c r="DB23" i="1" s="1"/>
  <c r="DB26" i="1" a="1"/>
  <c r="DB26" i="1" s="1"/>
  <c r="DB27" i="1" a="1"/>
  <c r="DB27" i="1" s="1"/>
  <c r="DB40" i="1" a="1"/>
  <c r="DB40" i="1" s="1"/>
  <c r="DB41" i="1" a="1"/>
  <c r="DB41" i="1" s="1"/>
  <c r="DB49" i="1" a="1"/>
  <c r="DB49" i="1" s="1"/>
  <c r="DB50" i="1" a="1"/>
  <c r="DB50" i="1" s="1"/>
  <c r="DB24" i="1" a="1"/>
  <c r="DB24" i="1" s="1"/>
  <c r="DB33" i="1" a="1"/>
  <c r="DB33" i="1" s="1"/>
  <c r="DB44" i="1" a="1"/>
  <c r="DB44" i="1" s="1"/>
  <c r="DB47" i="1" a="1"/>
  <c r="DB47" i="1" s="1"/>
  <c r="DB48" i="1" a="1"/>
  <c r="DB48" i="1" s="1"/>
  <c r="DB28" i="1" a="1"/>
  <c r="DB28" i="1" s="1"/>
  <c r="DB34" i="1" a="1"/>
  <c r="DB34" i="1" s="1"/>
  <c r="DB35" i="1" a="1"/>
  <c r="DB35" i="1" s="1"/>
  <c r="DB36" i="1" a="1"/>
  <c r="DB36" i="1" s="1"/>
  <c r="DB37" i="1" a="1"/>
  <c r="DB37" i="1" s="1"/>
  <c r="DB38" i="1" a="1"/>
  <c r="DB38" i="1" s="1"/>
  <c r="DB39" i="1" a="1"/>
  <c r="DB39" i="1" s="1"/>
  <c r="DB45" i="1" a="1"/>
  <c r="DB45" i="1" s="1"/>
  <c r="DB46" i="1" a="1"/>
  <c r="DB46" i="1" s="1"/>
  <c r="DB53" i="1" a="1"/>
  <c r="DB53" i="1" s="1"/>
  <c r="DB54" i="1" a="1"/>
  <c r="DB54" i="1" s="1"/>
  <c r="DB52" i="1" a="1"/>
  <c r="DB52" i="1" s="1"/>
  <c r="DB55" i="1" a="1"/>
  <c r="DB55" i="1" s="1"/>
  <c r="DB62" i="1" a="1"/>
  <c r="DB62" i="1" s="1"/>
  <c r="DB63" i="1" a="1"/>
  <c r="DB63" i="1" s="1"/>
  <c r="DB78" i="1" a="1"/>
  <c r="DB78" i="1" s="1"/>
  <c r="DB79" i="1" a="1"/>
  <c r="DB79" i="1" s="1"/>
  <c r="DB84" i="1" a="1"/>
  <c r="DB84" i="1" s="1"/>
  <c r="DB86" i="1" a="1"/>
  <c r="DB86" i="1" s="1"/>
  <c r="DB91" i="1" a="1"/>
  <c r="DB91" i="1" s="1"/>
  <c r="DB94" i="1" a="1"/>
  <c r="DB94" i="1" s="1"/>
  <c r="DB29" i="1" a="1"/>
  <c r="DB29" i="1" s="1"/>
  <c r="DB30" i="1" a="1"/>
  <c r="DB30" i="1" s="1"/>
  <c r="DB31" i="1" a="1"/>
  <c r="DB31" i="1" s="1"/>
  <c r="DB32" i="1" a="1"/>
  <c r="DB32" i="1" s="1"/>
  <c r="DB42" i="1" a="1"/>
  <c r="DB42" i="1" s="1"/>
  <c r="DB60" i="1" a="1"/>
  <c r="DB60" i="1" s="1"/>
  <c r="DB61" i="1" a="1"/>
  <c r="DB61" i="1" s="1"/>
  <c r="DB76" i="1" a="1"/>
  <c r="DB76" i="1" s="1"/>
  <c r="DB81" i="1" a="1"/>
  <c r="DB81" i="1" s="1"/>
  <c r="DB83" i="1" a="1"/>
  <c r="DB83" i="1" s="1"/>
  <c r="DB87" i="1" a="1"/>
  <c r="DB87" i="1" s="1"/>
  <c r="DB89" i="1" a="1"/>
  <c r="DB89" i="1" s="1"/>
  <c r="DB43" i="1" a="1"/>
  <c r="DB43" i="1" s="1"/>
  <c r="DB51" i="1" a="1"/>
  <c r="DB51" i="1" s="1"/>
  <c r="DB58" i="1" a="1"/>
  <c r="DB58" i="1" s="1"/>
  <c r="DB59" i="1" a="1"/>
  <c r="DB59" i="1" s="1"/>
  <c r="DB65" i="1" a="1"/>
  <c r="DB65" i="1" s="1"/>
  <c r="DB66" i="1" a="1"/>
  <c r="DB66" i="1" s="1"/>
  <c r="DB67" i="1" a="1"/>
  <c r="DB67" i="1" s="1"/>
  <c r="DB68" i="1" a="1"/>
  <c r="DB68" i="1" s="1"/>
  <c r="DB69" i="1" a="1"/>
  <c r="DB69" i="1" s="1"/>
  <c r="DB70" i="1" a="1"/>
  <c r="DB70" i="1" s="1"/>
  <c r="DB71" i="1" a="1"/>
  <c r="DB71" i="1" s="1"/>
  <c r="DB72" i="1" a="1"/>
  <c r="DB72" i="1" s="1"/>
  <c r="DB73" i="1" a="1"/>
  <c r="DB73" i="1" s="1"/>
  <c r="DB74" i="1" a="1"/>
  <c r="DB74" i="1" s="1"/>
  <c r="DB77" i="1" a="1"/>
  <c r="DB77" i="1" s="1"/>
  <c r="DB80" i="1" a="1"/>
  <c r="DB80" i="1" s="1"/>
  <c r="DB82" i="1" a="1"/>
  <c r="DB82" i="1" s="1"/>
  <c r="DB85" i="1" a="1"/>
  <c r="DB85" i="1" s="1"/>
  <c r="DB93" i="1" a="1"/>
  <c r="DB93" i="1" s="1"/>
  <c r="DB95" i="1" a="1"/>
  <c r="DB95" i="1" s="1"/>
  <c r="DB98" i="1" a="1"/>
  <c r="DB98" i="1" s="1"/>
  <c r="CX23" i="1" a="1"/>
  <c r="CX23" i="1" s="1"/>
  <c r="CX27" i="1" a="1"/>
  <c r="CX27" i="1" s="1"/>
  <c r="CX40" i="1" a="1"/>
  <c r="CX40" i="1" s="1"/>
  <c r="CX44" i="1" a="1"/>
  <c r="CX44" i="1" s="1"/>
  <c r="CX48" i="1" a="1"/>
  <c r="CX48" i="1" s="1"/>
  <c r="CX49" i="1" a="1"/>
  <c r="CX49" i="1" s="1"/>
  <c r="CX24" i="1" a="1"/>
  <c r="CX24" i="1" s="1"/>
  <c r="CX33" i="1" a="1"/>
  <c r="CX33" i="1" s="1"/>
  <c r="CX46" i="1" a="1"/>
  <c r="CX46" i="1" s="1"/>
  <c r="CX47" i="1" a="1"/>
  <c r="CX47" i="1" s="1"/>
  <c r="CX28" i="1" a="1"/>
  <c r="CX28" i="1" s="1"/>
  <c r="CX34" i="1" a="1"/>
  <c r="CX34" i="1" s="1"/>
  <c r="CX35" i="1" a="1"/>
  <c r="CX35" i="1" s="1"/>
  <c r="CX36" i="1" a="1"/>
  <c r="CX36" i="1" s="1"/>
  <c r="CX37" i="1" a="1"/>
  <c r="CX37" i="1" s="1"/>
  <c r="CX38" i="1" a="1"/>
  <c r="CX38" i="1" s="1"/>
  <c r="CX39" i="1" a="1"/>
  <c r="CX39" i="1" s="1"/>
  <c r="CX43" i="1" a="1"/>
  <c r="CX43" i="1" s="1"/>
  <c r="CX45" i="1" a="1"/>
  <c r="CX45" i="1" s="1"/>
  <c r="CX52" i="1" a="1"/>
  <c r="CX52" i="1" s="1"/>
  <c r="CX53" i="1" a="1"/>
  <c r="CX53" i="1" s="1"/>
  <c r="CX55" i="1" a="1"/>
  <c r="CX55" i="1" s="1"/>
  <c r="CX61" i="1" a="1"/>
  <c r="CX61" i="1" s="1"/>
  <c r="CX62" i="1" a="1"/>
  <c r="CX62" i="1" s="1"/>
  <c r="CX76" i="1" a="1"/>
  <c r="CX76" i="1" s="1"/>
  <c r="CX81" i="1" a="1"/>
  <c r="CX81" i="1" s="1"/>
  <c r="CX83" i="1" a="1"/>
  <c r="CX83" i="1" s="1"/>
  <c r="CX84" i="1" a="1"/>
  <c r="CX84" i="1" s="1"/>
  <c r="CX91" i="1" a="1"/>
  <c r="CX91" i="1" s="1"/>
  <c r="CX94" i="1" a="1"/>
  <c r="CX94" i="1" s="1"/>
  <c r="CX100" i="1" a="1"/>
  <c r="CX100" i="1" s="1"/>
  <c r="CX29" i="1" a="1"/>
  <c r="CX29" i="1" s="1"/>
  <c r="CX30" i="1" a="1"/>
  <c r="CX30" i="1" s="1"/>
  <c r="CX31" i="1" a="1"/>
  <c r="CX31" i="1" s="1"/>
  <c r="CX32" i="1" a="1"/>
  <c r="CX32" i="1" s="1"/>
  <c r="CX42" i="1" a="1"/>
  <c r="CX42" i="1" s="1"/>
  <c r="CX59" i="1" a="1"/>
  <c r="CX59" i="1" s="1"/>
  <c r="CX60" i="1" a="1"/>
  <c r="CX60" i="1" s="1"/>
  <c r="CX80" i="1" a="1"/>
  <c r="CX80" i="1" s="1"/>
  <c r="CX82" i="1" a="1"/>
  <c r="CX82" i="1" s="1"/>
  <c r="CX87" i="1" a="1"/>
  <c r="CX87" i="1" s="1"/>
  <c r="CX89" i="1" a="1"/>
  <c r="CX89" i="1" s="1"/>
  <c r="CX50" i="1" a="1"/>
  <c r="CX50" i="1" s="1"/>
  <c r="CX51" i="1" a="1"/>
  <c r="CX51" i="1" s="1"/>
  <c r="CX54" i="1" a="1"/>
  <c r="CX54" i="1" s="1"/>
  <c r="CX57" i="1" a="1"/>
  <c r="CX57" i="1" s="1"/>
  <c r="CX58" i="1" a="1"/>
  <c r="CX58" i="1" s="1"/>
  <c r="CX65" i="1" a="1"/>
  <c r="CX65" i="1" s="1"/>
  <c r="CX66" i="1" a="1"/>
  <c r="CX66" i="1" s="1"/>
  <c r="CX67" i="1" a="1"/>
  <c r="CX67" i="1" s="1"/>
  <c r="CX68" i="1" a="1"/>
  <c r="CX68" i="1" s="1"/>
  <c r="CX69" i="1" a="1"/>
  <c r="CX69" i="1" s="1"/>
  <c r="CX70" i="1" a="1"/>
  <c r="CX70" i="1" s="1"/>
  <c r="CX71" i="1" a="1"/>
  <c r="CX71" i="1" s="1"/>
  <c r="CX72" i="1" a="1"/>
  <c r="CX72" i="1" s="1"/>
  <c r="CX73" i="1" a="1"/>
  <c r="CX73" i="1" s="1"/>
  <c r="CX74" i="1" a="1"/>
  <c r="CX74" i="1" s="1"/>
  <c r="CX77" i="1" a="1"/>
  <c r="CX77" i="1" s="1"/>
  <c r="CX78" i="1" a="1"/>
  <c r="CX78" i="1" s="1"/>
  <c r="CX85" i="1" a="1"/>
  <c r="CX85" i="1" s="1"/>
  <c r="CX90" i="1" a="1"/>
  <c r="CX90" i="1" s="1"/>
  <c r="CX95" i="1" a="1"/>
  <c r="CX95" i="1" s="1"/>
  <c r="CX98" i="1" a="1"/>
  <c r="CX98" i="1" s="1"/>
  <c r="CT23" i="1" a="1"/>
  <c r="CT23" i="1" s="1"/>
  <c r="CT27" i="1" a="1"/>
  <c r="CT27" i="1" s="1"/>
  <c r="CT33" i="1" a="1"/>
  <c r="CT33" i="1" s="1"/>
  <c r="CT47" i="1" a="1"/>
  <c r="CT47" i="1" s="1"/>
  <c r="CT48" i="1" a="1"/>
  <c r="CT48" i="1" s="1"/>
  <c r="CT24" i="1" a="1"/>
  <c r="CT24" i="1" s="1"/>
  <c r="CT45" i="1" a="1"/>
  <c r="CT45" i="1" s="1"/>
  <c r="CT46" i="1" a="1"/>
  <c r="CT46" i="1" s="1"/>
  <c r="CT25" i="1" a="1"/>
  <c r="CT25" i="1" s="1"/>
  <c r="CT28" i="1" a="1"/>
  <c r="CT28" i="1" s="1"/>
  <c r="CT34" i="1" a="1"/>
  <c r="CT34" i="1" s="1"/>
  <c r="CT35" i="1" a="1"/>
  <c r="CT35" i="1" s="1"/>
  <c r="CT36" i="1" a="1"/>
  <c r="CT36" i="1" s="1"/>
  <c r="CT37" i="1" a="1"/>
  <c r="CT37" i="1" s="1"/>
  <c r="CT38" i="1" a="1"/>
  <c r="CT38" i="1" s="1"/>
  <c r="CT39" i="1" a="1"/>
  <c r="CT39" i="1" s="1"/>
  <c r="CT42" i="1" a="1"/>
  <c r="CT42" i="1" s="1"/>
  <c r="CT43" i="1" a="1"/>
  <c r="CT43" i="1" s="1"/>
  <c r="CT51" i="1" a="1"/>
  <c r="CT51" i="1" s="1"/>
  <c r="CT52" i="1" a="1"/>
  <c r="CT52" i="1" s="1"/>
  <c r="CT60" i="1" a="1"/>
  <c r="CT60" i="1" s="1"/>
  <c r="CT61" i="1" a="1"/>
  <c r="CT61" i="1" s="1"/>
  <c r="CT76" i="1" a="1"/>
  <c r="CT76" i="1" s="1"/>
  <c r="CT78" i="1" a="1"/>
  <c r="CT78" i="1" s="1"/>
  <c r="CT80" i="1" a="1"/>
  <c r="CT80" i="1" s="1"/>
  <c r="CT82" i="1" a="1"/>
  <c r="CT82" i="1" s="1"/>
  <c r="CT83" i="1" a="1"/>
  <c r="CT83" i="1" s="1"/>
  <c r="CT84" i="1" a="1"/>
  <c r="CT84" i="1" s="1"/>
  <c r="CT89" i="1" a="1"/>
  <c r="CT89" i="1" s="1"/>
  <c r="CT91" i="1" a="1"/>
  <c r="CT91" i="1" s="1"/>
  <c r="CT93" i="1" a="1"/>
  <c r="CT93" i="1" s="1"/>
  <c r="CT94" i="1" a="1"/>
  <c r="CT94" i="1" s="1"/>
  <c r="CT97" i="1" a="1"/>
  <c r="CT97" i="1" s="1"/>
  <c r="CT29" i="1" a="1"/>
  <c r="CT29" i="1" s="1"/>
  <c r="CT30" i="1" a="1"/>
  <c r="CT30" i="1" s="1"/>
  <c r="CT31" i="1" a="1"/>
  <c r="CT31" i="1" s="1"/>
  <c r="CT32" i="1" a="1"/>
  <c r="CT32" i="1" s="1"/>
  <c r="CT58" i="1" a="1"/>
  <c r="CT58" i="1" s="1"/>
  <c r="CT59" i="1" a="1"/>
  <c r="CT59" i="1" s="1"/>
  <c r="CT85" i="1" a="1"/>
  <c r="CT85" i="1" s="1"/>
  <c r="CT87" i="1" a="1"/>
  <c r="CT87" i="1" s="1"/>
  <c r="CT40" i="1" a="1"/>
  <c r="CT40" i="1" s="1"/>
  <c r="CT50" i="1" a="1"/>
  <c r="CT50" i="1" s="1"/>
  <c r="CT54" i="1" a="1"/>
  <c r="CT54" i="1" s="1"/>
  <c r="CT56" i="1" a="1"/>
  <c r="CT56" i="1" s="1"/>
  <c r="CT57" i="1" a="1"/>
  <c r="CT57" i="1" s="1"/>
  <c r="CT64" i="1" a="1"/>
  <c r="CT64" i="1" s="1"/>
  <c r="CT65" i="1" a="1"/>
  <c r="CT65" i="1" s="1"/>
  <c r="CT66" i="1" a="1"/>
  <c r="CT66" i="1" s="1"/>
  <c r="CT67" i="1" a="1"/>
  <c r="CT67" i="1" s="1"/>
  <c r="CT68" i="1" a="1"/>
  <c r="CT68" i="1" s="1"/>
  <c r="CT69" i="1" a="1"/>
  <c r="CT69" i="1" s="1"/>
  <c r="CT70" i="1" a="1"/>
  <c r="CT70" i="1" s="1"/>
  <c r="CT71" i="1" a="1"/>
  <c r="CT71" i="1" s="1"/>
  <c r="CT72" i="1" a="1"/>
  <c r="CT72" i="1" s="1"/>
  <c r="CT73" i="1" a="1"/>
  <c r="CT73" i="1" s="1"/>
  <c r="CT74" i="1" a="1"/>
  <c r="CT74" i="1" s="1"/>
  <c r="CT75" i="1" a="1"/>
  <c r="CT75" i="1" s="1"/>
  <c r="CT77" i="1" a="1"/>
  <c r="CT77" i="1" s="1"/>
  <c r="CT79" i="1" a="1"/>
  <c r="CT79" i="1" s="1"/>
  <c r="CT90" i="1" a="1"/>
  <c r="CT90" i="1" s="1"/>
  <c r="CT92" i="1" a="1"/>
  <c r="CT92" i="1" s="1"/>
  <c r="CT98" i="1" a="1"/>
  <c r="CT98" i="1" s="1"/>
  <c r="DF150" i="1" a="1"/>
  <c r="DF150" i="1" s="1"/>
  <c r="DB150" i="1" a="1"/>
  <c r="DB150" i="1" s="1"/>
  <c r="CX150" i="1" a="1"/>
  <c r="CX150" i="1" s="1"/>
  <c r="CT150" i="1" a="1"/>
  <c r="CT150" i="1" s="1"/>
  <c r="CX148" i="1" a="1"/>
  <c r="CX148" i="1" s="1"/>
  <c r="CT148" i="1" a="1"/>
  <c r="CT148" i="1" s="1"/>
  <c r="DN147" i="1" a="1"/>
  <c r="DN147" i="1" s="1"/>
  <c r="DN145" i="1" a="1"/>
  <c r="DN145" i="1" s="1"/>
  <c r="DJ145" i="1" a="1"/>
  <c r="DJ145" i="1" s="1"/>
  <c r="DF145" i="1" a="1"/>
  <c r="DF145" i="1" s="1"/>
  <c r="DF121" i="1" a="1"/>
  <c r="DF121" i="1" s="1"/>
  <c r="DB121" i="1" a="1"/>
  <c r="DB121" i="1" s="1"/>
  <c r="CX121" i="1" a="1"/>
  <c r="CX121" i="1" s="1"/>
  <c r="CT121" i="1" a="1"/>
  <c r="CT121" i="1" s="1"/>
  <c r="CX119" i="1" a="1"/>
  <c r="CX119" i="1" s="1"/>
  <c r="CT119" i="1" a="1"/>
  <c r="CT119" i="1" s="1"/>
  <c r="DN118" i="1" a="1"/>
  <c r="DN118" i="1" s="1"/>
  <c r="DN116" i="1" a="1"/>
  <c r="DN116" i="1" s="1"/>
  <c r="DJ116" i="1" a="1"/>
  <c r="DJ116" i="1" s="1"/>
  <c r="DF116" i="1" a="1"/>
  <c r="DF116" i="1" s="1"/>
  <c r="DJ114" i="1" a="1"/>
  <c r="DJ114" i="1" s="1"/>
  <c r="DF114" i="1" a="1"/>
  <c r="DF114" i="1" s="1"/>
  <c r="DB114" i="1" a="1"/>
  <c r="DB114" i="1" s="1"/>
  <c r="CX114" i="1" a="1"/>
  <c r="CX114" i="1" s="1"/>
  <c r="DB112" i="1" a="1"/>
  <c r="DB112" i="1" s="1"/>
  <c r="CX112" i="1" a="1"/>
  <c r="CX112" i="1" s="1"/>
  <c r="CT112" i="1" a="1"/>
  <c r="CT112" i="1" s="1"/>
  <c r="CT110" i="1" a="1"/>
  <c r="CT110" i="1" s="1"/>
  <c r="DN109" i="1" a="1"/>
  <c r="DN109" i="1" s="1"/>
  <c r="DJ109" i="1" a="1"/>
  <c r="DJ109" i="1" s="1"/>
  <c r="CX101" i="1" a="1"/>
  <c r="CX101" i="1" s="1"/>
  <c r="CT101" i="1" a="1"/>
  <c r="CT101" i="1" s="1"/>
  <c r="DN100" i="1" a="1"/>
  <c r="DN100" i="1" s="1"/>
  <c r="DJ100" i="1" a="1"/>
  <c r="DJ100" i="1" s="1"/>
  <c r="DF100" i="1" a="1"/>
  <c r="DF100" i="1" s="1"/>
  <c r="DB100" i="1" a="1"/>
  <c r="DB100" i="1" s="1"/>
  <c r="DB96" i="1" a="1"/>
  <c r="DB96" i="1" s="1"/>
  <c r="CX96" i="1" a="1"/>
  <c r="CX96" i="1" s="1"/>
  <c r="CT96" i="1" a="1"/>
  <c r="CT96" i="1" s="1"/>
  <c r="DN95" i="1" a="1"/>
  <c r="DN95" i="1" s="1"/>
  <c r="DF92" i="1" a="1"/>
  <c r="DF92" i="1" s="1"/>
  <c r="DB92" i="1" a="1"/>
  <c r="DB92" i="1" s="1"/>
  <c r="CX92" i="1" a="1"/>
  <c r="CX92" i="1" s="1"/>
  <c r="DN90" i="1" a="1"/>
  <c r="DN90" i="1" s="1"/>
  <c r="DJ90" i="1" a="1"/>
  <c r="DJ90" i="1" s="1"/>
  <c r="DF90" i="1" a="1"/>
  <c r="DF90" i="1" s="1"/>
  <c r="DB90" i="1" a="1"/>
  <c r="DB90" i="1" s="1"/>
  <c r="DF88" i="1" a="1"/>
  <c r="DF88" i="1" s="1"/>
  <c r="DB88" i="1" a="1"/>
  <c r="DB88" i="1" s="1"/>
  <c r="CX88" i="1" a="1"/>
  <c r="CX88" i="1" s="1"/>
  <c r="CT88" i="1" a="1"/>
  <c r="CT88" i="1" s="1"/>
  <c r="CX86" i="1" a="1"/>
  <c r="CX86" i="1" s="1"/>
  <c r="CT86" i="1" a="1"/>
  <c r="CT86" i="1" s="1"/>
  <c r="DN85" i="1" a="1"/>
  <c r="DN85" i="1" s="1"/>
  <c r="DN82" i="1" a="1"/>
  <c r="DN82" i="1" s="1"/>
  <c r="DJ81" i="1" a="1"/>
  <c r="DJ81" i="1" s="1"/>
  <c r="DJ78" i="1" a="1"/>
  <c r="DJ78" i="1" s="1"/>
  <c r="DN60" i="1" a="1"/>
  <c r="DN60" i="1" s="1"/>
  <c r="DF57" i="1" a="1"/>
  <c r="DF57" i="1" s="1"/>
  <c r="DB57" i="1" a="1"/>
  <c r="DB57" i="1" s="1"/>
  <c r="DN149" i="1" a="1"/>
  <c r="DN149" i="1" s="1"/>
  <c r="DJ149" i="1" a="1"/>
  <c r="DJ149" i="1" s="1"/>
  <c r="DF149" i="1" a="1"/>
  <c r="DF149" i="1" s="1"/>
  <c r="DJ147" i="1" a="1"/>
  <c r="DJ147" i="1" s="1"/>
  <c r="DF147" i="1" a="1"/>
  <c r="DF147" i="1" s="1"/>
  <c r="DB147" i="1" a="1"/>
  <c r="DB147" i="1" s="1"/>
  <c r="CX147" i="1" a="1"/>
  <c r="CX147" i="1" s="1"/>
  <c r="DB145" i="1" a="1"/>
  <c r="DB145" i="1" s="1"/>
  <c r="CX145" i="1" a="1"/>
  <c r="CX145" i="1" s="1"/>
  <c r="CT145" i="1" a="1"/>
  <c r="CT145" i="1" s="1"/>
  <c r="DJ143" i="1" a="1"/>
  <c r="DJ143" i="1" s="1"/>
  <c r="DF143" i="1" a="1"/>
  <c r="DF143" i="1" s="1"/>
  <c r="DB143" i="1" a="1"/>
  <c r="DB143" i="1" s="1"/>
  <c r="CX143" i="1" a="1"/>
  <c r="CX143" i="1" s="1"/>
  <c r="DN120" i="1" a="1"/>
  <c r="DN120" i="1" s="1"/>
  <c r="DJ120" i="1" a="1"/>
  <c r="DJ120" i="1" s="1"/>
  <c r="DF120" i="1" a="1"/>
  <c r="DF120" i="1" s="1"/>
  <c r="DJ118" i="1" a="1"/>
  <c r="DJ118" i="1" s="1"/>
  <c r="DF118" i="1" a="1"/>
  <c r="DF118" i="1" s="1"/>
  <c r="DB118" i="1" a="1"/>
  <c r="DB118" i="1" s="1"/>
  <c r="CX118" i="1" a="1"/>
  <c r="CX118" i="1" s="1"/>
  <c r="DB116" i="1" a="1"/>
  <c r="DB116" i="1" s="1"/>
  <c r="CX116" i="1" a="1"/>
  <c r="CX116" i="1" s="1"/>
  <c r="CT116" i="1" a="1"/>
  <c r="CT116" i="1" s="1"/>
  <c r="CT114" i="1" a="1"/>
  <c r="CT114" i="1" s="1"/>
  <c r="DN113" i="1" a="1"/>
  <c r="DN113" i="1" s="1"/>
  <c r="DJ113" i="1" a="1"/>
  <c r="DJ113" i="1" s="1"/>
  <c r="DN111" i="1" a="1"/>
  <c r="DN111" i="1" s="1"/>
  <c r="DJ111" i="1" a="1"/>
  <c r="DJ111" i="1" s="1"/>
  <c r="DF111" i="1" a="1"/>
  <c r="DF111" i="1" s="1"/>
  <c r="DB111" i="1" a="1"/>
  <c r="DB111" i="1" s="1"/>
  <c r="DF109" i="1" a="1"/>
  <c r="DF109" i="1" s="1"/>
  <c r="DB109" i="1" a="1"/>
  <c r="DB109" i="1" s="1"/>
  <c r="CX109" i="1" a="1"/>
  <c r="CX109" i="1" s="1"/>
  <c r="CT109" i="1" a="1"/>
  <c r="CT109" i="1" s="1"/>
  <c r="CT95" i="1" a="1"/>
  <c r="CT95" i="1" s="1"/>
  <c r="DN94" i="1" a="1"/>
  <c r="DN94" i="1" s="1"/>
  <c r="DJ94" i="1" a="1"/>
  <c r="DJ94" i="1" s="1"/>
  <c r="CX79" i="1" a="1"/>
  <c r="CX79" i="1" s="1"/>
  <c r="DB64" i="1" a="1"/>
  <c r="DB64" i="1" s="1"/>
  <c r="CX64" i="1" a="1"/>
  <c r="CX64" i="1" s="1"/>
  <c r="DN59" i="1" a="1"/>
  <c r="DN59" i="1" s="1"/>
  <c r="DJ59" i="1" a="1"/>
  <c r="DJ59" i="1" s="1"/>
  <c r="DB56" i="1" a="1"/>
  <c r="DB56" i="1" s="1"/>
  <c r="CX56" i="1" a="1"/>
  <c r="CX56" i="1" s="1"/>
  <c r="CT55" i="1" a="1"/>
  <c r="CT55" i="1" s="1"/>
  <c r="DB120" i="1" a="1"/>
  <c r="DB120" i="1" s="1"/>
  <c r="CX120" i="1" a="1"/>
  <c r="CX120" i="1" s="1"/>
  <c r="CT120" i="1" a="1"/>
  <c r="CT120" i="1" s="1"/>
  <c r="CT118" i="1" a="1"/>
  <c r="CT118" i="1" s="1"/>
  <c r="DN117" i="1" a="1"/>
  <c r="DN117" i="1" s="1"/>
  <c r="DJ117" i="1" a="1"/>
  <c r="DJ117" i="1" s="1"/>
  <c r="DN115" i="1" a="1"/>
  <c r="DN115" i="1" s="1"/>
  <c r="DJ115" i="1" a="1"/>
  <c r="DJ115" i="1" s="1"/>
  <c r="DF115" i="1" a="1"/>
  <c r="DF115" i="1" s="1"/>
  <c r="DB115" i="1" a="1"/>
  <c r="DB115" i="1" s="1"/>
  <c r="DF113" i="1" a="1"/>
  <c r="DF113" i="1" s="1"/>
  <c r="DB113" i="1" a="1"/>
  <c r="DB113" i="1" s="1"/>
  <c r="CX113" i="1" a="1"/>
  <c r="CX113" i="1" s="1"/>
  <c r="CT113" i="1" a="1"/>
  <c r="CT113" i="1" s="1"/>
  <c r="CX111" i="1" a="1"/>
  <c r="CX111" i="1" s="1"/>
  <c r="CT111" i="1" a="1"/>
  <c r="CT111" i="1" s="1"/>
  <c r="DN110" i="1" a="1"/>
  <c r="DN110" i="1" s="1"/>
  <c r="DN108" i="1" a="1"/>
  <c r="DN108" i="1" s="1"/>
  <c r="DJ108" i="1" a="1"/>
  <c r="DJ108" i="1" s="1"/>
  <c r="DF108" i="1" a="1"/>
  <c r="DF108" i="1" s="1"/>
  <c r="DB108" i="1" a="1"/>
  <c r="DB108" i="1" s="1"/>
  <c r="CX108" i="1" a="1"/>
  <c r="CX108" i="1" s="1"/>
  <c r="CT108" i="1" a="1"/>
  <c r="CT108" i="1" s="1"/>
  <c r="DN107" i="1" a="1"/>
  <c r="DN107" i="1" s="1"/>
  <c r="DJ107" i="1" a="1"/>
  <c r="DJ107" i="1" s="1"/>
  <c r="DF107" i="1" a="1"/>
  <c r="DF107" i="1" s="1"/>
  <c r="DB107" i="1" a="1"/>
  <c r="DB107" i="1" s="1"/>
  <c r="CX107" i="1" a="1"/>
  <c r="CX107" i="1" s="1"/>
  <c r="CT107" i="1" a="1"/>
  <c r="CT107" i="1" s="1"/>
  <c r="DN106" i="1" a="1"/>
  <c r="DN106" i="1" s="1"/>
  <c r="DJ106" i="1" a="1"/>
  <c r="DJ106" i="1" s="1"/>
  <c r="DF106" i="1" a="1"/>
  <c r="DF106" i="1" s="1"/>
  <c r="DB106" i="1" a="1"/>
  <c r="DB106" i="1" s="1"/>
  <c r="CX106" i="1" a="1"/>
  <c r="CX106" i="1" s="1"/>
  <c r="CT106" i="1" a="1"/>
  <c r="CT106" i="1" s="1"/>
  <c r="DN105" i="1" a="1"/>
  <c r="DN105" i="1" s="1"/>
  <c r="DJ105" i="1" a="1"/>
  <c r="DJ105" i="1" s="1"/>
  <c r="DF105" i="1" a="1"/>
  <c r="DF105" i="1" s="1"/>
  <c r="DB105" i="1" a="1"/>
  <c r="DB105" i="1" s="1"/>
  <c r="CX105" i="1" a="1"/>
  <c r="CX105" i="1" s="1"/>
  <c r="CT105" i="1" a="1"/>
  <c r="CT105" i="1" s="1"/>
  <c r="DN104" i="1" a="1"/>
  <c r="DN104" i="1" s="1"/>
  <c r="DJ104" i="1" a="1"/>
  <c r="DJ104" i="1" s="1"/>
  <c r="DF104" i="1" a="1"/>
  <c r="DF104" i="1" s="1"/>
  <c r="DB104" i="1" a="1"/>
  <c r="DB104" i="1" s="1"/>
  <c r="CX104" i="1" a="1"/>
  <c r="CX104" i="1" s="1"/>
  <c r="CT104" i="1" a="1"/>
  <c r="CT104" i="1" s="1"/>
  <c r="DN103" i="1" a="1"/>
  <c r="DN103" i="1" s="1"/>
  <c r="DJ103" i="1" a="1"/>
  <c r="DJ103" i="1" s="1"/>
  <c r="DF103" i="1" a="1"/>
  <c r="DF103" i="1" s="1"/>
  <c r="DB103" i="1" a="1"/>
  <c r="DB103" i="1" s="1"/>
  <c r="CX103" i="1" a="1"/>
  <c r="CX103" i="1" s="1"/>
  <c r="CT103" i="1" a="1"/>
  <c r="CT103" i="1" s="1"/>
  <c r="DN102" i="1" a="1"/>
  <c r="DN102" i="1" s="1"/>
  <c r="DJ102" i="1" a="1"/>
  <c r="DJ102" i="1" s="1"/>
  <c r="DF102" i="1" a="1"/>
  <c r="DF102" i="1" s="1"/>
  <c r="DN93" i="1" a="1"/>
  <c r="DN93" i="1" s="1"/>
  <c r="DJ93" i="1" a="1"/>
  <c r="DJ93" i="1" s="1"/>
  <c r="DF93" i="1" a="1"/>
  <c r="DF93" i="1" s="1"/>
  <c r="CX93" i="1" a="1"/>
  <c r="CX93" i="1" s="1"/>
  <c r="CX63" i="1" a="1"/>
  <c r="CX63" i="1" s="1"/>
  <c r="CT63" i="1" a="1"/>
  <c r="CT63" i="1" s="1"/>
  <c r="DJ58" i="1" a="1"/>
  <c r="DJ58" i="1" s="1"/>
  <c r="DF58" i="1" a="1"/>
  <c r="DF58" i="1" s="1"/>
  <c r="CT53" i="1" a="1"/>
  <c r="CT53" i="1" s="1"/>
  <c r="CT44" i="1" a="1"/>
  <c r="CT44" i="1" s="1"/>
  <c r="CX41" i="1" a="1"/>
  <c r="CX41" i="1" s="1"/>
  <c r="CT41" i="1" a="1"/>
  <c r="CT41" i="1" s="1"/>
  <c r="D36" i="2"/>
  <c r="F36" i="2" s="1"/>
  <c r="E8" i="2"/>
  <c r="D57" i="2"/>
  <c r="D73" i="2"/>
  <c r="D30" i="2"/>
  <c r="F30" i="2" s="1"/>
  <c r="D43" i="2"/>
  <c r="D50" i="2"/>
  <c r="D77" i="2"/>
  <c r="F77" i="2" s="1"/>
  <c r="D79" i="2"/>
  <c r="D69" i="2"/>
  <c r="F69" i="2" s="1"/>
  <c r="D37" i="2"/>
  <c r="B82" i="2"/>
  <c r="B14" i="2"/>
  <c r="D80" i="2"/>
  <c r="F80" i="2" s="1"/>
  <c r="D48" i="2" l="1"/>
  <c r="BN255" i="1"/>
  <c r="BP390" i="1"/>
  <c r="BP358" i="1"/>
  <c r="D28" i="2"/>
  <c r="D75" i="2"/>
  <c r="F75" i="2" s="1"/>
  <c r="D56" i="2"/>
  <c r="D41" i="2"/>
  <c r="D67" i="2"/>
  <c r="F67" i="2" s="1"/>
  <c r="D70" i="2"/>
  <c r="D68" i="2"/>
  <c r="D62" i="2"/>
  <c r="D34" i="2"/>
  <c r="D60" i="2"/>
  <c r="D51" i="2"/>
  <c r="D64" i="2"/>
  <c r="BP26" i="1"/>
  <c r="CA414" i="1"/>
  <c r="BX406" i="1"/>
  <c r="CA398" i="1"/>
  <c r="CA382" i="1"/>
  <c r="BX374" i="1"/>
  <c r="CA366" i="1"/>
  <c r="BV320" i="1"/>
  <c r="BU289" i="1"/>
  <c r="BO160" i="1"/>
  <c r="BP240" i="1"/>
  <c r="CB129" i="1"/>
  <c r="BQ100" i="1"/>
  <c r="BP47" i="1"/>
  <c r="BL364" i="1"/>
  <c r="BL249" i="1"/>
  <c r="BL232" i="1"/>
  <c r="BL200" i="1"/>
  <c r="BL196" i="1"/>
  <c r="BL147" i="1"/>
  <c r="CF429" i="1"/>
  <c r="BX449" i="1"/>
  <c r="CE466" i="1"/>
  <c r="BT469" i="1"/>
  <c r="CG478" i="1"/>
  <c r="CA484" i="1"/>
  <c r="BZ493" i="1"/>
  <c r="BV497" i="1"/>
  <c r="BO267" i="1"/>
  <c r="BV194" i="1"/>
  <c r="BS279" i="1"/>
  <c r="BY281" i="1"/>
  <c r="CB244" i="1"/>
  <c r="CF297" i="1"/>
  <c r="CC268" i="1"/>
  <c r="BU292" i="1"/>
  <c r="CB232" i="1"/>
  <c r="BX224" i="1"/>
  <c r="BT216" i="1"/>
  <c r="CA208" i="1"/>
  <c r="CG200" i="1"/>
  <c r="CB196" i="1"/>
  <c r="BS140" i="1"/>
  <c r="BX135" i="1"/>
  <c r="BP131" i="1"/>
  <c r="BR119" i="1"/>
  <c r="CC107" i="1"/>
  <c r="BO60" i="1"/>
  <c r="CA27" i="1"/>
  <c r="BS323" i="1"/>
  <c r="BY420" i="1"/>
  <c r="CE443" i="1"/>
  <c r="CE496" i="1"/>
  <c r="BU498" i="1"/>
  <c r="BV507" i="1"/>
  <c r="BW249" i="1"/>
  <c r="CB433" i="1"/>
  <c r="BU316" i="1"/>
  <c r="BZ296" i="1"/>
  <c r="BU277" i="1"/>
  <c r="CG328" i="1"/>
  <c r="CF272" i="1"/>
  <c r="BY231" i="1"/>
  <c r="BU223" i="1"/>
  <c r="BQ215" i="1"/>
  <c r="BU199" i="1"/>
  <c r="BV185" i="1"/>
  <c r="CC452" i="1"/>
  <c r="CE458" i="1"/>
  <c r="CC476" i="1"/>
  <c r="CD481" i="1"/>
  <c r="CD489" i="1"/>
  <c r="BT491" i="1"/>
  <c r="CF425" i="1"/>
  <c r="CC412" i="1"/>
  <c r="BZ404" i="1"/>
  <c r="CC396" i="1"/>
  <c r="BR388" i="1"/>
  <c r="CC380" i="1"/>
  <c r="BZ372" i="1"/>
  <c r="CC364" i="1"/>
  <c r="BR356" i="1"/>
  <c r="BT261" i="1"/>
  <c r="CG280" i="1"/>
  <c r="BY288" i="1"/>
  <c r="BZ190" i="1"/>
  <c r="BQ174" i="1"/>
  <c r="BT159" i="1"/>
  <c r="BZ91" i="1"/>
  <c r="BX157" i="1"/>
  <c r="BY92" i="1"/>
  <c r="CB127" i="1"/>
  <c r="BX123" i="1"/>
  <c r="CB79" i="1"/>
  <c r="BU62" i="1"/>
  <c r="BO56" i="1"/>
  <c r="BP167" i="1"/>
  <c r="BT183" i="1"/>
  <c r="CB171" i="1"/>
  <c r="BP85" i="1"/>
  <c r="BY89" i="1"/>
  <c r="CE94" i="1"/>
  <c r="BS76" i="1"/>
  <c r="BW72" i="1"/>
  <c r="BS68" i="1"/>
  <c r="CA48" i="1"/>
  <c r="BS35" i="1"/>
  <c r="BT445" i="1"/>
  <c r="CD455" i="1"/>
  <c r="CD479" i="1"/>
  <c r="CE430" i="1"/>
  <c r="BY460" i="1"/>
  <c r="BX404" i="1"/>
  <c r="BM343" i="1"/>
  <c r="BV272" i="1"/>
  <c r="BM261" i="1"/>
  <c r="BZ145" i="1"/>
  <c r="CI149" i="1"/>
  <c r="BR137" i="1"/>
  <c r="BS133" i="1"/>
  <c r="BM74" i="1"/>
  <c r="BY70" i="1"/>
  <c r="BU66" i="1"/>
  <c r="BX429" i="1"/>
  <c r="CG420" i="1"/>
  <c r="BO309" i="1"/>
  <c r="BT414" i="1"/>
  <c r="CA406" i="1"/>
  <c r="BL398" i="1"/>
  <c r="CA390" i="1"/>
  <c r="BZ386" i="1"/>
  <c r="BT382" i="1"/>
  <c r="CH378" i="1"/>
  <c r="CA374" i="1"/>
  <c r="BL366" i="1"/>
  <c r="BV358" i="1"/>
  <c r="BR330" i="1"/>
  <c r="BV328" i="1"/>
  <c r="BZ268" i="1"/>
  <c r="BU297" i="1"/>
  <c r="BV292" i="1"/>
  <c r="BT244" i="1"/>
  <c r="CB285" i="1"/>
  <c r="BM277" i="1"/>
  <c r="BW267" i="1"/>
  <c r="BU256" i="1"/>
  <c r="BR190" i="1"/>
  <c r="BX289" i="1"/>
  <c r="BM199" i="1"/>
  <c r="BT155" i="1"/>
  <c r="BW160" i="1"/>
  <c r="BQ178" i="1"/>
  <c r="BP163" i="1"/>
  <c r="BX131" i="1"/>
  <c r="BS132" i="1"/>
  <c r="BP143" i="1"/>
  <c r="BZ119" i="1"/>
  <c r="CD149" i="1"/>
  <c r="BW144" i="1"/>
  <c r="BX107" i="1"/>
  <c r="BM94" i="1"/>
  <c r="BY62" i="1"/>
  <c r="BN91" i="1"/>
  <c r="BU78" i="1"/>
  <c r="BW76" i="1"/>
  <c r="BL63" i="1"/>
  <c r="BS56" i="1"/>
  <c r="BY54" i="1"/>
  <c r="BX34" i="1"/>
  <c r="BT30" i="1"/>
  <c r="BK285" i="1"/>
  <c r="BL119" i="1"/>
  <c r="BK364" i="1"/>
  <c r="BL72" i="1"/>
  <c r="BK143" i="1"/>
  <c r="BK178" i="1"/>
  <c r="CF421" i="1"/>
  <c r="BW415" i="1"/>
  <c r="BS407" i="1"/>
  <c r="BO399" i="1"/>
  <c r="CA391" i="1"/>
  <c r="BW383" i="1"/>
  <c r="BS375" i="1"/>
  <c r="BO367" i="1"/>
  <c r="BY363" i="1"/>
  <c r="CA359" i="1"/>
  <c r="BP248" i="1"/>
  <c r="CA286" i="1"/>
  <c r="BW291" i="1"/>
  <c r="CI257" i="1"/>
  <c r="BM195" i="1"/>
  <c r="BM178" i="1"/>
  <c r="BX163" i="1"/>
  <c r="BT139" i="1"/>
  <c r="BV95" i="1"/>
  <c r="CA164" i="1"/>
  <c r="BO144" i="1"/>
  <c r="BP155" i="1"/>
  <c r="BO136" i="1"/>
  <c r="CA132" i="1"/>
  <c r="BS114" i="1"/>
  <c r="BQ78" i="1"/>
  <c r="BN99" i="1"/>
  <c r="BR77" i="1"/>
  <c r="BN73" i="1"/>
  <c r="BZ69" i="1"/>
  <c r="BX63" i="1"/>
  <c r="BU54" i="1"/>
  <c r="CA46" i="1"/>
  <c r="BW38" i="1"/>
  <c r="BT34" i="1"/>
  <c r="BP30" i="1"/>
  <c r="BY112" i="1"/>
  <c r="BT55" i="1"/>
  <c r="BR53" i="1"/>
  <c r="BK132" i="1"/>
  <c r="BL382" i="1"/>
  <c r="BL231" i="1"/>
  <c r="BK34" i="1"/>
  <c r="BK199" i="1"/>
  <c r="BO152" i="1"/>
  <c r="BT175" i="1"/>
  <c r="CB147" i="1"/>
  <c r="BX143" i="1"/>
  <c r="BO128" i="1"/>
  <c r="BS124" i="1"/>
  <c r="CC120" i="1"/>
  <c r="BN111" i="1"/>
  <c r="CA118" i="1"/>
  <c r="BU96" i="1"/>
  <c r="BP101" i="1"/>
  <c r="BW64" i="1"/>
  <c r="BV57" i="1"/>
  <c r="BZ39" i="1"/>
  <c r="BO31" i="1"/>
  <c r="CI470" i="1"/>
  <c r="CF487" i="1"/>
  <c r="BZ503" i="1"/>
  <c r="BR485" i="1"/>
  <c r="CA490" i="1"/>
  <c r="CD499" i="1"/>
  <c r="CC506" i="1"/>
  <c r="BS353" i="1"/>
  <c r="CD414" i="1"/>
  <c r="BR394" i="1"/>
  <c r="BQ104" i="1"/>
  <c r="BQ74" i="1"/>
  <c r="BM70" i="1"/>
  <c r="BY66" i="1"/>
  <c r="BS60" i="1"/>
  <c r="BO48" i="1"/>
  <c r="BO27" i="1"/>
  <c r="BL396" i="1"/>
  <c r="BL64" i="1"/>
  <c r="BK163" i="1"/>
  <c r="BK107" i="1"/>
  <c r="BY424" i="1"/>
  <c r="BW434" i="1"/>
  <c r="BP450" i="1"/>
  <c r="BZ456" i="1"/>
  <c r="CB475" i="1"/>
  <c r="CC482" i="1"/>
  <c r="CG502" i="1"/>
  <c r="BW446" i="1"/>
  <c r="CC461" i="1"/>
  <c r="CC316" i="1"/>
  <c r="BT421" i="1"/>
  <c r="BS415" i="1"/>
  <c r="BM407" i="1"/>
  <c r="BW391" i="1"/>
  <c r="BS383" i="1"/>
  <c r="BO375" i="1"/>
  <c r="BW359" i="1"/>
  <c r="CG355" i="1"/>
  <c r="BO323" i="1"/>
  <c r="BZ279" i="1"/>
  <c r="BY320" i="1"/>
  <c r="BX281" i="1"/>
  <c r="BL248" i="1"/>
  <c r="CI286" i="1"/>
  <c r="BL240" i="1"/>
  <c r="BX232" i="1"/>
  <c r="CA224" i="1"/>
  <c r="CI216" i="1"/>
  <c r="BL208" i="1"/>
  <c r="BX200" i="1"/>
  <c r="BS291" i="1"/>
  <c r="BX196" i="1"/>
  <c r="BW164" i="1"/>
  <c r="BY239" i="1"/>
  <c r="BU231" i="1"/>
  <c r="BQ223" i="1"/>
  <c r="BM215" i="1"/>
  <c r="BY207" i="1"/>
  <c r="BW194" i="1"/>
  <c r="BR185" i="1"/>
  <c r="CD133" i="1"/>
  <c r="BW118" i="1"/>
  <c r="BT135" i="1"/>
  <c r="BX171" i="1"/>
  <c r="CB145" i="1"/>
  <c r="CE129" i="1"/>
  <c r="BQ96" i="1"/>
  <c r="BX147" i="1"/>
  <c r="CF89" i="1"/>
  <c r="BR95" i="1"/>
  <c r="CI92" i="1"/>
  <c r="BX127" i="1"/>
  <c r="BL123" i="1"/>
  <c r="BX79" i="1"/>
  <c r="BV77" i="1"/>
  <c r="BR73" i="1"/>
  <c r="BN69" i="1"/>
  <c r="BZ57" i="1"/>
  <c r="BT47" i="1"/>
  <c r="BN39" i="1"/>
  <c r="BW35" i="1"/>
  <c r="BS31" i="1"/>
  <c r="BO46" i="1"/>
  <c r="BK277" i="1"/>
  <c r="BK27" i="1"/>
  <c r="BL79" i="1"/>
  <c r="BK185" i="1"/>
  <c r="BL244" i="1"/>
  <c r="BK320" i="1"/>
  <c r="BL414" i="1"/>
  <c r="BK62" i="1"/>
  <c r="BL104" i="1"/>
  <c r="BL127" i="1"/>
  <c r="BL171" i="1"/>
  <c r="BZ448" i="1"/>
  <c r="BS448" i="1"/>
  <c r="BV448" i="1"/>
  <c r="CE448" i="1"/>
  <c r="CA448" i="1"/>
  <c r="CD448" i="1"/>
  <c r="BR448" i="1"/>
  <c r="CI448" i="1"/>
  <c r="BO448" i="1"/>
  <c r="BK448" i="1"/>
  <c r="BN448" i="1"/>
  <c r="BW448" i="1"/>
  <c r="BL448" i="1"/>
  <c r="CC453" i="1"/>
  <c r="CA453" i="1"/>
  <c r="BP453" i="1"/>
  <c r="CF453" i="1"/>
  <c r="BQ453" i="1"/>
  <c r="BZ453" i="1"/>
  <c r="BO453" i="1"/>
  <c r="CE453" i="1"/>
  <c r="BT453" i="1"/>
  <c r="BN453" i="1"/>
  <c r="BY453" i="1"/>
  <c r="CH453" i="1"/>
  <c r="BU453" i="1"/>
  <c r="BS453" i="1"/>
  <c r="CI453" i="1"/>
  <c r="BX453" i="1"/>
  <c r="BV453" i="1"/>
  <c r="CG453" i="1"/>
  <c r="BW453" i="1"/>
  <c r="BL453" i="1"/>
  <c r="CB453" i="1"/>
  <c r="CD453" i="1"/>
  <c r="BR453" i="1"/>
  <c r="BM453" i="1"/>
  <c r="BY459" i="1"/>
  <c r="BR459" i="1"/>
  <c r="CH459" i="1"/>
  <c r="BL459" i="1"/>
  <c r="BM459" i="1"/>
  <c r="CC459" i="1"/>
  <c r="BV459" i="1"/>
  <c r="BP459" i="1"/>
  <c r="BS459" i="1"/>
  <c r="BT459" i="1"/>
  <c r="CE459" i="1"/>
  <c r="BQ459" i="1"/>
  <c r="CG459" i="1"/>
  <c r="BZ459" i="1"/>
  <c r="BX459" i="1"/>
  <c r="CA459" i="1"/>
  <c r="CB459" i="1"/>
  <c r="BU459" i="1"/>
  <c r="BN459" i="1"/>
  <c r="CD459" i="1"/>
  <c r="CF459" i="1"/>
  <c r="CI459" i="1"/>
  <c r="BW459" i="1"/>
  <c r="CI463" i="1"/>
  <c r="BL463" i="1"/>
  <c r="BW463" i="1"/>
  <c r="CF463" i="1"/>
  <c r="BT463" i="1"/>
  <c r="CE463" i="1"/>
  <c r="CB463" i="1"/>
  <c r="BP463" i="1"/>
  <c r="BO463" i="1"/>
  <c r="BX463" i="1"/>
  <c r="CA463" i="1"/>
  <c r="BS463" i="1"/>
  <c r="BM463" i="1"/>
  <c r="BL468" i="1"/>
  <c r="CB468" i="1"/>
  <c r="BU468" i="1"/>
  <c r="BK468" i="1"/>
  <c r="BN468" i="1"/>
  <c r="BW468" i="1"/>
  <c r="BP468" i="1"/>
  <c r="CF468" i="1"/>
  <c r="BY468" i="1"/>
  <c r="BS468" i="1"/>
  <c r="BV468" i="1"/>
  <c r="CE468" i="1"/>
  <c r="BT468" i="1"/>
  <c r="BM468" i="1"/>
  <c r="CC468" i="1"/>
  <c r="CA468" i="1"/>
  <c r="CD468" i="1"/>
  <c r="BX468" i="1"/>
  <c r="BQ468" i="1"/>
  <c r="CG468" i="1"/>
  <c r="CI468" i="1"/>
  <c r="BO468" i="1"/>
  <c r="BZ468" i="1"/>
  <c r="BR468" i="1"/>
  <c r="CH468" i="1"/>
  <c r="BU473" i="1"/>
  <c r="BN473" i="1"/>
  <c r="CC473" i="1"/>
  <c r="BM473" i="1"/>
  <c r="BR473" i="1"/>
  <c r="CH473" i="1"/>
  <c r="BZ473" i="1"/>
  <c r="BQ473" i="1"/>
  <c r="CG473" i="1"/>
  <c r="BY473" i="1"/>
  <c r="BS477" i="1"/>
  <c r="CI477" i="1"/>
  <c r="BX477" i="1"/>
  <c r="BZ477" i="1"/>
  <c r="CC477" i="1"/>
  <c r="BW477" i="1"/>
  <c r="BL477" i="1"/>
  <c r="CB477" i="1"/>
  <c r="CH477" i="1"/>
  <c r="BN477" i="1"/>
  <c r="BK477" i="1"/>
  <c r="CA477" i="1"/>
  <c r="BP477" i="1"/>
  <c r="CF477" i="1"/>
  <c r="BM477" i="1"/>
  <c r="BV477" i="1"/>
  <c r="BQ477" i="1"/>
  <c r="BO477" i="1"/>
  <c r="CE477" i="1"/>
  <c r="BT477" i="1"/>
  <c r="BR477" i="1"/>
  <c r="BU477" i="1"/>
  <c r="CD477" i="1"/>
  <c r="CG477" i="1"/>
  <c r="BY477" i="1"/>
  <c r="BN480" i="1"/>
  <c r="BV480" i="1"/>
  <c r="BX480" i="1"/>
  <c r="BQ480" i="1"/>
  <c r="CG480" i="1"/>
  <c r="BL480" i="1"/>
  <c r="CB480" i="1"/>
  <c r="BU480" i="1"/>
  <c r="BP480" i="1"/>
  <c r="CF480" i="1"/>
  <c r="BY480" i="1"/>
  <c r="CD480" i="1"/>
  <c r="BT480" i="1"/>
  <c r="BM480" i="1"/>
  <c r="CC480" i="1"/>
  <c r="BS480" i="1"/>
  <c r="CI480" i="1"/>
  <c r="CA480" i="1"/>
  <c r="BR480" i="1"/>
  <c r="CH480" i="1"/>
  <c r="BZ480" i="1"/>
  <c r="BR486" i="1"/>
  <c r="CH486" i="1"/>
  <c r="BW486" i="1"/>
  <c r="BQ486" i="1"/>
  <c r="BT486" i="1"/>
  <c r="CC486" i="1"/>
  <c r="BP486" i="1"/>
  <c r="BV486" i="1"/>
  <c r="CA486" i="1"/>
  <c r="BY486" i="1"/>
  <c r="CB486" i="1"/>
  <c r="BZ486" i="1"/>
  <c r="BO486" i="1"/>
  <c r="CE486" i="1"/>
  <c r="CG486" i="1"/>
  <c r="BM486" i="1"/>
  <c r="BN486" i="1"/>
  <c r="CD486" i="1"/>
  <c r="BS486" i="1"/>
  <c r="CI486" i="1"/>
  <c r="BL486" i="1"/>
  <c r="BU486" i="1"/>
  <c r="CF486" i="1"/>
  <c r="BX486" i="1"/>
  <c r="BN488" i="1"/>
  <c r="CD488" i="1"/>
  <c r="BP488" i="1"/>
  <c r="CF488" i="1"/>
  <c r="BY488" i="1"/>
  <c r="BV488" i="1"/>
  <c r="BT488" i="1"/>
  <c r="BM488" i="1"/>
  <c r="CC488" i="1"/>
  <c r="BX488" i="1"/>
  <c r="BQ488" i="1"/>
  <c r="CG488" i="1"/>
  <c r="BL488" i="1"/>
  <c r="CB488" i="1"/>
  <c r="BU488" i="1"/>
  <c r="CA488" i="1"/>
  <c r="BS488" i="1"/>
  <c r="CI488" i="1"/>
  <c r="BZ488" i="1"/>
  <c r="BR488" i="1"/>
  <c r="CH488" i="1"/>
  <c r="CH492" i="1"/>
  <c r="BR492" i="1"/>
  <c r="BZ492" i="1"/>
  <c r="BK492" i="1"/>
  <c r="BW492" i="1"/>
  <c r="BO492" i="1"/>
  <c r="CE492" i="1"/>
  <c r="BV492" i="1"/>
  <c r="BN492" i="1"/>
  <c r="BL492" i="1"/>
  <c r="CD492" i="1"/>
  <c r="BO501" i="1"/>
  <c r="CE501" i="1"/>
  <c r="BT501" i="1"/>
  <c r="BR501" i="1"/>
  <c r="BU501" i="1"/>
  <c r="CD501" i="1"/>
  <c r="BS501" i="1"/>
  <c r="CI501" i="1"/>
  <c r="BX501" i="1"/>
  <c r="BZ501" i="1"/>
  <c r="CC501" i="1"/>
  <c r="BY501" i="1"/>
  <c r="BW501" i="1"/>
  <c r="BL501" i="1"/>
  <c r="CB501" i="1"/>
  <c r="CH501" i="1"/>
  <c r="BN501" i="1"/>
  <c r="BK501" i="1"/>
  <c r="CA501" i="1"/>
  <c r="BP501" i="1"/>
  <c r="CF501" i="1"/>
  <c r="BM501" i="1"/>
  <c r="BV501" i="1"/>
  <c r="BQ501" i="1"/>
  <c r="CG501" i="1"/>
  <c r="BP442" i="1"/>
  <c r="CG442" i="1"/>
  <c r="BM442" i="1"/>
  <c r="BL442" i="1"/>
  <c r="BU442" i="1"/>
  <c r="BQ442" i="1"/>
  <c r="BT442" i="1"/>
  <c r="CC442" i="1"/>
  <c r="BY442" i="1"/>
  <c r="CB442" i="1"/>
  <c r="BN442" i="1"/>
  <c r="CF442" i="1"/>
  <c r="BU454" i="1"/>
  <c r="CF454" i="1"/>
  <c r="CB454" i="1"/>
  <c r="CC454" i="1"/>
  <c r="BQ454" i="1"/>
  <c r="BP454" i="1"/>
  <c r="BY454" i="1"/>
  <c r="BM454" i="1"/>
  <c r="BX454" i="1"/>
  <c r="CG454" i="1"/>
  <c r="BN454" i="1"/>
  <c r="BT454" i="1"/>
  <c r="CA464" i="1"/>
  <c r="CD464" i="1"/>
  <c r="CI464" i="1"/>
  <c r="BK464" i="1"/>
  <c r="BN464" i="1"/>
  <c r="BS464" i="1"/>
  <c r="BV464" i="1"/>
  <c r="BO464" i="1"/>
  <c r="BL464" i="1"/>
  <c r="BW464" i="1"/>
  <c r="CH464" i="1"/>
  <c r="CE464" i="1"/>
  <c r="BZ464" i="1"/>
  <c r="BO471" i="1"/>
  <c r="CE471" i="1"/>
  <c r="BY471" i="1"/>
  <c r="BR471" i="1"/>
  <c r="CH471" i="1"/>
  <c r="BW471" i="1"/>
  <c r="BM471" i="1"/>
  <c r="CC471" i="1"/>
  <c r="BV471" i="1"/>
  <c r="BQ471" i="1"/>
  <c r="CG471" i="1"/>
  <c r="BZ471" i="1"/>
  <c r="BU471" i="1"/>
  <c r="BN471" i="1"/>
  <c r="CD471" i="1"/>
  <c r="CB471" i="1"/>
  <c r="BT471" i="1"/>
  <c r="BL471" i="1"/>
  <c r="BK471" i="1"/>
  <c r="CI471" i="1"/>
  <c r="CA471" i="1"/>
  <c r="BS471" i="1"/>
  <c r="BP494" i="1"/>
  <c r="BV494" i="1"/>
  <c r="BK494" i="1"/>
  <c r="CA494" i="1"/>
  <c r="BX494" i="1"/>
  <c r="BZ494" i="1"/>
  <c r="BO494" i="1"/>
  <c r="CE494" i="1"/>
  <c r="CF494" i="1"/>
  <c r="BN494" i="1"/>
  <c r="CD494" i="1"/>
  <c r="BS494" i="1"/>
  <c r="CI494" i="1"/>
  <c r="BR494" i="1"/>
  <c r="CH494" i="1"/>
  <c r="BW494" i="1"/>
  <c r="CC494" i="1"/>
  <c r="BU494" i="1"/>
  <c r="BM494" i="1"/>
  <c r="CB494" i="1"/>
  <c r="BT494" i="1"/>
  <c r="BL494" i="1"/>
  <c r="BV504" i="1"/>
  <c r="BN504" i="1"/>
  <c r="CD504" i="1"/>
  <c r="BX504" i="1"/>
  <c r="BQ504" i="1"/>
  <c r="CG504" i="1"/>
  <c r="BL504" i="1"/>
  <c r="CB504" i="1"/>
  <c r="BU504" i="1"/>
  <c r="BP504" i="1"/>
  <c r="CF504" i="1"/>
  <c r="BY504" i="1"/>
  <c r="BT504" i="1"/>
  <c r="BM504" i="1"/>
  <c r="CC504" i="1"/>
  <c r="CA504" i="1"/>
  <c r="BS504" i="1"/>
  <c r="BK504" i="1"/>
  <c r="CI504" i="1"/>
  <c r="CH504" i="1"/>
  <c r="BZ504" i="1"/>
  <c r="BR504" i="1"/>
  <c r="BZ500" i="1"/>
  <c r="BR500" i="1"/>
  <c r="BX500" i="1"/>
  <c r="BQ500" i="1"/>
  <c r="CG500" i="1"/>
  <c r="BL500" i="1"/>
  <c r="CB500" i="1"/>
  <c r="BU500" i="1"/>
  <c r="CH500" i="1"/>
  <c r="BP500" i="1"/>
  <c r="CF500" i="1"/>
  <c r="BY500" i="1"/>
  <c r="BT500" i="1"/>
  <c r="BM500" i="1"/>
  <c r="CC500" i="1"/>
  <c r="CE500" i="1"/>
  <c r="BW500" i="1"/>
  <c r="BO500" i="1"/>
  <c r="BN500" i="1"/>
  <c r="CD500" i="1"/>
  <c r="BV500" i="1"/>
  <c r="BL427" i="1"/>
  <c r="BW427" i="1"/>
  <c r="BP427" i="1"/>
  <c r="BS427" i="1"/>
  <c r="BT427" i="1"/>
  <c r="CE427" i="1"/>
  <c r="BX427" i="1"/>
  <c r="CA427" i="1"/>
  <c r="CB427" i="1"/>
  <c r="CF427" i="1"/>
  <c r="CI427" i="1"/>
  <c r="BO427" i="1"/>
  <c r="BM427" i="1"/>
  <c r="BM437" i="1"/>
  <c r="CD437" i="1"/>
  <c r="BR437" i="1"/>
  <c r="BQ437" i="1"/>
  <c r="BZ437" i="1"/>
  <c r="BN437" i="1"/>
  <c r="BY437" i="1"/>
  <c r="CH437" i="1"/>
  <c r="BK437" i="1"/>
  <c r="BV437" i="1"/>
  <c r="CG437" i="1"/>
  <c r="CC437" i="1"/>
  <c r="CG339" i="1"/>
  <c r="BS339" i="1"/>
  <c r="CI339" i="1"/>
  <c r="BX339" i="1"/>
  <c r="BU339" i="1"/>
  <c r="CD339" i="1"/>
  <c r="BZ339" i="1"/>
  <c r="BW339" i="1"/>
  <c r="BL339" i="1"/>
  <c r="CB339" i="1"/>
  <c r="CC339" i="1"/>
  <c r="BR339" i="1"/>
  <c r="BK339" i="1"/>
  <c r="CA339" i="1"/>
  <c r="BP339" i="1"/>
  <c r="CF339" i="1"/>
  <c r="BN339" i="1"/>
  <c r="CH339" i="1"/>
  <c r="BO339" i="1"/>
  <c r="CE339" i="1"/>
  <c r="BT339" i="1"/>
  <c r="BM339" i="1"/>
  <c r="BV339" i="1"/>
  <c r="BY339" i="1"/>
  <c r="BQ339" i="1"/>
  <c r="BR312" i="1"/>
  <c r="CH312" i="1"/>
  <c r="BW312" i="1"/>
  <c r="BP312" i="1"/>
  <c r="BY312" i="1"/>
  <c r="CB312" i="1"/>
  <c r="BV312" i="1"/>
  <c r="BK312" i="1"/>
  <c r="CA312" i="1"/>
  <c r="BX312" i="1"/>
  <c r="CG312" i="1"/>
  <c r="BM312" i="1"/>
  <c r="BZ312" i="1"/>
  <c r="BO312" i="1"/>
  <c r="CE312" i="1"/>
  <c r="CF312" i="1"/>
  <c r="BU312" i="1"/>
  <c r="CC312" i="1"/>
  <c r="BN312" i="1"/>
  <c r="CD312" i="1"/>
  <c r="BS312" i="1"/>
  <c r="CI312" i="1"/>
  <c r="BQ312" i="1"/>
  <c r="BL312" i="1"/>
  <c r="BT312" i="1"/>
  <c r="BO419" i="1"/>
  <c r="BL419" i="1"/>
  <c r="BY419" i="1"/>
  <c r="BR419" i="1"/>
  <c r="CH419" i="1"/>
  <c r="BS419" i="1"/>
  <c r="CB419" i="1"/>
  <c r="BM419" i="1"/>
  <c r="CC419" i="1"/>
  <c r="BV419" i="1"/>
  <c r="BP419" i="1"/>
  <c r="CA419" i="1"/>
  <c r="BQ419" i="1"/>
  <c r="CG419" i="1"/>
  <c r="BZ419" i="1"/>
  <c r="BX419" i="1"/>
  <c r="CI419" i="1"/>
  <c r="BK419" i="1"/>
  <c r="BU419" i="1"/>
  <c r="BN419" i="1"/>
  <c r="CD419" i="1"/>
  <c r="CF419" i="1"/>
  <c r="BT419" i="1"/>
  <c r="CE419" i="1"/>
  <c r="BL336" i="1"/>
  <c r="CB336" i="1"/>
  <c r="BZ336" i="1"/>
  <c r="BO336" i="1"/>
  <c r="CE336" i="1"/>
  <c r="CF336" i="1"/>
  <c r="BM336" i="1"/>
  <c r="BN336" i="1"/>
  <c r="CD336" i="1"/>
  <c r="BS336" i="1"/>
  <c r="CI336" i="1"/>
  <c r="BQ336" i="1"/>
  <c r="CC336" i="1"/>
  <c r="BR336" i="1"/>
  <c r="CH336" i="1"/>
  <c r="BW336" i="1"/>
  <c r="BP336" i="1"/>
  <c r="BY336" i="1"/>
  <c r="BT336" i="1"/>
  <c r="BV336" i="1"/>
  <c r="BK336" i="1"/>
  <c r="CA336" i="1"/>
  <c r="BX336" i="1"/>
  <c r="CG336" i="1"/>
  <c r="BU336" i="1"/>
  <c r="BS307" i="1"/>
  <c r="CI307" i="1"/>
  <c r="BX307" i="1"/>
  <c r="BU307" i="1"/>
  <c r="CD307" i="1"/>
  <c r="BZ307" i="1"/>
  <c r="BW307" i="1"/>
  <c r="BL307" i="1"/>
  <c r="CB307" i="1"/>
  <c r="CC307" i="1"/>
  <c r="BR307" i="1"/>
  <c r="BQ307" i="1"/>
  <c r="BK307" i="1"/>
  <c r="CA307" i="1"/>
  <c r="BP307" i="1"/>
  <c r="CF307" i="1"/>
  <c r="BN307" i="1"/>
  <c r="CH307" i="1"/>
  <c r="CG307" i="1"/>
  <c r="BO307" i="1"/>
  <c r="CE307" i="1"/>
  <c r="BT307" i="1"/>
  <c r="BM307" i="1"/>
  <c r="BV307" i="1"/>
  <c r="BY307" i="1"/>
  <c r="BO299" i="1"/>
  <c r="CE299" i="1"/>
  <c r="BT299" i="1"/>
  <c r="BM299" i="1"/>
  <c r="BV299" i="1"/>
  <c r="CG299" i="1"/>
  <c r="BS299" i="1"/>
  <c r="CI299" i="1"/>
  <c r="BX299" i="1"/>
  <c r="BU299" i="1"/>
  <c r="CD299" i="1"/>
  <c r="BR299" i="1"/>
  <c r="BW299" i="1"/>
  <c r="BL299" i="1"/>
  <c r="CB299" i="1"/>
  <c r="CC299" i="1"/>
  <c r="BZ299" i="1"/>
  <c r="CH299" i="1"/>
  <c r="BK299" i="1"/>
  <c r="CA299" i="1"/>
  <c r="BP299" i="1"/>
  <c r="CF299" i="1"/>
  <c r="BN299" i="1"/>
  <c r="BQ299" i="1"/>
  <c r="BY299" i="1"/>
  <c r="BV426" i="1"/>
  <c r="BK426" i="1"/>
  <c r="CA426" i="1"/>
  <c r="BY426" i="1"/>
  <c r="CB426" i="1"/>
  <c r="BP426" i="1"/>
  <c r="BZ426" i="1"/>
  <c r="BO426" i="1"/>
  <c r="CE426" i="1"/>
  <c r="CG426" i="1"/>
  <c r="BM426" i="1"/>
  <c r="BX426" i="1"/>
  <c r="BN426" i="1"/>
  <c r="CD426" i="1"/>
  <c r="BS426" i="1"/>
  <c r="CI426" i="1"/>
  <c r="BL426" i="1"/>
  <c r="BU426" i="1"/>
  <c r="CF426" i="1"/>
  <c r="BR426" i="1"/>
  <c r="CH426" i="1"/>
  <c r="BW426" i="1"/>
  <c r="BQ426" i="1"/>
  <c r="BT426" i="1"/>
  <c r="CC426" i="1"/>
  <c r="BU417" i="1"/>
  <c r="BN417" i="1"/>
  <c r="CD417" i="1"/>
  <c r="CE417" i="1"/>
  <c r="BT417" i="1"/>
  <c r="CB417" i="1"/>
  <c r="BY417" i="1"/>
  <c r="BR417" i="1"/>
  <c r="CH417" i="1"/>
  <c r="BP417" i="1"/>
  <c r="BK417" i="1"/>
  <c r="BM417" i="1"/>
  <c r="CC417" i="1"/>
  <c r="BV417" i="1"/>
  <c r="BO417" i="1"/>
  <c r="BX417" i="1"/>
  <c r="CA417" i="1"/>
  <c r="BQ417" i="1"/>
  <c r="CG417" i="1"/>
  <c r="BZ417" i="1"/>
  <c r="BW417" i="1"/>
  <c r="CF417" i="1"/>
  <c r="BL417" i="1"/>
  <c r="CI417" i="1"/>
  <c r="BL413" i="1"/>
  <c r="BW413" i="1"/>
  <c r="BP413" i="1"/>
  <c r="BX413" i="1"/>
  <c r="CF413" i="1"/>
  <c r="BO413" i="1"/>
  <c r="CE413" i="1"/>
  <c r="BK409" i="1"/>
  <c r="BY409" i="1"/>
  <c r="BR409" i="1"/>
  <c r="CH409" i="1"/>
  <c r="BP409" i="1"/>
  <c r="CB409" i="1"/>
  <c r="BM409" i="1"/>
  <c r="CC409" i="1"/>
  <c r="BV409" i="1"/>
  <c r="BO409" i="1"/>
  <c r="BX409" i="1"/>
  <c r="BS409" i="1"/>
  <c r="BQ409" i="1"/>
  <c r="CG409" i="1"/>
  <c r="BZ409" i="1"/>
  <c r="BW409" i="1"/>
  <c r="CF409" i="1"/>
  <c r="CI409" i="1"/>
  <c r="BU409" i="1"/>
  <c r="BN409" i="1"/>
  <c r="CD409" i="1"/>
  <c r="CE409" i="1"/>
  <c r="BL409" i="1"/>
  <c r="BT409" i="1"/>
  <c r="BL405" i="1"/>
  <c r="CE405" i="1"/>
  <c r="BX405" i="1"/>
  <c r="BP405" i="1"/>
  <c r="CF405" i="1"/>
  <c r="BW405" i="1"/>
  <c r="BO405" i="1"/>
  <c r="BS401" i="1"/>
  <c r="BU401" i="1"/>
  <c r="BN401" i="1"/>
  <c r="CD401" i="1"/>
  <c r="CE401" i="1"/>
  <c r="BT401" i="1"/>
  <c r="CB401" i="1"/>
  <c r="BY401" i="1"/>
  <c r="BR401" i="1"/>
  <c r="CH401" i="1"/>
  <c r="BP401" i="1"/>
  <c r="BK401" i="1"/>
  <c r="BM401" i="1"/>
  <c r="CC401" i="1"/>
  <c r="BV401" i="1"/>
  <c r="BO401" i="1"/>
  <c r="BX401" i="1"/>
  <c r="CA401" i="1"/>
  <c r="BQ401" i="1"/>
  <c r="CG401" i="1"/>
  <c r="BZ401" i="1"/>
  <c r="BW401" i="1"/>
  <c r="CF401" i="1"/>
  <c r="BL401" i="1"/>
  <c r="BL397" i="1"/>
  <c r="BP397" i="1"/>
  <c r="BX397" i="1"/>
  <c r="CF397" i="1"/>
  <c r="BO397" i="1"/>
  <c r="CE397" i="1"/>
  <c r="BW397" i="1"/>
  <c r="CA393" i="1"/>
  <c r="BK393" i="1"/>
  <c r="BY393" i="1"/>
  <c r="BR393" i="1"/>
  <c r="CH393" i="1"/>
  <c r="BP393" i="1"/>
  <c r="CB393" i="1"/>
  <c r="BM393" i="1"/>
  <c r="CC393" i="1"/>
  <c r="BV393" i="1"/>
  <c r="BO393" i="1"/>
  <c r="BX393" i="1"/>
  <c r="BS393" i="1"/>
  <c r="BQ393" i="1"/>
  <c r="CG393" i="1"/>
  <c r="BZ393" i="1"/>
  <c r="BW393" i="1"/>
  <c r="CF393" i="1"/>
  <c r="CI393" i="1"/>
  <c r="BU393" i="1"/>
  <c r="BN393" i="1"/>
  <c r="CD393" i="1"/>
  <c r="CE393" i="1"/>
  <c r="BL393" i="1"/>
  <c r="BT393" i="1"/>
  <c r="BL389" i="1"/>
  <c r="BX389" i="1"/>
  <c r="BP389" i="1"/>
  <c r="CF389" i="1"/>
  <c r="BW389" i="1"/>
  <c r="CE389" i="1"/>
  <c r="CI385" i="1"/>
  <c r="BS385" i="1"/>
  <c r="BU385" i="1"/>
  <c r="BN385" i="1"/>
  <c r="CD385" i="1"/>
  <c r="CE385" i="1"/>
  <c r="BT385" i="1"/>
  <c r="CB385" i="1"/>
  <c r="BY385" i="1"/>
  <c r="BR385" i="1"/>
  <c r="CH385" i="1"/>
  <c r="BP385" i="1"/>
  <c r="BK385" i="1"/>
  <c r="BM385" i="1"/>
  <c r="CC385" i="1"/>
  <c r="BV385" i="1"/>
  <c r="BO385" i="1"/>
  <c r="BX385" i="1"/>
  <c r="CA385" i="1"/>
  <c r="BQ385" i="1"/>
  <c r="CG385" i="1"/>
  <c r="BZ385" i="1"/>
  <c r="BW385" i="1"/>
  <c r="CF385" i="1"/>
  <c r="BL385" i="1"/>
  <c r="BL381" i="1"/>
  <c r="BP381" i="1"/>
  <c r="BX381" i="1"/>
  <c r="CF381" i="1"/>
  <c r="BO381" i="1"/>
  <c r="CE381" i="1"/>
  <c r="CA377" i="1"/>
  <c r="BY377" i="1"/>
  <c r="BR377" i="1"/>
  <c r="CH377" i="1"/>
  <c r="BP377" i="1"/>
  <c r="CB377" i="1"/>
  <c r="BM377" i="1"/>
  <c r="CC377" i="1"/>
  <c r="BV377" i="1"/>
  <c r="BO377" i="1"/>
  <c r="BX377" i="1"/>
  <c r="BS377" i="1"/>
  <c r="BQ377" i="1"/>
  <c r="CG377" i="1"/>
  <c r="BZ377" i="1"/>
  <c r="BW377" i="1"/>
  <c r="CF377" i="1"/>
  <c r="CI377" i="1"/>
  <c r="BU377" i="1"/>
  <c r="BN377" i="1"/>
  <c r="CD377" i="1"/>
  <c r="CE377" i="1"/>
  <c r="BL377" i="1"/>
  <c r="BT377" i="1"/>
  <c r="BK377" i="1"/>
  <c r="BO373" i="1"/>
  <c r="BL373" i="1"/>
  <c r="BX373" i="1"/>
  <c r="BP373" i="1"/>
  <c r="CF373" i="1"/>
  <c r="BW373" i="1"/>
  <c r="CI369" i="1"/>
  <c r="BU369" i="1"/>
  <c r="BN369" i="1"/>
  <c r="CD369" i="1"/>
  <c r="CE369" i="1"/>
  <c r="BT369" i="1"/>
  <c r="CB369" i="1"/>
  <c r="BY369" i="1"/>
  <c r="BR369" i="1"/>
  <c r="CH369" i="1"/>
  <c r="BP369" i="1"/>
  <c r="BK369" i="1"/>
  <c r="BM369" i="1"/>
  <c r="CC369" i="1"/>
  <c r="BV369" i="1"/>
  <c r="BO369" i="1"/>
  <c r="BX369" i="1"/>
  <c r="CA369" i="1"/>
  <c r="BQ369" i="1"/>
  <c r="CG369" i="1"/>
  <c r="BZ369" i="1"/>
  <c r="BW369" i="1"/>
  <c r="CF369" i="1"/>
  <c r="BL369" i="1"/>
  <c r="BS369" i="1"/>
  <c r="BW365" i="1"/>
  <c r="BL365" i="1"/>
  <c r="BP365" i="1"/>
  <c r="BX365" i="1"/>
  <c r="CF365" i="1"/>
  <c r="BO365" i="1"/>
  <c r="CE365" i="1"/>
  <c r="BY361" i="1"/>
  <c r="BR361" i="1"/>
  <c r="CH361" i="1"/>
  <c r="BP361" i="1"/>
  <c r="CB361" i="1"/>
  <c r="BM361" i="1"/>
  <c r="CC361" i="1"/>
  <c r="BV361" i="1"/>
  <c r="BO361" i="1"/>
  <c r="BX361" i="1"/>
  <c r="BS361" i="1"/>
  <c r="BQ361" i="1"/>
  <c r="CG361" i="1"/>
  <c r="BZ361" i="1"/>
  <c r="BW361" i="1"/>
  <c r="CF361" i="1"/>
  <c r="CI361" i="1"/>
  <c r="BU361" i="1"/>
  <c r="BN361" i="1"/>
  <c r="CD361" i="1"/>
  <c r="CE361" i="1"/>
  <c r="BL361" i="1"/>
  <c r="BT361" i="1"/>
  <c r="CA361" i="1"/>
  <c r="CE357" i="1"/>
  <c r="BO357" i="1"/>
  <c r="BL357" i="1"/>
  <c r="BX357" i="1"/>
  <c r="BP357" i="1"/>
  <c r="CF357" i="1"/>
  <c r="BW357" i="1"/>
  <c r="BZ348" i="1"/>
  <c r="BO348" i="1"/>
  <c r="CE348" i="1"/>
  <c r="CB348" i="1"/>
  <c r="BQ348" i="1"/>
  <c r="BN348" i="1"/>
  <c r="CD348" i="1"/>
  <c r="BS348" i="1"/>
  <c r="CI348" i="1"/>
  <c r="BM348" i="1"/>
  <c r="CG348" i="1"/>
  <c r="BR348" i="1"/>
  <c r="CH348" i="1"/>
  <c r="BW348" i="1"/>
  <c r="BL348" i="1"/>
  <c r="BU348" i="1"/>
  <c r="BX348" i="1"/>
  <c r="BV348" i="1"/>
  <c r="BK348" i="1"/>
  <c r="CA348" i="1"/>
  <c r="BT348" i="1"/>
  <c r="CC348" i="1"/>
  <c r="BY348" i="1"/>
  <c r="CF348" i="1"/>
  <c r="BR315" i="1"/>
  <c r="BZ315" i="1"/>
  <c r="CH315" i="1"/>
  <c r="BQ315" i="1"/>
  <c r="BY315" i="1"/>
  <c r="CG315" i="1"/>
  <c r="BW349" i="1"/>
  <c r="BQ349" i="1"/>
  <c r="CG349" i="1"/>
  <c r="BZ349" i="1"/>
  <c r="BS349" i="1"/>
  <c r="BT349" i="1"/>
  <c r="CE349" i="1"/>
  <c r="BU349" i="1"/>
  <c r="BN349" i="1"/>
  <c r="CD349" i="1"/>
  <c r="CA349" i="1"/>
  <c r="CB349" i="1"/>
  <c r="BP349" i="1"/>
  <c r="BY349" i="1"/>
  <c r="BR349" i="1"/>
  <c r="CH349" i="1"/>
  <c r="CI349" i="1"/>
  <c r="BX349" i="1"/>
  <c r="CF349" i="1"/>
  <c r="BM349" i="1"/>
  <c r="CC349" i="1"/>
  <c r="BV349" i="1"/>
  <c r="BK349" i="1"/>
  <c r="BL349" i="1"/>
  <c r="BO349" i="1"/>
  <c r="BK335" i="1"/>
  <c r="CA335" i="1"/>
  <c r="BP335" i="1"/>
  <c r="CF335" i="1"/>
  <c r="BR335" i="1"/>
  <c r="BM335" i="1"/>
  <c r="BO335" i="1"/>
  <c r="CE335" i="1"/>
  <c r="BT335" i="1"/>
  <c r="BQ335" i="1"/>
  <c r="BZ335" i="1"/>
  <c r="CC335" i="1"/>
  <c r="BS335" i="1"/>
  <c r="CI335" i="1"/>
  <c r="BX335" i="1"/>
  <c r="BY335" i="1"/>
  <c r="CH335" i="1"/>
  <c r="BN335" i="1"/>
  <c r="BW335" i="1"/>
  <c r="BL335" i="1"/>
  <c r="CB335" i="1"/>
  <c r="CG335" i="1"/>
  <c r="BV335" i="1"/>
  <c r="CD335" i="1"/>
  <c r="BM327" i="1"/>
  <c r="BV327" i="1"/>
  <c r="BN327" i="1"/>
  <c r="CD327" i="1"/>
  <c r="BU327" i="1"/>
  <c r="CC319" i="1"/>
  <c r="BN319" i="1"/>
  <c r="BV319" i="1"/>
  <c r="CD319" i="1"/>
  <c r="BM319" i="1"/>
  <c r="BX338" i="1"/>
  <c r="BQ338" i="1"/>
  <c r="CG338" i="1"/>
  <c r="BO338" i="1"/>
  <c r="CA338" i="1"/>
  <c r="CI338" i="1"/>
  <c r="BL338" i="1"/>
  <c r="CB338" i="1"/>
  <c r="BU338" i="1"/>
  <c r="BN338" i="1"/>
  <c r="BW338" i="1"/>
  <c r="BR338" i="1"/>
  <c r="BZ338" i="1"/>
  <c r="BP338" i="1"/>
  <c r="CF338" i="1"/>
  <c r="BY338" i="1"/>
  <c r="BV338" i="1"/>
  <c r="CE338" i="1"/>
  <c r="CH338" i="1"/>
  <c r="BT338" i="1"/>
  <c r="BM338" i="1"/>
  <c r="CC338" i="1"/>
  <c r="CD338" i="1"/>
  <c r="BK338" i="1"/>
  <c r="BS338" i="1"/>
  <c r="BL304" i="1"/>
  <c r="BN304" i="1"/>
  <c r="CD304" i="1"/>
  <c r="BS304" i="1"/>
  <c r="CI304" i="1"/>
  <c r="BQ304" i="1"/>
  <c r="CC304" i="1"/>
  <c r="BR304" i="1"/>
  <c r="CH304" i="1"/>
  <c r="BW304" i="1"/>
  <c r="BP304" i="1"/>
  <c r="BY304" i="1"/>
  <c r="BT304" i="1"/>
  <c r="BV304" i="1"/>
  <c r="BK304" i="1"/>
  <c r="CA304" i="1"/>
  <c r="BX304" i="1"/>
  <c r="CG304" i="1"/>
  <c r="BU304" i="1"/>
  <c r="BZ304" i="1"/>
  <c r="BO304" i="1"/>
  <c r="CE304" i="1"/>
  <c r="CF304" i="1"/>
  <c r="BM304" i="1"/>
  <c r="CB304" i="1"/>
  <c r="BM284" i="1"/>
  <c r="BQ284" i="1"/>
  <c r="BP284" i="1"/>
  <c r="CG284" i="1"/>
  <c r="CF284" i="1"/>
  <c r="BX284" i="1"/>
  <c r="BY284" i="1"/>
  <c r="BM263" i="1"/>
  <c r="BR263" i="1"/>
  <c r="BU263" i="1"/>
  <c r="BV263" i="1"/>
  <c r="BN263" i="1"/>
  <c r="CC263" i="1"/>
  <c r="CD263" i="1"/>
  <c r="BX324" i="1"/>
  <c r="BM324" i="1"/>
  <c r="BQ324" i="1"/>
  <c r="BY324" i="1"/>
  <c r="CG324" i="1"/>
  <c r="BP324" i="1"/>
  <c r="CF324" i="1"/>
  <c r="BS273" i="1"/>
  <c r="BP273" i="1"/>
  <c r="BL273" i="1"/>
  <c r="BT273" i="1"/>
  <c r="CB273" i="1"/>
  <c r="BK273" i="1"/>
  <c r="CI273" i="1"/>
  <c r="CA273" i="1"/>
  <c r="BL298" i="1"/>
  <c r="CB298" i="1"/>
  <c r="BU298" i="1"/>
  <c r="BN298" i="1"/>
  <c r="BW298" i="1"/>
  <c r="BZ298" i="1"/>
  <c r="BP298" i="1"/>
  <c r="CF298" i="1"/>
  <c r="BY298" i="1"/>
  <c r="BV298" i="1"/>
  <c r="CE298" i="1"/>
  <c r="BK298" i="1"/>
  <c r="BT298" i="1"/>
  <c r="BM298" i="1"/>
  <c r="CC298" i="1"/>
  <c r="CD298" i="1"/>
  <c r="BS298" i="1"/>
  <c r="CA298" i="1"/>
  <c r="BX298" i="1"/>
  <c r="BQ298" i="1"/>
  <c r="CG298" i="1"/>
  <c r="BO298" i="1"/>
  <c r="CI298" i="1"/>
  <c r="BR298" i="1"/>
  <c r="BO290" i="1"/>
  <c r="BK290" i="1"/>
  <c r="BS290" i="1"/>
  <c r="CA290" i="1"/>
  <c r="CI290" i="1"/>
  <c r="BR290" i="1"/>
  <c r="BZ290" i="1"/>
  <c r="CH290" i="1"/>
  <c r="BN253" i="1"/>
  <c r="CC253" i="1"/>
  <c r="CD253" i="1"/>
  <c r="BM253" i="1"/>
  <c r="BO193" i="1"/>
  <c r="CE193" i="1"/>
  <c r="BV193" i="1"/>
  <c r="BR193" i="1"/>
  <c r="BT193" i="1"/>
  <c r="BN193" i="1"/>
  <c r="BS193" i="1"/>
  <c r="CI193" i="1"/>
  <c r="CB193" i="1"/>
  <c r="BX193" i="1"/>
  <c r="CD193" i="1"/>
  <c r="BP193" i="1"/>
  <c r="BW193" i="1"/>
  <c r="BL193" i="1"/>
  <c r="CG193" i="1"/>
  <c r="CC193" i="1"/>
  <c r="BU193" i="1"/>
  <c r="BY193" i="1"/>
  <c r="BK193" i="1"/>
  <c r="CA193" i="1"/>
  <c r="BQ193" i="1"/>
  <c r="BM193" i="1"/>
  <c r="CH193" i="1"/>
  <c r="CF193" i="1"/>
  <c r="BZ193" i="1"/>
  <c r="BK283" i="1"/>
  <c r="CA283" i="1"/>
  <c r="BP283" i="1"/>
  <c r="CF283" i="1"/>
  <c r="BN283" i="1"/>
  <c r="BQ283" i="1"/>
  <c r="BO283" i="1"/>
  <c r="CE283" i="1"/>
  <c r="BT283" i="1"/>
  <c r="BM283" i="1"/>
  <c r="BV283" i="1"/>
  <c r="CG283" i="1"/>
  <c r="BY283" i="1"/>
  <c r="BS283" i="1"/>
  <c r="CI283" i="1"/>
  <c r="BX283" i="1"/>
  <c r="BU283" i="1"/>
  <c r="CD283" i="1"/>
  <c r="BR283" i="1"/>
  <c r="BW283" i="1"/>
  <c r="BL283" i="1"/>
  <c r="CB283" i="1"/>
  <c r="CC283" i="1"/>
  <c r="BZ283" i="1"/>
  <c r="CH283" i="1"/>
  <c r="CG275" i="1"/>
  <c r="BW275" i="1"/>
  <c r="BL275" i="1"/>
  <c r="CB275" i="1"/>
  <c r="CC275" i="1"/>
  <c r="BR275" i="1"/>
  <c r="BQ275" i="1"/>
  <c r="BK275" i="1"/>
  <c r="CA275" i="1"/>
  <c r="BP275" i="1"/>
  <c r="CF275" i="1"/>
  <c r="BN275" i="1"/>
  <c r="CH275" i="1"/>
  <c r="BO275" i="1"/>
  <c r="CE275" i="1"/>
  <c r="BT275" i="1"/>
  <c r="BM275" i="1"/>
  <c r="BV275" i="1"/>
  <c r="BY275" i="1"/>
  <c r="BS275" i="1"/>
  <c r="CI275" i="1"/>
  <c r="BX275" i="1"/>
  <c r="BU275" i="1"/>
  <c r="CD275" i="1"/>
  <c r="BZ275" i="1"/>
  <c r="BN264" i="1"/>
  <c r="CD264" i="1"/>
  <c r="BS264" i="1"/>
  <c r="CI264" i="1"/>
  <c r="BQ264" i="1"/>
  <c r="BL264" i="1"/>
  <c r="BT264" i="1"/>
  <c r="BR264" i="1"/>
  <c r="CH264" i="1"/>
  <c r="BW264" i="1"/>
  <c r="BP264" i="1"/>
  <c r="BY264" i="1"/>
  <c r="CB264" i="1"/>
  <c r="BV264" i="1"/>
  <c r="BK264" i="1"/>
  <c r="CA264" i="1"/>
  <c r="BX264" i="1"/>
  <c r="CG264" i="1"/>
  <c r="BM264" i="1"/>
  <c r="BZ264" i="1"/>
  <c r="BO264" i="1"/>
  <c r="CE264" i="1"/>
  <c r="CF264" i="1"/>
  <c r="BU264" i="1"/>
  <c r="CC264" i="1"/>
  <c r="CG254" i="1"/>
  <c r="BR254" i="1"/>
  <c r="BO254" i="1"/>
  <c r="CE254" i="1"/>
  <c r="CD254" i="1"/>
  <c r="BL254" i="1"/>
  <c r="CH254" i="1"/>
  <c r="BV254" i="1"/>
  <c r="BS254" i="1"/>
  <c r="CI254" i="1"/>
  <c r="BQ254" i="1"/>
  <c r="CB254" i="1"/>
  <c r="BT254" i="1"/>
  <c r="BZ254" i="1"/>
  <c r="BW254" i="1"/>
  <c r="BP254" i="1"/>
  <c r="BY254" i="1"/>
  <c r="BM254" i="1"/>
  <c r="BU254" i="1"/>
  <c r="BN254" i="1"/>
  <c r="BK254" i="1"/>
  <c r="CA254" i="1"/>
  <c r="BX254" i="1"/>
  <c r="CF254" i="1"/>
  <c r="CC254" i="1"/>
  <c r="BW243" i="1"/>
  <c r="BX243" i="1"/>
  <c r="BO236" i="1"/>
  <c r="BV236" i="1"/>
  <c r="BW236" i="1"/>
  <c r="BW228" i="1"/>
  <c r="CD228" i="1"/>
  <c r="CE228" i="1"/>
  <c r="BN228" i="1"/>
  <c r="BO228" i="1"/>
  <c r="BO220" i="1"/>
  <c r="BW220" i="1"/>
  <c r="BV220" i="1"/>
  <c r="BW212" i="1"/>
  <c r="BO212" i="1"/>
  <c r="CD212" i="1"/>
  <c r="CE212" i="1"/>
  <c r="BN212" i="1"/>
  <c r="BO204" i="1"/>
  <c r="BV204" i="1"/>
  <c r="BW204" i="1"/>
  <c r="BO295" i="1"/>
  <c r="CE295" i="1"/>
  <c r="BT295" i="1"/>
  <c r="BQ295" i="1"/>
  <c r="BZ295" i="1"/>
  <c r="BU295" i="1"/>
  <c r="BS295" i="1"/>
  <c r="CI295" i="1"/>
  <c r="BX295" i="1"/>
  <c r="BY295" i="1"/>
  <c r="CH295" i="1"/>
  <c r="BV295" i="1"/>
  <c r="BW295" i="1"/>
  <c r="BL295" i="1"/>
  <c r="CB295" i="1"/>
  <c r="CG295" i="1"/>
  <c r="BN295" i="1"/>
  <c r="BM295" i="1"/>
  <c r="BK295" i="1"/>
  <c r="CA295" i="1"/>
  <c r="BP295" i="1"/>
  <c r="CF295" i="1"/>
  <c r="BR295" i="1"/>
  <c r="CD295" i="1"/>
  <c r="CC295" i="1"/>
  <c r="BR287" i="1"/>
  <c r="BM287" i="1"/>
  <c r="BU287" i="1"/>
  <c r="CC287" i="1"/>
  <c r="BN287" i="1"/>
  <c r="BV287" i="1"/>
  <c r="CD287" i="1"/>
  <c r="BR250" i="1"/>
  <c r="CH250" i="1"/>
  <c r="BW250" i="1"/>
  <c r="BL250" i="1"/>
  <c r="BU250" i="1"/>
  <c r="BQ250" i="1"/>
  <c r="BV250" i="1"/>
  <c r="BK250" i="1"/>
  <c r="CA250" i="1"/>
  <c r="BT250" i="1"/>
  <c r="CC250" i="1"/>
  <c r="CG250" i="1"/>
  <c r="BZ250" i="1"/>
  <c r="BO250" i="1"/>
  <c r="CE250" i="1"/>
  <c r="CB250" i="1"/>
  <c r="BP250" i="1"/>
  <c r="BX250" i="1"/>
  <c r="BN250" i="1"/>
  <c r="CD250" i="1"/>
  <c r="BS250" i="1"/>
  <c r="CI250" i="1"/>
  <c r="BM250" i="1"/>
  <c r="CF250" i="1"/>
  <c r="BY250" i="1"/>
  <c r="BO172" i="1"/>
  <c r="CE172" i="1"/>
  <c r="BT172" i="1"/>
  <c r="BQ172" i="1"/>
  <c r="BZ172" i="1"/>
  <c r="BM172" i="1"/>
  <c r="BS172" i="1"/>
  <c r="CI172" i="1"/>
  <c r="BX172" i="1"/>
  <c r="BY172" i="1"/>
  <c r="CH172" i="1"/>
  <c r="BN172" i="1"/>
  <c r="BW172" i="1"/>
  <c r="BL172" i="1"/>
  <c r="CB172" i="1"/>
  <c r="CG172" i="1"/>
  <c r="BU172" i="1"/>
  <c r="CC172" i="1"/>
  <c r="BK172" i="1"/>
  <c r="CA172" i="1"/>
  <c r="BP172" i="1"/>
  <c r="CF172" i="1"/>
  <c r="BR172" i="1"/>
  <c r="BV172" i="1"/>
  <c r="CD172" i="1"/>
  <c r="BV153" i="1"/>
  <c r="BK153" i="1"/>
  <c r="CA153" i="1"/>
  <c r="BT153" i="1"/>
  <c r="CC153" i="1"/>
  <c r="CG153" i="1"/>
  <c r="BZ153" i="1"/>
  <c r="BO153" i="1"/>
  <c r="CE153" i="1"/>
  <c r="CB153" i="1"/>
  <c r="BP153" i="1"/>
  <c r="BX153" i="1"/>
  <c r="BN153" i="1"/>
  <c r="CD153" i="1"/>
  <c r="BS153" i="1"/>
  <c r="CI153" i="1"/>
  <c r="BM153" i="1"/>
  <c r="CF153" i="1"/>
  <c r="BY153" i="1"/>
  <c r="CF235" i="1"/>
  <c r="BO235" i="1"/>
  <c r="BP235" i="1"/>
  <c r="CE235" i="1"/>
  <c r="BX227" i="1"/>
  <c r="BW227" i="1"/>
  <c r="BP219" i="1"/>
  <c r="CE219" i="1"/>
  <c r="CF219" i="1"/>
  <c r="BX211" i="1"/>
  <c r="BW211" i="1"/>
  <c r="CE203" i="1"/>
  <c r="BK203" i="1"/>
  <c r="CF203" i="1"/>
  <c r="BR189" i="1"/>
  <c r="BT189" i="1"/>
  <c r="BN179" i="1"/>
  <c r="BO179" i="1"/>
  <c r="CE179" i="1"/>
  <c r="BO197" i="1"/>
  <c r="CE197" i="1"/>
  <c r="BX197" i="1"/>
  <c r="BT197" i="1"/>
  <c r="BZ197" i="1"/>
  <c r="BV197" i="1"/>
  <c r="BS197" i="1"/>
  <c r="CI197" i="1"/>
  <c r="CC197" i="1"/>
  <c r="BY197" i="1"/>
  <c r="BQ197" i="1"/>
  <c r="CF197" i="1"/>
  <c r="BW197" i="1"/>
  <c r="BM197" i="1"/>
  <c r="CH197" i="1"/>
  <c r="CD197" i="1"/>
  <c r="CB197" i="1"/>
  <c r="BL197" i="1"/>
  <c r="BK197" i="1"/>
  <c r="CA197" i="1"/>
  <c r="BR197" i="1"/>
  <c r="BN197" i="1"/>
  <c r="BP197" i="1"/>
  <c r="BU197" i="1"/>
  <c r="CG197" i="1"/>
  <c r="BW180" i="1"/>
  <c r="BL180" i="1"/>
  <c r="CB180" i="1"/>
  <c r="CG180" i="1"/>
  <c r="BM180" i="1"/>
  <c r="BU180" i="1"/>
  <c r="BK180" i="1"/>
  <c r="CA180" i="1"/>
  <c r="BP180" i="1"/>
  <c r="CF180" i="1"/>
  <c r="BR180" i="1"/>
  <c r="CC180" i="1"/>
  <c r="BV180" i="1"/>
  <c r="BO180" i="1"/>
  <c r="CE180" i="1"/>
  <c r="BT180" i="1"/>
  <c r="BQ180" i="1"/>
  <c r="BZ180" i="1"/>
  <c r="BN180" i="1"/>
  <c r="BS180" i="1"/>
  <c r="CI180" i="1"/>
  <c r="BX180" i="1"/>
  <c r="BY180" i="1"/>
  <c r="CH180" i="1"/>
  <c r="CD180" i="1"/>
  <c r="BM134" i="1"/>
  <c r="CC134" i="1"/>
  <c r="BV134" i="1"/>
  <c r="BO134" i="1"/>
  <c r="BX134" i="1"/>
  <c r="BL134" i="1"/>
  <c r="BT134" i="1"/>
  <c r="BQ134" i="1"/>
  <c r="CG134" i="1"/>
  <c r="BZ134" i="1"/>
  <c r="BW134" i="1"/>
  <c r="CF134" i="1"/>
  <c r="CB134" i="1"/>
  <c r="BU134" i="1"/>
  <c r="BN134" i="1"/>
  <c r="CD134" i="1"/>
  <c r="CE134" i="1"/>
  <c r="BK134" i="1"/>
  <c r="CI134" i="1"/>
  <c r="BY134" i="1"/>
  <c r="BR134" i="1"/>
  <c r="CH134" i="1"/>
  <c r="BP134" i="1"/>
  <c r="CA134" i="1"/>
  <c r="BS134" i="1"/>
  <c r="BN173" i="1"/>
  <c r="CD173" i="1"/>
  <c r="BS173" i="1"/>
  <c r="CI173" i="1"/>
  <c r="BQ173" i="1"/>
  <c r="CB173" i="1"/>
  <c r="BU173" i="1"/>
  <c r="BR173" i="1"/>
  <c r="CH173" i="1"/>
  <c r="BW173" i="1"/>
  <c r="BP173" i="1"/>
  <c r="BY173" i="1"/>
  <c r="BM173" i="1"/>
  <c r="BV173" i="1"/>
  <c r="BK173" i="1"/>
  <c r="CA173" i="1"/>
  <c r="BX173" i="1"/>
  <c r="CG173" i="1"/>
  <c r="CC173" i="1"/>
  <c r="BZ173" i="1"/>
  <c r="BO173" i="1"/>
  <c r="CE173" i="1"/>
  <c r="CF173" i="1"/>
  <c r="BL173" i="1"/>
  <c r="BT173" i="1"/>
  <c r="BN161" i="1"/>
  <c r="CD161" i="1"/>
  <c r="BS161" i="1"/>
  <c r="CI161" i="1"/>
  <c r="BM161" i="1"/>
  <c r="BY161" i="1"/>
  <c r="BQ161" i="1"/>
  <c r="BR161" i="1"/>
  <c r="CH161" i="1"/>
  <c r="BW161" i="1"/>
  <c r="BL161" i="1"/>
  <c r="BU161" i="1"/>
  <c r="CF161" i="1"/>
  <c r="BV161" i="1"/>
  <c r="BK161" i="1"/>
  <c r="CA161" i="1"/>
  <c r="BT161" i="1"/>
  <c r="CC161" i="1"/>
  <c r="CG161" i="1"/>
  <c r="BZ161" i="1"/>
  <c r="BS108" i="1"/>
  <c r="BS176" i="1"/>
  <c r="CI176" i="1"/>
  <c r="BX176" i="1"/>
  <c r="BU176" i="1"/>
  <c r="CD176" i="1"/>
  <c r="CH176" i="1"/>
  <c r="BW176" i="1"/>
  <c r="BL176" i="1"/>
  <c r="CB176" i="1"/>
  <c r="CC176" i="1"/>
  <c r="BQ176" i="1"/>
  <c r="BY176" i="1"/>
  <c r="BK176" i="1"/>
  <c r="CA176" i="1"/>
  <c r="BP176" i="1"/>
  <c r="CF176" i="1"/>
  <c r="BN176" i="1"/>
  <c r="CG176" i="1"/>
  <c r="BZ176" i="1"/>
  <c r="BO176" i="1"/>
  <c r="CE176" i="1"/>
  <c r="BT176" i="1"/>
  <c r="BM176" i="1"/>
  <c r="BV176" i="1"/>
  <c r="BR176" i="1"/>
  <c r="CH168" i="1"/>
  <c r="CG168" i="1"/>
  <c r="BR168" i="1"/>
  <c r="BU90" i="1"/>
  <c r="BV90" i="1"/>
  <c r="BZ141" i="1"/>
  <c r="BO141" i="1"/>
  <c r="CE141" i="1"/>
  <c r="CF141" i="1"/>
  <c r="BL141" i="1"/>
  <c r="BT141" i="1"/>
  <c r="BN141" i="1"/>
  <c r="CD141" i="1"/>
  <c r="BS141" i="1"/>
  <c r="CI141" i="1"/>
  <c r="BQ141" i="1"/>
  <c r="CB141" i="1"/>
  <c r="BU141" i="1"/>
  <c r="BR141" i="1"/>
  <c r="CH141" i="1"/>
  <c r="BW141" i="1"/>
  <c r="BP141" i="1"/>
  <c r="BY141" i="1"/>
  <c r="BM141" i="1"/>
  <c r="CA109" i="1"/>
  <c r="BM156" i="1"/>
  <c r="BN156" i="1"/>
  <c r="CD156" i="1"/>
  <c r="BU148" i="1"/>
  <c r="BV148" i="1"/>
  <c r="BP97" i="1"/>
  <c r="CF97" i="1"/>
  <c r="BY97" i="1"/>
  <c r="BZ97" i="1"/>
  <c r="CA97" i="1"/>
  <c r="BO97" i="1"/>
  <c r="BT97" i="1"/>
  <c r="BM97" i="1"/>
  <c r="CC97" i="1"/>
  <c r="CH97" i="1"/>
  <c r="CI97" i="1"/>
  <c r="CE97" i="1"/>
  <c r="BX97" i="1"/>
  <c r="BQ97" i="1"/>
  <c r="CG97" i="1"/>
  <c r="BK97" i="1"/>
  <c r="BN97" i="1"/>
  <c r="BV97" i="1"/>
  <c r="BL97" i="1"/>
  <c r="CB97" i="1"/>
  <c r="BU97" i="1"/>
  <c r="BR97" i="1"/>
  <c r="BS97" i="1"/>
  <c r="CD97" i="1"/>
  <c r="BW97" i="1"/>
  <c r="BU142" i="1"/>
  <c r="BN142" i="1"/>
  <c r="CD142" i="1"/>
  <c r="CE142" i="1"/>
  <c r="BS142" i="1"/>
  <c r="CB142" i="1"/>
  <c r="BY142" i="1"/>
  <c r="BR142" i="1"/>
  <c r="CH142" i="1"/>
  <c r="BP142" i="1"/>
  <c r="CI142" i="1"/>
  <c r="BK142" i="1"/>
  <c r="BM142" i="1"/>
  <c r="CC142" i="1"/>
  <c r="BV142" i="1"/>
  <c r="BO142" i="1"/>
  <c r="BX142" i="1"/>
  <c r="BT142" i="1"/>
  <c r="BL142" i="1"/>
  <c r="BQ142" i="1"/>
  <c r="CG142" i="1"/>
  <c r="BZ142" i="1"/>
  <c r="BW142" i="1"/>
  <c r="CF142" i="1"/>
  <c r="CA142" i="1"/>
  <c r="BN103" i="1"/>
  <c r="CD103" i="1"/>
  <c r="BS103" i="1"/>
  <c r="CI103" i="1"/>
  <c r="BM103" i="1"/>
  <c r="BY103" i="1"/>
  <c r="BQ103" i="1"/>
  <c r="BR103" i="1"/>
  <c r="CH103" i="1"/>
  <c r="BW103" i="1"/>
  <c r="BL103" i="1"/>
  <c r="BU103" i="1"/>
  <c r="CF103" i="1"/>
  <c r="BV103" i="1"/>
  <c r="BK103" i="1"/>
  <c r="CA103" i="1"/>
  <c r="BT103" i="1"/>
  <c r="CC103" i="1"/>
  <c r="CG103" i="1"/>
  <c r="BM116" i="1"/>
  <c r="CC116" i="1"/>
  <c r="BV116" i="1"/>
  <c r="BO116" i="1"/>
  <c r="BX116" i="1"/>
  <c r="BT116" i="1"/>
  <c r="BL116" i="1"/>
  <c r="BQ116" i="1"/>
  <c r="CG116" i="1"/>
  <c r="BZ116" i="1"/>
  <c r="BW116" i="1"/>
  <c r="CF116" i="1"/>
  <c r="CA116" i="1"/>
  <c r="BU116" i="1"/>
  <c r="BN116" i="1"/>
  <c r="CD116" i="1"/>
  <c r="CE116" i="1"/>
  <c r="BS116" i="1"/>
  <c r="CB116" i="1"/>
  <c r="BL93" i="1"/>
  <c r="CB93" i="1"/>
  <c r="BU93" i="1"/>
  <c r="BN93" i="1"/>
  <c r="BW93" i="1"/>
  <c r="BS93" i="1"/>
  <c r="BK93" i="1"/>
  <c r="BP93" i="1"/>
  <c r="CF93" i="1"/>
  <c r="BY93" i="1"/>
  <c r="BV93" i="1"/>
  <c r="CE93" i="1"/>
  <c r="CI93" i="1"/>
  <c r="BT93" i="1"/>
  <c r="BM93" i="1"/>
  <c r="CC93" i="1"/>
  <c r="CD93" i="1"/>
  <c r="BR93" i="1"/>
  <c r="BZ93" i="1"/>
  <c r="BX93" i="1"/>
  <c r="BQ93" i="1"/>
  <c r="CG93" i="1"/>
  <c r="BO93" i="1"/>
  <c r="CH93" i="1"/>
  <c r="CA93" i="1"/>
  <c r="BZ83" i="1"/>
  <c r="BO83" i="1"/>
  <c r="CE83" i="1"/>
  <c r="CF83" i="1"/>
  <c r="BL83" i="1"/>
  <c r="BT83" i="1"/>
  <c r="BN83" i="1"/>
  <c r="CD83" i="1"/>
  <c r="BS83" i="1"/>
  <c r="CI83" i="1"/>
  <c r="BQ83" i="1"/>
  <c r="CB83" i="1"/>
  <c r="BU83" i="1"/>
  <c r="BR83" i="1"/>
  <c r="CH83" i="1"/>
  <c r="BW83" i="1"/>
  <c r="BP83" i="1"/>
  <c r="BY83" i="1"/>
  <c r="BM83" i="1"/>
  <c r="BV83" i="1"/>
  <c r="BK83" i="1"/>
  <c r="CA83" i="1"/>
  <c r="BX83" i="1"/>
  <c r="CG83" i="1"/>
  <c r="CC83" i="1"/>
  <c r="BZ125" i="1"/>
  <c r="BO125" i="1"/>
  <c r="CE125" i="1"/>
  <c r="CF125" i="1"/>
  <c r="BL125" i="1"/>
  <c r="BT125" i="1"/>
  <c r="BN125" i="1"/>
  <c r="CD125" i="1"/>
  <c r="BS125" i="1"/>
  <c r="CI125" i="1"/>
  <c r="BQ125" i="1"/>
  <c r="CB125" i="1"/>
  <c r="BU125" i="1"/>
  <c r="BR125" i="1"/>
  <c r="CH125" i="1"/>
  <c r="BW125" i="1"/>
  <c r="BP125" i="1"/>
  <c r="BY125" i="1"/>
  <c r="BM125" i="1"/>
  <c r="BT121" i="1"/>
  <c r="BM121" i="1"/>
  <c r="CC121" i="1"/>
  <c r="CH121" i="1"/>
  <c r="CI121" i="1"/>
  <c r="CE121" i="1"/>
  <c r="BX121" i="1"/>
  <c r="BQ121" i="1"/>
  <c r="CG121" i="1"/>
  <c r="BK121" i="1"/>
  <c r="BV121" i="1"/>
  <c r="BN121" i="1"/>
  <c r="BL121" i="1"/>
  <c r="CB121" i="1"/>
  <c r="BU121" i="1"/>
  <c r="BR121" i="1"/>
  <c r="BS121" i="1"/>
  <c r="BW121" i="1"/>
  <c r="BO121" i="1"/>
  <c r="BV113" i="1"/>
  <c r="BW113" i="1"/>
  <c r="BZ86" i="1"/>
  <c r="BP45" i="1"/>
  <c r="CF45" i="1"/>
  <c r="BY45" i="1"/>
  <c r="BV45" i="1"/>
  <c r="CE45" i="1"/>
  <c r="BR45" i="1"/>
  <c r="BT45" i="1"/>
  <c r="BM45" i="1"/>
  <c r="CC45" i="1"/>
  <c r="CD45" i="1"/>
  <c r="BZ45" i="1"/>
  <c r="BS45" i="1"/>
  <c r="BX45" i="1"/>
  <c r="BQ45" i="1"/>
  <c r="CG45" i="1"/>
  <c r="BO45" i="1"/>
  <c r="BK45" i="1"/>
  <c r="CH45" i="1"/>
  <c r="BL45" i="1"/>
  <c r="CB45" i="1"/>
  <c r="BU45" i="1"/>
  <c r="BN45" i="1"/>
  <c r="BW45" i="1"/>
  <c r="CA45" i="1"/>
  <c r="CI45" i="1"/>
  <c r="BY65" i="1"/>
  <c r="BL75" i="1"/>
  <c r="CB75" i="1"/>
  <c r="BU75" i="1"/>
  <c r="BN75" i="1"/>
  <c r="BW75" i="1"/>
  <c r="CA75" i="1"/>
  <c r="BS75" i="1"/>
  <c r="BP75" i="1"/>
  <c r="CF75" i="1"/>
  <c r="BY75" i="1"/>
  <c r="BV75" i="1"/>
  <c r="CE75" i="1"/>
  <c r="CH75" i="1"/>
  <c r="BT75" i="1"/>
  <c r="BM75" i="1"/>
  <c r="CC75" i="1"/>
  <c r="CD75" i="1"/>
  <c r="BZ75" i="1"/>
  <c r="CI75" i="1"/>
  <c r="BX75" i="1"/>
  <c r="BQ75" i="1"/>
  <c r="CG75" i="1"/>
  <c r="BO75" i="1"/>
  <c r="BK75" i="1"/>
  <c r="BR75" i="1"/>
  <c r="BX71" i="1"/>
  <c r="BQ71" i="1"/>
  <c r="CG71" i="1"/>
  <c r="BK71" i="1"/>
  <c r="BN71" i="1"/>
  <c r="BV71" i="1"/>
  <c r="BL71" i="1"/>
  <c r="CB71" i="1"/>
  <c r="BU71" i="1"/>
  <c r="BR71" i="1"/>
  <c r="BS71" i="1"/>
  <c r="CD71" i="1"/>
  <c r="BW71" i="1"/>
  <c r="BP71" i="1"/>
  <c r="CF71" i="1"/>
  <c r="BY71" i="1"/>
  <c r="BZ71" i="1"/>
  <c r="CA71" i="1"/>
  <c r="BO71" i="1"/>
  <c r="BT71" i="1"/>
  <c r="BM71" i="1"/>
  <c r="CC71" i="1"/>
  <c r="CH71" i="1"/>
  <c r="CI71" i="1"/>
  <c r="CE71" i="1"/>
  <c r="BL67" i="1"/>
  <c r="BX67" i="1"/>
  <c r="BQ67" i="1"/>
  <c r="CG67" i="1"/>
  <c r="BO67" i="1"/>
  <c r="CH67" i="1"/>
  <c r="CA67" i="1"/>
  <c r="BM67" i="1"/>
  <c r="CB67" i="1"/>
  <c r="BU67" i="1"/>
  <c r="BN67" i="1"/>
  <c r="BW67" i="1"/>
  <c r="BS67" i="1"/>
  <c r="BP67" i="1"/>
  <c r="CF67" i="1"/>
  <c r="BY67" i="1"/>
  <c r="BV67" i="1"/>
  <c r="CE67" i="1"/>
  <c r="CI67" i="1"/>
  <c r="BT67" i="1"/>
  <c r="BK67" i="1"/>
  <c r="CC67" i="1"/>
  <c r="CD67" i="1"/>
  <c r="BR67" i="1"/>
  <c r="BZ67" i="1"/>
  <c r="BZ61" i="1"/>
  <c r="BO61" i="1"/>
  <c r="CE61" i="1"/>
  <c r="CF61" i="1"/>
  <c r="BT61" i="1"/>
  <c r="CB61" i="1"/>
  <c r="BN61" i="1"/>
  <c r="CD61" i="1"/>
  <c r="BS61" i="1"/>
  <c r="CI61" i="1"/>
  <c r="BQ61" i="1"/>
  <c r="BU61" i="1"/>
  <c r="CC61" i="1"/>
  <c r="BR61" i="1"/>
  <c r="CH61" i="1"/>
  <c r="BW61" i="1"/>
  <c r="BP61" i="1"/>
  <c r="BY61" i="1"/>
  <c r="BL61" i="1"/>
  <c r="BV61" i="1"/>
  <c r="BK61" i="1"/>
  <c r="CA61" i="1"/>
  <c r="BX61" i="1"/>
  <c r="CG61" i="1"/>
  <c r="BM61" i="1"/>
  <c r="BY40" i="1"/>
  <c r="BR40" i="1"/>
  <c r="CH40" i="1"/>
  <c r="CI40" i="1"/>
  <c r="BW40" i="1"/>
  <c r="CE40" i="1"/>
  <c r="BM40" i="1"/>
  <c r="CC40" i="1"/>
  <c r="BV40" i="1"/>
  <c r="BK40" i="1"/>
  <c r="BL40" i="1"/>
  <c r="BX40" i="1"/>
  <c r="CF40" i="1"/>
  <c r="BQ40" i="1"/>
  <c r="CG40" i="1"/>
  <c r="BZ40" i="1"/>
  <c r="BS40" i="1"/>
  <c r="BT40" i="1"/>
  <c r="BO40" i="1"/>
  <c r="BU40" i="1"/>
  <c r="BN40" i="1"/>
  <c r="CD40" i="1"/>
  <c r="CA40" i="1"/>
  <c r="CB40" i="1"/>
  <c r="BP40" i="1"/>
  <c r="BL37" i="1"/>
  <c r="CB37" i="1"/>
  <c r="BU37" i="1"/>
  <c r="BN37" i="1"/>
  <c r="BW37" i="1"/>
  <c r="BS37" i="1"/>
  <c r="BK37" i="1"/>
  <c r="BP37" i="1"/>
  <c r="CF37" i="1"/>
  <c r="BY37" i="1"/>
  <c r="BV37" i="1"/>
  <c r="CE37" i="1"/>
  <c r="CI37" i="1"/>
  <c r="BT37" i="1"/>
  <c r="BM37" i="1"/>
  <c r="CC37" i="1"/>
  <c r="CD37" i="1"/>
  <c r="BR37" i="1"/>
  <c r="BZ37" i="1"/>
  <c r="BX37" i="1"/>
  <c r="BQ37" i="1"/>
  <c r="CG37" i="1"/>
  <c r="BO37" i="1"/>
  <c r="CH37" i="1"/>
  <c r="CA37" i="1"/>
  <c r="BY33" i="1"/>
  <c r="BR33" i="1"/>
  <c r="CH33" i="1"/>
  <c r="BW33" i="1"/>
  <c r="BT33" i="1"/>
  <c r="BL33" i="1"/>
  <c r="BM33" i="1"/>
  <c r="CC33" i="1"/>
  <c r="BV33" i="1"/>
  <c r="BK33" i="1"/>
  <c r="CA33" i="1"/>
  <c r="BX33" i="1"/>
  <c r="BP33" i="1"/>
  <c r="BQ33" i="1"/>
  <c r="CG33" i="1"/>
  <c r="BZ33" i="1"/>
  <c r="BO33" i="1"/>
  <c r="CE33" i="1"/>
  <c r="CB33" i="1"/>
  <c r="BU33" i="1"/>
  <c r="BN33" i="1"/>
  <c r="CD33" i="1"/>
  <c r="BS33" i="1"/>
  <c r="CI33" i="1"/>
  <c r="CF33" i="1"/>
  <c r="BQ25" i="1"/>
  <c r="CG25" i="1"/>
  <c r="BZ25" i="1"/>
  <c r="BO25" i="1"/>
  <c r="CE25" i="1"/>
  <c r="BP25" i="1"/>
  <c r="BU25" i="1"/>
  <c r="BN25" i="1"/>
  <c r="CD25" i="1"/>
  <c r="BS25" i="1"/>
  <c r="CI25" i="1"/>
  <c r="CF25" i="1"/>
  <c r="BY25" i="1"/>
  <c r="BR25" i="1"/>
  <c r="CH25" i="1"/>
  <c r="BW25" i="1"/>
  <c r="BL25" i="1"/>
  <c r="BT25" i="1"/>
  <c r="BM25" i="1"/>
  <c r="CC25" i="1"/>
  <c r="BV25" i="1"/>
  <c r="BK25" i="1"/>
  <c r="CA25" i="1"/>
  <c r="CB25" i="1"/>
  <c r="BX25" i="1"/>
  <c r="BU29" i="1"/>
  <c r="BN29" i="1"/>
  <c r="CD29" i="1"/>
  <c r="BS29" i="1"/>
  <c r="CI29" i="1"/>
  <c r="CF29" i="1"/>
  <c r="BY29" i="1"/>
  <c r="BR29" i="1"/>
  <c r="CH29" i="1"/>
  <c r="BW29" i="1"/>
  <c r="BX29" i="1"/>
  <c r="BP29" i="1"/>
  <c r="BM29" i="1"/>
  <c r="CC29" i="1"/>
  <c r="BV29" i="1"/>
  <c r="BK29" i="1"/>
  <c r="CA29" i="1"/>
  <c r="BL29" i="1"/>
  <c r="BT29" i="1"/>
  <c r="BQ29" i="1"/>
  <c r="CG29" i="1"/>
  <c r="BZ29" i="1"/>
  <c r="BO29" i="1"/>
  <c r="CE29" i="1"/>
  <c r="CB29" i="1"/>
  <c r="BY86" i="1"/>
  <c r="BW104" i="1"/>
  <c r="CF119" i="1"/>
  <c r="BY128" i="1"/>
  <c r="BM140" i="1"/>
  <c r="CG152" i="1"/>
  <c r="BY160" i="1"/>
  <c r="CA174" i="1"/>
  <c r="BZ183" i="1"/>
  <c r="CF194" i="1"/>
  <c r="CI199" i="1"/>
  <c r="CD204" i="1"/>
  <c r="BO211" i="1"/>
  <c r="CA215" i="1"/>
  <c r="BN220" i="1"/>
  <c r="BZ224" i="1"/>
  <c r="BW235" i="1"/>
  <c r="CI239" i="1"/>
  <c r="BV244" i="1"/>
  <c r="BU253" i="1"/>
  <c r="BT256" i="1"/>
  <c r="CE257" i="1"/>
  <c r="CI261" i="1"/>
  <c r="BM267" i="1"/>
  <c r="BT268" i="1"/>
  <c r="BQ279" i="1"/>
  <c r="BX280" i="1"/>
  <c r="CE281" i="1"/>
  <c r="BR286" i="1"/>
  <c r="BY287" i="1"/>
  <c r="CF288" i="1"/>
  <c r="BN290" i="1"/>
  <c r="BU291" i="1"/>
  <c r="CB292" i="1"/>
  <c r="CI293" i="1"/>
  <c r="BO297" i="1"/>
  <c r="BU315" i="1"/>
  <c r="CB316" i="1"/>
  <c r="BP320" i="1"/>
  <c r="BU323" i="1"/>
  <c r="CB324" i="1"/>
  <c r="BP328" i="1"/>
  <c r="BT356" i="1"/>
  <c r="CA357" i="1"/>
  <c r="CH358" i="1"/>
  <c r="BS365" i="1"/>
  <c r="BZ366" i="1"/>
  <c r="CG367" i="1"/>
  <c r="BK373" i="1"/>
  <c r="BR374" i="1"/>
  <c r="BY375" i="1"/>
  <c r="CB380" i="1"/>
  <c r="CI381" i="1"/>
  <c r="BQ383" i="1"/>
  <c r="BT388" i="1"/>
  <c r="CA389" i="1"/>
  <c r="CH390" i="1"/>
  <c r="BS397" i="1"/>
  <c r="BZ398" i="1"/>
  <c r="CG399" i="1"/>
  <c r="BK405" i="1"/>
  <c r="BR406" i="1"/>
  <c r="BY407" i="1"/>
  <c r="CB412" i="1"/>
  <c r="CI413" i="1"/>
  <c r="BQ415" i="1"/>
  <c r="BT420" i="1"/>
  <c r="BO421" i="1"/>
  <c r="CE421" i="1"/>
  <c r="BX424" i="1"/>
  <c r="BS425" i="1"/>
  <c r="CI425" i="1"/>
  <c r="CC427" i="1"/>
  <c r="BW429" i="1"/>
  <c r="BR430" i="1"/>
  <c r="CH430" i="1"/>
  <c r="CA433" i="1"/>
  <c r="BV434" i="1"/>
  <c r="BO437" i="1"/>
  <c r="CE437" i="1"/>
  <c r="BZ442" i="1"/>
  <c r="BU443" i="1"/>
  <c r="BO445" i="1"/>
  <c r="CE445" i="1"/>
  <c r="BZ446" i="1"/>
  <c r="BT448" i="1"/>
  <c r="BO449" i="1"/>
  <c r="CE449" i="1"/>
  <c r="BX452" i="1"/>
  <c r="BV454" i="1"/>
  <c r="BQ455" i="1"/>
  <c r="CG455" i="1"/>
  <c r="CD458" i="1"/>
  <c r="BX460" i="1"/>
  <c r="BU463" i="1"/>
  <c r="BP464" i="1"/>
  <c r="CF464" i="1"/>
  <c r="CD466" i="1"/>
  <c r="BW469" i="1"/>
  <c r="BR470" i="1"/>
  <c r="CH470" i="1"/>
  <c r="CA473" i="1"/>
  <c r="BU475" i="1"/>
  <c r="BP476" i="1"/>
  <c r="CF476" i="1"/>
  <c r="CD478" i="1"/>
  <c r="BY479" i="1"/>
  <c r="BS481" i="1"/>
  <c r="CI481" i="1"/>
  <c r="CB484" i="1"/>
  <c r="BY487" i="1"/>
  <c r="BS489" i="1"/>
  <c r="CI489" i="1"/>
  <c r="CD490" i="1"/>
  <c r="BX492" i="1"/>
  <c r="BS493" i="1"/>
  <c r="CI493" i="1"/>
  <c r="CB496" i="1"/>
  <c r="BZ498" i="1"/>
  <c r="BU499" i="1"/>
  <c r="BR502" i="1"/>
  <c r="CH502" i="1"/>
  <c r="CC503" i="1"/>
  <c r="BZ506" i="1"/>
  <c r="BU507" i="1"/>
  <c r="CH27" i="1"/>
  <c r="BN27" i="1"/>
  <c r="BY27" i="1"/>
  <c r="CF27" i="1"/>
  <c r="BP27" i="1"/>
  <c r="BN31" i="1"/>
  <c r="CC31" i="1"/>
  <c r="BM31" i="1"/>
  <c r="BT31" i="1"/>
  <c r="CE31" i="1"/>
  <c r="BN35" i="1"/>
  <c r="CG35" i="1"/>
  <c r="BQ35" i="1"/>
  <c r="BX35" i="1"/>
  <c r="CI35" i="1"/>
  <c r="BX39" i="1"/>
  <c r="BP39" i="1"/>
  <c r="CB39" i="1"/>
  <c r="CE39" i="1"/>
  <c r="BO39" i="1"/>
  <c r="CH48" i="1"/>
  <c r="BZ48" i="1"/>
  <c r="BN48" i="1"/>
  <c r="CF48" i="1"/>
  <c r="BP48" i="1"/>
  <c r="BR56" i="1"/>
  <c r="BV56" i="1"/>
  <c r="BM56" i="1"/>
  <c r="BT56" i="1"/>
  <c r="CE56" i="1"/>
  <c r="BQ57" i="1"/>
  <c r="CC57" i="1"/>
  <c r="BT57" i="1"/>
  <c r="CA57" i="1"/>
  <c r="BQ64" i="1"/>
  <c r="BY64" i="1"/>
  <c r="CC64" i="1"/>
  <c r="CB64" i="1"/>
  <c r="CG65" i="1"/>
  <c r="CC65" i="1"/>
  <c r="BT65" i="1"/>
  <c r="CA65" i="1"/>
  <c r="BK65" i="1"/>
  <c r="BV65" i="1"/>
  <c r="BX69" i="1"/>
  <c r="BP69" i="1"/>
  <c r="CB69" i="1"/>
  <c r="CE69" i="1"/>
  <c r="BO69" i="1"/>
  <c r="BU73" i="1"/>
  <c r="CB73" i="1"/>
  <c r="BQ73" i="1"/>
  <c r="CI73" i="1"/>
  <c r="BS73" i="1"/>
  <c r="CD73" i="1"/>
  <c r="BP77" i="1"/>
  <c r="BU77" i="1"/>
  <c r="BL77" i="1"/>
  <c r="BW77" i="1"/>
  <c r="CH77" i="1"/>
  <c r="BW79" i="1"/>
  <c r="BS79" i="1"/>
  <c r="BR79" i="1"/>
  <c r="BU79" i="1"/>
  <c r="BQ86" i="1"/>
  <c r="CC86" i="1"/>
  <c r="CB86" i="1"/>
  <c r="BL86" i="1"/>
  <c r="BW86" i="1"/>
  <c r="BT92" i="1"/>
  <c r="CA92" i="1"/>
  <c r="BP92" i="1"/>
  <c r="CH92" i="1"/>
  <c r="BR92" i="1"/>
  <c r="BP96" i="1"/>
  <c r="CB96" i="1"/>
  <c r="CA96" i="1"/>
  <c r="CD96" i="1"/>
  <c r="BN96" i="1"/>
  <c r="BR101" i="1"/>
  <c r="CE101" i="1"/>
  <c r="BV101" i="1"/>
  <c r="BY101" i="1"/>
  <c r="CF101" i="1"/>
  <c r="BW105" i="1"/>
  <c r="BS105" i="1"/>
  <c r="BR105" i="1"/>
  <c r="BU105" i="1"/>
  <c r="CB105" i="1"/>
  <c r="CH109" i="1"/>
  <c r="BO109" i="1"/>
  <c r="CG109" i="1"/>
  <c r="BQ109" i="1"/>
  <c r="BX109" i="1"/>
  <c r="BN114" i="1"/>
  <c r="CH114" i="1"/>
  <c r="BY114" i="1"/>
  <c r="BX114" i="1"/>
  <c r="CI114" i="1"/>
  <c r="BP119" i="1"/>
  <c r="BU119" i="1"/>
  <c r="BW119" i="1"/>
  <c r="CH119" i="1"/>
  <c r="CH124" i="1"/>
  <c r="BY124" i="1"/>
  <c r="BX124" i="1"/>
  <c r="CI124" i="1"/>
  <c r="BR128" i="1"/>
  <c r="BV128" i="1"/>
  <c r="BM128" i="1"/>
  <c r="BT128" i="1"/>
  <c r="CE128" i="1"/>
  <c r="CC132" i="1"/>
  <c r="BR132" i="1"/>
  <c r="CF132" i="1"/>
  <c r="BP132" i="1"/>
  <c r="BV136" i="1"/>
  <c r="BM136" i="1"/>
  <c r="BT136" i="1"/>
  <c r="CE136" i="1"/>
  <c r="CH140" i="1"/>
  <c r="BY140" i="1"/>
  <c r="BX140" i="1"/>
  <c r="CI140" i="1"/>
  <c r="BR144" i="1"/>
  <c r="BV144" i="1"/>
  <c r="BM144" i="1"/>
  <c r="BT144" i="1"/>
  <c r="CE144" i="1"/>
  <c r="CC148" i="1"/>
  <c r="BR148" i="1"/>
  <c r="CF148" i="1"/>
  <c r="BP148" i="1"/>
  <c r="CA148" i="1"/>
  <c r="BK148" i="1"/>
  <c r="BV152" i="1"/>
  <c r="BM152" i="1"/>
  <c r="BT152" i="1"/>
  <c r="CE152" i="1"/>
  <c r="CH156" i="1"/>
  <c r="BY156" i="1"/>
  <c r="BX156" i="1"/>
  <c r="CI156" i="1"/>
  <c r="BS156" i="1"/>
  <c r="BR160" i="1"/>
  <c r="BV160" i="1"/>
  <c r="BM160" i="1"/>
  <c r="BT160" i="1"/>
  <c r="CE160" i="1"/>
  <c r="CC164" i="1"/>
  <c r="BR164" i="1"/>
  <c r="CF164" i="1"/>
  <c r="BP164" i="1"/>
  <c r="BV168" i="1"/>
  <c r="BM168" i="1"/>
  <c r="BT168" i="1"/>
  <c r="CE168" i="1"/>
  <c r="BO168" i="1"/>
  <c r="BZ175" i="1"/>
  <c r="CD175" i="1"/>
  <c r="CC175" i="1"/>
  <c r="BM175" i="1"/>
  <c r="BV179" i="1"/>
  <c r="BK179" i="1"/>
  <c r="CG179" i="1"/>
  <c r="BQ179" i="1"/>
  <c r="BX179" i="1"/>
  <c r="CG185" i="1"/>
  <c r="CC185" i="1"/>
  <c r="BT185" i="1"/>
  <c r="CA185" i="1"/>
  <c r="BU190" i="1"/>
  <c r="CI190" i="1"/>
  <c r="BM190" i="1"/>
  <c r="BQ190" i="1"/>
  <c r="CI195" i="1"/>
  <c r="BW195" i="1"/>
  <c r="BV195" i="1"/>
  <c r="BZ195" i="1"/>
  <c r="CC195" i="1"/>
  <c r="BS196" i="1"/>
  <c r="BR196" i="1"/>
  <c r="BV196" i="1"/>
  <c r="BO200" i="1"/>
  <c r="BS200" i="1"/>
  <c r="BW200" i="1"/>
  <c r="CB200" i="1"/>
  <c r="BK204" i="1"/>
  <c r="CG204" i="1"/>
  <c r="BQ204" i="1"/>
  <c r="BX204" i="1"/>
  <c r="CE208" i="1"/>
  <c r="BV208" i="1"/>
  <c r="BY208" i="1"/>
  <c r="CF208" i="1"/>
  <c r="BP208" i="1"/>
  <c r="BS212" i="1"/>
  <c r="BR212" i="1"/>
  <c r="BU212" i="1"/>
  <c r="CB212" i="1"/>
  <c r="BL212" i="1"/>
  <c r="CD216" i="1"/>
  <c r="CC216" i="1"/>
  <c r="BM216" i="1"/>
  <c r="CA220" i="1"/>
  <c r="BZ220" i="1"/>
  <c r="BY220" i="1"/>
  <c r="CF220" i="1"/>
  <c r="BP220" i="1"/>
  <c r="BO224" i="1"/>
  <c r="CG224" i="1"/>
  <c r="BQ224" i="1"/>
  <c r="CI228" i="1"/>
  <c r="CH228" i="1"/>
  <c r="CC228" i="1"/>
  <c r="BM228" i="1"/>
  <c r="BT228" i="1"/>
  <c r="BW232" i="1"/>
  <c r="BN232" i="1"/>
  <c r="BU232" i="1"/>
  <c r="BK236" i="1"/>
  <c r="CG236" i="1"/>
  <c r="BQ236" i="1"/>
  <c r="BX236" i="1"/>
  <c r="CE240" i="1"/>
  <c r="BV240" i="1"/>
  <c r="BY240" i="1"/>
  <c r="CF240" i="1"/>
  <c r="BS244" i="1"/>
  <c r="BR244" i="1"/>
  <c r="BU244" i="1"/>
  <c r="CC249" i="1"/>
  <c r="CB249" i="1"/>
  <c r="CH257" i="1"/>
  <c r="BR257" i="1"/>
  <c r="BY257" i="1"/>
  <c r="CF263" i="1"/>
  <c r="BP263" i="1"/>
  <c r="CA263" i="1"/>
  <c r="BK263" i="1"/>
  <c r="BW268" i="1"/>
  <c r="CH268" i="1"/>
  <c r="BR268" i="1"/>
  <c r="BZ273" i="1"/>
  <c r="CG273" i="1"/>
  <c r="BQ273" i="1"/>
  <c r="BX279" i="1"/>
  <c r="CI279" i="1"/>
  <c r="CE280" i="1"/>
  <c r="BO280" i="1"/>
  <c r="BZ280" i="1"/>
  <c r="CH281" i="1"/>
  <c r="BR281" i="1"/>
  <c r="CI284" i="1"/>
  <c r="BS284" i="1"/>
  <c r="CD284" i="1"/>
  <c r="BN284" i="1"/>
  <c r="BV285" i="1"/>
  <c r="CC285" i="1"/>
  <c r="BU286" i="1"/>
  <c r="CB286" i="1"/>
  <c r="BL286" i="1"/>
  <c r="BT287" i="1"/>
  <c r="CE287" i="1"/>
  <c r="BO287" i="1"/>
  <c r="CA288" i="1"/>
  <c r="BV288" i="1"/>
  <c r="CD289" i="1"/>
  <c r="BN289" i="1"/>
  <c r="CC290" i="1"/>
  <c r="BM290" i="1"/>
  <c r="BT290" i="1"/>
  <c r="CB291" i="1"/>
  <c r="BL291" i="1"/>
  <c r="CI292" i="1"/>
  <c r="BS292" i="1"/>
  <c r="CD292" i="1"/>
  <c r="BN292" i="1"/>
  <c r="BV293" i="1"/>
  <c r="CC293" i="1"/>
  <c r="BV297" i="1"/>
  <c r="CC297" i="1"/>
  <c r="BM297" i="1"/>
  <c r="BW316" i="1"/>
  <c r="CH316" i="1"/>
  <c r="BR316" i="1"/>
  <c r="CA320" i="1"/>
  <c r="CE324" i="1"/>
  <c r="BO324" i="1"/>
  <c r="BZ324" i="1"/>
  <c r="CI328" i="1"/>
  <c r="BS328" i="1"/>
  <c r="CD328" i="1"/>
  <c r="BN328" i="1"/>
  <c r="BW356" i="1"/>
  <c r="CH356" i="1"/>
  <c r="BZ357" i="1"/>
  <c r="CG357" i="1"/>
  <c r="BQ357" i="1"/>
  <c r="BY358" i="1"/>
  <c r="CF358" i="1"/>
  <c r="CA364" i="1"/>
  <c r="BV364" i="1"/>
  <c r="CD365" i="1"/>
  <c r="BN365" i="1"/>
  <c r="BU365" i="1"/>
  <c r="CC366" i="1"/>
  <c r="BM366" i="1"/>
  <c r="BT366" i="1"/>
  <c r="CE372" i="1"/>
  <c r="BO372" i="1"/>
  <c r="CH373" i="1"/>
  <c r="BR373" i="1"/>
  <c r="BY373" i="1"/>
  <c r="CG374" i="1"/>
  <c r="BQ374" i="1"/>
  <c r="CI380" i="1"/>
  <c r="BS380" i="1"/>
  <c r="CD380" i="1"/>
  <c r="BN380" i="1"/>
  <c r="BV381" i="1"/>
  <c r="CC381" i="1"/>
  <c r="BM381" i="1"/>
  <c r="BU382" i="1"/>
  <c r="CB382" i="1"/>
  <c r="BW388" i="1"/>
  <c r="CH388" i="1"/>
  <c r="BZ389" i="1"/>
  <c r="CG389" i="1"/>
  <c r="BQ389" i="1"/>
  <c r="BY390" i="1"/>
  <c r="CF390" i="1"/>
  <c r="CA396" i="1"/>
  <c r="BV396" i="1"/>
  <c r="CD397" i="1"/>
  <c r="BN397" i="1"/>
  <c r="BU397" i="1"/>
  <c r="CC398" i="1"/>
  <c r="BM398" i="1"/>
  <c r="BT398" i="1"/>
  <c r="CE404" i="1"/>
  <c r="BO404" i="1"/>
  <c r="CH405" i="1"/>
  <c r="BR405" i="1"/>
  <c r="BY405" i="1"/>
  <c r="CG406" i="1"/>
  <c r="BQ406" i="1"/>
  <c r="CI412" i="1"/>
  <c r="BS412" i="1"/>
  <c r="CD412" i="1"/>
  <c r="BN412" i="1"/>
  <c r="BV413" i="1"/>
  <c r="CC413" i="1"/>
  <c r="BM413" i="1"/>
  <c r="BU414" i="1"/>
  <c r="CB414" i="1"/>
  <c r="BX104" i="1"/>
  <c r="BO131" i="1"/>
  <c r="CA151" i="1"/>
  <c r="CD189" i="1"/>
  <c r="CB215" i="1"/>
  <c r="BT223" i="1"/>
  <c r="CE236" i="1"/>
  <c r="CF243" i="1"/>
  <c r="BO255" i="1"/>
  <c r="CF256" i="1"/>
  <c r="BN267" i="1"/>
  <c r="BX273" i="1"/>
  <c r="CB277" i="1"/>
  <c r="CC284" i="1"/>
  <c r="BW290" i="1"/>
  <c r="BQ296" i="1"/>
  <c r="CH319" i="1"/>
  <c r="BV323" i="1"/>
  <c r="BR327" i="1"/>
  <c r="CB357" i="1"/>
  <c r="BR359" i="1"/>
  <c r="CH367" i="1"/>
  <c r="CB373" i="1"/>
  <c r="BR375" i="1"/>
  <c r="CH383" i="1"/>
  <c r="CB389" i="1"/>
  <c r="BR391" i="1"/>
  <c r="CH399" i="1"/>
  <c r="CB405" i="1"/>
  <c r="BR407" i="1"/>
  <c r="CH415" i="1"/>
  <c r="BP421" i="1"/>
  <c r="BP425" i="1"/>
  <c r="BZ427" i="1"/>
  <c r="BP429" i="1"/>
  <c r="BW430" i="1"/>
  <c r="BS434" i="1"/>
  <c r="CI434" i="1"/>
  <c r="BX437" i="1"/>
  <c r="BO442" i="1"/>
  <c r="CE442" i="1"/>
  <c r="BV443" i="1"/>
  <c r="BL445" i="1"/>
  <c r="CB445" i="1"/>
  <c r="BS446" i="1"/>
  <c r="CI446" i="1"/>
  <c r="BY448" i="1"/>
  <c r="BP449" i="1"/>
  <c r="CF449" i="1"/>
  <c r="BY452" i="1"/>
  <c r="BO454" i="1"/>
  <c r="CE454" i="1"/>
  <c r="BV455" i="1"/>
  <c r="CA458" i="1"/>
  <c r="BQ460" i="1"/>
  <c r="CG460" i="1"/>
  <c r="BZ463" i="1"/>
  <c r="BQ464" i="1"/>
  <c r="CG464" i="1"/>
  <c r="BW466" i="1"/>
  <c r="BL469" i="1"/>
  <c r="CB469" i="1"/>
  <c r="BS470" i="1"/>
  <c r="BX473" i="1"/>
  <c r="BR475" i="1"/>
  <c r="CH475" i="1"/>
  <c r="BY476" i="1"/>
  <c r="BO478" i="1"/>
  <c r="CE478" i="1"/>
  <c r="BV479" i="1"/>
  <c r="BL481" i="1"/>
  <c r="CB481" i="1"/>
  <c r="BU484" i="1"/>
  <c r="BN487" i="1"/>
  <c r="CD487" i="1"/>
  <c r="BT489" i="1"/>
  <c r="BK490" i="1"/>
  <c r="BQ492" i="1"/>
  <c r="CG492" i="1"/>
  <c r="BX493" i="1"/>
  <c r="BQ496" i="1"/>
  <c r="CG496" i="1"/>
  <c r="BW498" i="1"/>
  <c r="BN499" i="1"/>
  <c r="BS502" i="1"/>
  <c r="CI502" i="1"/>
  <c r="BO506" i="1"/>
  <c r="CE506" i="1"/>
  <c r="CE26" i="1"/>
  <c r="BW26" i="1"/>
  <c r="CD26" i="1"/>
  <c r="BN26" i="1"/>
  <c r="BU26" i="1"/>
  <c r="CB26" i="1"/>
  <c r="BL26" i="1"/>
  <c r="CI30" i="1"/>
  <c r="CH30" i="1"/>
  <c r="BR30" i="1"/>
  <c r="BY30" i="1"/>
  <c r="CF30" i="1"/>
  <c r="CI34" i="1"/>
  <c r="BV34" i="1"/>
  <c r="CC34" i="1"/>
  <c r="BM34" i="1"/>
  <c r="BQ38" i="1"/>
  <c r="BY38" i="1"/>
  <c r="CC38" i="1"/>
  <c r="CB38" i="1"/>
  <c r="BL38" i="1"/>
  <c r="CI46" i="1"/>
  <c r="BR46" i="1"/>
  <c r="CD46" i="1"/>
  <c r="CC46" i="1"/>
  <c r="BX46" i="1"/>
  <c r="CI47" i="1"/>
  <c r="CE47" i="1"/>
  <c r="BV47" i="1"/>
  <c r="BY47" i="1"/>
  <c r="CF47" i="1"/>
  <c r="CB54" i="1"/>
  <c r="BS54" i="1"/>
  <c r="CE54" i="1"/>
  <c r="CD54" i="1"/>
  <c r="BN54" i="1"/>
  <c r="CH55" i="1"/>
  <c r="CE55" i="1"/>
  <c r="BV55" i="1"/>
  <c r="BY55" i="1"/>
  <c r="CF55" i="1"/>
  <c r="BP55" i="1"/>
  <c r="BS62" i="1"/>
  <c r="CE62" i="1"/>
  <c r="CD62" i="1"/>
  <c r="BN62" i="1"/>
  <c r="CA63" i="1"/>
  <c r="CH63" i="1"/>
  <c r="BO63" i="1"/>
  <c r="CG63" i="1"/>
  <c r="BQ63" i="1"/>
  <c r="BR68" i="1"/>
  <c r="CD68" i="1"/>
  <c r="BU68" i="1"/>
  <c r="BX68" i="1"/>
  <c r="CI68" i="1"/>
  <c r="CC72" i="1"/>
  <c r="BU72" i="1"/>
  <c r="CG72" i="1"/>
  <c r="CB72" i="1"/>
  <c r="CH76" i="1"/>
  <c r="CD76" i="1"/>
  <c r="BU76" i="1"/>
  <c r="BX76" i="1"/>
  <c r="CI76" i="1"/>
  <c r="CH85" i="1"/>
  <c r="CE85" i="1"/>
  <c r="BV85" i="1"/>
  <c r="BY85" i="1"/>
  <c r="CF85" i="1"/>
  <c r="CC90" i="1"/>
  <c r="BR90" i="1"/>
  <c r="CF90" i="1"/>
  <c r="BP90" i="1"/>
  <c r="CA90" i="1"/>
  <c r="BK90" i="1"/>
  <c r="BT91" i="1"/>
  <c r="CF91" i="1"/>
  <c r="CE91" i="1"/>
  <c r="BO91" i="1"/>
  <c r="CG95" i="1"/>
  <c r="CC95" i="1"/>
  <c r="BT95" i="1"/>
  <c r="CA95" i="1"/>
  <c r="CF100" i="1"/>
  <c r="BW100" i="1"/>
  <c r="BZ100" i="1"/>
  <c r="CG100" i="1"/>
  <c r="CE104" i="1"/>
  <c r="BV104" i="1"/>
  <c r="CC104" i="1"/>
  <c r="CA108" i="1"/>
  <c r="BP108" i="1"/>
  <c r="CH108" i="1"/>
  <c r="BR108" i="1"/>
  <c r="BY108" i="1"/>
  <c r="CF112" i="1"/>
  <c r="CB112" i="1"/>
  <c r="CA112" i="1"/>
  <c r="CD112" i="1"/>
  <c r="BN112" i="1"/>
  <c r="BU112" i="1"/>
  <c r="BO113" i="1"/>
  <c r="CA113" i="1"/>
  <c r="BZ113" i="1"/>
  <c r="BY113" i="1"/>
  <c r="CF113" i="1"/>
  <c r="BP113" i="1"/>
  <c r="CG118" i="1"/>
  <c r="BN118" i="1"/>
  <c r="CF118" i="1"/>
  <c r="BP118" i="1"/>
  <c r="BN123" i="1"/>
  <c r="CG123" i="1"/>
  <c r="BQ123" i="1"/>
  <c r="CA127" i="1"/>
  <c r="BW127" i="1"/>
  <c r="BN127" i="1"/>
  <c r="BU127" i="1"/>
  <c r="CA131" i="1"/>
  <c r="BZ131" i="1"/>
  <c r="BY131" i="1"/>
  <c r="CF131" i="1"/>
  <c r="CH135" i="1"/>
  <c r="BO135" i="1"/>
  <c r="CG135" i="1"/>
  <c r="BQ135" i="1"/>
  <c r="CE139" i="1"/>
  <c r="CI139" i="1"/>
  <c r="CH139" i="1"/>
  <c r="CC139" i="1"/>
  <c r="BM139" i="1"/>
  <c r="BO143" i="1"/>
  <c r="CG143" i="1"/>
  <c r="BQ143" i="1"/>
  <c r="BW147" i="1"/>
  <c r="BS147" i="1"/>
  <c r="BR147" i="1"/>
  <c r="BU147" i="1"/>
  <c r="BR151" i="1"/>
  <c r="CD151" i="1"/>
  <c r="CC151" i="1"/>
  <c r="BM151" i="1"/>
  <c r="BT151" i="1"/>
  <c r="BO155" i="1"/>
  <c r="CA155" i="1"/>
  <c r="BZ155" i="1"/>
  <c r="BY155" i="1"/>
  <c r="CF155" i="1"/>
  <c r="BZ159" i="1"/>
  <c r="CD159" i="1"/>
  <c r="CC159" i="1"/>
  <c r="BM159" i="1"/>
  <c r="BV163" i="1"/>
  <c r="CG163" i="1"/>
  <c r="BQ163" i="1"/>
  <c r="CI167" i="1"/>
  <c r="CE167" i="1"/>
  <c r="BV167" i="1"/>
  <c r="BY167" i="1"/>
  <c r="CF167" i="1"/>
  <c r="CD171" i="1"/>
  <c r="BS171" i="1"/>
  <c r="BR171" i="1"/>
  <c r="BU171" i="1"/>
  <c r="CF174" i="1"/>
  <c r="BW174" i="1"/>
  <c r="BZ174" i="1"/>
  <c r="CG174" i="1"/>
  <c r="CE178" i="1"/>
  <c r="BL178" i="1"/>
  <c r="BV178" i="1"/>
  <c r="CC178" i="1"/>
  <c r="BR183" i="1"/>
  <c r="CD183" i="1"/>
  <c r="CC183" i="1"/>
  <c r="BM183" i="1"/>
  <c r="BM189" i="1"/>
  <c r="CG189" i="1"/>
  <c r="CF189" i="1"/>
  <c r="CI189" i="1"/>
  <c r="BS189" i="1"/>
  <c r="CB194" i="1"/>
  <c r="CE194" i="1"/>
  <c r="CI194" i="1"/>
  <c r="BM194" i="1"/>
  <c r="BT199" i="1"/>
  <c r="CB199" i="1"/>
  <c r="CF199" i="1"/>
  <c r="BP203" i="1"/>
  <c r="CH203" i="1"/>
  <c r="BN203" i="1"/>
  <c r="BR203" i="1"/>
  <c r="BU203" i="1"/>
  <c r="BX207" i="1"/>
  <c r="BO207" i="1"/>
  <c r="BV207" i="1"/>
  <c r="CC207" i="1"/>
  <c r="CI211" i="1"/>
  <c r="CH211" i="1"/>
  <c r="BR211" i="1"/>
  <c r="BY211" i="1"/>
  <c r="CF215" i="1"/>
  <c r="BW215" i="1"/>
  <c r="BZ215" i="1"/>
  <c r="CG215" i="1"/>
  <c r="BL219" i="1"/>
  <c r="BK219" i="1"/>
  <c r="BV219" i="1"/>
  <c r="CC219" i="1"/>
  <c r="BM219" i="1"/>
  <c r="CE223" i="1"/>
  <c r="CD223" i="1"/>
  <c r="BN223" i="1"/>
  <c r="BT227" i="1"/>
  <c r="BS227" i="1"/>
  <c r="BZ227" i="1"/>
  <c r="CG227" i="1"/>
  <c r="BQ227" i="1"/>
  <c r="BP231" i="1"/>
  <c r="CH231" i="1"/>
  <c r="BR231" i="1"/>
  <c r="CB235" i="1"/>
  <c r="CA235" i="1"/>
  <c r="CD235" i="1"/>
  <c r="BN235" i="1"/>
  <c r="BU235" i="1"/>
  <c r="BX239" i="1"/>
  <c r="BO239" i="1"/>
  <c r="BV239" i="1"/>
  <c r="CC239" i="1"/>
  <c r="CI243" i="1"/>
  <c r="CH243" i="1"/>
  <c r="BR243" i="1"/>
  <c r="BY243" i="1"/>
  <c r="CE248" i="1"/>
  <c r="BV248" i="1"/>
  <c r="BY248" i="1"/>
  <c r="CF248" i="1"/>
  <c r="BR253" i="1"/>
  <c r="CF253" i="1"/>
  <c r="BP253" i="1"/>
  <c r="CA253" i="1"/>
  <c r="BK253" i="1"/>
  <c r="BQ255" i="1"/>
  <c r="BU255" i="1"/>
  <c r="CD255" i="1"/>
  <c r="BS256" i="1"/>
  <c r="BW256" i="1"/>
  <c r="CC256" i="1"/>
  <c r="BV261" i="1"/>
  <c r="CC261" i="1"/>
  <c r="BT267" i="1"/>
  <c r="CE267" i="1"/>
  <c r="CA272" i="1"/>
  <c r="CD277" i="1"/>
  <c r="BN277" i="1"/>
  <c r="CE296" i="1"/>
  <c r="BO296" i="1"/>
  <c r="CF315" i="1"/>
  <c r="BP315" i="1"/>
  <c r="CA315" i="1"/>
  <c r="BK315" i="1"/>
  <c r="BT319" i="1"/>
  <c r="CE319" i="1"/>
  <c r="BO319" i="1"/>
  <c r="BX323" i="1"/>
  <c r="CI323" i="1"/>
  <c r="CB327" i="1"/>
  <c r="BL327" i="1"/>
  <c r="BW327" i="1"/>
  <c r="CF359" i="1"/>
  <c r="BP359" i="1"/>
  <c r="BT367" i="1"/>
  <c r="CE367" i="1"/>
  <c r="BX375" i="1"/>
  <c r="CI375" i="1"/>
  <c r="CB383" i="1"/>
  <c r="BL383" i="1"/>
  <c r="CF391" i="1"/>
  <c r="BP391" i="1"/>
  <c r="BT399" i="1"/>
  <c r="CE399" i="1"/>
  <c r="BX407" i="1"/>
  <c r="CI407" i="1"/>
  <c r="CB415" i="1"/>
  <c r="BL415" i="1"/>
  <c r="BT108" i="1"/>
  <c r="CH298" i="1"/>
  <c r="CC327" i="1"/>
  <c r="CE373" i="1"/>
  <c r="CF434" i="1"/>
  <c r="CH448" i="1"/>
  <c r="BS455" i="1"/>
  <c r="CF466" i="1"/>
  <c r="CH469" i="1"/>
  <c r="BX471" i="1"/>
  <c r="BT475" i="1"/>
  <c r="CI476" i="1"/>
  <c r="CF479" i="1"/>
  <c r="BV481" i="1"/>
  <c r="BV489" i="1"/>
  <c r="BL491" i="1"/>
  <c r="CA492" i="1"/>
  <c r="BQ494" i="1"/>
  <c r="BK500" i="1"/>
  <c r="BY502" i="1"/>
  <c r="BO504" i="1"/>
  <c r="CC52" i="1"/>
  <c r="BU52" i="1"/>
  <c r="CG52" i="1"/>
  <c r="CB52" i="1"/>
  <c r="BL52" i="1"/>
  <c r="BW52" i="1"/>
  <c r="BU53" i="1"/>
  <c r="CB53" i="1"/>
  <c r="BQ53" i="1"/>
  <c r="CI53" i="1"/>
  <c r="BS53" i="1"/>
  <c r="CD53" i="1"/>
  <c r="BN53" i="1"/>
  <c r="BN60" i="1"/>
  <c r="BZ60" i="1"/>
  <c r="BQ60" i="1"/>
  <c r="BT60" i="1"/>
  <c r="CE60" i="1"/>
  <c r="BP66" i="1"/>
  <c r="CB66" i="1"/>
  <c r="CA66" i="1"/>
  <c r="CD66" i="1"/>
  <c r="BN66" i="1"/>
  <c r="BO70" i="1"/>
  <c r="BW70" i="1"/>
  <c r="CI70" i="1"/>
  <c r="CH70" i="1"/>
  <c r="BR70" i="1"/>
  <c r="BL74" i="1"/>
  <c r="BT74" i="1"/>
  <c r="BX74" i="1"/>
  <c r="BO74" i="1"/>
  <c r="BV74" i="1"/>
  <c r="CC74" i="1"/>
  <c r="BP78" i="1"/>
  <c r="BT78" i="1"/>
  <c r="BS78" i="1"/>
  <c r="BZ78" i="1"/>
  <c r="CG78" i="1"/>
  <c r="CE89" i="1"/>
  <c r="CI89" i="1"/>
  <c r="CG94" i="1"/>
  <c r="BQ99" i="1"/>
  <c r="CE103" i="1"/>
  <c r="BM111" i="1"/>
  <c r="CH116" i="1"/>
  <c r="CE120" i="1"/>
  <c r="BZ121" i="1"/>
  <c r="CC125" i="1"/>
  <c r="BK125" i="1"/>
  <c r="BM133" i="1"/>
  <c r="BU137" i="1"/>
  <c r="CA141" i="1"/>
  <c r="BX145" i="1"/>
  <c r="BQ153" i="1"/>
  <c r="CH153" i="1"/>
  <c r="BP161" i="1"/>
  <c r="BO161" i="1"/>
  <c r="BW443" i="1"/>
  <c r="BP443" i="1"/>
  <c r="BS443" i="1"/>
  <c r="BT443" i="1"/>
  <c r="BO443" i="1"/>
  <c r="BX443" i="1"/>
  <c r="CA443" i="1"/>
  <c r="CB443" i="1"/>
  <c r="BM443" i="1"/>
  <c r="CF443" i="1"/>
  <c r="CI443" i="1"/>
  <c r="BL443" i="1"/>
  <c r="BQ465" i="1"/>
  <c r="CA465" i="1"/>
  <c r="BP465" i="1"/>
  <c r="CF465" i="1"/>
  <c r="BM465" i="1"/>
  <c r="BV465" i="1"/>
  <c r="BO465" i="1"/>
  <c r="CE465" i="1"/>
  <c r="BT465" i="1"/>
  <c r="BR465" i="1"/>
  <c r="BU465" i="1"/>
  <c r="CD465" i="1"/>
  <c r="BS465" i="1"/>
  <c r="CI465" i="1"/>
  <c r="BX465" i="1"/>
  <c r="BZ465" i="1"/>
  <c r="CC465" i="1"/>
  <c r="BW465" i="1"/>
  <c r="BL465" i="1"/>
  <c r="CB465" i="1"/>
  <c r="CH465" i="1"/>
  <c r="BN465" i="1"/>
  <c r="CG465" i="1"/>
  <c r="BS467" i="1"/>
  <c r="BY467" i="1"/>
  <c r="BR467" i="1"/>
  <c r="CH467" i="1"/>
  <c r="BM467" i="1"/>
  <c r="CC467" i="1"/>
  <c r="BV467" i="1"/>
  <c r="BP467" i="1"/>
  <c r="CI467" i="1"/>
  <c r="BQ467" i="1"/>
  <c r="CG467" i="1"/>
  <c r="BZ467" i="1"/>
  <c r="BK467" i="1"/>
  <c r="CA467" i="1"/>
  <c r="BU467" i="1"/>
  <c r="BN467" i="1"/>
  <c r="CD467" i="1"/>
  <c r="BO467" i="1"/>
  <c r="CF467" i="1"/>
  <c r="BX467" i="1"/>
  <c r="BW467" i="1"/>
  <c r="BL467" i="1"/>
  <c r="CE467" i="1"/>
  <c r="BY483" i="1"/>
  <c r="BR483" i="1"/>
  <c r="CH483" i="1"/>
  <c r="BO483" i="1"/>
  <c r="BX483" i="1"/>
  <c r="BM483" i="1"/>
  <c r="CC483" i="1"/>
  <c r="BV483" i="1"/>
  <c r="BL483" i="1"/>
  <c r="BW483" i="1"/>
  <c r="CF483" i="1"/>
  <c r="BQ483" i="1"/>
  <c r="CG483" i="1"/>
  <c r="BZ483" i="1"/>
  <c r="BT483" i="1"/>
  <c r="CE483" i="1"/>
  <c r="CA483" i="1"/>
  <c r="BU483" i="1"/>
  <c r="BN483" i="1"/>
  <c r="CD483" i="1"/>
  <c r="CB483" i="1"/>
  <c r="BP483" i="1"/>
  <c r="BS483" i="1"/>
  <c r="CI483" i="1"/>
  <c r="CD496" i="1"/>
  <c r="BV496" i="1"/>
  <c r="BO496" i="1"/>
  <c r="BN496" i="1"/>
  <c r="CI496" i="1"/>
  <c r="CA496" i="1"/>
  <c r="BS496" i="1"/>
  <c r="BR496" i="1"/>
  <c r="BL496" i="1"/>
  <c r="CH496" i="1"/>
  <c r="BZ496" i="1"/>
  <c r="BL498" i="1"/>
  <c r="BT498" i="1"/>
  <c r="CB498" i="1"/>
  <c r="BM498" i="1"/>
  <c r="BY498" i="1"/>
  <c r="BQ498" i="1"/>
  <c r="CG498" i="1"/>
  <c r="CF498" i="1"/>
  <c r="BN498" i="1"/>
  <c r="BX498" i="1"/>
  <c r="BP498" i="1"/>
  <c r="BL507" i="1"/>
  <c r="CI507" i="1"/>
  <c r="CA507" i="1"/>
  <c r="BS507" i="1"/>
  <c r="CF507" i="1"/>
  <c r="BX507" i="1"/>
  <c r="BM507" i="1"/>
  <c r="BP507" i="1"/>
  <c r="BO507" i="1"/>
  <c r="CE507" i="1"/>
  <c r="BW507" i="1"/>
  <c r="BN428" i="1"/>
  <c r="CD428" i="1"/>
  <c r="BT428" i="1"/>
  <c r="BM428" i="1"/>
  <c r="CC428" i="1"/>
  <c r="CE428" i="1"/>
  <c r="BK428" i="1"/>
  <c r="BX428" i="1"/>
  <c r="BQ428" i="1"/>
  <c r="CG428" i="1"/>
  <c r="BR428" i="1"/>
  <c r="BS428" i="1"/>
  <c r="BL428" i="1"/>
  <c r="CB428" i="1"/>
  <c r="BU428" i="1"/>
  <c r="BO428" i="1"/>
  <c r="BZ428" i="1"/>
  <c r="CA428" i="1"/>
  <c r="BP428" i="1"/>
  <c r="CF428" i="1"/>
  <c r="BY428" i="1"/>
  <c r="BW428" i="1"/>
  <c r="CH428" i="1"/>
  <c r="CI428" i="1"/>
  <c r="BO441" i="1"/>
  <c r="CE441" i="1"/>
  <c r="BT441" i="1"/>
  <c r="BR441" i="1"/>
  <c r="BU441" i="1"/>
  <c r="CD441" i="1"/>
  <c r="BS441" i="1"/>
  <c r="CI441" i="1"/>
  <c r="BX441" i="1"/>
  <c r="BZ441" i="1"/>
  <c r="CC441" i="1"/>
  <c r="BQ441" i="1"/>
  <c r="BW441" i="1"/>
  <c r="BL441" i="1"/>
  <c r="CB441" i="1"/>
  <c r="CH441" i="1"/>
  <c r="BN441" i="1"/>
  <c r="BY441" i="1"/>
  <c r="BK441" i="1"/>
  <c r="CA441" i="1"/>
  <c r="BP441" i="1"/>
  <c r="CF441" i="1"/>
  <c r="BM441" i="1"/>
  <c r="BV441" i="1"/>
  <c r="CG441" i="1"/>
  <c r="BY451" i="1"/>
  <c r="BR451" i="1"/>
  <c r="CH451" i="1"/>
  <c r="BK451" i="1"/>
  <c r="BL451" i="1"/>
  <c r="CE451" i="1"/>
  <c r="BM451" i="1"/>
  <c r="CC451" i="1"/>
  <c r="BV451" i="1"/>
  <c r="BP451" i="1"/>
  <c r="BS451" i="1"/>
  <c r="BT451" i="1"/>
  <c r="BO451" i="1"/>
  <c r="BQ451" i="1"/>
  <c r="CG451" i="1"/>
  <c r="BZ451" i="1"/>
  <c r="BX451" i="1"/>
  <c r="CA451" i="1"/>
  <c r="CB451" i="1"/>
  <c r="BU451" i="1"/>
  <c r="BN451" i="1"/>
  <c r="CD451" i="1"/>
  <c r="CF451" i="1"/>
  <c r="CI451" i="1"/>
  <c r="BW451" i="1"/>
  <c r="BK457" i="1"/>
  <c r="CA457" i="1"/>
  <c r="BP457" i="1"/>
  <c r="CF457" i="1"/>
  <c r="BM457" i="1"/>
  <c r="BV457" i="1"/>
  <c r="BY457" i="1"/>
  <c r="BO457" i="1"/>
  <c r="CE457" i="1"/>
  <c r="BT457" i="1"/>
  <c r="BR457" i="1"/>
  <c r="BU457" i="1"/>
  <c r="CD457" i="1"/>
  <c r="BS457" i="1"/>
  <c r="CI457" i="1"/>
  <c r="BX457" i="1"/>
  <c r="BZ457" i="1"/>
  <c r="CC457" i="1"/>
  <c r="CG457" i="1"/>
  <c r="BW457" i="1"/>
  <c r="BL457" i="1"/>
  <c r="CB457" i="1"/>
  <c r="CH457" i="1"/>
  <c r="BN457" i="1"/>
  <c r="BQ457" i="1"/>
  <c r="BP470" i="1"/>
  <c r="CF470" i="1"/>
  <c r="BX470" i="1"/>
  <c r="BQ470" i="1"/>
  <c r="CC470" i="1"/>
  <c r="BN470" i="1"/>
  <c r="BU470" i="1"/>
  <c r="BM470" i="1"/>
  <c r="CB470" i="1"/>
  <c r="BT470" i="1"/>
  <c r="BL470" i="1"/>
  <c r="CE487" i="1"/>
  <c r="BP487" i="1"/>
  <c r="BW487" i="1"/>
  <c r="BO487" i="1"/>
  <c r="BT487" i="1"/>
  <c r="BL487" i="1"/>
  <c r="CB487" i="1"/>
  <c r="BM487" i="1"/>
  <c r="BS487" i="1"/>
  <c r="BK487" i="1"/>
  <c r="CI487" i="1"/>
  <c r="CA487" i="1"/>
  <c r="BO503" i="1"/>
  <c r="BP503" i="1"/>
  <c r="CE503" i="1"/>
  <c r="BW503" i="1"/>
  <c r="BT503" i="1"/>
  <c r="BL503" i="1"/>
  <c r="CB503" i="1"/>
  <c r="BM503" i="1"/>
  <c r="CA503" i="1"/>
  <c r="BS503" i="1"/>
  <c r="BK503" i="1"/>
  <c r="CI503" i="1"/>
  <c r="BN462" i="1"/>
  <c r="CD462" i="1"/>
  <c r="BS462" i="1"/>
  <c r="CI462" i="1"/>
  <c r="BP462" i="1"/>
  <c r="BY462" i="1"/>
  <c r="CB462" i="1"/>
  <c r="BR462" i="1"/>
  <c r="CH462" i="1"/>
  <c r="BW462" i="1"/>
  <c r="BM462" i="1"/>
  <c r="BX462" i="1"/>
  <c r="CG462" i="1"/>
  <c r="BV462" i="1"/>
  <c r="BK462" i="1"/>
  <c r="CA462" i="1"/>
  <c r="BU462" i="1"/>
  <c r="CF462" i="1"/>
  <c r="BL462" i="1"/>
  <c r="BZ462" i="1"/>
  <c r="BO462" i="1"/>
  <c r="CE462" i="1"/>
  <c r="CC462" i="1"/>
  <c r="BQ462" i="1"/>
  <c r="BT462" i="1"/>
  <c r="BQ485" i="1"/>
  <c r="BO485" i="1"/>
  <c r="CE485" i="1"/>
  <c r="BT485" i="1"/>
  <c r="BY485" i="1"/>
  <c r="BS485" i="1"/>
  <c r="CI485" i="1"/>
  <c r="BX485" i="1"/>
  <c r="BW485" i="1"/>
  <c r="BL485" i="1"/>
  <c r="CB485" i="1"/>
  <c r="CG485" i="1"/>
  <c r="BK485" i="1"/>
  <c r="CA485" i="1"/>
  <c r="BP485" i="1"/>
  <c r="CF485" i="1"/>
  <c r="BN485" i="1"/>
  <c r="CD485" i="1"/>
  <c r="BV485" i="1"/>
  <c r="BM485" i="1"/>
  <c r="CC485" i="1"/>
  <c r="BU485" i="1"/>
  <c r="BT490" i="1"/>
  <c r="BL490" i="1"/>
  <c r="BM490" i="1"/>
  <c r="CB490" i="1"/>
  <c r="CG490" i="1"/>
  <c r="BY490" i="1"/>
  <c r="BN490" i="1"/>
  <c r="BQ490" i="1"/>
  <c r="CF490" i="1"/>
  <c r="BX490" i="1"/>
  <c r="BP490" i="1"/>
  <c r="BL499" i="1"/>
  <c r="BS499" i="1"/>
  <c r="BK499" i="1"/>
  <c r="CI499" i="1"/>
  <c r="CA499" i="1"/>
  <c r="CF499" i="1"/>
  <c r="BM499" i="1"/>
  <c r="BX499" i="1"/>
  <c r="BP499" i="1"/>
  <c r="CE499" i="1"/>
  <c r="BW499" i="1"/>
  <c r="BO499" i="1"/>
  <c r="BL506" i="1"/>
  <c r="BT506" i="1"/>
  <c r="CB506" i="1"/>
  <c r="BM506" i="1"/>
  <c r="CG506" i="1"/>
  <c r="BY506" i="1"/>
  <c r="BQ506" i="1"/>
  <c r="CF506" i="1"/>
  <c r="BX506" i="1"/>
  <c r="BN506" i="1"/>
  <c r="BP506" i="1"/>
  <c r="CA423" i="1"/>
  <c r="CI423" i="1"/>
  <c r="BM423" i="1"/>
  <c r="CC423" i="1"/>
  <c r="BV423" i="1"/>
  <c r="BL423" i="1"/>
  <c r="BW423" i="1"/>
  <c r="CF423" i="1"/>
  <c r="BQ423" i="1"/>
  <c r="CG423" i="1"/>
  <c r="BZ423" i="1"/>
  <c r="BT423" i="1"/>
  <c r="CE423" i="1"/>
  <c r="BU423" i="1"/>
  <c r="BN423" i="1"/>
  <c r="CD423" i="1"/>
  <c r="CB423" i="1"/>
  <c r="BP423" i="1"/>
  <c r="BY423" i="1"/>
  <c r="BR423" i="1"/>
  <c r="CH423" i="1"/>
  <c r="BO423" i="1"/>
  <c r="BX423" i="1"/>
  <c r="CB280" i="1"/>
  <c r="BM280" i="1"/>
  <c r="BU280" i="1"/>
  <c r="CC280" i="1"/>
  <c r="BL280" i="1"/>
  <c r="BT280" i="1"/>
  <c r="BQ280" i="1"/>
  <c r="CE255" i="1"/>
  <c r="BS255" i="1"/>
  <c r="BT255" i="1"/>
  <c r="CC255" i="1"/>
  <c r="BQ433" i="1"/>
  <c r="CH433" i="1"/>
  <c r="BN433" i="1"/>
  <c r="BM433" i="1"/>
  <c r="BV433" i="1"/>
  <c r="BR433" i="1"/>
  <c r="BU433" i="1"/>
  <c r="CD433" i="1"/>
  <c r="BZ433" i="1"/>
  <c r="CC433" i="1"/>
  <c r="BK433" i="1"/>
  <c r="CG433" i="1"/>
  <c r="BY331" i="1"/>
  <c r="BK331" i="1"/>
  <c r="CA331" i="1"/>
  <c r="BP331" i="1"/>
  <c r="CF331" i="1"/>
  <c r="BN331" i="1"/>
  <c r="BQ331" i="1"/>
  <c r="BO331" i="1"/>
  <c r="CE331" i="1"/>
  <c r="BT331" i="1"/>
  <c r="BM331" i="1"/>
  <c r="BV331" i="1"/>
  <c r="CG331" i="1"/>
  <c r="BS331" i="1"/>
  <c r="CI331" i="1"/>
  <c r="BX331" i="1"/>
  <c r="BU331" i="1"/>
  <c r="CD331" i="1"/>
  <c r="BR331" i="1"/>
  <c r="BW331" i="1"/>
  <c r="BL331" i="1"/>
  <c r="CB331" i="1"/>
  <c r="CC331" i="1"/>
  <c r="BZ331" i="1"/>
  <c r="CH331" i="1"/>
  <c r="BS424" i="1"/>
  <c r="BV424" i="1"/>
  <c r="CE424" i="1"/>
  <c r="CA424" i="1"/>
  <c r="CD424" i="1"/>
  <c r="BZ424" i="1"/>
  <c r="CI424" i="1"/>
  <c r="BO424" i="1"/>
  <c r="CH424" i="1"/>
  <c r="BK424" i="1"/>
  <c r="BN424" i="1"/>
  <c r="BW424" i="1"/>
  <c r="BR424" i="1"/>
  <c r="BL424" i="1"/>
  <c r="BU353" i="1"/>
  <c r="BN353" i="1"/>
  <c r="CD353" i="1"/>
  <c r="CE353" i="1"/>
  <c r="BT353" i="1"/>
  <c r="CB353" i="1"/>
  <c r="BY353" i="1"/>
  <c r="BR353" i="1"/>
  <c r="CH353" i="1"/>
  <c r="BP353" i="1"/>
  <c r="BK353" i="1"/>
  <c r="BM353" i="1"/>
  <c r="CC353" i="1"/>
  <c r="BV353" i="1"/>
  <c r="BO353" i="1"/>
  <c r="BX353" i="1"/>
  <c r="CA353" i="1"/>
  <c r="BQ353" i="1"/>
  <c r="CG353" i="1"/>
  <c r="BZ353" i="1"/>
  <c r="BW353" i="1"/>
  <c r="CF353" i="1"/>
  <c r="BL353" i="1"/>
  <c r="CI353" i="1"/>
  <c r="BW333" i="1"/>
  <c r="BM333" i="1"/>
  <c r="CC333" i="1"/>
  <c r="BV333" i="1"/>
  <c r="BK333" i="1"/>
  <c r="BL333" i="1"/>
  <c r="BO333" i="1"/>
  <c r="BQ333" i="1"/>
  <c r="CG333" i="1"/>
  <c r="BZ333" i="1"/>
  <c r="BS333" i="1"/>
  <c r="BT333" i="1"/>
  <c r="CE333" i="1"/>
  <c r="BU333" i="1"/>
  <c r="BN333" i="1"/>
  <c r="CD333" i="1"/>
  <c r="CA333" i="1"/>
  <c r="CB333" i="1"/>
  <c r="BP333" i="1"/>
  <c r="BY333" i="1"/>
  <c r="BR333" i="1"/>
  <c r="CH333" i="1"/>
  <c r="CI333" i="1"/>
  <c r="BX333" i="1"/>
  <c r="CF333" i="1"/>
  <c r="BQ305" i="1"/>
  <c r="CG305" i="1"/>
  <c r="BZ305" i="1"/>
  <c r="BW305" i="1"/>
  <c r="CF305" i="1"/>
  <c r="BL305" i="1"/>
  <c r="BU305" i="1"/>
  <c r="BN305" i="1"/>
  <c r="CD305" i="1"/>
  <c r="CE305" i="1"/>
  <c r="BT305" i="1"/>
  <c r="CB305" i="1"/>
  <c r="BY305" i="1"/>
  <c r="BR305" i="1"/>
  <c r="CH305" i="1"/>
  <c r="BP305" i="1"/>
  <c r="BK305" i="1"/>
  <c r="BS305" i="1"/>
  <c r="BM305" i="1"/>
  <c r="CC305" i="1"/>
  <c r="BV305" i="1"/>
  <c r="BO305" i="1"/>
  <c r="BX305" i="1"/>
  <c r="CA305" i="1"/>
  <c r="CI305" i="1"/>
  <c r="CA257" i="1"/>
  <c r="BL257" i="1"/>
  <c r="BT257" i="1"/>
  <c r="CB257" i="1"/>
  <c r="BK257" i="1"/>
  <c r="BS257" i="1"/>
  <c r="BP257" i="1"/>
  <c r="BZ425" i="1"/>
  <c r="CC425" i="1"/>
  <c r="CG425" i="1"/>
  <c r="CH425" i="1"/>
  <c r="BN425" i="1"/>
  <c r="BQ425" i="1"/>
  <c r="BM425" i="1"/>
  <c r="BV425" i="1"/>
  <c r="BY425" i="1"/>
  <c r="BR425" i="1"/>
  <c r="BU425" i="1"/>
  <c r="CD425" i="1"/>
  <c r="BK425" i="1"/>
  <c r="CB416" i="1"/>
  <c r="BL416" i="1"/>
  <c r="BZ416" i="1"/>
  <c r="BO416" i="1"/>
  <c r="CE416" i="1"/>
  <c r="CF416" i="1"/>
  <c r="BM416" i="1"/>
  <c r="BN416" i="1"/>
  <c r="CD416" i="1"/>
  <c r="BS416" i="1"/>
  <c r="CI416" i="1"/>
  <c r="BQ416" i="1"/>
  <c r="CC416" i="1"/>
  <c r="BR416" i="1"/>
  <c r="CH416" i="1"/>
  <c r="BW416" i="1"/>
  <c r="BP416" i="1"/>
  <c r="BY416" i="1"/>
  <c r="BT416" i="1"/>
  <c r="BV416" i="1"/>
  <c r="BK416" i="1"/>
  <c r="CA416" i="1"/>
  <c r="BX416" i="1"/>
  <c r="CG416" i="1"/>
  <c r="BU416" i="1"/>
  <c r="BM412" i="1"/>
  <c r="BX412" i="1"/>
  <c r="BY412" i="1"/>
  <c r="BQ412" i="1"/>
  <c r="CG412" i="1"/>
  <c r="CF412" i="1"/>
  <c r="BT408" i="1"/>
  <c r="BN408" i="1"/>
  <c r="CD408" i="1"/>
  <c r="BS408" i="1"/>
  <c r="CI408" i="1"/>
  <c r="BQ408" i="1"/>
  <c r="BL408" i="1"/>
  <c r="BR408" i="1"/>
  <c r="CH408" i="1"/>
  <c r="BW408" i="1"/>
  <c r="BP408" i="1"/>
  <c r="BY408" i="1"/>
  <c r="CB408" i="1"/>
  <c r="BV408" i="1"/>
  <c r="BK408" i="1"/>
  <c r="CA408" i="1"/>
  <c r="BX408" i="1"/>
  <c r="CG408" i="1"/>
  <c r="BM408" i="1"/>
  <c r="BZ408" i="1"/>
  <c r="BO408" i="1"/>
  <c r="CE408" i="1"/>
  <c r="CF408" i="1"/>
  <c r="BU408" i="1"/>
  <c r="CC408" i="1"/>
  <c r="BM404" i="1"/>
  <c r="BQ404" i="1"/>
  <c r="BY404" i="1"/>
  <c r="CG404" i="1"/>
  <c r="BP404" i="1"/>
  <c r="CF404" i="1"/>
  <c r="CB400" i="1"/>
  <c r="BZ400" i="1"/>
  <c r="BO400" i="1"/>
  <c r="CE400" i="1"/>
  <c r="CF400" i="1"/>
  <c r="BM400" i="1"/>
  <c r="BN400" i="1"/>
  <c r="CD400" i="1"/>
  <c r="BS400" i="1"/>
  <c r="CI400" i="1"/>
  <c r="BQ400" i="1"/>
  <c r="CC400" i="1"/>
  <c r="BR400" i="1"/>
  <c r="CH400" i="1"/>
  <c r="BW400" i="1"/>
  <c r="BP400" i="1"/>
  <c r="BY400" i="1"/>
  <c r="BT400" i="1"/>
  <c r="BV400" i="1"/>
  <c r="BK400" i="1"/>
  <c r="CA400" i="1"/>
  <c r="BX400" i="1"/>
  <c r="CG400" i="1"/>
  <c r="BU400" i="1"/>
  <c r="BL400" i="1"/>
  <c r="BP396" i="1"/>
  <c r="BM396" i="1"/>
  <c r="BX396" i="1"/>
  <c r="BY396" i="1"/>
  <c r="BQ396" i="1"/>
  <c r="CG396" i="1"/>
  <c r="BN392" i="1"/>
  <c r="CD392" i="1"/>
  <c r="BS392" i="1"/>
  <c r="CI392" i="1"/>
  <c r="BQ392" i="1"/>
  <c r="BL392" i="1"/>
  <c r="BR392" i="1"/>
  <c r="CH392" i="1"/>
  <c r="BW392" i="1"/>
  <c r="BP392" i="1"/>
  <c r="BY392" i="1"/>
  <c r="CB392" i="1"/>
  <c r="BV392" i="1"/>
  <c r="BK392" i="1"/>
  <c r="CA392" i="1"/>
  <c r="BX392" i="1"/>
  <c r="CG392" i="1"/>
  <c r="BM392" i="1"/>
  <c r="BZ392" i="1"/>
  <c r="BO392" i="1"/>
  <c r="CE392" i="1"/>
  <c r="CF392" i="1"/>
  <c r="BU392" i="1"/>
  <c r="CC392" i="1"/>
  <c r="BT392" i="1"/>
  <c r="BX388" i="1"/>
  <c r="BM388" i="1"/>
  <c r="BQ388" i="1"/>
  <c r="BY388" i="1"/>
  <c r="CG388" i="1"/>
  <c r="BP388" i="1"/>
  <c r="CF388" i="1"/>
  <c r="BZ384" i="1"/>
  <c r="BO384" i="1"/>
  <c r="CE384" i="1"/>
  <c r="CF384" i="1"/>
  <c r="BM384" i="1"/>
  <c r="BN384" i="1"/>
  <c r="CD384" i="1"/>
  <c r="BS384" i="1"/>
  <c r="CI384" i="1"/>
  <c r="BQ384" i="1"/>
  <c r="CC384" i="1"/>
  <c r="BR384" i="1"/>
  <c r="CH384" i="1"/>
  <c r="BW384" i="1"/>
  <c r="BP384" i="1"/>
  <c r="BY384" i="1"/>
  <c r="BT384" i="1"/>
  <c r="BV384" i="1"/>
  <c r="BK384" i="1"/>
  <c r="CA384" i="1"/>
  <c r="BX384" i="1"/>
  <c r="CG384" i="1"/>
  <c r="BU384" i="1"/>
  <c r="CB384" i="1"/>
  <c r="CF380" i="1"/>
  <c r="BM380" i="1"/>
  <c r="BP380" i="1"/>
  <c r="BX380" i="1"/>
  <c r="BY380" i="1"/>
  <c r="BQ380" i="1"/>
  <c r="CG380" i="1"/>
  <c r="BN376" i="1"/>
  <c r="CD376" i="1"/>
  <c r="BS376" i="1"/>
  <c r="CI376" i="1"/>
  <c r="BQ376" i="1"/>
  <c r="BL376" i="1"/>
  <c r="BR376" i="1"/>
  <c r="CH376" i="1"/>
  <c r="BW376" i="1"/>
  <c r="BP376" i="1"/>
  <c r="BY376" i="1"/>
  <c r="CB376" i="1"/>
  <c r="BV376" i="1"/>
  <c r="BK376" i="1"/>
  <c r="CA376" i="1"/>
  <c r="BX376" i="1"/>
  <c r="CG376" i="1"/>
  <c r="BM376" i="1"/>
  <c r="BZ376" i="1"/>
  <c r="BO376" i="1"/>
  <c r="CE376" i="1"/>
  <c r="CF376" i="1"/>
  <c r="BU376" i="1"/>
  <c r="CC376" i="1"/>
  <c r="BM372" i="1"/>
  <c r="BX372" i="1"/>
  <c r="BQ372" i="1"/>
  <c r="BY372" i="1"/>
  <c r="CG372" i="1"/>
  <c r="BP372" i="1"/>
  <c r="CF372" i="1"/>
  <c r="BL368" i="1"/>
  <c r="BZ368" i="1"/>
  <c r="BO368" i="1"/>
  <c r="CE368" i="1"/>
  <c r="CF368" i="1"/>
  <c r="BM368" i="1"/>
  <c r="BN368" i="1"/>
  <c r="CD368" i="1"/>
  <c r="BS368" i="1"/>
  <c r="CI368" i="1"/>
  <c r="BQ368" i="1"/>
  <c r="CC368" i="1"/>
  <c r="BR368" i="1"/>
  <c r="CH368" i="1"/>
  <c r="BW368" i="1"/>
  <c r="BP368" i="1"/>
  <c r="BY368" i="1"/>
  <c r="BT368" i="1"/>
  <c r="BV368" i="1"/>
  <c r="BK368" i="1"/>
  <c r="CA368" i="1"/>
  <c r="BX368" i="1"/>
  <c r="CG368" i="1"/>
  <c r="BU368" i="1"/>
  <c r="BM364" i="1"/>
  <c r="CF364" i="1"/>
  <c r="BX364" i="1"/>
  <c r="BY364" i="1"/>
  <c r="BQ364" i="1"/>
  <c r="CG364" i="1"/>
  <c r="BP364" i="1"/>
  <c r="BT360" i="1"/>
  <c r="BN360" i="1"/>
  <c r="CD360" i="1"/>
  <c r="BS360" i="1"/>
  <c r="CI360" i="1"/>
  <c r="BQ360" i="1"/>
  <c r="BL360" i="1"/>
  <c r="BR360" i="1"/>
  <c r="CH360" i="1"/>
  <c r="BW360" i="1"/>
  <c r="BP360" i="1"/>
  <c r="BY360" i="1"/>
  <c r="CB360" i="1"/>
  <c r="BV360" i="1"/>
  <c r="BK360" i="1"/>
  <c r="CA360" i="1"/>
  <c r="BX360" i="1"/>
  <c r="CG360" i="1"/>
  <c r="BM360" i="1"/>
  <c r="BZ360" i="1"/>
  <c r="BO360" i="1"/>
  <c r="CE360" i="1"/>
  <c r="CF360" i="1"/>
  <c r="BU360" i="1"/>
  <c r="CC360" i="1"/>
  <c r="BM356" i="1"/>
  <c r="BQ356" i="1"/>
  <c r="BY356" i="1"/>
  <c r="CG356" i="1"/>
  <c r="BP356" i="1"/>
  <c r="CF356" i="1"/>
  <c r="BX356" i="1"/>
  <c r="BK345" i="1"/>
  <c r="BQ345" i="1"/>
  <c r="CG345" i="1"/>
  <c r="BZ345" i="1"/>
  <c r="BW345" i="1"/>
  <c r="CF345" i="1"/>
  <c r="CI345" i="1"/>
  <c r="BU345" i="1"/>
  <c r="BN345" i="1"/>
  <c r="CD345" i="1"/>
  <c r="CE345" i="1"/>
  <c r="BL345" i="1"/>
  <c r="BT345" i="1"/>
  <c r="BY345" i="1"/>
  <c r="BR345" i="1"/>
  <c r="CH345" i="1"/>
  <c r="BP345" i="1"/>
  <c r="CB345" i="1"/>
  <c r="BM345" i="1"/>
  <c r="CC345" i="1"/>
  <c r="BV345" i="1"/>
  <c r="BO345" i="1"/>
  <c r="BX345" i="1"/>
  <c r="BS345" i="1"/>
  <c r="BU313" i="1"/>
  <c r="BN313" i="1"/>
  <c r="CD313" i="1"/>
  <c r="CE313" i="1"/>
  <c r="BL313" i="1"/>
  <c r="BT313" i="1"/>
  <c r="BY313" i="1"/>
  <c r="BR313" i="1"/>
  <c r="CH313" i="1"/>
  <c r="BP313" i="1"/>
  <c r="CB313" i="1"/>
  <c r="BK313" i="1"/>
  <c r="BM313" i="1"/>
  <c r="CC313" i="1"/>
  <c r="BV313" i="1"/>
  <c r="BO313" i="1"/>
  <c r="BX313" i="1"/>
  <c r="BS313" i="1"/>
  <c r="CA313" i="1"/>
  <c r="BQ313" i="1"/>
  <c r="CG313" i="1"/>
  <c r="BZ313" i="1"/>
  <c r="BW313" i="1"/>
  <c r="CF313" i="1"/>
  <c r="CI313" i="1"/>
  <c r="BY347" i="1"/>
  <c r="BK347" i="1"/>
  <c r="CA347" i="1"/>
  <c r="BP347" i="1"/>
  <c r="CF347" i="1"/>
  <c r="BN347" i="1"/>
  <c r="BQ347" i="1"/>
  <c r="BO347" i="1"/>
  <c r="CE347" i="1"/>
  <c r="BT347" i="1"/>
  <c r="BM347" i="1"/>
  <c r="BV347" i="1"/>
  <c r="CG347" i="1"/>
  <c r="BS347" i="1"/>
  <c r="CI347" i="1"/>
  <c r="BX347" i="1"/>
  <c r="BU347" i="1"/>
  <c r="CD347" i="1"/>
  <c r="BR347" i="1"/>
  <c r="BW347" i="1"/>
  <c r="BL347" i="1"/>
  <c r="CB347" i="1"/>
  <c r="CC347" i="1"/>
  <c r="BZ347" i="1"/>
  <c r="CH347" i="1"/>
  <c r="BP334" i="1"/>
  <c r="CF334" i="1"/>
  <c r="BY334" i="1"/>
  <c r="BZ334" i="1"/>
  <c r="CA334" i="1"/>
  <c r="BV334" i="1"/>
  <c r="BT334" i="1"/>
  <c r="BM334" i="1"/>
  <c r="CC334" i="1"/>
  <c r="CH334" i="1"/>
  <c r="CI334" i="1"/>
  <c r="BW334" i="1"/>
  <c r="BX334" i="1"/>
  <c r="BQ334" i="1"/>
  <c r="CG334" i="1"/>
  <c r="BK334" i="1"/>
  <c r="BO334" i="1"/>
  <c r="BN334" i="1"/>
  <c r="BL334" i="1"/>
  <c r="CB334" i="1"/>
  <c r="BU334" i="1"/>
  <c r="BR334" i="1"/>
  <c r="BS334" i="1"/>
  <c r="CE334" i="1"/>
  <c r="CD334" i="1"/>
  <c r="BU325" i="1"/>
  <c r="BN325" i="1"/>
  <c r="CD325" i="1"/>
  <c r="CA325" i="1"/>
  <c r="CB325" i="1"/>
  <c r="BX325" i="1"/>
  <c r="BY325" i="1"/>
  <c r="BR325" i="1"/>
  <c r="CH325" i="1"/>
  <c r="CI325" i="1"/>
  <c r="BP325" i="1"/>
  <c r="BM325" i="1"/>
  <c r="CC325" i="1"/>
  <c r="BV325" i="1"/>
  <c r="BK325" i="1"/>
  <c r="BL325" i="1"/>
  <c r="CF325" i="1"/>
  <c r="BQ325" i="1"/>
  <c r="CG325" i="1"/>
  <c r="BZ325" i="1"/>
  <c r="BS325" i="1"/>
  <c r="BT325" i="1"/>
  <c r="BW325" i="1"/>
  <c r="CE325" i="1"/>
  <c r="BY317" i="1"/>
  <c r="BR317" i="1"/>
  <c r="CH317" i="1"/>
  <c r="CI317" i="1"/>
  <c r="BX317" i="1"/>
  <c r="CF317" i="1"/>
  <c r="BM317" i="1"/>
  <c r="CC317" i="1"/>
  <c r="BV317" i="1"/>
  <c r="BK317" i="1"/>
  <c r="BL317" i="1"/>
  <c r="BO317" i="1"/>
  <c r="BW317" i="1"/>
  <c r="BQ317" i="1"/>
  <c r="CG317" i="1"/>
  <c r="BZ317" i="1"/>
  <c r="BS317" i="1"/>
  <c r="BT317" i="1"/>
  <c r="CE317" i="1"/>
  <c r="BU317" i="1"/>
  <c r="BN317" i="1"/>
  <c r="CD317" i="1"/>
  <c r="CA317" i="1"/>
  <c r="CB317" i="1"/>
  <c r="BP317" i="1"/>
  <c r="BL310" i="1"/>
  <c r="CB310" i="1"/>
  <c r="BU310" i="1"/>
  <c r="BR310" i="1"/>
  <c r="BS310" i="1"/>
  <c r="BN310" i="1"/>
  <c r="BV310" i="1"/>
  <c r="BP310" i="1"/>
  <c r="CF310" i="1"/>
  <c r="BY310" i="1"/>
  <c r="BZ310" i="1"/>
  <c r="CA310" i="1"/>
  <c r="CD310" i="1"/>
  <c r="BT310" i="1"/>
  <c r="BM310" i="1"/>
  <c r="CC310" i="1"/>
  <c r="CH310" i="1"/>
  <c r="CI310" i="1"/>
  <c r="BO310" i="1"/>
  <c r="BX310" i="1"/>
  <c r="BQ310" i="1"/>
  <c r="CG310" i="1"/>
  <c r="BK310" i="1"/>
  <c r="BW310" i="1"/>
  <c r="CE310" i="1"/>
  <c r="BX302" i="1"/>
  <c r="BQ302" i="1"/>
  <c r="CG302" i="1"/>
  <c r="BK302" i="1"/>
  <c r="BO302" i="1"/>
  <c r="BN302" i="1"/>
  <c r="BL302" i="1"/>
  <c r="CB302" i="1"/>
  <c r="BU302" i="1"/>
  <c r="BR302" i="1"/>
  <c r="BS302" i="1"/>
  <c r="CE302" i="1"/>
  <c r="CD302" i="1"/>
  <c r="BP302" i="1"/>
  <c r="CF302" i="1"/>
  <c r="BY302" i="1"/>
  <c r="BZ302" i="1"/>
  <c r="CA302" i="1"/>
  <c r="BV302" i="1"/>
  <c r="BT302" i="1"/>
  <c r="BM302" i="1"/>
  <c r="CC302" i="1"/>
  <c r="CH302" i="1"/>
  <c r="CI302" i="1"/>
  <c r="BW302" i="1"/>
  <c r="BN276" i="1"/>
  <c r="CD276" i="1"/>
  <c r="BS276" i="1"/>
  <c r="CI276" i="1"/>
  <c r="BM276" i="1"/>
  <c r="BP276" i="1"/>
  <c r="BX276" i="1"/>
  <c r="BR276" i="1"/>
  <c r="CH276" i="1"/>
  <c r="BW276" i="1"/>
  <c r="BL276" i="1"/>
  <c r="BU276" i="1"/>
  <c r="CF276" i="1"/>
  <c r="BV276" i="1"/>
  <c r="BK276" i="1"/>
  <c r="CA276" i="1"/>
  <c r="BT276" i="1"/>
  <c r="CC276" i="1"/>
  <c r="BQ276" i="1"/>
  <c r="BZ276" i="1"/>
  <c r="BO276" i="1"/>
  <c r="CE276" i="1"/>
  <c r="CB276" i="1"/>
  <c r="BY276" i="1"/>
  <c r="CG276" i="1"/>
  <c r="BV340" i="1"/>
  <c r="BK340" i="1"/>
  <c r="CA340" i="1"/>
  <c r="BT340" i="1"/>
  <c r="CC340" i="1"/>
  <c r="BQ340" i="1"/>
  <c r="BZ340" i="1"/>
  <c r="BO340" i="1"/>
  <c r="CE340" i="1"/>
  <c r="CB340" i="1"/>
  <c r="BY340" i="1"/>
  <c r="CG340" i="1"/>
  <c r="BN340" i="1"/>
  <c r="CD340" i="1"/>
  <c r="BS340" i="1"/>
  <c r="CI340" i="1"/>
  <c r="BM340" i="1"/>
  <c r="BP340" i="1"/>
  <c r="BX340" i="1"/>
  <c r="BR340" i="1"/>
  <c r="CH340" i="1"/>
  <c r="BW340" i="1"/>
  <c r="BL340" i="1"/>
  <c r="BU340" i="1"/>
  <c r="CF340" i="1"/>
  <c r="BP322" i="1"/>
  <c r="CF322" i="1"/>
  <c r="BY322" i="1"/>
  <c r="BV322" i="1"/>
  <c r="CE322" i="1"/>
  <c r="CH322" i="1"/>
  <c r="BT322" i="1"/>
  <c r="BM322" i="1"/>
  <c r="CC322" i="1"/>
  <c r="CD322" i="1"/>
  <c r="BK322" i="1"/>
  <c r="BS322" i="1"/>
  <c r="BX322" i="1"/>
  <c r="BQ322" i="1"/>
  <c r="CG322" i="1"/>
  <c r="BO322" i="1"/>
  <c r="CA322" i="1"/>
  <c r="CI322" i="1"/>
  <c r="BL322" i="1"/>
  <c r="CB322" i="1"/>
  <c r="BU322" i="1"/>
  <c r="BN322" i="1"/>
  <c r="BW322" i="1"/>
  <c r="BR322" i="1"/>
  <c r="BZ322" i="1"/>
  <c r="BW271" i="1"/>
  <c r="BL271" i="1"/>
  <c r="CB271" i="1"/>
  <c r="CG271" i="1"/>
  <c r="BV271" i="1"/>
  <c r="CD271" i="1"/>
  <c r="BK271" i="1"/>
  <c r="CA271" i="1"/>
  <c r="BP271" i="1"/>
  <c r="CF271" i="1"/>
  <c r="BR271" i="1"/>
  <c r="BM271" i="1"/>
  <c r="BU271" i="1"/>
  <c r="BO271" i="1"/>
  <c r="CE271" i="1"/>
  <c r="BT271" i="1"/>
  <c r="BQ271" i="1"/>
  <c r="BZ271" i="1"/>
  <c r="CC271" i="1"/>
  <c r="BS271" i="1"/>
  <c r="CI271" i="1"/>
  <c r="BX271" i="1"/>
  <c r="BY271" i="1"/>
  <c r="CH271" i="1"/>
  <c r="BN271" i="1"/>
  <c r="BT296" i="1"/>
  <c r="CB296" i="1"/>
  <c r="BM296" i="1"/>
  <c r="BU296" i="1"/>
  <c r="CC296" i="1"/>
  <c r="BL296" i="1"/>
  <c r="BQ288" i="1"/>
  <c r="BT288" i="1"/>
  <c r="BU288" i="1"/>
  <c r="BM288" i="1"/>
  <c r="BL288" i="1"/>
  <c r="CC288" i="1"/>
  <c r="BM251" i="1"/>
  <c r="CC251" i="1"/>
  <c r="BV251" i="1"/>
  <c r="BK251" i="1"/>
  <c r="BL251" i="1"/>
  <c r="BX251" i="1"/>
  <c r="BO251" i="1"/>
  <c r="BQ251" i="1"/>
  <c r="CG251" i="1"/>
  <c r="BZ251" i="1"/>
  <c r="BS251" i="1"/>
  <c r="BT251" i="1"/>
  <c r="BP251" i="1"/>
  <c r="BU251" i="1"/>
  <c r="BN251" i="1"/>
  <c r="CD251" i="1"/>
  <c r="CA251" i="1"/>
  <c r="CB251" i="1"/>
  <c r="CE251" i="1"/>
  <c r="BY251" i="1"/>
  <c r="BR251" i="1"/>
  <c r="CH251" i="1"/>
  <c r="CI251" i="1"/>
  <c r="BW251" i="1"/>
  <c r="CF251" i="1"/>
  <c r="BX187" i="1"/>
  <c r="BQ187" i="1"/>
  <c r="CG187" i="1"/>
  <c r="BK187" i="1"/>
  <c r="BN187" i="1"/>
  <c r="BV187" i="1"/>
  <c r="BL187" i="1"/>
  <c r="CB187" i="1"/>
  <c r="BU187" i="1"/>
  <c r="BR187" i="1"/>
  <c r="BS187" i="1"/>
  <c r="CD187" i="1"/>
  <c r="BW187" i="1"/>
  <c r="BP187" i="1"/>
  <c r="CF187" i="1"/>
  <c r="BY187" i="1"/>
  <c r="BZ187" i="1"/>
  <c r="CA187" i="1"/>
  <c r="BO187" i="1"/>
  <c r="BT187" i="1"/>
  <c r="BM187" i="1"/>
  <c r="CC187" i="1"/>
  <c r="CH187" i="1"/>
  <c r="CI187" i="1"/>
  <c r="CE187" i="1"/>
  <c r="BX282" i="1"/>
  <c r="BQ282" i="1"/>
  <c r="CG282" i="1"/>
  <c r="BO282" i="1"/>
  <c r="CI282" i="1"/>
  <c r="BR282" i="1"/>
  <c r="BL282" i="1"/>
  <c r="CB282" i="1"/>
  <c r="BU282" i="1"/>
  <c r="BN282" i="1"/>
  <c r="BW282" i="1"/>
  <c r="BZ282" i="1"/>
  <c r="CH282" i="1"/>
  <c r="BP282" i="1"/>
  <c r="CF282" i="1"/>
  <c r="BY282" i="1"/>
  <c r="BV282" i="1"/>
  <c r="CE282" i="1"/>
  <c r="BK282" i="1"/>
  <c r="BT282" i="1"/>
  <c r="BM282" i="1"/>
  <c r="CC282" i="1"/>
  <c r="CD282" i="1"/>
  <c r="BS282" i="1"/>
  <c r="CA282" i="1"/>
  <c r="CC272" i="1"/>
  <c r="CB272" i="1"/>
  <c r="BT272" i="1"/>
  <c r="BU272" i="1"/>
  <c r="BM272" i="1"/>
  <c r="BL272" i="1"/>
  <c r="BX261" i="1"/>
  <c r="BP261" i="1"/>
  <c r="BO261" i="1"/>
  <c r="CF261" i="1"/>
  <c r="CE261" i="1"/>
  <c r="BW261" i="1"/>
  <c r="CG249" i="1"/>
  <c r="BZ249" i="1"/>
  <c r="CH249" i="1"/>
  <c r="BQ249" i="1"/>
  <c r="BR249" i="1"/>
  <c r="BZ242" i="1"/>
  <c r="BO242" i="1"/>
  <c r="CE242" i="1"/>
  <c r="CB242" i="1"/>
  <c r="BX242" i="1"/>
  <c r="CG242" i="1"/>
  <c r="BN242" i="1"/>
  <c r="CD242" i="1"/>
  <c r="BS242" i="1"/>
  <c r="CI242" i="1"/>
  <c r="BM242" i="1"/>
  <c r="BY242" i="1"/>
  <c r="BP242" i="1"/>
  <c r="BR242" i="1"/>
  <c r="CH242" i="1"/>
  <c r="BW242" i="1"/>
  <c r="BL242" i="1"/>
  <c r="BU242" i="1"/>
  <c r="BQ242" i="1"/>
  <c r="BV242" i="1"/>
  <c r="BK242" i="1"/>
  <c r="CA242" i="1"/>
  <c r="BT242" i="1"/>
  <c r="CC242" i="1"/>
  <c r="CF242" i="1"/>
  <c r="BX234" i="1"/>
  <c r="BN234" i="1"/>
  <c r="CD234" i="1"/>
  <c r="BS234" i="1"/>
  <c r="CI234" i="1"/>
  <c r="BM234" i="1"/>
  <c r="CF234" i="1"/>
  <c r="BR234" i="1"/>
  <c r="CH234" i="1"/>
  <c r="BW234" i="1"/>
  <c r="BL234" i="1"/>
  <c r="BU234" i="1"/>
  <c r="BQ234" i="1"/>
  <c r="BV234" i="1"/>
  <c r="BK234" i="1"/>
  <c r="CA234" i="1"/>
  <c r="BT234" i="1"/>
  <c r="CC234" i="1"/>
  <c r="CG234" i="1"/>
  <c r="BZ234" i="1"/>
  <c r="BO234" i="1"/>
  <c r="CE234" i="1"/>
  <c r="CB234" i="1"/>
  <c r="BP234" i="1"/>
  <c r="BY234" i="1"/>
  <c r="BZ226" i="1"/>
  <c r="BO226" i="1"/>
  <c r="CE226" i="1"/>
  <c r="CB226" i="1"/>
  <c r="BX226" i="1"/>
  <c r="BQ226" i="1"/>
  <c r="BN226" i="1"/>
  <c r="CD226" i="1"/>
  <c r="BS226" i="1"/>
  <c r="CI226" i="1"/>
  <c r="BM226" i="1"/>
  <c r="BY226" i="1"/>
  <c r="CF226" i="1"/>
  <c r="BR226" i="1"/>
  <c r="CH226" i="1"/>
  <c r="BW226" i="1"/>
  <c r="BL226" i="1"/>
  <c r="BU226" i="1"/>
  <c r="CG226" i="1"/>
  <c r="BV226" i="1"/>
  <c r="BK226" i="1"/>
  <c r="CA226" i="1"/>
  <c r="BT226" i="1"/>
  <c r="CC226" i="1"/>
  <c r="BP226" i="1"/>
  <c r="BR218" i="1"/>
  <c r="CH218" i="1"/>
  <c r="BW218" i="1"/>
  <c r="BL218" i="1"/>
  <c r="BU218" i="1"/>
  <c r="BQ218" i="1"/>
  <c r="BV218" i="1"/>
  <c r="BK218" i="1"/>
  <c r="CA218" i="1"/>
  <c r="BT218" i="1"/>
  <c r="CC218" i="1"/>
  <c r="CG218" i="1"/>
  <c r="BZ218" i="1"/>
  <c r="BO218" i="1"/>
  <c r="CE218" i="1"/>
  <c r="CB218" i="1"/>
  <c r="BP218" i="1"/>
  <c r="BX218" i="1"/>
  <c r="BN218" i="1"/>
  <c r="CD218" i="1"/>
  <c r="BS218" i="1"/>
  <c r="CI218" i="1"/>
  <c r="BM218" i="1"/>
  <c r="CF218" i="1"/>
  <c r="BY218" i="1"/>
  <c r="BN210" i="1"/>
  <c r="CD210" i="1"/>
  <c r="BS210" i="1"/>
  <c r="CI210" i="1"/>
  <c r="BM210" i="1"/>
  <c r="BY210" i="1"/>
  <c r="BP210" i="1"/>
  <c r="BR210" i="1"/>
  <c r="CH210" i="1"/>
  <c r="BW210" i="1"/>
  <c r="BL210" i="1"/>
  <c r="BU210" i="1"/>
  <c r="BQ210" i="1"/>
  <c r="BV210" i="1"/>
  <c r="BK210" i="1"/>
  <c r="CA210" i="1"/>
  <c r="BT210" i="1"/>
  <c r="CC210" i="1"/>
  <c r="CF210" i="1"/>
  <c r="BZ210" i="1"/>
  <c r="BO210" i="1"/>
  <c r="CE210" i="1"/>
  <c r="CB210" i="1"/>
  <c r="BX210" i="1"/>
  <c r="CG210" i="1"/>
  <c r="BZ202" i="1"/>
  <c r="BP202" i="1"/>
  <c r="BL202" i="1"/>
  <c r="CG202" i="1"/>
  <c r="CE202" i="1"/>
  <c r="CI202" i="1"/>
  <c r="BN202" i="1"/>
  <c r="CD202" i="1"/>
  <c r="BU202" i="1"/>
  <c r="BQ202" i="1"/>
  <c r="BS202" i="1"/>
  <c r="BX202" i="1"/>
  <c r="BM202" i="1"/>
  <c r="BR202" i="1"/>
  <c r="CH202" i="1"/>
  <c r="CA202" i="1"/>
  <c r="BW202" i="1"/>
  <c r="CC202" i="1"/>
  <c r="BY202" i="1"/>
  <c r="BV202" i="1"/>
  <c r="BK202" i="1"/>
  <c r="CF202" i="1"/>
  <c r="CB202" i="1"/>
  <c r="BT202" i="1"/>
  <c r="BO202" i="1"/>
  <c r="CE293" i="1"/>
  <c r="BL293" i="1"/>
  <c r="BP293" i="1"/>
  <c r="BO293" i="1"/>
  <c r="CF293" i="1"/>
  <c r="BW293" i="1"/>
  <c r="BX293" i="1"/>
  <c r="BP270" i="1"/>
  <c r="CF270" i="1"/>
  <c r="BY270" i="1"/>
  <c r="BZ270" i="1"/>
  <c r="CA270" i="1"/>
  <c r="BV270" i="1"/>
  <c r="BT270" i="1"/>
  <c r="BM270" i="1"/>
  <c r="CC270" i="1"/>
  <c r="CH270" i="1"/>
  <c r="CI270" i="1"/>
  <c r="BW270" i="1"/>
  <c r="BX270" i="1"/>
  <c r="BQ270" i="1"/>
  <c r="CG270" i="1"/>
  <c r="BK270" i="1"/>
  <c r="BO270" i="1"/>
  <c r="BN270" i="1"/>
  <c r="BL270" i="1"/>
  <c r="CB270" i="1"/>
  <c r="BU270" i="1"/>
  <c r="BR270" i="1"/>
  <c r="BS270" i="1"/>
  <c r="CE270" i="1"/>
  <c r="CD270" i="1"/>
  <c r="BV198" i="1"/>
  <c r="BO198" i="1"/>
  <c r="BK198" i="1"/>
  <c r="CF198" i="1"/>
  <c r="BM198" i="1"/>
  <c r="BS198" i="1"/>
  <c r="BZ198" i="1"/>
  <c r="BT198" i="1"/>
  <c r="BP198" i="1"/>
  <c r="BL198" i="1"/>
  <c r="BX198" i="1"/>
  <c r="CB198" i="1"/>
  <c r="BN198" i="1"/>
  <c r="CD198" i="1"/>
  <c r="BY198" i="1"/>
  <c r="BU198" i="1"/>
  <c r="BW198" i="1"/>
  <c r="CI198" i="1"/>
  <c r="CC198" i="1"/>
  <c r="BR198" i="1"/>
  <c r="CH198" i="1"/>
  <c r="CE198" i="1"/>
  <c r="CA198" i="1"/>
  <c r="CG198" i="1"/>
  <c r="BQ198" i="1"/>
  <c r="BQ166" i="1"/>
  <c r="CG166" i="1"/>
  <c r="BZ166" i="1"/>
  <c r="BW166" i="1"/>
  <c r="CF166" i="1"/>
  <c r="CB166" i="1"/>
  <c r="BU166" i="1"/>
  <c r="BN166" i="1"/>
  <c r="CD166" i="1"/>
  <c r="CE166" i="1"/>
  <c r="BK166" i="1"/>
  <c r="CI166" i="1"/>
  <c r="BY166" i="1"/>
  <c r="BR166" i="1"/>
  <c r="CH166" i="1"/>
  <c r="BP166" i="1"/>
  <c r="CA166" i="1"/>
  <c r="BS166" i="1"/>
  <c r="BM166" i="1"/>
  <c r="CC166" i="1"/>
  <c r="BV166" i="1"/>
  <c r="BO166" i="1"/>
  <c r="BX166" i="1"/>
  <c r="BL166" i="1"/>
  <c r="BT166" i="1"/>
  <c r="BW241" i="1"/>
  <c r="BL241" i="1"/>
  <c r="CB241" i="1"/>
  <c r="CC241" i="1"/>
  <c r="BQ241" i="1"/>
  <c r="BY241" i="1"/>
  <c r="BK241" i="1"/>
  <c r="CA241" i="1"/>
  <c r="BP241" i="1"/>
  <c r="CF241" i="1"/>
  <c r="BN241" i="1"/>
  <c r="CG241" i="1"/>
  <c r="BZ241" i="1"/>
  <c r="BO241" i="1"/>
  <c r="CE241" i="1"/>
  <c r="BT241" i="1"/>
  <c r="BM241" i="1"/>
  <c r="BV241" i="1"/>
  <c r="BR241" i="1"/>
  <c r="BS241" i="1"/>
  <c r="CI241" i="1"/>
  <c r="BX241" i="1"/>
  <c r="BU241" i="1"/>
  <c r="CD241" i="1"/>
  <c r="CH241" i="1"/>
  <c r="BO233" i="1"/>
  <c r="CE233" i="1"/>
  <c r="BT233" i="1"/>
  <c r="BM233" i="1"/>
  <c r="BV233" i="1"/>
  <c r="BR233" i="1"/>
  <c r="BS233" i="1"/>
  <c r="CI233" i="1"/>
  <c r="BX233" i="1"/>
  <c r="BU233" i="1"/>
  <c r="CD233" i="1"/>
  <c r="CG233" i="1"/>
  <c r="BW233" i="1"/>
  <c r="BL233" i="1"/>
  <c r="CB233" i="1"/>
  <c r="CC233" i="1"/>
  <c r="BY233" i="1"/>
  <c r="CH233" i="1"/>
  <c r="BK233" i="1"/>
  <c r="CA233" i="1"/>
  <c r="BP233" i="1"/>
  <c r="CF233" i="1"/>
  <c r="BN233" i="1"/>
  <c r="BZ233" i="1"/>
  <c r="BQ233" i="1"/>
  <c r="BK225" i="1"/>
  <c r="CA225" i="1"/>
  <c r="BP225" i="1"/>
  <c r="CF225" i="1"/>
  <c r="BN225" i="1"/>
  <c r="CG225" i="1"/>
  <c r="BY225" i="1"/>
  <c r="BO225" i="1"/>
  <c r="CE225" i="1"/>
  <c r="BT225" i="1"/>
  <c r="BM225" i="1"/>
  <c r="BV225" i="1"/>
  <c r="BR225" i="1"/>
  <c r="BS225" i="1"/>
  <c r="CI225" i="1"/>
  <c r="BX225" i="1"/>
  <c r="BU225" i="1"/>
  <c r="CD225" i="1"/>
  <c r="CH225" i="1"/>
  <c r="BW225" i="1"/>
  <c r="BL225" i="1"/>
  <c r="CB225" i="1"/>
  <c r="CC225" i="1"/>
  <c r="BQ225" i="1"/>
  <c r="BZ225" i="1"/>
  <c r="BS217" i="1"/>
  <c r="CI217" i="1"/>
  <c r="BX217" i="1"/>
  <c r="BU217" i="1"/>
  <c r="CD217" i="1"/>
  <c r="BQ217" i="1"/>
  <c r="BW217" i="1"/>
  <c r="BL217" i="1"/>
  <c r="CB217" i="1"/>
  <c r="CC217" i="1"/>
  <c r="BY217" i="1"/>
  <c r="BR217" i="1"/>
  <c r="BK217" i="1"/>
  <c r="CA217" i="1"/>
  <c r="BP217" i="1"/>
  <c r="CF217" i="1"/>
  <c r="BN217" i="1"/>
  <c r="BZ217" i="1"/>
  <c r="CG217" i="1"/>
  <c r="BO217" i="1"/>
  <c r="CE217" i="1"/>
  <c r="BT217" i="1"/>
  <c r="BM217" i="1"/>
  <c r="BV217" i="1"/>
  <c r="CH217" i="1"/>
  <c r="BK209" i="1"/>
  <c r="CA209" i="1"/>
  <c r="BP209" i="1"/>
  <c r="CF209" i="1"/>
  <c r="BN209" i="1"/>
  <c r="CG209" i="1"/>
  <c r="BZ209" i="1"/>
  <c r="BO209" i="1"/>
  <c r="CE209" i="1"/>
  <c r="BT209" i="1"/>
  <c r="BM209" i="1"/>
  <c r="BV209" i="1"/>
  <c r="BR209" i="1"/>
  <c r="BS209" i="1"/>
  <c r="CI209" i="1"/>
  <c r="BX209" i="1"/>
  <c r="BU209" i="1"/>
  <c r="CD209" i="1"/>
  <c r="CH209" i="1"/>
  <c r="BW209" i="1"/>
  <c r="BL209" i="1"/>
  <c r="CB209" i="1"/>
  <c r="CC209" i="1"/>
  <c r="BQ209" i="1"/>
  <c r="BY209" i="1"/>
  <c r="BS201" i="1"/>
  <c r="CI201" i="1"/>
  <c r="CD201" i="1"/>
  <c r="CF201" i="1"/>
  <c r="BM201" i="1"/>
  <c r="CC201" i="1"/>
  <c r="BW201" i="1"/>
  <c r="BN201" i="1"/>
  <c r="BP201" i="1"/>
  <c r="BL201" i="1"/>
  <c r="BX201" i="1"/>
  <c r="BQ201" i="1"/>
  <c r="BK201" i="1"/>
  <c r="CA201" i="1"/>
  <c r="BT201" i="1"/>
  <c r="BU201" i="1"/>
  <c r="BV201" i="1"/>
  <c r="CH201" i="1"/>
  <c r="BR201" i="1"/>
  <c r="BO201" i="1"/>
  <c r="CE201" i="1"/>
  <c r="BY201" i="1"/>
  <c r="BZ201" i="1"/>
  <c r="CG201" i="1"/>
  <c r="CB201" i="1"/>
  <c r="BK188" i="1"/>
  <c r="CA188" i="1"/>
  <c r="BP188" i="1"/>
  <c r="CF188" i="1"/>
  <c r="BR188" i="1"/>
  <c r="BV188" i="1"/>
  <c r="BN188" i="1"/>
  <c r="BO188" i="1"/>
  <c r="CE188" i="1"/>
  <c r="BT188" i="1"/>
  <c r="BQ188" i="1"/>
  <c r="BZ188" i="1"/>
  <c r="CC188" i="1"/>
  <c r="BS188" i="1"/>
  <c r="CI188" i="1"/>
  <c r="BX188" i="1"/>
  <c r="BY188" i="1"/>
  <c r="CH188" i="1"/>
  <c r="CD188" i="1"/>
  <c r="BW188" i="1"/>
  <c r="BL188" i="1"/>
  <c r="CB188" i="1"/>
  <c r="CG188" i="1"/>
  <c r="BU188" i="1"/>
  <c r="BM188" i="1"/>
  <c r="BR177" i="1"/>
  <c r="CH177" i="1"/>
  <c r="BW177" i="1"/>
  <c r="BL177" i="1"/>
  <c r="BU177" i="1"/>
  <c r="BP177" i="1"/>
  <c r="BV177" i="1"/>
  <c r="BK177" i="1"/>
  <c r="CA177" i="1"/>
  <c r="BT177" i="1"/>
  <c r="CC177" i="1"/>
  <c r="BQ177" i="1"/>
  <c r="BZ177" i="1"/>
  <c r="BO177" i="1"/>
  <c r="CE177" i="1"/>
  <c r="CB177" i="1"/>
  <c r="BX177" i="1"/>
  <c r="CF177" i="1"/>
  <c r="BN177" i="1"/>
  <c r="CD177" i="1"/>
  <c r="BS177" i="1"/>
  <c r="CI177" i="1"/>
  <c r="BM177" i="1"/>
  <c r="BY177" i="1"/>
  <c r="CG177" i="1"/>
  <c r="BR195" i="1"/>
  <c r="BS195" i="1"/>
  <c r="CD195" i="1"/>
  <c r="BV137" i="1"/>
  <c r="BK137" i="1"/>
  <c r="CA137" i="1"/>
  <c r="BT137" i="1"/>
  <c r="CC137" i="1"/>
  <c r="CG137" i="1"/>
  <c r="BZ137" i="1"/>
  <c r="BO137" i="1"/>
  <c r="CE137" i="1"/>
  <c r="CB137" i="1"/>
  <c r="BP137" i="1"/>
  <c r="BX137" i="1"/>
  <c r="BN137" i="1"/>
  <c r="CD137" i="1"/>
  <c r="BS137" i="1"/>
  <c r="CI137" i="1"/>
  <c r="BM137" i="1"/>
  <c r="CF137" i="1"/>
  <c r="BY137" i="1"/>
  <c r="BR175" i="1"/>
  <c r="BS175" i="1"/>
  <c r="CI175" i="1"/>
  <c r="BQ130" i="1"/>
  <c r="CG130" i="1"/>
  <c r="BZ130" i="1"/>
  <c r="BS130" i="1"/>
  <c r="BT130" i="1"/>
  <c r="BP130" i="1"/>
  <c r="BU130" i="1"/>
  <c r="BN130" i="1"/>
  <c r="CD130" i="1"/>
  <c r="CA130" i="1"/>
  <c r="CB130" i="1"/>
  <c r="CF130" i="1"/>
  <c r="BY130" i="1"/>
  <c r="BR130" i="1"/>
  <c r="CH130" i="1"/>
  <c r="CI130" i="1"/>
  <c r="BO130" i="1"/>
  <c r="BW130" i="1"/>
  <c r="BM130" i="1"/>
  <c r="CC130" i="1"/>
  <c r="BV130" i="1"/>
  <c r="BK130" i="1"/>
  <c r="BL130" i="1"/>
  <c r="CE130" i="1"/>
  <c r="BX130" i="1"/>
  <c r="BZ167" i="1"/>
  <c r="CA167" i="1"/>
  <c r="BZ157" i="1"/>
  <c r="BO157" i="1"/>
  <c r="CE157" i="1"/>
  <c r="CF157" i="1"/>
  <c r="BL157" i="1"/>
  <c r="BT157" i="1"/>
  <c r="BN157" i="1"/>
  <c r="CD157" i="1"/>
  <c r="BS157" i="1"/>
  <c r="CI157" i="1"/>
  <c r="BQ157" i="1"/>
  <c r="CB157" i="1"/>
  <c r="BU157" i="1"/>
  <c r="BR157" i="1"/>
  <c r="CH157" i="1"/>
  <c r="BW157" i="1"/>
  <c r="BP157" i="1"/>
  <c r="BY157" i="1"/>
  <c r="BM157" i="1"/>
  <c r="BK174" i="1"/>
  <c r="BL174" i="1"/>
  <c r="CI159" i="1"/>
  <c r="CH159" i="1"/>
  <c r="BY146" i="1"/>
  <c r="BR146" i="1"/>
  <c r="CH146" i="1"/>
  <c r="CI146" i="1"/>
  <c r="BO146" i="1"/>
  <c r="BW146" i="1"/>
  <c r="BM146" i="1"/>
  <c r="CC146" i="1"/>
  <c r="BV146" i="1"/>
  <c r="BK146" i="1"/>
  <c r="BL146" i="1"/>
  <c r="CE146" i="1"/>
  <c r="BX146" i="1"/>
  <c r="BQ146" i="1"/>
  <c r="CG146" i="1"/>
  <c r="BZ146" i="1"/>
  <c r="BS146" i="1"/>
  <c r="BT146" i="1"/>
  <c r="BP146" i="1"/>
  <c r="BU146" i="1"/>
  <c r="BN146" i="1"/>
  <c r="CD146" i="1"/>
  <c r="CA146" i="1"/>
  <c r="CB146" i="1"/>
  <c r="CF146" i="1"/>
  <c r="BV139" i="1"/>
  <c r="BW139" i="1"/>
  <c r="CD105" i="1"/>
  <c r="BM154" i="1"/>
  <c r="CC154" i="1"/>
  <c r="BV154" i="1"/>
  <c r="BK154" i="1"/>
  <c r="BL154" i="1"/>
  <c r="BX154" i="1"/>
  <c r="CF154" i="1"/>
  <c r="BQ154" i="1"/>
  <c r="CG154" i="1"/>
  <c r="BZ154" i="1"/>
  <c r="BS154" i="1"/>
  <c r="BT154" i="1"/>
  <c r="BO154" i="1"/>
  <c r="BU154" i="1"/>
  <c r="BN154" i="1"/>
  <c r="CD154" i="1"/>
  <c r="CA154" i="1"/>
  <c r="CB154" i="1"/>
  <c r="BP154" i="1"/>
  <c r="BY154" i="1"/>
  <c r="BR154" i="1"/>
  <c r="CH154" i="1"/>
  <c r="CI154" i="1"/>
  <c r="BW154" i="1"/>
  <c r="CE154" i="1"/>
  <c r="BW106" i="1"/>
  <c r="BL106" i="1"/>
  <c r="CB106" i="1"/>
  <c r="CG106" i="1"/>
  <c r="BM106" i="1"/>
  <c r="BU106" i="1"/>
  <c r="BK106" i="1"/>
  <c r="CA106" i="1"/>
  <c r="BP106" i="1"/>
  <c r="CF106" i="1"/>
  <c r="BR106" i="1"/>
  <c r="CC106" i="1"/>
  <c r="BV106" i="1"/>
  <c r="BO106" i="1"/>
  <c r="CE106" i="1"/>
  <c r="BT106" i="1"/>
  <c r="BQ106" i="1"/>
  <c r="BZ106" i="1"/>
  <c r="BN106" i="1"/>
  <c r="BS106" i="1"/>
  <c r="CI106" i="1"/>
  <c r="BX106" i="1"/>
  <c r="BY106" i="1"/>
  <c r="CH106" i="1"/>
  <c r="CD106" i="1"/>
  <c r="BM150" i="1"/>
  <c r="CC150" i="1"/>
  <c r="BV150" i="1"/>
  <c r="BO150" i="1"/>
  <c r="BX150" i="1"/>
  <c r="BL150" i="1"/>
  <c r="CI150" i="1"/>
  <c r="BQ150" i="1"/>
  <c r="CG150" i="1"/>
  <c r="BZ150" i="1"/>
  <c r="BW150" i="1"/>
  <c r="CF150" i="1"/>
  <c r="CB150" i="1"/>
  <c r="BU150" i="1"/>
  <c r="BN150" i="1"/>
  <c r="CD150" i="1"/>
  <c r="CE150" i="1"/>
  <c r="BK150" i="1"/>
  <c r="BS150" i="1"/>
  <c r="BY150" i="1"/>
  <c r="BR150" i="1"/>
  <c r="CH150" i="1"/>
  <c r="BP150" i="1"/>
  <c r="CA150" i="1"/>
  <c r="BT150" i="1"/>
  <c r="CD140" i="1"/>
  <c r="CC140" i="1"/>
  <c r="BN140" i="1"/>
  <c r="BR99" i="1"/>
  <c r="CH99" i="1"/>
  <c r="BW99" i="1"/>
  <c r="BP99" i="1"/>
  <c r="BY99" i="1"/>
  <c r="BM99" i="1"/>
  <c r="BV99" i="1"/>
  <c r="BK99" i="1"/>
  <c r="CA99" i="1"/>
  <c r="BX99" i="1"/>
  <c r="CG99" i="1"/>
  <c r="CC99" i="1"/>
  <c r="BZ99" i="1"/>
  <c r="BO99" i="1"/>
  <c r="CE99" i="1"/>
  <c r="CF99" i="1"/>
  <c r="BL99" i="1"/>
  <c r="BT99" i="1"/>
  <c r="CI101" i="1"/>
  <c r="BY88" i="1"/>
  <c r="BR88" i="1"/>
  <c r="CH88" i="1"/>
  <c r="CI88" i="1"/>
  <c r="BO88" i="1"/>
  <c r="BW88" i="1"/>
  <c r="BM88" i="1"/>
  <c r="CC88" i="1"/>
  <c r="BV88" i="1"/>
  <c r="BK88" i="1"/>
  <c r="BL88" i="1"/>
  <c r="CE88" i="1"/>
  <c r="BX88" i="1"/>
  <c r="BQ88" i="1"/>
  <c r="CG88" i="1"/>
  <c r="BZ88" i="1"/>
  <c r="BS88" i="1"/>
  <c r="BT88" i="1"/>
  <c r="BP88" i="1"/>
  <c r="BU88" i="1"/>
  <c r="BN88" i="1"/>
  <c r="CD88" i="1"/>
  <c r="CA88" i="1"/>
  <c r="CB88" i="1"/>
  <c r="CF88" i="1"/>
  <c r="CA100" i="1"/>
  <c r="CB100" i="1"/>
  <c r="BZ128" i="1"/>
  <c r="BN124" i="1"/>
  <c r="BM124" i="1"/>
  <c r="CD124" i="1"/>
  <c r="BQ120" i="1"/>
  <c r="CG120" i="1"/>
  <c r="BZ120" i="1"/>
  <c r="BS120" i="1"/>
  <c r="BT120" i="1"/>
  <c r="BP120" i="1"/>
  <c r="BU120" i="1"/>
  <c r="BN120" i="1"/>
  <c r="CD120" i="1"/>
  <c r="CA120" i="1"/>
  <c r="CB120" i="1"/>
  <c r="CF120" i="1"/>
  <c r="BY120" i="1"/>
  <c r="BR120" i="1"/>
  <c r="CH120" i="1"/>
  <c r="CI120" i="1"/>
  <c r="BO120" i="1"/>
  <c r="BW120" i="1"/>
  <c r="BR111" i="1"/>
  <c r="CH111" i="1"/>
  <c r="BW111" i="1"/>
  <c r="BL111" i="1"/>
  <c r="BU111" i="1"/>
  <c r="BQ111" i="1"/>
  <c r="BV111" i="1"/>
  <c r="BK111" i="1"/>
  <c r="CA111" i="1"/>
  <c r="BT111" i="1"/>
  <c r="CC111" i="1"/>
  <c r="CG111" i="1"/>
  <c r="BZ111" i="1"/>
  <c r="BO111" i="1"/>
  <c r="CE111" i="1"/>
  <c r="CB111" i="1"/>
  <c r="BP111" i="1"/>
  <c r="BX111" i="1"/>
  <c r="BS82" i="1"/>
  <c r="CI82" i="1"/>
  <c r="BX82" i="1"/>
  <c r="BY82" i="1"/>
  <c r="CH82" i="1"/>
  <c r="BN82" i="1"/>
  <c r="BW82" i="1"/>
  <c r="BL82" i="1"/>
  <c r="CB82" i="1"/>
  <c r="CG82" i="1"/>
  <c r="BU82" i="1"/>
  <c r="CC82" i="1"/>
  <c r="BK82" i="1"/>
  <c r="CA82" i="1"/>
  <c r="BP82" i="1"/>
  <c r="CF82" i="1"/>
  <c r="BR82" i="1"/>
  <c r="BV82" i="1"/>
  <c r="CD82" i="1"/>
  <c r="BO82" i="1"/>
  <c r="CE82" i="1"/>
  <c r="BT82" i="1"/>
  <c r="BQ82" i="1"/>
  <c r="BZ82" i="1"/>
  <c r="BM82" i="1"/>
  <c r="BR85" i="1"/>
  <c r="BS85" i="1"/>
  <c r="BO80" i="1"/>
  <c r="CE80" i="1"/>
  <c r="BT80" i="1"/>
  <c r="BY80" i="1"/>
  <c r="CG80" i="1"/>
  <c r="CD80" i="1"/>
  <c r="BS80" i="1"/>
  <c r="CI80" i="1"/>
  <c r="BX80" i="1"/>
  <c r="CF80" i="1"/>
  <c r="BM80" i="1"/>
  <c r="CH80" i="1"/>
  <c r="BW80" i="1"/>
  <c r="BL80" i="1"/>
  <c r="CB80" i="1"/>
  <c r="BR80" i="1"/>
  <c r="CC80" i="1"/>
  <c r="BU80" i="1"/>
  <c r="BK80" i="1"/>
  <c r="CA80" i="1"/>
  <c r="BP80" i="1"/>
  <c r="BQ80" i="1"/>
  <c r="BZ80" i="1"/>
  <c r="BN80" i="1"/>
  <c r="BV80" i="1"/>
  <c r="BL51" i="1"/>
  <c r="CB51" i="1"/>
  <c r="BU51" i="1"/>
  <c r="BR51" i="1"/>
  <c r="BS51" i="1"/>
  <c r="CD51" i="1"/>
  <c r="BW51" i="1"/>
  <c r="BP51" i="1"/>
  <c r="CF51" i="1"/>
  <c r="BY51" i="1"/>
  <c r="BZ51" i="1"/>
  <c r="CA51" i="1"/>
  <c r="BO51" i="1"/>
  <c r="BT51" i="1"/>
  <c r="BM51" i="1"/>
  <c r="CC51" i="1"/>
  <c r="CH51" i="1"/>
  <c r="CI51" i="1"/>
  <c r="CE51" i="1"/>
  <c r="BX51" i="1"/>
  <c r="BQ51" i="1"/>
  <c r="CG51" i="1"/>
  <c r="BK51" i="1"/>
  <c r="BN51" i="1"/>
  <c r="BV51" i="1"/>
  <c r="BU50" i="1"/>
  <c r="BN50" i="1"/>
  <c r="CD50" i="1"/>
  <c r="CA50" i="1"/>
  <c r="CB50" i="1"/>
  <c r="CF50" i="1"/>
  <c r="BY50" i="1"/>
  <c r="BR50" i="1"/>
  <c r="CH50" i="1"/>
  <c r="CI50" i="1"/>
  <c r="BW50" i="1"/>
  <c r="BO50" i="1"/>
  <c r="BM50" i="1"/>
  <c r="CC50" i="1"/>
  <c r="BV50" i="1"/>
  <c r="BK50" i="1"/>
  <c r="BL50" i="1"/>
  <c r="BX50" i="1"/>
  <c r="BP50" i="1"/>
  <c r="BQ50" i="1"/>
  <c r="CG50" i="1"/>
  <c r="BZ50" i="1"/>
  <c r="BS50" i="1"/>
  <c r="BT50" i="1"/>
  <c r="CE50" i="1"/>
  <c r="BS42" i="1"/>
  <c r="CI42" i="1"/>
  <c r="BX42" i="1"/>
  <c r="BY42" i="1"/>
  <c r="CH42" i="1"/>
  <c r="CD42" i="1"/>
  <c r="BW42" i="1"/>
  <c r="BL42" i="1"/>
  <c r="CB42" i="1"/>
  <c r="CG42" i="1"/>
  <c r="BU42" i="1"/>
  <c r="BM42" i="1"/>
  <c r="BK42" i="1"/>
  <c r="CA42" i="1"/>
  <c r="BP42" i="1"/>
  <c r="CF42" i="1"/>
  <c r="BR42" i="1"/>
  <c r="BV42" i="1"/>
  <c r="BN42" i="1"/>
  <c r="BO42" i="1"/>
  <c r="CE42" i="1"/>
  <c r="BT42" i="1"/>
  <c r="BQ42" i="1"/>
  <c r="BZ42" i="1"/>
  <c r="CC42" i="1"/>
  <c r="BV36" i="1"/>
  <c r="BW36" i="1"/>
  <c r="BX36" i="1"/>
  <c r="BM36" i="1"/>
  <c r="BQ36" i="1"/>
  <c r="CA36" i="1"/>
  <c r="BK36" i="1"/>
  <c r="BL36" i="1"/>
  <c r="BY36" i="1"/>
  <c r="BZ36" i="1"/>
  <c r="CE36" i="1"/>
  <c r="CB36" i="1"/>
  <c r="BN36" i="1"/>
  <c r="BO36" i="1"/>
  <c r="BP36" i="1"/>
  <c r="CC36" i="1"/>
  <c r="CD36" i="1"/>
  <c r="BU36" i="1"/>
  <c r="CI36" i="1"/>
  <c r="BR36" i="1"/>
  <c r="BS36" i="1"/>
  <c r="BT36" i="1"/>
  <c r="CG36" i="1"/>
  <c r="CH36" i="1"/>
  <c r="CF36" i="1"/>
  <c r="BR32" i="1"/>
  <c r="CH32" i="1"/>
  <c r="BW32" i="1"/>
  <c r="BL32" i="1"/>
  <c r="CB32" i="1"/>
  <c r="BQ32" i="1"/>
  <c r="BV32" i="1"/>
  <c r="BK32" i="1"/>
  <c r="CA32" i="1"/>
  <c r="BP32" i="1"/>
  <c r="CF32" i="1"/>
  <c r="CG32" i="1"/>
  <c r="BZ32" i="1"/>
  <c r="BO32" i="1"/>
  <c r="CE32" i="1"/>
  <c r="BT32" i="1"/>
  <c r="BM32" i="1"/>
  <c r="BU32" i="1"/>
  <c r="BN32" i="1"/>
  <c r="CD32" i="1"/>
  <c r="BS32" i="1"/>
  <c r="CI32" i="1"/>
  <c r="BX32" i="1"/>
  <c r="CC32" i="1"/>
  <c r="BY32" i="1"/>
  <c r="BW23" i="1"/>
  <c r="BL23" i="1"/>
  <c r="CB23" i="1"/>
  <c r="BU23" i="1"/>
  <c r="BN23" i="1"/>
  <c r="BV23" i="1"/>
  <c r="BK23" i="1"/>
  <c r="CA23" i="1"/>
  <c r="BP23" i="1"/>
  <c r="CF23" i="1"/>
  <c r="BY23" i="1"/>
  <c r="CD23" i="1"/>
  <c r="BZ23" i="1"/>
  <c r="BO23" i="1"/>
  <c r="CE23" i="1"/>
  <c r="BT23" i="1"/>
  <c r="BM23" i="1"/>
  <c r="CC23" i="1"/>
  <c r="BR23" i="1"/>
  <c r="BS23" i="1"/>
  <c r="CI23" i="1"/>
  <c r="BX23" i="1"/>
  <c r="BQ23" i="1"/>
  <c r="CG23" i="1"/>
  <c r="CH23" i="1"/>
  <c r="BR55" i="1"/>
  <c r="CB91" i="1"/>
  <c r="BZ109" i="1"/>
  <c r="BV123" i="1"/>
  <c r="BN131" i="1"/>
  <c r="CH143" i="1"/>
  <c r="BV155" i="1"/>
  <c r="BN163" i="1"/>
  <c r="CH175" i="1"/>
  <c r="CC189" i="1"/>
  <c r="CB195" i="1"/>
  <c r="CE200" i="1"/>
  <c r="BS207" i="1"/>
  <c r="CE211" i="1"/>
  <c r="BR216" i="1"/>
  <c r="CD220" i="1"/>
  <c r="BO227" i="1"/>
  <c r="CA231" i="1"/>
  <c r="BN236" i="1"/>
  <c r="BZ240" i="1"/>
  <c r="BR248" i="1"/>
  <c r="BM255" i="1"/>
  <c r="CE256" i="1"/>
  <c r="BK261" i="1"/>
  <c r="BQ263" i="1"/>
  <c r="BU267" i="1"/>
  <c r="CB268" i="1"/>
  <c r="BO273" i="1"/>
  <c r="BS277" i="1"/>
  <c r="BY279" i="1"/>
  <c r="CF280" i="1"/>
  <c r="BL284" i="1"/>
  <c r="BS285" i="1"/>
  <c r="BZ286" i="1"/>
  <c r="CG287" i="1"/>
  <c r="BO289" i="1"/>
  <c r="BV290" i="1"/>
  <c r="CC291" i="1"/>
  <c r="BK293" i="1"/>
  <c r="BP296" i="1"/>
  <c r="BW297" i="1"/>
  <c r="CC315" i="1"/>
  <c r="BQ319" i="1"/>
  <c r="BX320" i="1"/>
  <c r="CC323" i="1"/>
  <c r="BQ327" i="1"/>
  <c r="BX328" i="1"/>
  <c r="CB356" i="1"/>
  <c r="CI357" i="1"/>
  <c r="BQ359" i="1"/>
  <c r="BT364" i="1"/>
  <c r="CA365" i="1"/>
  <c r="CH366" i="1"/>
  <c r="BL372" i="1"/>
  <c r="BS373" i="1"/>
  <c r="BZ374" i="1"/>
  <c r="CG375" i="1"/>
  <c r="BK381" i="1"/>
  <c r="BR382" i="1"/>
  <c r="BY383" i="1"/>
  <c r="CB388" i="1"/>
  <c r="CI389" i="1"/>
  <c r="BQ391" i="1"/>
  <c r="BT396" i="1"/>
  <c r="CA397" i="1"/>
  <c r="CH398" i="1"/>
  <c r="BL404" i="1"/>
  <c r="BS405" i="1"/>
  <c r="BZ406" i="1"/>
  <c r="CG407" i="1"/>
  <c r="BK413" i="1"/>
  <c r="BR414" i="1"/>
  <c r="BY415" i="1"/>
  <c r="BX420" i="1"/>
  <c r="BS421" i="1"/>
  <c r="CI421" i="1"/>
  <c r="CB424" i="1"/>
  <c r="BW425" i="1"/>
  <c r="BQ427" i="1"/>
  <c r="CG427" i="1"/>
  <c r="CA429" i="1"/>
  <c r="BV430" i="1"/>
  <c r="BO433" i="1"/>
  <c r="CE433" i="1"/>
  <c r="BZ434" i="1"/>
  <c r="BS437" i="1"/>
  <c r="CI437" i="1"/>
  <c r="CD442" i="1"/>
  <c r="BY443" i="1"/>
  <c r="BS445" i="1"/>
  <c r="CI445" i="1"/>
  <c r="CD446" i="1"/>
  <c r="BX448" i="1"/>
  <c r="BS449" i="1"/>
  <c r="CI449" i="1"/>
  <c r="CB452" i="1"/>
  <c r="BZ454" i="1"/>
  <c r="BU455" i="1"/>
  <c r="BR458" i="1"/>
  <c r="CH458" i="1"/>
  <c r="CB460" i="1"/>
  <c r="BY463" i="1"/>
  <c r="BT464" i="1"/>
  <c r="BR466" i="1"/>
  <c r="CH466" i="1"/>
  <c r="CA469" i="1"/>
  <c r="BV470" i="1"/>
  <c r="BO473" i="1"/>
  <c r="CE473" i="1"/>
  <c r="BY475" i="1"/>
  <c r="BT476" i="1"/>
  <c r="BR478" i="1"/>
  <c r="CH478" i="1"/>
  <c r="CC479" i="1"/>
  <c r="BW481" i="1"/>
  <c r="BP484" i="1"/>
  <c r="CF484" i="1"/>
  <c r="CC487" i="1"/>
  <c r="BW489" i="1"/>
  <c r="BR490" i="1"/>
  <c r="CH490" i="1"/>
  <c r="CB492" i="1"/>
  <c r="BW493" i="1"/>
  <c r="BP496" i="1"/>
  <c r="CF496" i="1"/>
  <c r="CD498" i="1"/>
  <c r="BY499" i="1"/>
  <c r="BV502" i="1"/>
  <c r="BQ503" i="1"/>
  <c r="CG503" i="1"/>
  <c r="CD506" i="1"/>
  <c r="BY507" i="1"/>
  <c r="BV27" i="1"/>
  <c r="BZ27" i="1"/>
  <c r="BU27" i="1"/>
  <c r="CB27" i="1"/>
  <c r="BL27" i="1"/>
  <c r="BW27" i="1"/>
  <c r="CH31" i="1"/>
  <c r="BZ31" i="1"/>
  <c r="BY31" i="1"/>
  <c r="CF31" i="1"/>
  <c r="BP31" i="1"/>
  <c r="CA31" i="1"/>
  <c r="BK31" i="1"/>
  <c r="BV35" i="1"/>
  <c r="CC35" i="1"/>
  <c r="BM35" i="1"/>
  <c r="BT35" i="1"/>
  <c r="CE35" i="1"/>
  <c r="BO35" i="1"/>
  <c r="CG39" i="1"/>
  <c r="CC39" i="1"/>
  <c r="BT39" i="1"/>
  <c r="CA39" i="1"/>
  <c r="BK39" i="1"/>
  <c r="BV39" i="1"/>
  <c r="CG48" i="1"/>
  <c r="BY48" i="1"/>
  <c r="CC48" i="1"/>
  <c r="CB48" i="1"/>
  <c r="BL48" i="1"/>
  <c r="BW48" i="1"/>
  <c r="BZ56" i="1"/>
  <c r="CG56" i="1"/>
  <c r="BN56" i="1"/>
  <c r="CF56" i="1"/>
  <c r="BP56" i="1"/>
  <c r="CA56" i="1"/>
  <c r="BK56" i="1"/>
  <c r="BP57" i="1"/>
  <c r="BU57" i="1"/>
  <c r="BL57" i="1"/>
  <c r="BW57" i="1"/>
  <c r="CH57" i="1"/>
  <c r="BR57" i="1"/>
  <c r="CH64" i="1"/>
  <c r="CD64" i="1"/>
  <c r="BU64" i="1"/>
  <c r="BX64" i="1"/>
  <c r="CI64" i="1"/>
  <c r="BS64" i="1"/>
  <c r="BQ65" i="1"/>
  <c r="BU65" i="1"/>
  <c r="BL65" i="1"/>
  <c r="BW65" i="1"/>
  <c r="CH65" i="1"/>
  <c r="BR65" i="1"/>
  <c r="CG69" i="1"/>
  <c r="CC69" i="1"/>
  <c r="BT69" i="1"/>
  <c r="CA69" i="1"/>
  <c r="BK69" i="1"/>
  <c r="BV69" i="1"/>
  <c r="BT73" i="1"/>
  <c r="BL73" i="1"/>
  <c r="CF73" i="1"/>
  <c r="CE73" i="1"/>
  <c r="BO73" i="1"/>
  <c r="BZ73" i="1"/>
  <c r="CG77" i="1"/>
  <c r="BY77" i="1"/>
  <c r="BM77" i="1"/>
  <c r="CI77" i="1"/>
  <c r="BS77" i="1"/>
  <c r="CD77" i="1"/>
  <c r="BN77" i="1"/>
  <c r="BV79" i="1"/>
  <c r="BK79" i="1"/>
  <c r="CG79" i="1"/>
  <c r="BQ79" i="1"/>
  <c r="CH86" i="1"/>
  <c r="CD86" i="1"/>
  <c r="BU86" i="1"/>
  <c r="BX86" i="1"/>
  <c r="CI86" i="1"/>
  <c r="BS86" i="1"/>
  <c r="BS92" i="1"/>
  <c r="BK92" i="1"/>
  <c r="CE92" i="1"/>
  <c r="CD92" i="1"/>
  <c r="BN92" i="1"/>
  <c r="BU92" i="1"/>
  <c r="BO96" i="1"/>
  <c r="BT96" i="1"/>
  <c r="BS96" i="1"/>
  <c r="BZ96" i="1"/>
  <c r="CG96" i="1"/>
  <c r="CA101" i="1"/>
  <c r="BW101" i="1"/>
  <c r="BN101" i="1"/>
  <c r="BU101" i="1"/>
  <c r="CB101" i="1"/>
  <c r="BL101" i="1"/>
  <c r="BV105" i="1"/>
  <c r="BK105" i="1"/>
  <c r="CG105" i="1"/>
  <c r="BQ105" i="1"/>
  <c r="BX105" i="1"/>
  <c r="BK109" i="1"/>
  <c r="BR109" i="1"/>
  <c r="CD109" i="1"/>
  <c r="CC109" i="1"/>
  <c r="BM109" i="1"/>
  <c r="BT109" i="1"/>
  <c r="BM114" i="1"/>
  <c r="BZ114" i="1"/>
  <c r="BQ114" i="1"/>
  <c r="BT114" i="1"/>
  <c r="CE114" i="1"/>
  <c r="BO114" i="1"/>
  <c r="BY119" i="1"/>
  <c r="BM119" i="1"/>
  <c r="CI119" i="1"/>
  <c r="BS119" i="1"/>
  <c r="CD119" i="1"/>
  <c r="BN119" i="1"/>
  <c r="BZ124" i="1"/>
  <c r="BQ124" i="1"/>
  <c r="BT124" i="1"/>
  <c r="CE124" i="1"/>
  <c r="BO124" i="1"/>
  <c r="CG128" i="1"/>
  <c r="BN128" i="1"/>
  <c r="CF128" i="1"/>
  <c r="BP128" i="1"/>
  <c r="CA128" i="1"/>
  <c r="BK128" i="1"/>
  <c r="BM132" i="1"/>
  <c r="CG132" i="1"/>
  <c r="CB132" i="1"/>
  <c r="BL132" i="1"/>
  <c r="BW132" i="1"/>
  <c r="BZ136" i="1"/>
  <c r="BN136" i="1"/>
  <c r="CF136" i="1"/>
  <c r="BP136" i="1"/>
  <c r="CA136" i="1"/>
  <c r="BZ140" i="1"/>
  <c r="BQ140" i="1"/>
  <c r="BT140" i="1"/>
  <c r="CE140" i="1"/>
  <c r="BO140" i="1"/>
  <c r="CG144" i="1"/>
  <c r="BN144" i="1"/>
  <c r="CF144" i="1"/>
  <c r="BP144" i="1"/>
  <c r="CA144" i="1"/>
  <c r="BK144" i="1"/>
  <c r="BM148" i="1"/>
  <c r="CG148" i="1"/>
  <c r="CB148" i="1"/>
  <c r="BL148" i="1"/>
  <c r="BW148" i="1"/>
  <c r="BZ152" i="1"/>
  <c r="BN152" i="1"/>
  <c r="CF152" i="1"/>
  <c r="BP152" i="1"/>
  <c r="CA152" i="1"/>
  <c r="BZ156" i="1"/>
  <c r="BQ156" i="1"/>
  <c r="BT156" i="1"/>
  <c r="CE156" i="1"/>
  <c r="BO156" i="1"/>
  <c r="CG160" i="1"/>
  <c r="BN160" i="1"/>
  <c r="CF160" i="1"/>
  <c r="BP160" i="1"/>
  <c r="CA160" i="1"/>
  <c r="BK160" i="1"/>
  <c r="BM164" i="1"/>
  <c r="CG164" i="1"/>
  <c r="CB164" i="1"/>
  <c r="BL164" i="1"/>
  <c r="BZ168" i="1"/>
  <c r="BN168" i="1"/>
  <c r="CF168" i="1"/>
  <c r="BP168" i="1"/>
  <c r="CA168" i="1"/>
  <c r="BK168" i="1"/>
  <c r="CE175" i="1"/>
  <c r="BV175" i="1"/>
  <c r="BY175" i="1"/>
  <c r="CF175" i="1"/>
  <c r="BP175" i="1"/>
  <c r="CI179" i="1"/>
  <c r="CH179" i="1"/>
  <c r="CC179" i="1"/>
  <c r="BM179" i="1"/>
  <c r="BT179" i="1"/>
  <c r="BQ185" i="1"/>
  <c r="BU185" i="1"/>
  <c r="BL185" i="1"/>
  <c r="BW185" i="1"/>
  <c r="CH185" i="1"/>
  <c r="BK190" i="1"/>
  <c r="CC190" i="1"/>
  <c r="CG190" i="1"/>
  <c r="BL190" i="1"/>
  <c r="BV190" i="1"/>
  <c r="BX195" i="1"/>
  <c r="BL195" i="1"/>
  <c r="BP195" i="1"/>
  <c r="BT195" i="1"/>
  <c r="BY195" i="1"/>
  <c r="CE196" i="1"/>
  <c r="CH196" i="1"/>
  <c r="BM196" i="1"/>
  <c r="BQ196" i="1"/>
  <c r="CA200" i="1"/>
  <c r="CI200" i="1"/>
  <c r="BN200" i="1"/>
  <c r="BR200" i="1"/>
  <c r="CI204" i="1"/>
  <c r="CH204" i="1"/>
  <c r="CC204" i="1"/>
  <c r="BM204" i="1"/>
  <c r="BT204" i="1"/>
  <c r="BW208" i="1"/>
  <c r="BN208" i="1"/>
  <c r="BU208" i="1"/>
  <c r="CB208" i="1"/>
  <c r="BK212" i="1"/>
  <c r="CG212" i="1"/>
  <c r="BQ212" i="1"/>
  <c r="BX212" i="1"/>
  <c r="CE216" i="1"/>
  <c r="BV216" i="1"/>
  <c r="BY216" i="1"/>
  <c r="CF216" i="1"/>
  <c r="BP216" i="1"/>
  <c r="BS220" i="1"/>
  <c r="BR220" i="1"/>
  <c r="BU220" i="1"/>
  <c r="CB220" i="1"/>
  <c r="BL220" i="1"/>
  <c r="CD224" i="1"/>
  <c r="CC224" i="1"/>
  <c r="BM224" i="1"/>
  <c r="BT224" i="1"/>
  <c r="CA228" i="1"/>
  <c r="BZ228" i="1"/>
  <c r="BY228" i="1"/>
  <c r="CF228" i="1"/>
  <c r="BP228" i="1"/>
  <c r="BO232" i="1"/>
  <c r="CG232" i="1"/>
  <c r="BQ232" i="1"/>
  <c r="CI236" i="1"/>
  <c r="CH236" i="1"/>
  <c r="CC236" i="1"/>
  <c r="BM236" i="1"/>
  <c r="BT236" i="1"/>
  <c r="BW240" i="1"/>
  <c r="BN240" i="1"/>
  <c r="BU240" i="1"/>
  <c r="CB240" i="1"/>
  <c r="BK244" i="1"/>
  <c r="CG244" i="1"/>
  <c r="BQ244" i="1"/>
  <c r="BX244" i="1"/>
  <c r="CD249" i="1"/>
  <c r="BU249" i="1"/>
  <c r="BX249" i="1"/>
  <c r="CI249" i="1"/>
  <c r="BS249" i="1"/>
  <c r="CD257" i="1"/>
  <c r="BN257" i="1"/>
  <c r="BU257" i="1"/>
  <c r="CB263" i="1"/>
  <c r="BL263" i="1"/>
  <c r="BW263" i="1"/>
  <c r="CI268" i="1"/>
  <c r="BS268" i="1"/>
  <c r="CD268" i="1"/>
  <c r="BN268" i="1"/>
  <c r="BV273" i="1"/>
  <c r="CC273" i="1"/>
  <c r="BM273" i="1"/>
  <c r="BT279" i="1"/>
  <c r="CE279" i="1"/>
  <c r="BO279" i="1"/>
  <c r="CA280" i="1"/>
  <c r="BV280" i="1"/>
  <c r="CD281" i="1"/>
  <c r="BN281" i="1"/>
  <c r="BU281" i="1"/>
  <c r="CE284" i="1"/>
  <c r="BO284" i="1"/>
  <c r="BZ284" i="1"/>
  <c r="CH285" i="1"/>
  <c r="BR285" i="1"/>
  <c r="BY285" i="1"/>
  <c r="CG286" i="1"/>
  <c r="BQ286" i="1"/>
  <c r="BX286" i="1"/>
  <c r="CF287" i="1"/>
  <c r="BP287" i="1"/>
  <c r="CA287" i="1"/>
  <c r="BK287" i="1"/>
  <c r="BW288" i="1"/>
  <c r="CH288" i="1"/>
  <c r="BR288" i="1"/>
  <c r="BZ289" i="1"/>
  <c r="CG289" i="1"/>
  <c r="BQ289" i="1"/>
  <c r="BY290" i="1"/>
  <c r="CF290" i="1"/>
  <c r="BP290" i="1"/>
  <c r="BX291" i="1"/>
  <c r="CI291" i="1"/>
  <c r="CE292" i="1"/>
  <c r="BO292" i="1"/>
  <c r="BZ292" i="1"/>
  <c r="CH293" i="1"/>
  <c r="BR293" i="1"/>
  <c r="BY293" i="1"/>
  <c r="CH297" i="1"/>
  <c r="BR297" i="1"/>
  <c r="BY297" i="1"/>
  <c r="CI316" i="1"/>
  <c r="BS316" i="1"/>
  <c r="CD316" i="1"/>
  <c r="BN316" i="1"/>
  <c r="BW320" i="1"/>
  <c r="CH320" i="1"/>
  <c r="BR320" i="1"/>
  <c r="CA324" i="1"/>
  <c r="BK324" i="1"/>
  <c r="BV324" i="1"/>
  <c r="CE328" i="1"/>
  <c r="BO328" i="1"/>
  <c r="BZ328" i="1"/>
  <c r="CI356" i="1"/>
  <c r="BS356" i="1"/>
  <c r="CD356" i="1"/>
  <c r="BN356" i="1"/>
  <c r="BV357" i="1"/>
  <c r="CC357" i="1"/>
  <c r="BM357" i="1"/>
  <c r="BU358" i="1"/>
  <c r="CB358" i="1"/>
  <c r="BL358" i="1"/>
  <c r="BW364" i="1"/>
  <c r="CH364" i="1"/>
  <c r="BR364" i="1"/>
  <c r="BZ365" i="1"/>
  <c r="CG365" i="1"/>
  <c r="BQ365" i="1"/>
  <c r="BY366" i="1"/>
  <c r="CF366" i="1"/>
  <c r="BP366" i="1"/>
  <c r="CA372" i="1"/>
  <c r="BK372" i="1"/>
  <c r="BV372" i="1"/>
  <c r="CD373" i="1"/>
  <c r="BN373" i="1"/>
  <c r="BU373" i="1"/>
  <c r="CC374" i="1"/>
  <c r="BM374" i="1"/>
  <c r="BT374" i="1"/>
  <c r="CE380" i="1"/>
  <c r="BO380" i="1"/>
  <c r="BZ380" i="1"/>
  <c r="CH381" i="1"/>
  <c r="BR381" i="1"/>
  <c r="BY381" i="1"/>
  <c r="CG382" i="1"/>
  <c r="BQ382" i="1"/>
  <c r="BX382" i="1"/>
  <c r="CI388" i="1"/>
  <c r="BS388" i="1"/>
  <c r="CD388" i="1"/>
  <c r="BN388" i="1"/>
  <c r="BV389" i="1"/>
  <c r="CC389" i="1"/>
  <c r="BM389" i="1"/>
  <c r="BU390" i="1"/>
  <c r="CB390" i="1"/>
  <c r="BL390" i="1"/>
  <c r="BW396" i="1"/>
  <c r="CH396" i="1"/>
  <c r="BR396" i="1"/>
  <c r="BZ397" i="1"/>
  <c r="CG397" i="1"/>
  <c r="BQ397" i="1"/>
  <c r="BY398" i="1"/>
  <c r="CF398" i="1"/>
  <c r="BP398" i="1"/>
  <c r="CA404" i="1"/>
  <c r="BK404" i="1"/>
  <c r="BV404" i="1"/>
  <c r="CD405" i="1"/>
  <c r="BN405" i="1"/>
  <c r="BU405" i="1"/>
  <c r="CC406" i="1"/>
  <c r="BM406" i="1"/>
  <c r="BT406" i="1"/>
  <c r="CE412" i="1"/>
  <c r="BO412" i="1"/>
  <c r="BZ412" i="1"/>
  <c r="CH413" i="1"/>
  <c r="BR413" i="1"/>
  <c r="BY413" i="1"/>
  <c r="CG414" i="1"/>
  <c r="BQ414" i="1"/>
  <c r="BX414" i="1"/>
  <c r="BS55" i="1"/>
  <c r="BP112" i="1"/>
  <c r="BK135" i="1"/>
  <c r="BW155" i="1"/>
  <c r="CB174" i="1"/>
  <c r="BL194" i="1"/>
  <c r="BV203" i="1"/>
  <c r="BP211" i="1"/>
  <c r="CB231" i="1"/>
  <c r="BT239" i="1"/>
  <c r="BS248" i="1"/>
  <c r="BY255" i="1"/>
  <c r="BX257" i="1"/>
  <c r="CB261" i="1"/>
  <c r="BV267" i="1"/>
  <c r="BQ272" i="1"/>
  <c r="CF273" i="1"/>
  <c r="BT285" i="1"/>
  <c r="CG288" i="1"/>
  <c r="CE290" i="1"/>
  <c r="CC292" i="1"/>
  <c r="BY296" i="1"/>
  <c r="BN315" i="1"/>
  <c r="CD323" i="1"/>
  <c r="BZ327" i="1"/>
  <c r="BU356" i="1"/>
  <c r="BS358" i="1"/>
  <c r="BZ359" i="1"/>
  <c r="BT365" i="1"/>
  <c r="CI366" i="1"/>
  <c r="BU372" i="1"/>
  <c r="BS374" i="1"/>
  <c r="BZ375" i="1"/>
  <c r="BT381" i="1"/>
  <c r="CI382" i="1"/>
  <c r="BU388" i="1"/>
  <c r="BS390" i="1"/>
  <c r="BZ391" i="1"/>
  <c r="BT397" i="1"/>
  <c r="CI398" i="1"/>
  <c r="BU404" i="1"/>
  <c r="BS406" i="1"/>
  <c r="BZ407" i="1"/>
  <c r="BT413" i="1"/>
  <c r="CI414" i="1"/>
  <c r="BM420" i="1"/>
  <c r="CC420" i="1"/>
  <c r="BM424" i="1"/>
  <c r="CC424" i="1"/>
  <c r="BT425" i="1"/>
  <c r="BN427" i="1"/>
  <c r="CD427" i="1"/>
  <c r="BT429" i="1"/>
  <c r="BK430" i="1"/>
  <c r="CA430" i="1"/>
  <c r="BP433" i="1"/>
  <c r="CF433" i="1"/>
  <c r="BL437" i="1"/>
  <c r="CB437" i="1"/>
  <c r="BS442" i="1"/>
  <c r="CI442" i="1"/>
  <c r="BZ443" i="1"/>
  <c r="BP445" i="1"/>
  <c r="CF445" i="1"/>
  <c r="BM448" i="1"/>
  <c r="CC448" i="1"/>
  <c r="BT449" i="1"/>
  <c r="BM452" i="1"/>
  <c r="BS454" i="1"/>
  <c r="CI454" i="1"/>
  <c r="BZ455" i="1"/>
  <c r="BO458" i="1"/>
  <c r="BU460" i="1"/>
  <c r="BN463" i="1"/>
  <c r="CD463" i="1"/>
  <c r="BU464" i="1"/>
  <c r="CA466" i="1"/>
  <c r="BP469" i="1"/>
  <c r="CF469" i="1"/>
  <c r="BW470" i="1"/>
  <c r="BL473" i="1"/>
  <c r="CB473" i="1"/>
  <c r="BV475" i="1"/>
  <c r="BM476" i="1"/>
  <c r="BS478" i="1"/>
  <c r="CI478" i="1"/>
  <c r="BZ479" i="1"/>
  <c r="BP481" i="1"/>
  <c r="CF481" i="1"/>
  <c r="BY484" i="1"/>
  <c r="BR487" i="1"/>
  <c r="CH487" i="1"/>
  <c r="BX489" i="1"/>
  <c r="BO490" i="1"/>
  <c r="CE490" i="1"/>
  <c r="BU492" i="1"/>
  <c r="BL493" i="1"/>
  <c r="CB493" i="1"/>
  <c r="BU496" i="1"/>
  <c r="BK498" i="1"/>
  <c r="CA498" i="1"/>
  <c r="BR499" i="1"/>
  <c r="CH499" i="1"/>
  <c r="BW502" i="1"/>
  <c r="BN503" i="1"/>
  <c r="CD503" i="1"/>
  <c r="BS506" i="1"/>
  <c r="CI506" i="1"/>
  <c r="BZ507" i="1"/>
  <c r="CA26" i="1"/>
  <c r="CI26" i="1"/>
  <c r="BZ26" i="1"/>
  <c r="CG26" i="1"/>
  <c r="BQ26" i="1"/>
  <c r="BX26" i="1"/>
  <c r="CA30" i="1"/>
  <c r="BS30" i="1"/>
  <c r="CD30" i="1"/>
  <c r="BN30" i="1"/>
  <c r="BU30" i="1"/>
  <c r="CB30" i="1"/>
  <c r="BL30" i="1"/>
  <c r="CE34" i="1"/>
  <c r="CH34" i="1"/>
  <c r="BR34" i="1"/>
  <c r="BY34" i="1"/>
  <c r="CF34" i="1"/>
  <c r="BP34" i="1"/>
  <c r="CH38" i="1"/>
  <c r="CD38" i="1"/>
  <c r="BU38" i="1"/>
  <c r="BX38" i="1"/>
  <c r="CI38" i="1"/>
  <c r="BS38" i="1"/>
  <c r="BZ46" i="1"/>
  <c r="CE46" i="1"/>
  <c r="BV46" i="1"/>
  <c r="BU46" i="1"/>
  <c r="BT46" i="1"/>
  <c r="BW46" i="1"/>
  <c r="CA47" i="1"/>
  <c r="BS47" i="1"/>
  <c r="BW47" i="1"/>
  <c r="BN47" i="1"/>
  <c r="BU47" i="1"/>
  <c r="CB47" i="1"/>
  <c r="BL47" i="1"/>
  <c r="CA54" i="1"/>
  <c r="CF54" i="1"/>
  <c r="BW54" i="1"/>
  <c r="BZ54" i="1"/>
  <c r="CG54" i="1"/>
  <c r="BQ54" i="1"/>
  <c r="CA55" i="1"/>
  <c r="BW55" i="1"/>
  <c r="BN55" i="1"/>
  <c r="BU55" i="1"/>
  <c r="CB55" i="1"/>
  <c r="BL55" i="1"/>
  <c r="CB62" i="1"/>
  <c r="CF62" i="1"/>
  <c r="BW62" i="1"/>
  <c r="BZ62" i="1"/>
  <c r="CG62" i="1"/>
  <c r="BQ62" i="1"/>
  <c r="BZ63" i="1"/>
  <c r="BR63" i="1"/>
  <c r="CD63" i="1"/>
  <c r="CC63" i="1"/>
  <c r="BM63" i="1"/>
  <c r="BT63" i="1"/>
  <c r="BQ68" i="1"/>
  <c r="BV68" i="1"/>
  <c r="BM68" i="1"/>
  <c r="BT68" i="1"/>
  <c r="CE68" i="1"/>
  <c r="BO68" i="1"/>
  <c r="BN72" i="1"/>
  <c r="CH72" i="1"/>
  <c r="BY72" i="1"/>
  <c r="BX72" i="1"/>
  <c r="CI72" i="1"/>
  <c r="BS72" i="1"/>
  <c r="BR76" i="1"/>
  <c r="BV76" i="1"/>
  <c r="BM76" i="1"/>
  <c r="BT76" i="1"/>
  <c r="CE76" i="1"/>
  <c r="BO76" i="1"/>
  <c r="CA85" i="1"/>
  <c r="BW85" i="1"/>
  <c r="BN85" i="1"/>
  <c r="BU85" i="1"/>
  <c r="CB85" i="1"/>
  <c r="BL85" i="1"/>
  <c r="BM90" i="1"/>
  <c r="CG90" i="1"/>
  <c r="CB90" i="1"/>
  <c r="BL90" i="1"/>
  <c r="BW90" i="1"/>
  <c r="BM91" i="1"/>
  <c r="CG91" i="1"/>
  <c r="BX91" i="1"/>
  <c r="CA91" i="1"/>
  <c r="BK91" i="1"/>
  <c r="BV91" i="1"/>
  <c r="BQ95" i="1"/>
  <c r="BU95" i="1"/>
  <c r="BL95" i="1"/>
  <c r="BW95" i="1"/>
  <c r="CH95" i="1"/>
  <c r="BT100" i="1"/>
  <c r="BX100" i="1"/>
  <c r="BO100" i="1"/>
  <c r="BV100" i="1"/>
  <c r="CC100" i="1"/>
  <c r="BM100" i="1"/>
  <c r="BO104" i="1"/>
  <c r="CI104" i="1"/>
  <c r="CH104" i="1"/>
  <c r="BR104" i="1"/>
  <c r="BY104" i="1"/>
  <c r="CI108" i="1"/>
  <c r="BK108" i="1"/>
  <c r="CE108" i="1"/>
  <c r="CD108" i="1"/>
  <c r="BN108" i="1"/>
  <c r="BU108" i="1"/>
  <c r="CE112" i="1"/>
  <c r="BT112" i="1"/>
  <c r="BS112" i="1"/>
  <c r="BZ112" i="1"/>
  <c r="CG112" i="1"/>
  <c r="BQ112" i="1"/>
  <c r="CD113" i="1"/>
  <c r="BS113" i="1"/>
  <c r="BR113" i="1"/>
  <c r="BU113" i="1"/>
  <c r="CB113" i="1"/>
  <c r="BL113" i="1"/>
  <c r="BQ118" i="1"/>
  <c r="CC118" i="1"/>
  <c r="CB118" i="1"/>
  <c r="BL118" i="1"/>
  <c r="CE123" i="1"/>
  <c r="CI123" i="1"/>
  <c r="CH123" i="1"/>
  <c r="CC123" i="1"/>
  <c r="BM123" i="1"/>
  <c r="BT123" i="1"/>
  <c r="BK127" i="1"/>
  <c r="BO127" i="1"/>
  <c r="CG127" i="1"/>
  <c r="BQ127" i="1"/>
  <c r="BW131" i="1"/>
  <c r="BS131" i="1"/>
  <c r="BR131" i="1"/>
  <c r="BU131" i="1"/>
  <c r="CB131" i="1"/>
  <c r="BL131" i="1"/>
  <c r="BR135" i="1"/>
  <c r="CD135" i="1"/>
  <c r="CC135" i="1"/>
  <c r="BM135" i="1"/>
  <c r="BO139" i="1"/>
  <c r="CA139" i="1"/>
  <c r="BZ139" i="1"/>
  <c r="BY139" i="1"/>
  <c r="CF139" i="1"/>
  <c r="BP139" i="1"/>
  <c r="BZ143" i="1"/>
  <c r="CD143" i="1"/>
  <c r="CC143" i="1"/>
  <c r="BM143" i="1"/>
  <c r="BT143" i="1"/>
  <c r="BV147" i="1"/>
  <c r="BK147" i="1"/>
  <c r="CG147" i="1"/>
  <c r="BQ147" i="1"/>
  <c r="CI151" i="1"/>
  <c r="CE151" i="1"/>
  <c r="BV151" i="1"/>
  <c r="BY151" i="1"/>
  <c r="CF151" i="1"/>
  <c r="BP151" i="1"/>
  <c r="CD155" i="1"/>
  <c r="BS155" i="1"/>
  <c r="BR155" i="1"/>
  <c r="BU155" i="1"/>
  <c r="CB155" i="1"/>
  <c r="BL155" i="1"/>
  <c r="CE159" i="1"/>
  <c r="BV159" i="1"/>
  <c r="BY159" i="1"/>
  <c r="CF159" i="1"/>
  <c r="BP159" i="1"/>
  <c r="CI163" i="1"/>
  <c r="CH163" i="1"/>
  <c r="CC163" i="1"/>
  <c r="BM163" i="1"/>
  <c r="BT163" i="1"/>
  <c r="BS167" i="1"/>
  <c r="BW167" i="1"/>
  <c r="BN167" i="1"/>
  <c r="BU167" i="1"/>
  <c r="CB167" i="1"/>
  <c r="BL167" i="1"/>
  <c r="BN171" i="1"/>
  <c r="BK171" i="1"/>
  <c r="CG171" i="1"/>
  <c r="BQ171" i="1"/>
  <c r="BT174" i="1"/>
  <c r="BX174" i="1"/>
  <c r="BO174" i="1"/>
  <c r="BV174" i="1"/>
  <c r="CC174" i="1"/>
  <c r="BM174" i="1"/>
  <c r="BO178" i="1"/>
  <c r="CI178" i="1"/>
  <c r="CH178" i="1"/>
  <c r="BR178" i="1"/>
  <c r="BY178" i="1"/>
  <c r="CI183" i="1"/>
  <c r="CE183" i="1"/>
  <c r="BV183" i="1"/>
  <c r="BY183" i="1"/>
  <c r="CF183" i="1"/>
  <c r="BP183" i="1"/>
  <c r="CH189" i="1"/>
  <c r="CB189" i="1"/>
  <c r="BZ189" i="1"/>
  <c r="CE189" i="1"/>
  <c r="BO189" i="1"/>
  <c r="BQ194" i="1"/>
  <c r="BY194" i="1"/>
  <c r="CC194" i="1"/>
  <c r="CH194" i="1"/>
  <c r="BR194" i="1"/>
  <c r="CD199" i="1"/>
  <c r="BW199" i="1"/>
  <c r="CA199" i="1"/>
  <c r="CG199" i="1"/>
  <c r="BQ199" i="1"/>
  <c r="CI203" i="1"/>
  <c r="CD203" i="1"/>
  <c r="CG203" i="1"/>
  <c r="BL203" i="1"/>
  <c r="BQ203" i="1"/>
  <c r="BP207" i="1"/>
  <c r="CH207" i="1"/>
  <c r="BR207" i="1"/>
  <c r="CB211" i="1"/>
  <c r="CA211" i="1"/>
  <c r="CD211" i="1"/>
  <c r="BN211" i="1"/>
  <c r="BU211" i="1"/>
  <c r="BX215" i="1"/>
  <c r="BO215" i="1"/>
  <c r="BV215" i="1"/>
  <c r="CC215" i="1"/>
  <c r="CI219" i="1"/>
  <c r="CH219" i="1"/>
  <c r="BR219" i="1"/>
  <c r="BY219" i="1"/>
  <c r="CF223" i="1"/>
  <c r="BW223" i="1"/>
  <c r="BZ223" i="1"/>
  <c r="CG223" i="1"/>
  <c r="BL227" i="1"/>
  <c r="BK227" i="1"/>
  <c r="BV227" i="1"/>
  <c r="CC227" i="1"/>
  <c r="BM227" i="1"/>
  <c r="CE231" i="1"/>
  <c r="CD231" i="1"/>
  <c r="BN231" i="1"/>
  <c r="BT235" i="1"/>
  <c r="BS235" i="1"/>
  <c r="BZ235" i="1"/>
  <c r="CG235" i="1"/>
  <c r="BQ235" i="1"/>
  <c r="BP239" i="1"/>
  <c r="CH239" i="1"/>
  <c r="BR239" i="1"/>
  <c r="CB243" i="1"/>
  <c r="CA243" i="1"/>
  <c r="CD243" i="1"/>
  <c r="BN243" i="1"/>
  <c r="BU243" i="1"/>
  <c r="BW248" i="1"/>
  <c r="BN248" i="1"/>
  <c r="BU248" i="1"/>
  <c r="CB248" i="1"/>
  <c r="CG253" i="1"/>
  <c r="CB253" i="1"/>
  <c r="BL253" i="1"/>
  <c r="BW253" i="1"/>
  <c r="CG255" i="1"/>
  <c r="BL255" i="1"/>
  <c r="BP255" i="1"/>
  <c r="BZ255" i="1"/>
  <c r="CI256" i="1"/>
  <c r="BN256" i="1"/>
  <c r="BR256" i="1"/>
  <c r="BY256" i="1"/>
  <c r="CH261" i="1"/>
  <c r="BR261" i="1"/>
  <c r="BY261" i="1"/>
  <c r="CF267" i="1"/>
  <c r="BP267" i="1"/>
  <c r="CA267" i="1"/>
  <c r="BK267" i="1"/>
  <c r="BW272" i="1"/>
  <c r="CH272" i="1"/>
  <c r="BR272" i="1"/>
  <c r="BZ277" i="1"/>
  <c r="CG277" i="1"/>
  <c r="BQ277" i="1"/>
  <c r="CA296" i="1"/>
  <c r="BK296" i="1"/>
  <c r="BV296" i="1"/>
  <c r="CB315" i="1"/>
  <c r="BL315" i="1"/>
  <c r="BW315" i="1"/>
  <c r="CF319" i="1"/>
  <c r="BP319" i="1"/>
  <c r="CA319" i="1"/>
  <c r="BK319" i="1"/>
  <c r="BT323" i="1"/>
  <c r="CE323" i="1"/>
  <c r="BX327" i="1"/>
  <c r="CI327" i="1"/>
  <c r="BS327" i="1"/>
  <c r="CB359" i="1"/>
  <c r="BL359" i="1"/>
  <c r="CF367" i="1"/>
  <c r="BP367" i="1"/>
  <c r="CA367" i="1"/>
  <c r="BT375" i="1"/>
  <c r="CE375" i="1"/>
  <c r="BX383" i="1"/>
  <c r="CI383" i="1"/>
  <c r="CB391" i="1"/>
  <c r="BL391" i="1"/>
  <c r="CF399" i="1"/>
  <c r="BP399" i="1"/>
  <c r="CA399" i="1"/>
  <c r="BT407" i="1"/>
  <c r="CE407" i="1"/>
  <c r="BO407" i="1"/>
  <c r="BX415" i="1"/>
  <c r="CI415" i="1"/>
  <c r="BP268" i="1"/>
  <c r="CA345" i="1"/>
  <c r="BN366" i="1"/>
  <c r="BT376" i="1"/>
  <c r="CF396" i="1"/>
  <c r="BS417" i="1"/>
  <c r="BS423" i="1"/>
  <c r="BU437" i="1"/>
  <c r="BM445" i="1"/>
  <c r="BK463" i="1"/>
  <c r="BT467" i="1"/>
  <c r="BY470" i="1"/>
  <c r="CF471" i="1"/>
  <c r="BY478" i="1"/>
  <c r="BO480" i="1"/>
  <c r="BS484" i="1"/>
  <c r="BZ485" i="1"/>
  <c r="BO488" i="1"/>
  <c r="CI492" i="1"/>
  <c r="BY494" i="1"/>
  <c r="BN497" i="1"/>
  <c r="CC498" i="1"/>
  <c r="BS500" i="1"/>
  <c r="BW504" i="1"/>
  <c r="BT507" i="1"/>
  <c r="BN52" i="1"/>
  <c r="CH52" i="1"/>
  <c r="BY52" i="1"/>
  <c r="BX52" i="1"/>
  <c r="CI52" i="1"/>
  <c r="BS52" i="1"/>
  <c r="BT53" i="1"/>
  <c r="BL53" i="1"/>
  <c r="CF53" i="1"/>
  <c r="CE53" i="1"/>
  <c r="BO53" i="1"/>
  <c r="BZ53" i="1"/>
  <c r="BV60" i="1"/>
  <c r="CC60" i="1"/>
  <c r="BR60" i="1"/>
  <c r="CF60" i="1"/>
  <c r="BP60" i="1"/>
  <c r="CA60" i="1"/>
  <c r="BK60" i="1"/>
  <c r="BO66" i="1"/>
  <c r="BT66" i="1"/>
  <c r="BS66" i="1"/>
  <c r="BZ66" i="1"/>
  <c r="CG66" i="1"/>
  <c r="BQ66" i="1"/>
  <c r="CF70" i="1"/>
  <c r="CB70" i="1"/>
  <c r="CA70" i="1"/>
  <c r="CD70" i="1"/>
  <c r="BN70" i="1"/>
  <c r="BU70" i="1"/>
  <c r="BK74" i="1"/>
  <c r="CI74" i="1"/>
  <c r="BP74" i="1"/>
  <c r="CH74" i="1"/>
  <c r="BR74" i="1"/>
  <c r="BY74" i="1"/>
  <c r="BX78" i="1"/>
  <c r="CE78" i="1"/>
  <c r="BL78" i="1"/>
  <c r="BK78" i="1"/>
  <c r="BV78" i="1"/>
  <c r="CC78" i="1"/>
  <c r="BM78" i="1"/>
  <c r="CD89" i="1"/>
  <c r="CA89" i="1"/>
  <c r="BV94" i="1"/>
  <c r="BO94" i="1"/>
  <c r="CI99" i="1"/>
  <c r="BP103" i="1"/>
  <c r="BO103" i="1"/>
  <c r="CG107" i="1"/>
  <c r="BV107" i="1"/>
  <c r="CI111" i="1"/>
  <c r="BK116" i="1"/>
  <c r="BR116" i="1"/>
  <c r="BL120" i="1"/>
  <c r="BM120" i="1"/>
  <c r="BY121" i="1"/>
  <c r="CG125" i="1"/>
  <c r="BV125" i="1"/>
  <c r="BU133" i="1"/>
  <c r="BL137" i="1"/>
  <c r="CC141" i="1"/>
  <c r="BK141" i="1"/>
  <c r="CC149" i="1"/>
  <c r="BS149" i="1"/>
  <c r="BU153" i="1"/>
  <c r="BR153" i="1"/>
  <c r="CA157" i="1"/>
  <c r="BX161" i="1"/>
  <c r="CH440" i="1"/>
  <c r="BP440" i="1"/>
  <c r="CF440" i="1"/>
  <c r="BY440" i="1"/>
  <c r="BS440" i="1"/>
  <c r="BV440" i="1"/>
  <c r="CE440" i="1"/>
  <c r="BT440" i="1"/>
  <c r="BM440" i="1"/>
  <c r="CC440" i="1"/>
  <c r="CA440" i="1"/>
  <c r="CD440" i="1"/>
  <c r="BZ440" i="1"/>
  <c r="BX440" i="1"/>
  <c r="BQ440" i="1"/>
  <c r="CG440" i="1"/>
  <c r="CI440" i="1"/>
  <c r="BO440" i="1"/>
  <c r="BL440" i="1"/>
  <c r="CB440" i="1"/>
  <c r="BU440" i="1"/>
  <c r="BK440" i="1"/>
  <c r="BN440" i="1"/>
  <c r="BW440" i="1"/>
  <c r="BR440" i="1"/>
  <c r="BS447" i="1"/>
  <c r="BY447" i="1"/>
  <c r="BR447" i="1"/>
  <c r="CH447" i="1"/>
  <c r="BO447" i="1"/>
  <c r="BX447" i="1"/>
  <c r="BM447" i="1"/>
  <c r="CC447" i="1"/>
  <c r="BV447" i="1"/>
  <c r="BL447" i="1"/>
  <c r="BW447" i="1"/>
  <c r="CF447" i="1"/>
  <c r="BQ447" i="1"/>
  <c r="CG447" i="1"/>
  <c r="BZ447" i="1"/>
  <c r="BT447" i="1"/>
  <c r="CE447" i="1"/>
  <c r="BU447" i="1"/>
  <c r="BN447" i="1"/>
  <c r="CD447" i="1"/>
  <c r="CB447" i="1"/>
  <c r="BP447" i="1"/>
  <c r="CI447" i="1"/>
  <c r="BV452" i="1"/>
  <c r="CE452" i="1"/>
  <c r="BR452" i="1"/>
  <c r="BS452" i="1"/>
  <c r="BO452" i="1"/>
  <c r="BZ452" i="1"/>
  <c r="CA452" i="1"/>
  <c r="BN452" i="1"/>
  <c r="BW452" i="1"/>
  <c r="CH452" i="1"/>
  <c r="CI452" i="1"/>
  <c r="BL452" i="1"/>
  <c r="CF458" i="1"/>
  <c r="BY458" i="1"/>
  <c r="CB458" i="1"/>
  <c r="CG458" i="1"/>
  <c r="BM458" i="1"/>
  <c r="BL458" i="1"/>
  <c r="BU458" i="1"/>
  <c r="BX458" i="1"/>
  <c r="BQ458" i="1"/>
  <c r="BT458" i="1"/>
  <c r="CC458" i="1"/>
  <c r="BP458" i="1"/>
  <c r="BN458" i="1"/>
  <c r="BT472" i="1"/>
  <c r="BM472" i="1"/>
  <c r="CC472" i="1"/>
  <c r="CE472" i="1"/>
  <c r="BX472" i="1"/>
  <c r="BQ472" i="1"/>
  <c r="CG472" i="1"/>
  <c r="BR472" i="1"/>
  <c r="BS472" i="1"/>
  <c r="BN472" i="1"/>
  <c r="BL472" i="1"/>
  <c r="CB472" i="1"/>
  <c r="BU472" i="1"/>
  <c r="BO472" i="1"/>
  <c r="BZ472" i="1"/>
  <c r="CA472" i="1"/>
  <c r="BP472" i="1"/>
  <c r="CF472" i="1"/>
  <c r="BY472" i="1"/>
  <c r="BW472" i="1"/>
  <c r="CH472" i="1"/>
  <c r="CI472" i="1"/>
  <c r="CD472" i="1"/>
  <c r="BV472" i="1"/>
  <c r="BR476" i="1"/>
  <c r="CH476" i="1"/>
  <c r="BZ476" i="1"/>
  <c r="CE476" i="1"/>
  <c r="BW476" i="1"/>
  <c r="BO476" i="1"/>
  <c r="BL476" i="1"/>
  <c r="CD476" i="1"/>
  <c r="BV476" i="1"/>
  <c r="BN476" i="1"/>
  <c r="BM481" i="1"/>
  <c r="BN481" i="1"/>
  <c r="BU481" i="1"/>
  <c r="CC481" i="1"/>
  <c r="BZ481" i="1"/>
  <c r="BR481" i="1"/>
  <c r="CH481" i="1"/>
  <c r="BY481" i="1"/>
  <c r="BQ481" i="1"/>
  <c r="CG481" i="1"/>
  <c r="BM489" i="1"/>
  <c r="BU489" i="1"/>
  <c r="CC489" i="1"/>
  <c r="BN489" i="1"/>
  <c r="CH489" i="1"/>
  <c r="BZ489" i="1"/>
  <c r="BR489" i="1"/>
  <c r="CG489" i="1"/>
  <c r="BY489" i="1"/>
  <c r="BQ489" i="1"/>
  <c r="BK489" i="1"/>
  <c r="CA491" i="1"/>
  <c r="BS491" i="1"/>
  <c r="BQ491" i="1"/>
  <c r="CG491" i="1"/>
  <c r="BZ491" i="1"/>
  <c r="BU491" i="1"/>
  <c r="BN491" i="1"/>
  <c r="CD491" i="1"/>
  <c r="CI491" i="1"/>
  <c r="BY491" i="1"/>
  <c r="BR491" i="1"/>
  <c r="CH491" i="1"/>
  <c r="BM491" i="1"/>
  <c r="CC491" i="1"/>
  <c r="BV491" i="1"/>
  <c r="BP491" i="1"/>
  <c r="CF491" i="1"/>
  <c r="BX491" i="1"/>
  <c r="BO491" i="1"/>
  <c r="CE491" i="1"/>
  <c r="BW491" i="1"/>
  <c r="BX434" i="1"/>
  <c r="BL434" i="1"/>
  <c r="BU434" i="1"/>
  <c r="BP434" i="1"/>
  <c r="BQ434" i="1"/>
  <c r="BT434" i="1"/>
  <c r="CC434" i="1"/>
  <c r="BY434" i="1"/>
  <c r="CB434" i="1"/>
  <c r="CG434" i="1"/>
  <c r="BM434" i="1"/>
  <c r="BN434" i="1"/>
  <c r="BL436" i="1"/>
  <c r="CB436" i="1"/>
  <c r="BU436" i="1"/>
  <c r="BO436" i="1"/>
  <c r="BZ436" i="1"/>
  <c r="CA436" i="1"/>
  <c r="CD436" i="1"/>
  <c r="BP436" i="1"/>
  <c r="CF436" i="1"/>
  <c r="BY436" i="1"/>
  <c r="BW436" i="1"/>
  <c r="CH436" i="1"/>
  <c r="CI436" i="1"/>
  <c r="BT436" i="1"/>
  <c r="BM436" i="1"/>
  <c r="CC436" i="1"/>
  <c r="CE436" i="1"/>
  <c r="BK436" i="1"/>
  <c r="BN436" i="1"/>
  <c r="BX436" i="1"/>
  <c r="BQ436" i="1"/>
  <c r="CG436" i="1"/>
  <c r="BR436" i="1"/>
  <c r="BS436" i="1"/>
  <c r="BV436" i="1"/>
  <c r="CA439" i="1"/>
  <c r="BY439" i="1"/>
  <c r="BR439" i="1"/>
  <c r="CH439" i="1"/>
  <c r="BO439" i="1"/>
  <c r="BX439" i="1"/>
  <c r="BM439" i="1"/>
  <c r="CC439" i="1"/>
  <c r="BV439" i="1"/>
  <c r="BL439" i="1"/>
  <c r="BW439" i="1"/>
  <c r="CF439" i="1"/>
  <c r="BQ439" i="1"/>
  <c r="CG439" i="1"/>
  <c r="BZ439" i="1"/>
  <c r="BT439" i="1"/>
  <c r="CE439" i="1"/>
  <c r="BS439" i="1"/>
  <c r="BU439" i="1"/>
  <c r="BN439" i="1"/>
  <c r="CD439" i="1"/>
  <c r="CB439" i="1"/>
  <c r="BP439" i="1"/>
  <c r="BK439" i="1"/>
  <c r="BN450" i="1"/>
  <c r="CD450" i="1"/>
  <c r="BS450" i="1"/>
  <c r="CI450" i="1"/>
  <c r="BL450" i="1"/>
  <c r="BU450" i="1"/>
  <c r="BR450" i="1"/>
  <c r="CH450" i="1"/>
  <c r="BW450" i="1"/>
  <c r="BQ450" i="1"/>
  <c r="BT450" i="1"/>
  <c r="CC450" i="1"/>
  <c r="BV450" i="1"/>
  <c r="BK450" i="1"/>
  <c r="CA450" i="1"/>
  <c r="BY450" i="1"/>
  <c r="CB450" i="1"/>
  <c r="BZ450" i="1"/>
  <c r="BO450" i="1"/>
  <c r="CE450" i="1"/>
  <c r="CG450" i="1"/>
  <c r="BM450" i="1"/>
  <c r="CF450" i="1"/>
  <c r="BX450" i="1"/>
  <c r="BR456" i="1"/>
  <c r="BL456" i="1"/>
  <c r="CB456" i="1"/>
  <c r="BU456" i="1"/>
  <c r="BK456" i="1"/>
  <c r="BN456" i="1"/>
  <c r="BW456" i="1"/>
  <c r="BP456" i="1"/>
  <c r="CF456" i="1"/>
  <c r="BY456" i="1"/>
  <c r="BS456" i="1"/>
  <c r="BV456" i="1"/>
  <c r="CE456" i="1"/>
  <c r="BT456" i="1"/>
  <c r="BM456" i="1"/>
  <c r="CC456" i="1"/>
  <c r="CA456" i="1"/>
  <c r="CD456" i="1"/>
  <c r="BX456" i="1"/>
  <c r="BQ456" i="1"/>
  <c r="CG456" i="1"/>
  <c r="CI456" i="1"/>
  <c r="BO456" i="1"/>
  <c r="CH456" i="1"/>
  <c r="BK475" i="1"/>
  <c r="BS475" i="1"/>
  <c r="CA475" i="1"/>
  <c r="CI475" i="1"/>
  <c r="BL475" i="1"/>
  <c r="BX475" i="1"/>
  <c r="BP475" i="1"/>
  <c r="CF475" i="1"/>
  <c r="BW475" i="1"/>
  <c r="BO475" i="1"/>
  <c r="BM475" i="1"/>
  <c r="CE475" i="1"/>
  <c r="CB482" i="1"/>
  <c r="BN482" i="1"/>
  <c r="CD482" i="1"/>
  <c r="BS482" i="1"/>
  <c r="CI482" i="1"/>
  <c r="BR482" i="1"/>
  <c r="CH482" i="1"/>
  <c r="BW482" i="1"/>
  <c r="BL482" i="1"/>
  <c r="BV482" i="1"/>
  <c r="BK482" i="1"/>
  <c r="CA482" i="1"/>
  <c r="BT482" i="1"/>
  <c r="BZ482" i="1"/>
  <c r="BO482" i="1"/>
  <c r="CE482" i="1"/>
  <c r="CG482" i="1"/>
  <c r="BY482" i="1"/>
  <c r="BQ482" i="1"/>
  <c r="CF482" i="1"/>
  <c r="BX482" i="1"/>
  <c r="BP482" i="1"/>
  <c r="BP502" i="1"/>
  <c r="BX502" i="1"/>
  <c r="CF502" i="1"/>
  <c r="BQ502" i="1"/>
  <c r="BM502" i="1"/>
  <c r="CC502" i="1"/>
  <c r="BU502" i="1"/>
  <c r="BT502" i="1"/>
  <c r="BL502" i="1"/>
  <c r="CB502" i="1"/>
  <c r="BN502" i="1"/>
  <c r="BP22" i="1"/>
  <c r="CF22" i="1"/>
  <c r="BU22" i="1"/>
  <c r="BS22" i="1"/>
  <c r="BV22" i="1"/>
  <c r="CE22" i="1"/>
  <c r="BT22" i="1"/>
  <c r="BK22" i="1"/>
  <c r="BY22" i="1"/>
  <c r="CA22" i="1"/>
  <c r="CD22" i="1"/>
  <c r="CH22" i="1"/>
  <c r="BX22" i="1"/>
  <c r="BM22" i="1"/>
  <c r="CC22" i="1"/>
  <c r="CI22" i="1"/>
  <c r="BO22" i="1"/>
  <c r="BL22" i="1"/>
  <c r="CB22" i="1"/>
  <c r="BQ22" i="1"/>
  <c r="CG22" i="1"/>
  <c r="BN22" i="1"/>
  <c r="BW22" i="1"/>
  <c r="BZ22" i="1"/>
  <c r="BR22" i="1"/>
  <c r="BL446" i="1"/>
  <c r="CC446" i="1"/>
  <c r="BQ446" i="1"/>
  <c r="BN446" i="1"/>
  <c r="BP446" i="1"/>
  <c r="BY446" i="1"/>
  <c r="BM446" i="1"/>
  <c r="BX446" i="1"/>
  <c r="CG446" i="1"/>
  <c r="BU446" i="1"/>
  <c r="CF446" i="1"/>
  <c r="CB446" i="1"/>
  <c r="BU461" i="1"/>
  <c r="BW461" i="1"/>
  <c r="BL461" i="1"/>
  <c r="CB461" i="1"/>
  <c r="CD461" i="1"/>
  <c r="BR461" i="1"/>
  <c r="BM461" i="1"/>
  <c r="BK461" i="1"/>
  <c r="CA461" i="1"/>
  <c r="BP461" i="1"/>
  <c r="CF461" i="1"/>
  <c r="BQ461" i="1"/>
  <c r="BZ461" i="1"/>
  <c r="BO461" i="1"/>
  <c r="CE461" i="1"/>
  <c r="BT461" i="1"/>
  <c r="BN461" i="1"/>
  <c r="BY461" i="1"/>
  <c r="CH461" i="1"/>
  <c r="BS461" i="1"/>
  <c r="CI461" i="1"/>
  <c r="BX461" i="1"/>
  <c r="BV461" i="1"/>
  <c r="CG461" i="1"/>
  <c r="BN24" i="1"/>
  <c r="CD24" i="1"/>
  <c r="BS24" i="1"/>
  <c r="CI24" i="1"/>
  <c r="BX24" i="1"/>
  <c r="BY24" i="1"/>
  <c r="BQ24" i="1"/>
  <c r="BR24" i="1"/>
  <c r="CH24" i="1"/>
  <c r="BW24" i="1"/>
  <c r="BL24" i="1"/>
  <c r="CB24" i="1"/>
  <c r="CC24" i="1"/>
  <c r="BV24" i="1"/>
  <c r="CA24" i="1"/>
  <c r="BP24" i="1"/>
  <c r="CF24" i="1"/>
  <c r="CG24" i="1"/>
  <c r="BZ24" i="1"/>
  <c r="BO24" i="1"/>
  <c r="CE24" i="1"/>
  <c r="BT24" i="1"/>
  <c r="BU24" i="1"/>
  <c r="BM24" i="1"/>
  <c r="BP432" i="1"/>
  <c r="CF432" i="1"/>
  <c r="BY432" i="1"/>
  <c r="BS432" i="1"/>
  <c r="BV432" i="1"/>
  <c r="CE432" i="1"/>
  <c r="BT432" i="1"/>
  <c r="BM432" i="1"/>
  <c r="CC432" i="1"/>
  <c r="CA432" i="1"/>
  <c r="CD432" i="1"/>
  <c r="BR432" i="1"/>
  <c r="BX432" i="1"/>
  <c r="BQ432" i="1"/>
  <c r="CG432" i="1"/>
  <c r="CI432" i="1"/>
  <c r="BO432" i="1"/>
  <c r="BZ432" i="1"/>
  <c r="BL432" i="1"/>
  <c r="CB432" i="1"/>
  <c r="BU432" i="1"/>
  <c r="BK432" i="1"/>
  <c r="BN432" i="1"/>
  <c r="BW432" i="1"/>
  <c r="CH432" i="1"/>
  <c r="CF316" i="1"/>
  <c r="BM316" i="1"/>
  <c r="BQ316" i="1"/>
  <c r="BP316" i="1"/>
  <c r="CG316" i="1"/>
  <c r="BX316" i="1"/>
  <c r="BY316" i="1"/>
  <c r="BT422" i="1"/>
  <c r="CB422" i="1"/>
  <c r="BZ422" i="1"/>
  <c r="BO422" i="1"/>
  <c r="CE422" i="1"/>
  <c r="CC422" i="1"/>
  <c r="BQ422" i="1"/>
  <c r="BN422" i="1"/>
  <c r="CD422" i="1"/>
  <c r="BS422" i="1"/>
  <c r="CI422" i="1"/>
  <c r="BP422" i="1"/>
  <c r="BY422" i="1"/>
  <c r="BR422" i="1"/>
  <c r="CH422" i="1"/>
  <c r="BW422" i="1"/>
  <c r="BM422" i="1"/>
  <c r="BX422" i="1"/>
  <c r="CG422" i="1"/>
  <c r="BV422" i="1"/>
  <c r="BK422" i="1"/>
  <c r="CA422" i="1"/>
  <c r="BU422" i="1"/>
  <c r="CF422" i="1"/>
  <c r="BN350" i="1"/>
  <c r="BL350" i="1"/>
  <c r="CB350" i="1"/>
  <c r="BU350" i="1"/>
  <c r="BR350" i="1"/>
  <c r="BS350" i="1"/>
  <c r="CE350" i="1"/>
  <c r="BP350" i="1"/>
  <c r="CF350" i="1"/>
  <c r="BY350" i="1"/>
  <c r="BZ350" i="1"/>
  <c r="CA350" i="1"/>
  <c r="BV350" i="1"/>
  <c r="BT350" i="1"/>
  <c r="BM350" i="1"/>
  <c r="CC350" i="1"/>
  <c r="CH350" i="1"/>
  <c r="CI350" i="1"/>
  <c r="BW350" i="1"/>
  <c r="BX350" i="1"/>
  <c r="BQ350" i="1"/>
  <c r="CG350" i="1"/>
  <c r="BK350" i="1"/>
  <c r="BO350" i="1"/>
  <c r="BK311" i="1"/>
  <c r="CA311" i="1"/>
  <c r="BP311" i="1"/>
  <c r="CF311" i="1"/>
  <c r="BR311" i="1"/>
  <c r="CD311" i="1"/>
  <c r="BO311" i="1"/>
  <c r="CE311" i="1"/>
  <c r="BT311" i="1"/>
  <c r="BQ311" i="1"/>
  <c r="BZ311" i="1"/>
  <c r="BU311" i="1"/>
  <c r="BS311" i="1"/>
  <c r="CI311" i="1"/>
  <c r="BX311" i="1"/>
  <c r="BY311" i="1"/>
  <c r="CH311" i="1"/>
  <c r="BV311" i="1"/>
  <c r="BW311" i="1"/>
  <c r="BL311" i="1"/>
  <c r="CB311" i="1"/>
  <c r="CG311" i="1"/>
  <c r="BN311" i="1"/>
  <c r="BM311" i="1"/>
  <c r="CC311" i="1"/>
  <c r="BK303" i="1"/>
  <c r="CA303" i="1"/>
  <c r="BP303" i="1"/>
  <c r="CF303" i="1"/>
  <c r="BR303" i="1"/>
  <c r="BM303" i="1"/>
  <c r="BU303" i="1"/>
  <c r="BO303" i="1"/>
  <c r="CE303" i="1"/>
  <c r="BT303" i="1"/>
  <c r="BQ303" i="1"/>
  <c r="BZ303" i="1"/>
  <c r="CC303" i="1"/>
  <c r="BS303" i="1"/>
  <c r="CI303" i="1"/>
  <c r="BX303" i="1"/>
  <c r="BY303" i="1"/>
  <c r="CH303" i="1"/>
  <c r="BN303" i="1"/>
  <c r="BW303" i="1"/>
  <c r="BL303" i="1"/>
  <c r="CB303" i="1"/>
  <c r="CG303" i="1"/>
  <c r="BV303" i="1"/>
  <c r="CD303" i="1"/>
  <c r="CE435" i="1"/>
  <c r="BQ435" i="1"/>
  <c r="CG435" i="1"/>
  <c r="BZ435" i="1"/>
  <c r="BX435" i="1"/>
  <c r="CA435" i="1"/>
  <c r="CB435" i="1"/>
  <c r="BU435" i="1"/>
  <c r="BN435" i="1"/>
  <c r="CD435" i="1"/>
  <c r="CF435" i="1"/>
  <c r="CI435" i="1"/>
  <c r="BY435" i="1"/>
  <c r="BR435" i="1"/>
  <c r="CH435" i="1"/>
  <c r="BK435" i="1"/>
  <c r="BL435" i="1"/>
  <c r="BM435" i="1"/>
  <c r="CC435" i="1"/>
  <c r="BV435" i="1"/>
  <c r="BP435" i="1"/>
  <c r="BS435" i="1"/>
  <c r="BT435" i="1"/>
  <c r="BW435" i="1"/>
  <c r="BO435" i="1"/>
  <c r="BQ421" i="1"/>
  <c r="BZ421" i="1"/>
  <c r="CC421" i="1"/>
  <c r="BN421" i="1"/>
  <c r="BY421" i="1"/>
  <c r="CH421" i="1"/>
  <c r="BV421" i="1"/>
  <c r="CG421" i="1"/>
  <c r="BM421" i="1"/>
  <c r="CD421" i="1"/>
  <c r="BR421" i="1"/>
  <c r="BU421" i="1"/>
  <c r="BK421" i="1"/>
  <c r="BV415" i="1"/>
  <c r="CD415" i="1"/>
  <c r="BM415" i="1"/>
  <c r="CC415" i="1"/>
  <c r="BN415" i="1"/>
  <c r="BU415" i="1"/>
  <c r="BY411" i="1"/>
  <c r="BW411" i="1"/>
  <c r="BL411" i="1"/>
  <c r="CB411" i="1"/>
  <c r="CC411" i="1"/>
  <c r="BZ411" i="1"/>
  <c r="CH411" i="1"/>
  <c r="BK411" i="1"/>
  <c r="CA411" i="1"/>
  <c r="BP411" i="1"/>
  <c r="CF411" i="1"/>
  <c r="BN411" i="1"/>
  <c r="BQ411" i="1"/>
  <c r="BO411" i="1"/>
  <c r="CE411" i="1"/>
  <c r="BT411" i="1"/>
  <c r="BM411" i="1"/>
  <c r="BV411" i="1"/>
  <c r="CG411" i="1"/>
  <c r="BS411" i="1"/>
  <c r="CI411" i="1"/>
  <c r="BX411" i="1"/>
  <c r="BU411" i="1"/>
  <c r="CD411" i="1"/>
  <c r="BR411" i="1"/>
  <c r="BN407" i="1"/>
  <c r="CD407" i="1"/>
  <c r="BU407" i="1"/>
  <c r="BV407" i="1"/>
  <c r="CC407" i="1"/>
  <c r="CG403" i="1"/>
  <c r="BW403" i="1"/>
  <c r="BL403" i="1"/>
  <c r="CB403" i="1"/>
  <c r="CC403" i="1"/>
  <c r="BR403" i="1"/>
  <c r="BK403" i="1"/>
  <c r="CA403" i="1"/>
  <c r="BP403" i="1"/>
  <c r="CF403" i="1"/>
  <c r="BN403" i="1"/>
  <c r="CH403" i="1"/>
  <c r="BO403" i="1"/>
  <c r="CE403" i="1"/>
  <c r="BT403" i="1"/>
  <c r="BM403" i="1"/>
  <c r="BV403" i="1"/>
  <c r="BY403" i="1"/>
  <c r="BS403" i="1"/>
  <c r="CI403" i="1"/>
  <c r="BX403" i="1"/>
  <c r="BU403" i="1"/>
  <c r="CD403" i="1"/>
  <c r="BZ403" i="1"/>
  <c r="BQ403" i="1"/>
  <c r="BV399" i="1"/>
  <c r="CD399" i="1"/>
  <c r="BM399" i="1"/>
  <c r="CC399" i="1"/>
  <c r="BN399" i="1"/>
  <c r="BK395" i="1"/>
  <c r="CA395" i="1"/>
  <c r="BP395" i="1"/>
  <c r="CF395" i="1"/>
  <c r="BN395" i="1"/>
  <c r="BQ395" i="1"/>
  <c r="BY395" i="1"/>
  <c r="BO395" i="1"/>
  <c r="CE395" i="1"/>
  <c r="BT395" i="1"/>
  <c r="BM395" i="1"/>
  <c r="BV395" i="1"/>
  <c r="CG395" i="1"/>
  <c r="BS395" i="1"/>
  <c r="CI395" i="1"/>
  <c r="BX395" i="1"/>
  <c r="BU395" i="1"/>
  <c r="CD395" i="1"/>
  <c r="BR395" i="1"/>
  <c r="BW395" i="1"/>
  <c r="BL395" i="1"/>
  <c r="CB395" i="1"/>
  <c r="CC395" i="1"/>
  <c r="BZ395" i="1"/>
  <c r="CH395" i="1"/>
  <c r="BM391" i="1"/>
  <c r="BN391" i="1"/>
  <c r="CD391" i="1"/>
  <c r="BU391" i="1"/>
  <c r="BV391" i="1"/>
  <c r="BK387" i="1"/>
  <c r="CA387" i="1"/>
  <c r="BP387" i="1"/>
  <c r="CF387" i="1"/>
  <c r="BN387" i="1"/>
  <c r="CH387" i="1"/>
  <c r="BO387" i="1"/>
  <c r="CE387" i="1"/>
  <c r="BT387" i="1"/>
  <c r="BM387" i="1"/>
  <c r="BV387" i="1"/>
  <c r="BY387" i="1"/>
  <c r="CG387" i="1"/>
  <c r="BS387" i="1"/>
  <c r="CI387" i="1"/>
  <c r="BX387" i="1"/>
  <c r="BU387" i="1"/>
  <c r="CD387" i="1"/>
  <c r="BZ387" i="1"/>
  <c r="BW387" i="1"/>
  <c r="BL387" i="1"/>
  <c r="CB387" i="1"/>
  <c r="CC387" i="1"/>
  <c r="BR387" i="1"/>
  <c r="BQ387" i="1"/>
  <c r="BU383" i="1"/>
  <c r="BV383" i="1"/>
  <c r="CD383" i="1"/>
  <c r="BM383" i="1"/>
  <c r="CC383" i="1"/>
  <c r="BN383" i="1"/>
  <c r="BO379" i="1"/>
  <c r="CE379" i="1"/>
  <c r="BT379" i="1"/>
  <c r="BM379" i="1"/>
  <c r="BV379" i="1"/>
  <c r="CG379" i="1"/>
  <c r="BS379" i="1"/>
  <c r="CI379" i="1"/>
  <c r="BX379" i="1"/>
  <c r="BU379" i="1"/>
  <c r="CD379" i="1"/>
  <c r="BR379" i="1"/>
  <c r="BW379" i="1"/>
  <c r="BL379" i="1"/>
  <c r="CB379" i="1"/>
  <c r="CC379" i="1"/>
  <c r="BZ379" i="1"/>
  <c r="CH379" i="1"/>
  <c r="BK379" i="1"/>
  <c r="CA379" i="1"/>
  <c r="BP379" i="1"/>
  <c r="CF379" i="1"/>
  <c r="BN379" i="1"/>
  <c r="BQ379" i="1"/>
  <c r="BY379" i="1"/>
  <c r="CC375" i="1"/>
  <c r="BM375" i="1"/>
  <c r="BN375" i="1"/>
  <c r="CD375" i="1"/>
  <c r="BU375" i="1"/>
  <c r="BV375" i="1"/>
  <c r="BO371" i="1"/>
  <c r="CE371" i="1"/>
  <c r="BT371" i="1"/>
  <c r="BM371" i="1"/>
  <c r="BV371" i="1"/>
  <c r="BY371" i="1"/>
  <c r="BS371" i="1"/>
  <c r="CI371" i="1"/>
  <c r="BX371" i="1"/>
  <c r="BU371" i="1"/>
  <c r="CD371" i="1"/>
  <c r="BZ371" i="1"/>
  <c r="BW371" i="1"/>
  <c r="BL371" i="1"/>
  <c r="CB371" i="1"/>
  <c r="CC371" i="1"/>
  <c r="BR371" i="1"/>
  <c r="BK371" i="1"/>
  <c r="CA371" i="1"/>
  <c r="BP371" i="1"/>
  <c r="CF371" i="1"/>
  <c r="BN371" i="1"/>
  <c r="CH371" i="1"/>
  <c r="CG371" i="1"/>
  <c r="BU367" i="1"/>
  <c r="BV367" i="1"/>
  <c r="CD367" i="1"/>
  <c r="BM367" i="1"/>
  <c r="CC367" i="1"/>
  <c r="BN367" i="1"/>
  <c r="BS363" i="1"/>
  <c r="CI363" i="1"/>
  <c r="BX363" i="1"/>
  <c r="BU363" i="1"/>
  <c r="CD363" i="1"/>
  <c r="BR363" i="1"/>
  <c r="BW363" i="1"/>
  <c r="BL363" i="1"/>
  <c r="CB363" i="1"/>
  <c r="CC363" i="1"/>
  <c r="BZ363" i="1"/>
  <c r="CH363" i="1"/>
  <c r="BK363" i="1"/>
  <c r="CA363" i="1"/>
  <c r="BP363" i="1"/>
  <c r="CF363" i="1"/>
  <c r="BN363" i="1"/>
  <c r="BQ363" i="1"/>
  <c r="BO363" i="1"/>
  <c r="CE363" i="1"/>
  <c r="BT363" i="1"/>
  <c r="BM363" i="1"/>
  <c r="BV363" i="1"/>
  <c r="CG363" i="1"/>
  <c r="CC359" i="1"/>
  <c r="BN359" i="1"/>
  <c r="CD359" i="1"/>
  <c r="BU359" i="1"/>
  <c r="BV359" i="1"/>
  <c r="BM359" i="1"/>
  <c r="BQ355" i="1"/>
  <c r="BS355" i="1"/>
  <c r="CI355" i="1"/>
  <c r="BX355" i="1"/>
  <c r="BU355" i="1"/>
  <c r="CD355" i="1"/>
  <c r="BZ355" i="1"/>
  <c r="BW355" i="1"/>
  <c r="BL355" i="1"/>
  <c r="CB355" i="1"/>
  <c r="CC355" i="1"/>
  <c r="BR355" i="1"/>
  <c r="BK355" i="1"/>
  <c r="CA355" i="1"/>
  <c r="BP355" i="1"/>
  <c r="CF355" i="1"/>
  <c r="BN355" i="1"/>
  <c r="CH355" i="1"/>
  <c r="BO355" i="1"/>
  <c r="CE355" i="1"/>
  <c r="BT355" i="1"/>
  <c r="BM355" i="1"/>
  <c r="BV355" i="1"/>
  <c r="BY355" i="1"/>
  <c r="BN344" i="1"/>
  <c r="CD344" i="1"/>
  <c r="BS344" i="1"/>
  <c r="CI344" i="1"/>
  <c r="BQ344" i="1"/>
  <c r="BL344" i="1"/>
  <c r="BT344" i="1"/>
  <c r="BR344" i="1"/>
  <c r="CH344" i="1"/>
  <c r="BW344" i="1"/>
  <c r="BP344" i="1"/>
  <c r="BY344" i="1"/>
  <c r="CB344" i="1"/>
  <c r="BV344" i="1"/>
  <c r="BK344" i="1"/>
  <c r="CA344" i="1"/>
  <c r="BX344" i="1"/>
  <c r="CG344" i="1"/>
  <c r="BM344" i="1"/>
  <c r="BZ344" i="1"/>
  <c r="BO344" i="1"/>
  <c r="CE344" i="1"/>
  <c r="CF344" i="1"/>
  <c r="BU344" i="1"/>
  <c r="CC344" i="1"/>
  <c r="CB352" i="1"/>
  <c r="BL352" i="1"/>
  <c r="BZ352" i="1"/>
  <c r="BO352" i="1"/>
  <c r="CE352" i="1"/>
  <c r="CF352" i="1"/>
  <c r="BM352" i="1"/>
  <c r="BN352" i="1"/>
  <c r="CD352" i="1"/>
  <c r="BS352" i="1"/>
  <c r="CI352" i="1"/>
  <c r="BQ352" i="1"/>
  <c r="CC352" i="1"/>
  <c r="BR352" i="1"/>
  <c r="CH352" i="1"/>
  <c r="BW352" i="1"/>
  <c r="BP352" i="1"/>
  <c r="BY352" i="1"/>
  <c r="BT352" i="1"/>
  <c r="BV352" i="1"/>
  <c r="BK352" i="1"/>
  <c r="CA352" i="1"/>
  <c r="BX352" i="1"/>
  <c r="CG352" i="1"/>
  <c r="BU352" i="1"/>
  <c r="BO343" i="1"/>
  <c r="CE343" i="1"/>
  <c r="BT343" i="1"/>
  <c r="BQ343" i="1"/>
  <c r="BZ343" i="1"/>
  <c r="BU343" i="1"/>
  <c r="BS343" i="1"/>
  <c r="CI343" i="1"/>
  <c r="BX343" i="1"/>
  <c r="BY343" i="1"/>
  <c r="CH343" i="1"/>
  <c r="BV343" i="1"/>
  <c r="BW343" i="1"/>
  <c r="BL343" i="1"/>
  <c r="CB343" i="1"/>
  <c r="CG343" i="1"/>
  <c r="BN343" i="1"/>
  <c r="BK343" i="1"/>
  <c r="CA343" i="1"/>
  <c r="BP343" i="1"/>
  <c r="CF343" i="1"/>
  <c r="BR343" i="1"/>
  <c r="CD343" i="1"/>
  <c r="CC343" i="1"/>
  <c r="CA329" i="1"/>
  <c r="BK329" i="1"/>
  <c r="BQ329" i="1"/>
  <c r="CG329" i="1"/>
  <c r="BZ329" i="1"/>
  <c r="BW329" i="1"/>
  <c r="CF329" i="1"/>
  <c r="CI329" i="1"/>
  <c r="BU329" i="1"/>
  <c r="BN329" i="1"/>
  <c r="CD329" i="1"/>
  <c r="CE329" i="1"/>
  <c r="BL329" i="1"/>
  <c r="BT329" i="1"/>
  <c r="BY329" i="1"/>
  <c r="BR329" i="1"/>
  <c r="CH329" i="1"/>
  <c r="BP329" i="1"/>
  <c r="CB329" i="1"/>
  <c r="BM329" i="1"/>
  <c r="CC329" i="1"/>
  <c r="BV329" i="1"/>
  <c r="BO329" i="1"/>
  <c r="BX329" i="1"/>
  <c r="BS329" i="1"/>
  <c r="CG323" i="1"/>
  <c r="CH323" i="1"/>
  <c r="BQ323" i="1"/>
  <c r="BR323" i="1"/>
  <c r="BZ323" i="1"/>
  <c r="BY323" i="1"/>
  <c r="BN279" i="1"/>
  <c r="BM279" i="1"/>
  <c r="CD279" i="1"/>
  <c r="CC279" i="1"/>
  <c r="BU279" i="1"/>
  <c r="BV279" i="1"/>
  <c r="BR279" i="1"/>
  <c r="BZ308" i="1"/>
  <c r="BO308" i="1"/>
  <c r="CE308" i="1"/>
  <c r="CB308" i="1"/>
  <c r="BY308" i="1"/>
  <c r="CG308" i="1"/>
  <c r="BN308" i="1"/>
  <c r="CD308" i="1"/>
  <c r="BS308" i="1"/>
  <c r="CI308" i="1"/>
  <c r="BM308" i="1"/>
  <c r="BP308" i="1"/>
  <c r="BX308" i="1"/>
  <c r="BR308" i="1"/>
  <c r="CH308" i="1"/>
  <c r="BW308" i="1"/>
  <c r="BL308" i="1"/>
  <c r="BU308" i="1"/>
  <c r="CF308" i="1"/>
  <c r="BV308" i="1"/>
  <c r="BK308" i="1"/>
  <c r="CA308" i="1"/>
  <c r="BT308" i="1"/>
  <c r="CC308" i="1"/>
  <c r="BQ308" i="1"/>
  <c r="BV300" i="1"/>
  <c r="BK300" i="1"/>
  <c r="CA300" i="1"/>
  <c r="BT300" i="1"/>
  <c r="CC300" i="1"/>
  <c r="BY300" i="1"/>
  <c r="BZ300" i="1"/>
  <c r="BO300" i="1"/>
  <c r="CE300" i="1"/>
  <c r="CB300" i="1"/>
  <c r="BQ300" i="1"/>
  <c r="BP300" i="1"/>
  <c r="BN300" i="1"/>
  <c r="CD300" i="1"/>
  <c r="BS300" i="1"/>
  <c r="CI300" i="1"/>
  <c r="BM300" i="1"/>
  <c r="CG300" i="1"/>
  <c r="CF300" i="1"/>
  <c r="BR300" i="1"/>
  <c r="CH300" i="1"/>
  <c r="BW300" i="1"/>
  <c r="BL300" i="1"/>
  <c r="BU300" i="1"/>
  <c r="BX300" i="1"/>
  <c r="BT274" i="1"/>
  <c r="BM274" i="1"/>
  <c r="CC274" i="1"/>
  <c r="CD274" i="1"/>
  <c r="BK274" i="1"/>
  <c r="BS274" i="1"/>
  <c r="BX274" i="1"/>
  <c r="BQ274" i="1"/>
  <c r="CG274" i="1"/>
  <c r="BO274" i="1"/>
  <c r="CA274" i="1"/>
  <c r="CI274" i="1"/>
  <c r="BL274" i="1"/>
  <c r="CB274" i="1"/>
  <c r="BU274" i="1"/>
  <c r="BN274" i="1"/>
  <c r="BW274" i="1"/>
  <c r="BR274" i="1"/>
  <c r="BZ274" i="1"/>
  <c r="BP274" i="1"/>
  <c r="CF274" i="1"/>
  <c r="BY274" i="1"/>
  <c r="BV274" i="1"/>
  <c r="CE274" i="1"/>
  <c r="CH274" i="1"/>
  <c r="BP332" i="1"/>
  <c r="BZ332" i="1"/>
  <c r="BO332" i="1"/>
  <c r="CE332" i="1"/>
  <c r="CB332" i="1"/>
  <c r="BQ332" i="1"/>
  <c r="BN332" i="1"/>
  <c r="CD332" i="1"/>
  <c r="BS332" i="1"/>
  <c r="CI332" i="1"/>
  <c r="BM332" i="1"/>
  <c r="CG332" i="1"/>
  <c r="BR332" i="1"/>
  <c r="CH332" i="1"/>
  <c r="BW332" i="1"/>
  <c r="BL332" i="1"/>
  <c r="BU332" i="1"/>
  <c r="BX332" i="1"/>
  <c r="BV332" i="1"/>
  <c r="BK332" i="1"/>
  <c r="CA332" i="1"/>
  <c r="BT332" i="1"/>
  <c r="CC332" i="1"/>
  <c r="BY332" i="1"/>
  <c r="BQ320" i="1"/>
  <c r="BM320" i="1"/>
  <c r="BL320" i="1"/>
  <c r="CC320" i="1"/>
  <c r="CB320" i="1"/>
  <c r="BT320" i="1"/>
  <c r="BU320" i="1"/>
  <c r="BR260" i="1"/>
  <c r="CH260" i="1"/>
  <c r="BW260" i="1"/>
  <c r="BL260" i="1"/>
  <c r="BU260" i="1"/>
  <c r="CF260" i="1"/>
  <c r="BV260" i="1"/>
  <c r="BK260" i="1"/>
  <c r="CA260" i="1"/>
  <c r="BT260" i="1"/>
  <c r="CC260" i="1"/>
  <c r="BQ260" i="1"/>
  <c r="BX260" i="1"/>
  <c r="BZ260" i="1"/>
  <c r="BO260" i="1"/>
  <c r="CE260" i="1"/>
  <c r="CB260" i="1"/>
  <c r="BY260" i="1"/>
  <c r="CG260" i="1"/>
  <c r="BN260" i="1"/>
  <c r="CD260" i="1"/>
  <c r="BS260" i="1"/>
  <c r="CI260" i="1"/>
  <c r="BM260" i="1"/>
  <c r="BP260" i="1"/>
  <c r="BL294" i="1"/>
  <c r="CB294" i="1"/>
  <c r="BU294" i="1"/>
  <c r="BR294" i="1"/>
  <c r="BP294" i="1"/>
  <c r="CF294" i="1"/>
  <c r="BY294" i="1"/>
  <c r="BZ294" i="1"/>
  <c r="CA294" i="1"/>
  <c r="BT294" i="1"/>
  <c r="BM294" i="1"/>
  <c r="CC294" i="1"/>
  <c r="CH294" i="1"/>
  <c r="BX294" i="1"/>
  <c r="BQ294" i="1"/>
  <c r="CG294" i="1"/>
  <c r="BK294" i="1"/>
  <c r="BW294" i="1"/>
  <c r="CE294" i="1"/>
  <c r="BN294" i="1"/>
  <c r="BV294" i="1"/>
  <c r="BS294" i="1"/>
  <c r="CD294" i="1"/>
  <c r="CI294" i="1"/>
  <c r="BO294" i="1"/>
  <c r="BL281" i="1"/>
  <c r="BT281" i="1"/>
  <c r="CB281" i="1"/>
  <c r="CA281" i="1"/>
  <c r="BS281" i="1"/>
  <c r="CI281" i="1"/>
  <c r="BK281" i="1"/>
  <c r="BP281" i="1"/>
  <c r="CA248" i="1"/>
  <c r="BK248" i="1"/>
  <c r="BZ248" i="1"/>
  <c r="BN286" i="1"/>
  <c r="BK286" i="1"/>
  <c r="BW286" i="1"/>
  <c r="BO286" i="1"/>
  <c r="CD286" i="1"/>
  <c r="CE286" i="1"/>
  <c r="BV286" i="1"/>
  <c r="BT278" i="1"/>
  <c r="BM278" i="1"/>
  <c r="CC278" i="1"/>
  <c r="CH278" i="1"/>
  <c r="CI278" i="1"/>
  <c r="BO278" i="1"/>
  <c r="BX278" i="1"/>
  <c r="BQ278" i="1"/>
  <c r="CG278" i="1"/>
  <c r="BK278" i="1"/>
  <c r="BW278" i="1"/>
  <c r="CE278" i="1"/>
  <c r="BL278" i="1"/>
  <c r="CB278" i="1"/>
  <c r="BU278" i="1"/>
  <c r="BR278" i="1"/>
  <c r="BS278" i="1"/>
  <c r="BN278" i="1"/>
  <c r="BP278" i="1"/>
  <c r="CF278" i="1"/>
  <c r="BY278" i="1"/>
  <c r="BZ278" i="1"/>
  <c r="CA278" i="1"/>
  <c r="CD278" i="1"/>
  <c r="BQ269" i="1"/>
  <c r="CG269" i="1"/>
  <c r="BZ269" i="1"/>
  <c r="BS269" i="1"/>
  <c r="BT269" i="1"/>
  <c r="CE269" i="1"/>
  <c r="BU269" i="1"/>
  <c r="BN269" i="1"/>
  <c r="CD269" i="1"/>
  <c r="CA269" i="1"/>
  <c r="CB269" i="1"/>
  <c r="BP269" i="1"/>
  <c r="BY269" i="1"/>
  <c r="BR269" i="1"/>
  <c r="CH269" i="1"/>
  <c r="CI269" i="1"/>
  <c r="BX269" i="1"/>
  <c r="CF269" i="1"/>
  <c r="BM269" i="1"/>
  <c r="CC269" i="1"/>
  <c r="BV269" i="1"/>
  <c r="BK269" i="1"/>
  <c r="BL269" i="1"/>
  <c r="BO269" i="1"/>
  <c r="BW269" i="1"/>
  <c r="BW259" i="1"/>
  <c r="BL259" i="1"/>
  <c r="CB259" i="1"/>
  <c r="CC259" i="1"/>
  <c r="BR259" i="1"/>
  <c r="BQ259" i="1"/>
  <c r="BK259" i="1"/>
  <c r="CA259" i="1"/>
  <c r="BP259" i="1"/>
  <c r="CF259" i="1"/>
  <c r="BN259" i="1"/>
  <c r="CH259" i="1"/>
  <c r="CG259" i="1"/>
  <c r="BO259" i="1"/>
  <c r="CE259" i="1"/>
  <c r="BT259" i="1"/>
  <c r="BM259" i="1"/>
  <c r="BV259" i="1"/>
  <c r="BY259" i="1"/>
  <c r="BS259" i="1"/>
  <c r="CI259" i="1"/>
  <c r="BX259" i="1"/>
  <c r="BU259" i="1"/>
  <c r="CD259" i="1"/>
  <c r="BZ259" i="1"/>
  <c r="BQ247" i="1"/>
  <c r="CG247" i="1"/>
  <c r="BZ247" i="1"/>
  <c r="BW247" i="1"/>
  <c r="CF247" i="1"/>
  <c r="CB247" i="1"/>
  <c r="BU247" i="1"/>
  <c r="BN247" i="1"/>
  <c r="CD247" i="1"/>
  <c r="CE247" i="1"/>
  <c r="BK247" i="1"/>
  <c r="BT247" i="1"/>
  <c r="BY247" i="1"/>
  <c r="BR247" i="1"/>
  <c r="CH247" i="1"/>
  <c r="BP247" i="1"/>
  <c r="CA247" i="1"/>
  <c r="CI247" i="1"/>
  <c r="BM247" i="1"/>
  <c r="CC247" i="1"/>
  <c r="BV247" i="1"/>
  <c r="BO247" i="1"/>
  <c r="BX247" i="1"/>
  <c r="BL247" i="1"/>
  <c r="BS247" i="1"/>
  <c r="BK240" i="1"/>
  <c r="BS240" i="1"/>
  <c r="CH240" i="1"/>
  <c r="CI240" i="1"/>
  <c r="BR240" i="1"/>
  <c r="BS232" i="1"/>
  <c r="BK232" i="1"/>
  <c r="BZ232" i="1"/>
  <c r="CA232" i="1"/>
  <c r="BR224" i="1"/>
  <c r="BK224" i="1"/>
  <c r="CI224" i="1"/>
  <c r="BS224" i="1"/>
  <c r="CH224" i="1"/>
  <c r="BS216" i="1"/>
  <c r="CA216" i="1"/>
  <c r="BK216" i="1"/>
  <c r="BZ216" i="1"/>
  <c r="CH208" i="1"/>
  <c r="BK208" i="1"/>
  <c r="CI208" i="1"/>
  <c r="BR208" i="1"/>
  <c r="BS208" i="1"/>
  <c r="BK200" i="1"/>
  <c r="BV200" i="1"/>
  <c r="BU200" i="1"/>
  <c r="BQ291" i="1"/>
  <c r="BN291" i="1"/>
  <c r="CH291" i="1"/>
  <c r="BY291" i="1"/>
  <c r="BZ291" i="1"/>
  <c r="BR291" i="1"/>
  <c r="CG291" i="1"/>
  <c r="BP262" i="1"/>
  <c r="CF262" i="1"/>
  <c r="BY262" i="1"/>
  <c r="BZ262" i="1"/>
  <c r="CA262" i="1"/>
  <c r="CD262" i="1"/>
  <c r="BT262" i="1"/>
  <c r="BM262" i="1"/>
  <c r="CC262" i="1"/>
  <c r="CH262" i="1"/>
  <c r="CI262" i="1"/>
  <c r="BO262" i="1"/>
  <c r="BX262" i="1"/>
  <c r="BQ262" i="1"/>
  <c r="CG262" i="1"/>
  <c r="BK262" i="1"/>
  <c r="BW262" i="1"/>
  <c r="CE262" i="1"/>
  <c r="BL262" i="1"/>
  <c r="CB262" i="1"/>
  <c r="BU262" i="1"/>
  <c r="BR262" i="1"/>
  <c r="BS262" i="1"/>
  <c r="BN262" i="1"/>
  <c r="BV262" i="1"/>
  <c r="BZ196" i="1"/>
  <c r="CI196" i="1"/>
  <c r="BO196" i="1"/>
  <c r="BN196" i="1"/>
  <c r="BV164" i="1"/>
  <c r="BL239" i="1"/>
  <c r="CB239" i="1"/>
  <c r="BK239" i="1"/>
  <c r="BT231" i="1"/>
  <c r="CI231" i="1"/>
  <c r="BS231" i="1"/>
  <c r="BK223" i="1"/>
  <c r="BL223" i="1"/>
  <c r="CA223" i="1"/>
  <c r="CB223" i="1"/>
  <c r="CI215" i="1"/>
  <c r="BS215" i="1"/>
  <c r="BT215" i="1"/>
  <c r="CB207" i="1"/>
  <c r="BK207" i="1"/>
  <c r="BL207" i="1"/>
  <c r="CA207" i="1"/>
  <c r="BU194" i="1"/>
  <c r="BX185" i="1"/>
  <c r="BY185" i="1"/>
  <c r="BR246" i="1"/>
  <c r="CH246" i="1"/>
  <c r="BW246" i="1"/>
  <c r="BP246" i="1"/>
  <c r="BY246" i="1"/>
  <c r="BM246" i="1"/>
  <c r="BV246" i="1"/>
  <c r="BK246" i="1"/>
  <c r="CA246" i="1"/>
  <c r="BX246" i="1"/>
  <c r="CG246" i="1"/>
  <c r="CB246" i="1"/>
  <c r="BZ246" i="1"/>
  <c r="BO246" i="1"/>
  <c r="CE246" i="1"/>
  <c r="CF246" i="1"/>
  <c r="BT246" i="1"/>
  <c r="CC246" i="1"/>
  <c r="BN246" i="1"/>
  <c r="CD246" i="1"/>
  <c r="BS246" i="1"/>
  <c r="CI246" i="1"/>
  <c r="BQ246" i="1"/>
  <c r="BU246" i="1"/>
  <c r="BL246" i="1"/>
  <c r="BP192" i="1"/>
  <c r="CF192" i="1"/>
  <c r="CE192" i="1"/>
  <c r="CA192" i="1"/>
  <c r="CH192" i="1"/>
  <c r="BR192" i="1"/>
  <c r="BT192" i="1"/>
  <c r="BO192" i="1"/>
  <c r="BK192" i="1"/>
  <c r="CG192" i="1"/>
  <c r="BN192" i="1"/>
  <c r="BS192" i="1"/>
  <c r="BX192" i="1"/>
  <c r="BU192" i="1"/>
  <c r="BQ192" i="1"/>
  <c r="BM192" i="1"/>
  <c r="BY192" i="1"/>
  <c r="CC192" i="1"/>
  <c r="BL192" i="1"/>
  <c r="CB192" i="1"/>
  <c r="BZ192" i="1"/>
  <c r="BV192" i="1"/>
  <c r="BW192" i="1"/>
  <c r="CI192" i="1"/>
  <c r="CD192" i="1"/>
  <c r="BR133" i="1"/>
  <c r="CH133" i="1"/>
  <c r="BW133" i="1"/>
  <c r="BP133" i="1"/>
  <c r="BY133" i="1"/>
  <c r="CB133" i="1"/>
  <c r="BV133" i="1"/>
  <c r="BK133" i="1"/>
  <c r="CA133" i="1"/>
  <c r="BX133" i="1"/>
  <c r="CG133" i="1"/>
  <c r="CC133" i="1"/>
  <c r="BZ133" i="1"/>
  <c r="BO133" i="1"/>
  <c r="CE133" i="1"/>
  <c r="CF133" i="1"/>
  <c r="BT133" i="1"/>
  <c r="BL133" i="1"/>
  <c r="BV169" i="1"/>
  <c r="BK169" i="1"/>
  <c r="CA169" i="1"/>
  <c r="BT169" i="1"/>
  <c r="CC169" i="1"/>
  <c r="CG169" i="1"/>
  <c r="BZ169" i="1"/>
  <c r="BO169" i="1"/>
  <c r="CE169" i="1"/>
  <c r="CB169" i="1"/>
  <c r="BP169" i="1"/>
  <c r="BX169" i="1"/>
  <c r="BN169" i="1"/>
  <c r="CD169" i="1"/>
  <c r="BS169" i="1"/>
  <c r="CI169" i="1"/>
  <c r="BM169" i="1"/>
  <c r="CF169" i="1"/>
  <c r="BY169" i="1"/>
  <c r="BR169" i="1"/>
  <c r="CH169" i="1"/>
  <c r="BW169" i="1"/>
  <c r="BL169" i="1"/>
  <c r="BU169" i="1"/>
  <c r="BQ169" i="1"/>
  <c r="BY118" i="1"/>
  <c r="BZ118" i="1"/>
  <c r="BR165" i="1"/>
  <c r="CH165" i="1"/>
  <c r="BW165" i="1"/>
  <c r="BP165" i="1"/>
  <c r="BY165" i="1"/>
  <c r="CB165" i="1"/>
  <c r="BV165" i="1"/>
  <c r="BK165" i="1"/>
  <c r="CA165" i="1"/>
  <c r="BX165" i="1"/>
  <c r="CG165" i="1"/>
  <c r="CC165" i="1"/>
  <c r="BZ165" i="1"/>
  <c r="BO165" i="1"/>
  <c r="CE165" i="1"/>
  <c r="CF165" i="1"/>
  <c r="BT165" i="1"/>
  <c r="BL165" i="1"/>
  <c r="BN165" i="1"/>
  <c r="CD165" i="1"/>
  <c r="BS165" i="1"/>
  <c r="CI165" i="1"/>
  <c r="BQ165" i="1"/>
  <c r="BU165" i="1"/>
  <c r="BM165" i="1"/>
  <c r="BZ135" i="1"/>
  <c r="CA135" i="1"/>
  <c r="BV171" i="1"/>
  <c r="BW171" i="1"/>
  <c r="CG136" i="1"/>
  <c r="CH136" i="1"/>
  <c r="BR136" i="1"/>
  <c r="BN145" i="1"/>
  <c r="CD145" i="1"/>
  <c r="BS145" i="1"/>
  <c r="CI145" i="1"/>
  <c r="BM145" i="1"/>
  <c r="BY145" i="1"/>
  <c r="CG145" i="1"/>
  <c r="BR145" i="1"/>
  <c r="CH145" i="1"/>
  <c r="BW145" i="1"/>
  <c r="BL145" i="1"/>
  <c r="BU145" i="1"/>
  <c r="BP145" i="1"/>
  <c r="BV145" i="1"/>
  <c r="BK145" i="1"/>
  <c r="CA145" i="1"/>
  <c r="BT145" i="1"/>
  <c r="CC145" i="1"/>
  <c r="BQ145" i="1"/>
  <c r="BN129" i="1"/>
  <c r="CD129" i="1"/>
  <c r="BS129" i="1"/>
  <c r="CI129" i="1"/>
  <c r="BM129" i="1"/>
  <c r="BY129" i="1"/>
  <c r="BQ129" i="1"/>
  <c r="BR129" i="1"/>
  <c r="CH129" i="1"/>
  <c r="BW129" i="1"/>
  <c r="BL129" i="1"/>
  <c r="BU129" i="1"/>
  <c r="CF129" i="1"/>
  <c r="BV129" i="1"/>
  <c r="BK129" i="1"/>
  <c r="CA129" i="1"/>
  <c r="BT129" i="1"/>
  <c r="CC129" i="1"/>
  <c r="CG129" i="1"/>
  <c r="CF96" i="1"/>
  <c r="BQ152" i="1"/>
  <c r="BR152" i="1"/>
  <c r="CH152" i="1"/>
  <c r="BS102" i="1"/>
  <c r="CI102" i="1"/>
  <c r="BX102" i="1"/>
  <c r="BU102" i="1"/>
  <c r="CD102" i="1"/>
  <c r="CH102" i="1"/>
  <c r="BW102" i="1"/>
  <c r="BL102" i="1"/>
  <c r="CB102" i="1"/>
  <c r="CC102" i="1"/>
  <c r="BQ102" i="1"/>
  <c r="BY102" i="1"/>
  <c r="BK102" i="1"/>
  <c r="CA102" i="1"/>
  <c r="BP102" i="1"/>
  <c r="CF102" i="1"/>
  <c r="BN102" i="1"/>
  <c r="CG102" i="1"/>
  <c r="BZ102" i="1"/>
  <c r="BO102" i="1"/>
  <c r="CE102" i="1"/>
  <c r="BT102" i="1"/>
  <c r="BM102" i="1"/>
  <c r="BV102" i="1"/>
  <c r="BR102" i="1"/>
  <c r="BO147" i="1"/>
  <c r="BN147" i="1"/>
  <c r="BQ138" i="1"/>
  <c r="CG138" i="1"/>
  <c r="BZ138" i="1"/>
  <c r="BS138" i="1"/>
  <c r="BT138" i="1"/>
  <c r="CE138" i="1"/>
  <c r="BU138" i="1"/>
  <c r="BN138" i="1"/>
  <c r="CD138" i="1"/>
  <c r="CA138" i="1"/>
  <c r="CB138" i="1"/>
  <c r="CF138" i="1"/>
  <c r="BY138" i="1"/>
  <c r="BR138" i="1"/>
  <c r="CH138" i="1"/>
  <c r="CI138" i="1"/>
  <c r="BW138" i="1"/>
  <c r="BO138" i="1"/>
  <c r="BM138" i="1"/>
  <c r="CC138" i="1"/>
  <c r="BV138" i="1"/>
  <c r="BK138" i="1"/>
  <c r="BL138" i="1"/>
  <c r="BX138" i="1"/>
  <c r="BP138" i="1"/>
  <c r="BT89" i="1"/>
  <c r="BM89" i="1"/>
  <c r="CC89" i="1"/>
  <c r="CH89" i="1"/>
  <c r="BX89" i="1"/>
  <c r="BQ89" i="1"/>
  <c r="CG89" i="1"/>
  <c r="BK89" i="1"/>
  <c r="BL89" i="1"/>
  <c r="CB89" i="1"/>
  <c r="BU89" i="1"/>
  <c r="BR89" i="1"/>
  <c r="BX95" i="1"/>
  <c r="BY95" i="1"/>
  <c r="BZ87" i="1"/>
  <c r="BO87" i="1"/>
  <c r="CE87" i="1"/>
  <c r="CB87" i="1"/>
  <c r="BX87" i="1"/>
  <c r="CF87" i="1"/>
  <c r="BN87" i="1"/>
  <c r="CD87" i="1"/>
  <c r="BS87" i="1"/>
  <c r="CI87" i="1"/>
  <c r="BM87" i="1"/>
  <c r="BY87" i="1"/>
  <c r="CG87" i="1"/>
  <c r="BR87" i="1"/>
  <c r="CH87" i="1"/>
  <c r="BW87" i="1"/>
  <c r="BL87" i="1"/>
  <c r="BU87" i="1"/>
  <c r="BP87" i="1"/>
  <c r="BV87" i="1"/>
  <c r="BK87" i="1"/>
  <c r="CA87" i="1"/>
  <c r="BT87" i="1"/>
  <c r="CC87" i="1"/>
  <c r="BQ87" i="1"/>
  <c r="CH127" i="1"/>
  <c r="CI127" i="1"/>
  <c r="BR115" i="1"/>
  <c r="CH115" i="1"/>
  <c r="BW115" i="1"/>
  <c r="BP115" i="1"/>
  <c r="BY115" i="1"/>
  <c r="BM115" i="1"/>
  <c r="BV115" i="1"/>
  <c r="BK115" i="1"/>
  <c r="CA115" i="1"/>
  <c r="BX115" i="1"/>
  <c r="CG115" i="1"/>
  <c r="CC115" i="1"/>
  <c r="BZ115" i="1"/>
  <c r="BO115" i="1"/>
  <c r="CE115" i="1"/>
  <c r="CF115" i="1"/>
  <c r="BL115" i="1"/>
  <c r="BT115" i="1"/>
  <c r="BN115" i="1"/>
  <c r="CD115" i="1"/>
  <c r="BS115" i="1"/>
  <c r="CI115" i="1"/>
  <c r="BQ115" i="1"/>
  <c r="CB115" i="1"/>
  <c r="BU115" i="1"/>
  <c r="BK110" i="1"/>
  <c r="CA110" i="1"/>
  <c r="BP110" i="1"/>
  <c r="CF110" i="1"/>
  <c r="BN110" i="1"/>
  <c r="BZ110" i="1"/>
  <c r="CH110" i="1"/>
  <c r="BO110" i="1"/>
  <c r="CE110" i="1"/>
  <c r="BT110" i="1"/>
  <c r="BM110" i="1"/>
  <c r="BV110" i="1"/>
  <c r="BQ110" i="1"/>
  <c r="BS110" i="1"/>
  <c r="CI110" i="1"/>
  <c r="BX110" i="1"/>
  <c r="BU110" i="1"/>
  <c r="CD110" i="1"/>
  <c r="BR110" i="1"/>
  <c r="BW110" i="1"/>
  <c r="BL110" i="1"/>
  <c r="CB110" i="1"/>
  <c r="CC110" i="1"/>
  <c r="BY110" i="1"/>
  <c r="CG110" i="1"/>
  <c r="BO79" i="1"/>
  <c r="BN79" i="1"/>
  <c r="BM84" i="1"/>
  <c r="CC84" i="1"/>
  <c r="BV84" i="1"/>
  <c r="BO84" i="1"/>
  <c r="BX84" i="1"/>
  <c r="BT84" i="1"/>
  <c r="BL84" i="1"/>
  <c r="BQ84" i="1"/>
  <c r="CG84" i="1"/>
  <c r="BZ84" i="1"/>
  <c r="BW84" i="1"/>
  <c r="CF84" i="1"/>
  <c r="CA84" i="1"/>
  <c r="BU84" i="1"/>
  <c r="BN84" i="1"/>
  <c r="CD84" i="1"/>
  <c r="CE84" i="1"/>
  <c r="BS84" i="1"/>
  <c r="CB84" i="1"/>
  <c r="BY84" i="1"/>
  <c r="BR84" i="1"/>
  <c r="CH84" i="1"/>
  <c r="BP84" i="1"/>
  <c r="CI84" i="1"/>
  <c r="BK84" i="1"/>
  <c r="BY58" i="1"/>
  <c r="BR58" i="1"/>
  <c r="CH58" i="1"/>
  <c r="CI58" i="1"/>
  <c r="BO58" i="1"/>
  <c r="BW58" i="1"/>
  <c r="BM58" i="1"/>
  <c r="CC58" i="1"/>
  <c r="BV58" i="1"/>
  <c r="BK58" i="1"/>
  <c r="BL58" i="1"/>
  <c r="CE58" i="1"/>
  <c r="BX58" i="1"/>
  <c r="BQ58" i="1"/>
  <c r="CG58" i="1"/>
  <c r="BZ58" i="1"/>
  <c r="BS58" i="1"/>
  <c r="BT58" i="1"/>
  <c r="BP58" i="1"/>
  <c r="BU58" i="1"/>
  <c r="BN58" i="1"/>
  <c r="CD58" i="1"/>
  <c r="CA58" i="1"/>
  <c r="CB58" i="1"/>
  <c r="CF58" i="1"/>
  <c r="BP41" i="1"/>
  <c r="CF41" i="1"/>
  <c r="BY41" i="1"/>
  <c r="BZ41" i="1"/>
  <c r="CA41" i="1"/>
  <c r="BO41" i="1"/>
  <c r="BT41" i="1"/>
  <c r="BM41" i="1"/>
  <c r="CC41" i="1"/>
  <c r="CH41" i="1"/>
  <c r="CI41" i="1"/>
  <c r="CE41" i="1"/>
  <c r="BX41" i="1"/>
  <c r="BQ41" i="1"/>
  <c r="CG41" i="1"/>
  <c r="BK41" i="1"/>
  <c r="BN41" i="1"/>
  <c r="BV41" i="1"/>
  <c r="BL41" i="1"/>
  <c r="CB41" i="1"/>
  <c r="BU41" i="1"/>
  <c r="BR41" i="1"/>
  <c r="BS41" i="1"/>
  <c r="CD41" i="1"/>
  <c r="BW41" i="1"/>
  <c r="BZ49" i="1"/>
  <c r="BO49" i="1"/>
  <c r="CE49" i="1"/>
  <c r="CB49" i="1"/>
  <c r="BP49" i="1"/>
  <c r="BX49" i="1"/>
  <c r="BN49" i="1"/>
  <c r="CD49" i="1"/>
  <c r="BS49" i="1"/>
  <c r="CI49" i="1"/>
  <c r="BM49" i="1"/>
  <c r="CF49" i="1"/>
  <c r="BY49" i="1"/>
  <c r="BR49" i="1"/>
  <c r="CH49" i="1"/>
  <c r="BW49" i="1"/>
  <c r="BL49" i="1"/>
  <c r="BU49" i="1"/>
  <c r="BQ49" i="1"/>
  <c r="BV49" i="1"/>
  <c r="BK49" i="1"/>
  <c r="CA49" i="1"/>
  <c r="BT49" i="1"/>
  <c r="CC49" i="1"/>
  <c r="CG49" i="1"/>
  <c r="BX65" i="1"/>
  <c r="CE96" i="1"/>
  <c r="BO112" i="1"/>
  <c r="CC124" i="1"/>
  <c r="BU132" i="1"/>
  <c r="CD147" i="1"/>
  <c r="CC156" i="1"/>
  <c r="BU164" i="1"/>
  <c r="BW178" i="1"/>
  <c r="BY190" i="1"/>
  <c r="BY196" i="1"/>
  <c r="BT203" i="1"/>
  <c r="CI207" i="1"/>
  <c r="BV212" i="1"/>
  <c r="CH216" i="1"/>
  <c r="BS223" i="1"/>
  <c r="CE227" i="1"/>
  <c r="BR232" i="1"/>
  <c r="CD236" i="1"/>
  <c r="BO243" i="1"/>
  <c r="CH248" i="1"/>
  <c r="BX255" i="1"/>
  <c r="BO257" i="1"/>
  <c r="BS261" i="1"/>
  <c r="BY263" i="1"/>
  <c r="CC267" i="1"/>
  <c r="BP272" i="1"/>
  <c r="BW273" i="1"/>
  <c r="CA277" i="1"/>
  <c r="CG279" i="1"/>
  <c r="BO281" i="1"/>
  <c r="BT284" i="1"/>
  <c r="CA285" i="1"/>
  <c r="CH286" i="1"/>
  <c r="BP288" i="1"/>
  <c r="BW289" i="1"/>
  <c r="CD290" i="1"/>
  <c r="BL292" i="1"/>
  <c r="BS293" i="1"/>
  <c r="BX296" i="1"/>
  <c r="CE297" i="1"/>
  <c r="BL316" i="1"/>
  <c r="BY319" i="1"/>
  <c r="CF320" i="1"/>
  <c r="BL324" i="1"/>
  <c r="BY327" i="1"/>
  <c r="CF328" i="1"/>
  <c r="BK357" i="1"/>
  <c r="BR358" i="1"/>
  <c r="BY359" i="1"/>
  <c r="CB364" i="1"/>
  <c r="CI365" i="1"/>
  <c r="BQ367" i="1"/>
  <c r="BT372" i="1"/>
  <c r="CA373" i="1"/>
  <c r="CH374" i="1"/>
  <c r="BL380" i="1"/>
  <c r="BS381" i="1"/>
  <c r="BZ382" i="1"/>
  <c r="CG383" i="1"/>
  <c r="BK389" i="1"/>
  <c r="BR390" i="1"/>
  <c r="BY391" i="1"/>
  <c r="CB396" i="1"/>
  <c r="CI397" i="1"/>
  <c r="BQ399" i="1"/>
  <c r="BT404" i="1"/>
  <c r="CA405" i="1"/>
  <c r="CH406" i="1"/>
  <c r="BL412" i="1"/>
  <c r="BS413" i="1"/>
  <c r="BZ414" i="1"/>
  <c r="CG415" i="1"/>
  <c r="CB420" i="1"/>
  <c r="BW421" i="1"/>
  <c r="BP424" i="1"/>
  <c r="CF424" i="1"/>
  <c r="CA425" i="1"/>
  <c r="BU427" i="1"/>
  <c r="BO429" i="1"/>
  <c r="CE429" i="1"/>
  <c r="BZ430" i="1"/>
  <c r="BS433" i="1"/>
  <c r="CI433" i="1"/>
  <c r="CD434" i="1"/>
  <c r="BW437" i="1"/>
  <c r="BR442" i="1"/>
  <c r="CH442" i="1"/>
  <c r="CC443" i="1"/>
  <c r="BW445" i="1"/>
  <c r="BR446" i="1"/>
  <c r="CH446" i="1"/>
  <c r="CB448" i="1"/>
  <c r="BW449" i="1"/>
  <c r="BP452" i="1"/>
  <c r="CF452" i="1"/>
  <c r="CD454" i="1"/>
  <c r="BY455" i="1"/>
  <c r="BV458" i="1"/>
  <c r="BP460" i="1"/>
  <c r="CF460" i="1"/>
  <c r="CC463" i="1"/>
  <c r="BX464" i="1"/>
  <c r="BV466" i="1"/>
  <c r="BO469" i="1"/>
  <c r="CE469" i="1"/>
  <c r="BZ470" i="1"/>
  <c r="BS473" i="1"/>
  <c r="CI473" i="1"/>
  <c r="CC475" i="1"/>
  <c r="BX476" i="1"/>
  <c r="BV478" i="1"/>
  <c r="BQ479" i="1"/>
  <c r="CG479" i="1"/>
  <c r="CA481" i="1"/>
  <c r="BT484" i="1"/>
  <c r="BQ487" i="1"/>
  <c r="CG487" i="1"/>
  <c r="CA489" i="1"/>
  <c r="BV490" i="1"/>
  <c r="BP492" i="1"/>
  <c r="CF492" i="1"/>
  <c r="CA493" i="1"/>
  <c r="BT496" i="1"/>
  <c r="BR498" i="1"/>
  <c r="CH498" i="1"/>
  <c r="CC499" i="1"/>
  <c r="BZ502" i="1"/>
  <c r="BU503" i="1"/>
  <c r="BR506" i="1"/>
  <c r="CH506" i="1"/>
  <c r="CC507" i="1"/>
  <c r="BR27" i="1"/>
  <c r="CG27" i="1"/>
  <c r="BQ27" i="1"/>
  <c r="BX27" i="1"/>
  <c r="CI27" i="1"/>
  <c r="BS27" i="1"/>
  <c r="CD31" i="1"/>
  <c r="BV31" i="1"/>
  <c r="BU31" i="1"/>
  <c r="CB31" i="1"/>
  <c r="BL31" i="1"/>
  <c r="BW31" i="1"/>
  <c r="CD35" i="1"/>
  <c r="CH35" i="1"/>
  <c r="BY35" i="1"/>
  <c r="CF35" i="1"/>
  <c r="BP35" i="1"/>
  <c r="CA35" i="1"/>
  <c r="BK35" i="1"/>
  <c r="BQ39" i="1"/>
  <c r="BU39" i="1"/>
  <c r="BL39" i="1"/>
  <c r="BW39" i="1"/>
  <c r="CH39" i="1"/>
  <c r="BR39" i="1"/>
  <c r="BR48" i="1"/>
  <c r="CD48" i="1"/>
  <c r="BU48" i="1"/>
  <c r="BX48" i="1"/>
  <c r="CI48" i="1"/>
  <c r="BS48" i="1"/>
  <c r="BY56" i="1"/>
  <c r="BQ56" i="1"/>
  <c r="CC56" i="1"/>
  <c r="CB56" i="1"/>
  <c r="BL56" i="1"/>
  <c r="BW56" i="1"/>
  <c r="CG57" i="1"/>
  <c r="BY57" i="1"/>
  <c r="BM57" i="1"/>
  <c r="CI57" i="1"/>
  <c r="BS57" i="1"/>
  <c r="CD57" i="1"/>
  <c r="BN57" i="1"/>
  <c r="CG64" i="1"/>
  <c r="BV64" i="1"/>
  <c r="BM64" i="1"/>
  <c r="BT64" i="1"/>
  <c r="CE64" i="1"/>
  <c r="BO64" i="1"/>
  <c r="CF65" i="1"/>
  <c r="BM65" i="1"/>
  <c r="CI65" i="1"/>
  <c r="BS65" i="1"/>
  <c r="CD65" i="1"/>
  <c r="BN65" i="1"/>
  <c r="BQ69" i="1"/>
  <c r="BU69" i="1"/>
  <c r="BL69" i="1"/>
  <c r="BW69" i="1"/>
  <c r="CH69" i="1"/>
  <c r="BR69" i="1"/>
  <c r="CC73" i="1"/>
  <c r="CG73" i="1"/>
  <c r="BX73" i="1"/>
  <c r="CA73" i="1"/>
  <c r="BK73" i="1"/>
  <c r="BV73" i="1"/>
  <c r="CF77" i="1"/>
  <c r="BX77" i="1"/>
  <c r="CB77" i="1"/>
  <c r="CE77" i="1"/>
  <c r="BO77" i="1"/>
  <c r="BZ77" i="1"/>
  <c r="CE79" i="1"/>
  <c r="CI79" i="1"/>
  <c r="CH79" i="1"/>
  <c r="CC79" i="1"/>
  <c r="BM79" i="1"/>
  <c r="BT79" i="1"/>
  <c r="BR86" i="1"/>
  <c r="BV86" i="1"/>
  <c r="BM86" i="1"/>
  <c r="BT86" i="1"/>
  <c r="CE86" i="1"/>
  <c r="BO86" i="1"/>
  <c r="CB92" i="1"/>
  <c r="CF92" i="1"/>
  <c r="BW92" i="1"/>
  <c r="BZ92" i="1"/>
  <c r="CG92" i="1"/>
  <c r="BQ92" i="1"/>
  <c r="BX96" i="1"/>
  <c r="BL96" i="1"/>
  <c r="BK96" i="1"/>
  <c r="BV96" i="1"/>
  <c r="CC96" i="1"/>
  <c r="BM96" i="1"/>
  <c r="BK101" i="1"/>
  <c r="BO101" i="1"/>
  <c r="CG101" i="1"/>
  <c r="BQ101" i="1"/>
  <c r="BX101" i="1"/>
  <c r="BO105" i="1"/>
  <c r="CI105" i="1"/>
  <c r="CH105" i="1"/>
  <c r="CC105" i="1"/>
  <c r="BM105" i="1"/>
  <c r="BT105" i="1"/>
  <c r="CI109" i="1"/>
  <c r="CE109" i="1"/>
  <c r="BV109" i="1"/>
  <c r="BY109" i="1"/>
  <c r="CF109" i="1"/>
  <c r="BP109" i="1"/>
  <c r="BV114" i="1"/>
  <c r="BR114" i="1"/>
  <c r="CF114" i="1"/>
  <c r="BP114" i="1"/>
  <c r="CA114" i="1"/>
  <c r="BX119" i="1"/>
  <c r="CB119" i="1"/>
  <c r="CE119" i="1"/>
  <c r="BO119" i="1"/>
  <c r="BV124" i="1"/>
  <c r="BR124" i="1"/>
  <c r="CF124" i="1"/>
  <c r="BP124" i="1"/>
  <c r="CA124" i="1"/>
  <c r="BK124" i="1"/>
  <c r="BQ128" i="1"/>
  <c r="CC128" i="1"/>
  <c r="CB128" i="1"/>
  <c r="BL128" i="1"/>
  <c r="BW128" i="1"/>
  <c r="CD132" i="1"/>
  <c r="CH132" i="1"/>
  <c r="BY132" i="1"/>
  <c r="BX132" i="1"/>
  <c r="CI132" i="1"/>
  <c r="BY136" i="1"/>
  <c r="CC136" i="1"/>
  <c r="CB136" i="1"/>
  <c r="BL136" i="1"/>
  <c r="BW136" i="1"/>
  <c r="BV140" i="1"/>
  <c r="BR140" i="1"/>
  <c r="CF140" i="1"/>
  <c r="BP140" i="1"/>
  <c r="CA140" i="1"/>
  <c r="BK140" i="1"/>
  <c r="BQ144" i="1"/>
  <c r="CC144" i="1"/>
  <c r="CB144" i="1"/>
  <c r="BL144" i="1"/>
  <c r="CD148" i="1"/>
  <c r="CH148" i="1"/>
  <c r="BY148" i="1"/>
  <c r="BX148" i="1"/>
  <c r="CI148" i="1"/>
  <c r="BS148" i="1"/>
  <c r="BY152" i="1"/>
  <c r="CC152" i="1"/>
  <c r="CB152" i="1"/>
  <c r="BL152" i="1"/>
  <c r="BW152" i="1"/>
  <c r="BV156" i="1"/>
  <c r="BR156" i="1"/>
  <c r="CF156" i="1"/>
  <c r="BP156" i="1"/>
  <c r="CA156" i="1"/>
  <c r="BK156" i="1"/>
  <c r="BQ160" i="1"/>
  <c r="CC160" i="1"/>
  <c r="CB160" i="1"/>
  <c r="BL160" i="1"/>
  <c r="CD164" i="1"/>
  <c r="CH164" i="1"/>
  <c r="BY164" i="1"/>
  <c r="BX164" i="1"/>
  <c r="CI164" i="1"/>
  <c r="BS164" i="1"/>
  <c r="BY168" i="1"/>
  <c r="CC168" i="1"/>
  <c r="CB168" i="1"/>
  <c r="BL168" i="1"/>
  <c r="BW168" i="1"/>
  <c r="CA175" i="1"/>
  <c r="BW175" i="1"/>
  <c r="BN175" i="1"/>
  <c r="BU175" i="1"/>
  <c r="CB175" i="1"/>
  <c r="BL175" i="1"/>
  <c r="CA179" i="1"/>
  <c r="BZ179" i="1"/>
  <c r="BY179" i="1"/>
  <c r="CF179" i="1"/>
  <c r="BP179" i="1"/>
  <c r="CF185" i="1"/>
  <c r="BM185" i="1"/>
  <c r="CI185" i="1"/>
  <c r="BS185" i="1"/>
  <c r="CD185" i="1"/>
  <c r="BN185" i="1"/>
  <c r="CE190" i="1"/>
  <c r="BX190" i="1"/>
  <c r="CB190" i="1"/>
  <c r="CH190" i="1"/>
  <c r="BN195" i="1"/>
  <c r="CF195" i="1"/>
  <c r="BK195" i="1"/>
  <c r="BO195" i="1"/>
  <c r="BU195" i="1"/>
  <c r="BU196" i="1"/>
  <c r="CC196" i="1"/>
  <c r="CG196" i="1"/>
  <c r="BK196" i="1"/>
  <c r="BT196" i="1"/>
  <c r="BQ200" i="1"/>
  <c r="CD200" i="1"/>
  <c r="CH200" i="1"/>
  <c r="BM200" i="1"/>
  <c r="BT200" i="1"/>
  <c r="CA204" i="1"/>
  <c r="BZ204" i="1"/>
  <c r="BY204" i="1"/>
  <c r="CF204" i="1"/>
  <c r="BP204" i="1"/>
  <c r="BO208" i="1"/>
  <c r="CG208" i="1"/>
  <c r="BQ208" i="1"/>
  <c r="BX208" i="1"/>
  <c r="CI212" i="1"/>
  <c r="CH212" i="1"/>
  <c r="CC212" i="1"/>
  <c r="BM212" i="1"/>
  <c r="BT212" i="1"/>
  <c r="BW216" i="1"/>
  <c r="BN216" i="1"/>
  <c r="BU216" i="1"/>
  <c r="CB216" i="1"/>
  <c r="BL216" i="1"/>
  <c r="BK220" i="1"/>
  <c r="CG220" i="1"/>
  <c r="BQ220" i="1"/>
  <c r="BX220" i="1"/>
  <c r="CE224" i="1"/>
  <c r="BV224" i="1"/>
  <c r="BY224" i="1"/>
  <c r="CF224" i="1"/>
  <c r="BP224" i="1"/>
  <c r="BS228" i="1"/>
  <c r="BR228" i="1"/>
  <c r="BU228" i="1"/>
  <c r="CB228" i="1"/>
  <c r="BL228" i="1"/>
  <c r="CD232" i="1"/>
  <c r="CC232" i="1"/>
  <c r="BM232" i="1"/>
  <c r="BT232" i="1"/>
  <c r="CA236" i="1"/>
  <c r="BZ236" i="1"/>
  <c r="BY236" i="1"/>
  <c r="CF236" i="1"/>
  <c r="BP236" i="1"/>
  <c r="BO240" i="1"/>
  <c r="CG240" i="1"/>
  <c r="BQ240" i="1"/>
  <c r="BX240" i="1"/>
  <c r="CI244" i="1"/>
  <c r="CH244" i="1"/>
  <c r="CC244" i="1"/>
  <c r="BM244" i="1"/>
  <c r="BV249" i="1"/>
  <c r="BM249" i="1"/>
  <c r="BT249" i="1"/>
  <c r="CE249" i="1"/>
  <c r="BO249" i="1"/>
  <c r="BZ257" i="1"/>
  <c r="CG257" i="1"/>
  <c r="BQ257" i="1"/>
  <c r="BX263" i="1"/>
  <c r="CI263" i="1"/>
  <c r="BS263" i="1"/>
  <c r="CE268" i="1"/>
  <c r="BO268" i="1"/>
  <c r="CH273" i="1"/>
  <c r="BR273" i="1"/>
  <c r="BY273" i="1"/>
  <c r="CF279" i="1"/>
  <c r="BP279" i="1"/>
  <c r="CA279" i="1"/>
  <c r="BK279" i="1"/>
  <c r="BW280" i="1"/>
  <c r="CH280" i="1"/>
  <c r="BR280" i="1"/>
  <c r="BZ281" i="1"/>
  <c r="CG281" i="1"/>
  <c r="BQ281" i="1"/>
  <c r="CA284" i="1"/>
  <c r="BK284" i="1"/>
  <c r="BV284" i="1"/>
  <c r="CD285" i="1"/>
  <c r="BN285" i="1"/>
  <c r="BU285" i="1"/>
  <c r="CC286" i="1"/>
  <c r="BM286" i="1"/>
  <c r="BT286" i="1"/>
  <c r="CB287" i="1"/>
  <c r="BL287" i="1"/>
  <c r="BW287" i="1"/>
  <c r="CI288" i="1"/>
  <c r="BS288" i="1"/>
  <c r="CD288" i="1"/>
  <c r="BN288" i="1"/>
  <c r="BV289" i="1"/>
  <c r="CC289" i="1"/>
  <c r="BM289" i="1"/>
  <c r="BU290" i="1"/>
  <c r="CB290" i="1"/>
  <c r="BL290" i="1"/>
  <c r="BT291" i="1"/>
  <c r="CE291" i="1"/>
  <c r="BO291" i="1"/>
  <c r="CA292" i="1"/>
  <c r="BK292" i="1"/>
  <c r="CD293" i="1"/>
  <c r="BN293" i="1"/>
  <c r="BU293" i="1"/>
  <c r="CD297" i="1"/>
  <c r="BN297" i="1"/>
  <c r="CE316" i="1"/>
  <c r="BO316" i="1"/>
  <c r="BZ316" i="1"/>
  <c r="CI320" i="1"/>
  <c r="BS320" i="1"/>
  <c r="CD320" i="1"/>
  <c r="BN320" i="1"/>
  <c r="BW324" i="1"/>
  <c r="CH324" i="1"/>
  <c r="BR324" i="1"/>
  <c r="CA328" i="1"/>
  <c r="BK328" i="1"/>
  <c r="CE356" i="1"/>
  <c r="BO356" i="1"/>
  <c r="BZ356" i="1"/>
  <c r="CH357" i="1"/>
  <c r="BR357" i="1"/>
  <c r="BY357" i="1"/>
  <c r="CG358" i="1"/>
  <c r="BQ358" i="1"/>
  <c r="BX358" i="1"/>
  <c r="CI364" i="1"/>
  <c r="BS364" i="1"/>
  <c r="CD364" i="1"/>
  <c r="BN364" i="1"/>
  <c r="BV365" i="1"/>
  <c r="CC365" i="1"/>
  <c r="BM365" i="1"/>
  <c r="BU366" i="1"/>
  <c r="CB366" i="1"/>
  <c r="BW372" i="1"/>
  <c r="CH372" i="1"/>
  <c r="BR372" i="1"/>
  <c r="BZ373" i="1"/>
  <c r="CG373" i="1"/>
  <c r="BQ373" i="1"/>
  <c r="BY374" i="1"/>
  <c r="CF374" i="1"/>
  <c r="BP374" i="1"/>
  <c r="CA380" i="1"/>
  <c r="BK380" i="1"/>
  <c r="BV380" i="1"/>
  <c r="CD381" i="1"/>
  <c r="BN381" i="1"/>
  <c r="BU381" i="1"/>
  <c r="CC382" i="1"/>
  <c r="BM382" i="1"/>
  <c r="CE388" i="1"/>
  <c r="BO388" i="1"/>
  <c r="BZ388" i="1"/>
  <c r="CH389" i="1"/>
  <c r="BR389" i="1"/>
  <c r="BY389" i="1"/>
  <c r="CG390" i="1"/>
  <c r="BQ390" i="1"/>
  <c r="BX390" i="1"/>
  <c r="CI396" i="1"/>
  <c r="BS396" i="1"/>
  <c r="CD396" i="1"/>
  <c r="BN396" i="1"/>
  <c r="BV397" i="1"/>
  <c r="CC397" i="1"/>
  <c r="BM397" i="1"/>
  <c r="BU398" i="1"/>
  <c r="CB398" i="1"/>
  <c r="BW404" i="1"/>
  <c r="CH404" i="1"/>
  <c r="BR404" i="1"/>
  <c r="BZ405" i="1"/>
  <c r="CG405" i="1"/>
  <c r="BQ405" i="1"/>
  <c r="BY406" i="1"/>
  <c r="CF406" i="1"/>
  <c r="BP406" i="1"/>
  <c r="CA412" i="1"/>
  <c r="BK412" i="1"/>
  <c r="BV412" i="1"/>
  <c r="CD413" i="1"/>
  <c r="BN413" i="1"/>
  <c r="BU413" i="1"/>
  <c r="CC414" i="1"/>
  <c r="BM414" i="1"/>
  <c r="BZ76" i="1"/>
  <c r="BW123" i="1"/>
  <c r="CI143" i="1"/>
  <c r="BS159" i="1"/>
  <c r="BX178" i="1"/>
  <c r="CG194" i="1"/>
  <c r="CE204" i="1"/>
  <c r="CF211" i="1"/>
  <c r="BX219" i="1"/>
  <c r="BP227" i="1"/>
  <c r="CI232" i="1"/>
  <c r="CA240" i="1"/>
  <c r="CI248" i="1"/>
  <c r="BK256" i="1"/>
  <c r="CF257" i="1"/>
  <c r="BZ263" i="1"/>
  <c r="CD267" i="1"/>
  <c r="BY272" i="1"/>
  <c r="BL277" i="1"/>
  <c r="CH279" i="1"/>
  <c r="CF281" i="1"/>
  <c r="BZ287" i="1"/>
  <c r="BV291" i="1"/>
  <c r="BT293" i="1"/>
  <c r="CG296" i="1"/>
  <c r="BV315" i="1"/>
  <c r="BR319" i="1"/>
  <c r="CG320" i="1"/>
  <c r="BU324" i="1"/>
  <c r="CH327" i="1"/>
  <c r="CC356" i="1"/>
  <c r="CA358" i="1"/>
  <c r="CH359" i="1"/>
  <c r="CB365" i="1"/>
  <c r="BR367" i="1"/>
  <c r="CC372" i="1"/>
  <c r="CH375" i="1"/>
  <c r="CB381" i="1"/>
  <c r="BR383" i="1"/>
  <c r="CC388" i="1"/>
  <c r="CH391" i="1"/>
  <c r="CB397" i="1"/>
  <c r="BR399" i="1"/>
  <c r="CC404" i="1"/>
  <c r="CH407" i="1"/>
  <c r="CB413" i="1"/>
  <c r="BR415" i="1"/>
  <c r="BQ420" i="1"/>
  <c r="BX421" i="1"/>
  <c r="BQ424" i="1"/>
  <c r="CG424" i="1"/>
  <c r="BX425" i="1"/>
  <c r="BR427" i="1"/>
  <c r="CH427" i="1"/>
  <c r="BO430" i="1"/>
  <c r="BT433" i="1"/>
  <c r="BK434" i="1"/>
  <c r="CA434" i="1"/>
  <c r="BP437" i="1"/>
  <c r="CF437" i="1"/>
  <c r="BW442" i="1"/>
  <c r="BN443" i="1"/>
  <c r="CD443" i="1"/>
  <c r="BK446" i="1"/>
  <c r="CA446" i="1"/>
  <c r="BQ448" i="1"/>
  <c r="CG448" i="1"/>
  <c r="BQ452" i="1"/>
  <c r="CG452" i="1"/>
  <c r="BW454" i="1"/>
  <c r="BN455" i="1"/>
  <c r="BS458" i="1"/>
  <c r="CI458" i="1"/>
  <c r="BR463" i="1"/>
  <c r="CH463" i="1"/>
  <c r="BY464" i="1"/>
  <c r="BO466" i="1"/>
  <c r="BK470" i="1"/>
  <c r="CA470" i="1"/>
  <c r="BP473" i="1"/>
  <c r="CF473" i="1"/>
  <c r="BZ475" i="1"/>
  <c r="BQ476" i="1"/>
  <c r="CG476" i="1"/>
  <c r="BW478" i="1"/>
  <c r="BN479" i="1"/>
  <c r="BT481" i="1"/>
  <c r="BM484" i="1"/>
  <c r="CC484" i="1"/>
  <c r="BV487" i="1"/>
  <c r="BL489" i="1"/>
  <c r="CB489" i="1"/>
  <c r="BS490" i="1"/>
  <c r="CI490" i="1"/>
  <c r="BY492" i="1"/>
  <c r="BP493" i="1"/>
  <c r="CF493" i="1"/>
  <c r="BY496" i="1"/>
  <c r="BO498" i="1"/>
  <c r="CE498" i="1"/>
  <c r="BV499" i="1"/>
  <c r="BK502" i="1"/>
  <c r="CA502" i="1"/>
  <c r="BR503" i="1"/>
  <c r="CH503" i="1"/>
  <c r="BW506" i="1"/>
  <c r="BN507" i="1"/>
  <c r="CD507" i="1"/>
  <c r="BO26" i="1"/>
  <c r="BS26" i="1"/>
  <c r="BV26" i="1"/>
  <c r="CC26" i="1"/>
  <c r="BM26" i="1"/>
  <c r="BT26" i="1"/>
  <c r="BW30" i="1"/>
  <c r="CE30" i="1"/>
  <c r="BZ30" i="1"/>
  <c r="CG30" i="1"/>
  <c r="BQ30" i="1"/>
  <c r="BX30" i="1"/>
  <c r="BW34" i="1"/>
  <c r="BO34" i="1"/>
  <c r="CD34" i="1"/>
  <c r="BN34" i="1"/>
  <c r="BU34" i="1"/>
  <c r="CB34" i="1"/>
  <c r="BL34" i="1"/>
  <c r="CG38" i="1"/>
  <c r="BV38" i="1"/>
  <c r="BM38" i="1"/>
  <c r="BT38" i="1"/>
  <c r="CE38" i="1"/>
  <c r="BO38" i="1"/>
  <c r="BY46" i="1"/>
  <c r="BQ46" i="1"/>
  <c r="BN46" i="1"/>
  <c r="BM46" i="1"/>
  <c r="BP46" i="1"/>
  <c r="BS46" i="1"/>
  <c r="BZ47" i="1"/>
  <c r="CH47" i="1"/>
  <c r="BO47" i="1"/>
  <c r="CG47" i="1"/>
  <c r="BQ47" i="1"/>
  <c r="BX47" i="1"/>
  <c r="BL54" i="1"/>
  <c r="BT54" i="1"/>
  <c r="BX54" i="1"/>
  <c r="BO54" i="1"/>
  <c r="BV54" i="1"/>
  <c r="CC54" i="1"/>
  <c r="BM54" i="1"/>
  <c r="BK55" i="1"/>
  <c r="BO55" i="1"/>
  <c r="CG55" i="1"/>
  <c r="BQ55" i="1"/>
  <c r="BX55" i="1"/>
  <c r="CI62" i="1"/>
  <c r="BL62" i="1"/>
  <c r="BX62" i="1"/>
  <c r="BO62" i="1"/>
  <c r="BV62" i="1"/>
  <c r="CC62" i="1"/>
  <c r="BM62" i="1"/>
  <c r="CI63" i="1"/>
  <c r="CE63" i="1"/>
  <c r="BV63" i="1"/>
  <c r="BY63" i="1"/>
  <c r="CF63" i="1"/>
  <c r="BP63" i="1"/>
  <c r="BZ68" i="1"/>
  <c r="BN68" i="1"/>
  <c r="CF68" i="1"/>
  <c r="BP68" i="1"/>
  <c r="CA68" i="1"/>
  <c r="BM72" i="1"/>
  <c r="BZ72" i="1"/>
  <c r="BQ72" i="1"/>
  <c r="BT72" i="1"/>
  <c r="CE72" i="1"/>
  <c r="BO72" i="1"/>
  <c r="CG76" i="1"/>
  <c r="BN76" i="1"/>
  <c r="CF76" i="1"/>
  <c r="BP76" i="1"/>
  <c r="CA76" i="1"/>
  <c r="BK76" i="1"/>
  <c r="BK85" i="1"/>
  <c r="BO85" i="1"/>
  <c r="CG85" i="1"/>
  <c r="BQ85" i="1"/>
  <c r="BX85" i="1"/>
  <c r="CD90" i="1"/>
  <c r="CH90" i="1"/>
  <c r="BY90" i="1"/>
  <c r="BX90" i="1"/>
  <c r="CI90" i="1"/>
  <c r="BS90" i="1"/>
  <c r="BL91" i="1"/>
  <c r="BY91" i="1"/>
  <c r="BP91" i="1"/>
  <c r="BW91" i="1"/>
  <c r="CH91" i="1"/>
  <c r="BR91" i="1"/>
  <c r="CF95" i="1"/>
  <c r="BM95" i="1"/>
  <c r="CI95" i="1"/>
  <c r="BS95" i="1"/>
  <c r="CD95" i="1"/>
  <c r="BN95" i="1"/>
  <c r="CI100" i="1"/>
  <c r="BP100" i="1"/>
  <c r="CH100" i="1"/>
  <c r="BR100" i="1"/>
  <c r="BY100" i="1"/>
  <c r="CF104" i="1"/>
  <c r="CB104" i="1"/>
  <c r="CA104" i="1"/>
  <c r="CD104" i="1"/>
  <c r="BN104" i="1"/>
  <c r="BU104" i="1"/>
  <c r="CB108" i="1"/>
  <c r="CF108" i="1"/>
  <c r="BW108" i="1"/>
  <c r="BZ108" i="1"/>
  <c r="CG108" i="1"/>
  <c r="BQ108" i="1"/>
  <c r="BX112" i="1"/>
  <c r="BL112" i="1"/>
  <c r="BK112" i="1"/>
  <c r="BV112" i="1"/>
  <c r="CC112" i="1"/>
  <c r="BM112" i="1"/>
  <c r="BN113" i="1"/>
  <c r="BK113" i="1"/>
  <c r="CG113" i="1"/>
  <c r="BQ113" i="1"/>
  <c r="BX113" i="1"/>
  <c r="CH118" i="1"/>
  <c r="CD118" i="1"/>
  <c r="BU118" i="1"/>
  <c r="BX118" i="1"/>
  <c r="CI118" i="1"/>
  <c r="BS118" i="1"/>
  <c r="BO123" i="1"/>
  <c r="CA123" i="1"/>
  <c r="BZ123" i="1"/>
  <c r="BY123" i="1"/>
  <c r="CF123" i="1"/>
  <c r="BP123" i="1"/>
  <c r="BZ127" i="1"/>
  <c r="CD127" i="1"/>
  <c r="CC127" i="1"/>
  <c r="BM127" i="1"/>
  <c r="BT127" i="1"/>
  <c r="BV131" i="1"/>
  <c r="BK131" i="1"/>
  <c r="CG131" i="1"/>
  <c r="BQ131" i="1"/>
  <c r="CI135" i="1"/>
  <c r="CE135" i="1"/>
  <c r="BV135" i="1"/>
  <c r="BY135" i="1"/>
  <c r="CF135" i="1"/>
  <c r="BP135" i="1"/>
  <c r="CD139" i="1"/>
  <c r="BS139" i="1"/>
  <c r="BR139" i="1"/>
  <c r="BU139" i="1"/>
  <c r="CB139" i="1"/>
  <c r="BL139" i="1"/>
  <c r="CE143" i="1"/>
  <c r="BV143" i="1"/>
  <c r="BY143" i="1"/>
  <c r="CF143" i="1"/>
  <c r="CI147" i="1"/>
  <c r="CH147" i="1"/>
  <c r="CC147" i="1"/>
  <c r="BM147" i="1"/>
  <c r="BT147" i="1"/>
  <c r="BS151" i="1"/>
  <c r="BW151" i="1"/>
  <c r="BN151" i="1"/>
  <c r="BU151" i="1"/>
  <c r="CB151" i="1"/>
  <c r="BL151" i="1"/>
  <c r="BN155" i="1"/>
  <c r="BK155" i="1"/>
  <c r="CG155" i="1"/>
  <c r="BQ155" i="1"/>
  <c r="BX155" i="1"/>
  <c r="CA159" i="1"/>
  <c r="BW159" i="1"/>
  <c r="BN159" i="1"/>
  <c r="BU159" i="1"/>
  <c r="CB159" i="1"/>
  <c r="BL159" i="1"/>
  <c r="CA163" i="1"/>
  <c r="BZ163" i="1"/>
  <c r="BY163" i="1"/>
  <c r="CF163" i="1"/>
  <c r="CH167" i="1"/>
  <c r="BO167" i="1"/>
  <c r="CG167" i="1"/>
  <c r="BQ167" i="1"/>
  <c r="BX167" i="1"/>
  <c r="CE171" i="1"/>
  <c r="CI171" i="1"/>
  <c r="CH171" i="1"/>
  <c r="CC171" i="1"/>
  <c r="BM171" i="1"/>
  <c r="BT171" i="1"/>
  <c r="CI174" i="1"/>
  <c r="BP174" i="1"/>
  <c r="CH174" i="1"/>
  <c r="BR174" i="1"/>
  <c r="BY174" i="1"/>
  <c r="CF178" i="1"/>
  <c r="CB178" i="1"/>
  <c r="CA178" i="1"/>
  <c r="CD178" i="1"/>
  <c r="BN178" i="1"/>
  <c r="BU178" i="1"/>
  <c r="BS183" i="1"/>
  <c r="BW183" i="1"/>
  <c r="BN183" i="1"/>
  <c r="BU183" i="1"/>
  <c r="CB183" i="1"/>
  <c r="BL183" i="1"/>
  <c r="BX189" i="1"/>
  <c r="BV189" i="1"/>
  <c r="BU189" i="1"/>
  <c r="CA189" i="1"/>
  <c r="BK189" i="1"/>
  <c r="CA194" i="1"/>
  <c r="BT194" i="1"/>
  <c r="BX194" i="1"/>
  <c r="CD194" i="1"/>
  <c r="BN194" i="1"/>
  <c r="BS199" i="1"/>
  <c r="BR199" i="1"/>
  <c r="BV199" i="1"/>
  <c r="CC199" i="1"/>
  <c r="BZ203" i="1"/>
  <c r="BX203" i="1"/>
  <c r="CB203" i="1"/>
  <c r="CC203" i="1"/>
  <c r="BM203" i="1"/>
  <c r="CE207" i="1"/>
  <c r="CD207" i="1"/>
  <c r="BN207" i="1"/>
  <c r="BU207" i="1"/>
  <c r="BT211" i="1"/>
  <c r="BS211" i="1"/>
  <c r="BZ211" i="1"/>
  <c r="CG211" i="1"/>
  <c r="BQ211" i="1"/>
  <c r="BP215" i="1"/>
  <c r="CH215" i="1"/>
  <c r="BR215" i="1"/>
  <c r="BY215" i="1"/>
  <c r="CB219" i="1"/>
  <c r="CA219" i="1"/>
  <c r="CD219" i="1"/>
  <c r="BN219" i="1"/>
  <c r="BU219" i="1"/>
  <c r="BX223" i="1"/>
  <c r="BO223" i="1"/>
  <c r="BV223" i="1"/>
  <c r="CC223" i="1"/>
  <c r="BM223" i="1"/>
  <c r="CI227" i="1"/>
  <c r="CH227" i="1"/>
  <c r="BR227" i="1"/>
  <c r="BY227" i="1"/>
  <c r="CF231" i="1"/>
  <c r="BW231" i="1"/>
  <c r="BZ231" i="1"/>
  <c r="CG231" i="1"/>
  <c r="BQ231" i="1"/>
  <c r="BL235" i="1"/>
  <c r="BK235" i="1"/>
  <c r="BV235" i="1"/>
  <c r="CC235" i="1"/>
  <c r="BM235" i="1"/>
  <c r="CE239" i="1"/>
  <c r="CD239" i="1"/>
  <c r="BN239" i="1"/>
  <c r="BU239" i="1"/>
  <c r="BT243" i="1"/>
  <c r="BS243" i="1"/>
  <c r="BZ243" i="1"/>
  <c r="CG243" i="1"/>
  <c r="BQ243" i="1"/>
  <c r="BO248" i="1"/>
  <c r="CG248" i="1"/>
  <c r="BQ248" i="1"/>
  <c r="BX248" i="1"/>
  <c r="CH253" i="1"/>
  <c r="BY253" i="1"/>
  <c r="BX253" i="1"/>
  <c r="CI253" i="1"/>
  <c r="BS253" i="1"/>
  <c r="CB255" i="1"/>
  <c r="CF255" i="1"/>
  <c r="BV255" i="1"/>
  <c r="CD256" i="1"/>
  <c r="CH256" i="1"/>
  <c r="BL256" i="1"/>
  <c r="CD261" i="1"/>
  <c r="BN261" i="1"/>
  <c r="BU261" i="1"/>
  <c r="CB267" i="1"/>
  <c r="BL267" i="1"/>
  <c r="CI272" i="1"/>
  <c r="BS272" i="1"/>
  <c r="CD272" i="1"/>
  <c r="BN272" i="1"/>
  <c r="BV277" i="1"/>
  <c r="CC277" i="1"/>
  <c r="BW296" i="1"/>
  <c r="CH296" i="1"/>
  <c r="BR296" i="1"/>
  <c r="BX315" i="1"/>
  <c r="CI315" i="1"/>
  <c r="BS315" i="1"/>
  <c r="CB319" i="1"/>
  <c r="BL319" i="1"/>
  <c r="BW319" i="1"/>
  <c r="CF323" i="1"/>
  <c r="BP323" i="1"/>
  <c r="CA323" i="1"/>
  <c r="BK323" i="1"/>
  <c r="BT327" i="1"/>
  <c r="CE327" i="1"/>
  <c r="BO327" i="1"/>
  <c r="BX359" i="1"/>
  <c r="CI359" i="1"/>
  <c r="BS359" i="1"/>
  <c r="CB367" i="1"/>
  <c r="BL367" i="1"/>
  <c r="BW367" i="1"/>
  <c r="CF375" i="1"/>
  <c r="BP375" i="1"/>
  <c r="CA375" i="1"/>
  <c r="BK375" i="1"/>
  <c r="BT383" i="1"/>
  <c r="CE383" i="1"/>
  <c r="BO383" i="1"/>
  <c r="BX391" i="1"/>
  <c r="CI391" i="1"/>
  <c r="BS391" i="1"/>
  <c r="CB399" i="1"/>
  <c r="BL399" i="1"/>
  <c r="BW399" i="1"/>
  <c r="CF407" i="1"/>
  <c r="BP407" i="1"/>
  <c r="CA407" i="1"/>
  <c r="BK407" i="1"/>
  <c r="BT415" i="1"/>
  <c r="CE415" i="1"/>
  <c r="BO415" i="1"/>
  <c r="BO219" i="1"/>
  <c r="BV278" i="1"/>
  <c r="BU319" i="1"/>
  <c r="CF332" i="1"/>
  <c r="BP348" i="1"/>
  <c r="CB368" i="1"/>
  <c r="BO389" i="1"/>
  <c r="BU399" i="1"/>
  <c r="CA409" i="1"/>
  <c r="BW419" i="1"/>
  <c r="BV428" i="1"/>
  <c r="CI439" i="1"/>
  <c r="BT446" i="1"/>
  <c r="CD452" i="1"/>
  <c r="BO459" i="1"/>
  <c r="BR464" i="1"/>
  <c r="CB467" i="1"/>
  <c r="CG470" i="1"/>
  <c r="BV473" i="1"/>
  <c r="BS476" i="1"/>
  <c r="BW480" i="1"/>
  <c r="BM482" i="1"/>
  <c r="CH485" i="1"/>
  <c r="BW488" i="1"/>
  <c r="BU490" i="1"/>
  <c r="CB491" i="1"/>
  <c r="CG494" i="1"/>
  <c r="BT499" i="1"/>
  <c r="CA500" i="1"/>
  <c r="BX503" i="1"/>
  <c r="CE504" i="1"/>
  <c r="CB507" i="1"/>
  <c r="BM52" i="1"/>
  <c r="BZ52" i="1"/>
  <c r="BQ52" i="1"/>
  <c r="BT52" i="1"/>
  <c r="CE52" i="1"/>
  <c r="BO52" i="1"/>
  <c r="CC53" i="1"/>
  <c r="CG53" i="1"/>
  <c r="BX53" i="1"/>
  <c r="CA53" i="1"/>
  <c r="BK53" i="1"/>
  <c r="BV53" i="1"/>
  <c r="BU60" i="1"/>
  <c r="BM60" i="1"/>
  <c r="CG60" i="1"/>
  <c r="CB60" i="1"/>
  <c r="BL60" i="1"/>
  <c r="BW60" i="1"/>
  <c r="CF66" i="1"/>
  <c r="BX66" i="1"/>
  <c r="BL66" i="1"/>
  <c r="BK66" i="1"/>
  <c r="BV66" i="1"/>
  <c r="CC66" i="1"/>
  <c r="BM66" i="1"/>
  <c r="CE70" i="1"/>
  <c r="BT70" i="1"/>
  <c r="BS70" i="1"/>
  <c r="BZ70" i="1"/>
  <c r="CG70" i="1"/>
  <c r="BQ70" i="1"/>
  <c r="CB74" i="1"/>
  <c r="BS74" i="1"/>
  <c r="CE74" i="1"/>
  <c r="CD74" i="1"/>
  <c r="BN74" i="1"/>
  <c r="BU74" i="1"/>
  <c r="BW78" i="1"/>
  <c r="BO78" i="1"/>
  <c r="CI78" i="1"/>
  <c r="CH78" i="1"/>
  <c r="BR78" i="1"/>
  <c r="BY78" i="1"/>
  <c r="BO89" i="1"/>
  <c r="BW89" i="1"/>
  <c r="BS89" i="1"/>
  <c r="BP89" i="1"/>
  <c r="BU99" i="1"/>
  <c r="BS99" i="1"/>
  <c r="BX103" i="1"/>
  <c r="BZ103" i="1"/>
  <c r="BY111" i="1"/>
  <c r="BS111" i="1"/>
  <c r="CI116" i="1"/>
  <c r="BY116" i="1"/>
  <c r="BK120" i="1"/>
  <c r="CD121" i="1"/>
  <c r="CF121" i="1"/>
  <c r="BX125" i="1"/>
  <c r="BP129" i="1"/>
  <c r="BO129" i="1"/>
  <c r="BQ133" i="1"/>
  <c r="BN133" i="1"/>
  <c r="BW137" i="1"/>
  <c r="CG141" i="1"/>
  <c r="BV141" i="1"/>
  <c r="CE145" i="1"/>
  <c r="BU149" i="1"/>
  <c r="BL153" i="1"/>
  <c r="CC157" i="1"/>
  <c r="BK157" i="1"/>
  <c r="CB161" i="1"/>
  <c r="BN28" i="1"/>
  <c r="CD28" i="1"/>
  <c r="BS28" i="1"/>
  <c r="CI28" i="1"/>
  <c r="BX28" i="1"/>
  <c r="CG28" i="1"/>
  <c r="BM28" i="1"/>
  <c r="BR28" i="1"/>
  <c r="CH28" i="1"/>
  <c r="BW28" i="1"/>
  <c r="BL28" i="1"/>
  <c r="CB28" i="1"/>
  <c r="BU28" i="1"/>
  <c r="BV28" i="1"/>
  <c r="BK28" i="1"/>
  <c r="CA28" i="1"/>
  <c r="BP28" i="1"/>
  <c r="CF28" i="1"/>
  <c r="BY28" i="1"/>
  <c r="BZ28" i="1"/>
  <c r="BO28" i="1"/>
  <c r="CE28" i="1"/>
  <c r="BT28" i="1"/>
  <c r="BQ28" i="1"/>
  <c r="CC28" i="1"/>
  <c r="BX444" i="1"/>
  <c r="BQ444" i="1"/>
  <c r="CG444" i="1"/>
  <c r="BR444" i="1"/>
  <c r="BS444" i="1"/>
  <c r="BV444" i="1"/>
  <c r="BL444" i="1"/>
  <c r="CB444" i="1"/>
  <c r="BU444" i="1"/>
  <c r="BO444" i="1"/>
  <c r="BZ444" i="1"/>
  <c r="CA444" i="1"/>
  <c r="CD444" i="1"/>
  <c r="BP444" i="1"/>
  <c r="CF444" i="1"/>
  <c r="BY444" i="1"/>
  <c r="BW444" i="1"/>
  <c r="CH444" i="1"/>
  <c r="CI444" i="1"/>
  <c r="BT444" i="1"/>
  <c r="BM444" i="1"/>
  <c r="CC444" i="1"/>
  <c r="CE444" i="1"/>
  <c r="BK444" i="1"/>
  <c r="BN444" i="1"/>
  <c r="CG449" i="1"/>
  <c r="CH449" i="1"/>
  <c r="BN449" i="1"/>
  <c r="BY449" i="1"/>
  <c r="BM449" i="1"/>
  <c r="BV449" i="1"/>
  <c r="BR449" i="1"/>
  <c r="BU449" i="1"/>
  <c r="CD449" i="1"/>
  <c r="BZ449" i="1"/>
  <c r="CC449" i="1"/>
  <c r="BK449" i="1"/>
  <c r="BQ449" i="1"/>
  <c r="BX466" i="1"/>
  <c r="BY466" i="1"/>
  <c r="CB466" i="1"/>
  <c r="CG466" i="1"/>
  <c r="BM466" i="1"/>
  <c r="BL466" i="1"/>
  <c r="BU466" i="1"/>
  <c r="BQ466" i="1"/>
  <c r="BT466" i="1"/>
  <c r="CC466" i="1"/>
  <c r="BP466" i="1"/>
  <c r="BN466" i="1"/>
  <c r="CG469" i="1"/>
  <c r="BQ469" i="1"/>
  <c r="BY469" i="1"/>
  <c r="BR469" i="1"/>
  <c r="BV469" i="1"/>
  <c r="BN469" i="1"/>
  <c r="CD469" i="1"/>
  <c r="CC469" i="1"/>
  <c r="BU469" i="1"/>
  <c r="BM469" i="1"/>
  <c r="BK469" i="1"/>
  <c r="CF478" i="1"/>
  <c r="BP478" i="1"/>
  <c r="BX478" i="1"/>
  <c r="BQ478" i="1"/>
  <c r="CC478" i="1"/>
  <c r="BU478" i="1"/>
  <c r="BM478" i="1"/>
  <c r="CB478" i="1"/>
  <c r="BN478" i="1"/>
  <c r="BT478" i="1"/>
  <c r="BL478" i="1"/>
  <c r="BK484" i="1"/>
  <c r="BR484" i="1"/>
  <c r="CH484" i="1"/>
  <c r="BZ484" i="1"/>
  <c r="BL484" i="1"/>
  <c r="CE484" i="1"/>
  <c r="BW484" i="1"/>
  <c r="BO484" i="1"/>
  <c r="CD484" i="1"/>
  <c r="BV484" i="1"/>
  <c r="BN484" i="1"/>
  <c r="BQ493" i="1"/>
  <c r="CG493" i="1"/>
  <c r="BR493" i="1"/>
  <c r="BY493" i="1"/>
  <c r="CD493" i="1"/>
  <c r="BV493" i="1"/>
  <c r="BK493" i="1"/>
  <c r="BN493" i="1"/>
  <c r="CC493" i="1"/>
  <c r="BU493" i="1"/>
  <c r="BM493" i="1"/>
  <c r="BM497" i="1"/>
  <c r="CC497" i="1"/>
  <c r="BU497" i="1"/>
  <c r="BW497" i="1"/>
  <c r="BL497" i="1"/>
  <c r="CB497" i="1"/>
  <c r="CA497" i="1"/>
  <c r="BP497" i="1"/>
  <c r="CF497" i="1"/>
  <c r="BO497" i="1"/>
  <c r="CE497" i="1"/>
  <c r="BT497" i="1"/>
  <c r="BS497" i="1"/>
  <c r="CI497" i="1"/>
  <c r="BX497" i="1"/>
  <c r="BR497" i="1"/>
  <c r="CH497" i="1"/>
  <c r="BZ497" i="1"/>
  <c r="BY497" i="1"/>
  <c r="BQ497" i="1"/>
  <c r="CG497" i="1"/>
  <c r="BL346" i="1"/>
  <c r="CB346" i="1"/>
  <c r="BU346" i="1"/>
  <c r="BN346" i="1"/>
  <c r="BW346" i="1"/>
  <c r="BZ346" i="1"/>
  <c r="BP346" i="1"/>
  <c r="CF346" i="1"/>
  <c r="BY346" i="1"/>
  <c r="BV346" i="1"/>
  <c r="CE346" i="1"/>
  <c r="BK346" i="1"/>
  <c r="BT346" i="1"/>
  <c r="BM346" i="1"/>
  <c r="CC346" i="1"/>
  <c r="CD346" i="1"/>
  <c r="BS346" i="1"/>
  <c r="CA346" i="1"/>
  <c r="CH346" i="1"/>
  <c r="BX346" i="1"/>
  <c r="BQ346" i="1"/>
  <c r="CG346" i="1"/>
  <c r="BO346" i="1"/>
  <c r="CI346" i="1"/>
  <c r="BR346" i="1"/>
  <c r="BV445" i="1"/>
  <c r="CG445" i="1"/>
  <c r="CD445" i="1"/>
  <c r="BR445" i="1"/>
  <c r="BQ445" i="1"/>
  <c r="BZ445" i="1"/>
  <c r="BN445" i="1"/>
  <c r="BY445" i="1"/>
  <c r="CH445" i="1"/>
  <c r="CC445" i="1"/>
  <c r="BU445" i="1"/>
  <c r="BK445" i="1"/>
  <c r="BK455" i="1"/>
  <c r="CB455" i="1"/>
  <c r="BP455" i="1"/>
  <c r="BO455" i="1"/>
  <c r="BX455" i="1"/>
  <c r="BL455" i="1"/>
  <c r="BW455" i="1"/>
  <c r="CF455" i="1"/>
  <c r="BM455" i="1"/>
  <c r="BT455" i="1"/>
  <c r="CE455" i="1"/>
  <c r="CI455" i="1"/>
  <c r="CA455" i="1"/>
  <c r="BN474" i="1"/>
  <c r="CD474" i="1"/>
  <c r="BS474" i="1"/>
  <c r="CI474" i="1"/>
  <c r="BP474" i="1"/>
  <c r="BY474" i="1"/>
  <c r="BR474" i="1"/>
  <c r="CH474" i="1"/>
  <c r="BW474" i="1"/>
  <c r="BM474" i="1"/>
  <c r="BX474" i="1"/>
  <c r="CG474" i="1"/>
  <c r="BV474" i="1"/>
  <c r="BK474" i="1"/>
  <c r="CA474" i="1"/>
  <c r="BU474" i="1"/>
  <c r="CF474" i="1"/>
  <c r="BZ474" i="1"/>
  <c r="BO474" i="1"/>
  <c r="CE474" i="1"/>
  <c r="CC474" i="1"/>
  <c r="BQ474" i="1"/>
  <c r="CB474" i="1"/>
  <c r="BT474" i="1"/>
  <c r="BL474" i="1"/>
  <c r="BO479" i="1"/>
  <c r="CE479" i="1"/>
  <c r="BP479" i="1"/>
  <c r="BW479" i="1"/>
  <c r="BL479" i="1"/>
  <c r="BM479" i="1"/>
  <c r="CB479" i="1"/>
  <c r="BT479" i="1"/>
  <c r="BK479" i="1"/>
  <c r="CI479" i="1"/>
  <c r="CA479" i="1"/>
  <c r="BS479" i="1"/>
  <c r="BY495" i="1"/>
  <c r="BR495" i="1"/>
  <c r="CH495" i="1"/>
  <c r="BK495" i="1"/>
  <c r="BL495" i="1"/>
  <c r="BM495" i="1"/>
  <c r="CC495" i="1"/>
  <c r="BV495" i="1"/>
  <c r="BP495" i="1"/>
  <c r="BS495" i="1"/>
  <c r="BT495" i="1"/>
  <c r="BQ495" i="1"/>
  <c r="CG495" i="1"/>
  <c r="BZ495" i="1"/>
  <c r="BX495" i="1"/>
  <c r="CA495" i="1"/>
  <c r="CB495" i="1"/>
  <c r="BO495" i="1"/>
  <c r="BU495" i="1"/>
  <c r="BN495" i="1"/>
  <c r="CD495" i="1"/>
  <c r="CF495" i="1"/>
  <c r="CI495" i="1"/>
  <c r="CE495" i="1"/>
  <c r="BW495" i="1"/>
  <c r="BW505" i="1"/>
  <c r="BL505" i="1"/>
  <c r="CB505" i="1"/>
  <c r="CD505" i="1"/>
  <c r="BR505" i="1"/>
  <c r="BK505" i="1"/>
  <c r="CA505" i="1"/>
  <c r="BP505" i="1"/>
  <c r="CF505" i="1"/>
  <c r="BQ505" i="1"/>
  <c r="BZ505" i="1"/>
  <c r="BO505" i="1"/>
  <c r="CE505" i="1"/>
  <c r="BT505" i="1"/>
  <c r="BN505" i="1"/>
  <c r="BY505" i="1"/>
  <c r="CH505" i="1"/>
  <c r="BS505" i="1"/>
  <c r="CI505" i="1"/>
  <c r="BX505" i="1"/>
  <c r="BV505" i="1"/>
  <c r="CG505" i="1"/>
  <c r="BM505" i="1"/>
  <c r="CC505" i="1"/>
  <c r="BU505" i="1"/>
  <c r="BU337" i="1"/>
  <c r="BN337" i="1"/>
  <c r="CD337" i="1"/>
  <c r="CE337" i="1"/>
  <c r="BT337" i="1"/>
  <c r="CB337" i="1"/>
  <c r="BY337" i="1"/>
  <c r="BR337" i="1"/>
  <c r="CH337" i="1"/>
  <c r="BP337" i="1"/>
  <c r="BK337" i="1"/>
  <c r="CI337" i="1"/>
  <c r="BM337" i="1"/>
  <c r="CC337" i="1"/>
  <c r="BV337" i="1"/>
  <c r="BO337" i="1"/>
  <c r="BX337" i="1"/>
  <c r="CA337" i="1"/>
  <c r="BS337" i="1"/>
  <c r="BQ337" i="1"/>
  <c r="CG337" i="1"/>
  <c r="BZ337" i="1"/>
  <c r="BW337" i="1"/>
  <c r="CF337" i="1"/>
  <c r="BL337" i="1"/>
  <c r="BP430" i="1"/>
  <c r="BY430" i="1"/>
  <c r="CB430" i="1"/>
  <c r="BM430" i="1"/>
  <c r="BX430" i="1"/>
  <c r="CG430" i="1"/>
  <c r="BU430" i="1"/>
  <c r="CF430" i="1"/>
  <c r="BL430" i="1"/>
  <c r="CC430" i="1"/>
  <c r="BQ430" i="1"/>
  <c r="BT430" i="1"/>
  <c r="BN430" i="1"/>
  <c r="BN460" i="1"/>
  <c r="BW460" i="1"/>
  <c r="CH460" i="1"/>
  <c r="CI460" i="1"/>
  <c r="CE460" i="1"/>
  <c r="BK460" i="1"/>
  <c r="BR460" i="1"/>
  <c r="BS460" i="1"/>
  <c r="BO460" i="1"/>
  <c r="BZ460" i="1"/>
  <c r="CA460" i="1"/>
  <c r="CD460" i="1"/>
  <c r="BL460" i="1"/>
  <c r="BV438" i="1"/>
  <c r="BK438" i="1"/>
  <c r="CA438" i="1"/>
  <c r="BU438" i="1"/>
  <c r="CF438" i="1"/>
  <c r="CB438" i="1"/>
  <c r="BZ438" i="1"/>
  <c r="BO438" i="1"/>
  <c r="CE438" i="1"/>
  <c r="CC438" i="1"/>
  <c r="BQ438" i="1"/>
  <c r="BL438" i="1"/>
  <c r="BN438" i="1"/>
  <c r="CD438" i="1"/>
  <c r="BS438" i="1"/>
  <c r="CI438" i="1"/>
  <c r="BP438" i="1"/>
  <c r="BY438" i="1"/>
  <c r="BT438" i="1"/>
  <c r="BR438" i="1"/>
  <c r="CH438" i="1"/>
  <c r="BW438" i="1"/>
  <c r="BM438" i="1"/>
  <c r="BX438" i="1"/>
  <c r="CG438" i="1"/>
  <c r="BQ429" i="1"/>
  <c r="BZ429" i="1"/>
  <c r="BU429" i="1"/>
  <c r="BN429" i="1"/>
  <c r="BY429" i="1"/>
  <c r="CH429" i="1"/>
  <c r="BV429" i="1"/>
  <c r="CG429" i="1"/>
  <c r="CC429" i="1"/>
  <c r="CD429" i="1"/>
  <c r="BR429" i="1"/>
  <c r="BM429" i="1"/>
  <c r="BK429" i="1"/>
  <c r="BR314" i="1"/>
  <c r="BP314" i="1"/>
  <c r="CF314" i="1"/>
  <c r="BY314" i="1"/>
  <c r="BV314" i="1"/>
  <c r="CE314" i="1"/>
  <c r="BK314" i="1"/>
  <c r="BT314" i="1"/>
  <c r="BM314" i="1"/>
  <c r="CC314" i="1"/>
  <c r="CD314" i="1"/>
  <c r="BS314" i="1"/>
  <c r="CA314" i="1"/>
  <c r="BX314" i="1"/>
  <c r="BQ314" i="1"/>
  <c r="CG314" i="1"/>
  <c r="BO314" i="1"/>
  <c r="CI314" i="1"/>
  <c r="CH314" i="1"/>
  <c r="BL314" i="1"/>
  <c r="CB314" i="1"/>
  <c r="BU314" i="1"/>
  <c r="BN314" i="1"/>
  <c r="BW314" i="1"/>
  <c r="BZ314" i="1"/>
  <c r="BV420" i="1"/>
  <c r="BN420" i="1"/>
  <c r="BL420" i="1"/>
  <c r="BW420" i="1"/>
  <c r="CH420" i="1"/>
  <c r="CI420" i="1"/>
  <c r="CE420" i="1"/>
  <c r="BK420" i="1"/>
  <c r="BR420" i="1"/>
  <c r="BS420" i="1"/>
  <c r="BO420" i="1"/>
  <c r="BZ420" i="1"/>
  <c r="CA420" i="1"/>
  <c r="CE341" i="1"/>
  <c r="BU341" i="1"/>
  <c r="BN341" i="1"/>
  <c r="CD341" i="1"/>
  <c r="CA341" i="1"/>
  <c r="CB341" i="1"/>
  <c r="BX341" i="1"/>
  <c r="BY341" i="1"/>
  <c r="BR341" i="1"/>
  <c r="CH341" i="1"/>
  <c r="CI341" i="1"/>
  <c r="BP341" i="1"/>
  <c r="BM341" i="1"/>
  <c r="CC341" i="1"/>
  <c r="BV341" i="1"/>
  <c r="BK341" i="1"/>
  <c r="BL341" i="1"/>
  <c r="CF341" i="1"/>
  <c r="BQ341" i="1"/>
  <c r="CG341" i="1"/>
  <c r="BZ341" i="1"/>
  <c r="BS341" i="1"/>
  <c r="BT341" i="1"/>
  <c r="BW341" i="1"/>
  <c r="BO341" i="1"/>
  <c r="BY309" i="1"/>
  <c r="BR309" i="1"/>
  <c r="CH309" i="1"/>
  <c r="CI309" i="1"/>
  <c r="BP309" i="1"/>
  <c r="CE309" i="1"/>
  <c r="BM309" i="1"/>
  <c r="CC309" i="1"/>
  <c r="BV309" i="1"/>
  <c r="BK309" i="1"/>
  <c r="BL309" i="1"/>
  <c r="CF309" i="1"/>
  <c r="BQ309" i="1"/>
  <c r="CG309" i="1"/>
  <c r="BZ309" i="1"/>
  <c r="BS309" i="1"/>
  <c r="BT309" i="1"/>
  <c r="BW309" i="1"/>
  <c r="BU309" i="1"/>
  <c r="BN309" i="1"/>
  <c r="CD309" i="1"/>
  <c r="CA309" i="1"/>
  <c r="CB309" i="1"/>
  <c r="BX309" i="1"/>
  <c r="BU301" i="1"/>
  <c r="BN301" i="1"/>
  <c r="CD301" i="1"/>
  <c r="CA301" i="1"/>
  <c r="CB301" i="1"/>
  <c r="BP301" i="1"/>
  <c r="BY301" i="1"/>
  <c r="BR301" i="1"/>
  <c r="CH301" i="1"/>
  <c r="CI301" i="1"/>
  <c r="BX301" i="1"/>
  <c r="CF301" i="1"/>
  <c r="BM301" i="1"/>
  <c r="CC301" i="1"/>
  <c r="BV301" i="1"/>
  <c r="BK301" i="1"/>
  <c r="BL301" i="1"/>
  <c r="BO301" i="1"/>
  <c r="BQ301" i="1"/>
  <c r="CG301" i="1"/>
  <c r="BZ301" i="1"/>
  <c r="BS301" i="1"/>
  <c r="BT301" i="1"/>
  <c r="CE301" i="1"/>
  <c r="BW301" i="1"/>
  <c r="BM431" i="1"/>
  <c r="CC431" i="1"/>
  <c r="BV431" i="1"/>
  <c r="BL431" i="1"/>
  <c r="BW431" i="1"/>
  <c r="CF431" i="1"/>
  <c r="CI431" i="1"/>
  <c r="BQ431" i="1"/>
  <c r="CG431" i="1"/>
  <c r="BZ431" i="1"/>
  <c r="BT431" i="1"/>
  <c r="CE431" i="1"/>
  <c r="BK431" i="1"/>
  <c r="BU431" i="1"/>
  <c r="BN431" i="1"/>
  <c r="CD431" i="1"/>
  <c r="CB431" i="1"/>
  <c r="BP431" i="1"/>
  <c r="BS431" i="1"/>
  <c r="BY431" i="1"/>
  <c r="BR431" i="1"/>
  <c r="CH431" i="1"/>
  <c r="BO431" i="1"/>
  <c r="BX431" i="1"/>
  <c r="CA431" i="1"/>
  <c r="BZ418" i="1"/>
  <c r="BT418" i="1"/>
  <c r="BM418" i="1"/>
  <c r="CC418" i="1"/>
  <c r="CD418" i="1"/>
  <c r="BK418" i="1"/>
  <c r="BS418" i="1"/>
  <c r="BX418" i="1"/>
  <c r="BQ418" i="1"/>
  <c r="CG418" i="1"/>
  <c r="BO418" i="1"/>
  <c r="CA418" i="1"/>
  <c r="CI418" i="1"/>
  <c r="BL418" i="1"/>
  <c r="CB418" i="1"/>
  <c r="BU418" i="1"/>
  <c r="BN418" i="1"/>
  <c r="BW418" i="1"/>
  <c r="BR418" i="1"/>
  <c r="BP418" i="1"/>
  <c r="CF418" i="1"/>
  <c r="BY418" i="1"/>
  <c r="BV418" i="1"/>
  <c r="CE418" i="1"/>
  <c r="CH418" i="1"/>
  <c r="BN414" i="1"/>
  <c r="BK414" i="1"/>
  <c r="BW414" i="1"/>
  <c r="BO414" i="1"/>
  <c r="CE414" i="1"/>
  <c r="BV414" i="1"/>
  <c r="CH410" i="1"/>
  <c r="BT410" i="1"/>
  <c r="BM410" i="1"/>
  <c r="CC410" i="1"/>
  <c r="CD410" i="1"/>
  <c r="BS410" i="1"/>
  <c r="CA410" i="1"/>
  <c r="BX410" i="1"/>
  <c r="BQ410" i="1"/>
  <c r="CG410" i="1"/>
  <c r="BO410" i="1"/>
  <c r="CI410" i="1"/>
  <c r="BL410" i="1"/>
  <c r="CB410" i="1"/>
  <c r="BU410" i="1"/>
  <c r="BN410" i="1"/>
  <c r="BW410" i="1"/>
  <c r="BZ410" i="1"/>
  <c r="BP410" i="1"/>
  <c r="CF410" i="1"/>
  <c r="BY410" i="1"/>
  <c r="BV410" i="1"/>
  <c r="CE410" i="1"/>
  <c r="BK410" i="1"/>
  <c r="BR410" i="1"/>
  <c r="BV406" i="1"/>
  <c r="BK406" i="1"/>
  <c r="BW406" i="1"/>
  <c r="CE406" i="1"/>
  <c r="BN406" i="1"/>
  <c r="CD406" i="1"/>
  <c r="BO406" i="1"/>
  <c r="BT402" i="1"/>
  <c r="BM402" i="1"/>
  <c r="CC402" i="1"/>
  <c r="CD402" i="1"/>
  <c r="BK402" i="1"/>
  <c r="BS402" i="1"/>
  <c r="BX402" i="1"/>
  <c r="BQ402" i="1"/>
  <c r="CG402" i="1"/>
  <c r="BO402" i="1"/>
  <c r="CA402" i="1"/>
  <c r="CI402" i="1"/>
  <c r="BL402" i="1"/>
  <c r="CB402" i="1"/>
  <c r="BU402" i="1"/>
  <c r="BN402" i="1"/>
  <c r="BW402" i="1"/>
  <c r="BR402" i="1"/>
  <c r="BP402" i="1"/>
  <c r="CF402" i="1"/>
  <c r="BY402" i="1"/>
  <c r="BV402" i="1"/>
  <c r="CE402" i="1"/>
  <c r="CH402" i="1"/>
  <c r="BZ402" i="1"/>
  <c r="CD398" i="1"/>
  <c r="BK398" i="1"/>
  <c r="BN398" i="1"/>
  <c r="BW398" i="1"/>
  <c r="BO398" i="1"/>
  <c r="CE398" i="1"/>
  <c r="BV398" i="1"/>
  <c r="BT394" i="1"/>
  <c r="BM394" i="1"/>
  <c r="CC394" i="1"/>
  <c r="CD394" i="1"/>
  <c r="BS394" i="1"/>
  <c r="CA394" i="1"/>
  <c r="BX394" i="1"/>
  <c r="BQ394" i="1"/>
  <c r="CG394" i="1"/>
  <c r="BO394" i="1"/>
  <c r="CI394" i="1"/>
  <c r="BL394" i="1"/>
  <c r="CB394" i="1"/>
  <c r="BU394" i="1"/>
  <c r="BN394" i="1"/>
  <c r="BW394" i="1"/>
  <c r="BZ394" i="1"/>
  <c r="BP394" i="1"/>
  <c r="CF394" i="1"/>
  <c r="BY394" i="1"/>
  <c r="BV394" i="1"/>
  <c r="CE394" i="1"/>
  <c r="BK394" i="1"/>
  <c r="CH394" i="1"/>
  <c r="BV390" i="1"/>
  <c r="BK390" i="1"/>
  <c r="BW390" i="1"/>
  <c r="CE390" i="1"/>
  <c r="BN390" i="1"/>
  <c r="CD390" i="1"/>
  <c r="BO390" i="1"/>
  <c r="BT386" i="1"/>
  <c r="BM386" i="1"/>
  <c r="CC386" i="1"/>
  <c r="CD386" i="1"/>
  <c r="BK386" i="1"/>
  <c r="BS386" i="1"/>
  <c r="BX386" i="1"/>
  <c r="BQ386" i="1"/>
  <c r="CG386" i="1"/>
  <c r="BO386" i="1"/>
  <c r="CA386" i="1"/>
  <c r="CI386" i="1"/>
  <c r="BL386" i="1"/>
  <c r="CB386" i="1"/>
  <c r="BU386" i="1"/>
  <c r="BN386" i="1"/>
  <c r="BW386" i="1"/>
  <c r="BR386" i="1"/>
  <c r="BP386" i="1"/>
  <c r="CF386" i="1"/>
  <c r="BY386" i="1"/>
  <c r="BV386" i="1"/>
  <c r="CE386" i="1"/>
  <c r="CH386" i="1"/>
  <c r="BK382" i="1"/>
  <c r="CD382" i="1"/>
  <c r="BW382" i="1"/>
  <c r="BO382" i="1"/>
  <c r="CE382" i="1"/>
  <c r="BV382" i="1"/>
  <c r="BN382" i="1"/>
  <c r="BR378" i="1"/>
  <c r="BT378" i="1"/>
  <c r="BM378" i="1"/>
  <c r="CC378" i="1"/>
  <c r="CD378" i="1"/>
  <c r="BS378" i="1"/>
  <c r="CA378" i="1"/>
  <c r="BX378" i="1"/>
  <c r="BQ378" i="1"/>
  <c r="CG378" i="1"/>
  <c r="BO378" i="1"/>
  <c r="CI378" i="1"/>
  <c r="BL378" i="1"/>
  <c r="CB378" i="1"/>
  <c r="BU378" i="1"/>
  <c r="BN378" i="1"/>
  <c r="BW378" i="1"/>
  <c r="BZ378" i="1"/>
  <c r="BP378" i="1"/>
  <c r="CF378" i="1"/>
  <c r="BY378" i="1"/>
  <c r="BV378" i="1"/>
  <c r="CE378" i="1"/>
  <c r="BK378" i="1"/>
  <c r="BK374" i="1"/>
  <c r="BW374" i="1"/>
  <c r="CE374" i="1"/>
  <c r="BN374" i="1"/>
  <c r="CD374" i="1"/>
  <c r="BO374" i="1"/>
  <c r="BV374" i="1"/>
  <c r="BZ370" i="1"/>
  <c r="BT370" i="1"/>
  <c r="BM370" i="1"/>
  <c r="CC370" i="1"/>
  <c r="CD370" i="1"/>
  <c r="BK370" i="1"/>
  <c r="BS370" i="1"/>
  <c r="BX370" i="1"/>
  <c r="BQ370" i="1"/>
  <c r="CG370" i="1"/>
  <c r="BO370" i="1"/>
  <c r="CA370" i="1"/>
  <c r="CI370" i="1"/>
  <c r="BL370" i="1"/>
  <c r="CB370" i="1"/>
  <c r="BU370" i="1"/>
  <c r="BN370" i="1"/>
  <c r="BW370" i="1"/>
  <c r="BR370" i="1"/>
  <c r="BP370" i="1"/>
  <c r="CF370" i="1"/>
  <c r="BY370" i="1"/>
  <c r="BV370" i="1"/>
  <c r="CE370" i="1"/>
  <c r="CH370" i="1"/>
  <c r="BK366" i="1"/>
  <c r="BW366" i="1"/>
  <c r="BO366" i="1"/>
  <c r="CE366" i="1"/>
  <c r="BV366" i="1"/>
  <c r="CD366" i="1"/>
  <c r="CH362" i="1"/>
  <c r="BR362" i="1"/>
  <c r="BT362" i="1"/>
  <c r="BM362" i="1"/>
  <c r="CC362" i="1"/>
  <c r="CD362" i="1"/>
  <c r="BS362" i="1"/>
  <c r="CA362" i="1"/>
  <c r="BX362" i="1"/>
  <c r="BQ362" i="1"/>
  <c r="CG362" i="1"/>
  <c r="BO362" i="1"/>
  <c r="CI362" i="1"/>
  <c r="BL362" i="1"/>
  <c r="CB362" i="1"/>
  <c r="BU362" i="1"/>
  <c r="BN362" i="1"/>
  <c r="BW362" i="1"/>
  <c r="BZ362" i="1"/>
  <c r="BP362" i="1"/>
  <c r="CF362" i="1"/>
  <c r="BY362" i="1"/>
  <c r="BV362" i="1"/>
  <c r="CE362" i="1"/>
  <c r="BK362" i="1"/>
  <c r="BK358" i="1"/>
  <c r="BW358" i="1"/>
  <c r="CE358" i="1"/>
  <c r="BN358" i="1"/>
  <c r="CD358" i="1"/>
  <c r="BO358" i="1"/>
  <c r="BZ354" i="1"/>
  <c r="BT354" i="1"/>
  <c r="BM354" i="1"/>
  <c r="CC354" i="1"/>
  <c r="CD354" i="1"/>
  <c r="BK354" i="1"/>
  <c r="BS354" i="1"/>
  <c r="BX354" i="1"/>
  <c r="BQ354" i="1"/>
  <c r="CG354" i="1"/>
  <c r="BO354" i="1"/>
  <c r="CA354" i="1"/>
  <c r="CI354" i="1"/>
  <c r="BL354" i="1"/>
  <c r="CB354" i="1"/>
  <c r="BU354" i="1"/>
  <c r="BN354" i="1"/>
  <c r="BW354" i="1"/>
  <c r="BR354" i="1"/>
  <c r="BP354" i="1"/>
  <c r="CF354" i="1"/>
  <c r="BY354" i="1"/>
  <c r="BV354" i="1"/>
  <c r="CE354" i="1"/>
  <c r="CH354" i="1"/>
  <c r="BL330" i="1"/>
  <c r="CB330" i="1"/>
  <c r="BU330" i="1"/>
  <c r="BN330" i="1"/>
  <c r="BW330" i="1"/>
  <c r="BZ330" i="1"/>
  <c r="BP330" i="1"/>
  <c r="CF330" i="1"/>
  <c r="BY330" i="1"/>
  <c r="BV330" i="1"/>
  <c r="CE330" i="1"/>
  <c r="BK330" i="1"/>
  <c r="BT330" i="1"/>
  <c r="BM330" i="1"/>
  <c r="CC330" i="1"/>
  <c r="CD330" i="1"/>
  <c r="BS330" i="1"/>
  <c r="CA330" i="1"/>
  <c r="BX330" i="1"/>
  <c r="BQ330" i="1"/>
  <c r="CG330" i="1"/>
  <c r="BO330" i="1"/>
  <c r="CI330" i="1"/>
  <c r="CH330" i="1"/>
  <c r="BK351" i="1"/>
  <c r="CA351" i="1"/>
  <c r="BP351" i="1"/>
  <c r="CF351" i="1"/>
  <c r="BR351" i="1"/>
  <c r="BM351" i="1"/>
  <c r="BO351" i="1"/>
  <c r="CE351" i="1"/>
  <c r="BT351" i="1"/>
  <c r="BQ351" i="1"/>
  <c r="BZ351" i="1"/>
  <c r="CC351" i="1"/>
  <c r="BS351" i="1"/>
  <c r="CI351" i="1"/>
  <c r="BX351" i="1"/>
  <c r="BY351" i="1"/>
  <c r="CH351" i="1"/>
  <c r="BN351" i="1"/>
  <c r="BW351" i="1"/>
  <c r="BL351" i="1"/>
  <c r="CB351" i="1"/>
  <c r="CG351" i="1"/>
  <c r="BV351" i="1"/>
  <c r="CD351" i="1"/>
  <c r="BU351" i="1"/>
  <c r="BL342" i="1"/>
  <c r="CB342" i="1"/>
  <c r="BU342" i="1"/>
  <c r="BR342" i="1"/>
  <c r="BS342" i="1"/>
  <c r="BN342" i="1"/>
  <c r="BV342" i="1"/>
  <c r="BP342" i="1"/>
  <c r="CF342" i="1"/>
  <c r="BY342" i="1"/>
  <c r="BZ342" i="1"/>
  <c r="CA342" i="1"/>
  <c r="CD342" i="1"/>
  <c r="BT342" i="1"/>
  <c r="BM342" i="1"/>
  <c r="CC342" i="1"/>
  <c r="CH342" i="1"/>
  <c r="CI342" i="1"/>
  <c r="BO342" i="1"/>
  <c r="BX342" i="1"/>
  <c r="BQ342" i="1"/>
  <c r="CG342" i="1"/>
  <c r="BK342" i="1"/>
  <c r="BW342" i="1"/>
  <c r="CE342" i="1"/>
  <c r="BT328" i="1"/>
  <c r="BQ328" i="1"/>
  <c r="BU328" i="1"/>
  <c r="CC328" i="1"/>
  <c r="BL328" i="1"/>
  <c r="CB328" i="1"/>
  <c r="BM328" i="1"/>
  <c r="BY321" i="1"/>
  <c r="BR321" i="1"/>
  <c r="CH321" i="1"/>
  <c r="BP321" i="1"/>
  <c r="BK321" i="1"/>
  <c r="BS321" i="1"/>
  <c r="BM321" i="1"/>
  <c r="CC321" i="1"/>
  <c r="BV321" i="1"/>
  <c r="BO321" i="1"/>
  <c r="BX321" i="1"/>
  <c r="CA321" i="1"/>
  <c r="BQ321" i="1"/>
  <c r="CG321" i="1"/>
  <c r="BZ321" i="1"/>
  <c r="BW321" i="1"/>
  <c r="CF321" i="1"/>
  <c r="BL321" i="1"/>
  <c r="BU321" i="1"/>
  <c r="BN321" i="1"/>
  <c r="CD321" i="1"/>
  <c r="CE321" i="1"/>
  <c r="BT321" i="1"/>
  <c r="CB321" i="1"/>
  <c r="CI321" i="1"/>
  <c r="BM268" i="1"/>
  <c r="BX268" i="1"/>
  <c r="BY268" i="1"/>
  <c r="BQ268" i="1"/>
  <c r="CF268" i="1"/>
  <c r="CG268" i="1"/>
  <c r="BZ306" i="1"/>
  <c r="BP306" i="1"/>
  <c r="CF306" i="1"/>
  <c r="BY306" i="1"/>
  <c r="BV306" i="1"/>
  <c r="CE306" i="1"/>
  <c r="CH306" i="1"/>
  <c r="BT306" i="1"/>
  <c r="BM306" i="1"/>
  <c r="CC306" i="1"/>
  <c r="CD306" i="1"/>
  <c r="BK306" i="1"/>
  <c r="BS306" i="1"/>
  <c r="BX306" i="1"/>
  <c r="BQ306" i="1"/>
  <c r="CG306" i="1"/>
  <c r="BO306" i="1"/>
  <c r="CA306" i="1"/>
  <c r="CI306" i="1"/>
  <c r="BL306" i="1"/>
  <c r="CB306" i="1"/>
  <c r="BU306" i="1"/>
  <c r="BN306" i="1"/>
  <c r="BW306" i="1"/>
  <c r="BR306" i="1"/>
  <c r="BP297" i="1"/>
  <c r="CB297" i="1"/>
  <c r="BK297" i="1"/>
  <c r="BS297" i="1"/>
  <c r="CA297" i="1"/>
  <c r="CI297" i="1"/>
  <c r="BL297" i="1"/>
  <c r="BT297" i="1"/>
  <c r="CA265" i="1"/>
  <c r="BU265" i="1"/>
  <c r="BN265" i="1"/>
  <c r="CD265" i="1"/>
  <c r="CE265" i="1"/>
  <c r="BL265" i="1"/>
  <c r="BT265" i="1"/>
  <c r="BY265" i="1"/>
  <c r="BR265" i="1"/>
  <c r="CH265" i="1"/>
  <c r="BP265" i="1"/>
  <c r="CB265" i="1"/>
  <c r="BK265" i="1"/>
  <c r="BM265" i="1"/>
  <c r="CC265" i="1"/>
  <c r="BV265" i="1"/>
  <c r="BO265" i="1"/>
  <c r="BX265" i="1"/>
  <c r="BS265" i="1"/>
  <c r="BQ265" i="1"/>
  <c r="CG265" i="1"/>
  <c r="BZ265" i="1"/>
  <c r="BW265" i="1"/>
  <c r="CF265" i="1"/>
  <c r="CI265" i="1"/>
  <c r="BV326" i="1"/>
  <c r="BX326" i="1"/>
  <c r="BQ326" i="1"/>
  <c r="CG326" i="1"/>
  <c r="BK326" i="1"/>
  <c r="BW326" i="1"/>
  <c r="CE326" i="1"/>
  <c r="BL326" i="1"/>
  <c r="CB326" i="1"/>
  <c r="BU326" i="1"/>
  <c r="BR326" i="1"/>
  <c r="BS326" i="1"/>
  <c r="BN326" i="1"/>
  <c r="BP326" i="1"/>
  <c r="CF326" i="1"/>
  <c r="BY326" i="1"/>
  <c r="BZ326" i="1"/>
  <c r="CA326" i="1"/>
  <c r="CD326" i="1"/>
  <c r="BT326" i="1"/>
  <c r="BM326" i="1"/>
  <c r="CC326" i="1"/>
  <c r="CH326" i="1"/>
  <c r="CI326" i="1"/>
  <c r="BO326" i="1"/>
  <c r="BP318" i="1"/>
  <c r="CF318" i="1"/>
  <c r="BY318" i="1"/>
  <c r="BZ318" i="1"/>
  <c r="CA318" i="1"/>
  <c r="BV318" i="1"/>
  <c r="BT318" i="1"/>
  <c r="BM318" i="1"/>
  <c r="CC318" i="1"/>
  <c r="CH318" i="1"/>
  <c r="CI318" i="1"/>
  <c r="BW318" i="1"/>
  <c r="BX318" i="1"/>
  <c r="BQ318" i="1"/>
  <c r="CG318" i="1"/>
  <c r="BK318" i="1"/>
  <c r="BO318" i="1"/>
  <c r="BN318" i="1"/>
  <c r="BL318" i="1"/>
  <c r="CB318" i="1"/>
  <c r="BU318" i="1"/>
  <c r="BR318" i="1"/>
  <c r="BS318" i="1"/>
  <c r="CE318" i="1"/>
  <c r="CD318" i="1"/>
  <c r="BL258" i="1"/>
  <c r="CB258" i="1"/>
  <c r="BU258" i="1"/>
  <c r="BN258" i="1"/>
  <c r="BW258" i="1"/>
  <c r="BR258" i="1"/>
  <c r="BZ258" i="1"/>
  <c r="BP258" i="1"/>
  <c r="CF258" i="1"/>
  <c r="BY258" i="1"/>
  <c r="BV258" i="1"/>
  <c r="CE258" i="1"/>
  <c r="CH258" i="1"/>
  <c r="BT258" i="1"/>
  <c r="BM258" i="1"/>
  <c r="CC258" i="1"/>
  <c r="CD258" i="1"/>
  <c r="BK258" i="1"/>
  <c r="BS258" i="1"/>
  <c r="BX258" i="1"/>
  <c r="BQ258" i="1"/>
  <c r="CG258" i="1"/>
  <c r="BO258" i="1"/>
  <c r="CA258" i="1"/>
  <c r="CI258" i="1"/>
  <c r="BM292" i="1"/>
  <c r="BQ292" i="1"/>
  <c r="BY292" i="1"/>
  <c r="CG292" i="1"/>
  <c r="BP292" i="1"/>
  <c r="BX292" i="1"/>
  <c r="CF292" i="1"/>
  <c r="BX266" i="1"/>
  <c r="BQ266" i="1"/>
  <c r="CG266" i="1"/>
  <c r="BO266" i="1"/>
  <c r="CI266" i="1"/>
  <c r="BR266" i="1"/>
  <c r="BL266" i="1"/>
  <c r="CB266" i="1"/>
  <c r="BU266" i="1"/>
  <c r="BN266" i="1"/>
  <c r="BW266" i="1"/>
  <c r="BZ266" i="1"/>
  <c r="CH266" i="1"/>
  <c r="BP266" i="1"/>
  <c r="CF266" i="1"/>
  <c r="BY266" i="1"/>
  <c r="BV266" i="1"/>
  <c r="CE266" i="1"/>
  <c r="BK266" i="1"/>
  <c r="BT266" i="1"/>
  <c r="BM266" i="1"/>
  <c r="CC266" i="1"/>
  <c r="CD266" i="1"/>
  <c r="BS266" i="1"/>
  <c r="CA266" i="1"/>
  <c r="CD244" i="1"/>
  <c r="BW244" i="1"/>
  <c r="CE244" i="1"/>
  <c r="BN244" i="1"/>
  <c r="BO244" i="1"/>
  <c r="BL285" i="1"/>
  <c r="CE285" i="1"/>
  <c r="BP285" i="1"/>
  <c r="BX285" i="1"/>
  <c r="CF285" i="1"/>
  <c r="BO285" i="1"/>
  <c r="BW285" i="1"/>
  <c r="BW277" i="1"/>
  <c r="BX277" i="1"/>
  <c r="BP277" i="1"/>
  <c r="BO277" i="1"/>
  <c r="CF277" i="1"/>
  <c r="CE277" i="1"/>
  <c r="BQ267" i="1"/>
  <c r="BY267" i="1"/>
  <c r="CG267" i="1"/>
  <c r="BR267" i="1"/>
  <c r="BZ267" i="1"/>
  <c r="CH267" i="1"/>
  <c r="CA256" i="1"/>
  <c r="BO256" i="1"/>
  <c r="BP256" i="1"/>
  <c r="BZ256" i="1"/>
  <c r="BK245" i="1"/>
  <c r="CA245" i="1"/>
  <c r="BP245" i="1"/>
  <c r="CF245" i="1"/>
  <c r="BR245" i="1"/>
  <c r="CC245" i="1"/>
  <c r="BV245" i="1"/>
  <c r="BO245" i="1"/>
  <c r="CE245" i="1"/>
  <c r="BT245" i="1"/>
  <c r="BQ245" i="1"/>
  <c r="BZ245" i="1"/>
  <c r="BN245" i="1"/>
  <c r="BS245" i="1"/>
  <c r="CI245" i="1"/>
  <c r="BX245" i="1"/>
  <c r="BY245" i="1"/>
  <c r="CH245" i="1"/>
  <c r="CD245" i="1"/>
  <c r="BW245" i="1"/>
  <c r="BL245" i="1"/>
  <c r="CB245" i="1"/>
  <c r="CG245" i="1"/>
  <c r="BM245" i="1"/>
  <c r="BU245" i="1"/>
  <c r="BZ238" i="1"/>
  <c r="BO238" i="1"/>
  <c r="CE238" i="1"/>
  <c r="CF238" i="1"/>
  <c r="BL238" i="1"/>
  <c r="BU238" i="1"/>
  <c r="BN238" i="1"/>
  <c r="CD238" i="1"/>
  <c r="BS238" i="1"/>
  <c r="CI238" i="1"/>
  <c r="BQ238" i="1"/>
  <c r="CB238" i="1"/>
  <c r="BT238" i="1"/>
  <c r="BR238" i="1"/>
  <c r="CH238" i="1"/>
  <c r="BW238" i="1"/>
  <c r="BP238" i="1"/>
  <c r="BY238" i="1"/>
  <c r="BM238" i="1"/>
  <c r="BV238" i="1"/>
  <c r="BK238" i="1"/>
  <c r="CA238" i="1"/>
  <c r="BX238" i="1"/>
  <c r="CG238" i="1"/>
  <c r="CC238" i="1"/>
  <c r="BV230" i="1"/>
  <c r="BK230" i="1"/>
  <c r="CA230" i="1"/>
  <c r="BX230" i="1"/>
  <c r="CG230" i="1"/>
  <c r="BL230" i="1"/>
  <c r="BZ230" i="1"/>
  <c r="BO230" i="1"/>
  <c r="CE230" i="1"/>
  <c r="CF230" i="1"/>
  <c r="BT230" i="1"/>
  <c r="BM230" i="1"/>
  <c r="BN230" i="1"/>
  <c r="CD230" i="1"/>
  <c r="BS230" i="1"/>
  <c r="CI230" i="1"/>
  <c r="BQ230" i="1"/>
  <c r="BU230" i="1"/>
  <c r="CB230" i="1"/>
  <c r="BR230" i="1"/>
  <c r="CH230" i="1"/>
  <c r="BW230" i="1"/>
  <c r="BP230" i="1"/>
  <c r="BY230" i="1"/>
  <c r="CC230" i="1"/>
  <c r="BZ222" i="1"/>
  <c r="BO222" i="1"/>
  <c r="CE222" i="1"/>
  <c r="CF222" i="1"/>
  <c r="BL222" i="1"/>
  <c r="BT222" i="1"/>
  <c r="BN222" i="1"/>
  <c r="CD222" i="1"/>
  <c r="BS222" i="1"/>
  <c r="CI222" i="1"/>
  <c r="BQ222" i="1"/>
  <c r="CB222" i="1"/>
  <c r="BU222" i="1"/>
  <c r="BR222" i="1"/>
  <c r="CH222" i="1"/>
  <c r="BW222" i="1"/>
  <c r="BP222" i="1"/>
  <c r="BY222" i="1"/>
  <c r="BM222" i="1"/>
  <c r="BV222" i="1"/>
  <c r="BK222" i="1"/>
  <c r="CA222" i="1"/>
  <c r="BX222" i="1"/>
  <c r="CG222" i="1"/>
  <c r="CC222" i="1"/>
  <c r="BL214" i="1"/>
  <c r="BV214" i="1"/>
  <c r="BK214" i="1"/>
  <c r="CA214" i="1"/>
  <c r="BX214" i="1"/>
  <c r="CG214" i="1"/>
  <c r="CB214" i="1"/>
  <c r="BZ214" i="1"/>
  <c r="BO214" i="1"/>
  <c r="CE214" i="1"/>
  <c r="CF214" i="1"/>
  <c r="BT214" i="1"/>
  <c r="CC214" i="1"/>
  <c r="BN214" i="1"/>
  <c r="CD214" i="1"/>
  <c r="BS214" i="1"/>
  <c r="CI214" i="1"/>
  <c r="BQ214" i="1"/>
  <c r="BU214" i="1"/>
  <c r="BR214" i="1"/>
  <c r="CH214" i="1"/>
  <c r="BW214" i="1"/>
  <c r="BP214" i="1"/>
  <c r="BY214" i="1"/>
  <c r="BM214" i="1"/>
  <c r="BN206" i="1"/>
  <c r="CD206" i="1"/>
  <c r="BS206" i="1"/>
  <c r="CI206" i="1"/>
  <c r="BQ206" i="1"/>
  <c r="CB206" i="1"/>
  <c r="BT206" i="1"/>
  <c r="BR206" i="1"/>
  <c r="CH206" i="1"/>
  <c r="BW206" i="1"/>
  <c r="BP206" i="1"/>
  <c r="BY206" i="1"/>
  <c r="BM206" i="1"/>
  <c r="BV206" i="1"/>
  <c r="BK206" i="1"/>
  <c r="CA206" i="1"/>
  <c r="BX206" i="1"/>
  <c r="CG206" i="1"/>
  <c r="CC206" i="1"/>
  <c r="BZ206" i="1"/>
  <c r="BO206" i="1"/>
  <c r="CE206" i="1"/>
  <c r="CF206" i="1"/>
  <c r="BL206" i="1"/>
  <c r="BU206" i="1"/>
  <c r="CA190" i="1"/>
  <c r="BO190" i="1"/>
  <c r="BP190" i="1"/>
  <c r="BP289" i="1"/>
  <c r="BK289" i="1"/>
  <c r="BS289" i="1"/>
  <c r="CA289" i="1"/>
  <c r="CI289" i="1"/>
  <c r="BL289" i="1"/>
  <c r="BT289" i="1"/>
  <c r="CB289" i="1"/>
  <c r="BT252" i="1"/>
  <c r="BM252" i="1"/>
  <c r="CC252" i="1"/>
  <c r="CH252" i="1"/>
  <c r="CI252" i="1"/>
  <c r="CE252" i="1"/>
  <c r="BX252" i="1"/>
  <c r="BQ252" i="1"/>
  <c r="CG252" i="1"/>
  <c r="BK252" i="1"/>
  <c r="BN252" i="1"/>
  <c r="BW252" i="1"/>
  <c r="BL252" i="1"/>
  <c r="CB252" i="1"/>
  <c r="BU252" i="1"/>
  <c r="BR252" i="1"/>
  <c r="BS252" i="1"/>
  <c r="CD252" i="1"/>
  <c r="BV252" i="1"/>
  <c r="BP252" i="1"/>
  <c r="CF252" i="1"/>
  <c r="BY252" i="1"/>
  <c r="BZ252" i="1"/>
  <c r="CA252" i="1"/>
  <c r="BO252" i="1"/>
  <c r="BY186" i="1"/>
  <c r="BR186" i="1"/>
  <c r="CH186" i="1"/>
  <c r="CI186" i="1"/>
  <c r="BW186" i="1"/>
  <c r="CE186" i="1"/>
  <c r="BM186" i="1"/>
  <c r="CC186" i="1"/>
  <c r="BV186" i="1"/>
  <c r="BK186" i="1"/>
  <c r="BL186" i="1"/>
  <c r="BX186" i="1"/>
  <c r="CF186" i="1"/>
  <c r="BQ186" i="1"/>
  <c r="CG186" i="1"/>
  <c r="BZ186" i="1"/>
  <c r="BS186" i="1"/>
  <c r="BT186" i="1"/>
  <c r="BO186" i="1"/>
  <c r="BU186" i="1"/>
  <c r="BN186" i="1"/>
  <c r="CD186" i="1"/>
  <c r="CA186" i="1"/>
  <c r="CB186" i="1"/>
  <c r="BP186" i="1"/>
  <c r="BU162" i="1"/>
  <c r="BN162" i="1"/>
  <c r="CD162" i="1"/>
  <c r="CA162" i="1"/>
  <c r="CB162" i="1"/>
  <c r="CF162" i="1"/>
  <c r="BY162" i="1"/>
  <c r="BR162" i="1"/>
  <c r="CH162" i="1"/>
  <c r="CI162" i="1"/>
  <c r="BO162" i="1"/>
  <c r="BW162" i="1"/>
  <c r="BM162" i="1"/>
  <c r="CC162" i="1"/>
  <c r="BV162" i="1"/>
  <c r="BK162" i="1"/>
  <c r="BL162" i="1"/>
  <c r="CE162" i="1"/>
  <c r="BX162" i="1"/>
  <c r="BQ162" i="1"/>
  <c r="CG162" i="1"/>
  <c r="BZ162" i="1"/>
  <c r="BS162" i="1"/>
  <c r="BT162" i="1"/>
  <c r="BP162" i="1"/>
  <c r="BS237" i="1"/>
  <c r="CI237" i="1"/>
  <c r="BX237" i="1"/>
  <c r="BY237" i="1"/>
  <c r="CH237" i="1"/>
  <c r="CC237" i="1"/>
  <c r="BW237" i="1"/>
  <c r="BL237" i="1"/>
  <c r="CB237" i="1"/>
  <c r="CG237" i="1"/>
  <c r="BU237" i="1"/>
  <c r="CD237" i="1"/>
  <c r="BK237" i="1"/>
  <c r="CA237" i="1"/>
  <c r="BP237" i="1"/>
  <c r="CF237" i="1"/>
  <c r="BR237" i="1"/>
  <c r="BV237" i="1"/>
  <c r="BM237" i="1"/>
  <c r="BO237" i="1"/>
  <c r="CE237" i="1"/>
  <c r="BT237" i="1"/>
  <c r="BQ237" i="1"/>
  <c r="BZ237" i="1"/>
  <c r="BN237" i="1"/>
  <c r="BU229" i="1"/>
  <c r="BK229" i="1"/>
  <c r="CA229" i="1"/>
  <c r="BP229" i="1"/>
  <c r="CF229" i="1"/>
  <c r="BR229" i="1"/>
  <c r="CC229" i="1"/>
  <c r="BO229" i="1"/>
  <c r="CE229" i="1"/>
  <c r="BT229" i="1"/>
  <c r="BQ229" i="1"/>
  <c r="BZ229" i="1"/>
  <c r="BN229" i="1"/>
  <c r="BS229" i="1"/>
  <c r="CI229" i="1"/>
  <c r="BX229" i="1"/>
  <c r="BY229" i="1"/>
  <c r="CH229" i="1"/>
  <c r="CD229" i="1"/>
  <c r="BW229" i="1"/>
  <c r="BL229" i="1"/>
  <c r="CB229" i="1"/>
  <c r="CG229" i="1"/>
  <c r="BM229" i="1"/>
  <c r="BV229" i="1"/>
  <c r="BW221" i="1"/>
  <c r="BL221" i="1"/>
  <c r="CB221" i="1"/>
  <c r="CG221" i="1"/>
  <c r="BU221" i="1"/>
  <c r="BN221" i="1"/>
  <c r="BK221" i="1"/>
  <c r="CA221" i="1"/>
  <c r="BP221" i="1"/>
  <c r="CF221" i="1"/>
  <c r="BR221" i="1"/>
  <c r="BV221" i="1"/>
  <c r="CC221" i="1"/>
  <c r="BO221" i="1"/>
  <c r="CE221" i="1"/>
  <c r="BT221" i="1"/>
  <c r="BQ221" i="1"/>
  <c r="BZ221" i="1"/>
  <c r="CD221" i="1"/>
  <c r="BS221" i="1"/>
  <c r="CI221" i="1"/>
  <c r="BX221" i="1"/>
  <c r="BY221" i="1"/>
  <c r="CH221" i="1"/>
  <c r="BM221" i="1"/>
  <c r="BO213" i="1"/>
  <c r="CE213" i="1"/>
  <c r="BT213" i="1"/>
  <c r="BQ213" i="1"/>
  <c r="BZ213" i="1"/>
  <c r="BN213" i="1"/>
  <c r="BS213" i="1"/>
  <c r="CI213" i="1"/>
  <c r="BX213" i="1"/>
  <c r="BY213" i="1"/>
  <c r="CH213" i="1"/>
  <c r="CD213" i="1"/>
  <c r="BW213" i="1"/>
  <c r="BL213" i="1"/>
  <c r="CB213" i="1"/>
  <c r="CG213" i="1"/>
  <c r="BM213" i="1"/>
  <c r="BU213" i="1"/>
  <c r="BK213" i="1"/>
  <c r="CA213" i="1"/>
  <c r="BP213" i="1"/>
  <c r="CF213" i="1"/>
  <c r="BR213" i="1"/>
  <c r="CC213" i="1"/>
  <c r="BV213" i="1"/>
  <c r="BW205" i="1"/>
  <c r="BL205" i="1"/>
  <c r="CB205" i="1"/>
  <c r="CG205" i="1"/>
  <c r="BU205" i="1"/>
  <c r="CD205" i="1"/>
  <c r="BK205" i="1"/>
  <c r="CA205" i="1"/>
  <c r="BP205" i="1"/>
  <c r="CF205" i="1"/>
  <c r="BR205" i="1"/>
  <c r="BV205" i="1"/>
  <c r="BM205" i="1"/>
  <c r="BO205" i="1"/>
  <c r="CE205" i="1"/>
  <c r="BT205" i="1"/>
  <c r="BQ205" i="1"/>
  <c r="BZ205" i="1"/>
  <c r="BN205" i="1"/>
  <c r="BS205" i="1"/>
  <c r="CI205" i="1"/>
  <c r="BX205" i="1"/>
  <c r="BY205" i="1"/>
  <c r="CH205" i="1"/>
  <c r="CC205" i="1"/>
  <c r="BM191" i="1"/>
  <c r="CC191" i="1"/>
  <c r="BX191" i="1"/>
  <c r="BT191" i="1"/>
  <c r="CA191" i="1"/>
  <c r="BW191" i="1"/>
  <c r="BL191" i="1"/>
  <c r="BQ191" i="1"/>
  <c r="CG191" i="1"/>
  <c r="CD191" i="1"/>
  <c r="BZ191" i="1"/>
  <c r="BR191" i="1"/>
  <c r="BK191" i="1"/>
  <c r="BU191" i="1"/>
  <c r="BN191" i="1"/>
  <c r="CI191" i="1"/>
  <c r="CE191" i="1"/>
  <c r="CB191" i="1"/>
  <c r="CF191" i="1"/>
  <c r="BY191" i="1"/>
  <c r="BS191" i="1"/>
  <c r="BO191" i="1"/>
  <c r="BP191" i="1"/>
  <c r="BV191" i="1"/>
  <c r="CH191" i="1"/>
  <c r="BK184" i="1"/>
  <c r="CA184" i="1"/>
  <c r="BP184" i="1"/>
  <c r="CF184" i="1"/>
  <c r="BN184" i="1"/>
  <c r="BZ184" i="1"/>
  <c r="BR184" i="1"/>
  <c r="BO184" i="1"/>
  <c r="CE184" i="1"/>
  <c r="BT184" i="1"/>
  <c r="BM184" i="1"/>
  <c r="BV184" i="1"/>
  <c r="CG184" i="1"/>
  <c r="BS184" i="1"/>
  <c r="CI184" i="1"/>
  <c r="BX184" i="1"/>
  <c r="BU184" i="1"/>
  <c r="CD184" i="1"/>
  <c r="CH184" i="1"/>
  <c r="BW184" i="1"/>
  <c r="BL184" i="1"/>
  <c r="CB184" i="1"/>
  <c r="CC184" i="1"/>
  <c r="BY184" i="1"/>
  <c r="BQ184" i="1"/>
  <c r="BX199" i="1"/>
  <c r="BZ199" i="1"/>
  <c r="BQ182" i="1"/>
  <c r="CG182" i="1"/>
  <c r="BZ182" i="1"/>
  <c r="BW182" i="1"/>
  <c r="CF182" i="1"/>
  <c r="CB182" i="1"/>
  <c r="BU182" i="1"/>
  <c r="BN182" i="1"/>
  <c r="CD182" i="1"/>
  <c r="CE182" i="1"/>
  <c r="BK182" i="1"/>
  <c r="BS182" i="1"/>
  <c r="BY182" i="1"/>
  <c r="BR182" i="1"/>
  <c r="CH182" i="1"/>
  <c r="BP182" i="1"/>
  <c r="CA182" i="1"/>
  <c r="BT182" i="1"/>
  <c r="BM182" i="1"/>
  <c r="CC182" i="1"/>
  <c r="BV182" i="1"/>
  <c r="BO182" i="1"/>
  <c r="BX182" i="1"/>
  <c r="BL182" i="1"/>
  <c r="CI182" i="1"/>
  <c r="BZ160" i="1"/>
  <c r="CD163" i="1"/>
  <c r="CE163" i="1"/>
  <c r="CD131" i="1"/>
  <c r="CE131" i="1"/>
  <c r="BN181" i="1"/>
  <c r="CD181" i="1"/>
  <c r="BS181" i="1"/>
  <c r="CI181" i="1"/>
  <c r="BQ181" i="1"/>
  <c r="BU181" i="1"/>
  <c r="CC181" i="1"/>
  <c r="BR181" i="1"/>
  <c r="CH181" i="1"/>
  <c r="BW181" i="1"/>
  <c r="BP181" i="1"/>
  <c r="BY181" i="1"/>
  <c r="BL181" i="1"/>
  <c r="BV181" i="1"/>
  <c r="BK181" i="1"/>
  <c r="CA181" i="1"/>
  <c r="BX181" i="1"/>
  <c r="CG181" i="1"/>
  <c r="BM181" i="1"/>
  <c r="BZ181" i="1"/>
  <c r="BO181" i="1"/>
  <c r="CE181" i="1"/>
  <c r="CF181" i="1"/>
  <c r="BT181" i="1"/>
  <c r="CB181" i="1"/>
  <c r="BU170" i="1"/>
  <c r="BN170" i="1"/>
  <c r="CD170" i="1"/>
  <c r="CA170" i="1"/>
  <c r="CB170" i="1"/>
  <c r="CF170" i="1"/>
  <c r="BY170" i="1"/>
  <c r="BR170" i="1"/>
  <c r="CH170" i="1"/>
  <c r="CI170" i="1"/>
  <c r="BW170" i="1"/>
  <c r="BO170" i="1"/>
  <c r="BM170" i="1"/>
  <c r="CC170" i="1"/>
  <c r="BV170" i="1"/>
  <c r="BK170" i="1"/>
  <c r="BL170" i="1"/>
  <c r="BX170" i="1"/>
  <c r="BP170" i="1"/>
  <c r="BQ170" i="1"/>
  <c r="CG170" i="1"/>
  <c r="BZ170" i="1"/>
  <c r="BS170" i="1"/>
  <c r="BT170" i="1"/>
  <c r="CE170" i="1"/>
  <c r="BV132" i="1"/>
  <c r="BR143" i="1"/>
  <c r="BS143" i="1"/>
  <c r="CG119" i="1"/>
  <c r="BY158" i="1"/>
  <c r="BR158" i="1"/>
  <c r="CH158" i="1"/>
  <c r="BP158" i="1"/>
  <c r="CI158" i="1"/>
  <c r="CA158" i="1"/>
  <c r="BM158" i="1"/>
  <c r="CC158" i="1"/>
  <c r="BV158" i="1"/>
  <c r="BO158" i="1"/>
  <c r="BX158" i="1"/>
  <c r="BT158" i="1"/>
  <c r="CB158" i="1"/>
  <c r="BQ158" i="1"/>
  <c r="CG158" i="1"/>
  <c r="BZ158" i="1"/>
  <c r="BW158" i="1"/>
  <c r="CF158" i="1"/>
  <c r="BK158" i="1"/>
  <c r="BU158" i="1"/>
  <c r="BN158" i="1"/>
  <c r="CD158" i="1"/>
  <c r="CE158" i="1"/>
  <c r="BS158" i="1"/>
  <c r="BL158" i="1"/>
  <c r="BR149" i="1"/>
  <c r="CH149" i="1"/>
  <c r="BW149" i="1"/>
  <c r="BP149" i="1"/>
  <c r="BY149" i="1"/>
  <c r="BL149" i="1"/>
  <c r="BV149" i="1"/>
  <c r="BK149" i="1"/>
  <c r="CA149" i="1"/>
  <c r="BX149" i="1"/>
  <c r="CG149" i="1"/>
  <c r="BM149" i="1"/>
  <c r="BZ149" i="1"/>
  <c r="BO149" i="1"/>
  <c r="CE149" i="1"/>
  <c r="CF149" i="1"/>
  <c r="BT149" i="1"/>
  <c r="CB149" i="1"/>
  <c r="BK98" i="1"/>
  <c r="CA98" i="1"/>
  <c r="BP98" i="1"/>
  <c r="CF98" i="1"/>
  <c r="BR98" i="1"/>
  <c r="BV98" i="1"/>
  <c r="BN98" i="1"/>
  <c r="BO98" i="1"/>
  <c r="CE98" i="1"/>
  <c r="BT98" i="1"/>
  <c r="BQ98" i="1"/>
  <c r="BZ98" i="1"/>
  <c r="CC98" i="1"/>
  <c r="BS98" i="1"/>
  <c r="CI98" i="1"/>
  <c r="BX98" i="1"/>
  <c r="BY98" i="1"/>
  <c r="CH98" i="1"/>
  <c r="CD98" i="1"/>
  <c r="BW98" i="1"/>
  <c r="BL98" i="1"/>
  <c r="CB98" i="1"/>
  <c r="CG98" i="1"/>
  <c r="BU98" i="1"/>
  <c r="BM98" i="1"/>
  <c r="BY144" i="1"/>
  <c r="BZ144" i="1"/>
  <c r="BZ107" i="1"/>
  <c r="BO107" i="1"/>
  <c r="CE107" i="1"/>
  <c r="CF107" i="1"/>
  <c r="BT107" i="1"/>
  <c r="BL107" i="1"/>
  <c r="BN107" i="1"/>
  <c r="CD107" i="1"/>
  <c r="BS107" i="1"/>
  <c r="CI107" i="1"/>
  <c r="BQ107" i="1"/>
  <c r="BU107" i="1"/>
  <c r="BM107" i="1"/>
  <c r="BR107" i="1"/>
  <c r="CH107" i="1"/>
  <c r="BW107" i="1"/>
  <c r="BP107" i="1"/>
  <c r="BY107" i="1"/>
  <c r="CB107" i="1"/>
  <c r="BL117" i="1"/>
  <c r="CB117" i="1"/>
  <c r="BU117" i="1"/>
  <c r="BN117" i="1"/>
  <c r="BW117" i="1"/>
  <c r="CA117" i="1"/>
  <c r="BS117" i="1"/>
  <c r="BP117" i="1"/>
  <c r="CF117" i="1"/>
  <c r="BY117" i="1"/>
  <c r="BV117" i="1"/>
  <c r="CE117" i="1"/>
  <c r="CH117" i="1"/>
  <c r="BT117" i="1"/>
  <c r="BM117" i="1"/>
  <c r="CC117" i="1"/>
  <c r="CD117" i="1"/>
  <c r="BZ117" i="1"/>
  <c r="CI117" i="1"/>
  <c r="BX117" i="1"/>
  <c r="BQ117" i="1"/>
  <c r="CG117" i="1"/>
  <c r="BO117" i="1"/>
  <c r="BK117" i="1"/>
  <c r="BR117" i="1"/>
  <c r="BS94" i="1"/>
  <c r="CI94" i="1"/>
  <c r="BX94" i="1"/>
  <c r="BU94" i="1"/>
  <c r="CD94" i="1"/>
  <c r="CH94" i="1"/>
  <c r="BW94" i="1"/>
  <c r="BL94" i="1"/>
  <c r="CB94" i="1"/>
  <c r="CC94" i="1"/>
  <c r="BY94" i="1"/>
  <c r="BQ94" i="1"/>
  <c r="BK94" i="1"/>
  <c r="CA94" i="1"/>
  <c r="BP94" i="1"/>
  <c r="CF94" i="1"/>
  <c r="BN94" i="1"/>
  <c r="BZ94" i="1"/>
  <c r="BR94" i="1"/>
  <c r="BU126" i="1"/>
  <c r="BN126" i="1"/>
  <c r="CD126" i="1"/>
  <c r="CE126" i="1"/>
  <c r="BS126" i="1"/>
  <c r="BL126" i="1"/>
  <c r="BY126" i="1"/>
  <c r="BR126" i="1"/>
  <c r="CH126" i="1"/>
  <c r="BP126" i="1"/>
  <c r="CI126" i="1"/>
  <c r="CA126" i="1"/>
  <c r="BM126" i="1"/>
  <c r="CC126" i="1"/>
  <c r="BV126" i="1"/>
  <c r="BO126" i="1"/>
  <c r="BX126" i="1"/>
  <c r="BT126" i="1"/>
  <c r="CB126" i="1"/>
  <c r="BQ126" i="1"/>
  <c r="CG126" i="1"/>
  <c r="BZ126" i="1"/>
  <c r="BW126" i="1"/>
  <c r="CF126" i="1"/>
  <c r="BK126" i="1"/>
  <c r="BY122" i="1"/>
  <c r="BR122" i="1"/>
  <c r="CH122" i="1"/>
  <c r="CI122" i="1"/>
  <c r="BW122" i="1"/>
  <c r="CE122" i="1"/>
  <c r="BM122" i="1"/>
  <c r="CC122" i="1"/>
  <c r="BV122" i="1"/>
  <c r="BK122" i="1"/>
  <c r="BL122" i="1"/>
  <c r="BX122" i="1"/>
  <c r="CF122" i="1"/>
  <c r="BQ122" i="1"/>
  <c r="CG122" i="1"/>
  <c r="BZ122" i="1"/>
  <c r="BS122" i="1"/>
  <c r="BT122" i="1"/>
  <c r="BO122" i="1"/>
  <c r="BU122" i="1"/>
  <c r="BN122" i="1"/>
  <c r="CD122" i="1"/>
  <c r="CA122" i="1"/>
  <c r="CB122" i="1"/>
  <c r="BP122" i="1"/>
  <c r="CD114" i="1"/>
  <c r="BV81" i="1"/>
  <c r="BW81" i="1"/>
  <c r="BS81" i="1"/>
  <c r="BO81" i="1"/>
  <c r="CA81" i="1"/>
  <c r="CE81" i="1"/>
  <c r="BZ81" i="1"/>
  <c r="CB81" i="1"/>
  <c r="BX81" i="1"/>
  <c r="BY81" i="1"/>
  <c r="CI81" i="1"/>
  <c r="BT81" i="1"/>
  <c r="BN81" i="1"/>
  <c r="BL81" i="1"/>
  <c r="CF81" i="1"/>
  <c r="CC81" i="1"/>
  <c r="CH81" i="1"/>
  <c r="CD81" i="1"/>
  <c r="BU81" i="1"/>
  <c r="BR81" i="1"/>
  <c r="BQ81" i="1"/>
  <c r="BM81" i="1"/>
  <c r="CG81" i="1"/>
  <c r="BP81" i="1"/>
  <c r="BK81" i="1"/>
  <c r="CG68" i="1"/>
  <c r="CH68" i="1"/>
  <c r="BL59" i="1"/>
  <c r="CB59" i="1"/>
  <c r="BU59" i="1"/>
  <c r="BR59" i="1"/>
  <c r="BS59" i="1"/>
  <c r="BW59" i="1"/>
  <c r="BO59" i="1"/>
  <c r="BP59" i="1"/>
  <c r="CF59" i="1"/>
  <c r="BY59" i="1"/>
  <c r="BZ59" i="1"/>
  <c r="CA59" i="1"/>
  <c r="CD59" i="1"/>
  <c r="BT59" i="1"/>
  <c r="BM59" i="1"/>
  <c r="CC59" i="1"/>
  <c r="CH59" i="1"/>
  <c r="CI59" i="1"/>
  <c r="CE59" i="1"/>
  <c r="BX59" i="1"/>
  <c r="BQ59" i="1"/>
  <c r="CG59" i="1"/>
  <c r="BK59" i="1"/>
  <c r="BV59" i="1"/>
  <c r="BN59" i="1"/>
  <c r="BZ43" i="1"/>
  <c r="BO43" i="1"/>
  <c r="CE43" i="1"/>
  <c r="CF43" i="1"/>
  <c r="BL43" i="1"/>
  <c r="BT43" i="1"/>
  <c r="BN43" i="1"/>
  <c r="CD43" i="1"/>
  <c r="BS43" i="1"/>
  <c r="CI43" i="1"/>
  <c r="BQ43" i="1"/>
  <c r="CB43" i="1"/>
  <c r="BU43" i="1"/>
  <c r="BR43" i="1"/>
  <c r="CH43" i="1"/>
  <c r="BW43" i="1"/>
  <c r="BP43" i="1"/>
  <c r="BY43" i="1"/>
  <c r="BM43" i="1"/>
  <c r="BV43" i="1"/>
  <c r="BK43" i="1"/>
  <c r="CA43" i="1"/>
  <c r="BX43" i="1"/>
  <c r="CG43" i="1"/>
  <c r="CC43" i="1"/>
  <c r="BM44" i="1"/>
  <c r="CC44" i="1"/>
  <c r="BV44" i="1"/>
  <c r="BO44" i="1"/>
  <c r="BX44" i="1"/>
  <c r="BT44" i="1"/>
  <c r="CB44" i="1"/>
  <c r="BQ44" i="1"/>
  <c r="CG44" i="1"/>
  <c r="BZ44" i="1"/>
  <c r="BW44" i="1"/>
  <c r="CF44" i="1"/>
  <c r="BK44" i="1"/>
  <c r="BU44" i="1"/>
  <c r="BN44" i="1"/>
  <c r="CD44" i="1"/>
  <c r="CE44" i="1"/>
  <c r="BS44" i="1"/>
  <c r="BL44" i="1"/>
  <c r="BY44" i="1"/>
  <c r="BR44" i="1"/>
  <c r="CH44" i="1"/>
  <c r="BP44" i="1"/>
  <c r="CI44" i="1"/>
  <c r="CA44" i="1"/>
  <c r="BY76" i="1"/>
  <c r="CH101" i="1"/>
  <c r="CC114" i="1"/>
  <c r="BR127" i="1"/>
  <c r="BQ136" i="1"/>
  <c r="BZ151" i="1"/>
  <c r="BR159" i="1"/>
  <c r="BQ168" i="1"/>
  <c r="CD179" i="1"/>
  <c r="BK194" i="1"/>
  <c r="BN199" i="1"/>
  <c r="BN204" i="1"/>
  <c r="BZ208" i="1"/>
  <c r="BK215" i="1"/>
  <c r="BW219" i="1"/>
  <c r="CI223" i="1"/>
  <c r="BV228" i="1"/>
  <c r="CH232" i="1"/>
  <c r="BS239" i="1"/>
  <c r="CE243" i="1"/>
  <c r="BY249" i="1"/>
  <c r="CI255" i="1"/>
  <c r="BW257" i="1"/>
  <c r="CA261" i="1"/>
  <c r="CG263" i="1"/>
  <c r="BL268" i="1"/>
  <c r="BX272" i="1"/>
  <c r="CE273" i="1"/>
  <c r="CI277" i="1"/>
  <c r="BP280" i="1"/>
  <c r="BW281" i="1"/>
  <c r="CB284" i="1"/>
  <c r="CI285" i="1"/>
  <c r="BQ287" i="1"/>
  <c r="BX288" i="1"/>
  <c r="CE289" i="1"/>
  <c r="BM291" i="1"/>
  <c r="BT292" i="1"/>
  <c r="CA293" i="1"/>
  <c r="CF296" i="1"/>
  <c r="BM315" i="1"/>
  <c r="BT316" i="1"/>
  <c r="CG319" i="1"/>
  <c r="BM323" i="1"/>
  <c r="BT324" i="1"/>
  <c r="CG327" i="1"/>
  <c r="BL356" i="1"/>
  <c r="BS357" i="1"/>
  <c r="BZ358" i="1"/>
  <c r="CG359" i="1"/>
  <c r="BK365" i="1"/>
  <c r="BR366" i="1"/>
  <c r="BY367" i="1"/>
  <c r="CB372" i="1"/>
  <c r="CI373" i="1"/>
  <c r="BQ375" i="1"/>
  <c r="BT380" i="1"/>
  <c r="CA381" i="1"/>
  <c r="CH382" i="1"/>
  <c r="BL388" i="1"/>
  <c r="BS389" i="1"/>
  <c r="BZ390" i="1"/>
  <c r="CG391" i="1"/>
  <c r="BK397" i="1"/>
  <c r="BR398" i="1"/>
  <c r="BY399" i="1"/>
  <c r="CB404" i="1"/>
  <c r="CI405" i="1"/>
  <c r="BQ407" i="1"/>
  <c r="BT412" i="1"/>
  <c r="CA413" i="1"/>
  <c r="CH414" i="1"/>
  <c r="BP420" i="1"/>
  <c r="CF420" i="1"/>
  <c r="CA421" i="1"/>
  <c r="BT424" i="1"/>
  <c r="BO425" i="1"/>
  <c r="CE425" i="1"/>
  <c r="BY427" i="1"/>
  <c r="BS429" i="1"/>
  <c r="CI429" i="1"/>
  <c r="CD430" i="1"/>
  <c r="BW433" i="1"/>
  <c r="BR434" i="1"/>
  <c r="CH434" i="1"/>
  <c r="CA437" i="1"/>
  <c r="BV442" i="1"/>
  <c r="BQ443" i="1"/>
  <c r="CG443" i="1"/>
  <c r="CA445" i="1"/>
  <c r="BV446" i="1"/>
  <c r="BP448" i="1"/>
  <c r="CF448" i="1"/>
  <c r="CA449" i="1"/>
  <c r="BT452" i="1"/>
  <c r="BR454" i="1"/>
  <c r="CH454" i="1"/>
  <c r="CC455" i="1"/>
  <c r="BZ458" i="1"/>
  <c r="BT460" i="1"/>
  <c r="BQ463" i="1"/>
  <c r="CG463" i="1"/>
  <c r="CB464" i="1"/>
  <c r="BZ466" i="1"/>
  <c r="BS469" i="1"/>
  <c r="CI469" i="1"/>
  <c r="CD470" i="1"/>
  <c r="BW473" i="1"/>
  <c r="BQ475" i="1"/>
  <c r="CG475" i="1"/>
  <c r="CB476" i="1"/>
  <c r="BZ478" i="1"/>
  <c r="BU479" i="1"/>
  <c r="BO481" i="1"/>
  <c r="CE481" i="1"/>
  <c r="BX484" i="1"/>
  <c r="BU487" i="1"/>
  <c r="BO489" i="1"/>
  <c r="CE489" i="1"/>
  <c r="BZ490" i="1"/>
  <c r="BT492" i="1"/>
  <c r="BO493" i="1"/>
  <c r="CE493" i="1"/>
  <c r="BX496" i="1"/>
  <c r="BV498" i="1"/>
  <c r="BQ499" i="1"/>
  <c r="CG499" i="1"/>
  <c r="CD502" i="1"/>
  <c r="BY503" i="1"/>
  <c r="BV506" i="1"/>
  <c r="BQ507" i="1"/>
  <c r="CG507" i="1"/>
  <c r="CD27" i="1"/>
  <c r="CC27" i="1"/>
  <c r="BM27" i="1"/>
  <c r="BT27" i="1"/>
  <c r="CE27" i="1"/>
  <c r="BR31" i="1"/>
  <c r="CG31" i="1"/>
  <c r="BQ31" i="1"/>
  <c r="BX31" i="1"/>
  <c r="CI31" i="1"/>
  <c r="BZ35" i="1"/>
  <c r="BR35" i="1"/>
  <c r="BU35" i="1"/>
  <c r="CB35" i="1"/>
  <c r="BL35" i="1"/>
  <c r="BY39" i="1"/>
  <c r="CF39" i="1"/>
  <c r="BM39" i="1"/>
  <c r="CI39" i="1"/>
  <c r="BS39" i="1"/>
  <c r="CD39" i="1"/>
  <c r="BQ48" i="1"/>
  <c r="BV48" i="1"/>
  <c r="BM48" i="1"/>
  <c r="BT48" i="1"/>
  <c r="CE48" i="1"/>
  <c r="CH56" i="1"/>
  <c r="CD56" i="1"/>
  <c r="BU56" i="1"/>
  <c r="BX56" i="1"/>
  <c r="CI56" i="1"/>
  <c r="CF57" i="1"/>
  <c r="BX57" i="1"/>
  <c r="CB57" i="1"/>
  <c r="CE57" i="1"/>
  <c r="BO57" i="1"/>
  <c r="BR64" i="1"/>
  <c r="BZ64" i="1"/>
  <c r="BN64" i="1"/>
  <c r="CF64" i="1"/>
  <c r="BP64" i="1"/>
  <c r="CA64" i="1"/>
  <c r="BP65" i="1"/>
  <c r="CB65" i="1"/>
  <c r="CE65" i="1"/>
  <c r="BO65" i="1"/>
  <c r="BZ65" i="1"/>
  <c r="BY69" i="1"/>
  <c r="CF69" i="1"/>
  <c r="BM69" i="1"/>
  <c r="CI69" i="1"/>
  <c r="BS69" i="1"/>
  <c r="CD69" i="1"/>
  <c r="BM73" i="1"/>
  <c r="BY73" i="1"/>
  <c r="BP73" i="1"/>
  <c r="BW73" i="1"/>
  <c r="CH73" i="1"/>
  <c r="BQ77" i="1"/>
  <c r="CC77" i="1"/>
  <c r="BT77" i="1"/>
  <c r="CA77" i="1"/>
  <c r="BK77" i="1"/>
  <c r="CD79" i="1"/>
  <c r="CA79" i="1"/>
  <c r="BZ79" i="1"/>
  <c r="BY79" i="1"/>
  <c r="CF79" i="1"/>
  <c r="BP79" i="1"/>
  <c r="CG86" i="1"/>
  <c r="BN86" i="1"/>
  <c r="CF86" i="1"/>
  <c r="BP86" i="1"/>
  <c r="CA86" i="1"/>
  <c r="BK86" i="1"/>
  <c r="BL92" i="1"/>
  <c r="BX92" i="1"/>
  <c r="BO92" i="1"/>
  <c r="BV92" i="1"/>
  <c r="CC92" i="1"/>
  <c r="BM92" i="1"/>
  <c r="BW96" i="1"/>
  <c r="CI96" i="1"/>
  <c r="CH96" i="1"/>
  <c r="BR96" i="1"/>
  <c r="BY96" i="1"/>
  <c r="BS101" i="1"/>
  <c r="BZ101" i="1"/>
  <c r="CD101" i="1"/>
  <c r="CC101" i="1"/>
  <c r="BM101" i="1"/>
  <c r="BT101" i="1"/>
  <c r="BN105" i="1"/>
  <c r="CA105" i="1"/>
  <c r="BZ105" i="1"/>
  <c r="BY105" i="1"/>
  <c r="CF105" i="1"/>
  <c r="BP105" i="1"/>
  <c r="BS109" i="1"/>
  <c r="BW109" i="1"/>
  <c r="BN109" i="1"/>
  <c r="BU109" i="1"/>
  <c r="CB109" i="1"/>
  <c r="BL109" i="1"/>
  <c r="BU114" i="1"/>
  <c r="CG114" i="1"/>
  <c r="CB114" i="1"/>
  <c r="BL114" i="1"/>
  <c r="BW114" i="1"/>
  <c r="BQ119" i="1"/>
  <c r="CC119" i="1"/>
  <c r="BT119" i="1"/>
  <c r="CA119" i="1"/>
  <c r="BK119" i="1"/>
  <c r="BV119" i="1"/>
  <c r="BU124" i="1"/>
  <c r="CG124" i="1"/>
  <c r="CB124" i="1"/>
  <c r="BL124" i="1"/>
  <c r="BW124" i="1"/>
  <c r="CH128" i="1"/>
  <c r="CD128" i="1"/>
  <c r="BU128" i="1"/>
  <c r="BX128" i="1"/>
  <c r="CI128" i="1"/>
  <c r="BS128" i="1"/>
  <c r="BN132" i="1"/>
  <c r="BZ132" i="1"/>
  <c r="BQ132" i="1"/>
  <c r="BT132" i="1"/>
  <c r="CE132" i="1"/>
  <c r="BO132" i="1"/>
  <c r="CD136" i="1"/>
  <c r="BU136" i="1"/>
  <c r="BX136" i="1"/>
  <c r="CI136" i="1"/>
  <c r="BS136" i="1"/>
  <c r="BU140" i="1"/>
  <c r="CG140" i="1"/>
  <c r="CB140" i="1"/>
  <c r="BL140" i="1"/>
  <c r="BW140" i="1"/>
  <c r="CH144" i="1"/>
  <c r="CD144" i="1"/>
  <c r="BU144" i="1"/>
  <c r="BX144" i="1"/>
  <c r="CI144" i="1"/>
  <c r="BS144" i="1"/>
  <c r="BN148" i="1"/>
  <c r="BZ148" i="1"/>
  <c r="BQ148" i="1"/>
  <c r="BT148" i="1"/>
  <c r="CE148" i="1"/>
  <c r="BO148" i="1"/>
  <c r="CD152" i="1"/>
  <c r="BU152" i="1"/>
  <c r="BX152" i="1"/>
  <c r="CI152" i="1"/>
  <c r="BS152" i="1"/>
  <c r="BU156" i="1"/>
  <c r="CG156" i="1"/>
  <c r="CB156" i="1"/>
  <c r="BL156" i="1"/>
  <c r="BW156" i="1"/>
  <c r="CH160" i="1"/>
  <c r="CD160" i="1"/>
  <c r="BU160" i="1"/>
  <c r="BX160" i="1"/>
  <c r="CI160" i="1"/>
  <c r="BS160" i="1"/>
  <c r="BN164" i="1"/>
  <c r="BZ164" i="1"/>
  <c r="BQ164" i="1"/>
  <c r="BT164" i="1"/>
  <c r="CE164" i="1"/>
  <c r="BO164" i="1"/>
  <c r="CD168" i="1"/>
  <c r="BU168" i="1"/>
  <c r="BX168" i="1"/>
  <c r="CI168" i="1"/>
  <c r="BS168" i="1"/>
  <c r="BK175" i="1"/>
  <c r="BO175" i="1"/>
  <c r="CG175" i="1"/>
  <c r="BQ175" i="1"/>
  <c r="BX175" i="1"/>
  <c r="BW179" i="1"/>
  <c r="BS179" i="1"/>
  <c r="BR179" i="1"/>
  <c r="BU179" i="1"/>
  <c r="CB179" i="1"/>
  <c r="BL179" i="1"/>
  <c r="BP185" i="1"/>
  <c r="CB185" i="1"/>
  <c r="CE185" i="1"/>
  <c r="BO185" i="1"/>
  <c r="BZ185" i="1"/>
  <c r="CF190" i="1"/>
  <c r="BT190" i="1"/>
  <c r="BS190" i="1"/>
  <c r="BW190" i="1"/>
  <c r="CD190" i="1"/>
  <c r="BN190" i="1"/>
  <c r="CH195" i="1"/>
  <c r="CA195" i="1"/>
  <c r="CE195" i="1"/>
  <c r="CG195" i="1"/>
  <c r="BQ195" i="1"/>
  <c r="CD196" i="1"/>
  <c r="BW196" i="1"/>
  <c r="CA196" i="1"/>
  <c r="CF196" i="1"/>
  <c r="BP196" i="1"/>
  <c r="BZ200" i="1"/>
  <c r="BY200" i="1"/>
  <c r="CC200" i="1"/>
  <c r="CF200" i="1"/>
  <c r="BP200" i="1"/>
  <c r="BS204" i="1"/>
  <c r="BR204" i="1"/>
  <c r="BU204" i="1"/>
  <c r="CB204" i="1"/>
  <c r="BL204" i="1"/>
  <c r="CD208" i="1"/>
  <c r="CC208" i="1"/>
  <c r="BM208" i="1"/>
  <c r="BT208" i="1"/>
  <c r="CA212" i="1"/>
  <c r="BZ212" i="1"/>
  <c r="BY212" i="1"/>
  <c r="CF212" i="1"/>
  <c r="BP212" i="1"/>
  <c r="BO216" i="1"/>
  <c r="CG216" i="1"/>
  <c r="BQ216" i="1"/>
  <c r="BX216" i="1"/>
  <c r="CI220" i="1"/>
  <c r="CH220" i="1"/>
  <c r="CC220" i="1"/>
  <c r="BM220" i="1"/>
  <c r="BT220" i="1"/>
  <c r="BW224" i="1"/>
  <c r="BN224" i="1"/>
  <c r="BU224" i="1"/>
  <c r="CB224" i="1"/>
  <c r="BL224" i="1"/>
  <c r="BK228" i="1"/>
  <c r="CG228" i="1"/>
  <c r="BQ228" i="1"/>
  <c r="BX228" i="1"/>
  <c r="CE232" i="1"/>
  <c r="BV232" i="1"/>
  <c r="BY232" i="1"/>
  <c r="CF232" i="1"/>
  <c r="BP232" i="1"/>
  <c r="BS236" i="1"/>
  <c r="BR236" i="1"/>
  <c r="BU236" i="1"/>
  <c r="CB236" i="1"/>
  <c r="BL236" i="1"/>
  <c r="CD240" i="1"/>
  <c r="CC240" i="1"/>
  <c r="BM240" i="1"/>
  <c r="BT240" i="1"/>
  <c r="CA244" i="1"/>
  <c r="BZ244" i="1"/>
  <c r="BY244" i="1"/>
  <c r="CF244" i="1"/>
  <c r="BP244" i="1"/>
  <c r="BN249" i="1"/>
  <c r="CF249" i="1"/>
  <c r="BP249" i="1"/>
  <c r="CA249" i="1"/>
  <c r="BK249" i="1"/>
  <c r="BV257" i="1"/>
  <c r="CC257" i="1"/>
  <c r="BM257" i="1"/>
  <c r="BT263" i="1"/>
  <c r="CE263" i="1"/>
  <c r="BO263" i="1"/>
  <c r="CA268" i="1"/>
  <c r="BK268" i="1"/>
  <c r="BV268" i="1"/>
  <c r="CD273" i="1"/>
  <c r="BN273" i="1"/>
  <c r="BU273" i="1"/>
  <c r="CB279" i="1"/>
  <c r="BL279" i="1"/>
  <c r="BW279" i="1"/>
  <c r="CI280" i="1"/>
  <c r="BS280" i="1"/>
  <c r="CD280" i="1"/>
  <c r="BN280" i="1"/>
  <c r="BV281" i="1"/>
  <c r="CC281" i="1"/>
  <c r="BM281" i="1"/>
  <c r="BW284" i="1"/>
  <c r="CH284" i="1"/>
  <c r="BR284" i="1"/>
  <c r="BZ285" i="1"/>
  <c r="CG285" i="1"/>
  <c r="BQ285" i="1"/>
  <c r="BY286" i="1"/>
  <c r="CF286" i="1"/>
  <c r="BP286" i="1"/>
  <c r="BX287" i="1"/>
  <c r="CI287" i="1"/>
  <c r="BS287" i="1"/>
  <c r="CE288" i="1"/>
  <c r="BO288" i="1"/>
  <c r="BZ288" i="1"/>
  <c r="CH289" i="1"/>
  <c r="BR289" i="1"/>
  <c r="BY289" i="1"/>
  <c r="CG290" i="1"/>
  <c r="BQ290" i="1"/>
  <c r="BX290" i="1"/>
  <c r="CF291" i="1"/>
  <c r="BP291" i="1"/>
  <c r="CA291" i="1"/>
  <c r="BK291" i="1"/>
  <c r="BW292" i="1"/>
  <c r="CH292" i="1"/>
  <c r="BR292" i="1"/>
  <c r="BZ293" i="1"/>
  <c r="CG293" i="1"/>
  <c r="BQ293" i="1"/>
  <c r="BZ297" i="1"/>
  <c r="CG297" i="1"/>
  <c r="BQ297" i="1"/>
  <c r="CA316" i="1"/>
  <c r="BK316" i="1"/>
  <c r="BV316" i="1"/>
  <c r="CE320" i="1"/>
  <c r="BO320" i="1"/>
  <c r="BZ320" i="1"/>
  <c r="CI324" i="1"/>
  <c r="BS324" i="1"/>
  <c r="CD324" i="1"/>
  <c r="BN324" i="1"/>
  <c r="BW328" i="1"/>
  <c r="CH328" i="1"/>
  <c r="BR328" i="1"/>
  <c r="CA356" i="1"/>
  <c r="BK356" i="1"/>
  <c r="BV356" i="1"/>
  <c r="CD357" i="1"/>
  <c r="BN357" i="1"/>
  <c r="BU357" i="1"/>
  <c r="CC358" i="1"/>
  <c r="BM358" i="1"/>
  <c r="BT358" i="1"/>
  <c r="CE364" i="1"/>
  <c r="BO364" i="1"/>
  <c r="BZ364" i="1"/>
  <c r="CH365" i="1"/>
  <c r="BR365" i="1"/>
  <c r="BY365" i="1"/>
  <c r="CG366" i="1"/>
  <c r="BQ366" i="1"/>
  <c r="BX366" i="1"/>
  <c r="CI372" i="1"/>
  <c r="BS372" i="1"/>
  <c r="CD372" i="1"/>
  <c r="BN372" i="1"/>
  <c r="BV373" i="1"/>
  <c r="CC373" i="1"/>
  <c r="BM373" i="1"/>
  <c r="BU374" i="1"/>
  <c r="CB374" i="1"/>
  <c r="BL374" i="1"/>
  <c r="BW380" i="1"/>
  <c r="CH380" i="1"/>
  <c r="BR380" i="1"/>
  <c r="BZ381" i="1"/>
  <c r="CG381" i="1"/>
  <c r="BQ381" i="1"/>
  <c r="BY382" i="1"/>
  <c r="CF382" i="1"/>
  <c r="BP382" i="1"/>
  <c r="CA388" i="1"/>
  <c r="BK388" i="1"/>
  <c r="BV388" i="1"/>
  <c r="CD389" i="1"/>
  <c r="BN389" i="1"/>
  <c r="BU389" i="1"/>
  <c r="CC390" i="1"/>
  <c r="BM390" i="1"/>
  <c r="BT390" i="1"/>
  <c r="CE396" i="1"/>
  <c r="BO396" i="1"/>
  <c r="BZ396" i="1"/>
  <c r="CH397" i="1"/>
  <c r="BR397" i="1"/>
  <c r="BY397" i="1"/>
  <c r="CG398" i="1"/>
  <c r="BQ398" i="1"/>
  <c r="BX398" i="1"/>
  <c r="CI404" i="1"/>
  <c r="BS404" i="1"/>
  <c r="CD404" i="1"/>
  <c r="BN404" i="1"/>
  <c r="BV405" i="1"/>
  <c r="CC405" i="1"/>
  <c r="BM405" i="1"/>
  <c r="BU406" i="1"/>
  <c r="CB406" i="1"/>
  <c r="BL406" i="1"/>
  <c r="BW412" i="1"/>
  <c r="CH412" i="1"/>
  <c r="BR412" i="1"/>
  <c r="BZ413" i="1"/>
  <c r="CG413" i="1"/>
  <c r="BQ413" i="1"/>
  <c r="BY414" i="1"/>
  <c r="CF414" i="1"/>
  <c r="BP414" i="1"/>
  <c r="CC91" i="1"/>
  <c r="BS127" i="1"/>
  <c r="CE147" i="1"/>
  <c r="BO163" i="1"/>
  <c r="CA183" i="1"/>
  <c r="BO199" i="1"/>
  <c r="BT207" i="1"/>
  <c r="BL215" i="1"/>
  <c r="CE220" i="1"/>
  <c r="CF227" i="1"/>
  <c r="BX235" i="1"/>
  <c r="BP243" i="1"/>
  <c r="BV253" i="1"/>
  <c r="BV256" i="1"/>
  <c r="BL261" i="1"/>
  <c r="CH263" i="1"/>
  <c r="BU268" i="1"/>
  <c r="CG272" i="1"/>
  <c r="BT277" i="1"/>
  <c r="BY280" i="1"/>
  <c r="BU284" i="1"/>
  <c r="BS286" i="1"/>
  <c r="CH287" i="1"/>
  <c r="CF289" i="1"/>
  <c r="CD291" i="1"/>
  <c r="CB293" i="1"/>
  <c r="BX297" i="1"/>
  <c r="CD315" i="1"/>
  <c r="BZ319" i="1"/>
  <c r="BN323" i="1"/>
  <c r="CC324" i="1"/>
  <c r="BY328" i="1"/>
  <c r="BT357" i="1"/>
  <c r="CI358" i="1"/>
  <c r="BU364" i="1"/>
  <c r="BS366" i="1"/>
  <c r="BZ367" i="1"/>
  <c r="BT373" i="1"/>
  <c r="CI374" i="1"/>
  <c r="BU380" i="1"/>
  <c r="BS382" i="1"/>
  <c r="BZ383" i="1"/>
  <c r="BT389" i="1"/>
  <c r="CI390" i="1"/>
  <c r="BU396" i="1"/>
  <c r="BS398" i="1"/>
  <c r="BZ399" i="1"/>
  <c r="BT405" i="1"/>
  <c r="CI406" i="1"/>
  <c r="BU412" i="1"/>
  <c r="BS414" i="1"/>
  <c r="BZ415" i="1"/>
  <c r="BU420" i="1"/>
  <c r="BL421" i="1"/>
  <c r="CB421" i="1"/>
  <c r="BU424" i="1"/>
  <c r="BL425" i="1"/>
  <c r="CB425" i="1"/>
  <c r="BV427" i="1"/>
  <c r="BL429" i="1"/>
  <c r="CB429" i="1"/>
  <c r="BS430" i="1"/>
  <c r="CI430" i="1"/>
  <c r="BX433" i="1"/>
  <c r="BO434" i="1"/>
  <c r="CE434" i="1"/>
  <c r="BT437" i="1"/>
  <c r="BK442" i="1"/>
  <c r="CA442" i="1"/>
  <c r="BR443" i="1"/>
  <c r="CH443" i="1"/>
  <c r="BX445" i="1"/>
  <c r="BO446" i="1"/>
  <c r="CE446" i="1"/>
  <c r="BU448" i="1"/>
  <c r="BL449" i="1"/>
  <c r="CB449" i="1"/>
  <c r="BU452" i="1"/>
  <c r="BK454" i="1"/>
  <c r="CA454" i="1"/>
  <c r="BR455" i="1"/>
  <c r="CH455" i="1"/>
  <c r="BW458" i="1"/>
  <c r="BM460" i="1"/>
  <c r="CC460" i="1"/>
  <c r="BV463" i="1"/>
  <c r="BM464" i="1"/>
  <c r="CC464" i="1"/>
  <c r="BS466" i="1"/>
  <c r="CI466" i="1"/>
  <c r="BX469" i="1"/>
  <c r="BO470" i="1"/>
  <c r="CE470" i="1"/>
  <c r="BT473" i="1"/>
  <c r="BN475" i="1"/>
  <c r="CD475" i="1"/>
  <c r="BU476" i="1"/>
  <c r="BK478" i="1"/>
  <c r="CA478" i="1"/>
  <c r="BR479" i="1"/>
  <c r="CH479" i="1"/>
  <c r="BX481" i="1"/>
  <c r="BQ484" i="1"/>
  <c r="CG484" i="1"/>
  <c r="BZ487" i="1"/>
  <c r="BP489" i="1"/>
  <c r="CF489" i="1"/>
  <c r="BW490" i="1"/>
  <c r="BM492" i="1"/>
  <c r="CC492" i="1"/>
  <c r="BT493" i="1"/>
  <c r="BM496" i="1"/>
  <c r="CC496" i="1"/>
  <c r="BS498" i="1"/>
  <c r="CI498" i="1"/>
  <c r="BZ499" i="1"/>
  <c r="BO502" i="1"/>
  <c r="CE502" i="1"/>
  <c r="BV503" i="1"/>
  <c r="BK506" i="1"/>
  <c r="CA506" i="1"/>
  <c r="BR507" i="1"/>
  <c r="CH507" i="1"/>
  <c r="BK26" i="1"/>
  <c r="CH26" i="1"/>
  <c r="BR26" i="1"/>
  <c r="BY26" i="1"/>
  <c r="CF26" i="1"/>
  <c r="BK30" i="1"/>
  <c r="BO30" i="1"/>
  <c r="BV30" i="1"/>
  <c r="CC30" i="1"/>
  <c r="BM30" i="1"/>
  <c r="BS34" i="1"/>
  <c r="CA34" i="1"/>
  <c r="BZ34" i="1"/>
  <c r="CG34" i="1"/>
  <c r="BQ34" i="1"/>
  <c r="BR38" i="1"/>
  <c r="BZ38" i="1"/>
  <c r="BN38" i="1"/>
  <c r="CF38" i="1"/>
  <c r="BP38" i="1"/>
  <c r="CA38" i="1"/>
  <c r="CF46" i="1"/>
  <c r="CH46" i="1"/>
  <c r="CG46" i="1"/>
  <c r="CB46" i="1"/>
  <c r="BL46" i="1"/>
  <c r="BK47" i="1"/>
  <c r="BR47" i="1"/>
  <c r="CD47" i="1"/>
  <c r="CC47" i="1"/>
  <c r="BM47" i="1"/>
  <c r="BK54" i="1"/>
  <c r="CI54" i="1"/>
  <c r="BP54" i="1"/>
  <c r="CH54" i="1"/>
  <c r="BR54" i="1"/>
  <c r="CI55" i="1"/>
  <c r="BZ55" i="1"/>
  <c r="CD55" i="1"/>
  <c r="CC55" i="1"/>
  <c r="BM55" i="1"/>
  <c r="BT62" i="1"/>
  <c r="CA62" i="1"/>
  <c r="BP62" i="1"/>
  <c r="CH62" i="1"/>
  <c r="BR62" i="1"/>
  <c r="BK63" i="1"/>
  <c r="BS63" i="1"/>
  <c r="BW63" i="1"/>
  <c r="BN63" i="1"/>
  <c r="BU63" i="1"/>
  <c r="CB63" i="1"/>
  <c r="BY68" i="1"/>
  <c r="CC68" i="1"/>
  <c r="CB68" i="1"/>
  <c r="BL68" i="1"/>
  <c r="BW68" i="1"/>
  <c r="CD72" i="1"/>
  <c r="BV72" i="1"/>
  <c r="BR72" i="1"/>
  <c r="CF72" i="1"/>
  <c r="BP72" i="1"/>
  <c r="CA72" i="1"/>
  <c r="BQ76" i="1"/>
  <c r="CC76" i="1"/>
  <c r="CB76" i="1"/>
  <c r="BL76" i="1"/>
  <c r="CI85" i="1"/>
  <c r="BZ85" i="1"/>
  <c r="CD85" i="1"/>
  <c r="CC85" i="1"/>
  <c r="BM85" i="1"/>
  <c r="BT85" i="1"/>
  <c r="BN90" i="1"/>
  <c r="BZ90" i="1"/>
  <c r="BQ90" i="1"/>
  <c r="BT90" i="1"/>
  <c r="CE90" i="1"/>
  <c r="BO90" i="1"/>
  <c r="BU91" i="1"/>
  <c r="BQ91" i="1"/>
  <c r="CI91" i="1"/>
  <c r="BS91" i="1"/>
  <c r="CD91" i="1"/>
  <c r="BP95" i="1"/>
  <c r="CB95" i="1"/>
  <c r="CE95" i="1"/>
  <c r="BO95" i="1"/>
  <c r="BZ95" i="1"/>
  <c r="BL100" i="1"/>
  <c r="BS100" i="1"/>
  <c r="CE100" i="1"/>
  <c r="CD100" i="1"/>
  <c r="BN100" i="1"/>
  <c r="BU100" i="1"/>
  <c r="BP104" i="1"/>
  <c r="BT104" i="1"/>
  <c r="BS104" i="1"/>
  <c r="BZ104" i="1"/>
  <c r="CG104" i="1"/>
  <c r="BL108" i="1"/>
  <c r="BX108" i="1"/>
  <c r="BO108" i="1"/>
  <c r="BV108" i="1"/>
  <c r="CC108" i="1"/>
  <c r="BM108" i="1"/>
  <c r="BW112" i="1"/>
  <c r="CI112" i="1"/>
  <c r="CH112" i="1"/>
  <c r="BR112" i="1"/>
  <c r="CE113" i="1"/>
  <c r="CI113" i="1"/>
  <c r="CH113" i="1"/>
  <c r="CC113" i="1"/>
  <c r="BM113" i="1"/>
  <c r="BT113" i="1"/>
  <c r="BR118" i="1"/>
  <c r="BV118" i="1"/>
  <c r="BM118" i="1"/>
  <c r="BT118" i="1"/>
  <c r="CE118" i="1"/>
  <c r="BO118" i="1"/>
  <c r="CD123" i="1"/>
  <c r="BS123" i="1"/>
  <c r="BR123" i="1"/>
  <c r="BU123" i="1"/>
  <c r="CB123" i="1"/>
  <c r="CE127" i="1"/>
  <c r="BV127" i="1"/>
  <c r="BY127" i="1"/>
  <c r="CF127" i="1"/>
  <c r="BP127" i="1"/>
  <c r="CI131" i="1"/>
  <c r="CH131" i="1"/>
  <c r="CC131" i="1"/>
  <c r="BM131" i="1"/>
  <c r="BT131" i="1"/>
  <c r="BS135" i="1"/>
  <c r="BW135" i="1"/>
  <c r="BN135" i="1"/>
  <c r="BU135" i="1"/>
  <c r="CB135" i="1"/>
  <c r="BL135" i="1"/>
  <c r="BN139" i="1"/>
  <c r="BK139" i="1"/>
  <c r="CG139" i="1"/>
  <c r="BQ139" i="1"/>
  <c r="BX139" i="1"/>
  <c r="CA143" i="1"/>
  <c r="BW143" i="1"/>
  <c r="BN143" i="1"/>
  <c r="BU143" i="1"/>
  <c r="CB143" i="1"/>
  <c r="BL143" i="1"/>
  <c r="CA147" i="1"/>
  <c r="BZ147" i="1"/>
  <c r="BY147" i="1"/>
  <c r="CF147" i="1"/>
  <c r="BP147" i="1"/>
  <c r="CH151" i="1"/>
  <c r="BO151" i="1"/>
  <c r="CG151" i="1"/>
  <c r="BQ151" i="1"/>
  <c r="BX151" i="1"/>
  <c r="CE155" i="1"/>
  <c r="CI155" i="1"/>
  <c r="CH155" i="1"/>
  <c r="CC155" i="1"/>
  <c r="BM155" i="1"/>
  <c r="BK159" i="1"/>
  <c r="BO159" i="1"/>
  <c r="CG159" i="1"/>
  <c r="BQ159" i="1"/>
  <c r="BX159" i="1"/>
  <c r="BW163" i="1"/>
  <c r="BS163" i="1"/>
  <c r="BR163" i="1"/>
  <c r="BU163" i="1"/>
  <c r="CB163" i="1"/>
  <c r="BL163" i="1"/>
  <c r="BR167" i="1"/>
  <c r="CD167" i="1"/>
  <c r="CC167" i="1"/>
  <c r="BM167" i="1"/>
  <c r="BT167" i="1"/>
  <c r="BO171" i="1"/>
  <c r="CA171" i="1"/>
  <c r="BZ171" i="1"/>
  <c r="BY171" i="1"/>
  <c r="CF171" i="1"/>
  <c r="BP171" i="1"/>
  <c r="BS174" i="1"/>
  <c r="CE174" i="1"/>
  <c r="CD174" i="1"/>
  <c r="BN174" i="1"/>
  <c r="BU174" i="1"/>
  <c r="BP178" i="1"/>
  <c r="BT178" i="1"/>
  <c r="BS178" i="1"/>
  <c r="BZ178" i="1"/>
  <c r="CG178" i="1"/>
  <c r="CH183" i="1"/>
  <c r="BO183" i="1"/>
  <c r="CG183" i="1"/>
  <c r="BQ183" i="1"/>
  <c r="BX183" i="1"/>
  <c r="BY189" i="1"/>
  <c r="BL189" i="1"/>
  <c r="BQ189" i="1"/>
  <c r="BP189" i="1"/>
  <c r="BW189" i="1"/>
  <c r="BN189" i="1"/>
  <c r="BP194" i="1"/>
  <c r="BO194" i="1"/>
  <c r="BS194" i="1"/>
  <c r="BZ194" i="1"/>
  <c r="CE199" i="1"/>
  <c r="CH199" i="1"/>
  <c r="BL199" i="1"/>
  <c r="BP199" i="1"/>
  <c r="BY199" i="1"/>
  <c r="CA203" i="1"/>
  <c r="BO203" i="1"/>
  <c r="BS203" i="1"/>
  <c r="BW203" i="1"/>
  <c r="BY203" i="1"/>
  <c r="CF207" i="1"/>
  <c r="BW207" i="1"/>
  <c r="BZ207" i="1"/>
  <c r="CG207" i="1"/>
  <c r="BQ207" i="1"/>
  <c r="BL211" i="1"/>
  <c r="BK211" i="1"/>
  <c r="BV211" i="1"/>
  <c r="CC211" i="1"/>
  <c r="BM211" i="1"/>
  <c r="CE215" i="1"/>
  <c r="CD215" i="1"/>
  <c r="BN215" i="1"/>
  <c r="BU215" i="1"/>
  <c r="BT219" i="1"/>
  <c r="BS219" i="1"/>
  <c r="BZ219" i="1"/>
  <c r="CG219" i="1"/>
  <c r="BQ219" i="1"/>
  <c r="BP223" i="1"/>
  <c r="CH223" i="1"/>
  <c r="BR223" i="1"/>
  <c r="BY223" i="1"/>
  <c r="CB227" i="1"/>
  <c r="CA227" i="1"/>
  <c r="CD227" i="1"/>
  <c r="BN227" i="1"/>
  <c r="BU227" i="1"/>
  <c r="BX231" i="1"/>
  <c r="BO231" i="1"/>
  <c r="BV231" i="1"/>
  <c r="CC231" i="1"/>
  <c r="BM231" i="1"/>
  <c r="CI235" i="1"/>
  <c r="CH235" i="1"/>
  <c r="BR235" i="1"/>
  <c r="BY235" i="1"/>
  <c r="CF239" i="1"/>
  <c r="BW239" i="1"/>
  <c r="BZ239" i="1"/>
  <c r="CG239" i="1"/>
  <c r="BQ239" i="1"/>
  <c r="BL243" i="1"/>
  <c r="BK243" i="1"/>
  <c r="BV243" i="1"/>
  <c r="CC243" i="1"/>
  <c r="BM243" i="1"/>
  <c r="CD248" i="1"/>
  <c r="CC248" i="1"/>
  <c r="BM248" i="1"/>
  <c r="BT248" i="1"/>
  <c r="BZ253" i="1"/>
  <c r="BQ253" i="1"/>
  <c r="BT253" i="1"/>
  <c r="CE253" i="1"/>
  <c r="BO253" i="1"/>
  <c r="BW255" i="1"/>
  <c r="CA255" i="1"/>
  <c r="CH255" i="1"/>
  <c r="BR255" i="1"/>
  <c r="BX256" i="1"/>
  <c r="CB256" i="1"/>
  <c r="CG256" i="1"/>
  <c r="BQ256" i="1"/>
  <c r="BZ261" i="1"/>
  <c r="CG261" i="1"/>
  <c r="BQ261" i="1"/>
  <c r="BX267" i="1"/>
  <c r="CI267" i="1"/>
  <c r="BS267" i="1"/>
  <c r="CE272" i="1"/>
  <c r="BO272" i="1"/>
  <c r="BZ272" i="1"/>
  <c r="CH277" i="1"/>
  <c r="BR277" i="1"/>
  <c r="BY277" i="1"/>
  <c r="CI296" i="1"/>
  <c r="BS296" i="1"/>
  <c r="CD296" i="1"/>
  <c r="BN296" i="1"/>
  <c r="BT315" i="1"/>
  <c r="CE315" i="1"/>
  <c r="BO315" i="1"/>
  <c r="BX319" i="1"/>
  <c r="CI319" i="1"/>
  <c r="BS319" i="1"/>
  <c r="CB323" i="1"/>
  <c r="BL323" i="1"/>
  <c r="BW323" i="1"/>
  <c r="CF327" i="1"/>
  <c r="BP327" i="1"/>
  <c r="CA327" i="1"/>
  <c r="BK327" i="1"/>
  <c r="BT359" i="1"/>
  <c r="CE359" i="1"/>
  <c r="BO359" i="1"/>
  <c r="BX367" i="1"/>
  <c r="CI367" i="1"/>
  <c r="BS367" i="1"/>
  <c r="CB375" i="1"/>
  <c r="BL375" i="1"/>
  <c r="BW375" i="1"/>
  <c r="CF383" i="1"/>
  <c r="BP383" i="1"/>
  <c r="CA383" i="1"/>
  <c r="BK383" i="1"/>
  <c r="BT391" i="1"/>
  <c r="CE391" i="1"/>
  <c r="BO391" i="1"/>
  <c r="BX399" i="1"/>
  <c r="CI399" i="1"/>
  <c r="BS399" i="1"/>
  <c r="CB407" i="1"/>
  <c r="BL407" i="1"/>
  <c r="BW407" i="1"/>
  <c r="CF415" i="1"/>
  <c r="BP415" i="1"/>
  <c r="CA415" i="1"/>
  <c r="BK415" i="1"/>
  <c r="CA239" i="1"/>
  <c r="CB288" i="1"/>
  <c r="BO325" i="1"/>
  <c r="BU335" i="1"/>
  <c r="CD350" i="1"/>
  <c r="BK361" i="1"/>
  <c r="BQ371" i="1"/>
  <c r="BW381" i="1"/>
  <c r="CC391" i="1"/>
  <c r="CI401" i="1"/>
  <c r="BP412" i="1"/>
  <c r="CD420" i="1"/>
  <c r="BY433" i="1"/>
  <c r="BX442" i="1"/>
  <c r="CA447" i="1"/>
  <c r="BL454" i="1"/>
  <c r="BV460" i="1"/>
  <c r="BY465" i="1"/>
  <c r="BZ469" i="1"/>
  <c r="BP471" i="1"/>
  <c r="CD473" i="1"/>
  <c r="CA476" i="1"/>
  <c r="BX479" i="1"/>
  <c r="CE480" i="1"/>
  <c r="BU482" i="1"/>
  <c r="CI484" i="1"/>
  <c r="BX487" i="1"/>
  <c r="CE488" i="1"/>
  <c r="CC490" i="1"/>
  <c r="BS492" i="1"/>
  <c r="CH493" i="1"/>
  <c r="BW496" i="1"/>
  <c r="CD497" i="1"/>
  <c r="CB499" i="1"/>
  <c r="CI500" i="1"/>
  <c r="CF503" i="1"/>
  <c r="BU506" i="1"/>
  <c r="CD52" i="1"/>
  <c r="BV52" i="1"/>
  <c r="BR52" i="1"/>
  <c r="CF52" i="1"/>
  <c r="BP52" i="1"/>
  <c r="CA52" i="1"/>
  <c r="BM53" i="1"/>
  <c r="BY53" i="1"/>
  <c r="BP53" i="1"/>
  <c r="BW53" i="1"/>
  <c r="CH53" i="1"/>
  <c r="CD60" i="1"/>
  <c r="CH60" i="1"/>
  <c r="BY60" i="1"/>
  <c r="BX60" i="1"/>
  <c r="CI60" i="1"/>
  <c r="CE66" i="1"/>
  <c r="BW66" i="1"/>
  <c r="CI66" i="1"/>
  <c r="CH66" i="1"/>
  <c r="BR66" i="1"/>
  <c r="BP70" i="1"/>
  <c r="BX70" i="1"/>
  <c r="BL70" i="1"/>
  <c r="BK70" i="1"/>
  <c r="BV70" i="1"/>
  <c r="CC70" i="1"/>
  <c r="CA74" i="1"/>
  <c r="CF74" i="1"/>
  <c r="BW74" i="1"/>
  <c r="BZ74" i="1"/>
  <c r="CG74" i="1"/>
  <c r="CF78" i="1"/>
  <c r="CB78" i="1"/>
  <c r="CA78" i="1"/>
  <c r="CD78" i="1"/>
  <c r="BN78" i="1"/>
  <c r="BN89" i="1"/>
  <c r="BV89" i="1"/>
  <c r="BZ89" i="1"/>
  <c r="BT94" i="1"/>
  <c r="CB99" i="1"/>
  <c r="CD99" i="1"/>
  <c r="CB103" i="1"/>
  <c r="CE105" i="1"/>
  <c r="CA107" i="1"/>
  <c r="CF111" i="1"/>
  <c r="CD111" i="1"/>
  <c r="BP116" i="1"/>
  <c r="BX120" i="1"/>
  <c r="BV120" i="1"/>
  <c r="CA121" i="1"/>
  <c r="BP121" i="1"/>
  <c r="CA125" i="1"/>
  <c r="BX129" i="1"/>
  <c r="BZ129" i="1"/>
  <c r="CI133" i="1"/>
  <c r="BQ137" i="1"/>
  <c r="CH137" i="1"/>
  <c r="BX141" i="1"/>
  <c r="CF145" i="1"/>
  <c r="BO145" i="1"/>
  <c r="BQ149" i="1"/>
  <c r="BN149" i="1"/>
  <c r="BW153" i="1"/>
  <c r="CG157" i="1"/>
  <c r="BV157" i="1"/>
  <c r="CE161" i="1"/>
  <c r="D78" i="2"/>
  <c r="D74" i="2"/>
  <c r="D55" i="2"/>
  <c r="F55" i="2" s="1"/>
  <c r="D32" i="2"/>
  <c r="D44" i="2"/>
  <c r="D66" i="2"/>
  <c r="D58" i="2"/>
  <c r="D63" i="2"/>
  <c r="D71" i="2"/>
  <c r="F71" i="2" s="1"/>
  <c r="D38" i="2"/>
  <c r="D31" i="2"/>
  <c r="D29" i="2"/>
  <c r="D81" i="2"/>
  <c r="D46" i="2"/>
  <c r="D61" i="2"/>
  <c r="D35" i="2"/>
  <c r="F35" i="2" s="1"/>
  <c r="D76" i="2"/>
  <c r="F76" i="2" s="1"/>
  <c r="D45" i="2"/>
  <c r="D39" i="2"/>
  <c r="D53" i="2"/>
  <c r="D49" i="2"/>
  <c r="D82" i="2" l="1"/>
  <c r="F8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Oren Amram</author>
  </authors>
  <commentList>
    <comment ref="B412" authorId="0" shapeId="0" xr:uid="{47065C58-CB86-41D4-8404-8B218CE418FD}">
      <text>
        <r>
          <rPr>
            <b/>
            <sz val="9"/>
            <rFont val="Tahoma"/>
            <family val="2"/>
          </rPr>
          <t>Oren Amram:</t>
        </r>
        <r>
          <rPr>
            <sz val="9"/>
            <rFont val="Tahoma"/>
            <family val="2"/>
          </rPr>
          <t xml:space="preserve">
alternate</t>
        </r>
      </text>
    </comment>
    <comment ref="B444" authorId="0" shapeId="0" xr:uid="{5D9D1E6C-2EE6-429E-9AE7-4F2A0DD5002F}">
      <text>
        <r>
          <rPr>
            <b/>
            <sz val="9"/>
            <rFont val="Tahoma"/>
            <family val="2"/>
          </rPr>
          <t>Oren Amram:</t>
        </r>
        <r>
          <rPr>
            <sz val="9"/>
            <rFont val="Tahoma"/>
            <family val="2"/>
          </rPr>
          <t xml:space="preserve">
new</t>
        </r>
      </text>
    </comment>
    <comment ref="B445" authorId="0" shapeId="0" xr:uid="{5F1D9B7C-3EDF-49F6-86AE-4D329431310D}">
      <text>
        <r>
          <rPr>
            <b/>
            <sz val="9"/>
            <rFont val="Tahoma"/>
            <family val="2"/>
          </rPr>
          <t>Oren Amram:</t>
        </r>
        <r>
          <rPr>
            <sz val="9"/>
            <rFont val="Tahoma"/>
            <family val="2"/>
          </rPr>
          <t xml:space="preserve">
new</t>
        </r>
      </text>
    </comment>
    <comment ref="B471" authorId="0" shapeId="0" xr:uid="{94F25223-4CFD-4E4B-A50F-B5D1474FC5B0}">
      <text>
        <r>
          <rPr>
            <b/>
            <sz val="9"/>
            <rFont val="Tahoma"/>
            <family val="2"/>
          </rPr>
          <t>Oren Amram:</t>
        </r>
        <r>
          <rPr>
            <sz val="9"/>
            <rFont val="Tahoma"/>
            <family val="2"/>
          </rPr>
          <t xml:space="preserve">
new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<sst xmlns="http://schemas.openxmlformats.org/spreadsheetml/2006/main" count="2336" uniqueCount="1140">
  <si>
    <t>2138 &amp; 2026  Order Summary</t>
  </si>
  <si>
    <t>Particulars</t>
  </si>
  <si>
    <t>No Of items in bom</t>
  </si>
  <si>
    <t>Remarks</t>
  </si>
  <si>
    <t>ASSY</t>
  </si>
  <si>
    <t>Assy line</t>
  </si>
  <si>
    <t>DNP</t>
  </si>
  <si>
    <t>Do Not Purchase</t>
  </si>
  <si>
    <t>BFE</t>
  </si>
  <si>
    <t>Elta supply parts</t>
  </si>
  <si>
    <t>Yes</t>
  </si>
  <si>
    <t>No</t>
  </si>
  <si>
    <t>Yet to share the delivery dates</t>
  </si>
  <si>
    <t>Duplicate</t>
  </si>
  <si>
    <t>2 lines merged to 1 line</t>
  </si>
  <si>
    <t>DD Available</t>
  </si>
  <si>
    <t>DD yet to receive</t>
  </si>
  <si>
    <t>Suppliers</t>
  </si>
  <si>
    <t>No of Items</t>
  </si>
  <si>
    <t>Ordered</t>
  </si>
  <si>
    <t>Ordered, Need to followup for the delivery dates</t>
  </si>
  <si>
    <t>Elbatech</t>
  </si>
  <si>
    <t>Production consumables</t>
  </si>
  <si>
    <t>Elipse RFIC</t>
  </si>
  <si>
    <t>Kaytech</t>
  </si>
  <si>
    <t>Total</t>
  </si>
  <si>
    <t>Ordered-DNP</t>
  </si>
  <si>
    <t>Due to design change made DNP</t>
  </si>
  <si>
    <t>Total line items</t>
  </si>
  <si>
    <t>Supplier</t>
  </si>
  <si>
    <t>PO Value
Amt in USD</t>
  </si>
  <si>
    <t>Leadtime in 
weeks</t>
  </si>
  <si>
    <t>Required Payment</t>
  </si>
  <si>
    <t>Curr</t>
  </si>
  <si>
    <t>Star Light/Huang Ling</t>
  </si>
  <si>
    <t>Payment</t>
  </si>
  <si>
    <t>USD</t>
  </si>
  <si>
    <t>YAEL Y.A.D</t>
  </si>
  <si>
    <t>Phoenix</t>
  </si>
  <si>
    <t>Rabyte Technologies LLP</t>
  </si>
  <si>
    <t>TTI</t>
  </si>
  <si>
    <t>Consumables</t>
  </si>
  <si>
    <t>AMPHENOL Canada</t>
  </si>
  <si>
    <t>Agoran</t>
  </si>
  <si>
    <t>Ackerman</t>
  </si>
  <si>
    <t>TBD</t>
  </si>
  <si>
    <t>Wave Mechanics</t>
  </si>
  <si>
    <t>Simat</t>
  </si>
  <si>
    <t>REMTEC</t>
  </si>
  <si>
    <t>Chemograf</t>
  </si>
  <si>
    <t>Gumiyan</t>
  </si>
  <si>
    <t>Boardtek</t>
  </si>
  <si>
    <t>Ascotech</t>
  </si>
  <si>
    <t>DCX</t>
  </si>
  <si>
    <t>DCX Chol</t>
  </si>
  <si>
    <t>Star Light</t>
  </si>
  <si>
    <t>Pronat</t>
  </si>
  <si>
    <t>EIM</t>
  </si>
  <si>
    <t>MTI</t>
  </si>
  <si>
    <t>Starlight</t>
  </si>
  <si>
    <t>Nicomatic</t>
  </si>
  <si>
    <t>Ecomal</t>
  </si>
  <si>
    <t>Cidev</t>
  </si>
  <si>
    <t>Arrow Rapac Ltd</t>
  </si>
  <si>
    <t>Mouser</t>
  </si>
  <si>
    <t>STG</t>
  </si>
  <si>
    <t>Nisko</t>
  </si>
  <si>
    <t>Avnet Asia</t>
  </si>
  <si>
    <t>Avnet Abacus</t>
  </si>
  <si>
    <t>CIDEV GROUP LTD</t>
  </si>
  <si>
    <t>WTM</t>
  </si>
  <si>
    <t>Air Electro, Inc.</t>
  </si>
  <si>
    <t>FTC</t>
  </si>
  <si>
    <t>EBV</t>
  </si>
  <si>
    <t>Nextwave/IMS</t>
  </si>
  <si>
    <t>Future Electronics</t>
  </si>
  <si>
    <t>Shirtech</t>
  </si>
  <si>
    <t>RAY-Q</t>
  </si>
  <si>
    <t>Seamax</t>
  </si>
  <si>
    <t>Avdor Technology</t>
  </si>
  <si>
    <t>MCDI</t>
  </si>
  <si>
    <t>SAMTEC</t>
  </si>
  <si>
    <t>Qorvo</t>
  </si>
  <si>
    <t>AM Components</t>
  </si>
  <si>
    <t>RFMW</t>
  </si>
  <si>
    <t>Level</t>
  </si>
  <si>
    <t>Description</t>
  </si>
  <si>
    <t>6931A105-001</t>
  </si>
  <si>
    <t>ANTENNA 2026  F\Assy</t>
  </si>
  <si>
    <t>6931A450-001</t>
  </si>
  <si>
    <t>FAN UNIT</t>
  </si>
  <si>
    <t>6931A080-001</t>
  </si>
  <si>
    <t>SMR GROUP LEFT</t>
  </si>
  <si>
    <t>1094Y690-001</t>
  </si>
  <si>
    <t>RF ADAPTOR F\ASSY</t>
  </si>
  <si>
    <t>6931A090-001</t>
  </si>
  <si>
    <t>SMR GROUP RIGHT</t>
  </si>
  <si>
    <t>6931A200-001</t>
  </si>
  <si>
    <t>2026 ANTENNA CONTROLLER</t>
  </si>
  <si>
    <t>1038B800-001</t>
  </si>
  <si>
    <t>Antenna F\Assy</t>
  </si>
  <si>
    <t>1038B900-001</t>
  </si>
  <si>
    <t>TRA F\ASSY</t>
  </si>
  <si>
    <t>1096M291-001</t>
  </si>
  <si>
    <t>TRA S\ASSY</t>
  </si>
  <si>
    <t>1096M290-001</t>
  </si>
  <si>
    <t>TRA PC ASSY</t>
  </si>
  <si>
    <t>1039H771-001</t>
  </si>
  <si>
    <t>ANTENNA CONTROLLER PC/ASSY TRA</t>
  </si>
  <si>
    <t>1038B930-001</t>
  </si>
  <si>
    <t>RA F\ASSY</t>
  </si>
  <si>
    <t>1096M281-001</t>
  </si>
  <si>
    <t>RA S\ASSY</t>
  </si>
  <si>
    <t>1096M280-001</t>
  </si>
  <si>
    <t>RA PC ASSY</t>
  </si>
  <si>
    <t>ANTENNA F/ASSY</t>
  </si>
  <si>
    <t>PLANAR ARRAY</t>
  </si>
  <si>
    <t>ANT CIWS FINAL ASSY</t>
  </si>
  <si>
    <t>ANTENNA CIWS FINAL ASSY</t>
  </si>
  <si>
    <t>RADOME ANTENNA CIWS BONDING</t>
  </si>
  <si>
    <t>ANTENNA CIWS SUB ASSY</t>
  </si>
  <si>
    <t>LOWER PATCH RIVETING</t>
  </si>
  <si>
    <t>RADOME LAMINATE</t>
  </si>
  <si>
    <t>CONNECTOR TERMINATION PAINTIG</t>
  </si>
  <si>
    <t>PLATE ADAPTOR CIWS S/ASSY</t>
  </si>
  <si>
    <t>MODULE F/ASSY TRG ASSY</t>
  </si>
  <si>
    <t>TRA S/ASSY</t>
  </si>
  <si>
    <t>PC ASSY  RF CIWS</t>
  </si>
  <si>
    <t>ANT CTRL PC/ASSY</t>
  </si>
  <si>
    <t>MODULE F/ASSY RA ASSY</t>
  </si>
  <si>
    <t>PC ASSY RF-RA</t>
  </si>
  <si>
    <t>ANTENNA UNIT SUB ASSY</t>
  </si>
  <si>
    <t>RF ADAPTER F/ASSY</t>
  </si>
  <si>
    <t>SMR CF W/BOOTLOADER</t>
  </si>
  <si>
    <t>ANTENNA CONTROLLER FINAL ASSY</t>
  </si>
  <si>
    <t>PC ASSY ANT CNRL</t>
  </si>
  <si>
    <t>LEFT TUNNEL ADAPTOR ASSY</t>
  </si>
  <si>
    <t>RIGHT TUNNEL ADAPTOR ASSY</t>
  </si>
  <si>
    <t>FAN UNIT (INCLUDES 6 FANS)</t>
  </si>
  <si>
    <t>FAN HOUSE</t>
  </si>
  <si>
    <t>ANTENNA CONTROLLER PC/ASSY RA</t>
  </si>
  <si>
    <t>1038B850-001</t>
  </si>
  <si>
    <t>PLANNAR</t>
  </si>
  <si>
    <t>#</t>
  </si>
  <si>
    <t>PN_ID</t>
  </si>
  <si>
    <t>CATALOG</t>
  </si>
  <si>
    <t>DESCRIPTION</t>
  </si>
  <si>
    <t>UOM</t>
  </si>
  <si>
    <t>SUG_MLAI</t>
  </si>
  <si>
    <t>1099R700-001</t>
  </si>
  <si>
    <t>1099M310-002</t>
  </si>
  <si>
    <t>1099M315-001</t>
  </si>
  <si>
    <t>1099M316-001</t>
  </si>
  <si>
    <t>1099M232-001</t>
  </si>
  <si>
    <t>1099M369-001</t>
  </si>
  <si>
    <t>1099M269-001</t>
  </si>
  <si>
    <t>1099R718-001</t>
  </si>
  <si>
    <t>1033A299-001</t>
  </si>
  <si>
    <t>1094F211-002</t>
  </si>
  <si>
    <t>1037M840-001</t>
  </si>
  <si>
    <t>1037M839-001</t>
  </si>
  <si>
    <t>6931A452-001</t>
  </si>
  <si>
    <t>EA</t>
  </si>
  <si>
    <t>01M110-712-60F02M</t>
  </si>
  <si>
    <t>CBL ASSY COAX SMA(M)-BMA(F) L=712MM</t>
  </si>
  <si>
    <t>01M129-545-01M129</t>
  </si>
  <si>
    <t>CBL ASSY COAX SMA(M)RA-SMA(M)RA L=545MM</t>
  </si>
  <si>
    <t>01M129-75.8-01M110</t>
  </si>
  <si>
    <t>CBL ASSY COAX SMA(M)RA-SMA(M) L=75.8MM</t>
  </si>
  <si>
    <t>01M12R-305-60F17K</t>
  </si>
  <si>
    <t>SMA P. AU.+305+SAM J. AU</t>
  </si>
  <si>
    <t>N41402082</t>
  </si>
  <si>
    <t>TERMINAL  SOLDER LUG</t>
  </si>
  <si>
    <t>04021J0R7PBSTR</t>
  </si>
  <si>
    <t>CHIP CAP 0.7PF +-.02PF 100V T&amp;R</t>
  </si>
  <si>
    <t>04025J3R3ABSTR</t>
  </si>
  <si>
    <t>CHIP CAP 3.3PF +-.05PF 50V T&amp;R</t>
  </si>
  <si>
    <t>0440.500WR</t>
  </si>
  <si>
    <t>FUSE SLOW BLOW  0.5A/63V,SMT,REEL PACK</t>
  </si>
  <si>
    <t>0440001.WR</t>
  </si>
  <si>
    <t>FUSE CERAMIC SMT 1A 50V T&amp;R</t>
  </si>
  <si>
    <t>0466.500NR</t>
  </si>
  <si>
    <t>FUSE 0.5A/63V VERY FAST ACTION, ROHS,</t>
  </si>
  <si>
    <t>0466002.NRHF</t>
  </si>
  <si>
    <t>FUSE VERY FAST-ACTING</t>
  </si>
  <si>
    <t>0505P100JW151XTV</t>
  </si>
  <si>
    <t>CHIP CAP 10PF 5^ 150VOLT 55X55 PORCE</t>
  </si>
  <si>
    <t>0505P4R7BW151XTV</t>
  </si>
  <si>
    <t>CHIP CAP 4.7PF +/-0.1PF 150V 1.4MM2</t>
  </si>
  <si>
    <t>080-1200</t>
  </si>
  <si>
    <t>ADHESIVE CONDUCTIVE SILICONE, SILVER</t>
  </si>
  <si>
    <t>AR</t>
  </si>
  <si>
    <t>A/R</t>
  </si>
  <si>
    <t>Spectra Innovations INC</t>
  </si>
  <si>
    <t>Production Consumables</t>
  </si>
  <si>
    <t>1/4-28X7/8SOCCAP316SSSIL</t>
  </si>
  <si>
    <t>SEAL SCREW,THREAD 1/4"-28UNF,HEX SOCKET</t>
  </si>
  <si>
    <t>100RC37SCBRP1</t>
  </si>
  <si>
    <t>N64403777</t>
  </si>
  <si>
    <t>RECT RECP R/A 37 SKT DIP SOLDER</t>
  </si>
  <si>
    <t>SHACKLE,G-209-3/8IN,ANCHOR,SCREW PIN,LOA</t>
  </si>
  <si>
    <t>1038B611-001</t>
  </si>
  <si>
    <t>HEAT EXCHANGER</t>
  </si>
  <si>
    <t>Godrej/Gopalan</t>
  </si>
  <si>
    <t>1038B801-001</t>
  </si>
  <si>
    <t>NAMEPLATE</t>
  </si>
  <si>
    <t>1038B851-001</t>
  </si>
  <si>
    <t>1038B910-001</t>
  </si>
  <si>
    <t>P.S. TRA</t>
  </si>
  <si>
    <t>OHM</t>
  </si>
  <si>
    <t>1038B933-001</t>
  </si>
  <si>
    <t>DUAL PS COVER</t>
  </si>
  <si>
    <t>1038B940-001</t>
  </si>
  <si>
    <t>P.S. RA</t>
  </si>
  <si>
    <t>1038H563-002</t>
  </si>
  <si>
    <t>GUIDE PIN</t>
  </si>
  <si>
    <t>Simat Industries Ltd.</t>
  </si>
  <si>
    <t>1038H564-001</t>
  </si>
  <si>
    <t>1038H565-001</t>
  </si>
  <si>
    <t>ADAPTOR</t>
  </si>
  <si>
    <t>1092L481-001</t>
  </si>
  <si>
    <t>CERAMIC FILTER S BAND</t>
  </si>
  <si>
    <t>1093J357-001</t>
  </si>
  <si>
    <t>SHIM 0.4X0.8D</t>
  </si>
  <si>
    <t>1093J365-002</t>
  </si>
  <si>
    <t>SHIM 2.0MM</t>
  </si>
  <si>
    <t>1093L847-001</t>
  </si>
  <si>
    <t>POWER FILTER ASSY</t>
  </si>
  <si>
    <t>1093R459-003</t>
  </si>
  <si>
    <t>RUBBER GASKET CHEM. AGENT RES.</t>
  </si>
  <si>
    <t>1093R492-006</t>
  </si>
  <si>
    <t>PC BLANK MASTER DWG. FLY-25 Z6</t>
  </si>
  <si>
    <t>Micropack</t>
  </si>
  <si>
    <t>1094H538-001</t>
  </si>
  <si>
    <t>MULTI LAYER BPF 2900-3400 MHZ</t>
  </si>
  <si>
    <t>1094R477-001</t>
  </si>
  <si>
    <t>CABLE ASSY. W3</t>
  </si>
  <si>
    <t>EIM Systems and Components (1999) Ltd.</t>
  </si>
  <si>
    <t>1094R482-001</t>
  </si>
  <si>
    <t>COVER</t>
  </si>
  <si>
    <t>1094T791-001</t>
  </si>
  <si>
    <t>1094V797-001</t>
  </si>
  <si>
    <t>O-RING</t>
  </si>
  <si>
    <t>1094V798-001</t>
  </si>
  <si>
    <t>BRACKET</t>
  </si>
  <si>
    <t>1094V799-002</t>
  </si>
  <si>
    <t>1094V811-002</t>
  </si>
  <si>
    <t>BOTTOM BOX ASSY</t>
  </si>
  <si>
    <t>1094V816-001</t>
  </si>
  <si>
    <t>1094V826-001</t>
  </si>
  <si>
    <t>O RING</t>
  </si>
  <si>
    <t>1094V828-001</t>
  </si>
  <si>
    <t>HANDLE</t>
  </si>
  <si>
    <t>1094V829-001</t>
  </si>
  <si>
    <t>NAMEPLATE J100</t>
  </si>
  <si>
    <t>1096H331-001</t>
  </si>
  <si>
    <t>DC HARNESS TRA(W1)</t>
  </si>
  <si>
    <t>1096M279-001</t>
  </si>
  <si>
    <t>TRA S/ASSY NAMEPLATE</t>
  </si>
  <si>
    <t>1096M282-001</t>
  </si>
  <si>
    <t>PC BLANK</t>
  </si>
  <si>
    <t>1096M289-001</t>
  </si>
  <si>
    <t>TRA NAMEPLATE</t>
  </si>
  <si>
    <t>1096M292-001</t>
  </si>
  <si>
    <t>TRA RF PC BLANK MASTER DWG. CIW-2 Z1</t>
  </si>
  <si>
    <t>1096M296-001</t>
  </si>
  <si>
    <t>DC HARNESS RA</t>
  </si>
  <si>
    <t>1096M299-001</t>
  </si>
  <si>
    <t>RA NAMEPLATE</t>
  </si>
  <si>
    <t>1097A510-001</t>
  </si>
  <si>
    <t>F/ASSY PACKAGED 60W GAN MMIC W</t>
  </si>
  <si>
    <t>1097R490-001</t>
  </si>
  <si>
    <t>SDPS MMIC F/ASSY</t>
  </si>
  <si>
    <t>1097R520-001</t>
  </si>
  <si>
    <t>S CORE CHIP F/ASSY</t>
  </si>
  <si>
    <t>Avnet ASIC</t>
  </si>
  <si>
    <t>1099M222-001</t>
  </si>
  <si>
    <t>LOWER PATCH</t>
  </si>
  <si>
    <t>1099M223-002</t>
  </si>
  <si>
    <t>UPPER PATCH</t>
  </si>
  <si>
    <t>1099M224-001</t>
  </si>
  <si>
    <t>SR CAL TYPE 1</t>
  </si>
  <si>
    <t>1099M225-001</t>
  </si>
  <si>
    <t>SR CAL TYPE 2</t>
  </si>
  <si>
    <t>1099M229-001</t>
  </si>
  <si>
    <t>SMA TERMINAL</t>
  </si>
  <si>
    <t>1099M230-001</t>
  </si>
  <si>
    <t>TERMINATION</t>
  </si>
  <si>
    <t>1099M231-001</t>
  </si>
  <si>
    <t>CONN COAX ACCESS CENTER PIN</t>
  </si>
  <si>
    <t>1099M233-001</t>
  </si>
  <si>
    <t>INSULATOR SLEEVE</t>
  </si>
  <si>
    <t>1099M234-001</t>
  </si>
  <si>
    <t>PLATE CONN TYPE 1</t>
  </si>
  <si>
    <t>1099M235-001</t>
  </si>
  <si>
    <t>PLATE CONN TYPE 2</t>
  </si>
  <si>
    <t>1099M236-001</t>
  </si>
  <si>
    <t>PLATE CONN TYPE 3</t>
  </si>
  <si>
    <t>1099M237-001</t>
  </si>
  <si>
    <t>PLATE CONN TYPE 4</t>
  </si>
  <si>
    <t>1099M238-001</t>
  </si>
  <si>
    <t>BUSHING</t>
  </si>
  <si>
    <t>1099M239-001</t>
  </si>
  <si>
    <t>1099M240-001</t>
  </si>
  <si>
    <t>POWER DIVIDER 8-1</t>
  </si>
  <si>
    <t>1099M246-001</t>
  </si>
  <si>
    <t>GASKET</t>
  </si>
  <si>
    <t>1099M255-001</t>
  </si>
  <si>
    <t>CABLE S/R ASSY W4</t>
  </si>
  <si>
    <t>1099M256-001</t>
  </si>
  <si>
    <t>CABLE S/R ASSY W5</t>
  </si>
  <si>
    <t>1099M273-002</t>
  </si>
  <si>
    <t>LABLE  LOAD -10DB</t>
  </si>
  <si>
    <t>1099M311-002</t>
  </si>
  <si>
    <t>NAME PLATE ANT. ASSY.</t>
  </si>
  <si>
    <t>1099M317-002</t>
  </si>
  <si>
    <t>BOND LAYER 1</t>
  </si>
  <si>
    <t>1099M319-001</t>
  </si>
  <si>
    <t>BOND LAYER 2</t>
  </si>
  <si>
    <t>1099M320-001</t>
  </si>
  <si>
    <t>BASE ANT. CIWS</t>
  </si>
  <si>
    <t>1099M321-001</t>
  </si>
  <si>
    <t>CAVITY ANTENNA CIWS</t>
  </si>
  <si>
    <t>1099M334-001</t>
  </si>
  <si>
    <t>PLATE CONN TYPE 5</t>
  </si>
  <si>
    <t>1099M335-001</t>
  </si>
  <si>
    <t>PLATE CONN TYPE 6</t>
  </si>
  <si>
    <t>1099M336-001</t>
  </si>
  <si>
    <t>PLATE CONN TYPE 7</t>
  </si>
  <si>
    <t>1099M337-001</t>
  </si>
  <si>
    <t>PLATE CONN TYPE 8</t>
  </si>
  <si>
    <t>1099M345-001</t>
  </si>
  <si>
    <t>1099M348-001</t>
  </si>
  <si>
    <t>PLATE CONN TYPE 9</t>
  </si>
  <si>
    <t>1099M349-001</t>
  </si>
  <si>
    <t>1099M361-001</t>
  </si>
  <si>
    <t>1099M362-001</t>
  </si>
  <si>
    <t>SPACER FOAM</t>
  </si>
  <si>
    <t>1099M364-001</t>
  </si>
  <si>
    <t>LAMINATE</t>
  </si>
  <si>
    <t>1099M370-001</t>
  </si>
  <si>
    <t>LABLES KIT 1</t>
  </si>
  <si>
    <t>1099M371-001</t>
  </si>
  <si>
    <t>LABLES KIT 2</t>
  </si>
  <si>
    <t>1099R709-001</t>
  </si>
  <si>
    <t>NAME PLATE FOR ANT. CIWS</t>
  </si>
  <si>
    <t>1099R726-001</t>
  </si>
  <si>
    <t>PLATE CIWS ADAPTOR</t>
  </si>
  <si>
    <t>10S519-S60N3</t>
  </si>
  <si>
    <t>CONN,RF,ADAPTER,RPC-SP PLUG/SMP PLUG,50</t>
  </si>
  <si>
    <t>145-A03K/188</t>
  </si>
  <si>
    <t>CONN,RF,ADAPTER,SMA JACK 4-HOLE FLANGE T</t>
  </si>
  <si>
    <t>19K101-K00L5</t>
  </si>
  <si>
    <t>CONN RF ADAPTOR SMP JACK STRA/JACK STRA,</t>
  </si>
  <si>
    <t>19K119-K40L5</t>
  </si>
  <si>
    <t>CONN RF ADAPTER SMP(F)/SMP(F) L=10.0MM</t>
  </si>
  <si>
    <t>19S11E-400L5</t>
  </si>
  <si>
    <t>CONN RF SMP STRT PLUG,50OHMS,DC TO 18GH</t>
  </si>
  <si>
    <t>19S11T-40ML5</t>
  </si>
  <si>
    <t>CONN RF SMP PLUG STR PCB SMT L.D.,50OHMS</t>
  </si>
  <si>
    <t>20-41111</t>
  </si>
  <si>
    <t>N87921284</t>
  </si>
  <si>
    <t>CONDUCTIVE  WIRE MESH STRIP 2.39MM D</t>
  </si>
  <si>
    <t>FT</t>
  </si>
  <si>
    <t>221T34F24</t>
  </si>
  <si>
    <t>N64469976</t>
  </si>
  <si>
    <t>CONN RECT MISC PCB, 34 PIN SMD, 2-ROWS,</t>
  </si>
  <si>
    <t>242 50CC</t>
  </si>
  <si>
    <t>SEALING LOCKING ANAEROB. COMP. SUPERFAST</t>
  </si>
  <si>
    <t>Aqua Engineering</t>
  </si>
  <si>
    <t>293D106X9010A2TE3</t>
  </si>
  <si>
    <t>CHIP CAP 10UF 10% 10V TANTAL T&amp;R</t>
  </si>
  <si>
    <t>293D107X9010D2TE3</t>
  </si>
  <si>
    <t>CHIP CAP 100UF 10% 10V TANTAL T&amp;R</t>
  </si>
  <si>
    <t>293D475X9016A2TE3</t>
  </si>
  <si>
    <t>CHIP CAP 4.7UF 10% 16V TANTAL T&amp;R</t>
  </si>
  <si>
    <t>34_BMA-SMA-N50-8/1--_UE</t>
  </si>
  <si>
    <t>CONN RF ADAPTER SMA (F)/BMA (F) BULKHEAD</t>
  </si>
  <si>
    <t>400L0R7PT200T</t>
  </si>
  <si>
    <t>400L3R3AT50T</t>
  </si>
  <si>
    <t>FUSE VERY FAST-ACTING,THIN-FILM,SMF,2AMP</t>
  </si>
  <si>
    <t>542-50CC</t>
  </si>
  <si>
    <t>SEALANT HYDRAULIC SUPERFAST MEDIUM STREN</t>
  </si>
  <si>
    <t>597D227X0020R2T</t>
  </si>
  <si>
    <t>CHIP CAP 220UF 20% 20V TANTALUM T&amp;R</t>
  </si>
  <si>
    <t>T543O686M040ATE035</t>
  </si>
  <si>
    <t>CHIP CAP 47UF 10% 50V TANTALUM</t>
  </si>
  <si>
    <t>700A102KT50XTV</t>
  </si>
  <si>
    <t>CHIP CAP 1000PF 10^ 50VOLT 55X55 NPO</t>
  </si>
  <si>
    <t>74ACT04SCX</t>
  </si>
  <si>
    <t>IC HEX INVERTER T&amp;R</t>
  </si>
  <si>
    <t>74LVXC3245MTCX</t>
  </si>
  <si>
    <t>IC 8-BIT TRANSCEIVER T&amp;R</t>
  </si>
  <si>
    <t>A-A-52080-B-5 BLACK</t>
  </si>
  <si>
    <t>LACING TAPES,NYLON TAPE FOR LACING &amp; TYI</t>
  </si>
  <si>
    <t>ABM1M-AT-M</t>
  </si>
  <si>
    <t>HARDWARE CABLE TIE MOUNT. BASE 4 WAY,</t>
  </si>
  <si>
    <t>AD7814ARMZ</t>
  </si>
  <si>
    <t>IC INTFACE  10-BIT DIGITAL TEMPERATU</t>
  </si>
  <si>
    <t>AF163-2OST 0.03PSF</t>
  </si>
  <si>
    <t>ADHESIVE FILM MODIFIED EPOXY MAT CARRIER</t>
  </si>
  <si>
    <t>AT25DF321A-SH-B</t>
  </si>
  <si>
    <t>IC MEMORY FLASH SERIAL 32-MEGABIT</t>
  </si>
  <si>
    <t>BLM15EG221SN1D</t>
  </si>
  <si>
    <t>CHIP FERRITE BEAD EMI FILTER 220-OHM T&amp;R</t>
  </si>
  <si>
    <t>BLM18SG260TN1D</t>
  </si>
  <si>
    <t>CHIP EMIFIL INDUCTOR 26-OHM T&amp;R</t>
  </si>
  <si>
    <t>BLM31PG500SN1L</t>
  </si>
  <si>
    <t>N62786405</t>
  </si>
  <si>
    <t>CHIP FILTER EMI 50-OHM 3.2X1.6MM  T&amp;R</t>
  </si>
  <si>
    <t>C0402C100C5GAC7867</t>
  </si>
  <si>
    <t>CHIP CAP 10PF +-0.25PF 50V C0G T&amp;R</t>
  </si>
  <si>
    <t>C0402C101J3GACTU</t>
  </si>
  <si>
    <t>CHIP CAP 100PF 5^ 25V C0G T&amp;R</t>
  </si>
  <si>
    <t>C0402C102K5RAC7867</t>
  </si>
  <si>
    <t>CHIP CAP 1000PF 10% 50VOLT X7R T&amp;R</t>
  </si>
  <si>
    <t>C0402C103K3RAC7867</t>
  </si>
  <si>
    <t>CHIP CAP 0.01UF 10^ 25V X7R T&amp;R</t>
  </si>
  <si>
    <t>C0402C103K5RALTU</t>
  </si>
  <si>
    <t>CHIP CAP 0.01UF 10% 50V X7R T&amp;R</t>
  </si>
  <si>
    <t>C0603C104K5RAC7867</t>
  </si>
  <si>
    <t>CHIP CAP 0.1UF 10% 50V X7R T&amp;R</t>
  </si>
  <si>
    <t>C0603C560G5GACTU</t>
  </si>
  <si>
    <t>CHIP CAP 56PF 2% 50V C0G T&amp;R</t>
  </si>
  <si>
    <t>C0805C475K4RAC7025</t>
  </si>
  <si>
    <t>CHIP CAP 4.7UF 10% 16V X7R T&amp;R</t>
  </si>
  <si>
    <t>C10-218</t>
  </si>
  <si>
    <t>CABLE ASSY,CAP END,CABLE 3X7,.032IN DIA</t>
  </si>
  <si>
    <t>C1210C106K5RACTU</t>
  </si>
  <si>
    <t>CHIP CAP 10UF 10^ 50V X7R T&amp;R</t>
  </si>
  <si>
    <t>C4532X5R1A476M280KA</t>
  </si>
  <si>
    <t>CHIP CAP 47UF 20^ 10V X5R T&amp;R</t>
  </si>
  <si>
    <t>CL05B104KP5NNNC</t>
  </si>
  <si>
    <t>CHIP CAP 0.1UF 10% 10V X7R T&amp;R</t>
  </si>
  <si>
    <t>CL05C010BB5NNNC</t>
  </si>
  <si>
    <t>CHIP CAP 1PF +-0.25PF 50V C0G T&amp;R</t>
  </si>
  <si>
    <t>CL05C4R7CB5NNNC</t>
  </si>
  <si>
    <t>CHIP CAP 4.7PF 10^ 50V C0G T&amp;R</t>
  </si>
  <si>
    <t>CL31B105KAHNNNE</t>
  </si>
  <si>
    <t>CHIP CAP 1UF 10% 25V X7R T&amp;R</t>
  </si>
  <si>
    <t>CRCW04020000ZSED</t>
  </si>
  <si>
    <t>CHIP RESIS 0 OHM 0% .063W T&amp;R</t>
  </si>
  <si>
    <t>CRCW040210K0FKED</t>
  </si>
  <si>
    <t>CHIP RESIS 10 KOHM 1%  T&amp;R</t>
  </si>
  <si>
    <t>CRCW040210R0FKED</t>
  </si>
  <si>
    <t>CHIP RESIS 10 OHM 1% T&amp;R</t>
  </si>
  <si>
    <t>CRCW04021K00FKED</t>
  </si>
  <si>
    <t>CHIP RESIS 1 KOHM 1% T&amp;R</t>
  </si>
  <si>
    <t>CRCW04021M00FKED</t>
  </si>
  <si>
    <t>CHIP RESIS 1MOHM 1% .063W T&amp;R</t>
  </si>
  <si>
    <t>CRCW0402243RFKED</t>
  </si>
  <si>
    <t>CHIP RESIS 243 OHM 1% .063W T&amp;R</t>
  </si>
  <si>
    <t>CRCW040224R3FKED</t>
  </si>
  <si>
    <t>CHIP RESIS 24.3 OHM 1% .063W T&amp;R</t>
  </si>
  <si>
    <t>CRCW040230R1FKED</t>
  </si>
  <si>
    <t>CHIP RESIS 30.1 OHM 1% .063W T&amp;R</t>
  </si>
  <si>
    <t>CRCW040280K6FKED</t>
  </si>
  <si>
    <t>CHIP RESIS 80.6KOHM 1^ .063W T&amp;R</t>
  </si>
  <si>
    <t>CRCW06030000Z0EA</t>
  </si>
  <si>
    <t>CHIP JUMPER 1.55X0.85MM T&amp;R</t>
  </si>
  <si>
    <t>CRCW0603100KFKEA</t>
  </si>
  <si>
    <t>CHIP RESIS 100KOHM 1% .1W T&amp;R</t>
  </si>
  <si>
    <t>CRCW0603100RFKEA</t>
  </si>
  <si>
    <t>CHIP RESIS 100 OHM 1% .1W T&amp;R</t>
  </si>
  <si>
    <t>CRCW060310K0FKEA</t>
  </si>
  <si>
    <t>CHIP RESIS 10KOHM 1% .1W T&amp;R</t>
  </si>
  <si>
    <t>CRCW0603110KFKTA</t>
  </si>
  <si>
    <t>CHIP RESIS 110KOHM 1% .1W T&amp;R</t>
  </si>
  <si>
    <t>CRCW0603150RFKEA</t>
  </si>
  <si>
    <t>CHIP RESIS 150 OHM 1% .1W T&amp;R</t>
  </si>
  <si>
    <t>CRCW06031K00FKEA</t>
  </si>
  <si>
    <t>CHIP RESIS 1KOHM 1% .1W T&amp;R</t>
  </si>
  <si>
    <t>CRCW06031K33FKEA</t>
  </si>
  <si>
    <t>CHIP RESIS 1.33KOHM 1% .1W T&amp;R</t>
  </si>
  <si>
    <t>CRCW0603221RFKEA</t>
  </si>
  <si>
    <t>CHIP RESIS 221 OHM 1% .1W T&amp;R</t>
  </si>
  <si>
    <t>CRCW060324R9FKEA</t>
  </si>
  <si>
    <t>CHIP RESIS 24.9 OHM 1% .1W T&amp;R</t>
  </si>
  <si>
    <t>CRCW0603301RFKEA</t>
  </si>
  <si>
    <t>CHIP RESIS 301 OHM 1% .1W T&amp;R</t>
  </si>
  <si>
    <t>CRCW060349R9FKEA</t>
  </si>
  <si>
    <t>CHIP RESIS 49.9 OHM 1% .1W T&amp;R</t>
  </si>
  <si>
    <t>CRCW0603562KFKTA</t>
  </si>
  <si>
    <t>CHIP RESIS 562KOHM 1^ .1W T&amp;R</t>
  </si>
  <si>
    <t>CRCW060356K2FKEA</t>
  </si>
  <si>
    <t>CHIP RESIS 56.2KOHM 1% .1W T&amp;R</t>
  </si>
  <si>
    <t>CRCW0603825KFKTA</t>
  </si>
  <si>
    <t>CHIP RESIS 825KOHM 1% .1W T&amp;R</t>
  </si>
  <si>
    <t>CRCW0603825RFKEA</t>
  </si>
  <si>
    <t>CHIP RESIS 825 OHM 1% .1W T&amp;R</t>
  </si>
  <si>
    <t>CRCW060382R5FKEA</t>
  </si>
  <si>
    <t>CHIP RESIS 82.5 OHM 1% .1W T&amp;R</t>
  </si>
  <si>
    <t>CRCW060390K9FKTA</t>
  </si>
  <si>
    <t>CHIP RESIS 90.9KOHM 1% .1W T&amp;R</t>
  </si>
  <si>
    <t>CRCW080512K1FKTA</t>
  </si>
  <si>
    <t>CHIP RESIS 12.1KOHM 1% .125W T&amp;R</t>
  </si>
  <si>
    <t>CRCW080523K2FKEA</t>
  </si>
  <si>
    <t>CHIP RESIS 23.2KOHM 1^ .125W T&amp;R</t>
  </si>
  <si>
    <t>CRCW080525K5FKEA</t>
  </si>
  <si>
    <t>CHIP RESIS 25.5KOHM 1^ .125W T&amp;R</t>
  </si>
  <si>
    <t>CRCW080530R1FKEA</t>
  </si>
  <si>
    <t>CHIP RESIS 30.1 OHM 1^ .125W T&amp;R</t>
  </si>
  <si>
    <t>CRCW12060000ZSEA</t>
  </si>
  <si>
    <t>CHIP JUMPER  T&amp;R</t>
  </si>
  <si>
    <t>CRCW120610K0FKEA</t>
  </si>
  <si>
    <t>RESISTOR 10 KOHM, 1%, 0.25W, T&amp;R</t>
  </si>
  <si>
    <t>CRCW12061K10FKEA</t>
  </si>
  <si>
    <t>CHIP RESIS 1.1 KOHM 1% .25W T&amp;R</t>
  </si>
  <si>
    <t>CRCW12061K50FKTA</t>
  </si>
  <si>
    <t>CHIP RESIS 1.5KOHM 1%.25W T&amp;R</t>
  </si>
  <si>
    <t>CSD16325Q5C</t>
  </si>
  <si>
    <t>POWER MOSFET N-CHANNEL NEXFET 25V T&amp;R</t>
  </si>
  <si>
    <t>D38999/33W15N</t>
  </si>
  <si>
    <t>N71211759</t>
  </si>
  <si>
    <t>CONN CIRC DUST CAP RECPT 15-SHL ALUMINUM</t>
  </si>
  <si>
    <t>D38999/33W19N</t>
  </si>
  <si>
    <t>N71216329</t>
  </si>
  <si>
    <t>CONN CIRC DUST CAP F/RECP 19-SHL OLI</t>
  </si>
  <si>
    <t>D38999/33W21N</t>
  </si>
  <si>
    <t>N71309488</t>
  </si>
  <si>
    <t>CONN CIRC DUST CAP RECPT 21-SHL ALUMINUM</t>
  </si>
  <si>
    <t>NUT RETAINER,100 DEG. FLUSH HEAD,SLOTTED</t>
  </si>
  <si>
    <t xml:space="preserve"> </t>
  </si>
  <si>
    <t>MOLYCOTE 4 100GR</t>
  </si>
  <si>
    <t>COMPOUND,ELECTRICAL INSULATING,SILICONE</t>
  </si>
  <si>
    <t>Caravan</t>
  </si>
  <si>
    <t>DS26C31TMX/NOPB</t>
  </si>
  <si>
    <t>IC QUAD DIFF LINE DRIVER T&amp;R LEAD-FREE</t>
  </si>
  <si>
    <t>EA9394-KT1QT</t>
  </si>
  <si>
    <t>ADHESIVE EPOXY BASE NON-STRUCT AMBIENT T</t>
  </si>
  <si>
    <t>EC2216A/B GRAY KT2OZ</t>
  </si>
  <si>
    <t>ADHESIVE STRUCTURAL EPOXY BASE, TWO-PART</t>
  </si>
  <si>
    <t>EP2C70F896I8</t>
  </si>
  <si>
    <t>IC CYCLONE II FPGA</t>
  </si>
  <si>
    <t>EPCQ64ASI16N</t>
  </si>
  <si>
    <t>IC QUAD-SERIAL CONFIGURATION DEVICE</t>
  </si>
  <si>
    <t>FDN339AN</t>
  </si>
  <si>
    <t>MOSFET N-CH. 2.5V</t>
  </si>
  <si>
    <t>FT1737HS-10-8-A</t>
  </si>
  <si>
    <t>SCREW,CAPTIVE,NUT RETAINER TYPE,SINGLE L</t>
  </si>
  <si>
    <t>FTC/Shirtech</t>
  </si>
  <si>
    <t>GRM155R71C104KA88D</t>
  </si>
  <si>
    <t>CHIP CAP 0.1UF 10^ 16V X7R T&amp;R</t>
  </si>
  <si>
    <t>GRM155R71H331KA01D</t>
  </si>
  <si>
    <t>CHIP CAP 330PF 10^ 50V X7R T&amp;R</t>
  </si>
  <si>
    <t>GRM188Z71C475KE21D</t>
  </si>
  <si>
    <t>CHIP CAP 4.7UF 10^ 16V X7R T&amp;R</t>
  </si>
  <si>
    <t>HCPL-063L-500E</t>
  </si>
  <si>
    <t>OPTOCOUPLER T&amp;R</t>
  </si>
  <si>
    <t>HEXPLY 913G/7781/37%</t>
  </si>
  <si>
    <t>PREPREG FABRIC,GLASS FIBER WOVEN FABRICS</t>
  </si>
  <si>
    <t>M2</t>
  </si>
  <si>
    <t>HMC284AMS8GETR</t>
  </si>
  <si>
    <t>SPDT ; NON-REFLECTIVE SWITCH ; DC-3.5GHZ</t>
  </si>
  <si>
    <t>HMC326MS8GETR</t>
  </si>
  <si>
    <t>MMIC GAAS DRIVER  AMP. 3.0-4.5GHZ  T&amp;R</t>
  </si>
  <si>
    <t>HMC536MS8GE</t>
  </si>
  <si>
    <t>IC MMIC GAAS SWITCH DC-6.0GHZ T&amp;R</t>
  </si>
  <si>
    <t>HSMG-C680</t>
  </si>
  <si>
    <t>RIGHT ANGLE SMT CHIP LED GREEN</t>
  </si>
  <si>
    <t>HSMS-C680</t>
  </si>
  <si>
    <t>RIGHT ANGLE SMT CHIP RED LED</t>
  </si>
  <si>
    <t>HSSR-7110#300</t>
  </si>
  <si>
    <t>N56337397</t>
  </si>
  <si>
    <t>OPTOELECT  OPTOCOUPLER POWER MOSFET,</t>
  </si>
  <si>
    <t>IAC-2512-WA-02-D0</t>
  </si>
  <si>
    <t>ATTENUATOR IAX SERIES SMT WRAPAROUND 2DB</t>
  </si>
  <si>
    <t>IDEAL 9185 MASKING TAPE</t>
  </si>
  <si>
    <t>FILM POLYESTERBACKING WITH A SILICON</t>
  </si>
  <si>
    <t>JCM2900T3400VM1R</t>
  </si>
  <si>
    <t>CIRCULATOR SMT 2.9-3.4GHZ</t>
  </si>
  <si>
    <t>JCM2900T3400VM1RC</t>
  </si>
  <si>
    <t>LOCTITE 222-10CC</t>
  </si>
  <si>
    <t>SEALING LOCKING ANAEROBIC COMPOUND, SING</t>
  </si>
  <si>
    <t>LOCTITE 222-50CC</t>
  </si>
  <si>
    <t>LQW15AN10NG00D</t>
  </si>
  <si>
    <t>CHIP COIL 10NH 2% T&amp;R</t>
  </si>
  <si>
    <t>LQW15AN16NG00D</t>
  </si>
  <si>
    <t>CHIP COIL 16NH 2% T&amp;R</t>
  </si>
  <si>
    <t>Digikey</t>
  </si>
  <si>
    <t>LQW15AN5N8B00D</t>
  </si>
  <si>
    <t>CHIP COIL 5.8NH +-0.1NH T&amp;R</t>
  </si>
  <si>
    <t>LT1964IDD#TRPBF</t>
  </si>
  <si>
    <t>IC NEGATIVE REGULATOR T&amp;R</t>
  </si>
  <si>
    <t>LTC2908IDDB-A1#TRMPBF</t>
  </si>
  <si>
    <t>IC SIX INPUT SUPPLY MONITOR</t>
  </si>
  <si>
    <t>LTC4444HMS8E-5#TRPBF</t>
  </si>
  <si>
    <t>IC N-CHANNEL MOSFET DRIVER T&amp;R</t>
  </si>
  <si>
    <t>LTM8027IV#PBF</t>
  </si>
  <si>
    <t>IC DC/DC UMODULE 4A 60V</t>
  </si>
  <si>
    <t>M80-5S22005M7</t>
  </si>
  <si>
    <t>CONN RECT,HEADER, 20 POS, PCB SMT,3A</t>
  </si>
  <si>
    <t>MAX8557ETE+T</t>
  </si>
  <si>
    <t>IC VOLTAGE REGULATOR ADJ. 4A T&amp;R</t>
  </si>
  <si>
    <t>MC74ACT04DR2G</t>
  </si>
  <si>
    <t>MI0603J601R-10</t>
  </si>
  <si>
    <t>EMI FERRITE CHIP BEAD</t>
  </si>
  <si>
    <t>MM3Z3V3T1G</t>
  </si>
  <si>
    <t>DIODE ZENER 3.3V 0.200W LEAD FREE T&amp;R</t>
  </si>
  <si>
    <t>MM3Z5V1T1G</t>
  </si>
  <si>
    <t>DIODE  ZENER 5.1V T&amp;R LEAD-FREE</t>
  </si>
  <si>
    <t>MMBD4148-7-F</t>
  </si>
  <si>
    <t>DIODE.RECT 75V 0.6A 0.35W 4NS</t>
  </si>
  <si>
    <t>MMBT2222ALT1G</t>
  </si>
  <si>
    <t>TRANSISTOR NPN T&amp;R</t>
  </si>
  <si>
    <t>MS16995-16</t>
  </si>
  <si>
    <t>SCREW,CAP HEAD,HEX SOCKET RECESS,FULL SH</t>
  </si>
  <si>
    <t>MS16995-17</t>
  </si>
  <si>
    <t>MS16995-18</t>
  </si>
  <si>
    <t>MS16995-19</t>
  </si>
  <si>
    <t>MS16995-26</t>
  </si>
  <si>
    <t>MS24693-C3</t>
  </si>
  <si>
    <t>SCREW MACHINE 100 DEG. FLUSH HEAD CRUCIF</t>
  </si>
  <si>
    <t>MS24693-C4</t>
  </si>
  <si>
    <t>SCREW,MACHINE,100 DEG. FLUSH HEAD,CRUCIF</t>
  </si>
  <si>
    <t>MS24693-C7</t>
  </si>
  <si>
    <t>MS3213-22</t>
  </si>
  <si>
    <t>SCREW,MACHINE,PAN HEAD,CRUCIFORM RECESS</t>
  </si>
  <si>
    <t>MS35338-134</t>
  </si>
  <si>
    <t>WASHER,LOCK,HELICAL SPRING,REGULAR (MEDI</t>
  </si>
  <si>
    <t>MS35338-135</t>
  </si>
  <si>
    <t>MS35338-136</t>
  </si>
  <si>
    <t>WASHER LOCK HELICAL SPRING REGULAR (MEDI</t>
  </si>
  <si>
    <t>MS35338-137</t>
  </si>
  <si>
    <t>MS51957-13</t>
  </si>
  <si>
    <t>MS51957-14</t>
  </si>
  <si>
    <t>SCREW MACHINE PAN HEAD CRUCIFORM RECESS</t>
  </si>
  <si>
    <t>MS51957-141</t>
  </si>
  <si>
    <t>MS51957-15</t>
  </si>
  <si>
    <t>MS51957-28</t>
  </si>
  <si>
    <t>MS51957-29</t>
  </si>
  <si>
    <t>MS51957-3</t>
  </si>
  <si>
    <t>MS51957-31</t>
  </si>
  <si>
    <t>MS51957-32</t>
  </si>
  <si>
    <t>N2510-5002-RB</t>
  </si>
  <si>
    <t>CONN RECT HEADER R/A 10 PIN DIP SOLDER</t>
  </si>
  <si>
    <t>NAS1352C02-9</t>
  </si>
  <si>
    <t>NAS1352C04-8</t>
  </si>
  <si>
    <t>NAS1581C4T5</t>
  </si>
  <si>
    <t>BOLT,100 DEG. REDUCED FLUSH HEAD,OFFSET</t>
  </si>
  <si>
    <t>NAS1676C4</t>
  </si>
  <si>
    <t>WASHER,SPRING LOCK,HELICAL,HI-COLLAR,#4</t>
  </si>
  <si>
    <t>NAS1676C6</t>
  </si>
  <si>
    <t>WASHER,SPRING LOCK,HELICAL,HI-COLLAR,#6</t>
  </si>
  <si>
    <t>NAS620C2</t>
  </si>
  <si>
    <t>WASHER,FLAT,PLAIN,REDUCED OD, 2 SIZE,.01</t>
  </si>
  <si>
    <t>NAS620C4</t>
  </si>
  <si>
    <t>WASHER,FLAT,PLAIN,REDUCED OD, 4 SIZE,.03</t>
  </si>
  <si>
    <t>NAS620C4L</t>
  </si>
  <si>
    <t>WASHER,FLAT,PLAIN,REDUCED OD,LIGHT, 4 SI</t>
  </si>
  <si>
    <t>NAS620C6</t>
  </si>
  <si>
    <t>WASHER,FLAT,PLAIN,REDUCED OD, 6 SIZE,.03</t>
  </si>
  <si>
    <t>NAS620C8</t>
  </si>
  <si>
    <t>WASHER,FLAT,PLAIN,REDUCED OD, 8 SIZE,.03</t>
  </si>
  <si>
    <t>NAS671C2</t>
  </si>
  <si>
    <t>NUT,HEX,PLAIN,NON-LOCKING,THIN,INCH SERI</t>
  </si>
  <si>
    <t>NC7ST04P5X</t>
  </si>
  <si>
    <t>IC HST INVERTER  T&amp;R</t>
  </si>
  <si>
    <t>NC7SZ08M5X-L22090</t>
  </si>
  <si>
    <t>IC 2-IN AND GATE TAPE&amp;REEL</t>
  </si>
  <si>
    <t>NFL18ZT207H1A3D</t>
  </si>
  <si>
    <t>CHIP EMI FILTER T&amp;R</t>
  </si>
  <si>
    <t>NFL18ZT507H1A3D</t>
  </si>
  <si>
    <t>CHIP FILTER EMI T&amp;R</t>
  </si>
  <si>
    <t>NGC-1206CS50R0G</t>
  </si>
  <si>
    <t>CHIP RESISTOR HIGH POWER 50 OHM 2%</t>
  </si>
  <si>
    <t>NRVBM2H100T3G</t>
  </si>
  <si>
    <t>SCHOTTKY RECTIFIER 2.0A 100V T&amp;R</t>
  </si>
  <si>
    <t>P222-1IN</t>
  </si>
  <si>
    <t>TAPE ADHESIVE,KAPTON/POLYIMIDE, HIGH TEM</t>
  </si>
  <si>
    <t>PLT1M-M</t>
  </si>
  <si>
    <t>MOUNT/TIE</t>
  </si>
  <si>
    <t>PSOT05C-LF-T7</t>
  </si>
  <si>
    <t>DIODE TRANSIENT VOL. SUPPR  5.0V T&amp;R</t>
  </si>
  <si>
    <t>PTL-16-426</t>
  </si>
  <si>
    <t>LABELS</t>
  </si>
  <si>
    <t>PTL-9-724</t>
  </si>
  <si>
    <t>HIGH TEMPERATURE POLYIMIDE LABEL,WIDE</t>
  </si>
  <si>
    <t>R404.210.000</t>
  </si>
  <si>
    <t>N80752108</t>
  </si>
  <si>
    <t>TERMINATION  DC-18GHZ 2W SMA/M</t>
  </si>
  <si>
    <t>RTV 167-2.8 FL/OZ</t>
  </si>
  <si>
    <t>SEALANT SILICONE RUBBER ADHESIVE PAS</t>
  </si>
  <si>
    <t>SCN-2-35+</t>
  </si>
  <si>
    <t>CHIP POWER SPLITTER 2-WAY 2.825-3.7GHZ</t>
  </si>
  <si>
    <t>SEAF30-06.5S-10-1-A-K-TR</t>
  </si>
  <si>
    <t>CONN RECT SEAF OPEN PIN FIELD ARRAY,</t>
  </si>
  <si>
    <t>SEAM30-03.5S-10-1-A-K-TR</t>
  </si>
  <si>
    <t>CONN RECT SEAM OPEN PIN FIELD ARRAY,</t>
  </si>
  <si>
    <t>SI7252DP-T1-GE3</t>
  </si>
  <si>
    <t>MOSFET DUAL N-CHANNEL  100V T&amp;R</t>
  </si>
  <si>
    <t>SMBJ24A</t>
  </si>
  <si>
    <t>N51872976</t>
  </si>
  <si>
    <t>TRAN. VOLT. SUPPR.  VR=24V VC=38V  I</t>
  </si>
  <si>
    <t>SMBJ28A-E3/52</t>
  </si>
  <si>
    <t>TRANSIENT SUPRESSOR 28V 600W TAPE&amp;RE</t>
  </si>
  <si>
    <t>SMBJ5.0AE3/52</t>
  </si>
  <si>
    <t>DIODE TRANSIENT SUPRESSOR 5V T&amp;R</t>
  </si>
  <si>
    <t>SN74LVTH16244ADGGR</t>
  </si>
  <si>
    <t>IC 16-BIT BUFFER/LINE DRIVER T&amp;R</t>
  </si>
  <si>
    <t>TACR106K010RTA</t>
  </si>
  <si>
    <t>N62146105</t>
  </si>
  <si>
    <t>CHIP CAP 10UF 10% 10VOLT 2X1.35MM TA</t>
  </si>
  <si>
    <t>1096U900-001</t>
  </si>
  <si>
    <t>VPIN LIMITER 200W 2-4GHZ</t>
  </si>
  <si>
    <t>TGP-A0232</t>
  </si>
  <si>
    <t>POWER DIVIDER 2-WAYS 2-4GHZ</t>
  </si>
  <si>
    <t>THT-1-724-10</t>
  </si>
  <si>
    <t>LABEL,PRINTABLE,INDUSTRIAL POLYIMIDE,HIG</t>
  </si>
  <si>
    <t>TM1S4-C</t>
  </si>
  <si>
    <t>TIE CABLE MOUNT</t>
  </si>
  <si>
    <t>TQP369184</t>
  </si>
  <si>
    <t>AMPLIFIER RF DC-6GHZ 20.3DB GAIN SOT-363</t>
  </si>
  <si>
    <t>TRM-2090-MC-SMA-02</t>
  </si>
  <si>
    <t>N80707086</t>
  </si>
  <si>
    <t>TERMINATION SMA/M DC-18GHZ 2WATT</t>
  </si>
  <si>
    <t>TS0300S</t>
  </si>
  <si>
    <t>CHIP ATT. DC-12.4GHZ 0-DB 2W 50-OHM</t>
  </si>
  <si>
    <t>TS0301W3</t>
  </si>
  <si>
    <t>N80407885</t>
  </si>
  <si>
    <t>ATTENUATOR DC-15GHZ 1DB 2WATT 50 OHM</t>
  </si>
  <si>
    <t>TS0302W3</t>
  </si>
  <si>
    <t>N80408594</t>
  </si>
  <si>
    <t>ATTENUATOR DC-15GHZ 2DB 2WATT 50 OHM</t>
  </si>
  <si>
    <t>TS0310W3S</t>
  </si>
  <si>
    <t>N80416589</t>
  </si>
  <si>
    <t>ATTENUATOR DC-15GHZ 10DB 2WATT 50 OH</t>
  </si>
  <si>
    <t>TS0312W3</t>
  </si>
  <si>
    <t>N80405723</t>
  </si>
  <si>
    <t>ATTENUATOR DC-15GHZ 12DB 2WATT 50 OH</t>
  </si>
  <si>
    <t>TS0501W3S/TR</t>
  </si>
  <si>
    <t>CHIP ATT. 1DB DC-18GHZ 0.1W 50OHM T&amp;R</t>
  </si>
  <si>
    <t>ZDC2-4-10-SA</t>
  </si>
  <si>
    <t>DIRECTIONAL COUPLER 2-4 GHZ CONNEC</t>
  </si>
  <si>
    <t>1022L945-005</t>
  </si>
  <si>
    <t>THERMAL PADS KIT (FRAME)</t>
  </si>
  <si>
    <t>1022L967-003</t>
  </si>
  <si>
    <t>SPACER FOR JIG</t>
  </si>
  <si>
    <t>1022L987-001</t>
  </si>
  <si>
    <t>BRACKET FOR CF CARD</t>
  </si>
  <si>
    <t>1033A447-001</t>
  </si>
  <si>
    <t>HARNESS WK001 - POWER - MAIN</t>
  </si>
  <si>
    <t>HARNESS WA001 - POWER FAN CIWS 5W</t>
  </si>
  <si>
    <t>SPONGES  KIT (FRAME)</t>
  </si>
  <si>
    <t>1037M713-001</t>
  </si>
  <si>
    <t>SPACER</t>
  </si>
  <si>
    <t>1037M719-001</t>
  </si>
  <si>
    <t>1037M730-001</t>
  </si>
  <si>
    <t>CONN REAR PANEL ASSY</t>
  </si>
  <si>
    <t>1037M732-002</t>
  </si>
  <si>
    <t>REAR COVER MACH</t>
  </si>
  <si>
    <t>1037M818-001/1096L956-001</t>
  </si>
  <si>
    <t>412240982/412744294</t>
  </si>
  <si>
    <t>S/R CABLE W25</t>
  </si>
  <si>
    <t>HLT</t>
  </si>
  <si>
    <t>1037M819-001</t>
  </si>
  <si>
    <t>S/R CABLE W20</t>
  </si>
  <si>
    <t>1037M820-001</t>
  </si>
  <si>
    <t>S/R CABLE W21</t>
  </si>
  <si>
    <t>1037M821-001</t>
  </si>
  <si>
    <t>S/R CABLE W22</t>
  </si>
  <si>
    <t>1037M822-001</t>
  </si>
  <si>
    <t>S/R CABLE W23</t>
  </si>
  <si>
    <t>1037M823-001</t>
  </si>
  <si>
    <t>S/R CABLE W24</t>
  </si>
  <si>
    <t>1037M832-001</t>
  </si>
  <si>
    <t>FAN BASE WIRING</t>
  </si>
  <si>
    <t>1037M833-001</t>
  </si>
  <si>
    <t>RIGHT TUNNEL ADAPTOR</t>
  </si>
  <si>
    <t>1037M834-001</t>
  </si>
  <si>
    <t>LEFT TUNNEL ADAPTOR</t>
  </si>
  <si>
    <t>1037M835-001</t>
  </si>
  <si>
    <t>LEFT GASKET</t>
  </si>
  <si>
    <t>1037M836-001</t>
  </si>
  <si>
    <t>RIGHT GASKET</t>
  </si>
  <si>
    <t>1037M844-001</t>
  </si>
  <si>
    <t>LIFTING LABEL</t>
  </si>
  <si>
    <t>1037M850-001</t>
  </si>
  <si>
    <t>POWER SUPPLY AIR DUCT ASSY</t>
  </si>
  <si>
    <t>1039F502-001</t>
  </si>
  <si>
    <t>RSP F/ASSY</t>
  </si>
  <si>
    <t>1039F570-002</t>
  </si>
  <si>
    <t>ANTENNA MAIN FRAME F/ASSY</t>
  </si>
  <si>
    <t>1039F842-001</t>
  </si>
  <si>
    <t>HARNESS WB002 - POWER - PS TO SMR LEFT</t>
  </si>
  <si>
    <t>1039F843-001</t>
  </si>
  <si>
    <t>HARNESS WB003 - POWER - PS TO SMR RIGHT</t>
  </si>
  <si>
    <t>1039F846-002</t>
  </si>
  <si>
    <t>HARNESS WB006 - CONTROL</t>
  </si>
  <si>
    <t>1039F847-001</t>
  </si>
  <si>
    <t>HARNESS WB007 - MASTER OSCILATOR</t>
  </si>
  <si>
    <t>1054875-1</t>
  </si>
  <si>
    <t>N65805756</t>
  </si>
  <si>
    <t>ADAPTER WITHIN SMA(F) TO SMA(F) BULK</t>
  </si>
  <si>
    <t>Online components</t>
  </si>
  <si>
    <t>1094F182-001</t>
  </si>
  <si>
    <t>HANDLE SUPPORT</t>
  </si>
  <si>
    <t>1094F184-001</t>
  </si>
  <si>
    <t>DC CONN SUPPORT</t>
  </si>
  <si>
    <t>1094F188-001</t>
  </si>
  <si>
    <t>SMR DC COVER MACH</t>
  </si>
  <si>
    <t>1094F198-001</t>
  </si>
  <si>
    <t>1094F199-001</t>
  </si>
  <si>
    <t>1094F207-001</t>
  </si>
  <si>
    <t>1094F208-001</t>
  </si>
  <si>
    <t>ANDRE MESSIKA LTD</t>
  </si>
  <si>
    <t>1094F212-002</t>
  </si>
  <si>
    <t>PC BLANK MASTER DWG. SCH-5 Z2</t>
  </si>
  <si>
    <t>PCB Tech</t>
  </si>
  <si>
    <t>1094F214-001</t>
  </si>
  <si>
    <t>THERMAL PAD</t>
  </si>
  <si>
    <t>1094F807-001</t>
  </si>
  <si>
    <t>GASKET AIR PS OUTLET</t>
  </si>
  <si>
    <t>1094F823-001</t>
  </si>
  <si>
    <t>CABLE W13</t>
  </si>
  <si>
    <t>1094F824-001</t>
  </si>
  <si>
    <t>CABLE W14</t>
  </si>
  <si>
    <t>1094F825-001</t>
  </si>
  <si>
    <t>CABLE W15</t>
  </si>
  <si>
    <t>1094F826-001</t>
  </si>
  <si>
    <t>CABLE W16</t>
  </si>
  <si>
    <t>1094F827-001</t>
  </si>
  <si>
    <t>CABLE W17</t>
  </si>
  <si>
    <t>1094F868-001</t>
  </si>
  <si>
    <t>1094F869-001</t>
  </si>
  <si>
    <t>1094F874-001</t>
  </si>
  <si>
    <t>1094F875-001</t>
  </si>
  <si>
    <t>1094F876-001</t>
  </si>
  <si>
    <t>1094F897-001</t>
  </si>
  <si>
    <t>1094F898-001</t>
  </si>
  <si>
    <t>1094H845-001</t>
  </si>
  <si>
    <t>DESICCANT BLOCK (SOCD)</t>
  </si>
  <si>
    <t>YAIL NOA LTD AGENCIES</t>
  </si>
  <si>
    <t>1094J275-001</t>
  </si>
  <si>
    <t>1094J281-001</t>
  </si>
  <si>
    <t>WASHER</t>
  </si>
  <si>
    <t>1094J287-001</t>
  </si>
  <si>
    <t>1094K661-001</t>
  </si>
  <si>
    <t>W18-ANT CAL</t>
  </si>
  <si>
    <t>1094K662-001</t>
  </si>
  <si>
    <t>W19- RF TEST</t>
  </si>
  <si>
    <t>1094K734-001</t>
  </si>
  <si>
    <t>B-DUCT COVER LARGE ASSY</t>
  </si>
  <si>
    <t>1094K755-001</t>
  </si>
  <si>
    <t>B-DUCT COVER SMALL ASSY</t>
  </si>
  <si>
    <t>1094Y676-001</t>
  </si>
  <si>
    <t>COM EXP BRACKET</t>
  </si>
  <si>
    <t>1094Y679-001</t>
  </si>
  <si>
    <t>SMALL COVER</t>
  </si>
  <si>
    <t>1094Y682-001</t>
  </si>
  <si>
    <t>SMR RF COVER MACH</t>
  </si>
  <si>
    <t>1094Y683-001</t>
  </si>
  <si>
    <t>SMR DC COVER MACH WITH HS</t>
  </si>
  <si>
    <t>1094Y686-001</t>
  </si>
  <si>
    <t>1094Y691-001</t>
  </si>
  <si>
    <t>NAME PLATE FOR RF ADAPTOR</t>
  </si>
  <si>
    <t>1094Y692-001</t>
  </si>
  <si>
    <t>BASE</t>
  </si>
  <si>
    <t>1094Y693-001</t>
  </si>
  <si>
    <t>S/R CABLE</t>
  </si>
  <si>
    <t>1096L950-001</t>
  </si>
  <si>
    <t>SMR BASE LEFT ABSORBER ASSY</t>
  </si>
  <si>
    <t>1096L953-001</t>
  </si>
  <si>
    <t>1096L954-001</t>
  </si>
  <si>
    <t>LOCK WASHER</t>
  </si>
  <si>
    <t>1096L955-001</t>
  </si>
  <si>
    <t>LABEL KIT FOR CONNECTORS</t>
  </si>
  <si>
    <t>1096L960-001</t>
  </si>
  <si>
    <t>SMR BASE RIGHT ABSORBER ASSY</t>
  </si>
  <si>
    <t>1096L964-001</t>
  </si>
  <si>
    <t>NAME PLATE</t>
  </si>
  <si>
    <t>1096L965-001</t>
  </si>
  <si>
    <t>1099E950-001</t>
  </si>
  <si>
    <t>SHLK. ANT. FINAL ASSEMBLY. GREEN OLIVE.</t>
  </si>
  <si>
    <t>1469074-1</t>
  </si>
  <si>
    <t>CONN RECT HEADER ASSY, 40 PAIR, HMZD,</t>
  </si>
  <si>
    <t>1469362-1</t>
  </si>
  <si>
    <t>CONN RECT RECEPT 40 DIFFERTIAL PAIRS,</t>
  </si>
  <si>
    <t>Future Electronics/Online Components</t>
  </si>
  <si>
    <t>19S732-K04S5</t>
  </si>
  <si>
    <t>CONN RF ADAPTER SMA(F)/SMP(M)SMOOTH BORE</t>
  </si>
  <si>
    <t>2082-6040-03</t>
  </si>
  <si>
    <t>N80404452</t>
  </si>
  <si>
    <t>ATTENUATOR DC-18GHZ 3DB .5WATT 50 OH</t>
  </si>
  <si>
    <t>Nextwave</t>
  </si>
  <si>
    <t>2082-6042-10</t>
  </si>
  <si>
    <t>N80418445</t>
  </si>
  <si>
    <t>ATTENUATOR DC-18GHZ 10DB 2WATT SMA</t>
  </si>
  <si>
    <t>Univa Technologies PTE LTD</t>
  </si>
  <si>
    <t>21-16.54</t>
  </si>
  <si>
    <t>EMI FILTER PAD FOR D38999/24G16PN 100NF</t>
  </si>
  <si>
    <t>Astute</t>
  </si>
  <si>
    <t>60-3/4IN36YD</t>
  </si>
  <si>
    <t>TAPE ADHESIVE,ELECTRICAL INSULATION, TEF</t>
  </si>
  <si>
    <t>Omniscient Associates</t>
  </si>
  <si>
    <t>6930B621-002/6931A550-001</t>
  </si>
  <si>
    <t>409759511/412630526</t>
  </si>
  <si>
    <t>PC ASSY SMR  5W</t>
  </si>
  <si>
    <t>6931A081-001</t>
  </si>
  <si>
    <t>NAME PLATE SMR GROUP LEFT</t>
  </si>
  <si>
    <t>6931A091-001</t>
  </si>
  <si>
    <t>NAME PLATE SMR GROUP RIGHT</t>
  </si>
  <si>
    <t>6931A201-001</t>
  </si>
  <si>
    <t>6931A250-001</t>
  </si>
  <si>
    <t>POWER SUPPLY</t>
  </si>
  <si>
    <t>6931A350-001</t>
  </si>
  <si>
    <t>OSCILLATOR (OSC)</t>
  </si>
  <si>
    <t>6931A400-001</t>
  </si>
  <si>
    <t>COMBINER</t>
  </si>
  <si>
    <t>6931A451-001</t>
  </si>
  <si>
    <t>A-A-52080-B-3 BLACK</t>
  </si>
  <si>
    <t>ADT-2793-TF-SMF-02</t>
  </si>
  <si>
    <t>N65873648</t>
  </si>
  <si>
    <t>ADAPTER BETWEEN TNC(J) TO SMA(J) BUL</t>
  </si>
  <si>
    <t>AS21919WDG05</t>
  </si>
  <si>
    <t>CLAMP LOOP TYPE CUSHIONED WEDGE SIDE LUG</t>
  </si>
  <si>
    <t>BACS38K4</t>
  </si>
  <si>
    <t>N87500393</t>
  </si>
  <si>
    <t>HARDWARE   CABLE TIE</t>
  </si>
  <si>
    <t>BLD5000/01</t>
  </si>
  <si>
    <t>HUMIDITY INDICATOR,RELATIVE,30 &amp; 50% LEV</t>
  </si>
  <si>
    <t>C0402C104K4RACTU</t>
  </si>
  <si>
    <t>CHIP CAP 0.1UF 10% 16V X7R T&amp;R</t>
  </si>
  <si>
    <t>CRCW0402100RFKTD</t>
  </si>
  <si>
    <t>CHIP RESIS 100 OHM 1% .063W T&amp;R</t>
  </si>
  <si>
    <t>CRCW04021K00FKTD</t>
  </si>
  <si>
    <t>CHIP RESIS 1KOHM 1% .063W T&amp;R</t>
  </si>
  <si>
    <t>D38999/33W17N</t>
  </si>
  <si>
    <t>N71211742</t>
  </si>
  <si>
    <t>CONN CIRC DUST CAP F/RECP 17-SHL OLI</t>
  </si>
  <si>
    <t>Electro Enterprises</t>
  </si>
  <si>
    <t>DC1M-04GD31W1DR</t>
  </si>
  <si>
    <t>COMPACT FLASH 4GB INDUSTRIAL - EXTENDED</t>
  </si>
  <si>
    <t>DS26LV31TMX</t>
  </si>
  <si>
    <t>IC QUAD DIFF LINE DRVIVER T&amp;R</t>
  </si>
  <si>
    <t>DS26LV32ATMX/NOPB</t>
  </si>
  <si>
    <t>IC QUAD DIFF LINE RECEIVER T&amp;R</t>
  </si>
  <si>
    <t>FT1737HS-8-8-A</t>
  </si>
  <si>
    <t>LPMM-S2</t>
  </si>
  <si>
    <t>N87802088</t>
  </si>
  <si>
    <t>HARDWARE   LOW PROFILE  MOUNTS SCREW</t>
  </si>
  <si>
    <t>M24308/26-1F</t>
  </si>
  <si>
    <t>N64907355</t>
  </si>
  <si>
    <t>CONN RECT,MINIATURE,SCREW LOCK FEMALE</t>
  </si>
  <si>
    <t>MS122118</t>
  </si>
  <si>
    <t>INSERT,HELICAL COIL,FREE RUNNING,TANGED</t>
  </si>
  <si>
    <t>On Hold-Fan house Qty</t>
  </si>
  <si>
    <t>MS124695</t>
  </si>
  <si>
    <t>MS15795-802</t>
  </si>
  <si>
    <t>WASHER FLAT METAL ROUND GENERAL PURP</t>
  </si>
  <si>
    <t>MS15795-803</t>
  </si>
  <si>
    <t>MS15795-807</t>
  </si>
  <si>
    <t>MS16995-10</t>
  </si>
  <si>
    <t>MS16996-10</t>
  </si>
  <si>
    <t>MS24693-C25</t>
  </si>
  <si>
    <t>MS24693-C26</t>
  </si>
  <si>
    <t>MS24693-C49</t>
  </si>
  <si>
    <t>MS3367-5-9</t>
  </si>
  <si>
    <t>N87500740</t>
  </si>
  <si>
    <t>HARDWARE   CABLE TIE NATURAL</t>
  </si>
  <si>
    <t>MS3367-7-9</t>
  </si>
  <si>
    <t>N87500096</t>
  </si>
  <si>
    <t>HARDWARE   CABLE TIE    CLAMP</t>
  </si>
  <si>
    <t>MS35338-138</t>
  </si>
  <si>
    <t>MS51957-10</t>
  </si>
  <si>
    <t>MS51957-17</t>
  </si>
  <si>
    <t>MS51957-19</t>
  </si>
  <si>
    <t>MS51957-22</t>
  </si>
  <si>
    <t>MS51957-26</t>
  </si>
  <si>
    <t>MS51957-27</t>
  </si>
  <si>
    <t>MS51957-30</t>
  </si>
  <si>
    <t>MS51957-4</t>
  </si>
  <si>
    <t>MS51957-7</t>
  </si>
  <si>
    <t>MS51957-9</t>
  </si>
  <si>
    <t>NAS1352C02-5</t>
  </si>
  <si>
    <t>NAS1352C04-12</t>
  </si>
  <si>
    <t>NAS1352C08-10</t>
  </si>
  <si>
    <t>NAS1352C08-7</t>
  </si>
  <si>
    <t>NAS620C10</t>
  </si>
  <si>
    <t>WASHER,FLAT,PLAIN,REDUCED OD, 10 SIZE,.0</t>
  </si>
  <si>
    <t>NAS662C2R3</t>
  </si>
  <si>
    <t>PSOT03C-LF-T7</t>
  </si>
  <si>
    <t>DIODE TRANSIENT VOLTAGE SUUPPRESSOR T&amp;R</t>
  </si>
  <si>
    <t>PTL-10-426</t>
  </si>
  <si>
    <t>LABEL POLYIMIDE 0.75INX0.25IN</t>
  </si>
  <si>
    <t>R191.843.401</t>
  </si>
  <si>
    <t>CONN CIRC ADAPTER RF  SMA(F) - SMP(M),</t>
  </si>
  <si>
    <t>R222.723.110</t>
  </si>
  <si>
    <t>CONN RF ADAPTER SMP (F) / SMP (F) SPRING</t>
  </si>
  <si>
    <t>R404N05000</t>
  </si>
  <si>
    <t>CONN,RF,TERMINATION DC-18GHZ,1W,SMA(M)</t>
  </si>
  <si>
    <t>SMDA03LCC-LF-T7</t>
  </si>
  <si>
    <t>TRAN. VOLT. SUPPR.  ARRAY T&amp;R</t>
  </si>
  <si>
    <t>TM2S6/TM2S6-M</t>
  </si>
  <si>
    <t>N87500856/553132044</t>
  </si>
  <si>
    <t>HARDWARE   CABLE TIE MOUNT</t>
  </si>
  <si>
    <t>TM2S8</t>
  </si>
  <si>
    <t>N87500252</t>
  </si>
  <si>
    <t>TIE MOUNT</t>
  </si>
  <si>
    <t>TRM-2107-MC-TNC-02</t>
  </si>
  <si>
    <t>N80702939</t>
  </si>
  <si>
    <t>TERMINATION TNC PLUG DC-12.4GHZ</t>
  </si>
  <si>
    <t>TVBJW-13-35SPA</t>
  </si>
  <si>
    <t>CONN,CIRC,TU THRU BULKHEAD ASSY.,22 _22,</t>
  </si>
  <si>
    <t xml:space="preserve">Amphenol Ltd </t>
  </si>
  <si>
    <t>ZB4PD-42-S+</t>
  </si>
  <si>
    <t>4-WAY SMA POWER SPLITTER 1.7-4.2GHZ</t>
  </si>
  <si>
    <t>6931A106-001</t>
  </si>
  <si>
    <t>6931A202-001</t>
  </si>
  <si>
    <t>CONNECTOR COVER- A</t>
  </si>
  <si>
    <t xml:space="preserve">A M Designs </t>
  </si>
  <si>
    <t>6931A203-001</t>
  </si>
  <si>
    <t>CONNECTOR COVER- B</t>
  </si>
  <si>
    <t>6931A204-001</t>
  </si>
  <si>
    <t>CONNECTOR COVER- C</t>
  </si>
  <si>
    <t>MS16995-11</t>
  </si>
  <si>
    <t>1094Y684-001</t>
  </si>
  <si>
    <t>DFDO4125613</t>
  </si>
  <si>
    <t>SCREW,PAN HEAD,SEMS SPRING,FLAT WASHER,2</t>
  </si>
  <si>
    <t>NAS662C2R4</t>
  </si>
  <si>
    <t>RTV162WHITE-TU3OZ</t>
  </si>
  <si>
    <t>SEALANT,SILICONE RUBBER,PASTE TYPE, ONE-</t>
  </si>
  <si>
    <t>Rapid Technology Solutions</t>
  </si>
  <si>
    <t>1033A296-001</t>
  </si>
  <si>
    <t>SMR SOFTWARE EXE</t>
  </si>
  <si>
    <t>MS122076</t>
  </si>
  <si>
    <t>MS122082</t>
  </si>
  <si>
    <t>MS122116</t>
  </si>
  <si>
    <t>MS51831-103</t>
  </si>
  <si>
    <t>INSERT,SCREW-THREAD,FREE RUNNING,LOCKED</t>
  </si>
  <si>
    <t>MS21209C0410L</t>
  </si>
  <si>
    <t>INSERT,HELICAL COIL,SCREW-THREAD,TANGED</t>
  </si>
  <si>
    <t>MS21209C0415L</t>
  </si>
  <si>
    <t>MS21209C0610L</t>
  </si>
  <si>
    <t>MS21209C0810L</t>
  </si>
  <si>
    <t>MS21209C0210L</t>
  </si>
  <si>
    <t>MS21209C0210</t>
  </si>
  <si>
    <t>MS124656</t>
  </si>
  <si>
    <t>GOPALAN AEROSPACE (INDIA) PVT LTD</t>
  </si>
  <si>
    <t>A.M. COMPONENTS (2005) LTD</t>
  </si>
  <si>
    <t>ACKERMAN Printing &amp; Photoanodize LTD</t>
  </si>
  <si>
    <t>AGAM Technology</t>
  </si>
  <si>
    <t>Agoran Ltd</t>
  </si>
  <si>
    <t>AMPHENOL CANADA</t>
  </si>
  <si>
    <t>Andre Machining LTD</t>
  </si>
  <si>
    <t>ARROW RAPAC LTD</t>
  </si>
  <si>
    <t>Ascotech Electronics Ltd</t>
  </si>
  <si>
    <t>Astute Electronics Inc.</t>
  </si>
  <si>
    <t>Avdor Technology Ltd.</t>
  </si>
  <si>
    <t>Avnet Asia Pte. Ltd.</t>
  </si>
  <si>
    <t>DCX-CHOL</t>
  </si>
  <si>
    <t>EBV Elektronik Israel (2008) LTD</t>
  </si>
  <si>
    <t>Ecomal Israel Ltd.</t>
  </si>
  <si>
    <t>Elbatech ltd.</t>
  </si>
  <si>
    <t>Electro Enterprises New York LLC</t>
  </si>
  <si>
    <t>Fastener Technology Corp.</t>
  </si>
  <si>
    <t>GUMIYAN RUBBER INDUSTRY LTD</t>
  </si>
  <si>
    <t>HUANG LIANG TECHNOLOGIES CO., LTD</t>
  </si>
  <si>
    <t>Huang Ling Technology</t>
  </si>
  <si>
    <t>INTERNATIONAL MANUFACTURING SERVICES INC., (IMS)</t>
  </si>
  <si>
    <t>Mini Circuits</t>
  </si>
  <si>
    <t xml:space="preserve">NextWave Technologies Ltd. </t>
  </si>
  <si>
    <t>Nicomatic India Electronics Pvt Ltd</t>
  </si>
  <si>
    <t>NISKO PROJECTS ELECTRONICS &amp; COMMUNICATION (1999) LTD.</t>
  </si>
  <si>
    <t>PHOENIX TECHNOLOGIES LTD.</t>
  </si>
  <si>
    <t>Pronat Industries Ltd</t>
  </si>
  <si>
    <t>Qorvo US, Inc</t>
  </si>
  <si>
    <t>RABYTE PTE LTD</t>
  </si>
  <si>
    <t>Ray-Q Interconnection Technologies India Pvt Ltd</t>
  </si>
  <si>
    <t xml:space="preserve">Remtec, Inc.   </t>
  </si>
  <si>
    <t>RFMW Asia Pte Ltd</t>
  </si>
  <si>
    <t>SAMTEC ASIA PACIFIC PTE LTD</t>
  </si>
  <si>
    <t>SEAMAX ENGINEERING PTE LTD</t>
  </si>
  <si>
    <t>SHIRTECH LTD</t>
  </si>
  <si>
    <t>STG International Ltd</t>
  </si>
  <si>
    <t>Wave Mechanics Private Limited</t>
  </si>
  <si>
    <t>YAEL Y.A.D TECHNOLOGIES LTD.</t>
  </si>
  <si>
    <t>Godrej &amp; Boyce Manufacturing Company Ltd</t>
  </si>
  <si>
    <t>Chemograf LTD</t>
  </si>
  <si>
    <t>PCB tech</t>
  </si>
  <si>
    <t>Elipse Engineering</t>
  </si>
  <si>
    <t>Ohm Power Solutions Ltd</t>
  </si>
  <si>
    <t>Aspocomp Group Plc</t>
  </si>
  <si>
    <t>Caravan Oil Suppliers</t>
  </si>
  <si>
    <t>Aqua Engineering Services</t>
  </si>
  <si>
    <t>Elbatech ltd</t>
  </si>
  <si>
    <t>RAPID TECHNOLOGY SOLUTIONS</t>
  </si>
  <si>
    <t>Kaytech Industries Corp</t>
  </si>
  <si>
    <t>TTI INC</t>
  </si>
  <si>
    <t>IAI Elta systems Ltd</t>
  </si>
  <si>
    <t>Gopalan Aerospace India Pvt. Ltd.</t>
  </si>
  <si>
    <t>A. M. Designs Pvt. Ltd.</t>
  </si>
  <si>
    <t>Ackerman Printing</t>
  </si>
  <si>
    <t>Alcoats</t>
  </si>
  <si>
    <t>MS51957-20</t>
  </si>
  <si>
    <t>ADVANCED ELECTROMAGNETICS INC</t>
  </si>
  <si>
    <t>Mouser Electronics</t>
  </si>
  <si>
    <t>Divyanshi Aviation Services Pvt. Ltd</t>
  </si>
  <si>
    <t xml:space="preserve">FED-SPECS </t>
  </si>
  <si>
    <t>Sanvi Connectronics</t>
  </si>
  <si>
    <t>6931A550-001</t>
  </si>
  <si>
    <t xml:space="preserve">Military Fasteners </t>
  </si>
  <si>
    <t>Aspocomp/Micropack</t>
  </si>
  <si>
    <t>IMCD Israel Speciality Chemicals And Ingredients</t>
  </si>
  <si>
    <t>STAR LIGHT TECHNOLOGIES LTD</t>
  </si>
  <si>
    <t>R222.723.220/R222.723.130</t>
  </si>
  <si>
    <t>400942909/413274593</t>
  </si>
  <si>
    <t>D791639-8/10-B
FT1033-2L</t>
  </si>
  <si>
    <t>400176910
525403903</t>
  </si>
  <si>
    <t>LGG Tools</t>
  </si>
  <si>
    <t>1096M269-001</t>
  </si>
  <si>
    <t>RA S/ASSY NAMEPLATE</t>
  </si>
  <si>
    <t>Ordered-Clarification</t>
  </si>
  <si>
    <t>Atagasthya Packaging Pvt Ltd</t>
  </si>
  <si>
    <t xml:space="preserve">Amar Radio </t>
  </si>
  <si>
    <t>Huber and Suhner Electronics Pvt Ltd</t>
  </si>
  <si>
    <t>RANEAL ADVANCED SYSTEMS PVT LTD</t>
  </si>
  <si>
    <t>PN</t>
  </si>
  <si>
    <t>Attenuator, Fixed, Chip, DC to 8GHz, 14dB, 2W, Alumina, Triple Wrap,
Pretinned</t>
  </si>
  <si>
    <t>TS0314W3S</t>
  </si>
  <si>
    <t>Aran</t>
  </si>
  <si>
    <t>Aran Research, Development and Models Ltd</t>
  </si>
  <si>
    <t>S</t>
  </si>
  <si>
    <t>AGAM/Aran</t>
  </si>
  <si>
    <t>Gopalan</t>
  </si>
  <si>
    <t>FT1033-3/1093Y934-001</t>
  </si>
  <si>
    <t>Ordered-EUS</t>
  </si>
  <si>
    <t>BFE-Clarification</t>
  </si>
  <si>
    <t>1033A448-001</t>
  </si>
  <si>
    <t>Sum of Open PO value</t>
  </si>
  <si>
    <t>Row Labels</t>
  </si>
  <si>
    <t>Grand Total</t>
  </si>
  <si>
    <t>s</t>
  </si>
  <si>
    <t>Iconix-Cancelled</t>
  </si>
  <si>
    <t>STOCK</t>
  </si>
  <si>
    <t>eta</t>
  </si>
  <si>
    <t>project plan</t>
  </si>
  <si>
    <t>demand</t>
  </si>
  <si>
    <t>ספק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</si>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</sst>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 * #,##0.0000_ ;_ * \-#,##0.0000_ ;_ * &quot;-&quot;??_ ;_ @_ "/>
    <numFmt numFmtId="166" formatCode="_ * #,##0_ ;_ * \-#,##0_ ;_ * &quot;-&quot;??_ ;_ @_ "/>
    <numFmt numFmtId="168" formatCode="[$-409]d\-mmm\-yy;@"/>
    <numFmt numFmtId="170" formatCode="[$-409]mmm/yy;@"/>
  </numFmts>
  <fonts count="29" x14ac:knownFonts="1">
    <font>
      <sz val="10"/>
      <name val="Arial"/>
      <family val="2"/>
    </font>
    <font>
      <sz val="11"/>
      <color theme="1"/>
      <name val="Arial"/>
      <family val="2"/>
      <scheme val="minor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b/>
      <sz val="12"/>
      <name val="Aptos"/>
      <family val="2"/>
    </font>
    <font>
      <sz val="11"/>
      <color theme="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sz val="9"/>
      <color theme="1"/>
      <name val="Arial"/>
      <family val="2"/>
    </font>
    <font>
      <u/>
      <sz val="9"/>
      <color indexed="12"/>
      <name val="Arial"/>
      <family val="2"/>
    </font>
    <font>
      <sz val="10"/>
      <name val="Arial"/>
      <family val="2"/>
    </font>
    <font>
      <sz val="18"/>
      <name val="Arial"/>
      <family val="2"/>
    </font>
    <font>
      <sz val="72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989DF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5">
    <xf numFmtId="0" fontId="0" fillId="0" borderId="0"/>
    <xf numFmtId="164" fontId="26" fillId="0" borderId="0" applyFont="0" applyFill="0" applyBorder="0" applyAlignment="0" applyProtection="0"/>
    <xf numFmtId="0" fontId="26" fillId="0" borderId="0"/>
    <xf numFmtId="0" fontId="1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1" applyNumberFormat="0" applyAlignment="0" applyProtection="0"/>
    <xf numFmtId="0" fontId="11" fillId="28" borderId="2" applyNumberFormat="0" applyAlignment="0" applyProtection="0"/>
    <xf numFmtId="0" fontId="12" fillId="0" borderId="0" applyNumberFormat="0" applyFill="0" applyBorder="0" applyAlignment="0" applyProtection="0"/>
    <xf numFmtId="0" fontId="13" fillId="29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30" borderId="0" applyNumberFormat="0" applyBorder="0" applyAlignment="0" applyProtection="0"/>
    <xf numFmtId="0" fontId="17" fillId="31" borderId="1" applyNumberFormat="0" applyAlignment="0" applyProtection="0"/>
    <xf numFmtId="0" fontId="18" fillId="0" borderId="6" applyNumberFormat="0" applyFill="0" applyAlignment="0" applyProtection="0"/>
    <xf numFmtId="0" fontId="19" fillId="32" borderId="0" applyNumberFormat="0" applyBorder="0" applyAlignment="0" applyProtection="0"/>
    <xf numFmtId="0" fontId="1" fillId="33" borderId="7" applyNumberFormat="0" applyFont="0" applyAlignment="0" applyProtection="0"/>
    <xf numFmtId="0" fontId="20" fillId="27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1" fillId="0" borderId="0"/>
  </cellStyleXfs>
  <cellXfs count="110">
    <xf numFmtId="0" fontId="0" fillId="0" borderId="0" xfId="0"/>
    <xf numFmtId="0" fontId="7" fillId="35" borderId="1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1" xfId="0" applyBorder="1"/>
    <xf numFmtId="0" fontId="0" fillId="34" borderId="11" xfId="0" applyFill="1" applyBorder="1"/>
    <xf numFmtId="0" fontId="3" fillId="0" borderId="12" xfId="0" applyFont="1" applyBorder="1"/>
    <xf numFmtId="0" fontId="0" fillId="0" borderId="12" xfId="0" applyBorder="1"/>
    <xf numFmtId="0" fontId="3" fillId="35" borderId="12" xfId="0" applyFont="1" applyFill="1" applyBorder="1" applyAlignment="1">
      <alignment horizontal="center" vertical="center"/>
    </xf>
    <xf numFmtId="0" fontId="3" fillId="35" borderId="12" xfId="0" applyFont="1" applyFill="1" applyBorder="1" applyAlignment="1">
      <alignment horizontal="center" vertical="center" wrapText="1"/>
    </xf>
    <xf numFmtId="0" fontId="3" fillId="0" borderId="13" xfId="0" applyFont="1" applyBorder="1"/>
    <xf numFmtId="164" fontId="3" fillId="0" borderId="0" xfId="1" applyFont="1"/>
    <xf numFmtId="164" fontId="0" fillId="0" borderId="12" xfId="1" applyFont="1" applyBorder="1"/>
    <xf numFmtId="164" fontId="0" fillId="0" borderId="12" xfId="0" applyNumberFormat="1" applyBorder="1"/>
    <xf numFmtId="170" fontId="4" fillId="14" borderId="10" xfId="0" applyNumberFormat="1" applyFont="1" applyFill="1" applyBorder="1" applyAlignment="1">
      <alignment horizontal="center" vertical="center"/>
    </xf>
    <xf numFmtId="4" fontId="0" fillId="0" borderId="12" xfId="0" applyNumberFormat="1" applyBorder="1"/>
    <xf numFmtId="0" fontId="3" fillId="0" borderId="1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2" xfId="0" applyBorder="1" applyAlignment="1">
      <alignment horizontal="center"/>
    </xf>
    <xf numFmtId="0" fontId="3" fillId="35" borderId="15" xfId="0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3" fillId="35" borderId="16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5" fontId="4" fillId="0" borderId="0" xfId="1" applyNumberFormat="1" applyFont="1"/>
    <xf numFmtId="164" fontId="4" fillId="0" borderId="0" xfId="1" applyFont="1"/>
    <xf numFmtId="0" fontId="4" fillId="0" borderId="0" xfId="0" applyFont="1" applyAlignment="1">
      <alignment wrapText="1"/>
    </xf>
    <xf numFmtId="0" fontId="4" fillId="37" borderId="0" xfId="0" quotePrefix="1" applyFont="1" applyFill="1" applyAlignment="1">
      <alignment horizontal="left"/>
    </xf>
    <xf numFmtId="0" fontId="4" fillId="0" borderId="0" xfId="0" applyFont="1" applyAlignment="1">
      <alignment horizontal="center" vertical="center"/>
    </xf>
    <xf numFmtId="0" fontId="4" fillId="34" borderId="0" xfId="0" applyFont="1" applyFill="1"/>
    <xf numFmtId="0" fontId="4" fillId="18" borderId="0" xfId="0" applyFont="1" applyFill="1" applyAlignment="1">
      <alignment horizontal="left"/>
    </xf>
    <xf numFmtId="0" fontId="4" fillId="9" borderId="0" xfId="0" applyFont="1" applyFill="1"/>
    <xf numFmtId="0" fontId="4" fillId="17" borderId="0" xfId="0" applyFont="1" applyFill="1" applyAlignment="1">
      <alignment horizontal="left"/>
    </xf>
    <xf numFmtId="0" fontId="4" fillId="5" borderId="0" xfId="0" applyFont="1" applyFill="1" applyAlignment="1">
      <alignment horizontal="center" vertical="center"/>
    </xf>
    <xf numFmtId="0" fontId="4" fillId="36" borderId="0" xfId="0" quotePrefix="1" applyFont="1" applyFill="1" applyAlignment="1">
      <alignment horizontal="left"/>
    </xf>
    <xf numFmtId="0" fontId="4" fillId="16" borderId="0" xfId="0" applyFont="1" applyFill="1" applyAlignment="1">
      <alignment horizontal="left"/>
    </xf>
    <xf numFmtId="0" fontId="4" fillId="42" borderId="0" xfId="0" applyFont="1" applyFill="1" applyAlignment="1">
      <alignment horizontal="left"/>
    </xf>
    <xf numFmtId="0" fontId="4" fillId="15" borderId="0" xfId="0" applyFont="1" applyFill="1" applyAlignment="1">
      <alignment horizontal="left"/>
    </xf>
    <xf numFmtId="165" fontId="4" fillId="34" borderId="0" xfId="1" applyNumberFormat="1" applyFont="1" applyFill="1"/>
    <xf numFmtId="0" fontId="4" fillId="40" borderId="10" xfId="0" applyFont="1" applyFill="1" applyBorder="1" applyAlignment="1">
      <alignment horizontal="center" vertical="top"/>
    </xf>
    <xf numFmtId="0" fontId="4" fillId="43" borderId="10" xfId="0" applyFont="1" applyFill="1" applyBorder="1" applyAlignment="1">
      <alignment horizontal="center" vertical="top"/>
    </xf>
    <xf numFmtId="0" fontId="4" fillId="34" borderId="10" xfId="0" applyFont="1" applyFill="1" applyBorder="1" applyAlignment="1">
      <alignment horizontal="center" vertical="center"/>
    </xf>
    <xf numFmtId="0" fontId="4" fillId="0" borderId="11" xfId="0" applyFont="1" applyBorder="1"/>
    <xf numFmtId="0" fontId="25" fillId="0" borderId="11" xfId="0" applyFont="1" applyBorder="1" applyAlignment="1">
      <alignment horizontal="left"/>
    </xf>
    <xf numFmtId="0" fontId="4" fillId="15" borderId="11" xfId="0" applyFont="1" applyFill="1" applyBorder="1"/>
    <xf numFmtId="0" fontId="4" fillId="0" borderId="11" xfId="0" applyFont="1" applyBorder="1" applyAlignment="1">
      <alignment horizontal="center"/>
    </xf>
    <xf numFmtId="165" fontId="4" fillId="0" borderId="11" xfId="1" applyNumberFormat="1" applyFont="1" applyBorder="1"/>
    <xf numFmtId="0" fontId="4" fillId="37" borderId="11" xfId="0" applyFont="1" applyFill="1" applyBorder="1"/>
    <xf numFmtId="0" fontId="25" fillId="34" borderId="11" xfId="0" applyFont="1" applyFill="1" applyBorder="1" applyAlignment="1">
      <alignment horizontal="left"/>
    </xf>
    <xf numFmtId="0" fontId="25" fillId="37" borderId="11" xfId="0" applyFont="1" applyFill="1" applyBorder="1" applyAlignment="1">
      <alignment horizontal="left"/>
    </xf>
    <xf numFmtId="165" fontId="4" fillId="0" borderId="11" xfId="1" applyNumberFormat="1" applyFont="1" applyBorder="1" applyAlignment="1"/>
    <xf numFmtId="0" fontId="4" fillId="16" borderId="11" xfId="0" applyFont="1" applyFill="1" applyBorder="1"/>
    <xf numFmtId="0" fontId="4" fillId="34" borderId="11" xfId="0" applyFont="1" applyFill="1" applyBorder="1"/>
    <xf numFmtId="0" fontId="4" fillId="30" borderId="11" xfId="0" applyFont="1" applyFill="1" applyBorder="1"/>
    <xf numFmtId="165" fontId="4" fillId="0" borderId="11" xfId="1" applyNumberFormat="1" applyFont="1" applyFill="1" applyBorder="1" applyAlignment="1"/>
    <xf numFmtId="0" fontId="4" fillId="3" borderId="11" xfId="0" applyFont="1" applyFill="1" applyBorder="1"/>
    <xf numFmtId="0" fontId="4" fillId="0" borderId="11" xfId="0" applyFont="1" applyBorder="1" applyAlignment="1">
      <alignment wrapText="1"/>
    </xf>
    <xf numFmtId="0" fontId="25" fillId="7" borderId="11" xfId="0" applyFont="1" applyFill="1" applyBorder="1" applyAlignment="1">
      <alignment horizontal="left"/>
    </xf>
    <xf numFmtId="165" fontId="4" fillId="0" borderId="11" xfId="1" applyNumberFormat="1" applyFont="1" applyFill="1" applyBorder="1"/>
    <xf numFmtId="0" fontId="25" fillId="2" borderId="11" xfId="0" applyFont="1" applyFill="1" applyBorder="1" applyAlignment="1">
      <alignment horizontal="left"/>
    </xf>
    <xf numFmtId="0" fontId="4" fillId="2" borderId="11" xfId="0" applyFont="1" applyFill="1" applyBorder="1"/>
    <xf numFmtId="0" fontId="25" fillId="0" borderId="11" xfId="0" applyFont="1" applyBorder="1"/>
    <xf numFmtId="0" fontId="4" fillId="42" borderId="11" xfId="0" applyFont="1" applyFill="1" applyBorder="1"/>
    <xf numFmtId="165" fontId="4" fillId="36" borderId="11" xfId="1" applyNumberFormat="1" applyFont="1" applyFill="1" applyBorder="1"/>
    <xf numFmtId="0" fontId="25" fillId="44" borderId="11" xfId="0" applyFont="1" applyFill="1" applyBorder="1" applyAlignment="1">
      <alignment horizontal="left"/>
    </xf>
    <xf numFmtId="0" fontId="4" fillId="12" borderId="11" xfId="0" applyFont="1" applyFill="1" applyBorder="1"/>
    <xf numFmtId="0" fontId="4" fillId="0" borderId="11" xfId="0" applyFont="1" applyBorder="1" applyAlignment="1">
      <alignment horizontal="left" vertical="center"/>
    </xf>
    <xf numFmtId="0" fontId="4" fillId="0" borderId="11" xfId="0" applyFont="1" applyBorder="1" applyAlignment="1">
      <alignment horizontal="center" vertical="center"/>
    </xf>
    <xf numFmtId="0" fontId="25" fillId="7" borderId="11" xfId="0" applyFont="1" applyFill="1" applyBorder="1"/>
    <xf numFmtId="0" fontId="25" fillId="39" borderId="11" xfId="0" applyFont="1" applyFill="1" applyBorder="1"/>
    <xf numFmtId="0" fontId="25" fillId="34" borderId="11" xfId="0" applyFont="1" applyFill="1" applyBorder="1"/>
    <xf numFmtId="0" fontId="4" fillId="18" borderId="11" xfId="0" applyFont="1" applyFill="1" applyBorder="1"/>
    <xf numFmtId="0" fontId="4" fillId="17" borderId="11" xfId="0" applyFont="1" applyFill="1" applyBorder="1"/>
    <xf numFmtId="0" fontId="4" fillId="45" borderId="11" xfId="0" applyFont="1" applyFill="1" applyBorder="1"/>
    <xf numFmtId="0" fontId="25" fillId="44" borderId="11" xfId="0" applyFont="1" applyFill="1" applyBorder="1"/>
    <xf numFmtId="0" fontId="25" fillId="0" borderId="11" xfId="0" applyFont="1" applyBorder="1" applyAlignment="1">
      <alignment wrapText="1"/>
    </xf>
    <xf numFmtId="0" fontId="4" fillId="34" borderId="11" xfId="0" applyFont="1" applyFill="1" applyBorder="1" applyAlignment="1">
      <alignment wrapText="1"/>
    </xf>
    <xf numFmtId="0" fontId="4" fillId="0" borderId="11" xfId="0" applyFont="1" applyBorder="1" applyAlignment="1">
      <alignment horizontal="center" wrapText="1"/>
    </xf>
    <xf numFmtId="165" fontId="4" fillId="0" borderId="11" xfId="1" applyNumberFormat="1" applyFont="1" applyBorder="1" applyAlignment="1">
      <alignment wrapText="1"/>
    </xf>
    <xf numFmtId="0" fontId="24" fillId="0" borderId="11" xfId="0" applyFont="1" applyBorder="1"/>
    <xf numFmtId="0" fontId="4" fillId="0" borderId="11" xfId="1" applyNumberFormat="1" applyFont="1" applyBorder="1"/>
    <xf numFmtId="0" fontId="4" fillId="0" borderId="18" xfId="0" applyFont="1" applyBorder="1"/>
    <xf numFmtId="0" fontId="4" fillId="12" borderId="19" xfId="0" applyFont="1" applyFill="1" applyBorder="1"/>
    <xf numFmtId="0" fontId="4" fillId="0" borderId="19" xfId="0" applyFont="1" applyBorder="1"/>
    <xf numFmtId="0" fontId="25" fillId="0" borderId="11" xfId="0" applyFont="1" applyBorder="1" applyAlignment="1">
      <alignment horizontal="left" wrapText="1"/>
    </xf>
    <xf numFmtId="0" fontId="4" fillId="21" borderId="11" xfId="0" applyFont="1" applyFill="1" applyBorder="1"/>
    <xf numFmtId="3" fontId="0" fillId="0" borderId="0" xfId="0" applyNumberFormat="1"/>
    <xf numFmtId="0" fontId="0" fillId="30" borderId="0" xfId="0" applyFill="1" applyAlignment="1">
      <alignment horizontal="left"/>
    </xf>
    <xf numFmtId="0" fontId="0" fillId="38" borderId="0" xfId="0" applyFill="1" applyAlignment="1">
      <alignment horizontal="left"/>
    </xf>
    <xf numFmtId="0" fontId="4" fillId="41" borderId="0" xfId="0" applyFont="1" applyFill="1"/>
    <xf numFmtId="0" fontId="4" fillId="41" borderId="11" xfId="0" applyFont="1" applyFill="1" applyBorder="1"/>
    <xf numFmtId="0" fontId="4" fillId="0" borderId="0" xfId="0" applyFont="1" applyFill="1" applyAlignment="1">
      <alignment horizontal="left"/>
    </xf>
    <xf numFmtId="0" fontId="4" fillId="0" borderId="0" xfId="0" quotePrefix="1" applyFont="1" applyFill="1" applyAlignment="1">
      <alignment horizontal="left"/>
    </xf>
    <xf numFmtId="0" fontId="4" fillId="0" borderId="0" xfId="0" applyFont="1" applyFill="1"/>
    <xf numFmtId="0" fontId="4" fillId="0" borderId="1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right"/>
    </xf>
    <xf numFmtId="0" fontId="4" fillId="0" borderId="11" xfId="0" applyFont="1" applyFill="1" applyBorder="1"/>
    <xf numFmtId="0" fontId="4" fillId="30" borderId="0" xfId="0" applyFont="1" applyFill="1" applyAlignment="1">
      <alignment wrapText="1"/>
    </xf>
    <xf numFmtId="0" fontId="4" fillId="30" borderId="10" xfId="0" applyFont="1" applyFill="1" applyBorder="1" applyAlignment="1">
      <alignment horizontal="center" vertical="center"/>
    </xf>
    <xf numFmtId="0" fontId="28" fillId="41" borderId="0" xfId="0" applyFont="1" applyFill="1" applyAlignment="1">
      <alignment horizontal="center"/>
    </xf>
    <xf numFmtId="0" fontId="28" fillId="41" borderId="20" xfId="0" applyFont="1" applyFill="1" applyBorder="1" applyAlignment="1">
      <alignment horizontal="center"/>
    </xf>
    <xf numFmtId="170" fontId="4" fillId="30" borderId="10" xfId="0" applyNumberFormat="1" applyFont="1" applyFill="1" applyBorder="1" applyAlignment="1">
      <alignment horizontal="center" vertical="center"/>
    </xf>
    <xf numFmtId="0" fontId="27" fillId="30" borderId="0" xfId="0" applyFont="1" applyFill="1" applyAlignment="1">
      <alignment horizontal="center"/>
    </xf>
    <xf numFmtId="0" fontId="27" fillId="30" borderId="0" xfId="0" applyFont="1" applyFill="1" applyAlignment="1">
      <alignment horizontal="center"/>
    </xf>
    <xf numFmtId="0" fontId="27" fillId="46" borderId="0" xfId="0" applyFont="1" applyFill="1" applyAlignment="1">
      <alignment horizontal="center"/>
    </xf>
    <xf numFmtId="0" fontId="4" fillId="41" borderId="10" xfId="0" applyFont="1" applyFill="1" applyBorder="1" applyAlignment="1">
      <alignment horizontal="left" vertical="center"/>
    </xf>
  </cellXfs>
  <cellStyles count="55">
    <cellStyle name="20% - Accent1 2" xfId="9" xr:uid="{00000000-0005-0000-0000-00000D000000}"/>
    <cellStyle name="20% - Accent2 2" xfId="10" xr:uid="{00000000-0005-0000-0000-00000E000000}"/>
    <cellStyle name="20% - Accent3 2" xfId="11" xr:uid="{00000000-0005-0000-0000-00000F000000}"/>
    <cellStyle name="20% - Accent4 2" xfId="12" xr:uid="{00000000-0005-0000-0000-000010000000}"/>
    <cellStyle name="20% - Accent5 2" xfId="13" xr:uid="{00000000-0005-0000-0000-000011000000}"/>
    <cellStyle name="20% - Accent6 2" xfId="14" xr:uid="{00000000-0005-0000-0000-000012000000}"/>
    <cellStyle name="40% - Accent1 2" xfId="15" xr:uid="{00000000-0005-0000-0000-000013000000}"/>
    <cellStyle name="40% - Accent2 2" xfId="16" xr:uid="{00000000-0005-0000-0000-000014000000}"/>
    <cellStyle name="40% - Accent3 2" xfId="17" xr:uid="{00000000-0005-0000-0000-000015000000}"/>
    <cellStyle name="40% - Accent4 2" xfId="18" xr:uid="{00000000-0005-0000-0000-000016000000}"/>
    <cellStyle name="40% - Accent5 2" xfId="19" xr:uid="{00000000-0005-0000-0000-000017000000}"/>
    <cellStyle name="40% - Accent6 2" xfId="20" xr:uid="{00000000-0005-0000-0000-000018000000}"/>
    <cellStyle name="60% - Accent1 2" xfId="21" xr:uid="{00000000-0005-0000-0000-000019000000}"/>
    <cellStyle name="60% - Accent2 2" xfId="22" xr:uid="{00000000-0005-0000-0000-00001A000000}"/>
    <cellStyle name="60% - Accent3 2" xfId="23" xr:uid="{00000000-0005-0000-0000-00001B000000}"/>
    <cellStyle name="60% - Accent4 2" xfId="24" xr:uid="{00000000-0005-0000-0000-00001C000000}"/>
    <cellStyle name="60% - Accent5 2" xfId="25" xr:uid="{00000000-0005-0000-0000-00001D000000}"/>
    <cellStyle name="60% - Accent6 2" xfId="26" xr:uid="{00000000-0005-0000-0000-00001E000000}"/>
    <cellStyle name="Accent1 2" xfId="27" xr:uid="{00000000-0005-0000-0000-00001F000000}"/>
    <cellStyle name="Accent2 2" xfId="28" xr:uid="{00000000-0005-0000-0000-000020000000}"/>
    <cellStyle name="Accent3 2" xfId="29" xr:uid="{00000000-0005-0000-0000-000021000000}"/>
    <cellStyle name="Accent4 2" xfId="30" xr:uid="{00000000-0005-0000-0000-000022000000}"/>
    <cellStyle name="Accent5 2" xfId="31" xr:uid="{00000000-0005-0000-0000-000023000000}"/>
    <cellStyle name="Accent6 2" xfId="32" xr:uid="{00000000-0005-0000-0000-000024000000}"/>
    <cellStyle name="Bad 2" xfId="33" xr:uid="{00000000-0005-0000-0000-000025000000}"/>
    <cellStyle name="Calculation 2" xfId="34" xr:uid="{00000000-0005-0000-0000-000026000000}"/>
    <cellStyle name="Check Cell 2" xfId="35" xr:uid="{00000000-0005-0000-0000-000027000000}"/>
    <cellStyle name="Comma" xfId="1" builtinId="3"/>
    <cellStyle name="Comma 2" xfId="8" xr:uid="{00000000-0005-0000-0000-00000C000000}"/>
    <cellStyle name="Comma 2 2" xfId="4" xr:uid="{00000000-0005-0000-0000-000008000000}"/>
    <cellStyle name="Comma 3" xfId="53" xr:uid="{00000000-0005-0000-0000-000039000000}"/>
    <cellStyle name="Comma 4" xfId="6" xr:uid="{00000000-0005-0000-0000-00000A000000}"/>
    <cellStyle name="Comma 5" xfId="5" xr:uid="{00000000-0005-0000-0000-000009000000}"/>
    <cellStyle name="Explanatory Text 2" xfId="36" xr:uid="{00000000-0005-0000-0000-000028000000}"/>
    <cellStyle name="Good 2" xfId="37" xr:uid="{00000000-0005-0000-0000-000029000000}"/>
    <cellStyle name="Heading 1 2" xfId="38" xr:uid="{00000000-0005-0000-0000-00002A000000}"/>
    <cellStyle name="Heading 2 2" xfId="39" xr:uid="{00000000-0005-0000-0000-00002B000000}"/>
    <cellStyle name="Heading 3 2" xfId="40" xr:uid="{00000000-0005-0000-0000-00002C000000}"/>
    <cellStyle name="Heading 4 2" xfId="41" xr:uid="{00000000-0005-0000-0000-00002D000000}"/>
    <cellStyle name="Hyperlink 2" xfId="42" xr:uid="{00000000-0005-0000-0000-00002E000000}"/>
    <cellStyle name="HyperlinkError" xfId="43" xr:uid="{00000000-0005-0000-0000-00002F000000}"/>
    <cellStyle name="Input 2" xfId="44" xr:uid="{00000000-0005-0000-0000-000030000000}"/>
    <cellStyle name="Linked Cell 2" xfId="45" xr:uid="{00000000-0005-0000-0000-000031000000}"/>
    <cellStyle name="Neutral 2" xfId="46" xr:uid="{00000000-0005-0000-0000-000032000000}"/>
    <cellStyle name="Normal" xfId="0" builtinId="0"/>
    <cellStyle name="Normal 2" xfId="2" xr:uid="{00000000-0005-0000-0000-000006000000}"/>
    <cellStyle name="Normal 3" xfId="3" xr:uid="{00000000-0005-0000-0000-000007000000}"/>
    <cellStyle name="Normal 3 2" xfId="54" xr:uid="{00000000-0005-0000-0000-00003A000000}"/>
    <cellStyle name="Normal 4" xfId="7" xr:uid="{00000000-0005-0000-0000-00000B000000}"/>
    <cellStyle name="Normal 5" xfId="52" xr:uid="{00000000-0005-0000-0000-000038000000}"/>
    <cellStyle name="Note 2" xfId="47" xr:uid="{00000000-0005-0000-0000-000033000000}"/>
    <cellStyle name="Output 2" xfId="48" xr:uid="{00000000-0005-0000-0000-000034000000}"/>
    <cellStyle name="Title 2" xfId="49" xr:uid="{00000000-0005-0000-0000-000035000000}"/>
    <cellStyle name="Total 2" xfId="50" xr:uid="{00000000-0005-0000-0000-000036000000}"/>
    <cellStyle name="Warning Text 2" xfId="51" xr:uid="{00000000-0005-0000-0000-000037000000}"/>
  </cellStyles>
  <dxfs count="14">
    <dxf>
      <font>
        <color theme="0"/>
      </font>
      <fill>
        <patternFill>
          <bgColor rgb="FFFF0000"/>
        </patternFill>
      </fill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[CIWS AVL.xlsx]Sheet3!PivotTable2</c:name>
    <c:fmtId val="0"/>
  </c:pivotSource>
  <c:chart>
    <c:title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9525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he-I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cat>
            <c:strRef>
              <c:f>Sheet3!$A$2:$A$93</c:f>
              <c:strCache>
                <c:ptCount val="91"/>
                <c:pt idx="0">
                  <c:v>A. M. Designs Pvt. Ltd.</c:v>
                </c:pt>
                <c:pt idx="1">
                  <c:v>A.M. COMPONENTS (2005) LTD</c:v>
                </c:pt>
                <c:pt idx="2">
                  <c:v>Ackerman Printing</c:v>
                </c:pt>
                <c:pt idx="3">
                  <c:v>ACKERMAN Printing &amp; Photoanodize LTD</c:v>
                </c:pt>
                <c:pt idx="4">
                  <c:v>ADVANCED ELECTROMAGNETICS INC</c:v>
                </c:pt>
                <c:pt idx="5">
                  <c:v>AGAM Technology</c:v>
                </c:pt>
                <c:pt idx="6">
                  <c:v>Agoran Ltd</c:v>
                </c:pt>
                <c:pt idx="7">
                  <c:v>Air Electro, Inc.</c:v>
                </c:pt>
                <c:pt idx="8">
                  <c:v>Alcoats</c:v>
                </c:pt>
                <c:pt idx="9">
                  <c:v>Amar Radio </c:v>
                </c:pt>
                <c:pt idx="10">
                  <c:v>AMPHENOL CANADA</c:v>
                </c:pt>
                <c:pt idx="11">
                  <c:v>Andre Machining LTD</c:v>
                </c:pt>
                <c:pt idx="12">
                  <c:v>Aqua Engineering Services</c:v>
                </c:pt>
                <c:pt idx="13">
                  <c:v>Aran Research, Development and Models Ltd</c:v>
                </c:pt>
                <c:pt idx="14">
                  <c:v>ARROW RAPAC LTD</c:v>
                </c:pt>
                <c:pt idx="15">
                  <c:v>Ascotech Electronics Ltd</c:v>
                </c:pt>
                <c:pt idx="16">
                  <c:v>Aspocomp Group Plc</c:v>
                </c:pt>
                <c:pt idx="17">
                  <c:v>Astute Electronics Inc.</c:v>
                </c:pt>
                <c:pt idx="18">
                  <c:v>Atagasthya Packaging Pvt Ltd</c:v>
                </c:pt>
                <c:pt idx="19">
                  <c:v>Avdor Technology Ltd.</c:v>
                </c:pt>
                <c:pt idx="20">
                  <c:v>Avnet Asia Pte. Ltd.</c:v>
                </c:pt>
                <c:pt idx="21">
                  <c:v>Avnet ASIC</c:v>
                </c:pt>
                <c:pt idx="22">
                  <c:v>Caravan Oil Suppliers</c:v>
                </c:pt>
                <c:pt idx="23">
                  <c:v>Chemograf LTD</c:v>
                </c:pt>
                <c:pt idx="24">
                  <c:v>CIDEV GROUP LTD</c:v>
                </c:pt>
                <c:pt idx="25">
                  <c:v>DCX</c:v>
                </c:pt>
                <c:pt idx="26">
                  <c:v>DCX-CHOL</c:v>
                </c:pt>
                <c:pt idx="27">
                  <c:v>Digikey</c:v>
                </c:pt>
                <c:pt idx="28">
                  <c:v>Divyanshi Aviation Services Pvt. Ltd</c:v>
                </c:pt>
                <c:pt idx="29">
                  <c:v>EBV Elektronik Israel (2008) LTD</c:v>
                </c:pt>
                <c:pt idx="30">
                  <c:v>Ecomal Israel Ltd.</c:v>
                </c:pt>
                <c:pt idx="31">
                  <c:v>EIM Systems and Components (1999) Ltd.</c:v>
                </c:pt>
                <c:pt idx="32">
                  <c:v>Elbatech ltd</c:v>
                </c:pt>
                <c:pt idx="33">
                  <c:v>Elbatech ltd.</c:v>
                </c:pt>
                <c:pt idx="34">
                  <c:v>Electro Enterprises New York LLC</c:v>
                </c:pt>
                <c:pt idx="35">
                  <c:v>Elipse Engineering</c:v>
                </c:pt>
                <c:pt idx="36">
                  <c:v>Fastener Technology Corp.</c:v>
                </c:pt>
                <c:pt idx="37">
                  <c:v>FED-SPECS </c:v>
                </c:pt>
                <c:pt idx="38">
                  <c:v>Future Electronics</c:v>
                </c:pt>
                <c:pt idx="39">
                  <c:v>Godrej &amp; Boyce Manufacturing Company Ltd</c:v>
                </c:pt>
                <c:pt idx="40">
                  <c:v>GOPALAN AEROSPACE (INDIA) PVT LTD</c:v>
                </c:pt>
                <c:pt idx="41">
                  <c:v>Gopalan Aerospace India Pvt. Ltd.</c:v>
                </c:pt>
                <c:pt idx="42">
                  <c:v>GUMIYAN RUBBER INDUSTRY LTD</c:v>
                </c:pt>
                <c:pt idx="43">
                  <c:v>HUANG LIANG TECHNOLOGIES CO., LTD</c:v>
                </c:pt>
                <c:pt idx="44">
                  <c:v>Huang Ling Technology</c:v>
                </c:pt>
                <c:pt idx="45">
                  <c:v>Huber and Suhner Electronics Pvt Ltd</c:v>
                </c:pt>
                <c:pt idx="46">
                  <c:v>IAI Elta systems Ltd</c:v>
                </c:pt>
                <c:pt idx="47">
                  <c:v>IMCD Israel Speciality Chemicals And Ingredients</c:v>
                </c:pt>
                <c:pt idx="48">
                  <c:v>INTERNATIONAL MANUFACTURING SERVICES INC., (IMS)</c:v>
                </c:pt>
                <c:pt idx="49">
                  <c:v>Kaytech</c:v>
                </c:pt>
                <c:pt idx="50">
                  <c:v>Kaytech Industries Corp</c:v>
                </c:pt>
                <c:pt idx="51">
                  <c:v>LGG Tools</c:v>
                </c:pt>
                <c:pt idx="52">
                  <c:v>Micropack</c:v>
                </c:pt>
                <c:pt idx="53">
                  <c:v>Military Fasteners </c:v>
                </c:pt>
                <c:pt idx="54">
                  <c:v>Mini Circuits</c:v>
                </c:pt>
                <c:pt idx="55">
                  <c:v>Mouser</c:v>
                </c:pt>
                <c:pt idx="56">
                  <c:v>Mouser Electronics</c:v>
                </c:pt>
                <c:pt idx="57">
                  <c:v>MTI</c:v>
                </c:pt>
                <c:pt idx="58">
                  <c:v>NextWave Technologies Ltd. </c:v>
                </c:pt>
                <c:pt idx="59">
                  <c:v>Nicomatic India Electronics Pvt Ltd</c:v>
                </c:pt>
                <c:pt idx="60">
                  <c:v>Nisko</c:v>
                </c:pt>
                <c:pt idx="61">
                  <c:v>NISKO PROJECTS ELECTRONICS &amp; COMMUNICATION (1999) LTD.</c:v>
                </c:pt>
                <c:pt idx="62">
                  <c:v>Ohm Power Solutions Ltd</c:v>
                </c:pt>
                <c:pt idx="63">
                  <c:v>Omniscient Associates</c:v>
                </c:pt>
                <c:pt idx="64">
                  <c:v>Online components</c:v>
                </c:pt>
                <c:pt idx="65">
                  <c:v>PCB tech</c:v>
                </c:pt>
                <c:pt idx="66">
                  <c:v>PHOENIX TECHNOLOGIES LTD.</c:v>
                </c:pt>
                <c:pt idx="67">
                  <c:v>Pronat Industries Ltd</c:v>
                </c:pt>
                <c:pt idx="68">
                  <c:v>Qorvo US, Inc</c:v>
                </c:pt>
                <c:pt idx="69">
                  <c:v>RABYTE PTE LTD</c:v>
                </c:pt>
                <c:pt idx="70">
                  <c:v>RANEAL ADVANCED SYSTEMS PVT LTD</c:v>
                </c:pt>
                <c:pt idx="71">
                  <c:v>RAPID TECHNOLOGY SOLUTIONS</c:v>
                </c:pt>
                <c:pt idx="72">
                  <c:v>Ray-Q Interconnection Technologies India Pvt Ltd</c:v>
                </c:pt>
                <c:pt idx="73">
                  <c:v>Remtec, Inc.   </c:v>
                </c:pt>
                <c:pt idx="74">
                  <c:v>RFMW Asia Pte Ltd</c:v>
                </c:pt>
                <c:pt idx="75">
                  <c:v>SAMTEC ASIA PACIFIC PTE LTD</c:v>
                </c:pt>
                <c:pt idx="76">
                  <c:v>Sanvi Connectronics</c:v>
                </c:pt>
                <c:pt idx="77">
                  <c:v>SEAMAX ENGINEERING PTE LTD</c:v>
                </c:pt>
                <c:pt idx="78">
                  <c:v>SHIRTECH LTD</c:v>
                </c:pt>
                <c:pt idx="79">
                  <c:v>Simat Industries Ltd.</c:v>
                </c:pt>
                <c:pt idx="80">
                  <c:v>Spectra Innovations INC</c:v>
                </c:pt>
                <c:pt idx="81">
                  <c:v>STAR LIGHT TECHNOLOGIES LTD</c:v>
                </c:pt>
                <c:pt idx="82">
                  <c:v>Starlight</c:v>
                </c:pt>
                <c:pt idx="83">
                  <c:v>STG International Ltd</c:v>
                </c:pt>
                <c:pt idx="84">
                  <c:v>TTI INC</c:v>
                </c:pt>
                <c:pt idx="85">
                  <c:v>Univa Technologies PTE LTD</c:v>
                </c:pt>
                <c:pt idx="86">
                  <c:v>Wave Mechanics Private Limited</c:v>
                </c:pt>
                <c:pt idx="87">
                  <c:v>WTM</c:v>
                </c:pt>
                <c:pt idx="88">
                  <c:v>YAEL Y.A.D TECHNOLOGIES LTD.</c:v>
                </c:pt>
                <c:pt idx="89">
                  <c:v>YAIL NOA LTD AGENCIES</c:v>
                </c:pt>
                <c:pt idx="90">
                  <c:v>Iconix-Cancelled</c:v>
                </c:pt>
              </c:strCache>
            </c:strRef>
          </c:cat>
          <c:val>
            <c:numRef>
              <c:f>Sheet3!$B$2:$B$93</c:f>
              <c:numCache>
                <c:formatCode>#,##0</c:formatCode>
                <c:ptCount val="91"/>
                <c:pt idx="3">
                  <c:v>480</c:v>
                </c:pt>
                <c:pt idx="5">
                  <c:v>94080</c:v>
                </c:pt>
                <c:pt idx="7">
                  <c:v>6.8</c:v>
                </c:pt>
                <c:pt idx="15">
                  <c:v>162279</c:v>
                </c:pt>
                <c:pt idx="16">
                  <c:v>295517.2</c:v>
                </c:pt>
                <c:pt idx="18">
                  <c:v>6877.48</c:v>
                </c:pt>
                <c:pt idx="21">
                  <c:v>5356360</c:v>
                </c:pt>
                <c:pt idx="25">
                  <c:v>242452.92550628108</c:v>
                </c:pt>
                <c:pt idx="31">
                  <c:v>49619</c:v>
                </c:pt>
                <c:pt idx="32">
                  <c:v>95909.400000000009</c:v>
                </c:pt>
                <c:pt idx="33">
                  <c:v>4297403.2</c:v>
                </c:pt>
                <c:pt idx="35">
                  <c:v>5169440</c:v>
                </c:pt>
                <c:pt idx="39">
                  <c:v>3888389</c:v>
                </c:pt>
                <c:pt idx="40">
                  <c:v>2920145</c:v>
                </c:pt>
                <c:pt idx="41">
                  <c:v>1805.76</c:v>
                </c:pt>
                <c:pt idx="42">
                  <c:v>938</c:v>
                </c:pt>
                <c:pt idx="44">
                  <c:v>520909.35</c:v>
                </c:pt>
                <c:pt idx="46">
                  <c:v>89155.6</c:v>
                </c:pt>
                <c:pt idx="49">
                  <c:v>37.411999999999999</c:v>
                </c:pt>
                <c:pt idx="50">
                  <c:v>3677.2549999999997</c:v>
                </c:pt>
                <c:pt idx="51">
                  <c:v>8119.8000000000011</c:v>
                </c:pt>
                <c:pt idx="52">
                  <c:v>3500</c:v>
                </c:pt>
                <c:pt idx="60">
                  <c:v>2817.5</c:v>
                </c:pt>
                <c:pt idx="62">
                  <c:v>9334380</c:v>
                </c:pt>
                <c:pt idx="67">
                  <c:v>36575.4</c:v>
                </c:pt>
                <c:pt idx="70">
                  <c:v>394108.22</c:v>
                </c:pt>
                <c:pt idx="73">
                  <c:v>69107.5</c:v>
                </c:pt>
                <c:pt idx="75">
                  <c:v>20050</c:v>
                </c:pt>
                <c:pt idx="82">
                  <c:v>87680</c:v>
                </c:pt>
                <c:pt idx="86">
                  <c:v>3247610</c:v>
                </c:pt>
                <c:pt idx="9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40-43F2-A65D-3D69FDDB9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6638040"/>
        <c:axId val="2139278891"/>
      </c:barChart>
      <c:catAx>
        <c:axId val="746638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9278891"/>
        <c:crosses val="autoZero"/>
        <c:auto val="1"/>
        <c:lblAlgn val="ctr"/>
        <c:lblOffset val="100"/>
        <c:noMultiLvlLbl val="0"/>
      </c:catAx>
      <c:valAx>
        <c:axId val="21392788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638040"/>
        <c:crosses val="autoZero"/>
        <c:crossBetween val="between"/>
      </c:valAx>
      <c:spPr>
        <a:noFill/>
        <a:ln w="9525">
          <a:noFill/>
        </a:ln>
        <a:effectLst/>
      </c:spPr>
    </c:plotArea>
    <c:legend>
      <c:legendPos val="r"/>
      <c:overlay val="0"/>
      <c:spPr>
        <a:noFill/>
        <a:ln w="9525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18</xdr:row>
      <xdr:rowOff>44450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3DB0B2-EBB4-F9C1-E568-7B5F7DB8F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CIWS-6-8-2026%20avl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nd" refreshedDate="46136.546131597221" createdVersion="8" refreshedVersion="8" minRefreshableVersion="3" recordCount="880" xr:uid="{0C04D237-DAAA-4451-B4BA-F37B921429B3}">
  <cacheSource type="worksheet">
    <worksheetSource ref="A3:AX883" sheet="Ordering Database" r:id="rId2"/>
  </cacheSource>
  <cacheFields count="47">
    <cacheField name="SL No" numFmtId="0">
      <sharedItems containsSemiMixedTypes="0" containsString="0" containsNumber="1" containsInteger="1" minValue="1" maxValue="880"/>
    </cacheField>
    <cacheField name="Schedule" numFmtId="168">
      <sharedItems containsDate="1" containsBlank="1" containsMixedTypes="1" minDate="2024-11-11T00:00:00" maxDate="2026-01-16T00:00:00"/>
    </cacheField>
    <cacheField name="Catalog No" numFmtId="0">
      <sharedItems containsBlank="1" containsMixedTypes="1" containsNumber="1" containsInteger="1" minValue="1" maxValue="880045331"/>
    </cacheField>
    <cacheField name="Internal PN" numFmtId="0">
      <sharedItems containsBlank="1"/>
    </cacheField>
    <cacheField name="Internal PN  Godrej/Gopalan" numFmtId="0">
      <sharedItems containsBlank="1"/>
    </cacheField>
    <cacheField name="DESCRIPTION" numFmtId="0">
      <sharedItems/>
    </cacheField>
    <cacheField name="Quoted MPN" numFmtId="0">
      <sharedItems containsBlank="1" containsMixedTypes="1" containsNumber="1" containsInteger="1" minValue="200090" maxValue="1018419"/>
    </cacheField>
    <cacheField name="Rev" numFmtId="0">
      <sharedItems containsBlank="1" containsMixedTypes="1" containsNumber="1" containsInteger="1" minValue="-1" maxValue="1"/>
    </cacheField>
    <cacheField name="Quoted Make" numFmtId="0">
      <sharedItems containsBlank="1"/>
    </cacheField>
    <cacheField name="PO Qty" numFmtId="0">
      <sharedItems containsString="0" containsBlank="1" containsNumber="1" containsInteger="1" minValue="1" maxValue="560000"/>
    </cacheField>
    <cacheField name="UOM" numFmtId="0">
      <sharedItems/>
    </cacheField>
    <cacheField name="Unit Price" numFmtId="0">
      <sharedItems containsSemiMixedTypes="0" containsString="0" containsNumber="1" minValue="8.0000000000000004E-4" maxValue="244584"/>
    </cacheField>
    <cacheField name="CUR" numFmtId="0">
      <sharedItems/>
    </cacheField>
    <cacheField name="CCR" numFmtId="164">
      <sharedItems containsSemiMixedTypes="0" containsString="0" containsNumber="1" minValue="0.01" maxValue="1.3"/>
    </cacheField>
    <cacheField name="Price in USD" numFmtId="165">
      <sharedItems containsSemiMixedTypes="0" containsString="0" containsNumber="1" minValue="8.0000000000000004E-4" maxValue="78200"/>
    </cacheField>
    <cacheField name="Total Value in Actual CUR" numFmtId="164">
      <sharedItems containsSemiMixedTypes="0" containsString="0" containsNumber="1" minValue="0" maxValue="2712000"/>
    </cacheField>
    <cacheField name="External Provider Code" numFmtId="0">
      <sharedItems containsBlank="1"/>
    </cacheField>
    <cacheField name="External Provider " numFmtId="0">
      <sharedItems count="92">
        <s v="A.M. COMPONENTS (2005) LTD"/>
        <s v="ACKERMAN Printing &amp; Photoanodize LTD"/>
        <s v="AGAM Technology"/>
        <s v="Agoran Ltd"/>
        <s v="Air Electro, Inc."/>
        <s v="AMPHENOL CANADA"/>
        <s v="Andre Machining LTD"/>
        <s v="ARROW RAPAC LTD"/>
        <s v="Ascotech Electronics Ltd"/>
        <s v="Astute Electronics Inc."/>
        <s v="Avdor Technology Ltd."/>
        <s v="Mouser"/>
        <s v="Avnet Asia Pte. Ltd."/>
        <s v="Micropack"/>
        <s v="CIDEV GROUP LTD"/>
        <s v="DCX"/>
        <s v="DCX-CHOL"/>
        <s v="EBV Elektronik Israel (2008) LTD"/>
        <s v="Ecomal Israel Ltd."/>
        <s v="EIM Systems and Components (1999) Ltd."/>
        <s v="Elbatech ltd."/>
        <s v="Electro Enterprises New York LLC"/>
        <s v="Fastener Technology Corp."/>
        <s v="Digikey"/>
        <s v="Online components"/>
        <s v="Future Electronics"/>
        <s v="GUMIYAN RUBBER INDUSTRY LTD"/>
        <s v="HUANG LIANG TECHNOLOGIES CO., LTD"/>
        <s v="Huang Ling Technology"/>
        <s v="INTERNATIONAL MANUFACTURING SERVICES INC., (IMS)"/>
        <s v="Kaytech"/>
        <s v="Mini Circuits"/>
        <s v="MTI"/>
        <s v="NextWave Technologies Ltd. "/>
        <s v="Nicomatic India Electronics Pvt Ltd"/>
        <s v="NISKO PROJECTS ELECTRONICS &amp; COMMUNICATION (1999) LTD."/>
        <s v="PHOENIX TECHNOLOGIES LTD."/>
        <s v="Pronat Industries Ltd"/>
        <s v="Qorvo US, Inc"/>
        <s v="RABYTE PTE LTD"/>
        <s v="Ray-Q Interconnection Technologies India Pvt Ltd"/>
        <s v="Remtec, Inc.   "/>
        <s v="RFMW Asia Pte Ltd"/>
        <s v="SAMTEC ASIA PACIFIC PTE LTD"/>
        <s v="SEAMAX ENGINEERING PTE LTD"/>
        <s v="SHIRTECH LTD"/>
        <s v="Simat Industries Ltd."/>
        <s v="Starlight"/>
        <s v="STG International Ltd"/>
        <s v="Univa Technologies PTE LTD"/>
        <s v="Wave Mechanics Private Limited"/>
        <s v="WTM"/>
        <s v="YAEL Y.A.D TECHNOLOGIES LTD."/>
        <s v="YAIL NOA LTD AGENCIES"/>
        <s v="Godrej &amp; Boyce Manufacturing Company Ltd"/>
        <s v="GOPALAN AEROSPACE (INDIA) PVT LTD"/>
        <s v="Chemograf LTD"/>
        <s v="PCB tech"/>
        <s v="Elipse Engineering"/>
        <s v="Ohm Power Solutions Ltd"/>
        <s v="Avnet ASIC"/>
        <s v="Aspocomp Group Plc"/>
        <s v="Caravan Oil Suppliers"/>
        <s v="Spectra Innovations INC"/>
        <s v="Aqua Engineering Services"/>
        <s v="Omniscient Associates"/>
        <s v="Elbatech ltd"/>
        <s v="RAPID TECHNOLOGY SOLUTIONS"/>
        <s v="Kaytech Industries Corp"/>
        <s v="TTI INC"/>
        <s v="IAI Elta systems Ltd"/>
        <s v="Nisko"/>
        <s v="Gopalan Aerospace India Pvt. Ltd."/>
        <s v="A. M. Designs Pvt. Ltd."/>
        <s v="Ackerman Printing"/>
        <s v="Alcoats"/>
        <s v="ADVANCED ELECTROMAGNETICS INC"/>
        <s v="Mouser Electronics"/>
        <s v="Divyanshi Aviation Services Pvt. Ltd"/>
        <s v="FED-SPECS "/>
        <s v="Sanvi Connectronics"/>
        <s v="Military Fasteners "/>
        <s v="IMCD Israel Speciality Chemicals And Ingredients"/>
        <s v="STAR LIGHT TECHNOLOGIES LTD"/>
        <s v="LGG Tools"/>
        <s v="Iconix-Cancelled"/>
        <s v="Atagasthya Packaging Pvt Ltd"/>
        <s v="Amar Radio "/>
        <s v="Huber and Suhner Electronics Pvt Ltd"/>
        <s v="RANEAL ADVANCED SYSTEMS PVT LTD"/>
        <s v="Aran Research, Development and Models Ltd"/>
        <s v="Iconix" u="1"/>
      </sharedItems>
    </cacheField>
    <cacheField name="PO Number" numFmtId="0">
      <sharedItems containsBlank="1"/>
    </cacheField>
    <cacheField name="PO Date" numFmtId="168">
      <sharedItems containsSemiMixedTypes="0" containsNonDate="0" containsDate="1" containsString="0" minDate="2024-08-21T00:00:00" maxDate="2025-12-04T00:00:00"/>
    </cacheField>
    <cacheField name="Payment Term" numFmtId="0">
      <sharedItems containsBlank="1"/>
    </cacheField>
    <cacheField name="Incoterms" numFmtId="0">
      <sharedItems containsBlank="1"/>
    </cacheField>
    <cacheField name="OA" numFmtId="0">
      <sharedItems containsBlank="1"/>
    </cacheField>
    <cacheField name="PI Status" numFmtId="0">
      <sharedItems containsBlank="1"/>
    </cacheField>
    <cacheField name="Payment Status" numFmtId="0">
      <sharedItems containsBlank="1"/>
    </cacheField>
    <cacheField name="Intransit Qty" numFmtId="166">
      <sharedItems containsSemiMixedTypes="0" containsString="0" containsNumber="1" containsInteger="1" minValue="0" maxValue="100"/>
    </cacheField>
    <cacheField name="Received Qty" numFmtId="166">
      <sharedItems containsSemiMixedTypes="0" containsString="0" containsNumber="1" containsInteger="1" minValue="0" maxValue="560000"/>
    </cacheField>
    <cacheField name="Bal QTY" numFmtId="166">
      <sharedItems containsSemiMixedTypes="0" containsString="0" containsNumber="1" containsInteger="1" minValue="-7990" maxValue="16000"/>
    </cacheField>
    <cacheField name="ETD Qty 1" numFmtId="0">
      <sharedItems containsString="0" containsBlank="1" containsNumber="1" containsInteger="1" minValue="0" maxValue="39155"/>
    </cacheField>
    <cacheField name="ETD Qty 2" numFmtId="0">
      <sharedItems containsString="0" containsBlank="1" containsNumber="1" containsInteger="1" minValue="-19" maxValue="4085"/>
    </cacheField>
    <cacheField name="ETD Qty 3" numFmtId="0">
      <sharedItems containsString="0" containsBlank="1" containsNumber="1" containsInteger="1" minValue="2" maxValue="675"/>
    </cacheField>
    <cacheField name="ETD Qty 32" numFmtId="0">
      <sharedItems containsString="0" containsBlank="1" containsNumber="1" containsInteger="1" minValue="2" maxValue="40"/>
    </cacheField>
    <cacheField name="ETD1" numFmtId="0">
      <sharedItems containsNonDate="0" containsDate="1" containsString="0" containsBlank="1" minDate="2025-10-31T00:00:00" maxDate="2026-11-16T00:00:00"/>
    </cacheField>
    <cacheField name="ETD2" numFmtId="168">
      <sharedItems containsNonDate="0" containsDate="1" containsString="0" containsBlank="1" minDate="2025-01-09T00:00:00" maxDate="2026-12-16T00:00:00"/>
    </cacheField>
    <cacheField name="ETD3" numFmtId="168">
      <sharedItems containsNonDate="0" containsDate="1" containsString="0" containsBlank="1" minDate="2026-01-19T00:00:00" maxDate="2026-10-16T00:00:00"/>
    </cacheField>
    <cacheField name="ETD4" numFmtId="168">
      <sharedItems containsNonDate="0" containsDate="1" containsString="0" containsBlank="1" minDate="2026-05-15T00:00:00" maxDate="2026-11-16T00:00:00"/>
    </cacheField>
    <cacheField name="ETA" numFmtId="168">
      <sharedItems containsSemiMixedTypes="0" containsNonDate="0" containsDate="1" containsString="0" minDate="1900-01-09T00:00:00" maxDate="2026-11-26T00:00:00"/>
    </cacheField>
    <cacheField name="Remarks" numFmtId="0">
      <sharedItems containsDate="1" containsBlank="1" containsMixedTypes="1" minDate="2025-04-25T00:00:00" maxDate="2025-09-04T00:00:00"/>
    </cacheField>
    <cacheField name="Status" numFmtId="0">
      <sharedItems containsBlank="1"/>
    </cacheField>
    <cacheField name="PO delivery date status " numFmtId="0">
      <sharedItems containsNonDate="0" containsString="0" containsBlank="1"/>
    </cacheField>
    <cacheField name="Ready for shipment" numFmtId="0">
      <sharedItems containsString="0" containsBlank="1" containsNumber="1" containsInteger="1" minValue="3" maxValue="50000"/>
    </cacheField>
    <cacheField name="Remarks2" numFmtId="0">
      <sharedItems containsBlank="1"/>
    </cacheField>
    <cacheField name="Field43" caption="Field43" numFmtId="0">
      <sharedItems containsNonDate="0" containsString="0" containsBlank="1"/>
    </cacheField>
    <cacheField name="Catalog No2" numFmtId="0">
      <sharedItems containsBlank="1" containsMixedTypes="1" containsNumber="1" containsInteger="1" minValue="1" maxValue="880045331"/>
    </cacheField>
    <cacheField name="Internal PN2" numFmtId="0">
      <sharedItems containsBlank="1"/>
    </cacheField>
    <cacheField name="Field46" caption="Field46" numFmtId="0">
      <sharedItems/>
    </cacheField>
    <cacheField name="Open PO value" numFmtId="0">
      <sharedItems containsString="0" containsBlank="1" containsNumber="1" minValue="0" maxValue="2671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0">
  <r>
    <n v="1"/>
    <d v="2024-12-15T00:00:00"/>
    <s v="N80707086"/>
    <s v="EL01-001770-1"/>
    <m/>
    <s v="TERMINATION SMA/M DC-18GHZ 2WATT"/>
    <s v="TRM-2090-MC-SMA-02"/>
    <m/>
    <s v="CINCH CONNECTIVITY SOLUTIONS LTD"/>
    <n v="116"/>
    <s v="EA"/>
    <n v="107.5"/>
    <s v="USD"/>
    <n v="1"/>
    <n v="107.5"/>
    <n v="12470"/>
    <s v="VR000537"/>
    <x v="0"/>
    <s v="PO2425U10528"/>
    <d v="2024-11-25T00:00:00"/>
    <s v="Before shipment"/>
    <s v="EXW"/>
    <m/>
    <s v="Received "/>
    <s v="Yes"/>
    <n v="0"/>
    <n v="116"/>
    <n v="0"/>
    <m/>
    <m/>
    <m/>
    <m/>
    <m/>
    <m/>
    <m/>
    <m/>
    <d v="1900-01-09T00:00:00"/>
    <m/>
    <m/>
    <m/>
    <m/>
    <m/>
    <m/>
    <s v="N80707086"/>
    <s v="EL01-001770"/>
    <s v="EL01-001770"/>
    <m/>
  </r>
  <r>
    <n v="2"/>
    <d v="2025-06-15T00:00:00"/>
    <s v="N80707086"/>
    <s v="EL01-001770-2"/>
    <m/>
    <s v="TERMINATION SMA/M DC-18GHZ 2WATT"/>
    <s v="TRM-2090-MC-SMA-02"/>
    <m/>
    <s v="CINCH CONNECTIVITY SOLUTIONS LTD"/>
    <n v="116"/>
    <s v="EA"/>
    <n v="107.5"/>
    <s v="USD"/>
    <n v="1"/>
    <n v="107.5"/>
    <n v="12470"/>
    <s v="VR000537"/>
    <x v="0"/>
    <s v="PO2425U10528"/>
    <d v="2024-11-25T00:00:00"/>
    <s v="Before shipment"/>
    <s v="EXW"/>
    <m/>
    <m/>
    <m/>
    <n v="0"/>
    <n v="116"/>
    <n v="0"/>
    <m/>
    <m/>
    <m/>
    <m/>
    <m/>
    <m/>
    <m/>
    <m/>
    <d v="1900-01-09T00:00:00"/>
    <m/>
    <m/>
    <m/>
    <m/>
    <m/>
    <m/>
    <s v="N80707086"/>
    <s v="EL01-001770"/>
    <s v="EL01-001770"/>
    <m/>
  </r>
  <r>
    <n v="3"/>
    <d v="2025-09-15T00:00:00"/>
    <s v="N80707086"/>
    <s v="EL01-001770-3"/>
    <m/>
    <s v="TERMINATION SMA/M DC-18GHZ 2WATT"/>
    <s v="TRM-2090-MC-SMA-02"/>
    <m/>
    <s v="CINCH CONNECTIVITY SOLUTIONS LTD"/>
    <n v="116"/>
    <s v="EA"/>
    <n v="107.5"/>
    <s v="USD"/>
    <n v="1"/>
    <n v="107.5"/>
    <n v="12470"/>
    <s v="VR000537"/>
    <x v="0"/>
    <s v="PO2425U10528"/>
    <d v="2024-11-25T00:00:00"/>
    <s v="Before shipment"/>
    <s v="EXW"/>
    <m/>
    <m/>
    <m/>
    <n v="0"/>
    <n v="116"/>
    <n v="0"/>
    <m/>
    <m/>
    <m/>
    <m/>
    <m/>
    <m/>
    <m/>
    <m/>
    <d v="1900-01-09T00:00:00"/>
    <m/>
    <m/>
    <m/>
    <m/>
    <m/>
    <m/>
    <s v="N80707086"/>
    <s v="EL01-001770"/>
    <s v="EL01-001770"/>
    <m/>
  </r>
  <r>
    <n v="4"/>
    <d v="2025-12-15T00:00:00"/>
    <s v="N80707086"/>
    <s v="EL01-001770-4"/>
    <m/>
    <s v="TERMINATION SMA/M DC-18GHZ 2WATT"/>
    <s v="TRM-2090-MC-SMA-02"/>
    <m/>
    <s v="CINCH CONNECTIVITY SOLUTIONS LTD"/>
    <n v="114"/>
    <s v="EA"/>
    <n v="107.5"/>
    <s v="USD"/>
    <n v="1"/>
    <n v="107.5"/>
    <n v="12255"/>
    <s v="VR000537"/>
    <x v="0"/>
    <s v="PO2425U10528"/>
    <d v="2024-11-25T00:00:00"/>
    <s v="Before shipment"/>
    <s v="EXW"/>
    <m/>
    <m/>
    <m/>
    <n v="0"/>
    <n v="114"/>
    <n v="0"/>
    <m/>
    <m/>
    <m/>
    <m/>
    <m/>
    <m/>
    <m/>
    <m/>
    <d v="1900-01-09T00:00:00"/>
    <m/>
    <m/>
    <m/>
    <m/>
    <m/>
    <m/>
    <s v="N80707086"/>
    <s v="EL01-001770"/>
    <s v="EL01-001770"/>
    <m/>
  </r>
  <r>
    <n v="5"/>
    <d v="2024-12-15T00:00:00"/>
    <n v="413256893"/>
    <s v="EL01-000250-1"/>
    <m/>
    <s v="LIFTING LABEL"/>
    <s v="1037M844-001"/>
    <s v="-"/>
    <s v="ACKERMAN"/>
    <n v="260"/>
    <s v="EA"/>
    <n v="0.9"/>
    <s v="USD"/>
    <n v="1"/>
    <n v="0.9"/>
    <n v="234"/>
    <s v="VR000047"/>
    <x v="1"/>
    <s v="PO2425U10429"/>
    <d v="2024-10-28T00:00:00"/>
    <s v="Net 30 Days"/>
    <s v="EXW"/>
    <s v="Yes"/>
    <s v="Received "/>
    <s v="Done"/>
    <n v="0"/>
    <n v="260"/>
    <n v="0"/>
    <m/>
    <m/>
    <m/>
    <m/>
    <m/>
    <m/>
    <m/>
    <m/>
    <d v="1900-01-09T00:00:00"/>
    <m/>
    <m/>
    <m/>
    <m/>
    <m/>
    <m/>
    <n v="413256893"/>
    <s v="EL01-000250"/>
    <s v="EL01-000250"/>
    <m/>
  </r>
  <r>
    <n v="6"/>
    <d v="2024-12-15T00:00:00"/>
    <n v="417305026"/>
    <s v="EL01-002016-1"/>
    <m/>
    <s v="NAME PLATE FOR RF ADAPTOR"/>
    <s v="1094Y691-001"/>
    <s v="-"/>
    <s v="ACKERMAN"/>
    <n v="520"/>
    <s v="EA"/>
    <n v="1.6"/>
    <s v="USD"/>
    <n v="1"/>
    <n v="1.6"/>
    <n v="832"/>
    <s v="VR000047"/>
    <x v="1"/>
    <s v="PO2425U10429"/>
    <d v="2024-10-28T00:00:00"/>
    <s v="Net 30 Days"/>
    <s v="EXW"/>
    <s v="Yes"/>
    <s v="Received "/>
    <s v="Done"/>
    <n v="0"/>
    <n v="520"/>
    <n v="0"/>
    <m/>
    <m/>
    <m/>
    <m/>
    <m/>
    <m/>
    <m/>
    <m/>
    <d v="1900-01-09T00:00:00"/>
    <m/>
    <m/>
    <m/>
    <m/>
    <m/>
    <m/>
    <n v="417305026"/>
    <s v="EL01-002016"/>
    <s v="EL01-002016"/>
    <m/>
  </r>
  <r>
    <n v="7"/>
    <d v="2024-12-15T00:00:00"/>
    <n v="410810136"/>
    <s v="EL01-002022-1"/>
    <m/>
    <s v="LABEL KIT FOR CONNECTORS"/>
    <s v="1096L955-001"/>
    <s v="-"/>
    <s v="ACKERMAN"/>
    <n v="130"/>
    <s v="EA"/>
    <n v="7"/>
    <s v="USD"/>
    <n v="1"/>
    <n v="7"/>
    <n v="910"/>
    <s v="VR000047"/>
    <x v="1"/>
    <s v="PO2425U10429"/>
    <d v="2024-10-28T00:00:00"/>
    <s v="Net 30 Days"/>
    <s v="EXW"/>
    <s v="Yes"/>
    <s v="Received "/>
    <s v="Done"/>
    <n v="0"/>
    <n v="130"/>
    <n v="0"/>
    <m/>
    <m/>
    <m/>
    <m/>
    <m/>
    <m/>
    <m/>
    <m/>
    <d v="1900-01-09T00:00:00"/>
    <m/>
    <m/>
    <m/>
    <m/>
    <m/>
    <m/>
    <n v="410810136"/>
    <s v="EL01-002022"/>
    <s v="EL01-002022"/>
    <m/>
  </r>
  <r>
    <n v="8"/>
    <d v="2024-12-15T00:00:00"/>
    <n v="410810149"/>
    <s v="EL01-002024-1"/>
    <m/>
    <s v="NAME PLATE"/>
    <s v="1096L964-001"/>
    <s v="-"/>
    <s v="ACKERMAN"/>
    <n v="130"/>
    <s v="EA"/>
    <n v="3.6"/>
    <s v="USD"/>
    <n v="1"/>
    <n v="3.6"/>
    <n v="468"/>
    <s v="VR000047"/>
    <x v="1"/>
    <s v="PO2425U10429"/>
    <d v="2024-10-28T00:00:00"/>
    <s v="Net 30 Days"/>
    <s v="EXW"/>
    <s v="Yes"/>
    <s v="Received "/>
    <s v="Done"/>
    <n v="0"/>
    <n v="130"/>
    <n v="0"/>
    <m/>
    <m/>
    <m/>
    <m/>
    <m/>
    <m/>
    <m/>
    <m/>
    <d v="1900-01-09T00:00:00"/>
    <m/>
    <m/>
    <m/>
    <m/>
    <m/>
    <m/>
    <n v="410810149"/>
    <s v="EL01-002024"/>
    <s v="EL01-002024"/>
    <m/>
  </r>
  <r>
    <n v="9"/>
    <d v="2024-12-15T00:00:00"/>
    <n v="410810150"/>
    <s v="EL01-002025-1"/>
    <m/>
    <s v="LABEL KIT FOR CONNECTORS"/>
    <s v="1096L965-001"/>
    <s v="-"/>
    <s v="ACKERMAN"/>
    <n v="130"/>
    <s v="EA"/>
    <n v="7.5"/>
    <s v="USD"/>
    <n v="1"/>
    <n v="7.5"/>
    <n v="975"/>
    <s v="VR000047"/>
    <x v="1"/>
    <s v="PO2425U10429"/>
    <d v="2024-10-28T00:00:00"/>
    <s v="Net 30 Days"/>
    <s v="EXW"/>
    <s v="Yes"/>
    <s v="Received "/>
    <s v="Done"/>
    <n v="0"/>
    <n v="130"/>
    <n v="0"/>
    <m/>
    <m/>
    <m/>
    <m/>
    <m/>
    <m/>
    <m/>
    <m/>
    <d v="1900-01-09T00:00:00"/>
    <m/>
    <m/>
    <m/>
    <m/>
    <m/>
    <m/>
    <n v="410810150"/>
    <s v="EL01-002025"/>
    <s v="EL01-002025"/>
    <m/>
  </r>
  <r>
    <n v="10"/>
    <d v="2024-12-15T00:00:00"/>
    <n v="410398267"/>
    <s v="EL01-002028-1"/>
    <m/>
    <s v="NAME PLATE SMR GROUP LEFT"/>
    <s v="6931A081-001"/>
    <s v="-"/>
    <s v="ACKERMAN"/>
    <n v="130"/>
    <s v="EA"/>
    <n v="1.7"/>
    <s v="USD"/>
    <n v="1"/>
    <n v="1.7"/>
    <n v="221"/>
    <s v="VR000047"/>
    <x v="1"/>
    <s v="PO2425U10429"/>
    <d v="2024-10-28T00:00:00"/>
    <s v="Net 30 Days"/>
    <s v="EXW"/>
    <s v="Yes"/>
    <s v="Received "/>
    <s v="Done"/>
    <n v="0"/>
    <n v="130"/>
    <n v="0"/>
    <m/>
    <m/>
    <m/>
    <m/>
    <m/>
    <m/>
    <m/>
    <m/>
    <d v="1900-01-09T00:00:00"/>
    <m/>
    <m/>
    <m/>
    <m/>
    <m/>
    <m/>
    <n v="410398267"/>
    <s v="EL01-002028"/>
    <s v="EL01-002028"/>
    <m/>
  </r>
  <r>
    <n v="11"/>
    <d v="2024-12-15T00:00:00"/>
    <n v="410398269"/>
    <s v="EL01-002030-1"/>
    <m/>
    <s v="NAME PLATE SMR GROUP RIGHT"/>
    <s v="6931A091-001"/>
    <s v="-"/>
    <s v="ACKERMAN"/>
    <n v="130"/>
    <s v="EA"/>
    <n v="1.7"/>
    <s v="USD"/>
    <n v="1"/>
    <n v="1.7"/>
    <n v="221"/>
    <s v="VR000047"/>
    <x v="1"/>
    <s v="PO2425U10429"/>
    <d v="2024-10-28T00:00:00"/>
    <s v="Net 30 Days"/>
    <s v="EXW"/>
    <s v="Yes"/>
    <s v="Received "/>
    <s v="Done"/>
    <n v="0"/>
    <n v="130"/>
    <n v="0"/>
    <m/>
    <m/>
    <m/>
    <m/>
    <m/>
    <m/>
    <m/>
    <m/>
    <d v="1900-01-09T00:00:00"/>
    <m/>
    <m/>
    <m/>
    <m/>
    <m/>
    <m/>
    <n v="410398269"/>
    <s v="EL01-002030"/>
    <s v="EL01-002030"/>
    <m/>
  </r>
  <r>
    <n v="12"/>
    <d v="2024-12-15T00:00:00"/>
    <n v="410810137"/>
    <s v="EL01-002032-1"/>
    <m/>
    <s v="NAMEPLATE"/>
    <s v="6931A201-001"/>
    <s v="-"/>
    <s v="ACKERMAN"/>
    <n v="142"/>
    <s v="EA"/>
    <n v="2.2000000000000002"/>
    <s v="USD"/>
    <n v="1"/>
    <n v="2.2000000000000002"/>
    <n v="312.40000000000003"/>
    <s v="VR000047"/>
    <x v="1"/>
    <s v="PO2425U10429"/>
    <d v="2024-10-28T00:00:00"/>
    <s v="Net 30 Days"/>
    <s v="EXW"/>
    <s v="Yes"/>
    <s v="Received "/>
    <s v="Done"/>
    <n v="0"/>
    <n v="142"/>
    <n v="0"/>
    <m/>
    <m/>
    <m/>
    <m/>
    <m/>
    <m/>
    <m/>
    <m/>
    <d v="1900-01-09T00:00:00"/>
    <m/>
    <m/>
    <m/>
    <m/>
    <m/>
    <m/>
    <n v="410810137"/>
    <s v="EL01-002032"/>
    <s v="EL01-002032"/>
    <m/>
  </r>
  <r>
    <n v="13"/>
    <d v="2024-12-15T00:00:00"/>
    <n v="411164849"/>
    <s v="EL01-001909-1"/>
    <m/>
    <s v="TRA S/ASSY NAMEPLATE"/>
    <s v="1096M279-001"/>
    <s v="-"/>
    <s v="ACKERMAN"/>
    <n v="539"/>
    <s v="EA"/>
    <n v="2.2000000000000002"/>
    <s v="USD"/>
    <n v="1"/>
    <n v="2.2000000000000002"/>
    <n v="1185.8000000000002"/>
    <s v="VR000047"/>
    <x v="1"/>
    <s v="PO2425U10429"/>
    <d v="2024-10-28T00:00:00"/>
    <s v="Net 30 Days"/>
    <s v="EXW"/>
    <s v="Yes"/>
    <s v="Received "/>
    <s v="Done"/>
    <n v="0"/>
    <n v="539"/>
    <n v="0"/>
    <m/>
    <m/>
    <m/>
    <m/>
    <m/>
    <m/>
    <m/>
    <m/>
    <d v="1900-01-09T00:00:00"/>
    <m/>
    <m/>
    <m/>
    <m/>
    <m/>
    <m/>
    <n v="411164849"/>
    <s v="EL01-001909"/>
    <s v="EL01-001909"/>
    <m/>
  </r>
  <r>
    <n v="14"/>
    <d v="2024-12-15T00:00:00"/>
    <n v="411031350"/>
    <s v="EL01-001912-1"/>
    <m/>
    <s v="TRA NAMEPLATE"/>
    <s v="1096M289-001"/>
    <s v="-"/>
    <s v="ACKERMAN"/>
    <n v="539"/>
    <s v="EA"/>
    <n v="2.2000000000000002"/>
    <s v="USD"/>
    <n v="1"/>
    <n v="2.2000000000000002"/>
    <n v="1185.8000000000002"/>
    <s v="VR000047"/>
    <x v="1"/>
    <s v="PO2425U10429"/>
    <d v="2024-10-28T00:00:00"/>
    <s v="Net 30 Days"/>
    <s v="EXW"/>
    <s v="Yes"/>
    <s v="Received "/>
    <s v="Done"/>
    <n v="0"/>
    <n v="539"/>
    <n v="0"/>
    <m/>
    <m/>
    <m/>
    <m/>
    <m/>
    <m/>
    <m/>
    <m/>
    <d v="1900-01-09T00:00:00"/>
    <m/>
    <m/>
    <m/>
    <m/>
    <m/>
    <m/>
    <n v="411031350"/>
    <s v="EL01-001912"/>
    <s v="EL01-001912"/>
    <m/>
  </r>
  <r>
    <n v="15"/>
    <d v="2024-12-15T00:00:00"/>
    <n v="411031351"/>
    <s v="EL01-001916-1"/>
    <m/>
    <s v="RA NAMEPLATE"/>
    <s v="1096M299-001"/>
    <s v="-"/>
    <s v="ACKERMAN"/>
    <n v="528"/>
    <s v="EA"/>
    <n v="2.2000000000000002"/>
    <s v="USD"/>
    <n v="1"/>
    <n v="2.2000000000000002"/>
    <n v="1161.6000000000001"/>
    <s v="VR000047"/>
    <x v="1"/>
    <s v="PO2425U10429"/>
    <d v="2024-10-28T00:00:00"/>
    <s v="Net 30 Days"/>
    <s v="EXW"/>
    <s v="Yes"/>
    <s v="Received "/>
    <s v="Done"/>
    <n v="0"/>
    <n v="528"/>
    <n v="0"/>
    <m/>
    <m/>
    <m/>
    <m/>
    <m/>
    <m/>
    <m/>
    <m/>
    <d v="1900-01-09T00:00:00"/>
    <m/>
    <m/>
    <m/>
    <m/>
    <m/>
    <m/>
    <n v="411031351"/>
    <s v="EL01-001916"/>
    <s v="EL01-001916"/>
    <m/>
  </r>
  <r>
    <n v="16"/>
    <d v="2024-12-15T00:00:00"/>
    <n v="410825593"/>
    <s v="EL01-001876-1"/>
    <m/>
    <s v="NAMEPLATE"/>
    <s v="1038B801-001"/>
    <s v="-"/>
    <s v="ACKERMAN"/>
    <n v="226"/>
    <s v="EA"/>
    <n v="1.5"/>
    <s v="USD"/>
    <n v="1"/>
    <n v="1.5"/>
    <n v="339"/>
    <s v="VR000047"/>
    <x v="1"/>
    <s v="PO2425U10429"/>
    <d v="2024-10-28T00:00:00"/>
    <s v="Net 30 Days"/>
    <s v="EXW"/>
    <s v="Yes"/>
    <s v="Received "/>
    <s v="Done"/>
    <n v="0"/>
    <n v="226"/>
    <n v="0"/>
    <m/>
    <m/>
    <m/>
    <m/>
    <m/>
    <m/>
    <m/>
    <m/>
    <d v="1900-01-09T00:00:00"/>
    <m/>
    <m/>
    <m/>
    <m/>
    <m/>
    <m/>
    <n v="410825593"/>
    <s v="EL01-001876"/>
    <s v="EL01-001876"/>
    <m/>
  </r>
  <r>
    <n v="17"/>
    <d v="2024-12-15T00:00:00"/>
    <n v="415251805"/>
    <s v="EL01-001906-1"/>
    <m/>
    <s v="NAMEPLATE J100"/>
    <s v="1094V829-001"/>
    <s v="-"/>
    <s v="ACKERMAN"/>
    <n v="1067"/>
    <s v="EA"/>
    <n v="0.95"/>
    <s v="USD"/>
    <n v="1"/>
    <n v="0.95"/>
    <n v="1013.65"/>
    <s v="VR000047"/>
    <x v="1"/>
    <s v="PO2425U10429"/>
    <d v="2024-10-28T00:00:00"/>
    <s v="Net 30 Days"/>
    <s v="EXW"/>
    <s v="Yes"/>
    <s v="Received "/>
    <s v="Done"/>
    <n v="0"/>
    <n v="1067"/>
    <n v="0"/>
    <m/>
    <m/>
    <m/>
    <m/>
    <m/>
    <m/>
    <m/>
    <m/>
    <d v="1900-01-09T00:00:00"/>
    <m/>
    <m/>
    <m/>
    <m/>
    <m/>
    <m/>
    <n v="415251805"/>
    <s v="EL01-001906"/>
    <s v="EL01-001906"/>
    <m/>
  </r>
  <r>
    <n v="18"/>
    <d v="2024-12-15T00:00:00"/>
    <n v="410825592"/>
    <s v="EL01-001878-1"/>
    <m/>
    <s v="NAMEPLATE"/>
    <s v="1038B851-001"/>
    <s v=" -"/>
    <s v="ACKERMAN"/>
    <n v="231"/>
    <s v="EA"/>
    <n v="1.5"/>
    <s v="USD"/>
    <n v="1"/>
    <n v="1.5"/>
    <n v="346.5"/>
    <s v="VR000047"/>
    <x v="1"/>
    <s v="PO2425U10527"/>
    <d v="2024-11-25T00:00:00"/>
    <s v="Net 30 Days"/>
    <s v="EXW"/>
    <s v="Yes"/>
    <s v="Received "/>
    <s v="Done"/>
    <n v="0"/>
    <n v="231"/>
    <n v="0"/>
    <m/>
    <m/>
    <m/>
    <m/>
    <m/>
    <m/>
    <m/>
    <m/>
    <d v="1900-01-09T00:00:00"/>
    <m/>
    <m/>
    <m/>
    <m/>
    <m/>
    <m/>
    <n v="410825592"/>
    <s v="EL01-001878"/>
    <s v="EL01-001878"/>
    <m/>
  </r>
  <r>
    <n v="19"/>
    <d v="2024-12-15T00:00:00"/>
    <n v="417759787"/>
    <s v="EL01-001940-1"/>
    <m/>
    <s v="LABLE  LOAD -10DB"/>
    <s v="1099M273-002"/>
    <s v=" -"/>
    <s v="ACKERMAN"/>
    <n v="231"/>
    <s v="EA"/>
    <n v="1.1000000000000001"/>
    <s v="USD"/>
    <n v="1"/>
    <n v="1.1000000000000001"/>
    <n v="254.10000000000002"/>
    <s v="VR000047"/>
    <x v="1"/>
    <s v="PO2425U10527"/>
    <d v="2024-11-25T00:00:00"/>
    <s v="Net 30 Days"/>
    <s v="EXW"/>
    <s v="Yes"/>
    <s v="Received "/>
    <s v="Done"/>
    <n v="0"/>
    <n v="231"/>
    <n v="0"/>
    <m/>
    <m/>
    <m/>
    <m/>
    <m/>
    <m/>
    <m/>
    <m/>
    <d v="1900-01-09T00:00:00"/>
    <m/>
    <s v="Received"/>
    <m/>
    <m/>
    <m/>
    <m/>
    <n v="417759787"/>
    <s v="EL01-001940"/>
    <s v="EL01-001940"/>
    <m/>
  </r>
  <r>
    <n v="20"/>
    <d v="2024-12-15T00:00:00"/>
    <n v="423199571"/>
    <s v="EL01-001942-1"/>
    <m/>
    <s v="NAME PLATE ANT. ASSY."/>
    <s v="1099M311-002"/>
    <s v=" -"/>
    <s v="ACKERMAN"/>
    <n v="231"/>
    <s v="EA"/>
    <n v="1.1000000000000001"/>
    <s v="USD"/>
    <n v="1"/>
    <n v="1.1000000000000001"/>
    <n v="254.10000000000002"/>
    <s v="VR000047"/>
    <x v="1"/>
    <s v="PO2425U10527"/>
    <d v="2024-11-25T00:00:00"/>
    <s v="Net 30 Days"/>
    <s v="EXW"/>
    <s v="Yes"/>
    <s v="Received "/>
    <s v="Done"/>
    <n v="0"/>
    <n v="231"/>
    <n v="0"/>
    <m/>
    <m/>
    <m/>
    <m/>
    <m/>
    <m/>
    <m/>
    <m/>
    <d v="1900-01-09T00:00:00"/>
    <m/>
    <m/>
    <m/>
    <m/>
    <m/>
    <m/>
    <n v="423199571"/>
    <s v="EL01-001942"/>
    <s v="EL01-001942"/>
    <m/>
  </r>
  <r>
    <n v="21"/>
    <d v="2024-12-15T00:00:00"/>
    <n v="417711848"/>
    <s v="EL01-001960-1"/>
    <m/>
    <s v="LABLES KIT 1"/>
    <s v="1099M370-001"/>
    <s v=" -"/>
    <s v="ACKERMAN"/>
    <n v="58"/>
    <s v="EA"/>
    <n v="480"/>
    <s v="USD"/>
    <n v="1"/>
    <n v="480"/>
    <n v="27840"/>
    <s v="VR000047"/>
    <x v="1"/>
    <s v="PO2425U10527"/>
    <d v="2024-11-25T00:00:00"/>
    <s v="Net 30 Days"/>
    <s v="EXW"/>
    <s v="Yes"/>
    <s v="Received "/>
    <s v="Done"/>
    <n v="0"/>
    <n v="58"/>
    <n v="0"/>
    <m/>
    <m/>
    <m/>
    <m/>
    <m/>
    <m/>
    <m/>
    <m/>
    <d v="1900-01-09T00:00:00"/>
    <m/>
    <s v="Received"/>
    <m/>
    <m/>
    <m/>
    <m/>
    <n v="417711848"/>
    <s v="EL01-001960"/>
    <s v="EL01-001960"/>
    <m/>
  </r>
  <r>
    <n v="22"/>
    <d v="2024-12-15T00:00:00"/>
    <n v="417711846"/>
    <s v="EL01-001961-1"/>
    <m/>
    <s v="LABLES KIT 2"/>
    <s v="1099M371-001"/>
    <s v=" -"/>
    <s v="ACKERMAN"/>
    <n v="58"/>
    <s v="EA"/>
    <n v="480"/>
    <s v="USD"/>
    <n v="1"/>
    <n v="480"/>
    <n v="27840"/>
    <s v="VR000047"/>
    <x v="1"/>
    <s v="PO2425U10527"/>
    <d v="2024-11-25T00:00:00"/>
    <s v="Net 30 Days"/>
    <s v="EXW"/>
    <s v="Yes"/>
    <s v="Received "/>
    <s v="Done"/>
    <n v="0"/>
    <n v="58"/>
    <n v="0"/>
    <m/>
    <m/>
    <m/>
    <m/>
    <m/>
    <m/>
    <m/>
    <m/>
    <d v="1900-01-09T00:00:00"/>
    <m/>
    <s v="Received"/>
    <m/>
    <m/>
    <m/>
    <m/>
    <n v="417711846"/>
    <s v="EL01-001961"/>
    <s v="EL01-001961"/>
    <m/>
  </r>
  <r>
    <n v="23"/>
    <d v="2024-12-15T00:00:00"/>
    <n v="423199570"/>
    <s v="EL01-001964-1"/>
    <m/>
    <s v="NAME PLATE FOR ANT. CIWS"/>
    <s v="1099R709-001"/>
    <s v=" -"/>
    <s v="ACKERMAN"/>
    <n v="231"/>
    <s v="EA"/>
    <n v="1.1000000000000001"/>
    <s v="USD"/>
    <n v="1"/>
    <n v="1.1000000000000001"/>
    <n v="254.10000000000002"/>
    <s v="VR000047"/>
    <x v="1"/>
    <s v="PO2425U10527"/>
    <d v="2024-11-25T00:00:00"/>
    <s v="Net 30 Days"/>
    <s v="EXW"/>
    <s v="Yes"/>
    <s v="Received "/>
    <s v="Done"/>
    <n v="0"/>
    <n v="231"/>
    <n v="0"/>
    <m/>
    <m/>
    <m/>
    <m/>
    <m/>
    <m/>
    <m/>
    <m/>
    <d v="1900-01-09T00:00:00"/>
    <m/>
    <m/>
    <m/>
    <m/>
    <m/>
    <m/>
    <n v="423199570"/>
    <s v="EL01-001964"/>
    <s v="EL01-001964"/>
    <m/>
  </r>
  <r>
    <n v="24"/>
    <d v="2025-06-15T00:00:00"/>
    <n v="417711848"/>
    <s v="EL01-001960-2"/>
    <m/>
    <s v="LABLES KIT 1"/>
    <s v="1099M370-001"/>
    <s v=" -"/>
    <s v="ACKERMAN"/>
    <n v="58"/>
    <s v="EA"/>
    <n v="480"/>
    <s v="USD"/>
    <n v="1"/>
    <n v="480"/>
    <n v="27840"/>
    <s v="VR000047"/>
    <x v="1"/>
    <s v="PO2425U10527"/>
    <d v="2024-11-25T00:00:00"/>
    <s v="Net 30 Days"/>
    <s v="EXW"/>
    <m/>
    <m/>
    <m/>
    <n v="0"/>
    <n v="58"/>
    <n v="0"/>
    <m/>
    <m/>
    <m/>
    <m/>
    <m/>
    <m/>
    <m/>
    <m/>
    <d v="1900-01-09T00:00:00"/>
    <m/>
    <m/>
    <m/>
    <m/>
    <m/>
    <m/>
    <n v="417711848"/>
    <s v="EL01-001960"/>
    <s v="EL01-001960"/>
    <m/>
  </r>
  <r>
    <n v="25"/>
    <d v="2025-09-15T00:00:00"/>
    <n v="417711848"/>
    <s v="EL01-001960-3"/>
    <m/>
    <s v="LABLES KIT 1"/>
    <s v="1099M370-001"/>
    <s v=" -"/>
    <s v="ACKERMAN"/>
    <n v="58"/>
    <s v="EA"/>
    <n v="480"/>
    <s v="USD"/>
    <n v="1"/>
    <n v="480"/>
    <n v="27840"/>
    <s v="VR000047"/>
    <x v="1"/>
    <s v="PO2425U10527"/>
    <d v="2024-11-25T00:00:00"/>
    <s v="Net 30 Days"/>
    <s v="EXW"/>
    <m/>
    <m/>
    <m/>
    <n v="0"/>
    <n v="58"/>
    <n v="0"/>
    <m/>
    <m/>
    <m/>
    <m/>
    <m/>
    <m/>
    <m/>
    <m/>
    <d v="1900-01-09T00:00:00"/>
    <m/>
    <m/>
    <m/>
    <m/>
    <m/>
    <m/>
    <n v="417711848"/>
    <s v="EL01-001960"/>
    <s v="EL01-001960"/>
    <m/>
  </r>
  <r>
    <n v="26"/>
    <d v="2025-12-15T00:00:00"/>
    <n v="417711848"/>
    <s v="EL01-001960-4"/>
    <m/>
    <s v="LABLES KIT 1"/>
    <s v="1099M370-001"/>
    <s v=" -"/>
    <s v="ACKERMAN"/>
    <n v="57"/>
    <s v="EA"/>
    <n v="480"/>
    <s v="USD"/>
    <n v="1"/>
    <n v="480"/>
    <n v="27360"/>
    <s v="VR000047"/>
    <x v="1"/>
    <s v="PO2425U10527"/>
    <d v="2024-11-25T00:00:00"/>
    <s v="Net 30 Days"/>
    <s v="EXW"/>
    <m/>
    <m/>
    <m/>
    <n v="0"/>
    <n v="57"/>
    <n v="0"/>
    <n v="57"/>
    <m/>
    <m/>
    <m/>
    <d v="2025-11-30T00:00:00"/>
    <m/>
    <m/>
    <m/>
    <d v="2025-12-10T00:00:00"/>
    <m/>
    <m/>
    <m/>
    <m/>
    <m/>
    <m/>
    <n v="417711848"/>
    <s v="EL01-001960"/>
    <s v="EL01-001960"/>
    <m/>
  </r>
  <r>
    <n v="27"/>
    <d v="2025-06-15T00:00:00"/>
    <n v="417711846"/>
    <s v="EL01-001961-2"/>
    <m/>
    <s v="LABLES KIT 2"/>
    <s v="1099M371-001"/>
    <s v=" -"/>
    <s v="ACKERMAN"/>
    <n v="58"/>
    <s v="EA"/>
    <n v="480"/>
    <s v="USD"/>
    <n v="1"/>
    <n v="480"/>
    <n v="27840"/>
    <s v="VR000047"/>
    <x v="1"/>
    <s v="PO2425U10527"/>
    <d v="2024-11-25T00:00:00"/>
    <s v="Net 30 Days"/>
    <s v="EXW"/>
    <m/>
    <m/>
    <m/>
    <n v="0"/>
    <n v="57"/>
    <n v="1"/>
    <m/>
    <m/>
    <m/>
    <m/>
    <d v="2025-11-15T00:00:00"/>
    <m/>
    <m/>
    <m/>
    <d v="2025-11-25T00:00:00"/>
    <m/>
    <m/>
    <m/>
    <m/>
    <m/>
    <m/>
    <n v="417711846"/>
    <s v="EL01-001961"/>
    <s v="EL01-001961"/>
    <n v="480"/>
  </r>
  <r>
    <n v="28"/>
    <d v="2025-09-15T00:00:00"/>
    <n v="417711846"/>
    <s v="EL01-001961-3"/>
    <m/>
    <s v="LABLES KIT 2"/>
    <s v="1099M371-001"/>
    <s v=" -"/>
    <s v="ACKERMAN"/>
    <n v="58"/>
    <s v="EA"/>
    <n v="480"/>
    <s v="USD"/>
    <n v="1"/>
    <n v="480"/>
    <n v="27840"/>
    <s v="VR000047"/>
    <x v="1"/>
    <s v="PO2425U10527"/>
    <d v="2024-11-25T00:00:00"/>
    <s v="Net 30 Days"/>
    <s v="EXW"/>
    <m/>
    <m/>
    <m/>
    <n v="0"/>
    <n v="58"/>
    <n v="0"/>
    <m/>
    <m/>
    <m/>
    <m/>
    <m/>
    <m/>
    <m/>
    <m/>
    <d v="1900-01-09T00:00:00"/>
    <m/>
    <m/>
    <m/>
    <m/>
    <m/>
    <m/>
    <n v="417711846"/>
    <s v="EL01-001961"/>
    <s v="EL01-001961"/>
    <m/>
  </r>
  <r>
    <n v="29"/>
    <d v="2025-12-15T00:00:00"/>
    <n v="417711846"/>
    <s v="EL01-001961-4"/>
    <m/>
    <s v="LABLES KIT 2"/>
    <s v="1099M371-001"/>
    <s v=" -"/>
    <s v="ACKERMAN"/>
    <n v="57"/>
    <s v="EA"/>
    <n v="480"/>
    <s v="USD"/>
    <n v="1"/>
    <n v="480"/>
    <n v="27360"/>
    <s v="VR000047"/>
    <x v="1"/>
    <s v="PO2425U10527"/>
    <d v="2024-11-25T00:00:00"/>
    <s v="Net 30 Days"/>
    <s v="EXW"/>
    <m/>
    <m/>
    <m/>
    <n v="0"/>
    <n v="57"/>
    <n v="0"/>
    <n v="57"/>
    <m/>
    <m/>
    <m/>
    <d v="2025-11-30T00:00:00"/>
    <m/>
    <m/>
    <m/>
    <d v="2025-12-10T00:00:00"/>
    <m/>
    <m/>
    <m/>
    <m/>
    <m/>
    <m/>
    <n v="417711846"/>
    <s v="EL01-001961"/>
    <s v="EL01-001961"/>
    <m/>
  </r>
  <r>
    <n v="30"/>
    <d v="2024-12-15T00:00:00"/>
    <n v="412754351"/>
    <s v="EL01-001995-1"/>
    <m/>
    <s v="RIGHT TUNNEL ADAPTOR"/>
    <s v="1037M833-001"/>
    <s v="F"/>
    <s v="AGAM"/>
    <n v="33"/>
    <s v="EA"/>
    <n v="465"/>
    <s v="USD"/>
    <n v="1"/>
    <n v="465"/>
    <n v="15345"/>
    <s v="VR000532"/>
    <x v="2"/>
    <s v="PO2425U10464"/>
    <d v="2024-11-04T00:00:00"/>
    <s v="Before shipment"/>
    <s v="EXW"/>
    <s v="No"/>
    <m/>
    <m/>
    <n v="0"/>
    <n v="10"/>
    <n v="23"/>
    <n v="33"/>
    <m/>
    <m/>
    <m/>
    <m/>
    <m/>
    <m/>
    <m/>
    <d v="1900-01-09T00:00:00"/>
    <m/>
    <m/>
    <m/>
    <m/>
    <m/>
    <m/>
    <n v="412754351"/>
    <s v="EL01-001995"/>
    <s v="EL01-001995"/>
    <n v="10695"/>
  </r>
  <r>
    <n v="31"/>
    <d v="2025-06-15T00:00:00"/>
    <n v="412754351"/>
    <s v="EL01-001995-2"/>
    <m/>
    <s v="RIGHT TUNNEL ADAPTOR"/>
    <s v="1037M833-001"/>
    <s v="F"/>
    <s v="AGAM"/>
    <n v="33"/>
    <s v="EA"/>
    <n v="465"/>
    <s v="USD"/>
    <n v="1"/>
    <n v="465"/>
    <n v="15345"/>
    <s v="VR000532"/>
    <x v="2"/>
    <s v="PO2425U10464"/>
    <d v="2024-11-04T00:00:00"/>
    <s v="Before shipment"/>
    <s v="EXW"/>
    <s v="No"/>
    <m/>
    <m/>
    <n v="0"/>
    <n v="0"/>
    <n v="33"/>
    <n v="33"/>
    <m/>
    <m/>
    <m/>
    <m/>
    <d v="2025-06-15T00:00:00"/>
    <m/>
    <m/>
    <d v="1900-01-09T00:00:00"/>
    <m/>
    <m/>
    <m/>
    <m/>
    <m/>
    <m/>
    <n v="412754351"/>
    <s v="EL01-001995"/>
    <s v="EL01-001995"/>
    <n v="15345"/>
  </r>
  <r>
    <n v="32"/>
    <d v="2025-09-15T00:00:00"/>
    <n v="412754351"/>
    <s v="EL01-001995-3"/>
    <m/>
    <s v="RIGHT TUNNEL ADAPTOR"/>
    <s v="1037M833-001"/>
    <s v="F"/>
    <s v="AGAM"/>
    <n v="33"/>
    <s v="EA"/>
    <n v="465"/>
    <s v="USD"/>
    <n v="1"/>
    <n v="465"/>
    <n v="15345"/>
    <s v="VR000532"/>
    <x v="2"/>
    <s v="PO2425U10464"/>
    <d v="2024-11-04T00:00:00"/>
    <s v="Before shipment"/>
    <s v="EXW"/>
    <s v="No"/>
    <m/>
    <m/>
    <n v="0"/>
    <n v="0"/>
    <n v="33"/>
    <n v="33"/>
    <m/>
    <m/>
    <m/>
    <m/>
    <d v="2025-09-15T00:00:00"/>
    <m/>
    <m/>
    <d v="1900-01-09T00:00:00"/>
    <m/>
    <m/>
    <m/>
    <m/>
    <m/>
    <m/>
    <n v="412754351"/>
    <s v="EL01-001995"/>
    <s v="EL01-001995"/>
    <n v="15345"/>
  </r>
  <r>
    <n v="33"/>
    <d v="2025-12-15T00:00:00"/>
    <n v="412754351"/>
    <s v="EL01-001995-4"/>
    <m/>
    <s v="RIGHT TUNNEL ADAPTOR"/>
    <s v="1037M833-001"/>
    <s v="F"/>
    <s v="AGAM"/>
    <n v="31"/>
    <s v="EA"/>
    <n v="465"/>
    <s v="USD"/>
    <n v="1"/>
    <n v="465"/>
    <n v="14415"/>
    <s v="VR000532"/>
    <x v="2"/>
    <s v="PO2425U10464"/>
    <d v="2024-11-04T00:00:00"/>
    <s v="Before shipment"/>
    <s v="EXW"/>
    <s v="No"/>
    <m/>
    <m/>
    <n v="0"/>
    <n v="0"/>
    <n v="31"/>
    <n v="31"/>
    <m/>
    <m/>
    <m/>
    <m/>
    <d v="2025-12-15T00:00:00"/>
    <m/>
    <m/>
    <d v="1900-01-09T00:00:00"/>
    <m/>
    <m/>
    <m/>
    <m/>
    <m/>
    <m/>
    <n v="412754351"/>
    <s v="EL01-001995"/>
    <s v="EL01-001995"/>
    <n v="14415"/>
  </r>
  <r>
    <n v="34"/>
    <d v="2024-12-15T00:00:00"/>
    <n v="412754346"/>
    <s v="EL01-001996-1"/>
    <m/>
    <s v="LEFT TUNNEL ADAPTOR"/>
    <s v="1037M834-001"/>
    <s v="F"/>
    <s v="AGAM"/>
    <n v="33"/>
    <s v="EA"/>
    <n v="319"/>
    <s v="USD"/>
    <n v="1"/>
    <n v="319"/>
    <n v="10527"/>
    <s v="VR000532"/>
    <x v="2"/>
    <s v="PO2425U10464"/>
    <d v="2024-11-04T00:00:00"/>
    <s v="Before shipment"/>
    <s v="EXW"/>
    <s v="No"/>
    <m/>
    <m/>
    <n v="0"/>
    <n v="10"/>
    <n v="23"/>
    <n v="33"/>
    <m/>
    <m/>
    <m/>
    <m/>
    <m/>
    <m/>
    <m/>
    <d v="1900-01-09T00:00:00"/>
    <m/>
    <m/>
    <m/>
    <m/>
    <m/>
    <m/>
    <n v="412754346"/>
    <s v="EL01-001996"/>
    <s v="EL01-001996"/>
    <n v="7337"/>
  </r>
  <r>
    <n v="35"/>
    <d v="2025-06-15T00:00:00"/>
    <n v="412754346"/>
    <s v="EL01-001996-2"/>
    <m/>
    <s v="LEFT TUNNEL ADAPTOR"/>
    <s v="1037M834-001"/>
    <s v="F"/>
    <s v="AGAM"/>
    <n v="33"/>
    <s v="EA"/>
    <n v="319"/>
    <s v="USD"/>
    <n v="1"/>
    <n v="319"/>
    <n v="10527"/>
    <s v="VR000532"/>
    <x v="2"/>
    <s v="PO2425U10464"/>
    <d v="2024-11-04T00:00:00"/>
    <s v="Before shipment"/>
    <s v="EXW"/>
    <s v="No"/>
    <m/>
    <m/>
    <n v="0"/>
    <n v="0"/>
    <n v="33"/>
    <n v="33"/>
    <m/>
    <m/>
    <m/>
    <m/>
    <d v="2025-06-15T00:00:00"/>
    <m/>
    <m/>
    <d v="1900-01-09T00:00:00"/>
    <m/>
    <m/>
    <m/>
    <m/>
    <m/>
    <m/>
    <n v="412754346"/>
    <s v="EL01-001996"/>
    <s v="EL01-001996"/>
    <n v="10527"/>
  </r>
  <r>
    <n v="36"/>
    <d v="2025-09-15T00:00:00"/>
    <n v="412754346"/>
    <s v="EL01-001996-3"/>
    <m/>
    <s v="LEFT TUNNEL ADAPTOR"/>
    <s v="1037M834-001"/>
    <s v="F"/>
    <s v="AGAM"/>
    <n v="33"/>
    <s v="EA"/>
    <n v="319"/>
    <s v="USD"/>
    <n v="1"/>
    <n v="319"/>
    <n v="10527"/>
    <s v="VR000532"/>
    <x v="2"/>
    <s v="PO2425U10464"/>
    <d v="2024-11-04T00:00:00"/>
    <s v="Before shipment"/>
    <s v="EXW"/>
    <s v="No"/>
    <m/>
    <m/>
    <n v="0"/>
    <n v="0"/>
    <n v="33"/>
    <n v="33"/>
    <m/>
    <m/>
    <m/>
    <m/>
    <d v="2025-09-15T00:00:00"/>
    <m/>
    <m/>
    <d v="1900-01-09T00:00:00"/>
    <m/>
    <m/>
    <m/>
    <m/>
    <m/>
    <m/>
    <n v="412754346"/>
    <s v="EL01-001996"/>
    <s v="EL01-001996"/>
    <n v="10527"/>
  </r>
  <r>
    <n v="37"/>
    <d v="2025-12-15T00:00:00"/>
    <n v="412754346"/>
    <s v="EL01-001996-4"/>
    <m/>
    <s v="LEFT TUNNEL ADAPTOR"/>
    <s v="1037M834-001"/>
    <s v="F"/>
    <s v="AGAM"/>
    <n v="31"/>
    <s v="EA"/>
    <n v="319"/>
    <s v="USD"/>
    <n v="1"/>
    <n v="319"/>
    <n v="9889"/>
    <s v="VR000532"/>
    <x v="2"/>
    <s v="PO2425U10464"/>
    <d v="2024-11-04T00:00:00"/>
    <s v="Before shipment"/>
    <s v="EXW"/>
    <s v="No"/>
    <m/>
    <m/>
    <n v="0"/>
    <n v="0"/>
    <n v="31"/>
    <n v="31"/>
    <m/>
    <m/>
    <m/>
    <m/>
    <d v="2025-12-15T00:00:00"/>
    <m/>
    <m/>
    <d v="1900-01-09T00:00:00"/>
    <m/>
    <m/>
    <m/>
    <m/>
    <m/>
    <m/>
    <n v="412754346"/>
    <s v="EL01-001996"/>
    <s v="EL01-001996"/>
    <n v="9889"/>
  </r>
  <r>
    <n v="38"/>
    <d v="2024-12-15T00:00:00"/>
    <n v="535101950"/>
    <s v="EL01-001828-1"/>
    <m/>
    <s v="SHACKLE,G-209-3/8IN,ANCHOR,SCREW PIN,LOA"/>
    <n v="1018419"/>
    <m/>
    <s v="CROSBY INTERNATIONAL"/>
    <n v="465"/>
    <s v="EA"/>
    <n v="7.35"/>
    <s v="USD"/>
    <n v="1"/>
    <n v="7.35"/>
    <n v="3417.75"/>
    <s v="VR000563"/>
    <x v="3"/>
    <s v="PO2425U10546"/>
    <d v="2024-11-25T00:00:00"/>
    <s v="Before shipment"/>
    <s v="EXW"/>
    <s v="Yes"/>
    <s v="Received "/>
    <m/>
    <n v="0"/>
    <n v="465"/>
    <n v="0"/>
    <m/>
    <m/>
    <m/>
    <m/>
    <m/>
    <m/>
    <m/>
    <m/>
    <d v="1900-01-09T00:00:00"/>
    <m/>
    <m/>
    <m/>
    <m/>
    <m/>
    <m/>
    <n v="535101950"/>
    <s v="EL01-001828"/>
    <s v="EL01-001828"/>
    <m/>
  </r>
  <r>
    <n v="39"/>
    <d v="2024-12-15T00:00:00"/>
    <s v="N71211759"/>
    <s v="EL01-000499-1"/>
    <m/>
    <s v="CONN CIRC DUST CAP RECPT 15-SHL ALUMINUM"/>
    <s v="D38999/33W15N"/>
    <m/>
    <s v="AIR ELECTRO"/>
    <n v="1067"/>
    <s v="EA"/>
    <n v="6.35"/>
    <s v="USD"/>
    <n v="1"/>
    <n v="6.35"/>
    <n v="6775.45"/>
    <s v="VR000539"/>
    <x v="4"/>
    <s v="PO2425U10471"/>
    <d v="2024-10-29T00:00:00"/>
    <s v="100% Advance for each Lot"/>
    <s v="EXW"/>
    <s v="Yes"/>
    <s v="Received "/>
    <s v="Yes"/>
    <n v="0"/>
    <n v="1067"/>
    <n v="0"/>
    <m/>
    <m/>
    <m/>
    <m/>
    <m/>
    <m/>
    <m/>
    <m/>
    <d v="1900-01-09T00:00:00"/>
    <m/>
    <m/>
    <m/>
    <m/>
    <m/>
    <m/>
    <s v="N71211759"/>
    <s v="EL01-000499"/>
    <s v="EL01-000499"/>
    <m/>
  </r>
  <r>
    <n v="40"/>
    <d v="2024-12-15T00:00:00"/>
    <s v="N71216329"/>
    <s v="EL01-001475-1"/>
    <m/>
    <s v="CONN CIRC DUST CAP F/RECP 19-SHL OLI"/>
    <s v="D38999/33W19N"/>
    <m/>
    <s v="AIR ELECTRO"/>
    <n v="1067"/>
    <s v="EA"/>
    <n v="6.8"/>
    <s v="USD"/>
    <n v="1"/>
    <n v="6.8"/>
    <n v="7255.5999999999995"/>
    <s v="VR000539"/>
    <x v="4"/>
    <s v="PO2425U10471"/>
    <d v="2024-10-29T00:00:00"/>
    <s v="100% Advance for each Lot"/>
    <s v="EXW"/>
    <s v="Yes"/>
    <s v="Received "/>
    <s v="Yes"/>
    <n v="0"/>
    <n v="1066"/>
    <n v="1"/>
    <m/>
    <m/>
    <m/>
    <m/>
    <m/>
    <m/>
    <m/>
    <m/>
    <d v="1900-01-09T00:00:00"/>
    <m/>
    <m/>
    <m/>
    <m/>
    <m/>
    <m/>
    <s v="N71216329"/>
    <s v="EL01-001475"/>
    <s v="EL01-001475"/>
    <n v="6.8"/>
  </r>
  <r>
    <n v="41"/>
    <d v="2024-12-15T00:00:00"/>
    <s v="N71309488"/>
    <s v="EL01-000353-1"/>
    <m/>
    <s v="CONN CIRC DUST CAP RECPT 21-SHL ALUMINUM"/>
    <s v="D38999/33W21N"/>
    <m/>
    <s v="AIR ELECTRO"/>
    <n v="1327"/>
    <s v="EA"/>
    <n v="7.5"/>
    <s v="USD"/>
    <n v="1"/>
    <n v="7.5"/>
    <n v="9952.5"/>
    <s v="VR000539"/>
    <x v="4"/>
    <s v="PO2425U10471"/>
    <d v="2024-10-29T00:00:00"/>
    <s v="100% Advance for each Lot"/>
    <s v="EXW"/>
    <s v="Yes"/>
    <s v="Received "/>
    <s v="Yes"/>
    <n v="0"/>
    <n v="1327"/>
    <n v="0"/>
    <m/>
    <m/>
    <m/>
    <m/>
    <m/>
    <m/>
    <m/>
    <m/>
    <d v="1900-01-09T00:00:00"/>
    <m/>
    <m/>
    <m/>
    <m/>
    <m/>
    <m/>
    <s v="N71309488"/>
    <s v="EL01-000353"/>
    <s v="EL01-000353"/>
    <m/>
  </r>
  <r>
    <n v="42"/>
    <d v="2024-12-15T00:00:00"/>
    <s v="N64907355"/>
    <s v="EL01-000361-1"/>
    <m/>
    <s v="CONN RECT,MINIATURE,SCREW LOCK FEMALE"/>
    <s v="M24308/26-1F"/>
    <m/>
    <s v="AIR ELECTRO"/>
    <n v="1040"/>
    <s v="EA"/>
    <n v="0.75"/>
    <s v="USD"/>
    <n v="1"/>
    <n v="0.75"/>
    <n v="780"/>
    <s v="VR000539"/>
    <x v="4"/>
    <s v="PO2425U10471"/>
    <d v="2024-10-29T00:00:00"/>
    <s v="100% Advance for each Lot"/>
    <s v="EXW"/>
    <s v="Yes"/>
    <s v="Received "/>
    <s v="Yes"/>
    <n v="0"/>
    <n v="1040"/>
    <n v="0"/>
    <m/>
    <m/>
    <m/>
    <m/>
    <m/>
    <m/>
    <m/>
    <m/>
    <d v="1900-01-09T00:00:00"/>
    <m/>
    <s v="Received"/>
    <m/>
    <m/>
    <m/>
    <m/>
    <s v="N64907355"/>
    <s v="EL01-000361"/>
    <s v="EL01-000361"/>
    <m/>
  </r>
  <r>
    <n v="43"/>
    <d v="2024-12-15T00:00:00"/>
    <s v="N64403777"/>
    <s v="EL01-001874-1"/>
    <m/>
    <s v="RECT RECP R/A 37 SKT DIP SOLDER"/>
    <s v="100RC37SCBRP1"/>
    <m/>
    <s v="AMPHENOL CANADA CORP."/>
    <n v="267"/>
    <s v="EA"/>
    <n v="61.59"/>
    <s v="USD"/>
    <n v="1"/>
    <n v="61.59"/>
    <n v="16444.530000000002"/>
    <s v="VR000543"/>
    <x v="5"/>
    <s v="PO2425U10475"/>
    <d v="2024-11-06T00:00:00"/>
    <s v="Net 30days"/>
    <s v="EXW"/>
    <s v="Yes"/>
    <m/>
    <m/>
    <n v="0"/>
    <n v="267"/>
    <n v="0"/>
    <m/>
    <m/>
    <m/>
    <m/>
    <m/>
    <m/>
    <m/>
    <m/>
    <d v="1900-01-09T00:00:00"/>
    <m/>
    <m/>
    <m/>
    <m/>
    <m/>
    <m/>
    <s v="N64403777"/>
    <s v="EL01-001874"/>
    <s v="EL01-001874"/>
    <m/>
  </r>
  <r>
    <n v="44"/>
    <d v="2025-06-15T00:00:00"/>
    <s v="N64403777"/>
    <s v="EL01-001874-2"/>
    <m/>
    <s v="RECT RECP R/A 37 SKT DIP SOLDER"/>
    <s v="100RC37SCBRP1"/>
    <m/>
    <s v="AMPHENOL CANADA CORP."/>
    <n v="267"/>
    <s v="EA"/>
    <n v="61.59"/>
    <s v="USD"/>
    <n v="1"/>
    <n v="61.59"/>
    <n v="16444.530000000002"/>
    <s v="VR000543"/>
    <x v="5"/>
    <s v="PO2425U10475"/>
    <d v="2024-11-06T00:00:00"/>
    <s v="Net 30days"/>
    <s v="EXW"/>
    <s v="Yes"/>
    <m/>
    <m/>
    <n v="0"/>
    <n v="267"/>
    <n v="0"/>
    <m/>
    <m/>
    <m/>
    <m/>
    <m/>
    <m/>
    <m/>
    <m/>
    <d v="1900-01-09T00:00:00"/>
    <m/>
    <m/>
    <m/>
    <m/>
    <m/>
    <m/>
    <s v="N64403777"/>
    <s v="EL01-001874"/>
    <s v="EL01-001874"/>
    <m/>
  </r>
  <r>
    <n v="45"/>
    <d v="2025-09-15T00:00:00"/>
    <s v="N64403777"/>
    <s v="EL01-001874-3"/>
    <m/>
    <s v="RECT RECP R/A 37 SKT DIP SOLDER"/>
    <s v="100RC37SCBRP1"/>
    <m/>
    <s v="AMPHENOL CANADA CORP."/>
    <n v="267"/>
    <s v="EA"/>
    <n v="61.59"/>
    <s v="USD"/>
    <n v="1"/>
    <n v="61.59"/>
    <n v="16444.530000000002"/>
    <s v="VR000543"/>
    <x v="5"/>
    <s v="PO2425U10475"/>
    <d v="2024-11-06T00:00:00"/>
    <s v="Net 30days"/>
    <s v="EXW"/>
    <s v="Yes"/>
    <m/>
    <m/>
    <n v="0"/>
    <n v="267"/>
    <n v="0"/>
    <m/>
    <m/>
    <m/>
    <m/>
    <m/>
    <m/>
    <m/>
    <m/>
    <d v="1900-01-09T00:00:00"/>
    <m/>
    <m/>
    <m/>
    <m/>
    <m/>
    <m/>
    <s v="N64403777"/>
    <s v="EL01-001874"/>
    <s v="EL01-001874"/>
    <m/>
  </r>
  <r>
    <n v="46"/>
    <d v="2025-12-15T00:00:00"/>
    <s v="N64403777"/>
    <s v="EL01-001874-4"/>
    <m/>
    <s v="RECT RECP R/A 37 SKT DIP SOLDER"/>
    <s v="100RC37SCBRP1"/>
    <m/>
    <s v="AMPHENOL CANADA CORP."/>
    <n v="266"/>
    <s v="EA"/>
    <n v="61.59"/>
    <s v="USD"/>
    <n v="1"/>
    <n v="61.59"/>
    <n v="16382.94"/>
    <s v="VR000543"/>
    <x v="5"/>
    <s v="PO2425U10475"/>
    <d v="2024-11-06T00:00:00"/>
    <s v="Net 30days"/>
    <s v="EXW"/>
    <s v="Yes"/>
    <m/>
    <m/>
    <n v="0"/>
    <n v="266"/>
    <n v="0"/>
    <m/>
    <m/>
    <m/>
    <m/>
    <m/>
    <m/>
    <m/>
    <m/>
    <d v="1900-01-09T00:00:00"/>
    <m/>
    <m/>
    <m/>
    <m/>
    <m/>
    <m/>
    <s v="N64403777"/>
    <s v="EL01-001874"/>
    <s v="EL01-001874"/>
    <m/>
  </r>
  <r>
    <n v="47"/>
    <d v="2024-12-15T00:00:00"/>
    <n v="401380520"/>
    <s v="EL01-000265-1"/>
    <m/>
    <s v="GUIDE PIN"/>
    <s v="1094F208-001"/>
    <s v="-"/>
    <s v="ANDRE MACHINING"/>
    <n v="270"/>
    <s v="EA"/>
    <n v="7.2"/>
    <s v="USD"/>
    <n v="1"/>
    <n v="7.2"/>
    <n v="1944"/>
    <s v="VR000535"/>
    <x v="6"/>
    <s v="PO2425U10467"/>
    <d v="2024-11-06T00:00:00"/>
    <s v="Before shipment"/>
    <s v="EXW"/>
    <s v="Yes"/>
    <m/>
    <m/>
    <n v="0"/>
    <n v="270"/>
    <n v="0"/>
    <m/>
    <m/>
    <m/>
    <m/>
    <m/>
    <m/>
    <m/>
    <m/>
    <d v="1900-01-09T00:00:00"/>
    <m/>
    <s v="Received"/>
    <m/>
    <m/>
    <m/>
    <m/>
    <n v="401380520"/>
    <s v="EL01-000265"/>
    <s v="EL01-000265"/>
    <m/>
  </r>
  <r>
    <n v="48"/>
    <d v="2024-12-15T00:00:00"/>
    <n v="401412775"/>
    <s v="EL01-000287-1"/>
    <m/>
    <s v="GUIDE PIN"/>
    <s v="1094F868-001"/>
    <s v="A"/>
    <s v="ANDRE MACHINING"/>
    <n v="530"/>
    <s v="EA"/>
    <n v="5.0999999999999996"/>
    <s v="USD"/>
    <n v="1"/>
    <n v="5.0999999999999996"/>
    <n v="2703"/>
    <s v="VR000535"/>
    <x v="6"/>
    <s v="PO2425U10467"/>
    <d v="2024-11-06T00:00:00"/>
    <s v="Before shipment"/>
    <s v="EXW"/>
    <s v="Yes"/>
    <m/>
    <m/>
    <n v="0"/>
    <n v="530"/>
    <n v="0"/>
    <m/>
    <m/>
    <m/>
    <m/>
    <m/>
    <m/>
    <m/>
    <m/>
    <d v="1900-01-09T00:00:00"/>
    <m/>
    <s v="Received"/>
    <m/>
    <m/>
    <m/>
    <m/>
    <n v="401412775"/>
    <s v="EL01-000287"/>
    <s v="EL01-000287"/>
    <m/>
  </r>
  <r>
    <n v="49"/>
    <d v="2024-12-15T00:00:00"/>
    <n v="401412776"/>
    <s v="EL01-000288-1"/>
    <m/>
    <s v="GUIDE PIN"/>
    <s v="1094F869-001"/>
    <s v="A"/>
    <s v="ANDRE MACHINING"/>
    <n v="530"/>
    <s v="EA"/>
    <n v="5.0999999999999996"/>
    <s v="USD"/>
    <n v="1"/>
    <n v="5.0999999999999996"/>
    <n v="2703"/>
    <s v="VR000535"/>
    <x v="6"/>
    <s v="PO2425U10467"/>
    <d v="2024-11-06T00:00:00"/>
    <s v="Before shipment"/>
    <s v="EXW"/>
    <s v="Yes"/>
    <m/>
    <m/>
    <n v="0"/>
    <n v="530"/>
    <n v="0"/>
    <m/>
    <m/>
    <m/>
    <m/>
    <m/>
    <m/>
    <m/>
    <m/>
    <d v="1900-01-09T00:00:00"/>
    <m/>
    <s v="Received"/>
    <m/>
    <m/>
    <m/>
    <m/>
    <n v="401412776"/>
    <s v="EL01-000288"/>
    <s v="EL01-000288"/>
    <m/>
  </r>
  <r>
    <n v="50"/>
    <d v="2024-12-15T00:00:00"/>
    <n v="400252132"/>
    <s v="EL01-001839-1"/>
    <m/>
    <s v="IC HEX INVERTER T&amp;R"/>
    <s v="74ACT04SCX"/>
    <m/>
    <s v="FAIRCHILD SEMICONDUCTOR"/>
    <n v="27500"/>
    <s v="EA"/>
    <n v="0.14000000000000001"/>
    <s v="EUR"/>
    <n v="1.1200000000000001"/>
    <n v="0.15680000000000002"/>
    <n v="4312.0000000000009"/>
    <s v="VR000529"/>
    <x v="7"/>
    <s v="PO2425U10461"/>
    <d v="2024-11-04T00:00:00"/>
    <s v="Net 30days"/>
    <s v="EXW"/>
    <s v="Yes"/>
    <s v="Received "/>
    <m/>
    <n v="0"/>
    <n v="27500"/>
    <n v="0"/>
    <m/>
    <m/>
    <m/>
    <m/>
    <m/>
    <m/>
    <m/>
    <m/>
    <d v="1900-01-09T00:00:00"/>
    <m/>
    <s v="Received"/>
    <m/>
    <m/>
    <m/>
    <m/>
    <n v="400252132"/>
    <s v="EL01-001839"/>
    <s v="EL01-001839"/>
    <m/>
  </r>
  <r>
    <n v="51"/>
    <d v="2024-12-15T00:00:00"/>
    <n v="416653035"/>
    <s v="EL01-001721-1"/>
    <m/>
    <s v="CHIP CAP 47UF 20^ 10V X5R T&amp;R"/>
    <s v="C4532X5R1A476M280KA"/>
    <m/>
    <s v="TDK ELECTRONICS CO. LTD."/>
    <n v="2500"/>
    <s v="EA"/>
    <n v="0.39900000000000002"/>
    <s v="EUR"/>
    <n v="1.1200000000000001"/>
    <n v="0.44688000000000005"/>
    <n v="1117.2"/>
    <s v="VR000529"/>
    <x v="7"/>
    <s v="PO2425U10461"/>
    <d v="2024-11-04T00:00:00"/>
    <s v="Net 30days"/>
    <s v="EXW"/>
    <s v="Yes"/>
    <s v="Received "/>
    <m/>
    <n v="0"/>
    <n v="2500"/>
    <n v="0"/>
    <m/>
    <m/>
    <m/>
    <m/>
    <m/>
    <m/>
    <m/>
    <m/>
    <d v="1900-01-09T00:00:00"/>
    <m/>
    <m/>
    <m/>
    <m/>
    <m/>
    <m/>
    <n v="416653035"/>
    <s v="EL01-001721"/>
    <s v="EL01-001721"/>
    <m/>
  </r>
  <r>
    <n v="52"/>
    <d v="2024-12-15T00:00:00"/>
    <n v="400703056"/>
    <s v="EL01-001851-1"/>
    <m/>
    <s v="MOSFET N-CH. 2.5V"/>
    <s v="FDN339AN"/>
    <m/>
    <s v="ON SEMICONDUCTOR"/>
    <n v="3000"/>
    <s v="EA"/>
    <n v="0.122"/>
    <s v="EUR"/>
    <n v="1.1200000000000001"/>
    <n v="0.13664000000000001"/>
    <n v="409.92"/>
    <s v="VR000529"/>
    <x v="7"/>
    <s v="PO2425U10461"/>
    <d v="2024-11-04T00:00:00"/>
    <s v="Net 30days"/>
    <s v="EXW"/>
    <s v="Yes"/>
    <s v="Received "/>
    <m/>
    <n v="0"/>
    <n v="3000"/>
    <n v="0"/>
    <m/>
    <m/>
    <m/>
    <m/>
    <m/>
    <m/>
    <m/>
    <m/>
    <d v="1900-01-09T00:00:00"/>
    <m/>
    <s v="Received"/>
    <m/>
    <m/>
    <m/>
    <m/>
    <n v="400703056"/>
    <s v="EL01-001851"/>
    <s v="EL01-001851"/>
    <m/>
  </r>
  <r>
    <n v="53"/>
    <d v="2024-12-15T00:00:00"/>
    <n v="400391792"/>
    <s v="EL01-001856-1"/>
    <m/>
    <s v="IC HEX INVERTER T&amp;R"/>
    <s v="MC74ACT04DR2G"/>
    <m/>
    <s v="ON SEMICONDUCTOR"/>
    <n v="2500"/>
    <s v="EA"/>
    <n v="0.11600000000000001"/>
    <s v="EUR"/>
    <n v="1.1200000000000001"/>
    <n v="0.12992000000000001"/>
    <n v="324.8"/>
    <s v="VR000529"/>
    <x v="7"/>
    <s v="PO2425U10461"/>
    <d v="2024-11-04T00:00:00"/>
    <s v="Net 30days"/>
    <s v="EXW"/>
    <s v="Yes"/>
    <s v="Received "/>
    <m/>
    <n v="0"/>
    <n v="2500"/>
    <n v="0"/>
    <m/>
    <m/>
    <m/>
    <m/>
    <m/>
    <m/>
    <m/>
    <m/>
    <d v="1900-01-09T00:00:00"/>
    <m/>
    <s v="Received"/>
    <m/>
    <m/>
    <m/>
    <m/>
    <n v="400391792"/>
    <s v="EL01-001856"/>
    <s v="EL01-001856"/>
    <m/>
  </r>
  <r>
    <n v="54"/>
    <d v="2024-12-15T00:00:00"/>
    <n v="400054690"/>
    <s v="EL01-001793-1"/>
    <m/>
    <s v="DIODE ZENER 3.3V 0.200W LEAD FREE T&amp;R"/>
    <s v="MM3Z3V3T1G"/>
    <m/>
    <s v="ON SEMICONDUCTOR"/>
    <n v="72000"/>
    <s v="EA"/>
    <n v="1.2999999999999999E-2"/>
    <s v="EUR"/>
    <n v="1.1200000000000001"/>
    <n v="1.456E-2"/>
    <n v="1048.32"/>
    <s v="VR000529"/>
    <x v="7"/>
    <s v="PO2425U10461"/>
    <d v="2024-11-04T00:00:00"/>
    <s v="Net 30days"/>
    <s v="EXW"/>
    <s v="Yes"/>
    <s v="Received "/>
    <m/>
    <n v="0"/>
    <n v="72000"/>
    <n v="0"/>
    <m/>
    <m/>
    <m/>
    <m/>
    <m/>
    <m/>
    <m/>
    <m/>
    <d v="1900-01-09T00:00:00"/>
    <m/>
    <s v="Received"/>
    <m/>
    <m/>
    <m/>
    <m/>
    <n v="400054690"/>
    <s v="EL01-001793"/>
    <s v="EL01-001793"/>
    <m/>
  </r>
  <r>
    <n v="55"/>
    <d v="2024-12-15T00:00:00"/>
    <n v="400068581"/>
    <s v="EL01-001794-1"/>
    <m/>
    <s v="DIODE  ZENER 5.1V T&amp;R LEAD-FREE"/>
    <s v="MM3Z5V1T1G"/>
    <m/>
    <s v="ON SEMICONDUCTOR"/>
    <n v="3000"/>
    <s v="EA"/>
    <n v="1.6799999999999999E-2"/>
    <s v="EUR"/>
    <n v="1.1200000000000001"/>
    <n v="1.8815999999999999E-2"/>
    <n v="56.448"/>
    <s v="VR000529"/>
    <x v="7"/>
    <s v="PO2425U10461"/>
    <d v="2024-11-04T00:00:00"/>
    <s v="Net 30days"/>
    <s v="EXW"/>
    <s v="Yes"/>
    <s v="Received "/>
    <m/>
    <n v="0"/>
    <n v="3000"/>
    <n v="0"/>
    <m/>
    <m/>
    <m/>
    <m/>
    <m/>
    <m/>
    <m/>
    <m/>
    <d v="1900-01-09T00:00:00"/>
    <m/>
    <s v="Received"/>
    <m/>
    <m/>
    <m/>
    <m/>
    <n v="400068581"/>
    <s v="EL01-001794"/>
    <s v="EL01-001794"/>
    <m/>
  </r>
  <r>
    <n v="56"/>
    <d v="2024-12-15T00:00:00"/>
    <n v="424084749"/>
    <s v="EL01-001723-1"/>
    <m/>
    <s v="DIODE.RECT 75V 0.6A 0.35W 4NS"/>
    <s v="MMBD4148-7-F"/>
    <m/>
    <s v="DIODES INC."/>
    <n v="15000"/>
    <s v="EA"/>
    <n v="1.06E-2"/>
    <s v="EUR"/>
    <n v="1.1200000000000001"/>
    <n v="1.1872000000000001E-2"/>
    <n v="178.08"/>
    <s v="VR000529"/>
    <x v="7"/>
    <s v="PO2425U10461"/>
    <d v="2024-11-04T00:00:00"/>
    <s v="Net 30days"/>
    <s v="EXW"/>
    <s v="Yes"/>
    <s v="Received "/>
    <m/>
    <n v="0"/>
    <n v="15000"/>
    <n v="0"/>
    <m/>
    <m/>
    <m/>
    <m/>
    <m/>
    <m/>
    <m/>
    <m/>
    <d v="1900-01-09T00:00:00"/>
    <m/>
    <s v="Received"/>
    <m/>
    <m/>
    <m/>
    <m/>
    <n v="424084749"/>
    <s v="EL01-001723"/>
    <s v="EL01-001723"/>
    <m/>
  </r>
  <r>
    <n v="57"/>
    <d v="2024-12-15T00:00:00"/>
    <n v="400280614"/>
    <s v="EL01-001857-1"/>
    <m/>
    <s v="TRANSISTOR NPN T&amp;R"/>
    <s v="MMBT2222ALT1G"/>
    <m/>
    <s v="ON SEMICONDUCTOR"/>
    <n v="51000"/>
    <s v="EA"/>
    <n v="8.8999999999999999E-3"/>
    <s v="EUR"/>
    <n v="1.1200000000000001"/>
    <n v="9.9680000000000012E-3"/>
    <n v="508.36800000000005"/>
    <s v="VR000529"/>
    <x v="7"/>
    <s v="PO2425U10461"/>
    <d v="2024-11-04T00:00:00"/>
    <s v="Net 30days"/>
    <s v="EXW"/>
    <s v="Yes"/>
    <s v="Received "/>
    <m/>
    <n v="0"/>
    <n v="51000"/>
    <n v="0"/>
    <m/>
    <m/>
    <m/>
    <m/>
    <m/>
    <m/>
    <m/>
    <m/>
    <d v="1900-01-09T00:00:00"/>
    <m/>
    <s v="Received"/>
    <m/>
    <m/>
    <m/>
    <m/>
    <n v="400280614"/>
    <s v="EL01-001857"/>
    <s v="EL01-001857"/>
    <m/>
  </r>
  <r>
    <n v="58"/>
    <d v="2024-12-15T00:00:00"/>
    <n v="400022971"/>
    <s v="EL01-001858-1"/>
    <m/>
    <s v="IC HST INVERTER  T&amp;R"/>
    <s v="NC7ST04P5X"/>
    <m/>
    <s v="ON SEMICONDUCTOR"/>
    <n v="45000"/>
    <s v="EA"/>
    <n v="2.4299999999999999E-2"/>
    <s v="EUR"/>
    <n v="1.1200000000000001"/>
    <n v="2.7216000000000001E-2"/>
    <n v="1224.72"/>
    <s v="VR000529"/>
    <x v="7"/>
    <s v="PO2425U10461"/>
    <d v="2024-11-04T00:00:00"/>
    <s v="Net 30days"/>
    <s v="EXW"/>
    <s v="Yes"/>
    <s v="Received "/>
    <m/>
    <n v="0"/>
    <n v="45000"/>
    <n v="0"/>
    <m/>
    <m/>
    <m/>
    <m/>
    <m/>
    <m/>
    <m/>
    <m/>
    <d v="1900-01-09T00:00:00"/>
    <m/>
    <s v="Received"/>
    <m/>
    <m/>
    <m/>
    <m/>
    <n v="400022971"/>
    <s v="EL01-001858"/>
    <s v="EL01-001858"/>
    <m/>
  </r>
  <r>
    <n v="59"/>
    <d v="2024-12-15T00:00:00"/>
    <n v="407374949"/>
    <s v="EL01-001750-1"/>
    <m/>
    <s v="IC 2-IN AND GATE TAPE&amp;REEL"/>
    <s v="NC7SZ08M5X"/>
    <m/>
    <s v="ON SEMICONDUCTOR"/>
    <n v="39000"/>
    <s v="EA"/>
    <n v="3.5999999999999997E-2"/>
    <s v="EUR"/>
    <n v="1.1200000000000001"/>
    <n v="4.0320000000000002E-2"/>
    <n v="1572.48"/>
    <s v="VR000529"/>
    <x v="7"/>
    <s v="PO2425U10461"/>
    <d v="2024-11-04T00:00:00"/>
    <s v="Net 30days"/>
    <s v="EXW"/>
    <s v="Yes"/>
    <s v="Received "/>
    <m/>
    <n v="0"/>
    <n v="39000"/>
    <n v="0"/>
    <m/>
    <m/>
    <m/>
    <m/>
    <m/>
    <m/>
    <m/>
    <m/>
    <d v="1900-01-09T00:00:00"/>
    <m/>
    <s v="Received"/>
    <m/>
    <m/>
    <m/>
    <m/>
    <n v="407374949"/>
    <s v="EL01-001750"/>
    <s v="EL01-001750"/>
    <m/>
  </r>
  <r>
    <n v="60"/>
    <d v="2024-12-15T00:00:00"/>
    <n v="400124756"/>
    <s v="EL01-001774-1"/>
    <m/>
    <s v="IC 8-BIT TRANSCEIVER T&amp;R"/>
    <s v="74LVXC3245MTCX"/>
    <m/>
    <s v="FAIRCHILD SEMICONDUCTOR"/>
    <n v="7500"/>
    <s v="EA"/>
    <n v="0.38300000000000001"/>
    <s v="USD"/>
    <n v="1"/>
    <n v="0.38300000000000001"/>
    <n v="2872.5"/>
    <s v="VR000538"/>
    <x v="7"/>
    <s v="PO2425U10470"/>
    <d v="2024-11-04T00:00:00"/>
    <s v="Net 30days"/>
    <s v="EXW"/>
    <s v="Yes"/>
    <m/>
    <m/>
    <n v="0"/>
    <n v="7500"/>
    <n v="0"/>
    <m/>
    <m/>
    <m/>
    <m/>
    <m/>
    <m/>
    <m/>
    <m/>
    <d v="1900-01-09T00:00:00"/>
    <s v="Supplier requested amended PO in EUR instead of USD(Quoted currency clarification)"/>
    <m/>
    <m/>
    <m/>
    <m/>
    <m/>
    <n v="400124756"/>
    <s v="EL01-001774"/>
    <s v="EL01-001774"/>
    <m/>
  </r>
  <r>
    <n v="61"/>
    <d v="2024-12-15T00:00:00"/>
    <n v="417983107"/>
    <s v="EL01-001808-1"/>
    <m/>
    <s v="CHIP CAP 1PF +-0.25PF 50V C0G T&amp;R"/>
    <s v="CL05C010BB5NNNC"/>
    <m/>
    <s v="SAMSUNG"/>
    <n v="10000"/>
    <s v="EA"/>
    <n v="2.6862000000000001E-3"/>
    <s v="USD"/>
    <n v="1"/>
    <n v="2.6862000000000001E-3"/>
    <n v="26.862000000000002"/>
    <s v="VR000538"/>
    <x v="7"/>
    <s v="PO2425U10470"/>
    <d v="2024-11-04T00:00:00"/>
    <s v="Net 30days"/>
    <s v="EXW"/>
    <s v="Yes"/>
    <m/>
    <m/>
    <n v="0"/>
    <n v="10000"/>
    <n v="0"/>
    <m/>
    <m/>
    <m/>
    <m/>
    <m/>
    <m/>
    <m/>
    <m/>
    <d v="1900-01-09T00:00:00"/>
    <m/>
    <s v="Received"/>
    <m/>
    <m/>
    <m/>
    <m/>
    <n v="417983107"/>
    <s v="EL01-001808"/>
    <s v="EL01-001808"/>
    <m/>
  </r>
  <r>
    <n v="62"/>
    <d v="2024-12-15T00:00:00"/>
    <n v="417983111"/>
    <s v="EL01-001809-1"/>
    <m/>
    <s v="CHIP CAP 4.7PF 10^ 50V C0G T&amp;R"/>
    <s v="CL05C4R7CB5NNNC"/>
    <m/>
    <s v="SAMSUNG"/>
    <n v="120000"/>
    <s v="EA"/>
    <n v="1.2210000000000001E-3"/>
    <s v="USD"/>
    <n v="1"/>
    <n v="1.2210000000000001E-3"/>
    <n v="146.52000000000001"/>
    <s v="VR000538"/>
    <x v="7"/>
    <s v="PO2425U10470"/>
    <d v="2024-11-04T00:00:00"/>
    <s v="Net 30days"/>
    <s v="EXW"/>
    <s v="Yes"/>
    <m/>
    <m/>
    <n v="0"/>
    <n v="120000"/>
    <n v="0"/>
    <m/>
    <m/>
    <m/>
    <m/>
    <m/>
    <m/>
    <m/>
    <m/>
    <d v="1900-01-09T00:00:00"/>
    <m/>
    <s v="Received"/>
    <m/>
    <m/>
    <m/>
    <m/>
    <n v="417983111"/>
    <s v="EL01-001809"/>
    <s v="EL01-001809"/>
    <m/>
  </r>
  <r>
    <n v="63"/>
    <d v="2024-12-15T00:00:00"/>
    <n v="400693203"/>
    <s v="EL01-001844-1"/>
    <m/>
    <s v="CHIP RESIS 150 OHM 1% .1W T&amp;R"/>
    <s v="CRCW0603150RFKEA"/>
    <m/>
    <s v="VISHAY RESISTIVE SYSTEMS"/>
    <n v="5000"/>
    <s v="EA"/>
    <n v="1.5096000000000003E-3"/>
    <s v="USD"/>
    <n v="1"/>
    <n v="1.5096000000000003E-3"/>
    <n v="7.5480000000000009"/>
    <s v="VR000538"/>
    <x v="7"/>
    <s v="PO2425U10470"/>
    <d v="2024-11-04T00:00:00"/>
    <s v="Net 30days"/>
    <s v="EXW"/>
    <s v="Yes"/>
    <m/>
    <m/>
    <n v="0"/>
    <n v="5000"/>
    <n v="0"/>
    <m/>
    <m/>
    <m/>
    <m/>
    <m/>
    <m/>
    <m/>
    <m/>
    <d v="1900-01-09T00:00:00"/>
    <m/>
    <s v="Received"/>
    <m/>
    <m/>
    <m/>
    <m/>
    <n v="400693203"/>
    <s v="EL01-001844"/>
    <s v="EL01-001844"/>
    <m/>
  </r>
  <r>
    <n v="64"/>
    <d v="2025-01-15T00:00:00"/>
    <n v="400330009"/>
    <s v="EL01-001827-1"/>
    <m/>
    <s v="IC VOLTAGE REGULATOR ADJ. 4A T&amp;R"/>
    <s v="MAX8557ETE+T"/>
    <m/>
    <s v="MAXIM INTEGRATED PRODUCTS, INC"/>
    <n v="2500"/>
    <s v="EA"/>
    <n v="2.17"/>
    <s v="USD"/>
    <n v="1"/>
    <n v="2.17"/>
    <n v="5425"/>
    <s v="VR000538"/>
    <x v="7"/>
    <s v="24P0070"/>
    <d v="2024-12-31T00:00:00"/>
    <s v="Net 30days"/>
    <s v="EXW"/>
    <s v="Yes"/>
    <m/>
    <m/>
    <n v="0"/>
    <n v="2500"/>
    <n v="0"/>
    <m/>
    <m/>
    <m/>
    <m/>
    <m/>
    <m/>
    <m/>
    <m/>
    <d v="1900-01-09T00:00:00"/>
    <m/>
    <m/>
    <m/>
    <m/>
    <m/>
    <m/>
    <n v="400330009"/>
    <s v="EL01-001827"/>
    <s v="EL01-001827"/>
    <m/>
  </r>
  <r>
    <n v="65"/>
    <d v="2024-12-15T00:00:00"/>
    <n v="401513194"/>
    <s v="EL01-001894-1"/>
    <m/>
    <s v="MULTI LAYER BPF 2900-3400 MHZ"/>
    <s v="1094H538-001"/>
    <s v="-"/>
    <s v="ASCOTECH"/>
    <n v="12000"/>
    <s v="EA"/>
    <n v="3.85"/>
    <s v="USD"/>
    <n v="1"/>
    <n v="3.85"/>
    <n v="46200"/>
    <s v="VR000504"/>
    <x v="8"/>
    <s v="PO2425U10421"/>
    <d v="2024-10-28T00:00:00"/>
    <s v="Before shipment"/>
    <s v="EXW"/>
    <s v="Yes"/>
    <s v="Received "/>
    <m/>
    <n v="0"/>
    <n v="12000"/>
    <n v="0"/>
    <m/>
    <m/>
    <m/>
    <m/>
    <m/>
    <m/>
    <m/>
    <m/>
    <d v="1900-01-09T00:00:00"/>
    <m/>
    <s v="Received"/>
    <m/>
    <m/>
    <m/>
    <m/>
    <n v="401513194"/>
    <s v="EL01-001894"/>
    <s v="EL01-001894"/>
    <m/>
  </r>
  <r>
    <n v="66"/>
    <d v="2025-06-15T00:00:00"/>
    <n v="401513194"/>
    <s v="EL01-001894-2"/>
    <m/>
    <s v="MULTI LAYER BPF 2900-3400 MHZ"/>
    <s v="1094H538-001"/>
    <s v="-"/>
    <s v="ASCOTECH"/>
    <n v="9000"/>
    <s v="EA"/>
    <n v="3.85"/>
    <s v="USD"/>
    <n v="1"/>
    <n v="3.85"/>
    <n v="34650"/>
    <s v="VR000504"/>
    <x v="8"/>
    <s v="PO2425U10421"/>
    <d v="2024-10-28T00:00:00"/>
    <s v="Before shipment"/>
    <s v="EXW"/>
    <s v="Yes"/>
    <m/>
    <m/>
    <n v="0"/>
    <n v="9000"/>
    <n v="0"/>
    <m/>
    <m/>
    <m/>
    <m/>
    <m/>
    <m/>
    <m/>
    <m/>
    <d v="1900-01-09T00:00:00"/>
    <m/>
    <m/>
    <m/>
    <n v="9000"/>
    <m/>
    <m/>
    <n v="401513194"/>
    <s v="EL01-001894"/>
    <s v="EL01-001894"/>
    <m/>
  </r>
  <r>
    <n v="67"/>
    <d v="2025-09-15T00:00:00"/>
    <n v="401513194"/>
    <s v="EL01-001894-3"/>
    <m/>
    <s v="MULTI LAYER BPF 2900-3400 MHZ"/>
    <s v="1094H538-001"/>
    <s v="-"/>
    <s v="ASCOTECH"/>
    <n v="9000"/>
    <s v="EA"/>
    <n v="3.85"/>
    <s v="USD"/>
    <n v="1"/>
    <n v="3.85"/>
    <n v="34650"/>
    <s v="VR000504"/>
    <x v="8"/>
    <s v="PO2425U10421"/>
    <d v="2024-10-28T00:00:00"/>
    <s v="Before shipment"/>
    <s v="EXW"/>
    <s v="Yes"/>
    <m/>
    <m/>
    <n v="0"/>
    <n v="9000"/>
    <n v="0"/>
    <n v="9000"/>
    <m/>
    <m/>
    <m/>
    <d v="2025-11-20T00:00:00"/>
    <m/>
    <m/>
    <m/>
    <d v="2025-11-30T00:00:00"/>
    <m/>
    <m/>
    <m/>
    <m/>
    <m/>
    <m/>
    <n v="401513194"/>
    <s v="EL01-001894"/>
    <s v="EL01-001894"/>
    <m/>
  </r>
  <r>
    <n v="68"/>
    <d v="2025-12-15T00:00:00"/>
    <n v="401513194"/>
    <s v="EL01-001894-4"/>
    <m/>
    <s v="MULTI LAYER BPF 2900-3400 MHZ"/>
    <s v="1094H538-001"/>
    <s v="-"/>
    <s v="ASCOTECH"/>
    <n v="9000"/>
    <s v="EA"/>
    <n v="3.85"/>
    <s v="USD"/>
    <n v="1"/>
    <n v="3.85"/>
    <n v="34650"/>
    <s v="VR000504"/>
    <x v="8"/>
    <s v="PO2425U10421"/>
    <d v="2024-10-28T00:00:00"/>
    <s v="Before shipment"/>
    <s v="EXW"/>
    <s v="Yes"/>
    <m/>
    <m/>
    <n v="0"/>
    <n v="0"/>
    <n v="9000"/>
    <n v="9000"/>
    <m/>
    <m/>
    <m/>
    <d v="2025-12-15T00:00:00"/>
    <m/>
    <m/>
    <m/>
    <d v="2025-12-25T00:00:00"/>
    <m/>
    <m/>
    <m/>
    <m/>
    <m/>
    <m/>
    <n v="401513194"/>
    <s v="EL01-001894"/>
    <s v="EL01-001894"/>
    <n v="34650"/>
  </r>
  <r>
    <n v="69"/>
    <d v="2024-12-15T00:00:00"/>
    <n v="404102750"/>
    <s v="EL01-001806-1"/>
    <m/>
    <s v="CIRCULATOR SMT 2.9-3.4GHZ"/>
    <s v="JCM2900T3400VM1R"/>
    <m/>
    <s v="JQL  ELECTRONICS"/>
    <n v="8803"/>
    <s v="EA"/>
    <n v="14.5"/>
    <s v="USD"/>
    <n v="1"/>
    <n v="14.5"/>
    <n v="127643.5"/>
    <s v="VR000504"/>
    <x v="8"/>
    <s v="PO2425U10421"/>
    <d v="2024-10-28T00:00:00"/>
    <s v="Before shipment"/>
    <s v="EXW"/>
    <s v="Yes"/>
    <s v="Received "/>
    <m/>
    <n v="0"/>
    <n v="8803"/>
    <n v="0"/>
    <m/>
    <m/>
    <m/>
    <m/>
    <m/>
    <m/>
    <m/>
    <m/>
    <d v="1900-01-09T00:00:00"/>
    <m/>
    <s v="Received"/>
    <m/>
    <m/>
    <m/>
    <m/>
    <n v="404102750"/>
    <s v="EL01-001806"/>
    <s v="EL01-001806"/>
    <m/>
  </r>
  <r>
    <n v="70"/>
    <d v="2025-06-15T00:00:00"/>
    <n v="404102750"/>
    <s v="EL01-001806-2"/>
    <m/>
    <s v="CIRCULATOR SMT 2.9-3.4GHZ"/>
    <s v="JCM2900T3400VM1R"/>
    <m/>
    <s v="JQL  ELECTRONICS"/>
    <n v="8803"/>
    <s v="EA"/>
    <n v="14.5"/>
    <s v="USD"/>
    <n v="1"/>
    <n v="14.5"/>
    <n v="127643.5"/>
    <s v="VR000504"/>
    <x v="8"/>
    <s v="PO2425U10421"/>
    <d v="2024-10-28T00:00:00"/>
    <s v="Before shipment"/>
    <s v="EXW"/>
    <s v="Yes"/>
    <m/>
    <m/>
    <n v="0"/>
    <n v="8803"/>
    <n v="0"/>
    <m/>
    <m/>
    <m/>
    <m/>
    <m/>
    <m/>
    <m/>
    <m/>
    <d v="1900-01-09T00:00:00"/>
    <m/>
    <m/>
    <m/>
    <m/>
    <m/>
    <m/>
    <n v="404102750"/>
    <s v="EL01-001806"/>
    <s v="EL01-001806"/>
    <m/>
  </r>
  <r>
    <n v="71"/>
    <d v="2025-09-15T00:00:00"/>
    <n v="404102750"/>
    <s v="EL01-001806-3"/>
    <m/>
    <s v="CIRCULATOR SMT 2.9-3.4GHZ"/>
    <s v="JCM2900T3400VM1R"/>
    <m/>
    <s v="JQL  ELECTRONICS"/>
    <n v="8803"/>
    <s v="EA"/>
    <n v="14.5"/>
    <s v="USD"/>
    <n v="1"/>
    <n v="14.5"/>
    <n v="127643.5"/>
    <s v="VR000504"/>
    <x v="8"/>
    <s v="PO2425U10421"/>
    <d v="2024-10-28T00:00:00"/>
    <s v="Before shipment"/>
    <s v="EXW"/>
    <s v="Yes"/>
    <m/>
    <m/>
    <n v="0"/>
    <n v="8803"/>
    <n v="0"/>
    <n v="8803"/>
    <m/>
    <m/>
    <m/>
    <d v="2025-11-20T00:00:00"/>
    <m/>
    <m/>
    <m/>
    <d v="2025-11-30T00:00:00"/>
    <m/>
    <m/>
    <m/>
    <m/>
    <m/>
    <m/>
    <n v="404102750"/>
    <s v="EL01-001806"/>
    <s v="EL01-001806"/>
    <m/>
  </r>
  <r>
    <n v="72"/>
    <d v="2025-12-15T00:00:00"/>
    <n v="404102750"/>
    <s v="EL01-001806-4"/>
    <m/>
    <s v="CIRCULATOR SMT 2.9-3.4GHZ"/>
    <s v="JCM2900T3400VM1R"/>
    <m/>
    <s v="JQL  ELECTRONICS"/>
    <n v="8802"/>
    <s v="EA"/>
    <n v="14.5"/>
    <s v="USD"/>
    <n v="1"/>
    <n v="14.5"/>
    <n v="127629"/>
    <s v="VR000504"/>
    <x v="8"/>
    <s v="PO2425U10421"/>
    <d v="2024-10-28T00:00:00"/>
    <s v="Before shipment"/>
    <s v="EXW"/>
    <s v="Yes"/>
    <m/>
    <m/>
    <n v="0"/>
    <n v="0"/>
    <n v="8802"/>
    <n v="8802"/>
    <m/>
    <m/>
    <m/>
    <d v="2025-12-15T00:00:00"/>
    <m/>
    <m/>
    <m/>
    <d v="2025-12-25T00:00:00"/>
    <m/>
    <m/>
    <m/>
    <m/>
    <m/>
    <m/>
    <n v="404102750"/>
    <s v="EL01-001806"/>
    <s v="EL01-001806"/>
    <n v="127629"/>
  </r>
  <r>
    <n v="73"/>
    <d v="2024-12-15T00:00:00"/>
    <n v="404102751"/>
    <s v="EL01-001807-1"/>
    <m/>
    <s v="CIRCULATOR SMT 2.9-3.4GHZ"/>
    <s v="JCM2900T3400VM1RC"/>
    <m/>
    <s v="JQL  ELECTRONICS"/>
    <n v="1068"/>
    <s v="EA"/>
    <n v="14.5"/>
    <s v="USD"/>
    <n v="1"/>
    <n v="14.5"/>
    <n v="15486"/>
    <s v="VR000504"/>
    <x v="8"/>
    <s v="PO2425U10421"/>
    <d v="2024-10-28T00:00:00"/>
    <s v="Before shipment"/>
    <s v="EXW"/>
    <s v="Yes"/>
    <s v="Received "/>
    <m/>
    <n v="0"/>
    <n v="1068"/>
    <n v="0"/>
    <m/>
    <m/>
    <m/>
    <m/>
    <m/>
    <m/>
    <m/>
    <m/>
    <d v="1900-01-09T00:00:00"/>
    <m/>
    <s v="Received"/>
    <m/>
    <m/>
    <m/>
    <m/>
    <n v="404102751"/>
    <s v="EL01-001807"/>
    <s v="EL01-001807"/>
    <m/>
  </r>
  <r>
    <n v="74"/>
    <d v="2025-09-15T00:00:00"/>
    <n v="404102751"/>
    <s v="EL01-001807-2"/>
    <m/>
    <s v="CIRCULATOR SMT 2.9-3.4GHZ"/>
    <s v="JCM2900T3400VM1RC"/>
    <m/>
    <s v="JQL  ELECTRONICS"/>
    <n v="1066"/>
    <s v="EA"/>
    <n v="14.5"/>
    <s v="USD"/>
    <n v="1"/>
    <n v="14.5"/>
    <n v="15457"/>
    <s v="VR000504"/>
    <x v="8"/>
    <s v="PO2425U10421"/>
    <d v="2024-10-28T00:00:00"/>
    <s v="Before shipment"/>
    <s v="EXW"/>
    <s v="Yes"/>
    <m/>
    <m/>
    <n v="0"/>
    <n v="1066"/>
    <n v="0"/>
    <n v="1066"/>
    <m/>
    <m/>
    <m/>
    <d v="2025-11-20T00:00:00"/>
    <m/>
    <m/>
    <m/>
    <d v="2025-11-30T00:00:00"/>
    <m/>
    <m/>
    <m/>
    <m/>
    <m/>
    <m/>
    <n v="404102751"/>
    <s v="EL01-001807"/>
    <s v="EL01-001807"/>
    <m/>
  </r>
  <r>
    <n v="75"/>
    <d v="2024-12-15T00:00:00"/>
    <n v="423741033"/>
    <s v="EL01-000323-1"/>
    <m/>
    <s v="EMI FILTER PAD FOR D38999/24G16PN 100NF"/>
    <s v="21-16.54"/>
    <m/>
    <s v="QUELL"/>
    <n v="33"/>
    <s v="EA"/>
    <n v="219.44"/>
    <s v="USD"/>
    <n v="1"/>
    <n v="219.44"/>
    <n v="7241.5199999999995"/>
    <s v="VR000036"/>
    <x v="9"/>
    <s v="PO2425U10419"/>
    <d v="2024-10-29T00:00:00"/>
    <s v="100% Advance"/>
    <s v="EXW"/>
    <s v="Yes"/>
    <s v="Received "/>
    <s v="Done"/>
    <n v="0"/>
    <n v="33"/>
    <n v="0"/>
    <m/>
    <m/>
    <m/>
    <m/>
    <m/>
    <m/>
    <m/>
    <m/>
    <d v="1900-01-09T00:00:00"/>
    <m/>
    <s v="Received"/>
    <m/>
    <m/>
    <m/>
    <m/>
    <n v="423741033"/>
    <s v="EL01-000323"/>
    <s v="EL01-000323"/>
    <m/>
  </r>
  <r>
    <n v="76"/>
    <d v="2025-06-15T00:00:00"/>
    <n v="423741033"/>
    <s v="EL01-000323-2"/>
    <m/>
    <s v="EMI FILTER PAD FOR D38999/24G16PN 100NF"/>
    <s v="21-16.54"/>
    <m/>
    <s v="QUELL"/>
    <n v="33"/>
    <s v="EA"/>
    <n v="219.44"/>
    <s v="USD"/>
    <n v="1"/>
    <n v="219.44"/>
    <n v="7241.5199999999995"/>
    <s v="VR000036"/>
    <x v="9"/>
    <s v="PO2425U10419"/>
    <d v="2024-10-29T00:00:00"/>
    <s v="100% Advance"/>
    <s v="EXW"/>
    <s v="Yes"/>
    <s v="Received "/>
    <s v="Done"/>
    <n v="0"/>
    <n v="33"/>
    <n v="0"/>
    <m/>
    <m/>
    <m/>
    <m/>
    <m/>
    <m/>
    <m/>
    <m/>
    <d v="1900-01-09T00:00:00"/>
    <m/>
    <s v="Received"/>
    <m/>
    <m/>
    <m/>
    <m/>
    <n v="423741033"/>
    <s v="EL01-000323"/>
    <s v="EL01-000323"/>
    <m/>
  </r>
  <r>
    <n v="77"/>
    <d v="2025-09-15T00:00:00"/>
    <n v="423741033"/>
    <s v="EL01-000323-3"/>
    <m/>
    <s v="EMI FILTER PAD FOR D38999/24G16PN 100NF"/>
    <s v="21-16.54"/>
    <m/>
    <s v="QUELL"/>
    <n v="33"/>
    <s v="EA"/>
    <n v="219.44"/>
    <s v="USD"/>
    <n v="1"/>
    <n v="219.44"/>
    <n v="7241.5199999999995"/>
    <s v="VR000036"/>
    <x v="9"/>
    <s v="PO2425U10419"/>
    <d v="2024-10-29T00:00:00"/>
    <s v="100% Advance"/>
    <s v="EXW"/>
    <s v="Yes"/>
    <s v="Received "/>
    <s v="Done"/>
    <n v="0"/>
    <n v="33"/>
    <n v="0"/>
    <m/>
    <m/>
    <m/>
    <m/>
    <m/>
    <m/>
    <m/>
    <m/>
    <d v="1900-01-09T00:00:00"/>
    <m/>
    <s v="Received"/>
    <m/>
    <m/>
    <m/>
    <m/>
    <n v="423741033"/>
    <s v="EL01-000323"/>
    <s v="EL01-000323"/>
    <m/>
  </r>
  <r>
    <n v="78"/>
    <d v="2025-12-15T00:00:00"/>
    <n v="423741033"/>
    <s v="EL01-000323-4"/>
    <m/>
    <s v="EMI FILTER PAD FOR D38999/24G16PN 100NF"/>
    <s v="21-16.54"/>
    <m/>
    <s v="QUELL"/>
    <n v="31"/>
    <s v="EA"/>
    <n v="219.44"/>
    <s v="USD"/>
    <n v="1"/>
    <n v="219.44"/>
    <n v="6802.64"/>
    <s v="VR000036"/>
    <x v="9"/>
    <s v="PO2425U10419"/>
    <d v="2024-10-29T00:00:00"/>
    <s v="100% Advance"/>
    <s v="EXW"/>
    <s v="Yes"/>
    <s v="Received "/>
    <s v="Done"/>
    <n v="0"/>
    <n v="31"/>
    <n v="0"/>
    <m/>
    <m/>
    <m/>
    <m/>
    <m/>
    <m/>
    <m/>
    <m/>
    <d v="1900-01-09T00:00:00"/>
    <m/>
    <s v="Received"/>
    <m/>
    <m/>
    <m/>
    <m/>
    <n v="423741033"/>
    <s v="EL01-000323"/>
    <s v="EL01-000323"/>
    <m/>
  </r>
  <r>
    <n v="79"/>
    <d v="2025-02-05T00:00:00"/>
    <n v="401040715"/>
    <s v="EL01-000407-1"/>
    <m/>
    <s v="CONN RF ADAPTER SMP (F) / SMP (F) SPRING"/>
    <s v="R222.723.110"/>
    <m/>
    <s v="RADIALL"/>
    <n v="300"/>
    <s v="EA"/>
    <n v="34"/>
    <s v="EUR"/>
    <n v="1.1200000000000001"/>
    <n v="38.080000000000005"/>
    <n v="11424.000000000002"/>
    <s v="VR000195"/>
    <x v="10"/>
    <s v="PO2425U10539"/>
    <d v="2024-11-26T00:00:00"/>
    <s v="Before shipment"/>
    <s v="EXW"/>
    <s v="No"/>
    <s v="Received "/>
    <m/>
    <n v="0"/>
    <n v="300"/>
    <n v="0"/>
    <m/>
    <m/>
    <m/>
    <m/>
    <m/>
    <m/>
    <m/>
    <m/>
    <d v="1900-01-09T00:00:00"/>
    <m/>
    <m/>
    <m/>
    <m/>
    <m/>
    <m/>
    <n v="401040715"/>
    <s v="EL01-000407"/>
    <s v="EL01-000407"/>
    <m/>
  </r>
  <r>
    <n v="80"/>
    <d v="2025-06-15T00:00:00"/>
    <n v="401040715"/>
    <s v="EL01-000407-2"/>
    <m/>
    <s v="CONN RF ADAPTER SMP (F) / SMP (F) SPRING"/>
    <s v="R222.723.110"/>
    <m/>
    <s v="RADIALL"/>
    <n v="300"/>
    <s v="EA"/>
    <n v="34"/>
    <s v="EUR"/>
    <n v="1.1200000000000001"/>
    <n v="38.080000000000005"/>
    <n v="11424.000000000002"/>
    <s v="VR000195"/>
    <x v="10"/>
    <s v="PO2425U10539"/>
    <d v="2024-11-26T00:00:00"/>
    <s v="Before shipment"/>
    <s v="EXW"/>
    <s v="No"/>
    <s v="Received "/>
    <m/>
    <n v="0"/>
    <n v="300"/>
    <n v="0"/>
    <m/>
    <m/>
    <m/>
    <m/>
    <m/>
    <m/>
    <m/>
    <m/>
    <d v="1900-01-09T00:00:00"/>
    <m/>
    <m/>
    <m/>
    <m/>
    <m/>
    <m/>
    <n v="401040715"/>
    <s v="EL01-000407"/>
    <s v="EL01-000407"/>
    <m/>
  </r>
  <r>
    <n v="81"/>
    <d v="2025-09-15T00:00:00"/>
    <n v="401040715"/>
    <s v="EL01-000407-3"/>
    <m/>
    <s v="CONN RF ADAPTER SMP (F) / SMP (F) SPRING"/>
    <s v="R222.723.110"/>
    <m/>
    <s v="RADIALL"/>
    <n v="200"/>
    <s v="EA"/>
    <n v="34"/>
    <s v="EUR"/>
    <n v="1.1200000000000001"/>
    <n v="38.080000000000005"/>
    <n v="7616.0000000000009"/>
    <s v="VR000195"/>
    <x v="10"/>
    <s v="PO2425U10539"/>
    <d v="2024-11-26T00:00:00"/>
    <s v="Before shipment"/>
    <s v="EXW"/>
    <s v="No"/>
    <s v="Received "/>
    <m/>
    <n v="0"/>
    <n v="200"/>
    <n v="0"/>
    <m/>
    <m/>
    <m/>
    <m/>
    <m/>
    <m/>
    <m/>
    <m/>
    <d v="1900-01-09T00:00:00"/>
    <m/>
    <m/>
    <m/>
    <m/>
    <m/>
    <m/>
    <n v="401040715"/>
    <s v="EL01-000407"/>
    <s v="EL01-000407"/>
    <m/>
  </r>
  <r>
    <n v="82"/>
    <d v="2025-12-15T00:00:00"/>
    <n v="401040715"/>
    <s v="EL01-000407-4"/>
    <m/>
    <s v="CONN RF ADAPTER SMP (F) / SMP (F) SPRING"/>
    <s v="R222.723.110"/>
    <m/>
    <s v="RADIALL"/>
    <n v="300"/>
    <s v="EA"/>
    <n v="34"/>
    <s v="EUR"/>
    <n v="1.1200000000000001"/>
    <n v="38.080000000000005"/>
    <n v="11424.000000000002"/>
    <s v="VR000195"/>
    <x v="10"/>
    <s v="PO2425U10539"/>
    <d v="2024-11-26T00:00:00"/>
    <s v="Before shipment"/>
    <s v="EXW"/>
    <s v="No"/>
    <s v="Received "/>
    <m/>
    <n v="0"/>
    <n v="300"/>
    <n v="0"/>
    <m/>
    <m/>
    <m/>
    <m/>
    <m/>
    <m/>
    <m/>
    <m/>
    <d v="1900-01-09T00:00:00"/>
    <m/>
    <m/>
    <m/>
    <m/>
    <m/>
    <m/>
    <n v="401040715"/>
    <s v="EL01-000407"/>
    <s v="EL01-000407"/>
    <m/>
  </r>
  <r>
    <n v="83"/>
    <d v="2025-02-05T00:00:00"/>
    <s v="N80752108"/>
    <s v="EL01-001716-1"/>
    <m/>
    <s v="TERMINATION  DC-18GHZ 2W SMA/M"/>
    <s v="R404N01000"/>
    <m/>
    <s v="RADIALL"/>
    <n v="1502"/>
    <s v="EA"/>
    <n v="21.5"/>
    <s v="EUR"/>
    <n v="1.1200000000000001"/>
    <n v="24.080000000000002"/>
    <n v="36168.160000000003"/>
    <s v="VR000195 "/>
    <x v="10"/>
    <s v="PO2425U10540"/>
    <d v="2024-11-25T00:00:00"/>
    <s v="Before shipment"/>
    <s v="EXW"/>
    <s v="Yes"/>
    <s v="Received "/>
    <m/>
    <n v="0"/>
    <n v="1502"/>
    <n v="0"/>
    <m/>
    <m/>
    <m/>
    <m/>
    <m/>
    <m/>
    <m/>
    <m/>
    <d v="1900-01-09T00:00:00"/>
    <m/>
    <m/>
    <m/>
    <m/>
    <m/>
    <m/>
    <s v="N80752108"/>
    <s v="EL01-001716"/>
    <s v="EL01-001716"/>
    <m/>
  </r>
  <r>
    <n v="84"/>
    <d v="2025-06-15T00:00:00"/>
    <s v="N80752108"/>
    <s v="EL01-001716-2"/>
    <m/>
    <s v="TERMINATION  DC-18GHZ 2W SMA/M"/>
    <s v="R404N01000"/>
    <m/>
    <s v="RADIALL"/>
    <n v="1502"/>
    <s v="EA"/>
    <n v="21.5"/>
    <s v="EUR"/>
    <n v="1.1200000000000001"/>
    <n v="24.080000000000002"/>
    <n v="36168.160000000003"/>
    <s v="VR000195 "/>
    <x v="10"/>
    <s v="PO2425U10540"/>
    <d v="2024-11-25T00:00:00"/>
    <s v="Before shipment"/>
    <s v="EXW"/>
    <s v="Yes"/>
    <s v="Received "/>
    <m/>
    <n v="0"/>
    <n v="1502"/>
    <n v="0"/>
    <m/>
    <m/>
    <m/>
    <m/>
    <m/>
    <m/>
    <m/>
    <m/>
    <d v="1900-01-09T00:00:00"/>
    <m/>
    <m/>
    <m/>
    <m/>
    <m/>
    <m/>
    <s v="N80752108"/>
    <s v="EL01-001716"/>
    <s v="EL01-001716"/>
    <m/>
  </r>
  <r>
    <n v="85"/>
    <d v="2025-09-15T00:00:00"/>
    <s v="N80752108"/>
    <s v="EL01-001716-3"/>
    <m/>
    <s v="TERMINATION  DC-18GHZ 2W SMA/M"/>
    <s v="R404N01000"/>
    <m/>
    <s v="RADIALL"/>
    <n v="1502"/>
    <s v="EA"/>
    <n v="21.5"/>
    <s v="EUR"/>
    <n v="1.1200000000000001"/>
    <n v="24.080000000000002"/>
    <n v="36168.160000000003"/>
    <s v="VR000195 "/>
    <x v="10"/>
    <s v="PO2425U10540"/>
    <d v="2024-11-25T00:00:00"/>
    <s v="Before shipment"/>
    <s v="EXW"/>
    <s v="Yes"/>
    <s v="Received "/>
    <m/>
    <n v="0"/>
    <n v="1502"/>
    <n v="0"/>
    <m/>
    <m/>
    <m/>
    <m/>
    <m/>
    <m/>
    <m/>
    <m/>
    <d v="1900-01-09T00:00:00"/>
    <m/>
    <m/>
    <m/>
    <m/>
    <m/>
    <m/>
    <s v="N80752108"/>
    <s v="EL01-001716"/>
    <s v="EL01-001716"/>
    <m/>
  </r>
  <r>
    <n v="86"/>
    <d v="2025-12-15T00:00:00"/>
    <s v="N80752108"/>
    <s v="EL01-001716-4"/>
    <m/>
    <s v="TERMINATION  DC-18GHZ 2W SMA/M"/>
    <s v="R404N01000"/>
    <m/>
    <s v="RADIALL"/>
    <n v="1500"/>
    <s v="EA"/>
    <n v="21.5"/>
    <s v="EUR"/>
    <n v="1.1200000000000001"/>
    <n v="24.080000000000002"/>
    <n v="36120"/>
    <s v="VR000195 "/>
    <x v="10"/>
    <s v="PO2425U10540"/>
    <d v="2024-11-25T00:00:00"/>
    <s v="Before shipment"/>
    <s v="EXW"/>
    <s v="Yes"/>
    <s v="Received "/>
    <m/>
    <n v="0"/>
    <n v="1500"/>
    <n v="0"/>
    <m/>
    <m/>
    <m/>
    <m/>
    <m/>
    <m/>
    <m/>
    <m/>
    <d v="1900-01-09T00:00:00"/>
    <m/>
    <m/>
    <m/>
    <m/>
    <m/>
    <m/>
    <s v="N80752108"/>
    <s v="EL01-001716"/>
    <s v="EL01-001716"/>
    <m/>
  </r>
  <r>
    <n v="87"/>
    <d v="2024-12-15T00:00:00"/>
    <n v="400149265"/>
    <s v="EL01-001979-1"/>
    <m/>
    <s v="EMI FERRITE CHIP BEAD"/>
    <s v="MI0603J601R-10"/>
    <m/>
    <s v="LAIRD TECHNOLOGIES SRO"/>
    <n v="40000"/>
    <s v="EA"/>
    <n v="3.9E-2"/>
    <s v="USD"/>
    <n v="1"/>
    <n v="3.9E-2"/>
    <n v="1560"/>
    <s v="VR000014"/>
    <x v="11"/>
    <s v="PO2425U10847"/>
    <d v="2025-03-12T00:00:00"/>
    <s v="Net 30 Days"/>
    <s v="EXW"/>
    <s v="Yes"/>
    <m/>
    <m/>
    <n v="0"/>
    <n v="40000"/>
    <n v="0"/>
    <m/>
    <m/>
    <m/>
    <m/>
    <m/>
    <m/>
    <m/>
    <m/>
    <d v="1900-01-09T00:00:00"/>
    <m/>
    <m/>
    <m/>
    <m/>
    <m/>
    <m/>
    <n v="400149265"/>
    <s v="EL01-001979"/>
    <s v="EL01-001979"/>
    <m/>
  </r>
  <r>
    <n v="88"/>
    <d v="2024-12-30T00:00:00"/>
    <n v="400584360"/>
    <s v="EL01-001864-1"/>
    <m/>
    <s v="CHIP CAP 0.01UF 10% 50V X7R T&amp;R"/>
    <s v="C0402C103K5RACTU"/>
    <m/>
    <s v="KEMET ELECTRONICS S A"/>
    <n v="60000"/>
    <s v="EA"/>
    <n v="3.0000000000000001E-3"/>
    <s v="USD"/>
    <n v="1"/>
    <n v="3.0000000000000001E-3"/>
    <n v="180"/>
    <s v="VR000014"/>
    <x v="11"/>
    <s v="PO2425U10647"/>
    <d v="2024-12-26T00:00:00"/>
    <s v="Net 30days"/>
    <s v="EXW"/>
    <s v="Yes"/>
    <m/>
    <m/>
    <n v="0"/>
    <n v="60000"/>
    <n v="0"/>
    <m/>
    <m/>
    <m/>
    <m/>
    <m/>
    <m/>
    <m/>
    <m/>
    <d v="1900-01-09T00:00:00"/>
    <m/>
    <s v="Received"/>
    <m/>
    <m/>
    <m/>
    <m/>
    <n v="400584360"/>
    <s v="EL01-001864"/>
    <s v="EL01-001864"/>
    <m/>
  </r>
  <r>
    <n v="89"/>
    <d v="2024-12-15T00:00:00"/>
    <n v="400536577"/>
    <s v="EL01-001861-1"/>
    <m/>
    <s v="CHIP CAP 100PF 5^ 25V C0G T&amp;R"/>
    <s v="C0402C101J3GACTU"/>
    <m/>
    <s v="KEMET ELECTRONICS S A"/>
    <n v="230000"/>
    <s v="EA"/>
    <n v="2.3999999999999998E-3"/>
    <s v="USD"/>
    <n v="1"/>
    <n v="2.3999999999999998E-3"/>
    <n v="552"/>
    <s v="VR000097"/>
    <x v="12"/>
    <s v="PO2425U10578_x000a__x0009_"/>
    <d v="2024-12-02T00:00:00"/>
    <s v="Before shipment"/>
    <s v="EXW"/>
    <s v="Yes"/>
    <m/>
    <m/>
    <n v="0"/>
    <n v="230000"/>
    <n v="0"/>
    <m/>
    <m/>
    <m/>
    <m/>
    <m/>
    <m/>
    <m/>
    <m/>
    <d v="1900-01-09T00:00:00"/>
    <m/>
    <s v="Received"/>
    <m/>
    <m/>
    <m/>
    <m/>
    <n v="400536577"/>
    <s v="EL01-001861"/>
    <s v="EL01-001861"/>
    <m/>
  </r>
  <r>
    <n v="90"/>
    <d v="2024-12-15T00:00:00"/>
    <n v="400984937"/>
    <s v="EL01-001862-1"/>
    <m/>
    <s v="CHIP CAP 1000PF 10% 50VOLT X7R T&amp;R"/>
    <s v="C0402C102K5RAC7867"/>
    <m/>
    <s v="KEMET ELECTRONICS S A"/>
    <n v="380000"/>
    <s v="EA"/>
    <n v="1.8E-3"/>
    <s v="USD"/>
    <n v="1"/>
    <n v="1.8E-3"/>
    <n v="684"/>
    <s v="VR000097"/>
    <x v="12"/>
    <s v="PO2425U10578_x000a__x0009_"/>
    <d v="2024-12-02T00:00:00"/>
    <s v="Before shipment"/>
    <s v="EXW"/>
    <s v="Yes"/>
    <s v="Received "/>
    <m/>
    <n v="0"/>
    <n v="380000"/>
    <n v="0"/>
    <m/>
    <m/>
    <m/>
    <m/>
    <m/>
    <m/>
    <m/>
    <m/>
    <d v="1900-01-09T00:00:00"/>
    <m/>
    <s v="Received"/>
    <m/>
    <m/>
    <m/>
    <m/>
    <n v="400984937"/>
    <s v="EL01-001862"/>
    <s v="EL01-001862"/>
    <m/>
  </r>
  <r>
    <n v="91"/>
    <d v="2025-02-27T00:00:00"/>
    <n v="400713754"/>
    <s v="EL01-001865-1"/>
    <m/>
    <s v="CHIP CAP 0.1UF 10% 50V X7R T&amp;R"/>
    <s v="C0603C104K5RAC7867"/>
    <m/>
    <s v="KEMET ELECTRONICS S A"/>
    <n v="76000"/>
    <s v="EA"/>
    <n v="4.6800000000000001E-3"/>
    <s v="USD"/>
    <n v="1"/>
    <n v="4.6800000000000001E-3"/>
    <n v="355.68"/>
    <s v="VR000097"/>
    <x v="12"/>
    <s v="PO2425U10578_x000a__x0009_"/>
    <d v="2024-12-02T00:00:00"/>
    <s v="Before shipment"/>
    <s v="EXW"/>
    <s v="No"/>
    <m/>
    <m/>
    <n v="0"/>
    <n v="76000"/>
    <n v="0"/>
    <m/>
    <m/>
    <m/>
    <m/>
    <m/>
    <m/>
    <m/>
    <m/>
    <d v="1900-01-09T00:00:00"/>
    <s v="PO need to amend Price changed"/>
    <m/>
    <m/>
    <m/>
    <m/>
    <m/>
    <n v="400713754"/>
    <s v="EL01-001865"/>
    <s v="EL01-001865"/>
    <m/>
  </r>
  <r>
    <n v="92"/>
    <d v="2024-12-15T00:00:00"/>
    <n v="401246012"/>
    <s v="EL01-001863-1"/>
    <m/>
    <s v="CHIP CAP 0.01UF 10^ 25V X7R T&amp;R"/>
    <s v="C0402C103K3RAC7867"/>
    <m/>
    <s v="KEMET ELECTRONICS S A"/>
    <n v="120000"/>
    <s v="EA"/>
    <n v="1.8E-3"/>
    <s v="USD"/>
    <n v="1"/>
    <n v="1.8E-3"/>
    <n v="216"/>
    <s v="VR000097"/>
    <x v="12"/>
    <s v="PO2425U10578_x000a__x0009_"/>
    <d v="2024-12-02T00:00:00"/>
    <s v="Before shipment"/>
    <s v="EXW"/>
    <s v="Yes"/>
    <s v="Received "/>
    <m/>
    <n v="0"/>
    <n v="120000"/>
    <n v="0"/>
    <m/>
    <m/>
    <m/>
    <m/>
    <m/>
    <m/>
    <m/>
    <m/>
    <d v="1900-01-09T00:00:00"/>
    <s v="Partial QTY confirmed"/>
    <m/>
    <m/>
    <n v="50000"/>
    <m/>
    <m/>
    <n v="401246012"/>
    <s v="EL01-001863"/>
    <s v="EL01-001863"/>
    <m/>
  </r>
  <r>
    <n v="93"/>
    <d v="2025-03-15T00:00:00"/>
    <n v="401661121"/>
    <s v="EL01-001893-1"/>
    <m/>
    <s v="PC BLANK MASTER DWG. FLY-25 Z6"/>
    <s v="1093R492-006"/>
    <s v="A"/>
    <s v="Micropack"/>
    <n v="267"/>
    <s v="EA"/>
    <n v="70"/>
    <s v="USD"/>
    <n v="1"/>
    <n v="70"/>
    <n v="18690"/>
    <s v="VR000628"/>
    <x v="13"/>
    <s v="PO2425U10753"/>
    <d v="2025-02-12T00:00:00"/>
    <s v="As agreed"/>
    <s v="EXW"/>
    <s v="No"/>
    <m/>
    <m/>
    <n v="0"/>
    <n v="267"/>
    <n v="0"/>
    <m/>
    <m/>
    <m/>
    <m/>
    <m/>
    <m/>
    <m/>
    <m/>
    <d v="1900-01-09T00:00:00"/>
    <m/>
    <m/>
    <m/>
    <m/>
    <m/>
    <m/>
    <n v="401661121"/>
    <s v="EL01-001893"/>
    <s v="EL01-001893"/>
    <m/>
  </r>
  <r>
    <n v="94"/>
    <d v="2025-06-15T00:00:00"/>
    <n v="401661121"/>
    <s v="EL01-001893-2"/>
    <m/>
    <s v="PC BLANK MASTER DWG. FLY-25 Z6"/>
    <s v="1093R492-006"/>
    <s v="A"/>
    <s v="Micropack"/>
    <n v="267"/>
    <s v="EA"/>
    <n v="70"/>
    <s v="USD"/>
    <n v="1"/>
    <n v="70"/>
    <n v="18690"/>
    <s v="VR000628"/>
    <x v="13"/>
    <s v="PO2425U10753"/>
    <d v="2025-02-12T00:00:00"/>
    <s v="As agreed"/>
    <s v="EXW"/>
    <s v="No"/>
    <m/>
    <m/>
    <n v="0"/>
    <n v="267"/>
    <n v="0"/>
    <m/>
    <m/>
    <m/>
    <m/>
    <m/>
    <m/>
    <m/>
    <m/>
    <d v="1900-01-09T00:00:00"/>
    <m/>
    <m/>
    <m/>
    <m/>
    <m/>
    <m/>
    <n v="401661121"/>
    <s v="EL01-001893"/>
    <s v="EL01-001893"/>
    <m/>
  </r>
  <r>
    <n v="95"/>
    <d v="2025-09-15T00:00:00"/>
    <n v="401661121"/>
    <s v="EL01-001893-3"/>
    <m/>
    <s v="PC BLANK MASTER DWG. FLY-25 Z6"/>
    <s v="1093R492-006"/>
    <s v="A"/>
    <s v="Micropack"/>
    <n v="267"/>
    <s v="EA"/>
    <n v="70"/>
    <s v="USD"/>
    <n v="1"/>
    <n v="70"/>
    <n v="18690"/>
    <s v="VR000628"/>
    <x v="13"/>
    <s v="PO2425U10753"/>
    <d v="2025-02-12T00:00:00"/>
    <s v="As agreed"/>
    <s v="EXW"/>
    <s v="No"/>
    <m/>
    <m/>
    <n v="0"/>
    <n v="267"/>
    <n v="0"/>
    <n v="64"/>
    <m/>
    <m/>
    <m/>
    <m/>
    <m/>
    <m/>
    <m/>
    <d v="1900-01-09T00:00:00"/>
    <m/>
    <m/>
    <m/>
    <m/>
    <m/>
    <m/>
    <n v="401661121"/>
    <s v="EL01-001893"/>
    <s v="EL01-001893"/>
    <m/>
  </r>
  <r>
    <n v="96"/>
    <d v="2025-12-15T00:00:00"/>
    <n v="401661121"/>
    <s v="EL01-001893-4"/>
    <m/>
    <s v="PC BLANK MASTER DWG. FLY-25 Z6"/>
    <s v="1093R492-006"/>
    <s v="A"/>
    <s v="Micropack"/>
    <n v="266"/>
    <s v="EA"/>
    <n v="70"/>
    <s v="USD"/>
    <n v="1"/>
    <n v="70"/>
    <n v="18620"/>
    <s v="VR000628"/>
    <x v="13"/>
    <s v="PO2425U10753"/>
    <d v="2025-02-12T00:00:00"/>
    <s v="As agreed"/>
    <s v="EXW"/>
    <s v="No"/>
    <m/>
    <m/>
    <n v="0"/>
    <n v="216"/>
    <n v="50"/>
    <n v="266"/>
    <m/>
    <m/>
    <m/>
    <m/>
    <m/>
    <m/>
    <m/>
    <d v="1900-01-09T00:00:00"/>
    <m/>
    <m/>
    <m/>
    <m/>
    <m/>
    <m/>
    <n v="401661121"/>
    <s v="EL01-001893"/>
    <s v="EL01-001893"/>
    <n v="3500"/>
  </r>
  <r>
    <n v="97"/>
    <d v="2024-12-15T00:00:00"/>
    <n v="417350080"/>
    <s v="EL01-002249-1"/>
    <m/>
    <s v="CHIP CAP 4.7UF 10% 16V X7R T&amp;R"/>
    <s v="CL21B475KOFNNNE‏"/>
    <m/>
    <s v="SAMSUNG"/>
    <n v="320000"/>
    <s v="EA"/>
    <n v="1.7999999999999999E-2"/>
    <s v="USD"/>
    <n v="1"/>
    <n v="1.7999999999999999E-2"/>
    <n v="5760"/>
    <s v="VR000127"/>
    <x v="14"/>
    <s v="PO2425U10495"/>
    <d v="2024-11-04T00:00:00"/>
    <s v="Net 30days"/>
    <s v="EXW"/>
    <s v="Yes"/>
    <m/>
    <m/>
    <n v="0"/>
    <n v="320000"/>
    <n v="0"/>
    <m/>
    <m/>
    <m/>
    <m/>
    <m/>
    <m/>
    <m/>
    <m/>
    <d v="1900-01-09T00:00:00"/>
    <m/>
    <s v="Received"/>
    <m/>
    <m/>
    <m/>
    <m/>
    <n v="417350080"/>
    <s v="EL01-002249"/>
    <s v="EL01-002249"/>
    <m/>
  </r>
  <r>
    <n v="98"/>
    <d v="2024-12-15T00:00:00"/>
    <n v="417983106"/>
    <s v="EL01-001717-1"/>
    <m/>
    <s v="CHIP CAP 0.1UF 10% 10V X7R T&amp;R"/>
    <s v="CL05B104KP5NNNC"/>
    <m/>
    <s v="SAMSUNG"/>
    <n v="200000"/>
    <s v="EA"/>
    <n v="2.5000000000000001E-3"/>
    <s v="USD"/>
    <n v="1"/>
    <n v="2.5000000000000001E-3"/>
    <n v="500"/>
    <s v="VR000127"/>
    <x v="14"/>
    <s v="PO2425U10495"/>
    <d v="2024-11-04T00:00:00"/>
    <s v="Net 30days"/>
    <s v="EXW"/>
    <s v="Yes"/>
    <m/>
    <m/>
    <n v="0"/>
    <n v="200000"/>
    <n v="0"/>
    <m/>
    <m/>
    <m/>
    <m/>
    <m/>
    <m/>
    <m/>
    <m/>
    <d v="1900-01-09T00:00:00"/>
    <m/>
    <s v="Received"/>
    <m/>
    <m/>
    <m/>
    <m/>
    <n v="417983106"/>
    <s v="EL01-001717"/>
    <s v="EL01-001717"/>
    <m/>
  </r>
  <r>
    <n v="99"/>
    <d v="2024-12-15T00:00:00"/>
    <n v="405580071"/>
    <s v="EL01-001795-1"/>
    <m/>
    <s v="CONN RF ADAPTER SMA (F)/BMA (F) BULKHEAD"/>
    <s v="34_BMA-SMA-N50-8/1--_UE"/>
    <m/>
    <s v="HUBER+SUHNER AG HERISAU"/>
    <n v="578"/>
    <s v="EA"/>
    <n v="27.65"/>
    <s v="CHF"/>
    <n v="1.1100000000000001"/>
    <n v="30.691500000000001"/>
    <n v="17739.687000000002"/>
    <s v="VR000127"/>
    <x v="14"/>
    <s v="PO2425U10535"/>
    <d v="2024-11-25T00:00:00"/>
    <s v="100%Advance for each Lot"/>
    <s v="EXW"/>
    <m/>
    <s v="Received "/>
    <s v="Yes"/>
    <n v="0"/>
    <n v="578"/>
    <n v="0"/>
    <m/>
    <m/>
    <m/>
    <m/>
    <m/>
    <m/>
    <m/>
    <m/>
    <d v="1900-01-09T00:00:00"/>
    <m/>
    <m/>
    <m/>
    <m/>
    <m/>
    <m/>
    <n v="405580071"/>
    <s v="EL01-001795"/>
    <s v="EL01-001795"/>
    <m/>
  </r>
  <r>
    <n v="100"/>
    <d v="2025-06-15T00:00:00"/>
    <n v="405580071"/>
    <s v="EL01-001795-2"/>
    <m/>
    <s v="CONN RF ADAPTER SMA (F)/BMA (F) BULKHEAD"/>
    <s v="34_BMA-SMA-N50-8/1--_UE"/>
    <m/>
    <s v="HUBER+SUHNER AG HERISAU"/>
    <n v="578"/>
    <s v="EA"/>
    <n v="27.65"/>
    <s v="CHF"/>
    <n v="1.1100000000000001"/>
    <n v="30.691500000000001"/>
    <n v="17739.687000000002"/>
    <s v="VR000127"/>
    <x v="14"/>
    <s v="PO2425U10535"/>
    <d v="2024-11-25T00:00:00"/>
    <s v="100%Advance for each Lot"/>
    <s v="EXW"/>
    <m/>
    <m/>
    <m/>
    <n v="0"/>
    <n v="578"/>
    <n v="0"/>
    <m/>
    <m/>
    <m/>
    <m/>
    <m/>
    <m/>
    <m/>
    <m/>
    <d v="1900-01-09T00:00:00"/>
    <m/>
    <m/>
    <m/>
    <m/>
    <m/>
    <m/>
    <n v="405580071"/>
    <s v="EL01-001795"/>
    <s v="EL01-001795"/>
    <m/>
  </r>
  <r>
    <n v="101"/>
    <d v="2025-09-15T00:00:00"/>
    <n v="405580071"/>
    <s v="EL01-001795-3"/>
    <m/>
    <s v="CONN RF ADAPTER SMA (F)/BMA (F) BULKHEAD"/>
    <s v="34_BMA-SMA-N50-8/1--_UE"/>
    <m/>
    <s v="HUBER+SUHNER AG HERISAU"/>
    <n v="578"/>
    <s v="EA"/>
    <n v="27.65"/>
    <s v="CHF"/>
    <n v="1.1100000000000001"/>
    <n v="30.691500000000001"/>
    <n v="17739.687000000002"/>
    <s v="VR000127"/>
    <x v="14"/>
    <s v="PO2425U10535"/>
    <d v="2024-11-25T00:00:00"/>
    <s v="100%Advance for each Lot"/>
    <s v="EXW"/>
    <m/>
    <m/>
    <m/>
    <n v="0"/>
    <n v="578"/>
    <n v="0"/>
    <m/>
    <m/>
    <m/>
    <m/>
    <m/>
    <m/>
    <m/>
    <m/>
    <d v="1900-01-09T00:00:00"/>
    <m/>
    <m/>
    <m/>
    <m/>
    <m/>
    <m/>
    <n v="405580071"/>
    <s v="EL01-001795"/>
    <s v="EL01-001795"/>
    <m/>
  </r>
  <r>
    <n v="102"/>
    <d v="2025-12-15T00:00:00"/>
    <n v="405580071"/>
    <s v="EL01-001795-4"/>
    <m/>
    <s v="CONN RF ADAPTER SMA (F)/BMA (F) BULKHEAD"/>
    <s v="34_BMA-SMA-N50-8/1--_UE"/>
    <m/>
    <s v="HUBER+SUHNER AG HERISAU"/>
    <n v="576"/>
    <s v="EA"/>
    <n v="27.65"/>
    <s v="CHF"/>
    <n v="1.1100000000000001"/>
    <n v="30.691500000000001"/>
    <n v="17678.304"/>
    <s v="VR000127"/>
    <x v="14"/>
    <s v="PO2425U10535"/>
    <d v="2024-11-25T00:00:00"/>
    <s v="100%Advance for each Lot"/>
    <s v="EXW"/>
    <m/>
    <m/>
    <m/>
    <n v="0"/>
    <n v="576"/>
    <n v="0"/>
    <m/>
    <m/>
    <m/>
    <m/>
    <m/>
    <m/>
    <m/>
    <m/>
    <d v="1900-01-09T00:00:00"/>
    <m/>
    <m/>
    <m/>
    <m/>
    <m/>
    <m/>
    <n v="405580071"/>
    <s v="EL01-001795"/>
    <s v="EL01-001795"/>
    <m/>
  </r>
  <r>
    <n v="103"/>
    <d v="2025-04-15T00:00:00"/>
    <n v="406059870"/>
    <s v="EL01-001908-1"/>
    <m/>
    <s v="DC HARNESS TRA(W1)"/>
    <s v="1096H331-001"/>
    <s v="A"/>
    <s v="DCX"/>
    <n v="539"/>
    <s v="EA"/>
    <n v="583.61619380260061"/>
    <s v="USD"/>
    <n v="1"/>
    <n v="583.61619380260061"/>
    <n v="314569.12845960172"/>
    <m/>
    <x v="15"/>
    <s v="PO2526U10077"/>
    <d v="2025-04-24T00:00:00"/>
    <s v="Net 30 Days"/>
    <s v="EXW"/>
    <m/>
    <m/>
    <m/>
    <n v="0"/>
    <n v="539"/>
    <n v="150"/>
    <m/>
    <m/>
    <m/>
    <m/>
    <d v="2025-10-31T00:00:00"/>
    <m/>
    <m/>
    <m/>
    <d v="2025-11-10T00:00:00"/>
    <m/>
    <m/>
    <m/>
    <m/>
    <m/>
    <m/>
    <n v="406059870"/>
    <s v="EL01-001908"/>
    <s v="EL01-001908"/>
    <n v="87542.429070390092"/>
  </r>
  <r>
    <n v="104"/>
    <d v="2025-04-15T00:00:00"/>
    <n v="421766797"/>
    <s v="EL01-001985-1"/>
    <m/>
    <s v="HARNESS WK001 - POWER - MAIN"/>
    <s v="1033A447-001"/>
    <s v="D"/>
    <s v="DCX"/>
    <n v="146"/>
    <s v="EA"/>
    <n v="704.40656916199407"/>
    <s v="USD"/>
    <n v="1"/>
    <n v="704.40656916199407"/>
    <n v="102843.35909765113"/>
    <m/>
    <x v="15"/>
    <s v="PO2526U10077"/>
    <d v="2025-04-24T00:00:00"/>
    <s v="Net 30 Days"/>
    <s v="EXW"/>
    <m/>
    <m/>
    <m/>
    <n v="0"/>
    <n v="146"/>
    <n v="20"/>
    <m/>
    <m/>
    <m/>
    <m/>
    <d v="2025-10-31T00:00:00"/>
    <m/>
    <m/>
    <m/>
    <d v="2025-11-10T00:00:00"/>
    <m/>
    <m/>
    <m/>
    <m/>
    <m/>
    <m/>
    <n v="421766797"/>
    <s v="EL01-001985"/>
    <s v="EL01-001985"/>
    <n v="14088.131383239881"/>
  </r>
  <r>
    <n v="105"/>
    <d v="2025-04-15T00:00:00"/>
    <n v="421845656"/>
    <s v="EL01-002905-1"/>
    <m/>
    <s v="HARNESS WA001 - POWER FAN CIWS 5W"/>
    <s v="6931A601-001"/>
    <s v="-"/>
    <s v="DCX"/>
    <n v="146"/>
    <s v="EA"/>
    <n v="102.80264793580527"/>
    <s v="USD"/>
    <n v="1"/>
    <n v="102.80264793580527"/>
    <n v="15009.18659862757"/>
    <m/>
    <x v="15"/>
    <s v="PO2526U10077"/>
    <d v="2025-04-24T00:00:00"/>
    <s v="Net 30 Days"/>
    <s v="EXW"/>
    <m/>
    <m/>
    <m/>
    <n v="0"/>
    <n v="146"/>
    <n v="20"/>
    <m/>
    <m/>
    <m/>
    <m/>
    <d v="2025-10-31T00:00:00"/>
    <m/>
    <m/>
    <m/>
    <d v="2025-11-10T00:00:00"/>
    <m/>
    <m/>
    <m/>
    <m/>
    <m/>
    <m/>
    <n v="421845656"/>
    <s v="EL01-001986"/>
    <s v="EL01-002905"/>
    <n v="2056.0529587161054"/>
  </r>
  <r>
    <n v="106"/>
    <d v="2025-04-15T00:00:00"/>
    <n v="418022948"/>
    <s v="EL01-002003-1"/>
    <m/>
    <s v="HARNESS WB002 - POWER - PS TO SMR LEFT"/>
    <s v="1039F842-001"/>
    <s v="-"/>
    <s v="DCX"/>
    <n v="146"/>
    <s v="EA"/>
    <n v="736.66111136734412"/>
    <s v="USD"/>
    <n v="1"/>
    <n v="736.66111136734412"/>
    <n v="107552.52225963224"/>
    <m/>
    <x v="15"/>
    <s v="PO2526U10077"/>
    <d v="2025-04-24T00:00:00"/>
    <s v="Net 30 Days"/>
    <s v="EXW"/>
    <m/>
    <m/>
    <m/>
    <n v="0"/>
    <n v="146"/>
    <n v="20"/>
    <m/>
    <m/>
    <m/>
    <m/>
    <d v="2025-10-31T00:00:00"/>
    <m/>
    <m/>
    <m/>
    <d v="2025-11-10T00:00:00"/>
    <m/>
    <m/>
    <m/>
    <m/>
    <m/>
    <m/>
    <n v="418022948"/>
    <s v="EL01-002003"/>
    <s v="EL01-002003"/>
    <n v="14733.222227346883"/>
  </r>
  <r>
    <n v="107"/>
    <d v="2025-04-15T00:00:00"/>
    <n v="418022947"/>
    <s v="EL01-002004-1"/>
    <m/>
    <s v="HARNESS WB003 - POWER - PS TO SMR RIGHT"/>
    <s v="1039F843-001"/>
    <s v="-"/>
    <s v="DCX"/>
    <n v="146"/>
    <s v="EA"/>
    <n v="718.53409844379451"/>
    <s v="USD"/>
    <n v="1"/>
    <n v="718.53409844379451"/>
    <n v="104905.97837279399"/>
    <m/>
    <x v="15"/>
    <s v="PO2526U10077"/>
    <d v="2025-04-24T00:00:00"/>
    <s v="Net 30 Days"/>
    <s v="EXW"/>
    <m/>
    <m/>
    <m/>
    <n v="0"/>
    <n v="146"/>
    <n v="20"/>
    <m/>
    <m/>
    <m/>
    <m/>
    <d v="2025-10-31T00:00:00"/>
    <m/>
    <m/>
    <m/>
    <d v="2025-11-10T00:00:00"/>
    <m/>
    <m/>
    <m/>
    <m/>
    <m/>
    <m/>
    <n v="418022947"/>
    <s v="EL01-002004"/>
    <s v="EL01-002004"/>
    <n v="14370.68196887589"/>
  </r>
  <r>
    <n v="108"/>
    <d v="2025-04-15T00:00:00"/>
    <n v="418022951"/>
    <s v="EL01-002005-1"/>
    <m/>
    <s v="HARNESS WB006 - CONTROL"/>
    <s v="1039F846-002"/>
    <s v="A"/>
    <s v="DCX"/>
    <n v="146"/>
    <s v="EA"/>
    <n v="945.59931027374535"/>
    <s v="USD"/>
    <n v="1"/>
    <n v="945.59931027374535"/>
    <n v="138057.49929996682"/>
    <m/>
    <x v="15"/>
    <s v="PO2526U10077"/>
    <d v="2025-04-24T00:00:00"/>
    <s v="Net 30 Days"/>
    <s v="EXW"/>
    <m/>
    <m/>
    <m/>
    <n v="0"/>
    <n v="146"/>
    <n v="20"/>
    <m/>
    <m/>
    <m/>
    <m/>
    <d v="2025-10-31T00:00:00"/>
    <m/>
    <m/>
    <m/>
    <d v="2025-11-10T00:00:00"/>
    <m/>
    <m/>
    <m/>
    <m/>
    <m/>
    <m/>
    <n v="418022951"/>
    <s v="EL01-002005"/>
    <s v="EL01-002005"/>
    <n v="18911.986205474906"/>
  </r>
  <r>
    <n v="109"/>
    <d v="2025-04-15T00:00:00"/>
    <n v="418022949"/>
    <s v="EL01-002006-1"/>
    <m/>
    <s v="HARNESS WB007 - MASTER OSCILATOR"/>
    <s v="1039F847-001"/>
    <s v="-"/>
    <s v="DCX"/>
    <n v="146"/>
    <s v="EA"/>
    <n v="240.77488461186715"/>
    <s v="USD"/>
    <n v="1"/>
    <n v="240.77488461186715"/>
    <n v="35153.133153332601"/>
    <m/>
    <x v="15"/>
    <s v="PO2526U10077"/>
    <d v="2025-04-24T00:00:00"/>
    <s v="Net 30 Days"/>
    <s v="EXW"/>
    <m/>
    <m/>
    <m/>
    <n v="0"/>
    <n v="146"/>
    <n v="20"/>
    <m/>
    <m/>
    <m/>
    <m/>
    <d v="2025-10-31T00:00:00"/>
    <m/>
    <m/>
    <m/>
    <d v="2025-11-10T00:00:00"/>
    <m/>
    <m/>
    <m/>
    <m/>
    <m/>
    <m/>
    <n v="418022949"/>
    <s v="EL01-002006"/>
    <s v="EL01-002006"/>
    <n v="4815.4976922373426"/>
  </r>
  <r>
    <n v="110"/>
    <d v="2024-12-15T00:00:00"/>
    <n v="414531926"/>
    <s v="EL01-001925-1"/>
    <m/>
    <s v="TERMINATION"/>
    <s v="1099M230-001"/>
    <s v="-"/>
    <s v="DCX-CHOL"/>
    <n v="2947"/>
    <s v="EA"/>
    <n v="19"/>
    <s v="USD"/>
    <n v="1"/>
    <n v="19"/>
    <n v="55993"/>
    <s v="VR000186"/>
    <x v="16"/>
    <s v="PO2425U10541"/>
    <d v="2024-11-25T00:00:00"/>
    <s v="Before shipment"/>
    <s v="EXW"/>
    <s v="Yes "/>
    <m/>
    <m/>
    <n v="0"/>
    <n v="2947"/>
    <n v="0"/>
    <m/>
    <m/>
    <m/>
    <m/>
    <m/>
    <m/>
    <m/>
    <m/>
    <d v="1900-01-09T00:00:00"/>
    <m/>
    <m/>
    <m/>
    <m/>
    <m/>
    <m/>
    <n v="414531926"/>
    <s v="EL01-001925"/>
    <s v="EL01-001925"/>
    <m/>
  </r>
  <r>
    <n v="111"/>
    <d v="2025-06-15T00:00:00"/>
    <n v="414531926"/>
    <s v="EL01-001925-2"/>
    <m/>
    <s v="TERMINATION"/>
    <s v="1099M230-001"/>
    <s v="-"/>
    <s v="DCX-CHOL"/>
    <n v="2947"/>
    <s v="EA"/>
    <n v="19"/>
    <s v="USD"/>
    <n v="1"/>
    <n v="19"/>
    <n v="55993"/>
    <s v="VR000186"/>
    <x v="16"/>
    <s v="PO2425U10541"/>
    <d v="2024-11-25T00:00:00"/>
    <s v="Before shipment"/>
    <s v="EXW"/>
    <s v="Yes "/>
    <m/>
    <m/>
    <n v="0"/>
    <n v="2947"/>
    <n v="0"/>
    <m/>
    <m/>
    <m/>
    <m/>
    <m/>
    <m/>
    <m/>
    <m/>
    <d v="1900-01-09T00:00:00"/>
    <m/>
    <m/>
    <m/>
    <m/>
    <m/>
    <m/>
    <n v="414531926"/>
    <s v="EL01-001925"/>
    <s v="EL01-001925"/>
    <m/>
  </r>
  <r>
    <n v="112"/>
    <d v="2025-09-15T00:00:00"/>
    <n v="414531926"/>
    <s v="EL01-001925-3"/>
    <m/>
    <s v="TERMINATION"/>
    <s v="1099M230-001"/>
    <s v="-"/>
    <s v="DCX-CHOL"/>
    <n v="2947"/>
    <s v="EA"/>
    <n v="19"/>
    <s v="USD"/>
    <n v="1"/>
    <n v="19"/>
    <n v="55993"/>
    <s v="VR000186"/>
    <x v="16"/>
    <s v="PO2425U10541"/>
    <d v="2024-11-25T00:00:00"/>
    <s v="Before shipment"/>
    <s v="EXW"/>
    <s v="Yes "/>
    <m/>
    <m/>
    <n v="0"/>
    <n v="2947"/>
    <n v="0"/>
    <m/>
    <m/>
    <m/>
    <m/>
    <m/>
    <m/>
    <m/>
    <m/>
    <d v="1900-01-09T00:00:00"/>
    <m/>
    <m/>
    <m/>
    <m/>
    <m/>
    <m/>
    <n v="414531926"/>
    <s v="EL01-001925"/>
    <s v="EL01-001925"/>
    <m/>
  </r>
  <r>
    <n v="113"/>
    <d v="2025-12-15T00:00:00"/>
    <n v="414531926"/>
    <s v="EL01-001925-4"/>
    <m/>
    <s v="TERMINATION"/>
    <s v="1099M230-001"/>
    <s v="-"/>
    <s v="DCX-CHOL"/>
    <n v="2944"/>
    <s v="EA"/>
    <n v="19"/>
    <s v="USD"/>
    <n v="1"/>
    <n v="19"/>
    <n v="55936"/>
    <s v="VR000186"/>
    <x v="16"/>
    <s v="PO2425U10541"/>
    <d v="2024-11-25T00:00:00"/>
    <s v="Before shipment"/>
    <s v="EXW"/>
    <s v="Yes "/>
    <m/>
    <m/>
    <n v="0"/>
    <n v="2944"/>
    <n v="0"/>
    <m/>
    <m/>
    <m/>
    <m/>
    <m/>
    <m/>
    <m/>
    <m/>
    <d v="1900-01-09T00:00:00"/>
    <m/>
    <m/>
    <m/>
    <m/>
    <m/>
    <m/>
    <n v="414531926"/>
    <s v="EL01-001925"/>
    <s v="EL01-001925"/>
    <m/>
  </r>
  <r>
    <n v="114"/>
    <d v="2024-12-15T00:00:00"/>
    <n v="403326394"/>
    <s v="EL01-001852-1"/>
    <m/>
    <s v="OPTOCOUPLER T&amp;R"/>
    <s v="HCPL-063L-500E"/>
    <m/>
    <s v="BROADCOM LIMITED"/>
    <n v="4500"/>
    <s v="EA"/>
    <n v="2.16"/>
    <s v="USD"/>
    <n v="1"/>
    <n v="2.16"/>
    <n v="9720"/>
    <s v="VR000520"/>
    <x v="17"/>
    <s v="PO2425U10453"/>
    <d v="2024-10-28T00:00:00"/>
    <s v="100% Advance"/>
    <s v="EXW"/>
    <s v="Yes"/>
    <s v="Received "/>
    <m/>
    <n v="0"/>
    <n v="4500"/>
    <n v="0"/>
    <m/>
    <m/>
    <m/>
    <m/>
    <m/>
    <m/>
    <m/>
    <m/>
    <d v="1900-01-09T00:00:00"/>
    <m/>
    <m/>
    <m/>
    <m/>
    <m/>
    <m/>
    <n v="403326394"/>
    <s v="EL01-001852"/>
    <s v="EL01-001852"/>
    <m/>
  </r>
  <r>
    <n v="115"/>
    <d v="2024-12-15T00:00:00"/>
    <n v="400523828"/>
    <s v="EL01-001854-1"/>
    <m/>
    <s v="RIGHT ANGLE SMT CHIP RED LED"/>
    <s v="HSMS-C680"/>
    <m/>
    <s v="BROADCOM LIMITED"/>
    <n v="6000"/>
    <s v="EA"/>
    <n v="0.11"/>
    <s v="USD"/>
    <n v="1"/>
    <n v="0.11"/>
    <n v="660"/>
    <s v="VR000520"/>
    <x v="17"/>
    <s v="PO2425U10453"/>
    <d v="2024-10-28T00:00:00"/>
    <s v="100% Advance"/>
    <s v="EXW"/>
    <s v="Yes"/>
    <s v="Received "/>
    <m/>
    <n v="0"/>
    <n v="6000"/>
    <n v="0"/>
    <m/>
    <m/>
    <m/>
    <m/>
    <m/>
    <m/>
    <m/>
    <m/>
    <d v="1900-01-09T00:00:00"/>
    <m/>
    <m/>
    <m/>
    <m/>
    <m/>
    <m/>
    <n v="400523828"/>
    <s v="EL01-001854"/>
    <s v="EL01-001854"/>
    <m/>
  </r>
  <r>
    <n v="116"/>
    <d v="2024-12-15T00:00:00"/>
    <s v="N56337397"/>
    <s v="EL01-001855-1"/>
    <m/>
    <s v="OPTOELECT  OPTOCOUPLER POWER MOSFET,"/>
    <s v="HSSR-7110#300"/>
    <m/>
    <s v="BROADCOM LIMITED"/>
    <n v="267"/>
    <s v="EA"/>
    <n v="66.760000000000005"/>
    <s v="USD"/>
    <n v="1"/>
    <n v="66.760000000000005"/>
    <n v="17824.920000000002"/>
    <s v="VR000520"/>
    <x v="17"/>
    <s v="PO2425U10453"/>
    <d v="2024-10-28T00:00:00"/>
    <s v="100% Advance"/>
    <s v="EXW"/>
    <s v="Yes"/>
    <m/>
    <m/>
    <n v="0"/>
    <n v="267"/>
    <n v="0"/>
    <m/>
    <m/>
    <m/>
    <m/>
    <m/>
    <m/>
    <m/>
    <m/>
    <d v="1900-01-09T00:00:00"/>
    <m/>
    <m/>
    <m/>
    <m/>
    <m/>
    <m/>
    <s v="N56337397"/>
    <s v="EL01-001855"/>
    <s v="EL01-001855"/>
    <m/>
  </r>
  <r>
    <n v="117"/>
    <d v="2025-06-15T00:00:00"/>
    <s v="N56337397"/>
    <s v="EL01-001855-2"/>
    <m/>
    <s v="OPTOELECT  OPTOCOUPLER POWER MOSFET,"/>
    <s v="HSSR-7110#300"/>
    <m/>
    <s v="BROADCOM LIMITED"/>
    <n v="267"/>
    <s v="EA"/>
    <n v="66.760000000000005"/>
    <s v="USD"/>
    <n v="1"/>
    <n v="66.760000000000005"/>
    <n v="17824.920000000002"/>
    <s v="VR000520"/>
    <x v="17"/>
    <s v="PO2425U10453"/>
    <d v="2024-10-28T00:00:00"/>
    <s v="100% Advance"/>
    <s v="EXW"/>
    <s v="Yes"/>
    <m/>
    <m/>
    <n v="0"/>
    <n v="267"/>
    <n v="0"/>
    <m/>
    <m/>
    <m/>
    <m/>
    <m/>
    <m/>
    <m/>
    <m/>
    <d v="1900-01-09T00:00:00"/>
    <m/>
    <m/>
    <m/>
    <m/>
    <m/>
    <m/>
    <s v="N56337397"/>
    <s v="EL01-001855"/>
    <s v="EL01-001855"/>
    <m/>
  </r>
  <r>
    <n v="118"/>
    <d v="2025-09-15T00:00:00"/>
    <s v="N56337397"/>
    <s v="EL01-001855-3"/>
    <m/>
    <s v="OPTOELECT  OPTOCOUPLER POWER MOSFET,"/>
    <s v="HSSR-7110#300"/>
    <m/>
    <s v="BROADCOM LIMITED"/>
    <n v="267"/>
    <s v="EA"/>
    <n v="66.760000000000005"/>
    <s v="USD"/>
    <n v="1"/>
    <n v="66.760000000000005"/>
    <n v="17824.920000000002"/>
    <s v="VR000520"/>
    <x v="17"/>
    <s v="PO2425U10453"/>
    <d v="2024-10-28T00:00:00"/>
    <s v="100% Advance"/>
    <s v="EXW"/>
    <s v="Yes"/>
    <m/>
    <m/>
    <n v="0"/>
    <n v="267"/>
    <n v="0"/>
    <m/>
    <m/>
    <m/>
    <m/>
    <m/>
    <m/>
    <m/>
    <m/>
    <d v="1900-01-09T00:00:00"/>
    <m/>
    <m/>
    <m/>
    <n v="128"/>
    <m/>
    <m/>
    <s v="N56337397"/>
    <s v="EL01-001855"/>
    <s v="EL01-001855"/>
    <m/>
  </r>
  <r>
    <n v="119"/>
    <d v="2025-12-15T00:00:00"/>
    <s v="N56337397"/>
    <s v="EL01-001855-4"/>
    <m/>
    <s v="OPTOELECT  OPTOCOUPLER POWER MOSFET,"/>
    <s v="HSSR-7110#300"/>
    <m/>
    <s v="BROADCOM LIMITED"/>
    <n v="266"/>
    <s v="EA"/>
    <n v="66.760000000000005"/>
    <s v="USD"/>
    <n v="1"/>
    <n v="66.760000000000005"/>
    <n v="17758.16"/>
    <s v="VR000520"/>
    <x v="17"/>
    <s v="PO2425U10453"/>
    <d v="2024-10-28T00:00:00"/>
    <s v="100% Advance"/>
    <s v="EXW"/>
    <s v="Yes"/>
    <m/>
    <m/>
    <n v="0"/>
    <n v="266"/>
    <n v="0"/>
    <m/>
    <m/>
    <m/>
    <m/>
    <m/>
    <m/>
    <m/>
    <m/>
    <d v="1900-01-09T00:00:00"/>
    <m/>
    <m/>
    <m/>
    <m/>
    <m/>
    <m/>
    <s v="N56337397"/>
    <s v="EL01-001855"/>
    <s v="EL01-001855"/>
    <m/>
  </r>
  <r>
    <n v="120"/>
    <d v="2025-09-15T00:00:00"/>
    <n v="403326394"/>
    <s v="EL01-001852-2"/>
    <m/>
    <s v="OPTOCOUPLER T&amp;R"/>
    <s v="HCPL-063L-500E"/>
    <m/>
    <s v="BROADCOM LIMITED"/>
    <n v="3000"/>
    <s v="EA"/>
    <n v="2.16"/>
    <s v="USD"/>
    <n v="1"/>
    <n v="2.16"/>
    <n v="6480"/>
    <s v="VR000520"/>
    <x v="17"/>
    <s v="PO2425U10453"/>
    <d v="2024-10-28T00:00:00"/>
    <s v="100% Advance"/>
    <s v="EXW"/>
    <s v="Yes"/>
    <m/>
    <m/>
    <n v="0"/>
    <n v="3000"/>
    <n v="0"/>
    <m/>
    <m/>
    <m/>
    <m/>
    <m/>
    <m/>
    <m/>
    <m/>
    <d v="1900-01-09T00:00:00"/>
    <m/>
    <m/>
    <m/>
    <m/>
    <m/>
    <m/>
    <n v="403326394"/>
    <s v="EL01-001852"/>
    <s v="EL01-001852"/>
    <m/>
  </r>
  <r>
    <n v="121"/>
    <d v="2024-12-15T00:00:00"/>
    <n v="400524033"/>
    <s v="EL01-001853-1"/>
    <m/>
    <s v="RIGHT ANGLE SMT CHIP LED GREEN"/>
    <s v="HSMG-C680"/>
    <m/>
    <s v="BROADCOM LIMITED"/>
    <n v="3000"/>
    <s v="EA"/>
    <n v="0.1"/>
    <s v="USD"/>
    <n v="1"/>
    <n v="0.1"/>
    <n v="300"/>
    <s v="VR000520"/>
    <x v="17"/>
    <s v="PO2425U10453"/>
    <d v="2024-10-28T00:00:00"/>
    <s v="100% Advance"/>
    <s v="EXW"/>
    <s v="Yes"/>
    <s v="Received "/>
    <m/>
    <n v="0"/>
    <n v="3000"/>
    <n v="0"/>
    <m/>
    <m/>
    <m/>
    <m/>
    <m/>
    <m/>
    <m/>
    <m/>
    <d v="1900-01-09T00:00:00"/>
    <m/>
    <m/>
    <m/>
    <m/>
    <m/>
    <m/>
    <n v="400524033"/>
    <s v="EL01-001853"/>
    <s v="EL01-001853"/>
    <m/>
  </r>
  <r>
    <n v="122"/>
    <d v="2024-12-15T00:00:00"/>
    <n v="417983176"/>
    <s v="EL01-001772-1"/>
    <m/>
    <s v="CHIP CAP 10UF 10% 10V TANTAL T&amp;R"/>
    <s v="293D106X9010A2TE3"/>
    <m/>
    <s v="VISHAY SPRAGUE"/>
    <n v="4000"/>
    <s v="EA"/>
    <n v="5.5E-2"/>
    <s v="USD"/>
    <n v="1"/>
    <n v="5.5E-2"/>
    <n v="220"/>
    <s v="VR000051"/>
    <x v="18"/>
    <s v="PO2425U10397"/>
    <d v="2024-10-25T00:00:00"/>
    <s v="Before shipment"/>
    <s v="EXW"/>
    <s v="Yes"/>
    <s v="Received "/>
    <s v="Done"/>
    <n v="0"/>
    <n v="4000"/>
    <n v="0"/>
    <m/>
    <m/>
    <m/>
    <m/>
    <m/>
    <m/>
    <m/>
    <m/>
    <d v="1900-01-09T00:00:00"/>
    <m/>
    <s v="Received"/>
    <m/>
    <m/>
    <m/>
    <m/>
    <n v="417983176"/>
    <s v="EL01-001772"/>
    <s v="EL01-001772"/>
    <m/>
  </r>
  <r>
    <n v="123"/>
    <d v="2024-12-15T00:00:00"/>
    <n v="417983172"/>
    <s v="EL01-001773-1"/>
    <m/>
    <s v="CHIP CAP 100UF 10% 10V TANTAL T&amp;R"/>
    <s v="293D107X9010D2TE3"/>
    <m/>
    <s v="VISHAY SPRAGUE"/>
    <n v="7000"/>
    <s v="EA"/>
    <n v="0.22"/>
    <s v="USD"/>
    <n v="1"/>
    <n v="0.22"/>
    <n v="1540"/>
    <s v="VR000051"/>
    <x v="18"/>
    <s v="PO2425U10397"/>
    <d v="2024-10-25T00:00:00"/>
    <s v="Before shipment"/>
    <s v="EXW"/>
    <s v="Yes"/>
    <s v="Received "/>
    <s v="Done"/>
    <n v="0"/>
    <n v="7000"/>
    <n v="0"/>
    <m/>
    <m/>
    <m/>
    <m/>
    <m/>
    <m/>
    <m/>
    <m/>
    <d v="1900-01-09T00:00:00"/>
    <m/>
    <s v="Received"/>
    <m/>
    <m/>
    <m/>
    <m/>
    <n v="417983172"/>
    <s v="EL01-001773"/>
    <s v="EL01-001773"/>
    <m/>
  </r>
  <r>
    <n v="124"/>
    <d v="2024-12-15T00:00:00"/>
    <n v="417531784"/>
    <s v="EL01-001838-1"/>
    <m/>
    <s v="CHIP CAP 4.7UF 10% 16V TANTAL T&amp;R"/>
    <s v="293D475X9016A2TE3"/>
    <m/>
    <s v="VISHAY EUROPE SALE GMBH"/>
    <n v="56000"/>
    <s v="EA"/>
    <n v="5.5E-2"/>
    <s v="USD"/>
    <n v="1"/>
    <n v="5.5E-2"/>
    <n v="3080"/>
    <s v="VR000051"/>
    <x v="18"/>
    <s v="PO2425U10397"/>
    <d v="2024-10-25T00:00:00"/>
    <s v="Before shipment"/>
    <s v="EXW"/>
    <s v="Yes"/>
    <s v="Received "/>
    <s v="Done"/>
    <n v="0"/>
    <n v="56000"/>
    <n v="0"/>
    <m/>
    <m/>
    <m/>
    <m/>
    <m/>
    <m/>
    <m/>
    <m/>
    <d v="1900-01-09T00:00:00"/>
    <m/>
    <s v="Received"/>
    <m/>
    <m/>
    <m/>
    <m/>
    <n v="417531784"/>
    <s v="EL01-001838"/>
    <s v="EL01-001838"/>
    <m/>
  </r>
  <r>
    <n v="125"/>
    <d v="2024-12-15T00:00:00"/>
    <n v="400339908"/>
    <s v="EL01-000828-1"/>
    <m/>
    <s v="CHIP CAP 220UF 20% 20V TANTALUM T&amp;R"/>
    <s v="597D227X0020R2T"/>
    <m/>
    <s v="VISHAY SPRAGUE"/>
    <n v="1200"/>
    <s v="EA"/>
    <n v="4.25"/>
    <s v="USD"/>
    <n v="1"/>
    <n v="4.25"/>
    <n v="5100"/>
    <s v="VR000051"/>
    <x v="18"/>
    <s v="PO2425U10397"/>
    <d v="2024-10-25T00:00:00"/>
    <s v="Before shipment"/>
    <s v="EXW"/>
    <s v="Yes"/>
    <s v="Received "/>
    <s v="Done"/>
    <n v="0"/>
    <n v="1200"/>
    <n v="0"/>
    <m/>
    <m/>
    <m/>
    <m/>
    <m/>
    <m/>
    <m/>
    <m/>
    <d v="1900-01-09T00:00:00"/>
    <m/>
    <s v="Received"/>
    <m/>
    <m/>
    <m/>
    <m/>
    <n v="400339908"/>
    <s v="EL01-000828"/>
    <s v="EL01-000828"/>
    <m/>
  </r>
  <r>
    <n v="126"/>
    <d v="2024-12-15T00:00:00"/>
    <n v="400709578"/>
    <s v="EL01-001722-1"/>
    <m/>
    <s v="CHIP RESIS 0 OHM 0% .063W T&amp;R"/>
    <s v="CRCW04020000Z0ED"/>
    <m/>
    <s v="VISHAY RESISTIVE SYSTEMS"/>
    <n v="10000"/>
    <s v="EA"/>
    <n v="4.0000000000000001E-3"/>
    <s v="USD"/>
    <n v="1"/>
    <n v="4.0000000000000001E-3"/>
    <n v="40"/>
    <s v="VR000051"/>
    <x v="18"/>
    <s v="PO2425U10397"/>
    <d v="2024-10-25T00:00:00"/>
    <s v="Before shipment"/>
    <s v="EXW"/>
    <s v="Yes"/>
    <s v="Received "/>
    <s v="Done"/>
    <n v="0"/>
    <n v="10000"/>
    <n v="0"/>
    <m/>
    <m/>
    <m/>
    <m/>
    <m/>
    <m/>
    <m/>
    <m/>
    <d v="1900-01-09T00:00:00"/>
    <m/>
    <s v="Received"/>
    <m/>
    <m/>
    <m/>
    <m/>
    <n v="400709578"/>
    <s v="EL01-001722"/>
    <s v="EL01-001722"/>
    <m/>
  </r>
  <r>
    <n v="127"/>
    <d v="2024-12-15T00:00:00"/>
    <n v="400656755"/>
    <s v="EL01-001775-1"/>
    <m/>
    <s v="CHIP RESIS 10 KOHM 1%  T&amp;R"/>
    <s v="CRCW040210K0FKED"/>
    <m/>
    <s v="VISHAY EUROPE SALE GMBH"/>
    <n v="40000"/>
    <s v="EA"/>
    <n v="4.0000000000000001E-3"/>
    <s v="USD"/>
    <n v="1"/>
    <n v="4.0000000000000001E-3"/>
    <n v="160"/>
    <s v="VR000051"/>
    <x v="18"/>
    <s v="PO2425U10397"/>
    <d v="2024-10-25T00:00:00"/>
    <s v="Before shipment"/>
    <s v="EXW"/>
    <s v="Yes"/>
    <s v="Received "/>
    <s v="Done"/>
    <n v="0"/>
    <n v="40000"/>
    <n v="0"/>
    <m/>
    <m/>
    <m/>
    <m/>
    <m/>
    <m/>
    <m/>
    <m/>
    <d v="1900-01-09T00:00:00"/>
    <m/>
    <s v="Received"/>
    <m/>
    <m/>
    <m/>
    <m/>
    <n v="400656755"/>
    <s v="EL01-001775"/>
    <s v="EL01-001775"/>
    <m/>
  </r>
  <r>
    <n v="128"/>
    <d v="2024-12-15T00:00:00"/>
    <n v="400656760"/>
    <s v="EL01-001776-1"/>
    <m/>
    <s v="CHIP RESIS 1 KOHM 1% T&amp;R"/>
    <s v="CRCW04021K00FKED"/>
    <m/>
    <s v="VISHAY RESISTIVE SYSTEMS"/>
    <n v="90000"/>
    <s v="EA"/>
    <n v="4.0000000000000001E-3"/>
    <s v="USD"/>
    <n v="1"/>
    <n v="4.0000000000000001E-3"/>
    <n v="360"/>
    <s v="VR000051"/>
    <x v="18"/>
    <s v="PO2425U10397"/>
    <d v="2024-10-25T00:00:00"/>
    <s v="Before shipment"/>
    <s v="EXW"/>
    <s v="Yes"/>
    <s v="Received "/>
    <s v="Done"/>
    <n v="0"/>
    <n v="90000"/>
    <n v="0"/>
    <m/>
    <m/>
    <m/>
    <m/>
    <m/>
    <m/>
    <m/>
    <m/>
    <d v="1900-01-09T00:00:00"/>
    <m/>
    <s v="Received"/>
    <m/>
    <m/>
    <m/>
    <m/>
    <n v="400656760"/>
    <s v="EL01-001776"/>
    <s v="EL01-001776"/>
    <m/>
  </r>
  <r>
    <n v="129"/>
    <d v="2024-12-15T00:00:00"/>
    <n v="401239839"/>
    <s v="EL01-001777-1"/>
    <m/>
    <s v="CHIP RESIS 1MOHM 1% .063W T&amp;R"/>
    <s v="CRCW04021M00FKED"/>
    <m/>
    <s v="VISHAY RESISTIVE SYSTEMS"/>
    <n v="10000"/>
    <s v="EA"/>
    <n v="4.0000000000000001E-3"/>
    <s v="USD"/>
    <n v="1"/>
    <n v="4.0000000000000001E-3"/>
    <n v="40"/>
    <s v="VR000051"/>
    <x v="18"/>
    <s v="PO2425U10397"/>
    <d v="2024-10-25T00:00:00"/>
    <s v="Before shipment"/>
    <s v="EXW"/>
    <s v="Yes"/>
    <s v="Received "/>
    <s v="Done"/>
    <n v="0"/>
    <n v="10000"/>
    <n v="0"/>
    <m/>
    <m/>
    <m/>
    <m/>
    <m/>
    <m/>
    <m/>
    <m/>
    <d v="1900-01-09T00:00:00"/>
    <m/>
    <s v="Received"/>
    <m/>
    <m/>
    <m/>
    <m/>
    <n v="401239839"/>
    <s v="EL01-001777"/>
    <s v="EL01-001777"/>
    <m/>
  </r>
  <r>
    <n v="130"/>
    <d v="2024-12-15T00:00:00"/>
    <n v="401481543"/>
    <s v="EL01-001840-1"/>
    <m/>
    <s v="CHIP RESIS 243 OHM 1% .063W T&amp;R"/>
    <s v="CRCW0402243RFKED"/>
    <m/>
    <s v="VISHAY RESISTIVE SYSTEMS"/>
    <n v="80000"/>
    <s v="EA"/>
    <n v="4.0000000000000001E-3"/>
    <s v="USD"/>
    <n v="1"/>
    <n v="4.0000000000000001E-3"/>
    <n v="320"/>
    <s v="VR000051"/>
    <x v="18"/>
    <s v="PO2425U10397"/>
    <d v="2024-10-25T00:00:00"/>
    <s v="Before shipment"/>
    <s v="EXW"/>
    <s v="Yes"/>
    <s v="Received "/>
    <s v="Done"/>
    <n v="0"/>
    <n v="80000"/>
    <n v="0"/>
    <m/>
    <m/>
    <m/>
    <m/>
    <m/>
    <m/>
    <m/>
    <m/>
    <d v="1900-01-09T00:00:00"/>
    <m/>
    <s v="Received"/>
    <m/>
    <m/>
    <m/>
    <m/>
    <n v="401481543"/>
    <s v="EL01-001840"/>
    <s v="EL01-001840"/>
    <m/>
  </r>
  <r>
    <n v="131"/>
    <d v="2024-12-15T00:00:00"/>
    <n v="405295603"/>
    <s v="EL01-001841-1"/>
    <m/>
    <s v="CHIP RESIS 24.3 OHM 1% .063W T&amp;R"/>
    <s v="CRCW040224R3FKED"/>
    <m/>
    <s v="VISHAY EUROPE SALE GMBH"/>
    <n v="150000"/>
    <s v="EA"/>
    <n v="4.0000000000000001E-3"/>
    <s v="USD"/>
    <n v="1"/>
    <n v="4.0000000000000001E-3"/>
    <n v="600"/>
    <s v="VR000051"/>
    <x v="18"/>
    <s v="PO2425U10397"/>
    <d v="2024-10-25T00:00:00"/>
    <s v="Before shipment"/>
    <s v="EXW"/>
    <s v="Yes"/>
    <s v="Received "/>
    <s v="Done"/>
    <n v="0"/>
    <n v="150000"/>
    <n v="0"/>
    <m/>
    <m/>
    <m/>
    <m/>
    <m/>
    <m/>
    <m/>
    <m/>
    <d v="1900-01-09T00:00:00"/>
    <m/>
    <s v="Received"/>
    <m/>
    <m/>
    <m/>
    <m/>
    <n v="405295603"/>
    <s v="EL01-001841"/>
    <s v="EL01-001841"/>
    <m/>
  </r>
  <r>
    <n v="132"/>
    <d v="2024-12-15T00:00:00"/>
    <n v="401053359"/>
    <s v="EL01-001842-1"/>
    <m/>
    <s v="CHIP RESIS 30.1 OHM 1% .063W T&amp;R"/>
    <s v="CRCW040230R1FKED"/>
    <m/>
    <s v="VISHAY RESISTIVE SYSTEMS"/>
    <n v="90000"/>
    <s v="EA"/>
    <n v="4.0000000000000001E-3"/>
    <s v="USD"/>
    <n v="1"/>
    <n v="4.0000000000000001E-3"/>
    <n v="360"/>
    <s v="VR000051"/>
    <x v="18"/>
    <s v="PO2425U10397"/>
    <d v="2024-10-25T00:00:00"/>
    <s v="Before shipment"/>
    <s v="EXW"/>
    <s v="Yes"/>
    <s v="Received "/>
    <s v="Done"/>
    <n v="0"/>
    <n v="90000"/>
    <n v="0"/>
    <m/>
    <m/>
    <m/>
    <m/>
    <m/>
    <m/>
    <m/>
    <m/>
    <d v="1900-01-09T00:00:00"/>
    <m/>
    <s v="Received"/>
    <m/>
    <m/>
    <m/>
    <m/>
    <n v="401053359"/>
    <s v="EL01-001842"/>
    <s v="EL01-001842"/>
    <m/>
  </r>
  <r>
    <n v="133"/>
    <d v="2024-12-15T00:00:00"/>
    <n v="400679613"/>
    <s v="EL01-000494-1"/>
    <m/>
    <s v="CHIP JUMPER 1.55X0.85MM T&amp;R"/>
    <s v="CRCW06030000Z0EA"/>
    <m/>
    <s v="VISHAY RESISTIVE SYSTEMS"/>
    <n v="85000"/>
    <s v="EA"/>
    <n v="4.0000000000000001E-3"/>
    <s v="USD"/>
    <n v="1"/>
    <n v="4.0000000000000001E-3"/>
    <n v="340"/>
    <s v="VR000051"/>
    <x v="18"/>
    <s v="PO2425U10397"/>
    <d v="2024-10-25T00:00:00"/>
    <s v="Before shipment"/>
    <s v="EXW"/>
    <s v="Yes"/>
    <s v="Received "/>
    <s v="Done"/>
    <n v="0"/>
    <n v="85000"/>
    <n v="0"/>
    <m/>
    <m/>
    <m/>
    <m/>
    <m/>
    <m/>
    <m/>
    <m/>
    <d v="1900-01-09T00:00:00"/>
    <m/>
    <s v="Received"/>
    <m/>
    <m/>
    <m/>
    <m/>
    <n v="400679613"/>
    <s v="EL01-000494"/>
    <s v="EL01-000494"/>
    <m/>
  </r>
  <r>
    <n v="134"/>
    <d v="2024-12-15T00:00:00"/>
    <n v="400693196"/>
    <s v="EL01-001778-1"/>
    <m/>
    <s v="CHIP RESIS 100KOHM 1% .1W T&amp;R"/>
    <s v="CRCW0603100KFKEA"/>
    <m/>
    <s v="VISHAY RESISTIVE SYSTEMS"/>
    <n v="10000"/>
    <s v="EA"/>
    <n v="4.0000000000000001E-3"/>
    <s v="USD"/>
    <n v="1"/>
    <n v="4.0000000000000001E-3"/>
    <n v="40"/>
    <s v="VR000051"/>
    <x v="18"/>
    <s v="PO2425U10397"/>
    <d v="2024-10-25T00:00:00"/>
    <s v="Before shipment"/>
    <s v="EXW"/>
    <s v="Yes"/>
    <s v="Received "/>
    <s v="Done"/>
    <n v="0"/>
    <n v="10000"/>
    <n v="0"/>
    <m/>
    <m/>
    <m/>
    <m/>
    <m/>
    <m/>
    <m/>
    <m/>
    <d v="1900-01-09T00:00:00"/>
    <m/>
    <s v="Received"/>
    <m/>
    <m/>
    <m/>
    <m/>
    <n v="400693196"/>
    <s v="EL01-001778"/>
    <s v="EL01-001778"/>
    <m/>
  </r>
  <r>
    <n v="135"/>
    <d v="2024-12-15T00:00:00"/>
    <n v="400693201"/>
    <s v="EL01-001779-1"/>
    <m/>
    <s v="CHIP RESIS 100 OHM 1% .1W T&amp;R"/>
    <s v="CRCW0603100RFKEA"/>
    <m/>
    <s v="VISHAY RESISTIVE SYSTEMS"/>
    <n v="60000"/>
    <s v="EA"/>
    <n v="4.0000000000000001E-3"/>
    <s v="USD"/>
    <n v="1"/>
    <n v="4.0000000000000001E-3"/>
    <n v="240"/>
    <s v="VR000051"/>
    <x v="18"/>
    <s v="PO2425U10397"/>
    <d v="2024-10-25T00:00:00"/>
    <s v="Before shipment"/>
    <s v="EXW"/>
    <s v="Yes"/>
    <s v="Received "/>
    <s v="Done"/>
    <n v="0"/>
    <n v="60000"/>
    <n v="0"/>
    <m/>
    <m/>
    <m/>
    <m/>
    <m/>
    <m/>
    <m/>
    <m/>
    <d v="1900-01-09T00:00:00"/>
    <m/>
    <s v="Received"/>
    <m/>
    <m/>
    <m/>
    <m/>
    <n v="400693201"/>
    <s v="EL01-001779"/>
    <s v="EL01-001779"/>
    <m/>
  </r>
  <r>
    <n v="136"/>
    <d v="2024-12-15T00:00:00"/>
    <n v="401053474"/>
    <s v="EL01-001780-1"/>
    <m/>
    <s v="CHIP RESIS 10KOHM 1% .1W T&amp;R"/>
    <s v="CRCW060310K0FKEA"/>
    <m/>
    <s v="VISHAY RESISTIVE SYSTEMS"/>
    <n v="10000"/>
    <s v="EA"/>
    <n v="4.0000000000000001E-3"/>
    <s v="USD"/>
    <n v="1"/>
    <n v="4.0000000000000001E-3"/>
    <n v="40"/>
    <s v="VR000051"/>
    <x v="18"/>
    <s v="PO2425U10397"/>
    <d v="2024-10-25T00:00:00"/>
    <s v="Before shipment"/>
    <s v="EXW"/>
    <s v="Yes"/>
    <s v="Received "/>
    <s v="Done"/>
    <n v="0"/>
    <n v="10000"/>
    <n v="0"/>
    <m/>
    <m/>
    <m/>
    <m/>
    <m/>
    <m/>
    <m/>
    <m/>
    <d v="1900-01-09T00:00:00"/>
    <m/>
    <s v="Received"/>
    <m/>
    <m/>
    <m/>
    <m/>
    <n v="401053474"/>
    <s v="EL01-001780"/>
    <s v="EL01-001780"/>
    <m/>
  </r>
  <r>
    <n v="137"/>
    <d v="2024-12-15T00:00:00"/>
    <n v="400271772"/>
    <s v="EL01-001843-1"/>
    <m/>
    <s v="CHIP RESIS 110KOHM 1% .1W T&amp;R"/>
    <s v="CRCW0603110KFKEA"/>
    <m/>
    <s v="VISHAY RESISTIVE SYSTEMS"/>
    <n v="10000"/>
    <s v="EA"/>
    <n v="4.0000000000000001E-3"/>
    <s v="USD"/>
    <n v="1"/>
    <n v="4.0000000000000001E-3"/>
    <n v="40"/>
    <s v="VR000051"/>
    <x v="18"/>
    <s v="PO2425U10397"/>
    <d v="2024-10-25T00:00:00"/>
    <s v="Before shipment"/>
    <s v="EXW"/>
    <s v="Yes"/>
    <s v="Received "/>
    <s v="Done"/>
    <n v="0"/>
    <n v="10000"/>
    <n v="0"/>
    <m/>
    <m/>
    <m/>
    <m/>
    <m/>
    <m/>
    <m/>
    <m/>
    <d v="1900-01-09T00:00:00"/>
    <m/>
    <s v="Received"/>
    <m/>
    <m/>
    <m/>
    <m/>
    <n v="400271772"/>
    <s v="EL01-001843"/>
    <s v="EL01-001843"/>
    <m/>
  </r>
  <r>
    <n v="138"/>
    <d v="2024-12-15T00:00:00"/>
    <n v="400931576"/>
    <s v="EL01-001781-1"/>
    <m/>
    <s v="CHIP RESIS 1KOHM 1% .1W T&amp;R"/>
    <s v="CRCW06031K00FKEA"/>
    <m/>
    <s v="VISHAY RESISTIVE SYSTEMS"/>
    <n v="30000"/>
    <s v="EA"/>
    <n v="4.0000000000000001E-3"/>
    <s v="USD"/>
    <n v="1"/>
    <n v="4.0000000000000001E-3"/>
    <n v="120"/>
    <s v="VR000051"/>
    <x v="18"/>
    <s v="PO2425U10397"/>
    <d v="2024-10-25T00:00:00"/>
    <s v="Before shipment"/>
    <s v="EXW"/>
    <s v="Yes"/>
    <s v="Received "/>
    <s v="Done"/>
    <n v="0"/>
    <n v="30000"/>
    <n v="0"/>
    <m/>
    <m/>
    <m/>
    <m/>
    <m/>
    <m/>
    <m/>
    <m/>
    <d v="1900-01-09T00:00:00"/>
    <m/>
    <s v="Received"/>
    <m/>
    <m/>
    <m/>
    <m/>
    <n v="400931576"/>
    <s v="EL01-001781"/>
    <s v="EL01-001781"/>
    <m/>
  </r>
  <r>
    <n v="139"/>
    <d v="2024-12-15T00:00:00"/>
    <n v="403690601"/>
    <s v="EL01-001782-1"/>
    <m/>
    <s v="CHIP RESIS 1.33KOHM 1% .1W T&amp;R"/>
    <s v="CRCW06031K33FKEA"/>
    <m/>
    <s v="VISHAY RESISTIVE SYSTEMS"/>
    <n v="10000"/>
    <s v="EA"/>
    <n v="4.0000000000000001E-3"/>
    <s v="USD"/>
    <n v="1"/>
    <n v="4.0000000000000001E-3"/>
    <n v="40"/>
    <s v="VR000051"/>
    <x v="18"/>
    <s v="PO2425U10397"/>
    <d v="2024-10-25T00:00:00"/>
    <s v="Before shipment"/>
    <s v="EXW"/>
    <s v="Yes"/>
    <s v="Received "/>
    <s v="Done"/>
    <n v="0"/>
    <n v="10000"/>
    <n v="0"/>
    <m/>
    <m/>
    <m/>
    <m/>
    <m/>
    <m/>
    <m/>
    <m/>
    <d v="1900-01-09T00:00:00"/>
    <m/>
    <s v="Received"/>
    <m/>
    <m/>
    <m/>
    <m/>
    <n v="403690601"/>
    <s v="EL01-001782"/>
    <s v="EL01-001782"/>
    <m/>
  </r>
  <r>
    <n v="140"/>
    <d v="2024-12-15T00:00:00"/>
    <n v="401007782"/>
    <s v="EL01-001783-1"/>
    <m/>
    <s v="CHIP RESIS 221 OHM 1% .1W T&amp;R"/>
    <s v="CRCW0603221RFKEA"/>
    <m/>
    <s v="VISHAY RESISTIVE SYSTEMS"/>
    <n v="65000"/>
    <s v="EA"/>
    <n v="4.0000000000000001E-3"/>
    <s v="USD"/>
    <n v="1"/>
    <n v="4.0000000000000001E-3"/>
    <n v="260"/>
    <s v="VR000051"/>
    <x v="18"/>
    <s v="PO2425U10397"/>
    <d v="2024-10-25T00:00:00"/>
    <s v="Before shipment"/>
    <s v="EXW"/>
    <s v="Yes"/>
    <s v="Received "/>
    <s v="Done"/>
    <n v="0"/>
    <n v="65000"/>
    <n v="0"/>
    <m/>
    <m/>
    <m/>
    <m/>
    <m/>
    <m/>
    <m/>
    <m/>
    <d v="1900-01-09T00:00:00"/>
    <m/>
    <s v="Received"/>
    <m/>
    <m/>
    <m/>
    <m/>
    <n v="401007782"/>
    <s v="EL01-001783"/>
    <s v="EL01-001783"/>
    <m/>
  </r>
  <r>
    <n v="141"/>
    <d v="2024-12-15T00:00:00"/>
    <n v="401225492"/>
    <s v="EL01-001784-1"/>
    <m/>
    <s v="CHIP RESIS 24.9 OHM 1% .1W T&amp;R"/>
    <s v="CRCW060324R9FKEA"/>
    <m/>
    <s v="VISHAY RESISTIVE SYSTEMS"/>
    <n v="10000"/>
    <s v="EA"/>
    <n v="4.0000000000000001E-3"/>
    <s v="USD"/>
    <n v="1"/>
    <n v="4.0000000000000001E-3"/>
    <n v="40"/>
    <s v="VR000051"/>
    <x v="18"/>
    <s v="PO2425U10397"/>
    <d v="2024-10-25T00:00:00"/>
    <s v="Before shipment"/>
    <s v="EXW"/>
    <s v="Yes"/>
    <s v="Received "/>
    <s v="Done"/>
    <n v="0"/>
    <n v="10000"/>
    <n v="0"/>
    <m/>
    <m/>
    <m/>
    <m/>
    <m/>
    <m/>
    <m/>
    <m/>
    <d v="1900-01-09T00:00:00"/>
    <m/>
    <s v="Received"/>
    <m/>
    <m/>
    <m/>
    <m/>
    <n v="401225492"/>
    <s v="EL01-001784"/>
    <s v="EL01-001784"/>
    <m/>
  </r>
  <r>
    <n v="142"/>
    <d v="2024-12-15T00:00:00"/>
    <n v="401234950"/>
    <s v="EL01-001845-1"/>
    <m/>
    <s v="CHIP RESIS 301 OHM 1% .1W T&amp;R"/>
    <s v="CRCW0603301RFKEA"/>
    <m/>
    <s v="VISHAY RESISTIVE SYSTEMS"/>
    <n v="120000"/>
    <s v="EA"/>
    <n v="4.0000000000000001E-3"/>
    <s v="USD"/>
    <n v="1"/>
    <n v="4.0000000000000001E-3"/>
    <n v="480"/>
    <s v="VR000051"/>
    <x v="18"/>
    <s v="PO2425U10397"/>
    <d v="2024-10-25T00:00:00"/>
    <s v="Before shipment"/>
    <s v="EXW"/>
    <s v="Yes"/>
    <s v="Received "/>
    <s v="Done"/>
    <n v="0"/>
    <n v="120000"/>
    <n v="0"/>
    <m/>
    <m/>
    <m/>
    <m/>
    <m/>
    <m/>
    <m/>
    <m/>
    <d v="1900-01-09T00:00:00"/>
    <m/>
    <s v="Received"/>
    <m/>
    <m/>
    <m/>
    <m/>
    <n v="401234950"/>
    <s v="EL01-001845"/>
    <s v="EL01-001845"/>
    <m/>
  </r>
  <r>
    <n v="143"/>
    <d v="2024-12-15T00:00:00"/>
    <n v="400693204"/>
    <s v="EL01-001785-1"/>
    <m/>
    <s v="CHIP RESIS 49.9 OHM 1% .1W T&amp;R"/>
    <s v="CRCW060349R9FKEA"/>
    <m/>
    <s v="VISHAY RESISTIVE SYSTEMS"/>
    <n v="10000"/>
    <s v="EA"/>
    <n v="4.0000000000000001E-3"/>
    <s v="USD"/>
    <n v="1"/>
    <n v="4.0000000000000001E-3"/>
    <n v="40"/>
    <s v="VR000051"/>
    <x v="18"/>
    <s v="PO2425U10397"/>
    <d v="2024-10-25T00:00:00"/>
    <s v="Before shipment"/>
    <s v="EXW"/>
    <s v="Yes"/>
    <s v="Received "/>
    <s v="Done"/>
    <n v="0"/>
    <n v="10000"/>
    <n v="0"/>
    <m/>
    <m/>
    <m/>
    <m/>
    <m/>
    <m/>
    <m/>
    <m/>
    <d v="1900-01-09T00:00:00"/>
    <m/>
    <s v="Received"/>
    <m/>
    <m/>
    <m/>
    <m/>
    <n v="400693204"/>
    <s v="EL01-001785"/>
    <s v="EL01-001785"/>
    <m/>
  </r>
  <r>
    <n v="144"/>
    <d v="2024-12-15T00:00:00"/>
    <n v="400272339"/>
    <s v="EL01-001846-1"/>
    <m/>
    <s v="CHIP RESIS 562KOHM 1^ .1W T&amp;R"/>
    <s v="CRCW0603562KFKEA"/>
    <m/>
    <s v="VISHAY RESISTIVE SYSTEMS"/>
    <n v="10000"/>
    <s v="EA"/>
    <n v="4.0000000000000001E-3"/>
    <s v="USD"/>
    <n v="1"/>
    <n v="4.0000000000000001E-3"/>
    <n v="40"/>
    <s v="VR000051"/>
    <x v="18"/>
    <s v="PO2425U10397"/>
    <d v="2024-10-25T00:00:00"/>
    <s v="Before shipment"/>
    <s v="EXW"/>
    <s v="Yes"/>
    <s v="Received "/>
    <s v="Done"/>
    <n v="0"/>
    <n v="10000"/>
    <n v="0"/>
    <m/>
    <m/>
    <m/>
    <m/>
    <m/>
    <m/>
    <m/>
    <m/>
    <d v="1900-01-09T00:00:00"/>
    <m/>
    <s v="Received"/>
    <m/>
    <m/>
    <m/>
    <m/>
    <n v="400272339"/>
    <s v="EL01-001846"/>
    <s v="EL01-001846"/>
    <m/>
  </r>
  <r>
    <n v="145"/>
    <d v="2024-12-15T00:00:00"/>
    <n v="401234952"/>
    <s v="EL01-001786-1"/>
    <m/>
    <s v="CHIP RESIS 56.2KOHM 1% .1W T&amp;R"/>
    <s v="CRCW060356K2FKEA"/>
    <m/>
    <s v="VISHAY RESISTIVE SYSTEMS"/>
    <n v="10000"/>
    <s v="EA"/>
    <n v="4.0000000000000001E-3"/>
    <s v="USD"/>
    <n v="1"/>
    <n v="4.0000000000000001E-3"/>
    <n v="40"/>
    <s v="VR000051"/>
    <x v="18"/>
    <s v="PO2425U10397"/>
    <d v="2024-10-25T00:00:00"/>
    <s v="Before shipment"/>
    <s v="EXW"/>
    <s v="Yes"/>
    <s v="Received "/>
    <s v="Done"/>
    <n v="0"/>
    <n v="10000"/>
    <n v="0"/>
    <m/>
    <m/>
    <m/>
    <m/>
    <m/>
    <m/>
    <m/>
    <m/>
    <d v="1900-01-09T00:00:00"/>
    <m/>
    <s v="Received"/>
    <m/>
    <m/>
    <m/>
    <m/>
    <n v="401234952"/>
    <s v="EL01-001786"/>
    <s v="EL01-001786"/>
    <m/>
  </r>
  <r>
    <n v="146"/>
    <d v="2024-12-15T00:00:00"/>
    <n v="400272402"/>
    <s v="EL01-001847-1"/>
    <m/>
    <s v="CHIP RESIS 825KOHM 1% .1W T&amp;R"/>
    <s v="CRCW0603825KFKEA"/>
    <m/>
    <s v="VISHAY RESISTIVE SYSTEMS"/>
    <n v="10000"/>
    <s v="EA"/>
    <n v="4.0000000000000001E-3"/>
    <s v="USD"/>
    <n v="1"/>
    <n v="4.0000000000000001E-3"/>
    <n v="40"/>
    <s v="VR000051"/>
    <x v="18"/>
    <s v="PO2425U10397"/>
    <d v="2024-10-25T00:00:00"/>
    <s v="Before shipment"/>
    <s v="EXW"/>
    <s v="Yes"/>
    <s v="Received "/>
    <s v="Done"/>
    <n v="0"/>
    <n v="10000"/>
    <n v="0"/>
    <m/>
    <m/>
    <m/>
    <m/>
    <m/>
    <m/>
    <m/>
    <m/>
    <d v="1900-01-09T00:00:00"/>
    <m/>
    <s v="Received"/>
    <m/>
    <m/>
    <m/>
    <m/>
    <n v="400272402"/>
    <s v="EL01-001847"/>
    <s v="EL01-001847"/>
    <m/>
  </r>
  <r>
    <n v="147"/>
    <d v="2024-12-15T00:00:00"/>
    <n v="402134268"/>
    <s v="EL01-001787-1"/>
    <m/>
    <s v="CHIP RESIS 825 OHM 1% .1W T&amp;R"/>
    <s v="CRCW0603825RFKEA"/>
    <m/>
    <s v="VISHAY RESISTIVE SYSTEMS"/>
    <n v="20000"/>
    <s v="EA"/>
    <n v="4.0000000000000001E-3"/>
    <s v="USD"/>
    <n v="1"/>
    <n v="4.0000000000000001E-3"/>
    <n v="80"/>
    <s v="VR000051"/>
    <x v="18"/>
    <s v="PO2425U10397"/>
    <d v="2024-10-25T00:00:00"/>
    <s v="Before shipment"/>
    <s v="EXW"/>
    <s v="Yes"/>
    <s v="Received "/>
    <s v="Done"/>
    <n v="0"/>
    <n v="20000"/>
    <n v="0"/>
    <m/>
    <m/>
    <m/>
    <m/>
    <m/>
    <m/>
    <m/>
    <m/>
    <d v="1900-01-09T00:00:00"/>
    <m/>
    <s v="Received"/>
    <m/>
    <m/>
    <m/>
    <m/>
    <n v="402134268"/>
    <s v="EL01-001787"/>
    <s v="EL01-001787"/>
    <m/>
  </r>
  <r>
    <n v="148"/>
    <d v="2024-12-15T00:00:00"/>
    <n v="401468750"/>
    <s v="EL01-001788-1"/>
    <m/>
    <s v="CHIP RESIS 82.5 OHM 1% .1W T&amp;R"/>
    <s v="CRCW060382R5FKEA"/>
    <m/>
    <s v="VISHAY RESISTIVE SYSTEMS"/>
    <n v="30000"/>
    <s v="EA"/>
    <n v="4.0000000000000001E-3"/>
    <s v="USD"/>
    <n v="1"/>
    <n v="4.0000000000000001E-3"/>
    <n v="120"/>
    <s v="VR000051"/>
    <x v="18"/>
    <s v="PO2425U10397"/>
    <d v="2024-10-25T00:00:00"/>
    <s v="Before shipment"/>
    <s v="EXW"/>
    <s v="Yes"/>
    <s v="Received "/>
    <s v="Done"/>
    <n v="0"/>
    <n v="30000"/>
    <n v="0"/>
    <m/>
    <m/>
    <m/>
    <m/>
    <m/>
    <m/>
    <m/>
    <m/>
    <d v="1900-01-09T00:00:00"/>
    <m/>
    <s v="Received"/>
    <m/>
    <m/>
    <m/>
    <m/>
    <n v="401468750"/>
    <s v="EL01-001788"/>
    <s v="EL01-001788"/>
    <m/>
  </r>
  <r>
    <n v="149"/>
    <d v="2024-12-15T00:00:00"/>
    <n v="400265792"/>
    <s v="EL01-001848-1"/>
    <m/>
    <s v="CHIP RESIS 90.9KOHM 1% .1W T&amp;R"/>
    <s v="CRCW060390K9FKEA"/>
    <m/>
    <s v="VISHAY RESISTIVE SYSTEMS"/>
    <n v="10000"/>
    <s v="EA"/>
    <n v="4.0000000000000001E-3"/>
    <s v="USD"/>
    <n v="1"/>
    <n v="4.0000000000000001E-3"/>
    <n v="40"/>
    <s v="VR000051"/>
    <x v="18"/>
    <s v="PO2425U10397"/>
    <d v="2024-10-25T00:00:00"/>
    <s v="Before shipment"/>
    <s v="EXW"/>
    <s v="Yes"/>
    <s v="Received "/>
    <s v="Done"/>
    <n v="0"/>
    <n v="10000"/>
    <n v="0"/>
    <m/>
    <m/>
    <m/>
    <m/>
    <m/>
    <m/>
    <m/>
    <m/>
    <d v="1900-01-09T00:00:00"/>
    <m/>
    <s v="Received"/>
    <m/>
    <m/>
    <m/>
    <m/>
    <n v="400265792"/>
    <s v="EL01-001848"/>
    <s v="EL01-001848"/>
    <m/>
  </r>
  <r>
    <n v="150"/>
    <d v="2024-12-15T00:00:00"/>
    <n v="400265809"/>
    <s v="EL01-001849-1"/>
    <m/>
    <s v="CHIP RESIS 12.1KOHM 1% .125W T&amp;R"/>
    <s v="CRCW080512K1FKEA"/>
    <m/>
    <s v="VISHAY RESISTIVE SYSTEMS"/>
    <n v="10000"/>
    <s v="EA"/>
    <n v="4.0000000000000001E-3"/>
    <s v="USD"/>
    <n v="1"/>
    <n v="4.0000000000000001E-3"/>
    <n v="40"/>
    <s v="VR000051"/>
    <x v="18"/>
    <s v="PO2425U10397"/>
    <d v="2024-10-25T00:00:00"/>
    <s v="Before shipment"/>
    <s v="EXW"/>
    <s v="Yes"/>
    <s v="Received "/>
    <s v="Done"/>
    <n v="0"/>
    <n v="10000"/>
    <n v="0"/>
    <m/>
    <m/>
    <m/>
    <m/>
    <m/>
    <m/>
    <m/>
    <m/>
    <d v="1900-01-09T00:00:00"/>
    <m/>
    <s v="Received"/>
    <m/>
    <m/>
    <m/>
    <m/>
    <n v="400265809"/>
    <s v="EL01-001849"/>
    <s v="EL01-001849"/>
    <m/>
  </r>
  <r>
    <n v="151"/>
    <d v="2024-12-15T00:00:00"/>
    <n v="408369023"/>
    <s v="EL01-001789-1"/>
    <m/>
    <s v="CHIP RESIS 23.2KOHM 1^ .125W T&amp;R"/>
    <s v="CRCW080523K2FKEA"/>
    <m/>
    <s v="VISHAY RESISTIVE SYSTEMS"/>
    <n v="5000"/>
    <s v="EA"/>
    <n v="4.0000000000000001E-3"/>
    <s v="USD"/>
    <n v="1"/>
    <n v="4.0000000000000001E-3"/>
    <n v="20"/>
    <s v="VR000051"/>
    <x v="18"/>
    <s v="PO2425U10397"/>
    <d v="2024-10-25T00:00:00"/>
    <s v="Before shipment"/>
    <s v="EXW"/>
    <s v="Yes"/>
    <s v="Received "/>
    <s v="Done"/>
    <n v="0"/>
    <n v="5000"/>
    <n v="0"/>
    <m/>
    <m/>
    <m/>
    <m/>
    <m/>
    <m/>
    <m/>
    <m/>
    <d v="1900-01-09T00:00:00"/>
    <m/>
    <s v="Received"/>
    <m/>
    <m/>
    <m/>
    <m/>
    <n v="408369023"/>
    <s v="EL01-001789"/>
    <s v="EL01-001789"/>
    <m/>
  </r>
  <r>
    <n v="152"/>
    <d v="2024-12-15T00:00:00"/>
    <n v="400700886"/>
    <s v="EL01-001790-1"/>
    <m/>
    <s v="CHIP JUMPER  T&amp;R"/>
    <s v="CRCW12060000Z0EA"/>
    <m/>
    <s v="VISHAY RESISTIVE SYSTEMS"/>
    <n v="5000"/>
    <s v="EA"/>
    <n v="0.01"/>
    <s v="USD"/>
    <n v="1"/>
    <n v="0.01"/>
    <n v="50"/>
    <s v="VR000051"/>
    <x v="18"/>
    <s v="PO2425U10397"/>
    <d v="2024-10-25T00:00:00"/>
    <s v="Before shipment"/>
    <s v="EXW"/>
    <s v="Yes"/>
    <s v="Received "/>
    <s v="Done"/>
    <n v="0"/>
    <n v="5000"/>
    <n v="0"/>
    <m/>
    <m/>
    <m/>
    <m/>
    <m/>
    <m/>
    <m/>
    <m/>
    <d v="1900-01-09T00:00:00"/>
    <m/>
    <s v="Received"/>
    <m/>
    <m/>
    <m/>
    <m/>
    <n v="400700886"/>
    <s v="EL01-001790"/>
    <s v="EL01-001790"/>
    <m/>
  </r>
  <r>
    <n v="153"/>
    <d v="2024-12-15T00:00:00"/>
    <n v="400676835"/>
    <s v="EL01-001791-1"/>
    <m/>
    <s v="RESISTOR 10 KOHM, 1%, 0.25W, T&amp;R"/>
    <s v="CRCW120610K0FKEA"/>
    <m/>
    <s v="VISHAY RESISTIVE SYSTEMS"/>
    <n v="5000"/>
    <s v="EA"/>
    <n v="0.01"/>
    <s v="USD"/>
    <n v="1"/>
    <n v="0.01"/>
    <n v="50"/>
    <s v="VR000051"/>
    <x v="18"/>
    <s v="PO2425U10397"/>
    <d v="2024-10-25T00:00:00"/>
    <s v="Before shipment"/>
    <s v="EXW"/>
    <s v="Yes"/>
    <s v="Received "/>
    <s v="Done"/>
    <n v="0"/>
    <n v="5000"/>
    <n v="0"/>
    <m/>
    <m/>
    <m/>
    <m/>
    <m/>
    <m/>
    <m/>
    <m/>
    <d v="1900-01-09T00:00:00"/>
    <m/>
    <s v="Received"/>
    <m/>
    <m/>
    <m/>
    <m/>
    <n v="400676835"/>
    <s v="EL01-001791"/>
    <s v="EL01-001791"/>
    <m/>
  </r>
  <r>
    <n v="154"/>
    <d v="2024-12-15T00:00:00"/>
    <n v="417531772"/>
    <s v="EL01-001792-1"/>
    <m/>
    <s v="CHIP RESIS 1.1 KOHM 1% .25W T&amp;R"/>
    <s v="CRCW12061K10FKEA"/>
    <m/>
    <s v="VISHAY RESISTIVE SYSTEMS"/>
    <n v="5000"/>
    <s v="EA"/>
    <n v="0.01"/>
    <s v="USD"/>
    <n v="1"/>
    <n v="0.01"/>
    <n v="50"/>
    <s v="VR000051"/>
    <x v="18"/>
    <s v="PO2425U10397"/>
    <d v="2024-10-25T00:00:00"/>
    <s v="Before shipment"/>
    <s v="EXW"/>
    <s v="Yes"/>
    <s v="Received "/>
    <s v="Done"/>
    <n v="0"/>
    <n v="5000"/>
    <n v="0"/>
    <m/>
    <m/>
    <m/>
    <m/>
    <m/>
    <m/>
    <m/>
    <m/>
    <d v="1900-01-09T00:00:00"/>
    <m/>
    <s v="Received"/>
    <m/>
    <m/>
    <m/>
    <m/>
    <n v="417531772"/>
    <s v="EL01-001792"/>
    <s v="EL01-001792"/>
    <m/>
  </r>
  <r>
    <n v="155"/>
    <d v="2024-12-15T00:00:00"/>
    <n v="400249347"/>
    <s v="EL01-001850-1"/>
    <m/>
    <s v="CHIP RESIS 1.5KOHM 1%.25W T&amp;R"/>
    <s v="CRCW12061K50FKEA"/>
    <m/>
    <s v="VISHAY RESISTIVE SYSTEMS"/>
    <n v="5000"/>
    <s v="EA"/>
    <n v="0.01"/>
    <s v="USD"/>
    <n v="1"/>
    <n v="0.01"/>
    <n v="50"/>
    <s v="VR000051"/>
    <x v="18"/>
    <s v="PO2425U10397"/>
    <d v="2024-10-25T00:00:00"/>
    <s v="Before shipment"/>
    <s v="EXW"/>
    <s v="Yes"/>
    <s v="Received "/>
    <s v="Done"/>
    <n v="0"/>
    <n v="5000"/>
    <n v="0"/>
    <m/>
    <m/>
    <m/>
    <m/>
    <m/>
    <m/>
    <m/>
    <m/>
    <d v="1900-01-09T00:00:00"/>
    <m/>
    <s v="Received"/>
    <m/>
    <m/>
    <m/>
    <m/>
    <n v="400249347"/>
    <s v="EL01-001850"/>
    <s v="EL01-001850"/>
    <m/>
  </r>
  <r>
    <n v="156"/>
    <d v="2024-12-15T00:00:00"/>
    <n v="409729294"/>
    <s v="EL01-000853-1"/>
    <m/>
    <s v="MOSFET DUAL N-CHANNEL  100V T&amp;R"/>
    <s v="SI7252DP-T1-GE3"/>
    <m/>
    <s v="VISHAY - SILICONIX"/>
    <n v="12000"/>
    <s v="EA"/>
    <n v="0.67"/>
    <s v="USD"/>
    <n v="1"/>
    <n v="0.67"/>
    <n v="8040.0000000000009"/>
    <s v="VR000051"/>
    <x v="18"/>
    <s v="PO2425U10397"/>
    <d v="2024-10-25T00:00:00"/>
    <s v="Before shipment"/>
    <s v="EXW"/>
    <s v="Yes"/>
    <s v="Received "/>
    <s v="Done"/>
    <n v="0"/>
    <n v="12000"/>
    <n v="0"/>
    <m/>
    <m/>
    <m/>
    <m/>
    <m/>
    <m/>
    <m/>
    <m/>
    <d v="1900-01-09T00:00:00"/>
    <m/>
    <s v="Received"/>
    <m/>
    <m/>
    <m/>
    <m/>
    <n v="409729294"/>
    <s v="EL01-000853"/>
    <s v="EL01-000853"/>
    <m/>
  </r>
  <r>
    <n v="157"/>
    <d v="2024-12-15T00:00:00"/>
    <n v="401480774"/>
    <s v="EL01-001859-1"/>
    <m/>
    <s v="DIODE TRANSIENT SUPRESSOR 5V T&amp;R"/>
    <s v="SMBJ5.0AE3/52"/>
    <m/>
    <s v="VISHAY SEMICONDUCTORS GMBH"/>
    <n v="3750"/>
    <s v="EA"/>
    <n v="6.6000000000000003E-2"/>
    <s v="USD"/>
    <n v="1"/>
    <n v="6.6000000000000003E-2"/>
    <n v="247.5"/>
    <s v="VR000051"/>
    <x v="18"/>
    <s v="PO2425U10397"/>
    <d v="2024-10-25T00:00:00"/>
    <s v="Before shipment"/>
    <s v="EXW"/>
    <s v="Yes"/>
    <s v="Received "/>
    <s v="Done"/>
    <n v="0"/>
    <n v="3750"/>
    <n v="0"/>
    <m/>
    <m/>
    <m/>
    <m/>
    <m/>
    <m/>
    <m/>
    <m/>
    <d v="1900-01-09T00:00:00"/>
    <m/>
    <s v="Received"/>
    <m/>
    <m/>
    <m/>
    <m/>
    <n v="401480774"/>
    <s v="EL01-001859"/>
    <s v="EL01-001859"/>
    <m/>
  </r>
  <r>
    <n v="158"/>
    <d v="2024-12-15T00:00:00"/>
    <n v="400249775"/>
    <s v="EL01-000350-1"/>
    <m/>
    <s v="CHIP RESIS 100 OHM 1% .063W T&amp;R"/>
    <s v="CRCW0402100RFKED"/>
    <m/>
    <s v="VISHAY RESISTIVE SYSTEMS"/>
    <n v="10000"/>
    <s v="EA"/>
    <n v="4.0000000000000001E-3"/>
    <s v="USD"/>
    <n v="1"/>
    <n v="4.0000000000000001E-3"/>
    <n v="40"/>
    <s v="VR000051"/>
    <x v="18"/>
    <s v="PO2425U10397"/>
    <d v="2024-10-25T00:00:00"/>
    <s v="Before shipment"/>
    <s v="EXW"/>
    <s v="Yes"/>
    <s v="Received "/>
    <s v="Done"/>
    <n v="0"/>
    <n v="10000"/>
    <n v="0"/>
    <m/>
    <m/>
    <m/>
    <m/>
    <m/>
    <m/>
    <m/>
    <m/>
    <d v="1900-01-09T00:00:00"/>
    <m/>
    <s v="Received"/>
    <m/>
    <m/>
    <m/>
    <m/>
    <n v="400249775"/>
    <s v="EL01-000350"/>
    <s v="EL01-000350"/>
    <m/>
  </r>
  <r>
    <n v="159"/>
    <d v="2025-06-15T00:00:00"/>
    <n v="409729294"/>
    <s v="EL01-000853-2"/>
    <m/>
    <s v="MOSFET DUAL N-CHANNEL  100V T&amp;R"/>
    <s v="SI7252DP-T1-GE3"/>
    <m/>
    <s v="VISHAY - SILICONIX"/>
    <n v="9000"/>
    <s v="EA"/>
    <n v="0.67"/>
    <s v="USD"/>
    <n v="1"/>
    <n v="0.67"/>
    <n v="6030"/>
    <s v="VR000051"/>
    <x v="18"/>
    <s v="PO2425U10397"/>
    <d v="2024-10-25T00:00:00"/>
    <s v="Before shipment"/>
    <s v="EXW"/>
    <s v="Yes"/>
    <s v="Received "/>
    <s v="Done"/>
    <n v="0"/>
    <n v="9000"/>
    <n v="0"/>
    <m/>
    <m/>
    <m/>
    <m/>
    <m/>
    <m/>
    <m/>
    <m/>
    <d v="1900-01-09T00:00:00"/>
    <m/>
    <s v="Received"/>
    <m/>
    <m/>
    <m/>
    <m/>
    <n v="409729294"/>
    <s v="EL01-000853"/>
    <s v="EL01-000853"/>
    <m/>
  </r>
  <r>
    <n v="160"/>
    <d v="2024-12-15T00:00:00"/>
    <n v="403445993"/>
    <s v="EL01-001720-1"/>
    <m/>
    <s v="CHIP CAP 47UF 10% 50V TANTALUM"/>
    <s v="597D476X9050Z2T"/>
    <m/>
    <s v="VISHAY"/>
    <n v="2250"/>
    <s v="EA"/>
    <n v="8.6999999999999993"/>
    <s v="USD"/>
    <n v="1"/>
    <n v="8.6999999999999993"/>
    <n v="19575"/>
    <s v="VR000051"/>
    <x v="18"/>
    <s v="PO2425U10397"/>
    <d v="2024-10-25T00:00:00"/>
    <s v="Before shipment"/>
    <s v="EXW"/>
    <s v="Yes"/>
    <s v="Received "/>
    <s v="Done"/>
    <n v="0"/>
    <n v="2250"/>
    <n v="0"/>
    <m/>
    <m/>
    <m/>
    <m/>
    <m/>
    <m/>
    <m/>
    <m/>
    <d v="1900-01-09T00:00:00"/>
    <s v="Replace part should be ordered current ordered qty deleted"/>
    <s v="Received"/>
    <m/>
    <m/>
    <m/>
    <m/>
    <n v="403445993"/>
    <s v="EL01-001720"/>
    <s v="EL01-001720"/>
    <m/>
  </r>
  <r>
    <n v="161"/>
    <d v="2024-12-15T00:00:00"/>
    <n v="400656757"/>
    <s v="EL01-000835-1"/>
    <m/>
    <s v="CHIP RESIS 10 OHM 1% T&amp;R"/>
    <s v="CRCW040210R0FKED"/>
    <m/>
    <s v="VISHAY"/>
    <n v="40000"/>
    <s v="EA"/>
    <n v="4.0000000000000001E-3"/>
    <s v="USD"/>
    <n v="1"/>
    <n v="4.0000000000000001E-3"/>
    <n v="160"/>
    <s v="VR000051"/>
    <x v="18"/>
    <s v="PO2425U10606"/>
    <d v="2024-12-10T00:00:00"/>
    <s v="Before shipment"/>
    <s v="EXW"/>
    <s v="Yes"/>
    <s v="Received "/>
    <s v="Done"/>
    <n v="0"/>
    <n v="40000"/>
    <n v="0"/>
    <m/>
    <m/>
    <m/>
    <m/>
    <m/>
    <m/>
    <m/>
    <m/>
    <d v="1900-01-09T00:00:00"/>
    <m/>
    <s v="Received"/>
    <m/>
    <m/>
    <m/>
    <m/>
    <n v="400656757"/>
    <s v="EL01-000835"/>
    <s v="EL01-000835"/>
    <m/>
  </r>
  <r>
    <n v="162"/>
    <d v="2024-12-15T00:00:00"/>
    <n v="408368997"/>
    <s v="EL01-002250-1"/>
    <m/>
    <s v="CHIP RESIS 25.5KOHM 1^ .125W T&amp;R"/>
    <s v="CRCW080525K5FKEA"/>
    <m/>
    <s v="VISHAY"/>
    <n v="10000"/>
    <s v="EA"/>
    <n v="4.0000000000000001E-3"/>
    <s v="USD"/>
    <n v="1"/>
    <n v="4.0000000000000001E-3"/>
    <n v="40"/>
    <s v="VR000051"/>
    <x v="18"/>
    <s v="PO2425U10606"/>
    <d v="2024-12-10T00:00:00"/>
    <s v="Before shipment"/>
    <s v="EXW"/>
    <s v="Yes"/>
    <s v="Received "/>
    <s v="Done"/>
    <n v="0"/>
    <n v="10000"/>
    <n v="0"/>
    <m/>
    <m/>
    <m/>
    <m/>
    <m/>
    <m/>
    <m/>
    <m/>
    <d v="1900-01-09T00:00:00"/>
    <m/>
    <s v="Received"/>
    <m/>
    <m/>
    <m/>
    <m/>
    <n v="408368997"/>
    <s v="EL01-002250"/>
    <s v="EL01-002250"/>
    <m/>
  </r>
  <r>
    <n v="163"/>
    <d v="2024-12-15T00:00:00"/>
    <n v="401509701"/>
    <s v="EL01-002251-1"/>
    <m/>
    <s v="CHIP RESIS 30.1 OHM 1^ .125W T&amp;R"/>
    <s v="CRCW080530R1FKEA"/>
    <m/>
    <s v="VISHAY"/>
    <n v="20000"/>
    <s v="EA"/>
    <n v="4.0000000000000001E-3"/>
    <s v="USD"/>
    <n v="1"/>
    <n v="4.0000000000000001E-3"/>
    <n v="80"/>
    <s v="VR000051"/>
    <x v="18"/>
    <s v="PO2425U10606"/>
    <d v="2024-12-10T00:00:00"/>
    <s v="Before shipment"/>
    <s v="EXW"/>
    <s v="Yes"/>
    <s v="Received "/>
    <s v="Done"/>
    <n v="0"/>
    <n v="20000"/>
    <n v="0"/>
    <m/>
    <m/>
    <m/>
    <m/>
    <m/>
    <m/>
    <m/>
    <m/>
    <d v="1900-01-09T00:00:00"/>
    <m/>
    <s v="Received"/>
    <m/>
    <m/>
    <m/>
    <m/>
    <n v="401509701"/>
    <s v="EL01-002251"/>
    <s v="EL01-002251"/>
    <m/>
  </r>
  <r>
    <n v="164"/>
    <d v="2024-12-15T00:00:00"/>
    <n v="412240968"/>
    <s v="EL01-000244-1"/>
    <m/>
    <s v="S/R CABLE W20"/>
    <s v="1037M819-001"/>
    <s v="A"/>
    <s v="EIM"/>
    <n v="130"/>
    <s v="EA"/>
    <n v="55"/>
    <s v="USD"/>
    <n v="1"/>
    <n v="55"/>
    <n v="7150"/>
    <s v="VR000058"/>
    <x v="19"/>
    <s v="PO2425U10437"/>
    <d v="2024-10-28T00:00:00"/>
    <s v="100% Advance "/>
    <s v="EXW"/>
    <m/>
    <m/>
    <m/>
    <n v="0"/>
    <n v="130"/>
    <n v="0"/>
    <m/>
    <m/>
    <m/>
    <m/>
    <m/>
    <d v="2025-06-10T00:00:00"/>
    <m/>
    <m/>
    <d v="1900-01-09T00:00:00"/>
    <m/>
    <m/>
    <m/>
    <m/>
    <m/>
    <m/>
    <n v="412240968"/>
    <s v="EL01-000244"/>
    <s v="EL01-000244"/>
    <m/>
  </r>
  <r>
    <n v="165"/>
    <d v="2024-12-15T00:00:00"/>
    <n v="412240974"/>
    <s v="EL01-000245-1"/>
    <m/>
    <s v="S/R CABLE W21"/>
    <s v="1037M820-001"/>
    <s v="A"/>
    <s v="EIM"/>
    <n v="130"/>
    <s v="EA"/>
    <n v="55"/>
    <s v="USD"/>
    <n v="1"/>
    <n v="55"/>
    <n v="7150"/>
    <s v="VR000058"/>
    <x v="19"/>
    <s v="PO2425U10437"/>
    <d v="2024-10-28T00:00:00"/>
    <s v="100% Advance "/>
    <s v="EXW"/>
    <m/>
    <m/>
    <m/>
    <n v="0"/>
    <n v="130"/>
    <n v="0"/>
    <m/>
    <m/>
    <m/>
    <m/>
    <m/>
    <m/>
    <m/>
    <m/>
    <d v="1900-01-09T00:00:00"/>
    <m/>
    <m/>
    <m/>
    <m/>
    <m/>
    <m/>
    <n v="412240974"/>
    <s v="EL01-000245"/>
    <s v="EL01-000245"/>
    <m/>
  </r>
  <r>
    <n v="166"/>
    <d v="2024-12-15T00:00:00"/>
    <n v="412240975"/>
    <s v="EL01-000246-1"/>
    <m/>
    <s v="S/R CABLE W22"/>
    <s v="1037M821-001"/>
    <s v="A"/>
    <s v="EIM"/>
    <n v="130"/>
    <s v="EA"/>
    <n v="55"/>
    <s v="USD"/>
    <n v="1"/>
    <n v="55"/>
    <n v="7150"/>
    <s v="VR000058"/>
    <x v="19"/>
    <s v="PO2425U10437"/>
    <d v="2024-10-28T00:00:00"/>
    <s v="100% Advance "/>
    <s v="EXW"/>
    <m/>
    <m/>
    <m/>
    <n v="0"/>
    <n v="130"/>
    <n v="0"/>
    <m/>
    <m/>
    <m/>
    <m/>
    <m/>
    <m/>
    <m/>
    <m/>
    <d v="1900-01-09T00:00:00"/>
    <m/>
    <m/>
    <m/>
    <m/>
    <m/>
    <m/>
    <n v="412240975"/>
    <s v="EL01-000246"/>
    <s v="EL01-000246"/>
    <m/>
  </r>
  <r>
    <n v="167"/>
    <d v="2024-12-15T00:00:00"/>
    <n v="412240980"/>
    <s v="EL01-000247-1"/>
    <m/>
    <s v="S/R CABLE W23"/>
    <s v="1037M822-001"/>
    <s v="A"/>
    <s v="EIM"/>
    <n v="130"/>
    <s v="EA"/>
    <n v="55"/>
    <s v="USD"/>
    <n v="1"/>
    <n v="55"/>
    <n v="7150"/>
    <s v="VR000058"/>
    <x v="19"/>
    <s v="PO2425U10437"/>
    <d v="2024-10-28T00:00:00"/>
    <s v="100% Advance "/>
    <s v="EXW"/>
    <m/>
    <m/>
    <m/>
    <n v="0"/>
    <n v="130"/>
    <n v="0"/>
    <m/>
    <m/>
    <m/>
    <m/>
    <m/>
    <m/>
    <m/>
    <m/>
    <d v="1900-01-09T00:00:00"/>
    <m/>
    <m/>
    <m/>
    <m/>
    <m/>
    <m/>
    <n v="412240980"/>
    <s v="EL01-000247"/>
    <s v="EL01-000247"/>
    <m/>
  </r>
  <r>
    <n v="168"/>
    <d v="2024-12-15T00:00:00"/>
    <n v="412240981"/>
    <s v="EL01-000248-1"/>
    <m/>
    <s v="S/R CABLE W24"/>
    <s v="1037M823-001"/>
    <s v="A"/>
    <s v="EIM"/>
    <n v="130"/>
    <s v="EA"/>
    <n v="55"/>
    <s v="USD"/>
    <n v="1"/>
    <n v="55"/>
    <n v="7150"/>
    <s v="VR000058"/>
    <x v="19"/>
    <s v="PO2425U10437"/>
    <d v="2024-10-28T00:00:00"/>
    <s v="100% Advance "/>
    <s v="EXW"/>
    <m/>
    <m/>
    <m/>
    <n v="0"/>
    <n v="128"/>
    <n v="2"/>
    <m/>
    <m/>
    <m/>
    <m/>
    <m/>
    <m/>
    <m/>
    <m/>
    <d v="1900-01-09T00:00:00"/>
    <m/>
    <m/>
    <m/>
    <m/>
    <m/>
    <m/>
    <n v="412240981"/>
    <s v="EL01-000248"/>
    <s v="EL01-000248"/>
    <n v="110"/>
  </r>
  <r>
    <n v="169"/>
    <d v="2024-12-15T00:00:00"/>
    <n v="401367866"/>
    <s v="EL01-000278-1"/>
    <m/>
    <s v="CABLE W13"/>
    <s v="1094F823-001"/>
    <s v="A"/>
    <s v="EIM"/>
    <n v="130"/>
    <s v="EA"/>
    <n v="33"/>
    <s v="USD"/>
    <n v="1"/>
    <n v="33"/>
    <n v="4290"/>
    <s v="VR000058"/>
    <x v="19"/>
    <s v="PO2425U10437"/>
    <d v="2024-10-28T00:00:00"/>
    <s v="100% Advance "/>
    <s v="EXW"/>
    <m/>
    <m/>
    <m/>
    <n v="0"/>
    <n v="130"/>
    <n v="0"/>
    <m/>
    <m/>
    <m/>
    <m/>
    <m/>
    <m/>
    <m/>
    <m/>
    <d v="1900-01-09T00:00:00"/>
    <m/>
    <m/>
    <m/>
    <m/>
    <m/>
    <m/>
    <n v="401367866"/>
    <s v="EL01-000278"/>
    <s v="EL01-000278"/>
    <m/>
  </r>
  <r>
    <n v="170"/>
    <d v="2024-12-15T00:00:00"/>
    <n v="401367862"/>
    <s v="EL01-000279-1"/>
    <m/>
    <s v="CABLE W14"/>
    <s v="1094F824-001"/>
    <s v="A"/>
    <s v="EIM"/>
    <n v="130"/>
    <s v="EA"/>
    <n v="33"/>
    <s v="USD"/>
    <n v="1"/>
    <n v="33"/>
    <n v="4290"/>
    <s v="VR000058"/>
    <x v="19"/>
    <s v="PO2425U10437"/>
    <d v="2024-10-28T00:00:00"/>
    <s v="100% Advance "/>
    <s v="EXW"/>
    <m/>
    <m/>
    <m/>
    <n v="0"/>
    <n v="130"/>
    <n v="0"/>
    <m/>
    <m/>
    <m/>
    <m/>
    <m/>
    <m/>
    <m/>
    <m/>
    <d v="1900-01-09T00:00:00"/>
    <m/>
    <m/>
    <m/>
    <m/>
    <m/>
    <m/>
    <n v="401367862"/>
    <s v="EL01-000279"/>
    <s v="EL01-000279"/>
    <m/>
  </r>
  <r>
    <n v="171"/>
    <d v="2024-12-15T00:00:00"/>
    <n v="401367848"/>
    <s v="EL01-000280-1"/>
    <m/>
    <s v="CABLE W15"/>
    <s v="1094F825-001"/>
    <s v="A"/>
    <s v="EIM"/>
    <n v="130"/>
    <s v="EA"/>
    <n v="33"/>
    <s v="USD"/>
    <n v="1"/>
    <n v="33"/>
    <n v="4290"/>
    <s v="VR000058"/>
    <x v="19"/>
    <s v="PO2425U10437"/>
    <d v="2024-10-28T00:00:00"/>
    <s v="100% Advance "/>
    <s v="EXW"/>
    <m/>
    <m/>
    <m/>
    <n v="0"/>
    <n v="130"/>
    <n v="0"/>
    <m/>
    <m/>
    <m/>
    <m/>
    <m/>
    <m/>
    <m/>
    <m/>
    <d v="1900-01-09T00:00:00"/>
    <m/>
    <m/>
    <m/>
    <m/>
    <m/>
    <m/>
    <n v="401367848"/>
    <s v="EL01-000280"/>
    <s v="EL01-000280"/>
    <m/>
  </r>
  <r>
    <n v="172"/>
    <d v="2024-12-15T00:00:00"/>
    <n v="401367873"/>
    <s v="EL01-000281-1"/>
    <m/>
    <s v="CABLE W16"/>
    <s v="1094F826-001"/>
    <s v="A"/>
    <s v="EIM"/>
    <n v="130"/>
    <s v="EA"/>
    <n v="33"/>
    <s v="USD"/>
    <n v="1"/>
    <n v="33"/>
    <n v="4290"/>
    <s v="VR000058"/>
    <x v="19"/>
    <s v="PO2425U10437"/>
    <d v="2024-10-28T00:00:00"/>
    <s v="100% Advance "/>
    <s v="EXW"/>
    <m/>
    <m/>
    <m/>
    <n v="0"/>
    <n v="130"/>
    <n v="0"/>
    <m/>
    <m/>
    <m/>
    <m/>
    <m/>
    <d v="2025-06-10T00:00:00"/>
    <m/>
    <m/>
    <d v="1900-01-09T00:00:00"/>
    <m/>
    <m/>
    <m/>
    <m/>
    <m/>
    <m/>
    <n v="401367873"/>
    <s v="EL01-000281"/>
    <s v="EL01-000281"/>
    <m/>
  </r>
  <r>
    <n v="173"/>
    <d v="2024-12-15T00:00:00"/>
    <n v="401367871"/>
    <s v="EL01-000282-1"/>
    <m/>
    <s v="CABLE W17"/>
    <s v="1094F827-001"/>
    <s v="A"/>
    <s v="EIM"/>
    <n v="130"/>
    <s v="EA"/>
    <n v="33"/>
    <s v="USD"/>
    <n v="1"/>
    <n v="33"/>
    <n v="4290"/>
    <s v="VR000058"/>
    <x v="19"/>
    <s v="PO2425U10437"/>
    <d v="2024-10-28T00:00:00"/>
    <s v="100% Advance "/>
    <s v="EXW"/>
    <m/>
    <m/>
    <m/>
    <n v="0"/>
    <n v="129"/>
    <n v="1"/>
    <m/>
    <m/>
    <m/>
    <m/>
    <m/>
    <m/>
    <m/>
    <m/>
    <d v="1900-01-09T00:00:00"/>
    <m/>
    <m/>
    <m/>
    <m/>
    <m/>
    <m/>
    <n v="401367871"/>
    <s v="EL01-000282"/>
    <s v="EL01-000282"/>
    <n v="33"/>
  </r>
  <r>
    <n v="174"/>
    <d v="2024-12-15T00:00:00"/>
    <n v="402215693"/>
    <s v="EL01-000302-1"/>
    <m/>
    <s v="W18-ANT CAL"/>
    <s v="1094K661-001"/>
    <s v="-"/>
    <s v="EIM"/>
    <n v="130"/>
    <s v="EA"/>
    <n v="33"/>
    <s v="USD"/>
    <n v="1"/>
    <n v="33"/>
    <n v="4290"/>
    <s v="VR000058"/>
    <x v="19"/>
    <s v="PO2425U10437"/>
    <d v="2024-10-28T00:00:00"/>
    <s v="100% Advance "/>
    <s v="EXW"/>
    <m/>
    <m/>
    <m/>
    <n v="0"/>
    <n v="129"/>
    <n v="1"/>
    <m/>
    <m/>
    <m/>
    <m/>
    <m/>
    <m/>
    <m/>
    <m/>
    <d v="1900-01-09T00:00:00"/>
    <m/>
    <m/>
    <m/>
    <m/>
    <m/>
    <m/>
    <n v="402215693"/>
    <s v="EL01-000302"/>
    <s v="EL01-000302"/>
    <n v="33"/>
  </r>
  <r>
    <n v="175"/>
    <d v="2024-12-15T00:00:00"/>
    <n v="402215700"/>
    <s v="EL01-000303-1"/>
    <m/>
    <s v="W19- RF TEST"/>
    <s v="1094K662-001"/>
    <s v="-"/>
    <s v="EIM"/>
    <n v="130"/>
    <s v="EA"/>
    <n v="33"/>
    <s v="USD"/>
    <n v="1"/>
    <n v="33"/>
    <n v="4290"/>
    <s v="VR000058"/>
    <x v="19"/>
    <s v="PO2425U10437"/>
    <d v="2024-10-28T00:00:00"/>
    <s v="100% Advance "/>
    <s v="EXW"/>
    <m/>
    <m/>
    <m/>
    <n v="0"/>
    <n v="129"/>
    <n v="1"/>
    <m/>
    <m/>
    <m/>
    <m/>
    <m/>
    <m/>
    <m/>
    <m/>
    <d v="1900-01-09T00:00:00"/>
    <m/>
    <m/>
    <m/>
    <m/>
    <m/>
    <m/>
    <n v="402215700"/>
    <s v="EL01-000303"/>
    <s v="EL01-000303"/>
    <n v="33"/>
  </r>
  <r>
    <n v="176"/>
    <d v="2024-12-15T00:00:00"/>
    <n v="415243985"/>
    <s v="EL01-001937-1"/>
    <m/>
    <s v="CABLE S/R ASSY W4"/>
    <s v="1099M255-001"/>
    <s v="A"/>
    <s v="EIM"/>
    <n v="231"/>
    <s v="EA"/>
    <n v="33"/>
    <s v="USD"/>
    <n v="1"/>
    <n v="33"/>
    <n v="7623"/>
    <s v="VR000058"/>
    <x v="19"/>
    <s v="PO2425U10529"/>
    <d v="2024-11-25T00:00:00"/>
    <s v="100% Advance "/>
    <s v="EXW"/>
    <m/>
    <m/>
    <m/>
    <n v="0"/>
    <n v="231"/>
    <n v="0"/>
    <m/>
    <m/>
    <m/>
    <m/>
    <m/>
    <m/>
    <m/>
    <m/>
    <d v="1900-01-09T00:00:00"/>
    <m/>
    <m/>
    <m/>
    <m/>
    <m/>
    <m/>
    <n v="415243985"/>
    <s v="EL01-001937"/>
    <s v="EL01-001937"/>
    <m/>
  </r>
  <r>
    <n v="177"/>
    <d v="2024-12-15T00:00:00"/>
    <n v="415243986"/>
    <s v="EL01-001938-1"/>
    <m/>
    <s v="CABLE S/R ASSY W5"/>
    <s v="1099M256-001"/>
    <s v="A"/>
    <s v="EIM"/>
    <n v="231"/>
    <s v="EA"/>
    <n v="33"/>
    <s v="USD"/>
    <n v="1"/>
    <n v="33"/>
    <n v="7623"/>
    <s v="VR000058"/>
    <x v="19"/>
    <s v="PO2425U10529"/>
    <d v="2024-11-25T00:00:00"/>
    <s v="100% Advance "/>
    <s v="EXW"/>
    <m/>
    <m/>
    <m/>
    <n v="0"/>
    <n v="231"/>
    <n v="0"/>
    <m/>
    <m/>
    <m/>
    <m/>
    <m/>
    <m/>
    <m/>
    <m/>
    <d v="1900-01-09T00:00:00"/>
    <m/>
    <m/>
    <m/>
    <m/>
    <m/>
    <m/>
    <n v="415243986"/>
    <s v="EL01-001938"/>
    <s v="EL01-001938"/>
    <m/>
  </r>
  <r>
    <n v="178"/>
    <d v="2024-12-15T00:00:00"/>
    <n v="415009669"/>
    <s v="EL01-001927-1"/>
    <m/>
    <s v="LOWER PATCH RIVETING"/>
    <s v="1099M232-001"/>
    <s v="A"/>
    <s v="Elbatech"/>
    <n v="10395"/>
    <s v="EA"/>
    <n v="11.43"/>
    <s v="USD"/>
    <n v="1"/>
    <n v="11.43"/>
    <n v="118814.84999999999"/>
    <s v="VR000056"/>
    <x v="20"/>
    <s v="PO2425U10615"/>
    <d v="2024-12-10T00:00:00"/>
    <s v="Before shipment"/>
    <s v="EXW"/>
    <m/>
    <m/>
    <m/>
    <n v="0"/>
    <n v="10395"/>
    <n v="0"/>
    <m/>
    <m/>
    <m/>
    <m/>
    <m/>
    <m/>
    <m/>
    <m/>
    <d v="1900-01-09T00:00:00"/>
    <m/>
    <m/>
    <m/>
    <n v="2000"/>
    <m/>
    <m/>
    <n v="415009669"/>
    <s v="EL01-001927"/>
    <s v="EL01-001927"/>
    <m/>
  </r>
  <r>
    <n v="179"/>
    <d v="2025-06-15T00:00:00"/>
    <n v="415009669"/>
    <s v="EL01-001927-2"/>
    <m/>
    <s v="LOWER PATCH RIVETING"/>
    <s v="1099M232-001"/>
    <s v="A"/>
    <s v="Elbatech"/>
    <n v="10395"/>
    <s v="EA"/>
    <n v="11.43"/>
    <s v="USD"/>
    <n v="1"/>
    <n v="11.43"/>
    <n v="118814.84999999999"/>
    <s v="VR000056"/>
    <x v="20"/>
    <s v="PO2425U10615"/>
    <d v="2024-12-10T00:00:00"/>
    <s v="Before shipment"/>
    <s v="EXW"/>
    <m/>
    <m/>
    <m/>
    <n v="0"/>
    <n v="10395"/>
    <n v="0"/>
    <m/>
    <m/>
    <m/>
    <m/>
    <m/>
    <m/>
    <m/>
    <m/>
    <d v="1900-01-09T00:00:00"/>
    <m/>
    <m/>
    <m/>
    <m/>
    <m/>
    <m/>
    <n v="415009669"/>
    <s v="EL01-001927"/>
    <s v="EL01-001927"/>
    <m/>
  </r>
  <r>
    <n v="180"/>
    <d v="2025-09-15T00:00:00"/>
    <n v="415009669"/>
    <s v="EL01-001927-3"/>
    <m/>
    <s v="LOWER PATCH RIVETING"/>
    <s v="1099M232-001"/>
    <s v="A"/>
    <s v="Elbatech"/>
    <n v="10395"/>
    <s v="EA"/>
    <n v="11.43"/>
    <s v="USD"/>
    <n v="1"/>
    <n v="11.43"/>
    <n v="118814.84999999999"/>
    <s v="VR000056"/>
    <x v="20"/>
    <s v="PO2425U10615"/>
    <d v="2024-12-10T00:00:00"/>
    <s v="Before shipment"/>
    <s v="EXW"/>
    <m/>
    <m/>
    <m/>
    <n v="0"/>
    <n v="8605"/>
    <n v="1790"/>
    <n v="1790"/>
    <m/>
    <m/>
    <m/>
    <d v="2025-12-31T00:00:00"/>
    <m/>
    <m/>
    <m/>
    <d v="2026-01-10T00:00:00"/>
    <m/>
    <m/>
    <m/>
    <m/>
    <m/>
    <m/>
    <n v="415009669"/>
    <s v="EL01-001927"/>
    <s v="EL01-001927"/>
    <n v="20459.7"/>
  </r>
  <r>
    <n v="181"/>
    <d v="2025-12-15T00:00:00"/>
    <n v="415009669"/>
    <s v="EL01-001927-4"/>
    <m/>
    <s v="LOWER PATCH RIVETING"/>
    <s v="1099M232-001"/>
    <s v="A"/>
    <s v="Elbatech"/>
    <n v="10395"/>
    <s v="EA"/>
    <n v="11.43"/>
    <s v="USD"/>
    <n v="1"/>
    <n v="11.43"/>
    <n v="118814.84999999999"/>
    <s v="VR000056"/>
    <x v="20"/>
    <s v="PO2425U10615"/>
    <d v="2024-12-10T00:00:00"/>
    <s v="Before shipment"/>
    <s v="EXW"/>
    <m/>
    <m/>
    <m/>
    <n v="0"/>
    <n v="0"/>
    <n v="10395"/>
    <n v="10395"/>
    <m/>
    <m/>
    <m/>
    <d v="2025-12-31T00:00:00"/>
    <m/>
    <m/>
    <m/>
    <d v="2026-01-10T00:00:00"/>
    <m/>
    <m/>
    <m/>
    <m/>
    <m/>
    <m/>
    <n v="415009669"/>
    <s v="EL01-001927"/>
    <s v="EL01-001927"/>
    <n v="118814.84999999999"/>
  </r>
  <r>
    <n v="182"/>
    <d v="2024-12-25T00:00:00"/>
    <n v="400175303"/>
    <s v="EL01-000356-1"/>
    <m/>
    <s v="IC QUAD DIFF LINE DRVIVER T&amp;R"/>
    <s v="AM26LV31ESDREP"/>
    <m/>
    <s v="TEXAS INSTRUMENTS"/>
    <n v="2500"/>
    <s v="EA"/>
    <n v="0.57680000000000009"/>
    <s v="USD"/>
    <n v="1"/>
    <n v="0.57680000000000009"/>
    <n v="1442.0000000000002"/>
    <s v="VR000056"/>
    <x v="20"/>
    <s v="PO2425U10619"/>
    <d v="2024-12-18T00:00:00"/>
    <s v="Net 30 Days"/>
    <s v="EXW"/>
    <s v="Yes"/>
    <m/>
    <m/>
    <n v="0"/>
    <n v="2500"/>
    <n v="0"/>
    <m/>
    <m/>
    <m/>
    <m/>
    <m/>
    <m/>
    <m/>
    <m/>
    <d v="1900-01-09T00:00:00"/>
    <s v="Receiving MPN: AM26LV31ESDREP"/>
    <m/>
    <m/>
    <m/>
    <s v="PN: DS26LV31TMX Changed to PN: AM26LV31ESDREP"/>
    <m/>
    <n v="400175303"/>
    <s v="EL01-000356"/>
    <s v="EL01-000356"/>
    <m/>
  </r>
  <r>
    <n v="183"/>
    <d v="2024-12-25T00:00:00"/>
    <n v="401533602"/>
    <s v="EL01-000357-1"/>
    <m/>
    <s v="IC QUAD DIFF LINE RECEIVER T&amp;R"/>
    <s v="AM26LV32EMDREP"/>
    <m/>
    <s v="TEXAS INSTRUMENTS"/>
    <n v="2500"/>
    <s v="EA"/>
    <n v="0.57680000000000009"/>
    <s v="USD"/>
    <n v="1"/>
    <n v="0.57680000000000009"/>
    <n v="1442.0000000000002"/>
    <s v="VR000056"/>
    <x v="20"/>
    <s v="PO2425U10619"/>
    <d v="2024-12-18T00:00:00"/>
    <s v="Net 30 Days"/>
    <s v="EXW"/>
    <s v="Yes"/>
    <m/>
    <m/>
    <n v="0"/>
    <n v="2500"/>
    <n v="0"/>
    <m/>
    <m/>
    <m/>
    <m/>
    <m/>
    <m/>
    <m/>
    <m/>
    <d v="1900-01-09T00:00:00"/>
    <s v="Receiving ALT MPN: AM26LV32EMDREP"/>
    <m/>
    <m/>
    <m/>
    <s v="PN: DS26LV32ATMX/NOPB changed to PN: AM26LV32EMDREP"/>
    <m/>
    <n v="401533602"/>
    <s v="EL01-000357"/>
    <s v="EL01-000357"/>
    <m/>
  </r>
  <r>
    <n v="184"/>
    <d v="2024-12-15T00:00:00"/>
    <n v="400174386"/>
    <s v="EL01-001748-1"/>
    <m/>
    <s v="IC CYCLONE II FPGA"/>
    <s v="EP2C70F896I8"/>
    <m/>
    <s v="Intel Prgrammable SolutionsGroup(AL"/>
    <n v="270"/>
    <s v="EA"/>
    <n v="177.61"/>
    <s v="USD"/>
    <n v="1"/>
    <n v="177.61"/>
    <n v="47954.700000000004"/>
    <s v="VR000056"/>
    <x v="20"/>
    <s v="PO2425U10526"/>
    <d v="2024-11-15T00:00:00"/>
    <s v="Before shipment "/>
    <s v="EXW"/>
    <s v="Yes"/>
    <m/>
    <m/>
    <n v="0"/>
    <n v="270"/>
    <n v="0"/>
    <m/>
    <m/>
    <m/>
    <m/>
    <m/>
    <m/>
    <m/>
    <m/>
    <d v="1900-01-09T00:00:00"/>
    <m/>
    <m/>
    <m/>
    <m/>
    <m/>
    <m/>
    <n v="400174386"/>
    <s v="EL01-001748"/>
    <s v="EL01-001748"/>
    <m/>
  </r>
  <r>
    <n v="185"/>
    <d v="2024-12-15T00:00:00"/>
    <n v="411359913"/>
    <s v="EL01-001749-1"/>
    <m/>
    <s v="IC QUAD-SERIAL CONFIGURATION DEVICE"/>
    <s v="EPCQ64ASI16N"/>
    <m/>
    <s v="INTEL CORP"/>
    <n v="220"/>
    <s v="EA"/>
    <n v="4.4000000000000004"/>
    <s v="USD"/>
    <n v="1"/>
    <n v="4.4000000000000004"/>
    <n v="968.00000000000011"/>
    <s v="VR000056"/>
    <x v="20"/>
    <s v="PO2425U10526"/>
    <d v="2024-11-15T00:00:00"/>
    <s v="Before shipment "/>
    <s v="EXW"/>
    <s v="Yes"/>
    <s v="Received "/>
    <m/>
    <n v="0"/>
    <n v="220"/>
    <n v="0"/>
    <m/>
    <m/>
    <m/>
    <m/>
    <m/>
    <m/>
    <m/>
    <m/>
    <d v="1900-01-09T00:00:00"/>
    <m/>
    <s v="Received"/>
    <m/>
    <m/>
    <m/>
    <m/>
    <n v="411359913"/>
    <s v="EL01-001749"/>
    <s v="EL01-001749"/>
    <m/>
  </r>
  <r>
    <n v="186"/>
    <d v="2024-12-15T00:00:00"/>
    <n v="401387650"/>
    <s v="EL01-001820-1"/>
    <m/>
    <s v="IC INTFACE  10-BIT DIGITAL TEMPERATU"/>
    <s v="AD7814ARMZ"/>
    <m/>
    <s v="ANALOG DEVICES"/>
    <n v="1100"/>
    <s v="EA"/>
    <n v="1.6171"/>
    <s v="USD"/>
    <n v="1"/>
    <n v="1.6171"/>
    <n v="1778.81"/>
    <s v="VR000438"/>
    <x v="20"/>
    <s v="PO2425U10438"/>
    <d v="2024-10-27T00:00:00"/>
    <s v="Before shipment "/>
    <s v="EXW"/>
    <s v="Yes"/>
    <s v="Received "/>
    <m/>
    <n v="0"/>
    <n v="1100"/>
    <n v="0"/>
    <m/>
    <m/>
    <m/>
    <m/>
    <m/>
    <m/>
    <m/>
    <m/>
    <d v="1900-01-09T00:00:00"/>
    <m/>
    <s v="Received"/>
    <m/>
    <m/>
    <m/>
    <m/>
    <n v="401387650"/>
    <s v="EL01-001820"/>
    <s v="EL01-001820"/>
    <m/>
  </r>
  <r>
    <n v="187"/>
    <d v="2024-12-15T00:00:00"/>
    <n v="400052375"/>
    <s v="EL01-001768-1"/>
    <m/>
    <s v="IC QUAD DIFF LINE DRIVER T&amp;R LEAD-FREE"/>
    <s v="DS26C31TMX/NOPB"/>
    <m/>
    <s v="TEXAS INSTRUMENTS INC"/>
    <n v="2500"/>
    <s v="EA"/>
    <n v="0.52529999999999999"/>
    <s v="USD"/>
    <n v="1"/>
    <n v="0.52529999999999999"/>
    <n v="1313.25"/>
    <s v="VR000438"/>
    <x v="20"/>
    <s v="PO2425U10438"/>
    <d v="2024-10-27T00:00:00"/>
    <s v="Before shipment "/>
    <s v="EXW"/>
    <s v="Yes"/>
    <m/>
    <m/>
    <n v="0"/>
    <n v="2500"/>
    <n v="0"/>
    <m/>
    <m/>
    <m/>
    <m/>
    <m/>
    <m/>
    <m/>
    <m/>
    <d v="1900-01-09T00:00:00"/>
    <m/>
    <m/>
    <m/>
    <m/>
    <m/>
    <m/>
    <n v="400052375"/>
    <s v="EL01-001768"/>
    <s v="EL01-001768"/>
    <m/>
  </r>
  <r>
    <n v="188"/>
    <d v="2024-12-15T00:00:00"/>
    <n v="421559188"/>
    <s v="EL01-001821-1"/>
    <m/>
    <s v="SPDT ; NON-REFLECTIVE SWITCH ; DC-3.5GHZ"/>
    <s v="HMC284AMS8GETR"/>
    <m/>
    <s v="ANALOG DEVICES"/>
    <n v="5500"/>
    <s v="EA"/>
    <n v="1.0814999999999999"/>
    <s v="USD"/>
    <n v="1"/>
    <n v="1.0814999999999999"/>
    <n v="5948.2499999999991"/>
    <s v="VR000438"/>
    <x v="20"/>
    <s v="PO2425U10438"/>
    <d v="2024-10-27T00:00:00"/>
    <s v="Before shipment "/>
    <s v="EXW"/>
    <s v="Yes"/>
    <s v="Received "/>
    <m/>
    <n v="0"/>
    <n v="5500"/>
    <n v="0"/>
    <m/>
    <m/>
    <m/>
    <m/>
    <m/>
    <m/>
    <m/>
    <m/>
    <d v="1900-01-09T00:00:00"/>
    <m/>
    <m/>
    <m/>
    <m/>
    <m/>
    <m/>
    <n v="421559188"/>
    <s v="EL01-001821"/>
    <s v="EL01-001821"/>
    <m/>
  </r>
  <r>
    <n v="189"/>
    <d v="2024-12-15T00:00:00"/>
    <n v="400359753"/>
    <s v="EL01-000846-1"/>
    <m/>
    <s v="MMIC GAAS DRIVER  AMP. 3.0-4.5GHZ  T&amp;R"/>
    <s v="HMC326MS8GETR"/>
    <m/>
    <s v="ANALOG DEVICES"/>
    <n v="5000"/>
    <s v="EA"/>
    <n v="2.8531"/>
    <s v="USD"/>
    <n v="1"/>
    <n v="2.8531"/>
    <n v="14265.5"/>
    <s v="VR000438"/>
    <x v="20"/>
    <s v="PO2425U10438"/>
    <d v="2024-10-27T00:00:00"/>
    <s v="Before shipment "/>
    <s v="EXW"/>
    <s v="Yes"/>
    <s v="Received "/>
    <m/>
    <n v="0"/>
    <n v="5000"/>
    <n v="0"/>
    <m/>
    <m/>
    <m/>
    <m/>
    <m/>
    <m/>
    <m/>
    <m/>
    <d v="1900-01-09T00:00:00"/>
    <m/>
    <m/>
    <m/>
    <m/>
    <m/>
    <m/>
    <n v="400359753"/>
    <s v="EL01-000846"/>
    <s v="EL01-000846"/>
    <m/>
  </r>
  <r>
    <n v="190"/>
    <d v="2025-06-15T00:00:00"/>
    <n v="400359753"/>
    <s v="EL01-000846-2"/>
    <m/>
    <s v="MMIC GAAS DRIVER  AMP. 3.0-4.5GHZ  T&amp;R"/>
    <s v="HMC326MS8GETR"/>
    <m/>
    <s v="ANALOG DEVICES"/>
    <n v="4500"/>
    <s v="EA"/>
    <n v="2.8531"/>
    <s v="USD"/>
    <n v="1"/>
    <n v="2.8531"/>
    <n v="12838.95"/>
    <s v="VR000438"/>
    <x v="20"/>
    <s v="PO2425U10438"/>
    <d v="2024-10-27T00:00:00"/>
    <s v="Before shipment "/>
    <s v="EXW"/>
    <s v="Yes"/>
    <s v="Received "/>
    <m/>
    <n v="0"/>
    <n v="4500"/>
    <n v="0"/>
    <m/>
    <m/>
    <m/>
    <m/>
    <m/>
    <m/>
    <m/>
    <m/>
    <d v="1900-01-09T00:00:00"/>
    <m/>
    <m/>
    <m/>
    <m/>
    <m/>
    <m/>
    <n v="400359753"/>
    <s v="EL01-000846"/>
    <s v="EL01-000846"/>
    <m/>
  </r>
  <r>
    <n v="191"/>
    <d v="2025-09-15T00:00:00"/>
    <n v="400359753"/>
    <s v="EL01-000846-3"/>
    <m/>
    <s v="MMIC GAAS DRIVER  AMP. 3.0-4.5GHZ  T&amp;R"/>
    <s v="HMC326MS8GETR"/>
    <m/>
    <s v="ANALOG DEVICES"/>
    <n v="4500"/>
    <s v="EA"/>
    <n v="2.8531"/>
    <s v="USD"/>
    <n v="1"/>
    <n v="2.8531"/>
    <n v="12838.95"/>
    <s v="VR000438"/>
    <x v="20"/>
    <s v="PO2425U10438"/>
    <d v="2024-10-27T00:00:00"/>
    <s v="Before shipment "/>
    <s v="EXW"/>
    <s v="Yes"/>
    <s v="Received "/>
    <m/>
    <n v="0"/>
    <n v="0"/>
    <n v="4500"/>
    <n v="4500"/>
    <m/>
    <m/>
    <m/>
    <d v="2025-11-15T00:00:00"/>
    <m/>
    <m/>
    <m/>
    <d v="2025-11-25T00:00:00"/>
    <m/>
    <m/>
    <m/>
    <m/>
    <m/>
    <m/>
    <n v="400359753"/>
    <s v="EL01-000846"/>
    <s v="EL01-000846"/>
    <n v="12838.95"/>
  </r>
  <r>
    <n v="192"/>
    <d v="2025-12-15T00:00:00"/>
    <n v="400359753"/>
    <s v="EL01-000846-4"/>
    <m/>
    <s v="MMIC GAAS DRIVER  AMP. 3.0-4.5GHZ  T&amp;R"/>
    <s v="HMC326MS8GETR"/>
    <m/>
    <s v="ANALOG DEVICES"/>
    <n v="4500"/>
    <s v="EA"/>
    <n v="2.8531"/>
    <s v="USD"/>
    <n v="1"/>
    <n v="2.8531"/>
    <n v="12838.95"/>
    <s v="VR000438"/>
    <x v="20"/>
    <s v="PO2425U10438"/>
    <d v="2024-10-27T00:00:00"/>
    <s v="Before shipment "/>
    <s v="EXW"/>
    <s v="Yes"/>
    <s v="Received "/>
    <m/>
    <n v="0"/>
    <n v="0"/>
    <n v="4500"/>
    <n v="4500"/>
    <m/>
    <m/>
    <m/>
    <d v="2025-12-30T00:00:00"/>
    <m/>
    <m/>
    <m/>
    <d v="2026-01-09T00:00:00"/>
    <m/>
    <m/>
    <m/>
    <m/>
    <m/>
    <m/>
    <n v="400359753"/>
    <s v="EL01-000846"/>
    <s v="EL01-000846"/>
    <n v="12838.95"/>
  </r>
  <r>
    <n v="193"/>
    <d v="2024-12-15T00:00:00"/>
    <n v="400547664"/>
    <s v="EL01-001822-1"/>
    <m/>
    <s v="IC MMIC GAAS SWITCH DC-6.0GHZ T&amp;R"/>
    <s v="HMC536MS8GE"/>
    <m/>
    <s v="ANALOG DEVICES"/>
    <n v="1500"/>
    <s v="EA"/>
    <n v="1.9570000000000001"/>
    <s v="USD"/>
    <n v="1"/>
    <n v="1.9570000000000001"/>
    <n v="2935.5"/>
    <s v="VR000438"/>
    <x v="20"/>
    <s v="PO2425U10438"/>
    <d v="2024-10-27T00:00:00"/>
    <s v="Before shipment "/>
    <s v="EXW"/>
    <s v="Yes"/>
    <s v="Received "/>
    <m/>
    <n v="0"/>
    <n v="1500"/>
    <n v="0"/>
    <m/>
    <m/>
    <m/>
    <m/>
    <m/>
    <m/>
    <m/>
    <m/>
    <d v="1900-01-09T00:00:00"/>
    <m/>
    <m/>
    <m/>
    <m/>
    <m/>
    <m/>
    <n v="400547664"/>
    <s v="EL01-001822"/>
    <s v="EL01-001822"/>
    <m/>
  </r>
  <r>
    <n v="194"/>
    <d v="2024-12-15T00:00:00"/>
    <n v="400897248"/>
    <s v="EL01-001823-1"/>
    <m/>
    <s v="IC NEGATIVE REGULATOR T&amp;R"/>
    <s v="LT1964IDD#TRPBF"/>
    <m/>
    <s v="ANALOG DEVICES"/>
    <n v="5000"/>
    <s v="EA"/>
    <n v="2.0291000000000001"/>
    <s v="USD"/>
    <n v="1"/>
    <n v="2.0291000000000001"/>
    <n v="10145.5"/>
    <s v="VR000438"/>
    <x v="20"/>
    <s v="PO2425U10438"/>
    <d v="2024-10-27T00:00:00"/>
    <s v="Before shipment "/>
    <s v="EXW"/>
    <s v="Yes"/>
    <s v="Received "/>
    <m/>
    <n v="0"/>
    <n v="5000"/>
    <n v="0"/>
    <m/>
    <m/>
    <m/>
    <m/>
    <m/>
    <m/>
    <m/>
    <m/>
    <d v="1900-01-09T00:00:00"/>
    <m/>
    <m/>
    <m/>
    <m/>
    <m/>
    <m/>
    <n v="400897248"/>
    <s v="EL01-001823"/>
    <s v="EL01-001823"/>
    <m/>
  </r>
  <r>
    <n v="195"/>
    <d v="2025-09-15T00:00:00"/>
    <n v="400897248"/>
    <s v="EL01-001823-2"/>
    <m/>
    <s v="IC NEGATIVE REGULATOR T&amp;R"/>
    <s v="LT1964IDD#TRPBF"/>
    <m/>
    <s v="ANALOG DEVICES"/>
    <n v="2500"/>
    <s v="EA"/>
    <n v="2.0291000000000001"/>
    <s v="USD"/>
    <n v="1"/>
    <n v="2.0291000000000001"/>
    <n v="5072.75"/>
    <s v="VR000438"/>
    <x v="20"/>
    <s v="PO2425U10438"/>
    <d v="2024-10-27T00:00:00"/>
    <s v="Before shipment "/>
    <s v="EXW"/>
    <s v="Yes"/>
    <s v="Received "/>
    <m/>
    <n v="0"/>
    <n v="0"/>
    <n v="2500"/>
    <n v="2500"/>
    <m/>
    <m/>
    <m/>
    <d v="2025-11-15T00:00:00"/>
    <m/>
    <m/>
    <m/>
    <d v="2025-11-25T00:00:00"/>
    <m/>
    <m/>
    <m/>
    <m/>
    <m/>
    <m/>
    <n v="400897248"/>
    <s v="EL01-001823"/>
    <s v="EL01-001823"/>
    <n v="5072.75"/>
  </r>
  <r>
    <n v="196"/>
    <d v="2024-12-15T00:00:00"/>
    <n v="416807302"/>
    <s v="EL01-001824-1"/>
    <m/>
    <s v="IC SIX INPUT SUPPLY MONITOR"/>
    <s v="LTC2908IDDB-A1#TRMPBF"/>
    <m/>
    <s v="ANALOG DEVICES"/>
    <n v="1500"/>
    <s v="EA"/>
    <n v="3.1002999999999998"/>
    <s v="USD"/>
    <n v="1"/>
    <n v="3.1002999999999998"/>
    <n v="4650.45"/>
    <s v="VR000438"/>
    <x v="20"/>
    <s v="PO2425U10438"/>
    <d v="2024-10-27T00:00:00"/>
    <s v="Before shipment "/>
    <s v="EXW"/>
    <s v="Yes"/>
    <s v="Received "/>
    <m/>
    <n v="0"/>
    <n v="1500"/>
    <n v="0"/>
    <m/>
    <m/>
    <m/>
    <m/>
    <m/>
    <m/>
    <m/>
    <m/>
    <d v="1900-01-09T00:00:00"/>
    <m/>
    <m/>
    <m/>
    <m/>
    <m/>
    <m/>
    <n v="416807302"/>
    <s v="EL01-001824"/>
    <s v="EL01-001824"/>
    <m/>
  </r>
  <r>
    <n v="197"/>
    <d v="2024-12-15T00:00:00"/>
    <n v="401681605"/>
    <s v="EL01-001825-1"/>
    <m/>
    <s v="IC N-CHANNEL MOSFET DRIVER T&amp;R"/>
    <s v="LTC4444HMS8E-5#TRPBF"/>
    <m/>
    <s v="ANALOG DEVICES"/>
    <n v="10000"/>
    <s v="EA"/>
    <n v="1.7922"/>
    <s v="USD"/>
    <n v="1"/>
    <n v="1.7922"/>
    <n v="17922"/>
    <s v="VR000438"/>
    <x v="20"/>
    <s v="PO2425U10438"/>
    <d v="2024-10-27T00:00:00"/>
    <s v="Before shipment "/>
    <s v="EXW"/>
    <s v="Yes"/>
    <s v="Received "/>
    <s v="Done"/>
    <n v="0"/>
    <n v="10000"/>
    <n v="0"/>
    <m/>
    <m/>
    <m/>
    <m/>
    <m/>
    <m/>
    <m/>
    <m/>
    <d v="1900-01-09T00:00:00"/>
    <m/>
    <s v="Received"/>
    <m/>
    <m/>
    <m/>
    <m/>
    <n v="401681605"/>
    <s v="EL01-001825"/>
    <s v="EL01-001825"/>
    <m/>
  </r>
  <r>
    <n v="198"/>
    <d v="2025-09-15T00:00:00"/>
    <n v="401681605"/>
    <s v="EL01-001825-2"/>
    <m/>
    <s v="IC N-CHANNEL MOSFET DRIVER T&amp;R"/>
    <s v="LTC4444HMS8E-5#TRPBF"/>
    <m/>
    <s v="ANALOG DEVICES"/>
    <n v="10000"/>
    <s v="EA"/>
    <n v="1.7922"/>
    <s v="USD"/>
    <n v="1"/>
    <n v="1.7922"/>
    <n v="17922"/>
    <s v="VR000438"/>
    <x v="20"/>
    <s v="PO2425U10438"/>
    <d v="2024-10-27T00:00:00"/>
    <s v="Before shipment "/>
    <s v="EXW"/>
    <s v="Yes"/>
    <s v="Received "/>
    <m/>
    <n v="0"/>
    <n v="0"/>
    <n v="10000"/>
    <n v="2500"/>
    <m/>
    <m/>
    <m/>
    <d v="2025-11-15T00:00:00"/>
    <m/>
    <m/>
    <m/>
    <d v="2025-11-25T00:00:00"/>
    <m/>
    <m/>
    <m/>
    <n v="2500"/>
    <m/>
    <m/>
    <n v="401681605"/>
    <s v="EL01-001825"/>
    <s v="EL01-001825"/>
    <n v="17922"/>
  </r>
  <r>
    <n v="199"/>
    <d v="2024-12-15T00:00:00"/>
    <n v="401246606"/>
    <s v="EL01-001826-1"/>
    <m/>
    <s v="IC DC/DC UMODULE 4A 60V"/>
    <s v="LTM8027IV#PBF"/>
    <m/>
    <s v="ANALOG DEVICES"/>
    <n v="357"/>
    <s v="EA"/>
    <n v="20.6206"/>
    <s v="USD"/>
    <n v="1"/>
    <n v="20.6206"/>
    <n v="7361.5541999999996"/>
    <s v="VR000438"/>
    <x v="20"/>
    <s v="PO2425U10438"/>
    <d v="2024-10-27T00:00:00"/>
    <s v="Before shipment "/>
    <s v="EXW"/>
    <s v="Yes"/>
    <s v="Received "/>
    <m/>
    <n v="0"/>
    <n v="357"/>
    <n v="0"/>
    <m/>
    <m/>
    <m/>
    <m/>
    <m/>
    <m/>
    <m/>
    <m/>
    <d v="1900-01-09T00:00:00"/>
    <m/>
    <m/>
    <m/>
    <m/>
    <m/>
    <m/>
    <n v="401246606"/>
    <s v="EL01-001826"/>
    <s v="EL01-001826"/>
    <m/>
  </r>
  <r>
    <n v="200"/>
    <d v="2025-09-15T00:00:00"/>
    <n v="401246606"/>
    <s v="EL01-001826-2"/>
    <m/>
    <s v="IC DC/DC UMODULE 4A 60V"/>
    <s v="LTM8027IV#PBF"/>
    <m/>
    <s v="ANALOG DEVICES"/>
    <n v="238"/>
    <s v="EA"/>
    <n v="20.6206"/>
    <s v="USD"/>
    <n v="1"/>
    <n v="20.6206"/>
    <n v="4907.7028"/>
    <s v="VR000438"/>
    <x v="20"/>
    <s v="PO2425U10438"/>
    <d v="2024-10-27T00:00:00"/>
    <s v="Before shipment "/>
    <s v="EXW"/>
    <s v="Yes"/>
    <s v="Received "/>
    <m/>
    <n v="0"/>
    <n v="238"/>
    <n v="0"/>
    <m/>
    <m/>
    <m/>
    <m/>
    <m/>
    <m/>
    <m/>
    <m/>
    <d v="1900-01-09T00:00:00"/>
    <m/>
    <m/>
    <m/>
    <m/>
    <m/>
    <m/>
    <n v="401246606"/>
    <s v="EL01-001826"/>
    <s v="EL01-001826"/>
    <m/>
  </r>
  <r>
    <n v="201"/>
    <d v="2024-12-15T00:00:00"/>
    <n v="403578730"/>
    <s v="EL01-001769-1"/>
    <m/>
    <s v="IC 16-BIT BUFFER/LINE DRIVER T&amp;R"/>
    <s v="SN74LVTH16244ADGGR"/>
    <m/>
    <s v="TEXAS INSTRUMENTS INC"/>
    <n v="30000"/>
    <s v="EA"/>
    <n v="0.26780000000000004"/>
    <s v="USD"/>
    <n v="1"/>
    <n v="0.26780000000000004"/>
    <n v="8034.0000000000009"/>
    <s v="VR000438"/>
    <x v="20"/>
    <s v="PO2425U10438"/>
    <d v="2024-10-27T00:00:00"/>
    <s v="Before shipment "/>
    <s v="EXW"/>
    <s v="Yes"/>
    <m/>
    <m/>
    <n v="0"/>
    <n v="30000"/>
    <n v="0"/>
    <m/>
    <m/>
    <m/>
    <m/>
    <m/>
    <m/>
    <m/>
    <m/>
    <d v="1900-01-09T00:00:00"/>
    <m/>
    <m/>
    <m/>
    <m/>
    <m/>
    <m/>
    <n v="403578730"/>
    <s v="EL01-001769"/>
    <s v="EL01-001769"/>
    <m/>
  </r>
  <r>
    <n v="202"/>
    <d v="2024-12-15T00:00:00"/>
    <s v="N71211742"/>
    <s v="EL01-000352-1"/>
    <m/>
    <s v="CONN CIRC DUST CAP F/RECP 17-SHL OLI"/>
    <s v="D38999/33W17N"/>
    <m/>
    <s v="AMPHENOL"/>
    <n v="130"/>
    <s v="EA"/>
    <n v="6.92"/>
    <s v="USD"/>
    <n v="1"/>
    <n v="6.92"/>
    <n v="899.6"/>
    <s v="VR000076"/>
    <x v="21"/>
    <s v="PO2425U10423"/>
    <d v="2024-11-29T00:00:00"/>
    <s v="100% Advance "/>
    <s v="EXW"/>
    <s v="Yes"/>
    <s v="Received "/>
    <s v="Done"/>
    <n v="0"/>
    <n v="130"/>
    <n v="0"/>
    <m/>
    <m/>
    <m/>
    <m/>
    <m/>
    <m/>
    <m/>
    <m/>
    <d v="1900-01-09T00:00:00"/>
    <m/>
    <s v="Received"/>
    <m/>
    <m/>
    <m/>
    <m/>
    <s v="N71211742"/>
    <s v="EL01-000352"/>
    <s v="EL01-000352"/>
    <m/>
  </r>
  <r>
    <n v="203"/>
    <d v="2024-12-15T00:00:00"/>
    <n v="525403903"/>
    <s v="EL01-000354-9"/>
    <m/>
    <s v="NUT RETAINER,100 DEG. FLUSH HEAD,SLOTTED"/>
    <s v="FT1033-2L"/>
    <m/>
    <s v="FASTENER TECHNOLOGY CORP."/>
    <n v="1450"/>
    <s v="EA"/>
    <n v="6.75"/>
    <s v="USD"/>
    <n v="1"/>
    <n v="6.75"/>
    <n v="9787.5"/>
    <s v="VR000533"/>
    <x v="22"/>
    <s v="PO2425U10465"/>
    <d v="2024-11-04T00:00:00"/>
    <s v="100% Advance "/>
    <s v="EXW"/>
    <s v="No"/>
    <s v="Received "/>
    <m/>
    <n v="0"/>
    <n v="1450"/>
    <n v="0"/>
    <m/>
    <m/>
    <m/>
    <m/>
    <m/>
    <m/>
    <m/>
    <m/>
    <d v="1900-01-09T00:00:00"/>
    <m/>
    <m/>
    <m/>
    <m/>
    <m/>
    <m/>
    <n v="525403903"/>
    <s v="EL01-000358"/>
    <s v="EL01-000354"/>
    <m/>
  </r>
  <r>
    <n v="204"/>
    <d v="2024-12-15T00:00:00"/>
    <n v="526945860"/>
    <s v="EL01-000359-1"/>
    <m/>
    <s v="SCREW,CAPTIVE,NUT RETAINER TYPE,SINGLE L"/>
    <s v="FT1737HS-8-8-A"/>
    <m/>
    <s v="FASTENER TECHNOLOGY CORP"/>
    <n v="1938"/>
    <s v="EA"/>
    <n v="4.41"/>
    <s v="USD"/>
    <n v="1"/>
    <n v="4.41"/>
    <n v="8546.58"/>
    <s v="VR000533"/>
    <x v="22"/>
    <s v="PO2425U10465"/>
    <d v="2024-11-04T00:00:00"/>
    <s v="100% Advance "/>
    <s v="EXW"/>
    <s v="No"/>
    <s v="Received "/>
    <m/>
    <n v="0"/>
    <n v="1938"/>
    <n v="0"/>
    <m/>
    <m/>
    <m/>
    <m/>
    <m/>
    <m/>
    <m/>
    <m/>
    <d v="1900-01-09T00:00:00"/>
    <m/>
    <m/>
    <m/>
    <m/>
    <m/>
    <m/>
    <n v="526945860"/>
    <s v="EL01-000359"/>
    <s v="EL01-000359"/>
    <m/>
  </r>
  <r>
    <n v="205"/>
    <d v="2025-06-15T00:00:00"/>
    <n v="526945860"/>
    <s v="EL01-000359-2"/>
    <m/>
    <s v="SCREW,CAPTIVE,NUT RETAINER TYPE,SINGLE L"/>
    <s v="FT1737HS-8-8-A"/>
    <m/>
    <s v="FASTENER TECHNOLOGY CORP"/>
    <n v="1938"/>
    <s v="EA"/>
    <n v="4.41"/>
    <s v="USD"/>
    <n v="1"/>
    <n v="4.41"/>
    <n v="8546.58"/>
    <s v="VR000533"/>
    <x v="22"/>
    <s v="PO2425U10465"/>
    <d v="2024-11-04T00:00:00"/>
    <s v="100% Advance "/>
    <s v="EXW"/>
    <s v="No"/>
    <s v="Received "/>
    <m/>
    <n v="0"/>
    <n v="1938"/>
    <n v="0"/>
    <m/>
    <m/>
    <m/>
    <m/>
    <m/>
    <m/>
    <m/>
    <m/>
    <d v="1900-01-09T00:00:00"/>
    <m/>
    <m/>
    <m/>
    <m/>
    <m/>
    <m/>
    <n v="526945860"/>
    <s v="EL01-000359"/>
    <s v="EL01-000359"/>
    <m/>
  </r>
  <r>
    <n v="206"/>
    <d v="2025-09-15T00:00:00"/>
    <n v="526945860"/>
    <s v="EL01-000359-3"/>
    <m/>
    <s v="SCREW,CAPTIVE,NUT RETAINER TYPE,SINGLE L"/>
    <s v="FT1737HS-8-8-A"/>
    <m/>
    <s v="FASTENER TECHNOLOGY CORP"/>
    <n v="1938"/>
    <s v="EA"/>
    <n v="4.41"/>
    <s v="USD"/>
    <n v="1"/>
    <n v="4.41"/>
    <n v="8546.58"/>
    <s v="VR000533"/>
    <x v="22"/>
    <s v="PO2425U10465"/>
    <d v="2024-11-04T00:00:00"/>
    <s v="100% Advance "/>
    <s v="EXW"/>
    <s v="No"/>
    <s v="Received "/>
    <m/>
    <n v="0"/>
    <n v="1938"/>
    <n v="0"/>
    <m/>
    <m/>
    <m/>
    <m/>
    <m/>
    <m/>
    <m/>
    <m/>
    <d v="1900-01-09T00:00:00"/>
    <m/>
    <m/>
    <m/>
    <m/>
    <m/>
    <m/>
    <n v="526945860"/>
    <s v="EL01-000359"/>
    <s v="EL01-000359"/>
    <m/>
  </r>
  <r>
    <n v="207"/>
    <d v="2025-12-15T00:00:00"/>
    <n v="526945860"/>
    <s v="EL01-000359-4"/>
    <m/>
    <s v="SCREW,CAPTIVE,NUT RETAINER TYPE,SINGLE L"/>
    <s v="FT1737HS-8-8-A"/>
    <m/>
    <s v="FASTENER TECHNOLOGY CORP"/>
    <n v="1936"/>
    <s v="EA"/>
    <n v="4.41"/>
    <s v="USD"/>
    <n v="1"/>
    <n v="4.41"/>
    <n v="8537.76"/>
    <s v="VR000533"/>
    <x v="22"/>
    <s v="PO2425U10465"/>
    <d v="2024-11-04T00:00:00"/>
    <s v="100% Advance "/>
    <s v="EXW"/>
    <s v="No"/>
    <s v="Received "/>
    <m/>
    <n v="0"/>
    <n v="1936"/>
    <n v="0"/>
    <m/>
    <m/>
    <m/>
    <m/>
    <m/>
    <m/>
    <m/>
    <m/>
    <d v="1900-01-09T00:00:00"/>
    <m/>
    <m/>
    <m/>
    <m/>
    <m/>
    <m/>
    <n v="526945860"/>
    <s v="EL01-000359"/>
    <s v="EL01-000359"/>
    <m/>
  </r>
  <r>
    <n v="208"/>
    <d v="2025-09-15T00:00:00"/>
    <n v="525403903"/>
    <s v="EL01-000354-10"/>
    <m/>
    <s v="NUT RETAINER,100 DEG. FLUSH HEAD,SLOTTED"/>
    <s v="FT1033-2L"/>
    <m/>
    <s v="FASTENER TECHNOLOGY CORP."/>
    <n v="1450"/>
    <s v="EA"/>
    <n v="6.75"/>
    <s v="USD"/>
    <n v="1"/>
    <n v="6.75"/>
    <n v="9787.5"/>
    <s v="VR000533"/>
    <x v="22"/>
    <s v="PO2425U10465"/>
    <d v="2024-11-04T00:00:00"/>
    <s v="100% Advance "/>
    <s v="EXW"/>
    <s v="No"/>
    <s v="Received "/>
    <m/>
    <n v="0"/>
    <n v="1450"/>
    <n v="0"/>
    <m/>
    <m/>
    <m/>
    <m/>
    <m/>
    <m/>
    <m/>
    <m/>
    <d v="1900-01-09T00:00:00"/>
    <m/>
    <m/>
    <m/>
    <m/>
    <m/>
    <m/>
    <n v="525403903"/>
    <s v="EL01-000358"/>
    <s v="EL01-000354"/>
    <m/>
  </r>
  <r>
    <n v="209"/>
    <d v="2024-12-15T00:00:00"/>
    <n v="526945878"/>
    <s v="EL01-001810-1"/>
    <m/>
    <s v="SCREW,CAPTIVE,NUT RETAINER TYPE,SINGLE L"/>
    <s v="FT1737HS-10-8-A"/>
    <m/>
    <s v="FASTENER TECHNOLOGY CORP"/>
    <n v="4270"/>
    <s v="EA"/>
    <n v="4.09"/>
    <s v="USD"/>
    <n v="1"/>
    <n v="4.09"/>
    <n v="17464.3"/>
    <s v="VR000533"/>
    <x v="22"/>
    <s v="PO2425U10465"/>
    <d v="2024-11-04T00:00:00"/>
    <s v="100% Advance "/>
    <s v="EXW"/>
    <s v="No"/>
    <s v="Received "/>
    <m/>
    <n v="0"/>
    <n v="4270"/>
    <n v="0"/>
    <m/>
    <m/>
    <m/>
    <m/>
    <m/>
    <m/>
    <m/>
    <m/>
    <d v="1900-01-09T00:00:00"/>
    <m/>
    <m/>
    <m/>
    <m/>
    <m/>
    <m/>
    <n v="526945878"/>
    <s v="EL01-001810"/>
    <s v="EL01-001810"/>
    <m/>
  </r>
  <r>
    <n v="210"/>
    <d v="2025-06-15T00:00:00"/>
    <n v="526945878"/>
    <s v="EL01-001810-2"/>
    <m/>
    <s v="SCREW,CAPTIVE,NUT RETAINER TYPE,SINGLE L"/>
    <s v="FT1737HS-10-8-A"/>
    <m/>
    <s v="FASTENER TECHNOLOGY CORP"/>
    <n v="4270"/>
    <s v="EA"/>
    <n v="4.09"/>
    <s v="USD"/>
    <n v="1"/>
    <n v="4.09"/>
    <n v="17464.3"/>
    <s v="VR000533"/>
    <x v="22"/>
    <s v="PO2425U10465"/>
    <d v="2024-11-04T00:00:00"/>
    <s v="100% Advance "/>
    <s v="EXW"/>
    <s v="No"/>
    <s v="Received "/>
    <m/>
    <n v="0"/>
    <n v="4270"/>
    <n v="0"/>
    <m/>
    <m/>
    <m/>
    <m/>
    <m/>
    <m/>
    <m/>
    <m/>
    <d v="1900-01-09T00:00:00"/>
    <m/>
    <m/>
    <m/>
    <m/>
    <m/>
    <m/>
    <n v="526945878"/>
    <s v="EL01-001810"/>
    <s v="EL01-001810"/>
    <m/>
  </r>
  <r>
    <n v="211"/>
    <d v="2025-09-15T00:00:00"/>
    <n v="526945878"/>
    <s v="EL01-001810-3"/>
    <m/>
    <s v="SCREW,CAPTIVE,NUT RETAINER TYPE,SINGLE L"/>
    <s v="FT1737HS-10-8-A"/>
    <m/>
    <s v="FASTENER TECHNOLOGY CORP"/>
    <n v="4270"/>
    <s v="EA"/>
    <n v="4.09"/>
    <s v="USD"/>
    <n v="1"/>
    <n v="4.09"/>
    <n v="17464.3"/>
    <s v="VR000533"/>
    <x v="22"/>
    <s v="PO2425U10465"/>
    <d v="2024-11-04T00:00:00"/>
    <s v="100% Advance "/>
    <s v="EXW"/>
    <s v="No"/>
    <s v="Received "/>
    <m/>
    <n v="0"/>
    <n v="4270"/>
    <n v="0"/>
    <m/>
    <m/>
    <m/>
    <m/>
    <m/>
    <m/>
    <m/>
    <m/>
    <d v="1900-01-09T00:00:00"/>
    <m/>
    <m/>
    <m/>
    <m/>
    <m/>
    <m/>
    <n v="526945878"/>
    <s v="EL01-001810"/>
    <s v="EL01-001810"/>
    <m/>
  </r>
  <r>
    <n v="212"/>
    <d v="2025-12-15T00:00:00"/>
    <n v="526945878"/>
    <s v="EL01-001810-4"/>
    <m/>
    <s v="SCREW,CAPTIVE,NUT RETAINER TYPE,SINGLE L"/>
    <s v="FT1737HS-10-8-A"/>
    <m/>
    <s v="FASTENER TECHNOLOGY CORP"/>
    <n v="4270"/>
    <s v="EA"/>
    <n v="4.09"/>
    <s v="USD"/>
    <n v="1"/>
    <n v="4.09"/>
    <n v="17464.3"/>
    <s v="VR000533"/>
    <x v="22"/>
    <s v="PO2425U10465"/>
    <d v="2024-11-04T00:00:00"/>
    <s v="100% Advance "/>
    <s v="EXW"/>
    <s v="No"/>
    <s v="Received "/>
    <m/>
    <n v="0"/>
    <n v="4270"/>
    <n v="0"/>
    <m/>
    <m/>
    <m/>
    <m/>
    <m/>
    <m/>
    <m/>
    <m/>
    <d v="1900-01-09T00:00:00"/>
    <m/>
    <m/>
    <m/>
    <m/>
    <m/>
    <m/>
    <n v="526945878"/>
    <s v="EL01-001810"/>
    <s v="EL01-001810"/>
    <m/>
  </r>
  <r>
    <n v="213"/>
    <d v="2024-12-30T00:00:00"/>
    <n v="401363830"/>
    <s v="EL01-002230-1"/>
    <m/>
    <s v="CHIP COIL 16NH 2% T&amp;R"/>
    <s v="LQW15AN16NG00D"/>
    <m/>
    <s v="MURATA MANUFACTURING CO. LTD"/>
    <n v="20000"/>
    <s v="EA"/>
    <n v="4.8000000000000001E-2"/>
    <s v="USD"/>
    <n v="1"/>
    <n v="4.8000000000000001E-2"/>
    <n v="960"/>
    <s v="VR000014"/>
    <x v="23"/>
    <s v="PO2425U10661"/>
    <d v="2025-01-03T00:00:00"/>
    <s v="Net 30 Days"/>
    <s v="EXW"/>
    <s v="Yes"/>
    <m/>
    <m/>
    <n v="0"/>
    <n v="20000"/>
    <n v="0"/>
    <m/>
    <m/>
    <m/>
    <m/>
    <m/>
    <m/>
    <m/>
    <m/>
    <d v="1900-01-09T00:00:00"/>
    <m/>
    <s v="Received"/>
    <m/>
    <m/>
    <m/>
    <m/>
    <n v="401363830"/>
    <s v="EL01-002230"/>
    <s v="EL01-002230"/>
    <m/>
  </r>
  <r>
    <n v="214"/>
    <d v="2024-12-15T00:00:00"/>
    <n v="400574457"/>
    <s v="EL01-000318-1"/>
    <m/>
    <s v="CONN RECT HEADER ASSY, 40 PAIR, HMZD,"/>
    <s v=" 6469074-1"/>
    <m/>
    <s v="TYCO ELECTRONICS"/>
    <n v="720"/>
    <s v="EA"/>
    <n v="12.597"/>
    <s v="USD"/>
    <n v="1"/>
    <n v="12.597"/>
    <n v="9069.84"/>
    <s v="VR000263"/>
    <x v="24"/>
    <s v="PO2425U10880"/>
    <d v="2025-03-21T00:00:00"/>
    <m/>
    <s v="EXW"/>
    <m/>
    <m/>
    <m/>
    <n v="0"/>
    <n v="727"/>
    <n v="-7"/>
    <m/>
    <m/>
    <m/>
    <m/>
    <m/>
    <m/>
    <m/>
    <m/>
    <d v="1900-01-09T00:00:00"/>
    <m/>
    <m/>
    <m/>
    <m/>
    <m/>
    <m/>
    <n v="400574457"/>
    <s v="EL01-000318"/>
    <s v="EL01-000318"/>
    <m/>
  </r>
  <r>
    <n v="215"/>
    <d v="2024-12-15T00:00:00"/>
    <n v="400350238"/>
    <s v="EL01-000319-3"/>
    <m/>
    <s v="CONN RECT RECEPT 40 DIFFERTIAL PAIRS,"/>
    <s v="1469362-1"/>
    <m/>
    <s v="TE CONNECTIVITY"/>
    <n v="40"/>
    <s v="EA"/>
    <n v="51.84"/>
    <s v="USD"/>
    <n v="1"/>
    <n v="51.84"/>
    <n v="2073.6000000000004"/>
    <s v="VR000263"/>
    <x v="24"/>
    <s v="PO2425U10880"/>
    <d v="2025-03-21T00:00:00"/>
    <m/>
    <s v="EXW"/>
    <s v="Yes"/>
    <m/>
    <m/>
    <n v="0"/>
    <n v="40"/>
    <n v="0"/>
    <m/>
    <m/>
    <m/>
    <m/>
    <m/>
    <m/>
    <m/>
    <m/>
    <d v="1900-01-09T00:00:00"/>
    <m/>
    <m/>
    <m/>
    <m/>
    <m/>
    <m/>
    <n v="400350238"/>
    <s v="EL01-000319"/>
    <s v="EL01-000319"/>
    <m/>
  </r>
  <r>
    <n v="216"/>
    <d v="2025-07-20T00:00:00"/>
    <n v="400350238"/>
    <s v="EL01-000319-1"/>
    <m/>
    <s v="CONN RECT RECEPT 40 DIFFERTIAL PAIRS,"/>
    <s v="1469362-1"/>
    <m/>
    <s v="TE CONNECTIVITY"/>
    <n v="240"/>
    <s v="EA"/>
    <n v="30.75"/>
    <s v="USD"/>
    <n v="1"/>
    <n v="30.75"/>
    <n v="7380"/>
    <s v="VR000573"/>
    <x v="25"/>
    <s v="PO2425U10609"/>
    <d v="2024-12-10T00:00:00"/>
    <s v="Net 30 Days"/>
    <s v="EXW"/>
    <m/>
    <m/>
    <m/>
    <n v="0"/>
    <n v="240"/>
    <n v="0"/>
    <m/>
    <m/>
    <m/>
    <m/>
    <m/>
    <m/>
    <m/>
    <m/>
    <d v="1900-01-09T00:00:00"/>
    <m/>
    <m/>
    <m/>
    <m/>
    <m/>
    <m/>
    <n v="400350238"/>
    <s v="EL01-000319"/>
    <s v="EL01-000319"/>
    <m/>
  </r>
  <r>
    <n v="217"/>
    <d v="2025-09-15T00:00:00"/>
    <n v="400350238"/>
    <s v="EL01-000319-2"/>
    <m/>
    <s v="CONN RECT RECEPT 40 DIFFERTIAL PAIRS,"/>
    <s v="1469362-1"/>
    <m/>
    <s v="TE CONNECTIVITY"/>
    <n v="240"/>
    <s v="EA"/>
    <n v="30.75"/>
    <s v="USD"/>
    <n v="1"/>
    <n v="30.75"/>
    <n v="7380"/>
    <s v="VR000573"/>
    <x v="25"/>
    <s v="PO2425U10609"/>
    <d v="2024-12-10T00:00:00"/>
    <s v="Net 30 Days"/>
    <s v="EXW"/>
    <m/>
    <m/>
    <m/>
    <n v="0"/>
    <n v="240"/>
    <n v="0"/>
    <m/>
    <m/>
    <m/>
    <m/>
    <m/>
    <m/>
    <m/>
    <m/>
    <d v="1900-01-09T00:00:00"/>
    <m/>
    <m/>
    <m/>
    <m/>
    <m/>
    <m/>
    <n v="400350238"/>
    <s v="EL01-000319"/>
    <s v="EL01-000319"/>
    <m/>
  </r>
  <r>
    <n v="218"/>
    <d v="2024-12-15T00:00:00"/>
    <n v="412754353"/>
    <s v="EL01-001997-1"/>
    <m/>
    <s v="LEFT GASKET"/>
    <s v="1037M835-001"/>
    <s v="B"/>
    <s v="Gumiyan"/>
    <n v="130"/>
    <s v="EA"/>
    <n v="16.3"/>
    <s v="USD"/>
    <n v="1"/>
    <n v="16.3"/>
    <n v="2119"/>
    <s v="VR000290"/>
    <x v="26"/>
    <s v="PO2425U10436"/>
    <d v="2024-10-28T00:00:00"/>
    <s v="Net 30days"/>
    <s v="EXW"/>
    <s v="Yes"/>
    <m/>
    <m/>
    <n v="0"/>
    <n v="130"/>
    <n v="0"/>
    <m/>
    <m/>
    <m/>
    <m/>
    <m/>
    <m/>
    <m/>
    <m/>
    <d v="1900-01-09T00:00:00"/>
    <m/>
    <s v="Received"/>
    <m/>
    <m/>
    <m/>
    <m/>
    <n v="412754353"/>
    <s v="EL01-001997"/>
    <s v="EL01-001997"/>
    <m/>
  </r>
  <r>
    <n v="219"/>
    <d v="2024-12-15T00:00:00"/>
    <n v="412804951"/>
    <s v="EL01-001998-1"/>
    <m/>
    <s v="RIGHT GASKET"/>
    <s v="1037M836-001"/>
    <s v="C"/>
    <s v="Gumiyan"/>
    <n v="130"/>
    <s v="EA"/>
    <n v="16.3"/>
    <s v="USD"/>
    <n v="1"/>
    <n v="16.3"/>
    <n v="2119"/>
    <s v="VR000290"/>
    <x v="26"/>
    <s v="PO2425U10436"/>
    <d v="2024-10-28T00:00:00"/>
    <s v="Net 30days"/>
    <s v="EXW"/>
    <s v="Yes"/>
    <m/>
    <m/>
    <n v="0"/>
    <n v="130"/>
    <n v="0"/>
    <m/>
    <m/>
    <m/>
    <m/>
    <m/>
    <m/>
    <m/>
    <m/>
    <d v="1900-01-09T00:00:00"/>
    <m/>
    <s v="Received"/>
    <m/>
    <m/>
    <m/>
    <m/>
    <n v="412804951"/>
    <s v="EL01-001998"/>
    <s v="EL01-001998"/>
    <m/>
  </r>
  <r>
    <n v="220"/>
    <d v="2024-12-15T00:00:00"/>
    <n v="401401891"/>
    <s v="EL01-000273-1"/>
    <m/>
    <s v="GASKET AIR PS OUTLET"/>
    <s v="1094F807-001"/>
    <s v="A"/>
    <s v="Gumiyan"/>
    <n v="130"/>
    <s v="EA"/>
    <n v="2.7"/>
    <s v="USD"/>
    <n v="1"/>
    <n v="2.7"/>
    <n v="351"/>
    <s v="VR000290"/>
    <x v="26"/>
    <s v="PO2425U10436"/>
    <d v="2024-10-28T00:00:00"/>
    <s v="Net 30days"/>
    <s v="EXW"/>
    <s v="Yes"/>
    <m/>
    <m/>
    <n v="0"/>
    <n v="130"/>
    <n v="0"/>
    <m/>
    <m/>
    <m/>
    <m/>
    <m/>
    <m/>
    <m/>
    <m/>
    <d v="1900-01-09T00:00:00"/>
    <m/>
    <s v="Received"/>
    <m/>
    <m/>
    <m/>
    <m/>
    <n v="401401891"/>
    <s v="EL01-000273"/>
    <s v="EL01-000273"/>
    <m/>
  </r>
  <r>
    <n v="221"/>
    <d v="2024-12-15T00:00:00"/>
    <n v="401429709"/>
    <s v="EL01-000294-1"/>
    <m/>
    <s v="GASKET"/>
    <s v="1094F897-001"/>
    <s v="-"/>
    <s v="Gumiyan"/>
    <n v="520"/>
    <s v="EA"/>
    <n v="2.7"/>
    <s v="USD"/>
    <n v="1"/>
    <n v="2.7"/>
    <n v="1404"/>
    <s v="VR000290"/>
    <x v="26"/>
    <s v="PO2425U10436"/>
    <d v="2024-10-28T00:00:00"/>
    <s v="Net 30days"/>
    <s v="EXW"/>
    <s v="Yes"/>
    <m/>
    <m/>
    <n v="0"/>
    <n v="520"/>
    <n v="0"/>
    <m/>
    <m/>
    <m/>
    <m/>
    <m/>
    <m/>
    <m/>
    <m/>
    <d v="1900-01-09T00:00:00"/>
    <m/>
    <s v="Received"/>
    <m/>
    <m/>
    <m/>
    <m/>
    <n v="401429709"/>
    <s v="EL01-000294"/>
    <s v="EL01-000294"/>
    <m/>
  </r>
  <r>
    <n v="222"/>
    <d v="2024-12-15T00:00:00"/>
    <n v="401429710"/>
    <s v="EL01-000295-1"/>
    <m/>
    <s v="GASKET"/>
    <s v="1094F898-001"/>
    <s v="-"/>
    <s v="Gumiyan"/>
    <n v="260"/>
    <s v="EA"/>
    <n v="2.7"/>
    <s v="USD"/>
    <n v="1"/>
    <n v="2.7"/>
    <n v="702"/>
    <s v="VR000290"/>
    <x v="26"/>
    <s v="PO2425U10436"/>
    <d v="2024-10-28T00:00:00"/>
    <s v="Net 30days"/>
    <s v="EXW"/>
    <s v="Yes"/>
    <m/>
    <m/>
    <n v="0"/>
    <n v="260"/>
    <n v="0"/>
    <m/>
    <m/>
    <m/>
    <m/>
    <m/>
    <m/>
    <m/>
    <m/>
    <d v="1900-01-09T00:00:00"/>
    <m/>
    <s v="Received"/>
    <m/>
    <m/>
    <m/>
    <m/>
    <n v="401429710"/>
    <s v="EL01-000295"/>
    <s v="EL01-000295"/>
    <m/>
  </r>
  <r>
    <n v="223"/>
    <d v="2024-12-15T00:00:00"/>
    <n v="400485716"/>
    <s v="EL01-001892-1"/>
    <m/>
    <s v="RUBBER GASKET CHEM. AGENT RES."/>
    <s v="1093R459-003"/>
    <s v="A"/>
    <s v="Gumiyan"/>
    <n v="534"/>
    <s v="EA"/>
    <n v="16.3"/>
    <s v="USD"/>
    <n v="1"/>
    <n v="16.3"/>
    <n v="8704.2000000000007"/>
    <s v="VR000290"/>
    <x v="26"/>
    <s v="PO2425U10436"/>
    <d v="2024-10-28T00:00:00"/>
    <s v="Net 30days"/>
    <s v="EXW"/>
    <s v="Yes"/>
    <m/>
    <m/>
    <n v="0"/>
    <n v="534"/>
    <n v="0"/>
    <m/>
    <m/>
    <m/>
    <m/>
    <m/>
    <m/>
    <m/>
    <m/>
    <d v="1900-01-09T00:00:00"/>
    <m/>
    <s v="Received"/>
    <m/>
    <m/>
    <m/>
    <m/>
    <n v="400485716"/>
    <s v="EL01-001892"/>
    <s v="EL01-001892"/>
    <m/>
  </r>
  <r>
    <n v="224"/>
    <d v="2024-12-15T00:00:00"/>
    <n v="414731764"/>
    <s v="EL01-001899-1"/>
    <m/>
    <s v="O-RING"/>
    <s v="1094V797-001"/>
    <n v="-1"/>
    <s v="Gumiyan"/>
    <n v="534"/>
    <s v="EA"/>
    <n v="16.3"/>
    <s v="USD"/>
    <n v="1"/>
    <n v="16.3"/>
    <n v="8704.2000000000007"/>
    <s v="VR000290"/>
    <x v="26"/>
    <s v="PO2425U10436"/>
    <d v="2024-10-28T00:00:00"/>
    <s v="Net 30days"/>
    <s v="EXW"/>
    <s v="Yes"/>
    <m/>
    <m/>
    <n v="0"/>
    <n v="534"/>
    <n v="0"/>
    <m/>
    <m/>
    <m/>
    <m/>
    <m/>
    <m/>
    <m/>
    <m/>
    <d v="1900-01-09T00:00:00"/>
    <m/>
    <s v="Received"/>
    <m/>
    <m/>
    <m/>
    <m/>
    <n v="414731764"/>
    <s v="EL01-001899"/>
    <s v="EL01-001899"/>
    <m/>
  </r>
  <r>
    <n v="225"/>
    <d v="2024-12-15T00:00:00"/>
    <n v="415251811"/>
    <s v="EL01-001904-1"/>
    <m/>
    <s v="O RING"/>
    <s v="1094V826-001"/>
    <s v="A"/>
    <s v="Gumiyan"/>
    <n v="534"/>
    <s v="EA"/>
    <n v="16.3"/>
    <s v="USD"/>
    <n v="1"/>
    <n v="16.3"/>
    <n v="8704.2000000000007"/>
    <s v="VR000290"/>
    <x v="26"/>
    <s v="PO2425U10436"/>
    <d v="2024-10-28T00:00:00"/>
    <s v="Net 30days"/>
    <s v="EXW"/>
    <s v="Yes"/>
    <m/>
    <m/>
    <n v="0"/>
    <n v="534"/>
    <n v="0"/>
    <m/>
    <m/>
    <m/>
    <m/>
    <m/>
    <m/>
    <m/>
    <m/>
    <d v="1900-01-09T00:00:00"/>
    <m/>
    <s v="Received"/>
    <m/>
    <m/>
    <m/>
    <m/>
    <n v="415251811"/>
    <s v="EL01-001904"/>
    <s v="EL01-001904"/>
    <m/>
  </r>
  <r>
    <n v="226"/>
    <d v="2025-09-15T00:00:00"/>
    <n v="400485716"/>
    <s v="EL01-001892-2"/>
    <m/>
    <s v="RUBBER GASKET CHEM. AGENT RES."/>
    <s v="1093R459-003"/>
    <s v="A"/>
    <s v="Gumiyan"/>
    <n v="533"/>
    <s v="EA"/>
    <n v="16.3"/>
    <s v="USD"/>
    <n v="1"/>
    <n v="16.3"/>
    <n v="8687.9"/>
    <s v="VR000290"/>
    <x v="26"/>
    <s v="PO2425U10436"/>
    <d v="2024-10-28T00:00:00"/>
    <s v="Net 30days"/>
    <s v="EXW"/>
    <s v="Yes"/>
    <m/>
    <m/>
    <n v="0"/>
    <n v="523"/>
    <n v="10"/>
    <n v="533"/>
    <m/>
    <m/>
    <m/>
    <m/>
    <m/>
    <m/>
    <m/>
    <d v="1900-01-09T00:00:00"/>
    <m/>
    <m/>
    <m/>
    <m/>
    <m/>
    <m/>
    <n v="400485716"/>
    <s v="EL01-001892"/>
    <s v="EL01-001892"/>
    <n v="163"/>
  </r>
  <r>
    <n v="227"/>
    <d v="2025-09-15T00:00:00"/>
    <n v="414731764"/>
    <s v="EL01-001899-2"/>
    <m/>
    <s v="O-RING"/>
    <s v="1094V797-001"/>
    <n v="-1"/>
    <s v="Gumiyan"/>
    <n v="533"/>
    <s v="EA"/>
    <n v="16.3"/>
    <s v="USD"/>
    <n v="1"/>
    <n v="16.3"/>
    <n v="8687.9"/>
    <s v="VR000290"/>
    <x v="26"/>
    <s v="PO2425U10436"/>
    <d v="2024-10-28T00:00:00"/>
    <s v="Net 30days"/>
    <s v="EXW"/>
    <s v="Yes"/>
    <m/>
    <m/>
    <n v="0"/>
    <n v="533"/>
    <n v="0"/>
    <n v="533"/>
    <m/>
    <m/>
    <m/>
    <m/>
    <m/>
    <m/>
    <m/>
    <d v="1900-01-09T00:00:00"/>
    <m/>
    <m/>
    <m/>
    <m/>
    <m/>
    <m/>
    <n v="414731764"/>
    <s v="EL01-001899"/>
    <s v="EL01-001899"/>
    <m/>
  </r>
  <r>
    <n v="228"/>
    <d v="2025-09-15T00:00:00"/>
    <n v="415251811"/>
    <s v="EL01-001904-2"/>
    <m/>
    <s v="O RING"/>
    <s v="1094V826-001"/>
    <s v="A"/>
    <s v="Gumiyan"/>
    <n v="533"/>
    <s v="EA"/>
    <n v="16.3"/>
    <s v="USD"/>
    <n v="1"/>
    <n v="16.3"/>
    <n v="8687.9"/>
    <s v="VR000290"/>
    <x v="26"/>
    <s v="PO2425U10436"/>
    <d v="2024-10-28T00:00:00"/>
    <s v="Net 30days"/>
    <s v="EXW"/>
    <s v="Yes"/>
    <m/>
    <m/>
    <n v="0"/>
    <n v="533"/>
    <n v="0"/>
    <n v="533"/>
    <m/>
    <m/>
    <m/>
    <m/>
    <m/>
    <m/>
    <m/>
    <d v="1900-01-09T00:00:00"/>
    <m/>
    <m/>
    <m/>
    <m/>
    <m/>
    <m/>
    <n v="415251811"/>
    <s v="EL01-001904"/>
    <s v="EL01-001904"/>
    <m/>
  </r>
  <r>
    <n v="229"/>
    <d v="2024-12-15T00:00:00"/>
    <n v="417983236"/>
    <s v="EL01-001956-1"/>
    <m/>
    <s v="GASKET"/>
    <s v="1099M361-001"/>
    <s v=" -"/>
    <s v="Gumiyan"/>
    <n v="231"/>
    <s v="EA"/>
    <n v="32.5"/>
    <s v="USD"/>
    <n v="1"/>
    <n v="32.5"/>
    <n v="7507.5"/>
    <s v="VR000290"/>
    <x v="26"/>
    <s v="PO2425U10530"/>
    <d v="2024-11-25T00:00:00"/>
    <s v="Net 30 Days"/>
    <s v="EXW"/>
    <s v="Yes"/>
    <m/>
    <m/>
    <n v="0"/>
    <n v="231"/>
    <n v="0"/>
    <m/>
    <m/>
    <m/>
    <m/>
    <m/>
    <m/>
    <m/>
    <m/>
    <d v="1900-01-09T00:00:00"/>
    <m/>
    <m/>
    <m/>
    <m/>
    <m/>
    <m/>
    <n v="417983236"/>
    <s v="EL01-001956"/>
    <s v="EL01-001956"/>
    <m/>
  </r>
  <r>
    <n v="230"/>
    <d v="2024-12-15T00:00:00"/>
    <n v="400942909"/>
    <s v="EL01-002259-1"/>
    <m/>
    <s v="CONN RF ADAPTER SMP (F) / SMP (F) SPRING"/>
    <s v="145-AA11/118"/>
    <m/>
    <s v="HUANG LIANG TECHNOLOGIES CO.,LTD."/>
    <n v="8450"/>
    <s v="EA"/>
    <n v="9.52"/>
    <s v="USD"/>
    <n v="1"/>
    <n v="9.52"/>
    <n v="80444"/>
    <s v="VR000565"/>
    <x v="27"/>
    <s v="PO2425U10593"/>
    <d v="2024-12-06T00:00:00"/>
    <s v="30%Advance balance70% before shipment"/>
    <s v="EXW"/>
    <s v="Yes"/>
    <s v="Received "/>
    <s v="Done"/>
    <n v="0"/>
    <n v="8450"/>
    <n v="0"/>
    <m/>
    <m/>
    <m/>
    <m/>
    <m/>
    <m/>
    <m/>
    <m/>
    <d v="1900-01-09T00:00:00"/>
    <s v="Actual CAT No:410044417"/>
    <m/>
    <m/>
    <m/>
    <m/>
    <m/>
    <n v="410044417"/>
    <s v="EL01-002259"/>
    <s v="EL01-002259"/>
    <m/>
  </r>
  <r>
    <n v="231"/>
    <d v="2024-12-15T00:00:00"/>
    <n v="404188576"/>
    <s v="EL01-001835-1"/>
    <m/>
    <s v="CONN,RF,ADAPTER,SMA JACK 4-HOLE FLANGE T"/>
    <s v="145-A03K/188"/>
    <m/>
    <s v="HUANG LIANG TECHNOLOGIES CO.,LTD."/>
    <n v="801"/>
    <s v="EA"/>
    <n v="18.48"/>
    <s v="USD"/>
    <n v="1"/>
    <n v="18.48"/>
    <n v="14802.48"/>
    <s v="VR000534"/>
    <x v="27"/>
    <s v="PO2425U10466"/>
    <d v="2024-10-28T00:00:00"/>
    <s v="30% Advance balance 70% before shipment"/>
    <s v="EXW"/>
    <s v="Yes"/>
    <s v="Received "/>
    <s v="Done"/>
    <n v="0"/>
    <n v="801"/>
    <n v="0"/>
    <m/>
    <m/>
    <m/>
    <m/>
    <m/>
    <m/>
    <m/>
    <m/>
    <d v="1900-01-09T00:00:00"/>
    <m/>
    <m/>
    <m/>
    <m/>
    <m/>
    <m/>
    <n v="404188576"/>
    <s v="EL01-001835"/>
    <s v="EL01-001835"/>
    <m/>
  </r>
  <r>
    <n v="232"/>
    <d v="2025-06-15T00:00:00"/>
    <n v="404188576"/>
    <s v="EL01-001835-2"/>
    <m/>
    <s v="CONN,RF,ADAPTER,SMA JACK 4-HOLE FLANGE T"/>
    <s v="145-A03K/188"/>
    <m/>
    <s v="HUANG LIANG TECHNOLOGIES CO.,LTD."/>
    <n v="801"/>
    <s v="EA"/>
    <n v="18.48"/>
    <s v="USD"/>
    <n v="1"/>
    <n v="18.48"/>
    <n v="14802.48"/>
    <s v="VR000534"/>
    <x v="27"/>
    <s v="PO2425U10466"/>
    <d v="2024-10-28T00:00:00"/>
    <s v="30% Advance balance 70% before shipment"/>
    <s v="EXW"/>
    <s v="No"/>
    <s v="Received "/>
    <s v="Done"/>
    <n v="0"/>
    <n v="801"/>
    <n v="0"/>
    <m/>
    <m/>
    <m/>
    <m/>
    <m/>
    <m/>
    <m/>
    <m/>
    <d v="1900-01-09T00:00:00"/>
    <m/>
    <m/>
    <m/>
    <m/>
    <m/>
    <m/>
    <n v="404188576"/>
    <s v="EL01-001835"/>
    <s v="EL01-001835"/>
    <m/>
  </r>
  <r>
    <n v="233"/>
    <d v="2025-09-15T00:00:00"/>
    <n v="404188576"/>
    <s v="EL01-001835-3"/>
    <m/>
    <s v="CONN,RF,ADAPTER,SMA JACK 4-HOLE FLANGE T"/>
    <s v="145-A03K/188"/>
    <m/>
    <s v="HUANG LIANG TECHNOLOGIES CO.,LTD."/>
    <n v="801"/>
    <s v="EA"/>
    <n v="18.48"/>
    <s v="USD"/>
    <n v="1"/>
    <n v="18.48"/>
    <n v="14802.48"/>
    <s v="VR000534"/>
    <x v="27"/>
    <s v="PO2425U10466"/>
    <d v="2024-10-28T00:00:00"/>
    <s v="30% Advance balance 70% before shipment"/>
    <s v="EXW"/>
    <s v="No"/>
    <s v="Received "/>
    <s v="Done"/>
    <n v="0"/>
    <n v="801"/>
    <n v="0"/>
    <m/>
    <m/>
    <m/>
    <m/>
    <m/>
    <m/>
    <m/>
    <m/>
    <d v="1900-01-09T00:00:00"/>
    <m/>
    <m/>
    <m/>
    <m/>
    <m/>
    <m/>
    <n v="404188576"/>
    <s v="EL01-001835"/>
    <s v="EL01-001835"/>
    <m/>
  </r>
  <r>
    <n v="234"/>
    <d v="2025-12-15T00:00:00"/>
    <n v="404188576"/>
    <s v="EL01-001835-4"/>
    <m/>
    <s v="CONN,RF,ADAPTER,SMA JACK 4-HOLE FLANGE T"/>
    <s v="145-A03K/188"/>
    <m/>
    <s v="HUANG LIANG TECHNOLOGIES CO.,LTD."/>
    <n v="798"/>
    <s v="EA"/>
    <n v="18.48"/>
    <s v="USD"/>
    <n v="1"/>
    <n v="18.48"/>
    <n v="14747.04"/>
    <s v="VR000534"/>
    <x v="27"/>
    <s v="PO2425U10466"/>
    <d v="2024-10-28T00:00:00"/>
    <s v="30% Advance balance 70% before shipment"/>
    <s v="EXW"/>
    <s v="No"/>
    <s v="Received "/>
    <s v="Done"/>
    <n v="0"/>
    <n v="798"/>
    <n v="0"/>
    <m/>
    <m/>
    <m/>
    <m/>
    <m/>
    <m/>
    <m/>
    <m/>
    <d v="1900-01-09T00:00:00"/>
    <m/>
    <m/>
    <m/>
    <m/>
    <m/>
    <m/>
    <n v="404188576"/>
    <s v="EL01-001835"/>
    <s v="EL01-001835"/>
    <m/>
  </r>
  <r>
    <n v="235"/>
    <d v="2024-12-15T00:00:00"/>
    <n v="418493430"/>
    <s v="EL01-001831-1"/>
    <m/>
    <s v="CBL ASSY COAX SMA(M)-BMA(F) L=712MM"/>
    <s v="01M110-712-60F02M"/>
    <m/>
    <s v="HUANG LIANG TECHNOLOGIES CO.,LTD."/>
    <n v="231"/>
    <s v="EA"/>
    <n v="41.1"/>
    <s v="USD"/>
    <n v="1"/>
    <n v="41.1"/>
    <n v="9494.1"/>
    <s v="VR000565"/>
    <x v="28"/>
    <s v="PO2425U10559"/>
    <d v="2024-11-25T00:00:00"/>
    <s v="30% Advance payment and balance _x000a_70% before shipment for each lot"/>
    <s v="EXW"/>
    <s v="Yes"/>
    <s v="Received "/>
    <s v="Done"/>
    <n v="0"/>
    <n v="231"/>
    <n v="0"/>
    <m/>
    <m/>
    <m/>
    <m/>
    <m/>
    <m/>
    <m/>
    <m/>
    <d v="1900-01-09T00:00:00"/>
    <m/>
    <m/>
    <m/>
    <m/>
    <m/>
    <m/>
    <n v="418493430"/>
    <s v="EL01-001831"/>
    <s v="EL01-001831"/>
    <m/>
  </r>
  <r>
    <n v="236"/>
    <d v="2024-12-15T00:00:00"/>
    <n v="418493422"/>
    <s v="EL01-001832-1"/>
    <m/>
    <s v="CBL ASSY COAX SMA(M)RA-SMA(M)RA L=545MM"/>
    <s v="01M129-545-01M129"/>
    <m/>
    <s v="HUANG LIANG TECHNOLOGIES CO.,LTD."/>
    <n v="232"/>
    <s v="EA"/>
    <n v="34.36"/>
    <s v="USD"/>
    <n v="1"/>
    <n v="34.36"/>
    <n v="7971.5199999999995"/>
    <s v="VR000565"/>
    <x v="28"/>
    <s v="PO2425U10559"/>
    <d v="2024-11-25T00:00:00"/>
    <s v="30% Advance payment and balance _x000a_70% before shipment for each lot"/>
    <s v="EXW"/>
    <s v="Yes"/>
    <s v="Received "/>
    <s v="Done"/>
    <n v="0"/>
    <n v="232"/>
    <n v="0"/>
    <m/>
    <m/>
    <m/>
    <m/>
    <m/>
    <m/>
    <m/>
    <m/>
    <d v="1900-01-09T00:00:00"/>
    <m/>
    <m/>
    <m/>
    <m/>
    <m/>
    <m/>
    <n v="418493422"/>
    <s v="EL01-001832"/>
    <s v="EL01-001832"/>
    <m/>
  </r>
  <r>
    <n v="237"/>
    <d v="2024-12-15T00:00:00"/>
    <n v="418493446"/>
    <s v="EL01-001833-1"/>
    <m/>
    <s v="CBL ASSY COAX SMA(M)RA-SMA(M) L=75.8MM"/>
    <s v="01M129-75.8-01M110"/>
    <m/>
    <s v="HUANG LIANG TECHNOLOGIES CO.,LTD."/>
    <n v="231"/>
    <s v="EA"/>
    <n v="32.53"/>
    <s v="USD"/>
    <n v="1"/>
    <n v="32.53"/>
    <n v="7514.43"/>
    <s v="VR000565"/>
    <x v="28"/>
    <s v="PO2425U10559"/>
    <d v="2024-11-25T00:00:00"/>
    <s v="30% Advance payment and balance _x000a_70% before shipment for each lot"/>
    <s v="EXW"/>
    <s v="Yes"/>
    <s v="Received "/>
    <s v="Done"/>
    <n v="0"/>
    <n v="231"/>
    <n v="0"/>
    <m/>
    <m/>
    <m/>
    <m/>
    <m/>
    <m/>
    <m/>
    <m/>
    <d v="1900-01-09T00:00:00"/>
    <m/>
    <m/>
    <m/>
    <m/>
    <m/>
    <m/>
    <n v="418493446"/>
    <s v="EL01-001833"/>
    <s v="EL01-001833"/>
    <m/>
  </r>
  <r>
    <n v="238"/>
    <d v="2024-12-15T00:00:00"/>
    <n v="418521484"/>
    <s v="EL01-001834-1"/>
    <m/>
    <s v="SMA P. AU.+305+SAM J. AU"/>
    <s v="01M12R-305-60F17K"/>
    <m/>
    <s v="HUANG LIANG TECHNOLOGIES CO.,LTD."/>
    <n v="7450"/>
    <s v="EA"/>
    <n v="19.95"/>
    <s v="USD"/>
    <n v="1"/>
    <n v="19.95"/>
    <n v="148627.5"/>
    <s v="VR000565"/>
    <x v="28"/>
    <s v="PO2425U10559"/>
    <d v="2024-11-25T00:00:00"/>
    <s v="30% Advance payment and balance _x000a_70% before shipment for each lot"/>
    <s v="EXW"/>
    <s v="Yes"/>
    <s v="Received "/>
    <s v="Done"/>
    <n v="0"/>
    <n v="7450"/>
    <n v="0"/>
    <m/>
    <m/>
    <m/>
    <m/>
    <m/>
    <m/>
    <m/>
    <m/>
    <d v="1900-01-09T00:00:00"/>
    <m/>
    <m/>
    <m/>
    <m/>
    <m/>
    <m/>
    <n v="418521484"/>
    <s v="EL01-001834"/>
    <s v="EL01-001834"/>
    <m/>
  </r>
  <r>
    <n v="239"/>
    <d v="2025-06-15T00:00:00"/>
    <n v="418521484"/>
    <s v="EL01-001834-2"/>
    <m/>
    <s v="SMA P. AU.+305+SAM J. AU"/>
    <s v="01M12R-305-60F17K"/>
    <m/>
    <s v="HUANG LIANG TECHNOLOGIES CO.,LTD."/>
    <n v="7450"/>
    <s v="EA"/>
    <n v="19.95"/>
    <s v="USD"/>
    <n v="1"/>
    <n v="19.95"/>
    <n v="148627.5"/>
    <s v="VR000565"/>
    <x v="28"/>
    <s v="PO2425U10559"/>
    <d v="2024-11-25T00:00:00"/>
    <s v="30% Advance payment and balance _x000a_70% before shipment for each lot"/>
    <s v="EXW"/>
    <m/>
    <m/>
    <m/>
    <n v="0"/>
    <n v="7450"/>
    <n v="0"/>
    <m/>
    <m/>
    <m/>
    <m/>
    <m/>
    <m/>
    <m/>
    <m/>
    <d v="1900-01-09T00:00:00"/>
    <m/>
    <m/>
    <m/>
    <m/>
    <m/>
    <m/>
    <n v="418521484"/>
    <s v="EL01-001834"/>
    <s v="EL01-001834"/>
    <m/>
  </r>
  <r>
    <n v="240"/>
    <d v="2025-09-15T00:00:00"/>
    <n v="418521484"/>
    <s v="EL01-001834-3"/>
    <m/>
    <s v="SMA P. AU.+305+SAM J. AU"/>
    <s v="01M12R-305-60F17K"/>
    <m/>
    <s v="HUANG LIANG TECHNOLOGIES CO.,LTD."/>
    <n v="7450"/>
    <s v="EA"/>
    <n v="19.95"/>
    <s v="USD"/>
    <n v="1"/>
    <n v="19.95"/>
    <n v="148627.5"/>
    <s v="VR000565"/>
    <x v="28"/>
    <s v="PO2425U10559"/>
    <d v="2024-11-25T00:00:00"/>
    <s v="30% Advance payment and balance _x000a_70% before shipment for each lot"/>
    <s v="EXW"/>
    <m/>
    <m/>
    <m/>
    <n v="0"/>
    <n v="7450"/>
    <n v="0"/>
    <m/>
    <m/>
    <m/>
    <m/>
    <m/>
    <m/>
    <m/>
    <m/>
    <d v="1900-01-09T00:00:00"/>
    <m/>
    <m/>
    <m/>
    <m/>
    <m/>
    <m/>
    <n v="418521484"/>
    <s v="EL01-001834"/>
    <s v="EL01-001834"/>
    <m/>
  </r>
  <r>
    <n v="241"/>
    <d v="2025-12-15T00:00:00"/>
    <n v="418521484"/>
    <s v="EL01-001834-4"/>
    <m/>
    <s v="SMA P. AU.+305+SAM J. AU"/>
    <s v="01M12R-305-60F17K"/>
    <m/>
    <s v="HUANG LIANG TECHNOLOGIES CO.,LTD."/>
    <n v="7449"/>
    <s v="EA"/>
    <n v="19.95"/>
    <s v="USD"/>
    <n v="1"/>
    <n v="19.95"/>
    <n v="148607.54999999999"/>
    <s v="VR000565"/>
    <x v="28"/>
    <s v="PO2425U10559"/>
    <d v="2024-11-25T00:00:00"/>
    <s v="30% Advance payment and balance _x000a_70% before shipment for each lot"/>
    <s v="EXW"/>
    <m/>
    <m/>
    <m/>
    <n v="0"/>
    <n v="0"/>
    <n v="7449"/>
    <n v="7449"/>
    <m/>
    <m/>
    <m/>
    <d v="2026-03-06T00:00:00"/>
    <m/>
    <m/>
    <m/>
    <d v="2026-03-16T00:00:00"/>
    <m/>
    <m/>
    <m/>
    <m/>
    <m/>
    <m/>
    <n v="418521484"/>
    <s v="EL01-001834"/>
    <s v="EL01-001834"/>
    <n v="148607.54999999999"/>
  </r>
  <r>
    <n v="242"/>
    <d v="2024-12-15T00:00:00"/>
    <n v="415424091"/>
    <s v="EL01-001886-1"/>
    <m/>
    <s v="ADAPTOR"/>
    <s v="1038H565-001"/>
    <s v="A"/>
    <s v="HUANG LIANG TECHNOLOGIES CO.,LTD."/>
    <n v="8085"/>
    <s v="EA"/>
    <n v="35.72"/>
    <s v="USD"/>
    <n v="1"/>
    <n v="35.72"/>
    <n v="288796.2"/>
    <s v="VR000565"/>
    <x v="28"/>
    <s v="PO2425U10559"/>
    <d v="2024-11-25T00:00:00"/>
    <s v="30% Advance payment and balance _x000a_70% before shipment for each lot"/>
    <s v="EXW"/>
    <m/>
    <s v="Received "/>
    <s v="Done"/>
    <n v="0"/>
    <n v="8085"/>
    <n v="0"/>
    <m/>
    <m/>
    <m/>
    <m/>
    <m/>
    <m/>
    <m/>
    <m/>
    <d v="1900-01-09T00:00:00"/>
    <m/>
    <m/>
    <m/>
    <n v="2000"/>
    <m/>
    <m/>
    <n v="415424091"/>
    <s v="EL01-001886"/>
    <s v="EL01-001886"/>
    <m/>
  </r>
  <r>
    <n v="243"/>
    <d v="2025-06-15T00:00:00"/>
    <n v="415424091"/>
    <s v="EL01-001886-2"/>
    <m/>
    <s v="ADAPTOR"/>
    <s v="1038H565-001"/>
    <s v="A"/>
    <s v="HUANG LIANG TECHNOLOGIES CO.,LTD."/>
    <n v="8085"/>
    <s v="EA"/>
    <n v="35.72"/>
    <s v="USD"/>
    <n v="1"/>
    <n v="35.72"/>
    <n v="288796.2"/>
    <s v="VR000565"/>
    <x v="28"/>
    <s v="PO2425U10559"/>
    <d v="2024-11-25T00:00:00"/>
    <s v="30% Advance payment and balance _x000a_70% before shipment for each lot"/>
    <s v="EXW"/>
    <m/>
    <m/>
    <m/>
    <n v="0"/>
    <n v="8085"/>
    <n v="0"/>
    <m/>
    <m/>
    <m/>
    <m/>
    <m/>
    <m/>
    <m/>
    <m/>
    <d v="1900-01-09T00:00:00"/>
    <m/>
    <m/>
    <m/>
    <m/>
    <m/>
    <m/>
    <n v="415424091"/>
    <s v="EL01-001886"/>
    <s v="EL01-001886"/>
    <m/>
  </r>
  <r>
    <n v="244"/>
    <d v="2025-09-15T00:00:00"/>
    <n v="415424091"/>
    <s v="EL01-001886-3"/>
    <m/>
    <s v="ADAPTOR"/>
    <s v="1038H565-001"/>
    <s v="A"/>
    <s v="HUANG LIANG TECHNOLOGIES CO.,LTD."/>
    <n v="8085"/>
    <s v="EA"/>
    <n v="35.72"/>
    <s v="USD"/>
    <n v="1"/>
    <n v="35.72"/>
    <n v="288796.2"/>
    <s v="VR000565"/>
    <x v="28"/>
    <s v="PO2425U10559"/>
    <d v="2024-11-25T00:00:00"/>
    <s v="30% Advance payment and balance _x000a_70% before shipment for each lot"/>
    <s v="EXW"/>
    <m/>
    <m/>
    <m/>
    <n v="0"/>
    <n v="8085"/>
    <n v="0"/>
    <m/>
    <m/>
    <m/>
    <m/>
    <m/>
    <m/>
    <m/>
    <m/>
    <d v="1900-01-09T00:00:00"/>
    <m/>
    <m/>
    <m/>
    <m/>
    <m/>
    <m/>
    <n v="415424091"/>
    <s v="EL01-001886"/>
    <s v="EL01-001886"/>
    <m/>
  </r>
  <r>
    <n v="245"/>
    <d v="2025-12-15T00:00:00"/>
    <n v="415424091"/>
    <s v="EL01-001886-4"/>
    <m/>
    <s v="ADAPTOR"/>
    <s v="1038H565-001"/>
    <s v="A"/>
    <s v="HUANG LIANG TECHNOLOGIES CO.,LTD."/>
    <n v="8085"/>
    <s v="EA"/>
    <n v="35.72"/>
    <s v="USD"/>
    <n v="1"/>
    <n v="35.72"/>
    <n v="288796.2"/>
    <s v="VR000565"/>
    <x v="28"/>
    <s v="PO2425U10559"/>
    <d v="2024-11-25T00:00:00"/>
    <s v="30% Advance payment and balance _x000a_70% before shipment for each lot"/>
    <s v="EXW"/>
    <m/>
    <m/>
    <m/>
    <n v="0"/>
    <n v="0"/>
    <n v="8085"/>
    <n v="4000"/>
    <n v="4085"/>
    <m/>
    <m/>
    <d v="2026-03-13T00:00:00"/>
    <d v="2026-03-24T00:00:00"/>
    <m/>
    <m/>
    <d v="2026-03-23T00:00:00"/>
    <m/>
    <m/>
    <m/>
    <m/>
    <m/>
    <m/>
    <n v="415424091"/>
    <s v="EL01-001886"/>
    <s v="EL01-001886"/>
    <n v="288796.2"/>
  </r>
  <r>
    <n v="246"/>
    <d v="2024-12-15T00:00:00"/>
    <n v="414531927"/>
    <s v="EL01-001922-1"/>
    <m/>
    <s v="SR CAL TYPE 1"/>
    <s v="1099M224-001"/>
    <s v="B"/>
    <s v="HUANG LIANG TECHNOLOGIES CO.,LTD."/>
    <n v="462"/>
    <s v="EA"/>
    <n v="55.87"/>
    <s v="USD"/>
    <n v="1"/>
    <n v="55.87"/>
    <n v="25811.94"/>
    <s v="VR000565"/>
    <x v="28"/>
    <s v="PO2425U10559"/>
    <d v="2024-11-25T00:00:00"/>
    <s v="30% Advance payment and balance _x000a_70% before shipment for each lot"/>
    <s v="EXW"/>
    <s v="Yes"/>
    <s v="Received "/>
    <s v="Done"/>
    <n v="0"/>
    <n v="462"/>
    <n v="0"/>
    <m/>
    <m/>
    <m/>
    <m/>
    <m/>
    <m/>
    <m/>
    <m/>
    <d v="1900-01-09T00:00:00"/>
    <m/>
    <m/>
    <m/>
    <m/>
    <m/>
    <m/>
    <n v="414531927"/>
    <s v="EL01-001922"/>
    <s v="EL01-001922"/>
    <m/>
  </r>
  <r>
    <n v="247"/>
    <d v="2025-06-15T00:00:00"/>
    <n v="414531927"/>
    <s v="EL01-001922-2"/>
    <m/>
    <s v="SR CAL TYPE 1"/>
    <s v="1099M224-001"/>
    <s v="B"/>
    <s v="HUANG LIANG TECHNOLOGIES CO.,LTD."/>
    <n v="462"/>
    <s v="EA"/>
    <n v="55.87"/>
    <s v="USD"/>
    <n v="1"/>
    <n v="55.87"/>
    <n v="25811.94"/>
    <s v="VR000565"/>
    <x v="28"/>
    <s v="PO2425U10559"/>
    <d v="2024-11-25T00:00:00"/>
    <s v="30% Advance payment and balance _x000a_70% before shipment for each lot"/>
    <s v="EXW"/>
    <m/>
    <m/>
    <m/>
    <n v="0"/>
    <n v="462"/>
    <n v="0"/>
    <m/>
    <m/>
    <m/>
    <m/>
    <m/>
    <m/>
    <m/>
    <m/>
    <d v="1900-01-09T00:00:00"/>
    <m/>
    <m/>
    <m/>
    <m/>
    <m/>
    <m/>
    <n v="414531927"/>
    <s v="EL01-001922"/>
    <s v="EL01-001922"/>
    <m/>
  </r>
  <r>
    <n v="248"/>
    <d v="2025-09-15T00:00:00"/>
    <n v="414531927"/>
    <s v="EL01-001922-3"/>
    <m/>
    <s v="SR CAL TYPE 1"/>
    <s v="1099M224-001"/>
    <s v="B"/>
    <s v="HUANG LIANG TECHNOLOGIES CO.,LTD."/>
    <n v="462"/>
    <s v="EA"/>
    <n v="55.87"/>
    <s v="USD"/>
    <n v="1"/>
    <n v="55.87"/>
    <n v="25811.94"/>
    <s v="VR000565"/>
    <x v="28"/>
    <s v="PO2425U10559"/>
    <d v="2024-11-25T00:00:00"/>
    <s v="30% Advance payment and balance _x000a_70% before shipment for each lot"/>
    <s v="EXW"/>
    <m/>
    <m/>
    <m/>
    <n v="0"/>
    <n v="462"/>
    <n v="0"/>
    <m/>
    <m/>
    <m/>
    <m/>
    <m/>
    <m/>
    <m/>
    <m/>
    <d v="1900-01-09T00:00:00"/>
    <m/>
    <m/>
    <m/>
    <m/>
    <m/>
    <m/>
    <n v="414531927"/>
    <s v="EL01-001922"/>
    <s v="EL01-001922"/>
    <m/>
  </r>
  <r>
    <n v="249"/>
    <d v="2025-12-15T00:00:00"/>
    <n v="414531927"/>
    <s v="EL01-001922-4"/>
    <m/>
    <s v="SR CAL TYPE 1"/>
    <s v="1099M224-001"/>
    <s v="B"/>
    <s v="HUANG LIANG TECHNOLOGIES CO.,LTD."/>
    <n v="462"/>
    <s v="EA"/>
    <n v="55.87"/>
    <s v="USD"/>
    <n v="1"/>
    <n v="55.87"/>
    <n v="25811.94"/>
    <s v="VR000565"/>
    <x v="28"/>
    <s v="PO2425U10559"/>
    <d v="2024-11-25T00:00:00"/>
    <s v="30% Advance payment and balance _x000a_70% before shipment for each lot"/>
    <s v="EXW"/>
    <m/>
    <m/>
    <m/>
    <n v="0"/>
    <n v="0"/>
    <n v="462"/>
    <n v="462"/>
    <m/>
    <m/>
    <m/>
    <d v="2026-03-06T00:00:00"/>
    <m/>
    <m/>
    <m/>
    <d v="2026-03-16T00:00:00"/>
    <m/>
    <m/>
    <m/>
    <m/>
    <m/>
    <m/>
    <n v="414531927"/>
    <s v="EL01-001922"/>
    <s v="EL01-001922"/>
    <n v="25811.94"/>
  </r>
  <r>
    <n v="250"/>
    <d v="2024-12-15T00:00:00"/>
    <n v="414531928"/>
    <s v="EL01-001923-1"/>
    <m/>
    <s v="SR CAL TYPE 2"/>
    <s v="1099M225-001"/>
    <s v="A"/>
    <s v="HUANG LIANG TECHNOLOGIES CO.,LTD."/>
    <n v="462"/>
    <s v="EA"/>
    <n v="55.87"/>
    <s v="USD"/>
    <n v="1"/>
    <n v="55.87"/>
    <n v="25811.94"/>
    <s v="VR000565"/>
    <x v="28"/>
    <s v="PO2425U10559"/>
    <d v="2024-11-25T00:00:00"/>
    <s v="30% Advance payment and balance _x000a_70% before shipment for each lot"/>
    <s v="EXW"/>
    <s v="Yes"/>
    <s v="Received "/>
    <s v="Done"/>
    <n v="0"/>
    <n v="462"/>
    <n v="0"/>
    <m/>
    <m/>
    <m/>
    <m/>
    <m/>
    <m/>
    <m/>
    <m/>
    <d v="1900-01-09T00:00:00"/>
    <m/>
    <m/>
    <m/>
    <m/>
    <m/>
    <m/>
    <n v="414531928"/>
    <s v="EL01-001923"/>
    <s v="EL01-001923"/>
    <m/>
  </r>
  <r>
    <n v="251"/>
    <d v="2025-06-15T00:00:00"/>
    <n v="414531928"/>
    <s v="EL01-001923-2"/>
    <m/>
    <s v="SR CAL TYPE 2"/>
    <s v="1099M225-001"/>
    <s v="A"/>
    <s v="HUANG LIANG TECHNOLOGIES CO.,LTD."/>
    <n v="462"/>
    <s v="EA"/>
    <n v="55.87"/>
    <s v="USD"/>
    <n v="1"/>
    <n v="55.87"/>
    <n v="25811.94"/>
    <s v="VR000565"/>
    <x v="28"/>
    <s v="PO2425U10559"/>
    <d v="2024-11-25T00:00:00"/>
    <s v="30% Advance payment and balance _x000a_70% before shipment for each lot"/>
    <s v="EXW"/>
    <m/>
    <m/>
    <m/>
    <n v="0"/>
    <n v="462"/>
    <n v="0"/>
    <m/>
    <m/>
    <m/>
    <m/>
    <m/>
    <m/>
    <m/>
    <m/>
    <d v="1900-01-09T00:00:00"/>
    <m/>
    <m/>
    <m/>
    <m/>
    <m/>
    <m/>
    <n v="414531928"/>
    <s v="EL01-001923"/>
    <s v="EL01-001923"/>
    <m/>
  </r>
  <r>
    <n v="252"/>
    <d v="2025-09-15T00:00:00"/>
    <n v="414531928"/>
    <s v="EL01-001923-3"/>
    <m/>
    <s v="SR CAL TYPE 2"/>
    <s v="1099M225-001"/>
    <s v="A"/>
    <s v="HUANG LIANG TECHNOLOGIES CO.,LTD."/>
    <n v="462"/>
    <s v="EA"/>
    <n v="55.87"/>
    <s v="USD"/>
    <n v="1"/>
    <n v="55.87"/>
    <n v="25811.94"/>
    <s v="VR000565"/>
    <x v="28"/>
    <s v="PO2425U10559"/>
    <d v="2024-11-25T00:00:00"/>
    <s v="30% Advance payment and balance _x000a_70% before shipment for each lot"/>
    <s v="EXW"/>
    <m/>
    <m/>
    <m/>
    <n v="0"/>
    <n v="462"/>
    <n v="0"/>
    <m/>
    <m/>
    <m/>
    <m/>
    <m/>
    <m/>
    <m/>
    <m/>
    <d v="1900-01-09T00:00:00"/>
    <m/>
    <m/>
    <m/>
    <m/>
    <m/>
    <m/>
    <n v="414531928"/>
    <s v="EL01-001923"/>
    <s v="EL01-001923"/>
    <m/>
  </r>
  <r>
    <n v="253"/>
    <d v="2025-12-15T00:00:00"/>
    <n v="414531928"/>
    <s v="EL01-001923-4"/>
    <m/>
    <s v="SR CAL TYPE 2"/>
    <s v="1099M225-001"/>
    <s v="A"/>
    <s v="HUANG LIANG TECHNOLOGIES CO.,LTD."/>
    <n v="462"/>
    <s v="EA"/>
    <n v="55.87"/>
    <s v="USD"/>
    <n v="1"/>
    <n v="55.87"/>
    <n v="25811.94"/>
    <s v="VR000565"/>
    <x v="28"/>
    <s v="PO2425U10559"/>
    <d v="2024-11-25T00:00:00"/>
    <s v="30% Advance payment and balance _x000a_70% before shipment for each lot"/>
    <s v="EXW"/>
    <m/>
    <m/>
    <m/>
    <n v="0"/>
    <n v="0"/>
    <n v="462"/>
    <n v="462"/>
    <m/>
    <m/>
    <m/>
    <d v="2026-03-06T00:00:00"/>
    <m/>
    <m/>
    <m/>
    <d v="2026-03-16T00:00:00"/>
    <m/>
    <m/>
    <m/>
    <m/>
    <m/>
    <m/>
    <n v="414531928"/>
    <s v="EL01-001923"/>
    <s v="EL01-001923"/>
    <n v="25811.94"/>
  </r>
  <r>
    <n v="254"/>
    <d v="2024-12-15T00:00:00"/>
    <n v="414531925"/>
    <s v="EL01-001924-1"/>
    <m/>
    <s v="SMA TERMINAL"/>
    <s v="1099M229-001"/>
    <s v=" -"/>
    <s v="HUANG LIANG TECHNOLOGIES CO.,LTD."/>
    <n v="7450"/>
    <s v="EA"/>
    <n v="4.28"/>
    <s v="USD"/>
    <n v="1"/>
    <n v="4.28"/>
    <n v="31886.000000000004"/>
    <s v="VR000565"/>
    <x v="28"/>
    <s v="PO2425U10559"/>
    <d v="2024-11-25T00:00:00"/>
    <s v="30% Advance payment and balance _x000a_70% before shipment for each lot"/>
    <s v="EXW"/>
    <s v="Yes"/>
    <s v="Received "/>
    <s v="Done"/>
    <n v="0"/>
    <n v="7450"/>
    <n v="0"/>
    <m/>
    <m/>
    <m/>
    <m/>
    <m/>
    <m/>
    <m/>
    <m/>
    <d v="1900-01-09T00:00:00"/>
    <m/>
    <m/>
    <m/>
    <m/>
    <m/>
    <m/>
    <n v="414531925"/>
    <s v="EL01-001924"/>
    <s v="EL01-001924"/>
    <m/>
  </r>
  <r>
    <n v="255"/>
    <d v="2025-06-15T00:00:00"/>
    <n v="414531925"/>
    <s v="EL01-001924-2"/>
    <m/>
    <s v="SMA TERMINAL"/>
    <s v="1099M229-001"/>
    <s v=" -"/>
    <s v="HUANG LIANG TECHNOLOGIES CO.,LTD."/>
    <n v="7450"/>
    <s v="EA"/>
    <n v="4.28"/>
    <s v="USD"/>
    <n v="1"/>
    <n v="4.28"/>
    <n v="31886.000000000004"/>
    <s v="VR000565"/>
    <x v="28"/>
    <s v="PO2425U10559"/>
    <d v="2024-11-25T00:00:00"/>
    <s v="30% Advance payment and balance _x000a_70% before shipment for each lot"/>
    <s v="EXW"/>
    <m/>
    <m/>
    <m/>
    <n v="0"/>
    <n v="7450"/>
    <n v="0"/>
    <m/>
    <m/>
    <m/>
    <m/>
    <m/>
    <m/>
    <m/>
    <m/>
    <d v="1900-01-09T00:00:00"/>
    <m/>
    <m/>
    <m/>
    <m/>
    <m/>
    <m/>
    <n v="414531925"/>
    <s v="EL01-001924"/>
    <s v="EL01-001924"/>
    <m/>
  </r>
  <r>
    <n v="256"/>
    <d v="2025-09-15T00:00:00"/>
    <n v="414531925"/>
    <s v="EL01-001924-3"/>
    <m/>
    <s v="SMA TERMINAL"/>
    <s v="1099M229-001"/>
    <s v=" -"/>
    <s v="HUANG LIANG TECHNOLOGIES CO.,LTD."/>
    <n v="7450"/>
    <s v="EA"/>
    <n v="4.28"/>
    <s v="USD"/>
    <n v="1"/>
    <n v="4.28"/>
    <n v="31886.000000000004"/>
    <s v="VR000565"/>
    <x v="28"/>
    <s v="PO2425U10559"/>
    <d v="2024-11-25T00:00:00"/>
    <s v="30% Advance payment and balance _x000a_70% before shipment for each lot"/>
    <s v="EXW"/>
    <m/>
    <m/>
    <m/>
    <n v="0"/>
    <n v="7450"/>
    <n v="0"/>
    <m/>
    <m/>
    <m/>
    <m/>
    <m/>
    <m/>
    <m/>
    <m/>
    <d v="1900-01-09T00:00:00"/>
    <m/>
    <m/>
    <m/>
    <m/>
    <m/>
    <m/>
    <n v="414531925"/>
    <s v="EL01-001924"/>
    <s v="EL01-001924"/>
    <m/>
  </r>
  <r>
    <n v="257"/>
    <d v="2025-12-15T00:00:00"/>
    <n v="414531925"/>
    <s v="EL01-001924-4"/>
    <m/>
    <s v="SMA TERMINAL"/>
    <s v="1099M229-001"/>
    <s v=" -"/>
    <s v="HUANG LIANG TECHNOLOGIES CO.,LTD."/>
    <n v="7449"/>
    <s v="EA"/>
    <n v="4.28"/>
    <s v="USD"/>
    <n v="1"/>
    <n v="4.28"/>
    <n v="31881.72"/>
    <s v="VR000565"/>
    <x v="28"/>
    <s v="PO2425U10559"/>
    <d v="2024-11-25T00:00:00"/>
    <s v="30% Advance payment and balance _x000a_70% before shipment for each lot"/>
    <s v="EXW"/>
    <m/>
    <m/>
    <m/>
    <n v="0"/>
    <n v="0"/>
    <n v="7449"/>
    <n v="7449"/>
    <m/>
    <m/>
    <m/>
    <d v="2026-03-06T00:00:00"/>
    <m/>
    <m/>
    <m/>
    <d v="2026-03-16T00:00:00"/>
    <m/>
    <m/>
    <m/>
    <m/>
    <m/>
    <m/>
    <n v="414531925"/>
    <s v="EL01-001924"/>
    <s v="EL01-001924"/>
    <n v="31881.72"/>
  </r>
  <r>
    <n v="258"/>
    <d v="2025-09-15T00:00:00"/>
    <n v="418493422"/>
    <s v="EL01-001832-2"/>
    <m/>
    <s v="CBL ASSY COAX SMA(M)RA-SMA(M)RA L=545MM"/>
    <s v="01M129-545-01M129"/>
    <m/>
    <s v="HUANG LIANG TECHNOLOGIES CO.,LTD."/>
    <n v="230"/>
    <s v="EA"/>
    <n v="34.36"/>
    <s v="USD"/>
    <n v="1"/>
    <n v="34.36"/>
    <n v="7902.8"/>
    <s v="VR000565"/>
    <x v="28"/>
    <s v="PO2425U10559"/>
    <d v="2024-11-25T00:00:00"/>
    <s v="30% Advance payment and balance _x000a_70% before shipment for each lot"/>
    <s v="EXW"/>
    <m/>
    <m/>
    <m/>
    <n v="0"/>
    <n v="230"/>
    <n v="0"/>
    <m/>
    <m/>
    <m/>
    <m/>
    <m/>
    <m/>
    <m/>
    <m/>
    <d v="1900-01-09T00:00:00"/>
    <m/>
    <m/>
    <m/>
    <m/>
    <m/>
    <m/>
    <n v="418493422"/>
    <s v="EL01-001832"/>
    <s v="EL01-001832"/>
    <m/>
  </r>
  <r>
    <n v="259"/>
    <d v="2024-12-15T00:00:00"/>
    <n v="401354460"/>
    <s v="EL01-001812-1"/>
    <m/>
    <s v="CHIP RESISTOR HIGH POWER 50 OHM 2%"/>
    <s v="NGC-1206CS50R0G"/>
    <m/>
    <s v="INTERNATIONAL MANUFACTURING SERVICE"/>
    <n v="10500"/>
    <s v="EA"/>
    <n v="1.27"/>
    <s v="USD"/>
    <n v="1"/>
    <n v="1.27"/>
    <n v="13335"/>
    <s v="VR000510"/>
    <x v="29"/>
    <s v="PO2425U10440"/>
    <d v="2024-10-29T00:00:00"/>
    <s v="100% Advance"/>
    <s v="EXW"/>
    <s v="Yes"/>
    <s v="Received "/>
    <m/>
    <n v="0"/>
    <n v="10500"/>
    <n v="0"/>
    <m/>
    <m/>
    <m/>
    <m/>
    <m/>
    <m/>
    <m/>
    <m/>
    <d v="1900-01-09T00:00:00"/>
    <m/>
    <m/>
    <m/>
    <m/>
    <m/>
    <m/>
    <n v="401354460"/>
    <s v="EL01-001812"/>
    <s v="EL01-001812"/>
    <m/>
  </r>
  <r>
    <n v="260"/>
    <d v="2025-06-15T00:00:00"/>
    <n v="401354460"/>
    <s v="EL01-001812-2"/>
    <m/>
    <s v="CHIP RESISTOR HIGH POWER 50 OHM 2%"/>
    <s v="NGC-1206CS50R0G"/>
    <m/>
    <s v="INTERNATIONAL MANUFACTURING SERVICE"/>
    <n v="10500"/>
    <s v="EA"/>
    <n v="1.27"/>
    <s v="USD"/>
    <n v="1"/>
    <n v="1.27"/>
    <n v="13335"/>
    <s v="VR000510"/>
    <x v="29"/>
    <s v="PO2425U10440"/>
    <d v="2024-10-29T00:00:00"/>
    <s v="100% Advance"/>
    <s v="EXW"/>
    <s v="Yes"/>
    <s v="Received "/>
    <m/>
    <n v="0"/>
    <n v="10500"/>
    <n v="0"/>
    <m/>
    <m/>
    <m/>
    <m/>
    <m/>
    <m/>
    <m/>
    <m/>
    <d v="1900-01-09T00:00:00"/>
    <m/>
    <m/>
    <m/>
    <m/>
    <m/>
    <m/>
    <n v="401354460"/>
    <s v="EL01-001812"/>
    <s v="EL01-001812"/>
    <m/>
  </r>
  <r>
    <n v="261"/>
    <d v="2025-09-15T00:00:00"/>
    <n v="401354460"/>
    <s v="EL01-001812-3"/>
    <m/>
    <s v="CHIP RESISTOR HIGH POWER 50 OHM 2%"/>
    <s v="NGC-1206CS50R0G"/>
    <m/>
    <s v="INTERNATIONAL MANUFACTURING SERVICE"/>
    <n v="7000"/>
    <s v="EA"/>
    <n v="1.27"/>
    <s v="USD"/>
    <n v="1"/>
    <n v="1.27"/>
    <n v="8890"/>
    <s v="VR000510"/>
    <x v="29"/>
    <s v="PO2425U10440"/>
    <d v="2024-10-29T00:00:00"/>
    <s v="100% Advance"/>
    <s v="EXW"/>
    <s v="Yes"/>
    <s v="Received "/>
    <m/>
    <n v="0"/>
    <n v="7000"/>
    <n v="0"/>
    <m/>
    <m/>
    <m/>
    <m/>
    <m/>
    <m/>
    <m/>
    <m/>
    <d v="1900-01-09T00:00:00"/>
    <m/>
    <m/>
    <m/>
    <m/>
    <m/>
    <m/>
    <n v="401354460"/>
    <s v="EL01-001812"/>
    <s v="EL01-001812"/>
    <m/>
  </r>
  <r>
    <n v="262"/>
    <d v="2025-12-15T00:00:00"/>
    <n v="401354460"/>
    <s v="EL01-001812-4"/>
    <m/>
    <s v="CHIP RESISTOR HIGH POWER 50 OHM 2%"/>
    <s v="NGC-1206CS50R0G"/>
    <m/>
    <s v="INTERNATIONAL MANUFACTURING SERVICE"/>
    <n v="10500"/>
    <s v="EA"/>
    <n v="1.27"/>
    <s v="USD"/>
    <n v="1"/>
    <n v="1.27"/>
    <n v="13335"/>
    <s v="VR000510"/>
    <x v="29"/>
    <s v="PO2425U10440"/>
    <d v="2024-10-29T00:00:00"/>
    <s v="100% Advance"/>
    <s v="EXW"/>
    <s v="Yes"/>
    <s v="Received "/>
    <m/>
    <n v="0"/>
    <n v="10500"/>
    <n v="0"/>
    <m/>
    <m/>
    <m/>
    <m/>
    <m/>
    <m/>
    <m/>
    <m/>
    <d v="1900-01-09T00:00:00"/>
    <m/>
    <m/>
    <m/>
    <m/>
    <m/>
    <m/>
    <n v="401354460"/>
    <s v="EL01-001812"/>
    <s v="EL01-001812"/>
    <m/>
  </r>
  <r>
    <n v="263"/>
    <d v="2024-12-15T00:00:00"/>
    <n v="401501905"/>
    <s v="EL01-001811-1"/>
    <m/>
    <s v="ATTENUATOR IAX SERIES SMT WRAPAROUND 2DB"/>
    <s v="IAC-2512-WA-02-D0"/>
    <m/>
    <s v="INTERNATIONAL MANUFACTURING SERVICE"/>
    <n v="2000"/>
    <s v="EA"/>
    <n v="2.16"/>
    <s v="USD"/>
    <n v="1"/>
    <n v="2.16"/>
    <n v="4320"/>
    <s v="VR000510"/>
    <x v="29"/>
    <s v="PO2425U10440"/>
    <d v="2024-10-29T00:00:00"/>
    <s v="100% Advance"/>
    <s v="EXW"/>
    <s v="Yes"/>
    <s v="Received "/>
    <m/>
    <n v="0"/>
    <n v="2000"/>
    <n v="0"/>
    <m/>
    <m/>
    <m/>
    <m/>
    <m/>
    <m/>
    <m/>
    <m/>
    <d v="1900-01-09T00:00:00"/>
    <m/>
    <m/>
    <m/>
    <m/>
    <m/>
    <m/>
    <n v="401501905"/>
    <s v="EL01-001811"/>
    <s v="EL01-001811"/>
    <m/>
  </r>
  <r>
    <n v="264"/>
    <d v="2024-12-25T00:00:00"/>
    <n v="418969713"/>
    <s v="EL01-001869-1"/>
    <m/>
    <s v="SEAL SCREW,THREAD 1/4&quot;-28UNF,HEX SOCKET"/>
    <s v="1/4-28X7/8SOCCAP316SSSIL"/>
    <m/>
    <s v="ZAGO"/>
    <n v="4400"/>
    <s v="EA"/>
    <n v="0.88900000000000001"/>
    <s v="USD"/>
    <n v="1"/>
    <n v="0.88900000000000001"/>
    <n v="3911.6"/>
    <s v="VR000099"/>
    <x v="30"/>
    <s v="PO2425U10531"/>
    <d v="2024-11-25T00:00:00"/>
    <s v="100% Advance"/>
    <s v="EXW"/>
    <s v="Yes"/>
    <m/>
    <m/>
    <n v="0"/>
    <n v="4390"/>
    <n v="10"/>
    <m/>
    <m/>
    <m/>
    <m/>
    <m/>
    <m/>
    <m/>
    <m/>
    <d v="1900-01-09T00:00:00"/>
    <m/>
    <m/>
    <m/>
    <m/>
    <m/>
    <m/>
    <n v="418969713"/>
    <s v="EL01-001869"/>
    <s v="EL01-001869"/>
    <n v="8.89"/>
  </r>
  <r>
    <n v="265"/>
    <d v="2024-12-25T00:00:00"/>
    <n v="400493201"/>
    <s v="EL01-001746-1"/>
    <m/>
    <s v="HARDWARE CABLE TIE MOUNT. BASE 4 WAY,"/>
    <s v="ABM1M-AT-M"/>
    <m/>
    <s v="PANDUIT"/>
    <n v="3250"/>
    <s v="EA"/>
    <n v="0.39"/>
    <s v="USD"/>
    <n v="1"/>
    <n v="0.39"/>
    <n v="1267.5"/>
    <s v="VR000099"/>
    <x v="30"/>
    <s v="PO2425U10531"/>
    <d v="2024-11-25T00:00:00"/>
    <s v="100% Advance"/>
    <s v="EXW"/>
    <m/>
    <m/>
    <m/>
    <n v="0"/>
    <n v="3250"/>
    <n v="0"/>
    <m/>
    <m/>
    <m/>
    <m/>
    <m/>
    <m/>
    <m/>
    <m/>
    <d v="1900-01-09T00:00:00"/>
    <d v="2025-06-03T00:00:00"/>
    <m/>
    <m/>
    <m/>
    <m/>
    <m/>
    <n v="400493201"/>
    <s v="EL01-001746"/>
    <s v="EL01-001746"/>
    <m/>
  </r>
  <r>
    <n v="266"/>
    <d v="2024-12-25T00:00:00"/>
    <n v="512306820"/>
    <s v="EL01-001727-1"/>
    <m/>
    <s v="SCREW,CAP HEAD,HEX SOCKET RECESS,FULL SH"/>
    <s v="MS16995-17"/>
    <m/>
    <s v="NAS/NASM NATIONAL AEROSPACE STD"/>
    <n v="45240"/>
    <s v="EA"/>
    <n v="0.13100000000000001"/>
    <s v="USD"/>
    <n v="1"/>
    <n v="0.13100000000000001"/>
    <n v="5926.4400000000005"/>
    <s v="VR000099"/>
    <x v="30"/>
    <s v="PO2425U10531"/>
    <d v="2024-11-25T00:00:00"/>
    <s v="100% Advance"/>
    <s v="EXW"/>
    <s v="Yes"/>
    <m/>
    <m/>
    <n v="0"/>
    <n v="45240"/>
    <n v="0"/>
    <m/>
    <m/>
    <m/>
    <m/>
    <m/>
    <m/>
    <m/>
    <m/>
    <d v="1900-01-09T00:00:00"/>
    <m/>
    <m/>
    <m/>
    <m/>
    <m/>
    <m/>
    <n v="512306820"/>
    <s v="EL01-001727"/>
    <s v="EL01-001727"/>
    <m/>
  </r>
  <r>
    <n v="267"/>
    <d v="2024-12-25T00:00:00"/>
    <n v="512306861"/>
    <s v="EL01-000185-1"/>
    <m/>
    <s v="SCREW,CAP HEAD,HEX SOCKET RECESS,FULL SH"/>
    <s v="MS16995-26"/>
    <m/>
    <s v="NAS/NASM NATIONAL AEROSPACE STD"/>
    <n v="19976"/>
    <s v="EA"/>
    <n v="0.13900000000000001"/>
    <s v="USD"/>
    <n v="1"/>
    <n v="0.13900000000000001"/>
    <n v="2776.6640000000002"/>
    <s v="VR000099"/>
    <x v="30"/>
    <s v="PO2425U10531"/>
    <d v="2024-11-25T00:00:00"/>
    <s v="100% Advance"/>
    <s v="EXW"/>
    <m/>
    <s v="Received "/>
    <s v="Done"/>
    <n v="0"/>
    <n v="19958"/>
    <n v="18"/>
    <m/>
    <m/>
    <m/>
    <m/>
    <m/>
    <m/>
    <m/>
    <m/>
    <d v="1900-01-09T00:00:00"/>
    <s v="See shortage blurb"/>
    <m/>
    <m/>
    <m/>
    <m/>
    <m/>
    <n v="512306861"/>
    <s v="EL01-000185"/>
    <s v="EL01-000185"/>
    <n v="2.5020000000000002"/>
  </r>
  <r>
    <n v="268"/>
    <d v="2024-12-25T00:00:00"/>
    <n v="512313149"/>
    <s v="EL01-000369-1"/>
    <m/>
    <s v="SCREW MACHINE 100 DEG. FLUSH HEAD CRUCIF"/>
    <s v="MS24693-C3"/>
    <m/>
    <s v="NAS/NASM NATIONAL AEROSPACE STD"/>
    <n v="133009"/>
    <s v="EA"/>
    <n v="3.2899999999999999E-2"/>
    <s v="USD"/>
    <n v="1"/>
    <n v="3.2899999999999999E-2"/>
    <n v="4375.9960999999994"/>
    <s v="VR000099"/>
    <x v="30"/>
    <s v="PO2425U10531"/>
    <d v="2024-11-25T00:00:00"/>
    <s v="100% Advance"/>
    <s v="EXW"/>
    <s v="Yes"/>
    <s v="Received "/>
    <s v="Done"/>
    <n v="0"/>
    <n v="133009"/>
    <n v="0"/>
    <m/>
    <m/>
    <m/>
    <m/>
    <m/>
    <m/>
    <m/>
    <m/>
    <d v="1900-01-09T00:00:00"/>
    <m/>
    <s v="Received"/>
    <m/>
    <m/>
    <m/>
    <m/>
    <n v="512313149"/>
    <s v="EL01-000369"/>
    <s v="EL01-000369"/>
    <m/>
  </r>
  <r>
    <n v="269"/>
    <d v="2024-12-25T00:00:00"/>
    <n v="512316308"/>
    <s v="EL01-000020-1"/>
    <m/>
    <s v="SCREW,MACHINE,100 DEG. FLUSH HEAD,CRUCIF"/>
    <s v="MS24693-C7"/>
    <m/>
    <s v="NAS/NASM NATIONAL AEROSPACE STD"/>
    <n v="42412"/>
    <s v="EA"/>
    <n v="4.4999999999999998E-2"/>
    <s v="USD"/>
    <n v="1"/>
    <n v="4.4999999999999998E-2"/>
    <n v="1908.54"/>
    <s v="VR000099"/>
    <x v="30"/>
    <s v="PO2425U10531"/>
    <d v="2024-11-25T00:00:00"/>
    <s v="100% Advance"/>
    <s v="EXW"/>
    <s v="Yes"/>
    <m/>
    <m/>
    <n v="0"/>
    <n v="42412"/>
    <n v="0"/>
    <m/>
    <m/>
    <m/>
    <m/>
    <m/>
    <m/>
    <m/>
    <m/>
    <d v="1900-01-09T00:00:00"/>
    <m/>
    <m/>
    <m/>
    <m/>
    <m/>
    <m/>
    <n v="512316308"/>
    <s v="EL01-000020"/>
    <s v="EL01-000020"/>
    <m/>
  </r>
  <r>
    <n v="270"/>
    <d v="2024-12-25T00:00:00"/>
    <n v="512304791"/>
    <s v="EL01-000378-1"/>
    <m/>
    <s v="SCREW,MACHINE,PAN HEAD,CRUCIFORM RECESS"/>
    <s v="MS51957-13"/>
    <m/>
    <s v="MS MILITARY STANDARDS"/>
    <n v="43031"/>
    <s v="EA"/>
    <n v="3.5000000000000003E-2"/>
    <s v="USD"/>
    <n v="1"/>
    <n v="3.5000000000000003E-2"/>
    <n v="1506.085"/>
    <s v="VR000099"/>
    <x v="30"/>
    <s v="PO2425U10531"/>
    <d v="2024-11-25T00:00:00"/>
    <s v="100% Advance"/>
    <s v="EXW"/>
    <s v="Yes"/>
    <s v="Received "/>
    <s v="Done"/>
    <n v="0"/>
    <n v="43031"/>
    <n v="0"/>
    <m/>
    <m/>
    <m/>
    <m/>
    <m/>
    <m/>
    <m/>
    <m/>
    <d v="1900-01-09T00:00:00"/>
    <m/>
    <s v="Received"/>
    <m/>
    <m/>
    <m/>
    <m/>
    <n v="512304791"/>
    <s v="EL01-000378"/>
    <s v="EL01-000378"/>
    <m/>
  </r>
  <r>
    <n v="271"/>
    <d v="2024-12-25T00:00:00"/>
    <n v="512304809"/>
    <s v="EL01-000024-1"/>
    <m/>
    <s v="SCREW MACHINE PAN HEAD CRUCIFORM RECESS"/>
    <s v="MS51957-14"/>
    <m/>
    <s v="MS MILITARY STANDARDS"/>
    <n v="111497"/>
    <s v="EA"/>
    <n v="3.2500000000000001E-2"/>
    <s v="USD"/>
    <n v="1"/>
    <n v="3.2500000000000001E-2"/>
    <n v="3623.6525000000001"/>
    <s v="VR000099"/>
    <x v="30"/>
    <s v="PO2425U10531"/>
    <d v="2024-11-25T00:00:00"/>
    <s v="100% Advance"/>
    <s v="EXW"/>
    <s v="Yes"/>
    <s v="Received "/>
    <s v="Done"/>
    <n v="0"/>
    <n v="111497"/>
    <n v="0"/>
    <m/>
    <m/>
    <m/>
    <m/>
    <m/>
    <m/>
    <m/>
    <m/>
    <d v="1900-01-09T00:00:00"/>
    <m/>
    <m/>
    <m/>
    <m/>
    <m/>
    <m/>
    <n v="512304809"/>
    <s v="EL01-000024"/>
    <s v="EL01-000024"/>
    <m/>
  </r>
  <r>
    <n v="272"/>
    <d v="2024-12-25T00:00:00"/>
    <n v="512305368"/>
    <s v="EL01-000380-1"/>
    <m/>
    <s v="SCREW MACHINE PAN HEAD CRUCIFORM RECESS"/>
    <s v="MS51957-15"/>
    <m/>
    <s v="MS MILITARY STANDARDS"/>
    <n v="120863"/>
    <s v="EA"/>
    <n v="3.6900000000000002E-2"/>
    <s v="USD"/>
    <n v="1"/>
    <n v="3.6900000000000002E-2"/>
    <n v="4459.8447000000006"/>
    <s v="VR000099"/>
    <x v="30"/>
    <s v="PO2425U10531"/>
    <d v="2024-11-25T00:00:00"/>
    <s v="100% Advance"/>
    <s v="EXW"/>
    <s v="Yes"/>
    <s v="Received "/>
    <s v="Done"/>
    <n v="0"/>
    <n v="120863"/>
    <n v="0"/>
    <m/>
    <m/>
    <m/>
    <m/>
    <m/>
    <m/>
    <m/>
    <m/>
    <d v="1900-01-09T00:00:00"/>
    <m/>
    <m/>
    <m/>
    <m/>
    <m/>
    <m/>
    <n v="512305368"/>
    <s v="EL01-000380"/>
    <s v="EL01-000380"/>
    <m/>
  </r>
  <r>
    <n v="273"/>
    <d v="2024-12-25T00:00:00"/>
    <n v="521362392"/>
    <s v="EL01-001736-1"/>
    <m/>
    <s v="SCREW,CAP HEAD,HEX SOCKET RECESS,FULL SH"/>
    <s v="NAS1352C02-9"/>
    <m/>
    <s v="NAS/NASM NATIONAL AEROSPACE STD"/>
    <n v="1200"/>
    <s v="EA"/>
    <n v="0.23899999999999999"/>
    <s v="USD"/>
    <n v="1"/>
    <n v="0.23899999999999999"/>
    <n v="286.8"/>
    <s v="VR000099"/>
    <x v="30"/>
    <s v="PO2425U10531"/>
    <d v="2024-11-25T00:00:00"/>
    <s v="100% Advance"/>
    <s v="EXW"/>
    <s v="Yes"/>
    <m/>
    <m/>
    <n v="0"/>
    <n v="1200"/>
    <n v="0"/>
    <m/>
    <m/>
    <m/>
    <m/>
    <m/>
    <m/>
    <m/>
    <m/>
    <d v="1900-01-09T00:00:00"/>
    <m/>
    <m/>
    <m/>
    <m/>
    <m/>
    <m/>
    <n v="521362392"/>
    <s v="EL01-001736"/>
    <s v="EL01-001736"/>
    <m/>
  </r>
  <r>
    <n v="274"/>
    <d v="2024-12-25T00:00:00"/>
    <n v="511261935"/>
    <s v="EL01-001738-1"/>
    <m/>
    <s v="BOLT,100 DEG. REDUCED FLUSH HEAD,OFFSET"/>
    <s v="NAS1581C4T5"/>
    <m/>
    <s v="NAS/NASM NATIONAL AEROSPACE STD"/>
    <n v="5100"/>
    <s v="EA"/>
    <n v="1.75"/>
    <s v="USD"/>
    <n v="1"/>
    <n v="1.75"/>
    <n v="8925"/>
    <s v="VR000099"/>
    <x v="30"/>
    <s v="PO2425U10531"/>
    <d v="2024-11-25T00:00:00"/>
    <s v="100% Advance"/>
    <s v="EXW"/>
    <m/>
    <m/>
    <m/>
    <n v="0"/>
    <n v="5100"/>
    <n v="0"/>
    <m/>
    <m/>
    <m/>
    <m/>
    <m/>
    <m/>
    <m/>
    <m/>
    <d v="1900-01-09T00:00:00"/>
    <s v=" Will advise"/>
    <m/>
    <m/>
    <m/>
    <m/>
    <m/>
    <n v="511261935"/>
    <s v="EL01-001738"/>
    <s v="EL01-001738"/>
    <m/>
  </r>
  <r>
    <n v="275"/>
    <d v="2024-12-25T00:00:00"/>
    <n v="514201177"/>
    <s v="EL01-000397-1"/>
    <m/>
    <s v="WASHER,FLAT,PLAIN,REDUCED OD, 2 SIZE,.01"/>
    <s v="NAS620C2"/>
    <m/>
    <s v="NAS/NASM NATIONAL AEROSPACE STD"/>
    <n v="86939"/>
    <s v="EA"/>
    <n v="1.9E-2"/>
    <s v="USD"/>
    <n v="1"/>
    <n v="1.9E-2"/>
    <n v="1651.8409999999999"/>
    <s v="VR000099"/>
    <x v="30"/>
    <s v="PO2425U10531"/>
    <d v="2024-11-25T00:00:00"/>
    <s v="100% Advance"/>
    <s v="EXW"/>
    <s v="Yes"/>
    <s v="Received "/>
    <s v="Done"/>
    <n v="0"/>
    <n v="86939"/>
    <n v="0"/>
    <m/>
    <m/>
    <m/>
    <m/>
    <m/>
    <m/>
    <m/>
    <m/>
    <d v="1900-01-09T00:00:00"/>
    <m/>
    <s v="Received"/>
    <m/>
    <m/>
    <m/>
    <m/>
    <n v="514201177"/>
    <s v="EL01-000397"/>
    <s v="EL01-000397"/>
    <m/>
  </r>
  <r>
    <n v="276"/>
    <d v="2024-12-25T00:00:00"/>
    <n v="514200799"/>
    <s v="EL01-000027-1"/>
    <m/>
    <s v="WASHER,FLAT,PLAIN,REDUCED OD, 4 SIZE,.03"/>
    <s v="NAS620C4"/>
    <m/>
    <s v="NAS/NASM NATIONAL AEROSPACE STD"/>
    <n v="276538"/>
    <s v="EA"/>
    <n v="1.1599999999999999E-2"/>
    <s v="USD"/>
    <n v="1"/>
    <n v="1.1599999999999999E-2"/>
    <n v="3207.8407999999999"/>
    <s v="VR000099"/>
    <x v="30"/>
    <s v="PO2425U10531"/>
    <d v="2024-11-25T00:00:00"/>
    <s v="100% Advance"/>
    <s v="EXW"/>
    <s v="Yes"/>
    <s v="Received "/>
    <s v="Done"/>
    <n v="0"/>
    <n v="276538"/>
    <n v="0"/>
    <m/>
    <m/>
    <m/>
    <m/>
    <m/>
    <m/>
    <m/>
    <m/>
    <d v="1900-01-09T00:00:00"/>
    <m/>
    <s v="Received"/>
    <m/>
    <m/>
    <m/>
    <m/>
    <n v="514200799"/>
    <s v="EL01-000027"/>
    <s v="EL01-000027"/>
    <m/>
  </r>
  <r>
    <n v="277"/>
    <d v="2024-12-25T00:00:00"/>
    <n v="514202670"/>
    <s v="EL01-001741-1"/>
    <m/>
    <s v="WASHER,FLAT,PLAIN,REDUCED OD,LIGHT, 4 SI"/>
    <s v="NAS620C4L"/>
    <m/>
    <s v="NAS/NASM NATIONAL AEROSPACE STD"/>
    <n v="28275"/>
    <s v="EA"/>
    <n v="2.5000000000000001E-2"/>
    <s v="USD"/>
    <n v="1"/>
    <n v="2.5000000000000001E-2"/>
    <n v="706.875"/>
    <s v="VR000099"/>
    <x v="30"/>
    <s v="PO2425U10531"/>
    <d v="2024-11-25T00:00:00"/>
    <s v="100% Advance"/>
    <s v="EXW"/>
    <s v="Yes"/>
    <s v="Received "/>
    <s v="Done"/>
    <n v="0"/>
    <n v="28275"/>
    <n v="0"/>
    <m/>
    <m/>
    <m/>
    <m/>
    <m/>
    <m/>
    <m/>
    <m/>
    <d v="1900-01-09T00:00:00"/>
    <m/>
    <s v="Received"/>
    <m/>
    <m/>
    <m/>
    <m/>
    <n v="514202670"/>
    <s v="EL01-001741"/>
    <s v="EL01-001741"/>
    <m/>
  </r>
  <r>
    <n v="278"/>
    <d v="2024-12-25T00:00:00"/>
    <n v="514200518"/>
    <s v="EL01-000028-1"/>
    <m/>
    <s v="WASHER,FLAT,PLAIN,REDUCED OD, 6 SIZE,.03"/>
    <s v="NAS620C6"/>
    <m/>
    <s v="NAS/NASM NATIONAL AEROSPACE STD"/>
    <n v="178971"/>
    <s v="EA"/>
    <n v="1.7999999999999999E-2"/>
    <s v="USD"/>
    <n v="1"/>
    <n v="1.7999999999999999E-2"/>
    <n v="3221.4779999999996"/>
    <s v="VR000099"/>
    <x v="30"/>
    <s v="PO2425U10531"/>
    <d v="2024-11-25T00:00:00"/>
    <s v="100% Advance"/>
    <s v="EXW"/>
    <s v="Yes"/>
    <s v="Received "/>
    <s v="Done"/>
    <n v="0"/>
    <n v="178971"/>
    <n v="0"/>
    <m/>
    <m/>
    <m/>
    <m/>
    <m/>
    <m/>
    <m/>
    <m/>
    <d v="1900-01-09T00:00:00"/>
    <m/>
    <s v="Received"/>
    <m/>
    <m/>
    <m/>
    <m/>
    <n v="514200518"/>
    <s v="EL01-000028"/>
    <s v="EL01-000028"/>
    <m/>
  </r>
  <r>
    <n v="279"/>
    <d v="2024-12-25T00:00:00"/>
    <n v="514201029"/>
    <s v="EL01-000029-1"/>
    <m/>
    <s v="WASHER,FLAT,PLAIN,REDUCED OD, 8 SIZE,.03"/>
    <s v="NAS620C8"/>
    <m/>
    <s v="NAS/NASM NATIONAL AEROSPACE STD"/>
    <n v="23291"/>
    <s v="EA"/>
    <n v="2.3199999999999998E-2"/>
    <s v="USD"/>
    <n v="1"/>
    <n v="2.3199999999999998E-2"/>
    <n v="540.35119999999995"/>
    <s v="VR000099"/>
    <x v="30"/>
    <s v="PO2425U10531"/>
    <d v="2024-11-25T00:00:00"/>
    <s v="100% Advance"/>
    <s v="EXW"/>
    <s v="Yes"/>
    <s v="Received "/>
    <s v="Done"/>
    <n v="0"/>
    <n v="23291"/>
    <n v="0"/>
    <m/>
    <m/>
    <m/>
    <m/>
    <m/>
    <m/>
    <m/>
    <m/>
    <d v="1900-01-09T00:00:00"/>
    <m/>
    <s v="Received"/>
    <m/>
    <m/>
    <m/>
    <m/>
    <n v="514201029"/>
    <s v="EL01-000029"/>
    <s v="EL01-000029"/>
    <m/>
  </r>
  <r>
    <n v="280"/>
    <d v="2024-12-25T00:00:00"/>
    <n v="400057230"/>
    <s v="EL01-000403-1"/>
    <m/>
    <s v="MOUNT/TIE"/>
    <s v="PLT1M-M"/>
    <m/>
    <s v="PANDUIT"/>
    <n v="48490"/>
    <s v="EA"/>
    <n v="1.7500000000000002E-2"/>
    <s v="USD"/>
    <n v="1"/>
    <n v="1.7500000000000002E-2"/>
    <n v="848.57500000000005"/>
    <s v="VR000099"/>
    <x v="30"/>
    <s v="PO2425U10531"/>
    <d v="2024-11-25T00:00:00"/>
    <s v="100% Advance"/>
    <s v="EXW"/>
    <s v="Yes"/>
    <s v="Received "/>
    <s v="Done"/>
    <n v="0"/>
    <n v="48490"/>
    <n v="0"/>
    <m/>
    <m/>
    <m/>
    <m/>
    <m/>
    <m/>
    <m/>
    <m/>
    <d v="1900-01-09T00:00:00"/>
    <m/>
    <s v="Received"/>
    <m/>
    <m/>
    <m/>
    <m/>
    <n v="400057230"/>
    <s v="EL01-000403"/>
    <s v="EL01-000403"/>
    <m/>
  </r>
  <r>
    <n v="281"/>
    <d v="2024-12-25T00:00:00"/>
    <n v="584100192"/>
    <s v="EL01-001747-1"/>
    <m/>
    <s v="TIE CABLE MOUNT"/>
    <s v="TM1S4-C"/>
    <m/>
    <s v="PANDUIT CORPORATION"/>
    <n v="41567"/>
    <s v="EA"/>
    <n v="0.152"/>
    <s v="USD"/>
    <n v="1"/>
    <n v="0.152"/>
    <n v="6318.1840000000002"/>
    <s v="VR000099"/>
    <x v="30"/>
    <s v="PO2425U10531"/>
    <d v="2024-11-25T00:00:00"/>
    <s v="100% Advance"/>
    <s v="EXW"/>
    <m/>
    <s v="Received "/>
    <s v="Done"/>
    <n v="0"/>
    <n v="41567"/>
    <n v="0"/>
    <m/>
    <m/>
    <m/>
    <m/>
    <m/>
    <m/>
    <m/>
    <m/>
    <d v="1900-01-09T00:00:00"/>
    <m/>
    <m/>
    <m/>
    <m/>
    <m/>
    <m/>
    <n v="584100192"/>
    <s v="EL01-001747"/>
    <s v="EL01-001747"/>
    <m/>
  </r>
  <r>
    <n v="282"/>
    <d v="2024-12-25T00:00:00"/>
    <s v="N87500393"/>
    <s v="EL01-001797-1"/>
    <m/>
    <s v="HARDWARE   CABLE TIE"/>
    <s v="BACS38K4"/>
    <m/>
    <s v="BOEING COMMERCIAL AIRPLANES GROUP"/>
    <n v="3978"/>
    <s v="EA"/>
    <n v="4.1000000000000002E-2"/>
    <s v="USD"/>
    <n v="1"/>
    <n v="4.1000000000000002E-2"/>
    <n v="163.09800000000001"/>
    <s v="VR000099"/>
    <x v="30"/>
    <s v="PO2425U10398"/>
    <d v="2024-10-25T00:00:00"/>
    <s v="100% Advance"/>
    <s v="EXW"/>
    <s v="Yes"/>
    <s v="Received "/>
    <s v="Done"/>
    <n v="0"/>
    <n v="3978"/>
    <n v="0"/>
    <m/>
    <m/>
    <m/>
    <m/>
    <m/>
    <m/>
    <m/>
    <m/>
    <d v="1900-01-09T00:00:00"/>
    <m/>
    <m/>
    <m/>
    <m/>
    <m/>
    <m/>
    <s v="N87500393"/>
    <s v="EL01-001797"/>
    <s v="EL01-001797"/>
    <m/>
  </r>
  <r>
    <n v="283"/>
    <d v="2024-12-25T00:00:00"/>
    <n v="584100838"/>
    <s v="EL01-000349-1"/>
    <m/>
    <s v="CABLE ASSY,CAP END,CABLE 3X7,.032IN DIA"/>
    <s v="C10-218"/>
    <m/>
    <s v=".DANIELS MANUFACTURING CORP"/>
    <n v="3150"/>
    <s v="EA"/>
    <n v="1.72"/>
    <s v="USD"/>
    <n v="1"/>
    <n v="1.72"/>
    <n v="5418"/>
    <s v="VR000099"/>
    <x v="30"/>
    <s v="PO2425U10398"/>
    <d v="2024-10-25T00:00:00"/>
    <s v="100% Advance"/>
    <s v="EXW"/>
    <s v="Yes"/>
    <m/>
    <m/>
    <n v="0"/>
    <n v="3141"/>
    <n v="9"/>
    <m/>
    <m/>
    <m/>
    <m/>
    <m/>
    <m/>
    <m/>
    <m/>
    <d v="1900-01-09T00:00:00"/>
    <s v="See shortage blurb"/>
    <m/>
    <m/>
    <m/>
    <m/>
    <m/>
    <n v="584100838"/>
    <s v="EL01-000349"/>
    <s v="EL01-000349"/>
    <n v="15.48"/>
  </r>
  <r>
    <n v="284"/>
    <d v="2024-12-25T00:00:00"/>
    <n v="514301928"/>
    <s v="EL01-000363-1"/>
    <m/>
    <s v="WASHER FLAT METAL ROUND GENERAL PURP"/>
    <s v="MS15795-802"/>
    <m/>
    <s v="QPA"/>
    <n v="531"/>
    <s v="EA"/>
    <n v="2.5000000000000001E-2"/>
    <s v="USD"/>
    <n v="1"/>
    <n v="2.5000000000000001E-2"/>
    <n v="13.275"/>
    <s v="VR000099"/>
    <x v="30"/>
    <s v="PO2425U10398"/>
    <d v="2024-10-25T00:00:00"/>
    <s v="100% Advance"/>
    <s v="EXW"/>
    <s v="Yes"/>
    <s v="Received "/>
    <s v="Done"/>
    <n v="0"/>
    <n v="516"/>
    <n v="15"/>
    <n v="15"/>
    <m/>
    <m/>
    <m/>
    <m/>
    <m/>
    <m/>
    <m/>
    <d v="1900-01-09T00:00:00"/>
    <s v="See shortage blurb"/>
    <m/>
    <m/>
    <m/>
    <m/>
    <m/>
    <n v="514301928"/>
    <s v="EL01-000363"/>
    <s v="EL01-000363"/>
    <n v="0.375"/>
  </r>
  <r>
    <n v="285"/>
    <d v="2024-12-25T00:00:00"/>
    <n v="514102946"/>
    <s v="EL01-000364-1"/>
    <m/>
    <s v="WASHER FLAT METAL ROUND GENERAL PURP"/>
    <s v="MS15795-803"/>
    <m/>
    <s v="QPA"/>
    <n v="1592"/>
    <s v="EA"/>
    <n v="0.02"/>
    <s v="USD"/>
    <n v="1"/>
    <n v="0.02"/>
    <n v="31.84"/>
    <s v="VR000099"/>
    <x v="30"/>
    <s v="PO2425U10398"/>
    <d v="2024-10-25T00:00:00"/>
    <s v="100% Advance"/>
    <s v="EXW"/>
    <s v="Yes"/>
    <s v="Received "/>
    <s v="Done"/>
    <n v="0"/>
    <n v="1592"/>
    <n v="0"/>
    <m/>
    <m/>
    <m/>
    <m/>
    <m/>
    <m/>
    <m/>
    <m/>
    <d v="1900-01-09T00:00:00"/>
    <m/>
    <s v="Received"/>
    <m/>
    <m/>
    <m/>
    <m/>
    <n v="514102946"/>
    <s v="EL01-000364"/>
    <s v="EL01-000364"/>
    <m/>
  </r>
  <r>
    <n v="286"/>
    <d v="2024-12-25T00:00:00"/>
    <n v="514302603"/>
    <s v="EL01-000365-1"/>
    <m/>
    <s v="WASHER FLAT METAL ROUND GENERAL PURP"/>
    <s v="MS15795-807"/>
    <m/>
    <s v="QPA"/>
    <n v="18167"/>
    <s v="EA"/>
    <n v="0.03"/>
    <s v="USD"/>
    <n v="1"/>
    <n v="0.03"/>
    <n v="545.01"/>
    <s v="VR000099"/>
    <x v="30"/>
    <s v="PO2425U10398"/>
    <d v="2024-10-25T00:00:00"/>
    <s v="100% Advance"/>
    <s v="EXW"/>
    <s v="Yes"/>
    <s v="Received "/>
    <s v="Done"/>
    <n v="0"/>
    <n v="18167"/>
    <n v="0"/>
    <m/>
    <m/>
    <m/>
    <m/>
    <m/>
    <m/>
    <m/>
    <m/>
    <d v="1900-01-09T00:00:00"/>
    <m/>
    <s v="Received"/>
    <m/>
    <m/>
    <m/>
    <m/>
    <n v="514302603"/>
    <s v="EL01-000365"/>
    <s v="EL01-000365"/>
    <m/>
  </r>
  <r>
    <n v="287"/>
    <d v="2024-12-25T00:00:00"/>
    <n v="512306796"/>
    <s v="EL01-000366-1"/>
    <m/>
    <s v="SCREW,CAP HEAD,HEX SOCKET RECESS,FULL SH"/>
    <s v="MS16995-10"/>
    <m/>
    <s v="NAS/NASM NATIONAL AEROSPACE STD"/>
    <n v="5751"/>
    <s v="EA"/>
    <n v="0.129"/>
    <s v="USD"/>
    <n v="1"/>
    <n v="0.129"/>
    <n v="741.87900000000002"/>
    <s v="VR000099"/>
    <x v="30"/>
    <s v="PO2425U10398"/>
    <d v="2024-10-25T00:00:00"/>
    <s v="100% Advance"/>
    <s v="EXW"/>
    <s v="Yes"/>
    <s v="Received "/>
    <s v="Done"/>
    <n v="0"/>
    <n v="5751"/>
    <n v="0"/>
    <m/>
    <m/>
    <m/>
    <m/>
    <m/>
    <m/>
    <m/>
    <m/>
    <d v="1900-01-09T00:00:00"/>
    <m/>
    <s v="Received"/>
    <m/>
    <m/>
    <m/>
    <m/>
    <n v="512306796"/>
    <s v="EL01-000366"/>
    <s v="EL01-000366"/>
    <m/>
  </r>
  <r>
    <n v="288"/>
    <d v="2024-12-25T00:00:00"/>
    <n v="512306812"/>
    <s v="EL01-001726-1"/>
    <m/>
    <s v="SCREW,CAP HEAD,HEX SOCKET RECESS,FULL SH"/>
    <s v="MS16995-16"/>
    <m/>
    <s v="NAS/NASM NATIONAL AEROSPACE STD"/>
    <n v="2840"/>
    <s v="EA"/>
    <n v="0.15"/>
    <s v="USD"/>
    <n v="1"/>
    <n v="0.15"/>
    <n v="426"/>
    <s v="VR000099"/>
    <x v="30"/>
    <s v="PO2425U10398"/>
    <d v="2024-10-25T00:00:00"/>
    <s v="100% Advance"/>
    <s v="EXW"/>
    <s v="Yes"/>
    <s v="Received "/>
    <s v="Done"/>
    <n v="0"/>
    <n v="2840"/>
    <n v="0"/>
    <m/>
    <m/>
    <m/>
    <m/>
    <m/>
    <m/>
    <m/>
    <m/>
    <d v="1900-01-09T00:00:00"/>
    <m/>
    <s v="Received"/>
    <m/>
    <m/>
    <m/>
    <m/>
    <n v="512306812"/>
    <s v="EL01-001726"/>
    <s v="EL01-001726"/>
    <m/>
  </r>
  <r>
    <n v="289"/>
    <d v="2024-12-25T00:00:00"/>
    <n v="512313172"/>
    <s v="EL01-000449-1"/>
    <m/>
    <s v="SCREW,MACHINE,100 DEG. FLUSH HEAD,CRUCIF"/>
    <s v="MS24693-C25"/>
    <m/>
    <s v="NAS/NASM NATIONAL AEROSPACE STD"/>
    <n v="1061"/>
    <s v="EA"/>
    <n v="0.06"/>
    <s v="USD"/>
    <n v="1"/>
    <n v="0.06"/>
    <n v="63.66"/>
    <s v="VR000099"/>
    <x v="30"/>
    <s v="PO2425U10398"/>
    <d v="2024-10-25T00:00:00"/>
    <s v="100% Advance"/>
    <s v="EXW"/>
    <s v="Yes"/>
    <s v="Received "/>
    <s v="Done"/>
    <n v="0"/>
    <n v="1061"/>
    <n v="0"/>
    <m/>
    <m/>
    <m/>
    <m/>
    <m/>
    <m/>
    <m/>
    <m/>
    <d v="1900-01-09T00:00:00"/>
    <m/>
    <s v="Received"/>
    <m/>
    <m/>
    <m/>
    <m/>
    <n v="512313172"/>
    <s v="EL01-000449"/>
    <s v="EL01-000449"/>
    <m/>
  </r>
  <r>
    <n v="290"/>
    <d v="2024-12-25T00:00:00"/>
    <n v="512312810"/>
    <s v="EL01-000368-1"/>
    <m/>
    <s v="SCREW MACHINE 100 DEG. FLUSH HEAD CRUCIF"/>
    <s v="MS24693-C26"/>
    <m/>
    <s v="NAS/NASM NATIONAL AEROSPACE STD"/>
    <n v="531"/>
    <s v="EA"/>
    <n v="0.115"/>
    <s v="USD"/>
    <n v="1"/>
    <n v="0.115"/>
    <n v="61.065000000000005"/>
    <s v="VR000099"/>
    <x v="30"/>
    <s v="PO2425U10398"/>
    <d v="2024-10-25T00:00:00"/>
    <s v="100% Advance"/>
    <s v="EXW"/>
    <s v="Yes"/>
    <s v="Received "/>
    <s v="Done"/>
    <n v="0"/>
    <n v="531"/>
    <n v="0"/>
    <m/>
    <m/>
    <m/>
    <m/>
    <m/>
    <m/>
    <m/>
    <m/>
    <d v="1900-01-09T00:00:00"/>
    <m/>
    <s v="Received"/>
    <m/>
    <m/>
    <m/>
    <m/>
    <n v="512312810"/>
    <s v="EL01-000368"/>
    <s v="EL01-000368"/>
    <m/>
  </r>
  <r>
    <n v="291"/>
    <d v="2024-12-25T00:00:00"/>
    <n v="512306184"/>
    <s v="EL01-001800-1"/>
    <m/>
    <s v="SCREW,MACHINE,100 DEG. FLUSH HEAD,CRUCIF"/>
    <s v="MS24693-C49"/>
    <m/>
    <s v="NAS/NASM NATIONAL AEROSPACE STD"/>
    <n v="2122"/>
    <s v="EA"/>
    <n v="7.0000000000000007E-2"/>
    <s v="USD"/>
    <n v="1"/>
    <n v="7.0000000000000007E-2"/>
    <n v="148.54000000000002"/>
    <s v="VR000099"/>
    <x v="30"/>
    <s v="PO2425U10398"/>
    <d v="2024-10-25T00:00:00"/>
    <s v="100% Advance"/>
    <s v="EXW"/>
    <s v="Yes"/>
    <s v="Received "/>
    <s v="Done"/>
    <n v="0"/>
    <n v="2122"/>
    <n v="0"/>
    <m/>
    <m/>
    <m/>
    <m/>
    <m/>
    <m/>
    <m/>
    <m/>
    <d v="1900-01-09T00:00:00"/>
    <m/>
    <m/>
    <m/>
    <m/>
    <m/>
    <m/>
    <n v="512306184"/>
    <s v="EL01-001800"/>
    <s v="EL01-001800"/>
    <m/>
  </r>
  <r>
    <n v="292"/>
    <d v="2024-12-25T00:00:00"/>
    <n v="512346461"/>
    <s v="EL01-000370-1"/>
    <m/>
    <s v="SCREW,MACHINE,PAN HEAD,CRUCIFORM RECESS"/>
    <s v="MS3213-22"/>
    <m/>
    <s v="NAS/NASM NATIONAL AEROSPACE STD"/>
    <n v="1222"/>
    <s v="EA"/>
    <n v="0.32700000000000001"/>
    <s v="USD"/>
    <n v="1"/>
    <n v="0.32700000000000001"/>
    <n v="399.59399999999999"/>
    <s v="VR000099"/>
    <x v="30"/>
    <s v="PO2425U10398"/>
    <d v="2024-10-25T00:00:00"/>
    <s v="100% Advance"/>
    <s v="EXW"/>
    <s v="Yes"/>
    <s v="Received "/>
    <s v="Done"/>
    <n v="0"/>
    <n v="1222"/>
    <n v="0"/>
    <m/>
    <m/>
    <m/>
    <m/>
    <m/>
    <m/>
    <m/>
    <m/>
    <d v="1900-01-09T00:00:00"/>
    <m/>
    <s v="Received"/>
    <m/>
    <m/>
    <m/>
    <m/>
    <n v="512346461"/>
    <s v="EL01-000370"/>
    <s v="EL01-000370"/>
    <m/>
  </r>
  <r>
    <n v="293"/>
    <d v="2024-12-25T00:00:00"/>
    <s v="N87500740"/>
    <s v="EL01-000371-1"/>
    <m/>
    <s v="HARDWARE   CABLE TIE NATURAL"/>
    <s v="MS3367-5-9"/>
    <m/>
    <s v="S.A.E. INTERNATIONAL"/>
    <n v="9282"/>
    <s v="EA"/>
    <n v="0.02"/>
    <s v="USD"/>
    <n v="1"/>
    <n v="0.02"/>
    <n v="185.64000000000001"/>
    <s v="VR000099"/>
    <x v="30"/>
    <s v="PO2425U10398"/>
    <d v="2024-10-25T00:00:00"/>
    <s v="100% Advance"/>
    <s v="EXW"/>
    <s v="Yes"/>
    <s v="Received "/>
    <s v="Done"/>
    <n v="0"/>
    <n v="9282"/>
    <n v="0"/>
    <m/>
    <m/>
    <m/>
    <m/>
    <m/>
    <m/>
    <m/>
    <m/>
    <d v="1900-01-09T00:00:00"/>
    <m/>
    <s v="Received"/>
    <m/>
    <m/>
    <m/>
    <m/>
    <s v="N87500740"/>
    <s v="EL01-000371"/>
    <s v="EL01-000371"/>
    <m/>
  </r>
  <r>
    <n v="294"/>
    <d v="2024-12-25T00:00:00"/>
    <s v="N87500096"/>
    <s v="EL01-000372-1"/>
    <m/>
    <s v="HARDWARE   CABLE TIE    CLAMP"/>
    <s v="MS3367-7-9"/>
    <m/>
    <s v="S.A.E. INTERNATIONAL"/>
    <n v="6630"/>
    <s v="EA"/>
    <n v="4.4999999999999998E-2"/>
    <s v="USD"/>
    <n v="1"/>
    <n v="4.4999999999999998E-2"/>
    <n v="298.34999999999997"/>
    <s v="VR000099"/>
    <x v="30"/>
    <s v="PO2425U10398"/>
    <d v="2024-10-25T00:00:00"/>
    <s v="100% Advance"/>
    <s v="EXW"/>
    <s v="Yes"/>
    <s v="Received "/>
    <s v="Done"/>
    <n v="0"/>
    <n v="6630"/>
    <n v="0"/>
    <m/>
    <m/>
    <m/>
    <m/>
    <m/>
    <m/>
    <m/>
    <m/>
    <d v="1900-01-09T00:00:00"/>
    <m/>
    <s v="Received"/>
    <m/>
    <m/>
    <m/>
    <m/>
    <s v="N87500096"/>
    <s v="EL01-000372"/>
    <s v="EL01-000372"/>
    <m/>
  </r>
  <r>
    <n v="295"/>
    <d v="2024-12-25T00:00:00"/>
    <n v="514301548"/>
    <s v="EL01-000373-1"/>
    <m/>
    <s v="WASHER,LOCK,HELICAL SPRING,REGULAR (MEDI"/>
    <s v="MS35338-134"/>
    <m/>
    <s v="NAS/NASM NATIONAL AEROSPACE STD"/>
    <n v="83637"/>
    <s v="EA"/>
    <n v="6.7999999999999996E-3"/>
    <s v="USD"/>
    <n v="1"/>
    <n v="6.7999999999999996E-3"/>
    <n v="568.73159999999996"/>
    <s v="VR000099"/>
    <x v="30"/>
    <s v="PO2425U10398"/>
    <d v="2024-10-25T00:00:00"/>
    <s v="100% Advance"/>
    <s v="EXW"/>
    <s v="Yes"/>
    <s v="Received "/>
    <s v="Done"/>
    <n v="0"/>
    <n v="83637"/>
    <n v="0"/>
    <m/>
    <m/>
    <m/>
    <m/>
    <m/>
    <m/>
    <m/>
    <m/>
    <d v="1900-01-09T00:00:00"/>
    <m/>
    <m/>
    <m/>
    <m/>
    <m/>
    <m/>
    <n v="514301548"/>
    <s v="EL01-000373"/>
    <s v="EL01-000373"/>
    <m/>
  </r>
  <r>
    <n v="296"/>
    <d v="2024-12-25T00:00:00"/>
    <n v="514301316"/>
    <s v="EL01-000021-1"/>
    <m/>
    <s v="WASHER,LOCK,HELICAL SPRING,REGULAR (MEDI"/>
    <s v="MS35338-135"/>
    <m/>
    <s v="NAS/NASM NATIONAL AEROSPACE STD"/>
    <n v="69524"/>
    <s v="EA"/>
    <n v="8.0000000000000002E-3"/>
    <s v="USD"/>
    <n v="1"/>
    <n v="8.0000000000000002E-3"/>
    <n v="556.19200000000001"/>
    <s v="VR000099"/>
    <x v="30"/>
    <s v="PO2425U10398"/>
    <d v="2024-10-25T00:00:00"/>
    <s v="100% Advance"/>
    <s v="EXW"/>
    <s v="Yes"/>
    <s v="Received "/>
    <s v="Done"/>
    <n v="0"/>
    <n v="69524"/>
    <n v="0"/>
    <m/>
    <m/>
    <m/>
    <m/>
    <m/>
    <m/>
    <m/>
    <m/>
    <d v="1900-01-09T00:00:00"/>
    <m/>
    <m/>
    <m/>
    <m/>
    <m/>
    <m/>
    <n v="514301316"/>
    <s v="EL01-000021"/>
    <s v="EL01-000021"/>
    <m/>
  </r>
  <r>
    <n v="297"/>
    <d v="2024-12-25T00:00:00"/>
    <n v="514301324"/>
    <s v="EL01-000022-1"/>
    <m/>
    <s v="WASHER LOCK HELICAL SPRING REGULAR (MEDI"/>
    <s v="MS35338-136"/>
    <m/>
    <s v="NAS/NASM NATIONAL AEROSPACE STD"/>
    <n v="83336"/>
    <s v="EA"/>
    <n v="1.35E-2"/>
    <s v="USD"/>
    <n v="1"/>
    <n v="1.35E-2"/>
    <n v="1125.0360000000001"/>
    <s v="VR000099"/>
    <x v="30"/>
    <s v="PO2425U10398"/>
    <d v="2024-10-25T00:00:00"/>
    <s v="100% Advance"/>
    <s v="EXW"/>
    <s v="Yes"/>
    <s v="Received "/>
    <s v="Done"/>
    <n v="0"/>
    <n v="83336"/>
    <n v="0"/>
    <m/>
    <m/>
    <m/>
    <m/>
    <m/>
    <m/>
    <m/>
    <m/>
    <d v="1900-01-09T00:00:00"/>
    <m/>
    <s v="Received"/>
    <m/>
    <m/>
    <m/>
    <m/>
    <n v="514301324"/>
    <s v="EL01-000022"/>
    <s v="EL01-000022"/>
    <m/>
  </r>
  <r>
    <n v="298"/>
    <d v="2024-12-25T00:00:00"/>
    <n v="514301407"/>
    <s v="EL01-000023-1"/>
    <m/>
    <s v="WASHER,LOCK,HELICAL SPRING,REGULAR (MEDI"/>
    <s v="MS35338-137"/>
    <m/>
    <s v="NAS/NASM NATIONAL AEROSPACE STD"/>
    <n v="30189"/>
    <s v="EA"/>
    <n v="1.8499999999999999E-2"/>
    <s v="USD"/>
    <n v="1"/>
    <n v="1.8499999999999999E-2"/>
    <n v="558.49649999999997"/>
    <s v="VR000099"/>
    <x v="30"/>
    <s v="PO2425U10398"/>
    <d v="2024-10-25T00:00:00"/>
    <s v="100% Advance"/>
    <s v="EXW"/>
    <s v="Yes"/>
    <s v="Received "/>
    <s v="Done"/>
    <n v="0"/>
    <n v="30189"/>
    <n v="0"/>
    <m/>
    <m/>
    <m/>
    <m/>
    <m/>
    <m/>
    <m/>
    <m/>
    <d v="1900-01-09T00:00:00"/>
    <m/>
    <s v="Received"/>
    <m/>
    <m/>
    <m/>
    <m/>
    <n v="514301407"/>
    <s v="EL01-000023"/>
    <s v="EL01-000023"/>
    <m/>
  </r>
  <r>
    <n v="299"/>
    <d v="2024-12-25T00:00:00"/>
    <n v="512314535"/>
    <s v="EL01-000377-1"/>
    <m/>
    <s v="SCREW,MACHINE,PAN HEAD,CRUCIFORM RECESS"/>
    <s v="MS51957-10"/>
    <m/>
    <s v="MS MILITARY STANDARDS"/>
    <n v="398"/>
    <s v="EA"/>
    <n v="0.1"/>
    <s v="USD"/>
    <n v="1"/>
    <n v="0.1"/>
    <n v="39.800000000000004"/>
    <s v="VR000099"/>
    <x v="30"/>
    <s v="PO2425U10398"/>
    <d v="2024-10-25T00:00:00"/>
    <s v="100% Advance"/>
    <s v="EXW"/>
    <s v="Yes"/>
    <s v="Received "/>
    <s v="Done"/>
    <n v="0"/>
    <n v="398"/>
    <n v="0"/>
    <m/>
    <m/>
    <m/>
    <m/>
    <m/>
    <m/>
    <m/>
    <m/>
    <d v="1900-01-09T00:00:00"/>
    <m/>
    <s v="Received"/>
    <m/>
    <m/>
    <m/>
    <m/>
    <n v="512314535"/>
    <s v="EL01-000377"/>
    <s v="EL01-000377"/>
    <m/>
  </r>
  <r>
    <n v="300"/>
    <d v="2024-12-25T00:00:00"/>
    <n v="512304825"/>
    <s v="EL01-000381-1"/>
    <m/>
    <s v="SCREW MACHINE PAN HEAD CRUCIFORM RECESS"/>
    <s v="MS51957-17"/>
    <m/>
    <s v="MS MILITARY STANDARDS"/>
    <n v="796"/>
    <s v="EA"/>
    <n v="0.05"/>
    <s v="USD"/>
    <n v="1"/>
    <n v="0.05"/>
    <n v="39.800000000000004"/>
    <s v="VR000099"/>
    <x v="30"/>
    <s v="PO2425U10398"/>
    <d v="2024-10-25T00:00:00"/>
    <s v="100% Advance"/>
    <s v="EXW"/>
    <s v="Yes"/>
    <s v="Received "/>
    <s v="Done"/>
    <n v="0"/>
    <n v="796"/>
    <n v="0"/>
    <m/>
    <m/>
    <m/>
    <m/>
    <m/>
    <m/>
    <m/>
    <m/>
    <d v="1900-01-09T00:00:00"/>
    <m/>
    <s v="Received"/>
    <m/>
    <m/>
    <m/>
    <m/>
    <n v="512304825"/>
    <s v="EL01-000381"/>
    <s v="EL01-000381"/>
    <m/>
  </r>
  <r>
    <n v="301"/>
    <d v="2024-12-25T00:00:00"/>
    <n v="512318221"/>
    <s v="EL01-000382-1"/>
    <m/>
    <s v="SCREW,MACHINE,PAN HEAD,CRUCIFORM RECESS"/>
    <s v="MS51957-19"/>
    <m/>
    <s v="MS MILITARY STANDARDS"/>
    <n v="14719"/>
    <s v="EA"/>
    <n v="5.1499999999999997E-2"/>
    <s v="USD"/>
    <n v="1"/>
    <n v="5.1499999999999997E-2"/>
    <n v="758.02850000000001"/>
    <s v="VR000099"/>
    <x v="30"/>
    <s v="PO2425U10398"/>
    <d v="2024-10-25T00:00:00"/>
    <s v="100% Advance"/>
    <s v="EXW"/>
    <s v="Yes"/>
    <s v="Received "/>
    <s v="Done"/>
    <n v="0"/>
    <n v="14719"/>
    <n v="0"/>
    <m/>
    <m/>
    <m/>
    <m/>
    <m/>
    <m/>
    <m/>
    <m/>
    <d v="1900-01-09T00:00:00"/>
    <m/>
    <s v="Received"/>
    <m/>
    <m/>
    <m/>
    <m/>
    <n v="512318221"/>
    <s v="EL01-000382"/>
    <s v="EL01-000382"/>
    <m/>
  </r>
  <r>
    <n v="302"/>
    <d v="2024-12-25T00:00:00"/>
    <n v="512321324"/>
    <s v="EL01-000384-1"/>
    <m/>
    <s v="SCREW,MACHINE,PAN HEAD,CRUCIFORM RECESS"/>
    <s v="MS51957-22"/>
    <m/>
    <s v="MS MILITARY STANDARDS"/>
    <n v="663"/>
    <s v="EA"/>
    <n v="0.15"/>
    <s v="USD"/>
    <n v="1"/>
    <n v="0.15"/>
    <n v="99.45"/>
    <s v="VR000099"/>
    <x v="30"/>
    <s v="PO2425U10398"/>
    <d v="2024-10-25T00:00:00"/>
    <s v="100% Advance"/>
    <s v="EXW"/>
    <s v="Yes"/>
    <s v="Received "/>
    <s v="Done"/>
    <n v="0"/>
    <n v="663"/>
    <n v="0"/>
    <m/>
    <m/>
    <m/>
    <m/>
    <m/>
    <m/>
    <m/>
    <m/>
    <d v="1900-01-09T00:00:00"/>
    <m/>
    <s v="Received"/>
    <m/>
    <m/>
    <m/>
    <m/>
    <n v="512321324"/>
    <s v="EL01-000384"/>
    <s v="EL01-000384"/>
    <m/>
  </r>
  <r>
    <n v="303"/>
    <d v="2024-12-25T00:00:00"/>
    <n v="512310459"/>
    <s v="EL01-000385-1"/>
    <m/>
    <s v="SCREW,MACHINE,PAN HEAD,CRUCIFORM RECESS"/>
    <s v="MS51957-26"/>
    <m/>
    <s v="MS MILITARY STANDARDS"/>
    <n v="531"/>
    <s v="EA"/>
    <n v="0.1"/>
    <s v="USD"/>
    <n v="1"/>
    <n v="0.1"/>
    <n v="53.1"/>
    <s v="VR000099"/>
    <x v="30"/>
    <s v="PO2425U10398"/>
    <d v="2024-10-25T00:00:00"/>
    <s v="100% Advance"/>
    <s v="EXW"/>
    <s v="Yes"/>
    <s v="Received "/>
    <s v="Done"/>
    <n v="0"/>
    <n v="531"/>
    <n v="0"/>
    <m/>
    <m/>
    <m/>
    <m/>
    <m/>
    <m/>
    <m/>
    <m/>
    <d v="1900-01-09T00:00:00"/>
    <m/>
    <s v="Received"/>
    <m/>
    <m/>
    <m/>
    <m/>
    <n v="512310459"/>
    <s v="EL01-000385"/>
    <s v="EL01-000385"/>
    <m/>
  </r>
  <r>
    <n v="304"/>
    <d v="2024-12-25T00:00:00"/>
    <n v="512314584"/>
    <s v="EL01-000025-1"/>
    <m/>
    <s v="SCREW,MACHINE,PAN HEAD,CRUCIFORM RECESS"/>
    <s v="MS51957-27"/>
    <m/>
    <s v="MS MILITARY STANDARDS"/>
    <n v="6630"/>
    <s v="EA"/>
    <n v="0.05"/>
    <s v="USD"/>
    <n v="1"/>
    <n v="0.05"/>
    <n v="331.5"/>
    <s v="VR000099"/>
    <x v="30"/>
    <s v="PO2425U10398"/>
    <d v="2024-10-25T00:00:00"/>
    <s v="100% Advance"/>
    <s v="EXW"/>
    <s v="Yes"/>
    <s v="Received "/>
    <s v="Done"/>
    <n v="0"/>
    <n v="6565"/>
    <n v="65"/>
    <n v="65"/>
    <m/>
    <m/>
    <m/>
    <m/>
    <m/>
    <m/>
    <m/>
    <d v="1900-01-09T00:00:00"/>
    <s v="See shortage blurb"/>
    <m/>
    <m/>
    <m/>
    <m/>
    <m/>
    <n v="512314584"/>
    <s v="EL01-000025"/>
    <s v="EL01-000025"/>
    <n v="3.25"/>
  </r>
  <r>
    <n v="305"/>
    <d v="2024-12-25T00:00:00"/>
    <n v="512305350"/>
    <s v="EL01-000387-1"/>
    <m/>
    <s v="SCREW MACHINE PAN HEAD CRUCIFORM RECESS"/>
    <s v="MS51957-29"/>
    <m/>
    <s v="MS MILITARY STANDARDS"/>
    <n v="3498"/>
    <s v="EA"/>
    <n v="0.14000000000000001"/>
    <s v="USD"/>
    <n v="1"/>
    <n v="0.14000000000000001"/>
    <n v="489.72"/>
    <s v="VR000099"/>
    <x v="30"/>
    <s v="PO2425U10398"/>
    <d v="2024-10-25T00:00:00"/>
    <s v="100% Advance"/>
    <s v="EXW"/>
    <s v="Yes"/>
    <s v="Received "/>
    <s v="Done"/>
    <n v="0"/>
    <n v="3498"/>
    <n v="0"/>
    <m/>
    <m/>
    <m/>
    <m/>
    <m/>
    <m/>
    <m/>
    <m/>
    <d v="1900-01-09T00:00:00"/>
    <m/>
    <s v="Received"/>
    <m/>
    <m/>
    <m/>
    <m/>
    <n v="512305350"/>
    <s v="EL01-000387"/>
    <s v="EL01-000387"/>
    <m/>
  </r>
  <r>
    <n v="306"/>
    <d v="2024-12-25T00:00:00"/>
    <n v="512308669"/>
    <s v="EL01-000388-1"/>
    <m/>
    <s v="SCREW,MACHINE,PAN HEAD,CRUCIFORM RECESS"/>
    <s v="MS51957-3"/>
    <m/>
    <s v="MS MILITARY STANDARDS"/>
    <n v="23779"/>
    <s v="EA"/>
    <n v="0.03"/>
    <s v="USD"/>
    <n v="1"/>
    <n v="0.03"/>
    <n v="713.37"/>
    <s v="VR000099"/>
    <x v="30"/>
    <s v="PO2425U10398"/>
    <d v="2024-10-25T00:00:00"/>
    <s v="100% Advance"/>
    <s v="EXW"/>
    <s v="Yes"/>
    <s v="Received "/>
    <s v="Done"/>
    <n v="0"/>
    <n v="23779"/>
    <n v="0"/>
    <m/>
    <m/>
    <m/>
    <m/>
    <m/>
    <m/>
    <m/>
    <m/>
    <d v="1900-01-09T00:00:00"/>
    <m/>
    <s v="Received"/>
    <m/>
    <m/>
    <m/>
    <m/>
    <n v="512308669"/>
    <s v="EL01-000388"/>
    <s v="EL01-000388"/>
    <m/>
  </r>
  <r>
    <n v="307"/>
    <d v="2024-12-25T00:00:00"/>
    <n v="512308677"/>
    <s v="EL01-000389-1"/>
    <m/>
    <s v="SCREW,MACHINE,PAN HEAD,CRUCIFORM RECESS"/>
    <s v="MS51957-4"/>
    <m/>
    <s v="MS MILITARY STANDARDS"/>
    <n v="2122"/>
    <s v="EA"/>
    <n v="2.5499999999999998E-2"/>
    <s v="USD"/>
    <n v="1"/>
    <n v="2.5499999999999998E-2"/>
    <n v="54.110999999999997"/>
    <s v="VR000099"/>
    <x v="30"/>
    <s v="PO2425U10398"/>
    <d v="2024-10-25T00:00:00"/>
    <s v="100% Advance"/>
    <s v="EXW"/>
    <s v="Yes"/>
    <s v="Received "/>
    <s v="Done"/>
    <n v="0"/>
    <n v="2122"/>
    <n v="0"/>
    <m/>
    <m/>
    <m/>
    <m/>
    <m/>
    <m/>
    <m/>
    <m/>
    <d v="1900-01-09T00:00:00"/>
    <m/>
    <s v="Received"/>
    <m/>
    <m/>
    <m/>
    <m/>
    <n v="512308677"/>
    <s v="EL01-000389"/>
    <s v="EL01-000389"/>
    <m/>
  </r>
  <r>
    <n v="308"/>
    <d v="2024-12-25T00:00:00"/>
    <n v="512310954"/>
    <s v="EL01-000391-1"/>
    <m/>
    <s v="SCREW,MACHINE,PAN HEAD,CRUCIFORM RECESS"/>
    <s v="MS51957-7"/>
    <m/>
    <s v="MS MILITARY STANDARDS"/>
    <n v="52775"/>
    <s v="EA"/>
    <n v="2.9499999999999998E-2"/>
    <s v="USD"/>
    <n v="1"/>
    <n v="2.9499999999999998E-2"/>
    <n v="1556.8625"/>
    <s v="VR000099"/>
    <x v="30"/>
    <s v="PO2425U10398"/>
    <d v="2024-10-25T00:00:00"/>
    <s v="100% Advance"/>
    <s v="EXW"/>
    <s v="Yes"/>
    <s v="Received "/>
    <s v="Done"/>
    <n v="0"/>
    <n v="52775"/>
    <n v="0"/>
    <m/>
    <m/>
    <m/>
    <m/>
    <m/>
    <m/>
    <m/>
    <m/>
    <d v="1900-01-09T00:00:00"/>
    <s v="Shortage Qty"/>
    <m/>
    <m/>
    <m/>
    <m/>
    <m/>
    <n v="512310954"/>
    <s v="EL01-000391"/>
    <s v="EL01-000391"/>
    <m/>
  </r>
  <r>
    <n v="309"/>
    <d v="2024-12-25T00:00:00"/>
    <n v="512315821"/>
    <s v="EL01-000392-1"/>
    <m/>
    <s v="SCREW,MACHINE,PAN HEAD,CRUCIFORM RECESS"/>
    <s v="MS51957-9"/>
    <m/>
    <s v="MS MILITARY STANDARDS"/>
    <n v="1194"/>
    <s v="EA"/>
    <n v="0.10199999999999999"/>
    <s v="USD"/>
    <n v="1"/>
    <n v="0.10199999999999999"/>
    <n v="121.788"/>
    <s v="VR000099"/>
    <x v="30"/>
    <s v="PO2425U10398"/>
    <d v="2024-10-25T00:00:00"/>
    <s v="100% Advance"/>
    <s v="EXW"/>
    <s v="Yes"/>
    <s v="Received "/>
    <s v="Done"/>
    <n v="0"/>
    <n v="1194"/>
    <n v="0"/>
    <m/>
    <m/>
    <m/>
    <m/>
    <m/>
    <m/>
    <m/>
    <m/>
    <d v="1900-01-09T00:00:00"/>
    <m/>
    <s v="Received"/>
    <m/>
    <m/>
    <m/>
    <m/>
    <n v="512315821"/>
    <s v="EL01-000392"/>
    <s v="EL01-000392"/>
    <m/>
  </r>
  <r>
    <n v="310"/>
    <d v="2024-12-25T00:00:00"/>
    <n v="512224098"/>
    <s v="EL01-000393-1"/>
    <m/>
    <s v="SCREW,CAP HEAD,HEX SOCKET RECESS,FULL SH"/>
    <s v="NAS1352C02-5"/>
    <m/>
    <s v="NAS/NASM NATIONAL AEROSPACE STD"/>
    <n v="266"/>
    <s v="EA"/>
    <n v="0.2"/>
    <s v="USD"/>
    <n v="1"/>
    <n v="0.2"/>
    <n v="53.2"/>
    <s v="VR000099"/>
    <x v="30"/>
    <s v="PO2425U10398"/>
    <d v="2024-10-25T00:00:00"/>
    <s v="100% Advance"/>
    <s v="EXW"/>
    <s v="Yes"/>
    <s v="Received "/>
    <s v="Done"/>
    <n v="0"/>
    <n v="266"/>
    <n v="0"/>
    <m/>
    <m/>
    <m/>
    <m/>
    <m/>
    <m/>
    <m/>
    <m/>
    <d v="1900-01-09T00:00:00"/>
    <m/>
    <s v="Received"/>
    <m/>
    <m/>
    <m/>
    <m/>
    <n v="512224098"/>
    <s v="EL01-000393"/>
    <s v="EL01-000393"/>
    <m/>
  </r>
  <r>
    <n v="311"/>
    <d v="2024-12-25T00:00:00"/>
    <n v="512222886"/>
    <s v="EL01-000394-1"/>
    <m/>
    <s v="SCREW,CAP HEAD,HEX SOCKET RECESS,FULL SH"/>
    <s v="NAS1352C04-12"/>
    <m/>
    <s v="NAS/NASM NATIONAL AEROSPACE STD"/>
    <n v="1592"/>
    <s v="EA"/>
    <n v="0.14899999999999999"/>
    <s v="USD"/>
    <n v="1"/>
    <n v="0.14899999999999999"/>
    <n v="237.208"/>
    <s v="VR000099"/>
    <x v="30"/>
    <s v="PO2425U10398"/>
    <d v="2024-10-25T00:00:00"/>
    <s v="100% Advance"/>
    <s v="EXW"/>
    <s v="Yes"/>
    <s v="Received "/>
    <s v="Done"/>
    <n v="0"/>
    <n v="1592"/>
    <n v="0"/>
    <m/>
    <m/>
    <m/>
    <m/>
    <m/>
    <m/>
    <m/>
    <m/>
    <d v="1900-01-09T00:00:00"/>
    <m/>
    <s v="Received"/>
    <m/>
    <m/>
    <m/>
    <m/>
    <n v="512222886"/>
    <s v="EL01-000394"/>
    <s v="EL01-000394"/>
    <m/>
  </r>
  <r>
    <n v="312"/>
    <d v="2024-12-25T00:00:00"/>
    <n v="512220526"/>
    <s v="EL01-000395-1"/>
    <m/>
    <s v="SCREW,CAP HEAD,HEX SOCKET RECESS,FULL SH"/>
    <s v="NAS1352C08-10"/>
    <m/>
    <s v="NAS/NASM NATIONAL AEROSPACE STD"/>
    <n v="17769"/>
    <s v="EA"/>
    <n v="0.13900000000000001"/>
    <s v="USD"/>
    <n v="1"/>
    <n v="0.13900000000000001"/>
    <n v="2469.8910000000001"/>
    <s v="VR000099"/>
    <x v="30"/>
    <s v="PO2425U10398"/>
    <d v="2024-10-25T00:00:00"/>
    <s v="100% Advance"/>
    <s v="EXW"/>
    <s v="Yes"/>
    <s v="Received "/>
    <s v="Done"/>
    <n v="0"/>
    <n v="17769"/>
    <n v="0"/>
    <m/>
    <m/>
    <m/>
    <m/>
    <m/>
    <m/>
    <m/>
    <m/>
    <d v="1900-01-09T00:00:00"/>
    <m/>
    <s v="Received"/>
    <m/>
    <m/>
    <m/>
    <m/>
    <n v="512220526"/>
    <s v="EL01-000395"/>
    <s v="EL01-000395"/>
    <m/>
  </r>
  <r>
    <n v="313"/>
    <d v="2024-12-25T00:00:00"/>
    <n v="401484963"/>
    <s v="EL01-000396-1"/>
    <m/>
    <s v="SCREW,CAP HEAD,HEX SOCKET RECESS,FULL SH"/>
    <s v="NAS1352C08-7"/>
    <m/>
    <s v="NAS/NASM NATIONAL AEROSPACE STD"/>
    <n v="3713"/>
    <s v="EA"/>
    <n v="0.32900000000000001"/>
    <s v="USD"/>
    <n v="1"/>
    <n v="0.32900000000000001"/>
    <n v="1221.577"/>
    <s v="VR000099"/>
    <x v="30"/>
    <s v="PO2425U10398"/>
    <d v="2024-10-25T00:00:00"/>
    <s v="100% Advance"/>
    <s v="EXW"/>
    <s v="Yes"/>
    <s v="Received "/>
    <s v="Done"/>
    <n v="0"/>
    <n v="3713"/>
    <n v="0"/>
    <m/>
    <m/>
    <m/>
    <m/>
    <m/>
    <m/>
    <m/>
    <m/>
    <d v="1900-01-09T00:00:00"/>
    <d v="2025-09-03T00:00:00"/>
    <s v="Received"/>
    <m/>
    <m/>
    <m/>
    <m/>
    <n v="401484963"/>
    <s v="EL01-000396"/>
    <s v="EL01-000396"/>
    <m/>
  </r>
  <r>
    <n v="314"/>
    <d v="2024-12-25T00:00:00"/>
    <n v="541553780"/>
    <s v="EL01-001739-1"/>
    <m/>
    <s v="WASHER,SPRING LOCK,HELICAL,HI-COLLAR,#4"/>
    <s v="NAS1676C4"/>
    <m/>
    <s v="NAS/NASM NATIONAL AEROSPACE STD"/>
    <n v="4429"/>
    <s v="EA"/>
    <n v="8.5000000000000006E-2"/>
    <s v="USD"/>
    <n v="1"/>
    <n v="8.5000000000000006E-2"/>
    <n v="376.46500000000003"/>
    <s v="VR000099"/>
    <x v="30"/>
    <s v="PO2425U10398"/>
    <d v="2024-10-25T00:00:00"/>
    <s v="100% Advance"/>
    <s v="EXW"/>
    <s v="Yes"/>
    <s v="Received "/>
    <s v="Done"/>
    <n v="0"/>
    <n v="4429"/>
    <n v="0"/>
    <m/>
    <m/>
    <m/>
    <m/>
    <m/>
    <m/>
    <m/>
    <m/>
    <d v="1900-01-09T00:00:00"/>
    <m/>
    <s v="Received"/>
    <m/>
    <m/>
    <m/>
    <m/>
    <n v="541553780"/>
    <s v="EL01-001739"/>
    <s v="EL01-001739"/>
    <m/>
  </r>
  <r>
    <n v="315"/>
    <d v="2024-12-25T00:00:00"/>
    <n v="512212440"/>
    <s v="EL01-000401-1"/>
    <m/>
    <s v="SCREW,MACHINE,100 DEG. FLUSH HEAD,CRUCIF"/>
    <s v="NAS662C2R3"/>
    <m/>
    <s v="NAS/NASM NATIONAL AEROSPACE STD"/>
    <n v="266"/>
    <s v="EA"/>
    <n v="5.5E-2"/>
    <s v="USD"/>
    <n v="1"/>
    <n v="5.5E-2"/>
    <n v="14.63"/>
    <s v="VR000099"/>
    <x v="30"/>
    <s v="PO2425U10398"/>
    <d v="2024-10-25T00:00:00"/>
    <s v="100% Advance"/>
    <s v="EXW"/>
    <s v="Yes"/>
    <s v="Received "/>
    <s v="Done"/>
    <n v="0"/>
    <n v="266"/>
    <n v="0"/>
    <m/>
    <m/>
    <m/>
    <m/>
    <m/>
    <m/>
    <m/>
    <m/>
    <d v="1900-01-09T00:00:00"/>
    <m/>
    <s v="Received"/>
    <m/>
    <m/>
    <m/>
    <m/>
    <n v="512212440"/>
    <s v="EL01-000401"/>
    <s v="EL01-000401"/>
    <m/>
  </r>
  <r>
    <n v="316"/>
    <d v="2024-12-25T00:00:00"/>
    <s v="N87500856"/>
    <s v="EL01-000412-1"/>
    <m/>
    <s v="HARDWARE   CABLE TIE MOUNT"/>
    <s v="TM2S6"/>
    <m/>
    <s v="QPA"/>
    <n v="1061"/>
    <s v="EA"/>
    <n v="0.19"/>
    <s v="USD"/>
    <n v="1"/>
    <n v="0.19"/>
    <n v="201.59"/>
    <s v="VR000099"/>
    <x v="30"/>
    <s v="PO2425U10398"/>
    <d v="2024-10-25T00:00:00"/>
    <s v="100% Advance"/>
    <s v="EXW"/>
    <s v="Yes"/>
    <s v="Received "/>
    <s v="Done"/>
    <n v="0"/>
    <n v="1061"/>
    <n v="0"/>
    <m/>
    <m/>
    <m/>
    <m/>
    <m/>
    <m/>
    <m/>
    <m/>
    <d v="1900-01-09T00:00:00"/>
    <s v="Will advise"/>
    <s v="Received"/>
    <m/>
    <m/>
    <m/>
    <m/>
    <s v="N87500856"/>
    <s v="EL01-000412"/>
    <s v="EL01-000412"/>
    <m/>
  </r>
  <r>
    <n v="317"/>
    <d v="2024-12-25T00:00:00"/>
    <s v="N87500252"/>
    <s v="EL01-000413-1"/>
    <m/>
    <s v="TIE MOUNT"/>
    <s v="TM2S8"/>
    <m/>
    <s v="QPA"/>
    <n v="5172"/>
    <s v="EA"/>
    <n v="0.19"/>
    <s v="USD"/>
    <n v="1"/>
    <n v="0.19"/>
    <n v="982.68000000000006"/>
    <s v="VR000099"/>
    <x v="30"/>
    <s v="PO2425U10398"/>
    <d v="2024-10-25T00:00:00"/>
    <s v="100% Advance"/>
    <s v="EXW"/>
    <s v="Yes"/>
    <s v="Received "/>
    <s v="Done"/>
    <n v="0"/>
    <n v="5172"/>
    <n v="0"/>
    <m/>
    <m/>
    <m/>
    <m/>
    <m/>
    <m/>
    <m/>
    <m/>
    <d v="1900-01-09T00:00:00"/>
    <m/>
    <s v="Received"/>
    <m/>
    <m/>
    <m/>
    <m/>
    <s v="N87500252"/>
    <s v="EL01-000413"/>
    <s v="EL01-000413"/>
    <m/>
  </r>
  <r>
    <n v="318"/>
    <d v="2024-12-25T00:00:00"/>
    <n v="512306846"/>
    <s v="EL01-001728-1"/>
    <m/>
    <s v="SCREW,CAP HEAD,HEX SOCKET RECESS,FULL SH"/>
    <s v="MS16995-18"/>
    <m/>
    <s v="NAS/NASM NATIONAL AEROSPACE STD"/>
    <n v="21767"/>
    <s v="EA"/>
    <n v="0.11899999999999999"/>
    <s v="USD"/>
    <n v="1"/>
    <n v="0.11899999999999999"/>
    <n v="2590.2729999999997"/>
    <s v="VR000099"/>
    <x v="30"/>
    <s v="PO2425U10398"/>
    <d v="2024-10-25T00:00:00"/>
    <s v="100% Advance"/>
    <s v="EXW"/>
    <s v="Yes"/>
    <s v="Received "/>
    <s v="Done"/>
    <n v="0"/>
    <n v="21767"/>
    <n v="0"/>
    <m/>
    <m/>
    <m/>
    <m/>
    <m/>
    <m/>
    <m/>
    <m/>
    <d v="1900-01-09T00:00:00"/>
    <m/>
    <s v="Received"/>
    <m/>
    <m/>
    <m/>
    <m/>
    <n v="512306846"/>
    <s v="EL01-001728"/>
    <s v="EL01-001728"/>
    <m/>
  </r>
  <r>
    <n v="319"/>
    <d v="2024-12-25T00:00:00"/>
    <n v="512306838"/>
    <s v="EL01-001729-1"/>
    <m/>
    <s v="SCREW,CAP HEAD,HEX SOCKET RECESS,FULL SH"/>
    <s v="MS16995-19"/>
    <m/>
    <s v="NAS/NASM NATIONAL AEROSPACE STD"/>
    <n v="32651"/>
    <s v="EA"/>
    <n v="0.13500000000000001"/>
    <s v="USD"/>
    <n v="1"/>
    <n v="0.13500000000000001"/>
    <n v="4407.8850000000002"/>
    <s v="VR000099"/>
    <x v="30"/>
    <s v="PO2425U10398"/>
    <d v="2024-10-25T00:00:00"/>
    <s v="100% Advance"/>
    <s v="EXW"/>
    <s v="Yes"/>
    <s v="Received "/>
    <s v="Done"/>
    <n v="0"/>
    <n v="32643"/>
    <n v="8"/>
    <m/>
    <m/>
    <m/>
    <m/>
    <m/>
    <m/>
    <m/>
    <m/>
    <d v="1900-01-09T00:00:00"/>
    <s v="Will ship next week"/>
    <m/>
    <m/>
    <m/>
    <m/>
    <m/>
    <n v="512306838"/>
    <s v="EL01-001729"/>
    <s v="EL01-001729"/>
    <n v="1.08"/>
  </r>
  <r>
    <n v="320"/>
    <d v="2024-12-25T00:00:00"/>
    <n v="512313164"/>
    <s v="EL01-001731-1"/>
    <m/>
    <s v="SCREW,MACHINE,100 DEG. FLUSH HEAD,CRUCIF"/>
    <s v="MS24693-C4"/>
    <m/>
    <s v="NAS/NASM NATIONAL AEROSPACE STD"/>
    <n v="13061"/>
    <s v="EA"/>
    <n v="3.9E-2"/>
    <s v="USD"/>
    <n v="1"/>
    <n v="3.9E-2"/>
    <n v="509.37900000000002"/>
    <s v="VR000099"/>
    <x v="30"/>
    <s v="PO2425U10398"/>
    <d v="2024-10-25T00:00:00"/>
    <s v="100% Advance"/>
    <s v="EXW"/>
    <s v="Yes"/>
    <s v="Received "/>
    <s v="Done"/>
    <n v="0"/>
    <n v="13061"/>
    <n v="0"/>
    <m/>
    <m/>
    <m/>
    <m/>
    <m/>
    <m/>
    <m/>
    <m/>
    <d v="1900-01-09T00:00:00"/>
    <m/>
    <s v="Received"/>
    <m/>
    <m/>
    <m/>
    <m/>
    <n v="512313164"/>
    <s v="EL01-001731"/>
    <s v="EL01-001731"/>
    <m/>
  </r>
  <r>
    <n v="321"/>
    <d v="2024-12-25T00:00:00"/>
    <n v="512326521"/>
    <s v="EL01-001732-1"/>
    <m/>
    <s v="SCREW,MACHINE,PAN HEAD,CRUCIFORM RECESS"/>
    <s v="MS51957-141"/>
    <m/>
    <s v="MS MILITARY STANDARDS"/>
    <n v="2177"/>
    <s v="EA"/>
    <n v="2.5000000000000001E-2"/>
    <s v="USD"/>
    <n v="1"/>
    <n v="2.5000000000000001E-2"/>
    <n v="54.425000000000004"/>
    <s v="VR000099"/>
    <x v="30"/>
    <s v="PO2425U10398"/>
    <d v="2024-10-25T00:00:00"/>
    <s v="100% Advance"/>
    <s v="EXW"/>
    <s v="Yes"/>
    <s v="Received "/>
    <s v="Done"/>
    <n v="0"/>
    <n v="2177"/>
    <n v="0"/>
    <m/>
    <m/>
    <m/>
    <m/>
    <m/>
    <m/>
    <m/>
    <m/>
    <d v="1900-01-09T00:00:00"/>
    <m/>
    <s v="Received"/>
    <m/>
    <m/>
    <m/>
    <m/>
    <n v="512326521"/>
    <s v="EL01-001732"/>
    <s v="EL01-001732"/>
    <m/>
  </r>
  <r>
    <n v="322"/>
    <d v="2024-12-25T00:00:00"/>
    <n v="512304874"/>
    <s v="EL01-001733-1"/>
    <m/>
    <s v="SCREW,MACHINE,PAN HEAD,CRUCIFORM RECESS"/>
    <s v="MS51957-28"/>
    <m/>
    <s v="MS MILITARY STANDARDS"/>
    <n v="2177"/>
    <s v="EA"/>
    <n v="0.05"/>
    <s v="USD"/>
    <n v="1"/>
    <n v="0.05"/>
    <n v="108.85000000000001"/>
    <s v="VR000099"/>
    <x v="30"/>
    <s v="PO2425U10398"/>
    <d v="2024-10-25T00:00:00"/>
    <s v="100% Advance"/>
    <s v="EXW"/>
    <s v="Yes"/>
    <s v="Received "/>
    <s v="Done"/>
    <n v="0"/>
    <n v="2177"/>
    <n v="0"/>
    <m/>
    <m/>
    <m/>
    <m/>
    <m/>
    <m/>
    <m/>
    <m/>
    <d v="1900-01-09T00:00:00"/>
    <m/>
    <s v="Received"/>
    <m/>
    <m/>
    <m/>
    <m/>
    <n v="512304874"/>
    <s v="EL01-001733"/>
    <s v="EL01-001733"/>
    <m/>
  </r>
  <r>
    <n v="323"/>
    <d v="2024-12-25T00:00:00"/>
    <n v="512304908"/>
    <s v="EL01-001734-1"/>
    <m/>
    <s v="SCREW MACHINE PAN HEAD CRUCIFORM RECESS"/>
    <s v="MS51957-31"/>
    <m/>
    <s v="MS MILITARY STANDARDS"/>
    <n v="4354"/>
    <s v="EA"/>
    <n v="0.08"/>
    <s v="USD"/>
    <n v="1"/>
    <n v="0.08"/>
    <n v="348.32"/>
    <s v="VR000099"/>
    <x v="30"/>
    <s v="PO2425U10398"/>
    <d v="2024-10-25T00:00:00"/>
    <s v="100% Advance"/>
    <s v="EXW"/>
    <s v="Yes"/>
    <s v="Received "/>
    <s v="Done"/>
    <n v="0"/>
    <n v="4354"/>
    <n v="0"/>
    <m/>
    <m/>
    <m/>
    <m/>
    <m/>
    <m/>
    <m/>
    <m/>
    <d v="1900-01-09T00:00:00"/>
    <m/>
    <s v="Received"/>
    <m/>
    <m/>
    <m/>
    <m/>
    <n v="512304908"/>
    <s v="EL01-001734"/>
    <s v="EL01-001734"/>
    <m/>
  </r>
  <r>
    <n v="324"/>
    <d v="2024-12-25T00:00:00"/>
    <n v="512313669"/>
    <s v="EL01-001735-1"/>
    <m/>
    <s v="SCREW,MACHINE,PAN HEAD,CRUCIFORM RECESS"/>
    <s v="MS51957-32"/>
    <m/>
    <s v="MS MILITARY STANDARDS"/>
    <n v="68566"/>
    <s v="EA"/>
    <n v="8.3500000000000005E-2"/>
    <s v="USD"/>
    <n v="1"/>
    <n v="8.3500000000000005E-2"/>
    <n v="5725.2610000000004"/>
    <s v="VR000099"/>
    <x v="30"/>
    <s v="PO2425U10398"/>
    <d v="2024-10-25T00:00:00"/>
    <s v="100% Advance"/>
    <s v="EXW"/>
    <s v="Yes"/>
    <s v="Received "/>
    <s v="Done"/>
    <n v="0"/>
    <n v="68566"/>
    <n v="0"/>
    <m/>
    <m/>
    <m/>
    <m/>
    <m/>
    <m/>
    <m/>
    <m/>
    <d v="1900-01-09T00:00:00"/>
    <s v="Confirmed date 15-8-2025"/>
    <m/>
    <m/>
    <m/>
    <m/>
    <m/>
    <n v="512313669"/>
    <s v="EL01-001735"/>
    <s v="EL01-001735"/>
    <m/>
  </r>
  <r>
    <n v="325"/>
    <d v="2024-12-25T00:00:00"/>
    <n v="512219262"/>
    <s v="EL01-001737-1"/>
    <m/>
    <s v="SCREW,CAP HEAD,HEX SOCKET RECESS,FULL SH"/>
    <s v="NAS1352C04-8"/>
    <m/>
    <s v="NAS/NASM NATIONAL AEROSPACE STD"/>
    <n v="3849"/>
    <s v="EA"/>
    <n v="0.12"/>
    <s v="USD"/>
    <n v="1"/>
    <n v="0.12"/>
    <n v="461.88"/>
    <s v="VR000099"/>
    <x v="30"/>
    <s v="PO2425U10398"/>
    <d v="2024-10-25T00:00:00"/>
    <s v="100% Advance"/>
    <s v="EXW"/>
    <s v="Yes"/>
    <s v="Received "/>
    <s v="Done"/>
    <n v="0"/>
    <n v="3849"/>
    <n v="0"/>
    <m/>
    <m/>
    <m/>
    <m/>
    <m/>
    <m/>
    <m/>
    <m/>
    <d v="1900-01-09T00:00:00"/>
    <m/>
    <s v="Received"/>
    <m/>
    <m/>
    <m/>
    <m/>
    <n v="512219262"/>
    <s v="EL01-001737"/>
    <s v="EL01-001737"/>
    <m/>
  </r>
  <r>
    <n v="326"/>
    <d v="2024-12-25T00:00:00"/>
    <n v="541553756"/>
    <s v="EL01-001740-1"/>
    <m/>
    <s v="WASHER,SPRING LOCK,HELICAL,HI-COLLAR,#6"/>
    <s v="NAS1676C6"/>
    <m/>
    <s v="NAS/NASM NATIONAL AEROSPACE STD"/>
    <n v="56594"/>
    <s v="EA"/>
    <n v="2.3900000000000001E-2"/>
    <s v="USD"/>
    <n v="1"/>
    <n v="2.3900000000000001E-2"/>
    <n v="1352.5966000000001"/>
    <s v="VR000099"/>
    <x v="30"/>
    <s v="PO2425U10398"/>
    <d v="2024-10-25T00:00:00"/>
    <s v="100% Advance"/>
    <s v="EXW"/>
    <s v="Yes"/>
    <s v="Received "/>
    <s v="Done"/>
    <n v="0"/>
    <n v="56594"/>
    <n v="0"/>
    <m/>
    <m/>
    <m/>
    <m/>
    <m/>
    <m/>
    <m/>
    <m/>
    <d v="1900-01-09T00:00:00"/>
    <m/>
    <s v="Received"/>
    <m/>
    <m/>
    <m/>
    <m/>
    <n v="541553756"/>
    <s v="EL01-001740"/>
    <s v="EL01-001740"/>
    <m/>
  </r>
  <r>
    <n v="327"/>
    <d v="2024-12-25T00:00:00"/>
    <n v="513206524"/>
    <s v="EL01-001742-1"/>
    <m/>
    <s v="NUT,HEX,PLAIN,NON-LOCKING,THIN,INCH SERI"/>
    <s v="NAS671C2"/>
    <m/>
    <s v="NAS/NASM NATIONAL AEROSPACE STD"/>
    <n v="2177"/>
    <s v="EA"/>
    <n v="0.32500000000000001"/>
    <s v="USD"/>
    <n v="1"/>
    <n v="0.32500000000000001"/>
    <n v="707.52499999999998"/>
    <s v="VR000099"/>
    <x v="30"/>
    <s v="PO2425U10398"/>
    <d v="2024-10-25T00:00:00"/>
    <s v="100% Advance"/>
    <s v="EXW"/>
    <s v="Yes"/>
    <s v="Received "/>
    <s v="Done"/>
    <n v="0"/>
    <n v="2177"/>
    <n v="0"/>
    <m/>
    <m/>
    <m/>
    <m/>
    <m/>
    <m/>
    <m/>
    <m/>
    <d v="1900-01-09T00:00:00"/>
    <s v="Shortage Qty"/>
    <m/>
    <m/>
    <m/>
    <m/>
    <m/>
    <n v="513206524"/>
    <s v="EL01-001742"/>
    <s v="EL01-001742"/>
    <m/>
  </r>
  <r>
    <n v="328"/>
    <d v="2024-12-25T00:00:00"/>
    <n v="400176910"/>
    <s v="EL01-000354-1"/>
    <m/>
    <s v="NUT RETAINER,100 DEG. FLUSH HEAD,SLOTTED"/>
    <s v="D791639-8/10-B"/>
    <m/>
    <s v="HOWMET GLOBAL FASTENING SYSTEMS(ALC"/>
    <n v="5510"/>
    <s v="EA"/>
    <n v="8.59"/>
    <s v="USD"/>
    <n v="1"/>
    <n v="8.59"/>
    <n v="47330.9"/>
    <s v="VR000099"/>
    <x v="30"/>
    <s v="PO2425U10398"/>
    <d v="2024-10-25T00:00:00"/>
    <s v="100% Advance"/>
    <s v="EXW"/>
    <s v="Yes"/>
    <s v="Received "/>
    <s v="Done"/>
    <n v="0"/>
    <n v="5510"/>
    <n v="0"/>
    <m/>
    <m/>
    <m/>
    <m/>
    <d v="2026-02-25T00:00:00"/>
    <m/>
    <m/>
    <m/>
    <d v="2026-03-07T00:00:00"/>
    <s v="Requested qty reduction"/>
    <m/>
    <m/>
    <m/>
    <m/>
    <m/>
    <n v="400176910"/>
    <s v="EL01-000354"/>
    <s v="EL01-000354"/>
    <m/>
  </r>
  <r>
    <n v="329"/>
    <d v="2025-06-25T00:00:00"/>
    <n v="400176910"/>
    <s v="EL01-000354-2"/>
    <m/>
    <s v="NUT RETAINER,100 DEG. FLUSH HEAD,SLOTTED"/>
    <s v="D791639-8/10-B"/>
    <m/>
    <s v="HOWMET GLOBAL FASTENING SYSTEMS(ALC"/>
    <n v="5510"/>
    <s v="EA"/>
    <n v="8.59"/>
    <s v="USD"/>
    <n v="1"/>
    <n v="8.59"/>
    <n v="47330.9"/>
    <s v="VR000099"/>
    <x v="30"/>
    <s v="PO2425U10398"/>
    <d v="2024-10-25T00:00:00"/>
    <s v="100% Advance"/>
    <s v="EXW"/>
    <s v="Yes"/>
    <s v="Received "/>
    <s v="Done"/>
    <n v="0"/>
    <n v="5510"/>
    <n v="0"/>
    <m/>
    <m/>
    <m/>
    <m/>
    <d v="2026-02-25T00:00:00"/>
    <m/>
    <m/>
    <m/>
    <d v="2026-03-07T00:00:00"/>
    <s v="Requested qty reduction"/>
    <m/>
    <m/>
    <m/>
    <m/>
    <m/>
    <n v="400176910"/>
    <s v="EL01-000354"/>
    <s v="EL01-000354"/>
    <m/>
  </r>
  <r>
    <n v="330"/>
    <d v="2025-09-25T00:00:00"/>
    <n v="400176910"/>
    <s v="EL01-000354-3"/>
    <m/>
    <s v="NUT RETAINER,100 DEG. FLUSH HEAD,SLOTTED"/>
    <s v="D791639-8/10-B"/>
    <m/>
    <s v="HOWMET GLOBAL FASTENING SYSTEMS(ALC"/>
    <n v="5510"/>
    <s v="EA"/>
    <n v="8.59"/>
    <s v="USD"/>
    <n v="1"/>
    <n v="8.59"/>
    <n v="47330.9"/>
    <s v="VR000099"/>
    <x v="30"/>
    <s v="PO2425U10398"/>
    <d v="2024-10-25T00:00:00"/>
    <s v="100% Advance"/>
    <s v="EXW"/>
    <s v="Yes"/>
    <s v="Received "/>
    <s v="Done"/>
    <n v="0"/>
    <n v="5510"/>
    <n v="0"/>
    <m/>
    <m/>
    <m/>
    <m/>
    <d v="2026-02-25T00:00:00"/>
    <m/>
    <m/>
    <m/>
    <d v="2026-03-07T00:00:00"/>
    <s v="Requested qty reduction"/>
    <m/>
    <m/>
    <m/>
    <m/>
    <m/>
    <n v="400176910"/>
    <s v="EL01-000354"/>
    <s v="EL01-000354"/>
    <m/>
  </r>
  <r>
    <n v="331"/>
    <d v="2025-12-25T00:00:00"/>
    <n v="400176910"/>
    <s v="EL01-000354-4"/>
    <m/>
    <s v="NUT RETAINER,100 DEG. FLUSH HEAD,SLOTTED"/>
    <s v="D791639-8/10-B"/>
    <m/>
    <s v="HOWMET GLOBAL FASTENING SYSTEMS(ALC"/>
    <n v="5508"/>
    <s v="EA"/>
    <n v="8.59"/>
    <s v="USD"/>
    <n v="1"/>
    <n v="8.59"/>
    <n v="47313.72"/>
    <s v="VR000099"/>
    <x v="30"/>
    <s v="PO2425U10398"/>
    <d v="2024-10-25T00:00:00"/>
    <s v="100% Advance"/>
    <s v="EXW"/>
    <s v="Yes"/>
    <s v="Received "/>
    <s v="Done"/>
    <n v="0"/>
    <n v="5508"/>
    <n v="0"/>
    <m/>
    <m/>
    <m/>
    <m/>
    <d v="2026-02-25T00:00:00"/>
    <m/>
    <m/>
    <m/>
    <d v="2026-03-07T00:00:00"/>
    <s v="Requested qty reduction"/>
    <m/>
    <m/>
    <m/>
    <m/>
    <m/>
    <n v="400176910"/>
    <s v="EL01-000354"/>
    <s v="EL01-000354"/>
    <m/>
  </r>
  <r>
    <n v="332"/>
    <d v="2024-12-15T00:00:00"/>
    <s v="N87921284"/>
    <s v="EL01-000438-1"/>
    <m/>
    <s v="CONDUCTIVE  WIRE MESH STRIP 2.39MM D"/>
    <s v="20-41111"/>
    <m/>
    <s v="PARKER HANNIFIN CORPORATION"/>
    <n v="5000"/>
    <s v="FT"/>
    <n v="1.3"/>
    <s v="USD"/>
    <n v="1"/>
    <n v="1.3"/>
    <n v="6500"/>
    <s v="VR000099"/>
    <x v="30"/>
    <s v="PO2425U10592"/>
    <d v="2024-12-05T00:00:00"/>
    <s v="100% Advance"/>
    <s v="EXW"/>
    <s v="No"/>
    <m/>
    <m/>
    <n v="0"/>
    <n v="5000"/>
    <n v="0"/>
    <m/>
    <m/>
    <m/>
    <m/>
    <m/>
    <m/>
    <m/>
    <m/>
    <d v="1900-01-09T00:00:00"/>
    <m/>
    <m/>
    <m/>
    <m/>
    <m/>
    <m/>
    <s v="N87921284"/>
    <s v="EL01-000438"/>
    <s v="EL01-000438"/>
    <m/>
  </r>
  <r>
    <n v="333"/>
    <d v="2024-12-15T00:00:00"/>
    <n v="400607645"/>
    <s v="EL01-001751-1"/>
    <m/>
    <s v="CHIP POWER SPLITTER 2-WAY 2.825-3.7GHZ"/>
    <s v="SCN-2-35+"/>
    <m/>
    <s v="MINI-CIRCUITS LABORATORY"/>
    <n v="17350"/>
    <s v="EA"/>
    <n v="0.86"/>
    <s v="USD"/>
    <n v="1"/>
    <n v="0.86"/>
    <n v="14921"/>
    <s v="VR000550"/>
    <x v="31"/>
    <s v="PO2425U10483"/>
    <d v="2024-10-29T00:00:00"/>
    <s v="100% Advance for each Lot"/>
    <s v="EXW"/>
    <s v="Yes"/>
    <s v="Received "/>
    <m/>
    <n v="0"/>
    <n v="17350"/>
    <n v="0"/>
    <m/>
    <m/>
    <m/>
    <m/>
    <m/>
    <m/>
    <m/>
    <m/>
    <d v="1900-01-09T00:00:00"/>
    <m/>
    <s v="Received"/>
    <m/>
    <m/>
    <m/>
    <m/>
    <n v="400607645"/>
    <s v="EL01-001751"/>
    <s v="EL01-001751"/>
    <m/>
  </r>
  <r>
    <n v="334"/>
    <d v="2025-09-15T00:00:00"/>
    <n v="400607645"/>
    <s v="EL01-001751-2"/>
    <m/>
    <s v="CHIP POWER SPLITTER 2-WAY 2.825-3.7GHZ"/>
    <s v="SCN-2-35+"/>
    <m/>
    <s v="MINI-CIRCUITS LABORATORY"/>
    <n v="16800"/>
    <s v="EA"/>
    <n v="0.86"/>
    <s v="USD"/>
    <n v="1"/>
    <n v="0.86"/>
    <n v="14448"/>
    <s v="VR000550"/>
    <x v="31"/>
    <s v="PO2425U10483"/>
    <d v="2024-10-29T00:00:00"/>
    <s v="100% Advance for each Lot"/>
    <s v="EXW"/>
    <s v="No"/>
    <s v="Received "/>
    <m/>
    <n v="0"/>
    <n v="16800"/>
    <n v="0"/>
    <m/>
    <m/>
    <m/>
    <m/>
    <m/>
    <m/>
    <m/>
    <m/>
    <d v="1900-01-09T00:00:00"/>
    <m/>
    <m/>
    <m/>
    <m/>
    <m/>
    <m/>
    <n v="400607645"/>
    <s v="EL01-001751"/>
    <s v="EL01-001751"/>
    <m/>
  </r>
  <r>
    <n v="335"/>
    <d v="2024-11-11T00:00:00"/>
    <n v="401040715"/>
    <s v="EL01-000407-5"/>
    <m/>
    <s v="CONN RF ADAPTER SMP (F) / SMP (F) SPRING"/>
    <s v="R222.723.110"/>
    <m/>
    <s v="RADIALL"/>
    <n v="74"/>
    <s v="EA"/>
    <n v="55.53"/>
    <s v="USD"/>
    <n v="1"/>
    <n v="55.53"/>
    <n v="4109.22"/>
    <s v="VR000014"/>
    <x v="11"/>
    <s v="PO2425U10521"/>
    <d v="2024-11-11T00:00:00"/>
    <s v="Net 30 Days"/>
    <s v="EXW"/>
    <s v="Yes"/>
    <m/>
    <m/>
    <n v="0"/>
    <n v="74"/>
    <n v="0"/>
    <m/>
    <m/>
    <m/>
    <m/>
    <m/>
    <m/>
    <m/>
    <m/>
    <d v="1900-01-09T00:00:00"/>
    <m/>
    <s v="Received"/>
    <m/>
    <m/>
    <m/>
    <m/>
    <n v="401040715"/>
    <s v="EL01-000407"/>
    <s v="EL01-000407"/>
    <m/>
  </r>
  <r>
    <n v="336"/>
    <d v="2024-12-15T00:00:00"/>
    <n v="421343534"/>
    <s v="EL01-002198-1"/>
    <m/>
    <s v="CHIP RESIS 80.6KOHM 1^ .063W T&amp;R"/>
    <s v="CRCW040280K6FKED"/>
    <m/>
    <s v="Vishay"/>
    <n v="1000"/>
    <s v="EA"/>
    <n v="8.0000000000000002E-3"/>
    <s v="USD"/>
    <n v="1"/>
    <n v="8.0000000000000002E-3"/>
    <n v="8"/>
    <s v="VR000014"/>
    <x v="11"/>
    <s v="PO2425U10612"/>
    <d v="2024-12-10T00:00:00"/>
    <s v="Net 30days"/>
    <s v="EXW"/>
    <s v="Yes"/>
    <m/>
    <m/>
    <n v="0"/>
    <n v="1000"/>
    <n v="0"/>
    <m/>
    <m/>
    <m/>
    <m/>
    <m/>
    <m/>
    <m/>
    <m/>
    <d v="1900-01-09T00:00:00"/>
    <m/>
    <s v="Received"/>
    <m/>
    <m/>
    <m/>
    <m/>
    <n v="421343534"/>
    <s v="EL01-002198"/>
    <s v="EL01-002198"/>
    <m/>
  </r>
  <r>
    <n v="337"/>
    <d v="2024-12-15T00:00:00"/>
    <n v="400157870"/>
    <s v="EL01-002199-1"/>
    <m/>
    <s v="SCHOTTKY RECTIFIER 2.0A 100V T&amp;R"/>
    <s v="NRVBM2H100T3G"/>
    <m/>
    <s v="Onsemi"/>
    <n v="20000"/>
    <s v="EA"/>
    <n v="0.318"/>
    <s v="USD"/>
    <n v="1"/>
    <n v="0.318"/>
    <n v="6360"/>
    <s v="VR000014"/>
    <x v="11"/>
    <s v="PO2425U10612"/>
    <d v="2024-12-10T00:00:00"/>
    <s v="Net 30days"/>
    <s v="EXW"/>
    <s v="Yes"/>
    <m/>
    <m/>
    <n v="0"/>
    <n v="20000"/>
    <n v="0"/>
    <m/>
    <m/>
    <m/>
    <m/>
    <m/>
    <m/>
    <m/>
    <m/>
    <d v="1900-01-09T00:00:00"/>
    <m/>
    <s v="Received"/>
    <m/>
    <m/>
    <m/>
    <m/>
    <n v="400157870"/>
    <s v="EL01-002199"/>
    <s v="EL01-002199"/>
    <m/>
  </r>
  <r>
    <n v="338"/>
    <d v="2024-12-15T00:00:00"/>
    <n v="400620323"/>
    <s v="EL01-002200-1"/>
    <m/>
    <s v="TRANSIENT SUPRESSOR 28V 600W TAPE&amp;RE"/>
    <s v="SMBJ28A-E3/52"/>
    <m/>
    <s v="Vishay"/>
    <n v="539"/>
    <s v="EA"/>
    <n v="8.2000000000000003E-2"/>
    <s v="USD"/>
    <n v="1"/>
    <n v="8.2000000000000003E-2"/>
    <n v="44.198"/>
    <s v="VR000014"/>
    <x v="11"/>
    <s v="PO2425U10612"/>
    <d v="2024-12-10T00:00:00"/>
    <s v="Net 30days"/>
    <s v="EXW"/>
    <s v="Yes"/>
    <m/>
    <m/>
    <n v="0"/>
    <n v="539"/>
    <n v="0"/>
    <m/>
    <m/>
    <m/>
    <m/>
    <m/>
    <m/>
    <m/>
    <m/>
    <d v="1900-01-09T00:00:00"/>
    <m/>
    <s v="Received"/>
    <m/>
    <m/>
    <m/>
    <m/>
    <n v="400620323"/>
    <s v="EL01-002200"/>
    <s v="EL01-002200"/>
    <m/>
  </r>
  <r>
    <n v="339"/>
    <d v="2024-11-11T00:00:00"/>
    <n v="401018376"/>
    <s v="EL01-001830-1"/>
    <m/>
    <s v="IC MEMORY FLASH SERIAL 32-MEGABIT"/>
    <s v="AT25DF321A-SH-B"/>
    <m/>
    <s v="RENESAS ELECTRONICS"/>
    <n v="1080"/>
    <s v="EA"/>
    <n v="1.96"/>
    <s v="USD"/>
    <n v="1"/>
    <n v="1.96"/>
    <n v="2116.8000000000002"/>
    <s v="VR000014"/>
    <x v="11"/>
    <s v="PO2425U10521"/>
    <d v="2024-11-11T00:00:00"/>
    <s v="Net 30 Days"/>
    <s v="EXW"/>
    <s v="Yes"/>
    <m/>
    <m/>
    <n v="0"/>
    <n v="1080"/>
    <n v="0"/>
    <m/>
    <m/>
    <m/>
    <m/>
    <m/>
    <m/>
    <m/>
    <m/>
    <d v="1900-01-09T00:00:00"/>
    <m/>
    <s v="Received"/>
    <m/>
    <m/>
    <m/>
    <m/>
    <n v="401018376"/>
    <s v="EL01-001830"/>
    <s v="EL01-001830"/>
    <m/>
  </r>
  <r>
    <n v="340"/>
    <d v="2024-12-20T00:00:00"/>
    <n v="400542420"/>
    <s v="EL01-000320-1"/>
    <m/>
    <s v="CONN RF ADAPTOR SMP JACK STRA/JACK STRA,"/>
    <s v="19K101-K00L5"/>
    <m/>
    <s v="ROSENBERGER"/>
    <n v="3900"/>
    <s v="EA"/>
    <n v="2.17"/>
    <s v="EUR"/>
    <n v="1.1200000000000001"/>
    <n v="2.4304000000000001"/>
    <n v="9478.5600000000013"/>
    <s v="VR000501"/>
    <x v="32"/>
    <s v="PO2425U10420"/>
    <d v="2024-10-25T00:00:00"/>
    <s v="Net 30 Days"/>
    <s v="EXW"/>
    <s v="Yes"/>
    <m/>
    <m/>
    <n v="0"/>
    <n v="3900"/>
    <n v="0"/>
    <m/>
    <m/>
    <m/>
    <m/>
    <m/>
    <m/>
    <m/>
    <m/>
    <d v="1900-01-09T00:00:00"/>
    <m/>
    <s v="Received"/>
    <m/>
    <m/>
    <m/>
    <m/>
    <n v="400542420"/>
    <s v="EL01-000320"/>
    <s v="EL01-000320"/>
    <m/>
  </r>
  <r>
    <n v="341"/>
    <d v="2024-12-20T00:00:00"/>
    <n v="412241007"/>
    <s v="EL01-000321-1"/>
    <m/>
    <s v="CONN RF ADAPTER SMA(F)/SMP(M)SMOOTH BORE"/>
    <s v="19S732-K04S5"/>
    <m/>
    <s v="ROSENBERGER"/>
    <n v="700"/>
    <s v="EA"/>
    <n v="9.1300000000000008"/>
    <s v="EUR"/>
    <n v="1.1200000000000001"/>
    <n v="10.225600000000002"/>
    <n v="7157.920000000001"/>
    <s v="VR000501"/>
    <x v="32"/>
    <s v="PO2425U10420"/>
    <d v="2024-10-25T00:00:00"/>
    <s v="Net 30 Days"/>
    <s v="EXW"/>
    <s v="Yes"/>
    <m/>
    <m/>
    <n v="0"/>
    <n v="700"/>
    <n v="0"/>
    <m/>
    <m/>
    <m/>
    <m/>
    <m/>
    <m/>
    <m/>
    <m/>
    <d v="1900-01-09T00:00:00"/>
    <m/>
    <s v="Received"/>
    <m/>
    <m/>
    <m/>
    <m/>
    <n v="412241007"/>
    <s v="EL01-000321"/>
    <s v="EL01-000321"/>
    <m/>
  </r>
  <r>
    <n v="342"/>
    <d v="2024-12-15T00:00:00"/>
    <n v="404179667"/>
    <s v="EL01-001967-1"/>
    <m/>
    <s v="CONN,RF,ADAPTER,RPC-SP PLUG/SMP PLUG,50"/>
    <s v="10S519-S60N3"/>
    <m/>
    <s v="ROSENBERGER"/>
    <n v="37400"/>
    <s v="EA"/>
    <n v="2.94"/>
    <s v="EUR"/>
    <n v="1.1200000000000001"/>
    <n v="3.2928000000000002"/>
    <n v="123150.72"/>
    <s v="VR000501"/>
    <x v="32"/>
    <s v="PO2425U10420"/>
    <d v="2024-10-25T00:00:00"/>
    <s v="Net 30 Days"/>
    <s v="EXW"/>
    <s v="Yes"/>
    <m/>
    <m/>
    <n v="0"/>
    <n v="37400"/>
    <n v="0"/>
    <m/>
    <m/>
    <m/>
    <m/>
    <m/>
    <m/>
    <m/>
    <m/>
    <d v="1900-01-09T00:00:00"/>
    <m/>
    <s v="Received"/>
    <m/>
    <m/>
    <m/>
    <m/>
    <n v="404179667"/>
    <s v="EL01-001967"/>
    <s v="EL01-001967"/>
    <m/>
  </r>
  <r>
    <n v="343"/>
    <d v="2024-12-15T00:00:00"/>
    <n v="405928222"/>
    <s v="EL01-001968-1"/>
    <m/>
    <s v="CONN RF ADAPTER SMP(F)/SMP(F) L=10.0MM"/>
    <s v="19K119-K40L5"/>
    <m/>
    <s v="ROSENBERGER"/>
    <n v="37400"/>
    <s v="EA"/>
    <n v="2.19"/>
    <s v="EUR"/>
    <n v="1.1200000000000001"/>
    <n v="2.4528000000000003"/>
    <n v="91734.720000000016"/>
    <s v="VR000501"/>
    <x v="32"/>
    <s v="PO2425U10420"/>
    <d v="2024-10-25T00:00:00"/>
    <s v="Net 30 Days"/>
    <s v="EXW"/>
    <s v="Yes"/>
    <m/>
    <m/>
    <n v="0"/>
    <n v="37400"/>
    <n v="0"/>
    <m/>
    <m/>
    <m/>
    <m/>
    <m/>
    <m/>
    <m/>
    <m/>
    <d v="1900-01-09T00:00:00"/>
    <m/>
    <s v="Received"/>
    <m/>
    <m/>
    <m/>
    <m/>
    <n v="405928222"/>
    <s v="EL01-001968"/>
    <s v="EL01-001968"/>
    <m/>
  </r>
  <r>
    <n v="344"/>
    <d v="2024-12-15T00:00:00"/>
    <n v="404495499"/>
    <s v="EL01-001969-1"/>
    <m/>
    <s v="CONN RF SMP STRT PLUG,50OHMS,DC TO 18GH"/>
    <s v="19S11E-400L5"/>
    <m/>
    <s v="ROSENBERGER"/>
    <n v="9500"/>
    <s v="EA"/>
    <n v="2.15"/>
    <s v="EUR"/>
    <n v="1.1200000000000001"/>
    <n v="2.4079999999999999"/>
    <n v="22876"/>
    <s v="VR000501"/>
    <x v="32"/>
    <s v="PO2425U10420"/>
    <d v="2024-10-25T00:00:00"/>
    <s v="Net 30 Days"/>
    <s v="EXW"/>
    <s v="No"/>
    <m/>
    <m/>
    <n v="0"/>
    <n v="9500"/>
    <n v="0"/>
    <m/>
    <m/>
    <m/>
    <m/>
    <m/>
    <m/>
    <m/>
    <m/>
    <d v="1900-01-09T00:00:00"/>
    <m/>
    <m/>
    <m/>
    <m/>
    <m/>
    <m/>
    <n v="404495499"/>
    <s v="EL01-001969"/>
    <s v="EL01-001969"/>
    <m/>
  </r>
  <r>
    <n v="345"/>
    <d v="2025-06-15T00:00:00"/>
    <n v="404495499"/>
    <s v="EL01-001969-2"/>
    <m/>
    <s v="CONN RF SMP STRT PLUG,50OHMS,DC TO 18GH"/>
    <s v="19S11E-400L5"/>
    <m/>
    <s v="ROSENBERGER"/>
    <n v="9500"/>
    <s v="EA"/>
    <n v="2.15"/>
    <s v="EUR"/>
    <n v="1.1200000000000001"/>
    <n v="2.4079999999999999"/>
    <n v="22876"/>
    <s v="VR000501"/>
    <x v="32"/>
    <s v="PO2425U10420"/>
    <d v="2024-10-25T00:00:00"/>
    <s v="Net 30 Days"/>
    <s v="EXW"/>
    <s v="No"/>
    <m/>
    <m/>
    <n v="0"/>
    <n v="9500"/>
    <n v="0"/>
    <m/>
    <m/>
    <m/>
    <m/>
    <m/>
    <m/>
    <m/>
    <m/>
    <d v="1900-01-09T00:00:00"/>
    <m/>
    <m/>
    <m/>
    <m/>
    <m/>
    <m/>
    <n v="404495499"/>
    <s v="EL01-001969"/>
    <s v="EL01-001969"/>
    <m/>
  </r>
  <r>
    <n v="346"/>
    <d v="2025-09-15T00:00:00"/>
    <n v="404495499"/>
    <s v="EL01-001969-3"/>
    <m/>
    <s v="CONN RF SMP STRT PLUG,50OHMS,DC TO 18GH"/>
    <s v="19S11E-400L5"/>
    <m/>
    <s v="ROSENBERGER"/>
    <n v="9500"/>
    <s v="EA"/>
    <n v="2.15"/>
    <s v="EUR"/>
    <n v="1.1200000000000001"/>
    <n v="2.4079999999999999"/>
    <n v="22876"/>
    <s v="VR000501"/>
    <x v="32"/>
    <s v="PO2425U10420"/>
    <d v="2024-10-25T00:00:00"/>
    <s v="Net 30 Days"/>
    <s v="EXW"/>
    <s v="No"/>
    <m/>
    <m/>
    <n v="0"/>
    <n v="9500"/>
    <n v="0"/>
    <m/>
    <m/>
    <m/>
    <m/>
    <m/>
    <m/>
    <m/>
    <m/>
    <d v="1900-01-09T00:00:00"/>
    <m/>
    <m/>
    <m/>
    <m/>
    <m/>
    <m/>
    <n v="404495499"/>
    <s v="EL01-001969"/>
    <s v="EL01-001969"/>
    <m/>
  </r>
  <r>
    <n v="347"/>
    <d v="2025-12-15T00:00:00"/>
    <n v="404495499"/>
    <s v="EL01-001969-4"/>
    <m/>
    <s v="CONN RF SMP STRT PLUG,50OHMS,DC TO 18GH"/>
    <s v="19S11E-400L5"/>
    <m/>
    <s v="ROSENBERGER"/>
    <n v="9000"/>
    <s v="EA"/>
    <n v="2.15"/>
    <s v="EUR"/>
    <n v="1.1200000000000001"/>
    <n v="2.4079999999999999"/>
    <n v="21672"/>
    <s v="VR000501"/>
    <x v="32"/>
    <s v="PO2425U10420"/>
    <d v="2024-10-25T00:00:00"/>
    <s v="Net 30 Days"/>
    <s v="EXW"/>
    <s v="No"/>
    <m/>
    <m/>
    <n v="0"/>
    <n v="9000"/>
    <n v="0"/>
    <m/>
    <m/>
    <m/>
    <m/>
    <m/>
    <m/>
    <m/>
    <m/>
    <d v="1900-01-09T00:00:00"/>
    <m/>
    <m/>
    <m/>
    <m/>
    <m/>
    <m/>
    <n v="404495499"/>
    <s v="EL01-001969"/>
    <s v="EL01-001969"/>
    <m/>
  </r>
  <r>
    <n v="348"/>
    <d v="2024-12-15T00:00:00"/>
    <n v="411263723"/>
    <s v="EL01-001970-1"/>
    <m/>
    <s v="CONN RF SMP PLUG STR PCB SMT L.D.,50OHMS"/>
    <s v="19S11T-40ML5"/>
    <m/>
    <s v="ROSENBERGER"/>
    <n v="4500"/>
    <s v="EA"/>
    <n v="1.7"/>
    <s v="EUR"/>
    <n v="1.1200000000000001"/>
    <n v="1.9040000000000001"/>
    <n v="8568"/>
    <s v="VR000501"/>
    <x v="32"/>
    <s v="PO2425U10420"/>
    <d v="2024-10-25T00:00:00"/>
    <s v="Net 30 Days"/>
    <s v="EXW"/>
    <s v="Yes"/>
    <m/>
    <m/>
    <n v="0"/>
    <n v="4500"/>
    <n v="0"/>
    <m/>
    <m/>
    <m/>
    <m/>
    <m/>
    <m/>
    <m/>
    <m/>
    <d v="1900-01-09T00:00:00"/>
    <m/>
    <s v="Received"/>
    <m/>
    <m/>
    <m/>
    <m/>
    <n v="411263723"/>
    <s v="EL01-001970"/>
    <s v="EL01-001970"/>
    <m/>
  </r>
  <r>
    <n v="349"/>
    <d v="2025-01-15T00:00:00"/>
    <s v="N80404452"/>
    <s v="EL01-000322-1"/>
    <m/>
    <s v="ATTENUATOR DC-18GHZ 3DB .5WATT 50 OH"/>
    <s v="2082-6040-03"/>
    <m/>
    <s v="XMA CORPORATION"/>
    <n v="130"/>
    <s v="EA"/>
    <n v="36.738460000000003"/>
    <s v="USD"/>
    <n v="1"/>
    <n v="36.738460000000003"/>
    <n v="4775.9998000000005"/>
    <s v="VR000523"/>
    <x v="33"/>
    <s v="PO2425U10455"/>
    <d v="2024-10-28T00:00:00"/>
    <s v="100% Advance"/>
    <s v="EXW"/>
    <s v="Yes"/>
    <s v="Received "/>
    <s v="Done"/>
    <n v="0"/>
    <n v="130"/>
    <n v="0"/>
    <m/>
    <m/>
    <m/>
    <m/>
    <m/>
    <m/>
    <m/>
    <m/>
    <d v="1900-01-09T00:00:00"/>
    <s v="PO Value updated as per PI-EI24800002(Discount.02$)"/>
    <s v="Received"/>
    <m/>
    <m/>
    <m/>
    <m/>
    <s v="N80404452"/>
    <s v="EL01-000322"/>
    <s v="EL01-000322"/>
    <m/>
  </r>
  <r>
    <n v="350"/>
    <d v="2024-12-15T00:00:00"/>
    <s v="N64469976"/>
    <s v="EL01-001752-1"/>
    <m/>
    <s v="CONN RECT MISC PCB, 34 PIN SMD, 2-ROWS,"/>
    <s v="221T34F24"/>
    <m/>
    <s v="NICOMATIC"/>
    <n v="268"/>
    <s v="EA"/>
    <n v="2000"/>
    <s v="INR"/>
    <n v="1.2E-2"/>
    <n v="24"/>
    <n v="6432"/>
    <s v="VR000088"/>
    <x v="34"/>
    <s v="PO2425U10408"/>
    <d v="2024-10-28T00:00:00"/>
    <s v="50% Advance balance before shipment"/>
    <s v="EXW"/>
    <s v="Yes"/>
    <s v="Received "/>
    <m/>
    <n v="0"/>
    <n v="268"/>
    <n v="0"/>
    <m/>
    <m/>
    <m/>
    <m/>
    <m/>
    <m/>
    <m/>
    <m/>
    <d v="1900-01-09T00:00:00"/>
    <m/>
    <m/>
    <m/>
    <m/>
    <m/>
    <m/>
    <s v="N64469976"/>
    <s v="EL01-001752"/>
    <s v="EL01-001752"/>
    <m/>
  </r>
  <r>
    <n v="351"/>
    <d v="2025-06-15T00:00:00"/>
    <s v="N64469976"/>
    <s v="EL01-001752-2"/>
    <m/>
    <s v="CONN RECT MISC PCB, 34 PIN SMD, 2-ROWS,"/>
    <s v="221T34F24"/>
    <m/>
    <s v="NICOMATIC"/>
    <n v="268"/>
    <s v="EA"/>
    <n v="2000"/>
    <s v="INR"/>
    <n v="1.2E-2"/>
    <n v="24"/>
    <n v="6432"/>
    <s v="VR000088"/>
    <x v="34"/>
    <s v="PO2425U10408"/>
    <d v="2024-10-28T00:00:00"/>
    <s v="50% Advance balance before shipment"/>
    <s v="EXW"/>
    <s v="Yes"/>
    <s v="Received "/>
    <m/>
    <n v="0"/>
    <n v="268"/>
    <n v="0"/>
    <m/>
    <m/>
    <m/>
    <m/>
    <m/>
    <m/>
    <m/>
    <m/>
    <d v="1900-01-09T00:00:00"/>
    <m/>
    <m/>
    <m/>
    <m/>
    <m/>
    <m/>
    <s v="N64469976"/>
    <s v="EL01-001752"/>
    <s v="EL01-001752"/>
    <m/>
  </r>
  <r>
    <n v="352"/>
    <d v="2025-09-15T00:00:00"/>
    <s v="N64469976"/>
    <s v="EL01-001752-3"/>
    <m/>
    <s v="CONN RECT MISC PCB, 34 PIN SMD, 2-ROWS,"/>
    <s v="221T34F24"/>
    <m/>
    <s v="NICOMATIC"/>
    <n v="268"/>
    <s v="EA"/>
    <n v="2000"/>
    <s v="INR"/>
    <n v="1.2E-2"/>
    <n v="24"/>
    <n v="6432"/>
    <s v="VR000088"/>
    <x v="34"/>
    <s v="PO2425U10408"/>
    <d v="2024-10-28T00:00:00"/>
    <s v="50% Advance balance before shipment"/>
    <s v="EXW"/>
    <s v="Yes"/>
    <s v="Received "/>
    <m/>
    <n v="0"/>
    <n v="268"/>
    <n v="0"/>
    <n v="268"/>
    <m/>
    <m/>
    <m/>
    <d v="2025-11-25T00:00:00"/>
    <m/>
    <m/>
    <m/>
    <d v="2025-12-05T00:00:00"/>
    <m/>
    <m/>
    <m/>
    <m/>
    <m/>
    <m/>
    <s v="N64469976"/>
    <s v="EL01-001752"/>
    <s v="EL01-001752"/>
    <m/>
  </r>
  <r>
    <n v="353"/>
    <d v="2025-12-15T00:00:00"/>
    <s v="N64469976"/>
    <s v="EL01-001752-4"/>
    <m/>
    <s v="CONN RECT MISC PCB, 34 PIN SMD, 2-ROWS,"/>
    <s v="221T34F24"/>
    <m/>
    <s v="NICOMATIC"/>
    <n v="266"/>
    <s v="EA"/>
    <n v="2000"/>
    <s v="INR"/>
    <n v="1.2E-2"/>
    <n v="24"/>
    <n v="6384"/>
    <s v="VR000088"/>
    <x v="34"/>
    <s v="PO2425U10408"/>
    <d v="2024-10-28T00:00:00"/>
    <s v="50% Advance balance before shipment"/>
    <s v="EXW"/>
    <s v="Yes"/>
    <s v="Received "/>
    <m/>
    <n v="0"/>
    <n v="266"/>
    <n v="0"/>
    <n v="266"/>
    <m/>
    <m/>
    <m/>
    <d v="2025-12-15T00:00:00"/>
    <m/>
    <m/>
    <m/>
    <d v="2025-12-25T00:00:00"/>
    <m/>
    <m/>
    <m/>
    <m/>
    <m/>
    <m/>
    <s v="N64469976"/>
    <s v="EL01-001752"/>
    <s v="EL01-001752"/>
    <m/>
  </r>
  <r>
    <n v="354"/>
    <d v="2024-12-15T00:00:00"/>
    <n v="401172747"/>
    <s v="EL01-001860-1"/>
    <m/>
    <s v="CHIP CAP 10PF +-0.25PF 50V C0G T&amp;R"/>
    <s v="C0402C100C5GAC7867"/>
    <m/>
    <s v="KEMET ELECTRONICS S A"/>
    <n v="350000"/>
    <s v="EA"/>
    <n v="1.6500000000000001E-2"/>
    <s v="USD"/>
    <n v="1"/>
    <n v="1.6500000000000001E-2"/>
    <n v="5775"/>
    <s v="VR000536"/>
    <x v="35"/>
    <s v="PO2425U10468"/>
    <d v="2024-11-04T00:00:00"/>
    <s v="100% Advance"/>
    <s v="EXW"/>
    <s v="Yes"/>
    <s v="Received "/>
    <m/>
    <n v="0"/>
    <n v="350000"/>
    <n v="0"/>
    <m/>
    <m/>
    <m/>
    <m/>
    <m/>
    <m/>
    <m/>
    <m/>
    <d v="1900-01-09T00:00:00"/>
    <m/>
    <m/>
    <m/>
    <m/>
    <m/>
    <m/>
    <n v="401172747"/>
    <s v="EL01-001860"/>
    <s v="EL01-001860"/>
    <m/>
  </r>
  <r>
    <n v="355"/>
    <d v="2024-12-15T00:00:00"/>
    <n v="400538428"/>
    <s v="EL01-001866-1"/>
    <m/>
    <s v="CHIP CAP 56PF 2% 50V C0G T&amp;R"/>
    <s v="C0603C560G5GACTU"/>
    <m/>
    <s v="KEMET ELECTRONICS S A"/>
    <n v="12000"/>
    <s v="EA"/>
    <n v="0.12"/>
    <s v="USD"/>
    <n v="1"/>
    <n v="0.12"/>
    <n v="1440"/>
    <s v="VR000536"/>
    <x v="35"/>
    <s v="PO2425U10468"/>
    <d v="2024-11-04T00:00:00"/>
    <s v="100% Advance"/>
    <s v="EXW"/>
    <s v="Yes"/>
    <s v="Received "/>
    <m/>
    <n v="0"/>
    <n v="12000"/>
    <n v="0"/>
    <m/>
    <m/>
    <m/>
    <m/>
    <m/>
    <m/>
    <m/>
    <m/>
    <d v="1900-01-09T00:00:00"/>
    <m/>
    <m/>
    <m/>
    <m/>
    <m/>
    <m/>
    <n v="400538428"/>
    <s v="EL01-001866"/>
    <s v="EL01-001866"/>
    <m/>
  </r>
  <r>
    <n v="356"/>
    <d v="2025-09-15T00:00:00"/>
    <n v="401172747"/>
    <s v="EL01-001860-2"/>
    <m/>
    <s v="CHIP CAP 10PF +-0.25PF 50V C0G T&amp;R"/>
    <s v="C0402C100C5GAC7867"/>
    <m/>
    <s v="KEMET ELECTRONICS S A"/>
    <n v="340000"/>
    <s v="EA"/>
    <n v="1.6500000000000001E-2"/>
    <s v="USD"/>
    <n v="1"/>
    <n v="1.6500000000000001E-2"/>
    <n v="5610"/>
    <s v="VR000536"/>
    <x v="35"/>
    <s v="PO2425U10468"/>
    <d v="2024-11-04T00:00:00"/>
    <s v="100% Advance"/>
    <s v="EXW"/>
    <s v="Yes"/>
    <s v="Received "/>
    <m/>
    <n v="0"/>
    <n v="340000"/>
    <n v="0"/>
    <m/>
    <m/>
    <m/>
    <m/>
    <m/>
    <m/>
    <m/>
    <m/>
    <d v="1900-01-09T00:00:00"/>
    <m/>
    <m/>
    <m/>
    <m/>
    <m/>
    <m/>
    <n v="401172747"/>
    <s v="EL01-001860"/>
    <s v="EL01-001860"/>
    <m/>
  </r>
  <r>
    <n v="357"/>
    <d v="2024-12-30T00:00:00"/>
    <n v="401225108"/>
    <s v="EL01-000821-1"/>
    <m/>
    <s v="CHIP CAP 0.7PF +-.02PF 100V T&amp;R"/>
    <s v="04021J0R7PBSTR"/>
    <m/>
    <s v="AVX"/>
    <n v="20000"/>
    <s v="EA"/>
    <n v="0.17"/>
    <s v="USD"/>
    <n v="1"/>
    <n v="0.17"/>
    <n v="3400.0000000000005"/>
    <s v="VR000085"/>
    <x v="36"/>
    <s v="PO2425U10403"/>
    <d v="2024-10-28T00:00:00"/>
    <s v="Before shipment"/>
    <s v="EXW"/>
    <s v="Yes"/>
    <m/>
    <m/>
    <n v="0"/>
    <n v="20000"/>
    <n v="0"/>
    <m/>
    <m/>
    <m/>
    <m/>
    <m/>
    <m/>
    <m/>
    <m/>
    <d v="1900-01-09T00:00:00"/>
    <m/>
    <s v="Received"/>
    <m/>
    <m/>
    <m/>
    <m/>
    <n v="401225108"/>
    <s v="EL01-000821"/>
    <s v="EL01-000821"/>
    <m/>
  </r>
  <r>
    <n v="358"/>
    <d v="2024-12-30T00:00:00"/>
    <n v="401225101"/>
    <s v="EL01-001760-1"/>
    <m/>
    <s v="CHIP CAP 3.3PF +-.05PF 50V T&amp;R"/>
    <s v="04025J3R3ABSTR"/>
    <m/>
    <s v="AVX"/>
    <n v="20000"/>
    <s v="EA"/>
    <n v="0.17"/>
    <s v="USD"/>
    <n v="1"/>
    <n v="0.17"/>
    <n v="3400.0000000000005"/>
    <s v="VR000085"/>
    <x v="36"/>
    <s v="PO2425U10403"/>
    <d v="2024-10-28T00:00:00"/>
    <s v="Before shipment"/>
    <s v="EXW"/>
    <s v="Yes"/>
    <m/>
    <m/>
    <n v="0"/>
    <n v="20000"/>
    <n v="0"/>
    <m/>
    <m/>
    <m/>
    <m/>
    <m/>
    <m/>
    <m/>
    <m/>
    <d v="1900-01-09T00:00:00"/>
    <m/>
    <s v="Received"/>
    <m/>
    <m/>
    <m/>
    <m/>
    <n v="401225101"/>
    <s v="EL01-001760"/>
    <s v="EL01-001760"/>
    <m/>
  </r>
  <r>
    <n v="359"/>
    <d v="2024-12-30T00:00:00"/>
    <n v="410206308"/>
    <s v="EL01-001872-1"/>
    <m/>
    <s v="CHIP CAP 10PF 5^ 150VOLT 55X55 PORCE"/>
    <s v="0505P100JW151XTV"/>
    <m/>
    <s v="PASSIVE PLUS, LLC"/>
    <n v="36500"/>
    <s v="EA"/>
    <n v="0.53500000000000003"/>
    <s v="USD"/>
    <n v="1"/>
    <n v="0.53500000000000003"/>
    <n v="19527.5"/>
    <s v="VR000085"/>
    <x v="36"/>
    <s v="PO2425U10403"/>
    <d v="2024-10-28T00:00:00"/>
    <s v="Before shipment"/>
    <s v="EXW"/>
    <s v="Yes"/>
    <m/>
    <m/>
    <n v="0"/>
    <n v="36500"/>
    <n v="0"/>
    <m/>
    <m/>
    <m/>
    <m/>
    <m/>
    <m/>
    <m/>
    <m/>
    <d v="1900-01-09T00:00:00"/>
    <m/>
    <s v="Received"/>
    <m/>
    <m/>
    <m/>
    <m/>
    <n v="410206308"/>
    <s v="EL01-001872"/>
    <s v="EL01-001872"/>
    <m/>
  </r>
  <r>
    <n v="360"/>
    <d v="2024-12-30T00:00:00"/>
    <n v="411063876"/>
    <s v="EL01-001873-1"/>
    <m/>
    <s v="CHIP CAP 4.7PF +/-0.1PF 150V 1.4MM2"/>
    <s v="0505P4R7BW151XTV"/>
    <m/>
    <s v="PASSIVE PLUS, LLC"/>
    <n v="2500"/>
    <s v="EA"/>
    <n v="0.89"/>
    <s v="USD"/>
    <n v="1"/>
    <n v="0.89"/>
    <n v="2225"/>
    <s v="VR000085"/>
    <x v="36"/>
    <s v="PO2425U10403"/>
    <d v="2024-10-28T00:00:00"/>
    <s v="Before shipment"/>
    <s v="EXW"/>
    <s v="Yes"/>
    <m/>
    <m/>
    <n v="0"/>
    <n v="2500"/>
    <n v="0"/>
    <m/>
    <m/>
    <m/>
    <m/>
    <m/>
    <m/>
    <m/>
    <m/>
    <d v="1900-01-09T00:00:00"/>
    <m/>
    <s v="Received"/>
    <m/>
    <m/>
    <m/>
    <m/>
    <n v="411063876"/>
    <s v="EL01-001873"/>
    <s v="EL01-001873"/>
    <m/>
  </r>
  <r>
    <n v="361"/>
    <d v="2024-12-30T00:00:00"/>
    <n v="401225108"/>
    <s v="EL01-000821-2"/>
    <m/>
    <s v="CHIP CAP 0.7PF +-.02PF 100V T&amp;R"/>
    <s v="04021J0R7PBSTR"/>
    <m/>
    <s v="AVX"/>
    <n v="20000"/>
    <s v="EA"/>
    <n v="0.17"/>
    <s v="USD"/>
    <n v="1"/>
    <n v="0.17"/>
    <n v="3400.0000000000005"/>
    <s v="VR000085"/>
    <x v="36"/>
    <s v="PO2425U10403"/>
    <d v="2024-10-28T00:00:00"/>
    <s v="Before shipment"/>
    <s v="EXW"/>
    <s v="Yes"/>
    <m/>
    <m/>
    <n v="0"/>
    <n v="20000"/>
    <n v="0"/>
    <m/>
    <m/>
    <m/>
    <m/>
    <m/>
    <m/>
    <m/>
    <m/>
    <d v="1900-01-09T00:00:00"/>
    <s v="Ordered PN:04021J0R7PBSTR Cat:401225108.  NCNR Approved"/>
    <s v="Received"/>
    <m/>
    <m/>
    <m/>
    <m/>
    <n v="401225108"/>
    <s v="EL01-000821"/>
    <s v="EL01-000821"/>
    <m/>
  </r>
  <r>
    <n v="362"/>
    <d v="2024-12-30T00:00:00"/>
    <n v="401225101"/>
    <s v="EL01-001760-2"/>
    <m/>
    <s v="CHIP CAP 3.3PF +-.05PF 50V T&amp;R"/>
    <s v="04025J3R3ABSTR"/>
    <m/>
    <s v="AVX"/>
    <n v="20000"/>
    <s v="EA"/>
    <n v="0.17"/>
    <s v="USD"/>
    <n v="1"/>
    <n v="0.17"/>
    <n v="3400.0000000000005"/>
    <s v="VR000085"/>
    <x v="36"/>
    <s v="PO2425U10403"/>
    <d v="2024-10-28T00:00:00"/>
    <s v="Before shipment"/>
    <s v="EXW"/>
    <s v="Yes"/>
    <m/>
    <m/>
    <n v="0"/>
    <n v="20000"/>
    <n v="0"/>
    <m/>
    <m/>
    <m/>
    <m/>
    <m/>
    <m/>
    <m/>
    <m/>
    <d v="1900-01-09T00:00:00"/>
    <m/>
    <s v="Received"/>
    <m/>
    <m/>
    <m/>
    <m/>
    <n v="401225101"/>
    <s v="EL01-001760"/>
    <s v="EL01-001760"/>
    <m/>
  </r>
  <r>
    <n v="363"/>
    <d v="2024-12-30T00:00:00"/>
    <s v="N62146105"/>
    <s v="EL01-001724-1"/>
    <m/>
    <s v="CHIP CAP 10UF 10% 10VOLT 2X1.35MM TA"/>
    <s v="TACR106K010RTA"/>
    <m/>
    <s v="AVX"/>
    <n v="20000"/>
    <s v="EA"/>
    <n v="0.45"/>
    <s v="USD"/>
    <n v="1"/>
    <n v="0.45"/>
    <n v="9000"/>
    <s v="VR000085"/>
    <x v="36"/>
    <s v="PO2425U10403"/>
    <d v="2024-10-28T00:00:00"/>
    <s v="Before shipment"/>
    <s v="EXW"/>
    <s v="Yes"/>
    <m/>
    <m/>
    <n v="0"/>
    <n v="20000"/>
    <n v="0"/>
    <m/>
    <m/>
    <m/>
    <m/>
    <m/>
    <m/>
    <m/>
    <m/>
    <d v="1900-01-09T00:00:00"/>
    <m/>
    <s v="Received"/>
    <m/>
    <m/>
    <m/>
    <m/>
    <s v="N62146105"/>
    <s v="EL01-001724"/>
    <s v="EL01-001724"/>
    <m/>
  </r>
  <r>
    <n v="364"/>
    <d v="2024-12-15T00:00:00"/>
    <n v="421116904"/>
    <s v="EL01-001984-1"/>
    <m/>
    <s v="THERMAL PADS KIT (FRAME)"/>
    <s v="1022L945-005"/>
    <s v="-"/>
    <s v="Pronat"/>
    <n v="260"/>
    <s v="EA"/>
    <n v="29.7"/>
    <s v="USD"/>
    <n v="1"/>
    <n v="29.7"/>
    <n v="7722"/>
    <s v="VR000069"/>
    <x v="37"/>
    <s v="PO2425U10431"/>
    <d v="2024-10-28T00:00:00"/>
    <s v="100% Advance"/>
    <s v="EXW"/>
    <s v="Yes"/>
    <s v="Received "/>
    <m/>
    <n v="0"/>
    <n v="260"/>
    <n v="0"/>
    <m/>
    <m/>
    <m/>
    <m/>
    <m/>
    <m/>
    <m/>
    <m/>
    <d v="1900-01-09T00:00:00"/>
    <m/>
    <m/>
    <m/>
    <m/>
    <m/>
    <m/>
    <n v="421116904"/>
    <s v="EL01-001984"/>
    <s v="EL01-001984"/>
    <m/>
  </r>
  <r>
    <n v="365"/>
    <d v="2024-12-15T00:00:00"/>
    <n v="403795646"/>
    <s v="EL01-001987-1"/>
    <m/>
    <s v="SPONGES  KIT (FRAME)"/>
    <s v="1036N114-001"/>
    <s v="-"/>
    <s v="Pronat"/>
    <n v="520"/>
    <s v="EA"/>
    <n v="0.89"/>
    <s v="USD"/>
    <n v="1"/>
    <n v="0.89"/>
    <n v="462.8"/>
    <s v="VR000069"/>
    <x v="37"/>
    <s v="PO2425U10431"/>
    <d v="2024-10-28T00:00:00"/>
    <s v="100% Advance"/>
    <s v="EXW"/>
    <s v="Yes"/>
    <s v="Received "/>
    <m/>
    <n v="0"/>
    <n v="520"/>
    <n v="0"/>
    <m/>
    <m/>
    <m/>
    <m/>
    <m/>
    <m/>
    <m/>
    <m/>
    <d v="1900-01-09T00:00:00"/>
    <m/>
    <m/>
    <m/>
    <m/>
    <m/>
    <m/>
    <n v="403795646"/>
    <s v="EL01-001987"/>
    <s v="EL01-001987"/>
    <m/>
  </r>
  <r>
    <n v="366"/>
    <d v="2024-12-15T00:00:00"/>
    <n v="401415923"/>
    <s v="EL01-000267-1"/>
    <m/>
    <s v="THERMAL PAD"/>
    <s v="1094F214-001"/>
    <s v="-"/>
    <s v="Pronat"/>
    <n v="520"/>
    <s v="EA"/>
    <n v="0.98"/>
    <s v="USD"/>
    <n v="1"/>
    <n v="0.98"/>
    <n v="509.59999999999997"/>
    <s v="VR000069"/>
    <x v="37"/>
    <s v="PO2425U10431"/>
    <d v="2024-10-28T00:00:00"/>
    <s v="100% Advance"/>
    <s v="EXW"/>
    <s v="Yes"/>
    <s v="Received "/>
    <m/>
    <n v="0"/>
    <n v="520"/>
    <n v="0"/>
    <m/>
    <m/>
    <m/>
    <m/>
    <m/>
    <m/>
    <m/>
    <m/>
    <d v="1900-01-09T00:00:00"/>
    <m/>
    <m/>
    <m/>
    <m/>
    <m/>
    <m/>
    <n v="401415923"/>
    <s v="EL01-000267"/>
    <s v="EL01-000267"/>
    <m/>
  </r>
  <r>
    <n v="367"/>
    <d v="2024-12-15T00:00:00"/>
    <n v="401415925"/>
    <s v="EL01-000291-1"/>
    <m/>
    <s v="THERMAL PAD"/>
    <s v="1094F874-001"/>
    <s v="-"/>
    <s v="Pronat"/>
    <n v="520"/>
    <s v="EA"/>
    <n v="0.96"/>
    <s v="USD"/>
    <n v="1"/>
    <n v="0.96"/>
    <n v="499.2"/>
    <s v="VR000069"/>
    <x v="37"/>
    <s v="PO2425U10431"/>
    <d v="2024-10-28T00:00:00"/>
    <s v="100% Advance"/>
    <s v="EXW"/>
    <s v="Yes"/>
    <s v="Received "/>
    <m/>
    <n v="0"/>
    <n v="520"/>
    <n v="0"/>
    <m/>
    <m/>
    <m/>
    <m/>
    <m/>
    <m/>
    <m/>
    <m/>
    <d v="1900-01-09T00:00:00"/>
    <m/>
    <m/>
    <m/>
    <m/>
    <m/>
    <m/>
    <n v="401415925"/>
    <s v="EL01-000291"/>
    <s v="EL01-000291"/>
    <m/>
  </r>
  <r>
    <n v="368"/>
    <d v="2024-12-15T00:00:00"/>
    <n v="401415926"/>
    <s v="EL01-000292-1"/>
    <m/>
    <s v="THERMAL PAD"/>
    <s v="1094F875-001"/>
    <s v="-"/>
    <s v="Pronat"/>
    <n v="520"/>
    <s v="EA"/>
    <n v="1.9"/>
    <s v="USD"/>
    <n v="1"/>
    <n v="1.9"/>
    <n v="988"/>
    <s v="VR000069"/>
    <x v="37"/>
    <s v="PO2425U10431"/>
    <d v="2024-10-28T00:00:00"/>
    <s v="100% Advance"/>
    <s v="EXW"/>
    <s v="Yes"/>
    <s v="Received "/>
    <m/>
    <n v="0"/>
    <n v="520"/>
    <n v="0"/>
    <m/>
    <m/>
    <m/>
    <m/>
    <m/>
    <m/>
    <m/>
    <m/>
    <d v="1900-01-09T00:00:00"/>
    <m/>
    <m/>
    <m/>
    <m/>
    <m/>
    <m/>
    <n v="401415926"/>
    <s v="EL01-000292"/>
    <s v="EL01-000292"/>
    <m/>
  </r>
  <r>
    <n v="369"/>
    <d v="2024-12-15T00:00:00"/>
    <n v="401424465"/>
    <s v="EL01-000293-1"/>
    <m/>
    <s v="THERMAL PAD"/>
    <s v="1094F876-001"/>
    <s v="-"/>
    <s v="Pronat"/>
    <n v="130"/>
    <s v="EA"/>
    <n v="2.2999999999999998"/>
    <s v="USD"/>
    <n v="1"/>
    <n v="2.2999999999999998"/>
    <n v="299"/>
    <s v="VR000069"/>
    <x v="37"/>
    <s v="PO2425U10431"/>
    <d v="2024-10-28T00:00:00"/>
    <s v="100% Advance"/>
    <s v="EXW"/>
    <s v="Yes"/>
    <s v="Received "/>
    <m/>
    <n v="0"/>
    <n v="130"/>
    <n v="0"/>
    <m/>
    <m/>
    <m/>
    <m/>
    <m/>
    <m/>
    <m/>
    <m/>
    <d v="1900-01-09T00:00:00"/>
    <m/>
    <m/>
    <m/>
    <m/>
    <m/>
    <m/>
    <n v="401424465"/>
    <s v="EL01-000293"/>
    <s v="EL01-000293"/>
    <m/>
  </r>
  <r>
    <n v="370"/>
    <d v="2024-12-15T00:00:00"/>
    <n v="401679627"/>
    <s v="EL01-002010-1"/>
    <m/>
    <s v="GASKET"/>
    <s v="1094J275-001"/>
    <s v="-"/>
    <s v="Pronat"/>
    <n v="260"/>
    <s v="EA"/>
    <n v="1.2"/>
    <s v="USD"/>
    <n v="1"/>
    <n v="1.2"/>
    <n v="312"/>
    <s v="VR000069"/>
    <x v="37"/>
    <s v="PO2425U10431"/>
    <d v="2024-10-28T00:00:00"/>
    <s v="100% Advance"/>
    <s v="EXW"/>
    <s v="Yes"/>
    <s v="Received "/>
    <m/>
    <n v="0"/>
    <n v="260"/>
    <n v="0"/>
    <m/>
    <m/>
    <m/>
    <m/>
    <m/>
    <m/>
    <m/>
    <m/>
    <d v="1900-01-09T00:00:00"/>
    <m/>
    <m/>
    <m/>
    <m/>
    <m/>
    <m/>
    <n v="401679627"/>
    <s v="EL01-002010"/>
    <s v="EL01-002010"/>
    <m/>
  </r>
  <r>
    <n v="371"/>
    <d v="2024-12-15T00:00:00"/>
    <n v="402007349"/>
    <s v="EL01-000301-1"/>
    <m/>
    <s v="GASKET"/>
    <s v="1094J287-001"/>
    <s v="-"/>
    <s v="Pronat"/>
    <n v="520"/>
    <s v="EA"/>
    <n v="0.57999999999999996"/>
    <s v="USD"/>
    <n v="1"/>
    <n v="0.57999999999999996"/>
    <n v="301.59999999999997"/>
    <s v="VR000069"/>
    <x v="37"/>
    <s v="PO2425U10431"/>
    <d v="2024-10-28T00:00:00"/>
    <s v="100% Advance"/>
    <s v="EXW"/>
    <s v="Yes"/>
    <s v="Received "/>
    <m/>
    <n v="0"/>
    <n v="520"/>
    <n v="0"/>
    <m/>
    <m/>
    <m/>
    <m/>
    <m/>
    <m/>
    <m/>
    <m/>
    <d v="1900-01-09T00:00:00"/>
    <m/>
    <m/>
    <m/>
    <m/>
    <m/>
    <m/>
    <n v="402007349"/>
    <s v="EL01-000301"/>
    <s v="EL01-000301"/>
    <m/>
  </r>
  <r>
    <n v="372"/>
    <d v="2024-12-15T00:00:00"/>
    <n v="420078264"/>
    <s v="EL01-002014-1"/>
    <m/>
    <s v="THERMAL PAD"/>
    <s v="1094Y686-001"/>
    <s v="A"/>
    <s v="Pronat"/>
    <n v="520"/>
    <s v="EA"/>
    <n v="5.9"/>
    <s v="USD"/>
    <n v="1"/>
    <n v="5.9"/>
    <n v="3068"/>
    <s v="VR000069"/>
    <x v="37"/>
    <s v="PO2425U10431"/>
    <d v="2024-10-28T00:00:00"/>
    <s v="100% Advance"/>
    <s v="EXW"/>
    <s v="Yes"/>
    <s v="Received "/>
    <m/>
    <n v="0"/>
    <n v="520"/>
    <n v="0"/>
    <m/>
    <m/>
    <m/>
    <m/>
    <m/>
    <m/>
    <m/>
    <m/>
    <d v="1900-01-09T00:00:00"/>
    <m/>
    <m/>
    <m/>
    <m/>
    <m/>
    <m/>
    <n v="420078264"/>
    <s v="EL01-002014"/>
    <s v="EL01-002014"/>
    <m/>
  </r>
  <r>
    <n v="373"/>
    <d v="2025-09-15T00:00:00"/>
    <n v="421116904"/>
    <s v="EL01-001984-2"/>
    <m/>
    <s v="THERMAL PADS KIT (FRAME)"/>
    <s v="1022L945-005"/>
    <s v="-"/>
    <s v="Pronat"/>
    <n v="260"/>
    <s v="EA"/>
    <n v="29.7"/>
    <s v="USD"/>
    <n v="1"/>
    <n v="29.7"/>
    <n v="7722"/>
    <s v="VR000069"/>
    <x v="37"/>
    <s v="PO2425U10431"/>
    <d v="2024-10-28T00:00:00"/>
    <s v="100% Advance"/>
    <s v="EXW"/>
    <m/>
    <s v="Received "/>
    <m/>
    <n v="0"/>
    <n v="228"/>
    <n v="32"/>
    <m/>
    <m/>
    <m/>
    <m/>
    <m/>
    <m/>
    <m/>
    <m/>
    <d v="1900-01-09T00:00:00"/>
    <m/>
    <m/>
    <m/>
    <m/>
    <m/>
    <m/>
    <n v="421116904"/>
    <s v="EL01-001984"/>
    <s v="EL01-001984"/>
    <n v="950.4"/>
  </r>
  <r>
    <n v="374"/>
    <d v="2024-12-15T00:00:00"/>
    <n v="415554862"/>
    <s v="EL01-001936-1"/>
    <m/>
    <s v="GASKET"/>
    <s v="1099M246-001"/>
    <s v="-"/>
    <s v="Pronat"/>
    <n v="32340"/>
    <s v="EA"/>
    <n v="0.25"/>
    <s v="USD"/>
    <n v="1"/>
    <n v="0.25"/>
    <n v="8085"/>
    <s v="VR000069"/>
    <x v="37"/>
    <s v="PO2425U10532"/>
    <d v="2024-11-25T00:00:00"/>
    <s v="100% Advance for each Lot"/>
    <s v="EXW"/>
    <s v="Yes"/>
    <s v="Received "/>
    <m/>
    <n v="0"/>
    <n v="32340"/>
    <n v="0"/>
    <m/>
    <m/>
    <m/>
    <m/>
    <m/>
    <m/>
    <m/>
    <m/>
    <d v="1900-01-09T00:00:00"/>
    <m/>
    <m/>
    <m/>
    <m/>
    <m/>
    <m/>
    <n v="415554862"/>
    <s v="EL01-001936"/>
    <s v="EL01-001936"/>
    <m/>
  </r>
  <r>
    <n v="375"/>
    <d v="2024-12-15T00:00:00"/>
    <n v="417711850"/>
    <s v="EL01-001957-1"/>
    <m/>
    <s v="SPACER FOAM"/>
    <s v="1099M362-001"/>
    <s v="-"/>
    <s v="Pronat"/>
    <n v="58"/>
    <s v="EA"/>
    <n v="625"/>
    <s v="USD"/>
    <n v="1"/>
    <n v="625"/>
    <n v="36250"/>
    <s v="VR000069"/>
    <x v="37"/>
    <s v="PO2425U10532"/>
    <d v="2024-11-25T00:00:00"/>
    <s v="100% Advance for each Lot"/>
    <s v="EXW"/>
    <s v="Yes"/>
    <s v="Received "/>
    <m/>
    <n v="0"/>
    <n v="58"/>
    <n v="0"/>
    <m/>
    <m/>
    <m/>
    <m/>
    <m/>
    <m/>
    <m/>
    <m/>
    <d v="1900-01-09T00:00:00"/>
    <m/>
    <m/>
    <m/>
    <m/>
    <m/>
    <m/>
    <n v="417711850"/>
    <s v="EL01-001957"/>
    <s v="EL01-001957"/>
    <m/>
  </r>
  <r>
    <n v="376"/>
    <d v="2025-06-15T00:00:00"/>
    <n v="417711850"/>
    <s v="EL01-001957-2"/>
    <m/>
    <s v="SPACER FOAM"/>
    <s v="1099M362-001"/>
    <s v="-"/>
    <s v="Pronat"/>
    <n v="58"/>
    <s v="EA"/>
    <n v="625"/>
    <s v="USD"/>
    <n v="1"/>
    <n v="625"/>
    <n v="36250"/>
    <s v="VR000069"/>
    <x v="37"/>
    <s v="PO2425U10532"/>
    <d v="2024-11-25T00:00:00"/>
    <s v="100% Advance for each Lot"/>
    <s v="EXW"/>
    <m/>
    <m/>
    <m/>
    <n v="0"/>
    <n v="58"/>
    <n v="0"/>
    <m/>
    <m/>
    <m/>
    <m/>
    <m/>
    <m/>
    <m/>
    <m/>
    <d v="1900-01-09T00:00:00"/>
    <m/>
    <m/>
    <m/>
    <m/>
    <m/>
    <m/>
    <n v="417711850"/>
    <s v="EL01-001957"/>
    <s v="EL01-001957"/>
    <m/>
  </r>
  <r>
    <n v="377"/>
    <d v="2025-09-15T00:00:00"/>
    <n v="417711850"/>
    <s v="EL01-001957-3"/>
    <m/>
    <s v="SPACER FOAM"/>
    <s v="1099M362-001"/>
    <s v="-"/>
    <s v="Pronat"/>
    <n v="58"/>
    <s v="EA"/>
    <n v="625"/>
    <s v="USD"/>
    <n v="1"/>
    <n v="625"/>
    <n v="36250"/>
    <s v="VR000069"/>
    <x v="37"/>
    <s v="PO2425U10532"/>
    <d v="2024-11-25T00:00:00"/>
    <s v="100% Advance for each Lot"/>
    <s v="EXW"/>
    <m/>
    <m/>
    <m/>
    <n v="0"/>
    <n v="58"/>
    <n v="0"/>
    <m/>
    <m/>
    <m/>
    <m/>
    <m/>
    <m/>
    <m/>
    <m/>
    <d v="1900-01-09T00:00:00"/>
    <m/>
    <m/>
    <m/>
    <n v="58"/>
    <m/>
    <m/>
    <n v="417711850"/>
    <s v="EL01-001957"/>
    <s v="EL01-001957"/>
    <m/>
  </r>
  <r>
    <n v="378"/>
    <d v="2025-12-15T00:00:00"/>
    <n v="417711850"/>
    <s v="EL01-001957-4"/>
    <m/>
    <s v="SPACER FOAM"/>
    <s v="1099M362-001"/>
    <s v="-"/>
    <s v="Pronat"/>
    <n v="57"/>
    <s v="EA"/>
    <n v="625"/>
    <s v="USD"/>
    <n v="1"/>
    <n v="625"/>
    <n v="35625"/>
    <s v="VR000069"/>
    <x v="37"/>
    <s v="PO2425U10532"/>
    <d v="2024-11-25T00:00:00"/>
    <s v="100% Advance for each Lot"/>
    <s v="EXW"/>
    <m/>
    <m/>
    <m/>
    <n v="0"/>
    <n v="0"/>
    <n v="57"/>
    <n v="57"/>
    <m/>
    <m/>
    <m/>
    <d v="2025-12-15T00:00:00"/>
    <m/>
    <m/>
    <m/>
    <d v="2026-01-30T00:00:00"/>
    <m/>
    <m/>
    <m/>
    <m/>
    <m/>
    <m/>
    <n v="417711850"/>
    <s v="EL01-001957"/>
    <s v="EL01-001957"/>
    <n v="35625"/>
  </r>
  <r>
    <n v="379"/>
    <d v="2024-12-23T00:00:00"/>
    <n v="407349608"/>
    <s v="EL01-001829-1"/>
    <m/>
    <s v="AMPLIFIER RF DC-6GHZ 20.3DB GAIN SOT-363"/>
    <s v="TQP369184"/>
    <m/>
    <s v="QORVO US, INC"/>
    <n v="21000"/>
    <s v="EA"/>
    <n v="0.75"/>
    <s v="USD"/>
    <n v="1"/>
    <n v="0.75"/>
    <n v="15750"/>
    <s v="VR000508"/>
    <x v="38"/>
    <s v="PO2425U10433"/>
    <d v="2024-10-27T00:00:00"/>
    <s v="Net 30days"/>
    <s v="EXW"/>
    <s v="Yes"/>
    <m/>
    <m/>
    <n v="0"/>
    <n v="21000"/>
    <n v="0"/>
    <m/>
    <m/>
    <m/>
    <m/>
    <m/>
    <m/>
    <m/>
    <m/>
    <d v="1900-01-09T00:00:00"/>
    <m/>
    <s v="Received"/>
    <m/>
    <m/>
    <m/>
    <m/>
    <n v="407349608"/>
    <s v="EL01-001829"/>
    <s v="EL01-001829"/>
    <m/>
  </r>
  <r>
    <n v="380"/>
    <d v="2024-12-15T00:00:00"/>
    <n v="409331536"/>
    <s v="EL01-001814-1"/>
    <m/>
    <s v="FUSE CERAMIC SMT 1A 50V T&amp;R"/>
    <s v="0440001.WR"/>
    <m/>
    <s v="LITTELFUSE INC"/>
    <n v="18000"/>
    <s v="EA"/>
    <n v="0.111"/>
    <s v="USD"/>
    <n v="1"/>
    <n v="0.111"/>
    <n v="1998"/>
    <s v="VR000509"/>
    <x v="39"/>
    <s v="PO2425U10435"/>
    <d v="2024-11-04T00:00:00"/>
    <s v="Net 30days"/>
    <s v="EXW"/>
    <s v="Yes"/>
    <m/>
    <m/>
    <n v="0"/>
    <n v="18000"/>
    <n v="0"/>
    <m/>
    <m/>
    <m/>
    <m/>
    <m/>
    <m/>
    <m/>
    <m/>
    <d v="1900-01-09T00:00:00"/>
    <m/>
    <m/>
    <m/>
    <m/>
    <m/>
    <m/>
    <n v="409331536"/>
    <s v="EL01-001814"/>
    <s v="EL01-001814"/>
    <m/>
  </r>
  <r>
    <n v="381"/>
    <d v="2025-01-15T00:00:00"/>
    <n v="403129345"/>
    <s v="EL01-001815-1"/>
    <m/>
    <s v="FUSE VERY FAST-ACTING"/>
    <s v="0466002.NRHF"/>
    <m/>
    <s v=" Littelfuse"/>
    <n v="20000"/>
    <s v="EA"/>
    <n v="6.7000000000000004E-2"/>
    <s v="USD"/>
    <n v="1"/>
    <n v="6.7000000000000004E-2"/>
    <n v="1340"/>
    <s v="VR000509"/>
    <x v="39"/>
    <s v="PO2425U10435"/>
    <d v="2024-11-04T00:00:00"/>
    <s v="Net 30days"/>
    <s v="EXW"/>
    <s v="Yes"/>
    <m/>
    <m/>
    <n v="0"/>
    <n v="20000"/>
    <n v="0"/>
    <m/>
    <m/>
    <m/>
    <m/>
    <m/>
    <m/>
    <m/>
    <m/>
    <d v="1900-01-09T00:00:00"/>
    <m/>
    <m/>
    <m/>
    <m/>
    <m/>
    <m/>
    <n v="403129345"/>
    <s v="EL01-001815"/>
    <s v="EL01-001815"/>
    <m/>
  </r>
  <r>
    <n v="382"/>
    <d v="2024-12-15T00:00:00"/>
    <n v="400991035"/>
    <s v="EL01-001073-1"/>
    <m/>
    <s v="CONN RECT HEADER R/A 10 PIN DIP SOLDER"/>
    <s v="N2510-5002-RB"/>
    <m/>
    <s v="3M ELECTRONIC PRODUCTS DIVISION"/>
    <n v="1067"/>
    <s v="EA"/>
    <n v="1.2"/>
    <s v="USD"/>
    <n v="1"/>
    <n v="1.2"/>
    <n v="1280.3999999999999"/>
    <s v="VR000001"/>
    <x v="40"/>
    <s v="PO2425U10424"/>
    <d v="2024-10-28T00:00:00"/>
    <s v="Net 30days"/>
    <s v="EXW"/>
    <s v="Yes"/>
    <m/>
    <m/>
    <n v="0"/>
    <n v="1067"/>
    <n v="0"/>
    <m/>
    <m/>
    <m/>
    <m/>
    <m/>
    <m/>
    <m/>
    <m/>
    <d v="1900-01-09T00:00:00"/>
    <m/>
    <s v="Received"/>
    <m/>
    <m/>
    <m/>
    <m/>
    <n v="400991035"/>
    <s v="EL01-001073"/>
    <s v="EL01-001073"/>
    <m/>
  </r>
  <r>
    <n v="383"/>
    <d v="2024-12-15T00:00:00"/>
    <s v="N87802088"/>
    <s v="EL01-002039-1"/>
    <m/>
    <s v="HARDWARE   LOW PROFILE  MOUNTS SCREW"/>
    <s v="LPMM-S2"/>
    <m/>
    <s v="PANDUIT"/>
    <n v="1000"/>
    <s v="EA"/>
    <n v="0.27400000000000002"/>
    <s v="USD"/>
    <n v="1"/>
    <n v="0.27400000000000002"/>
    <n v="274"/>
    <s v="VR000001"/>
    <x v="40"/>
    <s v="PO2425U10424"/>
    <d v="2024-10-28T00:00:00"/>
    <s v="Net 30days"/>
    <s v="EXW"/>
    <s v="Yes"/>
    <m/>
    <m/>
    <n v="0"/>
    <n v="1000"/>
    <n v="0"/>
    <m/>
    <m/>
    <m/>
    <m/>
    <m/>
    <m/>
    <m/>
    <m/>
    <d v="1900-01-09T00:00:00"/>
    <m/>
    <s v="Received"/>
    <m/>
    <m/>
    <m/>
    <m/>
    <s v="N87802088"/>
    <s v="EL01-002039"/>
    <s v="EL01-002039"/>
    <m/>
  </r>
  <r>
    <n v="384"/>
    <d v="2024-12-15T00:00:00"/>
    <n v="401548139"/>
    <s v="EL01-001888-1"/>
    <m/>
    <s v="CERAMIC FILTER S BAND"/>
    <s v="1092L481-001"/>
    <s v="-"/>
    <s v="REMTEC"/>
    <n v="9338"/>
    <s v="EA"/>
    <n v="3.85"/>
    <s v="USD"/>
    <n v="1"/>
    <n v="3.85"/>
    <n v="35951.300000000003"/>
    <s v="VR000519"/>
    <x v="41"/>
    <s v="PO2425U10452"/>
    <d v="2024-10-28T00:00:00"/>
    <s v="50% upon receipt of order applies to annual scheduled volume. _x000a_50% payment of balance due of the line quantity shipped, 15 days after issue date of invoice."/>
    <s v="EXW"/>
    <s v="Yes"/>
    <s v="Received "/>
    <m/>
    <n v="0"/>
    <n v="9338"/>
    <n v="0"/>
    <m/>
    <m/>
    <m/>
    <m/>
    <m/>
    <m/>
    <m/>
    <m/>
    <d v="1900-01-09T00:00:00"/>
    <d v="2025-04-25T00:00:00"/>
    <m/>
    <m/>
    <m/>
    <m/>
    <m/>
    <n v="401548139"/>
    <s v="EL01-001888"/>
    <s v="EL01-001888"/>
    <m/>
  </r>
  <r>
    <n v="385"/>
    <d v="2025-06-15T00:00:00"/>
    <n v="401548139"/>
    <s v="EL01-001888-2"/>
    <m/>
    <s v="CERAMIC FILTER S BAND"/>
    <s v="1092L481-001"/>
    <s v="-"/>
    <s v="REMTEC"/>
    <n v="9338"/>
    <s v="EA"/>
    <n v="3.85"/>
    <s v="USD"/>
    <n v="1"/>
    <n v="3.85"/>
    <n v="35951.300000000003"/>
    <s v="VR000519"/>
    <x v="41"/>
    <s v="PO2425U10452"/>
    <d v="2024-10-28T00:00:00"/>
    <s v="50% upon receipt of order applies to annual scheduled volume. _x000a_50% payment of balance due of the line quantity shipped, 15 days after issue date of invoice."/>
    <s v="EXW"/>
    <s v="Yes"/>
    <s v="Received "/>
    <m/>
    <n v="0"/>
    <n v="9338"/>
    <n v="0"/>
    <m/>
    <m/>
    <m/>
    <m/>
    <m/>
    <m/>
    <m/>
    <m/>
    <d v="1900-01-09T00:00:00"/>
    <m/>
    <m/>
    <m/>
    <m/>
    <m/>
    <m/>
    <n v="401548139"/>
    <s v="EL01-001888"/>
    <s v="EL01-001888"/>
    <m/>
  </r>
  <r>
    <n v="386"/>
    <d v="2025-09-15T00:00:00"/>
    <n v="401548139"/>
    <s v="EL01-001888-3"/>
    <m/>
    <s v="CERAMIC FILTER S BAND"/>
    <s v="1092L481-001"/>
    <s v="-"/>
    <s v="REMTEC"/>
    <n v="9338"/>
    <s v="EA"/>
    <n v="3.85"/>
    <s v="USD"/>
    <n v="1"/>
    <n v="3.85"/>
    <n v="35951.300000000003"/>
    <s v="VR000519"/>
    <x v="41"/>
    <s v="PO2425U10452"/>
    <d v="2024-10-28T00:00:00"/>
    <s v="50% upon receipt of order applies to annual scheduled volume. _x000a_50% payment of balance due of the line quantity shipped, 15 days after issue date of invoice."/>
    <s v="EXW"/>
    <s v="Yes"/>
    <s v="Received "/>
    <m/>
    <n v="0"/>
    <n v="724"/>
    <n v="8614"/>
    <n v="9338"/>
    <m/>
    <m/>
    <m/>
    <d v="2025-11-25T00:00:00"/>
    <m/>
    <m/>
    <m/>
    <d v="2025-12-05T00:00:00"/>
    <m/>
    <m/>
    <m/>
    <m/>
    <m/>
    <m/>
    <n v="401548139"/>
    <s v="EL01-001888"/>
    <s v="EL01-001888"/>
    <n v="33163.9"/>
  </r>
  <r>
    <n v="387"/>
    <d v="2025-12-15T00:00:00"/>
    <n v="401548139"/>
    <s v="EL01-001888-4"/>
    <m/>
    <s v="CERAMIC FILTER S BAND"/>
    <s v="1092L481-001"/>
    <s v="-"/>
    <s v="REMTEC"/>
    <n v="9336"/>
    <s v="EA"/>
    <n v="3.85"/>
    <s v="USD"/>
    <n v="1"/>
    <n v="3.85"/>
    <n v="35943.599999999999"/>
    <s v="VR000519"/>
    <x v="41"/>
    <s v="PO2425U10452"/>
    <d v="2024-10-28T00:00:00"/>
    <s v="50% upon receipt of order applies to annual scheduled volume. _x000a_50% payment of balance due of the line quantity shipped, 15 days after issue date of invoice."/>
    <s v="EXW"/>
    <s v="Yes"/>
    <s v="Received "/>
    <m/>
    <n v="0"/>
    <n v="0"/>
    <n v="9336"/>
    <n v="9336"/>
    <m/>
    <m/>
    <m/>
    <d v="2025-12-10T00:00:00"/>
    <m/>
    <m/>
    <m/>
    <d v="2025-12-20T00:00:00"/>
    <m/>
    <m/>
    <m/>
    <m/>
    <m/>
    <m/>
    <n v="401548139"/>
    <s v="EL01-001888"/>
    <s v="EL01-001888"/>
    <n v="35943.599999999999"/>
  </r>
  <r>
    <n v="388"/>
    <d v="2024-12-25T00:00:00"/>
    <s v="N80408594"/>
    <s v="EL01-001754-1"/>
    <m/>
    <s v="ATTENUATOR DC-15GHZ 2DB 2WATT 50 OHM"/>
    <s v="TS0302W3"/>
    <m/>
    <s v="SMITHS INTERCONNECT AMERICAS,"/>
    <n v="1250"/>
    <s v="EA"/>
    <n v="4.07"/>
    <s v="USD"/>
    <n v="1"/>
    <n v="4.07"/>
    <n v="5087.5"/>
    <s v="VR000326"/>
    <x v="42"/>
    <s v="PO2425U10410"/>
    <d v="2024-10-25T00:00:00"/>
    <s v="100% Advance"/>
    <s v="EXW"/>
    <s v="No"/>
    <s v="Received "/>
    <m/>
    <n v="0"/>
    <n v="1250"/>
    <n v="0"/>
    <m/>
    <m/>
    <m/>
    <m/>
    <m/>
    <m/>
    <m/>
    <m/>
    <d v="1900-01-09T00:00:00"/>
    <m/>
    <m/>
    <m/>
    <m/>
    <m/>
    <m/>
    <s v="N80408594"/>
    <s v="EL01-001754"/>
    <s v="EL01-001754"/>
    <m/>
  </r>
  <r>
    <n v="389"/>
    <d v="2024-12-25T00:00:00"/>
    <s v="N80416589"/>
    <s v="EL01-001755-1"/>
    <m/>
    <s v="ATTENUATOR DC-15GHZ 10DB 2WATT 50 OH"/>
    <s v="TS0310W3S"/>
    <m/>
    <s v="SMITHS INTERCONNECT AMERICAS,"/>
    <n v="1250"/>
    <s v="EA"/>
    <n v="7.77"/>
    <s v="USD"/>
    <n v="1"/>
    <n v="7.77"/>
    <n v="9712.5"/>
    <s v="VR000326"/>
    <x v="42"/>
    <s v="PO2425U10410"/>
    <d v="2024-10-25T00:00:00"/>
    <s v="100% Advance"/>
    <s v="EXW"/>
    <s v="No"/>
    <s v="Received "/>
    <m/>
    <n v="0"/>
    <n v="1250"/>
    <n v="0"/>
    <m/>
    <m/>
    <m/>
    <m/>
    <m/>
    <m/>
    <m/>
    <m/>
    <d v="1900-01-09T00:00:00"/>
    <m/>
    <m/>
    <m/>
    <m/>
    <m/>
    <m/>
    <s v="N80416589"/>
    <s v="EL01-001755"/>
    <s v="EL01-001755"/>
    <m/>
  </r>
  <r>
    <n v="390"/>
    <d v="2024-12-25T00:00:00"/>
    <s v="N80405723"/>
    <s v="EL01-001756-1"/>
    <m/>
    <s v="ATTENUATOR DC-15GHZ 12DB 2WATT 50 OH"/>
    <s v="TS0312W3"/>
    <m/>
    <s v="SMITHS INTERCONNECT AMERICAS,"/>
    <n v="1250"/>
    <s v="EA"/>
    <n v="4.59"/>
    <s v="USD"/>
    <n v="1"/>
    <n v="4.59"/>
    <n v="5737.5"/>
    <s v="VR000326"/>
    <x v="42"/>
    <s v="PO2425U10410"/>
    <d v="2024-10-25T00:00:00"/>
    <s v="100% Advance"/>
    <s v="EXW"/>
    <s v="No"/>
    <s v="Received "/>
    <m/>
    <n v="0"/>
    <n v="1250"/>
    <n v="0"/>
    <m/>
    <m/>
    <m/>
    <m/>
    <m/>
    <m/>
    <m/>
    <m/>
    <d v="1900-01-09T00:00:00"/>
    <m/>
    <m/>
    <m/>
    <m/>
    <m/>
    <m/>
    <s v="N80405723"/>
    <s v="EL01-001756"/>
    <s v="EL01-001756"/>
    <m/>
  </r>
  <r>
    <n v="391"/>
    <d v="2024-12-25T00:00:00"/>
    <n v="400048227"/>
    <s v="EL01-001757-1"/>
    <m/>
    <s v="CHIP ATT. 1DB DC-18GHZ 0.1W 50OHM T&amp;R"/>
    <s v="TS0501W3S/TR"/>
    <m/>
    <s v="SMITHS INTERCONNECT AMERICAS,"/>
    <n v="10000"/>
    <s v="EA"/>
    <n v="1.75"/>
    <s v="USD"/>
    <n v="1"/>
    <n v="1.75"/>
    <n v="17500"/>
    <s v="VR000326"/>
    <x v="42"/>
    <s v="PO2425U10410"/>
    <d v="2024-10-25T00:00:00"/>
    <s v="100% Advance"/>
    <s v="EXW"/>
    <s v="No"/>
    <s v="Received "/>
    <m/>
    <n v="0"/>
    <n v="10000"/>
    <n v="0"/>
    <m/>
    <m/>
    <m/>
    <m/>
    <m/>
    <m/>
    <m/>
    <m/>
    <d v="1900-01-09T00:00:00"/>
    <m/>
    <m/>
    <m/>
    <m/>
    <s v="Stock in HPR Project"/>
    <m/>
    <n v="400048227"/>
    <s v="EL01-001757"/>
    <s v="EL01-001757"/>
    <m/>
  </r>
  <r>
    <n v="392"/>
    <d v="2025-09-15T00:00:00"/>
    <n v="400048227"/>
    <s v="EL01-001757-2"/>
    <m/>
    <s v="CHIP ATT. 1DB DC-18GHZ 0.1W 50OHM T&amp;R"/>
    <s v="TS0501W3S/TR"/>
    <m/>
    <s v="SMITHS INTERCONNECT AMERICAS,"/>
    <n v="9000"/>
    <s v="EA"/>
    <n v="1.75"/>
    <s v="USD"/>
    <n v="1"/>
    <n v="1.75"/>
    <n v="15750"/>
    <s v="VR000326"/>
    <x v="42"/>
    <s v="PO2425U10410"/>
    <d v="2024-10-25T00:00:00"/>
    <s v="100% Advance"/>
    <s v="EXW"/>
    <s v="No"/>
    <s v="Received "/>
    <m/>
    <n v="0"/>
    <n v="9000"/>
    <n v="0"/>
    <m/>
    <m/>
    <m/>
    <m/>
    <m/>
    <m/>
    <m/>
    <m/>
    <d v="1900-01-09T00:00:00"/>
    <m/>
    <m/>
    <m/>
    <m/>
    <m/>
    <m/>
    <n v="400048227"/>
    <s v="EL01-001757"/>
    <s v="EL01-001757"/>
    <m/>
  </r>
  <r>
    <n v="393"/>
    <d v="2024-12-15T00:00:00"/>
    <n v="400237666"/>
    <s v="EL01-001758-1"/>
    <m/>
    <s v="CONN RECT SEAF OPEN PIN FIELD ARRAY,"/>
    <s v="SEAF30-06.5S-10-1-A-K-TR"/>
    <m/>
    <s v="SAMTEC"/>
    <n v="1200"/>
    <s v="EA"/>
    <n v="9.64"/>
    <s v="USD"/>
    <n v="1"/>
    <n v="9.64"/>
    <n v="11568"/>
    <s v="VR000031"/>
    <x v="43"/>
    <s v="PO2425U10411"/>
    <d v="2024-10-25T00:00:00"/>
    <s v="100% Advance  for Each Lot"/>
    <s v="EXW"/>
    <s v="Yes"/>
    <s v="Received "/>
    <m/>
    <n v="0"/>
    <n v="1200"/>
    <n v="0"/>
    <m/>
    <m/>
    <m/>
    <m/>
    <m/>
    <m/>
    <m/>
    <m/>
    <d v="1900-01-09T00:00:00"/>
    <m/>
    <s v="Received"/>
    <m/>
    <m/>
    <m/>
    <m/>
    <n v="400237666"/>
    <s v="EL01-001758"/>
    <s v="EL01-001758"/>
    <m/>
  </r>
  <r>
    <n v="394"/>
    <d v="2024-12-15T00:00:00"/>
    <n v="400236682"/>
    <s v="EL01-001759-1"/>
    <m/>
    <s v="CONN RECT SEAM OPEN PIN FIELD ARRAY,"/>
    <s v="SEAM30-03.5S-10-1-A-K-TR"/>
    <m/>
    <s v="SAMTEC"/>
    <n v="1200"/>
    <s v="EA"/>
    <n v="10.41"/>
    <s v="USD"/>
    <n v="1"/>
    <n v="10.41"/>
    <n v="12492"/>
    <s v="VR000031"/>
    <x v="43"/>
    <s v="PO2425U10411"/>
    <d v="2024-10-25T00:00:00"/>
    <s v="100% Advance  for Each Lot"/>
    <s v="EXW"/>
    <s v="Yes"/>
    <s v="Received "/>
    <m/>
    <n v="0"/>
    <n v="1200"/>
    <n v="0"/>
    <m/>
    <m/>
    <m/>
    <m/>
    <m/>
    <m/>
    <m/>
    <m/>
    <d v="1900-01-09T00:00:00"/>
    <m/>
    <s v="Received"/>
    <m/>
    <m/>
    <m/>
    <m/>
    <n v="400236682"/>
    <s v="EL01-001759"/>
    <s v="EL01-001759"/>
    <m/>
  </r>
  <r>
    <n v="395"/>
    <d v="2025-09-15T00:00:00"/>
    <n v="400237666"/>
    <s v="EL01-001758-2"/>
    <m/>
    <s v="CONN RECT SEAF OPEN PIN FIELD ARRAY,"/>
    <s v="SEAF30-06.5S-10-1-A-K-TR"/>
    <m/>
    <s v="SAMTEC"/>
    <n v="1000"/>
    <s v="EA"/>
    <n v="9.64"/>
    <s v="USD"/>
    <n v="1"/>
    <n v="9.64"/>
    <n v="9640"/>
    <s v="VR000031"/>
    <x v="43"/>
    <s v="PO2425U10411"/>
    <d v="2024-10-25T00:00:00"/>
    <s v="100% Advance  for Each Lot"/>
    <s v="EXW"/>
    <s v="Yes"/>
    <m/>
    <m/>
    <n v="0"/>
    <n v="0"/>
    <n v="1000"/>
    <m/>
    <m/>
    <m/>
    <m/>
    <m/>
    <m/>
    <m/>
    <m/>
    <d v="1900-01-09T00:00:00"/>
    <m/>
    <m/>
    <m/>
    <m/>
    <m/>
    <m/>
    <n v="400237666"/>
    <s v="EL01-001758"/>
    <s v="EL01-001758"/>
    <n v="9640"/>
  </r>
  <r>
    <n v="396"/>
    <d v="2025-09-15T00:00:00"/>
    <n v="400236682"/>
    <s v="EL01-001759-2"/>
    <m/>
    <s v="CONN RECT SEAM OPEN PIN FIELD ARRAY,"/>
    <s v="SEAM30-03.5S-10-1-A-K-TR"/>
    <m/>
    <s v="SAMTEC"/>
    <n v="1000"/>
    <s v="EA"/>
    <n v="10.41"/>
    <s v="USD"/>
    <n v="1"/>
    <n v="10.41"/>
    <n v="10410"/>
    <s v="VR000031"/>
    <x v="43"/>
    <s v="PO2425U10411"/>
    <d v="2024-10-25T00:00:00"/>
    <s v="100% Advance  for Each Lot"/>
    <s v="EXW"/>
    <s v="Yes"/>
    <m/>
    <m/>
    <n v="0"/>
    <n v="0"/>
    <n v="1000"/>
    <m/>
    <m/>
    <m/>
    <m/>
    <m/>
    <m/>
    <m/>
    <m/>
    <d v="1900-01-09T00:00:00"/>
    <m/>
    <m/>
    <m/>
    <m/>
    <m/>
    <m/>
    <n v="400236682"/>
    <s v="EL01-001759"/>
    <s v="EL01-001759"/>
    <n v="10410"/>
  </r>
  <r>
    <n v="397"/>
    <d v="2024-12-15T00:00:00"/>
    <n v="400828408"/>
    <s v="EL01-000404-1"/>
    <m/>
    <s v="DIODE TRANSIENT VOLTAGE SUUPPRESSOR T&amp;R"/>
    <s v="PSOT03C-LF-T7"/>
    <m/>
    <s v="PRO TEK DEVICES"/>
    <n v="3000"/>
    <s v="EA"/>
    <n v="7.5999999999999998E-2"/>
    <s v="USD"/>
    <n v="1"/>
    <n v="7.5999999999999998E-2"/>
    <n v="228"/>
    <s v="VR000506"/>
    <x v="44"/>
    <s v="PO2425U10428"/>
    <d v="2024-10-29T00:00:00"/>
    <s v="100% Advance"/>
    <s v="EXW"/>
    <s v="Yes"/>
    <s v="Received "/>
    <m/>
    <n v="0"/>
    <n v="3000"/>
    <n v="0"/>
    <m/>
    <m/>
    <m/>
    <m/>
    <m/>
    <m/>
    <m/>
    <m/>
    <d v="1900-01-09T00:00:00"/>
    <m/>
    <m/>
    <m/>
    <m/>
    <m/>
    <m/>
    <n v="400828408"/>
    <s v="EL01-000404"/>
    <s v="EL01-000404"/>
    <m/>
  </r>
  <r>
    <n v="398"/>
    <d v="2024-12-15T00:00:00"/>
    <n v="400571854"/>
    <s v="EL01-000409-1"/>
    <m/>
    <s v="TRAN. VOLT. SUPPR.  ARRAY T&amp;R"/>
    <s v="SMDA03LCC-LF-T7"/>
    <m/>
    <s v="PRO TEK DEVICES"/>
    <n v="1000"/>
    <s v="EA"/>
    <n v="1.59"/>
    <s v="USD"/>
    <n v="1"/>
    <n v="1.59"/>
    <n v="1590"/>
    <s v="VR000506"/>
    <x v="44"/>
    <s v="PO2425U10428"/>
    <d v="2024-10-29T00:00:00"/>
    <s v="100% Advance"/>
    <s v="EXW"/>
    <s v="Yes"/>
    <s v="Received "/>
    <m/>
    <n v="0"/>
    <n v="1000"/>
    <n v="0"/>
    <m/>
    <m/>
    <m/>
    <m/>
    <m/>
    <m/>
    <m/>
    <m/>
    <d v="1900-01-09T00:00:00"/>
    <m/>
    <m/>
    <m/>
    <m/>
    <m/>
    <m/>
    <n v="400571854"/>
    <s v="EL01-000409"/>
    <s v="EL01-000409"/>
    <m/>
  </r>
  <r>
    <n v="399"/>
    <d v="2024-12-15T00:00:00"/>
    <n v="400399198"/>
    <s v="EL01-001719-1"/>
    <m/>
    <s v="DIODE TRANSIENT VOL. SUPPR  5.0V T&amp;R"/>
    <s v="PSOT05C-LF-T7"/>
    <m/>
    <s v="PRO TEK DEVICES"/>
    <n v="9000"/>
    <s v="EA"/>
    <n v="6.8699999999999997E-2"/>
    <s v="USD"/>
    <n v="1"/>
    <n v="6.8699999999999997E-2"/>
    <n v="618.29999999999995"/>
    <s v="VR000506"/>
    <x v="44"/>
    <s v="PO2425U10428"/>
    <d v="2024-10-29T00:00:00"/>
    <s v="100% Advance"/>
    <s v="EXW"/>
    <s v="Yes"/>
    <s v="Received "/>
    <m/>
    <n v="0"/>
    <n v="9000"/>
    <n v="0"/>
    <m/>
    <m/>
    <m/>
    <m/>
    <m/>
    <m/>
    <m/>
    <m/>
    <d v="1900-01-09T00:00:00"/>
    <m/>
    <m/>
    <m/>
    <m/>
    <m/>
    <m/>
    <n v="400399198"/>
    <s v="EL01-001719"/>
    <s v="EL01-001719"/>
    <m/>
  </r>
  <r>
    <n v="400"/>
    <d v="2024-12-15T00:00:00"/>
    <n v="414290613"/>
    <s v="EL01-001766-1"/>
    <m/>
    <s v="CONN RECT,HEADER, 20 POS, PCB SMT,3A"/>
    <s v="M80-5S22005M7"/>
    <m/>
    <s v="HARWIN PIC"/>
    <n v="536"/>
    <s v="EA"/>
    <n v="14.99"/>
    <s v="GBP"/>
    <n v="1.3"/>
    <n v="19.487000000000002"/>
    <n v="10445.032000000001"/>
    <s v="VR000040"/>
    <x v="45"/>
    <s v="PO2425U10439"/>
    <d v="2024-11-06T00:00:00"/>
    <s v="Before shipment"/>
    <s v="EXW"/>
    <s v="Yes"/>
    <m/>
    <m/>
    <n v="0"/>
    <n v="536"/>
    <n v="0"/>
    <m/>
    <m/>
    <m/>
    <m/>
    <m/>
    <m/>
    <m/>
    <m/>
    <d v="1900-01-09T00:00:00"/>
    <m/>
    <s v="Received"/>
    <m/>
    <m/>
    <m/>
    <m/>
    <n v="414290613"/>
    <s v="EL01-001766"/>
    <s v="EL01-001766"/>
    <m/>
  </r>
  <r>
    <n v="401"/>
    <d v="2025-09-15T00:00:00"/>
    <n v="414290613"/>
    <s v="EL01-001766-2"/>
    <m/>
    <s v="CONN RECT,HEADER, 20 POS, PCB SMT,3A"/>
    <s v="M80-5S22005M7"/>
    <m/>
    <s v="HARWIN PIC"/>
    <n v="536"/>
    <s v="EA"/>
    <n v="14.99"/>
    <s v="GBP"/>
    <n v="1.3"/>
    <n v="19.487000000000002"/>
    <n v="10445.032000000001"/>
    <s v="VR000040"/>
    <x v="45"/>
    <s v="PO2425U10439"/>
    <d v="2024-11-06T00:00:00"/>
    <s v="Before shipment"/>
    <s v="EXW"/>
    <s v="Yes"/>
    <m/>
    <m/>
    <n v="0"/>
    <n v="536"/>
    <n v="0"/>
    <m/>
    <m/>
    <m/>
    <m/>
    <m/>
    <m/>
    <m/>
    <m/>
    <d v="1900-01-09T00:00:00"/>
    <m/>
    <m/>
    <m/>
    <m/>
    <m/>
    <m/>
    <n v="414290613"/>
    <s v="EL01-001766"/>
    <s v="EL01-001766"/>
    <m/>
  </r>
  <r>
    <n v="402"/>
    <d v="2024-12-15T00:00:00"/>
    <n v="401556275"/>
    <s v="EL01-000237-1"/>
    <m/>
    <s v="SPACER FOR JIG"/>
    <s v="1022L967-003"/>
    <s v="-"/>
    <s v="SIMAT"/>
    <n v="525"/>
    <s v="EA"/>
    <n v="3.04"/>
    <s v="USD"/>
    <n v="1"/>
    <n v="3.04"/>
    <n v="1596"/>
    <s v="VR000542"/>
    <x v="46"/>
    <s v="PO2425U10474"/>
    <d v="2024-10-29T00:00:00"/>
    <s v="50% Advance balance before shipment"/>
    <s v="EXW"/>
    <s v="Yes"/>
    <m/>
    <m/>
    <n v="0"/>
    <n v="525"/>
    <n v="0"/>
    <m/>
    <m/>
    <m/>
    <m/>
    <m/>
    <m/>
    <m/>
    <m/>
    <d v="1900-01-09T00:00:00"/>
    <m/>
    <m/>
    <m/>
    <m/>
    <m/>
    <m/>
    <n v="401556275"/>
    <s v="EL01-000237"/>
    <s v="EL01-000237"/>
    <m/>
  </r>
  <r>
    <n v="403"/>
    <d v="2024-12-15T00:00:00"/>
    <n v="401369264"/>
    <s v="EL01-002009-1"/>
    <m/>
    <s v="GUIDE PIN"/>
    <s v="1094F207-001"/>
    <s v="-"/>
    <s v="SIMAT"/>
    <n v="1050"/>
    <s v="EA"/>
    <n v="2.66"/>
    <s v="USD"/>
    <n v="1"/>
    <n v="2.66"/>
    <n v="2793"/>
    <s v="VR000542"/>
    <x v="46"/>
    <s v="PO2425U10474"/>
    <d v="2024-10-29T00:00:00"/>
    <s v="50% Advance balance before shipment"/>
    <s v="EXW"/>
    <s v="Yes"/>
    <m/>
    <m/>
    <n v="0"/>
    <n v="1050"/>
    <n v="0"/>
    <m/>
    <m/>
    <m/>
    <m/>
    <m/>
    <m/>
    <m/>
    <m/>
    <d v="1900-01-09T00:00:00"/>
    <m/>
    <m/>
    <m/>
    <m/>
    <m/>
    <m/>
    <n v="401369264"/>
    <s v="EL01-002009"/>
    <s v="EL01-002009"/>
    <m/>
  </r>
  <r>
    <n v="404"/>
    <d v="2024-12-15T00:00:00"/>
    <n v="401679626"/>
    <s v="EL01-000300-1"/>
    <m/>
    <s v="WASHER"/>
    <s v="1094J281-001"/>
    <s v="-"/>
    <s v="SIMAT"/>
    <n v="3150"/>
    <s v="EA"/>
    <n v="1.76"/>
    <s v="USD"/>
    <n v="1"/>
    <n v="1.76"/>
    <n v="5544"/>
    <s v="VR000542"/>
    <x v="46"/>
    <s v="PO2425U10474"/>
    <d v="2024-10-29T00:00:00"/>
    <s v="50% Advance balance before shipment"/>
    <s v="EXW"/>
    <s v="Yes"/>
    <m/>
    <m/>
    <n v="0"/>
    <n v="3150"/>
    <n v="0"/>
    <m/>
    <m/>
    <m/>
    <m/>
    <m/>
    <m/>
    <m/>
    <m/>
    <d v="1900-01-09T00:00:00"/>
    <m/>
    <m/>
    <m/>
    <m/>
    <m/>
    <m/>
    <n v="401679626"/>
    <s v="EL01-000300"/>
    <s v="EL01-000300"/>
    <m/>
  </r>
  <r>
    <n v="405"/>
    <d v="2024-12-15T00:00:00"/>
    <n v="410810135"/>
    <s v="EL01-002021-1"/>
    <m/>
    <s v="LOCK WASHER"/>
    <s v="1096L954-001"/>
    <s v="-"/>
    <s v="SIMAT"/>
    <n v="525"/>
    <s v="EA"/>
    <n v="10"/>
    <s v="USD"/>
    <n v="1"/>
    <n v="10"/>
    <n v="5250"/>
    <s v="VR000542"/>
    <x v="46"/>
    <s v="PO2425U10474"/>
    <d v="2024-10-29T00:00:00"/>
    <s v="50% Advance balance before shipment"/>
    <s v="EXW"/>
    <s v="Yes"/>
    <m/>
    <m/>
    <n v="0"/>
    <n v="525"/>
    <n v="0"/>
    <m/>
    <m/>
    <m/>
    <m/>
    <m/>
    <m/>
    <m/>
    <m/>
    <d v="1900-01-09T00:00:00"/>
    <m/>
    <m/>
    <m/>
    <m/>
    <m/>
    <m/>
    <n v="410810135"/>
    <s v="EL01-002021"/>
    <s v="EL01-002021"/>
    <m/>
  </r>
  <r>
    <n v="406"/>
    <d v="2024-12-15T00:00:00"/>
    <n v="420006522"/>
    <s v="EL01-001884-1"/>
    <m/>
    <s v="GUIDE PIN"/>
    <s v="1038H563-002"/>
    <s v="-"/>
    <s v="SIMAT"/>
    <n v="1815"/>
    <s v="EA"/>
    <n v="4.18"/>
    <s v="USD"/>
    <n v="1"/>
    <n v="4.18"/>
    <n v="7586.7"/>
    <s v="VR000542"/>
    <x v="46"/>
    <s v="PO2425U10474"/>
    <d v="2024-10-29T00:00:00"/>
    <s v="50% Advance balance before shipment"/>
    <s v="EXW"/>
    <s v="Yes"/>
    <m/>
    <m/>
    <n v="0"/>
    <n v="1815"/>
    <n v="0"/>
    <m/>
    <m/>
    <m/>
    <m/>
    <m/>
    <m/>
    <m/>
    <m/>
    <d v="1900-01-09T00:00:00"/>
    <m/>
    <m/>
    <m/>
    <m/>
    <m/>
    <m/>
    <n v="420006522"/>
    <s v="EL01-001884"/>
    <s v="EL01-001884"/>
    <m/>
  </r>
  <r>
    <n v="407"/>
    <d v="2024-12-15T00:00:00"/>
    <n v="415674861"/>
    <s v="EL01-001885-1"/>
    <m/>
    <s v="GUIDE PIN"/>
    <s v="1038H564-001"/>
    <s v="-"/>
    <s v="SIMAT"/>
    <n v="1815"/>
    <s v="EA"/>
    <n v="3.04"/>
    <s v="USD"/>
    <n v="1"/>
    <n v="3.04"/>
    <n v="5517.6"/>
    <s v="VR000542"/>
    <x v="46"/>
    <s v="PO2425U10474"/>
    <d v="2024-10-29T00:00:00"/>
    <s v="50% Advance balance before shipment"/>
    <s v="EXW"/>
    <s v="Yes"/>
    <m/>
    <m/>
    <n v="0"/>
    <n v="1815"/>
    <n v="0"/>
    <m/>
    <m/>
    <m/>
    <m/>
    <m/>
    <m/>
    <m/>
    <m/>
    <d v="1900-01-09T00:00:00"/>
    <m/>
    <m/>
    <m/>
    <m/>
    <m/>
    <m/>
    <n v="415674861"/>
    <s v="EL01-001885"/>
    <s v="EL01-001885"/>
    <m/>
  </r>
  <r>
    <n v="408"/>
    <d v="2024-12-15T00:00:00"/>
    <n v="400005328"/>
    <s v="EL01-001836-1"/>
    <m/>
    <s v="POWER DIVIDER 2-WAYS 2-4GHZ"/>
    <s v="TGP-A0232"/>
    <m/>
    <s v="TIGER-MW"/>
    <n v="116"/>
    <s v="EA"/>
    <n v="86"/>
    <s v="USD"/>
    <n v="1"/>
    <n v="86"/>
    <n v="9976"/>
    <s v="VR000534"/>
    <x v="47"/>
    <s v="PO2425U10533"/>
    <d v="2024-11-25T00:00:00"/>
    <s v="Before shipment"/>
    <s v="EXW"/>
    <s v="Yes"/>
    <s v="Received "/>
    <m/>
    <n v="0"/>
    <n v="116"/>
    <n v="0"/>
    <m/>
    <m/>
    <m/>
    <m/>
    <m/>
    <m/>
    <m/>
    <m/>
    <d v="1900-01-09T00:00:00"/>
    <m/>
    <s v="Received"/>
    <m/>
    <m/>
    <m/>
    <m/>
    <n v="400005328"/>
    <s v="EL01-001836"/>
    <s v="EL01-001836"/>
    <m/>
  </r>
  <r>
    <n v="409"/>
    <d v="2024-12-15T00:00:00"/>
    <n v="414747781"/>
    <s v="EL01-001982-1"/>
    <m/>
    <s v="DIRECTIONAL COUPLER 2-4 GHZ CONNEC"/>
    <s v="ZDC2-4-10-SA"/>
    <m/>
    <s v="CHENGDU TIGER MICRO-ELECTRONIC"/>
    <n v="58"/>
    <s v="EA"/>
    <n v="185"/>
    <s v="USD"/>
    <n v="1"/>
    <n v="185"/>
    <n v="10730"/>
    <s v="VR000534"/>
    <x v="47"/>
    <s v="PO2425U10533"/>
    <d v="2024-11-25T00:00:00"/>
    <s v="Before shipment"/>
    <s v="EXW"/>
    <s v="Yes"/>
    <s v="Received "/>
    <m/>
    <n v="0"/>
    <n v="116"/>
    <n v="-58"/>
    <m/>
    <m/>
    <m/>
    <m/>
    <m/>
    <m/>
    <m/>
    <m/>
    <d v="1900-01-09T00:00:00"/>
    <m/>
    <s v="Received"/>
    <m/>
    <m/>
    <m/>
    <m/>
    <n v="414747781"/>
    <s v="EL01-001982"/>
    <s v="EL01-001982"/>
    <m/>
  </r>
  <r>
    <n v="410"/>
    <d v="2025-06-15T00:00:00"/>
    <n v="414747781"/>
    <s v="EL01-001982-2"/>
    <m/>
    <s v="DIRECTIONAL COUPLER 2-4 GHZ CONNEC"/>
    <s v="ZDC2-4-10-SA"/>
    <m/>
    <s v="CHENGDU TIGER MICRO-ELECTRONIC"/>
    <n v="58"/>
    <s v="EA"/>
    <n v="185"/>
    <s v="USD"/>
    <n v="1"/>
    <n v="185"/>
    <n v="10730"/>
    <s v="VR000534"/>
    <x v="47"/>
    <s v="PO2425U10533"/>
    <d v="2024-11-25T00:00:00"/>
    <s v="Before shipment"/>
    <s v="EXW"/>
    <m/>
    <m/>
    <m/>
    <n v="0"/>
    <n v="58"/>
    <n v="0"/>
    <m/>
    <m/>
    <m/>
    <m/>
    <m/>
    <m/>
    <m/>
    <m/>
    <d v="1900-01-09T00:00:00"/>
    <m/>
    <m/>
    <m/>
    <m/>
    <m/>
    <m/>
    <n v="414747781"/>
    <s v="EL01-001982"/>
    <s v="EL01-001982"/>
    <m/>
  </r>
  <r>
    <n v="411"/>
    <d v="2025-09-15T00:00:00"/>
    <n v="414747781"/>
    <s v="EL01-001982-3"/>
    <m/>
    <s v="DIRECTIONAL COUPLER 2-4 GHZ CONNEC"/>
    <s v="ZDC2-4-10-SA"/>
    <m/>
    <s v="CHENGDU TIGER MICRO-ELECTRONIC"/>
    <n v="58"/>
    <s v="EA"/>
    <n v="185"/>
    <s v="USD"/>
    <n v="1"/>
    <n v="185"/>
    <n v="10730"/>
    <s v="VR000534"/>
    <x v="47"/>
    <s v="PO2425U10533"/>
    <d v="2024-11-25T00:00:00"/>
    <s v="Before shipment"/>
    <s v="EXW"/>
    <m/>
    <m/>
    <m/>
    <n v="0"/>
    <n v="57"/>
    <n v="1"/>
    <n v="1"/>
    <m/>
    <n v="185"/>
    <m/>
    <d v="2025-12-01T00:00:00"/>
    <m/>
    <m/>
    <m/>
    <d v="2025-12-11T00:00:00"/>
    <m/>
    <m/>
    <m/>
    <m/>
    <m/>
    <m/>
    <n v="414747781"/>
    <s v="EL01-001982"/>
    <s v="EL01-001982"/>
    <n v="185"/>
  </r>
  <r>
    <n v="412"/>
    <d v="2025-12-15T00:00:00"/>
    <n v="414747781"/>
    <s v="EL01-001982-4"/>
    <m/>
    <s v="DIRECTIONAL COUPLER 2-4 GHZ CONNEC"/>
    <s v="ZDC2-4-10-SA"/>
    <m/>
    <s v="CHENGDU TIGER MICRO-ELECTRONIC"/>
    <n v="57"/>
    <s v="EA"/>
    <n v="185"/>
    <s v="USD"/>
    <n v="1"/>
    <n v="185"/>
    <n v="10545"/>
    <s v="VR000534"/>
    <x v="47"/>
    <s v="PO2425U10533"/>
    <d v="2024-11-25T00:00:00"/>
    <s v="Before shipment"/>
    <s v="EXW"/>
    <m/>
    <m/>
    <m/>
    <n v="0"/>
    <n v="0"/>
    <n v="57"/>
    <n v="57"/>
    <m/>
    <n v="185"/>
    <m/>
    <d v="2025-12-01T00:00:00"/>
    <m/>
    <m/>
    <m/>
    <d v="2025-12-11T00:00:00"/>
    <m/>
    <m/>
    <m/>
    <m/>
    <m/>
    <m/>
    <n v="414747781"/>
    <s v="EL01-001982"/>
    <s v="EL01-001982"/>
    <n v="10545"/>
  </r>
  <r>
    <n v="413"/>
    <d v="2025-09-15T00:00:00"/>
    <n v="400005328"/>
    <s v="EL01-001836-2"/>
    <m/>
    <s v="POWER DIVIDER 2-WAYS 2-4GHZ"/>
    <s v="TGP-A0232"/>
    <m/>
    <s v="TIGER-MW"/>
    <n v="115"/>
    <s v="EA"/>
    <n v="86"/>
    <s v="USD"/>
    <n v="1"/>
    <n v="86"/>
    <n v="9890"/>
    <s v="VR000534"/>
    <x v="47"/>
    <s v="PO2425U10533"/>
    <d v="2024-11-25T00:00:00"/>
    <s v="Before shipment"/>
    <s v="EXW"/>
    <s v="Yes"/>
    <m/>
    <m/>
    <n v="0"/>
    <n v="115"/>
    <n v="0"/>
    <m/>
    <m/>
    <m/>
    <m/>
    <m/>
    <m/>
    <m/>
    <m/>
    <d v="1900-01-09T00:00:00"/>
    <m/>
    <m/>
    <m/>
    <m/>
    <m/>
    <m/>
    <n v="400005328"/>
    <s v="EL01-001836"/>
    <s v="EL01-001836"/>
    <m/>
  </r>
  <r>
    <n v="414"/>
    <d v="2024-12-15T00:00:00"/>
    <n v="414395615"/>
    <s v="EL01-001935-1"/>
    <m/>
    <s v="POWER DIVIDER 8-1"/>
    <s v="1099M240-001"/>
    <s v=" -"/>
    <s v="TIGER-MW"/>
    <n v="116"/>
    <s v="EA"/>
    <n v="675"/>
    <s v="USD"/>
    <n v="1"/>
    <n v="675"/>
    <n v="78300"/>
    <s v="VR000534"/>
    <x v="47"/>
    <s v="PO2425U10533"/>
    <d v="2024-11-25T00:00:00"/>
    <s v="Before shipment"/>
    <s v="EXW"/>
    <s v="Yes"/>
    <s v="Received "/>
    <m/>
    <n v="0"/>
    <n v="116"/>
    <n v="0"/>
    <m/>
    <m/>
    <m/>
    <m/>
    <m/>
    <m/>
    <m/>
    <m/>
    <d v="1900-01-09T00:00:00"/>
    <m/>
    <s v="Received"/>
    <m/>
    <m/>
    <m/>
    <m/>
    <n v="414395615"/>
    <s v="EL01-001935"/>
    <s v="EL01-001935"/>
    <m/>
  </r>
  <r>
    <n v="415"/>
    <d v="2025-06-15T00:00:00"/>
    <n v="414395615"/>
    <s v="EL01-001935-2"/>
    <m/>
    <s v="POWER DIVIDER 8-1"/>
    <s v="1099M240-001"/>
    <s v=" -"/>
    <s v="TIGER-MW"/>
    <n v="116"/>
    <s v="EA"/>
    <n v="675"/>
    <s v="USD"/>
    <n v="1"/>
    <n v="675"/>
    <n v="78300"/>
    <s v="VR000534"/>
    <x v="47"/>
    <s v="PO2425U10533"/>
    <d v="2024-11-25T00:00:00"/>
    <s v="Before shipment"/>
    <s v="EXW"/>
    <m/>
    <m/>
    <m/>
    <n v="0"/>
    <n v="116"/>
    <n v="0"/>
    <m/>
    <m/>
    <m/>
    <m/>
    <m/>
    <m/>
    <m/>
    <m/>
    <d v="1900-01-09T00:00:00"/>
    <m/>
    <m/>
    <m/>
    <m/>
    <m/>
    <m/>
    <n v="414395615"/>
    <s v="EL01-001935"/>
    <s v="EL01-001935"/>
    <m/>
  </r>
  <r>
    <n v="416"/>
    <d v="2025-09-15T00:00:00"/>
    <n v="414395615"/>
    <s v="EL01-001935-3"/>
    <m/>
    <s v="POWER DIVIDER 8-1"/>
    <s v="1099M240-001"/>
    <s v=" -"/>
    <s v="TIGER-MW"/>
    <n v="116"/>
    <s v="EA"/>
    <n v="675"/>
    <s v="USD"/>
    <n v="1"/>
    <n v="675"/>
    <n v="78300"/>
    <s v="VR000534"/>
    <x v="47"/>
    <s v="PO2425U10533"/>
    <d v="2024-11-25T00:00:00"/>
    <s v="Before shipment"/>
    <s v="EXW"/>
    <m/>
    <m/>
    <m/>
    <n v="0"/>
    <n v="116"/>
    <n v="0"/>
    <m/>
    <m/>
    <m/>
    <m/>
    <m/>
    <m/>
    <m/>
    <m/>
    <d v="1900-01-09T00:00:00"/>
    <m/>
    <m/>
    <m/>
    <m/>
    <m/>
    <m/>
    <n v="414395615"/>
    <s v="EL01-001935"/>
    <s v="EL01-001935"/>
    <m/>
  </r>
  <r>
    <n v="417"/>
    <d v="2025-12-15T00:00:00"/>
    <n v="414395615"/>
    <s v="EL01-001935-4"/>
    <m/>
    <s v="POWER DIVIDER 8-1"/>
    <s v="1099M240-001"/>
    <s v=" -"/>
    <s v="TIGER-MW"/>
    <n v="114"/>
    <s v="EA"/>
    <n v="675"/>
    <s v="USD"/>
    <n v="1"/>
    <n v="675"/>
    <n v="76950"/>
    <s v="VR000534"/>
    <x v="47"/>
    <s v="PO2425U10533"/>
    <d v="2024-11-25T00:00:00"/>
    <s v="Before shipment"/>
    <s v="EXW"/>
    <m/>
    <m/>
    <m/>
    <n v="0"/>
    <n v="0"/>
    <n v="114"/>
    <n v="114"/>
    <n v="0"/>
    <n v="675"/>
    <m/>
    <d v="2025-12-15T00:00:00"/>
    <m/>
    <m/>
    <m/>
    <d v="2025-12-25T00:00:00"/>
    <m/>
    <m/>
    <m/>
    <m/>
    <m/>
    <m/>
    <n v="414395615"/>
    <s v="EL01-001935"/>
    <s v="EL01-001935"/>
    <n v="76950"/>
  </r>
  <r>
    <n v="418"/>
    <d v="2024-12-15T00:00:00"/>
    <n v="410910553"/>
    <s v="EL01-002252-1"/>
    <m/>
    <s v="CHIP CAP 4.7UF 10^ 16V X7R T&amp;R"/>
    <s v="GRM188Z71C475KE21D"/>
    <m/>
    <s v="MURATA MANUFACTURING CO. LTD"/>
    <n v="20000"/>
    <s v="EA"/>
    <n v="3.9E-2"/>
    <s v="USD"/>
    <n v="1"/>
    <n v="3.9E-2"/>
    <n v="780"/>
    <s v="VR000035"/>
    <x v="48"/>
    <s v="PO2425U10608"/>
    <d v="2024-12-10T00:00:00"/>
    <s v="Net 90days"/>
    <s v="EXW"/>
    <s v="Yes"/>
    <m/>
    <m/>
    <n v="0"/>
    <n v="20000"/>
    <n v="0"/>
    <m/>
    <m/>
    <m/>
    <m/>
    <m/>
    <m/>
    <m/>
    <m/>
    <d v="1900-01-09T00:00:00"/>
    <m/>
    <m/>
    <m/>
    <m/>
    <m/>
    <m/>
    <n v="410910553"/>
    <s v="EL01-002252"/>
    <s v="EL01-002252"/>
    <m/>
  </r>
  <r>
    <n v="419"/>
    <d v="2024-12-15T00:00:00"/>
    <n v="400043186"/>
    <s v="EL01-001767-1"/>
    <m/>
    <s v="CHIP FERRITE BEAD EMI FILTER 220-OHM T&amp;R"/>
    <s v="BLM15EG221SN1D"/>
    <m/>
    <s v="Murata"/>
    <n v="150000"/>
    <s v="EA"/>
    <n v="1.2999999999999999E-2"/>
    <s v="USD"/>
    <n v="1"/>
    <n v="1.2999999999999999E-2"/>
    <n v="1950"/>
    <s v="VR000035"/>
    <x v="48"/>
    <s v="PO2425U10405"/>
    <d v="2024-10-25T00:00:00"/>
    <s v="Net 90days"/>
    <s v="EXW"/>
    <s v="Yes"/>
    <m/>
    <m/>
    <n v="0"/>
    <n v="150000"/>
    <n v="0"/>
    <m/>
    <m/>
    <m/>
    <m/>
    <m/>
    <m/>
    <m/>
    <m/>
    <d v="1900-01-09T00:00:00"/>
    <m/>
    <s v="Received"/>
    <m/>
    <m/>
    <m/>
    <m/>
    <n v="400043186"/>
    <s v="EL01-001767"/>
    <s v="EL01-001767"/>
    <m/>
  </r>
  <r>
    <n v="420"/>
    <d v="2024-12-15T00:00:00"/>
    <n v="400112300"/>
    <s v="EL01-001743-1"/>
    <m/>
    <s v="CHIP EMIFIL INDUCTOR 26-OHM T&amp;R"/>
    <s v="BLM18SG260TN1D"/>
    <m/>
    <s v="Murata"/>
    <n v="70000"/>
    <s v="EA"/>
    <n v="8.0000000000000002E-3"/>
    <s v="USD"/>
    <n v="1"/>
    <n v="8.0000000000000002E-3"/>
    <n v="560"/>
    <s v="VR000035"/>
    <x v="48"/>
    <s v="PO2425U10405"/>
    <d v="2024-10-25T00:00:00"/>
    <s v="Net 90days"/>
    <s v="EXW"/>
    <s v="Yes"/>
    <m/>
    <m/>
    <n v="0"/>
    <n v="70000"/>
    <n v="0"/>
    <m/>
    <m/>
    <m/>
    <m/>
    <m/>
    <m/>
    <m/>
    <m/>
    <d v="1900-01-09T00:00:00"/>
    <m/>
    <s v="Received"/>
    <m/>
    <m/>
    <m/>
    <m/>
    <n v="400112300"/>
    <s v="EL01-001743"/>
    <s v="EL01-001743"/>
    <m/>
  </r>
  <r>
    <n v="421"/>
    <d v="2024-12-15T00:00:00"/>
    <s v="N62786405"/>
    <s v="EL01-000830-1"/>
    <m/>
    <s v="CHIP FILTER EMI 50-OHM 3.2X1.6MM  T&amp;R"/>
    <s v="BLM31PG500SN1L"/>
    <m/>
    <s v="Murata"/>
    <n v="9000"/>
    <s v="EA"/>
    <n v="3.1E-2"/>
    <s v="USD"/>
    <n v="1"/>
    <n v="3.1E-2"/>
    <n v="279"/>
    <s v="VR000035"/>
    <x v="48"/>
    <s v="PO2425U10405"/>
    <d v="2024-10-25T00:00:00"/>
    <s v="Net 90days"/>
    <s v="EXW"/>
    <s v="Yes"/>
    <m/>
    <m/>
    <n v="0"/>
    <n v="9000"/>
    <n v="0"/>
    <m/>
    <m/>
    <m/>
    <m/>
    <m/>
    <m/>
    <m/>
    <m/>
    <d v="1900-01-09T00:00:00"/>
    <m/>
    <s v="Received"/>
    <m/>
    <m/>
    <m/>
    <m/>
    <s v="N62786405"/>
    <s v="EL01-000830"/>
    <s v="EL01-000830"/>
    <m/>
  </r>
  <r>
    <n v="422"/>
    <d v="2024-12-15T00:00:00"/>
    <n v="417049490"/>
    <s v="EL01-001744-1"/>
    <m/>
    <s v="CHIP CAP 0.1UF 10^ 16V X7R T&amp;R"/>
    <s v="GRM155R71C104KA88D"/>
    <m/>
    <s v="Murata"/>
    <n v="560000"/>
    <s v="EA"/>
    <n v="8.0000000000000004E-4"/>
    <s v="USD"/>
    <n v="1"/>
    <n v="8.0000000000000004E-4"/>
    <n v="448"/>
    <s v="VR000035"/>
    <x v="48"/>
    <s v="PO2425U10405"/>
    <d v="2024-10-25T00:00:00"/>
    <s v="Net 90days"/>
    <s v="EXW"/>
    <s v="Yes"/>
    <m/>
    <m/>
    <n v="0"/>
    <n v="560000"/>
    <n v="0"/>
    <m/>
    <m/>
    <m/>
    <m/>
    <m/>
    <m/>
    <m/>
    <m/>
    <d v="1900-01-09T00:00:00"/>
    <m/>
    <s v="Received"/>
    <m/>
    <m/>
    <s v="Actual CAT:400536575 for PN:GRM155R71C104KA88D"/>
    <m/>
    <n v="417049490"/>
    <s v="EL01-001744"/>
    <s v="EL01-001744"/>
    <m/>
  </r>
  <r>
    <n v="423"/>
    <d v="2024-12-15T00:00:00"/>
    <n v="402231969"/>
    <s v="EL01-001816-1"/>
    <m/>
    <s v="CHIP CAP 330PF 10^ 50V X7R T&amp;R"/>
    <s v="GRM155R71H331KA01D"/>
    <m/>
    <s v="Murata"/>
    <n v="80000"/>
    <s v="EA"/>
    <n v="2E-3"/>
    <s v="USD"/>
    <n v="1"/>
    <n v="2E-3"/>
    <n v="160"/>
    <s v="VR000035"/>
    <x v="48"/>
    <s v="PO2425U10405"/>
    <d v="2024-10-25T00:00:00"/>
    <s v="Net 90days"/>
    <s v="EXW"/>
    <s v="Yes"/>
    <m/>
    <m/>
    <n v="0"/>
    <n v="80000"/>
    <n v="0"/>
    <m/>
    <m/>
    <m/>
    <m/>
    <m/>
    <m/>
    <m/>
    <m/>
    <d v="1900-01-09T00:00:00"/>
    <m/>
    <s v="Received"/>
    <m/>
    <m/>
    <m/>
    <m/>
    <n v="402231969"/>
    <s v="EL01-001816"/>
    <s v="EL01-001816"/>
    <m/>
  </r>
  <r>
    <n v="424"/>
    <d v="2024-12-15T00:00:00"/>
    <n v="401363827"/>
    <s v="EL01-001817-1"/>
    <m/>
    <s v="CHIP COIL 10NH 2% T&amp;R"/>
    <s v="LQW15AN10NG00D"/>
    <m/>
    <s v="Murata"/>
    <n v="40000"/>
    <s v="EA"/>
    <n v="3.7999999999999999E-2"/>
    <s v="USD"/>
    <n v="1"/>
    <n v="3.7999999999999999E-2"/>
    <n v="1520"/>
    <s v="VR000035"/>
    <x v="48"/>
    <s v="PO2425U10405"/>
    <d v="2024-10-25T00:00:00"/>
    <s v="Net 90days"/>
    <s v="EXW"/>
    <s v="Yes"/>
    <m/>
    <m/>
    <n v="0"/>
    <n v="40000"/>
    <n v="0"/>
    <m/>
    <m/>
    <m/>
    <m/>
    <m/>
    <m/>
    <m/>
    <m/>
    <d v="1900-01-09T00:00:00"/>
    <m/>
    <s v="Received"/>
    <m/>
    <m/>
    <m/>
    <m/>
    <n v="401363827"/>
    <s v="EL01-001817"/>
    <s v="EL01-001817"/>
    <m/>
  </r>
  <r>
    <n v="425"/>
    <d v="2024-12-15T00:00:00"/>
    <n v="406825833"/>
    <s v="EL01-001818-1"/>
    <m/>
    <s v="CHIP COIL 5.8NH +-0.1NH T&amp;R"/>
    <s v="LQW15AN5N8B00D"/>
    <m/>
    <s v="Murata"/>
    <n v="150000"/>
    <s v="EA"/>
    <n v="3.9E-2"/>
    <s v="USD"/>
    <n v="1"/>
    <n v="3.9E-2"/>
    <n v="5850"/>
    <s v="VR000035"/>
    <x v="48"/>
    <s v="PO2425U10405"/>
    <d v="2024-10-25T00:00:00"/>
    <s v="Net 90days"/>
    <s v="EXW"/>
    <s v="Yes"/>
    <m/>
    <m/>
    <n v="0"/>
    <n v="150000"/>
    <n v="0"/>
    <m/>
    <m/>
    <m/>
    <m/>
    <m/>
    <m/>
    <m/>
    <m/>
    <d v="1900-01-09T00:00:00"/>
    <m/>
    <s v="Received"/>
    <m/>
    <m/>
    <m/>
    <m/>
    <n v="406825833"/>
    <s v="EL01-001818"/>
    <s v="EL01-001818"/>
    <m/>
  </r>
  <r>
    <n v="426"/>
    <d v="2024-12-15T00:00:00"/>
    <n v="407135463"/>
    <s v="EL01-001819-1"/>
    <m/>
    <s v="CHIP EMI FILTER T&amp;R"/>
    <s v="NFL18ZT207H1A3D"/>
    <m/>
    <s v="Murata"/>
    <n v="116000"/>
    <s v="EA"/>
    <n v="0.17299999999999999"/>
    <s v="USD"/>
    <n v="1"/>
    <n v="0.17299999999999999"/>
    <n v="20068"/>
    <s v="VR000035"/>
    <x v="48"/>
    <s v="PO2425U10405"/>
    <d v="2024-10-25T00:00:00"/>
    <s v="Net 90days"/>
    <s v="EXW"/>
    <s v="Yes"/>
    <m/>
    <m/>
    <n v="0"/>
    <n v="116000"/>
    <n v="0"/>
    <m/>
    <m/>
    <m/>
    <m/>
    <m/>
    <m/>
    <m/>
    <m/>
    <d v="1900-01-09T00:00:00"/>
    <m/>
    <s v="Received"/>
    <m/>
    <m/>
    <m/>
    <m/>
    <n v="407135463"/>
    <s v="EL01-001819"/>
    <s v="EL01-001819"/>
    <m/>
  </r>
  <r>
    <n v="427"/>
    <d v="2025-06-15T00:00:00"/>
    <n v="407135463"/>
    <s v="EL01-001819-2"/>
    <m/>
    <s v="CHIP EMI FILTER T&amp;R"/>
    <s v="NFL18ZT207H1A3D"/>
    <m/>
    <s v="Murata"/>
    <n v="112000"/>
    <s v="EA"/>
    <n v="0.17299999999999999"/>
    <s v="USD"/>
    <n v="1"/>
    <n v="0.17299999999999999"/>
    <n v="19376"/>
    <s v="VR000035"/>
    <x v="48"/>
    <s v="PO2425U10405"/>
    <d v="2024-10-25T00:00:00"/>
    <s v="Net 90days"/>
    <s v="EXW"/>
    <s v="Yes"/>
    <m/>
    <m/>
    <n v="0"/>
    <n v="112000"/>
    <n v="0"/>
    <m/>
    <m/>
    <m/>
    <m/>
    <m/>
    <m/>
    <m/>
    <m/>
    <d v="1900-01-09T00:00:00"/>
    <m/>
    <s v="Received"/>
    <m/>
    <m/>
    <m/>
    <m/>
    <n v="407135463"/>
    <s v="EL01-001819"/>
    <s v="EL01-001819"/>
    <m/>
  </r>
  <r>
    <n v="428"/>
    <d v="2025-09-15T00:00:00"/>
    <n v="407135463"/>
    <s v="EL01-001819-3"/>
    <m/>
    <s v="CHIP EMI FILTER T&amp;R"/>
    <s v="NFL18ZT207H1A3D"/>
    <m/>
    <s v="Murata"/>
    <n v="116000"/>
    <s v="EA"/>
    <n v="0.17299999999999999"/>
    <s v="USD"/>
    <n v="1"/>
    <n v="0.17299999999999999"/>
    <n v="20068"/>
    <s v="VR000035"/>
    <x v="48"/>
    <s v="PO2425U10405"/>
    <d v="2024-10-25T00:00:00"/>
    <s v="Net 90days"/>
    <s v="EXW"/>
    <s v="Yes"/>
    <m/>
    <m/>
    <n v="0"/>
    <n v="116000"/>
    <n v="0"/>
    <m/>
    <m/>
    <m/>
    <m/>
    <m/>
    <m/>
    <m/>
    <m/>
    <d v="1900-01-09T00:00:00"/>
    <m/>
    <s v="Received"/>
    <m/>
    <m/>
    <m/>
    <m/>
    <n v="407135463"/>
    <s v="EL01-001819"/>
    <s v="EL01-001819"/>
    <m/>
  </r>
  <r>
    <n v="429"/>
    <d v="2025-12-15T00:00:00"/>
    <n v="407135463"/>
    <s v="EL01-001819-4"/>
    <m/>
    <s v="CHIP EMI FILTER T&amp;R"/>
    <s v="NFL18ZT207H1A3D"/>
    <m/>
    <s v="Murata"/>
    <n v="112000"/>
    <s v="EA"/>
    <n v="0.17299999999999999"/>
    <s v="USD"/>
    <n v="1"/>
    <n v="0.17299999999999999"/>
    <n v="19376"/>
    <s v="VR000035"/>
    <x v="48"/>
    <s v="PO2425U10405"/>
    <d v="2024-10-25T00:00:00"/>
    <s v="Net 90days"/>
    <s v="EXW"/>
    <s v="Yes"/>
    <m/>
    <m/>
    <n v="0"/>
    <n v="112000"/>
    <n v="0"/>
    <m/>
    <m/>
    <m/>
    <m/>
    <m/>
    <m/>
    <m/>
    <m/>
    <d v="1900-01-09T00:00:00"/>
    <m/>
    <s v="Received"/>
    <m/>
    <m/>
    <m/>
    <m/>
    <n v="407135463"/>
    <s v="EL01-001819"/>
    <s v="EL01-001819"/>
    <m/>
  </r>
  <r>
    <n v="430"/>
    <d v="2024-12-15T00:00:00"/>
    <n v="407135456"/>
    <s v="EL01-001745-1"/>
    <m/>
    <s v="CHIP FILTER EMI T&amp;R"/>
    <s v="NFL18ZT507H1A3D"/>
    <m/>
    <s v="Murata"/>
    <n v="88000"/>
    <s v="EA"/>
    <n v="0.17299999999999999"/>
    <s v="USD"/>
    <n v="1"/>
    <n v="0.17299999999999999"/>
    <n v="15223.999999999998"/>
    <s v="VR000035"/>
    <x v="48"/>
    <s v="PO2425U10405"/>
    <d v="2024-10-25T00:00:00"/>
    <s v="Net 90days"/>
    <s v="EXW"/>
    <s v="Yes"/>
    <m/>
    <m/>
    <n v="0"/>
    <n v="88000"/>
    <n v="0"/>
    <m/>
    <m/>
    <m/>
    <m/>
    <m/>
    <m/>
    <m/>
    <m/>
    <d v="1900-01-09T00:00:00"/>
    <m/>
    <s v="Received"/>
    <m/>
    <m/>
    <m/>
    <m/>
    <n v="407135456"/>
    <s v="EL01-001745"/>
    <s v="EL01-001745"/>
    <m/>
  </r>
  <r>
    <n v="431"/>
    <d v="2025-09-15T00:00:00"/>
    <n v="407135456"/>
    <s v="EL01-001745-2"/>
    <m/>
    <s v="CHIP FILTER EMI T&amp;R"/>
    <s v="NFL18ZT507H1A3D"/>
    <m/>
    <s v="Murata"/>
    <n v="88000"/>
    <s v="EA"/>
    <n v="0.17299999999999999"/>
    <s v="USD"/>
    <n v="1"/>
    <n v="0.17299999999999999"/>
    <n v="15223.999999999998"/>
    <s v="VR000035"/>
    <x v="48"/>
    <s v="PO2425U10405"/>
    <d v="2024-10-25T00:00:00"/>
    <s v="Net 90days"/>
    <s v="EXW"/>
    <s v="Yes"/>
    <m/>
    <m/>
    <n v="0"/>
    <n v="88000"/>
    <n v="0"/>
    <m/>
    <m/>
    <m/>
    <m/>
    <m/>
    <m/>
    <m/>
    <m/>
    <d v="1900-01-09T00:00:00"/>
    <m/>
    <s v="Received"/>
    <m/>
    <m/>
    <m/>
    <m/>
    <n v="407135456"/>
    <s v="EL01-001745"/>
    <s v="EL01-001745"/>
    <m/>
  </r>
  <r>
    <n v="432"/>
    <d v="2024-12-15T00:00:00"/>
    <n v="417380164"/>
    <s v="EL01-001813-1"/>
    <m/>
    <s v="FUSE SLOW BLOW  0.5A/63V,SMT,REEL PACK"/>
    <s v="0440.500WR"/>
    <m/>
    <s v="LITTELFUSE INC"/>
    <n v="36000"/>
    <s v="EA"/>
    <n v="0.111"/>
    <s v="USD"/>
    <n v="1"/>
    <n v="0.111"/>
    <n v="3996"/>
    <s v="VR000509"/>
    <x v="39"/>
    <s v="PO2425U10435"/>
    <d v="2024-11-04T00:00:00"/>
    <s v="Net 30days"/>
    <s v="EXW"/>
    <s v="Yes"/>
    <m/>
    <m/>
    <n v="0"/>
    <n v="36000"/>
    <n v="0"/>
    <m/>
    <m/>
    <m/>
    <m/>
    <m/>
    <m/>
    <m/>
    <m/>
    <d v="1900-01-09T00:00:00"/>
    <m/>
    <m/>
    <m/>
    <m/>
    <m/>
    <m/>
    <m/>
    <m/>
    <s v="EL01-001813"/>
    <m/>
  </r>
  <r>
    <n v="433"/>
    <d v="2025-01-15T00:00:00"/>
    <n v="400506335"/>
    <s v="EL01-002247-1"/>
    <m/>
    <s v="FUSE 0.5A/63V VERY FAST ACTION, ROHS,"/>
    <s v="0466.500NR"/>
    <m/>
    <s v=" Littelfuse"/>
    <n v="60000"/>
    <s v="EA"/>
    <n v="5.2999999999999999E-2"/>
    <s v="USD"/>
    <n v="1"/>
    <n v="5.2999999999999999E-2"/>
    <n v="3180"/>
    <s v="VR000509"/>
    <x v="39"/>
    <s v="PO2425U10650"/>
    <d v="2024-12-27T00:00:00"/>
    <s v="Net 30days"/>
    <s v="EXW"/>
    <s v="Yes"/>
    <m/>
    <m/>
    <n v="0"/>
    <n v="60000"/>
    <n v="0"/>
    <m/>
    <m/>
    <m/>
    <m/>
    <m/>
    <m/>
    <m/>
    <m/>
    <d v="1900-01-09T00:00:00"/>
    <m/>
    <m/>
    <m/>
    <m/>
    <m/>
    <m/>
    <n v="400506335"/>
    <s v="EL01-002247"/>
    <s v="EL01-002247"/>
    <m/>
  </r>
  <r>
    <n v="434"/>
    <d v="2024-12-15T00:00:00"/>
    <s v="N65805756"/>
    <s v="EL01-002365-1"/>
    <m/>
    <s v="ADAPTER WITHIN SMA(F) TO SMA(F) BULK"/>
    <s v="SF2991-6002"/>
    <m/>
    <s v="Amphenol / SV Microwave"/>
    <n v="130"/>
    <s v="EA"/>
    <n v="26.785"/>
    <s v="USD"/>
    <n v="1"/>
    <n v="26.785"/>
    <n v="3482.05"/>
    <s v="VR000263"/>
    <x v="24"/>
    <s v="PO2425U10662"/>
    <d v="2025-12-03T00:00:00"/>
    <s v="100% Advance"/>
    <s v="EXW"/>
    <s v="Yes"/>
    <s v="Received "/>
    <m/>
    <n v="0"/>
    <n v="130"/>
    <n v="0"/>
    <m/>
    <m/>
    <m/>
    <m/>
    <m/>
    <m/>
    <m/>
    <m/>
    <d v="1900-01-09T00:00:00"/>
    <s v="Received from TI also need to add in PPV"/>
    <s v="Received"/>
    <m/>
    <m/>
    <m/>
    <m/>
    <s v="N65805756"/>
    <s v="EL01-002365"/>
    <s v="EL01-002365"/>
    <m/>
  </r>
  <r>
    <n v="435"/>
    <d v="2024-12-15T00:00:00"/>
    <s v="N65873648"/>
    <s v="EL01-000346-1"/>
    <m/>
    <s v="ADAPTER BETWEEN TNC(J) TO SMA(J) BUL"/>
    <s v="ADT-2793-TF-SMF-02"/>
    <m/>
    <s v="CINCH CONNECTIVITY SOLUTIONS LTD"/>
    <n v="130"/>
    <s v="EA"/>
    <n v="59.2"/>
    <s v="USD"/>
    <n v="1"/>
    <n v="59.2"/>
    <n v="7696"/>
    <s v="VR000016"/>
    <x v="49"/>
    <s v="PO2425U10414"/>
    <d v="2024-11-05T00:00:00"/>
    <s v="100% Advance"/>
    <s v="EXW"/>
    <m/>
    <s v="Received "/>
    <m/>
    <n v="0"/>
    <n v="130"/>
    <n v="0"/>
    <m/>
    <m/>
    <m/>
    <m/>
    <m/>
    <m/>
    <m/>
    <m/>
    <d v="1900-01-09T00:00:00"/>
    <m/>
    <m/>
    <m/>
    <m/>
    <m/>
    <m/>
    <s v="N65873648"/>
    <s v="EL01-000346"/>
    <s v="EL01-000346"/>
    <m/>
  </r>
  <r>
    <n v="436"/>
    <d v="2024-12-15T00:00:00"/>
    <s v="N80418445"/>
    <s v="EL01-000679-1"/>
    <m/>
    <s v="ATTENUATOR DC-18GHZ 10DB 2WATT SMA"/>
    <s v="ATT-0290-10-SMA-02"/>
    <m/>
    <s v="CINCH CONNECTIVITY SOLUTIONS LTD"/>
    <n v="66"/>
    <s v="EA"/>
    <n v="112.6"/>
    <s v="USD"/>
    <n v="1"/>
    <n v="112.6"/>
    <n v="7431.5999999999995"/>
    <s v="VR000016"/>
    <x v="49"/>
    <s v="PO2425U10414"/>
    <d v="2024-11-05T00:00:00"/>
    <s v="100% Advance"/>
    <s v="EXW"/>
    <m/>
    <s v="Received "/>
    <m/>
    <n v="0"/>
    <n v="66"/>
    <n v="0"/>
    <m/>
    <m/>
    <m/>
    <m/>
    <m/>
    <m/>
    <m/>
    <m/>
    <d v="1900-01-09T00:00:00"/>
    <m/>
    <m/>
    <m/>
    <m/>
    <m/>
    <m/>
    <s v="N80418445"/>
    <s v="EL01-000679"/>
    <s v="EL01-000679"/>
    <m/>
  </r>
  <r>
    <n v="437"/>
    <d v="2025-09-15T00:00:00"/>
    <s v="N80418445"/>
    <s v="EL01-000679-2"/>
    <m/>
    <s v="ATTENUATOR DC-18GHZ 10DB 2WATT SMA"/>
    <s v="ATT-0290-10-SMA-02"/>
    <m/>
    <s v="CINCH CONNECTIVITY SOLUTIONS LTD"/>
    <n v="64"/>
    <s v="EA"/>
    <n v="112.6"/>
    <s v="USD"/>
    <n v="1"/>
    <n v="112.6"/>
    <n v="7206.4"/>
    <s v="VR000016"/>
    <x v="49"/>
    <s v="PO2425U10414"/>
    <d v="2024-11-05T00:00:00"/>
    <s v="100% Advance"/>
    <s v="EXW"/>
    <m/>
    <s v="Received "/>
    <m/>
    <n v="0"/>
    <n v="64"/>
    <n v="0"/>
    <m/>
    <m/>
    <m/>
    <m/>
    <m/>
    <m/>
    <m/>
    <m/>
    <d v="1900-01-09T00:00:00"/>
    <m/>
    <m/>
    <m/>
    <m/>
    <m/>
    <m/>
    <s v="N80418445"/>
    <s v="EL01-000679"/>
    <s v="EL01-000679"/>
    <m/>
  </r>
  <r>
    <n v="438"/>
    <d v="2024-12-15T00:00:00"/>
    <s v="N80702939"/>
    <s v="EL01-000414-1"/>
    <m/>
    <s v="TERMINATION TNC PLUG DC-12.4GHZ"/>
    <s v="TRM-2107-MC-TNC-02"/>
    <m/>
    <s v="CINCH CONNECTIVITY SOLUTIONS LTD"/>
    <n v="66"/>
    <s v="EA"/>
    <n v="117.5"/>
    <s v="USD"/>
    <n v="1"/>
    <n v="117.5"/>
    <n v="7755"/>
    <s v="VR000016"/>
    <x v="49"/>
    <s v="PO2425U10414"/>
    <d v="2024-11-05T00:00:00"/>
    <s v="100% Advance"/>
    <s v="EXW"/>
    <m/>
    <s v="Received "/>
    <m/>
    <n v="0"/>
    <n v="66"/>
    <n v="0"/>
    <m/>
    <m/>
    <m/>
    <m/>
    <m/>
    <m/>
    <m/>
    <m/>
    <d v="1900-01-09T00:00:00"/>
    <m/>
    <m/>
    <m/>
    <m/>
    <m/>
    <m/>
    <s v="N80702939"/>
    <s v="EL01-000414"/>
    <s v="EL01-000414"/>
    <m/>
  </r>
  <r>
    <n v="439"/>
    <d v="2025-09-15T00:00:00"/>
    <s v="N80702939"/>
    <s v="EL01-000414-2"/>
    <m/>
    <s v="TERMINATION TNC PLUG DC-12.4GHZ"/>
    <s v="TRM-2107-MC-TNC-02"/>
    <m/>
    <s v="CINCH CONNECTIVITY SOLUTIONS LTD"/>
    <n v="64"/>
    <s v="EA"/>
    <n v="117.5"/>
    <s v="USD"/>
    <n v="1"/>
    <n v="117.5"/>
    <n v="7520"/>
    <s v="VR000016"/>
    <x v="49"/>
    <s v="PO2425U10414"/>
    <d v="2024-11-05T00:00:00"/>
    <s v="100% Advance"/>
    <s v="EXW"/>
    <m/>
    <s v="Received "/>
    <m/>
    <n v="0"/>
    <n v="64"/>
    <n v="0"/>
    <m/>
    <m/>
    <m/>
    <m/>
    <m/>
    <m/>
    <m/>
    <m/>
    <d v="1900-01-09T00:00:00"/>
    <m/>
    <m/>
    <m/>
    <m/>
    <m/>
    <m/>
    <s v="N80702939"/>
    <s v="EL01-000414"/>
    <s v="EL01-000414"/>
    <m/>
  </r>
  <r>
    <n v="440"/>
    <d v="2024-12-15T00:00:00"/>
    <n v="400955927"/>
    <s v="EL01-000238-1"/>
    <m/>
    <s v="BRACKET FOR CF CARD"/>
    <s v="1022L987-001"/>
    <s v="-"/>
    <s v="Wave Mechanics"/>
    <n v="40"/>
    <s v="EA"/>
    <n v="32"/>
    <s v="USD"/>
    <n v="1"/>
    <n v="32"/>
    <n v="1280"/>
    <s v="VR000065"/>
    <x v="50"/>
    <s v="PO2425U10396"/>
    <d v="2024-10-25T00:00:00"/>
    <s v="Net 90 days"/>
    <s v="DAP"/>
    <s v="Yes"/>
    <m/>
    <m/>
    <n v="0"/>
    <n v="40"/>
    <n v="0"/>
    <m/>
    <m/>
    <m/>
    <m/>
    <m/>
    <m/>
    <m/>
    <m/>
    <d v="1900-01-09T00:00:00"/>
    <m/>
    <m/>
    <m/>
    <m/>
    <m/>
    <m/>
    <n v="400955927"/>
    <s v="EL01-000238"/>
    <s v="EL01-000238"/>
    <m/>
  </r>
  <r>
    <n v="441"/>
    <d v="2025-09-15T00:00:00"/>
    <n v="400955927"/>
    <s v="EL01-000238-2"/>
    <m/>
    <s v="BRACKET FOR CF CARD"/>
    <s v="1022L987-001"/>
    <s v="-"/>
    <s v="Wave Mechanics"/>
    <n v="26"/>
    <s v="EA"/>
    <n v="32"/>
    <s v="USD"/>
    <n v="1"/>
    <n v="32"/>
    <n v="832"/>
    <s v="VR000065"/>
    <x v="50"/>
    <s v="PO2425U10396"/>
    <d v="2024-10-25T00:00:00"/>
    <s v="Net 90 days"/>
    <s v="DAP"/>
    <s v="Yes"/>
    <m/>
    <m/>
    <n v="0"/>
    <n v="26"/>
    <n v="0"/>
    <m/>
    <m/>
    <m/>
    <m/>
    <m/>
    <m/>
    <m/>
    <m/>
    <d v="1900-01-09T00:00:00"/>
    <m/>
    <m/>
    <m/>
    <m/>
    <m/>
    <m/>
    <n v="400955927"/>
    <s v="EL01-000238"/>
    <s v="EL01-000238"/>
    <m/>
  </r>
  <r>
    <n v="442"/>
    <d v="2025-12-15T00:00:00"/>
    <n v="400955927"/>
    <s v="EL01-000238-3"/>
    <m/>
    <s v="BRACKET FOR CF CARD"/>
    <s v="1022L987-001"/>
    <s v="-"/>
    <s v="Wave Mechanics"/>
    <n v="34"/>
    <s v="EA"/>
    <n v="32"/>
    <s v="USD"/>
    <n v="1"/>
    <n v="32"/>
    <n v="1088"/>
    <s v="VR000065"/>
    <x v="50"/>
    <s v="PO2425U10396"/>
    <d v="2024-10-25T00:00:00"/>
    <s v="Net 90 days"/>
    <s v="DAP"/>
    <s v="Yes"/>
    <m/>
    <m/>
    <n v="0"/>
    <n v="34"/>
    <n v="0"/>
    <m/>
    <m/>
    <m/>
    <m/>
    <m/>
    <m/>
    <m/>
    <m/>
    <d v="1900-01-09T00:00:00"/>
    <m/>
    <m/>
    <m/>
    <m/>
    <m/>
    <m/>
    <n v="400955927"/>
    <s v="EL01-000238"/>
    <s v="EL01-000238"/>
    <m/>
  </r>
  <r>
    <n v="443"/>
    <d v="2025-12-15T00:00:00"/>
    <n v="400955927"/>
    <s v="EL01-000238-4"/>
    <m/>
    <s v="BRACKET FOR CF CARD"/>
    <s v="1022L987-001"/>
    <s v="-"/>
    <s v="Wave Mechanics"/>
    <n v="30"/>
    <s v="EA"/>
    <n v="32"/>
    <s v="USD"/>
    <n v="1"/>
    <n v="32"/>
    <n v="960"/>
    <s v="VR000065"/>
    <x v="50"/>
    <s v="PO2425U10396"/>
    <d v="2024-10-25T00:00:00"/>
    <s v="Net 90 days"/>
    <s v="DAP"/>
    <s v="Yes"/>
    <m/>
    <m/>
    <n v="0"/>
    <n v="30"/>
    <n v="0"/>
    <m/>
    <m/>
    <m/>
    <m/>
    <m/>
    <m/>
    <m/>
    <m/>
    <d v="1900-01-09T00:00:00"/>
    <m/>
    <m/>
    <m/>
    <m/>
    <m/>
    <m/>
    <n v="400955927"/>
    <s v="EL01-000238"/>
    <s v="EL01-000238"/>
    <m/>
  </r>
  <r>
    <n v="444"/>
    <d v="2024-12-15T00:00:00"/>
    <n v="412216022"/>
    <s v="EL01-001989-1"/>
    <m/>
    <s v="BRACKET"/>
    <s v="6931A126-001"/>
    <s v="-"/>
    <s v="Wave Mechanics"/>
    <n v="66"/>
    <s v="EA"/>
    <n v="35"/>
    <s v="USD"/>
    <n v="1"/>
    <n v="35"/>
    <n v="2310"/>
    <s v="VR000065"/>
    <x v="50"/>
    <s v="PO2425U10396"/>
    <d v="2024-10-25T00:00:00"/>
    <s v="Net 90 days"/>
    <s v="DAP"/>
    <s v="Yes"/>
    <m/>
    <m/>
    <n v="0"/>
    <n v="66"/>
    <n v="0"/>
    <m/>
    <m/>
    <m/>
    <m/>
    <m/>
    <m/>
    <m/>
    <m/>
    <d v="1900-01-09T00:00:00"/>
    <m/>
    <m/>
    <m/>
    <m/>
    <m/>
    <m/>
    <n v="412216022"/>
    <s v="EL01-001989"/>
    <s v="EL01-001989"/>
    <m/>
  </r>
  <r>
    <n v="445"/>
    <d v="2025-09-15T00:00:00"/>
    <n v="412216022"/>
    <s v="EL01-001989-2"/>
    <m/>
    <s v="BRACKET"/>
    <s v="6931A126-001"/>
    <s v="-"/>
    <s v="Wave Mechanics"/>
    <n v="33"/>
    <s v="EA"/>
    <n v="35"/>
    <s v="USD"/>
    <n v="1"/>
    <n v="35"/>
    <n v="1155"/>
    <s v="VR000065"/>
    <x v="50"/>
    <s v="PO2425U10396"/>
    <d v="2024-10-25T00:00:00"/>
    <s v="Net 90 days"/>
    <s v="DAP"/>
    <s v="Yes"/>
    <m/>
    <m/>
    <n v="0"/>
    <n v="33"/>
    <n v="0"/>
    <m/>
    <m/>
    <m/>
    <m/>
    <m/>
    <m/>
    <m/>
    <m/>
    <d v="1900-01-09T00:00:00"/>
    <m/>
    <m/>
    <m/>
    <m/>
    <m/>
    <m/>
    <n v="412216022"/>
    <s v="EL01-001989"/>
    <s v="EL01-001989"/>
    <m/>
  </r>
  <r>
    <n v="446"/>
    <d v="2025-12-15T00:00:00"/>
    <n v="412216022"/>
    <s v="EL01-001989-3"/>
    <m/>
    <s v="BRACKET"/>
    <s v="6931A126-001"/>
    <s v="-"/>
    <s v="Wave Mechanics"/>
    <n v="31"/>
    <s v="EA"/>
    <n v="35"/>
    <s v="USD"/>
    <n v="1"/>
    <n v="35"/>
    <n v="1085"/>
    <s v="VR000065"/>
    <x v="50"/>
    <s v="PO2425U10396"/>
    <d v="2024-10-25T00:00:00"/>
    <s v="Net 90 days"/>
    <s v="DAP"/>
    <s v="Yes"/>
    <m/>
    <m/>
    <n v="0"/>
    <n v="31"/>
    <n v="0"/>
    <m/>
    <m/>
    <m/>
    <m/>
    <m/>
    <m/>
    <m/>
    <m/>
    <d v="1900-01-09T00:00:00"/>
    <m/>
    <m/>
    <m/>
    <m/>
    <m/>
    <m/>
    <n v="412216022"/>
    <s v="EL01-001989"/>
    <s v="EL01-001989"/>
    <m/>
  </r>
  <r>
    <n v="447"/>
    <d v="2024-12-15T00:00:00"/>
    <n v="412298926"/>
    <s v="EL01-001992-1"/>
    <m/>
    <s v="CONN REAR PANEL ASSY"/>
    <s v="1037M730-001"/>
    <s v="B"/>
    <s v="Wave Mechanics"/>
    <n v="30"/>
    <s v="EA"/>
    <n v="210"/>
    <s v="USD"/>
    <n v="1"/>
    <n v="210"/>
    <n v="6300"/>
    <s v="VR000065"/>
    <x v="50"/>
    <s v="PO2425U10396"/>
    <d v="2024-10-25T00:00:00"/>
    <s v="Net 90 days"/>
    <s v="DAP"/>
    <s v="Yes"/>
    <m/>
    <m/>
    <n v="0"/>
    <n v="30"/>
    <n v="0"/>
    <m/>
    <m/>
    <m/>
    <m/>
    <m/>
    <m/>
    <m/>
    <m/>
    <d v="1900-01-09T00:00:00"/>
    <m/>
    <m/>
    <m/>
    <m/>
    <m/>
    <m/>
    <n v="412298926"/>
    <s v="EL01-001992"/>
    <s v="EL01-001992"/>
    <m/>
  </r>
  <r>
    <n v="448"/>
    <d v="2025-09-15T00:00:00"/>
    <n v="412298926"/>
    <s v="EL01-001992-2"/>
    <m/>
    <s v="CONN REAR PANEL ASSY"/>
    <s v="1037M730-001"/>
    <s v="B"/>
    <s v="Wave Mechanics"/>
    <n v="30"/>
    <s v="EA"/>
    <n v="210"/>
    <s v="USD"/>
    <n v="1"/>
    <n v="210"/>
    <n v="6300"/>
    <s v="VR000065"/>
    <x v="50"/>
    <s v="PO2425U10396"/>
    <d v="2024-10-25T00:00:00"/>
    <s v="Net 90 days"/>
    <s v="DAP"/>
    <s v="Yes"/>
    <m/>
    <m/>
    <n v="0"/>
    <n v="30"/>
    <n v="0"/>
    <m/>
    <m/>
    <m/>
    <m/>
    <m/>
    <m/>
    <m/>
    <m/>
    <d v="1900-01-09T00:00:00"/>
    <m/>
    <m/>
    <m/>
    <m/>
    <m/>
    <m/>
    <n v="412298926"/>
    <s v="EL01-001992"/>
    <s v="EL01-001992"/>
    <m/>
  </r>
  <r>
    <n v="449"/>
    <d v="2025-12-15T00:00:00"/>
    <n v="412298926"/>
    <s v="EL01-001992-3"/>
    <m/>
    <s v="CONN REAR PANEL ASSY"/>
    <s v="1037M730-001"/>
    <s v="B"/>
    <s v="Wave Mechanics"/>
    <n v="39"/>
    <s v="EA"/>
    <n v="210"/>
    <s v="USD"/>
    <n v="1"/>
    <n v="210"/>
    <n v="8190"/>
    <s v="VR000065"/>
    <x v="50"/>
    <s v="PO2425U10396"/>
    <d v="2024-10-25T00:00:00"/>
    <s v="Net 90 days"/>
    <s v="DAP"/>
    <s v="Yes"/>
    <m/>
    <m/>
    <n v="0"/>
    <n v="39"/>
    <n v="0"/>
    <m/>
    <m/>
    <m/>
    <m/>
    <m/>
    <m/>
    <m/>
    <m/>
    <d v="1900-01-09T00:00:00"/>
    <m/>
    <m/>
    <m/>
    <m/>
    <m/>
    <m/>
    <n v="412298926"/>
    <s v="EL01-001992"/>
    <s v="EL01-001992"/>
    <m/>
  </r>
  <r>
    <n v="450"/>
    <d v="2025-12-15T00:00:00"/>
    <n v="412298926"/>
    <s v="EL01-001992-4"/>
    <m/>
    <s v="CONN REAR PANEL ASSY"/>
    <s v="1037M730-001"/>
    <s v="B"/>
    <s v="Wave Mechanics"/>
    <n v="31"/>
    <s v="EA"/>
    <n v="210"/>
    <s v="USD"/>
    <n v="1"/>
    <n v="210"/>
    <n v="6510"/>
    <s v="VR000065"/>
    <x v="50"/>
    <s v="PO2425U10396"/>
    <d v="2024-10-25T00:00:00"/>
    <s v="Net 90 days"/>
    <s v="DAP"/>
    <s v="Yes"/>
    <m/>
    <m/>
    <n v="0"/>
    <n v="31"/>
    <n v="0"/>
    <m/>
    <m/>
    <m/>
    <m/>
    <m/>
    <m/>
    <m/>
    <m/>
    <d v="1900-01-09T00:00:00"/>
    <m/>
    <m/>
    <m/>
    <m/>
    <m/>
    <m/>
    <n v="412298926"/>
    <s v="EL01-001992"/>
    <s v="EL01-001992"/>
    <m/>
  </r>
  <r>
    <n v="451"/>
    <d v="2024-12-15T00:00:00"/>
    <n v="412196886"/>
    <s v="EL01-002254-1"/>
    <m/>
    <s v="REAR COVER MACH"/>
    <s v="1037M732-002"/>
    <s v="A"/>
    <s v="Wave Mechanics"/>
    <n v="6"/>
    <s v="EA"/>
    <n v="814"/>
    <s v="USD"/>
    <n v="1"/>
    <n v="814"/>
    <n v="4884"/>
    <s v="VR000065"/>
    <x v="50"/>
    <s v="PO2425U10396"/>
    <d v="2024-10-25T00:00:00"/>
    <s v="Net 90 days"/>
    <s v="DAP"/>
    <s v="Yes"/>
    <m/>
    <m/>
    <n v="0"/>
    <n v="6"/>
    <n v="0"/>
    <m/>
    <m/>
    <m/>
    <m/>
    <m/>
    <m/>
    <m/>
    <m/>
    <d v="1900-01-09T00:00:00"/>
    <m/>
    <m/>
    <m/>
    <m/>
    <m/>
    <m/>
    <n v="412196886"/>
    <s v="EL01-002254"/>
    <s v="EL01-002254"/>
    <m/>
  </r>
  <r>
    <n v="452"/>
    <d v="2025-06-15T00:00:00"/>
    <n v="412196886"/>
    <s v="EL01-002254-2"/>
    <m/>
    <s v="REAR COVER MACH"/>
    <s v="1037M732-002"/>
    <s v="A"/>
    <s v="Wave Mechanics"/>
    <n v="8"/>
    <s v="EA"/>
    <n v="814"/>
    <s v="USD"/>
    <n v="1"/>
    <n v="814"/>
    <n v="6512"/>
    <s v="VR000065"/>
    <x v="50"/>
    <s v="PO2425U10396"/>
    <d v="2024-10-25T00:00:00"/>
    <s v="Net 90 days"/>
    <s v="DAP"/>
    <s v="Yes"/>
    <m/>
    <m/>
    <n v="0"/>
    <n v="8"/>
    <n v="0"/>
    <m/>
    <m/>
    <m/>
    <m/>
    <m/>
    <m/>
    <m/>
    <m/>
    <d v="1900-01-09T00:00:00"/>
    <m/>
    <m/>
    <m/>
    <m/>
    <m/>
    <m/>
    <n v="412196886"/>
    <s v="EL01-002254"/>
    <s v="EL01-002254"/>
    <m/>
  </r>
  <r>
    <n v="453"/>
    <d v="2025-09-15T00:00:00"/>
    <n v="412196886"/>
    <s v="EL01-002254-3"/>
    <m/>
    <s v="REAR COVER MACH"/>
    <s v="1037M732-002"/>
    <s v="A"/>
    <s v="Wave Mechanics"/>
    <n v="10"/>
    <s v="EA"/>
    <n v="814"/>
    <s v="USD"/>
    <n v="1"/>
    <n v="814"/>
    <n v="8140"/>
    <s v="VR000065"/>
    <x v="50"/>
    <s v="PO2425U10396"/>
    <d v="2024-10-25T00:00:00"/>
    <s v="Net 90 days"/>
    <s v="DAP"/>
    <s v="Yes"/>
    <m/>
    <m/>
    <n v="0"/>
    <n v="9"/>
    <n v="1"/>
    <n v="1"/>
    <m/>
    <m/>
    <m/>
    <d v="2026-01-15T00:00:00"/>
    <m/>
    <m/>
    <m/>
    <d v="2026-01-25T00:00:00"/>
    <m/>
    <m/>
    <m/>
    <m/>
    <m/>
    <m/>
    <n v="412196886"/>
    <s v="EL01-002254"/>
    <s v="EL01-002254"/>
    <n v="814"/>
  </r>
  <r>
    <n v="454"/>
    <d v="2025-12-15T00:00:00"/>
    <n v="412196886"/>
    <s v="EL01-002254-4"/>
    <m/>
    <s v="REAR COVER MACH"/>
    <s v="1037M732-002"/>
    <s v="A"/>
    <s v="Wave Mechanics"/>
    <n v="15"/>
    <s v="EA"/>
    <n v="814"/>
    <s v="USD"/>
    <n v="1"/>
    <n v="814"/>
    <n v="12210"/>
    <s v="VR000065"/>
    <x v="50"/>
    <s v="PO2425U10396"/>
    <d v="2024-10-25T00:00:00"/>
    <s v="Net 90 days"/>
    <s v="DAP"/>
    <s v="Yes"/>
    <m/>
    <m/>
    <n v="0"/>
    <n v="0"/>
    <n v="15"/>
    <n v="15"/>
    <m/>
    <m/>
    <m/>
    <d v="2026-01-15T00:00:00"/>
    <m/>
    <m/>
    <m/>
    <d v="2026-01-25T00:00:00"/>
    <m/>
    <m/>
    <m/>
    <m/>
    <m/>
    <m/>
    <n v="412196886"/>
    <s v="EL01-002254"/>
    <s v="EL01-002254"/>
    <n v="12210"/>
  </r>
  <r>
    <n v="455"/>
    <d v="2025-12-15T00:00:00"/>
    <n v="412196886"/>
    <s v="EL01-002254-5"/>
    <m/>
    <s v="REAR COVER MACH"/>
    <s v="1037M732-002"/>
    <s v="A"/>
    <s v="Wave Mechanics"/>
    <n v="15"/>
    <s v="EA"/>
    <n v="814"/>
    <s v="USD"/>
    <n v="1"/>
    <n v="814"/>
    <n v="12210"/>
    <s v="VR000065"/>
    <x v="50"/>
    <s v="PO2425U10396"/>
    <d v="2024-10-25T00:00:00"/>
    <s v="Net 90 days"/>
    <s v="DAP"/>
    <s v="Yes"/>
    <m/>
    <m/>
    <n v="0"/>
    <n v="0"/>
    <n v="15"/>
    <n v="1"/>
    <n v="11"/>
    <n v="2"/>
    <m/>
    <d v="2026-01-15T00:00:00"/>
    <d v="2026-01-16T00:00:00"/>
    <d v="2026-01-23T00:00:00"/>
    <m/>
    <d v="2026-01-25T00:00:00"/>
    <m/>
    <m/>
    <m/>
    <m/>
    <m/>
    <m/>
    <n v="412196886"/>
    <s v="EL01-002254"/>
    <s v="EL01-002254"/>
    <n v="12210"/>
  </r>
  <r>
    <n v="456"/>
    <d v="2025-12-15T00:00:00"/>
    <n v="412196886"/>
    <s v="EL01-002254-6"/>
    <m/>
    <s v="REAR COVER MACH"/>
    <s v="1037M732-002"/>
    <s v="A"/>
    <s v="Wave Mechanics"/>
    <n v="16"/>
    <s v="EA"/>
    <n v="814"/>
    <s v="USD"/>
    <n v="1"/>
    <n v="814"/>
    <n v="13024"/>
    <s v="VR000065"/>
    <x v="50"/>
    <s v="PO2425U10396"/>
    <d v="2024-10-25T00:00:00"/>
    <s v="Net 90 days"/>
    <s v="DAP"/>
    <s v="Yes"/>
    <m/>
    <m/>
    <n v="0"/>
    <n v="0"/>
    <n v="16"/>
    <n v="16"/>
    <m/>
    <m/>
    <m/>
    <d v="2026-01-23T00:00:00"/>
    <d v="2026-01-27T00:00:00"/>
    <m/>
    <m/>
    <d v="2026-02-02T00:00:00"/>
    <m/>
    <m/>
    <m/>
    <m/>
    <m/>
    <m/>
    <m/>
    <m/>
    <s v="EL01-002254"/>
    <n v="13024"/>
  </r>
  <r>
    <n v="457"/>
    <d v="2025-12-15T00:00:00"/>
    <n v="412196886"/>
    <s v="EL01-002254-7"/>
    <m/>
    <s v="REAR COVER MACH"/>
    <s v="1037M732-002"/>
    <s v="A"/>
    <s v="Wave Mechanics"/>
    <n v="20"/>
    <s v="EA"/>
    <n v="814"/>
    <s v="USD"/>
    <n v="1"/>
    <n v="814"/>
    <n v="16280"/>
    <s v="VR000065"/>
    <x v="50"/>
    <s v="PO2425U10396"/>
    <d v="2024-10-25T00:00:00"/>
    <s v="Net 90 days"/>
    <s v="DAP"/>
    <s v="Yes"/>
    <m/>
    <m/>
    <n v="0"/>
    <n v="0"/>
    <n v="20"/>
    <n v="2"/>
    <n v="8"/>
    <n v="10"/>
    <m/>
    <d v="2026-01-27T00:00:00"/>
    <d v="2026-02-13T00:00:00"/>
    <d v="2026-02-28T00:00:00"/>
    <m/>
    <d v="2026-02-06T00:00:00"/>
    <m/>
    <m/>
    <m/>
    <m/>
    <m/>
    <m/>
    <m/>
    <m/>
    <s v="EL01-002254"/>
    <n v="16280"/>
  </r>
  <r>
    <n v="458"/>
    <d v="2025-12-15T00:00:00"/>
    <n v="412196886"/>
    <s v="EL01-002254-8"/>
    <m/>
    <s v="REAR COVER MACH"/>
    <s v="1037M732-002"/>
    <s v="A"/>
    <s v="Wave Mechanics"/>
    <n v="20"/>
    <s v="EA"/>
    <n v="814"/>
    <s v="USD"/>
    <n v="1"/>
    <n v="814"/>
    <n v="16280"/>
    <s v="VR000065"/>
    <x v="50"/>
    <s v="PO2425U10396"/>
    <d v="2024-10-25T00:00:00"/>
    <s v="Net 90 days"/>
    <s v="DAP"/>
    <s v="Yes"/>
    <m/>
    <m/>
    <n v="0"/>
    <n v="0"/>
    <n v="20"/>
    <n v="10"/>
    <n v="5"/>
    <m/>
    <m/>
    <d v="2026-02-28T00:00:00"/>
    <d v="2025-03-30T00:00:00"/>
    <m/>
    <m/>
    <d v="2026-03-10T00:00:00"/>
    <m/>
    <m/>
    <m/>
    <m/>
    <m/>
    <m/>
    <m/>
    <m/>
    <s v="EL01-002254"/>
    <n v="16280"/>
  </r>
  <r>
    <n v="459"/>
    <d v="2025-12-15T00:00:00"/>
    <n v="412196886"/>
    <s v="EL01-002254-9"/>
    <m/>
    <s v="REAR COVER MACH"/>
    <s v="1037M732-002"/>
    <s v="A"/>
    <s v="Wave Mechanics"/>
    <n v="20"/>
    <s v="EA"/>
    <n v="814"/>
    <s v="USD"/>
    <n v="1"/>
    <n v="814"/>
    <n v="16280"/>
    <s v="VR000065"/>
    <x v="50"/>
    <s v="PO2425U10396"/>
    <d v="2024-10-25T00:00:00"/>
    <s v="Net 90 days"/>
    <s v="DAP"/>
    <s v="Yes"/>
    <m/>
    <m/>
    <n v="0"/>
    <n v="0"/>
    <n v="20"/>
    <n v="20"/>
    <m/>
    <m/>
    <m/>
    <d v="2026-03-30T00:00:00"/>
    <m/>
    <m/>
    <m/>
    <d v="2026-04-09T00:00:00"/>
    <m/>
    <m/>
    <m/>
    <m/>
    <m/>
    <m/>
    <m/>
    <m/>
    <s v="EL01-002254"/>
    <n v="16280"/>
  </r>
  <r>
    <n v="460"/>
    <d v="2024-12-15T00:00:00"/>
    <n v="412687032"/>
    <s v="EL01-002001-1"/>
    <m/>
    <s v="POWER SUPPLY AIR DUCT ASSY"/>
    <s v="1037M850-001"/>
    <s v="-"/>
    <s v="Wave Mechanics"/>
    <n v="10"/>
    <s v="EA"/>
    <n v="1200"/>
    <s v="USD"/>
    <n v="1"/>
    <n v="1200"/>
    <n v="12000"/>
    <s v="VR000065"/>
    <x v="50"/>
    <s v="PO2425U10396"/>
    <d v="2024-10-25T00:00:00"/>
    <s v="Net 90 days"/>
    <s v="DAP"/>
    <s v="Yes"/>
    <m/>
    <m/>
    <n v="0"/>
    <n v="10"/>
    <n v="0"/>
    <m/>
    <m/>
    <m/>
    <m/>
    <m/>
    <m/>
    <m/>
    <m/>
    <d v="1900-01-09T00:00:00"/>
    <m/>
    <m/>
    <m/>
    <m/>
    <m/>
    <m/>
    <n v="412687032"/>
    <s v="EL01-002001"/>
    <s v="EL01-002001"/>
    <m/>
  </r>
  <r>
    <n v="461"/>
    <d v="2024-12-15T00:00:00"/>
    <n v="412687032"/>
    <s v="EL01-002001-2"/>
    <m/>
    <s v="POWER SUPPLY AIR DUCT ASSY"/>
    <s v="1037M850-001"/>
    <s v="-"/>
    <s v="Wave Mechanics"/>
    <n v="15"/>
    <s v="EA"/>
    <n v="1200"/>
    <s v="USD"/>
    <n v="1"/>
    <n v="1200"/>
    <n v="18000"/>
    <s v="VR000065"/>
    <x v="50"/>
    <s v="PO2425U10396"/>
    <d v="2024-10-25T00:00:00"/>
    <s v="Net 90 days"/>
    <s v="DAP"/>
    <s v="Yes"/>
    <m/>
    <m/>
    <n v="0"/>
    <n v="15"/>
    <n v="0"/>
    <m/>
    <m/>
    <m/>
    <m/>
    <m/>
    <m/>
    <m/>
    <m/>
    <d v="1900-01-09T00:00:00"/>
    <m/>
    <m/>
    <m/>
    <m/>
    <m/>
    <m/>
    <n v="412687032"/>
    <s v="EL01-002001"/>
    <s v="EL01-002001"/>
    <m/>
  </r>
  <r>
    <n v="462"/>
    <d v="2024-12-15T00:00:00"/>
    <n v="412687032"/>
    <s v="EL01-002001-3"/>
    <m/>
    <s v="POWER SUPPLY AIR DUCT ASSY"/>
    <s v="1037M850-001"/>
    <s v="-"/>
    <s v="Wave Mechanics"/>
    <n v="50"/>
    <s v="EA"/>
    <n v="1200"/>
    <s v="USD"/>
    <n v="1"/>
    <n v="1200"/>
    <n v="60000"/>
    <s v="VR000065"/>
    <x v="50"/>
    <s v="PO2425U10396"/>
    <d v="2024-10-25T00:00:00"/>
    <s v="Net 90 days"/>
    <s v="DAP"/>
    <s v="Yes"/>
    <m/>
    <m/>
    <n v="0"/>
    <n v="15"/>
    <n v="35"/>
    <n v="50"/>
    <m/>
    <m/>
    <m/>
    <d v="2026-02-25T00:00:00"/>
    <m/>
    <m/>
    <m/>
    <d v="2026-03-07T00:00:00"/>
    <m/>
    <m/>
    <m/>
    <m/>
    <m/>
    <m/>
    <n v="412687032"/>
    <s v="EL01-002001"/>
    <s v="EL01-002001"/>
    <n v="42000"/>
  </r>
  <r>
    <n v="463"/>
    <d v="2025-09-15T00:00:00"/>
    <n v="412687032"/>
    <s v="EL01-002001-4"/>
    <m/>
    <s v="POWER SUPPLY AIR DUCT ASSY"/>
    <s v="1037M850-001"/>
    <s v="-"/>
    <s v="Wave Mechanics"/>
    <n v="55"/>
    <s v="EA"/>
    <n v="1200"/>
    <s v="USD"/>
    <n v="1"/>
    <n v="1200"/>
    <n v="66000"/>
    <s v="VR000065"/>
    <x v="50"/>
    <s v="PO2425U10396"/>
    <d v="2024-10-25T00:00:00"/>
    <s v="Net 90 days"/>
    <s v="DAP"/>
    <s v="Yes"/>
    <m/>
    <m/>
    <n v="0"/>
    <n v="0"/>
    <n v="55"/>
    <n v="55"/>
    <m/>
    <m/>
    <m/>
    <d v="2026-03-15T00:00:00"/>
    <m/>
    <m/>
    <m/>
    <d v="2026-03-25T00:00:00"/>
    <m/>
    <m/>
    <m/>
    <m/>
    <m/>
    <m/>
    <n v="412687032"/>
    <s v="EL01-002001"/>
    <s v="EL01-002001"/>
    <n v="66000"/>
  </r>
  <r>
    <n v="464"/>
    <d v="2025-06-15T00:00:00"/>
    <n v="1"/>
    <s v="EL01-002256-1"/>
    <m/>
    <s v="ANTENNA MAIN FRAME F/ASSY"/>
    <s v="1039F570-002"/>
    <s v="A"/>
    <s v="Wave Mechanics"/>
    <n v="2"/>
    <s v="EA"/>
    <n v="8002"/>
    <s v="USD"/>
    <n v="1"/>
    <n v="8002"/>
    <n v="16004"/>
    <s v="VR000065"/>
    <x v="50"/>
    <s v="PO2425U10396"/>
    <d v="2024-10-25T00:00:00"/>
    <s v="Net 90 days"/>
    <s v="DAP"/>
    <s v="Yes"/>
    <m/>
    <m/>
    <n v="0"/>
    <n v="2"/>
    <n v="0"/>
    <m/>
    <m/>
    <m/>
    <m/>
    <m/>
    <m/>
    <m/>
    <m/>
    <d v="1900-01-09T00:00:00"/>
    <m/>
    <m/>
    <m/>
    <m/>
    <m/>
    <m/>
    <n v="1"/>
    <s v="EL01-002256"/>
    <s v="EL01-002256"/>
    <m/>
  </r>
  <r>
    <n v="465"/>
    <d v="2025-09-15T00:00:00"/>
    <n v="1"/>
    <s v="EL01-002256-2"/>
    <m/>
    <s v="ANTENNA MAIN FRAME F/ASSY"/>
    <s v="1039F570-002"/>
    <s v="A"/>
    <s v="Wave Mechanics"/>
    <n v="3"/>
    <s v="EA"/>
    <n v="8002"/>
    <s v="USD"/>
    <n v="1"/>
    <n v="8002"/>
    <n v="24006"/>
    <s v="VR000065"/>
    <x v="50"/>
    <s v="PO2425U10396"/>
    <d v="2024-10-25T00:00:00"/>
    <s v="Net 90 days"/>
    <s v="DAP"/>
    <s v="Yes"/>
    <m/>
    <m/>
    <n v="0"/>
    <n v="3"/>
    <n v="0"/>
    <m/>
    <m/>
    <m/>
    <m/>
    <m/>
    <m/>
    <m/>
    <m/>
    <d v="1900-01-09T00:00:00"/>
    <m/>
    <m/>
    <m/>
    <m/>
    <m/>
    <m/>
    <n v="1"/>
    <s v="EL01-002256"/>
    <s v="EL01-002256"/>
    <m/>
  </r>
  <r>
    <n v="466"/>
    <d v="2025-12-15T00:00:00"/>
    <n v="1"/>
    <s v="EL01-002256-3"/>
    <m/>
    <s v="ANTENNA MAIN FRAME F/ASSY"/>
    <s v="1039F570-002"/>
    <s v="A"/>
    <s v="Wave Mechanics"/>
    <n v="5"/>
    <s v="EA"/>
    <n v="8002"/>
    <s v="USD"/>
    <n v="1"/>
    <n v="8002"/>
    <n v="40010"/>
    <s v="VR000065"/>
    <x v="50"/>
    <s v="PO2425U10396"/>
    <d v="2024-10-25T00:00:00"/>
    <s v="Net 90 days"/>
    <s v="DAP"/>
    <s v="Yes"/>
    <m/>
    <m/>
    <n v="0"/>
    <n v="5"/>
    <n v="0"/>
    <m/>
    <m/>
    <m/>
    <m/>
    <m/>
    <m/>
    <m/>
    <m/>
    <d v="1900-01-09T00:00:00"/>
    <m/>
    <m/>
    <m/>
    <m/>
    <m/>
    <m/>
    <n v="1"/>
    <s v="EL01-002256"/>
    <s v="EL01-002256"/>
    <m/>
  </r>
  <r>
    <n v="467"/>
    <d v="2025-12-15T00:00:00"/>
    <n v="1"/>
    <s v="EL01-002256-4"/>
    <m/>
    <s v="ANTENNA MAIN FRAME F/ASSY"/>
    <s v="1039F570-002"/>
    <s v="A"/>
    <s v="Wave Mechanics"/>
    <n v="10"/>
    <s v="EA"/>
    <n v="8002"/>
    <s v="USD"/>
    <n v="1"/>
    <n v="8002"/>
    <n v="80020"/>
    <s v="VR000065"/>
    <x v="50"/>
    <s v="PO2425U10396"/>
    <d v="2024-10-25T00:00:00"/>
    <s v="Net 90 days"/>
    <s v="DAP"/>
    <s v="Yes"/>
    <m/>
    <m/>
    <n v="0"/>
    <n v="8"/>
    <n v="2"/>
    <n v="5"/>
    <m/>
    <m/>
    <m/>
    <d v="2025-12-19T00:00:00"/>
    <m/>
    <m/>
    <m/>
    <d v="2025-12-29T00:00:00"/>
    <m/>
    <m/>
    <m/>
    <m/>
    <m/>
    <m/>
    <n v="1"/>
    <s v="EL01-002256"/>
    <s v="EL01-002256"/>
    <n v="16004"/>
  </r>
  <r>
    <n v="468"/>
    <d v="2025-12-15T00:00:00"/>
    <n v="1"/>
    <s v="EL01-002256-5"/>
    <m/>
    <s v="ANTENNA MAIN FRAME F/ASSY"/>
    <s v="1039F570-002"/>
    <s v="A"/>
    <s v="Wave Mechanics"/>
    <n v="15"/>
    <s v="EA"/>
    <n v="8002"/>
    <s v="USD"/>
    <n v="1"/>
    <n v="8002"/>
    <n v="120030"/>
    <s v="VR000065"/>
    <x v="50"/>
    <s v="PO2425U10396"/>
    <d v="2024-10-25T00:00:00"/>
    <s v="Net 90 days"/>
    <s v="DAP"/>
    <s v="Yes"/>
    <m/>
    <m/>
    <n v="0"/>
    <n v="0"/>
    <n v="15"/>
    <n v="5"/>
    <n v="10"/>
    <m/>
    <m/>
    <d v="2025-12-26T00:00:00"/>
    <d v="2026-01-03T00:00:00"/>
    <m/>
    <m/>
    <d v="2026-01-05T00:00:00"/>
    <m/>
    <m/>
    <m/>
    <m/>
    <m/>
    <m/>
    <n v="1"/>
    <s v="EL01-002256"/>
    <s v="EL01-002256"/>
    <n v="120030"/>
  </r>
  <r>
    <n v="469"/>
    <d v="2025-12-15T00:00:00"/>
    <n v="1"/>
    <s v="EL01-002256-6"/>
    <m/>
    <s v="ANTENNA MAIN FRAME F/ASSY"/>
    <s v="1039F570-002"/>
    <s v="A"/>
    <s v="Wave Mechanics"/>
    <n v="10"/>
    <s v="EA"/>
    <n v="8002"/>
    <s v="USD"/>
    <n v="1"/>
    <n v="8002"/>
    <n v="80020"/>
    <s v="VR000065"/>
    <x v="50"/>
    <s v="PO2425U10396"/>
    <d v="2024-10-25T00:00:00"/>
    <s v="Net 90 days"/>
    <s v="DAP"/>
    <s v="Yes"/>
    <m/>
    <m/>
    <n v="0"/>
    <n v="0"/>
    <n v="10"/>
    <n v="5"/>
    <n v="5"/>
    <m/>
    <m/>
    <d v="2026-01-16T00:00:00"/>
    <d v="2026-01-23T00:00:00"/>
    <m/>
    <m/>
    <d v="2026-01-26T00:00:00"/>
    <m/>
    <m/>
    <m/>
    <m/>
    <m/>
    <m/>
    <n v="1"/>
    <s v="EL01-002256"/>
    <s v="EL01-002256"/>
    <n v="80020"/>
  </r>
  <r>
    <n v="470"/>
    <d v="2025-12-15T00:00:00"/>
    <n v="1"/>
    <s v="EL01-002256-7"/>
    <m/>
    <s v="ANTENNA MAIN FRAME F/ASSY"/>
    <s v="1039F570-002"/>
    <s v="A"/>
    <s v="Wave Mechanics"/>
    <n v="12"/>
    <s v="EA"/>
    <n v="8002"/>
    <s v="USD"/>
    <n v="1"/>
    <n v="8002"/>
    <n v="96024"/>
    <s v="VR000065"/>
    <x v="50"/>
    <s v="PO2425U10396"/>
    <d v="2024-10-25T00:00:00"/>
    <s v="Net 90 days"/>
    <s v="DAP"/>
    <s v="Yes"/>
    <m/>
    <m/>
    <n v="0"/>
    <n v="0"/>
    <n v="12"/>
    <n v="12"/>
    <m/>
    <m/>
    <m/>
    <d v="2026-01-23T00:00:00"/>
    <m/>
    <m/>
    <m/>
    <d v="2026-02-02T00:00:00"/>
    <m/>
    <m/>
    <m/>
    <m/>
    <m/>
    <m/>
    <n v="1"/>
    <s v="EL01-002256"/>
    <s v="EL01-002256"/>
    <n v="96024"/>
  </r>
  <r>
    <n v="471"/>
    <d v="2025-12-15T00:00:00"/>
    <n v="1"/>
    <s v="EL01-002256-8"/>
    <m/>
    <s v="ANTENNA MAIN FRAME F/ASSY"/>
    <s v="1039F570-002"/>
    <s v="A"/>
    <s v="Wave Mechanics"/>
    <n v="28"/>
    <s v="EA"/>
    <n v="8002"/>
    <s v="USD"/>
    <n v="1"/>
    <n v="8002"/>
    <n v="224056"/>
    <s v="VR000065"/>
    <x v="50"/>
    <s v="PO2425U10396"/>
    <d v="2024-10-25T00:00:00"/>
    <s v="Net 90 days"/>
    <s v="DAP"/>
    <s v="Yes"/>
    <m/>
    <m/>
    <n v="0"/>
    <n v="0"/>
    <n v="28"/>
    <n v="3"/>
    <n v="15"/>
    <n v="10"/>
    <m/>
    <d v="2026-01-23T00:00:00"/>
    <d v="2026-02-13T00:00:00"/>
    <d v="2026-02-28T00:00:00"/>
    <m/>
    <d v="2026-02-02T00:00:00"/>
    <m/>
    <m/>
    <m/>
    <m/>
    <m/>
    <m/>
    <n v="1"/>
    <s v="EL01-002256"/>
    <s v="EL01-002256"/>
    <n v="224056"/>
  </r>
  <r>
    <n v="472"/>
    <d v="2025-12-15T00:00:00"/>
    <n v="1"/>
    <s v="EL01-002256-9"/>
    <m/>
    <s v="ANTENNA MAIN FRAME F/ASSY"/>
    <s v="1039F570-002"/>
    <s v="A"/>
    <s v="Wave Mechanics"/>
    <n v="20"/>
    <s v="EA"/>
    <n v="8002"/>
    <s v="USD"/>
    <n v="1"/>
    <n v="8002"/>
    <n v="160040"/>
    <s v="VR000065"/>
    <x v="50"/>
    <s v="PO2425U10396"/>
    <d v="2024-10-25T00:00:00"/>
    <s v="Net 90 days"/>
    <s v="DAP"/>
    <s v="Yes"/>
    <m/>
    <m/>
    <n v="0"/>
    <n v="0"/>
    <n v="20"/>
    <n v="20"/>
    <m/>
    <m/>
    <m/>
    <d v="2026-02-28T00:00:00"/>
    <m/>
    <m/>
    <m/>
    <d v="2026-03-10T00:00:00"/>
    <m/>
    <m/>
    <m/>
    <m/>
    <m/>
    <m/>
    <n v="1"/>
    <s v="EL01-002256"/>
    <s v="EL01-002256"/>
    <n v="160040"/>
  </r>
  <r>
    <n v="473"/>
    <d v="2025-12-15T00:00:00"/>
    <n v="1"/>
    <s v="EL01-002256-10"/>
    <m/>
    <s v="ANTENNA MAIN FRAME F/ASSY"/>
    <s v="1039F570-002"/>
    <s v="A"/>
    <s v="Wave Mechanics"/>
    <n v="25"/>
    <s v="EA"/>
    <n v="8002"/>
    <s v="USD"/>
    <n v="1"/>
    <n v="8002"/>
    <n v="200050"/>
    <s v="VR000065"/>
    <x v="50"/>
    <s v="PO2425U10396"/>
    <d v="2024-10-25T00:00:00"/>
    <s v="Net 90 days"/>
    <s v="DAP"/>
    <s v="Yes"/>
    <m/>
    <m/>
    <n v="0"/>
    <n v="0"/>
    <n v="25"/>
    <n v="25"/>
    <m/>
    <m/>
    <m/>
    <d v="2026-03-30T00:00:00"/>
    <m/>
    <m/>
    <m/>
    <d v="2026-04-09T00:00:00"/>
    <m/>
    <m/>
    <m/>
    <m/>
    <m/>
    <m/>
    <n v="1"/>
    <s v="EL01-002256"/>
    <s v="EL01-002256"/>
    <n v="200050"/>
  </r>
  <r>
    <n v="474"/>
    <d v="2025-06-15T00:00:00"/>
    <n v="401451712"/>
    <s v="EL01-000257-1"/>
    <m/>
    <s v="HANDLE SUPPORT"/>
    <s v="1094F182-001"/>
    <s v="-"/>
    <s v="Wave Mechanics"/>
    <n v="66"/>
    <s v="EA"/>
    <n v="24"/>
    <s v="USD"/>
    <n v="1"/>
    <n v="24"/>
    <n v="1584"/>
    <s v="VR000065"/>
    <x v="50"/>
    <s v="PO2425U10396"/>
    <d v="2024-10-25T00:00:00"/>
    <s v="Net 90 days"/>
    <s v="DAP"/>
    <s v="Yes"/>
    <m/>
    <m/>
    <n v="0"/>
    <n v="66"/>
    <n v="0"/>
    <m/>
    <m/>
    <m/>
    <m/>
    <m/>
    <m/>
    <m/>
    <m/>
    <d v="1900-01-09T00:00:00"/>
    <m/>
    <m/>
    <m/>
    <m/>
    <m/>
    <m/>
    <n v="401451712"/>
    <s v="EL01-000257"/>
    <s v="EL01-000257"/>
    <m/>
  </r>
  <r>
    <n v="475"/>
    <d v="2025-09-15T00:00:00"/>
    <n v="401451712"/>
    <s v="EL01-000257-2"/>
    <m/>
    <s v="HANDLE SUPPORT"/>
    <s v="1094F182-001"/>
    <s v="-"/>
    <s v="Wave Mechanics"/>
    <n v="33"/>
    <s v="EA"/>
    <n v="24"/>
    <s v="USD"/>
    <n v="1"/>
    <n v="24"/>
    <n v="792"/>
    <s v="VR000065"/>
    <x v="50"/>
    <s v="PO2425U10396"/>
    <d v="2024-10-25T00:00:00"/>
    <s v="Net 90 days"/>
    <s v="DAP"/>
    <s v="Yes"/>
    <m/>
    <m/>
    <n v="0"/>
    <n v="33"/>
    <n v="0"/>
    <m/>
    <m/>
    <m/>
    <m/>
    <m/>
    <m/>
    <m/>
    <m/>
    <d v="1900-01-09T00:00:00"/>
    <m/>
    <m/>
    <m/>
    <m/>
    <m/>
    <m/>
    <n v="401451712"/>
    <s v="EL01-000257"/>
    <s v="EL01-000257"/>
    <m/>
  </r>
  <r>
    <n v="476"/>
    <d v="2025-12-15T00:00:00"/>
    <n v="401451712"/>
    <s v="EL01-000257-3"/>
    <m/>
    <s v="HANDLE SUPPORT"/>
    <s v="1094F182-001"/>
    <s v="-"/>
    <s v="Wave Mechanics"/>
    <n v="31"/>
    <s v="EA"/>
    <n v="24"/>
    <s v="USD"/>
    <n v="1"/>
    <n v="24"/>
    <n v="744"/>
    <s v="VR000065"/>
    <x v="50"/>
    <s v="PO2425U10396"/>
    <d v="2024-10-25T00:00:00"/>
    <s v="Net 90 days"/>
    <s v="DAP"/>
    <s v="Yes"/>
    <m/>
    <m/>
    <n v="0"/>
    <n v="31"/>
    <n v="0"/>
    <m/>
    <m/>
    <m/>
    <m/>
    <m/>
    <m/>
    <m/>
    <m/>
    <d v="1900-01-09T00:00:00"/>
    <m/>
    <m/>
    <m/>
    <m/>
    <m/>
    <m/>
    <n v="401451712"/>
    <s v="EL01-000257"/>
    <s v="EL01-000257"/>
    <m/>
  </r>
  <r>
    <n v="477"/>
    <d v="2024-12-15T00:00:00"/>
    <n v="401367418"/>
    <s v="EL01-002008-1"/>
    <m/>
    <s v="DC CONN SUPPORT"/>
    <s v="1094F184-001"/>
    <s v="A"/>
    <s v="Wave Mechanics"/>
    <n v="130"/>
    <s v="EA"/>
    <n v="21"/>
    <s v="USD"/>
    <n v="1"/>
    <n v="21"/>
    <n v="2730"/>
    <s v="VR000065"/>
    <x v="50"/>
    <s v="PO2425U10396"/>
    <d v="2024-10-25T00:00:00"/>
    <s v="Net 90 days"/>
    <s v="DAP"/>
    <s v="Yes"/>
    <m/>
    <m/>
    <n v="0"/>
    <n v="130"/>
    <n v="0"/>
    <m/>
    <m/>
    <m/>
    <m/>
    <m/>
    <m/>
    <m/>
    <m/>
    <d v="1900-01-09T00:00:00"/>
    <s v="Shivu Sir asked to Rajani Sir to semd 183pcs to ELTA (26-05-2025)"/>
    <m/>
    <m/>
    <m/>
    <m/>
    <m/>
    <n v="401367418"/>
    <s v="EL01-002008"/>
    <s v="EL01-002008"/>
    <m/>
  </r>
  <r>
    <n v="478"/>
    <d v="2025-06-15T00:00:00"/>
    <n v="401367418"/>
    <s v="EL01-002008-2"/>
    <m/>
    <s v="DC CONN SUPPORT"/>
    <s v="1094F184-001"/>
    <s v="A"/>
    <s v="Wave Mechanics"/>
    <n v="130"/>
    <s v="EA"/>
    <n v="21"/>
    <s v="USD"/>
    <n v="1"/>
    <n v="21"/>
    <n v="2730"/>
    <s v="VR000065"/>
    <x v="50"/>
    <s v="PO2425U10396"/>
    <d v="2024-10-25T00:00:00"/>
    <s v="Net 90 days"/>
    <s v="DAP"/>
    <s v="Yes"/>
    <m/>
    <m/>
    <n v="0"/>
    <n v="130"/>
    <n v="0"/>
    <m/>
    <m/>
    <m/>
    <m/>
    <m/>
    <m/>
    <m/>
    <m/>
    <d v="1900-01-09T00:00:00"/>
    <m/>
    <m/>
    <m/>
    <m/>
    <m/>
    <m/>
    <n v="401367418"/>
    <s v="EL01-002008"/>
    <s v="EL01-002008"/>
    <m/>
  </r>
  <r>
    <n v="479"/>
    <d v="2025-09-15T00:00:00"/>
    <n v="401367418"/>
    <s v="EL01-002008-3"/>
    <m/>
    <s v="DC CONN SUPPORT"/>
    <s v="1094F184-001"/>
    <s v="A"/>
    <s v="Wave Mechanics"/>
    <n v="130"/>
    <s v="EA"/>
    <n v="21"/>
    <s v="USD"/>
    <n v="1"/>
    <n v="21"/>
    <n v="2730"/>
    <s v="VR000065"/>
    <x v="50"/>
    <s v="PO2425U10396"/>
    <d v="2024-10-25T00:00:00"/>
    <s v="Net 90 days"/>
    <s v="DAP"/>
    <s v="Yes"/>
    <m/>
    <m/>
    <n v="0"/>
    <n v="130"/>
    <n v="0"/>
    <m/>
    <m/>
    <m/>
    <m/>
    <m/>
    <m/>
    <m/>
    <m/>
    <d v="1900-01-09T00:00:00"/>
    <s v="Shivu Sir asked to Rajani Sir to semd 183pcs to ELTA (26-05-2025)"/>
    <m/>
    <m/>
    <m/>
    <m/>
    <m/>
    <n v="401367418"/>
    <s v="EL01-002008"/>
    <s v="EL01-002008"/>
    <m/>
  </r>
  <r>
    <n v="480"/>
    <d v="2025-12-15T00:00:00"/>
    <n v="401367418"/>
    <s v="EL01-002008-4"/>
    <m/>
    <s v="DC CONN SUPPORT"/>
    <s v="1094F184-001"/>
    <s v="A"/>
    <s v="Wave Mechanics"/>
    <n v="130"/>
    <s v="EA"/>
    <n v="21"/>
    <s v="USD"/>
    <n v="1"/>
    <n v="21"/>
    <n v="2730"/>
    <s v="VR000065"/>
    <x v="50"/>
    <s v="PO2425U10396"/>
    <d v="2024-10-25T00:00:00"/>
    <s v="Net 90 days"/>
    <s v="DAP"/>
    <s v="Yes"/>
    <m/>
    <m/>
    <n v="0"/>
    <n v="130"/>
    <n v="0"/>
    <m/>
    <m/>
    <m/>
    <m/>
    <m/>
    <m/>
    <m/>
    <m/>
    <d v="1900-01-09T00:00:00"/>
    <m/>
    <m/>
    <m/>
    <m/>
    <m/>
    <m/>
    <n v="401367418"/>
    <s v="EL01-002008"/>
    <s v="EL01-002008"/>
    <m/>
  </r>
  <r>
    <n v="481"/>
    <d v="2024-12-15T00:00:00"/>
    <n v="401367425"/>
    <s v="EL01-000259-1"/>
    <m/>
    <s v="SMR DC COVER MACH"/>
    <s v="1094F188-001"/>
    <s v="B"/>
    <s v="Wave Mechanics"/>
    <n v="150"/>
    <s v="EA"/>
    <n v="85"/>
    <s v="USD"/>
    <n v="1"/>
    <n v="85"/>
    <n v="12750"/>
    <s v="VR000065"/>
    <x v="50"/>
    <s v="PO2425U10396"/>
    <d v="2024-10-25T00:00:00"/>
    <s v="Net 90 days"/>
    <s v="DAP"/>
    <s v="Yes"/>
    <m/>
    <m/>
    <n v="0"/>
    <n v="150"/>
    <n v="0"/>
    <m/>
    <m/>
    <m/>
    <m/>
    <m/>
    <m/>
    <m/>
    <m/>
    <d v="1900-01-09T00:00:00"/>
    <m/>
    <m/>
    <m/>
    <m/>
    <m/>
    <m/>
    <n v="401367425"/>
    <s v="EL01-000259"/>
    <s v="EL01-000259"/>
    <m/>
  </r>
  <r>
    <n v="482"/>
    <d v="2025-06-15T00:00:00"/>
    <n v="401367425"/>
    <s v="EL01-000259-2"/>
    <m/>
    <s v="SMR DC COVER MACH"/>
    <s v="1094F188-001"/>
    <s v="B"/>
    <s v="Wave Mechanics"/>
    <n v="46"/>
    <s v="EA"/>
    <n v="85"/>
    <s v="USD"/>
    <n v="1"/>
    <n v="85"/>
    <n v="3910"/>
    <s v="VR000065"/>
    <x v="50"/>
    <s v="PO2425U10396"/>
    <d v="2024-10-25T00:00:00"/>
    <s v="Net 90 days"/>
    <s v="DAP"/>
    <s v="Yes"/>
    <m/>
    <m/>
    <n v="0"/>
    <n v="46"/>
    <n v="0"/>
    <m/>
    <m/>
    <m/>
    <m/>
    <m/>
    <m/>
    <m/>
    <m/>
    <d v="1900-01-09T00:00:00"/>
    <m/>
    <m/>
    <m/>
    <m/>
    <m/>
    <m/>
    <n v="401367425"/>
    <s v="EL01-000259"/>
    <s v="EL01-000259"/>
    <m/>
  </r>
  <r>
    <n v="483"/>
    <d v="2025-09-15T00:00:00"/>
    <n v="401367425"/>
    <s v="EL01-000259-3"/>
    <m/>
    <s v="SMR DC COVER MACH"/>
    <s v="1094F188-001"/>
    <s v="B"/>
    <s v="Wave Mechanics"/>
    <n v="98"/>
    <s v="EA"/>
    <n v="85"/>
    <s v="USD"/>
    <n v="1"/>
    <n v="85"/>
    <n v="8330"/>
    <s v="VR000065"/>
    <x v="50"/>
    <s v="PO2425U10396"/>
    <d v="2024-10-25T00:00:00"/>
    <s v="Net 90 days"/>
    <s v="DAP"/>
    <s v="Yes"/>
    <m/>
    <m/>
    <n v="0"/>
    <n v="98"/>
    <n v="0"/>
    <m/>
    <m/>
    <m/>
    <m/>
    <m/>
    <m/>
    <m/>
    <m/>
    <d v="1900-01-09T00:00:00"/>
    <m/>
    <m/>
    <m/>
    <m/>
    <m/>
    <m/>
    <n v="401367425"/>
    <s v="EL01-000259"/>
    <s v="EL01-000259"/>
    <m/>
  </r>
  <r>
    <n v="484"/>
    <d v="2025-12-15T00:00:00"/>
    <n v="401367425"/>
    <s v="EL01-000259-4"/>
    <m/>
    <s v="SMR DC COVER MACH"/>
    <s v="1094F188-001"/>
    <s v="B"/>
    <s v="Wave Mechanics"/>
    <n v="96"/>
    <s v="EA"/>
    <n v="85"/>
    <s v="USD"/>
    <n v="1"/>
    <n v="85"/>
    <n v="8160"/>
    <s v="VR000065"/>
    <x v="50"/>
    <s v="PO2425U10396"/>
    <d v="2024-10-25T00:00:00"/>
    <s v="Net 90 days"/>
    <s v="DAP"/>
    <s v="Yes"/>
    <m/>
    <m/>
    <n v="0"/>
    <n v="96"/>
    <n v="0"/>
    <m/>
    <m/>
    <m/>
    <m/>
    <m/>
    <m/>
    <m/>
    <m/>
    <d v="1900-01-09T00:00:00"/>
    <m/>
    <m/>
    <m/>
    <m/>
    <m/>
    <m/>
    <n v="401367425"/>
    <s v="EL01-000259"/>
    <s v="EL01-000259"/>
    <m/>
  </r>
  <r>
    <n v="485"/>
    <d v="2024-12-15T00:00:00"/>
    <n v="401380518"/>
    <s v="EL01-000262-1"/>
    <m/>
    <s v="HANDLE"/>
    <s v="1094F198-001"/>
    <s v="-"/>
    <s v="Wave Mechanics"/>
    <n v="71"/>
    <s v="EA"/>
    <n v="8.5"/>
    <s v="USD"/>
    <n v="1"/>
    <n v="8.5"/>
    <n v="603.5"/>
    <s v="VR000065"/>
    <x v="50"/>
    <s v="PO2425U10396"/>
    <d v="2024-10-25T00:00:00"/>
    <s v="Net 90 days"/>
    <s v="DAP"/>
    <s v="Yes"/>
    <m/>
    <m/>
    <n v="0"/>
    <n v="71"/>
    <n v="0"/>
    <m/>
    <m/>
    <m/>
    <m/>
    <m/>
    <m/>
    <m/>
    <m/>
    <d v="1900-01-09T00:00:00"/>
    <m/>
    <m/>
    <m/>
    <m/>
    <m/>
    <m/>
    <n v="401380518"/>
    <s v="EL01-000262"/>
    <s v="EL01-000262"/>
    <m/>
  </r>
  <r>
    <n v="486"/>
    <d v="2025-06-15T00:00:00"/>
    <n v="401380518"/>
    <s v="EL01-000262-2"/>
    <m/>
    <s v="HANDLE"/>
    <s v="1094F198-001"/>
    <s v="-"/>
    <s v="Wave Mechanics"/>
    <n v="71"/>
    <s v="EA"/>
    <n v="8.5"/>
    <s v="USD"/>
    <n v="1"/>
    <n v="8.5"/>
    <n v="603.5"/>
    <s v="VR000065"/>
    <x v="50"/>
    <s v="PO2425U10396"/>
    <d v="2024-10-25T00:00:00"/>
    <s v="Net 90 days"/>
    <s v="DAP"/>
    <s v="Yes"/>
    <m/>
    <m/>
    <n v="0"/>
    <n v="71"/>
    <n v="0"/>
    <m/>
    <m/>
    <m/>
    <m/>
    <m/>
    <m/>
    <m/>
    <m/>
    <d v="1900-01-09T00:00:00"/>
    <m/>
    <m/>
    <m/>
    <m/>
    <m/>
    <m/>
    <n v="401380518"/>
    <s v="EL01-000262"/>
    <s v="EL01-000262"/>
    <m/>
  </r>
  <r>
    <n v="487"/>
    <d v="2025-09-15T00:00:00"/>
    <n v="401380518"/>
    <s v="EL01-000262-3"/>
    <m/>
    <s v="HANDLE"/>
    <s v="1094F198-001"/>
    <s v="-"/>
    <s v="Wave Mechanics"/>
    <n v="71"/>
    <s v="EA"/>
    <n v="8.5"/>
    <s v="USD"/>
    <n v="1"/>
    <n v="8.5"/>
    <n v="603.5"/>
    <s v="VR000065"/>
    <x v="50"/>
    <s v="PO2425U10396"/>
    <d v="2024-10-25T00:00:00"/>
    <s v="Net 90 days"/>
    <s v="DAP"/>
    <s v="Yes"/>
    <m/>
    <m/>
    <n v="0"/>
    <n v="71"/>
    <n v="0"/>
    <m/>
    <m/>
    <m/>
    <m/>
    <m/>
    <m/>
    <m/>
    <m/>
    <d v="1900-01-09T00:00:00"/>
    <m/>
    <m/>
    <m/>
    <m/>
    <m/>
    <m/>
    <n v="401380518"/>
    <s v="EL01-000262"/>
    <s v="EL01-000262"/>
    <m/>
  </r>
  <r>
    <n v="488"/>
    <d v="2025-12-15T00:00:00"/>
    <n v="401380518"/>
    <s v="EL01-000262-4"/>
    <m/>
    <s v="HANDLE"/>
    <s v="1094F198-001"/>
    <s v="-"/>
    <s v="Wave Mechanics"/>
    <n v="71"/>
    <s v="EA"/>
    <n v="8.5"/>
    <s v="USD"/>
    <n v="1"/>
    <n v="8.5"/>
    <n v="603.5"/>
    <s v="VR000065"/>
    <x v="50"/>
    <s v="PO2425U10396"/>
    <d v="2024-10-25T00:00:00"/>
    <s v="Net 90 days"/>
    <s v="DAP"/>
    <s v="Yes"/>
    <m/>
    <m/>
    <n v="0"/>
    <n v="71"/>
    <n v="0"/>
    <m/>
    <m/>
    <m/>
    <m/>
    <m/>
    <m/>
    <m/>
    <m/>
    <d v="1900-01-09T00:00:00"/>
    <m/>
    <m/>
    <m/>
    <m/>
    <m/>
    <m/>
    <n v="401380518"/>
    <s v="EL01-000262"/>
    <s v="EL01-000262"/>
    <m/>
  </r>
  <r>
    <n v="489"/>
    <d v="2024-12-15T00:00:00"/>
    <n v="401367424"/>
    <s v="EL01-000263-1"/>
    <m/>
    <s v="HANDLE"/>
    <s v="1094F199-001"/>
    <s v="-"/>
    <s v="Wave Mechanics"/>
    <n v="98"/>
    <s v="EA"/>
    <n v="12"/>
    <s v="USD"/>
    <n v="1"/>
    <n v="12"/>
    <n v="1176"/>
    <s v="VR000065"/>
    <x v="50"/>
    <s v="PO2425U10396"/>
    <d v="2024-10-25T00:00:00"/>
    <s v="Net 90 days"/>
    <s v="DAP"/>
    <s v="Yes"/>
    <m/>
    <m/>
    <n v="0"/>
    <n v="98"/>
    <n v="0"/>
    <m/>
    <m/>
    <m/>
    <m/>
    <m/>
    <m/>
    <m/>
    <m/>
    <d v="1900-01-09T00:00:00"/>
    <m/>
    <m/>
    <m/>
    <m/>
    <m/>
    <m/>
    <n v="401367424"/>
    <s v="EL01-000263"/>
    <s v="EL01-000263"/>
    <m/>
  </r>
  <r>
    <n v="490"/>
    <d v="2025-06-15T00:00:00"/>
    <n v="401367424"/>
    <s v="EL01-000263-2"/>
    <m/>
    <s v="HANDLE"/>
    <s v="1094F199-001"/>
    <s v="-"/>
    <s v="Wave Mechanics"/>
    <n v="98"/>
    <s v="EA"/>
    <n v="12"/>
    <s v="USD"/>
    <n v="1"/>
    <n v="12"/>
    <n v="1176"/>
    <s v="VR000065"/>
    <x v="50"/>
    <s v="PO2425U10396"/>
    <d v="2024-10-25T00:00:00"/>
    <s v="Net 90 days"/>
    <s v="DAP"/>
    <s v="Yes"/>
    <m/>
    <m/>
    <n v="0"/>
    <n v="98"/>
    <n v="0"/>
    <m/>
    <m/>
    <m/>
    <m/>
    <m/>
    <m/>
    <m/>
    <m/>
    <d v="1900-01-09T00:00:00"/>
    <m/>
    <m/>
    <m/>
    <m/>
    <m/>
    <m/>
    <n v="401367424"/>
    <s v="EL01-000263"/>
    <s v="EL01-000263"/>
    <m/>
  </r>
  <r>
    <n v="491"/>
    <d v="2025-09-15T00:00:00"/>
    <n v="401367424"/>
    <s v="EL01-000263-3"/>
    <m/>
    <s v="HANDLE"/>
    <s v="1094F199-001"/>
    <s v="-"/>
    <s v="Wave Mechanics"/>
    <n v="98"/>
    <s v="EA"/>
    <n v="12"/>
    <s v="USD"/>
    <n v="1"/>
    <n v="12"/>
    <n v="1176"/>
    <s v="VR000065"/>
    <x v="50"/>
    <s v="PO2425U10396"/>
    <d v="2024-10-25T00:00:00"/>
    <s v="Net 90 days"/>
    <s v="DAP"/>
    <s v="Yes"/>
    <m/>
    <m/>
    <n v="0"/>
    <n v="98"/>
    <n v="0"/>
    <m/>
    <m/>
    <m/>
    <m/>
    <m/>
    <m/>
    <m/>
    <m/>
    <d v="1900-01-09T00:00:00"/>
    <m/>
    <m/>
    <m/>
    <m/>
    <m/>
    <m/>
    <n v="401367424"/>
    <s v="EL01-000263"/>
    <s v="EL01-000263"/>
    <m/>
  </r>
  <r>
    <n v="492"/>
    <d v="2025-12-15T00:00:00"/>
    <n v="401367424"/>
    <s v="EL01-000263-4"/>
    <m/>
    <s v="HANDLE"/>
    <s v="1094F199-001"/>
    <s v="-"/>
    <s v="Wave Mechanics"/>
    <n v="96"/>
    <s v="EA"/>
    <n v="12"/>
    <s v="USD"/>
    <n v="1"/>
    <n v="12"/>
    <n v="1152"/>
    <s v="VR000065"/>
    <x v="50"/>
    <s v="PO2425U10396"/>
    <d v="2024-10-25T00:00:00"/>
    <s v="Net 90 days"/>
    <s v="DAP"/>
    <s v="Yes"/>
    <m/>
    <m/>
    <n v="0"/>
    <n v="96"/>
    <n v="0"/>
    <m/>
    <m/>
    <m/>
    <m/>
    <m/>
    <m/>
    <m/>
    <m/>
    <d v="1900-01-09T00:00:00"/>
    <m/>
    <m/>
    <m/>
    <m/>
    <m/>
    <m/>
    <n v="401367424"/>
    <s v="EL01-000263"/>
    <s v="EL01-000263"/>
    <m/>
  </r>
  <r>
    <n v="493"/>
    <d v="2024-12-15T00:00:00"/>
    <n v="403787117"/>
    <s v="EL01-000310-1"/>
    <m/>
    <s v="B-DUCT COVER LARGE ASSY"/>
    <s v="1094K734-001"/>
    <s v="-"/>
    <s v="Wave Mechanics"/>
    <n v="40"/>
    <s v="EA"/>
    <n v="245"/>
    <s v="USD"/>
    <n v="1"/>
    <n v="245"/>
    <n v="9800"/>
    <s v="VR000065"/>
    <x v="50"/>
    <s v="PO2425U10396"/>
    <d v="2024-10-25T00:00:00"/>
    <s v="Net 90 days"/>
    <s v="DAP"/>
    <s v="Yes"/>
    <m/>
    <m/>
    <n v="0"/>
    <n v="40"/>
    <n v="0"/>
    <m/>
    <m/>
    <m/>
    <m/>
    <m/>
    <m/>
    <m/>
    <m/>
    <d v="1900-01-09T00:00:00"/>
    <m/>
    <m/>
    <m/>
    <m/>
    <m/>
    <m/>
    <n v="403787117"/>
    <s v="EL01-000310"/>
    <s v="EL01-000310"/>
    <m/>
  </r>
  <r>
    <n v="494"/>
    <d v="2025-06-15T00:00:00"/>
    <n v="403787117"/>
    <s v="EL01-000310-2"/>
    <m/>
    <s v="B-DUCT COVER LARGE ASSY"/>
    <s v="1094K734-001"/>
    <s v="-"/>
    <s v="Wave Mechanics"/>
    <n v="49"/>
    <s v="EA"/>
    <n v="245"/>
    <s v="USD"/>
    <n v="1"/>
    <n v="245"/>
    <n v="12005"/>
    <s v="VR000065"/>
    <x v="50"/>
    <s v="PO2425U10396"/>
    <d v="2024-10-25T00:00:00"/>
    <s v="Net 90 days"/>
    <s v="DAP"/>
    <s v="Yes"/>
    <m/>
    <m/>
    <n v="0"/>
    <n v="49"/>
    <n v="0"/>
    <m/>
    <m/>
    <m/>
    <m/>
    <m/>
    <m/>
    <m/>
    <m/>
    <d v="1900-01-09T00:00:00"/>
    <m/>
    <m/>
    <m/>
    <m/>
    <m/>
    <m/>
    <n v="403787117"/>
    <s v="EL01-000310"/>
    <s v="EL01-000310"/>
    <m/>
  </r>
  <r>
    <n v="495"/>
    <d v="2025-06-15T00:00:00"/>
    <n v="403787117"/>
    <s v="EL01-000310-3"/>
    <m/>
    <s v="B-DUCT COVER LARGE ASSY"/>
    <s v="1094K734-001"/>
    <s v="-"/>
    <s v="Wave Mechanics"/>
    <n v="41"/>
    <s v="EA"/>
    <n v="245"/>
    <s v="USD"/>
    <n v="1"/>
    <n v="245"/>
    <n v="10045"/>
    <s v="VR000065"/>
    <x v="50"/>
    <s v="PO2425U10396"/>
    <d v="2024-10-25T00:00:00"/>
    <s v="Net 90 days"/>
    <s v="DAP"/>
    <s v="Yes"/>
    <m/>
    <m/>
    <n v="0"/>
    <n v="41"/>
    <n v="0"/>
    <m/>
    <m/>
    <m/>
    <m/>
    <m/>
    <m/>
    <m/>
    <m/>
    <d v="1900-01-09T00:00:00"/>
    <m/>
    <m/>
    <m/>
    <m/>
    <m/>
    <m/>
    <n v="403787117"/>
    <s v="EL01-000310"/>
    <s v="EL01-000310"/>
    <m/>
  </r>
  <r>
    <n v="496"/>
    <d v="2025-09-15T00:00:00"/>
    <n v="403787117"/>
    <s v="EL01-000310-4"/>
    <m/>
    <s v="B-DUCT COVER LARGE ASSY"/>
    <s v="1094K734-001"/>
    <s v="-"/>
    <s v="Wave Mechanics"/>
    <n v="65"/>
    <s v="EA"/>
    <n v="245"/>
    <s v="USD"/>
    <n v="1"/>
    <n v="245"/>
    <n v="15925"/>
    <s v="VR000065"/>
    <x v="50"/>
    <s v="PO2425U10396"/>
    <d v="2024-10-25T00:00:00"/>
    <s v="Net 90 days"/>
    <s v="DAP"/>
    <s v="Yes"/>
    <m/>
    <m/>
    <n v="0"/>
    <n v="65"/>
    <n v="0"/>
    <m/>
    <m/>
    <m/>
    <m/>
    <m/>
    <m/>
    <m/>
    <m/>
    <d v="1900-01-09T00:00:00"/>
    <m/>
    <m/>
    <m/>
    <m/>
    <m/>
    <m/>
    <n v="403787117"/>
    <s v="EL01-000310"/>
    <s v="EL01-000310"/>
    <m/>
  </r>
  <r>
    <n v="497"/>
    <d v="2025-12-15T00:00:00"/>
    <n v="403787117"/>
    <s v="EL01-000310-5"/>
    <m/>
    <s v="B-DUCT COVER LARGE ASSY"/>
    <s v="1094K734-001"/>
    <s v="-"/>
    <s v="Wave Mechanics"/>
    <n v="65"/>
    <s v="EA"/>
    <n v="245"/>
    <s v="USD"/>
    <n v="1"/>
    <n v="245"/>
    <n v="15925"/>
    <s v="VR000065"/>
    <x v="50"/>
    <s v="PO2425U10396"/>
    <d v="2024-10-25T00:00:00"/>
    <s v="Net 90 days"/>
    <s v="DAP"/>
    <s v="Yes"/>
    <m/>
    <m/>
    <n v="0"/>
    <n v="17"/>
    <n v="48"/>
    <n v="43"/>
    <n v="5"/>
    <m/>
    <m/>
    <d v="2025-12-30T00:00:00"/>
    <m/>
    <m/>
    <m/>
    <d v="2026-01-09T00:00:00"/>
    <m/>
    <m/>
    <m/>
    <m/>
    <m/>
    <m/>
    <n v="403787117"/>
    <s v="EL01-000310"/>
    <s v="EL01-000310"/>
    <n v="11760"/>
  </r>
  <r>
    <n v="498"/>
    <d v="2024-12-15T00:00:00"/>
    <n v="403776248"/>
    <s v="EL01-000311-1"/>
    <m/>
    <s v="B-DUCT COVER SMALL ASSY"/>
    <s v="1094K755-001"/>
    <s v="-"/>
    <s v="Wave Mechanics"/>
    <n v="96"/>
    <s v="EA"/>
    <n v="245"/>
    <s v="USD"/>
    <n v="1"/>
    <n v="245"/>
    <n v="23520"/>
    <s v="VR000065"/>
    <x v="50"/>
    <s v="PO2425U10396"/>
    <d v="2024-10-25T00:00:00"/>
    <s v="Net 90 days"/>
    <s v="DAP"/>
    <s v="Yes"/>
    <m/>
    <m/>
    <n v="0"/>
    <n v="96"/>
    <n v="0"/>
    <m/>
    <m/>
    <m/>
    <m/>
    <m/>
    <m/>
    <m/>
    <m/>
    <d v="1900-01-09T00:00:00"/>
    <m/>
    <m/>
    <m/>
    <m/>
    <m/>
    <m/>
    <n v="403776248"/>
    <s v="EL01-000311"/>
    <s v="EL01-000311"/>
    <m/>
  </r>
  <r>
    <n v="499"/>
    <d v="2025-06-15T00:00:00"/>
    <n v="403776248"/>
    <s v="EL01-000311-2"/>
    <m/>
    <s v="B-DUCT COVER SMALL ASSY"/>
    <s v="1094K755-001"/>
    <s v="-"/>
    <s v="Wave Mechanics"/>
    <n v="104"/>
    <s v="EA"/>
    <n v="245"/>
    <s v="USD"/>
    <n v="1"/>
    <n v="245"/>
    <n v="25480"/>
    <s v="VR000065"/>
    <x v="50"/>
    <s v="PO2425U10396"/>
    <d v="2024-10-25T00:00:00"/>
    <s v="Net 90 days"/>
    <s v="DAP"/>
    <s v="Yes"/>
    <m/>
    <m/>
    <n v="0"/>
    <n v="104"/>
    <n v="0"/>
    <m/>
    <m/>
    <m/>
    <m/>
    <m/>
    <m/>
    <m/>
    <m/>
    <d v="1900-01-09T00:00:00"/>
    <m/>
    <m/>
    <m/>
    <m/>
    <m/>
    <m/>
    <n v="403776248"/>
    <s v="EL01-000311"/>
    <s v="EL01-000311"/>
    <m/>
  </r>
  <r>
    <n v="500"/>
    <d v="2025-12-15T00:00:00"/>
    <n v="403776248"/>
    <s v="EL01-000311-3"/>
    <m/>
    <s v="B-DUCT COVER SMALL ASSY"/>
    <s v="1094K755-001"/>
    <s v="-"/>
    <s v="Wave Mechanics"/>
    <n v="126"/>
    <s v="EA"/>
    <n v="245"/>
    <s v="USD"/>
    <n v="1"/>
    <n v="245"/>
    <n v="30870"/>
    <s v="VR000065"/>
    <x v="50"/>
    <s v="PO2425U10396"/>
    <d v="2024-10-25T00:00:00"/>
    <s v="Net 90 days"/>
    <s v="DAP"/>
    <s v="Yes"/>
    <m/>
    <m/>
    <n v="0"/>
    <n v="87"/>
    <n v="39"/>
    <n v="39"/>
    <m/>
    <m/>
    <m/>
    <d v="2025-12-19T00:00:00"/>
    <m/>
    <m/>
    <m/>
    <d v="2025-12-29T00:00:00"/>
    <m/>
    <m/>
    <m/>
    <m/>
    <m/>
    <m/>
    <n v="403776248"/>
    <s v="EL01-000311"/>
    <s v="EL01-000311"/>
    <n v="9555"/>
  </r>
  <r>
    <n v="501"/>
    <d v="2025-12-15T00:00:00"/>
    <n v="403776248"/>
    <s v="EL01-000311-4"/>
    <m/>
    <s v="B-DUCT COVER SMALL ASSY"/>
    <s v="1094K755-001"/>
    <s v="-"/>
    <s v="Wave Mechanics"/>
    <n v="163"/>
    <s v="EA"/>
    <n v="245"/>
    <s v="USD"/>
    <n v="1"/>
    <n v="245"/>
    <n v="39935"/>
    <s v="VR000065"/>
    <x v="50"/>
    <s v="PO2425U10396"/>
    <d v="2024-10-25T00:00:00"/>
    <s v="Net 90 days"/>
    <s v="DAP"/>
    <s v="Yes"/>
    <m/>
    <m/>
    <n v="0"/>
    <n v="0"/>
    <n v="163"/>
    <n v="6"/>
    <n v="80"/>
    <n v="77"/>
    <m/>
    <d v="2025-12-19T00:00:00"/>
    <d v="2025-01-09T00:00:00"/>
    <d v="2026-01-23T00:00:00"/>
    <m/>
    <d v="2025-12-29T00:00:00"/>
    <m/>
    <m/>
    <m/>
    <m/>
    <m/>
    <m/>
    <n v="403776248"/>
    <s v="EL01-000311"/>
    <s v="EL01-000311"/>
    <n v="39935"/>
  </r>
  <r>
    <n v="502"/>
    <d v="2025-12-15T00:00:00"/>
    <n v="403776248"/>
    <s v="EL01-000311-5"/>
    <m/>
    <s v="B-DUCT COVER SMALL ASSY"/>
    <s v="1094K755-001"/>
    <s v="-"/>
    <s v="Wave Mechanics"/>
    <n v="161"/>
    <s v="EA"/>
    <n v="245"/>
    <s v="USD"/>
    <n v="1"/>
    <n v="245"/>
    <n v="39445"/>
    <s v="VR000065"/>
    <x v="50"/>
    <s v="PO2425U10396"/>
    <d v="2024-10-25T00:00:00"/>
    <s v="Net 90 days"/>
    <s v="DAP"/>
    <s v="Yes"/>
    <m/>
    <m/>
    <n v="0"/>
    <n v="0"/>
    <n v="161"/>
    <n v="3"/>
    <n v="80"/>
    <n v="78"/>
    <m/>
    <d v="2026-01-23T00:00:00"/>
    <d v="2026-02-28T00:00:00"/>
    <d v="2026-03-30T00:00:00"/>
    <m/>
    <d v="2026-02-02T00:00:00"/>
    <m/>
    <m/>
    <m/>
    <m/>
    <m/>
    <m/>
    <n v="403776248"/>
    <s v="EL01-000311"/>
    <s v="EL01-000311"/>
    <n v="39445"/>
  </r>
  <r>
    <n v="503"/>
    <d v="2024-12-15T00:00:00"/>
    <n v="417832196"/>
    <s v="EL01-000313-1"/>
    <m/>
    <s v="COM EXP BRACKET"/>
    <s v="1094Y676-001"/>
    <s v="-"/>
    <s v="Wave Mechanics"/>
    <n v="33"/>
    <s v="EA"/>
    <n v="16"/>
    <s v="USD"/>
    <n v="1"/>
    <n v="16"/>
    <n v="528"/>
    <s v="VR000065"/>
    <x v="50"/>
    <s v="PO2425U10396"/>
    <d v="2024-10-25T00:00:00"/>
    <s v="Net 90 days"/>
    <s v="DAP"/>
    <s v="Yes"/>
    <m/>
    <m/>
    <n v="0"/>
    <n v="33"/>
    <n v="0"/>
    <m/>
    <m/>
    <m/>
    <m/>
    <m/>
    <m/>
    <m/>
    <m/>
    <d v="1900-01-09T00:00:00"/>
    <m/>
    <m/>
    <m/>
    <m/>
    <m/>
    <m/>
    <n v="417832196"/>
    <s v="EL01-000313"/>
    <s v="EL01-000313"/>
    <m/>
  </r>
  <r>
    <n v="504"/>
    <d v="2025-06-15T00:00:00"/>
    <n v="417832196"/>
    <s v="EL01-000313-2"/>
    <m/>
    <s v="COM EXP BRACKET"/>
    <s v="1094Y676-001"/>
    <s v="-"/>
    <s v="Wave Mechanics"/>
    <n v="33"/>
    <s v="EA"/>
    <n v="16"/>
    <s v="USD"/>
    <n v="1"/>
    <n v="16"/>
    <n v="528"/>
    <s v="VR000065"/>
    <x v="50"/>
    <s v="PO2425U10396"/>
    <d v="2024-10-25T00:00:00"/>
    <s v="Net 90 days"/>
    <s v="DAP"/>
    <s v="Yes"/>
    <m/>
    <m/>
    <n v="0"/>
    <n v="33"/>
    <n v="0"/>
    <m/>
    <m/>
    <m/>
    <m/>
    <m/>
    <m/>
    <m/>
    <m/>
    <d v="1900-01-09T00:00:00"/>
    <m/>
    <m/>
    <m/>
    <m/>
    <m/>
    <m/>
    <n v="417832196"/>
    <s v="EL01-000313"/>
    <s v="EL01-000313"/>
    <m/>
  </r>
  <r>
    <n v="505"/>
    <d v="2025-09-15T00:00:00"/>
    <n v="417832196"/>
    <s v="EL01-000313-3"/>
    <m/>
    <s v="COM EXP BRACKET"/>
    <s v="1094Y676-001"/>
    <s v="-"/>
    <s v="Wave Mechanics"/>
    <n v="33"/>
    <s v="EA"/>
    <n v="16"/>
    <s v="USD"/>
    <n v="1"/>
    <n v="16"/>
    <n v="528"/>
    <s v="VR000065"/>
    <x v="50"/>
    <s v="PO2425U10396"/>
    <d v="2024-10-25T00:00:00"/>
    <s v="Net 90 days"/>
    <s v="DAP"/>
    <s v="Yes"/>
    <m/>
    <m/>
    <n v="0"/>
    <n v="33"/>
    <n v="0"/>
    <m/>
    <m/>
    <m/>
    <m/>
    <m/>
    <m/>
    <m/>
    <m/>
    <d v="1900-01-09T00:00:00"/>
    <m/>
    <m/>
    <m/>
    <m/>
    <m/>
    <m/>
    <n v="417832196"/>
    <s v="EL01-000313"/>
    <s v="EL01-000313"/>
    <m/>
  </r>
  <r>
    <n v="506"/>
    <d v="2025-12-15T00:00:00"/>
    <n v="417832196"/>
    <s v="EL01-000313-4"/>
    <m/>
    <s v="COM EXP BRACKET"/>
    <s v="1094Y676-001"/>
    <s v="-"/>
    <s v="Wave Mechanics"/>
    <n v="31"/>
    <s v="EA"/>
    <n v="16"/>
    <s v="USD"/>
    <n v="1"/>
    <n v="16"/>
    <n v="496"/>
    <s v="VR000065"/>
    <x v="50"/>
    <s v="PO2425U10396"/>
    <d v="2024-10-25T00:00:00"/>
    <s v="Net 90 days"/>
    <s v="DAP"/>
    <s v="Yes"/>
    <m/>
    <m/>
    <n v="0"/>
    <n v="31"/>
    <n v="0"/>
    <m/>
    <m/>
    <m/>
    <m/>
    <m/>
    <m/>
    <m/>
    <m/>
    <d v="1900-01-09T00:00:00"/>
    <m/>
    <m/>
    <m/>
    <m/>
    <m/>
    <m/>
    <n v="417832196"/>
    <s v="EL01-000313"/>
    <s v="EL01-000313"/>
    <m/>
  </r>
  <r>
    <n v="507"/>
    <d v="2024-12-15T00:00:00"/>
    <n v="417305082"/>
    <s v="EL01-002011-1"/>
    <m/>
    <s v="SMALL COVER"/>
    <s v="1094Y679-001"/>
    <s v="-"/>
    <s v="Wave Mechanics"/>
    <n v="130"/>
    <s v="EA"/>
    <n v="8"/>
    <s v="USD"/>
    <n v="1"/>
    <n v="8"/>
    <n v="1040"/>
    <s v="VR000065"/>
    <x v="50"/>
    <s v="PO2425U10396"/>
    <d v="2024-10-25T00:00:00"/>
    <s v="Net 90 days"/>
    <s v="DAP"/>
    <s v="Yes"/>
    <m/>
    <m/>
    <n v="0"/>
    <n v="130"/>
    <n v="0"/>
    <m/>
    <m/>
    <m/>
    <m/>
    <m/>
    <m/>
    <m/>
    <m/>
    <d v="1900-01-09T00:00:00"/>
    <m/>
    <m/>
    <m/>
    <m/>
    <m/>
    <m/>
    <n v="417305082"/>
    <s v="EL01-002011"/>
    <s v="EL01-002011"/>
    <m/>
  </r>
  <r>
    <n v="508"/>
    <d v="2025-06-15T00:00:00"/>
    <n v="417305082"/>
    <s v="EL01-002011-2"/>
    <m/>
    <s v="SMALL COVER"/>
    <s v="1094Y679-001"/>
    <s v="-"/>
    <s v="Wave Mechanics"/>
    <n v="130"/>
    <s v="EA"/>
    <n v="8"/>
    <s v="USD"/>
    <n v="1"/>
    <n v="8"/>
    <n v="1040"/>
    <s v="VR000065"/>
    <x v="50"/>
    <s v="PO2425U10396"/>
    <d v="2024-10-25T00:00:00"/>
    <s v="Net 90 days"/>
    <s v="DAP"/>
    <s v="Yes"/>
    <m/>
    <m/>
    <n v="0"/>
    <n v="130"/>
    <n v="0"/>
    <m/>
    <m/>
    <m/>
    <m/>
    <m/>
    <m/>
    <m/>
    <m/>
    <d v="1900-01-09T00:00:00"/>
    <m/>
    <m/>
    <m/>
    <m/>
    <m/>
    <m/>
    <n v="417305082"/>
    <s v="EL01-002011"/>
    <s v="EL01-002011"/>
    <m/>
  </r>
  <r>
    <n v="509"/>
    <d v="2025-09-15T00:00:00"/>
    <n v="417305082"/>
    <s v="EL01-002011-3"/>
    <m/>
    <s v="SMALL COVER"/>
    <s v="1094Y679-001"/>
    <s v="-"/>
    <s v="Wave Mechanics"/>
    <n v="260"/>
    <s v="EA"/>
    <n v="8"/>
    <s v="USD"/>
    <n v="1"/>
    <n v="8"/>
    <n v="2080"/>
    <s v="VR000065"/>
    <x v="50"/>
    <s v="PO2425U10396"/>
    <d v="2024-10-25T00:00:00"/>
    <s v="Net 90 days"/>
    <s v="DAP"/>
    <s v="Yes"/>
    <m/>
    <m/>
    <n v="0"/>
    <n v="260"/>
    <n v="0"/>
    <m/>
    <m/>
    <m/>
    <m/>
    <m/>
    <m/>
    <m/>
    <m/>
    <d v="1900-01-09T00:00:00"/>
    <m/>
    <m/>
    <m/>
    <m/>
    <m/>
    <m/>
    <n v="417305082"/>
    <s v="EL01-002011"/>
    <s v="EL01-002011"/>
    <m/>
  </r>
  <r>
    <n v="510"/>
    <d v="2024-12-15T00:00:00"/>
    <n v="420113883"/>
    <s v="EL01-002012-1"/>
    <m/>
    <s v="SMR RF COVER MACH"/>
    <s v="1094Y682-001"/>
    <s v="-"/>
    <s v="Wave Mechanics"/>
    <n v="130"/>
    <s v="EA"/>
    <n v="152"/>
    <s v="USD"/>
    <n v="1"/>
    <n v="152"/>
    <n v="19760"/>
    <s v="VR000065"/>
    <x v="50"/>
    <s v="PO2425U10396"/>
    <d v="2024-10-25T00:00:00"/>
    <s v="Net 90 days"/>
    <s v="DAP"/>
    <s v="Yes"/>
    <m/>
    <m/>
    <n v="0"/>
    <n v="130"/>
    <n v="0"/>
    <m/>
    <m/>
    <m/>
    <m/>
    <m/>
    <m/>
    <m/>
    <m/>
    <d v="1900-01-09T00:00:00"/>
    <m/>
    <m/>
    <m/>
    <m/>
    <m/>
    <m/>
    <n v="420113883"/>
    <s v="EL01-002012"/>
    <s v="EL01-002012"/>
    <m/>
  </r>
  <r>
    <n v="511"/>
    <d v="2025-06-15T00:00:00"/>
    <n v="420113883"/>
    <s v="EL01-002012-2"/>
    <m/>
    <s v="SMR RF COVER MACH"/>
    <s v="1094Y682-001"/>
    <s v="-"/>
    <s v="Wave Mechanics"/>
    <n v="75"/>
    <s v="EA"/>
    <n v="152"/>
    <s v="USD"/>
    <n v="1"/>
    <n v="152"/>
    <n v="11400"/>
    <s v="VR000065"/>
    <x v="50"/>
    <s v="PO2425U10396"/>
    <d v="2024-10-25T00:00:00"/>
    <s v="Net 90 days"/>
    <s v="DAP"/>
    <s v="Yes"/>
    <m/>
    <m/>
    <n v="0"/>
    <n v="75"/>
    <n v="0"/>
    <m/>
    <m/>
    <m/>
    <m/>
    <m/>
    <m/>
    <m/>
    <m/>
    <d v="1900-01-09T00:00:00"/>
    <m/>
    <m/>
    <m/>
    <m/>
    <m/>
    <m/>
    <n v="420113883"/>
    <s v="EL01-002012"/>
    <s v="EL01-002012"/>
    <m/>
  </r>
  <r>
    <n v="512"/>
    <d v="2025-09-15T00:00:00"/>
    <n v="420113883"/>
    <s v="EL01-002012-3"/>
    <m/>
    <s v="SMR RF COVER MACH"/>
    <s v="1094Y682-001"/>
    <s v="-"/>
    <s v="Wave Mechanics"/>
    <n v="40"/>
    <s v="EA"/>
    <n v="152"/>
    <s v="USD"/>
    <n v="1"/>
    <n v="152"/>
    <n v="6080"/>
    <s v="VR000065"/>
    <x v="50"/>
    <s v="PO2425U10396"/>
    <d v="2024-10-25T00:00:00"/>
    <s v="Net 90 days"/>
    <s v="DAP"/>
    <s v="Yes"/>
    <m/>
    <m/>
    <n v="0"/>
    <n v="40"/>
    <n v="0"/>
    <m/>
    <m/>
    <m/>
    <m/>
    <m/>
    <m/>
    <m/>
    <m/>
    <d v="1900-01-09T00:00:00"/>
    <m/>
    <m/>
    <m/>
    <m/>
    <m/>
    <m/>
    <n v="420113883"/>
    <s v="EL01-002012"/>
    <s v="EL01-002012"/>
    <m/>
  </r>
  <r>
    <n v="513"/>
    <d v="2025-12-15T00:00:00"/>
    <n v="420113883"/>
    <s v="EL01-002012-4"/>
    <m/>
    <s v="SMR RF COVER MACH"/>
    <s v="1094Y682-001"/>
    <s v="-"/>
    <s v="Wave Mechanics"/>
    <n v="15"/>
    <s v="EA"/>
    <n v="152"/>
    <s v="USD"/>
    <n v="1"/>
    <n v="152"/>
    <n v="2280"/>
    <s v="VR000065"/>
    <x v="50"/>
    <s v="PO2425U10396"/>
    <d v="2024-10-25T00:00:00"/>
    <s v="Net 90 days"/>
    <s v="DAP"/>
    <s v="Yes"/>
    <m/>
    <m/>
    <n v="0"/>
    <n v="15"/>
    <n v="0"/>
    <m/>
    <m/>
    <m/>
    <m/>
    <m/>
    <m/>
    <m/>
    <m/>
    <d v="1900-01-09T00:00:00"/>
    <m/>
    <m/>
    <m/>
    <m/>
    <m/>
    <m/>
    <n v="420113883"/>
    <s v="EL01-002012"/>
    <s v="EL01-002012"/>
    <m/>
  </r>
  <r>
    <n v="514"/>
    <d v="2025-12-15T00:00:00"/>
    <n v="420113883"/>
    <s v="EL01-002012-5"/>
    <m/>
    <s v="SMR RF COVER MACH"/>
    <s v="1094Y682-001"/>
    <s v="-"/>
    <s v="Wave Mechanics"/>
    <n v="130"/>
    <s v="EA"/>
    <n v="152"/>
    <s v="USD"/>
    <n v="1"/>
    <n v="152"/>
    <n v="19760"/>
    <s v="VR000065"/>
    <x v="50"/>
    <s v="PO2425U10396"/>
    <d v="2024-10-25T00:00:00"/>
    <s v="Net 90 days"/>
    <s v="DAP"/>
    <s v="Yes"/>
    <m/>
    <m/>
    <n v="0"/>
    <n v="130"/>
    <n v="0"/>
    <m/>
    <m/>
    <m/>
    <m/>
    <m/>
    <m/>
    <m/>
    <m/>
    <d v="1900-01-09T00:00:00"/>
    <m/>
    <m/>
    <m/>
    <m/>
    <m/>
    <m/>
    <n v="420113883"/>
    <s v="EL01-002012"/>
    <s v="EL01-002012"/>
    <m/>
  </r>
  <r>
    <n v="515"/>
    <d v="2025-12-15T00:00:00"/>
    <n v="420113883"/>
    <s v="EL01-002012-6"/>
    <m/>
    <s v="SMR RF COVER MACH"/>
    <s v="1094Y682-001"/>
    <s v="-"/>
    <s v="Wave Mechanics"/>
    <n v="130"/>
    <s v="EA"/>
    <n v="152"/>
    <s v="USD"/>
    <n v="1"/>
    <n v="152"/>
    <n v="19760"/>
    <s v="VR000065"/>
    <x v="50"/>
    <s v="PO2425U10396"/>
    <d v="2024-10-25T00:00:00"/>
    <s v="Net 90 days"/>
    <s v="DAP"/>
    <s v="Yes"/>
    <m/>
    <m/>
    <n v="0"/>
    <n v="130"/>
    <n v="0"/>
    <m/>
    <m/>
    <m/>
    <m/>
    <m/>
    <m/>
    <m/>
    <m/>
    <d v="1900-01-09T00:00:00"/>
    <m/>
    <m/>
    <m/>
    <m/>
    <m/>
    <m/>
    <n v="420113883"/>
    <s v="EL01-002012"/>
    <s v="EL01-002012"/>
    <m/>
  </r>
  <r>
    <n v="516"/>
    <d v="2024-12-15T00:00:00"/>
    <n v="420122609"/>
    <s v="EL01-002013-1"/>
    <m/>
    <s v="SMR DC COVER MACH WITH HS"/>
    <s v="1094Y683-001"/>
    <s v="-"/>
    <s v="Wave Mechanics"/>
    <n v="5"/>
    <s v="EA"/>
    <n v="250"/>
    <s v="USD"/>
    <n v="1"/>
    <n v="250"/>
    <n v="1250"/>
    <s v="VR000065"/>
    <x v="50"/>
    <s v="PO2425U10396"/>
    <d v="2024-10-25T00:00:00"/>
    <s v="Net 90 days"/>
    <s v="DAP"/>
    <s v="Yes"/>
    <m/>
    <m/>
    <n v="0"/>
    <n v="5"/>
    <n v="0"/>
    <m/>
    <m/>
    <m/>
    <m/>
    <m/>
    <m/>
    <m/>
    <m/>
    <d v="1900-01-09T00:00:00"/>
    <m/>
    <m/>
    <m/>
    <m/>
    <m/>
    <m/>
    <n v="420122609"/>
    <s v="EL01-002013"/>
    <s v="EL01-002013"/>
    <m/>
  </r>
  <r>
    <n v="517"/>
    <d v="2025-06-15T00:00:00"/>
    <n v="420122609"/>
    <s v="EL01-002013-2"/>
    <m/>
    <s v="SMR DC COVER MACH WITH HS"/>
    <s v="1094Y683-001"/>
    <s v="-"/>
    <s v="Wave Mechanics"/>
    <n v="15"/>
    <s v="EA"/>
    <n v="250"/>
    <s v="USD"/>
    <n v="1"/>
    <n v="250"/>
    <n v="3750"/>
    <s v="VR000065"/>
    <x v="50"/>
    <s v="PO2425U10396"/>
    <d v="2024-10-25T00:00:00"/>
    <s v="Net 90 days"/>
    <s v="DAP"/>
    <s v="Yes"/>
    <m/>
    <m/>
    <n v="0"/>
    <n v="15"/>
    <n v="0"/>
    <m/>
    <m/>
    <m/>
    <m/>
    <m/>
    <m/>
    <m/>
    <m/>
    <d v="1900-01-09T00:00:00"/>
    <m/>
    <m/>
    <m/>
    <m/>
    <m/>
    <m/>
    <n v="420122609"/>
    <s v="EL01-002013"/>
    <s v="EL01-002013"/>
    <m/>
  </r>
  <r>
    <n v="518"/>
    <d v="2025-09-15T00:00:00"/>
    <n v="420122609"/>
    <s v="EL01-002013-3"/>
    <m/>
    <s v="SMR DC COVER MACH WITH HS"/>
    <s v="1094Y683-001"/>
    <s v="-"/>
    <s v="Wave Mechanics"/>
    <n v="20"/>
    <s v="EA"/>
    <n v="250"/>
    <s v="USD"/>
    <n v="1"/>
    <n v="250"/>
    <n v="5000"/>
    <s v="VR000065"/>
    <x v="50"/>
    <s v="PO2425U10396"/>
    <d v="2024-10-25T00:00:00"/>
    <s v="Net 90 days"/>
    <s v="DAP"/>
    <s v="Yes"/>
    <m/>
    <m/>
    <n v="0"/>
    <n v="8"/>
    <n v="12"/>
    <n v="6"/>
    <n v="6"/>
    <m/>
    <m/>
    <d v="2025-12-31T00:00:00"/>
    <m/>
    <m/>
    <m/>
    <d v="2026-01-10T00:00:00"/>
    <m/>
    <m/>
    <m/>
    <m/>
    <m/>
    <m/>
    <n v="420122609"/>
    <s v="EL01-002013"/>
    <s v="EL01-002013"/>
    <n v="3000"/>
  </r>
  <r>
    <n v="519"/>
    <d v="2025-12-15T00:00:00"/>
    <n v="420122609"/>
    <s v="EL01-002013-4"/>
    <m/>
    <s v="SMR DC COVER MACH WITH HS"/>
    <s v="1094Y683-001"/>
    <s v="-"/>
    <s v="Wave Mechanics"/>
    <n v="25"/>
    <s v="EA"/>
    <n v="250"/>
    <s v="USD"/>
    <n v="1"/>
    <n v="250"/>
    <n v="6250"/>
    <s v="VR000065"/>
    <x v="50"/>
    <s v="PO2425U10396"/>
    <d v="2024-10-25T00:00:00"/>
    <s v="Net 90 days"/>
    <s v="DAP"/>
    <s v="Yes"/>
    <m/>
    <m/>
    <n v="0"/>
    <n v="0"/>
    <n v="25"/>
    <n v="8"/>
    <n v="17"/>
    <m/>
    <m/>
    <d v="2025-12-26T00:00:00"/>
    <d v="2026-01-09T00:00:00"/>
    <m/>
    <m/>
    <d v="2026-01-05T00:00:00"/>
    <m/>
    <m/>
    <m/>
    <m/>
    <m/>
    <m/>
    <n v="420122609"/>
    <s v="EL01-002013"/>
    <s v="EL01-002013"/>
    <n v="6250"/>
  </r>
  <r>
    <n v="520"/>
    <d v="2025-12-15T00:00:00"/>
    <n v="420122609"/>
    <s v="EL01-002013-5"/>
    <m/>
    <s v="SMR DC COVER MACH WITH HS"/>
    <s v="1094Y683-001"/>
    <s v="-"/>
    <s v="Wave Mechanics"/>
    <n v="25"/>
    <s v="EA"/>
    <n v="250"/>
    <s v="USD"/>
    <n v="1"/>
    <n v="250"/>
    <n v="6250"/>
    <s v="VR000065"/>
    <x v="50"/>
    <s v="PO2425U10396"/>
    <d v="2024-10-25T00:00:00"/>
    <s v="Net 90 days"/>
    <s v="DAP"/>
    <s v="Yes"/>
    <m/>
    <m/>
    <n v="0"/>
    <n v="0"/>
    <n v="25"/>
    <n v="3"/>
    <n v="20"/>
    <n v="2"/>
    <m/>
    <d v="2026-01-09T00:00:00"/>
    <d v="2026-01-30T00:00:00"/>
    <d v="2026-02-28T00:00:00"/>
    <m/>
    <d v="2026-01-19T00:00:00"/>
    <m/>
    <m/>
    <m/>
    <m/>
    <m/>
    <m/>
    <n v="420122609"/>
    <s v="EL01-002013"/>
    <s v="EL01-002013"/>
    <n v="6250"/>
  </r>
  <r>
    <n v="521"/>
    <d v="2025-12-15T00:00:00"/>
    <n v="420122609"/>
    <s v="EL01-002013-6"/>
    <m/>
    <s v="SMR DC COVER MACH WITH HS"/>
    <s v="1094Y683-001"/>
    <s v="-"/>
    <s v="Wave Mechanics"/>
    <n v="10"/>
    <s v="EA"/>
    <n v="250"/>
    <s v="USD"/>
    <n v="1"/>
    <n v="250"/>
    <n v="2500"/>
    <s v="VR000065"/>
    <x v="50"/>
    <s v="PO2425U10396"/>
    <d v="2024-10-25T00:00:00"/>
    <s v="Net 90 days"/>
    <s v="DAP"/>
    <s v="Yes"/>
    <m/>
    <m/>
    <n v="0"/>
    <n v="0"/>
    <n v="10"/>
    <n v="10"/>
    <m/>
    <m/>
    <m/>
    <d v="2026-02-28T00:00:00"/>
    <m/>
    <m/>
    <m/>
    <d v="2026-03-10T00:00:00"/>
    <m/>
    <m/>
    <m/>
    <m/>
    <m/>
    <m/>
    <n v="420122609"/>
    <s v="EL01-002013"/>
    <s v="EL01-002013"/>
    <n v="2500"/>
  </r>
  <r>
    <n v="522"/>
    <d v="2025-12-15T00:00:00"/>
    <n v="420122609"/>
    <s v="EL01-002013-7"/>
    <m/>
    <s v="SMR DC COVER MACH WITH HS"/>
    <s v="1094Y683-001"/>
    <s v="-"/>
    <s v="Wave Mechanics"/>
    <n v="10"/>
    <s v="EA"/>
    <n v="250"/>
    <s v="USD"/>
    <n v="1"/>
    <n v="250"/>
    <n v="2500"/>
    <s v="VR000065"/>
    <x v="50"/>
    <s v="PO2425U10396"/>
    <d v="2024-10-25T00:00:00"/>
    <s v="Net 90 days"/>
    <s v="DAP"/>
    <s v="Yes"/>
    <m/>
    <m/>
    <n v="0"/>
    <n v="0"/>
    <n v="10"/>
    <n v="10"/>
    <m/>
    <m/>
    <m/>
    <d v="2026-02-28T00:00:00"/>
    <m/>
    <m/>
    <m/>
    <d v="2026-03-10T00:00:00"/>
    <m/>
    <m/>
    <m/>
    <m/>
    <m/>
    <m/>
    <n v="420122609"/>
    <s v="EL01-002013"/>
    <s v="EL01-002013"/>
    <n v="2500"/>
  </r>
  <r>
    <n v="523"/>
    <d v="2025-12-15T00:00:00"/>
    <n v="420122609"/>
    <s v="EL01-002013-8"/>
    <m/>
    <s v="SMR DC COVER MACH WITH HS"/>
    <s v="1094Y683-001"/>
    <s v="-"/>
    <s v="Wave Mechanics"/>
    <n v="10"/>
    <s v="EA"/>
    <n v="250"/>
    <s v="USD"/>
    <n v="1"/>
    <n v="250"/>
    <n v="2500"/>
    <s v="VR000065"/>
    <x v="50"/>
    <s v="PO2425U10396"/>
    <d v="2024-10-25T00:00:00"/>
    <s v="Net 90 days"/>
    <s v="DAP"/>
    <s v="Yes"/>
    <m/>
    <m/>
    <n v="0"/>
    <n v="0"/>
    <n v="10"/>
    <n v="10"/>
    <m/>
    <m/>
    <m/>
    <d v="2026-03-30T00:00:00"/>
    <m/>
    <m/>
    <m/>
    <d v="2026-04-09T00:00:00"/>
    <m/>
    <m/>
    <m/>
    <m/>
    <m/>
    <m/>
    <n v="420122609"/>
    <s v="EL01-002013"/>
    <s v="EL01-002013"/>
    <n v="2500"/>
  </r>
  <r>
    <n v="524"/>
    <d v="2025-12-15T00:00:00"/>
    <n v="420122609"/>
    <s v="EL01-002013-9"/>
    <m/>
    <s v="SMR DC COVER MACH WITH HS"/>
    <s v="1094Y683-001"/>
    <s v="-"/>
    <s v="Wave Mechanics"/>
    <n v="10"/>
    <s v="EA"/>
    <n v="250"/>
    <s v="USD"/>
    <n v="1"/>
    <n v="250"/>
    <n v="2500"/>
    <s v="VR000065"/>
    <x v="50"/>
    <s v="PO2425U10396"/>
    <d v="2024-10-25T00:00:00"/>
    <s v="Net 90 days"/>
    <s v="DAP"/>
    <s v="Yes"/>
    <m/>
    <m/>
    <n v="0"/>
    <n v="0"/>
    <n v="10"/>
    <n v="10"/>
    <m/>
    <m/>
    <m/>
    <d v="2026-03-30T00:00:00"/>
    <m/>
    <m/>
    <m/>
    <d v="2026-04-09T00:00:00"/>
    <m/>
    <m/>
    <m/>
    <m/>
    <m/>
    <m/>
    <n v="420122609"/>
    <s v="EL01-002013"/>
    <s v="EL01-002013"/>
    <n v="2500"/>
  </r>
  <r>
    <n v="525"/>
    <d v="2024-12-15T00:00:00"/>
    <n v="417305028"/>
    <s v="EL01-002017-1"/>
    <m/>
    <s v="BASE"/>
    <s v="1094Y692-001"/>
    <s v="-"/>
    <s v="Wave Mechanics"/>
    <n v="10"/>
    <s v="EA"/>
    <n v="145"/>
    <s v="USD"/>
    <n v="1"/>
    <n v="145"/>
    <n v="1450"/>
    <s v="VR000065"/>
    <x v="50"/>
    <s v="PO2425U10396"/>
    <d v="2024-10-25T00:00:00"/>
    <s v="Net 90 days"/>
    <s v="DAP"/>
    <s v="Yes"/>
    <m/>
    <m/>
    <n v="0"/>
    <n v="10"/>
    <n v="0"/>
    <m/>
    <m/>
    <m/>
    <m/>
    <m/>
    <m/>
    <m/>
    <m/>
    <d v="1900-01-09T00:00:00"/>
    <m/>
    <m/>
    <m/>
    <m/>
    <m/>
    <m/>
    <n v="417305028"/>
    <s v="EL01-002017"/>
    <s v="EL01-002017"/>
    <m/>
  </r>
  <r>
    <n v="526"/>
    <d v="2025-06-15T00:00:00"/>
    <n v="417305028"/>
    <s v="EL01-002017-2"/>
    <m/>
    <s v="BASE"/>
    <s v="1094Y692-001"/>
    <s v="-"/>
    <s v="Wave Mechanics"/>
    <n v="100"/>
    <s v="EA"/>
    <n v="145"/>
    <s v="USD"/>
    <n v="1"/>
    <n v="145"/>
    <n v="14500"/>
    <s v="VR000065"/>
    <x v="50"/>
    <s v="PO2425U10396"/>
    <d v="2024-10-25T00:00:00"/>
    <s v="Net 90 days"/>
    <s v="DAP"/>
    <s v="Yes"/>
    <m/>
    <m/>
    <n v="0"/>
    <n v="100"/>
    <n v="0"/>
    <m/>
    <m/>
    <m/>
    <m/>
    <m/>
    <m/>
    <m/>
    <m/>
    <d v="1900-01-09T00:00:00"/>
    <m/>
    <m/>
    <m/>
    <m/>
    <m/>
    <m/>
    <n v="417305028"/>
    <s v="EL01-002017"/>
    <s v="EL01-002017"/>
    <m/>
  </r>
  <r>
    <n v="527"/>
    <d v="2025-12-15T00:00:00"/>
    <n v="417305028"/>
    <s v="EL01-002017-3"/>
    <m/>
    <s v="BASE"/>
    <s v="1094Y692-001"/>
    <s v="-"/>
    <s v="Wave Mechanics"/>
    <n v="70"/>
    <s v="EA"/>
    <n v="145"/>
    <s v="USD"/>
    <n v="1"/>
    <n v="145"/>
    <n v="10150"/>
    <s v="VR000065"/>
    <x v="50"/>
    <s v="PO2425U10396"/>
    <d v="2024-10-25T00:00:00"/>
    <s v="Net 90 days"/>
    <s v="DAP"/>
    <s v="Yes"/>
    <m/>
    <m/>
    <n v="0"/>
    <n v="70"/>
    <n v="0"/>
    <m/>
    <m/>
    <m/>
    <m/>
    <m/>
    <m/>
    <m/>
    <m/>
    <d v="1900-01-09T00:00:00"/>
    <m/>
    <m/>
    <m/>
    <m/>
    <m/>
    <m/>
    <n v="417305028"/>
    <s v="EL01-002017"/>
    <s v="EL01-002017"/>
    <m/>
  </r>
  <r>
    <n v="528"/>
    <d v="2025-12-15T00:00:00"/>
    <n v="417305028"/>
    <s v="EL01-002017-4"/>
    <m/>
    <s v="BASE"/>
    <s v="1094Y692-001"/>
    <s v="-"/>
    <s v="Wave Mechanics"/>
    <n v="40"/>
    <s v="EA"/>
    <n v="145"/>
    <s v="USD"/>
    <n v="1"/>
    <n v="145"/>
    <n v="5800"/>
    <s v="VR000065"/>
    <x v="50"/>
    <s v="PO2425U10396"/>
    <d v="2024-10-25T00:00:00"/>
    <s v="Net 90 days"/>
    <s v="DAP"/>
    <s v="Yes"/>
    <m/>
    <m/>
    <n v="0"/>
    <n v="40"/>
    <n v="0"/>
    <m/>
    <m/>
    <m/>
    <m/>
    <m/>
    <m/>
    <m/>
    <m/>
    <d v="1900-01-09T00:00:00"/>
    <m/>
    <m/>
    <m/>
    <m/>
    <m/>
    <m/>
    <n v="417305028"/>
    <s v="EL01-002017"/>
    <s v="EL01-002017"/>
    <m/>
  </r>
  <r>
    <n v="529"/>
    <d v="2025-12-15T00:00:00"/>
    <n v="417305028"/>
    <s v="EL01-002017-5"/>
    <m/>
    <s v="BASE"/>
    <s v="1094Y692-001"/>
    <s v="-"/>
    <s v="Wave Mechanics"/>
    <n v="60"/>
    <s v="EA"/>
    <n v="145"/>
    <s v="USD"/>
    <n v="1"/>
    <n v="145"/>
    <n v="8700"/>
    <s v="VR000065"/>
    <x v="50"/>
    <s v="PO2425U10396"/>
    <d v="2024-10-25T00:00:00"/>
    <s v="Net 90 days"/>
    <s v="DAP"/>
    <s v="Yes"/>
    <m/>
    <m/>
    <n v="0"/>
    <n v="60"/>
    <n v="0"/>
    <m/>
    <m/>
    <m/>
    <m/>
    <m/>
    <m/>
    <m/>
    <m/>
    <d v="1900-01-09T00:00:00"/>
    <m/>
    <m/>
    <m/>
    <m/>
    <m/>
    <m/>
    <n v="417305028"/>
    <s v="EL01-002017"/>
    <s v="EL01-002017"/>
    <m/>
  </r>
  <r>
    <n v="530"/>
    <d v="2025-12-15T00:00:00"/>
    <n v="417305028"/>
    <s v="EL01-002017-6"/>
    <m/>
    <s v="BASE"/>
    <s v="1094Y692-001"/>
    <s v="-"/>
    <s v="Wave Mechanics"/>
    <n v="60"/>
    <s v="EA"/>
    <n v="145"/>
    <s v="USD"/>
    <n v="1"/>
    <n v="145"/>
    <n v="8700"/>
    <s v="VR000065"/>
    <x v="50"/>
    <s v="PO2425U10396"/>
    <d v="2024-10-25T00:00:00"/>
    <s v="Net 90 days"/>
    <s v="DAP"/>
    <s v="Yes"/>
    <m/>
    <m/>
    <n v="0"/>
    <n v="60"/>
    <n v="0"/>
    <m/>
    <m/>
    <m/>
    <m/>
    <m/>
    <m/>
    <m/>
    <m/>
    <d v="1900-01-09T00:00:00"/>
    <m/>
    <m/>
    <m/>
    <m/>
    <m/>
    <m/>
    <n v="417305028"/>
    <s v="EL01-002017"/>
    <s v="EL01-002017"/>
    <m/>
  </r>
  <r>
    <n v="531"/>
    <d v="2025-12-15T00:00:00"/>
    <n v="417305028"/>
    <s v="EL01-002017-7"/>
    <m/>
    <s v="BASE"/>
    <s v="1094Y692-001"/>
    <s v="-"/>
    <s v="Wave Mechanics"/>
    <n v="60"/>
    <s v="EA"/>
    <n v="145"/>
    <s v="USD"/>
    <n v="1"/>
    <n v="145"/>
    <n v="8700"/>
    <s v="VR000065"/>
    <x v="50"/>
    <s v="PO2425U10396"/>
    <d v="2024-10-25T00:00:00"/>
    <s v="Net 90 days"/>
    <s v="DAP"/>
    <s v="Yes"/>
    <m/>
    <m/>
    <n v="0"/>
    <n v="60"/>
    <n v="0"/>
    <n v="0"/>
    <m/>
    <m/>
    <m/>
    <d v="2026-02-28T00:00:00"/>
    <m/>
    <m/>
    <m/>
    <d v="2026-03-10T00:00:00"/>
    <m/>
    <m/>
    <m/>
    <m/>
    <m/>
    <m/>
    <n v="417305028"/>
    <s v="EL01-002017"/>
    <s v="EL01-002017"/>
    <m/>
  </r>
  <r>
    <n v="532"/>
    <d v="2025-12-15T00:00:00"/>
    <n v="417305028"/>
    <s v="EL01-002017-8"/>
    <m/>
    <s v="BASE"/>
    <s v="1094Y692-001"/>
    <s v="-"/>
    <s v="Wave Mechanics"/>
    <n v="60"/>
    <s v="EA"/>
    <n v="145"/>
    <s v="USD"/>
    <n v="1"/>
    <n v="145"/>
    <n v="8700"/>
    <s v="VR000065"/>
    <x v="50"/>
    <s v="PO2425U10396"/>
    <d v="2024-10-25T00:00:00"/>
    <s v="Net 90 days"/>
    <s v="DAP"/>
    <s v="Yes"/>
    <m/>
    <m/>
    <n v="0"/>
    <n v="60"/>
    <n v="0"/>
    <n v="0"/>
    <m/>
    <m/>
    <m/>
    <d v="2026-02-28T00:00:00"/>
    <m/>
    <m/>
    <m/>
    <d v="2026-03-10T00:00:00"/>
    <m/>
    <m/>
    <m/>
    <m/>
    <m/>
    <m/>
    <n v="417305028"/>
    <s v="EL01-002017"/>
    <s v="EL01-002017"/>
    <m/>
  </r>
  <r>
    <n v="533"/>
    <d v="2025-12-15T00:00:00"/>
    <n v="417305028"/>
    <s v="EL01-002017-9"/>
    <m/>
    <s v="BASE"/>
    <s v="1094Y692-001"/>
    <s v="-"/>
    <s v="Wave Mechanics"/>
    <n v="60"/>
    <s v="EA"/>
    <n v="145"/>
    <s v="USD"/>
    <n v="1"/>
    <n v="145"/>
    <n v="8700"/>
    <s v="VR000065"/>
    <x v="50"/>
    <s v="PO2425U10396"/>
    <d v="2024-10-25T00:00:00"/>
    <s v="Net 90 days"/>
    <s v="DAP"/>
    <s v="Yes"/>
    <m/>
    <m/>
    <n v="0"/>
    <n v="60"/>
    <n v="0"/>
    <n v="0"/>
    <m/>
    <m/>
    <m/>
    <d v="2026-03-30T00:00:00"/>
    <m/>
    <m/>
    <m/>
    <d v="2026-04-09T00:00:00"/>
    <m/>
    <m/>
    <m/>
    <m/>
    <m/>
    <m/>
    <n v="417305028"/>
    <s v="EL01-002017"/>
    <s v="EL01-002017"/>
    <m/>
  </r>
  <r>
    <n v="534"/>
    <d v="2024-12-15T00:00:00"/>
    <n v="410404205"/>
    <s v="EL01-002019-1"/>
    <m/>
    <s v="SMR BASE LEFT ABSORBER ASSY"/>
    <s v="1096L950-001"/>
    <n v="-1"/>
    <s v="Wave Mechanics"/>
    <n v="8"/>
    <s v="EA"/>
    <n v="2810"/>
    <s v="USD"/>
    <n v="1"/>
    <n v="2810"/>
    <n v="22480"/>
    <s v="VR000065"/>
    <x v="50"/>
    <s v="PO2425U10396"/>
    <d v="2024-10-25T00:00:00"/>
    <s v="Net 90 days"/>
    <s v="DAP"/>
    <s v="Yes"/>
    <m/>
    <m/>
    <n v="0"/>
    <n v="8"/>
    <n v="0"/>
    <m/>
    <m/>
    <m/>
    <m/>
    <m/>
    <m/>
    <m/>
    <m/>
    <d v="1900-01-09T00:00:00"/>
    <m/>
    <m/>
    <m/>
    <m/>
    <m/>
    <m/>
    <n v="410404205"/>
    <s v="EL01-002019"/>
    <s v="EL01-002019"/>
    <m/>
  </r>
  <r>
    <n v="535"/>
    <d v="2025-06-15T00:00:00"/>
    <n v="410404205"/>
    <s v="EL01-002019-2"/>
    <m/>
    <s v="SMR BASE LEFT ABSORBER ASSY"/>
    <s v="1096L950-001"/>
    <n v="-1"/>
    <s v="Wave Mechanics"/>
    <n v="10"/>
    <s v="EA"/>
    <n v="2810"/>
    <s v="USD"/>
    <n v="1"/>
    <n v="2810"/>
    <n v="28100"/>
    <s v="VR000065"/>
    <x v="50"/>
    <s v="PO2425U10396"/>
    <d v="2024-10-25T00:00:00"/>
    <s v="Net 90 days"/>
    <s v="DAP"/>
    <s v="Yes"/>
    <m/>
    <m/>
    <n v="0"/>
    <n v="10"/>
    <n v="0"/>
    <m/>
    <m/>
    <m/>
    <m/>
    <m/>
    <m/>
    <m/>
    <m/>
    <d v="1900-01-09T00:00:00"/>
    <m/>
    <m/>
    <m/>
    <n v="3"/>
    <m/>
    <m/>
    <n v="410404205"/>
    <s v="EL01-002019"/>
    <s v="EL01-002019"/>
    <m/>
  </r>
  <r>
    <n v="536"/>
    <d v="2025-09-15T00:00:00"/>
    <n v="410404205"/>
    <s v="EL01-002019-3"/>
    <m/>
    <s v="SMR BASE LEFT ABSORBER ASSY"/>
    <s v="1096L950-001"/>
    <n v="-1"/>
    <s v="Wave Mechanics"/>
    <n v="12"/>
    <s v="EA"/>
    <n v="2810"/>
    <s v="USD"/>
    <n v="1"/>
    <n v="2810"/>
    <n v="33720"/>
    <s v="VR000065"/>
    <x v="50"/>
    <s v="PO2425U10396"/>
    <d v="2024-10-25T00:00:00"/>
    <s v="Net 90 days"/>
    <s v="DAP"/>
    <s v="Yes"/>
    <m/>
    <m/>
    <n v="0"/>
    <n v="12"/>
    <n v="0"/>
    <m/>
    <m/>
    <m/>
    <m/>
    <m/>
    <m/>
    <m/>
    <m/>
    <d v="1900-01-09T00:00:00"/>
    <m/>
    <m/>
    <m/>
    <n v="11"/>
    <m/>
    <m/>
    <n v="410404205"/>
    <s v="EL01-002019"/>
    <s v="EL01-002019"/>
    <m/>
  </r>
  <r>
    <n v="537"/>
    <d v="2025-12-15T00:00:00"/>
    <n v="410404205"/>
    <s v="EL01-002019-4"/>
    <m/>
    <s v="SMR BASE LEFT ABSORBER ASSY"/>
    <s v="1096L950-001"/>
    <n v="-1"/>
    <s v="Wave Mechanics"/>
    <n v="15"/>
    <s v="EA"/>
    <n v="2810"/>
    <s v="USD"/>
    <n v="1"/>
    <n v="2810"/>
    <n v="42150"/>
    <s v="VR000065"/>
    <x v="50"/>
    <s v="PO2425U10396"/>
    <d v="2024-10-25T00:00:00"/>
    <s v="Net 90 days"/>
    <s v="DAP"/>
    <s v="Yes"/>
    <m/>
    <m/>
    <n v="0"/>
    <n v="11"/>
    <n v="4"/>
    <n v="4"/>
    <m/>
    <m/>
    <m/>
    <d v="2025-12-26T00:00:00"/>
    <m/>
    <m/>
    <m/>
    <d v="2026-01-05T00:00:00"/>
    <m/>
    <m/>
    <m/>
    <m/>
    <m/>
    <m/>
    <n v="410404205"/>
    <s v="EL01-002019"/>
    <s v="EL01-002019"/>
    <n v="11240"/>
  </r>
  <r>
    <n v="538"/>
    <d v="2025-12-15T00:00:00"/>
    <n v="410404205"/>
    <s v="EL01-002019-5"/>
    <m/>
    <s v="SMR BASE LEFT ABSORBER ASSY"/>
    <s v="1096L950-001"/>
    <n v="-1"/>
    <s v="Wave Mechanics"/>
    <n v="15"/>
    <s v="EA"/>
    <n v="2810"/>
    <s v="USD"/>
    <n v="1"/>
    <n v="2810"/>
    <n v="42150"/>
    <s v="VR000065"/>
    <x v="50"/>
    <s v="PO2425U10396"/>
    <d v="2024-10-25T00:00:00"/>
    <s v="Net 90 days"/>
    <s v="DAP"/>
    <s v="Yes"/>
    <m/>
    <m/>
    <n v="0"/>
    <n v="0"/>
    <n v="15"/>
    <n v="6"/>
    <n v="9"/>
    <m/>
    <m/>
    <d v="2025-12-26T00:00:00"/>
    <d v="2026-01-09T00:00:00"/>
    <m/>
    <m/>
    <d v="2026-01-05T00:00:00"/>
    <m/>
    <m/>
    <m/>
    <m/>
    <m/>
    <m/>
    <n v="410404205"/>
    <s v="EL01-002019"/>
    <s v="EL01-002019"/>
    <n v="42150"/>
  </r>
  <r>
    <n v="539"/>
    <d v="2025-12-15T00:00:00"/>
    <n v="410404205"/>
    <s v="EL01-002019-6"/>
    <m/>
    <s v="SMR BASE LEFT ABSORBER ASSY"/>
    <s v="1096L950-001"/>
    <n v="-1"/>
    <s v="Wave Mechanics"/>
    <n v="15"/>
    <s v="EA"/>
    <n v="2810"/>
    <s v="USD"/>
    <n v="1"/>
    <n v="2810"/>
    <n v="42150"/>
    <s v="VR000065"/>
    <x v="50"/>
    <s v="PO2425U10396"/>
    <d v="2024-10-25T00:00:00"/>
    <s v="Net 90 days"/>
    <s v="DAP"/>
    <s v="Yes"/>
    <m/>
    <m/>
    <n v="0"/>
    <n v="0"/>
    <n v="15"/>
    <n v="6"/>
    <n v="9"/>
    <m/>
    <m/>
    <d v="2026-01-09T00:00:00"/>
    <d v="2026-01-23T00:00:00"/>
    <m/>
    <m/>
    <d v="2026-01-19T00:00:00"/>
    <m/>
    <m/>
    <m/>
    <m/>
    <m/>
    <m/>
    <n v="410404205"/>
    <s v="EL01-002019"/>
    <s v="EL01-002019"/>
    <n v="42150"/>
  </r>
  <r>
    <n v="540"/>
    <d v="2025-12-15T00:00:00"/>
    <n v="410404205"/>
    <s v="EL01-002019-7"/>
    <m/>
    <s v="SMR BASE LEFT ABSORBER ASSY"/>
    <s v="1096L950-001"/>
    <n v="-1"/>
    <s v="Wave Mechanics"/>
    <n v="15"/>
    <s v="EA"/>
    <n v="2810"/>
    <s v="USD"/>
    <n v="1"/>
    <n v="2810"/>
    <n v="42150"/>
    <s v="VR000065"/>
    <x v="50"/>
    <s v="PO2425U10396"/>
    <d v="2024-10-25T00:00:00"/>
    <s v="Net 90 days"/>
    <s v="DAP"/>
    <s v="Yes"/>
    <m/>
    <m/>
    <n v="0"/>
    <n v="0"/>
    <n v="15"/>
    <n v="11"/>
    <m/>
    <m/>
    <m/>
    <d v="2026-01-23T00:00:00"/>
    <m/>
    <m/>
    <m/>
    <d v="2026-02-02T00:00:00"/>
    <m/>
    <m/>
    <m/>
    <m/>
    <m/>
    <m/>
    <n v="410404205"/>
    <s v="EL01-002019"/>
    <s v="EL01-002019"/>
    <n v="42150"/>
  </r>
  <r>
    <n v="541"/>
    <d v="2025-12-15T00:00:00"/>
    <n v="410404205"/>
    <s v="EL01-002019-8"/>
    <m/>
    <s v="SMR BASE LEFT ABSORBER ASSY"/>
    <s v="1096L950-001"/>
    <n v="-1"/>
    <s v="Wave Mechanics"/>
    <n v="20"/>
    <s v="EA"/>
    <n v="2810"/>
    <s v="USD"/>
    <n v="1"/>
    <n v="2810"/>
    <n v="56200"/>
    <s v="VR000065"/>
    <x v="50"/>
    <s v="PO2425U10396"/>
    <d v="2024-10-25T00:00:00"/>
    <s v="Net 90 days"/>
    <s v="DAP"/>
    <s v="Yes"/>
    <m/>
    <m/>
    <n v="0"/>
    <n v="0"/>
    <n v="20"/>
    <n v="20"/>
    <m/>
    <m/>
    <m/>
    <d v="2026-02-28T00:00:00"/>
    <m/>
    <m/>
    <m/>
    <d v="2026-03-10T00:00:00"/>
    <m/>
    <m/>
    <m/>
    <m/>
    <m/>
    <m/>
    <n v="410404205"/>
    <s v="EL01-002019"/>
    <s v="EL01-002019"/>
    <n v="56200"/>
  </r>
  <r>
    <n v="542"/>
    <d v="2025-12-15T00:00:00"/>
    <n v="410404205"/>
    <s v="EL01-002019-9"/>
    <m/>
    <s v="SMR BASE LEFT ABSORBER ASSY"/>
    <s v="1096L950-001"/>
    <n v="-1"/>
    <s v="Wave Mechanics"/>
    <n v="20"/>
    <s v="EA"/>
    <n v="2810"/>
    <s v="USD"/>
    <n v="1"/>
    <n v="2810"/>
    <n v="56200"/>
    <s v="VR000065"/>
    <x v="50"/>
    <s v="PO2425U10396"/>
    <d v="2024-10-25T00:00:00"/>
    <s v="Net 90 days"/>
    <s v="DAP"/>
    <s v="Yes"/>
    <m/>
    <m/>
    <n v="0"/>
    <n v="0"/>
    <n v="20"/>
    <n v="20"/>
    <m/>
    <m/>
    <m/>
    <d v="2026-03-30T00:00:00"/>
    <m/>
    <m/>
    <m/>
    <d v="2026-04-09T00:00:00"/>
    <m/>
    <m/>
    <m/>
    <m/>
    <m/>
    <m/>
    <n v="410404205"/>
    <s v="EL01-002019"/>
    <s v="EL01-002019"/>
    <n v="56200"/>
  </r>
  <r>
    <n v="543"/>
    <d v="2024-12-15T00:00:00"/>
    <n v="410404198"/>
    <s v="EL01-002020-1"/>
    <m/>
    <s v="BRACKET"/>
    <s v="1096L953-001"/>
    <s v="-"/>
    <s v="Wave Mechanics"/>
    <n v="80"/>
    <s v="EA"/>
    <n v="15"/>
    <s v="USD"/>
    <n v="1"/>
    <n v="15"/>
    <n v="1200"/>
    <s v="VR000065"/>
    <x v="50"/>
    <s v="PO2425U10396"/>
    <d v="2024-10-25T00:00:00"/>
    <s v="Net 90 days"/>
    <s v="DAP"/>
    <s v="Yes"/>
    <m/>
    <m/>
    <n v="0"/>
    <n v="80"/>
    <n v="0"/>
    <m/>
    <m/>
    <m/>
    <m/>
    <m/>
    <m/>
    <m/>
    <m/>
    <d v="1900-01-09T00:00:00"/>
    <m/>
    <m/>
    <m/>
    <m/>
    <m/>
    <m/>
    <n v="410404198"/>
    <s v="EL01-002020"/>
    <s v="EL01-002020"/>
    <m/>
  </r>
  <r>
    <n v="544"/>
    <d v="2025-06-15T00:00:00"/>
    <n v="410404198"/>
    <s v="EL01-002020-2"/>
    <m/>
    <s v="BRACKET"/>
    <s v="1096L953-001"/>
    <s v="-"/>
    <s v="Wave Mechanics"/>
    <n v="180"/>
    <s v="EA"/>
    <n v="15"/>
    <s v="USD"/>
    <n v="1"/>
    <n v="15"/>
    <n v="2700"/>
    <s v="VR000065"/>
    <x v="50"/>
    <s v="PO2425U10396"/>
    <d v="2024-10-25T00:00:00"/>
    <s v="Net 90 days"/>
    <s v="DAP"/>
    <s v="Yes"/>
    <m/>
    <m/>
    <n v="0"/>
    <n v="180"/>
    <n v="0"/>
    <m/>
    <m/>
    <m/>
    <m/>
    <m/>
    <m/>
    <m/>
    <m/>
    <d v="1900-01-09T00:00:00"/>
    <m/>
    <m/>
    <m/>
    <m/>
    <m/>
    <m/>
    <n v="410404198"/>
    <s v="EL01-002020"/>
    <s v="EL01-002020"/>
    <m/>
  </r>
  <r>
    <n v="545"/>
    <d v="2025-09-15T00:00:00"/>
    <n v="410404198"/>
    <s v="EL01-002020-3"/>
    <m/>
    <s v="BRACKET"/>
    <s v="1096L953-001"/>
    <s v="-"/>
    <s v="Wave Mechanics"/>
    <n v="130"/>
    <s v="EA"/>
    <n v="15"/>
    <s v="USD"/>
    <n v="1"/>
    <n v="15"/>
    <n v="1950"/>
    <s v="VR000065"/>
    <x v="50"/>
    <s v="PO2425U10396"/>
    <d v="2024-10-25T00:00:00"/>
    <s v="Net 90 days"/>
    <s v="DAP"/>
    <s v="Yes"/>
    <m/>
    <m/>
    <n v="0"/>
    <n v="130"/>
    <n v="0"/>
    <m/>
    <m/>
    <m/>
    <m/>
    <m/>
    <m/>
    <m/>
    <m/>
    <d v="1900-01-09T00:00:00"/>
    <m/>
    <m/>
    <m/>
    <m/>
    <m/>
    <m/>
    <n v="410404198"/>
    <s v="EL01-002020"/>
    <s v="EL01-002020"/>
    <m/>
  </r>
  <r>
    <n v="546"/>
    <d v="2025-12-15T00:00:00"/>
    <n v="410404198"/>
    <s v="EL01-002020-4"/>
    <m/>
    <s v="BRACKET"/>
    <s v="1096L953-001"/>
    <s v="-"/>
    <s v="Wave Mechanics"/>
    <n v="130"/>
    <s v="EA"/>
    <n v="15"/>
    <s v="USD"/>
    <n v="1"/>
    <n v="15"/>
    <n v="1950"/>
    <s v="VR000065"/>
    <x v="50"/>
    <s v="PO2425U10396"/>
    <d v="2024-10-25T00:00:00"/>
    <s v="Net 90 days"/>
    <s v="DAP"/>
    <s v="Yes"/>
    <m/>
    <m/>
    <n v="0"/>
    <n v="130"/>
    <n v="0"/>
    <m/>
    <m/>
    <m/>
    <m/>
    <m/>
    <m/>
    <m/>
    <m/>
    <d v="1900-01-09T00:00:00"/>
    <m/>
    <m/>
    <m/>
    <m/>
    <m/>
    <m/>
    <n v="410404198"/>
    <s v="EL01-002020"/>
    <s v="EL01-002020"/>
    <m/>
  </r>
  <r>
    <n v="547"/>
    <d v="2024-12-15T00:00:00"/>
    <n v="410404200"/>
    <s v="EL01-002023-1"/>
    <m/>
    <s v="SMR BASE RIGHT ABSORBER ASSY"/>
    <s v="1096L960-001"/>
    <n v="-1"/>
    <s v="Wave Mechanics"/>
    <n v="5"/>
    <s v="EA"/>
    <n v="2810"/>
    <s v="USD"/>
    <n v="1"/>
    <n v="2810"/>
    <n v="14050"/>
    <s v="VR000065"/>
    <x v="50"/>
    <s v="PO2425U10396"/>
    <d v="2024-10-25T00:00:00"/>
    <s v="Net 90 days"/>
    <s v="DAP"/>
    <s v="Yes"/>
    <m/>
    <m/>
    <n v="0"/>
    <n v="5"/>
    <n v="0"/>
    <m/>
    <m/>
    <m/>
    <m/>
    <m/>
    <m/>
    <m/>
    <m/>
    <d v="1900-01-09T00:00:00"/>
    <m/>
    <m/>
    <m/>
    <m/>
    <m/>
    <m/>
    <n v="410404200"/>
    <s v="EL01-002023"/>
    <s v="EL01-002023"/>
    <m/>
  </r>
  <r>
    <n v="548"/>
    <d v="2025-06-15T00:00:00"/>
    <n v="410404200"/>
    <s v="EL01-002023-2"/>
    <m/>
    <s v="SMR BASE RIGHT ABSORBER ASSY"/>
    <s v="1096L960-001"/>
    <n v="-1"/>
    <s v="Wave Mechanics"/>
    <n v="6"/>
    <s v="EA"/>
    <n v="2810"/>
    <s v="USD"/>
    <n v="1"/>
    <n v="2810"/>
    <n v="16860"/>
    <s v="VR000065"/>
    <x v="50"/>
    <s v="PO2425U10396"/>
    <d v="2024-10-25T00:00:00"/>
    <s v="Net 90 days"/>
    <s v="DAP"/>
    <s v="Yes"/>
    <m/>
    <m/>
    <n v="0"/>
    <n v="6"/>
    <n v="0"/>
    <m/>
    <m/>
    <m/>
    <m/>
    <m/>
    <m/>
    <m/>
    <m/>
    <d v="1900-01-09T00:00:00"/>
    <m/>
    <m/>
    <m/>
    <m/>
    <m/>
    <m/>
    <n v="410404200"/>
    <s v="EL01-002023"/>
    <s v="EL01-002023"/>
    <m/>
  </r>
  <r>
    <n v="549"/>
    <d v="2025-09-15T00:00:00"/>
    <n v="410404200"/>
    <s v="EL01-002023-3"/>
    <m/>
    <s v="SMR BASE RIGHT ABSORBER ASSY"/>
    <s v="1096L960-001"/>
    <n v="-1"/>
    <s v="Wave Mechanics"/>
    <n v="9"/>
    <s v="EA"/>
    <n v="2810"/>
    <s v="USD"/>
    <n v="1"/>
    <n v="2810"/>
    <n v="25290"/>
    <s v="VR000065"/>
    <x v="50"/>
    <s v="PO2425U10396"/>
    <d v="2024-10-25T00:00:00"/>
    <s v="Net 90 days"/>
    <s v="DAP"/>
    <s v="Yes"/>
    <m/>
    <m/>
    <n v="0"/>
    <n v="9"/>
    <n v="0"/>
    <m/>
    <m/>
    <m/>
    <m/>
    <m/>
    <m/>
    <m/>
    <m/>
    <d v="1900-01-09T00:00:00"/>
    <m/>
    <m/>
    <m/>
    <m/>
    <m/>
    <m/>
    <n v="410404200"/>
    <s v="EL01-002023"/>
    <s v="EL01-002023"/>
    <m/>
  </r>
  <r>
    <n v="550"/>
    <d v="2025-12-15T00:00:00"/>
    <n v="410404200"/>
    <s v="EL01-002023-4"/>
    <m/>
    <s v="SMR BASE RIGHT ABSORBER ASSY"/>
    <s v="1096L960-001"/>
    <n v="-1"/>
    <s v="Wave Mechanics"/>
    <n v="10"/>
    <s v="EA"/>
    <n v="2810"/>
    <s v="USD"/>
    <n v="1"/>
    <n v="2810"/>
    <n v="28100"/>
    <s v="VR000065"/>
    <x v="50"/>
    <s v="PO2425U10396"/>
    <d v="2024-10-25T00:00:00"/>
    <s v="Net 90 days"/>
    <s v="DAP"/>
    <s v="Yes"/>
    <m/>
    <m/>
    <n v="0"/>
    <n v="10"/>
    <n v="0"/>
    <m/>
    <m/>
    <m/>
    <m/>
    <m/>
    <m/>
    <m/>
    <m/>
    <d v="1900-01-09T00:00:00"/>
    <m/>
    <m/>
    <m/>
    <n v="4"/>
    <m/>
    <m/>
    <n v="410404200"/>
    <s v="EL01-002023"/>
    <s v="EL01-002023"/>
    <m/>
  </r>
  <r>
    <n v="551"/>
    <d v="2025-12-15T00:00:00"/>
    <n v="410404200"/>
    <s v="EL01-002023-5"/>
    <m/>
    <s v="SMR BASE RIGHT ABSORBER ASSY"/>
    <s v="1096L960-001"/>
    <n v="-1"/>
    <s v="Wave Mechanics"/>
    <n v="20"/>
    <s v="EA"/>
    <n v="2810"/>
    <s v="USD"/>
    <n v="1"/>
    <n v="2810"/>
    <n v="56200"/>
    <s v="VR000065"/>
    <x v="50"/>
    <s v="PO2425U10396"/>
    <d v="2024-10-25T00:00:00"/>
    <s v="Net 90 days"/>
    <s v="DAP"/>
    <s v="Yes"/>
    <m/>
    <m/>
    <n v="0"/>
    <n v="9"/>
    <n v="11"/>
    <n v="11"/>
    <m/>
    <m/>
    <m/>
    <d v="2025-12-26T00:00:00"/>
    <m/>
    <m/>
    <m/>
    <d v="2026-01-05T00:00:00"/>
    <m/>
    <m/>
    <m/>
    <m/>
    <m/>
    <m/>
    <n v="410404200"/>
    <s v="EL01-002023"/>
    <s v="EL01-002023"/>
    <n v="30910"/>
  </r>
  <r>
    <n v="552"/>
    <d v="2025-12-15T00:00:00"/>
    <n v="410404200"/>
    <s v="EL01-002023-6"/>
    <m/>
    <s v="SMR BASE RIGHT ABSORBER ASSY"/>
    <s v="1096L960-001"/>
    <n v="-1"/>
    <s v="Wave Mechanics"/>
    <n v="15"/>
    <s v="EA"/>
    <n v="2810"/>
    <s v="USD"/>
    <n v="1"/>
    <n v="2810"/>
    <n v="42150"/>
    <s v="VR000065"/>
    <x v="50"/>
    <s v="PO2425U10396"/>
    <d v="2024-10-25T00:00:00"/>
    <s v="Net 90 days"/>
    <s v="DAP"/>
    <s v="Yes"/>
    <m/>
    <m/>
    <n v="0"/>
    <n v="0"/>
    <n v="15"/>
    <n v="1"/>
    <n v="14"/>
    <m/>
    <m/>
    <d v="2025-12-26T00:00:00"/>
    <d v="2026-01-09T00:00:00"/>
    <m/>
    <m/>
    <d v="2026-01-05T00:00:00"/>
    <m/>
    <m/>
    <m/>
    <m/>
    <m/>
    <m/>
    <n v="410404200"/>
    <s v="EL01-002023"/>
    <s v="EL01-002023"/>
    <n v="42150"/>
  </r>
  <r>
    <n v="553"/>
    <d v="2025-12-15T00:00:00"/>
    <n v="410404200"/>
    <s v="EL01-002023-7"/>
    <m/>
    <s v="SMR BASE RIGHT ABSORBER ASSY"/>
    <s v="1096L960-001"/>
    <n v="-1"/>
    <s v="Wave Mechanics"/>
    <n v="15"/>
    <s v="EA"/>
    <n v="2810"/>
    <s v="USD"/>
    <n v="1"/>
    <n v="2810"/>
    <n v="42150"/>
    <s v="VR000065"/>
    <x v="50"/>
    <s v="PO2425U10396"/>
    <d v="2024-10-25T00:00:00"/>
    <s v="Net 90 days"/>
    <s v="DAP"/>
    <s v="Yes"/>
    <m/>
    <m/>
    <n v="0"/>
    <n v="0"/>
    <n v="15"/>
    <n v="1"/>
    <m/>
    <m/>
    <m/>
    <d v="2026-01-09T00:00:00"/>
    <m/>
    <m/>
    <m/>
    <d v="2026-01-19T00:00:00"/>
    <m/>
    <m/>
    <m/>
    <m/>
    <m/>
    <m/>
    <n v="410404200"/>
    <s v="EL01-002023"/>
    <s v="EL01-002023"/>
    <n v="42150"/>
  </r>
  <r>
    <n v="554"/>
    <d v="2025-12-15T00:00:00"/>
    <n v="410404200"/>
    <s v="EL01-002023-8"/>
    <m/>
    <s v="SMR BASE RIGHT ABSORBER ASSY"/>
    <s v="1096L960-001"/>
    <n v="-1"/>
    <s v="Wave Mechanics"/>
    <n v="15"/>
    <s v="EA"/>
    <n v="2810"/>
    <s v="USD"/>
    <n v="1"/>
    <n v="2810"/>
    <n v="42150"/>
    <s v="VR000065"/>
    <x v="50"/>
    <s v="PO2425U10396"/>
    <d v="2024-10-25T00:00:00"/>
    <s v="Net 90 days"/>
    <s v="DAP"/>
    <s v="Yes"/>
    <m/>
    <m/>
    <n v="0"/>
    <n v="0"/>
    <n v="15"/>
    <n v="15"/>
    <m/>
    <m/>
    <m/>
    <d v="2026-01-30T00:00:00"/>
    <m/>
    <m/>
    <m/>
    <d v="2026-02-09T00:00:00"/>
    <m/>
    <m/>
    <m/>
    <m/>
    <m/>
    <m/>
    <n v="410404200"/>
    <s v="EL01-002023"/>
    <s v="EL01-002023"/>
    <n v="42150"/>
  </r>
  <r>
    <n v="555"/>
    <d v="2025-12-15T00:00:00"/>
    <n v="410404200"/>
    <s v="EL01-002023-9"/>
    <m/>
    <s v="SMR BASE RIGHT ABSORBER ASSY"/>
    <s v="1096L960-001"/>
    <n v="-1"/>
    <s v="Wave Mechanics"/>
    <n v="15"/>
    <s v="EA"/>
    <n v="2810"/>
    <s v="USD"/>
    <n v="1"/>
    <n v="2810"/>
    <n v="42150"/>
    <s v="VR000065"/>
    <x v="50"/>
    <s v="PO2425U10396"/>
    <d v="2024-10-25T00:00:00"/>
    <s v="Net 90 days"/>
    <s v="DAP"/>
    <s v="Yes"/>
    <m/>
    <m/>
    <n v="0"/>
    <n v="0"/>
    <n v="15"/>
    <n v="5"/>
    <n v="10"/>
    <m/>
    <m/>
    <d v="2026-01-30T00:00:00"/>
    <d v="2026-02-28T00:00:00"/>
    <m/>
    <m/>
    <d v="2026-02-09T00:00:00"/>
    <m/>
    <m/>
    <m/>
    <m/>
    <m/>
    <m/>
    <n v="410404200"/>
    <s v="EL01-002023"/>
    <s v="EL01-002023"/>
    <n v="42150"/>
  </r>
  <r>
    <n v="556"/>
    <d v="2025-12-15T00:00:00"/>
    <n v="410404200"/>
    <s v="EL01-002023-10"/>
    <m/>
    <s v="SMR BASE RIGHT ABSORBER ASSY"/>
    <s v="1096L960-001"/>
    <n v="-1"/>
    <s v="Wave Mechanics"/>
    <n v="20"/>
    <s v="EA"/>
    <n v="2810"/>
    <s v="USD"/>
    <n v="1"/>
    <n v="2810"/>
    <n v="56200"/>
    <s v="VR000065"/>
    <x v="50"/>
    <s v="PO2425U10396"/>
    <d v="2024-10-25T00:00:00"/>
    <s v="Net 90 days"/>
    <s v="DAP"/>
    <s v="Yes"/>
    <m/>
    <m/>
    <n v="0"/>
    <n v="0"/>
    <n v="20"/>
    <n v="20"/>
    <m/>
    <m/>
    <m/>
    <d v="2026-03-30T00:00:00"/>
    <m/>
    <m/>
    <m/>
    <d v="2026-04-09T00:00:00"/>
    <m/>
    <m/>
    <m/>
    <m/>
    <m/>
    <m/>
    <n v="410404200"/>
    <s v="EL01-002023"/>
    <s v="EL01-002023"/>
    <n v="56200"/>
  </r>
  <r>
    <n v="557"/>
    <d v="2024-12-15T00:00:00"/>
    <n v="405901255"/>
    <s v="EL01-001896-1"/>
    <m/>
    <s v="COVER"/>
    <s v="1094R482-001"/>
    <s v="-"/>
    <s v="Wave Mechanics"/>
    <n v="267"/>
    <s v="EA"/>
    <n v="4"/>
    <s v="USD"/>
    <n v="1"/>
    <n v="4"/>
    <n v="1068"/>
    <s v="VR000065"/>
    <x v="50"/>
    <s v="PO2425U10396"/>
    <d v="2024-10-25T00:00:00"/>
    <s v="Net 90 days"/>
    <s v="DAP"/>
    <s v="Yes"/>
    <m/>
    <m/>
    <n v="0"/>
    <n v="267"/>
    <n v="0"/>
    <m/>
    <m/>
    <m/>
    <m/>
    <m/>
    <m/>
    <m/>
    <m/>
    <d v="1900-01-09T00:00:00"/>
    <m/>
    <m/>
    <m/>
    <m/>
    <m/>
    <m/>
    <n v="405901255"/>
    <s v="EL01-001896"/>
    <s v="EL01-001896"/>
    <m/>
  </r>
  <r>
    <n v="558"/>
    <d v="2025-06-15T00:00:00"/>
    <n v="405901255"/>
    <s v="EL01-001896-2"/>
    <m/>
    <s v="COVER"/>
    <s v="1094R482-001"/>
    <s v="-"/>
    <s v="Wave Mechanics"/>
    <n v="267"/>
    <s v="EA"/>
    <n v="4"/>
    <s v="USD"/>
    <n v="1"/>
    <n v="4"/>
    <n v="1068"/>
    <s v="VR000065"/>
    <x v="50"/>
    <s v="PO2425U10396"/>
    <d v="2024-10-25T00:00:00"/>
    <s v="Net 90 days"/>
    <s v="DAP"/>
    <s v="Yes"/>
    <m/>
    <m/>
    <n v="0"/>
    <n v="267"/>
    <n v="0"/>
    <m/>
    <m/>
    <m/>
    <m/>
    <m/>
    <m/>
    <m/>
    <m/>
    <d v="1900-01-09T00:00:00"/>
    <m/>
    <m/>
    <m/>
    <m/>
    <m/>
    <m/>
    <n v="405901255"/>
    <s v="EL01-001896"/>
    <s v="EL01-001896"/>
    <m/>
  </r>
  <r>
    <n v="559"/>
    <d v="2025-09-15T00:00:00"/>
    <n v="405901255"/>
    <s v="EL01-001896-3"/>
    <m/>
    <s v="COVER"/>
    <s v="1094R482-001"/>
    <s v="-"/>
    <s v="Wave Mechanics"/>
    <n v="267"/>
    <s v="EA"/>
    <n v="4"/>
    <s v="USD"/>
    <n v="1"/>
    <n v="4"/>
    <n v="1068"/>
    <s v="VR000065"/>
    <x v="50"/>
    <s v="PO2425U10396"/>
    <d v="2024-10-25T00:00:00"/>
    <s v="Net 90 days"/>
    <s v="DAP"/>
    <s v="Yes"/>
    <m/>
    <m/>
    <n v="0"/>
    <n v="267"/>
    <n v="0"/>
    <m/>
    <m/>
    <m/>
    <m/>
    <m/>
    <m/>
    <m/>
    <m/>
    <d v="1900-01-09T00:00:00"/>
    <m/>
    <m/>
    <m/>
    <m/>
    <m/>
    <m/>
    <n v="405901255"/>
    <s v="EL01-001896"/>
    <s v="EL01-001896"/>
    <m/>
  </r>
  <r>
    <n v="560"/>
    <d v="2025-12-15T00:00:00"/>
    <n v="405901255"/>
    <s v="EL01-001896-4"/>
    <m/>
    <s v="COVER"/>
    <s v="1094R482-001"/>
    <s v="-"/>
    <s v="Wave Mechanics"/>
    <n v="266"/>
    <s v="EA"/>
    <n v="4"/>
    <s v="USD"/>
    <n v="1"/>
    <n v="4"/>
    <n v="1064"/>
    <s v="VR000065"/>
    <x v="50"/>
    <s v="PO2425U10396"/>
    <d v="2024-10-25T00:00:00"/>
    <s v="Net 90 days"/>
    <s v="DAP"/>
    <s v="Yes"/>
    <m/>
    <m/>
    <n v="0"/>
    <n v="266"/>
    <n v="0"/>
    <m/>
    <m/>
    <m/>
    <m/>
    <m/>
    <m/>
    <m/>
    <m/>
    <d v="1900-01-09T00:00:00"/>
    <m/>
    <m/>
    <m/>
    <m/>
    <m/>
    <m/>
    <n v="405901255"/>
    <s v="EL01-001896"/>
    <s v="EL01-001896"/>
    <m/>
  </r>
  <r>
    <n v="561"/>
    <d v="2024-12-15T00:00:00"/>
    <n v="409627780"/>
    <s v="EL01-001897-1"/>
    <m/>
    <s v="COVER"/>
    <s v="1094T791-001"/>
    <s v="A"/>
    <s v="Wave Mechanics"/>
    <n v="284"/>
    <s v="EA"/>
    <n v="250"/>
    <s v="USD"/>
    <n v="1"/>
    <n v="250"/>
    <n v="71000"/>
    <s v="VR000065"/>
    <x v="50"/>
    <s v="PO2425U10396"/>
    <d v="2024-10-25T00:00:00"/>
    <s v="Net 90 days"/>
    <s v="DAP"/>
    <s v="Yes"/>
    <m/>
    <m/>
    <n v="0"/>
    <n v="284"/>
    <n v="0"/>
    <m/>
    <m/>
    <m/>
    <m/>
    <m/>
    <m/>
    <m/>
    <m/>
    <d v="1900-01-09T00:00:00"/>
    <m/>
    <m/>
    <m/>
    <m/>
    <m/>
    <m/>
    <n v="409627780"/>
    <s v="EL01-001897"/>
    <s v="EL01-001897"/>
    <m/>
  </r>
  <r>
    <n v="562"/>
    <d v="2025-06-15T00:00:00"/>
    <n v="409627780"/>
    <s v="EL01-001897-2"/>
    <m/>
    <s v="COVER"/>
    <s v="1094T791-001"/>
    <s v="A"/>
    <s v="Wave Mechanics"/>
    <n v="108"/>
    <s v="EA"/>
    <n v="250"/>
    <s v="USD"/>
    <n v="1"/>
    <n v="250"/>
    <n v="27000"/>
    <s v="VR000065"/>
    <x v="50"/>
    <s v="PO2425U10396"/>
    <d v="2024-10-25T00:00:00"/>
    <s v="Net 90 days"/>
    <s v="DAP"/>
    <s v="Yes"/>
    <m/>
    <m/>
    <n v="0"/>
    <n v="108"/>
    <n v="185"/>
    <n v="185"/>
    <m/>
    <m/>
    <m/>
    <d v="2025-12-15T00:00:00"/>
    <m/>
    <m/>
    <m/>
    <d v="2025-12-25T00:00:00"/>
    <m/>
    <m/>
    <m/>
    <n v="120"/>
    <m/>
    <m/>
    <n v="409627780"/>
    <s v="EL01-001897"/>
    <s v="EL01-001897"/>
    <n v="46250"/>
  </r>
  <r>
    <n v="563"/>
    <d v="2025-09-15T00:00:00"/>
    <n v="409627780"/>
    <s v="EL01-001897-3"/>
    <m/>
    <s v="COVER"/>
    <s v="1094T791-001"/>
    <s v="A"/>
    <s v="Wave Mechanics"/>
    <n v="43"/>
    <s v="EA"/>
    <n v="250"/>
    <s v="USD"/>
    <n v="1"/>
    <n v="250"/>
    <n v="10750"/>
    <s v="VR000065"/>
    <x v="50"/>
    <s v="PO2425U10396"/>
    <d v="2024-10-25T00:00:00"/>
    <s v="Net 90 days"/>
    <s v="DAP"/>
    <s v="Yes"/>
    <m/>
    <m/>
    <n v="0"/>
    <n v="43"/>
    <n v="0"/>
    <m/>
    <m/>
    <m/>
    <m/>
    <m/>
    <m/>
    <m/>
    <m/>
    <d v="1900-01-09T00:00:00"/>
    <m/>
    <m/>
    <m/>
    <m/>
    <m/>
    <m/>
    <n v="409627780"/>
    <s v="EL01-001897"/>
    <s v="EL01-001897"/>
    <m/>
  </r>
  <r>
    <n v="564"/>
    <d v="2025-12-15T00:00:00"/>
    <n v="409627780"/>
    <s v="EL01-001897-4"/>
    <m/>
    <s v="COVER"/>
    <s v="1094T791-001"/>
    <s v="A"/>
    <s v="Wave Mechanics"/>
    <n v="80"/>
    <s v="EA"/>
    <n v="250"/>
    <s v="USD"/>
    <n v="1"/>
    <n v="250"/>
    <n v="20000"/>
    <s v="VR000065"/>
    <x v="50"/>
    <s v="PO2425U10396"/>
    <d v="2024-10-25T00:00:00"/>
    <s v="Net 90 days"/>
    <s v="DAP"/>
    <s v="Yes"/>
    <m/>
    <m/>
    <n v="0"/>
    <n v="80"/>
    <n v="0"/>
    <m/>
    <m/>
    <m/>
    <m/>
    <m/>
    <m/>
    <m/>
    <m/>
    <d v="1900-01-09T00:00:00"/>
    <m/>
    <m/>
    <m/>
    <m/>
    <m/>
    <m/>
    <n v="409627780"/>
    <s v="EL01-001897"/>
    <s v="EL01-001897"/>
    <m/>
  </r>
  <r>
    <n v="565"/>
    <d v="2025-12-15T00:00:00"/>
    <n v="409627780"/>
    <s v="EL01-001897-5"/>
    <m/>
    <s v="COVER"/>
    <s v="1094T791-001"/>
    <s v="A"/>
    <s v="Wave Mechanics"/>
    <n v="80"/>
    <s v="EA"/>
    <n v="250"/>
    <s v="USD"/>
    <n v="1"/>
    <n v="250"/>
    <n v="20000"/>
    <s v="VR000065"/>
    <x v="50"/>
    <s v="PO2425U10396"/>
    <d v="2024-10-25T00:00:00"/>
    <s v="Net 90 days"/>
    <s v="DAP"/>
    <s v="Yes"/>
    <m/>
    <m/>
    <n v="0"/>
    <n v="80"/>
    <n v="0"/>
    <m/>
    <m/>
    <m/>
    <m/>
    <m/>
    <m/>
    <m/>
    <m/>
    <d v="1900-01-09T00:00:00"/>
    <m/>
    <m/>
    <m/>
    <m/>
    <m/>
    <m/>
    <n v="409627780"/>
    <s v="EL01-001897"/>
    <s v="EL01-001897"/>
    <m/>
  </r>
  <r>
    <n v="566"/>
    <d v="2025-10-30T00:00:00"/>
    <n v="409627780"/>
    <s v="EL01-001897-6"/>
    <m/>
    <s v="COVER"/>
    <s v="1094T791-001"/>
    <s v="A"/>
    <s v="Wave Mechanics"/>
    <n v="21"/>
    <s v="EA"/>
    <n v="250"/>
    <s v="USD"/>
    <n v="1"/>
    <n v="250"/>
    <n v="5250"/>
    <s v="VR000065"/>
    <x v="50"/>
    <s v="PO2425U10396"/>
    <d v="2024-10-25T00:00:00"/>
    <s v="Net 90 days"/>
    <s v="DAP"/>
    <s v="Yes"/>
    <m/>
    <m/>
    <n v="0"/>
    <n v="21"/>
    <n v="0"/>
    <m/>
    <m/>
    <m/>
    <m/>
    <m/>
    <m/>
    <m/>
    <m/>
    <d v="1900-01-09T00:00:00"/>
    <m/>
    <m/>
    <m/>
    <m/>
    <m/>
    <m/>
    <n v="409627780"/>
    <s v="EL01-001897"/>
    <s v="EL01-001897"/>
    <m/>
  </r>
  <r>
    <n v="567"/>
    <d v="2025-11-30T00:00:00"/>
    <n v="409627780"/>
    <s v="EL01-001897-7"/>
    <m/>
    <s v="COVER"/>
    <s v="1094T791-001"/>
    <s v="A"/>
    <s v="Wave Mechanics"/>
    <n v="185"/>
    <s v="EA"/>
    <n v="250"/>
    <s v="USD"/>
    <n v="1"/>
    <n v="250"/>
    <n v="46250"/>
    <s v="VR000065"/>
    <x v="50"/>
    <s v="PO2425U10396"/>
    <d v="2024-10-25T00:00:00"/>
    <s v="Net 90 days"/>
    <s v="DAP"/>
    <s v="Yes"/>
    <m/>
    <m/>
    <n v="0"/>
    <n v="185"/>
    <n v="0"/>
    <m/>
    <m/>
    <m/>
    <m/>
    <m/>
    <m/>
    <m/>
    <m/>
    <d v="1900-01-09T00:00:00"/>
    <m/>
    <m/>
    <m/>
    <m/>
    <m/>
    <m/>
    <n v="409627780"/>
    <s v="EL01-001897"/>
    <s v="EL01-001897"/>
    <m/>
  </r>
  <r>
    <n v="568"/>
    <d v="2025-12-30T00:00:00"/>
    <n v="409627780"/>
    <s v="EL01-001897-8"/>
    <m/>
    <s v="COVER"/>
    <s v="1094T791-001"/>
    <s v="A"/>
    <s v="Wave Mechanics"/>
    <n v="266"/>
    <s v="EA"/>
    <n v="250"/>
    <s v="USD"/>
    <n v="1"/>
    <n v="250"/>
    <n v="66500"/>
    <s v="VR000065"/>
    <x v="50"/>
    <s v="PO2425U10396"/>
    <d v="2024-10-25T00:00:00"/>
    <s v="Net 90 days"/>
    <s v="DAP"/>
    <s v="Yes"/>
    <m/>
    <m/>
    <n v="0"/>
    <n v="120"/>
    <n v="146"/>
    <n v="146"/>
    <m/>
    <m/>
    <m/>
    <d v="2025-12-15T00:00:00"/>
    <m/>
    <m/>
    <m/>
    <d v="2025-12-25T00:00:00"/>
    <m/>
    <m/>
    <m/>
    <m/>
    <m/>
    <m/>
    <n v="409627780"/>
    <s v="EL01-001897"/>
    <s v="EL01-001897"/>
    <n v="36500"/>
  </r>
  <r>
    <n v="569"/>
    <d v="2024-12-15T00:00:00"/>
    <n v="414194266"/>
    <s v="EL01-001900-1"/>
    <m/>
    <s v="BRACKET"/>
    <s v="1094V798-001"/>
    <s v="-"/>
    <s v="Wave Mechanics"/>
    <n v="320"/>
    <s v="EA"/>
    <n v="21"/>
    <s v="USD"/>
    <n v="1"/>
    <n v="21"/>
    <n v="6720"/>
    <s v="VR000065"/>
    <x v="50"/>
    <s v="PO2425U10396"/>
    <d v="2024-10-25T00:00:00"/>
    <s v="Net 90 days"/>
    <s v="DAP"/>
    <s v="Yes"/>
    <m/>
    <m/>
    <n v="0"/>
    <n v="320"/>
    <n v="0"/>
    <m/>
    <m/>
    <m/>
    <m/>
    <m/>
    <m/>
    <m/>
    <m/>
    <d v="1900-01-09T00:00:00"/>
    <m/>
    <m/>
    <m/>
    <m/>
    <m/>
    <m/>
    <n v="414194266"/>
    <s v="EL01-001900"/>
    <s v="EL01-001900"/>
    <m/>
  </r>
  <r>
    <n v="570"/>
    <d v="2025-06-15T00:00:00"/>
    <n v="414194266"/>
    <s v="EL01-001900-2"/>
    <m/>
    <s v="BRACKET"/>
    <s v="1094V798-001"/>
    <s v="-"/>
    <s v="Wave Mechanics"/>
    <n v="174"/>
    <s v="EA"/>
    <n v="21"/>
    <s v="USD"/>
    <n v="1"/>
    <n v="21"/>
    <n v="3654"/>
    <s v="VR000065"/>
    <x v="50"/>
    <s v="PO2425U10396"/>
    <d v="2024-10-25T00:00:00"/>
    <s v="Net 90 days"/>
    <s v="DAP"/>
    <s v="Yes"/>
    <m/>
    <m/>
    <n v="0"/>
    <n v="174"/>
    <n v="0"/>
    <m/>
    <m/>
    <m/>
    <m/>
    <m/>
    <m/>
    <m/>
    <m/>
    <d v="1900-01-09T00:00:00"/>
    <m/>
    <m/>
    <m/>
    <m/>
    <m/>
    <m/>
    <n v="414194266"/>
    <s v="EL01-001900"/>
    <s v="EL01-001900"/>
    <m/>
  </r>
  <r>
    <n v="571"/>
    <d v="2025-09-15T00:00:00"/>
    <n v="414194266"/>
    <s v="EL01-001900-3"/>
    <m/>
    <s v="BRACKET"/>
    <s v="1094V798-001"/>
    <s v="-"/>
    <s v="Wave Mechanics"/>
    <n v="40"/>
    <s v="EA"/>
    <n v="21"/>
    <s v="USD"/>
    <n v="1"/>
    <n v="21"/>
    <n v="840"/>
    <s v="VR000065"/>
    <x v="50"/>
    <s v="PO2425U10396"/>
    <d v="2024-10-25T00:00:00"/>
    <s v="Net 90 days"/>
    <s v="DAP"/>
    <s v="Yes"/>
    <m/>
    <m/>
    <n v="0"/>
    <n v="40"/>
    <n v="0"/>
    <m/>
    <m/>
    <m/>
    <m/>
    <m/>
    <m/>
    <m/>
    <m/>
    <d v="1900-01-09T00:00:00"/>
    <m/>
    <m/>
    <m/>
    <m/>
    <m/>
    <m/>
    <n v="414194266"/>
    <s v="EL01-001900"/>
    <s v="EL01-001900"/>
    <m/>
  </r>
  <r>
    <n v="572"/>
    <d v="2025-12-15T00:00:00"/>
    <n v="414194266"/>
    <s v="EL01-001900-4"/>
    <m/>
    <s v="BRACKET"/>
    <s v="1094V798-001"/>
    <s v="-"/>
    <s v="Wave Mechanics"/>
    <n v="405"/>
    <s v="EA"/>
    <n v="21"/>
    <s v="USD"/>
    <n v="1"/>
    <n v="21"/>
    <n v="8505"/>
    <s v="VR000065"/>
    <x v="50"/>
    <s v="PO2425U10396"/>
    <d v="2024-10-25T00:00:00"/>
    <s v="Net 90 days"/>
    <s v="DAP"/>
    <s v="Yes"/>
    <m/>
    <m/>
    <n v="0"/>
    <n v="405"/>
    <n v="0"/>
    <m/>
    <m/>
    <m/>
    <m/>
    <m/>
    <m/>
    <m/>
    <m/>
    <d v="1900-01-09T00:00:00"/>
    <m/>
    <m/>
    <m/>
    <m/>
    <m/>
    <m/>
    <n v="414194266"/>
    <s v="EL01-001900"/>
    <s v="EL01-001900"/>
    <m/>
  </r>
  <r>
    <n v="573"/>
    <d v="2025-12-15T00:00:00"/>
    <n v="414194266"/>
    <s v="EL01-001900-5"/>
    <m/>
    <s v="BRACKET"/>
    <s v="1094V798-001"/>
    <s v="-"/>
    <s v="Wave Mechanics"/>
    <n v="129"/>
    <s v="EA"/>
    <n v="21"/>
    <s v="USD"/>
    <n v="1"/>
    <n v="21"/>
    <n v="2709"/>
    <s v="VR000065"/>
    <x v="50"/>
    <s v="PO2425U10396"/>
    <d v="2024-10-25T00:00:00"/>
    <s v="Net 90 days"/>
    <s v="DAP"/>
    <s v="Yes"/>
    <m/>
    <m/>
    <n v="0"/>
    <n v="129"/>
    <n v="0"/>
    <m/>
    <m/>
    <m/>
    <m/>
    <m/>
    <m/>
    <m/>
    <m/>
    <d v="1900-01-09T00:00:00"/>
    <m/>
    <m/>
    <m/>
    <m/>
    <m/>
    <m/>
    <n v="414194266"/>
    <s v="EL01-001900"/>
    <s v="EL01-001900"/>
    <m/>
  </r>
  <r>
    <n v="574"/>
    <d v="2025-12-15T00:00:00"/>
    <n v="414194266"/>
    <s v="EL01-001900-6"/>
    <m/>
    <s v="BRACKET"/>
    <s v="1094V798-001"/>
    <s v="-"/>
    <s v="Wave Mechanics"/>
    <n v="175"/>
    <s v="EA"/>
    <n v="21"/>
    <s v="USD"/>
    <n v="1"/>
    <n v="21"/>
    <n v="3675"/>
    <s v="VR000065"/>
    <x v="50"/>
    <s v="PO2425U10396"/>
    <d v="2024-10-25T00:00:00"/>
    <s v="Net 90 days"/>
    <s v="DAP"/>
    <s v="Yes"/>
    <m/>
    <m/>
    <n v="0"/>
    <n v="175"/>
    <n v="0"/>
    <m/>
    <m/>
    <m/>
    <m/>
    <m/>
    <m/>
    <m/>
    <m/>
    <d v="1900-01-09T00:00:00"/>
    <m/>
    <m/>
    <m/>
    <m/>
    <m/>
    <m/>
    <n v="414194266"/>
    <s v="EL01-001900"/>
    <s v="EL01-001900"/>
    <m/>
  </r>
  <r>
    <n v="575"/>
    <d v="2025-12-15T00:00:00"/>
    <n v="414194266"/>
    <s v="EL01-001900-7"/>
    <m/>
    <s v="BRACKET"/>
    <s v="1094V798-001"/>
    <s v="-"/>
    <s v="Wave Mechanics"/>
    <n v="175"/>
    <s v="EA"/>
    <n v="21"/>
    <s v="USD"/>
    <n v="1"/>
    <n v="21"/>
    <n v="3675"/>
    <s v="VR000065"/>
    <x v="50"/>
    <s v="PO2425U10396"/>
    <d v="2024-10-25T00:00:00"/>
    <s v="Net 90 days"/>
    <s v="DAP"/>
    <s v="Yes"/>
    <m/>
    <m/>
    <n v="0"/>
    <n v="175"/>
    <n v="0"/>
    <m/>
    <m/>
    <m/>
    <m/>
    <m/>
    <m/>
    <m/>
    <m/>
    <d v="1900-01-09T00:00:00"/>
    <m/>
    <m/>
    <m/>
    <m/>
    <m/>
    <m/>
    <n v="414194266"/>
    <s v="EL01-001900"/>
    <s v="EL01-001900"/>
    <m/>
  </r>
  <r>
    <n v="576"/>
    <d v="2025-12-15T00:00:00"/>
    <n v="414194266"/>
    <s v="EL01-001900-8"/>
    <m/>
    <s v="BRACKET"/>
    <s v="1094V798-001"/>
    <s v="-"/>
    <s v="Wave Mechanics"/>
    <n v="184"/>
    <s v="EA"/>
    <n v="21"/>
    <s v="USD"/>
    <n v="1"/>
    <n v="21"/>
    <n v="3864"/>
    <s v="VR000065"/>
    <x v="50"/>
    <s v="PO2425U10396"/>
    <d v="2024-10-25T00:00:00"/>
    <s v="Net 90 days"/>
    <s v="DAP"/>
    <s v="Yes"/>
    <m/>
    <m/>
    <n v="0"/>
    <n v="184"/>
    <n v="0"/>
    <m/>
    <m/>
    <m/>
    <m/>
    <m/>
    <m/>
    <m/>
    <m/>
    <d v="1900-01-09T00:00:00"/>
    <m/>
    <m/>
    <m/>
    <m/>
    <m/>
    <m/>
    <n v="414194266"/>
    <s v="EL01-001900"/>
    <s v="EL01-001900"/>
    <m/>
  </r>
  <r>
    <n v="577"/>
    <d v="2025-12-15T00:00:00"/>
    <n v="414194266"/>
    <s v="EL01-001900-9"/>
    <m/>
    <s v="BRACKET"/>
    <s v="1094V798-001"/>
    <s v="-"/>
    <s v="Wave Mechanics"/>
    <n v="175"/>
    <s v="EA"/>
    <n v="21"/>
    <s v="USD"/>
    <n v="1"/>
    <n v="21"/>
    <n v="3675"/>
    <s v="VR000065"/>
    <x v="50"/>
    <s v="PO2425U10396"/>
    <d v="2024-10-25T00:00:00"/>
    <s v="Net 90 days"/>
    <s v="DAP"/>
    <s v="Yes"/>
    <m/>
    <m/>
    <n v="0"/>
    <n v="175"/>
    <n v="0"/>
    <n v="0"/>
    <m/>
    <m/>
    <m/>
    <d v="2026-01-30T00:00:00"/>
    <m/>
    <m/>
    <m/>
    <d v="2026-02-09T00:00:00"/>
    <m/>
    <m/>
    <m/>
    <m/>
    <m/>
    <m/>
    <n v="414194266"/>
    <s v="EL01-001900"/>
    <s v="EL01-001900"/>
    <m/>
  </r>
  <r>
    <n v="578"/>
    <d v="2025-12-15T00:00:00"/>
    <n v="414194266"/>
    <s v="EL01-001900-10"/>
    <m/>
    <s v="BRACKET"/>
    <s v="1094V798-001"/>
    <s v="-"/>
    <s v="Wave Mechanics"/>
    <n v="175"/>
    <s v="EA"/>
    <n v="21"/>
    <s v="USD"/>
    <n v="1"/>
    <n v="21"/>
    <n v="3675"/>
    <s v="VR000065"/>
    <x v="50"/>
    <s v="PO2425U10396"/>
    <d v="2024-10-25T00:00:00"/>
    <s v="Net 90 days"/>
    <s v="DAP"/>
    <s v="Yes"/>
    <m/>
    <m/>
    <n v="0"/>
    <n v="175"/>
    <n v="0"/>
    <n v="0"/>
    <m/>
    <m/>
    <m/>
    <d v="2026-02-28T00:00:00"/>
    <m/>
    <m/>
    <m/>
    <d v="2026-03-10T00:00:00"/>
    <m/>
    <m/>
    <m/>
    <m/>
    <m/>
    <m/>
    <n v="414194266"/>
    <s v="EL01-001900"/>
    <s v="EL01-001900"/>
    <m/>
  </r>
  <r>
    <n v="579"/>
    <d v="2025-12-15T00:00:00"/>
    <n v="414194266"/>
    <s v="EL01-001900-11"/>
    <m/>
    <s v="BRACKET"/>
    <s v="1094V798-001"/>
    <s v="-"/>
    <s v="Wave Mechanics"/>
    <n v="182"/>
    <s v="EA"/>
    <n v="21"/>
    <s v="USD"/>
    <n v="1"/>
    <n v="21"/>
    <n v="3822"/>
    <s v="VR000065"/>
    <x v="50"/>
    <s v="PO2425U10396"/>
    <d v="2024-10-25T00:00:00"/>
    <s v="Net 90 days"/>
    <s v="DAP"/>
    <s v="Yes"/>
    <m/>
    <m/>
    <n v="0"/>
    <n v="171"/>
    <n v="11"/>
    <n v="11"/>
    <m/>
    <m/>
    <m/>
    <d v="2026-03-30T00:00:00"/>
    <m/>
    <m/>
    <m/>
    <d v="2026-04-09T00:00:00"/>
    <m/>
    <m/>
    <m/>
    <m/>
    <m/>
    <m/>
    <n v="414194266"/>
    <s v="EL01-001900"/>
    <s v="EL01-001900"/>
    <n v="231"/>
  </r>
  <r>
    <n v="580"/>
    <d v="2024-12-15T00:00:00"/>
    <n v="420564154"/>
    <s v="EL01-001901-1"/>
    <m/>
    <s v="COVER"/>
    <s v="1094V799-002"/>
    <s v="-"/>
    <s v="Wave Mechanics"/>
    <n v="52"/>
    <s v="EA"/>
    <n v="773"/>
    <s v="USD"/>
    <n v="1"/>
    <n v="773"/>
    <n v="40196"/>
    <s v="VR000065"/>
    <x v="50"/>
    <s v="PO2425U10396"/>
    <d v="2024-10-25T00:00:00"/>
    <s v="Net 90 days"/>
    <s v="DAP"/>
    <s v="Yes"/>
    <m/>
    <m/>
    <n v="0"/>
    <n v="52"/>
    <n v="0"/>
    <m/>
    <m/>
    <m/>
    <m/>
    <m/>
    <m/>
    <m/>
    <m/>
    <d v="1900-01-09T00:00:00"/>
    <m/>
    <m/>
    <m/>
    <m/>
    <m/>
    <m/>
    <n v="420564154"/>
    <s v="EL01-001901"/>
    <s v="EL01-001901"/>
    <m/>
  </r>
  <r>
    <n v="581"/>
    <d v="2025-06-15T00:00:00"/>
    <n v="420564154"/>
    <s v="EL01-001901-2"/>
    <m/>
    <s v="COVER"/>
    <s v="1094V799-002"/>
    <s v="-"/>
    <s v="Wave Mechanics"/>
    <n v="11"/>
    <s v="EA"/>
    <n v="773"/>
    <s v="USD"/>
    <n v="1"/>
    <n v="773"/>
    <n v="8503"/>
    <s v="VR000065"/>
    <x v="50"/>
    <s v="PO2425U10396"/>
    <d v="2024-10-25T00:00:00"/>
    <s v="Net 90 days"/>
    <s v="DAP"/>
    <s v="Yes"/>
    <m/>
    <m/>
    <n v="0"/>
    <n v="11"/>
    <n v="0"/>
    <m/>
    <m/>
    <m/>
    <m/>
    <m/>
    <m/>
    <m/>
    <m/>
    <d v="1900-01-09T00:00:00"/>
    <m/>
    <m/>
    <m/>
    <m/>
    <m/>
    <m/>
    <n v="420564154"/>
    <s v="EL01-001901"/>
    <s v="EL01-001901"/>
    <m/>
  </r>
  <r>
    <n v="582"/>
    <d v="2025-09-15T00:00:00"/>
    <n v="420564154"/>
    <s v="EL01-001901-3"/>
    <m/>
    <s v="COVER"/>
    <s v="1094V799-002"/>
    <s v="-"/>
    <s v="Wave Mechanics"/>
    <n v="48"/>
    <s v="EA"/>
    <n v="773"/>
    <s v="USD"/>
    <n v="1"/>
    <n v="773"/>
    <n v="37104"/>
    <s v="VR000065"/>
    <x v="50"/>
    <s v="PO2425U10396"/>
    <d v="2024-10-25T00:00:00"/>
    <s v="Net 90 days"/>
    <s v="DAP"/>
    <s v="Yes"/>
    <m/>
    <m/>
    <n v="0"/>
    <n v="48"/>
    <n v="0"/>
    <m/>
    <m/>
    <m/>
    <m/>
    <m/>
    <m/>
    <m/>
    <m/>
    <d v="1900-01-09T00:00:00"/>
    <m/>
    <m/>
    <m/>
    <m/>
    <m/>
    <m/>
    <n v="420564154"/>
    <s v="EL01-001901"/>
    <s v="EL01-001901"/>
    <m/>
  </r>
  <r>
    <n v="583"/>
    <d v="2025-12-15T00:00:00"/>
    <n v="420564154"/>
    <s v="EL01-001901-5"/>
    <m/>
    <s v="COVER"/>
    <s v="1094V799-002"/>
    <s v="-"/>
    <s v="Wave Mechanics"/>
    <n v="41"/>
    <s v="EA"/>
    <n v="773"/>
    <s v="USD"/>
    <n v="1"/>
    <n v="773"/>
    <n v="31693"/>
    <s v="VR000065"/>
    <x v="50"/>
    <s v="PO2425U10396"/>
    <d v="2024-10-25T00:00:00"/>
    <s v="Net 90 days"/>
    <s v="DAP"/>
    <s v="Yes"/>
    <m/>
    <m/>
    <n v="0"/>
    <n v="41"/>
    <n v="0"/>
    <m/>
    <m/>
    <m/>
    <m/>
    <m/>
    <m/>
    <m/>
    <m/>
    <d v="1900-01-09T00:00:00"/>
    <m/>
    <m/>
    <m/>
    <m/>
    <m/>
    <m/>
    <n v="420564154"/>
    <s v="EL01-001901"/>
    <s v="EL01-001901"/>
    <m/>
  </r>
  <r>
    <n v="584"/>
    <d v="2025-12-15T00:00:00"/>
    <n v="420564154"/>
    <s v="EL01-001901-7"/>
    <m/>
    <s v="COVER"/>
    <s v="1094V799-002"/>
    <s v="-"/>
    <s v="Wave Mechanics"/>
    <n v="160"/>
    <s v="EA"/>
    <n v="773"/>
    <s v="USD"/>
    <n v="1"/>
    <n v="773"/>
    <n v="123680"/>
    <s v="VR000065"/>
    <x v="50"/>
    <s v="PO2425U10396"/>
    <d v="2024-10-25T00:00:00"/>
    <s v="Net 90 days"/>
    <s v="DAP"/>
    <s v="Yes"/>
    <m/>
    <m/>
    <n v="0"/>
    <n v="68"/>
    <n v="92"/>
    <n v="89"/>
    <m/>
    <m/>
    <m/>
    <d v="2026-01-15T00:00:00"/>
    <m/>
    <m/>
    <m/>
    <d v="2026-01-25T00:00:00"/>
    <m/>
    <m/>
    <m/>
    <m/>
    <m/>
    <m/>
    <n v="420564154"/>
    <s v="EL01-001901"/>
    <s v="EL01-001901"/>
    <n v="71116"/>
  </r>
  <r>
    <n v="585"/>
    <d v="2025-12-15T00:00:00"/>
    <n v="420564154"/>
    <s v="EL01-001901-8"/>
    <m/>
    <s v="COVER"/>
    <s v="1094V799-002"/>
    <s v="-"/>
    <s v="Wave Mechanics"/>
    <n v="110"/>
    <s v="EA"/>
    <n v="773"/>
    <s v="USD"/>
    <n v="1"/>
    <n v="773"/>
    <n v="85030"/>
    <s v="VR000065"/>
    <x v="50"/>
    <s v="PO2425U10396"/>
    <d v="2024-10-25T00:00:00"/>
    <s v="Net 90 days"/>
    <s v="DAP"/>
    <s v="Yes"/>
    <m/>
    <m/>
    <n v="0"/>
    <n v="0"/>
    <n v="110"/>
    <n v="75"/>
    <n v="35"/>
    <m/>
    <m/>
    <d v="2026-01-19T00:00:00"/>
    <d v="2026-01-19T00:00:00"/>
    <m/>
    <m/>
    <d v="2026-01-29T00:00:00"/>
    <m/>
    <m/>
    <m/>
    <m/>
    <m/>
    <m/>
    <n v="420564154"/>
    <s v="EL01-001901"/>
    <s v="EL01-001901"/>
    <n v="85030"/>
  </r>
  <r>
    <n v="586"/>
    <d v="2025-12-15T00:00:00"/>
    <n v="420564154"/>
    <s v="EL01-001901-9"/>
    <m/>
    <s v="COVER"/>
    <s v="1094V799-002"/>
    <s v="-"/>
    <s v="Wave Mechanics"/>
    <n v="125"/>
    <s v="EA"/>
    <n v="773"/>
    <s v="USD"/>
    <n v="1"/>
    <n v="773"/>
    <n v="96625"/>
    <s v="VR000065"/>
    <x v="50"/>
    <s v="PO2425U10396"/>
    <d v="2024-10-25T00:00:00"/>
    <s v="Net 90 days"/>
    <s v="DAP"/>
    <s v="Yes"/>
    <m/>
    <m/>
    <n v="0"/>
    <n v="0"/>
    <n v="125"/>
    <n v="95"/>
    <n v="30"/>
    <m/>
    <m/>
    <d v="2026-01-19T00:00:00"/>
    <d v="2026-02-09T00:00:00"/>
    <m/>
    <m/>
    <d v="2026-01-29T00:00:00"/>
    <m/>
    <m/>
    <m/>
    <m/>
    <m/>
    <m/>
    <n v="420564154"/>
    <s v="EL01-001901"/>
    <s v="EL01-001901"/>
    <n v="96625"/>
  </r>
  <r>
    <n v="587"/>
    <d v="2025-12-15T00:00:00"/>
    <n v="420564154"/>
    <s v="EL01-001901-10"/>
    <m/>
    <s v="COVER"/>
    <s v="1094V799-002"/>
    <s v="-"/>
    <s v="Wave Mechanics"/>
    <n v="130"/>
    <s v="EA"/>
    <n v="773"/>
    <s v="USD"/>
    <n v="1"/>
    <n v="773"/>
    <n v="100490"/>
    <s v="VR000065"/>
    <x v="50"/>
    <s v="PO2425U10396"/>
    <d v="2024-10-25T00:00:00"/>
    <s v="Net 90 days"/>
    <s v="DAP"/>
    <s v="Yes"/>
    <m/>
    <m/>
    <n v="0"/>
    <n v="0"/>
    <n v="130"/>
    <n v="50"/>
    <n v="80"/>
    <m/>
    <m/>
    <d v="2026-02-09T00:00:00"/>
    <d v="2026-02-28T00:00:00"/>
    <m/>
    <m/>
    <d v="2026-02-19T00:00:00"/>
    <m/>
    <m/>
    <m/>
    <m/>
    <m/>
    <m/>
    <n v="420564154"/>
    <s v="EL01-001901"/>
    <s v="EL01-001901"/>
    <n v="100490"/>
  </r>
  <r>
    <n v="588"/>
    <d v="2025-12-15T00:00:00"/>
    <n v="420564154"/>
    <s v="EL01-001901-11"/>
    <m/>
    <s v="COVER"/>
    <s v="1094V799-002"/>
    <s v="-"/>
    <s v="Wave Mechanics"/>
    <n v="130"/>
    <s v="EA"/>
    <n v="773"/>
    <s v="USD"/>
    <n v="1"/>
    <n v="773"/>
    <n v="100490"/>
    <s v="VR000065"/>
    <x v="50"/>
    <s v="PO2425U10396"/>
    <d v="2024-10-25T00:00:00"/>
    <s v="Net 90 days"/>
    <s v="DAP"/>
    <s v="Yes"/>
    <m/>
    <m/>
    <n v="0"/>
    <n v="0"/>
    <n v="130"/>
    <n v="120"/>
    <n v="10"/>
    <m/>
    <m/>
    <d v="2026-02-28T00:00:00"/>
    <d v="2026-03-13T00:00:00"/>
    <m/>
    <m/>
    <d v="2026-03-10T00:00:00"/>
    <m/>
    <m/>
    <m/>
    <m/>
    <m/>
    <m/>
    <n v="420564154"/>
    <s v="EL01-001901"/>
    <s v="EL01-001901"/>
    <n v="100490"/>
  </r>
  <r>
    <n v="589"/>
    <d v="2025-12-15T00:00:00"/>
    <n v="420564154"/>
    <s v="EL01-001901-12"/>
    <m/>
    <s v="COVER"/>
    <s v="1094V799-002"/>
    <s v="-"/>
    <s v="Wave Mechanics"/>
    <n v="130"/>
    <s v="EA"/>
    <n v="773"/>
    <s v="USD"/>
    <n v="1"/>
    <n v="773"/>
    <n v="100490"/>
    <s v="VR000065"/>
    <x v="50"/>
    <s v="PO2425U10396"/>
    <d v="2024-10-25T00:00:00"/>
    <s v="Net 90 days"/>
    <s v="DAP"/>
    <s v="Yes"/>
    <m/>
    <m/>
    <n v="0"/>
    <n v="0"/>
    <n v="130"/>
    <n v="60"/>
    <n v="70"/>
    <m/>
    <m/>
    <d v="2026-03-13T00:00:00"/>
    <d v="2026-03-30T00:00:00"/>
    <m/>
    <m/>
    <d v="2026-03-23T00:00:00"/>
    <m/>
    <m/>
    <m/>
    <m/>
    <m/>
    <m/>
    <n v="420564154"/>
    <s v="EL01-001901"/>
    <s v="EL01-001901"/>
    <n v="100490"/>
  </r>
  <r>
    <n v="590"/>
    <d v="2025-12-15T00:00:00"/>
    <n v="420564154"/>
    <s v="EL01-001901-13"/>
    <m/>
    <s v="COVER"/>
    <s v="1094V799-002"/>
    <s v="-"/>
    <s v="Wave Mechanics"/>
    <n v="130"/>
    <s v="EA"/>
    <n v="773"/>
    <s v="USD"/>
    <n v="1"/>
    <n v="773"/>
    <n v="100490"/>
    <s v="VR000065"/>
    <x v="50"/>
    <s v="PO2425U10396"/>
    <d v="2024-10-25T00:00:00"/>
    <s v="Net 90 days"/>
    <s v="DAP"/>
    <s v="Yes"/>
    <m/>
    <m/>
    <n v="0"/>
    <n v="0"/>
    <n v="130"/>
    <n v="130"/>
    <m/>
    <m/>
    <m/>
    <d v="2026-03-30T00:00:00"/>
    <m/>
    <m/>
    <m/>
    <d v="2026-04-09T00:00:00"/>
    <m/>
    <m/>
    <m/>
    <m/>
    <m/>
    <m/>
    <n v="420564154"/>
    <s v="EL01-001901"/>
    <s v="EL01-001901"/>
    <n v="100490"/>
  </r>
  <r>
    <n v="591"/>
    <d v="2024-12-15T00:00:00"/>
    <n v="418978901"/>
    <s v="EL01-001902-1"/>
    <m/>
    <s v="BOTTOM BOX ASSY"/>
    <s v="1094V811-002"/>
    <s v="-"/>
    <s v="Wave Mechanics"/>
    <n v="52"/>
    <s v="EA"/>
    <n v="879"/>
    <s v="USD"/>
    <n v="1"/>
    <n v="879"/>
    <n v="45708"/>
    <s v="VR000065"/>
    <x v="50"/>
    <s v="PO2425U10396"/>
    <d v="2024-10-25T00:00:00"/>
    <s v="Net 90 days"/>
    <s v="DAP"/>
    <s v="Yes"/>
    <m/>
    <m/>
    <n v="0"/>
    <n v="52"/>
    <n v="0"/>
    <m/>
    <m/>
    <m/>
    <m/>
    <m/>
    <m/>
    <m/>
    <m/>
    <d v="1900-01-09T00:00:00"/>
    <m/>
    <m/>
    <m/>
    <m/>
    <m/>
    <m/>
    <n v="418978901"/>
    <s v="EL01-001902"/>
    <s v="EL01-001902"/>
    <m/>
  </r>
  <r>
    <n v="592"/>
    <d v="2025-06-15T00:00:00"/>
    <n v="418978901"/>
    <s v="EL01-001902-2"/>
    <m/>
    <s v="BOTTOM BOX ASSY"/>
    <s v="1094V811-002"/>
    <s v="-"/>
    <s v="Wave Mechanics"/>
    <n v="60"/>
    <s v="EA"/>
    <n v="879"/>
    <s v="USD"/>
    <n v="1"/>
    <n v="879"/>
    <n v="52740"/>
    <s v="VR000065"/>
    <x v="50"/>
    <s v="PO2425U10396"/>
    <d v="2024-10-25T00:00:00"/>
    <s v="Net 90 days"/>
    <s v="DAP"/>
    <s v="Yes"/>
    <m/>
    <m/>
    <n v="0"/>
    <n v="60"/>
    <n v="0"/>
    <m/>
    <m/>
    <m/>
    <m/>
    <m/>
    <m/>
    <m/>
    <m/>
    <d v="1900-01-09T00:00:00"/>
    <m/>
    <m/>
    <m/>
    <m/>
    <m/>
    <m/>
    <n v="418978901"/>
    <s v="EL01-001902"/>
    <s v="EL01-001902"/>
    <m/>
  </r>
  <r>
    <n v="593"/>
    <d v="2025-09-15T00:00:00"/>
    <n v="418978901"/>
    <s v="EL01-001902-3"/>
    <m/>
    <s v="BOTTOM BOX ASSY"/>
    <s v="1094V811-002"/>
    <s v="-"/>
    <s v="Wave Mechanics"/>
    <n v="50"/>
    <s v="EA"/>
    <n v="879"/>
    <s v="USD"/>
    <n v="1"/>
    <n v="879"/>
    <n v="43950"/>
    <s v="VR000065"/>
    <x v="50"/>
    <s v="PO2425U10396"/>
    <d v="2024-10-25T00:00:00"/>
    <s v="Net 90 days"/>
    <s v="DAP"/>
    <s v="Yes"/>
    <m/>
    <m/>
    <n v="0"/>
    <n v="50"/>
    <n v="0"/>
    <m/>
    <m/>
    <m/>
    <m/>
    <m/>
    <m/>
    <m/>
    <m/>
    <d v="1900-01-09T00:00:00"/>
    <m/>
    <m/>
    <m/>
    <m/>
    <m/>
    <m/>
    <n v="418978901"/>
    <s v="EL01-001902"/>
    <s v="EL01-001902"/>
    <m/>
  </r>
  <r>
    <n v="594"/>
    <d v="2025-12-15T00:00:00"/>
    <n v="418978901"/>
    <s v="EL01-001902-4"/>
    <m/>
    <s v="BOTTOM BOX ASSY"/>
    <s v="1094V811-002"/>
    <s v="-"/>
    <s v="Wave Mechanics"/>
    <n v="80"/>
    <s v="EA"/>
    <n v="879"/>
    <s v="USD"/>
    <n v="1"/>
    <n v="879"/>
    <n v="70320"/>
    <s v="VR000065"/>
    <x v="50"/>
    <s v="PO2425U10396"/>
    <d v="2024-10-25T00:00:00"/>
    <s v="Net 90 days"/>
    <s v="DAP"/>
    <s v="Yes"/>
    <m/>
    <m/>
    <n v="0"/>
    <n v="80"/>
    <n v="0"/>
    <m/>
    <m/>
    <m/>
    <m/>
    <m/>
    <m/>
    <m/>
    <m/>
    <d v="1900-01-09T00:00:00"/>
    <m/>
    <m/>
    <m/>
    <m/>
    <m/>
    <m/>
    <n v="418978901"/>
    <s v="EL01-001902"/>
    <s v="EL01-001902"/>
    <m/>
  </r>
  <r>
    <n v="595"/>
    <d v="2025-12-15T00:00:00"/>
    <n v="418978901"/>
    <s v="EL01-001902-5"/>
    <m/>
    <s v="BOTTOM BOX ASSY"/>
    <s v="1094V811-002"/>
    <s v="-"/>
    <s v="Wave Mechanics"/>
    <n v="100"/>
    <s v="EA"/>
    <n v="879"/>
    <s v="USD"/>
    <n v="1"/>
    <n v="879"/>
    <n v="87900"/>
    <s v="VR000065"/>
    <x v="50"/>
    <s v="PO2425U10396"/>
    <d v="2024-10-25T00:00:00"/>
    <s v="Net 90 days"/>
    <s v="DAP"/>
    <s v="Yes"/>
    <m/>
    <m/>
    <n v="0"/>
    <n v="100"/>
    <n v="0"/>
    <m/>
    <m/>
    <m/>
    <m/>
    <m/>
    <m/>
    <m/>
    <m/>
    <d v="1900-01-09T00:00:00"/>
    <m/>
    <m/>
    <m/>
    <m/>
    <m/>
    <m/>
    <n v="418978901"/>
    <s v="EL01-001902"/>
    <s v="EL01-001902"/>
    <m/>
  </r>
  <r>
    <n v="596"/>
    <d v="2025-12-15T00:00:00"/>
    <n v="418978901"/>
    <s v="EL01-001902-6"/>
    <m/>
    <s v="BOTTOM BOX ASSY"/>
    <s v="1094V811-002"/>
    <s v="-"/>
    <s v="Wave Mechanics"/>
    <n v="120"/>
    <s v="EA"/>
    <n v="879"/>
    <s v="USD"/>
    <n v="1"/>
    <n v="879"/>
    <n v="105480"/>
    <s v="VR000065"/>
    <x v="50"/>
    <s v="PO2425U10396"/>
    <d v="2024-10-25T00:00:00"/>
    <s v="Net 90 days"/>
    <s v="DAP"/>
    <s v="Yes"/>
    <m/>
    <m/>
    <n v="0"/>
    <n v="120"/>
    <n v="0"/>
    <n v="30"/>
    <n v="70"/>
    <m/>
    <m/>
    <d v="2025-12-19T00:00:00"/>
    <d v="2025-12-30T00:00:00"/>
    <m/>
    <m/>
    <d v="2025-12-29T00:00:00"/>
    <m/>
    <m/>
    <m/>
    <m/>
    <m/>
    <m/>
    <n v="418978901"/>
    <s v="EL01-001902"/>
    <s v="EL01-001902"/>
    <m/>
  </r>
  <r>
    <n v="597"/>
    <d v="2025-12-15T00:00:00"/>
    <n v="418978901"/>
    <s v="EL01-001902-7"/>
    <m/>
    <s v="BOTTOM BOX ASSY"/>
    <s v="1094V811-002"/>
    <s v="-"/>
    <s v="Wave Mechanics"/>
    <n v="120"/>
    <s v="EA"/>
    <n v="879"/>
    <s v="USD"/>
    <n v="1"/>
    <n v="879"/>
    <n v="105480"/>
    <s v="VR000065"/>
    <x v="50"/>
    <s v="PO2425U10396"/>
    <d v="2024-10-25T00:00:00"/>
    <s v="Net 90 days"/>
    <s v="DAP"/>
    <s v="Yes"/>
    <m/>
    <m/>
    <n v="0"/>
    <n v="28"/>
    <n v="92"/>
    <n v="92"/>
    <m/>
    <m/>
    <m/>
    <d v="2026-01-15T00:00:00"/>
    <m/>
    <m/>
    <m/>
    <d v="2026-01-25T00:00:00"/>
    <m/>
    <m/>
    <m/>
    <m/>
    <m/>
    <m/>
    <n v="418978901"/>
    <s v="EL01-001902"/>
    <s v="EL01-001902"/>
    <n v="80868"/>
  </r>
  <r>
    <n v="598"/>
    <d v="2025-12-15T00:00:00"/>
    <n v="418978901"/>
    <s v="EL01-001902-8"/>
    <m/>
    <s v="BOTTOM BOX ASSY"/>
    <s v="1094V811-002"/>
    <s v="-"/>
    <s v="Wave Mechanics"/>
    <n v="160"/>
    <s v="EA"/>
    <n v="879"/>
    <s v="USD"/>
    <n v="1"/>
    <n v="879"/>
    <n v="140640"/>
    <s v="VR000065"/>
    <x v="50"/>
    <s v="PO2425U10396"/>
    <d v="2024-10-25T00:00:00"/>
    <s v="Net 90 days"/>
    <s v="DAP"/>
    <s v="Yes"/>
    <m/>
    <m/>
    <n v="0"/>
    <n v="0"/>
    <n v="160"/>
    <n v="29"/>
    <n v="131"/>
    <m/>
    <m/>
    <d v="2026-01-15T00:00:00"/>
    <d v="2026-02-13T00:00:00"/>
    <m/>
    <m/>
    <d v="2026-01-25T00:00:00"/>
    <m/>
    <m/>
    <m/>
    <m/>
    <m/>
    <m/>
    <n v="418978901"/>
    <s v="EL01-001902"/>
    <s v="EL01-001902"/>
    <n v="140640"/>
  </r>
  <r>
    <n v="599"/>
    <d v="2025-12-15T00:00:00"/>
    <n v="418978901"/>
    <s v="EL01-001902-9"/>
    <m/>
    <s v="BOTTOM BOX ASSY"/>
    <s v="1094V811-002"/>
    <s v="-"/>
    <s v="Wave Mechanics"/>
    <n v="160"/>
    <s v="EA"/>
    <n v="879"/>
    <s v="USD"/>
    <n v="1"/>
    <n v="879"/>
    <n v="140640"/>
    <s v="VR000065"/>
    <x v="50"/>
    <s v="PO2425U10396"/>
    <d v="2024-10-25T00:00:00"/>
    <s v="Net 90 days"/>
    <s v="DAP"/>
    <s v="Yes"/>
    <m/>
    <m/>
    <n v="0"/>
    <n v="0"/>
    <n v="160"/>
    <n v="2"/>
    <n v="100"/>
    <n v="58"/>
    <m/>
    <d v="2026-02-27T00:00:00"/>
    <d v="2026-03-13T00:00:00"/>
    <m/>
    <m/>
    <d v="2026-03-09T00:00:00"/>
    <m/>
    <m/>
    <m/>
    <m/>
    <m/>
    <m/>
    <n v="418978901"/>
    <s v="EL01-001902"/>
    <s v="EL01-001902"/>
    <n v="140640"/>
  </r>
  <r>
    <n v="600"/>
    <d v="2025-12-15T00:00:00"/>
    <n v="418978901"/>
    <s v="EL01-001902-10"/>
    <m/>
    <s v="BOTTOM BOX ASSY"/>
    <s v="1094V811-002"/>
    <s v="-"/>
    <s v="Wave Mechanics"/>
    <n v="165"/>
    <s v="EA"/>
    <n v="879"/>
    <s v="USD"/>
    <n v="1"/>
    <n v="879"/>
    <n v="145035"/>
    <s v="VR000065"/>
    <x v="50"/>
    <s v="PO2425U10396"/>
    <d v="2024-10-25T00:00:00"/>
    <s v="Net 90 days"/>
    <s v="DAP"/>
    <s v="Yes"/>
    <m/>
    <m/>
    <n v="0"/>
    <n v="0"/>
    <n v="165"/>
    <n v="12"/>
    <n v="153"/>
    <m/>
    <m/>
    <d v="2026-03-13T00:00:00"/>
    <d v="2025-03-30T00:00:00"/>
    <m/>
    <m/>
    <d v="2026-03-23T00:00:00"/>
    <m/>
    <m/>
    <m/>
    <m/>
    <m/>
    <m/>
    <n v="418978901"/>
    <s v="EL01-001902"/>
    <s v="EL01-001902"/>
    <n v="145035"/>
  </r>
  <r>
    <n v="601"/>
    <d v="2024-12-15T00:00:00"/>
    <n v="414731763"/>
    <s v="EL01-001903-1"/>
    <m/>
    <s v="BRACKET"/>
    <s v="1094V816-001"/>
    <s v="-"/>
    <s v="Wave Mechanics"/>
    <n v="320"/>
    <s v="EA"/>
    <n v="21"/>
    <s v="USD"/>
    <n v="1"/>
    <n v="21"/>
    <n v="6720"/>
    <s v="VR000065"/>
    <x v="50"/>
    <s v="PO2425U10396"/>
    <d v="2024-10-25T00:00:00"/>
    <s v="Net 90 days"/>
    <s v="DAP"/>
    <s v="Yes"/>
    <m/>
    <m/>
    <n v="0"/>
    <n v="320"/>
    <n v="0"/>
    <m/>
    <m/>
    <m/>
    <m/>
    <m/>
    <m/>
    <m/>
    <m/>
    <d v="1900-01-09T00:00:00"/>
    <m/>
    <m/>
    <m/>
    <m/>
    <m/>
    <m/>
    <n v="414731763"/>
    <s v="EL01-001903"/>
    <s v="EL01-001903"/>
    <m/>
  </r>
  <r>
    <n v="602"/>
    <d v="2025-06-15T00:00:00"/>
    <n v="414731763"/>
    <s v="EL01-001903-2"/>
    <m/>
    <s v="BRACKET"/>
    <s v="1094V816-001"/>
    <s v="-"/>
    <s v="Wave Mechanics"/>
    <n v="174"/>
    <s v="EA"/>
    <n v="21"/>
    <s v="USD"/>
    <n v="1"/>
    <n v="21"/>
    <n v="3654"/>
    <s v="VR000065"/>
    <x v="50"/>
    <s v="PO2425U10396"/>
    <d v="2024-10-25T00:00:00"/>
    <s v="Net 90 days"/>
    <s v="DAP"/>
    <s v="Yes"/>
    <m/>
    <m/>
    <n v="0"/>
    <n v="174"/>
    <n v="0"/>
    <m/>
    <m/>
    <m/>
    <m/>
    <m/>
    <m/>
    <m/>
    <m/>
    <d v="1900-01-09T00:00:00"/>
    <m/>
    <m/>
    <m/>
    <m/>
    <m/>
    <m/>
    <n v="414731763"/>
    <s v="EL01-001903"/>
    <s v="EL01-001903"/>
    <m/>
  </r>
  <r>
    <n v="603"/>
    <d v="2025-09-15T00:00:00"/>
    <n v="414731763"/>
    <s v="EL01-001903-3"/>
    <m/>
    <s v="BRACKET"/>
    <s v="1094V816-001"/>
    <s v="-"/>
    <s v="Wave Mechanics"/>
    <n v="161"/>
    <s v="EA"/>
    <n v="21"/>
    <s v="USD"/>
    <n v="1"/>
    <n v="21"/>
    <n v="3381"/>
    <s v="VR000065"/>
    <x v="50"/>
    <s v="PO2425U10396"/>
    <d v="2024-10-25T00:00:00"/>
    <s v="Net 90 days"/>
    <s v="DAP"/>
    <s v="Yes"/>
    <m/>
    <m/>
    <n v="0"/>
    <n v="161"/>
    <n v="0"/>
    <m/>
    <m/>
    <m/>
    <m/>
    <m/>
    <m/>
    <m/>
    <m/>
    <d v="1900-01-09T00:00:00"/>
    <m/>
    <m/>
    <m/>
    <m/>
    <m/>
    <m/>
    <n v="414731763"/>
    <s v="EL01-001903"/>
    <s v="EL01-001903"/>
    <m/>
  </r>
  <r>
    <n v="604"/>
    <d v="2025-12-15T00:00:00"/>
    <n v="414731763"/>
    <s v="EL01-001903-4"/>
    <m/>
    <s v="BRACKET"/>
    <s v="1094V816-001"/>
    <s v="-"/>
    <s v="Wave Mechanics"/>
    <n v="180"/>
    <s v="EA"/>
    <n v="21"/>
    <s v="USD"/>
    <n v="1"/>
    <n v="21"/>
    <n v="3780"/>
    <s v="VR000065"/>
    <x v="50"/>
    <s v="PO2425U10396"/>
    <d v="2024-10-25T00:00:00"/>
    <s v="Net 90 days"/>
    <s v="DAP"/>
    <s v="Yes"/>
    <m/>
    <m/>
    <n v="0"/>
    <n v="180"/>
    <n v="0"/>
    <m/>
    <m/>
    <m/>
    <m/>
    <m/>
    <m/>
    <m/>
    <m/>
    <d v="1900-01-09T00:00:00"/>
    <m/>
    <m/>
    <m/>
    <m/>
    <m/>
    <m/>
    <n v="414731763"/>
    <s v="EL01-001903"/>
    <s v="EL01-001903"/>
    <m/>
  </r>
  <r>
    <n v="605"/>
    <d v="2025-12-15T00:00:00"/>
    <n v="414731763"/>
    <s v="EL01-001903-5"/>
    <m/>
    <s v="BRACKET"/>
    <s v="1094V816-001"/>
    <s v="-"/>
    <s v="Wave Mechanics"/>
    <n v="233"/>
    <s v="EA"/>
    <n v="21"/>
    <s v="USD"/>
    <n v="1"/>
    <n v="21"/>
    <n v="4893"/>
    <s v="VR000065"/>
    <x v="50"/>
    <s v="PO2425U10396"/>
    <d v="2024-10-25T00:00:00"/>
    <s v="Net 90 days"/>
    <s v="DAP"/>
    <s v="Yes"/>
    <m/>
    <m/>
    <n v="0"/>
    <n v="233"/>
    <n v="0"/>
    <m/>
    <m/>
    <m/>
    <m/>
    <m/>
    <m/>
    <m/>
    <m/>
    <d v="1900-01-09T00:00:00"/>
    <m/>
    <m/>
    <m/>
    <m/>
    <m/>
    <m/>
    <n v="414731763"/>
    <s v="EL01-001903"/>
    <s v="EL01-001903"/>
    <m/>
  </r>
  <r>
    <n v="606"/>
    <d v="2025-12-15T00:00:00"/>
    <n v="414731763"/>
    <s v="EL01-001903-6"/>
    <m/>
    <s v="BRACKET"/>
    <s v="1094V816-001"/>
    <s v="-"/>
    <s v="Wave Mechanics"/>
    <n v="175"/>
    <s v="EA"/>
    <n v="21"/>
    <s v="USD"/>
    <n v="1"/>
    <n v="21"/>
    <n v="3675"/>
    <s v="VR000065"/>
    <x v="50"/>
    <s v="PO2425U10396"/>
    <d v="2024-10-25T00:00:00"/>
    <s v="Net 90 days"/>
    <s v="DAP"/>
    <s v="Yes"/>
    <m/>
    <m/>
    <n v="0"/>
    <n v="175"/>
    <n v="0"/>
    <m/>
    <m/>
    <m/>
    <m/>
    <m/>
    <m/>
    <m/>
    <m/>
    <d v="1900-01-09T00:00:00"/>
    <m/>
    <m/>
    <m/>
    <m/>
    <m/>
    <m/>
    <n v="414731763"/>
    <s v="EL01-001903"/>
    <s v="EL01-001903"/>
    <m/>
  </r>
  <r>
    <n v="607"/>
    <d v="2025-12-15T00:00:00"/>
    <n v="414731763"/>
    <s v="EL01-001903-7"/>
    <m/>
    <s v="BRACKET"/>
    <s v="1094V816-001"/>
    <s v="-"/>
    <s v="Wave Mechanics"/>
    <n v="175"/>
    <s v="EA"/>
    <n v="21"/>
    <s v="USD"/>
    <n v="1"/>
    <n v="21"/>
    <n v="3675"/>
    <s v="VR000065"/>
    <x v="50"/>
    <s v="PO2425U10396"/>
    <d v="2024-10-25T00:00:00"/>
    <s v="Net 90 days"/>
    <s v="DAP"/>
    <s v="Yes"/>
    <m/>
    <m/>
    <n v="0"/>
    <n v="175"/>
    <n v="0"/>
    <m/>
    <m/>
    <m/>
    <m/>
    <m/>
    <m/>
    <m/>
    <m/>
    <d v="1900-01-09T00:00:00"/>
    <m/>
    <m/>
    <m/>
    <m/>
    <m/>
    <m/>
    <n v="414731763"/>
    <s v="EL01-001903"/>
    <s v="EL01-001903"/>
    <m/>
  </r>
  <r>
    <n v="608"/>
    <d v="2025-12-15T00:00:00"/>
    <n v="414731763"/>
    <s v="EL01-001903-8"/>
    <m/>
    <s v="BRACKET"/>
    <s v="1094V816-001"/>
    <s v="-"/>
    <s v="Wave Mechanics"/>
    <n v="184"/>
    <s v="EA"/>
    <n v="21"/>
    <s v="USD"/>
    <n v="1"/>
    <n v="21"/>
    <n v="3864"/>
    <s v="VR000065"/>
    <x v="50"/>
    <s v="PO2425U10396"/>
    <d v="2024-10-25T00:00:00"/>
    <s v="Net 90 days"/>
    <s v="DAP"/>
    <s v="Yes"/>
    <m/>
    <m/>
    <n v="0"/>
    <n v="184"/>
    <n v="0"/>
    <m/>
    <m/>
    <m/>
    <m/>
    <m/>
    <m/>
    <m/>
    <m/>
    <d v="1900-01-09T00:00:00"/>
    <m/>
    <m/>
    <m/>
    <m/>
    <m/>
    <m/>
    <n v="414731763"/>
    <s v="EL01-001903"/>
    <s v="EL01-001903"/>
    <m/>
  </r>
  <r>
    <n v="609"/>
    <d v="2025-12-15T00:00:00"/>
    <n v="414731763"/>
    <s v="EL01-001903-9"/>
    <m/>
    <s v="BRACKET"/>
    <s v="1094V816-001"/>
    <s v="-"/>
    <s v="Wave Mechanics"/>
    <n v="175"/>
    <s v="EA"/>
    <n v="21"/>
    <s v="USD"/>
    <n v="1"/>
    <n v="21"/>
    <n v="3675"/>
    <s v="VR000065"/>
    <x v="50"/>
    <s v="PO2425U10396"/>
    <d v="2024-10-25T00:00:00"/>
    <s v="Net 90 days"/>
    <s v="DAP"/>
    <s v="Yes"/>
    <m/>
    <m/>
    <n v="0"/>
    <n v="175"/>
    <n v="0"/>
    <m/>
    <m/>
    <m/>
    <m/>
    <m/>
    <m/>
    <m/>
    <m/>
    <d v="1900-01-09T00:00:00"/>
    <m/>
    <m/>
    <m/>
    <m/>
    <m/>
    <m/>
    <n v="414731763"/>
    <s v="EL01-001903"/>
    <s v="EL01-001903"/>
    <m/>
  </r>
  <r>
    <n v="610"/>
    <d v="2025-12-15T00:00:00"/>
    <n v="414731763"/>
    <s v="EL01-001903-10"/>
    <m/>
    <s v="BRACKET"/>
    <s v="1094V816-001"/>
    <s v="-"/>
    <s v="Wave Mechanics"/>
    <n v="175"/>
    <s v="EA"/>
    <n v="21"/>
    <s v="USD"/>
    <n v="1"/>
    <n v="21"/>
    <n v="3675"/>
    <s v="VR000065"/>
    <x v="50"/>
    <s v="PO2425U10396"/>
    <d v="2024-10-25T00:00:00"/>
    <s v="Net 90 days"/>
    <s v="DAP"/>
    <s v="Yes"/>
    <m/>
    <m/>
    <n v="0"/>
    <n v="175"/>
    <n v="0"/>
    <m/>
    <m/>
    <m/>
    <m/>
    <m/>
    <m/>
    <m/>
    <m/>
    <d v="1900-01-09T00:00:00"/>
    <m/>
    <m/>
    <m/>
    <m/>
    <m/>
    <m/>
    <n v="414731763"/>
    <s v="EL01-001903"/>
    <s v="EL01-001903"/>
    <m/>
  </r>
  <r>
    <n v="611"/>
    <d v="2025-12-15T00:00:00"/>
    <n v="414731763"/>
    <s v="EL01-001903-11"/>
    <m/>
    <s v="BRACKET"/>
    <s v="1094V816-001"/>
    <s v="-"/>
    <s v="Wave Mechanics"/>
    <n v="182"/>
    <s v="EA"/>
    <n v="21"/>
    <s v="USD"/>
    <n v="1"/>
    <n v="21"/>
    <n v="3822"/>
    <s v="VR000065"/>
    <x v="50"/>
    <s v="PO2425U10396"/>
    <d v="2024-10-25T00:00:00"/>
    <s v="Net 90 days"/>
    <s v="DAP"/>
    <s v="Yes"/>
    <m/>
    <m/>
    <n v="0"/>
    <n v="182"/>
    <n v="0"/>
    <n v="0"/>
    <m/>
    <m/>
    <m/>
    <d v="2026-03-30T00:00:00"/>
    <m/>
    <m/>
    <m/>
    <d v="2026-04-09T00:00:00"/>
    <m/>
    <m/>
    <m/>
    <m/>
    <m/>
    <m/>
    <n v="414731763"/>
    <s v="EL01-001903"/>
    <s v="EL01-001903"/>
    <m/>
  </r>
  <r>
    <n v="612"/>
    <d v="2024-12-15T00:00:00"/>
    <n v="415290646"/>
    <s v="EL01-001905-1"/>
    <m/>
    <s v="HANDLE"/>
    <s v="1094V828-001"/>
    <s v="-"/>
    <s v="Wave Mechanics"/>
    <n v="50"/>
    <s v="EA"/>
    <n v="29"/>
    <s v="USD"/>
    <n v="1"/>
    <n v="29"/>
    <n v="1450"/>
    <s v="VR000065"/>
    <x v="50"/>
    <s v="PO2425U10396"/>
    <d v="2024-10-25T00:00:00"/>
    <s v="Net 90 days"/>
    <s v="DAP"/>
    <s v="Yes"/>
    <m/>
    <m/>
    <n v="0"/>
    <n v="50"/>
    <n v="0"/>
    <m/>
    <m/>
    <m/>
    <m/>
    <m/>
    <m/>
    <m/>
    <m/>
    <d v="1900-01-09T00:00:00"/>
    <m/>
    <m/>
    <m/>
    <m/>
    <m/>
    <m/>
    <n v="415290646"/>
    <s v="EL01-001905"/>
    <s v="EL01-001905"/>
    <m/>
  </r>
  <r>
    <n v="613"/>
    <d v="2025-06-15T00:00:00"/>
    <n v="415290646"/>
    <s v="EL01-001905-2"/>
    <m/>
    <s v="HANDLE"/>
    <s v="1094V828-001"/>
    <s v="-"/>
    <s v="Wave Mechanics"/>
    <n v="668"/>
    <s v="EA"/>
    <n v="29"/>
    <s v="USD"/>
    <n v="1"/>
    <n v="29"/>
    <n v="19372"/>
    <s v="VR000065"/>
    <x v="50"/>
    <s v="PO2425U10396"/>
    <d v="2024-10-25T00:00:00"/>
    <s v="Net 90 days"/>
    <s v="DAP"/>
    <s v="Yes"/>
    <m/>
    <m/>
    <n v="0"/>
    <n v="668"/>
    <n v="0"/>
    <m/>
    <m/>
    <m/>
    <m/>
    <m/>
    <m/>
    <m/>
    <m/>
    <d v="1900-01-09T00:00:00"/>
    <m/>
    <m/>
    <m/>
    <m/>
    <m/>
    <m/>
    <n v="415290646"/>
    <s v="EL01-001905"/>
    <s v="EL01-001905"/>
    <m/>
  </r>
  <r>
    <n v="614"/>
    <d v="2025-09-15T00:00:00"/>
    <n v="415290646"/>
    <s v="EL01-001905-3"/>
    <m/>
    <s v="HANDLE"/>
    <s v="1094V828-001"/>
    <s v="-"/>
    <s v="Wave Mechanics"/>
    <n v="350"/>
    <s v="EA"/>
    <n v="29"/>
    <s v="USD"/>
    <n v="1"/>
    <n v="29"/>
    <n v="10150"/>
    <s v="VR000065"/>
    <x v="50"/>
    <s v="PO2425U10396"/>
    <d v="2024-10-25T00:00:00"/>
    <s v="Net 90 days"/>
    <s v="DAP"/>
    <s v="Yes"/>
    <m/>
    <m/>
    <n v="0"/>
    <n v="350"/>
    <n v="0"/>
    <m/>
    <m/>
    <m/>
    <m/>
    <m/>
    <m/>
    <m/>
    <m/>
    <d v="1900-01-09T00:00:00"/>
    <m/>
    <m/>
    <m/>
    <m/>
    <m/>
    <m/>
    <n v="415290646"/>
    <s v="EL01-001905"/>
    <s v="EL01-001905"/>
    <m/>
  </r>
  <r>
    <n v="615"/>
    <d v="2025-12-15T00:00:00"/>
    <n v="415290646"/>
    <s v="EL01-001905-4"/>
    <m/>
    <s v="HANDLE"/>
    <s v="1094V828-001"/>
    <s v="-"/>
    <s v="Wave Mechanics"/>
    <n v="534"/>
    <s v="EA"/>
    <n v="29"/>
    <s v="USD"/>
    <n v="1"/>
    <n v="29"/>
    <n v="15486"/>
    <s v="VR000065"/>
    <x v="50"/>
    <s v="PO2425U10396"/>
    <d v="2024-10-25T00:00:00"/>
    <s v="Net 90 days"/>
    <s v="DAP"/>
    <s v="Yes"/>
    <m/>
    <m/>
    <n v="0"/>
    <n v="534"/>
    <n v="0"/>
    <m/>
    <m/>
    <m/>
    <m/>
    <m/>
    <m/>
    <m/>
    <m/>
    <d v="1900-01-09T00:00:00"/>
    <m/>
    <m/>
    <m/>
    <m/>
    <m/>
    <m/>
    <n v="415290646"/>
    <s v="EL01-001905"/>
    <s v="EL01-001905"/>
    <m/>
  </r>
  <r>
    <n v="616"/>
    <d v="2025-12-15T00:00:00"/>
    <n v="415290646"/>
    <s v="EL01-001905-5"/>
    <m/>
    <s v="HANDLE"/>
    <s v="1094V828-001"/>
    <s v="-"/>
    <s v="Wave Mechanics"/>
    <n v="532"/>
    <s v="EA"/>
    <n v="29"/>
    <s v="USD"/>
    <n v="1"/>
    <n v="29"/>
    <n v="15428"/>
    <s v="VR000065"/>
    <x v="50"/>
    <s v="PO2425U10396"/>
    <d v="2024-10-25T00:00:00"/>
    <s v="Net 90 days"/>
    <s v="DAP"/>
    <s v="Yes"/>
    <m/>
    <m/>
    <n v="0"/>
    <n v="456"/>
    <n v="76"/>
    <n v="76"/>
    <m/>
    <m/>
    <m/>
    <d v="2025-12-30T00:00:00"/>
    <m/>
    <m/>
    <m/>
    <d v="2026-01-09T00:00:00"/>
    <m/>
    <m/>
    <m/>
    <m/>
    <m/>
    <m/>
    <n v="415290646"/>
    <s v="EL01-001905"/>
    <s v="EL01-001905"/>
    <n v="2204"/>
  </r>
  <r>
    <n v="617"/>
    <d v="2024-12-15T00:00:00"/>
    <n v="411031349"/>
    <s v="EL01-001882-1"/>
    <m/>
    <s v="Dual PS Cover"/>
    <s v="1038B933-001"/>
    <s v="-"/>
    <s v="Wave Mechanics"/>
    <n v="67"/>
    <s v="EA"/>
    <n v="335"/>
    <s v="USD"/>
    <n v="1"/>
    <n v="335"/>
    <n v="22445"/>
    <s v="VR000065"/>
    <x v="50"/>
    <s v="PO2425U10396"/>
    <d v="2024-10-25T00:00:00"/>
    <s v="Net 90 days"/>
    <s v="DAP"/>
    <s v="Yes"/>
    <m/>
    <m/>
    <n v="0"/>
    <n v="67"/>
    <n v="0"/>
    <m/>
    <m/>
    <m/>
    <m/>
    <m/>
    <m/>
    <m/>
    <m/>
    <d v="1900-01-09T00:00:00"/>
    <m/>
    <m/>
    <m/>
    <m/>
    <m/>
    <m/>
    <n v="411031349"/>
    <s v="EL01-001882"/>
    <s v="EL01-001882"/>
    <m/>
  </r>
  <r>
    <n v="618"/>
    <d v="2025-06-15T00:00:00"/>
    <n v="411031349"/>
    <s v="EL01-001882-2"/>
    <m/>
    <s v="Dual PS Cover"/>
    <s v="1038B933-001"/>
    <s v="-"/>
    <s v="Wave Mechanics"/>
    <n v="20"/>
    <s v="EA"/>
    <n v="335"/>
    <s v="USD"/>
    <n v="1"/>
    <n v="335"/>
    <n v="6700"/>
    <s v="VR000065"/>
    <x v="50"/>
    <s v="PO2425U10396"/>
    <d v="2024-10-25T00:00:00"/>
    <s v="Net 90 days"/>
    <s v="DAP"/>
    <s v="Yes"/>
    <m/>
    <m/>
    <n v="0"/>
    <n v="20"/>
    <n v="0"/>
    <m/>
    <m/>
    <m/>
    <m/>
    <m/>
    <m/>
    <m/>
    <m/>
    <d v="1900-01-09T00:00:00"/>
    <m/>
    <m/>
    <m/>
    <m/>
    <m/>
    <m/>
    <n v="411031349"/>
    <s v="EL01-001882"/>
    <s v="EL01-001882"/>
    <m/>
  </r>
  <r>
    <n v="619"/>
    <d v="2025-09-15T00:00:00"/>
    <n v="411031349"/>
    <s v="EL01-001882-3"/>
    <m/>
    <s v="Dual PS Cover"/>
    <s v="1038B933-001"/>
    <s v="-"/>
    <s v="Wave Mechanics"/>
    <n v="61"/>
    <s v="EA"/>
    <n v="335"/>
    <s v="USD"/>
    <n v="1"/>
    <n v="335"/>
    <n v="20435"/>
    <s v="VR000065"/>
    <x v="50"/>
    <s v="PO2425U10396"/>
    <d v="2024-10-25T00:00:00"/>
    <s v="Net 90 days"/>
    <s v="DAP"/>
    <s v="Yes"/>
    <m/>
    <m/>
    <n v="0"/>
    <n v="61"/>
    <n v="0"/>
    <m/>
    <m/>
    <m/>
    <m/>
    <m/>
    <m/>
    <m/>
    <m/>
    <d v="1900-01-09T00:00:00"/>
    <m/>
    <m/>
    <m/>
    <m/>
    <m/>
    <m/>
    <n v="411031349"/>
    <s v="EL01-001882"/>
    <s v="EL01-001882"/>
    <m/>
  </r>
  <r>
    <n v="620"/>
    <d v="2025-12-15T00:00:00"/>
    <n v="411031349"/>
    <s v="EL01-001882-4"/>
    <m/>
    <s v="Dual PS Cover"/>
    <s v="1038B933-001"/>
    <s v="-"/>
    <s v="Wave Mechanics"/>
    <n v="75"/>
    <s v="EA"/>
    <n v="335"/>
    <s v="USD"/>
    <n v="1"/>
    <n v="335"/>
    <n v="25125"/>
    <s v="VR000065"/>
    <x v="50"/>
    <s v="PO2425U10396"/>
    <d v="2024-10-25T00:00:00"/>
    <s v="Net 90 days"/>
    <s v="DAP"/>
    <s v="Yes"/>
    <m/>
    <m/>
    <n v="0"/>
    <n v="75"/>
    <n v="0"/>
    <m/>
    <m/>
    <m/>
    <m/>
    <m/>
    <m/>
    <m/>
    <m/>
    <d v="1900-01-09T00:00:00"/>
    <m/>
    <m/>
    <m/>
    <m/>
    <m/>
    <m/>
    <n v="411031349"/>
    <s v="EL01-001882"/>
    <s v="EL01-001882"/>
    <m/>
  </r>
  <r>
    <n v="621"/>
    <d v="2025-12-15T00:00:00"/>
    <n v="411031349"/>
    <s v="EL01-001882-5"/>
    <m/>
    <s v="Dual PS Cover"/>
    <s v="1038B933-001"/>
    <s v="-"/>
    <s v="Wave Mechanics"/>
    <n v="100"/>
    <s v="EA"/>
    <n v="335"/>
    <s v="USD"/>
    <n v="1"/>
    <n v="335"/>
    <n v="33500"/>
    <s v="VR000065"/>
    <x v="50"/>
    <s v="PO2425U10396"/>
    <d v="2024-10-25T00:00:00"/>
    <s v="Net 90 days"/>
    <s v="DAP"/>
    <s v="Yes"/>
    <m/>
    <m/>
    <n v="0"/>
    <n v="100"/>
    <n v="0"/>
    <m/>
    <m/>
    <m/>
    <m/>
    <m/>
    <m/>
    <m/>
    <m/>
    <d v="1900-01-09T00:00:00"/>
    <m/>
    <m/>
    <m/>
    <m/>
    <m/>
    <m/>
    <n v="411031349"/>
    <s v="EL01-001882"/>
    <s v="EL01-001882"/>
    <m/>
  </r>
  <r>
    <n v="622"/>
    <d v="2025-12-15T00:00:00"/>
    <n v="411031349"/>
    <s v="EL01-001882-6"/>
    <m/>
    <s v="Dual PS Cover"/>
    <s v="1038B933-001"/>
    <s v="-"/>
    <s v="Wave Mechanics"/>
    <n v="107"/>
    <s v="EA"/>
    <n v="335"/>
    <s v="USD"/>
    <n v="1"/>
    <n v="335"/>
    <n v="35845"/>
    <s v="VR000065"/>
    <x v="50"/>
    <s v="PO2425U10396"/>
    <d v="2024-10-25T00:00:00"/>
    <s v="Net 90 days"/>
    <s v="DAP"/>
    <s v="Yes"/>
    <m/>
    <m/>
    <n v="0"/>
    <n v="107"/>
    <n v="0"/>
    <m/>
    <m/>
    <m/>
    <m/>
    <m/>
    <m/>
    <m/>
    <m/>
    <d v="1900-01-09T00:00:00"/>
    <m/>
    <m/>
    <m/>
    <n v="71"/>
    <m/>
    <m/>
    <n v="411031349"/>
    <s v="EL01-001882"/>
    <s v="EL01-001882"/>
    <m/>
  </r>
  <r>
    <n v="623"/>
    <d v="2025-12-15T00:00:00"/>
    <n v="411031349"/>
    <s v="EL01-001882-7"/>
    <m/>
    <s v="Dual PS Cover"/>
    <s v="1038B933-001"/>
    <s v="-"/>
    <s v="Wave Mechanics"/>
    <n v="125"/>
    <s v="EA"/>
    <n v="335"/>
    <s v="USD"/>
    <n v="1"/>
    <n v="335"/>
    <n v="41875"/>
    <s v="VR000065"/>
    <x v="50"/>
    <s v="PO2425U10396"/>
    <d v="2024-10-25T00:00:00"/>
    <s v="Net 90 days"/>
    <s v="DAP"/>
    <s v="Yes"/>
    <m/>
    <m/>
    <n v="0"/>
    <n v="125"/>
    <n v="0"/>
    <n v="19"/>
    <n v="-19"/>
    <m/>
    <m/>
    <d v="2025-12-17T00:00:00"/>
    <d v="2026-01-02T00:00:00"/>
    <m/>
    <m/>
    <d v="2025-12-27T00:00:00"/>
    <m/>
    <m/>
    <m/>
    <m/>
    <m/>
    <m/>
    <n v="411031349"/>
    <s v="EL01-001882"/>
    <s v="EL01-001882"/>
    <m/>
  </r>
  <r>
    <n v="624"/>
    <d v="2025-12-15T00:00:00"/>
    <n v="411031349"/>
    <s v="EL01-001882-8"/>
    <m/>
    <s v="Dual PS Cover"/>
    <s v="1038B933-001"/>
    <s v="-"/>
    <s v="Wave Mechanics"/>
    <n v="125"/>
    <s v="EA"/>
    <n v="335"/>
    <s v="USD"/>
    <n v="1"/>
    <n v="335"/>
    <n v="41875"/>
    <s v="VR000065"/>
    <x v="50"/>
    <s v="PO2425U10396"/>
    <d v="2024-10-25T00:00:00"/>
    <s v="Net 90 days"/>
    <s v="DAP"/>
    <s v="Yes"/>
    <m/>
    <m/>
    <n v="0"/>
    <n v="3"/>
    <n v="122"/>
    <n v="55"/>
    <n v="20"/>
    <n v="50"/>
    <m/>
    <d v="2026-01-02T00:00:00"/>
    <d v="2026-01-06T00:00:00"/>
    <d v="2026-01-19T00:00:00"/>
    <m/>
    <d v="2026-01-12T00:00:00"/>
    <m/>
    <m/>
    <m/>
    <m/>
    <m/>
    <m/>
    <n v="411031349"/>
    <s v="EL01-001882"/>
    <s v="EL01-001882"/>
    <n v="40870"/>
  </r>
  <r>
    <n v="625"/>
    <d v="2025-12-15T00:00:00"/>
    <n v="411031349"/>
    <s v="EL01-001882-9"/>
    <m/>
    <s v="Dual PS Cover"/>
    <s v="1038B933-001"/>
    <s v="-"/>
    <s v="Wave Mechanics"/>
    <n v="125"/>
    <s v="EA"/>
    <n v="335"/>
    <s v="USD"/>
    <n v="1"/>
    <n v="335"/>
    <n v="41875"/>
    <s v="VR000065"/>
    <x v="50"/>
    <s v="PO2425U10396"/>
    <d v="2024-10-25T00:00:00"/>
    <s v="Net 90 days"/>
    <s v="DAP"/>
    <s v="Yes"/>
    <m/>
    <m/>
    <n v="0"/>
    <n v="0"/>
    <n v="125"/>
    <n v="75"/>
    <n v="25"/>
    <n v="25"/>
    <m/>
    <d v="2026-01-19T00:00:00"/>
    <d v="2026-02-09T00:00:00"/>
    <d v="2026-02-28T00:00:00"/>
    <m/>
    <d v="2026-01-29T00:00:00"/>
    <m/>
    <m/>
    <m/>
    <m/>
    <m/>
    <m/>
    <n v="411031349"/>
    <s v="EL01-001882"/>
    <s v="EL01-001882"/>
    <n v="41875"/>
  </r>
  <r>
    <n v="626"/>
    <d v="2025-12-15T00:00:00"/>
    <n v="411031349"/>
    <s v="EL01-001882-10"/>
    <m/>
    <s v="Dual PS Cover"/>
    <s v="1038B933-001"/>
    <s v="-"/>
    <s v="Wave Mechanics"/>
    <n v="125"/>
    <s v="EA"/>
    <n v="335"/>
    <s v="USD"/>
    <n v="1"/>
    <n v="335"/>
    <n v="41875"/>
    <s v="VR000065"/>
    <x v="50"/>
    <s v="PO2425U10396"/>
    <d v="2024-10-25T00:00:00"/>
    <s v="Net 90 days"/>
    <s v="DAP"/>
    <s v="Yes"/>
    <m/>
    <m/>
    <n v="0"/>
    <n v="0"/>
    <n v="125"/>
    <n v="100"/>
    <n v="25"/>
    <m/>
    <m/>
    <d v="2026-02-28T00:00:00"/>
    <d v="2026-03-09T00:00:00"/>
    <m/>
    <m/>
    <d v="2026-03-10T00:00:00"/>
    <m/>
    <m/>
    <m/>
    <m/>
    <m/>
    <m/>
    <n v="411031349"/>
    <s v="EL01-001882"/>
    <s v="EL01-001882"/>
    <n v="41875"/>
  </r>
  <r>
    <n v="627"/>
    <d v="2025-12-15T00:00:00"/>
    <n v="411031349"/>
    <s v="EL01-001882-11"/>
    <m/>
    <s v="Dual PS Cover"/>
    <s v="1038B933-001"/>
    <s v="-"/>
    <s v="Wave Mechanics"/>
    <n v="137"/>
    <s v="EA"/>
    <n v="335"/>
    <s v="USD"/>
    <n v="1"/>
    <n v="335"/>
    <n v="45895"/>
    <s v="VR000065"/>
    <x v="50"/>
    <s v="PO2425U10396"/>
    <d v="2024-10-25T00:00:00"/>
    <s v="Net 90 days"/>
    <s v="DAP"/>
    <s v="Yes"/>
    <m/>
    <m/>
    <n v="0"/>
    <n v="0"/>
    <n v="137"/>
    <n v="137"/>
    <m/>
    <m/>
    <m/>
    <d v="2026-03-30T00:00:00"/>
    <m/>
    <m/>
    <m/>
    <d v="2026-04-09T00:00:00"/>
    <m/>
    <m/>
    <m/>
    <m/>
    <m/>
    <m/>
    <n v="411031349"/>
    <s v="EL01-001882"/>
    <s v="EL01-001882"/>
    <n v="45895"/>
  </r>
  <r>
    <n v="628"/>
    <d v="2024-12-15T00:00:00"/>
    <n v="405656805"/>
    <s v="EL01-001868-1"/>
    <m/>
    <s v="CHIP CAP 10UF 10^ 50V X7R T&amp;R"/>
    <s v="CL32B106KBJNNWE"/>
    <m/>
    <s v="SAMSUNG"/>
    <n v="94000"/>
    <s v="EA"/>
    <n v="9.8000000000000004E-2"/>
    <s v="USD"/>
    <n v="1"/>
    <n v="9.8000000000000004E-2"/>
    <n v="9212"/>
    <s v="VR000549"/>
    <x v="51"/>
    <s v="PO2425U10577"/>
    <d v="2024-12-02T00:00:00"/>
    <s v="100% Advance"/>
    <s v="EXW"/>
    <s v="Yes"/>
    <s v="Received "/>
    <s v="Done"/>
    <n v="0"/>
    <n v="94000"/>
    <n v="0"/>
    <m/>
    <m/>
    <m/>
    <m/>
    <m/>
    <m/>
    <m/>
    <m/>
    <d v="1900-01-09T00:00:00"/>
    <m/>
    <m/>
    <m/>
    <m/>
    <m/>
    <m/>
    <n v="405656805"/>
    <s v="EL01-001868"/>
    <s v="EL01-001868"/>
    <m/>
  </r>
  <r>
    <n v="629"/>
    <d v="2025-09-15T00:00:00"/>
    <n v="405656805"/>
    <s v="EL01-001868-2"/>
    <m/>
    <s v="CHIP CAP 10UF 10^ 50V X7R T&amp;R"/>
    <s v="CL32B106KBJNNWE"/>
    <m/>
    <s v="SAMSUNG"/>
    <n v="20000"/>
    <s v="EA"/>
    <n v="9.8000000000000004E-2"/>
    <s v="USD"/>
    <n v="1"/>
    <n v="9.8000000000000004E-2"/>
    <n v="1960"/>
    <s v="VR000549"/>
    <x v="51"/>
    <s v="PO2425U10577"/>
    <d v="2024-12-02T00:00:00"/>
    <s v="100% Advance"/>
    <s v="EXW"/>
    <s v="Yes"/>
    <s v="Received "/>
    <s v="Done"/>
    <n v="0"/>
    <n v="20000"/>
    <n v="0"/>
    <m/>
    <m/>
    <m/>
    <m/>
    <m/>
    <m/>
    <m/>
    <m/>
    <d v="1900-01-09T00:00:00"/>
    <m/>
    <m/>
    <m/>
    <m/>
    <m/>
    <m/>
    <n v="405656805"/>
    <s v="EL01-001868"/>
    <s v="EL01-001868"/>
    <m/>
  </r>
  <r>
    <n v="630"/>
    <d v="2024-12-15T00:00:00"/>
    <n v="417983138"/>
    <s v="EL01-001718-1"/>
    <m/>
    <s v="CHIP CAP 1UF 10% 25V X7R T&amp;R"/>
    <s v="CL31B105KAHNNNE"/>
    <m/>
    <s v="SAMSUNG"/>
    <n v="28000"/>
    <s v="EA"/>
    <n v="7.7000000000000002E-3"/>
    <s v="USD"/>
    <n v="1"/>
    <n v="7.7000000000000002E-3"/>
    <n v="215.6"/>
    <s v="VR000549"/>
    <x v="51"/>
    <s v="PO2425U10577"/>
    <d v="2024-12-02T00:00:00"/>
    <s v="100% Advance"/>
    <s v="EXW"/>
    <s v="Yes"/>
    <s v="Received "/>
    <s v="Done"/>
    <n v="0"/>
    <n v="28000"/>
    <n v="0"/>
    <m/>
    <m/>
    <m/>
    <m/>
    <m/>
    <m/>
    <m/>
    <m/>
    <d v="1900-01-09T00:00:00"/>
    <m/>
    <m/>
    <m/>
    <m/>
    <m/>
    <m/>
    <n v="417983138"/>
    <s v="EL01-001718"/>
    <s v="EL01-001718"/>
    <m/>
  </r>
  <r>
    <n v="631"/>
    <d v="2024-12-15T00:00:00"/>
    <s v="N41402082"/>
    <s v="EL01-001871-1"/>
    <m/>
    <s v="TERMINAL  SOLDER LUG"/>
    <n v="200090"/>
    <m/>
    <s v="SODIMATEL"/>
    <n v="5000"/>
    <s v="EA"/>
    <n v="0.64800000000000002"/>
    <s v="EUR"/>
    <n v="1.1200000000000001"/>
    <n v="0.72576000000000007"/>
    <n v="3628.8"/>
    <s v="VR000531"/>
    <x v="52"/>
    <s v="PO2425U10463"/>
    <d v="2024-10-30T00:00:00"/>
    <s v="100% Advance"/>
    <s v="EXW"/>
    <s v="Yes"/>
    <s v="Received "/>
    <m/>
    <n v="0"/>
    <n v="5000"/>
    <n v="0"/>
    <m/>
    <m/>
    <m/>
    <m/>
    <m/>
    <m/>
    <m/>
    <m/>
    <d v="1900-01-09T00:00:00"/>
    <m/>
    <s v="Received"/>
    <m/>
    <m/>
    <m/>
    <m/>
    <s v="N41402082"/>
    <s v="EL01-001871"/>
    <s v="EL01-001871"/>
    <m/>
  </r>
  <r>
    <n v="632"/>
    <d v="2024-12-15T00:00:00"/>
    <n v="401519401"/>
    <s v="EL01-000296-1"/>
    <m/>
    <s v="DESICCANT BLOCK (SOCD)"/>
    <s v="1094H845-001"/>
    <m/>
    <s v="YAIL NOA"/>
    <n v="196"/>
    <s v="EA"/>
    <n v="52"/>
    <s v="GBP"/>
    <n v="1.3"/>
    <n v="67.600000000000009"/>
    <n v="13249.600000000002"/>
    <s v="VR000540"/>
    <x v="53"/>
    <s v="PO2425U10472"/>
    <d v="2024-11-04T00:00:00"/>
    <s v="100% Advance "/>
    <s v="EXW"/>
    <s v="Yes"/>
    <s v="Received "/>
    <m/>
    <n v="0"/>
    <n v="196"/>
    <n v="0"/>
    <m/>
    <m/>
    <m/>
    <m/>
    <m/>
    <m/>
    <m/>
    <m/>
    <d v="1900-01-09T00:00:00"/>
    <m/>
    <m/>
    <m/>
    <m/>
    <m/>
    <m/>
    <n v="401519401"/>
    <s v="EL01-000296"/>
    <s v="EL01-000296"/>
    <m/>
  </r>
  <r>
    <n v="633"/>
    <d v="2024-12-15T00:00:00"/>
    <n v="880045331"/>
    <s v="EL01-000347-1"/>
    <m/>
    <s v="HUMIDITY INDICATOR,RELATIVE,30 &amp; 50% LEV"/>
    <s v="BLD5000/01"/>
    <m/>
    <s v="BROWNELL LTD"/>
    <n v="130"/>
    <s v="EA"/>
    <n v="49"/>
    <s v="GBP"/>
    <n v="1.3"/>
    <n v="63.7"/>
    <n v="8281"/>
    <s v="VR000540"/>
    <x v="53"/>
    <s v="PO2425U10472"/>
    <d v="2024-11-04T00:00:00"/>
    <s v="100% Advance "/>
    <s v="EXW"/>
    <s v="Yes"/>
    <s v="Received "/>
    <m/>
    <n v="0"/>
    <n v="130"/>
    <n v="0"/>
    <m/>
    <m/>
    <m/>
    <m/>
    <m/>
    <m/>
    <m/>
    <m/>
    <d v="1900-01-09T00:00:00"/>
    <m/>
    <m/>
    <m/>
    <m/>
    <m/>
    <m/>
    <n v="880045331"/>
    <s v="EL01-000347"/>
    <s v="EL01-000347"/>
    <m/>
  </r>
  <r>
    <n v="634"/>
    <d v="2025-09-15T00:00:00"/>
    <n v="401519401"/>
    <s v="EL01-000296-2"/>
    <m/>
    <s v="DESICCANT BLOCK (SOCD)"/>
    <s v="1094H845-001"/>
    <m/>
    <s v="YAIL NOA"/>
    <n v="194"/>
    <s v="EA"/>
    <n v="52"/>
    <s v="GBP"/>
    <n v="1.3"/>
    <n v="67.600000000000009"/>
    <n v="13114.400000000001"/>
    <s v="VR000540"/>
    <x v="53"/>
    <s v="PO2425U10472"/>
    <d v="2024-11-04T00:00:00"/>
    <s v="100% Advance "/>
    <s v="EXW"/>
    <m/>
    <s v="Received "/>
    <m/>
    <n v="0"/>
    <n v="194"/>
    <n v="0"/>
    <m/>
    <m/>
    <m/>
    <m/>
    <m/>
    <m/>
    <m/>
    <m/>
    <d v="1900-01-09T00:00:00"/>
    <m/>
    <m/>
    <m/>
    <m/>
    <m/>
    <m/>
    <n v="401519401"/>
    <s v="EL01-000296"/>
    <s v="EL01-000296"/>
    <m/>
  </r>
  <r>
    <n v="635"/>
    <d v="2025-01-15T00:00:00"/>
    <s v="N51872976"/>
    <s v="EL01-001837-1"/>
    <m/>
    <s v="TRAN. VOLT. SUPPR.  VR=24V VC=38V  I"/>
    <s v="SMBJ24A-E3/52 "/>
    <m/>
    <s v="VISHAY"/>
    <n v="3000"/>
    <s v="EA"/>
    <n v="5.5E-2"/>
    <s v="USD"/>
    <n v="1"/>
    <n v="5.5E-2"/>
    <n v="165"/>
    <s v="VR000051"/>
    <x v="18"/>
    <s v="PO2425U10649"/>
    <d v="2024-12-27T00:00:00"/>
    <s v="Before shipment"/>
    <s v="EXW"/>
    <s v="Yes"/>
    <s v="Received "/>
    <s v="Done"/>
    <n v="0"/>
    <n v="3000"/>
    <n v="0"/>
    <m/>
    <m/>
    <m/>
    <m/>
    <m/>
    <m/>
    <m/>
    <m/>
    <d v="1900-01-09T00:00:00"/>
    <m/>
    <s v="Received"/>
    <m/>
    <m/>
    <m/>
    <m/>
    <s v="N51872976"/>
    <s v="EL01-001837"/>
    <s v="EL01-001837"/>
    <m/>
  </r>
  <r>
    <n v="636"/>
    <d v="2025-01-15T00:00:00"/>
    <n v="403129345"/>
    <s v="EL01-001815-12"/>
    <m/>
    <s v="FUSE VERY FAST-ACTING"/>
    <s v="0466002.NRHF"/>
    <m/>
    <s v=" Littelfuse"/>
    <n v="20000"/>
    <s v="EA"/>
    <n v="6.7000000000000004E-2"/>
    <s v="USD"/>
    <n v="1"/>
    <n v="6.7000000000000004E-2"/>
    <n v="1340"/>
    <s v="VR000509"/>
    <x v="39"/>
    <s v="PO2425U10650"/>
    <d v="2024-12-27T00:00:00"/>
    <s v="Net 30days"/>
    <s v="EXW"/>
    <s v="Yes"/>
    <m/>
    <m/>
    <n v="0"/>
    <n v="20000"/>
    <n v="0"/>
    <m/>
    <m/>
    <m/>
    <m/>
    <m/>
    <m/>
    <m/>
    <m/>
    <d v="1900-01-09T00:00:00"/>
    <m/>
    <m/>
    <m/>
    <m/>
    <m/>
    <m/>
    <n v="403129345"/>
    <s v="EL01-001815"/>
    <s v="EL01-001815"/>
    <m/>
  </r>
  <r>
    <n v="637"/>
    <d v="2025-01-15T00:00:00"/>
    <n v="400606117"/>
    <s v="EL01-001895-1"/>
    <m/>
    <s v="CABLE ASSY. W3"/>
    <s v="1094R477-001"/>
    <s v="-"/>
    <s v="EIM"/>
    <n v="267"/>
    <s v="EA"/>
    <n v="305"/>
    <s v="USD"/>
    <n v="1"/>
    <n v="305"/>
    <n v="81435"/>
    <s v="VR000058"/>
    <x v="19"/>
    <s v="PO2425U10659"/>
    <d v="2025-01-02T00:00:00"/>
    <s v="100% Advance"/>
    <s v="EXW"/>
    <m/>
    <m/>
    <m/>
    <n v="0"/>
    <n v="267"/>
    <n v="0"/>
    <m/>
    <m/>
    <m/>
    <m/>
    <m/>
    <m/>
    <m/>
    <m/>
    <d v="1900-01-09T00:00:00"/>
    <m/>
    <m/>
    <m/>
    <m/>
    <m/>
    <m/>
    <n v="400606117"/>
    <s v="EL01-001895"/>
    <s v="EL01-001895"/>
    <m/>
  </r>
  <r>
    <n v="638"/>
    <d v="2025-06-15T00:00:00"/>
    <n v="400606117"/>
    <s v="EL01-001895-2"/>
    <m/>
    <s v="CABLE ASSY. W3"/>
    <s v="1094R477-001"/>
    <s v="-"/>
    <s v="EIM"/>
    <n v="267"/>
    <s v="EA"/>
    <n v="305"/>
    <s v="USD"/>
    <n v="1"/>
    <n v="305"/>
    <n v="81435"/>
    <s v="VR000058"/>
    <x v="19"/>
    <s v="PO2425U10659"/>
    <d v="2025-01-02T00:00:00"/>
    <s v="100% Advance"/>
    <s v="EXW"/>
    <m/>
    <m/>
    <m/>
    <n v="0"/>
    <n v="267"/>
    <n v="0"/>
    <m/>
    <m/>
    <m/>
    <m/>
    <d v="2025-12-17T00:00:00"/>
    <m/>
    <m/>
    <m/>
    <d v="2025-12-27T00:00:00"/>
    <m/>
    <m/>
    <m/>
    <n v="100"/>
    <m/>
    <m/>
    <n v="400606117"/>
    <s v="EL01-001895"/>
    <s v="EL01-001895"/>
    <m/>
  </r>
  <r>
    <n v="639"/>
    <d v="2025-09-15T00:00:00"/>
    <n v="400606117"/>
    <s v="EL01-001895-3"/>
    <m/>
    <s v="CABLE ASSY. W3"/>
    <s v="1094R477-001"/>
    <s v="-"/>
    <s v="EIM"/>
    <n v="267"/>
    <s v="EA"/>
    <n v="305"/>
    <s v="USD"/>
    <n v="1"/>
    <n v="305"/>
    <n v="81435"/>
    <s v="VR000058"/>
    <x v="19"/>
    <s v="PO2425U10659"/>
    <d v="2025-01-02T00:00:00"/>
    <s v="100% Advance"/>
    <s v="EXW"/>
    <m/>
    <m/>
    <m/>
    <n v="0"/>
    <n v="267"/>
    <n v="0"/>
    <m/>
    <m/>
    <m/>
    <m/>
    <m/>
    <m/>
    <m/>
    <m/>
    <d v="1900-01-09T00:00:00"/>
    <m/>
    <m/>
    <m/>
    <m/>
    <m/>
    <m/>
    <n v="400606117"/>
    <s v="EL01-001895"/>
    <s v="EL01-001895"/>
    <m/>
  </r>
  <r>
    <n v="640"/>
    <d v="2025-12-15T00:00:00"/>
    <n v="400606117"/>
    <s v="EL01-001895-4"/>
    <m/>
    <s v="CABLE ASSY. W3"/>
    <s v="1094R477-001"/>
    <s v="-"/>
    <s v="EIM"/>
    <n v="266"/>
    <s v="EA"/>
    <n v="305"/>
    <s v="USD"/>
    <n v="1"/>
    <n v="305"/>
    <n v="81130"/>
    <s v="VR000058"/>
    <x v="19"/>
    <s v="PO2425U10659"/>
    <d v="2025-01-02T00:00:00"/>
    <s v="100% Advance"/>
    <s v="EXW"/>
    <m/>
    <m/>
    <m/>
    <n v="100"/>
    <n v="4"/>
    <n v="162"/>
    <m/>
    <m/>
    <m/>
    <m/>
    <m/>
    <m/>
    <m/>
    <m/>
    <d v="1900-01-09T00:00:00"/>
    <m/>
    <m/>
    <m/>
    <m/>
    <m/>
    <m/>
    <n v="400606117"/>
    <s v="EL01-001895"/>
    <s v="EL01-001895"/>
    <n v="49410"/>
  </r>
  <r>
    <n v="641"/>
    <d v="2025-01-15T00:00:00"/>
    <n v="412240982"/>
    <s v="EL01-000243-1"/>
    <m/>
    <s v="S/R CABLE W25"/>
    <s v="45M19K-70-01F136"/>
    <m/>
    <s v="HUANG LIANG TECHNOLOGIES CO.,LTD."/>
    <n v="196"/>
    <s v="EA"/>
    <n v="42.55"/>
    <s v="USD"/>
    <n v="1"/>
    <n v="42.55"/>
    <n v="8339.7999999999993"/>
    <s v="VR000534"/>
    <x v="27"/>
    <s v="PO2425U10660"/>
    <d v="2025-01-02T00:00:00"/>
    <s v="30% Advance payment and balance 70% before shipment "/>
    <s v="EXW"/>
    <s v="Yes"/>
    <m/>
    <m/>
    <n v="0"/>
    <n v="196"/>
    <n v="0"/>
    <m/>
    <m/>
    <m/>
    <m/>
    <m/>
    <m/>
    <m/>
    <m/>
    <d v="1900-01-09T00:00:00"/>
    <m/>
    <m/>
    <m/>
    <m/>
    <m/>
    <m/>
    <n v="412240982"/>
    <s v="EL01-000243"/>
    <s v="EL01-000243"/>
    <m/>
  </r>
  <r>
    <n v="642"/>
    <d v="2025-01-15T00:00:00"/>
    <n v="412240982"/>
    <s v="EL01-000243-2"/>
    <m/>
    <s v="S/R CABLE W25"/>
    <s v="45M19K-70-01F136"/>
    <m/>
    <s v="HUANG LIANG TECHNOLOGIES CO.,LTD."/>
    <n v="194"/>
    <s v="EA"/>
    <n v="42.55"/>
    <s v="USD"/>
    <n v="1"/>
    <n v="42.55"/>
    <n v="8254.6999999999989"/>
    <s v="VR000534"/>
    <x v="27"/>
    <s v="PO2425U10660"/>
    <d v="2025-01-02T00:00:00"/>
    <s v="30% Advance payment and balance 70% before shipment "/>
    <s v="EXW"/>
    <s v="Yes"/>
    <m/>
    <m/>
    <n v="0"/>
    <n v="194"/>
    <n v="0"/>
    <m/>
    <m/>
    <m/>
    <m/>
    <m/>
    <m/>
    <m/>
    <m/>
    <d v="1900-01-09T00:00:00"/>
    <m/>
    <m/>
    <m/>
    <m/>
    <m/>
    <m/>
    <n v="412240982"/>
    <s v="EL01-000243"/>
    <s v="EL01-000243"/>
    <m/>
  </r>
  <r>
    <n v="643"/>
    <d v="2025-01-15T00:00:00"/>
    <n v="417305027"/>
    <s v="EL01-002018-1"/>
    <m/>
    <s v="S/R CABLE"/>
    <s v="45M18L-142-60F17K"/>
    <m/>
    <s v="HUANG LIANG TECHNOLOGIES CO.,LTD."/>
    <n v="2080"/>
    <s v="EA"/>
    <n v="29.13"/>
    <s v="USD"/>
    <n v="1"/>
    <n v="29.13"/>
    <n v="60590.400000000001"/>
    <s v="VR000534"/>
    <x v="27"/>
    <s v="PO2425U10660"/>
    <d v="2025-01-02T00:00:00"/>
    <s v="30% Advance payment and balance 70% before shipment "/>
    <s v="EXW"/>
    <s v="Yes"/>
    <m/>
    <m/>
    <n v="0"/>
    <n v="2080"/>
    <n v="0"/>
    <m/>
    <m/>
    <m/>
    <m/>
    <m/>
    <m/>
    <m/>
    <m/>
    <d v="1900-01-09T00:00:00"/>
    <s v="Part number 45M18K-142-60F17K corrected based on supplier email. Correct part number 45M18L-142-60F17K"/>
    <m/>
    <m/>
    <m/>
    <m/>
    <m/>
    <n v="417305027"/>
    <s v="EL01-002018"/>
    <s v="EL01-002018"/>
    <m/>
  </r>
  <r>
    <n v="644"/>
    <d v="2025-06-15T00:00:00"/>
    <n v="417305027"/>
    <s v="EL01-002018-2"/>
    <m/>
    <s v="S/R CABLE"/>
    <s v="45M18L-142-60F17K"/>
    <m/>
    <s v="HUANG LIANG TECHNOLOGIES CO.,LTD."/>
    <n v="2080"/>
    <s v="EA"/>
    <n v="29.13"/>
    <s v="USD"/>
    <n v="1"/>
    <n v="29.13"/>
    <n v="60590.400000000001"/>
    <s v="VR000534"/>
    <x v="27"/>
    <s v="PO2425U10660"/>
    <d v="2025-01-02T00:00:00"/>
    <s v="30% Advance payment and balance 70% before shipment "/>
    <s v="EXW"/>
    <m/>
    <m/>
    <m/>
    <n v="0"/>
    <n v="2080"/>
    <n v="0"/>
    <m/>
    <m/>
    <m/>
    <m/>
    <m/>
    <m/>
    <m/>
    <m/>
    <d v="1900-01-09T00:00:00"/>
    <m/>
    <m/>
    <m/>
    <m/>
    <m/>
    <m/>
    <n v="417305027"/>
    <s v="EL01-002018"/>
    <s v="EL01-002018"/>
    <m/>
  </r>
  <r>
    <n v="645"/>
    <d v="2025-09-15T00:00:00"/>
    <n v="417305027"/>
    <s v="EL01-002018-3"/>
    <m/>
    <s v="S/R CABLE"/>
    <s v="45M18L-142-60F17K"/>
    <m/>
    <s v="HUANG LIANG TECHNOLOGIES CO.,LTD."/>
    <n v="2080"/>
    <s v="EA"/>
    <n v="29.13"/>
    <s v="USD"/>
    <n v="1"/>
    <n v="29.13"/>
    <n v="60590.400000000001"/>
    <s v="VR000534"/>
    <x v="27"/>
    <s v="PO2425U10660"/>
    <d v="2025-01-02T00:00:00"/>
    <s v="30% Advance payment and balance 70% before shipment "/>
    <s v="EXW"/>
    <m/>
    <m/>
    <m/>
    <n v="0"/>
    <n v="2080"/>
    <n v="0"/>
    <m/>
    <m/>
    <m/>
    <m/>
    <m/>
    <m/>
    <m/>
    <m/>
    <d v="1900-01-09T00:00:00"/>
    <m/>
    <m/>
    <m/>
    <m/>
    <m/>
    <m/>
    <n v="417305027"/>
    <s v="EL01-002018"/>
    <s v="EL01-002018"/>
    <m/>
  </r>
  <r>
    <n v="646"/>
    <d v="2025-12-15T00:00:00"/>
    <n v="417305027"/>
    <s v="EL01-002018-4"/>
    <m/>
    <s v="S/R CABLE"/>
    <s v="45M18L-142-60F17K"/>
    <m/>
    <s v="HUANG LIANG TECHNOLOGIES CO.,LTD."/>
    <n v="2080"/>
    <s v="EA"/>
    <n v="29.13"/>
    <s v="USD"/>
    <n v="1"/>
    <n v="29.13"/>
    <n v="60590.400000000001"/>
    <s v="VR000534"/>
    <x v="27"/>
    <s v="PO2425U10660"/>
    <d v="2025-01-02T00:00:00"/>
    <s v="30% Advance payment and balance 70% before shipment "/>
    <s v="EXW"/>
    <m/>
    <m/>
    <m/>
    <n v="0"/>
    <n v="2080"/>
    <n v="0"/>
    <m/>
    <m/>
    <m/>
    <m/>
    <m/>
    <m/>
    <m/>
    <m/>
    <d v="1900-01-09T00:00:00"/>
    <m/>
    <m/>
    <m/>
    <m/>
    <m/>
    <m/>
    <n v="417305027"/>
    <s v="EL01-002018"/>
    <s v="EL01-002018"/>
    <m/>
  </r>
  <r>
    <n v="647"/>
    <d v="2025-12-15T00:00:00"/>
    <n v="411522819"/>
    <s v="EL01-002232-1"/>
    <m/>
    <s v="DC HARNESS RA"/>
    <s v="1096M296-001"/>
    <n v="-1"/>
    <s v="DCX"/>
    <n v="528"/>
    <s v="EA"/>
    <n v="515.88"/>
    <s v="USD"/>
    <n v="1"/>
    <n v="515.88"/>
    <n v="272384.64000000001"/>
    <m/>
    <x v="15"/>
    <s v="PO2526U10077"/>
    <d v="2025-04-24T00:00:00"/>
    <s v="Net 30 Days"/>
    <s v="EXW"/>
    <m/>
    <m/>
    <m/>
    <n v="0"/>
    <n v="528"/>
    <n v="150"/>
    <m/>
    <m/>
    <m/>
    <m/>
    <d v="2025-10-31T00:00:00"/>
    <m/>
    <m/>
    <m/>
    <d v="2025-11-10T00:00:00"/>
    <m/>
    <m/>
    <m/>
    <m/>
    <m/>
    <m/>
    <n v="411522819"/>
    <s v="EL01-002232"/>
    <s v="EL01-002232"/>
    <n v="77382"/>
  </r>
  <r>
    <n v="648"/>
    <d v="2025-06-15T00:00:00"/>
    <n v="423206890"/>
    <s v="EL01-001963-1"/>
    <s v="CIWS-PL1"/>
    <s v="ANT CIWS FINAL ASSY FAI Lot"/>
    <s v="1099R700-001"/>
    <m/>
    <s v="As per ELTA SPEC"/>
    <n v="3"/>
    <s v="EA"/>
    <n v="25043"/>
    <s v="USD"/>
    <n v="1"/>
    <n v="25043"/>
    <n v="75129"/>
    <s v="VR000617"/>
    <x v="54"/>
    <s v="PO2425U10671"/>
    <d v="2025-01-07T00:00:00"/>
    <s v="25% Advance,75% Before shipment"/>
    <s v="EXW"/>
    <m/>
    <m/>
    <m/>
    <n v="0"/>
    <n v="0"/>
    <n v="3"/>
    <n v="3"/>
    <m/>
    <m/>
    <m/>
    <m/>
    <m/>
    <m/>
    <m/>
    <d v="1900-01-09T00:00:00"/>
    <s v="BG received 3/10/2025"/>
    <m/>
    <m/>
    <m/>
    <m/>
    <m/>
    <n v="423206890"/>
    <s v="EL01-001963"/>
    <s v="EL01-001963"/>
    <n v="75129"/>
  </r>
  <r>
    <n v="649"/>
    <d v="2025-01-07T00:00:00"/>
    <n v="416969236"/>
    <s v="EL01-001875-1"/>
    <s v="CIWS-PL2"/>
    <s v="HEAT EXCHANGER FAI Lot"/>
    <s v="1038B611-001"/>
    <m/>
    <s v="As per ELTA SPEC"/>
    <n v="3"/>
    <s v="EA"/>
    <n v="6930"/>
    <s v="USD"/>
    <n v="1"/>
    <n v="6930"/>
    <n v="20790"/>
    <s v="VR000617"/>
    <x v="54"/>
    <s v="PO2425U10671"/>
    <d v="2025-01-07T00:00:00"/>
    <s v="25% Advance,75% Before shipment"/>
    <s v="EXW"/>
    <m/>
    <m/>
    <m/>
    <n v="0"/>
    <n v="0"/>
    <n v="3"/>
    <n v="3"/>
    <m/>
    <m/>
    <m/>
    <m/>
    <m/>
    <m/>
    <m/>
    <d v="1900-01-09T00:00:00"/>
    <s v="BG received 3/10/2025"/>
    <m/>
    <m/>
    <n v="3"/>
    <m/>
    <m/>
    <n v="416969236"/>
    <s v="EL01-001875"/>
    <s v="EL01-001875"/>
    <n v="20790"/>
  </r>
  <r>
    <n v="650"/>
    <d v="2025-08-15T00:00:00"/>
    <n v="423206890"/>
    <s v="EL01-001963-2"/>
    <s v="CIWS-PL1"/>
    <s v="ANT CIWS FINAL ASSY Production Lot"/>
    <s v="1099R700-001"/>
    <m/>
    <s v="As per ELTA SPEC"/>
    <n v="112"/>
    <s v="EA"/>
    <n v="23850"/>
    <s v="USD"/>
    <n v="1"/>
    <n v="23850"/>
    <n v="2671200"/>
    <s v="VR000617"/>
    <x v="54"/>
    <s v="PO2425U10671"/>
    <d v="2025-01-07T00:00:00"/>
    <s v="25% Advance,75% Before shipment"/>
    <s v="EXW"/>
    <m/>
    <m/>
    <m/>
    <n v="0"/>
    <n v="0"/>
    <n v="112"/>
    <n v="112"/>
    <m/>
    <m/>
    <m/>
    <m/>
    <m/>
    <m/>
    <m/>
    <d v="1900-01-09T00:00:00"/>
    <s v="BG received 3/10/2025"/>
    <m/>
    <m/>
    <m/>
    <m/>
    <m/>
    <n v="423206890"/>
    <s v="EL01-001963"/>
    <s v="EL01-001963"/>
    <n v="2671200"/>
  </r>
  <r>
    <n v="651"/>
    <d v="2025-01-07T00:00:00"/>
    <n v="416969236"/>
    <s v="EL01-001875-2"/>
    <s v="CIWS-PL2"/>
    <s v="HEAT EXCHANGER FAI production Lot"/>
    <s v="1038B611-001"/>
    <m/>
    <s v="As per ELTA SPEC"/>
    <n v="112"/>
    <s v="EA"/>
    <n v="6600"/>
    <s v="USD"/>
    <n v="1"/>
    <n v="6600"/>
    <n v="739200"/>
    <s v="VR000617"/>
    <x v="54"/>
    <s v="PO2425U10671"/>
    <d v="2025-01-07T00:00:00"/>
    <s v="25% Advance,75% Before shipment"/>
    <s v="EXW"/>
    <m/>
    <m/>
    <m/>
    <n v="0"/>
    <n v="0"/>
    <n v="112"/>
    <n v="112"/>
    <m/>
    <m/>
    <m/>
    <m/>
    <m/>
    <m/>
    <m/>
    <d v="1900-01-09T00:00:00"/>
    <s v="BG received 3/10/2025"/>
    <m/>
    <m/>
    <m/>
    <m/>
    <m/>
    <n v="416969236"/>
    <s v="EL01-001875"/>
    <s v="EL01-001875"/>
    <n v="739200"/>
  </r>
  <r>
    <n v="652"/>
    <d v="2025-01-07T00:00:00"/>
    <m/>
    <s v="NRE"/>
    <s v="NRE"/>
    <s v="NRE Charges"/>
    <m/>
    <m/>
    <m/>
    <n v="1"/>
    <s v="EA"/>
    <n v="9000"/>
    <s v="USD"/>
    <n v="1"/>
    <n v="9000"/>
    <n v="9000"/>
    <s v="VR000617"/>
    <x v="54"/>
    <s v="PO2425U10671"/>
    <d v="2025-01-07T00:00:00"/>
    <s v="25% Advance,75% Before shipment"/>
    <s v="EXW"/>
    <m/>
    <m/>
    <m/>
    <n v="0"/>
    <n v="0"/>
    <n v="1"/>
    <n v="1"/>
    <m/>
    <m/>
    <m/>
    <d v="2025-12-15T00:00:00"/>
    <m/>
    <m/>
    <m/>
    <d v="2025-12-25T00:00:00"/>
    <s v="BG received 3/10/2025"/>
    <m/>
    <m/>
    <m/>
    <m/>
    <m/>
    <m/>
    <e v="#N/A"/>
    <s v="NRE"/>
    <n v="9000"/>
  </r>
  <r>
    <n v="653"/>
    <d v="2025-09-15T00:00:00"/>
    <n v="423206890"/>
    <s v="EL01-001963-3"/>
    <s v="CIWS-PL1"/>
    <s v="ANT CIWS FINAL ASSY FAI Lot"/>
    <s v="1099R700-001"/>
    <m/>
    <s v="As per ELTA SPEC"/>
    <n v="3"/>
    <s v="EA"/>
    <n v="24000"/>
    <s v="USD"/>
    <n v="1"/>
    <n v="24000"/>
    <n v="72000"/>
    <s v="VR000618"/>
    <x v="55"/>
    <s v="PO2425U10672"/>
    <d v="2025-01-07T00:00:00"/>
    <s v="25% Advance,75% acceptance of the items at Gopalan on pro-rata basis"/>
    <s v="EXW"/>
    <m/>
    <m/>
    <m/>
    <n v="0"/>
    <n v="3"/>
    <n v="0"/>
    <m/>
    <m/>
    <m/>
    <m/>
    <m/>
    <m/>
    <m/>
    <m/>
    <d v="1900-01-09T00:00:00"/>
    <s v="1099R718-001 Gopalan has clarification with ELTA"/>
    <m/>
    <m/>
    <m/>
    <m/>
    <m/>
    <n v="423206890"/>
    <s v="EL01-001963"/>
    <s v="EL01-001963"/>
    <m/>
  </r>
  <r>
    <n v="654"/>
    <d v="2025-01-07T00:00:00"/>
    <n v="416969236"/>
    <s v="EL01-001875-3"/>
    <s v="CIWS-PL2"/>
    <s v="HEAT EXCHANGER FAI Lot"/>
    <s v="1038B611-001"/>
    <m/>
    <s v="As per ELTA SPEC"/>
    <n v="3"/>
    <s v="EA"/>
    <n v="6000"/>
    <s v="USD"/>
    <n v="1"/>
    <n v="6000"/>
    <n v="18000"/>
    <s v="VR000618"/>
    <x v="55"/>
    <s v="PO2425U10672"/>
    <d v="2025-01-07T00:00:00"/>
    <s v="25% Advance,75% acceptance of the items at Gopalan on pro-rata basis"/>
    <s v="EXW"/>
    <m/>
    <m/>
    <m/>
    <n v="0"/>
    <n v="3"/>
    <n v="0"/>
    <m/>
    <m/>
    <m/>
    <m/>
    <m/>
    <m/>
    <m/>
    <m/>
    <d v="1900-01-09T00:00:00"/>
    <m/>
    <m/>
    <m/>
    <m/>
    <m/>
    <m/>
    <n v="416969236"/>
    <s v="EL01-001875"/>
    <s v="EL01-001875"/>
    <m/>
  </r>
  <r>
    <n v="655"/>
    <d v="2025-12-15T00:00:00"/>
    <n v="423206890"/>
    <s v="EL01-001963-4"/>
    <s v="CIWS-PL1"/>
    <s v="ANT CIWS FINAL ASSY Production Lot"/>
    <s v="1099R700-001"/>
    <m/>
    <s v="As per ELTA SPEC"/>
    <n v="113"/>
    <s v="EA"/>
    <n v="24000"/>
    <s v="USD"/>
    <n v="1"/>
    <n v="24000"/>
    <n v="2712000"/>
    <s v="VR000618"/>
    <x v="55"/>
    <s v="PO2425U10672"/>
    <d v="2025-01-07T00:00:00"/>
    <s v="25% Advance,75% acceptance of the items at Gopalan on pro-rata basis"/>
    <s v="EXW"/>
    <m/>
    <m/>
    <m/>
    <n v="0"/>
    <n v="28"/>
    <n v="85"/>
    <n v="113"/>
    <m/>
    <m/>
    <m/>
    <m/>
    <m/>
    <m/>
    <m/>
    <d v="1900-01-09T00:00:00"/>
    <m/>
    <m/>
    <m/>
    <m/>
    <m/>
    <m/>
    <n v="423206890"/>
    <s v="EL01-001963"/>
    <s v="EL01-001963"/>
    <n v="2040000"/>
  </r>
  <r>
    <n v="656"/>
    <d v="2025-01-07T00:00:00"/>
    <n v="416969236"/>
    <s v="EL01-001875-4"/>
    <s v="CIWS-PL2"/>
    <s v="HEAT EXCHANGER FAI production Lot"/>
    <s v="1038B611-001"/>
    <m/>
    <s v="As per ELTA SPEC"/>
    <n v="113"/>
    <s v="EA"/>
    <n v="6000"/>
    <s v="USD"/>
    <n v="1"/>
    <n v="6000"/>
    <n v="678000"/>
    <s v="VR000618"/>
    <x v="55"/>
    <s v="PO2425U10672"/>
    <d v="2025-01-07T00:00:00"/>
    <s v="25% Advance,75% acceptance of the items at Gopalan on pro-rata basis"/>
    <s v="EXW"/>
    <m/>
    <m/>
    <m/>
    <n v="0"/>
    <n v="28"/>
    <n v="85"/>
    <n v="113"/>
    <m/>
    <m/>
    <m/>
    <m/>
    <m/>
    <m/>
    <m/>
    <d v="1900-01-09T00:00:00"/>
    <m/>
    <m/>
    <m/>
    <m/>
    <m/>
    <m/>
    <n v="416969236"/>
    <s v="EL01-001875"/>
    <s v="EL01-001875"/>
    <n v="510000"/>
  </r>
  <r>
    <n v="657"/>
    <d v="2025-01-07T00:00:00"/>
    <m/>
    <s v="NRE"/>
    <s v="NRE"/>
    <s v="NRE Charges"/>
    <m/>
    <m/>
    <m/>
    <n v="1"/>
    <s v="EA"/>
    <n v="18645"/>
    <s v="USD"/>
    <n v="1"/>
    <n v="18645"/>
    <n v="18645"/>
    <s v="VR000618"/>
    <x v="55"/>
    <s v="PO2425U10672"/>
    <d v="2025-01-07T00:00:00"/>
    <s v="25% Advance,75% acceptance of the items at Gopalan on pro-rata basis"/>
    <s v="EXW"/>
    <m/>
    <m/>
    <m/>
    <n v="0"/>
    <n v="0"/>
    <n v="1"/>
    <n v="1"/>
    <m/>
    <m/>
    <m/>
    <m/>
    <m/>
    <m/>
    <m/>
    <d v="1900-01-09T00:00:00"/>
    <m/>
    <m/>
    <m/>
    <m/>
    <m/>
    <m/>
    <m/>
    <e v="#N/A"/>
    <s v="NRE"/>
    <n v="18645"/>
  </r>
  <r>
    <n v="658"/>
    <d v="2025-01-30T00:00:00"/>
    <n v="410705125"/>
    <s v="EL01-002037-1"/>
    <m/>
    <s v="NAMEPLATE"/>
    <s v="6931A451-001"/>
    <n v="1"/>
    <s v="ACKERMAN"/>
    <n v="145"/>
    <s v="EA"/>
    <n v="2.2000000000000002"/>
    <s v="USD"/>
    <n v="1"/>
    <n v="2.2000000000000002"/>
    <n v="319"/>
    <s v="VR000047"/>
    <x v="1"/>
    <s v="PO2425U10429"/>
    <d v="2024-10-28T00:00:00"/>
    <s v="Net 30 Days"/>
    <s v="EXW"/>
    <s v="Yes"/>
    <s v="Received "/>
    <s v="Done"/>
    <n v="0"/>
    <n v="145"/>
    <n v="0"/>
    <m/>
    <m/>
    <m/>
    <m/>
    <m/>
    <m/>
    <m/>
    <m/>
    <d v="1900-01-09T00:00:00"/>
    <m/>
    <m/>
    <m/>
    <m/>
    <m/>
    <m/>
    <n v="410705125"/>
    <s v="EL01-002037"/>
    <s v="EL01-002037"/>
    <m/>
  </r>
  <r>
    <n v="659"/>
    <d v="2024-12-15T00:00:00"/>
    <n v="412830297"/>
    <s v="EL01-001994-1"/>
    <m/>
    <s v="FAN BASE WIRING"/>
    <s v="1037M832-001"/>
    <s v="C"/>
    <s v="DCX"/>
    <n v="290"/>
    <s v="EA"/>
    <n v="213.82310000000001"/>
    <s v="USD"/>
    <n v="1"/>
    <n v="213.82310000000001"/>
    <n v="62008.699000000001"/>
    <m/>
    <x v="15"/>
    <s v="PO2526U10077"/>
    <d v="2025-04-24T00:00:00"/>
    <s v="Net 30 Days"/>
    <s v="EXW"/>
    <m/>
    <m/>
    <m/>
    <n v="0"/>
    <n v="290"/>
    <n v="40"/>
    <m/>
    <m/>
    <m/>
    <m/>
    <d v="2025-10-31T00:00:00"/>
    <m/>
    <m/>
    <m/>
    <d v="2025-11-10T00:00:00"/>
    <m/>
    <m/>
    <m/>
    <m/>
    <m/>
    <m/>
    <n v="412830297"/>
    <s v="EL01-001994"/>
    <s v="EL01-001994"/>
    <n v="8552.9240000000009"/>
  </r>
  <r>
    <n v="660"/>
    <d v="2025-01-30T00:00:00"/>
    <n v="551298961"/>
    <s v="EL01-002038-1"/>
    <m/>
    <s v="CLAMP LOOP TYPE CUSHIONED WEDGE SIDE LUG"/>
    <s v="AS21919WDG05"/>
    <m/>
    <s v="S.A.E. INTERNATIONAL"/>
    <n v="1184"/>
    <s v="EA"/>
    <n v="1.167"/>
    <s v="USD"/>
    <n v="1"/>
    <n v="1.167"/>
    <n v="1381.7280000000001"/>
    <s v="VR000099"/>
    <x v="30"/>
    <s v="PO2425U10714"/>
    <d v="2025-01-24T00:00:00"/>
    <s v="100% Advance"/>
    <s v="EXW"/>
    <m/>
    <m/>
    <m/>
    <n v="0"/>
    <n v="1179"/>
    <n v="5"/>
    <n v="5"/>
    <m/>
    <m/>
    <m/>
    <m/>
    <m/>
    <m/>
    <m/>
    <d v="1900-01-09T00:00:00"/>
    <s v="See shortage blurb"/>
    <m/>
    <m/>
    <m/>
    <m/>
    <m/>
    <n v="551298961"/>
    <s v="EL01-002038"/>
    <s v="EL01-002038"/>
    <n v="5.835"/>
  </r>
  <r>
    <n v="661"/>
    <d v="2025-01-30T00:00:00"/>
    <n v="512300203"/>
    <s v="EL01-001799-1"/>
    <m/>
    <s v="SCREW,CAP HEAD,HEX SOCKET RECESS,FULL SH"/>
    <s v="MS16996-10"/>
    <m/>
    <s v="NAS/NASM NATIONAL AEROSPACE STD"/>
    <n v="1184"/>
    <s v="EA"/>
    <n v="0.17"/>
    <s v="USD"/>
    <n v="1"/>
    <n v="0.17"/>
    <n v="201.28"/>
    <s v="VR000099"/>
    <x v="30"/>
    <s v="PO2425U10714"/>
    <d v="2025-01-24T00:00:00"/>
    <s v="100% Advance"/>
    <s v="EXW"/>
    <s v="Yes"/>
    <m/>
    <m/>
    <n v="0"/>
    <n v="1184"/>
    <n v="0"/>
    <m/>
    <m/>
    <m/>
    <m/>
    <m/>
    <m/>
    <m/>
    <m/>
    <d v="1900-01-09T00:00:00"/>
    <m/>
    <m/>
    <m/>
    <m/>
    <m/>
    <m/>
    <n v="512300203"/>
    <s v="EL01-001799"/>
    <s v="EL01-001799"/>
    <m/>
  </r>
  <r>
    <n v="662"/>
    <d v="2025-01-30T00:00:00"/>
    <n v="514303155"/>
    <s v="EL01-000515-1"/>
    <m/>
    <s v="WASHER LOCK HELICAL SPRING REGULAR (MEDI"/>
    <s v="MS35338-138"/>
    <m/>
    <s v="NAS/NASM NATIONAL AEROSPACE STD"/>
    <n v="1184"/>
    <s v="EA"/>
    <n v="0.04"/>
    <s v="USD"/>
    <n v="1"/>
    <n v="0.04"/>
    <n v="47.36"/>
    <s v="VR000099"/>
    <x v="30"/>
    <s v="PO2425U10714"/>
    <d v="2025-01-24T00:00:00"/>
    <s v="100% Advance"/>
    <s v="EXW"/>
    <s v="Yes"/>
    <m/>
    <m/>
    <n v="0"/>
    <n v="1184"/>
    <n v="0"/>
    <m/>
    <m/>
    <m/>
    <m/>
    <m/>
    <m/>
    <m/>
    <m/>
    <d v="1900-01-09T00:00:00"/>
    <m/>
    <m/>
    <m/>
    <m/>
    <m/>
    <m/>
    <n v="514303155"/>
    <s v="EL01-000515"/>
    <s v="EL01-000515"/>
    <m/>
  </r>
  <r>
    <n v="663"/>
    <d v="2025-01-30T00:00:00"/>
    <n v="512304890"/>
    <s v="EL01-002284-1"/>
    <m/>
    <s v="SCREW MACHINE PAN HEAD CRUCIFORM RECESS"/>
    <s v="MS51957-30"/>
    <m/>
    <s v="Kaytech"/>
    <n v="3550"/>
    <s v="EA"/>
    <n v="0.06"/>
    <s v="USD"/>
    <n v="1"/>
    <n v="0.06"/>
    <n v="213"/>
    <s v="VR000099"/>
    <x v="30"/>
    <s v="PO2425U10714"/>
    <d v="2025-01-24T00:00:00"/>
    <s v="100% Advance"/>
    <s v="EXW"/>
    <s v="Yes"/>
    <s v="Received "/>
    <s v="Done"/>
    <n v="0"/>
    <n v="3550"/>
    <n v="0"/>
    <m/>
    <m/>
    <m/>
    <m/>
    <m/>
    <m/>
    <m/>
    <m/>
    <d v="1900-01-09T00:00:00"/>
    <m/>
    <s v="Received"/>
    <m/>
    <m/>
    <m/>
    <m/>
    <n v="512304890"/>
    <s v="EL01-002284"/>
    <s v="EL01-002284"/>
    <m/>
  </r>
  <r>
    <n v="664"/>
    <d v="2025-01-30T00:00:00"/>
    <n v="514202126"/>
    <s v="EL01-000520-1"/>
    <m/>
    <s v="WASHER,FLAT,PLAIN,REDUCED OD, 10 SIZE,.0"/>
    <s v="NAS620C10"/>
    <m/>
    <s v="Kaytech"/>
    <n v="1160"/>
    <s v="EA"/>
    <n v="0.04"/>
    <s v="USD"/>
    <n v="1"/>
    <n v="0.04"/>
    <n v="46.4"/>
    <s v="VR000099"/>
    <x v="30"/>
    <s v="PO2425U10714"/>
    <d v="2025-01-24T00:00:00"/>
    <s v="100% Advance"/>
    <s v="EXW"/>
    <s v="Yes"/>
    <m/>
    <m/>
    <n v="0"/>
    <n v="1160"/>
    <n v="0"/>
    <m/>
    <m/>
    <m/>
    <m/>
    <m/>
    <m/>
    <m/>
    <m/>
    <d v="1900-01-09T00:00:00"/>
    <m/>
    <m/>
    <m/>
    <m/>
    <m/>
    <m/>
    <n v="514202126"/>
    <s v="EL01-000520"/>
    <s v="EL01-000520"/>
    <m/>
  </r>
  <r>
    <n v="665"/>
    <d v="2025-01-30T00:00:00"/>
    <n v="404488392"/>
    <s v="EL01-001890-1"/>
    <m/>
    <s v="SHIM 2.0MM"/>
    <s v="1093J365-002"/>
    <m/>
    <s v="CHEMOGRAFH"/>
    <n v="13"/>
    <s v="EA"/>
    <n v="32"/>
    <s v="USD"/>
    <n v="1"/>
    <n v="32"/>
    <n v="416"/>
    <s v="VR000528"/>
    <x v="56"/>
    <s v="PO2425U10460"/>
    <d v="2025-01-22T00:00:00"/>
    <s v="Before shipment"/>
    <s v="EXW"/>
    <m/>
    <m/>
    <m/>
    <n v="0"/>
    <n v="13"/>
    <n v="0"/>
    <m/>
    <m/>
    <m/>
    <m/>
    <m/>
    <m/>
    <m/>
    <m/>
    <d v="1900-01-09T00:00:00"/>
    <m/>
    <m/>
    <m/>
    <m/>
    <m/>
    <m/>
    <n v="404488392"/>
    <s v="EL01-001890"/>
    <s v="EL01-001890"/>
    <m/>
  </r>
  <r>
    <n v="666"/>
    <d v="2024-12-15T00:00:00"/>
    <n v="417049490"/>
    <s v="EL01-001744-2"/>
    <m/>
    <s v="CHIP CAP 0.1UF 10^ 16V X7R T&amp;R"/>
    <s v="GRM155R71C104KA88D"/>
    <m/>
    <s v="MURATA MANUFACTURING CO. LTD"/>
    <n v="10000"/>
    <s v="EA"/>
    <n v="8.0000000000000004E-4"/>
    <s v="USD"/>
    <n v="1"/>
    <n v="8.0000000000000004E-4"/>
    <n v="8"/>
    <m/>
    <x v="48"/>
    <s v="24P0020"/>
    <d v="2024-08-21T00:00:00"/>
    <s v="Net 90days"/>
    <s v="EXW"/>
    <s v="Yes"/>
    <s v="Received "/>
    <s v="Done"/>
    <n v="0"/>
    <n v="10000"/>
    <n v="0"/>
    <m/>
    <m/>
    <m/>
    <m/>
    <m/>
    <m/>
    <m/>
    <m/>
    <d v="1900-01-09T00:00:00"/>
    <m/>
    <s v="Received"/>
    <m/>
    <m/>
    <s v="Actual CAT:400536575 for PN:GRM155R71C104KA88D"/>
    <m/>
    <n v="400536575"/>
    <s v="EL01-001744"/>
    <s v="EL01-001744"/>
    <m/>
  </r>
  <r>
    <n v="667"/>
    <d v="2025-02-06T00:00:00"/>
    <n v="401558814"/>
    <s v="EL01-000266-1"/>
    <m/>
    <s v="PC BLANK MASTER DWG. SCH-5 Z2"/>
    <s v="1094F212-002"/>
    <s v="B"/>
    <s v="PCB Tech"/>
    <n v="142"/>
    <s v="EA"/>
    <n v="790"/>
    <s v="USD"/>
    <n v="1"/>
    <n v="790"/>
    <n v="112180"/>
    <s v="VR000115"/>
    <x v="57"/>
    <s v="PO2425U10737"/>
    <d v="2025-01-31T00:00:00"/>
    <s v="100% Advance"/>
    <s v="EXW"/>
    <s v="No"/>
    <s v="Received "/>
    <s v="Done"/>
    <n v="0"/>
    <n v="142"/>
    <n v="0"/>
    <m/>
    <m/>
    <m/>
    <m/>
    <m/>
    <m/>
    <m/>
    <m/>
    <d v="1900-01-09T00:00:00"/>
    <m/>
    <s v="Received"/>
    <m/>
    <m/>
    <m/>
    <m/>
    <n v="401558814"/>
    <s v="EL01-000266"/>
    <s v="EL01-000266"/>
    <m/>
  </r>
  <r>
    <n v="668"/>
    <d v="2025-02-25T00:00:00"/>
    <n v="411422280"/>
    <s v="EL01-001918-1"/>
    <m/>
    <s v="SDPS MMIC F/ASSY"/>
    <s v="1097R490-001"/>
    <s v="-"/>
    <s v="ELTA Spec"/>
    <n v="9603"/>
    <s v="EA"/>
    <n v="160"/>
    <s v="USD"/>
    <n v="1"/>
    <n v="160"/>
    <n v="1536480"/>
    <s v="VR000631"/>
    <x v="58"/>
    <s v="PO2425U10770"/>
    <d v="2025-02-14T00:00:00"/>
    <s v="As agreed"/>
    <s v="EXW"/>
    <m/>
    <m/>
    <m/>
    <n v="0"/>
    <n v="7500"/>
    <n v="3500"/>
    <n v="2000"/>
    <m/>
    <m/>
    <m/>
    <m/>
    <m/>
    <m/>
    <m/>
    <d v="1900-01-09T00:00:00"/>
    <m/>
    <m/>
    <m/>
    <n v="2000"/>
    <m/>
    <m/>
    <n v="411422280"/>
    <s v="EL01-001918"/>
    <s v="EL01-001918"/>
    <n v="560000"/>
  </r>
  <r>
    <n v="669"/>
    <d v="2025-06-15T00:00:00"/>
    <n v="411422280"/>
    <s v="EL01-001918-2"/>
    <m/>
    <s v="SDPS MMIC F/ASSY"/>
    <s v="1097R490-001"/>
    <s v="-"/>
    <s v="ELTA Spec"/>
    <n v="9603"/>
    <s v="EA"/>
    <n v="160"/>
    <s v="USD"/>
    <n v="1"/>
    <n v="160"/>
    <n v="1536480"/>
    <s v="VR000631"/>
    <x v="58"/>
    <s v="PO2425U10770"/>
    <d v="2025-02-14T00:00:00"/>
    <s v="As agreed"/>
    <s v="EXW"/>
    <m/>
    <m/>
    <m/>
    <n v="0"/>
    <n v="0"/>
    <n v="9603"/>
    <m/>
    <m/>
    <m/>
    <m/>
    <m/>
    <m/>
    <m/>
    <m/>
    <d v="1900-01-09T00:00:00"/>
    <m/>
    <m/>
    <m/>
    <m/>
    <m/>
    <m/>
    <n v="411422280"/>
    <s v="EL01-001918"/>
    <s v="EL01-001918"/>
    <n v="1536480"/>
  </r>
  <r>
    <n v="670"/>
    <d v="2025-09-15T00:00:00"/>
    <n v="411422280"/>
    <s v="EL01-001918-3"/>
    <m/>
    <s v="SDPS MMIC F/ASSY"/>
    <s v="1097R490-001"/>
    <s v="-"/>
    <s v="ELTA Spec"/>
    <n v="9603"/>
    <s v="EA"/>
    <n v="160"/>
    <s v="USD"/>
    <n v="1"/>
    <n v="160"/>
    <n v="1536480"/>
    <s v="VR000631"/>
    <x v="58"/>
    <s v="PO2425U10770"/>
    <d v="2025-02-14T00:00:00"/>
    <s v="As agreed"/>
    <s v="EXW"/>
    <m/>
    <m/>
    <m/>
    <n v="0"/>
    <n v="0"/>
    <n v="9603"/>
    <m/>
    <m/>
    <m/>
    <m/>
    <m/>
    <m/>
    <m/>
    <m/>
    <d v="1900-01-09T00:00:00"/>
    <m/>
    <m/>
    <m/>
    <m/>
    <m/>
    <m/>
    <n v="411422280"/>
    <s v="EL01-001918"/>
    <s v="EL01-001918"/>
    <n v="1536480"/>
  </r>
  <r>
    <n v="671"/>
    <d v="2025-12-15T00:00:00"/>
    <n v="411422280"/>
    <s v="EL01-001918-4"/>
    <m/>
    <s v="SDPS MMIC F/ASSY"/>
    <s v="1097R490-001"/>
    <s v="-"/>
    <s v="ELTA Spec"/>
    <n v="9603"/>
    <s v="EA"/>
    <n v="160"/>
    <s v="USD"/>
    <n v="1"/>
    <n v="160"/>
    <n v="1536480"/>
    <s v="VR000631"/>
    <x v="58"/>
    <s v="PO2425U10770"/>
    <d v="2025-02-14T00:00:00"/>
    <s v="As agreed"/>
    <s v="EXW"/>
    <m/>
    <m/>
    <m/>
    <n v="0"/>
    <n v="0"/>
    <n v="9603"/>
    <m/>
    <m/>
    <m/>
    <m/>
    <m/>
    <m/>
    <m/>
    <m/>
    <d v="1900-01-09T00:00:00"/>
    <m/>
    <m/>
    <m/>
    <m/>
    <m/>
    <m/>
    <n v="411422280"/>
    <s v="EL01-001918"/>
    <s v="EL01-001918"/>
    <n v="1536480"/>
  </r>
  <r>
    <n v="672"/>
    <d v="2025-02-25T00:00:00"/>
    <n v="414202236"/>
    <s v="EL01-001917-1"/>
    <m/>
    <s v="F/ASSY PACKAGED 60W GAN MMIC W"/>
    <s v="1097A510-001"/>
    <s v="A"/>
    <s v="ELTA Spec"/>
    <n v="4582"/>
    <s v="EA"/>
    <n v="299"/>
    <s v="USD"/>
    <n v="1"/>
    <n v="299"/>
    <n v="1370018"/>
    <s v="VR000438"/>
    <x v="20"/>
    <s v="PO2425U10766"/>
    <d v="2025-02-14T00:00:00"/>
    <s v="Before shipment"/>
    <s v="EXW"/>
    <m/>
    <m/>
    <s v="Done"/>
    <n v="0"/>
    <n v="4582"/>
    <n v="0"/>
    <m/>
    <m/>
    <m/>
    <m/>
    <m/>
    <m/>
    <m/>
    <m/>
    <d v="1900-01-09T00:00:00"/>
    <m/>
    <m/>
    <m/>
    <n v="3606"/>
    <m/>
    <m/>
    <n v="414202236"/>
    <s v="EL01-001917"/>
    <s v="EL01-001917"/>
    <m/>
  </r>
  <r>
    <n v="673"/>
    <d v="2025-06-15T00:00:00"/>
    <n v="414202236"/>
    <s v="EL01-001917-2"/>
    <m/>
    <s v="F/ASSY PACKAGED 60W GAN MMIC W"/>
    <s v="1097A510-001"/>
    <s v="A"/>
    <s v="ELTA Spec"/>
    <n v="4582"/>
    <s v="EA"/>
    <n v="299"/>
    <s v="USD"/>
    <n v="1"/>
    <n v="299"/>
    <n v="1370018"/>
    <s v="VR000056"/>
    <x v="20"/>
    <s v="PO2425U10766"/>
    <d v="2025-02-14T00:00:00"/>
    <s v="Before shipment"/>
    <s v="EXW"/>
    <m/>
    <m/>
    <m/>
    <n v="0"/>
    <n v="0"/>
    <n v="4582"/>
    <m/>
    <m/>
    <m/>
    <m/>
    <m/>
    <m/>
    <m/>
    <m/>
    <d v="1900-01-09T00:00:00"/>
    <m/>
    <m/>
    <m/>
    <m/>
    <m/>
    <m/>
    <n v="414202236"/>
    <s v="EL01-001917"/>
    <s v="EL01-001917"/>
    <n v="1370018"/>
  </r>
  <r>
    <n v="674"/>
    <d v="2025-09-15T00:00:00"/>
    <n v="414202236"/>
    <s v="EL01-001917-3"/>
    <m/>
    <s v="F/ASSY PACKAGED 60W GAN MMIC W"/>
    <s v="1097A510-001"/>
    <s v="A"/>
    <s v="ELTA Spec"/>
    <n v="4582"/>
    <s v="EA"/>
    <n v="299"/>
    <s v="USD"/>
    <n v="1"/>
    <n v="299"/>
    <n v="1370018"/>
    <s v="VR000056"/>
    <x v="20"/>
    <s v="PO2425U10766"/>
    <d v="2025-02-14T00:00:00"/>
    <s v="Before shipment"/>
    <s v="EXW"/>
    <m/>
    <m/>
    <m/>
    <n v="0"/>
    <n v="0"/>
    <n v="4582"/>
    <m/>
    <m/>
    <m/>
    <m/>
    <m/>
    <m/>
    <m/>
    <m/>
    <d v="1900-01-09T00:00:00"/>
    <m/>
    <m/>
    <m/>
    <m/>
    <m/>
    <m/>
    <n v="414202236"/>
    <s v="EL01-001917"/>
    <s v="EL01-001917"/>
    <n v="1370018"/>
  </r>
  <r>
    <n v="675"/>
    <d v="2025-12-15T00:00:00"/>
    <n v="414202236"/>
    <s v="EL01-001917-4"/>
    <m/>
    <s v="F/ASSY PACKAGED 60W GAN MMIC W"/>
    <s v="1097A510-001"/>
    <s v="A"/>
    <s v="ELTA Spec"/>
    <n v="4580"/>
    <s v="EA"/>
    <n v="299"/>
    <s v="USD"/>
    <n v="1"/>
    <n v="299"/>
    <n v="1369420"/>
    <s v="VR000056"/>
    <x v="20"/>
    <s v="PO2425U10766"/>
    <d v="2025-02-14T00:00:00"/>
    <s v="Before shipment"/>
    <s v="EXW"/>
    <m/>
    <m/>
    <m/>
    <n v="0"/>
    <n v="0"/>
    <n v="4580"/>
    <m/>
    <m/>
    <m/>
    <m/>
    <m/>
    <m/>
    <m/>
    <m/>
    <d v="1900-01-09T00:00:00"/>
    <m/>
    <m/>
    <m/>
    <m/>
    <m/>
    <m/>
    <n v="414202236"/>
    <s v="EL01-001917"/>
    <s v="EL01-001917"/>
    <n v="1369420"/>
  </r>
  <r>
    <n v="676"/>
    <d v="2025-02-25T00:00:00"/>
    <n v="411164868"/>
    <s v="EL01-001880-1"/>
    <m/>
    <s v="P.S. TRA"/>
    <s v="1038B910-001"/>
    <s v="-"/>
    <s v="ELTA Spec"/>
    <n v="135"/>
    <s v="EA"/>
    <n v="14910"/>
    <s v="USD"/>
    <n v="1"/>
    <n v="14910"/>
    <n v="2012850"/>
    <s v="VR000061"/>
    <x v="59"/>
    <s v="PO2425U10765"/>
    <d v="2025-02-14T00:00:00"/>
    <s v="As agreed"/>
    <s v="EXW"/>
    <m/>
    <m/>
    <m/>
    <n v="0"/>
    <n v="110"/>
    <n v="25"/>
    <n v="25"/>
    <m/>
    <m/>
    <m/>
    <d v="2026-02-15T00:00:00"/>
    <m/>
    <m/>
    <m/>
    <d v="2026-02-25T00:00:00"/>
    <m/>
    <m/>
    <m/>
    <m/>
    <m/>
    <m/>
    <n v="411164868"/>
    <s v="EL01-001880"/>
    <s v="EL01-001880"/>
    <n v="372750"/>
  </r>
  <r>
    <n v="677"/>
    <d v="2025-06-15T00:00:00"/>
    <n v="411164868"/>
    <s v="EL01-001880-2"/>
    <m/>
    <s v="P.S. TRA"/>
    <s v="1038B910-001"/>
    <s v="-"/>
    <s v="ELTA Spec"/>
    <n v="135"/>
    <s v="EA"/>
    <n v="14910"/>
    <s v="USD"/>
    <n v="1"/>
    <n v="14910"/>
    <n v="2012850"/>
    <s v="VR000061"/>
    <x v="59"/>
    <s v="PO2425U10765"/>
    <d v="2025-02-14T00:00:00"/>
    <s v="As agreed"/>
    <s v="EXW"/>
    <m/>
    <m/>
    <m/>
    <n v="0"/>
    <n v="0"/>
    <n v="100"/>
    <n v="10"/>
    <n v="40"/>
    <n v="40"/>
    <n v="10"/>
    <d v="2026-02-15T00:00:00"/>
    <d v="2026-03-15T00:00:00"/>
    <d v="2026-04-15T00:00:00"/>
    <d v="2026-05-15T00:00:00"/>
    <d v="2026-02-25T00:00:00"/>
    <m/>
    <m/>
    <m/>
    <m/>
    <m/>
    <m/>
    <n v="411164868"/>
    <s v="EL01-001880"/>
    <s v="EL01-001880"/>
    <n v="1491000"/>
  </r>
  <r>
    <n v="678"/>
    <d v="2025-09-15T00:00:00"/>
    <n v="411164868"/>
    <s v="EL01-001880-3"/>
    <m/>
    <s v="P.S. TRA"/>
    <s v="1038B910-001"/>
    <s v="-"/>
    <s v="ELTA Spec"/>
    <n v="135"/>
    <s v="EA"/>
    <n v="14910"/>
    <s v="USD"/>
    <n v="1"/>
    <n v="14910"/>
    <n v="2012850"/>
    <s v="VR000061"/>
    <x v="59"/>
    <s v="PO2425U10765"/>
    <d v="2025-02-14T00:00:00"/>
    <s v="As agreed"/>
    <s v="EXW"/>
    <m/>
    <m/>
    <m/>
    <n v="0"/>
    <n v="0"/>
    <n v="135"/>
    <n v="30"/>
    <n v="40"/>
    <n v="40"/>
    <n v="25"/>
    <d v="2026-05-15T00:00:00"/>
    <d v="2026-06-15T00:00:00"/>
    <d v="2026-07-15T00:00:00"/>
    <d v="2026-08-15T00:00:00"/>
    <d v="2026-05-25T00:00:00"/>
    <m/>
    <m/>
    <m/>
    <m/>
    <m/>
    <m/>
    <n v="411164868"/>
    <s v="EL01-001880"/>
    <s v="EL01-001880"/>
    <n v="2012850"/>
  </r>
  <r>
    <n v="679"/>
    <d v="2025-12-15T00:00:00"/>
    <n v="411164868"/>
    <s v="EL01-001880-4"/>
    <m/>
    <s v="P.S. TRA"/>
    <s v="1038B910-001"/>
    <s v="-"/>
    <s v="ELTA Spec"/>
    <n v="134"/>
    <s v="EA"/>
    <n v="14910"/>
    <s v="USD"/>
    <n v="1"/>
    <n v="14910"/>
    <n v="1997940"/>
    <s v="VR000061"/>
    <x v="59"/>
    <s v="PO2425U10765"/>
    <d v="2025-02-14T00:00:00"/>
    <s v="As agreed"/>
    <s v="EXW"/>
    <m/>
    <m/>
    <m/>
    <n v="0"/>
    <n v="0"/>
    <n v="134"/>
    <n v="15"/>
    <n v="40"/>
    <n v="40"/>
    <n v="39"/>
    <d v="2026-08-15T00:00:00"/>
    <d v="2026-09-15T00:00:00"/>
    <d v="2026-10-15T00:00:00"/>
    <d v="2026-11-15T00:00:00"/>
    <d v="2026-08-25T00:00:00"/>
    <m/>
    <m/>
    <m/>
    <m/>
    <m/>
    <m/>
    <n v="411164868"/>
    <s v="EL01-001880"/>
    <s v="EL01-001880"/>
    <n v="1997940"/>
  </r>
  <r>
    <n v="680"/>
    <d v="2025-02-25T00:00:00"/>
    <n v="411135500"/>
    <s v="EL01-001883-1"/>
    <m/>
    <s v="P.S. RA"/>
    <s v="1038B940-001"/>
    <s v="-"/>
    <s v="ELTA Spec"/>
    <n v="132"/>
    <s v="EA"/>
    <n v="9010"/>
    <s v="USD"/>
    <n v="1"/>
    <n v="9010"/>
    <n v="1189320"/>
    <s v="VR000061"/>
    <x v="59"/>
    <s v="PO2425U10765"/>
    <d v="2025-02-14T00:00:00"/>
    <s v="As agreed"/>
    <s v="EXW"/>
    <m/>
    <m/>
    <m/>
    <n v="0"/>
    <n v="110"/>
    <n v="20"/>
    <n v="20"/>
    <m/>
    <m/>
    <m/>
    <d v="2026-02-15T00:00:00"/>
    <m/>
    <m/>
    <m/>
    <d v="2026-02-25T00:00:00"/>
    <m/>
    <m/>
    <m/>
    <m/>
    <m/>
    <m/>
    <n v="411135500"/>
    <s v="EL01-001883"/>
    <s v="EL01-001883"/>
    <n v="180200"/>
  </r>
  <r>
    <n v="681"/>
    <d v="2025-06-15T00:00:00"/>
    <n v="411135500"/>
    <s v="EL01-001883-2"/>
    <m/>
    <s v="P.S. RA"/>
    <s v="1038B940-001"/>
    <s v="-"/>
    <s v="ELTA Spec"/>
    <n v="132"/>
    <s v="EA"/>
    <n v="9010"/>
    <s v="USD"/>
    <n v="1"/>
    <n v="9010"/>
    <n v="1189320"/>
    <s v="VR000061"/>
    <x v="59"/>
    <s v="PO2425U10765"/>
    <d v="2025-02-14T00:00:00"/>
    <s v="As agreed"/>
    <s v="EXW"/>
    <m/>
    <m/>
    <m/>
    <n v="0"/>
    <n v="0"/>
    <n v="100"/>
    <n v="40"/>
    <n v="40"/>
    <n v="40"/>
    <n v="40"/>
    <d v="2026-03-15T00:00:00"/>
    <d v="2026-04-15T00:00:00"/>
    <d v="2026-05-15T00:00:00"/>
    <d v="2026-06-15T00:00:00"/>
    <d v="2026-03-25T00:00:00"/>
    <m/>
    <m/>
    <m/>
    <m/>
    <m/>
    <m/>
    <n v="411135500"/>
    <s v="EL01-001883"/>
    <s v="EL01-001883"/>
    <n v="901000"/>
  </r>
  <r>
    <n v="682"/>
    <d v="2025-09-15T00:00:00"/>
    <n v="411135500"/>
    <s v="EL01-001883-3"/>
    <m/>
    <s v="P.S. RA"/>
    <s v="1038B940-001"/>
    <s v="-"/>
    <s v="ELTA Spec"/>
    <n v="132"/>
    <s v="EA"/>
    <n v="9010"/>
    <s v="USD"/>
    <n v="1"/>
    <n v="9010"/>
    <n v="1189320"/>
    <s v="VR000061"/>
    <x v="59"/>
    <s v="PO2425U10765"/>
    <d v="2025-02-14T00:00:00"/>
    <s v="As agreed"/>
    <s v="EXW"/>
    <m/>
    <m/>
    <m/>
    <n v="0"/>
    <n v="0"/>
    <n v="132"/>
    <n v="40"/>
    <n v="40"/>
    <n v="40"/>
    <n v="40"/>
    <d v="2026-07-15T00:00:00"/>
    <d v="2026-08-15T00:00:00"/>
    <d v="2026-09-15T00:00:00"/>
    <d v="2026-10-15T00:00:00"/>
    <d v="2026-07-25T00:00:00"/>
    <m/>
    <m/>
    <m/>
    <m/>
    <m/>
    <m/>
    <n v="411135500"/>
    <s v="EL01-001883"/>
    <s v="EL01-001883"/>
    <n v="1189320"/>
  </r>
  <r>
    <n v="683"/>
    <d v="2025-12-15T00:00:00"/>
    <n v="411135500"/>
    <s v="EL01-001883-4"/>
    <m/>
    <s v="P.S. RA"/>
    <s v="1038B940-001"/>
    <s v="-"/>
    <s v="ELTA Spec"/>
    <n v="132"/>
    <s v="EA"/>
    <n v="9010"/>
    <s v="USD"/>
    <n v="1"/>
    <n v="9010"/>
    <n v="1189320"/>
    <s v="VR000061"/>
    <x v="59"/>
    <s v="PO2425U10765"/>
    <d v="2025-02-14T00:00:00"/>
    <s v="As agreed"/>
    <s v="EXW"/>
    <m/>
    <m/>
    <m/>
    <n v="0"/>
    <n v="0"/>
    <n v="132"/>
    <n v="40"/>
    <n v="40"/>
    <n v="48"/>
    <m/>
    <d v="2026-11-15T00:00:00"/>
    <d v="2026-12-15T00:00:00"/>
    <m/>
    <m/>
    <d v="2026-11-25T00:00:00"/>
    <m/>
    <m/>
    <m/>
    <m/>
    <m/>
    <m/>
    <n v="411135500"/>
    <s v="EL01-001883"/>
    <s v="EL01-001883"/>
    <n v="1189320"/>
  </r>
  <r>
    <n v="684"/>
    <d v="2025-02-25T00:00:00"/>
    <n v="412501958"/>
    <s v="EL01-001919-1"/>
    <m/>
    <s v="S CORE CHIP F/ASSY"/>
    <s v="1097R520-001"/>
    <s v="-"/>
    <s v="ELTA Spec"/>
    <n v="9337"/>
    <s v="EA"/>
    <n v="170"/>
    <s v="USD"/>
    <n v="1"/>
    <n v="170"/>
    <n v="1587290"/>
    <s v="VR000638"/>
    <x v="60"/>
    <s v="PO2425U10816"/>
    <d v="2025-03-05T00:00:00"/>
    <s v="As agreed"/>
    <s v="EXW"/>
    <m/>
    <m/>
    <m/>
    <n v="0"/>
    <n v="8000"/>
    <n v="3500"/>
    <n v="4008"/>
    <m/>
    <m/>
    <m/>
    <d v="2025-12-31T00:00:00"/>
    <m/>
    <m/>
    <m/>
    <d v="2026-01-10T00:00:00"/>
    <m/>
    <m/>
    <m/>
    <m/>
    <m/>
    <m/>
    <n v="412501958"/>
    <s v="EL01-001919"/>
    <s v="EL01-001919"/>
    <n v="595000"/>
  </r>
  <r>
    <n v="685"/>
    <d v="2025-06-15T00:00:00"/>
    <n v="412501958"/>
    <s v="EL01-001919-2"/>
    <m/>
    <s v="S CORE CHIP F/ASSY"/>
    <s v="1097R520-001"/>
    <s v="-"/>
    <s v="ELTA Spec"/>
    <n v="9337"/>
    <s v="EA"/>
    <n v="170"/>
    <s v="USD"/>
    <n v="1"/>
    <n v="170"/>
    <n v="1587290"/>
    <s v="VR000638"/>
    <x v="60"/>
    <s v="PO2425U10816"/>
    <d v="2025-03-05T00:00:00"/>
    <s v="As agreed"/>
    <s v="EXW"/>
    <m/>
    <m/>
    <m/>
    <n v="0"/>
    <n v="0"/>
    <n v="9337"/>
    <m/>
    <m/>
    <m/>
    <m/>
    <m/>
    <m/>
    <m/>
    <m/>
    <d v="1900-01-09T00:00:00"/>
    <m/>
    <m/>
    <m/>
    <m/>
    <m/>
    <m/>
    <n v="412501958"/>
    <s v="EL01-001919"/>
    <s v="EL01-001919"/>
    <n v="1587290"/>
  </r>
  <r>
    <n v="686"/>
    <d v="2025-09-15T00:00:00"/>
    <n v="412501958"/>
    <s v="EL01-001919-3"/>
    <m/>
    <s v="S CORE CHIP F/ASSY"/>
    <s v="1097R520-001"/>
    <s v="-"/>
    <s v="ELTA Spec"/>
    <n v="9337"/>
    <s v="EA"/>
    <n v="170"/>
    <s v="USD"/>
    <n v="1"/>
    <n v="170"/>
    <n v="1587290"/>
    <s v="VR000638"/>
    <x v="60"/>
    <s v="PO2425U10816"/>
    <d v="2025-03-05T00:00:00"/>
    <s v="As agreed"/>
    <s v="EXW"/>
    <m/>
    <m/>
    <m/>
    <n v="0"/>
    <n v="0"/>
    <n v="9337"/>
    <m/>
    <m/>
    <m/>
    <m/>
    <m/>
    <m/>
    <m/>
    <m/>
    <d v="1900-01-09T00:00:00"/>
    <m/>
    <m/>
    <m/>
    <m/>
    <m/>
    <m/>
    <n v="412501958"/>
    <s v="EL01-001919"/>
    <s v="EL01-001919"/>
    <n v="1587290"/>
  </r>
  <r>
    <n v="687"/>
    <d v="2025-12-15T00:00:00"/>
    <n v="412501958"/>
    <s v="EL01-001919-4"/>
    <m/>
    <s v="S CORE CHIP F/ASSY"/>
    <s v="1097R520-001"/>
    <s v="-"/>
    <s v="ELTA Spec"/>
    <n v="9334"/>
    <s v="EA"/>
    <n v="170"/>
    <s v="USD"/>
    <n v="1"/>
    <n v="170"/>
    <n v="1586780"/>
    <s v="VR000638"/>
    <x v="60"/>
    <s v="PO2425U10816"/>
    <d v="2025-03-05T00:00:00"/>
    <s v="As agreed"/>
    <s v="EXW"/>
    <m/>
    <m/>
    <m/>
    <n v="0"/>
    <n v="0"/>
    <n v="9334"/>
    <m/>
    <m/>
    <m/>
    <m/>
    <m/>
    <m/>
    <m/>
    <m/>
    <d v="1900-01-09T00:00:00"/>
    <m/>
    <m/>
    <m/>
    <m/>
    <m/>
    <m/>
    <n v="412501958"/>
    <s v="EL01-001919"/>
    <s v="EL01-001919"/>
    <n v="1586780"/>
  </r>
  <r>
    <n v="688"/>
    <d v="2025-03-05T00:00:00"/>
    <n v="411899289"/>
    <s v="EL01-002248-1"/>
    <m/>
    <s v="PC BLANK"/>
    <s v="1096M282-001"/>
    <s v="-"/>
    <s v="ELTA Spec"/>
    <n v="20"/>
    <s v="EA"/>
    <n v="481.45"/>
    <s v="USD"/>
    <n v="1"/>
    <n v="481.45"/>
    <n v="9629"/>
    <s v="VR000632"/>
    <x v="61"/>
    <s v="PO2425U10771"/>
    <d v="2025-02-14T00:00:00"/>
    <s v="As agreed"/>
    <s v="EXW"/>
    <m/>
    <m/>
    <m/>
    <n v="0"/>
    <n v="20"/>
    <n v="0"/>
    <m/>
    <m/>
    <m/>
    <m/>
    <m/>
    <m/>
    <m/>
    <m/>
    <d v="1900-01-09T00:00:00"/>
    <m/>
    <m/>
    <m/>
    <m/>
    <m/>
    <m/>
    <n v="411899289"/>
    <s v="EL01-002248"/>
    <s v="EL01-002248"/>
    <m/>
  </r>
  <r>
    <n v="689"/>
    <d v="2025-05-15T00:00:00"/>
    <n v="411899289"/>
    <s v="EL01-002248-2"/>
    <m/>
    <s v="PC BLANK"/>
    <s v="1096M282-001"/>
    <s v="-"/>
    <s v="ELTA Spec"/>
    <n v="132"/>
    <s v="EA"/>
    <n v="481.45"/>
    <s v="USD"/>
    <n v="1"/>
    <n v="481.45"/>
    <n v="63551.4"/>
    <s v="VR000632"/>
    <x v="61"/>
    <s v="PO2425U10771"/>
    <d v="2025-02-14T00:00:00"/>
    <s v="As agreed"/>
    <s v="EXW"/>
    <m/>
    <m/>
    <m/>
    <n v="0"/>
    <n v="132"/>
    <n v="0"/>
    <n v="23"/>
    <m/>
    <m/>
    <m/>
    <d v="2025-12-31T00:00:00"/>
    <m/>
    <m/>
    <m/>
    <d v="2026-01-10T00:00:00"/>
    <m/>
    <m/>
    <m/>
    <m/>
    <m/>
    <m/>
    <n v="411899289"/>
    <s v="EL01-002248"/>
    <s v="EL01-002248"/>
    <m/>
  </r>
  <r>
    <n v="690"/>
    <d v="2025-10-15T00:00:00"/>
    <n v="411899289"/>
    <s v="EL01-002248-3"/>
    <m/>
    <s v="PC BLANK"/>
    <s v="1096M282-001"/>
    <s v="-"/>
    <s v="ELTA Spec"/>
    <n v="132"/>
    <s v="EA"/>
    <n v="481.45"/>
    <s v="USD"/>
    <n v="1"/>
    <n v="481.45"/>
    <n v="63551.4"/>
    <s v="VR000632"/>
    <x v="61"/>
    <s v="PO2425U10771"/>
    <d v="2025-02-14T00:00:00"/>
    <s v="As agreed"/>
    <s v="EXW"/>
    <m/>
    <m/>
    <m/>
    <n v="0"/>
    <n v="28"/>
    <n v="104"/>
    <n v="17"/>
    <m/>
    <m/>
    <m/>
    <d v="2025-12-31T00:00:00"/>
    <m/>
    <m/>
    <m/>
    <d v="2026-01-10T00:00:00"/>
    <m/>
    <m/>
    <m/>
    <m/>
    <m/>
    <m/>
    <n v="411899289"/>
    <s v="EL01-002248"/>
    <s v="EL01-002248"/>
    <n v="50070.799999999996"/>
  </r>
  <r>
    <n v="691"/>
    <d v="2026-01-15T00:00:00"/>
    <n v="411899289"/>
    <s v="EL01-002248-4"/>
    <m/>
    <s v="PC BLANK"/>
    <s v="1096M282-001"/>
    <s v="-"/>
    <s v="ELTA Spec"/>
    <n v="244"/>
    <s v="EA"/>
    <n v="481.45"/>
    <s v="USD"/>
    <n v="1"/>
    <n v="481.45"/>
    <n v="117473.8"/>
    <s v="VR000632"/>
    <x v="61"/>
    <s v="PO2425U10771"/>
    <d v="2025-02-14T00:00:00"/>
    <s v="As agreed"/>
    <s v="EXW"/>
    <m/>
    <m/>
    <m/>
    <n v="0"/>
    <n v="0"/>
    <n v="244"/>
    <n v="244"/>
    <m/>
    <m/>
    <m/>
    <m/>
    <m/>
    <m/>
    <m/>
    <d v="1900-01-09T00:00:00"/>
    <m/>
    <m/>
    <m/>
    <m/>
    <m/>
    <m/>
    <n v="411899289"/>
    <s v="EL01-002248"/>
    <s v="EL01-002248"/>
    <n v="117473.8"/>
  </r>
  <r>
    <n v="692"/>
    <d v="2025-03-05T00:00:00"/>
    <n v="411336669"/>
    <s v="EL01-001915-1"/>
    <m/>
    <s v="TRA RF PC BLANK MASTER DWG. CIW-2 Z1"/>
    <s v="1096M292-001"/>
    <s v="-"/>
    <s v="ELTA Spec"/>
    <n v="20"/>
    <s v="EA"/>
    <n v="481.1"/>
    <s v="USD"/>
    <n v="1"/>
    <n v="481.1"/>
    <n v="9622"/>
    <s v="VR000632"/>
    <x v="61"/>
    <s v="PO2425U10771"/>
    <d v="2025-02-14T00:00:00"/>
    <s v="As agreed"/>
    <s v="EXW"/>
    <m/>
    <m/>
    <m/>
    <n v="0"/>
    <n v="20"/>
    <n v="0"/>
    <m/>
    <m/>
    <m/>
    <m/>
    <m/>
    <m/>
    <m/>
    <m/>
    <d v="1900-01-09T00:00:00"/>
    <m/>
    <m/>
    <m/>
    <m/>
    <m/>
    <m/>
    <n v="411336669"/>
    <s v="EL01-001915"/>
    <s v="EL01-001915"/>
    <m/>
  </r>
  <r>
    <n v="693"/>
    <d v="2025-05-15T00:00:00"/>
    <n v="411336669"/>
    <s v="EL01-001915-2"/>
    <m/>
    <s v="TRA RF PC BLANK MASTER DWG. CIW-2 Z1"/>
    <s v="1096M292-001"/>
    <s v="-"/>
    <s v="ELTA Spec"/>
    <n v="136"/>
    <s v="EA"/>
    <n v="481.1"/>
    <s v="USD"/>
    <n v="1"/>
    <n v="481.1"/>
    <n v="65429.600000000006"/>
    <s v="VR000632"/>
    <x v="61"/>
    <s v="PO2425U10771"/>
    <d v="2025-02-14T00:00:00"/>
    <s v="As agreed"/>
    <s v="EXW"/>
    <m/>
    <m/>
    <m/>
    <n v="0"/>
    <n v="136"/>
    <n v="0"/>
    <m/>
    <m/>
    <m/>
    <m/>
    <m/>
    <m/>
    <m/>
    <m/>
    <d v="1900-01-09T00:00:00"/>
    <m/>
    <m/>
    <m/>
    <m/>
    <m/>
    <m/>
    <n v="411336669"/>
    <s v="EL01-001915"/>
    <s v="EL01-001915"/>
    <m/>
  </r>
  <r>
    <n v="694"/>
    <d v="2025-10-15T00:00:00"/>
    <n v="411336669"/>
    <s v="EL01-001915-3"/>
    <m/>
    <s v="TRA RF PC BLANK MASTER DWG. CIW-2 Z1"/>
    <s v="1096M292-001"/>
    <s v="-"/>
    <s v="ELTA Spec"/>
    <n v="136"/>
    <s v="EA"/>
    <n v="481.1"/>
    <s v="USD"/>
    <n v="1"/>
    <n v="481.1"/>
    <n v="65429.600000000006"/>
    <s v="VR000632"/>
    <x v="61"/>
    <s v="PO2425U10771"/>
    <d v="2025-02-14T00:00:00"/>
    <s v="As agreed"/>
    <s v="EXW"/>
    <m/>
    <m/>
    <m/>
    <n v="0"/>
    <n v="118"/>
    <n v="18"/>
    <m/>
    <m/>
    <m/>
    <m/>
    <m/>
    <m/>
    <m/>
    <m/>
    <d v="1900-01-09T00:00:00"/>
    <m/>
    <m/>
    <m/>
    <m/>
    <m/>
    <m/>
    <n v="411336669"/>
    <s v="EL01-001915"/>
    <s v="EL01-001915"/>
    <n v="8659.8000000000011"/>
  </r>
  <r>
    <n v="695"/>
    <d v="2026-01-15T00:00:00"/>
    <n v="411336669"/>
    <s v="EL01-001915-4"/>
    <m/>
    <s v="TRA RF PC BLANK MASTER DWG. CIW-2 Z1"/>
    <s v="1096M292-001"/>
    <s v="-"/>
    <s v="ELTA Spec"/>
    <n v="248"/>
    <s v="EA"/>
    <n v="481.1"/>
    <s v="USD"/>
    <n v="1"/>
    <n v="481.1"/>
    <n v="119312.8"/>
    <s v="VR000632"/>
    <x v="61"/>
    <s v="PO2425U10771"/>
    <d v="2025-02-14T00:00:00"/>
    <s v="As agreed"/>
    <s v="EXW"/>
    <m/>
    <m/>
    <m/>
    <n v="0"/>
    <n v="0"/>
    <n v="248"/>
    <m/>
    <m/>
    <m/>
    <m/>
    <m/>
    <m/>
    <m/>
    <m/>
    <d v="1900-01-09T00:00:00"/>
    <m/>
    <m/>
    <m/>
    <m/>
    <m/>
    <m/>
    <n v="411336669"/>
    <s v="EL01-001915"/>
    <s v="EL01-001915"/>
    <n v="119312.8"/>
  </r>
  <r>
    <n v="696"/>
    <d v="2024-12-15T00:00:00"/>
    <n v="409331536"/>
    <s v="EL01-001814-2"/>
    <m/>
    <s v="FUSE CERAMIC SMT 1A 50V T&amp;R"/>
    <s v="0440001.WR"/>
    <m/>
    <s v="LITTELFUSE INC"/>
    <n v="21000"/>
    <s v="EA"/>
    <n v="0.111"/>
    <s v="USD"/>
    <n v="1"/>
    <n v="0.111"/>
    <n v="2331"/>
    <s v="VR000509"/>
    <x v="39"/>
    <s v="PO2425U10798"/>
    <d v="2025-02-27T00:00:00"/>
    <s v="Net 30days"/>
    <s v="EXW"/>
    <s v="Yes"/>
    <m/>
    <m/>
    <n v="0"/>
    <n v="21000"/>
    <n v="0"/>
    <m/>
    <m/>
    <m/>
    <m/>
    <m/>
    <m/>
    <m/>
    <m/>
    <d v="1900-01-09T00:00:00"/>
    <m/>
    <m/>
    <m/>
    <m/>
    <m/>
    <m/>
    <n v="409331536"/>
    <s v="EL01-001814"/>
    <s v="EL01-001814"/>
    <m/>
  </r>
  <r>
    <n v="697"/>
    <d v="2025-01-15T00:00:00"/>
    <n v="400506335"/>
    <s v="EL01-002247-2"/>
    <m/>
    <s v="FUSE 0.5A/63V VERY FAST ACTION, ROHS,"/>
    <s v="0466.500NR"/>
    <m/>
    <s v=" Littelfuse"/>
    <n v="15000"/>
    <s v="EA"/>
    <n v="5.2999999999999999E-2"/>
    <s v="USD"/>
    <n v="1"/>
    <n v="5.2999999999999999E-2"/>
    <n v="795"/>
    <s v="VR000509"/>
    <x v="39"/>
    <s v="PO2425U10798"/>
    <d v="2025-02-27T00:00:00"/>
    <s v="Net 30days"/>
    <s v="EXW"/>
    <s v="No"/>
    <m/>
    <m/>
    <n v="0"/>
    <n v="15000"/>
    <n v="0"/>
    <m/>
    <m/>
    <m/>
    <m/>
    <m/>
    <m/>
    <m/>
    <m/>
    <d v="1900-01-09T00:00:00"/>
    <m/>
    <m/>
    <m/>
    <m/>
    <m/>
    <m/>
    <n v="400506335"/>
    <s v="EL01-002247"/>
    <s v="EL01-002247"/>
    <m/>
  </r>
  <r>
    <n v="698"/>
    <d v="2025-03-15T00:00:00"/>
    <n v="731587267"/>
    <s v="EL01-001975-1"/>
    <m/>
    <s v="COMPOUND,ELECTRICAL INSULATING,SILICONE"/>
    <s v="MOLYCOTE 4 100GR"/>
    <m/>
    <s v="Dupont"/>
    <n v="1"/>
    <s v="EA"/>
    <n v="1410"/>
    <s v="INR"/>
    <n v="1.2E-2"/>
    <n v="16.920000000000002"/>
    <n v="16.920000000000002"/>
    <s v="VR000641"/>
    <x v="62"/>
    <s v="PO2425U10849"/>
    <d v="2025-03-13T00:00:00"/>
    <s v="As agreed"/>
    <s v="EXW"/>
    <s v="Yes"/>
    <m/>
    <m/>
    <n v="0"/>
    <n v="1"/>
    <n v="0"/>
    <m/>
    <m/>
    <m/>
    <m/>
    <m/>
    <m/>
    <m/>
    <m/>
    <d v="1900-01-09T00:00:00"/>
    <m/>
    <m/>
    <m/>
    <m/>
    <m/>
    <m/>
    <m/>
    <m/>
    <s v="EL01-001975"/>
    <m/>
  </r>
  <r>
    <n v="699"/>
    <d v="2025-03-30T00:00:00"/>
    <n v="732551668"/>
    <s v="EL01-000017-1"/>
    <m/>
    <s v="ADHESIVE CONDUCTIVE SILICONE, SILVER"/>
    <s v="080-1200"/>
    <m/>
    <s v="JA-BAR SILICONE CORPORATION"/>
    <n v="5"/>
    <s v="EA"/>
    <n v="600"/>
    <s v="USD"/>
    <n v="1"/>
    <n v="600"/>
    <n v="3000"/>
    <s v="VR000430"/>
    <x v="63"/>
    <s v="PO2425U10860"/>
    <d v="2025-03-17T00:00:00"/>
    <s v="100% Advance"/>
    <s v="EXW"/>
    <s v="Yes"/>
    <m/>
    <m/>
    <n v="0"/>
    <n v="5"/>
    <n v="0"/>
    <m/>
    <m/>
    <m/>
    <m/>
    <m/>
    <m/>
    <m/>
    <m/>
    <d v="1900-01-09T00:00:00"/>
    <m/>
    <m/>
    <m/>
    <m/>
    <m/>
    <m/>
    <m/>
    <m/>
    <s v="EL01-000017"/>
    <m/>
  </r>
  <r>
    <n v="700"/>
    <d v="2025-03-19T00:00:00"/>
    <n v="732602347"/>
    <s v="EL01-000324-1"/>
    <m/>
    <s v="SEALING LOCKING ANAEROB. COMP."/>
    <s v="242 50CC"/>
    <m/>
    <s v="Henkel"/>
    <n v="500"/>
    <s v="ML"/>
    <n v="13.4"/>
    <s v="INR"/>
    <n v="0.01"/>
    <n v="0.13400000000000001"/>
    <n v="67"/>
    <s v="VR000066"/>
    <x v="64"/>
    <s v="PO2425U10877"/>
    <d v="2025-03-19T00:00:00"/>
    <s v="Net 30 Days"/>
    <s v="EXW"/>
    <s v="Yes"/>
    <m/>
    <m/>
    <n v="0"/>
    <n v="500"/>
    <n v="0"/>
    <m/>
    <m/>
    <m/>
    <m/>
    <m/>
    <m/>
    <m/>
    <m/>
    <d v="1900-01-09T00:00:00"/>
    <m/>
    <m/>
    <m/>
    <m/>
    <m/>
    <m/>
    <m/>
    <m/>
    <s v="EL01-000324"/>
    <m/>
  </r>
  <r>
    <n v="701"/>
    <d v="2025-03-30T00:00:00"/>
    <n v="407294414"/>
    <s v="EL01-001907-1"/>
    <m/>
    <s v="NAMEPLATE TRG"/>
    <s v="1096D934-002"/>
    <s v="-"/>
    <s v="ACKERMAN"/>
    <n v="528"/>
    <s v="EA"/>
    <n v="2.2000000000000002"/>
    <s v="USD"/>
    <n v="1"/>
    <n v="2.2000000000000002"/>
    <n v="1161.6000000000001"/>
    <s v="VR000047"/>
    <x v="1"/>
    <s v="PO2425U10878"/>
    <d v="2025-03-20T00:00:00"/>
    <s v="Net 30 Days"/>
    <s v="EXW"/>
    <s v="Yes"/>
    <s v="Received "/>
    <s v="Done"/>
    <n v="0"/>
    <n v="528"/>
    <n v="0"/>
    <m/>
    <m/>
    <m/>
    <m/>
    <m/>
    <m/>
    <m/>
    <m/>
    <d v="1900-01-09T00:00:00"/>
    <m/>
    <m/>
    <m/>
    <m/>
    <m/>
    <m/>
    <m/>
    <m/>
    <s v="EL01-001907"/>
    <m/>
  </r>
  <r>
    <n v="702"/>
    <d v="2025-04-01T00:00:00"/>
    <n v="724201397"/>
    <s v="EL01-000761-1"/>
    <m/>
    <s v="TAPE ADHESIVE,ELECTRICAL INSULATION, TEF"/>
    <s v="60-3/4IN36YD"/>
    <m/>
    <s v="3M"/>
    <n v="1"/>
    <s v="EA"/>
    <n v="3400"/>
    <s v="INR"/>
    <n v="1.2E-2"/>
    <n v="40.800000000000004"/>
    <n v="40.800000000000004"/>
    <s v="VR000445"/>
    <x v="65"/>
    <s v="PO2425U10885"/>
    <d v="2025-03-26T00:00:00"/>
    <s v="Net 30 Days"/>
    <s v="EXW"/>
    <s v="Yes"/>
    <m/>
    <m/>
    <n v="0"/>
    <n v="1"/>
    <n v="0"/>
    <m/>
    <m/>
    <m/>
    <m/>
    <m/>
    <m/>
    <m/>
    <m/>
    <d v="1900-01-09T00:00:00"/>
    <m/>
    <m/>
    <m/>
    <m/>
    <m/>
    <m/>
    <m/>
    <m/>
    <s v="EL01-000761"/>
    <m/>
  </r>
  <r>
    <n v="703"/>
    <d v="2025-04-20T00:00:00"/>
    <n v="411359913"/>
    <s v="EL01-001749-2"/>
    <m/>
    <s v="IC QUAD-SERIAL CONFIGURATION DEVICE"/>
    <s v="EPCQ64ASI16N"/>
    <m/>
    <s v="INTEL CORP"/>
    <n v="880"/>
    <s v="EA"/>
    <n v="3.9346000000000001"/>
    <s v="USD"/>
    <n v="1"/>
    <n v="3.9346000000000001"/>
    <n v="3462.4479999999999"/>
    <m/>
    <x v="66"/>
    <s v="PO2425U10888"/>
    <d v="2025-03-27T00:00:00"/>
    <s v="Before delivery"/>
    <s v="EXW"/>
    <s v="Yes"/>
    <m/>
    <m/>
    <n v="0"/>
    <n v="880"/>
    <n v="0"/>
    <m/>
    <m/>
    <m/>
    <m/>
    <m/>
    <m/>
    <m/>
    <m/>
    <d v="1900-01-09T00:00:00"/>
    <m/>
    <m/>
    <m/>
    <m/>
    <m/>
    <m/>
    <m/>
    <m/>
    <s v="EL01-001749"/>
    <m/>
  </r>
  <r>
    <n v="704"/>
    <d v="2025-03-31T00:00:00"/>
    <n v="732303003"/>
    <s v="EL01-002745-1"/>
    <m/>
    <s v="SEALANT,SILICONE RUBBER,PASTE TYPE, ONE-"/>
    <s v="RTV162WHITE-TU3OZ"/>
    <m/>
    <m/>
    <n v="1"/>
    <s v="Crtrg"/>
    <n v="2699"/>
    <s v="INR"/>
    <n v="1.2E-2"/>
    <n v="32.387999999999998"/>
    <n v="32.387999999999998"/>
    <s v="VR000503"/>
    <x v="67"/>
    <s v="PO2425U10900"/>
    <d v="2025-03-31T00:00:00"/>
    <s v="100% Advance"/>
    <s v="EXW"/>
    <s v="Yes"/>
    <m/>
    <m/>
    <n v="0"/>
    <n v="1"/>
    <n v="0"/>
    <m/>
    <m/>
    <m/>
    <m/>
    <m/>
    <m/>
    <m/>
    <m/>
    <d v="1900-01-09T00:00:00"/>
    <m/>
    <m/>
    <m/>
    <m/>
    <m/>
    <m/>
    <m/>
    <m/>
    <s v="EL01-002745"/>
    <m/>
  </r>
  <r>
    <n v="705"/>
    <d v="2025-03-30T00:00:00"/>
    <n v="412614372"/>
    <s v="EL01-002771-1"/>
    <m/>
    <s v="FAN HOUSE"/>
    <s v="6931A452-001"/>
    <s v="B"/>
    <s v="ELTA Spec"/>
    <n v="4"/>
    <s v="EA"/>
    <n v="997"/>
    <s v="USD"/>
    <n v="1"/>
    <n v="997"/>
    <n v="3988"/>
    <s v="VR000065"/>
    <x v="50"/>
    <s v="PO2425U10892"/>
    <d v="2025-03-28T00:00:00"/>
    <s v="Net 30 Days"/>
    <s v="EXW"/>
    <s v="Yes"/>
    <m/>
    <m/>
    <n v="0"/>
    <n v="4"/>
    <n v="0"/>
    <m/>
    <m/>
    <m/>
    <m/>
    <m/>
    <m/>
    <m/>
    <m/>
    <d v="1900-01-09T00:00:00"/>
    <m/>
    <m/>
    <m/>
    <m/>
    <m/>
    <m/>
    <m/>
    <m/>
    <s v="EL01-002771"/>
    <m/>
  </r>
  <r>
    <n v="706"/>
    <d v="2025-03-30T00:00:00"/>
    <n v="412614372"/>
    <s v="EL01-002771-2"/>
    <m/>
    <s v="FAN HOUSE"/>
    <s v="6931A452-001"/>
    <s v="B"/>
    <s v="ELTA Spec"/>
    <n v="21"/>
    <s v="EA"/>
    <n v="997"/>
    <s v="USD"/>
    <n v="1"/>
    <n v="997"/>
    <n v="20937"/>
    <s v="VR000065"/>
    <x v="50"/>
    <s v="PO2425U10892"/>
    <d v="2025-03-28T00:00:00"/>
    <s v="Net 30 Days"/>
    <s v="EXW"/>
    <s v="Yes"/>
    <m/>
    <m/>
    <n v="0"/>
    <n v="21"/>
    <n v="0"/>
    <m/>
    <m/>
    <m/>
    <m/>
    <d v="2025-12-31T00:00:00"/>
    <m/>
    <m/>
    <m/>
    <d v="2026-01-10T00:00:00"/>
    <m/>
    <m/>
    <m/>
    <m/>
    <m/>
    <m/>
    <m/>
    <m/>
    <s v="EL01-002771"/>
    <m/>
  </r>
  <r>
    <n v="707"/>
    <d v="2025-03-30T00:00:00"/>
    <n v="412614372"/>
    <s v="EL01-002771-3"/>
    <m/>
    <s v="FAN HOUSE"/>
    <s v="6931A452-001"/>
    <s v="B"/>
    <s v="ELTA Spec"/>
    <n v="60"/>
    <s v="EA"/>
    <n v="997"/>
    <s v="USD"/>
    <n v="1"/>
    <n v="997"/>
    <n v="59820"/>
    <s v="VR000065"/>
    <x v="50"/>
    <s v="PO2425U10892"/>
    <d v="2025-03-28T00:00:00"/>
    <s v="Net 30 Days"/>
    <s v="EXW"/>
    <s v="Yes"/>
    <m/>
    <m/>
    <n v="0"/>
    <n v="13"/>
    <n v="47"/>
    <n v="12"/>
    <n v="35"/>
    <m/>
    <m/>
    <d v="2026-03-30T00:00:00"/>
    <d v="2026-02-28T00:00:00"/>
    <m/>
    <m/>
    <d v="2026-04-09T00:00:00"/>
    <m/>
    <m/>
    <m/>
    <m/>
    <m/>
    <m/>
    <m/>
    <m/>
    <s v="EL01-002771"/>
    <n v="46859"/>
  </r>
  <r>
    <n v="708"/>
    <d v="2025-03-30T00:00:00"/>
    <n v="412614372"/>
    <s v="EL01-002771-4"/>
    <m/>
    <s v="FAN HOUSE"/>
    <s v="6931A452-001"/>
    <s v="B"/>
    <s v="ELTA Spec"/>
    <n v="60"/>
    <s v="EA"/>
    <n v="997"/>
    <s v="USD"/>
    <n v="1"/>
    <n v="997"/>
    <n v="59820"/>
    <s v="VR000065"/>
    <x v="50"/>
    <s v="PO2425U10892"/>
    <d v="2025-03-28T00:00:00"/>
    <s v="Net 30 Days"/>
    <s v="EXW"/>
    <s v="Yes"/>
    <m/>
    <m/>
    <n v="0"/>
    <n v="0"/>
    <n v="60"/>
    <n v="60"/>
    <m/>
    <m/>
    <m/>
    <d v="2026-03-30T00:00:00"/>
    <m/>
    <m/>
    <m/>
    <d v="2026-04-09T00:00:00"/>
    <m/>
    <m/>
    <m/>
    <m/>
    <m/>
    <m/>
    <m/>
    <m/>
    <s v="EL01-002771"/>
    <n v="59820"/>
  </r>
  <r>
    <n v="709"/>
    <d v="2025-04-07T00:00:00"/>
    <m/>
    <s v="EL01-002768 -1"/>
    <m/>
    <s v="SCREW"/>
    <s v="NAS1352-6-16P"/>
    <m/>
    <s v="Fastner"/>
    <n v="100"/>
    <s v="EA"/>
    <n v="3.7"/>
    <s v="USD"/>
    <n v="1"/>
    <n v="3.7"/>
    <n v="370"/>
    <s v="VR000099"/>
    <x v="68"/>
    <s v="PO2526U10001"/>
    <d v="2025-04-02T00:00:00"/>
    <s v="100% Advance"/>
    <s v="EXW"/>
    <m/>
    <m/>
    <m/>
    <n v="0"/>
    <n v="100"/>
    <n v="0"/>
    <m/>
    <m/>
    <m/>
    <m/>
    <m/>
    <m/>
    <m/>
    <m/>
    <d v="1900-01-09T00:00:00"/>
    <m/>
    <m/>
    <m/>
    <m/>
    <m/>
    <m/>
    <m/>
    <m/>
    <s v="EL01-002768"/>
    <m/>
  </r>
  <r>
    <n v="710"/>
    <d v="2025-04-07T00:00:00"/>
    <m/>
    <s v="EL01-002769-1"/>
    <m/>
    <s v="Nut"/>
    <s v="NAS1149C0632R"/>
    <m/>
    <s v="Fastner"/>
    <n v="500"/>
    <s v="EA"/>
    <n v="0.28000000000000003"/>
    <s v="USD"/>
    <n v="1"/>
    <n v="0.28000000000000003"/>
    <n v="140"/>
    <s v="VR000099"/>
    <x v="68"/>
    <s v="PO2526U10001"/>
    <d v="2025-04-02T00:00:00"/>
    <s v="100% Advance"/>
    <s v="EXW"/>
    <m/>
    <m/>
    <m/>
    <n v="0"/>
    <n v="498"/>
    <n v="2"/>
    <m/>
    <m/>
    <m/>
    <m/>
    <m/>
    <m/>
    <m/>
    <m/>
    <d v="1900-01-09T00:00:00"/>
    <m/>
    <m/>
    <m/>
    <m/>
    <m/>
    <m/>
    <m/>
    <m/>
    <s v="EL01-002769"/>
    <n v="0.56000000000000005"/>
  </r>
  <r>
    <n v="711"/>
    <d v="2025-04-07T00:00:00"/>
    <m/>
    <s v="EL01-002770-1"/>
    <m/>
    <s v="Washer"/>
    <s v="MS35338-141"/>
    <m/>
    <s v="Fastner"/>
    <n v="500"/>
    <s v="EA"/>
    <n v="0.2"/>
    <s v="USD"/>
    <n v="1"/>
    <n v="0.2"/>
    <n v="100"/>
    <s v="VR000099"/>
    <x v="68"/>
    <s v="PO2526U10001"/>
    <d v="2025-04-02T00:00:00"/>
    <s v="100% Advance"/>
    <s v="EXW"/>
    <m/>
    <m/>
    <m/>
    <n v="0"/>
    <n v="500"/>
    <n v="0"/>
    <m/>
    <m/>
    <m/>
    <m/>
    <m/>
    <m/>
    <m/>
    <m/>
    <d v="1900-01-09T00:00:00"/>
    <m/>
    <m/>
    <m/>
    <m/>
    <m/>
    <m/>
    <m/>
    <m/>
    <s v="EL01-002770"/>
    <m/>
  </r>
  <r>
    <n v="712"/>
    <d v="2025-04-30T00:00:00"/>
    <n v="510470941"/>
    <s v="EL01-002258-1"/>
    <m/>
    <s v="INSERT,HELICAL COIL,FREE RUNNING,TANGED"/>
    <s v="MS124695"/>
    <m/>
    <s v="Kaytech"/>
    <n v="14784"/>
    <s v="EA"/>
    <n v="0.17499999999999999"/>
    <s v="USD"/>
    <n v="1"/>
    <n v="0.17499999999999999"/>
    <n v="2587.1999999999998"/>
    <s v="VR000099"/>
    <x v="68"/>
    <s v="PO2526U10003"/>
    <d v="2025-04-04T00:00:00"/>
    <s v="100% Advance"/>
    <s v="EXW"/>
    <m/>
    <m/>
    <m/>
    <n v="0"/>
    <n v="14784"/>
    <n v="0"/>
    <m/>
    <m/>
    <m/>
    <m/>
    <m/>
    <m/>
    <m/>
    <m/>
    <d v="1900-01-09T00:00:00"/>
    <s v="Will advise"/>
    <m/>
    <m/>
    <m/>
    <m/>
    <m/>
    <m/>
    <m/>
    <s v="EL01-002258"/>
    <m/>
  </r>
  <r>
    <n v="713"/>
    <d v="2025-04-30T00:00:00"/>
    <n v="510473135"/>
    <s v="EL01-002746-1"/>
    <m/>
    <s v="INSERT,HELICAL COIL,FREERUNNING,TANGED"/>
    <s v="MS122076"/>
    <m/>
    <s v="Kaytech"/>
    <n v="129360"/>
    <s v="EA"/>
    <n v="0.123"/>
    <s v="USD"/>
    <n v="1"/>
    <n v="0.123"/>
    <n v="15911.28"/>
    <s v="VR000099"/>
    <x v="68"/>
    <s v="PO2526U10003"/>
    <d v="2025-04-04T00:00:00"/>
    <s v="100% Advance"/>
    <s v="EXW"/>
    <m/>
    <m/>
    <m/>
    <n v="0"/>
    <n v="129360"/>
    <n v="0"/>
    <m/>
    <m/>
    <m/>
    <m/>
    <m/>
    <m/>
    <m/>
    <m/>
    <d v="1900-01-09T00:00:00"/>
    <s v="Will advise"/>
    <m/>
    <m/>
    <m/>
    <m/>
    <m/>
    <m/>
    <m/>
    <s v="EL01-002746"/>
    <m/>
  </r>
  <r>
    <n v="714"/>
    <d v="2025-04-30T00:00:00"/>
    <n v="544171184"/>
    <s v="EL01-002750-1"/>
    <m/>
    <s v="INSERT,HELICAL COIL,SCREW-THREAD,TANG"/>
    <s v="MS21209C0410L"/>
    <m/>
    <s v="Kaytech"/>
    <n v="111573"/>
    <s v="EA"/>
    <n v="0.22900000000000001"/>
    <s v="USD"/>
    <n v="1"/>
    <n v="0.22900000000000001"/>
    <n v="25550.217000000001"/>
    <s v="VR000099"/>
    <x v="68"/>
    <s v="PO2526U10003"/>
    <d v="2025-04-04T00:00:00"/>
    <s v="100% Advance"/>
    <s v="EXW"/>
    <m/>
    <m/>
    <m/>
    <n v="0"/>
    <n v="111573"/>
    <n v="0"/>
    <m/>
    <m/>
    <m/>
    <m/>
    <m/>
    <m/>
    <m/>
    <m/>
    <d v="1900-01-09T00:00:00"/>
    <s v="Will advise"/>
    <m/>
    <m/>
    <m/>
    <m/>
    <m/>
    <m/>
    <m/>
    <s v="EL01-002750"/>
    <m/>
  </r>
  <r>
    <n v="715"/>
    <d v="2025-04-30T00:00:00"/>
    <n v="510354467"/>
    <s v="EL01-002752-1"/>
    <m/>
    <s v="INSERT,HELICAL COIL,SCREW-THREAD,TANG"/>
    <s v="MS21209C0610L"/>
    <m/>
    <s v="Kaytech"/>
    <n v="44352"/>
    <s v="EA"/>
    <n v="0.22900000000000001"/>
    <s v="USD"/>
    <n v="1"/>
    <n v="0.22900000000000001"/>
    <n v="10156.608"/>
    <s v="VR000099"/>
    <x v="68"/>
    <s v="PO2526U10003"/>
    <d v="2025-04-04T00:00:00"/>
    <s v="100% Advance"/>
    <s v="EXW"/>
    <m/>
    <m/>
    <m/>
    <n v="0"/>
    <n v="44241"/>
    <n v="111"/>
    <m/>
    <m/>
    <m/>
    <m/>
    <m/>
    <m/>
    <m/>
    <m/>
    <d v="1900-01-09T00:00:00"/>
    <s v=" Will advise"/>
    <m/>
    <m/>
    <m/>
    <m/>
    <m/>
    <m/>
    <m/>
    <s v="EL01-002752"/>
    <n v="25.419"/>
  </r>
  <r>
    <n v="716"/>
    <d v="2025-04-30T00:00:00"/>
    <n v="544171432"/>
    <s v="EL01-002754-1"/>
    <m/>
    <s v="INSERT,HELICAL COIL,SCREW-THREAD,TANG"/>
    <s v="MS21209C0210L"/>
    <m/>
    <s v="Kaytech"/>
    <n v="500"/>
    <s v="EA"/>
    <n v="0.28999999999999998"/>
    <s v="USD"/>
    <n v="1"/>
    <n v="0.28999999999999998"/>
    <n v="145"/>
    <s v="VR000099"/>
    <x v="68"/>
    <s v="PO2526U10003"/>
    <d v="2025-04-04T00:00:00"/>
    <s v="100% Advance"/>
    <s v="EXW"/>
    <m/>
    <m/>
    <m/>
    <n v="0"/>
    <n v="500"/>
    <n v="0"/>
    <m/>
    <m/>
    <m/>
    <m/>
    <m/>
    <m/>
    <m/>
    <m/>
    <d v="1900-01-09T00:00:00"/>
    <m/>
    <m/>
    <m/>
    <m/>
    <m/>
    <m/>
    <m/>
    <m/>
    <s v="EL01-002754"/>
    <m/>
  </r>
  <r>
    <n v="717"/>
    <d v="2025-04-30T00:00:00"/>
    <n v="510471063"/>
    <s v="EL01-001725-1"/>
    <m/>
    <s v="INSERT,HELICAL COIL,FREE RUNNING,TANGED"/>
    <s v="MS124656"/>
    <m/>
    <s v="NAS/NASM NATIONAL AEROSPACE STD"/>
    <n v="9471"/>
    <s v="EA"/>
    <n v="0.17899999999999999"/>
    <s v="USD"/>
    <n v="1"/>
    <n v="0.17899999999999999"/>
    <n v="1695.309"/>
    <s v="VR000099"/>
    <x v="68"/>
    <s v="PO2526U10003"/>
    <d v="2025-04-04T00:00:00"/>
    <s v="100% Advance"/>
    <s v="EXW"/>
    <m/>
    <m/>
    <m/>
    <n v="0"/>
    <n v="9471"/>
    <n v="0"/>
    <m/>
    <m/>
    <m/>
    <m/>
    <m/>
    <m/>
    <m/>
    <m/>
    <d v="1900-01-09T00:00:00"/>
    <s v=" Will advise"/>
    <m/>
    <m/>
    <m/>
    <m/>
    <m/>
    <m/>
    <m/>
    <s v="EL01-001725"/>
    <m/>
  </r>
  <r>
    <n v="718"/>
    <d v="2025-04-30T00:00:00"/>
    <n v="512306804"/>
    <s v="EL01-002742-1"/>
    <m/>
    <s v="SCREW,CAP HEAD,HEX SOCKET RECESS,FULL SH"/>
    <s v="MS16995-11"/>
    <m/>
    <s v="Kaytech"/>
    <n v="1300"/>
    <s v="EA"/>
    <n v="0.13900000000000001"/>
    <s v="USD"/>
    <n v="1"/>
    <n v="0.13900000000000001"/>
    <n v="180.70000000000002"/>
    <s v="VR000099"/>
    <x v="68"/>
    <s v="PO2526U10003"/>
    <d v="2025-04-04T00:00:00"/>
    <s v="100% Advance"/>
    <s v="EXW"/>
    <m/>
    <m/>
    <m/>
    <n v="0"/>
    <n v="1300"/>
    <n v="0"/>
    <m/>
    <m/>
    <m/>
    <m/>
    <m/>
    <m/>
    <m/>
    <m/>
    <d v="1900-01-09T00:00:00"/>
    <m/>
    <m/>
    <m/>
    <m/>
    <m/>
    <m/>
    <m/>
    <m/>
    <s v="EL01-002742"/>
    <m/>
  </r>
  <r>
    <n v="719"/>
    <d v="2025-04-30T00:00:00"/>
    <n v="512212457"/>
    <s v="EL01-000030-1"/>
    <m/>
    <s v="SCREW,MACHINE,100 DEG. FLUSH HEAD,CRUCIF"/>
    <s v="NAS662C2R4"/>
    <m/>
    <s v="NATIONAL AEROSPACE STAND"/>
    <n v="600"/>
    <s v="EA"/>
    <n v="0.1"/>
    <s v="USD"/>
    <n v="1"/>
    <n v="0.1"/>
    <n v="60"/>
    <s v="VR000099"/>
    <x v="68"/>
    <s v="PO2526U10003"/>
    <d v="2025-04-04T00:00:00"/>
    <s v="100% Advance"/>
    <s v="EXW"/>
    <m/>
    <m/>
    <m/>
    <n v="0"/>
    <n v="600"/>
    <n v="0"/>
    <m/>
    <m/>
    <m/>
    <m/>
    <m/>
    <m/>
    <m/>
    <m/>
    <d v="1900-01-09T00:00:00"/>
    <m/>
    <m/>
    <m/>
    <m/>
    <m/>
    <m/>
    <m/>
    <m/>
    <s v="EL01-000030"/>
    <m/>
  </r>
  <r>
    <n v="720"/>
    <d v="2024-12-15T00:00:00"/>
    <s v="N65805756"/>
    <s v="EL01-002365-2"/>
    <m/>
    <s v="ADAPTER WITHIN SMA(F) TO SMA(F) BULK"/>
    <s v="SF2991-6002"/>
    <m/>
    <s v="Amphenol / SV Microwave"/>
    <n v="130"/>
    <s v="EA"/>
    <n v="26.327999999999999"/>
    <s v="USD"/>
    <n v="1"/>
    <n v="26.327999999999999"/>
    <n v="3422.64"/>
    <m/>
    <x v="69"/>
    <s v="PO2425U10523"/>
    <d v="2024-11-12T00:00:00"/>
    <s v="100% Advance"/>
    <s v="EXW"/>
    <s v="Yes"/>
    <m/>
    <m/>
    <n v="0"/>
    <n v="130"/>
    <n v="0"/>
    <m/>
    <m/>
    <m/>
    <m/>
    <m/>
    <m/>
    <m/>
    <m/>
    <d v="1900-01-09T00:00:00"/>
    <m/>
    <m/>
    <m/>
    <m/>
    <m/>
    <m/>
    <m/>
    <m/>
    <s v="EL01-002365"/>
    <m/>
  </r>
  <r>
    <n v="721"/>
    <d v="2025-04-20T00:00:00"/>
    <n v="420122608"/>
    <s v="EL01-002743 -1"/>
    <m/>
    <s v="THERMAL PAD"/>
    <s v="1094Y684-001"/>
    <m/>
    <s v="ELTA Spec"/>
    <n v="33"/>
    <s v="EA"/>
    <n v="25"/>
    <s v="USD"/>
    <n v="1"/>
    <n v="25"/>
    <n v="825"/>
    <m/>
    <x v="26"/>
    <s v="PO2526U10007"/>
    <d v="2025-04-10T00:00:00"/>
    <s v="Net 30 Days"/>
    <s v="EXW"/>
    <m/>
    <m/>
    <m/>
    <n v="0"/>
    <n v="33"/>
    <n v="0"/>
    <m/>
    <m/>
    <m/>
    <m/>
    <m/>
    <m/>
    <m/>
    <m/>
    <d v="1900-01-09T00:00:00"/>
    <m/>
    <m/>
    <m/>
    <m/>
    <m/>
    <m/>
    <m/>
    <m/>
    <s v="EL01-002743"/>
    <m/>
  </r>
  <r>
    <n v="722"/>
    <d v="2025-06-15T00:00:00"/>
    <n v="420122608"/>
    <s v="EL01-002743-2"/>
    <m/>
    <s v="THERMAL PAD"/>
    <s v="1094Y684-001"/>
    <m/>
    <s v="ELTA Spec"/>
    <n v="33"/>
    <s v="EA"/>
    <n v="25"/>
    <s v="USD"/>
    <n v="1"/>
    <n v="25"/>
    <n v="825"/>
    <m/>
    <x v="26"/>
    <s v="PO2526U10007"/>
    <d v="2025-04-10T00:00:00"/>
    <s v="Net 30 Days"/>
    <s v="EXW"/>
    <m/>
    <m/>
    <m/>
    <n v="0"/>
    <n v="33"/>
    <n v="0"/>
    <m/>
    <m/>
    <m/>
    <m/>
    <m/>
    <m/>
    <m/>
    <m/>
    <d v="1900-01-09T00:00:00"/>
    <m/>
    <m/>
    <m/>
    <m/>
    <m/>
    <m/>
    <m/>
    <m/>
    <s v="EL01-002743"/>
    <m/>
  </r>
  <r>
    <n v="723"/>
    <d v="2025-09-15T00:00:00"/>
    <n v="420122608"/>
    <s v="EL01-002743-3"/>
    <m/>
    <s v="THERMAL PAD"/>
    <s v="1094Y684-001"/>
    <m/>
    <s v="ELTA Spec"/>
    <n v="33"/>
    <s v="EA"/>
    <n v="25"/>
    <s v="USD"/>
    <n v="1"/>
    <n v="25"/>
    <n v="825"/>
    <m/>
    <x v="26"/>
    <s v="PO2526U10007"/>
    <d v="2025-04-10T00:00:00"/>
    <s v="Net 30 Days"/>
    <s v="EXW"/>
    <m/>
    <m/>
    <m/>
    <n v="0"/>
    <n v="33"/>
    <n v="0"/>
    <m/>
    <m/>
    <m/>
    <m/>
    <m/>
    <m/>
    <m/>
    <m/>
    <d v="1900-01-09T00:00:00"/>
    <m/>
    <m/>
    <m/>
    <m/>
    <m/>
    <m/>
    <m/>
    <m/>
    <s v="EL01-002743"/>
    <m/>
  </r>
  <r>
    <n v="724"/>
    <d v="2025-12-15T00:00:00"/>
    <n v="420122608"/>
    <s v="EL01-002743-4"/>
    <m/>
    <s v="THERMAL PAD"/>
    <s v="1094Y684-001"/>
    <m/>
    <s v="ELTA Spec"/>
    <n v="31"/>
    <s v="EA"/>
    <n v="25"/>
    <s v="USD"/>
    <n v="1"/>
    <n v="25"/>
    <n v="775"/>
    <m/>
    <x v="26"/>
    <s v="PO2526U10007"/>
    <d v="2025-04-10T00:00:00"/>
    <s v="Net 30 Days"/>
    <s v="EXW"/>
    <m/>
    <m/>
    <m/>
    <n v="0"/>
    <n v="0"/>
    <n v="31"/>
    <m/>
    <m/>
    <m/>
    <m/>
    <m/>
    <m/>
    <m/>
    <m/>
    <d v="1900-01-09T00:00:00"/>
    <m/>
    <m/>
    <m/>
    <m/>
    <m/>
    <m/>
    <m/>
    <m/>
    <s v="EL01-002743"/>
    <n v="775"/>
  </r>
  <r>
    <n v="725"/>
    <d v="2025-06-10T00:00:00"/>
    <n v="724201397"/>
    <s v="EL01-000761-2"/>
    <m/>
    <s v="TAPE ADHESIVE,ELECTRICAL INSULATION, TEF"/>
    <s v="60-3/4IN36YD"/>
    <m/>
    <s v="3M"/>
    <n v="7"/>
    <s v="EA"/>
    <n v="3400"/>
    <s v="INR"/>
    <n v="1.2E-2"/>
    <n v="40.800000000000004"/>
    <n v="285.60000000000002"/>
    <s v="VR000445"/>
    <x v="65"/>
    <s v="PO2425U10885"/>
    <d v="2025-03-26T00:00:00"/>
    <s v="Net 30 Days"/>
    <s v="EXW"/>
    <m/>
    <m/>
    <m/>
    <n v="0"/>
    <n v="7"/>
    <n v="0"/>
    <m/>
    <m/>
    <m/>
    <m/>
    <m/>
    <m/>
    <m/>
    <m/>
    <d v="1900-01-09T00:00:00"/>
    <m/>
    <m/>
    <m/>
    <m/>
    <m/>
    <m/>
    <m/>
    <m/>
    <s v="EL01-000761"/>
    <m/>
  </r>
  <r>
    <n v="726"/>
    <d v="2025-12-10T00:00:00"/>
    <n v="724201397"/>
    <s v="EL01-000761-3"/>
    <m/>
    <s v="TAPE ADHESIVE,ELECTRICAL INSULATION, TEF"/>
    <s v="60-3/4IN36YD"/>
    <m/>
    <s v="3M"/>
    <n v="10"/>
    <s v="EA"/>
    <n v="3400"/>
    <s v="INR"/>
    <n v="1.2E-2"/>
    <n v="40.800000000000004"/>
    <n v="408.00000000000006"/>
    <s v="VR000445"/>
    <x v="65"/>
    <s v="PO2425U10885"/>
    <d v="2025-03-26T00:00:00"/>
    <s v="Net 30 Days"/>
    <s v="EXW"/>
    <m/>
    <m/>
    <m/>
    <n v="0"/>
    <n v="10"/>
    <n v="0"/>
    <m/>
    <m/>
    <m/>
    <m/>
    <m/>
    <m/>
    <m/>
    <m/>
    <d v="1900-01-09T00:00:00"/>
    <m/>
    <m/>
    <m/>
    <m/>
    <m/>
    <m/>
    <m/>
    <m/>
    <s v="EL01-000761"/>
    <m/>
  </r>
  <r>
    <n v="727"/>
    <d v="2025-06-15T00:00:00"/>
    <n v="400174386"/>
    <s v="EL01-001748-2"/>
    <m/>
    <s v="IC CYCLONE II FPGA"/>
    <s v="EP2C70F896I8 "/>
    <m/>
    <s v="Intel Prgrammable SolutionsGroup(AL"/>
    <n v="270"/>
    <s v="EA"/>
    <n v="177.61"/>
    <s v="USD"/>
    <n v="1"/>
    <n v="177.61"/>
    <n v="47954.700000000004"/>
    <m/>
    <x v="66"/>
    <s v="PO2526U10031"/>
    <d v="2025-04-14T00:00:00"/>
    <s v="Before delivery"/>
    <s v="EXW"/>
    <m/>
    <m/>
    <m/>
    <n v="0"/>
    <n v="270"/>
    <n v="0"/>
    <m/>
    <m/>
    <m/>
    <m/>
    <m/>
    <m/>
    <m/>
    <m/>
    <d v="1900-01-09T00:00:00"/>
    <m/>
    <m/>
    <m/>
    <m/>
    <m/>
    <m/>
    <m/>
    <m/>
    <s v="EL01-001748"/>
    <m/>
  </r>
  <r>
    <n v="728"/>
    <d v="2025-09-15T00:00:00"/>
    <n v="400174386"/>
    <s v="EL01-001748-3"/>
    <m/>
    <s v="IC CYCLONE II FPGA"/>
    <s v="EP2C70F896I8 "/>
    <m/>
    <s v="Intel Prgrammable SolutionsGroup(AL"/>
    <n v="270"/>
    <s v="EA"/>
    <n v="177.61"/>
    <s v="USD"/>
    <n v="1"/>
    <n v="177.61"/>
    <n v="47954.700000000004"/>
    <m/>
    <x v="66"/>
    <s v="PO2526U10031"/>
    <d v="2025-04-14T00:00:00"/>
    <s v="Before shipment"/>
    <s v="EXW"/>
    <m/>
    <m/>
    <m/>
    <n v="0"/>
    <n v="0"/>
    <n v="270"/>
    <n v="270"/>
    <m/>
    <m/>
    <m/>
    <d v="2025-11-15T00:00:00"/>
    <m/>
    <m/>
    <m/>
    <d v="2025-11-25T00:00:00"/>
    <m/>
    <m/>
    <m/>
    <m/>
    <m/>
    <m/>
    <m/>
    <m/>
    <s v="EL01-001748"/>
    <n v="47954.700000000004"/>
  </r>
  <r>
    <n v="729"/>
    <d v="2025-12-15T00:00:00"/>
    <n v="400174386"/>
    <s v="EL01-001748-4"/>
    <m/>
    <s v="IC CYCLONE II FPGA"/>
    <s v="EP2C70F896I8 "/>
    <m/>
    <s v="Intel Prgrammable SolutionsGroup(AL"/>
    <n v="270"/>
    <s v="EA"/>
    <n v="177.61"/>
    <s v="USD"/>
    <n v="1"/>
    <n v="177.61"/>
    <n v="47954.700000000004"/>
    <m/>
    <x v="66"/>
    <s v="PO2526U10031"/>
    <d v="2025-04-14T00:00:00"/>
    <s v="Before shipment"/>
    <s v="EXW"/>
    <m/>
    <m/>
    <m/>
    <n v="0"/>
    <n v="0"/>
    <n v="270"/>
    <n v="270"/>
    <m/>
    <m/>
    <m/>
    <d v="2026-01-10T00:00:00"/>
    <m/>
    <m/>
    <m/>
    <d v="2026-01-20T00:00:00"/>
    <m/>
    <m/>
    <m/>
    <m/>
    <m/>
    <m/>
    <m/>
    <m/>
    <s v="EL01-001748"/>
    <n v="47954.700000000004"/>
  </r>
  <r>
    <n v="730"/>
    <d v="2025-04-17T00:00:00"/>
    <n v="400048227"/>
    <s v="EL01-001757-3"/>
    <m/>
    <s v="CHIP ATT. 1DB DC-18GHZ_x000a_0.1W 50OHM T&amp;R"/>
    <s v="TS0501W3S/TR"/>
    <m/>
    <s v="SMITHS INTERCONNECT AMERICAS,"/>
    <n v="340"/>
    <s v="EA"/>
    <n v="2.6"/>
    <s v="USD"/>
    <n v="1"/>
    <n v="2.6"/>
    <n v="884"/>
    <s v="VR000230"/>
    <x v="70"/>
    <s v="PO2526U10042"/>
    <d v="2025-04-16T00:00:00"/>
    <s v="As agreed"/>
    <s v="EXW"/>
    <m/>
    <m/>
    <m/>
    <n v="0"/>
    <n v="340"/>
    <n v="0"/>
    <m/>
    <m/>
    <m/>
    <m/>
    <m/>
    <m/>
    <m/>
    <m/>
    <d v="1900-01-09T00:00:00"/>
    <s v="1. Shipment received against Inv: 6000012357_x000a_2.Shipment not receiving  Inv: 6000011138 confirmed by Orel Sir"/>
    <m/>
    <m/>
    <m/>
    <m/>
    <m/>
    <m/>
    <m/>
    <s v="EL01-001757"/>
    <m/>
  </r>
  <r>
    <n v="731"/>
    <d v="2025-04-17T00:00:00"/>
    <n v="400350238"/>
    <s v="EL01-000319-4"/>
    <m/>
    <s v="CONN RECT RECEPT 40 DIFFERTIAL PAIRS,"/>
    <s v="1469362-1"/>
    <m/>
    <s v="TE CONNECTIVITY"/>
    <n v="21"/>
    <s v="EA"/>
    <n v="59.58"/>
    <s v="USD"/>
    <n v="1"/>
    <n v="59.58"/>
    <n v="1251.18"/>
    <s v="VR000230"/>
    <x v="70"/>
    <s v="PO2526U10042"/>
    <d v="2025-04-16T00:00:00"/>
    <s v="As agreed"/>
    <s v="EXW"/>
    <s v="Yes"/>
    <m/>
    <m/>
    <n v="0"/>
    <n v="21"/>
    <n v="0"/>
    <m/>
    <m/>
    <m/>
    <m/>
    <m/>
    <m/>
    <m/>
    <m/>
    <d v="1900-01-09T00:00:00"/>
    <m/>
    <m/>
    <m/>
    <m/>
    <m/>
    <m/>
    <m/>
    <m/>
    <s v="EL01-000319"/>
    <m/>
  </r>
  <r>
    <n v="732"/>
    <d v="2025-04-17T00:00:00"/>
    <n v="400571854"/>
    <s v="EL01-000409-2"/>
    <m/>
    <s v="TRAN. VOLT. SUPPR._x000a_ARRAY T&amp;R"/>
    <s v="SMDA03LCC-LF-T7"/>
    <m/>
    <s v="PRO TEK DEVICES"/>
    <n v="60"/>
    <s v="EA"/>
    <n v="2"/>
    <s v="USD"/>
    <n v="1"/>
    <n v="2"/>
    <n v="120"/>
    <s v="VR000230"/>
    <x v="70"/>
    <s v="PO2526U10042"/>
    <d v="2025-04-16T00:00:00"/>
    <s v="As agreed"/>
    <s v="EXW"/>
    <m/>
    <m/>
    <m/>
    <n v="0"/>
    <n v="60"/>
    <n v="0"/>
    <m/>
    <m/>
    <m/>
    <m/>
    <m/>
    <m/>
    <m/>
    <m/>
    <d v="1900-01-09T00:00:00"/>
    <s v="1. Shipment receievd against Inv: 6000012357_x000a_2. Shipment not receiving  Inv: 6000011138 confirmed by Orel Sir"/>
    <m/>
    <m/>
    <m/>
    <m/>
    <m/>
    <m/>
    <m/>
    <s v="EL01-000409"/>
    <m/>
  </r>
  <r>
    <n v="733"/>
    <d v="2025-04-17T00:00:00"/>
    <n v="400828408"/>
    <s v="EL01-000404-2"/>
    <m/>
    <s v="DIODE TRANSIENT_x000a_VOLTAGE SUUPPRESSOR_x000a_T&amp;R"/>
    <s v="PSOT03C-LF-T7"/>
    <m/>
    <s v="PRO TEK DEVICES"/>
    <n v="360"/>
    <s v="EA"/>
    <n v="0.35"/>
    <s v="USD"/>
    <n v="1"/>
    <n v="0.35"/>
    <n v="125.99999999999999"/>
    <s v="VR000230"/>
    <x v="70"/>
    <s v="PO2526U10042"/>
    <d v="2025-04-16T00:00:00"/>
    <s v="As agreed"/>
    <s v="EXW"/>
    <s v="Yes"/>
    <m/>
    <m/>
    <n v="0"/>
    <n v="360"/>
    <n v="0"/>
    <m/>
    <m/>
    <m/>
    <m/>
    <m/>
    <m/>
    <m/>
    <m/>
    <d v="1900-01-09T00:00:00"/>
    <m/>
    <m/>
    <m/>
    <m/>
    <m/>
    <m/>
    <m/>
    <m/>
    <s v="EL01-000404"/>
    <m/>
  </r>
  <r>
    <n v="734"/>
    <d v="2025-04-17T00:00:00"/>
    <n v="400971792"/>
    <s v="EL01-001974-1"/>
    <m/>
    <s v="POWER MOSFET N-CHANNEL NEXFET 25V T&amp;R"/>
    <s v="CSD16325Q5C"/>
    <m/>
    <s v="Texas Instruments"/>
    <n v="120"/>
    <s v="EA"/>
    <n v="3.47"/>
    <s v="USD"/>
    <n v="1"/>
    <n v="3.47"/>
    <n v="416.40000000000003"/>
    <s v="VR000230"/>
    <x v="70"/>
    <s v="PO2526U10042"/>
    <d v="2025-04-16T00:00:00"/>
    <s v="As agreed"/>
    <s v="EXW"/>
    <s v="Yes"/>
    <m/>
    <m/>
    <n v="0"/>
    <n v="120"/>
    <n v="0"/>
    <m/>
    <m/>
    <m/>
    <m/>
    <m/>
    <m/>
    <m/>
    <m/>
    <d v="1900-01-09T00:00:00"/>
    <m/>
    <m/>
    <m/>
    <m/>
    <m/>
    <m/>
    <m/>
    <m/>
    <s v="EL01-001974"/>
    <m/>
  </r>
  <r>
    <n v="735"/>
    <d v="2025-04-17T00:00:00"/>
    <n v="401501905"/>
    <s v="EL01-001811-2"/>
    <m/>
    <s v="ATTENUATOR IAX SERIES SMT WRAPAROUND 2DB"/>
    <s v="IAC-2512-WA-02-D0"/>
    <m/>
    <s v="INTERNATIONAL MANUFACTURING SERVICE"/>
    <n v="120"/>
    <s v="EA"/>
    <n v="2.25"/>
    <s v="USD"/>
    <n v="1"/>
    <n v="2.25"/>
    <n v="270"/>
    <s v="VR000230"/>
    <x v="70"/>
    <s v="PO2526U10042"/>
    <d v="2025-04-16T00:00:00"/>
    <s v="As agreed"/>
    <s v="EXW"/>
    <s v="Yes"/>
    <m/>
    <m/>
    <n v="0"/>
    <n v="120"/>
    <n v="0"/>
    <m/>
    <m/>
    <m/>
    <m/>
    <m/>
    <m/>
    <m/>
    <m/>
    <d v="1900-01-09T00:00:00"/>
    <m/>
    <m/>
    <m/>
    <m/>
    <m/>
    <m/>
    <m/>
    <m/>
    <s v="EL01-001811"/>
    <m/>
  </r>
  <r>
    <n v="736"/>
    <d v="2025-04-17T00:00:00"/>
    <n v="401558814"/>
    <s v="EL01-000266-2"/>
    <m/>
    <s v="PC BLANK MASTER DWG._x000a_SCH-5 Z2"/>
    <s v="1094F212-002"/>
    <m/>
    <s v="PCB Tech"/>
    <n v="22"/>
    <s v="EA"/>
    <n v="1887.68"/>
    <s v="USD"/>
    <n v="1"/>
    <n v="1887.68"/>
    <n v="41528.959999999999"/>
    <s v="VR000230"/>
    <x v="70"/>
    <s v="PO2526U10042"/>
    <d v="2025-04-16T00:00:00"/>
    <s v="As agreed"/>
    <s v="EXW"/>
    <s v="Yes"/>
    <m/>
    <m/>
    <n v="0"/>
    <n v="22"/>
    <n v="0"/>
    <m/>
    <m/>
    <m/>
    <m/>
    <m/>
    <m/>
    <m/>
    <m/>
    <d v="1900-01-09T00:00:00"/>
    <m/>
    <m/>
    <m/>
    <m/>
    <m/>
    <m/>
    <m/>
    <m/>
    <s v="EL01-000266"/>
    <m/>
  </r>
  <r>
    <n v="737"/>
    <d v="2025-04-17T00:00:00"/>
    <n v="403174799"/>
    <s v="EL01-000408-1"/>
    <m/>
    <s v="CONN,RF,TERMINATION_x000a_DC-18GHZ,1W,SMA(M)"/>
    <s v="R404N05000"/>
    <m/>
    <s v="Radiall"/>
    <n v="60"/>
    <s v="EA"/>
    <n v="21.71"/>
    <s v="USD"/>
    <n v="1"/>
    <n v="21.71"/>
    <n v="1302.6000000000001"/>
    <s v="VR000230"/>
    <x v="70"/>
    <s v="PO2526U10042"/>
    <d v="2025-04-16T00:00:00"/>
    <s v="As agreed"/>
    <s v="EXW"/>
    <s v="Yes"/>
    <m/>
    <m/>
    <n v="0"/>
    <n v="60"/>
    <n v="0"/>
    <m/>
    <m/>
    <m/>
    <m/>
    <m/>
    <m/>
    <m/>
    <m/>
    <d v="1900-01-09T00:00:00"/>
    <m/>
    <m/>
    <m/>
    <m/>
    <m/>
    <m/>
    <m/>
    <m/>
    <s v="EL01-000408"/>
    <m/>
  </r>
  <r>
    <n v="738"/>
    <d v="2025-04-17T00:00:00"/>
    <e v="#N/A"/>
    <e v="#N/A"/>
    <m/>
    <s v="INSERT,HELICAL COIL,FREE_x000a_RUNNING,TANGLES"/>
    <s v="2TNF-3C-0285SF"/>
    <m/>
    <m/>
    <n v="160"/>
    <s v="EA"/>
    <n v="0.65"/>
    <s v="USD"/>
    <n v="1"/>
    <n v="0.65"/>
    <n v="104"/>
    <s v="VR000230"/>
    <x v="70"/>
    <s v="PO2526U10042"/>
    <d v="2025-04-16T00:00:00"/>
    <s v="As agreed"/>
    <s v="EXW"/>
    <s v="Yes"/>
    <m/>
    <m/>
    <n v="0"/>
    <n v="160"/>
    <n v="0"/>
    <m/>
    <m/>
    <m/>
    <m/>
    <m/>
    <m/>
    <m/>
    <m/>
    <d v="1900-01-09T00:00:00"/>
    <m/>
    <m/>
    <m/>
    <m/>
    <m/>
    <m/>
    <m/>
    <m/>
    <e v="#N/A"/>
    <m/>
  </r>
  <r>
    <n v="739"/>
    <d v="2025-04-17T00:00:00"/>
    <n v="405886459"/>
    <s v="EL01-002041-5"/>
    <m/>
    <s v="CONN,CIRC,TU THRU_x000a_BULKHEAD ASSY.,22 _22,"/>
    <s v="TVBJW-13-35SPA"/>
    <m/>
    <s v="AMPHENOL LTD"/>
    <n v="5"/>
    <s v="EA"/>
    <n v="221.36"/>
    <s v="USD"/>
    <n v="1"/>
    <n v="221.36"/>
    <n v="1106.8000000000002"/>
    <s v="VR000230"/>
    <x v="70"/>
    <s v="PO2526U10042"/>
    <d v="2025-04-16T00:00:00"/>
    <s v="As agreed"/>
    <s v="EXW"/>
    <s v="Yes"/>
    <m/>
    <m/>
    <n v="0"/>
    <n v="5"/>
    <n v="0"/>
    <m/>
    <m/>
    <m/>
    <m/>
    <m/>
    <m/>
    <m/>
    <m/>
    <d v="1900-01-09T00:00:00"/>
    <m/>
    <m/>
    <m/>
    <m/>
    <m/>
    <m/>
    <m/>
    <m/>
    <s v="EL01-002041"/>
    <m/>
  </r>
  <r>
    <n v="740"/>
    <d v="2025-04-17T00:00:00"/>
    <n v="413631452"/>
    <s v="EL01-002744-1"/>
    <m/>
    <s v="SCREW,PAN HEAD,SEMS_x000a_SPRING,FLAT WASHER,2"/>
    <s v="DFDO4125613"/>
    <m/>
    <s v="Kaytech"/>
    <n v="5620"/>
    <s v="EA"/>
    <n v="0.4"/>
    <s v="USD"/>
    <n v="1"/>
    <n v="0.4"/>
    <n v="2248"/>
    <s v="VR000230"/>
    <x v="70"/>
    <s v="PO2526U10042"/>
    <d v="2025-04-16T00:00:00"/>
    <s v="As agreed"/>
    <s v="EXW"/>
    <m/>
    <m/>
    <m/>
    <n v="0"/>
    <n v="0"/>
    <n v="5620"/>
    <m/>
    <m/>
    <m/>
    <m/>
    <m/>
    <m/>
    <m/>
    <m/>
    <d v="1900-01-09T00:00:00"/>
    <m/>
    <m/>
    <m/>
    <m/>
    <m/>
    <m/>
    <m/>
    <m/>
    <s v="EL01-002744"/>
    <n v="2248"/>
  </r>
  <r>
    <n v="741"/>
    <d v="2025-04-17T00:00:00"/>
    <n v="417983155"/>
    <s v="EL01-001764-1"/>
    <m/>
    <s v="CHIP CAP 1000PF 10%_x000a_50VOLT 55X55 NPO"/>
    <s v="700A102KT50XTV"/>
    <m/>
    <s v="AVX"/>
    <n v="60"/>
    <s v="EA"/>
    <n v="0.8"/>
    <s v="USD"/>
    <n v="1"/>
    <n v="0.8"/>
    <n v="48"/>
    <s v="VR000230"/>
    <x v="70"/>
    <s v="PO2526U10042"/>
    <d v="2025-04-16T00:00:00"/>
    <s v="As agreed"/>
    <s v="EXW"/>
    <s v="Yes"/>
    <m/>
    <m/>
    <n v="0"/>
    <n v="60"/>
    <n v="0"/>
    <m/>
    <m/>
    <m/>
    <m/>
    <m/>
    <m/>
    <m/>
    <m/>
    <d v="1900-01-09T00:00:00"/>
    <m/>
    <m/>
    <m/>
    <m/>
    <m/>
    <m/>
    <m/>
    <m/>
    <s v="EL01-001764"/>
    <m/>
  </r>
  <r>
    <n v="742"/>
    <d v="2025-04-17T00:00:00"/>
    <n v="512212457"/>
    <s v="EL01-000030-2"/>
    <m/>
    <s v="SCREW,MACHINE,100 DEG._x000a_FLUSH HEAD,CRUCIF"/>
    <s v="NAS662C2R4"/>
    <m/>
    <s v="NATIONAL AEROSPACE STAND"/>
    <n v="80"/>
    <s v="EA"/>
    <n v="0.4"/>
    <s v="USD"/>
    <n v="1"/>
    <n v="0.4"/>
    <n v="32"/>
    <s v="VR000230"/>
    <x v="70"/>
    <s v="PO2526U10042"/>
    <d v="2025-04-16T00:00:00"/>
    <s v="As agreed"/>
    <s v="EXW"/>
    <s v="Yes"/>
    <m/>
    <m/>
    <n v="0"/>
    <n v="80"/>
    <n v="0"/>
    <m/>
    <m/>
    <m/>
    <m/>
    <m/>
    <m/>
    <m/>
    <m/>
    <d v="1900-01-09T00:00:00"/>
    <m/>
    <m/>
    <m/>
    <m/>
    <m/>
    <m/>
    <m/>
    <m/>
    <s v="EL01-000030"/>
    <m/>
  </r>
  <r>
    <n v="743"/>
    <d v="2025-04-17T00:00:00"/>
    <n v="512306804"/>
    <s v="EL01-002742-2"/>
    <m/>
    <s v="SCREW,CAP HEAD,HEX_x000a_SOCKET RECESS,FULL SH"/>
    <s v="MS16995-11"/>
    <m/>
    <s v="Kaytech"/>
    <n v="100"/>
    <s v="EA"/>
    <n v="11.55"/>
    <s v="USD"/>
    <n v="1"/>
    <n v="11.55"/>
    <n v="1155"/>
    <s v="VR000230"/>
    <x v="70"/>
    <s v="PO2526U10042"/>
    <d v="2025-04-16T00:00:00"/>
    <s v="As agreed"/>
    <s v="EXW"/>
    <s v="Yes"/>
    <m/>
    <m/>
    <n v="0"/>
    <n v="100"/>
    <n v="0"/>
    <m/>
    <m/>
    <m/>
    <m/>
    <m/>
    <m/>
    <m/>
    <m/>
    <d v="1900-01-09T00:00:00"/>
    <m/>
    <m/>
    <m/>
    <m/>
    <m/>
    <m/>
    <m/>
    <m/>
    <s v="EL01-002742"/>
    <m/>
  </r>
  <r>
    <n v="744"/>
    <d v="2025-04-17T00:00:00"/>
    <n v="526945878"/>
    <s v="EL01-001810-5"/>
    <m/>
    <s v="SCREW,CAPTIVE,NUT_x000a_RETAINER TYPE,SINGLE L"/>
    <s v="FT1737HS-10-8-A"/>
    <m/>
    <s v="FASTENER TECHNOLOGY CORP"/>
    <n v="160"/>
    <s v="EA"/>
    <n v="5.42"/>
    <s v="USD"/>
    <n v="1"/>
    <n v="5.42"/>
    <n v="867.2"/>
    <s v="VR000230"/>
    <x v="70"/>
    <s v="PO2526U10042"/>
    <d v="2025-04-16T00:00:00"/>
    <s v="As agreed"/>
    <s v="EXW"/>
    <s v="Yes"/>
    <s v="Received "/>
    <m/>
    <n v="0"/>
    <n v="160"/>
    <n v="0"/>
    <m/>
    <m/>
    <m/>
    <m/>
    <m/>
    <m/>
    <m/>
    <m/>
    <d v="1900-01-09T00:00:00"/>
    <m/>
    <m/>
    <m/>
    <m/>
    <m/>
    <m/>
    <n v="526945878"/>
    <s v="EL01-001810"/>
    <s v="EL01-001810"/>
    <m/>
  </r>
  <r>
    <n v="745"/>
    <d v="2025-04-17T00:00:00"/>
    <s v="N56337397"/>
    <s v="EL01-001855-5"/>
    <m/>
    <s v="OPTOELECT_x000a_OPTOCOUPLER POWER_x000a_MOSFET"/>
    <s v="HSSR-7110#300"/>
    <m/>
    <s v="BROADCOM LIMITED"/>
    <n v="130"/>
    <s v="EA"/>
    <n v="102"/>
    <s v="USD"/>
    <n v="1"/>
    <n v="102"/>
    <n v="13260"/>
    <s v="VR000230"/>
    <x v="70"/>
    <s v="PO2526U10042"/>
    <d v="2025-04-16T00:00:00"/>
    <s v="As agreed"/>
    <s v="EXW"/>
    <s v="Yes"/>
    <m/>
    <m/>
    <n v="0"/>
    <n v="130"/>
    <n v="0"/>
    <m/>
    <m/>
    <m/>
    <m/>
    <m/>
    <m/>
    <m/>
    <m/>
    <d v="1900-01-09T00:00:00"/>
    <m/>
    <m/>
    <m/>
    <m/>
    <m/>
    <m/>
    <m/>
    <m/>
    <s v="EL01-001855"/>
    <m/>
  </r>
  <r>
    <n v="746"/>
    <d v="2025-04-17T00:00:00"/>
    <s v="N65873648"/>
    <s v="EL01-000346-2"/>
    <m/>
    <s v="ADAPTER BETWEEN TNC(J)_x000a_TO SMA(J) BUL"/>
    <s v="ADT-2793-TF-SMF-02"/>
    <m/>
    <s v="CINCH CONNECTIVITY SOLUTIONS LTD"/>
    <n v="10"/>
    <s v="EA"/>
    <n v="67.36"/>
    <s v="USD"/>
    <n v="1"/>
    <n v="67.36"/>
    <n v="673.6"/>
    <s v="VR000230"/>
    <x v="70"/>
    <s v="PO2526U10042"/>
    <d v="2025-04-16T00:00:00"/>
    <s v="As agreed"/>
    <s v="EXW"/>
    <s v="Yes"/>
    <m/>
    <m/>
    <n v="0"/>
    <n v="10"/>
    <n v="0"/>
    <m/>
    <m/>
    <m/>
    <m/>
    <m/>
    <m/>
    <m/>
    <m/>
    <d v="1900-01-09T00:00:00"/>
    <m/>
    <m/>
    <m/>
    <m/>
    <m/>
    <m/>
    <m/>
    <m/>
    <s v="EL01-000346"/>
    <m/>
  </r>
  <r>
    <n v="747"/>
    <d v="2025-04-17T00:00:00"/>
    <s v="N80418445"/>
    <s v="EL01-000679-3"/>
    <m/>
    <s v="ATTENUATOR DC-18GHZ_x000a_10DB .5WATT 50 O"/>
    <s v="2082-6042-10"/>
    <m/>
    <m/>
    <n v="4"/>
    <s v="EA"/>
    <n v="36.74"/>
    <s v="USD"/>
    <n v="1"/>
    <n v="36.74"/>
    <n v="146.96"/>
    <s v="VR000230"/>
    <x v="70"/>
    <s v="PO2526U10042"/>
    <d v="2025-04-16T00:00:00"/>
    <s v="As agreed"/>
    <s v="EXW"/>
    <s v="Yes"/>
    <m/>
    <m/>
    <n v="0"/>
    <n v="4"/>
    <n v="0"/>
    <m/>
    <m/>
    <m/>
    <m/>
    <m/>
    <m/>
    <m/>
    <m/>
    <d v="1900-01-09T00:00:00"/>
    <m/>
    <m/>
    <m/>
    <m/>
    <m/>
    <m/>
    <m/>
    <m/>
    <s v="EL01-000679"/>
    <m/>
  </r>
  <r>
    <n v="748"/>
    <d v="2025-04-17T00:00:00"/>
    <s v="N80405723"/>
    <s v="EL01-001756-2"/>
    <m/>
    <s v="ATTENUATOR DC-15GHZ_x000a_12DB 2WATT 50 OH"/>
    <s v="TS0312W3"/>
    <m/>
    <s v="SMITHS INTERCONNECT AMERICAS,"/>
    <n v="20"/>
    <s v="EA"/>
    <n v="4.59"/>
    <s v="USD"/>
    <n v="1"/>
    <n v="4.59"/>
    <n v="91.8"/>
    <s v="VR000230"/>
    <x v="70"/>
    <s v="PO2526U10042"/>
    <d v="2025-04-16T00:00:00"/>
    <s v="As agreed"/>
    <s v="EXW"/>
    <s v="Yes"/>
    <m/>
    <m/>
    <n v="0"/>
    <n v="20"/>
    <n v="0"/>
    <m/>
    <m/>
    <m/>
    <m/>
    <m/>
    <m/>
    <m/>
    <m/>
    <d v="1900-01-09T00:00:00"/>
    <m/>
    <m/>
    <m/>
    <m/>
    <m/>
    <m/>
    <m/>
    <m/>
    <s v="EL01-001756"/>
    <m/>
  </r>
  <r>
    <n v="749"/>
    <d v="2025-04-17T00:00:00"/>
    <s v="N80408594"/>
    <s v="EL01-001754-2"/>
    <m/>
    <s v="ATTENUATOR DC-15GHZ_x000a_2DB 2WATT 50 OHM"/>
    <s v="TS0302W3"/>
    <m/>
    <s v="SMITHS INTERCONNECT AMERICAS,"/>
    <n v="120"/>
    <s v="EA"/>
    <n v="4.07"/>
    <s v="USD"/>
    <n v="1"/>
    <n v="4.07"/>
    <n v="488.40000000000003"/>
    <s v="VR000230"/>
    <x v="70"/>
    <s v="PO2526U10042"/>
    <d v="2025-04-16T00:00:00"/>
    <s v="As agreed"/>
    <s v="EXW"/>
    <s v="Yes"/>
    <m/>
    <m/>
    <n v="0"/>
    <n v="120"/>
    <n v="0"/>
    <m/>
    <m/>
    <m/>
    <m/>
    <m/>
    <m/>
    <m/>
    <m/>
    <d v="1900-01-09T00:00:00"/>
    <m/>
    <m/>
    <m/>
    <m/>
    <m/>
    <m/>
    <m/>
    <m/>
    <s v="EL01-001754"/>
    <m/>
  </r>
  <r>
    <n v="750"/>
    <d v="2025-04-17T00:00:00"/>
    <s v="N80416589"/>
    <s v="EL01-001755-2"/>
    <m/>
    <s v="ATTENUATOR DC-15GHZ_x000a_10DB 2WATT 50 OH"/>
    <s v="TS0310W3S"/>
    <m/>
    <s v="SMITHS INTERCONNECT AMERICAS,"/>
    <n v="29"/>
    <s v="EA"/>
    <n v="7.58"/>
    <s v="USD"/>
    <n v="1"/>
    <n v="7.58"/>
    <n v="219.82"/>
    <s v="VR000230"/>
    <x v="70"/>
    <s v="PO2526U10042"/>
    <d v="2025-04-16T00:00:00"/>
    <s v="As agreed"/>
    <s v="EXW"/>
    <s v="Yes"/>
    <m/>
    <m/>
    <n v="0"/>
    <n v="29"/>
    <n v="0"/>
    <m/>
    <m/>
    <m/>
    <m/>
    <m/>
    <m/>
    <m/>
    <m/>
    <d v="1900-01-09T00:00:00"/>
    <m/>
    <m/>
    <m/>
    <m/>
    <m/>
    <m/>
    <m/>
    <m/>
    <s v="EL01-001755"/>
    <m/>
  </r>
  <r>
    <n v="751"/>
    <d v="2025-04-17T00:00:00"/>
    <s v="N80702939"/>
    <s v="EL01-000414-3"/>
    <m/>
    <s v="TERMINATION TNC PLUG_x000a_DC-12.4GHZ"/>
    <s v="TRM-2107-MC-TNC-02"/>
    <m/>
    <s v="CINCH CONNECTIVITY SOLUTIONS LTD"/>
    <n v="10"/>
    <s v="EA"/>
    <n v="140.49"/>
    <s v="USD"/>
    <n v="1"/>
    <n v="140.49"/>
    <n v="1404.9"/>
    <s v="VR000230"/>
    <x v="70"/>
    <s v="PO2526U10042"/>
    <d v="2025-04-16T00:00:00"/>
    <s v="As agreed"/>
    <s v="EXW"/>
    <s v="Yes"/>
    <m/>
    <m/>
    <n v="0"/>
    <n v="10"/>
    <n v="0"/>
    <m/>
    <m/>
    <m/>
    <m/>
    <m/>
    <m/>
    <m/>
    <m/>
    <d v="1900-01-09T00:00:00"/>
    <m/>
    <m/>
    <m/>
    <m/>
    <m/>
    <m/>
    <m/>
    <m/>
    <s v="EL01-000414"/>
    <m/>
  </r>
  <r>
    <n v="752"/>
    <d v="2025-05-20T00:00:00"/>
    <n v="420905006"/>
    <s v="EL01-002836-1"/>
    <m/>
    <s v="CHIP CAP 47UF 10% 50V TANTALUM"/>
    <s v="T543O686M040ATE035"/>
    <m/>
    <s v="KEMET"/>
    <n v="5250"/>
    <s v="EA"/>
    <n v="11.27"/>
    <s v="USD"/>
    <n v="1"/>
    <n v="11.27"/>
    <n v="59167.5"/>
    <s v="VR000051"/>
    <x v="71"/>
    <s v="PO2526U10069"/>
    <d v="2025-04-22T00:00:00"/>
    <s v="Before shipment"/>
    <s v="EXW"/>
    <s v="Yes"/>
    <m/>
    <m/>
    <n v="0"/>
    <n v="5250"/>
    <n v="0"/>
    <m/>
    <m/>
    <m/>
    <m/>
    <m/>
    <m/>
    <m/>
    <m/>
    <d v="1900-01-09T00:00:00"/>
    <s v="Replace part should be ordered current ordered qty deleted"/>
    <m/>
    <m/>
    <m/>
    <m/>
    <m/>
    <n v="403445993"/>
    <s v="EL01-001720"/>
    <s v="EL01-002836"/>
    <m/>
  </r>
  <r>
    <n v="753"/>
    <d v="2025-07-15T00:00:00"/>
    <n v="420905006"/>
    <s v="EL01-002836-2"/>
    <m/>
    <s v="CHIP CAP 47UF 10% 50V TANTALUM"/>
    <s v="T543O686M040ATE035"/>
    <m/>
    <s v="KEMET"/>
    <n v="5000"/>
    <s v="EA"/>
    <n v="11.27"/>
    <s v="USD"/>
    <n v="1"/>
    <n v="11.27"/>
    <n v="56350"/>
    <s v="VR000051"/>
    <x v="71"/>
    <s v="PO2526U10069"/>
    <d v="2025-04-22T00:00:00"/>
    <s v="Before shipment"/>
    <s v="EXW"/>
    <s v="Yes"/>
    <m/>
    <m/>
    <n v="0"/>
    <n v="5000"/>
    <n v="0"/>
    <m/>
    <m/>
    <m/>
    <m/>
    <m/>
    <m/>
    <m/>
    <m/>
    <d v="1900-01-09T00:00:00"/>
    <s v="Replace part should be ordered current ordered qty deleted"/>
    <m/>
    <m/>
    <m/>
    <m/>
    <m/>
    <n v="403445993"/>
    <s v="EL01-001720"/>
    <s v="EL01-002836"/>
    <m/>
  </r>
  <r>
    <n v="754"/>
    <d v="2025-09-15T00:00:00"/>
    <n v="420905006"/>
    <s v="EL01-002836-3"/>
    <m/>
    <s v="CHIP CAP 47UF 10% 50V TANTALUM"/>
    <s v="T543O686M040ATE035"/>
    <m/>
    <s v="KEMET"/>
    <n v="5250"/>
    <s v="EA"/>
    <n v="11.27"/>
    <s v="USD"/>
    <n v="1"/>
    <n v="11.27"/>
    <n v="59167.5"/>
    <s v="VR000051"/>
    <x v="71"/>
    <s v="PO2526U10069"/>
    <d v="2025-04-22T00:00:00"/>
    <s v="Before shipment"/>
    <s v="EXW"/>
    <s v="Yes"/>
    <m/>
    <m/>
    <n v="0"/>
    <n v="5250"/>
    <n v="0"/>
    <m/>
    <m/>
    <m/>
    <m/>
    <m/>
    <m/>
    <m/>
    <m/>
    <d v="1900-01-09T00:00:00"/>
    <s v="Replace part should be ordered current ordered qty deleted"/>
    <m/>
    <m/>
    <m/>
    <m/>
    <m/>
    <n v="403445993"/>
    <s v="EL01-001720"/>
    <s v="EL01-002836"/>
    <m/>
  </r>
  <r>
    <n v="755"/>
    <d v="2025-12-15T00:00:00"/>
    <n v="420905006"/>
    <s v="EL01-002836-4"/>
    <m/>
    <s v="CHIP CAP 47UF 10% 50V TANTALUM"/>
    <s v="T543O686M040ATE035"/>
    <m/>
    <s v="KEMET"/>
    <n v="5000"/>
    <s v="EA"/>
    <n v="11.27"/>
    <s v="USD"/>
    <n v="1"/>
    <n v="11.27"/>
    <n v="56350"/>
    <s v="VR000051"/>
    <x v="71"/>
    <s v="PO2526U10069"/>
    <d v="2025-04-22T00:00:00"/>
    <s v="Before shipment"/>
    <s v="EXW"/>
    <s v="Yes"/>
    <m/>
    <m/>
    <n v="0"/>
    <n v="4750"/>
    <n v="250"/>
    <m/>
    <m/>
    <m/>
    <m/>
    <d v="2025-12-25T00:00:00"/>
    <m/>
    <m/>
    <m/>
    <d v="2026-01-04T00:00:00"/>
    <s v="Replace part should be ordered current ordered qty deleted"/>
    <m/>
    <m/>
    <m/>
    <m/>
    <m/>
    <n v="403445993"/>
    <s v="EL01-001720"/>
    <s v="EL01-002836"/>
    <n v="2817.5"/>
  </r>
  <r>
    <n v="756"/>
    <d v="2025-07-02T00:00:00"/>
    <m/>
    <s v="EL01-002838"/>
    <m/>
    <s v="VIBRATION JIG FOR 2 TRA OR ACM"/>
    <s v="1038B924-001"/>
    <m/>
    <s v="Gopalan Aerospace India Pvt Ltd"/>
    <n v="1"/>
    <s v="EA"/>
    <n v="129753"/>
    <s v="INR"/>
    <n v="1.2E-2"/>
    <n v="1557.0360000000001"/>
    <n v="1557.0360000000001"/>
    <s v="VR000618"/>
    <x v="72"/>
    <s v="PO2526U10075"/>
    <d v="2025-04-23T00:00:00"/>
    <s v="As agreed"/>
    <s v="EXW"/>
    <m/>
    <m/>
    <m/>
    <n v="0"/>
    <n v="1"/>
    <n v="0"/>
    <m/>
    <m/>
    <m/>
    <m/>
    <m/>
    <m/>
    <m/>
    <m/>
    <d v="1900-01-09T00:00:00"/>
    <m/>
    <m/>
    <m/>
    <m/>
    <m/>
    <m/>
    <m/>
    <m/>
    <s v="EL01-002838"/>
    <m/>
  </r>
  <r>
    <n v="757"/>
    <d v="2025-07-02T00:00:00"/>
    <m/>
    <s v="EL01-002837"/>
    <m/>
    <s v="Antenna JIG ASSY"/>
    <s v="1038B620-001"/>
    <m/>
    <s v="Gopalan Aerospace India Pvt Ltd"/>
    <n v="10"/>
    <s v="EA"/>
    <n v="244584"/>
    <s v="INR"/>
    <n v="1.2E-2"/>
    <n v="2935.0080000000003"/>
    <n v="29350.080000000002"/>
    <s v="VR000618"/>
    <x v="72"/>
    <s v="PO2526U10075"/>
    <d v="2025-04-23T00:00:00"/>
    <s v="As agreed"/>
    <s v="EXW"/>
    <m/>
    <m/>
    <m/>
    <n v="0"/>
    <n v="10"/>
    <n v="0"/>
    <m/>
    <m/>
    <m/>
    <m/>
    <m/>
    <m/>
    <m/>
    <m/>
    <d v="1900-01-09T00:00:00"/>
    <m/>
    <m/>
    <m/>
    <n v="10"/>
    <m/>
    <m/>
    <m/>
    <m/>
    <s v="EL01-002837"/>
    <m/>
  </r>
  <r>
    <n v="758"/>
    <d v="2025-04-11T00:00:00"/>
    <m/>
    <m/>
    <m/>
    <s v="IFF Antenna Assy"/>
    <s v="1038B920-001"/>
    <m/>
    <s v="As per ELTA SPEC"/>
    <n v="37"/>
    <s v="EA"/>
    <n v="9500"/>
    <s v="USD"/>
    <n v="1"/>
    <n v="9500"/>
    <n v="351500"/>
    <s v="VR000618"/>
    <x v="55"/>
    <s v="PO2526U10016"/>
    <d v="2025-04-11T00:00:00"/>
    <s v="Net 30 Days"/>
    <s v="EXW"/>
    <m/>
    <m/>
    <m/>
    <n v="0"/>
    <n v="0"/>
    <n v="37"/>
    <m/>
    <m/>
    <m/>
    <m/>
    <m/>
    <m/>
    <m/>
    <m/>
    <d v="1900-01-09T00:00:00"/>
    <m/>
    <m/>
    <m/>
    <m/>
    <m/>
    <m/>
    <m/>
    <m/>
    <s v=""/>
    <n v="351500"/>
  </r>
  <r>
    <n v="759"/>
    <d v="2025-04-14T00:00:00"/>
    <m/>
    <m/>
    <m/>
    <s v="IFF Antenna Assy"/>
    <s v="1038B920-001"/>
    <m/>
    <s v="As per ELTA SPEC"/>
    <n v="3"/>
    <s v="EA"/>
    <n v="10290"/>
    <s v="USD"/>
    <n v="1"/>
    <n v="10290"/>
    <n v="30870"/>
    <s v="VR000617"/>
    <x v="54"/>
    <s v="PO2526U10040"/>
    <d v="2025-04-14T00:00:00"/>
    <s v="Net 30 Days"/>
    <s v="EXW"/>
    <m/>
    <m/>
    <m/>
    <n v="0"/>
    <n v="0"/>
    <n v="3"/>
    <n v="2"/>
    <n v="1"/>
    <m/>
    <m/>
    <m/>
    <m/>
    <m/>
    <m/>
    <d v="1900-01-09T00:00:00"/>
    <m/>
    <m/>
    <m/>
    <m/>
    <m/>
    <m/>
    <m/>
    <m/>
    <s v=""/>
    <n v="30870"/>
  </r>
  <r>
    <n v="760"/>
    <d v="2025-04-14T00:00:00"/>
    <m/>
    <m/>
    <m/>
    <s v="NRE Charges "/>
    <m/>
    <m/>
    <s v="As per ELTA SPEC"/>
    <n v="1"/>
    <s v="EA"/>
    <n v="9000"/>
    <s v="USD"/>
    <n v="1"/>
    <n v="9000"/>
    <n v="9000"/>
    <s v="VR000617"/>
    <x v="54"/>
    <s v="PO2526U10040"/>
    <d v="2025-04-14T00:00:00"/>
    <s v="Net 30 Days"/>
    <s v="EXW"/>
    <m/>
    <m/>
    <m/>
    <n v="0"/>
    <n v="0"/>
    <n v="1"/>
    <n v="1"/>
    <m/>
    <m/>
    <m/>
    <m/>
    <m/>
    <m/>
    <m/>
    <d v="1900-01-09T00:00:00"/>
    <m/>
    <m/>
    <m/>
    <m/>
    <m/>
    <m/>
    <m/>
    <m/>
    <s v=""/>
    <n v="9000"/>
  </r>
  <r>
    <n v="761"/>
    <d v="2025-04-14T00:00:00"/>
    <m/>
    <m/>
    <m/>
    <s v="IFF Antenna Assy"/>
    <s v="1038B920-001"/>
    <m/>
    <s v="As per ELTA SPEC"/>
    <n v="34"/>
    <s v="EA"/>
    <n v="9800"/>
    <s v="USD"/>
    <n v="1"/>
    <n v="9800"/>
    <n v="333200"/>
    <s v="VR000617"/>
    <x v="54"/>
    <s v="PO2526U10040"/>
    <d v="2025-04-14T00:00:00"/>
    <s v="Net 30 Days"/>
    <s v="EXW"/>
    <m/>
    <m/>
    <m/>
    <n v="0"/>
    <n v="0"/>
    <n v="34"/>
    <n v="2"/>
    <n v="2"/>
    <n v="2"/>
    <n v="2"/>
    <m/>
    <m/>
    <m/>
    <m/>
    <d v="1900-01-09T00:00:00"/>
    <m/>
    <m/>
    <m/>
    <m/>
    <s v="supplier considered 1st delivery in 11 months and subsequent 2 nos.per month."/>
    <m/>
    <m/>
    <m/>
    <s v=""/>
    <n v="333200"/>
  </r>
  <r>
    <n v="762"/>
    <d v="2025-05-15T00:00:00"/>
    <n v="413274573"/>
    <s v="EL01-002739-1"/>
    <m/>
    <s v="CONNECTOR COVER- A"/>
    <s v="6931A202-001"/>
    <m/>
    <s v="ELTA Spec"/>
    <n v="33"/>
    <s v="EA"/>
    <n v="29.5"/>
    <s v="USD"/>
    <n v="1"/>
    <n v="29.5"/>
    <n v="973.5"/>
    <m/>
    <x v="73"/>
    <s v="PO2526U10120"/>
    <d v="2025-05-05T00:00:00"/>
    <s v="Net 30 Days"/>
    <s v="EXW"/>
    <s v="Yes"/>
    <m/>
    <m/>
    <n v="0"/>
    <n v="33"/>
    <n v="0"/>
    <m/>
    <m/>
    <m/>
    <m/>
    <m/>
    <m/>
    <m/>
    <m/>
    <d v="1900-01-09T00:00:00"/>
    <m/>
    <m/>
    <m/>
    <m/>
    <m/>
    <m/>
    <m/>
    <m/>
    <s v="EL01-002739"/>
    <m/>
  </r>
  <r>
    <n v="763"/>
    <d v="2025-06-15T00:00:00"/>
    <n v="413274573"/>
    <s v="EL01-002739-2"/>
    <m/>
    <s v="CONNECTOR COVER- A"/>
    <s v="6931A202-001"/>
    <m/>
    <s v="ELTA Spec"/>
    <n v="33"/>
    <s v="EA"/>
    <n v="29.5"/>
    <s v="USD"/>
    <n v="1"/>
    <n v="29.5"/>
    <n v="973.5"/>
    <m/>
    <x v="73"/>
    <s v="PO2526U10120"/>
    <d v="2025-05-05T00:00:00"/>
    <s v="Net 30 Days"/>
    <s v="EXW"/>
    <s v="Yes"/>
    <m/>
    <m/>
    <n v="0"/>
    <n v="33"/>
    <n v="0"/>
    <m/>
    <m/>
    <m/>
    <m/>
    <m/>
    <m/>
    <m/>
    <m/>
    <d v="1900-01-09T00:00:00"/>
    <m/>
    <m/>
    <m/>
    <m/>
    <m/>
    <m/>
    <m/>
    <m/>
    <s v="EL01-002739"/>
    <m/>
  </r>
  <r>
    <n v="764"/>
    <d v="2025-09-15T00:00:00"/>
    <n v="413274573"/>
    <s v="EL01-002739-3"/>
    <m/>
    <s v="CONNECTOR COVER- A"/>
    <s v="6931A202-001"/>
    <m/>
    <s v="ELTA Spec"/>
    <n v="33"/>
    <s v="EA"/>
    <n v="29.5"/>
    <s v="USD"/>
    <n v="1"/>
    <n v="29.5"/>
    <n v="973.5"/>
    <m/>
    <x v="73"/>
    <s v="PO2526U10120"/>
    <d v="2025-05-05T00:00:00"/>
    <s v="Net 30 Days"/>
    <s v="EXW"/>
    <s v="Yes"/>
    <m/>
    <m/>
    <n v="0"/>
    <n v="33"/>
    <n v="0"/>
    <m/>
    <m/>
    <m/>
    <m/>
    <m/>
    <m/>
    <m/>
    <m/>
    <d v="1900-01-09T00:00:00"/>
    <m/>
    <m/>
    <m/>
    <m/>
    <m/>
    <m/>
    <m/>
    <m/>
    <s v="EL01-002739"/>
    <m/>
  </r>
  <r>
    <n v="765"/>
    <d v="2025-12-15T00:00:00"/>
    <n v="413274573"/>
    <s v="EL01-002739-4"/>
    <m/>
    <s v="CONNECTOR COVER- A"/>
    <s v="6931A202-001"/>
    <m/>
    <s v="ELTA Spec"/>
    <n v="31"/>
    <s v="EA"/>
    <n v="29.5"/>
    <s v="USD"/>
    <n v="1"/>
    <n v="29.5"/>
    <n v="914.5"/>
    <m/>
    <x v="73"/>
    <s v="PO2526U10120"/>
    <d v="2025-05-05T00:00:00"/>
    <s v="Net 30 Days"/>
    <s v="EXW"/>
    <s v="Yes"/>
    <m/>
    <m/>
    <n v="0"/>
    <n v="31"/>
    <n v="0"/>
    <m/>
    <m/>
    <m/>
    <m/>
    <m/>
    <m/>
    <m/>
    <m/>
    <d v="1900-01-09T00:00:00"/>
    <m/>
    <m/>
    <m/>
    <m/>
    <m/>
    <m/>
    <m/>
    <m/>
    <s v="EL01-002739"/>
    <m/>
  </r>
  <r>
    <n v="766"/>
    <d v="2025-05-15T00:00:00"/>
    <n v="413281438"/>
    <s v="EL01-002740-1"/>
    <m/>
    <s v="CONNECTOR COVER- B"/>
    <s v="6931A203-001"/>
    <m/>
    <s v="ELTA Spec"/>
    <n v="33"/>
    <s v="EA"/>
    <n v="10.5"/>
    <s v="USD"/>
    <n v="1"/>
    <n v="10.5"/>
    <n v="346.5"/>
    <m/>
    <x v="73"/>
    <s v="PO2526U10120"/>
    <d v="2025-05-05T00:00:00"/>
    <s v="Net 30 Days"/>
    <s v="EXW"/>
    <s v="Yes"/>
    <m/>
    <m/>
    <n v="0"/>
    <n v="33"/>
    <n v="0"/>
    <m/>
    <m/>
    <m/>
    <m/>
    <m/>
    <m/>
    <m/>
    <m/>
    <d v="1900-01-09T00:00:00"/>
    <m/>
    <m/>
    <m/>
    <m/>
    <m/>
    <m/>
    <m/>
    <m/>
    <s v="EL01-002740"/>
    <m/>
  </r>
  <r>
    <n v="767"/>
    <d v="2025-06-15T00:00:00"/>
    <n v="413281438"/>
    <s v="EL01-002740-2"/>
    <m/>
    <s v="CONNECTOR COVER- B"/>
    <s v="6931A203-001"/>
    <m/>
    <s v="ELTA Spec"/>
    <n v="33"/>
    <s v="EA"/>
    <n v="10.5"/>
    <s v="USD"/>
    <n v="1"/>
    <n v="10.5"/>
    <n v="346.5"/>
    <m/>
    <x v="73"/>
    <s v="PO2526U10120"/>
    <d v="2025-05-05T00:00:00"/>
    <s v="Net 30 Days"/>
    <s v="EXW"/>
    <s v="Yes"/>
    <m/>
    <m/>
    <n v="0"/>
    <n v="33"/>
    <n v="0"/>
    <m/>
    <m/>
    <m/>
    <m/>
    <m/>
    <m/>
    <m/>
    <m/>
    <d v="1900-01-09T00:00:00"/>
    <m/>
    <m/>
    <m/>
    <m/>
    <m/>
    <m/>
    <m/>
    <m/>
    <s v="EL01-002740"/>
    <m/>
  </r>
  <r>
    <n v="768"/>
    <d v="2025-09-15T00:00:00"/>
    <n v="413281438"/>
    <s v="EL01-002740-3"/>
    <m/>
    <s v="CONNECTOR COVER- B"/>
    <s v="6931A203-001"/>
    <m/>
    <s v="ELTA Spec"/>
    <n v="33"/>
    <s v="EA"/>
    <n v="10.5"/>
    <s v="USD"/>
    <n v="1"/>
    <n v="10.5"/>
    <n v="346.5"/>
    <m/>
    <x v="73"/>
    <s v="PO2526U10120"/>
    <d v="2025-05-05T00:00:00"/>
    <s v="Net 30 Days"/>
    <s v="EXW"/>
    <s v="Yes"/>
    <m/>
    <m/>
    <n v="0"/>
    <n v="33"/>
    <n v="0"/>
    <m/>
    <m/>
    <m/>
    <m/>
    <m/>
    <m/>
    <m/>
    <m/>
    <d v="1900-01-09T00:00:00"/>
    <m/>
    <m/>
    <m/>
    <m/>
    <m/>
    <m/>
    <m/>
    <m/>
    <s v="EL01-002740"/>
    <m/>
  </r>
  <r>
    <n v="769"/>
    <d v="2025-12-15T00:00:00"/>
    <n v="413281438"/>
    <s v="EL01-002740-4"/>
    <m/>
    <s v="CONNECTOR COVER- B"/>
    <s v="6931A203-001"/>
    <m/>
    <s v="ELTA Spec"/>
    <n v="31"/>
    <s v="EA"/>
    <n v="10.5"/>
    <s v="USD"/>
    <n v="1"/>
    <n v="10.5"/>
    <n v="325.5"/>
    <m/>
    <x v="73"/>
    <s v="PO2526U10120"/>
    <d v="2025-05-05T00:00:00"/>
    <s v="Net 30 Days"/>
    <s v="EXW"/>
    <s v="Yes"/>
    <m/>
    <m/>
    <n v="0"/>
    <n v="31"/>
    <n v="0"/>
    <m/>
    <m/>
    <m/>
    <m/>
    <m/>
    <m/>
    <m/>
    <m/>
    <d v="1900-01-09T00:00:00"/>
    <m/>
    <m/>
    <m/>
    <m/>
    <m/>
    <m/>
    <m/>
    <m/>
    <s v="EL01-002740"/>
    <m/>
  </r>
  <r>
    <n v="770"/>
    <d v="2025-05-15T00:00:00"/>
    <n v="413281440"/>
    <s v="EL01-002741-1"/>
    <m/>
    <s v="CONNECTOR COVER- C"/>
    <s v="6931A204-001"/>
    <m/>
    <s v="ELTA Spec"/>
    <n v="33"/>
    <s v="EA"/>
    <n v="11.5"/>
    <s v="USD"/>
    <n v="1"/>
    <n v="11.5"/>
    <n v="379.5"/>
    <m/>
    <x v="73"/>
    <s v="PO2526U10120"/>
    <d v="2025-05-05T00:00:00"/>
    <s v="Net 30 Days"/>
    <s v="EXW"/>
    <s v="Yes"/>
    <m/>
    <m/>
    <n v="0"/>
    <n v="33"/>
    <n v="0"/>
    <m/>
    <m/>
    <m/>
    <m/>
    <m/>
    <m/>
    <m/>
    <m/>
    <d v="1900-01-09T00:00:00"/>
    <m/>
    <m/>
    <m/>
    <m/>
    <m/>
    <m/>
    <m/>
    <m/>
    <s v="EL01-002741"/>
    <m/>
  </r>
  <r>
    <n v="771"/>
    <d v="2025-06-15T00:00:00"/>
    <n v="413281440"/>
    <s v="EL01-002741-2"/>
    <m/>
    <s v="CONNECTOR COVER- C"/>
    <s v="6931A204-001"/>
    <m/>
    <s v="ELTA Spec"/>
    <n v="33"/>
    <s v="EA"/>
    <n v="11.5"/>
    <s v="USD"/>
    <n v="1"/>
    <n v="11.5"/>
    <n v="379.5"/>
    <m/>
    <x v="73"/>
    <s v="PO2526U10120"/>
    <d v="2025-05-05T00:00:00"/>
    <s v="Net 30 Days"/>
    <s v="EXW"/>
    <s v="Yes"/>
    <m/>
    <m/>
    <n v="0"/>
    <n v="33"/>
    <n v="0"/>
    <m/>
    <m/>
    <m/>
    <m/>
    <m/>
    <m/>
    <m/>
    <m/>
    <d v="1900-01-09T00:00:00"/>
    <m/>
    <m/>
    <m/>
    <m/>
    <m/>
    <m/>
    <m/>
    <m/>
    <s v="EL01-002741"/>
    <m/>
  </r>
  <r>
    <n v="772"/>
    <d v="2025-09-15T00:00:00"/>
    <n v="413281440"/>
    <s v="EL01-002741-3"/>
    <m/>
    <s v="CONNECTOR COVER- C"/>
    <s v="6931A204-001"/>
    <m/>
    <s v="ELTA Spec"/>
    <n v="33"/>
    <s v="EA"/>
    <n v="11.5"/>
    <s v="USD"/>
    <n v="1"/>
    <n v="11.5"/>
    <n v="379.5"/>
    <m/>
    <x v="73"/>
    <s v="PO2526U10120"/>
    <d v="2025-05-05T00:00:00"/>
    <s v="Net 30 Days"/>
    <s v="EXW"/>
    <s v="Yes"/>
    <m/>
    <m/>
    <n v="0"/>
    <n v="33"/>
    <n v="0"/>
    <m/>
    <m/>
    <m/>
    <m/>
    <m/>
    <m/>
    <m/>
    <m/>
    <d v="1900-01-09T00:00:00"/>
    <m/>
    <m/>
    <m/>
    <m/>
    <m/>
    <m/>
    <m/>
    <m/>
    <s v="EL01-002741"/>
    <m/>
  </r>
  <r>
    <n v="773"/>
    <d v="2025-12-15T00:00:00"/>
    <n v="413281440"/>
    <s v="EL01-002741-4"/>
    <m/>
    <s v="CONNECTOR COVER- C"/>
    <s v="6931A204-001"/>
    <m/>
    <s v="ELTA Spec"/>
    <n v="31"/>
    <s v="EA"/>
    <n v="11.5"/>
    <s v="USD"/>
    <n v="1"/>
    <n v="11.5"/>
    <n v="356.5"/>
    <m/>
    <x v="73"/>
    <s v="PO2526U10120"/>
    <d v="2025-05-05T00:00:00"/>
    <s v="Net 30 Days"/>
    <s v="EXW"/>
    <s v="Yes"/>
    <m/>
    <m/>
    <n v="0"/>
    <n v="31"/>
    <n v="0"/>
    <m/>
    <m/>
    <m/>
    <m/>
    <m/>
    <m/>
    <m/>
    <m/>
    <d v="1900-01-09T00:00:00"/>
    <m/>
    <m/>
    <m/>
    <m/>
    <m/>
    <m/>
    <m/>
    <m/>
    <s v="EL01-002741"/>
    <m/>
  </r>
  <r>
    <n v="774"/>
    <d v="2025-05-15T00:00:00"/>
    <n v="510496904"/>
    <s v="EL01-002751-1"/>
    <m/>
    <s v="INSERT,HELICAL COIL,SCREW-THREAD,TANGED"/>
    <s v="MS21209C0415L"/>
    <m/>
    <s v="Kaytech"/>
    <n v="39155"/>
    <s v="EA"/>
    <n v="0.22800000000000001"/>
    <s v="USD"/>
    <n v="1"/>
    <n v="0.22800000000000001"/>
    <n v="8927.34"/>
    <s v="VR000099"/>
    <x v="68"/>
    <s v="PO2526U10117"/>
    <d v="2025-05-02T00:00:00"/>
    <s v="100% Advance"/>
    <s v="EXW"/>
    <m/>
    <m/>
    <m/>
    <n v="0"/>
    <n v="39155"/>
    <n v="0"/>
    <n v="3155"/>
    <m/>
    <m/>
    <m/>
    <d v="2025-12-09T00:00:00"/>
    <m/>
    <m/>
    <m/>
    <d v="2025-12-19T00:00:00"/>
    <s v="Will advise"/>
    <m/>
    <m/>
    <m/>
    <m/>
    <m/>
    <m/>
    <m/>
    <s v="EL01-002751"/>
    <m/>
  </r>
  <r>
    <n v="775"/>
    <d v="2025-06-15T00:00:00"/>
    <n v="510496904"/>
    <s v="EL01-002751-2"/>
    <m/>
    <s v="INSERT,HELICAL COIL,SCREW-THREAD,TANGED"/>
    <s v="MS21209C0415L"/>
    <m/>
    <s v="Kaytech"/>
    <n v="39155"/>
    <s v="EA"/>
    <n v="0.22800000000000001"/>
    <s v="USD"/>
    <n v="1"/>
    <n v="0.22800000000000001"/>
    <n v="8927.34"/>
    <s v="VR000099"/>
    <x v="68"/>
    <s v="PO2526U10117"/>
    <d v="2025-05-02T00:00:00"/>
    <s v="100% Advance"/>
    <s v="EXW"/>
    <m/>
    <m/>
    <m/>
    <n v="0"/>
    <n v="39155"/>
    <n v="0"/>
    <n v="1845"/>
    <m/>
    <m/>
    <m/>
    <d v="2025-12-09T00:00:00"/>
    <m/>
    <m/>
    <m/>
    <d v="2025-12-19T00:00:00"/>
    <s v="Will advise"/>
    <m/>
    <m/>
    <m/>
    <m/>
    <m/>
    <m/>
    <m/>
    <s v="EL01-002751"/>
    <m/>
  </r>
  <r>
    <n v="776"/>
    <d v="2025-09-15T00:00:00"/>
    <n v="510496904"/>
    <s v="EL01-002751-3"/>
    <m/>
    <s v="INSERT,HELICAL COIL,SCREW-THREAD,TANGED"/>
    <s v="MS21209C0415L"/>
    <m/>
    <s v="Kaytech"/>
    <n v="39155"/>
    <s v="EA"/>
    <n v="0.22800000000000001"/>
    <s v="USD"/>
    <n v="1"/>
    <n v="0.22800000000000001"/>
    <n v="8927.34"/>
    <s v="VR000099"/>
    <x v="68"/>
    <s v="PO2526U10117"/>
    <d v="2025-05-02T00:00:00"/>
    <s v="100% Advance"/>
    <s v="EXW"/>
    <m/>
    <m/>
    <m/>
    <n v="0"/>
    <n v="47145"/>
    <n v="-7990"/>
    <n v="39155"/>
    <m/>
    <m/>
    <m/>
    <m/>
    <m/>
    <m/>
    <m/>
    <d v="1900-01-09T00:00:00"/>
    <s v="Will advise"/>
    <m/>
    <m/>
    <m/>
    <m/>
    <m/>
    <m/>
    <m/>
    <s v="EL01-002751"/>
    <m/>
  </r>
  <r>
    <n v="777"/>
    <d v="2025-12-15T00:00:00"/>
    <n v="510496904"/>
    <s v="EL01-002751-4"/>
    <m/>
    <s v="INSERT,HELICAL COIL,SCREW-THREAD,TANGED"/>
    <s v="MS21209C0415L"/>
    <m/>
    <s v="Kaytech"/>
    <n v="39153"/>
    <s v="EA"/>
    <n v="0.22800000000000001"/>
    <s v="USD"/>
    <n v="1"/>
    <n v="0.22800000000000001"/>
    <n v="8926.884"/>
    <s v="VR000099"/>
    <x v="68"/>
    <s v="PO2526U10117"/>
    <d v="2025-05-02T00:00:00"/>
    <s v="100% Advance"/>
    <s v="EXW"/>
    <m/>
    <m/>
    <m/>
    <n v="0"/>
    <n v="23153"/>
    <n v="16000"/>
    <n v="39153"/>
    <m/>
    <m/>
    <m/>
    <m/>
    <m/>
    <m/>
    <m/>
    <d v="1900-01-09T00:00:00"/>
    <s v="Will advise"/>
    <m/>
    <m/>
    <m/>
    <m/>
    <m/>
    <m/>
    <m/>
    <s v="EL01-002751"/>
    <n v="3648"/>
  </r>
  <r>
    <n v="778"/>
    <d v="2025-05-15T00:00:00"/>
    <n v="510479249"/>
    <s v="EL01-002753-1"/>
    <m/>
    <s v="INSERT,HELICAL COIL,SCREW-THREAD,TANGED"/>
    <s v="MS21209C0810L"/>
    <m/>
    <s v="Kaytech"/>
    <n v="3927"/>
    <s v="EA"/>
    <n v="0.23400000000000001"/>
    <s v="USD"/>
    <n v="1"/>
    <n v="0.23400000000000001"/>
    <n v="918.91800000000001"/>
    <s v="VR000099"/>
    <x v="68"/>
    <s v="PO2526U10117"/>
    <d v="2025-05-02T00:00:00"/>
    <s v="100% Advance"/>
    <s v="EXW"/>
    <m/>
    <m/>
    <m/>
    <n v="0"/>
    <n v="3927"/>
    <n v="0"/>
    <m/>
    <m/>
    <m/>
    <m/>
    <m/>
    <m/>
    <m/>
    <m/>
    <d v="1900-01-09T00:00:00"/>
    <s v="Will advise"/>
    <m/>
    <m/>
    <m/>
    <m/>
    <m/>
    <m/>
    <m/>
    <s v="EL01-002753"/>
    <m/>
  </r>
  <r>
    <n v="779"/>
    <d v="2025-06-15T00:00:00"/>
    <n v="510479249"/>
    <s v="EL01-002753-2"/>
    <m/>
    <s v="INSERT,HELICAL COIL,SCREW-THREAD,TANGED"/>
    <s v="MS21209C0810L"/>
    <m/>
    <s v="Kaytech"/>
    <n v="3927"/>
    <s v="EA"/>
    <n v="0.23400000000000001"/>
    <s v="USD"/>
    <n v="1"/>
    <n v="0.23400000000000001"/>
    <n v="918.91800000000001"/>
    <s v="VR000099"/>
    <x v="68"/>
    <s v="PO2526U10117"/>
    <d v="2025-05-02T00:00:00"/>
    <s v="100% Advance"/>
    <s v="EXW"/>
    <m/>
    <m/>
    <m/>
    <n v="0"/>
    <n v="3913"/>
    <n v="14"/>
    <m/>
    <m/>
    <m/>
    <m/>
    <m/>
    <m/>
    <m/>
    <m/>
    <d v="1900-01-09T00:00:00"/>
    <s v="Will advise"/>
    <m/>
    <m/>
    <m/>
    <m/>
    <m/>
    <m/>
    <m/>
    <s v="EL01-002753"/>
    <n v="3.2760000000000002"/>
  </r>
  <r>
    <n v="780"/>
    <d v="2025-09-15T00:00:00"/>
    <n v="510479249"/>
    <s v="EL01-002753-3"/>
    <m/>
    <s v="INSERT,HELICAL COIL,SCREW-THREAD,TANGED"/>
    <s v="MS21209C0810L"/>
    <m/>
    <s v="Kaytech"/>
    <n v="3927"/>
    <s v="EA"/>
    <n v="0.23400000000000001"/>
    <s v="USD"/>
    <n v="1"/>
    <n v="0.23400000000000001"/>
    <n v="918.91800000000001"/>
    <s v="VR000099"/>
    <x v="68"/>
    <s v="PO2526U10117"/>
    <d v="2025-05-02T00:00:00"/>
    <s v="100% Advance"/>
    <s v="EXW"/>
    <m/>
    <m/>
    <m/>
    <n v="0"/>
    <n v="3927"/>
    <n v="0"/>
    <m/>
    <m/>
    <m/>
    <m/>
    <m/>
    <m/>
    <m/>
    <m/>
    <d v="1900-01-09T00:00:00"/>
    <s v="Will advise"/>
    <m/>
    <m/>
    <m/>
    <m/>
    <m/>
    <m/>
    <m/>
    <s v="EL01-002753"/>
    <m/>
  </r>
  <r>
    <n v="781"/>
    <d v="2025-12-15T00:00:00"/>
    <n v="510479249"/>
    <s v="EL01-002753-4"/>
    <m/>
    <s v="INSERT,HELICAL COIL,SCREW-THREAD,TANGED"/>
    <s v="MS21209C0810L"/>
    <m/>
    <s v="Kaytech"/>
    <n v="3927"/>
    <s v="EA"/>
    <n v="0.23400000000000001"/>
    <s v="USD"/>
    <n v="1"/>
    <n v="0.23400000000000001"/>
    <n v="918.91800000000001"/>
    <s v="VR000099"/>
    <x v="68"/>
    <s v="PO2526U10117"/>
    <d v="2025-05-02T00:00:00"/>
    <s v="100% Advance"/>
    <s v="EXW"/>
    <m/>
    <m/>
    <m/>
    <n v="0"/>
    <n v="3927"/>
    <n v="0"/>
    <m/>
    <m/>
    <m/>
    <m/>
    <m/>
    <m/>
    <m/>
    <m/>
    <d v="1900-01-09T00:00:00"/>
    <s v="Will advise"/>
    <m/>
    <m/>
    <m/>
    <m/>
    <m/>
    <m/>
    <m/>
    <s v="EL01-002753"/>
    <m/>
  </r>
  <r>
    <n v="782"/>
    <d v="2025-05-15T00:00:00"/>
    <s v="N87500856"/>
    <s v="EL01-000412-2"/>
    <m/>
    <s v="HARDWARE   CABLE TIE MOUNT"/>
    <s v="TM2S6"/>
    <m/>
    <s v="QPL"/>
    <n v="1430"/>
    <s v="EA"/>
    <n v="0.19"/>
    <s v="USD"/>
    <n v="1"/>
    <n v="0.19"/>
    <n v="271.7"/>
    <s v="VR000099"/>
    <x v="68"/>
    <s v="PO2526U10117"/>
    <d v="2025-05-02T00:00:00"/>
    <s v="100% Advance"/>
    <s v="EXW"/>
    <m/>
    <m/>
    <m/>
    <n v="0"/>
    <n v="1430"/>
    <n v="0"/>
    <m/>
    <m/>
    <m/>
    <m/>
    <m/>
    <m/>
    <m/>
    <m/>
    <d v="1900-01-09T00:00:00"/>
    <m/>
    <m/>
    <m/>
    <m/>
    <m/>
    <m/>
    <m/>
    <m/>
    <s v="EL01-000412"/>
    <m/>
  </r>
  <r>
    <n v="783"/>
    <d v="2025-05-30T00:00:00"/>
    <n v="510479769"/>
    <s v="EL01-002747-1"/>
    <m/>
    <s v="INSERT,HELICAL COIL,FREE RUNNING,TANGED"/>
    <s v="MS122082"/>
    <m/>
    <s v="Kaytech"/>
    <n v="2100"/>
    <s v="EA"/>
    <n v="0.20499999999999999"/>
    <s v="USD"/>
    <n v="1"/>
    <n v="0.20499999999999999"/>
    <n v="430.5"/>
    <s v="VR000099"/>
    <x v="68"/>
    <s v="PO2526U10161"/>
    <d v="2025-05-15T00:00:00"/>
    <s v="100% Advance"/>
    <s v="EXW"/>
    <m/>
    <m/>
    <m/>
    <n v="0"/>
    <n v="2100"/>
    <n v="0"/>
    <m/>
    <m/>
    <m/>
    <m/>
    <m/>
    <m/>
    <m/>
    <m/>
    <d v="1900-01-09T00:00:00"/>
    <s v=" This order not paid"/>
    <m/>
    <m/>
    <m/>
    <m/>
    <m/>
    <m/>
    <m/>
    <s v="EL01-002747"/>
    <m/>
  </r>
  <r>
    <n v="784"/>
    <d v="2025-05-30T00:00:00"/>
    <n v="510479769"/>
    <s v="EL01-002748-1"/>
    <m/>
    <s v="INSERT,HELICAL COIL,FREE RUNNING,TANGED"/>
    <s v="MS122116"/>
    <m/>
    <s v="Kaytech"/>
    <n v="1855"/>
    <s v="EA"/>
    <n v="0.192"/>
    <s v="USD"/>
    <n v="1"/>
    <n v="0.192"/>
    <n v="356.16"/>
    <s v="VR000099"/>
    <x v="68"/>
    <s v="PO2526U10161"/>
    <d v="2025-05-15T00:00:00"/>
    <s v="100% Advance"/>
    <s v="EXW"/>
    <m/>
    <m/>
    <m/>
    <n v="0"/>
    <n v="1855"/>
    <n v="0"/>
    <m/>
    <m/>
    <m/>
    <m/>
    <m/>
    <m/>
    <m/>
    <m/>
    <d v="1900-01-09T00:00:00"/>
    <s v=" This order not paid"/>
    <m/>
    <m/>
    <m/>
    <m/>
    <m/>
    <m/>
    <m/>
    <s v="EL01-002748"/>
    <m/>
  </r>
  <r>
    <n v="785"/>
    <d v="2025-05-30T00:00:00"/>
    <n v="544171853"/>
    <s v="EL01-001730-1"/>
    <m/>
    <s v="INSERT,HELICAL COIL,SCREW-THREAD,TANG"/>
    <s v="MS21209C0210"/>
    <m/>
    <s v="Kaytech"/>
    <n v="500"/>
    <s v="EA"/>
    <n v="0.2"/>
    <s v="USD"/>
    <n v="1"/>
    <n v="0.2"/>
    <n v="100"/>
    <s v="VR000099"/>
    <x v="68"/>
    <s v="PO2526U10161"/>
    <d v="2025-05-15T00:00:00"/>
    <s v="100% Advance"/>
    <s v="EXW"/>
    <m/>
    <m/>
    <m/>
    <n v="0"/>
    <n v="500"/>
    <n v="0"/>
    <m/>
    <m/>
    <m/>
    <m/>
    <m/>
    <m/>
    <m/>
    <m/>
    <d v="1900-01-09T00:00:00"/>
    <s v=" This order not paid"/>
    <m/>
    <m/>
    <m/>
    <m/>
    <m/>
    <m/>
    <m/>
    <s v="EL01-001730"/>
    <m/>
  </r>
  <r>
    <n v="786"/>
    <d v="2025-05-30T00:00:00"/>
    <n v="544157142"/>
    <s v="EL01-002749-1"/>
    <m/>
    <s v="INSERT,SCREW-THREAD,FREE RUNNING,LOCKED"/>
    <s v="MS51831-103"/>
    <m/>
    <s v="Kaytech"/>
    <n v="935"/>
    <s v="EA"/>
    <n v="2.0499999999999998"/>
    <s v="USD"/>
    <n v="1"/>
    <n v="2.0499999999999998"/>
    <n v="1916.7499999999998"/>
    <s v="VR000099"/>
    <x v="68"/>
    <s v="PO2526U10161"/>
    <d v="2025-05-15T00:00:00"/>
    <s v="100% Advance"/>
    <s v="EXW"/>
    <m/>
    <m/>
    <m/>
    <n v="0"/>
    <n v="935"/>
    <n v="0"/>
    <m/>
    <m/>
    <m/>
    <m/>
    <m/>
    <m/>
    <m/>
    <m/>
    <d v="1900-01-09T00:00:00"/>
    <s v=" This order not paid"/>
    <m/>
    <m/>
    <m/>
    <m/>
    <m/>
    <m/>
    <m/>
    <s v="EL01-002749"/>
    <m/>
  </r>
  <r>
    <n v="787"/>
    <d v="2025-05-30T00:00:00"/>
    <n v="584100838"/>
    <s v="EL01-000349-2"/>
    <m/>
    <s v="CABLE ASSY,CAP END,CABLE 3X7,.032IN DIA&quot;"/>
    <s v="C10-218"/>
    <m/>
    <s v="DMC"/>
    <n v="150"/>
    <s v="EA"/>
    <n v="1.95"/>
    <s v="USD"/>
    <n v="1"/>
    <n v="1.95"/>
    <n v="292.5"/>
    <s v="VR000099"/>
    <x v="68"/>
    <s v="PO2526U10161"/>
    <d v="2025-05-15T00:00:00"/>
    <s v="100% Advance"/>
    <s v="EXW"/>
    <m/>
    <m/>
    <m/>
    <n v="0"/>
    <n v="150"/>
    <n v="0"/>
    <m/>
    <m/>
    <m/>
    <m/>
    <m/>
    <m/>
    <m/>
    <m/>
    <d v="1900-01-09T00:00:00"/>
    <s v=" This order not paid"/>
    <m/>
    <m/>
    <m/>
    <m/>
    <m/>
    <m/>
    <m/>
    <s v="EL01-000349"/>
    <m/>
  </r>
  <r>
    <n v="788"/>
    <d v="2025-05-30T00:00:00"/>
    <n v="413281439"/>
    <s v="EL01-002738-1"/>
    <m/>
    <s v="NAME PLATE"/>
    <s v="6931A106-001"/>
    <m/>
    <s v="Ackerman"/>
    <n v="33"/>
    <s v="EA"/>
    <n v="3.9"/>
    <s v="USD"/>
    <n v="1"/>
    <n v="3.9"/>
    <n v="128.69999999999999"/>
    <m/>
    <x v="74"/>
    <s v="PO2526U10158"/>
    <d v="2025-05-15T00:00:00"/>
    <s v="Before delivery"/>
    <s v="EXW"/>
    <m/>
    <m/>
    <m/>
    <n v="0"/>
    <n v="33"/>
    <n v="0"/>
    <m/>
    <m/>
    <m/>
    <m/>
    <m/>
    <m/>
    <m/>
    <m/>
    <d v="1900-01-09T00:00:00"/>
    <m/>
    <m/>
    <m/>
    <m/>
    <m/>
    <m/>
    <m/>
    <m/>
    <s v="EL01-002738"/>
    <m/>
  </r>
  <r>
    <n v="789"/>
    <d v="2025-06-30T00:00:00"/>
    <n v="413281439"/>
    <s v="EL01-002738-2"/>
    <m/>
    <s v="NAME PLATE"/>
    <s v="6931A106-001"/>
    <m/>
    <s v="Ackerman"/>
    <n v="33"/>
    <s v="EA"/>
    <n v="3.9"/>
    <s v="USD"/>
    <n v="1"/>
    <n v="3.9"/>
    <n v="128.69999999999999"/>
    <m/>
    <x v="74"/>
    <s v="PO2526U10158"/>
    <d v="2025-05-15T00:00:00"/>
    <s v="Before delivery"/>
    <s v="EXW"/>
    <m/>
    <m/>
    <m/>
    <n v="0"/>
    <n v="33"/>
    <n v="0"/>
    <m/>
    <m/>
    <m/>
    <m/>
    <m/>
    <m/>
    <m/>
    <m/>
    <d v="1900-01-09T00:00:00"/>
    <m/>
    <m/>
    <m/>
    <m/>
    <m/>
    <m/>
    <m/>
    <m/>
    <s v="EL01-002738"/>
    <m/>
  </r>
  <r>
    <n v="790"/>
    <d v="2025-09-20T00:00:00"/>
    <n v="413281439"/>
    <s v="EL01-002738-3"/>
    <m/>
    <s v="NAME PLATE"/>
    <s v="6931A106-001"/>
    <m/>
    <s v="Ackerman"/>
    <n v="33"/>
    <s v="EA"/>
    <n v="3.9"/>
    <s v="USD"/>
    <n v="1"/>
    <n v="3.9"/>
    <n v="128.69999999999999"/>
    <m/>
    <x v="74"/>
    <s v="PO2526U10158"/>
    <d v="2025-05-15T00:00:00"/>
    <s v="Before delivery"/>
    <s v="EXW"/>
    <m/>
    <m/>
    <m/>
    <n v="0"/>
    <n v="33"/>
    <n v="0"/>
    <m/>
    <m/>
    <m/>
    <m/>
    <m/>
    <m/>
    <m/>
    <m/>
    <d v="1900-01-09T00:00:00"/>
    <m/>
    <m/>
    <m/>
    <m/>
    <m/>
    <m/>
    <m/>
    <m/>
    <s v="EL01-002738"/>
    <m/>
  </r>
  <r>
    <n v="791"/>
    <d v="2025-12-20T00:00:00"/>
    <n v="413281439"/>
    <s v="EL01-002738-4"/>
    <m/>
    <s v="NAME PLATE"/>
    <s v="6931A106-001"/>
    <m/>
    <s v="Ackerman"/>
    <n v="31"/>
    <s v="EA"/>
    <n v="3.9"/>
    <s v="USD"/>
    <n v="1"/>
    <n v="3.9"/>
    <n v="120.89999999999999"/>
    <m/>
    <x v="74"/>
    <s v="PO2526U10158"/>
    <d v="2025-05-15T00:00:00"/>
    <s v="Before delivery"/>
    <s v="EXW"/>
    <m/>
    <m/>
    <m/>
    <n v="0"/>
    <n v="31"/>
    <n v="0"/>
    <m/>
    <m/>
    <m/>
    <m/>
    <m/>
    <m/>
    <m/>
    <m/>
    <d v="1900-01-09T00:00:00"/>
    <m/>
    <m/>
    <m/>
    <m/>
    <m/>
    <m/>
    <m/>
    <m/>
    <s v="EL01-002738"/>
    <m/>
  </r>
  <r>
    <n v="792"/>
    <d v="2025-06-15T00:00:00"/>
    <n v="526945878"/>
    <s v="EL01-001810-6"/>
    <m/>
    <s v="SCREW,CAPTIVE,NUT RETAINER TYPE,SINGLE L"/>
    <s v="FT1737HS-10-8-A"/>
    <m/>
    <s v="FASTENER TECHNOLOGY CORP"/>
    <n v="1474"/>
    <s v="EA"/>
    <n v="7.2"/>
    <s v="USD"/>
    <n v="1"/>
    <n v="7.2"/>
    <n v="10612.800000000001"/>
    <m/>
    <x v="45"/>
    <s v="PO2526U10176"/>
    <d v="2025-05-21T00:00:00"/>
    <s v="Prior to Shipment"/>
    <s v="EXW"/>
    <m/>
    <s v="Received "/>
    <m/>
    <n v="0"/>
    <n v="1474"/>
    <n v="0"/>
    <m/>
    <m/>
    <m/>
    <m/>
    <m/>
    <m/>
    <m/>
    <m/>
    <d v="1900-01-09T00:00:00"/>
    <m/>
    <m/>
    <m/>
    <m/>
    <m/>
    <m/>
    <n v="526945878"/>
    <s v="EL01-001810"/>
    <s v="EL01-001810"/>
    <m/>
  </r>
  <r>
    <n v="793"/>
    <d v="2024-12-25T00:00:00"/>
    <n v="514201177"/>
    <s v="EL01-000397-2"/>
    <m/>
    <s v="WASHER,FLAT,PLAIN,REDUCED OD, 2 SIZE,.01"/>
    <s v="NAS620C2"/>
    <m/>
    <s v="NAS/NASM NATIONAL AEROSPACE STD"/>
    <n v="42000"/>
    <s v="EA"/>
    <n v="1.9E-2"/>
    <s v="USD"/>
    <n v="1"/>
    <n v="1.9E-2"/>
    <n v="798"/>
    <s v="VR000099"/>
    <x v="68"/>
    <s v="PO2526U10117"/>
    <d v="2025-05-02T00:00:00"/>
    <s v="100% Advance"/>
    <s v="EXW"/>
    <m/>
    <m/>
    <m/>
    <n v="0"/>
    <n v="42000"/>
    <n v="0"/>
    <m/>
    <m/>
    <m/>
    <m/>
    <m/>
    <m/>
    <m/>
    <m/>
    <d v="1900-01-09T00:00:00"/>
    <m/>
    <m/>
    <m/>
    <m/>
    <m/>
    <m/>
    <n v="514201177"/>
    <s v="EL01-000397"/>
    <s v="EL01-000397"/>
    <m/>
  </r>
  <r>
    <n v="794"/>
    <d v="2025-06-11T00:00:00"/>
    <n v="401484963"/>
    <s v="EL01-000396-2"/>
    <m/>
    <s v="SCREW,CAP HEAD,HEX SOCKET RECESS,FULL SH"/>
    <s v="NAS1352C08-7"/>
    <m/>
    <s v="NAS/NASM NATIONAL AEROSPACE STD"/>
    <n v="300"/>
    <s v="EA"/>
    <n v="0.63"/>
    <s v="USD"/>
    <n v="1"/>
    <n v="0.63"/>
    <n v="189"/>
    <m/>
    <x v="70"/>
    <s v="PO2526U10210"/>
    <d v="2025-06-11T00:00:00"/>
    <s v="As agreed"/>
    <s v="EXW"/>
    <s v="Yes"/>
    <m/>
    <m/>
    <n v="0"/>
    <n v="300"/>
    <n v="0"/>
    <m/>
    <m/>
    <m/>
    <m/>
    <m/>
    <m/>
    <m/>
    <m/>
    <d v="1900-01-09T00:00:00"/>
    <m/>
    <s v="Intransit"/>
    <m/>
    <m/>
    <m/>
    <m/>
    <n v="401484963"/>
    <s v="EL01-000396"/>
    <s v="EL01-000396"/>
    <m/>
  </r>
  <r>
    <n v="795"/>
    <d v="2025-06-11T00:00:00"/>
    <n v="401484963"/>
    <s v="EL01-000396-3"/>
    <m/>
    <s v="SCREW,CAP HEAD,HEX SOCKET RECESS,FULL SH"/>
    <s v="NAS1352C08-7"/>
    <m/>
    <s v="NAS/NASM NATIONAL AEROSPACE STD"/>
    <n v="100"/>
    <s v="EA"/>
    <n v="0.63"/>
    <s v="USD"/>
    <n v="1"/>
    <n v="0.63"/>
    <n v="63"/>
    <m/>
    <x v="70"/>
    <s v="PO2526U10210"/>
    <d v="2025-06-11T00:00:00"/>
    <s v="As agreed"/>
    <s v="EXW"/>
    <s v="Yes"/>
    <m/>
    <m/>
    <n v="0"/>
    <n v="100"/>
    <n v="0"/>
    <m/>
    <m/>
    <m/>
    <m/>
    <m/>
    <m/>
    <m/>
    <m/>
    <d v="1900-01-09T00:00:00"/>
    <m/>
    <s v="Intransit"/>
    <m/>
    <m/>
    <m/>
    <m/>
    <n v="401484963"/>
    <s v="EL01-000396"/>
    <s v="EL01-000396"/>
    <m/>
  </r>
  <r>
    <n v="796"/>
    <d v="2025-06-11T00:00:00"/>
    <n v="512313669"/>
    <s v="EL01-001735-2"/>
    <m/>
    <s v="SCREW,MACHINE,PAN HEAD,CRUCIFORM RECESS"/>
    <s v="MS51957-32"/>
    <m/>
    <s v="MS MILITARY STANDARDS"/>
    <n v="13100"/>
    <s v="EA"/>
    <n v="0.14000000000000001"/>
    <s v="USD"/>
    <n v="1"/>
    <n v="0.14000000000000001"/>
    <n v="1834.0000000000002"/>
    <m/>
    <x v="70"/>
    <s v="PO2526U10210"/>
    <d v="2025-06-11T00:00:00"/>
    <s v="As agreed"/>
    <s v="EXW"/>
    <s v="Yes"/>
    <m/>
    <m/>
    <n v="0"/>
    <n v="13100"/>
    <n v="0"/>
    <m/>
    <m/>
    <m/>
    <m/>
    <m/>
    <m/>
    <m/>
    <m/>
    <d v="1900-01-09T00:00:00"/>
    <m/>
    <m/>
    <m/>
    <m/>
    <m/>
    <m/>
    <n v="512313669"/>
    <s v="EL01-001735"/>
    <s v="EL01-001735"/>
    <m/>
  </r>
  <r>
    <n v="797"/>
    <d v="2025-06-11T00:00:00"/>
    <m/>
    <s v="EL01-002910-1"/>
    <m/>
    <s v="JIG FOR SMT CIRCULATOR"/>
    <s v="1092J976-001"/>
    <m/>
    <m/>
    <n v="10"/>
    <s v="EA"/>
    <n v="113.58"/>
    <s v="USD"/>
    <n v="1"/>
    <n v="113.58"/>
    <n v="1135.8"/>
    <m/>
    <x v="70"/>
    <s v="PO2526U10209"/>
    <d v="2025-06-11T00:00:00"/>
    <s v="As agreed"/>
    <s v="EXW"/>
    <s v="Yes"/>
    <m/>
    <m/>
    <n v="0"/>
    <n v="10"/>
    <n v="0"/>
    <m/>
    <m/>
    <m/>
    <m/>
    <m/>
    <m/>
    <m/>
    <m/>
    <d v="1900-01-09T00:00:00"/>
    <m/>
    <m/>
    <m/>
    <m/>
    <m/>
    <m/>
    <m/>
    <m/>
    <s v="EL01-002910"/>
    <m/>
  </r>
  <r>
    <n v="798"/>
    <d v="2025-06-11T00:00:00"/>
    <m/>
    <s v="EL01-002911-1"/>
    <m/>
    <s v="SUPPORT"/>
    <s v="1092P912-001"/>
    <m/>
    <m/>
    <n v="100"/>
    <s v="EA"/>
    <n v="8.5"/>
    <s v="USD"/>
    <n v="1"/>
    <n v="8.5"/>
    <n v="850"/>
    <m/>
    <x v="70"/>
    <s v="PO2526U10209"/>
    <d v="2025-06-11T00:00:00"/>
    <s v="As agreed"/>
    <s v="EXW"/>
    <s v="Yes"/>
    <m/>
    <m/>
    <n v="0"/>
    <n v="100"/>
    <n v="0"/>
    <m/>
    <m/>
    <m/>
    <m/>
    <m/>
    <m/>
    <m/>
    <m/>
    <d v="1900-01-09T00:00:00"/>
    <m/>
    <m/>
    <m/>
    <m/>
    <m/>
    <m/>
    <m/>
    <m/>
    <s v="EL01-002911"/>
    <m/>
  </r>
  <r>
    <n v="799"/>
    <d v="2025-06-11T00:00:00"/>
    <m/>
    <s v="EL01-002912-1"/>
    <m/>
    <s v="BASE"/>
    <s v="1093E327-001"/>
    <m/>
    <m/>
    <n v="4"/>
    <s v="EA"/>
    <n v="539"/>
    <s v="USD"/>
    <n v="1"/>
    <n v="539"/>
    <n v="2156"/>
    <m/>
    <x v="70"/>
    <s v="PO2526U10209"/>
    <d v="2025-06-11T00:00:00"/>
    <s v="As agreed"/>
    <s v="EXW"/>
    <s v="Yes"/>
    <m/>
    <m/>
    <n v="0"/>
    <n v="4"/>
    <n v="0"/>
    <m/>
    <m/>
    <m/>
    <m/>
    <m/>
    <m/>
    <m/>
    <m/>
    <d v="1900-01-09T00:00:00"/>
    <m/>
    <m/>
    <m/>
    <m/>
    <m/>
    <m/>
    <m/>
    <m/>
    <s v="EL01-002912"/>
    <m/>
  </r>
  <r>
    <n v="800"/>
    <d v="2025-06-24T00:00:00"/>
    <n v="401625706"/>
    <s v="EL01-000415-1"/>
    <m/>
    <s v="4-WAY SMA POWER SPLITTER 1.7-4.2GHZ"/>
    <s v="ZB4PD-42-S+"/>
    <m/>
    <s v="Minicircuits"/>
    <n v="3"/>
    <s v="EA"/>
    <n v="4000"/>
    <s v="USD"/>
    <n v="1"/>
    <n v="4000"/>
    <n v="12000"/>
    <m/>
    <x v="70"/>
    <s v="PO2526U10232"/>
    <d v="2025-06-24T00:00:00"/>
    <s v="As agreed"/>
    <s v="EXW"/>
    <m/>
    <m/>
    <m/>
    <n v="0"/>
    <n v="3"/>
    <n v="0"/>
    <m/>
    <m/>
    <m/>
    <m/>
    <m/>
    <m/>
    <m/>
    <m/>
    <d v="1900-01-09T00:00:00"/>
    <m/>
    <m/>
    <m/>
    <m/>
    <m/>
    <m/>
    <m/>
    <m/>
    <s v="EL01-000415"/>
    <m/>
  </r>
  <r>
    <n v="801"/>
    <d v="2025-06-24T00:00:00"/>
    <n v="410790355"/>
    <s v="EL01-002035-1"/>
    <m/>
    <s v="COMBINER"/>
    <s v="6931A400-001"/>
    <m/>
    <s v="ELTA Spec"/>
    <n v="3"/>
    <s v="EA"/>
    <n v="8000"/>
    <s v="USD"/>
    <n v="1"/>
    <n v="8000"/>
    <n v="24000"/>
    <m/>
    <x v="70"/>
    <s v="PO2526U10232"/>
    <d v="2025-06-24T00:00:00"/>
    <s v="As agreed"/>
    <s v="EXW"/>
    <m/>
    <m/>
    <m/>
    <n v="0"/>
    <n v="3"/>
    <n v="0"/>
    <m/>
    <m/>
    <m/>
    <m/>
    <m/>
    <m/>
    <m/>
    <m/>
    <d v="1900-01-09T00:00:00"/>
    <m/>
    <m/>
    <m/>
    <m/>
    <m/>
    <m/>
    <m/>
    <m/>
    <s v="EL01-002035"/>
    <m/>
  </r>
  <r>
    <n v="802"/>
    <d v="2025-06-24T00:00:00"/>
    <n v="401625706"/>
    <s v="EL01-000415-2"/>
    <m/>
    <s v="4-WAY SMA POWER SPLITTER 1.7-4.2GHZ"/>
    <s v="ZB4PD-42-S+"/>
    <m/>
    <s v="Minicircuits"/>
    <n v="2"/>
    <s v="EA"/>
    <n v="4000"/>
    <s v="USD"/>
    <n v="1"/>
    <n v="4000"/>
    <n v="8000"/>
    <m/>
    <x v="70"/>
    <s v="PO2526U10232"/>
    <d v="2025-06-24T00:00:00"/>
    <s v="As agreed"/>
    <s v="EXW"/>
    <m/>
    <m/>
    <m/>
    <n v="0"/>
    <n v="2"/>
    <n v="0"/>
    <m/>
    <m/>
    <m/>
    <m/>
    <m/>
    <m/>
    <m/>
    <m/>
    <d v="1900-01-09T00:00:00"/>
    <m/>
    <m/>
    <m/>
    <m/>
    <m/>
    <m/>
    <m/>
    <m/>
    <s v="EL01-000415"/>
    <m/>
  </r>
  <r>
    <n v="803"/>
    <d v="2025-06-24T00:00:00"/>
    <n v="403830848"/>
    <s v="EL01-000315-1"/>
    <m/>
    <s v="SHLK. ANT. FINAL ASSEMBLY. GREEN OLIVE."/>
    <s v="1099E950-001"/>
    <m/>
    <s v="ELTA Spec"/>
    <n v="6"/>
    <s v="EA"/>
    <n v="78000"/>
    <s v="USD"/>
    <n v="1"/>
    <n v="78000"/>
    <n v="468000"/>
    <m/>
    <x v="70"/>
    <s v="PO2526U10232"/>
    <d v="2025-06-24T00:00:00"/>
    <s v="As agreed"/>
    <s v="EXW"/>
    <m/>
    <m/>
    <m/>
    <n v="0"/>
    <n v="6"/>
    <n v="0"/>
    <m/>
    <m/>
    <m/>
    <m/>
    <m/>
    <m/>
    <m/>
    <m/>
    <d v="1900-01-09T00:00:00"/>
    <m/>
    <m/>
    <m/>
    <m/>
    <m/>
    <m/>
    <m/>
    <m/>
    <s v="EL01-000315"/>
    <m/>
  </r>
  <r>
    <n v="804"/>
    <d v="2025-06-24T00:00:00"/>
    <n v="410790321"/>
    <s v="EL01-002034-1"/>
    <m/>
    <s v="OSCILLATOR (OSC)"/>
    <s v="6931A350-001"/>
    <m/>
    <s v="ELTA Spec"/>
    <n v="10"/>
    <s v="EA"/>
    <n v="12000"/>
    <s v="USD"/>
    <n v="1"/>
    <n v="12000"/>
    <n v="120000"/>
    <m/>
    <x v="70"/>
    <s v="PO2526U10232"/>
    <d v="2025-06-24T00:00:00"/>
    <s v="As agreed"/>
    <s v="EXW"/>
    <m/>
    <m/>
    <m/>
    <n v="0"/>
    <n v="10"/>
    <n v="0"/>
    <m/>
    <m/>
    <m/>
    <m/>
    <m/>
    <m/>
    <m/>
    <m/>
    <d v="1900-01-09T00:00:00"/>
    <m/>
    <m/>
    <m/>
    <m/>
    <m/>
    <m/>
    <m/>
    <m/>
    <s v="EL01-002034"/>
    <m/>
  </r>
  <r>
    <n v="805"/>
    <d v="2025-06-24T00:00:00"/>
    <n v="410790355"/>
    <s v="EL01-002035-2"/>
    <m/>
    <s v="COMBINER"/>
    <s v="6931A400-001"/>
    <m/>
    <s v="ELTA Spec"/>
    <n v="7"/>
    <s v="EA"/>
    <n v="8000"/>
    <s v="USD"/>
    <n v="1"/>
    <n v="8000"/>
    <n v="56000"/>
    <m/>
    <x v="70"/>
    <s v="PO2526U10232"/>
    <d v="2025-06-24T00:00:00"/>
    <s v="As agreed"/>
    <s v="EXW"/>
    <m/>
    <m/>
    <m/>
    <n v="0"/>
    <n v="7"/>
    <n v="0"/>
    <m/>
    <m/>
    <m/>
    <m/>
    <m/>
    <m/>
    <m/>
    <m/>
    <d v="1900-01-09T00:00:00"/>
    <m/>
    <m/>
    <m/>
    <m/>
    <m/>
    <m/>
    <m/>
    <m/>
    <s v="EL01-002035"/>
    <m/>
  </r>
  <r>
    <n v="806"/>
    <d v="2025-06-24T00:00:00"/>
    <n v="417967195"/>
    <s v="EL01-000328-1"/>
    <m/>
    <s v="RSP F/ASSY"/>
    <s v="1039F502-001"/>
    <m/>
    <s v="ELTA Spec"/>
    <n v="10"/>
    <s v="EA"/>
    <n v="18000"/>
    <s v="USD"/>
    <n v="1"/>
    <n v="18000"/>
    <n v="180000"/>
    <m/>
    <x v="70"/>
    <s v="PO2526U10232"/>
    <d v="2025-06-24T00:00:00"/>
    <s v="As agreed"/>
    <s v="EXW"/>
    <m/>
    <m/>
    <m/>
    <n v="0"/>
    <n v="10"/>
    <n v="0"/>
    <m/>
    <m/>
    <m/>
    <m/>
    <m/>
    <m/>
    <m/>
    <m/>
    <d v="1900-01-09T00:00:00"/>
    <m/>
    <m/>
    <m/>
    <m/>
    <m/>
    <m/>
    <m/>
    <m/>
    <s v="EL01-000328"/>
    <m/>
  </r>
  <r>
    <n v="807"/>
    <d v="2025-06-24T00:00:00"/>
    <n v="409480711"/>
    <s v="EL01-002033-1"/>
    <m/>
    <s v="POWER SUPPLY"/>
    <s v="6931A250-001"/>
    <m/>
    <s v="ELTA Spec"/>
    <n v="10"/>
    <s v="EA"/>
    <n v="35000"/>
    <s v="USD"/>
    <n v="1"/>
    <n v="35000"/>
    <n v="350000"/>
    <m/>
    <x v="70"/>
    <s v="PO2526U10232"/>
    <d v="2025-06-24T00:00:00"/>
    <s v="As agreed"/>
    <s v="EXW"/>
    <m/>
    <m/>
    <m/>
    <n v="0"/>
    <n v="10"/>
    <n v="0"/>
    <m/>
    <m/>
    <m/>
    <m/>
    <m/>
    <m/>
    <m/>
    <m/>
    <d v="1900-01-09T00:00:00"/>
    <m/>
    <m/>
    <m/>
    <m/>
    <m/>
    <m/>
    <m/>
    <m/>
    <s v="EL01-002033"/>
    <m/>
  </r>
  <r>
    <n v="808"/>
    <d v="2025-07-15T00:00:00"/>
    <n v="415600492"/>
    <s v="EL01-001939-1"/>
    <m/>
    <s v="Connector Termination painting"/>
    <s v="1099M269-001"/>
    <m/>
    <m/>
    <n v="116"/>
    <s v="EA"/>
    <n v="110"/>
    <s v="INR"/>
    <n v="1.2E-2"/>
    <n v="1.32"/>
    <n v="153.12"/>
    <m/>
    <x v="75"/>
    <s v="PO2526U10309"/>
    <d v="2025-07-03T00:00:00"/>
    <s v="Before shipment"/>
    <s v="EXW"/>
    <m/>
    <m/>
    <m/>
    <n v="0"/>
    <n v="116"/>
    <n v="0"/>
    <m/>
    <m/>
    <m/>
    <m/>
    <m/>
    <m/>
    <m/>
    <m/>
    <d v="1900-01-09T00:00:00"/>
    <m/>
    <m/>
    <m/>
    <m/>
    <m/>
    <m/>
    <m/>
    <m/>
    <s v="EL01-001939"/>
    <m/>
  </r>
  <r>
    <n v="809"/>
    <d v="2025-09-15T00:00:00"/>
    <n v="415600492"/>
    <s v="EL01-001939-2"/>
    <m/>
    <s v="Connector Termination painting"/>
    <s v="1099M269-001"/>
    <m/>
    <m/>
    <n v="116"/>
    <s v="EA"/>
    <n v="110"/>
    <s v="INR"/>
    <n v="1.2E-2"/>
    <n v="1.32"/>
    <n v="153.12"/>
    <m/>
    <x v="75"/>
    <s v="PO2526U10309"/>
    <d v="2025-07-03T00:00:00"/>
    <s v="Before shipment"/>
    <s v="EXW"/>
    <m/>
    <m/>
    <m/>
    <n v="0"/>
    <n v="116"/>
    <n v="0"/>
    <m/>
    <m/>
    <m/>
    <m/>
    <m/>
    <m/>
    <m/>
    <m/>
    <d v="1900-01-09T00:00:00"/>
    <m/>
    <m/>
    <m/>
    <m/>
    <m/>
    <m/>
    <m/>
    <m/>
    <s v="EL01-001939"/>
    <m/>
  </r>
  <r>
    <n v="810"/>
    <d v="2025-12-15T00:00:00"/>
    <n v="415600492"/>
    <s v="EL01-001939-3"/>
    <m/>
    <s v="Connector Termination painting"/>
    <s v="1099M269-001"/>
    <m/>
    <m/>
    <n v="116"/>
    <s v="EA"/>
    <n v="110"/>
    <s v="INR"/>
    <n v="1.2E-2"/>
    <n v="1.32"/>
    <n v="153.12"/>
    <m/>
    <x v="75"/>
    <s v="PO2526U10309"/>
    <d v="2025-07-03T00:00:00"/>
    <s v="Before shipment"/>
    <s v="EXW"/>
    <m/>
    <m/>
    <m/>
    <n v="0"/>
    <n v="116"/>
    <n v="0"/>
    <m/>
    <m/>
    <m/>
    <m/>
    <m/>
    <m/>
    <m/>
    <m/>
    <d v="1900-01-09T00:00:00"/>
    <m/>
    <m/>
    <m/>
    <m/>
    <m/>
    <m/>
    <m/>
    <m/>
    <s v="EL01-001939"/>
    <m/>
  </r>
  <r>
    <n v="811"/>
    <d v="2026-01-15T00:00:00"/>
    <n v="415600492"/>
    <s v="EL01-001939-4"/>
    <m/>
    <s v="Connector Termination painting"/>
    <s v="1099M269-001"/>
    <m/>
    <m/>
    <n v="114"/>
    <s v="EA"/>
    <n v="110"/>
    <s v="INR"/>
    <n v="1.2E-2"/>
    <n v="1.32"/>
    <n v="150.48000000000002"/>
    <m/>
    <x v="75"/>
    <s v="PO2526U10309"/>
    <d v="2025-07-03T00:00:00"/>
    <s v="Before shipment"/>
    <s v="EXW"/>
    <m/>
    <m/>
    <m/>
    <n v="0"/>
    <n v="114"/>
    <n v="0"/>
    <m/>
    <m/>
    <m/>
    <m/>
    <m/>
    <m/>
    <m/>
    <m/>
    <d v="1900-01-09T00:00:00"/>
    <m/>
    <m/>
    <m/>
    <m/>
    <m/>
    <m/>
    <m/>
    <m/>
    <s v="EL01-001939"/>
    <m/>
  </r>
  <r>
    <n v="812"/>
    <d v="2025-07-15T00:00:00"/>
    <m/>
    <s v="EL01-002955"/>
    <m/>
    <s v="SMA push on plug(Adaptor)"/>
    <s v="32K132-S61S5"/>
    <m/>
    <s v="ROSENBERGER"/>
    <n v="300"/>
    <s v="EA"/>
    <n v="29"/>
    <s v="EUR"/>
    <n v="1.1200000000000001"/>
    <n v="32.480000000000004"/>
    <n v="9744.0000000000018"/>
    <m/>
    <x v="32"/>
    <s v="PO2526U10325"/>
    <d v="2025-07-08T00:00:00"/>
    <s v="Net 30 Days"/>
    <s v="EXW"/>
    <m/>
    <m/>
    <m/>
    <n v="0"/>
    <n v="300"/>
    <n v="0"/>
    <m/>
    <m/>
    <m/>
    <m/>
    <m/>
    <m/>
    <m/>
    <m/>
    <d v="1900-01-09T00:00:00"/>
    <m/>
    <m/>
    <m/>
    <m/>
    <m/>
    <m/>
    <m/>
    <m/>
    <s v="EL01-002955"/>
    <m/>
  </r>
  <r>
    <n v="813"/>
    <d v="2025-07-24T00:00:00"/>
    <n v="512314808"/>
    <s v="EL01-002961-1"/>
    <m/>
    <s v="SCREW MACHINE PAN HEAD CRUCIFORM RECESS"/>
    <s v="MS51957-20"/>
    <m/>
    <s v="Kaytech"/>
    <n v="5300"/>
    <s v="EA"/>
    <n v="7.4999999999999997E-2"/>
    <s v="USD"/>
    <n v="1"/>
    <n v="7.4999999999999997E-2"/>
    <n v="397.5"/>
    <s v="VR000099"/>
    <x v="68"/>
    <s v="PO2526U10362"/>
    <d v="2025-07-17T00:00:00"/>
    <s v="100% Advance"/>
    <s v="EXW"/>
    <m/>
    <m/>
    <m/>
    <n v="0"/>
    <n v="5300"/>
    <n v="0"/>
    <m/>
    <m/>
    <m/>
    <m/>
    <m/>
    <m/>
    <m/>
    <m/>
    <d v="1900-01-09T00:00:00"/>
    <m/>
    <m/>
    <m/>
    <m/>
    <m/>
    <m/>
    <m/>
    <m/>
    <s v="EL01-002961"/>
    <m/>
  </r>
  <r>
    <n v="814"/>
    <d v="2025-07-24T00:00:00"/>
    <n v="514201177"/>
    <s v="EL01-000397"/>
    <m/>
    <s v="WASHER,FLAT,PLAIN,REDUCED OD, 2 SIZE,.01"/>
    <s v="NAS620C2"/>
    <m/>
    <s v="NAS/NASM NATIONAL AEROSPACE STD"/>
    <n v="6000"/>
    <s v="EA"/>
    <n v="1.9E-2"/>
    <s v="USD"/>
    <n v="1"/>
    <n v="1.9E-2"/>
    <n v="114"/>
    <s v="VR000099"/>
    <x v="68"/>
    <s v="PO2526U10362"/>
    <d v="2025-07-17T00:00:00"/>
    <s v="100% Advance"/>
    <s v="EXW"/>
    <m/>
    <m/>
    <m/>
    <n v="0"/>
    <n v="6000"/>
    <n v="0"/>
    <m/>
    <m/>
    <m/>
    <m/>
    <m/>
    <m/>
    <m/>
    <m/>
    <d v="1900-01-09T00:00:00"/>
    <m/>
    <m/>
    <m/>
    <m/>
    <m/>
    <m/>
    <m/>
    <m/>
    <s v="EL01-000397"/>
    <m/>
  </r>
  <r>
    <n v="815"/>
    <d v="2025-08-14T00:00:00"/>
    <m/>
    <s v="EL01-002959"/>
    <m/>
    <s v="Broadband Pyramidal Absorber Dims24&quot;x24&quot;x 12&quot;H color: Light Blue"/>
    <s v="AEP-12 LB"/>
    <m/>
    <s v="MVG"/>
    <n v="20"/>
    <s v="EA"/>
    <n v="114"/>
    <s v="USD"/>
    <n v="1"/>
    <n v="114"/>
    <n v="2280"/>
    <m/>
    <x v="76"/>
    <s v="PO2526U10343"/>
    <d v="2025-07-10T00:00:00"/>
    <s v="100% Advance"/>
    <s v="EXW"/>
    <m/>
    <m/>
    <m/>
    <n v="0"/>
    <n v="20"/>
    <n v="0"/>
    <m/>
    <m/>
    <m/>
    <m/>
    <m/>
    <m/>
    <m/>
    <m/>
    <d v="1900-01-09T00:00:00"/>
    <m/>
    <m/>
    <m/>
    <m/>
    <m/>
    <m/>
    <m/>
    <m/>
    <s v="EL01-002959"/>
    <m/>
  </r>
  <r>
    <n v="816"/>
    <d v="2025-08-14T00:00:00"/>
    <m/>
    <s v="EL01-002960"/>
    <m/>
    <s v="Pallet for Absorbers"/>
    <s v="Pallet"/>
    <m/>
    <s v="MVG"/>
    <n v="5"/>
    <s v="EA"/>
    <n v="40"/>
    <s v="USD"/>
    <n v="1"/>
    <n v="40"/>
    <n v="200"/>
    <m/>
    <x v="76"/>
    <s v="PO2526U10343"/>
    <d v="2025-07-10T00:00:00"/>
    <s v="100% Advance"/>
    <s v="EXW"/>
    <m/>
    <m/>
    <m/>
    <n v="0"/>
    <n v="5"/>
    <n v="0"/>
    <m/>
    <m/>
    <m/>
    <m/>
    <m/>
    <m/>
    <m/>
    <m/>
    <d v="1900-01-09T00:00:00"/>
    <m/>
    <m/>
    <m/>
    <m/>
    <m/>
    <m/>
    <m/>
    <m/>
    <s v="EL01-002960"/>
    <m/>
  </r>
  <r>
    <n v="817"/>
    <d v="2025-07-22T00:00:00"/>
    <n v="400176910"/>
    <s v="EL01-000354-5"/>
    <m/>
    <s v="NUT RETAINER,100 DEG. FLUSH HEAD,SLOTTED"/>
    <s v="FT1033-2L"/>
    <m/>
    <s v="FASTENER TECHNOLOGY CORP."/>
    <n v="266"/>
    <s v="EA"/>
    <n v="13.8"/>
    <s v="USD"/>
    <n v="1"/>
    <n v="13.8"/>
    <n v="3670.8"/>
    <m/>
    <x v="45"/>
    <s v="PO2526U10359"/>
    <d v="2025-07-15T00:00:00"/>
    <s v="100% Advance"/>
    <s v="EXW"/>
    <m/>
    <m/>
    <m/>
    <n v="0"/>
    <n v="266"/>
    <n v="0"/>
    <m/>
    <m/>
    <m/>
    <m/>
    <m/>
    <m/>
    <m/>
    <m/>
    <d v="1900-01-09T00:00:00"/>
    <m/>
    <m/>
    <m/>
    <m/>
    <s v="Ordered FT1033-2L which is alternate for D791639-8/10-B"/>
    <m/>
    <m/>
    <m/>
    <s v="EL01-000354"/>
    <m/>
  </r>
  <r>
    <n v="818"/>
    <d v="2025-07-22T00:00:00"/>
    <n v="408602563"/>
    <s v="EL01-001981-1"/>
    <m/>
    <s v="VPIN LIMITER 200W 2-4GHZ"/>
    <s v="1096U900-001"/>
    <s v="-"/>
    <s v="ELTA Spec"/>
    <n v="783"/>
    <s v="EA"/>
    <n v="202"/>
    <s v="USD"/>
    <n v="1"/>
    <n v="202"/>
    <n v="158166"/>
    <m/>
    <x v="70"/>
    <s v="PO2526U10371"/>
    <d v="2025-07-22T00:00:00"/>
    <s v="As agreed"/>
    <s v="EXW"/>
    <m/>
    <m/>
    <m/>
    <n v="0"/>
    <n v="783"/>
    <n v="0"/>
    <m/>
    <m/>
    <m/>
    <m/>
    <m/>
    <m/>
    <m/>
    <m/>
    <d v="1900-01-09T00:00:00"/>
    <m/>
    <m/>
    <m/>
    <m/>
    <m/>
    <m/>
    <m/>
    <m/>
    <s v="EL01-001981"/>
    <m/>
  </r>
  <r>
    <n v="819"/>
    <d v="2025-07-22T00:00:00"/>
    <n v="400176910"/>
    <s v="EL01-000354-6"/>
    <m/>
    <s v="NUT RETAINER,100 DEG. FLUSH HEAD,SLOTTED"/>
    <s v="FT1033-2L"/>
    <m/>
    <s v="FASTENER TECHNOLOGY CORP."/>
    <n v="440"/>
    <s v="EA"/>
    <n v="11.3"/>
    <s v="USD"/>
    <n v="1"/>
    <n v="11.3"/>
    <n v="4972"/>
    <m/>
    <x v="70"/>
    <s v="PO2526U10371"/>
    <d v="2025-07-22T00:00:00"/>
    <s v="As agreed"/>
    <s v="EXW"/>
    <m/>
    <m/>
    <m/>
    <n v="0"/>
    <n v="440"/>
    <n v="0"/>
    <m/>
    <m/>
    <m/>
    <m/>
    <m/>
    <m/>
    <m/>
    <m/>
    <d v="1900-01-09T00:00:00"/>
    <m/>
    <m/>
    <m/>
    <m/>
    <s v="Ordered FT1033-2L which is alternate for D791639-8/10-B"/>
    <m/>
    <m/>
    <m/>
    <s v="EL01-000354"/>
    <m/>
  </r>
  <r>
    <n v="820"/>
    <d v="2025-07-28T00:00:00"/>
    <n v="400350238"/>
    <s v="EL01-000319-5"/>
    <m/>
    <s v="CONN RECT RECEPT 40 DIFFERTIAL PAIRS,"/>
    <s v="1469362-1"/>
    <m/>
    <s v="TE CONNECTIVITY"/>
    <n v="27"/>
    <s v="EA"/>
    <n v="59.58"/>
    <s v="USD"/>
    <n v="1"/>
    <n v="59.58"/>
    <n v="1608.6599999999999"/>
    <m/>
    <x v="77"/>
    <s v="PO2526U10374"/>
    <d v="2025-07-23T00:00:00"/>
    <s v="Net 30 Days"/>
    <s v="EXW"/>
    <s v="Yes"/>
    <m/>
    <m/>
    <n v="0"/>
    <n v="27"/>
    <n v="0"/>
    <m/>
    <m/>
    <m/>
    <m/>
    <m/>
    <m/>
    <m/>
    <m/>
    <d v="1900-01-09T00:00:00"/>
    <m/>
    <m/>
    <m/>
    <m/>
    <m/>
    <m/>
    <m/>
    <m/>
    <s v="EL01-000319"/>
    <m/>
  </r>
  <r>
    <n v="821"/>
    <d v="2025-07-30T00:00:00"/>
    <m/>
    <s v="EL01-000443"/>
    <m/>
    <s v="SCOTCHWELD-2216 B/A_x000a_GREY EPOXY ADHESIVE IN"/>
    <s v="3M EC 2216 B/A GRAY"/>
    <m/>
    <s v="3M MINNESOTA MINING &amp; MFG"/>
    <n v="1"/>
    <s v="GM"/>
    <n v="24500"/>
    <s v="INR"/>
    <n v="1.2E-2"/>
    <n v="294"/>
    <n v="294"/>
    <m/>
    <x v="78"/>
    <s v="PO2526U10376"/>
    <d v="2025-07-28T00:00:00"/>
    <s v="Net 30 Days"/>
    <s v="EXW"/>
    <m/>
    <m/>
    <m/>
    <n v="0"/>
    <n v="1"/>
    <n v="0"/>
    <m/>
    <m/>
    <m/>
    <m/>
    <m/>
    <m/>
    <m/>
    <m/>
    <d v="1900-01-09T00:00:00"/>
    <m/>
    <m/>
    <m/>
    <m/>
    <m/>
    <m/>
    <m/>
    <m/>
    <s v="EL01-000443"/>
    <m/>
  </r>
  <r>
    <n v="822"/>
    <d v="2025-08-05T00:00:00"/>
    <m/>
    <s v="GE01-001420"/>
    <m/>
    <s v="FED-STD-595C COLOR CHIP (Individual) (24084) "/>
    <s v="FS-595C-SINGL"/>
    <m/>
    <m/>
    <n v="1"/>
    <s v="EA"/>
    <n v="35"/>
    <s v="USD"/>
    <n v="1"/>
    <n v="35"/>
    <n v="35"/>
    <m/>
    <x v="79"/>
    <s v="PO2526U20170"/>
    <d v="2025-08-01T00:00:00"/>
    <s v="100% Advance"/>
    <s v="DAP"/>
    <m/>
    <m/>
    <m/>
    <n v="0"/>
    <n v="1"/>
    <n v="0"/>
    <m/>
    <m/>
    <m/>
    <m/>
    <m/>
    <m/>
    <m/>
    <m/>
    <d v="1900-01-09T00:00:00"/>
    <m/>
    <m/>
    <m/>
    <m/>
    <m/>
    <m/>
    <m/>
    <m/>
    <s v="GE01-001420"/>
    <m/>
  </r>
  <r>
    <n v="823"/>
    <d v="2025-08-05T00:00:00"/>
    <m/>
    <s v="GE01-001421"/>
    <m/>
    <s v="FED-STD-595C FAN DECK "/>
    <s v="FS-595C-DECK"/>
    <m/>
    <m/>
    <n v="1"/>
    <s v="EA"/>
    <n v="158"/>
    <s v="USD"/>
    <n v="1"/>
    <n v="158"/>
    <n v="158"/>
    <m/>
    <x v="79"/>
    <s v="PO2526U20170"/>
    <d v="2025-08-01T00:00:00"/>
    <s v="100% Advance"/>
    <s v="DAP"/>
    <m/>
    <m/>
    <m/>
    <n v="0"/>
    <n v="1"/>
    <n v="0"/>
    <m/>
    <m/>
    <m/>
    <m/>
    <m/>
    <m/>
    <m/>
    <m/>
    <d v="1900-01-09T00:00:00"/>
    <m/>
    <m/>
    <m/>
    <m/>
    <m/>
    <m/>
    <m/>
    <m/>
    <s v="GE01-001421"/>
    <m/>
  </r>
  <r>
    <n v="824"/>
    <d v="2025-07-15T00:00:00"/>
    <m/>
    <s v="GE01-001409"/>
    <m/>
    <s v="Cable"/>
    <s v="CLS26-35M35F-2.0M"/>
    <m/>
    <s v="Times Microwave"/>
    <n v="6"/>
    <s v="No's"/>
    <n v="40000"/>
    <s v="INR"/>
    <n v="1.2E-2"/>
    <n v="480"/>
    <n v="2880"/>
    <m/>
    <x v="80"/>
    <s v="PO2526U10222"/>
    <d v="2025-06-18T00:00:00"/>
    <s v="Before shipment"/>
    <s v="DAP"/>
    <m/>
    <m/>
    <m/>
    <n v="0"/>
    <n v="6"/>
    <n v="0"/>
    <m/>
    <m/>
    <m/>
    <m/>
    <m/>
    <m/>
    <m/>
    <m/>
    <d v="1900-01-09T00:00:00"/>
    <m/>
    <m/>
    <m/>
    <m/>
    <m/>
    <m/>
    <m/>
    <m/>
    <s v="GE01-001409"/>
    <m/>
  </r>
  <r>
    <n v="825"/>
    <d v="2025-08-06T00:00:00"/>
    <n v="411422280"/>
    <s v="EL01-001918-5"/>
    <m/>
    <s v="SDPS MMIC F/A NR"/>
    <s v="1097R490-001"/>
    <s v="-"/>
    <s v="ELTA Spec"/>
    <n v="500"/>
    <s v="No's"/>
    <n v="160"/>
    <s v="USD"/>
    <n v="1"/>
    <n v="160"/>
    <n v="80000"/>
    <m/>
    <x v="70"/>
    <s v="PO2526U10408"/>
    <d v="2025-08-06T00:00:00"/>
    <s v="As agreed"/>
    <s v="EXW"/>
    <m/>
    <m/>
    <m/>
    <n v="0"/>
    <n v="500"/>
    <n v="0"/>
    <m/>
    <m/>
    <m/>
    <m/>
    <m/>
    <m/>
    <m/>
    <m/>
    <d v="1900-01-09T00:00:00"/>
    <m/>
    <m/>
    <m/>
    <m/>
    <m/>
    <m/>
    <m/>
    <m/>
    <s v="EL01-001918"/>
    <m/>
  </r>
  <r>
    <n v="826"/>
    <d v="2025-08-14T00:00:00"/>
    <n v="417493560"/>
    <s v="EL01-001891-1"/>
    <m/>
    <s v="POWER FILTER ASSY"/>
    <s v="1093L847-001"/>
    <s v="B"/>
    <s v="ELTA Spec"/>
    <n v="40"/>
    <s v="EA"/>
    <n v="185"/>
    <s v="USD"/>
    <n v="1"/>
    <n v="185"/>
    <n v="7400"/>
    <m/>
    <x v="70"/>
    <s v="PO2526U10418"/>
    <d v="2025-08-11T00:00:00"/>
    <s v="As agreed"/>
    <s v="EXW"/>
    <m/>
    <m/>
    <m/>
    <n v="0"/>
    <n v="40"/>
    <n v="0"/>
    <m/>
    <m/>
    <m/>
    <m/>
    <m/>
    <m/>
    <m/>
    <m/>
    <d v="1900-01-09T00:00:00"/>
    <m/>
    <m/>
    <m/>
    <m/>
    <m/>
    <m/>
    <m/>
    <m/>
    <s v="EL01-001891"/>
    <m/>
  </r>
  <r>
    <n v="827"/>
    <d v="2025-08-14T00:00:00"/>
    <n v="402731978"/>
    <s v="EL01-000327-1"/>
    <m/>
    <s v="SMR CF W/BOOTLOADER"/>
    <s v="1033A299-001"/>
    <s v="-"/>
    <s v="ELTA Spec"/>
    <n v="20"/>
    <s v="EA"/>
    <n v="74"/>
    <s v="USD"/>
    <n v="1"/>
    <n v="74"/>
    <n v="1480"/>
    <m/>
    <x v="70"/>
    <s v="PO2526U10418"/>
    <d v="2025-08-11T00:00:00"/>
    <s v="As agreed"/>
    <s v="EXW"/>
    <m/>
    <m/>
    <m/>
    <n v="0"/>
    <n v="20"/>
    <n v="0"/>
    <m/>
    <m/>
    <m/>
    <m/>
    <m/>
    <m/>
    <m/>
    <m/>
    <d v="1900-01-09T00:00:00"/>
    <m/>
    <m/>
    <m/>
    <m/>
    <m/>
    <m/>
    <m/>
    <m/>
    <s v="EL01-000327"/>
    <m/>
  </r>
  <r>
    <n v="828"/>
    <d v="2025-06-24T00:00:00"/>
    <n v="401625706"/>
    <s v="EL01-000415-3"/>
    <m/>
    <s v="4-WAY SMA POWER SPLITTER 1.7-4.2GHZ"/>
    <s v="ZB4PD-42-S+"/>
    <m/>
    <s v="Minicircuits"/>
    <n v="15"/>
    <s v="EA"/>
    <n v="4000"/>
    <s v="USD"/>
    <n v="1"/>
    <n v="4000"/>
    <n v="60000"/>
    <m/>
    <x v="70"/>
    <s v="PO2526U10418"/>
    <d v="2025-08-11T00:00:00"/>
    <s v="As agreed"/>
    <s v="EXW"/>
    <m/>
    <m/>
    <m/>
    <n v="0"/>
    <n v="15"/>
    <n v="0"/>
    <m/>
    <m/>
    <m/>
    <m/>
    <m/>
    <m/>
    <m/>
    <m/>
    <d v="1900-01-09T00:00:00"/>
    <m/>
    <m/>
    <m/>
    <m/>
    <m/>
    <m/>
    <m/>
    <m/>
    <s v="EL01-000415"/>
    <m/>
  </r>
  <r>
    <n v="829"/>
    <d v="2025-06-24T00:00:00"/>
    <n v="403830848"/>
    <s v="EL01-000315-2"/>
    <m/>
    <s v="SHLK. ANT. FINAL ASSEMBLY. GREEN OLIVE."/>
    <s v="1099E950-001"/>
    <s v="B"/>
    <s v="ELTA Spec"/>
    <n v="2"/>
    <s v="EA"/>
    <n v="78000"/>
    <s v="USD"/>
    <n v="1"/>
    <n v="78000"/>
    <n v="156000"/>
    <m/>
    <x v="70"/>
    <s v="PO2526U10418"/>
    <d v="2025-08-11T00:00:00"/>
    <s v="As agreed"/>
    <s v="EXW"/>
    <m/>
    <m/>
    <m/>
    <n v="0"/>
    <n v="2"/>
    <n v="0"/>
    <m/>
    <m/>
    <m/>
    <m/>
    <m/>
    <m/>
    <m/>
    <m/>
    <d v="1900-01-09T00:00:00"/>
    <m/>
    <m/>
    <m/>
    <m/>
    <m/>
    <m/>
    <m/>
    <m/>
    <s v="EL01-000315"/>
    <m/>
  </r>
  <r>
    <n v="830"/>
    <d v="2025-06-24T00:00:00"/>
    <n v="409480711"/>
    <s v="EL01-002033-2"/>
    <m/>
    <s v="POWER SUPPLY"/>
    <s v="6931A250-001"/>
    <s v="A"/>
    <s v="ELTA Spec"/>
    <n v="10"/>
    <s v="EA"/>
    <n v="35000"/>
    <s v="USD"/>
    <n v="1"/>
    <n v="35000"/>
    <n v="350000"/>
    <m/>
    <x v="70"/>
    <s v="PO2526U10418"/>
    <d v="2025-08-11T00:00:00"/>
    <s v="As agreed"/>
    <s v="EXW"/>
    <m/>
    <m/>
    <m/>
    <n v="0"/>
    <n v="10"/>
    <n v="0"/>
    <m/>
    <m/>
    <m/>
    <m/>
    <m/>
    <m/>
    <m/>
    <m/>
    <d v="1900-01-09T00:00:00"/>
    <m/>
    <m/>
    <m/>
    <m/>
    <m/>
    <m/>
    <m/>
    <m/>
    <s v="EL01-002033"/>
    <m/>
  </r>
  <r>
    <n v="831"/>
    <d v="2025-06-24T00:00:00"/>
    <n v="410790321"/>
    <s v="EL01-002034-2"/>
    <m/>
    <s v="OSCILLATOR (OSC)"/>
    <s v="6931A350-001"/>
    <s v="-"/>
    <s v="ELTA Spec"/>
    <n v="10"/>
    <s v="EA"/>
    <n v="12000"/>
    <s v="USD"/>
    <n v="1"/>
    <n v="12000"/>
    <n v="120000"/>
    <m/>
    <x v="70"/>
    <s v="PO2526U10418"/>
    <d v="2025-08-11T00:00:00"/>
    <s v="As agreed"/>
    <s v="EXW"/>
    <m/>
    <m/>
    <m/>
    <n v="0"/>
    <n v="10"/>
    <n v="0"/>
    <m/>
    <m/>
    <m/>
    <m/>
    <m/>
    <m/>
    <m/>
    <m/>
    <d v="1900-01-09T00:00:00"/>
    <m/>
    <m/>
    <m/>
    <m/>
    <m/>
    <m/>
    <m/>
    <m/>
    <s v="EL01-002034"/>
    <m/>
  </r>
  <r>
    <n v="832"/>
    <d v="2025-06-24T00:00:00"/>
    <n v="410790355"/>
    <s v="EL01-002035-3"/>
    <m/>
    <s v="COMBINER"/>
    <s v="6931A400-001"/>
    <s v="-"/>
    <s v="ELTA Spec"/>
    <n v="10"/>
    <s v="EA"/>
    <n v="8000"/>
    <s v="USD"/>
    <n v="1"/>
    <n v="8000"/>
    <n v="80000"/>
    <m/>
    <x v="70"/>
    <s v="PO2526U10418"/>
    <d v="2025-08-11T00:00:00"/>
    <s v="As agreed"/>
    <s v="EXW"/>
    <m/>
    <m/>
    <m/>
    <n v="0"/>
    <n v="10"/>
    <n v="0"/>
    <m/>
    <m/>
    <m/>
    <m/>
    <m/>
    <m/>
    <m/>
    <m/>
    <d v="1900-01-09T00:00:00"/>
    <m/>
    <m/>
    <m/>
    <m/>
    <m/>
    <m/>
    <m/>
    <m/>
    <s v="EL01-002035"/>
    <m/>
  </r>
  <r>
    <n v="833"/>
    <d v="2025-06-24T00:00:00"/>
    <s v="409759511/412630526"/>
    <s v="EL01-002026-1"/>
    <m/>
    <s v="PC ASSY SMR  5W"/>
    <s v="6931A550-001"/>
    <s v="-"/>
    <s v="ELTA Spec"/>
    <n v="6"/>
    <s v="EA"/>
    <n v="78200"/>
    <s v="USD"/>
    <n v="1"/>
    <n v="78200"/>
    <n v="469200"/>
    <m/>
    <x v="70"/>
    <s v="PO2526U10418"/>
    <d v="2025-08-11T00:00:00"/>
    <s v="As agreed"/>
    <s v="EXW"/>
    <m/>
    <m/>
    <m/>
    <n v="0"/>
    <n v="6"/>
    <n v="0"/>
    <m/>
    <m/>
    <m/>
    <m/>
    <m/>
    <m/>
    <m/>
    <m/>
    <d v="1900-01-09T00:00:00"/>
    <m/>
    <m/>
    <m/>
    <m/>
    <m/>
    <m/>
    <m/>
    <m/>
    <s v="EL01-002026"/>
    <m/>
  </r>
  <r>
    <n v="834"/>
    <d v="2025-08-14T00:00:00"/>
    <n v="417967195"/>
    <s v="EL01-000328-2"/>
    <m/>
    <s v="RSP F/ASSY"/>
    <s v="1039F502-001"/>
    <n v="-1"/>
    <s v="ELTA Spec"/>
    <n v="10"/>
    <s v="EA"/>
    <n v="18000"/>
    <s v="USD"/>
    <n v="1"/>
    <n v="18000"/>
    <n v="180000"/>
    <m/>
    <x v="70"/>
    <s v="PO2526U10418"/>
    <d v="2025-08-11T00:00:00"/>
    <s v="As agreed"/>
    <s v="EXW"/>
    <m/>
    <m/>
    <m/>
    <n v="0"/>
    <n v="10"/>
    <n v="0"/>
    <m/>
    <m/>
    <m/>
    <m/>
    <m/>
    <m/>
    <m/>
    <m/>
    <d v="1900-01-09T00:00:00"/>
    <m/>
    <m/>
    <m/>
    <m/>
    <m/>
    <m/>
    <m/>
    <m/>
    <s v="EL01-000328"/>
    <m/>
  </r>
  <r>
    <n v="835"/>
    <d v="2025-08-14T00:00:00"/>
    <n v="417493560"/>
    <s v="EL01-001891-2"/>
    <m/>
    <s v="POWER FILTER ASSY"/>
    <s v="1093L847-001"/>
    <s v="B"/>
    <s v="ELTA Spec"/>
    <n v="40"/>
    <s v="EA"/>
    <n v="185"/>
    <s v="USD"/>
    <n v="1"/>
    <n v="185"/>
    <n v="7400"/>
    <m/>
    <x v="70"/>
    <s v="PO2526U10418"/>
    <d v="2025-08-11T00:00:00"/>
    <s v="As agreed"/>
    <s v="EXW"/>
    <m/>
    <m/>
    <m/>
    <n v="0"/>
    <n v="40"/>
    <n v="0"/>
    <m/>
    <m/>
    <m/>
    <m/>
    <m/>
    <m/>
    <m/>
    <m/>
    <d v="1900-01-09T00:00:00"/>
    <m/>
    <m/>
    <m/>
    <m/>
    <m/>
    <m/>
    <m/>
    <m/>
    <s v="EL01-001891"/>
    <m/>
  </r>
  <r>
    <n v="836"/>
    <d v="2025-06-24T00:00:00"/>
    <n v="417493560"/>
    <s v="EL01-001891-3"/>
    <m/>
    <s v="POWER FILTER ASSY"/>
    <s v="1093L847-001"/>
    <s v="B"/>
    <s v="ELTA Spec"/>
    <n v="80"/>
    <s v="EA"/>
    <n v="185"/>
    <s v="USD"/>
    <n v="1"/>
    <n v="185"/>
    <n v="14800"/>
    <m/>
    <x v="70"/>
    <s v="PO2526U10418"/>
    <d v="2025-08-11T00:00:00"/>
    <s v="As agreed"/>
    <s v="EXW"/>
    <m/>
    <m/>
    <m/>
    <n v="0"/>
    <n v="80"/>
    <n v="0"/>
    <m/>
    <m/>
    <m/>
    <m/>
    <m/>
    <m/>
    <m/>
    <m/>
    <d v="1900-01-09T00:00:00"/>
    <m/>
    <m/>
    <m/>
    <m/>
    <m/>
    <m/>
    <m/>
    <m/>
    <s v="EL01-001891"/>
    <m/>
  </r>
  <r>
    <n v="837"/>
    <d v="2025-06-24T00:00:00"/>
    <s v="409759511/412630526"/>
    <s v="EL01-002026-2"/>
    <m/>
    <s v="PC ASSY SMR  5W"/>
    <s v="6931A550-001"/>
    <s v="-"/>
    <s v="ELTA Spec"/>
    <n v="12"/>
    <s v="EA"/>
    <n v="78200"/>
    <s v="USD"/>
    <n v="1"/>
    <n v="78200"/>
    <n v="938400"/>
    <m/>
    <x v="70"/>
    <s v="PO2526U10418"/>
    <d v="2025-08-11T00:00:00"/>
    <s v="As agreed"/>
    <s v="EXW"/>
    <m/>
    <m/>
    <m/>
    <n v="0"/>
    <n v="12"/>
    <n v="0"/>
    <m/>
    <m/>
    <m/>
    <m/>
    <m/>
    <m/>
    <m/>
    <m/>
    <d v="1900-01-09T00:00:00"/>
    <m/>
    <m/>
    <m/>
    <m/>
    <m/>
    <m/>
    <m/>
    <m/>
    <s v="EL01-002026"/>
    <m/>
  </r>
  <r>
    <n v="838"/>
    <d v="2025-08-18T00:00:00"/>
    <m/>
    <s v="EL01-002967"/>
    <m/>
    <s v="1/2 Watt Load 50 OHM"/>
    <s v="101M955118(REV-E)"/>
    <s v="E"/>
    <s v="HLT"/>
    <n v="420"/>
    <s v="EA"/>
    <n v="6.5"/>
    <s v="USD"/>
    <n v="1"/>
    <n v="6.5"/>
    <n v="2730"/>
    <m/>
    <x v="27"/>
    <s v="PO2526U10416"/>
    <d v="2025-08-11T00:00:00"/>
    <s v="As agreed"/>
    <s v="EXW"/>
    <m/>
    <m/>
    <m/>
    <n v="0"/>
    <n v="420"/>
    <n v="0"/>
    <m/>
    <m/>
    <m/>
    <m/>
    <m/>
    <m/>
    <m/>
    <m/>
    <d v="1900-01-09T00:00:00"/>
    <m/>
    <m/>
    <m/>
    <m/>
    <m/>
    <m/>
    <m/>
    <m/>
    <s v="EL01-002967"/>
    <m/>
  </r>
  <r>
    <n v="839"/>
    <d v="2025-08-18T00:00:00"/>
    <m/>
    <s v="EL01-002968"/>
    <m/>
    <s v="SMA-F to BMA-M PLUG"/>
    <s v="160-A010/188(SF0)"/>
    <m/>
    <s v="HLT"/>
    <n v="140"/>
    <s v="EA"/>
    <n v="38.93"/>
    <s v="USD"/>
    <n v="1"/>
    <n v="38.93"/>
    <n v="5450.2"/>
    <m/>
    <x v="27"/>
    <s v="PO2526U10416"/>
    <d v="2025-08-11T00:00:00"/>
    <s v="As agreed"/>
    <s v="EXW"/>
    <m/>
    <m/>
    <m/>
    <n v="0"/>
    <n v="140"/>
    <n v="0"/>
    <m/>
    <m/>
    <m/>
    <m/>
    <m/>
    <m/>
    <m/>
    <m/>
    <d v="1900-01-09T00:00:00"/>
    <m/>
    <m/>
    <m/>
    <m/>
    <m/>
    <m/>
    <m/>
    <m/>
    <s v="EL01-002968"/>
    <m/>
  </r>
  <r>
    <n v="840"/>
    <d v="2025-08-18T00:00:00"/>
    <m/>
    <s v="EL01-002969"/>
    <m/>
    <s v="3.5 mm male to SMA male Adapter"/>
    <s v="ADU1-35M1-SMM1"/>
    <m/>
    <s v="HLT"/>
    <n v="10"/>
    <s v="EA"/>
    <n v="78.7"/>
    <s v="USD"/>
    <n v="1"/>
    <n v="78.7"/>
    <n v="787"/>
    <m/>
    <x v="27"/>
    <s v="PO2526U10416"/>
    <d v="2025-08-11T00:00:00"/>
    <s v="As agreed"/>
    <s v="EXW"/>
    <m/>
    <m/>
    <m/>
    <n v="0"/>
    <n v="10"/>
    <n v="0"/>
    <m/>
    <m/>
    <m/>
    <m/>
    <m/>
    <m/>
    <m/>
    <m/>
    <d v="1900-01-09T00:00:00"/>
    <m/>
    <m/>
    <m/>
    <m/>
    <m/>
    <m/>
    <m/>
    <m/>
    <s v="EL01-002969"/>
    <m/>
  </r>
  <r>
    <n v="841"/>
    <m/>
    <m/>
    <m/>
    <m/>
    <s v="ICARRIA II GX FPGA"/>
    <s v="EP2AGX65DF29I5"/>
    <m/>
    <s v="ELTA Spec"/>
    <n v="661"/>
    <s v="EA"/>
    <n v="125"/>
    <s v="USD"/>
    <n v="1"/>
    <n v="125"/>
    <n v="82625"/>
    <m/>
    <x v="70"/>
    <m/>
    <d v="2025-08-18T00:00:00"/>
    <s v="As agreed"/>
    <m/>
    <m/>
    <m/>
    <m/>
    <n v="0"/>
    <n v="0"/>
    <n v="661"/>
    <m/>
    <m/>
    <m/>
    <m/>
    <m/>
    <m/>
    <m/>
    <m/>
    <d v="1900-01-09T00:00:00"/>
    <m/>
    <m/>
    <m/>
    <m/>
    <m/>
    <m/>
    <m/>
    <m/>
    <s v=""/>
    <n v="82625"/>
  </r>
  <r>
    <n v="842"/>
    <d v="2025-08-25T00:00:00"/>
    <n v="512314808"/>
    <s v="EL01-002961-2"/>
    <m/>
    <s v="SCREW MACHINE PAN HEAD CRUCIFORM RECESS"/>
    <s v="MS51957-20"/>
    <m/>
    <s v="Kaytech"/>
    <n v="400"/>
    <s v="EA"/>
    <n v="0.33"/>
    <s v="USD"/>
    <n v="1"/>
    <n v="0.33"/>
    <n v="132"/>
    <m/>
    <x v="81"/>
    <s v="PO2526U10433"/>
    <d v="2025-08-18T00:00:00"/>
    <s v="100% Advance"/>
    <s v="EXW"/>
    <m/>
    <m/>
    <s v="Done"/>
    <n v="0"/>
    <n v="400"/>
    <n v="0"/>
    <m/>
    <m/>
    <m/>
    <m/>
    <m/>
    <m/>
    <m/>
    <m/>
    <d v="1900-01-09T00:00:00"/>
    <m/>
    <m/>
    <m/>
    <m/>
    <m/>
    <m/>
    <m/>
    <m/>
    <s v="EL01-002961"/>
    <m/>
  </r>
  <r>
    <n v="843"/>
    <m/>
    <m/>
    <s v="EL01-002970"/>
    <m/>
    <s v="HEXPLY 913G-7781-37% DP 50&quot; (MS040029) M2"/>
    <s v="4729130VR"/>
    <m/>
    <s v="IMCD"/>
    <n v="567"/>
    <s v="Sqm"/>
    <n v="80.8"/>
    <s v="EUR"/>
    <n v="1.1200000000000001"/>
    <n v="90.496000000000009"/>
    <n v="51311.232000000004"/>
    <m/>
    <x v="82"/>
    <s v="PO2526U10415"/>
    <d v="2025-08-11T00:00:00"/>
    <s v="100% Advance"/>
    <s v="DAP"/>
    <m/>
    <m/>
    <m/>
    <n v="0"/>
    <n v="567"/>
    <n v="0"/>
    <m/>
    <m/>
    <m/>
    <m/>
    <m/>
    <m/>
    <m/>
    <m/>
    <d v="1900-01-09T00:00:00"/>
    <m/>
    <m/>
    <m/>
    <m/>
    <m/>
    <m/>
    <m/>
    <m/>
    <s v="EL01-002970"/>
    <m/>
  </r>
  <r>
    <n v="844"/>
    <d v="2025-10-30T00:00:00"/>
    <m/>
    <s v="EL01-002980"/>
    <m/>
    <s v="16 Way Power Divider"/>
    <s v="TGP-A1632"/>
    <m/>
    <s v="Tiger"/>
    <n v="2"/>
    <s v="EA"/>
    <n v="1350"/>
    <s v="USD"/>
    <n v="1"/>
    <n v="1350"/>
    <n v="2700"/>
    <m/>
    <x v="83"/>
    <s v="PO2526U10455"/>
    <d v="2025-08-26T00:00:00"/>
    <s v="Before shipment"/>
    <s v="EXW"/>
    <s v="Yes"/>
    <m/>
    <m/>
    <n v="0"/>
    <n v="2"/>
    <n v="0"/>
    <m/>
    <m/>
    <m/>
    <m/>
    <m/>
    <m/>
    <m/>
    <m/>
    <d v="1900-01-09T00:00:00"/>
    <m/>
    <m/>
    <m/>
    <m/>
    <m/>
    <m/>
    <m/>
    <m/>
    <s v="EL01-002980"/>
    <m/>
  </r>
  <r>
    <n v="845"/>
    <d v="2025-09-12T00:00:00"/>
    <m/>
    <s v="EL01-002997"/>
    <m/>
    <s v="EXTEND TO CONN. - 3"/>
    <s v="1024Y988-001"/>
    <m/>
    <s v="LGG tools"/>
    <n v="10"/>
    <s v="EA"/>
    <n v="6480"/>
    <s v="INR"/>
    <n v="1.2E-2"/>
    <n v="77.760000000000005"/>
    <n v="64800"/>
    <m/>
    <x v="84"/>
    <s v="PO2526U10463"/>
    <d v="2025-09-04T00:00:00"/>
    <s v="Net 60 days "/>
    <s v="DAP"/>
    <s v="Yes"/>
    <m/>
    <m/>
    <n v="0"/>
    <n v="0"/>
    <n v="10"/>
    <n v="10"/>
    <m/>
    <m/>
    <m/>
    <d v="2025-11-20T00:00:00"/>
    <m/>
    <m/>
    <m/>
    <d v="2025-11-30T00:00:00"/>
    <m/>
    <m/>
    <m/>
    <m/>
    <m/>
    <m/>
    <m/>
    <m/>
    <s v="EL01-002997"/>
    <n v="777.6"/>
  </r>
  <r>
    <n v="846"/>
    <d v="2025-09-12T00:00:00"/>
    <m/>
    <s v="EL01-002998"/>
    <m/>
    <s v="TOOL FOR CONN 24BMA-50-2-7"/>
    <s v="1092J088-001"/>
    <m/>
    <s v="LGG tools"/>
    <n v="10"/>
    <s v="EA"/>
    <n v="6120"/>
    <s v="INR"/>
    <n v="1.2E-2"/>
    <n v="73.44"/>
    <n v="61200"/>
    <m/>
    <x v="84"/>
    <s v="PO2526U10463"/>
    <d v="2025-09-04T00:00:00"/>
    <s v="Net 60 days "/>
    <s v="DAP"/>
    <s v="Yes"/>
    <m/>
    <m/>
    <n v="0"/>
    <n v="0"/>
    <n v="10"/>
    <n v="10"/>
    <m/>
    <m/>
    <m/>
    <d v="2025-11-20T00:00:00"/>
    <m/>
    <m/>
    <m/>
    <d v="2025-11-30T00:00:00"/>
    <m/>
    <m/>
    <m/>
    <m/>
    <m/>
    <m/>
    <m/>
    <m/>
    <s v="EL01-002998"/>
    <n v="734.4"/>
  </r>
  <r>
    <n v="847"/>
    <d v="2025-09-12T00:00:00"/>
    <m/>
    <s v="EL01-002999"/>
    <m/>
    <s v="TOOL-A FOR BMA_x000a_CONNECTOR"/>
    <s v="1096L966-001"/>
    <m/>
    <s v="LGG tools"/>
    <n v="10"/>
    <s v="EA"/>
    <n v="7740"/>
    <s v="INR"/>
    <n v="1.2E-2"/>
    <n v="92.88"/>
    <n v="77400"/>
    <m/>
    <x v="84"/>
    <s v="PO2526U10463"/>
    <d v="2025-09-04T00:00:00"/>
    <s v="Net 60 days "/>
    <s v="DAP"/>
    <s v="Yes"/>
    <m/>
    <m/>
    <n v="0"/>
    <n v="0"/>
    <n v="10"/>
    <n v="10"/>
    <m/>
    <m/>
    <m/>
    <d v="2025-11-20T00:00:00"/>
    <m/>
    <m/>
    <m/>
    <d v="2025-11-30T00:00:00"/>
    <m/>
    <m/>
    <m/>
    <m/>
    <m/>
    <m/>
    <m/>
    <m/>
    <s v="EL01-002999"/>
    <n v="928.8"/>
  </r>
  <r>
    <n v="848"/>
    <d v="2025-09-12T00:00:00"/>
    <m/>
    <s v="EL01-003000"/>
    <m/>
    <s v="TOOL-B FOR BMA_x000a_CONNECTOR"/>
    <s v="1096L967-001"/>
    <m/>
    <s v="LGG tools"/>
    <n v="10"/>
    <s v="EA"/>
    <n v="7740"/>
    <s v="INR"/>
    <n v="1.2E-2"/>
    <n v="92.88"/>
    <n v="77400"/>
    <m/>
    <x v="84"/>
    <s v="PO2526U10463"/>
    <d v="2025-09-04T00:00:00"/>
    <s v="Net 60 days "/>
    <s v="DAP"/>
    <s v="Yes"/>
    <m/>
    <m/>
    <n v="0"/>
    <n v="0"/>
    <n v="10"/>
    <n v="10"/>
    <m/>
    <m/>
    <m/>
    <d v="2025-11-20T00:00:00"/>
    <m/>
    <m/>
    <m/>
    <d v="2025-11-30T00:00:00"/>
    <m/>
    <m/>
    <m/>
    <m/>
    <m/>
    <m/>
    <m/>
    <m/>
    <s v="EL01-003000"/>
    <n v="928.8"/>
  </r>
  <r>
    <n v="849"/>
    <d v="2025-09-18T00:00:00"/>
    <n v="529000002"/>
    <s v="EL01-002996"/>
    <m/>
    <s v="NUT RETAINER,100 DEG. FLUSH HEAD,SLOTTED"/>
    <s v="FT1033-3"/>
    <m/>
    <s v="FTC"/>
    <m/>
    <s v="EA"/>
    <n v="9.7799999999999994"/>
    <s v="USD"/>
    <n v="1"/>
    <n v="9.7799999999999994"/>
    <n v="0"/>
    <m/>
    <x v="85"/>
    <s v="PO2526U10466"/>
    <d v="2025-09-08T00:00:00"/>
    <s v="100% Advance"/>
    <s v="DAP"/>
    <m/>
    <m/>
    <m/>
    <n v="0"/>
    <n v="0"/>
    <n v="0"/>
    <m/>
    <m/>
    <m/>
    <m/>
    <m/>
    <m/>
    <m/>
    <m/>
    <d v="1900-01-09T00:00:00"/>
    <m/>
    <m/>
    <m/>
    <m/>
    <m/>
    <m/>
    <m/>
    <m/>
    <s v="EL01-002996"/>
    <n v="0"/>
  </r>
  <r>
    <n v="850"/>
    <d v="2025-08-18T00:00:00"/>
    <m/>
    <s v="EL01-002882-1"/>
    <m/>
    <s v="Packing Box for TRA and RA"/>
    <m/>
    <m/>
    <s v="Atagasthya"/>
    <n v="96"/>
    <s v="EA"/>
    <n v="1155"/>
    <s v="INR"/>
    <n v="1.2E-2"/>
    <n v="13.86"/>
    <n v="1330.56"/>
    <m/>
    <x v="86"/>
    <s v="PO2526U10419"/>
    <d v="2025-08-11T00:00:00"/>
    <s v="Net 30 Days"/>
    <s v="DAP"/>
    <m/>
    <m/>
    <m/>
    <n v="0"/>
    <n v="20"/>
    <n v="76"/>
    <m/>
    <m/>
    <m/>
    <m/>
    <m/>
    <m/>
    <m/>
    <m/>
    <d v="1900-01-09T00:00:00"/>
    <m/>
    <m/>
    <m/>
    <m/>
    <m/>
    <m/>
    <m/>
    <m/>
    <s v="EL01-002882"/>
    <n v="1053.3599999999999"/>
  </r>
  <r>
    <n v="851"/>
    <d v="2025-09-22T00:00:00"/>
    <s v="409759511/412630526"/>
    <s v="EL01-002026-3"/>
    <m/>
    <s v="PC ASSY SMR  5W"/>
    <s v="6931A550-001"/>
    <s v="-"/>
    <s v="ELTA Spec"/>
    <n v="57"/>
    <s v="EA"/>
    <n v="78200"/>
    <s v="USD"/>
    <n v="1"/>
    <n v="78200"/>
    <n v="938400"/>
    <m/>
    <x v="70"/>
    <s v="PO2526U10498"/>
    <d v="2025-09-17T00:00:00"/>
    <s v="As agreed"/>
    <s v="EXW"/>
    <m/>
    <m/>
    <m/>
    <n v="0"/>
    <n v="57"/>
    <n v="0"/>
    <m/>
    <m/>
    <m/>
    <m/>
    <m/>
    <m/>
    <m/>
    <m/>
    <d v="1900-01-09T00:00:00"/>
    <m/>
    <m/>
    <m/>
    <m/>
    <m/>
    <m/>
    <m/>
    <m/>
    <s v="EL01-002026"/>
    <m/>
  </r>
  <r>
    <n v="852"/>
    <d v="2025-10-08T00:00:00"/>
    <m/>
    <s v="EL01-003002"/>
    <m/>
    <s v="ESS JIG for TRA ASSY"/>
    <s v="1038B927-001"/>
    <m/>
    <s v="Gopalan Aerospace India Pvt Ltd"/>
    <n v="1"/>
    <s v="EA"/>
    <n v="12549.03"/>
    <s v="USD"/>
    <n v="1"/>
    <n v="12549.03"/>
    <n v="12549.03"/>
    <m/>
    <x v="72"/>
    <s v="PO2526U10497"/>
    <d v="2025-09-17T00:00:00"/>
    <s v="50% advance &amp; 50% before shipment"/>
    <s v="EXW"/>
    <m/>
    <m/>
    <m/>
    <n v="0"/>
    <n v="1"/>
    <n v="0"/>
    <m/>
    <m/>
    <m/>
    <m/>
    <d v="2025-12-11T00:00:00"/>
    <m/>
    <m/>
    <m/>
    <d v="2025-12-21T00:00:00"/>
    <m/>
    <m/>
    <m/>
    <m/>
    <m/>
    <m/>
    <m/>
    <m/>
    <s v="EL01-003002"/>
    <m/>
  </r>
  <r>
    <n v="853"/>
    <d v="2025-09-29T00:00:00"/>
    <m/>
    <s v="EL01-003007"/>
    <m/>
    <s v="ANTENNA TROLLEY"/>
    <s v="1099T140-001"/>
    <m/>
    <s v="LGG Tools"/>
    <n v="2"/>
    <s v="EA"/>
    <n v="166068"/>
    <s v="INR"/>
    <n v="0.01"/>
    <n v="1660.68"/>
    <n v="3321.36"/>
    <m/>
    <x v="84"/>
    <s v="PO2526U10504"/>
    <d v="2025-09-18T00:00:00"/>
    <s v="Net 60 Days"/>
    <s v="EXW"/>
    <m/>
    <m/>
    <m/>
    <n v="0"/>
    <n v="0"/>
    <n v="2"/>
    <m/>
    <m/>
    <m/>
    <m/>
    <m/>
    <m/>
    <m/>
    <m/>
    <d v="1900-01-09T00:00:00"/>
    <m/>
    <m/>
    <m/>
    <m/>
    <m/>
    <m/>
    <m/>
    <m/>
    <s v="EL01-003007"/>
    <n v="3321.36"/>
  </r>
  <r>
    <n v="854"/>
    <d v="2025-09-29T00:00:00"/>
    <m/>
    <s v="EL01-003003"/>
    <m/>
    <s v="ABSORBER SUPPORT"/>
    <m/>
    <m/>
    <s v="LGG Tools"/>
    <n v="3"/>
    <s v="EA"/>
    <n v="47628"/>
    <s v="INR"/>
    <n v="0.01"/>
    <n v="476.28000000000003"/>
    <n v="1428.8400000000001"/>
    <m/>
    <x v="84"/>
    <s v="PO2526U10504"/>
    <d v="2025-09-18T00:00:00"/>
    <s v="Net 60 Days"/>
    <s v="EXW"/>
    <m/>
    <m/>
    <m/>
    <n v="0"/>
    <n v="0"/>
    <n v="3"/>
    <m/>
    <m/>
    <m/>
    <m/>
    <m/>
    <m/>
    <m/>
    <m/>
    <d v="1900-01-09T00:00:00"/>
    <m/>
    <m/>
    <m/>
    <m/>
    <m/>
    <m/>
    <m/>
    <m/>
    <s v="EL01-003003"/>
    <n v="1428.8400000000001"/>
  </r>
  <r>
    <n v="855"/>
    <d v="2025-10-08T00:00:00"/>
    <m/>
    <s v="EL01-003006"/>
    <m/>
    <s v="3.5mm Male to 3.5mm female Adapter"/>
    <s v="ADU1-35M1-35F1"/>
    <m/>
    <s v="Huang Liang Technologies"/>
    <n v="6"/>
    <s v="EA"/>
    <n v="85"/>
    <s v="USD"/>
    <n v="1"/>
    <n v="85"/>
    <n v="510"/>
    <m/>
    <x v="27"/>
    <s v="PO2526U10505"/>
    <d v="2025-09-18T00:00:00"/>
    <s v="As agreed"/>
    <s v="EXW"/>
    <m/>
    <m/>
    <m/>
    <n v="0"/>
    <n v="6"/>
    <n v="0"/>
    <m/>
    <m/>
    <m/>
    <m/>
    <m/>
    <m/>
    <m/>
    <m/>
    <d v="1900-01-09T00:00:00"/>
    <m/>
    <m/>
    <m/>
    <m/>
    <m/>
    <m/>
    <m/>
    <m/>
    <s v="EL01-003006"/>
    <m/>
  </r>
  <r>
    <n v="856"/>
    <d v="2025-10-03T00:00:00"/>
    <m/>
    <s v="EL01-003005"/>
    <m/>
    <s v="TNC-M to SMA-F"/>
    <s v="R191313000"/>
    <m/>
    <s v="Radial"/>
    <n v="4"/>
    <s v="EA"/>
    <n v="6325"/>
    <s v="INR"/>
    <n v="0.01"/>
    <n v="63.25"/>
    <n v="253"/>
    <m/>
    <x v="87"/>
    <s v="PO2526U10511"/>
    <d v="2025-09-18T00:00:00"/>
    <s v="Net 30 Days"/>
    <s v="DAP"/>
    <m/>
    <m/>
    <m/>
    <n v="0"/>
    <n v="4"/>
    <n v="0"/>
    <m/>
    <m/>
    <m/>
    <m/>
    <m/>
    <m/>
    <m/>
    <m/>
    <d v="1900-01-09T00:00:00"/>
    <m/>
    <m/>
    <m/>
    <m/>
    <m/>
    <m/>
    <m/>
    <m/>
    <s v="EL01-003005"/>
    <m/>
  </r>
  <r>
    <n v="857"/>
    <d v="2025-12-05T00:00:00"/>
    <m/>
    <s v="EL01-003004"/>
    <m/>
    <s v="RF CABLE ASSEMBLY"/>
    <s v="SF126/11SMA/11SMA/1000mm"/>
    <m/>
    <s v="HUBER + SUHNER AG"/>
    <n v="16"/>
    <s v="EA"/>
    <n v="120.42"/>
    <s v="CHF"/>
    <n v="1.27"/>
    <n v="152.93340000000001"/>
    <n v="2446.9344000000001"/>
    <m/>
    <x v="88"/>
    <s v="PO2526U10509"/>
    <d v="2025-09-18T00:00:00"/>
    <s v="As agreed"/>
    <s v="EXW"/>
    <s v="Yes"/>
    <m/>
    <m/>
    <n v="0"/>
    <n v="16"/>
    <n v="0"/>
    <m/>
    <m/>
    <m/>
    <m/>
    <m/>
    <m/>
    <m/>
    <m/>
    <d v="1900-01-09T00:00:00"/>
    <m/>
    <m/>
    <m/>
    <m/>
    <m/>
    <m/>
    <m/>
    <m/>
    <s v="EL01-003004"/>
    <m/>
  </r>
  <r>
    <n v="858"/>
    <d v="2025-09-19T00:00:00"/>
    <n v="403174799"/>
    <s v="EL01-000408-2"/>
    <m/>
    <s v="CONN RF TERMINATION DC-18GHZ"/>
    <s v="R404N05000"/>
    <m/>
    <s v="Radiall"/>
    <n v="140"/>
    <s v="EA"/>
    <n v="21.7"/>
    <s v="USD"/>
    <n v="1"/>
    <n v="21.7"/>
    <n v="3038"/>
    <m/>
    <x v="70"/>
    <s v="PO2526U10512"/>
    <d v="2025-09-19T00:00:00"/>
    <s v="As agreed"/>
    <s v="DAP"/>
    <m/>
    <m/>
    <m/>
    <n v="0"/>
    <n v="140"/>
    <n v="0"/>
    <m/>
    <m/>
    <m/>
    <m/>
    <m/>
    <m/>
    <m/>
    <m/>
    <d v="1900-01-09T00:00:00"/>
    <m/>
    <m/>
    <m/>
    <m/>
    <m/>
    <m/>
    <m/>
    <m/>
    <s v="EL01-000408"/>
    <m/>
  </r>
  <r>
    <n v="859"/>
    <d v="2025-09-19T00:00:00"/>
    <n v="417983155"/>
    <s v="EL01-001764-2"/>
    <m/>
    <s v="CHIP CAP 1000PF 10%50VOLTS"/>
    <s v="700A102KT50XTV"/>
    <m/>
    <s v="AVX"/>
    <n v="304"/>
    <s v="EA"/>
    <n v="0.76"/>
    <s v="USD"/>
    <n v="1"/>
    <n v="0.76"/>
    <n v="231.04"/>
    <s v="VR000230"/>
    <x v="70"/>
    <s v="PO2526U10512"/>
    <d v="2025-09-19T00:00:00"/>
    <s v="As agreed"/>
    <s v="DAP"/>
    <m/>
    <m/>
    <m/>
    <n v="0"/>
    <n v="304"/>
    <n v="0"/>
    <m/>
    <m/>
    <m/>
    <m/>
    <m/>
    <m/>
    <m/>
    <m/>
    <d v="1900-01-09T00:00:00"/>
    <m/>
    <m/>
    <m/>
    <m/>
    <m/>
    <m/>
    <m/>
    <m/>
    <s v="EL01-001764"/>
    <m/>
  </r>
  <r>
    <n v="860"/>
    <d v="2025-09-19T00:00:00"/>
    <n v="420905006"/>
    <s v="EL01-002836-5"/>
    <m/>
    <s v="CAP TANT POLYMER 68UF 40V"/>
    <s v="T543O686M040ATE035"/>
    <m/>
    <s v="KEMET"/>
    <n v="380"/>
    <s v="EA"/>
    <n v="11.27"/>
    <s v="USD"/>
    <n v="1"/>
    <n v="11.27"/>
    <n v="4282.5999999999995"/>
    <m/>
    <x v="70"/>
    <s v="PO2526U10512"/>
    <d v="2025-09-19T00:00:00"/>
    <s v="As agreed"/>
    <s v="DAP"/>
    <m/>
    <m/>
    <m/>
    <n v="0"/>
    <n v="0"/>
    <n v="380"/>
    <m/>
    <m/>
    <m/>
    <m/>
    <m/>
    <m/>
    <m/>
    <m/>
    <d v="1900-01-09T00:00:00"/>
    <m/>
    <m/>
    <m/>
    <m/>
    <m/>
    <m/>
    <m/>
    <m/>
    <s v="EL01-002836"/>
    <n v="4282.5999999999995"/>
  </r>
  <r>
    <n v="861"/>
    <s v="Refer to ST&amp;C"/>
    <m/>
    <s v="CIWS-1"/>
    <m/>
    <s v="C ASSY RF CIWS HSN Code 85299090"/>
    <s v="1096M290-001"/>
    <m/>
    <s v="As per ELTA SPEC"/>
    <n v="539"/>
    <s v="EA"/>
    <n v="270.47000000000003"/>
    <s v="USD"/>
    <n v="1"/>
    <n v="270.47000000000003"/>
    <n v="145783.33000000002"/>
    <m/>
    <x v="89"/>
    <s v="PO2526U10226"/>
    <d v="2025-06-20T00:00:00"/>
    <s v="Net 30 Days"/>
    <s v="DAP"/>
    <m/>
    <m/>
    <m/>
    <n v="0"/>
    <n v="0"/>
    <n v="539"/>
    <m/>
    <m/>
    <m/>
    <m/>
    <m/>
    <m/>
    <m/>
    <m/>
    <d v="1900-01-09T00:00:00"/>
    <m/>
    <m/>
    <m/>
    <m/>
    <m/>
    <m/>
    <m/>
    <m/>
    <s v="CIWS-1"/>
    <n v="145783.33000000002"/>
  </r>
  <r>
    <n v="862"/>
    <s v="Refer to ST&amp;C"/>
    <m/>
    <s v="CIWS-2"/>
    <m/>
    <s v="PC ASSY RF-RA HSN Code 85299090"/>
    <s v="1096M280-001"/>
    <m/>
    <s v="As per ELTA SPEC"/>
    <n v="528"/>
    <s v="EA"/>
    <n v="266.39"/>
    <s v="USD"/>
    <n v="1"/>
    <n v="266.39"/>
    <n v="140653.91999999998"/>
    <m/>
    <x v="89"/>
    <s v="PO2526U10226"/>
    <d v="2025-06-20T00:00:00"/>
    <s v="Net 30 Days"/>
    <s v="DAP"/>
    <m/>
    <m/>
    <m/>
    <n v="0"/>
    <n v="0"/>
    <n v="528"/>
    <m/>
    <m/>
    <m/>
    <m/>
    <m/>
    <m/>
    <m/>
    <m/>
    <d v="1900-01-09T00:00:00"/>
    <m/>
    <m/>
    <m/>
    <m/>
    <m/>
    <m/>
    <m/>
    <m/>
    <s v="CIWS-2"/>
    <n v="140653.91999999998"/>
  </r>
  <r>
    <n v="863"/>
    <s v="Refer to ST&amp;C"/>
    <m/>
    <s v="CIWS-3"/>
    <m/>
    <s v="ANT CTRL PC/ASSY HSN Code 85299090"/>
    <s v="1039H771-001"/>
    <m/>
    <s v="As per ELTA SPEC"/>
    <n v="1067"/>
    <s v="EA"/>
    <n v="100.91"/>
    <s v="USD"/>
    <n v="1"/>
    <n v="100.91"/>
    <n v="107670.97"/>
    <m/>
    <x v="89"/>
    <s v="PO2526U10226"/>
    <d v="2025-06-20T00:00:00"/>
    <s v="Net 30 Days"/>
    <s v="DAP"/>
    <m/>
    <m/>
    <m/>
    <n v="0"/>
    <n v="0"/>
    <n v="1067"/>
    <m/>
    <m/>
    <m/>
    <m/>
    <m/>
    <m/>
    <m/>
    <m/>
    <d v="1900-01-09T00:00:00"/>
    <m/>
    <m/>
    <m/>
    <m/>
    <m/>
    <m/>
    <m/>
    <m/>
    <s v="CIWS-3"/>
    <n v="107670.97"/>
  </r>
  <r>
    <n v="864"/>
    <d v="2025-09-27T00:00:00"/>
    <m/>
    <s v="GE01-001444-1"/>
    <m/>
    <s v="Plywood box ID: 1240 x 650 x 760 mm with 12 mm wall and 18 mm reapers EPE foam 28 density and XLPE foam"/>
    <m/>
    <m/>
    <s v="Atagasthya"/>
    <n v="4"/>
    <s v="EA"/>
    <n v="11160"/>
    <s v="INR"/>
    <n v="0.01"/>
    <n v="111.60000000000001"/>
    <n v="446.40000000000003"/>
    <m/>
    <x v="86"/>
    <s v="PO2526U20258"/>
    <d v="2025-09-25T00:00:00"/>
    <s v="Net 30 Days"/>
    <s v="DAP"/>
    <m/>
    <m/>
    <m/>
    <n v="0"/>
    <n v="4"/>
    <n v="0"/>
    <m/>
    <m/>
    <m/>
    <m/>
    <m/>
    <m/>
    <m/>
    <m/>
    <d v="1900-01-09T00:00:00"/>
    <m/>
    <m/>
    <m/>
    <m/>
    <m/>
    <m/>
    <m/>
    <m/>
    <s v="GE01-001444"/>
    <m/>
  </r>
  <r>
    <n v="865"/>
    <d v="2025-10-06T00:00:00"/>
    <n v="411768132"/>
    <s v="EL01-003001-1"/>
    <m/>
    <s v="RA S/ASSY NAMEPLATE"/>
    <s v="1096M269-001"/>
    <s v="-"/>
    <s v="ACKERMAN"/>
    <n v="528"/>
    <s v="EA"/>
    <n v="2.4"/>
    <s v="USD"/>
    <n v="1"/>
    <n v="2.4"/>
    <n v="1267.2"/>
    <m/>
    <x v="74"/>
    <s v="PO2526U10535"/>
    <d v="2025-09-29T00:00:00"/>
    <s v="Before delivery"/>
    <s v="EXW"/>
    <m/>
    <m/>
    <m/>
    <n v="0"/>
    <n v="528"/>
    <n v="0"/>
    <m/>
    <m/>
    <m/>
    <m/>
    <m/>
    <m/>
    <m/>
    <m/>
    <d v="1900-01-09T00:00:00"/>
    <m/>
    <m/>
    <m/>
    <m/>
    <m/>
    <m/>
    <m/>
    <m/>
    <s v="EL01-003001"/>
    <m/>
  </r>
  <r>
    <n v="866"/>
    <d v="2025-10-09T00:00:00"/>
    <m/>
    <s v="EL01-003027-1"/>
    <m/>
    <s v="Attenuator, Fixed, Chip, DC to 8GHz, 14dB, 2W, Alumina, Triple Wrap,_x000a_Pretinned"/>
    <s v="TS0314W3S"/>
    <m/>
    <s v="Smiths Interconnect- EMC"/>
    <n v="124"/>
    <s v="EA"/>
    <n v="8.31"/>
    <s v="USD"/>
    <n v="1"/>
    <n v="8.31"/>
    <n v="1030.44"/>
    <m/>
    <x v="42"/>
    <s v="PO2526U10545"/>
    <d v="2025-10-03T00:00:00"/>
    <s v="100% Advance"/>
    <s v="EXW"/>
    <m/>
    <m/>
    <m/>
    <n v="0"/>
    <n v="124"/>
    <n v="0"/>
    <m/>
    <m/>
    <m/>
    <m/>
    <m/>
    <m/>
    <m/>
    <m/>
    <d v="1900-01-09T00:00:00"/>
    <m/>
    <m/>
    <m/>
    <m/>
    <m/>
    <m/>
    <n v="400048227"/>
    <s v="EL01-001757"/>
    <s v="EL01-003027"/>
    <m/>
  </r>
  <r>
    <n v="867"/>
    <d v="2025-10-09T00:00:00"/>
    <m/>
    <s v="EL01-003027-2"/>
    <m/>
    <s v="Attenuator, Fixed, Chip, DC to 8GHz, 14dB, 2W, Alumina, Triple Wrap,_x000a_Pretinned"/>
    <s v="TS0314W3S"/>
    <m/>
    <s v="Smiths Interconnect- EMC"/>
    <n v="2076"/>
    <s v="EA"/>
    <n v="8.31"/>
    <s v="USD"/>
    <n v="1"/>
    <n v="8.31"/>
    <n v="17251.560000000001"/>
    <m/>
    <x v="42"/>
    <s v="PO2526U10545"/>
    <d v="2025-10-03T00:00:00"/>
    <s v="100% Advance"/>
    <s v="EXW"/>
    <m/>
    <m/>
    <m/>
    <n v="0"/>
    <n v="2076"/>
    <n v="0"/>
    <m/>
    <m/>
    <m/>
    <m/>
    <m/>
    <m/>
    <m/>
    <m/>
    <d v="2025-12-23T00:00:00"/>
    <m/>
    <m/>
    <m/>
    <m/>
    <m/>
    <m/>
    <n v="400048227"/>
    <s v="EL01-001757"/>
    <s v="EL01-003027"/>
    <m/>
  </r>
  <r>
    <n v="868"/>
    <d v="2025-10-10T00:00:00"/>
    <n v="412754351"/>
    <s v="EL01-001995-5"/>
    <m/>
    <s v="RIGHT TUNNEL ADAPTOR"/>
    <s v="1037M833-001"/>
    <s v="H"/>
    <s v="Aran"/>
    <n v="20"/>
    <s v="EA"/>
    <n v="590"/>
    <s v="USD"/>
    <n v="1"/>
    <n v="590"/>
    <n v="590"/>
    <m/>
    <x v="90"/>
    <s v="PO2526U10546"/>
    <d v="2025-10-03T00:00:00"/>
    <s v="As agreed"/>
    <s v="DAP"/>
    <m/>
    <m/>
    <m/>
    <n v="9"/>
    <n v="11"/>
    <n v="0"/>
    <m/>
    <m/>
    <m/>
    <m/>
    <m/>
    <m/>
    <m/>
    <m/>
    <d v="1900-01-09T00:00:00"/>
    <m/>
    <m/>
    <m/>
    <m/>
    <m/>
    <m/>
    <m/>
    <m/>
    <s v="EL01-001995"/>
    <m/>
  </r>
  <r>
    <n v="869"/>
    <d v="2025-10-10T00:00:00"/>
    <n v="412754346"/>
    <s v="EL01-001996-5"/>
    <m/>
    <s v="LEFT TUNNEL ADAPTOR"/>
    <s v="1037M834-001"/>
    <s v="H"/>
    <s v="Aran"/>
    <n v="20"/>
    <s v="EA"/>
    <n v="397"/>
    <s v="USD"/>
    <n v="1"/>
    <n v="397"/>
    <n v="397"/>
    <m/>
    <x v="90"/>
    <s v="PO2526U10546"/>
    <d v="2025-10-03T00:00:00"/>
    <s v="As agreed"/>
    <s v="DAP"/>
    <m/>
    <m/>
    <m/>
    <n v="9"/>
    <n v="11"/>
    <n v="0"/>
    <m/>
    <m/>
    <m/>
    <m/>
    <m/>
    <m/>
    <m/>
    <m/>
    <d v="1900-01-09T00:00:00"/>
    <m/>
    <m/>
    <m/>
    <m/>
    <m/>
    <m/>
    <m/>
    <m/>
    <s v="EL01-001996"/>
    <m/>
  </r>
  <r>
    <n v="870"/>
    <d v="2025-10-16T00:00:00"/>
    <m/>
    <s v="EL01-003030-1"/>
    <m/>
    <s v="Retainer Screw"/>
    <s v="1093Y934-001"/>
    <m/>
    <s v="Gopalan Aerospace India Pvt Ltd"/>
    <n v="10"/>
    <s v="EA"/>
    <n v="152"/>
    <s v="INR"/>
    <n v="0.01"/>
    <n v="1.52"/>
    <n v="15.2"/>
    <m/>
    <x v="72"/>
    <s v="PO2526U10566"/>
    <d v="2025-10-09T00:00:00"/>
    <s v="50% advance &amp; 50% before shipment"/>
    <s v="EXW"/>
    <m/>
    <m/>
    <m/>
    <n v="0"/>
    <n v="10"/>
    <n v="0"/>
    <m/>
    <m/>
    <m/>
    <m/>
    <m/>
    <m/>
    <m/>
    <m/>
    <d v="1900-01-09T00:00:00"/>
    <m/>
    <m/>
    <m/>
    <m/>
    <m/>
    <m/>
    <m/>
    <m/>
    <s v="EL01-003030"/>
    <m/>
  </r>
  <r>
    <n v="871"/>
    <d v="2025-10-30T00:00:00"/>
    <m/>
    <s v="EL01-003030-2"/>
    <m/>
    <s v="Retainer Screw"/>
    <s v="1093Y934-001"/>
    <m/>
    <s v="Gopalan Aerospace India Pvt Ltd"/>
    <n v="4990"/>
    <s v="EA"/>
    <n v="152"/>
    <s v="INR"/>
    <n v="0.01"/>
    <n v="1.52"/>
    <n v="7584.8"/>
    <m/>
    <x v="72"/>
    <s v="PO2526U10566"/>
    <d v="2025-10-09T00:00:00"/>
    <s v="50% advance &amp; 50% before shipment"/>
    <s v="EXW"/>
    <m/>
    <m/>
    <m/>
    <n v="0"/>
    <n v="3802"/>
    <n v="1188"/>
    <n v="1040"/>
    <n v="148"/>
    <m/>
    <m/>
    <d v="2026-02-20T00:00:00"/>
    <m/>
    <m/>
    <m/>
    <d v="2026-03-02T00:00:00"/>
    <m/>
    <m/>
    <m/>
    <m/>
    <m/>
    <m/>
    <m/>
    <m/>
    <s v="EL01-003030"/>
    <n v="1805.76"/>
  </r>
  <r>
    <n v="872"/>
    <d v="2025-10-06T00:00:00"/>
    <m/>
    <s v="EL01-002038"/>
    <m/>
    <s v="CLAMP LOOP TYPE CUSHIONED WEDGE SIDE"/>
    <s v="AS21919WDG05"/>
    <m/>
    <s v="S.A.E. INTERNATIONAL"/>
    <n v="150"/>
    <s v="EA"/>
    <n v="1.65"/>
    <s v="USD"/>
    <n v="1"/>
    <n v="1.65"/>
    <n v="247.5"/>
    <m/>
    <x v="68"/>
    <s v="PO2526U10534"/>
    <d v="2025-09-29T00:00:00"/>
    <s v="100% Advance"/>
    <s v="EXW"/>
    <s v="Yes"/>
    <m/>
    <m/>
    <n v="0"/>
    <n v="150"/>
    <n v="0"/>
    <m/>
    <m/>
    <m/>
    <m/>
    <m/>
    <m/>
    <m/>
    <m/>
    <d v="1900-01-09T00:00:00"/>
    <m/>
    <m/>
    <m/>
    <m/>
    <m/>
    <m/>
    <m/>
    <m/>
    <s v="EL01-002038"/>
    <m/>
  </r>
  <r>
    <n v="873"/>
    <d v="2025-10-06T00:00:00"/>
    <m/>
    <s v="EL01-001799"/>
    <m/>
    <s v="SCREW,CAP HEAD,HEX SOCKET RECESS,FULL SH"/>
    <s v="MS16996-10"/>
    <m/>
    <s v="NAS/NASM NATIONAL AEROSPACE STD"/>
    <n v="200"/>
    <s v="EA"/>
    <n v="0.35"/>
    <s v="USD"/>
    <n v="1"/>
    <n v="0.35"/>
    <n v="70"/>
    <m/>
    <x v="68"/>
    <s v="PO2526U10534"/>
    <d v="2025-09-29T00:00:00"/>
    <s v="100% Advance"/>
    <s v="EXW"/>
    <s v="Yes"/>
    <m/>
    <m/>
    <n v="0"/>
    <n v="200"/>
    <n v="0"/>
    <m/>
    <m/>
    <m/>
    <m/>
    <m/>
    <m/>
    <m/>
    <m/>
    <d v="1900-01-09T00:00:00"/>
    <m/>
    <m/>
    <m/>
    <m/>
    <m/>
    <m/>
    <m/>
    <m/>
    <s v="EL01-001799"/>
    <m/>
  </r>
  <r>
    <n v="874"/>
    <d v="2025-10-06T00:00:00"/>
    <m/>
    <s v="EL01-000515"/>
    <m/>
    <s v="WASHER,LOCK,HELICAL SPRING,REGULAR (MEDI"/>
    <s v="MS35338-138"/>
    <m/>
    <s v="NAS/NASM NATIONAL AEROSPACE STD"/>
    <n v="200"/>
    <s v="EA"/>
    <n v="0.15"/>
    <s v="USD"/>
    <n v="1"/>
    <n v="0.15"/>
    <n v="30"/>
    <m/>
    <x v="68"/>
    <s v="PO2526U10534"/>
    <d v="2025-09-29T00:00:00"/>
    <s v="100% Advance"/>
    <s v="EXW"/>
    <s v="Yes"/>
    <m/>
    <m/>
    <n v="0"/>
    <n v="200"/>
    <n v="0"/>
    <m/>
    <m/>
    <m/>
    <m/>
    <m/>
    <m/>
    <m/>
    <m/>
    <d v="1900-01-09T00:00:00"/>
    <m/>
    <m/>
    <m/>
    <m/>
    <m/>
    <m/>
    <m/>
    <m/>
    <s v="EL01-000515"/>
    <m/>
  </r>
  <r>
    <n v="875"/>
    <d v="2025-10-06T00:00:00"/>
    <m/>
    <s v="EL01-000520"/>
    <m/>
    <s v="WASHER,FLAT,PLAIN,REDU CED OD,#10 SIZE,.0"/>
    <s v="NAS620C10"/>
    <m/>
    <s v="NAS"/>
    <n v="500"/>
    <s v="EA"/>
    <n v="0.1"/>
    <s v="USD"/>
    <n v="1"/>
    <n v="0.1"/>
    <n v="50"/>
    <m/>
    <x v="68"/>
    <s v="PO2526U10534"/>
    <d v="2025-09-29T00:00:00"/>
    <s v="100% Advance"/>
    <s v="EXW"/>
    <s v="Yes"/>
    <m/>
    <m/>
    <n v="0"/>
    <n v="500"/>
    <n v="0"/>
    <m/>
    <m/>
    <m/>
    <m/>
    <m/>
    <m/>
    <m/>
    <m/>
    <d v="1900-01-09T00:00:00"/>
    <m/>
    <m/>
    <m/>
    <m/>
    <m/>
    <m/>
    <m/>
    <m/>
    <s v="EL01-000520"/>
    <m/>
  </r>
  <r>
    <n v="876"/>
    <d v="2025-10-06T00:00:00"/>
    <m/>
    <s v="EL01-002284"/>
    <m/>
    <s v="SCREW MACHINE PAN HEAD CRUCIFORM RECESS"/>
    <s v="MS51957-30"/>
    <m/>
    <s v="Kaytech"/>
    <n v="1000"/>
    <s v="EA"/>
    <n v="7.0000000000000007E-2"/>
    <s v="USD"/>
    <n v="1"/>
    <n v="7.0000000000000007E-2"/>
    <n v="70"/>
    <m/>
    <x v="68"/>
    <s v="PO2526U10534"/>
    <d v="2025-09-29T00:00:00"/>
    <s v="100% Advance"/>
    <s v="EXW"/>
    <s v="Yes"/>
    <m/>
    <m/>
    <n v="0"/>
    <n v="1000"/>
    <n v="0"/>
    <m/>
    <m/>
    <m/>
    <m/>
    <m/>
    <m/>
    <m/>
    <m/>
    <d v="1900-01-09T00:00:00"/>
    <m/>
    <m/>
    <m/>
    <m/>
    <m/>
    <m/>
    <m/>
    <m/>
    <s v="EL01-002284"/>
    <m/>
  </r>
  <r>
    <n v="877"/>
    <d v="2025-10-06T00:00:00"/>
    <m/>
    <s v="EL01-000027"/>
    <m/>
    <s v="WASHER,FLAT,PLAIN,REDU CED OD,#4 SIZE,.03"/>
    <s v="NAS620C4"/>
    <m/>
    <s v="NATIONAL AEROSPACE STAND"/>
    <n v="500"/>
    <s v="EA"/>
    <n v="0.15"/>
    <s v="USD"/>
    <n v="1"/>
    <n v="0.15"/>
    <n v="75"/>
    <m/>
    <x v="68"/>
    <s v="PO2526U10534"/>
    <d v="2025-09-29T00:00:00"/>
    <s v="100% Advance"/>
    <s v="EXW"/>
    <s v="Yes"/>
    <m/>
    <m/>
    <n v="0"/>
    <n v="500"/>
    <n v="0"/>
    <m/>
    <m/>
    <m/>
    <m/>
    <m/>
    <m/>
    <m/>
    <m/>
    <d v="1900-01-09T00:00:00"/>
    <m/>
    <m/>
    <m/>
    <m/>
    <m/>
    <m/>
    <m/>
    <m/>
    <s v="EL01-000027"/>
    <m/>
  </r>
  <r>
    <n v="878"/>
    <d v="2025-10-30T00:00:00"/>
    <m/>
    <s v="EL01-002962-1"/>
    <m/>
    <s v="PACKING BOX"/>
    <s v="1099M378-001"/>
    <m/>
    <s v="Atagasthya"/>
    <n v="249"/>
    <s v="EA"/>
    <n v="2950"/>
    <s v="INR"/>
    <n v="0.01"/>
    <n v="29.5"/>
    <n v="7345.5"/>
    <m/>
    <x v="86"/>
    <s v="PO2526U10422"/>
    <d v="2025-08-11T00:00:00"/>
    <s v="Net 30 Days "/>
    <s v="DAP"/>
    <m/>
    <m/>
    <m/>
    <n v="0"/>
    <n v="112"/>
    <n v="137"/>
    <m/>
    <m/>
    <m/>
    <m/>
    <m/>
    <m/>
    <m/>
    <m/>
    <d v="1900-01-09T00:00:00"/>
    <m/>
    <m/>
    <m/>
    <m/>
    <m/>
    <m/>
    <m/>
    <m/>
    <s v="EL01-002962"/>
    <n v="4041.5"/>
  </r>
  <r>
    <n v="879"/>
    <d v="2025-10-30T00:00:00"/>
    <m/>
    <s v="EL01-002963-1"/>
    <m/>
    <s v="PACKING BOX"/>
    <s v="1038B613-001"/>
    <m/>
    <s v="Atagasthya"/>
    <n v="99"/>
    <s v="EA"/>
    <n v="1588"/>
    <s v="INR"/>
    <n v="0.01"/>
    <n v="15.88"/>
    <n v="1572.1200000000001"/>
    <m/>
    <x v="86"/>
    <s v="PO2526U10422"/>
    <d v="2025-08-11T00:00:00"/>
    <s v="Net 30 Days "/>
    <s v="DAP"/>
    <m/>
    <m/>
    <m/>
    <n v="0"/>
    <n v="50"/>
    <n v="49"/>
    <m/>
    <m/>
    <m/>
    <m/>
    <m/>
    <m/>
    <m/>
    <m/>
    <d v="1900-01-09T00:00:00"/>
    <m/>
    <m/>
    <m/>
    <m/>
    <m/>
    <m/>
    <m/>
    <m/>
    <s v="EL01-002963"/>
    <n v="778.12"/>
  </r>
  <r>
    <n v="880"/>
    <d v="2025-10-30T00:00:00"/>
    <m/>
    <s v="EL01-002964-1"/>
    <m/>
    <s v="PACKING BOX"/>
    <s v="1099N467-001"/>
    <m/>
    <s v="Atagasthya"/>
    <n v="123"/>
    <s v="EA"/>
    <n v="1435"/>
    <s v="INR"/>
    <n v="0.01"/>
    <n v="14.35"/>
    <n v="1765.05"/>
    <m/>
    <x v="86"/>
    <s v="PO2526U10422"/>
    <d v="2025-08-11T00:00:00"/>
    <s v="Net 30 Days "/>
    <s v="DAP"/>
    <m/>
    <m/>
    <m/>
    <n v="0"/>
    <n v="53"/>
    <n v="70"/>
    <m/>
    <m/>
    <m/>
    <m/>
    <m/>
    <m/>
    <m/>
    <m/>
    <d v="1900-01-09T00:00:00"/>
    <m/>
    <m/>
    <m/>
    <m/>
    <m/>
    <m/>
    <m/>
    <m/>
    <s v="EL01-002964"/>
    <n v="1004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E51E9C-0559-40D8-B1A2-961799D80DE6}" name="PivotTable2" cacheId="0" applyNumberFormats="0" applyBorderFormats="0" applyFontFormats="0" applyPatternFormats="0" applyAlignmentFormats="0" applyWidthHeightFormats="1" dataCaption="Values" updatedVersion="8" useAutoFormatting="1" itemPrintTitles="1" createdVersion="8" indent="0" outline="1" outlineData="1" multipleFieldFilters="0" chartFormat="1">
  <location ref="A1:B93" firstHeaderRow="1" firstDataRow="1" firstDataCol="1"/>
  <pivotFields count="4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numFmtId="165" showAll="0"/>
    <pivotField numFmtId="164" showAll="0"/>
    <pivotField showAll="0"/>
    <pivotField axis="axisRow" showAll="0">
      <items count="93">
        <item x="73"/>
        <item x="0"/>
        <item x="74"/>
        <item x="1"/>
        <item x="76"/>
        <item x="2"/>
        <item x="3"/>
        <item x="4"/>
        <item x="75"/>
        <item x="87"/>
        <item x="5"/>
        <item x="6"/>
        <item x="64"/>
        <item x="90"/>
        <item x="7"/>
        <item x="8"/>
        <item x="61"/>
        <item x="9"/>
        <item x="86"/>
        <item x="10"/>
        <item x="12"/>
        <item x="60"/>
        <item x="62"/>
        <item x="56"/>
        <item x="14"/>
        <item x="15"/>
        <item x="16"/>
        <item x="23"/>
        <item x="78"/>
        <item x="17"/>
        <item x="18"/>
        <item x="19"/>
        <item x="66"/>
        <item x="20"/>
        <item x="21"/>
        <item x="58"/>
        <item x="22"/>
        <item x="79"/>
        <item x="25"/>
        <item x="54"/>
        <item x="55"/>
        <item x="72"/>
        <item x="26"/>
        <item x="27"/>
        <item x="28"/>
        <item x="88"/>
        <item x="70"/>
        <item m="1" x="91"/>
        <item x="82"/>
        <item x="29"/>
        <item x="30"/>
        <item x="68"/>
        <item x="84"/>
        <item x="13"/>
        <item x="81"/>
        <item x="31"/>
        <item x="11"/>
        <item x="77"/>
        <item x="32"/>
        <item x="33"/>
        <item x="34"/>
        <item x="71"/>
        <item x="35"/>
        <item x="59"/>
        <item x="65"/>
        <item x="24"/>
        <item x="57"/>
        <item x="36"/>
        <item x="37"/>
        <item x="38"/>
        <item x="39"/>
        <item x="89"/>
        <item x="67"/>
        <item x="40"/>
        <item x="41"/>
        <item x="42"/>
        <item x="43"/>
        <item x="80"/>
        <item x="44"/>
        <item x="45"/>
        <item x="46"/>
        <item x="63"/>
        <item x="83"/>
        <item x="47"/>
        <item x="48"/>
        <item x="69"/>
        <item x="49"/>
        <item x="50"/>
        <item x="51"/>
        <item x="52"/>
        <item x="53"/>
        <item x="85"/>
        <item t="default"/>
      </items>
    </pivotField>
    <pivotField showAll="0"/>
    <pivotField numFmtId="168" showAll="0"/>
    <pivotField showAll="0"/>
    <pivotField showAll="0"/>
    <pivotField showAll="0"/>
    <pivotField showAll="0"/>
    <pivotField showAll="0"/>
    <pivotField numFmtId="166"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8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7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Sum of Open PO value" fld="46" baseField="17" baseItem="3" numFmtId="3"/>
  </dataFields>
  <formats count="11">
    <format dxfId="13">
      <pivotArea dataOnly="0" labelOnly="1" fieldPosition="0">
        <references count="1">
          <reference field="17" count="1">
            <x v="15"/>
          </reference>
        </references>
      </pivotArea>
    </format>
    <format dxfId="12">
      <pivotArea dataOnly="0" labelOnly="1" fieldPosition="0">
        <references count="1">
          <reference field="17" count="1">
            <x v="16"/>
          </reference>
        </references>
      </pivotArea>
    </format>
    <format dxfId="11">
      <pivotArea dataOnly="0" labelOnly="1" fieldPosition="0">
        <references count="1">
          <reference field="17" count="3">
            <x v="31"/>
            <x v="32"/>
            <x v="33"/>
          </reference>
        </references>
      </pivotArea>
    </format>
    <format dxfId="10">
      <pivotArea dataOnly="0" labelOnly="1" fieldPosition="0">
        <references count="1">
          <reference field="17" count="1">
            <x v="35"/>
          </reference>
        </references>
      </pivotArea>
    </format>
    <format dxfId="9">
      <pivotArea dataOnly="0" labelOnly="1" fieldPosition="0">
        <references count="1">
          <reference field="17" count="2">
            <x v="39"/>
            <x v="40"/>
          </reference>
        </references>
      </pivotArea>
    </format>
    <format dxfId="8">
      <pivotArea dataOnly="0" labelOnly="1" fieldPosition="0">
        <references count="1">
          <reference field="17" count="2">
            <x v="39"/>
            <x v="40"/>
          </reference>
        </references>
      </pivotArea>
    </format>
    <format dxfId="7">
      <pivotArea dataOnly="0" labelOnly="1" fieldPosition="0">
        <references count="1">
          <reference field="17" count="1">
            <x v="35"/>
          </reference>
        </references>
      </pivotArea>
    </format>
    <format dxfId="6">
      <pivotArea dataOnly="0" labelOnly="1" fieldPosition="0">
        <references count="1">
          <reference field="17" count="1">
            <x v="44"/>
          </reference>
        </references>
      </pivotArea>
    </format>
    <format dxfId="5">
      <pivotArea dataOnly="0" labelOnly="1" fieldPosition="0">
        <references count="1">
          <reference field="17" count="1">
            <x v="68"/>
          </reference>
        </references>
      </pivotArea>
    </format>
    <format dxfId="4">
      <pivotArea dataOnly="0" labelOnly="1" fieldPosition="0">
        <references count="1">
          <reference field="17" count="1">
            <x v="74"/>
          </reference>
        </references>
      </pivotArea>
    </format>
    <format dxfId="3">
      <pivotArea dataOnly="0" labelOnly="1" fieldPosition="0">
        <references count="1">
          <reference field="17" count="1">
            <x v="83"/>
          </reference>
        </references>
      </pivotArea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eltweb04.elta.iai/pls/iman_Production/link_to_iman?item_id=CRCW080530R1FKEA" TargetMode="External"/><Relationship Id="rId299" Type="http://schemas.openxmlformats.org/officeDocument/2006/relationships/hyperlink" Target="http://eltweb04.elta.iai/pls/iman_Production/link_to_iman?item_id=01M129-545-01M129" TargetMode="External"/><Relationship Id="rId21" Type="http://schemas.openxmlformats.org/officeDocument/2006/relationships/hyperlink" Target="http://eltweb04.elta.iai/pls/iman_Production/link_to_iman?item_id=SCN-2-35+" TargetMode="External"/><Relationship Id="rId63" Type="http://schemas.openxmlformats.org/officeDocument/2006/relationships/hyperlink" Target="http://eltweb04.elta.iai/pls/iman_Production/link_to_iman?item_id=MS24693-C3" TargetMode="External"/><Relationship Id="rId159" Type="http://schemas.openxmlformats.org/officeDocument/2006/relationships/hyperlink" Target="http://eltweb04.elta.iai/pls/iman_Production/link_to_iman?item_id=C0402C103K3RAC7867" TargetMode="External"/><Relationship Id="rId324" Type="http://schemas.openxmlformats.org/officeDocument/2006/relationships/hyperlink" Target="http://eltweb04.elta.iai/pls/iman_Production/link_to_iman?item_id=1037M840-001" TargetMode="External"/><Relationship Id="rId366" Type="http://schemas.openxmlformats.org/officeDocument/2006/relationships/hyperlink" Target="http://eltweb04.elta.iai/pls/iman_Production/link_to_iman?item_id=1094Y682-001" TargetMode="External"/><Relationship Id="rId170" Type="http://schemas.openxmlformats.org/officeDocument/2006/relationships/hyperlink" Target="http://eltweb04.elta.iai/pls/iman_Production/link_to_iman?item_id=A-A-52080-B-5%20BLACK" TargetMode="External"/><Relationship Id="rId226" Type="http://schemas.openxmlformats.org/officeDocument/2006/relationships/hyperlink" Target="http://eltweb04.elta.iai/pls/iman_Production/link_to_iman?item_id=1099M237-001" TargetMode="External"/><Relationship Id="rId433" Type="http://schemas.openxmlformats.org/officeDocument/2006/relationships/hyperlink" Target="http://eltweb04.elta.iai/pls/iman_Production/link_to_iman?item_id=MS51957-26" TargetMode="External"/><Relationship Id="rId268" Type="http://schemas.openxmlformats.org/officeDocument/2006/relationships/hyperlink" Target="http://eltweb04.elta.iai/pls/iman_Production/link_to_iman?item_id=1093L847-001" TargetMode="External"/><Relationship Id="rId32" Type="http://schemas.openxmlformats.org/officeDocument/2006/relationships/hyperlink" Target="http://eltweb04.elta.iai/pls/iman_Production/link_to_iman?item_id=NFL18ZT207H1A3D" TargetMode="External"/><Relationship Id="rId74" Type="http://schemas.openxmlformats.org/officeDocument/2006/relationships/hyperlink" Target="http://eltweb04.elta.iai/pls/iman_Production/link_to_iman?item_id=MC74ACT04DR2G" TargetMode="External"/><Relationship Id="rId128" Type="http://schemas.openxmlformats.org/officeDocument/2006/relationships/hyperlink" Target="http://eltweb04.elta.iai/pls/iman_Production/link_to_iman?item_id=CRCW0603301RFKEA" TargetMode="External"/><Relationship Id="rId335" Type="http://schemas.openxmlformats.org/officeDocument/2006/relationships/hyperlink" Target="http://eltweb04.elta.iai/pls/iman_Production/link_to_iman?item_id=1094F184-001" TargetMode="External"/><Relationship Id="rId377" Type="http://schemas.openxmlformats.org/officeDocument/2006/relationships/hyperlink" Target="http://eltweb04.elta.iai/pls/iman_Production/link_to_iman?item_id=1096L960-001" TargetMode="External"/><Relationship Id="rId5" Type="http://schemas.openxmlformats.org/officeDocument/2006/relationships/hyperlink" Target="http://eltweb04.elta.iai/pls/iman_Production/link_to_iman?item_id=TS0302W3" TargetMode="External"/><Relationship Id="rId181" Type="http://schemas.openxmlformats.org/officeDocument/2006/relationships/hyperlink" Target="http://eltweb04.elta.iai/pls/iman_Production/link_to_iman?item_id=293D475X9016A2TE3" TargetMode="External"/><Relationship Id="rId237" Type="http://schemas.openxmlformats.org/officeDocument/2006/relationships/hyperlink" Target="http://eltweb04.elta.iai/pls/iman_Production/link_to_iman?item_id=1099M223-002" TargetMode="External"/><Relationship Id="rId402" Type="http://schemas.openxmlformats.org/officeDocument/2006/relationships/hyperlink" Target="http://eltweb04.elta.iai/pls/iman_Production/link_to_iman?item_id=ADT-2793-TF-SMF-02" TargetMode="External"/><Relationship Id="rId279" Type="http://schemas.openxmlformats.org/officeDocument/2006/relationships/hyperlink" Target="http://eltweb04.elta.iai/pls/iman_Production/link_to_iman?item_id=1038B910-001" TargetMode="External"/><Relationship Id="rId444" Type="http://schemas.openxmlformats.org/officeDocument/2006/relationships/hyperlink" Target="http://eltweb04.elta.iai/pls/iman_Production/link_to_iman?item_id=NAS662C2R3" TargetMode="External"/><Relationship Id="rId43" Type="http://schemas.openxmlformats.org/officeDocument/2006/relationships/hyperlink" Target="http://eltweb04.elta.iai/pls/iman_Production/link_to_iman?item_id=NAS1581C4T5" TargetMode="External"/><Relationship Id="rId139" Type="http://schemas.openxmlformats.org/officeDocument/2006/relationships/hyperlink" Target="http://eltweb04.elta.iai/pls/iman_Production/link_to_iman?item_id=CRCW040280K6FKED" TargetMode="External"/><Relationship Id="rId290" Type="http://schemas.openxmlformats.org/officeDocument/2006/relationships/hyperlink" Target="http://eltweb04.elta.iai/pls/iman_Production/link_to_iman?item_id=0505P100JW151XTV" TargetMode="External"/><Relationship Id="rId304" Type="http://schemas.openxmlformats.org/officeDocument/2006/relationships/hyperlink" Target="http://eltweb04.elta.iai/pls/iman_Production/link_to_iman?item_id=1022L967-003" TargetMode="External"/><Relationship Id="rId346" Type="http://schemas.openxmlformats.org/officeDocument/2006/relationships/hyperlink" Target="http://eltweb04.elta.iai/pls/iman_Production/link_to_iman?item_id=1094F825-001" TargetMode="External"/><Relationship Id="rId388" Type="http://schemas.openxmlformats.org/officeDocument/2006/relationships/hyperlink" Target="http://eltweb04.elta.iai/pls/iman_Production/link_to_iman?item_id=6930B621-002" TargetMode="External"/><Relationship Id="rId85" Type="http://schemas.openxmlformats.org/officeDocument/2006/relationships/hyperlink" Target="http://eltweb04.elta.iai/pls/iman_Production/link_to_iman?item_id=LOCTITE%20222-10CC" TargetMode="External"/><Relationship Id="rId150" Type="http://schemas.openxmlformats.org/officeDocument/2006/relationships/hyperlink" Target="http://eltweb04.elta.iai/pls/iman_Production/link_to_iman?item_id=CL05C010BB5NNNC" TargetMode="External"/><Relationship Id="rId192" Type="http://schemas.openxmlformats.org/officeDocument/2006/relationships/hyperlink" Target="http://eltweb04.elta.iai/pls/iman_Production/link_to_iman?item_id=10S519-S60N3" TargetMode="External"/><Relationship Id="rId206" Type="http://schemas.openxmlformats.org/officeDocument/2006/relationships/hyperlink" Target="http://eltweb04.elta.iai/pls/iman_Production/link_to_iman?item_id=1099M337-001" TargetMode="External"/><Relationship Id="rId413" Type="http://schemas.openxmlformats.org/officeDocument/2006/relationships/hyperlink" Target="http://eltweb04.elta.iai/pls/iman_Production/link_to_iman?item_id=FT1737HS-8-8-A" TargetMode="External"/><Relationship Id="rId248" Type="http://schemas.openxmlformats.org/officeDocument/2006/relationships/hyperlink" Target="http://eltweb04.elta.iai/pls/iman_Production/link_to_iman?item_id=1096M282-001" TargetMode="External"/><Relationship Id="rId455" Type="http://schemas.openxmlformats.org/officeDocument/2006/relationships/hyperlink" Target="http://eltweb04.elta.iai/pls/iman_Production/link_to_iman?item_id=TVBJW-13-35SPA" TargetMode="External"/><Relationship Id="rId12" Type="http://schemas.openxmlformats.org/officeDocument/2006/relationships/hyperlink" Target="http://eltweb04.elta.iai/pls/iman_Production/link_to_iman?item_id=TGP-A0232" TargetMode="External"/><Relationship Id="rId108" Type="http://schemas.openxmlformats.org/officeDocument/2006/relationships/hyperlink" Target="http://eltweb04.elta.iai/pls/iman_Production/link_to_iman?item_id=D791639-8/10-B" TargetMode="External"/><Relationship Id="rId315" Type="http://schemas.openxmlformats.org/officeDocument/2006/relationships/hyperlink" Target="http://eltweb04.elta.iai/pls/iman_Production/link_to_iman?item_id=1037M821-001" TargetMode="External"/><Relationship Id="rId357" Type="http://schemas.openxmlformats.org/officeDocument/2006/relationships/hyperlink" Target="http://eltweb04.elta.iai/pls/iman_Production/link_to_iman?item_id=1094J275-001" TargetMode="External"/><Relationship Id="rId54" Type="http://schemas.openxmlformats.org/officeDocument/2006/relationships/hyperlink" Target="http://eltweb04.elta.iai/pls/iman_Production/link_to_iman?item_id=MS51957-14" TargetMode="External"/><Relationship Id="rId96" Type="http://schemas.openxmlformats.org/officeDocument/2006/relationships/hyperlink" Target="http://eltweb04.elta.iai/pls/iman_Production/link_to_iman?item_id=HEXPLY%20913G/7781/37%25" TargetMode="External"/><Relationship Id="rId161" Type="http://schemas.openxmlformats.org/officeDocument/2006/relationships/hyperlink" Target="http://eltweb04.elta.iai/pls/iman_Production/link_to_iman?item_id=C0402C101J3GACTU" TargetMode="External"/><Relationship Id="rId217" Type="http://schemas.openxmlformats.org/officeDocument/2006/relationships/hyperlink" Target="http://eltweb04.elta.iai/pls/iman_Production/link_to_iman?item_id=1099M310-002" TargetMode="External"/><Relationship Id="rId399" Type="http://schemas.openxmlformats.org/officeDocument/2006/relationships/hyperlink" Target="http://eltweb04.elta.iai/pls/iman_Production/link_to_iman?item_id=6931A451-001" TargetMode="External"/><Relationship Id="rId259" Type="http://schemas.openxmlformats.org/officeDocument/2006/relationships/hyperlink" Target="http://eltweb04.elta.iai/pls/iman_Production/link_to_iman?item_id=1094V799-002" TargetMode="External"/><Relationship Id="rId424" Type="http://schemas.openxmlformats.org/officeDocument/2006/relationships/hyperlink" Target="http://eltweb04.elta.iai/pls/iman_Production/link_to_iman?item_id=MS24693-C26" TargetMode="External"/><Relationship Id="rId466" Type="http://schemas.openxmlformats.org/officeDocument/2006/relationships/hyperlink" Target="http://eltweb04.elta.iai/pls/iman_Production/link_to_iman?item_id=RTV162WHITE-TU3OZ" TargetMode="External"/><Relationship Id="rId23" Type="http://schemas.openxmlformats.org/officeDocument/2006/relationships/hyperlink" Target="http://eltweb04.elta.iai/pls/iman_Production/link_to_iman?item_id=R404.210.000" TargetMode="External"/><Relationship Id="rId119" Type="http://schemas.openxmlformats.org/officeDocument/2006/relationships/hyperlink" Target="http://eltweb04.elta.iai/pls/iman_Production/link_to_iman?item_id=CRCW080523K2FKEA" TargetMode="External"/><Relationship Id="rId270" Type="http://schemas.openxmlformats.org/officeDocument/2006/relationships/hyperlink" Target="http://eltweb04.elta.iai/pls/iman_Production/link_to_iman?item_id=1093J357-001" TargetMode="External"/><Relationship Id="rId326" Type="http://schemas.openxmlformats.org/officeDocument/2006/relationships/hyperlink" Target="http://eltweb04.elta.iai/pls/iman_Production/link_to_iman?item_id=1037M850-001" TargetMode="External"/><Relationship Id="rId65" Type="http://schemas.openxmlformats.org/officeDocument/2006/relationships/hyperlink" Target="http://eltweb04.elta.iai/pls/iman_Production/link_to_iman?item_id=MS16995-19" TargetMode="External"/><Relationship Id="rId130" Type="http://schemas.openxmlformats.org/officeDocument/2006/relationships/hyperlink" Target="http://eltweb04.elta.iai/pls/iman_Production/link_to_iman?item_id=CRCW0603221RFKEA" TargetMode="External"/><Relationship Id="rId368" Type="http://schemas.openxmlformats.org/officeDocument/2006/relationships/hyperlink" Target="http://eltweb04.elta.iai/pls/iman_Production/link_to_iman?item_id=1094Y686-001" TargetMode="External"/><Relationship Id="rId172" Type="http://schemas.openxmlformats.org/officeDocument/2006/relationships/hyperlink" Target="http://eltweb04.elta.iai/pls/iman_Production/link_to_iman?item_id=74ACT04SCX" TargetMode="External"/><Relationship Id="rId228" Type="http://schemas.openxmlformats.org/officeDocument/2006/relationships/hyperlink" Target="http://eltweb04.elta.iai/pls/iman_Production/link_to_iman?item_id=1099M235-001" TargetMode="External"/><Relationship Id="rId435" Type="http://schemas.openxmlformats.org/officeDocument/2006/relationships/hyperlink" Target="http://eltweb04.elta.iai/pls/iman_Production/link_to_iman?item_id=MS51957-33" TargetMode="External"/><Relationship Id="rId281" Type="http://schemas.openxmlformats.org/officeDocument/2006/relationships/hyperlink" Target="http://eltweb04.elta.iai/pls/iman_Production/link_to_iman?item_id=1038B851-001" TargetMode="External"/><Relationship Id="rId337" Type="http://schemas.openxmlformats.org/officeDocument/2006/relationships/hyperlink" Target="http://eltweb04.elta.iai/pls/iman_Production/link_to_iman?item_id=1094F198-001" TargetMode="External"/><Relationship Id="rId34" Type="http://schemas.openxmlformats.org/officeDocument/2006/relationships/hyperlink" Target="http://eltweb04.elta.iai/pls/iman_Production/link_to_iman?item_id=NC7ST04P5X" TargetMode="External"/><Relationship Id="rId76" Type="http://schemas.openxmlformats.org/officeDocument/2006/relationships/hyperlink" Target="http://eltweb04.elta.iai/pls/iman_Production/link_to_iman?item_id=M80-5S22005M7" TargetMode="External"/><Relationship Id="rId141" Type="http://schemas.openxmlformats.org/officeDocument/2006/relationships/hyperlink" Target="http://eltweb04.elta.iai/pls/iman_Production/link_to_iman?item_id=CRCW040224R3FKED" TargetMode="External"/><Relationship Id="rId379" Type="http://schemas.openxmlformats.org/officeDocument/2006/relationships/hyperlink" Target="http://eltweb04.elta.iai/pls/iman_Production/link_to_iman?item_id=1096L965-001" TargetMode="External"/><Relationship Id="rId7" Type="http://schemas.openxmlformats.org/officeDocument/2006/relationships/hyperlink" Target="http://eltweb04.elta.iai/pls/iman_Production/link_to_iman?item_id=TS0300S" TargetMode="External"/><Relationship Id="rId183" Type="http://schemas.openxmlformats.org/officeDocument/2006/relationships/hyperlink" Target="http://eltweb04.elta.iai/pls/iman_Production/link_to_iman?item_id=293D106X9010A2TE3" TargetMode="External"/><Relationship Id="rId239" Type="http://schemas.openxmlformats.org/officeDocument/2006/relationships/hyperlink" Target="http://eltweb04.elta.iai/pls/iman_Production/link_to_iman?item_id=1097U077-001" TargetMode="External"/><Relationship Id="rId390" Type="http://schemas.openxmlformats.org/officeDocument/2006/relationships/hyperlink" Target="http://eltweb04.elta.iai/pls/iman_Production/link_to_iman?item_id=6931A081-001" TargetMode="External"/><Relationship Id="rId404" Type="http://schemas.openxmlformats.org/officeDocument/2006/relationships/hyperlink" Target="http://eltweb04.elta.iai/pls/iman_Production/link_to_iman?item_id=BACS38K4" TargetMode="External"/><Relationship Id="rId446" Type="http://schemas.openxmlformats.org/officeDocument/2006/relationships/hyperlink" Target="http://eltweb04.elta.iai/pls/iman_Production/link_to_iman?item_id=PTL-10-426" TargetMode="External"/><Relationship Id="rId250" Type="http://schemas.openxmlformats.org/officeDocument/2006/relationships/hyperlink" Target="http://eltweb04.elta.iai/pls/iman_Production/link_to_iman?item_id=1096M280-001" TargetMode="External"/><Relationship Id="rId292" Type="http://schemas.openxmlformats.org/officeDocument/2006/relationships/hyperlink" Target="http://eltweb04.elta.iai/pls/iman_Production/link_to_iman?item_id=0466.500NR" TargetMode="External"/><Relationship Id="rId306" Type="http://schemas.openxmlformats.org/officeDocument/2006/relationships/hyperlink" Target="http://eltweb04.elta.iai/pls/iman_Production/link_to_iman?item_id=1033A299-001" TargetMode="External"/><Relationship Id="rId45" Type="http://schemas.openxmlformats.org/officeDocument/2006/relationships/hyperlink" Target="http://eltweb04.elta.iai/pls/iman_Production/link_to_iman?item_id=NAS1352C02-9" TargetMode="External"/><Relationship Id="rId87" Type="http://schemas.openxmlformats.org/officeDocument/2006/relationships/hyperlink" Target="http://eltweb04.elta.iai/pls/iman_Production/link_to_iman?item_id=JCM2900T3400VM1R" TargetMode="External"/><Relationship Id="rId110" Type="http://schemas.openxmlformats.org/officeDocument/2006/relationships/hyperlink" Target="http://eltweb04.elta.iai/pls/iman_Production/link_to_iman?item_id=D38999/33W19N" TargetMode="External"/><Relationship Id="rId348" Type="http://schemas.openxmlformats.org/officeDocument/2006/relationships/hyperlink" Target="http://eltweb04.elta.iai/pls/iman_Production/link_to_iman?item_id=1094F827-001" TargetMode="External"/><Relationship Id="rId152" Type="http://schemas.openxmlformats.org/officeDocument/2006/relationships/hyperlink" Target="http://eltweb04.elta.iai/pls/iman_Production/link_to_iman?item_id=C4532X5R1A476M280KA" TargetMode="External"/><Relationship Id="rId194" Type="http://schemas.openxmlformats.org/officeDocument/2006/relationships/hyperlink" Target="http://eltweb04.elta.iai/pls/iman_Production/link_to_iman?item_id=1099R718-001" TargetMode="External"/><Relationship Id="rId208" Type="http://schemas.openxmlformats.org/officeDocument/2006/relationships/hyperlink" Target="http://eltweb04.elta.iai/pls/iman_Production/link_to_iman?item_id=1099M335-001" TargetMode="External"/><Relationship Id="rId415" Type="http://schemas.openxmlformats.org/officeDocument/2006/relationships/hyperlink" Target="http://eltweb04.elta.iai/pls/iman_Production/link_to_iman?item_id=M24308/26-1F" TargetMode="External"/><Relationship Id="rId457" Type="http://schemas.openxmlformats.org/officeDocument/2006/relationships/hyperlink" Target="http://eltweb04.elta.iai/pls/iman_Production/link_to_iman?item_id=MOLYCOTE%204%20100GR" TargetMode="External"/><Relationship Id="rId261" Type="http://schemas.openxmlformats.org/officeDocument/2006/relationships/hyperlink" Target="http://eltweb04.elta.iai/pls/iman_Production/link_to_iman?item_id=1094V797-001" TargetMode="External"/><Relationship Id="rId14" Type="http://schemas.openxmlformats.org/officeDocument/2006/relationships/hyperlink" Target="http://eltweb04.elta.iai/pls/iman_Production/link_to_iman?item_id=SN74LVTH16244ADGGR" TargetMode="External"/><Relationship Id="rId56" Type="http://schemas.openxmlformats.org/officeDocument/2006/relationships/hyperlink" Target="http://eltweb04.elta.iai/pls/iman_Production/link_to_iman?item_id=MS35338-137" TargetMode="External"/><Relationship Id="rId317" Type="http://schemas.openxmlformats.org/officeDocument/2006/relationships/hyperlink" Target="http://eltweb04.elta.iai/pls/iman_Production/link_to_iman?item_id=1037M823-001" TargetMode="External"/><Relationship Id="rId359" Type="http://schemas.openxmlformats.org/officeDocument/2006/relationships/hyperlink" Target="http://eltweb04.elta.iai/pls/iman_Production/link_to_iman?item_id=1094J287-001" TargetMode="External"/><Relationship Id="rId98" Type="http://schemas.openxmlformats.org/officeDocument/2006/relationships/hyperlink" Target="http://eltweb04.elta.iai/pls/iman_Production/link_to_iman?item_id=GRM188Z71C475KE21D" TargetMode="External"/><Relationship Id="rId121" Type="http://schemas.openxmlformats.org/officeDocument/2006/relationships/hyperlink" Target="http://eltweb04.elta.iai/pls/iman_Production/link_to_iman?item_id=CRCW060390K9FKTA" TargetMode="External"/><Relationship Id="rId163" Type="http://schemas.openxmlformats.org/officeDocument/2006/relationships/hyperlink" Target="http://eltweb04.elta.iai/pls/iman_Production/link_to_iman?item_id=BLM31PG500SN1L" TargetMode="External"/><Relationship Id="rId219" Type="http://schemas.openxmlformats.org/officeDocument/2006/relationships/hyperlink" Target="http://eltweb04.elta.iai/pls/iman_Production/link_to_iman?item_id=1099M269-001" TargetMode="External"/><Relationship Id="rId370" Type="http://schemas.openxmlformats.org/officeDocument/2006/relationships/hyperlink" Target="http://eltweb04.elta.iai/pls/iman_Production/link_to_iman?item_id=1094Y691-001" TargetMode="External"/><Relationship Id="rId426" Type="http://schemas.openxmlformats.org/officeDocument/2006/relationships/hyperlink" Target="http://eltweb04.elta.iai/pls/iman_Production/link_to_iman?item_id=MS3367-5-9" TargetMode="External"/><Relationship Id="rId230" Type="http://schemas.openxmlformats.org/officeDocument/2006/relationships/hyperlink" Target="http://eltweb04.elta.iai/pls/iman_Production/link_to_iman?item_id=1099M233-001" TargetMode="External"/><Relationship Id="rId468" Type="http://schemas.openxmlformats.org/officeDocument/2006/relationships/hyperlink" Target="http://eltweb04.elta.iai/pls/iman_Production/link_to_iman?item_id=FT1033-2L" TargetMode="External"/><Relationship Id="rId25" Type="http://schemas.openxmlformats.org/officeDocument/2006/relationships/hyperlink" Target="http://eltweb04.elta.iai/pls/iman_Production/link_to_iman?item_id=PTL-16-426" TargetMode="External"/><Relationship Id="rId67" Type="http://schemas.openxmlformats.org/officeDocument/2006/relationships/hyperlink" Target="http://eltweb04.elta.iai/pls/iman_Production/link_to_iman?item_id=MS16995-17" TargetMode="External"/><Relationship Id="rId272" Type="http://schemas.openxmlformats.org/officeDocument/2006/relationships/hyperlink" Target="http://eltweb04.elta.iai/pls/iman_Production/link_to_iman?item_id=1039H771-001" TargetMode="External"/><Relationship Id="rId328" Type="http://schemas.openxmlformats.org/officeDocument/2006/relationships/hyperlink" Target="http://eltweb04.elta.iai/pls/iman_Production/link_to_iman?item_id=1039F570-002" TargetMode="External"/><Relationship Id="rId132" Type="http://schemas.openxmlformats.org/officeDocument/2006/relationships/hyperlink" Target="http://eltweb04.elta.iai/pls/iman_Production/link_to_iman?item_id=CRCW06031K00FKEA" TargetMode="External"/><Relationship Id="rId174" Type="http://schemas.openxmlformats.org/officeDocument/2006/relationships/hyperlink" Target="http://eltweb04.elta.iai/pls/iman_Production/link_to_iman?item_id=597D476X9050Z2T" TargetMode="External"/><Relationship Id="rId381" Type="http://schemas.openxmlformats.org/officeDocument/2006/relationships/hyperlink" Target="http://eltweb04.elta.iai/pls/iman_Production/link_to_iman?item_id=1469074-1" TargetMode="External"/><Relationship Id="rId241" Type="http://schemas.openxmlformats.org/officeDocument/2006/relationships/hyperlink" Target="http://eltweb04.elta.iai/pls/iman_Production/link_to_iman?item_id=1097A510-001" TargetMode="External"/><Relationship Id="rId437" Type="http://schemas.openxmlformats.org/officeDocument/2006/relationships/hyperlink" Target="http://eltweb04.elta.iai/pls/iman_Production/link_to_iman?item_id=MS51957-7" TargetMode="External"/><Relationship Id="rId36" Type="http://schemas.openxmlformats.org/officeDocument/2006/relationships/hyperlink" Target="http://eltweb04.elta.iai/pls/iman_Production/link_to_iman?item_id=NAS620C8" TargetMode="External"/><Relationship Id="rId283" Type="http://schemas.openxmlformats.org/officeDocument/2006/relationships/hyperlink" Target="http://eltweb04.elta.iai/pls/iman_Production/link_to_iman?item_id=1038B801-001" TargetMode="External"/><Relationship Id="rId339" Type="http://schemas.openxmlformats.org/officeDocument/2006/relationships/hyperlink" Target="http://eltweb04.elta.iai/pls/iman_Production/link_to_iman?item_id=1094F207-001" TargetMode="External"/><Relationship Id="rId78" Type="http://schemas.openxmlformats.org/officeDocument/2006/relationships/hyperlink" Target="http://eltweb04.elta.iai/pls/iman_Production/link_to_iman?item_id=LTC4444HMS8E-5" TargetMode="External"/><Relationship Id="rId101" Type="http://schemas.openxmlformats.org/officeDocument/2006/relationships/hyperlink" Target="http://eltweb04.elta.iai/pls/iman_Production/link_to_iman?item_id=FT1737HS-10-8-A" TargetMode="External"/><Relationship Id="rId143" Type="http://schemas.openxmlformats.org/officeDocument/2006/relationships/hyperlink" Target="http://eltweb04.elta.iai/pls/iman_Production/link_to_iman?item_id=CRCW04021M00FKED" TargetMode="External"/><Relationship Id="rId185" Type="http://schemas.openxmlformats.org/officeDocument/2006/relationships/hyperlink" Target="http://eltweb04.elta.iai/pls/iman_Production/link_to_iman?item_id=221T34F24" TargetMode="External"/><Relationship Id="rId350" Type="http://schemas.openxmlformats.org/officeDocument/2006/relationships/hyperlink" Target="http://eltweb04.elta.iai/pls/iman_Production/link_to_iman?item_id=1094F869-001" TargetMode="External"/><Relationship Id="rId406" Type="http://schemas.openxmlformats.org/officeDocument/2006/relationships/hyperlink" Target="http://eltweb04.elta.iai/pls/iman_Production/link_to_iman?item_id=C0402C104K4RACTU" TargetMode="External"/><Relationship Id="rId9" Type="http://schemas.openxmlformats.org/officeDocument/2006/relationships/hyperlink" Target="http://eltweb04.elta.iai/pls/iman_Production/link_to_iman?item_id=TQP369184" TargetMode="External"/><Relationship Id="rId210" Type="http://schemas.openxmlformats.org/officeDocument/2006/relationships/hyperlink" Target="http://eltweb04.elta.iai/pls/iman_Production/link_to_iman?item_id=1099M321-001" TargetMode="External"/><Relationship Id="rId392" Type="http://schemas.openxmlformats.org/officeDocument/2006/relationships/hyperlink" Target="http://eltweb04.elta.iai/pls/iman_Production/link_to_iman?item_id=6931A091-001" TargetMode="External"/><Relationship Id="rId448" Type="http://schemas.openxmlformats.org/officeDocument/2006/relationships/hyperlink" Target="http://eltweb04.elta.iai/pls/iman_Production/link_to_iman?item_id=R222.723.110" TargetMode="External"/><Relationship Id="rId252" Type="http://schemas.openxmlformats.org/officeDocument/2006/relationships/hyperlink" Target="http://eltweb04.elta.iai/pls/iman_Production/link_to_iman?item_id=1096H331-001" TargetMode="External"/><Relationship Id="rId294" Type="http://schemas.openxmlformats.org/officeDocument/2006/relationships/hyperlink" Target="http://eltweb04.elta.iai/pls/iman_Production/link_to_iman?item_id=0440.500WR" TargetMode="External"/><Relationship Id="rId308" Type="http://schemas.openxmlformats.org/officeDocument/2006/relationships/hyperlink" Target="http://eltweb04.elta.iai/pls/iman_Production/link_to_iman?item_id=1037M713-001" TargetMode="External"/><Relationship Id="rId47" Type="http://schemas.openxmlformats.org/officeDocument/2006/relationships/hyperlink" Target="http://eltweb04.elta.iai/pls/iman_Production/link_to_iman?item_id=MS51957-32" TargetMode="External"/><Relationship Id="rId89" Type="http://schemas.openxmlformats.org/officeDocument/2006/relationships/hyperlink" Target="http://eltweb04.elta.iai/pls/iman_Production/link_to_iman?item_id=IAC-2512-WA-02-D0" TargetMode="External"/><Relationship Id="rId112" Type="http://schemas.openxmlformats.org/officeDocument/2006/relationships/hyperlink" Target="http://eltweb04.elta.iai/pls/iman_Production/link_to_iman?item_id=CSD16325Q5C" TargetMode="External"/><Relationship Id="rId154" Type="http://schemas.openxmlformats.org/officeDocument/2006/relationships/hyperlink" Target="http://eltweb04.elta.iai/pls/iman_Production/link_to_iman?item_id=C10-218" TargetMode="External"/><Relationship Id="rId361" Type="http://schemas.openxmlformats.org/officeDocument/2006/relationships/hyperlink" Target="http://eltweb04.elta.iai/pls/iman_Production/link_to_iman?item_id=1094K662-001" TargetMode="External"/><Relationship Id="rId196" Type="http://schemas.openxmlformats.org/officeDocument/2006/relationships/hyperlink" Target="http://eltweb04.elta.iai/pls/iman_Production/link_to_iman?item_id=1099R700-001" TargetMode="External"/><Relationship Id="rId417" Type="http://schemas.openxmlformats.org/officeDocument/2006/relationships/hyperlink" Target="http://eltweb04.elta.iai/pls/iman_Production/link_to_iman?item_id=MS124695" TargetMode="External"/><Relationship Id="rId459" Type="http://schemas.openxmlformats.org/officeDocument/2006/relationships/hyperlink" Target="http://eltweb04.elta.iai/pls/iman_Production/link_to_iman?item_id=6931A202-001" TargetMode="External"/><Relationship Id="rId16" Type="http://schemas.openxmlformats.org/officeDocument/2006/relationships/hyperlink" Target="http://eltweb04.elta.iai/pls/iman_Production/link_to_iman?item_id=SMBJ28A-E3/52" TargetMode="External"/><Relationship Id="rId221" Type="http://schemas.openxmlformats.org/officeDocument/2006/relationships/hyperlink" Target="http://eltweb04.elta.iai/pls/iman_Production/link_to_iman?item_id=1099M255-001" TargetMode="External"/><Relationship Id="rId263" Type="http://schemas.openxmlformats.org/officeDocument/2006/relationships/hyperlink" Target="http://eltweb04.elta.iai/pls/iman_Production/link_to_iman?item_id=1094R482-001" TargetMode="External"/><Relationship Id="rId319" Type="http://schemas.openxmlformats.org/officeDocument/2006/relationships/hyperlink" Target="http://eltweb04.elta.iai/pls/iman_Production/link_to_iman?item_id=1037M833-001" TargetMode="External"/><Relationship Id="rId470" Type="http://schemas.openxmlformats.org/officeDocument/2006/relationships/vmlDrawing" Target="../drawings/vmlDrawing1.vml"/><Relationship Id="rId58" Type="http://schemas.openxmlformats.org/officeDocument/2006/relationships/hyperlink" Target="http://eltweb04.elta.iai/pls/iman_Production/link_to_iman?item_id=MS35338-135" TargetMode="External"/><Relationship Id="rId123" Type="http://schemas.openxmlformats.org/officeDocument/2006/relationships/hyperlink" Target="http://eltweb04.elta.iai/pls/iman_Production/link_to_iman?item_id=CRCW0603825RFKEA" TargetMode="External"/><Relationship Id="rId330" Type="http://schemas.openxmlformats.org/officeDocument/2006/relationships/hyperlink" Target="http://eltweb04.elta.iai/pls/iman_Production/link_to_iman?item_id=1039F843-001" TargetMode="External"/><Relationship Id="rId165" Type="http://schemas.openxmlformats.org/officeDocument/2006/relationships/hyperlink" Target="http://eltweb04.elta.iai/pls/iman_Production/link_to_iman?item_id=BLM15EG221SN1D" TargetMode="External"/><Relationship Id="rId372" Type="http://schemas.openxmlformats.org/officeDocument/2006/relationships/hyperlink" Target="http://eltweb04.elta.iai/pls/iman_Production/link_to_iman?item_id=1094Y693-001" TargetMode="External"/><Relationship Id="rId428" Type="http://schemas.openxmlformats.org/officeDocument/2006/relationships/hyperlink" Target="http://eltweb04.elta.iai/pls/iman_Production/link_to_iman?item_id=MS35338-138" TargetMode="External"/><Relationship Id="rId232" Type="http://schemas.openxmlformats.org/officeDocument/2006/relationships/hyperlink" Target="http://eltweb04.elta.iai/pls/iman_Production/link_to_iman?item_id=1099M231-001" TargetMode="External"/><Relationship Id="rId274" Type="http://schemas.openxmlformats.org/officeDocument/2006/relationships/hyperlink" Target="http://eltweb04.elta.iai/pls/iman_Production/link_to_iman?item_id=1038H564-001" TargetMode="External"/><Relationship Id="rId27" Type="http://schemas.openxmlformats.org/officeDocument/2006/relationships/hyperlink" Target="http://eltweb04.elta.iai/pls/iman_Production/link_to_iman?item_id=PLT1M-M" TargetMode="External"/><Relationship Id="rId69" Type="http://schemas.openxmlformats.org/officeDocument/2006/relationships/hyperlink" Target="http://eltweb04.elta.iai/pls/iman_Production/link_to_iman?item_id=MMBT2222ALT1G" TargetMode="External"/><Relationship Id="rId134" Type="http://schemas.openxmlformats.org/officeDocument/2006/relationships/hyperlink" Target="http://eltweb04.elta.iai/pls/iman_Production/link_to_iman?item_id=CRCW0603110KFKTA" TargetMode="External"/><Relationship Id="rId80" Type="http://schemas.openxmlformats.org/officeDocument/2006/relationships/hyperlink" Target="http://eltweb04.elta.iai/pls/iman_Production/link_to_iman?item_id=LT1964IDD" TargetMode="External"/><Relationship Id="rId176" Type="http://schemas.openxmlformats.org/officeDocument/2006/relationships/hyperlink" Target="http://eltweb04.elta.iai/pls/iman_Production/link_to_iman?item_id=542-50CC" TargetMode="External"/><Relationship Id="rId341" Type="http://schemas.openxmlformats.org/officeDocument/2006/relationships/hyperlink" Target="http://eltweb04.elta.iai/pls/iman_Production/link_to_iman?item_id=1094F211-002" TargetMode="External"/><Relationship Id="rId383" Type="http://schemas.openxmlformats.org/officeDocument/2006/relationships/hyperlink" Target="http://eltweb04.elta.iai/pls/iman_Production/link_to_iman?item_id=19S732-K04S5" TargetMode="External"/><Relationship Id="rId439" Type="http://schemas.openxmlformats.org/officeDocument/2006/relationships/hyperlink" Target="http://eltweb04.elta.iai/pls/iman_Production/link_to_iman?item_id=NAS1352C02-5" TargetMode="External"/><Relationship Id="rId201" Type="http://schemas.openxmlformats.org/officeDocument/2006/relationships/hyperlink" Target="http://eltweb04.elta.iai/pls/iman_Production/link_to_iman?item_id=1099M362-001" TargetMode="External"/><Relationship Id="rId243" Type="http://schemas.openxmlformats.org/officeDocument/2006/relationships/hyperlink" Target="http://eltweb04.elta.iai/pls/iman_Production/link_to_iman?item_id=1096M296-001" TargetMode="External"/><Relationship Id="rId285" Type="http://schemas.openxmlformats.org/officeDocument/2006/relationships/hyperlink" Target="http://eltweb04.elta.iai/pls/iman_Production/link_to_iman?item_id=1018419" TargetMode="External"/><Relationship Id="rId450" Type="http://schemas.openxmlformats.org/officeDocument/2006/relationships/hyperlink" Target="http://eltweb04.elta.iai/pls/iman_Production/link_to_iman?item_id=R404N05000" TargetMode="External"/><Relationship Id="rId38" Type="http://schemas.openxmlformats.org/officeDocument/2006/relationships/hyperlink" Target="http://eltweb04.elta.iai/pls/iman_Production/link_to_iman?item_id=NAS620C4L" TargetMode="External"/><Relationship Id="rId103" Type="http://schemas.openxmlformats.org/officeDocument/2006/relationships/hyperlink" Target="http://eltweb04.elta.iai/pls/iman_Production/link_to_iman?item_id=EPCQ64ASI16N" TargetMode="External"/><Relationship Id="rId310" Type="http://schemas.openxmlformats.org/officeDocument/2006/relationships/hyperlink" Target="http://eltweb04.elta.iai/pls/iman_Production/link_to_iman?item_id=1037M730-001" TargetMode="External"/><Relationship Id="rId91" Type="http://schemas.openxmlformats.org/officeDocument/2006/relationships/hyperlink" Target="http://eltweb04.elta.iai/pls/iman_Production/link_to_iman?item_id=HSMS-C680" TargetMode="External"/><Relationship Id="rId145" Type="http://schemas.openxmlformats.org/officeDocument/2006/relationships/hyperlink" Target="http://eltweb04.elta.iai/pls/iman_Production/link_to_iman?item_id=CRCW040210R0FKED" TargetMode="External"/><Relationship Id="rId187" Type="http://schemas.openxmlformats.org/officeDocument/2006/relationships/hyperlink" Target="http://eltweb04.elta.iai/pls/iman_Production/link_to_iman?item_id=19S11T-40ML5" TargetMode="External"/><Relationship Id="rId352" Type="http://schemas.openxmlformats.org/officeDocument/2006/relationships/hyperlink" Target="http://eltweb04.elta.iai/pls/iman_Production/link_to_iman?item_id=1094F875-001" TargetMode="External"/><Relationship Id="rId394" Type="http://schemas.openxmlformats.org/officeDocument/2006/relationships/hyperlink" Target="http://eltweb04.elta.iai/pls/iman_Production/link_to_iman?item_id=6931A201-001" TargetMode="External"/><Relationship Id="rId408" Type="http://schemas.openxmlformats.org/officeDocument/2006/relationships/hyperlink" Target="http://eltweb04.elta.iai/pls/iman_Production/link_to_iman?item_id=CRCW04021K00FKTD" TargetMode="External"/><Relationship Id="rId212" Type="http://schemas.openxmlformats.org/officeDocument/2006/relationships/hyperlink" Target="http://eltweb04.elta.iai/pls/iman_Production/link_to_iman?item_id=1099M319-001" TargetMode="External"/><Relationship Id="rId254" Type="http://schemas.openxmlformats.org/officeDocument/2006/relationships/hyperlink" Target="http://eltweb04.elta.iai/pls/iman_Production/link_to_iman?item_id=1094V829-001" TargetMode="External"/><Relationship Id="rId49" Type="http://schemas.openxmlformats.org/officeDocument/2006/relationships/hyperlink" Target="http://eltweb04.elta.iai/pls/iman_Production/link_to_iman?item_id=MS51957-3" TargetMode="External"/><Relationship Id="rId114" Type="http://schemas.openxmlformats.org/officeDocument/2006/relationships/hyperlink" Target="http://eltweb04.elta.iai/pls/iman_Production/link_to_iman?item_id=CRCW12061K10FKEA" TargetMode="External"/><Relationship Id="rId296" Type="http://schemas.openxmlformats.org/officeDocument/2006/relationships/hyperlink" Target="http://eltweb04.elta.iai/pls/iman_Production/link_to_iman?item_id=04021J0R7PBSTR" TargetMode="External"/><Relationship Id="rId461" Type="http://schemas.openxmlformats.org/officeDocument/2006/relationships/hyperlink" Target="http://eltweb04.elta.iai/pls/iman_Production/link_to_iman?item_id=6931A204-001" TargetMode="External"/><Relationship Id="rId60" Type="http://schemas.openxmlformats.org/officeDocument/2006/relationships/hyperlink" Target="http://eltweb04.elta.iai/pls/iman_Production/link_to_iman?item_id=MS3213-22" TargetMode="External"/><Relationship Id="rId156" Type="http://schemas.openxmlformats.org/officeDocument/2006/relationships/hyperlink" Target="http://eltweb04.elta.iai/pls/iman_Production/link_to_iman?item_id=C0603C560G5GACTU" TargetMode="External"/><Relationship Id="rId198" Type="http://schemas.openxmlformats.org/officeDocument/2006/relationships/hyperlink" Target="http://eltweb04.elta.iai/pls/iman_Production/link_to_iman?item_id=1099M370-001" TargetMode="External"/><Relationship Id="rId321" Type="http://schemas.openxmlformats.org/officeDocument/2006/relationships/hyperlink" Target="http://eltweb04.elta.iai/pls/iman_Production/link_to_iman?item_id=1037M835-001" TargetMode="External"/><Relationship Id="rId363" Type="http://schemas.openxmlformats.org/officeDocument/2006/relationships/hyperlink" Target="http://eltweb04.elta.iai/pls/iman_Production/link_to_iman?item_id=1094K755-001" TargetMode="External"/><Relationship Id="rId419" Type="http://schemas.openxmlformats.org/officeDocument/2006/relationships/hyperlink" Target="http://eltweb04.elta.iai/pls/iman_Production/link_to_iman?item_id=MS15795-803" TargetMode="External"/><Relationship Id="rId223" Type="http://schemas.openxmlformats.org/officeDocument/2006/relationships/hyperlink" Target="http://eltweb04.elta.iai/pls/iman_Production/link_to_iman?item_id=1099M240-001" TargetMode="External"/><Relationship Id="rId430" Type="http://schemas.openxmlformats.org/officeDocument/2006/relationships/hyperlink" Target="http://eltweb04.elta.iai/pls/iman_Production/link_to_iman?item_id=MS51957-17" TargetMode="External"/><Relationship Id="rId18" Type="http://schemas.openxmlformats.org/officeDocument/2006/relationships/hyperlink" Target="http://eltweb04.elta.iai/pls/iman_Production/link_to_iman?item_id=SI7252DP-T1-GE3" TargetMode="External"/><Relationship Id="rId265" Type="http://schemas.openxmlformats.org/officeDocument/2006/relationships/hyperlink" Target="http://eltweb04.elta.iai/pls/iman_Production/link_to_iman?item_id=1094H538-001" TargetMode="External"/><Relationship Id="rId125" Type="http://schemas.openxmlformats.org/officeDocument/2006/relationships/hyperlink" Target="http://eltweb04.elta.iai/pls/iman_Production/link_to_iman?item_id=CRCW060356K2FKEA" TargetMode="External"/><Relationship Id="rId167" Type="http://schemas.openxmlformats.org/officeDocument/2006/relationships/hyperlink" Target="http://eltweb04.elta.iai/pls/iman_Production/link_to_iman?item_id=AF163-2OST%200.03PSF" TargetMode="External"/><Relationship Id="rId332" Type="http://schemas.openxmlformats.org/officeDocument/2006/relationships/hyperlink" Target="http://eltweb04.elta.iai/pls/iman_Production/link_to_iman?item_id=1039F847-001" TargetMode="External"/><Relationship Id="rId374" Type="http://schemas.openxmlformats.org/officeDocument/2006/relationships/hyperlink" Target="http://eltweb04.elta.iai/pls/iman_Production/link_to_iman?item_id=1096L953-001" TargetMode="External"/><Relationship Id="rId71" Type="http://schemas.openxmlformats.org/officeDocument/2006/relationships/hyperlink" Target="http://eltweb04.elta.iai/pls/iman_Production/link_to_iman?item_id=MM3Z5V1T1G" TargetMode="External"/><Relationship Id="rId234" Type="http://schemas.openxmlformats.org/officeDocument/2006/relationships/hyperlink" Target="http://eltweb04.elta.iai/pls/iman_Production/link_to_iman?item_id=1099M229-001" TargetMode="External"/><Relationship Id="rId2" Type="http://schemas.openxmlformats.org/officeDocument/2006/relationships/hyperlink" Target="http://eltweb04.elta.iai/pls/iman_Production/link_to_iman?item_id=TS0501W3S/TR" TargetMode="External"/><Relationship Id="rId29" Type="http://schemas.openxmlformats.org/officeDocument/2006/relationships/hyperlink" Target="http://eltweb04.elta.iai/pls/iman_Production/link_to_iman?item_id=NRVBM2H100T3G" TargetMode="External"/><Relationship Id="rId276" Type="http://schemas.openxmlformats.org/officeDocument/2006/relationships/hyperlink" Target="http://eltweb04.elta.iai/pls/iman_Production/link_to_iman?item_id=1038B940-001" TargetMode="External"/><Relationship Id="rId441" Type="http://schemas.openxmlformats.org/officeDocument/2006/relationships/hyperlink" Target="http://eltweb04.elta.iai/pls/iman_Production/link_to_iman?item_id=NAS1352C08-10" TargetMode="External"/><Relationship Id="rId40" Type="http://schemas.openxmlformats.org/officeDocument/2006/relationships/hyperlink" Target="http://eltweb04.elta.iai/pls/iman_Production/link_to_iman?item_id=NAS620C2" TargetMode="External"/><Relationship Id="rId136" Type="http://schemas.openxmlformats.org/officeDocument/2006/relationships/hyperlink" Target="http://eltweb04.elta.iai/pls/iman_Production/link_to_iman?item_id=CRCW0603100RFKEA" TargetMode="External"/><Relationship Id="rId178" Type="http://schemas.openxmlformats.org/officeDocument/2006/relationships/hyperlink" Target="http://eltweb04.elta.iai/pls/iman_Production/link_to_iman?item_id=400L3R3AT50T" TargetMode="External"/><Relationship Id="rId301" Type="http://schemas.openxmlformats.org/officeDocument/2006/relationships/hyperlink" Target="http://eltweb04.elta.iai/pls/iman_Production/link_to_iman?item_id=1038B800-001" TargetMode="External"/><Relationship Id="rId343" Type="http://schemas.openxmlformats.org/officeDocument/2006/relationships/hyperlink" Target="http://eltweb04.elta.iai/pls/iman_Production/link_to_iman?item_id=1094F807-001" TargetMode="External"/><Relationship Id="rId82" Type="http://schemas.openxmlformats.org/officeDocument/2006/relationships/hyperlink" Target="http://eltweb04.elta.iai/pls/iman_Production/link_to_iman?item_id=LQW15AN16NG00D" TargetMode="External"/><Relationship Id="rId203" Type="http://schemas.openxmlformats.org/officeDocument/2006/relationships/hyperlink" Target="http://eltweb04.elta.iai/pls/iman_Production/link_to_iman?item_id=1099M349-001" TargetMode="External"/><Relationship Id="rId385" Type="http://schemas.openxmlformats.org/officeDocument/2006/relationships/hyperlink" Target="http://eltweb04.elta.iai/pls/iman_Production/link_to_iman?item_id=2082-6042-10" TargetMode="External"/><Relationship Id="rId19" Type="http://schemas.openxmlformats.org/officeDocument/2006/relationships/hyperlink" Target="http://eltweb04.elta.iai/pls/iman_Production/link_to_iman?item_id=SEAM30-03.5S-10-1-A-K-TR" TargetMode="External"/><Relationship Id="rId224" Type="http://schemas.openxmlformats.org/officeDocument/2006/relationships/hyperlink" Target="http://eltweb04.elta.iai/pls/iman_Production/link_to_iman?item_id=1099M239-001" TargetMode="External"/><Relationship Id="rId245" Type="http://schemas.openxmlformats.org/officeDocument/2006/relationships/hyperlink" Target="http://eltweb04.elta.iai/pls/iman_Production/link_to_iman?item_id=1096M291-001" TargetMode="External"/><Relationship Id="rId266" Type="http://schemas.openxmlformats.org/officeDocument/2006/relationships/hyperlink" Target="http://eltweb04.elta.iai/pls/iman_Production/link_to_iman?item_id=1093R492-006" TargetMode="External"/><Relationship Id="rId287" Type="http://schemas.openxmlformats.org/officeDocument/2006/relationships/hyperlink" Target="http://eltweb04.elta.iai/pls/iman_Production/link_to_iman?item_id=1/4-28X7/8SOCCAP316SSSIL" TargetMode="External"/><Relationship Id="rId410" Type="http://schemas.openxmlformats.org/officeDocument/2006/relationships/hyperlink" Target="http://eltweb04.elta.iai/pls/iman_Production/link_to_iman?item_id=DC1M-04GD31W1DR" TargetMode="External"/><Relationship Id="rId431" Type="http://schemas.openxmlformats.org/officeDocument/2006/relationships/hyperlink" Target="http://eltweb04.elta.iai/pls/iman_Production/link_to_iman?item_id=MS51957-19" TargetMode="External"/><Relationship Id="rId452" Type="http://schemas.openxmlformats.org/officeDocument/2006/relationships/hyperlink" Target="http://eltweb04.elta.iai/pls/iman_Production/link_to_iman?item_id=TM2S6" TargetMode="External"/><Relationship Id="rId30" Type="http://schemas.openxmlformats.org/officeDocument/2006/relationships/hyperlink" Target="http://eltweb04.elta.iai/pls/iman_Production/link_to_iman?item_id=NGC-1206CS50R0G" TargetMode="External"/><Relationship Id="rId105" Type="http://schemas.openxmlformats.org/officeDocument/2006/relationships/hyperlink" Target="http://eltweb04.elta.iai/pls/iman_Production/link_to_iman?item_id=EC2216A/B%20GRAY%20KT2OZ" TargetMode="External"/><Relationship Id="rId126" Type="http://schemas.openxmlformats.org/officeDocument/2006/relationships/hyperlink" Target="http://eltweb04.elta.iai/pls/iman_Production/link_to_iman?item_id=CRCW0603562KFKTA" TargetMode="External"/><Relationship Id="rId147" Type="http://schemas.openxmlformats.org/officeDocument/2006/relationships/hyperlink" Target="http://eltweb04.elta.iai/pls/iman_Production/link_to_iman?item_id=CRCW04020000ZSED" TargetMode="External"/><Relationship Id="rId168" Type="http://schemas.openxmlformats.org/officeDocument/2006/relationships/hyperlink" Target="http://eltweb04.elta.iai/pls/iman_Production/link_to_iman?item_id=AD7814ARMZ" TargetMode="External"/><Relationship Id="rId312" Type="http://schemas.openxmlformats.org/officeDocument/2006/relationships/hyperlink" Target="http://eltweb04.elta.iai/pls/iman_Production/link_to_iman?item_id=1037M818-001" TargetMode="External"/><Relationship Id="rId333" Type="http://schemas.openxmlformats.org/officeDocument/2006/relationships/hyperlink" Target="http://eltweb04.elta.iai/pls/iman_Production/link_to_iman?item_id=1054875-1" TargetMode="External"/><Relationship Id="rId354" Type="http://schemas.openxmlformats.org/officeDocument/2006/relationships/hyperlink" Target="http://eltweb04.elta.iai/pls/iman_Production/link_to_iman?item_id=1094F897-001" TargetMode="External"/><Relationship Id="rId51" Type="http://schemas.openxmlformats.org/officeDocument/2006/relationships/hyperlink" Target="http://eltweb04.elta.iai/pls/iman_Production/link_to_iman?item_id=MS51957-28" TargetMode="External"/><Relationship Id="rId72" Type="http://schemas.openxmlformats.org/officeDocument/2006/relationships/hyperlink" Target="http://eltweb04.elta.iai/pls/iman_Production/link_to_iman?item_id=MM3Z3V3T1G" TargetMode="External"/><Relationship Id="rId93" Type="http://schemas.openxmlformats.org/officeDocument/2006/relationships/hyperlink" Target="http://eltweb04.elta.iai/pls/iman_Production/link_to_iman?item_id=HMC536MS8GE" TargetMode="External"/><Relationship Id="rId189" Type="http://schemas.openxmlformats.org/officeDocument/2006/relationships/hyperlink" Target="http://eltweb04.elta.iai/pls/iman_Production/link_to_iman?item_id=19K119-K40L5" TargetMode="External"/><Relationship Id="rId375" Type="http://schemas.openxmlformats.org/officeDocument/2006/relationships/hyperlink" Target="http://eltweb04.elta.iai/pls/iman_Production/link_to_iman?item_id=1096L954-001" TargetMode="External"/><Relationship Id="rId396" Type="http://schemas.openxmlformats.org/officeDocument/2006/relationships/hyperlink" Target="http://eltweb04.elta.iai/pls/iman_Production/link_to_iman?item_id=6931A350-001" TargetMode="External"/><Relationship Id="rId3" Type="http://schemas.openxmlformats.org/officeDocument/2006/relationships/hyperlink" Target="http://eltweb04.elta.iai/pls/iman_Production/link_to_iman?item_id=TS0312W3" TargetMode="External"/><Relationship Id="rId214" Type="http://schemas.openxmlformats.org/officeDocument/2006/relationships/hyperlink" Target="http://eltweb04.elta.iai/pls/iman_Production/link_to_iman?item_id=1099M316-001" TargetMode="External"/><Relationship Id="rId235" Type="http://schemas.openxmlformats.org/officeDocument/2006/relationships/hyperlink" Target="http://eltweb04.elta.iai/pls/iman_Production/link_to_iman?item_id=1099M225-001" TargetMode="External"/><Relationship Id="rId256" Type="http://schemas.openxmlformats.org/officeDocument/2006/relationships/hyperlink" Target="http://eltweb04.elta.iai/pls/iman_Production/link_to_iman?item_id=1094V826-001" TargetMode="External"/><Relationship Id="rId277" Type="http://schemas.openxmlformats.org/officeDocument/2006/relationships/hyperlink" Target="http://eltweb04.elta.iai/pls/iman_Production/link_to_iman?item_id=1038B933-001" TargetMode="External"/><Relationship Id="rId298" Type="http://schemas.openxmlformats.org/officeDocument/2006/relationships/hyperlink" Target="http://eltweb04.elta.iai/pls/iman_Production/link_to_iman?item_id=01M12R-305-60F17K" TargetMode="External"/><Relationship Id="rId400" Type="http://schemas.openxmlformats.org/officeDocument/2006/relationships/hyperlink" Target="http://eltweb04.elta.iai/pls/iman_Production/link_to_iman?item_id=6931A452-001" TargetMode="External"/><Relationship Id="rId421" Type="http://schemas.openxmlformats.org/officeDocument/2006/relationships/hyperlink" Target="http://eltweb04.elta.iai/pls/iman_Production/link_to_iman?item_id=MS16995-10" TargetMode="External"/><Relationship Id="rId442" Type="http://schemas.openxmlformats.org/officeDocument/2006/relationships/hyperlink" Target="http://eltweb04.elta.iai/pls/iman_Production/link_to_iman?item_id=NAS1352C08-7" TargetMode="External"/><Relationship Id="rId463" Type="http://schemas.openxmlformats.org/officeDocument/2006/relationships/hyperlink" Target="http://eltweb04.elta.iai/pls/iman_Production/link_to_iman?item_id=1094Y684-001" TargetMode="External"/><Relationship Id="rId116" Type="http://schemas.openxmlformats.org/officeDocument/2006/relationships/hyperlink" Target="http://eltweb04.elta.iai/pls/iman_Production/link_to_iman?item_id=CRCW12060000ZSEA" TargetMode="External"/><Relationship Id="rId137" Type="http://schemas.openxmlformats.org/officeDocument/2006/relationships/hyperlink" Target="http://eltweb04.elta.iai/pls/iman_Production/link_to_iman?item_id=CRCW0603100KFKEA" TargetMode="External"/><Relationship Id="rId158" Type="http://schemas.openxmlformats.org/officeDocument/2006/relationships/hyperlink" Target="http://eltweb04.elta.iai/pls/iman_Production/link_to_iman?item_id=C0402C103K5RALTU" TargetMode="External"/><Relationship Id="rId302" Type="http://schemas.openxmlformats.org/officeDocument/2006/relationships/hyperlink" Target="http://eltweb04.elta.iai/pls/iman_Production/link_to_iman?item_id=6931A105-001" TargetMode="External"/><Relationship Id="rId323" Type="http://schemas.openxmlformats.org/officeDocument/2006/relationships/hyperlink" Target="http://eltweb04.elta.iai/pls/iman_Production/link_to_iman?item_id=1037M839-001" TargetMode="External"/><Relationship Id="rId344" Type="http://schemas.openxmlformats.org/officeDocument/2006/relationships/hyperlink" Target="http://eltweb04.elta.iai/pls/iman_Production/link_to_iman?item_id=1094F823-001" TargetMode="External"/><Relationship Id="rId20" Type="http://schemas.openxmlformats.org/officeDocument/2006/relationships/hyperlink" Target="http://eltweb04.elta.iai/pls/iman_Production/link_to_iman?item_id=SEAF30-06.5S-10-1-A-K-TR" TargetMode="External"/><Relationship Id="rId41" Type="http://schemas.openxmlformats.org/officeDocument/2006/relationships/hyperlink" Target="http://eltweb04.elta.iai/pls/iman_Production/link_to_iman?item_id=NAS1676C6" TargetMode="External"/><Relationship Id="rId62" Type="http://schemas.openxmlformats.org/officeDocument/2006/relationships/hyperlink" Target="http://eltweb04.elta.iai/pls/iman_Production/link_to_iman?item_id=MS24693-C4" TargetMode="External"/><Relationship Id="rId83" Type="http://schemas.openxmlformats.org/officeDocument/2006/relationships/hyperlink" Target="http://eltweb04.elta.iai/pls/iman_Production/link_to_iman?item_id=LQW15AN10NG00D" TargetMode="External"/><Relationship Id="rId179" Type="http://schemas.openxmlformats.org/officeDocument/2006/relationships/hyperlink" Target="http://eltweb04.elta.iai/pls/iman_Production/link_to_iman?item_id=400L0R7PT200T" TargetMode="External"/><Relationship Id="rId365" Type="http://schemas.openxmlformats.org/officeDocument/2006/relationships/hyperlink" Target="http://eltweb04.elta.iai/pls/iman_Production/link_to_iman?item_id=1094Y679-001" TargetMode="External"/><Relationship Id="rId386" Type="http://schemas.openxmlformats.org/officeDocument/2006/relationships/hyperlink" Target="http://eltweb04.elta.iai/pls/iman_Production/link_to_iman?item_id=21-16.54" TargetMode="External"/><Relationship Id="rId190" Type="http://schemas.openxmlformats.org/officeDocument/2006/relationships/hyperlink" Target="http://eltweb04.elta.iai/pls/iman_Production/link_to_iman?item_id=19K101-K00L5" TargetMode="External"/><Relationship Id="rId204" Type="http://schemas.openxmlformats.org/officeDocument/2006/relationships/hyperlink" Target="http://eltweb04.elta.iai/pls/iman_Production/link_to_iman?item_id=1099M348-001" TargetMode="External"/><Relationship Id="rId225" Type="http://schemas.openxmlformats.org/officeDocument/2006/relationships/hyperlink" Target="http://eltweb04.elta.iai/pls/iman_Production/link_to_iman?item_id=1099M238-001" TargetMode="External"/><Relationship Id="rId246" Type="http://schemas.openxmlformats.org/officeDocument/2006/relationships/hyperlink" Target="http://eltweb04.elta.iai/pls/iman_Production/link_to_iman?item_id=1096M290-001" TargetMode="External"/><Relationship Id="rId267" Type="http://schemas.openxmlformats.org/officeDocument/2006/relationships/hyperlink" Target="http://eltweb04.elta.iai/pls/iman_Production/link_to_iman?item_id=1093R459-003" TargetMode="External"/><Relationship Id="rId288" Type="http://schemas.openxmlformats.org/officeDocument/2006/relationships/hyperlink" Target="http://eltweb04.elta.iai/pls/iman_Production/link_to_iman?item_id=080-1200" TargetMode="External"/><Relationship Id="rId411" Type="http://schemas.openxmlformats.org/officeDocument/2006/relationships/hyperlink" Target="http://eltweb04.elta.iai/pls/iman_Production/link_to_iman?item_id=DS26LV31TMX" TargetMode="External"/><Relationship Id="rId432" Type="http://schemas.openxmlformats.org/officeDocument/2006/relationships/hyperlink" Target="http://eltweb04.elta.iai/pls/iman_Production/link_to_iman?item_id=MS51957-22" TargetMode="External"/><Relationship Id="rId453" Type="http://schemas.openxmlformats.org/officeDocument/2006/relationships/hyperlink" Target="http://eltweb04.elta.iai/pls/iman_Production/link_to_iman?item_id=TM2S8" TargetMode="External"/><Relationship Id="rId106" Type="http://schemas.openxmlformats.org/officeDocument/2006/relationships/hyperlink" Target="http://eltweb04.elta.iai/pls/iman_Production/link_to_iman?item_id=EA9394-KT1QT" TargetMode="External"/><Relationship Id="rId127" Type="http://schemas.openxmlformats.org/officeDocument/2006/relationships/hyperlink" Target="http://eltweb04.elta.iai/pls/iman_Production/link_to_iman?item_id=CRCW060349R9FKEA" TargetMode="External"/><Relationship Id="rId313" Type="http://schemas.openxmlformats.org/officeDocument/2006/relationships/hyperlink" Target="http://eltweb04.elta.iai/pls/iman_Production/link_to_iman?item_id=1037M819-001" TargetMode="External"/><Relationship Id="rId10" Type="http://schemas.openxmlformats.org/officeDocument/2006/relationships/hyperlink" Target="http://eltweb04.elta.iai/pls/iman_Production/link_to_iman?item_id=TM1S4-C" TargetMode="External"/><Relationship Id="rId31" Type="http://schemas.openxmlformats.org/officeDocument/2006/relationships/hyperlink" Target="http://eltweb04.elta.iai/pls/iman_Production/link_to_iman?item_id=NFL18ZT507H1A3D" TargetMode="External"/><Relationship Id="rId52" Type="http://schemas.openxmlformats.org/officeDocument/2006/relationships/hyperlink" Target="http://eltweb04.elta.iai/pls/iman_Production/link_to_iman?item_id=MS51957-15" TargetMode="External"/><Relationship Id="rId73" Type="http://schemas.openxmlformats.org/officeDocument/2006/relationships/hyperlink" Target="http://eltweb04.elta.iai/pls/iman_Production/link_to_iman?item_id=MI0603J601R-10" TargetMode="External"/><Relationship Id="rId94" Type="http://schemas.openxmlformats.org/officeDocument/2006/relationships/hyperlink" Target="http://eltweb04.elta.iai/pls/iman_Production/link_to_iman?item_id=HMC326MS8GETR" TargetMode="External"/><Relationship Id="rId148" Type="http://schemas.openxmlformats.org/officeDocument/2006/relationships/hyperlink" Target="http://eltweb04.elta.iai/pls/iman_Production/link_to_iman?item_id=CL31B105KAHNNNE" TargetMode="External"/><Relationship Id="rId169" Type="http://schemas.openxmlformats.org/officeDocument/2006/relationships/hyperlink" Target="http://eltweb04.elta.iai/pls/iman_Production/link_to_iman?item_id=ABM1M-AT-M" TargetMode="External"/><Relationship Id="rId334" Type="http://schemas.openxmlformats.org/officeDocument/2006/relationships/hyperlink" Target="http://eltweb04.elta.iai/pls/iman_Production/link_to_iman?item_id=1094F182-001" TargetMode="External"/><Relationship Id="rId355" Type="http://schemas.openxmlformats.org/officeDocument/2006/relationships/hyperlink" Target="http://eltweb04.elta.iai/pls/iman_Production/link_to_iman?item_id=1094F898-001" TargetMode="External"/><Relationship Id="rId376" Type="http://schemas.openxmlformats.org/officeDocument/2006/relationships/hyperlink" Target="http://eltweb04.elta.iai/pls/iman_Production/link_to_iman?item_id=1096L955-001" TargetMode="External"/><Relationship Id="rId397" Type="http://schemas.openxmlformats.org/officeDocument/2006/relationships/hyperlink" Target="http://eltweb04.elta.iai/pls/iman_Production/link_to_iman?item_id=6931A400-001" TargetMode="External"/><Relationship Id="rId4" Type="http://schemas.openxmlformats.org/officeDocument/2006/relationships/hyperlink" Target="http://eltweb04.elta.iai/pls/iman_Production/link_to_iman?item_id=TS0310W3S" TargetMode="External"/><Relationship Id="rId180" Type="http://schemas.openxmlformats.org/officeDocument/2006/relationships/hyperlink" Target="http://eltweb04.elta.iai/pls/iman_Production/link_to_iman?item_id=34_BMA-SMA-N50-8/1--_UE" TargetMode="External"/><Relationship Id="rId215" Type="http://schemas.openxmlformats.org/officeDocument/2006/relationships/hyperlink" Target="http://eltweb04.elta.iai/pls/iman_Production/link_to_iman?item_id=1099M315-001" TargetMode="External"/><Relationship Id="rId236" Type="http://schemas.openxmlformats.org/officeDocument/2006/relationships/hyperlink" Target="http://eltweb04.elta.iai/pls/iman_Production/link_to_iman?item_id=1099M224-001" TargetMode="External"/><Relationship Id="rId257" Type="http://schemas.openxmlformats.org/officeDocument/2006/relationships/hyperlink" Target="http://eltweb04.elta.iai/pls/iman_Production/link_to_iman?item_id=1094V816-001" TargetMode="External"/><Relationship Id="rId278" Type="http://schemas.openxmlformats.org/officeDocument/2006/relationships/hyperlink" Target="http://eltweb04.elta.iai/pls/iman_Production/link_to_iman?item_id=1038B930-001" TargetMode="External"/><Relationship Id="rId401" Type="http://schemas.openxmlformats.org/officeDocument/2006/relationships/hyperlink" Target="http://eltweb04.elta.iai/pls/iman_Production/link_to_iman?item_id=A-A-52080-B-3%20BLACK" TargetMode="External"/><Relationship Id="rId422" Type="http://schemas.openxmlformats.org/officeDocument/2006/relationships/hyperlink" Target="http://eltweb04.elta.iai/pls/iman_Production/link_to_iman?item_id=MS16996-10" TargetMode="External"/><Relationship Id="rId443" Type="http://schemas.openxmlformats.org/officeDocument/2006/relationships/hyperlink" Target="http://eltweb04.elta.iai/pls/iman_Production/link_to_iman?item_id=NAS620C10" TargetMode="External"/><Relationship Id="rId464" Type="http://schemas.openxmlformats.org/officeDocument/2006/relationships/hyperlink" Target="http://eltweb04.elta.iai/pls/iman_Production/link_to_iman?item_id=DFDO4125613" TargetMode="External"/><Relationship Id="rId303" Type="http://schemas.openxmlformats.org/officeDocument/2006/relationships/hyperlink" Target="http://eltweb04.elta.iai/pls/iman_Production/link_to_iman?item_id=1022L945-005" TargetMode="External"/><Relationship Id="rId42" Type="http://schemas.openxmlformats.org/officeDocument/2006/relationships/hyperlink" Target="http://eltweb04.elta.iai/pls/iman_Production/link_to_iman?item_id=NAS1676C4" TargetMode="External"/><Relationship Id="rId84" Type="http://schemas.openxmlformats.org/officeDocument/2006/relationships/hyperlink" Target="http://eltweb04.elta.iai/pls/iman_Production/link_to_iman?item_id=LOCTITE%20222-50CC" TargetMode="External"/><Relationship Id="rId138" Type="http://schemas.openxmlformats.org/officeDocument/2006/relationships/hyperlink" Target="http://eltweb04.elta.iai/pls/iman_Production/link_to_iman?item_id=CRCW06030000Z0EA" TargetMode="External"/><Relationship Id="rId345" Type="http://schemas.openxmlformats.org/officeDocument/2006/relationships/hyperlink" Target="http://eltweb04.elta.iai/pls/iman_Production/link_to_iman?item_id=1094F824-001" TargetMode="External"/><Relationship Id="rId387" Type="http://schemas.openxmlformats.org/officeDocument/2006/relationships/hyperlink" Target="http://eltweb04.elta.iai/pls/iman_Production/link_to_iman?item_id=60-3/4IN36YD" TargetMode="External"/><Relationship Id="rId191" Type="http://schemas.openxmlformats.org/officeDocument/2006/relationships/hyperlink" Target="http://eltweb04.elta.iai/pls/iman_Production/link_to_iman?item_id=145-A03K/188" TargetMode="External"/><Relationship Id="rId205" Type="http://schemas.openxmlformats.org/officeDocument/2006/relationships/hyperlink" Target="http://eltweb04.elta.iai/pls/iman_Production/link_to_iman?item_id=1099M345-001" TargetMode="External"/><Relationship Id="rId247" Type="http://schemas.openxmlformats.org/officeDocument/2006/relationships/hyperlink" Target="http://eltweb04.elta.iai/pls/iman_Production/link_to_iman?item_id=1096M289-001" TargetMode="External"/><Relationship Id="rId412" Type="http://schemas.openxmlformats.org/officeDocument/2006/relationships/hyperlink" Target="http://eltweb04.elta.iai/pls/iman_Production/link_to_iman?item_id=DS26LV32ATMX/NOPB" TargetMode="External"/><Relationship Id="rId107" Type="http://schemas.openxmlformats.org/officeDocument/2006/relationships/hyperlink" Target="http://eltweb04.elta.iai/pls/iman_Production/link_to_iman?item_id=DS26C31TMX/NOPB" TargetMode="External"/><Relationship Id="rId289" Type="http://schemas.openxmlformats.org/officeDocument/2006/relationships/hyperlink" Target="http://eltweb04.elta.iai/pls/iman_Production/link_to_iman?item_id=0505P4R7BW151XTV" TargetMode="External"/><Relationship Id="rId454" Type="http://schemas.openxmlformats.org/officeDocument/2006/relationships/hyperlink" Target="http://eltweb04.elta.iai/pls/iman_Production/link_to_iman?item_id=TRM-2107-MC-TNC-02" TargetMode="External"/><Relationship Id="rId11" Type="http://schemas.openxmlformats.org/officeDocument/2006/relationships/hyperlink" Target="http://eltweb04.elta.iai/pls/iman_Production/link_to_iman?item_id=THT-1-724-10" TargetMode="External"/><Relationship Id="rId53" Type="http://schemas.openxmlformats.org/officeDocument/2006/relationships/hyperlink" Target="http://eltweb04.elta.iai/pls/iman_Production/link_to_iman?item_id=MS51957-141" TargetMode="External"/><Relationship Id="rId149" Type="http://schemas.openxmlformats.org/officeDocument/2006/relationships/hyperlink" Target="http://eltweb04.elta.iai/pls/iman_Production/link_to_iman?item_id=CL05C4R7CB5NNNC" TargetMode="External"/><Relationship Id="rId314" Type="http://schemas.openxmlformats.org/officeDocument/2006/relationships/hyperlink" Target="http://eltweb04.elta.iai/pls/iman_Production/link_to_iman?item_id=1037M820-001" TargetMode="External"/><Relationship Id="rId356" Type="http://schemas.openxmlformats.org/officeDocument/2006/relationships/hyperlink" Target="http://eltweb04.elta.iai/pls/iman_Production/link_to_iman?item_id=1094H845-001" TargetMode="External"/><Relationship Id="rId398" Type="http://schemas.openxmlformats.org/officeDocument/2006/relationships/hyperlink" Target="http://eltweb04.elta.iai/pls/iman_Production/link_to_iman?item_id=6931A450-001" TargetMode="External"/><Relationship Id="rId95" Type="http://schemas.openxmlformats.org/officeDocument/2006/relationships/hyperlink" Target="http://eltweb04.elta.iai/pls/iman_Production/link_to_iman?item_id=HMC284AMS8GETR" TargetMode="External"/><Relationship Id="rId160" Type="http://schemas.openxmlformats.org/officeDocument/2006/relationships/hyperlink" Target="http://eltweb04.elta.iai/pls/iman_Production/link_to_iman?item_id=C0402C102K5RAC7867" TargetMode="External"/><Relationship Id="rId216" Type="http://schemas.openxmlformats.org/officeDocument/2006/relationships/hyperlink" Target="http://eltweb04.elta.iai/pls/iman_Production/link_to_iman?item_id=1099M311-002" TargetMode="External"/><Relationship Id="rId423" Type="http://schemas.openxmlformats.org/officeDocument/2006/relationships/hyperlink" Target="http://eltweb04.elta.iai/pls/iman_Production/link_to_iman?item_id=MS24693-C25" TargetMode="External"/><Relationship Id="rId258" Type="http://schemas.openxmlformats.org/officeDocument/2006/relationships/hyperlink" Target="http://eltweb04.elta.iai/pls/iman_Production/link_to_iman?item_id=1094V811-002" TargetMode="External"/><Relationship Id="rId465" Type="http://schemas.openxmlformats.org/officeDocument/2006/relationships/hyperlink" Target="http://eltweb04.elta.iai/pls/iman_Production/link_to_iman?item_id=NAS662C2R4" TargetMode="External"/><Relationship Id="rId22" Type="http://schemas.openxmlformats.org/officeDocument/2006/relationships/hyperlink" Target="http://eltweb04.elta.iai/pls/iman_Production/link_to_iman?item_id=RTV%20167-2.8%20FL/OZ" TargetMode="External"/><Relationship Id="rId64" Type="http://schemas.openxmlformats.org/officeDocument/2006/relationships/hyperlink" Target="http://eltweb04.elta.iai/pls/iman_Production/link_to_iman?item_id=MS16995-26" TargetMode="External"/><Relationship Id="rId118" Type="http://schemas.openxmlformats.org/officeDocument/2006/relationships/hyperlink" Target="http://eltweb04.elta.iai/pls/iman_Production/link_to_iman?item_id=CRCW080525K5FKEA" TargetMode="External"/><Relationship Id="rId325" Type="http://schemas.openxmlformats.org/officeDocument/2006/relationships/hyperlink" Target="http://eltweb04.elta.iai/pls/iman_Production/link_to_iman?item_id=1037M844-001" TargetMode="External"/><Relationship Id="rId367" Type="http://schemas.openxmlformats.org/officeDocument/2006/relationships/hyperlink" Target="http://eltweb04.elta.iai/pls/iman_Production/link_to_iman?item_id=1094Y683-001" TargetMode="External"/><Relationship Id="rId171" Type="http://schemas.openxmlformats.org/officeDocument/2006/relationships/hyperlink" Target="http://eltweb04.elta.iai/pls/iman_Production/link_to_iman?item_id=74LVXC3245MTCX" TargetMode="External"/><Relationship Id="rId227" Type="http://schemas.openxmlformats.org/officeDocument/2006/relationships/hyperlink" Target="http://eltweb04.elta.iai/pls/iman_Production/link_to_iman?item_id=1099M236-001" TargetMode="External"/><Relationship Id="rId269" Type="http://schemas.openxmlformats.org/officeDocument/2006/relationships/hyperlink" Target="http://eltweb04.elta.iai/pls/iman_Production/link_to_iman?item_id=1093J365-002" TargetMode="External"/><Relationship Id="rId434" Type="http://schemas.openxmlformats.org/officeDocument/2006/relationships/hyperlink" Target="http://eltweb04.elta.iai/pls/iman_Production/link_to_iman?item_id=MS51957-27" TargetMode="External"/><Relationship Id="rId33" Type="http://schemas.openxmlformats.org/officeDocument/2006/relationships/hyperlink" Target="http://eltweb04.elta.iai/pls/iman_Production/link_to_iman?item_id=NC7SZ08M5X-L22090" TargetMode="External"/><Relationship Id="rId129" Type="http://schemas.openxmlformats.org/officeDocument/2006/relationships/hyperlink" Target="http://eltweb04.elta.iai/pls/iman_Production/link_to_iman?item_id=CRCW060324R9FKEA" TargetMode="External"/><Relationship Id="rId280" Type="http://schemas.openxmlformats.org/officeDocument/2006/relationships/hyperlink" Target="http://eltweb04.elta.iai/pls/iman_Production/link_to_iman?item_id=1038B900-001" TargetMode="External"/><Relationship Id="rId336" Type="http://schemas.openxmlformats.org/officeDocument/2006/relationships/hyperlink" Target="http://eltweb04.elta.iai/pls/iman_Production/link_to_iman?item_id=1094F188-001" TargetMode="External"/><Relationship Id="rId75" Type="http://schemas.openxmlformats.org/officeDocument/2006/relationships/hyperlink" Target="http://eltweb04.elta.iai/pls/iman_Production/link_to_iman?item_id=MAX8557ETE+T" TargetMode="External"/><Relationship Id="rId140" Type="http://schemas.openxmlformats.org/officeDocument/2006/relationships/hyperlink" Target="http://eltweb04.elta.iai/pls/iman_Production/link_to_iman?item_id=CRCW040230R1FKED" TargetMode="External"/><Relationship Id="rId182" Type="http://schemas.openxmlformats.org/officeDocument/2006/relationships/hyperlink" Target="http://eltweb04.elta.iai/pls/iman_Production/link_to_iman?item_id=293D107X9010D2TE3" TargetMode="External"/><Relationship Id="rId378" Type="http://schemas.openxmlformats.org/officeDocument/2006/relationships/hyperlink" Target="http://eltweb04.elta.iai/pls/iman_Production/link_to_iman?item_id=1096L964-001" TargetMode="External"/><Relationship Id="rId403" Type="http://schemas.openxmlformats.org/officeDocument/2006/relationships/hyperlink" Target="http://eltweb04.elta.iai/pls/iman_Production/link_to_iman?item_id=AS21919WDG05" TargetMode="External"/><Relationship Id="rId6" Type="http://schemas.openxmlformats.org/officeDocument/2006/relationships/hyperlink" Target="http://eltweb04.elta.iai/pls/iman_Production/link_to_iman?item_id=TS0301W3" TargetMode="External"/><Relationship Id="rId238" Type="http://schemas.openxmlformats.org/officeDocument/2006/relationships/hyperlink" Target="http://eltweb04.elta.iai/pls/iman_Production/link_to_iman?item_id=1099M222-001" TargetMode="External"/><Relationship Id="rId445" Type="http://schemas.openxmlformats.org/officeDocument/2006/relationships/hyperlink" Target="http://eltweb04.elta.iai/pls/iman_Production/link_to_iman?item_id=PSOT03C-LF-T7" TargetMode="External"/><Relationship Id="rId291" Type="http://schemas.openxmlformats.org/officeDocument/2006/relationships/hyperlink" Target="http://eltweb04.elta.iai/pls/iman_Production/link_to_iman?item_id=0466002.NRHF" TargetMode="External"/><Relationship Id="rId305" Type="http://schemas.openxmlformats.org/officeDocument/2006/relationships/hyperlink" Target="http://eltweb04.elta.iai/pls/iman_Production/link_to_iman?item_id=1022L987-001" TargetMode="External"/><Relationship Id="rId347" Type="http://schemas.openxmlformats.org/officeDocument/2006/relationships/hyperlink" Target="http://eltweb04.elta.iai/pls/iman_Production/link_to_iman?item_id=1094F826-001" TargetMode="External"/><Relationship Id="rId44" Type="http://schemas.openxmlformats.org/officeDocument/2006/relationships/hyperlink" Target="http://eltweb04.elta.iai/pls/iman_Production/link_to_iman?item_id=NAS1352C04-8" TargetMode="External"/><Relationship Id="rId86" Type="http://schemas.openxmlformats.org/officeDocument/2006/relationships/hyperlink" Target="http://eltweb04.elta.iai/pls/iman_Production/link_to_iman?item_id=JCM2900T3400VM1RC" TargetMode="External"/><Relationship Id="rId151" Type="http://schemas.openxmlformats.org/officeDocument/2006/relationships/hyperlink" Target="http://eltweb04.elta.iai/pls/iman_Production/link_to_iman?item_id=CL05B104KP5NNNC" TargetMode="External"/><Relationship Id="rId389" Type="http://schemas.openxmlformats.org/officeDocument/2006/relationships/hyperlink" Target="http://eltweb04.elta.iai/pls/iman_Production/link_to_iman?item_id=6931A080-001" TargetMode="External"/><Relationship Id="rId193" Type="http://schemas.openxmlformats.org/officeDocument/2006/relationships/hyperlink" Target="http://eltweb04.elta.iai/pls/iman_Production/link_to_iman?item_id=1099R726-001" TargetMode="External"/><Relationship Id="rId207" Type="http://schemas.openxmlformats.org/officeDocument/2006/relationships/hyperlink" Target="http://eltweb04.elta.iai/pls/iman_Production/link_to_iman?item_id=1099M336-001" TargetMode="External"/><Relationship Id="rId249" Type="http://schemas.openxmlformats.org/officeDocument/2006/relationships/hyperlink" Target="http://eltweb04.elta.iai/pls/iman_Production/link_to_iman?item_id=1096M281-001" TargetMode="External"/><Relationship Id="rId414" Type="http://schemas.openxmlformats.org/officeDocument/2006/relationships/hyperlink" Target="http://eltweb04.elta.iai/pls/iman_Production/link_to_iman?item_id=LPMM-S2" TargetMode="External"/><Relationship Id="rId456" Type="http://schemas.openxmlformats.org/officeDocument/2006/relationships/hyperlink" Target="http://eltweb04.elta.iai/pls/iman_Production/link_to_iman?item_id=ZB4PD-42-S+" TargetMode="External"/><Relationship Id="rId13" Type="http://schemas.openxmlformats.org/officeDocument/2006/relationships/hyperlink" Target="http://eltweb04.elta.iai/pls/iman_Production/link_to_iman?item_id=TACR106K010RTA" TargetMode="External"/><Relationship Id="rId109" Type="http://schemas.openxmlformats.org/officeDocument/2006/relationships/hyperlink" Target="http://eltweb04.elta.iai/pls/iman_Production/link_to_iman?item_id=D38999/33W21N" TargetMode="External"/><Relationship Id="rId260" Type="http://schemas.openxmlformats.org/officeDocument/2006/relationships/hyperlink" Target="http://eltweb04.elta.iai/pls/iman_Production/link_to_iman?item_id=1094V798-001" TargetMode="External"/><Relationship Id="rId316" Type="http://schemas.openxmlformats.org/officeDocument/2006/relationships/hyperlink" Target="http://eltweb04.elta.iai/pls/iman_Production/link_to_iman?item_id=1037M822-001" TargetMode="External"/><Relationship Id="rId55" Type="http://schemas.openxmlformats.org/officeDocument/2006/relationships/hyperlink" Target="http://eltweb04.elta.iai/pls/iman_Production/link_to_iman?item_id=MS51957-13" TargetMode="External"/><Relationship Id="rId97" Type="http://schemas.openxmlformats.org/officeDocument/2006/relationships/hyperlink" Target="http://eltweb04.elta.iai/pls/iman_Production/link_to_iman?item_id=HCPL-063L-500E" TargetMode="External"/><Relationship Id="rId120" Type="http://schemas.openxmlformats.org/officeDocument/2006/relationships/hyperlink" Target="http://eltweb04.elta.iai/pls/iman_Production/link_to_iman?item_id=CRCW080512K1FKTA" TargetMode="External"/><Relationship Id="rId358" Type="http://schemas.openxmlformats.org/officeDocument/2006/relationships/hyperlink" Target="http://eltweb04.elta.iai/pls/iman_Production/link_to_iman?item_id=1094J281-001" TargetMode="External"/><Relationship Id="rId162" Type="http://schemas.openxmlformats.org/officeDocument/2006/relationships/hyperlink" Target="http://eltweb04.elta.iai/pls/iman_Production/link_to_iman?item_id=C0402C100C5GAC7867" TargetMode="External"/><Relationship Id="rId218" Type="http://schemas.openxmlformats.org/officeDocument/2006/relationships/hyperlink" Target="http://eltweb04.elta.iai/pls/iman_Production/link_to_iman?item_id=1099M273-002" TargetMode="External"/><Relationship Id="rId425" Type="http://schemas.openxmlformats.org/officeDocument/2006/relationships/hyperlink" Target="http://eltweb04.elta.iai/pls/iman_Production/link_to_iman?item_id=MS24693-C49" TargetMode="External"/><Relationship Id="rId467" Type="http://schemas.openxmlformats.org/officeDocument/2006/relationships/hyperlink" Target="http://eltweb04.elta.iai/pls/iman_Production/link_to_iman?item_id=1033A296-001" TargetMode="External"/><Relationship Id="rId271" Type="http://schemas.openxmlformats.org/officeDocument/2006/relationships/hyperlink" Target="http://eltweb04.elta.iai/pls/iman_Production/link_to_iman?item_id=1092L481-001" TargetMode="External"/><Relationship Id="rId24" Type="http://schemas.openxmlformats.org/officeDocument/2006/relationships/hyperlink" Target="http://eltweb04.elta.iai/pls/iman_Production/link_to_iman?item_id=PTL-9-724" TargetMode="External"/><Relationship Id="rId66" Type="http://schemas.openxmlformats.org/officeDocument/2006/relationships/hyperlink" Target="http://eltweb04.elta.iai/pls/iman_Production/link_to_iman?item_id=MS16995-18" TargetMode="External"/><Relationship Id="rId131" Type="http://schemas.openxmlformats.org/officeDocument/2006/relationships/hyperlink" Target="http://eltweb04.elta.iai/pls/iman_Production/link_to_iman?item_id=CRCW06031K33FKEA" TargetMode="External"/><Relationship Id="rId327" Type="http://schemas.openxmlformats.org/officeDocument/2006/relationships/hyperlink" Target="http://eltweb04.elta.iai/pls/iman_Production/link_to_iman?item_id=1039F502-001" TargetMode="External"/><Relationship Id="rId369" Type="http://schemas.openxmlformats.org/officeDocument/2006/relationships/hyperlink" Target="http://eltweb04.elta.iai/pls/iman_Production/link_to_iman?item_id=1094Y690-001" TargetMode="External"/><Relationship Id="rId173" Type="http://schemas.openxmlformats.org/officeDocument/2006/relationships/hyperlink" Target="http://eltweb04.elta.iai/pls/iman_Production/link_to_iman?item_id=700A102KT50XTV" TargetMode="External"/><Relationship Id="rId229" Type="http://schemas.openxmlformats.org/officeDocument/2006/relationships/hyperlink" Target="http://eltweb04.elta.iai/pls/iman_Production/link_to_iman?item_id=1099M234-001" TargetMode="External"/><Relationship Id="rId380" Type="http://schemas.openxmlformats.org/officeDocument/2006/relationships/hyperlink" Target="http://eltweb04.elta.iai/pls/iman_Production/link_to_iman?item_id=1099E950-001" TargetMode="External"/><Relationship Id="rId436" Type="http://schemas.openxmlformats.org/officeDocument/2006/relationships/hyperlink" Target="http://eltweb04.elta.iai/pls/iman_Production/link_to_iman?item_id=MS51957-4" TargetMode="External"/><Relationship Id="rId240" Type="http://schemas.openxmlformats.org/officeDocument/2006/relationships/hyperlink" Target="http://eltweb04.elta.iai/pls/iman_Production/link_to_iman?item_id=1097U041-001" TargetMode="External"/><Relationship Id="rId35" Type="http://schemas.openxmlformats.org/officeDocument/2006/relationships/hyperlink" Target="http://eltweb04.elta.iai/pls/iman_Production/link_to_iman?item_id=NAS671C2" TargetMode="External"/><Relationship Id="rId77" Type="http://schemas.openxmlformats.org/officeDocument/2006/relationships/hyperlink" Target="http://eltweb04.elta.iai/pls/iman_Production/link_to_iman?item_id=LTM8027IV" TargetMode="External"/><Relationship Id="rId100" Type="http://schemas.openxmlformats.org/officeDocument/2006/relationships/hyperlink" Target="http://eltweb04.elta.iai/pls/iman_Production/link_to_iman?item_id=GRM155R71C104KA88D" TargetMode="External"/><Relationship Id="rId282" Type="http://schemas.openxmlformats.org/officeDocument/2006/relationships/hyperlink" Target="http://eltweb04.elta.iai/pls/iman_Production/link_to_iman?item_id=1038B850-001" TargetMode="External"/><Relationship Id="rId338" Type="http://schemas.openxmlformats.org/officeDocument/2006/relationships/hyperlink" Target="http://eltweb04.elta.iai/pls/iman_Production/link_to_iman?item_id=1094F199-001" TargetMode="External"/><Relationship Id="rId8" Type="http://schemas.openxmlformats.org/officeDocument/2006/relationships/hyperlink" Target="http://eltweb04.elta.iai/pls/iman_Production/link_to_iman?item_id=TRM-2090-MC-SMA-02" TargetMode="External"/><Relationship Id="rId142" Type="http://schemas.openxmlformats.org/officeDocument/2006/relationships/hyperlink" Target="http://eltweb04.elta.iai/pls/iman_Production/link_to_iman?item_id=CRCW0402243RFKED" TargetMode="External"/><Relationship Id="rId184" Type="http://schemas.openxmlformats.org/officeDocument/2006/relationships/hyperlink" Target="http://eltweb04.elta.iai/pls/iman_Production/link_to_iman?item_id=242%2050CC" TargetMode="External"/><Relationship Id="rId391" Type="http://schemas.openxmlformats.org/officeDocument/2006/relationships/hyperlink" Target="http://eltweb04.elta.iai/pls/iman_Production/link_to_iman?item_id=6931A090-001" TargetMode="External"/><Relationship Id="rId405" Type="http://schemas.openxmlformats.org/officeDocument/2006/relationships/hyperlink" Target="http://eltweb04.elta.iai/pls/iman_Production/link_to_iman?item_id=BLD5000/01" TargetMode="External"/><Relationship Id="rId447" Type="http://schemas.openxmlformats.org/officeDocument/2006/relationships/hyperlink" Target="http://eltweb04.elta.iai/pls/iman_Production/link_to_iman?item_id=R191.843.401" TargetMode="External"/><Relationship Id="rId251" Type="http://schemas.openxmlformats.org/officeDocument/2006/relationships/hyperlink" Target="http://eltweb04.elta.iai/pls/iman_Production/link_to_iman?item_id=1096M279-001" TargetMode="External"/><Relationship Id="rId46" Type="http://schemas.openxmlformats.org/officeDocument/2006/relationships/hyperlink" Target="http://eltweb04.elta.iai/pls/iman_Production/link_to_iman?item_id=N2510-5002-RB" TargetMode="External"/><Relationship Id="rId293" Type="http://schemas.openxmlformats.org/officeDocument/2006/relationships/hyperlink" Target="http://eltweb04.elta.iai/pls/iman_Production/link_to_iman?item_id=0440001.WR" TargetMode="External"/><Relationship Id="rId307" Type="http://schemas.openxmlformats.org/officeDocument/2006/relationships/hyperlink" Target="http://eltweb04.elta.iai/pls/iman_Production/link_to_iman?item_id=1033A447-001" TargetMode="External"/><Relationship Id="rId349" Type="http://schemas.openxmlformats.org/officeDocument/2006/relationships/hyperlink" Target="http://eltweb04.elta.iai/pls/iman_Production/link_to_iman?item_id=1094F868-001" TargetMode="External"/><Relationship Id="rId88" Type="http://schemas.openxmlformats.org/officeDocument/2006/relationships/hyperlink" Target="http://eltweb04.elta.iai/pls/iman_Production/link_to_iman?item_id=IDEAL%209185%20MASKING%20TAPE" TargetMode="External"/><Relationship Id="rId111" Type="http://schemas.openxmlformats.org/officeDocument/2006/relationships/hyperlink" Target="http://eltweb04.elta.iai/pls/iman_Production/link_to_iman?item_id=D38999/33W15N" TargetMode="External"/><Relationship Id="rId153" Type="http://schemas.openxmlformats.org/officeDocument/2006/relationships/hyperlink" Target="http://eltweb04.elta.iai/pls/iman_Production/link_to_iman?item_id=C1210C106K5RACTU" TargetMode="External"/><Relationship Id="rId195" Type="http://schemas.openxmlformats.org/officeDocument/2006/relationships/hyperlink" Target="http://eltweb04.elta.iai/pls/iman_Production/link_to_iman?item_id=1099R709-001" TargetMode="External"/><Relationship Id="rId209" Type="http://schemas.openxmlformats.org/officeDocument/2006/relationships/hyperlink" Target="http://eltweb04.elta.iai/pls/iman_Production/link_to_iman?item_id=1099M334-001" TargetMode="External"/><Relationship Id="rId360" Type="http://schemas.openxmlformats.org/officeDocument/2006/relationships/hyperlink" Target="http://eltweb04.elta.iai/pls/iman_Production/link_to_iman?item_id=1094K661-001" TargetMode="External"/><Relationship Id="rId416" Type="http://schemas.openxmlformats.org/officeDocument/2006/relationships/hyperlink" Target="http://eltweb04.elta.iai/pls/iman_Production/link_to_iman?item_id=MS122118" TargetMode="External"/><Relationship Id="rId220" Type="http://schemas.openxmlformats.org/officeDocument/2006/relationships/hyperlink" Target="http://eltweb04.elta.iai/pls/iman_Production/link_to_iman?item_id=1099M256-001" TargetMode="External"/><Relationship Id="rId458" Type="http://schemas.openxmlformats.org/officeDocument/2006/relationships/hyperlink" Target="http://eltweb04.elta.iai/pls/iman_Production/link_to_iman?item_id=6931A106-001" TargetMode="External"/><Relationship Id="rId15" Type="http://schemas.openxmlformats.org/officeDocument/2006/relationships/hyperlink" Target="http://eltweb04.elta.iai/pls/iman_Production/link_to_iman?item_id=SMBJ5.0AE3/52" TargetMode="External"/><Relationship Id="rId57" Type="http://schemas.openxmlformats.org/officeDocument/2006/relationships/hyperlink" Target="http://eltweb04.elta.iai/pls/iman_Production/link_to_iman?item_id=MS35338-136" TargetMode="External"/><Relationship Id="rId262" Type="http://schemas.openxmlformats.org/officeDocument/2006/relationships/hyperlink" Target="http://eltweb04.elta.iai/pls/iman_Production/link_to_iman?item_id=1094T791-001" TargetMode="External"/><Relationship Id="rId318" Type="http://schemas.openxmlformats.org/officeDocument/2006/relationships/hyperlink" Target="http://eltweb04.elta.iai/pls/iman_Production/link_to_iman?item_id=1037M832-001" TargetMode="External"/><Relationship Id="rId99" Type="http://schemas.openxmlformats.org/officeDocument/2006/relationships/hyperlink" Target="http://eltweb04.elta.iai/pls/iman_Production/link_to_iman?item_id=GRM155R71H331KA01D" TargetMode="External"/><Relationship Id="rId122" Type="http://schemas.openxmlformats.org/officeDocument/2006/relationships/hyperlink" Target="http://eltweb04.elta.iai/pls/iman_Production/link_to_iman?item_id=CRCW060382R5FKEA" TargetMode="External"/><Relationship Id="rId164" Type="http://schemas.openxmlformats.org/officeDocument/2006/relationships/hyperlink" Target="http://eltweb04.elta.iai/pls/iman_Production/link_to_iman?item_id=BLM18SG260TN1D" TargetMode="External"/><Relationship Id="rId371" Type="http://schemas.openxmlformats.org/officeDocument/2006/relationships/hyperlink" Target="http://eltweb04.elta.iai/pls/iman_Production/link_to_iman?item_id=1094Y692-001" TargetMode="External"/><Relationship Id="rId427" Type="http://schemas.openxmlformats.org/officeDocument/2006/relationships/hyperlink" Target="http://eltweb04.elta.iai/pls/iman_Production/link_to_iman?item_id=MS3367-7-9" TargetMode="External"/><Relationship Id="rId469" Type="http://schemas.openxmlformats.org/officeDocument/2006/relationships/printerSettings" Target="../printerSettings/printerSettings2.bin"/><Relationship Id="rId26" Type="http://schemas.openxmlformats.org/officeDocument/2006/relationships/hyperlink" Target="http://eltweb04.elta.iai/pls/iman_Production/link_to_iman?item_id=PSOT05C-LF-T7" TargetMode="External"/><Relationship Id="rId231" Type="http://schemas.openxmlformats.org/officeDocument/2006/relationships/hyperlink" Target="http://eltweb04.elta.iai/pls/iman_Production/link_to_iman?item_id=1099M232-001" TargetMode="External"/><Relationship Id="rId273" Type="http://schemas.openxmlformats.org/officeDocument/2006/relationships/hyperlink" Target="http://eltweb04.elta.iai/pls/iman_Production/link_to_iman?item_id=1038H565-001" TargetMode="External"/><Relationship Id="rId329" Type="http://schemas.openxmlformats.org/officeDocument/2006/relationships/hyperlink" Target="http://eltweb04.elta.iai/pls/iman_Production/link_to_iman?item_id=1039F842-001" TargetMode="External"/><Relationship Id="rId68" Type="http://schemas.openxmlformats.org/officeDocument/2006/relationships/hyperlink" Target="http://eltweb04.elta.iai/pls/iman_Production/link_to_iman?item_id=MS16995-16" TargetMode="External"/><Relationship Id="rId133" Type="http://schemas.openxmlformats.org/officeDocument/2006/relationships/hyperlink" Target="http://eltweb04.elta.iai/pls/iman_Production/link_to_iman?item_id=CRCW0603150RFKEA" TargetMode="External"/><Relationship Id="rId175" Type="http://schemas.openxmlformats.org/officeDocument/2006/relationships/hyperlink" Target="http://eltweb04.elta.iai/pls/iman_Production/link_to_iman?item_id=597D227X0020R2T" TargetMode="External"/><Relationship Id="rId340" Type="http://schemas.openxmlformats.org/officeDocument/2006/relationships/hyperlink" Target="http://eltweb04.elta.iai/pls/iman_Production/link_to_iman?item_id=1094F208-001" TargetMode="External"/><Relationship Id="rId200" Type="http://schemas.openxmlformats.org/officeDocument/2006/relationships/hyperlink" Target="http://eltweb04.elta.iai/pls/iman_Production/link_to_iman?item_id=1099M364-001" TargetMode="External"/><Relationship Id="rId382" Type="http://schemas.openxmlformats.org/officeDocument/2006/relationships/hyperlink" Target="http://eltweb04.elta.iai/pls/iman_Production/link_to_iman?item_id=1469362-1" TargetMode="External"/><Relationship Id="rId438" Type="http://schemas.openxmlformats.org/officeDocument/2006/relationships/hyperlink" Target="http://eltweb04.elta.iai/pls/iman_Production/link_to_iman?item_id=MS51957-9" TargetMode="External"/><Relationship Id="rId242" Type="http://schemas.openxmlformats.org/officeDocument/2006/relationships/hyperlink" Target="http://eltweb04.elta.iai/pls/iman_Production/link_to_iman?item_id=1096M299-001" TargetMode="External"/><Relationship Id="rId284" Type="http://schemas.openxmlformats.org/officeDocument/2006/relationships/hyperlink" Target="http://eltweb04.elta.iai/pls/iman_Production/link_to_iman?item_id=1038B611-001" TargetMode="External"/><Relationship Id="rId37" Type="http://schemas.openxmlformats.org/officeDocument/2006/relationships/hyperlink" Target="http://eltweb04.elta.iai/pls/iman_Production/link_to_iman?item_id=NAS620C6" TargetMode="External"/><Relationship Id="rId79" Type="http://schemas.openxmlformats.org/officeDocument/2006/relationships/hyperlink" Target="http://eltweb04.elta.iai/pls/iman_Production/link_to_iman?item_id=LTC2908IDDB-A1" TargetMode="External"/><Relationship Id="rId102" Type="http://schemas.openxmlformats.org/officeDocument/2006/relationships/hyperlink" Target="http://eltweb04.elta.iai/pls/iman_Production/link_to_iman?item_id=FDN339AN" TargetMode="External"/><Relationship Id="rId144" Type="http://schemas.openxmlformats.org/officeDocument/2006/relationships/hyperlink" Target="http://eltweb04.elta.iai/pls/iman_Production/link_to_iman?item_id=CRCW04021K00FKED" TargetMode="External"/><Relationship Id="rId90" Type="http://schemas.openxmlformats.org/officeDocument/2006/relationships/hyperlink" Target="http://eltweb04.elta.iai/pls/iman_Production/link_to_iman?item_id=HSSR-7110" TargetMode="External"/><Relationship Id="rId186" Type="http://schemas.openxmlformats.org/officeDocument/2006/relationships/hyperlink" Target="http://eltweb04.elta.iai/pls/iman_Production/link_to_iman?item_id=20-41111" TargetMode="External"/><Relationship Id="rId351" Type="http://schemas.openxmlformats.org/officeDocument/2006/relationships/hyperlink" Target="http://eltweb04.elta.iai/pls/iman_Production/link_to_iman?item_id=1094F874-001" TargetMode="External"/><Relationship Id="rId393" Type="http://schemas.openxmlformats.org/officeDocument/2006/relationships/hyperlink" Target="http://eltweb04.elta.iai/pls/iman_Production/link_to_iman?item_id=6931A200-001" TargetMode="External"/><Relationship Id="rId407" Type="http://schemas.openxmlformats.org/officeDocument/2006/relationships/hyperlink" Target="http://eltweb04.elta.iai/pls/iman_Production/link_to_iman?item_id=CRCW0402100RFKTD" TargetMode="External"/><Relationship Id="rId449" Type="http://schemas.openxmlformats.org/officeDocument/2006/relationships/hyperlink" Target="http://eltweb04.elta.iai/pls/iman_Production/link_to_iman?item_id=R222.723.220" TargetMode="External"/><Relationship Id="rId211" Type="http://schemas.openxmlformats.org/officeDocument/2006/relationships/hyperlink" Target="http://eltweb04.elta.iai/pls/iman_Production/link_to_iman?item_id=1099M320-001" TargetMode="External"/><Relationship Id="rId253" Type="http://schemas.openxmlformats.org/officeDocument/2006/relationships/hyperlink" Target="http://eltweb04.elta.iai/pls/iman_Production/link_to_iman?item_id=1096D934-002" TargetMode="External"/><Relationship Id="rId295" Type="http://schemas.openxmlformats.org/officeDocument/2006/relationships/hyperlink" Target="http://eltweb04.elta.iai/pls/iman_Production/link_to_iman?item_id=04025J3R3ABSTR" TargetMode="External"/><Relationship Id="rId309" Type="http://schemas.openxmlformats.org/officeDocument/2006/relationships/hyperlink" Target="http://eltweb04.elta.iai/pls/iman_Production/link_to_iman?item_id=1037M719-001" TargetMode="External"/><Relationship Id="rId460" Type="http://schemas.openxmlformats.org/officeDocument/2006/relationships/hyperlink" Target="http://eltweb04.elta.iai/pls/iman_Production/link_to_iman?item_id=6931A203-001" TargetMode="External"/><Relationship Id="rId48" Type="http://schemas.openxmlformats.org/officeDocument/2006/relationships/hyperlink" Target="http://eltweb04.elta.iai/pls/iman_Production/link_to_iman?item_id=MS51957-31" TargetMode="External"/><Relationship Id="rId113" Type="http://schemas.openxmlformats.org/officeDocument/2006/relationships/hyperlink" Target="http://eltweb04.elta.iai/pls/iman_Production/link_to_iman?item_id=CRCW12061K50FKTA" TargetMode="External"/><Relationship Id="rId320" Type="http://schemas.openxmlformats.org/officeDocument/2006/relationships/hyperlink" Target="http://eltweb04.elta.iai/pls/iman_Production/link_to_iman?item_id=1037M834-001" TargetMode="External"/><Relationship Id="rId155" Type="http://schemas.openxmlformats.org/officeDocument/2006/relationships/hyperlink" Target="http://eltweb04.elta.iai/pls/iman_Production/link_to_iman?item_id=C0805C475K4RAC7025" TargetMode="External"/><Relationship Id="rId197" Type="http://schemas.openxmlformats.org/officeDocument/2006/relationships/hyperlink" Target="http://eltweb04.elta.iai/pls/iman_Production/link_to_iman?item_id=1099M371-001" TargetMode="External"/><Relationship Id="rId362" Type="http://schemas.openxmlformats.org/officeDocument/2006/relationships/hyperlink" Target="http://eltweb04.elta.iai/pls/iman_Production/link_to_iman?item_id=1094K734-001" TargetMode="External"/><Relationship Id="rId418" Type="http://schemas.openxmlformats.org/officeDocument/2006/relationships/hyperlink" Target="http://eltweb04.elta.iai/pls/iman_Production/link_to_iman?item_id=MS15795-802" TargetMode="External"/><Relationship Id="rId222" Type="http://schemas.openxmlformats.org/officeDocument/2006/relationships/hyperlink" Target="http://eltweb04.elta.iai/pls/iman_Production/link_to_iman?item_id=1099M246-001" TargetMode="External"/><Relationship Id="rId264" Type="http://schemas.openxmlformats.org/officeDocument/2006/relationships/hyperlink" Target="http://eltweb04.elta.iai/pls/iman_Production/link_to_iman?item_id=1094R477-001" TargetMode="External"/><Relationship Id="rId471" Type="http://schemas.openxmlformats.org/officeDocument/2006/relationships/comments" Target="../comments1.xml"/><Relationship Id="rId17" Type="http://schemas.openxmlformats.org/officeDocument/2006/relationships/hyperlink" Target="http://eltweb04.elta.iai/pls/iman_Production/link_to_iman?item_id=SMBJ24A" TargetMode="External"/><Relationship Id="rId59" Type="http://schemas.openxmlformats.org/officeDocument/2006/relationships/hyperlink" Target="http://eltweb04.elta.iai/pls/iman_Production/link_to_iman?item_id=MS35338-134" TargetMode="External"/><Relationship Id="rId124" Type="http://schemas.openxmlformats.org/officeDocument/2006/relationships/hyperlink" Target="http://eltweb04.elta.iai/pls/iman_Production/link_to_iman?item_id=CRCW0603825KFKTA" TargetMode="External"/><Relationship Id="rId70" Type="http://schemas.openxmlformats.org/officeDocument/2006/relationships/hyperlink" Target="http://eltweb04.elta.iai/pls/iman_Production/link_to_iman?item_id=MMBD4148-7-F" TargetMode="External"/><Relationship Id="rId166" Type="http://schemas.openxmlformats.org/officeDocument/2006/relationships/hyperlink" Target="http://eltweb04.elta.iai/pls/iman_Production/link_to_iman?item_id=AT25DF321A-SH-B" TargetMode="External"/><Relationship Id="rId331" Type="http://schemas.openxmlformats.org/officeDocument/2006/relationships/hyperlink" Target="http://eltweb04.elta.iai/pls/iman_Production/link_to_iman?item_id=1039F846-001" TargetMode="External"/><Relationship Id="rId373" Type="http://schemas.openxmlformats.org/officeDocument/2006/relationships/hyperlink" Target="http://eltweb04.elta.iai/pls/iman_Production/link_to_iman?item_id=1096L950-001" TargetMode="External"/><Relationship Id="rId429" Type="http://schemas.openxmlformats.org/officeDocument/2006/relationships/hyperlink" Target="http://eltweb04.elta.iai/pls/iman_Production/link_to_iman?item_id=MS51957-10" TargetMode="External"/><Relationship Id="rId1" Type="http://schemas.openxmlformats.org/officeDocument/2006/relationships/hyperlink" Target="http://eltweb04.elta.iai/pls/iman_Production/link_to_iman?item_id=ZDC2-4-10-SA" TargetMode="External"/><Relationship Id="rId233" Type="http://schemas.openxmlformats.org/officeDocument/2006/relationships/hyperlink" Target="http://eltweb04.elta.iai/pls/iman_Production/link_to_iman?item_id=1099M230-001" TargetMode="External"/><Relationship Id="rId440" Type="http://schemas.openxmlformats.org/officeDocument/2006/relationships/hyperlink" Target="http://eltweb04.elta.iai/pls/iman_Production/link_to_iman?item_id=NAS1352C04-12" TargetMode="External"/><Relationship Id="rId28" Type="http://schemas.openxmlformats.org/officeDocument/2006/relationships/hyperlink" Target="http://eltweb04.elta.iai/pls/iman_Production/link_to_iman?item_id=P222-1IN" TargetMode="External"/><Relationship Id="rId275" Type="http://schemas.openxmlformats.org/officeDocument/2006/relationships/hyperlink" Target="http://eltweb04.elta.iai/pls/iman_Production/link_to_iman?item_id=1038H563-002" TargetMode="External"/><Relationship Id="rId300" Type="http://schemas.openxmlformats.org/officeDocument/2006/relationships/hyperlink" Target="http://eltweb04.elta.iai/pls/iman_Production/link_to_iman?item_id=01M110-712-60F02M" TargetMode="External"/><Relationship Id="rId81" Type="http://schemas.openxmlformats.org/officeDocument/2006/relationships/hyperlink" Target="http://eltweb04.elta.iai/pls/iman_Production/link_to_iman?item_id=LQW15AN5N8B00D" TargetMode="External"/><Relationship Id="rId135" Type="http://schemas.openxmlformats.org/officeDocument/2006/relationships/hyperlink" Target="http://eltweb04.elta.iai/pls/iman_Production/link_to_iman?item_id=CRCW060310K0FKEA" TargetMode="External"/><Relationship Id="rId177" Type="http://schemas.openxmlformats.org/officeDocument/2006/relationships/hyperlink" Target="http://eltweb04.elta.iai/pls/iman_Production/link_to_iman?item_id=429.002" TargetMode="External"/><Relationship Id="rId342" Type="http://schemas.openxmlformats.org/officeDocument/2006/relationships/hyperlink" Target="http://eltweb04.elta.iai/pls/iman_Production/link_to_iman?item_id=1094F214-001" TargetMode="External"/><Relationship Id="rId384" Type="http://schemas.openxmlformats.org/officeDocument/2006/relationships/hyperlink" Target="http://eltweb04.elta.iai/pls/iman_Production/link_to_iman?item_id=2082-6040-03" TargetMode="External"/><Relationship Id="rId202" Type="http://schemas.openxmlformats.org/officeDocument/2006/relationships/hyperlink" Target="http://eltweb04.elta.iai/pls/iman_Production/link_to_iman?item_id=1099M361-001" TargetMode="External"/><Relationship Id="rId244" Type="http://schemas.openxmlformats.org/officeDocument/2006/relationships/hyperlink" Target="http://eltweb04.elta.iai/pls/iman_Production/link_to_iman?item_id=1096M292-001" TargetMode="External"/><Relationship Id="rId39" Type="http://schemas.openxmlformats.org/officeDocument/2006/relationships/hyperlink" Target="http://eltweb04.elta.iai/pls/iman_Production/link_to_iman?item_id=NAS620C4" TargetMode="External"/><Relationship Id="rId286" Type="http://schemas.openxmlformats.org/officeDocument/2006/relationships/hyperlink" Target="http://eltweb04.elta.iai/pls/iman_Production/link_to_iman?item_id=100RC37SCBRP1" TargetMode="External"/><Relationship Id="rId451" Type="http://schemas.openxmlformats.org/officeDocument/2006/relationships/hyperlink" Target="http://eltweb04.elta.iai/pls/iman_Production/link_to_iman?item_id=SMDA03LCC-LF-T7" TargetMode="External"/><Relationship Id="rId50" Type="http://schemas.openxmlformats.org/officeDocument/2006/relationships/hyperlink" Target="http://eltweb04.elta.iai/pls/iman_Production/link_to_iman?item_id=MS51957-29" TargetMode="External"/><Relationship Id="rId104" Type="http://schemas.openxmlformats.org/officeDocument/2006/relationships/hyperlink" Target="http://eltweb04.elta.iai/pls/iman_Production/link_to_iman?item_id=EP2C70F896I8" TargetMode="External"/><Relationship Id="rId146" Type="http://schemas.openxmlformats.org/officeDocument/2006/relationships/hyperlink" Target="http://eltweb04.elta.iai/pls/iman_Production/link_to_iman?item_id=CRCW040210K0FKED" TargetMode="External"/><Relationship Id="rId188" Type="http://schemas.openxmlformats.org/officeDocument/2006/relationships/hyperlink" Target="http://eltweb04.elta.iai/pls/iman_Production/link_to_iman?item_id=19S11E-400L5" TargetMode="External"/><Relationship Id="rId311" Type="http://schemas.openxmlformats.org/officeDocument/2006/relationships/hyperlink" Target="http://eltweb04.elta.iai/pls/iman_Production/link_to_iman?item_id=1037M732-002" TargetMode="External"/><Relationship Id="rId353" Type="http://schemas.openxmlformats.org/officeDocument/2006/relationships/hyperlink" Target="http://eltweb04.elta.iai/pls/iman_Production/link_to_iman?item_id=1094F876-001" TargetMode="External"/><Relationship Id="rId395" Type="http://schemas.openxmlformats.org/officeDocument/2006/relationships/hyperlink" Target="http://eltweb04.elta.iai/pls/iman_Production/link_to_iman?item_id=6931A250-001" TargetMode="External"/><Relationship Id="rId409" Type="http://schemas.openxmlformats.org/officeDocument/2006/relationships/hyperlink" Target="http://eltweb04.elta.iai/pls/iman_Production/link_to_iman?item_id=D38999/33W17N" TargetMode="External"/><Relationship Id="rId92" Type="http://schemas.openxmlformats.org/officeDocument/2006/relationships/hyperlink" Target="http://eltweb04.elta.iai/pls/iman_Production/link_to_iman?item_id=HSMG-C680" TargetMode="External"/><Relationship Id="rId213" Type="http://schemas.openxmlformats.org/officeDocument/2006/relationships/hyperlink" Target="http://eltweb04.elta.iai/pls/iman_Production/link_to_iman?item_id=1099M317-002" TargetMode="External"/><Relationship Id="rId420" Type="http://schemas.openxmlformats.org/officeDocument/2006/relationships/hyperlink" Target="http://eltweb04.elta.iai/pls/iman_Production/link_to_iman?item_id=MS15795-807" TargetMode="External"/><Relationship Id="rId255" Type="http://schemas.openxmlformats.org/officeDocument/2006/relationships/hyperlink" Target="http://eltweb04.elta.iai/pls/iman_Production/link_to_iman?item_id=1094V828-001" TargetMode="External"/><Relationship Id="rId297" Type="http://schemas.openxmlformats.org/officeDocument/2006/relationships/hyperlink" Target="http://eltweb04.elta.iai/pls/iman_Production/link_to_iman?item_id=0200090" TargetMode="External"/><Relationship Id="rId462" Type="http://schemas.openxmlformats.org/officeDocument/2006/relationships/hyperlink" Target="http://eltweb04.elta.iai/pls/iman_Production/link_to_iman?item_id=MS16995-11" TargetMode="External"/><Relationship Id="rId115" Type="http://schemas.openxmlformats.org/officeDocument/2006/relationships/hyperlink" Target="http://eltweb04.elta.iai/pls/iman_Production/link_to_iman?item_id=CRCW120610K0FKEA" TargetMode="External"/><Relationship Id="rId157" Type="http://schemas.openxmlformats.org/officeDocument/2006/relationships/hyperlink" Target="http://eltweb04.elta.iai/pls/iman_Production/link_to_iman?item_id=C0603C104K5RAC7867" TargetMode="External"/><Relationship Id="rId322" Type="http://schemas.openxmlformats.org/officeDocument/2006/relationships/hyperlink" Target="http://eltweb04.elta.iai/pls/iman_Production/link_to_iman?item_id=1037M836-001" TargetMode="External"/><Relationship Id="rId364" Type="http://schemas.openxmlformats.org/officeDocument/2006/relationships/hyperlink" Target="http://eltweb04.elta.iai/pls/iman_Production/link_to_iman?item_id=1094Y676-001" TargetMode="External"/><Relationship Id="rId61" Type="http://schemas.openxmlformats.org/officeDocument/2006/relationships/hyperlink" Target="http://eltweb04.elta.iai/pls/iman_Production/link_to_iman?item_id=MS24693-C7" TargetMode="External"/><Relationship Id="rId199" Type="http://schemas.openxmlformats.org/officeDocument/2006/relationships/hyperlink" Target="http://eltweb04.elta.iai/pls/iman_Production/link_to_iman?item_id=1099M369-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CDDFE-6C17-4480-9F4E-7A384DEA066B}">
  <sheetPr codeName="Sheet1"/>
  <dimension ref="A2:H82"/>
  <sheetViews>
    <sheetView workbookViewId="0">
      <selection activeCell="C25" sqref="C25"/>
    </sheetView>
  </sheetViews>
  <sheetFormatPr defaultColWidth="8.85546875" defaultRowHeight="12.75" x14ac:dyDescent="0.2"/>
  <cols>
    <col min="1" max="1" width="25.85546875" bestFit="1" customWidth="1"/>
    <col min="2" max="2" width="17.85546875" style="2" bestFit="1" customWidth="1"/>
    <col min="3" max="3" width="67" bestFit="1" customWidth="1"/>
    <col min="4" max="4" width="15.42578125" bestFit="1" customWidth="1"/>
    <col min="5" max="5" width="16.140625" bestFit="1" customWidth="1"/>
    <col min="6" max="6" width="25.28515625" bestFit="1" customWidth="1"/>
    <col min="7" max="7" width="11.140625" style="2" bestFit="1" customWidth="1"/>
    <col min="8" max="8" width="29" bestFit="1" customWidth="1"/>
  </cols>
  <sheetData>
    <row r="2" spans="1:8" ht="15.75" x14ac:dyDescent="0.2">
      <c r="A2" s="1" t="s">
        <v>0</v>
      </c>
      <c r="B2" s="1"/>
      <c r="C2" s="1"/>
    </row>
    <row r="3" spans="1:8" x14ac:dyDescent="0.2">
      <c r="A3" s="15" t="s">
        <v>1</v>
      </c>
      <c r="B3" s="15" t="s">
        <v>2</v>
      </c>
      <c r="C3" s="15" t="s">
        <v>3</v>
      </c>
    </row>
    <row r="4" spans="1:8" x14ac:dyDescent="0.2">
      <c r="A4" s="6" t="s">
        <v>4</v>
      </c>
      <c r="B4" s="18" t="e">
        <f>COUNTIF(AVL!#REF!,Summary!A4)</f>
        <v>#REF!</v>
      </c>
      <c r="C4" s="6" t="s">
        <v>5</v>
      </c>
    </row>
    <row r="5" spans="1:8" x14ac:dyDescent="0.2">
      <c r="A5" s="6" t="s">
        <v>6</v>
      </c>
      <c r="B5" s="18" t="e">
        <f>COUNTIF(AVL!#REF!,Summary!A5)</f>
        <v>#REF!</v>
      </c>
      <c r="C5" s="6" t="s">
        <v>7</v>
      </c>
    </row>
    <row r="6" spans="1:8" x14ac:dyDescent="0.2">
      <c r="A6" s="6" t="s">
        <v>8</v>
      </c>
      <c r="B6" s="18" t="e">
        <f>COUNTIF(AVL!#REF!,Summary!A6)</f>
        <v>#REF!</v>
      </c>
      <c r="C6" s="6" t="s">
        <v>9</v>
      </c>
      <c r="D6" t="s">
        <v>10</v>
      </c>
      <c r="E6" t="s">
        <v>11</v>
      </c>
      <c r="G6" s="17"/>
      <c r="H6" s="17" t="s">
        <v>12</v>
      </c>
    </row>
    <row r="7" spans="1:8" x14ac:dyDescent="0.2">
      <c r="A7" s="6" t="s">
        <v>13</v>
      </c>
      <c r="B7" s="18" t="e">
        <f>COUNTIF(AVL!#REF!,Summary!A7)</f>
        <v>#REF!</v>
      </c>
      <c r="C7" s="6" t="s">
        <v>14</v>
      </c>
      <c r="D7" s="21" t="s">
        <v>15</v>
      </c>
      <c r="E7" s="7" t="s">
        <v>16</v>
      </c>
      <c r="F7" s="19" t="s">
        <v>17</v>
      </c>
      <c r="G7" s="19" t="s">
        <v>18</v>
      </c>
      <c r="H7" s="7" t="s">
        <v>3</v>
      </c>
    </row>
    <row r="8" spans="1:8" x14ac:dyDescent="0.2">
      <c r="A8" s="6" t="s">
        <v>19</v>
      </c>
      <c r="B8" s="18" t="e">
        <f>COUNTIF(AVL!#REF!,Summary!A8)</f>
        <v>#REF!</v>
      </c>
      <c r="C8" s="6" t="s">
        <v>20</v>
      </c>
      <c r="D8" s="22" t="e">
        <f>COUNTIFS(AVL!#REF!,Summary!D6)</f>
        <v>#REF!</v>
      </c>
      <c r="E8" s="16" t="e">
        <f>B8-D8</f>
        <v>#REF!</v>
      </c>
      <c r="F8" s="6" t="s">
        <v>1120</v>
      </c>
      <c r="G8" s="18">
        <v>2</v>
      </c>
    </row>
    <row r="9" spans="1:8" x14ac:dyDescent="0.2">
      <c r="A9" s="6" t="s">
        <v>22</v>
      </c>
      <c r="B9" s="18" t="e">
        <f>COUNTIF(AVL!#REF!,Summary!A9)</f>
        <v>#REF!</v>
      </c>
      <c r="C9" s="6" t="s">
        <v>19</v>
      </c>
      <c r="F9" s="6"/>
      <c r="G9" s="18" t="e">
        <f>COUNTIFS(AVL!#REF!,Summary!$E$6,AVL!X:X,Summary!F9)</f>
        <v>#REF!</v>
      </c>
    </row>
    <row r="10" spans="1:8" x14ac:dyDescent="0.2">
      <c r="A10" s="6" t="s">
        <v>26</v>
      </c>
      <c r="B10" s="18" t="e">
        <f>COUNTIF(AVL!#REF!,Summary!A10)</f>
        <v>#REF!</v>
      </c>
      <c r="C10" s="6" t="s">
        <v>27</v>
      </c>
      <c r="F10" s="5" t="s">
        <v>25</v>
      </c>
      <c r="G10" s="15" t="e">
        <f>SUM(G8:G9)</f>
        <v>#REF!</v>
      </c>
    </row>
    <row r="11" spans="1:8" x14ac:dyDescent="0.2">
      <c r="A11" s="6" t="s">
        <v>1112</v>
      </c>
      <c r="B11" s="18" t="e">
        <f>COUNTIF(AVL!#REF!,Summary!A11)</f>
        <v>#REF!</v>
      </c>
      <c r="C11" s="6" t="s">
        <v>1124</v>
      </c>
      <c r="F11" s="23"/>
      <c r="G11" s="17"/>
    </row>
    <row r="12" spans="1:8" x14ac:dyDescent="0.2">
      <c r="A12" s="6" t="s">
        <v>1126</v>
      </c>
      <c r="B12" s="18" t="e">
        <f>COUNTIF(AVL!#REF!,Summary!A12)</f>
        <v>#REF!</v>
      </c>
      <c r="C12" s="6" t="s">
        <v>84</v>
      </c>
      <c r="F12" s="23"/>
      <c r="G12" s="17"/>
    </row>
    <row r="13" spans="1:8" x14ac:dyDescent="0.2">
      <c r="A13" s="6" t="s">
        <v>1127</v>
      </c>
      <c r="B13" s="18" t="e">
        <f>COUNTIF(AVL!#REF!,Summary!A13)</f>
        <v>#REF!</v>
      </c>
      <c r="C13" s="6" t="s">
        <v>1100</v>
      </c>
      <c r="F13" s="23"/>
      <c r="G13" s="17"/>
    </row>
    <row r="14" spans="1:8" x14ac:dyDescent="0.2">
      <c r="A14" s="5" t="s">
        <v>28</v>
      </c>
      <c r="B14" s="15" t="e">
        <f>SUM(B4:B13)</f>
        <v>#REF!</v>
      </c>
      <c r="C14" s="6"/>
    </row>
    <row r="27" spans="1:7" ht="25.5" hidden="1" x14ac:dyDescent="0.2">
      <c r="A27" s="7" t="s">
        <v>29</v>
      </c>
      <c r="B27" s="7" t="s">
        <v>18</v>
      </c>
      <c r="C27" s="7" t="s">
        <v>3</v>
      </c>
      <c r="D27" s="8" t="s">
        <v>30</v>
      </c>
      <c r="E27" s="8" t="s">
        <v>31</v>
      </c>
      <c r="F27" s="7" t="s">
        <v>32</v>
      </c>
      <c r="G27" s="7" t="s">
        <v>33</v>
      </c>
    </row>
    <row r="28" spans="1:7" hidden="1" x14ac:dyDescent="0.2">
      <c r="A28" s="3" t="s">
        <v>4</v>
      </c>
      <c r="B28" s="18">
        <f>COUNTIFS(AVL!X:X,Summary!A28)</f>
        <v>18</v>
      </c>
      <c r="C28" s="6"/>
      <c r="D28" s="11" t="e">
        <f>SUMIFS(AVL!#REF!,AVL!X:X,Summary!A28)</f>
        <v>#REF!</v>
      </c>
      <c r="E28" s="6" t="e">
        <f>_xlfn.MAXIFS(AVL!#REF!,AVL!X:X,Summary!A28)</f>
        <v>#REF!</v>
      </c>
      <c r="F28" s="6"/>
      <c r="G28" s="18"/>
    </row>
    <row r="29" spans="1:7" hidden="1" x14ac:dyDescent="0.2">
      <c r="A29" s="3" t="s">
        <v>34</v>
      </c>
      <c r="B29" s="18">
        <f>COUNTIFS(AVL!X:X,Summary!A29)</f>
        <v>10</v>
      </c>
      <c r="C29" s="6" t="s">
        <v>35</v>
      </c>
      <c r="D29" s="11" t="e">
        <f>SUMIFS(AVL!#REF!,AVL!X:X,Summary!A29)</f>
        <v>#REF!</v>
      </c>
      <c r="E29" s="6" t="e">
        <f>_xlfn.MAXIFS(AVL!#REF!,AVL!X:X,Summary!A29)</f>
        <v>#REF!</v>
      </c>
      <c r="F29" s="12">
        <v>168214.83</v>
      </c>
      <c r="G29" s="18" t="s">
        <v>36</v>
      </c>
    </row>
    <row r="30" spans="1:7" hidden="1" x14ac:dyDescent="0.2">
      <c r="A30" s="3" t="s">
        <v>37</v>
      </c>
      <c r="B30" s="18">
        <f>COUNTIFS(AVL!X:X,Summary!A30)</f>
        <v>1</v>
      </c>
      <c r="C30" s="6" t="s">
        <v>35</v>
      </c>
      <c r="D30" s="11" t="e">
        <f>SUMIFS(AVL!#REF!,AVL!X:X,Summary!A30)</f>
        <v>#REF!</v>
      </c>
      <c r="E30" s="6" t="e">
        <f>_xlfn.MAXIFS(AVL!#REF!,AVL!X:X,Summary!A30)</f>
        <v>#REF!</v>
      </c>
      <c r="F30" s="12" t="e">
        <f>D30</f>
        <v>#REF!</v>
      </c>
      <c r="G30" s="18" t="s">
        <v>36</v>
      </c>
    </row>
    <row r="31" spans="1:7" hidden="1" x14ac:dyDescent="0.2">
      <c r="A31" s="3" t="s">
        <v>38</v>
      </c>
      <c r="B31" s="18">
        <f>COUNTIFS(AVL!X:X,Summary!A31)</f>
        <v>7</v>
      </c>
      <c r="C31" s="6"/>
      <c r="D31" s="11" t="e">
        <f>SUMIFS(AVL!#REF!,AVL!X:X,Summary!A31)</f>
        <v>#REF!</v>
      </c>
      <c r="E31" s="6" t="e">
        <f>_xlfn.MAXIFS(AVL!#REF!,AVL!X:X,Summary!A31)</f>
        <v>#REF!</v>
      </c>
      <c r="F31" s="6"/>
      <c r="G31" s="18"/>
    </row>
    <row r="32" spans="1:7" hidden="1" x14ac:dyDescent="0.2">
      <c r="A32" s="3" t="s">
        <v>39</v>
      </c>
      <c r="B32" s="18">
        <f>COUNTIFS(AVL!X:X,Summary!A32)</f>
        <v>4</v>
      </c>
      <c r="C32" s="6"/>
      <c r="D32" s="11" t="e">
        <f>SUMIFS(AVL!#REF!,AVL!X:X,Summary!A32)</f>
        <v>#REF!</v>
      </c>
      <c r="E32" s="6" t="e">
        <f>_xlfn.MAXIFS(AVL!#REF!,AVL!X:X,Summary!A32)</f>
        <v>#REF!</v>
      </c>
      <c r="F32" s="6"/>
      <c r="G32" s="18"/>
    </row>
    <row r="33" spans="1:7" hidden="1" x14ac:dyDescent="0.2">
      <c r="A33" s="3" t="s">
        <v>40</v>
      </c>
      <c r="B33" s="18">
        <f>COUNTIFS(AVL!X:X,Summary!A33)</f>
        <v>0</v>
      </c>
      <c r="C33" s="6" t="s">
        <v>35</v>
      </c>
      <c r="D33" s="11" t="e">
        <f>SUMIFS(AVL!#REF!,AVL!X:X,Summary!A33)</f>
        <v>#REF!</v>
      </c>
      <c r="E33" s="6" t="e">
        <f>_xlfn.MAXIFS(AVL!#REF!,AVL!X:X,Summary!A33)</f>
        <v>#REF!</v>
      </c>
      <c r="F33" s="12" t="e">
        <f>D33</f>
        <v>#REF!</v>
      </c>
      <c r="G33" s="18" t="s">
        <v>36</v>
      </c>
    </row>
    <row r="34" spans="1:7" hidden="1" x14ac:dyDescent="0.2">
      <c r="A34" s="3" t="s">
        <v>41</v>
      </c>
      <c r="B34" s="18">
        <f>COUNTIFS(AVL!X:X,Summary!A34)</f>
        <v>5</v>
      </c>
      <c r="C34" s="6"/>
      <c r="D34" s="11" t="e">
        <f>SUMIFS(AVL!#REF!,AVL!X:X,Summary!A34)</f>
        <v>#REF!</v>
      </c>
      <c r="E34" s="6" t="e">
        <f>_xlfn.MAXIFS(AVL!#REF!,AVL!X:X,Summary!A34)</f>
        <v>#REF!</v>
      </c>
      <c r="F34" s="6"/>
      <c r="G34" s="18"/>
    </row>
    <row r="35" spans="1:7" hidden="1" x14ac:dyDescent="0.2">
      <c r="A35" s="3" t="s">
        <v>24</v>
      </c>
      <c r="B35" s="18">
        <f>COUNTIFS(AVL!X:X,Summary!A35)</f>
        <v>87</v>
      </c>
      <c r="C35" s="6" t="s">
        <v>35</v>
      </c>
      <c r="D35" s="11" t="e">
        <f>SUMIFS(AVL!#REF!,AVL!X:X,Summary!A35)</f>
        <v>#REF!</v>
      </c>
      <c r="E35" s="6" t="e">
        <f>_xlfn.MAXIFS(AVL!#REF!,AVL!X:X,Summary!A35)</f>
        <v>#REF!</v>
      </c>
      <c r="F35" s="12" t="e">
        <f>D35</f>
        <v>#REF!</v>
      </c>
      <c r="G35" s="18" t="s">
        <v>36</v>
      </c>
    </row>
    <row r="36" spans="1:7" hidden="1" x14ac:dyDescent="0.2">
      <c r="A36" s="3" t="s">
        <v>42</v>
      </c>
      <c r="B36" s="18">
        <f>COUNTIFS(AVL!X:X,Summary!A36)</f>
        <v>1</v>
      </c>
      <c r="C36" s="6" t="s">
        <v>35</v>
      </c>
      <c r="D36" s="11" t="e">
        <f>SUMIFS(AVL!#REF!,AVL!X:X,Summary!A36)</f>
        <v>#REF!</v>
      </c>
      <c r="E36" s="6" t="e">
        <f>_xlfn.MAXIFS(AVL!#REF!,AVL!X:X,Summary!A36)</f>
        <v>#REF!</v>
      </c>
      <c r="F36" s="12" t="e">
        <f>D36</f>
        <v>#REF!</v>
      </c>
      <c r="G36" s="18" t="s">
        <v>36</v>
      </c>
    </row>
    <row r="37" spans="1:7" hidden="1" x14ac:dyDescent="0.2">
      <c r="A37" s="3" t="s">
        <v>43</v>
      </c>
      <c r="B37" s="18">
        <f>COUNTIFS(AVL!X:X,Summary!A37)</f>
        <v>1</v>
      </c>
      <c r="C37" s="6"/>
      <c r="D37" s="11" t="e">
        <f>SUMIFS(AVL!#REF!,AVL!X:X,Summary!A37)</f>
        <v>#REF!</v>
      </c>
      <c r="E37" s="6" t="e">
        <f>_xlfn.MAXIFS(AVL!#REF!,AVL!X:X,Summary!A37)</f>
        <v>#REF!</v>
      </c>
      <c r="F37" s="6"/>
      <c r="G37" s="18"/>
    </row>
    <row r="38" spans="1:7" hidden="1" x14ac:dyDescent="0.2">
      <c r="A38" s="3" t="s">
        <v>6</v>
      </c>
      <c r="B38" s="18">
        <f>COUNTIFS(AVL!X:X,Summary!A38)</f>
        <v>35</v>
      </c>
      <c r="C38" s="6"/>
      <c r="D38" s="11" t="e">
        <f>SUMIFS(AVL!#REF!,AVL!X:X,Summary!A38)</f>
        <v>#REF!</v>
      </c>
      <c r="E38" s="6" t="e">
        <f>_xlfn.MAXIFS(AVL!#REF!,AVL!X:X,Summary!A38)</f>
        <v>#REF!</v>
      </c>
      <c r="F38" s="6"/>
      <c r="G38" s="18"/>
    </row>
    <row r="39" spans="1:7" hidden="1" x14ac:dyDescent="0.2">
      <c r="A39" s="3" t="s">
        <v>44</v>
      </c>
      <c r="B39" s="18">
        <f>COUNTIFS(AVL!X:X,Summary!A39)</f>
        <v>22</v>
      </c>
      <c r="C39" s="6"/>
      <c r="D39" s="11" t="e">
        <f>SUMIFS(AVL!#REF!,AVL!X:X,Summary!A39)</f>
        <v>#REF!</v>
      </c>
      <c r="E39" s="6" t="e">
        <f>_xlfn.MAXIFS(AVL!#REF!,AVL!X:X,Summary!A39)</f>
        <v>#REF!</v>
      </c>
      <c r="F39" s="6"/>
      <c r="G39" s="18"/>
    </row>
    <row r="40" spans="1:7" hidden="1" x14ac:dyDescent="0.2">
      <c r="A40" s="3" t="s">
        <v>45</v>
      </c>
      <c r="B40" s="18">
        <f>COUNTIFS(AVL!X:X,Summary!A40)</f>
        <v>0</v>
      </c>
      <c r="C40" s="6"/>
      <c r="D40" s="11" t="e">
        <f>SUMIFS(AVL!#REF!,AVL!X:X,Summary!A40)</f>
        <v>#REF!</v>
      </c>
      <c r="E40" s="6" t="e">
        <f>_xlfn.MAXIFS(AVL!#REF!,AVL!X:X,Summary!A40)</f>
        <v>#REF!</v>
      </c>
      <c r="F40" s="6"/>
      <c r="G40" s="18"/>
    </row>
    <row r="41" spans="1:7" hidden="1" x14ac:dyDescent="0.2">
      <c r="A41" s="3" t="s">
        <v>46</v>
      </c>
      <c r="B41" s="18">
        <f>COUNTIFS(AVL!X:X,Summary!A41)</f>
        <v>30</v>
      </c>
      <c r="C41" s="6"/>
      <c r="D41" s="11" t="e">
        <f>SUMIFS(AVL!#REF!,AVL!X:X,Summary!A41)</f>
        <v>#REF!</v>
      </c>
      <c r="E41" s="6" t="e">
        <f>_xlfn.MAXIFS(AVL!#REF!,AVL!X:X,Summary!A41)</f>
        <v>#REF!</v>
      </c>
      <c r="F41" s="6"/>
      <c r="G41" s="18"/>
    </row>
    <row r="42" spans="1:7" hidden="1" x14ac:dyDescent="0.2">
      <c r="A42" s="3" t="s">
        <v>47</v>
      </c>
      <c r="B42" s="18">
        <f>COUNTIFS(AVL!X:X,Summary!A42)</f>
        <v>0</v>
      </c>
      <c r="C42" s="6" t="s">
        <v>35</v>
      </c>
      <c r="D42" s="11" t="e">
        <f>SUMIFS(AVL!#REF!,AVL!X:X,Summary!A42)</f>
        <v>#REF!</v>
      </c>
      <c r="E42" s="6" t="e">
        <f>_xlfn.MAXIFS(AVL!#REF!,AVL!X:X,Summary!A42)</f>
        <v>#REF!</v>
      </c>
      <c r="F42" s="12" t="e">
        <f>D42</f>
        <v>#REF!</v>
      </c>
      <c r="G42" s="18" t="s">
        <v>36</v>
      </c>
    </row>
    <row r="43" spans="1:7" hidden="1" x14ac:dyDescent="0.2">
      <c r="A43" s="3" t="s">
        <v>48</v>
      </c>
      <c r="B43" s="18">
        <f>COUNTIFS(AVL!X:X,Summary!A43)</f>
        <v>1</v>
      </c>
      <c r="C43" s="6" t="s">
        <v>35</v>
      </c>
      <c r="D43" s="11" t="e">
        <f>SUMIFS(AVL!#REF!,AVL!X:X,Summary!A43)</f>
        <v>#REF!</v>
      </c>
      <c r="E43" s="6" t="e">
        <f>_xlfn.MAXIFS(AVL!#REF!,AVL!X:X,Summary!A43)</f>
        <v>#REF!</v>
      </c>
      <c r="F43" s="12">
        <v>71908.399999999994</v>
      </c>
      <c r="G43" s="18" t="s">
        <v>36</v>
      </c>
    </row>
    <row r="44" spans="1:7" hidden="1" x14ac:dyDescent="0.2">
      <c r="A44" s="3" t="s">
        <v>49</v>
      </c>
      <c r="B44" s="18">
        <f>COUNTIFS(AVL!X:X,Summary!A44)</f>
        <v>2</v>
      </c>
      <c r="C44" s="6"/>
      <c r="D44" s="11" t="e">
        <f>SUMIFS(AVL!#REF!,AVL!X:X,Summary!A44)</f>
        <v>#REF!</v>
      </c>
      <c r="E44" s="6" t="e">
        <f>_xlfn.MAXIFS(AVL!#REF!,AVL!X:X,Summary!A44)</f>
        <v>#REF!</v>
      </c>
      <c r="F44" s="6"/>
      <c r="G44" s="18"/>
    </row>
    <row r="45" spans="1:7" hidden="1" x14ac:dyDescent="0.2">
      <c r="A45" s="3" t="s">
        <v>8</v>
      </c>
      <c r="B45" s="18">
        <f>COUNTIFS(AVL!X:X,Summary!A45)</f>
        <v>13</v>
      </c>
      <c r="C45" s="6"/>
      <c r="D45" s="11" t="e">
        <f>SUMIFS(AVL!#REF!,AVL!X:X,Summary!A45)</f>
        <v>#REF!</v>
      </c>
      <c r="E45" s="6" t="e">
        <f>_xlfn.MAXIFS(AVL!#REF!,AVL!X:X,Summary!A45)</f>
        <v>#REF!</v>
      </c>
      <c r="F45" s="6"/>
      <c r="G45" s="18"/>
    </row>
    <row r="46" spans="1:7" hidden="1" x14ac:dyDescent="0.2">
      <c r="A46" s="3" t="s">
        <v>50</v>
      </c>
      <c r="B46" s="18">
        <f>COUNTIFS(AVL!X:X,Summary!A46)</f>
        <v>10</v>
      </c>
      <c r="C46" s="6"/>
      <c r="D46" s="11" t="e">
        <f>SUMIFS(AVL!#REF!,AVL!X:X,Summary!A46)</f>
        <v>#REF!</v>
      </c>
      <c r="E46" s="6" t="e">
        <f>_xlfn.MAXIFS(AVL!#REF!,AVL!X:X,Summary!A46)</f>
        <v>#REF!</v>
      </c>
      <c r="F46" s="6"/>
      <c r="G46" s="18"/>
    </row>
    <row r="47" spans="1:7" hidden="1" x14ac:dyDescent="0.2">
      <c r="A47" s="3" t="s">
        <v>51</v>
      </c>
      <c r="B47" s="18">
        <f>COUNTIFS(AVL!X:X,Summary!A47)</f>
        <v>0</v>
      </c>
      <c r="C47" s="6"/>
      <c r="D47" s="11" t="e">
        <f>SUMIFS(AVL!#REF!,AVL!X:X,Summary!A47)</f>
        <v>#REF!</v>
      </c>
      <c r="E47" s="6" t="e">
        <f>_xlfn.MAXIFS(AVL!#REF!,AVL!X:X,Summary!A47)</f>
        <v>#REF!</v>
      </c>
      <c r="F47" s="6"/>
      <c r="G47" s="18"/>
    </row>
    <row r="48" spans="1:7" hidden="1" x14ac:dyDescent="0.2">
      <c r="A48" s="3" t="s">
        <v>52</v>
      </c>
      <c r="B48" s="18">
        <f>COUNTIFS(AVL!X:X,Summary!A48)</f>
        <v>3</v>
      </c>
      <c r="C48" s="6"/>
      <c r="D48" s="11" t="e">
        <f>SUMIFS(AVL!#REF!,AVL!X:X,Summary!A48)</f>
        <v>#REF!</v>
      </c>
      <c r="E48" s="6" t="e">
        <f>_xlfn.MAXIFS(AVL!#REF!,AVL!X:X,Summary!A48)</f>
        <v>#REF!</v>
      </c>
      <c r="F48" s="6"/>
      <c r="G48" s="18"/>
    </row>
    <row r="49" spans="1:7" hidden="1" x14ac:dyDescent="0.2">
      <c r="A49" s="3" t="s">
        <v>53</v>
      </c>
      <c r="B49" s="18">
        <f>COUNTIFS(AVL!X:X,Summary!A49)</f>
        <v>9</v>
      </c>
      <c r="C49" s="6"/>
      <c r="D49" s="11" t="e">
        <f>SUMIFS(AVL!#REF!,AVL!X:X,Summary!A49)</f>
        <v>#REF!</v>
      </c>
      <c r="E49" s="6" t="e">
        <f>_xlfn.MAXIFS(AVL!#REF!,AVL!X:X,Summary!A49)</f>
        <v>#REF!</v>
      </c>
      <c r="F49" s="6"/>
      <c r="G49" s="18"/>
    </row>
    <row r="50" spans="1:7" hidden="1" x14ac:dyDescent="0.2">
      <c r="A50" s="3" t="s">
        <v>54</v>
      </c>
      <c r="B50" s="18">
        <f>COUNTIFS(AVL!X:X,Summary!A50)</f>
        <v>1</v>
      </c>
      <c r="C50" s="6"/>
      <c r="D50" s="11" t="e">
        <f>SUMIFS(AVL!#REF!,AVL!X:X,Summary!A50)</f>
        <v>#REF!</v>
      </c>
      <c r="E50" s="6" t="e">
        <f>_xlfn.MAXIFS(AVL!#REF!,AVL!X:X,Summary!A50)</f>
        <v>#REF!</v>
      </c>
      <c r="F50" s="6"/>
      <c r="G50" s="18"/>
    </row>
    <row r="51" spans="1:7" hidden="1" x14ac:dyDescent="0.2">
      <c r="A51" s="3" t="s">
        <v>21</v>
      </c>
      <c r="B51" s="18">
        <f>COUNTIFS(AVL!X:X,Summary!A51)</f>
        <v>16</v>
      </c>
      <c r="C51" s="6"/>
      <c r="D51" s="11" t="e">
        <f>SUMIFS(AVL!#REF!,AVL!X:X,Summary!A51)</f>
        <v>#REF!</v>
      </c>
      <c r="E51" s="6" t="e">
        <f>_xlfn.MAXIFS(AVL!#REF!,AVL!X:X,Summary!A51)</f>
        <v>#REF!</v>
      </c>
      <c r="F51" s="6"/>
      <c r="G51" s="18"/>
    </row>
    <row r="52" spans="1:7" hidden="1" x14ac:dyDescent="0.2">
      <c r="A52" s="3" t="s">
        <v>55</v>
      </c>
      <c r="B52" s="18">
        <f>COUNTIFS(AVL!X:X,Summary!A52)</f>
        <v>0</v>
      </c>
      <c r="C52" s="6"/>
      <c r="D52" s="11" t="e">
        <f>SUMIFS(AVL!#REF!,AVL!X:X,Summary!A52)</f>
        <v>#REF!</v>
      </c>
      <c r="E52" s="6" t="e">
        <f>_xlfn.MAXIFS(AVL!#REF!,AVL!X:X,Summary!A52)</f>
        <v>#REF!</v>
      </c>
      <c r="F52" s="6"/>
      <c r="G52" s="18"/>
    </row>
    <row r="53" spans="1:7" hidden="1" x14ac:dyDescent="0.2">
      <c r="A53" s="3" t="s">
        <v>56</v>
      </c>
      <c r="B53" s="18">
        <f>COUNTIFS(AVL!X:X,Summary!A53)</f>
        <v>11</v>
      </c>
      <c r="C53" s="6" t="s">
        <v>35</v>
      </c>
      <c r="D53" s="11" t="e">
        <f>SUMIFS(AVL!#REF!,AVL!X:X,Summary!A53)</f>
        <v>#REF!</v>
      </c>
      <c r="E53" s="6" t="e">
        <f>_xlfn.MAXIFS(AVL!#REF!,AVL!X:X,Summary!A53)</f>
        <v>#REF!</v>
      </c>
      <c r="F53" s="6">
        <v>21884.2</v>
      </c>
      <c r="G53" s="18" t="s">
        <v>36</v>
      </c>
    </row>
    <row r="54" spans="1:7" hidden="1" x14ac:dyDescent="0.2">
      <c r="A54" s="3" t="s">
        <v>57</v>
      </c>
      <c r="B54" s="18">
        <f>COUNTIFS(AVL!X:X,Summary!A54)</f>
        <v>0</v>
      </c>
      <c r="C54" s="6"/>
      <c r="D54" s="11" t="e">
        <f>SUMIFS(AVL!#REF!,AVL!X:X,Summary!A54)</f>
        <v>#REF!</v>
      </c>
      <c r="E54" s="6" t="e">
        <f>_xlfn.MAXIFS(AVL!#REF!,AVL!X:X,Summary!A54)</f>
        <v>#REF!</v>
      </c>
      <c r="F54" s="6"/>
      <c r="G54" s="18"/>
    </row>
    <row r="55" spans="1:7" hidden="1" x14ac:dyDescent="0.2">
      <c r="A55" s="3" t="s">
        <v>58</v>
      </c>
      <c r="B55" s="18">
        <f>COUNTIFS(AVL!X:X,Summary!A55)</f>
        <v>6</v>
      </c>
      <c r="C55" s="6" t="s">
        <v>35</v>
      </c>
      <c r="D55" s="11" t="e">
        <f>SUMIFS(AVL!#REF!,AVL!X:X,Summary!A55)</f>
        <v>#REF!</v>
      </c>
      <c r="E55" s="6" t="e">
        <f>_xlfn.MAXIFS(AVL!#REF!,AVL!X:X,Summary!A55)</f>
        <v>#REF!</v>
      </c>
      <c r="F55" s="12" t="e">
        <f>D55</f>
        <v>#REF!</v>
      </c>
      <c r="G55" s="18" t="s">
        <v>36</v>
      </c>
    </row>
    <row r="56" spans="1:7" hidden="1" x14ac:dyDescent="0.2">
      <c r="A56" s="3" t="s">
        <v>59</v>
      </c>
      <c r="B56" s="18">
        <f>COUNTIFS(AVL!X:X,Summary!A56)</f>
        <v>3</v>
      </c>
      <c r="C56" s="6"/>
      <c r="D56" s="11" t="e">
        <f>SUMIFS(AVL!#REF!,AVL!X:X,Summary!A56)</f>
        <v>#REF!</v>
      </c>
      <c r="E56" s="6" t="e">
        <f>_xlfn.MAXIFS(AVL!#REF!,AVL!X:X,Summary!A56)</f>
        <v>#REF!</v>
      </c>
      <c r="F56" s="6"/>
      <c r="G56" s="18"/>
    </row>
    <row r="57" spans="1:7" hidden="1" x14ac:dyDescent="0.2">
      <c r="A57" s="3" t="s">
        <v>60</v>
      </c>
      <c r="B57" s="18">
        <f>COUNTIFS(AVL!X:X,Summary!A57)</f>
        <v>1</v>
      </c>
      <c r="C57" s="6" t="s">
        <v>35</v>
      </c>
      <c r="D57" s="11" t="e">
        <f>SUMIFS(AVL!#REF!,AVL!X:X,Summary!A57)</f>
        <v>#REF!</v>
      </c>
      <c r="E57" s="6" t="e">
        <f>_xlfn.MAXIFS(AVL!#REF!,AVL!X:X,Summary!A57)</f>
        <v>#REF!</v>
      </c>
      <c r="F57" s="6">
        <f>1070000*0.012</f>
        <v>12840</v>
      </c>
      <c r="G57" s="18" t="s">
        <v>36</v>
      </c>
    </row>
    <row r="58" spans="1:7" hidden="1" x14ac:dyDescent="0.2">
      <c r="A58" s="3" t="s">
        <v>61</v>
      </c>
      <c r="B58" s="18">
        <f>COUNTIFS(AVL!X:X,Summary!A58)</f>
        <v>42</v>
      </c>
      <c r="C58" s="6"/>
      <c r="D58" s="11" t="e">
        <f>SUMIFS(AVL!#REF!,AVL!X:X,Summary!A58)</f>
        <v>#REF!</v>
      </c>
      <c r="E58" s="6" t="e">
        <f>_xlfn.MAXIFS(AVL!#REF!,AVL!X:X,Summary!A58)</f>
        <v>#REF!</v>
      </c>
      <c r="F58" s="6"/>
      <c r="G58" s="18"/>
    </row>
    <row r="59" spans="1:7" hidden="1" x14ac:dyDescent="0.2">
      <c r="A59" s="3" t="s">
        <v>62</v>
      </c>
      <c r="B59" s="18">
        <f>COUNTIFS(AVL!X:X,Summary!A59)</f>
        <v>0</v>
      </c>
      <c r="C59" s="6"/>
      <c r="D59" s="11" t="e">
        <f>SUMIFS(AVL!#REF!,AVL!X:X,Summary!A59)</f>
        <v>#REF!</v>
      </c>
      <c r="E59" s="6" t="e">
        <f>_xlfn.MAXIFS(AVL!#REF!,AVL!X:X,Summary!A59)</f>
        <v>#REF!</v>
      </c>
      <c r="F59" s="14">
        <v>70897.37</v>
      </c>
      <c r="G59" s="18"/>
    </row>
    <row r="60" spans="1:7" hidden="1" x14ac:dyDescent="0.2">
      <c r="A60" s="3" t="s">
        <v>63</v>
      </c>
      <c r="B60" s="18">
        <f>COUNTIFS(AVL!X:X,Summary!A60)</f>
        <v>15</v>
      </c>
      <c r="C60" s="6"/>
      <c r="D60" s="11" t="e">
        <f>SUMIFS(AVL!#REF!,AVL!X:X,Summary!A60)</f>
        <v>#REF!</v>
      </c>
      <c r="E60" s="6" t="e">
        <f>_xlfn.MAXIFS(AVL!#REF!,AVL!X:X,Summary!A60)</f>
        <v>#REF!</v>
      </c>
      <c r="F60" s="6"/>
      <c r="G60" s="18"/>
    </row>
    <row r="61" spans="1:7" hidden="1" x14ac:dyDescent="0.2">
      <c r="A61" s="3" t="s">
        <v>64</v>
      </c>
      <c r="B61" s="18">
        <f>COUNTIFS(AVL!X:X,Summary!A61)</f>
        <v>6</v>
      </c>
      <c r="C61" s="6"/>
      <c r="D61" s="11" t="e">
        <f>SUMIFS(AVL!#REF!,AVL!X:X,Summary!A61)</f>
        <v>#REF!</v>
      </c>
      <c r="E61" s="6" t="e">
        <f>_xlfn.MAXIFS(AVL!#REF!,AVL!X:X,Summary!A61)</f>
        <v>#REF!</v>
      </c>
      <c r="F61" s="6"/>
      <c r="G61" s="18"/>
    </row>
    <row r="62" spans="1:7" hidden="1" x14ac:dyDescent="0.2">
      <c r="A62" s="3" t="s">
        <v>65</v>
      </c>
      <c r="B62" s="18">
        <f>COUNTIFS(AVL!X:X,Summary!A62)</f>
        <v>11</v>
      </c>
      <c r="C62" s="6"/>
      <c r="D62" s="11" t="e">
        <f>SUMIFS(AVL!#REF!,AVL!X:X,Summary!A62)</f>
        <v>#REF!</v>
      </c>
      <c r="E62" s="6" t="e">
        <f>_xlfn.MAXIFS(AVL!#REF!,AVL!X:X,Summary!A62)</f>
        <v>#REF!</v>
      </c>
      <c r="F62" s="6"/>
      <c r="G62" s="18"/>
    </row>
    <row r="63" spans="1:7" hidden="1" x14ac:dyDescent="0.2">
      <c r="A63" s="3" t="s">
        <v>66</v>
      </c>
      <c r="B63" s="18">
        <f>COUNTIFS(AVL!X:X,Summary!A63)</f>
        <v>3</v>
      </c>
      <c r="C63" s="6"/>
      <c r="D63" s="11" t="e">
        <f>SUMIFS(AVL!#REF!,AVL!X:X,Summary!A63)</f>
        <v>#REF!</v>
      </c>
      <c r="E63" s="6" t="e">
        <f>_xlfn.MAXIFS(AVL!#REF!,AVL!X:X,Summary!A63)</f>
        <v>#REF!</v>
      </c>
      <c r="F63" s="6"/>
      <c r="G63" s="18"/>
    </row>
    <row r="64" spans="1:7" hidden="1" x14ac:dyDescent="0.2">
      <c r="A64" s="3" t="s">
        <v>67</v>
      </c>
      <c r="B64" s="18">
        <f>COUNTIFS(AVL!X:X,Summary!A64)</f>
        <v>4</v>
      </c>
      <c r="C64" s="6"/>
      <c r="D64" s="11" t="e">
        <f>SUMIFS(AVL!#REF!,AVL!X:X,Summary!A64)</f>
        <v>#REF!</v>
      </c>
      <c r="E64" s="6" t="e">
        <f>_xlfn.MAXIFS(AVL!#REF!,AVL!X:X,Summary!A64)</f>
        <v>#REF!</v>
      </c>
      <c r="F64" s="6"/>
      <c r="G64" s="18"/>
    </row>
    <row r="65" spans="1:7" hidden="1" x14ac:dyDescent="0.2">
      <c r="A65" s="3" t="s">
        <v>68</v>
      </c>
      <c r="B65" s="18">
        <f>COUNTIFS(AVL!X:X,Summary!A65)</f>
        <v>0</v>
      </c>
      <c r="C65" s="6" t="s">
        <v>35</v>
      </c>
      <c r="D65" s="11" t="e">
        <f>SUMIFS(AVL!#REF!,AVL!X:X,Summary!A65)</f>
        <v>#REF!</v>
      </c>
      <c r="E65" s="6" t="e">
        <f>_xlfn.MAXIFS(AVL!#REF!,AVL!X:X,Summary!A65)</f>
        <v>#REF!</v>
      </c>
      <c r="F65" s="12" t="e">
        <f>D65</f>
        <v>#REF!</v>
      </c>
      <c r="G65" s="18" t="s">
        <v>36</v>
      </c>
    </row>
    <row r="66" spans="1:7" hidden="1" x14ac:dyDescent="0.2">
      <c r="A66" s="3" t="s">
        <v>69</v>
      </c>
      <c r="B66" s="18">
        <f>COUNTIFS(AVL!X:X,Summary!A66)</f>
        <v>3</v>
      </c>
      <c r="C66" s="6"/>
      <c r="D66" s="11" t="e">
        <f>SUMIFS(AVL!#REF!,AVL!X:X,Summary!A66)</f>
        <v>#REF!</v>
      </c>
      <c r="E66" s="6" t="e">
        <f>_xlfn.MAXIFS(AVL!#REF!,AVL!X:X,Summary!A66)</f>
        <v>#REF!</v>
      </c>
      <c r="F66" s="6"/>
      <c r="G66" s="18"/>
    </row>
    <row r="67" spans="1:7" hidden="1" x14ac:dyDescent="0.2">
      <c r="A67" s="3" t="s">
        <v>70</v>
      </c>
      <c r="B67" s="18">
        <f>COUNTIFS(AVL!X:X,Summary!A67)</f>
        <v>2</v>
      </c>
      <c r="C67" s="6" t="s">
        <v>35</v>
      </c>
      <c r="D67" s="11" t="e">
        <f>SUMIFS(AVL!#REF!,AVL!X:X,Summary!A67)</f>
        <v>#REF!</v>
      </c>
      <c r="E67" s="6" t="e">
        <f>_xlfn.MAXIFS(AVL!#REF!,AVL!X:X,Summary!A67)</f>
        <v>#REF!</v>
      </c>
      <c r="F67" s="12" t="e">
        <f>D67</f>
        <v>#REF!</v>
      </c>
      <c r="G67" s="18" t="s">
        <v>36</v>
      </c>
    </row>
    <row r="68" spans="1:7" hidden="1" x14ac:dyDescent="0.2">
      <c r="A68" s="3" t="s">
        <v>71</v>
      </c>
      <c r="B68" s="18">
        <f>COUNTIFS(AVL!X:X,Summary!A68)</f>
        <v>4</v>
      </c>
      <c r="C68" s="6"/>
      <c r="D68" s="11" t="e">
        <f>SUMIFS(AVL!#REF!,AVL!X:X,Summary!A68)</f>
        <v>#REF!</v>
      </c>
      <c r="E68" s="6" t="e">
        <f>_xlfn.MAXIFS(AVL!#REF!,AVL!X:X,Summary!A68)</f>
        <v>#REF!</v>
      </c>
      <c r="F68" s="6"/>
      <c r="G68" s="18"/>
    </row>
    <row r="69" spans="1:7" hidden="1" x14ac:dyDescent="0.2">
      <c r="A69" s="3" t="s">
        <v>72</v>
      </c>
      <c r="B69" s="18">
        <f>COUNTIFS(AVL!X:X,Summary!A69)</f>
        <v>1</v>
      </c>
      <c r="C69" s="6" t="s">
        <v>35</v>
      </c>
      <c r="D69" s="11" t="e">
        <f>SUMIFS(AVL!#REF!,AVL!X:X,Summary!A69)</f>
        <v>#REF!</v>
      </c>
      <c r="E69" s="6" t="e">
        <f>_xlfn.MAXIFS(AVL!#REF!,AVL!X:X,Summary!A69)</f>
        <v>#REF!</v>
      </c>
      <c r="F69" s="12" t="e">
        <f>D69</f>
        <v>#REF!</v>
      </c>
      <c r="G69" s="18" t="s">
        <v>36</v>
      </c>
    </row>
    <row r="70" spans="1:7" hidden="1" x14ac:dyDescent="0.2">
      <c r="A70" s="3" t="s">
        <v>73</v>
      </c>
      <c r="B70" s="18">
        <f>COUNTIFS(AVL!X:X,Summary!A70)</f>
        <v>4</v>
      </c>
      <c r="C70" s="6"/>
      <c r="D70" s="11" t="e">
        <f>SUMIFS(AVL!#REF!,AVL!X:X,Summary!A70)</f>
        <v>#REF!</v>
      </c>
      <c r="E70" s="6" t="e">
        <f>_xlfn.MAXIFS(AVL!#REF!,AVL!X:X,Summary!A70)</f>
        <v>#REF!</v>
      </c>
      <c r="F70" s="6"/>
      <c r="G70" s="18"/>
    </row>
    <row r="71" spans="1:7" hidden="1" x14ac:dyDescent="0.2">
      <c r="A71" s="3" t="s">
        <v>74</v>
      </c>
      <c r="B71" s="18">
        <f>COUNTIFS(AVL!X:X,Summary!A71)</f>
        <v>2</v>
      </c>
      <c r="C71" s="6" t="s">
        <v>35</v>
      </c>
      <c r="D71" s="11" t="e">
        <f>SUMIFS(AVL!#REF!,AVL!X:X,Summary!A71)</f>
        <v>#REF!</v>
      </c>
      <c r="E71" s="6" t="e">
        <f>_xlfn.MAXIFS(AVL!#REF!,AVL!X:X,Summary!A71)</f>
        <v>#REF!</v>
      </c>
      <c r="F71" s="12" t="e">
        <f>D71</f>
        <v>#REF!</v>
      </c>
      <c r="G71" s="18" t="s">
        <v>36</v>
      </c>
    </row>
    <row r="72" spans="1:7" hidden="1" x14ac:dyDescent="0.2">
      <c r="A72" s="3" t="s">
        <v>75</v>
      </c>
      <c r="B72" s="18">
        <f>COUNTIFS(AVL!X:X,Summary!A72)</f>
        <v>0</v>
      </c>
      <c r="C72" s="6" t="s">
        <v>35</v>
      </c>
      <c r="D72" s="11" t="e">
        <f>SUMIFS(AVL!#REF!,AVL!X:X,Summary!A72)</f>
        <v>#REF!</v>
      </c>
      <c r="E72" s="6" t="e">
        <f>_xlfn.MAXIFS(AVL!#REF!,AVL!X:X,Summary!A72)</f>
        <v>#REF!</v>
      </c>
      <c r="F72" s="12" t="e">
        <f>D72</f>
        <v>#REF!</v>
      </c>
      <c r="G72" s="18" t="s">
        <v>36</v>
      </c>
    </row>
    <row r="73" spans="1:7" hidden="1" x14ac:dyDescent="0.2">
      <c r="A73" s="3" t="s">
        <v>76</v>
      </c>
      <c r="B73" s="18">
        <f>COUNTIFS(AVL!X:X,Summary!A73)</f>
        <v>1</v>
      </c>
      <c r="C73" s="6"/>
      <c r="D73" s="11" t="e">
        <f>SUMIFS(AVL!#REF!,AVL!X:X,Summary!A73)</f>
        <v>#REF!</v>
      </c>
      <c r="E73" s="6" t="e">
        <f>_xlfn.MAXIFS(AVL!#REF!,AVL!X:X,Summary!A73)</f>
        <v>#REF!</v>
      </c>
      <c r="F73" s="6"/>
      <c r="G73" s="18"/>
    </row>
    <row r="74" spans="1:7" hidden="1" x14ac:dyDescent="0.2">
      <c r="A74" s="3" t="s">
        <v>77</v>
      </c>
      <c r="B74" s="18">
        <f>COUNTIFS(AVL!X:X,Summary!A74)</f>
        <v>2</v>
      </c>
      <c r="C74" s="6"/>
      <c r="D74" s="11" t="e">
        <f>SUMIFS(AVL!#REF!,AVL!X:X,Summary!A74)</f>
        <v>#REF!</v>
      </c>
      <c r="E74" s="6" t="e">
        <f>_xlfn.MAXIFS(AVL!#REF!,AVL!X:X,Summary!A74)</f>
        <v>#REF!</v>
      </c>
      <c r="F74" s="6"/>
      <c r="G74" s="18"/>
    </row>
    <row r="75" spans="1:7" hidden="1" x14ac:dyDescent="0.2">
      <c r="A75" s="3" t="s">
        <v>78</v>
      </c>
      <c r="B75" s="18">
        <f>COUNTIFS(AVL!X:X,Summary!A75)</f>
        <v>3</v>
      </c>
      <c r="C75" s="6" t="s">
        <v>35</v>
      </c>
      <c r="D75" s="11" t="e">
        <f>SUMIFS(AVL!#REF!,AVL!X:X,Summary!A75)</f>
        <v>#REF!</v>
      </c>
      <c r="E75" s="6" t="e">
        <f>_xlfn.MAXIFS(AVL!#REF!,AVL!X:X,Summary!A75)</f>
        <v>#REF!</v>
      </c>
      <c r="F75" s="12" t="e">
        <f>D75</f>
        <v>#REF!</v>
      </c>
      <c r="G75" s="18" t="s">
        <v>36</v>
      </c>
    </row>
    <row r="76" spans="1:7" hidden="1" x14ac:dyDescent="0.2">
      <c r="A76" s="4" t="s">
        <v>79</v>
      </c>
      <c r="B76" s="18">
        <f>COUNTIFS(AVL!X:X,Summary!A76)</f>
        <v>2</v>
      </c>
      <c r="C76" s="6" t="s">
        <v>35</v>
      </c>
      <c r="D76" s="11" t="e">
        <f>SUMIFS(AVL!#REF!,AVL!X:X,Summary!A76)</f>
        <v>#REF!</v>
      </c>
      <c r="E76" s="6" t="e">
        <f>_xlfn.MAXIFS(AVL!#REF!,AVL!X:X,Summary!A76)</f>
        <v>#REF!</v>
      </c>
      <c r="F76" s="12" t="e">
        <f>D76</f>
        <v>#REF!</v>
      </c>
      <c r="G76" s="18" t="s">
        <v>36</v>
      </c>
    </row>
    <row r="77" spans="1:7" hidden="1" x14ac:dyDescent="0.2">
      <c r="A77" s="3" t="s">
        <v>80</v>
      </c>
      <c r="B77" s="18">
        <f>COUNTIFS(AVL!X:X,Summary!A77)</f>
        <v>1</v>
      </c>
      <c r="C77" s="6" t="s">
        <v>35</v>
      </c>
      <c r="D77" s="11" t="e">
        <f>SUMIFS(AVL!#REF!,AVL!X:X,Summary!A77)</f>
        <v>#REF!</v>
      </c>
      <c r="E77" s="6" t="e">
        <f>_xlfn.MAXIFS(AVL!#REF!,AVL!X:X,Summary!A77)</f>
        <v>#REF!</v>
      </c>
      <c r="F77" s="12" t="e">
        <f>D77</f>
        <v>#REF!</v>
      </c>
      <c r="G77" s="18" t="s">
        <v>36</v>
      </c>
    </row>
    <row r="78" spans="1:7" hidden="1" x14ac:dyDescent="0.2">
      <c r="A78" s="3" t="s">
        <v>81</v>
      </c>
      <c r="B78" s="18">
        <f>COUNTIFS(AVL!X:X,Summary!A78)</f>
        <v>2</v>
      </c>
      <c r="C78" s="6" t="s">
        <v>35</v>
      </c>
      <c r="D78" s="11" t="e">
        <f>SUMIFS(AVL!#REF!,AVL!X:X,Summary!A78)</f>
        <v>#REF!</v>
      </c>
      <c r="E78" s="6" t="e">
        <f>_xlfn.MAXIFS(AVL!#REF!,AVL!X:X,Summary!A78)</f>
        <v>#REF!</v>
      </c>
      <c r="F78" s="6">
        <v>24060</v>
      </c>
      <c r="G78" s="18" t="s">
        <v>36</v>
      </c>
    </row>
    <row r="79" spans="1:7" hidden="1" x14ac:dyDescent="0.2">
      <c r="A79" s="3" t="s">
        <v>82</v>
      </c>
      <c r="B79" s="18">
        <f>COUNTIFS(AVL!X:X,Summary!A79)</f>
        <v>1</v>
      </c>
      <c r="C79" s="6"/>
      <c r="D79" s="11" t="e">
        <f>SUMIFS(AVL!#REF!,AVL!X:X,Summary!A79)</f>
        <v>#REF!</v>
      </c>
      <c r="E79" s="6" t="e">
        <f>_xlfn.MAXIFS(AVL!#REF!,AVL!X:X,Summary!A79)</f>
        <v>#REF!</v>
      </c>
      <c r="F79" s="6"/>
      <c r="G79" s="18"/>
    </row>
    <row r="80" spans="1:7" hidden="1" x14ac:dyDescent="0.2">
      <c r="A80" s="3" t="s">
        <v>83</v>
      </c>
      <c r="B80" s="18">
        <f>COUNTIFS(AVL!X:X,Summary!A80)</f>
        <v>1</v>
      </c>
      <c r="C80" s="6" t="s">
        <v>35</v>
      </c>
      <c r="D80" s="11" t="e">
        <f>SUMIFS(AVL!#REF!,AVL!X:X,Summary!A80)</f>
        <v>#REF!</v>
      </c>
      <c r="E80" s="6" t="e">
        <f>_xlfn.MAXIFS(AVL!#REF!,AVL!X:X,Summary!A80)</f>
        <v>#REF!</v>
      </c>
      <c r="F80" s="12" t="e">
        <f>D80</f>
        <v>#REF!</v>
      </c>
      <c r="G80" s="18" t="s">
        <v>36</v>
      </c>
    </row>
    <row r="81" spans="1:7" hidden="1" x14ac:dyDescent="0.2">
      <c r="A81" s="3" t="s">
        <v>84</v>
      </c>
      <c r="B81" s="18">
        <f>COUNTIFS(AVL!X:X,Summary!A81)</f>
        <v>7</v>
      </c>
      <c r="C81" s="6" t="s">
        <v>35</v>
      </c>
      <c r="D81" s="11" t="e">
        <f>SUMIFS(AVL!#REF!,AVL!X:X,Summary!A81)</f>
        <v>#REF!</v>
      </c>
      <c r="E81" s="6" t="e">
        <f>_xlfn.MAXIFS(AVL!#REF!,AVL!X:X,Summary!A81)</f>
        <v>#REF!</v>
      </c>
      <c r="F81" s="6">
        <v>43937.5</v>
      </c>
      <c r="G81" s="18" t="s">
        <v>36</v>
      </c>
    </row>
    <row r="82" spans="1:7" hidden="1" x14ac:dyDescent="0.2">
      <c r="A82" s="9" t="s">
        <v>25</v>
      </c>
      <c r="B82" s="17">
        <f>SUM(B28:B81)</f>
        <v>414</v>
      </c>
      <c r="D82" s="10" t="e">
        <f>SUM(D28:D81)</f>
        <v>#REF!</v>
      </c>
      <c r="F82" s="10" t="e">
        <f>SUM(F28:F81)</f>
        <v>#REF!</v>
      </c>
    </row>
  </sheetData>
  <autoFilter ref="A27:G82" xr:uid="{00000000-0009-0000-0000-000000000000}"/>
  <mergeCells count="1">
    <mergeCell ref="A2:C2"/>
  </mergeCells>
  <pageMargins left="0.7" right="0.7" top="0.75" bottom="0.75" header="0.3" footer="0.3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D96F9-356C-4A25-87FE-C4334AC96B96}">
  <sheetPr codeName="Sheet12"/>
  <dimension ref="A1:C93"/>
  <sheetViews>
    <sheetView topLeftCell="A25" workbookViewId="0">
      <selection activeCell="B34" sqref="B34:B35"/>
    </sheetView>
  </sheetViews>
  <sheetFormatPr defaultRowHeight="12.75" x14ac:dyDescent="0.2"/>
  <cols>
    <col min="1" max="1" width="58.7109375" bestFit="1" customWidth="1"/>
    <col min="2" max="2" width="20.5703125" bestFit="1" customWidth="1"/>
  </cols>
  <sheetData>
    <row r="1" spans="1:2" x14ac:dyDescent="0.2">
      <c r="A1" t="s">
        <v>1130</v>
      </c>
      <c r="B1" t="s">
        <v>1129</v>
      </c>
    </row>
    <row r="2" spans="1:2" x14ac:dyDescent="0.2">
      <c r="A2" s="20" t="s">
        <v>1091</v>
      </c>
      <c r="B2" s="89"/>
    </row>
    <row r="3" spans="1:2" x14ac:dyDescent="0.2">
      <c r="A3" s="20" t="s">
        <v>1039</v>
      </c>
      <c r="B3" s="89"/>
    </row>
    <row r="4" spans="1:2" x14ac:dyDescent="0.2">
      <c r="A4" s="20" t="s">
        <v>1092</v>
      </c>
      <c r="B4" s="89"/>
    </row>
    <row r="5" spans="1:2" x14ac:dyDescent="0.2">
      <c r="A5" s="20" t="s">
        <v>1040</v>
      </c>
      <c r="B5" s="89">
        <v>480</v>
      </c>
    </row>
    <row r="6" spans="1:2" x14ac:dyDescent="0.2">
      <c r="A6" s="20" t="s">
        <v>1095</v>
      </c>
      <c r="B6" s="89"/>
    </row>
    <row r="7" spans="1:2" x14ac:dyDescent="0.2">
      <c r="A7" s="20" t="s">
        <v>1041</v>
      </c>
      <c r="B7" s="89">
        <v>94080</v>
      </c>
    </row>
    <row r="8" spans="1:2" x14ac:dyDescent="0.2">
      <c r="A8" s="20" t="s">
        <v>1042</v>
      </c>
      <c r="B8" s="89"/>
    </row>
    <row r="9" spans="1:2" x14ac:dyDescent="0.2">
      <c r="A9" s="20" t="s">
        <v>71</v>
      </c>
      <c r="B9" s="89">
        <v>6.8</v>
      </c>
    </row>
    <row r="10" spans="1:2" x14ac:dyDescent="0.2">
      <c r="A10" s="20" t="s">
        <v>1093</v>
      </c>
      <c r="B10" s="89"/>
    </row>
    <row r="11" spans="1:2" x14ac:dyDescent="0.2">
      <c r="A11" s="20" t="s">
        <v>1114</v>
      </c>
      <c r="B11" s="89"/>
    </row>
    <row r="12" spans="1:2" x14ac:dyDescent="0.2">
      <c r="A12" s="20" t="s">
        <v>1043</v>
      </c>
      <c r="B12" s="89"/>
    </row>
    <row r="13" spans="1:2" x14ac:dyDescent="0.2">
      <c r="A13" s="20" t="s">
        <v>1044</v>
      </c>
      <c r="B13" s="89"/>
    </row>
    <row r="14" spans="1:2" x14ac:dyDescent="0.2">
      <c r="A14" s="20" t="s">
        <v>1084</v>
      </c>
      <c r="B14" s="89"/>
    </row>
    <row r="15" spans="1:2" x14ac:dyDescent="0.2">
      <c r="A15" s="20" t="s">
        <v>1121</v>
      </c>
      <c r="B15" s="89"/>
    </row>
    <row r="16" spans="1:2" x14ac:dyDescent="0.2">
      <c r="A16" s="20" t="s">
        <v>1045</v>
      </c>
      <c r="B16" s="89"/>
    </row>
    <row r="17" spans="1:3" x14ac:dyDescent="0.2">
      <c r="A17" s="90" t="s">
        <v>1046</v>
      </c>
      <c r="B17" s="89">
        <v>162279</v>
      </c>
      <c r="C17" t="s">
        <v>1132</v>
      </c>
    </row>
    <row r="18" spans="1:3" x14ac:dyDescent="0.2">
      <c r="A18" s="90" t="s">
        <v>1082</v>
      </c>
      <c r="B18" s="89">
        <v>295517.2</v>
      </c>
      <c r="C18" t="s">
        <v>1132</v>
      </c>
    </row>
    <row r="19" spans="1:3" x14ac:dyDescent="0.2">
      <c r="A19" s="20" t="s">
        <v>1047</v>
      </c>
      <c r="B19" s="89"/>
    </row>
    <row r="20" spans="1:3" x14ac:dyDescent="0.2">
      <c r="A20" s="20" t="s">
        <v>1113</v>
      </c>
      <c r="B20" s="89">
        <v>6877.48</v>
      </c>
    </row>
    <row r="21" spans="1:3" x14ac:dyDescent="0.2">
      <c r="A21" s="20" t="s">
        <v>1048</v>
      </c>
      <c r="B21" s="89"/>
    </row>
    <row r="22" spans="1:3" x14ac:dyDescent="0.2">
      <c r="A22" s="20" t="s">
        <v>1049</v>
      </c>
      <c r="B22" s="89"/>
    </row>
    <row r="23" spans="1:3" x14ac:dyDescent="0.2">
      <c r="A23" s="20" t="s">
        <v>275</v>
      </c>
      <c r="B23" s="89">
        <v>5356360</v>
      </c>
    </row>
    <row r="24" spans="1:3" x14ac:dyDescent="0.2">
      <c r="A24" s="20" t="s">
        <v>1083</v>
      </c>
      <c r="B24" s="89"/>
    </row>
    <row r="25" spans="1:3" x14ac:dyDescent="0.2">
      <c r="A25" s="20" t="s">
        <v>1078</v>
      </c>
      <c r="B25" s="89"/>
    </row>
    <row r="26" spans="1:3" x14ac:dyDescent="0.2">
      <c r="A26" s="20" t="s">
        <v>69</v>
      </c>
      <c r="B26" s="89"/>
    </row>
    <row r="27" spans="1:3" x14ac:dyDescent="0.2">
      <c r="A27" s="20" t="s">
        <v>53</v>
      </c>
      <c r="B27" s="89">
        <v>242452.92550628108</v>
      </c>
    </row>
    <row r="28" spans="1:3" x14ac:dyDescent="0.2">
      <c r="A28" s="20" t="s">
        <v>1050</v>
      </c>
      <c r="B28" s="89"/>
    </row>
    <row r="29" spans="1:3" x14ac:dyDescent="0.2">
      <c r="A29" s="20" t="s">
        <v>579</v>
      </c>
      <c r="B29" s="89"/>
    </row>
    <row r="30" spans="1:3" x14ac:dyDescent="0.2">
      <c r="A30" s="20" t="s">
        <v>1097</v>
      </c>
      <c r="B30" s="89"/>
    </row>
    <row r="31" spans="1:3" x14ac:dyDescent="0.2">
      <c r="A31" s="20" t="s">
        <v>1051</v>
      </c>
      <c r="B31" s="89"/>
    </row>
    <row r="32" spans="1:3" x14ac:dyDescent="0.2">
      <c r="A32" s="20" t="s">
        <v>1052</v>
      </c>
      <c r="B32" s="89"/>
    </row>
    <row r="33" spans="1:3" x14ac:dyDescent="0.2">
      <c r="A33" s="90" t="s">
        <v>237</v>
      </c>
      <c r="B33" s="89">
        <v>49619</v>
      </c>
      <c r="C33" t="s">
        <v>1132</v>
      </c>
    </row>
    <row r="34" spans="1:3" x14ac:dyDescent="0.2">
      <c r="A34" s="90" t="s">
        <v>1085</v>
      </c>
      <c r="B34" s="89">
        <v>95909.400000000009</v>
      </c>
      <c r="C34" t="s">
        <v>1132</v>
      </c>
    </row>
    <row r="35" spans="1:3" x14ac:dyDescent="0.2">
      <c r="A35" s="90" t="s">
        <v>1053</v>
      </c>
      <c r="B35" s="89">
        <v>4297403.2</v>
      </c>
      <c r="C35" t="s">
        <v>1132</v>
      </c>
    </row>
    <row r="36" spans="1:3" x14ac:dyDescent="0.2">
      <c r="A36" s="20" t="s">
        <v>1054</v>
      </c>
      <c r="B36" s="89"/>
    </row>
    <row r="37" spans="1:3" x14ac:dyDescent="0.2">
      <c r="A37" s="91" t="s">
        <v>1080</v>
      </c>
      <c r="B37" s="89">
        <v>5169440</v>
      </c>
    </row>
    <row r="38" spans="1:3" x14ac:dyDescent="0.2">
      <c r="A38" s="20" t="s">
        <v>1055</v>
      </c>
      <c r="B38" s="89"/>
    </row>
    <row r="39" spans="1:3" x14ac:dyDescent="0.2">
      <c r="A39" s="20" t="s">
        <v>1098</v>
      </c>
      <c r="B39" s="89"/>
    </row>
    <row r="40" spans="1:3" x14ac:dyDescent="0.2">
      <c r="A40" s="20" t="s">
        <v>75</v>
      </c>
      <c r="B40" s="89"/>
    </row>
    <row r="41" spans="1:3" x14ac:dyDescent="0.2">
      <c r="A41" s="91" t="s">
        <v>1077</v>
      </c>
      <c r="B41" s="89">
        <v>3888389</v>
      </c>
    </row>
    <row r="42" spans="1:3" x14ac:dyDescent="0.2">
      <c r="A42" s="91" t="s">
        <v>1038</v>
      </c>
      <c r="B42" s="89">
        <v>2920145</v>
      </c>
    </row>
    <row r="43" spans="1:3" x14ac:dyDescent="0.2">
      <c r="A43" s="20" t="s">
        <v>1090</v>
      </c>
      <c r="B43" s="89">
        <v>1805.76</v>
      </c>
    </row>
    <row r="44" spans="1:3" x14ac:dyDescent="0.2">
      <c r="A44" s="20" t="s">
        <v>1056</v>
      </c>
      <c r="B44" s="89">
        <v>938</v>
      </c>
    </row>
    <row r="45" spans="1:3" x14ac:dyDescent="0.2">
      <c r="A45" s="20" t="s">
        <v>1057</v>
      </c>
      <c r="B45" s="89"/>
    </row>
    <row r="46" spans="1:3" x14ac:dyDescent="0.2">
      <c r="A46" s="90" t="s">
        <v>1058</v>
      </c>
      <c r="B46" s="89">
        <v>520909.35</v>
      </c>
      <c r="C46" t="s">
        <v>1132</v>
      </c>
    </row>
    <row r="47" spans="1:3" x14ac:dyDescent="0.2">
      <c r="A47" s="20" t="s">
        <v>1115</v>
      </c>
      <c r="B47" s="89"/>
    </row>
    <row r="48" spans="1:3" x14ac:dyDescent="0.2">
      <c r="A48" s="20" t="s">
        <v>1089</v>
      </c>
      <c r="B48" s="89">
        <v>89155.6</v>
      </c>
    </row>
    <row r="49" spans="1:2" x14ac:dyDescent="0.2">
      <c r="A49" s="20" t="s">
        <v>1103</v>
      </c>
      <c r="B49" s="89"/>
    </row>
    <row r="50" spans="1:2" x14ac:dyDescent="0.2">
      <c r="A50" s="20" t="s">
        <v>1059</v>
      </c>
      <c r="B50" s="89"/>
    </row>
    <row r="51" spans="1:2" x14ac:dyDescent="0.2">
      <c r="A51" s="20" t="s">
        <v>24</v>
      </c>
      <c r="B51" s="89">
        <v>37.411999999999999</v>
      </c>
    </row>
    <row r="52" spans="1:2" x14ac:dyDescent="0.2">
      <c r="A52" s="20" t="s">
        <v>1087</v>
      </c>
      <c r="B52" s="89">
        <v>3677.2549999999997</v>
      </c>
    </row>
    <row r="53" spans="1:2" x14ac:dyDescent="0.2">
      <c r="A53" s="20" t="s">
        <v>1109</v>
      </c>
      <c r="B53" s="89">
        <v>8119.8000000000011</v>
      </c>
    </row>
    <row r="54" spans="1:2" x14ac:dyDescent="0.2">
      <c r="A54" s="20" t="s">
        <v>232</v>
      </c>
      <c r="B54" s="89">
        <v>3500</v>
      </c>
    </row>
    <row r="55" spans="1:2" x14ac:dyDescent="0.2">
      <c r="A55" s="20" t="s">
        <v>1101</v>
      </c>
      <c r="B55" s="89"/>
    </row>
    <row r="56" spans="1:2" x14ac:dyDescent="0.2">
      <c r="A56" s="20" t="s">
        <v>1060</v>
      </c>
      <c r="B56" s="89"/>
    </row>
    <row r="57" spans="1:2" x14ac:dyDescent="0.2">
      <c r="A57" s="20" t="s">
        <v>64</v>
      </c>
      <c r="B57" s="89"/>
    </row>
    <row r="58" spans="1:2" x14ac:dyDescent="0.2">
      <c r="A58" s="20" t="s">
        <v>1096</v>
      </c>
      <c r="B58" s="89"/>
    </row>
    <row r="59" spans="1:2" x14ac:dyDescent="0.2">
      <c r="A59" s="20" t="s">
        <v>58</v>
      </c>
      <c r="B59" s="89"/>
    </row>
    <row r="60" spans="1:2" x14ac:dyDescent="0.2">
      <c r="A60" s="20" t="s">
        <v>1061</v>
      </c>
      <c r="B60" s="89"/>
    </row>
    <row r="61" spans="1:2" x14ac:dyDescent="0.2">
      <c r="A61" s="20" t="s">
        <v>1062</v>
      </c>
      <c r="B61" s="89"/>
    </row>
    <row r="62" spans="1:2" x14ac:dyDescent="0.2">
      <c r="A62" s="20" t="s">
        <v>66</v>
      </c>
      <c r="B62" s="89">
        <v>2817.5</v>
      </c>
    </row>
    <row r="63" spans="1:2" x14ac:dyDescent="0.2">
      <c r="A63" s="20" t="s">
        <v>1063</v>
      </c>
      <c r="B63" s="89"/>
    </row>
    <row r="64" spans="1:2" x14ac:dyDescent="0.2">
      <c r="A64" s="20" t="s">
        <v>1081</v>
      </c>
      <c r="B64" s="89">
        <v>9334380</v>
      </c>
    </row>
    <row r="65" spans="1:3" x14ac:dyDescent="0.2">
      <c r="A65" s="20" t="s">
        <v>894</v>
      </c>
      <c r="B65" s="89"/>
    </row>
    <row r="66" spans="1:3" x14ac:dyDescent="0.2">
      <c r="A66" s="20" t="s">
        <v>794</v>
      </c>
      <c r="B66" s="89"/>
    </row>
    <row r="67" spans="1:3" x14ac:dyDescent="0.2">
      <c r="A67" s="20" t="s">
        <v>1079</v>
      </c>
      <c r="B67" s="89"/>
    </row>
    <row r="68" spans="1:3" x14ac:dyDescent="0.2">
      <c r="A68" s="20" t="s">
        <v>1064</v>
      </c>
      <c r="B68" s="89"/>
    </row>
    <row r="69" spans="1:3" x14ac:dyDescent="0.2">
      <c r="A69" s="90" t="s">
        <v>1065</v>
      </c>
      <c r="B69" s="89">
        <v>36575.4</v>
      </c>
      <c r="C69" t="s">
        <v>1132</v>
      </c>
    </row>
    <row r="70" spans="1:3" x14ac:dyDescent="0.2">
      <c r="A70" s="20" t="s">
        <v>1066</v>
      </c>
      <c r="B70" s="89"/>
    </row>
    <row r="71" spans="1:3" x14ac:dyDescent="0.2">
      <c r="A71" s="20" t="s">
        <v>1067</v>
      </c>
      <c r="B71" s="89"/>
    </row>
    <row r="72" spans="1:3" x14ac:dyDescent="0.2">
      <c r="A72" s="20" t="s">
        <v>1116</v>
      </c>
      <c r="B72" s="89">
        <v>394108.22</v>
      </c>
    </row>
    <row r="73" spans="1:3" x14ac:dyDescent="0.2">
      <c r="A73" s="20" t="s">
        <v>1086</v>
      </c>
      <c r="B73" s="89"/>
    </row>
    <row r="74" spans="1:3" x14ac:dyDescent="0.2">
      <c r="A74" s="20" t="s">
        <v>1068</v>
      </c>
      <c r="B74" s="89"/>
    </row>
    <row r="75" spans="1:3" x14ac:dyDescent="0.2">
      <c r="A75" s="90" t="s">
        <v>1069</v>
      </c>
      <c r="B75" s="89">
        <v>69107.5</v>
      </c>
      <c r="C75" t="s">
        <v>1132</v>
      </c>
    </row>
    <row r="76" spans="1:3" x14ac:dyDescent="0.2">
      <c r="A76" s="20" t="s">
        <v>1070</v>
      </c>
      <c r="B76" s="89"/>
    </row>
    <row r="77" spans="1:3" x14ac:dyDescent="0.2">
      <c r="A77" s="20" t="s">
        <v>1071</v>
      </c>
      <c r="B77" s="89">
        <v>20050</v>
      </c>
    </row>
    <row r="78" spans="1:3" x14ac:dyDescent="0.2">
      <c r="A78" s="20" t="s">
        <v>1099</v>
      </c>
      <c r="B78" s="89"/>
    </row>
    <row r="79" spans="1:3" x14ac:dyDescent="0.2">
      <c r="A79" s="20" t="s">
        <v>1072</v>
      </c>
      <c r="B79" s="89"/>
    </row>
    <row r="80" spans="1:3" x14ac:dyDescent="0.2">
      <c r="A80" s="20" t="s">
        <v>1073</v>
      </c>
      <c r="B80" s="89"/>
    </row>
    <row r="81" spans="1:3" x14ac:dyDescent="0.2">
      <c r="A81" s="20" t="s">
        <v>216</v>
      </c>
      <c r="B81" s="89"/>
    </row>
    <row r="82" spans="1:3" x14ac:dyDescent="0.2">
      <c r="A82" s="20" t="s">
        <v>193</v>
      </c>
      <c r="B82" s="89"/>
    </row>
    <row r="83" spans="1:3" x14ac:dyDescent="0.2">
      <c r="A83" s="20" t="s">
        <v>1104</v>
      </c>
      <c r="B83" s="89"/>
    </row>
    <row r="84" spans="1:3" x14ac:dyDescent="0.2">
      <c r="A84" s="90" t="s">
        <v>59</v>
      </c>
      <c r="B84" s="89">
        <v>87680</v>
      </c>
      <c r="C84" t="s">
        <v>1132</v>
      </c>
    </row>
    <row r="85" spans="1:3" x14ac:dyDescent="0.2">
      <c r="A85" s="20" t="s">
        <v>1074</v>
      </c>
      <c r="B85" s="89"/>
    </row>
    <row r="86" spans="1:3" x14ac:dyDescent="0.2">
      <c r="A86" s="20" t="s">
        <v>1088</v>
      </c>
      <c r="B86" s="89"/>
    </row>
    <row r="87" spans="1:3" x14ac:dyDescent="0.2">
      <c r="A87" s="20" t="s">
        <v>888</v>
      </c>
      <c r="B87" s="89"/>
    </row>
    <row r="88" spans="1:3" x14ac:dyDescent="0.2">
      <c r="A88" s="20" t="s">
        <v>1075</v>
      </c>
      <c r="B88" s="89">
        <v>3247610</v>
      </c>
    </row>
    <row r="89" spans="1:3" x14ac:dyDescent="0.2">
      <c r="A89" s="20" t="s">
        <v>70</v>
      </c>
      <c r="B89" s="89"/>
    </row>
    <row r="90" spans="1:3" x14ac:dyDescent="0.2">
      <c r="A90" s="20" t="s">
        <v>1076</v>
      </c>
      <c r="B90" s="89"/>
    </row>
    <row r="91" spans="1:3" x14ac:dyDescent="0.2">
      <c r="A91" s="20" t="s">
        <v>832</v>
      </c>
      <c r="B91" s="89"/>
    </row>
    <row r="92" spans="1:3" x14ac:dyDescent="0.2">
      <c r="A92" s="20" t="s">
        <v>1133</v>
      </c>
      <c r="B92" s="89">
        <v>0</v>
      </c>
    </row>
    <row r="93" spans="1:3" x14ac:dyDescent="0.2">
      <c r="A93" s="20" t="s">
        <v>1131</v>
      </c>
      <c r="B93" s="89">
        <v>36399430.802506283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DO507"/>
  <sheetViews>
    <sheetView showGridLines="0" tabSelected="1" topLeftCell="T10" zoomScale="108" zoomScaleNormal="108" workbookViewId="0">
      <selection activeCell="AC23" sqref="AC23"/>
    </sheetView>
  </sheetViews>
  <sheetFormatPr defaultColWidth="9.140625" defaultRowHeight="12" x14ac:dyDescent="0.2"/>
  <cols>
    <col min="1" max="1" width="4.140625" style="24" bestFit="1" customWidth="1"/>
    <col min="2" max="2" width="25.28515625" style="24" bestFit="1" customWidth="1"/>
    <col min="3" max="3" width="11.42578125" style="24" customWidth="1"/>
    <col min="4" max="4" width="23.85546875" style="24" customWidth="1"/>
    <col min="5" max="5" width="5.42578125" style="24" customWidth="1"/>
    <col min="6" max="6" width="10.42578125" style="24" customWidth="1"/>
    <col min="7" max="23" width="9.140625" style="96" customWidth="1"/>
    <col min="24" max="24" width="12.7109375" style="24" customWidth="1"/>
    <col min="25" max="25" width="13.5703125" style="27" customWidth="1"/>
    <col min="26" max="26" width="18.28515625" style="24" customWidth="1"/>
    <col min="27" max="27" width="11.42578125" style="24" customWidth="1"/>
    <col min="28" max="28" width="11.140625" style="24" customWidth="1"/>
    <col min="29" max="29" width="11.28515625" style="24" customWidth="1"/>
    <col min="30" max="30" width="11.140625" style="24" customWidth="1"/>
    <col min="31" max="31" width="10.85546875" style="24" customWidth="1"/>
    <col min="32" max="32" width="12.28515625" style="24" customWidth="1"/>
    <col min="33" max="33" width="11.140625" style="24" customWidth="1"/>
    <col min="34" max="34" width="10.42578125" style="24" customWidth="1"/>
    <col min="35" max="35" width="11.28515625" style="24" customWidth="1"/>
    <col min="36" max="36" width="11.42578125" style="24" customWidth="1"/>
    <col min="37" max="37" width="10.85546875" style="24" customWidth="1"/>
    <col min="38" max="38" width="13.28515625" style="24" customWidth="1"/>
    <col min="39" max="55" width="21.140625" style="24" customWidth="1"/>
    <col min="56" max="119" width="9.140625" style="92" customWidth="1"/>
    <col min="120" max="16384" width="9.140625" style="24"/>
  </cols>
  <sheetData>
    <row r="1" spans="1:119" ht="23.25" x14ac:dyDescent="0.35">
      <c r="BG1" s="106" t="s">
        <v>1136</v>
      </c>
      <c r="BH1" s="106"/>
      <c r="BI1" s="106"/>
      <c r="BJ1" s="106"/>
      <c r="BK1" s="106"/>
      <c r="BL1" s="106"/>
      <c r="BM1" s="106"/>
      <c r="BN1" s="106"/>
      <c r="BO1" s="106"/>
      <c r="BP1" s="106"/>
      <c r="BQ1" s="106"/>
      <c r="BR1" s="106"/>
      <c r="BS1" s="106"/>
      <c r="BT1" s="106"/>
      <c r="BU1" s="106"/>
      <c r="BV1" s="106"/>
      <c r="BW1" s="106"/>
      <c r="BX1" s="106"/>
      <c r="BY1" s="106"/>
      <c r="BZ1" s="106"/>
      <c r="CA1" s="106"/>
      <c r="CB1" s="106"/>
      <c r="CC1" s="106"/>
      <c r="CD1" s="106"/>
      <c r="CE1" s="106"/>
      <c r="CF1" s="106"/>
      <c r="CG1" s="106"/>
      <c r="CH1" s="106"/>
      <c r="CI1" s="106"/>
      <c r="CJ1" s="107"/>
      <c r="CK1" s="107"/>
      <c r="CL1" s="107"/>
      <c r="CM1" s="108" t="s">
        <v>1137</v>
      </c>
      <c r="CN1" s="108"/>
      <c r="CO1" s="108"/>
      <c r="CP1" s="108"/>
      <c r="CQ1" s="108"/>
      <c r="CR1" s="108"/>
      <c r="CS1" s="108"/>
      <c r="CT1" s="108"/>
      <c r="CU1" s="108"/>
      <c r="CV1" s="108"/>
      <c r="CW1" s="108"/>
      <c r="CX1" s="108"/>
      <c r="CY1" s="108"/>
      <c r="CZ1" s="108"/>
      <c r="DA1" s="108"/>
      <c r="DB1" s="108"/>
      <c r="DC1" s="108"/>
      <c r="DD1" s="108"/>
      <c r="DE1" s="108"/>
      <c r="DF1" s="108"/>
      <c r="DG1" s="108"/>
      <c r="DH1" s="108"/>
      <c r="DI1" s="108"/>
      <c r="DJ1" s="108"/>
      <c r="DK1" s="108"/>
      <c r="DL1" s="108"/>
      <c r="DM1" s="108"/>
      <c r="DN1" s="108"/>
      <c r="DO1" s="108"/>
    </row>
    <row r="2" spans="1:119" ht="23.25" x14ac:dyDescent="0.35"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7"/>
      <c r="CK2" s="107"/>
      <c r="CL2" s="107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C2" s="108"/>
      <c r="DD2" s="108"/>
      <c r="DE2" s="108"/>
      <c r="DF2" s="108"/>
      <c r="DG2" s="108"/>
      <c r="DH2" s="108"/>
      <c r="DI2" s="108"/>
      <c r="DJ2" s="108"/>
      <c r="DK2" s="108"/>
      <c r="DL2" s="108"/>
      <c r="DM2" s="108"/>
      <c r="DN2" s="108"/>
      <c r="DO2" s="108"/>
    </row>
    <row r="3" spans="1:119" ht="13.9" customHeight="1" x14ac:dyDescent="0.35">
      <c r="A3" s="24" t="s">
        <v>1122</v>
      </c>
      <c r="G3" s="98"/>
      <c r="H3" s="98"/>
      <c r="I3" s="98"/>
      <c r="J3" s="98"/>
      <c r="K3" s="98"/>
      <c r="L3" s="98"/>
      <c r="M3" s="98"/>
      <c r="N3" s="98"/>
      <c r="O3" s="98"/>
      <c r="P3" s="98"/>
      <c r="Q3" s="98"/>
      <c r="R3" s="98"/>
      <c r="S3" s="98"/>
      <c r="T3" s="98"/>
      <c r="U3" s="98"/>
      <c r="V3" s="98"/>
      <c r="AJ3" s="25"/>
      <c r="AK3" s="26"/>
      <c r="BD3" s="94"/>
      <c r="BE3" s="94"/>
      <c r="BF3" s="96"/>
      <c r="BG3" s="106"/>
      <c r="BH3" s="106"/>
      <c r="BI3" s="106"/>
      <c r="BJ3" s="106"/>
      <c r="BK3" s="106"/>
      <c r="BL3" s="106"/>
      <c r="BM3" s="106"/>
      <c r="BN3" s="106"/>
      <c r="BO3" s="106"/>
      <c r="BP3" s="106"/>
      <c r="BQ3" s="106"/>
      <c r="BR3" s="106"/>
      <c r="BS3" s="106"/>
      <c r="BT3" s="106"/>
      <c r="BU3" s="106"/>
      <c r="BV3" s="106"/>
      <c r="BW3" s="106"/>
      <c r="BX3" s="106"/>
      <c r="BY3" s="106"/>
      <c r="BZ3" s="106"/>
      <c r="CA3" s="106"/>
      <c r="CB3" s="106"/>
      <c r="CC3" s="106"/>
      <c r="CD3" s="106"/>
      <c r="CE3" s="106"/>
      <c r="CF3" s="106"/>
      <c r="CG3" s="106"/>
      <c r="CH3" s="106"/>
      <c r="CI3" s="106"/>
      <c r="CJ3" s="107"/>
      <c r="CK3" s="107"/>
      <c r="CL3" s="107"/>
      <c r="CM3" s="108"/>
      <c r="CN3" s="108"/>
      <c r="CO3" s="108"/>
      <c r="CP3" s="108"/>
      <c r="CQ3" s="108"/>
      <c r="CR3" s="108"/>
      <c r="CS3" s="108"/>
      <c r="CT3" s="108"/>
      <c r="CU3" s="108"/>
      <c r="CV3" s="108"/>
      <c r="CW3" s="108"/>
      <c r="CX3" s="108"/>
      <c r="CY3" s="108"/>
      <c r="CZ3" s="108"/>
      <c r="DA3" s="108"/>
      <c r="DB3" s="108"/>
      <c r="DC3" s="108"/>
      <c r="DD3" s="108"/>
      <c r="DE3" s="108"/>
      <c r="DF3" s="108"/>
      <c r="DG3" s="108"/>
      <c r="DH3" s="108"/>
      <c r="DI3" s="108"/>
      <c r="DJ3" s="108"/>
      <c r="DK3" s="108"/>
      <c r="DL3" s="108"/>
      <c r="DM3" s="108"/>
      <c r="DN3" s="108"/>
      <c r="DO3" s="108"/>
    </row>
    <row r="4" spans="1:119" ht="9.6" customHeight="1" x14ac:dyDescent="0.2">
      <c r="A4" s="31">
        <v>4</v>
      </c>
      <c r="D4" s="31"/>
      <c r="Z4" s="24">
        <v>4</v>
      </c>
      <c r="AJ4" s="30"/>
      <c r="AK4" s="26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94" t="s">
        <v>88</v>
      </c>
      <c r="BE4" s="94">
        <v>0</v>
      </c>
      <c r="BF4" s="96" t="s">
        <v>87</v>
      </c>
      <c r="BG4" s="96"/>
      <c r="BH4" s="96"/>
      <c r="BI4" s="96"/>
      <c r="BK4" s="31">
        <v>8</v>
      </c>
      <c r="BL4" s="31">
        <v>8</v>
      </c>
      <c r="BM4" s="31">
        <v>8</v>
      </c>
      <c r="BN4" s="31">
        <v>8</v>
      </c>
      <c r="BO4" s="31">
        <v>8</v>
      </c>
      <c r="BP4" s="31">
        <v>8</v>
      </c>
      <c r="BQ4" s="31">
        <v>8</v>
      </c>
      <c r="BR4" s="31">
        <v>8</v>
      </c>
      <c r="BS4" s="31">
        <v>8</v>
      </c>
      <c r="BT4" s="31">
        <v>8</v>
      </c>
      <c r="BU4" s="31">
        <v>8</v>
      </c>
      <c r="BV4" s="31">
        <v>8</v>
      </c>
      <c r="BW4" s="31">
        <v>6</v>
      </c>
      <c r="BX4" s="96"/>
      <c r="BY4" s="96"/>
      <c r="BZ4" s="96"/>
      <c r="CA4" s="96"/>
      <c r="CB4" s="96"/>
      <c r="CC4" s="96"/>
      <c r="CD4" s="96"/>
      <c r="CE4" s="96"/>
      <c r="CF4" s="96"/>
      <c r="CG4" s="96"/>
      <c r="CH4" s="96"/>
      <c r="CI4" s="96"/>
      <c r="CJ4" s="94" t="s">
        <v>88</v>
      </c>
      <c r="CK4" s="94">
        <v>0</v>
      </c>
      <c r="CL4" s="96" t="s">
        <v>87</v>
      </c>
      <c r="CM4" s="96"/>
      <c r="CN4" s="96"/>
      <c r="CO4" s="96"/>
      <c r="CP4" s="31"/>
      <c r="CQ4" s="31">
        <f>BK4</f>
        <v>8</v>
      </c>
      <c r="CR4" s="31">
        <f t="shared" ref="CR4:DO4" si="0">BL4</f>
        <v>8</v>
      </c>
      <c r="CS4" s="31">
        <f t="shared" si="0"/>
        <v>8</v>
      </c>
      <c r="CT4" s="31">
        <f t="shared" si="0"/>
        <v>8</v>
      </c>
      <c r="CU4" s="31">
        <f t="shared" si="0"/>
        <v>8</v>
      </c>
      <c r="CV4" s="31">
        <f t="shared" si="0"/>
        <v>8</v>
      </c>
      <c r="CW4" s="31">
        <f t="shared" si="0"/>
        <v>8</v>
      </c>
      <c r="CX4" s="31">
        <f t="shared" si="0"/>
        <v>8</v>
      </c>
      <c r="CY4" s="31">
        <f t="shared" si="0"/>
        <v>8</v>
      </c>
      <c r="CZ4" s="31">
        <f t="shared" si="0"/>
        <v>8</v>
      </c>
      <c r="DA4" s="31">
        <f t="shared" si="0"/>
        <v>8</v>
      </c>
      <c r="DB4" s="31">
        <f t="shared" si="0"/>
        <v>8</v>
      </c>
      <c r="DC4" s="31">
        <f t="shared" si="0"/>
        <v>6</v>
      </c>
      <c r="DD4" s="31">
        <f t="shared" si="0"/>
        <v>0</v>
      </c>
      <c r="DE4" s="31">
        <f t="shared" si="0"/>
        <v>0</v>
      </c>
      <c r="DF4" s="31">
        <f t="shared" si="0"/>
        <v>0</v>
      </c>
      <c r="DG4" s="31">
        <f t="shared" si="0"/>
        <v>0</v>
      </c>
      <c r="DH4" s="31">
        <f t="shared" si="0"/>
        <v>0</v>
      </c>
      <c r="DI4" s="31">
        <f t="shared" si="0"/>
        <v>0</v>
      </c>
      <c r="DJ4" s="31">
        <f t="shared" si="0"/>
        <v>0</v>
      </c>
      <c r="DK4" s="31">
        <f t="shared" si="0"/>
        <v>0</v>
      </c>
      <c r="DL4" s="31">
        <f t="shared" si="0"/>
        <v>0</v>
      </c>
      <c r="DM4" s="31">
        <f t="shared" si="0"/>
        <v>0</v>
      </c>
      <c r="DN4" s="31">
        <f t="shared" si="0"/>
        <v>0</v>
      </c>
      <c r="DO4" s="31">
        <f t="shared" si="0"/>
        <v>0</v>
      </c>
    </row>
    <row r="5" spans="1:119" ht="9.6" customHeight="1" x14ac:dyDescent="0.2">
      <c r="A5" s="31">
        <v>4</v>
      </c>
      <c r="D5" s="31"/>
      <c r="AJ5" s="33"/>
      <c r="AK5" s="26"/>
      <c r="AN5" s="25"/>
      <c r="AO5" s="25"/>
      <c r="AP5" s="25"/>
      <c r="AQ5" s="25"/>
      <c r="AR5" s="25"/>
      <c r="AS5" s="25"/>
      <c r="AT5" s="25"/>
      <c r="AU5" s="25"/>
      <c r="AV5" s="25"/>
      <c r="AW5" s="25"/>
      <c r="AX5" s="25"/>
      <c r="AY5" s="25"/>
      <c r="AZ5" s="25"/>
      <c r="BA5" s="25"/>
      <c r="BB5" s="25"/>
      <c r="BC5" s="25"/>
      <c r="BD5" s="94" t="s">
        <v>90</v>
      </c>
      <c r="BE5" s="94">
        <v>1</v>
      </c>
      <c r="BF5" s="96" t="s">
        <v>89</v>
      </c>
      <c r="BG5" s="96"/>
      <c r="BH5" s="96"/>
      <c r="BI5" s="96"/>
      <c r="BK5" s="31">
        <v>8</v>
      </c>
      <c r="BL5" s="31">
        <v>8</v>
      </c>
      <c r="BM5" s="31">
        <v>8</v>
      </c>
      <c r="BN5" s="31">
        <v>8</v>
      </c>
      <c r="BO5" s="31">
        <v>8</v>
      </c>
      <c r="BP5" s="31">
        <v>8</v>
      </c>
      <c r="BQ5" s="31">
        <v>8</v>
      </c>
      <c r="BR5" s="31">
        <v>8</v>
      </c>
      <c r="BS5" s="31">
        <v>8</v>
      </c>
      <c r="BT5" s="31">
        <v>8</v>
      </c>
      <c r="BU5" s="31">
        <v>8</v>
      </c>
      <c r="BV5" s="31">
        <v>8</v>
      </c>
      <c r="BW5" s="31">
        <v>6</v>
      </c>
      <c r="BX5" s="96"/>
      <c r="BY5" s="96"/>
      <c r="BZ5" s="96"/>
      <c r="CA5" s="96"/>
      <c r="CB5" s="96"/>
      <c r="CC5" s="96"/>
      <c r="CD5" s="96"/>
      <c r="CE5" s="96"/>
      <c r="CF5" s="96"/>
      <c r="CG5" s="96"/>
      <c r="CH5" s="96"/>
      <c r="CI5" s="96"/>
      <c r="CJ5" s="94" t="s">
        <v>90</v>
      </c>
      <c r="CK5" s="94">
        <v>1</v>
      </c>
      <c r="CL5" s="96" t="s">
        <v>89</v>
      </c>
      <c r="CM5" s="96"/>
      <c r="CN5" s="96"/>
      <c r="CO5" s="96"/>
      <c r="CP5" s="31"/>
      <c r="CQ5" s="31">
        <f t="shared" ref="CQ5:CQ20" si="1">BK5</f>
        <v>8</v>
      </c>
      <c r="CR5" s="31">
        <f t="shared" ref="CR5:CR20" si="2">BL5</f>
        <v>8</v>
      </c>
      <c r="CS5" s="31">
        <f t="shared" ref="CS5:CS20" si="3">BM5</f>
        <v>8</v>
      </c>
      <c r="CT5" s="31">
        <f t="shared" ref="CT5:CT20" si="4">BN5</f>
        <v>8</v>
      </c>
      <c r="CU5" s="31">
        <f t="shared" ref="CU5:CU20" si="5">BO5</f>
        <v>8</v>
      </c>
      <c r="CV5" s="31">
        <f t="shared" ref="CV5:CV20" si="6">BP5</f>
        <v>8</v>
      </c>
      <c r="CW5" s="31">
        <f t="shared" ref="CW5:CW20" si="7">BQ5</f>
        <v>8</v>
      </c>
      <c r="CX5" s="31">
        <f t="shared" ref="CX5:CX20" si="8">BR5</f>
        <v>8</v>
      </c>
      <c r="CY5" s="31">
        <f t="shared" ref="CY5:CY20" si="9">BS5</f>
        <v>8</v>
      </c>
      <c r="CZ5" s="31">
        <f t="shared" ref="CZ5:CZ20" si="10">BT5</f>
        <v>8</v>
      </c>
      <c r="DA5" s="31">
        <f t="shared" ref="DA5:DA20" si="11">BU5</f>
        <v>8</v>
      </c>
      <c r="DB5" s="31">
        <f t="shared" ref="DB5:DB20" si="12">BV5</f>
        <v>8</v>
      </c>
      <c r="DC5" s="31">
        <f t="shared" ref="DC5:DC20" si="13">BW5</f>
        <v>6</v>
      </c>
      <c r="DD5" s="31">
        <f t="shared" ref="DD5:DD20" si="14">BX5</f>
        <v>0</v>
      </c>
      <c r="DE5" s="31">
        <f t="shared" ref="DE5:DE20" si="15">BY5</f>
        <v>0</v>
      </c>
      <c r="DF5" s="31">
        <f t="shared" ref="DF5:DF20" si="16">BZ5</f>
        <v>0</v>
      </c>
      <c r="DG5" s="31">
        <f t="shared" ref="DG5:DG20" si="17">CA5</f>
        <v>0</v>
      </c>
      <c r="DH5" s="31">
        <f t="shared" ref="DH5:DH20" si="18">CB5</f>
        <v>0</v>
      </c>
      <c r="DI5" s="31">
        <f t="shared" ref="DI5:DI20" si="19">CC5</f>
        <v>0</v>
      </c>
      <c r="DJ5" s="31">
        <f t="shared" ref="DJ5:DJ20" si="20">CD5</f>
        <v>0</v>
      </c>
      <c r="DK5" s="31">
        <f t="shared" ref="DK5:DK20" si="21">CE5</f>
        <v>0</v>
      </c>
      <c r="DL5" s="31">
        <f t="shared" ref="DL5:DL20" si="22">CF5</f>
        <v>0</v>
      </c>
      <c r="DM5" s="31">
        <f t="shared" ref="DM5:DM20" si="23">CG5</f>
        <v>0</v>
      </c>
      <c r="DN5" s="31">
        <f t="shared" ref="DN5:DN20" si="24">CH5</f>
        <v>0</v>
      </c>
      <c r="DO5" s="31">
        <f t="shared" ref="DO5:DO20" si="25">CI5</f>
        <v>0</v>
      </c>
    </row>
    <row r="6" spans="1:119" ht="9.6" customHeight="1" x14ac:dyDescent="0.2">
      <c r="A6" s="31">
        <v>4</v>
      </c>
      <c r="D6" s="31"/>
      <c r="AJ6" s="33"/>
      <c r="AK6" s="26"/>
      <c r="AL6" s="34"/>
      <c r="AN6" s="25"/>
      <c r="AO6" s="25"/>
      <c r="AP6" s="25"/>
      <c r="AQ6" s="25"/>
      <c r="AR6" s="25"/>
      <c r="AS6" s="25"/>
      <c r="AT6" s="25"/>
      <c r="AU6" s="25"/>
      <c r="AV6" s="25"/>
      <c r="AW6" s="25"/>
      <c r="AX6" s="25"/>
      <c r="AY6" s="25"/>
      <c r="AZ6" s="25"/>
      <c r="BA6" s="25"/>
      <c r="BB6" s="25"/>
      <c r="BC6" s="25"/>
      <c r="BD6" s="94" t="s">
        <v>92</v>
      </c>
      <c r="BE6" s="94">
        <v>1</v>
      </c>
      <c r="BF6" s="96" t="s">
        <v>91</v>
      </c>
      <c r="BG6" s="96"/>
      <c r="BH6" s="96"/>
      <c r="BI6" s="96"/>
      <c r="BK6" s="31">
        <v>8</v>
      </c>
      <c r="BL6" s="31">
        <v>8</v>
      </c>
      <c r="BM6" s="31">
        <v>8</v>
      </c>
      <c r="BN6" s="31">
        <v>8</v>
      </c>
      <c r="BO6" s="31">
        <v>8</v>
      </c>
      <c r="BP6" s="31">
        <v>8</v>
      </c>
      <c r="BQ6" s="31">
        <v>8</v>
      </c>
      <c r="BR6" s="31">
        <v>8</v>
      </c>
      <c r="BS6" s="31">
        <v>8</v>
      </c>
      <c r="BT6" s="31">
        <v>8</v>
      </c>
      <c r="BU6" s="31">
        <v>8</v>
      </c>
      <c r="BV6" s="31">
        <v>8</v>
      </c>
      <c r="BW6" s="31">
        <v>6</v>
      </c>
      <c r="BX6" s="96"/>
      <c r="BY6" s="96"/>
      <c r="BZ6" s="96"/>
      <c r="CA6" s="96"/>
      <c r="CB6" s="96"/>
      <c r="CC6" s="96"/>
      <c r="CD6" s="96"/>
      <c r="CE6" s="96"/>
      <c r="CF6" s="96"/>
      <c r="CG6" s="96"/>
      <c r="CH6" s="96"/>
      <c r="CI6" s="96"/>
      <c r="CJ6" s="94" t="s">
        <v>92</v>
      </c>
      <c r="CK6" s="94">
        <v>1</v>
      </c>
      <c r="CL6" s="96" t="s">
        <v>91</v>
      </c>
      <c r="CM6" s="96"/>
      <c r="CN6" s="96"/>
      <c r="CO6" s="96"/>
      <c r="CP6" s="31"/>
      <c r="CQ6" s="31">
        <f t="shared" si="1"/>
        <v>8</v>
      </c>
      <c r="CR6" s="31">
        <f t="shared" si="2"/>
        <v>8</v>
      </c>
      <c r="CS6" s="31">
        <f t="shared" si="3"/>
        <v>8</v>
      </c>
      <c r="CT6" s="31">
        <f t="shared" si="4"/>
        <v>8</v>
      </c>
      <c r="CU6" s="31">
        <f t="shared" si="5"/>
        <v>8</v>
      </c>
      <c r="CV6" s="31">
        <f t="shared" si="6"/>
        <v>8</v>
      </c>
      <c r="CW6" s="31">
        <f t="shared" si="7"/>
        <v>8</v>
      </c>
      <c r="CX6" s="31">
        <f t="shared" si="8"/>
        <v>8</v>
      </c>
      <c r="CY6" s="31">
        <f t="shared" si="9"/>
        <v>8</v>
      </c>
      <c r="CZ6" s="31">
        <f t="shared" si="10"/>
        <v>8</v>
      </c>
      <c r="DA6" s="31">
        <f t="shared" si="11"/>
        <v>8</v>
      </c>
      <c r="DB6" s="31">
        <f t="shared" si="12"/>
        <v>8</v>
      </c>
      <c r="DC6" s="31">
        <f t="shared" si="13"/>
        <v>6</v>
      </c>
      <c r="DD6" s="31">
        <f t="shared" si="14"/>
        <v>0</v>
      </c>
      <c r="DE6" s="31">
        <f t="shared" si="15"/>
        <v>0</v>
      </c>
      <c r="DF6" s="31">
        <f t="shared" si="16"/>
        <v>0</v>
      </c>
      <c r="DG6" s="31">
        <f t="shared" si="17"/>
        <v>0</v>
      </c>
      <c r="DH6" s="31">
        <f t="shared" si="18"/>
        <v>0</v>
      </c>
      <c r="DI6" s="31">
        <f t="shared" si="19"/>
        <v>0</v>
      </c>
      <c r="DJ6" s="31">
        <f t="shared" si="20"/>
        <v>0</v>
      </c>
      <c r="DK6" s="31">
        <f t="shared" si="21"/>
        <v>0</v>
      </c>
      <c r="DL6" s="31">
        <f t="shared" si="22"/>
        <v>0</v>
      </c>
      <c r="DM6" s="31">
        <f t="shared" si="23"/>
        <v>0</v>
      </c>
      <c r="DN6" s="31">
        <f t="shared" si="24"/>
        <v>0</v>
      </c>
      <c r="DO6" s="31">
        <f t="shared" si="25"/>
        <v>0</v>
      </c>
    </row>
    <row r="7" spans="1:119" ht="9.6" customHeight="1" x14ac:dyDescent="0.2">
      <c r="A7" s="36">
        <v>8</v>
      </c>
      <c r="D7" s="31"/>
      <c r="Y7" s="28"/>
      <c r="AJ7" s="35"/>
      <c r="AK7" s="26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94" t="s">
        <v>94</v>
      </c>
      <c r="BE7" s="94">
        <v>2</v>
      </c>
      <c r="BF7" s="96" t="s">
        <v>93</v>
      </c>
      <c r="BG7" s="96"/>
      <c r="BH7" s="96"/>
      <c r="BI7" s="96"/>
      <c r="BK7" s="36">
        <v>8</v>
      </c>
      <c r="BL7" s="36">
        <v>8</v>
      </c>
      <c r="BM7" s="36">
        <v>8</v>
      </c>
      <c r="BN7" s="36">
        <v>8</v>
      </c>
      <c r="BO7" s="36">
        <v>8</v>
      </c>
      <c r="BP7" s="36">
        <v>8</v>
      </c>
      <c r="BQ7" s="36">
        <v>8</v>
      </c>
      <c r="BR7" s="36">
        <v>8</v>
      </c>
      <c r="BS7" s="36">
        <v>8</v>
      </c>
      <c r="BT7" s="36">
        <v>8</v>
      </c>
      <c r="BU7" s="36">
        <v>8</v>
      </c>
      <c r="BV7" s="36">
        <v>8</v>
      </c>
      <c r="BW7" s="36">
        <v>6</v>
      </c>
      <c r="BX7" s="96"/>
      <c r="BY7" s="96"/>
      <c r="BZ7" s="96"/>
      <c r="CA7" s="96"/>
      <c r="CB7" s="96"/>
      <c r="CC7" s="96"/>
      <c r="CD7" s="96"/>
      <c r="CE7" s="96"/>
      <c r="CF7" s="96"/>
      <c r="CG7" s="96"/>
      <c r="CH7" s="96"/>
      <c r="CI7" s="96"/>
      <c r="CJ7" s="94" t="s">
        <v>94</v>
      </c>
      <c r="CK7" s="94">
        <v>2</v>
      </c>
      <c r="CL7" s="96" t="s">
        <v>93</v>
      </c>
      <c r="CM7" s="96"/>
      <c r="CN7" s="96"/>
      <c r="CO7" s="96"/>
      <c r="CP7" s="36"/>
      <c r="CQ7" s="31">
        <f t="shared" si="1"/>
        <v>8</v>
      </c>
      <c r="CR7" s="31">
        <f t="shared" si="2"/>
        <v>8</v>
      </c>
      <c r="CS7" s="31">
        <f t="shared" si="3"/>
        <v>8</v>
      </c>
      <c r="CT7" s="31">
        <f t="shared" si="4"/>
        <v>8</v>
      </c>
      <c r="CU7" s="31">
        <f t="shared" si="5"/>
        <v>8</v>
      </c>
      <c r="CV7" s="31">
        <f t="shared" si="6"/>
        <v>8</v>
      </c>
      <c r="CW7" s="31">
        <f t="shared" si="7"/>
        <v>8</v>
      </c>
      <c r="CX7" s="31">
        <f t="shared" si="8"/>
        <v>8</v>
      </c>
      <c r="CY7" s="31">
        <f t="shared" si="9"/>
        <v>8</v>
      </c>
      <c r="CZ7" s="31">
        <f t="shared" si="10"/>
        <v>8</v>
      </c>
      <c r="DA7" s="31">
        <f t="shared" si="11"/>
        <v>8</v>
      </c>
      <c r="DB7" s="31">
        <f t="shared" si="12"/>
        <v>8</v>
      </c>
      <c r="DC7" s="31">
        <f t="shared" si="13"/>
        <v>6</v>
      </c>
      <c r="DD7" s="31">
        <f t="shared" si="14"/>
        <v>0</v>
      </c>
      <c r="DE7" s="31">
        <f t="shared" si="15"/>
        <v>0</v>
      </c>
      <c r="DF7" s="31">
        <f t="shared" si="16"/>
        <v>0</v>
      </c>
      <c r="DG7" s="31">
        <f t="shared" si="17"/>
        <v>0</v>
      </c>
      <c r="DH7" s="31">
        <f t="shared" si="18"/>
        <v>0</v>
      </c>
      <c r="DI7" s="31">
        <f t="shared" si="19"/>
        <v>0</v>
      </c>
      <c r="DJ7" s="31">
        <f t="shared" si="20"/>
        <v>0</v>
      </c>
      <c r="DK7" s="31">
        <f t="shared" si="21"/>
        <v>0</v>
      </c>
      <c r="DL7" s="31">
        <f t="shared" si="22"/>
        <v>0</v>
      </c>
      <c r="DM7" s="31">
        <f t="shared" si="23"/>
        <v>0</v>
      </c>
      <c r="DN7" s="31">
        <f t="shared" si="24"/>
        <v>0</v>
      </c>
      <c r="DO7" s="31">
        <f t="shared" si="25"/>
        <v>0</v>
      </c>
    </row>
    <row r="8" spans="1:119" ht="9.6" customHeight="1" x14ac:dyDescent="0.2">
      <c r="A8" s="31">
        <v>4</v>
      </c>
      <c r="D8" s="31"/>
      <c r="AJ8" s="33"/>
      <c r="AK8" s="26"/>
      <c r="AL8" s="34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94" t="s">
        <v>96</v>
      </c>
      <c r="BE8" s="94">
        <v>1</v>
      </c>
      <c r="BF8" s="96" t="s">
        <v>95</v>
      </c>
      <c r="BG8" s="96"/>
      <c r="BH8" s="96"/>
      <c r="BI8" s="96"/>
      <c r="BK8" s="31">
        <v>8</v>
      </c>
      <c r="BL8" s="31">
        <v>8</v>
      </c>
      <c r="BM8" s="31">
        <v>8</v>
      </c>
      <c r="BN8" s="31">
        <v>8</v>
      </c>
      <c r="BO8" s="31">
        <v>8</v>
      </c>
      <c r="BP8" s="31">
        <v>8</v>
      </c>
      <c r="BQ8" s="31">
        <v>8</v>
      </c>
      <c r="BR8" s="31">
        <v>8</v>
      </c>
      <c r="BS8" s="31">
        <v>8</v>
      </c>
      <c r="BT8" s="31">
        <v>8</v>
      </c>
      <c r="BU8" s="31">
        <v>8</v>
      </c>
      <c r="BV8" s="31">
        <v>8</v>
      </c>
      <c r="BW8" s="31">
        <v>6</v>
      </c>
      <c r="BX8" s="96"/>
      <c r="BY8" s="96"/>
      <c r="BZ8" s="96"/>
      <c r="CA8" s="96"/>
      <c r="CB8" s="96"/>
      <c r="CC8" s="96"/>
      <c r="CD8" s="96"/>
      <c r="CE8" s="96"/>
      <c r="CF8" s="96"/>
      <c r="CG8" s="96"/>
      <c r="CH8" s="96"/>
      <c r="CI8" s="96"/>
      <c r="CJ8" s="94" t="s">
        <v>96</v>
      </c>
      <c r="CK8" s="94">
        <v>1</v>
      </c>
      <c r="CL8" s="96" t="s">
        <v>95</v>
      </c>
      <c r="CM8" s="96"/>
      <c r="CN8" s="96"/>
      <c r="CO8" s="96"/>
      <c r="CP8" s="31"/>
      <c r="CQ8" s="31">
        <f t="shared" si="1"/>
        <v>8</v>
      </c>
      <c r="CR8" s="31">
        <f t="shared" si="2"/>
        <v>8</v>
      </c>
      <c r="CS8" s="31">
        <f t="shared" si="3"/>
        <v>8</v>
      </c>
      <c r="CT8" s="31">
        <f t="shared" si="4"/>
        <v>8</v>
      </c>
      <c r="CU8" s="31">
        <f t="shared" si="5"/>
        <v>8</v>
      </c>
      <c r="CV8" s="31">
        <f t="shared" si="6"/>
        <v>8</v>
      </c>
      <c r="CW8" s="31">
        <f t="shared" si="7"/>
        <v>8</v>
      </c>
      <c r="CX8" s="31">
        <f t="shared" si="8"/>
        <v>8</v>
      </c>
      <c r="CY8" s="31">
        <f t="shared" si="9"/>
        <v>8</v>
      </c>
      <c r="CZ8" s="31">
        <f t="shared" si="10"/>
        <v>8</v>
      </c>
      <c r="DA8" s="31">
        <f t="shared" si="11"/>
        <v>8</v>
      </c>
      <c r="DB8" s="31">
        <f t="shared" si="12"/>
        <v>8</v>
      </c>
      <c r="DC8" s="31">
        <f t="shared" si="13"/>
        <v>6</v>
      </c>
      <c r="DD8" s="31">
        <f t="shared" si="14"/>
        <v>0</v>
      </c>
      <c r="DE8" s="31">
        <f t="shared" si="15"/>
        <v>0</v>
      </c>
      <c r="DF8" s="31">
        <f t="shared" si="16"/>
        <v>0</v>
      </c>
      <c r="DG8" s="31">
        <f t="shared" si="17"/>
        <v>0</v>
      </c>
      <c r="DH8" s="31">
        <f t="shared" si="18"/>
        <v>0</v>
      </c>
      <c r="DI8" s="31">
        <f t="shared" si="19"/>
        <v>0</v>
      </c>
      <c r="DJ8" s="31">
        <f t="shared" si="20"/>
        <v>0</v>
      </c>
      <c r="DK8" s="31">
        <f t="shared" si="21"/>
        <v>0</v>
      </c>
      <c r="DL8" s="31">
        <f t="shared" si="22"/>
        <v>0</v>
      </c>
      <c r="DM8" s="31">
        <f t="shared" si="23"/>
        <v>0</v>
      </c>
      <c r="DN8" s="31">
        <f t="shared" si="24"/>
        <v>0</v>
      </c>
      <c r="DO8" s="31">
        <f t="shared" si="25"/>
        <v>0</v>
      </c>
    </row>
    <row r="9" spans="1:119" ht="9.6" customHeight="1" x14ac:dyDescent="0.2">
      <c r="A9" s="36">
        <v>8</v>
      </c>
      <c r="D9" s="31"/>
      <c r="AJ9" s="35"/>
      <c r="AK9" s="26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94" t="s">
        <v>94</v>
      </c>
      <c r="BE9" s="94">
        <v>2</v>
      </c>
      <c r="BF9" s="96" t="s">
        <v>93</v>
      </c>
      <c r="BG9" s="96"/>
      <c r="BH9" s="96"/>
      <c r="BI9" s="96"/>
      <c r="BK9" s="36">
        <v>8</v>
      </c>
      <c r="BL9" s="36">
        <v>8</v>
      </c>
      <c r="BM9" s="36">
        <v>8</v>
      </c>
      <c r="BN9" s="36">
        <v>8</v>
      </c>
      <c r="BO9" s="36">
        <v>8</v>
      </c>
      <c r="BP9" s="36">
        <v>8</v>
      </c>
      <c r="BQ9" s="36">
        <v>8</v>
      </c>
      <c r="BR9" s="36">
        <v>8</v>
      </c>
      <c r="BS9" s="36">
        <v>8</v>
      </c>
      <c r="BT9" s="36">
        <v>8</v>
      </c>
      <c r="BU9" s="36">
        <v>8</v>
      </c>
      <c r="BV9" s="36">
        <v>8</v>
      </c>
      <c r="BW9" s="36">
        <v>6</v>
      </c>
      <c r="BX9" s="96"/>
      <c r="BY9" s="96"/>
      <c r="BZ9" s="96"/>
      <c r="CA9" s="96"/>
      <c r="CB9" s="96"/>
      <c r="CC9" s="96"/>
      <c r="CD9" s="96"/>
      <c r="CE9" s="96"/>
      <c r="CF9" s="96"/>
      <c r="CG9" s="96"/>
      <c r="CH9" s="96"/>
      <c r="CI9" s="96"/>
      <c r="CJ9" s="94" t="s">
        <v>94</v>
      </c>
      <c r="CK9" s="94">
        <v>2</v>
      </c>
      <c r="CL9" s="96" t="s">
        <v>93</v>
      </c>
      <c r="CM9" s="96"/>
      <c r="CN9" s="96"/>
      <c r="CO9" s="96"/>
      <c r="CP9" s="36"/>
      <c r="CQ9" s="31">
        <f t="shared" si="1"/>
        <v>8</v>
      </c>
      <c r="CR9" s="31">
        <f t="shared" si="2"/>
        <v>8</v>
      </c>
      <c r="CS9" s="31">
        <f t="shared" si="3"/>
        <v>8</v>
      </c>
      <c r="CT9" s="31">
        <f t="shared" si="4"/>
        <v>8</v>
      </c>
      <c r="CU9" s="31">
        <f t="shared" si="5"/>
        <v>8</v>
      </c>
      <c r="CV9" s="31">
        <f t="shared" si="6"/>
        <v>8</v>
      </c>
      <c r="CW9" s="31">
        <f t="shared" si="7"/>
        <v>8</v>
      </c>
      <c r="CX9" s="31">
        <f t="shared" si="8"/>
        <v>8</v>
      </c>
      <c r="CY9" s="31">
        <f t="shared" si="9"/>
        <v>8</v>
      </c>
      <c r="CZ9" s="31">
        <f t="shared" si="10"/>
        <v>8</v>
      </c>
      <c r="DA9" s="31">
        <f t="shared" si="11"/>
        <v>8</v>
      </c>
      <c r="DB9" s="31">
        <f t="shared" si="12"/>
        <v>8</v>
      </c>
      <c r="DC9" s="31">
        <f t="shared" si="13"/>
        <v>6</v>
      </c>
      <c r="DD9" s="31">
        <f t="shared" si="14"/>
        <v>0</v>
      </c>
      <c r="DE9" s="31">
        <f t="shared" si="15"/>
        <v>0</v>
      </c>
      <c r="DF9" s="31">
        <f t="shared" si="16"/>
        <v>0</v>
      </c>
      <c r="DG9" s="31">
        <f t="shared" si="17"/>
        <v>0</v>
      </c>
      <c r="DH9" s="31">
        <f t="shared" si="18"/>
        <v>0</v>
      </c>
      <c r="DI9" s="31">
        <f t="shared" si="19"/>
        <v>0</v>
      </c>
      <c r="DJ9" s="31">
        <f t="shared" si="20"/>
        <v>0</v>
      </c>
      <c r="DK9" s="31">
        <f t="shared" si="21"/>
        <v>0</v>
      </c>
      <c r="DL9" s="31">
        <f t="shared" si="22"/>
        <v>0</v>
      </c>
      <c r="DM9" s="31">
        <f t="shared" si="23"/>
        <v>0</v>
      </c>
      <c r="DN9" s="31">
        <f t="shared" si="24"/>
        <v>0</v>
      </c>
      <c r="DO9" s="31">
        <f t="shared" si="25"/>
        <v>0</v>
      </c>
    </row>
    <row r="10" spans="1:119" ht="9.6" customHeight="1" x14ac:dyDescent="0.2">
      <c r="A10" s="31">
        <v>4</v>
      </c>
      <c r="D10" s="31"/>
      <c r="AJ10" s="35"/>
      <c r="AK10" s="26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94" t="s">
        <v>98</v>
      </c>
      <c r="BE10" s="94">
        <v>2</v>
      </c>
      <c r="BF10" s="96" t="s">
        <v>97</v>
      </c>
      <c r="BG10" s="96"/>
      <c r="BH10" s="96"/>
      <c r="BI10" s="96"/>
      <c r="BK10" s="31">
        <v>8</v>
      </c>
      <c r="BL10" s="31">
        <v>8</v>
      </c>
      <c r="BM10" s="31">
        <v>8</v>
      </c>
      <c r="BN10" s="31">
        <v>8</v>
      </c>
      <c r="BO10" s="31">
        <v>8</v>
      </c>
      <c r="BP10" s="31">
        <v>8</v>
      </c>
      <c r="BQ10" s="31">
        <v>8</v>
      </c>
      <c r="BR10" s="31">
        <v>8</v>
      </c>
      <c r="BS10" s="31">
        <v>8</v>
      </c>
      <c r="BT10" s="31">
        <v>8</v>
      </c>
      <c r="BU10" s="31">
        <v>8</v>
      </c>
      <c r="BV10" s="31">
        <v>8</v>
      </c>
      <c r="BW10" s="31">
        <v>14</v>
      </c>
      <c r="BX10" s="96"/>
      <c r="BY10" s="96"/>
      <c r="BZ10" s="96"/>
      <c r="CA10" s="96"/>
      <c r="CB10" s="96"/>
      <c r="CC10" s="96"/>
      <c r="CD10" s="96"/>
      <c r="CE10" s="96"/>
      <c r="CF10" s="96"/>
      <c r="CG10" s="96"/>
      <c r="CH10" s="96"/>
      <c r="CI10" s="96"/>
      <c r="CJ10" s="94" t="s">
        <v>98</v>
      </c>
      <c r="CK10" s="94">
        <v>2</v>
      </c>
      <c r="CL10" s="96" t="s">
        <v>97</v>
      </c>
      <c r="CM10" s="96"/>
      <c r="CN10" s="96"/>
      <c r="CO10" s="96"/>
      <c r="CP10" s="31"/>
      <c r="CQ10" s="31">
        <f t="shared" si="1"/>
        <v>8</v>
      </c>
      <c r="CR10" s="31">
        <f t="shared" si="2"/>
        <v>8</v>
      </c>
      <c r="CS10" s="31">
        <f t="shared" si="3"/>
        <v>8</v>
      </c>
      <c r="CT10" s="31">
        <f t="shared" si="4"/>
        <v>8</v>
      </c>
      <c r="CU10" s="31">
        <f t="shared" si="5"/>
        <v>8</v>
      </c>
      <c r="CV10" s="31">
        <f t="shared" si="6"/>
        <v>8</v>
      </c>
      <c r="CW10" s="31">
        <f t="shared" si="7"/>
        <v>8</v>
      </c>
      <c r="CX10" s="31">
        <f t="shared" si="8"/>
        <v>8</v>
      </c>
      <c r="CY10" s="31">
        <f t="shared" si="9"/>
        <v>8</v>
      </c>
      <c r="CZ10" s="31">
        <f t="shared" si="10"/>
        <v>8</v>
      </c>
      <c r="DA10" s="31">
        <f t="shared" si="11"/>
        <v>8</v>
      </c>
      <c r="DB10" s="31">
        <f t="shared" si="12"/>
        <v>8</v>
      </c>
      <c r="DC10" s="31">
        <f t="shared" si="13"/>
        <v>14</v>
      </c>
      <c r="DD10" s="31">
        <f t="shared" si="14"/>
        <v>0</v>
      </c>
      <c r="DE10" s="31">
        <f t="shared" si="15"/>
        <v>0</v>
      </c>
      <c r="DF10" s="31">
        <f t="shared" si="16"/>
        <v>0</v>
      </c>
      <c r="DG10" s="31">
        <f t="shared" si="17"/>
        <v>0</v>
      </c>
      <c r="DH10" s="31">
        <f t="shared" si="18"/>
        <v>0</v>
      </c>
      <c r="DI10" s="31">
        <f t="shared" si="19"/>
        <v>0</v>
      </c>
      <c r="DJ10" s="31">
        <f t="shared" si="20"/>
        <v>0</v>
      </c>
      <c r="DK10" s="31">
        <f t="shared" si="21"/>
        <v>0</v>
      </c>
      <c r="DL10" s="31">
        <f t="shared" si="22"/>
        <v>0</v>
      </c>
      <c r="DM10" s="31">
        <f t="shared" si="23"/>
        <v>0</v>
      </c>
      <c r="DN10" s="31">
        <f t="shared" si="24"/>
        <v>0</v>
      </c>
      <c r="DO10" s="31">
        <f t="shared" si="25"/>
        <v>0</v>
      </c>
    </row>
    <row r="11" spans="1:119" ht="9.6" customHeight="1" x14ac:dyDescent="0.2">
      <c r="D11" s="31"/>
      <c r="AJ11" s="37"/>
      <c r="AK11" s="26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94" t="s">
        <v>100</v>
      </c>
      <c r="BE11" s="95">
        <v>0</v>
      </c>
      <c r="BF11" s="96" t="s">
        <v>99</v>
      </c>
      <c r="BG11" s="96"/>
      <c r="BH11" s="96"/>
      <c r="BI11" s="96"/>
      <c r="BK11" s="31">
        <v>16</v>
      </c>
      <c r="BL11" s="31">
        <v>16</v>
      </c>
      <c r="BM11" s="31">
        <v>16</v>
      </c>
      <c r="BN11" s="31">
        <v>16</v>
      </c>
      <c r="BO11" s="31">
        <v>8</v>
      </c>
      <c r="BP11" s="31">
        <v>8</v>
      </c>
      <c r="BQ11" s="31">
        <v>8</v>
      </c>
      <c r="BR11" s="31">
        <v>8</v>
      </c>
      <c r="BS11" s="31">
        <v>8</v>
      </c>
      <c r="BT11" s="31">
        <v>8</v>
      </c>
      <c r="BU11" s="31">
        <v>8</v>
      </c>
      <c r="BV11" s="31">
        <v>8</v>
      </c>
      <c r="BW11" s="31"/>
      <c r="BX11" s="96"/>
      <c r="BY11" s="96"/>
      <c r="BZ11" s="96"/>
      <c r="CA11" s="96"/>
      <c r="CB11" s="96"/>
      <c r="CC11" s="96"/>
      <c r="CD11" s="96"/>
      <c r="CE11" s="96"/>
      <c r="CF11" s="96"/>
      <c r="CG11" s="96"/>
      <c r="CH11" s="96"/>
      <c r="CI11" s="96"/>
      <c r="CJ11" s="94" t="s">
        <v>100</v>
      </c>
      <c r="CK11" s="95">
        <v>0</v>
      </c>
      <c r="CL11" s="96" t="s">
        <v>99</v>
      </c>
      <c r="CM11" s="96"/>
      <c r="CN11" s="96"/>
      <c r="CO11" s="96"/>
      <c r="CP11" s="31"/>
      <c r="CQ11" s="31">
        <f t="shared" si="1"/>
        <v>16</v>
      </c>
      <c r="CR11" s="31">
        <f t="shared" si="2"/>
        <v>16</v>
      </c>
      <c r="CS11" s="31">
        <f t="shared" si="3"/>
        <v>16</v>
      </c>
      <c r="CT11" s="31">
        <f t="shared" si="4"/>
        <v>16</v>
      </c>
      <c r="CU11" s="31">
        <f t="shared" si="5"/>
        <v>8</v>
      </c>
      <c r="CV11" s="31">
        <f t="shared" si="6"/>
        <v>8</v>
      </c>
      <c r="CW11" s="31">
        <f t="shared" si="7"/>
        <v>8</v>
      </c>
      <c r="CX11" s="31">
        <f t="shared" si="8"/>
        <v>8</v>
      </c>
      <c r="CY11" s="31">
        <f t="shared" si="9"/>
        <v>8</v>
      </c>
      <c r="CZ11" s="31">
        <f t="shared" si="10"/>
        <v>8</v>
      </c>
      <c r="DA11" s="31">
        <f t="shared" si="11"/>
        <v>8</v>
      </c>
      <c r="DB11" s="31">
        <f t="shared" si="12"/>
        <v>8</v>
      </c>
      <c r="DC11" s="31">
        <f t="shared" si="13"/>
        <v>0</v>
      </c>
      <c r="DD11" s="31">
        <f t="shared" si="14"/>
        <v>0</v>
      </c>
      <c r="DE11" s="31">
        <f t="shared" si="15"/>
        <v>0</v>
      </c>
      <c r="DF11" s="31">
        <f t="shared" si="16"/>
        <v>0</v>
      </c>
      <c r="DG11" s="31">
        <f t="shared" si="17"/>
        <v>0</v>
      </c>
      <c r="DH11" s="31">
        <f t="shared" si="18"/>
        <v>0</v>
      </c>
      <c r="DI11" s="31">
        <f t="shared" si="19"/>
        <v>0</v>
      </c>
      <c r="DJ11" s="31">
        <f t="shared" si="20"/>
        <v>0</v>
      </c>
      <c r="DK11" s="31">
        <f t="shared" si="21"/>
        <v>0</v>
      </c>
      <c r="DL11" s="31">
        <f t="shared" si="22"/>
        <v>0</v>
      </c>
      <c r="DM11" s="31">
        <f t="shared" si="23"/>
        <v>0</v>
      </c>
      <c r="DN11" s="31">
        <f t="shared" si="24"/>
        <v>0</v>
      </c>
      <c r="DO11" s="31">
        <f t="shared" si="25"/>
        <v>0</v>
      </c>
    </row>
    <row r="12" spans="1:119" ht="9.6" customHeight="1" x14ac:dyDescent="0.2">
      <c r="D12" s="31"/>
      <c r="Z12" s="24">
        <v>10</v>
      </c>
      <c r="AJ12" s="38"/>
      <c r="AK12" s="26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94" t="s">
        <v>102</v>
      </c>
      <c r="BE12" s="94">
        <v>1</v>
      </c>
      <c r="BF12" s="96" t="s">
        <v>101</v>
      </c>
      <c r="BG12" s="96"/>
      <c r="BH12" s="96"/>
      <c r="BI12" s="96"/>
      <c r="BK12" s="31">
        <v>35</v>
      </c>
      <c r="BL12" s="31">
        <v>35</v>
      </c>
      <c r="BM12" s="31">
        <v>35</v>
      </c>
      <c r="BN12" s="31">
        <v>30</v>
      </c>
      <c r="BO12" s="31">
        <v>30</v>
      </c>
      <c r="BP12" s="31">
        <v>30</v>
      </c>
      <c r="BQ12" s="31">
        <v>30</v>
      </c>
      <c r="BR12" s="31">
        <v>30</v>
      </c>
      <c r="BS12" s="31">
        <v>30</v>
      </c>
      <c r="BT12" s="31">
        <v>30</v>
      </c>
      <c r="BU12" s="31">
        <v>30</v>
      </c>
      <c r="BV12" s="31">
        <v>14</v>
      </c>
      <c r="BW12" s="31"/>
      <c r="BX12" s="96"/>
      <c r="BY12" s="96"/>
      <c r="BZ12" s="96"/>
      <c r="CA12" s="96"/>
      <c r="CB12" s="96"/>
      <c r="CC12" s="96"/>
      <c r="CD12" s="96"/>
      <c r="CE12" s="96"/>
      <c r="CF12" s="96"/>
      <c r="CG12" s="96"/>
      <c r="CH12" s="96"/>
      <c r="CI12" s="96"/>
      <c r="CJ12" s="94" t="s">
        <v>102</v>
      </c>
      <c r="CK12" s="94">
        <v>1</v>
      </c>
      <c r="CL12" s="96" t="s">
        <v>101</v>
      </c>
      <c r="CM12" s="96"/>
      <c r="CN12" s="96"/>
      <c r="CO12" s="96"/>
      <c r="CP12" s="31"/>
      <c r="CQ12" s="31">
        <f t="shared" si="1"/>
        <v>35</v>
      </c>
      <c r="CR12" s="31">
        <f t="shared" si="2"/>
        <v>35</v>
      </c>
      <c r="CS12" s="31">
        <f t="shared" si="3"/>
        <v>35</v>
      </c>
      <c r="CT12" s="31">
        <f t="shared" si="4"/>
        <v>30</v>
      </c>
      <c r="CU12" s="31">
        <f t="shared" si="5"/>
        <v>30</v>
      </c>
      <c r="CV12" s="31">
        <f t="shared" si="6"/>
        <v>30</v>
      </c>
      <c r="CW12" s="31">
        <f t="shared" si="7"/>
        <v>30</v>
      </c>
      <c r="CX12" s="31">
        <f t="shared" si="8"/>
        <v>30</v>
      </c>
      <c r="CY12" s="31">
        <f t="shared" si="9"/>
        <v>30</v>
      </c>
      <c r="CZ12" s="31">
        <f t="shared" si="10"/>
        <v>30</v>
      </c>
      <c r="DA12" s="31">
        <f t="shared" si="11"/>
        <v>30</v>
      </c>
      <c r="DB12" s="31">
        <f t="shared" si="12"/>
        <v>14</v>
      </c>
      <c r="DC12" s="31">
        <f t="shared" si="13"/>
        <v>0</v>
      </c>
      <c r="DD12" s="31">
        <f t="shared" si="14"/>
        <v>0</v>
      </c>
      <c r="DE12" s="31">
        <f t="shared" si="15"/>
        <v>0</v>
      </c>
      <c r="DF12" s="31">
        <f t="shared" si="16"/>
        <v>0</v>
      </c>
      <c r="DG12" s="31">
        <f t="shared" si="17"/>
        <v>0</v>
      </c>
      <c r="DH12" s="31">
        <f t="shared" si="18"/>
        <v>0</v>
      </c>
      <c r="DI12" s="31">
        <f t="shared" si="19"/>
        <v>0</v>
      </c>
      <c r="DJ12" s="31">
        <f t="shared" si="20"/>
        <v>0</v>
      </c>
      <c r="DK12" s="31">
        <f t="shared" si="21"/>
        <v>0</v>
      </c>
      <c r="DL12" s="31">
        <f t="shared" si="22"/>
        <v>0</v>
      </c>
      <c r="DM12" s="31">
        <f t="shared" si="23"/>
        <v>0</v>
      </c>
      <c r="DN12" s="31">
        <f t="shared" si="24"/>
        <v>0</v>
      </c>
      <c r="DO12" s="31">
        <f t="shared" si="25"/>
        <v>0</v>
      </c>
    </row>
    <row r="13" spans="1:119" ht="9.6" customHeight="1" x14ac:dyDescent="0.2">
      <c r="D13" s="31"/>
      <c r="J13" s="99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AJ13" s="39"/>
      <c r="AK13" s="26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94" t="s">
        <v>104</v>
      </c>
      <c r="BE13" s="94">
        <v>2</v>
      </c>
      <c r="BF13" s="96" t="s">
        <v>103</v>
      </c>
      <c r="BG13" s="96"/>
      <c r="BH13" s="96"/>
      <c r="BI13" s="96"/>
      <c r="BK13" s="31">
        <v>35</v>
      </c>
      <c r="BL13" s="31">
        <v>35</v>
      </c>
      <c r="BM13" s="31">
        <v>35</v>
      </c>
      <c r="BN13" s="31">
        <v>30</v>
      </c>
      <c r="BO13" s="31">
        <v>30</v>
      </c>
      <c r="BP13" s="31">
        <v>30</v>
      </c>
      <c r="BQ13" s="31">
        <v>30</v>
      </c>
      <c r="BR13" s="31">
        <v>30</v>
      </c>
      <c r="BS13" s="31">
        <v>30</v>
      </c>
      <c r="BT13" s="31">
        <v>30</v>
      </c>
      <c r="BU13" s="31">
        <v>30</v>
      </c>
      <c r="BV13" s="31">
        <v>14</v>
      </c>
      <c r="BW13" s="31"/>
      <c r="BX13" s="96"/>
      <c r="BY13" s="96"/>
      <c r="BZ13" s="96"/>
      <c r="CA13" s="96"/>
      <c r="CB13" s="96"/>
      <c r="CC13" s="96"/>
      <c r="CD13" s="96"/>
      <c r="CE13" s="96"/>
      <c r="CF13" s="96"/>
      <c r="CG13" s="96"/>
      <c r="CH13" s="96"/>
      <c r="CI13" s="96"/>
      <c r="CJ13" s="94" t="s">
        <v>104</v>
      </c>
      <c r="CK13" s="94">
        <v>2</v>
      </c>
      <c r="CL13" s="96" t="s">
        <v>103</v>
      </c>
      <c r="CM13" s="96"/>
      <c r="CN13" s="96"/>
      <c r="CO13" s="96"/>
      <c r="CP13" s="31"/>
      <c r="CQ13" s="31">
        <f t="shared" si="1"/>
        <v>35</v>
      </c>
      <c r="CR13" s="31">
        <f t="shared" si="2"/>
        <v>35</v>
      </c>
      <c r="CS13" s="31">
        <f t="shared" si="3"/>
        <v>35</v>
      </c>
      <c r="CT13" s="31">
        <f t="shared" si="4"/>
        <v>30</v>
      </c>
      <c r="CU13" s="31">
        <f t="shared" si="5"/>
        <v>30</v>
      </c>
      <c r="CV13" s="31">
        <f t="shared" si="6"/>
        <v>30</v>
      </c>
      <c r="CW13" s="31">
        <f t="shared" si="7"/>
        <v>30</v>
      </c>
      <c r="CX13" s="31">
        <f t="shared" si="8"/>
        <v>30</v>
      </c>
      <c r="CY13" s="31">
        <f t="shared" si="9"/>
        <v>30</v>
      </c>
      <c r="CZ13" s="31">
        <f t="shared" si="10"/>
        <v>30</v>
      </c>
      <c r="DA13" s="31">
        <f t="shared" si="11"/>
        <v>30</v>
      </c>
      <c r="DB13" s="31">
        <f t="shared" si="12"/>
        <v>14</v>
      </c>
      <c r="DC13" s="31">
        <f t="shared" si="13"/>
        <v>0</v>
      </c>
      <c r="DD13" s="31">
        <f t="shared" si="14"/>
        <v>0</v>
      </c>
      <c r="DE13" s="31">
        <f t="shared" si="15"/>
        <v>0</v>
      </c>
      <c r="DF13" s="31">
        <f t="shared" si="16"/>
        <v>0</v>
      </c>
      <c r="DG13" s="31">
        <f t="shared" si="17"/>
        <v>0</v>
      </c>
      <c r="DH13" s="31">
        <f t="shared" si="18"/>
        <v>0</v>
      </c>
      <c r="DI13" s="31">
        <f t="shared" si="19"/>
        <v>0</v>
      </c>
      <c r="DJ13" s="31">
        <f t="shared" si="20"/>
        <v>0</v>
      </c>
      <c r="DK13" s="31">
        <f t="shared" si="21"/>
        <v>0</v>
      </c>
      <c r="DL13" s="31">
        <f t="shared" si="22"/>
        <v>0</v>
      </c>
      <c r="DM13" s="31">
        <f t="shared" si="23"/>
        <v>0</v>
      </c>
      <c r="DN13" s="31">
        <f t="shared" si="24"/>
        <v>0</v>
      </c>
      <c r="DO13" s="31">
        <f t="shared" si="25"/>
        <v>0</v>
      </c>
    </row>
    <row r="14" spans="1:119" ht="9.6" customHeight="1" x14ac:dyDescent="0.2">
      <c r="D14" s="31"/>
      <c r="J14" s="99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AJ14" s="40"/>
      <c r="AK14" s="26"/>
      <c r="AL14" s="32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94" t="s">
        <v>106</v>
      </c>
      <c r="BE14" s="94">
        <v>3</v>
      </c>
      <c r="BF14" s="96" t="s">
        <v>105</v>
      </c>
      <c r="BG14" s="96"/>
      <c r="BH14" s="96"/>
      <c r="BI14" s="96"/>
      <c r="BK14" s="31">
        <v>35</v>
      </c>
      <c r="BL14" s="31">
        <v>35</v>
      </c>
      <c r="BM14" s="31">
        <v>35</v>
      </c>
      <c r="BN14" s="31">
        <v>30</v>
      </c>
      <c r="BO14" s="31">
        <v>30</v>
      </c>
      <c r="BP14" s="31">
        <v>30</v>
      </c>
      <c r="BQ14" s="31">
        <v>30</v>
      </c>
      <c r="BR14" s="31">
        <v>30</v>
      </c>
      <c r="BS14" s="31">
        <v>30</v>
      </c>
      <c r="BT14" s="31">
        <v>30</v>
      </c>
      <c r="BU14" s="31">
        <v>30</v>
      </c>
      <c r="BV14" s="31">
        <v>14</v>
      </c>
      <c r="BW14" s="31"/>
      <c r="BX14" s="96"/>
      <c r="BY14" s="96"/>
      <c r="BZ14" s="96"/>
      <c r="CA14" s="96"/>
      <c r="CB14" s="96"/>
      <c r="CC14" s="96"/>
      <c r="CD14" s="96"/>
      <c r="CE14" s="96"/>
      <c r="CF14" s="96"/>
      <c r="CG14" s="96"/>
      <c r="CH14" s="96"/>
      <c r="CI14" s="96"/>
      <c r="CJ14" s="94" t="s">
        <v>106</v>
      </c>
      <c r="CK14" s="94">
        <v>3</v>
      </c>
      <c r="CL14" s="96" t="s">
        <v>105</v>
      </c>
      <c r="CM14" s="96"/>
      <c r="CN14" s="96"/>
      <c r="CO14" s="96"/>
      <c r="CP14" s="31"/>
      <c r="CQ14" s="31">
        <f t="shared" si="1"/>
        <v>35</v>
      </c>
      <c r="CR14" s="31">
        <f t="shared" si="2"/>
        <v>35</v>
      </c>
      <c r="CS14" s="31">
        <f t="shared" si="3"/>
        <v>35</v>
      </c>
      <c r="CT14" s="31">
        <f t="shared" si="4"/>
        <v>30</v>
      </c>
      <c r="CU14" s="31">
        <f t="shared" si="5"/>
        <v>30</v>
      </c>
      <c r="CV14" s="31">
        <f t="shared" si="6"/>
        <v>30</v>
      </c>
      <c r="CW14" s="31">
        <f t="shared" si="7"/>
        <v>30</v>
      </c>
      <c r="CX14" s="31">
        <f t="shared" si="8"/>
        <v>30</v>
      </c>
      <c r="CY14" s="31">
        <f t="shared" si="9"/>
        <v>30</v>
      </c>
      <c r="CZ14" s="31">
        <f t="shared" si="10"/>
        <v>30</v>
      </c>
      <c r="DA14" s="31">
        <f t="shared" si="11"/>
        <v>30</v>
      </c>
      <c r="DB14" s="31">
        <f t="shared" si="12"/>
        <v>14</v>
      </c>
      <c r="DC14" s="31">
        <f t="shared" si="13"/>
        <v>0</v>
      </c>
      <c r="DD14" s="31">
        <f t="shared" si="14"/>
        <v>0</v>
      </c>
      <c r="DE14" s="31">
        <f t="shared" si="15"/>
        <v>0</v>
      </c>
      <c r="DF14" s="31">
        <f t="shared" si="16"/>
        <v>0</v>
      </c>
      <c r="DG14" s="31">
        <f t="shared" si="17"/>
        <v>0</v>
      </c>
      <c r="DH14" s="31">
        <f t="shared" si="18"/>
        <v>0</v>
      </c>
      <c r="DI14" s="31">
        <f t="shared" si="19"/>
        <v>0</v>
      </c>
      <c r="DJ14" s="31">
        <f t="shared" si="20"/>
        <v>0</v>
      </c>
      <c r="DK14" s="31">
        <f t="shared" si="21"/>
        <v>0</v>
      </c>
      <c r="DL14" s="31">
        <f t="shared" si="22"/>
        <v>0</v>
      </c>
      <c r="DM14" s="31">
        <f t="shared" si="23"/>
        <v>0</v>
      </c>
      <c r="DN14" s="31">
        <f t="shared" si="24"/>
        <v>0</v>
      </c>
      <c r="DO14" s="31">
        <f t="shared" si="25"/>
        <v>0</v>
      </c>
    </row>
    <row r="15" spans="1:119" ht="9.6" customHeight="1" x14ac:dyDescent="0.2">
      <c r="D15" s="31"/>
      <c r="F15" s="26"/>
      <c r="J15" s="99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AJ15" s="40"/>
      <c r="AK15" s="26"/>
      <c r="AL15" s="32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94" t="s">
        <v>108</v>
      </c>
      <c r="BE15" s="94">
        <v>3</v>
      </c>
      <c r="BF15" s="96" t="s">
        <v>107</v>
      </c>
      <c r="BG15" s="96"/>
      <c r="BH15" s="96"/>
      <c r="BI15" s="96"/>
      <c r="BK15" s="31">
        <v>35</v>
      </c>
      <c r="BL15" s="31">
        <v>35</v>
      </c>
      <c r="BM15" s="31">
        <v>35</v>
      </c>
      <c r="BN15" s="31">
        <v>35</v>
      </c>
      <c r="BO15" s="31">
        <v>35</v>
      </c>
      <c r="BP15" s="31">
        <v>35</v>
      </c>
      <c r="BQ15" s="31">
        <v>35</v>
      </c>
      <c r="BR15" s="31">
        <v>35</v>
      </c>
      <c r="BS15" s="31">
        <v>35</v>
      </c>
      <c r="BT15" s="31">
        <v>35</v>
      </c>
      <c r="BU15" s="31"/>
      <c r="BV15" s="31"/>
      <c r="BW15" s="31"/>
      <c r="BX15" s="96"/>
      <c r="BY15" s="96"/>
      <c r="BZ15" s="96"/>
      <c r="CA15" s="96"/>
      <c r="CB15" s="96"/>
      <c r="CC15" s="96"/>
      <c r="CD15" s="96"/>
      <c r="CE15" s="96"/>
      <c r="CF15" s="96"/>
      <c r="CG15" s="96"/>
      <c r="CH15" s="96"/>
      <c r="CI15" s="96"/>
      <c r="CJ15" s="94" t="s">
        <v>108</v>
      </c>
      <c r="CK15" s="94">
        <v>3</v>
      </c>
      <c r="CL15" s="96" t="s">
        <v>107</v>
      </c>
      <c r="CM15" s="96"/>
      <c r="CN15" s="96"/>
      <c r="CO15" s="96"/>
      <c r="CP15" s="31"/>
      <c r="CQ15" s="31">
        <f t="shared" si="1"/>
        <v>35</v>
      </c>
      <c r="CR15" s="31">
        <f t="shared" si="2"/>
        <v>35</v>
      </c>
      <c r="CS15" s="31">
        <f t="shared" si="3"/>
        <v>35</v>
      </c>
      <c r="CT15" s="31">
        <f t="shared" si="4"/>
        <v>35</v>
      </c>
      <c r="CU15" s="31">
        <f t="shared" si="5"/>
        <v>35</v>
      </c>
      <c r="CV15" s="31">
        <f t="shared" si="6"/>
        <v>35</v>
      </c>
      <c r="CW15" s="31">
        <f t="shared" si="7"/>
        <v>35</v>
      </c>
      <c r="CX15" s="31">
        <f t="shared" si="8"/>
        <v>35</v>
      </c>
      <c r="CY15" s="31">
        <f t="shared" si="9"/>
        <v>35</v>
      </c>
      <c r="CZ15" s="31">
        <f t="shared" si="10"/>
        <v>35</v>
      </c>
      <c r="DA15" s="31">
        <f t="shared" si="11"/>
        <v>0</v>
      </c>
      <c r="DB15" s="31">
        <f t="shared" si="12"/>
        <v>0</v>
      </c>
      <c r="DC15" s="31">
        <f t="shared" si="13"/>
        <v>0</v>
      </c>
      <c r="DD15" s="31">
        <f t="shared" si="14"/>
        <v>0</v>
      </c>
      <c r="DE15" s="31">
        <f t="shared" si="15"/>
        <v>0</v>
      </c>
      <c r="DF15" s="31">
        <f t="shared" si="16"/>
        <v>0</v>
      </c>
      <c r="DG15" s="31">
        <f t="shared" si="17"/>
        <v>0</v>
      </c>
      <c r="DH15" s="31">
        <f t="shared" si="18"/>
        <v>0</v>
      </c>
      <c r="DI15" s="31">
        <f t="shared" si="19"/>
        <v>0</v>
      </c>
      <c r="DJ15" s="31">
        <f t="shared" si="20"/>
        <v>0</v>
      </c>
      <c r="DK15" s="31">
        <f t="shared" si="21"/>
        <v>0</v>
      </c>
      <c r="DL15" s="31">
        <f t="shared" si="22"/>
        <v>0</v>
      </c>
      <c r="DM15" s="31">
        <f t="shared" si="23"/>
        <v>0</v>
      </c>
      <c r="DN15" s="31">
        <f t="shared" si="24"/>
        <v>0</v>
      </c>
      <c r="DO15" s="31">
        <f t="shared" si="25"/>
        <v>0</v>
      </c>
    </row>
    <row r="16" spans="1:119" ht="9.6" customHeight="1" x14ac:dyDescent="0.2">
      <c r="D16" s="31"/>
      <c r="F16" s="26"/>
      <c r="J16" s="99"/>
      <c r="K16" s="99"/>
      <c r="L16" s="99"/>
      <c r="M16" s="99"/>
      <c r="N16" s="99"/>
      <c r="O16" s="99"/>
      <c r="P16" s="99"/>
      <c r="Q16" s="99"/>
      <c r="R16" s="99"/>
      <c r="S16" s="99"/>
      <c r="T16" s="99"/>
      <c r="U16" s="99"/>
      <c r="V16" s="99"/>
      <c r="W16" s="99"/>
      <c r="AJ16" s="38"/>
      <c r="AK16" s="26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94" t="s">
        <v>110</v>
      </c>
      <c r="BE16" s="94">
        <v>1</v>
      </c>
      <c r="BF16" s="96" t="s">
        <v>109</v>
      </c>
      <c r="BG16" s="96"/>
      <c r="BH16" s="96"/>
      <c r="BI16" s="96"/>
      <c r="BK16" s="31">
        <v>43</v>
      </c>
      <c r="BL16" s="31">
        <v>35</v>
      </c>
      <c r="BM16" s="31">
        <v>30</v>
      </c>
      <c r="BN16" s="31">
        <v>30</v>
      </c>
      <c r="BO16" s="31">
        <v>30</v>
      </c>
      <c r="BP16" s="31">
        <v>30</v>
      </c>
      <c r="BQ16" s="31">
        <v>30</v>
      </c>
      <c r="BR16" s="31">
        <v>30</v>
      </c>
      <c r="BS16" s="31">
        <v>30</v>
      </c>
      <c r="BT16" s="31">
        <v>30</v>
      </c>
      <c r="BU16" s="31">
        <v>30</v>
      </c>
      <c r="BV16" s="31"/>
      <c r="BW16" s="31"/>
      <c r="BX16" s="96"/>
      <c r="BY16" s="96"/>
      <c r="BZ16" s="96"/>
      <c r="CA16" s="96"/>
      <c r="CB16" s="96"/>
      <c r="CC16" s="96"/>
      <c r="CD16" s="96"/>
      <c r="CE16" s="96"/>
      <c r="CF16" s="96"/>
      <c r="CG16" s="96"/>
      <c r="CH16" s="96"/>
      <c r="CI16" s="96"/>
      <c r="CJ16" s="94" t="s">
        <v>110</v>
      </c>
      <c r="CK16" s="94">
        <v>1</v>
      </c>
      <c r="CL16" s="96" t="s">
        <v>109</v>
      </c>
      <c r="CM16" s="96"/>
      <c r="CN16" s="96"/>
      <c r="CO16" s="96"/>
      <c r="CP16" s="31"/>
      <c r="CQ16" s="31">
        <f t="shared" si="1"/>
        <v>43</v>
      </c>
      <c r="CR16" s="31">
        <f t="shared" si="2"/>
        <v>35</v>
      </c>
      <c r="CS16" s="31">
        <f t="shared" si="3"/>
        <v>30</v>
      </c>
      <c r="CT16" s="31">
        <f t="shared" si="4"/>
        <v>30</v>
      </c>
      <c r="CU16" s="31">
        <f t="shared" si="5"/>
        <v>30</v>
      </c>
      <c r="CV16" s="31">
        <f t="shared" si="6"/>
        <v>30</v>
      </c>
      <c r="CW16" s="31">
        <f t="shared" si="7"/>
        <v>30</v>
      </c>
      <c r="CX16" s="31">
        <f t="shared" si="8"/>
        <v>30</v>
      </c>
      <c r="CY16" s="31">
        <f t="shared" si="9"/>
        <v>30</v>
      </c>
      <c r="CZ16" s="31">
        <f t="shared" si="10"/>
        <v>30</v>
      </c>
      <c r="DA16" s="31">
        <f t="shared" si="11"/>
        <v>30</v>
      </c>
      <c r="DB16" s="31">
        <f t="shared" si="12"/>
        <v>0</v>
      </c>
      <c r="DC16" s="31">
        <f t="shared" si="13"/>
        <v>0</v>
      </c>
      <c r="DD16" s="31">
        <f t="shared" si="14"/>
        <v>0</v>
      </c>
      <c r="DE16" s="31">
        <f t="shared" si="15"/>
        <v>0</v>
      </c>
      <c r="DF16" s="31">
        <f t="shared" si="16"/>
        <v>0</v>
      </c>
      <c r="DG16" s="31">
        <f t="shared" si="17"/>
        <v>0</v>
      </c>
      <c r="DH16" s="31">
        <f t="shared" si="18"/>
        <v>0</v>
      </c>
      <c r="DI16" s="31">
        <f t="shared" si="19"/>
        <v>0</v>
      </c>
      <c r="DJ16" s="31">
        <f t="shared" si="20"/>
        <v>0</v>
      </c>
      <c r="DK16" s="31">
        <f t="shared" si="21"/>
        <v>0</v>
      </c>
      <c r="DL16" s="31">
        <f t="shared" si="22"/>
        <v>0</v>
      </c>
      <c r="DM16" s="31">
        <f t="shared" si="23"/>
        <v>0</v>
      </c>
      <c r="DN16" s="31">
        <f t="shared" si="24"/>
        <v>0</v>
      </c>
      <c r="DO16" s="31">
        <f t="shared" si="25"/>
        <v>0</v>
      </c>
    </row>
    <row r="17" spans="1:119" ht="9.6" customHeight="1" x14ac:dyDescent="0.2">
      <c r="D17" s="31"/>
      <c r="F17" s="26"/>
      <c r="J17" s="99"/>
      <c r="K17" s="99"/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AJ17" s="39"/>
      <c r="AK17" s="26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94" t="s">
        <v>112</v>
      </c>
      <c r="BE17" s="94">
        <v>2</v>
      </c>
      <c r="BF17" s="96" t="s">
        <v>111</v>
      </c>
      <c r="BG17" s="96"/>
      <c r="BH17" s="96"/>
      <c r="BI17" s="96"/>
      <c r="BK17" s="31">
        <v>43</v>
      </c>
      <c r="BL17" s="31">
        <v>35</v>
      </c>
      <c r="BM17" s="31">
        <v>30</v>
      </c>
      <c r="BN17" s="31">
        <v>30</v>
      </c>
      <c r="BO17" s="31">
        <v>30</v>
      </c>
      <c r="BP17" s="31">
        <v>30</v>
      </c>
      <c r="BQ17" s="31">
        <v>30</v>
      </c>
      <c r="BR17" s="31">
        <v>30</v>
      </c>
      <c r="BS17" s="31">
        <v>30</v>
      </c>
      <c r="BT17" s="31">
        <v>30</v>
      </c>
      <c r="BU17" s="31">
        <v>30</v>
      </c>
      <c r="BV17" s="31"/>
      <c r="BW17" s="31"/>
      <c r="BX17" s="96"/>
      <c r="BY17" s="96"/>
      <c r="BZ17" s="96"/>
      <c r="CA17" s="96"/>
      <c r="CB17" s="96"/>
      <c r="CC17" s="96"/>
      <c r="CD17" s="96"/>
      <c r="CE17" s="96"/>
      <c r="CF17" s="96"/>
      <c r="CG17" s="96"/>
      <c r="CH17" s="96"/>
      <c r="CI17" s="96"/>
      <c r="CJ17" s="94" t="s">
        <v>112</v>
      </c>
      <c r="CK17" s="94">
        <v>2</v>
      </c>
      <c r="CL17" s="96" t="s">
        <v>111</v>
      </c>
      <c r="CM17" s="96"/>
      <c r="CN17" s="96"/>
      <c r="CO17" s="96"/>
      <c r="CP17" s="31"/>
      <c r="CQ17" s="31">
        <f t="shared" si="1"/>
        <v>43</v>
      </c>
      <c r="CR17" s="31">
        <f t="shared" si="2"/>
        <v>35</v>
      </c>
      <c r="CS17" s="31">
        <f t="shared" si="3"/>
        <v>30</v>
      </c>
      <c r="CT17" s="31">
        <f t="shared" si="4"/>
        <v>30</v>
      </c>
      <c r="CU17" s="31">
        <f t="shared" si="5"/>
        <v>30</v>
      </c>
      <c r="CV17" s="31">
        <f t="shared" si="6"/>
        <v>30</v>
      </c>
      <c r="CW17" s="31">
        <f t="shared" si="7"/>
        <v>30</v>
      </c>
      <c r="CX17" s="31">
        <f t="shared" si="8"/>
        <v>30</v>
      </c>
      <c r="CY17" s="31">
        <f t="shared" si="9"/>
        <v>30</v>
      </c>
      <c r="CZ17" s="31">
        <f t="shared" si="10"/>
        <v>30</v>
      </c>
      <c r="DA17" s="31">
        <f t="shared" si="11"/>
        <v>30</v>
      </c>
      <c r="DB17" s="31">
        <f t="shared" si="12"/>
        <v>0</v>
      </c>
      <c r="DC17" s="31">
        <f t="shared" si="13"/>
        <v>0</v>
      </c>
      <c r="DD17" s="31">
        <f t="shared" si="14"/>
        <v>0</v>
      </c>
      <c r="DE17" s="31">
        <f t="shared" si="15"/>
        <v>0</v>
      </c>
      <c r="DF17" s="31">
        <f t="shared" si="16"/>
        <v>0</v>
      </c>
      <c r="DG17" s="31">
        <f t="shared" si="17"/>
        <v>0</v>
      </c>
      <c r="DH17" s="31">
        <f t="shared" si="18"/>
        <v>0</v>
      </c>
      <c r="DI17" s="31">
        <f t="shared" si="19"/>
        <v>0</v>
      </c>
      <c r="DJ17" s="31">
        <f t="shared" si="20"/>
        <v>0</v>
      </c>
      <c r="DK17" s="31">
        <f t="shared" si="21"/>
        <v>0</v>
      </c>
      <c r="DL17" s="31">
        <f t="shared" si="22"/>
        <v>0</v>
      </c>
      <c r="DM17" s="31">
        <f t="shared" si="23"/>
        <v>0</v>
      </c>
      <c r="DN17" s="31">
        <f t="shared" si="24"/>
        <v>0</v>
      </c>
      <c r="DO17" s="31">
        <f t="shared" si="25"/>
        <v>0</v>
      </c>
    </row>
    <row r="18" spans="1:119" ht="9.6" customHeight="1" x14ac:dyDescent="0.2">
      <c r="D18" s="31"/>
      <c r="F18" s="26"/>
      <c r="J18" s="99"/>
      <c r="K18" s="99"/>
      <c r="L18" s="99"/>
      <c r="M18" s="99"/>
      <c r="N18" s="99"/>
      <c r="O18" s="99"/>
      <c r="P18" s="99"/>
      <c r="Q18" s="99"/>
      <c r="R18" s="99"/>
      <c r="S18" s="99"/>
      <c r="T18" s="99"/>
      <c r="U18" s="99"/>
      <c r="V18" s="99"/>
      <c r="W18" s="99"/>
      <c r="BD18" s="94" t="s">
        <v>114</v>
      </c>
      <c r="BE18" s="94">
        <v>3</v>
      </c>
      <c r="BF18" s="96" t="s">
        <v>113</v>
      </c>
      <c r="BG18" s="96"/>
      <c r="BH18" s="96"/>
      <c r="BI18" s="96"/>
      <c r="BK18" s="31">
        <v>43</v>
      </c>
      <c r="BL18" s="31">
        <v>35</v>
      </c>
      <c r="BM18" s="31">
        <v>30</v>
      </c>
      <c r="BN18" s="31">
        <v>30</v>
      </c>
      <c r="BO18" s="31">
        <v>30</v>
      </c>
      <c r="BP18" s="31">
        <v>30</v>
      </c>
      <c r="BQ18" s="31">
        <v>30</v>
      </c>
      <c r="BR18" s="31">
        <v>30</v>
      </c>
      <c r="BS18" s="31">
        <v>30</v>
      </c>
      <c r="BT18" s="31">
        <v>30</v>
      </c>
      <c r="BU18" s="31">
        <v>30</v>
      </c>
      <c r="BV18" s="31"/>
      <c r="BW18" s="31"/>
      <c r="BX18" s="96"/>
      <c r="BY18" s="96"/>
      <c r="BZ18" s="96"/>
      <c r="CA18" s="96"/>
      <c r="CB18" s="96"/>
      <c r="CC18" s="96"/>
      <c r="CD18" s="96"/>
      <c r="CE18" s="96"/>
      <c r="CF18" s="96"/>
      <c r="CG18" s="96"/>
      <c r="CH18" s="96"/>
      <c r="CI18" s="96"/>
      <c r="CJ18" s="94" t="s">
        <v>114</v>
      </c>
      <c r="CK18" s="94">
        <v>3</v>
      </c>
      <c r="CL18" s="96" t="s">
        <v>113</v>
      </c>
      <c r="CM18" s="96"/>
      <c r="CN18" s="96"/>
      <c r="CO18" s="96"/>
      <c r="CP18" s="31"/>
      <c r="CQ18" s="31">
        <f t="shared" si="1"/>
        <v>43</v>
      </c>
      <c r="CR18" s="31">
        <f t="shared" si="2"/>
        <v>35</v>
      </c>
      <c r="CS18" s="31">
        <f t="shared" si="3"/>
        <v>30</v>
      </c>
      <c r="CT18" s="31">
        <f t="shared" si="4"/>
        <v>30</v>
      </c>
      <c r="CU18" s="31">
        <f t="shared" si="5"/>
        <v>30</v>
      </c>
      <c r="CV18" s="31">
        <f t="shared" si="6"/>
        <v>30</v>
      </c>
      <c r="CW18" s="31">
        <f t="shared" si="7"/>
        <v>30</v>
      </c>
      <c r="CX18" s="31">
        <f t="shared" si="8"/>
        <v>30</v>
      </c>
      <c r="CY18" s="31">
        <f t="shared" si="9"/>
        <v>30</v>
      </c>
      <c r="CZ18" s="31">
        <f t="shared" si="10"/>
        <v>30</v>
      </c>
      <c r="DA18" s="31">
        <f t="shared" si="11"/>
        <v>30</v>
      </c>
      <c r="DB18" s="31">
        <f t="shared" si="12"/>
        <v>0</v>
      </c>
      <c r="DC18" s="31">
        <f t="shared" si="13"/>
        <v>0</v>
      </c>
      <c r="DD18" s="31">
        <f t="shared" si="14"/>
        <v>0</v>
      </c>
      <c r="DE18" s="31">
        <f t="shared" si="15"/>
        <v>0</v>
      </c>
      <c r="DF18" s="31">
        <f t="shared" si="16"/>
        <v>0</v>
      </c>
      <c r="DG18" s="31">
        <f t="shared" si="17"/>
        <v>0</v>
      </c>
      <c r="DH18" s="31">
        <f t="shared" si="18"/>
        <v>0</v>
      </c>
      <c r="DI18" s="31">
        <f t="shared" si="19"/>
        <v>0</v>
      </c>
      <c r="DJ18" s="31">
        <f t="shared" si="20"/>
        <v>0</v>
      </c>
      <c r="DK18" s="31">
        <f t="shared" si="21"/>
        <v>0</v>
      </c>
      <c r="DL18" s="31">
        <f t="shared" si="22"/>
        <v>0</v>
      </c>
      <c r="DM18" s="31">
        <f t="shared" si="23"/>
        <v>0</v>
      </c>
      <c r="DN18" s="31">
        <f t="shared" si="24"/>
        <v>0</v>
      </c>
      <c r="DO18" s="31">
        <f t="shared" si="25"/>
        <v>0</v>
      </c>
    </row>
    <row r="19" spans="1:119" ht="27.75" customHeight="1" x14ac:dyDescent="0.2">
      <c r="D19" s="31"/>
      <c r="F19" s="26"/>
      <c r="G19" s="101" t="s">
        <v>88</v>
      </c>
      <c r="H19" s="101" t="s">
        <v>90</v>
      </c>
      <c r="I19" s="101" t="s">
        <v>92</v>
      </c>
      <c r="J19" s="101" t="s">
        <v>94</v>
      </c>
      <c r="K19" s="101" t="s">
        <v>96</v>
      </c>
      <c r="L19" s="101" t="s">
        <v>94</v>
      </c>
      <c r="M19" s="101" t="s">
        <v>98</v>
      </c>
      <c r="N19" s="101" t="s">
        <v>100</v>
      </c>
      <c r="O19" s="101" t="s">
        <v>102</v>
      </c>
      <c r="P19" s="101" t="s">
        <v>104</v>
      </c>
      <c r="Q19" s="101" t="s">
        <v>106</v>
      </c>
      <c r="R19" s="101" t="s">
        <v>108</v>
      </c>
      <c r="S19" s="101" t="s">
        <v>110</v>
      </c>
      <c r="T19" s="101" t="s">
        <v>112</v>
      </c>
      <c r="U19" s="101" t="s">
        <v>114</v>
      </c>
      <c r="V19" s="101" t="s">
        <v>108</v>
      </c>
      <c r="W19" s="101" t="s">
        <v>142</v>
      </c>
      <c r="AA19" s="103" t="s">
        <v>1135</v>
      </c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94" t="s">
        <v>140</v>
      </c>
      <c r="BE19" s="94">
        <v>3</v>
      </c>
      <c r="BF19" s="96" t="s">
        <v>107</v>
      </c>
      <c r="BG19" s="96"/>
      <c r="BH19" s="96"/>
      <c r="BI19" s="96"/>
      <c r="BK19" s="31">
        <v>35</v>
      </c>
      <c r="BL19" s="31">
        <v>35</v>
      </c>
      <c r="BM19" s="31">
        <v>35</v>
      </c>
      <c r="BN19" s="31">
        <v>35</v>
      </c>
      <c r="BO19" s="31">
        <v>35</v>
      </c>
      <c r="BP19" s="31">
        <v>35</v>
      </c>
      <c r="BQ19" s="31">
        <v>35</v>
      </c>
      <c r="BR19" s="31">
        <v>35</v>
      </c>
      <c r="BS19" s="31">
        <v>35</v>
      </c>
      <c r="BT19" s="31"/>
      <c r="BU19" s="31"/>
      <c r="BV19" s="31"/>
      <c r="BW19" s="31"/>
      <c r="BX19" s="96"/>
      <c r="BY19" s="96"/>
      <c r="BZ19" s="96"/>
      <c r="CA19" s="96"/>
      <c r="CB19" s="96"/>
      <c r="CC19" s="96"/>
      <c r="CD19" s="96"/>
      <c r="CE19" s="96"/>
      <c r="CF19" s="96"/>
      <c r="CG19" s="96"/>
      <c r="CH19" s="96"/>
      <c r="CI19" s="96"/>
      <c r="CJ19" s="94" t="s">
        <v>140</v>
      </c>
      <c r="CK19" s="94">
        <v>3</v>
      </c>
      <c r="CL19" s="96" t="s">
        <v>107</v>
      </c>
      <c r="CM19" s="96"/>
      <c r="CN19" s="96"/>
      <c r="CO19" s="96"/>
      <c r="CP19" s="31"/>
      <c r="CQ19" s="31">
        <f t="shared" si="1"/>
        <v>35</v>
      </c>
      <c r="CR19" s="31">
        <f t="shared" si="2"/>
        <v>35</v>
      </c>
      <c r="CS19" s="31">
        <f t="shared" si="3"/>
        <v>35</v>
      </c>
      <c r="CT19" s="31">
        <f t="shared" si="4"/>
        <v>35</v>
      </c>
      <c r="CU19" s="31">
        <f t="shared" si="5"/>
        <v>35</v>
      </c>
      <c r="CV19" s="31">
        <f t="shared" si="6"/>
        <v>35</v>
      </c>
      <c r="CW19" s="31">
        <f t="shared" si="7"/>
        <v>35</v>
      </c>
      <c r="CX19" s="31">
        <f t="shared" si="8"/>
        <v>35</v>
      </c>
      <c r="CY19" s="31">
        <f t="shared" si="9"/>
        <v>35</v>
      </c>
      <c r="CZ19" s="31">
        <f t="shared" si="10"/>
        <v>0</v>
      </c>
      <c r="DA19" s="31">
        <f t="shared" si="11"/>
        <v>0</v>
      </c>
      <c r="DB19" s="31">
        <f t="shared" si="12"/>
        <v>0</v>
      </c>
      <c r="DC19" s="31">
        <f t="shared" si="13"/>
        <v>0</v>
      </c>
      <c r="DD19" s="31">
        <f t="shared" si="14"/>
        <v>0</v>
      </c>
      <c r="DE19" s="31">
        <f t="shared" si="15"/>
        <v>0</v>
      </c>
      <c r="DF19" s="31">
        <f t="shared" si="16"/>
        <v>0</v>
      </c>
      <c r="DG19" s="31">
        <f t="shared" si="17"/>
        <v>0</v>
      </c>
      <c r="DH19" s="31">
        <f t="shared" si="18"/>
        <v>0</v>
      </c>
      <c r="DI19" s="31">
        <f t="shared" si="19"/>
        <v>0</v>
      </c>
      <c r="DJ19" s="31">
        <f t="shared" si="20"/>
        <v>0</v>
      </c>
      <c r="DK19" s="31">
        <f t="shared" si="21"/>
        <v>0</v>
      </c>
      <c r="DL19" s="31">
        <f t="shared" si="22"/>
        <v>0</v>
      </c>
      <c r="DM19" s="31">
        <f t="shared" si="23"/>
        <v>0</v>
      </c>
      <c r="DN19" s="31">
        <f t="shared" si="24"/>
        <v>0</v>
      </c>
      <c r="DO19" s="31">
        <f t="shared" si="25"/>
        <v>0</v>
      </c>
    </row>
    <row r="20" spans="1:119" ht="16.899999999999999" customHeight="1" x14ac:dyDescent="0.2">
      <c r="F20" s="26"/>
      <c r="G20" s="101">
        <v>0</v>
      </c>
      <c r="H20" s="101">
        <v>1</v>
      </c>
      <c r="I20" s="101">
        <v>1</v>
      </c>
      <c r="J20" s="101">
        <v>2</v>
      </c>
      <c r="K20" s="101">
        <v>1</v>
      </c>
      <c r="L20" s="101">
        <v>2</v>
      </c>
      <c r="M20" s="101">
        <v>2</v>
      </c>
      <c r="N20" s="101">
        <v>0</v>
      </c>
      <c r="O20" s="101">
        <v>1</v>
      </c>
      <c r="P20" s="101">
        <v>2</v>
      </c>
      <c r="Q20" s="101">
        <v>3</v>
      </c>
      <c r="R20" s="101">
        <v>3</v>
      </c>
      <c r="S20" s="101">
        <v>1</v>
      </c>
      <c r="T20" s="101">
        <v>2</v>
      </c>
      <c r="U20" s="101">
        <v>3</v>
      </c>
      <c r="V20" s="101">
        <v>3</v>
      </c>
      <c r="W20" s="101">
        <v>0</v>
      </c>
      <c r="Y20" s="41"/>
      <c r="AA20" s="104"/>
      <c r="AB20" s="104"/>
      <c r="AC20" s="104"/>
      <c r="AD20" s="104"/>
      <c r="AE20" s="104"/>
      <c r="AF20" s="104"/>
      <c r="AG20" s="104"/>
      <c r="AH20" s="104"/>
      <c r="AI20" s="104"/>
      <c r="AJ20" s="104"/>
      <c r="AK20" s="104"/>
      <c r="AL20" s="104"/>
      <c r="AM20" s="104"/>
      <c r="AN20" s="104"/>
      <c r="AO20" s="104"/>
      <c r="AP20" s="104"/>
      <c r="AQ20" s="104"/>
      <c r="AR20" s="104"/>
      <c r="AS20" s="104"/>
      <c r="AT20" s="104"/>
      <c r="AU20" s="104"/>
      <c r="AV20" s="104"/>
      <c r="AW20" s="104"/>
      <c r="AX20" s="104"/>
      <c r="AY20" s="104"/>
      <c r="AZ20" s="104"/>
      <c r="BA20" s="104"/>
      <c r="BB20" s="104"/>
      <c r="BC20" s="104"/>
      <c r="BD20" s="94" t="s">
        <v>142</v>
      </c>
      <c r="BE20" s="95">
        <v>0</v>
      </c>
      <c r="BF20" s="96" t="s">
        <v>141</v>
      </c>
      <c r="BG20" s="96"/>
      <c r="BH20" s="96"/>
      <c r="BI20" s="96"/>
      <c r="BK20" s="31">
        <v>16</v>
      </c>
      <c r="BL20" s="31">
        <v>16</v>
      </c>
      <c r="BM20" s="31">
        <v>16</v>
      </c>
      <c r="BN20" s="31">
        <v>16</v>
      </c>
      <c r="BO20" s="31">
        <v>16</v>
      </c>
      <c r="BP20" s="31">
        <v>16</v>
      </c>
      <c r="BQ20" s="31">
        <v>16</v>
      </c>
      <c r="BR20" s="31">
        <v>16</v>
      </c>
      <c r="BS20" s="31"/>
      <c r="BT20" s="31"/>
      <c r="BU20" s="31"/>
      <c r="BV20" s="31"/>
      <c r="BW20" s="31"/>
      <c r="BX20" s="96"/>
      <c r="BY20" s="96"/>
      <c r="BZ20" s="96"/>
      <c r="CA20" s="96"/>
      <c r="CB20" s="96"/>
      <c r="CC20" s="96"/>
      <c r="CD20" s="96"/>
      <c r="CE20" s="96"/>
      <c r="CF20" s="96"/>
      <c r="CG20" s="96"/>
      <c r="CH20" s="96"/>
      <c r="CI20" s="96"/>
      <c r="CJ20" s="94" t="s">
        <v>142</v>
      </c>
      <c r="CK20" s="95">
        <v>0</v>
      </c>
      <c r="CL20" s="96" t="s">
        <v>141</v>
      </c>
      <c r="CM20" s="96"/>
      <c r="CN20" s="96"/>
      <c r="CO20" s="96"/>
      <c r="CP20" s="31"/>
      <c r="CQ20" s="31">
        <f t="shared" si="1"/>
        <v>16</v>
      </c>
      <c r="CR20" s="31">
        <f t="shared" si="2"/>
        <v>16</v>
      </c>
      <c r="CS20" s="31">
        <f t="shared" si="3"/>
        <v>16</v>
      </c>
      <c r="CT20" s="31">
        <f t="shared" si="4"/>
        <v>16</v>
      </c>
      <c r="CU20" s="31">
        <f t="shared" si="5"/>
        <v>16</v>
      </c>
      <c r="CV20" s="31">
        <f t="shared" si="6"/>
        <v>16</v>
      </c>
      <c r="CW20" s="31">
        <f t="shared" si="7"/>
        <v>16</v>
      </c>
      <c r="CX20" s="31">
        <f t="shared" si="8"/>
        <v>16</v>
      </c>
      <c r="CY20" s="31">
        <f t="shared" si="9"/>
        <v>0</v>
      </c>
      <c r="CZ20" s="31">
        <f t="shared" si="10"/>
        <v>0</v>
      </c>
      <c r="DA20" s="31">
        <f t="shared" si="11"/>
        <v>0</v>
      </c>
      <c r="DB20" s="31">
        <f t="shared" si="12"/>
        <v>0</v>
      </c>
      <c r="DC20" s="31">
        <f t="shared" si="13"/>
        <v>0</v>
      </c>
      <c r="DD20" s="31">
        <f t="shared" si="14"/>
        <v>0</v>
      </c>
      <c r="DE20" s="31">
        <f t="shared" si="15"/>
        <v>0</v>
      </c>
      <c r="DF20" s="31">
        <f t="shared" si="16"/>
        <v>0</v>
      </c>
      <c r="DG20" s="31">
        <f t="shared" si="17"/>
        <v>0</v>
      </c>
      <c r="DH20" s="31">
        <f t="shared" si="18"/>
        <v>0</v>
      </c>
      <c r="DI20" s="31">
        <f t="shared" si="19"/>
        <v>0</v>
      </c>
      <c r="DJ20" s="31">
        <f t="shared" si="20"/>
        <v>0</v>
      </c>
      <c r="DK20" s="31">
        <f t="shared" si="21"/>
        <v>0</v>
      </c>
      <c r="DL20" s="31">
        <f t="shared" si="22"/>
        <v>0</v>
      </c>
      <c r="DM20" s="31">
        <f t="shared" si="23"/>
        <v>0</v>
      </c>
      <c r="DN20" s="31">
        <f t="shared" si="24"/>
        <v>0</v>
      </c>
      <c r="DO20" s="31">
        <f t="shared" si="25"/>
        <v>0</v>
      </c>
    </row>
    <row r="21" spans="1:119" x14ac:dyDescent="0.2">
      <c r="A21" s="42" t="s">
        <v>143</v>
      </c>
      <c r="B21" s="42" t="s">
        <v>144</v>
      </c>
      <c r="C21" s="42" t="s">
        <v>145</v>
      </c>
      <c r="D21" s="42" t="s">
        <v>146</v>
      </c>
      <c r="E21" s="42" t="s">
        <v>147</v>
      </c>
      <c r="F21" s="43" t="s">
        <v>148</v>
      </c>
      <c r="G21" s="102" t="s">
        <v>87</v>
      </c>
      <c r="H21" s="102" t="s">
        <v>89</v>
      </c>
      <c r="I21" s="102" t="s">
        <v>91</v>
      </c>
      <c r="J21" s="102" t="s">
        <v>93</v>
      </c>
      <c r="K21" s="102" t="s">
        <v>95</v>
      </c>
      <c r="L21" s="102" t="s">
        <v>93</v>
      </c>
      <c r="M21" s="102" t="s">
        <v>97</v>
      </c>
      <c r="N21" s="102" t="s">
        <v>99</v>
      </c>
      <c r="O21" s="102" t="s">
        <v>101</v>
      </c>
      <c r="P21" s="102" t="s">
        <v>103</v>
      </c>
      <c r="Q21" s="102" t="s">
        <v>105</v>
      </c>
      <c r="R21" s="102" t="s">
        <v>107</v>
      </c>
      <c r="S21" s="102" t="s">
        <v>109</v>
      </c>
      <c r="T21" s="102" t="s">
        <v>111</v>
      </c>
      <c r="U21" s="102" t="s">
        <v>113</v>
      </c>
      <c r="V21" s="102" t="s">
        <v>107</v>
      </c>
      <c r="W21" s="102" t="s">
        <v>141</v>
      </c>
      <c r="X21" s="109" t="s">
        <v>1138</v>
      </c>
      <c r="Y21" s="109" t="s">
        <v>1139</v>
      </c>
      <c r="Z21" s="44" t="s">
        <v>1134</v>
      </c>
      <c r="AA21" s="13">
        <v>46113</v>
      </c>
      <c r="AB21" s="13">
        <v>46143</v>
      </c>
      <c r="AC21" s="13">
        <v>46174</v>
      </c>
      <c r="AD21" s="13">
        <v>46204</v>
      </c>
      <c r="AE21" s="13">
        <v>46235</v>
      </c>
      <c r="AF21" s="13">
        <v>46266</v>
      </c>
      <c r="AG21" s="13">
        <v>46296</v>
      </c>
      <c r="AH21" s="13">
        <v>46327</v>
      </c>
      <c r="AI21" s="13">
        <v>46357</v>
      </c>
      <c r="AJ21" s="13">
        <v>46388</v>
      </c>
      <c r="AK21" s="13">
        <v>46419</v>
      </c>
      <c r="AL21" s="13">
        <v>46447</v>
      </c>
      <c r="AM21" s="13">
        <v>46478</v>
      </c>
      <c r="AN21" s="13">
        <v>46508</v>
      </c>
      <c r="AO21" s="13">
        <v>46539</v>
      </c>
      <c r="AP21" s="13">
        <v>46569</v>
      </c>
      <c r="AQ21" s="13">
        <v>46600</v>
      </c>
      <c r="AR21" s="13">
        <v>46631</v>
      </c>
      <c r="AS21" s="13">
        <v>46661</v>
      </c>
      <c r="AT21" s="13">
        <v>46692</v>
      </c>
      <c r="AU21" s="13">
        <v>46722</v>
      </c>
      <c r="AV21" s="13">
        <v>46753</v>
      </c>
      <c r="AW21" s="13">
        <v>46784</v>
      </c>
      <c r="AX21" s="13">
        <v>46813</v>
      </c>
      <c r="AY21" s="13">
        <v>46844</v>
      </c>
      <c r="AZ21" s="13">
        <v>46874</v>
      </c>
      <c r="BA21" s="13">
        <v>46905</v>
      </c>
      <c r="BB21" s="13">
        <v>46935</v>
      </c>
      <c r="BC21" s="13">
        <v>46966</v>
      </c>
      <c r="BD21" s="97" t="s">
        <v>86</v>
      </c>
      <c r="BE21" s="97" t="s">
        <v>85</v>
      </c>
      <c r="BF21" s="97" t="s">
        <v>1117</v>
      </c>
      <c r="BG21" s="105">
        <v>46113</v>
      </c>
      <c r="BH21" s="105">
        <v>46143</v>
      </c>
      <c r="BI21" s="105">
        <v>46174</v>
      </c>
      <c r="BJ21" s="105">
        <v>46204</v>
      </c>
      <c r="BK21" s="105">
        <v>46235</v>
      </c>
      <c r="BL21" s="105">
        <v>46266</v>
      </c>
      <c r="BM21" s="105">
        <v>46296</v>
      </c>
      <c r="BN21" s="105">
        <v>46327</v>
      </c>
      <c r="BO21" s="105">
        <v>46357</v>
      </c>
      <c r="BP21" s="105">
        <v>46388</v>
      </c>
      <c r="BQ21" s="105">
        <v>46419</v>
      </c>
      <c r="BR21" s="105">
        <v>46447</v>
      </c>
      <c r="BS21" s="105">
        <v>46478</v>
      </c>
      <c r="BT21" s="105">
        <v>46508</v>
      </c>
      <c r="BU21" s="105">
        <v>46539</v>
      </c>
      <c r="BV21" s="105">
        <v>46569</v>
      </c>
      <c r="BW21" s="105">
        <v>46600</v>
      </c>
      <c r="BX21" s="105">
        <v>46631</v>
      </c>
      <c r="BY21" s="105">
        <v>46661</v>
      </c>
      <c r="BZ21" s="105">
        <v>46692</v>
      </c>
      <c r="CA21" s="105">
        <v>46722</v>
      </c>
      <c r="CB21" s="105">
        <v>46753</v>
      </c>
      <c r="CC21" s="105">
        <v>46784</v>
      </c>
      <c r="CD21" s="105">
        <v>46813</v>
      </c>
      <c r="CE21" s="105">
        <v>46844</v>
      </c>
      <c r="CF21" s="105">
        <v>46874</v>
      </c>
      <c r="CG21" s="105">
        <v>46905</v>
      </c>
      <c r="CH21" s="105">
        <v>46935</v>
      </c>
      <c r="CI21" s="105">
        <v>46966</v>
      </c>
      <c r="CJ21" s="97" t="s">
        <v>86</v>
      </c>
      <c r="CK21" s="97" t="s">
        <v>85</v>
      </c>
      <c r="CL21" s="97" t="s">
        <v>1117</v>
      </c>
      <c r="CM21" s="105">
        <v>46113</v>
      </c>
      <c r="CN21" s="105">
        <v>46143</v>
      </c>
      <c r="CO21" s="105">
        <v>46174</v>
      </c>
      <c r="CP21" s="105">
        <v>46204</v>
      </c>
      <c r="CQ21" s="105">
        <v>46235</v>
      </c>
      <c r="CR21" s="105">
        <v>46266</v>
      </c>
      <c r="CS21" s="105">
        <v>46296</v>
      </c>
      <c r="CT21" s="105">
        <v>46327</v>
      </c>
      <c r="CU21" s="105">
        <v>46357</v>
      </c>
      <c r="CV21" s="105">
        <v>46388</v>
      </c>
      <c r="CW21" s="105">
        <v>46419</v>
      </c>
      <c r="CX21" s="105">
        <v>46447</v>
      </c>
      <c r="CY21" s="105">
        <v>46478</v>
      </c>
      <c r="CZ21" s="105">
        <v>46508</v>
      </c>
      <c r="DA21" s="105">
        <v>46539</v>
      </c>
      <c r="DB21" s="105">
        <v>46569</v>
      </c>
      <c r="DC21" s="105">
        <v>46600</v>
      </c>
      <c r="DD21" s="105">
        <v>46631</v>
      </c>
      <c r="DE21" s="105">
        <v>46661</v>
      </c>
      <c r="DF21" s="105">
        <v>46692</v>
      </c>
      <c r="DG21" s="105">
        <v>46722</v>
      </c>
      <c r="DH21" s="105">
        <v>46753</v>
      </c>
      <c r="DI21" s="105">
        <v>46784</v>
      </c>
      <c r="DJ21" s="105">
        <v>46813</v>
      </c>
      <c r="DK21" s="105">
        <v>46844</v>
      </c>
      <c r="DL21" s="105">
        <v>46874</v>
      </c>
      <c r="DM21" s="105">
        <v>46905</v>
      </c>
      <c r="DN21" s="105">
        <v>46935</v>
      </c>
      <c r="DO21" s="105">
        <v>46966</v>
      </c>
    </row>
    <row r="22" spans="1:119" x14ac:dyDescent="0.2">
      <c r="A22" s="45">
        <v>1</v>
      </c>
      <c r="B22" s="46" t="s">
        <v>99</v>
      </c>
      <c r="C22" s="47">
        <v>410883564</v>
      </c>
      <c r="D22" s="45" t="s">
        <v>115</v>
      </c>
      <c r="E22" s="45" t="s">
        <v>162</v>
      </c>
      <c r="F22" s="48">
        <v>1</v>
      </c>
      <c r="G22" s="100">
        <v>0</v>
      </c>
      <c r="H22" s="100">
        <v>0</v>
      </c>
      <c r="I22" s="100">
        <v>0</v>
      </c>
      <c r="J22" s="100">
        <v>0</v>
      </c>
      <c r="K22" s="100">
        <v>0</v>
      </c>
      <c r="L22" s="100">
        <v>0</v>
      </c>
      <c r="M22" s="100">
        <v>0</v>
      </c>
      <c r="N22" s="100">
        <v>1</v>
      </c>
      <c r="O22" s="100">
        <v>0</v>
      </c>
      <c r="P22" s="100">
        <v>0</v>
      </c>
      <c r="Q22" s="100">
        <v>0</v>
      </c>
      <c r="R22" s="100">
        <v>0</v>
      </c>
      <c r="S22" s="100">
        <v>0</v>
      </c>
      <c r="T22" s="100">
        <v>0</v>
      </c>
      <c r="U22" s="100">
        <v>0</v>
      </c>
      <c r="V22" s="100">
        <v>0</v>
      </c>
      <c r="W22" s="100">
        <v>0</v>
      </c>
      <c r="X22" s="45" t="s">
        <v>4</v>
      </c>
      <c r="Y22" s="49">
        <v>0</v>
      </c>
      <c r="Z22" s="45">
        <v>0</v>
      </c>
      <c r="AA22" s="45">
        <v>0</v>
      </c>
      <c r="AB22" s="45">
        <v>0</v>
      </c>
      <c r="AC22" s="45">
        <v>0</v>
      </c>
      <c r="AD22" s="45">
        <v>0</v>
      </c>
      <c r="AE22" s="45">
        <v>0</v>
      </c>
      <c r="AF22" s="45">
        <v>0</v>
      </c>
      <c r="AG22" s="45">
        <v>0</v>
      </c>
      <c r="AH22" s="45">
        <v>0</v>
      </c>
      <c r="AI22" s="45">
        <v>0</v>
      </c>
      <c r="AJ22" s="45">
        <v>0</v>
      </c>
      <c r="AK22" s="45">
        <v>0</v>
      </c>
      <c r="AL22" s="45">
        <v>0</v>
      </c>
      <c r="AM22" s="45">
        <v>0</v>
      </c>
      <c r="AN22" s="45">
        <v>0</v>
      </c>
      <c r="AO22" s="45"/>
      <c r="AP22" s="45"/>
      <c r="AQ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93"/>
      <c r="BE22" s="93"/>
      <c r="BF22" s="93"/>
      <c r="BG22" s="93"/>
      <c r="BH22" s="93"/>
      <c r="BI22" s="93"/>
      <c r="BJ22" s="93"/>
      <c r="BK22" s="93">
        <f>SUM($Z22:AD22)-SUM($CM22:CQ22)</f>
        <v>-16</v>
      </c>
      <c r="BL22" s="93">
        <f>SUM($Z22:AE22)-SUM($CM22:CR22)</f>
        <v>-32</v>
      </c>
      <c r="BM22" s="93">
        <f>SUM($Z22:AF22)-SUM($CM22:CS22)</f>
        <v>-48</v>
      </c>
      <c r="BN22" s="93">
        <f>SUM($Z22:AG22)-SUM($CM22:CT22)</f>
        <v>-64</v>
      </c>
      <c r="BO22" s="93">
        <f>SUM($Z22:AH22)-SUM($CM22:CU22)</f>
        <v>-72</v>
      </c>
      <c r="BP22" s="93">
        <f>SUM($Z22:AI22)-SUM($CM22:CV22)</f>
        <v>-80</v>
      </c>
      <c r="BQ22" s="93">
        <f>SUM($Z22:AJ22)-SUM($CM22:CW22)</f>
        <v>-88</v>
      </c>
      <c r="BR22" s="93">
        <f>SUM($Z22:AK22)-SUM($CM22:CX22)</f>
        <v>-96</v>
      </c>
      <c r="BS22" s="93">
        <f>SUM($Z22:AL22)-SUM($CM22:CY22)</f>
        <v>-104</v>
      </c>
      <c r="BT22" s="93">
        <f>SUM($Z22:AM22)-SUM($CM22:CZ22)</f>
        <v>-112</v>
      </c>
      <c r="BU22" s="93">
        <f>SUM($Z22:AN22)-SUM($CM22:DA22)</f>
        <v>-120</v>
      </c>
      <c r="BV22" s="93">
        <f>SUM($Z22:AO22)-SUM($CM22:DB22)</f>
        <v>-128</v>
      </c>
      <c r="BW22" s="93">
        <f>SUM($Z22:AP22)-SUM($CM22:DC22)</f>
        <v>-128</v>
      </c>
      <c r="BX22" s="93">
        <f>SUM($Z22:AQ22)-SUM($CM22:DD22)</f>
        <v>-128</v>
      </c>
      <c r="BY22" s="93">
        <f>SUM($Z22:AR22)-SUM($CM22:DE22)</f>
        <v>-128</v>
      </c>
      <c r="BZ22" s="93">
        <f>SUM($Z22:AS22)-SUM($CM22:DF22)</f>
        <v>-128</v>
      </c>
      <c r="CA22" s="93">
        <f>SUM($Z22:AT22)-SUM($CM22:DG22)</f>
        <v>-128</v>
      </c>
      <c r="CB22" s="93">
        <f>SUM($Z22:AU22)-SUM($CM22:DH22)</f>
        <v>-128</v>
      </c>
      <c r="CC22" s="93">
        <f>SUM($Z22:AV22)-SUM($CM22:DI22)</f>
        <v>-128</v>
      </c>
      <c r="CD22" s="93">
        <f>SUM($Z22:AW22)-SUM($CM22:DJ22)</f>
        <v>-128</v>
      </c>
      <c r="CE22" s="93">
        <f>SUM($Z22:AX22)-SUM($CM22:DK22)</f>
        <v>-128</v>
      </c>
      <c r="CF22" s="93">
        <f>SUM($Z22:AY22)-SUM($CM22:DL22)</f>
        <v>-128</v>
      </c>
      <c r="CG22" s="93">
        <f>SUM($Z22:AZ22)-SUM($CM22:DM22)</f>
        <v>-128</v>
      </c>
      <c r="CH22" s="93">
        <f>SUM($Z22:BA22)-SUM($CM22:DN22)</f>
        <v>-128</v>
      </c>
      <c r="CI22" s="93">
        <f>SUM($Z22:BB22)-SUM($CM22:DO22)</f>
        <v>-128</v>
      </c>
      <c r="CJ22" s="93"/>
      <c r="CK22" s="93"/>
      <c r="CL22" s="93"/>
      <c r="CM22" s="93"/>
      <c r="CN22" s="93" cm="1">
        <f t="array" ref="CN22">SUMPRODUCT(TRANSPOSE(CN$4:CN$20),$G22:$W22)</f>
        <v>0</v>
      </c>
      <c r="CO22" s="93" cm="1">
        <f t="array" ref="CO22">SUMPRODUCT(TRANSPOSE(CO$4:CO$20),$G22:$W22)</f>
        <v>0</v>
      </c>
      <c r="CP22" s="93" cm="1">
        <f t="array" ref="CP22">SUMPRODUCT(TRANSPOSE(CP$4:CP$20),$G22:$W22)</f>
        <v>0</v>
      </c>
      <c r="CQ22" s="93" cm="1">
        <f t="array" ref="CQ22">SUMPRODUCT(TRANSPOSE(CQ$4:CQ$20),$G22:$W22)</f>
        <v>16</v>
      </c>
      <c r="CR22" s="93" cm="1">
        <f t="array" ref="CR22">SUMPRODUCT(TRANSPOSE(CR$4:CR$20),$G22:$W22)</f>
        <v>16</v>
      </c>
      <c r="CS22" s="93" cm="1">
        <f t="array" ref="CS22">SUMPRODUCT(TRANSPOSE(CS$4:CS$20),$G22:$W22)</f>
        <v>16</v>
      </c>
      <c r="CT22" s="93" cm="1">
        <f t="array" ref="CT22">SUMPRODUCT(TRANSPOSE(CT$4:CT$20),$G22:$W22)</f>
        <v>16</v>
      </c>
      <c r="CU22" s="93" cm="1">
        <f t="array" ref="CU22">SUMPRODUCT(TRANSPOSE(CU$4:CU$20),$G22:$W22)</f>
        <v>8</v>
      </c>
      <c r="CV22" s="93" cm="1">
        <f t="array" ref="CV22">SUMPRODUCT(TRANSPOSE(CV$4:CV$20),$G22:$W22)</f>
        <v>8</v>
      </c>
      <c r="CW22" s="93" cm="1">
        <f t="array" ref="CW22">SUMPRODUCT(TRANSPOSE(CW$4:CW$20),$G22:$W22)</f>
        <v>8</v>
      </c>
      <c r="CX22" s="93" cm="1">
        <f t="array" ref="CX22">SUMPRODUCT(TRANSPOSE(CX$4:CX$20),$G22:$W22)</f>
        <v>8</v>
      </c>
      <c r="CY22" s="93" cm="1">
        <f t="array" ref="CY22">SUMPRODUCT(TRANSPOSE(CY$4:CY$20),$G22:$W22)</f>
        <v>8</v>
      </c>
      <c r="CZ22" s="93" cm="1">
        <f t="array" ref="CZ22">SUMPRODUCT(TRANSPOSE(CZ$4:CZ$20),$G22:$W22)</f>
        <v>8</v>
      </c>
      <c r="DA22" s="93" cm="1">
        <f t="array" ref="DA22">SUMPRODUCT(TRANSPOSE(DA$4:DA$20),$G22:$W22)</f>
        <v>8</v>
      </c>
      <c r="DB22" s="93" cm="1">
        <f t="array" ref="DB22">SUMPRODUCT(TRANSPOSE(DB$4:DB$20),$G22:$W22)</f>
        <v>8</v>
      </c>
      <c r="DC22" s="93" cm="1">
        <f t="array" ref="DC22">SUMPRODUCT(TRANSPOSE(DC$4:DC$20),$G22:$W22)</f>
        <v>0</v>
      </c>
      <c r="DD22" s="93" cm="1">
        <f t="array" ref="DD22">SUMPRODUCT(TRANSPOSE(DD$4:DD$20),$G22:$W22)</f>
        <v>0</v>
      </c>
      <c r="DE22" s="93" cm="1">
        <f t="array" ref="DE22">SUMPRODUCT(TRANSPOSE(DE$4:DE$20),$G22:$W22)</f>
        <v>0</v>
      </c>
      <c r="DF22" s="93" cm="1">
        <f t="array" ref="DF22">SUMPRODUCT(TRANSPOSE(DF$4:DF$20),$G22:$W22)</f>
        <v>0</v>
      </c>
      <c r="DG22" s="93" cm="1">
        <f t="array" ref="DG22">SUMPRODUCT(TRANSPOSE(DG$4:DG$20),$G22:$W22)</f>
        <v>0</v>
      </c>
      <c r="DH22" s="93" cm="1">
        <f t="array" ref="DH22">SUMPRODUCT(TRANSPOSE(DH$4:DH$20),$G22:$W22)</f>
        <v>0</v>
      </c>
      <c r="DI22" s="93" cm="1">
        <f t="array" ref="DI22">SUMPRODUCT(TRANSPOSE(DI$4:DI$20),$G22:$W22)</f>
        <v>0</v>
      </c>
      <c r="DJ22" s="93" cm="1">
        <f t="array" ref="DJ22">SUMPRODUCT(TRANSPOSE(DJ$4:DJ$20),$G22:$W22)</f>
        <v>0</v>
      </c>
      <c r="DK22" s="93" cm="1">
        <f t="array" ref="DK22">SUMPRODUCT(TRANSPOSE(DK$4:DK$20),$G22:$W22)</f>
        <v>0</v>
      </c>
      <c r="DL22" s="93" cm="1">
        <f t="array" ref="DL22">SUMPRODUCT(TRANSPOSE(DL$4:DL$20),$G22:$W22)</f>
        <v>0</v>
      </c>
      <c r="DM22" s="93" cm="1">
        <f t="array" ref="DM22">SUMPRODUCT(TRANSPOSE(DM$4:DM$20),$G22:$W22)</f>
        <v>0</v>
      </c>
      <c r="DN22" s="93" cm="1">
        <f t="array" ref="DN22">SUMPRODUCT(TRANSPOSE(DN$4:DN$20),$G22:$W22)</f>
        <v>0</v>
      </c>
      <c r="DO22" s="93" cm="1">
        <f t="array" ref="DO22">SUMPRODUCT(TRANSPOSE(DO$4:DO$20),$G22:$W22)</f>
        <v>0</v>
      </c>
    </row>
    <row r="23" spans="1:119" x14ac:dyDescent="0.2">
      <c r="A23" s="45">
        <f t="shared" ref="A23:A86" si="26">A22+1</f>
        <v>2</v>
      </c>
      <c r="B23" s="46" t="s">
        <v>163</v>
      </c>
      <c r="C23" s="45">
        <v>418493430</v>
      </c>
      <c r="D23" s="45" t="s">
        <v>164</v>
      </c>
      <c r="E23" s="45" t="s">
        <v>162</v>
      </c>
      <c r="F23" s="48">
        <v>1</v>
      </c>
      <c r="G23" s="100">
        <v>0</v>
      </c>
      <c r="H23" s="100">
        <v>0</v>
      </c>
      <c r="I23" s="100">
        <v>0</v>
      </c>
      <c r="J23" s="100">
        <v>0</v>
      </c>
      <c r="K23" s="100">
        <v>0</v>
      </c>
      <c r="L23" s="100">
        <v>0</v>
      </c>
      <c r="M23" s="100">
        <v>0</v>
      </c>
      <c r="N23" s="100">
        <v>0</v>
      </c>
      <c r="O23" s="100">
        <v>0</v>
      </c>
      <c r="P23" s="100">
        <v>0</v>
      </c>
      <c r="Q23" s="100">
        <v>0</v>
      </c>
      <c r="R23" s="100">
        <v>0</v>
      </c>
      <c r="S23" s="100">
        <v>0</v>
      </c>
      <c r="T23" s="100">
        <v>0</v>
      </c>
      <c r="U23" s="100">
        <v>0</v>
      </c>
      <c r="V23" s="100">
        <v>0</v>
      </c>
      <c r="W23" s="100">
        <v>1</v>
      </c>
      <c r="X23" s="45" t="s">
        <v>34</v>
      </c>
      <c r="Y23" s="49">
        <v>41.1</v>
      </c>
      <c r="Z23" s="45">
        <v>231</v>
      </c>
      <c r="AA23" s="45">
        <v>0</v>
      </c>
      <c r="AB23" s="45">
        <v>0</v>
      </c>
      <c r="AC23" s="45">
        <v>0</v>
      </c>
      <c r="AD23" s="45">
        <v>0</v>
      </c>
      <c r="AE23" s="45">
        <v>0</v>
      </c>
      <c r="AF23" s="45">
        <v>0</v>
      </c>
      <c r="AG23" s="45">
        <v>0</v>
      </c>
      <c r="AH23" s="45">
        <v>0</v>
      </c>
      <c r="AI23" s="45">
        <v>0</v>
      </c>
      <c r="AJ23" s="45">
        <v>0</v>
      </c>
      <c r="AK23" s="45">
        <v>0</v>
      </c>
      <c r="AL23" s="45">
        <v>0</v>
      </c>
      <c r="AM23" s="45">
        <v>0</v>
      </c>
      <c r="AN23" s="45">
        <v>0</v>
      </c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93"/>
      <c r="BE23" s="93"/>
      <c r="BF23" s="93"/>
      <c r="BG23" s="93"/>
      <c r="BH23" s="93"/>
      <c r="BI23" s="93"/>
      <c r="BJ23" s="93"/>
      <c r="BK23" s="93">
        <f>SUM($Z23:AD23)-SUM($CM23:CQ23)</f>
        <v>215</v>
      </c>
      <c r="BL23" s="93">
        <f>SUM($Z23:AE23)-SUM($CM23:CR23)</f>
        <v>199</v>
      </c>
      <c r="BM23" s="93">
        <f>SUM($Z23:AF23)-SUM($CM23:CS23)</f>
        <v>183</v>
      </c>
      <c r="BN23" s="93">
        <f>SUM($Z23:AG23)-SUM($CM23:CT23)</f>
        <v>167</v>
      </c>
      <c r="BO23" s="93">
        <f>SUM($Z23:AH23)-SUM($CM23:CU23)</f>
        <v>151</v>
      </c>
      <c r="BP23" s="93">
        <f>SUM($Z23:AI23)-SUM($CM23:CV23)</f>
        <v>135</v>
      </c>
      <c r="BQ23" s="93">
        <f>SUM($Z23:AJ23)-SUM($CM23:CW23)</f>
        <v>119</v>
      </c>
      <c r="BR23" s="93">
        <f>SUM($Z23:AK23)-SUM($CM23:CX23)</f>
        <v>103</v>
      </c>
      <c r="BS23" s="93">
        <f>SUM($Z23:AL23)-SUM($CM23:CY23)</f>
        <v>103</v>
      </c>
      <c r="BT23" s="93">
        <f>SUM($Z23:AM23)-SUM($CM23:CZ23)</f>
        <v>103</v>
      </c>
      <c r="BU23" s="93">
        <f>SUM($Z23:AN23)-SUM($CM23:DA23)</f>
        <v>103</v>
      </c>
      <c r="BV23" s="93">
        <f>SUM($Z23:AO23)-SUM($CM23:DB23)</f>
        <v>103</v>
      </c>
      <c r="BW23" s="93">
        <f>SUM($Z23:AP23)-SUM($CM23:DC23)</f>
        <v>103</v>
      </c>
      <c r="BX23" s="93">
        <f>SUM($Z23:AQ23)-SUM($CM23:DD23)</f>
        <v>103</v>
      </c>
      <c r="BY23" s="93">
        <f>SUM($Z23:AR23)-SUM($CM23:DE23)</f>
        <v>103</v>
      </c>
      <c r="BZ23" s="93">
        <f>SUM($Z23:AS23)-SUM($CM23:DF23)</f>
        <v>103</v>
      </c>
      <c r="CA23" s="93">
        <f>SUM($Z23:AT23)-SUM($CM23:DG23)</f>
        <v>103</v>
      </c>
      <c r="CB23" s="93">
        <f>SUM($Z23:AU23)-SUM($CM23:DH23)</f>
        <v>103</v>
      </c>
      <c r="CC23" s="93">
        <f>SUM($Z23:AV23)-SUM($CM23:DI23)</f>
        <v>103</v>
      </c>
      <c r="CD23" s="93">
        <f>SUM($Z23:AW23)-SUM($CM23:DJ23)</f>
        <v>103</v>
      </c>
      <c r="CE23" s="93">
        <f>SUM($Z23:AX23)-SUM($CM23:DK23)</f>
        <v>103</v>
      </c>
      <c r="CF23" s="93">
        <f>SUM($Z23:AY23)-SUM($CM23:DL23)</f>
        <v>103</v>
      </c>
      <c r="CG23" s="93">
        <f>SUM($Z23:AZ23)-SUM($CM23:DM23)</f>
        <v>103</v>
      </c>
      <c r="CH23" s="93">
        <f>SUM($Z23:BA23)-SUM($CM23:DN23)</f>
        <v>103</v>
      </c>
      <c r="CI23" s="93">
        <f>SUM($Z23:BB23)-SUM($CM23:DO23)</f>
        <v>103</v>
      </c>
      <c r="CJ23" s="93"/>
      <c r="CK23" s="93"/>
      <c r="CL23" s="93"/>
      <c r="CM23" s="93"/>
      <c r="CN23" s="93" cm="1">
        <f t="array" ref="CN23">SUMPRODUCT(TRANSPOSE(CN$4:CN$20),$G23:$W23)</f>
        <v>0</v>
      </c>
      <c r="CO23" s="93" cm="1">
        <f t="array" ref="CO23">SUMPRODUCT(TRANSPOSE(CO$4:CO$20),$G23:$W23)</f>
        <v>0</v>
      </c>
      <c r="CP23" s="93" cm="1">
        <f t="array" ref="CP23">SUMPRODUCT(TRANSPOSE(CP$4:CP$20),$G23:$W23)</f>
        <v>0</v>
      </c>
      <c r="CQ23" s="93" cm="1">
        <f t="array" ref="CQ23">SUMPRODUCT(TRANSPOSE(CQ$4:CQ$20),$G23:$W23)</f>
        <v>16</v>
      </c>
      <c r="CR23" s="93" cm="1">
        <f t="array" ref="CR23">SUMPRODUCT(TRANSPOSE(CR$4:CR$20),$G23:$W23)</f>
        <v>16</v>
      </c>
      <c r="CS23" s="93" cm="1">
        <f t="array" ref="CS23">SUMPRODUCT(TRANSPOSE(CS$4:CS$20),$G23:$W23)</f>
        <v>16</v>
      </c>
      <c r="CT23" s="93" cm="1">
        <f t="array" ref="CT23">SUMPRODUCT(TRANSPOSE(CT$4:CT$20),$G23:$W23)</f>
        <v>16</v>
      </c>
      <c r="CU23" s="93" cm="1">
        <f t="array" ref="CU23">SUMPRODUCT(TRANSPOSE(CU$4:CU$20),$G23:$W23)</f>
        <v>16</v>
      </c>
      <c r="CV23" s="93" cm="1">
        <f t="array" ref="CV23">SUMPRODUCT(TRANSPOSE(CV$4:CV$20),$G23:$W23)</f>
        <v>16</v>
      </c>
      <c r="CW23" s="93" cm="1">
        <f t="array" ref="CW23">SUMPRODUCT(TRANSPOSE(CW$4:CW$20),$G23:$W23)</f>
        <v>16</v>
      </c>
      <c r="CX23" s="93" cm="1">
        <f t="array" ref="CX23">SUMPRODUCT(TRANSPOSE(CX$4:CX$20),$G23:$W23)</f>
        <v>16</v>
      </c>
      <c r="CY23" s="93" cm="1">
        <f t="array" ref="CY23">SUMPRODUCT(TRANSPOSE(CY$4:CY$20),$G23:$W23)</f>
        <v>0</v>
      </c>
      <c r="CZ23" s="93" cm="1">
        <f t="array" ref="CZ23">SUMPRODUCT(TRANSPOSE(CZ$4:CZ$20),$G23:$W23)</f>
        <v>0</v>
      </c>
      <c r="DA23" s="93" cm="1">
        <f t="array" ref="DA23">SUMPRODUCT(TRANSPOSE(DA$4:DA$20),$G23:$W23)</f>
        <v>0</v>
      </c>
      <c r="DB23" s="93" cm="1">
        <f t="array" ref="DB23">SUMPRODUCT(TRANSPOSE(DB$4:DB$20),$G23:$W23)</f>
        <v>0</v>
      </c>
      <c r="DC23" s="93" cm="1">
        <f t="array" ref="DC23">SUMPRODUCT(TRANSPOSE(DC$4:DC$20),$G23:$W23)</f>
        <v>0</v>
      </c>
      <c r="DD23" s="93" cm="1">
        <f t="array" ref="DD23">SUMPRODUCT(TRANSPOSE(DD$4:DD$20),$G23:$W23)</f>
        <v>0</v>
      </c>
      <c r="DE23" s="93" cm="1">
        <f t="array" ref="DE23">SUMPRODUCT(TRANSPOSE(DE$4:DE$20),$G23:$W23)</f>
        <v>0</v>
      </c>
      <c r="DF23" s="93" cm="1">
        <f t="array" ref="DF23">SUMPRODUCT(TRANSPOSE(DF$4:DF$20),$G23:$W23)</f>
        <v>0</v>
      </c>
      <c r="DG23" s="93" cm="1">
        <f t="array" ref="DG23">SUMPRODUCT(TRANSPOSE(DG$4:DG$20),$G23:$W23)</f>
        <v>0</v>
      </c>
      <c r="DH23" s="93" cm="1">
        <f t="array" ref="DH23">SUMPRODUCT(TRANSPOSE(DH$4:DH$20),$G23:$W23)</f>
        <v>0</v>
      </c>
      <c r="DI23" s="93" cm="1">
        <f t="array" ref="DI23">SUMPRODUCT(TRANSPOSE(DI$4:DI$20),$G23:$W23)</f>
        <v>0</v>
      </c>
      <c r="DJ23" s="93" cm="1">
        <f t="array" ref="DJ23">SUMPRODUCT(TRANSPOSE(DJ$4:DJ$20),$G23:$W23)</f>
        <v>0</v>
      </c>
      <c r="DK23" s="93" cm="1">
        <f t="array" ref="DK23">SUMPRODUCT(TRANSPOSE(DK$4:DK$20),$G23:$W23)</f>
        <v>0</v>
      </c>
      <c r="DL23" s="93" cm="1">
        <f t="array" ref="DL23">SUMPRODUCT(TRANSPOSE(DL$4:DL$20),$G23:$W23)</f>
        <v>0</v>
      </c>
      <c r="DM23" s="93" cm="1">
        <f t="array" ref="DM23">SUMPRODUCT(TRANSPOSE(DM$4:DM$20),$G23:$W23)</f>
        <v>0</v>
      </c>
      <c r="DN23" s="93" cm="1">
        <f t="array" ref="DN23">SUMPRODUCT(TRANSPOSE(DN$4:DN$20),$G23:$W23)</f>
        <v>0</v>
      </c>
      <c r="DO23" s="93" cm="1">
        <f t="array" ref="DO23">SUMPRODUCT(TRANSPOSE(DO$4:DO$20),$G23:$W23)</f>
        <v>0</v>
      </c>
    </row>
    <row r="24" spans="1:119" x14ac:dyDescent="0.2">
      <c r="A24" s="45">
        <f t="shared" si="26"/>
        <v>3</v>
      </c>
      <c r="B24" s="46" t="s">
        <v>165</v>
      </c>
      <c r="C24" s="45">
        <v>418493422</v>
      </c>
      <c r="D24" s="45" t="s">
        <v>166</v>
      </c>
      <c r="E24" s="45" t="s">
        <v>162</v>
      </c>
      <c r="F24" s="48">
        <v>1</v>
      </c>
      <c r="G24" s="100">
        <v>0</v>
      </c>
      <c r="H24" s="100">
        <v>0</v>
      </c>
      <c r="I24" s="100">
        <v>0</v>
      </c>
      <c r="J24" s="100">
        <v>0</v>
      </c>
      <c r="K24" s="100">
        <v>0</v>
      </c>
      <c r="L24" s="100">
        <v>0</v>
      </c>
      <c r="M24" s="100">
        <v>0</v>
      </c>
      <c r="N24" s="100">
        <v>0</v>
      </c>
      <c r="O24" s="100">
        <v>0</v>
      </c>
      <c r="P24" s="100">
        <v>0</v>
      </c>
      <c r="Q24" s="100">
        <v>0</v>
      </c>
      <c r="R24" s="100">
        <v>0</v>
      </c>
      <c r="S24" s="100">
        <v>0</v>
      </c>
      <c r="T24" s="100">
        <v>0</v>
      </c>
      <c r="U24" s="100">
        <v>0</v>
      </c>
      <c r="V24" s="100">
        <v>0</v>
      </c>
      <c r="W24" s="100">
        <v>2</v>
      </c>
      <c r="X24" s="45" t="s">
        <v>34</v>
      </c>
      <c r="Y24" s="49">
        <v>34.36</v>
      </c>
      <c r="Z24" s="45">
        <v>462</v>
      </c>
      <c r="AA24" s="45">
        <v>0</v>
      </c>
      <c r="AB24" s="45">
        <v>0</v>
      </c>
      <c r="AC24" s="45">
        <v>0</v>
      </c>
      <c r="AD24" s="45">
        <v>0</v>
      </c>
      <c r="AE24" s="45">
        <v>0</v>
      </c>
      <c r="AF24" s="45">
        <v>0</v>
      </c>
      <c r="AG24" s="45">
        <v>0</v>
      </c>
      <c r="AH24" s="45">
        <v>0</v>
      </c>
      <c r="AI24" s="45">
        <v>0</v>
      </c>
      <c r="AJ24" s="45">
        <v>0</v>
      </c>
      <c r="AK24" s="45">
        <v>0</v>
      </c>
      <c r="AL24" s="45">
        <v>0</v>
      </c>
      <c r="AM24" s="45">
        <v>0</v>
      </c>
      <c r="AN24" s="45">
        <v>0</v>
      </c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93"/>
      <c r="BE24" s="93"/>
      <c r="BF24" s="93"/>
      <c r="BG24" s="93"/>
      <c r="BH24" s="93"/>
      <c r="BI24" s="93"/>
      <c r="BJ24" s="93"/>
      <c r="BK24" s="93">
        <f>SUM($Z24:AD24)-SUM($CM24:CQ24)</f>
        <v>430</v>
      </c>
      <c r="BL24" s="93">
        <f>SUM($Z24:AE24)-SUM($CM24:CR24)</f>
        <v>398</v>
      </c>
      <c r="BM24" s="93">
        <f>SUM($Z24:AF24)-SUM($CM24:CS24)</f>
        <v>366</v>
      </c>
      <c r="BN24" s="93">
        <f>SUM($Z24:AG24)-SUM($CM24:CT24)</f>
        <v>334</v>
      </c>
      <c r="BO24" s="93">
        <f>SUM($Z24:AH24)-SUM($CM24:CU24)</f>
        <v>302</v>
      </c>
      <c r="BP24" s="93">
        <f>SUM($Z24:AI24)-SUM($CM24:CV24)</f>
        <v>270</v>
      </c>
      <c r="BQ24" s="93">
        <f>SUM($Z24:AJ24)-SUM($CM24:CW24)</f>
        <v>238</v>
      </c>
      <c r="BR24" s="93">
        <f>SUM($Z24:AK24)-SUM($CM24:CX24)</f>
        <v>206</v>
      </c>
      <c r="BS24" s="93">
        <f>SUM($Z24:AL24)-SUM($CM24:CY24)</f>
        <v>206</v>
      </c>
      <c r="BT24" s="93">
        <f>SUM($Z24:AM24)-SUM($CM24:CZ24)</f>
        <v>206</v>
      </c>
      <c r="BU24" s="93">
        <f>SUM($Z24:AN24)-SUM($CM24:DA24)</f>
        <v>206</v>
      </c>
      <c r="BV24" s="93">
        <f>SUM($Z24:AO24)-SUM($CM24:DB24)</f>
        <v>206</v>
      </c>
      <c r="BW24" s="93">
        <f>SUM($Z24:AP24)-SUM($CM24:DC24)</f>
        <v>206</v>
      </c>
      <c r="BX24" s="93">
        <f>SUM($Z24:AQ24)-SUM($CM24:DD24)</f>
        <v>206</v>
      </c>
      <c r="BY24" s="93">
        <f>SUM($Z24:AR24)-SUM($CM24:DE24)</f>
        <v>206</v>
      </c>
      <c r="BZ24" s="93">
        <f>SUM($Z24:AS24)-SUM($CM24:DF24)</f>
        <v>206</v>
      </c>
      <c r="CA24" s="93">
        <f>SUM($Z24:AT24)-SUM($CM24:DG24)</f>
        <v>206</v>
      </c>
      <c r="CB24" s="93">
        <f>SUM($Z24:AU24)-SUM($CM24:DH24)</f>
        <v>206</v>
      </c>
      <c r="CC24" s="93">
        <f>SUM($Z24:AV24)-SUM($CM24:DI24)</f>
        <v>206</v>
      </c>
      <c r="CD24" s="93">
        <f>SUM($Z24:AW24)-SUM($CM24:DJ24)</f>
        <v>206</v>
      </c>
      <c r="CE24" s="93">
        <f>SUM($Z24:AX24)-SUM($CM24:DK24)</f>
        <v>206</v>
      </c>
      <c r="CF24" s="93">
        <f>SUM($Z24:AY24)-SUM($CM24:DL24)</f>
        <v>206</v>
      </c>
      <c r="CG24" s="93">
        <f>SUM($Z24:AZ24)-SUM($CM24:DM24)</f>
        <v>206</v>
      </c>
      <c r="CH24" s="93">
        <f>SUM($Z24:BA24)-SUM($CM24:DN24)</f>
        <v>206</v>
      </c>
      <c r="CI24" s="93">
        <f>SUM($Z24:BB24)-SUM($CM24:DO24)</f>
        <v>206</v>
      </c>
      <c r="CJ24" s="93"/>
      <c r="CK24" s="93"/>
      <c r="CL24" s="93"/>
      <c r="CM24" s="93"/>
      <c r="CN24" s="93" cm="1">
        <f t="array" ref="CN24">SUMPRODUCT(TRANSPOSE(CN$4:CN$20),$G24:$W24)</f>
        <v>0</v>
      </c>
      <c r="CO24" s="93" cm="1">
        <f t="array" ref="CO24">SUMPRODUCT(TRANSPOSE(CO$4:CO$20),$G24:$W24)</f>
        <v>0</v>
      </c>
      <c r="CP24" s="93" cm="1">
        <f t="array" ref="CP24">SUMPRODUCT(TRANSPOSE(CP$4:CP$20),$G24:$W24)</f>
        <v>0</v>
      </c>
      <c r="CQ24" s="93" cm="1">
        <f t="array" ref="CQ24">SUMPRODUCT(TRANSPOSE(CQ$4:CQ$20),$G24:$W24)</f>
        <v>32</v>
      </c>
      <c r="CR24" s="93" cm="1">
        <f t="array" ref="CR24">SUMPRODUCT(TRANSPOSE(CR$4:CR$20),$G24:$W24)</f>
        <v>32</v>
      </c>
      <c r="CS24" s="93" cm="1">
        <f t="array" ref="CS24">SUMPRODUCT(TRANSPOSE(CS$4:CS$20),$G24:$W24)</f>
        <v>32</v>
      </c>
      <c r="CT24" s="93" cm="1">
        <f t="array" ref="CT24">SUMPRODUCT(TRANSPOSE(CT$4:CT$20),$G24:$W24)</f>
        <v>32</v>
      </c>
      <c r="CU24" s="93" cm="1">
        <f t="array" ref="CU24">SUMPRODUCT(TRANSPOSE(CU$4:CU$20),$G24:$W24)</f>
        <v>32</v>
      </c>
      <c r="CV24" s="93" cm="1">
        <f t="array" ref="CV24">SUMPRODUCT(TRANSPOSE(CV$4:CV$20),$G24:$W24)</f>
        <v>32</v>
      </c>
      <c r="CW24" s="93" cm="1">
        <f t="array" ref="CW24">SUMPRODUCT(TRANSPOSE(CW$4:CW$20),$G24:$W24)</f>
        <v>32</v>
      </c>
      <c r="CX24" s="93" cm="1">
        <f t="array" ref="CX24">SUMPRODUCT(TRANSPOSE(CX$4:CX$20),$G24:$W24)</f>
        <v>32</v>
      </c>
      <c r="CY24" s="93" cm="1">
        <f t="array" ref="CY24">SUMPRODUCT(TRANSPOSE(CY$4:CY$20),$G24:$W24)</f>
        <v>0</v>
      </c>
      <c r="CZ24" s="93" cm="1">
        <f t="array" ref="CZ24">SUMPRODUCT(TRANSPOSE(CZ$4:CZ$20),$G24:$W24)</f>
        <v>0</v>
      </c>
      <c r="DA24" s="93" cm="1">
        <f t="array" ref="DA24">SUMPRODUCT(TRANSPOSE(DA$4:DA$20),$G24:$W24)</f>
        <v>0</v>
      </c>
      <c r="DB24" s="93" cm="1">
        <f t="array" ref="DB24">SUMPRODUCT(TRANSPOSE(DB$4:DB$20),$G24:$W24)</f>
        <v>0</v>
      </c>
      <c r="DC24" s="93" cm="1">
        <f t="array" ref="DC24">SUMPRODUCT(TRANSPOSE(DC$4:DC$20),$G24:$W24)</f>
        <v>0</v>
      </c>
      <c r="DD24" s="93" cm="1">
        <f t="array" ref="DD24">SUMPRODUCT(TRANSPOSE(DD$4:DD$20),$G24:$W24)</f>
        <v>0</v>
      </c>
      <c r="DE24" s="93" cm="1">
        <f t="array" ref="DE24">SUMPRODUCT(TRANSPOSE(DE$4:DE$20),$G24:$W24)</f>
        <v>0</v>
      </c>
      <c r="DF24" s="93" cm="1">
        <f t="array" ref="DF24">SUMPRODUCT(TRANSPOSE(DF$4:DF$20),$G24:$W24)</f>
        <v>0</v>
      </c>
      <c r="DG24" s="93" cm="1">
        <f t="array" ref="DG24">SUMPRODUCT(TRANSPOSE(DG$4:DG$20),$G24:$W24)</f>
        <v>0</v>
      </c>
      <c r="DH24" s="93" cm="1">
        <f t="array" ref="DH24">SUMPRODUCT(TRANSPOSE(DH$4:DH$20),$G24:$W24)</f>
        <v>0</v>
      </c>
      <c r="DI24" s="93" cm="1">
        <f t="array" ref="DI24">SUMPRODUCT(TRANSPOSE(DI$4:DI$20),$G24:$W24)</f>
        <v>0</v>
      </c>
      <c r="DJ24" s="93" cm="1">
        <f t="array" ref="DJ24">SUMPRODUCT(TRANSPOSE(DJ$4:DJ$20),$G24:$W24)</f>
        <v>0</v>
      </c>
      <c r="DK24" s="93" cm="1">
        <f t="array" ref="DK24">SUMPRODUCT(TRANSPOSE(DK$4:DK$20),$G24:$W24)</f>
        <v>0</v>
      </c>
      <c r="DL24" s="93" cm="1">
        <f t="array" ref="DL24">SUMPRODUCT(TRANSPOSE(DL$4:DL$20),$G24:$W24)</f>
        <v>0</v>
      </c>
      <c r="DM24" s="93" cm="1">
        <f t="array" ref="DM24">SUMPRODUCT(TRANSPOSE(DM$4:DM$20),$G24:$W24)</f>
        <v>0</v>
      </c>
      <c r="DN24" s="93" cm="1">
        <f t="array" ref="DN24">SUMPRODUCT(TRANSPOSE(DN$4:DN$20),$G24:$W24)</f>
        <v>0</v>
      </c>
      <c r="DO24" s="93" cm="1">
        <f t="array" ref="DO24">SUMPRODUCT(TRANSPOSE(DO$4:DO$20),$G24:$W24)</f>
        <v>0</v>
      </c>
    </row>
    <row r="25" spans="1:119" x14ac:dyDescent="0.2">
      <c r="A25" s="45">
        <f t="shared" si="26"/>
        <v>4</v>
      </c>
      <c r="B25" s="46" t="s">
        <v>167</v>
      </c>
      <c r="C25" s="45">
        <v>418493446</v>
      </c>
      <c r="D25" s="45" t="s">
        <v>168</v>
      </c>
      <c r="E25" s="45" t="s">
        <v>162</v>
      </c>
      <c r="F25" s="48">
        <v>1</v>
      </c>
      <c r="G25" s="100">
        <v>0</v>
      </c>
      <c r="H25" s="100">
        <v>0</v>
      </c>
      <c r="I25" s="100">
        <v>0</v>
      </c>
      <c r="J25" s="100">
        <v>0</v>
      </c>
      <c r="K25" s="100">
        <v>0</v>
      </c>
      <c r="L25" s="100">
        <v>0</v>
      </c>
      <c r="M25" s="100">
        <v>0</v>
      </c>
      <c r="N25" s="100">
        <v>0</v>
      </c>
      <c r="O25" s="100">
        <v>0</v>
      </c>
      <c r="P25" s="100">
        <v>0</v>
      </c>
      <c r="Q25" s="100">
        <v>0</v>
      </c>
      <c r="R25" s="100">
        <v>0</v>
      </c>
      <c r="S25" s="100">
        <v>0</v>
      </c>
      <c r="T25" s="100">
        <v>0</v>
      </c>
      <c r="U25" s="100">
        <v>0</v>
      </c>
      <c r="V25" s="100">
        <v>0</v>
      </c>
      <c r="W25" s="100">
        <v>1</v>
      </c>
      <c r="X25" s="45" t="s">
        <v>34</v>
      </c>
      <c r="Y25" s="49">
        <v>32.53</v>
      </c>
      <c r="Z25" s="45">
        <v>231</v>
      </c>
      <c r="AA25" s="45">
        <v>0</v>
      </c>
      <c r="AB25" s="45">
        <v>0</v>
      </c>
      <c r="AC25" s="45">
        <v>0</v>
      </c>
      <c r="AD25" s="45">
        <v>0</v>
      </c>
      <c r="AE25" s="45">
        <v>0</v>
      </c>
      <c r="AF25" s="45">
        <v>0</v>
      </c>
      <c r="AG25" s="45">
        <v>0</v>
      </c>
      <c r="AH25" s="45">
        <v>0</v>
      </c>
      <c r="AI25" s="45">
        <v>0</v>
      </c>
      <c r="AJ25" s="45">
        <v>0</v>
      </c>
      <c r="AK25" s="45">
        <v>0</v>
      </c>
      <c r="AL25" s="45">
        <v>0</v>
      </c>
      <c r="AM25" s="45">
        <v>0</v>
      </c>
      <c r="AN25" s="45">
        <v>0</v>
      </c>
      <c r="AO25" s="45"/>
      <c r="AP25" s="45"/>
      <c r="AQ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5"/>
      <c r="BC25" s="45"/>
      <c r="BD25" s="93"/>
      <c r="BE25" s="93"/>
      <c r="BF25" s="93"/>
      <c r="BG25" s="93"/>
      <c r="BH25" s="93"/>
      <c r="BI25" s="93"/>
      <c r="BJ25" s="93"/>
      <c r="BK25" s="93">
        <f>SUM($Z25:AD25)-SUM($CM25:CQ25)</f>
        <v>215</v>
      </c>
      <c r="BL25" s="93">
        <f>SUM($Z25:AE25)-SUM($CM25:CR25)</f>
        <v>199</v>
      </c>
      <c r="BM25" s="93">
        <f>SUM($Z25:AF25)-SUM($CM25:CS25)</f>
        <v>183</v>
      </c>
      <c r="BN25" s="93">
        <f>SUM($Z25:AG25)-SUM($CM25:CT25)</f>
        <v>167</v>
      </c>
      <c r="BO25" s="93">
        <f>SUM($Z25:AH25)-SUM($CM25:CU25)</f>
        <v>151</v>
      </c>
      <c r="BP25" s="93">
        <f>SUM($Z25:AI25)-SUM($CM25:CV25)</f>
        <v>135</v>
      </c>
      <c r="BQ25" s="93">
        <f>SUM($Z25:AJ25)-SUM($CM25:CW25)</f>
        <v>119</v>
      </c>
      <c r="BR25" s="93">
        <f>SUM($Z25:AK25)-SUM($CM25:CX25)</f>
        <v>103</v>
      </c>
      <c r="BS25" s="93">
        <f>SUM($Z25:AL25)-SUM($CM25:CY25)</f>
        <v>103</v>
      </c>
      <c r="BT25" s="93">
        <f>SUM($Z25:AM25)-SUM($CM25:CZ25)</f>
        <v>103</v>
      </c>
      <c r="BU25" s="93">
        <f>SUM($Z25:AN25)-SUM($CM25:DA25)</f>
        <v>103</v>
      </c>
      <c r="BV25" s="93">
        <f>SUM($Z25:AO25)-SUM($CM25:DB25)</f>
        <v>103</v>
      </c>
      <c r="BW25" s="93">
        <f>SUM($Z25:AP25)-SUM($CM25:DC25)</f>
        <v>103</v>
      </c>
      <c r="BX25" s="93">
        <f>SUM($Z25:AQ25)-SUM($CM25:DD25)</f>
        <v>103</v>
      </c>
      <c r="BY25" s="93">
        <f>SUM($Z25:AR25)-SUM($CM25:DE25)</f>
        <v>103</v>
      </c>
      <c r="BZ25" s="93">
        <f>SUM($Z25:AS25)-SUM($CM25:DF25)</f>
        <v>103</v>
      </c>
      <c r="CA25" s="93">
        <f>SUM($Z25:AT25)-SUM($CM25:DG25)</f>
        <v>103</v>
      </c>
      <c r="CB25" s="93">
        <f>SUM($Z25:AU25)-SUM($CM25:DH25)</f>
        <v>103</v>
      </c>
      <c r="CC25" s="93">
        <f>SUM($Z25:AV25)-SUM($CM25:DI25)</f>
        <v>103</v>
      </c>
      <c r="CD25" s="93">
        <f>SUM($Z25:AW25)-SUM($CM25:DJ25)</f>
        <v>103</v>
      </c>
      <c r="CE25" s="93">
        <f>SUM($Z25:AX25)-SUM($CM25:DK25)</f>
        <v>103</v>
      </c>
      <c r="CF25" s="93">
        <f>SUM($Z25:AY25)-SUM($CM25:DL25)</f>
        <v>103</v>
      </c>
      <c r="CG25" s="93">
        <f>SUM($Z25:AZ25)-SUM($CM25:DM25)</f>
        <v>103</v>
      </c>
      <c r="CH25" s="93">
        <f>SUM($Z25:BA25)-SUM($CM25:DN25)</f>
        <v>103</v>
      </c>
      <c r="CI25" s="93">
        <f>SUM($Z25:BB25)-SUM($CM25:DO25)</f>
        <v>103</v>
      </c>
      <c r="CJ25" s="93"/>
      <c r="CK25" s="93"/>
      <c r="CL25" s="93"/>
      <c r="CM25" s="93"/>
      <c r="CN25" s="93" cm="1">
        <f t="array" ref="CN25">SUMPRODUCT(TRANSPOSE(CN$4:CN$20),$G25:$W25)</f>
        <v>0</v>
      </c>
      <c r="CO25" s="93" cm="1">
        <f t="array" ref="CO25">SUMPRODUCT(TRANSPOSE(CO$4:CO$20),$G25:$W25)</f>
        <v>0</v>
      </c>
      <c r="CP25" s="93" cm="1">
        <f t="array" ref="CP25">SUMPRODUCT(TRANSPOSE(CP$4:CP$20),$G25:$W25)</f>
        <v>0</v>
      </c>
      <c r="CQ25" s="93" cm="1">
        <f t="array" ref="CQ25">SUMPRODUCT(TRANSPOSE(CQ$4:CQ$20),$G25:$W25)</f>
        <v>16</v>
      </c>
      <c r="CR25" s="93" cm="1">
        <f t="array" ref="CR25">SUMPRODUCT(TRANSPOSE(CR$4:CR$20),$G25:$W25)</f>
        <v>16</v>
      </c>
      <c r="CS25" s="93" cm="1">
        <f t="array" ref="CS25">SUMPRODUCT(TRANSPOSE(CS$4:CS$20),$G25:$W25)</f>
        <v>16</v>
      </c>
      <c r="CT25" s="93" cm="1">
        <f t="array" ref="CT25">SUMPRODUCT(TRANSPOSE(CT$4:CT$20),$G25:$W25)</f>
        <v>16</v>
      </c>
      <c r="CU25" s="93" cm="1">
        <f t="array" ref="CU25">SUMPRODUCT(TRANSPOSE(CU$4:CU$20),$G25:$W25)</f>
        <v>16</v>
      </c>
      <c r="CV25" s="93" cm="1">
        <f t="array" ref="CV25">SUMPRODUCT(TRANSPOSE(CV$4:CV$20),$G25:$W25)</f>
        <v>16</v>
      </c>
      <c r="CW25" s="93" cm="1">
        <f t="array" ref="CW25">SUMPRODUCT(TRANSPOSE(CW$4:CW$20),$G25:$W25)</f>
        <v>16</v>
      </c>
      <c r="CX25" s="93" cm="1">
        <f t="array" ref="CX25">SUMPRODUCT(TRANSPOSE(CX$4:CX$20),$G25:$W25)</f>
        <v>16</v>
      </c>
      <c r="CY25" s="93" cm="1">
        <f t="array" ref="CY25">SUMPRODUCT(TRANSPOSE(CY$4:CY$20),$G25:$W25)</f>
        <v>0</v>
      </c>
      <c r="CZ25" s="93" cm="1">
        <f t="array" ref="CZ25">SUMPRODUCT(TRANSPOSE(CZ$4:CZ$20),$G25:$W25)</f>
        <v>0</v>
      </c>
      <c r="DA25" s="93" cm="1">
        <f t="array" ref="DA25">SUMPRODUCT(TRANSPOSE(DA$4:DA$20),$G25:$W25)</f>
        <v>0</v>
      </c>
      <c r="DB25" s="93" cm="1">
        <f t="array" ref="DB25">SUMPRODUCT(TRANSPOSE(DB$4:DB$20),$G25:$W25)</f>
        <v>0</v>
      </c>
      <c r="DC25" s="93" cm="1">
        <f t="array" ref="DC25">SUMPRODUCT(TRANSPOSE(DC$4:DC$20),$G25:$W25)</f>
        <v>0</v>
      </c>
      <c r="DD25" s="93" cm="1">
        <f t="array" ref="DD25">SUMPRODUCT(TRANSPOSE(DD$4:DD$20),$G25:$W25)</f>
        <v>0</v>
      </c>
      <c r="DE25" s="93" cm="1">
        <f t="array" ref="DE25">SUMPRODUCT(TRANSPOSE(DE$4:DE$20),$G25:$W25)</f>
        <v>0</v>
      </c>
      <c r="DF25" s="93" cm="1">
        <f t="array" ref="DF25">SUMPRODUCT(TRANSPOSE(DF$4:DF$20),$G25:$W25)</f>
        <v>0</v>
      </c>
      <c r="DG25" s="93" cm="1">
        <f t="array" ref="DG25">SUMPRODUCT(TRANSPOSE(DG$4:DG$20),$G25:$W25)</f>
        <v>0</v>
      </c>
      <c r="DH25" s="93" cm="1">
        <f t="array" ref="DH25">SUMPRODUCT(TRANSPOSE(DH$4:DH$20),$G25:$W25)</f>
        <v>0</v>
      </c>
      <c r="DI25" s="93" cm="1">
        <f t="array" ref="DI25">SUMPRODUCT(TRANSPOSE(DI$4:DI$20),$G25:$W25)</f>
        <v>0</v>
      </c>
      <c r="DJ25" s="93" cm="1">
        <f t="array" ref="DJ25">SUMPRODUCT(TRANSPOSE(DJ$4:DJ$20),$G25:$W25)</f>
        <v>0</v>
      </c>
      <c r="DK25" s="93" cm="1">
        <f t="array" ref="DK25">SUMPRODUCT(TRANSPOSE(DK$4:DK$20),$G25:$W25)</f>
        <v>0</v>
      </c>
      <c r="DL25" s="93" cm="1">
        <f t="array" ref="DL25">SUMPRODUCT(TRANSPOSE(DL$4:DL$20),$G25:$W25)</f>
        <v>0</v>
      </c>
      <c r="DM25" s="93" cm="1">
        <f t="array" ref="DM25">SUMPRODUCT(TRANSPOSE(DM$4:DM$20),$G25:$W25)</f>
        <v>0</v>
      </c>
      <c r="DN25" s="93" cm="1">
        <f t="array" ref="DN25">SUMPRODUCT(TRANSPOSE(DN$4:DN$20),$G25:$W25)</f>
        <v>0</v>
      </c>
      <c r="DO25" s="93" cm="1">
        <f t="array" ref="DO25">SUMPRODUCT(TRANSPOSE(DO$4:DO$20),$G25:$W25)</f>
        <v>0</v>
      </c>
    </row>
    <row r="26" spans="1:119" x14ac:dyDescent="0.2">
      <c r="A26" s="45">
        <f t="shared" si="26"/>
        <v>5</v>
      </c>
      <c r="B26" s="46" t="s">
        <v>169</v>
      </c>
      <c r="C26" s="45">
        <v>418521484</v>
      </c>
      <c r="D26" s="45" t="s">
        <v>170</v>
      </c>
      <c r="E26" s="45" t="s">
        <v>162</v>
      </c>
      <c r="F26" s="48">
        <v>1</v>
      </c>
      <c r="G26" s="100">
        <v>0</v>
      </c>
      <c r="H26" s="100">
        <v>0</v>
      </c>
      <c r="I26" s="100">
        <v>0</v>
      </c>
      <c r="J26" s="100">
        <v>0</v>
      </c>
      <c r="K26" s="100">
        <v>0</v>
      </c>
      <c r="L26" s="100">
        <v>0</v>
      </c>
      <c r="M26" s="100">
        <v>0</v>
      </c>
      <c r="N26" s="100">
        <v>0</v>
      </c>
      <c r="O26" s="100">
        <v>0</v>
      </c>
      <c r="P26" s="100">
        <v>0</v>
      </c>
      <c r="Q26" s="100">
        <v>0</v>
      </c>
      <c r="R26" s="100">
        <v>0</v>
      </c>
      <c r="S26" s="100">
        <v>0</v>
      </c>
      <c r="T26" s="100">
        <v>0</v>
      </c>
      <c r="U26" s="100">
        <v>0</v>
      </c>
      <c r="V26" s="100">
        <v>0</v>
      </c>
      <c r="W26" s="100">
        <v>129</v>
      </c>
      <c r="X26" s="45" t="s">
        <v>34</v>
      </c>
      <c r="Y26" s="49">
        <v>19.95</v>
      </c>
      <c r="Z26" s="45">
        <v>29799</v>
      </c>
      <c r="AA26" s="45">
        <v>0</v>
      </c>
      <c r="AB26" s="45">
        <v>0</v>
      </c>
      <c r="AC26" s="45">
        <v>0</v>
      </c>
      <c r="AD26" s="45">
        <v>0</v>
      </c>
      <c r="AE26" s="45">
        <v>0</v>
      </c>
      <c r="AF26" s="45">
        <v>0</v>
      </c>
      <c r="AG26" s="45">
        <v>0</v>
      </c>
      <c r="AH26" s="45">
        <v>0</v>
      </c>
      <c r="AI26" s="45">
        <v>0</v>
      </c>
      <c r="AJ26" s="45">
        <v>0</v>
      </c>
      <c r="AK26" s="45">
        <v>0</v>
      </c>
      <c r="AL26" s="45">
        <v>0</v>
      </c>
      <c r="AM26" s="45">
        <v>0</v>
      </c>
      <c r="AN26" s="45">
        <v>0</v>
      </c>
      <c r="AO26" s="45"/>
      <c r="AP26" s="45"/>
      <c r="AQ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5"/>
      <c r="BC26" s="45"/>
      <c r="BD26" s="93"/>
      <c r="BE26" s="93"/>
      <c r="BF26" s="93"/>
      <c r="BG26" s="93"/>
      <c r="BH26" s="93"/>
      <c r="BI26" s="93"/>
      <c r="BJ26" s="93"/>
      <c r="BK26" s="93">
        <f>SUM($Z26:AD26)-SUM($CM26:CQ26)</f>
        <v>27735</v>
      </c>
      <c r="BL26" s="93">
        <f>SUM($Z26:AE26)-SUM($CM26:CR26)</f>
        <v>25671</v>
      </c>
      <c r="BM26" s="93">
        <f>SUM($Z26:AF26)-SUM($CM26:CS26)</f>
        <v>23607</v>
      </c>
      <c r="BN26" s="93">
        <f>SUM($Z26:AG26)-SUM($CM26:CT26)</f>
        <v>21543</v>
      </c>
      <c r="BO26" s="93">
        <f>SUM($Z26:AH26)-SUM($CM26:CU26)</f>
        <v>19479</v>
      </c>
      <c r="BP26" s="93">
        <f>SUM($Z26:AI26)-SUM($CM26:CV26)</f>
        <v>17415</v>
      </c>
      <c r="BQ26" s="93">
        <f>SUM($Z26:AJ26)-SUM($CM26:CW26)</f>
        <v>15351</v>
      </c>
      <c r="BR26" s="93">
        <f>SUM($Z26:AK26)-SUM($CM26:CX26)</f>
        <v>13287</v>
      </c>
      <c r="BS26" s="93">
        <f>SUM($Z26:AL26)-SUM($CM26:CY26)</f>
        <v>13287</v>
      </c>
      <c r="BT26" s="93">
        <f>SUM($Z26:AM26)-SUM($CM26:CZ26)</f>
        <v>13287</v>
      </c>
      <c r="BU26" s="93">
        <f>SUM($Z26:AN26)-SUM($CM26:DA26)</f>
        <v>13287</v>
      </c>
      <c r="BV26" s="93">
        <f>SUM($Z26:AO26)-SUM($CM26:DB26)</f>
        <v>13287</v>
      </c>
      <c r="BW26" s="93">
        <f>SUM($Z26:AP26)-SUM($CM26:DC26)</f>
        <v>13287</v>
      </c>
      <c r="BX26" s="93">
        <f>SUM($Z26:AQ26)-SUM($CM26:DD26)</f>
        <v>13287</v>
      </c>
      <c r="BY26" s="93">
        <f>SUM($Z26:AR26)-SUM($CM26:DE26)</f>
        <v>13287</v>
      </c>
      <c r="BZ26" s="93">
        <f>SUM($Z26:AS26)-SUM($CM26:DF26)</f>
        <v>13287</v>
      </c>
      <c r="CA26" s="93">
        <f>SUM($Z26:AT26)-SUM($CM26:DG26)</f>
        <v>13287</v>
      </c>
      <c r="CB26" s="93">
        <f>SUM($Z26:AU26)-SUM($CM26:DH26)</f>
        <v>13287</v>
      </c>
      <c r="CC26" s="93">
        <f>SUM($Z26:AV26)-SUM($CM26:DI26)</f>
        <v>13287</v>
      </c>
      <c r="CD26" s="93">
        <f>SUM($Z26:AW26)-SUM($CM26:DJ26)</f>
        <v>13287</v>
      </c>
      <c r="CE26" s="93">
        <f>SUM($Z26:AX26)-SUM($CM26:DK26)</f>
        <v>13287</v>
      </c>
      <c r="CF26" s="93">
        <f>SUM($Z26:AY26)-SUM($CM26:DL26)</f>
        <v>13287</v>
      </c>
      <c r="CG26" s="93">
        <f>SUM($Z26:AZ26)-SUM($CM26:DM26)</f>
        <v>13287</v>
      </c>
      <c r="CH26" s="93">
        <f>SUM($Z26:BA26)-SUM($CM26:DN26)</f>
        <v>13287</v>
      </c>
      <c r="CI26" s="93">
        <f>SUM($Z26:BB26)-SUM($CM26:DO26)</f>
        <v>13287</v>
      </c>
      <c r="CJ26" s="93"/>
      <c r="CK26" s="93"/>
      <c r="CL26" s="93"/>
      <c r="CM26" s="93"/>
      <c r="CN26" s="93" cm="1">
        <f t="array" ref="CN26">SUMPRODUCT(TRANSPOSE(CN$4:CN$20),$G26:$W26)</f>
        <v>0</v>
      </c>
      <c r="CO26" s="93" cm="1">
        <f t="array" ref="CO26">SUMPRODUCT(TRANSPOSE(CO$4:CO$20),$G26:$W26)</f>
        <v>0</v>
      </c>
      <c r="CP26" s="93" cm="1">
        <f t="array" ref="CP26">SUMPRODUCT(TRANSPOSE(CP$4:CP$20),$G26:$W26)</f>
        <v>0</v>
      </c>
      <c r="CQ26" s="93" cm="1">
        <f t="array" ref="CQ26">SUMPRODUCT(TRANSPOSE(CQ$4:CQ$20),$G26:$W26)</f>
        <v>2064</v>
      </c>
      <c r="CR26" s="93" cm="1">
        <f t="array" ref="CR26">SUMPRODUCT(TRANSPOSE(CR$4:CR$20),$G26:$W26)</f>
        <v>2064</v>
      </c>
      <c r="CS26" s="93" cm="1">
        <f t="array" ref="CS26">SUMPRODUCT(TRANSPOSE(CS$4:CS$20),$G26:$W26)</f>
        <v>2064</v>
      </c>
      <c r="CT26" s="93" cm="1">
        <f t="array" ref="CT26">SUMPRODUCT(TRANSPOSE(CT$4:CT$20),$G26:$W26)</f>
        <v>2064</v>
      </c>
      <c r="CU26" s="93" cm="1">
        <f t="array" ref="CU26">SUMPRODUCT(TRANSPOSE(CU$4:CU$20),$G26:$W26)</f>
        <v>2064</v>
      </c>
      <c r="CV26" s="93" cm="1">
        <f t="array" ref="CV26">SUMPRODUCT(TRANSPOSE(CV$4:CV$20),$G26:$W26)</f>
        <v>2064</v>
      </c>
      <c r="CW26" s="93" cm="1">
        <f t="array" ref="CW26">SUMPRODUCT(TRANSPOSE(CW$4:CW$20),$G26:$W26)</f>
        <v>2064</v>
      </c>
      <c r="CX26" s="93" cm="1">
        <f t="array" ref="CX26">SUMPRODUCT(TRANSPOSE(CX$4:CX$20),$G26:$W26)</f>
        <v>2064</v>
      </c>
      <c r="CY26" s="93" cm="1">
        <f t="array" ref="CY26">SUMPRODUCT(TRANSPOSE(CY$4:CY$20),$G26:$W26)</f>
        <v>0</v>
      </c>
      <c r="CZ26" s="93" cm="1">
        <f t="array" ref="CZ26">SUMPRODUCT(TRANSPOSE(CZ$4:CZ$20),$G26:$W26)</f>
        <v>0</v>
      </c>
      <c r="DA26" s="93" cm="1">
        <f t="array" ref="DA26">SUMPRODUCT(TRANSPOSE(DA$4:DA$20),$G26:$W26)</f>
        <v>0</v>
      </c>
      <c r="DB26" s="93" cm="1">
        <f t="array" ref="DB26">SUMPRODUCT(TRANSPOSE(DB$4:DB$20),$G26:$W26)</f>
        <v>0</v>
      </c>
      <c r="DC26" s="93" cm="1">
        <f t="array" ref="DC26">SUMPRODUCT(TRANSPOSE(DC$4:DC$20),$G26:$W26)</f>
        <v>0</v>
      </c>
      <c r="DD26" s="93" cm="1">
        <f t="array" ref="DD26">SUMPRODUCT(TRANSPOSE(DD$4:DD$20),$G26:$W26)</f>
        <v>0</v>
      </c>
      <c r="DE26" s="93" cm="1">
        <f t="array" ref="DE26">SUMPRODUCT(TRANSPOSE(DE$4:DE$20),$G26:$W26)</f>
        <v>0</v>
      </c>
      <c r="DF26" s="93" cm="1">
        <f t="array" ref="DF26">SUMPRODUCT(TRANSPOSE(DF$4:DF$20),$G26:$W26)</f>
        <v>0</v>
      </c>
      <c r="DG26" s="93" cm="1">
        <f t="array" ref="DG26">SUMPRODUCT(TRANSPOSE(DG$4:DG$20),$G26:$W26)</f>
        <v>0</v>
      </c>
      <c r="DH26" s="93" cm="1">
        <f t="array" ref="DH26">SUMPRODUCT(TRANSPOSE(DH$4:DH$20),$G26:$W26)</f>
        <v>0</v>
      </c>
      <c r="DI26" s="93" cm="1">
        <f t="array" ref="DI26">SUMPRODUCT(TRANSPOSE(DI$4:DI$20),$G26:$W26)</f>
        <v>0</v>
      </c>
      <c r="DJ26" s="93" cm="1">
        <f t="array" ref="DJ26">SUMPRODUCT(TRANSPOSE(DJ$4:DJ$20),$G26:$W26)</f>
        <v>0</v>
      </c>
      <c r="DK26" s="93" cm="1">
        <f t="array" ref="DK26">SUMPRODUCT(TRANSPOSE(DK$4:DK$20),$G26:$W26)</f>
        <v>0</v>
      </c>
      <c r="DL26" s="93" cm="1">
        <f t="array" ref="DL26">SUMPRODUCT(TRANSPOSE(DL$4:DL$20),$G26:$W26)</f>
        <v>0</v>
      </c>
      <c r="DM26" s="93" cm="1">
        <f t="array" ref="DM26">SUMPRODUCT(TRANSPOSE(DM$4:DM$20),$G26:$W26)</f>
        <v>0</v>
      </c>
      <c r="DN26" s="93" cm="1">
        <f t="array" ref="DN26">SUMPRODUCT(TRANSPOSE(DN$4:DN$20),$G26:$W26)</f>
        <v>0</v>
      </c>
      <c r="DO26" s="93" cm="1">
        <f t="array" ref="DO26">SUMPRODUCT(TRANSPOSE(DO$4:DO$20),$G26:$W26)</f>
        <v>0</v>
      </c>
    </row>
    <row r="27" spans="1:119" x14ac:dyDescent="0.2">
      <c r="A27" s="45">
        <f t="shared" si="26"/>
        <v>6</v>
      </c>
      <c r="B27" s="46">
        <v>200090</v>
      </c>
      <c r="C27" s="45" t="s">
        <v>171</v>
      </c>
      <c r="D27" s="45" t="s">
        <v>172</v>
      </c>
      <c r="E27" s="45" t="s">
        <v>162</v>
      </c>
      <c r="F27" s="48">
        <v>1</v>
      </c>
      <c r="G27" s="100">
        <v>0</v>
      </c>
      <c r="H27" s="100">
        <v>0</v>
      </c>
      <c r="I27" s="100">
        <v>0</v>
      </c>
      <c r="J27" s="100">
        <v>0</v>
      </c>
      <c r="K27" s="100">
        <v>0</v>
      </c>
      <c r="L27" s="100">
        <v>0</v>
      </c>
      <c r="M27" s="100">
        <v>0</v>
      </c>
      <c r="N27" s="100">
        <v>0</v>
      </c>
      <c r="O27" s="100">
        <v>4</v>
      </c>
      <c r="P27" s="100">
        <v>0</v>
      </c>
      <c r="Q27" s="100">
        <v>0</v>
      </c>
      <c r="R27" s="100">
        <v>0</v>
      </c>
      <c r="S27" s="100">
        <v>4</v>
      </c>
      <c r="T27" s="100">
        <v>0</v>
      </c>
      <c r="U27" s="100">
        <v>0</v>
      </c>
      <c r="V27" s="100">
        <v>0</v>
      </c>
      <c r="W27" s="100">
        <v>0</v>
      </c>
      <c r="X27" s="45" t="s">
        <v>37</v>
      </c>
      <c r="Y27" s="49">
        <v>0.72576000000000007</v>
      </c>
      <c r="Z27" s="45">
        <v>5000</v>
      </c>
      <c r="AA27" s="45">
        <v>0</v>
      </c>
      <c r="AB27" s="45">
        <v>0</v>
      </c>
      <c r="AC27" s="45">
        <v>0</v>
      </c>
      <c r="AD27" s="45">
        <v>0</v>
      </c>
      <c r="AE27" s="45">
        <v>0</v>
      </c>
      <c r="AF27" s="45">
        <v>0</v>
      </c>
      <c r="AG27" s="45">
        <v>0</v>
      </c>
      <c r="AH27" s="45">
        <v>0</v>
      </c>
      <c r="AI27" s="45">
        <v>0</v>
      </c>
      <c r="AJ27" s="45">
        <v>0</v>
      </c>
      <c r="AK27" s="45">
        <v>0</v>
      </c>
      <c r="AL27" s="45">
        <v>0</v>
      </c>
      <c r="AM27" s="45">
        <v>0</v>
      </c>
      <c r="AN27" s="45">
        <v>0</v>
      </c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93"/>
      <c r="BE27" s="93"/>
      <c r="BF27" s="93"/>
      <c r="BG27" s="93"/>
      <c r="BH27" s="93"/>
      <c r="BI27" s="93"/>
      <c r="BJ27" s="93"/>
      <c r="BK27" s="93">
        <f>SUM($Z27:AD27)-SUM($CM27:CQ27)</f>
        <v>4688</v>
      </c>
      <c r="BL27" s="93">
        <f>SUM($Z27:AE27)-SUM($CM27:CR27)</f>
        <v>4408</v>
      </c>
      <c r="BM27" s="93">
        <f>SUM($Z27:AF27)-SUM($CM27:CS27)</f>
        <v>4148</v>
      </c>
      <c r="BN27" s="93">
        <f>SUM($Z27:AG27)-SUM($CM27:CT27)</f>
        <v>3908</v>
      </c>
      <c r="BO27" s="93">
        <f>SUM($Z27:AH27)-SUM($CM27:CU27)</f>
        <v>3668</v>
      </c>
      <c r="BP27" s="93">
        <f>SUM($Z27:AI27)-SUM($CM27:CV27)</f>
        <v>3428</v>
      </c>
      <c r="BQ27" s="93">
        <f>SUM($Z27:AJ27)-SUM($CM27:CW27)</f>
        <v>3188</v>
      </c>
      <c r="BR27" s="93">
        <f>SUM($Z27:AK27)-SUM($CM27:CX27)</f>
        <v>2948</v>
      </c>
      <c r="BS27" s="93">
        <f>SUM($Z27:AL27)-SUM($CM27:CY27)</f>
        <v>2708</v>
      </c>
      <c r="BT27" s="93">
        <f>SUM($Z27:AM27)-SUM($CM27:CZ27)</f>
        <v>2468</v>
      </c>
      <c r="BU27" s="93">
        <f>SUM($Z27:AN27)-SUM($CM27:DA27)</f>
        <v>2228</v>
      </c>
      <c r="BV27" s="93">
        <f>SUM($Z27:AO27)-SUM($CM27:DB27)</f>
        <v>2172</v>
      </c>
      <c r="BW27" s="93">
        <f>SUM($Z27:AP27)-SUM($CM27:DC27)</f>
        <v>2172</v>
      </c>
      <c r="BX27" s="93">
        <f>SUM($Z27:AQ27)-SUM($CM27:DD27)</f>
        <v>2172</v>
      </c>
      <c r="BY27" s="93">
        <f>SUM($Z27:AR27)-SUM($CM27:DE27)</f>
        <v>2172</v>
      </c>
      <c r="BZ27" s="93">
        <f>SUM($Z27:AS27)-SUM($CM27:DF27)</f>
        <v>2172</v>
      </c>
      <c r="CA27" s="93">
        <f>SUM($Z27:AT27)-SUM($CM27:DG27)</f>
        <v>2172</v>
      </c>
      <c r="CB27" s="93">
        <f>SUM($Z27:AU27)-SUM($CM27:DH27)</f>
        <v>2172</v>
      </c>
      <c r="CC27" s="93">
        <f>SUM($Z27:AV27)-SUM($CM27:DI27)</f>
        <v>2172</v>
      </c>
      <c r="CD27" s="93">
        <f>SUM($Z27:AW27)-SUM($CM27:DJ27)</f>
        <v>2172</v>
      </c>
      <c r="CE27" s="93">
        <f>SUM($Z27:AX27)-SUM($CM27:DK27)</f>
        <v>2172</v>
      </c>
      <c r="CF27" s="93">
        <f>SUM($Z27:AY27)-SUM($CM27:DL27)</f>
        <v>2172</v>
      </c>
      <c r="CG27" s="93">
        <f>SUM($Z27:AZ27)-SUM($CM27:DM27)</f>
        <v>2172</v>
      </c>
      <c r="CH27" s="93">
        <f>SUM($Z27:BA27)-SUM($CM27:DN27)</f>
        <v>2172</v>
      </c>
      <c r="CI27" s="93">
        <f>SUM($Z27:BB27)-SUM($CM27:DO27)</f>
        <v>2172</v>
      </c>
      <c r="CJ27" s="93"/>
      <c r="CK27" s="93"/>
      <c r="CL27" s="93"/>
      <c r="CM27" s="93"/>
      <c r="CN27" s="93" cm="1">
        <f t="array" ref="CN27">SUMPRODUCT(TRANSPOSE(CN$4:CN$20),$G27:$W27)</f>
        <v>0</v>
      </c>
      <c r="CO27" s="93" cm="1">
        <f t="array" ref="CO27">SUMPRODUCT(TRANSPOSE(CO$4:CO$20),$G27:$W27)</f>
        <v>0</v>
      </c>
      <c r="CP27" s="93" cm="1">
        <f t="array" ref="CP27">SUMPRODUCT(TRANSPOSE(CP$4:CP$20),$G27:$W27)</f>
        <v>0</v>
      </c>
      <c r="CQ27" s="93" cm="1">
        <f t="array" ref="CQ27">SUMPRODUCT(TRANSPOSE(CQ$4:CQ$20),$G27:$W27)</f>
        <v>312</v>
      </c>
      <c r="CR27" s="93" cm="1">
        <f t="array" ref="CR27">SUMPRODUCT(TRANSPOSE(CR$4:CR$20),$G27:$W27)</f>
        <v>280</v>
      </c>
      <c r="CS27" s="93" cm="1">
        <f t="array" ref="CS27">SUMPRODUCT(TRANSPOSE(CS$4:CS$20),$G27:$W27)</f>
        <v>260</v>
      </c>
      <c r="CT27" s="93" cm="1">
        <f t="array" ref="CT27">SUMPRODUCT(TRANSPOSE(CT$4:CT$20),$G27:$W27)</f>
        <v>240</v>
      </c>
      <c r="CU27" s="93" cm="1">
        <f t="array" ref="CU27">SUMPRODUCT(TRANSPOSE(CU$4:CU$20),$G27:$W27)</f>
        <v>240</v>
      </c>
      <c r="CV27" s="93" cm="1">
        <f t="array" ref="CV27">SUMPRODUCT(TRANSPOSE(CV$4:CV$20),$G27:$W27)</f>
        <v>240</v>
      </c>
      <c r="CW27" s="93" cm="1">
        <f t="array" ref="CW27">SUMPRODUCT(TRANSPOSE(CW$4:CW$20),$G27:$W27)</f>
        <v>240</v>
      </c>
      <c r="CX27" s="93" cm="1">
        <f t="array" ref="CX27">SUMPRODUCT(TRANSPOSE(CX$4:CX$20),$G27:$W27)</f>
        <v>240</v>
      </c>
      <c r="CY27" s="93" cm="1">
        <f t="array" ref="CY27">SUMPRODUCT(TRANSPOSE(CY$4:CY$20),$G27:$W27)</f>
        <v>240</v>
      </c>
      <c r="CZ27" s="93" cm="1">
        <f t="array" ref="CZ27">SUMPRODUCT(TRANSPOSE(CZ$4:CZ$20),$G27:$W27)</f>
        <v>240</v>
      </c>
      <c r="DA27" s="93" cm="1">
        <f t="array" ref="DA27">SUMPRODUCT(TRANSPOSE(DA$4:DA$20),$G27:$W27)</f>
        <v>240</v>
      </c>
      <c r="DB27" s="93" cm="1">
        <f t="array" ref="DB27">SUMPRODUCT(TRANSPOSE(DB$4:DB$20),$G27:$W27)</f>
        <v>56</v>
      </c>
      <c r="DC27" s="93" cm="1">
        <f t="array" ref="DC27">SUMPRODUCT(TRANSPOSE(DC$4:DC$20),$G27:$W27)</f>
        <v>0</v>
      </c>
      <c r="DD27" s="93" cm="1">
        <f t="array" ref="DD27">SUMPRODUCT(TRANSPOSE(DD$4:DD$20),$G27:$W27)</f>
        <v>0</v>
      </c>
      <c r="DE27" s="93" cm="1">
        <f t="array" ref="DE27">SUMPRODUCT(TRANSPOSE(DE$4:DE$20),$G27:$W27)</f>
        <v>0</v>
      </c>
      <c r="DF27" s="93" cm="1">
        <f t="array" ref="DF27">SUMPRODUCT(TRANSPOSE(DF$4:DF$20),$G27:$W27)</f>
        <v>0</v>
      </c>
      <c r="DG27" s="93" cm="1">
        <f t="array" ref="DG27">SUMPRODUCT(TRANSPOSE(DG$4:DG$20),$G27:$W27)</f>
        <v>0</v>
      </c>
      <c r="DH27" s="93" cm="1">
        <f t="array" ref="DH27">SUMPRODUCT(TRANSPOSE(DH$4:DH$20),$G27:$W27)</f>
        <v>0</v>
      </c>
      <c r="DI27" s="93" cm="1">
        <f t="array" ref="DI27">SUMPRODUCT(TRANSPOSE(DI$4:DI$20),$G27:$W27)</f>
        <v>0</v>
      </c>
      <c r="DJ27" s="93" cm="1">
        <f t="array" ref="DJ27">SUMPRODUCT(TRANSPOSE(DJ$4:DJ$20),$G27:$W27)</f>
        <v>0</v>
      </c>
      <c r="DK27" s="93" cm="1">
        <f t="array" ref="DK27">SUMPRODUCT(TRANSPOSE(DK$4:DK$20),$G27:$W27)</f>
        <v>0</v>
      </c>
      <c r="DL27" s="93" cm="1">
        <f t="array" ref="DL27">SUMPRODUCT(TRANSPOSE(DL$4:DL$20),$G27:$W27)</f>
        <v>0</v>
      </c>
      <c r="DM27" s="93" cm="1">
        <f t="array" ref="DM27">SUMPRODUCT(TRANSPOSE(DM$4:DM$20),$G27:$W27)</f>
        <v>0</v>
      </c>
      <c r="DN27" s="93" cm="1">
        <f t="array" ref="DN27">SUMPRODUCT(TRANSPOSE(DN$4:DN$20),$G27:$W27)</f>
        <v>0</v>
      </c>
      <c r="DO27" s="93" cm="1">
        <f t="array" ref="DO27">SUMPRODUCT(TRANSPOSE(DO$4:DO$20),$G27:$W27)</f>
        <v>0</v>
      </c>
    </row>
    <row r="28" spans="1:119" x14ac:dyDescent="0.2">
      <c r="A28" s="45">
        <f t="shared" si="26"/>
        <v>7</v>
      </c>
      <c r="B28" s="46" t="s">
        <v>173</v>
      </c>
      <c r="C28" s="45">
        <v>401225108</v>
      </c>
      <c r="D28" s="45" t="s">
        <v>174</v>
      </c>
      <c r="E28" s="45" t="s">
        <v>162</v>
      </c>
      <c r="F28" s="48">
        <v>2</v>
      </c>
      <c r="G28" s="100">
        <v>0</v>
      </c>
      <c r="H28" s="100">
        <v>0</v>
      </c>
      <c r="I28" s="100">
        <v>0</v>
      </c>
      <c r="J28" s="100">
        <v>0</v>
      </c>
      <c r="K28" s="100">
        <v>0</v>
      </c>
      <c r="L28" s="100">
        <v>0</v>
      </c>
      <c r="M28" s="100">
        <v>0</v>
      </c>
      <c r="N28" s="100">
        <v>0</v>
      </c>
      <c r="O28" s="100">
        <v>0</v>
      </c>
      <c r="P28" s="100">
        <v>0</v>
      </c>
      <c r="Q28" s="100">
        <v>34</v>
      </c>
      <c r="R28" s="100">
        <v>0</v>
      </c>
      <c r="S28" s="100">
        <v>0</v>
      </c>
      <c r="T28" s="100">
        <v>0</v>
      </c>
      <c r="U28" s="100">
        <v>0</v>
      </c>
      <c r="V28" s="100">
        <v>0</v>
      </c>
      <c r="W28" s="100">
        <v>0</v>
      </c>
      <c r="X28" s="45" t="s">
        <v>38</v>
      </c>
      <c r="Y28" s="49">
        <v>0.17</v>
      </c>
      <c r="Z28" s="45">
        <v>40000</v>
      </c>
      <c r="AA28" s="45">
        <v>0</v>
      </c>
      <c r="AB28" s="45">
        <v>0</v>
      </c>
      <c r="AC28" s="45">
        <v>0</v>
      </c>
      <c r="AD28" s="45">
        <v>0</v>
      </c>
      <c r="AE28" s="45">
        <v>0</v>
      </c>
      <c r="AF28" s="45">
        <v>0</v>
      </c>
      <c r="AG28" s="45">
        <v>0</v>
      </c>
      <c r="AH28" s="45">
        <v>0</v>
      </c>
      <c r="AI28" s="45">
        <v>0</v>
      </c>
      <c r="AJ28" s="45">
        <v>0</v>
      </c>
      <c r="AK28" s="45">
        <v>0</v>
      </c>
      <c r="AL28" s="45">
        <v>0</v>
      </c>
      <c r="AM28" s="45">
        <v>0</v>
      </c>
      <c r="AN28" s="45">
        <v>0</v>
      </c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93"/>
      <c r="BE28" s="93"/>
      <c r="BF28" s="93"/>
      <c r="BG28" s="93"/>
      <c r="BH28" s="93"/>
      <c r="BI28" s="93"/>
      <c r="BJ28" s="93"/>
      <c r="BK28" s="93">
        <f>SUM($Z28:AD28)-SUM($CM28:CQ28)</f>
        <v>38810</v>
      </c>
      <c r="BL28" s="93">
        <f>SUM($Z28:AE28)-SUM($CM28:CR28)</f>
        <v>37620</v>
      </c>
      <c r="BM28" s="93">
        <f>SUM($Z28:AF28)-SUM($CM28:CS28)</f>
        <v>36430</v>
      </c>
      <c r="BN28" s="93">
        <f>SUM($Z28:AG28)-SUM($CM28:CT28)</f>
        <v>35410</v>
      </c>
      <c r="BO28" s="93">
        <f>SUM($Z28:AH28)-SUM($CM28:CU28)</f>
        <v>34390</v>
      </c>
      <c r="BP28" s="93">
        <f>SUM($Z28:AI28)-SUM($CM28:CV28)</f>
        <v>33370</v>
      </c>
      <c r="BQ28" s="93">
        <f>SUM($Z28:AJ28)-SUM($CM28:CW28)</f>
        <v>32350</v>
      </c>
      <c r="BR28" s="93">
        <f>SUM($Z28:AK28)-SUM($CM28:CX28)</f>
        <v>31330</v>
      </c>
      <c r="BS28" s="93">
        <f>SUM($Z28:AL28)-SUM($CM28:CY28)</f>
        <v>30310</v>
      </c>
      <c r="BT28" s="93">
        <f>SUM($Z28:AM28)-SUM($CM28:CZ28)</f>
        <v>29290</v>
      </c>
      <c r="BU28" s="93">
        <f>SUM($Z28:AN28)-SUM($CM28:DA28)</f>
        <v>28270</v>
      </c>
      <c r="BV28" s="93">
        <f>SUM($Z28:AO28)-SUM($CM28:DB28)</f>
        <v>27794</v>
      </c>
      <c r="BW28" s="93">
        <f>SUM($Z28:AP28)-SUM($CM28:DC28)</f>
        <v>27794</v>
      </c>
      <c r="BX28" s="93">
        <f>SUM($Z28:AQ28)-SUM($CM28:DD28)</f>
        <v>27794</v>
      </c>
      <c r="BY28" s="93">
        <f>SUM($Z28:AR28)-SUM($CM28:DE28)</f>
        <v>27794</v>
      </c>
      <c r="BZ28" s="93">
        <f>SUM($Z28:AS28)-SUM($CM28:DF28)</f>
        <v>27794</v>
      </c>
      <c r="CA28" s="93">
        <f>SUM($Z28:AT28)-SUM($CM28:DG28)</f>
        <v>27794</v>
      </c>
      <c r="CB28" s="93">
        <f>SUM($Z28:AU28)-SUM($CM28:DH28)</f>
        <v>27794</v>
      </c>
      <c r="CC28" s="93">
        <f>SUM($Z28:AV28)-SUM($CM28:DI28)</f>
        <v>27794</v>
      </c>
      <c r="CD28" s="93">
        <f>SUM($Z28:AW28)-SUM($CM28:DJ28)</f>
        <v>27794</v>
      </c>
      <c r="CE28" s="93">
        <f>SUM($Z28:AX28)-SUM($CM28:DK28)</f>
        <v>27794</v>
      </c>
      <c r="CF28" s="93">
        <f>SUM($Z28:AY28)-SUM($CM28:DL28)</f>
        <v>27794</v>
      </c>
      <c r="CG28" s="93">
        <f>SUM($Z28:AZ28)-SUM($CM28:DM28)</f>
        <v>27794</v>
      </c>
      <c r="CH28" s="93">
        <f>SUM($Z28:BA28)-SUM($CM28:DN28)</f>
        <v>27794</v>
      </c>
      <c r="CI28" s="93">
        <f>SUM($Z28:BB28)-SUM($CM28:DO28)</f>
        <v>27794</v>
      </c>
      <c r="CJ28" s="93"/>
      <c r="CK28" s="93"/>
      <c r="CL28" s="93"/>
      <c r="CM28" s="93"/>
      <c r="CN28" s="93" cm="1">
        <f t="array" ref="CN28">SUMPRODUCT(TRANSPOSE(CN$4:CN$20),$G28:$W28)</f>
        <v>0</v>
      </c>
      <c r="CO28" s="93" cm="1">
        <f t="array" ref="CO28">SUMPRODUCT(TRANSPOSE(CO$4:CO$20),$G28:$W28)</f>
        <v>0</v>
      </c>
      <c r="CP28" s="93" cm="1">
        <f t="array" ref="CP28">SUMPRODUCT(TRANSPOSE(CP$4:CP$20),$G28:$W28)</f>
        <v>0</v>
      </c>
      <c r="CQ28" s="93" cm="1">
        <f t="array" ref="CQ28">SUMPRODUCT(TRANSPOSE(CQ$4:CQ$20),$G28:$W28)</f>
        <v>1190</v>
      </c>
      <c r="CR28" s="93" cm="1">
        <f t="array" ref="CR28">SUMPRODUCT(TRANSPOSE(CR$4:CR$20),$G28:$W28)</f>
        <v>1190</v>
      </c>
      <c r="CS28" s="93" cm="1">
        <f t="array" ref="CS28">SUMPRODUCT(TRANSPOSE(CS$4:CS$20),$G28:$W28)</f>
        <v>1190</v>
      </c>
      <c r="CT28" s="93" cm="1">
        <f t="array" ref="CT28">SUMPRODUCT(TRANSPOSE(CT$4:CT$20),$G28:$W28)</f>
        <v>1020</v>
      </c>
      <c r="CU28" s="93" cm="1">
        <f t="array" ref="CU28">SUMPRODUCT(TRANSPOSE(CU$4:CU$20),$G28:$W28)</f>
        <v>1020</v>
      </c>
      <c r="CV28" s="93" cm="1">
        <f t="array" ref="CV28">SUMPRODUCT(TRANSPOSE(CV$4:CV$20),$G28:$W28)</f>
        <v>1020</v>
      </c>
      <c r="CW28" s="93" cm="1">
        <f t="array" ref="CW28">SUMPRODUCT(TRANSPOSE(CW$4:CW$20),$G28:$W28)</f>
        <v>1020</v>
      </c>
      <c r="CX28" s="93" cm="1">
        <f t="array" ref="CX28">SUMPRODUCT(TRANSPOSE(CX$4:CX$20),$G28:$W28)</f>
        <v>1020</v>
      </c>
      <c r="CY28" s="93" cm="1">
        <f t="array" ref="CY28">SUMPRODUCT(TRANSPOSE(CY$4:CY$20),$G28:$W28)</f>
        <v>1020</v>
      </c>
      <c r="CZ28" s="93" cm="1">
        <f t="array" ref="CZ28">SUMPRODUCT(TRANSPOSE(CZ$4:CZ$20),$G28:$W28)</f>
        <v>1020</v>
      </c>
      <c r="DA28" s="93" cm="1">
        <f t="array" ref="DA28">SUMPRODUCT(TRANSPOSE(DA$4:DA$20),$G28:$W28)</f>
        <v>1020</v>
      </c>
      <c r="DB28" s="93" cm="1">
        <f t="array" ref="DB28">SUMPRODUCT(TRANSPOSE(DB$4:DB$20),$G28:$W28)</f>
        <v>476</v>
      </c>
      <c r="DC28" s="93" cm="1">
        <f t="array" ref="DC28">SUMPRODUCT(TRANSPOSE(DC$4:DC$20),$G28:$W28)</f>
        <v>0</v>
      </c>
      <c r="DD28" s="93" cm="1">
        <f t="array" ref="DD28">SUMPRODUCT(TRANSPOSE(DD$4:DD$20),$G28:$W28)</f>
        <v>0</v>
      </c>
      <c r="DE28" s="93" cm="1">
        <f t="array" ref="DE28">SUMPRODUCT(TRANSPOSE(DE$4:DE$20),$G28:$W28)</f>
        <v>0</v>
      </c>
      <c r="DF28" s="93" cm="1">
        <f t="array" ref="DF28">SUMPRODUCT(TRANSPOSE(DF$4:DF$20),$G28:$W28)</f>
        <v>0</v>
      </c>
      <c r="DG28" s="93" cm="1">
        <f t="array" ref="DG28">SUMPRODUCT(TRANSPOSE(DG$4:DG$20),$G28:$W28)</f>
        <v>0</v>
      </c>
      <c r="DH28" s="93" cm="1">
        <f t="array" ref="DH28">SUMPRODUCT(TRANSPOSE(DH$4:DH$20),$G28:$W28)</f>
        <v>0</v>
      </c>
      <c r="DI28" s="93" cm="1">
        <f t="array" ref="DI28">SUMPRODUCT(TRANSPOSE(DI$4:DI$20),$G28:$W28)</f>
        <v>0</v>
      </c>
      <c r="DJ28" s="93" cm="1">
        <f t="array" ref="DJ28">SUMPRODUCT(TRANSPOSE(DJ$4:DJ$20),$G28:$W28)</f>
        <v>0</v>
      </c>
      <c r="DK28" s="93" cm="1">
        <f t="array" ref="DK28">SUMPRODUCT(TRANSPOSE(DK$4:DK$20),$G28:$W28)</f>
        <v>0</v>
      </c>
      <c r="DL28" s="93" cm="1">
        <f t="array" ref="DL28">SUMPRODUCT(TRANSPOSE(DL$4:DL$20),$G28:$W28)</f>
        <v>0</v>
      </c>
      <c r="DM28" s="93" cm="1">
        <f t="array" ref="DM28">SUMPRODUCT(TRANSPOSE(DM$4:DM$20),$G28:$W28)</f>
        <v>0</v>
      </c>
      <c r="DN28" s="93" cm="1">
        <f t="array" ref="DN28">SUMPRODUCT(TRANSPOSE(DN$4:DN$20),$G28:$W28)</f>
        <v>0</v>
      </c>
      <c r="DO28" s="93" cm="1">
        <f t="array" ref="DO28">SUMPRODUCT(TRANSPOSE(DO$4:DO$20),$G28:$W28)</f>
        <v>0</v>
      </c>
    </row>
    <row r="29" spans="1:119" x14ac:dyDescent="0.2">
      <c r="A29" s="45">
        <f t="shared" si="26"/>
        <v>8</v>
      </c>
      <c r="B29" s="46" t="s">
        <v>175</v>
      </c>
      <c r="C29" s="45">
        <v>401225101</v>
      </c>
      <c r="D29" s="45" t="s">
        <v>176</v>
      </c>
      <c r="E29" s="45" t="s">
        <v>162</v>
      </c>
      <c r="F29" s="48">
        <v>2</v>
      </c>
      <c r="G29" s="100">
        <v>0</v>
      </c>
      <c r="H29" s="100">
        <v>0</v>
      </c>
      <c r="I29" s="100">
        <v>0</v>
      </c>
      <c r="J29" s="100">
        <v>0</v>
      </c>
      <c r="K29" s="100">
        <v>0</v>
      </c>
      <c r="L29" s="100">
        <v>0</v>
      </c>
      <c r="M29" s="100">
        <v>0</v>
      </c>
      <c r="N29" s="100">
        <v>0</v>
      </c>
      <c r="O29" s="100">
        <v>0</v>
      </c>
      <c r="P29" s="100">
        <v>0</v>
      </c>
      <c r="Q29" s="100">
        <v>34</v>
      </c>
      <c r="R29" s="100">
        <v>0</v>
      </c>
      <c r="S29" s="100">
        <v>0</v>
      </c>
      <c r="T29" s="100">
        <v>0</v>
      </c>
      <c r="U29" s="100">
        <v>0</v>
      </c>
      <c r="V29" s="100">
        <v>0</v>
      </c>
      <c r="W29" s="100">
        <v>0</v>
      </c>
      <c r="X29" s="45" t="s">
        <v>38</v>
      </c>
      <c r="Y29" s="49">
        <v>0.17</v>
      </c>
      <c r="Z29" s="45">
        <v>40000</v>
      </c>
      <c r="AA29" s="45">
        <v>0</v>
      </c>
      <c r="AB29" s="45">
        <v>0</v>
      </c>
      <c r="AC29" s="45">
        <v>0</v>
      </c>
      <c r="AD29" s="45">
        <v>0</v>
      </c>
      <c r="AE29" s="45">
        <v>0</v>
      </c>
      <c r="AF29" s="45">
        <v>0</v>
      </c>
      <c r="AG29" s="45">
        <v>0</v>
      </c>
      <c r="AH29" s="45">
        <v>0</v>
      </c>
      <c r="AI29" s="45">
        <v>0</v>
      </c>
      <c r="AJ29" s="45">
        <v>0</v>
      </c>
      <c r="AK29" s="45">
        <v>0</v>
      </c>
      <c r="AL29" s="45">
        <v>0</v>
      </c>
      <c r="AM29" s="45">
        <v>0</v>
      </c>
      <c r="AN29" s="45">
        <v>0</v>
      </c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93"/>
      <c r="BE29" s="93"/>
      <c r="BF29" s="93"/>
      <c r="BG29" s="93"/>
      <c r="BH29" s="93"/>
      <c r="BI29" s="93"/>
      <c r="BJ29" s="93"/>
      <c r="BK29" s="93">
        <f>SUM($Z29:AD29)-SUM($CM29:CQ29)</f>
        <v>38810</v>
      </c>
      <c r="BL29" s="93">
        <f>SUM($Z29:AE29)-SUM($CM29:CR29)</f>
        <v>37620</v>
      </c>
      <c r="BM29" s="93">
        <f>SUM($Z29:AF29)-SUM($CM29:CS29)</f>
        <v>36430</v>
      </c>
      <c r="BN29" s="93">
        <f>SUM($Z29:AG29)-SUM($CM29:CT29)</f>
        <v>35410</v>
      </c>
      <c r="BO29" s="93">
        <f>SUM($Z29:AH29)-SUM($CM29:CU29)</f>
        <v>34390</v>
      </c>
      <c r="BP29" s="93">
        <f>SUM($Z29:AI29)-SUM($CM29:CV29)</f>
        <v>33370</v>
      </c>
      <c r="BQ29" s="93">
        <f>SUM($Z29:AJ29)-SUM($CM29:CW29)</f>
        <v>32350</v>
      </c>
      <c r="BR29" s="93">
        <f>SUM($Z29:AK29)-SUM($CM29:CX29)</f>
        <v>31330</v>
      </c>
      <c r="BS29" s="93">
        <f>SUM($Z29:AL29)-SUM($CM29:CY29)</f>
        <v>30310</v>
      </c>
      <c r="BT29" s="93">
        <f>SUM($Z29:AM29)-SUM($CM29:CZ29)</f>
        <v>29290</v>
      </c>
      <c r="BU29" s="93">
        <f>SUM($Z29:AN29)-SUM($CM29:DA29)</f>
        <v>28270</v>
      </c>
      <c r="BV29" s="93">
        <f>SUM($Z29:AO29)-SUM($CM29:DB29)</f>
        <v>27794</v>
      </c>
      <c r="BW29" s="93">
        <f>SUM($Z29:AP29)-SUM($CM29:DC29)</f>
        <v>27794</v>
      </c>
      <c r="BX29" s="93">
        <f>SUM($Z29:AQ29)-SUM($CM29:DD29)</f>
        <v>27794</v>
      </c>
      <c r="BY29" s="93">
        <f>SUM($Z29:AR29)-SUM($CM29:DE29)</f>
        <v>27794</v>
      </c>
      <c r="BZ29" s="93">
        <f>SUM($Z29:AS29)-SUM($CM29:DF29)</f>
        <v>27794</v>
      </c>
      <c r="CA29" s="93">
        <f>SUM($Z29:AT29)-SUM($CM29:DG29)</f>
        <v>27794</v>
      </c>
      <c r="CB29" s="93">
        <f>SUM($Z29:AU29)-SUM($CM29:DH29)</f>
        <v>27794</v>
      </c>
      <c r="CC29" s="93">
        <f>SUM($Z29:AV29)-SUM($CM29:DI29)</f>
        <v>27794</v>
      </c>
      <c r="CD29" s="93">
        <f>SUM($Z29:AW29)-SUM($CM29:DJ29)</f>
        <v>27794</v>
      </c>
      <c r="CE29" s="93">
        <f>SUM($Z29:AX29)-SUM($CM29:DK29)</f>
        <v>27794</v>
      </c>
      <c r="CF29" s="93">
        <f>SUM($Z29:AY29)-SUM($CM29:DL29)</f>
        <v>27794</v>
      </c>
      <c r="CG29" s="93">
        <f>SUM($Z29:AZ29)-SUM($CM29:DM29)</f>
        <v>27794</v>
      </c>
      <c r="CH29" s="93">
        <f>SUM($Z29:BA29)-SUM($CM29:DN29)</f>
        <v>27794</v>
      </c>
      <c r="CI29" s="93">
        <f>SUM($Z29:BB29)-SUM($CM29:DO29)</f>
        <v>27794</v>
      </c>
      <c r="CJ29" s="93"/>
      <c r="CK29" s="93"/>
      <c r="CL29" s="93"/>
      <c r="CM29" s="93"/>
      <c r="CN29" s="93" cm="1">
        <f t="array" ref="CN29">SUMPRODUCT(TRANSPOSE(CN$4:CN$20),$G29:$W29)</f>
        <v>0</v>
      </c>
      <c r="CO29" s="93" cm="1">
        <f t="array" ref="CO29">SUMPRODUCT(TRANSPOSE(CO$4:CO$20),$G29:$W29)</f>
        <v>0</v>
      </c>
      <c r="CP29" s="93" cm="1">
        <f t="array" ref="CP29">SUMPRODUCT(TRANSPOSE(CP$4:CP$20),$G29:$W29)</f>
        <v>0</v>
      </c>
      <c r="CQ29" s="93" cm="1">
        <f t="array" ref="CQ29">SUMPRODUCT(TRANSPOSE(CQ$4:CQ$20),$G29:$W29)</f>
        <v>1190</v>
      </c>
      <c r="CR29" s="93" cm="1">
        <f t="array" ref="CR29">SUMPRODUCT(TRANSPOSE(CR$4:CR$20),$G29:$W29)</f>
        <v>1190</v>
      </c>
      <c r="CS29" s="93" cm="1">
        <f t="array" ref="CS29">SUMPRODUCT(TRANSPOSE(CS$4:CS$20),$G29:$W29)</f>
        <v>1190</v>
      </c>
      <c r="CT29" s="93" cm="1">
        <f t="array" ref="CT29">SUMPRODUCT(TRANSPOSE(CT$4:CT$20),$G29:$W29)</f>
        <v>1020</v>
      </c>
      <c r="CU29" s="93" cm="1">
        <f t="array" ref="CU29">SUMPRODUCT(TRANSPOSE(CU$4:CU$20),$G29:$W29)</f>
        <v>1020</v>
      </c>
      <c r="CV29" s="93" cm="1">
        <f t="array" ref="CV29">SUMPRODUCT(TRANSPOSE(CV$4:CV$20),$G29:$W29)</f>
        <v>1020</v>
      </c>
      <c r="CW29" s="93" cm="1">
        <f t="array" ref="CW29">SUMPRODUCT(TRANSPOSE(CW$4:CW$20),$G29:$W29)</f>
        <v>1020</v>
      </c>
      <c r="CX29" s="93" cm="1">
        <f t="array" ref="CX29">SUMPRODUCT(TRANSPOSE(CX$4:CX$20),$G29:$W29)</f>
        <v>1020</v>
      </c>
      <c r="CY29" s="93" cm="1">
        <f t="array" ref="CY29">SUMPRODUCT(TRANSPOSE(CY$4:CY$20),$G29:$W29)</f>
        <v>1020</v>
      </c>
      <c r="CZ29" s="93" cm="1">
        <f t="array" ref="CZ29">SUMPRODUCT(TRANSPOSE(CZ$4:CZ$20),$G29:$W29)</f>
        <v>1020</v>
      </c>
      <c r="DA29" s="93" cm="1">
        <f t="array" ref="DA29">SUMPRODUCT(TRANSPOSE(DA$4:DA$20),$G29:$W29)</f>
        <v>1020</v>
      </c>
      <c r="DB29" s="93" cm="1">
        <f t="array" ref="DB29">SUMPRODUCT(TRANSPOSE(DB$4:DB$20),$G29:$W29)</f>
        <v>476</v>
      </c>
      <c r="DC29" s="93" cm="1">
        <f t="array" ref="DC29">SUMPRODUCT(TRANSPOSE(DC$4:DC$20),$G29:$W29)</f>
        <v>0</v>
      </c>
      <c r="DD29" s="93" cm="1">
        <f t="array" ref="DD29">SUMPRODUCT(TRANSPOSE(DD$4:DD$20),$G29:$W29)</f>
        <v>0</v>
      </c>
      <c r="DE29" s="93" cm="1">
        <f t="array" ref="DE29">SUMPRODUCT(TRANSPOSE(DE$4:DE$20),$G29:$W29)</f>
        <v>0</v>
      </c>
      <c r="DF29" s="93" cm="1">
        <f t="array" ref="DF29">SUMPRODUCT(TRANSPOSE(DF$4:DF$20),$G29:$W29)</f>
        <v>0</v>
      </c>
      <c r="DG29" s="93" cm="1">
        <f t="array" ref="DG29">SUMPRODUCT(TRANSPOSE(DG$4:DG$20),$G29:$W29)</f>
        <v>0</v>
      </c>
      <c r="DH29" s="93" cm="1">
        <f t="array" ref="DH29">SUMPRODUCT(TRANSPOSE(DH$4:DH$20),$G29:$W29)</f>
        <v>0</v>
      </c>
      <c r="DI29" s="93" cm="1">
        <f t="array" ref="DI29">SUMPRODUCT(TRANSPOSE(DI$4:DI$20),$G29:$W29)</f>
        <v>0</v>
      </c>
      <c r="DJ29" s="93" cm="1">
        <f t="array" ref="DJ29">SUMPRODUCT(TRANSPOSE(DJ$4:DJ$20),$G29:$W29)</f>
        <v>0</v>
      </c>
      <c r="DK29" s="93" cm="1">
        <f t="array" ref="DK29">SUMPRODUCT(TRANSPOSE(DK$4:DK$20),$G29:$W29)</f>
        <v>0</v>
      </c>
      <c r="DL29" s="93" cm="1">
        <f t="array" ref="DL29">SUMPRODUCT(TRANSPOSE(DL$4:DL$20),$G29:$W29)</f>
        <v>0</v>
      </c>
      <c r="DM29" s="93" cm="1">
        <f t="array" ref="DM29">SUMPRODUCT(TRANSPOSE(DM$4:DM$20),$G29:$W29)</f>
        <v>0</v>
      </c>
      <c r="DN29" s="93" cm="1">
        <f t="array" ref="DN29">SUMPRODUCT(TRANSPOSE(DN$4:DN$20),$G29:$W29)</f>
        <v>0</v>
      </c>
      <c r="DO29" s="93" cm="1">
        <f t="array" ref="DO29">SUMPRODUCT(TRANSPOSE(DO$4:DO$20),$G29:$W29)</f>
        <v>0</v>
      </c>
    </row>
    <row r="30" spans="1:119" x14ac:dyDescent="0.2">
      <c r="A30" s="45">
        <f t="shared" si="26"/>
        <v>9</v>
      </c>
      <c r="B30" s="46" t="s">
        <v>177</v>
      </c>
      <c r="C30" s="45">
        <v>417380164</v>
      </c>
      <c r="D30" s="45" t="s">
        <v>178</v>
      </c>
      <c r="E30" s="45" t="s">
        <v>162</v>
      </c>
      <c r="F30" s="48">
        <v>2</v>
      </c>
      <c r="G30" s="100">
        <v>0</v>
      </c>
      <c r="H30" s="100">
        <v>0</v>
      </c>
      <c r="I30" s="100">
        <v>0</v>
      </c>
      <c r="J30" s="100">
        <v>0</v>
      </c>
      <c r="K30" s="100">
        <v>0</v>
      </c>
      <c r="L30" s="100">
        <v>0</v>
      </c>
      <c r="M30" s="100">
        <v>0</v>
      </c>
      <c r="N30" s="100">
        <v>0</v>
      </c>
      <c r="O30" s="100">
        <v>0</v>
      </c>
      <c r="P30" s="100">
        <v>0</v>
      </c>
      <c r="Q30" s="100">
        <v>0</v>
      </c>
      <c r="R30" s="100">
        <v>0</v>
      </c>
      <c r="S30" s="100">
        <v>0</v>
      </c>
      <c r="T30" s="100">
        <v>0</v>
      </c>
      <c r="U30" s="100">
        <v>0</v>
      </c>
      <c r="V30" s="100">
        <v>0</v>
      </c>
      <c r="W30" s="100">
        <v>0</v>
      </c>
      <c r="X30" s="45" t="s">
        <v>39</v>
      </c>
      <c r="Y30" s="49">
        <v>0.111</v>
      </c>
      <c r="Z30" s="45">
        <v>36000</v>
      </c>
      <c r="AA30" s="45">
        <v>0</v>
      </c>
      <c r="AB30" s="45">
        <v>0</v>
      </c>
      <c r="AC30" s="45">
        <v>0</v>
      </c>
      <c r="AD30" s="45">
        <v>0</v>
      </c>
      <c r="AE30" s="45">
        <v>0</v>
      </c>
      <c r="AF30" s="45">
        <v>0</v>
      </c>
      <c r="AG30" s="45">
        <v>0</v>
      </c>
      <c r="AH30" s="45">
        <v>0</v>
      </c>
      <c r="AI30" s="45">
        <v>0</v>
      </c>
      <c r="AJ30" s="45">
        <v>0</v>
      </c>
      <c r="AK30" s="45">
        <v>0</v>
      </c>
      <c r="AL30" s="45">
        <v>0</v>
      </c>
      <c r="AM30" s="45">
        <v>0</v>
      </c>
      <c r="AN30" s="45">
        <v>0</v>
      </c>
      <c r="AO30" s="45"/>
      <c r="AP30" s="45"/>
      <c r="AQ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5"/>
      <c r="BC30" s="45"/>
      <c r="BD30" s="93"/>
      <c r="BE30" s="93"/>
      <c r="BF30" s="93"/>
      <c r="BG30" s="93"/>
      <c r="BH30" s="93"/>
      <c r="BI30" s="93"/>
      <c r="BJ30" s="93"/>
      <c r="BK30" s="93">
        <f>SUM($Z30:AD30)-SUM($CM30:CQ30)</f>
        <v>36000</v>
      </c>
      <c r="BL30" s="93">
        <f>SUM($Z30:AE30)-SUM($CM30:CR30)</f>
        <v>36000</v>
      </c>
      <c r="BM30" s="93">
        <f>SUM($Z30:AF30)-SUM($CM30:CS30)</f>
        <v>36000</v>
      </c>
      <c r="BN30" s="93">
        <f>SUM($Z30:AG30)-SUM($CM30:CT30)</f>
        <v>36000</v>
      </c>
      <c r="BO30" s="93">
        <f>SUM($Z30:AH30)-SUM($CM30:CU30)</f>
        <v>36000</v>
      </c>
      <c r="BP30" s="93">
        <f>SUM($Z30:AI30)-SUM($CM30:CV30)</f>
        <v>36000</v>
      </c>
      <c r="BQ30" s="93">
        <f>SUM($Z30:AJ30)-SUM($CM30:CW30)</f>
        <v>36000</v>
      </c>
      <c r="BR30" s="93">
        <f>SUM($Z30:AK30)-SUM($CM30:CX30)</f>
        <v>36000</v>
      </c>
      <c r="BS30" s="93">
        <f>SUM($Z30:AL30)-SUM($CM30:CY30)</f>
        <v>36000</v>
      </c>
      <c r="BT30" s="93">
        <f>SUM($Z30:AM30)-SUM($CM30:CZ30)</f>
        <v>36000</v>
      </c>
      <c r="BU30" s="93">
        <f>SUM($Z30:AN30)-SUM($CM30:DA30)</f>
        <v>36000</v>
      </c>
      <c r="BV30" s="93">
        <f>SUM($Z30:AO30)-SUM($CM30:DB30)</f>
        <v>36000</v>
      </c>
      <c r="BW30" s="93">
        <f>SUM($Z30:AP30)-SUM($CM30:DC30)</f>
        <v>36000</v>
      </c>
      <c r="BX30" s="93">
        <f>SUM($Z30:AQ30)-SUM($CM30:DD30)</f>
        <v>36000</v>
      </c>
      <c r="BY30" s="93">
        <f>SUM($Z30:AR30)-SUM($CM30:DE30)</f>
        <v>36000</v>
      </c>
      <c r="BZ30" s="93">
        <f>SUM($Z30:AS30)-SUM($CM30:DF30)</f>
        <v>36000</v>
      </c>
      <c r="CA30" s="93">
        <f>SUM($Z30:AT30)-SUM($CM30:DG30)</f>
        <v>36000</v>
      </c>
      <c r="CB30" s="93">
        <f>SUM($Z30:AU30)-SUM($CM30:DH30)</f>
        <v>36000</v>
      </c>
      <c r="CC30" s="93">
        <f>SUM($Z30:AV30)-SUM($CM30:DI30)</f>
        <v>36000</v>
      </c>
      <c r="CD30" s="93">
        <f>SUM($Z30:AW30)-SUM($CM30:DJ30)</f>
        <v>36000</v>
      </c>
      <c r="CE30" s="93">
        <f>SUM($Z30:AX30)-SUM($CM30:DK30)</f>
        <v>36000</v>
      </c>
      <c r="CF30" s="93">
        <f>SUM($Z30:AY30)-SUM($CM30:DL30)</f>
        <v>36000</v>
      </c>
      <c r="CG30" s="93">
        <f>SUM($Z30:AZ30)-SUM($CM30:DM30)</f>
        <v>36000</v>
      </c>
      <c r="CH30" s="93">
        <f>SUM($Z30:BA30)-SUM($CM30:DN30)</f>
        <v>36000</v>
      </c>
      <c r="CI30" s="93">
        <f>SUM($Z30:BB30)-SUM($CM30:DO30)</f>
        <v>36000</v>
      </c>
      <c r="CJ30" s="93"/>
      <c r="CK30" s="93"/>
      <c r="CL30" s="93"/>
      <c r="CM30" s="93"/>
      <c r="CN30" s="93" cm="1">
        <f t="array" ref="CN30">SUMPRODUCT(TRANSPOSE(CN$4:CN$20),$G30:$W30)</f>
        <v>0</v>
      </c>
      <c r="CO30" s="93" cm="1">
        <f t="array" ref="CO30">SUMPRODUCT(TRANSPOSE(CO$4:CO$20),$G30:$W30)</f>
        <v>0</v>
      </c>
      <c r="CP30" s="93" cm="1">
        <f t="array" ref="CP30">SUMPRODUCT(TRANSPOSE(CP$4:CP$20),$G30:$W30)</f>
        <v>0</v>
      </c>
      <c r="CQ30" s="93" cm="1">
        <f t="array" ref="CQ30">SUMPRODUCT(TRANSPOSE(CQ$4:CQ$20),$G30:$W30)</f>
        <v>0</v>
      </c>
      <c r="CR30" s="93" cm="1">
        <f t="array" ref="CR30">SUMPRODUCT(TRANSPOSE(CR$4:CR$20),$G30:$W30)</f>
        <v>0</v>
      </c>
      <c r="CS30" s="93" cm="1">
        <f t="array" ref="CS30">SUMPRODUCT(TRANSPOSE(CS$4:CS$20),$G30:$W30)</f>
        <v>0</v>
      </c>
      <c r="CT30" s="93" cm="1">
        <f t="array" ref="CT30">SUMPRODUCT(TRANSPOSE(CT$4:CT$20),$G30:$W30)</f>
        <v>0</v>
      </c>
      <c r="CU30" s="93" cm="1">
        <f t="array" ref="CU30">SUMPRODUCT(TRANSPOSE(CU$4:CU$20),$G30:$W30)</f>
        <v>0</v>
      </c>
      <c r="CV30" s="93" cm="1">
        <f t="array" ref="CV30">SUMPRODUCT(TRANSPOSE(CV$4:CV$20),$G30:$W30)</f>
        <v>0</v>
      </c>
      <c r="CW30" s="93" cm="1">
        <f t="array" ref="CW30">SUMPRODUCT(TRANSPOSE(CW$4:CW$20),$G30:$W30)</f>
        <v>0</v>
      </c>
      <c r="CX30" s="93" cm="1">
        <f t="array" ref="CX30">SUMPRODUCT(TRANSPOSE(CX$4:CX$20),$G30:$W30)</f>
        <v>0</v>
      </c>
      <c r="CY30" s="93" cm="1">
        <f t="array" ref="CY30">SUMPRODUCT(TRANSPOSE(CY$4:CY$20),$G30:$W30)</f>
        <v>0</v>
      </c>
      <c r="CZ30" s="93" cm="1">
        <f t="array" ref="CZ30">SUMPRODUCT(TRANSPOSE(CZ$4:CZ$20),$G30:$W30)</f>
        <v>0</v>
      </c>
      <c r="DA30" s="93" cm="1">
        <f t="array" ref="DA30">SUMPRODUCT(TRANSPOSE(DA$4:DA$20),$G30:$W30)</f>
        <v>0</v>
      </c>
      <c r="DB30" s="93" cm="1">
        <f t="array" ref="DB30">SUMPRODUCT(TRANSPOSE(DB$4:DB$20),$G30:$W30)</f>
        <v>0</v>
      </c>
      <c r="DC30" s="93" cm="1">
        <f t="array" ref="DC30">SUMPRODUCT(TRANSPOSE(DC$4:DC$20),$G30:$W30)</f>
        <v>0</v>
      </c>
      <c r="DD30" s="93" cm="1">
        <f t="array" ref="DD30">SUMPRODUCT(TRANSPOSE(DD$4:DD$20),$G30:$W30)</f>
        <v>0</v>
      </c>
      <c r="DE30" s="93" cm="1">
        <f t="array" ref="DE30">SUMPRODUCT(TRANSPOSE(DE$4:DE$20),$G30:$W30)</f>
        <v>0</v>
      </c>
      <c r="DF30" s="93" cm="1">
        <f t="array" ref="DF30">SUMPRODUCT(TRANSPOSE(DF$4:DF$20),$G30:$W30)</f>
        <v>0</v>
      </c>
      <c r="DG30" s="93" cm="1">
        <f t="array" ref="DG30">SUMPRODUCT(TRANSPOSE(DG$4:DG$20),$G30:$W30)</f>
        <v>0</v>
      </c>
      <c r="DH30" s="93" cm="1">
        <f t="array" ref="DH30">SUMPRODUCT(TRANSPOSE(DH$4:DH$20),$G30:$W30)</f>
        <v>0</v>
      </c>
      <c r="DI30" s="93" cm="1">
        <f t="array" ref="DI30">SUMPRODUCT(TRANSPOSE(DI$4:DI$20),$G30:$W30)</f>
        <v>0</v>
      </c>
      <c r="DJ30" s="93" cm="1">
        <f t="array" ref="DJ30">SUMPRODUCT(TRANSPOSE(DJ$4:DJ$20),$G30:$W30)</f>
        <v>0</v>
      </c>
      <c r="DK30" s="93" cm="1">
        <f t="array" ref="DK30">SUMPRODUCT(TRANSPOSE(DK$4:DK$20),$G30:$W30)</f>
        <v>0</v>
      </c>
      <c r="DL30" s="93" cm="1">
        <f t="array" ref="DL30">SUMPRODUCT(TRANSPOSE(DL$4:DL$20),$G30:$W30)</f>
        <v>0</v>
      </c>
      <c r="DM30" s="93" cm="1">
        <f t="array" ref="DM30">SUMPRODUCT(TRANSPOSE(DM$4:DM$20),$G30:$W30)</f>
        <v>0</v>
      </c>
      <c r="DN30" s="93" cm="1">
        <f t="array" ref="DN30">SUMPRODUCT(TRANSPOSE(DN$4:DN$20),$G30:$W30)</f>
        <v>0</v>
      </c>
      <c r="DO30" s="93" cm="1">
        <f t="array" ref="DO30">SUMPRODUCT(TRANSPOSE(DO$4:DO$20),$G30:$W30)</f>
        <v>0</v>
      </c>
    </row>
    <row r="31" spans="1:119" x14ac:dyDescent="0.2">
      <c r="A31" s="45">
        <f t="shared" si="26"/>
        <v>10</v>
      </c>
      <c r="B31" s="46" t="s">
        <v>179</v>
      </c>
      <c r="C31" s="45">
        <v>409331536</v>
      </c>
      <c r="D31" s="45" t="s">
        <v>180</v>
      </c>
      <c r="E31" s="45" t="s">
        <v>162</v>
      </c>
      <c r="F31" s="48">
        <v>2</v>
      </c>
      <c r="G31" s="100">
        <v>0</v>
      </c>
      <c r="H31" s="100">
        <v>0</v>
      </c>
      <c r="I31" s="100">
        <v>0</v>
      </c>
      <c r="J31" s="100">
        <v>0</v>
      </c>
      <c r="K31" s="100">
        <v>0</v>
      </c>
      <c r="L31" s="100">
        <v>0</v>
      </c>
      <c r="M31" s="100">
        <v>0</v>
      </c>
      <c r="N31" s="100">
        <v>0</v>
      </c>
      <c r="O31" s="100">
        <v>0</v>
      </c>
      <c r="P31" s="100">
        <v>0</v>
      </c>
      <c r="Q31" s="100">
        <v>35</v>
      </c>
      <c r="R31" s="100">
        <v>0</v>
      </c>
      <c r="S31" s="100">
        <v>0</v>
      </c>
      <c r="T31" s="100">
        <v>0</v>
      </c>
      <c r="U31" s="100">
        <v>35</v>
      </c>
      <c r="V31" s="100">
        <v>0</v>
      </c>
      <c r="W31" s="100">
        <v>0</v>
      </c>
      <c r="X31" s="45" t="s">
        <v>39</v>
      </c>
      <c r="Y31" s="49">
        <v>0.111</v>
      </c>
      <c r="Z31" s="45">
        <v>39000</v>
      </c>
      <c r="AA31" s="45">
        <v>0</v>
      </c>
      <c r="AB31" s="45">
        <v>0</v>
      </c>
      <c r="AC31" s="45">
        <v>0</v>
      </c>
      <c r="AD31" s="45">
        <v>0</v>
      </c>
      <c r="AE31" s="45">
        <v>0</v>
      </c>
      <c r="AF31" s="45">
        <v>0</v>
      </c>
      <c r="AG31" s="45">
        <v>0</v>
      </c>
      <c r="AH31" s="45">
        <v>0</v>
      </c>
      <c r="AI31" s="45">
        <v>0</v>
      </c>
      <c r="AJ31" s="45">
        <v>0</v>
      </c>
      <c r="AK31" s="45">
        <v>0</v>
      </c>
      <c r="AL31" s="45">
        <v>0</v>
      </c>
      <c r="AM31" s="45">
        <v>0</v>
      </c>
      <c r="AN31" s="45">
        <v>0</v>
      </c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93"/>
      <c r="BE31" s="93"/>
      <c r="BF31" s="93"/>
      <c r="BG31" s="93"/>
      <c r="BH31" s="93"/>
      <c r="BI31" s="93"/>
      <c r="BJ31" s="93"/>
      <c r="BK31" s="93">
        <f>SUM($Z31:AD31)-SUM($CM31:CQ31)</f>
        <v>36270</v>
      </c>
      <c r="BL31" s="93">
        <f>SUM($Z31:AE31)-SUM($CM31:CR31)</f>
        <v>33820</v>
      </c>
      <c r="BM31" s="93">
        <f>SUM($Z31:AF31)-SUM($CM31:CS31)</f>
        <v>31545</v>
      </c>
      <c r="BN31" s="93">
        <f>SUM($Z31:AG31)-SUM($CM31:CT31)</f>
        <v>29445</v>
      </c>
      <c r="BO31" s="93">
        <f>SUM($Z31:AH31)-SUM($CM31:CU31)</f>
        <v>27345</v>
      </c>
      <c r="BP31" s="93">
        <f>SUM($Z31:AI31)-SUM($CM31:CV31)</f>
        <v>25245</v>
      </c>
      <c r="BQ31" s="93">
        <f>SUM($Z31:AJ31)-SUM($CM31:CW31)</f>
        <v>23145</v>
      </c>
      <c r="BR31" s="93">
        <f>SUM($Z31:AK31)-SUM($CM31:CX31)</f>
        <v>21045</v>
      </c>
      <c r="BS31" s="93">
        <f>SUM($Z31:AL31)-SUM($CM31:CY31)</f>
        <v>18945</v>
      </c>
      <c r="BT31" s="93">
        <f>SUM($Z31:AM31)-SUM($CM31:CZ31)</f>
        <v>16845</v>
      </c>
      <c r="BU31" s="93">
        <f>SUM($Z31:AN31)-SUM($CM31:DA31)</f>
        <v>14745</v>
      </c>
      <c r="BV31" s="93">
        <f>SUM($Z31:AO31)-SUM($CM31:DB31)</f>
        <v>14255</v>
      </c>
      <c r="BW31" s="93">
        <f>SUM($Z31:AP31)-SUM($CM31:DC31)</f>
        <v>14255</v>
      </c>
      <c r="BX31" s="93">
        <f>SUM($Z31:AQ31)-SUM($CM31:DD31)</f>
        <v>14255</v>
      </c>
      <c r="BY31" s="93">
        <f>SUM($Z31:AR31)-SUM($CM31:DE31)</f>
        <v>14255</v>
      </c>
      <c r="BZ31" s="93">
        <f>SUM($Z31:AS31)-SUM($CM31:DF31)</f>
        <v>14255</v>
      </c>
      <c r="CA31" s="93">
        <f>SUM($Z31:AT31)-SUM($CM31:DG31)</f>
        <v>14255</v>
      </c>
      <c r="CB31" s="93">
        <f>SUM($Z31:AU31)-SUM($CM31:DH31)</f>
        <v>14255</v>
      </c>
      <c r="CC31" s="93">
        <f>SUM($Z31:AV31)-SUM($CM31:DI31)</f>
        <v>14255</v>
      </c>
      <c r="CD31" s="93">
        <f>SUM($Z31:AW31)-SUM($CM31:DJ31)</f>
        <v>14255</v>
      </c>
      <c r="CE31" s="93">
        <f>SUM($Z31:AX31)-SUM($CM31:DK31)</f>
        <v>14255</v>
      </c>
      <c r="CF31" s="93">
        <f>SUM($Z31:AY31)-SUM($CM31:DL31)</f>
        <v>14255</v>
      </c>
      <c r="CG31" s="93">
        <f>SUM($Z31:AZ31)-SUM($CM31:DM31)</f>
        <v>14255</v>
      </c>
      <c r="CH31" s="93">
        <f>SUM($Z31:BA31)-SUM($CM31:DN31)</f>
        <v>14255</v>
      </c>
      <c r="CI31" s="93">
        <f>SUM($Z31:BB31)-SUM($CM31:DO31)</f>
        <v>14255</v>
      </c>
      <c r="CJ31" s="93"/>
      <c r="CK31" s="93"/>
      <c r="CL31" s="93"/>
      <c r="CM31" s="93"/>
      <c r="CN31" s="93" cm="1">
        <f t="array" ref="CN31">SUMPRODUCT(TRANSPOSE(CN$4:CN$20),$G31:$W31)</f>
        <v>0</v>
      </c>
      <c r="CO31" s="93" cm="1">
        <f t="array" ref="CO31">SUMPRODUCT(TRANSPOSE(CO$4:CO$20),$G31:$W31)</f>
        <v>0</v>
      </c>
      <c r="CP31" s="93" cm="1">
        <f t="array" ref="CP31">SUMPRODUCT(TRANSPOSE(CP$4:CP$20),$G31:$W31)</f>
        <v>0</v>
      </c>
      <c r="CQ31" s="93" cm="1">
        <f t="array" ref="CQ31">SUMPRODUCT(TRANSPOSE(CQ$4:CQ$20),$G31:$W31)</f>
        <v>2730</v>
      </c>
      <c r="CR31" s="93" cm="1">
        <f t="array" ref="CR31">SUMPRODUCT(TRANSPOSE(CR$4:CR$20),$G31:$W31)</f>
        <v>2450</v>
      </c>
      <c r="CS31" s="93" cm="1">
        <f t="array" ref="CS31">SUMPRODUCT(TRANSPOSE(CS$4:CS$20),$G31:$W31)</f>
        <v>2275</v>
      </c>
      <c r="CT31" s="93" cm="1">
        <f t="array" ref="CT31">SUMPRODUCT(TRANSPOSE(CT$4:CT$20),$G31:$W31)</f>
        <v>2100</v>
      </c>
      <c r="CU31" s="93" cm="1">
        <f t="array" ref="CU31">SUMPRODUCT(TRANSPOSE(CU$4:CU$20),$G31:$W31)</f>
        <v>2100</v>
      </c>
      <c r="CV31" s="93" cm="1">
        <f t="array" ref="CV31">SUMPRODUCT(TRANSPOSE(CV$4:CV$20),$G31:$W31)</f>
        <v>2100</v>
      </c>
      <c r="CW31" s="93" cm="1">
        <f t="array" ref="CW31">SUMPRODUCT(TRANSPOSE(CW$4:CW$20),$G31:$W31)</f>
        <v>2100</v>
      </c>
      <c r="CX31" s="93" cm="1">
        <f t="array" ref="CX31">SUMPRODUCT(TRANSPOSE(CX$4:CX$20),$G31:$W31)</f>
        <v>2100</v>
      </c>
      <c r="CY31" s="93" cm="1">
        <f t="array" ref="CY31">SUMPRODUCT(TRANSPOSE(CY$4:CY$20),$G31:$W31)</f>
        <v>2100</v>
      </c>
      <c r="CZ31" s="93" cm="1">
        <f t="array" ref="CZ31">SUMPRODUCT(TRANSPOSE(CZ$4:CZ$20),$G31:$W31)</f>
        <v>2100</v>
      </c>
      <c r="DA31" s="93" cm="1">
        <f t="array" ref="DA31">SUMPRODUCT(TRANSPOSE(DA$4:DA$20),$G31:$W31)</f>
        <v>2100</v>
      </c>
      <c r="DB31" s="93" cm="1">
        <f t="array" ref="DB31">SUMPRODUCT(TRANSPOSE(DB$4:DB$20),$G31:$W31)</f>
        <v>490</v>
      </c>
      <c r="DC31" s="93" cm="1">
        <f t="array" ref="DC31">SUMPRODUCT(TRANSPOSE(DC$4:DC$20),$G31:$W31)</f>
        <v>0</v>
      </c>
      <c r="DD31" s="93" cm="1">
        <f t="array" ref="DD31">SUMPRODUCT(TRANSPOSE(DD$4:DD$20),$G31:$W31)</f>
        <v>0</v>
      </c>
      <c r="DE31" s="93" cm="1">
        <f t="array" ref="DE31">SUMPRODUCT(TRANSPOSE(DE$4:DE$20),$G31:$W31)</f>
        <v>0</v>
      </c>
      <c r="DF31" s="93" cm="1">
        <f t="array" ref="DF31">SUMPRODUCT(TRANSPOSE(DF$4:DF$20),$G31:$W31)</f>
        <v>0</v>
      </c>
      <c r="DG31" s="93" cm="1">
        <f t="array" ref="DG31">SUMPRODUCT(TRANSPOSE(DG$4:DG$20),$G31:$W31)</f>
        <v>0</v>
      </c>
      <c r="DH31" s="93" cm="1">
        <f t="array" ref="DH31">SUMPRODUCT(TRANSPOSE(DH$4:DH$20),$G31:$W31)</f>
        <v>0</v>
      </c>
      <c r="DI31" s="93" cm="1">
        <f t="array" ref="DI31">SUMPRODUCT(TRANSPOSE(DI$4:DI$20),$G31:$W31)</f>
        <v>0</v>
      </c>
      <c r="DJ31" s="93" cm="1">
        <f t="array" ref="DJ31">SUMPRODUCT(TRANSPOSE(DJ$4:DJ$20),$G31:$W31)</f>
        <v>0</v>
      </c>
      <c r="DK31" s="93" cm="1">
        <f t="array" ref="DK31">SUMPRODUCT(TRANSPOSE(DK$4:DK$20),$G31:$W31)</f>
        <v>0</v>
      </c>
      <c r="DL31" s="93" cm="1">
        <f t="array" ref="DL31">SUMPRODUCT(TRANSPOSE(DL$4:DL$20),$G31:$W31)</f>
        <v>0</v>
      </c>
      <c r="DM31" s="93" cm="1">
        <f t="array" ref="DM31">SUMPRODUCT(TRANSPOSE(DM$4:DM$20),$G31:$W31)</f>
        <v>0</v>
      </c>
      <c r="DN31" s="93" cm="1">
        <f t="array" ref="DN31">SUMPRODUCT(TRANSPOSE(DN$4:DN$20),$G31:$W31)</f>
        <v>0</v>
      </c>
      <c r="DO31" s="93" cm="1">
        <f t="array" ref="DO31">SUMPRODUCT(TRANSPOSE(DO$4:DO$20),$G31:$W31)</f>
        <v>0</v>
      </c>
    </row>
    <row r="32" spans="1:119" x14ac:dyDescent="0.2">
      <c r="A32" s="45">
        <f t="shared" si="26"/>
        <v>11</v>
      </c>
      <c r="B32" s="51" t="s">
        <v>181</v>
      </c>
      <c r="C32" s="45">
        <v>400506335</v>
      </c>
      <c r="D32" s="45" t="s">
        <v>182</v>
      </c>
      <c r="E32" s="45" t="s">
        <v>162</v>
      </c>
      <c r="F32" s="48">
        <v>2</v>
      </c>
      <c r="G32" s="100">
        <v>0</v>
      </c>
      <c r="H32" s="100">
        <v>0</v>
      </c>
      <c r="I32" s="100">
        <v>0</v>
      </c>
      <c r="J32" s="100">
        <v>0</v>
      </c>
      <c r="K32" s="100">
        <v>0</v>
      </c>
      <c r="L32" s="100">
        <v>0</v>
      </c>
      <c r="M32" s="100">
        <v>0</v>
      </c>
      <c r="N32" s="100">
        <v>0</v>
      </c>
      <c r="O32" s="100">
        <v>0</v>
      </c>
      <c r="P32" s="100">
        <v>0</v>
      </c>
      <c r="Q32" s="100">
        <v>70</v>
      </c>
      <c r="R32" s="100">
        <v>0</v>
      </c>
      <c r="S32" s="100">
        <v>0</v>
      </c>
      <c r="T32" s="100">
        <v>0</v>
      </c>
      <c r="U32" s="100">
        <v>70</v>
      </c>
      <c r="V32" s="100">
        <v>0</v>
      </c>
      <c r="W32" s="100">
        <v>0</v>
      </c>
      <c r="X32" s="45" t="s">
        <v>39</v>
      </c>
      <c r="Y32" s="49">
        <v>5.2999999999999999E-2</v>
      </c>
      <c r="Z32" s="45">
        <v>75000</v>
      </c>
      <c r="AA32" s="45">
        <v>0</v>
      </c>
      <c r="AB32" s="45">
        <v>0</v>
      </c>
      <c r="AC32" s="45">
        <v>0</v>
      </c>
      <c r="AD32" s="45">
        <v>0</v>
      </c>
      <c r="AE32" s="45">
        <v>0</v>
      </c>
      <c r="AF32" s="45">
        <v>0</v>
      </c>
      <c r="AG32" s="45">
        <v>0</v>
      </c>
      <c r="AH32" s="45">
        <v>0</v>
      </c>
      <c r="AI32" s="45">
        <v>0</v>
      </c>
      <c r="AJ32" s="45">
        <v>0</v>
      </c>
      <c r="AK32" s="45">
        <v>0</v>
      </c>
      <c r="AL32" s="45">
        <v>0</v>
      </c>
      <c r="AM32" s="45">
        <v>0</v>
      </c>
      <c r="AN32" s="45">
        <v>0</v>
      </c>
      <c r="AO32" s="45"/>
      <c r="AP32" s="45"/>
      <c r="AQ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5"/>
      <c r="BC32" s="45"/>
      <c r="BD32" s="93"/>
      <c r="BE32" s="93"/>
      <c r="BF32" s="93"/>
      <c r="BG32" s="93"/>
      <c r="BH32" s="93"/>
      <c r="BI32" s="93"/>
      <c r="BJ32" s="93"/>
      <c r="BK32" s="93">
        <f>SUM($Z32:AD32)-SUM($CM32:CQ32)</f>
        <v>69540</v>
      </c>
      <c r="BL32" s="93">
        <f>SUM($Z32:AE32)-SUM($CM32:CR32)</f>
        <v>64640</v>
      </c>
      <c r="BM32" s="93">
        <f>SUM($Z32:AF32)-SUM($CM32:CS32)</f>
        <v>60090</v>
      </c>
      <c r="BN32" s="93">
        <f>SUM($Z32:AG32)-SUM($CM32:CT32)</f>
        <v>55890</v>
      </c>
      <c r="BO32" s="93">
        <f>SUM($Z32:AH32)-SUM($CM32:CU32)</f>
        <v>51690</v>
      </c>
      <c r="BP32" s="93">
        <f>SUM($Z32:AI32)-SUM($CM32:CV32)</f>
        <v>47490</v>
      </c>
      <c r="BQ32" s="93">
        <f>SUM($Z32:AJ32)-SUM($CM32:CW32)</f>
        <v>43290</v>
      </c>
      <c r="BR32" s="93">
        <f>SUM($Z32:AK32)-SUM($CM32:CX32)</f>
        <v>39090</v>
      </c>
      <c r="BS32" s="93">
        <f>SUM($Z32:AL32)-SUM($CM32:CY32)</f>
        <v>34890</v>
      </c>
      <c r="BT32" s="93">
        <f>SUM($Z32:AM32)-SUM($CM32:CZ32)</f>
        <v>30690</v>
      </c>
      <c r="BU32" s="93">
        <f>SUM($Z32:AN32)-SUM($CM32:DA32)</f>
        <v>26490</v>
      </c>
      <c r="BV32" s="93">
        <f>SUM($Z32:AO32)-SUM($CM32:DB32)</f>
        <v>25510</v>
      </c>
      <c r="BW32" s="93">
        <f>SUM($Z32:AP32)-SUM($CM32:DC32)</f>
        <v>25510</v>
      </c>
      <c r="BX32" s="93">
        <f>SUM($Z32:AQ32)-SUM($CM32:DD32)</f>
        <v>25510</v>
      </c>
      <c r="BY32" s="93">
        <f>SUM($Z32:AR32)-SUM($CM32:DE32)</f>
        <v>25510</v>
      </c>
      <c r="BZ32" s="93">
        <f>SUM($Z32:AS32)-SUM($CM32:DF32)</f>
        <v>25510</v>
      </c>
      <c r="CA32" s="93">
        <f>SUM($Z32:AT32)-SUM($CM32:DG32)</f>
        <v>25510</v>
      </c>
      <c r="CB32" s="93">
        <f>SUM($Z32:AU32)-SUM($CM32:DH32)</f>
        <v>25510</v>
      </c>
      <c r="CC32" s="93">
        <f>SUM($Z32:AV32)-SUM($CM32:DI32)</f>
        <v>25510</v>
      </c>
      <c r="CD32" s="93">
        <f>SUM($Z32:AW32)-SUM($CM32:DJ32)</f>
        <v>25510</v>
      </c>
      <c r="CE32" s="93">
        <f>SUM($Z32:AX32)-SUM($CM32:DK32)</f>
        <v>25510</v>
      </c>
      <c r="CF32" s="93">
        <f>SUM($Z32:AY32)-SUM($CM32:DL32)</f>
        <v>25510</v>
      </c>
      <c r="CG32" s="93">
        <f>SUM($Z32:AZ32)-SUM($CM32:DM32)</f>
        <v>25510</v>
      </c>
      <c r="CH32" s="93">
        <f>SUM($Z32:BA32)-SUM($CM32:DN32)</f>
        <v>25510</v>
      </c>
      <c r="CI32" s="93">
        <f>SUM($Z32:BB32)-SUM($CM32:DO32)</f>
        <v>25510</v>
      </c>
      <c r="CJ32" s="93"/>
      <c r="CK32" s="93"/>
      <c r="CL32" s="93"/>
      <c r="CM32" s="93"/>
      <c r="CN32" s="93" cm="1">
        <f t="array" ref="CN32">SUMPRODUCT(TRANSPOSE(CN$4:CN$20),$G32:$W32)</f>
        <v>0</v>
      </c>
      <c r="CO32" s="93" cm="1">
        <f t="array" ref="CO32">SUMPRODUCT(TRANSPOSE(CO$4:CO$20),$G32:$W32)</f>
        <v>0</v>
      </c>
      <c r="CP32" s="93" cm="1">
        <f t="array" ref="CP32">SUMPRODUCT(TRANSPOSE(CP$4:CP$20),$G32:$W32)</f>
        <v>0</v>
      </c>
      <c r="CQ32" s="93" cm="1">
        <f t="array" ref="CQ32">SUMPRODUCT(TRANSPOSE(CQ$4:CQ$20),$G32:$W32)</f>
        <v>5460</v>
      </c>
      <c r="CR32" s="93" cm="1">
        <f t="array" ref="CR32">SUMPRODUCT(TRANSPOSE(CR$4:CR$20),$G32:$W32)</f>
        <v>4900</v>
      </c>
      <c r="CS32" s="93" cm="1">
        <f t="array" ref="CS32">SUMPRODUCT(TRANSPOSE(CS$4:CS$20),$G32:$W32)</f>
        <v>4550</v>
      </c>
      <c r="CT32" s="93" cm="1">
        <f t="array" ref="CT32">SUMPRODUCT(TRANSPOSE(CT$4:CT$20),$G32:$W32)</f>
        <v>4200</v>
      </c>
      <c r="CU32" s="93" cm="1">
        <f t="array" ref="CU32">SUMPRODUCT(TRANSPOSE(CU$4:CU$20),$G32:$W32)</f>
        <v>4200</v>
      </c>
      <c r="CV32" s="93" cm="1">
        <f t="array" ref="CV32">SUMPRODUCT(TRANSPOSE(CV$4:CV$20),$G32:$W32)</f>
        <v>4200</v>
      </c>
      <c r="CW32" s="93" cm="1">
        <f t="array" ref="CW32">SUMPRODUCT(TRANSPOSE(CW$4:CW$20),$G32:$W32)</f>
        <v>4200</v>
      </c>
      <c r="CX32" s="93" cm="1">
        <f t="array" ref="CX32">SUMPRODUCT(TRANSPOSE(CX$4:CX$20),$G32:$W32)</f>
        <v>4200</v>
      </c>
      <c r="CY32" s="93" cm="1">
        <f t="array" ref="CY32">SUMPRODUCT(TRANSPOSE(CY$4:CY$20),$G32:$W32)</f>
        <v>4200</v>
      </c>
      <c r="CZ32" s="93" cm="1">
        <f t="array" ref="CZ32">SUMPRODUCT(TRANSPOSE(CZ$4:CZ$20),$G32:$W32)</f>
        <v>4200</v>
      </c>
      <c r="DA32" s="93" cm="1">
        <f t="array" ref="DA32">SUMPRODUCT(TRANSPOSE(DA$4:DA$20),$G32:$W32)</f>
        <v>4200</v>
      </c>
      <c r="DB32" s="93" cm="1">
        <f t="array" ref="DB32">SUMPRODUCT(TRANSPOSE(DB$4:DB$20),$G32:$W32)</f>
        <v>980</v>
      </c>
      <c r="DC32" s="93" cm="1">
        <f t="array" ref="DC32">SUMPRODUCT(TRANSPOSE(DC$4:DC$20),$G32:$W32)</f>
        <v>0</v>
      </c>
      <c r="DD32" s="93" cm="1">
        <f t="array" ref="DD32">SUMPRODUCT(TRANSPOSE(DD$4:DD$20),$G32:$W32)</f>
        <v>0</v>
      </c>
      <c r="DE32" s="93" cm="1">
        <f t="array" ref="DE32">SUMPRODUCT(TRANSPOSE(DE$4:DE$20),$G32:$W32)</f>
        <v>0</v>
      </c>
      <c r="DF32" s="93" cm="1">
        <f t="array" ref="DF32">SUMPRODUCT(TRANSPOSE(DF$4:DF$20),$G32:$W32)</f>
        <v>0</v>
      </c>
      <c r="DG32" s="93" cm="1">
        <f t="array" ref="DG32">SUMPRODUCT(TRANSPOSE(DG$4:DG$20),$G32:$W32)</f>
        <v>0</v>
      </c>
      <c r="DH32" s="93" cm="1">
        <f t="array" ref="DH32">SUMPRODUCT(TRANSPOSE(DH$4:DH$20),$G32:$W32)</f>
        <v>0</v>
      </c>
      <c r="DI32" s="93" cm="1">
        <f t="array" ref="DI32">SUMPRODUCT(TRANSPOSE(DI$4:DI$20),$G32:$W32)</f>
        <v>0</v>
      </c>
      <c r="DJ32" s="93" cm="1">
        <f t="array" ref="DJ32">SUMPRODUCT(TRANSPOSE(DJ$4:DJ$20),$G32:$W32)</f>
        <v>0</v>
      </c>
      <c r="DK32" s="93" cm="1">
        <f t="array" ref="DK32">SUMPRODUCT(TRANSPOSE(DK$4:DK$20),$G32:$W32)</f>
        <v>0</v>
      </c>
      <c r="DL32" s="93" cm="1">
        <f t="array" ref="DL32">SUMPRODUCT(TRANSPOSE(DL$4:DL$20),$G32:$W32)</f>
        <v>0</v>
      </c>
      <c r="DM32" s="93" cm="1">
        <f t="array" ref="DM32">SUMPRODUCT(TRANSPOSE(DM$4:DM$20),$G32:$W32)</f>
        <v>0</v>
      </c>
      <c r="DN32" s="93" cm="1">
        <f t="array" ref="DN32">SUMPRODUCT(TRANSPOSE(DN$4:DN$20),$G32:$W32)</f>
        <v>0</v>
      </c>
      <c r="DO32" s="93" cm="1">
        <f t="array" ref="DO32">SUMPRODUCT(TRANSPOSE(DO$4:DO$20),$G32:$W32)</f>
        <v>0</v>
      </c>
    </row>
    <row r="33" spans="1:119" x14ac:dyDescent="0.2">
      <c r="A33" s="45">
        <f t="shared" si="26"/>
        <v>12</v>
      </c>
      <c r="B33" s="52" t="s">
        <v>183</v>
      </c>
      <c r="C33" s="45">
        <v>403129345</v>
      </c>
      <c r="D33" s="45" t="s">
        <v>184</v>
      </c>
      <c r="E33" s="45" t="s">
        <v>162</v>
      </c>
      <c r="F33" s="48">
        <v>2</v>
      </c>
      <c r="G33" s="100">
        <v>0</v>
      </c>
      <c r="H33" s="100">
        <v>0</v>
      </c>
      <c r="I33" s="100">
        <v>0</v>
      </c>
      <c r="J33" s="100">
        <v>0</v>
      </c>
      <c r="K33" s="100">
        <v>0</v>
      </c>
      <c r="L33" s="100">
        <v>0</v>
      </c>
      <c r="M33" s="100">
        <v>0</v>
      </c>
      <c r="N33" s="100">
        <v>0</v>
      </c>
      <c r="O33" s="100">
        <v>0</v>
      </c>
      <c r="P33" s="100">
        <v>0</v>
      </c>
      <c r="Q33" s="100">
        <v>34</v>
      </c>
      <c r="R33" s="100">
        <v>0</v>
      </c>
      <c r="S33" s="100">
        <v>0</v>
      </c>
      <c r="T33" s="100">
        <v>0</v>
      </c>
      <c r="U33" s="100">
        <v>0</v>
      </c>
      <c r="V33" s="100">
        <v>0</v>
      </c>
      <c r="W33" s="100">
        <v>0</v>
      </c>
      <c r="X33" s="45" t="s">
        <v>39</v>
      </c>
      <c r="Y33" s="53">
        <v>6.7000000000000004E-2</v>
      </c>
      <c r="Z33" s="45">
        <v>40000</v>
      </c>
      <c r="AA33" s="45">
        <v>0</v>
      </c>
      <c r="AB33" s="45">
        <v>0</v>
      </c>
      <c r="AC33" s="45">
        <v>0</v>
      </c>
      <c r="AD33" s="45">
        <v>0</v>
      </c>
      <c r="AE33" s="45">
        <v>0</v>
      </c>
      <c r="AF33" s="45">
        <v>0</v>
      </c>
      <c r="AG33" s="45">
        <v>0</v>
      </c>
      <c r="AH33" s="45">
        <v>0</v>
      </c>
      <c r="AI33" s="45">
        <v>0</v>
      </c>
      <c r="AJ33" s="45">
        <v>0</v>
      </c>
      <c r="AK33" s="45">
        <v>0</v>
      </c>
      <c r="AL33" s="45">
        <v>0</v>
      </c>
      <c r="AM33" s="45">
        <v>0</v>
      </c>
      <c r="AN33" s="45">
        <v>0</v>
      </c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93"/>
      <c r="BE33" s="93"/>
      <c r="BF33" s="93"/>
      <c r="BG33" s="93"/>
      <c r="BH33" s="93"/>
      <c r="BI33" s="93"/>
      <c r="BJ33" s="93"/>
      <c r="BK33" s="93">
        <f>SUM($Z33:AD33)-SUM($CM33:CQ33)</f>
        <v>38810</v>
      </c>
      <c r="BL33" s="93">
        <f>SUM($Z33:AE33)-SUM($CM33:CR33)</f>
        <v>37620</v>
      </c>
      <c r="BM33" s="93">
        <f>SUM($Z33:AF33)-SUM($CM33:CS33)</f>
        <v>36430</v>
      </c>
      <c r="BN33" s="93">
        <f>SUM($Z33:AG33)-SUM($CM33:CT33)</f>
        <v>35410</v>
      </c>
      <c r="BO33" s="93">
        <f>SUM($Z33:AH33)-SUM($CM33:CU33)</f>
        <v>34390</v>
      </c>
      <c r="BP33" s="93">
        <f>SUM($Z33:AI33)-SUM($CM33:CV33)</f>
        <v>33370</v>
      </c>
      <c r="BQ33" s="93">
        <f>SUM($Z33:AJ33)-SUM($CM33:CW33)</f>
        <v>32350</v>
      </c>
      <c r="BR33" s="93">
        <f>SUM($Z33:AK33)-SUM($CM33:CX33)</f>
        <v>31330</v>
      </c>
      <c r="BS33" s="93">
        <f>SUM($Z33:AL33)-SUM($CM33:CY33)</f>
        <v>30310</v>
      </c>
      <c r="BT33" s="93">
        <f>SUM($Z33:AM33)-SUM($CM33:CZ33)</f>
        <v>29290</v>
      </c>
      <c r="BU33" s="93">
        <f>SUM($Z33:AN33)-SUM($CM33:DA33)</f>
        <v>28270</v>
      </c>
      <c r="BV33" s="93">
        <f>SUM($Z33:AO33)-SUM($CM33:DB33)</f>
        <v>27794</v>
      </c>
      <c r="BW33" s="93">
        <f>SUM($Z33:AP33)-SUM($CM33:DC33)</f>
        <v>27794</v>
      </c>
      <c r="BX33" s="93">
        <f>SUM($Z33:AQ33)-SUM($CM33:DD33)</f>
        <v>27794</v>
      </c>
      <c r="BY33" s="93">
        <f>SUM($Z33:AR33)-SUM($CM33:DE33)</f>
        <v>27794</v>
      </c>
      <c r="BZ33" s="93">
        <f>SUM($Z33:AS33)-SUM($CM33:DF33)</f>
        <v>27794</v>
      </c>
      <c r="CA33" s="93">
        <f>SUM($Z33:AT33)-SUM($CM33:DG33)</f>
        <v>27794</v>
      </c>
      <c r="CB33" s="93">
        <f>SUM($Z33:AU33)-SUM($CM33:DH33)</f>
        <v>27794</v>
      </c>
      <c r="CC33" s="93">
        <f>SUM($Z33:AV33)-SUM($CM33:DI33)</f>
        <v>27794</v>
      </c>
      <c r="CD33" s="93">
        <f>SUM($Z33:AW33)-SUM($CM33:DJ33)</f>
        <v>27794</v>
      </c>
      <c r="CE33" s="93">
        <f>SUM($Z33:AX33)-SUM($CM33:DK33)</f>
        <v>27794</v>
      </c>
      <c r="CF33" s="93">
        <f>SUM($Z33:AY33)-SUM($CM33:DL33)</f>
        <v>27794</v>
      </c>
      <c r="CG33" s="93">
        <f>SUM($Z33:AZ33)-SUM($CM33:DM33)</f>
        <v>27794</v>
      </c>
      <c r="CH33" s="93">
        <f>SUM($Z33:BA33)-SUM($CM33:DN33)</f>
        <v>27794</v>
      </c>
      <c r="CI33" s="93">
        <f>SUM($Z33:BB33)-SUM($CM33:DO33)</f>
        <v>27794</v>
      </c>
      <c r="CJ33" s="93"/>
      <c r="CK33" s="93"/>
      <c r="CL33" s="93"/>
      <c r="CM33" s="93"/>
      <c r="CN33" s="93" cm="1">
        <f t="array" ref="CN33">SUMPRODUCT(TRANSPOSE(CN$4:CN$20),$G33:$W33)</f>
        <v>0</v>
      </c>
      <c r="CO33" s="93" cm="1">
        <f t="array" ref="CO33">SUMPRODUCT(TRANSPOSE(CO$4:CO$20),$G33:$W33)</f>
        <v>0</v>
      </c>
      <c r="CP33" s="93" cm="1">
        <f t="array" ref="CP33">SUMPRODUCT(TRANSPOSE(CP$4:CP$20),$G33:$W33)</f>
        <v>0</v>
      </c>
      <c r="CQ33" s="93" cm="1">
        <f t="array" ref="CQ33">SUMPRODUCT(TRANSPOSE(CQ$4:CQ$20),$G33:$W33)</f>
        <v>1190</v>
      </c>
      <c r="CR33" s="93" cm="1">
        <f t="array" ref="CR33">SUMPRODUCT(TRANSPOSE(CR$4:CR$20),$G33:$W33)</f>
        <v>1190</v>
      </c>
      <c r="CS33" s="93" cm="1">
        <f t="array" ref="CS33">SUMPRODUCT(TRANSPOSE(CS$4:CS$20),$G33:$W33)</f>
        <v>1190</v>
      </c>
      <c r="CT33" s="93" cm="1">
        <f t="array" ref="CT33">SUMPRODUCT(TRANSPOSE(CT$4:CT$20),$G33:$W33)</f>
        <v>1020</v>
      </c>
      <c r="CU33" s="93" cm="1">
        <f t="array" ref="CU33">SUMPRODUCT(TRANSPOSE(CU$4:CU$20),$G33:$W33)</f>
        <v>1020</v>
      </c>
      <c r="CV33" s="93" cm="1">
        <f t="array" ref="CV33">SUMPRODUCT(TRANSPOSE(CV$4:CV$20),$G33:$W33)</f>
        <v>1020</v>
      </c>
      <c r="CW33" s="93" cm="1">
        <f t="array" ref="CW33">SUMPRODUCT(TRANSPOSE(CW$4:CW$20),$G33:$W33)</f>
        <v>1020</v>
      </c>
      <c r="CX33" s="93" cm="1">
        <f t="array" ref="CX33">SUMPRODUCT(TRANSPOSE(CX$4:CX$20),$G33:$W33)</f>
        <v>1020</v>
      </c>
      <c r="CY33" s="93" cm="1">
        <f t="array" ref="CY33">SUMPRODUCT(TRANSPOSE(CY$4:CY$20),$G33:$W33)</f>
        <v>1020</v>
      </c>
      <c r="CZ33" s="93" cm="1">
        <f t="array" ref="CZ33">SUMPRODUCT(TRANSPOSE(CZ$4:CZ$20),$G33:$W33)</f>
        <v>1020</v>
      </c>
      <c r="DA33" s="93" cm="1">
        <f t="array" ref="DA33">SUMPRODUCT(TRANSPOSE(DA$4:DA$20),$G33:$W33)</f>
        <v>1020</v>
      </c>
      <c r="DB33" s="93" cm="1">
        <f t="array" ref="DB33">SUMPRODUCT(TRANSPOSE(DB$4:DB$20),$G33:$W33)</f>
        <v>476</v>
      </c>
      <c r="DC33" s="93" cm="1">
        <f t="array" ref="DC33">SUMPRODUCT(TRANSPOSE(DC$4:DC$20),$G33:$W33)</f>
        <v>0</v>
      </c>
      <c r="DD33" s="93" cm="1">
        <f t="array" ref="DD33">SUMPRODUCT(TRANSPOSE(DD$4:DD$20),$G33:$W33)</f>
        <v>0</v>
      </c>
      <c r="DE33" s="93" cm="1">
        <f t="array" ref="DE33">SUMPRODUCT(TRANSPOSE(DE$4:DE$20),$G33:$W33)</f>
        <v>0</v>
      </c>
      <c r="DF33" s="93" cm="1">
        <f t="array" ref="DF33">SUMPRODUCT(TRANSPOSE(DF$4:DF$20),$G33:$W33)</f>
        <v>0</v>
      </c>
      <c r="DG33" s="93" cm="1">
        <f t="array" ref="DG33">SUMPRODUCT(TRANSPOSE(DG$4:DG$20),$G33:$W33)</f>
        <v>0</v>
      </c>
      <c r="DH33" s="93" cm="1">
        <f t="array" ref="DH33">SUMPRODUCT(TRANSPOSE(DH$4:DH$20),$G33:$W33)</f>
        <v>0</v>
      </c>
      <c r="DI33" s="93" cm="1">
        <f t="array" ref="DI33">SUMPRODUCT(TRANSPOSE(DI$4:DI$20),$G33:$W33)</f>
        <v>0</v>
      </c>
      <c r="DJ33" s="93" cm="1">
        <f t="array" ref="DJ33">SUMPRODUCT(TRANSPOSE(DJ$4:DJ$20),$G33:$W33)</f>
        <v>0</v>
      </c>
      <c r="DK33" s="93" cm="1">
        <f t="array" ref="DK33">SUMPRODUCT(TRANSPOSE(DK$4:DK$20),$G33:$W33)</f>
        <v>0</v>
      </c>
      <c r="DL33" s="93" cm="1">
        <f t="array" ref="DL33">SUMPRODUCT(TRANSPOSE(DL$4:DL$20),$G33:$W33)</f>
        <v>0</v>
      </c>
      <c r="DM33" s="93" cm="1">
        <f t="array" ref="DM33">SUMPRODUCT(TRANSPOSE(DM$4:DM$20),$G33:$W33)</f>
        <v>0</v>
      </c>
      <c r="DN33" s="93" cm="1">
        <f t="array" ref="DN33">SUMPRODUCT(TRANSPOSE(DN$4:DN$20),$G33:$W33)</f>
        <v>0</v>
      </c>
      <c r="DO33" s="93" cm="1">
        <f t="array" ref="DO33">SUMPRODUCT(TRANSPOSE(DO$4:DO$20),$G33:$W33)</f>
        <v>0</v>
      </c>
    </row>
    <row r="34" spans="1:119" x14ac:dyDescent="0.2">
      <c r="A34" s="45">
        <f t="shared" si="26"/>
        <v>13</v>
      </c>
      <c r="B34" s="46" t="s">
        <v>185</v>
      </c>
      <c r="C34" s="45">
        <v>410206308</v>
      </c>
      <c r="D34" s="45" t="s">
        <v>186</v>
      </c>
      <c r="E34" s="45" t="s">
        <v>162</v>
      </c>
      <c r="F34" s="48">
        <v>2</v>
      </c>
      <c r="G34" s="100">
        <v>0</v>
      </c>
      <c r="H34" s="100">
        <v>0</v>
      </c>
      <c r="I34" s="100">
        <v>0</v>
      </c>
      <c r="J34" s="100">
        <v>0</v>
      </c>
      <c r="K34" s="100">
        <v>0</v>
      </c>
      <c r="L34" s="100">
        <v>0</v>
      </c>
      <c r="M34" s="100">
        <v>0</v>
      </c>
      <c r="N34" s="100">
        <v>0</v>
      </c>
      <c r="O34" s="100">
        <v>0</v>
      </c>
      <c r="P34" s="100">
        <v>0</v>
      </c>
      <c r="Q34" s="100">
        <v>34</v>
      </c>
      <c r="R34" s="100">
        <v>0</v>
      </c>
      <c r="S34" s="100">
        <v>0</v>
      </c>
      <c r="T34" s="100">
        <v>0</v>
      </c>
      <c r="U34" s="100">
        <v>34</v>
      </c>
      <c r="V34" s="100">
        <v>0</v>
      </c>
      <c r="W34" s="100">
        <v>0</v>
      </c>
      <c r="X34" s="45" t="s">
        <v>38</v>
      </c>
      <c r="Y34" s="49">
        <v>0.53500000000000003</v>
      </c>
      <c r="Z34" s="45">
        <v>36500</v>
      </c>
      <c r="AA34" s="45">
        <v>0</v>
      </c>
      <c r="AB34" s="45">
        <v>0</v>
      </c>
      <c r="AC34" s="45">
        <v>0</v>
      </c>
      <c r="AD34" s="45">
        <v>0</v>
      </c>
      <c r="AE34" s="45">
        <v>0</v>
      </c>
      <c r="AF34" s="45">
        <v>0</v>
      </c>
      <c r="AG34" s="45">
        <v>0</v>
      </c>
      <c r="AH34" s="45">
        <v>0</v>
      </c>
      <c r="AI34" s="45">
        <v>0</v>
      </c>
      <c r="AJ34" s="45">
        <v>0</v>
      </c>
      <c r="AK34" s="45">
        <v>0</v>
      </c>
      <c r="AL34" s="45">
        <v>0</v>
      </c>
      <c r="AM34" s="45">
        <v>0</v>
      </c>
      <c r="AN34" s="45">
        <v>0</v>
      </c>
      <c r="AO34" s="45"/>
      <c r="AP34" s="45"/>
      <c r="AQ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5"/>
      <c r="BC34" s="45"/>
      <c r="BD34" s="93"/>
      <c r="BE34" s="93"/>
      <c r="BF34" s="93"/>
      <c r="BG34" s="93"/>
      <c r="BH34" s="93"/>
      <c r="BI34" s="93"/>
      <c r="BJ34" s="93"/>
      <c r="BK34" s="93">
        <f>SUM($Z34:AD34)-SUM($CM34:CQ34)</f>
        <v>33848</v>
      </c>
      <c r="BL34" s="93">
        <f>SUM($Z34:AE34)-SUM($CM34:CR34)</f>
        <v>31468</v>
      </c>
      <c r="BM34" s="93">
        <f>SUM($Z34:AF34)-SUM($CM34:CS34)</f>
        <v>29258</v>
      </c>
      <c r="BN34" s="93">
        <f>SUM($Z34:AG34)-SUM($CM34:CT34)</f>
        <v>27218</v>
      </c>
      <c r="BO34" s="93">
        <f>SUM($Z34:AH34)-SUM($CM34:CU34)</f>
        <v>25178</v>
      </c>
      <c r="BP34" s="93">
        <f>SUM($Z34:AI34)-SUM($CM34:CV34)</f>
        <v>23138</v>
      </c>
      <c r="BQ34" s="93">
        <f>SUM($Z34:AJ34)-SUM($CM34:CW34)</f>
        <v>21098</v>
      </c>
      <c r="BR34" s="93">
        <f>SUM($Z34:AK34)-SUM($CM34:CX34)</f>
        <v>19058</v>
      </c>
      <c r="BS34" s="93">
        <f>SUM($Z34:AL34)-SUM($CM34:CY34)</f>
        <v>17018</v>
      </c>
      <c r="BT34" s="93">
        <f>SUM($Z34:AM34)-SUM($CM34:CZ34)</f>
        <v>14978</v>
      </c>
      <c r="BU34" s="93">
        <f>SUM($Z34:AN34)-SUM($CM34:DA34)</f>
        <v>12938</v>
      </c>
      <c r="BV34" s="93">
        <f>SUM($Z34:AO34)-SUM($CM34:DB34)</f>
        <v>12462</v>
      </c>
      <c r="BW34" s="93">
        <f>SUM($Z34:AP34)-SUM($CM34:DC34)</f>
        <v>12462</v>
      </c>
      <c r="BX34" s="93">
        <f>SUM($Z34:AQ34)-SUM($CM34:DD34)</f>
        <v>12462</v>
      </c>
      <c r="BY34" s="93">
        <f>SUM($Z34:AR34)-SUM($CM34:DE34)</f>
        <v>12462</v>
      </c>
      <c r="BZ34" s="93">
        <f>SUM($Z34:AS34)-SUM($CM34:DF34)</f>
        <v>12462</v>
      </c>
      <c r="CA34" s="93">
        <f>SUM($Z34:AT34)-SUM($CM34:DG34)</f>
        <v>12462</v>
      </c>
      <c r="CB34" s="93">
        <f>SUM($Z34:AU34)-SUM($CM34:DH34)</f>
        <v>12462</v>
      </c>
      <c r="CC34" s="93">
        <f>SUM($Z34:AV34)-SUM($CM34:DI34)</f>
        <v>12462</v>
      </c>
      <c r="CD34" s="93">
        <f>SUM($Z34:AW34)-SUM($CM34:DJ34)</f>
        <v>12462</v>
      </c>
      <c r="CE34" s="93">
        <f>SUM($Z34:AX34)-SUM($CM34:DK34)</f>
        <v>12462</v>
      </c>
      <c r="CF34" s="93">
        <f>SUM($Z34:AY34)-SUM($CM34:DL34)</f>
        <v>12462</v>
      </c>
      <c r="CG34" s="93">
        <f>SUM($Z34:AZ34)-SUM($CM34:DM34)</f>
        <v>12462</v>
      </c>
      <c r="CH34" s="93">
        <f>SUM($Z34:BA34)-SUM($CM34:DN34)</f>
        <v>12462</v>
      </c>
      <c r="CI34" s="93">
        <f>SUM($Z34:BB34)-SUM($CM34:DO34)</f>
        <v>12462</v>
      </c>
      <c r="CJ34" s="93"/>
      <c r="CK34" s="93"/>
      <c r="CL34" s="93"/>
      <c r="CM34" s="93"/>
      <c r="CN34" s="93" cm="1">
        <f t="array" ref="CN34">SUMPRODUCT(TRANSPOSE(CN$4:CN$20),$G34:$W34)</f>
        <v>0</v>
      </c>
      <c r="CO34" s="93" cm="1">
        <f t="array" ref="CO34">SUMPRODUCT(TRANSPOSE(CO$4:CO$20),$G34:$W34)</f>
        <v>0</v>
      </c>
      <c r="CP34" s="93" cm="1">
        <f t="array" ref="CP34">SUMPRODUCT(TRANSPOSE(CP$4:CP$20),$G34:$W34)</f>
        <v>0</v>
      </c>
      <c r="CQ34" s="93" cm="1">
        <f t="array" ref="CQ34">SUMPRODUCT(TRANSPOSE(CQ$4:CQ$20),$G34:$W34)</f>
        <v>2652</v>
      </c>
      <c r="CR34" s="93" cm="1">
        <f t="array" ref="CR34">SUMPRODUCT(TRANSPOSE(CR$4:CR$20),$G34:$W34)</f>
        <v>2380</v>
      </c>
      <c r="CS34" s="93" cm="1">
        <f t="array" ref="CS34">SUMPRODUCT(TRANSPOSE(CS$4:CS$20),$G34:$W34)</f>
        <v>2210</v>
      </c>
      <c r="CT34" s="93" cm="1">
        <f t="array" ref="CT34">SUMPRODUCT(TRANSPOSE(CT$4:CT$20),$G34:$W34)</f>
        <v>2040</v>
      </c>
      <c r="CU34" s="93" cm="1">
        <f t="array" ref="CU34">SUMPRODUCT(TRANSPOSE(CU$4:CU$20),$G34:$W34)</f>
        <v>2040</v>
      </c>
      <c r="CV34" s="93" cm="1">
        <f t="array" ref="CV34">SUMPRODUCT(TRANSPOSE(CV$4:CV$20),$G34:$W34)</f>
        <v>2040</v>
      </c>
      <c r="CW34" s="93" cm="1">
        <f t="array" ref="CW34">SUMPRODUCT(TRANSPOSE(CW$4:CW$20),$G34:$W34)</f>
        <v>2040</v>
      </c>
      <c r="CX34" s="93" cm="1">
        <f t="array" ref="CX34">SUMPRODUCT(TRANSPOSE(CX$4:CX$20),$G34:$W34)</f>
        <v>2040</v>
      </c>
      <c r="CY34" s="93" cm="1">
        <f t="array" ref="CY34">SUMPRODUCT(TRANSPOSE(CY$4:CY$20),$G34:$W34)</f>
        <v>2040</v>
      </c>
      <c r="CZ34" s="93" cm="1">
        <f t="array" ref="CZ34">SUMPRODUCT(TRANSPOSE(CZ$4:CZ$20),$G34:$W34)</f>
        <v>2040</v>
      </c>
      <c r="DA34" s="93" cm="1">
        <f t="array" ref="DA34">SUMPRODUCT(TRANSPOSE(DA$4:DA$20),$G34:$W34)</f>
        <v>2040</v>
      </c>
      <c r="DB34" s="93" cm="1">
        <f t="array" ref="DB34">SUMPRODUCT(TRANSPOSE(DB$4:DB$20),$G34:$W34)</f>
        <v>476</v>
      </c>
      <c r="DC34" s="93" cm="1">
        <f t="array" ref="DC34">SUMPRODUCT(TRANSPOSE(DC$4:DC$20),$G34:$W34)</f>
        <v>0</v>
      </c>
      <c r="DD34" s="93" cm="1">
        <f t="array" ref="DD34">SUMPRODUCT(TRANSPOSE(DD$4:DD$20),$G34:$W34)</f>
        <v>0</v>
      </c>
      <c r="DE34" s="93" cm="1">
        <f t="array" ref="DE34">SUMPRODUCT(TRANSPOSE(DE$4:DE$20),$G34:$W34)</f>
        <v>0</v>
      </c>
      <c r="DF34" s="93" cm="1">
        <f t="array" ref="DF34">SUMPRODUCT(TRANSPOSE(DF$4:DF$20),$G34:$W34)</f>
        <v>0</v>
      </c>
      <c r="DG34" s="93" cm="1">
        <f t="array" ref="DG34">SUMPRODUCT(TRANSPOSE(DG$4:DG$20),$G34:$W34)</f>
        <v>0</v>
      </c>
      <c r="DH34" s="93" cm="1">
        <f t="array" ref="DH34">SUMPRODUCT(TRANSPOSE(DH$4:DH$20),$G34:$W34)</f>
        <v>0</v>
      </c>
      <c r="DI34" s="93" cm="1">
        <f t="array" ref="DI34">SUMPRODUCT(TRANSPOSE(DI$4:DI$20),$G34:$W34)</f>
        <v>0</v>
      </c>
      <c r="DJ34" s="93" cm="1">
        <f t="array" ref="DJ34">SUMPRODUCT(TRANSPOSE(DJ$4:DJ$20),$G34:$W34)</f>
        <v>0</v>
      </c>
      <c r="DK34" s="93" cm="1">
        <f t="array" ref="DK34">SUMPRODUCT(TRANSPOSE(DK$4:DK$20),$G34:$W34)</f>
        <v>0</v>
      </c>
      <c r="DL34" s="93" cm="1">
        <f t="array" ref="DL34">SUMPRODUCT(TRANSPOSE(DL$4:DL$20),$G34:$W34)</f>
        <v>0</v>
      </c>
      <c r="DM34" s="93" cm="1">
        <f t="array" ref="DM34">SUMPRODUCT(TRANSPOSE(DM$4:DM$20),$G34:$W34)</f>
        <v>0</v>
      </c>
      <c r="DN34" s="93" cm="1">
        <f t="array" ref="DN34">SUMPRODUCT(TRANSPOSE(DN$4:DN$20),$G34:$W34)</f>
        <v>0</v>
      </c>
      <c r="DO34" s="93" cm="1">
        <f t="array" ref="DO34">SUMPRODUCT(TRANSPOSE(DO$4:DO$20),$G34:$W34)</f>
        <v>0</v>
      </c>
    </row>
    <row r="35" spans="1:119" x14ac:dyDescent="0.2">
      <c r="A35" s="45">
        <f t="shared" si="26"/>
        <v>14</v>
      </c>
      <c r="B35" s="46" t="s">
        <v>187</v>
      </c>
      <c r="C35" s="45">
        <v>411063876</v>
      </c>
      <c r="D35" s="45" t="s">
        <v>188</v>
      </c>
      <c r="E35" s="45" t="s">
        <v>162</v>
      </c>
      <c r="F35" s="48">
        <v>2</v>
      </c>
      <c r="G35" s="100">
        <v>0</v>
      </c>
      <c r="H35" s="100">
        <v>0</v>
      </c>
      <c r="I35" s="100">
        <v>0</v>
      </c>
      <c r="J35" s="100">
        <v>0</v>
      </c>
      <c r="K35" s="100">
        <v>0</v>
      </c>
      <c r="L35" s="100">
        <v>0</v>
      </c>
      <c r="M35" s="100">
        <v>0</v>
      </c>
      <c r="N35" s="100">
        <v>0</v>
      </c>
      <c r="O35" s="100">
        <v>0</v>
      </c>
      <c r="P35" s="100">
        <v>0</v>
      </c>
      <c r="Q35" s="100">
        <v>2</v>
      </c>
      <c r="R35" s="100">
        <v>0</v>
      </c>
      <c r="S35" s="100">
        <v>0</v>
      </c>
      <c r="T35" s="100">
        <v>0</v>
      </c>
      <c r="U35" s="100">
        <v>0</v>
      </c>
      <c r="V35" s="100">
        <v>0</v>
      </c>
      <c r="W35" s="100">
        <v>0</v>
      </c>
      <c r="X35" s="45" t="s">
        <v>38</v>
      </c>
      <c r="Y35" s="53">
        <v>0.89</v>
      </c>
      <c r="Z35" s="45">
        <v>2500</v>
      </c>
      <c r="AA35" s="45">
        <v>0</v>
      </c>
      <c r="AB35" s="45">
        <v>0</v>
      </c>
      <c r="AC35" s="45">
        <v>0</v>
      </c>
      <c r="AD35" s="45">
        <v>0</v>
      </c>
      <c r="AE35" s="45">
        <v>0</v>
      </c>
      <c r="AF35" s="45">
        <v>0</v>
      </c>
      <c r="AG35" s="45">
        <v>0</v>
      </c>
      <c r="AH35" s="45">
        <v>0</v>
      </c>
      <c r="AI35" s="45">
        <v>0</v>
      </c>
      <c r="AJ35" s="45">
        <v>0</v>
      </c>
      <c r="AK35" s="45">
        <v>0</v>
      </c>
      <c r="AL35" s="45">
        <v>0</v>
      </c>
      <c r="AM35" s="45">
        <v>0</v>
      </c>
      <c r="AN35" s="45">
        <v>0</v>
      </c>
      <c r="AO35" s="45"/>
      <c r="AP35" s="45"/>
      <c r="AQ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5"/>
      <c r="BC35" s="45"/>
      <c r="BD35" s="93"/>
      <c r="BE35" s="93"/>
      <c r="BF35" s="93"/>
      <c r="BG35" s="93"/>
      <c r="BH35" s="93"/>
      <c r="BI35" s="93"/>
      <c r="BJ35" s="93"/>
      <c r="BK35" s="93">
        <f>SUM($Z35:AD35)-SUM($CM35:CQ35)</f>
        <v>2430</v>
      </c>
      <c r="BL35" s="93">
        <f>SUM($Z35:AE35)-SUM($CM35:CR35)</f>
        <v>2360</v>
      </c>
      <c r="BM35" s="93">
        <f>SUM($Z35:AF35)-SUM($CM35:CS35)</f>
        <v>2290</v>
      </c>
      <c r="BN35" s="93">
        <f>SUM($Z35:AG35)-SUM($CM35:CT35)</f>
        <v>2230</v>
      </c>
      <c r="BO35" s="93">
        <f>SUM($Z35:AH35)-SUM($CM35:CU35)</f>
        <v>2170</v>
      </c>
      <c r="BP35" s="93">
        <f>SUM($Z35:AI35)-SUM($CM35:CV35)</f>
        <v>2110</v>
      </c>
      <c r="BQ35" s="93">
        <f>SUM($Z35:AJ35)-SUM($CM35:CW35)</f>
        <v>2050</v>
      </c>
      <c r="BR35" s="93">
        <f>SUM($Z35:AK35)-SUM($CM35:CX35)</f>
        <v>1990</v>
      </c>
      <c r="BS35" s="93">
        <f>SUM($Z35:AL35)-SUM($CM35:CY35)</f>
        <v>1930</v>
      </c>
      <c r="BT35" s="93">
        <f>SUM($Z35:AM35)-SUM($CM35:CZ35)</f>
        <v>1870</v>
      </c>
      <c r="BU35" s="93">
        <f>SUM($Z35:AN35)-SUM($CM35:DA35)</f>
        <v>1810</v>
      </c>
      <c r="BV35" s="93">
        <f>SUM($Z35:AO35)-SUM($CM35:DB35)</f>
        <v>1782</v>
      </c>
      <c r="BW35" s="93">
        <f>SUM($Z35:AP35)-SUM($CM35:DC35)</f>
        <v>1782</v>
      </c>
      <c r="BX35" s="93">
        <f>SUM($Z35:AQ35)-SUM($CM35:DD35)</f>
        <v>1782</v>
      </c>
      <c r="BY35" s="93">
        <f>SUM($Z35:AR35)-SUM($CM35:DE35)</f>
        <v>1782</v>
      </c>
      <c r="BZ35" s="93">
        <f>SUM($Z35:AS35)-SUM($CM35:DF35)</f>
        <v>1782</v>
      </c>
      <c r="CA35" s="93">
        <f>SUM($Z35:AT35)-SUM($CM35:DG35)</f>
        <v>1782</v>
      </c>
      <c r="CB35" s="93">
        <f>SUM($Z35:AU35)-SUM($CM35:DH35)</f>
        <v>1782</v>
      </c>
      <c r="CC35" s="93">
        <f>SUM($Z35:AV35)-SUM($CM35:DI35)</f>
        <v>1782</v>
      </c>
      <c r="CD35" s="93">
        <f>SUM($Z35:AW35)-SUM($CM35:DJ35)</f>
        <v>1782</v>
      </c>
      <c r="CE35" s="93">
        <f>SUM($Z35:AX35)-SUM($CM35:DK35)</f>
        <v>1782</v>
      </c>
      <c r="CF35" s="93">
        <f>SUM($Z35:AY35)-SUM($CM35:DL35)</f>
        <v>1782</v>
      </c>
      <c r="CG35" s="93">
        <f>SUM($Z35:AZ35)-SUM($CM35:DM35)</f>
        <v>1782</v>
      </c>
      <c r="CH35" s="93">
        <f>SUM($Z35:BA35)-SUM($CM35:DN35)</f>
        <v>1782</v>
      </c>
      <c r="CI35" s="93">
        <f>SUM($Z35:BB35)-SUM($CM35:DO35)</f>
        <v>1782</v>
      </c>
      <c r="CJ35" s="93"/>
      <c r="CK35" s="93"/>
      <c r="CL35" s="93"/>
      <c r="CM35" s="93"/>
      <c r="CN35" s="93" cm="1">
        <f t="array" ref="CN35">SUMPRODUCT(TRANSPOSE(CN$4:CN$20),$G35:$W35)</f>
        <v>0</v>
      </c>
      <c r="CO35" s="93" cm="1">
        <f t="array" ref="CO35">SUMPRODUCT(TRANSPOSE(CO$4:CO$20),$G35:$W35)</f>
        <v>0</v>
      </c>
      <c r="CP35" s="93" cm="1">
        <f t="array" ref="CP35">SUMPRODUCT(TRANSPOSE(CP$4:CP$20),$G35:$W35)</f>
        <v>0</v>
      </c>
      <c r="CQ35" s="93" cm="1">
        <f t="array" ref="CQ35">SUMPRODUCT(TRANSPOSE(CQ$4:CQ$20),$G35:$W35)</f>
        <v>70</v>
      </c>
      <c r="CR35" s="93" cm="1">
        <f t="array" ref="CR35">SUMPRODUCT(TRANSPOSE(CR$4:CR$20),$G35:$W35)</f>
        <v>70</v>
      </c>
      <c r="CS35" s="93" cm="1">
        <f t="array" ref="CS35">SUMPRODUCT(TRANSPOSE(CS$4:CS$20),$G35:$W35)</f>
        <v>70</v>
      </c>
      <c r="CT35" s="93" cm="1">
        <f t="array" ref="CT35">SUMPRODUCT(TRANSPOSE(CT$4:CT$20),$G35:$W35)</f>
        <v>60</v>
      </c>
      <c r="CU35" s="93" cm="1">
        <f t="array" ref="CU35">SUMPRODUCT(TRANSPOSE(CU$4:CU$20),$G35:$W35)</f>
        <v>60</v>
      </c>
      <c r="CV35" s="93" cm="1">
        <f t="array" ref="CV35">SUMPRODUCT(TRANSPOSE(CV$4:CV$20),$G35:$W35)</f>
        <v>60</v>
      </c>
      <c r="CW35" s="93" cm="1">
        <f t="array" ref="CW35">SUMPRODUCT(TRANSPOSE(CW$4:CW$20),$G35:$W35)</f>
        <v>60</v>
      </c>
      <c r="CX35" s="93" cm="1">
        <f t="array" ref="CX35">SUMPRODUCT(TRANSPOSE(CX$4:CX$20),$G35:$W35)</f>
        <v>60</v>
      </c>
      <c r="CY35" s="93" cm="1">
        <f t="array" ref="CY35">SUMPRODUCT(TRANSPOSE(CY$4:CY$20),$G35:$W35)</f>
        <v>60</v>
      </c>
      <c r="CZ35" s="93" cm="1">
        <f t="array" ref="CZ35">SUMPRODUCT(TRANSPOSE(CZ$4:CZ$20),$G35:$W35)</f>
        <v>60</v>
      </c>
      <c r="DA35" s="93" cm="1">
        <f t="array" ref="DA35">SUMPRODUCT(TRANSPOSE(DA$4:DA$20),$G35:$W35)</f>
        <v>60</v>
      </c>
      <c r="DB35" s="93" cm="1">
        <f t="array" ref="DB35">SUMPRODUCT(TRANSPOSE(DB$4:DB$20),$G35:$W35)</f>
        <v>28</v>
      </c>
      <c r="DC35" s="93" cm="1">
        <f t="array" ref="DC35">SUMPRODUCT(TRANSPOSE(DC$4:DC$20),$G35:$W35)</f>
        <v>0</v>
      </c>
      <c r="DD35" s="93" cm="1">
        <f t="array" ref="DD35">SUMPRODUCT(TRANSPOSE(DD$4:DD$20),$G35:$W35)</f>
        <v>0</v>
      </c>
      <c r="DE35" s="93" cm="1">
        <f t="array" ref="DE35">SUMPRODUCT(TRANSPOSE(DE$4:DE$20),$G35:$W35)</f>
        <v>0</v>
      </c>
      <c r="DF35" s="93" cm="1">
        <f t="array" ref="DF35">SUMPRODUCT(TRANSPOSE(DF$4:DF$20),$G35:$W35)</f>
        <v>0</v>
      </c>
      <c r="DG35" s="93" cm="1">
        <f t="array" ref="DG35">SUMPRODUCT(TRANSPOSE(DG$4:DG$20),$G35:$W35)</f>
        <v>0</v>
      </c>
      <c r="DH35" s="93" cm="1">
        <f t="array" ref="DH35">SUMPRODUCT(TRANSPOSE(DH$4:DH$20),$G35:$W35)</f>
        <v>0</v>
      </c>
      <c r="DI35" s="93" cm="1">
        <f t="array" ref="DI35">SUMPRODUCT(TRANSPOSE(DI$4:DI$20),$G35:$W35)</f>
        <v>0</v>
      </c>
      <c r="DJ35" s="93" cm="1">
        <f t="array" ref="DJ35">SUMPRODUCT(TRANSPOSE(DJ$4:DJ$20),$G35:$W35)</f>
        <v>0</v>
      </c>
      <c r="DK35" s="93" cm="1">
        <f t="array" ref="DK35">SUMPRODUCT(TRANSPOSE(DK$4:DK$20),$G35:$W35)</f>
        <v>0</v>
      </c>
      <c r="DL35" s="93" cm="1">
        <f t="array" ref="DL35">SUMPRODUCT(TRANSPOSE(DL$4:DL$20),$G35:$W35)</f>
        <v>0</v>
      </c>
      <c r="DM35" s="93" cm="1">
        <f t="array" ref="DM35">SUMPRODUCT(TRANSPOSE(DM$4:DM$20),$G35:$W35)</f>
        <v>0</v>
      </c>
      <c r="DN35" s="93" cm="1">
        <f t="array" ref="DN35">SUMPRODUCT(TRANSPOSE(DN$4:DN$20),$G35:$W35)</f>
        <v>0</v>
      </c>
      <c r="DO35" s="93" cm="1">
        <f t="array" ref="DO35">SUMPRODUCT(TRANSPOSE(DO$4:DO$20),$G35:$W35)</f>
        <v>0</v>
      </c>
    </row>
    <row r="36" spans="1:119" x14ac:dyDescent="0.2">
      <c r="A36" s="45">
        <f t="shared" si="26"/>
        <v>15</v>
      </c>
      <c r="B36" s="46" t="s">
        <v>189</v>
      </c>
      <c r="C36" s="45">
        <v>732551668</v>
      </c>
      <c r="D36" s="45" t="s">
        <v>190</v>
      </c>
      <c r="E36" s="45" t="s">
        <v>191</v>
      </c>
      <c r="F36" s="48">
        <v>2</v>
      </c>
      <c r="G36" s="100">
        <v>0</v>
      </c>
      <c r="H36" s="100">
        <v>0</v>
      </c>
      <c r="I36" s="100">
        <v>0</v>
      </c>
      <c r="J36" s="100">
        <v>0</v>
      </c>
      <c r="K36" s="100">
        <v>0</v>
      </c>
      <c r="L36" s="100">
        <v>0</v>
      </c>
      <c r="M36" s="100">
        <v>0</v>
      </c>
      <c r="N36" s="100">
        <v>0</v>
      </c>
      <c r="O36" s="100">
        <v>2.5000000000000001E-2</v>
      </c>
      <c r="P36" s="100">
        <v>0</v>
      </c>
      <c r="Q36" s="100">
        <v>0</v>
      </c>
      <c r="R36" s="100">
        <v>0</v>
      </c>
      <c r="S36" s="100">
        <v>2.5000000000000001E-2</v>
      </c>
      <c r="T36" s="100">
        <v>0</v>
      </c>
      <c r="U36" s="100">
        <v>0</v>
      </c>
      <c r="V36" s="100">
        <v>0</v>
      </c>
      <c r="W36" s="100">
        <v>0.05</v>
      </c>
      <c r="X36" s="45" t="s">
        <v>193</v>
      </c>
      <c r="Y36" s="49">
        <v>600</v>
      </c>
      <c r="Z36" s="45">
        <v>31</v>
      </c>
      <c r="AA36" s="45">
        <v>0</v>
      </c>
      <c r="AB36" s="45">
        <v>0</v>
      </c>
      <c r="AC36" s="45">
        <v>0</v>
      </c>
      <c r="AD36" s="45">
        <v>0</v>
      </c>
      <c r="AE36" s="45">
        <v>0</v>
      </c>
      <c r="AF36" s="45">
        <v>0</v>
      </c>
      <c r="AG36" s="45">
        <v>0</v>
      </c>
      <c r="AH36" s="45">
        <v>0</v>
      </c>
      <c r="AI36" s="45">
        <v>0</v>
      </c>
      <c r="AJ36" s="45">
        <v>0</v>
      </c>
      <c r="AK36" s="45">
        <v>0</v>
      </c>
      <c r="AL36" s="45">
        <v>0</v>
      </c>
      <c r="AM36" s="45">
        <v>0</v>
      </c>
      <c r="AN36" s="45">
        <v>0</v>
      </c>
      <c r="AO36" s="45"/>
      <c r="AP36" s="45"/>
      <c r="AQ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5"/>
      <c r="BC36" s="45"/>
      <c r="BD36" s="93"/>
      <c r="BE36" s="93"/>
      <c r="BF36" s="93"/>
      <c r="BG36" s="93"/>
      <c r="BH36" s="93"/>
      <c r="BI36" s="93"/>
      <c r="BJ36" s="93"/>
      <c r="BK36" s="93">
        <f>SUM($Z36:AD36)-SUM($CM36:CQ36)</f>
        <v>28.25</v>
      </c>
      <c r="BL36" s="93">
        <f>SUM($Z36:AE36)-SUM($CM36:CR36)</f>
        <v>25.7</v>
      </c>
      <c r="BM36" s="93">
        <f>SUM($Z36:AF36)-SUM($CM36:CS36)</f>
        <v>23.274999999999999</v>
      </c>
      <c r="BN36" s="93">
        <f>SUM($Z36:AG36)-SUM($CM36:CT36)</f>
        <v>20.975000000000001</v>
      </c>
      <c r="BO36" s="93">
        <f>SUM($Z36:AH36)-SUM($CM36:CU36)</f>
        <v>18.675000000000001</v>
      </c>
      <c r="BP36" s="93">
        <f>SUM($Z36:AI36)-SUM($CM36:CV36)</f>
        <v>16.375</v>
      </c>
      <c r="BQ36" s="93">
        <f>SUM($Z36:AJ36)-SUM($CM36:CW36)</f>
        <v>14.074999999999999</v>
      </c>
      <c r="BR36" s="93">
        <f>SUM($Z36:AK36)-SUM($CM36:CX36)</f>
        <v>11.774999999999999</v>
      </c>
      <c r="BS36" s="93">
        <f>SUM($Z36:AL36)-SUM($CM36:CY36)</f>
        <v>10.274999999999999</v>
      </c>
      <c r="BT36" s="93">
        <f>SUM($Z36:AM36)-SUM($CM36:CZ36)</f>
        <v>8.7749999999999986</v>
      </c>
      <c r="BU36" s="93">
        <f>SUM($Z36:AN36)-SUM($CM36:DA36)</f>
        <v>7.2749999999999986</v>
      </c>
      <c r="BV36" s="93">
        <f>SUM($Z36:AO36)-SUM($CM36:DB36)</f>
        <v>6.9249999999999972</v>
      </c>
      <c r="BW36" s="93">
        <f>SUM($Z36:AP36)-SUM($CM36:DC36)</f>
        <v>6.9249999999999972</v>
      </c>
      <c r="BX36" s="93">
        <f>SUM($Z36:AQ36)-SUM($CM36:DD36)</f>
        <v>6.9249999999999972</v>
      </c>
      <c r="BY36" s="93">
        <f>SUM($Z36:AR36)-SUM($CM36:DE36)</f>
        <v>6.9249999999999972</v>
      </c>
      <c r="BZ36" s="93">
        <f>SUM($Z36:AS36)-SUM($CM36:DF36)</f>
        <v>6.9249999999999972</v>
      </c>
      <c r="CA36" s="93">
        <f>SUM($Z36:AT36)-SUM($CM36:DG36)</f>
        <v>6.9249999999999972</v>
      </c>
      <c r="CB36" s="93">
        <f>SUM($Z36:AU36)-SUM($CM36:DH36)</f>
        <v>6.9249999999999972</v>
      </c>
      <c r="CC36" s="93">
        <f>SUM($Z36:AV36)-SUM($CM36:DI36)</f>
        <v>6.9249999999999972</v>
      </c>
      <c r="CD36" s="93">
        <f>SUM($Z36:AW36)-SUM($CM36:DJ36)</f>
        <v>6.9249999999999972</v>
      </c>
      <c r="CE36" s="93">
        <f>SUM($Z36:AX36)-SUM($CM36:DK36)</f>
        <v>6.9249999999999972</v>
      </c>
      <c r="CF36" s="93">
        <f>SUM($Z36:AY36)-SUM($CM36:DL36)</f>
        <v>6.9249999999999972</v>
      </c>
      <c r="CG36" s="93">
        <f>SUM($Z36:AZ36)-SUM($CM36:DM36)</f>
        <v>6.9249999999999972</v>
      </c>
      <c r="CH36" s="93">
        <f>SUM($Z36:BA36)-SUM($CM36:DN36)</f>
        <v>6.9249999999999972</v>
      </c>
      <c r="CI36" s="93">
        <f>SUM($Z36:BB36)-SUM($CM36:DO36)</f>
        <v>6.9249999999999972</v>
      </c>
      <c r="CJ36" s="93"/>
      <c r="CK36" s="93"/>
      <c r="CL36" s="93"/>
      <c r="CM36" s="93"/>
      <c r="CN36" s="93" cm="1">
        <f t="array" ref="CN36">SUMPRODUCT(TRANSPOSE(CN$4:CN$20),$G36:$W36)</f>
        <v>0</v>
      </c>
      <c r="CO36" s="93" cm="1">
        <f t="array" ref="CO36">SUMPRODUCT(TRANSPOSE(CO$4:CO$20),$G36:$W36)</f>
        <v>0</v>
      </c>
      <c r="CP36" s="93" cm="1">
        <f t="array" ref="CP36">SUMPRODUCT(TRANSPOSE(CP$4:CP$20),$G36:$W36)</f>
        <v>0</v>
      </c>
      <c r="CQ36" s="93" cm="1">
        <f t="array" ref="CQ36">SUMPRODUCT(TRANSPOSE(CQ$4:CQ$20),$G36:$W36)</f>
        <v>2.75</v>
      </c>
      <c r="CR36" s="93" cm="1">
        <f t="array" ref="CR36">SUMPRODUCT(TRANSPOSE(CR$4:CR$20),$G36:$W36)</f>
        <v>2.5499999999999998</v>
      </c>
      <c r="CS36" s="93" cm="1">
        <f t="array" ref="CS36">SUMPRODUCT(TRANSPOSE(CS$4:CS$20),$G36:$W36)</f>
        <v>2.4249999999999998</v>
      </c>
      <c r="CT36" s="93" cm="1">
        <f t="array" ref="CT36">SUMPRODUCT(TRANSPOSE(CT$4:CT$20),$G36:$W36)</f>
        <v>2.2999999999999998</v>
      </c>
      <c r="CU36" s="93" cm="1">
        <f t="array" ref="CU36">SUMPRODUCT(TRANSPOSE(CU$4:CU$20),$G36:$W36)</f>
        <v>2.2999999999999998</v>
      </c>
      <c r="CV36" s="93" cm="1">
        <f t="array" ref="CV36">SUMPRODUCT(TRANSPOSE(CV$4:CV$20),$G36:$W36)</f>
        <v>2.2999999999999998</v>
      </c>
      <c r="CW36" s="93" cm="1">
        <f t="array" ref="CW36">SUMPRODUCT(TRANSPOSE(CW$4:CW$20),$G36:$W36)</f>
        <v>2.2999999999999998</v>
      </c>
      <c r="CX36" s="93" cm="1">
        <f t="array" ref="CX36">SUMPRODUCT(TRANSPOSE(CX$4:CX$20),$G36:$W36)</f>
        <v>2.2999999999999998</v>
      </c>
      <c r="CY36" s="93" cm="1">
        <f t="array" ref="CY36">SUMPRODUCT(TRANSPOSE(CY$4:CY$20),$G36:$W36)</f>
        <v>1.5</v>
      </c>
      <c r="CZ36" s="93" cm="1">
        <f t="array" ref="CZ36">SUMPRODUCT(TRANSPOSE(CZ$4:CZ$20),$G36:$W36)</f>
        <v>1.5</v>
      </c>
      <c r="DA36" s="93" cm="1">
        <f t="array" ref="DA36">SUMPRODUCT(TRANSPOSE(DA$4:DA$20),$G36:$W36)</f>
        <v>1.5</v>
      </c>
      <c r="DB36" s="93" cm="1">
        <f t="array" ref="DB36">SUMPRODUCT(TRANSPOSE(DB$4:DB$20),$G36:$W36)</f>
        <v>0.35000000000000003</v>
      </c>
      <c r="DC36" s="93" cm="1">
        <f t="array" ref="DC36">SUMPRODUCT(TRANSPOSE(DC$4:DC$20),$G36:$W36)</f>
        <v>0</v>
      </c>
      <c r="DD36" s="93" cm="1">
        <f t="array" ref="DD36">SUMPRODUCT(TRANSPOSE(DD$4:DD$20),$G36:$W36)</f>
        <v>0</v>
      </c>
      <c r="DE36" s="93" cm="1">
        <f t="array" ref="DE36">SUMPRODUCT(TRANSPOSE(DE$4:DE$20),$G36:$W36)</f>
        <v>0</v>
      </c>
      <c r="DF36" s="93" cm="1">
        <f t="array" ref="DF36">SUMPRODUCT(TRANSPOSE(DF$4:DF$20),$G36:$W36)</f>
        <v>0</v>
      </c>
      <c r="DG36" s="93" cm="1">
        <f t="array" ref="DG36">SUMPRODUCT(TRANSPOSE(DG$4:DG$20),$G36:$W36)</f>
        <v>0</v>
      </c>
      <c r="DH36" s="93" cm="1">
        <f t="array" ref="DH36">SUMPRODUCT(TRANSPOSE(DH$4:DH$20),$G36:$W36)</f>
        <v>0</v>
      </c>
      <c r="DI36" s="93" cm="1">
        <f t="array" ref="DI36">SUMPRODUCT(TRANSPOSE(DI$4:DI$20),$G36:$W36)</f>
        <v>0</v>
      </c>
      <c r="DJ36" s="93" cm="1">
        <f t="array" ref="DJ36">SUMPRODUCT(TRANSPOSE(DJ$4:DJ$20),$G36:$W36)</f>
        <v>0</v>
      </c>
      <c r="DK36" s="93" cm="1">
        <f t="array" ref="DK36">SUMPRODUCT(TRANSPOSE(DK$4:DK$20),$G36:$W36)</f>
        <v>0</v>
      </c>
      <c r="DL36" s="93" cm="1">
        <f t="array" ref="DL36">SUMPRODUCT(TRANSPOSE(DL$4:DL$20),$G36:$W36)</f>
        <v>0</v>
      </c>
      <c r="DM36" s="93" cm="1">
        <f t="array" ref="DM36">SUMPRODUCT(TRANSPOSE(DM$4:DM$20),$G36:$W36)</f>
        <v>0</v>
      </c>
      <c r="DN36" s="93" cm="1">
        <f t="array" ref="DN36">SUMPRODUCT(TRANSPOSE(DN$4:DN$20),$G36:$W36)</f>
        <v>0</v>
      </c>
      <c r="DO36" s="93" cm="1">
        <f t="array" ref="DO36">SUMPRODUCT(TRANSPOSE(DO$4:DO$20),$G36:$W36)</f>
        <v>0</v>
      </c>
    </row>
    <row r="37" spans="1:119" x14ac:dyDescent="0.2">
      <c r="A37" s="45">
        <f t="shared" si="26"/>
        <v>16</v>
      </c>
      <c r="B37" s="46" t="s">
        <v>195</v>
      </c>
      <c r="C37" s="45">
        <v>418969713</v>
      </c>
      <c r="D37" s="45" t="s">
        <v>196</v>
      </c>
      <c r="E37" s="45" t="s">
        <v>162</v>
      </c>
      <c r="F37" s="48">
        <v>1</v>
      </c>
      <c r="G37" s="100">
        <v>0</v>
      </c>
      <c r="H37" s="100">
        <v>0</v>
      </c>
      <c r="I37" s="100">
        <v>0</v>
      </c>
      <c r="J37" s="100">
        <v>0</v>
      </c>
      <c r="K37" s="100">
        <v>0</v>
      </c>
      <c r="L37" s="100">
        <v>0</v>
      </c>
      <c r="M37" s="100">
        <v>0</v>
      </c>
      <c r="N37" s="100">
        <v>0</v>
      </c>
      <c r="O37" s="100">
        <v>0</v>
      </c>
      <c r="P37" s="100">
        <v>0</v>
      </c>
      <c r="Q37" s="100">
        <v>0</v>
      </c>
      <c r="R37" s="100">
        <v>0</v>
      </c>
      <c r="S37" s="100">
        <v>0</v>
      </c>
      <c r="T37" s="100">
        <v>0</v>
      </c>
      <c r="U37" s="100">
        <v>0</v>
      </c>
      <c r="V37" s="100">
        <v>0</v>
      </c>
      <c r="W37" s="100">
        <v>19</v>
      </c>
      <c r="X37" s="45" t="s">
        <v>24</v>
      </c>
      <c r="Y37" s="49">
        <v>0.88900000000000001</v>
      </c>
      <c r="Z37" s="45">
        <v>4390</v>
      </c>
      <c r="AA37" s="45">
        <v>0</v>
      </c>
      <c r="AB37" s="45">
        <v>0</v>
      </c>
      <c r="AC37" s="45">
        <v>0</v>
      </c>
      <c r="AD37" s="45">
        <v>0</v>
      </c>
      <c r="AE37" s="45">
        <v>0</v>
      </c>
      <c r="AF37" s="45">
        <v>0</v>
      </c>
      <c r="AG37" s="45">
        <v>0</v>
      </c>
      <c r="AH37" s="45">
        <v>0</v>
      </c>
      <c r="AI37" s="45">
        <v>0</v>
      </c>
      <c r="AJ37" s="45">
        <v>0</v>
      </c>
      <c r="AK37" s="45">
        <v>0</v>
      </c>
      <c r="AL37" s="45">
        <v>0</v>
      </c>
      <c r="AM37" s="45">
        <v>0</v>
      </c>
      <c r="AN37" s="45">
        <v>0</v>
      </c>
      <c r="AO37" s="45"/>
      <c r="AP37" s="45"/>
      <c r="AQ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5"/>
      <c r="BC37" s="45"/>
      <c r="BD37" s="93"/>
      <c r="BE37" s="93"/>
      <c r="BF37" s="93"/>
      <c r="BG37" s="93"/>
      <c r="BH37" s="93"/>
      <c r="BI37" s="93"/>
      <c r="BJ37" s="93"/>
      <c r="BK37" s="93">
        <f>SUM($Z37:AD37)-SUM($CM37:CQ37)</f>
        <v>4086</v>
      </c>
      <c r="BL37" s="93">
        <f>SUM($Z37:AE37)-SUM($CM37:CR37)</f>
        <v>3782</v>
      </c>
      <c r="BM37" s="93">
        <f>SUM($Z37:AF37)-SUM($CM37:CS37)</f>
        <v>3478</v>
      </c>
      <c r="BN37" s="93">
        <f>SUM($Z37:AG37)-SUM($CM37:CT37)</f>
        <v>3174</v>
      </c>
      <c r="BO37" s="93">
        <f>SUM($Z37:AH37)-SUM($CM37:CU37)</f>
        <v>2870</v>
      </c>
      <c r="BP37" s="93">
        <f>SUM($Z37:AI37)-SUM($CM37:CV37)</f>
        <v>2566</v>
      </c>
      <c r="BQ37" s="93">
        <f>SUM($Z37:AJ37)-SUM($CM37:CW37)</f>
        <v>2262</v>
      </c>
      <c r="BR37" s="93">
        <f>SUM($Z37:AK37)-SUM($CM37:CX37)</f>
        <v>1958</v>
      </c>
      <c r="BS37" s="93">
        <f>SUM($Z37:AL37)-SUM($CM37:CY37)</f>
        <v>1958</v>
      </c>
      <c r="BT37" s="93">
        <f>SUM($Z37:AM37)-SUM($CM37:CZ37)</f>
        <v>1958</v>
      </c>
      <c r="BU37" s="93">
        <f>SUM($Z37:AN37)-SUM($CM37:DA37)</f>
        <v>1958</v>
      </c>
      <c r="BV37" s="93">
        <f>SUM($Z37:AO37)-SUM($CM37:DB37)</f>
        <v>1958</v>
      </c>
      <c r="BW37" s="93">
        <f>SUM($Z37:AP37)-SUM($CM37:DC37)</f>
        <v>1958</v>
      </c>
      <c r="BX37" s="93">
        <f>SUM($Z37:AQ37)-SUM($CM37:DD37)</f>
        <v>1958</v>
      </c>
      <c r="BY37" s="93">
        <f>SUM($Z37:AR37)-SUM($CM37:DE37)</f>
        <v>1958</v>
      </c>
      <c r="BZ37" s="93">
        <f>SUM($Z37:AS37)-SUM($CM37:DF37)</f>
        <v>1958</v>
      </c>
      <c r="CA37" s="93">
        <f>SUM($Z37:AT37)-SUM($CM37:DG37)</f>
        <v>1958</v>
      </c>
      <c r="CB37" s="93">
        <f>SUM($Z37:AU37)-SUM($CM37:DH37)</f>
        <v>1958</v>
      </c>
      <c r="CC37" s="93">
        <f>SUM($Z37:AV37)-SUM($CM37:DI37)</f>
        <v>1958</v>
      </c>
      <c r="CD37" s="93">
        <f>SUM($Z37:AW37)-SUM($CM37:DJ37)</f>
        <v>1958</v>
      </c>
      <c r="CE37" s="93">
        <f>SUM($Z37:AX37)-SUM($CM37:DK37)</f>
        <v>1958</v>
      </c>
      <c r="CF37" s="93">
        <f>SUM($Z37:AY37)-SUM($CM37:DL37)</f>
        <v>1958</v>
      </c>
      <c r="CG37" s="93">
        <f>SUM($Z37:AZ37)-SUM($CM37:DM37)</f>
        <v>1958</v>
      </c>
      <c r="CH37" s="93">
        <f>SUM($Z37:BA37)-SUM($CM37:DN37)</f>
        <v>1958</v>
      </c>
      <c r="CI37" s="93">
        <f>SUM($Z37:BB37)-SUM($CM37:DO37)</f>
        <v>1958</v>
      </c>
      <c r="CJ37" s="93"/>
      <c r="CK37" s="93"/>
      <c r="CL37" s="93"/>
      <c r="CM37" s="93"/>
      <c r="CN37" s="93" cm="1">
        <f t="array" ref="CN37">SUMPRODUCT(TRANSPOSE(CN$4:CN$20),$G37:$W37)</f>
        <v>0</v>
      </c>
      <c r="CO37" s="93" cm="1">
        <f t="array" ref="CO37">SUMPRODUCT(TRANSPOSE(CO$4:CO$20),$G37:$W37)</f>
        <v>0</v>
      </c>
      <c r="CP37" s="93" cm="1">
        <f t="array" ref="CP37">SUMPRODUCT(TRANSPOSE(CP$4:CP$20),$G37:$W37)</f>
        <v>0</v>
      </c>
      <c r="CQ37" s="93" cm="1">
        <f t="array" ref="CQ37">SUMPRODUCT(TRANSPOSE(CQ$4:CQ$20),$G37:$W37)</f>
        <v>304</v>
      </c>
      <c r="CR37" s="93" cm="1">
        <f t="array" ref="CR37">SUMPRODUCT(TRANSPOSE(CR$4:CR$20),$G37:$W37)</f>
        <v>304</v>
      </c>
      <c r="CS37" s="93" cm="1">
        <f t="array" ref="CS37">SUMPRODUCT(TRANSPOSE(CS$4:CS$20),$G37:$W37)</f>
        <v>304</v>
      </c>
      <c r="CT37" s="93" cm="1">
        <f t="array" ref="CT37">SUMPRODUCT(TRANSPOSE(CT$4:CT$20),$G37:$W37)</f>
        <v>304</v>
      </c>
      <c r="CU37" s="93" cm="1">
        <f t="array" ref="CU37">SUMPRODUCT(TRANSPOSE(CU$4:CU$20),$G37:$W37)</f>
        <v>304</v>
      </c>
      <c r="CV37" s="93" cm="1">
        <f t="array" ref="CV37">SUMPRODUCT(TRANSPOSE(CV$4:CV$20),$G37:$W37)</f>
        <v>304</v>
      </c>
      <c r="CW37" s="93" cm="1">
        <f t="array" ref="CW37">SUMPRODUCT(TRANSPOSE(CW$4:CW$20),$G37:$W37)</f>
        <v>304</v>
      </c>
      <c r="CX37" s="93" cm="1">
        <f t="array" ref="CX37">SUMPRODUCT(TRANSPOSE(CX$4:CX$20),$G37:$W37)</f>
        <v>304</v>
      </c>
      <c r="CY37" s="93" cm="1">
        <f t="array" ref="CY37">SUMPRODUCT(TRANSPOSE(CY$4:CY$20),$G37:$W37)</f>
        <v>0</v>
      </c>
      <c r="CZ37" s="93" cm="1">
        <f t="array" ref="CZ37">SUMPRODUCT(TRANSPOSE(CZ$4:CZ$20),$G37:$W37)</f>
        <v>0</v>
      </c>
      <c r="DA37" s="93" cm="1">
        <f t="array" ref="DA37">SUMPRODUCT(TRANSPOSE(DA$4:DA$20),$G37:$W37)</f>
        <v>0</v>
      </c>
      <c r="DB37" s="93" cm="1">
        <f t="array" ref="DB37">SUMPRODUCT(TRANSPOSE(DB$4:DB$20),$G37:$W37)</f>
        <v>0</v>
      </c>
      <c r="DC37" s="93" cm="1">
        <f t="array" ref="DC37">SUMPRODUCT(TRANSPOSE(DC$4:DC$20),$G37:$W37)</f>
        <v>0</v>
      </c>
      <c r="DD37" s="93" cm="1">
        <f t="array" ref="DD37">SUMPRODUCT(TRANSPOSE(DD$4:DD$20),$G37:$W37)</f>
        <v>0</v>
      </c>
      <c r="DE37" s="93" cm="1">
        <f t="array" ref="DE37">SUMPRODUCT(TRANSPOSE(DE$4:DE$20),$G37:$W37)</f>
        <v>0</v>
      </c>
      <c r="DF37" s="93" cm="1">
        <f t="array" ref="DF37">SUMPRODUCT(TRANSPOSE(DF$4:DF$20),$G37:$W37)</f>
        <v>0</v>
      </c>
      <c r="DG37" s="93" cm="1">
        <f t="array" ref="DG37">SUMPRODUCT(TRANSPOSE(DG$4:DG$20),$G37:$W37)</f>
        <v>0</v>
      </c>
      <c r="DH37" s="93" cm="1">
        <f t="array" ref="DH37">SUMPRODUCT(TRANSPOSE(DH$4:DH$20),$G37:$W37)</f>
        <v>0</v>
      </c>
      <c r="DI37" s="93" cm="1">
        <f t="array" ref="DI37">SUMPRODUCT(TRANSPOSE(DI$4:DI$20),$G37:$W37)</f>
        <v>0</v>
      </c>
      <c r="DJ37" s="93" cm="1">
        <f t="array" ref="DJ37">SUMPRODUCT(TRANSPOSE(DJ$4:DJ$20),$G37:$W37)</f>
        <v>0</v>
      </c>
      <c r="DK37" s="93" cm="1">
        <f t="array" ref="DK37">SUMPRODUCT(TRANSPOSE(DK$4:DK$20),$G37:$W37)</f>
        <v>0</v>
      </c>
      <c r="DL37" s="93" cm="1">
        <f t="array" ref="DL37">SUMPRODUCT(TRANSPOSE(DL$4:DL$20),$G37:$W37)</f>
        <v>0</v>
      </c>
      <c r="DM37" s="93" cm="1">
        <f t="array" ref="DM37">SUMPRODUCT(TRANSPOSE(DM$4:DM$20),$G37:$W37)</f>
        <v>0</v>
      </c>
      <c r="DN37" s="93" cm="1">
        <f t="array" ref="DN37">SUMPRODUCT(TRANSPOSE(DN$4:DN$20),$G37:$W37)</f>
        <v>0</v>
      </c>
      <c r="DO37" s="93" cm="1">
        <f t="array" ref="DO37">SUMPRODUCT(TRANSPOSE(DO$4:DO$20),$G37:$W37)</f>
        <v>0</v>
      </c>
    </row>
    <row r="38" spans="1:119" x14ac:dyDescent="0.2">
      <c r="A38" s="45">
        <f t="shared" si="26"/>
        <v>17</v>
      </c>
      <c r="B38" s="46" t="s">
        <v>197</v>
      </c>
      <c r="C38" s="50" t="s">
        <v>198</v>
      </c>
      <c r="D38" s="45" t="s">
        <v>199</v>
      </c>
      <c r="E38" s="45" t="s">
        <v>162</v>
      </c>
      <c r="F38" s="48">
        <v>2</v>
      </c>
      <c r="G38" s="100">
        <v>0</v>
      </c>
      <c r="H38" s="100">
        <v>0</v>
      </c>
      <c r="I38" s="100">
        <v>0</v>
      </c>
      <c r="J38" s="100">
        <v>0</v>
      </c>
      <c r="K38" s="100">
        <v>0</v>
      </c>
      <c r="L38" s="100">
        <v>0</v>
      </c>
      <c r="M38" s="100">
        <v>0</v>
      </c>
      <c r="N38" s="100">
        <v>0</v>
      </c>
      <c r="O38" s="100">
        <v>0</v>
      </c>
      <c r="P38" s="100">
        <v>0</v>
      </c>
      <c r="Q38" s="100">
        <v>0</v>
      </c>
      <c r="R38" s="100">
        <v>1</v>
      </c>
      <c r="S38" s="100">
        <v>0</v>
      </c>
      <c r="T38" s="100">
        <v>0</v>
      </c>
      <c r="U38" s="100">
        <v>0</v>
      </c>
      <c r="V38" s="100">
        <v>1</v>
      </c>
      <c r="W38" s="100">
        <v>0</v>
      </c>
      <c r="X38" s="45" t="s">
        <v>42</v>
      </c>
      <c r="Y38" s="49">
        <v>61.59</v>
      </c>
      <c r="Z38" s="45">
        <v>1067</v>
      </c>
      <c r="AA38" s="45">
        <v>0</v>
      </c>
      <c r="AB38" s="45">
        <v>0</v>
      </c>
      <c r="AC38" s="45">
        <v>0</v>
      </c>
      <c r="AD38" s="45">
        <v>0</v>
      </c>
      <c r="AE38" s="45">
        <v>0</v>
      </c>
      <c r="AF38" s="45">
        <v>0</v>
      </c>
      <c r="AG38" s="45">
        <v>0</v>
      </c>
      <c r="AH38" s="45">
        <v>0</v>
      </c>
      <c r="AI38" s="45">
        <v>0</v>
      </c>
      <c r="AJ38" s="45">
        <v>0</v>
      </c>
      <c r="AK38" s="45">
        <v>0</v>
      </c>
      <c r="AL38" s="45">
        <v>0</v>
      </c>
      <c r="AM38" s="45">
        <v>0</v>
      </c>
      <c r="AN38" s="45">
        <v>0</v>
      </c>
      <c r="AO38" s="45"/>
      <c r="AP38" s="45"/>
      <c r="AQ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5"/>
      <c r="BC38" s="45"/>
      <c r="BD38" s="93"/>
      <c r="BE38" s="93"/>
      <c r="BF38" s="93"/>
      <c r="BG38" s="93"/>
      <c r="BH38" s="93"/>
      <c r="BI38" s="93"/>
      <c r="BJ38" s="93"/>
      <c r="BK38" s="93">
        <f>SUM($Z38:AD38)-SUM($CM38:CQ38)</f>
        <v>997</v>
      </c>
      <c r="BL38" s="93">
        <f>SUM($Z38:AE38)-SUM($CM38:CR38)</f>
        <v>927</v>
      </c>
      <c r="BM38" s="93">
        <f>SUM($Z38:AF38)-SUM($CM38:CS38)</f>
        <v>857</v>
      </c>
      <c r="BN38" s="93">
        <f>SUM($Z38:AG38)-SUM($CM38:CT38)</f>
        <v>787</v>
      </c>
      <c r="BO38" s="93">
        <f>SUM($Z38:AH38)-SUM($CM38:CU38)</f>
        <v>717</v>
      </c>
      <c r="BP38" s="93">
        <f>SUM($Z38:AI38)-SUM($CM38:CV38)</f>
        <v>647</v>
      </c>
      <c r="BQ38" s="93">
        <f>SUM($Z38:AJ38)-SUM($CM38:CW38)</f>
        <v>577</v>
      </c>
      <c r="BR38" s="93">
        <f>SUM($Z38:AK38)-SUM($CM38:CX38)</f>
        <v>507</v>
      </c>
      <c r="BS38" s="93">
        <f>SUM($Z38:AL38)-SUM($CM38:CY38)</f>
        <v>437</v>
      </c>
      <c r="BT38" s="93">
        <f>SUM($Z38:AM38)-SUM($CM38:CZ38)</f>
        <v>402</v>
      </c>
      <c r="BU38" s="93">
        <f>SUM($Z38:AN38)-SUM($CM38:DA38)</f>
        <v>402</v>
      </c>
      <c r="BV38" s="93">
        <f>SUM($Z38:AO38)-SUM($CM38:DB38)</f>
        <v>402</v>
      </c>
      <c r="BW38" s="93">
        <f>SUM($Z38:AP38)-SUM($CM38:DC38)</f>
        <v>402</v>
      </c>
      <c r="BX38" s="93">
        <f>SUM($Z38:AQ38)-SUM($CM38:DD38)</f>
        <v>402</v>
      </c>
      <c r="BY38" s="93">
        <f>SUM($Z38:AR38)-SUM($CM38:DE38)</f>
        <v>402</v>
      </c>
      <c r="BZ38" s="93">
        <f>SUM($Z38:AS38)-SUM($CM38:DF38)</f>
        <v>402</v>
      </c>
      <c r="CA38" s="93">
        <f>SUM($Z38:AT38)-SUM($CM38:DG38)</f>
        <v>402</v>
      </c>
      <c r="CB38" s="93">
        <f>SUM($Z38:AU38)-SUM($CM38:DH38)</f>
        <v>402</v>
      </c>
      <c r="CC38" s="93">
        <f>SUM($Z38:AV38)-SUM($CM38:DI38)</f>
        <v>402</v>
      </c>
      <c r="CD38" s="93">
        <f>SUM($Z38:AW38)-SUM($CM38:DJ38)</f>
        <v>402</v>
      </c>
      <c r="CE38" s="93">
        <f>SUM($Z38:AX38)-SUM($CM38:DK38)</f>
        <v>402</v>
      </c>
      <c r="CF38" s="93">
        <f>SUM($Z38:AY38)-SUM($CM38:DL38)</f>
        <v>402</v>
      </c>
      <c r="CG38" s="93">
        <f>SUM($Z38:AZ38)-SUM($CM38:DM38)</f>
        <v>402</v>
      </c>
      <c r="CH38" s="93">
        <f>SUM($Z38:BA38)-SUM($CM38:DN38)</f>
        <v>402</v>
      </c>
      <c r="CI38" s="93">
        <f>SUM($Z38:BB38)-SUM($CM38:DO38)</f>
        <v>402</v>
      </c>
      <c r="CJ38" s="93"/>
      <c r="CK38" s="93"/>
      <c r="CL38" s="93"/>
      <c r="CM38" s="93"/>
      <c r="CN38" s="93" cm="1">
        <f t="array" ref="CN38">SUMPRODUCT(TRANSPOSE(CN$4:CN$20),$G38:$W38)</f>
        <v>0</v>
      </c>
      <c r="CO38" s="93" cm="1">
        <f t="array" ref="CO38">SUMPRODUCT(TRANSPOSE(CO$4:CO$20),$G38:$W38)</f>
        <v>0</v>
      </c>
      <c r="CP38" s="93" cm="1">
        <f t="array" ref="CP38">SUMPRODUCT(TRANSPOSE(CP$4:CP$20),$G38:$W38)</f>
        <v>0</v>
      </c>
      <c r="CQ38" s="93" cm="1">
        <f t="array" ref="CQ38">SUMPRODUCT(TRANSPOSE(CQ$4:CQ$20),$G38:$W38)</f>
        <v>70</v>
      </c>
      <c r="CR38" s="93" cm="1">
        <f t="array" ref="CR38">SUMPRODUCT(TRANSPOSE(CR$4:CR$20),$G38:$W38)</f>
        <v>70</v>
      </c>
      <c r="CS38" s="93" cm="1">
        <f t="array" ref="CS38">SUMPRODUCT(TRANSPOSE(CS$4:CS$20),$G38:$W38)</f>
        <v>70</v>
      </c>
      <c r="CT38" s="93" cm="1">
        <f t="array" ref="CT38">SUMPRODUCT(TRANSPOSE(CT$4:CT$20),$G38:$W38)</f>
        <v>70</v>
      </c>
      <c r="CU38" s="93" cm="1">
        <f t="array" ref="CU38">SUMPRODUCT(TRANSPOSE(CU$4:CU$20),$G38:$W38)</f>
        <v>70</v>
      </c>
      <c r="CV38" s="93" cm="1">
        <f t="array" ref="CV38">SUMPRODUCT(TRANSPOSE(CV$4:CV$20),$G38:$W38)</f>
        <v>70</v>
      </c>
      <c r="CW38" s="93" cm="1">
        <f t="array" ref="CW38">SUMPRODUCT(TRANSPOSE(CW$4:CW$20),$G38:$W38)</f>
        <v>70</v>
      </c>
      <c r="CX38" s="93" cm="1">
        <f t="array" ref="CX38">SUMPRODUCT(TRANSPOSE(CX$4:CX$20),$G38:$W38)</f>
        <v>70</v>
      </c>
      <c r="CY38" s="93" cm="1">
        <f t="array" ref="CY38">SUMPRODUCT(TRANSPOSE(CY$4:CY$20),$G38:$W38)</f>
        <v>70</v>
      </c>
      <c r="CZ38" s="93" cm="1">
        <f t="array" ref="CZ38">SUMPRODUCT(TRANSPOSE(CZ$4:CZ$20),$G38:$W38)</f>
        <v>35</v>
      </c>
      <c r="DA38" s="93" cm="1">
        <f t="array" ref="DA38">SUMPRODUCT(TRANSPOSE(DA$4:DA$20),$G38:$W38)</f>
        <v>0</v>
      </c>
      <c r="DB38" s="93" cm="1">
        <f t="array" ref="DB38">SUMPRODUCT(TRANSPOSE(DB$4:DB$20),$G38:$W38)</f>
        <v>0</v>
      </c>
      <c r="DC38" s="93" cm="1">
        <f t="array" ref="DC38">SUMPRODUCT(TRANSPOSE(DC$4:DC$20),$G38:$W38)</f>
        <v>0</v>
      </c>
      <c r="DD38" s="93" cm="1">
        <f t="array" ref="DD38">SUMPRODUCT(TRANSPOSE(DD$4:DD$20),$G38:$W38)</f>
        <v>0</v>
      </c>
      <c r="DE38" s="93" cm="1">
        <f t="array" ref="DE38">SUMPRODUCT(TRANSPOSE(DE$4:DE$20),$G38:$W38)</f>
        <v>0</v>
      </c>
      <c r="DF38" s="93" cm="1">
        <f t="array" ref="DF38">SUMPRODUCT(TRANSPOSE(DF$4:DF$20),$G38:$W38)</f>
        <v>0</v>
      </c>
      <c r="DG38" s="93" cm="1">
        <f t="array" ref="DG38">SUMPRODUCT(TRANSPOSE(DG$4:DG$20),$G38:$W38)</f>
        <v>0</v>
      </c>
      <c r="DH38" s="93" cm="1">
        <f t="array" ref="DH38">SUMPRODUCT(TRANSPOSE(DH$4:DH$20),$G38:$W38)</f>
        <v>0</v>
      </c>
      <c r="DI38" s="93" cm="1">
        <f t="array" ref="DI38">SUMPRODUCT(TRANSPOSE(DI$4:DI$20),$G38:$W38)</f>
        <v>0</v>
      </c>
      <c r="DJ38" s="93" cm="1">
        <f t="array" ref="DJ38">SUMPRODUCT(TRANSPOSE(DJ$4:DJ$20),$G38:$W38)</f>
        <v>0</v>
      </c>
      <c r="DK38" s="93" cm="1">
        <f t="array" ref="DK38">SUMPRODUCT(TRANSPOSE(DK$4:DK$20),$G38:$W38)</f>
        <v>0</v>
      </c>
      <c r="DL38" s="93" cm="1">
        <f t="array" ref="DL38">SUMPRODUCT(TRANSPOSE(DL$4:DL$20),$G38:$W38)</f>
        <v>0</v>
      </c>
      <c r="DM38" s="93" cm="1">
        <f t="array" ref="DM38">SUMPRODUCT(TRANSPOSE(DM$4:DM$20),$G38:$W38)</f>
        <v>0</v>
      </c>
      <c r="DN38" s="93" cm="1">
        <f t="array" ref="DN38">SUMPRODUCT(TRANSPOSE(DN$4:DN$20),$G38:$W38)</f>
        <v>0</v>
      </c>
      <c r="DO38" s="93" cm="1">
        <f t="array" ref="DO38">SUMPRODUCT(TRANSPOSE(DO$4:DO$20),$G38:$W38)</f>
        <v>0</v>
      </c>
    </row>
    <row r="39" spans="1:119" x14ac:dyDescent="0.2">
      <c r="A39" s="45">
        <f t="shared" si="26"/>
        <v>18</v>
      </c>
      <c r="B39" s="46">
        <v>1018419</v>
      </c>
      <c r="C39" s="45">
        <v>535101950</v>
      </c>
      <c r="D39" s="45" t="s">
        <v>200</v>
      </c>
      <c r="E39" s="45" t="s">
        <v>162</v>
      </c>
      <c r="F39" s="48">
        <v>1</v>
      </c>
      <c r="G39" s="100">
        <v>0</v>
      </c>
      <c r="H39" s="100">
        <v>0</v>
      </c>
      <c r="I39" s="100">
        <v>0</v>
      </c>
      <c r="J39" s="100">
        <v>0</v>
      </c>
      <c r="K39" s="100">
        <v>0</v>
      </c>
      <c r="L39" s="100">
        <v>0</v>
      </c>
      <c r="M39" s="100">
        <v>0</v>
      </c>
      <c r="N39" s="100">
        <v>0</v>
      </c>
      <c r="O39" s="100">
        <v>0</v>
      </c>
      <c r="P39" s="100">
        <v>0</v>
      </c>
      <c r="Q39" s="100">
        <v>0</v>
      </c>
      <c r="R39" s="100">
        <v>0</v>
      </c>
      <c r="S39" s="100">
        <v>0</v>
      </c>
      <c r="T39" s="100">
        <v>0</v>
      </c>
      <c r="U39" s="100">
        <v>0</v>
      </c>
      <c r="V39" s="100">
        <v>0</v>
      </c>
      <c r="W39" s="100">
        <v>2</v>
      </c>
      <c r="X39" s="45" t="s">
        <v>43</v>
      </c>
      <c r="Y39" s="49">
        <v>7.35</v>
      </c>
      <c r="Z39" s="45">
        <v>465</v>
      </c>
      <c r="AA39" s="45">
        <v>0</v>
      </c>
      <c r="AB39" s="45">
        <v>0</v>
      </c>
      <c r="AC39" s="45">
        <v>0</v>
      </c>
      <c r="AD39" s="45">
        <v>0</v>
      </c>
      <c r="AE39" s="45">
        <v>0</v>
      </c>
      <c r="AF39" s="45">
        <v>0</v>
      </c>
      <c r="AG39" s="45">
        <v>0</v>
      </c>
      <c r="AH39" s="45">
        <v>0</v>
      </c>
      <c r="AI39" s="45">
        <v>0</v>
      </c>
      <c r="AJ39" s="45">
        <v>0</v>
      </c>
      <c r="AK39" s="45">
        <v>0</v>
      </c>
      <c r="AL39" s="45">
        <v>0</v>
      </c>
      <c r="AM39" s="45">
        <v>0</v>
      </c>
      <c r="AN39" s="45">
        <v>0</v>
      </c>
      <c r="AO39" s="45"/>
      <c r="AP39" s="45"/>
      <c r="AQ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5"/>
      <c r="BC39" s="45"/>
      <c r="BD39" s="93"/>
      <c r="BE39" s="93"/>
      <c r="BF39" s="93"/>
      <c r="BG39" s="93"/>
      <c r="BH39" s="93"/>
      <c r="BI39" s="93"/>
      <c r="BJ39" s="93"/>
      <c r="BK39" s="93">
        <f>SUM($Z39:AD39)-SUM($CM39:CQ39)</f>
        <v>433</v>
      </c>
      <c r="BL39" s="93">
        <f>SUM($Z39:AE39)-SUM($CM39:CR39)</f>
        <v>401</v>
      </c>
      <c r="BM39" s="93">
        <f>SUM($Z39:AF39)-SUM($CM39:CS39)</f>
        <v>369</v>
      </c>
      <c r="BN39" s="93">
        <f>SUM($Z39:AG39)-SUM($CM39:CT39)</f>
        <v>337</v>
      </c>
      <c r="BO39" s="93">
        <f>SUM($Z39:AH39)-SUM($CM39:CU39)</f>
        <v>305</v>
      </c>
      <c r="BP39" s="93">
        <f>SUM($Z39:AI39)-SUM($CM39:CV39)</f>
        <v>273</v>
      </c>
      <c r="BQ39" s="93">
        <f>SUM($Z39:AJ39)-SUM($CM39:CW39)</f>
        <v>241</v>
      </c>
      <c r="BR39" s="93">
        <f>SUM($Z39:AK39)-SUM($CM39:CX39)</f>
        <v>209</v>
      </c>
      <c r="BS39" s="93">
        <f>SUM($Z39:AL39)-SUM($CM39:CY39)</f>
        <v>209</v>
      </c>
      <c r="BT39" s="93">
        <f>SUM($Z39:AM39)-SUM($CM39:CZ39)</f>
        <v>209</v>
      </c>
      <c r="BU39" s="93">
        <f>SUM($Z39:AN39)-SUM($CM39:DA39)</f>
        <v>209</v>
      </c>
      <c r="BV39" s="93">
        <f>SUM($Z39:AO39)-SUM($CM39:DB39)</f>
        <v>209</v>
      </c>
      <c r="BW39" s="93">
        <f>SUM($Z39:AP39)-SUM($CM39:DC39)</f>
        <v>209</v>
      </c>
      <c r="BX39" s="93">
        <f>SUM($Z39:AQ39)-SUM($CM39:DD39)</f>
        <v>209</v>
      </c>
      <c r="BY39" s="93">
        <f>SUM($Z39:AR39)-SUM($CM39:DE39)</f>
        <v>209</v>
      </c>
      <c r="BZ39" s="93">
        <f>SUM($Z39:AS39)-SUM($CM39:DF39)</f>
        <v>209</v>
      </c>
      <c r="CA39" s="93">
        <f>SUM($Z39:AT39)-SUM($CM39:DG39)</f>
        <v>209</v>
      </c>
      <c r="CB39" s="93">
        <f>SUM($Z39:AU39)-SUM($CM39:DH39)</f>
        <v>209</v>
      </c>
      <c r="CC39" s="93">
        <f>SUM($Z39:AV39)-SUM($CM39:DI39)</f>
        <v>209</v>
      </c>
      <c r="CD39" s="93">
        <f>SUM($Z39:AW39)-SUM($CM39:DJ39)</f>
        <v>209</v>
      </c>
      <c r="CE39" s="93">
        <f>SUM($Z39:AX39)-SUM($CM39:DK39)</f>
        <v>209</v>
      </c>
      <c r="CF39" s="93">
        <f>SUM($Z39:AY39)-SUM($CM39:DL39)</f>
        <v>209</v>
      </c>
      <c r="CG39" s="93">
        <f>SUM($Z39:AZ39)-SUM($CM39:DM39)</f>
        <v>209</v>
      </c>
      <c r="CH39" s="93">
        <f>SUM($Z39:BA39)-SUM($CM39:DN39)</f>
        <v>209</v>
      </c>
      <c r="CI39" s="93">
        <f>SUM($Z39:BB39)-SUM($CM39:DO39)</f>
        <v>209</v>
      </c>
      <c r="CJ39" s="93"/>
      <c r="CK39" s="93"/>
      <c r="CL39" s="93"/>
      <c r="CM39" s="93"/>
      <c r="CN39" s="93" cm="1">
        <f t="array" ref="CN39">SUMPRODUCT(TRANSPOSE(CN$4:CN$20),$G39:$W39)</f>
        <v>0</v>
      </c>
      <c r="CO39" s="93" cm="1">
        <f t="array" ref="CO39">SUMPRODUCT(TRANSPOSE(CO$4:CO$20),$G39:$W39)</f>
        <v>0</v>
      </c>
      <c r="CP39" s="93" cm="1">
        <f t="array" ref="CP39">SUMPRODUCT(TRANSPOSE(CP$4:CP$20),$G39:$W39)</f>
        <v>0</v>
      </c>
      <c r="CQ39" s="93" cm="1">
        <f t="array" ref="CQ39">SUMPRODUCT(TRANSPOSE(CQ$4:CQ$20),$G39:$W39)</f>
        <v>32</v>
      </c>
      <c r="CR39" s="93" cm="1">
        <f t="array" ref="CR39">SUMPRODUCT(TRANSPOSE(CR$4:CR$20),$G39:$W39)</f>
        <v>32</v>
      </c>
      <c r="CS39" s="93" cm="1">
        <f t="array" ref="CS39">SUMPRODUCT(TRANSPOSE(CS$4:CS$20),$G39:$W39)</f>
        <v>32</v>
      </c>
      <c r="CT39" s="93" cm="1">
        <f t="array" ref="CT39">SUMPRODUCT(TRANSPOSE(CT$4:CT$20),$G39:$W39)</f>
        <v>32</v>
      </c>
      <c r="CU39" s="93" cm="1">
        <f t="array" ref="CU39">SUMPRODUCT(TRANSPOSE(CU$4:CU$20),$G39:$W39)</f>
        <v>32</v>
      </c>
      <c r="CV39" s="93" cm="1">
        <f t="array" ref="CV39">SUMPRODUCT(TRANSPOSE(CV$4:CV$20),$G39:$W39)</f>
        <v>32</v>
      </c>
      <c r="CW39" s="93" cm="1">
        <f t="array" ref="CW39">SUMPRODUCT(TRANSPOSE(CW$4:CW$20),$G39:$W39)</f>
        <v>32</v>
      </c>
      <c r="CX39" s="93" cm="1">
        <f t="array" ref="CX39">SUMPRODUCT(TRANSPOSE(CX$4:CX$20),$G39:$W39)</f>
        <v>32</v>
      </c>
      <c r="CY39" s="93" cm="1">
        <f t="array" ref="CY39">SUMPRODUCT(TRANSPOSE(CY$4:CY$20),$G39:$W39)</f>
        <v>0</v>
      </c>
      <c r="CZ39" s="93" cm="1">
        <f t="array" ref="CZ39">SUMPRODUCT(TRANSPOSE(CZ$4:CZ$20),$G39:$W39)</f>
        <v>0</v>
      </c>
      <c r="DA39" s="93" cm="1">
        <f t="array" ref="DA39">SUMPRODUCT(TRANSPOSE(DA$4:DA$20),$G39:$W39)</f>
        <v>0</v>
      </c>
      <c r="DB39" s="93" cm="1">
        <f t="array" ref="DB39">SUMPRODUCT(TRANSPOSE(DB$4:DB$20),$G39:$W39)</f>
        <v>0</v>
      </c>
      <c r="DC39" s="93" cm="1">
        <f t="array" ref="DC39">SUMPRODUCT(TRANSPOSE(DC$4:DC$20),$G39:$W39)</f>
        <v>0</v>
      </c>
      <c r="DD39" s="93" cm="1">
        <f t="array" ref="DD39">SUMPRODUCT(TRANSPOSE(DD$4:DD$20),$G39:$W39)</f>
        <v>0</v>
      </c>
      <c r="DE39" s="93" cm="1">
        <f t="array" ref="DE39">SUMPRODUCT(TRANSPOSE(DE$4:DE$20),$G39:$W39)</f>
        <v>0</v>
      </c>
      <c r="DF39" s="93" cm="1">
        <f t="array" ref="DF39">SUMPRODUCT(TRANSPOSE(DF$4:DF$20),$G39:$W39)</f>
        <v>0</v>
      </c>
      <c r="DG39" s="93" cm="1">
        <f t="array" ref="DG39">SUMPRODUCT(TRANSPOSE(DG$4:DG$20),$G39:$W39)</f>
        <v>0</v>
      </c>
      <c r="DH39" s="93" cm="1">
        <f t="array" ref="DH39">SUMPRODUCT(TRANSPOSE(DH$4:DH$20),$G39:$W39)</f>
        <v>0</v>
      </c>
      <c r="DI39" s="93" cm="1">
        <f t="array" ref="DI39">SUMPRODUCT(TRANSPOSE(DI$4:DI$20),$G39:$W39)</f>
        <v>0</v>
      </c>
      <c r="DJ39" s="93" cm="1">
        <f t="array" ref="DJ39">SUMPRODUCT(TRANSPOSE(DJ$4:DJ$20),$G39:$W39)</f>
        <v>0</v>
      </c>
      <c r="DK39" s="93" cm="1">
        <f t="array" ref="DK39">SUMPRODUCT(TRANSPOSE(DK$4:DK$20),$G39:$W39)</f>
        <v>0</v>
      </c>
      <c r="DL39" s="93" cm="1">
        <f t="array" ref="DL39">SUMPRODUCT(TRANSPOSE(DL$4:DL$20),$G39:$W39)</f>
        <v>0</v>
      </c>
      <c r="DM39" s="93" cm="1">
        <f t="array" ref="DM39">SUMPRODUCT(TRANSPOSE(DM$4:DM$20),$G39:$W39)</f>
        <v>0</v>
      </c>
      <c r="DN39" s="93" cm="1">
        <f t="array" ref="DN39">SUMPRODUCT(TRANSPOSE(DN$4:DN$20),$G39:$W39)</f>
        <v>0</v>
      </c>
      <c r="DO39" s="93" cm="1">
        <f t="array" ref="DO39">SUMPRODUCT(TRANSPOSE(DO$4:DO$20),$G39:$W39)</f>
        <v>0</v>
      </c>
    </row>
    <row r="40" spans="1:119" x14ac:dyDescent="0.2">
      <c r="A40" s="45">
        <f t="shared" si="26"/>
        <v>19</v>
      </c>
      <c r="B40" s="46" t="s">
        <v>201</v>
      </c>
      <c r="C40" s="45">
        <v>416969236</v>
      </c>
      <c r="D40" s="45" t="s">
        <v>202</v>
      </c>
      <c r="E40" s="45" t="s">
        <v>162</v>
      </c>
      <c r="F40" s="48">
        <v>1</v>
      </c>
      <c r="G40" s="100">
        <v>0</v>
      </c>
      <c r="H40" s="100">
        <v>0</v>
      </c>
      <c r="I40" s="100">
        <v>0</v>
      </c>
      <c r="J40" s="100">
        <v>0</v>
      </c>
      <c r="K40" s="100">
        <v>0</v>
      </c>
      <c r="L40" s="100">
        <v>0</v>
      </c>
      <c r="M40" s="100">
        <v>0</v>
      </c>
      <c r="N40" s="100">
        <v>0</v>
      </c>
      <c r="O40" s="100">
        <v>0</v>
      </c>
      <c r="P40" s="100">
        <v>0</v>
      </c>
      <c r="Q40" s="100">
        <v>0</v>
      </c>
      <c r="R40" s="100">
        <v>0</v>
      </c>
      <c r="S40" s="100">
        <v>0</v>
      </c>
      <c r="T40" s="100">
        <v>0</v>
      </c>
      <c r="U40" s="100">
        <v>0</v>
      </c>
      <c r="V40" s="100">
        <v>0</v>
      </c>
      <c r="W40" s="100">
        <v>1</v>
      </c>
      <c r="X40" s="45" t="s">
        <v>203</v>
      </c>
      <c r="Y40" s="49">
        <v>0</v>
      </c>
      <c r="Z40" s="45">
        <v>83</v>
      </c>
      <c r="AA40" s="45">
        <v>0</v>
      </c>
      <c r="AB40" s="45">
        <v>0</v>
      </c>
      <c r="AC40" s="45">
        <v>0</v>
      </c>
      <c r="AD40" s="45">
        <v>0</v>
      </c>
      <c r="AE40" s="45">
        <v>0</v>
      </c>
      <c r="AF40" s="45">
        <v>0</v>
      </c>
      <c r="AG40" s="45">
        <v>0</v>
      </c>
      <c r="AH40" s="45">
        <v>0</v>
      </c>
      <c r="AI40" s="45">
        <v>0</v>
      </c>
      <c r="AJ40" s="45">
        <v>0</v>
      </c>
      <c r="AK40" s="45">
        <v>0</v>
      </c>
      <c r="AL40" s="45">
        <v>0</v>
      </c>
      <c r="AM40" s="45">
        <v>0</v>
      </c>
      <c r="AN40" s="45">
        <v>0</v>
      </c>
      <c r="AO40" s="45"/>
      <c r="AP40" s="45"/>
      <c r="AQ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5"/>
      <c r="BC40" s="45"/>
      <c r="BD40" s="93"/>
      <c r="BE40" s="93"/>
      <c r="BF40" s="93"/>
      <c r="BG40" s="93"/>
      <c r="BH40" s="93"/>
      <c r="BI40" s="93"/>
      <c r="BJ40" s="93"/>
      <c r="BK40" s="93">
        <f>SUM($Z40:AD40)-SUM($CM40:CQ40)</f>
        <v>67</v>
      </c>
      <c r="BL40" s="93">
        <f>SUM($Z40:AE40)-SUM($CM40:CR40)</f>
        <v>51</v>
      </c>
      <c r="BM40" s="93">
        <f>SUM($Z40:AF40)-SUM($CM40:CS40)</f>
        <v>35</v>
      </c>
      <c r="BN40" s="93">
        <f>SUM($Z40:AG40)-SUM($CM40:CT40)</f>
        <v>19</v>
      </c>
      <c r="BO40" s="93">
        <f>SUM($Z40:AH40)-SUM($CM40:CU40)</f>
        <v>3</v>
      </c>
      <c r="BP40" s="93">
        <f>SUM($Z40:AI40)-SUM($CM40:CV40)</f>
        <v>-13</v>
      </c>
      <c r="BQ40" s="93">
        <f>SUM($Z40:AJ40)-SUM($CM40:CW40)</f>
        <v>-29</v>
      </c>
      <c r="BR40" s="93">
        <f>SUM($Z40:AK40)-SUM($CM40:CX40)</f>
        <v>-45</v>
      </c>
      <c r="BS40" s="93">
        <f>SUM($Z40:AL40)-SUM($CM40:CY40)</f>
        <v>-45</v>
      </c>
      <c r="BT40" s="93">
        <f>SUM($Z40:AM40)-SUM($CM40:CZ40)</f>
        <v>-45</v>
      </c>
      <c r="BU40" s="93">
        <f>SUM($Z40:AN40)-SUM($CM40:DA40)</f>
        <v>-45</v>
      </c>
      <c r="BV40" s="93">
        <f>SUM($Z40:AO40)-SUM($CM40:DB40)</f>
        <v>-45</v>
      </c>
      <c r="BW40" s="93">
        <f>SUM($Z40:AP40)-SUM($CM40:DC40)</f>
        <v>-45</v>
      </c>
      <c r="BX40" s="93">
        <f>SUM($Z40:AQ40)-SUM($CM40:DD40)</f>
        <v>-45</v>
      </c>
      <c r="BY40" s="93">
        <f>SUM($Z40:AR40)-SUM($CM40:DE40)</f>
        <v>-45</v>
      </c>
      <c r="BZ40" s="93">
        <f>SUM($Z40:AS40)-SUM($CM40:DF40)</f>
        <v>-45</v>
      </c>
      <c r="CA40" s="93">
        <f>SUM($Z40:AT40)-SUM($CM40:DG40)</f>
        <v>-45</v>
      </c>
      <c r="CB40" s="93">
        <f>SUM($Z40:AU40)-SUM($CM40:DH40)</f>
        <v>-45</v>
      </c>
      <c r="CC40" s="93">
        <f>SUM($Z40:AV40)-SUM($CM40:DI40)</f>
        <v>-45</v>
      </c>
      <c r="CD40" s="93">
        <f>SUM($Z40:AW40)-SUM($CM40:DJ40)</f>
        <v>-45</v>
      </c>
      <c r="CE40" s="93">
        <f>SUM($Z40:AX40)-SUM($CM40:DK40)</f>
        <v>-45</v>
      </c>
      <c r="CF40" s="93">
        <f>SUM($Z40:AY40)-SUM($CM40:DL40)</f>
        <v>-45</v>
      </c>
      <c r="CG40" s="93">
        <f>SUM($Z40:AZ40)-SUM($CM40:DM40)</f>
        <v>-45</v>
      </c>
      <c r="CH40" s="93">
        <f>SUM($Z40:BA40)-SUM($CM40:DN40)</f>
        <v>-45</v>
      </c>
      <c r="CI40" s="93">
        <f>SUM($Z40:BB40)-SUM($CM40:DO40)</f>
        <v>-45</v>
      </c>
      <c r="CJ40" s="93"/>
      <c r="CK40" s="93"/>
      <c r="CL40" s="93"/>
      <c r="CM40" s="93"/>
      <c r="CN40" s="93" cm="1">
        <f t="array" ref="CN40">SUMPRODUCT(TRANSPOSE(CN$4:CN$20),$G40:$W40)</f>
        <v>0</v>
      </c>
      <c r="CO40" s="93" cm="1">
        <f t="array" ref="CO40">SUMPRODUCT(TRANSPOSE(CO$4:CO$20),$G40:$W40)</f>
        <v>0</v>
      </c>
      <c r="CP40" s="93" cm="1">
        <f t="array" ref="CP40">SUMPRODUCT(TRANSPOSE(CP$4:CP$20),$G40:$W40)</f>
        <v>0</v>
      </c>
      <c r="CQ40" s="93" cm="1">
        <f t="array" ref="CQ40">SUMPRODUCT(TRANSPOSE(CQ$4:CQ$20),$G40:$W40)</f>
        <v>16</v>
      </c>
      <c r="CR40" s="93" cm="1">
        <f t="array" ref="CR40">SUMPRODUCT(TRANSPOSE(CR$4:CR$20),$G40:$W40)</f>
        <v>16</v>
      </c>
      <c r="CS40" s="93" cm="1">
        <f t="array" ref="CS40">SUMPRODUCT(TRANSPOSE(CS$4:CS$20),$G40:$W40)</f>
        <v>16</v>
      </c>
      <c r="CT40" s="93" cm="1">
        <f t="array" ref="CT40">SUMPRODUCT(TRANSPOSE(CT$4:CT$20),$G40:$W40)</f>
        <v>16</v>
      </c>
      <c r="CU40" s="93" cm="1">
        <f t="array" ref="CU40">SUMPRODUCT(TRANSPOSE(CU$4:CU$20),$G40:$W40)</f>
        <v>16</v>
      </c>
      <c r="CV40" s="93" cm="1">
        <f t="array" ref="CV40">SUMPRODUCT(TRANSPOSE(CV$4:CV$20),$G40:$W40)</f>
        <v>16</v>
      </c>
      <c r="CW40" s="93" cm="1">
        <f t="array" ref="CW40">SUMPRODUCT(TRANSPOSE(CW$4:CW$20),$G40:$W40)</f>
        <v>16</v>
      </c>
      <c r="CX40" s="93" cm="1">
        <f t="array" ref="CX40">SUMPRODUCT(TRANSPOSE(CX$4:CX$20),$G40:$W40)</f>
        <v>16</v>
      </c>
      <c r="CY40" s="93" cm="1">
        <f t="array" ref="CY40">SUMPRODUCT(TRANSPOSE(CY$4:CY$20),$G40:$W40)</f>
        <v>0</v>
      </c>
      <c r="CZ40" s="93" cm="1">
        <f t="array" ref="CZ40">SUMPRODUCT(TRANSPOSE(CZ$4:CZ$20),$G40:$W40)</f>
        <v>0</v>
      </c>
      <c r="DA40" s="93" cm="1">
        <f t="array" ref="DA40">SUMPRODUCT(TRANSPOSE(DA$4:DA$20),$G40:$W40)</f>
        <v>0</v>
      </c>
      <c r="DB40" s="93" cm="1">
        <f t="array" ref="DB40">SUMPRODUCT(TRANSPOSE(DB$4:DB$20),$G40:$W40)</f>
        <v>0</v>
      </c>
      <c r="DC40" s="93" cm="1">
        <f t="array" ref="DC40">SUMPRODUCT(TRANSPOSE(DC$4:DC$20),$G40:$W40)</f>
        <v>0</v>
      </c>
      <c r="DD40" s="93" cm="1">
        <f t="array" ref="DD40">SUMPRODUCT(TRANSPOSE(DD$4:DD$20),$G40:$W40)</f>
        <v>0</v>
      </c>
      <c r="DE40" s="93" cm="1">
        <f t="array" ref="DE40">SUMPRODUCT(TRANSPOSE(DE$4:DE$20),$G40:$W40)</f>
        <v>0</v>
      </c>
      <c r="DF40" s="93" cm="1">
        <f t="array" ref="DF40">SUMPRODUCT(TRANSPOSE(DF$4:DF$20),$G40:$W40)</f>
        <v>0</v>
      </c>
      <c r="DG40" s="93" cm="1">
        <f t="array" ref="DG40">SUMPRODUCT(TRANSPOSE(DG$4:DG$20),$G40:$W40)</f>
        <v>0</v>
      </c>
      <c r="DH40" s="93" cm="1">
        <f t="array" ref="DH40">SUMPRODUCT(TRANSPOSE(DH$4:DH$20),$G40:$W40)</f>
        <v>0</v>
      </c>
      <c r="DI40" s="93" cm="1">
        <f t="array" ref="DI40">SUMPRODUCT(TRANSPOSE(DI$4:DI$20),$G40:$W40)</f>
        <v>0</v>
      </c>
      <c r="DJ40" s="93" cm="1">
        <f t="array" ref="DJ40">SUMPRODUCT(TRANSPOSE(DJ$4:DJ$20),$G40:$W40)</f>
        <v>0</v>
      </c>
      <c r="DK40" s="93" cm="1">
        <f t="array" ref="DK40">SUMPRODUCT(TRANSPOSE(DK$4:DK$20),$G40:$W40)</f>
        <v>0</v>
      </c>
      <c r="DL40" s="93" cm="1">
        <f t="array" ref="DL40">SUMPRODUCT(TRANSPOSE(DL$4:DL$20),$G40:$W40)</f>
        <v>0</v>
      </c>
      <c r="DM40" s="93" cm="1">
        <f t="array" ref="DM40">SUMPRODUCT(TRANSPOSE(DM$4:DM$20),$G40:$W40)</f>
        <v>0</v>
      </c>
      <c r="DN40" s="93" cm="1">
        <f t="array" ref="DN40">SUMPRODUCT(TRANSPOSE(DN$4:DN$20),$G40:$W40)</f>
        <v>0</v>
      </c>
      <c r="DO40" s="93" cm="1">
        <f t="array" ref="DO40">SUMPRODUCT(TRANSPOSE(DO$4:DO$20),$G40:$W40)</f>
        <v>0</v>
      </c>
    </row>
    <row r="41" spans="1:119" x14ac:dyDescent="0.2">
      <c r="A41" s="45">
        <f t="shared" si="26"/>
        <v>20</v>
      </c>
      <c r="B41" s="46" t="s">
        <v>204</v>
      </c>
      <c r="C41" s="45">
        <v>410825593</v>
      </c>
      <c r="D41" s="45" t="s">
        <v>205</v>
      </c>
      <c r="E41" s="45" t="s">
        <v>162</v>
      </c>
      <c r="F41" s="48">
        <v>1</v>
      </c>
      <c r="G41" s="100">
        <v>0</v>
      </c>
      <c r="H41" s="100">
        <v>0</v>
      </c>
      <c r="I41" s="100">
        <v>0</v>
      </c>
      <c r="J41" s="100">
        <v>0</v>
      </c>
      <c r="K41" s="100">
        <v>0</v>
      </c>
      <c r="L41" s="100">
        <v>0</v>
      </c>
      <c r="M41" s="100">
        <v>0</v>
      </c>
      <c r="N41" s="100">
        <v>1</v>
      </c>
      <c r="O41" s="100">
        <v>0</v>
      </c>
      <c r="P41" s="100">
        <v>0</v>
      </c>
      <c r="Q41" s="100">
        <v>0</v>
      </c>
      <c r="R41" s="100">
        <v>0</v>
      </c>
      <c r="S41" s="100">
        <v>0</v>
      </c>
      <c r="T41" s="100">
        <v>0</v>
      </c>
      <c r="U41" s="100">
        <v>0</v>
      </c>
      <c r="V41" s="100">
        <v>0</v>
      </c>
      <c r="W41" s="100">
        <v>0</v>
      </c>
      <c r="X41" s="45" t="s">
        <v>44</v>
      </c>
      <c r="Y41" s="49">
        <v>1.5</v>
      </c>
      <c r="Z41" s="45">
        <v>226</v>
      </c>
      <c r="AA41" s="45">
        <v>0</v>
      </c>
      <c r="AB41" s="45">
        <v>0</v>
      </c>
      <c r="AC41" s="45">
        <v>0</v>
      </c>
      <c r="AD41" s="45">
        <v>0</v>
      </c>
      <c r="AE41" s="45">
        <v>0</v>
      </c>
      <c r="AF41" s="45">
        <v>0</v>
      </c>
      <c r="AG41" s="45">
        <v>0</v>
      </c>
      <c r="AH41" s="45">
        <v>0</v>
      </c>
      <c r="AI41" s="45">
        <v>0</v>
      </c>
      <c r="AJ41" s="45">
        <v>0</v>
      </c>
      <c r="AK41" s="45">
        <v>0</v>
      </c>
      <c r="AL41" s="45">
        <v>0</v>
      </c>
      <c r="AM41" s="45">
        <v>0</v>
      </c>
      <c r="AN41" s="45">
        <v>0</v>
      </c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93"/>
      <c r="BE41" s="93"/>
      <c r="BF41" s="93"/>
      <c r="BG41" s="93"/>
      <c r="BH41" s="93"/>
      <c r="BI41" s="93"/>
      <c r="BJ41" s="93"/>
      <c r="BK41" s="93">
        <f>SUM($Z41:AD41)-SUM($CM41:CQ41)</f>
        <v>210</v>
      </c>
      <c r="BL41" s="93">
        <f>SUM($Z41:AE41)-SUM($CM41:CR41)</f>
        <v>194</v>
      </c>
      <c r="BM41" s="93">
        <f>SUM($Z41:AF41)-SUM($CM41:CS41)</f>
        <v>178</v>
      </c>
      <c r="BN41" s="93">
        <f>SUM($Z41:AG41)-SUM($CM41:CT41)</f>
        <v>162</v>
      </c>
      <c r="BO41" s="93">
        <f>SUM($Z41:AH41)-SUM($CM41:CU41)</f>
        <v>154</v>
      </c>
      <c r="BP41" s="93">
        <f>SUM($Z41:AI41)-SUM($CM41:CV41)</f>
        <v>146</v>
      </c>
      <c r="BQ41" s="93">
        <f>SUM($Z41:AJ41)-SUM($CM41:CW41)</f>
        <v>138</v>
      </c>
      <c r="BR41" s="93">
        <f>SUM($Z41:AK41)-SUM($CM41:CX41)</f>
        <v>130</v>
      </c>
      <c r="BS41" s="93">
        <f>SUM($Z41:AL41)-SUM($CM41:CY41)</f>
        <v>122</v>
      </c>
      <c r="BT41" s="93">
        <f>SUM($Z41:AM41)-SUM($CM41:CZ41)</f>
        <v>114</v>
      </c>
      <c r="BU41" s="93">
        <f>SUM($Z41:AN41)-SUM($CM41:DA41)</f>
        <v>106</v>
      </c>
      <c r="BV41" s="93">
        <f>SUM($Z41:AO41)-SUM($CM41:DB41)</f>
        <v>98</v>
      </c>
      <c r="BW41" s="93">
        <f>SUM($Z41:AP41)-SUM($CM41:DC41)</f>
        <v>98</v>
      </c>
      <c r="BX41" s="93">
        <f>SUM($Z41:AQ41)-SUM($CM41:DD41)</f>
        <v>98</v>
      </c>
      <c r="BY41" s="93">
        <f>SUM($Z41:AR41)-SUM($CM41:DE41)</f>
        <v>98</v>
      </c>
      <c r="BZ41" s="93">
        <f>SUM($Z41:AS41)-SUM($CM41:DF41)</f>
        <v>98</v>
      </c>
      <c r="CA41" s="93">
        <f>SUM($Z41:AT41)-SUM($CM41:DG41)</f>
        <v>98</v>
      </c>
      <c r="CB41" s="93">
        <f>SUM($Z41:AU41)-SUM($CM41:DH41)</f>
        <v>98</v>
      </c>
      <c r="CC41" s="93">
        <f>SUM($Z41:AV41)-SUM($CM41:DI41)</f>
        <v>98</v>
      </c>
      <c r="CD41" s="93">
        <f>SUM($Z41:AW41)-SUM($CM41:DJ41)</f>
        <v>98</v>
      </c>
      <c r="CE41" s="93">
        <f>SUM($Z41:AX41)-SUM($CM41:DK41)</f>
        <v>98</v>
      </c>
      <c r="CF41" s="93">
        <f>SUM($Z41:AY41)-SUM($CM41:DL41)</f>
        <v>98</v>
      </c>
      <c r="CG41" s="93">
        <f>SUM($Z41:AZ41)-SUM($CM41:DM41)</f>
        <v>98</v>
      </c>
      <c r="CH41" s="93">
        <f>SUM($Z41:BA41)-SUM($CM41:DN41)</f>
        <v>98</v>
      </c>
      <c r="CI41" s="93">
        <f>SUM($Z41:BB41)-SUM($CM41:DO41)</f>
        <v>98</v>
      </c>
      <c r="CJ41" s="93"/>
      <c r="CK41" s="93"/>
      <c r="CL41" s="93"/>
      <c r="CM41" s="93"/>
      <c r="CN41" s="93" cm="1">
        <f t="array" ref="CN41">SUMPRODUCT(TRANSPOSE(CN$4:CN$20),$G41:$W41)</f>
        <v>0</v>
      </c>
      <c r="CO41" s="93" cm="1">
        <f t="array" ref="CO41">SUMPRODUCT(TRANSPOSE(CO$4:CO$20),$G41:$W41)</f>
        <v>0</v>
      </c>
      <c r="CP41" s="93" cm="1">
        <f t="array" ref="CP41">SUMPRODUCT(TRANSPOSE(CP$4:CP$20),$G41:$W41)</f>
        <v>0</v>
      </c>
      <c r="CQ41" s="93" cm="1">
        <f t="array" ref="CQ41">SUMPRODUCT(TRANSPOSE(CQ$4:CQ$20),$G41:$W41)</f>
        <v>16</v>
      </c>
      <c r="CR41" s="93" cm="1">
        <f t="array" ref="CR41">SUMPRODUCT(TRANSPOSE(CR$4:CR$20),$G41:$W41)</f>
        <v>16</v>
      </c>
      <c r="CS41" s="93" cm="1">
        <f t="array" ref="CS41">SUMPRODUCT(TRANSPOSE(CS$4:CS$20),$G41:$W41)</f>
        <v>16</v>
      </c>
      <c r="CT41" s="93" cm="1">
        <f t="array" ref="CT41">SUMPRODUCT(TRANSPOSE(CT$4:CT$20),$G41:$W41)</f>
        <v>16</v>
      </c>
      <c r="CU41" s="93" cm="1">
        <f t="array" ref="CU41">SUMPRODUCT(TRANSPOSE(CU$4:CU$20),$G41:$W41)</f>
        <v>8</v>
      </c>
      <c r="CV41" s="93" cm="1">
        <f t="array" ref="CV41">SUMPRODUCT(TRANSPOSE(CV$4:CV$20),$G41:$W41)</f>
        <v>8</v>
      </c>
      <c r="CW41" s="93" cm="1">
        <f t="array" ref="CW41">SUMPRODUCT(TRANSPOSE(CW$4:CW$20),$G41:$W41)</f>
        <v>8</v>
      </c>
      <c r="CX41" s="93" cm="1">
        <f t="array" ref="CX41">SUMPRODUCT(TRANSPOSE(CX$4:CX$20),$G41:$W41)</f>
        <v>8</v>
      </c>
      <c r="CY41" s="93" cm="1">
        <f t="array" ref="CY41">SUMPRODUCT(TRANSPOSE(CY$4:CY$20),$G41:$W41)</f>
        <v>8</v>
      </c>
      <c r="CZ41" s="93" cm="1">
        <f t="array" ref="CZ41">SUMPRODUCT(TRANSPOSE(CZ$4:CZ$20),$G41:$W41)</f>
        <v>8</v>
      </c>
      <c r="DA41" s="93" cm="1">
        <f t="array" ref="DA41">SUMPRODUCT(TRANSPOSE(DA$4:DA$20),$G41:$W41)</f>
        <v>8</v>
      </c>
      <c r="DB41" s="93" cm="1">
        <f t="array" ref="DB41">SUMPRODUCT(TRANSPOSE(DB$4:DB$20),$G41:$W41)</f>
        <v>8</v>
      </c>
      <c r="DC41" s="93" cm="1">
        <f t="array" ref="DC41">SUMPRODUCT(TRANSPOSE(DC$4:DC$20),$G41:$W41)</f>
        <v>0</v>
      </c>
      <c r="DD41" s="93" cm="1">
        <f t="array" ref="DD41">SUMPRODUCT(TRANSPOSE(DD$4:DD$20),$G41:$W41)</f>
        <v>0</v>
      </c>
      <c r="DE41" s="93" cm="1">
        <f t="array" ref="DE41">SUMPRODUCT(TRANSPOSE(DE$4:DE$20),$G41:$W41)</f>
        <v>0</v>
      </c>
      <c r="DF41" s="93" cm="1">
        <f t="array" ref="DF41">SUMPRODUCT(TRANSPOSE(DF$4:DF$20),$G41:$W41)</f>
        <v>0</v>
      </c>
      <c r="DG41" s="93" cm="1">
        <f t="array" ref="DG41">SUMPRODUCT(TRANSPOSE(DG$4:DG$20),$G41:$W41)</f>
        <v>0</v>
      </c>
      <c r="DH41" s="93" cm="1">
        <f t="array" ref="DH41">SUMPRODUCT(TRANSPOSE(DH$4:DH$20),$G41:$W41)</f>
        <v>0</v>
      </c>
      <c r="DI41" s="93" cm="1">
        <f t="array" ref="DI41">SUMPRODUCT(TRANSPOSE(DI$4:DI$20),$G41:$W41)</f>
        <v>0</v>
      </c>
      <c r="DJ41" s="93" cm="1">
        <f t="array" ref="DJ41">SUMPRODUCT(TRANSPOSE(DJ$4:DJ$20),$G41:$W41)</f>
        <v>0</v>
      </c>
      <c r="DK41" s="93" cm="1">
        <f t="array" ref="DK41">SUMPRODUCT(TRANSPOSE(DK$4:DK$20),$G41:$W41)</f>
        <v>0</v>
      </c>
      <c r="DL41" s="93" cm="1">
        <f t="array" ref="DL41">SUMPRODUCT(TRANSPOSE(DL$4:DL$20),$G41:$W41)</f>
        <v>0</v>
      </c>
      <c r="DM41" s="93" cm="1">
        <f t="array" ref="DM41">SUMPRODUCT(TRANSPOSE(DM$4:DM$20),$G41:$W41)</f>
        <v>0</v>
      </c>
      <c r="DN41" s="93" cm="1">
        <f t="array" ref="DN41">SUMPRODUCT(TRANSPOSE(DN$4:DN$20),$G41:$W41)</f>
        <v>0</v>
      </c>
      <c r="DO41" s="93" cm="1">
        <f t="array" ref="DO41">SUMPRODUCT(TRANSPOSE(DO$4:DO$20),$G41:$W41)</f>
        <v>0</v>
      </c>
    </row>
    <row r="42" spans="1:119" x14ac:dyDescent="0.2">
      <c r="A42" s="45">
        <f t="shared" si="26"/>
        <v>21</v>
      </c>
      <c r="B42" s="46" t="s">
        <v>141</v>
      </c>
      <c r="C42" s="45">
        <v>410883563</v>
      </c>
      <c r="D42" s="45" t="s">
        <v>116</v>
      </c>
      <c r="E42" s="45" t="s">
        <v>162</v>
      </c>
      <c r="F42" s="48">
        <v>1</v>
      </c>
      <c r="G42" s="100">
        <v>0</v>
      </c>
      <c r="H42" s="100">
        <v>0</v>
      </c>
      <c r="I42" s="100">
        <v>0</v>
      </c>
      <c r="J42" s="100">
        <v>0</v>
      </c>
      <c r="K42" s="100">
        <v>0</v>
      </c>
      <c r="L42" s="100">
        <v>0</v>
      </c>
      <c r="M42" s="100">
        <v>0</v>
      </c>
      <c r="N42" s="100">
        <v>1</v>
      </c>
      <c r="O42" s="100">
        <v>0</v>
      </c>
      <c r="P42" s="100">
        <v>0</v>
      </c>
      <c r="Q42" s="100">
        <v>0</v>
      </c>
      <c r="R42" s="100">
        <v>0</v>
      </c>
      <c r="S42" s="100">
        <v>0</v>
      </c>
      <c r="T42" s="100">
        <v>0</v>
      </c>
      <c r="U42" s="100">
        <v>0</v>
      </c>
      <c r="V42" s="100">
        <v>0</v>
      </c>
      <c r="W42" s="100">
        <v>0</v>
      </c>
      <c r="X42" s="45" t="s">
        <v>4</v>
      </c>
      <c r="Y42" s="49">
        <v>0</v>
      </c>
      <c r="Z42" s="45">
        <v>0</v>
      </c>
      <c r="AA42" s="45">
        <v>0</v>
      </c>
      <c r="AB42" s="45">
        <v>0</v>
      </c>
      <c r="AC42" s="45">
        <v>0</v>
      </c>
      <c r="AD42" s="45">
        <v>0</v>
      </c>
      <c r="AE42" s="45">
        <v>0</v>
      </c>
      <c r="AF42" s="45">
        <v>0</v>
      </c>
      <c r="AG42" s="45">
        <v>0</v>
      </c>
      <c r="AH42" s="45">
        <v>0</v>
      </c>
      <c r="AI42" s="45">
        <v>0</v>
      </c>
      <c r="AJ42" s="45">
        <v>0</v>
      </c>
      <c r="AK42" s="45">
        <v>0</v>
      </c>
      <c r="AL42" s="45">
        <v>0</v>
      </c>
      <c r="AM42" s="45">
        <v>0</v>
      </c>
      <c r="AN42" s="45">
        <v>0</v>
      </c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93"/>
      <c r="BE42" s="93"/>
      <c r="BF42" s="93"/>
      <c r="BG42" s="93"/>
      <c r="BH42" s="93"/>
      <c r="BI42" s="93"/>
      <c r="BJ42" s="93"/>
      <c r="BK42" s="93">
        <f>SUM($Z42:AD42)-SUM($CM42:CQ42)</f>
        <v>-16</v>
      </c>
      <c r="BL42" s="93">
        <f>SUM($Z42:AE42)-SUM($CM42:CR42)</f>
        <v>-32</v>
      </c>
      <c r="BM42" s="93">
        <f>SUM($Z42:AF42)-SUM($CM42:CS42)</f>
        <v>-48</v>
      </c>
      <c r="BN42" s="93">
        <f>SUM($Z42:AG42)-SUM($CM42:CT42)</f>
        <v>-64</v>
      </c>
      <c r="BO42" s="93">
        <f>SUM($Z42:AH42)-SUM($CM42:CU42)</f>
        <v>-72</v>
      </c>
      <c r="BP42" s="93">
        <f>SUM($Z42:AI42)-SUM($CM42:CV42)</f>
        <v>-80</v>
      </c>
      <c r="BQ42" s="93">
        <f>SUM($Z42:AJ42)-SUM($CM42:CW42)</f>
        <v>-88</v>
      </c>
      <c r="BR42" s="93">
        <f>SUM($Z42:AK42)-SUM($CM42:CX42)</f>
        <v>-96</v>
      </c>
      <c r="BS42" s="93">
        <f>SUM($Z42:AL42)-SUM($CM42:CY42)</f>
        <v>-104</v>
      </c>
      <c r="BT42" s="93">
        <f>SUM($Z42:AM42)-SUM($CM42:CZ42)</f>
        <v>-112</v>
      </c>
      <c r="BU42" s="93">
        <f>SUM($Z42:AN42)-SUM($CM42:DA42)</f>
        <v>-120</v>
      </c>
      <c r="BV42" s="93">
        <f>SUM($Z42:AO42)-SUM($CM42:DB42)</f>
        <v>-128</v>
      </c>
      <c r="BW42" s="93">
        <f>SUM($Z42:AP42)-SUM($CM42:DC42)</f>
        <v>-128</v>
      </c>
      <c r="BX42" s="93">
        <f>SUM($Z42:AQ42)-SUM($CM42:DD42)</f>
        <v>-128</v>
      </c>
      <c r="BY42" s="93">
        <f>SUM($Z42:AR42)-SUM($CM42:DE42)</f>
        <v>-128</v>
      </c>
      <c r="BZ42" s="93">
        <f>SUM($Z42:AS42)-SUM($CM42:DF42)</f>
        <v>-128</v>
      </c>
      <c r="CA42" s="93">
        <f>SUM($Z42:AT42)-SUM($CM42:DG42)</f>
        <v>-128</v>
      </c>
      <c r="CB42" s="93">
        <f>SUM($Z42:AU42)-SUM($CM42:DH42)</f>
        <v>-128</v>
      </c>
      <c r="CC42" s="93">
        <f>SUM($Z42:AV42)-SUM($CM42:DI42)</f>
        <v>-128</v>
      </c>
      <c r="CD42" s="93">
        <f>SUM($Z42:AW42)-SUM($CM42:DJ42)</f>
        <v>-128</v>
      </c>
      <c r="CE42" s="93">
        <f>SUM($Z42:AX42)-SUM($CM42:DK42)</f>
        <v>-128</v>
      </c>
      <c r="CF42" s="93">
        <f>SUM($Z42:AY42)-SUM($CM42:DL42)</f>
        <v>-128</v>
      </c>
      <c r="CG42" s="93">
        <f>SUM($Z42:AZ42)-SUM($CM42:DM42)</f>
        <v>-128</v>
      </c>
      <c r="CH42" s="93">
        <f>SUM($Z42:BA42)-SUM($CM42:DN42)</f>
        <v>-128</v>
      </c>
      <c r="CI42" s="93">
        <f>SUM($Z42:BB42)-SUM($CM42:DO42)</f>
        <v>-128</v>
      </c>
      <c r="CJ42" s="93"/>
      <c r="CK42" s="93"/>
      <c r="CL42" s="93"/>
      <c r="CM42" s="93"/>
      <c r="CN42" s="93" cm="1">
        <f t="array" ref="CN42">SUMPRODUCT(TRANSPOSE(CN$4:CN$20),$G42:$W42)</f>
        <v>0</v>
      </c>
      <c r="CO42" s="93" cm="1">
        <f t="array" ref="CO42">SUMPRODUCT(TRANSPOSE(CO$4:CO$20),$G42:$W42)</f>
        <v>0</v>
      </c>
      <c r="CP42" s="93" cm="1">
        <f t="array" ref="CP42">SUMPRODUCT(TRANSPOSE(CP$4:CP$20),$G42:$W42)</f>
        <v>0</v>
      </c>
      <c r="CQ42" s="93" cm="1">
        <f t="array" ref="CQ42">SUMPRODUCT(TRANSPOSE(CQ$4:CQ$20),$G42:$W42)</f>
        <v>16</v>
      </c>
      <c r="CR42" s="93" cm="1">
        <f t="array" ref="CR42">SUMPRODUCT(TRANSPOSE(CR$4:CR$20),$G42:$W42)</f>
        <v>16</v>
      </c>
      <c r="CS42" s="93" cm="1">
        <f t="array" ref="CS42">SUMPRODUCT(TRANSPOSE(CS$4:CS$20),$G42:$W42)</f>
        <v>16</v>
      </c>
      <c r="CT42" s="93" cm="1">
        <f t="array" ref="CT42">SUMPRODUCT(TRANSPOSE(CT$4:CT$20),$G42:$W42)</f>
        <v>16</v>
      </c>
      <c r="CU42" s="93" cm="1">
        <f t="array" ref="CU42">SUMPRODUCT(TRANSPOSE(CU$4:CU$20),$G42:$W42)</f>
        <v>8</v>
      </c>
      <c r="CV42" s="93" cm="1">
        <f t="array" ref="CV42">SUMPRODUCT(TRANSPOSE(CV$4:CV$20),$G42:$W42)</f>
        <v>8</v>
      </c>
      <c r="CW42" s="93" cm="1">
        <f t="array" ref="CW42">SUMPRODUCT(TRANSPOSE(CW$4:CW$20),$G42:$W42)</f>
        <v>8</v>
      </c>
      <c r="CX42" s="93" cm="1">
        <f t="array" ref="CX42">SUMPRODUCT(TRANSPOSE(CX$4:CX$20),$G42:$W42)</f>
        <v>8</v>
      </c>
      <c r="CY42" s="93" cm="1">
        <f t="array" ref="CY42">SUMPRODUCT(TRANSPOSE(CY$4:CY$20),$G42:$W42)</f>
        <v>8</v>
      </c>
      <c r="CZ42" s="93" cm="1">
        <f t="array" ref="CZ42">SUMPRODUCT(TRANSPOSE(CZ$4:CZ$20),$G42:$W42)</f>
        <v>8</v>
      </c>
      <c r="DA42" s="93" cm="1">
        <f t="array" ref="DA42">SUMPRODUCT(TRANSPOSE(DA$4:DA$20),$G42:$W42)</f>
        <v>8</v>
      </c>
      <c r="DB42" s="93" cm="1">
        <f t="array" ref="DB42">SUMPRODUCT(TRANSPOSE(DB$4:DB$20),$G42:$W42)</f>
        <v>8</v>
      </c>
      <c r="DC42" s="93" cm="1">
        <f t="array" ref="DC42">SUMPRODUCT(TRANSPOSE(DC$4:DC$20),$G42:$W42)</f>
        <v>0</v>
      </c>
      <c r="DD42" s="93" cm="1">
        <f t="array" ref="DD42">SUMPRODUCT(TRANSPOSE(DD$4:DD$20),$G42:$W42)</f>
        <v>0</v>
      </c>
      <c r="DE42" s="93" cm="1">
        <f t="array" ref="DE42">SUMPRODUCT(TRANSPOSE(DE$4:DE$20),$G42:$W42)</f>
        <v>0</v>
      </c>
      <c r="DF42" s="93" cm="1">
        <f t="array" ref="DF42">SUMPRODUCT(TRANSPOSE(DF$4:DF$20),$G42:$W42)</f>
        <v>0</v>
      </c>
      <c r="DG42" s="93" cm="1">
        <f t="array" ref="DG42">SUMPRODUCT(TRANSPOSE(DG$4:DG$20),$G42:$W42)</f>
        <v>0</v>
      </c>
      <c r="DH42" s="93" cm="1">
        <f t="array" ref="DH42">SUMPRODUCT(TRANSPOSE(DH$4:DH$20),$G42:$W42)</f>
        <v>0</v>
      </c>
      <c r="DI42" s="93" cm="1">
        <f t="array" ref="DI42">SUMPRODUCT(TRANSPOSE(DI$4:DI$20),$G42:$W42)</f>
        <v>0</v>
      </c>
      <c r="DJ42" s="93" cm="1">
        <f t="array" ref="DJ42">SUMPRODUCT(TRANSPOSE(DJ$4:DJ$20),$G42:$W42)</f>
        <v>0</v>
      </c>
      <c r="DK42" s="93" cm="1">
        <f t="array" ref="DK42">SUMPRODUCT(TRANSPOSE(DK$4:DK$20),$G42:$W42)</f>
        <v>0</v>
      </c>
      <c r="DL42" s="93" cm="1">
        <f t="array" ref="DL42">SUMPRODUCT(TRANSPOSE(DL$4:DL$20),$G42:$W42)</f>
        <v>0</v>
      </c>
      <c r="DM42" s="93" cm="1">
        <f t="array" ref="DM42">SUMPRODUCT(TRANSPOSE(DM$4:DM$20),$G42:$W42)</f>
        <v>0</v>
      </c>
      <c r="DN42" s="93" cm="1">
        <f t="array" ref="DN42">SUMPRODUCT(TRANSPOSE(DN$4:DN$20),$G42:$W42)</f>
        <v>0</v>
      </c>
      <c r="DO42" s="93" cm="1">
        <f t="array" ref="DO42">SUMPRODUCT(TRANSPOSE(DO$4:DO$20),$G42:$W42)</f>
        <v>0</v>
      </c>
    </row>
    <row r="43" spans="1:119" x14ac:dyDescent="0.2">
      <c r="A43" s="45">
        <f t="shared" si="26"/>
        <v>22</v>
      </c>
      <c r="B43" s="46" t="s">
        <v>206</v>
      </c>
      <c r="C43" s="45">
        <v>410825592</v>
      </c>
      <c r="D43" s="45" t="s">
        <v>205</v>
      </c>
      <c r="E43" s="45" t="s">
        <v>162</v>
      </c>
      <c r="F43" s="48">
        <v>1</v>
      </c>
      <c r="G43" s="100">
        <v>0</v>
      </c>
      <c r="H43" s="100">
        <v>0</v>
      </c>
      <c r="I43" s="100">
        <v>0</v>
      </c>
      <c r="J43" s="100">
        <v>0</v>
      </c>
      <c r="K43" s="100">
        <v>0</v>
      </c>
      <c r="L43" s="100">
        <v>0</v>
      </c>
      <c r="M43" s="100">
        <v>0</v>
      </c>
      <c r="N43" s="100">
        <v>0</v>
      </c>
      <c r="O43" s="100">
        <v>0</v>
      </c>
      <c r="P43" s="100">
        <v>0</v>
      </c>
      <c r="Q43" s="100">
        <v>0</v>
      </c>
      <c r="R43" s="100">
        <v>0</v>
      </c>
      <c r="S43" s="100">
        <v>0</v>
      </c>
      <c r="T43" s="100">
        <v>0</v>
      </c>
      <c r="U43" s="100">
        <v>0</v>
      </c>
      <c r="V43" s="100">
        <v>0</v>
      </c>
      <c r="W43" s="100">
        <v>1</v>
      </c>
      <c r="X43" s="45" t="s">
        <v>44</v>
      </c>
      <c r="Y43" s="49">
        <v>1.5</v>
      </c>
      <c r="Z43" s="45">
        <v>231</v>
      </c>
      <c r="AA43" s="45">
        <v>0</v>
      </c>
      <c r="AB43" s="45">
        <v>0</v>
      </c>
      <c r="AC43" s="45">
        <v>0</v>
      </c>
      <c r="AD43" s="45">
        <v>0</v>
      </c>
      <c r="AE43" s="45">
        <v>0</v>
      </c>
      <c r="AF43" s="45">
        <v>0</v>
      </c>
      <c r="AG43" s="45">
        <v>0</v>
      </c>
      <c r="AH43" s="45">
        <v>0</v>
      </c>
      <c r="AI43" s="45">
        <v>0</v>
      </c>
      <c r="AJ43" s="45">
        <v>0</v>
      </c>
      <c r="AK43" s="45">
        <v>0</v>
      </c>
      <c r="AL43" s="45">
        <v>0</v>
      </c>
      <c r="AM43" s="45">
        <v>0</v>
      </c>
      <c r="AN43" s="45">
        <v>0</v>
      </c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93"/>
      <c r="BE43" s="93"/>
      <c r="BF43" s="93"/>
      <c r="BG43" s="93"/>
      <c r="BH43" s="93"/>
      <c r="BI43" s="93"/>
      <c r="BJ43" s="93"/>
      <c r="BK43" s="93">
        <f>SUM($Z43:AD43)-SUM($CM43:CQ43)</f>
        <v>215</v>
      </c>
      <c r="BL43" s="93">
        <f>SUM($Z43:AE43)-SUM($CM43:CR43)</f>
        <v>199</v>
      </c>
      <c r="BM43" s="93">
        <f>SUM($Z43:AF43)-SUM($CM43:CS43)</f>
        <v>183</v>
      </c>
      <c r="BN43" s="93">
        <f>SUM($Z43:AG43)-SUM($CM43:CT43)</f>
        <v>167</v>
      </c>
      <c r="BO43" s="93">
        <f>SUM($Z43:AH43)-SUM($CM43:CU43)</f>
        <v>151</v>
      </c>
      <c r="BP43" s="93">
        <f>SUM($Z43:AI43)-SUM($CM43:CV43)</f>
        <v>135</v>
      </c>
      <c r="BQ43" s="93">
        <f>SUM($Z43:AJ43)-SUM($CM43:CW43)</f>
        <v>119</v>
      </c>
      <c r="BR43" s="93">
        <f>SUM($Z43:AK43)-SUM($CM43:CX43)</f>
        <v>103</v>
      </c>
      <c r="BS43" s="93">
        <f>SUM($Z43:AL43)-SUM($CM43:CY43)</f>
        <v>103</v>
      </c>
      <c r="BT43" s="93">
        <f>SUM($Z43:AM43)-SUM($CM43:CZ43)</f>
        <v>103</v>
      </c>
      <c r="BU43" s="93">
        <f>SUM($Z43:AN43)-SUM($CM43:DA43)</f>
        <v>103</v>
      </c>
      <c r="BV43" s="93">
        <f>SUM($Z43:AO43)-SUM($CM43:DB43)</f>
        <v>103</v>
      </c>
      <c r="BW43" s="93">
        <f>SUM($Z43:AP43)-SUM($CM43:DC43)</f>
        <v>103</v>
      </c>
      <c r="BX43" s="93">
        <f>SUM($Z43:AQ43)-SUM($CM43:DD43)</f>
        <v>103</v>
      </c>
      <c r="BY43" s="93">
        <f>SUM($Z43:AR43)-SUM($CM43:DE43)</f>
        <v>103</v>
      </c>
      <c r="BZ43" s="93">
        <f>SUM($Z43:AS43)-SUM($CM43:DF43)</f>
        <v>103</v>
      </c>
      <c r="CA43" s="93">
        <f>SUM($Z43:AT43)-SUM($CM43:DG43)</f>
        <v>103</v>
      </c>
      <c r="CB43" s="93">
        <f>SUM($Z43:AU43)-SUM($CM43:DH43)</f>
        <v>103</v>
      </c>
      <c r="CC43" s="93">
        <f>SUM($Z43:AV43)-SUM($CM43:DI43)</f>
        <v>103</v>
      </c>
      <c r="CD43" s="93">
        <f>SUM($Z43:AW43)-SUM($CM43:DJ43)</f>
        <v>103</v>
      </c>
      <c r="CE43" s="93">
        <f>SUM($Z43:AX43)-SUM($CM43:DK43)</f>
        <v>103</v>
      </c>
      <c r="CF43" s="93">
        <f>SUM($Z43:AY43)-SUM($CM43:DL43)</f>
        <v>103</v>
      </c>
      <c r="CG43" s="93">
        <f>SUM($Z43:AZ43)-SUM($CM43:DM43)</f>
        <v>103</v>
      </c>
      <c r="CH43" s="93">
        <f>SUM($Z43:BA43)-SUM($CM43:DN43)</f>
        <v>103</v>
      </c>
      <c r="CI43" s="93">
        <f>SUM($Z43:BB43)-SUM($CM43:DO43)</f>
        <v>103</v>
      </c>
      <c r="CJ43" s="93"/>
      <c r="CK43" s="93"/>
      <c r="CL43" s="93"/>
      <c r="CM43" s="93"/>
      <c r="CN43" s="93" cm="1">
        <f t="array" ref="CN43">SUMPRODUCT(TRANSPOSE(CN$4:CN$20),$G43:$W43)</f>
        <v>0</v>
      </c>
      <c r="CO43" s="93" cm="1">
        <f t="array" ref="CO43">SUMPRODUCT(TRANSPOSE(CO$4:CO$20),$G43:$W43)</f>
        <v>0</v>
      </c>
      <c r="CP43" s="93" cm="1">
        <f t="array" ref="CP43">SUMPRODUCT(TRANSPOSE(CP$4:CP$20),$G43:$W43)</f>
        <v>0</v>
      </c>
      <c r="CQ43" s="93" cm="1">
        <f t="array" ref="CQ43">SUMPRODUCT(TRANSPOSE(CQ$4:CQ$20),$G43:$W43)</f>
        <v>16</v>
      </c>
      <c r="CR43" s="93" cm="1">
        <f t="array" ref="CR43">SUMPRODUCT(TRANSPOSE(CR$4:CR$20),$G43:$W43)</f>
        <v>16</v>
      </c>
      <c r="CS43" s="93" cm="1">
        <f t="array" ref="CS43">SUMPRODUCT(TRANSPOSE(CS$4:CS$20),$G43:$W43)</f>
        <v>16</v>
      </c>
      <c r="CT43" s="93" cm="1">
        <f t="array" ref="CT43">SUMPRODUCT(TRANSPOSE(CT$4:CT$20),$G43:$W43)</f>
        <v>16</v>
      </c>
      <c r="CU43" s="93" cm="1">
        <f t="array" ref="CU43">SUMPRODUCT(TRANSPOSE(CU$4:CU$20),$G43:$W43)</f>
        <v>16</v>
      </c>
      <c r="CV43" s="93" cm="1">
        <f t="array" ref="CV43">SUMPRODUCT(TRANSPOSE(CV$4:CV$20),$G43:$W43)</f>
        <v>16</v>
      </c>
      <c r="CW43" s="93" cm="1">
        <f t="array" ref="CW43">SUMPRODUCT(TRANSPOSE(CW$4:CW$20),$G43:$W43)</f>
        <v>16</v>
      </c>
      <c r="CX43" s="93" cm="1">
        <f t="array" ref="CX43">SUMPRODUCT(TRANSPOSE(CX$4:CX$20),$G43:$W43)</f>
        <v>16</v>
      </c>
      <c r="CY43" s="93" cm="1">
        <f t="array" ref="CY43">SUMPRODUCT(TRANSPOSE(CY$4:CY$20),$G43:$W43)</f>
        <v>0</v>
      </c>
      <c r="CZ43" s="93" cm="1">
        <f t="array" ref="CZ43">SUMPRODUCT(TRANSPOSE(CZ$4:CZ$20),$G43:$W43)</f>
        <v>0</v>
      </c>
      <c r="DA43" s="93" cm="1">
        <f t="array" ref="DA43">SUMPRODUCT(TRANSPOSE(DA$4:DA$20),$G43:$W43)</f>
        <v>0</v>
      </c>
      <c r="DB43" s="93" cm="1">
        <f t="array" ref="DB43">SUMPRODUCT(TRANSPOSE(DB$4:DB$20),$G43:$W43)</f>
        <v>0</v>
      </c>
      <c r="DC43" s="93" cm="1">
        <f t="array" ref="DC43">SUMPRODUCT(TRANSPOSE(DC$4:DC$20),$G43:$W43)</f>
        <v>0</v>
      </c>
      <c r="DD43" s="93" cm="1">
        <f t="array" ref="DD43">SUMPRODUCT(TRANSPOSE(DD$4:DD$20),$G43:$W43)</f>
        <v>0</v>
      </c>
      <c r="DE43" s="93" cm="1">
        <f t="array" ref="DE43">SUMPRODUCT(TRANSPOSE(DE$4:DE$20),$G43:$W43)</f>
        <v>0</v>
      </c>
      <c r="DF43" s="93" cm="1">
        <f t="array" ref="DF43">SUMPRODUCT(TRANSPOSE(DF$4:DF$20),$G43:$W43)</f>
        <v>0</v>
      </c>
      <c r="DG43" s="93" cm="1">
        <f t="array" ref="DG43">SUMPRODUCT(TRANSPOSE(DG$4:DG$20),$G43:$W43)</f>
        <v>0</v>
      </c>
      <c r="DH43" s="93" cm="1">
        <f t="array" ref="DH43">SUMPRODUCT(TRANSPOSE(DH$4:DH$20),$G43:$W43)</f>
        <v>0</v>
      </c>
      <c r="DI43" s="93" cm="1">
        <f t="array" ref="DI43">SUMPRODUCT(TRANSPOSE(DI$4:DI$20),$G43:$W43)</f>
        <v>0</v>
      </c>
      <c r="DJ43" s="93" cm="1">
        <f t="array" ref="DJ43">SUMPRODUCT(TRANSPOSE(DJ$4:DJ$20),$G43:$W43)</f>
        <v>0</v>
      </c>
      <c r="DK43" s="93" cm="1">
        <f t="array" ref="DK43">SUMPRODUCT(TRANSPOSE(DK$4:DK$20),$G43:$W43)</f>
        <v>0</v>
      </c>
      <c r="DL43" s="93" cm="1">
        <f t="array" ref="DL43">SUMPRODUCT(TRANSPOSE(DL$4:DL$20),$G43:$W43)</f>
        <v>0</v>
      </c>
      <c r="DM43" s="93" cm="1">
        <f t="array" ref="DM43">SUMPRODUCT(TRANSPOSE(DM$4:DM$20),$G43:$W43)</f>
        <v>0</v>
      </c>
      <c r="DN43" s="93" cm="1">
        <f t="array" ref="DN43">SUMPRODUCT(TRANSPOSE(DN$4:DN$20),$G43:$W43)</f>
        <v>0</v>
      </c>
      <c r="DO43" s="93" cm="1">
        <f t="array" ref="DO43">SUMPRODUCT(TRANSPOSE(DO$4:DO$20),$G43:$W43)</f>
        <v>0</v>
      </c>
    </row>
    <row r="44" spans="1:119" x14ac:dyDescent="0.2">
      <c r="A44" s="45">
        <f t="shared" si="26"/>
        <v>23</v>
      </c>
      <c r="B44" s="46" t="s">
        <v>101</v>
      </c>
      <c r="C44" s="45">
        <v>410931169</v>
      </c>
      <c r="D44" s="45" t="s">
        <v>125</v>
      </c>
      <c r="E44" s="45" t="s">
        <v>162</v>
      </c>
      <c r="F44" s="48">
        <v>1</v>
      </c>
      <c r="G44" s="100">
        <v>0</v>
      </c>
      <c r="H44" s="100">
        <v>0</v>
      </c>
      <c r="I44" s="100">
        <v>0</v>
      </c>
      <c r="J44" s="100">
        <v>0</v>
      </c>
      <c r="K44" s="100">
        <v>0</v>
      </c>
      <c r="L44" s="100">
        <v>0</v>
      </c>
      <c r="M44" s="100">
        <v>0</v>
      </c>
      <c r="N44" s="100">
        <v>2</v>
      </c>
      <c r="O44" s="100">
        <v>0</v>
      </c>
      <c r="P44" s="100">
        <v>0</v>
      </c>
      <c r="Q44" s="100">
        <v>0</v>
      </c>
      <c r="R44" s="100">
        <v>0</v>
      </c>
      <c r="S44" s="100">
        <v>0</v>
      </c>
      <c r="T44" s="100">
        <v>0</v>
      </c>
      <c r="U44" s="100">
        <v>0</v>
      </c>
      <c r="V44" s="100">
        <v>0</v>
      </c>
      <c r="W44" s="100">
        <v>0</v>
      </c>
      <c r="X44" s="45" t="s">
        <v>4</v>
      </c>
      <c r="Y44" s="49">
        <v>0</v>
      </c>
      <c r="Z44" s="45">
        <v>0</v>
      </c>
      <c r="AA44" s="45">
        <v>0</v>
      </c>
      <c r="AB44" s="45">
        <v>0</v>
      </c>
      <c r="AC44" s="45">
        <v>0</v>
      </c>
      <c r="AD44" s="45">
        <v>0</v>
      </c>
      <c r="AE44" s="45">
        <v>0</v>
      </c>
      <c r="AF44" s="45">
        <v>0</v>
      </c>
      <c r="AG44" s="45">
        <v>0</v>
      </c>
      <c r="AH44" s="45">
        <v>0</v>
      </c>
      <c r="AI44" s="45">
        <v>0</v>
      </c>
      <c r="AJ44" s="45">
        <v>0</v>
      </c>
      <c r="AK44" s="45">
        <v>0</v>
      </c>
      <c r="AL44" s="45">
        <v>0</v>
      </c>
      <c r="AM44" s="45">
        <v>0</v>
      </c>
      <c r="AN44" s="45">
        <v>0</v>
      </c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93"/>
      <c r="BE44" s="93"/>
      <c r="BF44" s="93"/>
      <c r="BG44" s="93"/>
      <c r="BH44" s="93"/>
      <c r="BI44" s="93"/>
      <c r="BJ44" s="93"/>
      <c r="BK44" s="93">
        <f>SUM($Z44:AD44)-SUM($CM44:CQ44)</f>
        <v>-32</v>
      </c>
      <c r="BL44" s="93">
        <f>SUM($Z44:AE44)-SUM($CM44:CR44)</f>
        <v>-64</v>
      </c>
      <c r="BM44" s="93">
        <f>SUM($Z44:AF44)-SUM($CM44:CS44)</f>
        <v>-96</v>
      </c>
      <c r="BN44" s="93">
        <f>SUM($Z44:AG44)-SUM($CM44:CT44)</f>
        <v>-128</v>
      </c>
      <c r="BO44" s="93">
        <f>SUM($Z44:AH44)-SUM($CM44:CU44)</f>
        <v>-144</v>
      </c>
      <c r="BP44" s="93">
        <f>SUM($Z44:AI44)-SUM($CM44:CV44)</f>
        <v>-160</v>
      </c>
      <c r="BQ44" s="93">
        <f>SUM($Z44:AJ44)-SUM($CM44:CW44)</f>
        <v>-176</v>
      </c>
      <c r="BR44" s="93">
        <f>SUM($Z44:AK44)-SUM($CM44:CX44)</f>
        <v>-192</v>
      </c>
      <c r="BS44" s="93">
        <f>SUM($Z44:AL44)-SUM($CM44:CY44)</f>
        <v>-208</v>
      </c>
      <c r="BT44" s="93">
        <f>SUM($Z44:AM44)-SUM($CM44:CZ44)</f>
        <v>-224</v>
      </c>
      <c r="BU44" s="93">
        <f>SUM($Z44:AN44)-SUM($CM44:DA44)</f>
        <v>-240</v>
      </c>
      <c r="BV44" s="93">
        <f>SUM($Z44:AO44)-SUM($CM44:DB44)</f>
        <v>-256</v>
      </c>
      <c r="BW44" s="93">
        <f>SUM($Z44:AP44)-SUM($CM44:DC44)</f>
        <v>-256</v>
      </c>
      <c r="BX44" s="93">
        <f>SUM($Z44:AQ44)-SUM($CM44:DD44)</f>
        <v>-256</v>
      </c>
      <c r="BY44" s="93">
        <f>SUM($Z44:AR44)-SUM($CM44:DE44)</f>
        <v>-256</v>
      </c>
      <c r="BZ44" s="93">
        <f>SUM($Z44:AS44)-SUM($CM44:DF44)</f>
        <v>-256</v>
      </c>
      <c r="CA44" s="93">
        <f>SUM($Z44:AT44)-SUM($CM44:DG44)</f>
        <v>-256</v>
      </c>
      <c r="CB44" s="93">
        <f>SUM($Z44:AU44)-SUM($CM44:DH44)</f>
        <v>-256</v>
      </c>
      <c r="CC44" s="93">
        <f>SUM($Z44:AV44)-SUM($CM44:DI44)</f>
        <v>-256</v>
      </c>
      <c r="CD44" s="93">
        <f>SUM($Z44:AW44)-SUM($CM44:DJ44)</f>
        <v>-256</v>
      </c>
      <c r="CE44" s="93">
        <f>SUM($Z44:AX44)-SUM($CM44:DK44)</f>
        <v>-256</v>
      </c>
      <c r="CF44" s="93">
        <f>SUM($Z44:AY44)-SUM($CM44:DL44)</f>
        <v>-256</v>
      </c>
      <c r="CG44" s="93">
        <f>SUM($Z44:AZ44)-SUM($CM44:DM44)</f>
        <v>-256</v>
      </c>
      <c r="CH44" s="93">
        <f>SUM($Z44:BA44)-SUM($CM44:DN44)</f>
        <v>-256</v>
      </c>
      <c r="CI44" s="93">
        <f>SUM($Z44:BB44)-SUM($CM44:DO44)</f>
        <v>-256</v>
      </c>
      <c r="CJ44" s="93"/>
      <c r="CK44" s="93"/>
      <c r="CL44" s="93"/>
      <c r="CM44" s="93"/>
      <c r="CN44" s="93" cm="1">
        <f t="array" ref="CN44">SUMPRODUCT(TRANSPOSE(CN$4:CN$20),$G44:$W44)</f>
        <v>0</v>
      </c>
      <c r="CO44" s="93" cm="1">
        <f t="array" ref="CO44">SUMPRODUCT(TRANSPOSE(CO$4:CO$20),$G44:$W44)</f>
        <v>0</v>
      </c>
      <c r="CP44" s="93" cm="1">
        <f t="array" ref="CP44">SUMPRODUCT(TRANSPOSE(CP$4:CP$20),$G44:$W44)</f>
        <v>0</v>
      </c>
      <c r="CQ44" s="93" cm="1">
        <f t="array" ref="CQ44">SUMPRODUCT(TRANSPOSE(CQ$4:CQ$20),$G44:$W44)</f>
        <v>32</v>
      </c>
      <c r="CR44" s="93" cm="1">
        <f t="array" ref="CR44">SUMPRODUCT(TRANSPOSE(CR$4:CR$20),$G44:$W44)</f>
        <v>32</v>
      </c>
      <c r="CS44" s="93" cm="1">
        <f t="array" ref="CS44">SUMPRODUCT(TRANSPOSE(CS$4:CS$20),$G44:$W44)</f>
        <v>32</v>
      </c>
      <c r="CT44" s="93" cm="1">
        <f t="array" ref="CT44">SUMPRODUCT(TRANSPOSE(CT$4:CT$20),$G44:$W44)</f>
        <v>32</v>
      </c>
      <c r="CU44" s="93" cm="1">
        <f t="array" ref="CU44">SUMPRODUCT(TRANSPOSE(CU$4:CU$20),$G44:$W44)</f>
        <v>16</v>
      </c>
      <c r="CV44" s="93" cm="1">
        <f t="array" ref="CV44">SUMPRODUCT(TRANSPOSE(CV$4:CV$20),$G44:$W44)</f>
        <v>16</v>
      </c>
      <c r="CW44" s="93" cm="1">
        <f t="array" ref="CW44">SUMPRODUCT(TRANSPOSE(CW$4:CW$20),$G44:$W44)</f>
        <v>16</v>
      </c>
      <c r="CX44" s="93" cm="1">
        <f t="array" ref="CX44">SUMPRODUCT(TRANSPOSE(CX$4:CX$20),$G44:$W44)</f>
        <v>16</v>
      </c>
      <c r="CY44" s="93" cm="1">
        <f t="array" ref="CY44">SUMPRODUCT(TRANSPOSE(CY$4:CY$20),$G44:$W44)</f>
        <v>16</v>
      </c>
      <c r="CZ44" s="93" cm="1">
        <f t="array" ref="CZ44">SUMPRODUCT(TRANSPOSE(CZ$4:CZ$20),$G44:$W44)</f>
        <v>16</v>
      </c>
      <c r="DA44" s="93" cm="1">
        <f t="array" ref="DA44">SUMPRODUCT(TRANSPOSE(DA$4:DA$20),$G44:$W44)</f>
        <v>16</v>
      </c>
      <c r="DB44" s="93" cm="1">
        <f t="array" ref="DB44">SUMPRODUCT(TRANSPOSE(DB$4:DB$20),$G44:$W44)</f>
        <v>16</v>
      </c>
      <c r="DC44" s="93" cm="1">
        <f t="array" ref="DC44">SUMPRODUCT(TRANSPOSE(DC$4:DC$20),$G44:$W44)</f>
        <v>0</v>
      </c>
      <c r="DD44" s="93" cm="1">
        <f t="array" ref="DD44">SUMPRODUCT(TRANSPOSE(DD$4:DD$20),$G44:$W44)</f>
        <v>0</v>
      </c>
      <c r="DE44" s="93" cm="1">
        <f t="array" ref="DE44">SUMPRODUCT(TRANSPOSE(DE$4:DE$20),$G44:$W44)</f>
        <v>0</v>
      </c>
      <c r="DF44" s="93" cm="1">
        <f t="array" ref="DF44">SUMPRODUCT(TRANSPOSE(DF$4:DF$20),$G44:$W44)</f>
        <v>0</v>
      </c>
      <c r="DG44" s="93" cm="1">
        <f t="array" ref="DG44">SUMPRODUCT(TRANSPOSE(DG$4:DG$20),$G44:$W44)</f>
        <v>0</v>
      </c>
      <c r="DH44" s="93" cm="1">
        <f t="array" ref="DH44">SUMPRODUCT(TRANSPOSE(DH$4:DH$20),$G44:$W44)</f>
        <v>0</v>
      </c>
      <c r="DI44" s="93" cm="1">
        <f t="array" ref="DI44">SUMPRODUCT(TRANSPOSE(DI$4:DI$20),$G44:$W44)</f>
        <v>0</v>
      </c>
      <c r="DJ44" s="93" cm="1">
        <f t="array" ref="DJ44">SUMPRODUCT(TRANSPOSE(DJ$4:DJ$20),$G44:$W44)</f>
        <v>0</v>
      </c>
      <c r="DK44" s="93" cm="1">
        <f t="array" ref="DK44">SUMPRODUCT(TRANSPOSE(DK$4:DK$20),$G44:$W44)</f>
        <v>0</v>
      </c>
      <c r="DL44" s="93" cm="1">
        <f t="array" ref="DL44">SUMPRODUCT(TRANSPOSE(DL$4:DL$20),$G44:$W44)</f>
        <v>0</v>
      </c>
      <c r="DM44" s="93" cm="1">
        <f t="array" ref="DM44">SUMPRODUCT(TRANSPOSE(DM$4:DM$20),$G44:$W44)</f>
        <v>0</v>
      </c>
      <c r="DN44" s="93" cm="1">
        <f t="array" ref="DN44">SUMPRODUCT(TRANSPOSE(DN$4:DN$20),$G44:$W44)</f>
        <v>0</v>
      </c>
      <c r="DO44" s="93" cm="1">
        <f t="array" ref="DO44">SUMPRODUCT(TRANSPOSE(DO$4:DO$20),$G44:$W44)</f>
        <v>0</v>
      </c>
    </row>
    <row r="45" spans="1:119" x14ac:dyDescent="0.2">
      <c r="A45" s="45">
        <f t="shared" si="26"/>
        <v>24</v>
      </c>
      <c r="B45" s="46" t="s">
        <v>207</v>
      </c>
      <c r="C45" s="45">
        <v>411164868</v>
      </c>
      <c r="D45" s="45" t="s">
        <v>208</v>
      </c>
      <c r="E45" s="45" t="s">
        <v>162</v>
      </c>
      <c r="F45" s="48">
        <v>1</v>
      </c>
      <c r="G45" s="100">
        <v>0</v>
      </c>
      <c r="H45" s="100">
        <v>0</v>
      </c>
      <c r="I45" s="100">
        <v>0</v>
      </c>
      <c r="J45" s="100">
        <v>0</v>
      </c>
      <c r="K45" s="100">
        <v>0</v>
      </c>
      <c r="L45" s="100">
        <v>0</v>
      </c>
      <c r="M45" s="100">
        <v>0</v>
      </c>
      <c r="N45" s="100">
        <v>0</v>
      </c>
      <c r="O45" s="100">
        <v>1</v>
      </c>
      <c r="P45" s="100">
        <v>0</v>
      </c>
      <c r="Q45" s="100">
        <v>0</v>
      </c>
      <c r="R45" s="100">
        <v>0</v>
      </c>
      <c r="S45" s="100">
        <v>0</v>
      </c>
      <c r="T45" s="100">
        <v>0</v>
      </c>
      <c r="U45" s="100">
        <v>0</v>
      </c>
      <c r="V45" s="100">
        <v>0</v>
      </c>
      <c r="W45" s="100">
        <v>0</v>
      </c>
      <c r="X45" s="45" t="s">
        <v>209</v>
      </c>
      <c r="Y45" s="53">
        <v>14910</v>
      </c>
      <c r="Z45" s="45">
        <v>205</v>
      </c>
      <c r="AA45" s="45">
        <v>0</v>
      </c>
      <c r="AB45" s="45">
        <v>0</v>
      </c>
      <c r="AC45" s="45">
        <v>0</v>
      </c>
      <c r="AD45" s="45">
        <v>0</v>
      </c>
      <c r="AE45" s="45">
        <v>0</v>
      </c>
      <c r="AF45" s="45">
        <v>0</v>
      </c>
      <c r="AG45" s="45">
        <v>0</v>
      </c>
      <c r="AH45" s="45">
        <v>0</v>
      </c>
      <c r="AI45" s="45">
        <v>0</v>
      </c>
      <c r="AJ45" s="45">
        <v>0</v>
      </c>
      <c r="AK45" s="45">
        <v>0</v>
      </c>
      <c r="AL45" s="45">
        <v>0</v>
      </c>
      <c r="AM45" s="45">
        <v>0</v>
      </c>
      <c r="AN45" s="45">
        <v>0</v>
      </c>
      <c r="AO45" s="45"/>
      <c r="AP45" s="45"/>
      <c r="AQ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5"/>
      <c r="BC45" s="45"/>
      <c r="BD45" s="93"/>
      <c r="BE45" s="93"/>
      <c r="BF45" s="93"/>
      <c r="BG45" s="93"/>
      <c r="BH45" s="93"/>
      <c r="BI45" s="93"/>
      <c r="BJ45" s="93"/>
      <c r="BK45" s="93">
        <f>SUM($Z45:AD45)-SUM($CM45:CQ45)</f>
        <v>170</v>
      </c>
      <c r="BL45" s="93">
        <f>SUM($Z45:AE45)-SUM($CM45:CR45)</f>
        <v>135</v>
      </c>
      <c r="BM45" s="93">
        <f>SUM($Z45:AF45)-SUM($CM45:CS45)</f>
        <v>100</v>
      </c>
      <c r="BN45" s="93">
        <f>SUM($Z45:AG45)-SUM($CM45:CT45)</f>
        <v>70</v>
      </c>
      <c r="BO45" s="93">
        <f>SUM($Z45:AH45)-SUM($CM45:CU45)</f>
        <v>40</v>
      </c>
      <c r="BP45" s="93">
        <f>SUM($Z45:AI45)-SUM($CM45:CV45)</f>
        <v>10</v>
      </c>
      <c r="BQ45" s="93">
        <f>SUM($Z45:AJ45)-SUM($CM45:CW45)</f>
        <v>-20</v>
      </c>
      <c r="BR45" s="93">
        <f>SUM($Z45:AK45)-SUM($CM45:CX45)</f>
        <v>-50</v>
      </c>
      <c r="BS45" s="93">
        <f>SUM($Z45:AL45)-SUM($CM45:CY45)</f>
        <v>-80</v>
      </c>
      <c r="BT45" s="93">
        <f>SUM($Z45:AM45)-SUM($CM45:CZ45)</f>
        <v>-110</v>
      </c>
      <c r="BU45" s="93">
        <f>SUM($Z45:AN45)-SUM($CM45:DA45)</f>
        <v>-140</v>
      </c>
      <c r="BV45" s="93">
        <f>SUM($Z45:AO45)-SUM($CM45:DB45)</f>
        <v>-154</v>
      </c>
      <c r="BW45" s="93">
        <f>SUM($Z45:AP45)-SUM($CM45:DC45)</f>
        <v>-154</v>
      </c>
      <c r="BX45" s="93">
        <f>SUM($Z45:AQ45)-SUM($CM45:DD45)</f>
        <v>-154</v>
      </c>
      <c r="BY45" s="93">
        <f>SUM($Z45:AR45)-SUM($CM45:DE45)</f>
        <v>-154</v>
      </c>
      <c r="BZ45" s="93">
        <f>SUM($Z45:AS45)-SUM($CM45:DF45)</f>
        <v>-154</v>
      </c>
      <c r="CA45" s="93">
        <f>SUM($Z45:AT45)-SUM($CM45:DG45)</f>
        <v>-154</v>
      </c>
      <c r="CB45" s="93">
        <f>SUM($Z45:AU45)-SUM($CM45:DH45)</f>
        <v>-154</v>
      </c>
      <c r="CC45" s="93">
        <f>SUM($Z45:AV45)-SUM($CM45:DI45)</f>
        <v>-154</v>
      </c>
      <c r="CD45" s="93">
        <f>SUM($Z45:AW45)-SUM($CM45:DJ45)</f>
        <v>-154</v>
      </c>
      <c r="CE45" s="93">
        <f>SUM($Z45:AX45)-SUM($CM45:DK45)</f>
        <v>-154</v>
      </c>
      <c r="CF45" s="93">
        <f>SUM($Z45:AY45)-SUM($CM45:DL45)</f>
        <v>-154</v>
      </c>
      <c r="CG45" s="93">
        <f>SUM($Z45:AZ45)-SUM($CM45:DM45)</f>
        <v>-154</v>
      </c>
      <c r="CH45" s="93">
        <f>SUM($Z45:BA45)-SUM($CM45:DN45)</f>
        <v>-154</v>
      </c>
      <c r="CI45" s="93">
        <f>SUM($Z45:BB45)-SUM($CM45:DO45)</f>
        <v>-154</v>
      </c>
      <c r="CJ45" s="93"/>
      <c r="CK45" s="93"/>
      <c r="CL45" s="93"/>
      <c r="CM45" s="93"/>
      <c r="CN45" s="93" cm="1">
        <f t="array" ref="CN45">SUMPRODUCT(TRANSPOSE(CN$4:CN$20),$G45:$W45)</f>
        <v>0</v>
      </c>
      <c r="CO45" s="93" cm="1">
        <f t="array" ref="CO45">SUMPRODUCT(TRANSPOSE(CO$4:CO$20),$G45:$W45)</f>
        <v>0</v>
      </c>
      <c r="CP45" s="93" cm="1">
        <f t="array" ref="CP45">SUMPRODUCT(TRANSPOSE(CP$4:CP$20),$G45:$W45)</f>
        <v>0</v>
      </c>
      <c r="CQ45" s="93" cm="1">
        <f t="array" ref="CQ45">SUMPRODUCT(TRANSPOSE(CQ$4:CQ$20),$G45:$W45)</f>
        <v>35</v>
      </c>
      <c r="CR45" s="93" cm="1">
        <f t="array" ref="CR45">SUMPRODUCT(TRANSPOSE(CR$4:CR$20),$G45:$W45)</f>
        <v>35</v>
      </c>
      <c r="CS45" s="93" cm="1">
        <f t="array" ref="CS45">SUMPRODUCT(TRANSPOSE(CS$4:CS$20),$G45:$W45)</f>
        <v>35</v>
      </c>
      <c r="CT45" s="93" cm="1">
        <f t="array" ref="CT45">SUMPRODUCT(TRANSPOSE(CT$4:CT$20),$G45:$W45)</f>
        <v>30</v>
      </c>
      <c r="CU45" s="93" cm="1">
        <f t="array" ref="CU45">SUMPRODUCT(TRANSPOSE(CU$4:CU$20),$G45:$W45)</f>
        <v>30</v>
      </c>
      <c r="CV45" s="93" cm="1">
        <f t="array" ref="CV45">SUMPRODUCT(TRANSPOSE(CV$4:CV$20),$G45:$W45)</f>
        <v>30</v>
      </c>
      <c r="CW45" s="93" cm="1">
        <f t="array" ref="CW45">SUMPRODUCT(TRANSPOSE(CW$4:CW$20),$G45:$W45)</f>
        <v>30</v>
      </c>
      <c r="CX45" s="93" cm="1">
        <f t="array" ref="CX45">SUMPRODUCT(TRANSPOSE(CX$4:CX$20),$G45:$W45)</f>
        <v>30</v>
      </c>
      <c r="CY45" s="93" cm="1">
        <f t="array" ref="CY45">SUMPRODUCT(TRANSPOSE(CY$4:CY$20),$G45:$W45)</f>
        <v>30</v>
      </c>
      <c r="CZ45" s="93" cm="1">
        <f t="array" ref="CZ45">SUMPRODUCT(TRANSPOSE(CZ$4:CZ$20),$G45:$W45)</f>
        <v>30</v>
      </c>
      <c r="DA45" s="93" cm="1">
        <f t="array" ref="DA45">SUMPRODUCT(TRANSPOSE(DA$4:DA$20),$G45:$W45)</f>
        <v>30</v>
      </c>
      <c r="DB45" s="93" cm="1">
        <f t="array" ref="DB45">SUMPRODUCT(TRANSPOSE(DB$4:DB$20),$G45:$W45)</f>
        <v>14</v>
      </c>
      <c r="DC45" s="93" cm="1">
        <f t="array" ref="DC45">SUMPRODUCT(TRANSPOSE(DC$4:DC$20),$G45:$W45)</f>
        <v>0</v>
      </c>
      <c r="DD45" s="93" cm="1">
        <f t="array" ref="DD45">SUMPRODUCT(TRANSPOSE(DD$4:DD$20),$G45:$W45)</f>
        <v>0</v>
      </c>
      <c r="DE45" s="93" cm="1">
        <f t="array" ref="DE45">SUMPRODUCT(TRANSPOSE(DE$4:DE$20),$G45:$W45)</f>
        <v>0</v>
      </c>
      <c r="DF45" s="93" cm="1">
        <f t="array" ref="DF45">SUMPRODUCT(TRANSPOSE(DF$4:DF$20),$G45:$W45)</f>
        <v>0</v>
      </c>
      <c r="DG45" s="93" cm="1">
        <f t="array" ref="DG45">SUMPRODUCT(TRANSPOSE(DG$4:DG$20),$G45:$W45)</f>
        <v>0</v>
      </c>
      <c r="DH45" s="93" cm="1">
        <f t="array" ref="DH45">SUMPRODUCT(TRANSPOSE(DH$4:DH$20),$G45:$W45)</f>
        <v>0</v>
      </c>
      <c r="DI45" s="93" cm="1">
        <f t="array" ref="DI45">SUMPRODUCT(TRANSPOSE(DI$4:DI$20),$G45:$W45)</f>
        <v>0</v>
      </c>
      <c r="DJ45" s="93" cm="1">
        <f t="array" ref="DJ45">SUMPRODUCT(TRANSPOSE(DJ$4:DJ$20),$G45:$W45)</f>
        <v>0</v>
      </c>
      <c r="DK45" s="93" cm="1">
        <f t="array" ref="DK45">SUMPRODUCT(TRANSPOSE(DK$4:DK$20),$G45:$W45)</f>
        <v>0</v>
      </c>
      <c r="DL45" s="93" cm="1">
        <f t="array" ref="DL45">SUMPRODUCT(TRANSPOSE(DL$4:DL$20),$G45:$W45)</f>
        <v>0</v>
      </c>
      <c r="DM45" s="93" cm="1">
        <f t="array" ref="DM45">SUMPRODUCT(TRANSPOSE(DM$4:DM$20),$G45:$W45)</f>
        <v>0</v>
      </c>
      <c r="DN45" s="93" cm="1">
        <f t="array" ref="DN45">SUMPRODUCT(TRANSPOSE(DN$4:DN$20),$G45:$W45)</f>
        <v>0</v>
      </c>
      <c r="DO45" s="93" cm="1">
        <f t="array" ref="DO45">SUMPRODUCT(TRANSPOSE(DO$4:DO$20),$G45:$W45)</f>
        <v>0</v>
      </c>
    </row>
    <row r="46" spans="1:119" x14ac:dyDescent="0.2">
      <c r="A46" s="45">
        <f t="shared" si="26"/>
        <v>25</v>
      </c>
      <c r="B46" s="46" t="s">
        <v>109</v>
      </c>
      <c r="C46" s="45">
        <v>403129136</v>
      </c>
      <c r="D46" s="45" t="s">
        <v>129</v>
      </c>
      <c r="E46" s="45" t="s">
        <v>162</v>
      </c>
      <c r="F46" s="48">
        <v>1</v>
      </c>
      <c r="G46" s="100">
        <v>0</v>
      </c>
      <c r="H46" s="100">
        <v>0</v>
      </c>
      <c r="I46" s="100">
        <v>0</v>
      </c>
      <c r="J46" s="100">
        <v>0</v>
      </c>
      <c r="K46" s="100">
        <v>0</v>
      </c>
      <c r="L46" s="100">
        <v>0</v>
      </c>
      <c r="M46" s="100">
        <v>0</v>
      </c>
      <c r="N46" s="100">
        <v>2</v>
      </c>
      <c r="O46" s="100">
        <v>0</v>
      </c>
      <c r="P46" s="100">
        <v>0</v>
      </c>
      <c r="Q46" s="100">
        <v>0</v>
      </c>
      <c r="R46" s="100">
        <v>0</v>
      </c>
      <c r="S46" s="100">
        <v>0</v>
      </c>
      <c r="T46" s="100">
        <v>0</v>
      </c>
      <c r="U46" s="100">
        <v>0</v>
      </c>
      <c r="V46" s="100">
        <v>0</v>
      </c>
      <c r="W46" s="100">
        <v>0</v>
      </c>
      <c r="X46" s="45" t="s">
        <v>4</v>
      </c>
      <c r="Y46" s="49">
        <v>0</v>
      </c>
      <c r="Z46" s="45">
        <v>0</v>
      </c>
      <c r="AA46" s="45">
        <v>0</v>
      </c>
      <c r="AB46" s="45">
        <v>0</v>
      </c>
      <c r="AC46" s="45">
        <v>0</v>
      </c>
      <c r="AD46" s="45">
        <v>0</v>
      </c>
      <c r="AE46" s="45">
        <v>0</v>
      </c>
      <c r="AF46" s="45">
        <v>0</v>
      </c>
      <c r="AG46" s="45">
        <v>0</v>
      </c>
      <c r="AH46" s="45">
        <v>0</v>
      </c>
      <c r="AI46" s="45">
        <v>0</v>
      </c>
      <c r="AJ46" s="45">
        <v>0</v>
      </c>
      <c r="AK46" s="45">
        <v>0</v>
      </c>
      <c r="AL46" s="45">
        <v>0</v>
      </c>
      <c r="AM46" s="45">
        <v>0</v>
      </c>
      <c r="AN46" s="45">
        <v>0</v>
      </c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93"/>
      <c r="BE46" s="93"/>
      <c r="BF46" s="93"/>
      <c r="BG46" s="93"/>
      <c r="BH46" s="93"/>
      <c r="BI46" s="93"/>
      <c r="BJ46" s="93"/>
      <c r="BK46" s="93">
        <f>SUM($Z46:AD46)-SUM($CM46:CQ46)</f>
        <v>-32</v>
      </c>
      <c r="BL46" s="93">
        <f>SUM($Z46:AE46)-SUM($CM46:CR46)</f>
        <v>-64</v>
      </c>
      <c r="BM46" s="93">
        <f>SUM($Z46:AF46)-SUM($CM46:CS46)</f>
        <v>-96</v>
      </c>
      <c r="BN46" s="93">
        <f>SUM($Z46:AG46)-SUM($CM46:CT46)</f>
        <v>-128</v>
      </c>
      <c r="BO46" s="93">
        <f>SUM($Z46:AH46)-SUM($CM46:CU46)</f>
        <v>-144</v>
      </c>
      <c r="BP46" s="93">
        <f>SUM($Z46:AI46)-SUM($CM46:CV46)</f>
        <v>-160</v>
      </c>
      <c r="BQ46" s="93">
        <f>SUM($Z46:AJ46)-SUM($CM46:CW46)</f>
        <v>-176</v>
      </c>
      <c r="BR46" s="93">
        <f>SUM($Z46:AK46)-SUM($CM46:CX46)</f>
        <v>-192</v>
      </c>
      <c r="BS46" s="93">
        <f>SUM($Z46:AL46)-SUM($CM46:CY46)</f>
        <v>-208</v>
      </c>
      <c r="BT46" s="93">
        <f>SUM($Z46:AM46)-SUM($CM46:CZ46)</f>
        <v>-224</v>
      </c>
      <c r="BU46" s="93">
        <f>SUM($Z46:AN46)-SUM($CM46:DA46)</f>
        <v>-240</v>
      </c>
      <c r="BV46" s="93">
        <f>SUM($Z46:AO46)-SUM($CM46:DB46)</f>
        <v>-256</v>
      </c>
      <c r="BW46" s="93">
        <f>SUM($Z46:AP46)-SUM($CM46:DC46)</f>
        <v>-256</v>
      </c>
      <c r="BX46" s="93">
        <f>SUM($Z46:AQ46)-SUM($CM46:DD46)</f>
        <v>-256</v>
      </c>
      <c r="BY46" s="93">
        <f>SUM($Z46:AR46)-SUM($CM46:DE46)</f>
        <v>-256</v>
      </c>
      <c r="BZ46" s="93">
        <f>SUM($Z46:AS46)-SUM($CM46:DF46)</f>
        <v>-256</v>
      </c>
      <c r="CA46" s="93">
        <f>SUM($Z46:AT46)-SUM($CM46:DG46)</f>
        <v>-256</v>
      </c>
      <c r="CB46" s="93">
        <f>SUM($Z46:AU46)-SUM($CM46:DH46)</f>
        <v>-256</v>
      </c>
      <c r="CC46" s="93">
        <f>SUM($Z46:AV46)-SUM($CM46:DI46)</f>
        <v>-256</v>
      </c>
      <c r="CD46" s="93">
        <f>SUM($Z46:AW46)-SUM($CM46:DJ46)</f>
        <v>-256</v>
      </c>
      <c r="CE46" s="93">
        <f>SUM($Z46:AX46)-SUM($CM46:DK46)</f>
        <v>-256</v>
      </c>
      <c r="CF46" s="93">
        <f>SUM($Z46:AY46)-SUM($CM46:DL46)</f>
        <v>-256</v>
      </c>
      <c r="CG46" s="93">
        <f>SUM($Z46:AZ46)-SUM($CM46:DM46)</f>
        <v>-256</v>
      </c>
      <c r="CH46" s="93">
        <f>SUM($Z46:BA46)-SUM($CM46:DN46)</f>
        <v>-256</v>
      </c>
      <c r="CI46" s="93">
        <f>SUM($Z46:BB46)-SUM($CM46:DO46)</f>
        <v>-256</v>
      </c>
      <c r="CJ46" s="93"/>
      <c r="CK46" s="93"/>
      <c r="CL46" s="93"/>
      <c r="CM46" s="93"/>
      <c r="CN46" s="93" cm="1">
        <f t="array" ref="CN46">SUMPRODUCT(TRANSPOSE(CN$4:CN$20),$G46:$W46)</f>
        <v>0</v>
      </c>
      <c r="CO46" s="93" cm="1">
        <f t="array" ref="CO46">SUMPRODUCT(TRANSPOSE(CO$4:CO$20),$G46:$W46)</f>
        <v>0</v>
      </c>
      <c r="CP46" s="93" cm="1">
        <f t="array" ref="CP46">SUMPRODUCT(TRANSPOSE(CP$4:CP$20),$G46:$W46)</f>
        <v>0</v>
      </c>
      <c r="CQ46" s="93" cm="1">
        <f t="array" ref="CQ46">SUMPRODUCT(TRANSPOSE(CQ$4:CQ$20),$G46:$W46)</f>
        <v>32</v>
      </c>
      <c r="CR46" s="93" cm="1">
        <f t="array" ref="CR46">SUMPRODUCT(TRANSPOSE(CR$4:CR$20),$G46:$W46)</f>
        <v>32</v>
      </c>
      <c r="CS46" s="93" cm="1">
        <f t="array" ref="CS46">SUMPRODUCT(TRANSPOSE(CS$4:CS$20),$G46:$W46)</f>
        <v>32</v>
      </c>
      <c r="CT46" s="93" cm="1">
        <f t="array" ref="CT46">SUMPRODUCT(TRANSPOSE(CT$4:CT$20),$G46:$W46)</f>
        <v>32</v>
      </c>
      <c r="CU46" s="93" cm="1">
        <f t="array" ref="CU46">SUMPRODUCT(TRANSPOSE(CU$4:CU$20),$G46:$W46)</f>
        <v>16</v>
      </c>
      <c r="CV46" s="93" cm="1">
        <f t="array" ref="CV46">SUMPRODUCT(TRANSPOSE(CV$4:CV$20),$G46:$W46)</f>
        <v>16</v>
      </c>
      <c r="CW46" s="93" cm="1">
        <f t="array" ref="CW46">SUMPRODUCT(TRANSPOSE(CW$4:CW$20),$G46:$W46)</f>
        <v>16</v>
      </c>
      <c r="CX46" s="93" cm="1">
        <f t="array" ref="CX46">SUMPRODUCT(TRANSPOSE(CX$4:CX$20),$G46:$W46)</f>
        <v>16</v>
      </c>
      <c r="CY46" s="93" cm="1">
        <f t="array" ref="CY46">SUMPRODUCT(TRANSPOSE(CY$4:CY$20),$G46:$W46)</f>
        <v>16</v>
      </c>
      <c r="CZ46" s="93" cm="1">
        <f t="array" ref="CZ46">SUMPRODUCT(TRANSPOSE(CZ$4:CZ$20),$G46:$W46)</f>
        <v>16</v>
      </c>
      <c r="DA46" s="93" cm="1">
        <f t="array" ref="DA46">SUMPRODUCT(TRANSPOSE(DA$4:DA$20),$G46:$W46)</f>
        <v>16</v>
      </c>
      <c r="DB46" s="93" cm="1">
        <f t="array" ref="DB46">SUMPRODUCT(TRANSPOSE(DB$4:DB$20),$G46:$W46)</f>
        <v>16</v>
      </c>
      <c r="DC46" s="93" cm="1">
        <f t="array" ref="DC46">SUMPRODUCT(TRANSPOSE(DC$4:DC$20),$G46:$W46)</f>
        <v>0</v>
      </c>
      <c r="DD46" s="93" cm="1">
        <f t="array" ref="DD46">SUMPRODUCT(TRANSPOSE(DD$4:DD$20),$G46:$W46)</f>
        <v>0</v>
      </c>
      <c r="DE46" s="93" cm="1">
        <f t="array" ref="DE46">SUMPRODUCT(TRANSPOSE(DE$4:DE$20),$G46:$W46)</f>
        <v>0</v>
      </c>
      <c r="DF46" s="93" cm="1">
        <f t="array" ref="DF46">SUMPRODUCT(TRANSPOSE(DF$4:DF$20),$G46:$W46)</f>
        <v>0</v>
      </c>
      <c r="DG46" s="93" cm="1">
        <f t="array" ref="DG46">SUMPRODUCT(TRANSPOSE(DG$4:DG$20),$G46:$W46)</f>
        <v>0</v>
      </c>
      <c r="DH46" s="93" cm="1">
        <f t="array" ref="DH46">SUMPRODUCT(TRANSPOSE(DH$4:DH$20),$G46:$W46)</f>
        <v>0</v>
      </c>
      <c r="DI46" s="93" cm="1">
        <f t="array" ref="DI46">SUMPRODUCT(TRANSPOSE(DI$4:DI$20),$G46:$W46)</f>
        <v>0</v>
      </c>
      <c r="DJ46" s="93" cm="1">
        <f t="array" ref="DJ46">SUMPRODUCT(TRANSPOSE(DJ$4:DJ$20),$G46:$W46)</f>
        <v>0</v>
      </c>
      <c r="DK46" s="93" cm="1">
        <f t="array" ref="DK46">SUMPRODUCT(TRANSPOSE(DK$4:DK$20),$G46:$W46)</f>
        <v>0</v>
      </c>
      <c r="DL46" s="93" cm="1">
        <f t="array" ref="DL46">SUMPRODUCT(TRANSPOSE(DL$4:DL$20),$G46:$W46)</f>
        <v>0</v>
      </c>
      <c r="DM46" s="93" cm="1">
        <f t="array" ref="DM46">SUMPRODUCT(TRANSPOSE(DM$4:DM$20),$G46:$W46)</f>
        <v>0</v>
      </c>
      <c r="DN46" s="93" cm="1">
        <f t="array" ref="DN46">SUMPRODUCT(TRANSPOSE(DN$4:DN$20),$G46:$W46)</f>
        <v>0</v>
      </c>
      <c r="DO46" s="93" cm="1">
        <f t="array" ref="DO46">SUMPRODUCT(TRANSPOSE(DO$4:DO$20),$G46:$W46)</f>
        <v>0</v>
      </c>
    </row>
    <row r="47" spans="1:119" ht="24.6" customHeight="1" x14ac:dyDescent="0.2">
      <c r="A47" s="45">
        <f t="shared" si="26"/>
        <v>26</v>
      </c>
      <c r="B47" s="46" t="s">
        <v>210</v>
      </c>
      <c r="C47" s="45">
        <v>411031349</v>
      </c>
      <c r="D47" s="45" t="s">
        <v>211</v>
      </c>
      <c r="E47" s="45" t="s">
        <v>162</v>
      </c>
      <c r="F47" s="48">
        <v>1</v>
      </c>
      <c r="G47" s="100">
        <v>0</v>
      </c>
      <c r="H47" s="100">
        <v>0</v>
      </c>
      <c r="I47" s="100">
        <v>0</v>
      </c>
      <c r="J47" s="100">
        <v>0</v>
      </c>
      <c r="K47" s="100">
        <v>0</v>
      </c>
      <c r="L47" s="100">
        <v>0</v>
      </c>
      <c r="M47" s="100">
        <v>0</v>
      </c>
      <c r="N47" s="100">
        <v>0</v>
      </c>
      <c r="O47" s="100">
        <v>1</v>
      </c>
      <c r="P47" s="100">
        <v>0</v>
      </c>
      <c r="Q47" s="100">
        <v>0</v>
      </c>
      <c r="R47" s="100">
        <v>0</v>
      </c>
      <c r="S47" s="100">
        <v>1</v>
      </c>
      <c r="T47" s="100">
        <v>0</v>
      </c>
      <c r="U47" s="100">
        <v>0</v>
      </c>
      <c r="V47" s="100">
        <v>0</v>
      </c>
      <c r="W47" s="100">
        <v>0</v>
      </c>
      <c r="X47" s="45" t="s">
        <v>46</v>
      </c>
      <c r="Y47" s="49">
        <v>335</v>
      </c>
      <c r="Z47" s="45">
        <v>346</v>
      </c>
      <c r="AA47" s="45">
        <v>0</v>
      </c>
      <c r="AB47" s="45">
        <v>0</v>
      </c>
      <c r="AC47" s="45">
        <v>0</v>
      </c>
      <c r="AD47" s="45">
        <v>0</v>
      </c>
      <c r="AE47" s="45">
        <v>373</v>
      </c>
      <c r="AF47" s="45">
        <v>0</v>
      </c>
      <c r="AG47" s="45">
        <v>0</v>
      </c>
      <c r="AH47" s="45">
        <v>0</v>
      </c>
      <c r="AI47" s="45">
        <v>0</v>
      </c>
      <c r="AJ47" s="45">
        <v>0</v>
      </c>
      <c r="AK47" s="45">
        <v>0</v>
      </c>
      <c r="AL47" s="45">
        <v>0</v>
      </c>
      <c r="AM47" s="45">
        <v>0</v>
      </c>
      <c r="AN47" s="45">
        <v>0</v>
      </c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93"/>
      <c r="BE47" s="93"/>
      <c r="BF47" s="93"/>
      <c r="BG47" s="93"/>
      <c r="BH47" s="93"/>
      <c r="BI47" s="93"/>
      <c r="BJ47" s="93"/>
      <c r="BK47" s="93">
        <f>SUM($Z47:AD47)-SUM($CM47:CQ47)</f>
        <v>268</v>
      </c>
      <c r="BL47" s="93">
        <f>SUM($Z47:AE47)-SUM($CM47:CR47)</f>
        <v>571</v>
      </c>
      <c r="BM47" s="93">
        <f>SUM($Z47:AF47)-SUM($CM47:CS47)</f>
        <v>506</v>
      </c>
      <c r="BN47" s="93">
        <f>SUM($Z47:AG47)-SUM($CM47:CT47)</f>
        <v>446</v>
      </c>
      <c r="BO47" s="93">
        <f>SUM($Z47:AH47)-SUM($CM47:CU47)</f>
        <v>386</v>
      </c>
      <c r="BP47" s="93">
        <f>SUM($Z47:AI47)-SUM($CM47:CV47)</f>
        <v>326</v>
      </c>
      <c r="BQ47" s="93">
        <f>SUM($Z47:AJ47)-SUM($CM47:CW47)</f>
        <v>266</v>
      </c>
      <c r="BR47" s="93">
        <f>SUM($Z47:AK47)-SUM($CM47:CX47)</f>
        <v>206</v>
      </c>
      <c r="BS47" s="93">
        <f>SUM($Z47:AL47)-SUM($CM47:CY47)</f>
        <v>146</v>
      </c>
      <c r="BT47" s="93">
        <f>SUM($Z47:AM47)-SUM($CM47:CZ47)</f>
        <v>86</v>
      </c>
      <c r="BU47" s="93">
        <f>SUM($Z47:AN47)-SUM($CM47:DA47)</f>
        <v>26</v>
      </c>
      <c r="BV47" s="93">
        <f>SUM($Z47:AO47)-SUM($CM47:DB47)</f>
        <v>12</v>
      </c>
      <c r="BW47" s="93">
        <f>SUM($Z47:AP47)-SUM($CM47:DC47)</f>
        <v>12</v>
      </c>
      <c r="BX47" s="93">
        <f>SUM($Z47:AQ47)-SUM($CM47:DD47)</f>
        <v>12</v>
      </c>
      <c r="BY47" s="93">
        <f>SUM($Z47:AR47)-SUM($CM47:DE47)</f>
        <v>12</v>
      </c>
      <c r="BZ47" s="93">
        <f>SUM($Z47:AS47)-SUM($CM47:DF47)</f>
        <v>12</v>
      </c>
      <c r="CA47" s="93">
        <f>SUM($Z47:AT47)-SUM($CM47:DG47)</f>
        <v>12</v>
      </c>
      <c r="CB47" s="93">
        <f>SUM($Z47:AU47)-SUM($CM47:DH47)</f>
        <v>12</v>
      </c>
      <c r="CC47" s="93">
        <f>SUM($Z47:AV47)-SUM($CM47:DI47)</f>
        <v>12</v>
      </c>
      <c r="CD47" s="93">
        <f>SUM($Z47:AW47)-SUM($CM47:DJ47)</f>
        <v>12</v>
      </c>
      <c r="CE47" s="93">
        <f>SUM($Z47:AX47)-SUM($CM47:DK47)</f>
        <v>12</v>
      </c>
      <c r="CF47" s="93">
        <f>SUM($Z47:AY47)-SUM($CM47:DL47)</f>
        <v>12</v>
      </c>
      <c r="CG47" s="93">
        <f>SUM($Z47:AZ47)-SUM($CM47:DM47)</f>
        <v>12</v>
      </c>
      <c r="CH47" s="93">
        <f>SUM($Z47:BA47)-SUM($CM47:DN47)</f>
        <v>12</v>
      </c>
      <c r="CI47" s="93">
        <f>SUM($Z47:BB47)-SUM($CM47:DO47)</f>
        <v>12</v>
      </c>
      <c r="CJ47" s="93"/>
      <c r="CK47" s="93"/>
      <c r="CL47" s="93"/>
      <c r="CM47" s="93"/>
      <c r="CN47" s="93" cm="1">
        <f t="array" ref="CN47">SUMPRODUCT(TRANSPOSE(CN$4:CN$20),$G47:$W47)</f>
        <v>0</v>
      </c>
      <c r="CO47" s="93" cm="1">
        <f t="array" ref="CO47">SUMPRODUCT(TRANSPOSE(CO$4:CO$20),$G47:$W47)</f>
        <v>0</v>
      </c>
      <c r="CP47" s="93" cm="1">
        <f t="array" ref="CP47">SUMPRODUCT(TRANSPOSE(CP$4:CP$20),$G47:$W47)</f>
        <v>0</v>
      </c>
      <c r="CQ47" s="93" cm="1">
        <f t="array" ref="CQ47">SUMPRODUCT(TRANSPOSE(CQ$4:CQ$20),$G47:$W47)</f>
        <v>78</v>
      </c>
      <c r="CR47" s="93" cm="1">
        <f t="array" ref="CR47">SUMPRODUCT(TRANSPOSE(CR$4:CR$20),$G47:$W47)</f>
        <v>70</v>
      </c>
      <c r="CS47" s="93" cm="1">
        <f t="array" ref="CS47">SUMPRODUCT(TRANSPOSE(CS$4:CS$20),$G47:$W47)</f>
        <v>65</v>
      </c>
      <c r="CT47" s="93" cm="1">
        <f t="array" ref="CT47">SUMPRODUCT(TRANSPOSE(CT$4:CT$20),$G47:$W47)</f>
        <v>60</v>
      </c>
      <c r="CU47" s="93" cm="1">
        <f t="array" ref="CU47">SUMPRODUCT(TRANSPOSE(CU$4:CU$20),$G47:$W47)</f>
        <v>60</v>
      </c>
      <c r="CV47" s="93" cm="1">
        <f t="array" ref="CV47">SUMPRODUCT(TRANSPOSE(CV$4:CV$20),$G47:$W47)</f>
        <v>60</v>
      </c>
      <c r="CW47" s="93" cm="1">
        <f t="array" ref="CW47">SUMPRODUCT(TRANSPOSE(CW$4:CW$20),$G47:$W47)</f>
        <v>60</v>
      </c>
      <c r="CX47" s="93" cm="1">
        <f t="array" ref="CX47">SUMPRODUCT(TRANSPOSE(CX$4:CX$20),$G47:$W47)</f>
        <v>60</v>
      </c>
      <c r="CY47" s="93" cm="1">
        <f t="array" ref="CY47">SUMPRODUCT(TRANSPOSE(CY$4:CY$20),$G47:$W47)</f>
        <v>60</v>
      </c>
      <c r="CZ47" s="93" cm="1">
        <f t="array" ref="CZ47">SUMPRODUCT(TRANSPOSE(CZ$4:CZ$20),$G47:$W47)</f>
        <v>60</v>
      </c>
      <c r="DA47" s="93" cm="1">
        <f t="array" ref="DA47">SUMPRODUCT(TRANSPOSE(DA$4:DA$20),$G47:$W47)</f>
        <v>60</v>
      </c>
      <c r="DB47" s="93" cm="1">
        <f t="array" ref="DB47">SUMPRODUCT(TRANSPOSE(DB$4:DB$20),$G47:$W47)</f>
        <v>14</v>
      </c>
      <c r="DC47" s="93" cm="1">
        <f t="array" ref="DC47">SUMPRODUCT(TRANSPOSE(DC$4:DC$20),$G47:$W47)</f>
        <v>0</v>
      </c>
      <c r="DD47" s="93" cm="1">
        <f t="array" ref="DD47">SUMPRODUCT(TRANSPOSE(DD$4:DD$20),$G47:$W47)</f>
        <v>0</v>
      </c>
      <c r="DE47" s="93" cm="1">
        <f t="array" ref="DE47">SUMPRODUCT(TRANSPOSE(DE$4:DE$20),$G47:$W47)</f>
        <v>0</v>
      </c>
      <c r="DF47" s="93" cm="1">
        <f t="array" ref="DF47">SUMPRODUCT(TRANSPOSE(DF$4:DF$20),$G47:$W47)</f>
        <v>0</v>
      </c>
      <c r="DG47" s="93" cm="1">
        <f t="array" ref="DG47">SUMPRODUCT(TRANSPOSE(DG$4:DG$20),$G47:$W47)</f>
        <v>0</v>
      </c>
      <c r="DH47" s="93" cm="1">
        <f t="array" ref="DH47">SUMPRODUCT(TRANSPOSE(DH$4:DH$20),$G47:$W47)</f>
        <v>0</v>
      </c>
      <c r="DI47" s="93" cm="1">
        <f t="array" ref="DI47">SUMPRODUCT(TRANSPOSE(DI$4:DI$20),$G47:$W47)</f>
        <v>0</v>
      </c>
      <c r="DJ47" s="93" cm="1">
        <f t="array" ref="DJ47">SUMPRODUCT(TRANSPOSE(DJ$4:DJ$20),$G47:$W47)</f>
        <v>0</v>
      </c>
      <c r="DK47" s="93" cm="1">
        <f t="array" ref="DK47">SUMPRODUCT(TRANSPOSE(DK$4:DK$20),$G47:$W47)</f>
        <v>0</v>
      </c>
      <c r="DL47" s="93" cm="1">
        <f t="array" ref="DL47">SUMPRODUCT(TRANSPOSE(DL$4:DL$20),$G47:$W47)</f>
        <v>0</v>
      </c>
      <c r="DM47" s="93" cm="1">
        <f t="array" ref="DM47">SUMPRODUCT(TRANSPOSE(DM$4:DM$20),$G47:$W47)</f>
        <v>0</v>
      </c>
      <c r="DN47" s="93" cm="1">
        <f t="array" ref="DN47">SUMPRODUCT(TRANSPOSE(DN$4:DN$20),$G47:$W47)</f>
        <v>0</v>
      </c>
      <c r="DO47" s="93" cm="1">
        <f t="array" ref="DO47">SUMPRODUCT(TRANSPOSE(DO$4:DO$20),$G47:$W47)</f>
        <v>0</v>
      </c>
    </row>
    <row r="48" spans="1:119" x14ac:dyDescent="0.2">
      <c r="A48" s="45">
        <f t="shared" si="26"/>
        <v>27</v>
      </c>
      <c r="B48" s="46" t="s">
        <v>212</v>
      </c>
      <c r="C48" s="45">
        <v>411135500</v>
      </c>
      <c r="D48" s="45" t="s">
        <v>213</v>
      </c>
      <c r="E48" s="45" t="s">
        <v>162</v>
      </c>
      <c r="F48" s="48">
        <v>1</v>
      </c>
      <c r="G48" s="100">
        <v>0</v>
      </c>
      <c r="H48" s="100">
        <v>0</v>
      </c>
      <c r="I48" s="100">
        <v>0</v>
      </c>
      <c r="J48" s="100">
        <v>0</v>
      </c>
      <c r="K48" s="100">
        <v>0</v>
      </c>
      <c r="L48" s="100">
        <v>0</v>
      </c>
      <c r="M48" s="100">
        <v>0</v>
      </c>
      <c r="N48" s="100">
        <v>0</v>
      </c>
      <c r="O48" s="100">
        <v>0</v>
      </c>
      <c r="P48" s="100">
        <v>0</v>
      </c>
      <c r="Q48" s="100">
        <v>0</v>
      </c>
      <c r="R48" s="100">
        <v>0</v>
      </c>
      <c r="S48" s="100">
        <v>1</v>
      </c>
      <c r="T48" s="100">
        <v>0</v>
      </c>
      <c r="U48" s="100">
        <v>0</v>
      </c>
      <c r="V48" s="100">
        <v>0</v>
      </c>
      <c r="W48" s="100">
        <v>0</v>
      </c>
      <c r="X48" s="45" t="s">
        <v>209</v>
      </c>
      <c r="Y48" s="53">
        <v>9010</v>
      </c>
      <c r="Z48" s="45">
        <v>185</v>
      </c>
      <c r="AA48" s="45">
        <v>0</v>
      </c>
      <c r="AB48" s="45">
        <v>0</v>
      </c>
      <c r="AC48" s="45">
        <v>0</v>
      </c>
      <c r="AD48" s="45">
        <v>0</v>
      </c>
      <c r="AE48" s="45">
        <v>0</v>
      </c>
      <c r="AF48" s="45">
        <v>0</v>
      </c>
      <c r="AG48" s="45">
        <v>0</v>
      </c>
      <c r="AH48" s="45">
        <v>0</v>
      </c>
      <c r="AI48" s="45">
        <v>0</v>
      </c>
      <c r="AJ48" s="45">
        <v>0</v>
      </c>
      <c r="AK48" s="45">
        <v>0</v>
      </c>
      <c r="AL48" s="45">
        <v>0</v>
      </c>
      <c r="AM48" s="45">
        <v>0</v>
      </c>
      <c r="AN48" s="45">
        <v>0</v>
      </c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93"/>
      <c r="BE48" s="93"/>
      <c r="BF48" s="93"/>
      <c r="BG48" s="93"/>
      <c r="BH48" s="93"/>
      <c r="BI48" s="93"/>
      <c r="BJ48" s="93"/>
      <c r="BK48" s="93">
        <f>SUM($Z48:AD48)-SUM($CM48:CQ48)</f>
        <v>142</v>
      </c>
      <c r="BL48" s="93">
        <f>SUM($Z48:AE48)-SUM($CM48:CR48)</f>
        <v>107</v>
      </c>
      <c r="BM48" s="93">
        <f>SUM($Z48:AF48)-SUM($CM48:CS48)</f>
        <v>77</v>
      </c>
      <c r="BN48" s="93">
        <f>SUM($Z48:AG48)-SUM($CM48:CT48)</f>
        <v>47</v>
      </c>
      <c r="BO48" s="93">
        <f>SUM($Z48:AH48)-SUM($CM48:CU48)</f>
        <v>17</v>
      </c>
      <c r="BP48" s="93">
        <f>SUM($Z48:AI48)-SUM($CM48:CV48)</f>
        <v>-13</v>
      </c>
      <c r="BQ48" s="93">
        <f>SUM($Z48:AJ48)-SUM($CM48:CW48)</f>
        <v>-43</v>
      </c>
      <c r="BR48" s="93">
        <f>SUM($Z48:AK48)-SUM($CM48:CX48)</f>
        <v>-73</v>
      </c>
      <c r="BS48" s="93">
        <f>SUM($Z48:AL48)-SUM($CM48:CY48)</f>
        <v>-103</v>
      </c>
      <c r="BT48" s="93">
        <f>SUM($Z48:AM48)-SUM($CM48:CZ48)</f>
        <v>-133</v>
      </c>
      <c r="BU48" s="93">
        <f>SUM($Z48:AN48)-SUM($CM48:DA48)</f>
        <v>-163</v>
      </c>
      <c r="BV48" s="93">
        <f>SUM($Z48:AO48)-SUM($CM48:DB48)</f>
        <v>-163</v>
      </c>
      <c r="BW48" s="93">
        <f>SUM($Z48:AP48)-SUM($CM48:DC48)</f>
        <v>-163</v>
      </c>
      <c r="BX48" s="93">
        <f>SUM($Z48:AQ48)-SUM($CM48:DD48)</f>
        <v>-163</v>
      </c>
      <c r="BY48" s="93">
        <f>SUM($Z48:AR48)-SUM($CM48:DE48)</f>
        <v>-163</v>
      </c>
      <c r="BZ48" s="93">
        <f>SUM($Z48:AS48)-SUM($CM48:DF48)</f>
        <v>-163</v>
      </c>
      <c r="CA48" s="93">
        <f>SUM($Z48:AT48)-SUM($CM48:DG48)</f>
        <v>-163</v>
      </c>
      <c r="CB48" s="93">
        <f>SUM($Z48:AU48)-SUM($CM48:DH48)</f>
        <v>-163</v>
      </c>
      <c r="CC48" s="93">
        <f>SUM($Z48:AV48)-SUM($CM48:DI48)</f>
        <v>-163</v>
      </c>
      <c r="CD48" s="93">
        <f>SUM($Z48:AW48)-SUM($CM48:DJ48)</f>
        <v>-163</v>
      </c>
      <c r="CE48" s="93">
        <f>SUM($Z48:AX48)-SUM($CM48:DK48)</f>
        <v>-163</v>
      </c>
      <c r="CF48" s="93">
        <f>SUM($Z48:AY48)-SUM($CM48:DL48)</f>
        <v>-163</v>
      </c>
      <c r="CG48" s="93">
        <f>SUM($Z48:AZ48)-SUM($CM48:DM48)</f>
        <v>-163</v>
      </c>
      <c r="CH48" s="93">
        <f>SUM($Z48:BA48)-SUM($CM48:DN48)</f>
        <v>-163</v>
      </c>
      <c r="CI48" s="93">
        <f>SUM($Z48:BB48)-SUM($CM48:DO48)</f>
        <v>-163</v>
      </c>
      <c r="CJ48" s="93"/>
      <c r="CK48" s="93"/>
      <c r="CL48" s="93"/>
      <c r="CM48" s="93"/>
      <c r="CN48" s="93" cm="1">
        <f t="array" ref="CN48">SUMPRODUCT(TRANSPOSE(CN$4:CN$20),$G48:$W48)</f>
        <v>0</v>
      </c>
      <c r="CO48" s="93" cm="1">
        <f t="array" ref="CO48">SUMPRODUCT(TRANSPOSE(CO$4:CO$20),$G48:$W48)</f>
        <v>0</v>
      </c>
      <c r="CP48" s="93" cm="1">
        <f t="array" ref="CP48">SUMPRODUCT(TRANSPOSE(CP$4:CP$20),$G48:$W48)</f>
        <v>0</v>
      </c>
      <c r="CQ48" s="93" cm="1">
        <f t="array" ref="CQ48">SUMPRODUCT(TRANSPOSE(CQ$4:CQ$20),$G48:$W48)</f>
        <v>43</v>
      </c>
      <c r="CR48" s="93" cm="1">
        <f t="array" ref="CR48">SUMPRODUCT(TRANSPOSE(CR$4:CR$20),$G48:$W48)</f>
        <v>35</v>
      </c>
      <c r="CS48" s="93" cm="1">
        <f t="array" ref="CS48">SUMPRODUCT(TRANSPOSE(CS$4:CS$20),$G48:$W48)</f>
        <v>30</v>
      </c>
      <c r="CT48" s="93" cm="1">
        <f t="array" ref="CT48">SUMPRODUCT(TRANSPOSE(CT$4:CT$20),$G48:$W48)</f>
        <v>30</v>
      </c>
      <c r="CU48" s="93" cm="1">
        <f t="array" ref="CU48">SUMPRODUCT(TRANSPOSE(CU$4:CU$20),$G48:$W48)</f>
        <v>30</v>
      </c>
      <c r="CV48" s="93" cm="1">
        <f t="array" ref="CV48">SUMPRODUCT(TRANSPOSE(CV$4:CV$20),$G48:$W48)</f>
        <v>30</v>
      </c>
      <c r="CW48" s="93" cm="1">
        <f t="array" ref="CW48">SUMPRODUCT(TRANSPOSE(CW$4:CW$20),$G48:$W48)</f>
        <v>30</v>
      </c>
      <c r="CX48" s="93" cm="1">
        <f t="array" ref="CX48">SUMPRODUCT(TRANSPOSE(CX$4:CX$20),$G48:$W48)</f>
        <v>30</v>
      </c>
      <c r="CY48" s="93" cm="1">
        <f t="array" ref="CY48">SUMPRODUCT(TRANSPOSE(CY$4:CY$20),$G48:$W48)</f>
        <v>30</v>
      </c>
      <c r="CZ48" s="93" cm="1">
        <f t="array" ref="CZ48">SUMPRODUCT(TRANSPOSE(CZ$4:CZ$20),$G48:$W48)</f>
        <v>30</v>
      </c>
      <c r="DA48" s="93" cm="1">
        <f t="array" ref="DA48">SUMPRODUCT(TRANSPOSE(DA$4:DA$20),$G48:$W48)</f>
        <v>30</v>
      </c>
      <c r="DB48" s="93" cm="1">
        <f t="array" ref="DB48">SUMPRODUCT(TRANSPOSE(DB$4:DB$20),$G48:$W48)</f>
        <v>0</v>
      </c>
      <c r="DC48" s="93" cm="1">
        <f t="array" ref="DC48">SUMPRODUCT(TRANSPOSE(DC$4:DC$20),$G48:$W48)</f>
        <v>0</v>
      </c>
      <c r="DD48" s="93" cm="1">
        <f t="array" ref="DD48">SUMPRODUCT(TRANSPOSE(DD$4:DD$20),$G48:$W48)</f>
        <v>0</v>
      </c>
      <c r="DE48" s="93" cm="1">
        <f t="array" ref="DE48">SUMPRODUCT(TRANSPOSE(DE$4:DE$20),$G48:$W48)</f>
        <v>0</v>
      </c>
      <c r="DF48" s="93" cm="1">
        <f t="array" ref="DF48">SUMPRODUCT(TRANSPOSE(DF$4:DF$20),$G48:$W48)</f>
        <v>0</v>
      </c>
      <c r="DG48" s="93" cm="1">
        <f t="array" ref="DG48">SUMPRODUCT(TRANSPOSE(DG$4:DG$20),$G48:$W48)</f>
        <v>0</v>
      </c>
      <c r="DH48" s="93" cm="1">
        <f t="array" ref="DH48">SUMPRODUCT(TRANSPOSE(DH$4:DH$20),$G48:$W48)</f>
        <v>0</v>
      </c>
      <c r="DI48" s="93" cm="1">
        <f t="array" ref="DI48">SUMPRODUCT(TRANSPOSE(DI$4:DI$20),$G48:$W48)</f>
        <v>0</v>
      </c>
      <c r="DJ48" s="93" cm="1">
        <f t="array" ref="DJ48">SUMPRODUCT(TRANSPOSE(DJ$4:DJ$20),$G48:$W48)</f>
        <v>0</v>
      </c>
      <c r="DK48" s="93" cm="1">
        <f t="array" ref="DK48">SUMPRODUCT(TRANSPOSE(DK$4:DK$20),$G48:$W48)</f>
        <v>0</v>
      </c>
      <c r="DL48" s="93" cm="1">
        <f t="array" ref="DL48">SUMPRODUCT(TRANSPOSE(DL$4:DL$20),$G48:$W48)</f>
        <v>0</v>
      </c>
      <c r="DM48" s="93" cm="1">
        <f t="array" ref="DM48">SUMPRODUCT(TRANSPOSE(DM$4:DM$20),$G48:$W48)</f>
        <v>0</v>
      </c>
      <c r="DN48" s="93" cm="1">
        <f t="array" ref="DN48">SUMPRODUCT(TRANSPOSE(DN$4:DN$20),$G48:$W48)</f>
        <v>0</v>
      </c>
      <c r="DO48" s="93" cm="1">
        <f t="array" ref="DO48">SUMPRODUCT(TRANSPOSE(DO$4:DO$20),$G48:$W48)</f>
        <v>0</v>
      </c>
    </row>
    <row r="49" spans="1:119" x14ac:dyDescent="0.2">
      <c r="A49" s="45">
        <f t="shared" si="26"/>
        <v>28</v>
      </c>
      <c r="B49" s="46" t="s">
        <v>214</v>
      </c>
      <c r="C49" s="45">
        <v>420006522</v>
      </c>
      <c r="D49" s="45" t="s">
        <v>215</v>
      </c>
      <c r="E49" s="45" t="s">
        <v>162</v>
      </c>
      <c r="F49" s="48">
        <v>1</v>
      </c>
      <c r="G49" s="100">
        <v>0</v>
      </c>
      <c r="H49" s="100">
        <v>0</v>
      </c>
      <c r="I49" s="100">
        <v>0</v>
      </c>
      <c r="J49" s="100">
        <v>0</v>
      </c>
      <c r="K49" s="100">
        <v>0</v>
      </c>
      <c r="L49" s="100">
        <v>0</v>
      </c>
      <c r="M49" s="100">
        <v>0</v>
      </c>
      <c r="N49" s="100">
        <v>8</v>
      </c>
      <c r="O49" s="100">
        <v>0</v>
      </c>
      <c r="P49" s="100">
        <v>0</v>
      </c>
      <c r="Q49" s="100">
        <v>0</v>
      </c>
      <c r="R49" s="100">
        <v>0</v>
      </c>
      <c r="S49" s="100">
        <v>0</v>
      </c>
      <c r="T49" s="100">
        <v>0</v>
      </c>
      <c r="U49" s="100">
        <v>0</v>
      </c>
      <c r="V49" s="100">
        <v>0</v>
      </c>
      <c r="W49" s="100">
        <v>0</v>
      </c>
      <c r="X49" s="45" t="s">
        <v>216</v>
      </c>
      <c r="Y49" s="49">
        <v>4.18</v>
      </c>
      <c r="Z49" s="45">
        <v>1815</v>
      </c>
      <c r="AA49" s="45">
        <v>0</v>
      </c>
      <c r="AB49" s="45">
        <v>0</v>
      </c>
      <c r="AC49" s="45">
        <v>0</v>
      </c>
      <c r="AD49" s="45">
        <v>0</v>
      </c>
      <c r="AE49" s="45">
        <v>0</v>
      </c>
      <c r="AF49" s="45">
        <v>0</v>
      </c>
      <c r="AG49" s="45">
        <v>0</v>
      </c>
      <c r="AH49" s="45">
        <v>0</v>
      </c>
      <c r="AI49" s="45">
        <v>0</v>
      </c>
      <c r="AJ49" s="45">
        <v>0</v>
      </c>
      <c r="AK49" s="45">
        <v>0</v>
      </c>
      <c r="AL49" s="45">
        <v>0</v>
      </c>
      <c r="AM49" s="45">
        <v>0</v>
      </c>
      <c r="AN49" s="45">
        <v>0</v>
      </c>
      <c r="AO49" s="45"/>
      <c r="AP49" s="45"/>
      <c r="AQ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5"/>
      <c r="BC49" s="45"/>
      <c r="BD49" s="93"/>
      <c r="BE49" s="93"/>
      <c r="BF49" s="93"/>
      <c r="BG49" s="93"/>
      <c r="BH49" s="93"/>
      <c r="BI49" s="93"/>
      <c r="BJ49" s="93"/>
      <c r="BK49" s="93">
        <f>SUM($Z49:AD49)-SUM($CM49:CQ49)</f>
        <v>1687</v>
      </c>
      <c r="BL49" s="93">
        <f>SUM($Z49:AE49)-SUM($CM49:CR49)</f>
        <v>1559</v>
      </c>
      <c r="BM49" s="93">
        <f>SUM($Z49:AF49)-SUM($CM49:CS49)</f>
        <v>1431</v>
      </c>
      <c r="BN49" s="93">
        <f>SUM($Z49:AG49)-SUM($CM49:CT49)</f>
        <v>1303</v>
      </c>
      <c r="BO49" s="93">
        <f>SUM($Z49:AH49)-SUM($CM49:CU49)</f>
        <v>1239</v>
      </c>
      <c r="BP49" s="93">
        <f>SUM($Z49:AI49)-SUM($CM49:CV49)</f>
        <v>1175</v>
      </c>
      <c r="BQ49" s="93">
        <f>SUM($Z49:AJ49)-SUM($CM49:CW49)</f>
        <v>1111</v>
      </c>
      <c r="BR49" s="93">
        <f>SUM($Z49:AK49)-SUM($CM49:CX49)</f>
        <v>1047</v>
      </c>
      <c r="BS49" s="93">
        <f>SUM($Z49:AL49)-SUM($CM49:CY49)</f>
        <v>983</v>
      </c>
      <c r="BT49" s="93">
        <f>SUM($Z49:AM49)-SUM($CM49:CZ49)</f>
        <v>919</v>
      </c>
      <c r="BU49" s="93">
        <f>SUM($Z49:AN49)-SUM($CM49:DA49)</f>
        <v>855</v>
      </c>
      <c r="BV49" s="93">
        <f>SUM($Z49:AO49)-SUM($CM49:DB49)</f>
        <v>791</v>
      </c>
      <c r="BW49" s="93">
        <f>SUM($Z49:AP49)-SUM($CM49:DC49)</f>
        <v>791</v>
      </c>
      <c r="BX49" s="93">
        <f>SUM($Z49:AQ49)-SUM($CM49:DD49)</f>
        <v>791</v>
      </c>
      <c r="BY49" s="93">
        <f>SUM($Z49:AR49)-SUM($CM49:DE49)</f>
        <v>791</v>
      </c>
      <c r="BZ49" s="93">
        <f>SUM($Z49:AS49)-SUM($CM49:DF49)</f>
        <v>791</v>
      </c>
      <c r="CA49" s="93">
        <f>SUM($Z49:AT49)-SUM($CM49:DG49)</f>
        <v>791</v>
      </c>
      <c r="CB49" s="93">
        <f>SUM($Z49:AU49)-SUM($CM49:DH49)</f>
        <v>791</v>
      </c>
      <c r="CC49" s="93">
        <f>SUM($Z49:AV49)-SUM($CM49:DI49)</f>
        <v>791</v>
      </c>
      <c r="CD49" s="93">
        <f>SUM($Z49:AW49)-SUM($CM49:DJ49)</f>
        <v>791</v>
      </c>
      <c r="CE49" s="93">
        <f>SUM($Z49:AX49)-SUM($CM49:DK49)</f>
        <v>791</v>
      </c>
      <c r="CF49" s="93">
        <f>SUM($Z49:AY49)-SUM($CM49:DL49)</f>
        <v>791</v>
      </c>
      <c r="CG49" s="93">
        <f>SUM($Z49:AZ49)-SUM($CM49:DM49)</f>
        <v>791</v>
      </c>
      <c r="CH49" s="93">
        <f>SUM($Z49:BA49)-SUM($CM49:DN49)</f>
        <v>791</v>
      </c>
      <c r="CI49" s="93">
        <f>SUM($Z49:BB49)-SUM($CM49:DO49)</f>
        <v>791</v>
      </c>
      <c r="CJ49" s="93"/>
      <c r="CK49" s="93"/>
      <c r="CL49" s="93"/>
      <c r="CM49" s="93"/>
      <c r="CN49" s="93" cm="1">
        <f t="array" ref="CN49">SUMPRODUCT(TRANSPOSE(CN$4:CN$20),$G49:$W49)</f>
        <v>0</v>
      </c>
      <c r="CO49" s="93" cm="1">
        <f t="array" ref="CO49">SUMPRODUCT(TRANSPOSE(CO$4:CO$20),$G49:$W49)</f>
        <v>0</v>
      </c>
      <c r="CP49" s="93" cm="1">
        <f t="array" ref="CP49">SUMPRODUCT(TRANSPOSE(CP$4:CP$20),$G49:$W49)</f>
        <v>0</v>
      </c>
      <c r="CQ49" s="93" cm="1">
        <f t="array" ref="CQ49">SUMPRODUCT(TRANSPOSE(CQ$4:CQ$20),$G49:$W49)</f>
        <v>128</v>
      </c>
      <c r="CR49" s="93" cm="1">
        <f t="array" ref="CR49">SUMPRODUCT(TRANSPOSE(CR$4:CR$20),$G49:$W49)</f>
        <v>128</v>
      </c>
      <c r="CS49" s="93" cm="1">
        <f t="array" ref="CS49">SUMPRODUCT(TRANSPOSE(CS$4:CS$20),$G49:$W49)</f>
        <v>128</v>
      </c>
      <c r="CT49" s="93" cm="1">
        <f t="array" ref="CT49">SUMPRODUCT(TRANSPOSE(CT$4:CT$20),$G49:$W49)</f>
        <v>128</v>
      </c>
      <c r="CU49" s="93" cm="1">
        <f t="array" ref="CU49">SUMPRODUCT(TRANSPOSE(CU$4:CU$20),$G49:$W49)</f>
        <v>64</v>
      </c>
      <c r="CV49" s="93" cm="1">
        <f t="array" ref="CV49">SUMPRODUCT(TRANSPOSE(CV$4:CV$20),$G49:$W49)</f>
        <v>64</v>
      </c>
      <c r="CW49" s="93" cm="1">
        <f t="array" ref="CW49">SUMPRODUCT(TRANSPOSE(CW$4:CW$20),$G49:$W49)</f>
        <v>64</v>
      </c>
      <c r="CX49" s="93" cm="1">
        <f t="array" ref="CX49">SUMPRODUCT(TRANSPOSE(CX$4:CX$20),$G49:$W49)</f>
        <v>64</v>
      </c>
      <c r="CY49" s="93" cm="1">
        <f t="array" ref="CY49">SUMPRODUCT(TRANSPOSE(CY$4:CY$20),$G49:$W49)</f>
        <v>64</v>
      </c>
      <c r="CZ49" s="93" cm="1">
        <f t="array" ref="CZ49">SUMPRODUCT(TRANSPOSE(CZ$4:CZ$20),$G49:$W49)</f>
        <v>64</v>
      </c>
      <c r="DA49" s="93" cm="1">
        <f t="array" ref="DA49">SUMPRODUCT(TRANSPOSE(DA$4:DA$20),$G49:$W49)</f>
        <v>64</v>
      </c>
      <c r="DB49" s="93" cm="1">
        <f t="array" ref="DB49">SUMPRODUCT(TRANSPOSE(DB$4:DB$20),$G49:$W49)</f>
        <v>64</v>
      </c>
      <c r="DC49" s="93" cm="1">
        <f t="array" ref="DC49">SUMPRODUCT(TRANSPOSE(DC$4:DC$20),$G49:$W49)</f>
        <v>0</v>
      </c>
      <c r="DD49" s="93" cm="1">
        <f t="array" ref="DD49">SUMPRODUCT(TRANSPOSE(DD$4:DD$20),$G49:$W49)</f>
        <v>0</v>
      </c>
      <c r="DE49" s="93" cm="1">
        <f t="array" ref="DE49">SUMPRODUCT(TRANSPOSE(DE$4:DE$20),$G49:$W49)</f>
        <v>0</v>
      </c>
      <c r="DF49" s="93" cm="1">
        <f t="array" ref="DF49">SUMPRODUCT(TRANSPOSE(DF$4:DF$20),$G49:$W49)</f>
        <v>0</v>
      </c>
      <c r="DG49" s="93" cm="1">
        <f t="array" ref="DG49">SUMPRODUCT(TRANSPOSE(DG$4:DG$20),$G49:$W49)</f>
        <v>0</v>
      </c>
      <c r="DH49" s="93" cm="1">
        <f t="array" ref="DH49">SUMPRODUCT(TRANSPOSE(DH$4:DH$20),$G49:$W49)</f>
        <v>0</v>
      </c>
      <c r="DI49" s="93" cm="1">
        <f t="array" ref="DI49">SUMPRODUCT(TRANSPOSE(DI$4:DI$20),$G49:$W49)</f>
        <v>0</v>
      </c>
      <c r="DJ49" s="93" cm="1">
        <f t="array" ref="DJ49">SUMPRODUCT(TRANSPOSE(DJ$4:DJ$20),$G49:$W49)</f>
        <v>0</v>
      </c>
      <c r="DK49" s="93" cm="1">
        <f t="array" ref="DK49">SUMPRODUCT(TRANSPOSE(DK$4:DK$20),$G49:$W49)</f>
        <v>0</v>
      </c>
      <c r="DL49" s="93" cm="1">
        <f t="array" ref="DL49">SUMPRODUCT(TRANSPOSE(DL$4:DL$20),$G49:$W49)</f>
        <v>0</v>
      </c>
      <c r="DM49" s="93" cm="1">
        <f t="array" ref="DM49">SUMPRODUCT(TRANSPOSE(DM$4:DM$20),$G49:$W49)</f>
        <v>0</v>
      </c>
      <c r="DN49" s="93" cm="1">
        <f t="array" ref="DN49">SUMPRODUCT(TRANSPOSE(DN$4:DN$20),$G49:$W49)</f>
        <v>0</v>
      </c>
      <c r="DO49" s="93" cm="1">
        <f t="array" ref="DO49">SUMPRODUCT(TRANSPOSE(DO$4:DO$20),$G49:$W49)</f>
        <v>0</v>
      </c>
    </row>
    <row r="50" spans="1:119" x14ac:dyDescent="0.2">
      <c r="A50" s="45">
        <f t="shared" si="26"/>
        <v>29</v>
      </c>
      <c r="B50" s="46" t="s">
        <v>217</v>
      </c>
      <c r="C50" s="45">
        <v>415674861</v>
      </c>
      <c r="D50" s="45" t="s">
        <v>215</v>
      </c>
      <c r="E50" s="45" t="s">
        <v>162</v>
      </c>
      <c r="F50" s="48">
        <v>1</v>
      </c>
      <c r="G50" s="100">
        <v>0</v>
      </c>
      <c r="H50" s="100">
        <v>0</v>
      </c>
      <c r="I50" s="100">
        <v>0</v>
      </c>
      <c r="J50" s="100">
        <v>0</v>
      </c>
      <c r="K50" s="100">
        <v>0</v>
      </c>
      <c r="L50" s="100">
        <v>0</v>
      </c>
      <c r="M50" s="100">
        <v>0</v>
      </c>
      <c r="N50" s="100">
        <v>8</v>
      </c>
      <c r="O50" s="100">
        <v>0</v>
      </c>
      <c r="P50" s="100">
        <v>0</v>
      </c>
      <c r="Q50" s="100">
        <v>0</v>
      </c>
      <c r="R50" s="100">
        <v>0</v>
      </c>
      <c r="S50" s="100">
        <v>0</v>
      </c>
      <c r="T50" s="100">
        <v>0</v>
      </c>
      <c r="U50" s="100">
        <v>0</v>
      </c>
      <c r="V50" s="100">
        <v>0</v>
      </c>
      <c r="W50" s="100">
        <v>0</v>
      </c>
      <c r="X50" s="45" t="s">
        <v>216</v>
      </c>
      <c r="Y50" s="49">
        <v>3.04</v>
      </c>
      <c r="Z50" s="45">
        <v>1815</v>
      </c>
      <c r="AA50" s="45">
        <v>0</v>
      </c>
      <c r="AB50" s="45">
        <v>0</v>
      </c>
      <c r="AC50" s="45">
        <v>0</v>
      </c>
      <c r="AD50" s="45">
        <v>0</v>
      </c>
      <c r="AE50" s="45">
        <v>0</v>
      </c>
      <c r="AF50" s="45">
        <v>0</v>
      </c>
      <c r="AG50" s="45">
        <v>0</v>
      </c>
      <c r="AH50" s="45">
        <v>0</v>
      </c>
      <c r="AI50" s="45">
        <v>0</v>
      </c>
      <c r="AJ50" s="45">
        <v>0</v>
      </c>
      <c r="AK50" s="45">
        <v>0</v>
      </c>
      <c r="AL50" s="45">
        <v>0</v>
      </c>
      <c r="AM50" s="45">
        <v>0</v>
      </c>
      <c r="AN50" s="45">
        <v>0</v>
      </c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93"/>
      <c r="BE50" s="93"/>
      <c r="BF50" s="93"/>
      <c r="BG50" s="93"/>
      <c r="BH50" s="93"/>
      <c r="BI50" s="93"/>
      <c r="BJ50" s="93"/>
      <c r="BK50" s="93">
        <f>SUM($Z50:AD50)-SUM($CM50:CQ50)</f>
        <v>1687</v>
      </c>
      <c r="BL50" s="93">
        <f>SUM($Z50:AE50)-SUM($CM50:CR50)</f>
        <v>1559</v>
      </c>
      <c r="BM50" s="93">
        <f>SUM($Z50:AF50)-SUM($CM50:CS50)</f>
        <v>1431</v>
      </c>
      <c r="BN50" s="93">
        <f>SUM($Z50:AG50)-SUM($CM50:CT50)</f>
        <v>1303</v>
      </c>
      <c r="BO50" s="93">
        <f>SUM($Z50:AH50)-SUM($CM50:CU50)</f>
        <v>1239</v>
      </c>
      <c r="BP50" s="93">
        <f>SUM($Z50:AI50)-SUM($CM50:CV50)</f>
        <v>1175</v>
      </c>
      <c r="BQ50" s="93">
        <f>SUM($Z50:AJ50)-SUM($CM50:CW50)</f>
        <v>1111</v>
      </c>
      <c r="BR50" s="93">
        <f>SUM($Z50:AK50)-SUM($CM50:CX50)</f>
        <v>1047</v>
      </c>
      <c r="BS50" s="93">
        <f>SUM($Z50:AL50)-SUM($CM50:CY50)</f>
        <v>983</v>
      </c>
      <c r="BT50" s="93">
        <f>SUM($Z50:AM50)-SUM($CM50:CZ50)</f>
        <v>919</v>
      </c>
      <c r="BU50" s="93">
        <f>SUM($Z50:AN50)-SUM($CM50:DA50)</f>
        <v>855</v>
      </c>
      <c r="BV50" s="93">
        <f>SUM($Z50:AO50)-SUM($CM50:DB50)</f>
        <v>791</v>
      </c>
      <c r="BW50" s="93">
        <f>SUM($Z50:AP50)-SUM($CM50:DC50)</f>
        <v>791</v>
      </c>
      <c r="BX50" s="93">
        <f>SUM($Z50:AQ50)-SUM($CM50:DD50)</f>
        <v>791</v>
      </c>
      <c r="BY50" s="93">
        <f>SUM($Z50:AR50)-SUM($CM50:DE50)</f>
        <v>791</v>
      </c>
      <c r="BZ50" s="93">
        <f>SUM($Z50:AS50)-SUM($CM50:DF50)</f>
        <v>791</v>
      </c>
      <c r="CA50" s="93">
        <f>SUM($Z50:AT50)-SUM($CM50:DG50)</f>
        <v>791</v>
      </c>
      <c r="CB50" s="93">
        <f>SUM($Z50:AU50)-SUM($CM50:DH50)</f>
        <v>791</v>
      </c>
      <c r="CC50" s="93">
        <f>SUM($Z50:AV50)-SUM($CM50:DI50)</f>
        <v>791</v>
      </c>
      <c r="CD50" s="93">
        <f>SUM($Z50:AW50)-SUM($CM50:DJ50)</f>
        <v>791</v>
      </c>
      <c r="CE50" s="93">
        <f>SUM($Z50:AX50)-SUM($CM50:DK50)</f>
        <v>791</v>
      </c>
      <c r="CF50" s="93">
        <f>SUM($Z50:AY50)-SUM($CM50:DL50)</f>
        <v>791</v>
      </c>
      <c r="CG50" s="93">
        <f>SUM($Z50:AZ50)-SUM($CM50:DM50)</f>
        <v>791</v>
      </c>
      <c r="CH50" s="93">
        <f>SUM($Z50:BA50)-SUM($CM50:DN50)</f>
        <v>791</v>
      </c>
      <c r="CI50" s="93">
        <f>SUM($Z50:BB50)-SUM($CM50:DO50)</f>
        <v>791</v>
      </c>
      <c r="CJ50" s="93"/>
      <c r="CK50" s="93"/>
      <c r="CL50" s="93"/>
      <c r="CM50" s="93"/>
      <c r="CN50" s="93" cm="1">
        <f t="array" ref="CN50">SUMPRODUCT(TRANSPOSE(CN$4:CN$20),$G50:$W50)</f>
        <v>0</v>
      </c>
      <c r="CO50" s="93" cm="1">
        <f t="array" ref="CO50">SUMPRODUCT(TRANSPOSE(CO$4:CO$20),$G50:$W50)</f>
        <v>0</v>
      </c>
      <c r="CP50" s="93" cm="1">
        <f t="array" ref="CP50">SUMPRODUCT(TRANSPOSE(CP$4:CP$20),$G50:$W50)</f>
        <v>0</v>
      </c>
      <c r="CQ50" s="93" cm="1">
        <f t="array" ref="CQ50">SUMPRODUCT(TRANSPOSE(CQ$4:CQ$20),$G50:$W50)</f>
        <v>128</v>
      </c>
      <c r="CR50" s="93" cm="1">
        <f t="array" ref="CR50">SUMPRODUCT(TRANSPOSE(CR$4:CR$20),$G50:$W50)</f>
        <v>128</v>
      </c>
      <c r="CS50" s="93" cm="1">
        <f t="array" ref="CS50">SUMPRODUCT(TRANSPOSE(CS$4:CS$20),$G50:$W50)</f>
        <v>128</v>
      </c>
      <c r="CT50" s="93" cm="1">
        <f t="array" ref="CT50">SUMPRODUCT(TRANSPOSE(CT$4:CT$20),$G50:$W50)</f>
        <v>128</v>
      </c>
      <c r="CU50" s="93" cm="1">
        <f t="array" ref="CU50">SUMPRODUCT(TRANSPOSE(CU$4:CU$20),$G50:$W50)</f>
        <v>64</v>
      </c>
      <c r="CV50" s="93" cm="1">
        <f t="array" ref="CV50">SUMPRODUCT(TRANSPOSE(CV$4:CV$20),$G50:$W50)</f>
        <v>64</v>
      </c>
      <c r="CW50" s="93" cm="1">
        <f t="array" ref="CW50">SUMPRODUCT(TRANSPOSE(CW$4:CW$20),$G50:$W50)</f>
        <v>64</v>
      </c>
      <c r="CX50" s="93" cm="1">
        <f t="array" ref="CX50">SUMPRODUCT(TRANSPOSE(CX$4:CX$20),$G50:$W50)</f>
        <v>64</v>
      </c>
      <c r="CY50" s="93" cm="1">
        <f t="array" ref="CY50">SUMPRODUCT(TRANSPOSE(CY$4:CY$20),$G50:$W50)</f>
        <v>64</v>
      </c>
      <c r="CZ50" s="93" cm="1">
        <f t="array" ref="CZ50">SUMPRODUCT(TRANSPOSE(CZ$4:CZ$20),$G50:$W50)</f>
        <v>64</v>
      </c>
      <c r="DA50" s="93" cm="1">
        <f t="array" ref="DA50">SUMPRODUCT(TRANSPOSE(DA$4:DA$20),$G50:$W50)</f>
        <v>64</v>
      </c>
      <c r="DB50" s="93" cm="1">
        <f t="array" ref="DB50">SUMPRODUCT(TRANSPOSE(DB$4:DB$20),$G50:$W50)</f>
        <v>64</v>
      </c>
      <c r="DC50" s="93" cm="1">
        <f t="array" ref="DC50">SUMPRODUCT(TRANSPOSE(DC$4:DC$20),$G50:$W50)</f>
        <v>0</v>
      </c>
      <c r="DD50" s="93" cm="1">
        <f t="array" ref="DD50">SUMPRODUCT(TRANSPOSE(DD$4:DD$20),$G50:$W50)</f>
        <v>0</v>
      </c>
      <c r="DE50" s="93" cm="1">
        <f t="array" ref="DE50">SUMPRODUCT(TRANSPOSE(DE$4:DE$20),$G50:$W50)</f>
        <v>0</v>
      </c>
      <c r="DF50" s="93" cm="1">
        <f t="array" ref="DF50">SUMPRODUCT(TRANSPOSE(DF$4:DF$20),$G50:$W50)</f>
        <v>0</v>
      </c>
      <c r="DG50" s="93" cm="1">
        <f t="array" ref="DG50">SUMPRODUCT(TRANSPOSE(DG$4:DG$20),$G50:$W50)</f>
        <v>0</v>
      </c>
      <c r="DH50" s="93" cm="1">
        <f t="array" ref="DH50">SUMPRODUCT(TRANSPOSE(DH$4:DH$20),$G50:$W50)</f>
        <v>0</v>
      </c>
      <c r="DI50" s="93" cm="1">
        <f t="array" ref="DI50">SUMPRODUCT(TRANSPOSE(DI$4:DI$20),$G50:$W50)</f>
        <v>0</v>
      </c>
      <c r="DJ50" s="93" cm="1">
        <f t="array" ref="DJ50">SUMPRODUCT(TRANSPOSE(DJ$4:DJ$20),$G50:$W50)</f>
        <v>0</v>
      </c>
      <c r="DK50" s="93" cm="1">
        <f t="array" ref="DK50">SUMPRODUCT(TRANSPOSE(DK$4:DK$20),$G50:$W50)</f>
        <v>0</v>
      </c>
      <c r="DL50" s="93" cm="1">
        <f t="array" ref="DL50">SUMPRODUCT(TRANSPOSE(DL$4:DL$20),$G50:$W50)</f>
        <v>0</v>
      </c>
      <c r="DM50" s="93" cm="1">
        <f t="array" ref="DM50">SUMPRODUCT(TRANSPOSE(DM$4:DM$20),$G50:$W50)</f>
        <v>0</v>
      </c>
      <c r="DN50" s="93" cm="1">
        <f t="array" ref="DN50">SUMPRODUCT(TRANSPOSE(DN$4:DN$20),$G50:$W50)</f>
        <v>0</v>
      </c>
      <c r="DO50" s="93" cm="1">
        <f t="array" ref="DO50">SUMPRODUCT(TRANSPOSE(DO$4:DO$20),$G50:$W50)</f>
        <v>0</v>
      </c>
    </row>
    <row r="51" spans="1:119" x14ac:dyDescent="0.2">
      <c r="A51" s="45">
        <f t="shared" si="26"/>
        <v>30</v>
      </c>
      <c r="B51" s="46" t="s">
        <v>218</v>
      </c>
      <c r="C51" s="45">
        <v>415424091</v>
      </c>
      <c r="D51" s="45" t="s">
        <v>219</v>
      </c>
      <c r="E51" s="45" t="s">
        <v>162</v>
      </c>
      <c r="F51" s="48">
        <v>1</v>
      </c>
      <c r="G51" s="100">
        <v>0</v>
      </c>
      <c r="H51" s="100">
        <v>0</v>
      </c>
      <c r="I51" s="100">
        <v>0</v>
      </c>
      <c r="J51" s="100">
        <v>0</v>
      </c>
      <c r="K51" s="100">
        <v>0</v>
      </c>
      <c r="L51" s="100">
        <v>0</v>
      </c>
      <c r="M51" s="100">
        <v>0</v>
      </c>
      <c r="N51" s="100">
        <v>0</v>
      </c>
      <c r="O51" s="100">
        <v>0</v>
      </c>
      <c r="P51" s="100">
        <v>0</v>
      </c>
      <c r="Q51" s="100">
        <v>0</v>
      </c>
      <c r="R51" s="100">
        <v>0</v>
      </c>
      <c r="S51" s="100">
        <v>0</v>
      </c>
      <c r="T51" s="100">
        <v>0</v>
      </c>
      <c r="U51" s="100">
        <v>0</v>
      </c>
      <c r="V51" s="100">
        <v>0</v>
      </c>
      <c r="W51" s="100">
        <v>140</v>
      </c>
      <c r="X51" s="45" t="s">
        <v>34</v>
      </c>
      <c r="Y51" s="49">
        <v>35.72</v>
      </c>
      <c r="Z51" s="45">
        <v>32340</v>
      </c>
      <c r="AA51" s="45">
        <v>0</v>
      </c>
      <c r="AB51" s="45">
        <v>0</v>
      </c>
      <c r="AC51" s="45">
        <v>0</v>
      </c>
      <c r="AD51" s="45">
        <v>0</v>
      </c>
      <c r="AE51" s="45">
        <v>0</v>
      </c>
      <c r="AF51" s="45">
        <v>0</v>
      </c>
      <c r="AG51" s="45">
        <v>0</v>
      </c>
      <c r="AH51" s="45">
        <v>0</v>
      </c>
      <c r="AI51" s="45">
        <v>0</v>
      </c>
      <c r="AJ51" s="45">
        <v>0</v>
      </c>
      <c r="AK51" s="45">
        <v>0</v>
      </c>
      <c r="AL51" s="45">
        <v>0</v>
      </c>
      <c r="AM51" s="45">
        <v>0</v>
      </c>
      <c r="AN51" s="45">
        <v>0</v>
      </c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93"/>
      <c r="BE51" s="93"/>
      <c r="BF51" s="93"/>
      <c r="BG51" s="93"/>
      <c r="BH51" s="93"/>
      <c r="BI51" s="93"/>
      <c r="BJ51" s="93"/>
      <c r="BK51" s="93">
        <f>SUM($Z51:AD51)-SUM($CM51:CQ51)</f>
        <v>30100</v>
      </c>
      <c r="BL51" s="93">
        <f>SUM($Z51:AE51)-SUM($CM51:CR51)</f>
        <v>27860</v>
      </c>
      <c r="BM51" s="93">
        <f>SUM($Z51:AF51)-SUM($CM51:CS51)</f>
        <v>25620</v>
      </c>
      <c r="BN51" s="93">
        <f>SUM($Z51:AG51)-SUM($CM51:CT51)</f>
        <v>23380</v>
      </c>
      <c r="BO51" s="93">
        <f>SUM($Z51:AH51)-SUM($CM51:CU51)</f>
        <v>21140</v>
      </c>
      <c r="BP51" s="93">
        <f>SUM($Z51:AI51)-SUM($CM51:CV51)</f>
        <v>18900</v>
      </c>
      <c r="BQ51" s="93">
        <f>SUM($Z51:AJ51)-SUM($CM51:CW51)</f>
        <v>16660</v>
      </c>
      <c r="BR51" s="93">
        <f>SUM($Z51:AK51)-SUM($CM51:CX51)</f>
        <v>14420</v>
      </c>
      <c r="BS51" s="93">
        <f>SUM($Z51:AL51)-SUM($CM51:CY51)</f>
        <v>14420</v>
      </c>
      <c r="BT51" s="93">
        <f>SUM($Z51:AM51)-SUM($CM51:CZ51)</f>
        <v>14420</v>
      </c>
      <c r="BU51" s="93">
        <f>SUM($Z51:AN51)-SUM($CM51:DA51)</f>
        <v>14420</v>
      </c>
      <c r="BV51" s="93">
        <f>SUM($Z51:AO51)-SUM($CM51:DB51)</f>
        <v>14420</v>
      </c>
      <c r="BW51" s="93">
        <f>SUM($Z51:AP51)-SUM($CM51:DC51)</f>
        <v>14420</v>
      </c>
      <c r="BX51" s="93">
        <f>SUM($Z51:AQ51)-SUM($CM51:DD51)</f>
        <v>14420</v>
      </c>
      <c r="BY51" s="93">
        <f>SUM($Z51:AR51)-SUM($CM51:DE51)</f>
        <v>14420</v>
      </c>
      <c r="BZ51" s="93">
        <f>SUM($Z51:AS51)-SUM($CM51:DF51)</f>
        <v>14420</v>
      </c>
      <c r="CA51" s="93">
        <f>SUM($Z51:AT51)-SUM($CM51:DG51)</f>
        <v>14420</v>
      </c>
      <c r="CB51" s="93">
        <f>SUM($Z51:AU51)-SUM($CM51:DH51)</f>
        <v>14420</v>
      </c>
      <c r="CC51" s="93">
        <f>SUM($Z51:AV51)-SUM($CM51:DI51)</f>
        <v>14420</v>
      </c>
      <c r="CD51" s="93">
        <f>SUM($Z51:AW51)-SUM($CM51:DJ51)</f>
        <v>14420</v>
      </c>
      <c r="CE51" s="93">
        <f>SUM($Z51:AX51)-SUM($CM51:DK51)</f>
        <v>14420</v>
      </c>
      <c r="CF51" s="93">
        <f>SUM($Z51:AY51)-SUM($CM51:DL51)</f>
        <v>14420</v>
      </c>
      <c r="CG51" s="93">
        <f>SUM($Z51:AZ51)-SUM($CM51:DM51)</f>
        <v>14420</v>
      </c>
      <c r="CH51" s="93">
        <f>SUM($Z51:BA51)-SUM($CM51:DN51)</f>
        <v>14420</v>
      </c>
      <c r="CI51" s="93">
        <f>SUM($Z51:BB51)-SUM($CM51:DO51)</f>
        <v>14420</v>
      </c>
      <c r="CJ51" s="93"/>
      <c r="CK51" s="93"/>
      <c r="CL51" s="93"/>
      <c r="CM51" s="93"/>
      <c r="CN51" s="93" cm="1">
        <f t="array" ref="CN51">SUMPRODUCT(TRANSPOSE(CN$4:CN$20),$G51:$W51)</f>
        <v>0</v>
      </c>
      <c r="CO51" s="93" cm="1">
        <f t="array" ref="CO51">SUMPRODUCT(TRANSPOSE(CO$4:CO$20),$G51:$W51)</f>
        <v>0</v>
      </c>
      <c r="CP51" s="93" cm="1">
        <f t="array" ref="CP51">SUMPRODUCT(TRANSPOSE(CP$4:CP$20),$G51:$W51)</f>
        <v>0</v>
      </c>
      <c r="CQ51" s="93" cm="1">
        <f t="array" ref="CQ51">SUMPRODUCT(TRANSPOSE(CQ$4:CQ$20),$G51:$W51)</f>
        <v>2240</v>
      </c>
      <c r="CR51" s="93" cm="1">
        <f t="array" ref="CR51">SUMPRODUCT(TRANSPOSE(CR$4:CR$20),$G51:$W51)</f>
        <v>2240</v>
      </c>
      <c r="CS51" s="93" cm="1">
        <f t="array" ref="CS51">SUMPRODUCT(TRANSPOSE(CS$4:CS$20),$G51:$W51)</f>
        <v>2240</v>
      </c>
      <c r="CT51" s="93" cm="1">
        <f t="array" ref="CT51">SUMPRODUCT(TRANSPOSE(CT$4:CT$20),$G51:$W51)</f>
        <v>2240</v>
      </c>
      <c r="CU51" s="93" cm="1">
        <f t="array" ref="CU51">SUMPRODUCT(TRANSPOSE(CU$4:CU$20),$G51:$W51)</f>
        <v>2240</v>
      </c>
      <c r="CV51" s="93" cm="1">
        <f t="array" ref="CV51">SUMPRODUCT(TRANSPOSE(CV$4:CV$20),$G51:$W51)</f>
        <v>2240</v>
      </c>
      <c r="CW51" s="93" cm="1">
        <f t="array" ref="CW51">SUMPRODUCT(TRANSPOSE(CW$4:CW$20),$G51:$W51)</f>
        <v>2240</v>
      </c>
      <c r="CX51" s="93" cm="1">
        <f t="array" ref="CX51">SUMPRODUCT(TRANSPOSE(CX$4:CX$20),$G51:$W51)</f>
        <v>2240</v>
      </c>
      <c r="CY51" s="93" cm="1">
        <f t="array" ref="CY51">SUMPRODUCT(TRANSPOSE(CY$4:CY$20),$G51:$W51)</f>
        <v>0</v>
      </c>
      <c r="CZ51" s="93" cm="1">
        <f t="array" ref="CZ51">SUMPRODUCT(TRANSPOSE(CZ$4:CZ$20),$G51:$W51)</f>
        <v>0</v>
      </c>
      <c r="DA51" s="93" cm="1">
        <f t="array" ref="DA51">SUMPRODUCT(TRANSPOSE(DA$4:DA$20),$G51:$W51)</f>
        <v>0</v>
      </c>
      <c r="DB51" s="93" cm="1">
        <f t="array" ref="DB51">SUMPRODUCT(TRANSPOSE(DB$4:DB$20),$G51:$W51)</f>
        <v>0</v>
      </c>
      <c r="DC51" s="93" cm="1">
        <f t="array" ref="DC51">SUMPRODUCT(TRANSPOSE(DC$4:DC$20),$G51:$W51)</f>
        <v>0</v>
      </c>
      <c r="DD51" s="93" cm="1">
        <f t="array" ref="DD51">SUMPRODUCT(TRANSPOSE(DD$4:DD$20),$G51:$W51)</f>
        <v>0</v>
      </c>
      <c r="DE51" s="93" cm="1">
        <f t="array" ref="DE51">SUMPRODUCT(TRANSPOSE(DE$4:DE$20),$G51:$W51)</f>
        <v>0</v>
      </c>
      <c r="DF51" s="93" cm="1">
        <f t="array" ref="DF51">SUMPRODUCT(TRANSPOSE(DF$4:DF$20),$G51:$W51)</f>
        <v>0</v>
      </c>
      <c r="DG51" s="93" cm="1">
        <f t="array" ref="DG51">SUMPRODUCT(TRANSPOSE(DG$4:DG$20),$G51:$W51)</f>
        <v>0</v>
      </c>
      <c r="DH51" s="93" cm="1">
        <f t="array" ref="DH51">SUMPRODUCT(TRANSPOSE(DH$4:DH$20),$G51:$W51)</f>
        <v>0</v>
      </c>
      <c r="DI51" s="93" cm="1">
        <f t="array" ref="DI51">SUMPRODUCT(TRANSPOSE(DI$4:DI$20),$G51:$W51)</f>
        <v>0</v>
      </c>
      <c r="DJ51" s="93" cm="1">
        <f t="array" ref="DJ51">SUMPRODUCT(TRANSPOSE(DJ$4:DJ$20),$G51:$W51)</f>
        <v>0</v>
      </c>
      <c r="DK51" s="93" cm="1">
        <f t="array" ref="DK51">SUMPRODUCT(TRANSPOSE(DK$4:DK$20),$G51:$W51)</f>
        <v>0</v>
      </c>
      <c r="DL51" s="93" cm="1">
        <f t="array" ref="DL51">SUMPRODUCT(TRANSPOSE(DL$4:DL$20),$G51:$W51)</f>
        <v>0</v>
      </c>
      <c r="DM51" s="93" cm="1">
        <f t="array" ref="DM51">SUMPRODUCT(TRANSPOSE(DM$4:DM$20),$G51:$W51)</f>
        <v>0</v>
      </c>
      <c r="DN51" s="93" cm="1">
        <f t="array" ref="DN51">SUMPRODUCT(TRANSPOSE(DN$4:DN$20),$G51:$W51)</f>
        <v>0</v>
      </c>
      <c r="DO51" s="93" cm="1">
        <f t="array" ref="DO51">SUMPRODUCT(TRANSPOSE(DO$4:DO$20),$G51:$W51)</f>
        <v>0</v>
      </c>
    </row>
    <row r="52" spans="1:119" x14ac:dyDescent="0.2">
      <c r="A52" s="45">
        <f t="shared" si="26"/>
        <v>31</v>
      </c>
      <c r="B52" s="46" t="s">
        <v>107</v>
      </c>
      <c r="C52" s="45">
        <v>424426274</v>
      </c>
      <c r="D52" s="45" t="s">
        <v>128</v>
      </c>
      <c r="E52" s="45" t="s">
        <v>162</v>
      </c>
      <c r="F52" s="48">
        <v>1</v>
      </c>
      <c r="G52" s="100">
        <v>0</v>
      </c>
      <c r="H52" s="100">
        <v>0</v>
      </c>
      <c r="I52" s="100">
        <v>0</v>
      </c>
      <c r="J52" s="100">
        <v>0</v>
      </c>
      <c r="K52" s="100">
        <v>0</v>
      </c>
      <c r="L52" s="100">
        <v>0</v>
      </c>
      <c r="M52" s="100">
        <v>0</v>
      </c>
      <c r="N52" s="100">
        <v>0</v>
      </c>
      <c r="O52" s="100">
        <v>0</v>
      </c>
      <c r="P52" s="100">
        <v>1</v>
      </c>
      <c r="Q52" s="100">
        <v>0</v>
      </c>
      <c r="R52" s="100">
        <v>0</v>
      </c>
      <c r="S52" s="100">
        <v>0</v>
      </c>
      <c r="T52" s="100">
        <v>1</v>
      </c>
      <c r="U52" s="100">
        <v>0</v>
      </c>
      <c r="V52" s="100">
        <v>0</v>
      </c>
      <c r="W52" s="100">
        <v>0</v>
      </c>
      <c r="X52" s="45" t="s">
        <v>4</v>
      </c>
      <c r="Y52" s="49">
        <v>0</v>
      </c>
      <c r="Z52" s="45">
        <v>0</v>
      </c>
      <c r="AA52" s="45">
        <v>0</v>
      </c>
      <c r="AB52" s="45">
        <v>0</v>
      </c>
      <c r="AC52" s="45">
        <v>0</v>
      </c>
      <c r="AD52" s="45">
        <v>0</v>
      </c>
      <c r="AE52" s="45">
        <v>0</v>
      </c>
      <c r="AF52" s="45">
        <v>0</v>
      </c>
      <c r="AG52" s="45">
        <v>0</v>
      </c>
      <c r="AH52" s="45">
        <v>0</v>
      </c>
      <c r="AI52" s="45">
        <v>0</v>
      </c>
      <c r="AJ52" s="45">
        <v>0</v>
      </c>
      <c r="AK52" s="45">
        <v>0</v>
      </c>
      <c r="AL52" s="45">
        <v>0</v>
      </c>
      <c r="AM52" s="45">
        <v>0</v>
      </c>
      <c r="AN52" s="45">
        <v>0</v>
      </c>
      <c r="AO52" s="45"/>
      <c r="AP52" s="45"/>
      <c r="AQ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5"/>
      <c r="BC52" s="45"/>
      <c r="BD52" s="93"/>
      <c r="BE52" s="93"/>
      <c r="BF52" s="93"/>
      <c r="BG52" s="93"/>
      <c r="BH52" s="93"/>
      <c r="BI52" s="93"/>
      <c r="BJ52" s="93"/>
      <c r="BK52" s="93">
        <f>SUM($Z52:AD52)-SUM($CM52:CQ52)</f>
        <v>-78</v>
      </c>
      <c r="BL52" s="93">
        <f>SUM($Z52:AE52)-SUM($CM52:CR52)</f>
        <v>-148</v>
      </c>
      <c r="BM52" s="93">
        <f>SUM($Z52:AF52)-SUM($CM52:CS52)</f>
        <v>-213</v>
      </c>
      <c r="BN52" s="93">
        <f>SUM($Z52:AG52)-SUM($CM52:CT52)</f>
        <v>-273</v>
      </c>
      <c r="BO52" s="93">
        <f>SUM($Z52:AH52)-SUM($CM52:CU52)</f>
        <v>-333</v>
      </c>
      <c r="BP52" s="93">
        <f>SUM($Z52:AI52)-SUM($CM52:CV52)</f>
        <v>-393</v>
      </c>
      <c r="BQ52" s="93">
        <f>SUM($Z52:AJ52)-SUM($CM52:CW52)</f>
        <v>-453</v>
      </c>
      <c r="BR52" s="93">
        <f>SUM($Z52:AK52)-SUM($CM52:CX52)</f>
        <v>-513</v>
      </c>
      <c r="BS52" s="93">
        <f>SUM($Z52:AL52)-SUM($CM52:CY52)</f>
        <v>-573</v>
      </c>
      <c r="BT52" s="93">
        <f>SUM($Z52:AM52)-SUM($CM52:CZ52)</f>
        <v>-633</v>
      </c>
      <c r="BU52" s="93">
        <f>SUM($Z52:AN52)-SUM($CM52:DA52)</f>
        <v>-693</v>
      </c>
      <c r="BV52" s="93">
        <f>SUM($Z52:AO52)-SUM($CM52:DB52)</f>
        <v>-707</v>
      </c>
      <c r="BW52" s="93">
        <f>SUM($Z52:AP52)-SUM($CM52:DC52)</f>
        <v>-707</v>
      </c>
      <c r="BX52" s="93">
        <f>SUM($Z52:AQ52)-SUM($CM52:DD52)</f>
        <v>-707</v>
      </c>
      <c r="BY52" s="93">
        <f>SUM($Z52:AR52)-SUM($CM52:DE52)</f>
        <v>-707</v>
      </c>
      <c r="BZ52" s="93">
        <f>SUM($Z52:AS52)-SUM($CM52:DF52)</f>
        <v>-707</v>
      </c>
      <c r="CA52" s="93">
        <f>SUM($Z52:AT52)-SUM($CM52:DG52)</f>
        <v>-707</v>
      </c>
      <c r="CB52" s="93">
        <f>SUM($Z52:AU52)-SUM($CM52:DH52)</f>
        <v>-707</v>
      </c>
      <c r="CC52" s="93">
        <f>SUM($Z52:AV52)-SUM($CM52:DI52)</f>
        <v>-707</v>
      </c>
      <c r="CD52" s="93">
        <f>SUM($Z52:AW52)-SUM($CM52:DJ52)</f>
        <v>-707</v>
      </c>
      <c r="CE52" s="93">
        <f>SUM($Z52:AX52)-SUM($CM52:DK52)</f>
        <v>-707</v>
      </c>
      <c r="CF52" s="93">
        <f>SUM($Z52:AY52)-SUM($CM52:DL52)</f>
        <v>-707</v>
      </c>
      <c r="CG52" s="93">
        <f>SUM($Z52:AZ52)-SUM($CM52:DM52)</f>
        <v>-707</v>
      </c>
      <c r="CH52" s="93">
        <f>SUM($Z52:BA52)-SUM($CM52:DN52)</f>
        <v>-707</v>
      </c>
      <c r="CI52" s="93">
        <f>SUM($Z52:BB52)-SUM($CM52:DO52)</f>
        <v>-707</v>
      </c>
      <c r="CJ52" s="93"/>
      <c r="CK52" s="93"/>
      <c r="CL52" s="93"/>
      <c r="CM52" s="93"/>
      <c r="CN52" s="93" cm="1">
        <f t="array" ref="CN52">SUMPRODUCT(TRANSPOSE(CN$4:CN$20),$G52:$W52)</f>
        <v>0</v>
      </c>
      <c r="CO52" s="93" cm="1">
        <f t="array" ref="CO52">SUMPRODUCT(TRANSPOSE(CO$4:CO$20),$G52:$W52)</f>
        <v>0</v>
      </c>
      <c r="CP52" s="93" cm="1">
        <f t="array" ref="CP52">SUMPRODUCT(TRANSPOSE(CP$4:CP$20),$G52:$W52)</f>
        <v>0</v>
      </c>
      <c r="CQ52" s="93" cm="1">
        <f t="array" ref="CQ52">SUMPRODUCT(TRANSPOSE(CQ$4:CQ$20),$G52:$W52)</f>
        <v>78</v>
      </c>
      <c r="CR52" s="93" cm="1">
        <f t="array" ref="CR52">SUMPRODUCT(TRANSPOSE(CR$4:CR$20),$G52:$W52)</f>
        <v>70</v>
      </c>
      <c r="CS52" s="93" cm="1">
        <f t="array" ref="CS52">SUMPRODUCT(TRANSPOSE(CS$4:CS$20),$G52:$W52)</f>
        <v>65</v>
      </c>
      <c r="CT52" s="93" cm="1">
        <f t="array" ref="CT52">SUMPRODUCT(TRANSPOSE(CT$4:CT$20),$G52:$W52)</f>
        <v>60</v>
      </c>
      <c r="CU52" s="93" cm="1">
        <f t="array" ref="CU52">SUMPRODUCT(TRANSPOSE(CU$4:CU$20),$G52:$W52)</f>
        <v>60</v>
      </c>
      <c r="CV52" s="93" cm="1">
        <f t="array" ref="CV52">SUMPRODUCT(TRANSPOSE(CV$4:CV$20),$G52:$W52)</f>
        <v>60</v>
      </c>
      <c r="CW52" s="93" cm="1">
        <f t="array" ref="CW52">SUMPRODUCT(TRANSPOSE(CW$4:CW$20),$G52:$W52)</f>
        <v>60</v>
      </c>
      <c r="CX52" s="93" cm="1">
        <f t="array" ref="CX52">SUMPRODUCT(TRANSPOSE(CX$4:CX$20),$G52:$W52)</f>
        <v>60</v>
      </c>
      <c r="CY52" s="93" cm="1">
        <f t="array" ref="CY52">SUMPRODUCT(TRANSPOSE(CY$4:CY$20),$G52:$W52)</f>
        <v>60</v>
      </c>
      <c r="CZ52" s="93" cm="1">
        <f t="array" ref="CZ52">SUMPRODUCT(TRANSPOSE(CZ$4:CZ$20),$G52:$W52)</f>
        <v>60</v>
      </c>
      <c r="DA52" s="93" cm="1">
        <f t="array" ref="DA52">SUMPRODUCT(TRANSPOSE(DA$4:DA$20),$G52:$W52)</f>
        <v>60</v>
      </c>
      <c r="DB52" s="93" cm="1">
        <f t="array" ref="DB52">SUMPRODUCT(TRANSPOSE(DB$4:DB$20),$G52:$W52)</f>
        <v>14</v>
      </c>
      <c r="DC52" s="93" cm="1">
        <f t="array" ref="DC52">SUMPRODUCT(TRANSPOSE(DC$4:DC$20),$G52:$W52)</f>
        <v>0</v>
      </c>
      <c r="DD52" s="93" cm="1">
        <f t="array" ref="DD52">SUMPRODUCT(TRANSPOSE(DD$4:DD$20),$G52:$W52)</f>
        <v>0</v>
      </c>
      <c r="DE52" s="93" cm="1">
        <f t="array" ref="DE52">SUMPRODUCT(TRANSPOSE(DE$4:DE$20),$G52:$W52)</f>
        <v>0</v>
      </c>
      <c r="DF52" s="93" cm="1">
        <f t="array" ref="DF52">SUMPRODUCT(TRANSPOSE(DF$4:DF$20),$G52:$W52)</f>
        <v>0</v>
      </c>
      <c r="DG52" s="93" cm="1">
        <f t="array" ref="DG52">SUMPRODUCT(TRANSPOSE(DG$4:DG$20),$G52:$W52)</f>
        <v>0</v>
      </c>
      <c r="DH52" s="93" cm="1">
        <f t="array" ref="DH52">SUMPRODUCT(TRANSPOSE(DH$4:DH$20),$G52:$W52)</f>
        <v>0</v>
      </c>
      <c r="DI52" s="93" cm="1">
        <f t="array" ref="DI52">SUMPRODUCT(TRANSPOSE(DI$4:DI$20),$G52:$W52)</f>
        <v>0</v>
      </c>
      <c r="DJ52" s="93" cm="1">
        <f t="array" ref="DJ52">SUMPRODUCT(TRANSPOSE(DJ$4:DJ$20),$G52:$W52)</f>
        <v>0</v>
      </c>
      <c r="DK52" s="93" cm="1">
        <f t="array" ref="DK52">SUMPRODUCT(TRANSPOSE(DK$4:DK$20),$G52:$W52)</f>
        <v>0</v>
      </c>
      <c r="DL52" s="93" cm="1">
        <f t="array" ref="DL52">SUMPRODUCT(TRANSPOSE(DL$4:DL$20),$G52:$W52)</f>
        <v>0</v>
      </c>
      <c r="DM52" s="93" cm="1">
        <f t="array" ref="DM52">SUMPRODUCT(TRANSPOSE(DM$4:DM$20),$G52:$W52)</f>
        <v>0</v>
      </c>
      <c r="DN52" s="93" cm="1">
        <f t="array" ref="DN52">SUMPRODUCT(TRANSPOSE(DN$4:DN$20),$G52:$W52)</f>
        <v>0</v>
      </c>
      <c r="DO52" s="93" cm="1">
        <f t="array" ref="DO52">SUMPRODUCT(TRANSPOSE(DO$4:DO$20),$G52:$W52)</f>
        <v>0</v>
      </c>
    </row>
    <row r="53" spans="1:119" ht="22.9" customHeight="1" x14ac:dyDescent="0.2">
      <c r="A53" s="45">
        <f t="shared" si="26"/>
        <v>32</v>
      </c>
      <c r="B53" s="46" t="s">
        <v>220</v>
      </c>
      <c r="C53" s="45">
        <v>401548139</v>
      </c>
      <c r="D53" s="45" t="s">
        <v>221</v>
      </c>
      <c r="E53" s="45" t="s">
        <v>162</v>
      </c>
      <c r="F53" s="48">
        <v>1</v>
      </c>
      <c r="G53" s="100">
        <v>0</v>
      </c>
      <c r="H53" s="100">
        <v>0</v>
      </c>
      <c r="I53" s="100">
        <v>0</v>
      </c>
      <c r="J53" s="100">
        <v>0</v>
      </c>
      <c r="K53" s="100">
        <v>0</v>
      </c>
      <c r="L53" s="100">
        <v>0</v>
      </c>
      <c r="M53" s="100">
        <v>0</v>
      </c>
      <c r="N53" s="100">
        <v>0</v>
      </c>
      <c r="O53" s="100">
        <v>0</v>
      </c>
      <c r="P53" s="100">
        <v>0</v>
      </c>
      <c r="Q53" s="100">
        <v>35</v>
      </c>
      <c r="R53" s="100">
        <v>0</v>
      </c>
      <c r="S53" s="100">
        <v>0</v>
      </c>
      <c r="T53" s="100">
        <v>0</v>
      </c>
      <c r="U53" s="100">
        <v>35</v>
      </c>
      <c r="V53" s="100">
        <v>0</v>
      </c>
      <c r="W53" s="100">
        <v>0</v>
      </c>
      <c r="X53" s="45" t="s">
        <v>48</v>
      </c>
      <c r="Y53" s="49">
        <v>3.85</v>
      </c>
      <c r="Z53" s="45">
        <v>19400</v>
      </c>
      <c r="AA53" s="45">
        <v>0</v>
      </c>
      <c r="AB53" s="45">
        <v>0</v>
      </c>
      <c r="AC53" s="45">
        <v>0</v>
      </c>
      <c r="AD53" s="45">
        <v>0</v>
      </c>
      <c r="AE53" s="45">
        <v>0</v>
      </c>
      <c r="AF53" s="45">
        <v>0</v>
      </c>
      <c r="AG53" s="45">
        <v>0</v>
      </c>
      <c r="AH53" s="45">
        <v>0</v>
      </c>
      <c r="AI53" s="45">
        <v>0</v>
      </c>
      <c r="AJ53" s="45">
        <v>0</v>
      </c>
      <c r="AK53" s="45">
        <v>0</v>
      </c>
      <c r="AL53" s="45">
        <v>0</v>
      </c>
      <c r="AM53" s="45">
        <v>0</v>
      </c>
      <c r="AN53" s="45">
        <v>0</v>
      </c>
      <c r="AO53" s="45"/>
      <c r="AP53" s="45"/>
      <c r="AQ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5"/>
      <c r="BC53" s="45"/>
      <c r="BD53" s="93"/>
      <c r="BE53" s="93"/>
      <c r="BF53" s="93"/>
      <c r="BG53" s="93"/>
      <c r="BH53" s="93"/>
      <c r="BI53" s="93"/>
      <c r="BJ53" s="93"/>
      <c r="BK53" s="93">
        <f>SUM($Z53:AD53)-SUM($CM53:CQ53)</f>
        <v>16670</v>
      </c>
      <c r="BL53" s="93">
        <f>SUM($Z53:AE53)-SUM($CM53:CR53)</f>
        <v>14220</v>
      </c>
      <c r="BM53" s="93">
        <f>SUM($Z53:AF53)-SUM($CM53:CS53)</f>
        <v>11945</v>
      </c>
      <c r="BN53" s="93">
        <f>SUM($Z53:AG53)-SUM($CM53:CT53)</f>
        <v>9845</v>
      </c>
      <c r="BO53" s="93">
        <f>SUM($Z53:AH53)-SUM($CM53:CU53)</f>
        <v>7745</v>
      </c>
      <c r="BP53" s="93">
        <f>SUM($Z53:AI53)-SUM($CM53:CV53)</f>
        <v>5645</v>
      </c>
      <c r="BQ53" s="93">
        <f>SUM($Z53:AJ53)-SUM($CM53:CW53)</f>
        <v>3545</v>
      </c>
      <c r="BR53" s="93">
        <f>SUM($Z53:AK53)-SUM($CM53:CX53)</f>
        <v>1445</v>
      </c>
      <c r="BS53" s="93">
        <f>SUM($Z53:AL53)-SUM($CM53:CY53)</f>
        <v>-655</v>
      </c>
      <c r="BT53" s="93">
        <f>SUM($Z53:AM53)-SUM($CM53:CZ53)</f>
        <v>-2755</v>
      </c>
      <c r="BU53" s="93">
        <f>SUM($Z53:AN53)-SUM($CM53:DA53)</f>
        <v>-4855</v>
      </c>
      <c r="BV53" s="93">
        <f>SUM($Z53:AO53)-SUM($CM53:DB53)</f>
        <v>-5345</v>
      </c>
      <c r="BW53" s="93">
        <f>SUM($Z53:AP53)-SUM($CM53:DC53)</f>
        <v>-5345</v>
      </c>
      <c r="BX53" s="93">
        <f>SUM($Z53:AQ53)-SUM($CM53:DD53)</f>
        <v>-5345</v>
      </c>
      <c r="BY53" s="93">
        <f>SUM($Z53:AR53)-SUM($CM53:DE53)</f>
        <v>-5345</v>
      </c>
      <c r="BZ53" s="93">
        <f>SUM($Z53:AS53)-SUM($CM53:DF53)</f>
        <v>-5345</v>
      </c>
      <c r="CA53" s="93">
        <f>SUM($Z53:AT53)-SUM($CM53:DG53)</f>
        <v>-5345</v>
      </c>
      <c r="CB53" s="93">
        <f>SUM($Z53:AU53)-SUM($CM53:DH53)</f>
        <v>-5345</v>
      </c>
      <c r="CC53" s="93">
        <f>SUM($Z53:AV53)-SUM($CM53:DI53)</f>
        <v>-5345</v>
      </c>
      <c r="CD53" s="93">
        <f>SUM($Z53:AW53)-SUM($CM53:DJ53)</f>
        <v>-5345</v>
      </c>
      <c r="CE53" s="93">
        <f>SUM($Z53:AX53)-SUM($CM53:DK53)</f>
        <v>-5345</v>
      </c>
      <c r="CF53" s="93">
        <f>SUM($Z53:AY53)-SUM($CM53:DL53)</f>
        <v>-5345</v>
      </c>
      <c r="CG53" s="93">
        <f>SUM($Z53:AZ53)-SUM($CM53:DM53)</f>
        <v>-5345</v>
      </c>
      <c r="CH53" s="93">
        <f>SUM($Z53:BA53)-SUM($CM53:DN53)</f>
        <v>-5345</v>
      </c>
      <c r="CI53" s="93">
        <f>SUM($Z53:BB53)-SUM($CM53:DO53)</f>
        <v>-5345</v>
      </c>
      <c r="CJ53" s="93"/>
      <c r="CK53" s="93"/>
      <c r="CL53" s="93"/>
      <c r="CM53" s="93"/>
      <c r="CN53" s="93" cm="1">
        <f t="array" ref="CN53">SUMPRODUCT(TRANSPOSE(CN$4:CN$20),$G53:$W53)</f>
        <v>0</v>
      </c>
      <c r="CO53" s="93" cm="1">
        <f t="array" ref="CO53">SUMPRODUCT(TRANSPOSE(CO$4:CO$20),$G53:$W53)</f>
        <v>0</v>
      </c>
      <c r="CP53" s="93" cm="1">
        <f t="array" ref="CP53">SUMPRODUCT(TRANSPOSE(CP$4:CP$20),$G53:$W53)</f>
        <v>0</v>
      </c>
      <c r="CQ53" s="93" cm="1">
        <f t="array" ref="CQ53">SUMPRODUCT(TRANSPOSE(CQ$4:CQ$20),$G53:$W53)</f>
        <v>2730</v>
      </c>
      <c r="CR53" s="93" cm="1">
        <f t="array" ref="CR53">SUMPRODUCT(TRANSPOSE(CR$4:CR$20),$G53:$W53)</f>
        <v>2450</v>
      </c>
      <c r="CS53" s="93" cm="1">
        <f t="array" ref="CS53">SUMPRODUCT(TRANSPOSE(CS$4:CS$20),$G53:$W53)</f>
        <v>2275</v>
      </c>
      <c r="CT53" s="93" cm="1">
        <f t="array" ref="CT53">SUMPRODUCT(TRANSPOSE(CT$4:CT$20),$G53:$W53)</f>
        <v>2100</v>
      </c>
      <c r="CU53" s="93" cm="1">
        <f t="array" ref="CU53">SUMPRODUCT(TRANSPOSE(CU$4:CU$20),$G53:$W53)</f>
        <v>2100</v>
      </c>
      <c r="CV53" s="93" cm="1">
        <f t="array" ref="CV53">SUMPRODUCT(TRANSPOSE(CV$4:CV$20),$G53:$W53)</f>
        <v>2100</v>
      </c>
      <c r="CW53" s="93" cm="1">
        <f t="array" ref="CW53">SUMPRODUCT(TRANSPOSE(CW$4:CW$20),$G53:$W53)</f>
        <v>2100</v>
      </c>
      <c r="CX53" s="93" cm="1">
        <f t="array" ref="CX53">SUMPRODUCT(TRANSPOSE(CX$4:CX$20),$G53:$W53)</f>
        <v>2100</v>
      </c>
      <c r="CY53" s="93" cm="1">
        <f t="array" ref="CY53">SUMPRODUCT(TRANSPOSE(CY$4:CY$20),$G53:$W53)</f>
        <v>2100</v>
      </c>
      <c r="CZ53" s="93" cm="1">
        <f t="array" ref="CZ53">SUMPRODUCT(TRANSPOSE(CZ$4:CZ$20),$G53:$W53)</f>
        <v>2100</v>
      </c>
      <c r="DA53" s="93" cm="1">
        <f t="array" ref="DA53">SUMPRODUCT(TRANSPOSE(DA$4:DA$20),$G53:$W53)</f>
        <v>2100</v>
      </c>
      <c r="DB53" s="93" cm="1">
        <f t="array" ref="DB53">SUMPRODUCT(TRANSPOSE(DB$4:DB$20),$G53:$W53)</f>
        <v>490</v>
      </c>
      <c r="DC53" s="93" cm="1">
        <f t="array" ref="DC53">SUMPRODUCT(TRANSPOSE(DC$4:DC$20),$G53:$W53)</f>
        <v>0</v>
      </c>
      <c r="DD53" s="93" cm="1">
        <f t="array" ref="DD53">SUMPRODUCT(TRANSPOSE(DD$4:DD$20),$G53:$W53)</f>
        <v>0</v>
      </c>
      <c r="DE53" s="93" cm="1">
        <f t="array" ref="DE53">SUMPRODUCT(TRANSPOSE(DE$4:DE$20),$G53:$W53)</f>
        <v>0</v>
      </c>
      <c r="DF53" s="93" cm="1">
        <f t="array" ref="DF53">SUMPRODUCT(TRANSPOSE(DF$4:DF$20),$G53:$W53)</f>
        <v>0</v>
      </c>
      <c r="DG53" s="93" cm="1">
        <f t="array" ref="DG53">SUMPRODUCT(TRANSPOSE(DG$4:DG$20),$G53:$W53)</f>
        <v>0</v>
      </c>
      <c r="DH53" s="93" cm="1">
        <f t="array" ref="DH53">SUMPRODUCT(TRANSPOSE(DH$4:DH$20),$G53:$W53)</f>
        <v>0</v>
      </c>
      <c r="DI53" s="93" cm="1">
        <f t="array" ref="DI53">SUMPRODUCT(TRANSPOSE(DI$4:DI$20),$G53:$W53)</f>
        <v>0</v>
      </c>
      <c r="DJ53" s="93" cm="1">
        <f t="array" ref="DJ53">SUMPRODUCT(TRANSPOSE(DJ$4:DJ$20),$G53:$W53)</f>
        <v>0</v>
      </c>
      <c r="DK53" s="93" cm="1">
        <f t="array" ref="DK53">SUMPRODUCT(TRANSPOSE(DK$4:DK$20),$G53:$W53)</f>
        <v>0</v>
      </c>
      <c r="DL53" s="93" cm="1">
        <f t="array" ref="DL53">SUMPRODUCT(TRANSPOSE(DL$4:DL$20),$G53:$W53)</f>
        <v>0</v>
      </c>
      <c r="DM53" s="93" cm="1">
        <f t="array" ref="DM53">SUMPRODUCT(TRANSPOSE(DM$4:DM$20),$G53:$W53)</f>
        <v>0</v>
      </c>
      <c r="DN53" s="93" cm="1">
        <f t="array" ref="DN53">SUMPRODUCT(TRANSPOSE(DN$4:DN$20),$G53:$W53)</f>
        <v>0</v>
      </c>
      <c r="DO53" s="93" cm="1">
        <f t="array" ref="DO53">SUMPRODUCT(TRANSPOSE(DO$4:DO$20),$G53:$W53)</f>
        <v>0</v>
      </c>
    </row>
    <row r="54" spans="1:119" ht="26.45" customHeight="1" x14ac:dyDescent="0.2">
      <c r="A54" s="45">
        <f t="shared" si="26"/>
        <v>33</v>
      </c>
      <c r="B54" s="46" t="s">
        <v>222</v>
      </c>
      <c r="C54" s="45">
        <v>411818362</v>
      </c>
      <c r="D54" s="45" t="s">
        <v>223</v>
      </c>
      <c r="E54" s="45" t="s">
        <v>191</v>
      </c>
      <c r="F54" s="48">
        <v>1</v>
      </c>
      <c r="G54" s="100">
        <v>0</v>
      </c>
      <c r="H54" s="100">
        <v>0</v>
      </c>
      <c r="I54" s="100">
        <v>0</v>
      </c>
      <c r="J54" s="100">
        <v>0</v>
      </c>
      <c r="K54" s="100">
        <v>0</v>
      </c>
      <c r="L54" s="100">
        <v>0</v>
      </c>
      <c r="M54" s="100">
        <v>0</v>
      </c>
      <c r="N54" s="100">
        <v>0</v>
      </c>
      <c r="O54" s="100">
        <v>0</v>
      </c>
      <c r="P54" s="100">
        <v>0</v>
      </c>
      <c r="Q54" s="100">
        <v>0</v>
      </c>
      <c r="R54" s="100">
        <v>0</v>
      </c>
      <c r="S54" s="100">
        <v>0</v>
      </c>
      <c r="T54" s="100">
        <v>0</v>
      </c>
      <c r="U54" s="100">
        <v>0</v>
      </c>
      <c r="V54" s="100">
        <v>0</v>
      </c>
      <c r="W54" s="100">
        <v>0</v>
      </c>
      <c r="X54" s="45" t="s">
        <v>49</v>
      </c>
      <c r="Y54" s="49">
        <v>32</v>
      </c>
      <c r="Z54" s="45">
        <v>0</v>
      </c>
      <c r="AA54" s="45">
        <v>0</v>
      </c>
      <c r="AB54" s="45">
        <v>0</v>
      </c>
      <c r="AC54" s="45">
        <v>0</v>
      </c>
      <c r="AD54" s="45">
        <v>0</v>
      </c>
      <c r="AE54" s="45">
        <v>0</v>
      </c>
      <c r="AF54" s="45">
        <v>0</v>
      </c>
      <c r="AG54" s="45">
        <v>0</v>
      </c>
      <c r="AH54" s="45">
        <v>0</v>
      </c>
      <c r="AI54" s="45">
        <v>0</v>
      </c>
      <c r="AJ54" s="45">
        <v>0</v>
      </c>
      <c r="AK54" s="45">
        <v>0</v>
      </c>
      <c r="AL54" s="45">
        <v>0</v>
      </c>
      <c r="AM54" s="45">
        <v>0</v>
      </c>
      <c r="AN54" s="45" t="s">
        <v>522</v>
      </c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93"/>
      <c r="BE54" s="93"/>
      <c r="BF54" s="93"/>
      <c r="BG54" s="93"/>
      <c r="BH54" s="93"/>
      <c r="BI54" s="93"/>
      <c r="BJ54" s="93"/>
      <c r="BK54" s="93">
        <f>SUM($Z54:AD54)-SUM($CM54:CQ54)</f>
        <v>0</v>
      </c>
      <c r="BL54" s="93">
        <f>SUM($Z54:AE54)-SUM($CM54:CR54)</f>
        <v>0</v>
      </c>
      <c r="BM54" s="93">
        <f>SUM($Z54:AF54)-SUM($CM54:CS54)</f>
        <v>0</v>
      </c>
      <c r="BN54" s="93">
        <f>SUM($Z54:AG54)-SUM($CM54:CT54)</f>
        <v>0</v>
      </c>
      <c r="BO54" s="93">
        <f>SUM($Z54:AH54)-SUM($CM54:CU54)</f>
        <v>0</v>
      </c>
      <c r="BP54" s="93">
        <f>SUM($Z54:AI54)-SUM($CM54:CV54)</f>
        <v>0</v>
      </c>
      <c r="BQ54" s="93">
        <f>SUM($Z54:AJ54)-SUM($CM54:CW54)</f>
        <v>0</v>
      </c>
      <c r="BR54" s="93">
        <f>SUM($Z54:AK54)-SUM($CM54:CX54)</f>
        <v>0</v>
      </c>
      <c r="BS54" s="93">
        <f>SUM($Z54:AL54)-SUM($CM54:CY54)</f>
        <v>0</v>
      </c>
      <c r="BT54" s="93">
        <f>SUM($Z54:AM54)-SUM($CM54:CZ54)</f>
        <v>0</v>
      </c>
      <c r="BU54" s="93">
        <f>SUM($Z54:AN54)-SUM($CM54:DA54)</f>
        <v>0</v>
      </c>
      <c r="BV54" s="93">
        <f>SUM($Z54:AO54)-SUM($CM54:DB54)</f>
        <v>0</v>
      </c>
      <c r="BW54" s="93">
        <f>SUM($Z54:AP54)-SUM($CM54:DC54)</f>
        <v>0</v>
      </c>
      <c r="BX54" s="93">
        <f>SUM($Z54:AQ54)-SUM($CM54:DD54)</f>
        <v>0</v>
      </c>
      <c r="BY54" s="93">
        <f>SUM($Z54:AR54)-SUM($CM54:DE54)</f>
        <v>0</v>
      </c>
      <c r="BZ54" s="93">
        <f>SUM($Z54:AS54)-SUM($CM54:DF54)</f>
        <v>0</v>
      </c>
      <c r="CA54" s="93">
        <f>SUM($Z54:AT54)-SUM($CM54:DG54)</f>
        <v>0</v>
      </c>
      <c r="CB54" s="93">
        <f>SUM($Z54:AU54)-SUM($CM54:DH54)</f>
        <v>0</v>
      </c>
      <c r="CC54" s="93">
        <f>SUM($Z54:AV54)-SUM($CM54:DI54)</f>
        <v>0</v>
      </c>
      <c r="CD54" s="93">
        <f>SUM($Z54:AW54)-SUM($CM54:DJ54)</f>
        <v>0</v>
      </c>
      <c r="CE54" s="93">
        <f>SUM($Z54:AX54)-SUM($CM54:DK54)</f>
        <v>0</v>
      </c>
      <c r="CF54" s="93">
        <f>SUM($Z54:AY54)-SUM($CM54:DL54)</f>
        <v>0</v>
      </c>
      <c r="CG54" s="93">
        <f>SUM($Z54:AZ54)-SUM($CM54:DM54)</f>
        <v>0</v>
      </c>
      <c r="CH54" s="93">
        <f>SUM($Z54:BA54)-SUM($CM54:DN54)</f>
        <v>0</v>
      </c>
      <c r="CI54" s="93">
        <f>SUM($Z54:BB54)-SUM($CM54:DO54)</f>
        <v>0</v>
      </c>
      <c r="CJ54" s="93"/>
      <c r="CK54" s="93"/>
      <c r="CL54" s="93"/>
      <c r="CM54" s="93"/>
      <c r="CN54" s="93" cm="1">
        <f t="array" ref="CN54">SUMPRODUCT(TRANSPOSE(CN$4:CN$20),$G54:$W54)</f>
        <v>0</v>
      </c>
      <c r="CO54" s="93" cm="1">
        <f t="array" ref="CO54">SUMPRODUCT(TRANSPOSE(CO$4:CO$20),$G54:$W54)</f>
        <v>0</v>
      </c>
      <c r="CP54" s="93" cm="1">
        <f t="array" ref="CP54">SUMPRODUCT(TRANSPOSE(CP$4:CP$20),$G54:$W54)</f>
        <v>0</v>
      </c>
      <c r="CQ54" s="93" cm="1">
        <f t="array" ref="CQ54">SUMPRODUCT(TRANSPOSE(CQ$4:CQ$20),$G54:$W54)</f>
        <v>0</v>
      </c>
      <c r="CR54" s="93" cm="1">
        <f t="array" ref="CR54">SUMPRODUCT(TRANSPOSE(CR$4:CR$20),$G54:$W54)</f>
        <v>0</v>
      </c>
      <c r="CS54" s="93" cm="1">
        <f t="array" ref="CS54">SUMPRODUCT(TRANSPOSE(CS$4:CS$20),$G54:$W54)</f>
        <v>0</v>
      </c>
      <c r="CT54" s="93" cm="1">
        <f t="array" ref="CT54">SUMPRODUCT(TRANSPOSE(CT$4:CT$20),$G54:$W54)</f>
        <v>0</v>
      </c>
      <c r="CU54" s="93" cm="1">
        <f t="array" ref="CU54">SUMPRODUCT(TRANSPOSE(CU$4:CU$20),$G54:$W54)</f>
        <v>0</v>
      </c>
      <c r="CV54" s="93" cm="1">
        <f t="array" ref="CV54">SUMPRODUCT(TRANSPOSE(CV$4:CV$20),$G54:$W54)</f>
        <v>0</v>
      </c>
      <c r="CW54" s="93" cm="1">
        <f t="array" ref="CW54">SUMPRODUCT(TRANSPOSE(CW$4:CW$20),$G54:$W54)</f>
        <v>0</v>
      </c>
      <c r="CX54" s="93" cm="1">
        <f t="array" ref="CX54">SUMPRODUCT(TRANSPOSE(CX$4:CX$20),$G54:$W54)</f>
        <v>0</v>
      </c>
      <c r="CY54" s="93" cm="1">
        <f t="array" ref="CY54">SUMPRODUCT(TRANSPOSE(CY$4:CY$20),$G54:$W54)</f>
        <v>0</v>
      </c>
      <c r="CZ54" s="93" cm="1">
        <f t="array" ref="CZ54">SUMPRODUCT(TRANSPOSE(CZ$4:CZ$20),$G54:$W54)</f>
        <v>0</v>
      </c>
      <c r="DA54" s="93" cm="1">
        <f t="array" ref="DA54">SUMPRODUCT(TRANSPOSE(DA$4:DA$20),$G54:$W54)</f>
        <v>0</v>
      </c>
      <c r="DB54" s="93" cm="1">
        <f t="array" ref="DB54">SUMPRODUCT(TRANSPOSE(DB$4:DB$20),$G54:$W54)</f>
        <v>0</v>
      </c>
      <c r="DC54" s="93" cm="1">
        <f t="array" ref="DC54">SUMPRODUCT(TRANSPOSE(DC$4:DC$20),$G54:$W54)</f>
        <v>0</v>
      </c>
      <c r="DD54" s="93" cm="1">
        <f t="array" ref="DD54">SUMPRODUCT(TRANSPOSE(DD$4:DD$20),$G54:$W54)</f>
        <v>0</v>
      </c>
      <c r="DE54" s="93" cm="1">
        <f t="array" ref="DE54">SUMPRODUCT(TRANSPOSE(DE$4:DE$20),$G54:$W54)</f>
        <v>0</v>
      </c>
      <c r="DF54" s="93" cm="1">
        <f t="array" ref="DF54">SUMPRODUCT(TRANSPOSE(DF$4:DF$20),$G54:$W54)</f>
        <v>0</v>
      </c>
      <c r="DG54" s="93" cm="1">
        <f t="array" ref="DG54">SUMPRODUCT(TRANSPOSE(DG$4:DG$20),$G54:$W54)</f>
        <v>0</v>
      </c>
      <c r="DH54" s="93" cm="1">
        <f t="array" ref="DH54">SUMPRODUCT(TRANSPOSE(DH$4:DH$20),$G54:$W54)</f>
        <v>0</v>
      </c>
      <c r="DI54" s="93" cm="1">
        <f t="array" ref="DI54">SUMPRODUCT(TRANSPOSE(DI$4:DI$20),$G54:$W54)</f>
        <v>0</v>
      </c>
      <c r="DJ54" s="93" cm="1">
        <f t="array" ref="DJ54">SUMPRODUCT(TRANSPOSE(DJ$4:DJ$20),$G54:$W54)</f>
        <v>0</v>
      </c>
      <c r="DK54" s="93" cm="1">
        <f t="array" ref="DK54">SUMPRODUCT(TRANSPOSE(DK$4:DK$20),$G54:$W54)</f>
        <v>0</v>
      </c>
      <c r="DL54" s="93" cm="1">
        <f t="array" ref="DL54">SUMPRODUCT(TRANSPOSE(DL$4:DL$20),$G54:$W54)</f>
        <v>0</v>
      </c>
      <c r="DM54" s="93" cm="1">
        <f t="array" ref="DM54">SUMPRODUCT(TRANSPOSE(DM$4:DM$20),$G54:$W54)</f>
        <v>0</v>
      </c>
      <c r="DN54" s="93" cm="1">
        <f t="array" ref="DN54">SUMPRODUCT(TRANSPOSE(DN$4:DN$20),$G54:$W54)</f>
        <v>0</v>
      </c>
      <c r="DO54" s="93" cm="1">
        <f t="array" ref="DO54">SUMPRODUCT(TRANSPOSE(DO$4:DO$20),$G54:$W54)</f>
        <v>0</v>
      </c>
    </row>
    <row r="55" spans="1:119" x14ac:dyDescent="0.2">
      <c r="A55" s="45">
        <f t="shared" si="26"/>
        <v>34</v>
      </c>
      <c r="B55" s="46" t="s">
        <v>224</v>
      </c>
      <c r="C55" s="45">
        <v>404488392</v>
      </c>
      <c r="D55" s="45" t="s">
        <v>225</v>
      </c>
      <c r="E55" s="45" t="s">
        <v>191</v>
      </c>
      <c r="F55" s="48">
        <v>2</v>
      </c>
      <c r="G55" s="100">
        <v>0</v>
      </c>
      <c r="H55" s="100">
        <v>0</v>
      </c>
      <c r="I55" s="100">
        <v>0</v>
      </c>
      <c r="J55" s="100">
        <v>0</v>
      </c>
      <c r="K55" s="100">
        <v>0</v>
      </c>
      <c r="L55" s="100">
        <v>0</v>
      </c>
      <c r="M55" s="100">
        <v>0</v>
      </c>
      <c r="N55" s="100">
        <v>0</v>
      </c>
      <c r="O55" s="100">
        <v>0</v>
      </c>
      <c r="P55" s="100">
        <v>0</v>
      </c>
      <c r="Q55" s="100">
        <v>2.5000000000000001E-2</v>
      </c>
      <c r="R55" s="100">
        <v>0</v>
      </c>
      <c r="S55" s="100">
        <v>0</v>
      </c>
      <c r="T55" s="100">
        <v>0</v>
      </c>
      <c r="U55" s="100">
        <v>0</v>
      </c>
      <c r="V55" s="100">
        <v>0</v>
      </c>
      <c r="W55" s="100">
        <v>0</v>
      </c>
      <c r="X55" s="45" t="s">
        <v>49</v>
      </c>
      <c r="Y55" s="49">
        <v>32</v>
      </c>
      <c r="Z55" s="45">
        <v>13</v>
      </c>
      <c r="AA55" s="45">
        <v>0</v>
      </c>
      <c r="AB55" s="45">
        <v>0</v>
      </c>
      <c r="AC55" s="45">
        <v>0</v>
      </c>
      <c r="AD55" s="45">
        <v>0</v>
      </c>
      <c r="AE55" s="45">
        <v>0</v>
      </c>
      <c r="AF55" s="45">
        <v>0</v>
      </c>
      <c r="AG55" s="45">
        <v>0</v>
      </c>
      <c r="AH55" s="45">
        <v>0</v>
      </c>
      <c r="AI55" s="45">
        <v>0</v>
      </c>
      <c r="AJ55" s="45">
        <v>0</v>
      </c>
      <c r="AK55" s="45">
        <v>0</v>
      </c>
      <c r="AL55" s="45">
        <v>0</v>
      </c>
      <c r="AM55" s="45">
        <v>0</v>
      </c>
      <c r="AN55" s="45">
        <v>0</v>
      </c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93"/>
      <c r="BE55" s="93"/>
      <c r="BF55" s="93"/>
      <c r="BG55" s="93"/>
      <c r="BH55" s="93"/>
      <c r="BI55" s="93"/>
      <c r="BJ55" s="93"/>
      <c r="BK55" s="93">
        <f>SUM($Z55:AD55)-SUM($CM55:CQ55)</f>
        <v>12.125</v>
      </c>
      <c r="BL55" s="93">
        <f>SUM($Z55:AE55)-SUM($CM55:CR55)</f>
        <v>11.25</v>
      </c>
      <c r="BM55" s="93">
        <f>SUM($Z55:AF55)-SUM($CM55:CS55)</f>
        <v>10.375</v>
      </c>
      <c r="BN55" s="93">
        <f>SUM($Z55:AG55)-SUM($CM55:CT55)</f>
        <v>9.625</v>
      </c>
      <c r="BO55" s="93">
        <f>SUM($Z55:AH55)-SUM($CM55:CU55)</f>
        <v>8.875</v>
      </c>
      <c r="BP55" s="93">
        <f>SUM($Z55:AI55)-SUM($CM55:CV55)</f>
        <v>8.125</v>
      </c>
      <c r="BQ55" s="93">
        <f>SUM($Z55:AJ55)-SUM($CM55:CW55)</f>
        <v>7.375</v>
      </c>
      <c r="BR55" s="93">
        <f>SUM($Z55:AK55)-SUM($CM55:CX55)</f>
        <v>6.625</v>
      </c>
      <c r="BS55" s="93">
        <f>SUM($Z55:AL55)-SUM($CM55:CY55)</f>
        <v>5.875</v>
      </c>
      <c r="BT55" s="93">
        <f>SUM($Z55:AM55)-SUM($CM55:CZ55)</f>
        <v>5.125</v>
      </c>
      <c r="BU55" s="93">
        <f>SUM($Z55:AN55)-SUM($CM55:DA55)</f>
        <v>4.375</v>
      </c>
      <c r="BV55" s="93">
        <f>SUM($Z55:AO55)-SUM($CM55:DB55)</f>
        <v>4.0250000000000004</v>
      </c>
      <c r="BW55" s="93">
        <f>SUM($Z55:AP55)-SUM($CM55:DC55)</f>
        <v>4.0250000000000004</v>
      </c>
      <c r="BX55" s="93">
        <f>SUM($Z55:AQ55)-SUM($CM55:DD55)</f>
        <v>4.0250000000000004</v>
      </c>
      <c r="BY55" s="93">
        <f>SUM($Z55:AR55)-SUM($CM55:DE55)</f>
        <v>4.0250000000000004</v>
      </c>
      <c r="BZ55" s="93">
        <f>SUM($Z55:AS55)-SUM($CM55:DF55)</f>
        <v>4.0250000000000004</v>
      </c>
      <c r="CA55" s="93">
        <f>SUM($Z55:AT55)-SUM($CM55:DG55)</f>
        <v>4.0250000000000004</v>
      </c>
      <c r="CB55" s="93">
        <f>SUM($Z55:AU55)-SUM($CM55:DH55)</f>
        <v>4.0250000000000004</v>
      </c>
      <c r="CC55" s="93">
        <f>SUM($Z55:AV55)-SUM($CM55:DI55)</f>
        <v>4.0250000000000004</v>
      </c>
      <c r="CD55" s="93">
        <f>SUM($Z55:AW55)-SUM($CM55:DJ55)</f>
        <v>4.0250000000000004</v>
      </c>
      <c r="CE55" s="93">
        <f>SUM($Z55:AX55)-SUM($CM55:DK55)</f>
        <v>4.0250000000000004</v>
      </c>
      <c r="CF55" s="93">
        <f>SUM($Z55:AY55)-SUM($CM55:DL55)</f>
        <v>4.0250000000000004</v>
      </c>
      <c r="CG55" s="93">
        <f>SUM($Z55:AZ55)-SUM($CM55:DM55)</f>
        <v>4.0250000000000004</v>
      </c>
      <c r="CH55" s="93">
        <f>SUM($Z55:BA55)-SUM($CM55:DN55)</f>
        <v>4.0250000000000004</v>
      </c>
      <c r="CI55" s="93">
        <f>SUM($Z55:BB55)-SUM($CM55:DO55)</f>
        <v>4.0250000000000004</v>
      </c>
      <c r="CJ55" s="93"/>
      <c r="CK55" s="93"/>
      <c r="CL55" s="93"/>
      <c r="CM55" s="93"/>
      <c r="CN55" s="93" cm="1">
        <f t="array" ref="CN55">SUMPRODUCT(TRANSPOSE(CN$4:CN$20),$G55:$W55)</f>
        <v>0</v>
      </c>
      <c r="CO55" s="93" cm="1">
        <f t="array" ref="CO55">SUMPRODUCT(TRANSPOSE(CO$4:CO$20),$G55:$W55)</f>
        <v>0</v>
      </c>
      <c r="CP55" s="93" cm="1">
        <f t="array" ref="CP55">SUMPRODUCT(TRANSPOSE(CP$4:CP$20),$G55:$W55)</f>
        <v>0</v>
      </c>
      <c r="CQ55" s="93" cm="1">
        <f t="array" ref="CQ55">SUMPRODUCT(TRANSPOSE(CQ$4:CQ$20),$G55:$W55)</f>
        <v>0.875</v>
      </c>
      <c r="CR55" s="93" cm="1">
        <f t="array" ref="CR55">SUMPRODUCT(TRANSPOSE(CR$4:CR$20),$G55:$W55)</f>
        <v>0.875</v>
      </c>
      <c r="CS55" s="93" cm="1">
        <f t="array" ref="CS55">SUMPRODUCT(TRANSPOSE(CS$4:CS$20),$G55:$W55)</f>
        <v>0.875</v>
      </c>
      <c r="CT55" s="93" cm="1">
        <f t="array" ref="CT55">SUMPRODUCT(TRANSPOSE(CT$4:CT$20),$G55:$W55)</f>
        <v>0.75</v>
      </c>
      <c r="CU55" s="93" cm="1">
        <f t="array" ref="CU55">SUMPRODUCT(TRANSPOSE(CU$4:CU$20),$G55:$W55)</f>
        <v>0.75</v>
      </c>
      <c r="CV55" s="93" cm="1">
        <f t="array" ref="CV55">SUMPRODUCT(TRANSPOSE(CV$4:CV$20),$G55:$W55)</f>
        <v>0.75</v>
      </c>
      <c r="CW55" s="93" cm="1">
        <f t="array" ref="CW55">SUMPRODUCT(TRANSPOSE(CW$4:CW$20),$G55:$W55)</f>
        <v>0.75</v>
      </c>
      <c r="CX55" s="93" cm="1">
        <f t="array" ref="CX55">SUMPRODUCT(TRANSPOSE(CX$4:CX$20),$G55:$W55)</f>
        <v>0.75</v>
      </c>
      <c r="CY55" s="93" cm="1">
        <f t="array" ref="CY55">SUMPRODUCT(TRANSPOSE(CY$4:CY$20),$G55:$W55)</f>
        <v>0.75</v>
      </c>
      <c r="CZ55" s="93" cm="1">
        <f t="array" ref="CZ55">SUMPRODUCT(TRANSPOSE(CZ$4:CZ$20),$G55:$W55)</f>
        <v>0.75</v>
      </c>
      <c r="DA55" s="93" cm="1">
        <f t="array" ref="DA55">SUMPRODUCT(TRANSPOSE(DA$4:DA$20),$G55:$W55)</f>
        <v>0.75</v>
      </c>
      <c r="DB55" s="93" cm="1">
        <f t="array" ref="DB55">SUMPRODUCT(TRANSPOSE(DB$4:DB$20),$G55:$W55)</f>
        <v>0.35000000000000003</v>
      </c>
      <c r="DC55" s="93" cm="1">
        <f t="array" ref="DC55">SUMPRODUCT(TRANSPOSE(DC$4:DC$20),$G55:$W55)</f>
        <v>0</v>
      </c>
      <c r="DD55" s="93" cm="1">
        <f t="array" ref="DD55">SUMPRODUCT(TRANSPOSE(DD$4:DD$20),$G55:$W55)</f>
        <v>0</v>
      </c>
      <c r="DE55" s="93" cm="1">
        <f t="array" ref="DE55">SUMPRODUCT(TRANSPOSE(DE$4:DE$20),$G55:$W55)</f>
        <v>0</v>
      </c>
      <c r="DF55" s="93" cm="1">
        <f t="array" ref="DF55">SUMPRODUCT(TRANSPOSE(DF$4:DF$20),$G55:$W55)</f>
        <v>0</v>
      </c>
      <c r="DG55" s="93" cm="1">
        <f t="array" ref="DG55">SUMPRODUCT(TRANSPOSE(DG$4:DG$20),$G55:$W55)</f>
        <v>0</v>
      </c>
      <c r="DH55" s="93" cm="1">
        <f t="array" ref="DH55">SUMPRODUCT(TRANSPOSE(DH$4:DH$20),$G55:$W55)</f>
        <v>0</v>
      </c>
      <c r="DI55" s="93" cm="1">
        <f t="array" ref="DI55">SUMPRODUCT(TRANSPOSE(DI$4:DI$20),$G55:$W55)</f>
        <v>0</v>
      </c>
      <c r="DJ55" s="93" cm="1">
        <f t="array" ref="DJ55">SUMPRODUCT(TRANSPOSE(DJ$4:DJ$20),$G55:$W55)</f>
        <v>0</v>
      </c>
      <c r="DK55" s="93" cm="1">
        <f t="array" ref="DK55">SUMPRODUCT(TRANSPOSE(DK$4:DK$20),$G55:$W55)</f>
        <v>0</v>
      </c>
      <c r="DL55" s="93" cm="1">
        <f t="array" ref="DL55">SUMPRODUCT(TRANSPOSE(DL$4:DL$20),$G55:$W55)</f>
        <v>0</v>
      </c>
      <c r="DM55" s="93" cm="1">
        <f t="array" ref="DM55">SUMPRODUCT(TRANSPOSE(DM$4:DM$20),$G55:$W55)</f>
        <v>0</v>
      </c>
      <c r="DN55" s="93" cm="1">
        <f t="array" ref="DN55">SUMPRODUCT(TRANSPOSE(DN$4:DN$20),$G55:$W55)</f>
        <v>0</v>
      </c>
      <c r="DO55" s="93" cm="1">
        <f t="array" ref="DO55">SUMPRODUCT(TRANSPOSE(DO$4:DO$20),$G55:$W55)</f>
        <v>0</v>
      </c>
    </row>
    <row r="56" spans="1:119" x14ac:dyDescent="0.2">
      <c r="A56" s="54">
        <f t="shared" si="26"/>
        <v>35</v>
      </c>
      <c r="B56" s="46" t="s">
        <v>226</v>
      </c>
      <c r="C56" s="45">
        <v>417493560</v>
      </c>
      <c r="D56" s="45" t="s">
        <v>227</v>
      </c>
      <c r="E56" s="45" t="s">
        <v>162</v>
      </c>
      <c r="F56" s="48">
        <v>1</v>
      </c>
      <c r="G56" s="100">
        <v>0</v>
      </c>
      <c r="H56" s="100">
        <v>0</v>
      </c>
      <c r="I56" s="100">
        <v>0</v>
      </c>
      <c r="J56" s="100">
        <v>0</v>
      </c>
      <c r="K56" s="100">
        <v>0</v>
      </c>
      <c r="L56" s="100">
        <v>0</v>
      </c>
      <c r="M56" s="100">
        <v>0</v>
      </c>
      <c r="N56" s="100">
        <v>0</v>
      </c>
      <c r="O56" s="100">
        <v>1</v>
      </c>
      <c r="P56" s="100">
        <v>0</v>
      </c>
      <c r="Q56" s="100">
        <v>0</v>
      </c>
      <c r="R56" s="100">
        <v>0</v>
      </c>
      <c r="S56" s="100">
        <v>1</v>
      </c>
      <c r="T56" s="100">
        <v>0</v>
      </c>
      <c r="U56" s="100">
        <v>0</v>
      </c>
      <c r="V56" s="100">
        <v>0</v>
      </c>
      <c r="W56" s="100">
        <v>0</v>
      </c>
      <c r="X56" s="45" t="s">
        <v>8</v>
      </c>
      <c r="Y56" s="49">
        <v>0</v>
      </c>
      <c r="Z56" s="45">
        <v>575</v>
      </c>
      <c r="AA56" s="45">
        <v>0</v>
      </c>
      <c r="AB56" s="45">
        <v>0</v>
      </c>
      <c r="AC56" s="45">
        <v>0</v>
      </c>
      <c r="AD56" s="45">
        <v>0</v>
      </c>
      <c r="AE56" s="45">
        <v>0</v>
      </c>
      <c r="AF56" s="45">
        <v>0</v>
      </c>
      <c r="AG56" s="45">
        <v>0</v>
      </c>
      <c r="AH56" s="45">
        <v>0</v>
      </c>
      <c r="AI56" s="45">
        <v>0</v>
      </c>
      <c r="AJ56" s="45">
        <v>0</v>
      </c>
      <c r="AK56" s="45">
        <v>0</v>
      </c>
      <c r="AL56" s="45">
        <v>0</v>
      </c>
      <c r="AM56" s="45">
        <v>0</v>
      </c>
      <c r="AN56" s="45">
        <v>0</v>
      </c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93"/>
      <c r="BE56" s="93"/>
      <c r="BF56" s="93"/>
      <c r="BG56" s="93"/>
      <c r="BH56" s="93"/>
      <c r="BI56" s="93"/>
      <c r="BJ56" s="93"/>
      <c r="BK56" s="93">
        <f>SUM($Z56:AD56)-SUM($CM56:CQ56)</f>
        <v>497</v>
      </c>
      <c r="BL56" s="93">
        <f>SUM($Z56:AE56)-SUM($CM56:CR56)</f>
        <v>427</v>
      </c>
      <c r="BM56" s="93">
        <f>SUM($Z56:AF56)-SUM($CM56:CS56)</f>
        <v>362</v>
      </c>
      <c r="BN56" s="93">
        <f>SUM($Z56:AG56)-SUM($CM56:CT56)</f>
        <v>302</v>
      </c>
      <c r="BO56" s="93">
        <f>SUM($Z56:AH56)-SUM($CM56:CU56)</f>
        <v>242</v>
      </c>
      <c r="BP56" s="93">
        <f>SUM($Z56:AI56)-SUM($CM56:CV56)</f>
        <v>182</v>
      </c>
      <c r="BQ56" s="93">
        <f>SUM($Z56:AJ56)-SUM($CM56:CW56)</f>
        <v>122</v>
      </c>
      <c r="BR56" s="93">
        <f>SUM($Z56:AK56)-SUM($CM56:CX56)</f>
        <v>62</v>
      </c>
      <c r="BS56" s="93">
        <f>SUM($Z56:AL56)-SUM($CM56:CY56)</f>
        <v>2</v>
      </c>
      <c r="BT56" s="93">
        <f>SUM($Z56:AM56)-SUM($CM56:CZ56)</f>
        <v>-58</v>
      </c>
      <c r="BU56" s="93">
        <f>SUM($Z56:AN56)-SUM($CM56:DA56)</f>
        <v>-118</v>
      </c>
      <c r="BV56" s="93">
        <f>SUM($Z56:AO56)-SUM($CM56:DB56)</f>
        <v>-132</v>
      </c>
      <c r="BW56" s="93">
        <f>SUM($Z56:AP56)-SUM($CM56:DC56)</f>
        <v>-132</v>
      </c>
      <c r="BX56" s="93">
        <f>SUM($Z56:AQ56)-SUM($CM56:DD56)</f>
        <v>-132</v>
      </c>
      <c r="BY56" s="93">
        <f>SUM($Z56:AR56)-SUM($CM56:DE56)</f>
        <v>-132</v>
      </c>
      <c r="BZ56" s="93">
        <f>SUM($Z56:AS56)-SUM($CM56:DF56)</f>
        <v>-132</v>
      </c>
      <c r="CA56" s="93">
        <f>SUM($Z56:AT56)-SUM($CM56:DG56)</f>
        <v>-132</v>
      </c>
      <c r="CB56" s="93">
        <f>SUM($Z56:AU56)-SUM($CM56:DH56)</f>
        <v>-132</v>
      </c>
      <c r="CC56" s="93">
        <f>SUM($Z56:AV56)-SUM($CM56:DI56)</f>
        <v>-132</v>
      </c>
      <c r="CD56" s="93">
        <f>SUM($Z56:AW56)-SUM($CM56:DJ56)</f>
        <v>-132</v>
      </c>
      <c r="CE56" s="93">
        <f>SUM($Z56:AX56)-SUM($CM56:DK56)</f>
        <v>-132</v>
      </c>
      <c r="CF56" s="93">
        <f>SUM($Z56:AY56)-SUM($CM56:DL56)</f>
        <v>-132</v>
      </c>
      <c r="CG56" s="93">
        <f>SUM($Z56:AZ56)-SUM($CM56:DM56)</f>
        <v>-132</v>
      </c>
      <c r="CH56" s="93">
        <f>SUM($Z56:BA56)-SUM($CM56:DN56)</f>
        <v>-132</v>
      </c>
      <c r="CI56" s="93">
        <f>SUM($Z56:BB56)-SUM($CM56:DO56)</f>
        <v>-132</v>
      </c>
      <c r="CJ56" s="93"/>
      <c r="CK56" s="93"/>
      <c r="CL56" s="93"/>
      <c r="CM56" s="93"/>
      <c r="CN56" s="93" cm="1">
        <f t="array" ref="CN56">SUMPRODUCT(TRANSPOSE(CN$4:CN$20),$G56:$W56)</f>
        <v>0</v>
      </c>
      <c r="CO56" s="93" cm="1">
        <f t="array" ref="CO56">SUMPRODUCT(TRANSPOSE(CO$4:CO$20),$G56:$W56)</f>
        <v>0</v>
      </c>
      <c r="CP56" s="93" cm="1">
        <f t="array" ref="CP56">SUMPRODUCT(TRANSPOSE(CP$4:CP$20),$G56:$W56)</f>
        <v>0</v>
      </c>
      <c r="CQ56" s="93" cm="1">
        <f t="array" ref="CQ56">SUMPRODUCT(TRANSPOSE(CQ$4:CQ$20),$G56:$W56)</f>
        <v>78</v>
      </c>
      <c r="CR56" s="93" cm="1">
        <f t="array" ref="CR56">SUMPRODUCT(TRANSPOSE(CR$4:CR$20),$G56:$W56)</f>
        <v>70</v>
      </c>
      <c r="CS56" s="93" cm="1">
        <f t="array" ref="CS56">SUMPRODUCT(TRANSPOSE(CS$4:CS$20),$G56:$W56)</f>
        <v>65</v>
      </c>
      <c r="CT56" s="93" cm="1">
        <f t="array" ref="CT56">SUMPRODUCT(TRANSPOSE(CT$4:CT$20),$G56:$W56)</f>
        <v>60</v>
      </c>
      <c r="CU56" s="93" cm="1">
        <f t="array" ref="CU56">SUMPRODUCT(TRANSPOSE(CU$4:CU$20),$G56:$W56)</f>
        <v>60</v>
      </c>
      <c r="CV56" s="93" cm="1">
        <f t="array" ref="CV56">SUMPRODUCT(TRANSPOSE(CV$4:CV$20),$G56:$W56)</f>
        <v>60</v>
      </c>
      <c r="CW56" s="93" cm="1">
        <f t="array" ref="CW56">SUMPRODUCT(TRANSPOSE(CW$4:CW$20),$G56:$W56)</f>
        <v>60</v>
      </c>
      <c r="CX56" s="93" cm="1">
        <f t="array" ref="CX56">SUMPRODUCT(TRANSPOSE(CX$4:CX$20),$G56:$W56)</f>
        <v>60</v>
      </c>
      <c r="CY56" s="93" cm="1">
        <f t="array" ref="CY56">SUMPRODUCT(TRANSPOSE(CY$4:CY$20),$G56:$W56)</f>
        <v>60</v>
      </c>
      <c r="CZ56" s="93" cm="1">
        <f t="array" ref="CZ56">SUMPRODUCT(TRANSPOSE(CZ$4:CZ$20),$G56:$W56)</f>
        <v>60</v>
      </c>
      <c r="DA56" s="93" cm="1">
        <f t="array" ref="DA56">SUMPRODUCT(TRANSPOSE(DA$4:DA$20),$G56:$W56)</f>
        <v>60</v>
      </c>
      <c r="DB56" s="93" cm="1">
        <f t="array" ref="DB56">SUMPRODUCT(TRANSPOSE(DB$4:DB$20),$G56:$W56)</f>
        <v>14</v>
      </c>
      <c r="DC56" s="93" cm="1">
        <f t="array" ref="DC56">SUMPRODUCT(TRANSPOSE(DC$4:DC$20),$G56:$W56)</f>
        <v>0</v>
      </c>
      <c r="DD56" s="93" cm="1">
        <f t="array" ref="DD56">SUMPRODUCT(TRANSPOSE(DD$4:DD$20),$G56:$W56)</f>
        <v>0</v>
      </c>
      <c r="DE56" s="93" cm="1">
        <f t="array" ref="DE56">SUMPRODUCT(TRANSPOSE(DE$4:DE$20),$G56:$W56)</f>
        <v>0</v>
      </c>
      <c r="DF56" s="93" cm="1">
        <f t="array" ref="DF56">SUMPRODUCT(TRANSPOSE(DF$4:DF$20),$G56:$W56)</f>
        <v>0</v>
      </c>
      <c r="DG56" s="93" cm="1">
        <f t="array" ref="DG56">SUMPRODUCT(TRANSPOSE(DG$4:DG$20),$G56:$W56)</f>
        <v>0</v>
      </c>
      <c r="DH56" s="93" cm="1">
        <f t="array" ref="DH56">SUMPRODUCT(TRANSPOSE(DH$4:DH$20),$G56:$W56)</f>
        <v>0</v>
      </c>
      <c r="DI56" s="93" cm="1">
        <f t="array" ref="DI56">SUMPRODUCT(TRANSPOSE(DI$4:DI$20),$G56:$W56)</f>
        <v>0</v>
      </c>
      <c r="DJ56" s="93" cm="1">
        <f t="array" ref="DJ56">SUMPRODUCT(TRANSPOSE(DJ$4:DJ$20),$G56:$W56)</f>
        <v>0</v>
      </c>
      <c r="DK56" s="93" cm="1">
        <f t="array" ref="DK56">SUMPRODUCT(TRANSPOSE(DK$4:DK$20),$G56:$W56)</f>
        <v>0</v>
      </c>
      <c r="DL56" s="93" cm="1">
        <f t="array" ref="DL56">SUMPRODUCT(TRANSPOSE(DL$4:DL$20),$G56:$W56)</f>
        <v>0</v>
      </c>
      <c r="DM56" s="93" cm="1">
        <f t="array" ref="DM56">SUMPRODUCT(TRANSPOSE(DM$4:DM$20),$G56:$W56)</f>
        <v>0</v>
      </c>
      <c r="DN56" s="93" cm="1">
        <f t="array" ref="DN56">SUMPRODUCT(TRANSPOSE(DN$4:DN$20),$G56:$W56)</f>
        <v>0</v>
      </c>
      <c r="DO56" s="93" cm="1">
        <f t="array" ref="DO56">SUMPRODUCT(TRANSPOSE(DO$4:DO$20),$G56:$W56)</f>
        <v>0</v>
      </c>
    </row>
    <row r="57" spans="1:119" x14ac:dyDescent="0.2">
      <c r="A57" s="45">
        <f t="shared" si="26"/>
        <v>36</v>
      </c>
      <c r="B57" s="46" t="s">
        <v>228</v>
      </c>
      <c r="C57" s="45">
        <v>400485716</v>
      </c>
      <c r="D57" s="45" t="s">
        <v>229</v>
      </c>
      <c r="E57" s="45" t="s">
        <v>162</v>
      </c>
      <c r="F57" s="48">
        <v>1</v>
      </c>
      <c r="G57" s="100">
        <v>0</v>
      </c>
      <c r="H57" s="100">
        <v>0</v>
      </c>
      <c r="I57" s="100">
        <v>0</v>
      </c>
      <c r="J57" s="100">
        <v>0</v>
      </c>
      <c r="K57" s="100">
        <v>0</v>
      </c>
      <c r="L57" s="100">
        <v>0</v>
      </c>
      <c r="M57" s="100">
        <v>0</v>
      </c>
      <c r="N57" s="100">
        <v>0</v>
      </c>
      <c r="O57" s="100">
        <v>1</v>
      </c>
      <c r="P57" s="100">
        <v>0</v>
      </c>
      <c r="Q57" s="100">
        <v>0</v>
      </c>
      <c r="R57" s="100">
        <v>0</v>
      </c>
      <c r="S57" s="100">
        <v>1</v>
      </c>
      <c r="T57" s="100">
        <v>0</v>
      </c>
      <c r="U57" s="100">
        <v>0</v>
      </c>
      <c r="V57" s="100">
        <v>0</v>
      </c>
      <c r="W57" s="100">
        <v>0</v>
      </c>
      <c r="X57" s="45" t="s">
        <v>50</v>
      </c>
      <c r="Y57" s="49">
        <v>16.3</v>
      </c>
      <c r="Z57" s="45">
        <v>1067</v>
      </c>
      <c r="AA57" s="45">
        <v>0</v>
      </c>
      <c r="AB57" s="45">
        <v>0</v>
      </c>
      <c r="AC57" s="45">
        <v>0</v>
      </c>
      <c r="AD57" s="45">
        <v>0</v>
      </c>
      <c r="AE57" s="45">
        <v>0</v>
      </c>
      <c r="AF57" s="45">
        <v>0</v>
      </c>
      <c r="AG57" s="45">
        <v>0</v>
      </c>
      <c r="AH57" s="45">
        <v>0</v>
      </c>
      <c r="AI57" s="45">
        <v>0</v>
      </c>
      <c r="AJ57" s="45">
        <v>0</v>
      </c>
      <c r="AK57" s="45">
        <v>0</v>
      </c>
      <c r="AL57" s="45">
        <v>0</v>
      </c>
      <c r="AM57" s="45">
        <v>0</v>
      </c>
      <c r="AN57" s="45">
        <v>0</v>
      </c>
      <c r="AO57" s="45"/>
      <c r="AP57" s="45"/>
      <c r="AQ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5"/>
      <c r="BC57" s="45"/>
      <c r="BD57" s="93"/>
      <c r="BE57" s="93"/>
      <c r="BF57" s="93"/>
      <c r="BG57" s="93"/>
      <c r="BH57" s="93"/>
      <c r="BI57" s="93"/>
      <c r="BJ57" s="93"/>
      <c r="BK57" s="93">
        <f>SUM($Z57:AD57)-SUM($CM57:CQ57)</f>
        <v>989</v>
      </c>
      <c r="BL57" s="93">
        <f>SUM($Z57:AE57)-SUM($CM57:CR57)</f>
        <v>919</v>
      </c>
      <c r="BM57" s="93">
        <f>SUM($Z57:AF57)-SUM($CM57:CS57)</f>
        <v>854</v>
      </c>
      <c r="BN57" s="93">
        <f>SUM($Z57:AG57)-SUM($CM57:CT57)</f>
        <v>794</v>
      </c>
      <c r="BO57" s="93">
        <f>SUM($Z57:AH57)-SUM($CM57:CU57)</f>
        <v>734</v>
      </c>
      <c r="BP57" s="93">
        <f>SUM($Z57:AI57)-SUM($CM57:CV57)</f>
        <v>674</v>
      </c>
      <c r="BQ57" s="93">
        <f>SUM($Z57:AJ57)-SUM($CM57:CW57)</f>
        <v>614</v>
      </c>
      <c r="BR57" s="93">
        <f>SUM($Z57:AK57)-SUM($CM57:CX57)</f>
        <v>554</v>
      </c>
      <c r="BS57" s="93">
        <f>SUM($Z57:AL57)-SUM($CM57:CY57)</f>
        <v>494</v>
      </c>
      <c r="BT57" s="93">
        <f>SUM($Z57:AM57)-SUM($CM57:CZ57)</f>
        <v>434</v>
      </c>
      <c r="BU57" s="93">
        <f>SUM($Z57:AN57)-SUM($CM57:DA57)</f>
        <v>374</v>
      </c>
      <c r="BV57" s="93">
        <f>SUM($Z57:AO57)-SUM($CM57:DB57)</f>
        <v>360</v>
      </c>
      <c r="BW57" s="93">
        <f>SUM($Z57:AP57)-SUM($CM57:DC57)</f>
        <v>360</v>
      </c>
      <c r="BX57" s="93">
        <f>SUM($Z57:AQ57)-SUM($CM57:DD57)</f>
        <v>360</v>
      </c>
      <c r="BY57" s="93">
        <f>SUM($Z57:AR57)-SUM($CM57:DE57)</f>
        <v>360</v>
      </c>
      <c r="BZ57" s="93">
        <f>SUM($Z57:AS57)-SUM($CM57:DF57)</f>
        <v>360</v>
      </c>
      <c r="CA57" s="93">
        <f>SUM($Z57:AT57)-SUM($CM57:DG57)</f>
        <v>360</v>
      </c>
      <c r="CB57" s="93">
        <f>SUM($Z57:AU57)-SUM($CM57:DH57)</f>
        <v>360</v>
      </c>
      <c r="CC57" s="93">
        <f>SUM($Z57:AV57)-SUM($CM57:DI57)</f>
        <v>360</v>
      </c>
      <c r="CD57" s="93">
        <f>SUM($Z57:AW57)-SUM($CM57:DJ57)</f>
        <v>360</v>
      </c>
      <c r="CE57" s="93">
        <f>SUM($Z57:AX57)-SUM($CM57:DK57)</f>
        <v>360</v>
      </c>
      <c r="CF57" s="93">
        <f>SUM($Z57:AY57)-SUM($CM57:DL57)</f>
        <v>360</v>
      </c>
      <c r="CG57" s="93">
        <f>SUM($Z57:AZ57)-SUM($CM57:DM57)</f>
        <v>360</v>
      </c>
      <c r="CH57" s="93">
        <f>SUM($Z57:BA57)-SUM($CM57:DN57)</f>
        <v>360</v>
      </c>
      <c r="CI57" s="93">
        <f>SUM($Z57:BB57)-SUM($CM57:DO57)</f>
        <v>360</v>
      </c>
      <c r="CJ57" s="93"/>
      <c r="CK57" s="93"/>
      <c r="CL57" s="93"/>
      <c r="CM57" s="93"/>
      <c r="CN57" s="93" cm="1">
        <f t="array" ref="CN57">SUMPRODUCT(TRANSPOSE(CN$4:CN$20),$G57:$W57)</f>
        <v>0</v>
      </c>
      <c r="CO57" s="93" cm="1">
        <f t="array" ref="CO57">SUMPRODUCT(TRANSPOSE(CO$4:CO$20),$G57:$W57)</f>
        <v>0</v>
      </c>
      <c r="CP57" s="93" cm="1">
        <f t="array" ref="CP57">SUMPRODUCT(TRANSPOSE(CP$4:CP$20),$G57:$W57)</f>
        <v>0</v>
      </c>
      <c r="CQ57" s="93" cm="1">
        <f t="array" ref="CQ57">SUMPRODUCT(TRANSPOSE(CQ$4:CQ$20),$G57:$W57)</f>
        <v>78</v>
      </c>
      <c r="CR57" s="93" cm="1">
        <f t="array" ref="CR57">SUMPRODUCT(TRANSPOSE(CR$4:CR$20),$G57:$W57)</f>
        <v>70</v>
      </c>
      <c r="CS57" s="93" cm="1">
        <f t="array" ref="CS57">SUMPRODUCT(TRANSPOSE(CS$4:CS$20),$G57:$W57)</f>
        <v>65</v>
      </c>
      <c r="CT57" s="93" cm="1">
        <f t="array" ref="CT57">SUMPRODUCT(TRANSPOSE(CT$4:CT$20),$G57:$W57)</f>
        <v>60</v>
      </c>
      <c r="CU57" s="93" cm="1">
        <f t="array" ref="CU57">SUMPRODUCT(TRANSPOSE(CU$4:CU$20),$G57:$W57)</f>
        <v>60</v>
      </c>
      <c r="CV57" s="93" cm="1">
        <f t="array" ref="CV57">SUMPRODUCT(TRANSPOSE(CV$4:CV$20),$G57:$W57)</f>
        <v>60</v>
      </c>
      <c r="CW57" s="93" cm="1">
        <f t="array" ref="CW57">SUMPRODUCT(TRANSPOSE(CW$4:CW$20),$G57:$W57)</f>
        <v>60</v>
      </c>
      <c r="CX57" s="93" cm="1">
        <f t="array" ref="CX57">SUMPRODUCT(TRANSPOSE(CX$4:CX$20),$G57:$W57)</f>
        <v>60</v>
      </c>
      <c r="CY57" s="93" cm="1">
        <f t="array" ref="CY57">SUMPRODUCT(TRANSPOSE(CY$4:CY$20),$G57:$W57)</f>
        <v>60</v>
      </c>
      <c r="CZ57" s="93" cm="1">
        <f t="array" ref="CZ57">SUMPRODUCT(TRANSPOSE(CZ$4:CZ$20),$G57:$W57)</f>
        <v>60</v>
      </c>
      <c r="DA57" s="93" cm="1">
        <f t="array" ref="DA57">SUMPRODUCT(TRANSPOSE(DA$4:DA$20),$G57:$W57)</f>
        <v>60</v>
      </c>
      <c r="DB57" s="93" cm="1">
        <f t="array" ref="DB57">SUMPRODUCT(TRANSPOSE(DB$4:DB$20),$G57:$W57)</f>
        <v>14</v>
      </c>
      <c r="DC57" s="93" cm="1">
        <f t="array" ref="DC57">SUMPRODUCT(TRANSPOSE(DC$4:DC$20),$G57:$W57)</f>
        <v>0</v>
      </c>
      <c r="DD57" s="93" cm="1">
        <f t="array" ref="DD57">SUMPRODUCT(TRANSPOSE(DD$4:DD$20),$G57:$W57)</f>
        <v>0</v>
      </c>
      <c r="DE57" s="93" cm="1">
        <f t="array" ref="DE57">SUMPRODUCT(TRANSPOSE(DE$4:DE$20),$G57:$W57)</f>
        <v>0</v>
      </c>
      <c r="DF57" s="93" cm="1">
        <f t="array" ref="DF57">SUMPRODUCT(TRANSPOSE(DF$4:DF$20),$G57:$W57)</f>
        <v>0</v>
      </c>
      <c r="DG57" s="93" cm="1">
        <f t="array" ref="DG57">SUMPRODUCT(TRANSPOSE(DG$4:DG$20),$G57:$W57)</f>
        <v>0</v>
      </c>
      <c r="DH57" s="93" cm="1">
        <f t="array" ref="DH57">SUMPRODUCT(TRANSPOSE(DH$4:DH$20),$G57:$W57)</f>
        <v>0</v>
      </c>
      <c r="DI57" s="93" cm="1">
        <f t="array" ref="DI57">SUMPRODUCT(TRANSPOSE(DI$4:DI$20),$G57:$W57)</f>
        <v>0</v>
      </c>
      <c r="DJ57" s="93" cm="1">
        <f t="array" ref="DJ57">SUMPRODUCT(TRANSPOSE(DJ$4:DJ$20),$G57:$W57)</f>
        <v>0</v>
      </c>
      <c r="DK57" s="93" cm="1">
        <f t="array" ref="DK57">SUMPRODUCT(TRANSPOSE(DK$4:DK$20),$G57:$W57)</f>
        <v>0</v>
      </c>
      <c r="DL57" s="93" cm="1">
        <f t="array" ref="DL57">SUMPRODUCT(TRANSPOSE(DL$4:DL$20),$G57:$W57)</f>
        <v>0</v>
      </c>
      <c r="DM57" s="93" cm="1">
        <f t="array" ref="DM57">SUMPRODUCT(TRANSPOSE(DM$4:DM$20),$G57:$W57)</f>
        <v>0</v>
      </c>
      <c r="DN57" s="93" cm="1">
        <f t="array" ref="DN57">SUMPRODUCT(TRANSPOSE(DN$4:DN$20),$G57:$W57)</f>
        <v>0</v>
      </c>
      <c r="DO57" s="93" cm="1">
        <f t="array" ref="DO57">SUMPRODUCT(TRANSPOSE(DO$4:DO$20),$G57:$W57)</f>
        <v>0</v>
      </c>
    </row>
    <row r="58" spans="1:119" x14ac:dyDescent="0.2">
      <c r="A58" s="45">
        <f t="shared" si="26"/>
        <v>37</v>
      </c>
      <c r="B58" s="46" t="s">
        <v>230</v>
      </c>
      <c r="C58" s="45">
        <v>401661121</v>
      </c>
      <c r="D58" s="45" t="s">
        <v>231</v>
      </c>
      <c r="E58" s="45" t="s">
        <v>162</v>
      </c>
      <c r="F58" s="48">
        <v>1</v>
      </c>
      <c r="G58" s="100">
        <v>0</v>
      </c>
      <c r="H58" s="100">
        <v>0</v>
      </c>
      <c r="I58" s="100">
        <v>0</v>
      </c>
      <c r="J58" s="100">
        <v>0</v>
      </c>
      <c r="K58" s="100">
        <v>0</v>
      </c>
      <c r="L58" s="100">
        <v>0</v>
      </c>
      <c r="M58" s="100">
        <v>0</v>
      </c>
      <c r="N58" s="100">
        <v>0</v>
      </c>
      <c r="O58" s="100">
        <v>0</v>
      </c>
      <c r="P58" s="100">
        <v>0</v>
      </c>
      <c r="Q58" s="100">
        <v>0</v>
      </c>
      <c r="R58" s="100">
        <v>1</v>
      </c>
      <c r="S58" s="100">
        <v>0</v>
      </c>
      <c r="T58" s="100">
        <v>0</v>
      </c>
      <c r="U58" s="100">
        <v>0</v>
      </c>
      <c r="V58" s="100">
        <v>1</v>
      </c>
      <c r="W58" s="100">
        <v>0</v>
      </c>
      <c r="X58" s="45" t="s">
        <v>232</v>
      </c>
      <c r="Y58" s="53">
        <v>70</v>
      </c>
      <c r="Z58" s="45">
        <v>1065</v>
      </c>
      <c r="AA58" s="45">
        <v>0</v>
      </c>
      <c r="AB58" s="45">
        <v>0</v>
      </c>
      <c r="AC58" s="45">
        <v>0</v>
      </c>
      <c r="AD58" s="45">
        <v>0</v>
      </c>
      <c r="AE58" s="45">
        <v>0</v>
      </c>
      <c r="AF58" s="45">
        <v>0</v>
      </c>
      <c r="AG58" s="45">
        <v>0</v>
      </c>
      <c r="AH58" s="45">
        <v>0</v>
      </c>
      <c r="AI58" s="45">
        <v>0</v>
      </c>
      <c r="AJ58" s="45">
        <v>0</v>
      </c>
      <c r="AK58" s="45">
        <v>0</v>
      </c>
      <c r="AL58" s="45">
        <v>0</v>
      </c>
      <c r="AM58" s="45">
        <v>0</v>
      </c>
      <c r="AN58" s="45">
        <v>0</v>
      </c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93"/>
      <c r="BE58" s="93"/>
      <c r="BF58" s="93"/>
      <c r="BG58" s="93"/>
      <c r="BH58" s="93"/>
      <c r="BI58" s="93"/>
      <c r="BJ58" s="93"/>
      <c r="BK58" s="93">
        <f>SUM($Z58:AD58)-SUM($CM58:CQ58)</f>
        <v>995</v>
      </c>
      <c r="BL58" s="93">
        <f>SUM($Z58:AE58)-SUM($CM58:CR58)</f>
        <v>925</v>
      </c>
      <c r="BM58" s="93">
        <f>SUM($Z58:AF58)-SUM($CM58:CS58)</f>
        <v>855</v>
      </c>
      <c r="BN58" s="93">
        <f>SUM($Z58:AG58)-SUM($CM58:CT58)</f>
        <v>785</v>
      </c>
      <c r="BO58" s="93">
        <f>SUM($Z58:AH58)-SUM($CM58:CU58)</f>
        <v>715</v>
      </c>
      <c r="BP58" s="93">
        <f>SUM($Z58:AI58)-SUM($CM58:CV58)</f>
        <v>645</v>
      </c>
      <c r="BQ58" s="93">
        <f>SUM($Z58:AJ58)-SUM($CM58:CW58)</f>
        <v>575</v>
      </c>
      <c r="BR58" s="93">
        <f>SUM($Z58:AK58)-SUM($CM58:CX58)</f>
        <v>505</v>
      </c>
      <c r="BS58" s="93">
        <f>SUM($Z58:AL58)-SUM($CM58:CY58)</f>
        <v>435</v>
      </c>
      <c r="BT58" s="93">
        <f>SUM($Z58:AM58)-SUM($CM58:CZ58)</f>
        <v>400</v>
      </c>
      <c r="BU58" s="93">
        <f>SUM($Z58:AN58)-SUM($CM58:DA58)</f>
        <v>400</v>
      </c>
      <c r="BV58" s="93">
        <f>SUM($Z58:AO58)-SUM($CM58:DB58)</f>
        <v>400</v>
      </c>
      <c r="BW58" s="93">
        <f>SUM($Z58:AP58)-SUM($CM58:DC58)</f>
        <v>400</v>
      </c>
      <c r="BX58" s="93">
        <f>SUM($Z58:AQ58)-SUM($CM58:DD58)</f>
        <v>400</v>
      </c>
      <c r="BY58" s="93">
        <f>SUM($Z58:AR58)-SUM($CM58:DE58)</f>
        <v>400</v>
      </c>
      <c r="BZ58" s="93">
        <f>SUM($Z58:AS58)-SUM($CM58:DF58)</f>
        <v>400</v>
      </c>
      <c r="CA58" s="93">
        <f>SUM($Z58:AT58)-SUM($CM58:DG58)</f>
        <v>400</v>
      </c>
      <c r="CB58" s="93">
        <f>SUM($Z58:AU58)-SUM($CM58:DH58)</f>
        <v>400</v>
      </c>
      <c r="CC58" s="93">
        <f>SUM($Z58:AV58)-SUM($CM58:DI58)</f>
        <v>400</v>
      </c>
      <c r="CD58" s="93">
        <f>SUM($Z58:AW58)-SUM($CM58:DJ58)</f>
        <v>400</v>
      </c>
      <c r="CE58" s="93">
        <f>SUM($Z58:AX58)-SUM($CM58:DK58)</f>
        <v>400</v>
      </c>
      <c r="CF58" s="93">
        <f>SUM($Z58:AY58)-SUM($CM58:DL58)</f>
        <v>400</v>
      </c>
      <c r="CG58" s="93">
        <f>SUM($Z58:AZ58)-SUM($CM58:DM58)</f>
        <v>400</v>
      </c>
      <c r="CH58" s="93">
        <f>SUM($Z58:BA58)-SUM($CM58:DN58)</f>
        <v>400</v>
      </c>
      <c r="CI58" s="93">
        <f>SUM($Z58:BB58)-SUM($CM58:DO58)</f>
        <v>400</v>
      </c>
      <c r="CJ58" s="93"/>
      <c r="CK58" s="93"/>
      <c r="CL58" s="93"/>
      <c r="CM58" s="93"/>
      <c r="CN58" s="93" cm="1">
        <f t="array" ref="CN58">SUMPRODUCT(TRANSPOSE(CN$4:CN$20),$G58:$W58)</f>
        <v>0</v>
      </c>
      <c r="CO58" s="93" cm="1">
        <f t="array" ref="CO58">SUMPRODUCT(TRANSPOSE(CO$4:CO$20),$G58:$W58)</f>
        <v>0</v>
      </c>
      <c r="CP58" s="93" cm="1">
        <f t="array" ref="CP58">SUMPRODUCT(TRANSPOSE(CP$4:CP$20),$G58:$W58)</f>
        <v>0</v>
      </c>
      <c r="CQ58" s="93" cm="1">
        <f t="array" ref="CQ58">SUMPRODUCT(TRANSPOSE(CQ$4:CQ$20),$G58:$W58)</f>
        <v>70</v>
      </c>
      <c r="CR58" s="93" cm="1">
        <f t="array" ref="CR58">SUMPRODUCT(TRANSPOSE(CR$4:CR$20),$G58:$W58)</f>
        <v>70</v>
      </c>
      <c r="CS58" s="93" cm="1">
        <f t="array" ref="CS58">SUMPRODUCT(TRANSPOSE(CS$4:CS$20),$G58:$W58)</f>
        <v>70</v>
      </c>
      <c r="CT58" s="93" cm="1">
        <f t="array" ref="CT58">SUMPRODUCT(TRANSPOSE(CT$4:CT$20),$G58:$W58)</f>
        <v>70</v>
      </c>
      <c r="CU58" s="93" cm="1">
        <f t="array" ref="CU58">SUMPRODUCT(TRANSPOSE(CU$4:CU$20),$G58:$W58)</f>
        <v>70</v>
      </c>
      <c r="CV58" s="93" cm="1">
        <f t="array" ref="CV58">SUMPRODUCT(TRANSPOSE(CV$4:CV$20),$G58:$W58)</f>
        <v>70</v>
      </c>
      <c r="CW58" s="93" cm="1">
        <f t="array" ref="CW58">SUMPRODUCT(TRANSPOSE(CW$4:CW$20),$G58:$W58)</f>
        <v>70</v>
      </c>
      <c r="CX58" s="93" cm="1">
        <f t="array" ref="CX58">SUMPRODUCT(TRANSPOSE(CX$4:CX$20),$G58:$W58)</f>
        <v>70</v>
      </c>
      <c r="CY58" s="93" cm="1">
        <f t="array" ref="CY58">SUMPRODUCT(TRANSPOSE(CY$4:CY$20),$G58:$W58)</f>
        <v>70</v>
      </c>
      <c r="CZ58" s="93" cm="1">
        <f t="array" ref="CZ58">SUMPRODUCT(TRANSPOSE(CZ$4:CZ$20),$G58:$W58)</f>
        <v>35</v>
      </c>
      <c r="DA58" s="93" cm="1">
        <f t="array" ref="DA58">SUMPRODUCT(TRANSPOSE(DA$4:DA$20),$G58:$W58)</f>
        <v>0</v>
      </c>
      <c r="DB58" s="93" cm="1">
        <f t="array" ref="DB58">SUMPRODUCT(TRANSPOSE(DB$4:DB$20),$G58:$W58)</f>
        <v>0</v>
      </c>
      <c r="DC58" s="93" cm="1">
        <f t="array" ref="DC58">SUMPRODUCT(TRANSPOSE(DC$4:DC$20),$G58:$W58)</f>
        <v>0</v>
      </c>
      <c r="DD58" s="93" cm="1">
        <f t="array" ref="DD58">SUMPRODUCT(TRANSPOSE(DD$4:DD$20),$G58:$W58)</f>
        <v>0</v>
      </c>
      <c r="DE58" s="93" cm="1">
        <f t="array" ref="DE58">SUMPRODUCT(TRANSPOSE(DE$4:DE$20),$G58:$W58)</f>
        <v>0</v>
      </c>
      <c r="DF58" s="93" cm="1">
        <f t="array" ref="DF58">SUMPRODUCT(TRANSPOSE(DF$4:DF$20),$G58:$W58)</f>
        <v>0</v>
      </c>
      <c r="DG58" s="93" cm="1">
        <f t="array" ref="DG58">SUMPRODUCT(TRANSPOSE(DG$4:DG$20),$G58:$W58)</f>
        <v>0</v>
      </c>
      <c r="DH58" s="93" cm="1">
        <f t="array" ref="DH58">SUMPRODUCT(TRANSPOSE(DH$4:DH$20),$G58:$W58)</f>
        <v>0</v>
      </c>
      <c r="DI58" s="93" cm="1">
        <f t="array" ref="DI58">SUMPRODUCT(TRANSPOSE(DI$4:DI$20),$G58:$W58)</f>
        <v>0</v>
      </c>
      <c r="DJ58" s="93" cm="1">
        <f t="array" ref="DJ58">SUMPRODUCT(TRANSPOSE(DJ$4:DJ$20),$G58:$W58)</f>
        <v>0</v>
      </c>
      <c r="DK58" s="93" cm="1">
        <f t="array" ref="DK58">SUMPRODUCT(TRANSPOSE(DK$4:DK$20),$G58:$W58)</f>
        <v>0</v>
      </c>
      <c r="DL58" s="93" cm="1">
        <f t="array" ref="DL58">SUMPRODUCT(TRANSPOSE(DL$4:DL$20),$G58:$W58)</f>
        <v>0</v>
      </c>
      <c r="DM58" s="93" cm="1">
        <f t="array" ref="DM58">SUMPRODUCT(TRANSPOSE(DM$4:DM$20),$G58:$W58)</f>
        <v>0</v>
      </c>
      <c r="DN58" s="93" cm="1">
        <f t="array" ref="DN58">SUMPRODUCT(TRANSPOSE(DN$4:DN$20),$G58:$W58)</f>
        <v>0</v>
      </c>
      <c r="DO58" s="93" cm="1">
        <f t="array" ref="DO58">SUMPRODUCT(TRANSPOSE(DO$4:DO$20),$G58:$W58)</f>
        <v>0</v>
      </c>
    </row>
    <row r="59" spans="1:119" x14ac:dyDescent="0.2">
      <c r="A59" s="45">
        <f t="shared" si="26"/>
        <v>38</v>
      </c>
      <c r="B59" s="46" t="s">
        <v>233</v>
      </c>
      <c r="C59" s="45">
        <v>401513194</v>
      </c>
      <c r="D59" s="45" t="s">
        <v>234</v>
      </c>
      <c r="E59" s="45" t="s">
        <v>162</v>
      </c>
      <c r="F59" s="48">
        <v>1</v>
      </c>
      <c r="G59" s="100">
        <v>0</v>
      </c>
      <c r="H59" s="100">
        <v>0</v>
      </c>
      <c r="I59" s="100">
        <v>0</v>
      </c>
      <c r="J59" s="100">
        <v>0</v>
      </c>
      <c r="K59" s="100">
        <v>0</v>
      </c>
      <c r="L59" s="100">
        <v>0</v>
      </c>
      <c r="M59" s="100">
        <v>0</v>
      </c>
      <c r="N59" s="100">
        <v>0</v>
      </c>
      <c r="O59" s="100">
        <v>0</v>
      </c>
      <c r="P59" s="100">
        <v>0</v>
      </c>
      <c r="Q59" s="100">
        <v>35</v>
      </c>
      <c r="R59" s="100">
        <v>0</v>
      </c>
      <c r="S59" s="100">
        <v>0</v>
      </c>
      <c r="T59" s="100">
        <v>0</v>
      </c>
      <c r="U59" s="100">
        <v>35</v>
      </c>
      <c r="V59" s="100">
        <v>0</v>
      </c>
      <c r="W59" s="100">
        <v>0</v>
      </c>
      <c r="X59" s="45" t="s">
        <v>52</v>
      </c>
      <c r="Y59" s="49">
        <v>3.85</v>
      </c>
      <c r="Z59" s="45">
        <v>30000</v>
      </c>
      <c r="AA59" s="45">
        <v>0</v>
      </c>
      <c r="AB59" s="45">
        <v>0</v>
      </c>
      <c r="AC59" s="45">
        <v>0</v>
      </c>
      <c r="AD59" s="45">
        <v>0</v>
      </c>
      <c r="AE59" s="45">
        <v>0</v>
      </c>
      <c r="AF59" s="45">
        <v>0</v>
      </c>
      <c r="AG59" s="45">
        <v>0</v>
      </c>
      <c r="AH59" s="45">
        <v>0</v>
      </c>
      <c r="AI59" s="45">
        <v>0</v>
      </c>
      <c r="AJ59" s="45">
        <v>0</v>
      </c>
      <c r="AK59" s="45">
        <v>0</v>
      </c>
      <c r="AL59" s="45">
        <v>0</v>
      </c>
      <c r="AM59" s="45">
        <v>0</v>
      </c>
      <c r="AN59" s="45">
        <v>0</v>
      </c>
      <c r="AO59" s="45"/>
      <c r="AP59" s="45"/>
      <c r="AQ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5"/>
      <c r="BC59" s="45"/>
      <c r="BD59" s="93"/>
      <c r="BE59" s="93"/>
      <c r="BF59" s="93"/>
      <c r="BG59" s="93"/>
      <c r="BH59" s="93"/>
      <c r="BI59" s="93"/>
      <c r="BJ59" s="93"/>
      <c r="BK59" s="93">
        <f>SUM($Z59:AD59)-SUM($CM59:CQ59)</f>
        <v>27270</v>
      </c>
      <c r="BL59" s="93">
        <f>SUM($Z59:AE59)-SUM($CM59:CR59)</f>
        <v>24820</v>
      </c>
      <c r="BM59" s="93">
        <f>SUM($Z59:AF59)-SUM($CM59:CS59)</f>
        <v>22545</v>
      </c>
      <c r="BN59" s="93">
        <f>SUM($Z59:AG59)-SUM($CM59:CT59)</f>
        <v>20445</v>
      </c>
      <c r="BO59" s="93">
        <f>SUM($Z59:AH59)-SUM($CM59:CU59)</f>
        <v>18345</v>
      </c>
      <c r="BP59" s="93">
        <f>SUM($Z59:AI59)-SUM($CM59:CV59)</f>
        <v>16245</v>
      </c>
      <c r="BQ59" s="93">
        <f>SUM($Z59:AJ59)-SUM($CM59:CW59)</f>
        <v>14145</v>
      </c>
      <c r="BR59" s="93">
        <f>SUM($Z59:AK59)-SUM($CM59:CX59)</f>
        <v>12045</v>
      </c>
      <c r="BS59" s="93">
        <f>SUM($Z59:AL59)-SUM($CM59:CY59)</f>
        <v>9945</v>
      </c>
      <c r="BT59" s="93">
        <f>SUM($Z59:AM59)-SUM($CM59:CZ59)</f>
        <v>7845</v>
      </c>
      <c r="BU59" s="93">
        <f>SUM($Z59:AN59)-SUM($CM59:DA59)</f>
        <v>5745</v>
      </c>
      <c r="BV59" s="93">
        <f>SUM($Z59:AO59)-SUM($CM59:DB59)</f>
        <v>5255</v>
      </c>
      <c r="BW59" s="93">
        <f>SUM($Z59:AP59)-SUM($CM59:DC59)</f>
        <v>5255</v>
      </c>
      <c r="BX59" s="93">
        <f>SUM($Z59:AQ59)-SUM($CM59:DD59)</f>
        <v>5255</v>
      </c>
      <c r="BY59" s="93">
        <f>SUM($Z59:AR59)-SUM($CM59:DE59)</f>
        <v>5255</v>
      </c>
      <c r="BZ59" s="93">
        <f>SUM($Z59:AS59)-SUM($CM59:DF59)</f>
        <v>5255</v>
      </c>
      <c r="CA59" s="93">
        <f>SUM($Z59:AT59)-SUM($CM59:DG59)</f>
        <v>5255</v>
      </c>
      <c r="CB59" s="93">
        <f>SUM($Z59:AU59)-SUM($CM59:DH59)</f>
        <v>5255</v>
      </c>
      <c r="CC59" s="93">
        <f>SUM($Z59:AV59)-SUM($CM59:DI59)</f>
        <v>5255</v>
      </c>
      <c r="CD59" s="93">
        <f>SUM($Z59:AW59)-SUM($CM59:DJ59)</f>
        <v>5255</v>
      </c>
      <c r="CE59" s="93">
        <f>SUM($Z59:AX59)-SUM($CM59:DK59)</f>
        <v>5255</v>
      </c>
      <c r="CF59" s="93">
        <f>SUM($Z59:AY59)-SUM($CM59:DL59)</f>
        <v>5255</v>
      </c>
      <c r="CG59" s="93">
        <f>SUM($Z59:AZ59)-SUM($CM59:DM59)</f>
        <v>5255</v>
      </c>
      <c r="CH59" s="93">
        <f>SUM($Z59:BA59)-SUM($CM59:DN59)</f>
        <v>5255</v>
      </c>
      <c r="CI59" s="93">
        <f>SUM($Z59:BB59)-SUM($CM59:DO59)</f>
        <v>5255</v>
      </c>
      <c r="CJ59" s="93"/>
      <c r="CK59" s="93"/>
      <c r="CL59" s="93"/>
      <c r="CM59" s="93"/>
      <c r="CN59" s="93" cm="1">
        <f t="array" ref="CN59">SUMPRODUCT(TRANSPOSE(CN$4:CN$20),$G59:$W59)</f>
        <v>0</v>
      </c>
      <c r="CO59" s="93" cm="1">
        <f t="array" ref="CO59">SUMPRODUCT(TRANSPOSE(CO$4:CO$20),$G59:$W59)</f>
        <v>0</v>
      </c>
      <c r="CP59" s="93" cm="1">
        <f t="array" ref="CP59">SUMPRODUCT(TRANSPOSE(CP$4:CP$20),$G59:$W59)</f>
        <v>0</v>
      </c>
      <c r="CQ59" s="93" cm="1">
        <f t="array" ref="CQ59">SUMPRODUCT(TRANSPOSE(CQ$4:CQ$20),$G59:$W59)</f>
        <v>2730</v>
      </c>
      <c r="CR59" s="93" cm="1">
        <f t="array" ref="CR59">SUMPRODUCT(TRANSPOSE(CR$4:CR$20),$G59:$W59)</f>
        <v>2450</v>
      </c>
      <c r="CS59" s="93" cm="1">
        <f t="array" ref="CS59">SUMPRODUCT(TRANSPOSE(CS$4:CS$20),$G59:$W59)</f>
        <v>2275</v>
      </c>
      <c r="CT59" s="93" cm="1">
        <f t="array" ref="CT59">SUMPRODUCT(TRANSPOSE(CT$4:CT$20),$G59:$W59)</f>
        <v>2100</v>
      </c>
      <c r="CU59" s="93" cm="1">
        <f t="array" ref="CU59">SUMPRODUCT(TRANSPOSE(CU$4:CU$20),$G59:$W59)</f>
        <v>2100</v>
      </c>
      <c r="CV59" s="93" cm="1">
        <f t="array" ref="CV59">SUMPRODUCT(TRANSPOSE(CV$4:CV$20),$G59:$W59)</f>
        <v>2100</v>
      </c>
      <c r="CW59" s="93" cm="1">
        <f t="array" ref="CW59">SUMPRODUCT(TRANSPOSE(CW$4:CW$20),$G59:$W59)</f>
        <v>2100</v>
      </c>
      <c r="CX59" s="93" cm="1">
        <f t="array" ref="CX59">SUMPRODUCT(TRANSPOSE(CX$4:CX$20),$G59:$W59)</f>
        <v>2100</v>
      </c>
      <c r="CY59" s="93" cm="1">
        <f t="array" ref="CY59">SUMPRODUCT(TRANSPOSE(CY$4:CY$20),$G59:$W59)</f>
        <v>2100</v>
      </c>
      <c r="CZ59" s="93" cm="1">
        <f t="array" ref="CZ59">SUMPRODUCT(TRANSPOSE(CZ$4:CZ$20),$G59:$W59)</f>
        <v>2100</v>
      </c>
      <c r="DA59" s="93" cm="1">
        <f t="array" ref="DA59">SUMPRODUCT(TRANSPOSE(DA$4:DA$20),$G59:$W59)</f>
        <v>2100</v>
      </c>
      <c r="DB59" s="93" cm="1">
        <f t="array" ref="DB59">SUMPRODUCT(TRANSPOSE(DB$4:DB$20),$G59:$W59)</f>
        <v>490</v>
      </c>
      <c r="DC59" s="93" cm="1">
        <f t="array" ref="DC59">SUMPRODUCT(TRANSPOSE(DC$4:DC$20),$G59:$W59)</f>
        <v>0</v>
      </c>
      <c r="DD59" s="93" cm="1">
        <f t="array" ref="DD59">SUMPRODUCT(TRANSPOSE(DD$4:DD$20),$G59:$W59)</f>
        <v>0</v>
      </c>
      <c r="DE59" s="93" cm="1">
        <f t="array" ref="DE59">SUMPRODUCT(TRANSPOSE(DE$4:DE$20),$G59:$W59)</f>
        <v>0</v>
      </c>
      <c r="DF59" s="93" cm="1">
        <f t="array" ref="DF59">SUMPRODUCT(TRANSPOSE(DF$4:DF$20),$G59:$W59)</f>
        <v>0</v>
      </c>
      <c r="DG59" s="93" cm="1">
        <f t="array" ref="DG59">SUMPRODUCT(TRANSPOSE(DG$4:DG$20),$G59:$W59)</f>
        <v>0</v>
      </c>
      <c r="DH59" s="93" cm="1">
        <f t="array" ref="DH59">SUMPRODUCT(TRANSPOSE(DH$4:DH$20),$G59:$W59)</f>
        <v>0</v>
      </c>
      <c r="DI59" s="93" cm="1">
        <f t="array" ref="DI59">SUMPRODUCT(TRANSPOSE(DI$4:DI$20),$G59:$W59)</f>
        <v>0</v>
      </c>
      <c r="DJ59" s="93" cm="1">
        <f t="array" ref="DJ59">SUMPRODUCT(TRANSPOSE(DJ$4:DJ$20),$G59:$W59)</f>
        <v>0</v>
      </c>
      <c r="DK59" s="93" cm="1">
        <f t="array" ref="DK59">SUMPRODUCT(TRANSPOSE(DK$4:DK$20),$G59:$W59)</f>
        <v>0</v>
      </c>
      <c r="DL59" s="93" cm="1">
        <f t="array" ref="DL59">SUMPRODUCT(TRANSPOSE(DL$4:DL$20),$G59:$W59)</f>
        <v>0</v>
      </c>
      <c r="DM59" s="93" cm="1">
        <f t="array" ref="DM59">SUMPRODUCT(TRANSPOSE(DM$4:DM$20),$G59:$W59)</f>
        <v>0</v>
      </c>
      <c r="DN59" s="93" cm="1">
        <f t="array" ref="DN59">SUMPRODUCT(TRANSPOSE(DN$4:DN$20),$G59:$W59)</f>
        <v>0</v>
      </c>
      <c r="DO59" s="93" cm="1">
        <f t="array" ref="DO59">SUMPRODUCT(TRANSPOSE(DO$4:DO$20),$G59:$W59)</f>
        <v>0</v>
      </c>
    </row>
    <row r="60" spans="1:119" x14ac:dyDescent="0.2">
      <c r="A60" s="45">
        <f t="shared" si="26"/>
        <v>39</v>
      </c>
      <c r="B60" s="46" t="s">
        <v>235</v>
      </c>
      <c r="C60" s="45">
        <v>400606117</v>
      </c>
      <c r="D60" s="45" t="s">
        <v>236</v>
      </c>
      <c r="E60" s="45" t="s">
        <v>162</v>
      </c>
      <c r="F60" s="48">
        <v>1</v>
      </c>
      <c r="G60" s="100">
        <v>0</v>
      </c>
      <c r="H60" s="100">
        <v>0</v>
      </c>
      <c r="I60" s="100">
        <v>0</v>
      </c>
      <c r="J60" s="100">
        <v>0</v>
      </c>
      <c r="K60" s="100">
        <v>0</v>
      </c>
      <c r="L60" s="100">
        <v>0</v>
      </c>
      <c r="M60" s="100">
        <v>0</v>
      </c>
      <c r="N60" s="100">
        <v>0</v>
      </c>
      <c r="O60" s="100">
        <v>1</v>
      </c>
      <c r="P60" s="100">
        <v>0</v>
      </c>
      <c r="Q60" s="100">
        <v>0</v>
      </c>
      <c r="R60" s="100">
        <v>0</v>
      </c>
      <c r="S60" s="100">
        <v>1</v>
      </c>
      <c r="T60" s="100">
        <v>0</v>
      </c>
      <c r="U60" s="100">
        <v>0</v>
      </c>
      <c r="V60" s="100">
        <v>0</v>
      </c>
      <c r="W60" s="100">
        <v>0</v>
      </c>
      <c r="X60" s="45" t="s">
        <v>237</v>
      </c>
      <c r="Y60" s="53">
        <v>305</v>
      </c>
      <c r="Z60" s="45">
        <v>1067</v>
      </c>
      <c r="AA60" s="45">
        <v>0</v>
      </c>
      <c r="AB60" s="45">
        <v>0</v>
      </c>
      <c r="AC60" s="45">
        <v>0</v>
      </c>
      <c r="AD60" s="45">
        <v>0</v>
      </c>
      <c r="AE60" s="45">
        <v>0</v>
      </c>
      <c r="AF60" s="45">
        <v>0</v>
      </c>
      <c r="AG60" s="45">
        <v>0</v>
      </c>
      <c r="AH60" s="45">
        <v>0</v>
      </c>
      <c r="AI60" s="45">
        <v>0</v>
      </c>
      <c r="AJ60" s="45">
        <v>0</v>
      </c>
      <c r="AK60" s="45">
        <v>0</v>
      </c>
      <c r="AL60" s="45">
        <v>0</v>
      </c>
      <c r="AM60" s="45">
        <v>0</v>
      </c>
      <c r="AN60" s="45">
        <v>0</v>
      </c>
      <c r="AO60" s="45"/>
      <c r="AP60" s="45"/>
      <c r="AQ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5"/>
      <c r="BC60" s="45"/>
      <c r="BD60" s="93"/>
      <c r="BE60" s="93"/>
      <c r="BF60" s="93"/>
      <c r="BG60" s="93"/>
      <c r="BH60" s="93"/>
      <c r="BI60" s="93"/>
      <c r="BJ60" s="93"/>
      <c r="BK60" s="93">
        <f>SUM($Z60:AD60)-SUM($CM60:CQ60)</f>
        <v>989</v>
      </c>
      <c r="BL60" s="93">
        <f>SUM($Z60:AE60)-SUM($CM60:CR60)</f>
        <v>919</v>
      </c>
      <c r="BM60" s="93">
        <f>SUM($Z60:AF60)-SUM($CM60:CS60)</f>
        <v>854</v>
      </c>
      <c r="BN60" s="93">
        <f>SUM($Z60:AG60)-SUM($CM60:CT60)</f>
        <v>794</v>
      </c>
      <c r="BO60" s="93">
        <f>SUM($Z60:AH60)-SUM($CM60:CU60)</f>
        <v>734</v>
      </c>
      <c r="BP60" s="93">
        <f>SUM($Z60:AI60)-SUM($CM60:CV60)</f>
        <v>674</v>
      </c>
      <c r="BQ60" s="93">
        <f>SUM($Z60:AJ60)-SUM($CM60:CW60)</f>
        <v>614</v>
      </c>
      <c r="BR60" s="93">
        <f>SUM($Z60:AK60)-SUM($CM60:CX60)</f>
        <v>554</v>
      </c>
      <c r="BS60" s="93">
        <f>SUM($Z60:AL60)-SUM($CM60:CY60)</f>
        <v>494</v>
      </c>
      <c r="BT60" s="93">
        <f>SUM($Z60:AM60)-SUM($CM60:CZ60)</f>
        <v>434</v>
      </c>
      <c r="BU60" s="93">
        <f>SUM($Z60:AN60)-SUM($CM60:DA60)</f>
        <v>374</v>
      </c>
      <c r="BV60" s="93">
        <f>SUM($Z60:AO60)-SUM($CM60:DB60)</f>
        <v>360</v>
      </c>
      <c r="BW60" s="93">
        <f>SUM($Z60:AP60)-SUM($CM60:DC60)</f>
        <v>360</v>
      </c>
      <c r="BX60" s="93">
        <f>SUM($Z60:AQ60)-SUM($CM60:DD60)</f>
        <v>360</v>
      </c>
      <c r="BY60" s="93">
        <f>SUM($Z60:AR60)-SUM($CM60:DE60)</f>
        <v>360</v>
      </c>
      <c r="BZ60" s="93">
        <f>SUM($Z60:AS60)-SUM($CM60:DF60)</f>
        <v>360</v>
      </c>
      <c r="CA60" s="93">
        <f>SUM($Z60:AT60)-SUM($CM60:DG60)</f>
        <v>360</v>
      </c>
      <c r="CB60" s="93">
        <f>SUM($Z60:AU60)-SUM($CM60:DH60)</f>
        <v>360</v>
      </c>
      <c r="CC60" s="93">
        <f>SUM($Z60:AV60)-SUM($CM60:DI60)</f>
        <v>360</v>
      </c>
      <c r="CD60" s="93">
        <f>SUM($Z60:AW60)-SUM($CM60:DJ60)</f>
        <v>360</v>
      </c>
      <c r="CE60" s="93">
        <f>SUM($Z60:AX60)-SUM($CM60:DK60)</f>
        <v>360</v>
      </c>
      <c r="CF60" s="93">
        <f>SUM($Z60:AY60)-SUM($CM60:DL60)</f>
        <v>360</v>
      </c>
      <c r="CG60" s="93">
        <f>SUM($Z60:AZ60)-SUM($CM60:DM60)</f>
        <v>360</v>
      </c>
      <c r="CH60" s="93">
        <f>SUM($Z60:BA60)-SUM($CM60:DN60)</f>
        <v>360</v>
      </c>
      <c r="CI60" s="93">
        <f>SUM($Z60:BB60)-SUM($CM60:DO60)</f>
        <v>360</v>
      </c>
      <c r="CJ60" s="93"/>
      <c r="CK60" s="93"/>
      <c r="CL60" s="93"/>
      <c r="CM60" s="93"/>
      <c r="CN60" s="93" cm="1">
        <f t="array" ref="CN60">SUMPRODUCT(TRANSPOSE(CN$4:CN$20),$G60:$W60)</f>
        <v>0</v>
      </c>
      <c r="CO60" s="93" cm="1">
        <f t="array" ref="CO60">SUMPRODUCT(TRANSPOSE(CO$4:CO$20),$G60:$W60)</f>
        <v>0</v>
      </c>
      <c r="CP60" s="93" cm="1">
        <f t="array" ref="CP60">SUMPRODUCT(TRANSPOSE(CP$4:CP$20),$G60:$W60)</f>
        <v>0</v>
      </c>
      <c r="CQ60" s="93" cm="1">
        <f t="array" ref="CQ60">SUMPRODUCT(TRANSPOSE(CQ$4:CQ$20),$G60:$W60)</f>
        <v>78</v>
      </c>
      <c r="CR60" s="93" cm="1">
        <f t="array" ref="CR60">SUMPRODUCT(TRANSPOSE(CR$4:CR$20),$G60:$W60)</f>
        <v>70</v>
      </c>
      <c r="CS60" s="93" cm="1">
        <f t="array" ref="CS60">SUMPRODUCT(TRANSPOSE(CS$4:CS$20),$G60:$W60)</f>
        <v>65</v>
      </c>
      <c r="CT60" s="93" cm="1">
        <f t="array" ref="CT60">SUMPRODUCT(TRANSPOSE(CT$4:CT$20),$G60:$W60)</f>
        <v>60</v>
      </c>
      <c r="CU60" s="93" cm="1">
        <f t="array" ref="CU60">SUMPRODUCT(TRANSPOSE(CU$4:CU$20),$G60:$W60)</f>
        <v>60</v>
      </c>
      <c r="CV60" s="93" cm="1">
        <f t="array" ref="CV60">SUMPRODUCT(TRANSPOSE(CV$4:CV$20),$G60:$W60)</f>
        <v>60</v>
      </c>
      <c r="CW60" s="93" cm="1">
        <f t="array" ref="CW60">SUMPRODUCT(TRANSPOSE(CW$4:CW$20),$G60:$W60)</f>
        <v>60</v>
      </c>
      <c r="CX60" s="93" cm="1">
        <f t="array" ref="CX60">SUMPRODUCT(TRANSPOSE(CX$4:CX$20),$G60:$W60)</f>
        <v>60</v>
      </c>
      <c r="CY60" s="93" cm="1">
        <f t="array" ref="CY60">SUMPRODUCT(TRANSPOSE(CY$4:CY$20),$G60:$W60)</f>
        <v>60</v>
      </c>
      <c r="CZ60" s="93" cm="1">
        <f t="array" ref="CZ60">SUMPRODUCT(TRANSPOSE(CZ$4:CZ$20),$G60:$W60)</f>
        <v>60</v>
      </c>
      <c r="DA60" s="93" cm="1">
        <f t="array" ref="DA60">SUMPRODUCT(TRANSPOSE(DA$4:DA$20),$G60:$W60)</f>
        <v>60</v>
      </c>
      <c r="DB60" s="93" cm="1">
        <f t="array" ref="DB60">SUMPRODUCT(TRANSPOSE(DB$4:DB$20),$G60:$W60)</f>
        <v>14</v>
      </c>
      <c r="DC60" s="93" cm="1">
        <f t="array" ref="DC60">SUMPRODUCT(TRANSPOSE(DC$4:DC$20),$G60:$W60)</f>
        <v>0</v>
      </c>
      <c r="DD60" s="93" cm="1">
        <f t="array" ref="DD60">SUMPRODUCT(TRANSPOSE(DD$4:DD$20),$G60:$W60)</f>
        <v>0</v>
      </c>
      <c r="DE60" s="93" cm="1">
        <f t="array" ref="DE60">SUMPRODUCT(TRANSPOSE(DE$4:DE$20),$G60:$W60)</f>
        <v>0</v>
      </c>
      <c r="DF60" s="93" cm="1">
        <f t="array" ref="DF60">SUMPRODUCT(TRANSPOSE(DF$4:DF$20),$G60:$W60)</f>
        <v>0</v>
      </c>
      <c r="DG60" s="93" cm="1">
        <f t="array" ref="DG60">SUMPRODUCT(TRANSPOSE(DG$4:DG$20),$G60:$W60)</f>
        <v>0</v>
      </c>
      <c r="DH60" s="93" cm="1">
        <f t="array" ref="DH60">SUMPRODUCT(TRANSPOSE(DH$4:DH$20),$G60:$W60)</f>
        <v>0</v>
      </c>
      <c r="DI60" s="93" cm="1">
        <f t="array" ref="DI60">SUMPRODUCT(TRANSPOSE(DI$4:DI$20),$G60:$W60)</f>
        <v>0</v>
      </c>
      <c r="DJ60" s="93" cm="1">
        <f t="array" ref="DJ60">SUMPRODUCT(TRANSPOSE(DJ$4:DJ$20),$G60:$W60)</f>
        <v>0</v>
      </c>
      <c r="DK60" s="93" cm="1">
        <f t="array" ref="DK60">SUMPRODUCT(TRANSPOSE(DK$4:DK$20),$G60:$W60)</f>
        <v>0</v>
      </c>
      <c r="DL60" s="93" cm="1">
        <f t="array" ref="DL60">SUMPRODUCT(TRANSPOSE(DL$4:DL$20),$G60:$W60)</f>
        <v>0</v>
      </c>
      <c r="DM60" s="93" cm="1">
        <f t="array" ref="DM60">SUMPRODUCT(TRANSPOSE(DM$4:DM$20),$G60:$W60)</f>
        <v>0</v>
      </c>
      <c r="DN60" s="93" cm="1">
        <f t="array" ref="DN60">SUMPRODUCT(TRANSPOSE(DN$4:DN$20),$G60:$W60)</f>
        <v>0</v>
      </c>
      <c r="DO60" s="93" cm="1">
        <f t="array" ref="DO60">SUMPRODUCT(TRANSPOSE(DO$4:DO$20),$G60:$W60)</f>
        <v>0</v>
      </c>
    </row>
    <row r="61" spans="1:119" x14ac:dyDescent="0.2">
      <c r="A61" s="45">
        <f t="shared" si="26"/>
        <v>40</v>
      </c>
      <c r="B61" s="46" t="s">
        <v>238</v>
      </c>
      <c r="C61" s="45">
        <v>405901255</v>
      </c>
      <c r="D61" s="45" t="s">
        <v>239</v>
      </c>
      <c r="E61" s="45" t="s">
        <v>162</v>
      </c>
      <c r="F61" s="48">
        <v>1</v>
      </c>
      <c r="G61" s="100">
        <v>0</v>
      </c>
      <c r="H61" s="100">
        <v>0</v>
      </c>
      <c r="I61" s="100">
        <v>0</v>
      </c>
      <c r="J61" s="100">
        <v>0</v>
      </c>
      <c r="K61" s="100">
        <v>0</v>
      </c>
      <c r="L61" s="100">
        <v>0</v>
      </c>
      <c r="M61" s="100">
        <v>0</v>
      </c>
      <c r="N61" s="100">
        <v>0</v>
      </c>
      <c r="O61" s="100">
        <v>0</v>
      </c>
      <c r="P61" s="100">
        <v>1</v>
      </c>
      <c r="Q61" s="100">
        <v>0</v>
      </c>
      <c r="R61" s="100">
        <v>0</v>
      </c>
      <c r="S61" s="100">
        <v>0</v>
      </c>
      <c r="T61" s="100">
        <v>1</v>
      </c>
      <c r="U61" s="100">
        <v>0</v>
      </c>
      <c r="V61" s="100">
        <v>0</v>
      </c>
      <c r="W61" s="100">
        <v>0</v>
      </c>
      <c r="X61" s="45" t="s">
        <v>46</v>
      </c>
      <c r="Y61" s="49">
        <v>4</v>
      </c>
      <c r="Z61" s="45">
        <v>1067</v>
      </c>
      <c r="AA61" s="45">
        <v>0</v>
      </c>
      <c r="AB61" s="45">
        <v>0</v>
      </c>
      <c r="AC61" s="45">
        <v>0</v>
      </c>
      <c r="AD61" s="45">
        <v>0</v>
      </c>
      <c r="AE61" s="45">
        <v>0</v>
      </c>
      <c r="AF61" s="45">
        <v>0</v>
      </c>
      <c r="AG61" s="45">
        <v>0</v>
      </c>
      <c r="AH61" s="45">
        <v>0</v>
      </c>
      <c r="AI61" s="45">
        <v>0</v>
      </c>
      <c r="AJ61" s="45">
        <v>0</v>
      </c>
      <c r="AK61" s="45">
        <v>0</v>
      </c>
      <c r="AL61" s="45">
        <v>0</v>
      </c>
      <c r="AM61" s="45">
        <v>0</v>
      </c>
      <c r="AN61" s="45">
        <v>0</v>
      </c>
      <c r="AO61" s="45"/>
      <c r="AP61" s="45"/>
      <c r="AQ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5"/>
      <c r="BC61" s="45"/>
      <c r="BD61" s="93"/>
      <c r="BE61" s="93"/>
      <c r="BF61" s="93"/>
      <c r="BG61" s="93"/>
      <c r="BH61" s="93"/>
      <c r="BI61" s="93"/>
      <c r="BJ61" s="93"/>
      <c r="BK61" s="93">
        <f>SUM($Z61:AD61)-SUM($CM61:CQ61)</f>
        <v>989</v>
      </c>
      <c r="BL61" s="93">
        <f>SUM($Z61:AE61)-SUM($CM61:CR61)</f>
        <v>919</v>
      </c>
      <c r="BM61" s="93">
        <f>SUM($Z61:AF61)-SUM($CM61:CS61)</f>
        <v>854</v>
      </c>
      <c r="BN61" s="93">
        <f>SUM($Z61:AG61)-SUM($CM61:CT61)</f>
        <v>794</v>
      </c>
      <c r="BO61" s="93">
        <f>SUM($Z61:AH61)-SUM($CM61:CU61)</f>
        <v>734</v>
      </c>
      <c r="BP61" s="93">
        <f>SUM($Z61:AI61)-SUM($CM61:CV61)</f>
        <v>674</v>
      </c>
      <c r="BQ61" s="93">
        <f>SUM($Z61:AJ61)-SUM($CM61:CW61)</f>
        <v>614</v>
      </c>
      <c r="BR61" s="93">
        <f>SUM($Z61:AK61)-SUM($CM61:CX61)</f>
        <v>554</v>
      </c>
      <c r="BS61" s="93">
        <f>SUM($Z61:AL61)-SUM($CM61:CY61)</f>
        <v>494</v>
      </c>
      <c r="BT61" s="93">
        <f>SUM($Z61:AM61)-SUM($CM61:CZ61)</f>
        <v>434</v>
      </c>
      <c r="BU61" s="93">
        <f>SUM($Z61:AN61)-SUM($CM61:DA61)</f>
        <v>374</v>
      </c>
      <c r="BV61" s="93">
        <f>SUM($Z61:AO61)-SUM($CM61:DB61)</f>
        <v>360</v>
      </c>
      <c r="BW61" s="93">
        <f>SUM($Z61:AP61)-SUM($CM61:DC61)</f>
        <v>360</v>
      </c>
      <c r="BX61" s="93">
        <f>SUM($Z61:AQ61)-SUM($CM61:DD61)</f>
        <v>360</v>
      </c>
      <c r="BY61" s="93">
        <f>SUM($Z61:AR61)-SUM($CM61:DE61)</f>
        <v>360</v>
      </c>
      <c r="BZ61" s="93">
        <f>SUM($Z61:AS61)-SUM($CM61:DF61)</f>
        <v>360</v>
      </c>
      <c r="CA61" s="93">
        <f>SUM($Z61:AT61)-SUM($CM61:DG61)</f>
        <v>360</v>
      </c>
      <c r="CB61" s="93">
        <f>SUM($Z61:AU61)-SUM($CM61:DH61)</f>
        <v>360</v>
      </c>
      <c r="CC61" s="93">
        <f>SUM($Z61:AV61)-SUM($CM61:DI61)</f>
        <v>360</v>
      </c>
      <c r="CD61" s="93">
        <f>SUM($Z61:AW61)-SUM($CM61:DJ61)</f>
        <v>360</v>
      </c>
      <c r="CE61" s="93">
        <f>SUM($Z61:AX61)-SUM($CM61:DK61)</f>
        <v>360</v>
      </c>
      <c r="CF61" s="93">
        <f>SUM($Z61:AY61)-SUM($CM61:DL61)</f>
        <v>360</v>
      </c>
      <c r="CG61" s="93">
        <f>SUM($Z61:AZ61)-SUM($CM61:DM61)</f>
        <v>360</v>
      </c>
      <c r="CH61" s="93">
        <f>SUM($Z61:BA61)-SUM($CM61:DN61)</f>
        <v>360</v>
      </c>
      <c r="CI61" s="93">
        <f>SUM($Z61:BB61)-SUM($CM61:DO61)</f>
        <v>360</v>
      </c>
      <c r="CJ61" s="93"/>
      <c r="CK61" s="93"/>
      <c r="CL61" s="93"/>
      <c r="CM61" s="93"/>
      <c r="CN61" s="93" cm="1">
        <f t="array" ref="CN61">SUMPRODUCT(TRANSPOSE(CN$4:CN$20),$G61:$W61)</f>
        <v>0</v>
      </c>
      <c r="CO61" s="93" cm="1">
        <f t="array" ref="CO61">SUMPRODUCT(TRANSPOSE(CO$4:CO$20),$G61:$W61)</f>
        <v>0</v>
      </c>
      <c r="CP61" s="93" cm="1">
        <f t="array" ref="CP61">SUMPRODUCT(TRANSPOSE(CP$4:CP$20),$G61:$W61)</f>
        <v>0</v>
      </c>
      <c r="CQ61" s="93" cm="1">
        <f t="array" ref="CQ61">SUMPRODUCT(TRANSPOSE(CQ$4:CQ$20),$G61:$W61)</f>
        <v>78</v>
      </c>
      <c r="CR61" s="93" cm="1">
        <f t="array" ref="CR61">SUMPRODUCT(TRANSPOSE(CR$4:CR$20),$G61:$W61)</f>
        <v>70</v>
      </c>
      <c r="CS61" s="93" cm="1">
        <f t="array" ref="CS61">SUMPRODUCT(TRANSPOSE(CS$4:CS$20),$G61:$W61)</f>
        <v>65</v>
      </c>
      <c r="CT61" s="93" cm="1">
        <f t="array" ref="CT61">SUMPRODUCT(TRANSPOSE(CT$4:CT$20),$G61:$W61)</f>
        <v>60</v>
      </c>
      <c r="CU61" s="93" cm="1">
        <f t="array" ref="CU61">SUMPRODUCT(TRANSPOSE(CU$4:CU$20),$G61:$W61)</f>
        <v>60</v>
      </c>
      <c r="CV61" s="93" cm="1">
        <f t="array" ref="CV61">SUMPRODUCT(TRANSPOSE(CV$4:CV$20),$G61:$W61)</f>
        <v>60</v>
      </c>
      <c r="CW61" s="93" cm="1">
        <f t="array" ref="CW61">SUMPRODUCT(TRANSPOSE(CW$4:CW$20),$G61:$W61)</f>
        <v>60</v>
      </c>
      <c r="CX61" s="93" cm="1">
        <f t="array" ref="CX61">SUMPRODUCT(TRANSPOSE(CX$4:CX$20),$G61:$W61)</f>
        <v>60</v>
      </c>
      <c r="CY61" s="93" cm="1">
        <f t="array" ref="CY61">SUMPRODUCT(TRANSPOSE(CY$4:CY$20),$G61:$W61)</f>
        <v>60</v>
      </c>
      <c r="CZ61" s="93" cm="1">
        <f t="array" ref="CZ61">SUMPRODUCT(TRANSPOSE(CZ$4:CZ$20),$G61:$W61)</f>
        <v>60</v>
      </c>
      <c r="DA61" s="93" cm="1">
        <f t="array" ref="DA61">SUMPRODUCT(TRANSPOSE(DA$4:DA$20),$G61:$W61)</f>
        <v>60</v>
      </c>
      <c r="DB61" s="93" cm="1">
        <f t="array" ref="DB61">SUMPRODUCT(TRANSPOSE(DB$4:DB$20),$G61:$W61)</f>
        <v>14</v>
      </c>
      <c r="DC61" s="93" cm="1">
        <f t="array" ref="DC61">SUMPRODUCT(TRANSPOSE(DC$4:DC$20),$G61:$W61)</f>
        <v>0</v>
      </c>
      <c r="DD61" s="93" cm="1">
        <f t="array" ref="DD61">SUMPRODUCT(TRANSPOSE(DD$4:DD$20),$G61:$W61)</f>
        <v>0</v>
      </c>
      <c r="DE61" s="93" cm="1">
        <f t="array" ref="DE61">SUMPRODUCT(TRANSPOSE(DE$4:DE$20),$G61:$W61)</f>
        <v>0</v>
      </c>
      <c r="DF61" s="93" cm="1">
        <f t="array" ref="DF61">SUMPRODUCT(TRANSPOSE(DF$4:DF$20),$G61:$W61)</f>
        <v>0</v>
      </c>
      <c r="DG61" s="93" cm="1">
        <f t="array" ref="DG61">SUMPRODUCT(TRANSPOSE(DG$4:DG$20),$G61:$W61)</f>
        <v>0</v>
      </c>
      <c r="DH61" s="93" cm="1">
        <f t="array" ref="DH61">SUMPRODUCT(TRANSPOSE(DH$4:DH$20),$G61:$W61)</f>
        <v>0</v>
      </c>
      <c r="DI61" s="93" cm="1">
        <f t="array" ref="DI61">SUMPRODUCT(TRANSPOSE(DI$4:DI$20),$G61:$W61)</f>
        <v>0</v>
      </c>
      <c r="DJ61" s="93" cm="1">
        <f t="array" ref="DJ61">SUMPRODUCT(TRANSPOSE(DJ$4:DJ$20),$G61:$W61)</f>
        <v>0</v>
      </c>
      <c r="DK61" s="93" cm="1">
        <f t="array" ref="DK61">SUMPRODUCT(TRANSPOSE(DK$4:DK$20),$G61:$W61)</f>
        <v>0</v>
      </c>
      <c r="DL61" s="93" cm="1">
        <f t="array" ref="DL61">SUMPRODUCT(TRANSPOSE(DL$4:DL$20),$G61:$W61)</f>
        <v>0</v>
      </c>
      <c r="DM61" s="93" cm="1">
        <f t="array" ref="DM61">SUMPRODUCT(TRANSPOSE(DM$4:DM$20),$G61:$W61)</f>
        <v>0</v>
      </c>
      <c r="DN61" s="93" cm="1">
        <f t="array" ref="DN61">SUMPRODUCT(TRANSPOSE(DN$4:DN$20),$G61:$W61)</f>
        <v>0</v>
      </c>
      <c r="DO61" s="93" cm="1">
        <f t="array" ref="DO61">SUMPRODUCT(TRANSPOSE(DO$4:DO$20),$G61:$W61)</f>
        <v>0</v>
      </c>
    </row>
    <row r="62" spans="1:119" x14ac:dyDescent="0.2">
      <c r="A62" s="45">
        <f t="shared" si="26"/>
        <v>41</v>
      </c>
      <c r="B62" s="46" t="s">
        <v>240</v>
      </c>
      <c r="C62" s="45">
        <v>409627780</v>
      </c>
      <c r="D62" s="45" t="s">
        <v>239</v>
      </c>
      <c r="E62" s="45" t="s">
        <v>162</v>
      </c>
      <c r="F62" s="48">
        <v>1</v>
      </c>
      <c r="G62" s="100">
        <v>0</v>
      </c>
      <c r="H62" s="100">
        <v>0</v>
      </c>
      <c r="I62" s="100">
        <v>0</v>
      </c>
      <c r="J62" s="100">
        <v>0</v>
      </c>
      <c r="K62" s="100">
        <v>0</v>
      </c>
      <c r="L62" s="100">
        <v>0</v>
      </c>
      <c r="M62" s="100">
        <v>0</v>
      </c>
      <c r="N62" s="100">
        <v>0</v>
      </c>
      <c r="O62" s="100">
        <v>0</v>
      </c>
      <c r="P62" s="100">
        <v>1</v>
      </c>
      <c r="Q62" s="100">
        <v>0</v>
      </c>
      <c r="R62" s="100">
        <v>0</v>
      </c>
      <c r="S62" s="100">
        <v>0</v>
      </c>
      <c r="T62" s="100">
        <v>1</v>
      </c>
      <c r="U62" s="100">
        <v>0</v>
      </c>
      <c r="V62" s="100">
        <v>0</v>
      </c>
      <c r="W62" s="100">
        <v>0</v>
      </c>
      <c r="X62" s="45" t="s">
        <v>46</v>
      </c>
      <c r="Y62" s="49">
        <v>250</v>
      </c>
      <c r="Z62" s="45">
        <v>921</v>
      </c>
      <c r="AA62" s="45">
        <v>0</v>
      </c>
      <c r="AB62" s="45">
        <v>0</v>
      </c>
      <c r="AC62" s="45">
        <v>0</v>
      </c>
      <c r="AD62" s="45">
        <v>0</v>
      </c>
      <c r="AE62" s="45">
        <v>0</v>
      </c>
      <c r="AF62" s="45">
        <v>0</v>
      </c>
      <c r="AG62" s="45">
        <v>0</v>
      </c>
      <c r="AH62" s="45">
        <v>0</v>
      </c>
      <c r="AI62" s="45">
        <v>0</v>
      </c>
      <c r="AJ62" s="45">
        <v>0</v>
      </c>
      <c r="AK62" s="45">
        <v>0</v>
      </c>
      <c r="AL62" s="45">
        <v>0</v>
      </c>
      <c r="AM62" s="45">
        <v>0</v>
      </c>
      <c r="AN62" s="45">
        <v>0</v>
      </c>
      <c r="AO62" s="45"/>
      <c r="AP62" s="45"/>
      <c r="AQ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5"/>
      <c r="BC62" s="45"/>
      <c r="BD62" s="93"/>
      <c r="BE62" s="93"/>
      <c r="BF62" s="93"/>
      <c r="BG62" s="93"/>
      <c r="BH62" s="93"/>
      <c r="BI62" s="93"/>
      <c r="BJ62" s="93"/>
      <c r="BK62" s="93">
        <f>SUM($Z62:AD62)-SUM($CM62:CQ62)</f>
        <v>843</v>
      </c>
      <c r="BL62" s="93">
        <f>SUM($Z62:AE62)-SUM($CM62:CR62)</f>
        <v>773</v>
      </c>
      <c r="BM62" s="93">
        <f>SUM($Z62:AF62)-SUM($CM62:CS62)</f>
        <v>708</v>
      </c>
      <c r="BN62" s="93">
        <f>SUM($Z62:AG62)-SUM($CM62:CT62)</f>
        <v>648</v>
      </c>
      <c r="BO62" s="93">
        <f>SUM($Z62:AH62)-SUM($CM62:CU62)</f>
        <v>588</v>
      </c>
      <c r="BP62" s="93">
        <f>SUM($Z62:AI62)-SUM($CM62:CV62)</f>
        <v>528</v>
      </c>
      <c r="BQ62" s="93">
        <f>SUM($Z62:AJ62)-SUM($CM62:CW62)</f>
        <v>468</v>
      </c>
      <c r="BR62" s="93">
        <f>SUM($Z62:AK62)-SUM($CM62:CX62)</f>
        <v>408</v>
      </c>
      <c r="BS62" s="93">
        <f>SUM($Z62:AL62)-SUM($CM62:CY62)</f>
        <v>348</v>
      </c>
      <c r="BT62" s="93">
        <f>SUM($Z62:AM62)-SUM($CM62:CZ62)</f>
        <v>288</v>
      </c>
      <c r="BU62" s="93">
        <f>SUM($Z62:AN62)-SUM($CM62:DA62)</f>
        <v>228</v>
      </c>
      <c r="BV62" s="93">
        <f>SUM($Z62:AO62)-SUM($CM62:DB62)</f>
        <v>214</v>
      </c>
      <c r="BW62" s="93">
        <f>SUM($Z62:AP62)-SUM($CM62:DC62)</f>
        <v>214</v>
      </c>
      <c r="BX62" s="93">
        <f>SUM($Z62:AQ62)-SUM($CM62:DD62)</f>
        <v>214</v>
      </c>
      <c r="BY62" s="93">
        <f>SUM($Z62:AR62)-SUM($CM62:DE62)</f>
        <v>214</v>
      </c>
      <c r="BZ62" s="93">
        <f>SUM($Z62:AS62)-SUM($CM62:DF62)</f>
        <v>214</v>
      </c>
      <c r="CA62" s="93">
        <f>SUM($Z62:AT62)-SUM($CM62:DG62)</f>
        <v>214</v>
      </c>
      <c r="CB62" s="93">
        <f>SUM($Z62:AU62)-SUM($CM62:DH62)</f>
        <v>214</v>
      </c>
      <c r="CC62" s="93">
        <f>SUM($Z62:AV62)-SUM($CM62:DI62)</f>
        <v>214</v>
      </c>
      <c r="CD62" s="93">
        <f>SUM($Z62:AW62)-SUM($CM62:DJ62)</f>
        <v>214</v>
      </c>
      <c r="CE62" s="93">
        <f>SUM($Z62:AX62)-SUM($CM62:DK62)</f>
        <v>214</v>
      </c>
      <c r="CF62" s="93">
        <f>SUM($Z62:AY62)-SUM($CM62:DL62)</f>
        <v>214</v>
      </c>
      <c r="CG62" s="93">
        <f>SUM($Z62:AZ62)-SUM($CM62:DM62)</f>
        <v>214</v>
      </c>
      <c r="CH62" s="93">
        <f>SUM($Z62:BA62)-SUM($CM62:DN62)</f>
        <v>214</v>
      </c>
      <c r="CI62" s="93">
        <f>SUM($Z62:BB62)-SUM($CM62:DO62)</f>
        <v>214</v>
      </c>
      <c r="CJ62" s="93"/>
      <c r="CK62" s="93"/>
      <c r="CL62" s="93"/>
      <c r="CM62" s="93"/>
      <c r="CN62" s="93" cm="1">
        <f t="array" ref="CN62">SUMPRODUCT(TRANSPOSE(CN$4:CN$20),$G62:$W62)</f>
        <v>0</v>
      </c>
      <c r="CO62" s="93" cm="1">
        <f t="array" ref="CO62">SUMPRODUCT(TRANSPOSE(CO$4:CO$20),$G62:$W62)</f>
        <v>0</v>
      </c>
      <c r="CP62" s="93" cm="1">
        <f t="array" ref="CP62">SUMPRODUCT(TRANSPOSE(CP$4:CP$20),$G62:$W62)</f>
        <v>0</v>
      </c>
      <c r="CQ62" s="93" cm="1">
        <f t="array" ref="CQ62">SUMPRODUCT(TRANSPOSE(CQ$4:CQ$20),$G62:$W62)</f>
        <v>78</v>
      </c>
      <c r="CR62" s="93" cm="1">
        <f t="array" ref="CR62">SUMPRODUCT(TRANSPOSE(CR$4:CR$20),$G62:$W62)</f>
        <v>70</v>
      </c>
      <c r="CS62" s="93" cm="1">
        <f t="array" ref="CS62">SUMPRODUCT(TRANSPOSE(CS$4:CS$20),$G62:$W62)</f>
        <v>65</v>
      </c>
      <c r="CT62" s="93" cm="1">
        <f t="array" ref="CT62">SUMPRODUCT(TRANSPOSE(CT$4:CT$20),$G62:$W62)</f>
        <v>60</v>
      </c>
      <c r="CU62" s="93" cm="1">
        <f t="array" ref="CU62">SUMPRODUCT(TRANSPOSE(CU$4:CU$20),$G62:$W62)</f>
        <v>60</v>
      </c>
      <c r="CV62" s="93" cm="1">
        <f t="array" ref="CV62">SUMPRODUCT(TRANSPOSE(CV$4:CV$20),$G62:$W62)</f>
        <v>60</v>
      </c>
      <c r="CW62" s="93" cm="1">
        <f t="array" ref="CW62">SUMPRODUCT(TRANSPOSE(CW$4:CW$20),$G62:$W62)</f>
        <v>60</v>
      </c>
      <c r="CX62" s="93" cm="1">
        <f t="array" ref="CX62">SUMPRODUCT(TRANSPOSE(CX$4:CX$20),$G62:$W62)</f>
        <v>60</v>
      </c>
      <c r="CY62" s="93" cm="1">
        <f t="array" ref="CY62">SUMPRODUCT(TRANSPOSE(CY$4:CY$20),$G62:$W62)</f>
        <v>60</v>
      </c>
      <c r="CZ62" s="93" cm="1">
        <f t="array" ref="CZ62">SUMPRODUCT(TRANSPOSE(CZ$4:CZ$20),$G62:$W62)</f>
        <v>60</v>
      </c>
      <c r="DA62" s="93" cm="1">
        <f t="array" ref="DA62">SUMPRODUCT(TRANSPOSE(DA$4:DA$20),$G62:$W62)</f>
        <v>60</v>
      </c>
      <c r="DB62" s="93" cm="1">
        <f t="array" ref="DB62">SUMPRODUCT(TRANSPOSE(DB$4:DB$20),$G62:$W62)</f>
        <v>14</v>
      </c>
      <c r="DC62" s="93" cm="1">
        <f t="array" ref="DC62">SUMPRODUCT(TRANSPOSE(DC$4:DC$20),$G62:$W62)</f>
        <v>0</v>
      </c>
      <c r="DD62" s="93" cm="1">
        <f t="array" ref="DD62">SUMPRODUCT(TRANSPOSE(DD$4:DD$20),$G62:$W62)</f>
        <v>0</v>
      </c>
      <c r="DE62" s="93" cm="1">
        <f t="array" ref="DE62">SUMPRODUCT(TRANSPOSE(DE$4:DE$20),$G62:$W62)</f>
        <v>0</v>
      </c>
      <c r="DF62" s="93" cm="1">
        <f t="array" ref="DF62">SUMPRODUCT(TRANSPOSE(DF$4:DF$20),$G62:$W62)</f>
        <v>0</v>
      </c>
      <c r="DG62" s="93" cm="1">
        <f t="array" ref="DG62">SUMPRODUCT(TRANSPOSE(DG$4:DG$20),$G62:$W62)</f>
        <v>0</v>
      </c>
      <c r="DH62" s="93" cm="1">
        <f t="array" ref="DH62">SUMPRODUCT(TRANSPOSE(DH$4:DH$20),$G62:$W62)</f>
        <v>0</v>
      </c>
      <c r="DI62" s="93" cm="1">
        <f t="array" ref="DI62">SUMPRODUCT(TRANSPOSE(DI$4:DI$20),$G62:$W62)</f>
        <v>0</v>
      </c>
      <c r="DJ62" s="93" cm="1">
        <f t="array" ref="DJ62">SUMPRODUCT(TRANSPOSE(DJ$4:DJ$20),$G62:$W62)</f>
        <v>0</v>
      </c>
      <c r="DK62" s="93" cm="1">
        <f t="array" ref="DK62">SUMPRODUCT(TRANSPOSE(DK$4:DK$20),$G62:$W62)</f>
        <v>0</v>
      </c>
      <c r="DL62" s="93" cm="1">
        <f t="array" ref="DL62">SUMPRODUCT(TRANSPOSE(DL$4:DL$20),$G62:$W62)</f>
        <v>0</v>
      </c>
      <c r="DM62" s="93" cm="1">
        <f t="array" ref="DM62">SUMPRODUCT(TRANSPOSE(DM$4:DM$20),$G62:$W62)</f>
        <v>0</v>
      </c>
      <c r="DN62" s="93" cm="1">
        <f t="array" ref="DN62">SUMPRODUCT(TRANSPOSE(DN$4:DN$20),$G62:$W62)</f>
        <v>0</v>
      </c>
      <c r="DO62" s="93" cm="1">
        <f t="array" ref="DO62">SUMPRODUCT(TRANSPOSE(DO$4:DO$20),$G62:$W62)</f>
        <v>0</v>
      </c>
    </row>
    <row r="63" spans="1:119" x14ac:dyDescent="0.2">
      <c r="A63" s="45">
        <f t="shared" si="26"/>
        <v>42</v>
      </c>
      <c r="B63" s="46" t="s">
        <v>241</v>
      </c>
      <c r="C63" s="45">
        <v>414731764</v>
      </c>
      <c r="D63" s="45" t="s">
        <v>242</v>
      </c>
      <c r="E63" s="45" t="s">
        <v>162</v>
      </c>
      <c r="F63" s="48">
        <v>1</v>
      </c>
      <c r="G63" s="100">
        <v>0</v>
      </c>
      <c r="H63" s="100">
        <v>0</v>
      </c>
      <c r="I63" s="100">
        <v>0</v>
      </c>
      <c r="J63" s="100">
        <v>0</v>
      </c>
      <c r="K63" s="100">
        <v>0</v>
      </c>
      <c r="L63" s="100">
        <v>0</v>
      </c>
      <c r="M63" s="100">
        <v>0</v>
      </c>
      <c r="N63" s="100">
        <v>0</v>
      </c>
      <c r="O63" s="100">
        <v>1</v>
      </c>
      <c r="P63" s="100">
        <v>0</v>
      </c>
      <c r="Q63" s="100">
        <v>0</v>
      </c>
      <c r="R63" s="100">
        <v>0</v>
      </c>
      <c r="S63" s="100">
        <v>1</v>
      </c>
      <c r="T63" s="100">
        <v>0</v>
      </c>
      <c r="U63" s="100">
        <v>0</v>
      </c>
      <c r="V63" s="100">
        <v>0</v>
      </c>
      <c r="W63" s="100">
        <v>0</v>
      </c>
      <c r="X63" s="45" t="s">
        <v>50</v>
      </c>
      <c r="Y63" s="49">
        <v>16.3</v>
      </c>
      <c r="Z63" s="45">
        <v>1067</v>
      </c>
      <c r="AA63" s="45">
        <v>0</v>
      </c>
      <c r="AB63" s="45">
        <v>0</v>
      </c>
      <c r="AC63" s="45">
        <v>0</v>
      </c>
      <c r="AD63" s="45">
        <v>0</v>
      </c>
      <c r="AE63" s="45">
        <v>0</v>
      </c>
      <c r="AF63" s="45">
        <v>0</v>
      </c>
      <c r="AG63" s="45">
        <v>0</v>
      </c>
      <c r="AH63" s="45">
        <v>0</v>
      </c>
      <c r="AI63" s="45">
        <v>0</v>
      </c>
      <c r="AJ63" s="45">
        <v>0</v>
      </c>
      <c r="AK63" s="45">
        <v>0</v>
      </c>
      <c r="AL63" s="45">
        <v>0</v>
      </c>
      <c r="AM63" s="45">
        <v>0</v>
      </c>
      <c r="AN63" s="45">
        <v>0</v>
      </c>
      <c r="AO63" s="45"/>
      <c r="AP63" s="45"/>
      <c r="AQ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5"/>
      <c r="BC63" s="45"/>
      <c r="BD63" s="93"/>
      <c r="BE63" s="93"/>
      <c r="BF63" s="93"/>
      <c r="BG63" s="93"/>
      <c r="BH63" s="93"/>
      <c r="BI63" s="93"/>
      <c r="BJ63" s="93"/>
      <c r="BK63" s="93">
        <f>SUM($Z63:AD63)-SUM($CM63:CQ63)</f>
        <v>989</v>
      </c>
      <c r="BL63" s="93">
        <f>SUM($Z63:AE63)-SUM($CM63:CR63)</f>
        <v>919</v>
      </c>
      <c r="BM63" s="93">
        <f>SUM($Z63:AF63)-SUM($CM63:CS63)</f>
        <v>854</v>
      </c>
      <c r="BN63" s="93">
        <f>SUM($Z63:AG63)-SUM($CM63:CT63)</f>
        <v>794</v>
      </c>
      <c r="BO63" s="93">
        <f>SUM($Z63:AH63)-SUM($CM63:CU63)</f>
        <v>734</v>
      </c>
      <c r="BP63" s="93">
        <f>SUM($Z63:AI63)-SUM($CM63:CV63)</f>
        <v>674</v>
      </c>
      <c r="BQ63" s="93">
        <f>SUM($Z63:AJ63)-SUM($CM63:CW63)</f>
        <v>614</v>
      </c>
      <c r="BR63" s="93">
        <f>SUM($Z63:AK63)-SUM($CM63:CX63)</f>
        <v>554</v>
      </c>
      <c r="BS63" s="93">
        <f>SUM($Z63:AL63)-SUM($CM63:CY63)</f>
        <v>494</v>
      </c>
      <c r="BT63" s="93">
        <f>SUM($Z63:AM63)-SUM($CM63:CZ63)</f>
        <v>434</v>
      </c>
      <c r="BU63" s="93">
        <f>SUM($Z63:AN63)-SUM($CM63:DA63)</f>
        <v>374</v>
      </c>
      <c r="BV63" s="93">
        <f>SUM($Z63:AO63)-SUM($CM63:DB63)</f>
        <v>360</v>
      </c>
      <c r="BW63" s="93">
        <f>SUM($Z63:AP63)-SUM($CM63:DC63)</f>
        <v>360</v>
      </c>
      <c r="BX63" s="93">
        <f>SUM($Z63:AQ63)-SUM($CM63:DD63)</f>
        <v>360</v>
      </c>
      <c r="BY63" s="93">
        <f>SUM($Z63:AR63)-SUM($CM63:DE63)</f>
        <v>360</v>
      </c>
      <c r="BZ63" s="93">
        <f>SUM($Z63:AS63)-SUM($CM63:DF63)</f>
        <v>360</v>
      </c>
      <c r="CA63" s="93">
        <f>SUM($Z63:AT63)-SUM($CM63:DG63)</f>
        <v>360</v>
      </c>
      <c r="CB63" s="93">
        <f>SUM($Z63:AU63)-SUM($CM63:DH63)</f>
        <v>360</v>
      </c>
      <c r="CC63" s="93">
        <f>SUM($Z63:AV63)-SUM($CM63:DI63)</f>
        <v>360</v>
      </c>
      <c r="CD63" s="93">
        <f>SUM($Z63:AW63)-SUM($CM63:DJ63)</f>
        <v>360</v>
      </c>
      <c r="CE63" s="93">
        <f>SUM($Z63:AX63)-SUM($CM63:DK63)</f>
        <v>360</v>
      </c>
      <c r="CF63" s="93">
        <f>SUM($Z63:AY63)-SUM($CM63:DL63)</f>
        <v>360</v>
      </c>
      <c r="CG63" s="93">
        <f>SUM($Z63:AZ63)-SUM($CM63:DM63)</f>
        <v>360</v>
      </c>
      <c r="CH63" s="93">
        <f>SUM($Z63:BA63)-SUM($CM63:DN63)</f>
        <v>360</v>
      </c>
      <c r="CI63" s="93">
        <f>SUM($Z63:BB63)-SUM($CM63:DO63)</f>
        <v>360</v>
      </c>
      <c r="CJ63" s="93"/>
      <c r="CK63" s="93"/>
      <c r="CL63" s="93"/>
      <c r="CM63" s="93"/>
      <c r="CN63" s="93" cm="1">
        <f t="array" ref="CN63">SUMPRODUCT(TRANSPOSE(CN$4:CN$20),$G63:$W63)</f>
        <v>0</v>
      </c>
      <c r="CO63" s="93" cm="1">
        <f t="array" ref="CO63">SUMPRODUCT(TRANSPOSE(CO$4:CO$20),$G63:$W63)</f>
        <v>0</v>
      </c>
      <c r="CP63" s="93" cm="1">
        <f t="array" ref="CP63">SUMPRODUCT(TRANSPOSE(CP$4:CP$20),$G63:$W63)</f>
        <v>0</v>
      </c>
      <c r="CQ63" s="93" cm="1">
        <f t="array" ref="CQ63">SUMPRODUCT(TRANSPOSE(CQ$4:CQ$20),$G63:$W63)</f>
        <v>78</v>
      </c>
      <c r="CR63" s="93" cm="1">
        <f t="array" ref="CR63">SUMPRODUCT(TRANSPOSE(CR$4:CR$20),$G63:$W63)</f>
        <v>70</v>
      </c>
      <c r="CS63" s="93" cm="1">
        <f t="array" ref="CS63">SUMPRODUCT(TRANSPOSE(CS$4:CS$20),$G63:$W63)</f>
        <v>65</v>
      </c>
      <c r="CT63" s="93" cm="1">
        <f t="array" ref="CT63">SUMPRODUCT(TRANSPOSE(CT$4:CT$20),$G63:$W63)</f>
        <v>60</v>
      </c>
      <c r="CU63" s="93" cm="1">
        <f t="array" ref="CU63">SUMPRODUCT(TRANSPOSE(CU$4:CU$20),$G63:$W63)</f>
        <v>60</v>
      </c>
      <c r="CV63" s="93" cm="1">
        <f t="array" ref="CV63">SUMPRODUCT(TRANSPOSE(CV$4:CV$20),$G63:$W63)</f>
        <v>60</v>
      </c>
      <c r="CW63" s="93" cm="1">
        <f t="array" ref="CW63">SUMPRODUCT(TRANSPOSE(CW$4:CW$20),$G63:$W63)</f>
        <v>60</v>
      </c>
      <c r="CX63" s="93" cm="1">
        <f t="array" ref="CX63">SUMPRODUCT(TRANSPOSE(CX$4:CX$20),$G63:$W63)</f>
        <v>60</v>
      </c>
      <c r="CY63" s="93" cm="1">
        <f t="array" ref="CY63">SUMPRODUCT(TRANSPOSE(CY$4:CY$20),$G63:$W63)</f>
        <v>60</v>
      </c>
      <c r="CZ63" s="93" cm="1">
        <f t="array" ref="CZ63">SUMPRODUCT(TRANSPOSE(CZ$4:CZ$20),$G63:$W63)</f>
        <v>60</v>
      </c>
      <c r="DA63" s="93" cm="1">
        <f t="array" ref="DA63">SUMPRODUCT(TRANSPOSE(DA$4:DA$20),$G63:$W63)</f>
        <v>60</v>
      </c>
      <c r="DB63" s="93" cm="1">
        <f t="array" ref="DB63">SUMPRODUCT(TRANSPOSE(DB$4:DB$20),$G63:$W63)</f>
        <v>14</v>
      </c>
      <c r="DC63" s="93" cm="1">
        <f t="array" ref="DC63">SUMPRODUCT(TRANSPOSE(DC$4:DC$20),$G63:$W63)</f>
        <v>0</v>
      </c>
      <c r="DD63" s="93" cm="1">
        <f t="array" ref="DD63">SUMPRODUCT(TRANSPOSE(DD$4:DD$20),$G63:$W63)</f>
        <v>0</v>
      </c>
      <c r="DE63" s="93" cm="1">
        <f t="array" ref="DE63">SUMPRODUCT(TRANSPOSE(DE$4:DE$20),$G63:$W63)</f>
        <v>0</v>
      </c>
      <c r="DF63" s="93" cm="1">
        <f t="array" ref="DF63">SUMPRODUCT(TRANSPOSE(DF$4:DF$20),$G63:$W63)</f>
        <v>0</v>
      </c>
      <c r="DG63" s="93" cm="1">
        <f t="array" ref="DG63">SUMPRODUCT(TRANSPOSE(DG$4:DG$20),$G63:$W63)</f>
        <v>0</v>
      </c>
      <c r="DH63" s="93" cm="1">
        <f t="array" ref="DH63">SUMPRODUCT(TRANSPOSE(DH$4:DH$20),$G63:$W63)</f>
        <v>0</v>
      </c>
      <c r="DI63" s="93" cm="1">
        <f t="array" ref="DI63">SUMPRODUCT(TRANSPOSE(DI$4:DI$20),$G63:$W63)</f>
        <v>0</v>
      </c>
      <c r="DJ63" s="93" cm="1">
        <f t="array" ref="DJ63">SUMPRODUCT(TRANSPOSE(DJ$4:DJ$20),$G63:$W63)</f>
        <v>0</v>
      </c>
      <c r="DK63" s="93" cm="1">
        <f t="array" ref="DK63">SUMPRODUCT(TRANSPOSE(DK$4:DK$20),$G63:$W63)</f>
        <v>0</v>
      </c>
      <c r="DL63" s="93" cm="1">
        <f t="array" ref="DL63">SUMPRODUCT(TRANSPOSE(DL$4:DL$20),$G63:$W63)</f>
        <v>0</v>
      </c>
      <c r="DM63" s="93" cm="1">
        <f t="array" ref="DM63">SUMPRODUCT(TRANSPOSE(DM$4:DM$20),$G63:$W63)</f>
        <v>0</v>
      </c>
      <c r="DN63" s="93" cm="1">
        <f t="array" ref="DN63">SUMPRODUCT(TRANSPOSE(DN$4:DN$20),$G63:$W63)</f>
        <v>0</v>
      </c>
      <c r="DO63" s="93" cm="1">
        <f t="array" ref="DO63">SUMPRODUCT(TRANSPOSE(DO$4:DO$20),$G63:$W63)</f>
        <v>0</v>
      </c>
    </row>
    <row r="64" spans="1:119" x14ac:dyDescent="0.2">
      <c r="A64" s="45">
        <f t="shared" si="26"/>
        <v>43</v>
      </c>
      <c r="B64" s="46" t="s">
        <v>243</v>
      </c>
      <c r="C64" s="45">
        <v>414194266</v>
      </c>
      <c r="D64" s="45" t="s">
        <v>244</v>
      </c>
      <c r="E64" s="45" t="s">
        <v>162</v>
      </c>
      <c r="F64" s="48">
        <v>1</v>
      </c>
      <c r="G64" s="100">
        <v>0</v>
      </c>
      <c r="H64" s="100">
        <v>0</v>
      </c>
      <c r="I64" s="100">
        <v>0</v>
      </c>
      <c r="J64" s="100">
        <v>0</v>
      </c>
      <c r="K64" s="100">
        <v>0</v>
      </c>
      <c r="L64" s="100">
        <v>0</v>
      </c>
      <c r="M64" s="100">
        <v>0</v>
      </c>
      <c r="N64" s="100">
        <v>0</v>
      </c>
      <c r="O64" s="100">
        <v>0</v>
      </c>
      <c r="P64" s="100">
        <v>2</v>
      </c>
      <c r="Q64" s="100">
        <v>0</v>
      </c>
      <c r="R64" s="100">
        <v>0</v>
      </c>
      <c r="S64" s="100">
        <v>0</v>
      </c>
      <c r="T64" s="100">
        <v>2</v>
      </c>
      <c r="U64" s="100">
        <v>0</v>
      </c>
      <c r="V64" s="100">
        <v>0</v>
      </c>
      <c r="W64" s="100">
        <v>0</v>
      </c>
      <c r="X64" s="45" t="s">
        <v>46</v>
      </c>
      <c r="Y64" s="49">
        <v>21</v>
      </c>
      <c r="Z64" s="45">
        <v>2123</v>
      </c>
      <c r="AA64" s="45">
        <v>0</v>
      </c>
      <c r="AB64" s="45">
        <v>0</v>
      </c>
      <c r="AC64" s="45">
        <v>0</v>
      </c>
      <c r="AD64" s="45">
        <v>0</v>
      </c>
      <c r="AE64" s="45">
        <v>0</v>
      </c>
      <c r="AF64" s="45">
        <v>0</v>
      </c>
      <c r="AG64" s="45">
        <v>0</v>
      </c>
      <c r="AH64" s="45">
        <v>0</v>
      </c>
      <c r="AI64" s="45">
        <v>0</v>
      </c>
      <c r="AJ64" s="45">
        <v>0</v>
      </c>
      <c r="AK64" s="45">
        <v>0</v>
      </c>
      <c r="AL64" s="45">
        <v>0</v>
      </c>
      <c r="AM64" s="45">
        <v>0</v>
      </c>
      <c r="AN64" s="45">
        <v>0</v>
      </c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93"/>
      <c r="BE64" s="93"/>
      <c r="BF64" s="93"/>
      <c r="BG64" s="93"/>
      <c r="BH64" s="93"/>
      <c r="BI64" s="93"/>
      <c r="BJ64" s="93"/>
      <c r="BK64" s="93">
        <f>SUM($Z64:AD64)-SUM($CM64:CQ64)</f>
        <v>1967</v>
      </c>
      <c r="BL64" s="93">
        <f>SUM($Z64:AE64)-SUM($CM64:CR64)</f>
        <v>1827</v>
      </c>
      <c r="BM64" s="93">
        <f>SUM($Z64:AF64)-SUM($CM64:CS64)</f>
        <v>1697</v>
      </c>
      <c r="BN64" s="93">
        <f>SUM($Z64:AG64)-SUM($CM64:CT64)</f>
        <v>1577</v>
      </c>
      <c r="BO64" s="93">
        <f>SUM($Z64:AH64)-SUM($CM64:CU64)</f>
        <v>1457</v>
      </c>
      <c r="BP64" s="93">
        <f>SUM($Z64:AI64)-SUM($CM64:CV64)</f>
        <v>1337</v>
      </c>
      <c r="BQ64" s="93">
        <f>SUM($Z64:AJ64)-SUM($CM64:CW64)</f>
        <v>1217</v>
      </c>
      <c r="BR64" s="93">
        <f>SUM($Z64:AK64)-SUM($CM64:CX64)</f>
        <v>1097</v>
      </c>
      <c r="BS64" s="93">
        <f>SUM($Z64:AL64)-SUM($CM64:CY64)</f>
        <v>977</v>
      </c>
      <c r="BT64" s="93">
        <f>SUM($Z64:AM64)-SUM($CM64:CZ64)</f>
        <v>857</v>
      </c>
      <c r="BU64" s="93">
        <f>SUM($Z64:AN64)-SUM($CM64:DA64)</f>
        <v>737</v>
      </c>
      <c r="BV64" s="93">
        <f>SUM($Z64:AO64)-SUM($CM64:DB64)</f>
        <v>709</v>
      </c>
      <c r="BW64" s="93">
        <f>SUM($Z64:AP64)-SUM($CM64:DC64)</f>
        <v>709</v>
      </c>
      <c r="BX64" s="93">
        <f>SUM($Z64:AQ64)-SUM($CM64:DD64)</f>
        <v>709</v>
      </c>
      <c r="BY64" s="93">
        <f>SUM($Z64:AR64)-SUM($CM64:DE64)</f>
        <v>709</v>
      </c>
      <c r="BZ64" s="93">
        <f>SUM($Z64:AS64)-SUM($CM64:DF64)</f>
        <v>709</v>
      </c>
      <c r="CA64" s="93">
        <f>SUM($Z64:AT64)-SUM($CM64:DG64)</f>
        <v>709</v>
      </c>
      <c r="CB64" s="93">
        <f>SUM($Z64:AU64)-SUM($CM64:DH64)</f>
        <v>709</v>
      </c>
      <c r="CC64" s="93">
        <f>SUM($Z64:AV64)-SUM($CM64:DI64)</f>
        <v>709</v>
      </c>
      <c r="CD64" s="93">
        <f>SUM($Z64:AW64)-SUM($CM64:DJ64)</f>
        <v>709</v>
      </c>
      <c r="CE64" s="93">
        <f>SUM($Z64:AX64)-SUM($CM64:DK64)</f>
        <v>709</v>
      </c>
      <c r="CF64" s="93">
        <f>SUM($Z64:AY64)-SUM($CM64:DL64)</f>
        <v>709</v>
      </c>
      <c r="CG64" s="93">
        <f>SUM($Z64:AZ64)-SUM($CM64:DM64)</f>
        <v>709</v>
      </c>
      <c r="CH64" s="93">
        <f>SUM($Z64:BA64)-SUM($CM64:DN64)</f>
        <v>709</v>
      </c>
      <c r="CI64" s="93">
        <f>SUM($Z64:BB64)-SUM($CM64:DO64)</f>
        <v>709</v>
      </c>
      <c r="CJ64" s="93"/>
      <c r="CK64" s="93"/>
      <c r="CL64" s="93"/>
      <c r="CM64" s="93"/>
      <c r="CN64" s="93" cm="1">
        <f t="array" ref="CN64">SUMPRODUCT(TRANSPOSE(CN$4:CN$20),$G64:$W64)</f>
        <v>0</v>
      </c>
      <c r="CO64" s="93" cm="1">
        <f t="array" ref="CO64">SUMPRODUCT(TRANSPOSE(CO$4:CO$20),$G64:$W64)</f>
        <v>0</v>
      </c>
      <c r="CP64" s="93" cm="1">
        <f t="array" ref="CP64">SUMPRODUCT(TRANSPOSE(CP$4:CP$20),$G64:$W64)</f>
        <v>0</v>
      </c>
      <c r="CQ64" s="93" cm="1">
        <f t="array" ref="CQ64">SUMPRODUCT(TRANSPOSE(CQ$4:CQ$20),$G64:$W64)</f>
        <v>156</v>
      </c>
      <c r="CR64" s="93" cm="1">
        <f t="array" ref="CR64">SUMPRODUCT(TRANSPOSE(CR$4:CR$20),$G64:$W64)</f>
        <v>140</v>
      </c>
      <c r="CS64" s="93" cm="1">
        <f t="array" ref="CS64">SUMPRODUCT(TRANSPOSE(CS$4:CS$20),$G64:$W64)</f>
        <v>130</v>
      </c>
      <c r="CT64" s="93" cm="1">
        <f t="array" ref="CT64">SUMPRODUCT(TRANSPOSE(CT$4:CT$20),$G64:$W64)</f>
        <v>120</v>
      </c>
      <c r="CU64" s="93" cm="1">
        <f t="array" ref="CU64">SUMPRODUCT(TRANSPOSE(CU$4:CU$20),$G64:$W64)</f>
        <v>120</v>
      </c>
      <c r="CV64" s="93" cm="1">
        <f t="array" ref="CV64">SUMPRODUCT(TRANSPOSE(CV$4:CV$20),$G64:$W64)</f>
        <v>120</v>
      </c>
      <c r="CW64" s="93" cm="1">
        <f t="array" ref="CW64">SUMPRODUCT(TRANSPOSE(CW$4:CW$20),$G64:$W64)</f>
        <v>120</v>
      </c>
      <c r="CX64" s="93" cm="1">
        <f t="array" ref="CX64">SUMPRODUCT(TRANSPOSE(CX$4:CX$20),$G64:$W64)</f>
        <v>120</v>
      </c>
      <c r="CY64" s="93" cm="1">
        <f t="array" ref="CY64">SUMPRODUCT(TRANSPOSE(CY$4:CY$20),$G64:$W64)</f>
        <v>120</v>
      </c>
      <c r="CZ64" s="93" cm="1">
        <f t="array" ref="CZ64">SUMPRODUCT(TRANSPOSE(CZ$4:CZ$20),$G64:$W64)</f>
        <v>120</v>
      </c>
      <c r="DA64" s="93" cm="1">
        <f t="array" ref="DA64">SUMPRODUCT(TRANSPOSE(DA$4:DA$20),$G64:$W64)</f>
        <v>120</v>
      </c>
      <c r="DB64" s="93" cm="1">
        <f t="array" ref="DB64">SUMPRODUCT(TRANSPOSE(DB$4:DB$20),$G64:$W64)</f>
        <v>28</v>
      </c>
      <c r="DC64" s="93" cm="1">
        <f t="array" ref="DC64">SUMPRODUCT(TRANSPOSE(DC$4:DC$20),$G64:$W64)</f>
        <v>0</v>
      </c>
      <c r="DD64" s="93" cm="1">
        <f t="array" ref="DD64">SUMPRODUCT(TRANSPOSE(DD$4:DD$20),$G64:$W64)</f>
        <v>0</v>
      </c>
      <c r="DE64" s="93" cm="1">
        <f t="array" ref="DE64">SUMPRODUCT(TRANSPOSE(DE$4:DE$20),$G64:$W64)</f>
        <v>0</v>
      </c>
      <c r="DF64" s="93" cm="1">
        <f t="array" ref="DF64">SUMPRODUCT(TRANSPOSE(DF$4:DF$20),$G64:$W64)</f>
        <v>0</v>
      </c>
      <c r="DG64" s="93" cm="1">
        <f t="array" ref="DG64">SUMPRODUCT(TRANSPOSE(DG$4:DG$20),$G64:$W64)</f>
        <v>0</v>
      </c>
      <c r="DH64" s="93" cm="1">
        <f t="array" ref="DH64">SUMPRODUCT(TRANSPOSE(DH$4:DH$20),$G64:$W64)</f>
        <v>0</v>
      </c>
      <c r="DI64" s="93" cm="1">
        <f t="array" ref="DI64">SUMPRODUCT(TRANSPOSE(DI$4:DI$20),$G64:$W64)</f>
        <v>0</v>
      </c>
      <c r="DJ64" s="93" cm="1">
        <f t="array" ref="DJ64">SUMPRODUCT(TRANSPOSE(DJ$4:DJ$20),$G64:$W64)</f>
        <v>0</v>
      </c>
      <c r="DK64" s="93" cm="1">
        <f t="array" ref="DK64">SUMPRODUCT(TRANSPOSE(DK$4:DK$20),$G64:$W64)</f>
        <v>0</v>
      </c>
      <c r="DL64" s="93" cm="1">
        <f t="array" ref="DL64">SUMPRODUCT(TRANSPOSE(DL$4:DL$20),$G64:$W64)</f>
        <v>0</v>
      </c>
      <c r="DM64" s="93" cm="1">
        <f t="array" ref="DM64">SUMPRODUCT(TRANSPOSE(DM$4:DM$20),$G64:$W64)</f>
        <v>0</v>
      </c>
      <c r="DN64" s="93" cm="1">
        <f t="array" ref="DN64">SUMPRODUCT(TRANSPOSE(DN$4:DN$20),$G64:$W64)</f>
        <v>0</v>
      </c>
      <c r="DO64" s="93" cm="1">
        <f t="array" ref="DO64">SUMPRODUCT(TRANSPOSE(DO$4:DO$20),$G64:$W64)</f>
        <v>0</v>
      </c>
    </row>
    <row r="65" spans="1:119" x14ac:dyDescent="0.2">
      <c r="A65" s="45">
        <f t="shared" si="26"/>
        <v>44</v>
      </c>
      <c r="B65" s="46" t="s">
        <v>245</v>
      </c>
      <c r="C65" s="45">
        <v>420564154</v>
      </c>
      <c r="D65" s="45" t="s">
        <v>239</v>
      </c>
      <c r="E65" s="45" t="s">
        <v>162</v>
      </c>
      <c r="F65" s="48">
        <v>1</v>
      </c>
      <c r="G65" s="100">
        <v>0</v>
      </c>
      <c r="H65" s="100">
        <v>0</v>
      </c>
      <c r="I65" s="100">
        <v>0</v>
      </c>
      <c r="J65" s="100">
        <v>0</v>
      </c>
      <c r="K65" s="100">
        <v>0</v>
      </c>
      <c r="L65" s="100">
        <v>0</v>
      </c>
      <c r="M65" s="100">
        <v>0</v>
      </c>
      <c r="N65" s="100">
        <v>0</v>
      </c>
      <c r="O65" s="100">
        <v>1</v>
      </c>
      <c r="P65" s="100">
        <v>0</v>
      </c>
      <c r="Q65" s="100">
        <v>0</v>
      </c>
      <c r="R65" s="100">
        <v>0</v>
      </c>
      <c r="S65" s="100">
        <v>1</v>
      </c>
      <c r="T65" s="100">
        <v>0</v>
      </c>
      <c r="U65" s="100">
        <v>0</v>
      </c>
      <c r="V65" s="100">
        <v>0</v>
      </c>
      <c r="W65" s="100">
        <v>0</v>
      </c>
      <c r="X65" s="88" t="s">
        <v>46</v>
      </c>
      <c r="Y65" s="49">
        <v>773</v>
      </c>
      <c r="Z65" s="45">
        <v>459</v>
      </c>
      <c r="AA65" s="45">
        <v>0</v>
      </c>
      <c r="AB65" s="45">
        <v>0</v>
      </c>
      <c r="AC65" s="45">
        <v>0</v>
      </c>
      <c r="AD65" s="45">
        <v>0</v>
      </c>
      <c r="AE65" s="45">
        <v>100</v>
      </c>
      <c r="AF65" s="45">
        <v>161</v>
      </c>
      <c r="AG65" s="45">
        <v>0</v>
      </c>
      <c r="AH65" s="45">
        <v>0</v>
      </c>
      <c r="AI65" s="45">
        <v>0</v>
      </c>
      <c r="AJ65" s="45">
        <v>0</v>
      </c>
      <c r="AK65" s="45">
        <v>0</v>
      </c>
      <c r="AL65" s="45">
        <v>0</v>
      </c>
      <c r="AM65" s="45">
        <v>0</v>
      </c>
      <c r="AN65" s="45">
        <v>0</v>
      </c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93"/>
      <c r="BE65" s="93"/>
      <c r="BF65" s="93"/>
      <c r="BG65" s="93"/>
      <c r="BH65" s="93"/>
      <c r="BI65" s="93"/>
      <c r="BJ65" s="93"/>
      <c r="BK65" s="93">
        <f>SUM($Z65:AD65)-SUM($CM65:CQ65)</f>
        <v>381</v>
      </c>
      <c r="BL65" s="93">
        <f>SUM($Z65:AE65)-SUM($CM65:CR65)</f>
        <v>411</v>
      </c>
      <c r="BM65" s="93">
        <f>SUM($Z65:AF65)-SUM($CM65:CS65)</f>
        <v>507</v>
      </c>
      <c r="BN65" s="93">
        <f>SUM($Z65:AG65)-SUM($CM65:CT65)</f>
        <v>447</v>
      </c>
      <c r="BO65" s="93">
        <f>SUM($Z65:AH65)-SUM($CM65:CU65)</f>
        <v>387</v>
      </c>
      <c r="BP65" s="93">
        <f>SUM($Z65:AI65)-SUM($CM65:CV65)</f>
        <v>327</v>
      </c>
      <c r="BQ65" s="93">
        <f>SUM($Z65:AJ65)-SUM($CM65:CW65)</f>
        <v>267</v>
      </c>
      <c r="BR65" s="93">
        <f>SUM($Z65:AK65)-SUM($CM65:CX65)</f>
        <v>207</v>
      </c>
      <c r="BS65" s="93">
        <f>SUM($Z65:AL65)-SUM($CM65:CY65)</f>
        <v>147</v>
      </c>
      <c r="BT65" s="93">
        <f>SUM($Z65:AM65)-SUM($CM65:CZ65)</f>
        <v>87</v>
      </c>
      <c r="BU65" s="93">
        <f>SUM($Z65:AN65)-SUM($CM65:DA65)</f>
        <v>27</v>
      </c>
      <c r="BV65" s="93">
        <f>SUM($Z65:AO65)-SUM($CM65:DB65)</f>
        <v>13</v>
      </c>
      <c r="BW65" s="93">
        <f>SUM($Z65:AP65)-SUM($CM65:DC65)</f>
        <v>13</v>
      </c>
      <c r="BX65" s="93">
        <f>SUM($Z65:AQ65)-SUM($CM65:DD65)</f>
        <v>13</v>
      </c>
      <c r="BY65" s="93">
        <f>SUM($Z65:AR65)-SUM($CM65:DE65)</f>
        <v>13</v>
      </c>
      <c r="BZ65" s="93">
        <f>SUM($Z65:AS65)-SUM($CM65:DF65)</f>
        <v>13</v>
      </c>
      <c r="CA65" s="93">
        <f>SUM($Z65:AT65)-SUM($CM65:DG65)</f>
        <v>13</v>
      </c>
      <c r="CB65" s="93">
        <f>SUM($Z65:AU65)-SUM($CM65:DH65)</f>
        <v>13</v>
      </c>
      <c r="CC65" s="93">
        <f>SUM($Z65:AV65)-SUM($CM65:DI65)</f>
        <v>13</v>
      </c>
      <c r="CD65" s="93">
        <f>SUM($Z65:AW65)-SUM($CM65:DJ65)</f>
        <v>13</v>
      </c>
      <c r="CE65" s="93">
        <f>SUM($Z65:AX65)-SUM($CM65:DK65)</f>
        <v>13</v>
      </c>
      <c r="CF65" s="93">
        <f>SUM($Z65:AY65)-SUM($CM65:DL65)</f>
        <v>13</v>
      </c>
      <c r="CG65" s="93">
        <f>SUM($Z65:AZ65)-SUM($CM65:DM65)</f>
        <v>13</v>
      </c>
      <c r="CH65" s="93">
        <f>SUM($Z65:BA65)-SUM($CM65:DN65)</f>
        <v>13</v>
      </c>
      <c r="CI65" s="93">
        <f>SUM($Z65:BB65)-SUM($CM65:DO65)</f>
        <v>13</v>
      </c>
      <c r="CJ65" s="93"/>
      <c r="CK65" s="93"/>
      <c r="CL65" s="93"/>
      <c r="CM65" s="93"/>
      <c r="CN65" s="93" cm="1">
        <f t="array" ref="CN65">SUMPRODUCT(TRANSPOSE(CN$4:CN$20),$G65:$W65)</f>
        <v>0</v>
      </c>
      <c r="CO65" s="93" cm="1">
        <f t="array" ref="CO65">SUMPRODUCT(TRANSPOSE(CO$4:CO$20),$G65:$W65)</f>
        <v>0</v>
      </c>
      <c r="CP65" s="93" cm="1">
        <f t="array" ref="CP65">SUMPRODUCT(TRANSPOSE(CP$4:CP$20),$G65:$W65)</f>
        <v>0</v>
      </c>
      <c r="CQ65" s="93" cm="1">
        <f t="array" ref="CQ65">SUMPRODUCT(TRANSPOSE(CQ$4:CQ$20),$G65:$W65)</f>
        <v>78</v>
      </c>
      <c r="CR65" s="93" cm="1">
        <f t="array" ref="CR65">SUMPRODUCT(TRANSPOSE(CR$4:CR$20),$G65:$W65)</f>
        <v>70</v>
      </c>
      <c r="CS65" s="93" cm="1">
        <f t="array" ref="CS65">SUMPRODUCT(TRANSPOSE(CS$4:CS$20),$G65:$W65)</f>
        <v>65</v>
      </c>
      <c r="CT65" s="93" cm="1">
        <f t="array" ref="CT65">SUMPRODUCT(TRANSPOSE(CT$4:CT$20),$G65:$W65)</f>
        <v>60</v>
      </c>
      <c r="CU65" s="93" cm="1">
        <f t="array" ref="CU65">SUMPRODUCT(TRANSPOSE(CU$4:CU$20),$G65:$W65)</f>
        <v>60</v>
      </c>
      <c r="CV65" s="93" cm="1">
        <f t="array" ref="CV65">SUMPRODUCT(TRANSPOSE(CV$4:CV$20),$G65:$W65)</f>
        <v>60</v>
      </c>
      <c r="CW65" s="93" cm="1">
        <f t="array" ref="CW65">SUMPRODUCT(TRANSPOSE(CW$4:CW$20),$G65:$W65)</f>
        <v>60</v>
      </c>
      <c r="CX65" s="93" cm="1">
        <f t="array" ref="CX65">SUMPRODUCT(TRANSPOSE(CX$4:CX$20),$G65:$W65)</f>
        <v>60</v>
      </c>
      <c r="CY65" s="93" cm="1">
        <f t="array" ref="CY65">SUMPRODUCT(TRANSPOSE(CY$4:CY$20),$G65:$W65)</f>
        <v>60</v>
      </c>
      <c r="CZ65" s="93" cm="1">
        <f t="array" ref="CZ65">SUMPRODUCT(TRANSPOSE(CZ$4:CZ$20),$G65:$W65)</f>
        <v>60</v>
      </c>
      <c r="DA65" s="93" cm="1">
        <f t="array" ref="DA65">SUMPRODUCT(TRANSPOSE(DA$4:DA$20),$G65:$W65)</f>
        <v>60</v>
      </c>
      <c r="DB65" s="93" cm="1">
        <f t="array" ref="DB65">SUMPRODUCT(TRANSPOSE(DB$4:DB$20),$G65:$W65)</f>
        <v>14</v>
      </c>
      <c r="DC65" s="93" cm="1">
        <f t="array" ref="DC65">SUMPRODUCT(TRANSPOSE(DC$4:DC$20),$G65:$W65)</f>
        <v>0</v>
      </c>
      <c r="DD65" s="93" cm="1">
        <f t="array" ref="DD65">SUMPRODUCT(TRANSPOSE(DD$4:DD$20),$G65:$W65)</f>
        <v>0</v>
      </c>
      <c r="DE65" s="93" cm="1">
        <f t="array" ref="DE65">SUMPRODUCT(TRANSPOSE(DE$4:DE$20),$G65:$W65)</f>
        <v>0</v>
      </c>
      <c r="DF65" s="93" cm="1">
        <f t="array" ref="DF65">SUMPRODUCT(TRANSPOSE(DF$4:DF$20),$G65:$W65)</f>
        <v>0</v>
      </c>
      <c r="DG65" s="93" cm="1">
        <f t="array" ref="DG65">SUMPRODUCT(TRANSPOSE(DG$4:DG$20),$G65:$W65)</f>
        <v>0</v>
      </c>
      <c r="DH65" s="93" cm="1">
        <f t="array" ref="DH65">SUMPRODUCT(TRANSPOSE(DH$4:DH$20),$G65:$W65)</f>
        <v>0</v>
      </c>
      <c r="DI65" s="93" cm="1">
        <f t="array" ref="DI65">SUMPRODUCT(TRANSPOSE(DI$4:DI$20),$G65:$W65)</f>
        <v>0</v>
      </c>
      <c r="DJ65" s="93" cm="1">
        <f t="array" ref="DJ65">SUMPRODUCT(TRANSPOSE(DJ$4:DJ$20),$G65:$W65)</f>
        <v>0</v>
      </c>
      <c r="DK65" s="93" cm="1">
        <f t="array" ref="DK65">SUMPRODUCT(TRANSPOSE(DK$4:DK$20),$G65:$W65)</f>
        <v>0</v>
      </c>
      <c r="DL65" s="93" cm="1">
        <f t="array" ref="DL65">SUMPRODUCT(TRANSPOSE(DL$4:DL$20),$G65:$W65)</f>
        <v>0</v>
      </c>
      <c r="DM65" s="93" cm="1">
        <f t="array" ref="DM65">SUMPRODUCT(TRANSPOSE(DM$4:DM$20),$G65:$W65)</f>
        <v>0</v>
      </c>
      <c r="DN65" s="93" cm="1">
        <f t="array" ref="DN65">SUMPRODUCT(TRANSPOSE(DN$4:DN$20),$G65:$W65)</f>
        <v>0</v>
      </c>
      <c r="DO65" s="93" cm="1">
        <f t="array" ref="DO65">SUMPRODUCT(TRANSPOSE(DO$4:DO$20),$G65:$W65)</f>
        <v>0</v>
      </c>
    </row>
    <row r="66" spans="1:119" x14ac:dyDescent="0.2">
      <c r="A66" s="45">
        <f t="shared" si="26"/>
        <v>45</v>
      </c>
      <c r="B66" s="46" t="s">
        <v>246</v>
      </c>
      <c r="C66" s="45">
        <v>418978901</v>
      </c>
      <c r="D66" s="45" t="s">
        <v>247</v>
      </c>
      <c r="E66" s="45" t="s">
        <v>162</v>
      </c>
      <c r="F66" s="48">
        <v>1</v>
      </c>
      <c r="G66" s="100">
        <v>0</v>
      </c>
      <c r="H66" s="100">
        <v>0</v>
      </c>
      <c r="I66" s="100">
        <v>0</v>
      </c>
      <c r="J66" s="100">
        <v>0</v>
      </c>
      <c r="K66" s="100">
        <v>0</v>
      </c>
      <c r="L66" s="100">
        <v>0</v>
      </c>
      <c r="M66" s="100">
        <v>0</v>
      </c>
      <c r="N66" s="100">
        <v>0</v>
      </c>
      <c r="O66" s="100">
        <v>0</v>
      </c>
      <c r="P66" s="100">
        <v>1</v>
      </c>
      <c r="Q66" s="100">
        <v>0</v>
      </c>
      <c r="R66" s="100">
        <v>0</v>
      </c>
      <c r="S66" s="100">
        <v>0</v>
      </c>
      <c r="T66" s="100">
        <v>1</v>
      </c>
      <c r="U66" s="100">
        <v>0</v>
      </c>
      <c r="V66" s="100">
        <v>0</v>
      </c>
      <c r="W66" s="100">
        <v>0</v>
      </c>
      <c r="X66" s="45" t="s">
        <v>46</v>
      </c>
      <c r="Y66" s="49">
        <v>879</v>
      </c>
      <c r="Z66" s="45">
        <v>512</v>
      </c>
      <c r="AA66" s="45">
        <v>0</v>
      </c>
      <c r="AB66" s="45">
        <v>0</v>
      </c>
      <c r="AC66" s="45">
        <v>0</v>
      </c>
      <c r="AD66" s="45">
        <v>0</v>
      </c>
      <c r="AE66" s="45">
        <v>0</v>
      </c>
      <c r="AF66" s="45">
        <v>484</v>
      </c>
      <c r="AG66" s="45">
        <v>0</v>
      </c>
      <c r="AH66" s="45">
        <v>0</v>
      </c>
      <c r="AI66" s="45">
        <v>0</v>
      </c>
      <c r="AJ66" s="45">
        <v>0</v>
      </c>
      <c r="AK66" s="45">
        <v>0</v>
      </c>
      <c r="AL66" s="45">
        <v>0</v>
      </c>
      <c r="AM66" s="45">
        <v>0</v>
      </c>
      <c r="AN66" s="45">
        <v>0</v>
      </c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93"/>
      <c r="BE66" s="93"/>
      <c r="BF66" s="93"/>
      <c r="BG66" s="93"/>
      <c r="BH66" s="93"/>
      <c r="BI66" s="93"/>
      <c r="BJ66" s="93"/>
      <c r="BK66" s="93">
        <f>SUM($Z66:AD66)-SUM($CM66:CQ66)</f>
        <v>434</v>
      </c>
      <c r="BL66" s="93">
        <f>SUM($Z66:AE66)-SUM($CM66:CR66)</f>
        <v>364</v>
      </c>
      <c r="BM66" s="93">
        <f>SUM($Z66:AF66)-SUM($CM66:CS66)</f>
        <v>783</v>
      </c>
      <c r="BN66" s="93">
        <f>SUM($Z66:AG66)-SUM($CM66:CT66)</f>
        <v>723</v>
      </c>
      <c r="BO66" s="93">
        <f>SUM($Z66:AH66)-SUM($CM66:CU66)</f>
        <v>663</v>
      </c>
      <c r="BP66" s="93">
        <f>SUM($Z66:AI66)-SUM($CM66:CV66)</f>
        <v>603</v>
      </c>
      <c r="BQ66" s="93">
        <f>SUM($Z66:AJ66)-SUM($CM66:CW66)</f>
        <v>543</v>
      </c>
      <c r="BR66" s="93">
        <f>SUM($Z66:AK66)-SUM($CM66:CX66)</f>
        <v>483</v>
      </c>
      <c r="BS66" s="93">
        <f>SUM($Z66:AL66)-SUM($CM66:CY66)</f>
        <v>423</v>
      </c>
      <c r="BT66" s="93">
        <f>SUM($Z66:AM66)-SUM($CM66:CZ66)</f>
        <v>363</v>
      </c>
      <c r="BU66" s="93">
        <f>SUM($Z66:AN66)-SUM($CM66:DA66)</f>
        <v>303</v>
      </c>
      <c r="BV66" s="93">
        <f>SUM($Z66:AO66)-SUM($CM66:DB66)</f>
        <v>289</v>
      </c>
      <c r="BW66" s="93">
        <f>SUM($Z66:AP66)-SUM($CM66:DC66)</f>
        <v>289</v>
      </c>
      <c r="BX66" s="93">
        <f>SUM($Z66:AQ66)-SUM($CM66:DD66)</f>
        <v>289</v>
      </c>
      <c r="BY66" s="93">
        <f>SUM($Z66:AR66)-SUM($CM66:DE66)</f>
        <v>289</v>
      </c>
      <c r="BZ66" s="93">
        <f>SUM($Z66:AS66)-SUM($CM66:DF66)</f>
        <v>289</v>
      </c>
      <c r="CA66" s="93">
        <f>SUM($Z66:AT66)-SUM($CM66:DG66)</f>
        <v>289</v>
      </c>
      <c r="CB66" s="93">
        <f>SUM($Z66:AU66)-SUM($CM66:DH66)</f>
        <v>289</v>
      </c>
      <c r="CC66" s="93">
        <f>SUM($Z66:AV66)-SUM($CM66:DI66)</f>
        <v>289</v>
      </c>
      <c r="CD66" s="93">
        <f>SUM($Z66:AW66)-SUM($CM66:DJ66)</f>
        <v>289</v>
      </c>
      <c r="CE66" s="93">
        <f>SUM($Z66:AX66)-SUM($CM66:DK66)</f>
        <v>289</v>
      </c>
      <c r="CF66" s="93">
        <f>SUM($Z66:AY66)-SUM($CM66:DL66)</f>
        <v>289</v>
      </c>
      <c r="CG66" s="93">
        <f>SUM($Z66:AZ66)-SUM($CM66:DM66)</f>
        <v>289</v>
      </c>
      <c r="CH66" s="93">
        <f>SUM($Z66:BA66)-SUM($CM66:DN66)</f>
        <v>289</v>
      </c>
      <c r="CI66" s="93">
        <f>SUM($Z66:BB66)-SUM($CM66:DO66)</f>
        <v>289</v>
      </c>
      <c r="CJ66" s="93"/>
      <c r="CK66" s="93"/>
      <c r="CL66" s="93"/>
      <c r="CM66" s="93"/>
      <c r="CN66" s="93" cm="1">
        <f t="array" ref="CN66">SUMPRODUCT(TRANSPOSE(CN$4:CN$20),$G66:$W66)</f>
        <v>0</v>
      </c>
      <c r="CO66" s="93" cm="1">
        <f t="array" ref="CO66">SUMPRODUCT(TRANSPOSE(CO$4:CO$20),$G66:$W66)</f>
        <v>0</v>
      </c>
      <c r="CP66" s="93" cm="1">
        <f t="array" ref="CP66">SUMPRODUCT(TRANSPOSE(CP$4:CP$20),$G66:$W66)</f>
        <v>0</v>
      </c>
      <c r="CQ66" s="93" cm="1">
        <f t="array" ref="CQ66">SUMPRODUCT(TRANSPOSE(CQ$4:CQ$20),$G66:$W66)</f>
        <v>78</v>
      </c>
      <c r="CR66" s="93" cm="1">
        <f t="array" ref="CR66">SUMPRODUCT(TRANSPOSE(CR$4:CR$20),$G66:$W66)</f>
        <v>70</v>
      </c>
      <c r="CS66" s="93" cm="1">
        <f t="array" ref="CS66">SUMPRODUCT(TRANSPOSE(CS$4:CS$20),$G66:$W66)</f>
        <v>65</v>
      </c>
      <c r="CT66" s="93" cm="1">
        <f t="array" ref="CT66">SUMPRODUCT(TRANSPOSE(CT$4:CT$20),$G66:$W66)</f>
        <v>60</v>
      </c>
      <c r="CU66" s="93" cm="1">
        <f t="array" ref="CU66">SUMPRODUCT(TRANSPOSE(CU$4:CU$20),$G66:$W66)</f>
        <v>60</v>
      </c>
      <c r="CV66" s="93" cm="1">
        <f t="array" ref="CV66">SUMPRODUCT(TRANSPOSE(CV$4:CV$20),$G66:$W66)</f>
        <v>60</v>
      </c>
      <c r="CW66" s="93" cm="1">
        <f t="array" ref="CW66">SUMPRODUCT(TRANSPOSE(CW$4:CW$20),$G66:$W66)</f>
        <v>60</v>
      </c>
      <c r="CX66" s="93" cm="1">
        <f t="array" ref="CX66">SUMPRODUCT(TRANSPOSE(CX$4:CX$20),$G66:$W66)</f>
        <v>60</v>
      </c>
      <c r="CY66" s="93" cm="1">
        <f t="array" ref="CY66">SUMPRODUCT(TRANSPOSE(CY$4:CY$20),$G66:$W66)</f>
        <v>60</v>
      </c>
      <c r="CZ66" s="93" cm="1">
        <f t="array" ref="CZ66">SUMPRODUCT(TRANSPOSE(CZ$4:CZ$20),$G66:$W66)</f>
        <v>60</v>
      </c>
      <c r="DA66" s="93" cm="1">
        <f t="array" ref="DA66">SUMPRODUCT(TRANSPOSE(DA$4:DA$20),$G66:$W66)</f>
        <v>60</v>
      </c>
      <c r="DB66" s="93" cm="1">
        <f t="array" ref="DB66">SUMPRODUCT(TRANSPOSE(DB$4:DB$20),$G66:$W66)</f>
        <v>14</v>
      </c>
      <c r="DC66" s="93" cm="1">
        <f t="array" ref="DC66">SUMPRODUCT(TRANSPOSE(DC$4:DC$20),$G66:$W66)</f>
        <v>0</v>
      </c>
      <c r="DD66" s="93" cm="1">
        <f t="array" ref="DD66">SUMPRODUCT(TRANSPOSE(DD$4:DD$20),$G66:$W66)</f>
        <v>0</v>
      </c>
      <c r="DE66" s="93" cm="1">
        <f t="array" ref="DE66">SUMPRODUCT(TRANSPOSE(DE$4:DE$20),$G66:$W66)</f>
        <v>0</v>
      </c>
      <c r="DF66" s="93" cm="1">
        <f t="array" ref="DF66">SUMPRODUCT(TRANSPOSE(DF$4:DF$20),$G66:$W66)</f>
        <v>0</v>
      </c>
      <c r="DG66" s="93" cm="1">
        <f t="array" ref="DG66">SUMPRODUCT(TRANSPOSE(DG$4:DG$20),$G66:$W66)</f>
        <v>0</v>
      </c>
      <c r="DH66" s="93" cm="1">
        <f t="array" ref="DH66">SUMPRODUCT(TRANSPOSE(DH$4:DH$20),$G66:$W66)</f>
        <v>0</v>
      </c>
      <c r="DI66" s="93" cm="1">
        <f t="array" ref="DI66">SUMPRODUCT(TRANSPOSE(DI$4:DI$20),$G66:$W66)</f>
        <v>0</v>
      </c>
      <c r="DJ66" s="93" cm="1">
        <f t="array" ref="DJ66">SUMPRODUCT(TRANSPOSE(DJ$4:DJ$20),$G66:$W66)</f>
        <v>0</v>
      </c>
      <c r="DK66" s="93" cm="1">
        <f t="array" ref="DK66">SUMPRODUCT(TRANSPOSE(DK$4:DK$20),$G66:$W66)</f>
        <v>0</v>
      </c>
      <c r="DL66" s="93" cm="1">
        <f t="array" ref="DL66">SUMPRODUCT(TRANSPOSE(DL$4:DL$20),$G66:$W66)</f>
        <v>0</v>
      </c>
      <c r="DM66" s="93" cm="1">
        <f t="array" ref="DM66">SUMPRODUCT(TRANSPOSE(DM$4:DM$20),$G66:$W66)</f>
        <v>0</v>
      </c>
      <c r="DN66" s="93" cm="1">
        <f t="array" ref="DN66">SUMPRODUCT(TRANSPOSE(DN$4:DN$20),$G66:$W66)</f>
        <v>0</v>
      </c>
      <c r="DO66" s="93" cm="1">
        <f t="array" ref="DO66">SUMPRODUCT(TRANSPOSE(DO$4:DO$20),$G66:$W66)</f>
        <v>0</v>
      </c>
    </row>
    <row r="67" spans="1:119" x14ac:dyDescent="0.2">
      <c r="A67" s="45">
        <f t="shared" si="26"/>
        <v>46</v>
      </c>
      <c r="B67" s="46" t="s">
        <v>248</v>
      </c>
      <c r="C67" s="45">
        <v>414731763</v>
      </c>
      <c r="D67" s="45" t="s">
        <v>244</v>
      </c>
      <c r="E67" s="45" t="s">
        <v>162</v>
      </c>
      <c r="F67" s="48">
        <v>1</v>
      </c>
      <c r="G67" s="100">
        <v>0</v>
      </c>
      <c r="H67" s="100">
        <v>0</v>
      </c>
      <c r="I67" s="100">
        <v>0</v>
      </c>
      <c r="J67" s="100">
        <v>0</v>
      </c>
      <c r="K67" s="100">
        <v>0</v>
      </c>
      <c r="L67" s="100">
        <v>0</v>
      </c>
      <c r="M67" s="100">
        <v>0</v>
      </c>
      <c r="N67" s="100">
        <v>0</v>
      </c>
      <c r="O67" s="100">
        <v>0</v>
      </c>
      <c r="P67" s="100">
        <v>2</v>
      </c>
      <c r="Q67" s="100">
        <v>0</v>
      </c>
      <c r="R67" s="100">
        <v>0</v>
      </c>
      <c r="S67" s="100">
        <v>0</v>
      </c>
      <c r="T67" s="100">
        <v>2</v>
      </c>
      <c r="U67" s="100">
        <v>0</v>
      </c>
      <c r="V67" s="100">
        <v>0</v>
      </c>
      <c r="W67" s="100">
        <v>0</v>
      </c>
      <c r="X67" s="45" t="s">
        <v>46</v>
      </c>
      <c r="Y67" s="49">
        <v>21</v>
      </c>
      <c r="Z67" s="45">
        <v>2134</v>
      </c>
      <c r="AA67" s="45">
        <v>0</v>
      </c>
      <c r="AB67" s="45">
        <v>0</v>
      </c>
      <c r="AC67" s="45">
        <v>0</v>
      </c>
      <c r="AD67" s="45">
        <v>0</v>
      </c>
      <c r="AE67" s="45">
        <v>0</v>
      </c>
      <c r="AF67" s="45">
        <v>0</v>
      </c>
      <c r="AG67" s="45">
        <v>0</v>
      </c>
      <c r="AH67" s="45">
        <v>0</v>
      </c>
      <c r="AI67" s="45">
        <v>0</v>
      </c>
      <c r="AJ67" s="45">
        <v>0</v>
      </c>
      <c r="AK67" s="45">
        <v>0</v>
      </c>
      <c r="AL67" s="45">
        <v>0</v>
      </c>
      <c r="AM67" s="45">
        <v>0</v>
      </c>
      <c r="AN67" s="45">
        <v>0</v>
      </c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93"/>
      <c r="BE67" s="93"/>
      <c r="BF67" s="93"/>
      <c r="BG67" s="93"/>
      <c r="BH67" s="93"/>
      <c r="BI67" s="93"/>
      <c r="BJ67" s="93"/>
      <c r="BK67" s="93">
        <f>SUM($Z67:AD67)-SUM($CM67:CQ67)</f>
        <v>1978</v>
      </c>
      <c r="BL67" s="93">
        <f>SUM($Z67:AE67)-SUM($CM67:CR67)</f>
        <v>1838</v>
      </c>
      <c r="BM67" s="93">
        <f>SUM($Z67:AF67)-SUM($CM67:CS67)</f>
        <v>1708</v>
      </c>
      <c r="BN67" s="93">
        <f>SUM($Z67:AG67)-SUM($CM67:CT67)</f>
        <v>1588</v>
      </c>
      <c r="BO67" s="93">
        <f>SUM($Z67:AH67)-SUM($CM67:CU67)</f>
        <v>1468</v>
      </c>
      <c r="BP67" s="93">
        <f>SUM($Z67:AI67)-SUM($CM67:CV67)</f>
        <v>1348</v>
      </c>
      <c r="BQ67" s="93">
        <f>SUM($Z67:AJ67)-SUM($CM67:CW67)</f>
        <v>1228</v>
      </c>
      <c r="BR67" s="93">
        <f>SUM($Z67:AK67)-SUM($CM67:CX67)</f>
        <v>1108</v>
      </c>
      <c r="BS67" s="93">
        <f>SUM($Z67:AL67)-SUM($CM67:CY67)</f>
        <v>988</v>
      </c>
      <c r="BT67" s="93">
        <f>SUM($Z67:AM67)-SUM($CM67:CZ67)</f>
        <v>868</v>
      </c>
      <c r="BU67" s="93">
        <f>SUM($Z67:AN67)-SUM($CM67:DA67)</f>
        <v>748</v>
      </c>
      <c r="BV67" s="93">
        <f>SUM($Z67:AO67)-SUM($CM67:DB67)</f>
        <v>720</v>
      </c>
      <c r="BW67" s="93">
        <f>SUM($Z67:AP67)-SUM($CM67:DC67)</f>
        <v>720</v>
      </c>
      <c r="BX67" s="93">
        <f>SUM($Z67:AQ67)-SUM($CM67:DD67)</f>
        <v>720</v>
      </c>
      <c r="BY67" s="93">
        <f>SUM($Z67:AR67)-SUM($CM67:DE67)</f>
        <v>720</v>
      </c>
      <c r="BZ67" s="93">
        <f>SUM($Z67:AS67)-SUM($CM67:DF67)</f>
        <v>720</v>
      </c>
      <c r="CA67" s="93">
        <f>SUM($Z67:AT67)-SUM($CM67:DG67)</f>
        <v>720</v>
      </c>
      <c r="CB67" s="93">
        <f>SUM($Z67:AU67)-SUM($CM67:DH67)</f>
        <v>720</v>
      </c>
      <c r="CC67" s="93">
        <f>SUM($Z67:AV67)-SUM($CM67:DI67)</f>
        <v>720</v>
      </c>
      <c r="CD67" s="93">
        <f>SUM($Z67:AW67)-SUM($CM67:DJ67)</f>
        <v>720</v>
      </c>
      <c r="CE67" s="93">
        <f>SUM($Z67:AX67)-SUM($CM67:DK67)</f>
        <v>720</v>
      </c>
      <c r="CF67" s="93">
        <f>SUM($Z67:AY67)-SUM($CM67:DL67)</f>
        <v>720</v>
      </c>
      <c r="CG67" s="93">
        <f>SUM($Z67:AZ67)-SUM($CM67:DM67)</f>
        <v>720</v>
      </c>
      <c r="CH67" s="93">
        <f>SUM($Z67:BA67)-SUM($CM67:DN67)</f>
        <v>720</v>
      </c>
      <c r="CI67" s="93">
        <f>SUM($Z67:BB67)-SUM($CM67:DO67)</f>
        <v>720</v>
      </c>
      <c r="CJ67" s="93"/>
      <c r="CK67" s="93"/>
      <c r="CL67" s="93"/>
      <c r="CM67" s="93"/>
      <c r="CN67" s="93" cm="1">
        <f t="array" ref="CN67">SUMPRODUCT(TRANSPOSE(CN$4:CN$20),$G67:$W67)</f>
        <v>0</v>
      </c>
      <c r="CO67" s="93" cm="1">
        <f t="array" ref="CO67">SUMPRODUCT(TRANSPOSE(CO$4:CO$20),$G67:$W67)</f>
        <v>0</v>
      </c>
      <c r="CP67" s="93" cm="1">
        <f t="array" ref="CP67">SUMPRODUCT(TRANSPOSE(CP$4:CP$20),$G67:$W67)</f>
        <v>0</v>
      </c>
      <c r="CQ67" s="93" cm="1">
        <f t="array" ref="CQ67">SUMPRODUCT(TRANSPOSE(CQ$4:CQ$20),$G67:$W67)</f>
        <v>156</v>
      </c>
      <c r="CR67" s="93" cm="1">
        <f t="array" ref="CR67">SUMPRODUCT(TRANSPOSE(CR$4:CR$20),$G67:$W67)</f>
        <v>140</v>
      </c>
      <c r="CS67" s="93" cm="1">
        <f t="array" ref="CS67">SUMPRODUCT(TRANSPOSE(CS$4:CS$20),$G67:$W67)</f>
        <v>130</v>
      </c>
      <c r="CT67" s="93" cm="1">
        <f t="array" ref="CT67">SUMPRODUCT(TRANSPOSE(CT$4:CT$20),$G67:$W67)</f>
        <v>120</v>
      </c>
      <c r="CU67" s="93" cm="1">
        <f t="array" ref="CU67">SUMPRODUCT(TRANSPOSE(CU$4:CU$20),$G67:$W67)</f>
        <v>120</v>
      </c>
      <c r="CV67" s="93" cm="1">
        <f t="array" ref="CV67">SUMPRODUCT(TRANSPOSE(CV$4:CV$20),$G67:$W67)</f>
        <v>120</v>
      </c>
      <c r="CW67" s="93" cm="1">
        <f t="array" ref="CW67">SUMPRODUCT(TRANSPOSE(CW$4:CW$20),$G67:$W67)</f>
        <v>120</v>
      </c>
      <c r="CX67" s="93" cm="1">
        <f t="array" ref="CX67">SUMPRODUCT(TRANSPOSE(CX$4:CX$20),$G67:$W67)</f>
        <v>120</v>
      </c>
      <c r="CY67" s="93" cm="1">
        <f t="array" ref="CY67">SUMPRODUCT(TRANSPOSE(CY$4:CY$20),$G67:$W67)</f>
        <v>120</v>
      </c>
      <c r="CZ67" s="93" cm="1">
        <f t="array" ref="CZ67">SUMPRODUCT(TRANSPOSE(CZ$4:CZ$20),$G67:$W67)</f>
        <v>120</v>
      </c>
      <c r="DA67" s="93" cm="1">
        <f t="array" ref="DA67">SUMPRODUCT(TRANSPOSE(DA$4:DA$20),$G67:$W67)</f>
        <v>120</v>
      </c>
      <c r="DB67" s="93" cm="1">
        <f t="array" ref="DB67">SUMPRODUCT(TRANSPOSE(DB$4:DB$20),$G67:$W67)</f>
        <v>28</v>
      </c>
      <c r="DC67" s="93" cm="1">
        <f t="array" ref="DC67">SUMPRODUCT(TRANSPOSE(DC$4:DC$20),$G67:$W67)</f>
        <v>0</v>
      </c>
      <c r="DD67" s="93" cm="1">
        <f t="array" ref="DD67">SUMPRODUCT(TRANSPOSE(DD$4:DD$20),$G67:$W67)</f>
        <v>0</v>
      </c>
      <c r="DE67" s="93" cm="1">
        <f t="array" ref="DE67">SUMPRODUCT(TRANSPOSE(DE$4:DE$20),$G67:$W67)</f>
        <v>0</v>
      </c>
      <c r="DF67" s="93" cm="1">
        <f t="array" ref="DF67">SUMPRODUCT(TRANSPOSE(DF$4:DF$20),$G67:$W67)</f>
        <v>0</v>
      </c>
      <c r="DG67" s="93" cm="1">
        <f t="array" ref="DG67">SUMPRODUCT(TRANSPOSE(DG$4:DG$20),$G67:$W67)</f>
        <v>0</v>
      </c>
      <c r="DH67" s="93" cm="1">
        <f t="array" ref="DH67">SUMPRODUCT(TRANSPOSE(DH$4:DH$20),$G67:$W67)</f>
        <v>0</v>
      </c>
      <c r="DI67" s="93" cm="1">
        <f t="array" ref="DI67">SUMPRODUCT(TRANSPOSE(DI$4:DI$20),$G67:$W67)</f>
        <v>0</v>
      </c>
      <c r="DJ67" s="93" cm="1">
        <f t="array" ref="DJ67">SUMPRODUCT(TRANSPOSE(DJ$4:DJ$20),$G67:$W67)</f>
        <v>0</v>
      </c>
      <c r="DK67" s="93" cm="1">
        <f t="array" ref="DK67">SUMPRODUCT(TRANSPOSE(DK$4:DK$20),$G67:$W67)</f>
        <v>0</v>
      </c>
      <c r="DL67" s="93" cm="1">
        <f t="array" ref="DL67">SUMPRODUCT(TRANSPOSE(DL$4:DL$20),$G67:$W67)</f>
        <v>0</v>
      </c>
      <c r="DM67" s="93" cm="1">
        <f t="array" ref="DM67">SUMPRODUCT(TRANSPOSE(DM$4:DM$20),$G67:$W67)</f>
        <v>0</v>
      </c>
      <c r="DN67" s="93" cm="1">
        <f t="array" ref="DN67">SUMPRODUCT(TRANSPOSE(DN$4:DN$20),$G67:$W67)</f>
        <v>0</v>
      </c>
      <c r="DO67" s="93" cm="1">
        <f t="array" ref="DO67">SUMPRODUCT(TRANSPOSE(DO$4:DO$20),$G67:$W67)</f>
        <v>0</v>
      </c>
    </row>
    <row r="68" spans="1:119" x14ac:dyDescent="0.2">
      <c r="A68" s="45">
        <f t="shared" si="26"/>
        <v>47</v>
      </c>
      <c r="B68" s="46" t="s">
        <v>249</v>
      </c>
      <c r="C68" s="45">
        <v>415251811</v>
      </c>
      <c r="D68" s="45" t="s">
        <v>250</v>
      </c>
      <c r="E68" s="45" t="s">
        <v>162</v>
      </c>
      <c r="F68" s="48">
        <v>1</v>
      </c>
      <c r="G68" s="100">
        <v>0</v>
      </c>
      <c r="H68" s="100">
        <v>0</v>
      </c>
      <c r="I68" s="100">
        <v>0</v>
      </c>
      <c r="J68" s="100">
        <v>0</v>
      </c>
      <c r="K68" s="100">
        <v>0</v>
      </c>
      <c r="L68" s="100">
        <v>0</v>
      </c>
      <c r="M68" s="100">
        <v>0</v>
      </c>
      <c r="N68" s="100">
        <v>0</v>
      </c>
      <c r="O68" s="100">
        <v>1</v>
      </c>
      <c r="P68" s="100">
        <v>0</v>
      </c>
      <c r="Q68" s="100">
        <v>0</v>
      </c>
      <c r="R68" s="100">
        <v>0</v>
      </c>
      <c r="S68" s="100">
        <v>1</v>
      </c>
      <c r="T68" s="100">
        <v>0</v>
      </c>
      <c r="U68" s="100">
        <v>0</v>
      </c>
      <c r="V68" s="100">
        <v>0</v>
      </c>
      <c r="W68" s="100">
        <v>0</v>
      </c>
      <c r="X68" s="45" t="s">
        <v>50</v>
      </c>
      <c r="Y68" s="49">
        <v>16.3</v>
      </c>
      <c r="Z68" s="45">
        <v>1067</v>
      </c>
      <c r="AA68" s="45">
        <v>0</v>
      </c>
      <c r="AB68" s="45">
        <v>0</v>
      </c>
      <c r="AC68" s="45">
        <v>0</v>
      </c>
      <c r="AD68" s="45">
        <v>0</v>
      </c>
      <c r="AE68" s="45">
        <v>0</v>
      </c>
      <c r="AF68" s="45">
        <v>0</v>
      </c>
      <c r="AG68" s="45">
        <v>0</v>
      </c>
      <c r="AH68" s="45">
        <v>0</v>
      </c>
      <c r="AI68" s="45">
        <v>0</v>
      </c>
      <c r="AJ68" s="45">
        <v>0</v>
      </c>
      <c r="AK68" s="45">
        <v>0</v>
      </c>
      <c r="AL68" s="45">
        <v>0</v>
      </c>
      <c r="AM68" s="45">
        <v>0</v>
      </c>
      <c r="AN68" s="45">
        <v>0</v>
      </c>
      <c r="AO68" s="45"/>
      <c r="AP68" s="45"/>
      <c r="AQ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5"/>
      <c r="BC68" s="45"/>
      <c r="BD68" s="93"/>
      <c r="BE68" s="93"/>
      <c r="BF68" s="93"/>
      <c r="BG68" s="93"/>
      <c r="BH68" s="93"/>
      <c r="BI68" s="93"/>
      <c r="BJ68" s="93"/>
      <c r="BK68" s="93">
        <f>SUM($Z68:AD68)-SUM($CM68:CQ68)</f>
        <v>989</v>
      </c>
      <c r="BL68" s="93">
        <f>SUM($Z68:AE68)-SUM($CM68:CR68)</f>
        <v>919</v>
      </c>
      <c r="BM68" s="93">
        <f>SUM($Z68:AF68)-SUM($CM68:CS68)</f>
        <v>854</v>
      </c>
      <c r="BN68" s="93">
        <f>SUM($Z68:AG68)-SUM($CM68:CT68)</f>
        <v>794</v>
      </c>
      <c r="BO68" s="93">
        <f>SUM($Z68:AH68)-SUM($CM68:CU68)</f>
        <v>734</v>
      </c>
      <c r="BP68" s="93">
        <f>SUM($Z68:AI68)-SUM($CM68:CV68)</f>
        <v>674</v>
      </c>
      <c r="BQ68" s="93">
        <f>SUM($Z68:AJ68)-SUM($CM68:CW68)</f>
        <v>614</v>
      </c>
      <c r="BR68" s="93">
        <f>SUM($Z68:AK68)-SUM($CM68:CX68)</f>
        <v>554</v>
      </c>
      <c r="BS68" s="93">
        <f>SUM($Z68:AL68)-SUM($CM68:CY68)</f>
        <v>494</v>
      </c>
      <c r="BT68" s="93">
        <f>SUM($Z68:AM68)-SUM($CM68:CZ68)</f>
        <v>434</v>
      </c>
      <c r="BU68" s="93">
        <f>SUM($Z68:AN68)-SUM($CM68:DA68)</f>
        <v>374</v>
      </c>
      <c r="BV68" s="93">
        <f>SUM($Z68:AO68)-SUM($CM68:DB68)</f>
        <v>360</v>
      </c>
      <c r="BW68" s="93">
        <f>SUM($Z68:AP68)-SUM($CM68:DC68)</f>
        <v>360</v>
      </c>
      <c r="BX68" s="93">
        <f>SUM($Z68:AQ68)-SUM($CM68:DD68)</f>
        <v>360</v>
      </c>
      <c r="BY68" s="93">
        <f>SUM($Z68:AR68)-SUM($CM68:DE68)</f>
        <v>360</v>
      </c>
      <c r="BZ68" s="93">
        <f>SUM($Z68:AS68)-SUM($CM68:DF68)</f>
        <v>360</v>
      </c>
      <c r="CA68" s="93">
        <f>SUM($Z68:AT68)-SUM($CM68:DG68)</f>
        <v>360</v>
      </c>
      <c r="CB68" s="93">
        <f>SUM($Z68:AU68)-SUM($CM68:DH68)</f>
        <v>360</v>
      </c>
      <c r="CC68" s="93">
        <f>SUM($Z68:AV68)-SUM($CM68:DI68)</f>
        <v>360</v>
      </c>
      <c r="CD68" s="93">
        <f>SUM($Z68:AW68)-SUM($CM68:DJ68)</f>
        <v>360</v>
      </c>
      <c r="CE68" s="93">
        <f>SUM($Z68:AX68)-SUM($CM68:DK68)</f>
        <v>360</v>
      </c>
      <c r="CF68" s="93">
        <f>SUM($Z68:AY68)-SUM($CM68:DL68)</f>
        <v>360</v>
      </c>
      <c r="CG68" s="93">
        <f>SUM($Z68:AZ68)-SUM($CM68:DM68)</f>
        <v>360</v>
      </c>
      <c r="CH68" s="93">
        <f>SUM($Z68:BA68)-SUM($CM68:DN68)</f>
        <v>360</v>
      </c>
      <c r="CI68" s="93">
        <f>SUM($Z68:BB68)-SUM($CM68:DO68)</f>
        <v>360</v>
      </c>
      <c r="CJ68" s="93"/>
      <c r="CK68" s="93"/>
      <c r="CL68" s="93"/>
      <c r="CM68" s="93"/>
      <c r="CN68" s="93" cm="1">
        <f t="array" ref="CN68">SUMPRODUCT(TRANSPOSE(CN$4:CN$20),$G68:$W68)</f>
        <v>0</v>
      </c>
      <c r="CO68" s="93" cm="1">
        <f t="array" ref="CO68">SUMPRODUCT(TRANSPOSE(CO$4:CO$20),$G68:$W68)</f>
        <v>0</v>
      </c>
      <c r="CP68" s="93" cm="1">
        <f t="array" ref="CP68">SUMPRODUCT(TRANSPOSE(CP$4:CP$20),$G68:$W68)</f>
        <v>0</v>
      </c>
      <c r="CQ68" s="93" cm="1">
        <f t="array" ref="CQ68">SUMPRODUCT(TRANSPOSE(CQ$4:CQ$20),$G68:$W68)</f>
        <v>78</v>
      </c>
      <c r="CR68" s="93" cm="1">
        <f t="array" ref="CR68">SUMPRODUCT(TRANSPOSE(CR$4:CR$20),$G68:$W68)</f>
        <v>70</v>
      </c>
      <c r="CS68" s="93" cm="1">
        <f t="array" ref="CS68">SUMPRODUCT(TRANSPOSE(CS$4:CS$20),$G68:$W68)</f>
        <v>65</v>
      </c>
      <c r="CT68" s="93" cm="1">
        <f t="array" ref="CT68">SUMPRODUCT(TRANSPOSE(CT$4:CT$20),$G68:$W68)</f>
        <v>60</v>
      </c>
      <c r="CU68" s="93" cm="1">
        <f t="array" ref="CU68">SUMPRODUCT(TRANSPOSE(CU$4:CU$20),$G68:$W68)</f>
        <v>60</v>
      </c>
      <c r="CV68" s="93" cm="1">
        <f t="array" ref="CV68">SUMPRODUCT(TRANSPOSE(CV$4:CV$20),$G68:$W68)</f>
        <v>60</v>
      </c>
      <c r="CW68" s="93" cm="1">
        <f t="array" ref="CW68">SUMPRODUCT(TRANSPOSE(CW$4:CW$20),$G68:$W68)</f>
        <v>60</v>
      </c>
      <c r="CX68" s="93" cm="1">
        <f t="array" ref="CX68">SUMPRODUCT(TRANSPOSE(CX$4:CX$20),$G68:$W68)</f>
        <v>60</v>
      </c>
      <c r="CY68" s="93" cm="1">
        <f t="array" ref="CY68">SUMPRODUCT(TRANSPOSE(CY$4:CY$20),$G68:$W68)</f>
        <v>60</v>
      </c>
      <c r="CZ68" s="93" cm="1">
        <f t="array" ref="CZ68">SUMPRODUCT(TRANSPOSE(CZ$4:CZ$20),$G68:$W68)</f>
        <v>60</v>
      </c>
      <c r="DA68" s="93" cm="1">
        <f t="array" ref="DA68">SUMPRODUCT(TRANSPOSE(DA$4:DA$20),$G68:$W68)</f>
        <v>60</v>
      </c>
      <c r="DB68" s="93" cm="1">
        <f t="array" ref="DB68">SUMPRODUCT(TRANSPOSE(DB$4:DB$20),$G68:$W68)</f>
        <v>14</v>
      </c>
      <c r="DC68" s="93" cm="1">
        <f t="array" ref="DC68">SUMPRODUCT(TRANSPOSE(DC$4:DC$20),$G68:$W68)</f>
        <v>0</v>
      </c>
      <c r="DD68" s="93" cm="1">
        <f t="array" ref="DD68">SUMPRODUCT(TRANSPOSE(DD$4:DD$20),$G68:$W68)</f>
        <v>0</v>
      </c>
      <c r="DE68" s="93" cm="1">
        <f t="array" ref="DE68">SUMPRODUCT(TRANSPOSE(DE$4:DE$20),$G68:$W68)</f>
        <v>0</v>
      </c>
      <c r="DF68" s="93" cm="1">
        <f t="array" ref="DF68">SUMPRODUCT(TRANSPOSE(DF$4:DF$20),$G68:$W68)</f>
        <v>0</v>
      </c>
      <c r="DG68" s="93" cm="1">
        <f t="array" ref="DG68">SUMPRODUCT(TRANSPOSE(DG$4:DG$20),$G68:$W68)</f>
        <v>0</v>
      </c>
      <c r="DH68" s="93" cm="1">
        <f t="array" ref="DH68">SUMPRODUCT(TRANSPOSE(DH$4:DH$20),$G68:$W68)</f>
        <v>0</v>
      </c>
      <c r="DI68" s="93" cm="1">
        <f t="array" ref="DI68">SUMPRODUCT(TRANSPOSE(DI$4:DI$20),$G68:$W68)</f>
        <v>0</v>
      </c>
      <c r="DJ68" s="93" cm="1">
        <f t="array" ref="DJ68">SUMPRODUCT(TRANSPOSE(DJ$4:DJ$20),$G68:$W68)</f>
        <v>0</v>
      </c>
      <c r="DK68" s="93" cm="1">
        <f t="array" ref="DK68">SUMPRODUCT(TRANSPOSE(DK$4:DK$20),$G68:$W68)</f>
        <v>0</v>
      </c>
      <c r="DL68" s="93" cm="1">
        <f t="array" ref="DL68">SUMPRODUCT(TRANSPOSE(DL$4:DL$20),$G68:$W68)</f>
        <v>0</v>
      </c>
      <c r="DM68" s="93" cm="1">
        <f t="array" ref="DM68">SUMPRODUCT(TRANSPOSE(DM$4:DM$20),$G68:$W68)</f>
        <v>0</v>
      </c>
      <c r="DN68" s="93" cm="1">
        <f t="array" ref="DN68">SUMPRODUCT(TRANSPOSE(DN$4:DN$20),$G68:$W68)</f>
        <v>0</v>
      </c>
      <c r="DO68" s="93" cm="1">
        <f t="array" ref="DO68">SUMPRODUCT(TRANSPOSE(DO$4:DO$20),$G68:$W68)</f>
        <v>0</v>
      </c>
    </row>
    <row r="69" spans="1:119" x14ac:dyDescent="0.2">
      <c r="A69" s="45">
        <f t="shared" si="26"/>
        <v>48</v>
      </c>
      <c r="B69" s="46" t="s">
        <v>251</v>
      </c>
      <c r="C69" s="45">
        <v>415290646</v>
      </c>
      <c r="D69" s="45" t="s">
        <v>252</v>
      </c>
      <c r="E69" s="45" t="s">
        <v>162</v>
      </c>
      <c r="F69" s="48">
        <v>1</v>
      </c>
      <c r="G69" s="100">
        <v>0</v>
      </c>
      <c r="H69" s="100">
        <v>0</v>
      </c>
      <c r="I69" s="100">
        <v>0</v>
      </c>
      <c r="J69" s="100">
        <v>0</v>
      </c>
      <c r="K69" s="100">
        <v>0</v>
      </c>
      <c r="L69" s="100">
        <v>0</v>
      </c>
      <c r="M69" s="100">
        <v>0</v>
      </c>
      <c r="N69" s="100">
        <v>0</v>
      </c>
      <c r="O69" s="100">
        <v>2</v>
      </c>
      <c r="P69" s="100">
        <v>0</v>
      </c>
      <c r="Q69" s="100">
        <v>0</v>
      </c>
      <c r="R69" s="100">
        <v>0</v>
      </c>
      <c r="S69" s="100">
        <v>2</v>
      </c>
      <c r="T69" s="100">
        <v>0</v>
      </c>
      <c r="U69" s="100">
        <v>0</v>
      </c>
      <c r="V69" s="100">
        <v>0</v>
      </c>
      <c r="W69" s="100">
        <v>0</v>
      </c>
      <c r="X69" s="45" t="s">
        <v>46</v>
      </c>
      <c r="Y69" s="49">
        <v>29</v>
      </c>
      <c r="Z69" s="45">
        <v>2058</v>
      </c>
      <c r="AA69" s="45">
        <v>0</v>
      </c>
      <c r="AB69" s="45">
        <v>0</v>
      </c>
      <c r="AC69" s="45">
        <v>0</v>
      </c>
      <c r="AD69" s="45">
        <v>0</v>
      </c>
      <c r="AE69" s="45">
        <v>0</v>
      </c>
      <c r="AF69" s="45">
        <v>14</v>
      </c>
      <c r="AG69" s="45">
        <v>0</v>
      </c>
      <c r="AH69" s="45">
        <v>0</v>
      </c>
      <c r="AI69" s="45">
        <v>0</v>
      </c>
      <c r="AJ69" s="45">
        <v>0</v>
      </c>
      <c r="AK69" s="45">
        <v>0</v>
      </c>
      <c r="AL69" s="45">
        <v>0</v>
      </c>
      <c r="AM69" s="45">
        <v>0</v>
      </c>
      <c r="AN69" s="45">
        <v>0</v>
      </c>
      <c r="AO69" s="45"/>
      <c r="AP69" s="45"/>
      <c r="AQ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5"/>
      <c r="BC69" s="45"/>
      <c r="BD69" s="93"/>
      <c r="BE69" s="93"/>
      <c r="BF69" s="93"/>
      <c r="BG69" s="93"/>
      <c r="BH69" s="93"/>
      <c r="BI69" s="93"/>
      <c r="BJ69" s="93"/>
      <c r="BK69" s="93">
        <f>SUM($Z69:AD69)-SUM($CM69:CQ69)</f>
        <v>1902</v>
      </c>
      <c r="BL69" s="93">
        <f>SUM($Z69:AE69)-SUM($CM69:CR69)</f>
        <v>1762</v>
      </c>
      <c r="BM69" s="93">
        <f>SUM($Z69:AF69)-SUM($CM69:CS69)</f>
        <v>1646</v>
      </c>
      <c r="BN69" s="93">
        <f>SUM($Z69:AG69)-SUM($CM69:CT69)</f>
        <v>1526</v>
      </c>
      <c r="BO69" s="93">
        <f>SUM($Z69:AH69)-SUM($CM69:CU69)</f>
        <v>1406</v>
      </c>
      <c r="BP69" s="93">
        <f>SUM($Z69:AI69)-SUM($CM69:CV69)</f>
        <v>1286</v>
      </c>
      <c r="BQ69" s="93">
        <f>SUM($Z69:AJ69)-SUM($CM69:CW69)</f>
        <v>1166</v>
      </c>
      <c r="BR69" s="93">
        <f>SUM($Z69:AK69)-SUM($CM69:CX69)</f>
        <v>1046</v>
      </c>
      <c r="BS69" s="93">
        <f>SUM($Z69:AL69)-SUM($CM69:CY69)</f>
        <v>926</v>
      </c>
      <c r="BT69" s="93">
        <f>SUM($Z69:AM69)-SUM($CM69:CZ69)</f>
        <v>806</v>
      </c>
      <c r="BU69" s="93">
        <f>SUM($Z69:AN69)-SUM($CM69:DA69)</f>
        <v>686</v>
      </c>
      <c r="BV69" s="93">
        <f>SUM($Z69:AO69)-SUM($CM69:DB69)</f>
        <v>658</v>
      </c>
      <c r="BW69" s="93">
        <f>SUM($Z69:AP69)-SUM($CM69:DC69)</f>
        <v>658</v>
      </c>
      <c r="BX69" s="93">
        <f>SUM($Z69:AQ69)-SUM($CM69:DD69)</f>
        <v>658</v>
      </c>
      <c r="BY69" s="93">
        <f>SUM($Z69:AR69)-SUM($CM69:DE69)</f>
        <v>658</v>
      </c>
      <c r="BZ69" s="93">
        <f>SUM($Z69:AS69)-SUM($CM69:DF69)</f>
        <v>658</v>
      </c>
      <c r="CA69" s="93">
        <f>SUM($Z69:AT69)-SUM($CM69:DG69)</f>
        <v>658</v>
      </c>
      <c r="CB69" s="93">
        <f>SUM($Z69:AU69)-SUM($CM69:DH69)</f>
        <v>658</v>
      </c>
      <c r="CC69" s="93">
        <f>SUM($Z69:AV69)-SUM($CM69:DI69)</f>
        <v>658</v>
      </c>
      <c r="CD69" s="93">
        <f>SUM($Z69:AW69)-SUM($CM69:DJ69)</f>
        <v>658</v>
      </c>
      <c r="CE69" s="93">
        <f>SUM($Z69:AX69)-SUM($CM69:DK69)</f>
        <v>658</v>
      </c>
      <c r="CF69" s="93">
        <f>SUM($Z69:AY69)-SUM($CM69:DL69)</f>
        <v>658</v>
      </c>
      <c r="CG69" s="93">
        <f>SUM($Z69:AZ69)-SUM($CM69:DM69)</f>
        <v>658</v>
      </c>
      <c r="CH69" s="93">
        <f>SUM($Z69:BA69)-SUM($CM69:DN69)</f>
        <v>658</v>
      </c>
      <c r="CI69" s="93">
        <f>SUM($Z69:BB69)-SUM($CM69:DO69)</f>
        <v>658</v>
      </c>
      <c r="CJ69" s="93"/>
      <c r="CK69" s="93"/>
      <c r="CL69" s="93"/>
      <c r="CM69" s="93"/>
      <c r="CN69" s="93" cm="1">
        <f t="array" ref="CN69">SUMPRODUCT(TRANSPOSE(CN$4:CN$20),$G69:$W69)</f>
        <v>0</v>
      </c>
      <c r="CO69" s="93" cm="1">
        <f t="array" ref="CO69">SUMPRODUCT(TRANSPOSE(CO$4:CO$20),$G69:$W69)</f>
        <v>0</v>
      </c>
      <c r="CP69" s="93" cm="1">
        <f t="array" ref="CP69">SUMPRODUCT(TRANSPOSE(CP$4:CP$20),$G69:$W69)</f>
        <v>0</v>
      </c>
      <c r="CQ69" s="93" cm="1">
        <f t="array" ref="CQ69">SUMPRODUCT(TRANSPOSE(CQ$4:CQ$20),$G69:$W69)</f>
        <v>156</v>
      </c>
      <c r="CR69" s="93" cm="1">
        <f t="array" ref="CR69">SUMPRODUCT(TRANSPOSE(CR$4:CR$20),$G69:$W69)</f>
        <v>140</v>
      </c>
      <c r="CS69" s="93" cm="1">
        <f t="array" ref="CS69">SUMPRODUCT(TRANSPOSE(CS$4:CS$20),$G69:$W69)</f>
        <v>130</v>
      </c>
      <c r="CT69" s="93" cm="1">
        <f t="array" ref="CT69">SUMPRODUCT(TRANSPOSE(CT$4:CT$20),$G69:$W69)</f>
        <v>120</v>
      </c>
      <c r="CU69" s="93" cm="1">
        <f t="array" ref="CU69">SUMPRODUCT(TRANSPOSE(CU$4:CU$20),$G69:$W69)</f>
        <v>120</v>
      </c>
      <c r="CV69" s="93" cm="1">
        <f t="array" ref="CV69">SUMPRODUCT(TRANSPOSE(CV$4:CV$20),$G69:$W69)</f>
        <v>120</v>
      </c>
      <c r="CW69" s="93" cm="1">
        <f t="array" ref="CW69">SUMPRODUCT(TRANSPOSE(CW$4:CW$20),$G69:$W69)</f>
        <v>120</v>
      </c>
      <c r="CX69" s="93" cm="1">
        <f t="array" ref="CX69">SUMPRODUCT(TRANSPOSE(CX$4:CX$20),$G69:$W69)</f>
        <v>120</v>
      </c>
      <c r="CY69" s="93" cm="1">
        <f t="array" ref="CY69">SUMPRODUCT(TRANSPOSE(CY$4:CY$20),$G69:$W69)</f>
        <v>120</v>
      </c>
      <c r="CZ69" s="93" cm="1">
        <f t="array" ref="CZ69">SUMPRODUCT(TRANSPOSE(CZ$4:CZ$20),$G69:$W69)</f>
        <v>120</v>
      </c>
      <c r="DA69" s="93" cm="1">
        <f t="array" ref="DA69">SUMPRODUCT(TRANSPOSE(DA$4:DA$20),$G69:$W69)</f>
        <v>120</v>
      </c>
      <c r="DB69" s="93" cm="1">
        <f t="array" ref="DB69">SUMPRODUCT(TRANSPOSE(DB$4:DB$20),$G69:$W69)</f>
        <v>28</v>
      </c>
      <c r="DC69" s="93" cm="1">
        <f t="array" ref="DC69">SUMPRODUCT(TRANSPOSE(DC$4:DC$20),$G69:$W69)</f>
        <v>0</v>
      </c>
      <c r="DD69" s="93" cm="1">
        <f t="array" ref="DD69">SUMPRODUCT(TRANSPOSE(DD$4:DD$20),$G69:$W69)</f>
        <v>0</v>
      </c>
      <c r="DE69" s="93" cm="1">
        <f t="array" ref="DE69">SUMPRODUCT(TRANSPOSE(DE$4:DE$20),$G69:$W69)</f>
        <v>0</v>
      </c>
      <c r="DF69" s="93" cm="1">
        <f t="array" ref="DF69">SUMPRODUCT(TRANSPOSE(DF$4:DF$20),$G69:$W69)</f>
        <v>0</v>
      </c>
      <c r="DG69" s="93" cm="1">
        <f t="array" ref="DG69">SUMPRODUCT(TRANSPOSE(DG$4:DG$20),$G69:$W69)</f>
        <v>0</v>
      </c>
      <c r="DH69" s="93" cm="1">
        <f t="array" ref="DH69">SUMPRODUCT(TRANSPOSE(DH$4:DH$20),$G69:$W69)</f>
        <v>0</v>
      </c>
      <c r="DI69" s="93" cm="1">
        <f t="array" ref="DI69">SUMPRODUCT(TRANSPOSE(DI$4:DI$20),$G69:$W69)</f>
        <v>0</v>
      </c>
      <c r="DJ69" s="93" cm="1">
        <f t="array" ref="DJ69">SUMPRODUCT(TRANSPOSE(DJ$4:DJ$20),$G69:$W69)</f>
        <v>0</v>
      </c>
      <c r="DK69" s="93" cm="1">
        <f t="array" ref="DK69">SUMPRODUCT(TRANSPOSE(DK$4:DK$20),$G69:$W69)</f>
        <v>0</v>
      </c>
      <c r="DL69" s="93" cm="1">
        <f t="array" ref="DL69">SUMPRODUCT(TRANSPOSE(DL$4:DL$20),$G69:$W69)</f>
        <v>0</v>
      </c>
      <c r="DM69" s="93" cm="1">
        <f t="array" ref="DM69">SUMPRODUCT(TRANSPOSE(DM$4:DM$20),$G69:$W69)</f>
        <v>0</v>
      </c>
      <c r="DN69" s="93" cm="1">
        <f t="array" ref="DN69">SUMPRODUCT(TRANSPOSE(DN$4:DN$20),$G69:$W69)</f>
        <v>0</v>
      </c>
      <c r="DO69" s="93" cm="1">
        <f t="array" ref="DO69">SUMPRODUCT(TRANSPOSE(DO$4:DO$20),$G69:$W69)</f>
        <v>0</v>
      </c>
    </row>
    <row r="70" spans="1:119" x14ac:dyDescent="0.2">
      <c r="A70" s="45">
        <f t="shared" si="26"/>
        <v>49</v>
      </c>
      <c r="B70" s="46" t="s">
        <v>253</v>
      </c>
      <c r="C70" s="45">
        <v>415251805</v>
      </c>
      <c r="D70" s="45" t="s">
        <v>254</v>
      </c>
      <c r="E70" s="45" t="s">
        <v>162</v>
      </c>
      <c r="F70" s="48">
        <v>1</v>
      </c>
      <c r="G70" s="100">
        <v>0</v>
      </c>
      <c r="H70" s="100">
        <v>0</v>
      </c>
      <c r="I70" s="100">
        <v>0</v>
      </c>
      <c r="J70" s="100">
        <v>0</v>
      </c>
      <c r="K70" s="100">
        <v>0</v>
      </c>
      <c r="L70" s="100">
        <v>0</v>
      </c>
      <c r="M70" s="100">
        <v>0</v>
      </c>
      <c r="N70" s="100">
        <v>0</v>
      </c>
      <c r="O70" s="100">
        <v>1</v>
      </c>
      <c r="P70" s="100">
        <v>0</v>
      </c>
      <c r="Q70" s="100">
        <v>0</v>
      </c>
      <c r="R70" s="100">
        <v>0</v>
      </c>
      <c r="S70" s="100">
        <v>1</v>
      </c>
      <c r="T70" s="100">
        <v>0</v>
      </c>
      <c r="U70" s="100">
        <v>0</v>
      </c>
      <c r="V70" s="100">
        <v>0</v>
      </c>
      <c r="W70" s="100">
        <v>0</v>
      </c>
      <c r="X70" s="45" t="s">
        <v>44</v>
      </c>
      <c r="Y70" s="49">
        <v>0.95</v>
      </c>
      <c r="Z70" s="45">
        <v>1067</v>
      </c>
      <c r="AA70" s="45">
        <v>0</v>
      </c>
      <c r="AB70" s="45">
        <v>0</v>
      </c>
      <c r="AC70" s="45">
        <v>0</v>
      </c>
      <c r="AD70" s="45">
        <v>0</v>
      </c>
      <c r="AE70" s="45">
        <v>0</v>
      </c>
      <c r="AF70" s="45">
        <v>0</v>
      </c>
      <c r="AG70" s="45">
        <v>0</v>
      </c>
      <c r="AH70" s="45">
        <v>0</v>
      </c>
      <c r="AI70" s="45">
        <v>0</v>
      </c>
      <c r="AJ70" s="45">
        <v>0</v>
      </c>
      <c r="AK70" s="45">
        <v>0</v>
      </c>
      <c r="AL70" s="45">
        <v>0</v>
      </c>
      <c r="AM70" s="45">
        <v>0</v>
      </c>
      <c r="AN70" s="45">
        <v>0</v>
      </c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93"/>
      <c r="BE70" s="93"/>
      <c r="BF70" s="93"/>
      <c r="BG70" s="93"/>
      <c r="BH70" s="93"/>
      <c r="BI70" s="93"/>
      <c r="BJ70" s="93"/>
      <c r="BK70" s="93">
        <f>SUM($Z70:AD70)-SUM($CM70:CQ70)</f>
        <v>989</v>
      </c>
      <c r="BL70" s="93">
        <f>SUM($Z70:AE70)-SUM($CM70:CR70)</f>
        <v>919</v>
      </c>
      <c r="BM70" s="93">
        <f>SUM($Z70:AF70)-SUM($CM70:CS70)</f>
        <v>854</v>
      </c>
      <c r="BN70" s="93">
        <f>SUM($Z70:AG70)-SUM($CM70:CT70)</f>
        <v>794</v>
      </c>
      <c r="BO70" s="93">
        <f>SUM($Z70:AH70)-SUM($CM70:CU70)</f>
        <v>734</v>
      </c>
      <c r="BP70" s="93">
        <f>SUM($Z70:AI70)-SUM($CM70:CV70)</f>
        <v>674</v>
      </c>
      <c r="BQ70" s="93">
        <f>SUM($Z70:AJ70)-SUM($CM70:CW70)</f>
        <v>614</v>
      </c>
      <c r="BR70" s="93">
        <f>SUM($Z70:AK70)-SUM($CM70:CX70)</f>
        <v>554</v>
      </c>
      <c r="BS70" s="93">
        <f>SUM($Z70:AL70)-SUM($CM70:CY70)</f>
        <v>494</v>
      </c>
      <c r="BT70" s="93">
        <f>SUM($Z70:AM70)-SUM($CM70:CZ70)</f>
        <v>434</v>
      </c>
      <c r="BU70" s="93">
        <f>SUM($Z70:AN70)-SUM($CM70:DA70)</f>
        <v>374</v>
      </c>
      <c r="BV70" s="93">
        <f>SUM($Z70:AO70)-SUM($CM70:DB70)</f>
        <v>360</v>
      </c>
      <c r="BW70" s="93">
        <f>SUM($Z70:AP70)-SUM($CM70:DC70)</f>
        <v>360</v>
      </c>
      <c r="BX70" s="93">
        <f>SUM($Z70:AQ70)-SUM($CM70:DD70)</f>
        <v>360</v>
      </c>
      <c r="BY70" s="93">
        <f>SUM($Z70:AR70)-SUM($CM70:DE70)</f>
        <v>360</v>
      </c>
      <c r="BZ70" s="93">
        <f>SUM($Z70:AS70)-SUM($CM70:DF70)</f>
        <v>360</v>
      </c>
      <c r="CA70" s="93">
        <f>SUM($Z70:AT70)-SUM($CM70:DG70)</f>
        <v>360</v>
      </c>
      <c r="CB70" s="93">
        <f>SUM($Z70:AU70)-SUM($CM70:DH70)</f>
        <v>360</v>
      </c>
      <c r="CC70" s="93">
        <f>SUM($Z70:AV70)-SUM($CM70:DI70)</f>
        <v>360</v>
      </c>
      <c r="CD70" s="93">
        <f>SUM($Z70:AW70)-SUM($CM70:DJ70)</f>
        <v>360</v>
      </c>
      <c r="CE70" s="93">
        <f>SUM($Z70:AX70)-SUM($CM70:DK70)</f>
        <v>360</v>
      </c>
      <c r="CF70" s="93">
        <f>SUM($Z70:AY70)-SUM($CM70:DL70)</f>
        <v>360</v>
      </c>
      <c r="CG70" s="93">
        <f>SUM($Z70:AZ70)-SUM($CM70:DM70)</f>
        <v>360</v>
      </c>
      <c r="CH70" s="93">
        <f>SUM($Z70:BA70)-SUM($CM70:DN70)</f>
        <v>360</v>
      </c>
      <c r="CI70" s="93">
        <f>SUM($Z70:BB70)-SUM($CM70:DO70)</f>
        <v>360</v>
      </c>
      <c r="CJ70" s="93"/>
      <c r="CK70" s="93"/>
      <c r="CL70" s="93"/>
      <c r="CM70" s="93"/>
      <c r="CN70" s="93" cm="1">
        <f t="array" ref="CN70">SUMPRODUCT(TRANSPOSE(CN$4:CN$20),$G70:$W70)</f>
        <v>0</v>
      </c>
      <c r="CO70" s="93" cm="1">
        <f t="array" ref="CO70">SUMPRODUCT(TRANSPOSE(CO$4:CO$20),$G70:$W70)</f>
        <v>0</v>
      </c>
      <c r="CP70" s="93" cm="1">
        <f t="array" ref="CP70">SUMPRODUCT(TRANSPOSE(CP$4:CP$20),$G70:$W70)</f>
        <v>0</v>
      </c>
      <c r="CQ70" s="93" cm="1">
        <f t="array" ref="CQ70">SUMPRODUCT(TRANSPOSE(CQ$4:CQ$20),$G70:$W70)</f>
        <v>78</v>
      </c>
      <c r="CR70" s="93" cm="1">
        <f t="array" ref="CR70">SUMPRODUCT(TRANSPOSE(CR$4:CR$20),$G70:$W70)</f>
        <v>70</v>
      </c>
      <c r="CS70" s="93" cm="1">
        <f t="array" ref="CS70">SUMPRODUCT(TRANSPOSE(CS$4:CS$20),$G70:$W70)</f>
        <v>65</v>
      </c>
      <c r="CT70" s="93" cm="1">
        <f t="array" ref="CT70">SUMPRODUCT(TRANSPOSE(CT$4:CT$20),$G70:$W70)</f>
        <v>60</v>
      </c>
      <c r="CU70" s="93" cm="1">
        <f t="array" ref="CU70">SUMPRODUCT(TRANSPOSE(CU$4:CU$20),$G70:$W70)</f>
        <v>60</v>
      </c>
      <c r="CV70" s="93" cm="1">
        <f t="array" ref="CV70">SUMPRODUCT(TRANSPOSE(CV$4:CV$20),$G70:$W70)</f>
        <v>60</v>
      </c>
      <c r="CW70" s="93" cm="1">
        <f t="array" ref="CW70">SUMPRODUCT(TRANSPOSE(CW$4:CW$20),$G70:$W70)</f>
        <v>60</v>
      </c>
      <c r="CX70" s="93" cm="1">
        <f t="array" ref="CX70">SUMPRODUCT(TRANSPOSE(CX$4:CX$20),$G70:$W70)</f>
        <v>60</v>
      </c>
      <c r="CY70" s="93" cm="1">
        <f t="array" ref="CY70">SUMPRODUCT(TRANSPOSE(CY$4:CY$20),$G70:$W70)</f>
        <v>60</v>
      </c>
      <c r="CZ70" s="93" cm="1">
        <f t="array" ref="CZ70">SUMPRODUCT(TRANSPOSE(CZ$4:CZ$20),$G70:$W70)</f>
        <v>60</v>
      </c>
      <c r="DA70" s="93" cm="1">
        <f t="array" ref="DA70">SUMPRODUCT(TRANSPOSE(DA$4:DA$20),$G70:$W70)</f>
        <v>60</v>
      </c>
      <c r="DB70" s="93" cm="1">
        <f t="array" ref="DB70">SUMPRODUCT(TRANSPOSE(DB$4:DB$20),$G70:$W70)</f>
        <v>14</v>
      </c>
      <c r="DC70" s="93" cm="1">
        <f t="array" ref="DC70">SUMPRODUCT(TRANSPOSE(DC$4:DC$20),$G70:$W70)</f>
        <v>0</v>
      </c>
      <c r="DD70" s="93" cm="1">
        <f t="array" ref="DD70">SUMPRODUCT(TRANSPOSE(DD$4:DD$20),$G70:$W70)</f>
        <v>0</v>
      </c>
      <c r="DE70" s="93" cm="1">
        <f t="array" ref="DE70">SUMPRODUCT(TRANSPOSE(DE$4:DE$20),$G70:$W70)</f>
        <v>0</v>
      </c>
      <c r="DF70" s="93" cm="1">
        <f t="array" ref="DF70">SUMPRODUCT(TRANSPOSE(DF$4:DF$20),$G70:$W70)</f>
        <v>0</v>
      </c>
      <c r="DG70" s="93" cm="1">
        <f t="array" ref="DG70">SUMPRODUCT(TRANSPOSE(DG$4:DG$20),$G70:$W70)</f>
        <v>0</v>
      </c>
      <c r="DH70" s="93" cm="1">
        <f t="array" ref="DH70">SUMPRODUCT(TRANSPOSE(DH$4:DH$20),$G70:$W70)</f>
        <v>0</v>
      </c>
      <c r="DI70" s="93" cm="1">
        <f t="array" ref="DI70">SUMPRODUCT(TRANSPOSE(DI$4:DI$20),$G70:$W70)</f>
        <v>0</v>
      </c>
      <c r="DJ70" s="93" cm="1">
        <f t="array" ref="DJ70">SUMPRODUCT(TRANSPOSE(DJ$4:DJ$20),$G70:$W70)</f>
        <v>0</v>
      </c>
      <c r="DK70" s="93" cm="1">
        <f t="array" ref="DK70">SUMPRODUCT(TRANSPOSE(DK$4:DK$20),$G70:$W70)</f>
        <v>0</v>
      </c>
      <c r="DL70" s="93" cm="1">
        <f t="array" ref="DL70">SUMPRODUCT(TRANSPOSE(DL$4:DL$20),$G70:$W70)</f>
        <v>0</v>
      </c>
      <c r="DM70" s="93" cm="1">
        <f t="array" ref="DM70">SUMPRODUCT(TRANSPOSE(DM$4:DM$20),$G70:$W70)</f>
        <v>0</v>
      </c>
      <c r="DN70" s="93" cm="1">
        <f t="array" ref="DN70">SUMPRODUCT(TRANSPOSE(DN$4:DN$20),$G70:$W70)</f>
        <v>0</v>
      </c>
      <c r="DO70" s="93" cm="1">
        <f t="array" ref="DO70">SUMPRODUCT(TRANSPOSE(DO$4:DO$20),$G70:$W70)</f>
        <v>0</v>
      </c>
    </row>
    <row r="71" spans="1:119" x14ac:dyDescent="0.2">
      <c r="A71" s="45">
        <f t="shared" si="26"/>
        <v>50</v>
      </c>
      <c r="B71" s="46" t="s">
        <v>1110</v>
      </c>
      <c r="C71" s="45">
        <v>411768132</v>
      </c>
      <c r="D71" s="45" t="s">
        <v>1111</v>
      </c>
      <c r="E71" s="45" t="s">
        <v>162</v>
      </c>
      <c r="F71" s="48">
        <v>1</v>
      </c>
      <c r="G71" s="100">
        <v>0</v>
      </c>
      <c r="H71" s="100">
        <v>0</v>
      </c>
      <c r="I71" s="100">
        <v>0</v>
      </c>
      <c r="J71" s="100">
        <v>0</v>
      </c>
      <c r="K71" s="100">
        <v>0</v>
      </c>
      <c r="L71" s="100">
        <v>0</v>
      </c>
      <c r="M71" s="100">
        <v>0</v>
      </c>
      <c r="N71" s="100">
        <v>0</v>
      </c>
      <c r="O71" s="100">
        <v>0</v>
      </c>
      <c r="P71" s="100">
        <v>0</v>
      </c>
      <c r="Q71" s="100">
        <v>0</v>
      </c>
      <c r="R71" s="100">
        <v>0</v>
      </c>
      <c r="S71" s="100">
        <v>0</v>
      </c>
      <c r="T71" s="100">
        <v>1</v>
      </c>
      <c r="U71" s="100">
        <v>0</v>
      </c>
      <c r="V71" s="100">
        <v>0</v>
      </c>
      <c r="W71" s="100">
        <v>0</v>
      </c>
      <c r="X71" s="45" t="s">
        <v>44</v>
      </c>
      <c r="Y71" s="57">
        <v>2.4</v>
      </c>
      <c r="Z71" s="45">
        <v>538</v>
      </c>
      <c r="AA71" s="45">
        <v>0</v>
      </c>
      <c r="AB71" s="45">
        <v>0</v>
      </c>
      <c r="AC71" s="45">
        <v>0</v>
      </c>
      <c r="AD71" s="45">
        <v>0</v>
      </c>
      <c r="AE71" s="45">
        <v>0</v>
      </c>
      <c r="AF71" s="45">
        <v>0</v>
      </c>
      <c r="AG71" s="45">
        <v>0</v>
      </c>
      <c r="AH71" s="45">
        <v>0</v>
      </c>
      <c r="AI71" s="45">
        <v>0</v>
      </c>
      <c r="AJ71" s="45">
        <v>0</v>
      </c>
      <c r="AK71" s="45">
        <v>0</v>
      </c>
      <c r="AL71" s="45">
        <v>0</v>
      </c>
      <c r="AM71" s="45">
        <v>0</v>
      </c>
      <c r="AN71" s="45">
        <v>0</v>
      </c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93"/>
      <c r="BE71" s="93"/>
      <c r="BF71" s="93"/>
      <c r="BG71" s="93"/>
      <c r="BH71" s="93"/>
      <c r="BI71" s="93"/>
      <c r="BJ71" s="93"/>
      <c r="BK71" s="93">
        <f>SUM($Z71:AD71)-SUM($CM71:CQ71)</f>
        <v>495</v>
      </c>
      <c r="BL71" s="93">
        <f>SUM($Z71:AE71)-SUM($CM71:CR71)</f>
        <v>460</v>
      </c>
      <c r="BM71" s="93">
        <f>SUM($Z71:AF71)-SUM($CM71:CS71)</f>
        <v>430</v>
      </c>
      <c r="BN71" s="93">
        <f>SUM($Z71:AG71)-SUM($CM71:CT71)</f>
        <v>400</v>
      </c>
      <c r="BO71" s="93">
        <f>SUM($Z71:AH71)-SUM($CM71:CU71)</f>
        <v>370</v>
      </c>
      <c r="BP71" s="93">
        <f>SUM($Z71:AI71)-SUM($CM71:CV71)</f>
        <v>340</v>
      </c>
      <c r="BQ71" s="93">
        <f>SUM($Z71:AJ71)-SUM($CM71:CW71)</f>
        <v>310</v>
      </c>
      <c r="BR71" s="93">
        <f>SUM($Z71:AK71)-SUM($CM71:CX71)</f>
        <v>280</v>
      </c>
      <c r="BS71" s="93">
        <f>SUM($Z71:AL71)-SUM($CM71:CY71)</f>
        <v>250</v>
      </c>
      <c r="BT71" s="93">
        <f>SUM($Z71:AM71)-SUM($CM71:CZ71)</f>
        <v>220</v>
      </c>
      <c r="BU71" s="93">
        <f>SUM($Z71:AN71)-SUM($CM71:DA71)</f>
        <v>190</v>
      </c>
      <c r="BV71" s="93">
        <f>SUM($Z71:AO71)-SUM($CM71:DB71)</f>
        <v>190</v>
      </c>
      <c r="BW71" s="93">
        <f>SUM($Z71:AP71)-SUM($CM71:DC71)</f>
        <v>190</v>
      </c>
      <c r="BX71" s="93">
        <f>SUM($Z71:AQ71)-SUM($CM71:DD71)</f>
        <v>190</v>
      </c>
      <c r="BY71" s="93">
        <f>SUM($Z71:AR71)-SUM($CM71:DE71)</f>
        <v>190</v>
      </c>
      <c r="BZ71" s="93">
        <f>SUM($Z71:AS71)-SUM($CM71:DF71)</f>
        <v>190</v>
      </c>
      <c r="CA71" s="93">
        <f>SUM($Z71:AT71)-SUM($CM71:DG71)</f>
        <v>190</v>
      </c>
      <c r="CB71" s="93">
        <f>SUM($Z71:AU71)-SUM($CM71:DH71)</f>
        <v>190</v>
      </c>
      <c r="CC71" s="93">
        <f>SUM($Z71:AV71)-SUM($CM71:DI71)</f>
        <v>190</v>
      </c>
      <c r="CD71" s="93">
        <f>SUM($Z71:AW71)-SUM($CM71:DJ71)</f>
        <v>190</v>
      </c>
      <c r="CE71" s="93">
        <f>SUM($Z71:AX71)-SUM($CM71:DK71)</f>
        <v>190</v>
      </c>
      <c r="CF71" s="93">
        <f>SUM($Z71:AY71)-SUM($CM71:DL71)</f>
        <v>190</v>
      </c>
      <c r="CG71" s="93">
        <f>SUM($Z71:AZ71)-SUM($CM71:DM71)</f>
        <v>190</v>
      </c>
      <c r="CH71" s="93">
        <f>SUM($Z71:BA71)-SUM($CM71:DN71)</f>
        <v>190</v>
      </c>
      <c r="CI71" s="93">
        <f>SUM($Z71:BB71)-SUM($CM71:DO71)</f>
        <v>190</v>
      </c>
      <c r="CJ71" s="93"/>
      <c r="CK71" s="93"/>
      <c r="CL71" s="93"/>
      <c r="CM71" s="93"/>
      <c r="CN71" s="93" cm="1">
        <f t="array" ref="CN71">SUMPRODUCT(TRANSPOSE(CN$4:CN$20),$G71:$W71)</f>
        <v>0</v>
      </c>
      <c r="CO71" s="93" cm="1">
        <f t="array" ref="CO71">SUMPRODUCT(TRANSPOSE(CO$4:CO$20),$G71:$W71)</f>
        <v>0</v>
      </c>
      <c r="CP71" s="93" cm="1">
        <f t="array" ref="CP71">SUMPRODUCT(TRANSPOSE(CP$4:CP$20),$G71:$W71)</f>
        <v>0</v>
      </c>
      <c r="CQ71" s="93" cm="1">
        <f t="array" ref="CQ71">SUMPRODUCT(TRANSPOSE(CQ$4:CQ$20),$G71:$W71)</f>
        <v>43</v>
      </c>
      <c r="CR71" s="93" cm="1">
        <f t="array" ref="CR71">SUMPRODUCT(TRANSPOSE(CR$4:CR$20),$G71:$W71)</f>
        <v>35</v>
      </c>
      <c r="CS71" s="93" cm="1">
        <f t="array" ref="CS71">SUMPRODUCT(TRANSPOSE(CS$4:CS$20),$G71:$W71)</f>
        <v>30</v>
      </c>
      <c r="CT71" s="93" cm="1">
        <f t="array" ref="CT71">SUMPRODUCT(TRANSPOSE(CT$4:CT$20),$G71:$W71)</f>
        <v>30</v>
      </c>
      <c r="CU71" s="93" cm="1">
        <f t="array" ref="CU71">SUMPRODUCT(TRANSPOSE(CU$4:CU$20),$G71:$W71)</f>
        <v>30</v>
      </c>
      <c r="CV71" s="93" cm="1">
        <f t="array" ref="CV71">SUMPRODUCT(TRANSPOSE(CV$4:CV$20),$G71:$W71)</f>
        <v>30</v>
      </c>
      <c r="CW71" s="93" cm="1">
        <f t="array" ref="CW71">SUMPRODUCT(TRANSPOSE(CW$4:CW$20),$G71:$W71)</f>
        <v>30</v>
      </c>
      <c r="CX71" s="93" cm="1">
        <f t="array" ref="CX71">SUMPRODUCT(TRANSPOSE(CX$4:CX$20),$G71:$W71)</f>
        <v>30</v>
      </c>
      <c r="CY71" s="93" cm="1">
        <f t="array" ref="CY71">SUMPRODUCT(TRANSPOSE(CY$4:CY$20),$G71:$W71)</f>
        <v>30</v>
      </c>
      <c r="CZ71" s="93" cm="1">
        <f t="array" ref="CZ71">SUMPRODUCT(TRANSPOSE(CZ$4:CZ$20),$G71:$W71)</f>
        <v>30</v>
      </c>
      <c r="DA71" s="93" cm="1">
        <f t="array" ref="DA71">SUMPRODUCT(TRANSPOSE(DA$4:DA$20),$G71:$W71)</f>
        <v>30</v>
      </c>
      <c r="DB71" s="93" cm="1">
        <f t="array" ref="DB71">SUMPRODUCT(TRANSPOSE(DB$4:DB$20),$G71:$W71)</f>
        <v>0</v>
      </c>
      <c r="DC71" s="93" cm="1">
        <f t="array" ref="DC71">SUMPRODUCT(TRANSPOSE(DC$4:DC$20),$G71:$W71)</f>
        <v>0</v>
      </c>
      <c r="DD71" s="93" cm="1">
        <f t="array" ref="DD71">SUMPRODUCT(TRANSPOSE(DD$4:DD$20),$G71:$W71)</f>
        <v>0</v>
      </c>
      <c r="DE71" s="93" cm="1">
        <f t="array" ref="DE71">SUMPRODUCT(TRANSPOSE(DE$4:DE$20),$G71:$W71)</f>
        <v>0</v>
      </c>
      <c r="DF71" s="93" cm="1">
        <f t="array" ref="DF71">SUMPRODUCT(TRANSPOSE(DF$4:DF$20),$G71:$W71)</f>
        <v>0</v>
      </c>
      <c r="DG71" s="93" cm="1">
        <f t="array" ref="DG71">SUMPRODUCT(TRANSPOSE(DG$4:DG$20),$G71:$W71)</f>
        <v>0</v>
      </c>
      <c r="DH71" s="93" cm="1">
        <f t="array" ref="DH71">SUMPRODUCT(TRANSPOSE(DH$4:DH$20),$G71:$W71)</f>
        <v>0</v>
      </c>
      <c r="DI71" s="93" cm="1">
        <f t="array" ref="DI71">SUMPRODUCT(TRANSPOSE(DI$4:DI$20),$G71:$W71)</f>
        <v>0</v>
      </c>
      <c r="DJ71" s="93" cm="1">
        <f t="array" ref="DJ71">SUMPRODUCT(TRANSPOSE(DJ$4:DJ$20),$G71:$W71)</f>
        <v>0</v>
      </c>
      <c r="DK71" s="93" cm="1">
        <f t="array" ref="DK71">SUMPRODUCT(TRANSPOSE(DK$4:DK$20),$G71:$W71)</f>
        <v>0</v>
      </c>
      <c r="DL71" s="93" cm="1">
        <f t="array" ref="DL71">SUMPRODUCT(TRANSPOSE(DL$4:DL$20),$G71:$W71)</f>
        <v>0</v>
      </c>
      <c r="DM71" s="93" cm="1">
        <f t="array" ref="DM71">SUMPRODUCT(TRANSPOSE(DM$4:DM$20),$G71:$W71)</f>
        <v>0</v>
      </c>
      <c r="DN71" s="93" cm="1">
        <f t="array" ref="DN71">SUMPRODUCT(TRANSPOSE(DN$4:DN$20),$G71:$W71)</f>
        <v>0</v>
      </c>
      <c r="DO71" s="93" cm="1">
        <f t="array" ref="DO71">SUMPRODUCT(TRANSPOSE(DO$4:DO$20),$G71:$W71)</f>
        <v>0</v>
      </c>
    </row>
    <row r="72" spans="1:119" x14ac:dyDescent="0.2">
      <c r="A72" s="45">
        <f t="shared" si="26"/>
        <v>51</v>
      </c>
      <c r="B72" s="46" t="s">
        <v>255</v>
      </c>
      <c r="C72" s="45">
        <v>406059870</v>
      </c>
      <c r="D72" s="45" t="s">
        <v>256</v>
      </c>
      <c r="E72" s="45" t="s">
        <v>162</v>
      </c>
      <c r="F72" s="48">
        <v>1</v>
      </c>
      <c r="G72" s="100">
        <v>0</v>
      </c>
      <c r="H72" s="100">
        <v>0</v>
      </c>
      <c r="I72" s="100">
        <v>0</v>
      </c>
      <c r="J72" s="100">
        <v>0</v>
      </c>
      <c r="K72" s="100">
        <v>0</v>
      </c>
      <c r="L72" s="100">
        <v>0</v>
      </c>
      <c r="M72" s="100">
        <v>0</v>
      </c>
      <c r="N72" s="100">
        <v>0</v>
      </c>
      <c r="O72" s="100">
        <v>1</v>
      </c>
      <c r="P72" s="100">
        <v>0</v>
      </c>
      <c r="Q72" s="100">
        <v>0</v>
      </c>
      <c r="R72" s="100">
        <v>0</v>
      </c>
      <c r="S72" s="100">
        <v>0</v>
      </c>
      <c r="T72" s="100">
        <v>0</v>
      </c>
      <c r="U72" s="100">
        <v>0</v>
      </c>
      <c r="V72" s="100">
        <v>0</v>
      </c>
      <c r="W72" s="100">
        <v>0</v>
      </c>
      <c r="X72" s="45" t="s">
        <v>53</v>
      </c>
      <c r="Y72" s="53">
        <v>583.61619380260061</v>
      </c>
      <c r="Z72" s="45">
        <v>539</v>
      </c>
      <c r="AA72" s="45">
        <v>0</v>
      </c>
      <c r="AB72" s="45">
        <v>0</v>
      </c>
      <c r="AC72" s="45">
        <v>0</v>
      </c>
      <c r="AD72" s="45">
        <v>0</v>
      </c>
      <c r="AE72" s="45">
        <v>0</v>
      </c>
      <c r="AF72" s="45">
        <v>0</v>
      </c>
      <c r="AG72" s="45">
        <v>0</v>
      </c>
      <c r="AH72" s="45">
        <v>0</v>
      </c>
      <c r="AI72" s="45">
        <v>0</v>
      </c>
      <c r="AJ72" s="45">
        <v>0</v>
      </c>
      <c r="AK72" s="45">
        <v>0</v>
      </c>
      <c r="AL72" s="45">
        <v>0</v>
      </c>
      <c r="AM72" s="45">
        <v>0</v>
      </c>
      <c r="AN72" s="45">
        <v>0</v>
      </c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93"/>
      <c r="BE72" s="93"/>
      <c r="BF72" s="93"/>
      <c r="BG72" s="93"/>
      <c r="BH72" s="93"/>
      <c r="BI72" s="93"/>
      <c r="BJ72" s="93"/>
      <c r="BK72" s="93">
        <f>SUM($Z72:AD72)-SUM($CM72:CQ72)</f>
        <v>504</v>
      </c>
      <c r="BL72" s="93">
        <f>SUM($Z72:AE72)-SUM($CM72:CR72)</f>
        <v>469</v>
      </c>
      <c r="BM72" s="93">
        <f>SUM($Z72:AF72)-SUM($CM72:CS72)</f>
        <v>434</v>
      </c>
      <c r="BN72" s="93">
        <f>SUM($Z72:AG72)-SUM($CM72:CT72)</f>
        <v>404</v>
      </c>
      <c r="BO72" s="93">
        <f>SUM($Z72:AH72)-SUM($CM72:CU72)</f>
        <v>374</v>
      </c>
      <c r="BP72" s="93">
        <f>SUM($Z72:AI72)-SUM($CM72:CV72)</f>
        <v>344</v>
      </c>
      <c r="BQ72" s="93">
        <f>SUM($Z72:AJ72)-SUM($CM72:CW72)</f>
        <v>314</v>
      </c>
      <c r="BR72" s="93">
        <f>SUM($Z72:AK72)-SUM($CM72:CX72)</f>
        <v>284</v>
      </c>
      <c r="BS72" s="93">
        <f>SUM($Z72:AL72)-SUM($CM72:CY72)</f>
        <v>254</v>
      </c>
      <c r="BT72" s="93">
        <f>SUM($Z72:AM72)-SUM($CM72:CZ72)</f>
        <v>224</v>
      </c>
      <c r="BU72" s="93">
        <f>SUM($Z72:AN72)-SUM($CM72:DA72)</f>
        <v>194</v>
      </c>
      <c r="BV72" s="93">
        <f>SUM($Z72:AO72)-SUM($CM72:DB72)</f>
        <v>180</v>
      </c>
      <c r="BW72" s="93">
        <f>SUM($Z72:AP72)-SUM($CM72:DC72)</f>
        <v>180</v>
      </c>
      <c r="BX72" s="93">
        <f>SUM($Z72:AQ72)-SUM($CM72:DD72)</f>
        <v>180</v>
      </c>
      <c r="BY72" s="93">
        <f>SUM($Z72:AR72)-SUM($CM72:DE72)</f>
        <v>180</v>
      </c>
      <c r="BZ72" s="93">
        <f>SUM($Z72:AS72)-SUM($CM72:DF72)</f>
        <v>180</v>
      </c>
      <c r="CA72" s="93">
        <f>SUM($Z72:AT72)-SUM($CM72:DG72)</f>
        <v>180</v>
      </c>
      <c r="CB72" s="93">
        <f>SUM($Z72:AU72)-SUM($CM72:DH72)</f>
        <v>180</v>
      </c>
      <c r="CC72" s="93">
        <f>SUM($Z72:AV72)-SUM($CM72:DI72)</f>
        <v>180</v>
      </c>
      <c r="CD72" s="93">
        <f>SUM($Z72:AW72)-SUM($CM72:DJ72)</f>
        <v>180</v>
      </c>
      <c r="CE72" s="93">
        <f>SUM($Z72:AX72)-SUM($CM72:DK72)</f>
        <v>180</v>
      </c>
      <c r="CF72" s="93">
        <f>SUM($Z72:AY72)-SUM($CM72:DL72)</f>
        <v>180</v>
      </c>
      <c r="CG72" s="93">
        <f>SUM($Z72:AZ72)-SUM($CM72:DM72)</f>
        <v>180</v>
      </c>
      <c r="CH72" s="93">
        <f>SUM($Z72:BA72)-SUM($CM72:DN72)</f>
        <v>180</v>
      </c>
      <c r="CI72" s="93">
        <f>SUM($Z72:BB72)-SUM($CM72:DO72)</f>
        <v>180</v>
      </c>
      <c r="CJ72" s="93"/>
      <c r="CK72" s="93"/>
      <c r="CL72" s="93"/>
      <c r="CM72" s="93"/>
      <c r="CN72" s="93" cm="1">
        <f t="array" ref="CN72">SUMPRODUCT(TRANSPOSE(CN$4:CN$20),$G72:$W72)</f>
        <v>0</v>
      </c>
      <c r="CO72" s="93" cm="1">
        <f t="array" ref="CO72">SUMPRODUCT(TRANSPOSE(CO$4:CO$20),$G72:$W72)</f>
        <v>0</v>
      </c>
      <c r="CP72" s="93" cm="1">
        <f t="array" ref="CP72">SUMPRODUCT(TRANSPOSE(CP$4:CP$20),$G72:$W72)</f>
        <v>0</v>
      </c>
      <c r="CQ72" s="93" cm="1">
        <f t="array" ref="CQ72">SUMPRODUCT(TRANSPOSE(CQ$4:CQ$20),$G72:$W72)</f>
        <v>35</v>
      </c>
      <c r="CR72" s="93" cm="1">
        <f t="array" ref="CR72">SUMPRODUCT(TRANSPOSE(CR$4:CR$20),$G72:$W72)</f>
        <v>35</v>
      </c>
      <c r="CS72" s="93" cm="1">
        <f t="array" ref="CS72">SUMPRODUCT(TRANSPOSE(CS$4:CS$20),$G72:$W72)</f>
        <v>35</v>
      </c>
      <c r="CT72" s="93" cm="1">
        <f t="array" ref="CT72">SUMPRODUCT(TRANSPOSE(CT$4:CT$20),$G72:$W72)</f>
        <v>30</v>
      </c>
      <c r="CU72" s="93" cm="1">
        <f t="array" ref="CU72">SUMPRODUCT(TRANSPOSE(CU$4:CU$20),$G72:$W72)</f>
        <v>30</v>
      </c>
      <c r="CV72" s="93" cm="1">
        <f t="array" ref="CV72">SUMPRODUCT(TRANSPOSE(CV$4:CV$20),$G72:$W72)</f>
        <v>30</v>
      </c>
      <c r="CW72" s="93" cm="1">
        <f t="array" ref="CW72">SUMPRODUCT(TRANSPOSE(CW$4:CW$20),$G72:$W72)</f>
        <v>30</v>
      </c>
      <c r="CX72" s="93" cm="1">
        <f t="array" ref="CX72">SUMPRODUCT(TRANSPOSE(CX$4:CX$20),$G72:$W72)</f>
        <v>30</v>
      </c>
      <c r="CY72" s="93" cm="1">
        <f t="array" ref="CY72">SUMPRODUCT(TRANSPOSE(CY$4:CY$20),$G72:$W72)</f>
        <v>30</v>
      </c>
      <c r="CZ72" s="93" cm="1">
        <f t="array" ref="CZ72">SUMPRODUCT(TRANSPOSE(CZ$4:CZ$20),$G72:$W72)</f>
        <v>30</v>
      </c>
      <c r="DA72" s="93" cm="1">
        <f t="array" ref="DA72">SUMPRODUCT(TRANSPOSE(DA$4:DA$20),$G72:$W72)</f>
        <v>30</v>
      </c>
      <c r="DB72" s="93" cm="1">
        <f t="array" ref="DB72">SUMPRODUCT(TRANSPOSE(DB$4:DB$20),$G72:$W72)</f>
        <v>14</v>
      </c>
      <c r="DC72" s="93" cm="1">
        <f t="array" ref="DC72">SUMPRODUCT(TRANSPOSE(DC$4:DC$20),$G72:$W72)</f>
        <v>0</v>
      </c>
      <c r="DD72" s="93" cm="1">
        <f t="array" ref="DD72">SUMPRODUCT(TRANSPOSE(DD$4:DD$20),$G72:$W72)</f>
        <v>0</v>
      </c>
      <c r="DE72" s="93" cm="1">
        <f t="array" ref="DE72">SUMPRODUCT(TRANSPOSE(DE$4:DE$20),$G72:$W72)</f>
        <v>0</v>
      </c>
      <c r="DF72" s="93" cm="1">
        <f t="array" ref="DF72">SUMPRODUCT(TRANSPOSE(DF$4:DF$20),$G72:$W72)</f>
        <v>0</v>
      </c>
      <c r="DG72" s="93" cm="1">
        <f t="array" ref="DG72">SUMPRODUCT(TRANSPOSE(DG$4:DG$20),$G72:$W72)</f>
        <v>0</v>
      </c>
      <c r="DH72" s="93" cm="1">
        <f t="array" ref="DH72">SUMPRODUCT(TRANSPOSE(DH$4:DH$20),$G72:$W72)</f>
        <v>0</v>
      </c>
      <c r="DI72" s="93" cm="1">
        <f t="array" ref="DI72">SUMPRODUCT(TRANSPOSE(DI$4:DI$20),$G72:$W72)</f>
        <v>0</v>
      </c>
      <c r="DJ72" s="93" cm="1">
        <f t="array" ref="DJ72">SUMPRODUCT(TRANSPOSE(DJ$4:DJ$20),$G72:$W72)</f>
        <v>0</v>
      </c>
      <c r="DK72" s="93" cm="1">
        <f t="array" ref="DK72">SUMPRODUCT(TRANSPOSE(DK$4:DK$20),$G72:$W72)</f>
        <v>0</v>
      </c>
      <c r="DL72" s="93" cm="1">
        <f t="array" ref="DL72">SUMPRODUCT(TRANSPOSE(DL$4:DL$20),$G72:$W72)</f>
        <v>0</v>
      </c>
      <c r="DM72" s="93" cm="1">
        <f t="array" ref="DM72">SUMPRODUCT(TRANSPOSE(DM$4:DM$20),$G72:$W72)</f>
        <v>0</v>
      </c>
      <c r="DN72" s="93" cm="1">
        <f t="array" ref="DN72">SUMPRODUCT(TRANSPOSE(DN$4:DN$20),$G72:$W72)</f>
        <v>0</v>
      </c>
      <c r="DO72" s="93" cm="1">
        <f t="array" ref="DO72">SUMPRODUCT(TRANSPOSE(DO$4:DO$20),$G72:$W72)</f>
        <v>0</v>
      </c>
    </row>
    <row r="73" spans="1:119" x14ac:dyDescent="0.2">
      <c r="A73" s="45">
        <f t="shared" si="26"/>
        <v>52</v>
      </c>
      <c r="B73" s="46" t="s">
        <v>257</v>
      </c>
      <c r="C73" s="45">
        <v>411164849</v>
      </c>
      <c r="D73" s="45" t="s">
        <v>258</v>
      </c>
      <c r="E73" s="45" t="s">
        <v>162</v>
      </c>
      <c r="F73" s="48">
        <v>1</v>
      </c>
      <c r="G73" s="100">
        <v>0</v>
      </c>
      <c r="H73" s="100">
        <v>0</v>
      </c>
      <c r="I73" s="100">
        <v>0</v>
      </c>
      <c r="J73" s="100">
        <v>0</v>
      </c>
      <c r="K73" s="100">
        <v>0</v>
      </c>
      <c r="L73" s="100">
        <v>0</v>
      </c>
      <c r="M73" s="100">
        <v>0</v>
      </c>
      <c r="N73" s="100">
        <v>0</v>
      </c>
      <c r="O73" s="100">
        <v>0</v>
      </c>
      <c r="P73" s="100">
        <v>1</v>
      </c>
      <c r="Q73" s="100">
        <v>0</v>
      </c>
      <c r="R73" s="100">
        <v>0</v>
      </c>
      <c r="S73" s="100">
        <v>0</v>
      </c>
      <c r="T73" s="100">
        <v>0</v>
      </c>
      <c r="U73" s="100">
        <v>0</v>
      </c>
      <c r="V73" s="100">
        <v>0</v>
      </c>
      <c r="W73" s="100">
        <v>0</v>
      </c>
      <c r="X73" s="45" t="s">
        <v>44</v>
      </c>
      <c r="Y73" s="49">
        <v>2.2000000000000002</v>
      </c>
      <c r="Z73" s="45">
        <v>539</v>
      </c>
      <c r="AA73" s="45">
        <v>0</v>
      </c>
      <c r="AB73" s="45">
        <v>0</v>
      </c>
      <c r="AC73" s="45">
        <v>0</v>
      </c>
      <c r="AD73" s="45">
        <v>0</v>
      </c>
      <c r="AE73" s="45">
        <v>0</v>
      </c>
      <c r="AF73" s="45">
        <v>0</v>
      </c>
      <c r="AG73" s="45">
        <v>0</v>
      </c>
      <c r="AH73" s="45">
        <v>0</v>
      </c>
      <c r="AI73" s="45">
        <v>0</v>
      </c>
      <c r="AJ73" s="45">
        <v>0</v>
      </c>
      <c r="AK73" s="45">
        <v>0</v>
      </c>
      <c r="AL73" s="45">
        <v>0</v>
      </c>
      <c r="AM73" s="45">
        <v>0</v>
      </c>
      <c r="AN73" s="45">
        <v>0</v>
      </c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93"/>
      <c r="BE73" s="93"/>
      <c r="BF73" s="93"/>
      <c r="BG73" s="93"/>
      <c r="BH73" s="93"/>
      <c r="BI73" s="93"/>
      <c r="BJ73" s="93"/>
      <c r="BK73" s="93">
        <f>SUM($Z73:AD73)-SUM($CM73:CQ73)</f>
        <v>504</v>
      </c>
      <c r="BL73" s="93">
        <f>SUM($Z73:AE73)-SUM($CM73:CR73)</f>
        <v>469</v>
      </c>
      <c r="BM73" s="93">
        <f>SUM($Z73:AF73)-SUM($CM73:CS73)</f>
        <v>434</v>
      </c>
      <c r="BN73" s="93">
        <f>SUM($Z73:AG73)-SUM($CM73:CT73)</f>
        <v>404</v>
      </c>
      <c r="BO73" s="93">
        <f>SUM($Z73:AH73)-SUM($CM73:CU73)</f>
        <v>374</v>
      </c>
      <c r="BP73" s="93">
        <f>SUM($Z73:AI73)-SUM($CM73:CV73)</f>
        <v>344</v>
      </c>
      <c r="BQ73" s="93">
        <f>SUM($Z73:AJ73)-SUM($CM73:CW73)</f>
        <v>314</v>
      </c>
      <c r="BR73" s="93">
        <f>SUM($Z73:AK73)-SUM($CM73:CX73)</f>
        <v>284</v>
      </c>
      <c r="BS73" s="93">
        <f>SUM($Z73:AL73)-SUM($CM73:CY73)</f>
        <v>254</v>
      </c>
      <c r="BT73" s="93">
        <f>SUM($Z73:AM73)-SUM($CM73:CZ73)</f>
        <v>224</v>
      </c>
      <c r="BU73" s="93">
        <f>SUM($Z73:AN73)-SUM($CM73:DA73)</f>
        <v>194</v>
      </c>
      <c r="BV73" s="93">
        <f>SUM($Z73:AO73)-SUM($CM73:DB73)</f>
        <v>180</v>
      </c>
      <c r="BW73" s="93">
        <f>SUM($Z73:AP73)-SUM($CM73:DC73)</f>
        <v>180</v>
      </c>
      <c r="BX73" s="93">
        <f>SUM($Z73:AQ73)-SUM($CM73:DD73)</f>
        <v>180</v>
      </c>
      <c r="BY73" s="93">
        <f>SUM($Z73:AR73)-SUM($CM73:DE73)</f>
        <v>180</v>
      </c>
      <c r="BZ73" s="93">
        <f>SUM($Z73:AS73)-SUM($CM73:DF73)</f>
        <v>180</v>
      </c>
      <c r="CA73" s="93">
        <f>SUM($Z73:AT73)-SUM($CM73:DG73)</f>
        <v>180</v>
      </c>
      <c r="CB73" s="93">
        <f>SUM($Z73:AU73)-SUM($CM73:DH73)</f>
        <v>180</v>
      </c>
      <c r="CC73" s="93">
        <f>SUM($Z73:AV73)-SUM($CM73:DI73)</f>
        <v>180</v>
      </c>
      <c r="CD73" s="93">
        <f>SUM($Z73:AW73)-SUM($CM73:DJ73)</f>
        <v>180</v>
      </c>
      <c r="CE73" s="93">
        <f>SUM($Z73:AX73)-SUM($CM73:DK73)</f>
        <v>180</v>
      </c>
      <c r="CF73" s="93">
        <f>SUM($Z73:AY73)-SUM($CM73:DL73)</f>
        <v>180</v>
      </c>
      <c r="CG73" s="93">
        <f>SUM($Z73:AZ73)-SUM($CM73:DM73)</f>
        <v>180</v>
      </c>
      <c r="CH73" s="93">
        <f>SUM($Z73:BA73)-SUM($CM73:DN73)</f>
        <v>180</v>
      </c>
      <c r="CI73" s="93">
        <f>SUM($Z73:BB73)-SUM($CM73:DO73)</f>
        <v>180</v>
      </c>
      <c r="CJ73" s="93"/>
      <c r="CK73" s="93"/>
      <c r="CL73" s="93"/>
      <c r="CM73" s="93"/>
      <c r="CN73" s="93" cm="1">
        <f t="array" ref="CN73">SUMPRODUCT(TRANSPOSE(CN$4:CN$20),$G73:$W73)</f>
        <v>0</v>
      </c>
      <c r="CO73" s="93" cm="1">
        <f t="array" ref="CO73">SUMPRODUCT(TRANSPOSE(CO$4:CO$20),$G73:$W73)</f>
        <v>0</v>
      </c>
      <c r="CP73" s="93" cm="1">
        <f t="array" ref="CP73">SUMPRODUCT(TRANSPOSE(CP$4:CP$20),$G73:$W73)</f>
        <v>0</v>
      </c>
      <c r="CQ73" s="93" cm="1">
        <f t="array" ref="CQ73">SUMPRODUCT(TRANSPOSE(CQ$4:CQ$20),$G73:$W73)</f>
        <v>35</v>
      </c>
      <c r="CR73" s="93" cm="1">
        <f t="array" ref="CR73">SUMPRODUCT(TRANSPOSE(CR$4:CR$20),$G73:$W73)</f>
        <v>35</v>
      </c>
      <c r="CS73" s="93" cm="1">
        <f t="array" ref="CS73">SUMPRODUCT(TRANSPOSE(CS$4:CS$20),$G73:$W73)</f>
        <v>35</v>
      </c>
      <c r="CT73" s="93" cm="1">
        <f t="array" ref="CT73">SUMPRODUCT(TRANSPOSE(CT$4:CT$20),$G73:$W73)</f>
        <v>30</v>
      </c>
      <c r="CU73" s="93" cm="1">
        <f t="array" ref="CU73">SUMPRODUCT(TRANSPOSE(CU$4:CU$20),$G73:$W73)</f>
        <v>30</v>
      </c>
      <c r="CV73" s="93" cm="1">
        <f t="array" ref="CV73">SUMPRODUCT(TRANSPOSE(CV$4:CV$20),$G73:$W73)</f>
        <v>30</v>
      </c>
      <c r="CW73" s="93" cm="1">
        <f t="array" ref="CW73">SUMPRODUCT(TRANSPOSE(CW$4:CW$20),$G73:$W73)</f>
        <v>30</v>
      </c>
      <c r="CX73" s="93" cm="1">
        <f t="array" ref="CX73">SUMPRODUCT(TRANSPOSE(CX$4:CX$20),$G73:$W73)</f>
        <v>30</v>
      </c>
      <c r="CY73" s="93" cm="1">
        <f t="array" ref="CY73">SUMPRODUCT(TRANSPOSE(CY$4:CY$20),$G73:$W73)</f>
        <v>30</v>
      </c>
      <c r="CZ73" s="93" cm="1">
        <f t="array" ref="CZ73">SUMPRODUCT(TRANSPOSE(CZ$4:CZ$20),$G73:$W73)</f>
        <v>30</v>
      </c>
      <c r="DA73" s="93" cm="1">
        <f t="array" ref="DA73">SUMPRODUCT(TRANSPOSE(DA$4:DA$20),$G73:$W73)</f>
        <v>30</v>
      </c>
      <c r="DB73" s="93" cm="1">
        <f t="array" ref="DB73">SUMPRODUCT(TRANSPOSE(DB$4:DB$20),$G73:$W73)</f>
        <v>14</v>
      </c>
      <c r="DC73" s="93" cm="1">
        <f t="array" ref="DC73">SUMPRODUCT(TRANSPOSE(DC$4:DC$20),$G73:$W73)</f>
        <v>0</v>
      </c>
      <c r="DD73" s="93" cm="1">
        <f t="array" ref="DD73">SUMPRODUCT(TRANSPOSE(DD$4:DD$20),$G73:$W73)</f>
        <v>0</v>
      </c>
      <c r="DE73" s="93" cm="1">
        <f t="array" ref="DE73">SUMPRODUCT(TRANSPOSE(DE$4:DE$20),$G73:$W73)</f>
        <v>0</v>
      </c>
      <c r="DF73" s="93" cm="1">
        <f t="array" ref="DF73">SUMPRODUCT(TRANSPOSE(DF$4:DF$20),$G73:$W73)</f>
        <v>0</v>
      </c>
      <c r="DG73" s="93" cm="1">
        <f t="array" ref="DG73">SUMPRODUCT(TRANSPOSE(DG$4:DG$20),$G73:$W73)</f>
        <v>0</v>
      </c>
      <c r="DH73" s="93" cm="1">
        <f t="array" ref="DH73">SUMPRODUCT(TRANSPOSE(DH$4:DH$20),$G73:$W73)</f>
        <v>0</v>
      </c>
      <c r="DI73" s="93" cm="1">
        <f t="array" ref="DI73">SUMPRODUCT(TRANSPOSE(DI$4:DI$20),$G73:$W73)</f>
        <v>0</v>
      </c>
      <c r="DJ73" s="93" cm="1">
        <f t="array" ref="DJ73">SUMPRODUCT(TRANSPOSE(DJ$4:DJ$20),$G73:$W73)</f>
        <v>0</v>
      </c>
      <c r="DK73" s="93" cm="1">
        <f t="array" ref="DK73">SUMPRODUCT(TRANSPOSE(DK$4:DK$20),$G73:$W73)</f>
        <v>0</v>
      </c>
      <c r="DL73" s="93" cm="1">
        <f t="array" ref="DL73">SUMPRODUCT(TRANSPOSE(DL$4:DL$20),$G73:$W73)</f>
        <v>0</v>
      </c>
      <c r="DM73" s="93" cm="1">
        <f t="array" ref="DM73">SUMPRODUCT(TRANSPOSE(DM$4:DM$20),$G73:$W73)</f>
        <v>0</v>
      </c>
      <c r="DN73" s="93" cm="1">
        <f t="array" ref="DN73">SUMPRODUCT(TRANSPOSE(DN$4:DN$20),$G73:$W73)</f>
        <v>0</v>
      </c>
      <c r="DO73" s="93" cm="1">
        <f t="array" ref="DO73">SUMPRODUCT(TRANSPOSE(DO$4:DO$20),$G73:$W73)</f>
        <v>0</v>
      </c>
    </row>
    <row r="74" spans="1:119" x14ac:dyDescent="0.2">
      <c r="A74" s="45">
        <f t="shared" si="26"/>
        <v>53</v>
      </c>
      <c r="B74" s="46" t="s">
        <v>113</v>
      </c>
      <c r="C74" s="45">
        <v>410931222</v>
      </c>
      <c r="D74" s="45" t="s">
        <v>130</v>
      </c>
      <c r="E74" s="45" t="s">
        <v>162</v>
      </c>
      <c r="F74" s="48">
        <v>1</v>
      </c>
      <c r="G74" s="100">
        <v>0</v>
      </c>
      <c r="H74" s="100">
        <v>0</v>
      </c>
      <c r="I74" s="100">
        <v>0</v>
      </c>
      <c r="J74" s="100">
        <v>0</v>
      </c>
      <c r="K74" s="100">
        <v>0</v>
      </c>
      <c r="L74" s="100">
        <v>0</v>
      </c>
      <c r="M74" s="100">
        <v>0</v>
      </c>
      <c r="N74" s="100">
        <v>0</v>
      </c>
      <c r="O74" s="100">
        <v>0</v>
      </c>
      <c r="P74" s="100">
        <v>0</v>
      </c>
      <c r="Q74" s="100">
        <v>0</v>
      </c>
      <c r="R74" s="100">
        <v>0</v>
      </c>
      <c r="S74" s="100">
        <v>0</v>
      </c>
      <c r="T74" s="100">
        <v>1</v>
      </c>
      <c r="U74" s="100">
        <v>0</v>
      </c>
      <c r="V74" s="100">
        <v>0</v>
      </c>
      <c r="W74" s="100">
        <v>0</v>
      </c>
      <c r="X74" s="45" t="s">
        <v>4</v>
      </c>
      <c r="Y74" s="49">
        <v>0</v>
      </c>
      <c r="Z74" s="45">
        <v>0</v>
      </c>
      <c r="AA74" s="45">
        <v>0</v>
      </c>
      <c r="AB74" s="45">
        <v>0</v>
      </c>
      <c r="AC74" s="45">
        <v>0</v>
      </c>
      <c r="AD74" s="45">
        <v>0</v>
      </c>
      <c r="AE74" s="45">
        <v>0</v>
      </c>
      <c r="AF74" s="45">
        <v>0</v>
      </c>
      <c r="AG74" s="45">
        <v>0</v>
      </c>
      <c r="AH74" s="45">
        <v>0</v>
      </c>
      <c r="AI74" s="45">
        <v>0</v>
      </c>
      <c r="AJ74" s="45">
        <v>0</v>
      </c>
      <c r="AK74" s="45">
        <v>0</v>
      </c>
      <c r="AL74" s="45">
        <v>0</v>
      </c>
      <c r="AM74" s="45">
        <v>0</v>
      </c>
      <c r="AN74" s="45">
        <v>0</v>
      </c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93"/>
      <c r="BE74" s="93"/>
      <c r="BF74" s="93"/>
      <c r="BG74" s="93"/>
      <c r="BH74" s="93"/>
      <c r="BI74" s="93"/>
      <c r="BJ74" s="93"/>
      <c r="BK74" s="93">
        <f>SUM($Z74:AD74)-SUM($CM74:CQ74)</f>
        <v>-43</v>
      </c>
      <c r="BL74" s="93">
        <f>SUM($Z74:AE74)-SUM($CM74:CR74)</f>
        <v>-78</v>
      </c>
      <c r="BM74" s="93">
        <f>SUM($Z74:AF74)-SUM($CM74:CS74)</f>
        <v>-108</v>
      </c>
      <c r="BN74" s="93">
        <f>SUM($Z74:AG74)-SUM($CM74:CT74)</f>
        <v>-138</v>
      </c>
      <c r="BO74" s="93">
        <f>SUM($Z74:AH74)-SUM($CM74:CU74)</f>
        <v>-168</v>
      </c>
      <c r="BP74" s="93">
        <f>SUM($Z74:AI74)-SUM($CM74:CV74)</f>
        <v>-198</v>
      </c>
      <c r="BQ74" s="93">
        <f>SUM($Z74:AJ74)-SUM($CM74:CW74)</f>
        <v>-228</v>
      </c>
      <c r="BR74" s="93">
        <f>SUM($Z74:AK74)-SUM($CM74:CX74)</f>
        <v>-258</v>
      </c>
      <c r="BS74" s="93">
        <f>SUM($Z74:AL74)-SUM($CM74:CY74)</f>
        <v>-288</v>
      </c>
      <c r="BT74" s="93">
        <f>SUM($Z74:AM74)-SUM($CM74:CZ74)</f>
        <v>-318</v>
      </c>
      <c r="BU74" s="93">
        <f>SUM($Z74:AN74)-SUM($CM74:DA74)</f>
        <v>-348</v>
      </c>
      <c r="BV74" s="93">
        <f>SUM($Z74:AO74)-SUM($CM74:DB74)</f>
        <v>-348</v>
      </c>
      <c r="BW74" s="93">
        <f>SUM($Z74:AP74)-SUM($CM74:DC74)</f>
        <v>-348</v>
      </c>
      <c r="BX74" s="93">
        <f>SUM($Z74:AQ74)-SUM($CM74:DD74)</f>
        <v>-348</v>
      </c>
      <c r="BY74" s="93">
        <f>SUM($Z74:AR74)-SUM($CM74:DE74)</f>
        <v>-348</v>
      </c>
      <c r="BZ74" s="93">
        <f>SUM($Z74:AS74)-SUM($CM74:DF74)</f>
        <v>-348</v>
      </c>
      <c r="CA74" s="93">
        <f>SUM($Z74:AT74)-SUM($CM74:DG74)</f>
        <v>-348</v>
      </c>
      <c r="CB74" s="93">
        <f>SUM($Z74:AU74)-SUM($CM74:DH74)</f>
        <v>-348</v>
      </c>
      <c r="CC74" s="93">
        <f>SUM($Z74:AV74)-SUM($CM74:DI74)</f>
        <v>-348</v>
      </c>
      <c r="CD74" s="93">
        <f>SUM($Z74:AW74)-SUM($CM74:DJ74)</f>
        <v>-348</v>
      </c>
      <c r="CE74" s="93">
        <f>SUM($Z74:AX74)-SUM($CM74:DK74)</f>
        <v>-348</v>
      </c>
      <c r="CF74" s="93">
        <f>SUM($Z74:AY74)-SUM($CM74:DL74)</f>
        <v>-348</v>
      </c>
      <c r="CG74" s="93">
        <f>SUM($Z74:AZ74)-SUM($CM74:DM74)</f>
        <v>-348</v>
      </c>
      <c r="CH74" s="93">
        <f>SUM($Z74:BA74)-SUM($CM74:DN74)</f>
        <v>-348</v>
      </c>
      <c r="CI74" s="93">
        <f>SUM($Z74:BB74)-SUM($CM74:DO74)</f>
        <v>-348</v>
      </c>
      <c r="CJ74" s="93"/>
      <c r="CK74" s="93"/>
      <c r="CL74" s="93"/>
      <c r="CM74" s="93"/>
      <c r="CN74" s="93" cm="1">
        <f t="array" ref="CN74">SUMPRODUCT(TRANSPOSE(CN$4:CN$20),$G74:$W74)</f>
        <v>0</v>
      </c>
      <c r="CO74" s="93" cm="1">
        <f t="array" ref="CO74">SUMPRODUCT(TRANSPOSE(CO$4:CO$20),$G74:$W74)</f>
        <v>0</v>
      </c>
      <c r="CP74" s="93" cm="1">
        <f t="array" ref="CP74">SUMPRODUCT(TRANSPOSE(CP$4:CP$20),$G74:$W74)</f>
        <v>0</v>
      </c>
      <c r="CQ74" s="93" cm="1">
        <f t="array" ref="CQ74">SUMPRODUCT(TRANSPOSE(CQ$4:CQ$20),$G74:$W74)</f>
        <v>43</v>
      </c>
      <c r="CR74" s="93" cm="1">
        <f t="array" ref="CR74">SUMPRODUCT(TRANSPOSE(CR$4:CR$20),$G74:$W74)</f>
        <v>35</v>
      </c>
      <c r="CS74" s="93" cm="1">
        <f t="array" ref="CS74">SUMPRODUCT(TRANSPOSE(CS$4:CS$20),$G74:$W74)</f>
        <v>30</v>
      </c>
      <c r="CT74" s="93" cm="1">
        <f t="array" ref="CT74">SUMPRODUCT(TRANSPOSE(CT$4:CT$20),$G74:$W74)</f>
        <v>30</v>
      </c>
      <c r="CU74" s="93" cm="1">
        <f t="array" ref="CU74">SUMPRODUCT(TRANSPOSE(CU$4:CU$20),$G74:$W74)</f>
        <v>30</v>
      </c>
      <c r="CV74" s="93" cm="1">
        <f t="array" ref="CV74">SUMPRODUCT(TRANSPOSE(CV$4:CV$20),$G74:$W74)</f>
        <v>30</v>
      </c>
      <c r="CW74" s="93" cm="1">
        <f t="array" ref="CW74">SUMPRODUCT(TRANSPOSE(CW$4:CW$20),$G74:$W74)</f>
        <v>30</v>
      </c>
      <c r="CX74" s="93" cm="1">
        <f t="array" ref="CX74">SUMPRODUCT(TRANSPOSE(CX$4:CX$20),$G74:$W74)</f>
        <v>30</v>
      </c>
      <c r="CY74" s="93" cm="1">
        <f t="array" ref="CY74">SUMPRODUCT(TRANSPOSE(CY$4:CY$20),$G74:$W74)</f>
        <v>30</v>
      </c>
      <c r="CZ74" s="93" cm="1">
        <f t="array" ref="CZ74">SUMPRODUCT(TRANSPOSE(CZ$4:CZ$20),$G74:$W74)</f>
        <v>30</v>
      </c>
      <c r="DA74" s="93" cm="1">
        <f t="array" ref="DA74">SUMPRODUCT(TRANSPOSE(DA$4:DA$20),$G74:$W74)</f>
        <v>30</v>
      </c>
      <c r="DB74" s="93" cm="1">
        <f t="array" ref="DB74">SUMPRODUCT(TRANSPOSE(DB$4:DB$20),$G74:$W74)</f>
        <v>0</v>
      </c>
      <c r="DC74" s="93" cm="1">
        <f t="array" ref="DC74">SUMPRODUCT(TRANSPOSE(DC$4:DC$20),$G74:$W74)</f>
        <v>0</v>
      </c>
      <c r="DD74" s="93" cm="1">
        <f t="array" ref="DD74">SUMPRODUCT(TRANSPOSE(DD$4:DD$20),$G74:$W74)</f>
        <v>0</v>
      </c>
      <c r="DE74" s="93" cm="1">
        <f t="array" ref="DE74">SUMPRODUCT(TRANSPOSE(DE$4:DE$20),$G74:$W74)</f>
        <v>0</v>
      </c>
      <c r="DF74" s="93" cm="1">
        <f t="array" ref="DF74">SUMPRODUCT(TRANSPOSE(DF$4:DF$20),$G74:$W74)</f>
        <v>0</v>
      </c>
      <c r="DG74" s="93" cm="1">
        <f t="array" ref="DG74">SUMPRODUCT(TRANSPOSE(DG$4:DG$20),$G74:$W74)</f>
        <v>0</v>
      </c>
      <c r="DH74" s="93" cm="1">
        <f t="array" ref="DH74">SUMPRODUCT(TRANSPOSE(DH$4:DH$20),$G74:$W74)</f>
        <v>0</v>
      </c>
      <c r="DI74" s="93" cm="1">
        <f t="array" ref="DI74">SUMPRODUCT(TRANSPOSE(DI$4:DI$20),$G74:$W74)</f>
        <v>0</v>
      </c>
      <c r="DJ74" s="93" cm="1">
        <f t="array" ref="DJ74">SUMPRODUCT(TRANSPOSE(DJ$4:DJ$20),$G74:$W74)</f>
        <v>0</v>
      </c>
      <c r="DK74" s="93" cm="1">
        <f t="array" ref="DK74">SUMPRODUCT(TRANSPOSE(DK$4:DK$20),$G74:$W74)</f>
        <v>0</v>
      </c>
      <c r="DL74" s="93" cm="1">
        <f t="array" ref="DL74">SUMPRODUCT(TRANSPOSE(DL$4:DL$20),$G74:$W74)</f>
        <v>0</v>
      </c>
      <c r="DM74" s="93" cm="1">
        <f t="array" ref="DM74">SUMPRODUCT(TRANSPOSE(DM$4:DM$20),$G74:$W74)</f>
        <v>0</v>
      </c>
      <c r="DN74" s="93" cm="1">
        <f t="array" ref="DN74">SUMPRODUCT(TRANSPOSE(DN$4:DN$20),$G74:$W74)</f>
        <v>0</v>
      </c>
      <c r="DO74" s="93" cm="1">
        <f t="array" ref="DO74">SUMPRODUCT(TRANSPOSE(DO$4:DO$20),$G74:$W74)</f>
        <v>0</v>
      </c>
    </row>
    <row r="75" spans="1:119" x14ac:dyDescent="0.2">
      <c r="A75" s="45">
        <f t="shared" si="26"/>
        <v>54</v>
      </c>
      <c r="B75" s="46" t="s">
        <v>111</v>
      </c>
      <c r="C75" s="45">
        <v>410979618</v>
      </c>
      <c r="D75" s="45" t="s">
        <v>126</v>
      </c>
      <c r="E75" s="45" t="s">
        <v>162</v>
      </c>
      <c r="F75" s="48">
        <v>1</v>
      </c>
      <c r="G75" s="100">
        <v>0</v>
      </c>
      <c r="H75" s="100">
        <v>0</v>
      </c>
      <c r="I75" s="100">
        <v>0</v>
      </c>
      <c r="J75" s="100">
        <v>0</v>
      </c>
      <c r="K75" s="100">
        <v>0</v>
      </c>
      <c r="L75" s="100">
        <v>0</v>
      </c>
      <c r="M75" s="100">
        <v>0</v>
      </c>
      <c r="N75" s="100">
        <v>0</v>
      </c>
      <c r="O75" s="100">
        <v>0</v>
      </c>
      <c r="P75" s="100">
        <v>0</v>
      </c>
      <c r="Q75" s="100">
        <v>0</v>
      </c>
      <c r="R75" s="100">
        <v>0</v>
      </c>
      <c r="S75" s="100">
        <v>1</v>
      </c>
      <c r="T75" s="100">
        <v>0</v>
      </c>
      <c r="U75" s="100">
        <v>0</v>
      </c>
      <c r="V75" s="100">
        <v>0</v>
      </c>
      <c r="W75" s="100">
        <v>0</v>
      </c>
      <c r="X75" s="45" t="s">
        <v>4</v>
      </c>
      <c r="Y75" s="49">
        <v>0</v>
      </c>
      <c r="Z75" s="45">
        <v>0</v>
      </c>
      <c r="AA75" s="45">
        <v>0</v>
      </c>
      <c r="AB75" s="45">
        <v>0</v>
      </c>
      <c r="AC75" s="45">
        <v>0</v>
      </c>
      <c r="AD75" s="45">
        <v>0</v>
      </c>
      <c r="AE75" s="45">
        <v>0</v>
      </c>
      <c r="AF75" s="45">
        <v>0</v>
      </c>
      <c r="AG75" s="45">
        <v>0</v>
      </c>
      <c r="AH75" s="45">
        <v>0</v>
      </c>
      <c r="AI75" s="45">
        <v>0</v>
      </c>
      <c r="AJ75" s="45">
        <v>0</v>
      </c>
      <c r="AK75" s="45">
        <v>0</v>
      </c>
      <c r="AL75" s="45">
        <v>0</v>
      </c>
      <c r="AM75" s="45">
        <v>0</v>
      </c>
      <c r="AN75" s="45">
        <v>0</v>
      </c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93"/>
      <c r="BE75" s="93"/>
      <c r="BF75" s="93"/>
      <c r="BG75" s="93"/>
      <c r="BH75" s="93"/>
      <c r="BI75" s="93"/>
      <c r="BJ75" s="93"/>
      <c r="BK75" s="93">
        <f>SUM($Z75:AD75)-SUM($CM75:CQ75)</f>
        <v>-43</v>
      </c>
      <c r="BL75" s="93">
        <f>SUM($Z75:AE75)-SUM($CM75:CR75)</f>
        <v>-78</v>
      </c>
      <c r="BM75" s="93">
        <f>SUM($Z75:AF75)-SUM($CM75:CS75)</f>
        <v>-108</v>
      </c>
      <c r="BN75" s="93">
        <f>SUM($Z75:AG75)-SUM($CM75:CT75)</f>
        <v>-138</v>
      </c>
      <c r="BO75" s="93">
        <f>SUM($Z75:AH75)-SUM($CM75:CU75)</f>
        <v>-168</v>
      </c>
      <c r="BP75" s="93">
        <f>SUM($Z75:AI75)-SUM($CM75:CV75)</f>
        <v>-198</v>
      </c>
      <c r="BQ75" s="93">
        <f>SUM($Z75:AJ75)-SUM($CM75:CW75)</f>
        <v>-228</v>
      </c>
      <c r="BR75" s="93">
        <f>SUM($Z75:AK75)-SUM($CM75:CX75)</f>
        <v>-258</v>
      </c>
      <c r="BS75" s="93">
        <f>SUM($Z75:AL75)-SUM($CM75:CY75)</f>
        <v>-288</v>
      </c>
      <c r="BT75" s="93">
        <f>SUM($Z75:AM75)-SUM($CM75:CZ75)</f>
        <v>-318</v>
      </c>
      <c r="BU75" s="93">
        <f>SUM($Z75:AN75)-SUM($CM75:DA75)</f>
        <v>-348</v>
      </c>
      <c r="BV75" s="93">
        <f>SUM($Z75:AO75)-SUM($CM75:DB75)</f>
        <v>-348</v>
      </c>
      <c r="BW75" s="93">
        <f>SUM($Z75:AP75)-SUM($CM75:DC75)</f>
        <v>-348</v>
      </c>
      <c r="BX75" s="93">
        <f>SUM($Z75:AQ75)-SUM($CM75:DD75)</f>
        <v>-348</v>
      </c>
      <c r="BY75" s="93">
        <f>SUM($Z75:AR75)-SUM($CM75:DE75)</f>
        <v>-348</v>
      </c>
      <c r="BZ75" s="93">
        <f>SUM($Z75:AS75)-SUM($CM75:DF75)</f>
        <v>-348</v>
      </c>
      <c r="CA75" s="93">
        <f>SUM($Z75:AT75)-SUM($CM75:DG75)</f>
        <v>-348</v>
      </c>
      <c r="CB75" s="93">
        <f>SUM($Z75:AU75)-SUM($CM75:DH75)</f>
        <v>-348</v>
      </c>
      <c r="CC75" s="93">
        <f>SUM($Z75:AV75)-SUM($CM75:DI75)</f>
        <v>-348</v>
      </c>
      <c r="CD75" s="93">
        <f>SUM($Z75:AW75)-SUM($CM75:DJ75)</f>
        <v>-348</v>
      </c>
      <c r="CE75" s="93">
        <f>SUM($Z75:AX75)-SUM($CM75:DK75)</f>
        <v>-348</v>
      </c>
      <c r="CF75" s="93">
        <f>SUM($Z75:AY75)-SUM($CM75:DL75)</f>
        <v>-348</v>
      </c>
      <c r="CG75" s="93">
        <f>SUM($Z75:AZ75)-SUM($CM75:DM75)</f>
        <v>-348</v>
      </c>
      <c r="CH75" s="93">
        <f>SUM($Z75:BA75)-SUM($CM75:DN75)</f>
        <v>-348</v>
      </c>
      <c r="CI75" s="93">
        <f>SUM($Z75:BB75)-SUM($CM75:DO75)</f>
        <v>-348</v>
      </c>
      <c r="CJ75" s="93"/>
      <c r="CK75" s="93"/>
      <c r="CL75" s="93"/>
      <c r="CM75" s="93"/>
      <c r="CN75" s="93" cm="1">
        <f t="array" ref="CN75">SUMPRODUCT(TRANSPOSE(CN$4:CN$20),$G75:$W75)</f>
        <v>0</v>
      </c>
      <c r="CO75" s="93" cm="1">
        <f t="array" ref="CO75">SUMPRODUCT(TRANSPOSE(CO$4:CO$20),$G75:$W75)</f>
        <v>0</v>
      </c>
      <c r="CP75" s="93" cm="1">
        <f t="array" ref="CP75">SUMPRODUCT(TRANSPOSE(CP$4:CP$20),$G75:$W75)</f>
        <v>0</v>
      </c>
      <c r="CQ75" s="93" cm="1">
        <f t="array" ref="CQ75">SUMPRODUCT(TRANSPOSE(CQ$4:CQ$20),$G75:$W75)</f>
        <v>43</v>
      </c>
      <c r="CR75" s="93" cm="1">
        <f t="array" ref="CR75">SUMPRODUCT(TRANSPOSE(CR$4:CR$20),$G75:$W75)</f>
        <v>35</v>
      </c>
      <c r="CS75" s="93" cm="1">
        <f t="array" ref="CS75">SUMPRODUCT(TRANSPOSE(CS$4:CS$20),$G75:$W75)</f>
        <v>30</v>
      </c>
      <c r="CT75" s="93" cm="1">
        <f t="array" ref="CT75">SUMPRODUCT(TRANSPOSE(CT$4:CT$20),$G75:$W75)</f>
        <v>30</v>
      </c>
      <c r="CU75" s="93" cm="1">
        <f t="array" ref="CU75">SUMPRODUCT(TRANSPOSE(CU$4:CU$20),$G75:$W75)</f>
        <v>30</v>
      </c>
      <c r="CV75" s="93" cm="1">
        <f t="array" ref="CV75">SUMPRODUCT(TRANSPOSE(CV$4:CV$20),$G75:$W75)</f>
        <v>30</v>
      </c>
      <c r="CW75" s="93" cm="1">
        <f t="array" ref="CW75">SUMPRODUCT(TRANSPOSE(CW$4:CW$20),$G75:$W75)</f>
        <v>30</v>
      </c>
      <c r="CX75" s="93" cm="1">
        <f t="array" ref="CX75">SUMPRODUCT(TRANSPOSE(CX$4:CX$20),$G75:$W75)</f>
        <v>30</v>
      </c>
      <c r="CY75" s="93" cm="1">
        <f t="array" ref="CY75">SUMPRODUCT(TRANSPOSE(CY$4:CY$20),$G75:$W75)</f>
        <v>30</v>
      </c>
      <c r="CZ75" s="93" cm="1">
        <f t="array" ref="CZ75">SUMPRODUCT(TRANSPOSE(CZ$4:CZ$20),$G75:$W75)</f>
        <v>30</v>
      </c>
      <c r="DA75" s="93" cm="1">
        <f t="array" ref="DA75">SUMPRODUCT(TRANSPOSE(DA$4:DA$20),$G75:$W75)</f>
        <v>30</v>
      </c>
      <c r="DB75" s="93" cm="1">
        <f t="array" ref="DB75">SUMPRODUCT(TRANSPOSE(DB$4:DB$20),$G75:$W75)</f>
        <v>0</v>
      </c>
      <c r="DC75" s="93" cm="1">
        <f t="array" ref="DC75">SUMPRODUCT(TRANSPOSE(DC$4:DC$20),$G75:$W75)</f>
        <v>0</v>
      </c>
      <c r="DD75" s="93" cm="1">
        <f t="array" ref="DD75">SUMPRODUCT(TRANSPOSE(DD$4:DD$20),$G75:$W75)</f>
        <v>0</v>
      </c>
      <c r="DE75" s="93" cm="1">
        <f t="array" ref="DE75">SUMPRODUCT(TRANSPOSE(DE$4:DE$20),$G75:$W75)</f>
        <v>0</v>
      </c>
      <c r="DF75" s="93" cm="1">
        <f t="array" ref="DF75">SUMPRODUCT(TRANSPOSE(DF$4:DF$20),$G75:$W75)</f>
        <v>0</v>
      </c>
      <c r="DG75" s="93" cm="1">
        <f t="array" ref="DG75">SUMPRODUCT(TRANSPOSE(DG$4:DG$20),$G75:$W75)</f>
        <v>0</v>
      </c>
      <c r="DH75" s="93" cm="1">
        <f t="array" ref="DH75">SUMPRODUCT(TRANSPOSE(DH$4:DH$20),$G75:$W75)</f>
        <v>0</v>
      </c>
      <c r="DI75" s="93" cm="1">
        <f t="array" ref="DI75">SUMPRODUCT(TRANSPOSE(DI$4:DI$20),$G75:$W75)</f>
        <v>0</v>
      </c>
      <c r="DJ75" s="93" cm="1">
        <f t="array" ref="DJ75">SUMPRODUCT(TRANSPOSE(DJ$4:DJ$20),$G75:$W75)</f>
        <v>0</v>
      </c>
      <c r="DK75" s="93" cm="1">
        <f t="array" ref="DK75">SUMPRODUCT(TRANSPOSE(DK$4:DK$20),$G75:$W75)</f>
        <v>0</v>
      </c>
      <c r="DL75" s="93" cm="1">
        <f t="array" ref="DL75">SUMPRODUCT(TRANSPOSE(DL$4:DL$20),$G75:$W75)</f>
        <v>0</v>
      </c>
      <c r="DM75" s="93" cm="1">
        <f t="array" ref="DM75">SUMPRODUCT(TRANSPOSE(DM$4:DM$20),$G75:$W75)</f>
        <v>0</v>
      </c>
      <c r="DN75" s="93" cm="1">
        <f t="array" ref="DN75">SUMPRODUCT(TRANSPOSE(DN$4:DN$20),$G75:$W75)</f>
        <v>0</v>
      </c>
      <c r="DO75" s="93" cm="1">
        <f t="array" ref="DO75">SUMPRODUCT(TRANSPOSE(DO$4:DO$20),$G75:$W75)</f>
        <v>0</v>
      </c>
    </row>
    <row r="76" spans="1:119" x14ac:dyDescent="0.2">
      <c r="A76" s="47">
        <f t="shared" si="26"/>
        <v>55</v>
      </c>
      <c r="B76" s="51" t="s">
        <v>259</v>
      </c>
      <c r="C76" s="45">
        <v>411899289</v>
      </c>
      <c r="D76" s="45" t="s">
        <v>260</v>
      </c>
      <c r="E76" s="45" t="s">
        <v>162</v>
      </c>
      <c r="F76" s="48">
        <v>1</v>
      </c>
      <c r="G76" s="100">
        <v>0</v>
      </c>
      <c r="H76" s="100">
        <v>0</v>
      </c>
      <c r="I76" s="100">
        <v>0</v>
      </c>
      <c r="J76" s="100">
        <v>0</v>
      </c>
      <c r="K76" s="100">
        <v>0</v>
      </c>
      <c r="L76" s="100">
        <v>0</v>
      </c>
      <c r="M76" s="100">
        <v>0</v>
      </c>
      <c r="N76" s="100">
        <v>0</v>
      </c>
      <c r="O76" s="100">
        <v>0</v>
      </c>
      <c r="P76" s="100">
        <v>0</v>
      </c>
      <c r="Q76" s="100">
        <v>0</v>
      </c>
      <c r="R76" s="100">
        <v>0</v>
      </c>
      <c r="S76" s="100">
        <v>0</v>
      </c>
      <c r="T76" s="100">
        <v>0</v>
      </c>
      <c r="U76" s="100">
        <v>1</v>
      </c>
      <c r="V76" s="100">
        <v>0</v>
      </c>
      <c r="W76" s="100">
        <v>0</v>
      </c>
      <c r="X76" s="58" t="s">
        <v>1102</v>
      </c>
      <c r="Y76" s="53">
        <v>481.45</v>
      </c>
      <c r="Z76" s="45">
        <v>234</v>
      </c>
      <c r="AA76" s="45">
        <v>0</v>
      </c>
      <c r="AB76" s="45">
        <v>0</v>
      </c>
      <c r="AC76" s="45">
        <v>0</v>
      </c>
      <c r="AD76" s="45">
        <v>0</v>
      </c>
      <c r="AE76" s="45">
        <v>10</v>
      </c>
      <c r="AF76" s="45">
        <v>0</v>
      </c>
      <c r="AG76" s="45">
        <v>0</v>
      </c>
      <c r="AH76" s="45">
        <v>0</v>
      </c>
      <c r="AI76" s="45">
        <v>0</v>
      </c>
      <c r="AJ76" s="45">
        <v>0</v>
      </c>
      <c r="AK76" s="45">
        <v>0</v>
      </c>
      <c r="AL76" s="45">
        <v>0</v>
      </c>
      <c r="AM76" s="45">
        <v>0</v>
      </c>
      <c r="AN76" s="45">
        <v>0</v>
      </c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93"/>
      <c r="BE76" s="93"/>
      <c r="BF76" s="93"/>
      <c r="BG76" s="93"/>
      <c r="BH76" s="93"/>
      <c r="BI76" s="93"/>
      <c r="BJ76" s="93"/>
      <c r="BK76" s="93">
        <f>SUM($Z76:AD76)-SUM($CM76:CQ76)</f>
        <v>191</v>
      </c>
      <c r="BL76" s="93">
        <f>SUM($Z76:AE76)-SUM($CM76:CR76)</f>
        <v>166</v>
      </c>
      <c r="BM76" s="93">
        <f>SUM($Z76:AF76)-SUM($CM76:CS76)</f>
        <v>136</v>
      </c>
      <c r="BN76" s="93">
        <f>SUM($Z76:AG76)-SUM($CM76:CT76)</f>
        <v>106</v>
      </c>
      <c r="BO76" s="93">
        <f>SUM($Z76:AH76)-SUM($CM76:CU76)</f>
        <v>76</v>
      </c>
      <c r="BP76" s="93">
        <f>SUM($Z76:AI76)-SUM($CM76:CV76)</f>
        <v>46</v>
      </c>
      <c r="BQ76" s="93">
        <f>SUM($Z76:AJ76)-SUM($CM76:CW76)</f>
        <v>16</v>
      </c>
      <c r="BR76" s="93">
        <f>SUM($Z76:AK76)-SUM($CM76:CX76)</f>
        <v>-14</v>
      </c>
      <c r="BS76" s="93">
        <f>SUM($Z76:AL76)-SUM($CM76:CY76)</f>
        <v>-44</v>
      </c>
      <c r="BT76" s="93">
        <f>SUM($Z76:AM76)-SUM($CM76:CZ76)</f>
        <v>-74</v>
      </c>
      <c r="BU76" s="93">
        <f>SUM($Z76:AN76)-SUM($CM76:DA76)</f>
        <v>-104</v>
      </c>
      <c r="BV76" s="93">
        <f>SUM($Z76:AO76)-SUM($CM76:DB76)</f>
        <v>-104</v>
      </c>
      <c r="BW76" s="93">
        <f>SUM($Z76:AP76)-SUM($CM76:DC76)</f>
        <v>-104</v>
      </c>
      <c r="BX76" s="93">
        <f>SUM($Z76:AQ76)-SUM($CM76:DD76)</f>
        <v>-104</v>
      </c>
      <c r="BY76" s="93">
        <f>SUM($Z76:AR76)-SUM($CM76:DE76)</f>
        <v>-104</v>
      </c>
      <c r="BZ76" s="93">
        <f>SUM($Z76:AS76)-SUM($CM76:DF76)</f>
        <v>-104</v>
      </c>
      <c r="CA76" s="93">
        <f>SUM($Z76:AT76)-SUM($CM76:DG76)</f>
        <v>-104</v>
      </c>
      <c r="CB76" s="93">
        <f>SUM($Z76:AU76)-SUM($CM76:DH76)</f>
        <v>-104</v>
      </c>
      <c r="CC76" s="93">
        <f>SUM($Z76:AV76)-SUM($CM76:DI76)</f>
        <v>-104</v>
      </c>
      <c r="CD76" s="93">
        <f>SUM($Z76:AW76)-SUM($CM76:DJ76)</f>
        <v>-104</v>
      </c>
      <c r="CE76" s="93">
        <f>SUM($Z76:AX76)-SUM($CM76:DK76)</f>
        <v>-104</v>
      </c>
      <c r="CF76" s="93">
        <f>SUM($Z76:AY76)-SUM($CM76:DL76)</f>
        <v>-104</v>
      </c>
      <c r="CG76" s="93">
        <f>SUM($Z76:AZ76)-SUM($CM76:DM76)</f>
        <v>-104</v>
      </c>
      <c r="CH76" s="93">
        <f>SUM($Z76:BA76)-SUM($CM76:DN76)</f>
        <v>-104</v>
      </c>
      <c r="CI76" s="93">
        <f>SUM($Z76:BB76)-SUM($CM76:DO76)</f>
        <v>-104</v>
      </c>
      <c r="CJ76" s="93"/>
      <c r="CK76" s="93"/>
      <c r="CL76" s="93"/>
      <c r="CM76" s="93"/>
      <c r="CN76" s="93" cm="1">
        <f t="array" ref="CN76">SUMPRODUCT(TRANSPOSE(CN$4:CN$20),$G76:$W76)</f>
        <v>0</v>
      </c>
      <c r="CO76" s="93" cm="1">
        <f t="array" ref="CO76">SUMPRODUCT(TRANSPOSE(CO$4:CO$20),$G76:$W76)</f>
        <v>0</v>
      </c>
      <c r="CP76" s="93" cm="1">
        <f t="array" ref="CP76">SUMPRODUCT(TRANSPOSE(CP$4:CP$20),$G76:$W76)</f>
        <v>0</v>
      </c>
      <c r="CQ76" s="93" cm="1">
        <f t="array" ref="CQ76">SUMPRODUCT(TRANSPOSE(CQ$4:CQ$20),$G76:$W76)</f>
        <v>43</v>
      </c>
      <c r="CR76" s="93" cm="1">
        <f t="array" ref="CR76">SUMPRODUCT(TRANSPOSE(CR$4:CR$20),$G76:$W76)</f>
        <v>35</v>
      </c>
      <c r="CS76" s="93" cm="1">
        <f t="array" ref="CS76">SUMPRODUCT(TRANSPOSE(CS$4:CS$20),$G76:$W76)</f>
        <v>30</v>
      </c>
      <c r="CT76" s="93" cm="1">
        <f t="array" ref="CT76">SUMPRODUCT(TRANSPOSE(CT$4:CT$20),$G76:$W76)</f>
        <v>30</v>
      </c>
      <c r="CU76" s="93" cm="1">
        <f t="array" ref="CU76">SUMPRODUCT(TRANSPOSE(CU$4:CU$20),$G76:$W76)</f>
        <v>30</v>
      </c>
      <c r="CV76" s="93" cm="1">
        <f t="array" ref="CV76">SUMPRODUCT(TRANSPOSE(CV$4:CV$20),$G76:$W76)</f>
        <v>30</v>
      </c>
      <c r="CW76" s="93" cm="1">
        <f t="array" ref="CW76">SUMPRODUCT(TRANSPOSE(CW$4:CW$20),$G76:$W76)</f>
        <v>30</v>
      </c>
      <c r="CX76" s="93" cm="1">
        <f t="array" ref="CX76">SUMPRODUCT(TRANSPOSE(CX$4:CX$20),$G76:$W76)</f>
        <v>30</v>
      </c>
      <c r="CY76" s="93" cm="1">
        <f t="array" ref="CY76">SUMPRODUCT(TRANSPOSE(CY$4:CY$20),$G76:$W76)</f>
        <v>30</v>
      </c>
      <c r="CZ76" s="93" cm="1">
        <f t="array" ref="CZ76">SUMPRODUCT(TRANSPOSE(CZ$4:CZ$20),$G76:$W76)</f>
        <v>30</v>
      </c>
      <c r="DA76" s="93" cm="1">
        <f t="array" ref="DA76">SUMPRODUCT(TRANSPOSE(DA$4:DA$20),$G76:$W76)</f>
        <v>30</v>
      </c>
      <c r="DB76" s="93" cm="1">
        <f t="array" ref="DB76">SUMPRODUCT(TRANSPOSE(DB$4:DB$20),$G76:$W76)</f>
        <v>0</v>
      </c>
      <c r="DC76" s="93" cm="1">
        <f t="array" ref="DC76">SUMPRODUCT(TRANSPOSE(DC$4:DC$20),$G76:$W76)</f>
        <v>0</v>
      </c>
      <c r="DD76" s="93" cm="1">
        <f t="array" ref="DD76">SUMPRODUCT(TRANSPOSE(DD$4:DD$20),$G76:$W76)</f>
        <v>0</v>
      </c>
      <c r="DE76" s="93" cm="1">
        <f t="array" ref="DE76">SUMPRODUCT(TRANSPOSE(DE$4:DE$20),$G76:$W76)</f>
        <v>0</v>
      </c>
      <c r="DF76" s="93" cm="1">
        <f t="array" ref="DF76">SUMPRODUCT(TRANSPOSE(DF$4:DF$20),$G76:$W76)</f>
        <v>0</v>
      </c>
      <c r="DG76" s="93" cm="1">
        <f t="array" ref="DG76">SUMPRODUCT(TRANSPOSE(DG$4:DG$20),$G76:$W76)</f>
        <v>0</v>
      </c>
      <c r="DH76" s="93" cm="1">
        <f t="array" ref="DH76">SUMPRODUCT(TRANSPOSE(DH$4:DH$20),$G76:$W76)</f>
        <v>0</v>
      </c>
      <c r="DI76" s="93" cm="1">
        <f t="array" ref="DI76">SUMPRODUCT(TRANSPOSE(DI$4:DI$20),$G76:$W76)</f>
        <v>0</v>
      </c>
      <c r="DJ76" s="93" cm="1">
        <f t="array" ref="DJ76">SUMPRODUCT(TRANSPOSE(DJ$4:DJ$20),$G76:$W76)</f>
        <v>0</v>
      </c>
      <c r="DK76" s="93" cm="1">
        <f t="array" ref="DK76">SUMPRODUCT(TRANSPOSE(DK$4:DK$20),$G76:$W76)</f>
        <v>0</v>
      </c>
      <c r="DL76" s="93" cm="1">
        <f t="array" ref="DL76">SUMPRODUCT(TRANSPOSE(DL$4:DL$20),$G76:$W76)</f>
        <v>0</v>
      </c>
      <c r="DM76" s="93" cm="1">
        <f t="array" ref="DM76">SUMPRODUCT(TRANSPOSE(DM$4:DM$20),$G76:$W76)</f>
        <v>0</v>
      </c>
      <c r="DN76" s="93" cm="1">
        <f t="array" ref="DN76">SUMPRODUCT(TRANSPOSE(DN$4:DN$20),$G76:$W76)</f>
        <v>0</v>
      </c>
      <c r="DO76" s="93" cm="1">
        <f t="array" ref="DO76">SUMPRODUCT(TRANSPOSE(DO$4:DO$20),$G76:$W76)</f>
        <v>0</v>
      </c>
    </row>
    <row r="77" spans="1:119" x14ac:dyDescent="0.2">
      <c r="A77" s="45">
        <f t="shared" si="26"/>
        <v>56</v>
      </c>
      <c r="B77" s="46" t="s">
        <v>261</v>
      </c>
      <c r="C77" s="45">
        <v>411031350</v>
      </c>
      <c r="D77" s="45" t="s">
        <v>262</v>
      </c>
      <c r="E77" s="45" t="s">
        <v>162</v>
      </c>
      <c r="F77" s="48">
        <v>1</v>
      </c>
      <c r="G77" s="100">
        <v>0</v>
      </c>
      <c r="H77" s="100">
        <v>0</v>
      </c>
      <c r="I77" s="100">
        <v>0</v>
      </c>
      <c r="J77" s="100">
        <v>0</v>
      </c>
      <c r="K77" s="100">
        <v>0</v>
      </c>
      <c r="L77" s="100">
        <v>0</v>
      </c>
      <c r="M77" s="100">
        <v>0</v>
      </c>
      <c r="N77" s="100">
        <v>0</v>
      </c>
      <c r="O77" s="100">
        <v>1</v>
      </c>
      <c r="P77" s="100">
        <v>0</v>
      </c>
      <c r="Q77" s="100">
        <v>0</v>
      </c>
      <c r="R77" s="100">
        <v>0</v>
      </c>
      <c r="S77" s="100">
        <v>0</v>
      </c>
      <c r="T77" s="100">
        <v>0</v>
      </c>
      <c r="U77" s="100">
        <v>0</v>
      </c>
      <c r="V77" s="100">
        <v>0</v>
      </c>
      <c r="W77" s="100">
        <v>0</v>
      </c>
      <c r="X77" s="45" t="s">
        <v>44</v>
      </c>
      <c r="Y77" s="49">
        <v>2.2000000000000002</v>
      </c>
      <c r="Z77" s="45">
        <v>539</v>
      </c>
      <c r="AA77" s="45">
        <v>0</v>
      </c>
      <c r="AB77" s="45">
        <v>0</v>
      </c>
      <c r="AC77" s="45">
        <v>0</v>
      </c>
      <c r="AD77" s="45">
        <v>0</v>
      </c>
      <c r="AE77" s="45">
        <v>0</v>
      </c>
      <c r="AF77" s="45">
        <v>0</v>
      </c>
      <c r="AG77" s="45">
        <v>0</v>
      </c>
      <c r="AH77" s="45">
        <v>0</v>
      </c>
      <c r="AI77" s="45">
        <v>0</v>
      </c>
      <c r="AJ77" s="45">
        <v>0</v>
      </c>
      <c r="AK77" s="45">
        <v>0</v>
      </c>
      <c r="AL77" s="45">
        <v>0</v>
      </c>
      <c r="AM77" s="45">
        <v>0</v>
      </c>
      <c r="AN77" s="45">
        <v>0</v>
      </c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93"/>
      <c r="BE77" s="93"/>
      <c r="BF77" s="93"/>
      <c r="BG77" s="93"/>
      <c r="BH77" s="93"/>
      <c r="BI77" s="93"/>
      <c r="BJ77" s="93"/>
      <c r="BK77" s="93">
        <f>SUM($Z77:AD77)-SUM($CM77:CQ77)</f>
        <v>504</v>
      </c>
      <c r="BL77" s="93">
        <f>SUM($Z77:AE77)-SUM($CM77:CR77)</f>
        <v>469</v>
      </c>
      <c r="BM77" s="93">
        <f>SUM($Z77:AF77)-SUM($CM77:CS77)</f>
        <v>434</v>
      </c>
      <c r="BN77" s="93">
        <f>SUM($Z77:AG77)-SUM($CM77:CT77)</f>
        <v>404</v>
      </c>
      <c r="BO77" s="93">
        <f>SUM($Z77:AH77)-SUM($CM77:CU77)</f>
        <v>374</v>
      </c>
      <c r="BP77" s="93">
        <f>SUM($Z77:AI77)-SUM($CM77:CV77)</f>
        <v>344</v>
      </c>
      <c r="BQ77" s="93">
        <f>SUM($Z77:AJ77)-SUM($CM77:CW77)</f>
        <v>314</v>
      </c>
      <c r="BR77" s="93">
        <f>SUM($Z77:AK77)-SUM($CM77:CX77)</f>
        <v>284</v>
      </c>
      <c r="BS77" s="93">
        <f>SUM($Z77:AL77)-SUM($CM77:CY77)</f>
        <v>254</v>
      </c>
      <c r="BT77" s="93">
        <f>SUM($Z77:AM77)-SUM($CM77:CZ77)</f>
        <v>224</v>
      </c>
      <c r="BU77" s="93">
        <f>SUM($Z77:AN77)-SUM($CM77:DA77)</f>
        <v>194</v>
      </c>
      <c r="BV77" s="93">
        <f>SUM($Z77:AO77)-SUM($CM77:DB77)</f>
        <v>180</v>
      </c>
      <c r="BW77" s="93">
        <f>SUM($Z77:AP77)-SUM($CM77:DC77)</f>
        <v>180</v>
      </c>
      <c r="BX77" s="93">
        <f>SUM($Z77:AQ77)-SUM($CM77:DD77)</f>
        <v>180</v>
      </c>
      <c r="BY77" s="93">
        <f>SUM($Z77:AR77)-SUM($CM77:DE77)</f>
        <v>180</v>
      </c>
      <c r="BZ77" s="93">
        <f>SUM($Z77:AS77)-SUM($CM77:DF77)</f>
        <v>180</v>
      </c>
      <c r="CA77" s="93">
        <f>SUM($Z77:AT77)-SUM($CM77:DG77)</f>
        <v>180</v>
      </c>
      <c r="CB77" s="93">
        <f>SUM($Z77:AU77)-SUM($CM77:DH77)</f>
        <v>180</v>
      </c>
      <c r="CC77" s="93">
        <f>SUM($Z77:AV77)-SUM($CM77:DI77)</f>
        <v>180</v>
      </c>
      <c r="CD77" s="93">
        <f>SUM($Z77:AW77)-SUM($CM77:DJ77)</f>
        <v>180</v>
      </c>
      <c r="CE77" s="93">
        <f>SUM($Z77:AX77)-SUM($CM77:DK77)</f>
        <v>180</v>
      </c>
      <c r="CF77" s="93">
        <f>SUM($Z77:AY77)-SUM($CM77:DL77)</f>
        <v>180</v>
      </c>
      <c r="CG77" s="93">
        <f>SUM($Z77:AZ77)-SUM($CM77:DM77)</f>
        <v>180</v>
      </c>
      <c r="CH77" s="93">
        <f>SUM($Z77:BA77)-SUM($CM77:DN77)</f>
        <v>180</v>
      </c>
      <c r="CI77" s="93">
        <f>SUM($Z77:BB77)-SUM($CM77:DO77)</f>
        <v>180</v>
      </c>
      <c r="CJ77" s="93"/>
      <c r="CK77" s="93"/>
      <c r="CL77" s="93"/>
      <c r="CM77" s="93"/>
      <c r="CN77" s="93" cm="1">
        <f t="array" ref="CN77">SUMPRODUCT(TRANSPOSE(CN$4:CN$20),$G77:$W77)</f>
        <v>0</v>
      </c>
      <c r="CO77" s="93" cm="1">
        <f t="array" ref="CO77">SUMPRODUCT(TRANSPOSE(CO$4:CO$20),$G77:$W77)</f>
        <v>0</v>
      </c>
      <c r="CP77" s="93" cm="1">
        <f t="array" ref="CP77">SUMPRODUCT(TRANSPOSE(CP$4:CP$20),$G77:$W77)</f>
        <v>0</v>
      </c>
      <c r="CQ77" s="93" cm="1">
        <f t="array" ref="CQ77">SUMPRODUCT(TRANSPOSE(CQ$4:CQ$20),$G77:$W77)</f>
        <v>35</v>
      </c>
      <c r="CR77" s="93" cm="1">
        <f t="array" ref="CR77">SUMPRODUCT(TRANSPOSE(CR$4:CR$20),$G77:$W77)</f>
        <v>35</v>
      </c>
      <c r="CS77" s="93" cm="1">
        <f t="array" ref="CS77">SUMPRODUCT(TRANSPOSE(CS$4:CS$20),$G77:$W77)</f>
        <v>35</v>
      </c>
      <c r="CT77" s="93" cm="1">
        <f t="array" ref="CT77">SUMPRODUCT(TRANSPOSE(CT$4:CT$20),$G77:$W77)</f>
        <v>30</v>
      </c>
      <c r="CU77" s="93" cm="1">
        <f t="array" ref="CU77">SUMPRODUCT(TRANSPOSE(CU$4:CU$20),$G77:$W77)</f>
        <v>30</v>
      </c>
      <c r="CV77" s="93" cm="1">
        <f t="array" ref="CV77">SUMPRODUCT(TRANSPOSE(CV$4:CV$20),$G77:$W77)</f>
        <v>30</v>
      </c>
      <c r="CW77" s="93" cm="1">
        <f t="array" ref="CW77">SUMPRODUCT(TRANSPOSE(CW$4:CW$20),$G77:$W77)</f>
        <v>30</v>
      </c>
      <c r="CX77" s="93" cm="1">
        <f t="array" ref="CX77">SUMPRODUCT(TRANSPOSE(CX$4:CX$20),$G77:$W77)</f>
        <v>30</v>
      </c>
      <c r="CY77" s="93" cm="1">
        <f t="array" ref="CY77">SUMPRODUCT(TRANSPOSE(CY$4:CY$20),$G77:$W77)</f>
        <v>30</v>
      </c>
      <c r="CZ77" s="93" cm="1">
        <f t="array" ref="CZ77">SUMPRODUCT(TRANSPOSE(CZ$4:CZ$20),$G77:$W77)</f>
        <v>30</v>
      </c>
      <c r="DA77" s="93" cm="1">
        <f t="array" ref="DA77">SUMPRODUCT(TRANSPOSE(DA$4:DA$20),$G77:$W77)</f>
        <v>30</v>
      </c>
      <c r="DB77" s="93" cm="1">
        <f t="array" ref="DB77">SUMPRODUCT(TRANSPOSE(DB$4:DB$20),$G77:$W77)</f>
        <v>14</v>
      </c>
      <c r="DC77" s="93" cm="1">
        <f t="array" ref="DC77">SUMPRODUCT(TRANSPOSE(DC$4:DC$20),$G77:$W77)</f>
        <v>0</v>
      </c>
      <c r="DD77" s="93" cm="1">
        <f t="array" ref="DD77">SUMPRODUCT(TRANSPOSE(DD$4:DD$20),$G77:$W77)</f>
        <v>0</v>
      </c>
      <c r="DE77" s="93" cm="1">
        <f t="array" ref="DE77">SUMPRODUCT(TRANSPOSE(DE$4:DE$20),$G77:$W77)</f>
        <v>0</v>
      </c>
      <c r="DF77" s="93" cm="1">
        <f t="array" ref="DF77">SUMPRODUCT(TRANSPOSE(DF$4:DF$20),$G77:$W77)</f>
        <v>0</v>
      </c>
      <c r="DG77" s="93" cm="1">
        <f t="array" ref="DG77">SUMPRODUCT(TRANSPOSE(DG$4:DG$20),$G77:$W77)</f>
        <v>0</v>
      </c>
      <c r="DH77" s="93" cm="1">
        <f t="array" ref="DH77">SUMPRODUCT(TRANSPOSE(DH$4:DH$20),$G77:$W77)</f>
        <v>0</v>
      </c>
      <c r="DI77" s="93" cm="1">
        <f t="array" ref="DI77">SUMPRODUCT(TRANSPOSE(DI$4:DI$20),$G77:$W77)</f>
        <v>0</v>
      </c>
      <c r="DJ77" s="93" cm="1">
        <f t="array" ref="DJ77">SUMPRODUCT(TRANSPOSE(DJ$4:DJ$20),$G77:$W77)</f>
        <v>0</v>
      </c>
      <c r="DK77" s="93" cm="1">
        <f t="array" ref="DK77">SUMPRODUCT(TRANSPOSE(DK$4:DK$20),$G77:$W77)</f>
        <v>0</v>
      </c>
      <c r="DL77" s="93" cm="1">
        <f t="array" ref="DL77">SUMPRODUCT(TRANSPOSE(DL$4:DL$20),$G77:$W77)</f>
        <v>0</v>
      </c>
      <c r="DM77" s="93" cm="1">
        <f t="array" ref="DM77">SUMPRODUCT(TRANSPOSE(DM$4:DM$20),$G77:$W77)</f>
        <v>0</v>
      </c>
      <c r="DN77" s="93" cm="1">
        <f t="array" ref="DN77">SUMPRODUCT(TRANSPOSE(DN$4:DN$20),$G77:$W77)</f>
        <v>0</v>
      </c>
      <c r="DO77" s="93" cm="1">
        <f t="array" ref="DO77">SUMPRODUCT(TRANSPOSE(DO$4:DO$20),$G77:$W77)</f>
        <v>0</v>
      </c>
    </row>
    <row r="78" spans="1:119" x14ac:dyDescent="0.2">
      <c r="A78" s="45">
        <f t="shared" si="26"/>
        <v>57</v>
      </c>
      <c r="B78" s="46" t="s">
        <v>105</v>
      </c>
      <c r="C78" s="45">
        <v>410931220</v>
      </c>
      <c r="D78" s="45" t="s">
        <v>127</v>
      </c>
      <c r="E78" s="45" t="s">
        <v>162</v>
      </c>
      <c r="F78" s="48">
        <v>1</v>
      </c>
      <c r="G78" s="100">
        <v>0</v>
      </c>
      <c r="H78" s="100">
        <v>0</v>
      </c>
      <c r="I78" s="100">
        <v>0</v>
      </c>
      <c r="J78" s="100">
        <v>0</v>
      </c>
      <c r="K78" s="100">
        <v>0</v>
      </c>
      <c r="L78" s="100">
        <v>0</v>
      </c>
      <c r="M78" s="100">
        <v>0</v>
      </c>
      <c r="N78" s="100">
        <v>0</v>
      </c>
      <c r="O78" s="100">
        <v>0</v>
      </c>
      <c r="P78" s="100">
        <v>1</v>
      </c>
      <c r="Q78" s="100">
        <v>0</v>
      </c>
      <c r="R78" s="100">
        <v>0</v>
      </c>
      <c r="S78" s="100">
        <v>0</v>
      </c>
      <c r="T78" s="100">
        <v>0</v>
      </c>
      <c r="U78" s="100">
        <v>0</v>
      </c>
      <c r="V78" s="100">
        <v>0</v>
      </c>
      <c r="W78" s="100">
        <v>0</v>
      </c>
      <c r="X78" s="45" t="s">
        <v>4</v>
      </c>
      <c r="Y78" s="49">
        <v>0</v>
      </c>
      <c r="Z78" s="45">
        <v>0</v>
      </c>
      <c r="AA78" s="45">
        <v>0</v>
      </c>
      <c r="AB78" s="45">
        <v>0</v>
      </c>
      <c r="AC78" s="45">
        <v>0</v>
      </c>
      <c r="AD78" s="45">
        <v>0</v>
      </c>
      <c r="AE78" s="45">
        <v>0</v>
      </c>
      <c r="AF78" s="45">
        <v>0</v>
      </c>
      <c r="AG78" s="45">
        <v>0</v>
      </c>
      <c r="AH78" s="45">
        <v>0</v>
      </c>
      <c r="AI78" s="45">
        <v>0</v>
      </c>
      <c r="AJ78" s="45">
        <v>0</v>
      </c>
      <c r="AK78" s="45">
        <v>0</v>
      </c>
      <c r="AL78" s="45">
        <v>0</v>
      </c>
      <c r="AM78" s="45">
        <v>0</v>
      </c>
      <c r="AN78" s="45">
        <v>0</v>
      </c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93"/>
      <c r="BE78" s="93"/>
      <c r="BF78" s="93"/>
      <c r="BG78" s="93"/>
      <c r="BH78" s="93"/>
      <c r="BI78" s="93"/>
      <c r="BJ78" s="93"/>
      <c r="BK78" s="93">
        <f>SUM($Z78:AD78)-SUM($CM78:CQ78)</f>
        <v>-35</v>
      </c>
      <c r="BL78" s="93">
        <f>SUM($Z78:AE78)-SUM($CM78:CR78)</f>
        <v>-70</v>
      </c>
      <c r="BM78" s="93">
        <f>SUM($Z78:AF78)-SUM($CM78:CS78)</f>
        <v>-105</v>
      </c>
      <c r="BN78" s="93">
        <f>SUM($Z78:AG78)-SUM($CM78:CT78)</f>
        <v>-135</v>
      </c>
      <c r="BO78" s="93">
        <f>SUM($Z78:AH78)-SUM($CM78:CU78)</f>
        <v>-165</v>
      </c>
      <c r="BP78" s="93">
        <f>SUM($Z78:AI78)-SUM($CM78:CV78)</f>
        <v>-195</v>
      </c>
      <c r="BQ78" s="93">
        <f>SUM($Z78:AJ78)-SUM($CM78:CW78)</f>
        <v>-225</v>
      </c>
      <c r="BR78" s="93">
        <f>SUM($Z78:AK78)-SUM($CM78:CX78)</f>
        <v>-255</v>
      </c>
      <c r="BS78" s="93">
        <f>SUM($Z78:AL78)-SUM($CM78:CY78)</f>
        <v>-285</v>
      </c>
      <c r="BT78" s="93">
        <f>SUM($Z78:AM78)-SUM($CM78:CZ78)</f>
        <v>-315</v>
      </c>
      <c r="BU78" s="93">
        <f>SUM($Z78:AN78)-SUM($CM78:DA78)</f>
        <v>-345</v>
      </c>
      <c r="BV78" s="93">
        <f>SUM($Z78:AO78)-SUM($CM78:DB78)</f>
        <v>-359</v>
      </c>
      <c r="BW78" s="93">
        <f>SUM($Z78:AP78)-SUM($CM78:DC78)</f>
        <v>-359</v>
      </c>
      <c r="BX78" s="93">
        <f>SUM($Z78:AQ78)-SUM($CM78:DD78)</f>
        <v>-359</v>
      </c>
      <c r="BY78" s="93">
        <f>SUM($Z78:AR78)-SUM($CM78:DE78)</f>
        <v>-359</v>
      </c>
      <c r="BZ78" s="93">
        <f>SUM($Z78:AS78)-SUM($CM78:DF78)</f>
        <v>-359</v>
      </c>
      <c r="CA78" s="93">
        <f>SUM($Z78:AT78)-SUM($CM78:DG78)</f>
        <v>-359</v>
      </c>
      <c r="CB78" s="93">
        <f>SUM($Z78:AU78)-SUM($CM78:DH78)</f>
        <v>-359</v>
      </c>
      <c r="CC78" s="93">
        <f>SUM($Z78:AV78)-SUM($CM78:DI78)</f>
        <v>-359</v>
      </c>
      <c r="CD78" s="93">
        <f>SUM($Z78:AW78)-SUM($CM78:DJ78)</f>
        <v>-359</v>
      </c>
      <c r="CE78" s="93">
        <f>SUM($Z78:AX78)-SUM($CM78:DK78)</f>
        <v>-359</v>
      </c>
      <c r="CF78" s="93">
        <f>SUM($Z78:AY78)-SUM($CM78:DL78)</f>
        <v>-359</v>
      </c>
      <c r="CG78" s="93">
        <f>SUM($Z78:AZ78)-SUM($CM78:DM78)</f>
        <v>-359</v>
      </c>
      <c r="CH78" s="93">
        <f>SUM($Z78:BA78)-SUM($CM78:DN78)</f>
        <v>-359</v>
      </c>
      <c r="CI78" s="93">
        <f>SUM($Z78:BB78)-SUM($CM78:DO78)</f>
        <v>-359</v>
      </c>
      <c r="CJ78" s="93"/>
      <c r="CK78" s="93"/>
      <c r="CL78" s="93"/>
      <c r="CM78" s="93"/>
      <c r="CN78" s="93" cm="1">
        <f t="array" ref="CN78">SUMPRODUCT(TRANSPOSE(CN$4:CN$20),$G78:$W78)</f>
        <v>0</v>
      </c>
      <c r="CO78" s="93" cm="1">
        <f t="array" ref="CO78">SUMPRODUCT(TRANSPOSE(CO$4:CO$20),$G78:$W78)</f>
        <v>0</v>
      </c>
      <c r="CP78" s="93" cm="1">
        <f t="array" ref="CP78">SUMPRODUCT(TRANSPOSE(CP$4:CP$20),$G78:$W78)</f>
        <v>0</v>
      </c>
      <c r="CQ78" s="93" cm="1">
        <f t="array" ref="CQ78">SUMPRODUCT(TRANSPOSE(CQ$4:CQ$20),$G78:$W78)</f>
        <v>35</v>
      </c>
      <c r="CR78" s="93" cm="1">
        <f t="array" ref="CR78">SUMPRODUCT(TRANSPOSE(CR$4:CR$20),$G78:$W78)</f>
        <v>35</v>
      </c>
      <c r="CS78" s="93" cm="1">
        <f t="array" ref="CS78">SUMPRODUCT(TRANSPOSE(CS$4:CS$20),$G78:$W78)</f>
        <v>35</v>
      </c>
      <c r="CT78" s="93" cm="1">
        <f t="array" ref="CT78">SUMPRODUCT(TRANSPOSE(CT$4:CT$20),$G78:$W78)</f>
        <v>30</v>
      </c>
      <c r="CU78" s="93" cm="1">
        <f t="array" ref="CU78">SUMPRODUCT(TRANSPOSE(CU$4:CU$20),$G78:$W78)</f>
        <v>30</v>
      </c>
      <c r="CV78" s="93" cm="1">
        <f t="array" ref="CV78">SUMPRODUCT(TRANSPOSE(CV$4:CV$20),$G78:$W78)</f>
        <v>30</v>
      </c>
      <c r="CW78" s="93" cm="1">
        <f t="array" ref="CW78">SUMPRODUCT(TRANSPOSE(CW$4:CW$20),$G78:$W78)</f>
        <v>30</v>
      </c>
      <c r="CX78" s="93" cm="1">
        <f t="array" ref="CX78">SUMPRODUCT(TRANSPOSE(CX$4:CX$20),$G78:$W78)</f>
        <v>30</v>
      </c>
      <c r="CY78" s="93" cm="1">
        <f t="array" ref="CY78">SUMPRODUCT(TRANSPOSE(CY$4:CY$20),$G78:$W78)</f>
        <v>30</v>
      </c>
      <c r="CZ78" s="93" cm="1">
        <f t="array" ref="CZ78">SUMPRODUCT(TRANSPOSE(CZ$4:CZ$20),$G78:$W78)</f>
        <v>30</v>
      </c>
      <c r="DA78" s="93" cm="1">
        <f t="array" ref="DA78">SUMPRODUCT(TRANSPOSE(DA$4:DA$20),$G78:$W78)</f>
        <v>30</v>
      </c>
      <c r="DB78" s="93" cm="1">
        <f t="array" ref="DB78">SUMPRODUCT(TRANSPOSE(DB$4:DB$20),$G78:$W78)</f>
        <v>14</v>
      </c>
      <c r="DC78" s="93" cm="1">
        <f t="array" ref="DC78">SUMPRODUCT(TRANSPOSE(DC$4:DC$20),$G78:$W78)</f>
        <v>0</v>
      </c>
      <c r="DD78" s="93" cm="1">
        <f t="array" ref="DD78">SUMPRODUCT(TRANSPOSE(DD$4:DD$20),$G78:$W78)</f>
        <v>0</v>
      </c>
      <c r="DE78" s="93" cm="1">
        <f t="array" ref="DE78">SUMPRODUCT(TRANSPOSE(DE$4:DE$20),$G78:$W78)</f>
        <v>0</v>
      </c>
      <c r="DF78" s="93" cm="1">
        <f t="array" ref="DF78">SUMPRODUCT(TRANSPOSE(DF$4:DF$20),$G78:$W78)</f>
        <v>0</v>
      </c>
      <c r="DG78" s="93" cm="1">
        <f t="array" ref="DG78">SUMPRODUCT(TRANSPOSE(DG$4:DG$20),$G78:$W78)</f>
        <v>0</v>
      </c>
      <c r="DH78" s="93" cm="1">
        <f t="array" ref="DH78">SUMPRODUCT(TRANSPOSE(DH$4:DH$20),$G78:$W78)</f>
        <v>0</v>
      </c>
      <c r="DI78" s="93" cm="1">
        <f t="array" ref="DI78">SUMPRODUCT(TRANSPOSE(DI$4:DI$20),$G78:$W78)</f>
        <v>0</v>
      </c>
      <c r="DJ78" s="93" cm="1">
        <f t="array" ref="DJ78">SUMPRODUCT(TRANSPOSE(DJ$4:DJ$20),$G78:$W78)</f>
        <v>0</v>
      </c>
      <c r="DK78" s="93" cm="1">
        <f t="array" ref="DK78">SUMPRODUCT(TRANSPOSE(DK$4:DK$20),$G78:$W78)</f>
        <v>0</v>
      </c>
      <c r="DL78" s="93" cm="1">
        <f t="array" ref="DL78">SUMPRODUCT(TRANSPOSE(DL$4:DL$20),$G78:$W78)</f>
        <v>0</v>
      </c>
      <c r="DM78" s="93" cm="1">
        <f t="array" ref="DM78">SUMPRODUCT(TRANSPOSE(DM$4:DM$20),$G78:$W78)</f>
        <v>0</v>
      </c>
      <c r="DN78" s="93" cm="1">
        <f t="array" ref="DN78">SUMPRODUCT(TRANSPOSE(DN$4:DN$20),$G78:$W78)</f>
        <v>0</v>
      </c>
      <c r="DO78" s="93" cm="1">
        <f t="array" ref="DO78">SUMPRODUCT(TRANSPOSE(DO$4:DO$20),$G78:$W78)</f>
        <v>0</v>
      </c>
    </row>
    <row r="79" spans="1:119" x14ac:dyDescent="0.2">
      <c r="A79" s="45">
        <f t="shared" si="26"/>
        <v>58</v>
      </c>
      <c r="B79" s="46" t="s">
        <v>103</v>
      </c>
      <c r="C79" s="45">
        <v>410979730</v>
      </c>
      <c r="D79" s="45" t="s">
        <v>126</v>
      </c>
      <c r="E79" s="45" t="s">
        <v>162</v>
      </c>
      <c r="F79" s="48">
        <v>1</v>
      </c>
      <c r="G79" s="100">
        <v>0</v>
      </c>
      <c r="H79" s="100">
        <v>0</v>
      </c>
      <c r="I79" s="100">
        <v>0</v>
      </c>
      <c r="J79" s="100">
        <v>0</v>
      </c>
      <c r="K79" s="100">
        <v>0</v>
      </c>
      <c r="L79" s="100">
        <v>0</v>
      </c>
      <c r="M79" s="100">
        <v>0</v>
      </c>
      <c r="N79" s="100">
        <v>0</v>
      </c>
      <c r="O79" s="100">
        <v>1</v>
      </c>
      <c r="P79" s="100">
        <v>0</v>
      </c>
      <c r="Q79" s="100">
        <v>0</v>
      </c>
      <c r="R79" s="100">
        <v>0</v>
      </c>
      <c r="S79" s="100">
        <v>0</v>
      </c>
      <c r="T79" s="100">
        <v>0</v>
      </c>
      <c r="U79" s="100">
        <v>0</v>
      </c>
      <c r="V79" s="100">
        <v>0</v>
      </c>
      <c r="W79" s="100">
        <v>0</v>
      </c>
      <c r="X79" s="45" t="s">
        <v>4</v>
      </c>
      <c r="Y79" s="49">
        <v>0</v>
      </c>
      <c r="Z79" s="45">
        <v>0</v>
      </c>
      <c r="AA79" s="45">
        <v>0</v>
      </c>
      <c r="AB79" s="45">
        <v>0</v>
      </c>
      <c r="AC79" s="45">
        <v>0</v>
      </c>
      <c r="AD79" s="45">
        <v>0</v>
      </c>
      <c r="AE79" s="45">
        <v>0</v>
      </c>
      <c r="AF79" s="45">
        <v>0</v>
      </c>
      <c r="AG79" s="45">
        <v>0</v>
      </c>
      <c r="AH79" s="45">
        <v>0</v>
      </c>
      <c r="AI79" s="45">
        <v>0</v>
      </c>
      <c r="AJ79" s="45">
        <v>0</v>
      </c>
      <c r="AK79" s="45">
        <v>0</v>
      </c>
      <c r="AL79" s="45">
        <v>0</v>
      </c>
      <c r="AM79" s="45">
        <v>0</v>
      </c>
      <c r="AN79" s="45">
        <v>0</v>
      </c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93"/>
      <c r="BE79" s="93"/>
      <c r="BF79" s="93"/>
      <c r="BG79" s="93"/>
      <c r="BH79" s="93"/>
      <c r="BI79" s="93"/>
      <c r="BJ79" s="93"/>
      <c r="BK79" s="93">
        <f>SUM($Z79:AD79)-SUM($CM79:CQ79)</f>
        <v>-35</v>
      </c>
      <c r="BL79" s="93">
        <f>SUM($Z79:AE79)-SUM($CM79:CR79)</f>
        <v>-70</v>
      </c>
      <c r="BM79" s="93">
        <f>SUM($Z79:AF79)-SUM($CM79:CS79)</f>
        <v>-105</v>
      </c>
      <c r="BN79" s="93">
        <f>SUM($Z79:AG79)-SUM($CM79:CT79)</f>
        <v>-135</v>
      </c>
      <c r="BO79" s="93">
        <f>SUM($Z79:AH79)-SUM($CM79:CU79)</f>
        <v>-165</v>
      </c>
      <c r="BP79" s="93">
        <f>SUM($Z79:AI79)-SUM($CM79:CV79)</f>
        <v>-195</v>
      </c>
      <c r="BQ79" s="93">
        <f>SUM($Z79:AJ79)-SUM($CM79:CW79)</f>
        <v>-225</v>
      </c>
      <c r="BR79" s="93">
        <f>SUM($Z79:AK79)-SUM($CM79:CX79)</f>
        <v>-255</v>
      </c>
      <c r="BS79" s="93">
        <f>SUM($Z79:AL79)-SUM($CM79:CY79)</f>
        <v>-285</v>
      </c>
      <c r="BT79" s="93">
        <f>SUM($Z79:AM79)-SUM($CM79:CZ79)</f>
        <v>-315</v>
      </c>
      <c r="BU79" s="93">
        <f>SUM($Z79:AN79)-SUM($CM79:DA79)</f>
        <v>-345</v>
      </c>
      <c r="BV79" s="93">
        <f>SUM($Z79:AO79)-SUM($CM79:DB79)</f>
        <v>-359</v>
      </c>
      <c r="BW79" s="93">
        <f>SUM($Z79:AP79)-SUM($CM79:DC79)</f>
        <v>-359</v>
      </c>
      <c r="BX79" s="93">
        <f>SUM($Z79:AQ79)-SUM($CM79:DD79)</f>
        <v>-359</v>
      </c>
      <c r="BY79" s="93">
        <f>SUM($Z79:AR79)-SUM($CM79:DE79)</f>
        <v>-359</v>
      </c>
      <c r="BZ79" s="93">
        <f>SUM($Z79:AS79)-SUM($CM79:DF79)</f>
        <v>-359</v>
      </c>
      <c r="CA79" s="93">
        <f>SUM($Z79:AT79)-SUM($CM79:DG79)</f>
        <v>-359</v>
      </c>
      <c r="CB79" s="93">
        <f>SUM($Z79:AU79)-SUM($CM79:DH79)</f>
        <v>-359</v>
      </c>
      <c r="CC79" s="93">
        <f>SUM($Z79:AV79)-SUM($CM79:DI79)</f>
        <v>-359</v>
      </c>
      <c r="CD79" s="93">
        <f>SUM($Z79:AW79)-SUM($CM79:DJ79)</f>
        <v>-359</v>
      </c>
      <c r="CE79" s="93">
        <f>SUM($Z79:AX79)-SUM($CM79:DK79)</f>
        <v>-359</v>
      </c>
      <c r="CF79" s="93">
        <f>SUM($Z79:AY79)-SUM($CM79:DL79)</f>
        <v>-359</v>
      </c>
      <c r="CG79" s="93">
        <f>SUM($Z79:AZ79)-SUM($CM79:DM79)</f>
        <v>-359</v>
      </c>
      <c r="CH79" s="93">
        <f>SUM($Z79:BA79)-SUM($CM79:DN79)</f>
        <v>-359</v>
      </c>
      <c r="CI79" s="93">
        <f>SUM($Z79:BB79)-SUM($CM79:DO79)</f>
        <v>-359</v>
      </c>
      <c r="CJ79" s="93"/>
      <c r="CK79" s="93"/>
      <c r="CL79" s="93"/>
      <c r="CM79" s="93"/>
      <c r="CN79" s="93" cm="1">
        <f t="array" ref="CN79">SUMPRODUCT(TRANSPOSE(CN$4:CN$20),$G79:$W79)</f>
        <v>0</v>
      </c>
      <c r="CO79" s="93" cm="1">
        <f t="array" ref="CO79">SUMPRODUCT(TRANSPOSE(CO$4:CO$20),$G79:$W79)</f>
        <v>0</v>
      </c>
      <c r="CP79" s="93" cm="1">
        <f t="array" ref="CP79">SUMPRODUCT(TRANSPOSE(CP$4:CP$20),$G79:$W79)</f>
        <v>0</v>
      </c>
      <c r="CQ79" s="93" cm="1">
        <f t="array" ref="CQ79">SUMPRODUCT(TRANSPOSE(CQ$4:CQ$20),$G79:$W79)</f>
        <v>35</v>
      </c>
      <c r="CR79" s="93" cm="1">
        <f t="array" ref="CR79">SUMPRODUCT(TRANSPOSE(CR$4:CR$20),$G79:$W79)</f>
        <v>35</v>
      </c>
      <c r="CS79" s="93" cm="1">
        <f t="array" ref="CS79">SUMPRODUCT(TRANSPOSE(CS$4:CS$20),$G79:$W79)</f>
        <v>35</v>
      </c>
      <c r="CT79" s="93" cm="1">
        <f t="array" ref="CT79">SUMPRODUCT(TRANSPOSE(CT$4:CT$20),$G79:$W79)</f>
        <v>30</v>
      </c>
      <c r="CU79" s="93" cm="1">
        <f t="array" ref="CU79">SUMPRODUCT(TRANSPOSE(CU$4:CU$20),$G79:$W79)</f>
        <v>30</v>
      </c>
      <c r="CV79" s="93" cm="1">
        <f t="array" ref="CV79">SUMPRODUCT(TRANSPOSE(CV$4:CV$20),$G79:$W79)</f>
        <v>30</v>
      </c>
      <c r="CW79" s="93" cm="1">
        <f t="array" ref="CW79">SUMPRODUCT(TRANSPOSE(CW$4:CW$20),$G79:$W79)</f>
        <v>30</v>
      </c>
      <c r="CX79" s="93" cm="1">
        <f t="array" ref="CX79">SUMPRODUCT(TRANSPOSE(CX$4:CX$20),$G79:$W79)</f>
        <v>30</v>
      </c>
      <c r="CY79" s="93" cm="1">
        <f t="array" ref="CY79">SUMPRODUCT(TRANSPOSE(CY$4:CY$20),$G79:$W79)</f>
        <v>30</v>
      </c>
      <c r="CZ79" s="93" cm="1">
        <f t="array" ref="CZ79">SUMPRODUCT(TRANSPOSE(CZ$4:CZ$20),$G79:$W79)</f>
        <v>30</v>
      </c>
      <c r="DA79" s="93" cm="1">
        <f t="array" ref="DA79">SUMPRODUCT(TRANSPOSE(DA$4:DA$20),$G79:$W79)</f>
        <v>30</v>
      </c>
      <c r="DB79" s="93" cm="1">
        <f t="array" ref="DB79">SUMPRODUCT(TRANSPOSE(DB$4:DB$20),$G79:$W79)</f>
        <v>14</v>
      </c>
      <c r="DC79" s="93" cm="1">
        <f t="array" ref="DC79">SUMPRODUCT(TRANSPOSE(DC$4:DC$20),$G79:$W79)</f>
        <v>0</v>
      </c>
      <c r="DD79" s="93" cm="1">
        <f t="array" ref="DD79">SUMPRODUCT(TRANSPOSE(DD$4:DD$20),$G79:$W79)</f>
        <v>0</v>
      </c>
      <c r="DE79" s="93" cm="1">
        <f t="array" ref="DE79">SUMPRODUCT(TRANSPOSE(DE$4:DE$20),$G79:$W79)</f>
        <v>0</v>
      </c>
      <c r="DF79" s="93" cm="1">
        <f t="array" ref="DF79">SUMPRODUCT(TRANSPOSE(DF$4:DF$20),$G79:$W79)</f>
        <v>0</v>
      </c>
      <c r="DG79" s="93" cm="1">
        <f t="array" ref="DG79">SUMPRODUCT(TRANSPOSE(DG$4:DG$20),$G79:$W79)</f>
        <v>0</v>
      </c>
      <c r="DH79" s="93" cm="1">
        <f t="array" ref="DH79">SUMPRODUCT(TRANSPOSE(DH$4:DH$20),$G79:$W79)</f>
        <v>0</v>
      </c>
      <c r="DI79" s="93" cm="1">
        <f t="array" ref="DI79">SUMPRODUCT(TRANSPOSE(DI$4:DI$20),$G79:$W79)</f>
        <v>0</v>
      </c>
      <c r="DJ79" s="93" cm="1">
        <f t="array" ref="DJ79">SUMPRODUCT(TRANSPOSE(DJ$4:DJ$20),$G79:$W79)</f>
        <v>0</v>
      </c>
      <c r="DK79" s="93" cm="1">
        <f t="array" ref="DK79">SUMPRODUCT(TRANSPOSE(DK$4:DK$20),$G79:$W79)</f>
        <v>0</v>
      </c>
      <c r="DL79" s="93" cm="1">
        <f t="array" ref="DL79">SUMPRODUCT(TRANSPOSE(DL$4:DL$20),$G79:$W79)</f>
        <v>0</v>
      </c>
      <c r="DM79" s="93" cm="1">
        <f t="array" ref="DM79">SUMPRODUCT(TRANSPOSE(DM$4:DM$20),$G79:$W79)</f>
        <v>0</v>
      </c>
      <c r="DN79" s="93" cm="1">
        <f t="array" ref="DN79">SUMPRODUCT(TRANSPOSE(DN$4:DN$20),$G79:$W79)</f>
        <v>0</v>
      </c>
      <c r="DO79" s="93" cm="1">
        <f t="array" ref="DO79">SUMPRODUCT(TRANSPOSE(DO$4:DO$20),$G79:$W79)</f>
        <v>0</v>
      </c>
    </row>
    <row r="80" spans="1:119" x14ac:dyDescent="0.2">
      <c r="A80" s="47">
        <f t="shared" si="26"/>
        <v>59</v>
      </c>
      <c r="B80" s="46" t="s">
        <v>263</v>
      </c>
      <c r="C80" s="45">
        <v>411336669</v>
      </c>
      <c r="D80" s="45" t="s">
        <v>264</v>
      </c>
      <c r="E80" s="45" t="s">
        <v>162</v>
      </c>
      <c r="F80" s="48">
        <v>1</v>
      </c>
      <c r="G80" s="100">
        <v>0</v>
      </c>
      <c r="H80" s="100">
        <v>0</v>
      </c>
      <c r="I80" s="100">
        <v>0</v>
      </c>
      <c r="J80" s="100">
        <v>0</v>
      </c>
      <c r="K80" s="100">
        <v>0</v>
      </c>
      <c r="L80" s="100">
        <v>0</v>
      </c>
      <c r="M80" s="100">
        <v>0</v>
      </c>
      <c r="N80" s="100">
        <v>0</v>
      </c>
      <c r="O80" s="100">
        <v>0</v>
      </c>
      <c r="P80" s="100">
        <v>0</v>
      </c>
      <c r="Q80" s="100">
        <v>1</v>
      </c>
      <c r="R80" s="100">
        <v>0</v>
      </c>
      <c r="S80" s="100">
        <v>0</v>
      </c>
      <c r="T80" s="100">
        <v>0</v>
      </c>
      <c r="U80" s="100">
        <v>0</v>
      </c>
      <c r="V80" s="100">
        <v>0</v>
      </c>
      <c r="W80" s="100">
        <v>0</v>
      </c>
      <c r="X80" s="58" t="s">
        <v>1102</v>
      </c>
      <c r="Y80" s="53">
        <v>481.1</v>
      </c>
      <c r="Z80" s="45">
        <v>382</v>
      </c>
      <c r="AA80" s="45">
        <v>0</v>
      </c>
      <c r="AB80" s="45">
        <v>0</v>
      </c>
      <c r="AC80" s="45">
        <v>0</v>
      </c>
      <c r="AD80" s="45">
        <v>0</v>
      </c>
      <c r="AE80" s="45">
        <v>0</v>
      </c>
      <c r="AF80" s="45">
        <v>0</v>
      </c>
      <c r="AG80" s="45">
        <v>0</v>
      </c>
      <c r="AH80" s="45">
        <v>0</v>
      </c>
      <c r="AI80" s="45">
        <v>0</v>
      </c>
      <c r="AJ80" s="45">
        <v>0</v>
      </c>
      <c r="AK80" s="45">
        <v>0</v>
      </c>
      <c r="AL80" s="45">
        <v>0</v>
      </c>
      <c r="AM80" s="45">
        <v>0</v>
      </c>
      <c r="AN80" s="45">
        <v>0</v>
      </c>
      <c r="AO80" s="45"/>
      <c r="AP80" s="45"/>
      <c r="AQ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5"/>
      <c r="BC80" s="45"/>
      <c r="BD80" s="93"/>
      <c r="BE80" s="93"/>
      <c r="BF80" s="93"/>
      <c r="BG80" s="93"/>
      <c r="BH80" s="93"/>
      <c r="BI80" s="93"/>
      <c r="BJ80" s="93"/>
      <c r="BK80" s="93">
        <f>SUM($Z80:AD80)-SUM($CM80:CQ80)</f>
        <v>347</v>
      </c>
      <c r="BL80" s="93">
        <f>SUM($Z80:AE80)-SUM($CM80:CR80)</f>
        <v>312</v>
      </c>
      <c r="BM80" s="93">
        <f>SUM($Z80:AF80)-SUM($CM80:CS80)</f>
        <v>277</v>
      </c>
      <c r="BN80" s="93">
        <f>SUM($Z80:AG80)-SUM($CM80:CT80)</f>
        <v>247</v>
      </c>
      <c r="BO80" s="93">
        <f>SUM($Z80:AH80)-SUM($CM80:CU80)</f>
        <v>217</v>
      </c>
      <c r="BP80" s="93">
        <f>SUM($Z80:AI80)-SUM($CM80:CV80)</f>
        <v>187</v>
      </c>
      <c r="BQ80" s="93">
        <f>SUM($Z80:AJ80)-SUM($CM80:CW80)</f>
        <v>157</v>
      </c>
      <c r="BR80" s="93">
        <f>SUM($Z80:AK80)-SUM($CM80:CX80)</f>
        <v>127</v>
      </c>
      <c r="BS80" s="93">
        <f>SUM($Z80:AL80)-SUM($CM80:CY80)</f>
        <v>97</v>
      </c>
      <c r="BT80" s="93">
        <f>SUM($Z80:AM80)-SUM($CM80:CZ80)</f>
        <v>67</v>
      </c>
      <c r="BU80" s="93">
        <f>SUM($Z80:AN80)-SUM($CM80:DA80)</f>
        <v>37</v>
      </c>
      <c r="BV80" s="93">
        <f>SUM($Z80:AO80)-SUM($CM80:DB80)</f>
        <v>23</v>
      </c>
      <c r="BW80" s="93">
        <f>SUM($Z80:AP80)-SUM($CM80:DC80)</f>
        <v>23</v>
      </c>
      <c r="BX80" s="93">
        <f>SUM($Z80:AQ80)-SUM($CM80:DD80)</f>
        <v>23</v>
      </c>
      <c r="BY80" s="93">
        <f>SUM($Z80:AR80)-SUM($CM80:DE80)</f>
        <v>23</v>
      </c>
      <c r="BZ80" s="93">
        <f>SUM($Z80:AS80)-SUM($CM80:DF80)</f>
        <v>23</v>
      </c>
      <c r="CA80" s="93">
        <f>SUM($Z80:AT80)-SUM($CM80:DG80)</f>
        <v>23</v>
      </c>
      <c r="CB80" s="93">
        <f>SUM($Z80:AU80)-SUM($CM80:DH80)</f>
        <v>23</v>
      </c>
      <c r="CC80" s="93">
        <f>SUM($Z80:AV80)-SUM($CM80:DI80)</f>
        <v>23</v>
      </c>
      <c r="CD80" s="93">
        <f>SUM($Z80:AW80)-SUM($CM80:DJ80)</f>
        <v>23</v>
      </c>
      <c r="CE80" s="93">
        <f>SUM($Z80:AX80)-SUM($CM80:DK80)</f>
        <v>23</v>
      </c>
      <c r="CF80" s="93">
        <f>SUM($Z80:AY80)-SUM($CM80:DL80)</f>
        <v>23</v>
      </c>
      <c r="CG80" s="93">
        <f>SUM($Z80:AZ80)-SUM($CM80:DM80)</f>
        <v>23</v>
      </c>
      <c r="CH80" s="93">
        <f>SUM($Z80:BA80)-SUM($CM80:DN80)</f>
        <v>23</v>
      </c>
      <c r="CI80" s="93">
        <f>SUM($Z80:BB80)-SUM($CM80:DO80)</f>
        <v>23</v>
      </c>
      <c r="CJ80" s="93"/>
      <c r="CK80" s="93"/>
      <c r="CL80" s="93"/>
      <c r="CM80" s="93"/>
      <c r="CN80" s="93" cm="1">
        <f t="array" ref="CN80">SUMPRODUCT(TRANSPOSE(CN$4:CN$20),$G80:$W80)</f>
        <v>0</v>
      </c>
      <c r="CO80" s="93" cm="1">
        <f t="array" ref="CO80">SUMPRODUCT(TRANSPOSE(CO$4:CO$20),$G80:$W80)</f>
        <v>0</v>
      </c>
      <c r="CP80" s="93" cm="1">
        <f t="array" ref="CP80">SUMPRODUCT(TRANSPOSE(CP$4:CP$20),$G80:$W80)</f>
        <v>0</v>
      </c>
      <c r="CQ80" s="93" cm="1">
        <f t="array" ref="CQ80">SUMPRODUCT(TRANSPOSE(CQ$4:CQ$20),$G80:$W80)</f>
        <v>35</v>
      </c>
      <c r="CR80" s="93" cm="1">
        <f t="array" ref="CR80">SUMPRODUCT(TRANSPOSE(CR$4:CR$20),$G80:$W80)</f>
        <v>35</v>
      </c>
      <c r="CS80" s="93" cm="1">
        <f t="array" ref="CS80">SUMPRODUCT(TRANSPOSE(CS$4:CS$20),$G80:$W80)</f>
        <v>35</v>
      </c>
      <c r="CT80" s="93" cm="1">
        <f t="array" ref="CT80">SUMPRODUCT(TRANSPOSE(CT$4:CT$20),$G80:$W80)</f>
        <v>30</v>
      </c>
      <c r="CU80" s="93" cm="1">
        <f t="array" ref="CU80">SUMPRODUCT(TRANSPOSE(CU$4:CU$20),$G80:$W80)</f>
        <v>30</v>
      </c>
      <c r="CV80" s="93" cm="1">
        <f t="array" ref="CV80">SUMPRODUCT(TRANSPOSE(CV$4:CV$20),$G80:$W80)</f>
        <v>30</v>
      </c>
      <c r="CW80" s="93" cm="1">
        <f t="array" ref="CW80">SUMPRODUCT(TRANSPOSE(CW$4:CW$20),$G80:$W80)</f>
        <v>30</v>
      </c>
      <c r="CX80" s="93" cm="1">
        <f t="array" ref="CX80">SUMPRODUCT(TRANSPOSE(CX$4:CX$20),$G80:$W80)</f>
        <v>30</v>
      </c>
      <c r="CY80" s="93" cm="1">
        <f t="array" ref="CY80">SUMPRODUCT(TRANSPOSE(CY$4:CY$20),$G80:$W80)</f>
        <v>30</v>
      </c>
      <c r="CZ80" s="93" cm="1">
        <f t="array" ref="CZ80">SUMPRODUCT(TRANSPOSE(CZ$4:CZ$20),$G80:$W80)</f>
        <v>30</v>
      </c>
      <c r="DA80" s="93" cm="1">
        <f t="array" ref="DA80">SUMPRODUCT(TRANSPOSE(DA$4:DA$20),$G80:$W80)</f>
        <v>30</v>
      </c>
      <c r="DB80" s="93" cm="1">
        <f t="array" ref="DB80">SUMPRODUCT(TRANSPOSE(DB$4:DB$20),$G80:$W80)</f>
        <v>14</v>
      </c>
      <c r="DC80" s="93" cm="1">
        <f t="array" ref="DC80">SUMPRODUCT(TRANSPOSE(DC$4:DC$20),$G80:$W80)</f>
        <v>0</v>
      </c>
      <c r="DD80" s="93" cm="1">
        <f t="array" ref="DD80">SUMPRODUCT(TRANSPOSE(DD$4:DD$20),$G80:$W80)</f>
        <v>0</v>
      </c>
      <c r="DE80" s="93" cm="1">
        <f t="array" ref="DE80">SUMPRODUCT(TRANSPOSE(DE$4:DE$20),$G80:$W80)</f>
        <v>0</v>
      </c>
      <c r="DF80" s="93" cm="1">
        <f t="array" ref="DF80">SUMPRODUCT(TRANSPOSE(DF$4:DF$20),$G80:$W80)</f>
        <v>0</v>
      </c>
      <c r="DG80" s="93" cm="1">
        <f t="array" ref="DG80">SUMPRODUCT(TRANSPOSE(DG$4:DG$20),$G80:$W80)</f>
        <v>0</v>
      </c>
      <c r="DH80" s="93" cm="1">
        <f t="array" ref="DH80">SUMPRODUCT(TRANSPOSE(DH$4:DH$20),$G80:$W80)</f>
        <v>0</v>
      </c>
      <c r="DI80" s="93" cm="1">
        <f t="array" ref="DI80">SUMPRODUCT(TRANSPOSE(DI$4:DI$20),$G80:$W80)</f>
        <v>0</v>
      </c>
      <c r="DJ80" s="93" cm="1">
        <f t="array" ref="DJ80">SUMPRODUCT(TRANSPOSE(DJ$4:DJ$20),$G80:$W80)</f>
        <v>0</v>
      </c>
      <c r="DK80" s="93" cm="1">
        <f t="array" ref="DK80">SUMPRODUCT(TRANSPOSE(DK$4:DK$20),$G80:$W80)</f>
        <v>0</v>
      </c>
      <c r="DL80" s="93" cm="1">
        <f t="array" ref="DL80">SUMPRODUCT(TRANSPOSE(DL$4:DL$20),$G80:$W80)</f>
        <v>0</v>
      </c>
      <c r="DM80" s="93" cm="1">
        <f t="array" ref="DM80">SUMPRODUCT(TRANSPOSE(DM$4:DM$20),$G80:$W80)</f>
        <v>0</v>
      </c>
      <c r="DN80" s="93" cm="1">
        <f t="array" ref="DN80">SUMPRODUCT(TRANSPOSE(DN$4:DN$20),$G80:$W80)</f>
        <v>0</v>
      </c>
      <c r="DO80" s="93" cm="1">
        <f t="array" ref="DO80">SUMPRODUCT(TRANSPOSE(DO$4:DO$20),$G80:$W80)</f>
        <v>0</v>
      </c>
    </row>
    <row r="81" spans="1:119" x14ac:dyDescent="0.2">
      <c r="A81" s="45">
        <f t="shared" si="26"/>
        <v>60</v>
      </c>
      <c r="B81" s="51" t="s">
        <v>265</v>
      </c>
      <c r="C81" s="45">
        <v>411522819</v>
      </c>
      <c r="D81" s="45" t="s">
        <v>266</v>
      </c>
      <c r="E81" s="45" t="s">
        <v>162</v>
      </c>
      <c r="F81" s="48">
        <v>1</v>
      </c>
      <c r="G81" s="100">
        <v>0</v>
      </c>
      <c r="H81" s="100">
        <v>0</v>
      </c>
      <c r="I81" s="100">
        <v>0</v>
      </c>
      <c r="J81" s="100">
        <v>0</v>
      </c>
      <c r="K81" s="100">
        <v>0</v>
      </c>
      <c r="L81" s="100">
        <v>0</v>
      </c>
      <c r="M81" s="100">
        <v>0</v>
      </c>
      <c r="N81" s="100">
        <v>0</v>
      </c>
      <c r="O81" s="100">
        <v>0</v>
      </c>
      <c r="P81" s="100">
        <v>0</v>
      </c>
      <c r="Q81" s="100">
        <v>0</v>
      </c>
      <c r="R81" s="100">
        <v>0</v>
      </c>
      <c r="S81" s="100">
        <v>1</v>
      </c>
      <c r="T81" s="100">
        <v>0</v>
      </c>
      <c r="U81" s="100">
        <v>0</v>
      </c>
      <c r="V81" s="100">
        <v>0</v>
      </c>
      <c r="W81" s="100">
        <v>0</v>
      </c>
      <c r="X81" s="45" t="s">
        <v>53</v>
      </c>
      <c r="Y81" s="53">
        <v>515.88</v>
      </c>
      <c r="Z81" s="45">
        <v>528</v>
      </c>
      <c r="AA81" s="45">
        <v>0</v>
      </c>
      <c r="AB81" s="45">
        <v>0</v>
      </c>
      <c r="AC81" s="45">
        <v>0</v>
      </c>
      <c r="AD81" s="45">
        <v>0</v>
      </c>
      <c r="AE81" s="45">
        <v>0</v>
      </c>
      <c r="AF81" s="45">
        <v>0</v>
      </c>
      <c r="AG81" s="45">
        <v>0</v>
      </c>
      <c r="AH81" s="45">
        <v>0</v>
      </c>
      <c r="AI81" s="45">
        <v>0</v>
      </c>
      <c r="AJ81" s="45">
        <v>0</v>
      </c>
      <c r="AK81" s="45">
        <v>0</v>
      </c>
      <c r="AL81" s="45">
        <v>0</v>
      </c>
      <c r="AM81" s="45">
        <v>0</v>
      </c>
      <c r="AN81" s="45">
        <v>0</v>
      </c>
      <c r="AO81" s="45"/>
      <c r="AP81" s="45"/>
      <c r="AQ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5"/>
      <c r="BC81" s="45"/>
      <c r="BD81" s="93"/>
      <c r="BE81" s="93"/>
      <c r="BF81" s="93"/>
      <c r="BG81" s="93"/>
      <c r="BH81" s="93"/>
      <c r="BI81" s="93"/>
      <c r="BJ81" s="93"/>
      <c r="BK81" s="93">
        <f>SUM($Z81:AD81)-SUM($CM81:CQ81)</f>
        <v>485</v>
      </c>
      <c r="BL81" s="93">
        <f>SUM($Z81:AE81)-SUM($CM81:CR81)</f>
        <v>450</v>
      </c>
      <c r="BM81" s="93">
        <f>SUM($Z81:AF81)-SUM($CM81:CS81)</f>
        <v>420</v>
      </c>
      <c r="BN81" s="93">
        <f>SUM($Z81:AG81)-SUM($CM81:CT81)</f>
        <v>390</v>
      </c>
      <c r="BO81" s="93">
        <f>SUM($Z81:AH81)-SUM($CM81:CU81)</f>
        <v>360</v>
      </c>
      <c r="BP81" s="93">
        <f>SUM($Z81:AI81)-SUM($CM81:CV81)</f>
        <v>330</v>
      </c>
      <c r="BQ81" s="93">
        <f>SUM($Z81:AJ81)-SUM($CM81:CW81)</f>
        <v>300</v>
      </c>
      <c r="BR81" s="93">
        <f>SUM($Z81:AK81)-SUM($CM81:CX81)</f>
        <v>270</v>
      </c>
      <c r="BS81" s="93">
        <f>SUM($Z81:AL81)-SUM($CM81:CY81)</f>
        <v>240</v>
      </c>
      <c r="BT81" s="93">
        <f>SUM($Z81:AM81)-SUM($CM81:CZ81)</f>
        <v>210</v>
      </c>
      <c r="BU81" s="93">
        <f>SUM($Z81:AN81)-SUM($CM81:DA81)</f>
        <v>180</v>
      </c>
      <c r="BV81" s="93">
        <f>SUM($Z81:AO81)-SUM($CM81:DB81)</f>
        <v>180</v>
      </c>
      <c r="BW81" s="93">
        <f>SUM($Z81:AP81)-SUM($CM81:DC81)</f>
        <v>180</v>
      </c>
      <c r="BX81" s="93">
        <f>SUM($Z81:AQ81)-SUM($CM81:DD81)</f>
        <v>180</v>
      </c>
      <c r="BY81" s="93">
        <f>SUM($Z81:AR81)-SUM($CM81:DE81)</f>
        <v>180</v>
      </c>
      <c r="BZ81" s="93">
        <f>SUM($Z81:AS81)-SUM($CM81:DF81)</f>
        <v>180</v>
      </c>
      <c r="CA81" s="93">
        <f>SUM($Z81:AT81)-SUM($CM81:DG81)</f>
        <v>180</v>
      </c>
      <c r="CB81" s="93">
        <f>SUM($Z81:AU81)-SUM($CM81:DH81)</f>
        <v>180</v>
      </c>
      <c r="CC81" s="93">
        <f>SUM($Z81:AV81)-SUM($CM81:DI81)</f>
        <v>180</v>
      </c>
      <c r="CD81" s="93">
        <f>SUM($Z81:AW81)-SUM($CM81:DJ81)</f>
        <v>180</v>
      </c>
      <c r="CE81" s="93">
        <f>SUM($Z81:AX81)-SUM($CM81:DK81)</f>
        <v>180</v>
      </c>
      <c r="CF81" s="93">
        <f>SUM($Z81:AY81)-SUM($CM81:DL81)</f>
        <v>180</v>
      </c>
      <c r="CG81" s="93">
        <f>SUM($Z81:AZ81)-SUM($CM81:DM81)</f>
        <v>180</v>
      </c>
      <c r="CH81" s="93">
        <f>SUM($Z81:BA81)-SUM($CM81:DN81)</f>
        <v>180</v>
      </c>
      <c r="CI81" s="93">
        <f>SUM($Z81:BB81)-SUM($CM81:DO81)</f>
        <v>180</v>
      </c>
      <c r="CJ81" s="93"/>
      <c r="CK81" s="93"/>
      <c r="CL81" s="93"/>
      <c r="CM81" s="93"/>
      <c r="CN81" s="93" cm="1">
        <f t="array" ref="CN81">SUMPRODUCT(TRANSPOSE(CN$4:CN$20),$G81:$W81)</f>
        <v>0</v>
      </c>
      <c r="CO81" s="93" cm="1">
        <f t="array" ref="CO81">SUMPRODUCT(TRANSPOSE(CO$4:CO$20),$G81:$W81)</f>
        <v>0</v>
      </c>
      <c r="CP81" s="93" cm="1">
        <f t="array" ref="CP81">SUMPRODUCT(TRANSPOSE(CP$4:CP$20),$G81:$W81)</f>
        <v>0</v>
      </c>
      <c r="CQ81" s="93" cm="1">
        <f t="array" ref="CQ81">SUMPRODUCT(TRANSPOSE(CQ$4:CQ$20),$G81:$W81)</f>
        <v>43</v>
      </c>
      <c r="CR81" s="93" cm="1">
        <f t="array" ref="CR81">SUMPRODUCT(TRANSPOSE(CR$4:CR$20),$G81:$W81)</f>
        <v>35</v>
      </c>
      <c r="CS81" s="93" cm="1">
        <f t="array" ref="CS81">SUMPRODUCT(TRANSPOSE(CS$4:CS$20),$G81:$W81)</f>
        <v>30</v>
      </c>
      <c r="CT81" s="93" cm="1">
        <f t="array" ref="CT81">SUMPRODUCT(TRANSPOSE(CT$4:CT$20),$G81:$W81)</f>
        <v>30</v>
      </c>
      <c r="CU81" s="93" cm="1">
        <f t="array" ref="CU81">SUMPRODUCT(TRANSPOSE(CU$4:CU$20),$G81:$W81)</f>
        <v>30</v>
      </c>
      <c r="CV81" s="93" cm="1">
        <f t="array" ref="CV81">SUMPRODUCT(TRANSPOSE(CV$4:CV$20),$G81:$W81)</f>
        <v>30</v>
      </c>
      <c r="CW81" s="93" cm="1">
        <f t="array" ref="CW81">SUMPRODUCT(TRANSPOSE(CW$4:CW$20),$G81:$W81)</f>
        <v>30</v>
      </c>
      <c r="CX81" s="93" cm="1">
        <f t="array" ref="CX81">SUMPRODUCT(TRANSPOSE(CX$4:CX$20),$G81:$W81)</f>
        <v>30</v>
      </c>
      <c r="CY81" s="93" cm="1">
        <f t="array" ref="CY81">SUMPRODUCT(TRANSPOSE(CY$4:CY$20),$G81:$W81)</f>
        <v>30</v>
      </c>
      <c r="CZ81" s="93" cm="1">
        <f t="array" ref="CZ81">SUMPRODUCT(TRANSPOSE(CZ$4:CZ$20),$G81:$W81)</f>
        <v>30</v>
      </c>
      <c r="DA81" s="93" cm="1">
        <f t="array" ref="DA81">SUMPRODUCT(TRANSPOSE(DA$4:DA$20),$G81:$W81)</f>
        <v>30</v>
      </c>
      <c r="DB81" s="93" cm="1">
        <f t="array" ref="DB81">SUMPRODUCT(TRANSPOSE(DB$4:DB$20),$G81:$W81)</f>
        <v>0</v>
      </c>
      <c r="DC81" s="93" cm="1">
        <f t="array" ref="DC81">SUMPRODUCT(TRANSPOSE(DC$4:DC$20),$G81:$W81)</f>
        <v>0</v>
      </c>
      <c r="DD81" s="93" cm="1">
        <f t="array" ref="DD81">SUMPRODUCT(TRANSPOSE(DD$4:DD$20),$G81:$W81)</f>
        <v>0</v>
      </c>
      <c r="DE81" s="93" cm="1">
        <f t="array" ref="DE81">SUMPRODUCT(TRANSPOSE(DE$4:DE$20),$G81:$W81)</f>
        <v>0</v>
      </c>
      <c r="DF81" s="93" cm="1">
        <f t="array" ref="DF81">SUMPRODUCT(TRANSPOSE(DF$4:DF$20),$G81:$W81)</f>
        <v>0</v>
      </c>
      <c r="DG81" s="93" cm="1">
        <f t="array" ref="DG81">SUMPRODUCT(TRANSPOSE(DG$4:DG$20),$G81:$W81)</f>
        <v>0</v>
      </c>
      <c r="DH81" s="93" cm="1">
        <f t="array" ref="DH81">SUMPRODUCT(TRANSPOSE(DH$4:DH$20),$G81:$W81)</f>
        <v>0</v>
      </c>
      <c r="DI81" s="93" cm="1">
        <f t="array" ref="DI81">SUMPRODUCT(TRANSPOSE(DI$4:DI$20),$G81:$W81)</f>
        <v>0</v>
      </c>
      <c r="DJ81" s="93" cm="1">
        <f t="array" ref="DJ81">SUMPRODUCT(TRANSPOSE(DJ$4:DJ$20),$G81:$W81)</f>
        <v>0</v>
      </c>
      <c r="DK81" s="93" cm="1">
        <f t="array" ref="DK81">SUMPRODUCT(TRANSPOSE(DK$4:DK$20),$G81:$W81)</f>
        <v>0</v>
      </c>
      <c r="DL81" s="93" cm="1">
        <f t="array" ref="DL81">SUMPRODUCT(TRANSPOSE(DL$4:DL$20),$G81:$W81)</f>
        <v>0</v>
      </c>
      <c r="DM81" s="93" cm="1">
        <f t="array" ref="DM81">SUMPRODUCT(TRANSPOSE(DM$4:DM$20),$G81:$W81)</f>
        <v>0</v>
      </c>
      <c r="DN81" s="93" cm="1">
        <f t="array" ref="DN81">SUMPRODUCT(TRANSPOSE(DN$4:DN$20),$G81:$W81)</f>
        <v>0</v>
      </c>
      <c r="DO81" s="93" cm="1">
        <f t="array" ref="DO81">SUMPRODUCT(TRANSPOSE(DO$4:DO$20),$G81:$W81)</f>
        <v>0</v>
      </c>
    </row>
    <row r="82" spans="1:119" x14ac:dyDescent="0.2">
      <c r="A82" s="45">
        <f t="shared" si="26"/>
        <v>61</v>
      </c>
      <c r="B82" s="46" t="s">
        <v>267</v>
      </c>
      <c r="C82" s="45">
        <v>411031351</v>
      </c>
      <c r="D82" s="45" t="s">
        <v>268</v>
      </c>
      <c r="E82" s="45" t="s">
        <v>162</v>
      </c>
      <c r="F82" s="48">
        <v>1</v>
      </c>
      <c r="G82" s="100">
        <v>0</v>
      </c>
      <c r="H82" s="100">
        <v>0</v>
      </c>
      <c r="I82" s="100">
        <v>0</v>
      </c>
      <c r="J82" s="100">
        <v>0</v>
      </c>
      <c r="K82" s="100">
        <v>0</v>
      </c>
      <c r="L82" s="100">
        <v>0</v>
      </c>
      <c r="M82" s="100">
        <v>0</v>
      </c>
      <c r="N82" s="100">
        <v>0</v>
      </c>
      <c r="O82" s="100">
        <v>0</v>
      </c>
      <c r="P82" s="100">
        <v>0</v>
      </c>
      <c r="Q82" s="100">
        <v>0</v>
      </c>
      <c r="R82" s="100">
        <v>0</v>
      </c>
      <c r="S82" s="100">
        <v>1</v>
      </c>
      <c r="T82" s="100">
        <v>0</v>
      </c>
      <c r="U82" s="100">
        <v>0</v>
      </c>
      <c r="V82" s="100">
        <v>0</v>
      </c>
      <c r="W82" s="100">
        <v>0</v>
      </c>
      <c r="X82" s="45" t="s">
        <v>44</v>
      </c>
      <c r="Y82" s="49">
        <v>2.2000000000000002</v>
      </c>
      <c r="Z82" s="45">
        <v>528</v>
      </c>
      <c r="AA82" s="45">
        <v>0</v>
      </c>
      <c r="AB82" s="45">
        <v>0</v>
      </c>
      <c r="AC82" s="45">
        <v>0</v>
      </c>
      <c r="AD82" s="45">
        <v>0</v>
      </c>
      <c r="AE82" s="45">
        <v>0</v>
      </c>
      <c r="AF82" s="45">
        <v>0</v>
      </c>
      <c r="AG82" s="45">
        <v>0</v>
      </c>
      <c r="AH82" s="45">
        <v>0</v>
      </c>
      <c r="AI82" s="45">
        <v>0</v>
      </c>
      <c r="AJ82" s="45">
        <v>0</v>
      </c>
      <c r="AK82" s="45">
        <v>0</v>
      </c>
      <c r="AL82" s="45">
        <v>0</v>
      </c>
      <c r="AM82" s="45">
        <v>0</v>
      </c>
      <c r="AN82" s="45">
        <v>0</v>
      </c>
      <c r="AO82" s="45"/>
      <c r="AP82" s="45"/>
      <c r="AQ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5"/>
      <c r="BC82" s="45"/>
      <c r="BD82" s="93"/>
      <c r="BE82" s="93"/>
      <c r="BF82" s="93"/>
      <c r="BG82" s="93"/>
      <c r="BH82" s="93"/>
      <c r="BI82" s="93"/>
      <c r="BJ82" s="93"/>
      <c r="BK82" s="93">
        <f>SUM($Z82:AD82)-SUM($CM82:CQ82)</f>
        <v>485</v>
      </c>
      <c r="BL82" s="93">
        <f>SUM($Z82:AE82)-SUM($CM82:CR82)</f>
        <v>450</v>
      </c>
      <c r="BM82" s="93">
        <f>SUM($Z82:AF82)-SUM($CM82:CS82)</f>
        <v>420</v>
      </c>
      <c r="BN82" s="93">
        <f>SUM($Z82:AG82)-SUM($CM82:CT82)</f>
        <v>390</v>
      </c>
      <c r="BO82" s="93">
        <f>SUM($Z82:AH82)-SUM($CM82:CU82)</f>
        <v>360</v>
      </c>
      <c r="BP82" s="93">
        <f>SUM($Z82:AI82)-SUM($CM82:CV82)</f>
        <v>330</v>
      </c>
      <c r="BQ82" s="93">
        <f>SUM($Z82:AJ82)-SUM($CM82:CW82)</f>
        <v>300</v>
      </c>
      <c r="BR82" s="93">
        <f>SUM($Z82:AK82)-SUM($CM82:CX82)</f>
        <v>270</v>
      </c>
      <c r="BS82" s="93">
        <f>SUM($Z82:AL82)-SUM($CM82:CY82)</f>
        <v>240</v>
      </c>
      <c r="BT82" s="93">
        <f>SUM($Z82:AM82)-SUM($CM82:CZ82)</f>
        <v>210</v>
      </c>
      <c r="BU82" s="93">
        <f>SUM($Z82:AN82)-SUM($CM82:DA82)</f>
        <v>180</v>
      </c>
      <c r="BV82" s="93">
        <f>SUM($Z82:AO82)-SUM($CM82:DB82)</f>
        <v>180</v>
      </c>
      <c r="BW82" s="93">
        <f>SUM($Z82:AP82)-SUM($CM82:DC82)</f>
        <v>180</v>
      </c>
      <c r="BX82" s="93">
        <f>SUM($Z82:AQ82)-SUM($CM82:DD82)</f>
        <v>180</v>
      </c>
      <c r="BY82" s="93">
        <f>SUM($Z82:AR82)-SUM($CM82:DE82)</f>
        <v>180</v>
      </c>
      <c r="BZ82" s="93">
        <f>SUM($Z82:AS82)-SUM($CM82:DF82)</f>
        <v>180</v>
      </c>
      <c r="CA82" s="93">
        <f>SUM($Z82:AT82)-SUM($CM82:DG82)</f>
        <v>180</v>
      </c>
      <c r="CB82" s="93">
        <f>SUM($Z82:AU82)-SUM($CM82:DH82)</f>
        <v>180</v>
      </c>
      <c r="CC82" s="93">
        <f>SUM($Z82:AV82)-SUM($CM82:DI82)</f>
        <v>180</v>
      </c>
      <c r="CD82" s="93">
        <f>SUM($Z82:AW82)-SUM($CM82:DJ82)</f>
        <v>180</v>
      </c>
      <c r="CE82" s="93">
        <f>SUM($Z82:AX82)-SUM($CM82:DK82)</f>
        <v>180</v>
      </c>
      <c r="CF82" s="93">
        <f>SUM($Z82:AY82)-SUM($CM82:DL82)</f>
        <v>180</v>
      </c>
      <c r="CG82" s="93">
        <f>SUM($Z82:AZ82)-SUM($CM82:DM82)</f>
        <v>180</v>
      </c>
      <c r="CH82" s="93">
        <f>SUM($Z82:BA82)-SUM($CM82:DN82)</f>
        <v>180</v>
      </c>
      <c r="CI82" s="93">
        <f>SUM($Z82:BB82)-SUM($CM82:DO82)</f>
        <v>180</v>
      </c>
      <c r="CJ82" s="93"/>
      <c r="CK82" s="93"/>
      <c r="CL82" s="93"/>
      <c r="CM82" s="93"/>
      <c r="CN82" s="93" cm="1">
        <f t="array" ref="CN82">SUMPRODUCT(TRANSPOSE(CN$4:CN$20),$G82:$W82)</f>
        <v>0</v>
      </c>
      <c r="CO82" s="93" cm="1">
        <f t="array" ref="CO82">SUMPRODUCT(TRANSPOSE(CO$4:CO$20),$G82:$W82)</f>
        <v>0</v>
      </c>
      <c r="CP82" s="93" cm="1">
        <f t="array" ref="CP82">SUMPRODUCT(TRANSPOSE(CP$4:CP$20),$G82:$W82)</f>
        <v>0</v>
      </c>
      <c r="CQ82" s="93" cm="1">
        <f t="array" ref="CQ82">SUMPRODUCT(TRANSPOSE(CQ$4:CQ$20),$G82:$W82)</f>
        <v>43</v>
      </c>
      <c r="CR82" s="93" cm="1">
        <f t="array" ref="CR82">SUMPRODUCT(TRANSPOSE(CR$4:CR$20),$G82:$W82)</f>
        <v>35</v>
      </c>
      <c r="CS82" s="93" cm="1">
        <f t="array" ref="CS82">SUMPRODUCT(TRANSPOSE(CS$4:CS$20),$G82:$W82)</f>
        <v>30</v>
      </c>
      <c r="CT82" s="93" cm="1">
        <f t="array" ref="CT82">SUMPRODUCT(TRANSPOSE(CT$4:CT$20),$G82:$W82)</f>
        <v>30</v>
      </c>
      <c r="CU82" s="93" cm="1">
        <f t="array" ref="CU82">SUMPRODUCT(TRANSPOSE(CU$4:CU$20),$G82:$W82)</f>
        <v>30</v>
      </c>
      <c r="CV82" s="93" cm="1">
        <f t="array" ref="CV82">SUMPRODUCT(TRANSPOSE(CV$4:CV$20),$G82:$W82)</f>
        <v>30</v>
      </c>
      <c r="CW82" s="93" cm="1">
        <f t="array" ref="CW82">SUMPRODUCT(TRANSPOSE(CW$4:CW$20),$G82:$W82)</f>
        <v>30</v>
      </c>
      <c r="CX82" s="93" cm="1">
        <f t="array" ref="CX82">SUMPRODUCT(TRANSPOSE(CX$4:CX$20),$G82:$W82)</f>
        <v>30</v>
      </c>
      <c r="CY82" s="93" cm="1">
        <f t="array" ref="CY82">SUMPRODUCT(TRANSPOSE(CY$4:CY$20),$G82:$W82)</f>
        <v>30</v>
      </c>
      <c r="CZ82" s="93" cm="1">
        <f t="array" ref="CZ82">SUMPRODUCT(TRANSPOSE(CZ$4:CZ$20),$G82:$W82)</f>
        <v>30</v>
      </c>
      <c r="DA82" s="93" cm="1">
        <f t="array" ref="DA82">SUMPRODUCT(TRANSPOSE(DA$4:DA$20),$G82:$W82)</f>
        <v>30</v>
      </c>
      <c r="DB82" s="93" cm="1">
        <f t="array" ref="DB82">SUMPRODUCT(TRANSPOSE(DB$4:DB$20),$G82:$W82)</f>
        <v>0</v>
      </c>
      <c r="DC82" s="93" cm="1">
        <f t="array" ref="DC82">SUMPRODUCT(TRANSPOSE(DC$4:DC$20),$G82:$W82)</f>
        <v>0</v>
      </c>
      <c r="DD82" s="93" cm="1">
        <f t="array" ref="DD82">SUMPRODUCT(TRANSPOSE(DD$4:DD$20),$G82:$W82)</f>
        <v>0</v>
      </c>
      <c r="DE82" s="93" cm="1">
        <f t="array" ref="DE82">SUMPRODUCT(TRANSPOSE(DE$4:DE$20),$G82:$W82)</f>
        <v>0</v>
      </c>
      <c r="DF82" s="93" cm="1">
        <f t="array" ref="DF82">SUMPRODUCT(TRANSPOSE(DF$4:DF$20),$G82:$W82)</f>
        <v>0</v>
      </c>
      <c r="DG82" s="93" cm="1">
        <f t="array" ref="DG82">SUMPRODUCT(TRANSPOSE(DG$4:DG$20),$G82:$W82)</f>
        <v>0</v>
      </c>
      <c r="DH82" s="93" cm="1">
        <f t="array" ref="DH82">SUMPRODUCT(TRANSPOSE(DH$4:DH$20),$G82:$W82)</f>
        <v>0</v>
      </c>
      <c r="DI82" s="93" cm="1">
        <f t="array" ref="DI82">SUMPRODUCT(TRANSPOSE(DI$4:DI$20),$G82:$W82)</f>
        <v>0</v>
      </c>
      <c r="DJ82" s="93" cm="1">
        <f t="array" ref="DJ82">SUMPRODUCT(TRANSPOSE(DJ$4:DJ$20),$G82:$W82)</f>
        <v>0</v>
      </c>
      <c r="DK82" s="93" cm="1">
        <f t="array" ref="DK82">SUMPRODUCT(TRANSPOSE(DK$4:DK$20),$G82:$W82)</f>
        <v>0</v>
      </c>
      <c r="DL82" s="93" cm="1">
        <f t="array" ref="DL82">SUMPRODUCT(TRANSPOSE(DL$4:DL$20),$G82:$W82)</f>
        <v>0</v>
      </c>
      <c r="DM82" s="93" cm="1">
        <f t="array" ref="DM82">SUMPRODUCT(TRANSPOSE(DM$4:DM$20),$G82:$W82)</f>
        <v>0</v>
      </c>
      <c r="DN82" s="93" cm="1">
        <f t="array" ref="DN82">SUMPRODUCT(TRANSPOSE(DN$4:DN$20),$G82:$W82)</f>
        <v>0</v>
      </c>
      <c r="DO82" s="93" cm="1">
        <f t="array" ref="DO82">SUMPRODUCT(TRANSPOSE(DO$4:DO$20),$G82:$W82)</f>
        <v>0</v>
      </c>
    </row>
    <row r="83" spans="1:119" x14ac:dyDescent="0.2">
      <c r="A83" s="45">
        <f t="shared" si="26"/>
        <v>62</v>
      </c>
      <c r="B83" s="46" t="s">
        <v>269</v>
      </c>
      <c r="C83" s="45">
        <v>414202236</v>
      </c>
      <c r="D83" s="45" t="s">
        <v>270</v>
      </c>
      <c r="E83" s="45" t="s">
        <v>162</v>
      </c>
      <c r="F83" s="48">
        <v>1</v>
      </c>
      <c r="G83" s="100">
        <v>0</v>
      </c>
      <c r="H83" s="100">
        <v>0</v>
      </c>
      <c r="I83" s="100">
        <v>0</v>
      </c>
      <c r="J83" s="100">
        <v>0</v>
      </c>
      <c r="K83" s="100">
        <v>0</v>
      </c>
      <c r="L83" s="100">
        <v>0</v>
      </c>
      <c r="M83" s="100">
        <v>0</v>
      </c>
      <c r="N83" s="100">
        <v>0</v>
      </c>
      <c r="O83" s="100">
        <v>0</v>
      </c>
      <c r="P83" s="100">
        <v>0</v>
      </c>
      <c r="Q83" s="100">
        <v>34</v>
      </c>
      <c r="R83" s="100">
        <v>0</v>
      </c>
      <c r="S83" s="100">
        <v>0</v>
      </c>
      <c r="T83" s="100">
        <v>0</v>
      </c>
      <c r="U83" s="100">
        <v>0</v>
      </c>
      <c r="V83" s="100">
        <v>0</v>
      </c>
      <c r="W83" s="100">
        <v>0</v>
      </c>
      <c r="X83" s="58" t="s">
        <v>21</v>
      </c>
      <c r="Y83" s="53">
        <v>299</v>
      </c>
      <c r="Z83" s="45">
        <v>7448</v>
      </c>
      <c r="AA83" s="45">
        <v>0</v>
      </c>
      <c r="AB83" s="45">
        <v>0</v>
      </c>
      <c r="AC83" s="45">
        <v>0</v>
      </c>
      <c r="AD83" s="45">
        <v>0</v>
      </c>
      <c r="AE83" s="45">
        <v>0</v>
      </c>
      <c r="AF83" s="45">
        <v>0</v>
      </c>
      <c r="AG83" s="45">
        <v>0</v>
      </c>
      <c r="AH83" s="45">
        <v>0</v>
      </c>
      <c r="AI83" s="45">
        <v>0</v>
      </c>
      <c r="AJ83" s="45">
        <v>0</v>
      </c>
      <c r="AK83" s="45">
        <v>0</v>
      </c>
      <c r="AL83" s="45">
        <v>0</v>
      </c>
      <c r="AM83" s="45">
        <v>0</v>
      </c>
      <c r="AN83" s="45">
        <v>0</v>
      </c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93"/>
      <c r="BE83" s="93"/>
      <c r="BF83" s="93"/>
      <c r="BG83" s="93"/>
      <c r="BH83" s="93"/>
      <c r="BI83" s="93"/>
      <c r="BJ83" s="93"/>
      <c r="BK83" s="93">
        <f>SUM($Z83:AD83)-SUM($CM83:CQ83)</f>
        <v>6258</v>
      </c>
      <c r="BL83" s="93">
        <f>SUM($Z83:AE83)-SUM($CM83:CR83)</f>
        <v>5068</v>
      </c>
      <c r="BM83" s="93">
        <f>SUM($Z83:AF83)-SUM($CM83:CS83)</f>
        <v>3878</v>
      </c>
      <c r="BN83" s="93">
        <f>SUM($Z83:AG83)-SUM($CM83:CT83)</f>
        <v>2858</v>
      </c>
      <c r="BO83" s="93">
        <f>SUM($Z83:AH83)-SUM($CM83:CU83)</f>
        <v>1838</v>
      </c>
      <c r="BP83" s="93">
        <f>SUM($Z83:AI83)-SUM($CM83:CV83)</f>
        <v>818</v>
      </c>
      <c r="BQ83" s="93">
        <f>SUM($Z83:AJ83)-SUM($CM83:CW83)</f>
        <v>-202</v>
      </c>
      <c r="BR83" s="93">
        <f>SUM($Z83:AK83)-SUM($CM83:CX83)</f>
        <v>-1222</v>
      </c>
      <c r="BS83" s="93">
        <f>SUM($Z83:AL83)-SUM($CM83:CY83)</f>
        <v>-2242</v>
      </c>
      <c r="BT83" s="93">
        <f>SUM($Z83:AM83)-SUM($CM83:CZ83)</f>
        <v>-3262</v>
      </c>
      <c r="BU83" s="93">
        <f>SUM($Z83:AN83)-SUM($CM83:DA83)</f>
        <v>-4282</v>
      </c>
      <c r="BV83" s="93">
        <f>SUM($Z83:AO83)-SUM($CM83:DB83)</f>
        <v>-4758</v>
      </c>
      <c r="BW83" s="93">
        <f>SUM($Z83:AP83)-SUM($CM83:DC83)</f>
        <v>-4758</v>
      </c>
      <c r="BX83" s="93">
        <f>SUM($Z83:AQ83)-SUM($CM83:DD83)</f>
        <v>-4758</v>
      </c>
      <c r="BY83" s="93">
        <f>SUM($Z83:AR83)-SUM($CM83:DE83)</f>
        <v>-4758</v>
      </c>
      <c r="BZ83" s="93">
        <f>SUM($Z83:AS83)-SUM($CM83:DF83)</f>
        <v>-4758</v>
      </c>
      <c r="CA83" s="93">
        <f>SUM($Z83:AT83)-SUM($CM83:DG83)</f>
        <v>-4758</v>
      </c>
      <c r="CB83" s="93">
        <f>SUM($Z83:AU83)-SUM($CM83:DH83)</f>
        <v>-4758</v>
      </c>
      <c r="CC83" s="93">
        <f>SUM($Z83:AV83)-SUM($CM83:DI83)</f>
        <v>-4758</v>
      </c>
      <c r="CD83" s="93">
        <f>SUM($Z83:AW83)-SUM($CM83:DJ83)</f>
        <v>-4758</v>
      </c>
      <c r="CE83" s="93">
        <f>SUM($Z83:AX83)-SUM($CM83:DK83)</f>
        <v>-4758</v>
      </c>
      <c r="CF83" s="93">
        <f>SUM($Z83:AY83)-SUM($CM83:DL83)</f>
        <v>-4758</v>
      </c>
      <c r="CG83" s="93">
        <f>SUM($Z83:AZ83)-SUM($CM83:DM83)</f>
        <v>-4758</v>
      </c>
      <c r="CH83" s="93">
        <f>SUM($Z83:BA83)-SUM($CM83:DN83)</f>
        <v>-4758</v>
      </c>
      <c r="CI83" s="93">
        <f>SUM($Z83:BB83)-SUM($CM83:DO83)</f>
        <v>-4758</v>
      </c>
      <c r="CJ83" s="93"/>
      <c r="CK83" s="93"/>
      <c r="CL83" s="93"/>
      <c r="CM83" s="93"/>
      <c r="CN83" s="93" cm="1">
        <f t="array" ref="CN83">SUMPRODUCT(TRANSPOSE(CN$4:CN$20),$G83:$W83)</f>
        <v>0</v>
      </c>
      <c r="CO83" s="93" cm="1">
        <f t="array" ref="CO83">SUMPRODUCT(TRANSPOSE(CO$4:CO$20),$G83:$W83)</f>
        <v>0</v>
      </c>
      <c r="CP83" s="93" cm="1">
        <f t="array" ref="CP83">SUMPRODUCT(TRANSPOSE(CP$4:CP$20),$G83:$W83)</f>
        <v>0</v>
      </c>
      <c r="CQ83" s="93" cm="1">
        <f t="array" ref="CQ83">SUMPRODUCT(TRANSPOSE(CQ$4:CQ$20),$G83:$W83)</f>
        <v>1190</v>
      </c>
      <c r="CR83" s="93" cm="1">
        <f t="array" ref="CR83">SUMPRODUCT(TRANSPOSE(CR$4:CR$20),$G83:$W83)</f>
        <v>1190</v>
      </c>
      <c r="CS83" s="93" cm="1">
        <f t="array" ref="CS83">SUMPRODUCT(TRANSPOSE(CS$4:CS$20),$G83:$W83)</f>
        <v>1190</v>
      </c>
      <c r="CT83" s="93" cm="1">
        <f t="array" ref="CT83">SUMPRODUCT(TRANSPOSE(CT$4:CT$20),$G83:$W83)</f>
        <v>1020</v>
      </c>
      <c r="CU83" s="93" cm="1">
        <f t="array" ref="CU83">SUMPRODUCT(TRANSPOSE(CU$4:CU$20),$G83:$W83)</f>
        <v>1020</v>
      </c>
      <c r="CV83" s="93" cm="1">
        <f t="array" ref="CV83">SUMPRODUCT(TRANSPOSE(CV$4:CV$20),$G83:$W83)</f>
        <v>1020</v>
      </c>
      <c r="CW83" s="93" cm="1">
        <f t="array" ref="CW83">SUMPRODUCT(TRANSPOSE(CW$4:CW$20),$G83:$W83)</f>
        <v>1020</v>
      </c>
      <c r="CX83" s="93" cm="1">
        <f t="array" ref="CX83">SUMPRODUCT(TRANSPOSE(CX$4:CX$20),$G83:$W83)</f>
        <v>1020</v>
      </c>
      <c r="CY83" s="93" cm="1">
        <f t="array" ref="CY83">SUMPRODUCT(TRANSPOSE(CY$4:CY$20),$G83:$W83)</f>
        <v>1020</v>
      </c>
      <c r="CZ83" s="93" cm="1">
        <f t="array" ref="CZ83">SUMPRODUCT(TRANSPOSE(CZ$4:CZ$20),$G83:$W83)</f>
        <v>1020</v>
      </c>
      <c r="DA83" s="93" cm="1">
        <f t="array" ref="DA83">SUMPRODUCT(TRANSPOSE(DA$4:DA$20),$G83:$W83)</f>
        <v>1020</v>
      </c>
      <c r="DB83" s="93" cm="1">
        <f t="array" ref="DB83">SUMPRODUCT(TRANSPOSE(DB$4:DB$20),$G83:$W83)</f>
        <v>476</v>
      </c>
      <c r="DC83" s="93" cm="1">
        <f t="array" ref="DC83">SUMPRODUCT(TRANSPOSE(DC$4:DC$20),$G83:$W83)</f>
        <v>0</v>
      </c>
      <c r="DD83" s="93" cm="1">
        <f t="array" ref="DD83">SUMPRODUCT(TRANSPOSE(DD$4:DD$20),$G83:$W83)</f>
        <v>0</v>
      </c>
      <c r="DE83" s="93" cm="1">
        <f t="array" ref="DE83">SUMPRODUCT(TRANSPOSE(DE$4:DE$20),$G83:$W83)</f>
        <v>0</v>
      </c>
      <c r="DF83" s="93" cm="1">
        <f t="array" ref="DF83">SUMPRODUCT(TRANSPOSE(DF$4:DF$20),$G83:$W83)</f>
        <v>0</v>
      </c>
      <c r="DG83" s="93" cm="1">
        <f t="array" ref="DG83">SUMPRODUCT(TRANSPOSE(DG$4:DG$20),$G83:$W83)</f>
        <v>0</v>
      </c>
      <c r="DH83" s="93" cm="1">
        <f t="array" ref="DH83">SUMPRODUCT(TRANSPOSE(DH$4:DH$20),$G83:$W83)</f>
        <v>0</v>
      </c>
      <c r="DI83" s="93" cm="1">
        <f t="array" ref="DI83">SUMPRODUCT(TRANSPOSE(DI$4:DI$20),$G83:$W83)</f>
        <v>0</v>
      </c>
      <c r="DJ83" s="93" cm="1">
        <f t="array" ref="DJ83">SUMPRODUCT(TRANSPOSE(DJ$4:DJ$20),$G83:$W83)</f>
        <v>0</v>
      </c>
      <c r="DK83" s="93" cm="1">
        <f t="array" ref="DK83">SUMPRODUCT(TRANSPOSE(DK$4:DK$20),$G83:$W83)</f>
        <v>0</v>
      </c>
      <c r="DL83" s="93" cm="1">
        <f t="array" ref="DL83">SUMPRODUCT(TRANSPOSE(DL$4:DL$20),$G83:$W83)</f>
        <v>0</v>
      </c>
      <c r="DM83" s="93" cm="1">
        <f t="array" ref="DM83">SUMPRODUCT(TRANSPOSE(DM$4:DM$20),$G83:$W83)</f>
        <v>0</v>
      </c>
      <c r="DN83" s="93" cm="1">
        <f t="array" ref="DN83">SUMPRODUCT(TRANSPOSE(DN$4:DN$20),$G83:$W83)</f>
        <v>0</v>
      </c>
      <c r="DO83" s="93" cm="1">
        <f t="array" ref="DO83">SUMPRODUCT(TRANSPOSE(DO$4:DO$20),$G83:$W83)</f>
        <v>0</v>
      </c>
    </row>
    <row r="84" spans="1:119" x14ac:dyDescent="0.2">
      <c r="A84" s="45">
        <f t="shared" si="26"/>
        <v>63</v>
      </c>
      <c r="B84" s="46" t="s">
        <v>271</v>
      </c>
      <c r="C84" s="45">
        <v>411422280</v>
      </c>
      <c r="D84" s="45" t="s">
        <v>272</v>
      </c>
      <c r="E84" s="45" t="s">
        <v>162</v>
      </c>
      <c r="F84" s="48">
        <v>1</v>
      </c>
      <c r="G84" s="100">
        <v>0</v>
      </c>
      <c r="H84" s="100">
        <v>0</v>
      </c>
      <c r="I84" s="100">
        <v>0</v>
      </c>
      <c r="J84" s="100">
        <v>0</v>
      </c>
      <c r="K84" s="100">
        <v>0</v>
      </c>
      <c r="L84" s="100">
        <v>0</v>
      </c>
      <c r="M84" s="100">
        <v>0</v>
      </c>
      <c r="N84" s="100">
        <v>0</v>
      </c>
      <c r="O84" s="100">
        <v>0</v>
      </c>
      <c r="P84" s="100">
        <v>0</v>
      </c>
      <c r="Q84" s="100">
        <v>36</v>
      </c>
      <c r="R84" s="100">
        <v>0</v>
      </c>
      <c r="S84" s="100">
        <v>0</v>
      </c>
      <c r="T84" s="100">
        <v>0</v>
      </c>
      <c r="U84" s="100">
        <v>36</v>
      </c>
      <c r="V84" s="100">
        <v>0</v>
      </c>
      <c r="W84" s="100">
        <v>0</v>
      </c>
      <c r="X84" s="58" t="s">
        <v>23</v>
      </c>
      <c r="Y84" s="53">
        <v>160</v>
      </c>
      <c r="Z84" s="45">
        <v>13970</v>
      </c>
      <c r="AA84" s="45">
        <v>0</v>
      </c>
      <c r="AB84" s="45">
        <v>0</v>
      </c>
      <c r="AC84" s="45">
        <v>0</v>
      </c>
      <c r="AD84" s="45">
        <v>0</v>
      </c>
      <c r="AE84" s="45">
        <v>0</v>
      </c>
      <c r="AF84" s="45">
        <v>0</v>
      </c>
      <c r="AG84" s="45">
        <v>0</v>
      </c>
      <c r="AH84" s="45">
        <v>0</v>
      </c>
      <c r="AI84" s="45">
        <v>0</v>
      </c>
      <c r="AJ84" s="45">
        <v>0</v>
      </c>
      <c r="AK84" s="45">
        <v>0</v>
      </c>
      <c r="AL84" s="45">
        <v>0</v>
      </c>
      <c r="AM84" s="45">
        <v>0</v>
      </c>
      <c r="AN84" s="45">
        <v>0</v>
      </c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93"/>
      <c r="BE84" s="93"/>
      <c r="BF84" s="93"/>
      <c r="BG84" s="93"/>
      <c r="BH84" s="93"/>
      <c r="BI84" s="93"/>
      <c r="BJ84" s="93"/>
      <c r="BK84" s="93">
        <f>SUM($Z84:AD84)-SUM($CM84:CQ84)</f>
        <v>11162</v>
      </c>
      <c r="BL84" s="93">
        <f>SUM($Z84:AE84)-SUM($CM84:CR84)</f>
        <v>8642</v>
      </c>
      <c r="BM84" s="93">
        <f>SUM($Z84:AF84)-SUM($CM84:CS84)</f>
        <v>6302</v>
      </c>
      <c r="BN84" s="93">
        <f>SUM($Z84:AG84)-SUM($CM84:CT84)</f>
        <v>4142</v>
      </c>
      <c r="BO84" s="93">
        <f>SUM($Z84:AH84)-SUM($CM84:CU84)</f>
        <v>1982</v>
      </c>
      <c r="BP84" s="93">
        <f>SUM($Z84:AI84)-SUM($CM84:CV84)</f>
        <v>-178</v>
      </c>
      <c r="BQ84" s="93">
        <f>SUM($Z84:AJ84)-SUM($CM84:CW84)</f>
        <v>-2338</v>
      </c>
      <c r="BR84" s="93">
        <f>SUM($Z84:AK84)-SUM($CM84:CX84)</f>
        <v>-4498</v>
      </c>
      <c r="BS84" s="93">
        <f>SUM($Z84:AL84)-SUM($CM84:CY84)</f>
        <v>-6658</v>
      </c>
      <c r="BT84" s="93">
        <f>SUM($Z84:AM84)-SUM($CM84:CZ84)</f>
        <v>-8818</v>
      </c>
      <c r="BU84" s="93">
        <f>SUM($Z84:AN84)-SUM($CM84:DA84)</f>
        <v>-10978</v>
      </c>
      <c r="BV84" s="93">
        <f>SUM($Z84:AO84)-SUM($CM84:DB84)</f>
        <v>-11482</v>
      </c>
      <c r="BW84" s="93">
        <f>SUM($Z84:AP84)-SUM($CM84:DC84)</f>
        <v>-11482</v>
      </c>
      <c r="BX84" s="93">
        <f>SUM($Z84:AQ84)-SUM($CM84:DD84)</f>
        <v>-11482</v>
      </c>
      <c r="BY84" s="93">
        <f>SUM($Z84:AR84)-SUM($CM84:DE84)</f>
        <v>-11482</v>
      </c>
      <c r="BZ84" s="93">
        <f>SUM($Z84:AS84)-SUM($CM84:DF84)</f>
        <v>-11482</v>
      </c>
      <c r="CA84" s="93">
        <f>SUM($Z84:AT84)-SUM($CM84:DG84)</f>
        <v>-11482</v>
      </c>
      <c r="CB84" s="93">
        <f>SUM($Z84:AU84)-SUM($CM84:DH84)</f>
        <v>-11482</v>
      </c>
      <c r="CC84" s="93">
        <f>SUM($Z84:AV84)-SUM($CM84:DI84)</f>
        <v>-11482</v>
      </c>
      <c r="CD84" s="93">
        <f>SUM($Z84:AW84)-SUM($CM84:DJ84)</f>
        <v>-11482</v>
      </c>
      <c r="CE84" s="93">
        <f>SUM($Z84:AX84)-SUM($CM84:DK84)</f>
        <v>-11482</v>
      </c>
      <c r="CF84" s="93">
        <f>SUM($Z84:AY84)-SUM($CM84:DL84)</f>
        <v>-11482</v>
      </c>
      <c r="CG84" s="93">
        <f>SUM($Z84:AZ84)-SUM($CM84:DM84)</f>
        <v>-11482</v>
      </c>
      <c r="CH84" s="93">
        <f>SUM($Z84:BA84)-SUM($CM84:DN84)</f>
        <v>-11482</v>
      </c>
      <c r="CI84" s="93">
        <f>SUM($Z84:BB84)-SUM($CM84:DO84)</f>
        <v>-11482</v>
      </c>
      <c r="CJ84" s="93"/>
      <c r="CK84" s="93"/>
      <c r="CL84" s="93"/>
      <c r="CM84" s="93"/>
      <c r="CN84" s="93" cm="1">
        <f t="array" ref="CN84">SUMPRODUCT(TRANSPOSE(CN$4:CN$20),$G84:$W84)</f>
        <v>0</v>
      </c>
      <c r="CO84" s="93" cm="1">
        <f t="array" ref="CO84">SUMPRODUCT(TRANSPOSE(CO$4:CO$20),$G84:$W84)</f>
        <v>0</v>
      </c>
      <c r="CP84" s="93" cm="1">
        <f t="array" ref="CP84">SUMPRODUCT(TRANSPOSE(CP$4:CP$20),$G84:$W84)</f>
        <v>0</v>
      </c>
      <c r="CQ84" s="93" cm="1">
        <f t="array" ref="CQ84">SUMPRODUCT(TRANSPOSE(CQ$4:CQ$20),$G84:$W84)</f>
        <v>2808</v>
      </c>
      <c r="CR84" s="93" cm="1">
        <f t="array" ref="CR84">SUMPRODUCT(TRANSPOSE(CR$4:CR$20),$G84:$W84)</f>
        <v>2520</v>
      </c>
      <c r="CS84" s="93" cm="1">
        <f t="array" ref="CS84">SUMPRODUCT(TRANSPOSE(CS$4:CS$20),$G84:$W84)</f>
        <v>2340</v>
      </c>
      <c r="CT84" s="93" cm="1">
        <f t="array" ref="CT84">SUMPRODUCT(TRANSPOSE(CT$4:CT$20),$G84:$W84)</f>
        <v>2160</v>
      </c>
      <c r="CU84" s="93" cm="1">
        <f t="array" ref="CU84">SUMPRODUCT(TRANSPOSE(CU$4:CU$20),$G84:$W84)</f>
        <v>2160</v>
      </c>
      <c r="CV84" s="93" cm="1">
        <f t="array" ref="CV84">SUMPRODUCT(TRANSPOSE(CV$4:CV$20),$G84:$W84)</f>
        <v>2160</v>
      </c>
      <c r="CW84" s="93" cm="1">
        <f t="array" ref="CW84">SUMPRODUCT(TRANSPOSE(CW$4:CW$20),$G84:$W84)</f>
        <v>2160</v>
      </c>
      <c r="CX84" s="93" cm="1">
        <f t="array" ref="CX84">SUMPRODUCT(TRANSPOSE(CX$4:CX$20),$G84:$W84)</f>
        <v>2160</v>
      </c>
      <c r="CY84" s="93" cm="1">
        <f t="array" ref="CY84">SUMPRODUCT(TRANSPOSE(CY$4:CY$20),$G84:$W84)</f>
        <v>2160</v>
      </c>
      <c r="CZ84" s="93" cm="1">
        <f t="array" ref="CZ84">SUMPRODUCT(TRANSPOSE(CZ$4:CZ$20),$G84:$W84)</f>
        <v>2160</v>
      </c>
      <c r="DA84" s="93" cm="1">
        <f t="array" ref="DA84">SUMPRODUCT(TRANSPOSE(DA$4:DA$20),$G84:$W84)</f>
        <v>2160</v>
      </c>
      <c r="DB84" s="93" cm="1">
        <f t="array" ref="DB84">SUMPRODUCT(TRANSPOSE(DB$4:DB$20),$G84:$W84)</f>
        <v>504</v>
      </c>
      <c r="DC84" s="93" cm="1">
        <f t="array" ref="DC84">SUMPRODUCT(TRANSPOSE(DC$4:DC$20),$G84:$W84)</f>
        <v>0</v>
      </c>
      <c r="DD84" s="93" cm="1">
        <f t="array" ref="DD84">SUMPRODUCT(TRANSPOSE(DD$4:DD$20),$G84:$W84)</f>
        <v>0</v>
      </c>
      <c r="DE84" s="93" cm="1">
        <f t="array" ref="DE84">SUMPRODUCT(TRANSPOSE(DE$4:DE$20),$G84:$W84)</f>
        <v>0</v>
      </c>
      <c r="DF84" s="93" cm="1">
        <f t="array" ref="DF84">SUMPRODUCT(TRANSPOSE(DF$4:DF$20),$G84:$W84)</f>
        <v>0</v>
      </c>
      <c r="DG84" s="93" cm="1">
        <f t="array" ref="DG84">SUMPRODUCT(TRANSPOSE(DG$4:DG$20),$G84:$W84)</f>
        <v>0</v>
      </c>
      <c r="DH84" s="93" cm="1">
        <f t="array" ref="DH84">SUMPRODUCT(TRANSPOSE(DH$4:DH$20),$G84:$W84)</f>
        <v>0</v>
      </c>
      <c r="DI84" s="93" cm="1">
        <f t="array" ref="DI84">SUMPRODUCT(TRANSPOSE(DI$4:DI$20),$G84:$W84)</f>
        <v>0</v>
      </c>
      <c r="DJ84" s="93" cm="1">
        <f t="array" ref="DJ84">SUMPRODUCT(TRANSPOSE(DJ$4:DJ$20),$G84:$W84)</f>
        <v>0</v>
      </c>
      <c r="DK84" s="93" cm="1">
        <f t="array" ref="DK84">SUMPRODUCT(TRANSPOSE(DK$4:DK$20),$G84:$W84)</f>
        <v>0</v>
      </c>
      <c r="DL84" s="93" cm="1">
        <f t="array" ref="DL84">SUMPRODUCT(TRANSPOSE(DL$4:DL$20),$G84:$W84)</f>
        <v>0</v>
      </c>
      <c r="DM84" s="93" cm="1">
        <f t="array" ref="DM84">SUMPRODUCT(TRANSPOSE(DM$4:DM$20),$G84:$W84)</f>
        <v>0</v>
      </c>
      <c r="DN84" s="93" cm="1">
        <f t="array" ref="DN84">SUMPRODUCT(TRANSPOSE(DN$4:DN$20),$G84:$W84)</f>
        <v>0</v>
      </c>
      <c r="DO84" s="93" cm="1">
        <f t="array" ref="DO84">SUMPRODUCT(TRANSPOSE(DO$4:DO$20),$G84:$W84)</f>
        <v>0</v>
      </c>
    </row>
    <row r="85" spans="1:119" x14ac:dyDescent="0.2">
      <c r="A85" s="45">
        <f t="shared" si="26"/>
        <v>64</v>
      </c>
      <c r="B85" s="46" t="s">
        <v>273</v>
      </c>
      <c r="C85" s="45">
        <v>412501958</v>
      </c>
      <c r="D85" s="45" t="s">
        <v>274</v>
      </c>
      <c r="E85" s="45" t="s">
        <v>162</v>
      </c>
      <c r="F85" s="48">
        <v>1</v>
      </c>
      <c r="G85" s="100">
        <v>0</v>
      </c>
      <c r="H85" s="100">
        <v>0</v>
      </c>
      <c r="I85" s="100">
        <v>0</v>
      </c>
      <c r="J85" s="100">
        <v>0</v>
      </c>
      <c r="K85" s="100">
        <v>0</v>
      </c>
      <c r="L85" s="100">
        <v>0</v>
      </c>
      <c r="M85" s="100">
        <v>0</v>
      </c>
      <c r="N85" s="100">
        <v>0</v>
      </c>
      <c r="O85" s="100">
        <v>0</v>
      </c>
      <c r="P85" s="100">
        <v>0</v>
      </c>
      <c r="Q85" s="100">
        <v>35</v>
      </c>
      <c r="R85" s="100">
        <v>0</v>
      </c>
      <c r="S85" s="100">
        <v>0</v>
      </c>
      <c r="T85" s="100">
        <v>0</v>
      </c>
      <c r="U85" s="100">
        <v>35</v>
      </c>
      <c r="V85" s="100">
        <v>0</v>
      </c>
      <c r="W85" s="100">
        <v>0</v>
      </c>
      <c r="X85" s="58" t="s">
        <v>275</v>
      </c>
      <c r="Y85" s="53">
        <v>170</v>
      </c>
      <c r="Z85" s="45">
        <v>16500</v>
      </c>
      <c r="AA85" s="45">
        <v>0</v>
      </c>
      <c r="AB85" s="45">
        <v>0</v>
      </c>
      <c r="AC85" s="45">
        <v>0</v>
      </c>
      <c r="AD85" s="45">
        <v>0</v>
      </c>
      <c r="AE85" s="45">
        <v>0</v>
      </c>
      <c r="AF85" s="45">
        <v>0</v>
      </c>
      <c r="AG85" s="45">
        <v>0</v>
      </c>
      <c r="AH85" s="45">
        <v>0</v>
      </c>
      <c r="AI85" s="45">
        <v>0</v>
      </c>
      <c r="AJ85" s="45">
        <v>0</v>
      </c>
      <c r="AK85" s="45">
        <v>0</v>
      </c>
      <c r="AL85" s="45">
        <v>0</v>
      </c>
      <c r="AM85" s="45">
        <v>0</v>
      </c>
      <c r="AN85" s="45">
        <v>0</v>
      </c>
      <c r="AO85" s="45"/>
      <c r="AP85" s="45"/>
      <c r="AQ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5"/>
      <c r="BC85" s="45"/>
      <c r="BD85" s="93"/>
      <c r="BE85" s="93"/>
      <c r="BF85" s="93"/>
      <c r="BG85" s="93"/>
      <c r="BH85" s="93"/>
      <c r="BI85" s="93"/>
      <c r="BJ85" s="93"/>
      <c r="BK85" s="93">
        <f>SUM($Z85:AD85)-SUM($CM85:CQ85)</f>
        <v>13770</v>
      </c>
      <c r="BL85" s="93">
        <f>SUM($Z85:AE85)-SUM($CM85:CR85)</f>
        <v>11320</v>
      </c>
      <c r="BM85" s="93">
        <f>SUM($Z85:AF85)-SUM($CM85:CS85)</f>
        <v>9045</v>
      </c>
      <c r="BN85" s="93">
        <f>SUM($Z85:AG85)-SUM($CM85:CT85)</f>
        <v>6945</v>
      </c>
      <c r="BO85" s="93">
        <f>SUM($Z85:AH85)-SUM($CM85:CU85)</f>
        <v>4845</v>
      </c>
      <c r="BP85" s="93">
        <f>SUM($Z85:AI85)-SUM($CM85:CV85)</f>
        <v>2745</v>
      </c>
      <c r="BQ85" s="93">
        <f>SUM($Z85:AJ85)-SUM($CM85:CW85)</f>
        <v>645</v>
      </c>
      <c r="BR85" s="93">
        <f>SUM($Z85:AK85)-SUM($CM85:CX85)</f>
        <v>-1455</v>
      </c>
      <c r="BS85" s="93">
        <f>SUM($Z85:AL85)-SUM($CM85:CY85)</f>
        <v>-3555</v>
      </c>
      <c r="BT85" s="93">
        <f>SUM($Z85:AM85)-SUM($CM85:CZ85)</f>
        <v>-5655</v>
      </c>
      <c r="BU85" s="93">
        <f>SUM($Z85:AN85)-SUM($CM85:DA85)</f>
        <v>-7755</v>
      </c>
      <c r="BV85" s="93">
        <f>SUM($Z85:AO85)-SUM($CM85:DB85)</f>
        <v>-8245</v>
      </c>
      <c r="BW85" s="93">
        <f>SUM($Z85:AP85)-SUM($CM85:DC85)</f>
        <v>-8245</v>
      </c>
      <c r="BX85" s="93">
        <f>SUM($Z85:AQ85)-SUM($CM85:DD85)</f>
        <v>-8245</v>
      </c>
      <c r="BY85" s="93">
        <f>SUM($Z85:AR85)-SUM($CM85:DE85)</f>
        <v>-8245</v>
      </c>
      <c r="BZ85" s="93">
        <f>SUM($Z85:AS85)-SUM($CM85:DF85)</f>
        <v>-8245</v>
      </c>
      <c r="CA85" s="93">
        <f>SUM($Z85:AT85)-SUM($CM85:DG85)</f>
        <v>-8245</v>
      </c>
      <c r="CB85" s="93">
        <f>SUM($Z85:AU85)-SUM($CM85:DH85)</f>
        <v>-8245</v>
      </c>
      <c r="CC85" s="93">
        <f>SUM($Z85:AV85)-SUM($CM85:DI85)</f>
        <v>-8245</v>
      </c>
      <c r="CD85" s="93">
        <f>SUM($Z85:AW85)-SUM($CM85:DJ85)</f>
        <v>-8245</v>
      </c>
      <c r="CE85" s="93">
        <f>SUM($Z85:AX85)-SUM($CM85:DK85)</f>
        <v>-8245</v>
      </c>
      <c r="CF85" s="93">
        <f>SUM($Z85:AY85)-SUM($CM85:DL85)</f>
        <v>-8245</v>
      </c>
      <c r="CG85" s="93">
        <f>SUM($Z85:AZ85)-SUM($CM85:DM85)</f>
        <v>-8245</v>
      </c>
      <c r="CH85" s="93">
        <f>SUM($Z85:BA85)-SUM($CM85:DN85)</f>
        <v>-8245</v>
      </c>
      <c r="CI85" s="93">
        <f>SUM($Z85:BB85)-SUM($CM85:DO85)</f>
        <v>-8245</v>
      </c>
      <c r="CJ85" s="93"/>
      <c r="CK85" s="93"/>
      <c r="CL85" s="93"/>
      <c r="CM85" s="93"/>
      <c r="CN85" s="93" cm="1">
        <f t="array" ref="CN85">SUMPRODUCT(TRANSPOSE(CN$4:CN$20),$G85:$W85)</f>
        <v>0</v>
      </c>
      <c r="CO85" s="93" cm="1">
        <f t="array" ref="CO85">SUMPRODUCT(TRANSPOSE(CO$4:CO$20),$G85:$W85)</f>
        <v>0</v>
      </c>
      <c r="CP85" s="93" cm="1">
        <f t="array" ref="CP85">SUMPRODUCT(TRANSPOSE(CP$4:CP$20),$G85:$W85)</f>
        <v>0</v>
      </c>
      <c r="CQ85" s="93" cm="1">
        <f t="array" ref="CQ85">SUMPRODUCT(TRANSPOSE(CQ$4:CQ$20),$G85:$W85)</f>
        <v>2730</v>
      </c>
      <c r="CR85" s="93" cm="1">
        <f t="array" ref="CR85">SUMPRODUCT(TRANSPOSE(CR$4:CR$20),$G85:$W85)</f>
        <v>2450</v>
      </c>
      <c r="CS85" s="93" cm="1">
        <f t="array" ref="CS85">SUMPRODUCT(TRANSPOSE(CS$4:CS$20),$G85:$W85)</f>
        <v>2275</v>
      </c>
      <c r="CT85" s="93" cm="1">
        <f t="array" ref="CT85">SUMPRODUCT(TRANSPOSE(CT$4:CT$20),$G85:$W85)</f>
        <v>2100</v>
      </c>
      <c r="CU85" s="93" cm="1">
        <f t="array" ref="CU85">SUMPRODUCT(TRANSPOSE(CU$4:CU$20),$G85:$W85)</f>
        <v>2100</v>
      </c>
      <c r="CV85" s="93" cm="1">
        <f t="array" ref="CV85">SUMPRODUCT(TRANSPOSE(CV$4:CV$20),$G85:$W85)</f>
        <v>2100</v>
      </c>
      <c r="CW85" s="93" cm="1">
        <f t="array" ref="CW85">SUMPRODUCT(TRANSPOSE(CW$4:CW$20),$G85:$W85)</f>
        <v>2100</v>
      </c>
      <c r="CX85" s="93" cm="1">
        <f t="array" ref="CX85">SUMPRODUCT(TRANSPOSE(CX$4:CX$20),$G85:$W85)</f>
        <v>2100</v>
      </c>
      <c r="CY85" s="93" cm="1">
        <f t="array" ref="CY85">SUMPRODUCT(TRANSPOSE(CY$4:CY$20),$G85:$W85)</f>
        <v>2100</v>
      </c>
      <c r="CZ85" s="93" cm="1">
        <f t="array" ref="CZ85">SUMPRODUCT(TRANSPOSE(CZ$4:CZ$20),$G85:$W85)</f>
        <v>2100</v>
      </c>
      <c r="DA85" s="93" cm="1">
        <f t="array" ref="DA85">SUMPRODUCT(TRANSPOSE(DA$4:DA$20),$G85:$W85)</f>
        <v>2100</v>
      </c>
      <c r="DB85" s="93" cm="1">
        <f t="array" ref="DB85">SUMPRODUCT(TRANSPOSE(DB$4:DB$20),$G85:$W85)</f>
        <v>490</v>
      </c>
      <c r="DC85" s="93" cm="1">
        <f t="array" ref="DC85">SUMPRODUCT(TRANSPOSE(DC$4:DC$20),$G85:$W85)</f>
        <v>0</v>
      </c>
      <c r="DD85" s="93" cm="1">
        <f t="array" ref="DD85">SUMPRODUCT(TRANSPOSE(DD$4:DD$20),$G85:$W85)</f>
        <v>0</v>
      </c>
      <c r="DE85" s="93" cm="1">
        <f t="array" ref="DE85">SUMPRODUCT(TRANSPOSE(DE$4:DE$20),$G85:$W85)</f>
        <v>0</v>
      </c>
      <c r="DF85" s="93" cm="1">
        <f t="array" ref="DF85">SUMPRODUCT(TRANSPOSE(DF$4:DF$20),$G85:$W85)</f>
        <v>0</v>
      </c>
      <c r="DG85" s="93" cm="1">
        <f t="array" ref="DG85">SUMPRODUCT(TRANSPOSE(DG$4:DG$20),$G85:$W85)</f>
        <v>0</v>
      </c>
      <c r="DH85" s="93" cm="1">
        <f t="array" ref="DH85">SUMPRODUCT(TRANSPOSE(DH$4:DH$20),$G85:$W85)</f>
        <v>0</v>
      </c>
      <c r="DI85" s="93" cm="1">
        <f t="array" ref="DI85">SUMPRODUCT(TRANSPOSE(DI$4:DI$20),$G85:$W85)</f>
        <v>0</v>
      </c>
      <c r="DJ85" s="93" cm="1">
        <f t="array" ref="DJ85">SUMPRODUCT(TRANSPOSE(DJ$4:DJ$20),$G85:$W85)</f>
        <v>0</v>
      </c>
      <c r="DK85" s="93" cm="1">
        <f t="array" ref="DK85">SUMPRODUCT(TRANSPOSE(DK$4:DK$20),$G85:$W85)</f>
        <v>0</v>
      </c>
      <c r="DL85" s="93" cm="1">
        <f t="array" ref="DL85">SUMPRODUCT(TRANSPOSE(DL$4:DL$20),$G85:$W85)</f>
        <v>0</v>
      </c>
      <c r="DM85" s="93" cm="1">
        <f t="array" ref="DM85">SUMPRODUCT(TRANSPOSE(DM$4:DM$20),$G85:$W85)</f>
        <v>0</v>
      </c>
      <c r="DN85" s="93" cm="1">
        <f t="array" ref="DN85">SUMPRODUCT(TRANSPOSE(DN$4:DN$20),$G85:$W85)</f>
        <v>0</v>
      </c>
      <c r="DO85" s="93" cm="1">
        <f t="array" ref="DO85">SUMPRODUCT(TRANSPOSE(DO$4:DO$20),$G85:$W85)</f>
        <v>0</v>
      </c>
    </row>
    <row r="86" spans="1:119" x14ac:dyDescent="0.2">
      <c r="A86" s="45">
        <f t="shared" si="26"/>
        <v>65</v>
      </c>
      <c r="B86" s="46" t="s">
        <v>276</v>
      </c>
      <c r="C86" s="45">
        <v>414636810</v>
      </c>
      <c r="D86" s="45" t="s">
        <v>277</v>
      </c>
      <c r="E86" s="45" t="s">
        <v>162</v>
      </c>
      <c r="F86" s="48">
        <v>1</v>
      </c>
      <c r="G86" s="100">
        <v>0</v>
      </c>
      <c r="H86" s="100">
        <v>0</v>
      </c>
      <c r="I86" s="100">
        <v>0</v>
      </c>
      <c r="J86" s="100">
        <v>0</v>
      </c>
      <c r="K86" s="100">
        <v>0</v>
      </c>
      <c r="L86" s="100">
        <v>0</v>
      </c>
      <c r="M86" s="100">
        <v>0</v>
      </c>
      <c r="N86" s="100">
        <v>0</v>
      </c>
      <c r="O86" s="100">
        <v>0</v>
      </c>
      <c r="P86" s="100">
        <v>0</v>
      </c>
      <c r="Q86" s="100">
        <v>0</v>
      </c>
      <c r="R86" s="100">
        <v>0</v>
      </c>
      <c r="S86" s="100">
        <v>0</v>
      </c>
      <c r="T86" s="100">
        <v>0</v>
      </c>
      <c r="U86" s="100">
        <v>0</v>
      </c>
      <c r="V86" s="100">
        <v>0</v>
      </c>
      <c r="W86" s="100">
        <v>180</v>
      </c>
      <c r="X86" s="45" t="s">
        <v>6</v>
      </c>
      <c r="Y86" s="49">
        <v>0</v>
      </c>
      <c r="Z86" s="45">
        <v>0</v>
      </c>
      <c r="AA86" s="45">
        <v>0</v>
      </c>
      <c r="AB86" s="45">
        <v>0</v>
      </c>
      <c r="AC86" s="45">
        <v>0</v>
      </c>
      <c r="AD86" s="45">
        <v>0</v>
      </c>
      <c r="AE86" s="45">
        <v>0</v>
      </c>
      <c r="AF86" s="45">
        <v>0</v>
      </c>
      <c r="AG86" s="45">
        <v>0</v>
      </c>
      <c r="AH86" s="45">
        <v>0</v>
      </c>
      <c r="AI86" s="45">
        <v>0</v>
      </c>
      <c r="AJ86" s="45">
        <v>0</v>
      </c>
      <c r="AK86" s="45">
        <v>0</v>
      </c>
      <c r="AL86" s="45">
        <v>0</v>
      </c>
      <c r="AM86" s="45">
        <v>0</v>
      </c>
      <c r="AN86" s="45">
        <v>0</v>
      </c>
      <c r="AO86" s="45"/>
      <c r="AP86" s="45"/>
      <c r="AQ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5"/>
      <c r="BC86" s="45"/>
      <c r="BD86" s="93"/>
      <c r="BE86" s="93"/>
      <c r="BF86" s="93"/>
      <c r="BG86" s="93"/>
      <c r="BH86" s="93"/>
      <c r="BI86" s="93"/>
      <c r="BJ86" s="93"/>
      <c r="BK86" s="93">
        <f>SUM($Z86:AD86)-SUM($CM86:CQ86)</f>
        <v>-2880</v>
      </c>
      <c r="BL86" s="93">
        <f>SUM($Z86:AE86)-SUM($CM86:CR86)</f>
        <v>-5760</v>
      </c>
      <c r="BM86" s="93">
        <f>SUM($Z86:AF86)-SUM($CM86:CS86)</f>
        <v>-8640</v>
      </c>
      <c r="BN86" s="93">
        <f>SUM($Z86:AG86)-SUM($CM86:CT86)</f>
        <v>-11520</v>
      </c>
      <c r="BO86" s="93">
        <f>SUM($Z86:AH86)-SUM($CM86:CU86)</f>
        <v>-14400</v>
      </c>
      <c r="BP86" s="93">
        <f>SUM($Z86:AI86)-SUM($CM86:CV86)</f>
        <v>-17280</v>
      </c>
      <c r="BQ86" s="93">
        <f>SUM($Z86:AJ86)-SUM($CM86:CW86)</f>
        <v>-20160</v>
      </c>
      <c r="BR86" s="93">
        <f>SUM($Z86:AK86)-SUM($CM86:CX86)</f>
        <v>-23040</v>
      </c>
      <c r="BS86" s="93">
        <f>SUM($Z86:AL86)-SUM($CM86:CY86)</f>
        <v>-23040</v>
      </c>
      <c r="BT86" s="93">
        <f>SUM($Z86:AM86)-SUM($CM86:CZ86)</f>
        <v>-23040</v>
      </c>
      <c r="BU86" s="93">
        <f>SUM($Z86:AN86)-SUM($CM86:DA86)</f>
        <v>-23040</v>
      </c>
      <c r="BV86" s="93">
        <f>SUM($Z86:AO86)-SUM($CM86:DB86)</f>
        <v>-23040</v>
      </c>
      <c r="BW86" s="93">
        <f>SUM($Z86:AP86)-SUM($CM86:DC86)</f>
        <v>-23040</v>
      </c>
      <c r="BX86" s="93">
        <f>SUM($Z86:AQ86)-SUM($CM86:DD86)</f>
        <v>-23040</v>
      </c>
      <c r="BY86" s="93">
        <f>SUM($Z86:AR86)-SUM($CM86:DE86)</f>
        <v>-23040</v>
      </c>
      <c r="BZ86" s="93">
        <f>SUM($Z86:AS86)-SUM($CM86:DF86)</f>
        <v>-23040</v>
      </c>
      <c r="CA86" s="93">
        <f>SUM($Z86:AT86)-SUM($CM86:DG86)</f>
        <v>-23040</v>
      </c>
      <c r="CB86" s="93">
        <f>SUM($Z86:AU86)-SUM($CM86:DH86)</f>
        <v>-23040</v>
      </c>
      <c r="CC86" s="93">
        <f>SUM($Z86:AV86)-SUM($CM86:DI86)</f>
        <v>-23040</v>
      </c>
      <c r="CD86" s="93">
        <f>SUM($Z86:AW86)-SUM($CM86:DJ86)</f>
        <v>-23040</v>
      </c>
      <c r="CE86" s="93">
        <f>SUM($Z86:AX86)-SUM($CM86:DK86)</f>
        <v>-23040</v>
      </c>
      <c r="CF86" s="93">
        <f>SUM($Z86:AY86)-SUM($CM86:DL86)</f>
        <v>-23040</v>
      </c>
      <c r="CG86" s="93">
        <f>SUM($Z86:AZ86)-SUM($CM86:DM86)</f>
        <v>-23040</v>
      </c>
      <c r="CH86" s="93">
        <f>SUM($Z86:BA86)-SUM($CM86:DN86)</f>
        <v>-23040</v>
      </c>
      <c r="CI86" s="93">
        <f>SUM($Z86:BB86)-SUM($CM86:DO86)</f>
        <v>-23040</v>
      </c>
      <c r="CJ86" s="93"/>
      <c r="CK86" s="93"/>
      <c r="CL86" s="93"/>
      <c r="CM86" s="93"/>
      <c r="CN86" s="93" cm="1">
        <f t="array" ref="CN86">SUMPRODUCT(TRANSPOSE(CN$4:CN$20),$G86:$W86)</f>
        <v>0</v>
      </c>
      <c r="CO86" s="93" cm="1">
        <f t="array" ref="CO86">SUMPRODUCT(TRANSPOSE(CO$4:CO$20),$G86:$W86)</f>
        <v>0</v>
      </c>
      <c r="CP86" s="93" cm="1">
        <f t="array" ref="CP86">SUMPRODUCT(TRANSPOSE(CP$4:CP$20),$G86:$W86)</f>
        <v>0</v>
      </c>
      <c r="CQ86" s="93" cm="1">
        <f t="array" ref="CQ86">SUMPRODUCT(TRANSPOSE(CQ$4:CQ$20),$G86:$W86)</f>
        <v>2880</v>
      </c>
      <c r="CR86" s="93" cm="1">
        <f t="array" ref="CR86">SUMPRODUCT(TRANSPOSE(CR$4:CR$20),$G86:$W86)</f>
        <v>2880</v>
      </c>
      <c r="CS86" s="93" cm="1">
        <f t="array" ref="CS86">SUMPRODUCT(TRANSPOSE(CS$4:CS$20),$G86:$W86)</f>
        <v>2880</v>
      </c>
      <c r="CT86" s="93" cm="1">
        <f t="array" ref="CT86">SUMPRODUCT(TRANSPOSE(CT$4:CT$20),$G86:$W86)</f>
        <v>2880</v>
      </c>
      <c r="CU86" s="93" cm="1">
        <f t="array" ref="CU86">SUMPRODUCT(TRANSPOSE(CU$4:CU$20),$G86:$W86)</f>
        <v>2880</v>
      </c>
      <c r="CV86" s="93" cm="1">
        <f t="array" ref="CV86">SUMPRODUCT(TRANSPOSE(CV$4:CV$20),$G86:$W86)</f>
        <v>2880</v>
      </c>
      <c r="CW86" s="93" cm="1">
        <f t="array" ref="CW86">SUMPRODUCT(TRANSPOSE(CW$4:CW$20),$G86:$W86)</f>
        <v>2880</v>
      </c>
      <c r="CX86" s="93" cm="1">
        <f t="array" ref="CX86">SUMPRODUCT(TRANSPOSE(CX$4:CX$20),$G86:$W86)</f>
        <v>2880</v>
      </c>
      <c r="CY86" s="93" cm="1">
        <f t="array" ref="CY86">SUMPRODUCT(TRANSPOSE(CY$4:CY$20),$G86:$W86)</f>
        <v>0</v>
      </c>
      <c r="CZ86" s="93" cm="1">
        <f t="array" ref="CZ86">SUMPRODUCT(TRANSPOSE(CZ$4:CZ$20),$G86:$W86)</f>
        <v>0</v>
      </c>
      <c r="DA86" s="93" cm="1">
        <f t="array" ref="DA86">SUMPRODUCT(TRANSPOSE(DA$4:DA$20),$G86:$W86)</f>
        <v>0</v>
      </c>
      <c r="DB86" s="93" cm="1">
        <f t="array" ref="DB86">SUMPRODUCT(TRANSPOSE(DB$4:DB$20),$G86:$W86)</f>
        <v>0</v>
      </c>
      <c r="DC86" s="93" cm="1">
        <f t="array" ref="DC86">SUMPRODUCT(TRANSPOSE(DC$4:DC$20),$G86:$W86)</f>
        <v>0</v>
      </c>
      <c r="DD86" s="93" cm="1">
        <f t="array" ref="DD86">SUMPRODUCT(TRANSPOSE(DD$4:DD$20),$G86:$W86)</f>
        <v>0</v>
      </c>
      <c r="DE86" s="93" cm="1">
        <f t="array" ref="DE86">SUMPRODUCT(TRANSPOSE(DE$4:DE$20),$G86:$W86)</f>
        <v>0</v>
      </c>
      <c r="DF86" s="93" cm="1">
        <f t="array" ref="DF86">SUMPRODUCT(TRANSPOSE(DF$4:DF$20),$G86:$W86)</f>
        <v>0</v>
      </c>
      <c r="DG86" s="93" cm="1">
        <f t="array" ref="DG86">SUMPRODUCT(TRANSPOSE(DG$4:DG$20),$G86:$W86)</f>
        <v>0</v>
      </c>
      <c r="DH86" s="93" cm="1">
        <f t="array" ref="DH86">SUMPRODUCT(TRANSPOSE(DH$4:DH$20),$G86:$W86)</f>
        <v>0</v>
      </c>
      <c r="DI86" s="93" cm="1">
        <f t="array" ref="DI86">SUMPRODUCT(TRANSPOSE(DI$4:DI$20),$G86:$W86)</f>
        <v>0</v>
      </c>
      <c r="DJ86" s="93" cm="1">
        <f t="array" ref="DJ86">SUMPRODUCT(TRANSPOSE(DJ$4:DJ$20),$G86:$W86)</f>
        <v>0</v>
      </c>
      <c r="DK86" s="93" cm="1">
        <f t="array" ref="DK86">SUMPRODUCT(TRANSPOSE(DK$4:DK$20),$G86:$W86)</f>
        <v>0</v>
      </c>
      <c r="DL86" s="93" cm="1">
        <f t="array" ref="DL86">SUMPRODUCT(TRANSPOSE(DL$4:DL$20),$G86:$W86)</f>
        <v>0</v>
      </c>
      <c r="DM86" s="93" cm="1">
        <f t="array" ref="DM86">SUMPRODUCT(TRANSPOSE(DM$4:DM$20),$G86:$W86)</f>
        <v>0</v>
      </c>
      <c r="DN86" s="93" cm="1">
        <f t="array" ref="DN86">SUMPRODUCT(TRANSPOSE(DN$4:DN$20),$G86:$W86)</f>
        <v>0</v>
      </c>
      <c r="DO86" s="93" cm="1">
        <f t="array" ref="DO86">SUMPRODUCT(TRANSPOSE(DO$4:DO$20),$G86:$W86)</f>
        <v>0</v>
      </c>
    </row>
    <row r="87" spans="1:119" x14ac:dyDescent="0.2">
      <c r="A87" s="45">
        <f t="shared" ref="A87:A150" si="27">A86+1</f>
        <v>66</v>
      </c>
      <c r="B87" s="46" t="s">
        <v>278</v>
      </c>
      <c r="C87" s="45">
        <v>408545637</v>
      </c>
      <c r="D87" s="45" t="s">
        <v>279</v>
      </c>
      <c r="E87" s="45" t="s">
        <v>162</v>
      </c>
      <c r="F87" s="48">
        <v>1</v>
      </c>
      <c r="G87" s="100">
        <v>0</v>
      </c>
      <c r="H87" s="100">
        <v>0</v>
      </c>
      <c r="I87" s="100">
        <v>0</v>
      </c>
      <c r="J87" s="100">
        <v>0</v>
      </c>
      <c r="K87" s="100">
        <v>0</v>
      </c>
      <c r="L87" s="100">
        <v>0</v>
      </c>
      <c r="M87" s="100">
        <v>0</v>
      </c>
      <c r="N87" s="100">
        <v>0</v>
      </c>
      <c r="O87" s="100">
        <v>0</v>
      </c>
      <c r="P87" s="100">
        <v>0</v>
      </c>
      <c r="Q87" s="100">
        <v>0</v>
      </c>
      <c r="R87" s="100">
        <v>0</v>
      </c>
      <c r="S87" s="100">
        <v>0</v>
      </c>
      <c r="T87" s="100">
        <v>0</v>
      </c>
      <c r="U87" s="100">
        <v>0</v>
      </c>
      <c r="V87" s="100">
        <v>0</v>
      </c>
      <c r="W87" s="100">
        <v>180</v>
      </c>
      <c r="X87" s="45" t="s">
        <v>6</v>
      </c>
      <c r="Y87" s="49">
        <v>0</v>
      </c>
      <c r="Z87" s="45">
        <v>0</v>
      </c>
      <c r="AA87" s="45">
        <v>0</v>
      </c>
      <c r="AB87" s="45">
        <v>0</v>
      </c>
      <c r="AC87" s="45">
        <v>0</v>
      </c>
      <c r="AD87" s="45">
        <v>0</v>
      </c>
      <c r="AE87" s="45">
        <v>0</v>
      </c>
      <c r="AF87" s="45">
        <v>0</v>
      </c>
      <c r="AG87" s="45">
        <v>0</v>
      </c>
      <c r="AH87" s="45">
        <v>0</v>
      </c>
      <c r="AI87" s="45">
        <v>0</v>
      </c>
      <c r="AJ87" s="45">
        <v>0</v>
      </c>
      <c r="AK87" s="45">
        <v>0</v>
      </c>
      <c r="AL87" s="45">
        <v>0</v>
      </c>
      <c r="AM87" s="45">
        <v>0</v>
      </c>
      <c r="AN87" s="45">
        <v>0</v>
      </c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93"/>
      <c r="BE87" s="93"/>
      <c r="BF87" s="93"/>
      <c r="BG87" s="93"/>
      <c r="BH87" s="93"/>
      <c r="BI87" s="93"/>
      <c r="BJ87" s="93"/>
      <c r="BK87" s="93">
        <f>SUM($Z87:AD87)-SUM($CM87:CQ87)</f>
        <v>-2880</v>
      </c>
      <c r="BL87" s="93">
        <f>SUM($Z87:AE87)-SUM($CM87:CR87)</f>
        <v>-5760</v>
      </c>
      <c r="BM87" s="93">
        <f>SUM($Z87:AF87)-SUM($CM87:CS87)</f>
        <v>-8640</v>
      </c>
      <c r="BN87" s="93">
        <f>SUM($Z87:AG87)-SUM($CM87:CT87)</f>
        <v>-11520</v>
      </c>
      <c r="BO87" s="93">
        <f>SUM($Z87:AH87)-SUM($CM87:CU87)</f>
        <v>-14400</v>
      </c>
      <c r="BP87" s="93">
        <f>SUM($Z87:AI87)-SUM($CM87:CV87)</f>
        <v>-17280</v>
      </c>
      <c r="BQ87" s="93">
        <f>SUM($Z87:AJ87)-SUM($CM87:CW87)</f>
        <v>-20160</v>
      </c>
      <c r="BR87" s="93">
        <f>SUM($Z87:AK87)-SUM($CM87:CX87)</f>
        <v>-23040</v>
      </c>
      <c r="BS87" s="93">
        <f>SUM($Z87:AL87)-SUM($CM87:CY87)</f>
        <v>-23040</v>
      </c>
      <c r="BT87" s="93">
        <f>SUM($Z87:AM87)-SUM($CM87:CZ87)</f>
        <v>-23040</v>
      </c>
      <c r="BU87" s="93">
        <f>SUM($Z87:AN87)-SUM($CM87:DA87)</f>
        <v>-23040</v>
      </c>
      <c r="BV87" s="93">
        <f>SUM($Z87:AO87)-SUM($CM87:DB87)</f>
        <v>-23040</v>
      </c>
      <c r="BW87" s="93">
        <f>SUM($Z87:AP87)-SUM($CM87:DC87)</f>
        <v>-23040</v>
      </c>
      <c r="BX87" s="93">
        <f>SUM($Z87:AQ87)-SUM($CM87:DD87)</f>
        <v>-23040</v>
      </c>
      <c r="BY87" s="93">
        <f>SUM($Z87:AR87)-SUM($CM87:DE87)</f>
        <v>-23040</v>
      </c>
      <c r="BZ87" s="93">
        <f>SUM($Z87:AS87)-SUM($CM87:DF87)</f>
        <v>-23040</v>
      </c>
      <c r="CA87" s="93">
        <f>SUM($Z87:AT87)-SUM($CM87:DG87)</f>
        <v>-23040</v>
      </c>
      <c r="CB87" s="93">
        <f>SUM($Z87:AU87)-SUM($CM87:DH87)</f>
        <v>-23040</v>
      </c>
      <c r="CC87" s="93">
        <f>SUM($Z87:AV87)-SUM($CM87:DI87)</f>
        <v>-23040</v>
      </c>
      <c r="CD87" s="93">
        <f>SUM($Z87:AW87)-SUM($CM87:DJ87)</f>
        <v>-23040</v>
      </c>
      <c r="CE87" s="93">
        <f>SUM($Z87:AX87)-SUM($CM87:DK87)</f>
        <v>-23040</v>
      </c>
      <c r="CF87" s="93">
        <f>SUM($Z87:AY87)-SUM($CM87:DL87)</f>
        <v>-23040</v>
      </c>
      <c r="CG87" s="93">
        <f>SUM($Z87:AZ87)-SUM($CM87:DM87)</f>
        <v>-23040</v>
      </c>
      <c r="CH87" s="93">
        <f>SUM($Z87:BA87)-SUM($CM87:DN87)</f>
        <v>-23040</v>
      </c>
      <c r="CI87" s="93">
        <f>SUM($Z87:BB87)-SUM($CM87:DO87)</f>
        <v>-23040</v>
      </c>
      <c r="CJ87" s="93"/>
      <c r="CK87" s="93"/>
      <c r="CL87" s="93"/>
      <c r="CM87" s="93"/>
      <c r="CN87" s="93" cm="1">
        <f t="array" ref="CN87">SUMPRODUCT(TRANSPOSE(CN$4:CN$20),$G87:$W87)</f>
        <v>0</v>
      </c>
      <c r="CO87" s="93" cm="1">
        <f t="array" ref="CO87">SUMPRODUCT(TRANSPOSE(CO$4:CO$20),$G87:$W87)</f>
        <v>0</v>
      </c>
      <c r="CP87" s="93" cm="1">
        <f t="array" ref="CP87">SUMPRODUCT(TRANSPOSE(CP$4:CP$20),$G87:$W87)</f>
        <v>0</v>
      </c>
      <c r="CQ87" s="93" cm="1">
        <f t="array" ref="CQ87">SUMPRODUCT(TRANSPOSE(CQ$4:CQ$20),$G87:$W87)</f>
        <v>2880</v>
      </c>
      <c r="CR87" s="93" cm="1">
        <f t="array" ref="CR87">SUMPRODUCT(TRANSPOSE(CR$4:CR$20),$G87:$W87)</f>
        <v>2880</v>
      </c>
      <c r="CS87" s="93" cm="1">
        <f t="array" ref="CS87">SUMPRODUCT(TRANSPOSE(CS$4:CS$20),$G87:$W87)</f>
        <v>2880</v>
      </c>
      <c r="CT87" s="93" cm="1">
        <f t="array" ref="CT87">SUMPRODUCT(TRANSPOSE(CT$4:CT$20),$G87:$W87)</f>
        <v>2880</v>
      </c>
      <c r="CU87" s="93" cm="1">
        <f t="array" ref="CU87">SUMPRODUCT(TRANSPOSE(CU$4:CU$20),$G87:$W87)</f>
        <v>2880</v>
      </c>
      <c r="CV87" s="93" cm="1">
        <f t="array" ref="CV87">SUMPRODUCT(TRANSPOSE(CV$4:CV$20),$G87:$W87)</f>
        <v>2880</v>
      </c>
      <c r="CW87" s="93" cm="1">
        <f t="array" ref="CW87">SUMPRODUCT(TRANSPOSE(CW$4:CW$20),$G87:$W87)</f>
        <v>2880</v>
      </c>
      <c r="CX87" s="93" cm="1">
        <f t="array" ref="CX87">SUMPRODUCT(TRANSPOSE(CX$4:CX$20),$G87:$W87)</f>
        <v>2880</v>
      </c>
      <c r="CY87" s="93" cm="1">
        <f t="array" ref="CY87">SUMPRODUCT(TRANSPOSE(CY$4:CY$20),$G87:$W87)</f>
        <v>0</v>
      </c>
      <c r="CZ87" s="93" cm="1">
        <f t="array" ref="CZ87">SUMPRODUCT(TRANSPOSE(CZ$4:CZ$20),$G87:$W87)</f>
        <v>0</v>
      </c>
      <c r="DA87" s="93" cm="1">
        <f t="array" ref="DA87">SUMPRODUCT(TRANSPOSE(DA$4:DA$20),$G87:$W87)</f>
        <v>0</v>
      </c>
      <c r="DB87" s="93" cm="1">
        <f t="array" ref="DB87">SUMPRODUCT(TRANSPOSE(DB$4:DB$20),$G87:$W87)</f>
        <v>0</v>
      </c>
      <c r="DC87" s="93" cm="1">
        <f t="array" ref="DC87">SUMPRODUCT(TRANSPOSE(DC$4:DC$20),$G87:$W87)</f>
        <v>0</v>
      </c>
      <c r="DD87" s="93" cm="1">
        <f t="array" ref="DD87">SUMPRODUCT(TRANSPOSE(DD$4:DD$20),$G87:$W87)</f>
        <v>0</v>
      </c>
      <c r="DE87" s="93" cm="1">
        <f t="array" ref="DE87">SUMPRODUCT(TRANSPOSE(DE$4:DE$20),$G87:$W87)</f>
        <v>0</v>
      </c>
      <c r="DF87" s="93" cm="1">
        <f t="array" ref="DF87">SUMPRODUCT(TRANSPOSE(DF$4:DF$20),$G87:$W87)</f>
        <v>0</v>
      </c>
      <c r="DG87" s="93" cm="1">
        <f t="array" ref="DG87">SUMPRODUCT(TRANSPOSE(DG$4:DG$20),$G87:$W87)</f>
        <v>0</v>
      </c>
      <c r="DH87" s="93" cm="1">
        <f t="array" ref="DH87">SUMPRODUCT(TRANSPOSE(DH$4:DH$20),$G87:$W87)</f>
        <v>0</v>
      </c>
      <c r="DI87" s="93" cm="1">
        <f t="array" ref="DI87">SUMPRODUCT(TRANSPOSE(DI$4:DI$20),$G87:$W87)</f>
        <v>0</v>
      </c>
      <c r="DJ87" s="93" cm="1">
        <f t="array" ref="DJ87">SUMPRODUCT(TRANSPOSE(DJ$4:DJ$20),$G87:$W87)</f>
        <v>0</v>
      </c>
      <c r="DK87" s="93" cm="1">
        <f t="array" ref="DK87">SUMPRODUCT(TRANSPOSE(DK$4:DK$20),$G87:$W87)</f>
        <v>0</v>
      </c>
      <c r="DL87" s="93" cm="1">
        <f t="array" ref="DL87">SUMPRODUCT(TRANSPOSE(DL$4:DL$20),$G87:$W87)</f>
        <v>0</v>
      </c>
      <c r="DM87" s="93" cm="1">
        <f t="array" ref="DM87">SUMPRODUCT(TRANSPOSE(DM$4:DM$20),$G87:$W87)</f>
        <v>0</v>
      </c>
      <c r="DN87" s="93" cm="1">
        <f t="array" ref="DN87">SUMPRODUCT(TRANSPOSE(DN$4:DN$20),$G87:$W87)</f>
        <v>0</v>
      </c>
      <c r="DO87" s="93" cm="1">
        <f t="array" ref="DO87">SUMPRODUCT(TRANSPOSE(DO$4:DO$20),$G87:$W87)</f>
        <v>0</v>
      </c>
    </row>
    <row r="88" spans="1:119" x14ac:dyDescent="0.2">
      <c r="A88" s="45">
        <f t="shared" si="27"/>
        <v>67</v>
      </c>
      <c r="B88" s="46" t="s">
        <v>280</v>
      </c>
      <c r="C88" s="45">
        <v>414531927</v>
      </c>
      <c r="D88" s="45" t="s">
        <v>281</v>
      </c>
      <c r="E88" s="45" t="s">
        <v>162</v>
      </c>
      <c r="F88" s="48">
        <v>1</v>
      </c>
      <c r="G88" s="100">
        <v>0</v>
      </c>
      <c r="H88" s="100">
        <v>0</v>
      </c>
      <c r="I88" s="100">
        <v>0</v>
      </c>
      <c r="J88" s="100">
        <v>0</v>
      </c>
      <c r="K88" s="100">
        <v>0</v>
      </c>
      <c r="L88" s="100">
        <v>0</v>
      </c>
      <c r="M88" s="100">
        <v>0</v>
      </c>
      <c r="N88" s="100">
        <v>0</v>
      </c>
      <c r="O88" s="100">
        <v>0</v>
      </c>
      <c r="P88" s="100">
        <v>0</v>
      </c>
      <c r="Q88" s="100">
        <v>0</v>
      </c>
      <c r="R88" s="100">
        <v>0</v>
      </c>
      <c r="S88" s="100">
        <v>0</v>
      </c>
      <c r="T88" s="100">
        <v>0</v>
      </c>
      <c r="U88" s="100">
        <v>0</v>
      </c>
      <c r="V88" s="100">
        <v>0</v>
      </c>
      <c r="W88" s="100">
        <v>8</v>
      </c>
      <c r="X88" s="45" t="s">
        <v>34</v>
      </c>
      <c r="Y88" s="49">
        <v>55.87</v>
      </c>
      <c r="Z88" s="45">
        <v>1848</v>
      </c>
      <c r="AA88" s="45">
        <v>0</v>
      </c>
      <c r="AB88" s="45">
        <v>0</v>
      </c>
      <c r="AC88" s="45">
        <v>0</v>
      </c>
      <c r="AD88" s="45">
        <v>0</v>
      </c>
      <c r="AE88" s="45">
        <v>0</v>
      </c>
      <c r="AF88" s="45">
        <v>0</v>
      </c>
      <c r="AG88" s="45">
        <v>0</v>
      </c>
      <c r="AH88" s="45">
        <v>0</v>
      </c>
      <c r="AI88" s="45">
        <v>0</v>
      </c>
      <c r="AJ88" s="45">
        <v>0</v>
      </c>
      <c r="AK88" s="45">
        <v>0</v>
      </c>
      <c r="AL88" s="45">
        <v>0</v>
      </c>
      <c r="AM88" s="45">
        <v>0</v>
      </c>
      <c r="AN88" s="45">
        <v>0</v>
      </c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93"/>
      <c r="BE88" s="93"/>
      <c r="BF88" s="93"/>
      <c r="BG88" s="93"/>
      <c r="BH88" s="93"/>
      <c r="BI88" s="93"/>
      <c r="BJ88" s="93"/>
      <c r="BK88" s="93">
        <f>SUM($Z88:AD88)-SUM($CM88:CQ88)</f>
        <v>1720</v>
      </c>
      <c r="BL88" s="93">
        <f>SUM($Z88:AE88)-SUM($CM88:CR88)</f>
        <v>1592</v>
      </c>
      <c r="BM88" s="93">
        <f>SUM($Z88:AF88)-SUM($CM88:CS88)</f>
        <v>1464</v>
      </c>
      <c r="BN88" s="93">
        <f>SUM($Z88:AG88)-SUM($CM88:CT88)</f>
        <v>1336</v>
      </c>
      <c r="BO88" s="93">
        <f>SUM($Z88:AH88)-SUM($CM88:CU88)</f>
        <v>1208</v>
      </c>
      <c r="BP88" s="93">
        <f>SUM($Z88:AI88)-SUM($CM88:CV88)</f>
        <v>1080</v>
      </c>
      <c r="BQ88" s="93">
        <f>SUM($Z88:AJ88)-SUM($CM88:CW88)</f>
        <v>952</v>
      </c>
      <c r="BR88" s="93">
        <f>SUM($Z88:AK88)-SUM($CM88:CX88)</f>
        <v>824</v>
      </c>
      <c r="BS88" s="93">
        <f>SUM($Z88:AL88)-SUM($CM88:CY88)</f>
        <v>824</v>
      </c>
      <c r="BT88" s="93">
        <f>SUM($Z88:AM88)-SUM($CM88:CZ88)</f>
        <v>824</v>
      </c>
      <c r="BU88" s="93">
        <f>SUM($Z88:AN88)-SUM($CM88:DA88)</f>
        <v>824</v>
      </c>
      <c r="BV88" s="93">
        <f>SUM($Z88:AO88)-SUM($CM88:DB88)</f>
        <v>824</v>
      </c>
      <c r="BW88" s="93">
        <f>SUM($Z88:AP88)-SUM($CM88:DC88)</f>
        <v>824</v>
      </c>
      <c r="BX88" s="93">
        <f>SUM($Z88:AQ88)-SUM($CM88:DD88)</f>
        <v>824</v>
      </c>
      <c r="BY88" s="93">
        <f>SUM($Z88:AR88)-SUM($CM88:DE88)</f>
        <v>824</v>
      </c>
      <c r="BZ88" s="93">
        <f>SUM($Z88:AS88)-SUM($CM88:DF88)</f>
        <v>824</v>
      </c>
      <c r="CA88" s="93">
        <f>SUM($Z88:AT88)-SUM($CM88:DG88)</f>
        <v>824</v>
      </c>
      <c r="CB88" s="93">
        <f>SUM($Z88:AU88)-SUM($CM88:DH88)</f>
        <v>824</v>
      </c>
      <c r="CC88" s="93">
        <f>SUM($Z88:AV88)-SUM($CM88:DI88)</f>
        <v>824</v>
      </c>
      <c r="CD88" s="93">
        <f>SUM($Z88:AW88)-SUM($CM88:DJ88)</f>
        <v>824</v>
      </c>
      <c r="CE88" s="93">
        <f>SUM($Z88:AX88)-SUM($CM88:DK88)</f>
        <v>824</v>
      </c>
      <c r="CF88" s="93">
        <f>SUM($Z88:AY88)-SUM($CM88:DL88)</f>
        <v>824</v>
      </c>
      <c r="CG88" s="93">
        <f>SUM($Z88:AZ88)-SUM($CM88:DM88)</f>
        <v>824</v>
      </c>
      <c r="CH88" s="93">
        <f>SUM($Z88:BA88)-SUM($CM88:DN88)</f>
        <v>824</v>
      </c>
      <c r="CI88" s="93">
        <f>SUM($Z88:BB88)-SUM($CM88:DO88)</f>
        <v>824</v>
      </c>
      <c r="CJ88" s="93"/>
      <c r="CK88" s="93"/>
      <c r="CL88" s="93"/>
      <c r="CM88" s="93"/>
      <c r="CN88" s="93" cm="1">
        <f t="array" ref="CN88">SUMPRODUCT(TRANSPOSE(CN$4:CN$20),$G88:$W88)</f>
        <v>0</v>
      </c>
      <c r="CO88" s="93" cm="1">
        <f t="array" ref="CO88">SUMPRODUCT(TRANSPOSE(CO$4:CO$20),$G88:$W88)</f>
        <v>0</v>
      </c>
      <c r="CP88" s="93" cm="1">
        <f t="array" ref="CP88">SUMPRODUCT(TRANSPOSE(CP$4:CP$20),$G88:$W88)</f>
        <v>0</v>
      </c>
      <c r="CQ88" s="93" cm="1">
        <f t="array" ref="CQ88">SUMPRODUCT(TRANSPOSE(CQ$4:CQ$20),$G88:$W88)</f>
        <v>128</v>
      </c>
      <c r="CR88" s="93" cm="1">
        <f t="array" ref="CR88">SUMPRODUCT(TRANSPOSE(CR$4:CR$20),$G88:$W88)</f>
        <v>128</v>
      </c>
      <c r="CS88" s="93" cm="1">
        <f t="array" ref="CS88">SUMPRODUCT(TRANSPOSE(CS$4:CS$20),$G88:$W88)</f>
        <v>128</v>
      </c>
      <c r="CT88" s="93" cm="1">
        <f t="array" ref="CT88">SUMPRODUCT(TRANSPOSE(CT$4:CT$20),$G88:$W88)</f>
        <v>128</v>
      </c>
      <c r="CU88" s="93" cm="1">
        <f t="array" ref="CU88">SUMPRODUCT(TRANSPOSE(CU$4:CU$20),$G88:$W88)</f>
        <v>128</v>
      </c>
      <c r="CV88" s="93" cm="1">
        <f t="array" ref="CV88">SUMPRODUCT(TRANSPOSE(CV$4:CV$20),$G88:$W88)</f>
        <v>128</v>
      </c>
      <c r="CW88" s="93" cm="1">
        <f t="array" ref="CW88">SUMPRODUCT(TRANSPOSE(CW$4:CW$20),$G88:$W88)</f>
        <v>128</v>
      </c>
      <c r="CX88" s="93" cm="1">
        <f t="array" ref="CX88">SUMPRODUCT(TRANSPOSE(CX$4:CX$20),$G88:$W88)</f>
        <v>128</v>
      </c>
      <c r="CY88" s="93" cm="1">
        <f t="array" ref="CY88">SUMPRODUCT(TRANSPOSE(CY$4:CY$20),$G88:$W88)</f>
        <v>0</v>
      </c>
      <c r="CZ88" s="93" cm="1">
        <f t="array" ref="CZ88">SUMPRODUCT(TRANSPOSE(CZ$4:CZ$20),$G88:$W88)</f>
        <v>0</v>
      </c>
      <c r="DA88" s="93" cm="1">
        <f t="array" ref="DA88">SUMPRODUCT(TRANSPOSE(DA$4:DA$20),$G88:$W88)</f>
        <v>0</v>
      </c>
      <c r="DB88" s="93" cm="1">
        <f t="array" ref="DB88">SUMPRODUCT(TRANSPOSE(DB$4:DB$20),$G88:$W88)</f>
        <v>0</v>
      </c>
      <c r="DC88" s="93" cm="1">
        <f t="array" ref="DC88">SUMPRODUCT(TRANSPOSE(DC$4:DC$20),$G88:$W88)</f>
        <v>0</v>
      </c>
      <c r="DD88" s="93" cm="1">
        <f t="array" ref="DD88">SUMPRODUCT(TRANSPOSE(DD$4:DD$20),$G88:$W88)</f>
        <v>0</v>
      </c>
      <c r="DE88" s="93" cm="1">
        <f t="array" ref="DE88">SUMPRODUCT(TRANSPOSE(DE$4:DE$20),$G88:$W88)</f>
        <v>0</v>
      </c>
      <c r="DF88" s="93" cm="1">
        <f t="array" ref="DF88">SUMPRODUCT(TRANSPOSE(DF$4:DF$20),$G88:$W88)</f>
        <v>0</v>
      </c>
      <c r="DG88" s="93" cm="1">
        <f t="array" ref="DG88">SUMPRODUCT(TRANSPOSE(DG$4:DG$20),$G88:$W88)</f>
        <v>0</v>
      </c>
      <c r="DH88" s="93" cm="1">
        <f t="array" ref="DH88">SUMPRODUCT(TRANSPOSE(DH$4:DH$20),$G88:$W88)</f>
        <v>0</v>
      </c>
      <c r="DI88" s="93" cm="1">
        <f t="array" ref="DI88">SUMPRODUCT(TRANSPOSE(DI$4:DI$20),$G88:$W88)</f>
        <v>0</v>
      </c>
      <c r="DJ88" s="93" cm="1">
        <f t="array" ref="DJ88">SUMPRODUCT(TRANSPOSE(DJ$4:DJ$20),$G88:$W88)</f>
        <v>0</v>
      </c>
      <c r="DK88" s="93" cm="1">
        <f t="array" ref="DK88">SUMPRODUCT(TRANSPOSE(DK$4:DK$20),$G88:$W88)</f>
        <v>0</v>
      </c>
      <c r="DL88" s="93" cm="1">
        <f t="array" ref="DL88">SUMPRODUCT(TRANSPOSE(DL$4:DL$20),$G88:$W88)</f>
        <v>0</v>
      </c>
      <c r="DM88" s="93" cm="1">
        <f t="array" ref="DM88">SUMPRODUCT(TRANSPOSE(DM$4:DM$20),$G88:$W88)</f>
        <v>0</v>
      </c>
      <c r="DN88" s="93" cm="1">
        <f t="array" ref="DN88">SUMPRODUCT(TRANSPOSE(DN$4:DN$20),$G88:$W88)</f>
        <v>0</v>
      </c>
      <c r="DO88" s="93" cm="1">
        <f t="array" ref="DO88">SUMPRODUCT(TRANSPOSE(DO$4:DO$20),$G88:$W88)</f>
        <v>0</v>
      </c>
    </row>
    <row r="89" spans="1:119" x14ac:dyDescent="0.2">
      <c r="A89" s="45">
        <f t="shared" si="27"/>
        <v>68</v>
      </c>
      <c r="B89" s="46" t="s">
        <v>282</v>
      </c>
      <c r="C89" s="45">
        <v>414531928</v>
      </c>
      <c r="D89" s="45" t="s">
        <v>283</v>
      </c>
      <c r="E89" s="45" t="s">
        <v>162</v>
      </c>
      <c r="F89" s="48">
        <v>1</v>
      </c>
      <c r="G89" s="100">
        <v>0</v>
      </c>
      <c r="H89" s="100">
        <v>0</v>
      </c>
      <c r="I89" s="100">
        <v>0</v>
      </c>
      <c r="J89" s="100">
        <v>0</v>
      </c>
      <c r="K89" s="100">
        <v>0</v>
      </c>
      <c r="L89" s="100">
        <v>0</v>
      </c>
      <c r="M89" s="100">
        <v>0</v>
      </c>
      <c r="N89" s="100">
        <v>0</v>
      </c>
      <c r="O89" s="100">
        <v>0</v>
      </c>
      <c r="P89" s="100">
        <v>0</v>
      </c>
      <c r="Q89" s="100">
        <v>0</v>
      </c>
      <c r="R89" s="100">
        <v>0</v>
      </c>
      <c r="S89" s="100">
        <v>0</v>
      </c>
      <c r="T89" s="100">
        <v>0</v>
      </c>
      <c r="U89" s="100">
        <v>0</v>
      </c>
      <c r="V89" s="100">
        <v>0</v>
      </c>
      <c r="W89" s="100">
        <v>8</v>
      </c>
      <c r="X89" s="45" t="s">
        <v>34</v>
      </c>
      <c r="Y89" s="49">
        <v>55.87</v>
      </c>
      <c r="Z89" s="45">
        <v>1848</v>
      </c>
      <c r="AA89" s="45">
        <v>0</v>
      </c>
      <c r="AB89" s="45">
        <v>0</v>
      </c>
      <c r="AC89" s="45">
        <v>0</v>
      </c>
      <c r="AD89" s="45">
        <v>0</v>
      </c>
      <c r="AE89" s="45">
        <v>0</v>
      </c>
      <c r="AF89" s="45">
        <v>0</v>
      </c>
      <c r="AG89" s="45">
        <v>0</v>
      </c>
      <c r="AH89" s="45">
        <v>0</v>
      </c>
      <c r="AI89" s="45">
        <v>0</v>
      </c>
      <c r="AJ89" s="45">
        <v>0</v>
      </c>
      <c r="AK89" s="45">
        <v>0</v>
      </c>
      <c r="AL89" s="45">
        <v>0</v>
      </c>
      <c r="AM89" s="45">
        <v>0</v>
      </c>
      <c r="AN89" s="45">
        <v>0</v>
      </c>
      <c r="AO89" s="45"/>
      <c r="AP89" s="45"/>
      <c r="AQ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5"/>
      <c r="BC89" s="45"/>
      <c r="BD89" s="93"/>
      <c r="BE89" s="93"/>
      <c r="BF89" s="93"/>
      <c r="BG89" s="93"/>
      <c r="BH89" s="93"/>
      <c r="BI89" s="93"/>
      <c r="BJ89" s="93"/>
      <c r="BK89" s="93">
        <f>SUM($Z89:AD89)-SUM($CM89:CQ89)</f>
        <v>1720</v>
      </c>
      <c r="BL89" s="93">
        <f>SUM($Z89:AE89)-SUM($CM89:CR89)</f>
        <v>1592</v>
      </c>
      <c r="BM89" s="93">
        <f>SUM($Z89:AF89)-SUM($CM89:CS89)</f>
        <v>1464</v>
      </c>
      <c r="BN89" s="93">
        <f>SUM($Z89:AG89)-SUM($CM89:CT89)</f>
        <v>1336</v>
      </c>
      <c r="BO89" s="93">
        <f>SUM($Z89:AH89)-SUM($CM89:CU89)</f>
        <v>1208</v>
      </c>
      <c r="BP89" s="93">
        <f>SUM($Z89:AI89)-SUM($CM89:CV89)</f>
        <v>1080</v>
      </c>
      <c r="BQ89" s="93">
        <f>SUM($Z89:AJ89)-SUM($CM89:CW89)</f>
        <v>952</v>
      </c>
      <c r="BR89" s="93">
        <f>SUM($Z89:AK89)-SUM($CM89:CX89)</f>
        <v>824</v>
      </c>
      <c r="BS89" s="93">
        <f>SUM($Z89:AL89)-SUM($CM89:CY89)</f>
        <v>824</v>
      </c>
      <c r="BT89" s="93">
        <f>SUM($Z89:AM89)-SUM($CM89:CZ89)</f>
        <v>824</v>
      </c>
      <c r="BU89" s="93">
        <f>SUM($Z89:AN89)-SUM($CM89:DA89)</f>
        <v>824</v>
      </c>
      <c r="BV89" s="93">
        <f>SUM($Z89:AO89)-SUM($CM89:DB89)</f>
        <v>824</v>
      </c>
      <c r="BW89" s="93">
        <f>SUM($Z89:AP89)-SUM($CM89:DC89)</f>
        <v>824</v>
      </c>
      <c r="BX89" s="93">
        <f>SUM($Z89:AQ89)-SUM($CM89:DD89)</f>
        <v>824</v>
      </c>
      <c r="BY89" s="93">
        <f>SUM($Z89:AR89)-SUM($CM89:DE89)</f>
        <v>824</v>
      </c>
      <c r="BZ89" s="93">
        <f>SUM($Z89:AS89)-SUM($CM89:DF89)</f>
        <v>824</v>
      </c>
      <c r="CA89" s="93">
        <f>SUM($Z89:AT89)-SUM($CM89:DG89)</f>
        <v>824</v>
      </c>
      <c r="CB89" s="93">
        <f>SUM($Z89:AU89)-SUM($CM89:DH89)</f>
        <v>824</v>
      </c>
      <c r="CC89" s="93">
        <f>SUM($Z89:AV89)-SUM($CM89:DI89)</f>
        <v>824</v>
      </c>
      <c r="CD89" s="93">
        <f>SUM($Z89:AW89)-SUM($CM89:DJ89)</f>
        <v>824</v>
      </c>
      <c r="CE89" s="93">
        <f>SUM($Z89:AX89)-SUM($CM89:DK89)</f>
        <v>824</v>
      </c>
      <c r="CF89" s="93">
        <f>SUM($Z89:AY89)-SUM($CM89:DL89)</f>
        <v>824</v>
      </c>
      <c r="CG89" s="93">
        <f>SUM($Z89:AZ89)-SUM($CM89:DM89)</f>
        <v>824</v>
      </c>
      <c r="CH89" s="93">
        <f>SUM($Z89:BA89)-SUM($CM89:DN89)</f>
        <v>824</v>
      </c>
      <c r="CI89" s="93">
        <f>SUM($Z89:BB89)-SUM($CM89:DO89)</f>
        <v>824</v>
      </c>
      <c r="CJ89" s="93"/>
      <c r="CK89" s="93"/>
      <c r="CL89" s="93"/>
      <c r="CM89" s="93"/>
      <c r="CN89" s="93" cm="1">
        <f t="array" ref="CN89">SUMPRODUCT(TRANSPOSE(CN$4:CN$20),$G89:$W89)</f>
        <v>0</v>
      </c>
      <c r="CO89" s="93" cm="1">
        <f t="array" ref="CO89">SUMPRODUCT(TRANSPOSE(CO$4:CO$20),$G89:$W89)</f>
        <v>0</v>
      </c>
      <c r="CP89" s="93" cm="1">
        <f t="array" ref="CP89">SUMPRODUCT(TRANSPOSE(CP$4:CP$20),$G89:$W89)</f>
        <v>0</v>
      </c>
      <c r="CQ89" s="93" cm="1">
        <f t="array" ref="CQ89">SUMPRODUCT(TRANSPOSE(CQ$4:CQ$20),$G89:$W89)</f>
        <v>128</v>
      </c>
      <c r="CR89" s="93" cm="1">
        <f t="array" ref="CR89">SUMPRODUCT(TRANSPOSE(CR$4:CR$20),$G89:$W89)</f>
        <v>128</v>
      </c>
      <c r="CS89" s="93" cm="1">
        <f t="array" ref="CS89">SUMPRODUCT(TRANSPOSE(CS$4:CS$20),$G89:$W89)</f>
        <v>128</v>
      </c>
      <c r="CT89" s="93" cm="1">
        <f t="array" ref="CT89">SUMPRODUCT(TRANSPOSE(CT$4:CT$20),$G89:$W89)</f>
        <v>128</v>
      </c>
      <c r="CU89" s="93" cm="1">
        <f t="array" ref="CU89">SUMPRODUCT(TRANSPOSE(CU$4:CU$20),$G89:$W89)</f>
        <v>128</v>
      </c>
      <c r="CV89" s="93" cm="1">
        <f t="array" ref="CV89">SUMPRODUCT(TRANSPOSE(CV$4:CV$20),$G89:$W89)</f>
        <v>128</v>
      </c>
      <c r="CW89" s="93" cm="1">
        <f t="array" ref="CW89">SUMPRODUCT(TRANSPOSE(CW$4:CW$20),$G89:$W89)</f>
        <v>128</v>
      </c>
      <c r="CX89" s="93" cm="1">
        <f t="array" ref="CX89">SUMPRODUCT(TRANSPOSE(CX$4:CX$20),$G89:$W89)</f>
        <v>128</v>
      </c>
      <c r="CY89" s="93" cm="1">
        <f t="array" ref="CY89">SUMPRODUCT(TRANSPOSE(CY$4:CY$20),$G89:$W89)</f>
        <v>0</v>
      </c>
      <c r="CZ89" s="93" cm="1">
        <f t="array" ref="CZ89">SUMPRODUCT(TRANSPOSE(CZ$4:CZ$20),$G89:$W89)</f>
        <v>0</v>
      </c>
      <c r="DA89" s="93" cm="1">
        <f t="array" ref="DA89">SUMPRODUCT(TRANSPOSE(DA$4:DA$20),$G89:$W89)</f>
        <v>0</v>
      </c>
      <c r="DB89" s="93" cm="1">
        <f t="array" ref="DB89">SUMPRODUCT(TRANSPOSE(DB$4:DB$20),$G89:$W89)</f>
        <v>0</v>
      </c>
      <c r="DC89" s="93" cm="1">
        <f t="array" ref="DC89">SUMPRODUCT(TRANSPOSE(DC$4:DC$20),$G89:$W89)</f>
        <v>0</v>
      </c>
      <c r="DD89" s="93" cm="1">
        <f t="array" ref="DD89">SUMPRODUCT(TRANSPOSE(DD$4:DD$20),$G89:$W89)</f>
        <v>0</v>
      </c>
      <c r="DE89" s="93" cm="1">
        <f t="array" ref="DE89">SUMPRODUCT(TRANSPOSE(DE$4:DE$20),$G89:$W89)</f>
        <v>0</v>
      </c>
      <c r="DF89" s="93" cm="1">
        <f t="array" ref="DF89">SUMPRODUCT(TRANSPOSE(DF$4:DF$20),$G89:$W89)</f>
        <v>0</v>
      </c>
      <c r="DG89" s="93" cm="1">
        <f t="array" ref="DG89">SUMPRODUCT(TRANSPOSE(DG$4:DG$20),$G89:$W89)</f>
        <v>0</v>
      </c>
      <c r="DH89" s="93" cm="1">
        <f t="array" ref="DH89">SUMPRODUCT(TRANSPOSE(DH$4:DH$20),$G89:$W89)</f>
        <v>0</v>
      </c>
      <c r="DI89" s="93" cm="1">
        <f t="array" ref="DI89">SUMPRODUCT(TRANSPOSE(DI$4:DI$20),$G89:$W89)</f>
        <v>0</v>
      </c>
      <c r="DJ89" s="93" cm="1">
        <f t="array" ref="DJ89">SUMPRODUCT(TRANSPOSE(DJ$4:DJ$20),$G89:$W89)</f>
        <v>0</v>
      </c>
      <c r="DK89" s="93" cm="1">
        <f t="array" ref="DK89">SUMPRODUCT(TRANSPOSE(DK$4:DK$20),$G89:$W89)</f>
        <v>0</v>
      </c>
      <c r="DL89" s="93" cm="1">
        <f t="array" ref="DL89">SUMPRODUCT(TRANSPOSE(DL$4:DL$20),$G89:$W89)</f>
        <v>0</v>
      </c>
      <c r="DM89" s="93" cm="1">
        <f t="array" ref="DM89">SUMPRODUCT(TRANSPOSE(DM$4:DM$20),$G89:$W89)</f>
        <v>0</v>
      </c>
      <c r="DN89" s="93" cm="1">
        <f t="array" ref="DN89">SUMPRODUCT(TRANSPOSE(DN$4:DN$20),$G89:$W89)</f>
        <v>0</v>
      </c>
      <c r="DO89" s="93" cm="1">
        <f t="array" ref="DO89">SUMPRODUCT(TRANSPOSE(DO$4:DO$20),$G89:$W89)</f>
        <v>0</v>
      </c>
    </row>
    <row r="90" spans="1:119" x14ac:dyDescent="0.2">
      <c r="A90" s="45">
        <f t="shared" si="27"/>
        <v>69</v>
      </c>
      <c r="B90" s="46" t="s">
        <v>284</v>
      </c>
      <c r="C90" s="45">
        <v>414531925</v>
      </c>
      <c r="D90" s="45" t="s">
        <v>285</v>
      </c>
      <c r="E90" s="45" t="s">
        <v>162</v>
      </c>
      <c r="F90" s="48">
        <v>1</v>
      </c>
      <c r="G90" s="100">
        <v>0</v>
      </c>
      <c r="H90" s="100">
        <v>0</v>
      </c>
      <c r="I90" s="100">
        <v>0</v>
      </c>
      <c r="J90" s="100">
        <v>0</v>
      </c>
      <c r="K90" s="100">
        <v>0</v>
      </c>
      <c r="L90" s="100">
        <v>0</v>
      </c>
      <c r="M90" s="100">
        <v>0</v>
      </c>
      <c r="N90" s="100">
        <v>0</v>
      </c>
      <c r="O90" s="100">
        <v>0</v>
      </c>
      <c r="P90" s="100">
        <v>0</v>
      </c>
      <c r="Q90" s="100">
        <v>0</v>
      </c>
      <c r="R90" s="100">
        <v>0</v>
      </c>
      <c r="S90" s="100">
        <v>0</v>
      </c>
      <c r="T90" s="100">
        <v>0</v>
      </c>
      <c r="U90" s="100">
        <v>0</v>
      </c>
      <c r="V90" s="100">
        <v>0</v>
      </c>
      <c r="W90" s="100">
        <v>129</v>
      </c>
      <c r="X90" s="45" t="s">
        <v>34</v>
      </c>
      <c r="Y90" s="49">
        <v>4.28</v>
      </c>
      <c r="Z90" s="45">
        <v>29799</v>
      </c>
      <c r="AA90" s="45">
        <v>0</v>
      </c>
      <c r="AB90" s="45">
        <v>0</v>
      </c>
      <c r="AC90" s="45">
        <v>0</v>
      </c>
      <c r="AD90" s="45">
        <v>0</v>
      </c>
      <c r="AE90" s="45">
        <v>0</v>
      </c>
      <c r="AF90" s="45">
        <v>0</v>
      </c>
      <c r="AG90" s="45">
        <v>0</v>
      </c>
      <c r="AH90" s="45">
        <v>0</v>
      </c>
      <c r="AI90" s="45">
        <v>0</v>
      </c>
      <c r="AJ90" s="45">
        <v>0</v>
      </c>
      <c r="AK90" s="45">
        <v>0</v>
      </c>
      <c r="AL90" s="45">
        <v>0</v>
      </c>
      <c r="AM90" s="45">
        <v>0</v>
      </c>
      <c r="AN90" s="45">
        <v>0</v>
      </c>
      <c r="AO90" s="45"/>
      <c r="AP90" s="45"/>
      <c r="AQ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5"/>
      <c r="BC90" s="45"/>
      <c r="BD90" s="93"/>
      <c r="BE90" s="93"/>
      <c r="BF90" s="93"/>
      <c r="BG90" s="93"/>
      <c r="BH90" s="93"/>
      <c r="BI90" s="93"/>
      <c r="BJ90" s="93"/>
      <c r="BK90" s="93">
        <f>SUM($Z90:AD90)-SUM($CM90:CQ90)</f>
        <v>27735</v>
      </c>
      <c r="BL90" s="93">
        <f>SUM($Z90:AE90)-SUM($CM90:CR90)</f>
        <v>25671</v>
      </c>
      <c r="BM90" s="93">
        <f>SUM($Z90:AF90)-SUM($CM90:CS90)</f>
        <v>23607</v>
      </c>
      <c r="BN90" s="93">
        <f>SUM($Z90:AG90)-SUM($CM90:CT90)</f>
        <v>21543</v>
      </c>
      <c r="BO90" s="93">
        <f>SUM($Z90:AH90)-SUM($CM90:CU90)</f>
        <v>19479</v>
      </c>
      <c r="BP90" s="93">
        <f>SUM($Z90:AI90)-SUM($CM90:CV90)</f>
        <v>17415</v>
      </c>
      <c r="BQ90" s="93">
        <f>SUM($Z90:AJ90)-SUM($CM90:CW90)</f>
        <v>15351</v>
      </c>
      <c r="BR90" s="93">
        <f>SUM($Z90:AK90)-SUM($CM90:CX90)</f>
        <v>13287</v>
      </c>
      <c r="BS90" s="93">
        <f>SUM($Z90:AL90)-SUM($CM90:CY90)</f>
        <v>13287</v>
      </c>
      <c r="BT90" s="93">
        <f>SUM($Z90:AM90)-SUM($CM90:CZ90)</f>
        <v>13287</v>
      </c>
      <c r="BU90" s="93">
        <f>SUM($Z90:AN90)-SUM($CM90:DA90)</f>
        <v>13287</v>
      </c>
      <c r="BV90" s="93">
        <f>SUM($Z90:AO90)-SUM($CM90:DB90)</f>
        <v>13287</v>
      </c>
      <c r="BW90" s="93">
        <f>SUM($Z90:AP90)-SUM($CM90:DC90)</f>
        <v>13287</v>
      </c>
      <c r="BX90" s="93">
        <f>SUM($Z90:AQ90)-SUM($CM90:DD90)</f>
        <v>13287</v>
      </c>
      <c r="BY90" s="93">
        <f>SUM($Z90:AR90)-SUM($CM90:DE90)</f>
        <v>13287</v>
      </c>
      <c r="BZ90" s="93">
        <f>SUM($Z90:AS90)-SUM($CM90:DF90)</f>
        <v>13287</v>
      </c>
      <c r="CA90" s="93">
        <f>SUM($Z90:AT90)-SUM($CM90:DG90)</f>
        <v>13287</v>
      </c>
      <c r="CB90" s="93">
        <f>SUM($Z90:AU90)-SUM($CM90:DH90)</f>
        <v>13287</v>
      </c>
      <c r="CC90" s="93">
        <f>SUM($Z90:AV90)-SUM($CM90:DI90)</f>
        <v>13287</v>
      </c>
      <c r="CD90" s="93">
        <f>SUM($Z90:AW90)-SUM($CM90:DJ90)</f>
        <v>13287</v>
      </c>
      <c r="CE90" s="93">
        <f>SUM($Z90:AX90)-SUM($CM90:DK90)</f>
        <v>13287</v>
      </c>
      <c r="CF90" s="93">
        <f>SUM($Z90:AY90)-SUM($CM90:DL90)</f>
        <v>13287</v>
      </c>
      <c r="CG90" s="93">
        <f>SUM($Z90:AZ90)-SUM($CM90:DM90)</f>
        <v>13287</v>
      </c>
      <c r="CH90" s="93">
        <f>SUM($Z90:BA90)-SUM($CM90:DN90)</f>
        <v>13287</v>
      </c>
      <c r="CI90" s="93">
        <f>SUM($Z90:BB90)-SUM($CM90:DO90)</f>
        <v>13287</v>
      </c>
      <c r="CJ90" s="93"/>
      <c r="CK90" s="93"/>
      <c r="CL90" s="93"/>
      <c r="CM90" s="93"/>
      <c r="CN90" s="93" cm="1">
        <f t="array" ref="CN90">SUMPRODUCT(TRANSPOSE(CN$4:CN$20),$G90:$W90)</f>
        <v>0</v>
      </c>
      <c r="CO90" s="93" cm="1">
        <f t="array" ref="CO90">SUMPRODUCT(TRANSPOSE(CO$4:CO$20),$G90:$W90)</f>
        <v>0</v>
      </c>
      <c r="CP90" s="93" cm="1">
        <f t="array" ref="CP90">SUMPRODUCT(TRANSPOSE(CP$4:CP$20),$G90:$W90)</f>
        <v>0</v>
      </c>
      <c r="CQ90" s="93" cm="1">
        <f t="array" ref="CQ90">SUMPRODUCT(TRANSPOSE(CQ$4:CQ$20),$G90:$W90)</f>
        <v>2064</v>
      </c>
      <c r="CR90" s="93" cm="1">
        <f t="array" ref="CR90">SUMPRODUCT(TRANSPOSE(CR$4:CR$20),$G90:$W90)</f>
        <v>2064</v>
      </c>
      <c r="CS90" s="93" cm="1">
        <f t="array" ref="CS90">SUMPRODUCT(TRANSPOSE(CS$4:CS$20),$G90:$W90)</f>
        <v>2064</v>
      </c>
      <c r="CT90" s="93" cm="1">
        <f t="array" ref="CT90">SUMPRODUCT(TRANSPOSE(CT$4:CT$20),$G90:$W90)</f>
        <v>2064</v>
      </c>
      <c r="CU90" s="93" cm="1">
        <f t="array" ref="CU90">SUMPRODUCT(TRANSPOSE(CU$4:CU$20),$G90:$W90)</f>
        <v>2064</v>
      </c>
      <c r="CV90" s="93" cm="1">
        <f t="array" ref="CV90">SUMPRODUCT(TRANSPOSE(CV$4:CV$20),$G90:$W90)</f>
        <v>2064</v>
      </c>
      <c r="CW90" s="93" cm="1">
        <f t="array" ref="CW90">SUMPRODUCT(TRANSPOSE(CW$4:CW$20),$G90:$W90)</f>
        <v>2064</v>
      </c>
      <c r="CX90" s="93" cm="1">
        <f t="array" ref="CX90">SUMPRODUCT(TRANSPOSE(CX$4:CX$20),$G90:$W90)</f>
        <v>2064</v>
      </c>
      <c r="CY90" s="93" cm="1">
        <f t="array" ref="CY90">SUMPRODUCT(TRANSPOSE(CY$4:CY$20),$G90:$W90)</f>
        <v>0</v>
      </c>
      <c r="CZ90" s="93" cm="1">
        <f t="array" ref="CZ90">SUMPRODUCT(TRANSPOSE(CZ$4:CZ$20),$G90:$W90)</f>
        <v>0</v>
      </c>
      <c r="DA90" s="93" cm="1">
        <f t="array" ref="DA90">SUMPRODUCT(TRANSPOSE(DA$4:DA$20),$G90:$W90)</f>
        <v>0</v>
      </c>
      <c r="DB90" s="93" cm="1">
        <f t="array" ref="DB90">SUMPRODUCT(TRANSPOSE(DB$4:DB$20),$G90:$W90)</f>
        <v>0</v>
      </c>
      <c r="DC90" s="93" cm="1">
        <f t="array" ref="DC90">SUMPRODUCT(TRANSPOSE(DC$4:DC$20),$G90:$W90)</f>
        <v>0</v>
      </c>
      <c r="DD90" s="93" cm="1">
        <f t="array" ref="DD90">SUMPRODUCT(TRANSPOSE(DD$4:DD$20),$G90:$W90)</f>
        <v>0</v>
      </c>
      <c r="DE90" s="93" cm="1">
        <f t="array" ref="DE90">SUMPRODUCT(TRANSPOSE(DE$4:DE$20),$G90:$W90)</f>
        <v>0</v>
      </c>
      <c r="DF90" s="93" cm="1">
        <f t="array" ref="DF90">SUMPRODUCT(TRANSPOSE(DF$4:DF$20),$G90:$W90)</f>
        <v>0</v>
      </c>
      <c r="DG90" s="93" cm="1">
        <f t="array" ref="DG90">SUMPRODUCT(TRANSPOSE(DG$4:DG$20),$G90:$W90)</f>
        <v>0</v>
      </c>
      <c r="DH90" s="93" cm="1">
        <f t="array" ref="DH90">SUMPRODUCT(TRANSPOSE(DH$4:DH$20),$G90:$W90)</f>
        <v>0</v>
      </c>
      <c r="DI90" s="93" cm="1">
        <f t="array" ref="DI90">SUMPRODUCT(TRANSPOSE(DI$4:DI$20),$G90:$W90)</f>
        <v>0</v>
      </c>
      <c r="DJ90" s="93" cm="1">
        <f t="array" ref="DJ90">SUMPRODUCT(TRANSPOSE(DJ$4:DJ$20),$G90:$W90)</f>
        <v>0</v>
      </c>
      <c r="DK90" s="93" cm="1">
        <f t="array" ref="DK90">SUMPRODUCT(TRANSPOSE(DK$4:DK$20),$G90:$W90)</f>
        <v>0</v>
      </c>
      <c r="DL90" s="93" cm="1">
        <f t="array" ref="DL90">SUMPRODUCT(TRANSPOSE(DL$4:DL$20),$G90:$W90)</f>
        <v>0</v>
      </c>
      <c r="DM90" s="93" cm="1">
        <f t="array" ref="DM90">SUMPRODUCT(TRANSPOSE(DM$4:DM$20),$G90:$W90)</f>
        <v>0</v>
      </c>
      <c r="DN90" s="93" cm="1">
        <f t="array" ref="DN90">SUMPRODUCT(TRANSPOSE(DN$4:DN$20),$G90:$W90)</f>
        <v>0</v>
      </c>
      <c r="DO90" s="93" cm="1">
        <f t="array" ref="DO90">SUMPRODUCT(TRANSPOSE(DO$4:DO$20),$G90:$W90)</f>
        <v>0</v>
      </c>
    </row>
    <row r="91" spans="1:119" x14ac:dyDescent="0.2">
      <c r="A91" s="45">
        <f t="shared" si="27"/>
        <v>70</v>
      </c>
      <c r="B91" s="46" t="s">
        <v>286</v>
      </c>
      <c r="C91" s="45">
        <v>414531926</v>
      </c>
      <c r="D91" s="45" t="s">
        <v>287</v>
      </c>
      <c r="E91" s="45" t="s">
        <v>162</v>
      </c>
      <c r="F91" s="48">
        <v>1</v>
      </c>
      <c r="G91" s="100">
        <v>0</v>
      </c>
      <c r="H91" s="100">
        <v>0</v>
      </c>
      <c r="I91" s="100">
        <v>0</v>
      </c>
      <c r="J91" s="100">
        <v>0</v>
      </c>
      <c r="K91" s="100">
        <v>0</v>
      </c>
      <c r="L91" s="100">
        <v>0</v>
      </c>
      <c r="M91" s="100">
        <v>0</v>
      </c>
      <c r="N91" s="100">
        <v>0</v>
      </c>
      <c r="O91" s="100">
        <v>0</v>
      </c>
      <c r="P91" s="100">
        <v>0</v>
      </c>
      <c r="Q91" s="100">
        <v>0</v>
      </c>
      <c r="R91" s="100">
        <v>0</v>
      </c>
      <c r="S91" s="100">
        <v>0</v>
      </c>
      <c r="T91" s="100">
        <v>0</v>
      </c>
      <c r="U91" s="100">
        <v>0</v>
      </c>
      <c r="V91" s="100">
        <v>0</v>
      </c>
      <c r="W91" s="100">
        <v>51</v>
      </c>
      <c r="X91" s="45" t="s">
        <v>54</v>
      </c>
      <c r="Y91" s="49">
        <v>19</v>
      </c>
      <c r="Z91" s="45">
        <v>11785</v>
      </c>
      <c r="AA91" s="45">
        <v>0</v>
      </c>
      <c r="AB91" s="45">
        <v>0</v>
      </c>
      <c r="AC91" s="45">
        <v>0</v>
      </c>
      <c r="AD91" s="45">
        <v>0</v>
      </c>
      <c r="AE91" s="45">
        <v>0</v>
      </c>
      <c r="AF91" s="45">
        <v>0</v>
      </c>
      <c r="AG91" s="45">
        <v>0</v>
      </c>
      <c r="AH91" s="45">
        <v>0</v>
      </c>
      <c r="AI91" s="45">
        <v>0</v>
      </c>
      <c r="AJ91" s="45">
        <v>0</v>
      </c>
      <c r="AK91" s="45">
        <v>0</v>
      </c>
      <c r="AL91" s="45">
        <v>0</v>
      </c>
      <c r="AM91" s="45">
        <v>0</v>
      </c>
      <c r="AN91" s="45">
        <v>0</v>
      </c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93"/>
      <c r="BE91" s="93"/>
      <c r="BF91" s="93"/>
      <c r="BG91" s="93"/>
      <c r="BH91" s="93"/>
      <c r="BI91" s="93"/>
      <c r="BJ91" s="93"/>
      <c r="BK91" s="93">
        <f>SUM($Z91:AD91)-SUM($CM91:CQ91)</f>
        <v>10969</v>
      </c>
      <c r="BL91" s="93">
        <f>SUM($Z91:AE91)-SUM($CM91:CR91)</f>
        <v>10153</v>
      </c>
      <c r="BM91" s="93">
        <f>SUM($Z91:AF91)-SUM($CM91:CS91)</f>
        <v>9337</v>
      </c>
      <c r="BN91" s="93">
        <f>SUM($Z91:AG91)-SUM($CM91:CT91)</f>
        <v>8521</v>
      </c>
      <c r="BO91" s="93">
        <f>SUM($Z91:AH91)-SUM($CM91:CU91)</f>
        <v>7705</v>
      </c>
      <c r="BP91" s="93">
        <f>SUM($Z91:AI91)-SUM($CM91:CV91)</f>
        <v>6889</v>
      </c>
      <c r="BQ91" s="93">
        <f>SUM($Z91:AJ91)-SUM($CM91:CW91)</f>
        <v>6073</v>
      </c>
      <c r="BR91" s="93">
        <f>SUM($Z91:AK91)-SUM($CM91:CX91)</f>
        <v>5257</v>
      </c>
      <c r="BS91" s="93">
        <f>SUM($Z91:AL91)-SUM($CM91:CY91)</f>
        <v>5257</v>
      </c>
      <c r="BT91" s="93">
        <f>SUM($Z91:AM91)-SUM($CM91:CZ91)</f>
        <v>5257</v>
      </c>
      <c r="BU91" s="93">
        <f>SUM($Z91:AN91)-SUM($CM91:DA91)</f>
        <v>5257</v>
      </c>
      <c r="BV91" s="93">
        <f>SUM($Z91:AO91)-SUM($CM91:DB91)</f>
        <v>5257</v>
      </c>
      <c r="BW91" s="93">
        <f>SUM($Z91:AP91)-SUM($CM91:DC91)</f>
        <v>5257</v>
      </c>
      <c r="BX91" s="93">
        <f>SUM($Z91:AQ91)-SUM($CM91:DD91)</f>
        <v>5257</v>
      </c>
      <c r="BY91" s="93">
        <f>SUM($Z91:AR91)-SUM($CM91:DE91)</f>
        <v>5257</v>
      </c>
      <c r="BZ91" s="93">
        <f>SUM($Z91:AS91)-SUM($CM91:DF91)</f>
        <v>5257</v>
      </c>
      <c r="CA91" s="93">
        <f>SUM($Z91:AT91)-SUM($CM91:DG91)</f>
        <v>5257</v>
      </c>
      <c r="CB91" s="93">
        <f>SUM($Z91:AU91)-SUM($CM91:DH91)</f>
        <v>5257</v>
      </c>
      <c r="CC91" s="93">
        <f>SUM($Z91:AV91)-SUM($CM91:DI91)</f>
        <v>5257</v>
      </c>
      <c r="CD91" s="93">
        <f>SUM($Z91:AW91)-SUM($CM91:DJ91)</f>
        <v>5257</v>
      </c>
      <c r="CE91" s="93">
        <f>SUM($Z91:AX91)-SUM($CM91:DK91)</f>
        <v>5257</v>
      </c>
      <c r="CF91" s="93">
        <f>SUM($Z91:AY91)-SUM($CM91:DL91)</f>
        <v>5257</v>
      </c>
      <c r="CG91" s="93">
        <f>SUM($Z91:AZ91)-SUM($CM91:DM91)</f>
        <v>5257</v>
      </c>
      <c r="CH91" s="93">
        <f>SUM($Z91:BA91)-SUM($CM91:DN91)</f>
        <v>5257</v>
      </c>
      <c r="CI91" s="93">
        <f>SUM($Z91:BB91)-SUM($CM91:DO91)</f>
        <v>5257</v>
      </c>
      <c r="CJ91" s="93"/>
      <c r="CK91" s="93"/>
      <c r="CL91" s="93"/>
      <c r="CM91" s="93"/>
      <c r="CN91" s="93" cm="1">
        <f t="array" ref="CN91">SUMPRODUCT(TRANSPOSE(CN$4:CN$20),$G91:$W91)</f>
        <v>0</v>
      </c>
      <c r="CO91" s="93" cm="1">
        <f t="array" ref="CO91">SUMPRODUCT(TRANSPOSE(CO$4:CO$20),$G91:$W91)</f>
        <v>0</v>
      </c>
      <c r="CP91" s="93" cm="1">
        <f t="array" ref="CP91">SUMPRODUCT(TRANSPOSE(CP$4:CP$20),$G91:$W91)</f>
        <v>0</v>
      </c>
      <c r="CQ91" s="93" cm="1">
        <f t="array" ref="CQ91">SUMPRODUCT(TRANSPOSE(CQ$4:CQ$20),$G91:$W91)</f>
        <v>816</v>
      </c>
      <c r="CR91" s="93" cm="1">
        <f t="array" ref="CR91">SUMPRODUCT(TRANSPOSE(CR$4:CR$20),$G91:$W91)</f>
        <v>816</v>
      </c>
      <c r="CS91" s="93" cm="1">
        <f t="array" ref="CS91">SUMPRODUCT(TRANSPOSE(CS$4:CS$20),$G91:$W91)</f>
        <v>816</v>
      </c>
      <c r="CT91" s="93" cm="1">
        <f t="array" ref="CT91">SUMPRODUCT(TRANSPOSE(CT$4:CT$20),$G91:$W91)</f>
        <v>816</v>
      </c>
      <c r="CU91" s="93" cm="1">
        <f t="array" ref="CU91">SUMPRODUCT(TRANSPOSE(CU$4:CU$20),$G91:$W91)</f>
        <v>816</v>
      </c>
      <c r="CV91" s="93" cm="1">
        <f t="array" ref="CV91">SUMPRODUCT(TRANSPOSE(CV$4:CV$20),$G91:$W91)</f>
        <v>816</v>
      </c>
      <c r="CW91" s="93" cm="1">
        <f t="array" ref="CW91">SUMPRODUCT(TRANSPOSE(CW$4:CW$20),$G91:$W91)</f>
        <v>816</v>
      </c>
      <c r="CX91" s="93" cm="1">
        <f t="array" ref="CX91">SUMPRODUCT(TRANSPOSE(CX$4:CX$20),$G91:$W91)</f>
        <v>816</v>
      </c>
      <c r="CY91" s="93" cm="1">
        <f t="array" ref="CY91">SUMPRODUCT(TRANSPOSE(CY$4:CY$20),$G91:$W91)</f>
        <v>0</v>
      </c>
      <c r="CZ91" s="93" cm="1">
        <f t="array" ref="CZ91">SUMPRODUCT(TRANSPOSE(CZ$4:CZ$20),$G91:$W91)</f>
        <v>0</v>
      </c>
      <c r="DA91" s="93" cm="1">
        <f t="array" ref="DA91">SUMPRODUCT(TRANSPOSE(DA$4:DA$20),$G91:$W91)</f>
        <v>0</v>
      </c>
      <c r="DB91" s="93" cm="1">
        <f t="array" ref="DB91">SUMPRODUCT(TRANSPOSE(DB$4:DB$20),$G91:$W91)</f>
        <v>0</v>
      </c>
      <c r="DC91" s="93" cm="1">
        <f t="array" ref="DC91">SUMPRODUCT(TRANSPOSE(DC$4:DC$20),$G91:$W91)</f>
        <v>0</v>
      </c>
      <c r="DD91" s="93" cm="1">
        <f t="array" ref="DD91">SUMPRODUCT(TRANSPOSE(DD$4:DD$20),$G91:$W91)</f>
        <v>0</v>
      </c>
      <c r="DE91" s="93" cm="1">
        <f t="array" ref="DE91">SUMPRODUCT(TRANSPOSE(DE$4:DE$20),$G91:$W91)</f>
        <v>0</v>
      </c>
      <c r="DF91" s="93" cm="1">
        <f t="array" ref="DF91">SUMPRODUCT(TRANSPOSE(DF$4:DF$20),$G91:$W91)</f>
        <v>0</v>
      </c>
      <c r="DG91" s="93" cm="1">
        <f t="array" ref="DG91">SUMPRODUCT(TRANSPOSE(DG$4:DG$20),$G91:$W91)</f>
        <v>0</v>
      </c>
      <c r="DH91" s="93" cm="1">
        <f t="array" ref="DH91">SUMPRODUCT(TRANSPOSE(DH$4:DH$20),$G91:$W91)</f>
        <v>0</v>
      </c>
      <c r="DI91" s="93" cm="1">
        <f t="array" ref="DI91">SUMPRODUCT(TRANSPOSE(DI$4:DI$20),$G91:$W91)</f>
        <v>0</v>
      </c>
      <c r="DJ91" s="93" cm="1">
        <f t="array" ref="DJ91">SUMPRODUCT(TRANSPOSE(DJ$4:DJ$20),$G91:$W91)</f>
        <v>0</v>
      </c>
      <c r="DK91" s="93" cm="1">
        <f t="array" ref="DK91">SUMPRODUCT(TRANSPOSE(DK$4:DK$20),$G91:$W91)</f>
        <v>0</v>
      </c>
      <c r="DL91" s="93" cm="1">
        <f t="array" ref="DL91">SUMPRODUCT(TRANSPOSE(DL$4:DL$20),$G91:$W91)</f>
        <v>0</v>
      </c>
      <c r="DM91" s="93" cm="1">
        <f t="array" ref="DM91">SUMPRODUCT(TRANSPOSE(DM$4:DM$20),$G91:$W91)</f>
        <v>0</v>
      </c>
      <c r="DN91" s="93" cm="1">
        <f t="array" ref="DN91">SUMPRODUCT(TRANSPOSE(DN$4:DN$20),$G91:$W91)</f>
        <v>0</v>
      </c>
      <c r="DO91" s="93" cm="1">
        <f t="array" ref="DO91">SUMPRODUCT(TRANSPOSE(DO$4:DO$20),$G91:$W91)</f>
        <v>0</v>
      </c>
    </row>
    <row r="92" spans="1:119" x14ac:dyDescent="0.2">
      <c r="A92" s="45">
        <f t="shared" si="27"/>
        <v>71</v>
      </c>
      <c r="B92" s="46" t="s">
        <v>288</v>
      </c>
      <c r="C92" s="45">
        <v>414161950</v>
      </c>
      <c r="D92" s="45" t="s">
        <v>289</v>
      </c>
      <c r="E92" s="45" t="s">
        <v>162</v>
      </c>
      <c r="F92" s="48">
        <v>1</v>
      </c>
      <c r="G92" s="100">
        <v>0</v>
      </c>
      <c r="H92" s="100">
        <v>0</v>
      </c>
      <c r="I92" s="100">
        <v>0</v>
      </c>
      <c r="J92" s="100">
        <v>0</v>
      </c>
      <c r="K92" s="100">
        <v>0</v>
      </c>
      <c r="L92" s="100">
        <v>0</v>
      </c>
      <c r="M92" s="100">
        <v>0</v>
      </c>
      <c r="N92" s="100">
        <v>0</v>
      </c>
      <c r="O92" s="100">
        <v>0</v>
      </c>
      <c r="P92" s="100">
        <v>0</v>
      </c>
      <c r="Q92" s="100">
        <v>0</v>
      </c>
      <c r="R92" s="100">
        <v>0</v>
      </c>
      <c r="S92" s="100">
        <v>0</v>
      </c>
      <c r="T92" s="100">
        <v>0</v>
      </c>
      <c r="U92" s="100">
        <v>0</v>
      </c>
      <c r="V92" s="100">
        <v>0</v>
      </c>
      <c r="W92" s="100">
        <v>180</v>
      </c>
      <c r="X92" s="45" t="s">
        <v>6</v>
      </c>
      <c r="Y92" s="49">
        <v>0</v>
      </c>
      <c r="Z92" s="45">
        <v>0</v>
      </c>
      <c r="AA92" s="45">
        <v>0</v>
      </c>
      <c r="AB92" s="45">
        <v>0</v>
      </c>
      <c r="AC92" s="45">
        <v>0</v>
      </c>
      <c r="AD92" s="45">
        <v>0</v>
      </c>
      <c r="AE92" s="45">
        <v>0</v>
      </c>
      <c r="AF92" s="45">
        <v>0</v>
      </c>
      <c r="AG92" s="45">
        <v>0</v>
      </c>
      <c r="AH92" s="45">
        <v>0</v>
      </c>
      <c r="AI92" s="45">
        <v>0</v>
      </c>
      <c r="AJ92" s="45">
        <v>0</v>
      </c>
      <c r="AK92" s="45">
        <v>0</v>
      </c>
      <c r="AL92" s="45">
        <v>0</v>
      </c>
      <c r="AM92" s="45">
        <v>0</v>
      </c>
      <c r="AN92" s="45">
        <v>0</v>
      </c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93"/>
      <c r="BE92" s="93"/>
      <c r="BF92" s="93"/>
      <c r="BG92" s="93"/>
      <c r="BH92" s="93"/>
      <c r="BI92" s="93"/>
      <c r="BJ92" s="93"/>
      <c r="BK92" s="93">
        <f>SUM($Z92:AD92)-SUM($CM92:CQ92)</f>
        <v>-2880</v>
      </c>
      <c r="BL92" s="93">
        <f>SUM($Z92:AE92)-SUM($CM92:CR92)</f>
        <v>-5760</v>
      </c>
      <c r="BM92" s="93">
        <f>SUM($Z92:AF92)-SUM($CM92:CS92)</f>
        <v>-8640</v>
      </c>
      <c r="BN92" s="93">
        <f>SUM($Z92:AG92)-SUM($CM92:CT92)</f>
        <v>-11520</v>
      </c>
      <c r="BO92" s="93">
        <f>SUM($Z92:AH92)-SUM($CM92:CU92)</f>
        <v>-14400</v>
      </c>
      <c r="BP92" s="93">
        <f>SUM($Z92:AI92)-SUM($CM92:CV92)</f>
        <v>-17280</v>
      </c>
      <c r="BQ92" s="93">
        <f>SUM($Z92:AJ92)-SUM($CM92:CW92)</f>
        <v>-20160</v>
      </c>
      <c r="BR92" s="93">
        <f>SUM($Z92:AK92)-SUM($CM92:CX92)</f>
        <v>-23040</v>
      </c>
      <c r="BS92" s="93">
        <f>SUM($Z92:AL92)-SUM($CM92:CY92)</f>
        <v>-23040</v>
      </c>
      <c r="BT92" s="93">
        <f>SUM($Z92:AM92)-SUM($CM92:CZ92)</f>
        <v>-23040</v>
      </c>
      <c r="BU92" s="93">
        <f>SUM($Z92:AN92)-SUM($CM92:DA92)</f>
        <v>-23040</v>
      </c>
      <c r="BV92" s="93">
        <f>SUM($Z92:AO92)-SUM($CM92:DB92)</f>
        <v>-23040</v>
      </c>
      <c r="BW92" s="93">
        <f>SUM($Z92:AP92)-SUM($CM92:DC92)</f>
        <v>-23040</v>
      </c>
      <c r="BX92" s="93">
        <f>SUM($Z92:AQ92)-SUM($CM92:DD92)</f>
        <v>-23040</v>
      </c>
      <c r="BY92" s="93">
        <f>SUM($Z92:AR92)-SUM($CM92:DE92)</f>
        <v>-23040</v>
      </c>
      <c r="BZ92" s="93">
        <f>SUM($Z92:AS92)-SUM($CM92:DF92)</f>
        <v>-23040</v>
      </c>
      <c r="CA92" s="93">
        <f>SUM($Z92:AT92)-SUM($CM92:DG92)</f>
        <v>-23040</v>
      </c>
      <c r="CB92" s="93">
        <f>SUM($Z92:AU92)-SUM($CM92:DH92)</f>
        <v>-23040</v>
      </c>
      <c r="CC92" s="93">
        <f>SUM($Z92:AV92)-SUM($CM92:DI92)</f>
        <v>-23040</v>
      </c>
      <c r="CD92" s="93">
        <f>SUM($Z92:AW92)-SUM($CM92:DJ92)</f>
        <v>-23040</v>
      </c>
      <c r="CE92" s="93">
        <f>SUM($Z92:AX92)-SUM($CM92:DK92)</f>
        <v>-23040</v>
      </c>
      <c r="CF92" s="93">
        <f>SUM($Z92:AY92)-SUM($CM92:DL92)</f>
        <v>-23040</v>
      </c>
      <c r="CG92" s="93">
        <f>SUM($Z92:AZ92)-SUM($CM92:DM92)</f>
        <v>-23040</v>
      </c>
      <c r="CH92" s="93">
        <f>SUM($Z92:BA92)-SUM($CM92:DN92)</f>
        <v>-23040</v>
      </c>
      <c r="CI92" s="93">
        <f>SUM($Z92:BB92)-SUM($CM92:DO92)</f>
        <v>-23040</v>
      </c>
      <c r="CJ92" s="93"/>
      <c r="CK92" s="93"/>
      <c r="CL92" s="93"/>
      <c r="CM92" s="93"/>
      <c r="CN92" s="93" cm="1">
        <f t="array" ref="CN92">SUMPRODUCT(TRANSPOSE(CN$4:CN$20),$G92:$W92)</f>
        <v>0</v>
      </c>
      <c r="CO92" s="93" cm="1">
        <f t="array" ref="CO92">SUMPRODUCT(TRANSPOSE(CO$4:CO$20),$G92:$W92)</f>
        <v>0</v>
      </c>
      <c r="CP92" s="93" cm="1">
        <f t="array" ref="CP92">SUMPRODUCT(TRANSPOSE(CP$4:CP$20),$G92:$W92)</f>
        <v>0</v>
      </c>
      <c r="CQ92" s="93" cm="1">
        <f t="array" ref="CQ92">SUMPRODUCT(TRANSPOSE(CQ$4:CQ$20),$G92:$W92)</f>
        <v>2880</v>
      </c>
      <c r="CR92" s="93" cm="1">
        <f t="array" ref="CR92">SUMPRODUCT(TRANSPOSE(CR$4:CR$20),$G92:$W92)</f>
        <v>2880</v>
      </c>
      <c r="CS92" s="93" cm="1">
        <f t="array" ref="CS92">SUMPRODUCT(TRANSPOSE(CS$4:CS$20),$G92:$W92)</f>
        <v>2880</v>
      </c>
      <c r="CT92" s="93" cm="1">
        <f t="array" ref="CT92">SUMPRODUCT(TRANSPOSE(CT$4:CT$20),$G92:$W92)</f>
        <v>2880</v>
      </c>
      <c r="CU92" s="93" cm="1">
        <f t="array" ref="CU92">SUMPRODUCT(TRANSPOSE(CU$4:CU$20),$G92:$W92)</f>
        <v>2880</v>
      </c>
      <c r="CV92" s="93" cm="1">
        <f t="array" ref="CV92">SUMPRODUCT(TRANSPOSE(CV$4:CV$20),$G92:$W92)</f>
        <v>2880</v>
      </c>
      <c r="CW92" s="93" cm="1">
        <f t="array" ref="CW92">SUMPRODUCT(TRANSPOSE(CW$4:CW$20),$G92:$W92)</f>
        <v>2880</v>
      </c>
      <c r="CX92" s="93" cm="1">
        <f t="array" ref="CX92">SUMPRODUCT(TRANSPOSE(CX$4:CX$20),$G92:$W92)</f>
        <v>2880</v>
      </c>
      <c r="CY92" s="93" cm="1">
        <f t="array" ref="CY92">SUMPRODUCT(TRANSPOSE(CY$4:CY$20),$G92:$W92)</f>
        <v>0</v>
      </c>
      <c r="CZ92" s="93" cm="1">
        <f t="array" ref="CZ92">SUMPRODUCT(TRANSPOSE(CZ$4:CZ$20),$G92:$W92)</f>
        <v>0</v>
      </c>
      <c r="DA92" s="93" cm="1">
        <f t="array" ref="DA92">SUMPRODUCT(TRANSPOSE(DA$4:DA$20),$G92:$W92)</f>
        <v>0</v>
      </c>
      <c r="DB92" s="93" cm="1">
        <f t="array" ref="DB92">SUMPRODUCT(TRANSPOSE(DB$4:DB$20),$G92:$W92)</f>
        <v>0</v>
      </c>
      <c r="DC92" s="93" cm="1">
        <f t="array" ref="DC92">SUMPRODUCT(TRANSPOSE(DC$4:DC$20),$G92:$W92)</f>
        <v>0</v>
      </c>
      <c r="DD92" s="93" cm="1">
        <f t="array" ref="DD92">SUMPRODUCT(TRANSPOSE(DD$4:DD$20),$G92:$W92)</f>
        <v>0</v>
      </c>
      <c r="DE92" s="93" cm="1">
        <f t="array" ref="DE92">SUMPRODUCT(TRANSPOSE(DE$4:DE$20),$G92:$W92)</f>
        <v>0</v>
      </c>
      <c r="DF92" s="93" cm="1">
        <f t="array" ref="DF92">SUMPRODUCT(TRANSPOSE(DF$4:DF$20),$G92:$W92)</f>
        <v>0</v>
      </c>
      <c r="DG92" s="93" cm="1">
        <f t="array" ref="DG92">SUMPRODUCT(TRANSPOSE(DG$4:DG$20),$G92:$W92)</f>
        <v>0</v>
      </c>
      <c r="DH92" s="93" cm="1">
        <f t="array" ref="DH92">SUMPRODUCT(TRANSPOSE(DH$4:DH$20),$G92:$W92)</f>
        <v>0</v>
      </c>
      <c r="DI92" s="93" cm="1">
        <f t="array" ref="DI92">SUMPRODUCT(TRANSPOSE(DI$4:DI$20),$G92:$W92)</f>
        <v>0</v>
      </c>
      <c r="DJ92" s="93" cm="1">
        <f t="array" ref="DJ92">SUMPRODUCT(TRANSPOSE(DJ$4:DJ$20),$G92:$W92)</f>
        <v>0</v>
      </c>
      <c r="DK92" s="93" cm="1">
        <f t="array" ref="DK92">SUMPRODUCT(TRANSPOSE(DK$4:DK$20),$G92:$W92)</f>
        <v>0</v>
      </c>
      <c r="DL92" s="93" cm="1">
        <f t="array" ref="DL92">SUMPRODUCT(TRANSPOSE(DL$4:DL$20),$G92:$W92)</f>
        <v>0</v>
      </c>
      <c r="DM92" s="93" cm="1">
        <f t="array" ref="DM92">SUMPRODUCT(TRANSPOSE(DM$4:DM$20),$G92:$W92)</f>
        <v>0</v>
      </c>
      <c r="DN92" s="93" cm="1">
        <f t="array" ref="DN92">SUMPRODUCT(TRANSPOSE(DN$4:DN$20),$G92:$W92)</f>
        <v>0</v>
      </c>
      <c r="DO92" s="93" cm="1">
        <f t="array" ref="DO92">SUMPRODUCT(TRANSPOSE(DO$4:DO$20),$G92:$W92)</f>
        <v>0</v>
      </c>
    </row>
    <row r="93" spans="1:119" ht="25.9" customHeight="1" x14ac:dyDescent="0.2">
      <c r="A93" s="45">
        <f t="shared" si="27"/>
        <v>72</v>
      </c>
      <c r="B93" s="46" t="s">
        <v>153</v>
      </c>
      <c r="C93" s="45">
        <v>415009669</v>
      </c>
      <c r="D93" s="45" t="s">
        <v>121</v>
      </c>
      <c r="E93" s="45" t="s">
        <v>162</v>
      </c>
      <c r="F93" s="48">
        <v>1</v>
      </c>
      <c r="G93" s="100">
        <v>0</v>
      </c>
      <c r="H93" s="100">
        <v>0</v>
      </c>
      <c r="I93" s="100">
        <v>0</v>
      </c>
      <c r="J93" s="100">
        <v>0</v>
      </c>
      <c r="K93" s="100">
        <v>0</v>
      </c>
      <c r="L93" s="100">
        <v>0</v>
      </c>
      <c r="M93" s="100">
        <v>0</v>
      </c>
      <c r="N93" s="100">
        <v>0</v>
      </c>
      <c r="O93" s="100">
        <v>0</v>
      </c>
      <c r="P93" s="100">
        <v>0</v>
      </c>
      <c r="Q93" s="100">
        <v>0</v>
      </c>
      <c r="R93" s="100">
        <v>0</v>
      </c>
      <c r="S93" s="100">
        <v>0</v>
      </c>
      <c r="T93" s="100">
        <v>0</v>
      </c>
      <c r="U93" s="100">
        <v>0</v>
      </c>
      <c r="V93" s="100">
        <v>0</v>
      </c>
      <c r="W93" s="100">
        <v>180</v>
      </c>
      <c r="X93" s="45" t="s">
        <v>21</v>
      </c>
      <c r="Y93" s="49">
        <v>11.43</v>
      </c>
      <c r="Z93" s="45">
        <v>40615</v>
      </c>
      <c r="AA93" s="45">
        <v>0</v>
      </c>
      <c r="AB93" s="45">
        <v>0</v>
      </c>
      <c r="AC93" s="45">
        <v>0</v>
      </c>
      <c r="AD93" s="45">
        <v>0</v>
      </c>
      <c r="AE93" s="45">
        <v>0</v>
      </c>
      <c r="AF93" s="45">
        <v>0</v>
      </c>
      <c r="AG93" s="45">
        <v>0</v>
      </c>
      <c r="AH93" s="45">
        <v>0</v>
      </c>
      <c r="AI93" s="45">
        <v>0</v>
      </c>
      <c r="AJ93" s="45">
        <v>0</v>
      </c>
      <c r="AK93" s="45">
        <v>0</v>
      </c>
      <c r="AL93" s="45">
        <v>0</v>
      </c>
      <c r="AM93" s="45">
        <v>0</v>
      </c>
      <c r="AN93" s="45">
        <v>0</v>
      </c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93"/>
      <c r="BE93" s="93"/>
      <c r="BF93" s="93"/>
      <c r="BG93" s="93"/>
      <c r="BH93" s="93"/>
      <c r="BI93" s="93"/>
      <c r="BJ93" s="93"/>
      <c r="BK93" s="93">
        <f>SUM($Z93:AD93)-SUM($CM93:CQ93)</f>
        <v>37735</v>
      </c>
      <c r="BL93" s="93">
        <f>SUM($Z93:AE93)-SUM($CM93:CR93)</f>
        <v>34855</v>
      </c>
      <c r="BM93" s="93">
        <f>SUM($Z93:AF93)-SUM($CM93:CS93)</f>
        <v>31975</v>
      </c>
      <c r="BN93" s="93">
        <f>SUM($Z93:AG93)-SUM($CM93:CT93)</f>
        <v>29095</v>
      </c>
      <c r="BO93" s="93">
        <f>SUM($Z93:AH93)-SUM($CM93:CU93)</f>
        <v>26215</v>
      </c>
      <c r="BP93" s="93">
        <f>SUM($Z93:AI93)-SUM($CM93:CV93)</f>
        <v>23335</v>
      </c>
      <c r="BQ93" s="93">
        <f>SUM($Z93:AJ93)-SUM($CM93:CW93)</f>
        <v>20455</v>
      </c>
      <c r="BR93" s="93">
        <f>SUM($Z93:AK93)-SUM($CM93:CX93)</f>
        <v>17575</v>
      </c>
      <c r="BS93" s="93">
        <f>SUM($Z93:AL93)-SUM($CM93:CY93)</f>
        <v>17575</v>
      </c>
      <c r="BT93" s="93">
        <f>SUM($Z93:AM93)-SUM($CM93:CZ93)</f>
        <v>17575</v>
      </c>
      <c r="BU93" s="93">
        <f>SUM($Z93:AN93)-SUM($CM93:DA93)</f>
        <v>17575</v>
      </c>
      <c r="BV93" s="93">
        <f>SUM($Z93:AO93)-SUM($CM93:DB93)</f>
        <v>17575</v>
      </c>
      <c r="BW93" s="93">
        <f>SUM($Z93:AP93)-SUM($CM93:DC93)</f>
        <v>17575</v>
      </c>
      <c r="BX93" s="93">
        <f>SUM($Z93:AQ93)-SUM($CM93:DD93)</f>
        <v>17575</v>
      </c>
      <c r="BY93" s="93">
        <f>SUM($Z93:AR93)-SUM($CM93:DE93)</f>
        <v>17575</v>
      </c>
      <c r="BZ93" s="93">
        <f>SUM($Z93:AS93)-SUM($CM93:DF93)</f>
        <v>17575</v>
      </c>
      <c r="CA93" s="93">
        <f>SUM($Z93:AT93)-SUM($CM93:DG93)</f>
        <v>17575</v>
      </c>
      <c r="CB93" s="93">
        <f>SUM($Z93:AU93)-SUM($CM93:DH93)</f>
        <v>17575</v>
      </c>
      <c r="CC93" s="93">
        <f>SUM($Z93:AV93)-SUM($CM93:DI93)</f>
        <v>17575</v>
      </c>
      <c r="CD93" s="93">
        <f>SUM($Z93:AW93)-SUM($CM93:DJ93)</f>
        <v>17575</v>
      </c>
      <c r="CE93" s="93">
        <f>SUM($Z93:AX93)-SUM($CM93:DK93)</f>
        <v>17575</v>
      </c>
      <c r="CF93" s="93">
        <f>SUM($Z93:AY93)-SUM($CM93:DL93)</f>
        <v>17575</v>
      </c>
      <c r="CG93" s="93">
        <f>SUM($Z93:AZ93)-SUM($CM93:DM93)</f>
        <v>17575</v>
      </c>
      <c r="CH93" s="93">
        <f>SUM($Z93:BA93)-SUM($CM93:DN93)</f>
        <v>17575</v>
      </c>
      <c r="CI93" s="93">
        <f>SUM($Z93:BB93)-SUM($CM93:DO93)</f>
        <v>17575</v>
      </c>
      <c r="CJ93" s="93"/>
      <c r="CK93" s="93"/>
      <c r="CL93" s="93"/>
      <c r="CM93" s="93"/>
      <c r="CN93" s="93" cm="1">
        <f t="array" ref="CN93">SUMPRODUCT(TRANSPOSE(CN$4:CN$20),$G93:$W93)</f>
        <v>0</v>
      </c>
      <c r="CO93" s="93" cm="1">
        <f t="array" ref="CO93">SUMPRODUCT(TRANSPOSE(CO$4:CO$20),$G93:$W93)</f>
        <v>0</v>
      </c>
      <c r="CP93" s="93" cm="1">
        <f t="array" ref="CP93">SUMPRODUCT(TRANSPOSE(CP$4:CP$20),$G93:$W93)</f>
        <v>0</v>
      </c>
      <c r="CQ93" s="93" cm="1">
        <f t="array" ref="CQ93">SUMPRODUCT(TRANSPOSE(CQ$4:CQ$20),$G93:$W93)</f>
        <v>2880</v>
      </c>
      <c r="CR93" s="93" cm="1">
        <f t="array" ref="CR93">SUMPRODUCT(TRANSPOSE(CR$4:CR$20),$G93:$W93)</f>
        <v>2880</v>
      </c>
      <c r="CS93" s="93" cm="1">
        <f t="array" ref="CS93">SUMPRODUCT(TRANSPOSE(CS$4:CS$20),$G93:$W93)</f>
        <v>2880</v>
      </c>
      <c r="CT93" s="93" cm="1">
        <f t="array" ref="CT93">SUMPRODUCT(TRANSPOSE(CT$4:CT$20),$G93:$W93)</f>
        <v>2880</v>
      </c>
      <c r="CU93" s="93" cm="1">
        <f t="array" ref="CU93">SUMPRODUCT(TRANSPOSE(CU$4:CU$20),$G93:$W93)</f>
        <v>2880</v>
      </c>
      <c r="CV93" s="93" cm="1">
        <f t="array" ref="CV93">SUMPRODUCT(TRANSPOSE(CV$4:CV$20),$G93:$W93)</f>
        <v>2880</v>
      </c>
      <c r="CW93" s="93" cm="1">
        <f t="array" ref="CW93">SUMPRODUCT(TRANSPOSE(CW$4:CW$20),$G93:$W93)</f>
        <v>2880</v>
      </c>
      <c r="CX93" s="93" cm="1">
        <f t="array" ref="CX93">SUMPRODUCT(TRANSPOSE(CX$4:CX$20),$G93:$W93)</f>
        <v>2880</v>
      </c>
      <c r="CY93" s="93" cm="1">
        <f t="array" ref="CY93">SUMPRODUCT(TRANSPOSE(CY$4:CY$20),$G93:$W93)</f>
        <v>0</v>
      </c>
      <c r="CZ93" s="93" cm="1">
        <f t="array" ref="CZ93">SUMPRODUCT(TRANSPOSE(CZ$4:CZ$20),$G93:$W93)</f>
        <v>0</v>
      </c>
      <c r="DA93" s="93" cm="1">
        <f t="array" ref="DA93">SUMPRODUCT(TRANSPOSE(DA$4:DA$20),$G93:$W93)</f>
        <v>0</v>
      </c>
      <c r="DB93" s="93" cm="1">
        <f t="array" ref="DB93">SUMPRODUCT(TRANSPOSE(DB$4:DB$20),$G93:$W93)</f>
        <v>0</v>
      </c>
      <c r="DC93" s="93" cm="1">
        <f t="array" ref="DC93">SUMPRODUCT(TRANSPOSE(DC$4:DC$20),$G93:$W93)</f>
        <v>0</v>
      </c>
      <c r="DD93" s="93" cm="1">
        <f t="array" ref="DD93">SUMPRODUCT(TRANSPOSE(DD$4:DD$20),$G93:$W93)</f>
        <v>0</v>
      </c>
      <c r="DE93" s="93" cm="1">
        <f t="array" ref="DE93">SUMPRODUCT(TRANSPOSE(DE$4:DE$20),$G93:$W93)</f>
        <v>0</v>
      </c>
      <c r="DF93" s="93" cm="1">
        <f t="array" ref="DF93">SUMPRODUCT(TRANSPOSE(DF$4:DF$20),$G93:$W93)</f>
        <v>0</v>
      </c>
      <c r="DG93" s="93" cm="1">
        <f t="array" ref="DG93">SUMPRODUCT(TRANSPOSE(DG$4:DG$20),$G93:$W93)</f>
        <v>0</v>
      </c>
      <c r="DH93" s="93" cm="1">
        <f t="array" ref="DH93">SUMPRODUCT(TRANSPOSE(DH$4:DH$20),$G93:$W93)</f>
        <v>0</v>
      </c>
      <c r="DI93" s="93" cm="1">
        <f t="array" ref="DI93">SUMPRODUCT(TRANSPOSE(DI$4:DI$20),$G93:$W93)</f>
        <v>0</v>
      </c>
      <c r="DJ93" s="93" cm="1">
        <f t="array" ref="DJ93">SUMPRODUCT(TRANSPOSE(DJ$4:DJ$20),$G93:$W93)</f>
        <v>0</v>
      </c>
      <c r="DK93" s="93" cm="1">
        <f t="array" ref="DK93">SUMPRODUCT(TRANSPOSE(DK$4:DK$20),$G93:$W93)</f>
        <v>0</v>
      </c>
      <c r="DL93" s="93" cm="1">
        <f t="array" ref="DL93">SUMPRODUCT(TRANSPOSE(DL$4:DL$20),$G93:$W93)</f>
        <v>0</v>
      </c>
      <c r="DM93" s="93" cm="1">
        <f t="array" ref="DM93">SUMPRODUCT(TRANSPOSE(DM$4:DM$20),$G93:$W93)</f>
        <v>0</v>
      </c>
      <c r="DN93" s="93" cm="1">
        <f t="array" ref="DN93">SUMPRODUCT(TRANSPOSE(DN$4:DN$20),$G93:$W93)</f>
        <v>0</v>
      </c>
      <c r="DO93" s="93" cm="1">
        <f t="array" ref="DO93">SUMPRODUCT(TRANSPOSE(DO$4:DO$20),$G93:$W93)</f>
        <v>0</v>
      </c>
    </row>
    <row r="94" spans="1:119" x14ac:dyDescent="0.2">
      <c r="A94" s="45">
        <f t="shared" si="27"/>
        <v>73</v>
      </c>
      <c r="B94" s="46" t="s">
        <v>290</v>
      </c>
      <c r="C94" s="45">
        <v>416686276</v>
      </c>
      <c r="D94" s="45" t="s">
        <v>291</v>
      </c>
      <c r="E94" s="45" t="s">
        <v>162</v>
      </c>
      <c r="F94" s="48">
        <v>1</v>
      </c>
      <c r="G94" s="100">
        <v>0</v>
      </c>
      <c r="H94" s="100">
        <v>0</v>
      </c>
      <c r="I94" s="100">
        <v>0</v>
      </c>
      <c r="J94" s="100">
        <v>0</v>
      </c>
      <c r="K94" s="100">
        <v>0</v>
      </c>
      <c r="L94" s="100">
        <v>0</v>
      </c>
      <c r="M94" s="100">
        <v>0</v>
      </c>
      <c r="N94" s="100">
        <v>0</v>
      </c>
      <c r="O94" s="100">
        <v>0</v>
      </c>
      <c r="P94" s="100">
        <v>0</v>
      </c>
      <c r="Q94" s="100">
        <v>0</v>
      </c>
      <c r="R94" s="100">
        <v>0</v>
      </c>
      <c r="S94" s="100">
        <v>0</v>
      </c>
      <c r="T94" s="100">
        <v>0</v>
      </c>
      <c r="U94" s="100">
        <v>0</v>
      </c>
      <c r="V94" s="100">
        <v>0</v>
      </c>
      <c r="W94" s="100">
        <v>180</v>
      </c>
      <c r="X94" s="45" t="s">
        <v>6</v>
      </c>
      <c r="Y94" s="49">
        <v>0</v>
      </c>
      <c r="Z94" s="45">
        <v>0</v>
      </c>
      <c r="AA94" s="45">
        <v>0</v>
      </c>
      <c r="AB94" s="45">
        <v>0</v>
      </c>
      <c r="AC94" s="45">
        <v>0</v>
      </c>
      <c r="AD94" s="45">
        <v>0</v>
      </c>
      <c r="AE94" s="45">
        <v>0</v>
      </c>
      <c r="AF94" s="45">
        <v>0</v>
      </c>
      <c r="AG94" s="45">
        <v>0</v>
      </c>
      <c r="AH94" s="45">
        <v>0</v>
      </c>
      <c r="AI94" s="45">
        <v>0</v>
      </c>
      <c r="AJ94" s="45">
        <v>0</v>
      </c>
      <c r="AK94" s="45">
        <v>0</v>
      </c>
      <c r="AL94" s="45">
        <v>0</v>
      </c>
      <c r="AM94" s="45">
        <v>0</v>
      </c>
      <c r="AN94" s="45">
        <v>0</v>
      </c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93"/>
      <c r="BE94" s="93"/>
      <c r="BF94" s="93"/>
      <c r="BG94" s="93"/>
      <c r="BH94" s="93"/>
      <c r="BI94" s="93"/>
      <c r="BJ94" s="93"/>
      <c r="BK94" s="93">
        <f>SUM($Z94:AD94)-SUM($CM94:CQ94)</f>
        <v>-2880</v>
      </c>
      <c r="BL94" s="93">
        <f>SUM($Z94:AE94)-SUM($CM94:CR94)</f>
        <v>-5760</v>
      </c>
      <c r="BM94" s="93">
        <f>SUM($Z94:AF94)-SUM($CM94:CS94)</f>
        <v>-8640</v>
      </c>
      <c r="BN94" s="93">
        <f>SUM($Z94:AG94)-SUM($CM94:CT94)</f>
        <v>-11520</v>
      </c>
      <c r="BO94" s="93">
        <f>SUM($Z94:AH94)-SUM($CM94:CU94)</f>
        <v>-14400</v>
      </c>
      <c r="BP94" s="93">
        <f>SUM($Z94:AI94)-SUM($CM94:CV94)</f>
        <v>-17280</v>
      </c>
      <c r="BQ94" s="93">
        <f>SUM($Z94:AJ94)-SUM($CM94:CW94)</f>
        <v>-20160</v>
      </c>
      <c r="BR94" s="93">
        <f>SUM($Z94:AK94)-SUM($CM94:CX94)</f>
        <v>-23040</v>
      </c>
      <c r="BS94" s="93">
        <f>SUM($Z94:AL94)-SUM($CM94:CY94)</f>
        <v>-23040</v>
      </c>
      <c r="BT94" s="93">
        <f>SUM($Z94:AM94)-SUM($CM94:CZ94)</f>
        <v>-23040</v>
      </c>
      <c r="BU94" s="93">
        <f>SUM($Z94:AN94)-SUM($CM94:DA94)</f>
        <v>-23040</v>
      </c>
      <c r="BV94" s="93">
        <f>SUM($Z94:AO94)-SUM($CM94:DB94)</f>
        <v>-23040</v>
      </c>
      <c r="BW94" s="93">
        <f>SUM($Z94:AP94)-SUM($CM94:DC94)</f>
        <v>-23040</v>
      </c>
      <c r="BX94" s="93">
        <f>SUM($Z94:AQ94)-SUM($CM94:DD94)</f>
        <v>-23040</v>
      </c>
      <c r="BY94" s="93">
        <f>SUM($Z94:AR94)-SUM($CM94:DE94)</f>
        <v>-23040</v>
      </c>
      <c r="BZ94" s="93">
        <f>SUM($Z94:AS94)-SUM($CM94:DF94)</f>
        <v>-23040</v>
      </c>
      <c r="CA94" s="93">
        <f>SUM($Z94:AT94)-SUM($CM94:DG94)</f>
        <v>-23040</v>
      </c>
      <c r="CB94" s="93">
        <f>SUM($Z94:AU94)-SUM($CM94:DH94)</f>
        <v>-23040</v>
      </c>
      <c r="CC94" s="93">
        <f>SUM($Z94:AV94)-SUM($CM94:DI94)</f>
        <v>-23040</v>
      </c>
      <c r="CD94" s="93">
        <f>SUM($Z94:AW94)-SUM($CM94:DJ94)</f>
        <v>-23040</v>
      </c>
      <c r="CE94" s="93">
        <f>SUM($Z94:AX94)-SUM($CM94:DK94)</f>
        <v>-23040</v>
      </c>
      <c r="CF94" s="93">
        <f>SUM($Z94:AY94)-SUM($CM94:DL94)</f>
        <v>-23040</v>
      </c>
      <c r="CG94" s="93">
        <f>SUM($Z94:AZ94)-SUM($CM94:DM94)</f>
        <v>-23040</v>
      </c>
      <c r="CH94" s="93">
        <f>SUM($Z94:BA94)-SUM($CM94:DN94)</f>
        <v>-23040</v>
      </c>
      <c r="CI94" s="93">
        <f>SUM($Z94:BB94)-SUM($CM94:DO94)</f>
        <v>-23040</v>
      </c>
      <c r="CJ94" s="93"/>
      <c r="CK94" s="93"/>
      <c r="CL94" s="93"/>
      <c r="CM94" s="93"/>
      <c r="CN94" s="93" cm="1">
        <f t="array" ref="CN94">SUMPRODUCT(TRANSPOSE(CN$4:CN$20),$G94:$W94)</f>
        <v>0</v>
      </c>
      <c r="CO94" s="93" cm="1">
        <f t="array" ref="CO94">SUMPRODUCT(TRANSPOSE(CO$4:CO$20),$G94:$W94)</f>
        <v>0</v>
      </c>
      <c r="CP94" s="93" cm="1">
        <f t="array" ref="CP94">SUMPRODUCT(TRANSPOSE(CP$4:CP$20),$G94:$W94)</f>
        <v>0</v>
      </c>
      <c r="CQ94" s="93" cm="1">
        <f t="array" ref="CQ94">SUMPRODUCT(TRANSPOSE(CQ$4:CQ$20),$G94:$W94)</f>
        <v>2880</v>
      </c>
      <c r="CR94" s="93" cm="1">
        <f t="array" ref="CR94">SUMPRODUCT(TRANSPOSE(CR$4:CR$20),$G94:$W94)</f>
        <v>2880</v>
      </c>
      <c r="CS94" s="93" cm="1">
        <f t="array" ref="CS94">SUMPRODUCT(TRANSPOSE(CS$4:CS$20),$G94:$W94)</f>
        <v>2880</v>
      </c>
      <c r="CT94" s="93" cm="1">
        <f t="array" ref="CT94">SUMPRODUCT(TRANSPOSE(CT$4:CT$20),$G94:$W94)</f>
        <v>2880</v>
      </c>
      <c r="CU94" s="93" cm="1">
        <f t="array" ref="CU94">SUMPRODUCT(TRANSPOSE(CU$4:CU$20),$G94:$W94)</f>
        <v>2880</v>
      </c>
      <c r="CV94" s="93" cm="1">
        <f t="array" ref="CV94">SUMPRODUCT(TRANSPOSE(CV$4:CV$20),$G94:$W94)</f>
        <v>2880</v>
      </c>
      <c r="CW94" s="93" cm="1">
        <f t="array" ref="CW94">SUMPRODUCT(TRANSPOSE(CW$4:CW$20),$G94:$W94)</f>
        <v>2880</v>
      </c>
      <c r="CX94" s="93" cm="1">
        <f t="array" ref="CX94">SUMPRODUCT(TRANSPOSE(CX$4:CX$20),$G94:$W94)</f>
        <v>2880</v>
      </c>
      <c r="CY94" s="93" cm="1">
        <f t="array" ref="CY94">SUMPRODUCT(TRANSPOSE(CY$4:CY$20),$G94:$W94)</f>
        <v>0</v>
      </c>
      <c r="CZ94" s="93" cm="1">
        <f t="array" ref="CZ94">SUMPRODUCT(TRANSPOSE(CZ$4:CZ$20),$G94:$W94)</f>
        <v>0</v>
      </c>
      <c r="DA94" s="93" cm="1">
        <f t="array" ref="DA94">SUMPRODUCT(TRANSPOSE(DA$4:DA$20),$G94:$W94)</f>
        <v>0</v>
      </c>
      <c r="DB94" s="93" cm="1">
        <f t="array" ref="DB94">SUMPRODUCT(TRANSPOSE(DB$4:DB$20),$G94:$W94)</f>
        <v>0</v>
      </c>
      <c r="DC94" s="93" cm="1">
        <f t="array" ref="DC94">SUMPRODUCT(TRANSPOSE(DC$4:DC$20),$G94:$W94)</f>
        <v>0</v>
      </c>
      <c r="DD94" s="93" cm="1">
        <f t="array" ref="DD94">SUMPRODUCT(TRANSPOSE(DD$4:DD$20),$G94:$W94)</f>
        <v>0</v>
      </c>
      <c r="DE94" s="93" cm="1">
        <f t="array" ref="DE94">SUMPRODUCT(TRANSPOSE(DE$4:DE$20),$G94:$W94)</f>
        <v>0</v>
      </c>
      <c r="DF94" s="93" cm="1">
        <f t="array" ref="DF94">SUMPRODUCT(TRANSPOSE(DF$4:DF$20),$G94:$W94)</f>
        <v>0</v>
      </c>
      <c r="DG94" s="93" cm="1">
        <f t="array" ref="DG94">SUMPRODUCT(TRANSPOSE(DG$4:DG$20),$G94:$W94)</f>
        <v>0</v>
      </c>
      <c r="DH94" s="93" cm="1">
        <f t="array" ref="DH94">SUMPRODUCT(TRANSPOSE(DH$4:DH$20),$G94:$W94)</f>
        <v>0</v>
      </c>
      <c r="DI94" s="93" cm="1">
        <f t="array" ref="DI94">SUMPRODUCT(TRANSPOSE(DI$4:DI$20),$G94:$W94)</f>
        <v>0</v>
      </c>
      <c r="DJ94" s="93" cm="1">
        <f t="array" ref="DJ94">SUMPRODUCT(TRANSPOSE(DJ$4:DJ$20),$G94:$W94)</f>
        <v>0</v>
      </c>
      <c r="DK94" s="93" cm="1">
        <f t="array" ref="DK94">SUMPRODUCT(TRANSPOSE(DK$4:DK$20),$G94:$W94)</f>
        <v>0</v>
      </c>
      <c r="DL94" s="93" cm="1">
        <f t="array" ref="DL94">SUMPRODUCT(TRANSPOSE(DL$4:DL$20),$G94:$W94)</f>
        <v>0</v>
      </c>
      <c r="DM94" s="93" cm="1">
        <f t="array" ref="DM94">SUMPRODUCT(TRANSPOSE(DM$4:DM$20),$G94:$W94)</f>
        <v>0</v>
      </c>
      <c r="DN94" s="93" cm="1">
        <f t="array" ref="DN94">SUMPRODUCT(TRANSPOSE(DN$4:DN$20),$G94:$W94)</f>
        <v>0</v>
      </c>
      <c r="DO94" s="93" cm="1">
        <f t="array" ref="DO94">SUMPRODUCT(TRANSPOSE(DO$4:DO$20),$G94:$W94)</f>
        <v>0</v>
      </c>
    </row>
    <row r="95" spans="1:119" x14ac:dyDescent="0.2">
      <c r="A95" s="45">
        <f t="shared" si="27"/>
        <v>74</v>
      </c>
      <c r="B95" s="46" t="s">
        <v>292</v>
      </c>
      <c r="C95" s="45">
        <v>414889959</v>
      </c>
      <c r="D95" s="45" t="s">
        <v>293</v>
      </c>
      <c r="E95" s="45" t="s">
        <v>162</v>
      </c>
      <c r="F95" s="48">
        <v>1</v>
      </c>
      <c r="G95" s="100">
        <v>0</v>
      </c>
      <c r="H95" s="100">
        <v>0</v>
      </c>
      <c r="I95" s="100">
        <v>0</v>
      </c>
      <c r="J95" s="100">
        <v>0</v>
      </c>
      <c r="K95" s="100">
        <v>0</v>
      </c>
      <c r="L95" s="100">
        <v>0</v>
      </c>
      <c r="M95" s="100">
        <v>0</v>
      </c>
      <c r="N95" s="100">
        <v>0</v>
      </c>
      <c r="O95" s="100">
        <v>0</v>
      </c>
      <c r="P95" s="100">
        <v>0</v>
      </c>
      <c r="Q95" s="100">
        <v>0</v>
      </c>
      <c r="R95" s="100">
        <v>0</v>
      </c>
      <c r="S95" s="100">
        <v>0</v>
      </c>
      <c r="T95" s="100">
        <v>0</v>
      </c>
      <c r="U95" s="100">
        <v>0</v>
      </c>
      <c r="V95" s="100">
        <v>0</v>
      </c>
      <c r="W95" s="100">
        <v>1</v>
      </c>
      <c r="X95" s="45" t="s">
        <v>6</v>
      </c>
      <c r="Y95" s="49">
        <v>0</v>
      </c>
      <c r="Z95" s="45">
        <v>0</v>
      </c>
      <c r="AA95" s="45">
        <v>0</v>
      </c>
      <c r="AB95" s="45">
        <v>0</v>
      </c>
      <c r="AC95" s="45">
        <v>0</v>
      </c>
      <c r="AD95" s="45">
        <v>0</v>
      </c>
      <c r="AE95" s="45">
        <v>0</v>
      </c>
      <c r="AF95" s="45">
        <v>0</v>
      </c>
      <c r="AG95" s="45">
        <v>0</v>
      </c>
      <c r="AH95" s="45">
        <v>0</v>
      </c>
      <c r="AI95" s="45">
        <v>0</v>
      </c>
      <c r="AJ95" s="45">
        <v>0</v>
      </c>
      <c r="AK95" s="45">
        <v>0</v>
      </c>
      <c r="AL95" s="45">
        <v>0</v>
      </c>
      <c r="AM95" s="45">
        <v>0</v>
      </c>
      <c r="AN95" s="45">
        <v>0</v>
      </c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93"/>
      <c r="BE95" s="93"/>
      <c r="BF95" s="93"/>
      <c r="BG95" s="93"/>
      <c r="BH95" s="93"/>
      <c r="BI95" s="93"/>
      <c r="BJ95" s="93"/>
      <c r="BK95" s="93">
        <f>SUM($Z95:AD95)-SUM($CM95:CQ95)</f>
        <v>-16</v>
      </c>
      <c r="BL95" s="93">
        <f>SUM($Z95:AE95)-SUM($CM95:CR95)</f>
        <v>-32</v>
      </c>
      <c r="BM95" s="93">
        <f>SUM($Z95:AF95)-SUM($CM95:CS95)</f>
        <v>-48</v>
      </c>
      <c r="BN95" s="93">
        <f>SUM($Z95:AG95)-SUM($CM95:CT95)</f>
        <v>-64</v>
      </c>
      <c r="BO95" s="93">
        <f>SUM($Z95:AH95)-SUM($CM95:CU95)</f>
        <v>-80</v>
      </c>
      <c r="BP95" s="93">
        <f>SUM($Z95:AI95)-SUM($CM95:CV95)</f>
        <v>-96</v>
      </c>
      <c r="BQ95" s="93">
        <f>SUM($Z95:AJ95)-SUM($CM95:CW95)</f>
        <v>-112</v>
      </c>
      <c r="BR95" s="93">
        <f>SUM($Z95:AK95)-SUM($CM95:CX95)</f>
        <v>-128</v>
      </c>
      <c r="BS95" s="93">
        <f>SUM($Z95:AL95)-SUM($CM95:CY95)</f>
        <v>-128</v>
      </c>
      <c r="BT95" s="93">
        <f>SUM($Z95:AM95)-SUM($CM95:CZ95)</f>
        <v>-128</v>
      </c>
      <c r="BU95" s="93">
        <f>SUM($Z95:AN95)-SUM($CM95:DA95)</f>
        <v>-128</v>
      </c>
      <c r="BV95" s="93">
        <f>SUM($Z95:AO95)-SUM($CM95:DB95)</f>
        <v>-128</v>
      </c>
      <c r="BW95" s="93">
        <f>SUM($Z95:AP95)-SUM($CM95:DC95)</f>
        <v>-128</v>
      </c>
      <c r="BX95" s="93">
        <f>SUM($Z95:AQ95)-SUM($CM95:DD95)</f>
        <v>-128</v>
      </c>
      <c r="BY95" s="93">
        <f>SUM($Z95:AR95)-SUM($CM95:DE95)</f>
        <v>-128</v>
      </c>
      <c r="BZ95" s="93">
        <f>SUM($Z95:AS95)-SUM($CM95:DF95)</f>
        <v>-128</v>
      </c>
      <c r="CA95" s="93">
        <f>SUM($Z95:AT95)-SUM($CM95:DG95)</f>
        <v>-128</v>
      </c>
      <c r="CB95" s="93">
        <f>SUM($Z95:AU95)-SUM($CM95:DH95)</f>
        <v>-128</v>
      </c>
      <c r="CC95" s="93">
        <f>SUM($Z95:AV95)-SUM($CM95:DI95)</f>
        <v>-128</v>
      </c>
      <c r="CD95" s="93">
        <f>SUM($Z95:AW95)-SUM($CM95:DJ95)</f>
        <v>-128</v>
      </c>
      <c r="CE95" s="93">
        <f>SUM($Z95:AX95)-SUM($CM95:DK95)</f>
        <v>-128</v>
      </c>
      <c r="CF95" s="93">
        <f>SUM($Z95:AY95)-SUM($CM95:DL95)</f>
        <v>-128</v>
      </c>
      <c r="CG95" s="93">
        <f>SUM($Z95:AZ95)-SUM($CM95:DM95)</f>
        <v>-128</v>
      </c>
      <c r="CH95" s="93">
        <f>SUM($Z95:BA95)-SUM($CM95:DN95)</f>
        <v>-128</v>
      </c>
      <c r="CI95" s="93">
        <f>SUM($Z95:BB95)-SUM($CM95:DO95)</f>
        <v>-128</v>
      </c>
      <c r="CJ95" s="93"/>
      <c r="CK95" s="93"/>
      <c r="CL95" s="93"/>
      <c r="CM95" s="93"/>
      <c r="CN95" s="93" cm="1">
        <f t="array" ref="CN95">SUMPRODUCT(TRANSPOSE(CN$4:CN$20),$G95:$W95)</f>
        <v>0</v>
      </c>
      <c r="CO95" s="93" cm="1">
        <f t="array" ref="CO95">SUMPRODUCT(TRANSPOSE(CO$4:CO$20),$G95:$W95)</f>
        <v>0</v>
      </c>
      <c r="CP95" s="93" cm="1">
        <f t="array" ref="CP95">SUMPRODUCT(TRANSPOSE(CP$4:CP$20),$G95:$W95)</f>
        <v>0</v>
      </c>
      <c r="CQ95" s="93" cm="1">
        <f t="array" ref="CQ95">SUMPRODUCT(TRANSPOSE(CQ$4:CQ$20),$G95:$W95)</f>
        <v>16</v>
      </c>
      <c r="CR95" s="93" cm="1">
        <f t="array" ref="CR95">SUMPRODUCT(TRANSPOSE(CR$4:CR$20),$G95:$W95)</f>
        <v>16</v>
      </c>
      <c r="CS95" s="93" cm="1">
        <f t="array" ref="CS95">SUMPRODUCT(TRANSPOSE(CS$4:CS$20),$G95:$W95)</f>
        <v>16</v>
      </c>
      <c r="CT95" s="93" cm="1">
        <f t="array" ref="CT95">SUMPRODUCT(TRANSPOSE(CT$4:CT$20),$G95:$W95)</f>
        <v>16</v>
      </c>
      <c r="CU95" s="93" cm="1">
        <f t="array" ref="CU95">SUMPRODUCT(TRANSPOSE(CU$4:CU$20),$G95:$W95)</f>
        <v>16</v>
      </c>
      <c r="CV95" s="93" cm="1">
        <f t="array" ref="CV95">SUMPRODUCT(TRANSPOSE(CV$4:CV$20),$G95:$W95)</f>
        <v>16</v>
      </c>
      <c r="CW95" s="93" cm="1">
        <f t="array" ref="CW95">SUMPRODUCT(TRANSPOSE(CW$4:CW$20),$G95:$W95)</f>
        <v>16</v>
      </c>
      <c r="CX95" s="93" cm="1">
        <f t="array" ref="CX95">SUMPRODUCT(TRANSPOSE(CX$4:CX$20),$G95:$W95)</f>
        <v>16</v>
      </c>
      <c r="CY95" s="93" cm="1">
        <f t="array" ref="CY95">SUMPRODUCT(TRANSPOSE(CY$4:CY$20),$G95:$W95)</f>
        <v>0</v>
      </c>
      <c r="CZ95" s="93" cm="1">
        <f t="array" ref="CZ95">SUMPRODUCT(TRANSPOSE(CZ$4:CZ$20),$G95:$W95)</f>
        <v>0</v>
      </c>
      <c r="DA95" s="93" cm="1">
        <f t="array" ref="DA95">SUMPRODUCT(TRANSPOSE(DA$4:DA$20),$G95:$W95)</f>
        <v>0</v>
      </c>
      <c r="DB95" s="93" cm="1">
        <f t="array" ref="DB95">SUMPRODUCT(TRANSPOSE(DB$4:DB$20),$G95:$W95)</f>
        <v>0</v>
      </c>
      <c r="DC95" s="93" cm="1">
        <f t="array" ref="DC95">SUMPRODUCT(TRANSPOSE(DC$4:DC$20),$G95:$W95)</f>
        <v>0</v>
      </c>
      <c r="DD95" s="93" cm="1">
        <f t="array" ref="DD95">SUMPRODUCT(TRANSPOSE(DD$4:DD$20),$G95:$W95)</f>
        <v>0</v>
      </c>
      <c r="DE95" s="93" cm="1">
        <f t="array" ref="DE95">SUMPRODUCT(TRANSPOSE(DE$4:DE$20),$G95:$W95)</f>
        <v>0</v>
      </c>
      <c r="DF95" s="93" cm="1">
        <f t="array" ref="DF95">SUMPRODUCT(TRANSPOSE(DF$4:DF$20),$G95:$W95)</f>
        <v>0</v>
      </c>
      <c r="DG95" s="93" cm="1">
        <f t="array" ref="DG95">SUMPRODUCT(TRANSPOSE(DG$4:DG$20),$G95:$W95)</f>
        <v>0</v>
      </c>
      <c r="DH95" s="93" cm="1">
        <f t="array" ref="DH95">SUMPRODUCT(TRANSPOSE(DH$4:DH$20),$G95:$W95)</f>
        <v>0</v>
      </c>
      <c r="DI95" s="93" cm="1">
        <f t="array" ref="DI95">SUMPRODUCT(TRANSPOSE(DI$4:DI$20),$G95:$W95)</f>
        <v>0</v>
      </c>
      <c r="DJ95" s="93" cm="1">
        <f t="array" ref="DJ95">SUMPRODUCT(TRANSPOSE(DJ$4:DJ$20),$G95:$W95)</f>
        <v>0</v>
      </c>
      <c r="DK95" s="93" cm="1">
        <f t="array" ref="DK95">SUMPRODUCT(TRANSPOSE(DK$4:DK$20),$G95:$W95)</f>
        <v>0</v>
      </c>
      <c r="DL95" s="93" cm="1">
        <f t="array" ref="DL95">SUMPRODUCT(TRANSPOSE(DL$4:DL$20),$G95:$W95)</f>
        <v>0</v>
      </c>
      <c r="DM95" s="93" cm="1">
        <f t="array" ref="DM95">SUMPRODUCT(TRANSPOSE(DM$4:DM$20),$G95:$W95)</f>
        <v>0</v>
      </c>
      <c r="DN95" s="93" cm="1">
        <f t="array" ref="DN95">SUMPRODUCT(TRANSPOSE(DN$4:DN$20),$G95:$W95)</f>
        <v>0</v>
      </c>
      <c r="DO95" s="93" cm="1">
        <f t="array" ref="DO95">SUMPRODUCT(TRANSPOSE(DO$4:DO$20),$G95:$W95)</f>
        <v>0</v>
      </c>
    </row>
    <row r="96" spans="1:119" x14ac:dyDescent="0.2">
      <c r="A96" s="45">
        <f t="shared" si="27"/>
        <v>75</v>
      </c>
      <c r="B96" s="46" t="s">
        <v>294</v>
      </c>
      <c r="C96" s="45">
        <v>414889962</v>
      </c>
      <c r="D96" s="45" t="s">
        <v>295</v>
      </c>
      <c r="E96" s="45" t="s">
        <v>162</v>
      </c>
      <c r="F96" s="48">
        <v>1</v>
      </c>
      <c r="G96" s="100">
        <v>0</v>
      </c>
      <c r="H96" s="100">
        <v>0</v>
      </c>
      <c r="I96" s="100">
        <v>0</v>
      </c>
      <c r="J96" s="100">
        <v>0</v>
      </c>
      <c r="K96" s="100">
        <v>0</v>
      </c>
      <c r="L96" s="100">
        <v>0</v>
      </c>
      <c r="M96" s="100">
        <v>0</v>
      </c>
      <c r="N96" s="100">
        <v>0</v>
      </c>
      <c r="O96" s="100">
        <v>0</v>
      </c>
      <c r="P96" s="100">
        <v>0</v>
      </c>
      <c r="Q96" s="100">
        <v>0</v>
      </c>
      <c r="R96" s="100">
        <v>0</v>
      </c>
      <c r="S96" s="100">
        <v>0</v>
      </c>
      <c r="T96" s="100">
        <v>0</v>
      </c>
      <c r="U96" s="100">
        <v>0</v>
      </c>
      <c r="V96" s="100">
        <v>0</v>
      </c>
      <c r="W96" s="100">
        <v>2</v>
      </c>
      <c r="X96" s="45" t="s">
        <v>6</v>
      </c>
      <c r="Y96" s="49">
        <v>0</v>
      </c>
      <c r="Z96" s="45">
        <v>0</v>
      </c>
      <c r="AA96" s="45">
        <v>0</v>
      </c>
      <c r="AB96" s="45">
        <v>0</v>
      </c>
      <c r="AC96" s="45">
        <v>0</v>
      </c>
      <c r="AD96" s="45">
        <v>0</v>
      </c>
      <c r="AE96" s="45">
        <v>0</v>
      </c>
      <c r="AF96" s="45">
        <v>0</v>
      </c>
      <c r="AG96" s="45">
        <v>0</v>
      </c>
      <c r="AH96" s="45">
        <v>0</v>
      </c>
      <c r="AI96" s="45">
        <v>0</v>
      </c>
      <c r="AJ96" s="45">
        <v>0</v>
      </c>
      <c r="AK96" s="45">
        <v>0</v>
      </c>
      <c r="AL96" s="45">
        <v>0</v>
      </c>
      <c r="AM96" s="45">
        <v>0</v>
      </c>
      <c r="AN96" s="45">
        <v>0</v>
      </c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93"/>
      <c r="BE96" s="93"/>
      <c r="BF96" s="93"/>
      <c r="BG96" s="93"/>
      <c r="BH96" s="93"/>
      <c r="BI96" s="93"/>
      <c r="BJ96" s="93"/>
      <c r="BK96" s="93">
        <f>SUM($Z96:AD96)-SUM($CM96:CQ96)</f>
        <v>-32</v>
      </c>
      <c r="BL96" s="93">
        <f>SUM($Z96:AE96)-SUM($CM96:CR96)</f>
        <v>-64</v>
      </c>
      <c r="BM96" s="93">
        <f>SUM($Z96:AF96)-SUM($CM96:CS96)</f>
        <v>-96</v>
      </c>
      <c r="BN96" s="93">
        <f>SUM($Z96:AG96)-SUM($CM96:CT96)</f>
        <v>-128</v>
      </c>
      <c r="BO96" s="93">
        <f>SUM($Z96:AH96)-SUM($CM96:CU96)</f>
        <v>-160</v>
      </c>
      <c r="BP96" s="93">
        <f>SUM($Z96:AI96)-SUM($CM96:CV96)</f>
        <v>-192</v>
      </c>
      <c r="BQ96" s="93">
        <f>SUM($Z96:AJ96)-SUM($CM96:CW96)</f>
        <v>-224</v>
      </c>
      <c r="BR96" s="93">
        <f>SUM($Z96:AK96)-SUM($CM96:CX96)</f>
        <v>-256</v>
      </c>
      <c r="BS96" s="93">
        <f>SUM($Z96:AL96)-SUM($CM96:CY96)</f>
        <v>-256</v>
      </c>
      <c r="BT96" s="93">
        <f>SUM($Z96:AM96)-SUM($CM96:CZ96)</f>
        <v>-256</v>
      </c>
      <c r="BU96" s="93">
        <f>SUM($Z96:AN96)-SUM($CM96:DA96)</f>
        <v>-256</v>
      </c>
      <c r="BV96" s="93">
        <f>SUM($Z96:AO96)-SUM($CM96:DB96)</f>
        <v>-256</v>
      </c>
      <c r="BW96" s="93">
        <f>SUM($Z96:AP96)-SUM($CM96:DC96)</f>
        <v>-256</v>
      </c>
      <c r="BX96" s="93">
        <f>SUM($Z96:AQ96)-SUM($CM96:DD96)</f>
        <v>-256</v>
      </c>
      <c r="BY96" s="93">
        <f>SUM($Z96:AR96)-SUM($CM96:DE96)</f>
        <v>-256</v>
      </c>
      <c r="BZ96" s="93">
        <f>SUM($Z96:AS96)-SUM($CM96:DF96)</f>
        <v>-256</v>
      </c>
      <c r="CA96" s="93">
        <f>SUM($Z96:AT96)-SUM($CM96:DG96)</f>
        <v>-256</v>
      </c>
      <c r="CB96" s="93">
        <f>SUM($Z96:AU96)-SUM($CM96:DH96)</f>
        <v>-256</v>
      </c>
      <c r="CC96" s="93">
        <f>SUM($Z96:AV96)-SUM($CM96:DI96)</f>
        <v>-256</v>
      </c>
      <c r="CD96" s="93">
        <f>SUM($Z96:AW96)-SUM($CM96:DJ96)</f>
        <v>-256</v>
      </c>
      <c r="CE96" s="93">
        <f>SUM($Z96:AX96)-SUM($CM96:DK96)</f>
        <v>-256</v>
      </c>
      <c r="CF96" s="93">
        <f>SUM($Z96:AY96)-SUM($CM96:DL96)</f>
        <v>-256</v>
      </c>
      <c r="CG96" s="93">
        <f>SUM($Z96:AZ96)-SUM($CM96:DM96)</f>
        <v>-256</v>
      </c>
      <c r="CH96" s="93">
        <f>SUM($Z96:BA96)-SUM($CM96:DN96)</f>
        <v>-256</v>
      </c>
      <c r="CI96" s="93">
        <f>SUM($Z96:BB96)-SUM($CM96:DO96)</f>
        <v>-256</v>
      </c>
      <c r="CJ96" s="93"/>
      <c r="CK96" s="93"/>
      <c r="CL96" s="93"/>
      <c r="CM96" s="93"/>
      <c r="CN96" s="93" cm="1">
        <f t="array" ref="CN96">SUMPRODUCT(TRANSPOSE(CN$4:CN$20),$G96:$W96)</f>
        <v>0</v>
      </c>
      <c r="CO96" s="93" cm="1">
        <f t="array" ref="CO96">SUMPRODUCT(TRANSPOSE(CO$4:CO$20),$G96:$W96)</f>
        <v>0</v>
      </c>
      <c r="CP96" s="93" cm="1">
        <f t="array" ref="CP96">SUMPRODUCT(TRANSPOSE(CP$4:CP$20),$G96:$W96)</f>
        <v>0</v>
      </c>
      <c r="CQ96" s="93" cm="1">
        <f t="array" ref="CQ96">SUMPRODUCT(TRANSPOSE(CQ$4:CQ$20),$G96:$W96)</f>
        <v>32</v>
      </c>
      <c r="CR96" s="93" cm="1">
        <f t="array" ref="CR96">SUMPRODUCT(TRANSPOSE(CR$4:CR$20),$G96:$W96)</f>
        <v>32</v>
      </c>
      <c r="CS96" s="93" cm="1">
        <f t="array" ref="CS96">SUMPRODUCT(TRANSPOSE(CS$4:CS$20),$G96:$W96)</f>
        <v>32</v>
      </c>
      <c r="CT96" s="93" cm="1">
        <f t="array" ref="CT96">SUMPRODUCT(TRANSPOSE(CT$4:CT$20),$G96:$W96)</f>
        <v>32</v>
      </c>
      <c r="CU96" s="93" cm="1">
        <f t="array" ref="CU96">SUMPRODUCT(TRANSPOSE(CU$4:CU$20),$G96:$W96)</f>
        <v>32</v>
      </c>
      <c r="CV96" s="93" cm="1">
        <f t="array" ref="CV96">SUMPRODUCT(TRANSPOSE(CV$4:CV$20),$G96:$W96)</f>
        <v>32</v>
      </c>
      <c r="CW96" s="93" cm="1">
        <f t="array" ref="CW96">SUMPRODUCT(TRANSPOSE(CW$4:CW$20),$G96:$W96)</f>
        <v>32</v>
      </c>
      <c r="CX96" s="93" cm="1">
        <f t="array" ref="CX96">SUMPRODUCT(TRANSPOSE(CX$4:CX$20),$G96:$W96)</f>
        <v>32</v>
      </c>
      <c r="CY96" s="93" cm="1">
        <f t="array" ref="CY96">SUMPRODUCT(TRANSPOSE(CY$4:CY$20),$G96:$W96)</f>
        <v>0</v>
      </c>
      <c r="CZ96" s="93" cm="1">
        <f t="array" ref="CZ96">SUMPRODUCT(TRANSPOSE(CZ$4:CZ$20),$G96:$W96)</f>
        <v>0</v>
      </c>
      <c r="DA96" s="93" cm="1">
        <f t="array" ref="DA96">SUMPRODUCT(TRANSPOSE(DA$4:DA$20),$G96:$W96)</f>
        <v>0</v>
      </c>
      <c r="DB96" s="93" cm="1">
        <f t="array" ref="DB96">SUMPRODUCT(TRANSPOSE(DB$4:DB$20),$G96:$W96)</f>
        <v>0</v>
      </c>
      <c r="DC96" s="93" cm="1">
        <f t="array" ref="DC96">SUMPRODUCT(TRANSPOSE(DC$4:DC$20),$G96:$W96)</f>
        <v>0</v>
      </c>
      <c r="DD96" s="93" cm="1">
        <f t="array" ref="DD96">SUMPRODUCT(TRANSPOSE(DD$4:DD$20),$G96:$W96)</f>
        <v>0</v>
      </c>
      <c r="DE96" s="93" cm="1">
        <f t="array" ref="DE96">SUMPRODUCT(TRANSPOSE(DE$4:DE$20),$G96:$W96)</f>
        <v>0</v>
      </c>
      <c r="DF96" s="93" cm="1">
        <f t="array" ref="DF96">SUMPRODUCT(TRANSPOSE(DF$4:DF$20),$G96:$W96)</f>
        <v>0</v>
      </c>
      <c r="DG96" s="93" cm="1">
        <f t="array" ref="DG96">SUMPRODUCT(TRANSPOSE(DG$4:DG$20),$G96:$W96)</f>
        <v>0</v>
      </c>
      <c r="DH96" s="93" cm="1">
        <f t="array" ref="DH96">SUMPRODUCT(TRANSPOSE(DH$4:DH$20),$G96:$W96)</f>
        <v>0</v>
      </c>
      <c r="DI96" s="93" cm="1">
        <f t="array" ref="DI96">SUMPRODUCT(TRANSPOSE(DI$4:DI$20),$G96:$W96)</f>
        <v>0</v>
      </c>
      <c r="DJ96" s="93" cm="1">
        <f t="array" ref="DJ96">SUMPRODUCT(TRANSPOSE(DJ$4:DJ$20),$G96:$W96)</f>
        <v>0</v>
      </c>
      <c r="DK96" s="93" cm="1">
        <f t="array" ref="DK96">SUMPRODUCT(TRANSPOSE(DK$4:DK$20),$G96:$W96)</f>
        <v>0</v>
      </c>
      <c r="DL96" s="93" cm="1">
        <f t="array" ref="DL96">SUMPRODUCT(TRANSPOSE(DL$4:DL$20),$G96:$W96)</f>
        <v>0</v>
      </c>
      <c r="DM96" s="93" cm="1">
        <f t="array" ref="DM96">SUMPRODUCT(TRANSPOSE(DM$4:DM$20),$G96:$W96)</f>
        <v>0</v>
      </c>
      <c r="DN96" s="93" cm="1">
        <f t="array" ref="DN96">SUMPRODUCT(TRANSPOSE(DN$4:DN$20),$G96:$W96)</f>
        <v>0</v>
      </c>
      <c r="DO96" s="93" cm="1">
        <f t="array" ref="DO96">SUMPRODUCT(TRANSPOSE(DO$4:DO$20),$G96:$W96)</f>
        <v>0</v>
      </c>
    </row>
    <row r="97" spans="1:119" x14ac:dyDescent="0.2">
      <c r="A97" s="45">
        <f t="shared" si="27"/>
        <v>76</v>
      </c>
      <c r="B97" s="46" t="s">
        <v>296</v>
      </c>
      <c r="C97" s="45">
        <v>414889958</v>
      </c>
      <c r="D97" s="45" t="s">
        <v>297</v>
      </c>
      <c r="E97" s="45" t="s">
        <v>162</v>
      </c>
      <c r="F97" s="48">
        <v>1</v>
      </c>
      <c r="G97" s="100">
        <v>0</v>
      </c>
      <c r="H97" s="100">
        <v>0</v>
      </c>
      <c r="I97" s="100">
        <v>0</v>
      </c>
      <c r="J97" s="100">
        <v>0</v>
      </c>
      <c r="K97" s="100">
        <v>0</v>
      </c>
      <c r="L97" s="100">
        <v>0</v>
      </c>
      <c r="M97" s="100">
        <v>0</v>
      </c>
      <c r="N97" s="100">
        <v>0</v>
      </c>
      <c r="O97" s="100">
        <v>0</v>
      </c>
      <c r="P97" s="100">
        <v>0</v>
      </c>
      <c r="Q97" s="100">
        <v>0</v>
      </c>
      <c r="R97" s="100">
        <v>0</v>
      </c>
      <c r="S97" s="100">
        <v>0</v>
      </c>
      <c r="T97" s="100">
        <v>0</v>
      </c>
      <c r="U97" s="100">
        <v>0</v>
      </c>
      <c r="V97" s="100">
        <v>0</v>
      </c>
      <c r="W97" s="100">
        <v>4</v>
      </c>
      <c r="X97" s="45" t="s">
        <v>6</v>
      </c>
      <c r="Y97" s="49">
        <v>0</v>
      </c>
      <c r="Z97" s="45">
        <v>0</v>
      </c>
      <c r="AA97" s="45">
        <v>0</v>
      </c>
      <c r="AB97" s="45">
        <v>0</v>
      </c>
      <c r="AC97" s="45">
        <v>0</v>
      </c>
      <c r="AD97" s="45">
        <v>0</v>
      </c>
      <c r="AE97" s="45">
        <v>0</v>
      </c>
      <c r="AF97" s="45">
        <v>0</v>
      </c>
      <c r="AG97" s="45">
        <v>0</v>
      </c>
      <c r="AH97" s="45">
        <v>0</v>
      </c>
      <c r="AI97" s="45">
        <v>0</v>
      </c>
      <c r="AJ97" s="45">
        <v>0</v>
      </c>
      <c r="AK97" s="45">
        <v>0</v>
      </c>
      <c r="AL97" s="45">
        <v>0</v>
      </c>
      <c r="AM97" s="45">
        <v>0</v>
      </c>
      <c r="AN97" s="45">
        <v>0</v>
      </c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93"/>
      <c r="BE97" s="93"/>
      <c r="BF97" s="93"/>
      <c r="BG97" s="93"/>
      <c r="BH97" s="93"/>
      <c r="BI97" s="93"/>
      <c r="BJ97" s="93"/>
      <c r="BK97" s="93">
        <f>SUM($Z97:AD97)-SUM($CM97:CQ97)</f>
        <v>-64</v>
      </c>
      <c r="BL97" s="93">
        <f>SUM($Z97:AE97)-SUM($CM97:CR97)</f>
        <v>-128</v>
      </c>
      <c r="BM97" s="93">
        <f>SUM($Z97:AF97)-SUM($CM97:CS97)</f>
        <v>-192</v>
      </c>
      <c r="BN97" s="93">
        <f>SUM($Z97:AG97)-SUM($CM97:CT97)</f>
        <v>-256</v>
      </c>
      <c r="BO97" s="93">
        <f>SUM($Z97:AH97)-SUM($CM97:CU97)</f>
        <v>-320</v>
      </c>
      <c r="BP97" s="93">
        <f>SUM($Z97:AI97)-SUM($CM97:CV97)</f>
        <v>-384</v>
      </c>
      <c r="BQ97" s="93">
        <f>SUM($Z97:AJ97)-SUM($CM97:CW97)</f>
        <v>-448</v>
      </c>
      <c r="BR97" s="93">
        <f>SUM($Z97:AK97)-SUM($CM97:CX97)</f>
        <v>-512</v>
      </c>
      <c r="BS97" s="93">
        <f>SUM($Z97:AL97)-SUM($CM97:CY97)</f>
        <v>-512</v>
      </c>
      <c r="BT97" s="93">
        <f>SUM($Z97:AM97)-SUM($CM97:CZ97)</f>
        <v>-512</v>
      </c>
      <c r="BU97" s="93">
        <f>SUM($Z97:AN97)-SUM($CM97:DA97)</f>
        <v>-512</v>
      </c>
      <c r="BV97" s="93">
        <f>SUM($Z97:AO97)-SUM($CM97:DB97)</f>
        <v>-512</v>
      </c>
      <c r="BW97" s="93">
        <f>SUM($Z97:AP97)-SUM($CM97:DC97)</f>
        <v>-512</v>
      </c>
      <c r="BX97" s="93">
        <f>SUM($Z97:AQ97)-SUM($CM97:DD97)</f>
        <v>-512</v>
      </c>
      <c r="BY97" s="93">
        <f>SUM($Z97:AR97)-SUM($CM97:DE97)</f>
        <v>-512</v>
      </c>
      <c r="BZ97" s="93">
        <f>SUM($Z97:AS97)-SUM($CM97:DF97)</f>
        <v>-512</v>
      </c>
      <c r="CA97" s="93">
        <f>SUM($Z97:AT97)-SUM($CM97:DG97)</f>
        <v>-512</v>
      </c>
      <c r="CB97" s="93">
        <f>SUM($Z97:AU97)-SUM($CM97:DH97)</f>
        <v>-512</v>
      </c>
      <c r="CC97" s="93">
        <f>SUM($Z97:AV97)-SUM($CM97:DI97)</f>
        <v>-512</v>
      </c>
      <c r="CD97" s="93">
        <f>SUM($Z97:AW97)-SUM($CM97:DJ97)</f>
        <v>-512</v>
      </c>
      <c r="CE97" s="93">
        <f>SUM($Z97:AX97)-SUM($CM97:DK97)</f>
        <v>-512</v>
      </c>
      <c r="CF97" s="93">
        <f>SUM($Z97:AY97)-SUM($CM97:DL97)</f>
        <v>-512</v>
      </c>
      <c r="CG97" s="93">
        <f>SUM($Z97:AZ97)-SUM($CM97:DM97)</f>
        <v>-512</v>
      </c>
      <c r="CH97" s="93">
        <f>SUM($Z97:BA97)-SUM($CM97:DN97)</f>
        <v>-512</v>
      </c>
      <c r="CI97" s="93">
        <f>SUM($Z97:BB97)-SUM($CM97:DO97)</f>
        <v>-512</v>
      </c>
      <c r="CJ97" s="93"/>
      <c r="CK97" s="93"/>
      <c r="CL97" s="93"/>
      <c r="CM97" s="93"/>
      <c r="CN97" s="93" cm="1">
        <f t="array" ref="CN97">SUMPRODUCT(TRANSPOSE(CN$4:CN$20),$G97:$W97)</f>
        <v>0</v>
      </c>
      <c r="CO97" s="93" cm="1">
        <f t="array" ref="CO97">SUMPRODUCT(TRANSPOSE(CO$4:CO$20),$G97:$W97)</f>
        <v>0</v>
      </c>
      <c r="CP97" s="93" cm="1">
        <f t="array" ref="CP97">SUMPRODUCT(TRANSPOSE(CP$4:CP$20),$G97:$W97)</f>
        <v>0</v>
      </c>
      <c r="CQ97" s="93" cm="1">
        <f t="array" ref="CQ97">SUMPRODUCT(TRANSPOSE(CQ$4:CQ$20),$G97:$W97)</f>
        <v>64</v>
      </c>
      <c r="CR97" s="93" cm="1">
        <f t="array" ref="CR97">SUMPRODUCT(TRANSPOSE(CR$4:CR$20),$G97:$W97)</f>
        <v>64</v>
      </c>
      <c r="CS97" s="93" cm="1">
        <f t="array" ref="CS97">SUMPRODUCT(TRANSPOSE(CS$4:CS$20),$G97:$W97)</f>
        <v>64</v>
      </c>
      <c r="CT97" s="93" cm="1">
        <f t="array" ref="CT97">SUMPRODUCT(TRANSPOSE(CT$4:CT$20),$G97:$W97)</f>
        <v>64</v>
      </c>
      <c r="CU97" s="93" cm="1">
        <f t="array" ref="CU97">SUMPRODUCT(TRANSPOSE(CU$4:CU$20),$G97:$W97)</f>
        <v>64</v>
      </c>
      <c r="CV97" s="93" cm="1">
        <f t="array" ref="CV97">SUMPRODUCT(TRANSPOSE(CV$4:CV$20),$G97:$W97)</f>
        <v>64</v>
      </c>
      <c r="CW97" s="93" cm="1">
        <f t="array" ref="CW97">SUMPRODUCT(TRANSPOSE(CW$4:CW$20),$G97:$W97)</f>
        <v>64</v>
      </c>
      <c r="CX97" s="93" cm="1">
        <f t="array" ref="CX97">SUMPRODUCT(TRANSPOSE(CX$4:CX$20),$G97:$W97)</f>
        <v>64</v>
      </c>
      <c r="CY97" s="93" cm="1">
        <f t="array" ref="CY97">SUMPRODUCT(TRANSPOSE(CY$4:CY$20),$G97:$W97)</f>
        <v>0</v>
      </c>
      <c r="CZ97" s="93" cm="1">
        <f t="array" ref="CZ97">SUMPRODUCT(TRANSPOSE(CZ$4:CZ$20),$G97:$W97)</f>
        <v>0</v>
      </c>
      <c r="DA97" s="93" cm="1">
        <f t="array" ref="DA97">SUMPRODUCT(TRANSPOSE(DA$4:DA$20),$G97:$W97)</f>
        <v>0</v>
      </c>
      <c r="DB97" s="93" cm="1">
        <f t="array" ref="DB97">SUMPRODUCT(TRANSPOSE(DB$4:DB$20),$G97:$W97)</f>
        <v>0</v>
      </c>
      <c r="DC97" s="93" cm="1">
        <f t="array" ref="DC97">SUMPRODUCT(TRANSPOSE(DC$4:DC$20),$G97:$W97)</f>
        <v>0</v>
      </c>
      <c r="DD97" s="93" cm="1">
        <f t="array" ref="DD97">SUMPRODUCT(TRANSPOSE(DD$4:DD$20),$G97:$W97)</f>
        <v>0</v>
      </c>
      <c r="DE97" s="93" cm="1">
        <f t="array" ref="DE97">SUMPRODUCT(TRANSPOSE(DE$4:DE$20),$G97:$W97)</f>
        <v>0</v>
      </c>
      <c r="DF97" s="93" cm="1">
        <f t="array" ref="DF97">SUMPRODUCT(TRANSPOSE(DF$4:DF$20),$G97:$W97)</f>
        <v>0</v>
      </c>
      <c r="DG97" s="93" cm="1">
        <f t="array" ref="DG97">SUMPRODUCT(TRANSPOSE(DG$4:DG$20),$G97:$W97)</f>
        <v>0</v>
      </c>
      <c r="DH97" s="93" cm="1">
        <f t="array" ref="DH97">SUMPRODUCT(TRANSPOSE(DH$4:DH$20),$G97:$W97)</f>
        <v>0</v>
      </c>
      <c r="DI97" s="93" cm="1">
        <f t="array" ref="DI97">SUMPRODUCT(TRANSPOSE(DI$4:DI$20),$G97:$W97)</f>
        <v>0</v>
      </c>
      <c r="DJ97" s="93" cm="1">
        <f t="array" ref="DJ97">SUMPRODUCT(TRANSPOSE(DJ$4:DJ$20),$G97:$W97)</f>
        <v>0</v>
      </c>
      <c r="DK97" s="93" cm="1">
        <f t="array" ref="DK97">SUMPRODUCT(TRANSPOSE(DK$4:DK$20),$G97:$W97)</f>
        <v>0</v>
      </c>
      <c r="DL97" s="93" cm="1">
        <f t="array" ref="DL97">SUMPRODUCT(TRANSPOSE(DL$4:DL$20),$G97:$W97)</f>
        <v>0</v>
      </c>
      <c r="DM97" s="93" cm="1">
        <f t="array" ref="DM97">SUMPRODUCT(TRANSPOSE(DM$4:DM$20),$G97:$W97)</f>
        <v>0</v>
      </c>
      <c r="DN97" s="93" cm="1">
        <f t="array" ref="DN97">SUMPRODUCT(TRANSPOSE(DN$4:DN$20),$G97:$W97)</f>
        <v>0</v>
      </c>
      <c r="DO97" s="93" cm="1">
        <f t="array" ref="DO97">SUMPRODUCT(TRANSPOSE(DO$4:DO$20),$G97:$W97)</f>
        <v>0</v>
      </c>
    </row>
    <row r="98" spans="1:119" x14ac:dyDescent="0.2">
      <c r="A98" s="45">
        <f t="shared" si="27"/>
        <v>77</v>
      </c>
      <c r="B98" s="46" t="s">
        <v>298</v>
      </c>
      <c r="C98" s="45">
        <v>414889957</v>
      </c>
      <c r="D98" s="45" t="s">
        <v>299</v>
      </c>
      <c r="E98" s="45" t="s">
        <v>162</v>
      </c>
      <c r="F98" s="48">
        <v>1</v>
      </c>
      <c r="G98" s="100">
        <v>0</v>
      </c>
      <c r="H98" s="100">
        <v>0</v>
      </c>
      <c r="I98" s="100">
        <v>0</v>
      </c>
      <c r="J98" s="100">
        <v>0</v>
      </c>
      <c r="K98" s="100">
        <v>0</v>
      </c>
      <c r="L98" s="100">
        <v>0</v>
      </c>
      <c r="M98" s="100">
        <v>0</v>
      </c>
      <c r="N98" s="100">
        <v>0</v>
      </c>
      <c r="O98" s="100">
        <v>0</v>
      </c>
      <c r="P98" s="100">
        <v>0</v>
      </c>
      <c r="Q98" s="100">
        <v>0</v>
      </c>
      <c r="R98" s="100">
        <v>0</v>
      </c>
      <c r="S98" s="100">
        <v>0</v>
      </c>
      <c r="T98" s="100">
        <v>0</v>
      </c>
      <c r="U98" s="100">
        <v>0</v>
      </c>
      <c r="V98" s="100">
        <v>0</v>
      </c>
      <c r="W98" s="100">
        <v>4</v>
      </c>
      <c r="X98" s="45" t="s">
        <v>6</v>
      </c>
      <c r="Y98" s="49">
        <v>0</v>
      </c>
      <c r="Z98" s="45">
        <v>0</v>
      </c>
      <c r="AA98" s="45">
        <v>0</v>
      </c>
      <c r="AB98" s="45">
        <v>0</v>
      </c>
      <c r="AC98" s="45">
        <v>0</v>
      </c>
      <c r="AD98" s="45">
        <v>0</v>
      </c>
      <c r="AE98" s="45">
        <v>0</v>
      </c>
      <c r="AF98" s="45">
        <v>0</v>
      </c>
      <c r="AG98" s="45">
        <v>0</v>
      </c>
      <c r="AH98" s="45">
        <v>0</v>
      </c>
      <c r="AI98" s="45">
        <v>0</v>
      </c>
      <c r="AJ98" s="45">
        <v>0</v>
      </c>
      <c r="AK98" s="45">
        <v>0</v>
      </c>
      <c r="AL98" s="45">
        <v>0</v>
      </c>
      <c r="AM98" s="45">
        <v>0</v>
      </c>
      <c r="AN98" s="45">
        <v>0</v>
      </c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93"/>
      <c r="BE98" s="93"/>
      <c r="BF98" s="93"/>
      <c r="BG98" s="93"/>
      <c r="BH98" s="93"/>
      <c r="BI98" s="93"/>
      <c r="BJ98" s="93"/>
      <c r="BK98" s="93">
        <f>SUM($Z98:AD98)-SUM($CM98:CQ98)</f>
        <v>-64</v>
      </c>
      <c r="BL98" s="93">
        <f>SUM($Z98:AE98)-SUM($CM98:CR98)</f>
        <v>-128</v>
      </c>
      <c r="BM98" s="93">
        <f>SUM($Z98:AF98)-SUM($CM98:CS98)</f>
        <v>-192</v>
      </c>
      <c r="BN98" s="93">
        <f>SUM($Z98:AG98)-SUM($CM98:CT98)</f>
        <v>-256</v>
      </c>
      <c r="BO98" s="93">
        <f>SUM($Z98:AH98)-SUM($CM98:CU98)</f>
        <v>-320</v>
      </c>
      <c r="BP98" s="93">
        <f>SUM($Z98:AI98)-SUM($CM98:CV98)</f>
        <v>-384</v>
      </c>
      <c r="BQ98" s="93">
        <f>SUM($Z98:AJ98)-SUM($CM98:CW98)</f>
        <v>-448</v>
      </c>
      <c r="BR98" s="93">
        <f>SUM($Z98:AK98)-SUM($CM98:CX98)</f>
        <v>-512</v>
      </c>
      <c r="BS98" s="93">
        <f>SUM($Z98:AL98)-SUM($CM98:CY98)</f>
        <v>-512</v>
      </c>
      <c r="BT98" s="93">
        <f>SUM($Z98:AM98)-SUM($CM98:CZ98)</f>
        <v>-512</v>
      </c>
      <c r="BU98" s="93">
        <f>SUM($Z98:AN98)-SUM($CM98:DA98)</f>
        <v>-512</v>
      </c>
      <c r="BV98" s="93">
        <f>SUM($Z98:AO98)-SUM($CM98:DB98)</f>
        <v>-512</v>
      </c>
      <c r="BW98" s="93">
        <f>SUM($Z98:AP98)-SUM($CM98:DC98)</f>
        <v>-512</v>
      </c>
      <c r="BX98" s="93">
        <f>SUM($Z98:AQ98)-SUM($CM98:DD98)</f>
        <v>-512</v>
      </c>
      <c r="BY98" s="93">
        <f>SUM($Z98:AR98)-SUM($CM98:DE98)</f>
        <v>-512</v>
      </c>
      <c r="BZ98" s="93">
        <f>SUM($Z98:AS98)-SUM($CM98:DF98)</f>
        <v>-512</v>
      </c>
      <c r="CA98" s="93">
        <f>SUM($Z98:AT98)-SUM($CM98:DG98)</f>
        <v>-512</v>
      </c>
      <c r="CB98" s="93">
        <f>SUM($Z98:AU98)-SUM($CM98:DH98)</f>
        <v>-512</v>
      </c>
      <c r="CC98" s="93">
        <f>SUM($Z98:AV98)-SUM($CM98:DI98)</f>
        <v>-512</v>
      </c>
      <c r="CD98" s="93">
        <f>SUM($Z98:AW98)-SUM($CM98:DJ98)</f>
        <v>-512</v>
      </c>
      <c r="CE98" s="93">
        <f>SUM($Z98:AX98)-SUM($CM98:DK98)</f>
        <v>-512</v>
      </c>
      <c r="CF98" s="93">
        <f>SUM($Z98:AY98)-SUM($CM98:DL98)</f>
        <v>-512</v>
      </c>
      <c r="CG98" s="93">
        <f>SUM($Z98:AZ98)-SUM($CM98:DM98)</f>
        <v>-512</v>
      </c>
      <c r="CH98" s="93">
        <f>SUM($Z98:BA98)-SUM($CM98:DN98)</f>
        <v>-512</v>
      </c>
      <c r="CI98" s="93">
        <f>SUM($Z98:BB98)-SUM($CM98:DO98)</f>
        <v>-512</v>
      </c>
      <c r="CJ98" s="93"/>
      <c r="CK98" s="93"/>
      <c r="CL98" s="93"/>
      <c r="CM98" s="93"/>
      <c r="CN98" s="93" cm="1">
        <f t="array" ref="CN98">SUMPRODUCT(TRANSPOSE(CN$4:CN$20),$G98:$W98)</f>
        <v>0</v>
      </c>
      <c r="CO98" s="93" cm="1">
        <f t="array" ref="CO98">SUMPRODUCT(TRANSPOSE(CO$4:CO$20),$G98:$W98)</f>
        <v>0</v>
      </c>
      <c r="CP98" s="93" cm="1">
        <f t="array" ref="CP98">SUMPRODUCT(TRANSPOSE(CP$4:CP$20),$G98:$W98)</f>
        <v>0</v>
      </c>
      <c r="CQ98" s="93" cm="1">
        <f t="array" ref="CQ98">SUMPRODUCT(TRANSPOSE(CQ$4:CQ$20),$G98:$W98)</f>
        <v>64</v>
      </c>
      <c r="CR98" s="93" cm="1">
        <f t="array" ref="CR98">SUMPRODUCT(TRANSPOSE(CR$4:CR$20),$G98:$W98)</f>
        <v>64</v>
      </c>
      <c r="CS98" s="93" cm="1">
        <f t="array" ref="CS98">SUMPRODUCT(TRANSPOSE(CS$4:CS$20),$G98:$W98)</f>
        <v>64</v>
      </c>
      <c r="CT98" s="93" cm="1">
        <f t="array" ref="CT98">SUMPRODUCT(TRANSPOSE(CT$4:CT$20),$G98:$W98)</f>
        <v>64</v>
      </c>
      <c r="CU98" s="93" cm="1">
        <f t="array" ref="CU98">SUMPRODUCT(TRANSPOSE(CU$4:CU$20),$G98:$W98)</f>
        <v>64</v>
      </c>
      <c r="CV98" s="93" cm="1">
        <f t="array" ref="CV98">SUMPRODUCT(TRANSPOSE(CV$4:CV$20),$G98:$W98)</f>
        <v>64</v>
      </c>
      <c r="CW98" s="93" cm="1">
        <f t="array" ref="CW98">SUMPRODUCT(TRANSPOSE(CW$4:CW$20),$G98:$W98)</f>
        <v>64</v>
      </c>
      <c r="CX98" s="93" cm="1">
        <f t="array" ref="CX98">SUMPRODUCT(TRANSPOSE(CX$4:CX$20),$G98:$W98)</f>
        <v>64</v>
      </c>
      <c r="CY98" s="93" cm="1">
        <f t="array" ref="CY98">SUMPRODUCT(TRANSPOSE(CY$4:CY$20),$G98:$W98)</f>
        <v>0</v>
      </c>
      <c r="CZ98" s="93" cm="1">
        <f t="array" ref="CZ98">SUMPRODUCT(TRANSPOSE(CZ$4:CZ$20),$G98:$W98)</f>
        <v>0</v>
      </c>
      <c r="DA98" s="93" cm="1">
        <f t="array" ref="DA98">SUMPRODUCT(TRANSPOSE(DA$4:DA$20),$G98:$W98)</f>
        <v>0</v>
      </c>
      <c r="DB98" s="93" cm="1">
        <f t="array" ref="DB98">SUMPRODUCT(TRANSPOSE(DB$4:DB$20),$G98:$W98)</f>
        <v>0</v>
      </c>
      <c r="DC98" s="93" cm="1">
        <f t="array" ref="DC98">SUMPRODUCT(TRANSPOSE(DC$4:DC$20),$G98:$W98)</f>
        <v>0</v>
      </c>
      <c r="DD98" s="93" cm="1">
        <f t="array" ref="DD98">SUMPRODUCT(TRANSPOSE(DD$4:DD$20),$G98:$W98)</f>
        <v>0</v>
      </c>
      <c r="DE98" s="93" cm="1">
        <f t="array" ref="DE98">SUMPRODUCT(TRANSPOSE(DE$4:DE$20),$G98:$W98)</f>
        <v>0</v>
      </c>
      <c r="DF98" s="93" cm="1">
        <f t="array" ref="DF98">SUMPRODUCT(TRANSPOSE(DF$4:DF$20),$G98:$W98)</f>
        <v>0</v>
      </c>
      <c r="DG98" s="93" cm="1">
        <f t="array" ref="DG98">SUMPRODUCT(TRANSPOSE(DG$4:DG$20),$G98:$W98)</f>
        <v>0</v>
      </c>
      <c r="DH98" s="93" cm="1">
        <f t="array" ref="DH98">SUMPRODUCT(TRANSPOSE(DH$4:DH$20),$G98:$W98)</f>
        <v>0</v>
      </c>
      <c r="DI98" s="93" cm="1">
        <f t="array" ref="DI98">SUMPRODUCT(TRANSPOSE(DI$4:DI$20),$G98:$W98)</f>
        <v>0</v>
      </c>
      <c r="DJ98" s="93" cm="1">
        <f t="array" ref="DJ98">SUMPRODUCT(TRANSPOSE(DJ$4:DJ$20),$G98:$W98)</f>
        <v>0</v>
      </c>
      <c r="DK98" s="93" cm="1">
        <f t="array" ref="DK98">SUMPRODUCT(TRANSPOSE(DK$4:DK$20),$G98:$W98)</f>
        <v>0</v>
      </c>
      <c r="DL98" s="93" cm="1">
        <f t="array" ref="DL98">SUMPRODUCT(TRANSPOSE(DL$4:DL$20),$G98:$W98)</f>
        <v>0</v>
      </c>
      <c r="DM98" s="93" cm="1">
        <f t="array" ref="DM98">SUMPRODUCT(TRANSPOSE(DM$4:DM$20),$G98:$W98)</f>
        <v>0</v>
      </c>
      <c r="DN98" s="93" cm="1">
        <f t="array" ref="DN98">SUMPRODUCT(TRANSPOSE(DN$4:DN$20),$G98:$W98)</f>
        <v>0</v>
      </c>
      <c r="DO98" s="93" cm="1">
        <f t="array" ref="DO98">SUMPRODUCT(TRANSPOSE(DO$4:DO$20),$G98:$W98)</f>
        <v>0</v>
      </c>
    </row>
    <row r="99" spans="1:119" x14ac:dyDescent="0.2">
      <c r="A99" s="45">
        <f t="shared" si="27"/>
        <v>78</v>
      </c>
      <c r="B99" s="46" t="s">
        <v>300</v>
      </c>
      <c r="C99" s="45">
        <v>414889833</v>
      </c>
      <c r="D99" s="45" t="s">
        <v>301</v>
      </c>
      <c r="E99" s="45" t="s">
        <v>162</v>
      </c>
      <c r="F99" s="48">
        <v>1</v>
      </c>
      <c r="G99" s="100">
        <v>0</v>
      </c>
      <c r="H99" s="100">
        <v>0</v>
      </c>
      <c r="I99" s="100">
        <v>0</v>
      </c>
      <c r="J99" s="100">
        <v>0</v>
      </c>
      <c r="K99" s="100">
        <v>0</v>
      </c>
      <c r="L99" s="100">
        <v>0</v>
      </c>
      <c r="M99" s="100">
        <v>0</v>
      </c>
      <c r="N99" s="100">
        <v>0</v>
      </c>
      <c r="O99" s="100">
        <v>0</v>
      </c>
      <c r="P99" s="100">
        <v>0</v>
      </c>
      <c r="Q99" s="100">
        <v>0</v>
      </c>
      <c r="R99" s="100">
        <v>0</v>
      </c>
      <c r="S99" s="100">
        <v>0</v>
      </c>
      <c r="T99" s="100">
        <v>0</v>
      </c>
      <c r="U99" s="100">
        <v>0</v>
      </c>
      <c r="V99" s="100">
        <v>0</v>
      </c>
      <c r="W99" s="100">
        <v>3</v>
      </c>
      <c r="X99" s="45" t="s">
        <v>6</v>
      </c>
      <c r="Y99" s="49">
        <v>0</v>
      </c>
      <c r="Z99" s="45">
        <v>0</v>
      </c>
      <c r="AA99" s="45">
        <v>0</v>
      </c>
      <c r="AB99" s="45">
        <v>0</v>
      </c>
      <c r="AC99" s="45">
        <v>0</v>
      </c>
      <c r="AD99" s="45">
        <v>0</v>
      </c>
      <c r="AE99" s="45">
        <v>0</v>
      </c>
      <c r="AF99" s="45">
        <v>0</v>
      </c>
      <c r="AG99" s="45">
        <v>0</v>
      </c>
      <c r="AH99" s="45">
        <v>0</v>
      </c>
      <c r="AI99" s="45">
        <v>0</v>
      </c>
      <c r="AJ99" s="45">
        <v>0</v>
      </c>
      <c r="AK99" s="45">
        <v>0</v>
      </c>
      <c r="AL99" s="45">
        <v>0</v>
      </c>
      <c r="AM99" s="45">
        <v>0</v>
      </c>
      <c r="AN99" s="45">
        <v>0</v>
      </c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93"/>
      <c r="BE99" s="93"/>
      <c r="BF99" s="93"/>
      <c r="BG99" s="93"/>
      <c r="BH99" s="93"/>
      <c r="BI99" s="93"/>
      <c r="BJ99" s="93"/>
      <c r="BK99" s="93">
        <f>SUM($Z99:AD99)-SUM($CM99:CQ99)</f>
        <v>-48</v>
      </c>
      <c r="BL99" s="93">
        <f>SUM($Z99:AE99)-SUM($CM99:CR99)</f>
        <v>-96</v>
      </c>
      <c r="BM99" s="93">
        <f>SUM($Z99:AF99)-SUM($CM99:CS99)</f>
        <v>-144</v>
      </c>
      <c r="BN99" s="93">
        <f>SUM($Z99:AG99)-SUM($CM99:CT99)</f>
        <v>-192</v>
      </c>
      <c r="BO99" s="93">
        <f>SUM($Z99:AH99)-SUM($CM99:CU99)</f>
        <v>-240</v>
      </c>
      <c r="BP99" s="93">
        <f>SUM($Z99:AI99)-SUM($CM99:CV99)</f>
        <v>-288</v>
      </c>
      <c r="BQ99" s="93">
        <f>SUM($Z99:AJ99)-SUM($CM99:CW99)</f>
        <v>-336</v>
      </c>
      <c r="BR99" s="93">
        <f>SUM($Z99:AK99)-SUM($CM99:CX99)</f>
        <v>-384</v>
      </c>
      <c r="BS99" s="93">
        <f>SUM($Z99:AL99)-SUM($CM99:CY99)</f>
        <v>-384</v>
      </c>
      <c r="BT99" s="93">
        <f>SUM($Z99:AM99)-SUM($CM99:CZ99)</f>
        <v>-384</v>
      </c>
      <c r="BU99" s="93">
        <f>SUM($Z99:AN99)-SUM($CM99:DA99)</f>
        <v>-384</v>
      </c>
      <c r="BV99" s="93">
        <f>SUM($Z99:AO99)-SUM($CM99:DB99)</f>
        <v>-384</v>
      </c>
      <c r="BW99" s="93">
        <f>SUM($Z99:AP99)-SUM($CM99:DC99)</f>
        <v>-384</v>
      </c>
      <c r="BX99" s="93">
        <f>SUM($Z99:AQ99)-SUM($CM99:DD99)</f>
        <v>-384</v>
      </c>
      <c r="BY99" s="93">
        <f>SUM($Z99:AR99)-SUM($CM99:DE99)</f>
        <v>-384</v>
      </c>
      <c r="BZ99" s="93">
        <f>SUM($Z99:AS99)-SUM($CM99:DF99)</f>
        <v>-384</v>
      </c>
      <c r="CA99" s="93">
        <f>SUM($Z99:AT99)-SUM($CM99:DG99)</f>
        <v>-384</v>
      </c>
      <c r="CB99" s="93">
        <f>SUM($Z99:AU99)-SUM($CM99:DH99)</f>
        <v>-384</v>
      </c>
      <c r="CC99" s="93">
        <f>SUM($Z99:AV99)-SUM($CM99:DI99)</f>
        <v>-384</v>
      </c>
      <c r="CD99" s="93">
        <f>SUM($Z99:AW99)-SUM($CM99:DJ99)</f>
        <v>-384</v>
      </c>
      <c r="CE99" s="93">
        <f>SUM($Z99:AX99)-SUM($CM99:DK99)</f>
        <v>-384</v>
      </c>
      <c r="CF99" s="93">
        <f>SUM($Z99:AY99)-SUM($CM99:DL99)</f>
        <v>-384</v>
      </c>
      <c r="CG99" s="93">
        <f>SUM($Z99:AZ99)-SUM($CM99:DM99)</f>
        <v>-384</v>
      </c>
      <c r="CH99" s="93">
        <f>SUM($Z99:BA99)-SUM($CM99:DN99)</f>
        <v>-384</v>
      </c>
      <c r="CI99" s="93">
        <f>SUM($Z99:BB99)-SUM($CM99:DO99)</f>
        <v>-384</v>
      </c>
      <c r="CJ99" s="93"/>
      <c r="CK99" s="93"/>
      <c r="CL99" s="93"/>
      <c r="CM99" s="93"/>
      <c r="CN99" s="93" cm="1">
        <f t="array" ref="CN99">SUMPRODUCT(TRANSPOSE(CN$4:CN$20),$G99:$W99)</f>
        <v>0</v>
      </c>
      <c r="CO99" s="93" cm="1">
        <f t="array" ref="CO99">SUMPRODUCT(TRANSPOSE(CO$4:CO$20),$G99:$W99)</f>
        <v>0</v>
      </c>
      <c r="CP99" s="93" cm="1">
        <f t="array" ref="CP99">SUMPRODUCT(TRANSPOSE(CP$4:CP$20),$G99:$W99)</f>
        <v>0</v>
      </c>
      <c r="CQ99" s="93" cm="1">
        <f t="array" ref="CQ99">SUMPRODUCT(TRANSPOSE(CQ$4:CQ$20),$G99:$W99)</f>
        <v>48</v>
      </c>
      <c r="CR99" s="93" cm="1">
        <f t="array" ref="CR99">SUMPRODUCT(TRANSPOSE(CR$4:CR$20),$G99:$W99)</f>
        <v>48</v>
      </c>
      <c r="CS99" s="93" cm="1">
        <f t="array" ref="CS99">SUMPRODUCT(TRANSPOSE(CS$4:CS$20),$G99:$W99)</f>
        <v>48</v>
      </c>
      <c r="CT99" s="93" cm="1">
        <f t="array" ref="CT99">SUMPRODUCT(TRANSPOSE(CT$4:CT$20),$G99:$W99)</f>
        <v>48</v>
      </c>
      <c r="CU99" s="93" cm="1">
        <f t="array" ref="CU99">SUMPRODUCT(TRANSPOSE(CU$4:CU$20),$G99:$W99)</f>
        <v>48</v>
      </c>
      <c r="CV99" s="93" cm="1">
        <f t="array" ref="CV99">SUMPRODUCT(TRANSPOSE(CV$4:CV$20),$G99:$W99)</f>
        <v>48</v>
      </c>
      <c r="CW99" s="93" cm="1">
        <f t="array" ref="CW99">SUMPRODUCT(TRANSPOSE(CW$4:CW$20),$G99:$W99)</f>
        <v>48</v>
      </c>
      <c r="CX99" s="93" cm="1">
        <f t="array" ref="CX99">SUMPRODUCT(TRANSPOSE(CX$4:CX$20),$G99:$W99)</f>
        <v>48</v>
      </c>
      <c r="CY99" s="93" cm="1">
        <f t="array" ref="CY99">SUMPRODUCT(TRANSPOSE(CY$4:CY$20),$G99:$W99)</f>
        <v>0</v>
      </c>
      <c r="CZ99" s="93" cm="1">
        <f t="array" ref="CZ99">SUMPRODUCT(TRANSPOSE(CZ$4:CZ$20),$G99:$W99)</f>
        <v>0</v>
      </c>
      <c r="DA99" s="93" cm="1">
        <f t="array" ref="DA99">SUMPRODUCT(TRANSPOSE(DA$4:DA$20),$G99:$W99)</f>
        <v>0</v>
      </c>
      <c r="DB99" s="93" cm="1">
        <f t="array" ref="DB99">SUMPRODUCT(TRANSPOSE(DB$4:DB$20),$G99:$W99)</f>
        <v>0</v>
      </c>
      <c r="DC99" s="93" cm="1">
        <f t="array" ref="DC99">SUMPRODUCT(TRANSPOSE(DC$4:DC$20),$G99:$W99)</f>
        <v>0</v>
      </c>
      <c r="DD99" s="93" cm="1">
        <f t="array" ref="DD99">SUMPRODUCT(TRANSPOSE(DD$4:DD$20),$G99:$W99)</f>
        <v>0</v>
      </c>
      <c r="DE99" s="93" cm="1">
        <f t="array" ref="DE99">SUMPRODUCT(TRANSPOSE(DE$4:DE$20),$G99:$W99)</f>
        <v>0</v>
      </c>
      <c r="DF99" s="93" cm="1">
        <f t="array" ref="DF99">SUMPRODUCT(TRANSPOSE(DF$4:DF$20),$G99:$W99)</f>
        <v>0</v>
      </c>
      <c r="DG99" s="93" cm="1">
        <f t="array" ref="DG99">SUMPRODUCT(TRANSPOSE(DG$4:DG$20),$G99:$W99)</f>
        <v>0</v>
      </c>
      <c r="DH99" s="93" cm="1">
        <f t="array" ref="DH99">SUMPRODUCT(TRANSPOSE(DH$4:DH$20),$G99:$W99)</f>
        <v>0</v>
      </c>
      <c r="DI99" s="93" cm="1">
        <f t="array" ref="DI99">SUMPRODUCT(TRANSPOSE(DI$4:DI$20),$G99:$W99)</f>
        <v>0</v>
      </c>
      <c r="DJ99" s="93" cm="1">
        <f t="array" ref="DJ99">SUMPRODUCT(TRANSPOSE(DJ$4:DJ$20),$G99:$W99)</f>
        <v>0</v>
      </c>
      <c r="DK99" s="93" cm="1">
        <f t="array" ref="DK99">SUMPRODUCT(TRANSPOSE(DK$4:DK$20),$G99:$W99)</f>
        <v>0</v>
      </c>
      <c r="DL99" s="93" cm="1">
        <f t="array" ref="DL99">SUMPRODUCT(TRANSPOSE(DL$4:DL$20),$G99:$W99)</f>
        <v>0</v>
      </c>
      <c r="DM99" s="93" cm="1">
        <f t="array" ref="DM99">SUMPRODUCT(TRANSPOSE(DM$4:DM$20),$G99:$W99)</f>
        <v>0</v>
      </c>
      <c r="DN99" s="93" cm="1">
        <f t="array" ref="DN99">SUMPRODUCT(TRANSPOSE(DN$4:DN$20),$G99:$W99)</f>
        <v>0</v>
      </c>
      <c r="DO99" s="93" cm="1">
        <f t="array" ref="DO99">SUMPRODUCT(TRANSPOSE(DO$4:DO$20),$G99:$W99)</f>
        <v>0</v>
      </c>
    </row>
    <row r="100" spans="1:119" x14ac:dyDescent="0.2">
      <c r="A100" s="45">
        <f t="shared" si="27"/>
        <v>79</v>
      </c>
      <c r="B100" s="46" t="s">
        <v>302</v>
      </c>
      <c r="C100" s="45">
        <v>414889834</v>
      </c>
      <c r="D100" s="45" t="s">
        <v>215</v>
      </c>
      <c r="E100" s="45" t="s">
        <v>162</v>
      </c>
      <c r="F100" s="48">
        <v>1</v>
      </c>
      <c r="G100" s="100">
        <v>0</v>
      </c>
      <c r="H100" s="100">
        <v>0</v>
      </c>
      <c r="I100" s="100">
        <v>0</v>
      </c>
      <c r="J100" s="100">
        <v>0</v>
      </c>
      <c r="K100" s="100">
        <v>0</v>
      </c>
      <c r="L100" s="100">
        <v>0</v>
      </c>
      <c r="M100" s="100">
        <v>0</v>
      </c>
      <c r="N100" s="100">
        <v>0</v>
      </c>
      <c r="O100" s="100">
        <v>0</v>
      </c>
      <c r="P100" s="100">
        <v>0</v>
      </c>
      <c r="Q100" s="100">
        <v>0</v>
      </c>
      <c r="R100" s="100">
        <v>0</v>
      </c>
      <c r="S100" s="100">
        <v>0</v>
      </c>
      <c r="T100" s="100">
        <v>0</v>
      </c>
      <c r="U100" s="100">
        <v>0</v>
      </c>
      <c r="V100" s="100">
        <v>0</v>
      </c>
      <c r="W100" s="100">
        <v>7</v>
      </c>
      <c r="X100" s="45" t="s">
        <v>6</v>
      </c>
      <c r="Y100" s="49">
        <v>0</v>
      </c>
      <c r="Z100" s="45">
        <v>0</v>
      </c>
      <c r="AA100" s="45">
        <v>0</v>
      </c>
      <c r="AB100" s="45">
        <v>0</v>
      </c>
      <c r="AC100" s="45">
        <v>0</v>
      </c>
      <c r="AD100" s="45">
        <v>0</v>
      </c>
      <c r="AE100" s="45">
        <v>0</v>
      </c>
      <c r="AF100" s="45">
        <v>0</v>
      </c>
      <c r="AG100" s="45">
        <v>0</v>
      </c>
      <c r="AH100" s="45">
        <v>0</v>
      </c>
      <c r="AI100" s="45">
        <v>0</v>
      </c>
      <c r="AJ100" s="45">
        <v>0</v>
      </c>
      <c r="AK100" s="45">
        <v>0</v>
      </c>
      <c r="AL100" s="45">
        <v>0</v>
      </c>
      <c r="AM100" s="45">
        <v>0</v>
      </c>
      <c r="AN100" s="45">
        <v>0</v>
      </c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93"/>
      <c r="BE100" s="93"/>
      <c r="BF100" s="93"/>
      <c r="BG100" s="93"/>
      <c r="BH100" s="93"/>
      <c r="BI100" s="93"/>
      <c r="BJ100" s="93"/>
      <c r="BK100" s="93">
        <f>SUM($Z100:AD100)-SUM($CM100:CQ100)</f>
        <v>-112</v>
      </c>
      <c r="BL100" s="93">
        <f>SUM($Z100:AE100)-SUM($CM100:CR100)</f>
        <v>-224</v>
      </c>
      <c r="BM100" s="93">
        <f>SUM($Z100:AF100)-SUM($CM100:CS100)</f>
        <v>-336</v>
      </c>
      <c r="BN100" s="93">
        <f>SUM($Z100:AG100)-SUM($CM100:CT100)</f>
        <v>-448</v>
      </c>
      <c r="BO100" s="93">
        <f>SUM($Z100:AH100)-SUM($CM100:CU100)</f>
        <v>-560</v>
      </c>
      <c r="BP100" s="93">
        <f>SUM($Z100:AI100)-SUM($CM100:CV100)</f>
        <v>-672</v>
      </c>
      <c r="BQ100" s="93">
        <f>SUM($Z100:AJ100)-SUM($CM100:CW100)</f>
        <v>-784</v>
      </c>
      <c r="BR100" s="93">
        <f>SUM($Z100:AK100)-SUM($CM100:CX100)</f>
        <v>-896</v>
      </c>
      <c r="BS100" s="93">
        <f>SUM($Z100:AL100)-SUM($CM100:CY100)</f>
        <v>-896</v>
      </c>
      <c r="BT100" s="93">
        <f>SUM($Z100:AM100)-SUM($CM100:CZ100)</f>
        <v>-896</v>
      </c>
      <c r="BU100" s="93">
        <f>SUM($Z100:AN100)-SUM($CM100:DA100)</f>
        <v>-896</v>
      </c>
      <c r="BV100" s="93">
        <f>SUM($Z100:AO100)-SUM($CM100:DB100)</f>
        <v>-896</v>
      </c>
      <c r="BW100" s="93">
        <f>SUM($Z100:AP100)-SUM($CM100:DC100)</f>
        <v>-896</v>
      </c>
      <c r="BX100" s="93">
        <f>SUM($Z100:AQ100)-SUM($CM100:DD100)</f>
        <v>-896</v>
      </c>
      <c r="BY100" s="93">
        <f>SUM($Z100:AR100)-SUM($CM100:DE100)</f>
        <v>-896</v>
      </c>
      <c r="BZ100" s="93">
        <f>SUM($Z100:AS100)-SUM($CM100:DF100)</f>
        <v>-896</v>
      </c>
      <c r="CA100" s="93">
        <f>SUM($Z100:AT100)-SUM($CM100:DG100)</f>
        <v>-896</v>
      </c>
      <c r="CB100" s="93">
        <f>SUM($Z100:AU100)-SUM($CM100:DH100)</f>
        <v>-896</v>
      </c>
      <c r="CC100" s="93">
        <f>SUM($Z100:AV100)-SUM($CM100:DI100)</f>
        <v>-896</v>
      </c>
      <c r="CD100" s="93">
        <f>SUM($Z100:AW100)-SUM($CM100:DJ100)</f>
        <v>-896</v>
      </c>
      <c r="CE100" s="93">
        <f>SUM($Z100:AX100)-SUM($CM100:DK100)</f>
        <v>-896</v>
      </c>
      <c r="CF100" s="93">
        <f>SUM($Z100:AY100)-SUM($CM100:DL100)</f>
        <v>-896</v>
      </c>
      <c r="CG100" s="93">
        <f>SUM($Z100:AZ100)-SUM($CM100:DM100)</f>
        <v>-896</v>
      </c>
      <c r="CH100" s="93">
        <f>SUM($Z100:BA100)-SUM($CM100:DN100)</f>
        <v>-896</v>
      </c>
      <c r="CI100" s="93">
        <f>SUM($Z100:BB100)-SUM($CM100:DO100)</f>
        <v>-896</v>
      </c>
      <c r="CJ100" s="93"/>
      <c r="CK100" s="93"/>
      <c r="CL100" s="93"/>
      <c r="CM100" s="93"/>
      <c r="CN100" s="93" cm="1">
        <f t="array" ref="CN100">SUMPRODUCT(TRANSPOSE(CN$4:CN$20),$G100:$W100)</f>
        <v>0</v>
      </c>
      <c r="CO100" s="93" cm="1">
        <f t="array" ref="CO100">SUMPRODUCT(TRANSPOSE(CO$4:CO$20),$G100:$W100)</f>
        <v>0</v>
      </c>
      <c r="CP100" s="93" cm="1">
        <f t="array" ref="CP100">SUMPRODUCT(TRANSPOSE(CP$4:CP$20),$G100:$W100)</f>
        <v>0</v>
      </c>
      <c r="CQ100" s="93" cm="1">
        <f t="array" ref="CQ100">SUMPRODUCT(TRANSPOSE(CQ$4:CQ$20),$G100:$W100)</f>
        <v>112</v>
      </c>
      <c r="CR100" s="93" cm="1">
        <f t="array" ref="CR100">SUMPRODUCT(TRANSPOSE(CR$4:CR$20),$G100:$W100)</f>
        <v>112</v>
      </c>
      <c r="CS100" s="93" cm="1">
        <f t="array" ref="CS100">SUMPRODUCT(TRANSPOSE(CS$4:CS$20),$G100:$W100)</f>
        <v>112</v>
      </c>
      <c r="CT100" s="93" cm="1">
        <f t="array" ref="CT100">SUMPRODUCT(TRANSPOSE(CT$4:CT$20),$G100:$W100)</f>
        <v>112</v>
      </c>
      <c r="CU100" s="93" cm="1">
        <f t="array" ref="CU100">SUMPRODUCT(TRANSPOSE(CU$4:CU$20),$G100:$W100)</f>
        <v>112</v>
      </c>
      <c r="CV100" s="93" cm="1">
        <f t="array" ref="CV100">SUMPRODUCT(TRANSPOSE(CV$4:CV$20),$G100:$W100)</f>
        <v>112</v>
      </c>
      <c r="CW100" s="93" cm="1">
        <f t="array" ref="CW100">SUMPRODUCT(TRANSPOSE(CW$4:CW$20),$G100:$W100)</f>
        <v>112</v>
      </c>
      <c r="CX100" s="93" cm="1">
        <f t="array" ref="CX100">SUMPRODUCT(TRANSPOSE(CX$4:CX$20),$G100:$W100)</f>
        <v>112</v>
      </c>
      <c r="CY100" s="93" cm="1">
        <f t="array" ref="CY100">SUMPRODUCT(TRANSPOSE(CY$4:CY$20),$G100:$W100)</f>
        <v>0</v>
      </c>
      <c r="CZ100" s="93" cm="1">
        <f t="array" ref="CZ100">SUMPRODUCT(TRANSPOSE(CZ$4:CZ$20),$G100:$W100)</f>
        <v>0</v>
      </c>
      <c r="DA100" s="93" cm="1">
        <f t="array" ref="DA100">SUMPRODUCT(TRANSPOSE(DA$4:DA$20),$G100:$W100)</f>
        <v>0</v>
      </c>
      <c r="DB100" s="93" cm="1">
        <f t="array" ref="DB100">SUMPRODUCT(TRANSPOSE(DB$4:DB$20),$G100:$W100)</f>
        <v>0</v>
      </c>
      <c r="DC100" s="93" cm="1">
        <f t="array" ref="DC100">SUMPRODUCT(TRANSPOSE(DC$4:DC$20),$G100:$W100)</f>
        <v>0</v>
      </c>
      <c r="DD100" s="93" cm="1">
        <f t="array" ref="DD100">SUMPRODUCT(TRANSPOSE(DD$4:DD$20),$G100:$W100)</f>
        <v>0</v>
      </c>
      <c r="DE100" s="93" cm="1">
        <f t="array" ref="DE100">SUMPRODUCT(TRANSPOSE(DE$4:DE$20),$G100:$W100)</f>
        <v>0</v>
      </c>
      <c r="DF100" s="93" cm="1">
        <f t="array" ref="DF100">SUMPRODUCT(TRANSPOSE(DF$4:DF$20),$G100:$W100)</f>
        <v>0</v>
      </c>
      <c r="DG100" s="93" cm="1">
        <f t="array" ref="DG100">SUMPRODUCT(TRANSPOSE(DG$4:DG$20),$G100:$W100)</f>
        <v>0</v>
      </c>
      <c r="DH100" s="93" cm="1">
        <f t="array" ref="DH100">SUMPRODUCT(TRANSPOSE(DH$4:DH$20),$G100:$W100)</f>
        <v>0</v>
      </c>
      <c r="DI100" s="93" cm="1">
        <f t="array" ref="DI100">SUMPRODUCT(TRANSPOSE(DI$4:DI$20),$G100:$W100)</f>
        <v>0</v>
      </c>
      <c r="DJ100" s="93" cm="1">
        <f t="array" ref="DJ100">SUMPRODUCT(TRANSPOSE(DJ$4:DJ$20),$G100:$W100)</f>
        <v>0</v>
      </c>
      <c r="DK100" s="93" cm="1">
        <f t="array" ref="DK100">SUMPRODUCT(TRANSPOSE(DK$4:DK$20),$G100:$W100)</f>
        <v>0</v>
      </c>
      <c r="DL100" s="93" cm="1">
        <f t="array" ref="DL100">SUMPRODUCT(TRANSPOSE(DL$4:DL$20),$G100:$W100)</f>
        <v>0</v>
      </c>
      <c r="DM100" s="93" cm="1">
        <f t="array" ref="DM100">SUMPRODUCT(TRANSPOSE(DM$4:DM$20),$G100:$W100)</f>
        <v>0</v>
      </c>
      <c r="DN100" s="93" cm="1">
        <f t="array" ref="DN100">SUMPRODUCT(TRANSPOSE(DN$4:DN$20),$G100:$W100)</f>
        <v>0</v>
      </c>
      <c r="DO100" s="93" cm="1">
        <f t="array" ref="DO100">SUMPRODUCT(TRANSPOSE(DO$4:DO$20),$G100:$W100)</f>
        <v>0</v>
      </c>
    </row>
    <row r="101" spans="1:119" x14ac:dyDescent="0.2">
      <c r="A101" s="45">
        <f t="shared" si="27"/>
        <v>80</v>
      </c>
      <c r="B101" s="46" t="s">
        <v>303</v>
      </c>
      <c r="C101" s="45">
        <v>414395615</v>
      </c>
      <c r="D101" s="45" t="s">
        <v>304</v>
      </c>
      <c r="E101" s="45" t="s">
        <v>162</v>
      </c>
      <c r="F101" s="48">
        <v>1</v>
      </c>
      <c r="G101" s="100">
        <v>0</v>
      </c>
      <c r="H101" s="100">
        <v>0</v>
      </c>
      <c r="I101" s="100">
        <v>0</v>
      </c>
      <c r="J101" s="100">
        <v>0</v>
      </c>
      <c r="K101" s="100">
        <v>0</v>
      </c>
      <c r="L101" s="100">
        <v>0</v>
      </c>
      <c r="M101" s="100">
        <v>0</v>
      </c>
      <c r="N101" s="100">
        <v>0</v>
      </c>
      <c r="O101" s="100">
        <v>0</v>
      </c>
      <c r="P101" s="100">
        <v>0</v>
      </c>
      <c r="Q101" s="100">
        <v>0</v>
      </c>
      <c r="R101" s="100">
        <v>0</v>
      </c>
      <c r="S101" s="100">
        <v>0</v>
      </c>
      <c r="T101" s="100">
        <v>0</v>
      </c>
      <c r="U101" s="100">
        <v>0</v>
      </c>
      <c r="V101" s="100">
        <v>0</v>
      </c>
      <c r="W101" s="100">
        <v>2</v>
      </c>
      <c r="X101" s="45" t="s">
        <v>59</v>
      </c>
      <c r="Y101" s="49">
        <v>675</v>
      </c>
      <c r="Z101" s="45">
        <v>348</v>
      </c>
      <c r="AA101" s="45">
        <v>0</v>
      </c>
      <c r="AB101" s="45">
        <v>0</v>
      </c>
      <c r="AC101" s="45">
        <v>0</v>
      </c>
      <c r="AD101" s="45">
        <v>0</v>
      </c>
      <c r="AE101" s="45">
        <v>0</v>
      </c>
      <c r="AF101" s="45">
        <v>0</v>
      </c>
      <c r="AG101" s="45">
        <v>0</v>
      </c>
      <c r="AH101" s="45">
        <v>0</v>
      </c>
      <c r="AI101" s="45">
        <v>0</v>
      </c>
      <c r="AJ101" s="45">
        <v>0</v>
      </c>
      <c r="AK101" s="45">
        <v>0</v>
      </c>
      <c r="AL101" s="45">
        <v>0</v>
      </c>
      <c r="AM101" s="45">
        <v>0</v>
      </c>
      <c r="AN101" s="45">
        <v>0</v>
      </c>
      <c r="AO101" s="45"/>
      <c r="AP101" s="45"/>
      <c r="AQ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5"/>
      <c r="BC101" s="45"/>
      <c r="BD101" s="93"/>
      <c r="BE101" s="93"/>
      <c r="BF101" s="93"/>
      <c r="BG101" s="93"/>
      <c r="BH101" s="93"/>
      <c r="BI101" s="93"/>
      <c r="BJ101" s="93"/>
      <c r="BK101" s="93">
        <f>SUM($Z101:AD101)-SUM($CM101:CQ101)</f>
        <v>316</v>
      </c>
      <c r="BL101" s="93">
        <f>SUM($Z101:AE101)-SUM($CM101:CR101)</f>
        <v>284</v>
      </c>
      <c r="BM101" s="93">
        <f>SUM($Z101:AF101)-SUM($CM101:CS101)</f>
        <v>252</v>
      </c>
      <c r="BN101" s="93">
        <f>SUM($Z101:AG101)-SUM($CM101:CT101)</f>
        <v>220</v>
      </c>
      <c r="BO101" s="93">
        <f>SUM($Z101:AH101)-SUM($CM101:CU101)</f>
        <v>188</v>
      </c>
      <c r="BP101" s="93">
        <f>SUM($Z101:AI101)-SUM($CM101:CV101)</f>
        <v>156</v>
      </c>
      <c r="BQ101" s="93">
        <f>SUM($Z101:AJ101)-SUM($CM101:CW101)</f>
        <v>124</v>
      </c>
      <c r="BR101" s="93">
        <f>SUM($Z101:AK101)-SUM($CM101:CX101)</f>
        <v>92</v>
      </c>
      <c r="BS101" s="93">
        <f>SUM($Z101:AL101)-SUM($CM101:CY101)</f>
        <v>92</v>
      </c>
      <c r="BT101" s="93">
        <f>SUM($Z101:AM101)-SUM($CM101:CZ101)</f>
        <v>92</v>
      </c>
      <c r="BU101" s="93">
        <f>SUM($Z101:AN101)-SUM($CM101:DA101)</f>
        <v>92</v>
      </c>
      <c r="BV101" s="93">
        <f>SUM($Z101:AO101)-SUM($CM101:DB101)</f>
        <v>92</v>
      </c>
      <c r="BW101" s="93">
        <f>SUM($Z101:AP101)-SUM($CM101:DC101)</f>
        <v>92</v>
      </c>
      <c r="BX101" s="93">
        <f>SUM($Z101:AQ101)-SUM($CM101:DD101)</f>
        <v>92</v>
      </c>
      <c r="BY101" s="93">
        <f>SUM($Z101:AR101)-SUM($CM101:DE101)</f>
        <v>92</v>
      </c>
      <c r="BZ101" s="93">
        <f>SUM($Z101:AS101)-SUM($CM101:DF101)</f>
        <v>92</v>
      </c>
      <c r="CA101" s="93">
        <f>SUM($Z101:AT101)-SUM($CM101:DG101)</f>
        <v>92</v>
      </c>
      <c r="CB101" s="93">
        <f>SUM($Z101:AU101)-SUM($CM101:DH101)</f>
        <v>92</v>
      </c>
      <c r="CC101" s="93">
        <f>SUM($Z101:AV101)-SUM($CM101:DI101)</f>
        <v>92</v>
      </c>
      <c r="CD101" s="93">
        <f>SUM($Z101:AW101)-SUM($CM101:DJ101)</f>
        <v>92</v>
      </c>
      <c r="CE101" s="93">
        <f>SUM($Z101:AX101)-SUM($CM101:DK101)</f>
        <v>92</v>
      </c>
      <c r="CF101" s="93">
        <f>SUM($Z101:AY101)-SUM($CM101:DL101)</f>
        <v>92</v>
      </c>
      <c r="CG101" s="93">
        <f>SUM($Z101:AZ101)-SUM($CM101:DM101)</f>
        <v>92</v>
      </c>
      <c r="CH101" s="93">
        <f>SUM($Z101:BA101)-SUM($CM101:DN101)</f>
        <v>92</v>
      </c>
      <c r="CI101" s="93">
        <f>SUM($Z101:BB101)-SUM($CM101:DO101)</f>
        <v>92</v>
      </c>
      <c r="CJ101" s="93"/>
      <c r="CK101" s="93"/>
      <c r="CL101" s="93"/>
      <c r="CM101" s="93"/>
      <c r="CN101" s="93" cm="1">
        <f t="array" ref="CN101">SUMPRODUCT(TRANSPOSE(CN$4:CN$20),$G101:$W101)</f>
        <v>0</v>
      </c>
      <c r="CO101" s="93" cm="1">
        <f t="array" ref="CO101">SUMPRODUCT(TRANSPOSE(CO$4:CO$20),$G101:$W101)</f>
        <v>0</v>
      </c>
      <c r="CP101" s="93" cm="1">
        <f t="array" ref="CP101">SUMPRODUCT(TRANSPOSE(CP$4:CP$20),$G101:$W101)</f>
        <v>0</v>
      </c>
      <c r="CQ101" s="93" cm="1">
        <f t="array" ref="CQ101">SUMPRODUCT(TRANSPOSE(CQ$4:CQ$20),$G101:$W101)</f>
        <v>32</v>
      </c>
      <c r="CR101" s="93" cm="1">
        <f t="array" ref="CR101">SUMPRODUCT(TRANSPOSE(CR$4:CR$20),$G101:$W101)</f>
        <v>32</v>
      </c>
      <c r="CS101" s="93" cm="1">
        <f t="array" ref="CS101">SUMPRODUCT(TRANSPOSE(CS$4:CS$20),$G101:$W101)</f>
        <v>32</v>
      </c>
      <c r="CT101" s="93" cm="1">
        <f t="array" ref="CT101">SUMPRODUCT(TRANSPOSE(CT$4:CT$20),$G101:$W101)</f>
        <v>32</v>
      </c>
      <c r="CU101" s="93" cm="1">
        <f t="array" ref="CU101">SUMPRODUCT(TRANSPOSE(CU$4:CU$20),$G101:$W101)</f>
        <v>32</v>
      </c>
      <c r="CV101" s="93" cm="1">
        <f t="array" ref="CV101">SUMPRODUCT(TRANSPOSE(CV$4:CV$20),$G101:$W101)</f>
        <v>32</v>
      </c>
      <c r="CW101" s="93" cm="1">
        <f t="array" ref="CW101">SUMPRODUCT(TRANSPOSE(CW$4:CW$20),$G101:$W101)</f>
        <v>32</v>
      </c>
      <c r="CX101" s="93" cm="1">
        <f t="array" ref="CX101">SUMPRODUCT(TRANSPOSE(CX$4:CX$20),$G101:$W101)</f>
        <v>32</v>
      </c>
      <c r="CY101" s="93" cm="1">
        <f t="array" ref="CY101">SUMPRODUCT(TRANSPOSE(CY$4:CY$20),$G101:$W101)</f>
        <v>0</v>
      </c>
      <c r="CZ101" s="93" cm="1">
        <f t="array" ref="CZ101">SUMPRODUCT(TRANSPOSE(CZ$4:CZ$20),$G101:$W101)</f>
        <v>0</v>
      </c>
      <c r="DA101" s="93" cm="1">
        <f t="array" ref="DA101">SUMPRODUCT(TRANSPOSE(DA$4:DA$20),$G101:$W101)</f>
        <v>0</v>
      </c>
      <c r="DB101" s="93" cm="1">
        <f t="array" ref="DB101">SUMPRODUCT(TRANSPOSE(DB$4:DB$20),$G101:$W101)</f>
        <v>0</v>
      </c>
      <c r="DC101" s="93" cm="1">
        <f t="array" ref="DC101">SUMPRODUCT(TRANSPOSE(DC$4:DC$20),$G101:$W101)</f>
        <v>0</v>
      </c>
      <c r="DD101" s="93" cm="1">
        <f t="array" ref="DD101">SUMPRODUCT(TRANSPOSE(DD$4:DD$20),$G101:$W101)</f>
        <v>0</v>
      </c>
      <c r="DE101" s="93" cm="1">
        <f t="array" ref="DE101">SUMPRODUCT(TRANSPOSE(DE$4:DE$20),$G101:$W101)</f>
        <v>0</v>
      </c>
      <c r="DF101" s="93" cm="1">
        <f t="array" ref="DF101">SUMPRODUCT(TRANSPOSE(DF$4:DF$20),$G101:$W101)</f>
        <v>0</v>
      </c>
      <c r="DG101" s="93" cm="1">
        <f t="array" ref="DG101">SUMPRODUCT(TRANSPOSE(DG$4:DG$20),$G101:$W101)</f>
        <v>0</v>
      </c>
      <c r="DH101" s="93" cm="1">
        <f t="array" ref="DH101">SUMPRODUCT(TRANSPOSE(DH$4:DH$20),$G101:$W101)</f>
        <v>0</v>
      </c>
      <c r="DI101" s="93" cm="1">
        <f t="array" ref="DI101">SUMPRODUCT(TRANSPOSE(DI$4:DI$20),$G101:$W101)</f>
        <v>0</v>
      </c>
      <c r="DJ101" s="93" cm="1">
        <f t="array" ref="DJ101">SUMPRODUCT(TRANSPOSE(DJ$4:DJ$20),$G101:$W101)</f>
        <v>0</v>
      </c>
      <c r="DK101" s="93" cm="1">
        <f t="array" ref="DK101">SUMPRODUCT(TRANSPOSE(DK$4:DK$20),$G101:$W101)</f>
        <v>0</v>
      </c>
      <c r="DL101" s="93" cm="1">
        <f t="array" ref="DL101">SUMPRODUCT(TRANSPOSE(DL$4:DL$20),$G101:$W101)</f>
        <v>0</v>
      </c>
      <c r="DM101" s="93" cm="1">
        <f t="array" ref="DM101">SUMPRODUCT(TRANSPOSE(DM$4:DM$20),$G101:$W101)</f>
        <v>0</v>
      </c>
      <c r="DN101" s="93" cm="1">
        <f t="array" ref="DN101">SUMPRODUCT(TRANSPOSE(DN$4:DN$20),$G101:$W101)</f>
        <v>0</v>
      </c>
      <c r="DO101" s="93" cm="1">
        <f t="array" ref="DO101">SUMPRODUCT(TRANSPOSE(DO$4:DO$20),$G101:$W101)</f>
        <v>0</v>
      </c>
    </row>
    <row r="102" spans="1:119" x14ac:dyDescent="0.2">
      <c r="A102" s="45">
        <f t="shared" si="27"/>
        <v>81</v>
      </c>
      <c r="B102" s="60" t="s">
        <v>305</v>
      </c>
      <c r="C102" s="45">
        <v>415554862</v>
      </c>
      <c r="D102" s="45" t="s">
        <v>306</v>
      </c>
      <c r="E102" s="45" t="s">
        <v>162</v>
      </c>
      <c r="F102" s="48">
        <v>1</v>
      </c>
      <c r="G102" s="100">
        <v>0</v>
      </c>
      <c r="H102" s="100">
        <v>0</v>
      </c>
      <c r="I102" s="100">
        <v>0</v>
      </c>
      <c r="J102" s="100">
        <v>0</v>
      </c>
      <c r="K102" s="100">
        <v>0</v>
      </c>
      <c r="L102" s="100">
        <v>0</v>
      </c>
      <c r="M102" s="100">
        <v>0</v>
      </c>
      <c r="N102" s="100">
        <v>0</v>
      </c>
      <c r="O102" s="100">
        <v>0</v>
      </c>
      <c r="P102" s="100">
        <v>0</v>
      </c>
      <c r="Q102" s="100">
        <v>0</v>
      </c>
      <c r="R102" s="100">
        <v>0</v>
      </c>
      <c r="S102" s="100">
        <v>0</v>
      </c>
      <c r="T102" s="100">
        <v>0</v>
      </c>
      <c r="U102" s="100">
        <v>0</v>
      </c>
      <c r="V102" s="100">
        <v>0</v>
      </c>
      <c r="W102" s="100">
        <v>140</v>
      </c>
      <c r="X102" s="45" t="s">
        <v>56</v>
      </c>
      <c r="Y102" s="49">
        <v>0.25</v>
      </c>
      <c r="Z102" s="45">
        <v>32340</v>
      </c>
      <c r="AA102" s="45">
        <v>0</v>
      </c>
      <c r="AB102" s="45">
        <v>0</v>
      </c>
      <c r="AC102" s="45">
        <v>0</v>
      </c>
      <c r="AD102" s="45">
        <v>0</v>
      </c>
      <c r="AE102" s="45">
        <v>0</v>
      </c>
      <c r="AF102" s="45">
        <v>0</v>
      </c>
      <c r="AG102" s="45">
        <v>0</v>
      </c>
      <c r="AH102" s="45">
        <v>0</v>
      </c>
      <c r="AI102" s="45">
        <v>0</v>
      </c>
      <c r="AJ102" s="45">
        <v>0</v>
      </c>
      <c r="AK102" s="45">
        <v>0</v>
      </c>
      <c r="AL102" s="45">
        <v>0</v>
      </c>
      <c r="AM102" s="45">
        <v>0</v>
      </c>
      <c r="AN102" s="45">
        <v>0</v>
      </c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93"/>
      <c r="BE102" s="93"/>
      <c r="BF102" s="93"/>
      <c r="BG102" s="93"/>
      <c r="BH102" s="93"/>
      <c r="BI102" s="93"/>
      <c r="BJ102" s="93"/>
      <c r="BK102" s="93">
        <f>SUM($Z102:AD102)-SUM($CM102:CQ102)</f>
        <v>30100</v>
      </c>
      <c r="BL102" s="93">
        <f>SUM($Z102:AE102)-SUM($CM102:CR102)</f>
        <v>27860</v>
      </c>
      <c r="BM102" s="93">
        <f>SUM($Z102:AF102)-SUM($CM102:CS102)</f>
        <v>25620</v>
      </c>
      <c r="BN102" s="93">
        <f>SUM($Z102:AG102)-SUM($CM102:CT102)</f>
        <v>23380</v>
      </c>
      <c r="BO102" s="93">
        <f>SUM($Z102:AH102)-SUM($CM102:CU102)</f>
        <v>21140</v>
      </c>
      <c r="BP102" s="93">
        <f>SUM($Z102:AI102)-SUM($CM102:CV102)</f>
        <v>18900</v>
      </c>
      <c r="BQ102" s="93">
        <f>SUM($Z102:AJ102)-SUM($CM102:CW102)</f>
        <v>16660</v>
      </c>
      <c r="BR102" s="93">
        <f>SUM($Z102:AK102)-SUM($CM102:CX102)</f>
        <v>14420</v>
      </c>
      <c r="BS102" s="93">
        <f>SUM($Z102:AL102)-SUM($CM102:CY102)</f>
        <v>14420</v>
      </c>
      <c r="BT102" s="93">
        <f>SUM($Z102:AM102)-SUM($CM102:CZ102)</f>
        <v>14420</v>
      </c>
      <c r="BU102" s="93">
        <f>SUM($Z102:AN102)-SUM($CM102:DA102)</f>
        <v>14420</v>
      </c>
      <c r="BV102" s="93">
        <f>SUM($Z102:AO102)-SUM($CM102:DB102)</f>
        <v>14420</v>
      </c>
      <c r="BW102" s="93">
        <f>SUM($Z102:AP102)-SUM($CM102:DC102)</f>
        <v>14420</v>
      </c>
      <c r="BX102" s="93">
        <f>SUM($Z102:AQ102)-SUM($CM102:DD102)</f>
        <v>14420</v>
      </c>
      <c r="BY102" s="93">
        <f>SUM($Z102:AR102)-SUM($CM102:DE102)</f>
        <v>14420</v>
      </c>
      <c r="BZ102" s="93">
        <f>SUM($Z102:AS102)-SUM($CM102:DF102)</f>
        <v>14420</v>
      </c>
      <c r="CA102" s="93">
        <f>SUM($Z102:AT102)-SUM($CM102:DG102)</f>
        <v>14420</v>
      </c>
      <c r="CB102" s="93">
        <f>SUM($Z102:AU102)-SUM($CM102:DH102)</f>
        <v>14420</v>
      </c>
      <c r="CC102" s="93">
        <f>SUM($Z102:AV102)-SUM($CM102:DI102)</f>
        <v>14420</v>
      </c>
      <c r="CD102" s="93">
        <f>SUM($Z102:AW102)-SUM($CM102:DJ102)</f>
        <v>14420</v>
      </c>
      <c r="CE102" s="93">
        <f>SUM($Z102:AX102)-SUM($CM102:DK102)</f>
        <v>14420</v>
      </c>
      <c r="CF102" s="93">
        <f>SUM($Z102:AY102)-SUM($CM102:DL102)</f>
        <v>14420</v>
      </c>
      <c r="CG102" s="93">
        <f>SUM($Z102:AZ102)-SUM($CM102:DM102)</f>
        <v>14420</v>
      </c>
      <c r="CH102" s="93">
        <f>SUM($Z102:BA102)-SUM($CM102:DN102)</f>
        <v>14420</v>
      </c>
      <c r="CI102" s="93">
        <f>SUM($Z102:BB102)-SUM($CM102:DO102)</f>
        <v>14420</v>
      </c>
      <c r="CJ102" s="93"/>
      <c r="CK102" s="93"/>
      <c r="CL102" s="93"/>
      <c r="CM102" s="93"/>
      <c r="CN102" s="93" cm="1">
        <f t="array" ref="CN102">SUMPRODUCT(TRANSPOSE(CN$4:CN$20),$G102:$W102)</f>
        <v>0</v>
      </c>
      <c r="CO102" s="93" cm="1">
        <f t="array" ref="CO102">SUMPRODUCT(TRANSPOSE(CO$4:CO$20),$G102:$W102)</f>
        <v>0</v>
      </c>
      <c r="CP102" s="93" cm="1">
        <f t="array" ref="CP102">SUMPRODUCT(TRANSPOSE(CP$4:CP$20),$G102:$W102)</f>
        <v>0</v>
      </c>
      <c r="CQ102" s="93" cm="1">
        <f t="array" ref="CQ102">SUMPRODUCT(TRANSPOSE(CQ$4:CQ$20),$G102:$W102)</f>
        <v>2240</v>
      </c>
      <c r="CR102" s="93" cm="1">
        <f t="array" ref="CR102">SUMPRODUCT(TRANSPOSE(CR$4:CR$20),$G102:$W102)</f>
        <v>2240</v>
      </c>
      <c r="CS102" s="93" cm="1">
        <f t="array" ref="CS102">SUMPRODUCT(TRANSPOSE(CS$4:CS$20),$G102:$W102)</f>
        <v>2240</v>
      </c>
      <c r="CT102" s="93" cm="1">
        <f t="array" ref="CT102">SUMPRODUCT(TRANSPOSE(CT$4:CT$20),$G102:$W102)</f>
        <v>2240</v>
      </c>
      <c r="CU102" s="93" cm="1">
        <f t="array" ref="CU102">SUMPRODUCT(TRANSPOSE(CU$4:CU$20),$G102:$W102)</f>
        <v>2240</v>
      </c>
      <c r="CV102" s="93" cm="1">
        <f t="array" ref="CV102">SUMPRODUCT(TRANSPOSE(CV$4:CV$20),$G102:$W102)</f>
        <v>2240</v>
      </c>
      <c r="CW102" s="93" cm="1">
        <f t="array" ref="CW102">SUMPRODUCT(TRANSPOSE(CW$4:CW$20),$G102:$W102)</f>
        <v>2240</v>
      </c>
      <c r="CX102" s="93" cm="1">
        <f t="array" ref="CX102">SUMPRODUCT(TRANSPOSE(CX$4:CX$20),$G102:$W102)</f>
        <v>2240</v>
      </c>
      <c r="CY102" s="93" cm="1">
        <f t="array" ref="CY102">SUMPRODUCT(TRANSPOSE(CY$4:CY$20),$G102:$W102)</f>
        <v>0</v>
      </c>
      <c r="CZ102" s="93" cm="1">
        <f t="array" ref="CZ102">SUMPRODUCT(TRANSPOSE(CZ$4:CZ$20),$G102:$W102)</f>
        <v>0</v>
      </c>
      <c r="DA102" s="93" cm="1">
        <f t="array" ref="DA102">SUMPRODUCT(TRANSPOSE(DA$4:DA$20),$G102:$W102)</f>
        <v>0</v>
      </c>
      <c r="DB102" s="93" cm="1">
        <f t="array" ref="DB102">SUMPRODUCT(TRANSPOSE(DB$4:DB$20),$G102:$W102)</f>
        <v>0</v>
      </c>
      <c r="DC102" s="93" cm="1">
        <f t="array" ref="DC102">SUMPRODUCT(TRANSPOSE(DC$4:DC$20),$G102:$W102)</f>
        <v>0</v>
      </c>
      <c r="DD102" s="93" cm="1">
        <f t="array" ref="DD102">SUMPRODUCT(TRANSPOSE(DD$4:DD$20),$G102:$W102)</f>
        <v>0</v>
      </c>
      <c r="DE102" s="93" cm="1">
        <f t="array" ref="DE102">SUMPRODUCT(TRANSPOSE(DE$4:DE$20),$G102:$W102)</f>
        <v>0</v>
      </c>
      <c r="DF102" s="93" cm="1">
        <f t="array" ref="DF102">SUMPRODUCT(TRANSPOSE(DF$4:DF$20),$G102:$W102)</f>
        <v>0</v>
      </c>
      <c r="DG102" s="93" cm="1">
        <f t="array" ref="DG102">SUMPRODUCT(TRANSPOSE(DG$4:DG$20),$G102:$W102)</f>
        <v>0</v>
      </c>
      <c r="DH102" s="93" cm="1">
        <f t="array" ref="DH102">SUMPRODUCT(TRANSPOSE(DH$4:DH$20),$G102:$W102)</f>
        <v>0</v>
      </c>
      <c r="DI102" s="93" cm="1">
        <f t="array" ref="DI102">SUMPRODUCT(TRANSPOSE(DI$4:DI$20),$G102:$W102)</f>
        <v>0</v>
      </c>
      <c r="DJ102" s="93" cm="1">
        <f t="array" ref="DJ102">SUMPRODUCT(TRANSPOSE(DJ$4:DJ$20),$G102:$W102)</f>
        <v>0</v>
      </c>
      <c r="DK102" s="93" cm="1">
        <f t="array" ref="DK102">SUMPRODUCT(TRANSPOSE(DK$4:DK$20),$G102:$W102)</f>
        <v>0</v>
      </c>
      <c r="DL102" s="93" cm="1">
        <f t="array" ref="DL102">SUMPRODUCT(TRANSPOSE(DL$4:DL$20),$G102:$W102)</f>
        <v>0</v>
      </c>
      <c r="DM102" s="93" cm="1">
        <f t="array" ref="DM102">SUMPRODUCT(TRANSPOSE(DM$4:DM$20),$G102:$W102)</f>
        <v>0</v>
      </c>
      <c r="DN102" s="93" cm="1">
        <f t="array" ref="DN102">SUMPRODUCT(TRANSPOSE(DN$4:DN$20),$G102:$W102)</f>
        <v>0</v>
      </c>
      <c r="DO102" s="93" cm="1">
        <f t="array" ref="DO102">SUMPRODUCT(TRANSPOSE(DO$4:DO$20),$G102:$W102)</f>
        <v>0</v>
      </c>
    </row>
    <row r="103" spans="1:119" x14ac:dyDescent="0.2">
      <c r="A103" s="45">
        <f t="shared" si="27"/>
        <v>82</v>
      </c>
      <c r="B103" s="46" t="s">
        <v>307</v>
      </c>
      <c r="C103" s="45">
        <v>415243985</v>
      </c>
      <c r="D103" s="45" t="s">
        <v>308</v>
      </c>
      <c r="E103" s="45" t="s">
        <v>162</v>
      </c>
      <c r="F103" s="48">
        <v>1</v>
      </c>
      <c r="G103" s="100">
        <v>0</v>
      </c>
      <c r="H103" s="100">
        <v>0</v>
      </c>
      <c r="I103" s="100">
        <v>0</v>
      </c>
      <c r="J103" s="100">
        <v>0</v>
      </c>
      <c r="K103" s="100">
        <v>0</v>
      </c>
      <c r="L103" s="100">
        <v>0</v>
      </c>
      <c r="M103" s="100">
        <v>0</v>
      </c>
      <c r="N103" s="100">
        <v>0</v>
      </c>
      <c r="O103" s="100">
        <v>0</v>
      </c>
      <c r="P103" s="100">
        <v>0</v>
      </c>
      <c r="Q103" s="100">
        <v>0</v>
      </c>
      <c r="R103" s="100">
        <v>0</v>
      </c>
      <c r="S103" s="100">
        <v>0</v>
      </c>
      <c r="T103" s="100">
        <v>0</v>
      </c>
      <c r="U103" s="100">
        <v>0</v>
      </c>
      <c r="V103" s="100">
        <v>0</v>
      </c>
      <c r="W103" s="100">
        <v>1</v>
      </c>
      <c r="X103" s="45" t="s">
        <v>237</v>
      </c>
      <c r="Y103" s="53">
        <v>33</v>
      </c>
      <c r="Z103" s="45">
        <v>231</v>
      </c>
      <c r="AA103" s="45">
        <v>0</v>
      </c>
      <c r="AB103" s="45">
        <v>0</v>
      </c>
      <c r="AC103" s="45">
        <v>0</v>
      </c>
      <c r="AD103" s="45">
        <v>0</v>
      </c>
      <c r="AE103" s="45">
        <v>0</v>
      </c>
      <c r="AF103" s="45">
        <v>0</v>
      </c>
      <c r="AG103" s="45">
        <v>0</v>
      </c>
      <c r="AH103" s="45">
        <v>0</v>
      </c>
      <c r="AI103" s="45">
        <v>0</v>
      </c>
      <c r="AJ103" s="45">
        <v>0</v>
      </c>
      <c r="AK103" s="45">
        <v>0</v>
      </c>
      <c r="AL103" s="45">
        <v>0</v>
      </c>
      <c r="AM103" s="45">
        <v>0</v>
      </c>
      <c r="AN103" s="45">
        <v>0</v>
      </c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93"/>
      <c r="BE103" s="93"/>
      <c r="BF103" s="93"/>
      <c r="BG103" s="93"/>
      <c r="BH103" s="93"/>
      <c r="BI103" s="93"/>
      <c r="BJ103" s="93"/>
      <c r="BK103" s="93">
        <f>SUM($Z103:AD103)-SUM($CM103:CQ103)</f>
        <v>215</v>
      </c>
      <c r="BL103" s="93">
        <f>SUM($Z103:AE103)-SUM($CM103:CR103)</f>
        <v>199</v>
      </c>
      <c r="BM103" s="93">
        <f>SUM($Z103:AF103)-SUM($CM103:CS103)</f>
        <v>183</v>
      </c>
      <c r="BN103" s="93">
        <f>SUM($Z103:AG103)-SUM($CM103:CT103)</f>
        <v>167</v>
      </c>
      <c r="BO103" s="93">
        <f>SUM($Z103:AH103)-SUM($CM103:CU103)</f>
        <v>151</v>
      </c>
      <c r="BP103" s="93">
        <f>SUM($Z103:AI103)-SUM($CM103:CV103)</f>
        <v>135</v>
      </c>
      <c r="BQ103" s="93">
        <f>SUM($Z103:AJ103)-SUM($CM103:CW103)</f>
        <v>119</v>
      </c>
      <c r="BR103" s="93">
        <f>SUM($Z103:AK103)-SUM($CM103:CX103)</f>
        <v>103</v>
      </c>
      <c r="BS103" s="93">
        <f>SUM($Z103:AL103)-SUM($CM103:CY103)</f>
        <v>103</v>
      </c>
      <c r="BT103" s="93">
        <f>SUM($Z103:AM103)-SUM($CM103:CZ103)</f>
        <v>103</v>
      </c>
      <c r="BU103" s="93">
        <f>SUM($Z103:AN103)-SUM($CM103:DA103)</f>
        <v>103</v>
      </c>
      <c r="BV103" s="93">
        <f>SUM($Z103:AO103)-SUM($CM103:DB103)</f>
        <v>103</v>
      </c>
      <c r="BW103" s="93">
        <f>SUM($Z103:AP103)-SUM($CM103:DC103)</f>
        <v>103</v>
      </c>
      <c r="BX103" s="93">
        <f>SUM($Z103:AQ103)-SUM($CM103:DD103)</f>
        <v>103</v>
      </c>
      <c r="BY103" s="93">
        <f>SUM($Z103:AR103)-SUM($CM103:DE103)</f>
        <v>103</v>
      </c>
      <c r="BZ103" s="93">
        <f>SUM($Z103:AS103)-SUM($CM103:DF103)</f>
        <v>103</v>
      </c>
      <c r="CA103" s="93">
        <f>SUM($Z103:AT103)-SUM($CM103:DG103)</f>
        <v>103</v>
      </c>
      <c r="CB103" s="93">
        <f>SUM($Z103:AU103)-SUM($CM103:DH103)</f>
        <v>103</v>
      </c>
      <c r="CC103" s="93">
        <f>SUM($Z103:AV103)-SUM($CM103:DI103)</f>
        <v>103</v>
      </c>
      <c r="CD103" s="93">
        <f>SUM($Z103:AW103)-SUM($CM103:DJ103)</f>
        <v>103</v>
      </c>
      <c r="CE103" s="93">
        <f>SUM($Z103:AX103)-SUM($CM103:DK103)</f>
        <v>103</v>
      </c>
      <c r="CF103" s="93">
        <f>SUM($Z103:AY103)-SUM($CM103:DL103)</f>
        <v>103</v>
      </c>
      <c r="CG103" s="93">
        <f>SUM($Z103:AZ103)-SUM($CM103:DM103)</f>
        <v>103</v>
      </c>
      <c r="CH103" s="93">
        <f>SUM($Z103:BA103)-SUM($CM103:DN103)</f>
        <v>103</v>
      </c>
      <c r="CI103" s="93">
        <f>SUM($Z103:BB103)-SUM($CM103:DO103)</f>
        <v>103</v>
      </c>
      <c r="CJ103" s="93"/>
      <c r="CK103" s="93"/>
      <c r="CL103" s="93"/>
      <c r="CM103" s="93"/>
      <c r="CN103" s="93" cm="1">
        <f t="array" ref="CN103">SUMPRODUCT(TRANSPOSE(CN$4:CN$20),$G103:$W103)</f>
        <v>0</v>
      </c>
      <c r="CO103" s="93" cm="1">
        <f t="array" ref="CO103">SUMPRODUCT(TRANSPOSE(CO$4:CO$20),$G103:$W103)</f>
        <v>0</v>
      </c>
      <c r="CP103" s="93" cm="1">
        <f t="array" ref="CP103">SUMPRODUCT(TRANSPOSE(CP$4:CP$20),$G103:$W103)</f>
        <v>0</v>
      </c>
      <c r="CQ103" s="93" cm="1">
        <f t="array" ref="CQ103">SUMPRODUCT(TRANSPOSE(CQ$4:CQ$20),$G103:$W103)</f>
        <v>16</v>
      </c>
      <c r="CR103" s="93" cm="1">
        <f t="array" ref="CR103">SUMPRODUCT(TRANSPOSE(CR$4:CR$20),$G103:$W103)</f>
        <v>16</v>
      </c>
      <c r="CS103" s="93" cm="1">
        <f t="array" ref="CS103">SUMPRODUCT(TRANSPOSE(CS$4:CS$20),$G103:$W103)</f>
        <v>16</v>
      </c>
      <c r="CT103" s="93" cm="1">
        <f t="array" ref="CT103">SUMPRODUCT(TRANSPOSE(CT$4:CT$20),$G103:$W103)</f>
        <v>16</v>
      </c>
      <c r="CU103" s="93" cm="1">
        <f t="array" ref="CU103">SUMPRODUCT(TRANSPOSE(CU$4:CU$20),$G103:$W103)</f>
        <v>16</v>
      </c>
      <c r="CV103" s="93" cm="1">
        <f t="array" ref="CV103">SUMPRODUCT(TRANSPOSE(CV$4:CV$20),$G103:$W103)</f>
        <v>16</v>
      </c>
      <c r="CW103" s="93" cm="1">
        <f t="array" ref="CW103">SUMPRODUCT(TRANSPOSE(CW$4:CW$20),$G103:$W103)</f>
        <v>16</v>
      </c>
      <c r="CX103" s="93" cm="1">
        <f t="array" ref="CX103">SUMPRODUCT(TRANSPOSE(CX$4:CX$20),$G103:$W103)</f>
        <v>16</v>
      </c>
      <c r="CY103" s="93" cm="1">
        <f t="array" ref="CY103">SUMPRODUCT(TRANSPOSE(CY$4:CY$20),$G103:$W103)</f>
        <v>0</v>
      </c>
      <c r="CZ103" s="93" cm="1">
        <f t="array" ref="CZ103">SUMPRODUCT(TRANSPOSE(CZ$4:CZ$20),$G103:$W103)</f>
        <v>0</v>
      </c>
      <c r="DA103" s="93" cm="1">
        <f t="array" ref="DA103">SUMPRODUCT(TRANSPOSE(DA$4:DA$20),$G103:$W103)</f>
        <v>0</v>
      </c>
      <c r="DB103" s="93" cm="1">
        <f t="array" ref="DB103">SUMPRODUCT(TRANSPOSE(DB$4:DB$20),$G103:$W103)</f>
        <v>0</v>
      </c>
      <c r="DC103" s="93" cm="1">
        <f t="array" ref="DC103">SUMPRODUCT(TRANSPOSE(DC$4:DC$20),$G103:$W103)</f>
        <v>0</v>
      </c>
      <c r="DD103" s="93" cm="1">
        <f t="array" ref="DD103">SUMPRODUCT(TRANSPOSE(DD$4:DD$20),$G103:$W103)</f>
        <v>0</v>
      </c>
      <c r="DE103" s="93" cm="1">
        <f t="array" ref="DE103">SUMPRODUCT(TRANSPOSE(DE$4:DE$20),$G103:$W103)</f>
        <v>0</v>
      </c>
      <c r="DF103" s="93" cm="1">
        <f t="array" ref="DF103">SUMPRODUCT(TRANSPOSE(DF$4:DF$20),$G103:$W103)</f>
        <v>0</v>
      </c>
      <c r="DG103" s="93" cm="1">
        <f t="array" ref="DG103">SUMPRODUCT(TRANSPOSE(DG$4:DG$20),$G103:$W103)</f>
        <v>0</v>
      </c>
      <c r="DH103" s="93" cm="1">
        <f t="array" ref="DH103">SUMPRODUCT(TRANSPOSE(DH$4:DH$20),$G103:$W103)</f>
        <v>0</v>
      </c>
      <c r="DI103" s="93" cm="1">
        <f t="array" ref="DI103">SUMPRODUCT(TRANSPOSE(DI$4:DI$20),$G103:$W103)</f>
        <v>0</v>
      </c>
      <c r="DJ103" s="93" cm="1">
        <f t="array" ref="DJ103">SUMPRODUCT(TRANSPOSE(DJ$4:DJ$20),$G103:$W103)</f>
        <v>0</v>
      </c>
      <c r="DK103" s="93" cm="1">
        <f t="array" ref="DK103">SUMPRODUCT(TRANSPOSE(DK$4:DK$20),$G103:$W103)</f>
        <v>0</v>
      </c>
      <c r="DL103" s="93" cm="1">
        <f t="array" ref="DL103">SUMPRODUCT(TRANSPOSE(DL$4:DL$20),$G103:$W103)</f>
        <v>0</v>
      </c>
      <c r="DM103" s="93" cm="1">
        <f t="array" ref="DM103">SUMPRODUCT(TRANSPOSE(DM$4:DM$20),$G103:$W103)</f>
        <v>0</v>
      </c>
      <c r="DN103" s="93" cm="1">
        <f t="array" ref="DN103">SUMPRODUCT(TRANSPOSE(DN$4:DN$20),$G103:$W103)</f>
        <v>0</v>
      </c>
      <c r="DO103" s="93" cm="1">
        <f t="array" ref="DO103">SUMPRODUCT(TRANSPOSE(DO$4:DO$20),$G103:$W103)</f>
        <v>0</v>
      </c>
    </row>
    <row r="104" spans="1:119" x14ac:dyDescent="0.2">
      <c r="A104" s="45">
        <f t="shared" si="27"/>
        <v>83</v>
      </c>
      <c r="B104" s="46" t="s">
        <v>309</v>
      </c>
      <c r="C104" s="45">
        <v>415243986</v>
      </c>
      <c r="D104" s="45" t="s">
        <v>310</v>
      </c>
      <c r="E104" s="45" t="s">
        <v>162</v>
      </c>
      <c r="F104" s="48">
        <v>1</v>
      </c>
      <c r="G104" s="100">
        <v>0</v>
      </c>
      <c r="H104" s="100">
        <v>0</v>
      </c>
      <c r="I104" s="100">
        <v>0</v>
      </c>
      <c r="J104" s="100">
        <v>0</v>
      </c>
      <c r="K104" s="100">
        <v>0</v>
      </c>
      <c r="L104" s="100">
        <v>0</v>
      </c>
      <c r="M104" s="100">
        <v>0</v>
      </c>
      <c r="N104" s="100">
        <v>0</v>
      </c>
      <c r="O104" s="100">
        <v>0</v>
      </c>
      <c r="P104" s="100">
        <v>0</v>
      </c>
      <c r="Q104" s="100">
        <v>0</v>
      </c>
      <c r="R104" s="100">
        <v>0</v>
      </c>
      <c r="S104" s="100">
        <v>0</v>
      </c>
      <c r="T104" s="100">
        <v>0</v>
      </c>
      <c r="U104" s="100">
        <v>0</v>
      </c>
      <c r="V104" s="100">
        <v>0</v>
      </c>
      <c r="W104" s="100">
        <v>1</v>
      </c>
      <c r="X104" s="45" t="s">
        <v>237</v>
      </c>
      <c r="Y104" s="49">
        <v>33</v>
      </c>
      <c r="Z104" s="45">
        <v>231</v>
      </c>
      <c r="AA104" s="45">
        <v>0</v>
      </c>
      <c r="AB104" s="45">
        <v>0</v>
      </c>
      <c r="AC104" s="45">
        <v>0</v>
      </c>
      <c r="AD104" s="45">
        <v>0</v>
      </c>
      <c r="AE104" s="45">
        <v>0</v>
      </c>
      <c r="AF104" s="45">
        <v>0</v>
      </c>
      <c r="AG104" s="45">
        <v>0</v>
      </c>
      <c r="AH104" s="45">
        <v>0</v>
      </c>
      <c r="AI104" s="45">
        <v>0</v>
      </c>
      <c r="AJ104" s="45">
        <v>0</v>
      </c>
      <c r="AK104" s="45">
        <v>0</v>
      </c>
      <c r="AL104" s="45">
        <v>0</v>
      </c>
      <c r="AM104" s="45">
        <v>0</v>
      </c>
      <c r="AN104" s="45">
        <v>0</v>
      </c>
      <c r="AO104" s="45"/>
      <c r="AP104" s="45"/>
      <c r="AQ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5"/>
      <c r="BC104" s="45"/>
      <c r="BD104" s="93"/>
      <c r="BE104" s="93"/>
      <c r="BF104" s="93"/>
      <c r="BG104" s="93"/>
      <c r="BH104" s="93"/>
      <c r="BI104" s="93"/>
      <c r="BJ104" s="93"/>
      <c r="BK104" s="93">
        <f>SUM($Z104:AD104)-SUM($CM104:CQ104)</f>
        <v>215</v>
      </c>
      <c r="BL104" s="93">
        <f>SUM($Z104:AE104)-SUM($CM104:CR104)</f>
        <v>199</v>
      </c>
      <c r="BM104" s="93">
        <f>SUM($Z104:AF104)-SUM($CM104:CS104)</f>
        <v>183</v>
      </c>
      <c r="BN104" s="93">
        <f>SUM($Z104:AG104)-SUM($CM104:CT104)</f>
        <v>167</v>
      </c>
      <c r="BO104" s="93">
        <f>SUM($Z104:AH104)-SUM($CM104:CU104)</f>
        <v>151</v>
      </c>
      <c r="BP104" s="93">
        <f>SUM($Z104:AI104)-SUM($CM104:CV104)</f>
        <v>135</v>
      </c>
      <c r="BQ104" s="93">
        <f>SUM($Z104:AJ104)-SUM($CM104:CW104)</f>
        <v>119</v>
      </c>
      <c r="BR104" s="93">
        <f>SUM($Z104:AK104)-SUM($CM104:CX104)</f>
        <v>103</v>
      </c>
      <c r="BS104" s="93">
        <f>SUM($Z104:AL104)-SUM($CM104:CY104)</f>
        <v>103</v>
      </c>
      <c r="BT104" s="93">
        <f>SUM($Z104:AM104)-SUM($CM104:CZ104)</f>
        <v>103</v>
      </c>
      <c r="BU104" s="93">
        <f>SUM($Z104:AN104)-SUM($CM104:DA104)</f>
        <v>103</v>
      </c>
      <c r="BV104" s="93">
        <f>SUM($Z104:AO104)-SUM($CM104:DB104)</f>
        <v>103</v>
      </c>
      <c r="BW104" s="93">
        <f>SUM($Z104:AP104)-SUM($CM104:DC104)</f>
        <v>103</v>
      </c>
      <c r="BX104" s="93">
        <f>SUM($Z104:AQ104)-SUM($CM104:DD104)</f>
        <v>103</v>
      </c>
      <c r="BY104" s="93">
        <f>SUM($Z104:AR104)-SUM($CM104:DE104)</f>
        <v>103</v>
      </c>
      <c r="BZ104" s="93">
        <f>SUM($Z104:AS104)-SUM($CM104:DF104)</f>
        <v>103</v>
      </c>
      <c r="CA104" s="93">
        <f>SUM($Z104:AT104)-SUM($CM104:DG104)</f>
        <v>103</v>
      </c>
      <c r="CB104" s="93">
        <f>SUM($Z104:AU104)-SUM($CM104:DH104)</f>
        <v>103</v>
      </c>
      <c r="CC104" s="93">
        <f>SUM($Z104:AV104)-SUM($CM104:DI104)</f>
        <v>103</v>
      </c>
      <c r="CD104" s="93">
        <f>SUM($Z104:AW104)-SUM($CM104:DJ104)</f>
        <v>103</v>
      </c>
      <c r="CE104" s="93">
        <f>SUM($Z104:AX104)-SUM($CM104:DK104)</f>
        <v>103</v>
      </c>
      <c r="CF104" s="93">
        <f>SUM($Z104:AY104)-SUM($CM104:DL104)</f>
        <v>103</v>
      </c>
      <c r="CG104" s="93">
        <f>SUM($Z104:AZ104)-SUM($CM104:DM104)</f>
        <v>103</v>
      </c>
      <c r="CH104" s="93">
        <f>SUM($Z104:BA104)-SUM($CM104:DN104)</f>
        <v>103</v>
      </c>
      <c r="CI104" s="93">
        <f>SUM($Z104:BB104)-SUM($CM104:DO104)</f>
        <v>103</v>
      </c>
      <c r="CJ104" s="93"/>
      <c r="CK104" s="93"/>
      <c r="CL104" s="93"/>
      <c r="CM104" s="93"/>
      <c r="CN104" s="93" cm="1">
        <f t="array" ref="CN104">SUMPRODUCT(TRANSPOSE(CN$4:CN$20),$G104:$W104)</f>
        <v>0</v>
      </c>
      <c r="CO104" s="93" cm="1">
        <f t="array" ref="CO104">SUMPRODUCT(TRANSPOSE(CO$4:CO$20),$G104:$W104)</f>
        <v>0</v>
      </c>
      <c r="CP104" s="93" cm="1">
        <f t="array" ref="CP104">SUMPRODUCT(TRANSPOSE(CP$4:CP$20),$G104:$W104)</f>
        <v>0</v>
      </c>
      <c r="CQ104" s="93" cm="1">
        <f t="array" ref="CQ104">SUMPRODUCT(TRANSPOSE(CQ$4:CQ$20),$G104:$W104)</f>
        <v>16</v>
      </c>
      <c r="CR104" s="93" cm="1">
        <f t="array" ref="CR104">SUMPRODUCT(TRANSPOSE(CR$4:CR$20),$G104:$W104)</f>
        <v>16</v>
      </c>
      <c r="CS104" s="93" cm="1">
        <f t="array" ref="CS104">SUMPRODUCT(TRANSPOSE(CS$4:CS$20),$G104:$W104)</f>
        <v>16</v>
      </c>
      <c r="CT104" s="93" cm="1">
        <f t="array" ref="CT104">SUMPRODUCT(TRANSPOSE(CT$4:CT$20),$G104:$W104)</f>
        <v>16</v>
      </c>
      <c r="CU104" s="93" cm="1">
        <f t="array" ref="CU104">SUMPRODUCT(TRANSPOSE(CU$4:CU$20),$G104:$W104)</f>
        <v>16</v>
      </c>
      <c r="CV104" s="93" cm="1">
        <f t="array" ref="CV104">SUMPRODUCT(TRANSPOSE(CV$4:CV$20),$G104:$W104)</f>
        <v>16</v>
      </c>
      <c r="CW104" s="93" cm="1">
        <f t="array" ref="CW104">SUMPRODUCT(TRANSPOSE(CW$4:CW$20),$G104:$W104)</f>
        <v>16</v>
      </c>
      <c r="CX104" s="93" cm="1">
        <f t="array" ref="CX104">SUMPRODUCT(TRANSPOSE(CX$4:CX$20),$G104:$W104)</f>
        <v>16</v>
      </c>
      <c r="CY104" s="93" cm="1">
        <f t="array" ref="CY104">SUMPRODUCT(TRANSPOSE(CY$4:CY$20),$G104:$W104)</f>
        <v>0</v>
      </c>
      <c r="CZ104" s="93" cm="1">
        <f t="array" ref="CZ104">SUMPRODUCT(TRANSPOSE(CZ$4:CZ$20),$G104:$W104)</f>
        <v>0</v>
      </c>
      <c r="DA104" s="93" cm="1">
        <f t="array" ref="DA104">SUMPRODUCT(TRANSPOSE(DA$4:DA$20),$G104:$W104)</f>
        <v>0</v>
      </c>
      <c r="DB104" s="93" cm="1">
        <f t="array" ref="DB104">SUMPRODUCT(TRANSPOSE(DB$4:DB$20),$G104:$W104)</f>
        <v>0</v>
      </c>
      <c r="DC104" s="93" cm="1">
        <f t="array" ref="DC104">SUMPRODUCT(TRANSPOSE(DC$4:DC$20),$G104:$W104)</f>
        <v>0</v>
      </c>
      <c r="DD104" s="93" cm="1">
        <f t="array" ref="DD104">SUMPRODUCT(TRANSPOSE(DD$4:DD$20),$G104:$W104)</f>
        <v>0</v>
      </c>
      <c r="DE104" s="93" cm="1">
        <f t="array" ref="DE104">SUMPRODUCT(TRANSPOSE(DE$4:DE$20),$G104:$W104)</f>
        <v>0</v>
      </c>
      <c r="DF104" s="93" cm="1">
        <f t="array" ref="DF104">SUMPRODUCT(TRANSPOSE(DF$4:DF$20),$G104:$W104)</f>
        <v>0</v>
      </c>
      <c r="DG104" s="93" cm="1">
        <f t="array" ref="DG104">SUMPRODUCT(TRANSPOSE(DG$4:DG$20),$G104:$W104)</f>
        <v>0</v>
      </c>
      <c r="DH104" s="93" cm="1">
        <f t="array" ref="DH104">SUMPRODUCT(TRANSPOSE(DH$4:DH$20),$G104:$W104)</f>
        <v>0</v>
      </c>
      <c r="DI104" s="93" cm="1">
        <f t="array" ref="DI104">SUMPRODUCT(TRANSPOSE(DI$4:DI$20),$G104:$W104)</f>
        <v>0</v>
      </c>
      <c r="DJ104" s="93" cm="1">
        <f t="array" ref="DJ104">SUMPRODUCT(TRANSPOSE(DJ$4:DJ$20),$G104:$W104)</f>
        <v>0</v>
      </c>
      <c r="DK104" s="93" cm="1">
        <f t="array" ref="DK104">SUMPRODUCT(TRANSPOSE(DK$4:DK$20),$G104:$W104)</f>
        <v>0</v>
      </c>
      <c r="DL104" s="93" cm="1">
        <f t="array" ref="DL104">SUMPRODUCT(TRANSPOSE(DL$4:DL$20),$G104:$W104)</f>
        <v>0</v>
      </c>
      <c r="DM104" s="93" cm="1">
        <f t="array" ref="DM104">SUMPRODUCT(TRANSPOSE(DM$4:DM$20),$G104:$W104)</f>
        <v>0</v>
      </c>
      <c r="DN104" s="93" cm="1">
        <f t="array" ref="DN104">SUMPRODUCT(TRANSPOSE(DN$4:DN$20),$G104:$W104)</f>
        <v>0</v>
      </c>
      <c r="DO104" s="93" cm="1">
        <f t="array" ref="DO104">SUMPRODUCT(TRANSPOSE(DO$4:DO$20),$G104:$W104)</f>
        <v>0</v>
      </c>
    </row>
    <row r="105" spans="1:119" x14ac:dyDescent="0.2">
      <c r="A105" s="45">
        <f t="shared" si="27"/>
        <v>84</v>
      </c>
      <c r="B105" s="46" t="s">
        <v>155</v>
      </c>
      <c r="C105" s="45">
        <v>415600492</v>
      </c>
      <c r="D105" s="45" t="s">
        <v>123</v>
      </c>
      <c r="E105" s="45" t="s">
        <v>162</v>
      </c>
      <c r="F105" s="48">
        <v>1</v>
      </c>
      <c r="G105" s="100">
        <v>0</v>
      </c>
      <c r="H105" s="100">
        <v>0</v>
      </c>
      <c r="I105" s="100">
        <v>0</v>
      </c>
      <c r="J105" s="100">
        <v>0</v>
      </c>
      <c r="K105" s="100">
        <v>0</v>
      </c>
      <c r="L105" s="100">
        <v>0</v>
      </c>
      <c r="M105" s="100">
        <v>0</v>
      </c>
      <c r="N105" s="100">
        <v>0</v>
      </c>
      <c r="O105" s="100">
        <v>0</v>
      </c>
      <c r="P105" s="100">
        <v>0</v>
      </c>
      <c r="Q105" s="100">
        <v>0</v>
      </c>
      <c r="R105" s="100">
        <v>0</v>
      </c>
      <c r="S105" s="100">
        <v>0</v>
      </c>
      <c r="T105" s="100">
        <v>0</v>
      </c>
      <c r="U105" s="100">
        <v>0</v>
      </c>
      <c r="V105" s="100">
        <v>0</v>
      </c>
      <c r="W105" s="100">
        <v>2</v>
      </c>
      <c r="X105" s="45" t="s">
        <v>1093</v>
      </c>
      <c r="Y105" s="53">
        <v>1.32</v>
      </c>
      <c r="Z105" s="45">
        <v>462</v>
      </c>
      <c r="AA105" s="45">
        <v>0</v>
      </c>
      <c r="AB105" s="45">
        <v>0</v>
      </c>
      <c r="AC105" s="45">
        <v>0</v>
      </c>
      <c r="AD105" s="45">
        <v>0</v>
      </c>
      <c r="AE105" s="45">
        <v>0</v>
      </c>
      <c r="AF105" s="45">
        <v>0</v>
      </c>
      <c r="AG105" s="45">
        <v>0</v>
      </c>
      <c r="AH105" s="45">
        <v>0</v>
      </c>
      <c r="AI105" s="45">
        <v>0</v>
      </c>
      <c r="AJ105" s="45">
        <v>0</v>
      </c>
      <c r="AK105" s="45">
        <v>0</v>
      </c>
      <c r="AL105" s="45">
        <v>0</v>
      </c>
      <c r="AM105" s="45">
        <v>0</v>
      </c>
      <c r="AN105" s="45">
        <v>0</v>
      </c>
      <c r="AO105" s="45"/>
      <c r="AP105" s="45"/>
      <c r="AQ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5"/>
      <c r="BC105" s="45"/>
      <c r="BD105" s="93"/>
      <c r="BE105" s="93"/>
      <c r="BF105" s="93"/>
      <c r="BG105" s="93"/>
      <c r="BH105" s="93"/>
      <c r="BI105" s="93"/>
      <c r="BJ105" s="93"/>
      <c r="BK105" s="93">
        <f>SUM($Z105:AD105)-SUM($CM105:CQ105)</f>
        <v>430</v>
      </c>
      <c r="BL105" s="93">
        <f>SUM($Z105:AE105)-SUM($CM105:CR105)</f>
        <v>398</v>
      </c>
      <c r="BM105" s="93">
        <f>SUM($Z105:AF105)-SUM($CM105:CS105)</f>
        <v>366</v>
      </c>
      <c r="BN105" s="93">
        <f>SUM($Z105:AG105)-SUM($CM105:CT105)</f>
        <v>334</v>
      </c>
      <c r="BO105" s="93">
        <f>SUM($Z105:AH105)-SUM($CM105:CU105)</f>
        <v>302</v>
      </c>
      <c r="BP105" s="93">
        <f>SUM($Z105:AI105)-SUM($CM105:CV105)</f>
        <v>270</v>
      </c>
      <c r="BQ105" s="93">
        <f>SUM($Z105:AJ105)-SUM($CM105:CW105)</f>
        <v>238</v>
      </c>
      <c r="BR105" s="93">
        <f>SUM($Z105:AK105)-SUM($CM105:CX105)</f>
        <v>206</v>
      </c>
      <c r="BS105" s="93">
        <f>SUM($Z105:AL105)-SUM($CM105:CY105)</f>
        <v>206</v>
      </c>
      <c r="BT105" s="93">
        <f>SUM($Z105:AM105)-SUM($CM105:CZ105)</f>
        <v>206</v>
      </c>
      <c r="BU105" s="93">
        <f>SUM($Z105:AN105)-SUM($CM105:DA105)</f>
        <v>206</v>
      </c>
      <c r="BV105" s="93">
        <f>SUM($Z105:AO105)-SUM($CM105:DB105)</f>
        <v>206</v>
      </c>
      <c r="BW105" s="93">
        <f>SUM($Z105:AP105)-SUM($CM105:DC105)</f>
        <v>206</v>
      </c>
      <c r="BX105" s="93">
        <f>SUM($Z105:AQ105)-SUM($CM105:DD105)</f>
        <v>206</v>
      </c>
      <c r="BY105" s="93">
        <f>SUM($Z105:AR105)-SUM($CM105:DE105)</f>
        <v>206</v>
      </c>
      <c r="BZ105" s="93">
        <f>SUM($Z105:AS105)-SUM($CM105:DF105)</f>
        <v>206</v>
      </c>
      <c r="CA105" s="93">
        <f>SUM($Z105:AT105)-SUM($CM105:DG105)</f>
        <v>206</v>
      </c>
      <c r="CB105" s="93">
        <f>SUM($Z105:AU105)-SUM($CM105:DH105)</f>
        <v>206</v>
      </c>
      <c r="CC105" s="93">
        <f>SUM($Z105:AV105)-SUM($CM105:DI105)</f>
        <v>206</v>
      </c>
      <c r="CD105" s="93">
        <f>SUM($Z105:AW105)-SUM($CM105:DJ105)</f>
        <v>206</v>
      </c>
      <c r="CE105" s="93">
        <f>SUM($Z105:AX105)-SUM($CM105:DK105)</f>
        <v>206</v>
      </c>
      <c r="CF105" s="93">
        <f>SUM($Z105:AY105)-SUM($CM105:DL105)</f>
        <v>206</v>
      </c>
      <c r="CG105" s="93">
        <f>SUM($Z105:AZ105)-SUM($CM105:DM105)</f>
        <v>206</v>
      </c>
      <c r="CH105" s="93">
        <f>SUM($Z105:BA105)-SUM($CM105:DN105)</f>
        <v>206</v>
      </c>
      <c r="CI105" s="93">
        <f>SUM($Z105:BB105)-SUM($CM105:DO105)</f>
        <v>206</v>
      </c>
      <c r="CJ105" s="93"/>
      <c r="CK105" s="93"/>
      <c r="CL105" s="93"/>
      <c r="CM105" s="93"/>
      <c r="CN105" s="93" cm="1">
        <f t="array" ref="CN105">SUMPRODUCT(TRANSPOSE(CN$4:CN$20),$G105:$W105)</f>
        <v>0</v>
      </c>
      <c r="CO105" s="93" cm="1">
        <f t="array" ref="CO105">SUMPRODUCT(TRANSPOSE(CO$4:CO$20),$G105:$W105)</f>
        <v>0</v>
      </c>
      <c r="CP105" s="93" cm="1">
        <f t="array" ref="CP105">SUMPRODUCT(TRANSPOSE(CP$4:CP$20),$G105:$W105)</f>
        <v>0</v>
      </c>
      <c r="CQ105" s="93" cm="1">
        <f t="array" ref="CQ105">SUMPRODUCT(TRANSPOSE(CQ$4:CQ$20),$G105:$W105)</f>
        <v>32</v>
      </c>
      <c r="CR105" s="93" cm="1">
        <f t="array" ref="CR105">SUMPRODUCT(TRANSPOSE(CR$4:CR$20),$G105:$W105)</f>
        <v>32</v>
      </c>
      <c r="CS105" s="93" cm="1">
        <f t="array" ref="CS105">SUMPRODUCT(TRANSPOSE(CS$4:CS$20),$G105:$W105)</f>
        <v>32</v>
      </c>
      <c r="CT105" s="93" cm="1">
        <f t="array" ref="CT105">SUMPRODUCT(TRANSPOSE(CT$4:CT$20),$G105:$W105)</f>
        <v>32</v>
      </c>
      <c r="CU105" s="93" cm="1">
        <f t="array" ref="CU105">SUMPRODUCT(TRANSPOSE(CU$4:CU$20),$G105:$W105)</f>
        <v>32</v>
      </c>
      <c r="CV105" s="93" cm="1">
        <f t="array" ref="CV105">SUMPRODUCT(TRANSPOSE(CV$4:CV$20),$G105:$W105)</f>
        <v>32</v>
      </c>
      <c r="CW105" s="93" cm="1">
        <f t="array" ref="CW105">SUMPRODUCT(TRANSPOSE(CW$4:CW$20),$G105:$W105)</f>
        <v>32</v>
      </c>
      <c r="CX105" s="93" cm="1">
        <f t="array" ref="CX105">SUMPRODUCT(TRANSPOSE(CX$4:CX$20),$G105:$W105)</f>
        <v>32</v>
      </c>
      <c r="CY105" s="93" cm="1">
        <f t="array" ref="CY105">SUMPRODUCT(TRANSPOSE(CY$4:CY$20),$G105:$W105)</f>
        <v>0</v>
      </c>
      <c r="CZ105" s="93" cm="1">
        <f t="array" ref="CZ105">SUMPRODUCT(TRANSPOSE(CZ$4:CZ$20),$G105:$W105)</f>
        <v>0</v>
      </c>
      <c r="DA105" s="93" cm="1">
        <f t="array" ref="DA105">SUMPRODUCT(TRANSPOSE(DA$4:DA$20),$G105:$W105)</f>
        <v>0</v>
      </c>
      <c r="DB105" s="93" cm="1">
        <f t="array" ref="DB105">SUMPRODUCT(TRANSPOSE(DB$4:DB$20),$G105:$W105)</f>
        <v>0</v>
      </c>
      <c r="DC105" s="93" cm="1">
        <f t="array" ref="DC105">SUMPRODUCT(TRANSPOSE(DC$4:DC$20),$G105:$W105)</f>
        <v>0</v>
      </c>
      <c r="DD105" s="93" cm="1">
        <f t="array" ref="DD105">SUMPRODUCT(TRANSPOSE(DD$4:DD$20),$G105:$W105)</f>
        <v>0</v>
      </c>
      <c r="DE105" s="93" cm="1">
        <f t="array" ref="DE105">SUMPRODUCT(TRANSPOSE(DE$4:DE$20),$G105:$W105)</f>
        <v>0</v>
      </c>
      <c r="DF105" s="93" cm="1">
        <f t="array" ref="DF105">SUMPRODUCT(TRANSPOSE(DF$4:DF$20),$G105:$W105)</f>
        <v>0</v>
      </c>
      <c r="DG105" s="93" cm="1">
        <f t="array" ref="DG105">SUMPRODUCT(TRANSPOSE(DG$4:DG$20),$G105:$W105)</f>
        <v>0</v>
      </c>
      <c r="DH105" s="93" cm="1">
        <f t="array" ref="DH105">SUMPRODUCT(TRANSPOSE(DH$4:DH$20),$G105:$W105)</f>
        <v>0</v>
      </c>
      <c r="DI105" s="93" cm="1">
        <f t="array" ref="DI105">SUMPRODUCT(TRANSPOSE(DI$4:DI$20),$G105:$W105)</f>
        <v>0</v>
      </c>
      <c r="DJ105" s="93" cm="1">
        <f t="array" ref="DJ105">SUMPRODUCT(TRANSPOSE(DJ$4:DJ$20),$G105:$W105)</f>
        <v>0</v>
      </c>
      <c r="DK105" s="93" cm="1">
        <f t="array" ref="DK105">SUMPRODUCT(TRANSPOSE(DK$4:DK$20),$G105:$W105)</f>
        <v>0</v>
      </c>
      <c r="DL105" s="93" cm="1">
        <f t="array" ref="DL105">SUMPRODUCT(TRANSPOSE(DL$4:DL$20),$G105:$W105)</f>
        <v>0</v>
      </c>
      <c r="DM105" s="93" cm="1">
        <f t="array" ref="DM105">SUMPRODUCT(TRANSPOSE(DM$4:DM$20),$G105:$W105)</f>
        <v>0</v>
      </c>
      <c r="DN105" s="93" cm="1">
        <f t="array" ref="DN105">SUMPRODUCT(TRANSPOSE(DN$4:DN$20),$G105:$W105)</f>
        <v>0</v>
      </c>
      <c r="DO105" s="93" cm="1">
        <f t="array" ref="DO105">SUMPRODUCT(TRANSPOSE(DO$4:DO$20),$G105:$W105)</f>
        <v>0</v>
      </c>
    </row>
    <row r="106" spans="1:119" x14ac:dyDescent="0.2">
      <c r="A106" s="45">
        <f t="shared" si="27"/>
        <v>85</v>
      </c>
      <c r="B106" s="46" t="s">
        <v>311</v>
      </c>
      <c r="C106" s="45">
        <v>417759787</v>
      </c>
      <c r="D106" s="45" t="s">
        <v>312</v>
      </c>
      <c r="E106" s="45" t="s">
        <v>162</v>
      </c>
      <c r="F106" s="48">
        <v>1</v>
      </c>
      <c r="G106" s="100">
        <v>0</v>
      </c>
      <c r="H106" s="100">
        <v>0</v>
      </c>
      <c r="I106" s="100">
        <v>0</v>
      </c>
      <c r="J106" s="100">
        <v>0</v>
      </c>
      <c r="K106" s="100">
        <v>0</v>
      </c>
      <c r="L106" s="100">
        <v>0</v>
      </c>
      <c r="M106" s="100">
        <v>0</v>
      </c>
      <c r="N106" s="100">
        <v>0</v>
      </c>
      <c r="O106" s="100">
        <v>0</v>
      </c>
      <c r="P106" s="100">
        <v>0</v>
      </c>
      <c r="Q106" s="100">
        <v>0</v>
      </c>
      <c r="R106" s="100">
        <v>0</v>
      </c>
      <c r="S106" s="100">
        <v>0</v>
      </c>
      <c r="T106" s="100">
        <v>0</v>
      </c>
      <c r="U106" s="100">
        <v>0</v>
      </c>
      <c r="V106" s="100">
        <v>0</v>
      </c>
      <c r="W106" s="100">
        <v>1</v>
      </c>
      <c r="X106" s="45" t="s">
        <v>44</v>
      </c>
      <c r="Y106" s="49">
        <v>1.1000000000000001</v>
      </c>
      <c r="Z106" s="45">
        <v>231</v>
      </c>
      <c r="AA106" s="45">
        <v>0</v>
      </c>
      <c r="AB106" s="45">
        <v>0</v>
      </c>
      <c r="AC106" s="45">
        <v>0</v>
      </c>
      <c r="AD106" s="45">
        <v>0</v>
      </c>
      <c r="AE106" s="45">
        <v>0</v>
      </c>
      <c r="AF106" s="45">
        <v>0</v>
      </c>
      <c r="AG106" s="45">
        <v>0</v>
      </c>
      <c r="AH106" s="45">
        <v>0</v>
      </c>
      <c r="AI106" s="45">
        <v>0</v>
      </c>
      <c r="AJ106" s="45">
        <v>0</v>
      </c>
      <c r="AK106" s="45">
        <v>0</v>
      </c>
      <c r="AL106" s="45">
        <v>0</v>
      </c>
      <c r="AM106" s="45">
        <v>0</v>
      </c>
      <c r="AN106" s="45">
        <v>0</v>
      </c>
      <c r="AO106" s="45"/>
      <c r="AP106" s="45"/>
      <c r="AQ106" s="45"/>
      <c r="AR106" s="45"/>
      <c r="AS106" s="45"/>
      <c r="AT106" s="45"/>
      <c r="AU106" s="45"/>
      <c r="AV106" s="45"/>
      <c r="AW106" s="45"/>
      <c r="AX106" s="45"/>
      <c r="AY106" s="45"/>
      <c r="AZ106" s="45"/>
      <c r="BA106" s="45"/>
      <c r="BB106" s="45"/>
      <c r="BC106" s="45"/>
      <c r="BD106" s="93"/>
      <c r="BE106" s="93"/>
      <c r="BF106" s="93"/>
      <c r="BG106" s="93"/>
      <c r="BH106" s="93"/>
      <c r="BI106" s="93"/>
      <c r="BJ106" s="93"/>
      <c r="BK106" s="93">
        <f>SUM($Z106:AD106)-SUM($CM106:CQ106)</f>
        <v>215</v>
      </c>
      <c r="BL106" s="93">
        <f>SUM($Z106:AE106)-SUM($CM106:CR106)</f>
        <v>199</v>
      </c>
      <c r="BM106" s="93">
        <f>SUM($Z106:AF106)-SUM($CM106:CS106)</f>
        <v>183</v>
      </c>
      <c r="BN106" s="93">
        <f>SUM($Z106:AG106)-SUM($CM106:CT106)</f>
        <v>167</v>
      </c>
      <c r="BO106" s="93">
        <f>SUM($Z106:AH106)-SUM($CM106:CU106)</f>
        <v>151</v>
      </c>
      <c r="BP106" s="93">
        <f>SUM($Z106:AI106)-SUM($CM106:CV106)</f>
        <v>135</v>
      </c>
      <c r="BQ106" s="93">
        <f>SUM($Z106:AJ106)-SUM($CM106:CW106)</f>
        <v>119</v>
      </c>
      <c r="BR106" s="93">
        <f>SUM($Z106:AK106)-SUM($CM106:CX106)</f>
        <v>103</v>
      </c>
      <c r="BS106" s="93">
        <f>SUM($Z106:AL106)-SUM($CM106:CY106)</f>
        <v>103</v>
      </c>
      <c r="BT106" s="93">
        <f>SUM($Z106:AM106)-SUM($CM106:CZ106)</f>
        <v>103</v>
      </c>
      <c r="BU106" s="93">
        <f>SUM($Z106:AN106)-SUM($CM106:DA106)</f>
        <v>103</v>
      </c>
      <c r="BV106" s="93">
        <f>SUM($Z106:AO106)-SUM($CM106:DB106)</f>
        <v>103</v>
      </c>
      <c r="BW106" s="93">
        <f>SUM($Z106:AP106)-SUM($CM106:DC106)</f>
        <v>103</v>
      </c>
      <c r="BX106" s="93">
        <f>SUM($Z106:AQ106)-SUM($CM106:DD106)</f>
        <v>103</v>
      </c>
      <c r="BY106" s="93">
        <f>SUM($Z106:AR106)-SUM($CM106:DE106)</f>
        <v>103</v>
      </c>
      <c r="BZ106" s="93">
        <f>SUM($Z106:AS106)-SUM($CM106:DF106)</f>
        <v>103</v>
      </c>
      <c r="CA106" s="93">
        <f>SUM($Z106:AT106)-SUM($CM106:DG106)</f>
        <v>103</v>
      </c>
      <c r="CB106" s="93">
        <f>SUM($Z106:AU106)-SUM($CM106:DH106)</f>
        <v>103</v>
      </c>
      <c r="CC106" s="93">
        <f>SUM($Z106:AV106)-SUM($CM106:DI106)</f>
        <v>103</v>
      </c>
      <c r="CD106" s="93">
        <f>SUM($Z106:AW106)-SUM($CM106:DJ106)</f>
        <v>103</v>
      </c>
      <c r="CE106" s="93">
        <f>SUM($Z106:AX106)-SUM($CM106:DK106)</f>
        <v>103</v>
      </c>
      <c r="CF106" s="93">
        <f>SUM($Z106:AY106)-SUM($CM106:DL106)</f>
        <v>103</v>
      </c>
      <c r="CG106" s="93">
        <f>SUM($Z106:AZ106)-SUM($CM106:DM106)</f>
        <v>103</v>
      </c>
      <c r="CH106" s="93">
        <f>SUM($Z106:BA106)-SUM($CM106:DN106)</f>
        <v>103</v>
      </c>
      <c r="CI106" s="93">
        <f>SUM($Z106:BB106)-SUM($CM106:DO106)</f>
        <v>103</v>
      </c>
      <c r="CJ106" s="93"/>
      <c r="CK106" s="93"/>
      <c r="CL106" s="93"/>
      <c r="CM106" s="93"/>
      <c r="CN106" s="93" cm="1">
        <f t="array" ref="CN106">SUMPRODUCT(TRANSPOSE(CN$4:CN$20),$G106:$W106)</f>
        <v>0</v>
      </c>
      <c r="CO106" s="93" cm="1">
        <f t="array" ref="CO106">SUMPRODUCT(TRANSPOSE(CO$4:CO$20),$G106:$W106)</f>
        <v>0</v>
      </c>
      <c r="CP106" s="93" cm="1">
        <f t="array" ref="CP106">SUMPRODUCT(TRANSPOSE(CP$4:CP$20),$G106:$W106)</f>
        <v>0</v>
      </c>
      <c r="CQ106" s="93" cm="1">
        <f t="array" ref="CQ106">SUMPRODUCT(TRANSPOSE(CQ$4:CQ$20),$G106:$W106)</f>
        <v>16</v>
      </c>
      <c r="CR106" s="93" cm="1">
        <f t="array" ref="CR106">SUMPRODUCT(TRANSPOSE(CR$4:CR$20),$G106:$W106)</f>
        <v>16</v>
      </c>
      <c r="CS106" s="93" cm="1">
        <f t="array" ref="CS106">SUMPRODUCT(TRANSPOSE(CS$4:CS$20),$G106:$W106)</f>
        <v>16</v>
      </c>
      <c r="CT106" s="93" cm="1">
        <f t="array" ref="CT106">SUMPRODUCT(TRANSPOSE(CT$4:CT$20),$G106:$W106)</f>
        <v>16</v>
      </c>
      <c r="CU106" s="93" cm="1">
        <f t="array" ref="CU106">SUMPRODUCT(TRANSPOSE(CU$4:CU$20),$G106:$W106)</f>
        <v>16</v>
      </c>
      <c r="CV106" s="93" cm="1">
        <f t="array" ref="CV106">SUMPRODUCT(TRANSPOSE(CV$4:CV$20),$G106:$W106)</f>
        <v>16</v>
      </c>
      <c r="CW106" s="93" cm="1">
        <f t="array" ref="CW106">SUMPRODUCT(TRANSPOSE(CW$4:CW$20),$G106:$W106)</f>
        <v>16</v>
      </c>
      <c r="CX106" s="93" cm="1">
        <f t="array" ref="CX106">SUMPRODUCT(TRANSPOSE(CX$4:CX$20),$G106:$W106)</f>
        <v>16</v>
      </c>
      <c r="CY106" s="93" cm="1">
        <f t="array" ref="CY106">SUMPRODUCT(TRANSPOSE(CY$4:CY$20),$G106:$W106)</f>
        <v>0</v>
      </c>
      <c r="CZ106" s="93" cm="1">
        <f t="array" ref="CZ106">SUMPRODUCT(TRANSPOSE(CZ$4:CZ$20),$G106:$W106)</f>
        <v>0</v>
      </c>
      <c r="DA106" s="93" cm="1">
        <f t="array" ref="DA106">SUMPRODUCT(TRANSPOSE(DA$4:DA$20),$G106:$W106)</f>
        <v>0</v>
      </c>
      <c r="DB106" s="93" cm="1">
        <f t="array" ref="DB106">SUMPRODUCT(TRANSPOSE(DB$4:DB$20),$G106:$W106)</f>
        <v>0</v>
      </c>
      <c r="DC106" s="93" cm="1">
        <f t="array" ref="DC106">SUMPRODUCT(TRANSPOSE(DC$4:DC$20),$G106:$W106)</f>
        <v>0</v>
      </c>
      <c r="DD106" s="93" cm="1">
        <f t="array" ref="DD106">SUMPRODUCT(TRANSPOSE(DD$4:DD$20),$G106:$W106)</f>
        <v>0</v>
      </c>
      <c r="DE106" s="93" cm="1">
        <f t="array" ref="DE106">SUMPRODUCT(TRANSPOSE(DE$4:DE$20),$G106:$W106)</f>
        <v>0</v>
      </c>
      <c r="DF106" s="93" cm="1">
        <f t="array" ref="DF106">SUMPRODUCT(TRANSPOSE(DF$4:DF$20),$G106:$W106)</f>
        <v>0</v>
      </c>
      <c r="DG106" s="93" cm="1">
        <f t="array" ref="DG106">SUMPRODUCT(TRANSPOSE(DG$4:DG$20),$G106:$W106)</f>
        <v>0</v>
      </c>
      <c r="DH106" s="93" cm="1">
        <f t="array" ref="DH106">SUMPRODUCT(TRANSPOSE(DH$4:DH$20),$G106:$W106)</f>
        <v>0</v>
      </c>
      <c r="DI106" s="93" cm="1">
        <f t="array" ref="DI106">SUMPRODUCT(TRANSPOSE(DI$4:DI$20),$G106:$W106)</f>
        <v>0</v>
      </c>
      <c r="DJ106" s="93" cm="1">
        <f t="array" ref="DJ106">SUMPRODUCT(TRANSPOSE(DJ$4:DJ$20),$G106:$W106)</f>
        <v>0</v>
      </c>
      <c r="DK106" s="93" cm="1">
        <f t="array" ref="DK106">SUMPRODUCT(TRANSPOSE(DK$4:DK$20),$G106:$W106)</f>
        <v>0</v>
      </c>
      <c r="DL106" s="93" cm="1">
        <f t="array" ref="DL106">SUMPRODUCT(TRANSPOSE(DL$4:DL$20),$G106:$W106)</f>
        <v>0</v>
      </c>
      <c r="DM106" s="93" cm="1">
        <f t="array" ref="DM106">SUMPRODUCT(TRANSPOSE(DM$4:DM$20),$G106:$W106)</f>
        <v>0</v>
      </c>
      <c r="DN106" s="93" cm="1">
        <f t="array" ref="DN106">SUMPRODUCT(TRANSPOSE(DN$4:DN$20),$G106:$W106)</f>
        <v>0</v>
      </c>
      <c r="DO106" s="93" cm="1">
        <f t="array" ref="DO106">SUMPRODUCT(TRANSPOSE(DO$4:DO$20),$G106:$W106)</f>
        <v>0</v>
      </c>
    </row>
    <row r="107" spans="1:119" x14ac:dyDescent="0.2">
      <c r="A107" s="45">
        <f t="shared" si="27"/>
        <v>86</v>
      </c>
      <c r="B107" s="46" t="s">
        <v>150</v>
      </c>
      <c r="C107" s="45">
        <v>420752254</v>
      </c>
      <c r="D107" s="45" t="s">
        <v>118</v>
      </c>
      <c r="E107" s="45" t="s">
        <v>162</v>
      </c>
      <c r="F107" s="48">
        <v>1</v>
      </c>
      <c r="G107" s="100">
        <v>0</v>
      </c>
      <c r="H107" s="100">
        <v>0</v>
      </c>
      <c r="I107" s="100">
        <v>0</v>
      </c>
      <c r="J107" s="100">
        <v>0</v>
      </c>
      <c r="K107" s="100">
        <v>0</v>
      </c>
      <c r="L107" s="100">
        <v>0</v>
      </c>
      <c r="M107" s="100">
        <v>0</v>
      </c>
      <c r="N107" s="100">
        <v>0</v>
      </c>
      <c r="O107" s="100">
        <v>0</v>
      </c>
      <c r="P107" s="100">
        <v>0</v>
      </c>
      <c r="Q107" s="100">
        <v>0</v>
      </c>
      <c r="R107" s="100">
        <v>0</v>
      </c>
      <c r="S107" s="100">
        <v>0</v>
      </c>
      <c r="T107" s="100">
        <v>0</v>
      </c>
      <c r="U107" s="100">
        <v>0</v>
      </c>
      <c r="V107" s="100">
        <v>0</v>
      </c>
      <c r="W107" s="100">
        <v>1</v>
      </c>
      <c r="X107" s="45" t="s">
        <v>6</v>
      </c>
      <c r="Y107" s="49">
        <v>0</v>
      </c>
      <c r="Z107" s="45">
        <v>0</v>
      </c>
      <c r="AA107" s="45">
        <v>0</v>
      </c>
      <c r="AB107" s="45">
        <v>0</v>
      </c>
      <c r="AC107" s="45">
        <v>0</v>
      </c>
      <c r="AD107" s="45">
        <v>0</v>
      </c>
      <c r="AE107" s="45">
        <v>0</v>
      </c>
      <c r="AF107" s="45">
        <v>0</v>
      </c>
      <c r="AG107" s="45">
        <v>0</v>
      </c>
      <c r="AH107" s="45">
        <v>0</v>
      </c>
      <c r="AI107" s="45">
        <v>0</v>
      </c>
      <c r="AJ107" s="45">
        <v>0</v>
      </c>
      <c r="AK107" s="45">
        <v>0</v>
      </c>
      <c r="AL107" s="45">
        <v>0</v>
      </c>
      <c r="AM107" s="45">
        <v>0</v>
      </c>
      <c r="AN107" s="45">
        <v>0</v>
      </c>
      <c r="AO107" s="45"/>
      <c r="AP107" s="45"/>
      <c r="AQ107" s="45"/>
      <c r="AR107" s="45"/>
      <c r="AS107" s="45"/>
      <c r="AT107" s="45"/>
      <c r="AU107" s="45"/>
      <c r="AV107" s="45"/>
      <c r="AW107" s="45"/>
      <c r="AX107" s="45"/>
      <c r="AY107" s="45"/>
      <c r="AZ107" s="45"/>
      <c r="BA107" s="45"/>
      <c r="BB107" s="45"/>
      <c r="BC107" s="45"/>
      <c r="BD107" s="93"/>
      <c r="BE107" s="93"/>
      <c r="BF107" s="93"/>
      <c r="BG107" s="93"/>
      <c r="BH107" s="93"/>
      <c r="BI107" s="93"/>
      <c r="BJ107" s="93"/>
      <c r="BK107" s="93">
        <f>SUM($Z107:AD107)-SUM($CM107:CQ107)</f>
        <v>-16</v>
      </c>
      <c r="BL107" s="93">
        <f>SUM($Z107:AE107)-SUM($CM107:CR107)</f>
        <v>-32</v>
      </c>
      <c r="BM107" s="93">
        <f>SUM($Z107:AF107)-SUM($CM107:CS107)</f>
        <v>-48</v>
      </c>
      <c r="BN107" s="93">
        <f>SUM($Z107:AG107)-SUM($CM107:CT107)</f>
        <v>-64</v>
      </c>
      <c r="BO107" s="93">
        <f>SUM($Z107:AH107)-SUM($CM107:CU107)</f>
        <v>-80</v>
      </c>
      <c r="BP107" s="93">
        <f>SUM($Z107:AI107)-SUM($CM107:CV107)</f>
        <v>-96</v>
      </c>
      <c r="BQ107" s="93">
        <f>SUM($Z107:AJ107)-SUM($CM107:CW107)</f>
        <v>-112</v>
      </c>
      <c r="BR107" s="93">
        <f>SUM($Z107:AK107)-SUM($CM107:CX107)</f>
        <v>-128</v>
      </c>
      <c r="BS107" s="93">
        <f>SUM($Z107:AL107)-SUM($CM107:CY107)</f>
        <v>-128</v>
      </c>
      <c r="BT107" s="93">
        <f>SUM($Z107:AM107)-SUM($CM107:CZ107)</f>
        <v>-128</v>
      </c>
      <c r="BU107" s="93">
        <f>SUM($Z107:AN107)-SUM($CM107:DA107)</f>
        <v>-128</v>
      </c>
      <c r="BV107" s="93">
        <f>SUM($Z107:AO107)-SUM($CM107:DB107)</f>
        <v>-128</v>
      </c>
      <c r="BW107" s="93">
        <f>SUM($Z107:AP107)-SUM($CM107:DC107)</f>
        <v>-128</v>
      </c>
      <c r="BX107" s="93">
        <f>SUM($Z107:AQ107)-SUM($CM107:DD107)</f>
        <v>-128</v>
      </c>
      <c r="BY107" s="93">
        <f>SUM($Z107:AR107)-SUM($CM107:DE107)</f>
        <v>-128</v>
      </c>
      <c r="BZ107" s="93">
        <f>SUM($Z107:AS107)-SUM($CM107:DF107)</f>
        <v>-128</v>
      </c>
      <c r="CA107" s="93">
        <f>SUM($Z107:AT107)-SUM($CM107:DG107)</f>
        <v>-128</v>
      </c>
      <c r="CB107" s="93">
        <f>SUM($Z107:AU107)-SUM($CM107:DH107)</f>
        <v>-128</v>
      </c>
      <c r="CC107" s="93">
        <f>SUM($Z107:AV107)-SUM($CM107:DI107)</f>
        <v>-128</v>
      </c>
      <c r="CD107" s="93">
        <f>SUM($Z107:AW107)-SUM($CM107:DJ107)</f>
        <v>-128</v>
      </c>
      <c r="CE107" s="93">
        <f>SUM($Z107:AX107)-SUM($CM107:DK107)</f>
        <v>-128</v>
      </c>
      <c r="CF107" s="93">
        <f>SUM($Z107:AY107)-SUM($CM107:DL107)</f>
        <v>-128</v>
      </c>
      <c r="CG107" s="93">
        <f>SUM($Z107:AZ107)-SUM($CM107:DM107)</f>
        <v>-128</v>
      </c>
      <c r="CH107" s="93">
        <f>SUM($Z107:BA107)-SUM($CM107:DN107)</f>
        <v>-128</v>
      </c>
      <c r="CI107" s="93">
        <f>SUM($Z107:BB107)-SUM($CM107:DO107)</f>
        <v>-128</v>
      </c>
      <c r="CJ107" s="93"/>
      <c r="CK107" s="93"/>
      <c r="CL107" s="93"/>
      <c r="CM107" s="93"/>
      <c r="CN107" s="93" cm="1">
        <f t="array" ref="CN107">SUMPRODUCT(TRANSPOSE(CN$4:CN$20),$G107:$W107)</f>
        <v>0</v>
      </c>
      <c r="CO107" s="93" cm="1">
        <f t="array" ref="CO107">SUMPRODUCT(TRANSPOSE(CO$4:CO$20),$G107:$W107)</f>
        <v>0</v>
      </c>
      <c r="CP107" s="93" cm="1">
        <f t="array" ref="CP107">SUMPRODUCT(TRANSPOSE(CP$4:CP$20),$G107:$W107)</f>
        <v>0</v>
      </c>
      <c r="CQ107" s="93" cm="1">
        <f t="array" ref="CQ107">SUMPRODUCT(TRANSPOSE(CQ$4:CQ$20),$G107:$W107)</f>
        <v>16</v>
      </c>
      <c r="CR107" s="93" cm="1">
        <f t="array" ref="CR107">SUMPRODUCT(TRANSPOSE(CR$4:CR$20),$G107:$W107)</f>
        <v>16</v>
      </c>
      <c r="CS107" s="93" cm="1">
        <f t="array" ref="CS107">SUMPRODUCT(TRANSPOSE(CS$4:CS$20),$G107:$W107)</f>
        <v>16</v>
      </c>
      <c r="CT107" s="93" cm="1">
        <f t="array" ref="CT107">SUMPRODUCT(TRANSPOSE(CT$4:CT$20),$G107:$W107)</f>
        <v>16</v>
      </c>
      <c r="CU107" s="93" cm="1">
        <f t="array" ref="CU107">SUMPRODUCT(TRANSPOSE(CU$4:CU$20),$G107:$W107)</f>
        <v>16</v>
      </c>
      <c r="CV107" s="93" cm="1">
        <f t="array" ref="CV107">SUMPRODUCT(TRANSPOSE(CV$4:CV$20),$G107:$W107)</f>
        <v>16</v>
      </c>
      <c r="CW107" s="93" cm="1">
        <f t="array" ref="CW107">SUMPRODUCT(TRANSPOSE(CW$4:CW$20),$G107:$W107)</f>
        <v>16</v>
      </c>
      <c r="CX107" s="93" cm="1">
        <f t="array" ref="CX107">SUMPRODUCT(TRANSPOSE(CX$4:CX$20),$G107:$W107)</f>
        <v>16</v>
      </c>
      <c r="CY107" s="93" cm="1">
        <f t="array" ref="CY107">SUMPRODUCT(TRANSPOSE(CY$4:CY$20),$G107:$W107)</f>
        <v>0</v>
      </c>
      <c r="CZ107" s="93" cm="1">
        <f t="array" ref="CZ107">SUMPRODUCT(TRANSPOSE(CZ$4:CZ$20),$G107:$W107)</f>
        <v>0</v>
      </c>
      <c r="DA107" s="93" cm="1">
        <f t="array" ref="DA107">SUMPRODUCT(TRANSPOSE(DA$4:DA$20),$G107:$W107)</f>
        <v>0</v>
      </c>
      <c r="DB107" s="93" cm="1">
        <f t="array" ref="DB107">SUMPRODUCT(TRANSPOSE(DB$4:DB$20),$G107:$W107)</f>
        <v>0</v>
      </c>
      <c r="DC107" s="93" cm="1">
        <f t="array" ref="DC107">SUMPRODUCT(TRANSPOSE(DC$4:DC$20),$G107:$W107)</f>
        <v>0</v>
      </c>
      <c r="DD107" s="93" cm="1">
        <f t="array" ref="DD107">SUMPRODUCT(TRANSPOSE(DD$4:DD$20),$G107:$W107)</f>
        <v>0</v>
      </c>
      <c r="DE107" s="93" cm="1">
        <f t="array" ref="DE107">SUMPRODUCT(TRANSPOSE(DE$4:DE$20),$G107:$W107)</f>
        <v>0</v>
      </c>
      <c r="DF107" s="93" cm="1">
        <f t="array" ref="DF107">SUMPRODUCT(TRANSPOSE(DF$4:DF$20),$G107:$W107)</f>
        <v>0</v>
      </c>
      <c r="DG107" s="93" cm="1">
        <f t="array" ref="DG107">SUMPRODUCT(TRANSPOSE(DG$4:DG$20),$G107:$W107)</f>
        <v>0</v>
      </c>
      <c r="DH107" s="93" cm="1">
        <f t="array" ref="DH107">SUMPRODUCT(TRANSPOSE(DH$4:DH$20),$G107:$W107)</f>
        <v>0</v>
      </c>
      <c r="DI107" s="93" cm="1">
        <f t="array" ref="DI107">SUMPRODUCT(TRANSPOSE(DI$4:DI$20),$G107:$W107)</f>
        <v>0</v>
      </c>
      <c r="DJ107" s="93" cm="1">
        <f t="array" ref="DJ107">SUMPRODUCT(TRANSPOSE(DJ$4:DJ$20),$G107:$W107)</f>
        <v>0</v>
      </c>
      <c r="DK107" s="93" cm="1">
        <f t="array" ref="DK107">SUMPRODUCT(TRANSPOSE(DK$4:DK$20),$G107:$W107)</f>
        <v>0</v>
      </c>
      <c r="DL107" s="93" cm="1">
        <f t="array" ref="DL107">SUMPRODUCT(TRANSPOSE(DL$4:DL$20),$G107:$W107)</f>
        <v>0</v>
      </c>
      <c r="DM107" s="93" cm="1">
        <f t="array" ref="DM107">SUMPRODUCT(TRANSPOSE(DM$4:DM$20),$G107:$W107)</f>
        <v>0</v>
      </c>
      <c r="DN107" s="93" cm="1">
        <f t="array" ref="DN107">SUMPRODUCT(TRANSPOSE(DN$4:DN$20),$G107:$W107)</f>
        <v>0</v>
      </c>
      <c r="DO107" s="93" cm="1">
        <f t="array" ref="DO107">SUMPRODUCT(TRANSPOSE(DO$4:DO$20),$G107:$W107)</f>
        <v>0</v>
      </c>
    </row>
    <row r="108" spans="1:119" x14ac:dyDescent="0.2">
      <c r="A108" s="45">
        <f t="shared" si="27"/>
        <v>87</v>
      </c>
      <c r="B108" s="46" t="s">
        <v>313</v>
      </c>
      <c r="C108" s="45">
        <v>423199571</v>
      </c>
      <c r="D108" s="45" t="s">
        <v>314</v>
      </c>
      <c r="E108" s="45" t="s">
        <v>162</v>
      </c>
      <c r="F108" s="48">
        <v>1</v>
      </c>
      <c r="G108" s="100">
        <v>0</v>
      </c>
      <c r="H108" s="100">
        <v>0</v>
      </c>
      <c r="I108" s="100">
        <v>0</v>
      </c>
      <c r="J108" s="100">
        <v>0</v>
      </c>
      <c r="K108" s="100">
        <v>0</v>
      </c>
      <c r="L108" s="100">
        <v>0</v>
      </c>
      <c r="M108" s="100">
        <v>0</v>
      </c>
      <c r="N108" s="100">
        <v>0</v>
      </c>
      <c r="O108" s="100">
        <v>0</v>
      </c>
      <c r="P108" s="100">
        <v>0</v>
      </c>
      <c r="Q108" s="100">
        <v>0</v>
      </c>
      <c r="R108" s="100">
        <v>0</v>
      </c>
      <c r="S108" s="100">
        <v>0</v>
      </c>
      <c r="T108" s="100">
        <v>0</v>
      </c>
      <c r="U108" s="100">
        <v>0</v>
      </c>
      <c r="V108" s="100">
        <v>0</v>
      </c>
      <c r="W108" s="100">
        <v>1</v>
      </c>
      <c r="X108" s="45" t="s">
        <v>44</v>
      </c>
      <c r="Y108" s="49">
        <v>1.1000000000000001</v>
      </c>
      <c r="Z108" s="45">
        <v>231</v>
      </c>
      <c r="AA108" s="45">
        <v>0</v>
      </c>
      <c r="AB108" s="45">
        <v>0</v>
      </c>
      <c r="AC108" s="45">
        <v>0</v>
      </c>
      <c r="AD108" s="45">
        <v>0</v>
      </c>
      <c r="AE108" s="45">
        <v>0</v>
      </c>
      <c r="AF108" s="45">
        <v>0</v>
      </c>
      <c r="AG108" s="45">
        <v>0</v>
      </c>
      <c r="AH108" s="45">
        <v>0</v>
      </c>
      <c r="AI108" s="45">
        <v>0</v>
      </c>
      <c r="AJ108" s="45">
        <v>0</v>
      </c>
      <c r="AK108" s="45">
        <v>0</v>
      </c>
      <c r="AL108" s="45">
        <v>0</v>
      </c>
      <c r="AM108" s="45">
        <v>0</v>
      </c>
      <c r="AN108" s="45">
        <v>0</v>
      </c>
      <c r="AO108" s="45"/>
      <c r="AP108" s="45"/>
      <c r="AQ108" s="45"/>
      <c r="AR108" s="45"/>
      <c r="AS108" s="45"/>
      <c r="AT108" s="45"/>
      <c r="AU108" s="45"/>
      <c r="AV108" s="45"/>
      <c r="AW108" s="45"/>
      <c r="AX108" s="45"/>
      <c r="AY108" s="45"/>
      <c r="AZ108" s="45"/>
      <c r="BA108" s="45"/>
      <c r="BB108" s="45"/>
      <c r="BC108" s="45"/>
      <c r="BD108" s="93"/>
      <c r="BE108" s="93"/>
      <c r="BF108" s="93"/>
      <c r="BG108" s="93"/>
      <c r="BH108" s="93"/>
      <c r="BI108" s="93"/>
      <c r="BJ108" s="93"/>
      <c r="BK108" s="93">
        <f>SUM($Z108:AD108)-SUM($CM108:CQ108)</f>
        <v>215</v>
      </c>
      <c r="BL108" s="93">
        <f>SUM($Z108:AE108)-SUM($CM108:CR108)</f>
        <v>199</v>
      </c>
      <c r="BM108" s="93">
        <f>SUM($Z108:AF108)-SUM($CM108:CS108)</f>
        <v>183</v>
      </c>
      <c r="BN108" s="93">
        <f>SUM($Z108:AG108)-SUM($CM108:CT108)</f>
        <v>167</v>
      </c>
      <c r="BO108" s="93">
        <f>SUM($Z108:AH108)-SUM($CM108:CU108)</f>
        <v>151</v>
      </c>
      <c r="BP108" s="93">
        <f>SUM($Z108:AI108)-SUM($CM108:CV108)</f>
        <v>135</v>
      </c>
      <c r="BQ108" s="93">
        <f>SUM($Z108:AJ108)-SUM($CM108:CW108)</f>
        <v>119</v>
      </c>
      <c r="BR108" s="93">
        <f>SUM($Z108:AK108)-SUM($CM108:CX108)</f>
        <v>103</v>
      </c>
      <c r="BS108" s="93">
        <f>SUM($Z108:AL108)-SUM($CM108:CY108)</f>
        <v>103</v>
      </c>
      <c r="BT108" s="93">
        <f>SUM($Z108:AM108)-SUM($CM108:CZ108)</f>
        <v>103</v>
      </c>
      <c r="BU108" s="93">
        <f>SUM($Z108:AN108)-SUM($CM108:DA108)</f>
        <v>103</v>
      </c>
      <c r="BV108" s="93">
        <f>SUM($Z108:AO108)-SUM($CM108:DB108)</f>
        <v>103</v>
      </c>
      <c r="BW108" s="93">
        <f>SUM($Z108:AP108)-SUM($CM108:DC108)</f>
        <v>103</v>
      </c>
      <c r="BX108" s="93">
        <f>SUM($Z108:AQ108)-SUM($CM108:DD108)</f>
        <v>103</v>
      </c>
      <c r="BY108" s="93">
        <f>SUM($Z108:AR108)-SUM($CM108:DE108)</f>
        <v>103</v>
      </c>
      <c r="BZ108" s="93">
        <f>SUM($Z108:AS108)-SUM($CM108:DF108)</f>
        <v>103</v>
      </c>
      <c r="CA108" s="93">
        <f>SUM($Z108:AT108)-SUM($CM108:DG108)</f>
        <v>103</v>
      </c>
      <c r="CB108" s="93">
        <f>SUM($Z108:AU108)-SUM($CM108:DH108)</f>
        <v>103</v>
      </c>
      <c r="CC108" s="93">
        <f>SUM($Z108:AV108)-SUM($CM108:DI108)</f>
        <v>103</v>
      </c>
      <c r="CD108" s="93">
        <f>SUM($Z108:AW108)-SUM($CM108:DJ108)</f>
        <v>103</v>
      </c>
      <c r="CE108" s="93">
        <f>SUM($Z108:AX108)-SUM($CM108:DK108)</f>
        <v>103</v>
      </c>
      <c r="CF108" s="93">
        <f>SUM($Z108:AY108)-SUM($CM108:DL108)</f>
        <v>103</v>
      </c>
      <c r="CG108" s="93">
        <f>SUM($Z108:AZ108)-SUM($CM108:DM108)</f>
        <v>103</v>
      </c>
      <c r="CH108" s="93">
        <f>SUM($Z108:BA108)-SUM($CM108:DN108)</f>
        <v>103</v>
      </c>
      <c r="CI108" s="93">
        <f>SUM($Z108:BB108)-SUM($CM108:DO108)</f>
        <v>103</v>
      </c>
      <c r="CJ108" s="93"/>
      <c r="CK108" s="93"/>
      <c r="CL108" s="93"/>
      <c r="CM108" s="93"/>
      <c r="CN108" s="93" cm="1">
        <f t="array" ref="CN108">SUMPRODUCT(TRANSPOSE(CN$4:CN$20),$G108:$W108)</f>
        <v>0</v>
      </c>
      <c r="CO108" s="93" cm="1">
        <f t="array" ref="CO108">SUMPRODUCT(TRANSPOSE(CO$4:CO$20),$G108:$W108)</f>
        <v>0</v>
      </c>
      <c r="CP108" s="93" cm="1">
        <f t="array" ref="CP108">SUMPRODUCT(TRANSPOSE(CP$4:CP$20),$G108:$W108)</f>
        <v>0</v>
      </c>
      <c r="CQ108" s="93" cm="1">
        <f t="array" ref="CQ108">SUMPRODUCT(TRANSPOSE(CQ$4:CQ$20),$G108:$W108)</f>
        <v>16</v>
      </c>
      <c r="CR108" s="93" cm="1">
        <f t="array" ref="CR108">SUMPRODUCT(TRANSPOSE(CR$4:CR$20),$G108:$W108)</f>
        <v>16</v>
      </c>
      <c r="CS108" s="93" cm="1">
        <f t="array" ref="CS108">SUMPRODUCT(TRANSPOSE(CS$4:CS$20),$G108:$W108)</f>
        <v>16</v>
      </c>
      <c r="CT108" s="93" cm="1">
        <f t="array" ref="CT108">SUMPRODUCT(TRANSPOSE(CT$4:CT$20),$G108:$W108)</f>
        <v>16</v>
      </c>
      <c r="CU108" s="93" cm="1">
        <f t="array" ref="CU108">SUMPRODUCT(TRANSPOSE(CU$4:CU$20),$G108:$W108)</f>
        <v>16</v>
      </c>
      <c r="CV108" s="93" cm="1">
        <f t="array" ref="CV108">SUMPRODUCT(TRANSPOSE(CV$4:CV$20),$G108:$W108)</f>
        <v>16</v>
      </c>
      <c r="CW108" s="93" cm="1">
        <f t="array" ref="CW108">SUMPRODUCT(TRANSPOSE(CW$4:CW$20),$G108:$W108)</f>
        <v>16</v>
      </c>
      <c r="CX108" s="93" cm="1">
        <f t="array" ref="CX108">SUMPRODUCT(TRANSPOSE(CX$4:CX$20),$G108:$W108)</f>
        <v>16</v>
      </c>
      <c r="CY108" s="93" cm="1">
        <f t="array" ref="CY108">SUMPRODUCT(TRANSPOSE(CY$4:CY$20),$G108:$W108)</f>
        <v>0</v>
      </c>
      <c r="CZ108" s="93" cm="1">
        <f t="array" ref="CZ108">SUMPRODUCT(TRANSPOSE(CZ$4:CZ$20),$G108:$W108)</f>
        <v>0</v>
      </c>
      <c r="DA108" s="93" cm="1">
        <f t="array" ref="DA108">SUMPRODUCT(TRANSPOSE(DA$4:DA$20),$G108:$W108)</f>
        <v>0</v>
      </c>
      <c r="DB108" s="93" cm="1">
        <f t="array" ref="DB108">SUMPRODUCT(TRANSPOSE(DB$4:DB$20),$G108:$W108)</f>
        <v>0</v>
      </c>
      <c r="DC108" s="93" cm="1">
        <f t="array" ref="DC108">SUMPRODUCT(TRANSPOSE(DC$4:DC$20),$G108:$W108)</f>
        <v>0</v>
      </c>
      <c r="DD108" s="93" cm="1">
        <f t="array" ref="DD108">SUMPRODUCT(TRANSPOSE(DD$4:DD$20),$G108:$W108)</f>
        <v>0</v>
      </c>
      <c r="DE108" s="93" cm="1">
        <f t="array" ref="DE108">SUMPRODUCT(TRANSPOSE(DE$4:DE$20),$G108:$W108)</f>
        <v>0</v>
      </c>
      <c r="DF108" s="93" cm="1">
        <f t="array" ref="DF108">SUMPRODUCT(TRANSPOSE(DF$4:DF$20),$G108:$W108)</f>
        <v>0</v>
      </c>
      <c r="DG108" s="93" cm="1">
        <f t="array" ref="DG108">SUMPRODUCT(TRANSPOSE(DG$4:DG$20),$G108:$W108)</f>
        <v>0</v>
      </c>
      <c r="DH108" s="93" cm="1">
        <f t="array" ref="DH108">SUMPRODUCT(TRANSPOSE(DH$4:DH$20),$G108:$W108)</f>
        <v>0</v>
      </c>
      <c r="DI108" s="93" cm="1">
        <f t="array" ref="DI108">SUMPRODUCT(TRANSPOSE(DI$4:DI$20),$G108:$W108)</f>
        <v>0</v>
      </c>
      <c r="DJ108" s="93" cm="1">
        <f t="array" ref="DJ108">SUMPRODUCT(TRANSPOSE(DJ$4:DJ$20),$G108:$W108)</f>
        <v>0</v>
      </c>
      <c r="DK108" s="93" cm="1">
        <f t="array" ref="DK108">SUMPRODUCT(TRANSPOSE(DK$4:DK$20),$G108:$W108)</f>
        <v>0</v>
      </c>
      <c r="DL108" s="93" cm="1">
        <f t="array" ref="DL108">SUMPRODUCT(TRANSPOSE(DL$4:DL$20),$G108:$W108)</f>
        <v>0</v>
      </c>
      <c r="DM108" s="93" cm="1">
        <f t="array" ref="DM108">SUMPRODUCT(TRANSPOSE(DM$4:DM$20),$G108:$W108)</f>
        <v>0</v>
      </c>
      <c r="DN108" s="93" cm="1">
        <f t="array" ref="DN108">SUMPRODUCT(TRANSPOSE(DN$4:DN$20),$G108:$W108)</f>
        <v>0</v>
      </c>
      <c r="DO108" s="93" cm="1">
        <f t="array" ref="DO108">SUMPRODUCT(TRANSPOSE(DO$4:DO$20),$G108:$W108)</f>
        <v>0</v>
      </c>
    </row>
    <row r="109" spans="1:119" x14ac:dyDescent="0.2">
      <c r="A109" s="45">
        <f t="shared" si="27"/>
        <v>88</v>
      </c>
      <c r="B109" s="46" t="s">
        <v>151</v>
      </c>
      <c r="C109" s="45">
        <v>418038912</v>
      </c>
      <c r="D109" s="45" t="s">
        <v>119</v>
      </c>
      <c r="E109" s="45" t="s">
        <v>162</v>
      </c>
      <c r="F109" s="48">
        <v>1</v>
      </c>
      <c r="G109" s="100">
        <v>0</v>
      </c>
      <c r="H109" s="100">
        <v>0</v>
      </c>
      <c r="I109" s="100">
        <v>0</v>
      </c>
      <c r="J109" s="100">
        <v>0</v>
      </c>
      <c r="K109" s="100">
        <v>0</v>
      </c>
      <c r="L109" s="100">
        <v>0</v>
      </c>
      <c r="M109" s="100">
        <v>0</v>
      </c>
      <c r="N109" s="100">
        <v>0</v>
      </c>
      <c r="O109" s="100">
        <v>0</v>
      </c>
      <c r="P109" s="100">
        <v>0</v>
      </c>
      <c r="Q109" s="100">
        <v>0</v>
      </c>
      <c r="R109" s="100">
        <v>0</v>
      </c>
      <c r="S109" s="100">
        <v>0</v>
      </c>
      <c r="T109" s="100">
        <v>0</v>
      </c>
      <c r="U109" s="100">
        <v>0</v>
      </c>
      <c r="V109" s="100">
        <v>0</v>
      </c>
      <c r="W109" s="100">
        <v>1</v>
      </c>
      <c r="X109" s="45" t="s">
        <v>6</v>
      </c>
      <c r="Y109" s="49">
        <v>0</v>
      </c>
      <c r="Z109" s="45">
        <v>0</v>
      </c>
      <c r="AA109" s="45">
        <v>0</v>
      </c>
      <c r="AB109" s="45">
        <v>0</v>
      </c>
      <c r="AC109" s="45">
        <v>0</v>
      </c>
      <c r="AD109" s="45">
        <v>0</v>
      </c>
      <c r="AE109" s="45">
        <v>0</v>
      </c>
      <c r="AF109" s="45">
        <v>0</v>
      </c>
      <c r="AG109" s="45">
        <v>0</v>
      </c>
      <c r="AH109" s="45">
        <v>0</v>
      </c>
      <c r="AI109" s="45">
        <v>0</v>
      </c>
      <c r="AJ109" s="45">
        <v>0</v>
      </c>
      <c r="AK109" s="45">
        <v>0</v>
      </c>
      <c r="AL109" s="45">
        <v>0</v>
      </c>
      <c r="AM109" s="45">
        <v>0</v>
      </c>
      <c r="AN109" s="45">
        <v>0</v>
      </c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93"/>
      <c r="BE109" s="93"/>
      <c r="BF109" s="93"/>
      <c r="BG109" s="93"/>
      <c r="BH109" s="93"/>
      <c r="BI109" s="93"/>
      <c r="BJ109" s="93"/>
      <c r="BK109" s="93">
        <f>SUM($Z109:AD109)-SUM($CM109:CQ109)</f>
        <v>-16</v>
      </c>
      <c r="BL109" s="93">
        <f>SUM($Z109:AE109)-SUM($CM109:CR109)</f>
        <v>-32</v>
      </c>
      <c r="BM109" s="93">
        <f>SUM($Z109:AF109)-SUM($CM109:CS109)</f>
        <v>-48</v>
      </c>
      <c r="BN109" s="93">
        <f>SUM($Z109:AG109)-SUM($CM109:CT109)</f>
        <v>-64</v>
      </c>
      <c r="BO109" s="93">
        <f>SUM($Z109:AH109)-SUM($CM109:CU109)</f>
        <v>-80</v>
      </c>
      <c r="BP109" s="93">
        <f>SUM($Z109:AI109)-SUM($CM109:CV109)</f>
        <v>-96</v>
      </c>
      <c r="BQ109" s="93">
        <f>SUM($Z109:AJ109)-SUM($CM109:CW109)</f>
        <v>-112</v>
      </c>
      <c r="BR109" s="93">
        <f>SUM($Z109:AK109)-SUM($CM109:CX109)</f>
        <v>-128</v>
      </c>
      <c r="BS109" s="93">
        <f>SUM($Z109:AL109)-SUM($CM109:CY109)</f>
        <v>-128</v>
      </c>
      <c r="BT109" s="93">
        <f>SUM($Z109:AM109)-SUM($CM109:CZ109)</f>
        <v>-128</v>
      </c>
      <c r="BU109" s="93">
        <f>SUM($Z109:AN109)-SUM($CM109:DA109)</f>
        <v>-128</v>
      </c>
      <c r="BV109" s="93">
        <f>SUM($Z109:AO109)-SUM($CM109:DB109)</f>
        <v>-128</v>
      </c>
      <c r="BW109" s="93">
        <f>SUM($Z109:AP109)-SUM($CM109:DC109)</f>
        <v>-128</v>
      </c>
      <c r="BX109" s="93">
        <f>SUM($Z109:AQ109)-SUM($CM109:DD109)</f>
        <v>-128</v>
      </c>
      <c r="BY109" s="93">
        <f>SUM($Z109:AR109)-SUM($CM109:DE109)</f>
        <v>-128</v>
      </c>
      <c r="BZ109" s="93">
        <f>SUM($Z109:AS109)-SUM($CM109:DF109)</f>
        <v>-128</v>
      </c>
      <c r="CA109" s="93">
        <f>SUM($Z109:AT109)-SUM($CM109:DG109)</f>
        <v>-128</v>
      </c>
      <c r="CB109" s="93">
        <f>SUM($Z109:AU109)-SUM($CM109:DH109)</f>
        <v>-128</v>
      </c>
      <c r="CC109" s="93">
        <f>SUM($Z109:AV109)-SUM($CM109:DI109)</f>
        <v>-128</v>
      </c>
      <c r="CD109" s="93">
        <f>SUM($Z109:AW109)-SUM($CM109:DJ109)</f>
        <v>-128</v>
      </c>
      <c r="CE109" s="93">
        <f>SUM($Z109:AX109)-SUM($CM109:DK109)</f>
        <v>-128</v>
      </c>
      <c r="CF109" s="93">
        <f>SUM($Z109:AY109)-SUM($CM109:DL109)</f>
        <v>-128</v>
      </c>
      <c r="CG109" s="93">
        <f>SUM($Z109:AZ109)-SUM($CM109:DM109)</f>
        <v>-128</v>
      </c>
      <c r="CH109" s="93">
        <f>SUM($Z109:BA109)-SUM($CM109:DN109)</f>
        <v>-128</v>
      </c>
      <c r="CI109" s="93">
        <f>SUM($Z109:BB109)-SUM($CM109:DO109)</f>
        <v>-128</v>
      </c>
      <c r="CJ109" s="93"/>
      <c r="CK109" s="93"/>
      <c r="CL109" s="93"/>
      <c r="CM109" s="93"/>
      <c r="CN109" s="93" cm="1">
        <f t="array" ref="CN109">SUMPRODUCT(TRANSPOSE(CN$4:CN$20),$G109:$W109)</f>
        <v>0</v>
      </c>
      <c r="CO109" s="93" cm="1">
        <f t="array" ref="CO109">SUMPRODUCT(TRANSPOSE(CO$4:CO$20),$G109:$W109)</f>
        <v>0</v>
      </c>
      <c r="CP109" s="93" cm="1">
        <f t="array" ref="CP109">SUMPRODUCT(TRANSPOSE(CP$4:CP$20),$G109:$W109)</f>
        <v>0</v>
      </c>
      <c r="CQ109" s="93" cm="1">
        <f t="array" ref="CQ109">SUMPRODUCT(TRANSPOSE(CQ$4:CQ$20),$G109:$W109)</f>
        <v>16</v>
      </c>
      <c r="CR109" s="93" cm="1">
        <f t="array" ref="CR109">SUMPRODUCT(TRANSPOSE(CR$4:CR$20),$G109:$W109)</f>
        <v>16</v>
      </c>
      <c r="CS109" s="93" cm="1">
        <f t="array" ref="CS109">SUMPRODUCT(TRANSPOSE(CS$4:CS$20),$G109:$W109)</f>
        <v>16</v>
      </c>
      <c r="CT109" s="93" cm="1">
        <f t="array" ref="CT109">SUMPRODUCT(TRANSPOSE(CT$4:CT$20),$G109:$W109)</f>
        <v>16</v>
      </c>
      <c r="CU109" s="93" cm="1">
        <f t="array" ref="CU109">SUMPRODUCT(TRANSPOSE(CU$4:CU$20),$G109:$W109)</f>
        <v>16</v>
      </c>
      <c r="CV109" s="93" cm="1">
        <f t="array" ref="CV109">SUMPRODUCT(TRANSPOSE(CV$4:CV$20),$G109:$W109)</f>
        <v>16</v>
      </c>
      <c r="CW109" s="93" cm="1">
        <f t="array" ref="CW109">SUMPRODUCT(TRANSPOSE(CW$4:CW$20),$G109:$W109)</f>
        <v>16</v>
      </c>
      <c r="CX109" s="93" cm="1">
        <f t="array" ref="CX109">SUMPRODUCT(TRANSPOSE(CX$4:CX$20),$G109:$W109)</f>
        <v>16</v>
      </c>
      <c r="CY109" s="93" cm="1">
        <f t="array" ref="CY109">SUMPRODUCT(TRANSPOSE(CY$4:CY$20),$G109:$W109)</f>
        <v>0</v>
      </c>
      <c r="CZ109" s="93" cm="1">
        <f t="array" ref="CZ109">SUMPRODUCT(TRANSPOSE(CZ$4:CZ$20),$G109:$W109)</f>
        <v>0</v>
      </c>
      <c r="DA109" s="93" cm="1">
        <f t="array" ref="DA109">SUMPRODUCT(TRANSPOSE(DA$4:DA$20),$G109:$W109)</f>
        <v>0</v>
      </c>
      <c r="DB109" s="93" cm="1">
        <f t="array" ref="DB109">SUMPRODUCT(TRANSPOSE(DB$4:DB$20),$G109:$W109)</f>
        <v>0</v>
      </c>
      <c r="DC109" s="93" cm="1">
        <f t="array" ref="DC109">SUMPRODUCT(TRANSPOSE(DC$4:DC$20),$G109:$W109)</f>
        <v>0</v>
      </c>
      <c r="DD109" s="93" cm="1">
        <f t="array" ref="DD109">SUMPRODUCT(TRANSPOSE(DD$4:DD$20),$G109:$W109)</f>
        <v>0</v>
      </c>
      <c r="DE109" s="93" cm="1">
        <f t="array" ref="DE109">SUMPRODUCT(TRANSPOSE(DE$4:DE$20),$G109:$W109)</f>
        <v>0</v>
      </c>
      <c r="DF109" s="93" cm="1">
        <f t="array" ref="DF109">SUMPRODUCT(TRANSPOSE(DF$4:DF$20),$G109:$W109)</f>
        <v>0</v>
      </c>
      <c r="DG109" s="93" cm="1">
        <f t="array" ref="DG109">SUMPRODUCT(TRANSPOSE(DG$4:DG$20),$G109:$W109)</f>
        <v>0</v>
      </c>
      <c r="DH109" s="93" cm="1">
        <f t="array" ref="DH109">SUMPRODUCT(TRANSPOSE(DH$4:DH$20),$G109:$W109)</f>
        <v>0</v>
      </c>
      <c r="DI109" s="93" cm="1">
        <f t="array" ref="DI109">SUMPRODUCT(TRANSPOSE(DI$4:DI$20),$G109:$W109)</f>
        <v>0</v>
      </c>
      <c r="DJ109" s="93" cm="1">
        <f t="array" ref="DJ109">SUMPRODUCT(TRANSPOSE(DJ$4:DJ$20),$G109:$W109)</f>
        <v>0</v>
      </c>
      <c r="DK109" s="93" cm="1">
        <f t="array" ref="DK109">SUMPRODUCT(TRANSPOSE(DK$4:DK$20),$G109:$W109)</f>
        <v>0</v>
      </c>
      <c r="DL109" s="93" cm="1">
        <f t="array" ref="DL109">SUMPRODUCT(TRANSPOSE(DL$4:DL$20),$G109:$W109)</f>
        <v>0</v>
      </c>
      <c r="DM109" s="93" cm="1">
        <f t="array" ref="DM109">SUMPRODUCT(TRANSPOSE(DM$4:DM$20),$G109:$W109)</f>
        <v>0</v>
      </c>
      <c r="DN109" s="93" cm="1">
        <f t="array" ref="DN109">SUMPRODUCT(TRANSPOSE(DN$4:DN$20),$G109:$W109)</f>
        <v>0</v>
      </c>
      <c r="DO109" s="93" cm="1">
        <f t="array" ref="DO109">SUMPRODUCT(TRANSPOSE(DO$4:DO$20),$G109:$W109)</f>
        <v>0</v>
      </c>
    </row>
    <row r="110" spans="1:119" x14ac:dyDescent="0.2">
      <c r="A110" s="45">
        <f t="shared" si="27"/>
        <v>89</v>
      </c>
      <c r="B110" s="46" t="s">
        <v>152</v>
      </c>
      <c r="C110" s="45">
        <v>417871986</v>
      </c>
      <c r="D110" s="45" t="s">
        <v>120</v>
      </c>
      <c r="E110" s="45" t="s">
        <v>162</v>
      </c>
      <c r="F110" s="48">
        <v>1</v>
      </c>
      <c r="G110" s="100">
        <v>0</v>
      </c>
      <c r="H110" s="100">
        <v>0</v>
      </c>
      <c r="I110" s="100">
        <v>0</v>
      </c>
      <c r="J110" s="100">
        <v>0</v>
      </c>
      <c r="K110" s="100">
        <v>0</v>
      </c>
      <c r="L110" s="100">
        <v>0</v>
      </c>
      <c r="M110" s="100">
        <v>0</v>
      </c>
      <c r="N110" s="100">
        <v>0</v>
      </c>
      <c r="O110" s="100">
        <v>0</v>
      </c>
      <c r="P110" s="100">
        <v>0</v>
      </c>
      <c r="Q110" s="100">
        <v>0</v>
      </c>
      <c r="R110" s="100">
        <v>0</v>
      </c>
      <c r="S110" s="100">
        <v>0</v>
      </c>
      <c r="T110" s="100">
        <v>0</v>
      </c>
      <c r="U110" s="100">
        <v>0</v>
      </c>
      <c r="V110" s="100">
        <v>0</v>
      </c>
      <c r="W110" s="100">
        <v>1</v>
      </c>
      <c r="X110" s="45" t="s">
        <v>6</v>
      </c>
      <c r="Y110" s="49">
        <v>0</v>
      </c>
      <c r="Z110" s="45">
        <v>0</v>
      </c>
      <c r="AA110" s="45">
        <v>0</v>
      </c>
      <c r="AB110" s="45">
        <v>0</v>
      </c>
      <c r="AC110" s="45">
        <v>0</v>
      </c>
      <c r="AD110" s="45">
        <v>0</v>
      </c>
      <c r="AE110" s="45">
        <v>0</v>
      </c>
      <c r="AF110" s="45">
        <v>0</v>
      </c>
      <c r="AG110" s="45">
        <v>0</v>
      </c>
      <c r="AH110" s="45">
        <v>0</v>
      </c>
      <c r="AI110" s="45">
        <v>0</v>
      </c>
      <c r="AJ110" s="45">
        <v>0</v>
      </c>
      <c r="AK110" s="45">
        <v>0</v>
      </c>
      <c r="AL110" s="45">
        <v>0</v>
      </c>
      <c r="AM110" s="45">
        <v>0</v>
      </c>
      <c r="AN110" s="45">
        <v>0</v>
      </c>
      <c r="AO110" s="45"/>
      <c r="AP110" s="45"/>
      <c r="AQ110" s="45"/>
      <c r="AR110" s="45"/>
      <c r="AS110" s="45"/>
      <c r="AT110" s="45"/>
      <c r="AU110" s="45"/>
      <c r="AV110" s="45"/>
      <c r="AW110" s="45"/>
      <c r="AX110" s="45"/>
      <c r="AY110" s="45"/>
      <c r="AZ110" s="45"/>
      <c r="BA110" s="45"/>
      <c r="BB110" s="45"/>
      <c r="BC110" s="45"/>
      <c r="BD110" s="93"/>
      <c r="BE110" s="93"/>
      <c r="BF110" s="93"/>
      <c r="BG110" s="93"/>
      <c r="BH110" s="93"/>
      <c r="BI110" s="93"/>
      <c r="BJ110" s="93"/>
      <c r="BK110" s="93">
        <f>SUM($Z110:AD110)-SUM($CM110:CQ110)</f>
        <v>-16</v>
      </c>
      <c r="BL110" s="93">
        <f>SUM($Z110:AE110)-SUM($CM110:CR110)</f>
        <v>-32</v>
      </c>
      <c r="BM110" s="93">
        <f>SUM($Z110:AF110)-SUM($CM110:CS110)</f>
        <v>-48</v>
      </c>
      <c r="BN110" s="93">
        <f>SUM($Z110:AG110)-SUM($CM110:CT110)</f>
        <v>-64</v>
      </c>
      <c r="BO110" s="93">
        <f>SUM($Z110:AH110)-SUM($CM110:CU110)</f>
        <v>-80</v>
      </c>
      <c r="BP110" s="93">
        <f>SUM($Z110:AI110)-SUM($CM110:CV110)</f>
        <v>-96</v>
      </c>
      <c r="BQ110" s="93">
        <f>SUM($Z110:AJ110)-SUM($CM110:CW110)</f>
        <v>-112</v>
      </c>
      <c r="BR110" s="93">
        <f>SUM($Z110:AK110)-SUM($CM110:CX110)</f>
        <v>-128</v>
      </c>
      <c r="BS110" s="93">
        <f>SUM($Z110:AL110)-SUM($CM110:CY110)</f>
        <v>-128</v>
      </c>
      <c r="BT110" s="93">
        <f>SUM($Z110:AM110)-SUM($CM110:CZ110)</f>
        <v>-128</v>
      </c>
      <c r="BU110" s="93">
        <f>SUM($Z110:AN110)-SUM($CM110:DA110)</f>
        <v>-128</v>
      </c>
      <c r="BV110" s="93">
        <f>SUM($Z110:AO110)-SUM($CM110:DB110)</f>
        <v>-128</v>
      </c>
      <c r="BW110" s="93">
        <f>SUM($Z110:AP110)-SUM($CM110:DC110)</f>
        <v>-128</v>
      </c>
      <c r="BX110" s="93">
        <f>SUM($Z110:AQ110)-SUM($CM110:DD110)</f>
        <v>-128</v>
      </c>
      <c r="BY110" s="93">
        <f>SUM($Z110:AR110)-SUM($CM110:DE110)</f>
        <v>-128</v>
      </c>
      <c r="BZ110" s="93">
        <f>SUM($Z110:AS110)-SUM($CM110:DF110)</f>
        <v>-128</v>
      </c>
      <c r="CA110" s="93">
        <f>SUM($Z110:AT110)-SUM($CM110:DG110)</f>
        <v>-128</v>
      </c>
      <c r="CB110" s="93">
        <f>SUM($Z110:AU110)-SUM($CM110:DH110)</f>
        <v>-128</v>
      </c>
      <c r="CC110" s="93">
        <f>SUM($Z110:AV110)-SUM($CM110:DI110)</f>
        <v>-128</v>
      </c>
      <c r="CD110" s="93">
        <f>SUM($Z110:AW110)-SUM($CM110:DJ110)</f>
        <v>-128</v>
      </c>
      <c r="CE110" s="93">
        <f>SUM($Z110:AX110)-SUM($CM110:DK110)</f>
        <v>-128</v>
      </c>
      <c r="CF110" s="93">
        <f>SUM($Z110:AY110)-SUM($CM110:DL110)</f>
        <v>-128</v>
      </c>
      <c r="CG110" s="93">
        <f>SUM($Z110:AZ110)-SUM($CM110:DM110)</f>
        <v>-128</v>
      </c>
      <c r="CH110" s="93">
        <f>SUM($Z110:BA110)-SUM($CM110:DN110)</f>
        <v>-128</v>
      </c>
      <c r="CI110" s="93">
        <f>SUM($Z110:BB110)-SUM($CM110:DO110)</f>
        <v>-128</v>
      </c>
      <c r="CJ110" s="93"/>
      <c r="CK110" s="93"/>
      <c r="CL110" s="93"/>
      <c r="CM110" s="93"/>
      <c r="CN110" s="93" cm="1">
        <f t="array" ref="CN110">SUMPRODUCT(TRANSPOSE(CN$4:CN$20),$G110:$W110)</f>
        <v>0</v>
      </c>
      <c r="CO110" s="93" cm="1">
        <f t="array" ref="CO110">SUMPRODUCT(TRANSPOSE(CO$4:CO$20),$G110:$W110)</f>
        <v>0</v>
      </c>
      <c r="CP110" s="93" cm="1">
        <f t="array" ref="CP110">SUMPRODUCT(TRANSPOSE(CP$4:CP$20),$G110:$W110)</f>
        <v>0</v>
      </c>
      <c r="CQ110" s="93" cm="1">
        <f t="array" ref="CQ110">SUMPRODUCT(TRANSPOSE(CQ$4:CQ$20),$G110:$W110)</f>
        <v>16</v>
      </c>
      <c r="CR110" s="93" cm="1">
        <f t="array" ref="CR110">SUMPRODUCT(TRANSPOSE(CR$4:CR$20),$G110:$W110)</f>
        <v>16</v>
      </c>
      <c r="CS110" s="93" cm="1">
        <f t="array" ref="CS110">SUMPRODUCT(TRANSPOSE(CS$4:CS$20),$G110:$W110)</f>
        <v>16</v>
      </c>
      <c r="CT110" s="93" cm="1">
        <f t="array" ref="CT110">SUMPRODUCT(TRANSPOSE(CT$4:CT$20),$G110:$W110)</f>
        <v>16</v>
      </c>
      <c r="CU110" s="93" cm="1">
        <f t="array" ref="CU110">SUMPRODUCT(TRANSPOSE(CU$4:CU$20),$G110:$W110)</f>
        <v>16</v>
      </c>
      <c r="CV110" s="93" cm="1">
        <f t="array" ref="CV110">SUMPRODUCT(TRANSPOSE(CV$4:CV$20),$G110:$W110)</f>
        <v>16</v>
      </c>
      <c r="CW110" s="93" cm="1">
        <f t="array" ref="CW110">SUMPRODUCT(TRANSPOSE(CW$4:CW$20),$G110:$W110)</f>
        <v>16</v>
      </c>
      <c r="CX110" s="93" cm="1">
        <f t="array" ref="CX110">SUMPRODUCT(TRANSPOSE(CX$4:CX$20),$G110:$W110)</f>
        <v>16</v>
      </c>
      <c r="CY110" s="93" cm="1">
        <f t="array" ref="CY110">SUMPRODUCT(TRANSPOSE(CY$4:CY$20),$G110:$W110)</f>
        <v>0</v>
      </c>
      <c r="CZ110" s="93" cm="1">
        <f t="array" ref="CZ110">SUMPRODUCT(TRANSPOSE(CZ$4:CZ$20),$G110:$W110)</f>
        <v>0</v>
      </c>
      <c r="DA110" s="93" cm="1">
        <f t="array" ref="DA110">SUMPRODUCT(TRANSPOSE(DA$4:DA$20),$G110:$W110)</f>
        <v>0</v>
      </c>
      <c r="DB110" s="93" cm="1">
        <f t="array" ref="DB110">SUMPRODUCT(TRANSPOSE(DB$4:DB$20),$G110:$W110)</f>
        <v>0</v>
      </c>
      <c r="DC110" s="93" cm="1">
        <f t="array" ref="DC110">SUMPRODUCT(TRANSPOSE(DC$4:DC$20),$G110:$W110)</f>
        <v>0</v>
      </c>
      <c r="DD110" s="93" cm="1">
        <f t="array" ref="DD110">SUMPRODUCT(TRANSPOSE(DD$4:DD$20),$G110:$W110)</f>
        <v>0</v>
      </c>
      <c r="DE110" s="93" cm="1">
        <f t="array" ref="DE110">SUMPRODUCT(TRANSPOSE(DE$4:DE$20),$G110:$W110)</f>
        <v>0</v>
      </c>
      <c r="DF110" s="93" cm="1">
        <f t="array" ref="DF110">SUMPRODUCT(TRANSPOSE(DF$4:DF$20),$G110:$W110)</f>
        <v>0</v>
      </c>
      <c r="DG110" s="93" cm="1">
        <f t="array" ref="DG110">SUMPRODUCT(TRANSPOSE(DG$4:DG$20),$G110:$W110)</f>
        <v>0</v>
      </c>
      <c r="DH110" s="93" cm="1">
        <f t="array" ref="DH110">SUMPRODUCT(TRANSPOSE(DH$4:DH$20),$G110:$W110)</f>
        <v>0</v>
      </c>
      <c r="DI110" s="93" cm="1">
        <f t="array" ref="DI110">SUMPRODUCT(TRANSPOSE(DI$4:DI$20),$G110:$W110)</f>
        <v>0</v>
      </c>
      <c r="DJ110" s="93" cm="1">
        <f t="array" ref="DJ110">SUMPRODUCT(TRANSPOSE(DJ$4:DJ$20),$G110:$W110)</f>
        <v>0</v>
      </c>
      <c r="DK110" s="93" cm="1">
        <f t="array" ref="DK110">SUMPRODUCT(TRANSPOSE(DK$4:DK$20),$G110:$W110)</f>
        <v>0</v>
      </c>
      <c r="DL110" s="93" cm="1">
        <f t="array" ref="DL110">SUMPRODUCT(TRANSPOSE(DL$4:DL$20),$G110:$W110)</f>
        <v>0</v>
      </c>
      <c r="DM110" s="93" cm="1">
        <f t="array" ref="DM110">SUMPRODUCT(TRANSPOSE(DM$4:DM$20),$G110:$W110)</f>
        <v>0</v>
      </c>
      <c r="DN110" s="93" cm="1">
        <f t="array" ref="DN110">SUMPRODUCT(TRANSPOSE(DN$4:DN$20),$G110:$W110)</f>
        <v>0</v>
      </c>
      <c r="DO110" s="93" cm="1">
        <f t="array" ref="DO110">SUMPRODUCT(TRANSPOSE(DO$4:DO$20),$G110:$W110)</f>
        <v>0</v>
      </c>
    </row>
    <row r="111" spans="1:119" x14ac:dyDescent="0.2">
      <c r="A111" s="45">
        <f t="shared" si="27"/>
        <v>90</v>
      </c>
      <c r="B111" s="46" t="s">
        <v>315</v>
      </c>
      <c r="C111" s="45">
        <v>408540920</v>
      </c>
      <c r="D111" s="45" t="s">
        <v>316</v>
      </c>
      <c r="E111" s="45" t="s">
        <v>162</v>
      </c>
      <c r="F111" s="48">
        <v>1</v>
      </c>
      <c r="G111" s="100">
        <v>0</v>
      </c>
      <c r="H111" s="100">
        <v>0</v>
      </c>
      <c r="I111" s="100">
        <v>0</v>
      </c>
      <c r="J111" s="100">
        <v>0</v>
      </c>
      <c r="K111" s="100">
        <v>0</v>
      </c>
      <c r="L111" s="100">
        <v>0</v>
      </c>
      <c r="M111" s="100">
        <v>0</v>
      </c>
      <c r="N111" s="100">
        <v>0</v>
      </c>
      <c r="O111" s="100">
        <v>0</v>
      </c>
      <c r="P111" s="100">
        <v>0</v>
      </c>
      <c r="Q111" s="100">
        <v>0</v>
      </c>
      <c r="R111" s="100">
        <v>0</v>
      </c>
      <c r="S111" s="100">
        <v>0</v>
      </c>
      <c r="T111" s="100">
        <v>0</v>
      </c>
      <c r="U111" s="100">
        <v>0</v>
      </c>
      <c r="V111" s="100">
        <v>0</v>
      </c>
      <c r="W111" s="100">
        <v>1</v>
      </c>
      <c r="X111" s="45" t="s">
        <v>6</v>
      </c>
      <c r="Y111" s="49">
        <v>0</v>
      </c>
      <c r="Z111" s="45">
        <v>0</v>
      </c>
      <c r="AA111" s="45">
        <v>0</v>
      </c>
      <c r="AB111" s="45">
        <v>0</v>
      </c>
      <c r="AC111" s="45">
        <v>0</v>
      </c>
      <c r="AD111" s="45">
        <v>0</v>
      </c>
      <c r="AE111" s="45">
        <v>0</v>
      </c>
      <c r="AF111" s="45">
        <v>0</v>
      </c>
      <c r="AG111" s="45">
        <v>0</v>
      </c>
      <c r="AH111" s="45">
        <v>0</v>
      </c>
      <c r="AI111" s="45">
        <v>0</v>
      </c>
      <c r="AJ111" s="45">
        <v>0</v>
      </c>
      <c r="AK111" s="45">
        <v>0</v>
      </c>
      <c r="AL111" s="45">
        <v>0</v>
      </c>
      <c r="AM111" s="45">
        <v>0</v>
      </c>
      <c r="AN111" s="45">
        <v>0</v>
      </c>
      <c r="AO111" s="45"/>
      <c r="AP111" s="45"/>
      <c r="AQ111" s="45"/>
      <c r="AR111" s="45"/>
      <c r="AS111" s="45"/>
      <c r="AT111" s="45"/>
      <c r="AU111" s="45"/>
      <c r="AV111" s="45"/>
      <c r="AW111" s="45"/>
      <c r="AX111" s="45"/>
      <c r="AY111" s="45"/>
      <c r="AZ111" s="45"/>
      <c r="BA111" s="45"/>
      <c r="BB111" s="45"/>
      <c r="BC111" s="45"/>
      <c r="BD111" s="93"/>
      <c r="BE111" s="93"/>
      <c r="BF111" s="93"/>
      <c r="BG111" s="93"/>
      <c r="BH111" s="93"/>
      <c r="BI111" s="93"/>
      <c r="BJ111" s="93"/>
      <c r="BK111" s="93">
        <f>SUM($Z111:AD111)-SUM($CM111:CQ111)</f>
        <v>-16</v>
      </c>
      <c r="BL111" s="93">
        <f>SUM($Z111:AE111)-SUM($CM111:CR111)</f>
        <v>-32</v>
      </c>
      <c r="BM111" s="93">
        <f>SUM($Z111:AF111)-SUM($CM111:CS111)</f>
        <v>-48</v>
      </c>
      <c r="BN111" s="93">
        <f>SUM($Z111:AG111)-SUM($CM111:CT111)</f>
        <v>-64</v>
      </c>
      <c r="BO111" s="93">
        <f>SUM($Z111:AH111)-SUM($CM111:CU111)</f>
        <v>-80</v>
      </c>
      <c r="BP111" s="93">
        <f>SUM($Z111:AI111)-SUM($CM111:CV111)</f>
        <v>-96</v>
      </c>
      <c r="BQ111" s="93">
        <f>SUM($Z111:AJ111)-SUM($CM111:CW111)</f>
        <v>-112</v>
      </c>
      <c r="BR111" s="93">
        <f>SUM($Z111:AK111)-SUM($CM111:CX111)</f>
        <v>-128</v>
      </c>
      <c r="BS111" s="93">
        <f>SUM($Z111:AL111)-SUM($CM111:CY111)</f>
        <v>-128</v>
      </c>
      <c r="BT111" s="93">
        <f>SUM($Z111:AM111)-SUM($CM111:CZ111)</f>
        <v>-128</v>
      </c>
      <c r="BU111" s="93">
        <f>SUM($Z111:AN111)-SUM($CM111:DA111)</f>
        <v>-128</v>
      </c>
      <c r="BV111" s="93">
        <f>SUM($Z111:AO111)-SUM($CM111:DB111)</f>
        <v>-128</v>
      </c>
      <c r="BW111" s="93">
        <f>SUM($Z111:AP111)-SUM($CM111:DC111)</f>
        <v>-128</v>
      </c>
      <c r="BX111" s="93">
        <f>SUM($Z111:AQ111)-SUM($CM111:DD111)</f>
        <v>-128</v>
      </c>
      <c r="BY111" s="93">
        <f>SUM($Z111:AR111)-SUM($CM111:DE111)</f>
        <v>-128</v>
      </c>
      <c r="BZ111" s="93">
        <f>SUM($Z111:AS111)-SUM($CM111:DF111)</f>
        <v>-128</v>
      </c>
      <c r="CA111" s="93">
        <f>SUM($Z111:AT111)-SUM($CM111:DG111)</f>
        <v>-128</v>
      </c>
      <c r="CB111" s="93">
        <f>SUM($Z111:AU111)-SUM($CM111:DH111)</f>
        <v>-128</v>
      </c>
      <c r="CC111" s="93">
        <f>SUM($Z111:AV111)-SUM($CM111:DI111)</f>
        <v>-128</v>
      </c>
      <c r="CD111" s="93">
        <f>SUM($Z111:AW111)-SUM($CM111:DJ111)</f>
        <v>-128</v>
      </c>
      <c r="CE111" s="93">
        <f>SUM($Z111:AX111)-SUM($CM111:DK111)</f>
        <v>-128</v>
      </c>
      <c r="CF111" s="93">
        <f>SUM($Z111:AY111)-SUM($CM111:DL111)</f>
        <v>-128</v>
      </c>
      <c r="CG111" s="93">
        <f>SUM($Z111:AZ111)-SUM($CM111:DM111)</f>
        <v>-128</v>
      </c>
      <c r="CH111" s="93">
        <f>SUM($Z111:BA111)-SUM($CM111:DN111)</f>
        <v>-128</v>
      </c>
      <c r="CI111" s="93">
        <f>SUM($Z111:BB111)-SUM($CM111:DO111)</f>
        <v>-128</v>
      </c>
      <c r="CJ111" s="93"/>
      <c r="CK111" s="93"/>
      <c r="CL111" s="93"/>
      <c r="CM111" s="93"/>
      <c r="CN111" s="93" cm="1">
        <f t="array" ref="CN111">SUMPRODUCT(TRANSPOSE(CN$4:CN$20),$G111:$W111)</f>
        <v>0</v>
      </c>
      <c r="CO111" s="93" cm="1">
        <f t="array" ref="CO111">SUMPRODUCT(TRANSPOSE(CO$4:CO$20),$G111:$W111)</f>
        <v>0</v>
      </c>
      <c r="CP111" s="93" cm="1">
        <f t="array" ref="CP111">SUMPRODUCT(TRANSPOSE(CP$4:CP$20),$G111:$W111)</f>
        <v>0</v>
      </c>
      <c r="CQ111" s="93" cm="1">
        <f t="array" ref="CQ111">SUMPRODUCT(TRANSPOSE(CQ$4:CQ$20),$G111:$W111)</f>
        <v>16</v>
      </c>
      <c r="CR111" s="93" cm="1">
        <f t="array" ref="CR111">SUMPRODUCT(TRANSPOSE(CR$4:CR$20),$G111:$W111)</f>
        <v>16</v>
      </c>
      <c r="CS111" s="93" cm="1">
        <f t="array" ref="CS111">SUMPRODUCT(TRANSPOSE(CS$4:CS$20),$G111:$W111)</f>
        <v>16</v>
      </c>
      <c r="CT111" s="93" cm="1">
        <f t="array" ref="CT111">SUMPRODUCT(TRANSPOSE(CT$4:CT$20),$G111:$W111)</f>
        <v>16</v>
      </c>
      <c r="CU111" s="93" cm="1">
        <f t="array" ref="CU111">SUMPRODUCT(TRANSPOSE(CU$4:CU$20),$G111:$W111)</f>
        <v>16</v>
      </c>
      <c r="CV111" s="93" cm="1">
        <f t="array" ref="CV111">SUMPRODUCT(TRANSPOSE(CV$4:CV$20),$G111:$W111)</f>
        <v>16</v>
      </c>
      <c r="CW111" s="93" cm="1">
        <f t="array" ref="CW111">SUMPRODUCT(TRANSPOSE(CW$4:CW$20),$G111:$W111)</f>
        <v>16</v>
      </c>
      <c r="CX111" s="93" cm="1">
        <f t="array" ref="CX111">SUMPRODUCT(TRANSPOSE(CX$4:CX$20),$G111:$W111)</f>
        <v>16</v>
      </c>
      <c r="CY111" s="93" cm="1">
        <f t="array" ref="CY111">SUMPRODUCT(TRANSPOSE(CY$4:CY$20),$G111:$W111)</f>
        <v>0</v>
      </c>
      <c r="CZ111" s="93" cm="1">
        <f t="array" ref="CZ111">SUMPRODUCT(TRANSPOSE(CZ$4:CZ$20),$G111:$W111)</f>
        <v>0</v>
      </c>
      <c r="DA111" s="93" cm="1">
        <f t="array" ref="DA111">SUMPRODUCT(TRANSPOSE(DA$4:DA$20),$G111:$W111)</f>
        <v>0</v>
      </c>
      <c r="DB111" s="93" cm="1">
        <f t="array" ref="DB111">SUMPRODUCT(TRANSPOSE(DB$4:DB$20),$G111:$W111)</f>
        <v>0</v>
      </c>
      <c r="DC111" s="93" cm="1">
        <f t="array" ref="DC111">SUMPRODUCT(TRANSPOSE(DC$4:DC$20),$G111:$W111)</f>
        <v>0</v>
      </c>
      <c r="DD111" s="93" cm="1">
        <f t="array" ref="DD111">SUMPRODUCT(TRANSPOSE(DD$4:DD$20),$G111:$W111)</f>
        <v>0</v>
      </c>
      <c r="DE111" s="93" cm="1">
        <f t="array" ref="DE111">SUMPRODUCT(TRANSPOSE(DE$4:DE$20),$G111:$W111)</f>
        <v>0</v>
      </c>
      <c r="DF111" s="93" cm="1">
        <f t="array" ref="DF111">SUMPRODUCT(TRANSPOSE(DF$4:DF$20),$G111:$W111)</f>
        <v>0</v>
      </c>
      <c r="DG111" s="93" cm="1">
        <f t="array" ref="DG111">SUMPRODUCT(TRANSPOSE(DG$4:DG$20),$G111:$W111)</f>
        <v>0</v>
      </c>
      <c r="DH111" s="93" cm="1">
        <f t="array" ref="DH111">SUMPRODUCT(TRANSPOSE(DH$4:DH$20),$G111:$W111)</f>
        <v>0</v>
      </c>
      <c r="DI111" s="93" cm="1">
        <f t="array" ref="DI111">SUMPRODUCT(TRANSPOSE(DI$4:DI$20),$G111:$W111)</f>
        <v>0</v>
      </c>
      <c r="DJ111" s="93" cm="1">
        <f t="array" ref="DJ111">SUMPRODUCT(TRANSPOSE(DJ$4:DJ$20),$G111:$W111)</f>
        <v>0</v>
      </c>
      <c r="DK111" s="93" cm="1">
        <f t="array" ref="DK111">SUMPRODUCT(TRANSPOSE(DK$4:DK$20),$G111:$W111)</f>
        <v>0</v>
      </c>
      <c r="DL111" s="93" cm="1">
        <f t="array" ref="DL111">SUMPRODUCT(TRANSPOSE(DL$4:DL$20),$G111:$W111)</f>
        <v>0</v>
      </c>
      <c r="DM111" s="93" cm="1">
        <f t="array" ref="DM111">SUMPRODUCT(TRANSPOSE(DM$4:DM$20),$G111:$W111)</f>
        <v>0</v>
      </c>
      <c r="DN111" s="93" cm="1">
        <f t="array" ref="DN111">SUMPRODUCT(TRANSPOSE(DN$4:DN$20),$G111:$W111)</f>
        <v>0</v>
      </c>
      <c r="DO111" s="93" cm="1">
        <f t="array" ref="DO111">SUMPRODUCT(TRANSPOSE(DO$4:DO$20),$G111:$W111)</f>
        <v>0</v>
      </c>
    </row>
    <row r="112" spans="1:119" x14ac:dyDescent="0.2">
      <c r="A112" s="45">
        <f t="shared" si="27"/>
        <v>91</v>
      </c>
      <c r="B112" s="46" t="s">
        <v>317</v>
      </c>
      <c r="C112" s="45">
        <v>424622624</v>
      </c>
      <c r="D112" s="45" t="s">
        <v>318</v>
      </c>
      <c r="E112" s="45" t="s">
        <v>162</v>
      </c>
      <c r="F112" s="48">
        <v>1</v>
      </c>
      <c r="G112" s="100">
        <v>0</v>
      </c>
      <c r="H112" s="100">
        <v>0</v>
      </c>
      <c r="I112" s="100">
        <v>0</v>
      </c>
      <c r="J112" s="100">
        <v>0</v>
      </c>
      <c r="K112" s="100">
        <v>0</v>
      </c>
      <c r="L112" s="100">
        <v>0</v>
      </c>
      <c r="M112" s="100">
        <v>0</v>
      </c>
      <c r="N112" s="100">
        <v>0</v>
      </c>
      <c r="O112" s="100">
        <v>0</v>
      </c>
      <c r="P112" s="100">
        <v>0</v>
      </c>
      <c r="Q112" s="100">
        <v>0</v>
      </c>
      <c r="R112" s="100">
        <v>0</v>
      </c>
      <c r="S112" s="100">
        <v>0</v>
      </c>
      <c r="T112" s="100">
        <v>0</v>
      </c>
      <c r="U112" s="100">
        <v>0</v>
      </c>
      <c r="V112" s="100">
        <v>0</v>
      </c>
      <c r="W112" s="100">
        <v>1</v>
      </c>
      <c r="X112" s="45" t="s">
        <v>6</v>
      </c>
      <c r="Y112" s="49">
        <v>0</v>
      </c>
      <c r="Z112" s="45">
        <v>0</v>
      </c>
      <c r="AA112" s="45">
        <v>0</v>
      </c>
      <c r="AB112" s="45">
        <v>0</v>
      </c>
      <c r="AC112" s="45">
        <v>0</v>
      </c>
      <c r="AD112" s="45">
        <v>0</v>
      </c>
      <c r="AE112" s="45">
        <v>0</v>
      </c>
      <c r="AF112" s="45">
        <v>0</v>
      </c>
      <c r="AG112" s="45">
        <v>0</v>
      </c>
      <c r="AH112" s="45">
        <v>0</v>
      </c>
      <c r="AI112" s="45">
        <v>0</v>
      </c>
      <c r="AJ112" s="45">
        <v>0</v>
      </c>
      <c r="AK112" s="45">
        <v>0</v>
      </c>
      <c r="AL112" s="45">
        <v>0</v>
      </c>
      <c r="AM112" s="45">
        <v>0</v>
      </c>
      <c r="AN112" s="45">
        <v>0</v>
      </c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93"/>
      <c r="BE112" s="93"/>
      <c r="BF112" s="93"/>
      <c r="BG112" s="93"/>
      <c r="BH112" s="93"/>
      <c r="BI112" s="93"/>
      <c r="BJ112" s="93"/>
      <c r="BK112" s="93">
        <f>SUM($Z112:AD112)-SUM($CM112:CQ112)</f>
        <v>-16</v>
      </c>
      <c r="BL112" s="93">
        <f>SUM($Z112:AE112)-SUM($CM112:CR112)</f>
        <v>-32</v>
      </c>
      <c r="BM112" s="93">
        <f>SUM($Z112:AF112)-SUM($CM112:CS112)</f>
        <v>-48</v>
      </c>
      <c r="BN112" s="93">
        <f>SUM($Z112:AG112)-SUM($CM112:CT112)</f>
        <v>-64</v>
      </c>
      <c r="BO112" s="93">
        <f>SUM($Z112:AH112)-SUM($CM112:CU112)</f>
        <v>-80</v>
      </c>
      <c r="BP112" s="93">
        <f>SUM($Z112:AI112)-SUM($CM112:CV112)</f>
        <v>-96</v>
      </c>
      <c r="BQ112" s="93">
        <f>SUM($Z112:AJ112)-SUM($CM112:CW112)</f>
        <v>-112</v>
      </c>
      <c r="BR112" s="93">
        <f>SUM($Z112:AK112)-SUM($CM112:CX112)</f>
        <v>-128</v>
      </c>
      <c r="BS112" s="93">
        <f>SUM($Z112:AL112)-SUM($CM112:CY112)</f>
        <v>-128</v>
      </c>
      <c r="BT112" s="93">
        <f>SUM($Z112:AM112)-SUM($CM112:CZ112)</f>
        <v>-128</v>
      </c>
      <c r="BU112" s="93">
        <f>SUM($Z112:AN112)-SUM($CM112:DA112)</f>
        <v>-128</v>
      </c>
      <c r="BV112" s="93">
        <f>SUM($Z112:AO112)-SUM($CM112:DB112)</f>
        <v>-128</v>
      </c>
      <c r="BW112" s="93">
        <f>SUM($Z112:AP112)-SUM($CM112:DC112)</f>
        <v>-128</v>
      </c>
      <c r="BX112" s="93">
        <f>SUM($Z112:AQ112)-SUM($CM112:DD112)</f>
        <v>-128</v>
      </c>
      <c r="BY112" s="93">
        <f>SUM($Z112:AR112)-SUM($CM112:DE112)</f>
        <v>-128</v>
      </c>
      <c r="BZ112" s="93">
        <f>SUM($Z112:AS112)-SUM($CM112:DF112)</f>
        <v>-128</v>
      </c>
      <c r="CA112" s="93">
        <f>SUM($Z112:AT112)-SUM($CM112:DG112)</f>
        <v>-128</v>
      </c>
      <c r="CB112" s="93">
        <f>SUM($Z112:AU112)-SUM($CM112:DH112)</f>
        <v>-128</v>
      </c>
      <c r="CC112" s="93">
        <f>SUM($Z112:AV112)-SUM($CM112:DI112)</f>
        <v>-128</v>
      </c>
      <c r="CD112" s="93">
        <f>SUM($Z112:AW112)-SUM($CM112:DJ112)</f>
        <v>-128</v>
      </c>
      <c r="CE112" s="93">
        <f>SUM($Z112:AX112)-SUM($CM112:DK112)</f>
        <v>-128</v>
      </c>
      <c r="CF112" s="93">
        <f>SUM($Z112:AY112)-SUM($CM112:DL112)</f>
        <v>-128</v>
      </c>
      <c r="CG112" s="93">
        <f>SUM($Z112:AZ112)-SUM($CM112:DM112)</f>
        <v>-128</v>
      </c>
      <c r="CH112" s="93">
        <f>SUM($Z112:BA112)-SUM($CM112:DN112)</f>
        <v>-128</v>
      </c>
      <c r="CI112" s="93">
        <f>SUM($Z112:BB112)-SUM($CM112:DO112)</f>
        <v>-128</v>
      </c>
      <c r="CJ112" s="93"/>
      <c r="CK112" s="93"/>
      <c r="CL112" s="93"/>
      <c r="CM112" s="93"/>
      <c r="CN112" s="93" cm="1">
        <f t="array" ref="CN112">SUMPRODUCT(TRANSPOSE(CN$4:CN$20),$G112:$W112)</f>
        <v>0</v>
      </c>
      <c r="CO112" s="93" cm="1">
        <f t="array" ref="CO112">SUMPRODUCT(TRANSPOSE(CO$4:CO$20),$G112:$W112)</f>
        <v>0</v>
      </c>
      <c r="CP112" s="93" cm="1">
        <f t="array" ref="CP112">SUMPRODUCT(TRANSPOSE(CP$4:CP$20),$G112:$W112)</f>
        <v>0</v>
      </c>
      <c r="CQ112" s="93" cm="1">
        <f t="array" ref="CQ112">SUMPRODUCT(TRANSPOSE(CQ$4:CQ$20),$G112:$W112)</f>
        <v>16</v>
      </c>
      <c r="CR112" s="93" cm="1">
        <f t="array" ref="CR112">SUMPRODUCT(TRANSPOSE(CR$4:CR$20),$G112:$W112)</f>
        <v>16</v>
      </c>
      <c r="CS112" s="93" cm="1">
        <f t="array" ref="CS112">SUMPRODUCT(TRANSPOSE(CS$4:CS$20),$G112:$W112)</f>
        <v>16</v>
      </c>
      <c r="CT112" s="93" cm="1">
        <f t="array" ref="CT112">SUMPRODUCT(TRANSPOSE(CT$4:CT$20),$G112:$W112)</f>
        <v>16</v>
      </c>
      <c r="CU112" s="93" cm="1">
        <f t="array" ref="CU112">SUMPRODUCT(TRANSPOSE(CU$4:CU$20),$G112:$W112)</f>
        <v>16</v>
      </c>
      <c r="CV112" s="93" cm="1">
        <f t="array" ref="CV112">SUMPRODUCT(TRANSPOSE(CV$4:CV$20),$G112:$W112)</f>
        <v>16</v>
      </c>
      <c r="CW112" s="93" cm="1">
        <f t="array" ref="CW112">SUMPRODUCT(TRANSPOSE(CW$4:CW$20),$G112:$W112)</f>
        <v>16</v>
      </c>
      <c r="CX112" s="93" cm="1">
        <f t="array" ref="CX112">SUMPRODUCT(TRANSPOSE(CX$4:CX$20),$G112:$W112)</f>
        <v>16</v>
      </c>
      <c r="CY112" s="93" cm="1">
        <f t="array" ref="CY112">SUMPRODUCT(TRANSPOSE(CY$4:CY$20),$G112:$W112)</f>
        <v>0</v>
      </c>
      <c r="CZ112" s="93" cm="1">
        <f t="array" ref="CZ112">SUMPRODUCT(TRANSPOSE(CZ$4:CZ$20),$G112:$W112)</f>
        <v>0</v>
      </c>
      <c r="DA112" s="93" cm="1">
        <f t="array" ref="DA112">SUMPRODUCT(TRANSPOSE(DA$4:DA$20),$G112:$W112)</f>
        <v>0</v>
      </c>
      <c r="DB112" s="93" cm="1">
        <f t="array" ref="DB112">SUMPRODUCT(TRANSPOSE(DB$4:DB$20),$G112:$W112)</f>
        <v>0</v>
      </c>
      <c r="DC112" s="93" cm="1">
        <f t="array" ref="DC112">SUMPRODUCT(TRANSPOSE(DC$4:DC$20),$G112:$W112)</f>
        <v>0</v>
      </c>
      <c r="DD112" s="93" cm="1">
        <f t="array" ref="DD112">SUMPRODUCT(TRANSPOSE(DD$4:DD$20),$G112:$W112)</f>
        <v>0</v>
      </c>
      <c r="DE112" s="93" cm="1">
        <f t="array" ref="DE112">SUMPRODUCT(TRANSPOSE(DE$4:DE$20),$G112:$W112)</f>
        <v>0</v>
      </c>
      <c r="DF112" s="93" cm="1">
        <f t="array" ref="DF112">SUMPRODUCT(TRANSPOSE(DF$4:DF$20),$G112:$W112)</f>
        <v>0</v>
      </c>
      <c r="DG112" s="93" cm="1">
        <f t="array" ref="DG112">SUMPRODUCT(TRANSPOSE(DG$4:DG$20),$G112:$W112)</f>
        <v>0</v>
      </c>
      <c r="DH112" s="93" cm="1">
        <f t="array" ref="DH112">SUMPRODUCT(TRANSPOSE(DH$4:DH$20),$G112:$W112)</f>
        <v>0</v>
      </c>
      <c r="DI112" s="93" cm="1">
        <f t="array" ref="DI112">SUMPRODUCT(TRANSPOSE(DI$4:DI$20),$G112:$W112)</f>
        <v>0</v>
      </c>
      <c r="DJ112" s="93" cm="1">
        <f t="array" ref="DJ112">SUMPRODUCT(TRANSPOSE(DJ$4:DJ$20),$G112:$W112)</f>
        <v>0</v>
      </c>
      <c r="DK112" s="93" cm="1">
        <f t="array" ref="DK112">SUMPRODUCT(TRANSPOSE(DK$4:DK$20),$G112:$W112)</f>
        <v>0</v>
      </c>
      <c r="DL112" s="93" cm="1">
        <f t="array" ref="DL112">SUMPRODUCT(TRANSPOSE(DL$4:DL$20),$G112:$W112)</f>
        <v>0</v>
      </c>
      <c r="DM112" s="93" cm="1">
        <f t="array" ref="DM112">SUMPRODUCT(TRANSPOSE(DM$4:DM$20),$G112:$W112)</f>
        <v>0</v>
      </c>
      <c r="DN112" s="93" cm="1">
        <f t="array" ref="DN112">SUMPRODUCT(TRANSPOSE(DN$4:DN$20),$G112:$W112)</f>
        <v>0</v>
      </c>
      <c r="DO112" s="93" cm="1">
        <f t="array" ref="DO112">SUMPRODUCT(TRANSPOSE(DO$4:DO$20),$G112:$W112)</f>
        <v>0</v>
      </c>
    </row>
    <row r="113" spans="1:119" x14ac:dyDescent="0.2">
      <c r="A113" s="45">
        <f t="shared" si="27"/>
        <v>92</v>
      </c>
      <c r="B113" s="46" t="s">
        <v>319</v>
      </c>
      <c r="C113" s="45">
        <v>417593371</v>
      </c>
      <c r="D113" s="45" t="s">
        <v>320</v>
      </c>
      <c r="E113" s="45" t="s">
        <v>162</v>
      </c>
      <c r="F113" s="48">
        <v>1</v>
      </c>
      <c r="G113" s="100">
        <v>0</v>
      </c>
      <c r="H113" s="100">
        <v>0</v>
      </c>
      <c r="I113" s="100">
        <v>0</v>
      </c>
      <c r="J113" s="100">
        <v>0</v>
      </c>
      <c r="K113" s="100">
        <v>0</v>
      </c>
      <c r="L113" s="100">
        <v>0</v>
      </c>
      <c r="M113" s="100">
        <v>0</v>
      </c>
      <c r="N113" s="100">
        <v>0</v>
      </c>
      <c r="O113" s="100">
        <v>0</v>
      </c>
      <c r="P113" s="100">
        <v>0</v>
      </c>
      <c r="Q113" s="100">
        <v>0</v>
      </c>
      <c r="R113" s="100">
        <v>0</v>
      </c>
      <c r="S113" s="100">
        <v>0</v>
      </c>
      <c r="T113" s="100">
        <v>0</v>
      </c>
      <c r="U113" s="100">
        <v>0</v>
      </c>
      <c r="V113" s="100">
        <v>0</v>
      </c>
      <c r="W113" s="100">
        <v>1</v>
      </c>
      <c r="X113" s="45" t="s">
        <v>6</v>
      </c>
      <c r="Y113" s="49">
        <v>0</v>
      </c>
      <c r="Z113" s="45">
        <v>0</v>
      </c>
      <c r="AA113" s="45">
        <v>0</v>
      </c>
      <c r="AB113" s="45">
        <v>0</v>
      </c>
      <c r="AC113" s="45">
        <v>0</v>
      </c>
      <c r="AD113" s="45">
        <v>0</v>
      </c>
      <c r="AE113" s="45">
        <v>0</v>
      </c>
      <c r="AF113" s="45">
        <v>0</v>
      </c>
      <c r="AG113" s="45">
        <v>0</v>
      </c>
      <c r="AH113" s="45">
        <v>0</v>
      </c>
      <c r="AI113" s="45">
        <v>0</v>
      </c>
      <c r="AJ113" s="45">
        <v>0</v>
      </c>
      <c r="AK113" s="45">
        <v>0</v>
      </c>
      <c r="AL113" s="45">
        <v>0</v>
      </c>
      <c r="AM113" s="45">
        <v>0</v>
      </c>
      <c r="AN113" s="45">
        <v>0</v>
      </c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93"/>
      <c r="BE113" s="93"/>
      <c r="BF113" s="93"/>
      <c r="BG113" s="93"/>
      <c r="BH113" s="93"/>
      <c r="BI113" s="93"/>
      <c r="BJ113" s="93"/>
      <c r="BK113" s="93">
        <f>SUM($Z113:AD113)-SUM($CM113:CQ113)</f>
        <v>-16</v>
      </c>
      <c r="BL113" s="93">
        <f>SUM($Z113:AE113)-SUM($CM113:CR113)</f>
        <v>-32</v>
      </c>
      <c r="BM113" s="93">
        <f>SUM($Z113:AF113)-SUM($CM113:CS113)</f>
        <v>-48</v>
      </c>
      <c r="BN113" s="93">
        <f>SUM($Z113:AG113)-SUM($CM113:CT113)</f>
        <v>-64</v>
      </c>
      <c r="BO113" s="93">
        <f>SUM($Z113:AH113)-SUM($CM113:CU113)</f>
        <v>-80</v>
      </c>
      <c r="BP113" s="93">
        <f>SUM($Z113:AI113)-SUM($CM113:CV113)</f>
        <v>-96</v>
      </c>
      <c r="BQ113" s="93">
        <f>SUM($Z113:AJ113)-SUM($CM113:CW113)</f>
        <v>-112</v>
      </c>
      <c r="BR113" s="93">
        <f>SUM($Z113:AK113)-SUM($CM113:CX113)</f>
        <v>-128</v>
      </c>
      <c r="BS113" s="93">
        <f>SUM($Z113:AL113)-SUM($CM113:CY113)</f>
        <v>-128</v>
      </c>
      <c r="BT113" s="93">
        <f>SUM($Z113:AM113)-SUM($CM113:CZ113)</f>
        <v>-128</v>
      </c>
      <c r="BU113" s="93">
        <f>SUM($Z113:AN113)-SUM($CM113:DA113)</f>
        <v>-128</v>
      </c>
      <c r="BV113" s="93">
        <f>SUM($Z113:AO113)-SUM($CM113:DB113)</f>
        <v>-128</v>
      </c>
      <c r="BW113" s="93">
        <f>SUM($Z113:AP113)-SUM($CM113:DC113)</f>
        <v>-128</v>
      </c>
      <c r="BX113" s="93">
        <f>SUM($Z113:AQ113)-SUM($CM113:DD113)</f>
        <v>-128</v>
      </c>
      <c r="BY113" s="93">
        <f>SUM($Z113:AR113)-SUM($CM113:DE113)</f>
        <v>-128</v>
      </c>
      <c r="BZ113" s="93">
        <f>SUM($Z113:AS113)-SUM($CM113:DF113)</f>
        <v>-128</v>
      </c>
      <c r="CA113" s="93">
        <f>SUM($Z113:AT113)-SUM($CM113:DG113)</f>
        <v>-128</v>
      </c>
      <c r="CB113" s="93">
        <f>SUM($Z113:AU113)-SUM($CM113:DH113)</f>
        <v>-128</v>
      </c>
      <c r="CC113" s="93">
        <f>SUM($Z113:AV113)-SUM($CM113:DI113)</f>
        <v>-128</v>
      </c>
      <c r="CD113" s="93">
        <f>SUM($Z113:AW113)-SUM($CM113:DJ113)</f>
        <v>-128</v>
      </c>
      <c r="CE113" s="93">
        <f>SUM($Z113:AX113)-SUM($CM113:DK113)</f>
        <v>-128</v>
      </c>
      <c r="CF113" s="93">
        <f>SUM($Z113:AY113)-SUM($CM113:DL113)</f>
        <v>-128</v>
      </c>
      <c r="CG113" s="93">
        <f>SUM($Z113:AZ113)-SUM($CM113:DM113)</f>
        <v>-128</v>
      </c>
      <c r="CH113" s="93">
        <f>SUM($Z113:BA113)-SUM($CM113:DN113)</f>
        <v>-128</v>
      </c>
      <c r="CI113" s="93">
        <f>SUM($Z113:BB113)-SUM($CM113:DO113)</f>
        <v>-128</v>
      </c>
      <c r="CJ113" s="93"/>
      <c r="CK113" s="93"/>
      <c r="CL113" s="93"/>
      <c r="CM113" s="93"/>
      <c r="CN113" s="93" cm="1">
        <f t="array" ref="CN113">SUMPRODUCT(TRANSPOSE(CN$4:CN$20),$G113:$W113)</f>
        <v>0</v>
      </c>
      <c r="CO113" s="93" cm="1">
        <f t="array" ref="CO113">SUMPRODUCT(TRANSPOSE(CO$4:CO$20),$G113:$W113)</f>
        <v>0</v>
      </c>
      <c r="CP113" s="93" cm="1">
        <f t="array" ref="CP113">SUMPRODUCT(TRANSPOSE(CP$4:CP$20),$G113:$W113)</f>
        <v>0</v>
      </c>
      <c r="CQ113" s="93" cm="1">
        <f t="array" ref="CQ113">SUMPRODUCT(TRANSPOSE(CQ$4:CQ$20),$G113:$W113)</f>
        <v>16</v>
      </c>
      <c r="CR113" s="93" cm="1">
        <f t="array" ref="CR113">SUMPRODUCT(TRANSPOSE(CR$4:CR$20),$G113:$W113)</f>
        <v>16</v>
      </c>
      <c r="CS113" s="93" cm="1">
        <f t="array" ref="CS113">SUMPRODUCT(TRANSPOSE(CS$4:CS$20),$G113:$W113)</f>
        <v>16</v>
      </c>
      <c r="CT113" s="93" cm="1">
        <f t="array" ref="CT113">SUMPRODUCT(TRANSPOSE(CT$4:CT$20),$G113:$W113)</f>
        <v>16</v>
      </c>
      <c r="CU113" s="93" cm="1">
        <f t="array" ref="CU113">SUMPRODUCT(TRANSPOSE(CU$4:CU$20),$G113:$W113)</f>
        <v>16</v>
      </c>
      <c r="CV113" s="93" cm="1">
        <f t="array" ref="CV113">SUMPRODUCT(TRANSPOSE(CV$4:CV$20),$G113:$W113)</f>
        <v>16</v>
      </c>
      <c r="CW113" s="93" cm="1">
        <f t="array" ref="CW113">SUMPRODUCT(TRANSPOSE(CW$4:CW$20),$G113:$W113)</f>
        <v>16</v>
      </c>
      <c r="CX113" s="93" cm="1">
        <f t="array" ref="CX113">SUMPRODUCT(TRANSPOSE(CX$4:CX$20),$G113:$W113)</f>
        <v>16</v>
      </c>
      <c r="CY113" s="93" cm="1">
        <f t="array" ref="CY113">SUMPRODUCT(TRANSPOSE(CY$4:CY$20),$G113:$W113)</f>
        <v>0</v>
      </c>
      <c r="CZ113" s="93" cm="1">
        <f t="array" ref="CZ113">SUMPRODUCT(TRANSPOSE(CZ$4:CZ$20),$G113:$W113)</f>
        <v>0</v>
      </c>
      <c r="DA113" s="93" cm="1">
        <f t="array" ref="DA113">SUMPRODUCT(TRANSPOSE(DA$4:DA$20),$G113:$W113)</f>
        <v>0</v>
      </c>
      <c r="DB113" s="93" cm="1">
        <f t="array" ref="DB113">SUMPRODUCT(TRANSPOSE(DB$4:DB$20),$G113:$W113)</f>
        <v>0</v>
      </c>
      <c r="DC113" s="93" cm="1">
        <f t="array" ref="DC113">SUMPRODUCT(TRANSPOSE(DC$4:DC$20),$G113:$W113)</f>
        <v>0</v>
      </c>
      <c r="DD113" s="93" cm="1">
        <f t="array" ref="DD113">SUMPRODUCT(TRANSPOSE(DD$4:DD$20),$G113:$W113)</f>
        <v>0</v>
      </c>
      <c r="DE113" s="93" cm="1">
        <f t="array" ref="DE113">SUMPRODUCT(TRANSPOSE(DE$4:DE$20),$G113:$W113)</f>
        <v>0</v>
      </c>
      <c r="DF113" s="93" cm="1">
        <f t="array" ref="DF113">SUMPRODUCT(TRANSPOSE(DF$4:DF$20),$G113:$W113)</f>
        <v>0</v>
      </c>
      <c r="DG113" s="93" cm="1">
        <f t="array" ref="DG113">SUMPRODUCT(TRANSPOSE(DG$4:DG$20),$G113:$W113)</f>
        <v>0</v>
      </c>
      <c r="DH113" s="93" cm="1">
        <f t="array" ref="DH113">SUMPRODUCT(TRANSPOSE(DH$4:DH$20),$G113:$W113)</f>
        <v>0</v>
      </c>
      <c r="DI113" s="93" cm="1">
        <f t="array" ref="DI113">SUMPRODUCT(TRANSPOSE(DI$4:DI$20),$G113:$W113)</f>
        <v>0</v>
      </c>
      <c r="DJ113" s="93" cm="1">
        <f t="array" ref="DJ113">SUMPRODUCT(TRANSPOSE(DJ$4:DJ$20),$G113:$W113)</f>
        <v>0</v>
      </c>
      <c r="DK113" s="93" cm="1">
        <f t="array" ref="DK113">SUMPRODUCT(TRANSPOSE(DK$4:DK$20),$G113:$W113)</f>
        <v>0</v>
      </c>
      <c r="DL113" s="93" cm="1">
        <f t="array" ref="DL113">SUMPRODUCT(TRANSPOSE(DL$4:DL$20),$G113:$W113)</f>
        <v>0</v>
      </c>
      <c r="DM113" s="93" cm="1">
        <f t="array" ref="DM113">SUMPRODUCT(TRANSPOSE(DM$4:DM$20),$G113:$W113)</f>
        <v>0</v>
      </c>
      <c r="DN113" s="93" cm="1">
        <f t="array" ref="DN113">SUMPRODUCT(TRANSPOSE(DN$4:DN$20),$G113:$W113)</f>
        <v>0</v>
      </c>
      <c r="DO113" s="93" cm="1">
        <f t="array" ref="DO113">SUMPRODUCT(TRANSPOSE(DO$4:DO$20),$G113:$W113)</f>
        <v>0</v>
      </c>
    </row>
    <row r="114" spans="1:119" x14ac:dyDescent="0.2">
      <c r="A114" s="45">
        <f t="shared" si="27"/>
        <v>93</v>
      </c>
      <c r="B114" s="46" t="s">
        <v>321</v>
      </c>
      <c r="C114" s="45">
        <v>417587623</v>
      </c>
      <c r="D114" s="45" t="s">
        <v>322</v>
      </c>
      <c r="E114" s="45" t="s">
        <v>162</v>
      </c>
      <c r="F114" s="48">
        <v>1</v>
      </c>
      <c r="G114" s="100">
        <v>0</v>
      </c>
      <c r="H114" s="100">
        <v>0</v>
      </c>
      <c r="I114" s="100">
        <v>0</v>
      </c>
      <c r="J114" s="100">
        <v>0</v>
      </c>
      <c r="K114" s="100">
        <v>0</v>
      </c>
      <c r="L114" s="100">
        <v>0</v>
      </c>
      <c r="M114" s="100">
        <v>0</v>
      </c>
      <c r="N114" s="100">
        <v>0</v>
      </c>
      <c r="O114" s="100">
        <v>0</v>
      </c>
      <c r="P114" s="100">
        <v>0</v>
      </c>
      <c r="Q114" s="100">
        <v>0</v>
      </c>
      <c r="R114" s="100">
        <v>0</v>
      </c>
      <c r="S114" s="100">
        <v>0</v>
      </c>
      <c r="T114" s="100">
        <v>0</v>
      </c>
      <c r="U114" s="100">
        <v>0</v>
      </c>
      <c r="V114" s="100">
        <v>0</v>
      </c>
      <c r="W114" s="100">
        <v>1</v>
      </c>
      <c r="X114" s="45" t="s">
        <v>6</v>
      </c>
      <c r="Y114" s="49">
        <v>0</v>
      </c>
      <c r="Z114" s="45">
        <v>0</v>
      </c>
      <c r="AA114" s="45">
        <v>0</v>
      </c>
      <c r="AB114" s="45">
        <v>0</v>
      </c>
      <c r="AC114" s="45">
        <v>0</v>
      </c>
      <c r="AD114" s="45">
        <v>0</v>
      </c>
      <c r="AE114" s="45">
        <v>0</v>
      </c>
      <c r="AF114" s="45">
        <v>0</v>
      </c>
      <c r="AG114" s="45">
        <v>0</v>
      </c>
      <c r="AH114" s="45">
        <v>0</v>
      </c>
      <c r="AI114" s="45">
        <v>0</v>
      </c>
      <c r="AJ114" s="45">
        <v>0</v>
      </c>
      <c r="AK114" s="45">
        <v>0</v>
      </c>
      <c r="AL114" s="45">
        <v>0</v>
      </c>
      <c r="AM114" s="45">
        <v>0</v>
      </c>
      <c r="AN114" s="45">
        <v>0</v>
      </c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93"/>
      <c r="BE114" s="93"/>
      <c r="BF114" s="93"/>
      <c r="BG114" s="93"/>
      <c r="BH114" s="93"/>
      <c r="BI114" s="93"/>
      <c r="BJ114" s="93"/>
      <c r="BK114" s="93">
        <f>SUM($Z114:AD114)-SUM($CM114:CQ114)</f>
        <v>-16</v>
      </c>
      <c r="BL114" s="93">
        <f>SUM($Z114:AE114)-SUM($CM114:CR114)</f>
        <v>-32</v>
      </c>
      <c r="BM114" s="93">
        <f>SUM($Z114:AF114)-SUM($CM114:CS114)</f>
        <v>-48</v>
      </c>
      <c r="BN114" s="93">
        <f>SUM($Z114:AG114)-SUM($CM114:CT114)</f>
        <v>-64</v>
      </c>
      <c r="BO114" s="93">
        <f>SUM($Z114:AH114)-SUM($CM114:CU114)</f>
        <v>-80</v>
      </c>
      <c r="BP114" s="93">
        <f>SUM($Z114:AI114)-SUM($CM114:CV114)</f>
        <v>-96</v>
      </c>
      <c r="BQ114" s="93">
        <f>SUM($Z114:AJ114)-SUM($CM114:CW114)</f>
        <v>-112</v>
      </c>
      <c r="BR114" s="93">
        <f>SUM($Z114:AK114)-SUM($CM114:CX114)</f>
        <v>-128</v>
      </c>
      <c r="BS114" s="93">
        <f>SUM($Z114:AL114)-SUM($CM114:CY114)</f>
        <v>-128</v>
      </c>
      <c r="BT114" s="93">
        <f>SUM($Z114:AM114)-SUM($CM114:CZ114)</f>
        <v>-128</v>
      </c>
      <c r="BU114" s="93">
        <f>SUM($Z114:AN114)-SUM($CM114:DA114)</f>
        <v>-128</v>
      </c>
      <c r="BV114" s="93">
        <f>SUM($Z114:AO114)-SUM($CM114:DB114)</f>
        <v>-128</v>
      </c>
      <c r="BW114" s="93">
        <f>SUM($Z114:AP114)-SUM($CM114:DC114)</f>
        <v>-128</v>
      </c>
      <c r="BX114" s="93">
        <f>SUM($Z114:AQ114)-SUM($CM114:DD114)</f>
        <v>-128</v>
      </c>
      <c r="BY114" s="93">
        <f>SUM($Z114:AR114)-SUM($CM114:DE114)</f>
        <v>-128</v>
      </c>
      <c r="BZ114" s="93">
        <f>SUM($Z114:AS114)-SUM($CM114:DF114)</f>
        <v>-128</v>
      </c>
      <c r="CA114" s="93">
        <f>SUM($Z114:AT114)-SUM($CM114:DG114)</f>
        <v>-128</v>
      </c>
      <c r="CB114" s="93">
        <f>SUM($Z114:AU114)-SUM($CM114:DH114)</f>
        <v>-128</v>
      </c>
      <c r="CC114" s="93">
        <f>SUM($Z114:AV114)-SUM($CM114:DI114)</f>
        <v>-128</v>
      </c>
      <c r="CD114" s="93">
        <f>SUM($Z114:AW114)-SUM($CM114:DJ114)</f>
        <v>-128</v>
      </c>
      <c r="CE114" s="93">
        <f>SUM($Z114:AX114)-SUM($CM114:DK114)</f>
        <v>-128</v>
      </c>
      <c r="CF114" s="93">
        <f>SUM($Z114:AY114)-SUM($CM114:DL114)</f>
        <v>-128</v>
      </c>
      <c r="CG114" s="93">
        <f>SUM($Z114:AZ114)-SUM($CM114:DM114)</f>
        <v>-128</v>
      </c>
      <c r="CH114" s="93">
        <f>SUM($Z114:BA114)-SUM($CM114:DN114)</f>
        <v>-128</v>
      </c>
      <c r="CI114" s="93">
        <f>SUM($Z114:BB114)-SUM($CM114:DO114)</f>
        <v>-128</v>
      </c>
      <c r="CJ114" s="93"/>
      <c r="CK114" s="93"/>
      <c r="CL114" s="93"/>
      <c r="CM114" s="93"/>
      <c r="CN114" s="93" cm="1">
        <f t="array" ref="CN114">SUMPRODUCT(TRANSPOSE(CN$4:CN$20),$G114:$W114)</f>
        <v>0</v>
      </c>
      <c r="CO114" s="93" cm="1">
        <f t="array" ref="CO114">SUMPRODUCT(TRANSPOSE(CO$4:CO$20),$G114:$W114)</f>
        <v>0</v>
      </c>
      <c r="CP114" s="93" cm="1">
        <f t="array" ref="CP114">SUMPRODUCT(TRANSPOSE(CP$4:CP$20),$G114:$W114)</f>
        <v>0</v>
      </c>
      <c r="CQ114" s="93" cm="1">
        <f t="array" ref="CQ114">SUMPRODUCT(TRANSPOSE(CQ$4:CQ$20),$G114:$W114)</f>
        <v>16</v>
      </c>
      <c r="CR114" s="93" cm="1">
        <f t="array" ref="CR114">SUMPRODUCT(TRANSPOSE(CR$4:CR$20),$G114:$W114)</f>
        <v>16</v>
      </c>
      <c r="CS114" s="93" cm="1">
        <f t="array" ref="CS114">SUMPRODUCT(TRANSPOSE(CS$4:CS$20),$G114:$W114)</f>
        <v>16</v>
      </c>
      <c r="CT114" s="93" cm="1">
        <f t="array" ref="CT114">SUMPRODUCT(TRANSPOSE(CT$4:CT$20),$G114:$W114)</f>
        <v>16</v>
      </c>
      <c r="CU114" s="93" cm="1">
        <f t="array" ref="CU114">SUMPRODUCT(TRANSPOSE(CU$4:CU$20),$G114:$W114)</f>
        <v>16</v>
      </c>
      <c r="CV114" s="93" cm="1">
        <f t="array" ref="CV114">SUMPRODUCT(TRANSPOSE(CV$4:CV$20),$G114:$W114)</f>
        <v>16</v>
      </c>
      <c r="CW114" s="93" cm="1">
        <f t="array" ref="CW114">SUMPRODUCT(TRANSPOSE(CW$4:CW$20),$G114:$W114)</f>
        <v>16</v>
      </c>
      <c r="CX114" s="93" cm="1">
        <f t="array" ref="CX114">SUMPRODUCT(TRANSPOSE(CX$4:CX$20),$G114:$W114)</f>
        <v>16</v>
      </c>
      <c r="CY114" s="93" cm="1">
        <f t="array" ref="CY114">SUMPRODUCT(TRANSPOSE(CY$4:CY$20),$G114:$W114)</f>
        <v>0</v>
      </c>
      <c r="CZ114" s="93" cm="1">
        <f t="array" ref="CZ114">SUMPRODUCT(TRANSPOSE(CZ$4:CZ$20),$G114:$W114)</f>
        <v>0</v>
      </c>
      <c r="DA114" s="93" cm="1">
        <f t="array" ref="DA114">SUMPRODUCT(TRANSPOSE(DA$4:DA$20),$G114:$W114)</f>
        <v>0</v>
      </c>
      <c r="DB114" s="93" cm="1">
        <f t="array" ref="DB114">SUMPRODUCT(TRANSPOSE(DB$4:DB$20),$G114:$W114)</f>
        <v>0</v>
      </c>
      <c r="DC114" s="93" cm="1">
        <f t="array" ref="DC114">SUMPRODUCT(TRANSPOSE(DC$4:DC$20),$G114:$W114)</f>
        <v>0</v>
      </c>
      <c r="DD114" s="93" cm="1">
        <f t="array" ref="DD114">SUMPRODUCT(TRANSPOSE(DD$4:DD$20),$G114:$W114)</f>
        <v>0</v>
      </c>
      <c r="DE114" s="93" cm="1">
        <f t="array" ref="DE114">SUMPRODUCT(TRANSPOSE(DE$4:DE$20),$G114:$W114)</f>
        <v>0</v>
      </c>
      <c r="DF114" s="93" cm="1">
        <f t="array" ref="DF114">SUMPRODUCT(TRANSPOSE(DF$4:DF$20),$G114:$W114)</f>
        <v>0</v>
      </c>
      <c r="DG114" s="93" cm="1">
        <f t="array" ref="DG114">SUMPRODUCT(TRANSPOSE(DG$4:DG$20),$G114:$W114)</f>
        <v>0</v>
      </c>
      <c r="DH114" s="93" cm="1">
        <f t="array" ref="DH114">SUMPRODUCT(TRANSPOSE(DH$4:DH$20),$G114:$W114)</f>
        <v>0</v>
      </c>
      <c r="DI114" s="93" cm="1">
        <f t="array" ref="DI114">SUMPRODUCT(TRANSPOSE(DI$4:DI$20),$G114:$W114)</f>
        <v>0</v>
      </c>
      <c r="DJ114" s="93" cm="1">
        <f t="array" ref="DJ114">SUMPRODUCT(TRANSPOSE(DJ$4:DJ$20),$G114:$W114)</f>
        <v>0</v>
      </c>
      <c r="DK114" s="93" cm="1">
        <f t="array" ref="DK114">SUMPRODUCT(TRANSPOSE(DK$4:DK$20),$G114:$W114)</f>
        <v>0</v>
      </c>
      <c r="DL114" s="93" cm="1">
        <f t="array" ref="DL114">SUMPRODUCT(TRANSPOSE(DL$4:DL$20),$G114:$W114)</f>
        <v>0</v>
      </c>
      <c r="DM114" s="93" cm="1">
        <f t="array" ref="DM114">SUMPRODUCT(TRANSPOSE(DM$4:DM$20),$G114:$W114)</f>
        <v>0</v>
      </c>
      <c r="DN114" s="93" cm="1">
        <f t="array" ref="DN114">SUMPRODUCT(TRANSPOSE(DN$4:DN$20),$G114:$W114)</f>
        <v>0</v>
      </c>
      <c r="DO114" s="93" cm="1">
        <f t="array" ref="DO114">SUMPRODUCT(TRANSPOSE(DO$4:DO$20),$G114:$W114)</f>
        <v>0</v>
      </c>
    </row>
    <row r="115" spans="1:119" x14ac:dyDescent="0.2">
      <c r="A115" s="45">
        <f t="shared" si="27"/>
        <v>94</v>
      </c>
      <c r="B115" s="46" t="s">
        <v>323</v>
      </c>
      <c r="C115" s="45">
        <v>417593376</v>
      </c>
      <c r="D115" s="45" t="s">
        <v>324</v>
      </c>
      <c r="E115" s="45" t="s">
        <v>162</v>
      </c>
      <c r="F115" s="48">
        <v>1</v>
      </c>
      <c r="G115" s="100">
        <v>0</v>
      </c>
      <c r="H115" s="100">
        <v>0</v>
      </c>
      <c r="I115" s="100">
        <v>0</v>
      </c>
      <c r="J115" s="100">
        <v>0</v>
      </c>
      <c r="K115" s="100">
        <v>0</v>
      </c>
      <c r="L115" s="100">
        <v>0</v>
      </c>
      <c r="M115" s="100">
        <v>0</v>
      </c>
      <c r="N115" s="100">
        <v>0</v>
      </c>
      <c r="O115" s="100">
        <v>0</v>
      </c>
      <c r="P115" s="100">
        <v>0</v>
      </c>
      <c r="Q115" s="100">
        <v>0</v>
      </c>
      <c r="R115" s="100">
        <v>0</v>
      </c>
      <c r="S115" s="100">
        <v>0</v>
      </c>
      <c r="T115" s="100">
        <v>0</v>
      </c>
      <c r="U115" s="100">
        <v>0</v>
      </c>
      <c r="V115" s="100">
        <v>0</v>
      </c>
      <c r="W115" s="100">
        <v>1</v>
      </c>
      <c r="X115" s="45" t="s">
        <v>6</v>
      </c>
      <c r="Y115" s="49">
        <v>0</v>
      </c>
      <c r="Z115" s="45">
        <v>0</v>
      </c>
      <c r="AA115" s="45">
        <v>0</v>
      </c>
      <c r="AB115" s="45">
        <v>0</v>
      </c>
      <c r="AC115" s="45">
        <v>0</v>
      </c>
      <c r="AD115" s="45">
        <v>0</v>
      </c>
      <c r="AE115" s="45">
        <v>0</v>
      </c>
      <c r="AF115" s="45">
        <v>0</v>
      </c>
      <c r="AG115" s="45">
        <v>0</v>
      </c>
      <c r="AH115" s="45">
        <v>0</v>
      </c>
      <c r="AI115" s="45">
        <v>0</v>
      </c>
      <c r="AJ115" s="45">
        <v>0</v>
      </c>
      <c r="AK115" s="45">
        <v>0</v>
      </c>
      <c r="AL115" s="45">
        <v>0</v>
      </c>
      <c r="AM115" s="45">
        <v>0</v>
      </c>
      <c r="AN115" s="45">
        <v>0</v>
      </c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93"/>
      <c r="BE115" s="93"/>
      <c r="BF115" s="93"/>
      <c r="BG115" s="93"/>
      <c r="BH115" s="93"/>
      <c r="BI115" s="93"/>
      <c r="BJ115" s="93"/>
      <c r="BK115" s="93">
        <f>SUM($Z115:AD115)-SUM($CM115:CQ115)</f>
        <v>-16</v>
      </c>
      <c r="BL115" s="93">
        <f>SUM($Z115:AE115)-SUM($CM115:CR115)</f>
        <v>-32</v>
      </c>
      <c r="BM115" s="93">
        <f>SUM($Z115:AF115)-SUM($CM115:CS115)</f>
        <v>-48</v>
      </c>
      <c r="BN115" s="93">
        <f>SUM($Z115:AG115)-SUM($CM115:CT115)</f>
        <v>-64</v>
      </c>
      <c r="BO115" s="93">
        <f>SUM($Z115:AH115)-SUM($CM115:CU115)</f>
        <v>-80</v>
      </c>
      <c r="BP115" s="93">
        <f>SUM($Z115:AI115)-SUM($CM115:CV115)</f>
        <v>-96</v>
      </c>
      <c r="BQ115" s="93">
        <f>SUM($Z115:AJ115)-SUM($CM115:CW115)</f>
        <v>-112</v>
      </c>
      <c r="BR115" s="93">
        <f>SUM($Z115:AK115)-SUM($CM115:CX115)</f>
        <v>-128</v>
      </c>
      <c r="BS115" s="93">
        <f>SUM($Z115:AL115)-SUM($CM115:CY115)</f>
        <v>-128</v>
      </c>
      <c r="BT115" s="93">
        <f>SUM($Z115:AM115)-SUM($CM115:CZ115)</f>
        <v>-128</v>
      </c>
      <c r="BU115" s="93">
        <f>SUM($Z115:AN115)-SUM($CM115:DA115)</f>
        <v>-128</v>
      </c>
      <c r="BV115" s="93">
        <f>SUM($Z115:AO115)-SUM($CM115:DB115)</f>
        <v>-128</v>
      </c>
      <c r="BW115" s="93">
        <f>SUM($Z115:AP115)-SUM($CM115:DC115)</f>
        <v>-128</v>
      </c>
      <c r="BX115" s="93">
        <f>SUM($Z115:AQ115)-SUM($CM115:DD115)</f>
        <v>-128</v>
      </c>
      <c r="BY115" s="93">
        <f>SUM($Z115:AR115)-SUM($CM115:DE115)</f>
        <v>-128</v>
      </c>
      <c r="BZ115" s="93">
        <f>SUM($Z115:AS115)-SUM($CM115:DF115)</f>
        <v>-128</v>
      </c>
      <c r="CA115" s="93">
        <f>SUM($Z115:AT115)-SUM($CM115:DG115)</f>
        <v>-128</v>
      </c>
      <c r="CB115" s="93">
        <f>SUM($Z115:AU115)-SUM($CM115:DH115)</f>
        <v>-128</v>
      </c>
      <c r="CC115" s="93">
        <f>SUM($Z115:AV115)-SUM($CM115:DI115)</f>
        <v>-128</v>
      </c>
      <c r="CD115" s="93">
        <f>SUM($Z115:AW115)-SUM($CM115:DJ115)</f>
        <v>-128</v>
      </c>
      <c r="CE115" s="93">
        <f>SUM($Z115:AX115)-SUM($CM115:DK115)</f>
        <v>-128</v>
      </c>
      <c r="CF115" s="93">
        <f>SUM($Z115:AY115)-SUM($CM115:DL115)</f>
        <v>-128</v>
      </c>
      <c r="CG115" s="93">
        <f>SUM($Z115:AZ115)-SUM($CM115:DM115)</f>
        <v>-128</v>
      </c>
      <c r="CH115" s="93">
        <f>SUM($Z115:BA115)-SUM($CM115:DN115)</f>
        <v>-128</v>
      </c>
      <c r="CI115" s="93">
        <f>SUM($Z115:BB115)-SUM($CM115:DO115)</f>
        <v>-128</v>
      </c>
      <c r="CJ115" s="93"/>
      <c r="CK115" s="93"/>
      <c r="CL115" s="93"/>
      <c r="CM115" s="93"/>
      <c r="CN115" s="93" cm="1">
        <f t="array" ref="CN115">SUMPRODUCT(TRANSPOSE(CN$4:CN$20),$G115:$W115)</f>
        <v>0</v>
      </c>
      <c r="CO115" s="93" cm="1">
        <f t="array" ref="CO115">SUMPRODUCT(TRANSPOSE(CO$4:CO$20),$G115:$W115)</f>
        <v>0</v>
      </c>
      <c r="CP115" s="93" cm="1">
        <f t="array" ref="CP115">SUMPRODUCT(TRANSPOSE(CP$4:CP$20),$G115:$W115)</f>
        <v>0</v>
      </c>
      <c r="CQ115" s="93" cm="1">
        <f t="array" ref="CQ115">SUMPRODUCT(TRANSPOSE(CQ$4:CQ$20),$G115:$W115)</f>
        <v>16</v>
      </c>
      <c r="CR115" s="93" cm="1">
        <f t="array" ref="CR115">SUMPRODUCT(TRANSPOSE(CR$4:CR$20),$G115:$W115)</f>
        <v>16</v>
      </c>
      <c r="CS115" s="93" cm="1">
        <f t="array" ref="CS115">SUMPRODUCT(TRANSPOSE(CS$4:CS$20),$G115:$W115)</f>
        <v>16</v>
      </c>
      <c r="CT115" s="93" cm="1">
        <f t="array" ref="CT115">SUMPRODUCT(TRANSPOSE(CT$4:CT$20),$G115:$W115)</f>
        <v>16</v>
      </c>
      <c r="CU115" s="93" cm="1">
        <f t="array" ref="CU115">SUMPRODUCT(TRANSPOSE(CU$4:CU$20),$G115:$W115)</f>
        <v>16</v>
      </c>
      <c r="CV115" s="93" cm="1">
        <f t="array" ref="CV115">SUMPRODUCT(TRANSPOSE(CV$4:CV$20),$G115:$W115)</f>
        <v>16</v>
      </c>
      <c r="CW115" s="93" cm="1">
        <f t="array" ref="CW115">SUMPRODUCT(TRANSPOSE(CW$4:CW$20),$G115:$W115)</f>
        <v>16</v>
      </c>
      <c r="CX115" s="93" cm="1">
        <f t="array" ref="CX115">SUMPRODUCT(TRANSPOSE(CX$4:CX$20),$G115:$W115)</f>
        <v>16</v>
      </c>
      <c r="CY115" s="93" cm="1">
        <f t="array" ref="CY115">SUMPRODUCT(TRANSPOSE(CY$4:CY$20),$G115:$W115)</f>
        <v>0</v>
      </c>
      <c r="CZ115" s="93" cm="1">
        <f t="array" ref="CZ115">SUMPRODUCT(TRANSPOSE(CZ$4:CZ$20),$G115:$W115)</f>
        <v>0</v>
      </c>
      <c r="DA115" s="93" cm="1">
        <f t="array" ref="DA115">SUMPRODUCT(TRANSPOSE(DA$4:DA$20),$G115:$W115)</f>
        <v>0</v>
      </c>
      <c r="DB115" s="93" cm="1">
        <f t="array" ref="DB115">SUMPRODUCT(TRANSPOSE(DB$4:DB$20),$G115:$W115)</f>
        <v>0</v>
      </c>
      <c r="DC115" s="93" cm="1">
        <f t="array" ref="DC115">SUMPRODUCT(TRANSPOSE(DC$4:DC$20),$G115:$W115)</f>
        <v>0</v>
      </c>
      <c r="DD115" s="93" cm="1">
        <f t="array" ref="DD115">SUMPRODUCT(TRANSPOSE(DD$4:DD$20),$G115:$W115)</f>
        <v>0</v>
      </c>
      <c r="DE115" s="93" cm="1">
        <f t="array" ref="DE115">SUMPRODUCT(TRANSPOSE(DE$4:DE$20),$G115:$W115)</f>
        <v>0</v>
      </c>
      <c r="DF115" s="93" cm="1">
        <f t="array" ref="DF115">SUMPRODUCT(TRANSPOSE(DF$4:DF$20),$G115:$W115)</f>
        <v>0</v>
      </c>
      <c r="DG115" s="93" cm="1">
        <f t="array" ref="DG115">SUMPRODUCT(TRANSPOSE(DG$4:DG$20),$G115:$W115)</f>
        <v>0</v>
      </c>
      <c r="DH115" s="93" cm="1">
        <f t="array" ref="DH115">SUMPRODUCT(TRANSPOSE(DH$4:DH$20),$G115:$W115)</f>
        <v>0</v>
      </c>
      <c r="DI115" s="93" cm="1">
        <f t="array" ref="DI115">SUMPRODUCT(TRANSPOSE(DI$4:DI$20),$G115:$W115)</f>
        <v>0</v>
      </c>
      <c r="DJ115" s="93" cm="1">
        <f t="array" ref="DJ115">SUMPRODUCT(TRANSPOSE(DJ$4:DJ$20),$G115:$W115)</f>
        <v>0</v>
      </c>
      <c r="DK115" s="93" cm="1">
        <f t="array" ref="DK115">SUMPRODUCT(TRANSPOSE(DK$4:DK$20),$G115:$W115)</f>
        <v>0</v>
      </c>
      <c r="DL115" s="93" cm="1">
        <f t="array" ref="DL115">SUMPRODUCT(TRANSPOSE(DL$4:DL$20),$G115:$W115)</f>
        <v>0</v>
      </c>
      <c r="DM115" s="93" cm="1">
        <f t="array" ref="DM115">SUMPRODUCT(TRANSPOSE(DM$4:DM$20),$G115:$W115)</f>
        <v>0</v>
      </c>
      <c r="DN115" s="93" cm="1">
        <f t="array" ref="DN115">SUMPRODUCT(TRANSPOSE(DN$4:DN$20),$G115:$W115)</f>
        <v>0</v>
      </c>
      <c r="DO115" s="93" cm="1">
        <f t="array" ref="DO115">SUMPRODUCT(TRANSPOSE(DO$4:DO$20),$G115:$W115)</f>
        <v>0</v>
      </c>
    </row>
    <row r="116" spans="1:119" x14ac:dyDescent="0.2">
      <c r="A116" s="45">
        <f t="shared" si="27"/>
        <v>95</v>
      </c>
      <c r="B116" s="46" t="s">
        <v>325</v>
      </c>
      <c r="C116" s="45">
        <v>417593375</v>
      </c>
      <c r="D116" s="45" t="s">
        <v>326</v>
      </c>
      <c r="E116" s="45" t="s">
        <v>162</v>
      </c>
      <c r="F116" s="48">
        <v>1</v>
      </c>
      <c r="G116" s="100">
        <v>0</v>
      </c>
      <c r="H116" s="100">
        <v>0</v>
      </c>
      <c r="I116" s="100">
        <v>0</v>
      </c>
      <c r="J116" s="100">
        <v>0</v>
      </c>
      <c r="K116" s="100">
        <v>0</v>
      </c>
      <c r="L116" s="100">
        <v>0</v>
      </c>
      <c r="M116" s="100">
        <v>0</v>
      </c>
      <c r="N116" s="100">
        <v>0</v>
      </c>
      <c r="O116" s="100">
        <v>0</v>
      </c>
      <c r="P116" s="100">
        <v>0</v>
      </c>
      <c r="Q116" s="100">
        <v>0</v>
      </c>
      <c r="R116" s="100">
        <v>0</v>
      </c>
      <c r="S116" s="100">
        <v>0</v>
      </c>
      <c r="T116" s="100">
        <v>0</v>
      </c>
      <c r="U116" s="100">
        <v>0</v>
      </c>
      <c r="V116" s="100">
        <v>0</v>
      </c>
      <c r="W116" s="100">
        <v>6</v>
      </c>
      <c r="X116" s="45" t="s">
        <v>6</v>
      </c>
      <c r="Y116" s="49">
        <v>0</v>
      </c>
      <c r="Z116" s="45">
        <v>0</v>
      </c>
      <c r="AA116" s="45">
        <v>0</v>
      </c>
      <c r="AB116" s="45">
        <v>0</v>
      </c>
      <c r="AC116" s="45">
        <v>0</v>
      </c>
      <c r="AD116" s="45">
        <v>0</v>
      </c>
      <c r="AE116" s="45">
        <v>0</v>
      </c>
      <c r="AF116" s="45">
        <v>0</v>
      </c>
      <c r="AG116" s="45">
        <v>0</v>
      </c>
      <c r="AH116" s="45">
        <v>0</v>
      </c>
      <c r="AI116" s="45">
        <v>0</v>
      </c>
      <c r="AJ116" s="45">
        <v>0</v>
      </c>
      <c r="AK116" s="45">
        <v>0</v>
      </c>
      <c r="AL116" s="45">
        <v>0</v>
      </c>
      <c r="AM116" s="45">
        <v>0</v>
      </c>
      <c r="AN116" s="45">
        <v>0</v>
      </c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93"/>
      <c r="BE116" s="93"/>
      <c r="BF116" s="93"/>
      <c r="BG116" s="93"/>
      <c r="BH116" s="93"/>
      <c r="BI116" s="93"/>
      <c r="BJ116" s="93"/>
      <c r="BK116" s="93">
        <f>SUM($Z116:AD116)-SUM($CM116:CQ116)</f>
        <v>-96</v>
      </c>
      <c r="BL116" s="93">
        <f>SUM($Z116:AE116)-SUM($CM116:CR116)</f>
        <v>-192</v>
      </c>
      <c r="BM116" s="93">
        <f>SUM($Z116:AF116)-SUM($CM116:CS116)</f>
        <v>-288</v>
      </c>
      <c r="BN116" s="93">
        <f>SUM($Z116:AG116)-SUM($CM116:CT116)</f>
        <v>-384</v>
      </c>
      <c r="BO116" s="93">
        <f>SUM($Z116:AH116)-SUM($CM116:CU116)</f>
        <v>-480</v>
      </c>
      <c r="BP116" s="93">
        <f>SUM($Z116:AI116)-SUM($CM116:CV116)</f>
        <v>-576</v>
      </c>
      <c r="BQ116" s="93">
        <f>SUM($Z116:AJ116)-SUM($CM116:CW116)</f>
        <v>-672</v>
      </c>
      <c r="BR116" s="93">
        <f>SUM($Z116:AK116)-SUM($CM116:CX116)</f>
        <v>-768</v>
      </c>
      <c r="BS116" s="93">
        <f>SUM($Z116:AL116)-SUM($CM116:CY116)</f>
        <v>-768</v>
      </c>
      <c r="BT116" s="93">
        <f>SUM($Z116:AM116)-SUM($CM116:CZ116)</f>
        <v>-768</v>
      </c>
      <c r="BU116" s="93">
        <f>SUM($Z116:AN116)-SUM($CM116:DA116)</f>
        <v>-768</v>
      </c>
      <c r="BV116" s="93">
        <f>SUM($Z116:AO116)-SUM($CM116:DB116)</f>
        <v>-768</v>
      </c>
      <c r="BW116" s="93">
        <f>SUM($Z116:AP116)-SUM($CM116:DC116)</f>
        <v>-768</v>
      </c>
      <c r="BX116" s="93">
        <f>SUM($Z116:AQ116)-SUM($CM116:DD116)</f>
        <v>-768</v>
      </c>
      <c r="BY116" s="93">
        <f>SUM($Z116:AR116)-SUM($CM116:DE116)</f>
        <v>-768</v>
      </c>
      <c r="BZ116" s="93">
        <f>SUM($Z116:AS116)-SUM($CM116:DF116)</f>
        <v>-768</v>
      </c>
      <c r="CA116" s="93">
        <f>SUM($Z116:AT116)-SUM($CM116:DG116)</f>
        <v>-768</v>
      </c>
      <c r="CB116" s="93">
        <f>SUM($Z116:AU116)-SUM($CM116:DH116)</f>
        <v>-768</v>
      </c>
      <c r="CC116" s="93">
        <f>SUM($Z116:AV116)-SUM($CM116:DI116)</f>
        <v>-768</v>
      </c>
      <c r="CD116" s="93">
        <f>SUM($Z116:AW116)-SUM($CM116:DJ116)</f>
        <v>-768</v>
      </c>
      <c r="CE116" s="93">
        <f>SUM($Z116:AX116)-SUM($CM116:DK116)</f>
        <v>-768</v>
      </c>
      <c r="CF116" s="93">
        <f>SUM($Z116:AY116)-SUM($CM116:DL116)</f>
        <v>-768</v>
      </c>
      <c r="CG116" s="93">
        <f>SUM($Z116:AZ116)-SUM($CM116:DM116)</f>
        <v>-768</v>
      </c>
      <c r="CH116" s="93">
        <f>SUM($Z116:BA116)-SUM($CM116:DN116)</f>
        <v>-768</v>
      </c>
      <c r="CI116" s="93">
        <f>SUM($Z116:BB116)-SUM($CM116:DO116)</f>
        <v>-768</v>
      </c>
      <c r="CJ116" s="93"/>
      <c r="CK116" s="93"/>
      <c r="CL116" s="93"/>
      <c r="CM116" s="93"/>
      <c r="CN116" s="93" cm="1">
        <f t="array" ref="CN116">SUMPRODUCT(TRANSPOSE(CN$4:CN$20),$G116:$W116)</f>
        <v>0</v>
      </c>
      <c r="CO116" s="93" cm="1">
        <f t="array" ref="CO116">SUMPRODUCT(TRANSPOSE(CO$4:CO$20),$G116:$W116)</f>
        <v>0</v>
      </c>
      <c r="CP116" s="93" cm="1">
        <f t="array" ref="CP116">SUMPRODUCT(TRANSPOSE(CP$4:CP$20),$G116:$W116)</f>
        <v>0</v>
      </c>
      <c r="CQ116" s="93" cm="1">
        <f t="array" ref="CQ116">SUMPRODUCT(TRANSPOSE(CQ$4:CQ$20),$G116:$W116)</f>
        <v>96</v>
      </c>
      <c r="CR116" s="93" cm="1">
        <f t="array" ref="CR116">SUMPRODUCT(TRANSPOSE(CR$4:CR$20),$G116:$W116)</f>
        <v>96</v>
      </c>
      <c r="CS116" s="93" cm="1">
        <f t="array" ref="CS116">SUMPRODUCT(TRANSPOSE(CS$4:CS$20),$G116:$W116)</f>
        <v>96</v>
      </c>
      <c r="CT116" s="93" cm="1">
        <f t="array" ref="CT116">SUMPRODUCT(TRANSPOSE(CT$4:CT$20),$G116:$W116)</f>
        <v>96</v>
      </c>
      <c r="CU116" s="93" cm="1">
        <f t="array" ref="CU116">SUMPRODUCT(TRANSPOSE(CU$4:CU$20),$G116:$W116)</f>
        <v>96</v>
      </c>
      <c r="CV116" s="93" cm="1">
        <f t="array" ref="CV116">SUMPRODUCT(TRANSPOSE(CV$4:CV$20),$G116:$W116)</f>
        <v>96</v>
      </c>
      <c r="CW116" s="93" cm="1">
        <f t="array" ref="CW116">SUMPRODUCT(TRANSPOSE(CW$4:CW$20),$G116:$W116)</f>
        <v>96</v>
      </c>
      <c r="CX116" s="93" cm="1">
        <f t="array" ref="CX116">SUMPRODUCT(TRANSPOSE(CX$4:CX$20),$G116:$W116)</f>
        <v>96</v>
      </c>
      <c r="CY116" s="93" cm="1">
        <f t="array" ref="CY116">SUMPRODUCT(TRANSPOSE(CY$4:CY$20),$G116:$W116)</f>
        <v>0</v>
      </c>
      <c r="CZ116" s="93" cm="1">
        <f t="array" ref="CZ116">SUMPRODUCT(TRANSPOSE(CZ$4:CZ$20),$G116:$W116)</f>
        <v>0</v>
      </c>
      <c r="DA116" s="93" cm="1">
        <f t="array" ref="DA116">SUMPRODUCT(TRANSPOSE(DA$4:DA$20),$G116:$W116)</f>
        <v>0</v>
      </c>
      <c r="DB116" s="93" cm="1">
        <f t="array" ref="DB116">SUMPRODUCT(TRANSPOSE(DB$4:DB$20),$G116:$W116)</f>
        <v>0</v>
      </c>
      <c r="DC116" s="93" cm="1">
        <f t="array" ref="DC116">SUMPRODUCT(TRANSPOSE(DC$4:DC$20),$G116:$W116)</f>
        <v>0</v>
      </c>
      <c r="DD116" s="93" cm="1">
        <f t="array" ref="DD116">SUMPRODUCT(TRANSPOSE(DD$4:DD$20),$G116:$W116)</f>
        <v>0</v>
      </c>
      <c r="DE116" s="93" cm="1">
        <f t="array" ref="DE116">SUMPRODUCT(TRANSPOSE(DE$4:DE$20),$G116:$W116)</f>
        <v>0</v>
      </c>
      <c r="DF116" s="93" cm="1">
        <f t="array" ref="DF116">SUMPRODUCT(TRANSPOSE(DF$4:DF$20),$G116:$W116)</f>
        <v>0</v>
      </c>
      <c r="DG116" s="93" cm="1">
        <f t="array" ref="DG116">SUMPRODUCT(TRANSPOSE(DG$4:DG$20),$G116:$W116)</f>
        <v>0</v>
      </c>
      <c r="DH116" s="93" cm="1">
        <f t="array" ref="DH116">SUMPRODUCT(TRANSPOSE(DH$4:DH$20),$G116:$W116)</f>
        <v>0</v>
      </c>
      <c r="DI116" s="93" cm="1">
        <f t="array" ref="DI116">SUMPRODUCT(TRANSPOSE(DI$4:DI$20),$G116:$W116)</f>
        <v>0</v>
      </c>
      <c r="DJ116" s="93" cm="1">
        <f t="array" ref="DJ116">SUMPRODUCT(TRANSPOSE(DJ$4:DJ$20),$G116:$W116)</f>
        <v>0</v>
      </c>
      <c r="DK116" s="93" cm="1">
        <f t="array" ref="DK116">SUMPRODUCT(TRANSPOSE(DK$4:DK$20),$G116:$W116)</f>
        <v>0</v>
      </c>
      <c r="DL116" s="93" cm="1">
        <f t="array" ref="DL116">SUMPRODUCT(TRANSPOSE(DL$4:DL$20),$G116:$W116)</f>
        <v>0</v>
      </c>
      <c r="DM116" s="93" cm="1">
        <f t="array" ref="DM116">SUMPRODUCT(TRANSPOSE(DM$4:DM$20),$G116:$W116)</f>
        <v>0</v>
      </c>
      <c r="DN116" s="93" cm="1">
        <f t="array" ref="DN116">SUMPRODUCT(TRANSPOSE(DN$4:DN$20),$G116:$W116)</f>
        <v>0</v>
      </c>
      <c r="DO116" s="93" cm="1">
        <f t="array" ref="DO116">SUMPRODUCT(TRANSPOSE(DO$4:DO$20),$G116:$W116)</f>
        <v>0</v>
      </c>
    </row>
    <row r="117" spans="1:119" x14ac:dyDescent="0.2">
      <c r="A117" s="45">
        <f t="shared" si="27"/>
        <v>96</v>
      </c>
      <c r="B117" s="46" t="s">
        <v>327</v>
      </c>
      <c r="C117" s="45">
        <v>417593374</v>
      </c>
      <c r="D117" s="45" t="s">
        <v>328</v>
      </c>
      <c r="E117" s="45" t="s">
        <v>162</v>
      </c>
      <c r="F117" s="48">
        <v>1</v>
      </c>
      <c r="G117" s="100">
        <v>0</v>
      </c>
      <c r="H117" s="100">
        <v>0</v>
      </c>
      <c r="I117" s="100">
        <v>0</v>
      </c>
      <c r="J117" s="100">
        <v>0</v>
      </c>
      <c r="K117" s="100">
        <v>0</v>
      </c>
      <c r="L117" s="100">
        <v>0</v>
      </c>
      <c r="M117" s="100">
        <v>0</v>
      </c>
      <c r="N117" s="100">
        <v>0</v>
      </c>
      <c r="O117" s="100">
        <v>0</v>
      </c>
      <c r="P117" s="100">
        <v>0</v>
      </c>
      <c r="Q117" s="100">
        <v>0</v>
      </c>
      <c r="R117" s="100">
        <v>0</v>
      </c>
      <c r="S117" s="100">
        <v>0</v>
      </c>
      <c r="T117" s="100">
        <v>0</v>
      </c>
      <c r="U117" s="100">
        <v>0</v>
      </c>
      <c r="V117" s="100">
        <v>0</v>
      </c>
      <c r="W117" s="100">
        <v>12</v>
      </c>
      <c r="X117" s="45" t="s">
        <v>6</v>
      </c>
      <c r="Y117" s="49">
        <v>0</v>
      </c>
      <c r="Z117" s="45">
        <v>0</v>
      </c>
      <c r="AA117" s="45">
        <v>0</v>
      </c>
      <c r="AB117" s="45">
        <v>0</v>
      </c>
      <c r="AC117" s="45">
        <v>0</v>
      </c>
      <c r="AD117" s="45">
        <v>0</v>
      </c>
      <c r="AE117" s="45">
        <v>0</v>
      </c>
      <c r="AF117" s="45">
        <v>0</v>
      </c>
      <c r="AG117" s="45">
        <v>0</v>
      </c>
      <c r="AH117" s="45">
        <v>0</v>
      </c>
      <c r="AI117" s="45">
        <v>0</v>
      </c>
      <c r="AJ117" s="45">
        <v>0</v>
      </c>
      <c r="AK117" s="45">
        <v>0</v>
      </c>
      <c r="AL117" s="45">
        <v>0</v>
      </c>
      <c r="AM117" s="45">
        <v>0</v>
      </c>
      <c r="AN117" s="45">
        <v>0</v>
      </c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93"/>
      <c r="BE117" s="93"/>
      <c r="BF117" s="93"/>
      <c r="BG117" s="93"/>
      <c r="BH117" s="93"/>
      <c r="BI117" s="93"/>
      <c r="BJ117" s="93"/>
      <c r="BK117" s="93">
        <f>SUM($Z117:AD117)-SUM($CM117:CQ117)</f>
        <v>-192</v>
      </c>
      <c r="BL117" s="93">
        <f>SUM($Z117:AE117)-SUM($CM117:CR117)</f>
        <v>-384</v>
      </c>
      <c r="BM117" s="93">
        <f>SUM($Z117:AF117)-SUM($CM117:CS117)</f>
        <v>-576</v>
      </c>
      <c r="BN117" s="93">
        <f>SUM($Z117:AG117)-SUM($CM117:CT117)</f>
        <v>-768</v>
      </c>
      <c r="BO117" s="93">
        <f>SUM($Z117:AH117)-SUM($CM117:CU117)</f>
        <v>-960</v>
      </c>
      <c r="BP117" s="93">
        <f>SUM($Z117:AI117)-SUM($CM117:CV117)</f>
        <v>-1152</v>
      </c>
      <c r="BQ117" s="93">
        <f>SUM($Z117:AJ117)-SUM($CM117:CW117)</f>
        <v>-1344</v>
      </c>
      <c r="BR117" s="93">
        <f>SUM($Z117:AK117)-SUM($CM117:CX117)</f>
        <v>-1536</v>
      </c>
      <c r="BS117" s="93">
        <f>SUM($Z117:AL117)-SUM($CM117:CY117)</f>
        <v>-1536</v>
      </c>
      <c r="BT117" s="93">
        <f>SUM($Z117:AM117)-SUM($CM117:CZ117)</f>
        <v>-1536</v>
      </c>
      <c r="BU117" s="93">
        <f>SUM($Z117:AN117)-SUM($CM117:DA117)</f>
        <v>-1536</v>
      </c>
      <c r="BV117" s="93">
        <f>SUM($Z117:AO117)-SUM($CM117:DB117)</f>
        <v>-1536</v>
      </c>
      <c r="BW117" s="93">
        <f>SUM($Z117:AP117)-SUM($CM117:DC117)</f>
        <v>-1536</v>
      </c>
      <c r="BX117" s="93">
        <f>SUM($Z117:AQ117)-SUM($CM117:DD117)</f>
        <v>-1536</v>
      </c>
      <c r="BY117" s="93">
        <f>SUM($Z117:AR117)-SUM($CM117:DE117)</f>
        <v>-1536</v>
      </c>
      <c r="BZ117" s="93">
        <f>SUM($Z117:AS117)-SUM($CM117:DF117)</f>
        <v>-1536</v>
      </c>
      <c r="CA117" s="93">
        <f>SUM($Z117:AT117)-SUM($CM117:DG117)</f>
        <v>-1536</v>
      </c>
      <c r="CB117" s="93">
        <f>SUM($Z117:AU117)-SUM($CM117:DH117)</f>
        <v>-1536</v>
      </c>
      <c r="CC117" s="93">
        <f>SUM($Z117:AV117)-SUM($CM117:DI117)</f>
        <v>-1536</v>
      </c>
      <c r="CD117" s="93">
        <f>SUM($Z117:AW117)-SUM($CM117:DJ117)</f>
        <v>-1536</v>
      </c>
      <c r="CE117" s="93">
        <f>SUM($Z117:AX117)-SUM($CM117:DK117)</f>
        <v>-1536</v>
      </c>
      <c r="CF117" s="93">
        <f>SUM($Z117:AY117)-SUM($CM117:DL117)</f>
        <v>-1536</v>
      </c>
      <c r="CG117" s="93">
        <f>SUM($Z117:AZ117)-SUM($CM117:DM117)</f>
        <v>-1536</v>
      </c>
      <c r="CH117" s="93">
        <f>SUM($Z117:BA117)-SUM($CM117:DN117)</f>
        <v>-1536</v>
      </c>
      <c r="CI117" s="93">
        <f>SUM($Z117:BB117)-SUM($CM117:DO117)</f>
        <v>-1536</v>
      </c>
      <c r="CJ117" s="93"/>
      <c r="CK117" s="93"/>
      <c r="CL117" s="93"/>
      <c r="CM117" s="93"/>
      <c r="CN117" s="93" cm="1">
        <f t="array" ref="CN117">SUMPRODUCT(TRANSPOSE(CN$4:CN$20),$G117:$W117)</f>
        <v>0</v>
      </c>
      <c r="CO117" s="93" cm="1">
        <f t="array" ref="CO117">SUMPRODUCT(TRANSPOSE(CO$4:CO$20),$G117:$W117)</f>
        <v>0</v>
      </c>
      <c r="CP117" s="93" cm="1">
        <f t="array" ref="CP117">SUMPRODUCT(TRANSPOSE(CP$4:CP$20),$G117:$W117)</f>
        <v>0</v>
      </c>
      <c r="CQ117" s="93" cm="1">
        <f t="array" ref="CQ117">SUMPRODUCT(TRANSPOSE(CQ$4:CQ$20),$G117:$W117)</f>
        <v>192</v>
      </c>
      <c r="CR117" s="93" cm="1">
        <f t="array" ref="CR117">SUMPRODUCT(TRANSPOSE(CR$4:CR$20),$G117:$W117)</f>
        <v>192</v>
      </c>
      <c r="CS117" s="93" cm="1">
        <f t="array" ref="CS117">SUMPRODUCT(TRANSPOSE(CS$4:CS$20),$G117:$W117)</f>
        <v>192</v>
      </c>
      <c r="CT117" s="93" cm="1">
        <f t="array" ref="CT117">SUMPRODUCT(TRANSPOSE(CT$4:CT$20),$G117:$W117)</f>
        <v>192</v>
      </c>
      <c r="CU117" s="93" cm="1">
        <f t="array" ref="CU117">SUMPRODUCT(TRANSPOSE(CU$4:CU$20),$G117:$W117)</f>
        <v>192</v>
      </c>
      <c r="CV117" s="93" cm="1">
        <f t="array" ref="CV117">SUMPRODUCT(TRANSPOSE(CV$4:CV$20),$G117:$W117)</f>
        <v>192</v>
      </c>
      <c r="CW117" s="93" cm="1">
        <f t="array" ref="CW117">SUMPRODUCT(TRANSPOSE(CW$4:CW$20),$G117:$W117)</f>
        <v>192</v>
      </c>
      <c r="CX117" s="93" cm="1">
        <f t="array" ref="CX117">SUMPRODUCT(TRANSPOSE(CX$4:CX$20),$G117:$W117)</f>
        <v>192</v>
      </c>
      <c r="CY117" s="93" cm="1">
        <f t="array" ref="CY117">SUMPRODUCT(TRANSPOSE(CY$4:CY$20),$G117:$W117)</f>
        <v>0</v>
      </c>
      <c r="CZ117" s="93" cm="1">
        <f t="array" ref="CZ117">SUMPRODUCT(TRANSPOSE(CZ$4:CZ$20),$G117:$W117)</f>
        <v>0</v>
      </c>
      <c r="DA117" s="93" cm="1">
        <f t="array" ref="DA117">SUMPRODUCT(TRANSPOSE(DA$4:DA$20),$G117:$W117)</f>
        <v>0</v>
      </c>
      <c r="DB117" s="93" cm="1">
        <f t="array" ref="DB117">SUMPRODUCT(TRANSPOSE(DB$4:DB$20),$G117:$W117)</f>
        <v>0</v>
      </c>
      <c r="DC117" s="93" cm="1">
        <f t="array" ref="DC117">SUMPRODUCT(TRANSPOSE(DC$4:DC$20),$G117:$W117)</f>
        <v>0</v>
      </c>
      <c r="DD117" s="93" cm="1">
        <f t="array" ref="DD117">SUMPRODUCT(TRANSPOSE(DD$4:DD$20),$G117:$W117)</f>
        <v>0</v>
      </c>
      <c r="DE117" s="93" cm="1">
        <f t="array" ref="DE117">SUMPRODUCT(TRANSPOSE(DE$4:DE$20),$G117:$W117)</f>
        <v>0</v>
      </c>
      <c r="DF117" s="93" cm="1">
        <f t="array" ref="DF117">SUMPRODUCT(TRANSPOSE(DF$4:DF$20),$G117:$W117)</f>
        <v>0</v>
      </c>
      <c r="DG117" s="93" cm="1">
        <f t="array" ref="DG117">SUMPRODUCT(TRANSPOSE(DG$4:DG$20),$G117:$W117)</f>
        <v>0</v>
      </c>
      <c r="DH117" s="93" cm="1">
        <f t="array" ref="DH117">SUMPRODUCT(TRANSPOSE(DH$4:DH$20),$G117:$W117)</f>
        <v>0</v>
      </c>
      <c r="DI117" s="93" cm="1">
        <f t="array" ref="DI117">SUMPRODUCT(TRANSPOSE(DI$4:DI$20),$G117:$W117)</f>
        <v>0</v>
      </c>
      <c r="DJ117" s="93" cm="1">
        <f t="array" ref="DJ117">SUMPRODUCT(TRANSPOSE(DJ$4:DJ$20),$G117:$W117)</f>
        <v>0</v>
      </c>
      <c r="DK117" s="93" cm="1">
        <f t="array" ref="DK117">SUMPRODUCT(TRANSPOSE(DK$4:DK$20),$G117:$W117)</f>
        <v>0</v>
      </c>
      <c r="DL117" s="93" cm="1">
        <f t="array" ref="DL117">SUMPRODUCT(TRANSPOSE(DL$4:DL$20),$G117:$W117)</f>
        <v>0</v>
      </c>
      <c r="DM117" s="93" cm="1">
        <f t="array" ref="DM117">SUMPRODUCT(TRANSPOSE(DM$4:DM$20),$G117:$W117)</f>
        <v>0</v>
      </c>
      <c r="DN117" s="93" cm="1">
        <f t="array" ref="DN117">SUMPRODUCT(TRANSPOSE(DN$4:DN$20),$G117:$W117)</f>
        <v>0</v>
      </c>
      <c r="DO117" s="93" cm="1">
        <f t="array" ref="DO117">SUMPRODUCT(TRANSPOSE(DO$4:DO$20),$G117:$W117)</f>
        <v>0</v>
      </c>
    </row>
    <row r="118" spans="1:119" x14ac:dyDescent="0.2">
      <c r="A118" s="45">
        <f t="shared" si="27"/>
        <v>97</v>
      </c>
      <c r="B118" s="46" t="s">
        <v>329</v>
      </c>
      <c r="C118" s="45">
        <v>417593377</v>
      </c>
      <c r="D118" s="45" t="s">
        <v>330</v>
      </c>
      <c r="E118" s="45" t="s">
        <v>162</v>
      </c>
      <c r="F118" s="48">
        <v>1</v>
      </c>
      <c r="G118" s="100">
        <v>0</v>
      </c>
      <c r="H118" s="100">
        <v>0</v>
      </c>
      <c r="I118" s="100">
        <v>0</v>
      </c>
      <c r="J118" s="100">
        <v>0</v>
      </c>
      <c r="K118" s="100">
        <v>0</v>
      </c>
      <c r="L118" s="100">
        <v>0</v>
      </c>
      <c r="M118" s="100">
        <v>0</v>
      </c>
      <c r="N118" s="100">
        <v>0</v>
      </c>
      <c r="O118" s="100">
        <v>0</v>
      </c>
      <c r="P118" s="100">
        <v>0</v>
      </c>
      <c r="Q118" s="100">
        <v>0</v>
      </c>
      <c r="R118" s="100">
        <v>0</v>
      </c>
      <c r="S118" s="100">
        <v>0</v>
      </c>
      <c r="T118" s="100">
        <v>0</v>
      </c>
      <c r="U118" s="100">
        <v>0</v>
      </c>
      <c r="V118" s="100">
        <v>0</v>
      </c>
      <c r="W118" s="100">
        <v>12</v>
      </c>
      <c r="X118" s="45" t="s">
        <v>6</v>
      </c>
      <c r="Y118" s="49">
        <v>0</v>
      </c>
      <c r="Z118" s="45">
        <v>0</v>
      </c>
      <c r="AA118" s="45">
        <v>0</v>
      </c>
      <c r="AB118" s="45">
        <v>0</v>
      </c>
      <c r="AC118" s="45">
        <v>0</v>
      </c>
      <c r="AD118" s="45">
        <v>0</v>
      </c>
      <c r="AE118" s="45">
        <v>0</v>
      </c>
      <c r="AF118" s="45">
        <v>0</v>
      </c>
      <c r="AG118" s="45">
        <v>0</v>
      </c>
      <c r="AH118" s="45">
        <v>0</v>
      </c>
      <c r="AI118" s="45">
        <v>0</v>
      </c>
      <c r="AJ118" s="45">
        <v>0</v>
      </c>
      <c r="AK118" s="45">
        <v>0</v>
      </c>
      <c r="AL118" s="45">
        <v>0</v>
      </c>
      <c r="AM118" s="45">
        <v>0</v>
      </c>
      <c r="AN118" s="45">
        <v>0</v>
      </c>
      <c r="AO118" s="45"/>
      <c r="AP118" s="45"/>
      <c r="AQ118" s="45"/>
      <c r="AR118" s="45"/>
      <c r="AS118" s="45"/>
      <c r="AT118" s="45"/>
      <c r="AU118" s="45"/>
      <c r="AV118" s="45"/>
      <c r="AW118" s="45"/>
      <c r="AX118" s="45"/>
      <c r="AY118" s="45"/>
      <c r="AZ118" s="45"/>
      <c r="BA118" s="45"/>
      <c r="BB118" s="45"/>
      <c r="BC118" s="45"/>
      <c r="BD118" s="93"/>
      <c r="BE118" s="93"/>
      <c r="BF118" s="93"/>
      <c r="BG118" s="93"/>
      <c r="BH118" s="93"/>
      <c r="BI118" s="93"/>
      <c r="BJ118" s="93"/>
      <c r="BK118" s="93">
        <f>SUM($Z118:AD118)-SUM($CM118:CQ118)</f>
        <v>-192</v>
      </c>
      <c r="BL118" s="93">
        <f>SUM($Z118:AE118)-SUM($CM118:CR118)</f>
        <v>-384</v>
      </c>
      <c r="BM118" s="93">
        <f>SUM($Z118:AF118)-SUM($CM118:CS118)</f>
        <v>-576</v>
      </c>
      <c r="BN118" s="93">
        <f>SUM($Z118:AG118)-SUM($CM118:CT118)</f>
        <v>-768</v>
      </c>
      <c r="BO118" s="93">
        <f>SUM($Z118:AH118)-SUM($CM118:CU118)</f>
        <v>-960</v>
      </c>
      <c r="BP118" s="93">
        <f>SUM($Z118:AI118)-SUM($CM118:CV118)</f>
        <v>-1152</v>
      </c>
      <c r="BQ118" s="93">
        <f>SUM($Z118:AJ118)-SUM($CM118:CW118)</f>
        <v>-1344</v>
      </c>
      <c r="BR118" s="93">
        <f>SUM($Z118:AK118)-SUM($CM118:CX118)</f>
        <v>-1536</v>
      </c>
      <c r="BS118" s="93">
        <f>SUM($Z118:AL118)-SUM($CM118:CY118)</f>
        <v>-1536</v>
      </c>
      <c r="BT118" s="93">
        <f>SUM($Z118:AM118)-SUM($CM118:CZ118)</f>
        <v>-1536</v>
      </c>
      <c r="BU118" s="93">
        <f>SUM($Z118:AN118)-SUM($CM118:DA118)</f>
        <v>-1536</v>
      </c>
      <c r="BV118" s="93">
        <f>SUM($Z118:AO118)-SUM($CM118:DB118)</f>
        <v>-1536</v>
      </c>
      <c r="BW118" s="93">
        <f>SUM($Z118:AP118)-SUM($CM118:DC118)</f>
        <v>-1536</v>
      </c>
      <c r="BX118" s="93">
        <f>SUM($Z118:AQ118)-SUM($CM118:DD118)</f>
        <v>-1536</v>
      </c>
      <c r="BY118" s="93">
        <f>SUM($Z118:AR118)-SUM($CM118:DE118)</f>
        <v>-1536</v>
      </c>
      <c r="BZ118" s="93">
        <f>SUM($Z118:AS118)-SUM($CM118:DF118)</f>
        <v>-1536</v>
      </c>
      <c r="CA118" s="93">
        <f>SUM($Z118:AT118)-SUM($CM118:DG118)</f>
        <v>-1536</v>
      </c>
      <c r="CB118" s="93">
        <f>SUM($Z118:AU118)-SUM($CM118:DH118)</f>
        <v>-1536</v>
      </c>
      <c r="CC118" s="93">
        <f>SUM($Z118:AV118)-SUM($CM118:DI118)</f>
        <v>-1536</v>
      </c>
      <c r="CD118" s="93">
        <f>SUM($Z118:AW118)-SUM($CM118:DJ118)</f>
        <v>-1536</v>
      </c>
      <c r="CE118" s="93">
        <f>SUM($Z118:AX118)-SUM($CM118:DK118)</f>
        <v>-1536</v>
      </c>
      <c r="CF118" s="93">
        <f>SUM($Z118:AY118)-SUM($CM118:DL118)</f>
        <v>-1536</v>
      </c>
      <c r="CG118" s="93">
        <f>SUM($Z118:AZ118)-SUM($CM118:DM118)</f>
        <v>-1536</v>
      </c>
      <c r="CH118" s="93">
        <f>SUM($Z118:BA118)-SUM($CM118:DN118)</f>
        <v>-1536</v>
      </c>
      <c r="CI118" s="93">
        <f>SUM($Z118:BB118)-SUM($CM118:DO118)</f>
        <v>-1536</v>
      </c>
      <c r="CJ118" s="93"/>
      <c r="CK118" s="93"/>
      <c r="CL118" s="93"/>
      <c r="CM118" s="93"/>
      <c r="CN118" s="93" cm="1">
        <f t="array" ref="CN118">SUMPRODUCT(TRANSPOSE(CN$4:CN$20),$G118:$W118)</f>
        <v>0</v>
      </c>
      <c r="CO118" s="93" cm="1">
        <f t="array" ref="CO118">SUMPRODUCT(TRANSPOSE(CO$4:CO$20),$G118:$W118)</f>
        <v>0</v>
      </c>
      <c r="CP118" s="93" cm="1">
        <f t="array" ref="CP118">SUMPRODUCT(TRANSPOSE(CP$4:CP$20),$G118:$W118)</f>
        <v>0</v>
      </c>
      <c r="CQ118" s="93" cm="1">
        <f t="array" ref="CQ118">SUMPRODUCT(TRANSPOSE(CQ$4:CQ$20),$G118:$W118)</f>
        <v>192</v>
      </c>
      <c r="CR118" s="93" cm="1">
        <f t="array" ref="CR118">SUMPRODUCT(TRANSPOSE(CR$4:CR$20),$G118:$W118)</f>
        <v>192</v>
      </c>
      <c r="CS118" s="93" cm="1">
        <f t="array" ref="CS118">SUMPRODUCT(TRANSPOSE(CS$4:CS$20),$G118:$W118)</f>
        <v>192</v>
      </c>
      <c r="CT118" s="93" cm="1">
        <f t="array" ref="CT118">SUMPRODUCT(TRANSPOSE(CT$4:CT$20),$G118:$W118)</f>
        <v>192</v>
      </c>
      <c r="CU118" s="93" cm="1">
        <f t="array" ref="CU118">SUMPRODUCT(TRANSPOSE(CU$4:CU$20),$G118:$W118)</f>
        <v>192</v>
      </c>
      <c r="CV118" s="93" cm="1">
        <f t="array" ref="CV118">SUMPRODUCT(TRANSPOSE(CV$4:CV$20),$G118:$W118)</f>
        <v>192</v>
      </c>
      <c r="CW118" s="93" cm="1">
        <f t="array" ref="CW118">SUMPRODUCT(TRANSPOSE(CW$4:CW$20),$G118:$W118)</f>
        <v>192</v>
      </c>
      <c r="CX118" s="93" cm="1">
        <f t="array" ref="CX118">SUMPRODUCT(TRANSPOSE(CX$4:CX$20),$G118:$W118)</f>
        <v>192</v>
      </c>
      <c r="CY118" s="93" cm="1">
        <f t="array" ref="CY118">SUMPRODUCT(TRANSPOSE(CY$4:CY$20),$G118:$W118)</f>
        <v>0</v>
      </c>
      <c r="CZ118" s="93" cm="1">
        <f t="array" ref="CZ118">SUMPRODUCT(TRANSPOSE(CZ$4:CZ$20),$G118:$W118)</f>
        <v>0</v>
      </c>
      <c r="DA118" s="93" cm="1">
        <f t="array" ref="DA118">SUMPRODUCT(TRANSPOSE(DA$4:DA$20),$G118:$W118)</f>
        <v>0</v>
      </c>
      <c r="DB118" s="93" cm="1">
        <f t="array" ref="DB118">SUMPRODUCT(TRANSPOSE(DB$4:DB$20),$G118:$W118)</f>
        <v>0</v>
      </c>
      <c r="DC118" s="93" cm="1">
        <f t="array" ref="DC118">SUMPRODUCT(TRANSPOSE(DC$4:DC$20),$G118:$W118)</f>
        <v>0</v>
      </c>
      <c r="DD118" s="93" cm="1">
        <f t="array" ref="DD118">SUMPRODUCT(TRANSPOSE(DD$4:DD$20),$G118:$W118)</f>
        <v>0</v>
      </c>
      <c r="DE118" s="93" cm="1">
        <f t="array" ref="DE118">SUMPRODUCT(TRANSPOSE(DE$4:DE$20),$G118:$W118)</f>
        <v>0</v>
      </c>
      <c r="DF118" s="93" cm="1">
        <f t="array" ref="DF118">SUMPRODUCT(TRANSPOSE(DF$4:DF$20),$G118:$W118)</f>
        <v>0</v>
      </c>
      <c r="DG118" s="93" cm="1">
        <f t="array" ref="DG118">SUMPRODUCT(TRANSPOSE(DG$4:DG$20),$G118:$W118)</f>
        <v>0</v>
      </c>
      <c r="DH118" s="93" cm="1">
        <f t="array" ref="DH118">SUMPRODUCT(TRANSPOSE(DH$4:DH$20),$G118:$W118)</f>
        <v>0</v>
      </c>
      <c r="DI118" s="93" cm="1">
        <f t="array" ref="DI118">SUMPRODUCT(TRANSPOSE(DI$4:DI$20),$G118:$W118)</f>
        <v>0</v>
      </c>
      <c r="DJ118" s="93" cm="1">
        <f t="array" ref="DJ118">SUMPRODUCT(TRANSPOSE(DJ$4:DJ$20),$G118:$W118)</f>
        <v>0</v>
      </c>
      <c r="DK118" s="93" cm="1">
        <f t="array" ref="DK118">SUMPRODUCT(TRANSPOSE(DK$4:DK$20),$G118:$W118)</f>
        <v>0</v>
      </c>
      <c r="DL118" s="93" cm="1">
        <f t="array" ref="DL118">SUMPRODUCT(TRANSPOSE(DL$4:DL$20),$G118:$W118)</f>
        <v>0</v>
      </c>
      <c r="DM118" s="93" cm="1">
        <f t="array" ref="DM118">SUMPRODUCT(TRANSPOSE(DM$4:DM$20),$G118:$W118)</f>
        <v>0</v>
      </c>
      <c r="DN118" s="93" cm="1">
        <f t="array" ref="DN118">SUMPRODUCT(TRANSPOSE(DN$4:DN$20),$G118:$W118)</f>
        <v>0</v>
      </c>
      <c r="DO118" s="93" cm="1">
        <f t="array" ref="DO118">SUMPRODUCT(TRANSPOSE(DO$4:DO$20),$G118:$W118)</f>
        <v>0</v>
      </c>
    </row>
    <row r="119" spans="1:119" x14ac:dyDescent="0.2">
      <c r="A119" s="45">
        <f t="shared" si="27"/>
        <v>98</v>
      </c>
      <c r="B119" s="46" t="s">
        <v>331</v>
      </c>
      <c r="C119" s="45">
        <v>417593380</v>
      </c>
      <c r="D119" s="45" t="s">
        <v>215</v>
      </c>
      <c r="E119" s="45" t="s">
        <v>162</v>
      </c>
      <c r="F119" s="48">
        <v>1</v>
      </c>
      <c r="G119" s="100">
        <v>0</v>
      </c>
      <c r="H119" s="100">
        <v>0</v>
      </c>
      <c r="I119" s="100">
        <v>0</v>
      </c>
      <c r="J119" s="100">
        <v>0</v>
      </c>
      <c r="K119" s="100">
        <v>0</v>
      </c>
      <c r="L119" s="100">
        <v>0</v>
      </c>
      <c r="M119" s="100">
        <v>0</v>
      </c>
      <c r="N119" s="100">
        <v>0</v>
      </c>
      <c r="O119" s="100">
        <v>0</v>
      </c>
      <c r="P119" s="100">
        <v>0</v>
      </c>
      <c r="Q119" s="100">
        <v>0</v>
      </c>
      <c r="R119" s="100">
        <v>0</v>
      </c>
      <c r="S119" s="100">
        <v>0</v>
      </c>
      <c r="T119" s="100">
        <v>0</v>
      </c>
      <c r="U119" s="100">
        <v>0</v>
      </c>
      <c r="V119" s="100">
        <v>0</v>
      </c>
      <c r="W119" s="100">
        <v>2</v>
      </c>
      <c r="X119" s="45" t="s">
        <v>6</v>
      </c>
      <c r="Y119" s="49">
        <v>0</v>
      </c>
      <c r="Z119" s="45">
        <v>0</v>
      </c>
      <c r="AA119" s="45">
        <v>0</v>
      </c>
      <c r="AB119" s="45">
        <v>0</v>
      </c>
      <c r="AC119" s="45">
        <v>0</v>
      </c>
      <c r="AD119" s="45">
        <v>0</v>
      </c>
      <c r="AE119" s="45">
        <v>0</v>
      </c>
      <c r="AF119" s="45">
        <v>0</v>
      </c>
      <c r="AG119" s="45">
        <v>0</v>
      </c>
      <c r="AH119" s="45">
        <v>0</v>
      </c>
      <c r="AI119" s="45">
        <v>0</v>
      </c>
      <c r="AJ119" s="45">
        <v>0</v>
      </c>
      <c r="AK119" s="45">
        <v>0</v>
      </c>
      <c r="AL119" s="45">
        <v>0</v>
      </c>
      <c r="AM119" s="45">
        <v>0</v>
      </c>
      <c r="AN119" s="45">
        <v>0</v>
      </c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93"/>
      <c r="BE119" s="93"/>
      <c r="BF119" s="93"/>
      <c r="BG119" s="93"/>
      <c r="BH119" s="93"/>
      <c r="BI119" s="93"/>
      <c r="BJ119" s="93"/>
      <c r="BK119" s="93">
        <f>SUM($Z119:AD119)-SUM($CM119:CQ119)</f>
        <v>-32</v>
      </c>
      <c r="BL119" s="93">
        <f>SUM($Z119:AE119)-SUM($CM119:CR119)</f>
        <v>-64</v>
      </c>
      <c r="BM119" s="93">
        <f>SUM($Z119:AF119)-SUM($CM119:CS119)</f>
        <v>-96</v>
      </c>
      <c r="BN119" s="93">
        <f>SUM($Z119:AG119)-SUM($CM119:CT119)</f>
        <v>-128</v>
      </c>
      <c r="BO119" s="93">
        <f>SUM($Z119:AH119)-SUM($CM119:CU119)</f>
        <v>-160</v>
      </c>
      <c r="BP119" s="93">
        <f>SUM($Z119:AI119)-SUM($CM119:CV119)</f>
        <v>-192</v>
      </c>
      <c r="BQ119" s="93">
        <f>SUM($Z119:AJ119)-SUM($CM119:CW119)</f>
        <v>-224</v>
      </c>
      <c r="BR119" s="93">
        <f>SUM($Z119:AK119)-SUM($CM119:CX119)</f>
        <v>-256</v>
      </c>
      <c r="BS119" s="93">
        <f>SUM($Z119:AL119)-SUM($CM119:CY119)</f>
        <v>-256</v>
      </c>
      <c r="BT119" s="93">
        <f>SUM($Z119:AM119)-SUM($CM119:CZ119)</f>
        <v>-256</v>
      </c>
      <c r="BU119" s="93">
        <f>SUM($Z119:AN119)-SUM($CM119:DA119)</f>
        <v>-256</v>
      </c>
      <c r="BV119" s="93">
        <f>SUM($Z119:AO119)-SUM($CM119:DB119)</f>
        <v>-256</v>
      </c>
      <c r="BW119" s="93">
        <f>SUM($Z119:AP119)-SUM($CM119:DC119)</f>
        <v>-256</v>
      </c>
      <c r="BX119" s="93">
        <f>SUM($Z119:AQ119)-SUM($CM119:DD119)</f>
        <v>-256</v>
      </c>
      <c r="BY119" s="93">
        <f>SUM($Z119:AR119)-SUM($CM119:DE119)</f>
        <v>-256</v>
      </c>
      <c r="BZ119" s="93">
        <f>SUM($Z119:AS119)-SUM($CM119:DF119)</f>
        <v>-256</v>
      </c>
      <c r="CA119" s="93">
        <f>SUM($Z119:AT119)-SUM($CM119:DG119)</f>
        <v>-256</v>
      </c>
      <c r="CB119" s="93">
        <f>SUM($Z119:AU119)-SUM($CM119:DH119)</f>
        <v>-256</v>
      </c>
      <c r="CC119" s="93">
        <f>SUM($Z119:AV119)-SUM($CM119:DI119)</f>
        <v>-256</v>
      </c>
      <c r="CD119" s="93">
        <f>SUM($Z119:AW119)-SUM($CM119:DJ119)</f>
        <v>-256</v>
      </c>
      <c r="CE119" s="93">
        <f>SUM($Z119:AX119)-SUM($CM119:DK119)</f>
        <v>-256</v>
      </c>
      <c r="CF119" s="93">
        <f>SUM($Z119:AY119)-SUM($CM119:DL119)</f>
        <v>-256</v>
      </c>
      <c r="CG119" s="93">
        <f>SUM($Z119:AZ119)-SUM($CM119:DM119)</f>
        <v>-256</v>
      </c>
      <c r="CH119" s="93">
        <f>SUM($Z119:BA119)-SUM($CM119:DN119)</f>
        <v>-256</v>
      </c>
      <c r="CI119" s="93">
        <f>SUM($Z119:BB119)-SUM($CM119:DO119)</f>
        <v>-256</v>
      </c>
      <c r="CJ119" s="93"/>
      <c r="CK119" s="93"/>
      <c r="CL119" s="93"/>
      <c r="CM119" s="93"/>
      <c r="CN119" s="93" cm="1">
        <f t="array" ref="CN119">SUMPRODUCT(TRANSPOSE(CN$4:CN$20),$G119:$W119)</f>
        <v>0</v>
      </c>
      <c r="CO119" s="93" cm="1">
        <f t="array" ref="CO119">SUMPRODUCT(TRANSPOSE(CO$4:CO$20),$G119:$W119)</f>
        <v>0</v>
      </c>
      <c r="CP119" s="93" cm="1">
        <f t="array" ref="CP119">SUMPRODUCT(TRANSPOSE(CP$4:CP$20),$G119:$W119)</f>
        <v>0</v>
      </c>
      <c r="CQ119" s="93" cm="1">
        <f t="array" ref="CQ119">SUMPRODUCT(TRANSPOSE(CQ$4:CQ$20),$G119:$W119)</f>
        <v>32</v>
      </c>
      <c r="CR119" s="93" cm="1">
        <f t="array" ref="CR119">SUMPRODUCT(TRANSPOSE(CR$4:CR$20),$G119:$W119)</f>
        <v>32</v>
      </c>
      <c r="CS119" s="93" cm="1">
        <f t="array" ref="CS119">SUMPRODUCT(TRANSPOSE(CS$4:CS$20),$G119:$W119)</f>
        <v>32</v>
      </c>
      <c r="CT119" s="93" cm="1">
        <f t="array" ref="CT119">SUMPRODUCT(TRANSPOSE(CT$4:CT$20),$G119:$W119)</f>
        <v>32</v>
      </c>
      <c r="CU119" s="93" cm="1">
        <f t="array" ref="CU119">SUMPRODUCT(TRANSPOSE(CU$4:CU$20),$G119:$W119)</f>
        <v>32</v>
      </c>
      <c r="CV119" s="93" cm="1">
        <f t="array" ref="CV119">SUMPRODUCT(TRANSPOSE(CV$4:CV$20),$G119:$W119)</f>
        <v>32</v>
      </c>
      <c r="CW119" s="93" cm="1">
        <f t="array" ref="CW119">SUMPRODUCT(TRANSPOSE(CW$4:CW$20),$G119:$W119)</f>
        <v>32</v>
      </c>
      <c r="CX119" s="93" cm="1">
        <f t="array" ref="CX119">SUMPRODUCT(TRANSPOSE(CX$4:CX$20),$G119:$W119)</f>
        <v>32</v>
      </c>
      <c r="CY119" s="93" cm="1">
        <f t="array" ref="CY119">SUMPRODUCT(TRANSPOSE(CY$4:CY$20),$G119:$W119)</f>
        <v>0</v>
      </c>
      <c r="CZ119" s="93" cm="1">
        <f t="array" ref="CZ119">SUMPRODUCT(TRANSPOSE(CZ$4:CZ$20),$G119:$W119)</f>
        <v>0</v>
      </c>
      <c r="DA119" s="93" cm="1">
        <f t="array" ref="DA119">SUMPRODUCT(TRANSPOSE(DA$4:DA$20),$G119:$W119)</f>
        <v>0</v>
      </c>
      <c r="DB119" s="93" cm="1">
        <f t="array" ref="DB119">SUMPRODUCT(TRANSPOSE(DB$4:DB$20),$G119:$W119)</f>
        <v>0</v>
      </c>
      <c r="DC119" s="93" cm="1">
        <f t="array" ref="DC119">SUMPRODUCT(TRANSPOSE(DC$4:DC$20),$G119:$W119)</f>
        <v>0</v>
      </c>
      <c r="DD119" s="93" cm="1">
        <f t="array" ref="DD119">SUMPRODUCT(TRANSPOSE(DD$4:DD$20),$G119:$W119)</f>
        <v>0</v>
      </c>
      <c r="DE119" s="93" cm="1">
        <f t="array" ref="DE119">SUMPRODUCT(TRANSPOSE(DE$4:DE$20),$G119:$W119)</f>
        <v>0</v>
      </c>
      <c r="DF119" s="93" cm="1">
        <f t="array" ref="DF119">SUMPRODUCT(TRANSPOSE(DF$4:DF$20),$G119:$W119)</f>
        <v>0</v>
      </c>
      <c r="DG119" s="93" cm="1">
        <f t="array" ref="DG119">SUMPRODUCT(TRANSPOSE(DG$4:DG$20),$G119:$W119)</f>
        <v>0</v>
      </c>
      <c r="DH119" s="93" cm="1">
        <f t="array" ref="DH119">SUMPRODUCT(TRANSPOSE(DH$4:DH$20),$G119:$W119)</f>
        <v>0</v>
      </c>
      <c r="DI119" s="93" cm="1">
        <f t="array" ref="DI119">SUMPRODUCT(TRANSPOSE(DI$4:DI$20),$G119:$W119)</f>
        <v>0</v>
      </c>
      <c r="DJ119" s="93" cm="1">
        <f t="array" ref="DJ119">SUMPRODUCT(TRANSPOSE(DJ$4:DJ$20),$G119:$W119)</f>
        <v>0</v>
      </c>
      <c r="DK119" s="93" cm="1">
        <f t="array" ref="DK119">SUMPRODUCT(TRANSPOSE(DK$4:DK$20),$G119:$W119)</f>
        <v>0</v>
      </c>
      <c r="DL119" s="93" cm="1">
        <f t="array" ref="DL119">SUMPRODUCT(TRANSPOSE(DL$4:DL$20),$G119:$W119)</f>
        <v>0</v>
      </c>
      <c r="DM119" s="93" cm="1">
        <f t="array" ref="DM119">SUMPRODUCT(TRANSPOSE(DM$4:DM$20),$G119:$W119)</f>
        <v>0</v>
      </c>
      <c r="DN119" s="93" cm="1">
        <f t="array" ref="DN119">SUMPRODUCT(TRANSPOSE(DN$4:DN$20),$G119:$W119)</f>
        <v>0</v>
      </c>
      <c r="DO119" s="93" cm="1">
        <f t="array" ref="DO119">SUMPRODUCT(TRANSPOSE(DO$4:DO$20),$G119:$W119)</f>
        <v>0</v>
      </c>
    </row>
    <row r="120" spans="1:119" x14ac:dyDescent="0.2">
      <c r="A120" s="45">
        <f t="shared" si="27"/>
        <v>99</v>
      </c>
      <c r="B120" s="46" t="s">
        <v>332</v>
      </c>
      <c r="C120" s="45">
        <v>417593379</v>
      </c>
      <c r="D120" s="45" t="s">
        <v>333</v>
      </c>
      <c r="E120" s="45" t="s">
        <v>162</v>
      </c>
      <c r="F120" s="48">
        <v>1</v>
      </c>
      <c r="G120" s="100">
        <v>0</v>
      </c>
      <c r="H120" s="100">
        <v>0</v>
      </c>
      <c r="I120" s="100">
        <v>0</v>
      </c>
      <c r="J120" s="100">
        <v>0</v>
      </c>
      <c r="K120" s="100">
        <v>0</v>
      </c>
      <c r="L120" s="100">
        <v>0</v>
      </c>
      <c r="M120" s="100">
        <v>0</v>
      </c>
      <c r="N120" s="100">
        <v>0</v>
      </c>
      <c r="O120" s="100">
        <v>0</v>
      </c>
      <c r="P120" s="100">
        <v>0</v>
      </c>
      <c r="Q120" s="100">
        <v>0</v>
      </c>
      <c r="R120" s="100">
        <v>0</v>
      </c>
      <c r="S120" s="100">
        <v>0</v>
      </c>
      <c r="T120" s="100">
        <v>0</v>
      </c>
      <c r="U120" s="100">
        <v>0</v>
      </c>
      <c r="V120" s="100">
        <v>0</v>
      </c>
      <c r="W120" s="100">
        <v>2</v>
      </c>
      <c r="X120" s="45" t="s">
        <v>6</v>
      </c>
      <c r="Y120" s="49">
        <v>0</v>
      </c>
      <c r="Z120" s="45">
        <v>0</v>
      </c>
      <c r="AA120" s="45">
        <v>0</v>
      </c>
      <c r="AB120" s="45">
        <v>0</v>
      </c>
      <c r="AC120" s="45">
        <v>0</v>
      </c>
      <c r="AD120" s="45">
        <v>0</v>
      </c>
      <c r="AE120" s="45">
        <v>0</v>
      </c>
      <c r="AF120" s="45">
        <v>0</v>
      </c>
      <c r="AG120" s="45">
        <v>0</v>
      </c>
      <c r="AH120" s="45">
        <v>0</v>
      </c>
      <c r="AI120" s="45">
        <v>0</v>
      </c>
      <c r="AJ120" s="45">
        <v>0</v>
      </c>
      <c r="AK120" s="45">
        <v>0</v>
      </c>
      <c r="AL120" s="45">
        <v>0</v>
      </c>
      <c r="AM120" s="45">
        <v>0</v>
      </c>
      <c r="AN120" s="45">
        <v>0</v>
      </c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93"/>
      <c r="BE120" s="93"/>
      <c r="BF120" s="93"/>
      <c r="BG120" s="93"/>
      <c r="BH120" s="93"/>
      <c r="BI120" s="93"/>
      <c r="BJ120" s="93"/>
      <c r="BK120" s="93">
        <f>SUM($Z120:AD120)-SUM($CM120:CQ120)</f>
        <v>-32</v>
      </c>
      <c r="BL120" s="93">
        <f>SUM($Z120:AE120)-SUM($CM120:CR120)</f>
        <v>-64</v>
      </c>
      <c r="BM120" s="93">
        <f>SUM($Z120:AF120)-SUM($CM120:CS120)</f>
        <v>-96</v>
      </c>
      <c r="BN120" s="93">
        <f>SUM($Z120:AG120)-SUM($CM120:CT120)</f>
        <v>-128</v>
      </c>
      <c r="BO120" s="93">
        <f>SUM($Z120:AH120)-SUM($CM120:CU120)</f>
        <v>-160</v>
      </c>
      <c r="BP120" s="93">
        <f>SUM($Z120:AI120)-SUM($CM120:CV120)</f>
        <v>-192</v>
      </c>
      <c r="BQ120" s="93">
        <f>SUM($Z120:AJ120)-SUM($CM120:CW120)</f>
        <v>-224</v>
      </c>
      <c r="BR120" s="93">
        <f>SUM($Z120:AK120)-SUM($CM120:CX120)</f>
        <v>-256</v>
      </c>
      <c r="BS120" s="93">
        <f>SUM($Z120:AL120)-SUM($CM120:CY120)</f>
        <v>-256</v>
      </c>
      <c r="BT120" s="93">
        <f>SUM($Z120:AM120)-SUM($CM120:CZ120)</f>
        <v>-256</v>
      </c>
      <c r="BU120" s="93">
        <f>SUM($Z120:AN120)-SUM($CM120:DA120)</f>
        <v>-256</v>
      </c>
      <c r="BV120" s="93">
        <f>SUM($Z120:AO120)-SUM($CM120:DB120)</f>
        <v>-256</v>
      </c>
      <c r="BW120" s="93">
        <f>SUM($Z120:AP120)-SUM($CM120:DC120)</f>
        <v>-256</v>
      </c>
      <c r="BX120" s="93">
        <f>SUM($Z120:AQ120)-SUM($CM120:DD120)</f>
        <v>-256</v>
      </c>
      <c r="BY120" s="93">
        <f>SUM($Z120:AR120)-SUM($CM120:DE120)</f>
        <v>-256</v>
      </c>
      <c r="BZ120" s="93">
        <f>SUM($Z120:AS120)-SUM($CM120:DF120)</f>
        <v>-256</v>
      </c>
      <c r="CA120" s="93">
        <f>SUM($Z120:AT120)-SUM($CM120:DG120)</f>
        <v>-256</v>
      </c>
      <c r="CB120" s="93">
        <f>SUM($Z120:AU120)-SUM($CM120:DH120)</f>
        <v>-256</v>
      </c>
      <c r="CC120" s="93">
        <f>SUM($Z120:AV120)-SUM($CM120:DI120)</f>
        <v>-256</v>
      </c>
      <c r="CD120" s="93">
        <f>SUM($Z120:AW120)-SUM($CM120:DJ120)</f>
        <v>-256</v>
      </c>
      <c r="CE120" s="93">
        <f>SUM($Z120:AX120)-SUM($CM120:DK120)</f>
        <v>-256</v>
      </c>
      <c r="CF120" s="93">
        <f>SUM($Z120:AY120)-SUM($CM120:DL120)</f>
        <v>-256</v>
      </c>
      <c r="CG120" s="93">
        <f>SUM($Z120:AZ120)-SUM($CM120:DM120)</f>
        <v>-256</v>
      </c>
      <c r="CH120" s="93">
        <f>SUM($Z120:BA120)-SUM($CM120:DN120)</f>
        <v>-256</v>
      </c>
      <c r="CI120" s="93">
        <f>SUM($Z120:BB120)-SUM($CM120:DO120)</f>
        <v>-256</v>
      </c>
      <c r="CJ120" s="93"/>
      <c r="CK120" s="93"/>
      <c r="CL120" s="93"/>
      <c r="CM120" s="93"/>
      <c r="CN120" s="93" cm="1">
        <f t="array" ref="CN120">SUMPRODUCT(TRANSPOSE(CN$4:CN$20),$G120:$W120)</f>
        <v>0</v>
      </c>
      <c r="CO120" s="93" cm="1">
        <f t="array" ref="CO120">SUMPRODUCT(TRANSPOSE(CO$4:CO$20),$G120:$W120)</f>
        <v>0</v>
      </c>
      <c r="CP120" s="93" cm="1">
        <f t="array" ref="CP120">SUMPRODUCT(TRANSPOSE(CP$4:CP$20),$G120:$W120)</f>
        <v>0</v>
      </c>
      <c r="CQ120" s="93" cm="1">
        <f t="array" ref="CQ120">SUMPRODUCT(TRANSPOSE(CQ$4:CQ$20),$G120:$W120)</f>
        <v>32</v>
      </c>
      <c r="CR120" s="93" cm="1">
        <f t="array" ref="CR120">SUMPRODUCT(TRANSPOSE(CR$4:CR$20),$G120:$W120)</f>
        <v>32</v>
      </c>
      <c r="CS120" s="93" cm="1">
        <f t="array" ref="CS120">SUMPRODUCT(TRANSPOSE(CS$4:CS$20),$G120:$W120)</f>
        <v>32</v>
      </c>
      <c r="CT120" s="93" cm="1">
        <f t="array" ref="CT120">SUMPRODUCT(TRANSPOSE(CT$4:CT$20),$G120:$W120)</f>
        <v>32</v>
      </c>
      <c r="CU120" s="93" cm="1">
        <f t="array" ref="CU120">SUMPRODUCT(TRANSPOSE(CU$4:CU$20),$G120:$W120)</f>
        <v>32</v>
      </c>
      <c r="CV120" s="93" cm="1">
        <f t="array" ref="CV120">SUMPRODUCT(TRANSPOSE(CV$4:CV$20),$G120:$W120)</f>
        <v>32</v>
      </c>
      <c r="CW120" s="93" cm="1">
        <f t="array" ref="CW120">SUMPRODUCT(TRANSPOSE(CW$4:CW$20),$G120:$W120)</f>
        <v>32</v>
      </c>
      <c r="CX120" s="93" cm="1">
        <f t="array" ref="CX120">SUMPRODUCT(TRANSPOSE(CX$4:CX$20),$G120:$W120)</f>
        <v>32</v>
      </c>
      <c r="CY120" s="93" cm="1">
        <f t="array" ref="CY120">SUMPRODUCT(TRANSPOSE(CY$4:CY$20),$G120:$W120)</f>
        <v>0</v>
      </c>
      <c r="CZ120" s="93" cm="1">
        <f t="array" ref="CZ120">SUMPRODUCT(TRANSPOSE(CZ$4:CZ$20),$G120:$W120)</f>
        <v>0</v>
      </c>
      <c r="DA120" s="93" cm="1">
        <f t="array" ref="DA120">SUMPRODUCT(TRANSPOSE(DA$4:DA$20),$G120:$W120)</f>
        <v>0</v>
      </c>
      <c r="DB120" s="93" cm="1">
        <f t="array" ref="DB120">SUMPRODUCT(TRANSPOSE(DB$4:DB$20),$G120:$W120)</f>
        <v>0</v>
      </c>
      <c r="DC120" s="93" cm="1">
        <f t="array" ref="DC120">SUMPRODUCT(TRANSPOSE(DC$4:DC$20),$G120:$W120)</f>
        <v>0</v>
      </c>
      <c r="DD120" s="93" cm="1">
        <f t="array" ref="DD120">SUMPRODUCT(TRANSPOSE(DD$4:DD$20),$G120:$W120)</f>
        <v>0</v>
      </c>
      <c r="DE120" s="93" cm="1">
        <f t="array" ref="DE120">SUMPRODUCT(TRANSPOSE(DE$4:DE$20),$G120:$W120)</f>
        <v>0</v>
      </c>
      <c r="DF120" s="93" cm="1">
        <f t="array" ref="DF120">SUMPRODUCT(TRANSPOSE(DF$4:DF$20),$G120:$W120)</f>
        <v>0</v>
      </c>
      <c r="DG120" s="93" cm="1">
        <f t="array" ref="DG120">SUMPRODUCT(TRANSPOSE(DG$4:DG$20),$G120:$W120)</f>
        <v>0</v>
      </c>
      <c r="DH120" s="93" cm="1">
        <f t="array" ref="DH120">SUMPRODUCT(TRANSPOSE(DH$4:DH$20),$G120:$W120)</f>
        <v>0</v>
      </c>
      <c r="DI120" s="93" cm="1">
        <f t="array" ref="DI120">SUMPRODUCT(TRANSPOSE(DI$4:DI$20),$G120:$W120)</f>
        <v>0</v>
      </c>
      <c r="DJ120" s="93" cm="1">
        <f t="array" ref="DJ120">SUMPRODUCT(TRANSPOSE(DJ$4:DJ$20),$G120:$W120)</f>
        <v>0</v>
      </c>
      <c r="DK120" s="93" cm="1">
        <f t="array" ref="DK120">SUMPRODUCT(TRANSPOSE(DK$4:DK$20),$G120:$W120)</f>
        <v>0</v>
      </c>
      <c r="DL120" s="93" cm="1">
        <f t="array" ref="DL120">SUMPRODUCT(TRANSPOSE(DL$4:DL$20),$G120:$W120)</f>
        <v>0</v>
      </c>
      <c r="DM120" s="93" cm="1">
        <f t="array" ref="DM120">SUMPRODUCT(TRANSPOSE(DM$4:DM$20),$G120:$W120)</f>
        <v>0</v>
      </c>
      <c r="DN120" s="93" cm="1">
        <f t="array" ref="DN120">SUMPRODUCT(TRANSPOSE(DN$4:DN$20),$G120:$W120)</f>
        <v>0</v>
      </c>
      <c r="DO120" s="93" cm="1">
        <f t="array" ref="DO120">SUMPRODUCT(TRANSPOSE(DO$4:DO$20),$G120:$W120)</f>
        <v>0</v>
      </c>
    </row>
    <row r="121" spans="1:119" x14ac:dyDescent="0.2">
      <c r="A121" s="45">
        <f t="shared" si="27"/>
        <v>100</v>
      </c>
      <c r="B121" s="46" t="s">
        <v>334</v>
      </c>
      <c r="C121" s="45">
        <v>417593387</v>
      </c>
      <c r="D121" s="45" t="s">
        <v>244</v>
      </c>
      <c r="E121" s="45" t="s">
        <v>162</v>
      </c>
      <c r="F121" s="48">
        <v>1</v>
      </c>
      <c r="G121" s="100">
        <v>0</v>
      </c>
      <c r="H121" s="100">
        <v>0</v>
      </c>
      <c r="I121" s="100">
        <v>0</v>
      </c>
      <c r="J121" s="100">
        <v>0</v>
      </c>
      <c r="K121" s="100">
        <v>0</v>
      </c>
      <c r="L121" s="100">
        <v>0</v>
      </c>
      <c r="M121" s="100">
        <v>0</v>
      </c>
      <c r="N121" s="100">
        <v>0</v>
      </c>
      <c r="O121" s="100">
        <v>0</v>
      </c>
      <c r="P121" s="100">
        <v>0</v>
      </c>
      <c r="Q121" s="100">
        <v>0</v>
      </c>
      <c r="R121" s="100">
        <v>0</v>
      </c>
      <c r="S121" s="100">
        <v>0</v>
      </c>
      <c r="T121" s="100">
        <v>0</v>
      </c>
      <c r="U121" s="100">
        <v>0</v>
      </c>
      <c r="V121" s="100">
        <v>0</v>
      </c>
      <c r="W121" s="100">
        <v>1</v>
      </c>
      <c r="X121" s="45" t="s">
        <v>6</v>
      </c>
      <c r="Y121" s="49">
        <v>0</v>
      </c>
      <c r="Z121" s="45">
        <v>0</v>
      </c>
      <c r="AA121" s="45">
        <v>0</v>
      </c>
      <c r="AB121" s="45">
        <v>0</v>
      </c>
      <c r="AC121" s="45">
        <v>0</v>
      </c>
      <c r="AD121" s="45">
        <v>0</v>
      </c>
      <c r="AE121" s="45">
        <v>0</v>
      </c>
      <c r="AF121" s="45">
        <v>0</v>
      </c>
      <c r="AG121" s="45">
        <v>0</v>
      </c>
      <c r="AH121" s="45">
        <v>0</v>
      </c>
      <c r="AI121" s="45">
        <v>0</v>
      </c>
      <c r="AJ121" s="45">
        <v>0</v>
      </c>
      <c r="AK121" s="45">
        <v>0</v>
      </c>
      <c r="AL121" s="45">
        <v>0</v>
      </c>
      <c r="AM121" s="45">
        <v>0</v>
      </c>
      <c r="AN121" s="45">
        <v>0</v>
      </c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93"/>
      <c r="BE121" s="93"/>
      <c r="BF121" s="93"/>
      <c r="BG121" s="93"/>
      <c r="BH121" s="93"/>
      <c r="BI121" s="93"/>
      <c r="BJ121" s="93"/>
      <c r="BK121" s="93">
        <f>SUM($Z121:AD121)-SUM($CM121:CQ121)</f>
        <v>-16</v>
      </c>
      <c r="BL121" s="93">
        <f>SUM($Z121:AE121)-SUM($CM121:CR121)</f>
        <v>-32</v>
      </c>
      <c r="BM121" s="93">
        <f>SUM($Z121:AF121)-SUM($CM121:CS121)</f>
        <v>-48</v>
      </c>
      <c r="BN121" s="93">
        <f>SUM($Z121:AG121)-SUM($CM121:CT121)</f>
        <v>-64</v>
      </c>
      <c r="BO121" s="93">
        <f>SUM($Z121:AH121)-SUM($CM121:CU121)</f>
        <v>-80</v>
      </c>
      <c r="BP121" s="93">
        <f>SUM($Z121:AI121)-SUM($CM121:CV121)</f>
        <v>-96</v>
      </c>
      <c r="BQ121" s="93">
        <f>SUM($Z121:AJ121)-SUM($CM121:CW121)</f>
        <v>-112</v>
      </c>
      <c r="BR121" s="93">
        <f>SUM($Z121:AK121)-SUM($CM121:CX121)</f>
        <v>-128</v>
      </c>
      <c r="BS121" s="93">
        <f>SUM($Z121:AL121)-SUM($CM121:CY121)</f>
        <v>-128</v>
      </c>
      <c r="BT121" s="93">
        <f>SUM($Z121:AM121)-SUM($CM121:CZ121)</f>
        <v>-128</v>
      </c>
      <c r="BU121" s="93">
        <f>SUM($Z121:AN121)-SUM($CM121:DA121)</f>
        <v>-128</v>
      </c>
      <c r="BV121" s="93">
        <f>SUM($Z121:AO121)-SUM($CM121:DB121)</f>
        <v>-128</v>
      </c>
      <c r="BW121" s="93">
        <f>SUM($Z121:AP121)-SUM($CM121:DC121)</f>
        <v>-128</v>
      </c>
      <c r="BX121" s="93">
        <f>SUM($Z121:AQ121)-SUM($CM121:DD121)</f>
        <v>-128</v>
      </c>
      <c r="BY121" s="93">
        <f>SUM($Z121:AR121)-SUM($CM121:DE121)</f>
        <v>-128</v>
      </c>
      <c r="BZ121" s="93">
        <f>SUM($Z121:AS121)-SUM($CM121:DF121)</f>
        <v>-128</v>
      </c>
      <c r="CA121" s="93">
        <f>SUM($Z121:AT121)-SUM($CM121:DG121)</f>
        <v>-128</v>
      </c>
      <c r="CB121" s="93">
        <f>SUM($Z121:AU121)-SUM($CM121:DH121)</f>
        <v>-128</v>
      </c>
      <c r="CC121" s="93">
        <f>SUM($Z121:AV121)-SUM($CM121:DI121)</f>
        <v>-128</v>
      </c>
      <c r="CD121" s="93">
        <f>SUM($Z121:AW121)-SUM($CM121:DJ121)</f>
        <v>-128</v>
      </c>
      <c r="CE121" s="93">
        <f>SUM($Z121:AX121)-SUM($CM121:DK121)</f>
        <v>-128</v>
      </c>
      <c r="CF121" s="93">
        <f>SUM($Z121:AY121)-SUM($CM121:DL121)</f>
        <v>-128</v>
      </c>
      <c r="CG121" s="93">
        <f>SUM($Z121:AZ121)-SUM($CM121:DM121)</f>
        <v>-128</v>
      </c>
      <c r="CH121" s="93">
        <f>SUM($Z121:BA121)-SUM($CM121:DN121)</f>
        <v>-128</v>
      </c>
      <c r="CI121" s="93">
        <f>SUM($Z121:BB121)-SUM($CM121:DO121)</f>
        <v>-128</v>
      </c>
      <c r="CJ121" s="93"/>
      <c r="CK121" s="93"/>
      <c r="CL121" s="93"/>
      <c r="CM121" s="93"/>
      <c r="CN121" s="93" cm="1">
        <f t="array" ref="CN121">SUMPRODUCT(TRANSPOSE(CN$4:CN$20),$G121:$W121)</f>
        <v>0</v>
      </c>
      <c r="CO121" s="93" cm="1">
        <f t="array" ref="CO121">SUMPRODUCT(TRANSPOSE(CO$4:CO$20),$G121:$W121)</f>
        <v>0</v>
      </c>
      <c r="CP121" s="93" cm="1">
        <f t="array" ref="CP121">SUMPRODUCT(TRANSPOSE(CP$4:CP$20),$G121:$W121)</f>
        <v>0</v>
      </c>
      <c r="CQ121" s="93" cm="1">
        <f t="array" ref="CQ121">SUMPRODUCT(TRANSPOSE(CQ$4:CQ$20),$G121:$W121)</f>
        <v>16</v>
      </c>
      <c r="CR121" s="93" cm="1">
        <f t="array" ref="CR121">SUMPRODUCT(TRANSPOSE(CR$4:CR$20),$G121:$W121)</f>
        <v>16</v>
      </c>
      <c r="CS121" s="93" cm="1">
        <f t="array" ref="CS121">SUMPRODUCT(TRANSPOSE(CS$4:CS$20),$G121:$W121)</f>
        <v>16</v>
      </c>
      <c r="CT121" s="93" cm="1">
        <f t="array" ref="CT121">SUMPRODUCT(TRANSPOSE(CT$4:CT$20),$G121:$W121)</f>
        <v>16</v>
      </c>
      <c r="CU121" s="93" cm="1">
        <f t="array" ref="CU121">SUMPRODUCT(TRANSPOSE(CU$4:CU$20),$G121:$W121)</f>
        <v>16</v>
      </c>
      <c r="CV121" s="93" cm="1">
        <f t="array" ref="CV121">SUMPRODUCT(TRANSPOSE(CV$4:CV$20),$G121:$W121)</f>
        <v>16</v>
      </c>
      <c r="CW121" s="93" cm="1">
        <f t="array" ref="CW121">SUMPRODUCT(TRANSPOSE(CW$4:CW$20),$G121:$W121)</f>
        <v>16</v>
      </c>
      <c r="CX121" s="93" cm="1">
        <f t="array" ref="CX121">SUMPRODUCT(TRANSPOSE(CX$4:CX$20),$G121:$W121)</f>
        <v>16</v>
      </c>
      <c r="CY121" s="93" cm="1">
        <f t="array" ref="CY121">SUMPRODUCT(TRANSPOSE(CY$4:CY$20),$G121:$W121)</f>
        <v>0</v>
      </c>
      <c r="CZ121" s="93" cm="1">
        <f t="array" ref="CZ121">SUMPRODUCT(TRANSPOSE(CZ$4:CZ$20),$G121:$W121)</f>
        <v>0</v>
      </c>
      <c r="DA121" s="93" cm="1">
        <f t="array" ref="DA121">SUMPRODUCT(TRANSPOSE(DA$4:DA$20),$G121:$W121)</f>
        <v>0</v>
      </c>
      <c r="DB121" s="93" cm="1">
        <f t="array" ref="DB121">SUMPRODUCT(TRANSPOSE(DB$4:DB$20),$G121:$W121)</f>
        <v>0</v>
      </c>
      <c r="DC121" s="93" cm="1">
        <f t="array" ref="DC121">SUMPRODUCT(TRANSPOSE(DC$4:DC$20),$G121:$W121)</f>
        <v>0</v>
      </c>
      <c r="DD121" s="93" cm="1">
        <f t="array" ref="DD121">SUMPRODUCT(TRANSPOSE(DD$4:DD$20),$G121:$W121)</f>
        <v>0</v>
      </c>
      <c r="DE121" s="93" cm="1">
        <f t="array" ref="DE121">SUMPRODUCT(TRANSPOSE(DE$4:DE$20),$G121:$W121)</f>
        <v>0</v>
      </c>
      <c r="DF121" s="93" cm="1">
        <f t="array" ref="DF121">SUMPRODUCT(TRANSPOSE(DF$4:DF$20),$G121:$W121)</f>
        <v>0</v>
      </c>
      <c r="DG121" s="93" cm="1">
        <f t="array" ref="DG121">SUMPRODUCT(TRANSPOSE(DG$4:DG$20),$G121:$W121)</f>
        <v>0</v>
      </c>
      <c r="DH121" s="93" cm="1">
        <f t="array" ref="DH121">SUMPRODUCT(TRANSPOSE(DH$4:DH$20),$G121:$W121)</f>
        <v>0</v>
      </c>
      <c r="DI121" s="93" cm="1">
        <f t="array" ref="DI121">SUMPRODUCT(TRANSPOSE(DI$4:DI$20),$G121:$W121)</f>
        <v>0</v>
      </c>
      <c r="DJ121" s="93" cm="1">
        <f t="array" ref="DJ121">SUMPRODUCT(TRANSPOSE(DJ$4:DJ$20),$G121:$W121)</f>
        <v>0</v>
      </c>
      <c r="DK121" s="93" cm="1">
        <f t="array" ref="DK121">SUMPRODUCT(TRANSPOSE(DK$4:DK$20),$G121:$W121)</f>
        <v>0</v>
      </c>
      <c r="DL121" s="93" cm="1">
        <f t="array" ref="DL121">SUMPRODUCT(TRANSPOSE(DL$4:DL$20),$G121:$W121)</f>
        <v>0</v>
      </c>
      <c r="DM121" s="93" cm="1">
        <f t="array" ref="DM121">SUMPRODUCT(TRANSPOSE(DM$4:DM$20),$G121:$W121)</f>
        <v>0</v>
      </c>
      <c r="DN121" s="93" cm="1">
        <f t="array" ref="DN121">SUMPRODUCT(TRANSPOSE(DN$4:DN$20),$G121:$W121)</f>
        <v>0</v>
      </c>
      <c r="DO121" s="93" cm="1">
        <f t="array" ref="DO121">SUMPRODUCT(TRANSPOSE(DO$4:DO$20),$G121:$W121)</f>
        <v>0</v>
      </c>
    </row>
    <row r="122" spans="1:119" x14ac:dyDescent="0.2">
      <c r="A122" s="45">
        <f t="shared" si="27"/>
        <v>101</v>
      </c>
      <c r="B122" s="46" t="s">
        <v>335</v>
      </c>
      <c r="C122" s="45">
        <v>417983236</v>
      </c>
      <c r="D122" s="45" t="s">
        <v>306</v>
      </c>
      <c r="E122" s="45" t="s">
        <v>162</v>
      </c>
      <c r="F122" s="48">
        <v>1</v>
      </c>
      <c r="G122" s="100">
        <v>0</v>
      </c>
      <c r="H122" s="100">
        <v>0</v>
      </c>
      <c r="I122" s="100">
        <v>0</v>
      </c>
      <c r="J122" s="100">
        <v>0</v>
      </c>
      <c r="K122" s="100">
        <v>0</v>
      </c>
      <c r="L122" s="100">
        <v>0</v>
      </c>
      <c r="M122" s="100">
        <v>0</v>
      </c>
      <c r="N122" s="100">
        <v>0</v>
      </c>
      <c r="O122" s="100">
        <v>0</v>
      </c>
      <c r="P122" s="100">
        <v>0</v>
      </c>
      <c r="Q122" s="100">
        <v>0</v>
      </c>
      <c r="R122" s="100">
        <v>0</v>
      </c>
      <c r="S122" s="100">
        <v>0</v>
      </c>
      <c r="T122" s="100">
        <v>0</v>
      </c>
      <c r="U122" s="100">
        <v>0</v>
      </c>
      <c r="V122" s="100">
        <v>0</v>
      </c>
      <c r="W122" s="100">
        <v>1</v>
      </c>
      <c r="X122" s="45" t="s">
        <v>50</v>
      </c>
      <c r="Y122" s="49">
        <v>32.5</v>
      </c>
      <c r="Z122" s="45">
        <v>231</v>
      </c>
      <c r="AA122" s="45">
        <v>0</v>
      </c>
      <c r="AB122" s="45">
        <v>0</v>
      </c>
      <c r="AC122" s="45">
        <v>0</v>
      </c>
      <c r="AD122" s="45">
        <v>0</v>
      </c>
      <c r="AE122" s="45">
        <v>0</v>
      </c>
      <c r="AF122" s="45">
        <v>0</v>
      </c>
      <c r="AG122" s="45">
        <v>0</v>
      </c>
      <c r="AH122" s="45">
        <v>0</v>
      </c>
      <c r="AI122" s="45">
        <v>0</v>
      </c>
      <c r="AJ122" s="45">
        <v>0</v>
      </c>
      <c r="AK122" s="45">
        <v>0</v>
      </c>
      <c r="AL122" s="45">
        <v>0</v>
      </c>
      <c r="AM122" s="45">
        <v>0</v>
      </c>
      <c r="AN122" s="45">
        <v>0</v>
      </c>
      <c r="AO122" s="45"/>
      <c r="AP122" s="45"/>
      <c r="AQ122" s="45"/>
      <c r="AR122" s="45"/>
      <c r="AS122" s="45"/>
      <c r="AT122" s="45"/>
      <c r="AU122" s="45"/>
      <c r="AV122" s="45"/>
      <c r="AW122" s="45"/>
      <c r="AX122" s="45"/>
      <c r="AY122" s="45"/>
      <c r="AZ122" s="45"/>
      <c r="BA122" s="45"/>
      <c r="BB122" s="45"/>
      <c r="BC122" s="45"/>
      <c r="BD122" s="93"/>
      <c r="BE122" s="93"/>
      <c r="BF122" s="93"/>
      <c r="BG122" s="93"/>
      <c r="BH122" s="93"/>
      <c r="BI122" s="93"/>
      <c r="BJ122" s="93"/>
      <c r="BK122" s="93">
        <f>SUM($Z122:AD122)-SUM($CM122:CQ122)</f>
        <v>215</v>
      </c>
      <c r="BL122" s="93">
        <f>SUM($Z122:AE122)-SUM($CM122:CR122)</f>
        <v>199</v>
      </c>
      <c r="BM122" s="93">
        <f>SUM($Z122:AF122)-SUM($CM122:CS122)</f>
        <v>183</v>
      </c>
      <c r="BN122" s="93">
        <f>SUM($Z122:AG122)-SUM($CM122:CT122)</f>
        <v>167</v>
      </c>
      <c r="BO122" s="93">
        <f>SUM($Z122:AH122)-SUM($CM122:CU122)</f>
        <v>151</v>
      </c>
      <c r="BP122" s="93">
        <f>SUM($Z122:AI122)-SUM($CM122:CV122)</f>
        <v>135</v>
      </c>
      <c r="BQ122" s="93">
        <f>SUM($Z122:AJ122)-SUM($CM122:CW122)</f>
        <v>119</v>
      </c>
      <c r="BR122" s="93">
        <f>SUM($Z122:AK122)-SUM($CM122:CX122)</f>
        <v>103</v>
      </c>
      <c r="BS122" s="93">
        <f>SUM($Z122:AL122)-SUM($CM122:CY122)</f>
        <v>103</v>
      </c>
      <c r="BT122" s="93">
        <f>SUM($Z122:AM122)-SUM($CM122:CZ122)</f>
        <v>103</v>
      </c>
      <c r="BU122" s="93">
        <f>SUM($Z122:AN122)-SUM($CM122:DA122)</f>
        <v>103</v>
      </c>
      <c r="BV122" s="93">
        <f>SUM($Z122:AO122)-SUM($CM122:DB122)</f>
        <v>103</v>
      </c>
      <c r="BW122" s="93">
        <f>SUM($Z122:AP122)-SUM($CM122:DC122)</f>
        <v>103</v>
      </c>
      <c r="BX122" s="93">
        <f>SUM($Z122:AQ122)-SUM($CM122:DD122)</f>
        <v>103</v>
      </c>
      <c r="BY122" s="93">
        <f>SUM($Z122:AR122)-SUM($CM122:DE122)</f>
        <v>103</v>
      </c>
      <c r="BZ122" s="93">
        <f>SUM($Z122:AS122)-SUM($CM122:DF122)</f>
        <v>103</v>
      </c>
      <c r="CA122" s="93">
        <f>SUM($Z122:AT122)-SUM($CM122:DG122)</f>
        <v>103</v>
      </c>
      <c r="CB122" s="93">
        <f>SUM($Z122:AU122)-SUM($CM122:DH122)</f>
        <v>103</v>
      </c>
      <c r="CC122" s="93">
        <f>SUM($Z122:AV122)-SUM($CM122:DI122)</f>
        <v>103</v>
      </c>
      <c r="CD122" s="93">
        <f>SUM($Z122:AW122)-SUM($CM122:DJ122)</f>
        <v>103</v>
      </c>
      <c r="CE122" s="93">
        <f>SUM($Z122:AX122)-SUM($CM122:DK122)</f>
        <v>103</v>
      </c>
      <c r="CF122" s="93">
        <f>SUM($Z122:AY122)-SUM($CM122:DL122)</f>
        <v>103</v>
      </c>
      <c r="CG122" s="93">
        <f>SUM($Z122:AZ122)-SUM($CM122:DM122)</f>
        <v>103</v>
      </c>
      <c r="CH122" s="93">
        <f>SUM($Z122:BA122)-SUM($CM122:DN122)</f>
        <v>103</v>
      </c>
      <c r="CI122" s="93">
        <f>SUM($Z122:BB122)-SUM($CM122:DO122)</f>
        <v>103</v>
      </c>
      <c r="CJ122" s="93"/>
      <c r="CK122" s="93"/>
      <c r="CL122" s="93"/>
      <c r="CM122" s="93"/>
      <c r="CN122" s="93" cm="1">
        <f t="array" ref="CN122">SUMPRODUCT(TRANSPOSE(CN$4:CN$20),$G122:$W122)</f>
        <v>0</v>
      </c>
      <c r="CO122" s="93" cm="1">
        <f t="array" ref="CO122">SUMPRODUCT(TRANSPOSE(CO$4:CO$20),$G122:$W122)</f>
        <v>0</v>
      </c>
      <c r="CP122" s="93" cm="1">
        <f t="array" ref="CP122">SUMPRODUCT(TRANSPOSE(CP$4:CP$20),$G122:$W122)</f>
        <v>0</v>
      </c>
      <c r="CQ122" s="93" cm="1">
        <f t="array" ref="CQ122">SUMPRODUCT(TRANSPOSE(CQ$4:CQ$20),$G122:$W122)</f>
        <v>16</v>
      </c>
      <c r="CR122" s="93" cm="1">
        <f t="array" ref="CR122">SUMPRODUCT(TRANSPOSE(CR$4:CR$20),$G122:$W122)</f>
        <v>16</v>
      </c>
      <c r="CS122" s="93" cm="1">
        <f t="array" ref="CS122">SUMPRODUCT(TRANSPOSE(CS$4:CS$20),$G122:$W122)</f>
        <v>16</v>
      </c>
      <c r="CT122" s="93" cm="1">
        <f t="array" ref="CT122">SUMPRODUCT(TRANSPOSE(CT$4:CT$20),$G122:$W122)</f>
        <v>16</v>
      </c>
      <c r="CU122" s="93" cm="1">
        <f t="array" ref="CU122">SUMPRODUCT(TRANSPOSE(CU$4:CU$20),$G122:$W122)</f>
        <v>16</v>
      </c>
      <c r="CV122" s="93" cm="1">
        <f t="array" ref="CV122">SUMPRODUCT(TRANSPOSE(CV$4:CV$20),$G122:$W122)</f>
        <v>16</v>
      </c>
      <c r="CW122" s="93" cm="1">
        <f t="array" ref="CW122">SUMPRODUCT(TRANSPOSE(CW$4:CW$20),$G122:$W122)</f>
        <v>16</v>
      </c>
      <c r="CX122" s="93" cm="1">
        <f t="array" ref="CX122">SUMPRODUCT(TRANSPOSE(CX$4:CX$20),$G122:$W122)</f>
        <v>16</v>
      </c>
      <c r="CY122" s="93" cm="1">
        <f t="array" ref="CY122">SUMPRODUCT(TRANSPOSE(CY$4:CY$20),$G122:$W122)</f>
        <v>0</v>
      </c>
      <c r="CZ122" s="93" cm="1">
        <f t="array" ref="CZ122">SUMPRODUCT(TRANSPOSE(CZ$4:CZ$20),$G122:$W122)</f>
        <v>0</v>
      </c>
      <c r="DA122" s="93" cm="1">
        <f t="array" ref="DA122">SUMPRODUCT(TRANSPOSE(DA$4:DA$20),$G122:$W122)</f>
        <v>0</v>
      </c>
      <c r="DB122" s="93" cm="1">
        <f t="array" ref="DB122">SUMPRODUCT(TRANSPOSE(DB$4:DB$20),$G122:$W122)</f>
        <v>0</v>
      </c>
      <c r="DC122" s="93" cm="1">
        <f t="array" ref="DC122">SUMPRODUCT(TRANSPOSE(DC$4:DC$20),$G122:$W122)</f>
        <v>0</v>
      </c>
      <c r="DD122" s="93" cm="1">
        <f t="array" ref="DD122">SUMPRODUCT(TRANSPOSE(DD$4:DD$20),$G122:$W122)</f>
        <v>0</v>
      </c>
      <c r="DE122" s="93" cm="1">
        <f t="array" ref="DE122">SUMPRODUCT(TRANSPOSE(DE$4:DE$20),$G122:$W122)</f>
        <v>0</v>
      </c>
      <c r="DF122" s="93" cm="1">
        <f t="array" ref="DF122">SUMPRODUCT(TRANSPOSE(DF$4:DF$20),$G122:$W122)</f>
        <v>0</v>
      </c>
      <c r="DG122" s="93" cm="1">
        <f t="array" ref="DG122">SUMPRODUCT(TRANSPOSE(DG$4:DG$20),$G122:$W122)</f>
        <v>0</v>
      </c>
      <c r="DH122" s="93" cm="1">
        <f t="array" ref="DH122">SUMPRODUCT(TRANSPOSE(DH$4:DH$20),$G122:$W122)</f>
        <v>0</v>
      </c>
      <c r="DI122" s="93" cm="1">
        <f t="array" ref="DI122">SUMPRODUCT(TRANSPOSE(DI$4:DI$20),$G122:$W122)</f>
        <v>0</v>
      </c>
      <c r="DJ122" s="93" cm="1">
        <f t="array" ref="DJ122">SUMPRODUCT(TRANSPOSE(DJ$4:DJ$20),$G122:$W122)</f>
        <v>0</v>
      </c>
      <c r="DK122" s="93" cm="1">
        <f t="array" ref="DK122">SUMPRODUCT(TRANSPOSE(DK$4:DK$20),$G122:$W122)</f>
        <v>0</v>
      </c>
      <c r="DL122" s="93" cm="1">
        <f t="array" ref="DL122">SUMPRODUCT(TRANSPOSE(DL$4:DL$20),$G122:$W122)</f>
        <v>0</v>
      </c>
      <c r="DM122" s="93" cm="1">
        <f t="array" ref="DM122">SUMPRODUCT(TRANSPOSE(DM$4:DM$20),$G122:$W122)</f>
        <v>0</v>
      </c>
      <c r="DN122" s="93" cm="1">
        <f t="array" ref="DN122">SUMPRODUCT(TRANSPOSE(DN$4:DN$20),$G122:$W122)</f>
        <v>0</v>
      </c>
      <c r="DO122" s="93" cm="1">
        <f t="array" ref="DO122">SUMPRODUCT(TRANSPOSE(DO$4:DO$20),$G122:$W122)</f>
        <v>0</v>
      </c>
    </row>
    <row r="123" spans="1:119" x14ac:dyDescent="0.2">
      <c r="A123" s="45">
        <f t="shared" si="27"/>
        <v>102</v>
      </c>
      <c r="B123" s="60" t="s">
        <v>336</v>
      </c>
      <c r="C123" s="45">
        <v>417711850</v>
      </c>
      <c r="D123" s="45" t="s">
        <v>337</v>
      </c>
      <c r="E123" s="45" t="s">
        <v>162</v>
      </c>
      <c r="F123" s="48">
        <v>1</v>
      </c>
      <c r="G123" s="100">
        <v>0</v>
      </c>
      <c r="H123" s="100">
        <v>0</v>
      </c>
      <c r="I123" s="100">
        <v>0</v>
      </c>
      <c r="J123" s="100">
        <v>0</v>
      </c>
      <c r="K123" s="100">
        <v>0</v>
      </c>
      <c r="L123" s="100">
        <v>0</v>
      </c>
      <c r="M123" s="100">
        <v>0</v>
      </c>
      <c r="N123" s="100">
        <v>0</v>
      </c>
      <c r="O123" s="100">
        <v>0</v>
      </c>
      <c r="P123" s="100">
        <v>0</v>
      </c>
      <c r="Q123" s="100">
        <v>0</v>
      </c>
      <c r="R123" s="100">
        <v>0</v>
      </c>
      <c r="S123" s="100">
        <v>0</v>
      </c>
      <c r="T123" s="100">
        <v>0</v>
      </c>
      <c r="U123" s="100">
        <v>0</v>
      </c>
      <c r="V123" s="100">
        <v>0</v>
      </c>
      <c r="W123" s="100">
        <v>1</v>
      </c>
      <c r="X123" s="45" t="s">
        <v>56</v>
      </c>
      <c r="Y123" s="49">
        <v>625</v>
      </c>
      <c r="Z123" s="45">
        <v>174</v>
      </c>
      <c r="AA123" s="45">
        <v>0</v>
      </c>
      <c r="AB123" s="45">
        <v>0</v>
      </c>
      <c r="AC123" s="45">
        <v>0</v>
      </c>
      <c r="AD123" s="45">
        <v>0</v>
      </c>
      <c r="AE123" s="45">
        <v>0</v>
      </c>
      <c r="AF123" s="45">
        <v>0</v>
      </c>
      <c r="AG123" s="45">
        <v>0</v>
      </c>
      <c r="AH123" s="45">
        <v>0</v>
      </c>
      <c r="AI123" s="45">
        <v>0</v>
      </c>
      <c r="AJ123" s="45">
        <v>0</v>
      </c>
      <c r="AK123" s="45">
        <v>0</v>
      </c>
      <c r="AL123" s="45">
        <v>0</v>
      </c>
      <c r="AM123" s="45">
        <v>0</v>
      </c>
      <c r="AN123" s="45">
        <v>0</v>
      </c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93"/>
      <c r="BE123" s="93"/>
      <c r="BF123" s="93"/>
      <c r="BG123" s="93"/>
      <c r="BH123" s="93"/>
      <c r="BI123" s="93"/>
      <c r="BJ123" s="93"/>
      <c r="BK123" s="93">
        <f>SUM($Z123:AD123)-SUM($CM123:CQ123)</f>
        <v>158</v>
      </c>
      <c r="BL123" s="93">
        <f>SUM($Z123:AE123)-SUM($CM123:CR123)</f>
        <v>142</v>
      </c>
      <c r="BM123" s="93">
        <f>SUM($Z123:AF123)-SUM($CM123:CS123)</f>
        <v>126</v>
      </c>
      <c r="BN123" s="93">
        <f>SUM($Z123:AG123)-SUM($CM123:CT123)</f>
        <v>110</v>
      </c>
      <c r="BO123" s="93">
        <f>SUM($Z123:AH123)-SUM($CM123:CU123)</f>
        <v>94</v>
      </c>
      <c r="BP123" s="93">
        <f>SUM($Z123:AI123)-SUM($CM123:CV123)</f>
        <v>78</v>
      </c>
      <c r="BQ123" s="93">
        <f>SUM($Z123:AJ123)-SUM($CM123:CW123)</f>
        <v>62</v>
      </c>
      <c r="BR123" s="93">
        <f>SUM($Z123:AK123)-SUM($CM123:CX123)</f>
        <v>46</v>
      </c>
      <c r="BS123" s="93">
        <f>SUM($Z123:AL123)-SUM($CM123:CY123)</f>
        <v>46</v>
      </c>
      <c r="BT123" s="93">
        <f>SUM($Z123:AM123)-SUM($CM123:CZ123)</f>
        <v>46</v>
      </c>
      <c r="BU123" s="93">
        <f>SUM($Z123:AN123)-SUM($CM123:DA123)</f>
        <v>46</v>
      </c>
      <c r="BV123" s="93">
        <f>SUM($Z123:AO123)-SUM($CM123:DB123)</f>
        <v>46</v>
      </c>
      <c r="BW123" s="93">
        <f>SUM($Z123:AP123)-SUM($CM123:DC123)</f>
        <v>46</v>
      </c>
      <c r="BX123" s="93">
        <f>SUM($Z123:AQ123)-SUM($CM123:DD123)</f>
        <v>46</v>
      </c>
      <c r="BY123" s="93">
        <f>SUM($Z123:AR123)-SUM($CM123:DE123)</f>
        <v>46</v>
      </c>
      <c r="BZ123" s="93">
        <f>SUM($Z123:AS123)-SUM($CM123:DF123)</f>
        <v>46</v>
      </c>
      <c r="CA123" s="93">
        <f>SUM($Z123:AT123)-SUM($CM123:DG123)</f>
        <v>46</v>
      </c>
      <c r="CB123" s="93">
        <f>SUM($Z123:AU123)-SUM($CM123:DH123)</f>
        <v>46</v>
      </c>
      <c r="CC123" s="93">
        <f>SUM($Z123:AV123)-SUM($CM123:DI123)</f>
        <v>46</v>
      </c>
      <c r="CD123" s="93">
        <f>SUM($Z123:AW123)-SUM($CM123:DJ123)</f>
        <v>46</v>
      </c>
      <c r="CE123" s="93">
        <f>SUM($Z123:AX123)-SUM($CM123:DK123)</f>
        <v>46</v>
      </c>
      <c r="CF123" s="93">
        <f>SUM($Z123:AY123)-SUM($CM123:DL123)</f>
        <v>46</v>
      </c>
      <c r="CG123" s="93">
        <f>SUM($Z123:AZ123)-SUM($CM123:DM123)</f>
        <v>46</v>
      </c>
      <c r="CH123" s="93">
        <f>SUM($Z123:BA123)-SUM($CM123:DN123)</f>
        <v>46</v>
      </c>
      <c r="CI123" s="93">
        <f>SUM($Z123:BB123)-SUM($CM123:DO123)</f>
        <v>46</v>
      </c>
      <c r="CJ123" s="93"/>
      <c r="CK123" s="93"/>
      <c r="CL123" s="93"/>
      <c r="CM123" s="93"/>
      <c r="CN123" s="93" cm="1">
        <f t="array" ref="CN123">SUMPRODUCT(TRANSPOSE(CN$4:CN$20),$G123:$W123)</f>
        <v>0</v>
      </c>
      <c r="CO123" s="93" cm="1">
        <f t="array" ref="CO123">SUMPRODUCT(TRANSPOSE(CO$4:CO$20),$G123:$W123)</f>
        <v>0</v>
      </c>
      <c r="CP123" s="93" cm="1">
        <f t="array" ref="CP123">SUMPRODUCT(TRANSPOSE(CP$4:CP$20),$G123:$W123)</f>
        <v>0</v>
      </c>
      <c r="CQ123" s="93" cm="1">
        <f t="array" ref="CQ123">SUMPRODUCT(TRANSPOSE(CQ$4:CQ$20),$G123:$W123)</f>
        <v>16</v>
      </c>
      <c r="CR123" s="93" cm="1">
        <f t="array" ref="CR123">SUMPRODUCT(TRANSPOSE(CR$4:CR$20),$G123:$W123)</f>
        <v>16</v>
      </c>
      <c r="CS123" s="93" cm="1">
        <f t="array" ref="CS123">SUMPRODUCT(TRANSPOSE(CS$4:CS$20),$G123:$W123)</f>
        <v>16</v>
      </c>
      <c r="CT123" s="93" cm="1">
        <f t="array" ref="CT123">SUMPRODUCT(TRANSPOSE(CT$4:CT$20),$G123:$W123)</f>
        <v>16</v>
      </c>
      <c r="CU123" s="93" cm="1">
        <f t="array" ref="CU123">SUMPRODUCT(TRANSPOSE(CU$4:CU$20),$G123:$W123)</f>
        <v>16</v>
      </c>
      <c r="CV123" s="93" cm="1">
        <f t="array" ref="CV123">SUMPRODUCT(TRANSPOSE(CV$4:CV$20),$G123:$W123)</f>
        <v>16</v>
      </c>
      <c r="CW123" s="93" cm="1">
        <f t="array" ref="CW123">SUMPRODUCT(TRANSPOSE(CW$4:CW$20),$G123:$W123)</f>
        <v>16</v>
      </c>
      <c r="CX123" s="93" cm="1">
        <f t="array" ref="CX123">SUMPRODUCT(TRANSPOSE(CX$4:CX$20),$G123:$W123)</f>
        <v>16</v>
      </c>
      <c r="CY123" s="93" cm="1">
        <f t="array" ref="CY123">SUMPRODUCT(TRANSPOSE(CY$4:CY$20),$G123:$W123)</f>
        <v>0</v>
      </c>
      <c r="CZ123" s="93" cm="1">
        <f t="array" ref="CZ123">SUMPRODUCT(TRANSPOSE(CZ$4:CZ$20),$G123:$W123)</f>
        <v>0</v>
      </c>
      <c r="DA123" s="93" cm="1">
        <f t="array" ref="DA123">SUMPRODUCT(TRANSPOSE(DA$4:DA$20),$G123:$W123)</f>
        <v>0</v>
      </c>
      <c r="DB123" s="93" cm="1">
        <f t="array" ref="DB123">SUMPRODUCT(TRANSPOSE(DB$4:DB$20),$G123:$W123)</f>
        <v>0</v>
      </c>
      <c r="DC123" s="93" cm="1">
        <f t="array" ref="DC123">SUMPRODUCT(TRANSPOSE(DC$4:DC$20),$G123:$W123)</f>
        <v>0</v>
      </c>
      <c r="DD123" s="93" cm="1">
        <f t="array" ref="DD123">SUMPRODUCT(TRANSPOSE(DD$4:DD$20),$G123:$W123)</f>
        <v>0</v>
      </c>
      <c r="DE123" s="93" cm="1">
        <f t="array" ref="DE123">SUMPRODUCT(TRANSPOSE(DE$4:DE$20),$G123:$W123)</f>
        <v>0</v>
      </c>
      <c r="DF123" s="93" cm="1">
        <f t="array" ref="DF123">SUMPRODUCT(TRANSPOSE(DF$4:DF$20),$G123:$W123)</f>
        <v>0</v>
      </c>
      <c r="DG123" s="93" cm="1">
        <f t="array" ref="DG123">SUMPRODUCT(TRANSPOSE(DG$4:DG$20),$G123:$W123)</f>
        <v>0</v>
      </c>
      <c r="DH123" s="93" cm="1">
        <f t="array" ref="DH123">SUMPRODUCT(TRANSPOSE(DH$4:DH$20),$G123:$W123)</f>
        <v>0</v>
      </c>
      <c r="DI123" s="93" cm="1">
        <f t="array" ref="DI123">SUMPRODUCT(TRANSPOSE(DI$4:DI$20),$G123:$W123)</f>
        <v>0</v>
      </c>
      <c r="DJ123" s="93" cm="1">
        <f t="array" ref="DJ123">SUMPRODUCT(TRANSPOSE(DJ$4:DJ$20),$G123:$W123)</f>
        <v>0</v>
      </c>
      <c r="DK123" s="93" cm="1">
        <f t="array" ref="DK123">SUMPRODUCT(TRANSPOSE(DK$4:DK$20),$G123:$W123)</f>
        <v>0</v>
      </c>
      <c r="DL123" s="93" cm="1">
        <f t="array" ref="DL123">SUMPRODUCT(TRANSPOSE(DL$4:DL$20),$G123:$W123)</f>
        <v>0</v>
      </c>
      <c r="DM123" s="93" cm="1">
        <f t="array" ref="DM123">SUMPRODUCT(TRANSPOSE(DM$4:DM$20),$G123:$W123)</f>
        <v>0</v>
      </c>
      <c r="DN123" s="93" cm="1">
        <f t="array" ref="DN123">SUMPRODUCT(TRANSPOSE(DN$4:DN$20),$G123:$W123)</f>
        <v>0</v>
      </c>
      <c r="DO123" s="93" cm="1">
        <f t="array" ref="DO123">SUMPRODUCT(TRANSPOSE(DO$4:DO$20),$G123:$W123)</f>
        <v>0</v>
      </c>
    </row>
    <row r="124" spans="1:119" x14ac:dyDescent="0.2">
      <c r="A124" s="45">
        <f t="shared" si="27"/>
        <v>103</v>
      </c>
      <c r="B124" s="46" t="s">
        <v>338</v>
      </c>
      <c r="C124" s="45">
        <v>405663863</v>
      </c>
      <c r="D124" s="45" t="s">
        <v>339</v>
      </c>
      <c r="E124" s="45" t="s">
        <v>162</v>
      </c>
      <c r="F124" s="48">
        <v>1</v>
      </c>
      <c r="G124" s="100">
        <v>0</v>
      </c>
      <c r="H124" s="100">
        <v>0</v>
      </c>
      <c r="I124" s="100">
        <v>0</v>
      </c>
      <c r="J124" s="100">
        <v>0</v>
      </c>
      <c r="K124" s="100">
        <v>0</v>
      </c>
      <c r="L124" s="100">
        <v>0</v>
      </c>
      <c r="M124" s="100">
        <v>0</v>
      </c>
      <c r="N124" s="100">
        <v>0</v>
      </c>
      <c r="O124" s="100">
        <v>0</v>
      </c>
      <c r="P124" s="100">
        <v>0</v>
      </c>
      <c r="Q124" s="100">
        <v>0</v>
      </c>
      <c r="R124" s="100">
        <v>0</v>
      </c>
      <c r="S124" s="100">
        <v>0</v>
      </c>
      <c r="T124" s="100">
        <v>0</v>
      </c>
      <c r="U124" s="100">
        <v>0</v>
      </c>
      <c r="V124" s="100">
        <v>0</v>
      </c>
      <c r="W124" s="100">
        <v>1</v>
      </c>
      <c r="X124" s="45" t="s">
        <v>6</v>
      </c>
      <c r="Y124" s="49">
        <v>0</v>
      </c>
      <c r="Z124" s="45">
        <v>0</v>
      </c>
      <c r="AA124" s="45">
        <v>0</v>
      </c>
      <c r="AB124" s="45">
        <v>0</v>
      </c>
      <c r="AC124" s="45">
        <v>0</v>
      </c>
      <c r="AD124" s="45">
        <v>0</v>
      </c>
      <c r="AE124" s="45">
        <v>0</v>
      </c>
      <c r="AF124" s="45">
        <v>0</v>
      </c>
      <c r="AG124" s="45">
        <v>0</v>
      </c>
      <c r="AH124" s="45">
        <v>0</v>
      </c>
      <c r="AI124" s="45">
        <v>0</v>
      </c>
      <c r="AJ124" s="45">
        <v>0</v>
      </c>
      <c r="AK124" s="45">
        <v>0</v>
      </c>
      <c r="AL124" s="45">
        <v>0</v>
      </c>
      <c r="AM124" s="45">
        <v>0</v>
      </c>
      <c r="AN124" s="45">
        <v>0</v>
      </c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93"/>
      <c r="BE124" s="93"/>
      <c r="BF124" s="93"/>
      <c r="BG124" s="93"/>
      <c r="BH124" s="93"/>
      <c r="BI124" s="93"/>
      <c r="BJ124" s="93"/>
      <c r="BK124" s="93">
        <f>SUM($Z124:AD124)-SUM($CM124:CQ124)</f>
        <v>-16</v>
      </c>
      <c r="BL124" s="93">
        <f>SUM($Z124:AE124)-SUM($CM124:CR124)</f>
        <v>-32</v>
      </c>
      <c r="BM124" s="93">
        <f>SUM($Z124:AF124)-SUM($CM124:CS124)</f>
        <v>-48</v>
      </c>
      <c r="BN124" s="93">
        <f>SUM($Z124:AG124)-SUM($CM124:CT124)</f>
        <v>-64</v>
      </c>
      <c r="BO124" s="93">
        <f>SUM($Z124:AH124)-SUM($CM124:CU124)</f>
        <v>-80</v>
      </c>
      <c r="BP124" s="93">
        <f>SUM($Z124:AI124)-SUM($CM124:CV124)</f>
        <v>-96</v>
      </c>
      <c r="BQ124" s="93">
        <f>SUM($Z124:AJ124)-SUM($CM124:CW124)</f>
        <v>-112</v>
      </c>
      <c r="BR124" s="93">
        <f>SUM($Z124:AK124)-SUM($CM124:CX124)</f>
        <v>-128</v>
      </c>
      <c r="BS124" s="93">
        <f>SUM($Z124:AL124)-SUM($CM124:CY124)</f>
        <v>-128</v>
      </c>
      <c r="BT124" s="93">
        <f>SUM($Z124:AM124)-SUM($CM124:CZ124)</f>
        <v>-128</v>
      </c>
      <c r="BU124" s="93">
        <f>SUM($Z124:AN124)-SUM($CM124:DA124)</f>
        <v>-128</v>
      </c>
      <c r="BV124" s="93">
        <f>SUM($Z124:AO124)-SUM($CM124:DB124)</f>
        <v>-128</v>
      </c>
      <c r="BW124" s="93">
        <f>SUM($Z124:AP124)-SUM($CM124:DC124)</f>
        <v>-128</v>
      </c>
      <c r="BX124" s="93">
        <f>SUM($Z124:AQ124)-SUM($CM124:DD124)</f>
        <v>-128</v>
      </c>
      <c r="BY124" s="93">
        <f>SUM($Z124:AR124)-SUM($CM124:DE124)</f>
        <v>-128</v>
      </c>
      <c r="BZ124" s="93">
        <f>SUM($Z124:AS124)-SUM($CM124:DF124)</f>
        <v>-128</v>
      </c>
      <c r="CA124" s="93">
        <f>SUM($Z124:AT124)-SUM($CM124:DG124)</f>
        <v>-128</v>
      </c>
      <c r="CB124" s="93">
        <f>SUM($Z124:AU124)-SUM($CM124:DH124)</f>
        <v>-128</v>
      </c>
      <c r="CC124" s="93">
        <f>SUM($Z124:AV124)-SUM($CM124:DI124)</f>
        <v>-128</v>
      </c>
      <c r="CD124" s="93">
        <f>SUM($Z124:AW124)-SUM($CM124:DJ124)</f>
        <v>-128</v>
      </c>
      <c r="CE124" s="93">
        <f>SUM($Z124:AX124)-SUM($CM124:DK124)</f>
        <v>-128</v>
      </c>
      <c r="CF124" s="93">
        <f>SUM($Z124:AY124)-SUM($CM124:DL124)</f>
        <v>-128</v>
      </c>
      <c r="CG124" s="93">
        <f>SUM($Z124:AZ124)-SUM($CM124:DM124)</f>
        <v>-128</v>
      </c>
      <c r="CH124" s="93">
        <f>SUM($Z124:BA124)-SUM($CM124:DN124)</f>
        <v>-128</v>
      </c>
      <c r="CI124" s="93">
        <f>SUM($Z124:BB124)-SUM($CM124:DO124)</f>
        <v>-128</v>
      </c>
      <c r="CJ124" s="93"/>
      <c r="CK124" s="93"/>
      <c r="CL124" s="93"/>
      <c r="CM124" s="93"/>
      <c r="CN124" s="93" cm="1">
        <f t="array" ref="CN124">SUMPRODUCT(TRANSPOSE(CN$4:CN$20),$G124:$W124)</f>
        <v>0</v>
      </c>
      <c r="CO124" s="93" cm="1">
        <f t="array" ref="CO124">SUMPRODUCT(TRANSPOSE(CO$4:CO$20),$G124:$W124)</f>
        <v>0</v>
      </c>
      <c r="CP124" s="93" cm="1">
        <f t="array" ref="CP124">SUMPRODUCT(TRANSPOSE(CP$4:CP$20),$G124:$W124)</f>
        <v>0</v>
      </c>
      <c r="CQ124" s="93" cm="1">
        <f t="array" ref="CQ124">SUMPRODUCT(TRANSPOSE(CQ$4:CQ$20),$G124:$W124)</f>
        <v>16</v>
      </c>
      <c r="CR124" s="93" cm="1">
        <f t="array" ref="CR124">SUMPRODUCT(TRANSPOSE(CR$4:CR$20),$G124:$W124)</f>
        <v>16</v>
      </c>
      <c r="CS124" s="93" cm="1">
        <f t="array" ref="CS124">SUMPRODUCT(TRANSPOSE(CS$4:CS$20),$G124:$W124)</f>
        <v>16</v>
      </c>
      <c r="CT124" s="93" cm="1">
        <f t="array" ref="CT124">SUMPRODUCT(TRANSPOSE(CT$4:CT$20),$G124:$W124)</f>
        <v>16</v>
      </c>
      <c r="CU124" s="93" cm="1">
        <f t="array" ref="CU124">SUMPRODUCT(TRANSPOSE(CU$4:CU$20),$G124:$W124)</f>
        <v>16</v>
      </c>
      <c r="CV124" s="93" cm="1">
        <f t="array" ref="CV124">SUMPRODUCT(TRANSPOSE(CV$4:CV$20),$G124:$W124)</f>
        <v>16</v>
      </c>
      <c r="CW124" s="93" cm="1">
        <f t="array" ref="CW124">SUMPRODUCT(TRANSPOSE(CW$4:CW$20),$G124:$W124)</f>
        <v>16</v>
      </c>
      <c r="CX124" s="93" cm="1">
        <f t="array" ref="CX124">SUMPRODUCT(TRANSPOSE(CX$4:CX$20),$G124:$W124)</f>
        <v>16</v>
      </c>
      <c r="CY124" s="93" cm="1">
        <f t="array" ref="CY124">SUMPRODUCT(TRANSPOSE(CY$4:CY$20),$G124:$W124)</f>
        <v>0</v>
      </c>
      <c r="CZ124" s="93" cm="1">
        <f t="array" ref="CZ124">SUMPRODUCT(TRANSPOSE(CZ$4:CZ$20),$G124:$W124)</f>
        <v>0</v>
      </c>
      <c r="DA124" s="93" cm="1">
        <f t="array" ref="DA124">SUMPRODUCT(TRANSPOSE(DA$4:DA$20),$G124:$W124)</f>
        <v>0</v>
      </c>
      <c r="DB124" s="93" cm="1">
        <f t="array" ref="DB124">SUMPRODUCT(TRANSPOSE(DB$4:DB$20),$G124:$W124)</f>
        <v>0</v>
      </c>
      <c r="DC124" s="93" cm="1">
        <f t="array" ref="DC124">SUMPRODUCT(TRANSPOSE(DC$4:DC$20),$G124:$W124)</f>
        <v>0</v>
      </c>
      <c r="DD124" s="93" cm="1">
        <f t="array" ref="DD124">SUMPRODUCT(TRANSPOSE(DD$4:DD$20),$G124:$W124)</f>
        <v>0</v>
      </c>
      <c r="DE124" s="93" cm="1">
        <f t="array" ref="DE124">SUMPRODUCT(TRANSPOSE(DE$4:DE$20),$G124:$W124)</f>
        <v>0</v>
      </c>
      <c r="DF124" s="93" cm="1">
        <f t="array" ref="DF124">SUMPRODUCT(TRANSPOSE(DF$4:DF$20),$G124:$W124)</f>
        <v>0</v>
      </c>
      <c r="DG124" s="93" cm="1">
        <f t="array" ref="DG124">SUMPRODUCT(TRANSPOSE(DG$4:DG$20),$G124:$W124)</f>
        <v>0</v>
      </c>
      <c r="DH124" s="93" cm="1">
        <f t="array" ref="DH124">SUMPRODUCT(TRANSPOSE(DH$4:DH$20),$G124:$W124)</f>
        <v>0</v>
      </c>
      <c r="DI124" s="93" cm="1">
        <f t="array" ref="DI124">SUMPRODUCT(TRANSPOSE(DI$4:DI$20),$G124:$W124)</f>
        <v>0</v>
      </c>
      <c r="DJ124" s="93" cm="1">
        <f t="array" ref="DJ124">SUMPRODUCT(TRANSPOSE(DJ$4:DJ$20),$G124:$W124)</f>
        <v>0</v>
      </c>
      <c r="DK124" s="93" cm="1">
        <f t="array" ref="DK124">SUMPRODUCT(TRANSPOSE(DK$4:DK$20),$G124:$W124)</f>
        <v>0</v>
      </c>
      <c r="DL124" s="93" cm="1">
        <f t="array" ref="DL124">SUMPRODUCT(TRANSPOSE(DL$4:DL$20),$G124:$W124)</f>
        <v>0</v>
      </c>
      <c r="DM124" s="93" cm="1">
        <f t="array" ref="DM124">SUMPRODUCT(TRANSPOSE(DM$4:DM$20),$G124:$W124)</f>
        <v>0</v>
      </c>
      <c r="DN124" s="93" cm="1">
        <f t="array" ref="DN124">SUMPRODUCT(TRANSPOSE(DN$4:DN$20),$G124:$W124)</f>
        <v>0</v>
      </c>
      <c r="DO124" s="93" cm="1">
        <f t="array" ref="DO124">SUMPRODUCT(TRANSPOSE(DO$4:DO$20),$G124:$W124)</f>
        <v>0</v>
      </c>
    </row>
    <row r="125" spans="1:119" x14ac:dyDescent="0.2">
      <c r="A125" s="45">
        <f t="shared" si="27"/>
        <v>104</v>
      </c>
      <c r="B125" s="46" t="s">
        <v>154</v>
      </c>
      <c r="C125" s="45">
        <v>425791842</v>
      </c>
      <c r="D125" s="45" t="s">
        <v>122</v>
      </c>
      <c r="E125" s="45" t="s">
        <v>162</v>
      </c>
      <c r="F125" s="48">
        <v>1</v>
      </c>
      <c r="G125" s="100">
        <v>0</v>
      </c>
      <c r="H125" s="100">
        <v>0</v>
      </c>
      <c r="I125" s="100">
        <v>0</v>
      </c>
      <c r="J125" s="100">
        <v>0</v>
      </c>
      <c r="K125" s="100">
        <v>0</v>
      </c>
      <c r="L125" s="100">
        <v>0</v>
      </c>
      <c r="M125" s="100">
        <v>0</v>
      </c>
      <c r="N125" s="100">
        <v>0</v>
      </c>
      <c r="O125" s="100">
        <v>0</v>
      </c>
      <c r="P125" s="100">
        <v>0</v>
      </c>
      <c r="Q125" s="100">
        <v>0</v>
      </c>
      <c r="R125" s="100">
        <v>0</v>
      </c>
      <c r="S125" s="100">
        <v>0</v>
      </c>
      <c r="T125" s="100">
        <v>0</v>
      </c>
      <c r="U125" s="100">
        <v>0</v>
      </c>
      <c r="V125" s="100">
        <v>0</v>
      </c>
      <c r="W125" s="100">
        <v>1</v>
      </c>
      <c r="X125" s="45" t="s">
        <v>6</v>
      </c>
      <c r="Y125" s="49">
        <v>0</v>
      </c>
      <c r="Z125" s="45">
        <v>0</v>
      </c>
      <c r="AA125" s="45">
        <v>0</v>
      </c>
      <c r="AB125" s="45">
        <v>0</v>
      </c>
      <c r="AC125" s="45">
        <v>0</v>
      </c>
      <c r="AD125" s="45">
        <v>0</v>
      </c>
      <c r="AE125" s="45">
        <v>0</v>
      </c>
      <c r="AF125" s="45">
        <v>0</v>
      </c>
      <c r="AG125" s="45">
        <v>0</v>
      </c>
      <c r="AH125" s="45">
        <v>0</v>
      </c>
      <c r="AI125" s="45">
        <v>0</v>
      </c>
      <c r="AJ125" s="45">
        <v>0</v>
      </c>
      <c r="AK125" s="45">
        <v>0</v>
      </c>
      <c r="AL125" s="45">
        <v>0</v>
      </c>
      <c r="AM125" s="45">
        <v>0</v>
      </c>
      <c r="AN125" s="45">
        <v>0</v>
      </c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93"/>
      <c r="BE125" s="93"/>
      <c r="BF125" s="93"/>
      <c r="BG125" s="93"/>
      <c r="BH125" s="93"/>
      <c r="BI125" s="93"/>
      <c r="BJ125" s="93"/>
      <c r="BK125" s="93">
        <f>SUM($Z125:AD125)-SUM($CM125:CQ125)</f>
        <v>-16</v>
      </c>
      <c r="BL125" s="93">
        <f>SUM($Z125:AE125)-SUM($CM125:CR125)</f>
        <v>-32</v>
      </c>
      <c r="BM125" s="93">
        <f>SUM($Z125:AF125)-SUM($CM125:CS125)</f>
        <v>-48</v>
      </c>
      <c r="BN125" s="93">
        <f>SUM($Z125:AG125)-SUM($CM125:CT125)</f>
        <v>-64</v>
      </c>
      <c r="BO125" s="93">
        <f>SUM($Z125:AH125)-SUM($CM125:CU125)</f>
        <v>-80</v>
      </c>
      <c r="BP125" s="93">
        <f>SUM($Z125:AI125)-SUM($CM125:CV125)</f>
        <v>-96</v>
      </c>
      <c r="BQ125" s="93">
        <f>SUM($Z125:AJ125)-SUM($CM125:CW125)</f>
        <v>-112</v>
      </c>
      <c r="BR125" s="93">
        <f>SUM($Z125:AK125)-SUM($CM125:CX125)</f>
        <v>-128</v>
      </c>
      <c r="BS125" s="93">
        <f>SUM($Z125:AL125)-SUM($CM125:CY125)</f>
        <v>-128</v>
      </c>
      <c r="BT125" s="93">
        <f>SUM($Z125:AM125)-SUM($CM125:CZ125)</f>
        <v>-128</v>
      </c>
      <c r="BU125" s="93">
        <f>SUM($Z125:AN125)-SUM($CM125:DA125)</f>
        <v>-128</v>
      </c>
      <c r="BV125" s="93">
        <f>SUM($Z125:AO125)-SUM($CM125:DB125)</f>
        <v>-128</v>
      </c>
      <c r="BW125" s="93">
        <f>SUM($Z125:AP125)-SUM($CM125:DC125)</f>
        <v>-128</v>
      </c>
      <c r="BX125" s="93">
        <f>SUM($Z125:AQ125)-SUM($CM125:DD125)</f>
        <v>-128</v>
      </c>
      <c r="BY125" s="93">
        <f>SUM($Z125:AR125)-SUM($CM125:DE125)</f>
        <v>-128</v>
      </c>
      <c r="BZ125" s="93">
        <f>SUM($Z125:AS125)-SUM($CM125:DF125)</f>
        <v>-128</v>
      </c>
      <c r="CA125" s="93">
        <f>SUM($Z125:AT125)-SUM($CM125:DG125)</f>
        <v>-128</v>
      </c>
      <c r="CB125" s="93">
        <f>SUM($Z125:AU125)-SUM($CM125:DH125)</f>
        <v>-128</v>
      </c>
      <c r="CC125" s="93">
        <f>SUM($Z125:AV125)-SUM($CM125:DI125)</f>
        <v>-128</v>
      </c>
      <c r="CD125" s="93">
        <f>SUM($Z125:AW125)-SUM($CM125:DJ125)</f>
        <v>-128</v>
      </c>
      <c r="CE125" s="93">
        <f>SUM($Z125:AX125)-SUM($CM125:DK125)</f>
        <v>-128</v>
      </c>
      <c r="CF125" s="93">
        <f>SUM($Z125:AY125)-SUM($CM125:DL125)</f>
        <v>-128</v>
      </c>
      <c r="CG125" s="93">
        <f>SUM($Z125:AZ125)-SUM($CM125:DM125)</f>
        <v>-128</v>
      </c>
      <c r="CH125" s="93">
        <f>SUM($Z125:BA125)-SUM($CM125:DN125)</f>
        <v>-128</v>
      </c>
      <c r="CI125" s="93">
        <f>SUM($Z125:BB125)-SUM($CM125:DO125)</f>
        <v>-128</v>
      </c>
      <c r="CJ125" s="93"/>
      <c r="CK125" s="93"/>
      <c r="CL125" s="93"/>
      <c r="CM125" s="93"/>
      <c r="CN125" s="93" cm="1">
        <f t="array" ref="CN125">SUMPRODUCT(TRANSPOSE(CN$4:CN$20),$G125:$W125)</f>
        <v>0</v>
      </c>
      <c r="CO125" s="93" cm="1">
        <f t="array" ref="CO125">SUMPRODUCT(TRANSPOSE(CO$4:CO$20),$G125:$W125)</f>
        <v>0</v>
      </c>
      <c r="CP125" s="93" cm="1">
        <f t="array" ref="CP125">SUMPRODUCT(TRANSPOSE(CP$4:CP$20),$G125:$W125)</f>
        <v>0</v>
      </c>
      <c r="CQ125" s="93" cm="1">
        <f t="array" ref="CQ125">SUMPRODUCT(TRANSPOSE(CQ$4:CQ$20),$G125:$W125)</f>
        <v>16</v>
      </c>
      <c r="CR125" s="93" cm="1">
        <f t="array" ref="CR125">SUMPRODUCT(TRANSPOSE(CR$4:CR$20),$G125:$W125)</f>
        <v>16</v>
      </c>
      <c r="CS125" s="93" cm="1">
        <f t="array" ref="CS125">SUMPRODUCT(TRANSPOSE(CS$4:CS$20),$G125:$W125)</f>
        <v>16</v>
      </c>
      <c r="CT125" s="93" cm="1">
        <f t="array" ref="CT125">SUMPRODUCT(TRANSPOSE(CT$4:CT$20),$G125:$W125)</f>
        <v>16</v>
      </c>
      <c r="CU125" s="93" cm="1">
        <f t="array" ref="CU125">SUMPRODUCT(TRANSPOSE(CU$4:CU$20),$G125:$W125)</f>
        <v>16</v>
      </c>
      <c r="CV125" s="93" cm="1">
        <f t="array" ref="CV125">SUMPRODUCT(TRANSPOSE(CV$4:CV$20),$G125:$W125)</f>
        <v>16</v>
      </c>
      <c r="CW125" s="93" cm="1">
        <f t="array" ref="CW125">SUMPRODUCT(TRANSPOSE(CW$4:CW$20),$G125:$W125)</f>
        <v>16</v>
      </c>
      <c r="CX125" s="93" cm="1">
        <f t="array" ref="CX125">SUMPRODUCT(TRANSPOSE(CX$4:CX$20),$G125:$W125)</f>
        <v>16</v>
      </c>
      <c r="CY125" s="93" cm="1">
        <f t="array" ref="CY125">SUMPRODUCT(TRANSPOSE(CY$4:CY$20),$G125:$W125)</f>
        <v>0</v>
      </c>
      <c r="CZ125" s="93" cm="1">
        <f t="array" ref="CZ125">SUMPRODUCT(TRANSPOSE(CZ$4:CZ$20),$G125:$W125)</f>
        <v>0</v>
      </c>
      <c r="DA125" s="93" cm="1">
        <f t="array" ref="DA125">SUMPRODUCT(TRANSPOSE(DA$4:DA$20),$G125:$W125)</f>
        <v>0</v>
      </c>
      <c r="DB125" s="93" cm="1">
        <f t="array" ref="DB125">SUMPRODUCT(TRANSPOSE(DB$4:DB$20),$G125:$W125)</f>
        <v>0</v>
      </c>
      <c r="DC125" s="93" cm="1">
        <f t="array" ref="DC125">SUMPRODUCT(TRANSPOSE(DC$4:DC$20),$G125:$W125)</f>
        <v>0</v>
      </c>
      <c r="DD125" s="93" cm="1">
        <f t="array" ref="DD125">SUMPRODUCT(TRANSPOSE(DD$4:DD$20),$G125:$W125)</f>
        <v>0</v>
      </c>
      <c r="DE125" s="93" cm="1">
        <f t="array" ref="DE125">SUMPRODUCT(TRANSPOSE(DE$4:DE$20),$G125:$W125)</f>
        <v>0</v>
      </c>
      <c r="DF125" s="93" cm="1">
        <f t="array" ref="DF125">SUMPRODUCT(TRANSPOSE(DF$4:DF$20),$G125:$W125)</f>
        <v>0</v>
      </c>
      <c r="DG125" s="93" cm="1">
        <f t="array" ref="DG125">SUMPRODUCT(TRANSPOSE(DG$4:DG$20),$G125:$W125)</f>
        <v>0</v>
      </c>
      <c r="DH125" s="93" cm="1">
        <f t="array" ref="DH125">SUMPRODUCT(TRANSPOSE(DH$4:DH$20),$G125:$W125)</f>
        <v>0</v>
      </c>
      <c r="DI125" s="93" cm="1">
        <f t="array" ref="DI125">SUMPRODUCT(TRANSPOSE(DI$4:DI$20),$G125:$W125)</f>
        <v>0</v>
      </c>
      <c r="DJ125" s="93" cm="1">
        <f t="array" ref="DJ125">SUMPRODUCT(TRANSPOSE(DJ$4:DJ$20),$G125:$W125)</f>
        <v>0</v>
      </c>
      <c r="DK125" s="93" cm="1">
        <f t="array" ref="DK125">SUMPRODUCT(TRANSPOSE(DK$4:DK$20),$G125:$W125)</f>
        <v>0</v>
      </c>
      <c r="DL125" s="93" cm="1">
        <f t="array" ref="DL125">SUMPRODUCT(TRANSPOSE(DL$4:DL$20),$G125:$W125)</f>
        <v>0</v>
      </c>
      <c r="DM125" s="93" cm="1">
        <f t="array" ref="DM125">SUMPRODUCT(TRANSPOSE(DM$4:DM$20),$G125:$W125)</f>
        <v>0</v>
      </c>
      <c r="DN125" s="93" cm="1">
        <f t="array" ref="DN125">SUMPRODUCT(TRANSPOSE(DN$4:DN$20),$G125:$W125)</f>
        <v>0</v>
      </c>
      <c r="DO125" s="93" cm="1">
        <f t="array" ref="DO125">SUMPRODUCT(TRANSPOSE(DO$4:DO$20),$G125:$W125)</f>
        <v>0</v>
      </c>
    </row>
    <row r="126" spans="1:119" x14ac:dyDescent="0.2">
      <c r="A126" s="45">
        <f t="shared" si="27"/>
        <v>105</v>
      </c>
      <c r="B126" s="46" t="s">
        <v>340</v>
      </c>
      <c r="C126" s="45">
        <v>417711848</v>
      </c>
      <c r="D126" s="45" t="s">
        <v>341</v>
      </c>
      <c r="E126" s="45" t="s">
        <v>162</v>
      </c>
      <c r="F126" s="48">
        <v>1</v>
      </c>
      <c r="G126" s="100">
        <v>0</v>
      </c>
      <c r="H126" s="100">
        <v>0</v>
      </c>
      <c r="I126" s="100">
        <v>0</v>
      </c>
      <c r="J126" s="100">
        <v>0</v>
      </c>
      <c r="K126" s="100">
        <v>0</v>
      </c>
      <c r="L126" s="100">
        <v>0</v>
      </c>
      <c r="M126" s="100">
        <v>0</v>
      </c>
      <c r="N126" s="100">
        <v>0</v>
      </c>
      <c r="O126" s="100">
        <v>0</v>
      </c>
      <c r="P126" s="100">
        <v>0</v>
      </c>
      <c r="Q126" s="100">
        <v>0</v>
      </c>
      <c r="R126" s="100">
        <v>0</v>
      </c>
      <c r="S126" s="100">
        <v>0</v>
      </c>
      <c r="T126" s="100">
        <v>0</v>
      </c>
      <c r="U126" s="100">
        <v>0</v>
      </c>
      <c r="V126" s="100">
        <v>0</v>
      </c>
      <c r="W126" s="100">
        <v>1</v>
      </c>
      <c r="X126" s="45" t="s">
        <v>44</v>
      </c>
      <c r="Y126" s="49">
        <v>480</v>
      </c>
      <c r="Z126" s="45">
        <v>231</v>
      </c>
      <c r="AA126" s="45">
        <v>0</v>
      </c>
      <c r="AB126" s="45">
        <v>0</v>
      </c>
      <c r="AC126" s="45">
        <v>0</v>
      </c>
      <c r="AD126" s="45">
        <v>0</v>
      </c>
      <c r="AE126" s="45">
        <v>0</v>
      </c>
      <c r="AF126" s="45">
        <v>0</v>
      </c>
      <c r="AG126" s="45">
        <v>0</v>
      </c>
      <c r="AH126" s="45">
        <v>0</v>
      </c>
      <c r="AI126" s="45">
        <v>0</v>
      </c>
      <c r="AJ126" s="45">
        <v>0</v>
      </c>
      <c r="AK126" s="45">
        <v>0</v>
      </c>
      <c r="AL126" s="45">
        <v>0</v>
      </c>
      <c r="AM126" s="45">
        <v>0</v>
      </c>
      <c r="AN126" s="45">
        <v>0</v>
      </c>
      <c r="AO126" s="45"/>
      <c r="AP126" s="45"/>
      <c r="AQ126" s="45"/>
      <c r="AR126" s="45"/>
      <c r="AS126" s="45"/>
      <c r="AT126" s="45"/>
      <c r="AU126" s="45"/>
      <c r="AV126" s="45"/>
      <c r="AW126" s="45"/>
      <c r="AX126" s="45"/>
      <c r="AY126" s="45"/>
      <c r="AZ126" s="45"/>
      <c r="BA126" s="45"/>
      <c r="BB126" s="45"/>
      <c r="BC126" s="45"/>
      <c r="BD126" s="93"/>
      <c r="BE126" s="93"/>
      <c r="BF126" s="93"/>
      <c r="BG126" s="93"/>
      <c r="BH126" s="93"/>
      <c r="BI126" s="93"/>
      <c r="BJ126" s="93"/>
      <c r="BK126" s="93">
        <f>SUM($Z126:AD126)-SUM($CM126:CQ126)</f>
        <v>215</v>
      </c>
      <c r="BL126" s="93">
        <f>SUM($Z126:AE126)-SUM($CM126:CR126)</f>
        <v>199</v>
      </c>
      <c r="BM126" s="93">
        <f>SUM($Z126:AF126)-SUM($CM126:CS126)</f>
        <v>183</v>
      </c>
      <c r="BN126" s="93">
        <f>SUM($Z126:AG126)-SUM($CM126:CT126)</f>
        <v>167</v>
      </c>
      <c r="BO126" s="93">
        <f>SUM($Z126:AH126)-SUM($CM126:CU126)</f>
        <v>151</v>
      </c>
      <c r="BP126" s="93">
        <f>SUM($Z126:AI126)-SUM($CM126:CV126)</f>
        <v>135</v>
      </c>
      <c r="BQ126" s="93">
        <f>SUM($Z126:AJ126)-SUM($CM126:CW126)</f>
        <v>119</v>
      </c>
      <c r="BR126" s="93">
        <f>SUM($Z126:AK126)-SUM($CM126:CX126)</f>
        <v>103</v>
      </c>
      <c r="BS126" s="93">
        <f>SUM($Z126:AL126)-SUM($CM126:CY126)</f>
        <v>103</v>
      </c>
      <c r="BT126" s="93">
        <f>SUM($Z126:AM126)-SUM($CM126:CZ126)</f>
        <v>103</v>
      </c>
      <c r="BU126" s="93">
        <f>SUM($Z126:AN126)-SUM($CM126:DA126)</f>
        <v>103</v>
      </c>
      <c r="BV126" s="93">
        <f>SUM($Z126:AO126)-SUM($CM126:DB126)</f>
        <v>103</v>
      </c>
      <c r="BW126" s="93">
        <f>SUM($Z126:AP126)-SUM($CM126:DC126)</f>
        <v>103</v>
      </c>
      <c r="BX126" s="93">
        <f>SUM($Z126:AQ126)-SUM($CM126:DD126)</f>
        <v>103</v>
      </c>
      <c r="BY126" s="93">
        <f>SUM($Z126:AR126)-SUM($CM126:DE126)</f>
        <v>103</v>
      </c>
      <c r="BZ126" s="93">
        <f>SUM($Z126:AS126)-SUM($CM126:DF126)</f>
        <v>103</v>
      </c>
      <c r="CA126" s="93">
        <f>SUM($Z126:AT126)-SUM($CM126:DG126)</f>
        <v>103</v>
      </c>
      <c r="CB126" s="93">
        <f>SUM($Z126:AU126)-SUM($CM126:DH126)</f>
        <v>103</v>
      </c>
      <c r="CC126" s="93">
        <f>SUM($Z126:AV126)-SUM($CM126:DI126)</f>
        <v>103</v>
      </c>
      <c r="CD126" s="93">
        <f>SUM($Z126:AW126)-SUM($CM126:DJ126)</f>
        <v>103</v>
      </c>
      <c r="CE126" s="93">
        <f>SUM($Z126:AX126)-SUM($CM126:DK126)</f>
        <v>103</v>
      </c>
      <c r="CF126" s="93">
        <f>SUM($Z126:AY126)-SUM($CM126:DL126)</f>
        <v>103</v>
      </c>
      <c r="CG126" s="93">
        <f>SUM($Z126:AZ126)-SUM($CM126:DM126)</f>
        <v>103</v>
      </c>
      <c r="CH126" s="93">
        <f>SUM($Z126:BA126)-SUM($CM126:DN126)</f>
        <v>103</v>
      </c>
      <c r="CI126" s="93">
        <f>SUM($Z126:BB126)-SUM($CM126:DO126)</f>
        <v>103</v>
      </c>
      <c r="CJ126" s="93"/>
      <c r="CK126" s="93"/>
      <c r="CL126" s="93"/>
      <c r="CM126" s="93"/>
      <c r="CN126" s="93" cm="1">
        <f t="array" ref="CN126">SUMPRODUCT(TRANSPOSE(CN$4:CN$20),$G126:$W126)</f>
        <v>0</v>
      </c>
      <c r="CO126" s="93" cm="1">
        <f t="array" ref="CO126">SUMPRODUCT(TRANSPOSE(CO$4:CO$20),$G126:$W126)</f>
        <v>0</v>
      </c>
      <c r="CP126" s="93" cm="1">
        <f t="array" ref="CP126">SUMPRODUCT(TRANSPOSE(CP$4:CP$20),$G126:$W126)</f>
        <v>0</v>
      </c>
      <c r="CQ126" s="93" cm="1">
        <f t="array" ref="CQ126">SUMPRODUCT(TRANSPOSE(CQ$4:CQ$20),$G126:$W126)</f>
        <v>16</v>
      </c>
      <c r="CR126" s="93" cm="1">
        <f t="array" ref="CR126">SUMPRODUCT(TRANSPOSE(CR$4:CR$20),$G126:$W126)</f>
        <v>16</v>
      </c>
      <c r="CS126" s="93" cm="1">
        <f t="array" ref="CS126">SUMPRODUCT(TRANSPOSE(CS$4:CS$20),$G126:$W126)</f>
        <v>16</v>
      </c>
      <c r="CT126" s="93" cm="1">
        <f t="array" ref="CT126">SUMPRODUCT(TRANSPOSE(CT$4:CT$20),$G126:$W126)</f>
        <v>16</v>
      </c>
      <c r="CU126" s="93" cm="1">
        <f t="array" ref="CU126">SUMPRODUCT(TRANSPOSE(CU$4:CU$20),$G126:$W126)</f>
        <v>16</v>
      </c>
      <c r="CV126" s="93" cm="1">
        <f t="array" ref="CV126">SUMPRODUCT(TRANSPOSE(CV$4:CV$20),$G126:$W126)</f>
        <v>16</v>
      </c>
      <c r="CW126" s="93" cm="1">
        <f t="array" ref="CW126">SUMPRODUCT(TRANSPOSE(CW$4:CW$20),$G126:$W126)</f>
        <v>16</v>
      </c>
      <c r="CX126" s="93" cm="1">
        <f t="array" ref="CX126">SUMPRODUCT(TRANSPOSE(CX$4:CX$20),$G126:$W126)</f>
        <v>16</v>
      </c>
      <c r="CY126" s="93" cm="1">
        <f t="array" ref="CY126">SUMPRODUCT(TRANSPOSE(CY$4:CY$20),$G126:$W126)</f>
        <v>0</v>
      </c>
      <c r="CZ126" s="93" cm="1">
        <f t="array" ref="CZ126">SUMPRODUCT(TRANSPOSE(CZ$4:CZ$20),$G126:$W126)</f>
        <v>0</v>
      </c>
      <c r="DA126" s="93" cm="1">
        <f t="array" ref="DA126">SUMPRODUCT(TRANSPOSE(DA$4:DA$20),$G126:$W126)</f>
        <v>0</v>
      </c>
      <c r="DB126" s="93" cm="1">
        <f t="array" ref="DB126">SUMPRODUCT(TRANSPOSE(DB$4:DB$20),$G126:$W126)</f>
        <v>0</v>
      </c>
      <c r="DC126" s="93" cm="1">
        <f t="array" ref="DC126">SUMPRODUCT(TRANSPOSE(DC$4:DC$20),$G126:$W126)</f>
        <v>0</v>
      </c>
      <c r="DD126" s="93" cm="1">
        <f t="array" ref="DD126">SUMPRODUCT(TRANSPOSE(DD$4:DD$20),$G126:$W126)</f>
        <v>0</v>
      </c>
      <c r="DE126" s="93" cm="1">
        <f t="array" ref="DE126">SUMPRODUCT(TRANSPOSE(DE$4:DE$20),$G126:$W126)</f>
        <v>0</v>
      </c>
      <c r="DF126" s="93" cm="1">
        <f t="array" ref="DF126">SUMPRODUCT(TRANSPOSE(DF$4:DF$20),$G126:$W126)</f>
        <v>0</v>
      </c>
      <c r="DG126" s="93" cm="1">
        <f t="array" ref="DG126">SUMPRODUCT(TRANSPOSE(DG$4:DG$20),$G126:$W126)</f>
        <v>0</v>
      </c>
      <c r="DH126" s="93" cm="1">
        <f t="array" ref="DH126">SUMPRODUCT(TRANSPOSE(DH$4:DH$20),$G126:$W126)</f>
        <v>0</v>
      </c>
      <c r="DI126" s="93" cm="1">
        <f t="array" ref="DI126">SUMPRODUCT(TRANSPOSE(DI$4:DI$20),$G126:$W126)</f>
        <v>0</v>
      </c>
      <c r="DJ126" s="93" cm="1">
        <f t="array" ref="DJ126">SUMPRODUCT(TRANSPOSE(DJ$4:DJ$20),$G126:$W126)</f>
        <v>0</v>
      </c>
      <c r="DK126" s="93" cm="1">
        <f t="array" ref="DK126">SUMPRODUCT(TRANSPOSE(DK$4:DK$20),$G126:$W126)</f>
        <v>0</v>
      </c>
      <c r="DL126" s="93" cm="1">
        <f t="array" ref="DL126">SUMPRODUCT(TRANSPOSE(DL$4:DL$20),$G126:$W126)</f>
        <v>0</v>
      </c>
      <c r="DM126" s="93" cm="1">
        <f t="array" ref="DM126">SUMPRODUCT(TRANSPOSE(DM$4:DM$20),$G126:$W126)</f>
        <v>0</v>
      </c>
      <c r="DN126" s="93" cm="1">
        <f t="array" ref="DN126">SUMPRODUCT(TRANSPOSE(DN$4:DN$20),$G126:$W126)</f>
        <v>0</v>
      </c>
      <c r="DO126" s="93" cm="1">
        <f t="array" ref="DO126">SUMPRODUCT(TRANSPOSE(DO$4:DO$20),$G126:$W126)</f>
        <v>0</v>
      </c>
    </row>
    <row r="127" spans="1:119" x14ac:dyDescent="0.2">
      <c r="A127" s="45">
        <f t="shared" si="27"/>
        <v>106</v>
      </c>
      <c r="B127" s="46" t="s">
        <v>342</v>
      </c>
      <c r="C127" s="45">
        <v>417711846</v>
      </c>
      <c r="D127" s="45" t="s">
        <v>343</v>
      </c>
      <c r="E127" s="45" t="s">
        <v>162</v>
      </c>
      <c r="F127" s="48">
        <v>1</v>
      </c>
      <c r="G127" s="100">
        <v>0</v>
      </c>
      <c r="H127" s="100">
        <v>0</v>
      </c>
      <c r="I127" s="100">
        <v>0</v>
      </c>
      <c r="J127" s="100">
        <v>0</v>
      </c>
      <c r="K127" s="100">
        <v>0</v>
      </c>
      <c r="L127" s="100">
        <v>0</v>
      </c>
      <c r="M127" s="100">
        <v>0</v>
      </c>
      <c r="N127" s="100">
        <v>0</v>
      </c>
      <c r="O127" s="100">
        <v>0</v>
      </c>
      <c r="P127" s="100">
        <v>0</v>
      </c>
      <c r="Q127" s="100">
        <v>0</v>
      </c>
      <c r="R127" s="100">
        <v>0</v>
      </c>
      <c r="S127" s="100">
        <v>0</v>
      </c>
      <c r="T127" s="100">
        <v>0</v>
      </c>
      <c r="U127" s="100">
        <v>0</v>
      </c>
      <c r="V127" s="100">
        <v>0</v>
      </c>
      <c r="W127" s="100">
        <v>1</v>
      </c>
      <c r="X127" s="45" t="s">
        <v>44</v>
      </c>
      <c r="Y127" s="49">
        <v>480</v>
      </c>
      <c r="Z127" s="45">
        <v>230</v>
      </c>
      <c r="AA127" s="45">
        <v>0</v>
      </c>
      <c r="AB127" s="45">
        <v>0</v>
      </c>
      <c r="AC127" s="45">
        <v>0</v>
      </c>
      <c r="AD127" s="45">
        <v>0</v>
      </c>
      <c r="AE127" s="45">
        <v>0</v>
      </c>
      <c r="AF127" s="45">
        <v>0</v>
      </c>
      <c r="AG127" s="45">
        <v>0</v>
      </c>
      <c r="AH127" s="45">
        <v>0</v>
      </c>
      <c r="AI127" s="45">
        <v>0</v>
      </c>
      <c r="AJ127" s="45">
        <v>0</v>
      </c>
      <c r="AK127" s="45">
        <v>0</v>
      </c>
      <c r="AL127" s="45">
        <v>0</v>
      </c>
      <c r="AM127" s="45">
        <v>0</v>
      </c>
      <c r="AN127" s="45">
        <v>0</v>
      </c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93"/>
      <c r="BE127" s="93"/>
      <c r="BF127" s="93"/>
      <c r="BG127" s="93"/>
      <c r="BH127" s="93"/>
      <c r="BI127" s="93"/>
      <c r="BJ127" s="93"/>
      <c r="BK127" s="93">
        <f>SUM($Z127:AD127)-SUM($CM127:CQ127)</f>
        <v>214</v>
      </c>
      <c r="BL127" s="93">
        <f>SUM($Z127:AE127)-SUM($CM127:CR127)</f>
        <v>198</v>
      </c>
      <c r="BM127" s="93">
        <f>SUM($Z127:AF127)-SUM($CM127:CS127)</f>
        <v>182</v>
      </c>
      <c r="BN127" s="93">
        <f>SUM($Z127:AG127)-SUM($CM127:CT127)</f>
        <v>166</v>
      </c>
      <c r="BO127" s="93">
        <f>SUM($Z127:AH127)-SUM($CM127:CU127)</f>
        <v>150</v>
      </c>
      <c r="BP127" s="93">
        <f>SUM($Z127:AI127)-SUM($CM127:CV127)</f>
        <v>134</v>
      </c>
      <c r="BQ127" s="93">
        <f>SUM($Z127:AJ127)-SUM($CM127:CW127)</f>
        <v>118</v>
      </c>
      <c r="BR127" s="93">
        <f>SUM($Z127:AK127)-SUM($CM127:CX127)</f>
        <v>102</v>
      </c>
      <c r="BS127" s="93">
        <f>SUM($Z127:AL127)-SUM($CM127:CY127)</f>
        <v>102</v>
      </c>
      <c r="BT127" s="93">
        <f>SUM($Z127:AM127)-SUM($CM127:CZ127)</f>
        <v>102</v>
      </c>
      <c r="BU127" s="93">
        <f>SUM($Z127:AN127)-SUM($CM127:DA127)</f>
        <v>102</v>
      </c>
      <c r="BV127" s="93">
        <f>SUM($Z127:AO127)-SUM($CM127:DB127)</f>
        <v>102</v>
      </c>
      <c r="BW127" s="93">
        <f>SUM($Z127:AP127)-SUM($CM127:DC127)</f>
        <v>102</v>
      </c>
      <c r="BX127" s="93">
        <f>SUM($Z127:AQ127)-SUM($CM127:DD127)</f>
        <v>102</v>
      </c>
      <c r="BY127" s="93">
        <f>SUM($Z127:AR127)-SUM($CM127:DE127)</f>
        <v>102</v>
      </c>
      <c r="BZ127" s="93">
        <f>SUM($Z127:AS127)-SUM($CM127:DF127)</f>
        <v>102</v>
      </c>
      <c r="CA127" s="93">
        <f>SUM($Z127:AT127)-SUM($CM127:DG127)</f>
        <v>102</v>
      </c>
      <c r="CB127" s="93">
        <f>SUM($Z127:AU127)-SUM($CM127:DH127)</f>
        <v>102</v>
      </c>
      <c r="CC127" s="93">
        <f>SUM($Z127:AV127)-SUM($CM127:DI127)</f>
        <v>102</v>
      </c>
      <c r="CD127" s="93">
        <f>SUM($Z127:AW127)-SUM($CM127:DJ127)</f>
        <v>102</v>
      </c>
      <c r="CE127" s="93">
        <f>SUM($Z127:AX127)-SUM($CM127:DK127)</f>
        <v>102</v>
      </c>
      <c r="CF127" s="93">
        <f>SUM($Z127:AY127)-SUM($CM127:DL127)</f>
        <v>102</v>
      </c>
      <c r="CG127" s="93">
        <f>SUM($Z127:AZ127)-SUM($CM127:DM127)</f>
        <v>102</v>
      </c>
      <c r="CH127" s="93">
        <f>SUM($Z127:BA127)-SUM($CM127:DN127)</f>
        <v>102</v>
      </c>
      <c r="CI127" s="93">
        <f>SUM($Z127:BB127)-SUM($CM127:DO127)</f>
        <v>102</v>
      </c>
      <c r="CJ127" s="93"/>
      <c r="CK127" s="93"/>
      <c r="CL127" s="93"/>
      <c r="CM127" s="93"/>
      <c r="CN127" s="93" cm="1">
        <f t="array" ref="CN127">SUMPRODUCT(TRANSPOSE(CN$4:CN$20),$G127:$W127)</f>
        <v>0</v>
      </c>
      <c r="CO127" s="93" cm="1">
        <f t="array" ref="CO127">SUMPRODUCT(TRANSPOSE(CO$4:CO$20),$G127:$W127)</f>
        <v>0</v>
      </c>
      <c r="CP127" s="93" cm="1">
        <f t="array" ref="CP127">SUMPRODUCT(TRANSPOSE(CP$4:CP$20),$G127:$W127)</f>
        <v>0</v>
      </c>
      <c r="CQ127" s="93" cm="1">
        <f t="array" ref="CQ127">SUMPRODUCT(TRANSPOSE(CQ$4:CQ$20),$G127:$W127)</f>
        <v>16</v>
      </c>
      <c r="CR127" s="93" cm="1">
        <f t="array" ref="CR127">SUMPRODUCT(TRANSPOSE(CR$4:CR$20),$G127:$W127)</f>
        <v>16</v>
      </c>
      <c r="CS127" s="93" cm="1">
        <f t="array" ref="CS127">SUMPRODUCT(TRANSPOSE(CS$4:CS$20),$G127:$W127)</f>
        <v>16</v>
      </c>
      <c r="CT127" s="93" cm="1">
        <f t="array" ref="CT127">SUMPRODUCT(TRANSPOSE(CT$4:CT$20),$G127:$W127)</f>
        <v>16</v>
      </c>
      <c r="CU127" s="93" cm="1">
        <f t="array" ref="CU127">SUMPRODUCT(TRANSPOSE(CU$4:CU$20),$G127:$W127)</f>
        <v>16</v>
      </c>
      <c r="CV127" s="93" cm="1">
        <f t="array" ref="CV127">SUMPRODUCT(TRANSPOSE(CV$4:CV$20),$G127:$W127)</f>
        <v>16</v>
      </c>
      <c r="CW127" s="93" cm="1">
        <f t="array" ref="CW127">SUMPRODUCT(TRANSPOSE(CW$4:CW$20),$G127:$W127)</f>
        <v>16</v>
      </c>
      <c r="CX127" s="93" cm="1">
        <f t="array" ref="CX127">SUMPRODUCT(TRANSPOSE(CX$4:CX$20),$G127:$W127)</f>
        <v>16</v>
      </c>
      <c r="CY127" s="93" cm="1">
        <f t="array" ref="CY127">SUMPRODUCT(TRANSPOSE(CY$4:CY$20),$G127:$W127)</f>
        <v>0</v>
      </c>
      <c r="CZ127" s="93" cm="1">
        <f t="array" ref="CZ127">SUMPRODUCT(TRANSPOSE(CZ$4:CZ$20),$G127:$W127)</f>
        <v>0</v>
      </c>
      <c r="DA127" s="93" cm="1">
        <f t="array" ref="DA127">SUMPRODUCT(TRANSPOSE(DA$4:DA$20),$G127:$W127)</f>
        <v>0</v>
      </c>
      <c r="DB127" s="93" cm="1">
        <f t="array" ref="DB127">SUMPRODUCT(TRANSPOSE(DB$4:DB$20),$G127:$W127)</f>
        <v>0</v>
      </c>
      <c r="DC127" s="93" cm="1">
        <f t="array" ref="DC127">SUMPRODUCT(TRANSPOSE(DC$4:DC$20),$G127:$W127)</f>
        <v>0</v>
      </c>
      <c r="DD127" s="93" cm="1">
        <f t="array" ref="DD127">SUMPRODUCT(TRANSPOSE(DD$4:DD$20),$G127:$W127)</f>
        <v>0</v>
      </c>
      <c r="DE127" s="93" cm="1">
        <f t="array" ref="DE127">SUMPRODUCT(TRANSPOSE(DE$4:DE$20),$G127:$W127)</f>
        <v>0</v>
      </c>
      <c r="DF127" s="93" cm="1">
        <f t="array" ref="DF127">SUMPRODUCT(TRANSPOSE(DF$4:DF$20),$G127:$W127)</f>
        <v>0</v>
      </c>
      <c r="DG127" s="93" cm="1">
        <f t="array" ref="DG127">SUMPRODUCT(TRANSPOSE(DG$4:DG$20),$G127:$W127)</f>
        <v>0</v>
      </c>
      <c r="DH127" s="93" cm="1">
        <f t="array" ref="DH127">SUMPRODUCT(TRANSPOSE(DH$4:DH$20),$G127:$W127)</f>
        <v>0</v>
      </c>
      <c r="DI127" s="93" cm="1">
        <f t="array" ref="DI127">SUMPRODUCT(TRANSPOSE(DI$4:DI$20),$G127:$W127)</f>
        <v>0</v>
      </c>
      <c r="DJ127" s="93" cm="1">
        <f t="array" ref="DJ127">SUMPRODUCT(TRANSPOSE(DJ$4:DJ$20),$G127:$W127)</f>
        <v>0</v>
      </c>
      <c r="DK127" s="93" cm="1">
        <f t="array" ref="DK127">SUMPRODUCT(TRANSPOSE(DK$4:DK$20),$G127:$W127)</f>
        <v>0</v>
      </c>
      <c r="DL127" s="93" cm="1">
        <f t="array" ref="DL127">SUMPRODUCT(TRANSPOSE(DL$4:DL$20),$G127:$W127)</f>
        <v>0</v>
      </c>
      <c r="DM127" s="93" cm="1">
        <f t="array" ref="DM127">SUMPRODUCT(TRANSPOSE(DM$4:DM$20),$G127:$W127)</f>
        <v>0</v>
      </c>
      <c r="DN127" s="93" cm="1">
        <f t="array" ref="DN127">SUMPRODUCT(TRANSPOSE(DN$4:DN$20),$G127:$W127)</f>
        <v>0</v>
      </c>
      <c r="DO127" s="93" cm="1">
        <f t="array" ref="DO127">SUMPRODUCT(TRANSPOSE(DO$4:DO$20),$G127:$W127)</f>
        <v>0</v>
      </c>
    </row>
    <row r="128" spans="1:119" x14ac:dyDescent="0.2">
      <c r="A128" s="45">
        <f t="shared" si="27"/>
        <v>107</v>
      </c>
      <c r="B128" s="46" t="s">
        <v>149</v>
      </c>
      <c r="C128" s="45">
        <v>423206890</v>
      </c>
      <c r="D128" s="45" t="s">
        <v>117</v>
      </c>
      <c r="E128" s="45" t="s">
        <v>162</v>
      </c>
      <c r="F128" s="48">
        <v>1</v>
      </c>
      <c r="G128" s="100">
        <v>0</v>
      </c>
      <c r="H128" s="100">
        <v>0</v>
      </c>
      <c r="I128" s="100">
        <v>0</v>
      </c>
      <c r="J128" s="100">
        <v>0</v>
      </c>
      <c r="K128" s="100">
        <v>0</v>
      </c>
      <c r="L128" s="100">
        <v>0</v>
      </c>
      <c r="M128" s="100">
        <v>0</v>
      </c>
      <c r="N128" s="100">
        <v>0</v>
      </c>
      <c r="O128" s="100">
        <v>0</v>
      </c>
      <c r="P128" s="100">
        <v>0</v>
      </c>
      <c r="Q128" s="100">
        <v>0</v>
      </c>
      <c r="R128" s="100">
        <v>0</v>
      </c>
      <c r="S128" s="100">
        <v>0</v>
      </c>
      <c r="T128" s="100">
        <v>0</v>
      </c>
      <c r="U128" s="100">
        <v>0</v>
      </c>
      <c r="V128" s="100">
        <v>0</v>
      </c>
      <c r="W128" s="100">
        <v>1</v>
      </c>
      <c r="X128" s="45" t="s">
        <v>203</v>
      </c>
      <c r="Y128" s="49">
        <v>0</v>
      </c>
      <c r="Z128" s="45">
        <v>62</v>
      </c>
      <c r="AA128" s="45">
        <v>0</v>
      </c>
      <c r="AB128" s="45">
        <v>0</v>
      </c>
      <c r="AC128" s="45">
        <v>0</v>
      </c>
      <c r="AD128" s="45">
        <v>0</v>
      </c>
      <c r="AE128" s="45">
        <v>0</v>
      </c>
      <c r="AF128" s="45">
        <v>0</v>
      </c>
      <c r="AG128" s="45">
        <v>0</v>
      </c>
      <c r="AH128" s="45">
        <v>0</v>
      </c>
      <c r="AI128" s="45">
        <v>0</v>
      </c>
      <c r="AJ128" s="45">
        <v>0</v>
      </c>
      <c r="AK128" s="45">
        <v>0</v>
      </c>
      <c r="AL128" s="45">
        <v>0</v>
      </c>
      <c r="AM128" s="45">
        <v>0</v>
      </c>
      <c r="AN128" s="45">
        <v>0</v>
      </c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45"/>
      <c r="BD128" s="93"/>
      <c r="BE128" s="93"/>
      <c r="BF128" s="93"/>
      <c r="BG128" s="93"/>
      <c r="BH128" s="93"/>
      <c r="BI128" s="93"/>
      <c r="BJ128" s="93"/>
      <c r="BK128" s="93">
        <f>SUM($Z128:AD128)-SUM($CM128:CQ128)</f>
        <v>46</v>
      </c>
      <c r="BL128" s="93">
        <f>SUM($Z128:AE128)-SUM($CM128:CR128)</f>
        <v>30</v>
      </c>
      <c r="BM128" s="93">
        <f>SUM($Z128:AF128)-SUM($CM128:CS128)</f>
        <v>14</v>
      </c>
      <c r="BN128" s="93">
        <f>SUM($Z128:AG128)-SUM($CM128:CT128)</f>
        <v>-2</v>
      </c>
      <c r="BO128" s="93">
        <f>SUM($Z128:AH128)-SUM($CM128:CU128)</f>
        <v>-18</v>
      </c>
      <c r="BP128" s="93">
        <f>SUM($Z128:AI128)-SUM($CM128:CV128)</f>
        <v>-34</v>
      </c>
      <c r="BQ128" s="93">
        <f>SUM($Z128:AJ128)-SUM($CM128:CW128)</f>
        <v>-50</v>
      </c>
      <c r="BR128" s="93">
        <f>SUM($Z128:AK128)-SUM($CM128:CX128)</f>
        <v>-66</v>
      </c>
      <c r="BS128" s="93">
        <f>SUM($Z128:AL128)-SUM($CM128:CY128)</f>
        <v>-66</v>
      </c>
      <c r="BT128" s="93">
        <f>SUM($Z128:AM128)-SUM($CM128:CZ128)</f>
        <v>-66</v>
      </c>
      <c r="BU128" s="93">
        <f>SUM($Z128:AN128)-SUM($CM128:DA128)</f>
        <v>-66</v>
      </c>
      <c r="BV128" s="93">
        <f>SUM($Z128:AO128)-SUM($CM128:DB128)</f>
        <v>-66</v>
      </c>
      <c r="BW128" s="93">
        <f>SUM($Z128:AP128)-SUM($CM128:DC128)</f>
        <v>-66</v>
      </c>
      <c r="BX128" s="93">
        <f>SUM($Z128:AQ128)-SUM($CM128:DD128)</f>
        <v>-66</v>
      </c>
      <c r="BY128" s="93">
        <f>SUM($Z128:AR128)-SUM($CM128:DE128)</f>
        <v>-66</v>
      </c>
      <c r="BZ128" s="93">
        <f>SUM($Z128:AS128)-SUM($CM128:DF128)</f>
        <v>-66</v>
      </c>
      <c r="CA128" s="93">
        <f>SUM($Z128:AT128)-SUM($CM128:DG128)</f>
        <v>-66</v>
      </c>
      <c r="CB128" s="93">
        <f>SUM($Z128:AU128)-SUM($CM128:DH128)</f>
        <v>-66</v>
      </c>
      <c r="CC128" s="93">
        <f>SUM($Z128:AV128)-SUM($CM128:DI128)</f>
        <v>-66</v>
      </c>
      <c r="CD128" s="93">
        <f>SUM($Z128:AW128)-SUM($CM128:DJ128)</f>
        <v>-66</v>
      </c>
      <c r="CE128" s="93">
        <f>SUM($Z128:AX128)-SUM($CM128:DK128)</f>
        <v>-66</v>
      </c>
      <c r="CF128" s="93">
        <f>SUM($Z128:AY128)-SUM($CM128:DL128)</f>
        <v>-66</v>
      </c>
      <c r="CG128" s="93">
        <f>SUM($Z128:AZ128)-SUM($CM128:DM128)</f>
        <v>-66</v>
      </c>
      <c r="CH128" s="93">
        <f>SUM($Z128:BA128)-SUM($CM128:DN128)</f>
        <v>-66</v>
      </c>
      <c r="CI128" s="93">
        <f>SUM($Z128:BB128)-SUM($CM128:DO128)</f>
        <v>-66</v>
      </c>
      <c r="CJ128" s="93"/>
      <c r="CK128" s="93"/>
      <c r="CL128" s="93"/>
      <c r="CM128" s="93"/>
      <c r="CN128" s="93" cm="1">
        <f t="array" ref="CN128">SUMPRODUCT(TRANSPOSE(CN$4:CN$20),$G128:$W128)</f>
        <v>0</v>
      </c>
      <c r="CO128" s="93" cm="1">
        <f t="array" ref="CO128">SUMPRODUCT(TRANSPOSE(CO$4:CO$20),$G128:$W128)</f>
        <v>0</v>
      </c>
      <c r="CP128" s="93" cm="1">
        <f t="array" ref="CP128">SUMPRODUCT(TRANSPOSE(CP$4:CP$20),$G128:$W128)</f>
        <v>0</v>
      </c>
      <c r="CQ128" s="93" cm="1">
        <f t="array" ref="CQ128">SUMPRODUCT(TRANSPOSE(CQ$4:CQ$20),$G128:$W128)</f>
        <v>16</v>
      </c>
      <c r="CR128" s="93" cm="1">
        <f t="array" ref="CR128">SUMPRODUCT(TRANSPOSE(CR$4:CR$20),$G128:$W128)</f>
        <v>16</v>
      </c>
      <c r="CS128" s="93" cm="1">
        <f t="array" ref="CS128">SUMPRODUCT(TRANSPOSE(CS$4:CS$20),$G128:$W128)</f>
        <v>16</v>
      </c>
      <c r="CT128" s="93" cm="1">
        <f t="array" ref="CT128">SUMPRODUCT(TRANSPOSE(CT$4:CT$20),$G128:$W128)</f>
        <v>16</v>
      </c>
      <c r="CU128" s="93" cm="1">
        <f t="array" ref="CU128">SUMPRODUCT(TRANSPOSE(CU$4:CU$20),$G128:$W128)</f>
        <v>16</v>
      </c>
      <c r="CV128" s="93" cm="1">
        <f t="array" ref="CV128">SUMPRODUCT(TRANSPOSE(CV$4:CV$20),$G128:$W128)</f>
        <v>16</v>
      </c>
      <c r="CW128" s="93" cm="1">
        <f t="array" ref="CW128">SUMPRODUCT(TRANSPOSE(CW$4:CW$20),$G128:$W128)</f>
        <v>16</v>
      </c>
      <c r="CX128" s="93" cm="1">
        <f t="array" ref="CX128">SUMPRODUCT(TRANSPOSE(CX$4:CX$20),$G128:$W128)</f>
        <v>16</v>
      </c>
      <c r="CY128" s="93" cm="1">
        <f t="array" ref="CY128">SUMPRODUCT(TRANSPOSE(CY$4:CY$20),$G128:$W128)</f>
        <v>0</v>
      </c>
      <c r="CZ128" s="93" cm="1">
        <f t="array" ref="CZ128">SUMPRODUCT(TRANSPOSE(CZ$4:CZ$20),$G128:$W128)</f>
        <v>0</v>
      </c>
      <c r="DA128" s="93" cm="1">
        <f t="array" ref="DA128">SUMPRODUCT(TRANSPOSE(DA$4:DA$20),$G128:$W128)</f>
        <v>0</v>
      </c>
      <c r="DB128" s="93" cm="1">
        <f t="array" ref="DB128">SUMPRODUCT(TRANSPOSE(DB$4:DB$20),$G128:$W128)</f>
        <v>0</v>
      </c>
      <c r="DC128" s="93" cm="1">
        <f t="array" ref="DC128">SUMPRODUCT(TRANSPOSE(DC$4:DC$20),$G128:$W128)</f>
        <v>0</v>
      </c>
      <c r="DD128" s="93" cm="1">
        <f t="array" ref="DD128">SUMPRODUCT(TRANSPOSE(DD$4:DD$20),$G128:$W128)</f>
        <v>0</v>
      </c>
      <c r="DE128" s="93" cm="1">
        <f t="array" ref="DE128">SUMPRODUCT(TRANSPOSE(DE$4:DE$20),$G128:$W128)</f>
        <v>0</v>
      </c>
      <c r="DF128" s="93" cm="1">
        <f t="array" ref="DF128">SUMPRODUCT(TRANSPOSE(DF$4:DF$20),$G128:$W128)</f>
        <v>0</v>
      </c>
      <c r="DG128" s="93" cm="1">
        <f t="array" ref="DG128">SUMPRODUCT(TRANSPOSE(DG$4:DG$20),$G128:$W128)</f>
        <v>0</v>
      </c>
      <c r="DH128" s="93" cm="1">
        <f t="array" ref="DH128">SUMPRODUCT(TRANSPOSE(DH$4:DH$20),$G128:$W128)</f>
        <v>0</v>
      </c>
      <c r="DI128" s="93" cm="1">
        <f t="array" ref="DI128">SUMPRODUCT(TRANSPOSE(DI$4:DI$20),$G128:$W128)</f>
        <v>0</v>
      </c>
      <c r="DJ128" s="93" cm="1">
        <f t="array" ref="DJ128">SUMPRODUCT(TRANSPOSE(DJ$4:DJ$20),$G128:$W128)</f>
        <v>0</v>
      </c>
      <c r="DK128" s="93" cm="1">
        <f t="array" ref="DK128">SUMPRODUCT(TRANSPOSE(DK$4:DK$20),$G128:$W128)</f>
        <v>0</v>
      </c>
      <c r="DL128" s="93" cm="1">
        <f t="array" ref="DL128">SUMPRODUCT(TRANSPOSE(DL$4:DL$20),$G128:$W128)</f>
        <v>0</v>
      </c>
      <c r="DM128" s="93" cm="1">
        <f t="array" ref="DM128">SUMPRODUCT(TRANSPOSE(DM$4:DM$20),$G128:$W128)</f>
        <v>0</v>
      </c>
      <c r="DN128" s="93" cm="1">
        <f t="array" ref="DN128">SUMPRODUCT(TRANSPOSE(DN$4:DN$20),$G128:$W128)</f>
        <v>0</v>
      </c>
      <c r="DO128" s="93" cm="1">
        <f t="array" ref="DO128">SUMPRODUCT(TRANSPOSE(DO$4:DO$20),$G128:$W128)</f>
        <v>0</v>
      </c>
    </row>
    <row r="129" spans="1:119" x14ac:dyDescent="0.2">
      <c r="A129" s="45">
        <f t="shared" si="27"/>
        <v>108</v>
      </c>
      <c r="B129" s="46" t="s">
        <v>344</v>
      </c>
      <c r="C129" s="45">
        <v>423199570</v>
      </c>
      <c r="D129" s="45" t="s">
        <v>345</v>
      </c>
      <c r="E129" s="45" t="s">
        <v>162</v>
      </c>
      <c r="F129" s="48">
        <v>1</v>
      </c>
      <c r="G129" s="100">
        <v>0</v>
      </c>
      <c r="H129" s="100">
        <v>0</v>
      </c>
      <c r="I129" s="100">
        <v>0</v>
      </c>
      <c r="J129" s="100">
        <v>0</v>
      </c>
      <c r="K129" s="100">
        <v>0</v>
      </c>
      <c r="L129" s="100">
        <v>0</v>
      </c>
      <c r="M129" s="100">
        <v>0</v>
      </c>
      <c r="N129" s="100">
        <v>0</v>
      </c>
      <c r="O129" s="100">
        <v>0</v>
      </c>
      <c r="P129" s="100">
        <v>0</v>
      </c>
      <c r="Q129" s="100">
        <v>0</v>
      </c>
      <c r="R129" s="100">
        <v>0</v>
      </c>
      <c r="S129" s="100">
        <v>0</v>
      </c>
      <c r="T129" s="100">
        <v>0</v>
      </c>
      <c r="U129" s="100">
        <v>0</v>
      </c>
      <c r="V129" s="100">
        <v>0</v>
      </c>
      <c r="W129" s="100">
        <v>1</v>
      </c>
      <c r="X129" s="45" t="s">
        <v>44</v>
      </c>
      <c r="Y129" s="49">
        <v>1.1000000000000001</v>
      </c>
      <c r="Z129" s="45">
        <v>231</v>
      </c>
      <c r="AA129" s="45">
        <v>0</v>
      </c>
      <c r="AB129" s="45">
        <v>0</v>
      </c>
      <c r="AC129" s="45">
        <v>0</v>
      </c>
      <c r="AD129" s="45">
        <v>0</v>
      </c>
      <c r="AE129" s="45">
        <v>0</v>
      </c>
      <c r="AF129" s="45">
        <v>0</v>
      </c>
      <c r="AG129" s="45">
        <v>0</v>
      </c>
      <c r="AH129" s="45">
        <v>0</v>
      </c>
      <c r="AI129" s="45">
        <v>0</v>
      </c>
      <c r="AJ129" s="45">
        <v>0</v>
      </c>
      <c r="AK129" s="45">
        <v>0</v>
      </c>
      <c r="AL129" s="45">
        <v>0</v>
      </c>
      <c r="AM129" s="45">
        <v>0</v>
      </c>
      <c r="AN129" s="45">
        <v>0</v>
      </c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45"/>
      <c r="BD129" s="93"/>
      <c r="BE129" s="93"/>
      <c r="BF129" s="93"/>
      <c r="BG129" s="93"/>
      <c r="BH129" s="93"/>
      <c r="BI129" s="93"/>
      <c r="BJ129" s="93"/>
      <c r="BK129" s="93">
        <f>SUM($Z129:AD129)-SUM($CM129:CQ129)</f>
        <v>215</v>
      </c>
      <c r="BL129" s="93">
        <f>SUM($Z129:AE129)-SUM($CM129:CR129)</f>
        <v>199</v>
      </c>
      <c r="BM129" s="93">
        <f>SUM($Z129:AF129)-SUM($CM129:CS129)</f>
        <v>183</v>
      </c>
      <c r="BN129" s="93">
        <f>SUM($Z129:AG129)-SUM($CM129:CT129)</f>
        <v>167</v>
      </c>
      <c r="BO129" s="93">
        <f>SUM($Z129:AH129)-SUM($CM129:CU129)</f>
        <v>151</v>
      </c>
      <c r="BP129" s="93">
        <f>SUM($Z129:AI129)-SUM($CM129:CV129)</f>
        <v>135</v>
      </c>
      <c r="BQ129" s="93">
        <f>SUM($Z129:AJ129)-SUM($CM129:CW129)</f>
        <v>119</v>
      </c>
      <c r="BR129" s="93">
        <f>SUM($Z129:AK129)-SUM($CM129:CX129)</f>
        <v>103</v>
      </c>
      <c r="BS129" s="93">
        <f>SUM($Z129:AL129)-SUM($CM129:CY129)</f>
        <v>103</v>
      </c>
      <c r="BT129" s="93">
        <f>SUM($Z129:AM129)-SUM($CM129:CZ129)</f>
        <v>103</v>
      </c>
      <c r="BU129" s="93">
        <f>SUM($Z129:AN129)-SUM($CM129:DA129)</f>
        <v>103</v>
      </c>
      <c r="BV129" s="93">
        <f>SUM($Z129:AO129)-SUM($CM129:DB129)</f>
        <v>103</v>
      </c>
      <c r="BW129" s="93">
        <f>SUM($Z129:AP129)-SUM($CM129:DC129)</f>
        <v>103</v>
      </c>
      <c r="BX129" s="93">
        <f>SUM($Z129:AQ129)-SUM($CM129:DD129)</f>
        <v>103</v>
      </c>
      <c r="BY129" s="93">
        <f>SUM($Z129:AR129)-SUM($CM129:DE129)</f>
        <v>103</v>
      </c>
      <c r="BZ129" s="93">
        <f>SUM($Z129:AS129)-SUM($CM129:DF129)</f>
        <v>103</v>
      </c>
      <c r="CA129" s="93">
        <f>SUM($Z129:AT129)-SUM($CM129:DG129)</f>
        <v>103</v>
      </c>
      <c r="CB129" s="93">
        <f>SUM($Z129:AU129)-SUM($CM129:DH129)</f>
        <v>103</v>
      </c>
      <c r="CC129" s="93">
        <f>SUM($Z129:AV129)-SUM($CM129:DI129)</f>
        <v>103</v>
      </c>
      <c r="CD129" s="93">
        <f>SUM($Z129:AW129)-SUM($CM129:DJ129)</f>
        <v>103</v>
      </c>
      <c r="CE129" s="93">
        <f>SUM($Z129:AX129)-SUM($CM129:DK129)</f>
        <v>103</v>
      </c>
      <c r="CF129" s="93">
        <f>SUM($Z129:AY129)-SUM($CM129:DL129)</f>
        <v>103</v>
      </c>
      <c r="CG129" s="93">
        <f>SUM($Z129:AZ129)-SUM($CM129:DM129)</f>
        <v>103</v>
      </c>
      <c r="CH129" s="93">
        <f>SUM($Z129:BA129)-SUM($CM129:DN129)</f>
        <v>103</v>
      </c>
      <c r="CI129" s="93">
        <f>SUM($Z129:BB129)-SUM($CM129:DO129)</f>
        <v>103</v>
      </c>
      <c r="CJ129" s="93"/>
      <c r="CK129" s="93"/>
      <c r="CL129" s="93"/>
      <c r="CM129" s="93"/>
      <c r="CN129" s="93" cm="1">
        <f t="array" ref="CN129">SUMPRODUCT(TRANSPOSE(CN$4:CN$20),$G129:$W129)</f>
        <v>0</v>
      </c>
      <c r="CO129" s="93" cm="1">
        <f t="array" ref="CO129">SUMPRODUCT(TRANSPOSE(CO$4:CO$20),$G129:$W129)</f>
        <v>0</v>
      </c>
      <c r="CP129" s="93" cm="1">
        <f t="array" ref="CP129">SUMPRODUCT(TRANSPOSE(CP$4:CP$20),$G129:$W129)</f>
        <v>0</v>
      </c>
      <c r="CQ129" s="93" cm="1">
        <f t="array" ref="CQ129">SUMPRODUCT(TRANSPOSE(CQ$4:CQ$20),$G129:$W129)</f>
        <v>16</v>
      </c>
      <c r="CR129" s="93" cm="1">
        <f t="array" ref="CR129">SUMPRODUCT(TRANSPOSE(CR$4:CR$20),$G129:$W129)</f>
        <v>16</v>
      </c>
      <c r="CS129" s="93" cm="1">
        <f t="array" ref="CS129">SUMPRODUCT(TRANSPOSE(CS$4:CS$20),$G129:$W129)</f>
        <v>16</v>
      </c>
      <c r="CT129" s="93" cm="1">
        <f t="array" ref="CT129">SUMPRODUCT(TRANSPOSE(CT$4:CT$20),$G129:$W129)</f>
        <v>16</v>
      </c>
      <c r="CU129" s="93" cm="1">
        <f t="array" ref="CU129">SUMPRODUCT(TRANSPOSE(CU$4:CU$20),$G129:$W129)</f>
        <v>16</v>
      </c>
      <c r="CV129" s="93" cm="1">
        <f t="array" ref="CV129">SUMPRODUCT(TRANSPOSE(CV$4:CV$20),$G129:$W129)</f>
        <v>16</v>
      </c>
      <c r="CW129" s="93" cm="1">
        <f t="array" ref="CW129">SUMPRODUCT(TRANSPOSE(CW$4:CW$20),$G129:$W129)</f>
        <v>16</v>
      </c>
      <c r="CX129" s="93" cm="1">
        <f t="array" ref="CX129">SUMPRODUCT(TRANSPOSE(CX$4:CX$20),$G129:$W129)</f>
        <v>16</v>
      </c>
      <c r="CY129" s="93" cm="1">
        <f t="array" ref="CY129">SUMPRODUCT(TRANSPOSE(CY$4:CY$20),$G129:$W129)</f>
        <v>0</v>
      </c>
      <c r="CZ129" s="93" cm="1">
        <f t="array" ref="CZ129">SUMPRODUCT(TRANSPOSE(CZ$4:CZ$20),$G129:$W129)</f>
        <v>0</v>
      </c>
      <c r="DA129" s="93" cm="1">
        <f t="array" ref="DA129">SUMPRODUCT(TRANSPOSE(DA$4:DA$20),$G129:$W129)</f>
        <v>0</v>
      </c>
      <c r="DB129" s="93" cm="1">
        <f t="array" ref="DB129">SUMPRODUCT(TRANSPOSE(DB$4:DB$20),$G129:$W129)</f>
        <v>0</v>
      </c>
      <c r="DC129" s="93" cm="1">
        <f t="array" ref="DC129">SUMPRODUCT(TRANSPOSE(DC$4:DC$20),$G129:$W129)</f>
        <v>0</v>
      </c>
      <c r="DD129" s="93" cm="1">
        <f t="array" ref="DD129">SUMPRODUCT(TRANSPOSE(DD$4:DD$20),$G129:$W129)</f>
        <v>0</v>
      </c>
      <c r="DE129" s="93" cm="1">
        <f t="array" ref="DE129">SUMPRODUCT(TRANSPOSE(DE$4:DE$20),$G129:$W129)</f>
        <v>0</v>
      </c>
      <c r="DF129" s="93" cm="1">
        <f t="array" ref="DF129">SUMPRODUCT(TRANSPOSE(DF$4:DF$20),$G129:$W129)</f>
        <v>0</v>
      </c>
      <c r="DG129" s="93" cm="1">
        <f t="array" ref="DG129">SUMPRODUCT(TRANSPOSE(DG$4:DG$20),$G129:$W129)</f>
        <v>0</v>
      </c>
      <c r="DH129" s="93" cm="1">
        <f t="array" ref="DH129">SUMPRODUCT(TRANSPOSE(DH$4:DH$20),$G129:$W129)</f>
        <v>0</v>
      </c>
      <c r="DI129" s="93" cm="1">
        <f t="array" ref="DI129">SUMPRODUCT(TRANSPOSE(DI$4:DI$20),$G129:$W129)</f>
        <v>0</v>
      </c>
      <c r="DJ129" s="93" cm="1">
        <f t="array" ref="DJ129">SUMPRODUCT(TRANSPOSE(DJ$4:DJ$20),$G129:$W129)</f>
        <v>0</v>
      </c>
      <c r="DK129" s="93" cm="1">
        <f t="array" ref="DK129">SUMPRODUCT(TRANSPOSE(DK$4:DK$20),$G129:$W129)</f>
        <v>0</v>
      </c>
      <c r="DL129" s="93" cm="1">
        <f t="array" ref="DL129">SUMPRODUCT(TRANSPOSE(DL$4:DL$20),$G129:$W129)</f>
        <v>0</v>
      </c>
      <c r="DM129" s="93" cm="1">
        <f t="array" ref="DM129">SUMPRODUCT(TRANSPOSE(DM$4:DM$20),$G129:$W129)</f>
        <v>0</v>
      </c>
      <c r="DN129" s="93" cm="1">
        <f t="array" ref="DN129">SUMPRODUCT(TRANSPOSE(DN$4:DN$20),$G129:$W129)</f>
        <v>0</v>
      </c>
      <c r="DO129" s="93" cm="1">
        <f t="array" ref="DO129">SUMPRODUCT(TRANSPOSE(DO$4:DO$20),$G129:$W129)</f>
        <v>0</v>
      </c>
    </row>
    <row r="130" spans="1:119" x14ac:dyDescent="0.2">
      <c r="A130" s="45">
        <f t="shared" si="27"/>
        <v>109</v>
      </c>
      <c r="B130" s="46" t="s">
        <v>156</v>
      </c>
      <c r="C130" s="45">
        <v>423206888</v>
      </c>
      <c r="D130" s="45" t="s">
        <v>124</v>
      </c>
      <c r="E130" s="45" t="s">
        <v>162</v>
      </c>
      <c r="F130" s="48">
        <v>1</v>
      </c>
      <c r="G130" s="100">
        <v>0</v>
      </c>
      <c r="H130" s="100">
        <v>0</v>
      </c>
      <c r="I130" s="100">
        <v>0</v>
      </c>
      <c r="J130" s="100">
        <v>0</v>
      </c>
      <c r="K130" s="100">
        <v>0</v>
      </c>
      <c r="L130" s="100">
        <v>0</v>
      </c>
      <c r="M130" s="100">
        <v>0</v>
      </c>
      <c r="N130" s="100">
        <v>0</v>
      </c>
      <c r="O130" s="100">
        <v>0</v>
      </c>
      <c r="P130" s="100">
        <v>0</v>
      </c>
      <c r="Q130" s="100">
        <v>0</v>
      </c>
      <c r="R130" s="100">
        <v>0</v>
      </c>
      <c r="S130" s="100">
        <v>0</v>
      </c>
      <c r="T130" s="100">
        <v>0</v>
      </c>
      <c r="U130" s="100">
        <v>0</v>
      </c>
      <c r="V130" s="100">
        <v>0</v>
      </c>
      <c r="W130" s="100">
        <v>1</v>
      </c>
      <c r="X130" s="45" t="s">
        <v>6</v>
      </c>
      <c r="Y130" s="49">
        <v>0</v>
      </c>
      <c r="Z130" s="45">
        <v>0</v>
      </c>
      <c r="AA130" s="45">
        <v>0</v>
      </c>
      <c r="AB130" s="45">
        <v>0</v>
      </c>
      <c r="AC130" s="45">
        <v>0</v>
      </c>
      <c r="AD130" s="45">
        <v>0</v>
      </c>
      <c r="AE130" s="45">
        <v>0</v>
      </c>
      <c r="AF130" s="45">
        <v>0</v>
      </c>
      <c r="AG130" s="45">
        <v>0</v>
      </c>
      <c r="AH130" s="45">
        <v>0</v>
      </c>
      <c r="AI130" s="45">
        <v>0</v>
      </c>
      <c r="AJ130" s="45">
        <v>0</v>
      </c>
      <c r="AK130" s="45">
        <v>0</v>
      </c>
      <c r="AL130" s="45">
        <v>0</v>
      </c>
      <c r="AM130" s="45">
        <v>0</v>
      </c>
      <c r="AN130" s="45">
        <v>0</v>
      </c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45"/>
      <c r="BD130" s="93"/>
      <c r="BE130" s="93"/>
      <c r="BF130" s="93"/>
      <c r="BG130" s="93"/>
      <c r="BH130" s="93"/>
      <c r="BI130" s="93"/>
      <c r="BJ130" s="93"/>
      <c r="BK130" s="93">
        <f>SUM($Z130:AD130)-SUM($CM130:CQ130)</f>
        <v>-16</v>
      </c>
      <c r="BL130" s="93">
        <f>SUM($Z130:AE130)-SUM($CM130:CR130)</f>
        <v>-32</v>
      </c>
      <c r="BM130" s="93">
        <f>SUM($Z130:AF130)-SUM($CM130:CS130)</f>
        <v>-48</v>
      </c>
      <c r="BN130" s="93">
        <f>SUM($Z130:AG130)-SUM($CM130:CT130)</f>
        <v>-64</v>
      </c>
      <c r="BO130" s="93">
        <f>SUM($Z130:AH130)-SUM($CM130:CU130)</f>
        <v>-80</v>
      </c>
      <c r="BP130" s="93">
        <f>SUM($Z130:AI130)-SUM($CM130:CV130)</f>
        <v>-96</v>
      </c>
      <c r="BQ130" s="93">
        <f>SUM($Z130:AJ130)-SUM($CM130:CW130)</f>
        <v>-112</v>
      </c>
      <c r="BR130" s="93">
        <f>SUM($Z130:AK130)-SUM($CM130:CX130)</f>
        <v>-128</v>
      </c>
      <c r="BS130" s="93">
        <f>SUM($Z130:AL130)-SUM($CM130:CY130)</f>
        <v>-128</v>
      </c>
      <c r="BT130" s="93">
        <f>SUM($Z130:AM130)-SUM($CM130:CZ130)</f>
        <v>-128</v>
      </c>
      <c r="BU130" s="93">
        <f>SUM($Z130:AN130)-SUM($CM130:DA130)</f>
        <v>-128</v>
      </c>
      <c r="BV130" s="93">
        <f>SUM($Z130:AO130)-SUM($CM130:DB130)</f>
        <v>-128</v>
      </c>
      <c r="BW130" s="93">
        <f>SUM($Z130:AP130)-SUM($CM130:DC130)</f>
        <v>-128</v>
      </c>
      <c r="BX130" s="93">
        <f>SUM($Z130:AQ130)-SUM($CM130:DD130)</f>
        <v>-128</v>
      </c>
      <c r="BY130" s="93">
        <f>SUM($Z130:AR130)-SUM($CM130:DE130)</f>
        <v>-128</v>
      </c>
      <c r="BZ130" s="93">
        <f>SUM($Z130:AS130)-SUM($CM130:DF130)</f>
        <v>-128</v>
      </c>
      <c r="CA130" s="93">
        <f>SUM($Z130:AT130)-SUM($CM130:DG130)</f>
        <v>-128</v>
      </c>
      <c r="CB130" s="93">
        <f>SUM($Z130:AU130)-SUM($CM130:DH130)</f>
        <v>-128</v>
      </c>
      <c r="CC130" s="93">
        <f>SUM($Z130:AV130)-SUM($CM130:DI130)</f>
        <v>-128</v>
      </c>
      <c r="CD130" s="93">
        <f>SUM($Z130:AW130)-SUM($CM130:DJ130)</f>
        <v>-128</v>
      </c>
      <c r="CE130" s="93">
        <f>SUM($Z130:AX130)-SUM($CM130:DK130)</f>
        <v>-128</v>
      </c>
      <c r="CF130" s="93">
        <f>SUM($Z130:AY130)-SUM($CM130:DL130)</f>
        <v>-128</v>
      </c>
      <c r="CG130" s="93">
        <f>SUM($Z130:AZ130)-SUM($CM130:DM130)</f>
        <v>-128</v>
      </c>
      <c r="CH130" s="93">
        <f>SUM($Z130:BA130)-SUM($CM130:DN130)</f>
        <v>-128</v>
      </c>
      <c r="CI130" s="93">
        <f>SUM($Z130:BB130)-SUM($CM130:DO130)</f>
        <v>-128</v>
      </c>
      <c r="CJ130" s="93"/>
      <c r="CK130" s="93"/>
      <c r="CL130" s="93"/>
      <c r="CM130" s="93"/>
      <c r="CN130" s="93" cm="1">
        <f t="array" ref="CN130">SUMPRODUCT(TRANSPOSE(CN$4:CN$20),$G130:$W130)</f>
        <v>0</v>
      </c>
      <c r="CO130" s="93" cm="1">
        <f t="array" ref="CO130">SUMPRODUCT(TRANSPOSE(CO$4:CO$20),$G130:$W130)</f>
        <v>0</v>
      </c>
      <c r="CP130" s="93" cm="1">
        <f t="array" ref="CP130">SUMPRODUCT(TRANSPOSE(CP$4:CP$20),$G130:$W130)</f>
        <v>0</v>
      </c>
      <c r="CQ130" s="93" cm="1">
        <f t="array" ref="CQ130">SUMPRODUCT(TRANSPOSE(CQ$4:CQ$20),$G130:$W130)</f>
        <v>16</v>
      </c>
      <c r="CR130" s="93" cm="1">
        <f t="array" ref="CR130">SUMPRODUCT(TRANSPOSE(CR$4:CR$20),$G130:$W130)</f>
        <v>16</v>
      </c>
      <c r="CS130" s="93" cm="1">
        <f t="array" ref="CS130">SUMPRODUCT(TRANSPOSE(CS$4:CS$20),$G130:$W130)</f>
        <v>16</v>
      </c>
      <c r="CT130" s="93" cm="1">
        <f t="array" ref="CT130">SUMPRODUCT(TRANSPOSE(CT$4:CT$20),$G130:$W130)</f>
        <v>16</v>
      </c>
      <c r="CU130" s="93" cm="1">
        <f t="array" ref="CU130">SUMPRODUCT(TRANSPOSE(CU$4:CU$20),$G130:$W130)</f>
        <v>16</v>
      </c>
      <c r="CV130" s="93" cm="1">
        <f t="array" ref="CV130">SUMPRODUCT(TRANSPOSE(CV$4:CV$20),$G130:$W130)</f>
        <v>16</v>
      </c>
      <c r="CW130" s="93" cm="1">
        <f t="array" ref="CW130">SUMPRODUCT(TRANSPOSE(CW$4:CW$20),$G130:$W130)</f>
        <v>16</v>
      </c>
      <c r="CX130" s="93" cm="1">
        <f t="array" ref="CX130">SUMPRODUCT(TRANSPOSE(CX$4:CX$20),$G130:$W130)</f>
        <v>16</v>
      </c>
      <c r="CY130" s="93" cm="1">
        <f t="array" ref="CY130">SUMPRODUCT(TRANSPOSE(CY$4:CY$20),$G130:$W130)</f>
        <v>0</v>
      </c>
      <c r="CZ130" s="93" cm="1">
        <f t="array" ref="CZ130">SUMPRODUCT(TRANSPOSE(CZ$4:CZ$20),$G130:$W130)</f>
        <v>0</v>
      </c>
      <c r="DA130" s="93" cm="1">
        <f t="array" ref="DA130">SUMPRODUCT(TRANSPOSE(DA$4:DA$20),$G130:$W130)</f>
        <v>0</v>
      </c>
      <c r="DB130" s="93" cm="1">
        <f t="array" ref="DB130">SUMPRODUCT(TRANSPOSE(DB$4:DB$20),$G130:$W130)</f>
        <v>0</v>
      </c>
      <c r="DC130" s="93" cm="1">
        <f t="array" ref="DC130">SUMPRODUCT(TRANSPOSE(DC$4:DC$20),$G130:$W130)</f>
        <v>0</v>
      </c>
      <c r="DD130" s="93" cm="1">
        <f t="array" ref="DD130">SUMPRODUCT(TRANSPOSE(DD$4:DD$20),$G130:$W130)</f>
        <v>0</v>
      </c>
      <c r="DE130" s="93" cm="1">
        <f t="array" ref="DE130">SUMPRODUCT(TRANSPOSE(DE$4:DE$20),$G130:$W130)</f>
        <v>0</v>
      </c>
      <c r="DF130" s="93" cm="1">
        <f t="array" ref="DF130">SUMPRODUCT(TRANSPOSE(DF$4:DF$20),$G130:$W130)</f>
        <v>0</v>
      </c>
      <c r="DG130" s="93" cm="1">
        <f t="array" ref="DG130">SUMPRODUCT(TRANSPOSE(DG$4:DG$20),$G130:$W130)</f>
        <v>0</v>
      </c>
      <c r="DH130" s="93" cm="1">
        <f t="array" ref="DH130">SUMPRODUCT(TRANSPOSE(DH$4:DH$20),$G130:$W130)</f>
        <v>0</v>
      </c>
      <c r="DI130" s="93" cm="1">
        <f t="array" ref="DI130">SUMPRODUCT(TRANSPOSE(DI$4:DI$20),$G130:$W130)</f>
        <v>0</v>
      </c>
      <c r="DJ130" s="93" cm="1">
        <f t="array" ref="DJ130">SUMPRODUCT(TRANSPOSE(DJ$4:DJ$20),$G130:$W130)</f>
        <v>0</v>
      </c>
      <c r="DK130" s="93" cm="1">
        <f t="array" ref="DK130">SUMPRODUCT(TRANSPOSE(DK$4:DK$20),$G130:$W130)</f>
        <v>0</v>
      </c>
      <c r="DL130" s="93" cm="1">
        <f t="array" ref="DL130">SUMPRODUCT(TRANSPOSE(DL$4:DL$20),$G130:$W130)</f>
        <v>0</v>
      </c>
      <c r="DM130" s="93" cm="1">
        <f t="array" ref="DM130">SUMPRODUCT(TRANSPOSE(DM$4:DM$20),$G130:$W130)</f>
        <v>0</v>
      </c>
      <c r="DN130" s="93" cm="1">
        <f t="array" ref="DN130">SUMPRODUCT(TRANSPOSE(DN$4:DN$20),$G130:$W130)</f>
        <v>0</v>
      </c>
      <c r="DO130" s="93" cm="1">
        <f t="array" ref="DO130">SUMPRODUCT(TRANSPOSE(DO$4:DO$20),$G130:$W130)</f>
        <v>0</v>
      </c>
    </row>
    <row r="131" spans="1:119" x14ac:dyDescent="0.2">
      <c r="A131" s="45">
        <f t="shared" si="27"/>
        <v>110</v>
      </c>
      <c r="B131" s="46" t="s">
        <v>346</v>
      </c>
      <c r="C131" s="45">
        <v>423199569</v>
      </c>
      <c r="D131" s="45" t="s">
        <v>347</v>
      </c>
      <c r="E131" s="45" t="s">
        <v>162</v>
      </c>
      <c r="F131" s="48">
        <v>1</v>
      </c>
      <c r="G131" s="100">
        <v>0</v>
      </c>
      <c r="H131" s="100">
        <v>0</v>
      </c>
      <c r="I131" s="100">
        <v>0</v>
      </c>
      <c r="J131" s="100">
        <v>0</v>
      </c>
      <c r="K131" s="100">
        <v>0</v>
      </c>
      <c r="L131" s="100">
        <v>0</v>
      </c>
      <c r="M131" s="100">
        <v>0</v>
      </c>
      <c r="N131" s="100">
        <v>0</v>
      </c>
      <c r="O131" s="100">
        <v>0</v>
      </c>
      <c r="P131" s="100">
        <v>0</v>
      </c>
      <c r="Q131" s="100">
        <v>0</v>
      </c>
      <c r="R131" s="100">
        <v>0</v>
      </c>
      <c r="S131" s="100">
        <v>0</v>
      </c>
      <c r="T131" s="100">
        <v>0</v>
      </c>
      <c r="U131" s="100">
        <v>0</v>
      </c>
      <c r="V131" s="100">
        <v>0</v>
      </c>
      <c r="W131" s="100">
        <v>1</v>
      </c>
      <c r="X131" s="45" t="s">
        <v>6</v>
      </c>
      <c r="Y131" s="49">
        <v>0</v>
      </c>
      <c r="Z131" s="45">
        <v>0</v>
      </c>
      <c r="AA131" s="45">
        <v>0</v>
      </c>
      <c r="AB131" s="45">
        <v>0</v>
      </c>
      <c r="AC131" s="45">
        <v>0</v>
      </c>
      <c r="AD131" s="45">
        <v>0</v>
      </c>
      <c r="AE131" s="45">
        <v>0</v>
      </c>
      <c r="AF131" s="45">
        <v>0</v>
      </c>
      <c r="AG131" s="45">
        <v>0</v>
      </c>
      <c r="AH131" s="45">
        <v>0</v>
      </c>
      <c r="AI131" s="45">
        <v>0</v>
      </c>
      <c r="AJ131" s="45">
        <v>0</v>
      </c>
      <c r="AK131" s="45">
        <v>0</v>
      </c>
      <c r="AL131" s="45">
        <v>0</v>
      </c>
      <c r="AM131" s="45">
        <v>0</v>
      </c>
      <c r="AN131" s="45">
        <v>0</v>
      </c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93"/>
      <c r="BE131" s="93"/>
      <c r="BF131" s="93"/>
      <c r="BG131" s="93"/>
      <c r="BH131" s="93"/>
      <c r="BI131" s="93"/>
      <c r="BJ131" s="93"/>
      <c r="BK131" s="93">
        <f>SUM($Z131:AD131)-SUM($CM131:CQ131)</f>
        <v>-16</v>
      </c>
      <c r="BL131" s="93">
        <f>SUM($Z131:AE131)-SUM($CM131:CR131)</f>
        <v>-32</v>
      </c>
      <c r="BM131" s="93">
        <f>SUM($Z131:AF131)-SUM($CM131:CS131)</f>
        <v>-48</v>
      </c>
      <c r="BN131" s="93">
        <f>SUM($Z131:AG131)-SUM($CM131:CT131)</f>
        <v>-64</v>
      </c>
      <c r="BO131" s="93">
        <f>SUM($Z131:AH131)-SUM($CM131:CU131)</f>
        <v>-80</v>
      </c>
      <c r="BP131" s="93">
        <f>SUM($Z131:AI131)-SUM($CM131:CV131)</f>
        <v>-96</v>
      </c>
      <c r="BQ131" s="93">
        <f>SUM($Z131:AJ131)-SUM($CM131:CW131)</f>
        <v>-112</v>
      </c>
      <c r="BR131" s="93">
        <f>SUM($Z131:AK131)-SUM($CM131:CX131)</f>
        <v>-128</v>
      </c>
      <c r="BS131" s="93">
        <f>SUM($Z131:AL131)-SUM($CM131:CY131)</f>
        <v>-128</v>
      </c>
      <c r="BT131" s="93">
        <f>SUM($Z131:AM131)-SUM($CM131:CZ131)</f>
        <v>-128</v>
      </c>
      <c r="BU131" s="93">
        <f>SUM($Z131:AN131)-SUM($CM131:DA131)</f>
        <v>-128</v>
      </c>
      <c r="BV131" s="93">
        <f>SUM($Z131:AO131)-SUM($CM131:DB131)</f>
        <v>-128</v>
      </c>
      <c r="BW131" s="93">
        <f>SUM($Z131:AP131)-SUM($CM131:DC131)</f>
        <v>-128</v>
      </c>
      <c r="BX131" s="93">
        <f>SUM($Z131:AQ131)-SUM($CM131:DD131)</f>
        <v>-128</v>
      </c>
      <c r="BY131" s="93">
        <f>SUM($Z131:AR131)-SUM($CM131:DE131)</f>
        <v>-128</v>
      </c>
      <c r="BZ131" s="93">
        <f>SUM($Z131:AS131)-SUM($CM131:DF131)</f>
        <v>-128</v>
      </c>
      <c r="CA131" s="93">
        <f>SUM($Z131:AT131)-SUM($CM131:DG131)</f>
        <v>-128</v>
      </c>
      <c r="CB131" s="93">
        <f>SUM($Z131:AU131)-SUM($CM131:DH131)</f>
        <v>-128</v>
      </c>
      <c r="CC131" s="93">
        <f>SUM($Z131:AV131)-SUM($CM131:DI131)</f>
        <v>-128</v>
      </c>
      <c r="CD131" s="93">
        <f>SUM($Z131:AW131)-SUM($CM131:DJ131)</f>
        <v>-128</v>
      </c>
      <c r="CE131" s="93">
        <f>SUM($Z131:AX131)-SUM($CM131:DK131)</f>
        <v>-128</v>
      </c>
      <c r="CF131" s="93">
        <f>SUM($Z131:AY131)-SUM($CM131:DL131)</f>
        <v>-128</v>
      </c>
      <c r="CG131" s="93">
        <f>SUM($Z131:AZ131)-SUM($CM131:DM131)</f>
        <v>-128</v>
      </c>
      <c r="CH131" s="93">
        <f>SUM($Z131:BA131)-SUM($CM131:DN131)</f>
        <v>-128</v>
      </c>
      <c r="CI131" s="93">
        <f>SUM($Z131:BB131)-SUM($CM131:DO131)</f>
        <v>-128</v>
      </c>
      <c r="CJ131" s="93"/>
      <c r="CK131" s="93"/>
      <c r="CL131" s="93"/>
      <c r="CM131" s="93"/>
      <c r="CN131" s="93" cm="1">
        <f t="array" ref="CN131">SUMPRODUCT(TRANSPOSE(CN$4:CN$20),$G131:$W131)</f>
        <v>0</v>
      </c>
      <c r="CO131" s="93" cm="1">
        <f t="array" ref="CO131">SUMPRODUCT(TRANSPOSE(CO$4:CO$20),$G131:$W131)</f>
        <v>0</v>
      </c>
      <c r="CP131" s="93" cm="1">
        <f t="array" ref="CP131">SUMPRODUCT(TRANSPOSE(CP$4:CP$20),$G131:$W131)</f>
        <v>0</v>
      </c>
      <c r="CQ131" s="93" cm="1">
        <f t="array" ref="CQ131">SUMPRODUCT(TRANSPOSE(CQ$4:CQ$20),$G131:$W131)</f>
        <v>16</v>
      </c>
      <c r="CR131" s="93" cm="1">
        <f t="array" ref="CR131">SUMPRODUCT(TRANSPOSE(CR$4:CR$20),$G131:$W131)</f>
        <v>16</v>
      </c>
      <c r="CS131" s="93" cm="1">
        <f t="array" ref="CS131">SUMPRODUCT(TRANSPOSE(CS$4:CS$20),$G131:$W131)</f>
        <v>16</v>
      </c>
      <c r="CT131" s="93" cm="1">
        <f t="array" ref="CT131">SUMPRODUCT(TRANSPOSE(CT$4:CT$20),$G131:$W131)</f>
        <v>16</v>
      </c>
      <c r="CU131" s="93" cm="1">
        <f t="array" ref="CU131">SUMPRODUCT(TRANSPOSE(CU$4:CU$20),$G131:$W131)</f>
        <v>16</v>
      </c>
      <c r="CV131" s="93" cm="1">
        <f t="array" ref="CV131">SUMPRODUCT(TRANSPOSE(CV$4:CV$20),$G131:$W131)</f>
        <v>16</v>
      </c>
      <c r="CW131" s="93" cm="1">
        <f t="array" ref="CW131">SUMPRODUCT(TRANSPOSE(CW$4:CW$20),$G131:$W131)</f>
        <v>16</v>
      </c>
      <c r="CX131" s="93" cm="1">
        <f t="array" ref="CX131">SUMPRODUCT(TRANSPOSE(CX$4:CX$20),$G131:$W131)</f>
        <v>16</v>
      </c>
      <c r="CY131" s="93" cm="1">
        <f t="array" ref="CY131">SUMPRODUCT(TRANSPOSE(CY$4:CY$20),$G131:$W131)</f>
        <v>0</v>
      </c>
      <c r="CZ131" s="93" cm="1">
        <f t="array" ref="CZ131">SUMPRODUCT(TRANSPOSE(CZ$4:CZ$20),$G131:$W131)</f>
        <v>0</v>
      </c>
      <c r="DA131" s="93" cm="1">
        <f t="array" ref="DA131">SUMPRODUCT(TRANSPOSE(DA$4:DA$20),$G131:$W131)</f>
        <v>0</v>
      </c>
      <c r="DB131" s="93" cm="1">
        <f t="array" ref="DB131">SUMPRODUCT(TRANSPOSE(DB$4:DB$20),$G131:$W131)</f>
        <v>0</v>
      </c>
      <c r="DC131" s="93" cm="1">
        <f t="array" ref="DC131">SUMPRODUCT(TRANSPOSE(DC$4:DC$20),$G131:$W131)</f>
        <v>0</v>
      </c>
      <c r="DD131" s="93" cm="1">
        <f t="array" ref="DD131">SUMPRODUCT(TRANSPOSE(DD$4:DD$20),$G131:$W131)</f>
        <v>0</v>
      </c>
      <c r="DE131" s="93" cm="1">
        <f t="array" ref="DE131">SUMPRODUCT(TRANSPOSE(DE$4:DE$20),$G131:$W131)</f>
        <v>0</v>
      </c>
      <c r="DF131" s="93" cm="1">
        <f t="array" ref="DF131">SUMPRODUCT(TRANSPOSE(DF$4:DF$20),$G131:$W131)</f>
        <v>0</v>
      </c>
      <c r="DG131" s="93" cm="1">
        <f t="array" ref="DG131">SUMPRODUCT(TRANSPOSE(DG$4:DG$20),$G131:$W131)</f>
        <v>0</v>
      </c>
      <c r="DH131" s="93" cm="1">
        <f t="array" ref="DH131">SUMPRODUCT(TRANSPOSE(DH$4:DH$20),$G131:$W131)</f>
        <v>0</v>
      </c>
      <c r="DI131" s="93" cm="1">
        <f t="array" ref="DI131">SUMPRODUCT(TRANSPOSE(DI$4:DI$20),$G131:$W131)</f>
        <v>0</v>
      </c>
      <c r="DJ131" s="93" cm="1">
        <f t="array" ref="DJ131">SUMPRODUCT(TRANSPOSE(DJ$4:DJ$20),$G131:$W131)</f>
        <v>0</v>
      </c>
      <c r="DK131" s="93" cm="1">
        <f t="array" ref="DK131">SUMPRODUCT(TRANSPOSE(DK$4:DK$20),$G131:$W131)</f>
        <v>0</v>
      </c>
      <c r="DL131" s="93" cm="1">
        <f t="array" ref="DL131">SUMPRODUCT(TRANSPOSE(DL$4:DL$20),$G131:$W131)</f>
        <v>0</v>
      </c>
      <c r="DM131" s="93" cm="1">
        <f t="array" ref="DM131">SUMPRODUCT(TRANSPOSE(DM$4:DM$20),$G131:$W131)</f>
        <v>0</v>
      </c>
      <c r="DN131" s="93" cm="1">
        <f t="array" ref="DN131">SUMPRODUCT(TRANSPOSE(DN$4:DN$20),$G131:$W131)</f>
        <v>0</v>
      </c>
      <c r="DO131" s="93" cm="1">
        <f t="array" ref="DO131">SUMPRODUCT(TRANSPOSE(DO$4:DO$20),$G131:$W131)</f>
        <v>0</v>
      </c>
    </row>
    <row r="132" spans="1:119" x14ac:dyDescent="0.2">
      <c r="A132" s="45">
        <f t="shared" si="27"/>
        <v>111</v>
      </c>
      <c r="B132" s="46" t="s">
        <v>348</v>
      </c>
      <c r="C132" s="45">
        <v>404179667</v>
      </c>
      <c r="D132" s="45" t="s">
        <v>349</v>
      </c>
      <c r="E132" s="45" t="s">
        <v>162</v>
      </c>
      <c r="F132" s="48">
        <v>2</v>
      </c>
      <c r="G132" s="100">
        <v>0</v>
      </c>
      <c r="H132" s="100">
        <v>0</v>
      </c>
      <c r="I132" s="100">
        <v>0</v>
      </c>
      <c r="J132" s="100">
        <v>0</v>
      </c>
      <c r="K132" s="100">
        <v>0</v>
      </c>
      <c r="L132" s="100">
        <v>0</v>
      </c>
      <c r="M132" s="100">
        <v>0</v>
      </c>
      <c r="N132" s="100">
        <v>0</v>
      </c>
      <c r="O132" s="100">
        <v>0</v>
      </c>
      <c r="P132" s="100">
        <v>35</v>
      </c>
      <c r="Q132" s="100">
        <v>0</v>
      </c>
      <c r="R132" s="100">
        <v>0</v>
      </c>
      <c r="S132" s="100">
        <v>0</v>
      </c>
      <c r="T132" s="100">
        <v>35</v>
      </c>
      <c r="U132" s="100">
        <v>0</v>
      </c>
      <c r="V132" s="100">
        <v>0</v>
      </c>
      <c r="W132" s="100">
        <v>0</v>
      </c>
      <c r="X132" s="45" t="s">
        <v>58</v>
      </c>
      <c r="Y132" s="49">
        <v>3.2928000000000002</v>
      </c>
      <c r="Z132" s="45">
        <v>37399</v>
      </c>
      <c r="AA132" s="45">
        <v>0</v>
      </c>
      <c r="AB132" s="45">
        <v>0</v>
      </c>
      <c r="AC132" s="45">
        <v>0</v>
      </c>
      <c r="AD132" s="45">
        <v>0</v>
      </c>
      <c r="AE132" s="45">
        <v>0</v>
      </c>
      <c r="AF132" s="45">
        <v>0</v>
      </c>
      <c r="AG132" s="45">
        <v>0</v>
      </c>
      <c r="AH132" s="45">
        <v>0</v>
      </c>
      <c r="AI132" s="45">
        <v>0</v>
      </c>
      <c r="AJ132" s="45">
        <v>0</v>
      </c>
      <c r="AK132" s="45">
        <v>0</v>
      </c>
      <c r="AL132" s="45">
        <v>0</v>
      </c>
      <c r="AM132" s="45">
        <v>0</v>
      </c>
      <c r="AN132" s="45">
        <v>0</v>
      </c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45"/>
      <c r="BD132" s="93"/>
      <c r="BE132" s="93"/>
      <c r="BF132" s="93"/>
      <c r="BG132" s="93"/>
      <c r="BH132" s="93"/>
      <c r="BI132" s="93"/>
      <c r="BJ132" s="93"/>
      <c r="BK132" s="93">
        <f>SUM($Z132:AD132)-SUM($CM132:CQ132)</f>
        <v>34669</v>
      </c>
      <c r="BL132" s="93">
        <f>SUM($Z132:AE132)-SUM($CM132:CR132)</f>
        <v>32219</v>
      </c>
      <c r="BM132" s="93">
        <f>SUM($Z132:AF132)-SUM($CM132:CS132)</f>
        <v>29944</v>
      </c>
      <c r="BN132" s="93">
        <f>SUM($Z132:AG132)-SUM($CM132:CT132)</f>
        <v>27844</v>
      </c>
      <c r="BO132" s="93">
        <f>SUM($Z132:AH132)-SUM($CM132:CU132)</f>
        <v>25744</v>
      </c>
      <c r="BP132" s="93">
        <f>SUM($Z132:AI132)-SUM($CM132:CV132)</f>
        <v>23644</v>
      </c>
      <c r="BQ132" s="93">
        <f>SUM($Z132:AJ132)-SUM($CM132:CW132)</f>
        <v>21544</v>
      </c>
      <c r="BR132" s="93">
        <f>SUM($Z132:AK132)-SUM($CM132:CX132)</f>
        <v>19444</v>
      </c>
      <c r="BS132" s="93">
        <f>SUM($Z132:AL132)-SUM($CM132:CY132)</f>
        <v>17344</v>
      </c>
      <c r="BT132" s="93">
        <f>SUM($Z132:AM132)-SUM($CM132:CZ132)</f>
        <v>15244</v>
      </c>
      <c r="BU132" s="93">
        <f>SUM($Z132:AN132)-SUM($CM132:DA132)</f>
        <v>13144</v>
      </c>
      <c r="BV132" s="93">
        <f>SUM($Z132:AO132)-SUM($CM132:DB132)</f>
        <v>12654</v>
      </c>
      <c r="BW132" s="93">
        <f>SUM($Z132:AP132)-SUM($CM132:DC132)</f>
        <v>12654</v>
      </c>
      <c r="BX132" s="93">
        <f>SUM($Z132:AQ132)-SUM($CM132:DD132)</f>
        <v>12654</v>
      </c>
      <c r="BY132" s="93">
        <f>SUM($Z132:AR132)-SUM($CM132:DE132)</f>
        <v>12654</v>
      </c>
      <c r="BZ132" s="93">
        <f>SUM($Z132:AS132)-SUM($CM132:DF132)</f>
        <v>12654</v>
      </c>
      <c r="CA132" s="93">
        <f>SUM($Z132:AT132)-SUM($CM132:DG132)</f>
        <v>12654</v>
      </c>
      <c r="CB132" s="93">
        <f>SUM($Z132:AU132)-SUM($CM132:DH132)</f>
        <v>12654</v>
      </c>
      <c r="CC132" s="93">
        <f>SUM($Z132:AV132)-SUM($CM132:DI132)</f>
        <v>12654</v>
      </c>
      <c r="CD132" s="93">
        <f>SUM($Z132:AW132)-SUM($CM132:DJ132)</f>
        <v>12654</v>
      </c>
      <c r="CE132" s="93">
        <f>SUM($Z132:AX132)-SUM($CM132:DK132)</f>
        <v>12654</v>
      </c>
      <c r="CF132" s="93">
        <f>SUM($Z132:AY132)-SUM($CM132:DL132)</f>
        <v>12654</v>
      </c>
      <c r="CG132" s="93">
        <f>SUM($Z132:AZ132)-SUM($CM132:DM132)</f>
        <v>12654</v>
      </c>
      <c r="CH132" s="93">
        <f>SUM($Z132:BA132)-SUM($CM132:DN132)</f>
        <v>12654</v>
      </c>
      <c r="CI132" s="93">
        <f>SUM($Z132:BB132)-SUM($CM132:DO132)</f>
        <v>12654</v>
      </c>
      <c r="CJ132" s="93"/>
      <c r="CK132" s="93"/>
      <c r="CL132" s="93"/>
      <c r="CM132" s="93"/>
      <c r="CN132" s="93" cm="1">
        <f t="array" ref="CN132">SUMPRODUCT(TRANSPOSE(CN$4:CN$20),$G132:$W132)</f>
        <v>0</v>
      </c>
      <c r="CO132" s="93" cm="1">
        <f t="array" ref="CO132">SUMPRODUCT(TRANSPOSE(CO$4:CO$20),$G132:$W132)</f>
        <v>0</v>
      </c>
      <c r="CP132" s="93" cm="1">
        <f t="array" ref="CP132">SUMPRODUCT(TRANSPOSE(CP$4:CP$20),$G132:$W132)</f>
        <v>0</v>
      </c>
      <c r="CQ132" s="93" cm="1">
        <f t="array" ref="CQ132">SUMPRODUCT(TRANSPOSE(CQ$4:CQ$20),$G132:$W132)</f>
        <v>2730</v>
      </c>
      <c r="CR132" s="93" cm="1">
        <f t="array" ref="CR132">SUMPRODUCT(TRANSPOSE(CR$4:CR$20),$G132:$W132)</f>
        <v>2450</v>
      </c>
      <c r="CS132" s="93" cm="1">
        <f t="array" ref="CS132">SUMPRODUCT(TRANSPOSE(CS$4:CS$20),$G132:$W132)</f>
        <v>2275</v>
      </c>
      <c r="CT132" s="93" cm="1">
        <f t="array" ref="CT132">SUMPRODUCT(TRANSPOSE(CT$4:CT$20),$G132:$W132)</f>
        <v>2100</v>
      </c>
      <c r="CU132" s="93" cm="1">
        <f t="array" ref="CU132">SUMPRODUCT(TRANSPOSE(CU$4:CU$20),$G132:$W132)</f>
        <v>2100</v>
      </c>
      <c r="CV132" s="93" cm="1">
        <f t="array" ref="CV132">SUMPRODUCT(TRANSPOSE(CV$4:CV$20),$G132:$W132)</f>
        <v>2100</v>
      </c>
      <c r="CW132" s="93" cm="1">
        <f t="array" ref="CW132">SUMPRODUCT(TRANSPOSE(CW$4:CW$20),$G132:$W132)</f>
        <v>2100</v>
      </c>
      <c r="CX132" s="93" cm="1">
        <f t="array" ref="CX132">SUMPRODUCT(TRANSPOSE(CX$4:CX$20),$G132:$W132)</f>
        <v>2100</v>
      </c>
      <c r="CY132" s="93" cm="1">
        <f t="array" ref="CY132">SUMPRODUCT(TRANSPOSE(CY$4:CY$20),$G132:$W132)</f>
        <v>2100</v>
      </c>
      <c r="CZ132" s="93" cm="1">
        <f t="array" ref="CZ132">SUMPRODUCT(TRANSPOSE(CZ$4:CZ$20),$G132:$W132)</f>
        <v>2100</v>
      </c>
      <c r="DA132" s="93" cm="1">
        <f t="array" ref="DA132">SUMPRODUCT(TRANSPOSE(DA$4:DA$20),$G132:$W132)</f>
        <v>2100</v>
      </c>
      <c r="DB132" s="93" cm="1">
        <f t="array" ref="DB132">SUMPRODUCT(TRANSPOSE(DB$4:DB$20),$G132:$W132)</f>
        <v>490</v>
      </c>
      <c r="DC132" s="93" cm="1">
        <f t="array" ref="DC132">SUMPRODUCT(TRANSPOSE(DC$4:DC$20),$G132:$W132)</f>
        <v>0</v>
      </c>
      <c r="DD132" s="93" cm="1">
        <f t="array" ref="DD132">SUMPRODUCT(TRANSPOSE(DD$4:DD$20),$G132:$W132)</f>
        <v>0</v>
      </c>
      <c r="DE132" s="93" cm="1">
        <f t="array" ref="DE132">SUMPRODUCT(TRANSPOSE(DE$4:DE$20),$G132:$W132)</f>
        <v>0</v>
      </c>
      <c r="DF132" s="93" cm="1">
        <f t="array" ref="DF132">SUMPRODUCT(TRANSPOSE(DF$4:DF$20),$G132:$W132)</f>
        <v>0</v>
      </c>
      <c r="DG132" s="93" cm="1">
        <f t="array" ref="DG132">SUMPRODUCT(TRANSPOSE(DG$4:DG$20),$G132:$W132)</f>
        <v>0</v>
      </c>
      <c r="DH132" s="93" cm="1">
        <f t="array" ref="DH132">SUMPRODUCT(TRANSPOSE(DH$4:DH$20),$G132:$W132)</f>
        <v>0</v>
      </c>
      <c r="DI132" s="93" cm="1">
        <f t="array" ref="DI132">SUMPRODUCT(TRANSPOSE(DI$4:DI$20),$G132:$W132)</f>
        <v>0</v>
      </c>
      <c r="DJ132" s="93" cm="1">
        <f t="array" ref="DJ132">SUMPRODUCT(TRANSPOSE(DJ$4:DJ$20),$G132:$W132)</f>
        <v>0</v>
      </c>
      <c r="DK132" s="93" cm="1">
        <f t="array" ref="DK132">SUMPRODUCT(TRANSPOSE(DK$4:DK$20),$G132:$W132)</f>
        <v>0</v>
      </c>
      <c r="DL132" s="93" cm="1">
        <f t="array" ref="DL132">SUMPRODUCT(TRANSPOSE(DL$4:DL$20),$G132:$W132)</f>
        <v>0</v>
      </c>
      <c r="DM132" s="93" cm="1">
        <f t="array" ref="DM132">SUMPRODUCT(TRANSPOSE(DM$4:DM$20),$G132:$W132)</f>
        <v>0</v>
      </c>
      <c r="DN132" s="93" cm="1">
        <f t="array" ref="DN132">SUMPRODUCT(TRANSPOSE(DN$4:DN$20),$G132:$W132)</f>
        <v>0</v>
      </c>
      <c r="DO132" s="93" cm="1">
        <f t="array" ref="DO132">SUMPRODUCT(TRANSPOSE(DO$4:DO$20),$G132:$W132)</f>
        <v>0</v>
      </c>
    </row>
    <row r="133" spans="1:119" x14ac:dyDescent="0.2">
      <c r="A133" s="45">
        <f t="shared" si="27"/>
        <v>112</v>
      </c>
      <c r="B133" s="46" t="s">
        <v>350</v>
      </c>
      <c r="C133" s="45">
        <v>404188576</v>
      </c>
      <c r="D133" s="45" t="s">
        <v>351</v>
      </c>
      <c r="E133" s="45" t="s">
        <v>162</v>
      </c>
      <c r="F133" s="48">
        <v>1</v>
      </c>
      <c r="G133" s="100">
        <v>0</v>
      </c>
      <c r="H133" s="100">
        <v>0</v>
      </c>
      <c r="I133" s="100">
        <v>0</v>
      </c>
      <c r="J133" s="100">
        <v>0</v>
      </c>
      <c r="K133" s="100">
        <v>0</v>
      </c>
      <c r="L133" s="100">
        <v>0</v>
      </c>
      <c r="M133" s="100">
        <v>0</v>
      </c>
      <c r="N133" s="100">
        <v>0</v>
      </c>
      <c r="O133" s="100">
        <v>0</v>
      </c>
      <c r="P133" s="100">
        <v>3</v>
      </c>
      <c r="Q133" s="100">
        <v>0</v>
      </c>
      <c r="R133" s="100">
        <v>0</v>
      </c>
      <c r="S133" s="100">
        <v>0</v>
      </c>
      <c r="T133" s="100">
        <v>3</v>
      </c>
      <c r="U133" s="100">
        <v>0</v>
      </c>
      <c r="V133" s="100">
        <v>0</v>
      </c>
      <c r="W133" s="100">
        <v>0</v>
      </c>
      <c r="X133" s="45" t="s">
        <v>34</v>
      </c>
      <c r="Y133" s="49">
        <v>18.48</v>
      </c>
      <c r="Z133" s="45">
        <v>3201</v>
      </c>
      <c r="AA133" s="45">
        <v>0</v>
      </c>
      <c r="AB133" s="45">
        <v>0</v>
      </c>
      <c r="AC133" s="45">
        <v>0</v>
      </c>
      <c r="AD133" s="45">
        <v>0</v>
      </c>
      <c r="AE133" s="45">
        <v>0</v>
      </c>
      <c r="AF133" s="45">
        <v>0</v>
      </c>
      <c r="AG133" s="45">
        <v>0</v>
      </c>
      <c r="AH133" s="45">
        <v>0</v>
      </c>
      <c r="AI133" s="45">
        <v>0</v>
      </c>
      <c r="AJ133" s="45">
        <v>0</v>
      </c>
      <c r="AK133" s="45">
        <v>0</v>
      </c>
      <c r="AL133" s="45">
        <v>0</v>
      </c>
      <c r="AM133" s="45">
        <v>0</v>
      </c>
      <c r="AN133" s="45">
        <v>0</v>
      </c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45"/>
      <c r="BD133" s="93"/>
      <c r="BE133" s="93"/>
      <c r="BF133" s="93"/>
      <c r="BG133" s="93"/>
      <c r="BH133" s="93"/>
      <c r="BI133" s="93"/>
      <c r="BJ133" s="93"/>
      <c r="BK133" s="93">
        <f>SUM($Z133:AD133)-SUM($CM133:CQ133)</f>
        <v>2967</v>
      </c>
      <c r="BL133" s="93">
        <f>SUM($Z133:AE133)-SUM($CM133:CR133)</f>
        <v>2757</v>
      </c>
      <c r="BM133" s="93">
        <f>SUM($Z133:AF133)-SUM($CM133:CS133)</f>
        <v>2562</v>
      </c>
      <c r="BN133" s="93">
        <f>SUM($Z133:AG133)-SUM($CM133:CT133)</f>
        <v>2382</v>
      </c>
      <c r="BO133" s="93">
        <f>SUM($Z133:AH133)-SUM($CM133:CU133)</f>
        <v>2202</v>
      </c>
      <c r="BP133" s="93">
        <f>SUM($Z133:AI133)-SUM($CM133:CV133)</f>
        <v>2022</v>
      </c>
      <c r="BQ133" s="93">
        <f>SUM($Z133:AJ133)-SUM($CM133:CW133)</f>
        <v>1842</v>
      </c>
      <c r="BR133" s="93">
        <f>SUM($Z133:AK133)-SUM($CM133:CX133)</f>
        <v>1662</v>
      </c>
      <c r="BS133" s="93">
        <f>SUM($Z133:AL133)-SUM($CM133:CY133)</f>
        <v>1482</v>
      </c>
      <c r="BT133" s="93">
        <f>SUM($Z133:AM133)-SUM($CM133:CZ133)</f>
        <v>1302</v>
      </c>
      <c r="BU133" s="93">
        <f>SUM($Z133:AN133)-SUM($CM133:DA133)</f>
        <v>1122</v>
      </c>
      <c r="BV133" s="93">
        <f>SUM($Z133:AO133)-SUM($CM133:DB133)</f>
        <v>1080</v>
      </c>
      <c r="BW133" s="93">
        <f>SUM($Z133:AP133)-SUM($CM133:DC133)</f>
        <v>1080</v>
      </c>
      <c r="BX133" s="93">
        <f>SUM($Z133:AQ133)-SUM($CM133:DD133)</f>
        <v>1080</v>
      </c>
      <c r="BY133" s="93">
        <f>SUM($Z133:AR133)-SUM($CM133:DE133)</f>
        <v>1080</v>
      </c>
      <c r="BZ133" s="93">
        <f>SUM($Z133:AS133)-SUM($CM133:DF133)</f>
        <v>1080</v>
      </c>
      <c r="CA133" s="93">
        <f>SUM($Z133:AT133)-SUM($CM133:DG133)</f>
        <v>1080</v>
      </c>
      <c r="CB133" s="93">
        <f>SUM($Z133:AU133)-SUM($CM133:DH133)</f>
        <v>1080</v>
      </c>
      <c r="CC133" s="93">
        <f>SUM($Z133:AV133)-SUM($CM133:DI133)</f>
        <v>1080</v>
      </c>
      <c r="CD133" s="93">
        <f>SUM($Z133:AW133)-SUM($CM133:DJ133)</f>
        <v>1080</v>
      </c>
      <c r="CE133" s="93">
        <f>SUM($Z133:AX133)-SUM($CM133:DK133)</f>
        <v>1080</v>
      </c>
      <c r="CF133" s="93">
        <f>SUM($Z133:AY133)-SUM($CM133:DL133)</f>
        <v>1080</v>
      </c>
      <c r="CG133" s="93">
        <f>SUM($Z133:AZ133)-SUM($CM133:DM133)</f>
        <v>1080</v>
      </c>
      <c r="CH133" s="93">
        <f>SUM($Z133:BA133)-SUM($CM133:DN133)</f>
        <v>1080</v>
      </c>
      <c r="CI133" s="93">
        <f>SUM($Z133:BB133)-SUM($CM133:DO133)</f>
        <v>1080</v>
      </c>
      <c r="CJ133" s="93"/>
      <c r="CK133" s="93"/>
      <c r="CL133" s="93"/>
      <c r="CM133" s="93"/>
      <c r="CN133" s="93" cm="1">
        <f t="array" ref="CN133">SUMPRODUCT(TRANSPOSE(CN$4:CN$20),$G133:$W133)</f>
        <v>0</v>
      </c>
      <c r="CO133" s="93" cm="1">
        <f t="array" ref="CO133">SUMPRODUCT(TRANSPOSE(CO$4:CO$20),$G133:$W133)</f>
        <v>0</v>
      </c>
      <c r="CP133" s="93" cm="1">
        <f t="array" ref="CP133">SUMPRODUCT(TRANSPOSE(CP$4:CP$20),$G133:$W133)</f>
        <v>0</v>
      </c>
      <c r="CQ133" s="93" cm="1">
        <f t="array" ref="CQ133">SUMPRODUCT(TRANSPOSE(CQ$4:CQ$20),$G133:$W133)</f>
        <v>234</v>
      </c>
      <c r="CR133" s="93" cm="1">
        <f t="array" ref="CR133">SUMPRODUCT(TRANSPOSE(CR$4:CR$20),$G133:$W133)</f>
        <v>210</v>
      </c>
      <c r="CS133" s="93" cm="1">
        <f t="array" ref="CS133">SUMPRODUCT(TRANSPOSE(CS$4:CS$20),$G133:$W133)</f>
        <v>195</v>
      </c>
      <c r="CT133" s="93" cm="1">
        <f t="array" ref="CT133">SUMPRODUCT(TRANSPOSE(CT$4:CT$20),$G133:$W133)</f>
        <v>180</v>
      </c>
      <c r="CU133" s="93" cm="1">
        <f t="array" ref="CU133">SUMPRODUCT(TRANSPOSE(CU$4:CU$20),$G133:$W133)</f>
        <v>180</v>
      </c>
      <c r="CV133" s="93" cm="1">
        <f t="array" ref="CV133">SUMPRODUCT(TRANSPOSE(CV$4:CV$20),$G133:$W133)</f>
        <v>180</v>
      </c>
      <c r="CW133" s="93" cm="1">
        <f t="array" ref="CW133">SUMPRODUCT(TRANSPOSE(CW$4:CW$20),$G133:$W133)</f>
        <v>180</v>
      </c>
      <c r="CX133" s="93" cm="1">
        <f t="array" ref="CX133">SUMPRODUCT(TRANSPOSE(CX$4:CX$20),$G133:$W133)</f>
        <v>180</v>
      </c>
      <c r="CY133" s="93" cm="1">
        <f t="array" ref="CY133">SUMPRODUCT(TRANSPOSE(CY$4:CY$20),$G133:$W133)</f>
        <v>180</v>
      </c>
      <c r="CZ133" s="93" cm="1">
        <f t="array" ref="CZ133">SUMPRODUCT(TRANSPOSE(CZ$4:CZ$20),$G133:$W133)</f>
        <v>180</v>
      </c>
      <c r="DA133" s="93" cm="1">
        <f t="array" ref="DA133">SUMPRODUCT(TRANSPOSE(DA$4:DA$20),$G133:$W133)</f>
        <v>180</v>
      </c>
      <c r="DB133" s="93" cm="1">
        <f t="array" ref="DB133">SUMPRODUCT(TRANSPOSE(DB$4:DB$20),$G133:$W133)</f>
        <v>42</v>
      </c>
      <c r="DC133" s="93" cm="1">
        <f t="array" ref="DC133">SUMPRODUCT(TRANSPOSE(DC$4:DC$20),$G133:$W133)</f>
        <v>0</v>
      </c>
      <c r="DD133" s="93" cm="1">
        <f t="array" ref="DD133">SUMPRODUCT(TRANSPOSE(DD$4:DD$20),$G133:$W133)</f>
        <v>0</v>
      </c>
      <c r="DE133" s="93" cm="1">
        <f t="array" ref="DE133">SUMPRODUCT(TRANSPOSE(DE$4:DE$20),$G133:$W133)</f>
        <v>0</v>
      </c>
      <c r="DF133" s="93" cm="1">
        <f t="array" ref="DF133">SUMPRODUCT(TRANSPOSE(DF$4:DF$20),$G133:$W133)</f>
        <v>0</v>
      </c>
      <c r="DG133" s="93" cm="1">
        <f t="array" ref="DG133">SUMPRODUCT(TRANSPOSE(DG$4:DG$20),$G133:$W133)</f>
        <v>0</v>
      </c>
      <c r="DH133" s="93" cm="1">
        <f t="array" ref="DH133">SUMPRODUCT(TRANSPOSE(DH$4:DH$20),$G133:$W133)</f>
        <v>0</v>
      </c>
      <c r="DI133" s="93" cm="1">
        <f t="array" ref="DI133">SUMPRODUCT(TRANSPOSE(DI$4:DI$20),$G133:$W133)</f>
        <v>0</v>
      </c>
      <c r="DJ133" s="93" cm="1">
        <f t="array" ref="DJ133">SUMPRODUCT(TRANSPOSE(DJ$4:DJ$20),$G133:$W133)</f>
        <v>0</v>
      </c>
      <c r="DK133" s="93" cm="1">
        <f t="array" ref="DK133">SUMPRODUCT(TRANSPOSE(DK$4:DK$20),$G133:$W133)</f>
        <v>0</v>
      </c>
      <c r="DL133" s="93" cm="1">
        <f t="array" ref="DL133">SUMPRODUCT(TRANSPOSE(DL$4:DL$20),$G133:$W133)</f>
        <v>0</v>
      </c>
      <c r="DM133" s="93" cm="1">
        <f t="array" ref="DM133">SUMPRODUCT(TRANSPOSE(DM$4:DM$20),$G133:$W133)</f>
        <v>0</v>
      </c>
      <c r="DN133" s="93" cm="1">
        <f t="array" ref="DN133">SUMPRODUCT(TRANSPOSE(DN$4:DN$20),$G133:$W133)</f>
        <v>0</v>
      </c>
      <c r="DO133" s="93" cm="1">
        <f t="array" ref="DO133">SUMPRODUCT(TRANSPOSE(DO$4:DO$20),$G133:$W133)</f>
        <v>0</v>
      </c>
    </row>
    <row r="134" spans="1:119" x14ac:dyDescent="0.2">
      <c r="A134" s="45">
        <f t="shared" si="27"/>
        <v>113</v>
      </c>
      <c r="B134" s="46" t="s">
        <v>352</v>
      </c>
      <c r="C134" s="45">
        <v>400542420</v>
      </c>
      <c r="D134" s="45" t="s">
        <v>353</v>
      </c>
      <c r="E134" s="45" t="s">
        <v>162</v>
      </c>
      <c r="F134" s="48">
        <v>2</v>
      </c>
      <c r="G134" s="100">
        <v>0</v>
      </c>
      <c r="H134" s="100">
        <v>0</v>
      </c>
      <c r="I134" s="100">
        <v>2</v>
      </c>
      <c r="J134" s="100">
        <v>0</v>
      </c>
      <c r="K134" s="100">
        <v>2</v>
      </c>
      <c r="L134" s="100">
        <v>0</v>
      </c>
      <c r="M134" s="100">
        <v>0</v>
      </c>
      <c r="N134" s="100">
        <v>0</v>
      </c>
      <c r="O134" s="100">
        <v>0</v>
      </c>
      <c r="P134" s="100">
        <v>0</v>
      </c>
      <c r="Q134" s="100">
        <v>3</v>
      </c>
      <c r="R134" s="100">
        <v>0</v>
      </c>
      <c r="S134" s="100">
        <v>0</v>
      </c>
      <c r="T134" s="100">
        <v>0</v>
      </c>
      <c r="U134" s="100">
        <v>3</v>
      </c>
      <c r="V134" s="100">
        <v>0</v>
      </c>
      <c r="W134" s="100">
        <v>0</v>
      </c>
      <c r="X134" s="45" t="s">
        <v>58</v>
      </c>
      <c r="Y134" s="49">
        <v>2.4304000000000001</v>
      </c>
      <c r="Z134" s="45">
        <v>3900</v>
      </c>
      <c r="AA134" s="45">
        <v>0</v>
      </c>
      <c r="AB134" s="45">
        <v>0</v>
      </c>
      <c r="AC134" s="45">
        <v>0</v>
      </c>
      <c r="AD134" s="45">
        <v>0</v>
      </c>
      <c r="AE134" s="45">
        <v>0</v>
      </c>
      <c r="AF134" s="45">
        <v>0</v>
      </c>
      <c r="AG134" s="45">
        <v>0</v>
      </c>
      <c r="AH134" s="45">
        <v>0</v>
      </c>
      <c r="AI134" s="45">
        <v>0</v>
      </c>
      <c r="AJ134" s="45">
        <v>0</v>
      </c>
      <c r="AK134" s="45">
        <v>0</v>
      </c>
      <c r="AL134" s="45">
        <v>0</v>
      </c>
      <c r="AM134" s="45">
        <v>0</v>
      </c>
      <c r="AN134" s="45">
        <v>0</v>
      </c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45"/>
      <c r="BD134" s="93"/>
      <c r="BE134" s="93"/>
      <c r="BF134" s="93"/>
      <c r="BG134" s="93"/>
      <c r="BH134" s="93"/>
      <c r="BI134" s="93"/>
      <c r="BJ134" s="93"/>
      <c r="BK134" s="93">
        <f>SUM($Z134:AD134)-SUM($CM134:CQ134)</f>
        <v>3634</v>
      </c>
      <c r="BL134" s="93">
        <f>SUM($Z134:AE134)-SUM($CM134:CR134)</f>
        <v>3392</v>
      </c>
      <c r="BM134" s="93">
        <f>SUM($Z134:AF134)-SUM($CM134:CS134)</f>
        <v>3165</v>
      </c>
      <c r="BN134" s="93">
        <f>SUM($Z134:AG134)-SUM($CM134:CT134)</f>
        <v>2953</v>
      </c>
      <c r="BO134" s="93">
        <f>SUM($Z134:AH134)-SUM($CM134:CU134)</f>
        <v>2741</v>
      </c>
      <c r="BP134" s="93">
        <f>SUM($Z134:AI134)-SUM($CM134:CV134)</f>
        <v>2529</v>
      </c>
      <c r="BQ134" s="93">
        <f>SUM($Z134:AJ134)-SUM($CM134:CW134)</f>
        <v>2317</v>
      </c>
      <c r="BR134" s="93">
        <f>SUM($Z134:AK134)-SUM($CM134:CX134)</f>
        <v>2105</v>
      </c>
      <c r="BS134" s="93">
        <f>SUM($Z134:AL134)-SUM($CM134:CY134)</f>
        <v>1893</v>
      </c>
      <c r="BT134" s="93">
        <f>SUM($Z134:AM134)-SUM($CM134:CZ134)</f>
        <v>1681</v>
      </c>
      <c r="BU134" s="93">
        <f>SUM($Z134:AN134)-SUM($CM134:DA134)</f>
        <v>1469</v>
      </c>
      <c r="BV134" s="93">
        <f>SUM($Z134:AO134)-SUM($CM134:DB134)</f>
        <v>1395</v>
      </c>
      <c r="BW134" s="93">
        <f>SUM($Z134:AP134)-SUM($CM134:DC134)</f>
        <v>1371</v>
      </c>
      <c r="BX134" s="93">
        <f>SUM($Z134:AQ134)-SUM($CM134:DD134)</f>
        <v>1371</v>
      </c>
      <c r="BY134" s="93">
        <f>SUM($Z134:AR134)-SUM($CM134:DE134)</f>
        <v>1371</v>
      </c>
      <c r="BZ134" s="93">
        <f>SUM($Z134:AS134)-SUM($CM134:DF134)</f>
        <v>1371</v>
      </c>
      <c r="CA134" s="93">
        <f>SUM($Z134:AT134)-SUM($CM134:DG134)</f>
        <v>1371</v>
      </c>
      <c r="CB134" s="93">
        <f>SUM($Z134:AU134)-SUM($CM134:DH134)</f>
        <v>1371</v>
      </c>
      <c r="CC134" s="93">
        <f>SUM($Z134:AV134)-SUM($CM134:DI134)</f>
        <v>1371</v>
      </c>
      <c r="CD134" s="93">
        <f>SUM($Z134:AW134)-SUM($CM134:DJ134)</f>
        <v>1371</v>
      </c>
      <c r="CE134" s="93">
        <f>SUM($Z134:AX134)-SUM($CM134:DK134)</f>
        <v>1371</v>
      </c>
      <c r="CF134" s="93">
        <f>SUM($Z134:AY134)-SUM($CM134:DL134)</f>
        <v>1371</v>
      </c>
      <c r="CG134" s="93">
        <f>SUM($Z134:AZ134)-SUM($CM134:DM134)</f>
        <v>1371</v>
      </c>
      <c r="CH134" s="93">
        <f>SUM($Z134:BA134)-SUM($CM134:DN134)</f>
        <v>1371</v>
      </c>
      <c r="CI134" s="93">
        <f>SUM($Z134:BB134)-SUM($CM134:DO134)</f>
        <v>1371</v>
      </c>
      <c r="CJ134" s="93"/>
      <c r="CK134" s="93"/>
      <c r="CL134" s="93"/>
      <c r="CM134" s="93"/>
      <c r="CN134" s="93" cm="1">
        <f t="array" ref="CN134">SUMPRODUCT(TRANSPOSE(CN$4:CN$20),$G134:$W134)</f>
        <v>0</v>
      </c>
      <c r="CO134" s="93" cm="1">
        <f t="array" ref="CO134">SUMPRODUCT(TRANSPOSE(CO$4:CO$20),$G134:$W134)</f>
        <v>0</v>
      </c>
      <c r="CP134" s="93" cm="1">
        <f t="array" ref="CP134">SUMPRODUCT(TRANSPOSE(CP$4:CP$20),$G134:$W134)</f>
        <v>0</v>
      </c>
      <c r="CQ134" s="93" cm="1">
        <f t="array" ref="CQ134">SUMPRODUCT(TRANSPOSE(CQ$4:CQ$20),$G134:$W134)</f>
        <v>266</v>
      </c>
      <c r="CR134" s="93" cm="1">
        <f t="array" ref="CR134">SUMPRODUCT(TRANSPOSE(CR$4:CR$20),$G134:$W134)</f>
        <v>242</v>
      </c>
      <c r="CS134" s="93" cm="1">
        <f t="array" ref="CS134">SUMPRODUCT(TRANSPOSE(CS$4:CS$20),$G134:$W134)</f>
        <v>227</v>
      </c>
      <c r="CT134" s="93" cm="1">
        <f t="array" ref="CT134">SUMPRODUCT(TRANSPOSE(CT$4:CT$20),$G134:$W134)</f>
        <v>212</v>
      </c>
      <c r="CU134" s="93" cm="1">
        <f t="array" ref="CU134">SUMPRODUCT(TRANSPOSE(CU$4:CU$20),$G134:$W134)</f>
        <v>212</v>
      </c>
      <c r="CV134" s="93" cm="1">
        <f t="array" ref="CV134">SUMPRODUCT(TRANSPOSE(CV$4:CV$20),$G134:$W134)</f>
        <v>212</v>
      </c>
      <c r="CW134" s="93" cm="1">
        <f t="array" ref="CW134">SUMPRODUCT(TRANSPOSE(CW$4:CW$20),$G134:$W134)</f>
        <v>212</v>
      </c>
      <c r="CX134" s="93" cm="1">
        <f t="array" ref="CX134">SUMPRODUCT(TRANSPOSE(CX$4:CX$20),$G134:$W134)</f>
        <v>212</v>
      </c>
      <c r="CY134" s="93" cm="1">
        <f t="array" ref="CY134">SUMPRODUCT(TRANSPOSE(CY$4:CY$20),$G134:$W134)</f>
        <v>212</v>
      </c>
      <c r="CZ134" s="93" cm="1">
        <f t="array" ref="CZ134">SUMPRODUCT(TRANSPOSE(CZ$4:CZ$20),$G134:$W134)</f>
        <v>212</v>
      </c>
      <c r="DA134" s="93" cm="1">
        <f t="array" ref="DA134">SUMPRODUCT(TRANSPOSE(DA$4:DA$20),$G134:$W134)</f>
        <v>212</v>
      </c>
      <c r="DB134" s="93" cm="1">
        <f t="array" ref="DB134">SUMPRODUCT(TRANSPOSE(DB$4:DB$20),$G134:$W134)</f>
        <v>74</v>
      </c>
      <c r="DC134" s="93" cm="1">
        <f t="array" ref="DC134">SUMPRODUCT(TRANSPOSE(DC$4:DC$20),$G134:$W134)</f>
        <v>24</v>
      </c>
      <c r="DD134" s="93" cm="1">
        <f t="array" ref="DD134">SUMPRODUCT(TRANSPOSE(DD$4:DD$20),$G134:$W134)</f>
        <v>0</v>
      </c>
      <c r="DE134" s="93" cm="1">
        <f t="array" ref="DE134">SUMPRODUCT(TRANSPOSE(DE$4:DE$20),$G134:$W134)</f>
        <v>0</v>
      </c>
      <c r="DF134" s="93" cm="1">
        <f t="array" ref="DF134">SUMPRODUCT(TRANSPOSE(DF$4:DF$20),$G134:$W134)</f>
        <v>0</v>
      </c>
      <c r="DG134" s="93" cm="1">
        <f t="array" ref="DG134">SUMPRODUCT(TRANSPOSE(DG$4:DG$20),$G134:$W134)</f>
        <v>0</v>
      </c>
      <c r="DH134" s="93" cm="1">
        <f t="array" ref="DH134">SUMPRODUCT(TRANSPOSE(DH$4:DH$20),$G134:$W134)</f>
        <v>0</v>
      </c>
      <c r="DI134" s="93" cm="1">
        <f t="array" ref="DI134">SUMPRODUCT(TRANSPOSE(DI$4:DI$20),$G134:$W134)</f>
        <v>0</v>
      </c>
      <c r="DJ134" s="93" cm="1">
        <f t="array" ref="DJ134">SUMPRODUCT(TRANSPOSE(DJ$4:DJ$20),$G134:$W134)</f>
        <v>0</v>
      </c>
      <c r="DK134" s="93" cm="1">
        <f t="array" ref="DK134">SUMPRODUCT(TRANSPOSE(DK$4:DK$20),$G134:$W134)</f>
        <v>0</v>
      </c>
      <c r="DL134" s="93" cm="1">
        <f t="array" ref="DL134">SUMPRODUCT(TRANSPOSE(DL$4:DL$20),$G134:$W134)</f>
        <v>0</v>
      </c>
      <c r="DM134" s="93" cm="1">
        <f t="array" ref="DM134">SUMPRODUCT(TRANSPOSE(DM$4:DM$20),$G134:$W134)</f>
        <v>0</v>
      </c>
      <c r="DN134" s="93" cm="1">
        <f t="array" ref="DN134">SUMPRODUCT(TRANSPOSE(DN$4:DN$20),$G134:$W134)</f>
        <v>0</v>
      </c>
      <c r="DO134" s="93" cm="1">
        <f t="array" ref="DO134">SUMPRODUCT(TRANSPOSE(DO$4:DO$20),$G134:$W134)</f>
        <v>0</v>
      </c>
    </row>
    <row r="135" spans="1:119" x14ac:dyDescent="0.2">
      <c r="A135" s="45">
        <f t="shared" si="27"/>
        <v>114</v>
      </c>
      <c r="B135" s="46" t="s">
        <v>354</v>
      </c>
      <c r="C135" s="45">
        <v>405928222</v>
      </c>
      <c r="D135" s="45" t="s">
        <v>355</v>
      </c>
      <c r="E135" s="45" t="s">
        <v>162</v>
      </c>
      <c r="F135" s="48">
        <v>2</v>
      </c>
      <c r="G135" s="100">
        <v>0</v>
      </c>
      <c r="H135" s="100">
        <v>0</v>
      </c>
      <c r="I135" s="100">
        <v>0</v>
      </c>
      <c r="J135" s="100">
        <v>0</v>
      </c>
      <c r="K135" s="100">
        <v>0</v>
      </c>
      <c r="L135" s="100">
        <v>0</v>
      </c>
      <c r="M135" s="100">
        <v>0</v>
      </c>
      <c r="N135" s="100">
        <v>0</v>
      </c>
      <c r="O135" s="100">
        <v>0</v>
      </c>
      <c r="P135" s="100">
        <v>0</v>
      </c>
      <c r="Q135" s="100">
        <v>35</v>
      </c>
      <c r="R135" s="100">
        <v>0</v>
      </c>
      <c r="S135" s="100">
        <v>0</v>
      </c>
      <c r="T135" s="100">
        <v>0</v>
      </c>
      <c r="U135" s="100">
        <v>35</v>
      </c>
      <c r="V135" s="100">
        <v>0</v>
      </c>
      <c r="W135" s="100">
        <v>0</v>
      </c>
      <c r="X135" s="45" t="s">
        <v>58</v>
      </c>
      <c r="Y135" s="49">
        <v>2.4528000000000003</v>
      </c>
      <c r="Z135" s="45">
        <v>37400</v>
      </c>
      <c r="AA135" s="45">
        <v>0</v>
      </c>
      <c r="AB135" s="45">
        <v>0</v>
      </c>
      <c r="AC135" s="45">
        <v>0</v>
      </c>
      <c r="AD135" s="45">
        <v>0</v>
      </c>
      <c r="AE135" s="45">
        <v>0</v>
      </c>
      <c r="AF135" s="45">
        <v>0</v>
      </c>
      <c r="AG135" s="45">
        <v>0</v>
      </c>
      <c r="AH135" s="45">
        <v>0</v>
      </c>
      <c r="AI135" s="45">
        <v>0</v>
      </c>
      <c r="AJ135" s="45">
        <v>0</v>
      </c>
      <c r="AK135" s="45">
        <v>0</v>
      </c>
      <c r="AL135" s="45">
        <v>0</v>
      </c>
      <c r="AM135" s="45">
        <v>0</v>
      </c>
      <c r="AN135" s="45">
        <v>0</v>
      </c>
      <c r="AO135" s="45"/>
      <c r="AP135" s="45"/>
      <c r="AQ135" s="45"/>
      <c r="AR135" s="45"/>
      <c r="AS135" s="45"/>
      <c r="AT135" s="45"/>
      <c r="AU135" s="45"/>
      <c r="AV135" s="45"/>
      <c r="AW135" s="45"/>
      <c r="AX135" s="45"/>
      <c r="AY135" s="45"/>
      <c r="AZ135" s="45"/>
      <c r="BA135" s="45"/>
      <c r="BB135" s="45"/>
      <c r="BC135" s="45"/>
      <c r="BD135" s="93"/>
      <c r="BE135" s="93"/>
      <c r="BF135" s="93"/>
      <c r="BG135" s="93"/>
      <c r="BH135" s="93"/>
      <c r="BI135" s="93"/>
      <c r="BJ135" s="93"/>
      <c r="BK135" s="93">
        <f>SUM($Z135:AD135)-SUM($CM135:CQ135)</f>
        <v>34670</v>
      </c>
      <c r="BL135" s="93">
        <f>SUM($Z135:AE135)-SUM($CM135:CR135)</f>
        <v>32220</v>
      </c>
      <c r="BM135" s="93">
        <f>SUM($Z135:AF135)-SUM($CM135:CS135)</f>
        <v>29945</v>
      </c>
      <c r="BN135" s="93">
        <f>SUM($Z135:AG135)-SUM($CM135:CT135)</f>
        <v>27845</v>
      </c>
      <c r="BO135" s="93">
        <f>SUM($Z135:AH135)-SUM($CM135:CU135)</f>
        <v>25745</v>
      </c>
      <c r="BP135" s="93">
        <f>SUM($Z135:AI135)-SUM($CM135:CV135)</f>
        <v>23645</v>
      </c>
      <c r="BQ135" s="93">
        <f>SUM($Z135:AJ135)-SUM($CM135:CW135)</f>
        <v>21545</v>
      </c>
      <c r="BR135" s="93">
        <f>SUM($Z135:AK135)-SUM($CM135:CX135)</f>
        <v>19445</v>
      </c>
      <c r="BS135" s="93">
        <f>SUM($Z135:AL135)-SUM($CM135:CY135)</f>
        <v>17345</v>
      </c>
      <c r="BT135" s="93">
        <f>SUM($Z135:AM135)-SUM($CM135:CZ135)</f>
        <v>15245</v>
      </c>
      <c r="BU135" s="93">
        <f>SUM($Z135:AN135)-SUM($CM135:DA135)</f>
        <v>13145</v>
      </c>
      <c r="BV135" s="93">
        <f>SUM($Z135:AO135)-SUM($CM135:DB135)</f>
        <v>12655</v>
      </c>
      <c r="BW135" s="93">
        <f>SUM($Z135:AP135)-SUM($CM135:DC135)</f>
        <v>12655</v>
      </c>
      <c r="BX135" s="93">
        <f>SUM($Z135:AQ135)-SUM($CM135:DD135)</f>
        <v>12655</v>
      </c>
      <c r="BY135" s="93">
        <f>SUM($Z135:AR135)-SUM($CM135:DE135)</f>
        <v>12655</v>
      </c>
      <c r="BZ135" s="93">
        <f>SUM($Z135:AS135)-SUM($CM135:DF135)</f>
        <v>12655</v>
      </c>
      <c r="CA135" s="93">
        <f>SUM($Z135:AT135)-SUM($CM135:DG135)</f>
        <v>12655</v>
      </c>
      <c r="CB135" s="93">
        <f>SUM($Z135:AU135)-SUM($CM135:DH135)</f>
        <v>12655</v>
      </c>
      <c r="CC135" s="93">
        <f>SUM($Z135:AV135)-SUM($CM135:DI135)</f>
        <v>12655</v>
      </c>
      <c r="CD135" s="93">
        <f>SUM($Z135:AW135)-SUM($CM135:DJ135)</f>
        <v>12655</v>
      </c>
      <c r="CE135" s="93">
        <f>SUM($Z135:AX135)-SUM($CM135:DK135)</f>
        <v>12655</v>
      </c>
      <c r="CF135" s="93">
        <f>SUM($Z135:AY135)-SUM($CM135:DL135)</f>
        <v>12655</v>
      </c>
      <c r="CG135" s="93">
        <f>SUM($Z135:AZ135)-SUM($CM135:DM135)</f>
        <v>12655</v>
      </c>
      <c r="CH135" s="93">
        <f>SUM($Z135:BA135)-SUM($CM135:DN135)</f>
        <v>12655</v>
      </c>
      <c r="CI135" s="93">
        <f>SUM($Z135:BB135)-SUM($CM135:DO135)</f>
        <v>12655</v>
      </c>
      <c r="CJ135" s="93"/>
      <c r="CK135" s="93"/>
      <c r="CL135" s="93"/>
      <c r="CM135" s="93"/>
      <c r="CN135" s="93" cm="1">
        <f t="array" ref="CN135">SUMPRODUCT(TRANSPOSE(CN$4:CN$20),$G135:$W135)</f>
        <v>0</v>
      </c>
      <c r="CO135" s="93" cm="1">
        <f t="array" ref="CO135">SUMPRODUCT(TRANSPOSE(CO$4:CO$20),$G135:$W135)</f>
        <v>0</v>
      </c>
      <c r="CP135" s="93" cm="1">
        <f t="array" ref="CP135">SUMPRODUCT(TRANSPOSE(CP$4:CP$20),$G135:$W135)</f>
        <v>0</v>
      </c>
      <c r="CQ135" s="93" cm="1">
        <f t="array" ref="CQ135">SUMPRODUCT(TRANSPOSE(CQ$4:CQ$20),$G135:$W135)</f>
        <v>2730</v>
      </c>
      <c r="CR135" s="93" cm="1">
        <f t="array" ref="CR135">SUMPRODUCT(TRANSPOSE(CR$4:CR$20),$G135:$W135)</f>
        <v>2450</v>
      </c>
      <c r="CS135" s="93" cm="1">
        <f t="array" ref="CS135">SUMPRODUCT(TRANSPOSE(CS$4:CS$20),$G135:$W135)</f>
        <v>2275</v>
      </c>
      <c r="CT135" s="93" cm="1">
        <f t="array" ref="CT135">SUMPRODUCT(TRANSPOSE(CT$4:CT$20),$G135:$W135)</f>
        <v>2100</v>
      </c>
      <c r="CU135" s="93" cm="1">
        <f t="array" ref="CU135">SUMPRODUCT(TRANSPOSE(CU$4:CU$20),$G135:$W135)</f>
        <v>2100</v>
      </c>
      <c r="CV135" s="93" cm="1">
        <f t="array" ref="CV135">SUMPRODUCT(TRANSPOSE(CV$4:CV$20),$G135:$W135)</f>
        <v>2100</v>
      </c>
      <c r="CW135" s="93" cm="1">
        <f t="array" ref="CW135">SUMPRODUCT(TRANSPOSE(CW$4:CW$20),$G135:$W135)</f>
        <v>2100</v>
      </c>
      <c r="CX135" s="93" cm="1">
        <f t="array" ref="CX135">SUMPRODUCT(TRANSPOSE(CX$4:CX$20),$G135:$W135)</f>
        <v>2100</v>
      </c>
      <c r="CY135" s="93" cm="1">
        <f t="array" ref="CY135">SUMPRODUCT(TRANSPOSE(CY$4:CY$20),$G135:$W135)</f>
        <v>2100</v>
      </c>
      <c r="CZ135" s="93" cm="1">
        <f t="array" ref="CZ135">SUMPRODUCT(TRANSPOSE(CZ$4:CZ$20),$G135:$W135)</f>
        <v>2100</v>
      </c>
      <c r="DA135" s="93" cm="1">
        <f t="array" ref="DA135">SUMPRODUCT(TRANSPOSE(DA$4:DA$20),$G135:$W135)</f>
        <v>2100</v>
      </c>
      <c r="DB135" s="93" cm="1">
        <f t="array" ref="DB135">SUMPRODUCT(TRANSPOSE(DB$4:DB$20),$G135:$W135)</f>
        <v>490</v>
      </c>
      <c r="DC135" s="93" cm="1">
        <f t="array" ref="DC135">SUMPRODUCT(TRANSPOSE(DC$4:DC$20),$G135:$W135)</f>
        <v>0</v>
      </c>
      <c r="DD135" s="93" cm="1">
        <f t="array" ref="DD135">SUMPRODUCT(TRANSPOSE(DD$4:DD$20),$G135:$W135)</f>
        <v>0</v>
      </c>
      <c r="DE135" s="93" cm="1">
        <f t="array" ref="DE135">SUMPRODUCT(TRANSPOSE(DE$4:DE$20),$G135:$W135)</f>
        <v>0</v>
      </c>
      <c r="DF135" s="93" cm="1">
        <f t="array" ref="DF135">SUMPRODUCT(TRANSPOSE(DF$4:DF$20),$G135:$W135)</f>
        <v>0</v>
      </c>
      <c r="DG135" s="93" cm="1">
        <f t="array" ref="DG135">SUMPRODUCT(TRANSPOSE(DG$4:DG$20),$G135:$W135)</f>
        <v>0</v>
      </c>
      <c r="DH135" s="93" cm="1">
        <f t="array" ref="DH135">SUMPRODUCT(TRANSPOSE(DH$4:DH$20),$G135:$W135)</f>
        <v>0</v>
      </c>
      <c r="DI135" s="93" cm="1">
        <f t="array" ref="DI135">SUMPRODUCT(TRANSPOSE(DI$4:DI$20),$G135:$W135)</f>
        <v>0</v>
      </c>
      <c r="DJ135" s="93" cm="1">
        <f t="array" ref="DJ135">SUMPRODUCT(TRANSPOSE(DJ$4:DJ$20),$G135:$W135)</f>
        <v>0</v>
      </c>
      <c r="DK135" s="93" cm="1">
        <f t="array" ref="DK135">SUMPRODUCT(TRANSPOSE(DK$4:DK$20),$G135:$W135)</f>
        <v>0</v>
      </c>
      <c r="DL135" s="93" cm="1">
        <f t="array" ref="DL135">SUMPRODUCT(TRANSPOSE(DL$4:DL$20),$G135:$W135)</f>
        <v>0</v>
      </c>
      <c r="DM135" s="93" cm="1">
        <f t="array" ref="DM135">SUMPRODUCT(TRANSPOSE(DM$4:DM$20),$G135:$W135)</f>
        <v>0</v>
      </c>
      <c r="DN135" s="93" cm="1">
        <f t="array" ref="DN135">SUMPRODUCT(TRANSPOSE(DN$4:DN$20),$G135:$W135)</f>
        <v>0</v>
      </c>
      <c r="DO135" s="93" cm="1">
        <f t="array" ref="DO135">SUMPRODUCT(TRANSPOSE(DO$4:DO$20),$G135:$W135)</f>
        <v>0</v>
      </c>
    </row>
    <row r="136" spans="1:119" x14ac:dyDescent="0.2">
      <c r="A136" s="45">
        <f t="shared" si="27"/>
        <v>115</v>
      </c>
      <c r="B136" s="46" t="s">
        <v>356</v>
      </c>
      <c r="C136" s="45">
        <v>404495499</v>
      </c>
      <c r="D136" s="45" t="s">
        <v>357</v>
      </c>
      <c r="E136" s="45" t="s">
        <v>162</v>
      </c>
      <c r="F136" s="48">
        <v>2</v>
      </c>
      <c r="G136" s="100">
        <v>0</v>
      </c>
      <c r="H136" s="100">
        <v>0</v>
      </c>
      <c r="I136" s="100">
        <v>0</v>
      </c>
      <c r="J136" s="100">
        <v>0</v>
      </c>
      <c r="K136" s="100">
        <v>0</v>
      </c>
      <c r="L136" s="100">
        <v>0</v>
      </c>
      <c r="M136" s="100">
        <v>0</v>
      </c>
      <c r="N136" s="100">
        <v>0</v>
      </c>
      <c r="O136" s="100">
        <v>0</v>
      </c>
      <c r="P136" s="100">
        <v>0</v>
      </c>
      <c r="Q136" s="100">
        <v>35</v>
      </c>
      <c r="R136" s="100">
        <v>0</v>
      </c>
      <c r="S136" s="100">
        <v>0</v>
      </c>
      <c r="T136" s="100">
        <v>0</v>
      </c>
      <c r="U136" s="100">
        <v>35</v>
      </c>
      <c r="V136" s="100">
        <v>0</v>
      </c>
      <c r="W136" s="100">
        <v>0</v>
      </c>
      <c r="X136" s="45" t="s">
        <v>58</v>
      </c>
      <c r="Y136" s="49">
        <v>2.4079999999999999</v>
      </c>
      <c r="Z136" s="45">
        <v>37500</v>
      </c>
      <c r="AA136" s="45">
        <v>0</v>
      </c>
      <c r="AB136" s="45">
        <v>0</v>
      </c>
      <c r="AC136" s="45">
        <v>0</v>
      </c>
      <c r="AD136" s="45">
        <v>0</v>
      </c>
      <c r="AE136" s="45">
        <v>0</v>
      </c>
      <c r="AF136" s="45">
        <v>0</v>
      </c>
      <c r="AG136" s="45">
        <v>0</v>
      </c>
      <c r="AH136" s="45">
        <v>0</v>
      </c>
      <c r="AI136" s="45">
        <v>0</v>
      </c>
      <c r="AJ136" s="45">
        <v>0</v>
      </c>
      <c r="AK136" s="45">
        <v>0</v>
      </c>
      <c r="AL136" s="45">
        <v>0</v>
      </c>
      <c r="AM136" s="45">
        <v>0</v>
      </c>
      <c r="AN136" s="45">
        <v>0</v>
      </c>
      <c r="AO136" s="45"/>
      <c r="AP136" s="45"/>
      <c r="AQ136" s="45"/>
      <c r="AR136" s="45"/>
      <c r="AS136" s="45"/>
      <c r="AT136" s="45"/>
      <c r="AU136" s="45"/>
      <c r="AV136" s="45"/>
      <c r="AW136" s="45"/>
      <c r="AX136" s="45"/>
      <c r="AY136" s="45"/>
      <c r="AZ136" s="45"/>
      <c r="BA136" s="45"/>
      <c r="BB136" s="45"/>
      <c r="BC136" s="45"/>
      <c r="BD136" s="93"/>
      <c r="BE136" s="93"/>
      <c r="BF136" s="93"/>
      <c r="BG136" s="93"/>
      <c r="BH136" s="93"/>
      <c r="BI136" s="93"/>
      <c r="BJ136" s="93"/>
      <c r="BK136" s="93">
        <f>SUM($Z136:AD136)-SUM($CM136:CQ136)</f>
        <v>34770</v>
      </c>
      <c r="BL136" s="93">
        <f>SUM($Z136:AE136)-SUM($CM136:CR136)</f>
        <v>32320</v>
      </c>
      <c r="BM136" s="93">
        <f>SUM($Z136:AF136)-SUM($CM136:CS136)</f>
        <v>30045</v>
      </c>
      <c r="BN136" s="93">
        <f>SUM($Z136:AG136)-SUM($CM136:CT136)</f>
        <v>27945</v>
      </c>
      <c r="BO136" s="93">
        <f>SUM($Z136:AH136)-SUM($CM136:CU136)</f>
        <v>25845</v>
      </c>
      <c r="BP136" s="93">
        <f>SUM($Z136:AI136)-SUM($CM136:CV136)</f>
        <v>23745</v>
      </c>
      <c r="BQ136" s="93">
        <f>SUM($Z136:AJ136)-SUM($CM136:CW136)</f>
        <v>21645</v>
      </c>
      <c r="BR136" s="93">
        <f>SUM($Z136:AK136)-SUM($CM136:CX136)</f>
        <v>19545</v>
      </c>
      <c r="BS136" s="93">
        <f>SUM($Z136:AL136)-SUM($CM136:CY136)</f>
        <v>17445</v>
      </c>
      <c r="BT136" s="93">
        <f>SUM($Z136:AM136)-SUM($CM136:CZ136)</f>
        <v>15345</v>
      </c>
      <c r="BU136" s="93">
        <f>SUM($Z136:AN136)-SUM($CM136:DA136)</f>
        <v>13245</v>
      </c>
      <c r="BV136" s="93">
        <f>SUM($Z136:AO136)-SUM($CM136:DB136)</f>
        <v>12755</v>
      </c>
      <c r="BW136" s="93">
        <f>SUM($Z136:AP136)-SUM($CM136:DC136)</f>
        <v>12755</v>
      </c>
      <c r="BX136" s="93">
        <f>SUM($Z136:AQ136)-SUM($CM136:DD136)</f>
        <v>12755</v>
      </c>
      <c r="BY136" s="93">
        <f>SUM($Z136:AR136)-SUM($CM136:DE136)</f>
        <v>12755</v>
      </c>
      <c r="BZ136" s="93">
        <f>SUM($Z136:AS136)-SUM($CM136:DF136)</f>
        <v>12755</v>
      </c>
      <c r="CA136" s="93">
        <f>SUM($Z136:AT136)-SUM($CM136:DG136)</f>
        <v>12755</v>
      </c>
      <c r="CB136" s="93">
        <f>SUM($Z136:AU136)-SUM($CM136:DH136)</f>
        <v>12755</v>
      </c>
      <c r="CC136" s="93">
        <f>SUM($Z136:AV136)-SUM($CM136:DI136)</f>
        <v>12755</v>
      </c>
      <c r="CD136" s="93">
        <f>SUM($Z136:AW136)-SUM($CM136:DJ136)</f>
        <v>12755</v>
      </c>
      <c r="CE136" s="93">
        <f>SUM($Z136:AX136)-SUM($CM136:DK136)</f>
        <v>12755</v>
      </c>
      <c r="CF136" s="93">
        <f>SUM($Z136:AY136)-SUM($CM136:DL136)</f>
        <v>12755</v>
      </c>
      <c r="CG136" s="93">
        <f>SUM($Z136:AZ136)-SUM($CM136:DM136)</f>
        <v>12755</v>
      </c>
      <c r="CH136" s="93">
        <f>SUM($Z136:BA136)-SUM($CM136:DN136)</f>
        <v>12755</v>
      </c>
      <c r="CI136" s="93">
        <f>SUM($Z136:BB136)-SUM($CM136:DO136)</f>
        <v>12755</v>
      </c>
      <c r="CJ136" s="93"/>
      <c r="CK136" s="93"/>
      <c r="CL136" s="93"/>
      <c r="CM136" s="93"/>
      <c r="CN136" s="93" cm="1">
        <f t="array" ref="CN136">SUMPRODUCT(TRANSPOSE(CN$4:CN$20),$G136:$W136)</f>
        <v>0</v>
      </c>
      <c r="CO136" s="93" cm="1">
        <f t="array" ref="CO136">SUMPRODUCT(TRANSPOSE(CO$4:CO$20),$G136:$W136)</f>
        <v>0</v>
      </c>
      <c r="CP136" s="93" cm="1">
        <f t="array" ref="CP136">SUMPRODUCT(TRANSPOSE(CP$4:CP$20),$G136:$W136)</f>
        <v>0</v>
      </c>
      <c r="CQ136" s="93" cm="1">
        <f t="array" ref="CQ136">SUMPRODUCT(TRANSPOSE(CQ$4:CQ$20),$G136:$W136)</f>
        <v>2730</v>
      </c>
      <c r="CR136" s="93" cm="1">
        <f t="array" ref="CR136">SUMPRODUCT(TRANSPOSE(CR$4:CR$20),$G136:$W136)</f>
        <v>2450</v>
      </c>
      <c r="CS136" s="93" cm="1">
        <f t="array" ref="CS136">SUMPRODUCT(TRANSPOSE(CS$4:CS$20),$G136:$W136)</f>
        <v>2275</v>
      </c>
      <c r="CT136" s="93" cm="1">
        <f t="array" ref="CT136">SUMPRODUCT(TRANSPOSE(CT$4:CT$20),$G136:$W136)</f>
        <v>2100</v>
      </c>
      <c r="CU136" s="93" cm="1">
        <f t="array" ref="CU136">SUMPRODUCT(TRANSPOSE(CU$4:CU$20),$G136:$W136)</f>
        <v>2100</v>
      </c>
      <c r="CV136" s="93" cm="1">
        <f t="array" ref="CV136">SUMPRODUCT(TRANSPOSE(CV$4:CV$20),$G136:$W136)</f>
        <v>2100</v>
      </c>
      <c r="CW136" s="93" cm="1">
        <f t="array" ref="CW136">SUMPRODUCT(TRANSPOSE(CW$4:CW$20),$G136:$W136)</f>
        <v>2100</v>
      </c>
      <c r="CX136" s="93" cm="1">
        <f t="array" ref="CX136">SUMPRODUCT(TRANSPOSE(CX$4:CX$20),$G136:$W136)</f>
        <v>2100</v>
      </c>
      <c r="CY136" s="93" cm="1">
        <f t="array" ref="CY136">SUMPRODUCT(TRANSPOSE(CY$4:CY$20),$G136:$W136)</f>
        <v>2100</v>
      </c>
      <c r="CZ136" s="93" cm="1">
        <f t="array" ref="CZ136">SUMPRODUCT(TRANSPOSE(CZ$4:CZ$20),$G136:$W136)</f>
        <v>2100</v>
      </c>
      <c r="DA136" s="93" cm="1">
        <f t="array" ref="DA136">SUMPRODUCT(TRANSPOSE(DA$4:DA$20),$G136:$W136)</f>
        <v>2100</v>
      </c>
      <c r="DB136" s="93" cm="1">
        <f t="array" ref="DB136">SUMPRODUCT(TRANSPOSE(DB$4:DB$20),$G136:$W136)</f>
        <v>490</v>
      </c>
      <c r="DC136" s="93" cm="1">
        <f t="array" ref="DC136">SUMPRODUCT(TRANSPOSE(DC$4:DC$20),$G136:$W136)</f>
        <v>0</v>
      </c>
      <c r="DD136" s="93" cm="1">
        <f t="array" ref="DD136">SUMPRODUCT(TRANSPOSE(DD$4:DD$20),$G136:$W136)</f>
        <v>0</v>
      </c>
      <c r="DE136" s="93" cm="1">
        <f t="array" ref="DE136">SUMPRODUCT(TRANSPOSE(DE$4:DE$20),$G136:$W136)</f>
        <v>0</v>
      </c>
      <c r="DF136" s="93" cm="1">
        <f t="array" ref="DF136">SUMPRODUCT(TRANSPOSE(DF$4:DF$20),$G136:$W136)</f>
        <v>0</v>
      </c>
      <c r="DG136" s="93" cm="1">
        <f t="array" ref="DG136">SUMPRODUCT(TRANSPOSE(DG$4:DG$20),$G136:$W136)</f>
        <v>0</v>
      </c>
      <c r="DH136" s="93" cm="1">
        <f t="array" ref="DH136">SUMPRODUCT(TRANSPOSE(DH$4:DH$20),$G136:$W136)</f>
        <v>0</v>
      </c>
      <c r="DI136" s="93" cm="1">
        <f t="array" ref="DI136">SUMPRODUCT(TRANSPOSE(DI$4:DI$20),$G136:$W136)</f>
        <v>0</v>
      </c>
      <c r="DJ136" s="93" cm="1">
        <f t="array" ref="DJ136">SUMPRODUCT(TRANSPOSE(DJ$4:DJ$20),$G136:$W136)</f>
        <v>0</v>
      </c>
      <c r="DK136" s="93" cm="1">
        <f t="array" ref="DK136">SUMPRODUCT(TRANSPOSE(DK$4:DK$20),$G136:$W136)</f>
        <v>0</v>
      </c>
      <c r="DL136" s="93" cm="1">
        <f t="array" ref="DL136">SUMPRODUCT(TRANSPOSE(DL$4:DL$20),$G136:$W136)</f>
        <v>0</v>
      </c>
      <c r="DM136" s="93" cm="1">
        <f t="array" ref="DM136">SUMPRODUCT(TRANSPOSE(DM$4:DM$20),$G136:$W136)</f>
        <v>0</v>
      </c>
      <c r="DN136" s="93" cm="1">
        <f t="array" ref="DN136">SUMPRODUCT(TRANSPOSE(DN$4:DN$20),$G136:$W136)</f>
        <v>0</v>
      </c>
      <c r="DO136" s="93" cm="1">
        <f t="array" ref="DO136">SUMPRODUCT(TRANSPOSE(DO$4:DO$20),$G136:$W136)</f>
        <v>0</v>
      </c>
    </row>
    <row r="137" spans="1:119" x14ac:dyDescent="0.2">
      <c r="A137" s="45">
        <f t="shared" si="27"/>
        <v>116</v>
      </c>
      <c r="B137" s="46" t="s">
        <v>358</v>
      </c>
      <c r="C137" s="45">
        <v>411263723</v>
      </c>
      <c r="D137" s="45" t="s">
        <v>359</v>
      </c>
      <c r="E137" s="45" t="s">
        <v>162</v>
      </c>
      <c r="F137" s="48">
        <v>1</v>
      </c>
      <c r="G137" s="100">
        <v>0</v>
      </c>
      <c r="H137" s="100">
        <v>0</v>
      </c>
      <c r="I137" s="100">
        <v>0</v>
      </c>
      <c r="J137" s="100">
        <v>0</v>
      </c>
      <c r="K137" s="100">
        <v>0</v>
      </c>
      <c r="L137" s="100">
        <v>0</v>
      </c>
      <c r="M137" s="100">
        <v>0</v>
      </c>
      <c r="N137" s="100">
        <v>0</v>
      </c>
      <c r="O137" s="100">
        <v>0</v>
      </c>
      <c r="P137" s="100">
        <v>0</v>
      </c>
      <c r="Q137" s="100">
        <v>4</v>
      </c>
      <c r="R137" s="100">
        <v>0</v>
      </c>
      <c r="S137" s="100">
        <v>0</v>
      </c>
      <c r="T137" s="100">
        <v>0</v>
      </c>
      <c r="U137" s="100">
        <v>4</v>
      </c>
      <c r="V137" s="100">
        <v>0</v>
      </c>
      <c r="W137" s="100">
        <v>0</v>
      </c>
      <c r="X137" s="45" t="s">
        <v>58</v>
      </c>
      <c r="Y137" s="49">
        <v>1.9040000000000001</v>
      </c>
      <c r="Z137" s="45">
        <v>4500</v>
      </c>
      <c r="AA137" s="45">
        <v>0</v>
      </c>
      <c r="AB137" s="45">
        <v>0</v>
      </c>
      <c r="AC137" s="45">
        <v>0</v>
      </c>
      <c r="AD137" s="45">
        <v>0</v>
      </c>
      <c r="AE137" s="45">
        <v>0</v>
      </c>
      <c r="AF137" s="45">
        <v>0</v>
      </c>
      <c r="AG137" s="45">
        <v>0</v>
      </c>
      <c r="AH137" s="45">
        <v>0</v>
      </c>
      <c r="AI137" s="45">
        <v>0</v>
      </c>
      <c r="AJ137" s="45">
        <v>0</v>
      </c>
      <c r="AK137" s="45">
        <v>0</v>
      </c>
      <c r="AL137" s="45">
        <v>0</v>
      </c>
      <c r="AM137" s="45">
        <v>0</v>
      </c>
      <c r="AN137" s="45">
        <v>0</v>
      </c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45"/>
      <c r="BD137" s="93"/>
      <c r="BE137" s="93"/>
      <c r="BF137" s="93"/>
      <c r="BG137" s="93"/>
      <c r="BH137" s="93"/>
      <c r="BI137" s="93"/>
      <c r="BJ137" s="93"/>
      <c r="BK137" s="93">
        <f>SUM($Z137:AD137)-SUM($CM137:CQ137)</f>
        <v>4188</v>
      </c>
      <c r="BL137" s="93">
        <f>SUM($Z137:AE137)-SUM($CM137:CR137)</f>
        <v>3908</v>
      </c>
      <c r="BM137" s="93">
        <f>SUM($Z137:AF137)-SUM($CM137:CS137)</f>
        <v>3648</v>
      </c>
      <c r="BN137" s="93">
        <f>SUM($Z137:AG137)-SUM($CM137:CT137)</f>
        <v>3408</v>
      </c>
      <c r="BO137" s="93">
        <f>SUM($Z137:AH137)-SUM($CM137:CU137)</f>
        <v>3168</v>
      </c>
      <c r="BP137" s="93">
        <f>SUM($Z137:AI137)-SUM($CM137:CV137)</f>
        <v>2928</v>
      </c>
      <c r="BQ137" s="93">
        <f>SUM($Z137:AJ137)-SUM($CM137:CW137)</f>
        <v>2688</v>
      </c>
      <c r="BR137" s="93">
        <f>SUM($Z137:AK137)-SUM($CM137:CX137)</f>
        <v>2448</v>
      </c>
      <c r="BS137" s="93">
        <f>SUM($Z137:AL137)-SUM($CM137:CY137)</f>
        <v>2208</v>
      </c>
      <c r="BT137" s="93">
        <f>SUM($Z137:AM137)-SUM($CM137:CZ137)</f>
        <v>1968</v>
      </c>
      <c r="BU137" s="93">
        <f>SUM($Z137:AN137)-SUM($CM137:DA137)</f>
        <v>1728</v>
      </c>
      <c r="BV137" s="93">
        <f>SUM($Z137:AO137)-SUM($CM137:DB137)</f>
        <v>1672</v>
      </c>
      <c r="BW137" s="93">
        <f>SUM($Z137:AP137)-SUM($CM137:DC137)</f>
        <v>1672</v>
      </c>
      <c r="BX137" s="93">
        <f>SUM($Z137:AQ137)-SUM($CM137:DD137)</f>
        <v>1672</v>
      </c>
      <c r="BY137" s="93">
        <f>SUM($Z137:AR137)-SUM($CM137:DE137)</f>
        <v>1672</v>
      </c>
      <c r="BZ137" s="93">
        <f>SUM($Z137:AS137)-SUM($CM137:DF137)</f>
        <v>1672</v>
      </c>
      <c r="CA137" s="93">
        <f>SUM($Z137:AT137)-SUM($CM137:DG137)</f>
        <v>1672</v>
      </c>
      <c r="CB137" s="93">
        <f>SUM($Z137:AU137)-SUM($CM137:DH137)</f>
        <v>1672</v>
      </c>
      <c r="CC137" s="93">
        <f>SUM($Z137:AV137)-SUM($CM137:DI137)</f>
        <v>1672</v>
      </c>
      <c r="CD137" s="93">
        <f>SUM($Z137:AW137)-SUM($CM137:DJ137)</f>
        <v>1672</v>
      </c>
      <c r="CE137" s="93">
        <f>SUM($Z137:AX137)-SUM($CM137:DK137)</f>
        <v>1672</v>
      </c>
      <c r="CF137" s="93">
        <f>SUM($Z137:AY137)-SUM($CM137:DL137)</f>
        <v>1672</v>
      </c>
      <c r="CG137" s="93">
        <f>SUM($Z137:AZ137)-SUM($CM137:DM137)</f>
        <v>1672</v>
      </c>
      <c r="CH137" s="93">
        <f>SUM($Z137:BA137)-SUM($CM137:DN137)</f>
        <v>1672</v>
      </c>
      <c r="CI137" s="93">
        <f>SUM($Z137:BB137)-SUM($CM137:DO137)</f>
        <v>1672</v>
      </c>
      <c r="CJ137" s="93"/>
      <c r="CK137" s="93"/>
      <c r="CL137" s="93"/>
      <c r="CM137" s="93"/>
      <c r="CN137" s="93" cm="1">
        <f t="array" ref="CN137">SUMPRODUCT(TRANSPOSE(CN$4:CN$20),$G137:$W137)</f>
        <v>0</v>
      </c>
      <c r="CO137" s="93" cm="1">
        <f t="array" ref="CO137">SUMPRODUCT(TRANSPOSE(CO$4:CO$20),$G137:$W137)</f>
        <v>0</v>
      </c>
      <c r="CP137" s="93" cm="1">
        <f t="array" ref="CP137">SUMPRODUCT(TRANSPOSE(CP$4:CP$20),$G137:$W137)</f>
        <v>0</v>
      </c>
      <c r="CQ137" s="93" cm="1">
        <f t="array" ref="CQ137">SUMPRODUCT(TRANSPOSE(CQ$4:CQ$20),$G137:$W137)</f>
        <v>312</v>
      </c>
      <c r="CR137" s="93" cm="1">
        <f t="array" ref="CR137">SUMPRODUCT(TRANSPOSE(CR$4:CR$20),$G137:$W137)</f>
        <v>280</v>
      </c>
      <c r="CS137" s="93" cm="1">
        <f t="array" ref="CS137">SUMPRODUCT(TRANSPOSE(CS$4:CS$20),$G137:$W137)</f>
        <v>260</v>
      </c>
      <c r="CT137" s="93" cm="1">
        <f t="array" ref="CT137">SUMPRODUCT(TRANSPOSE(CT$4:CT$20),$G137:$W137)</f>
        <v>240</v>
      </c>
      <c r="CU137" s="93" cm="1">
        <f t="array" ref="CU137">SUMPRODUCT(TRANSPOSE(CU$4:CU$20),$G137:$W137)</f>
        <v>240</v>
      </c>
      <c r="CV137" s="93" cm="1">
        <f t="array" ref="CV137">SUMPRODUCT(TRANSPOSE(CV$4:CV$20),$G137:$W137)</f>
        <v>240</v>
      </c>
      <c r="CW137" s="93" cm="1">
        <f t="array" ref="CW137">SUMPRODUCT(TRANSPOSE(CW$4:CW$20),$G137:$W137)</f>
        <v>240</v>
      </c>
      <c r="CX137" s="93" cm="1">
        <f t="array" ref="CX137">SUMPRODUCT(TRANSPOSE(CX$4:CX$20),$G137:$W137)</f>
        <v>240</v>
      </c>
      <c r="CY137" s="93" cm="1">
        <f t="array" ref="CY137">SUMPRODUCT(TRANSPOSE(CY$4:CY$20),$G137:$W137)</f>
        <v>240</v>
      </c>
      <c r="CZ137" s="93" cm="1">
        <f t="array" ref="CZ137">SUMPRODUCT(TRANSPOSE(CZ$4:CZ$20),$G137:$W137)</f>
        <v>240</v>
      </c>
      <c r="DA137" s="93" cm="1">
        <f t="array" ref="DA137">SUMPRODUCT(TRANSPOSE(DA$4:DA$20),$G137:$W137)</f>
        <v>240</v>
      </c>
      <c r="DB137" s="93" cm="1">
        <f t="array" ref="DB137">SUMPRODUCT(TRANSPOSE(DB$4:DB$20),$G137:$W137)</f>
        <v>56</v>
      </c>
      <c r="DC137" s="93" cm="1">
        <f t="array" ref="DC137">SUMPRODUCT(TRANSPOSE(DC$4:DC$20),$G137:$W137)</f>
        <v>0</v>
      </c>
      <c r="DD137" s="93" cm="1">
        <f t="array" ref="DD137">SUMPRODUCT(TRANSPOSE(DD$4:DD$20),$G137:$W137)</f>
        <v>0</v>
      </c>
      <c r="DE137" s="93" cm="1">
        <f t="array" ref="DE137">SUMPRODUCT(TRANSPOSE(DE$4:DE$20),$G137:$W137)</f>
        <v>0</v>
      </c>
      <c r="DF137" s="93" cm="1">
        <f t="array" ref="DF137">SUMPRODUCT(TRANSPOSE(DF$4:DF$20),$G137:$W137)</f>
        <v>0</v>
      </c>
      <c r="DG137" s="93" cm="1">
        <f t="array" ref="DG137">SUMPRODUCT(TRANSPOSE(DG$4:DG$20),$G137:$W137)</f>
        <v>0</v>
      </c>
      <c r="DH137" s="93" cm="1">
        <f t="array" ref="DH137">SUMPRODUCT(TRANSPOSE(DH$4:DH$20),$G137:$W137)</f>
        <v>0</v>
      </c>
      <c r="DI137" s="93" cm="1">
        <f t="array" ref="DI137">SUMPRODUCT(TRANSPOSE(DI$4:DI$20),$G137:$W137)</f>
        <v>0</v>
      </c>
      <c r="DJ137" s="93" cm="1">
        <f t="array" ref="DJ137">SUMPRODUCT(TRANSPOSE(DJ$4:DJ$20),$G137:$W137)</f>
        <v>0</v>
      </c>
      <c r="DK137" s="93" cm="1">
        <f t="array" ref="DK137">SUMPRODUCT(TRANSPOSE(DK$4:DK$20),$G137:$W137)</f>
        <v>0</v>
      </c>
      <c r="DL137" s="93" cm="1">
        <f t="array" ref="DL137">SUMPRODUCT(TRANSPOSE(DL$4:DL$20),$G137:$W137)</f>
        <v>0</v>
      </c>
      <c r="DM137" s="93" cm="1">
        <f t="array" ref="DM137">SUMPRODUCT(TRANSPOSE(DM$4:DM$20),$G137:$W137)</f>
        <v>0</v>
      </c>
      <c r="DN137" s="93" cm="1">
        <f t="array" ref="DN137">SUMPRODUCT(TRANSPOSE(DN$4:DN$20),$G137:$W137)</f>
        <v>0</v>
      </c>
      <c r="DO137" s="93" cm="1">
        <f t="array" ref="DO137">SUMPRODUCT(TRANSPOSE(DO$4:DO$20),$G137:$W137)</f>
        <v>0</v>
      </c>
    </row>
    <row r="138" spans="1:119" x14ac:dyDescent="0.2">
      <c r="A138" s="45">
        <f t="shared" si="27"/>
        <v>117</v>
      </c>
      <c r="B138" s="46" t="s">
        <v>360</v>
      </c>
      <c r="C138" s="45" t="s">
        <v>361</v>
      </c>
      <c r="D138" s="45" t="s">
        <v>362</v>
      </c>
      <c r="E138" s="45" t="s">
        <v>363</v>
      </c>
      <c r="F138" s="48">
        <v>2</v>
      </c>
      <c r="G138" s="100">
        <v>0</v>
      </c>
      <c r="H138" s="100">
        <v>0</v>
      </c>
      <c r="I138" s="100">
        <v>0</v>
      </c>
      <c r="J138" s="100">
        <v>0</v>
      </c>
      <c r="K138" s="100">
        <v>0</v>
      </c>
      <c r="L138" s="100">
        <v>0</v>
      </c>
      <c r="M138" s="100">
        <v>0</v>
      </c>
      <c r="N138" s="100">
        <v>0</v>
      </c>
      <c r="O138" s="100">
        <v>4.5</v>
      </c>
      <c r="P138" s="100">
        <v>0</v>
      </c>
      <c r="Q138" s="100">
        <v>0</v>
      </c>
      <c r="R138" s="100">
        <v>0</v>
      </c>
      <c r="S138" s="100">
        <v>4.5</v>
      </c>
      <c r="T138" s="100">
        <v>0</v>
      </c>
      <c r="U138" s="100">
        <v>0</v>
      </c>
      <c r="V138" s="100">
        <v>0</v>
      </c>
      <c r="W138" s="100">
        <v>0</v>
      </c>
      <c r="X138" s="45" t="s">
        <v>24</v>
      </c>
      <c r="Y138" s="53">
        <v>1.3</v>
      </c>
      <c r="Z138" s="45">
        <v>5000</v>
      </c>
      <c r="AA138" s="45">
        <v>0</v>
      </c>
      <c r="AB138" s="45">
        <v>0</v>
      </c>
      <c r="AC138" s="45">
        <v>0</v>
      </c>
      <c r="AD138" s="45">
        <v>0</v>
      </c>
      <c r="AE138" s="45">
        <v>0</v>
      </c>
      <c r="AF138" s="45">
        <v>0</v>
      </c>
      <c r="AG138" s="45">
        <v>0</v>
      </c>
      <c r="AH138" s="45">
        <v>0</v>
      </c>
      <c r="AI138" s="45">
        <v>0</v>
      </c>
      <c r="AJ138" s="45">
        <v>0</v>
      </c>
      <c r="AK138" s="45">
        <v>0</v>
      </c>
      <c r="AL138" s="45">
        <v>0</v>
      </c>
      <c r="AM138" s="45">
        <v>0</v>
      </c>
      <c r="AN138" s="45">
        <v>0</v>
      </c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45"/>
      <c r="BD138" s="93"/>
      <c r="BE138" s="93"/>
      <c r="BF138" s="93"/>
      <c r="BG138" s="93"/>
      <c r="BH138" s="93"/>
      <c r="BI138" s="93"/>
      <c r="BJ138" s="93"/>
      <c r="BK138" s="93">
        <f>SUM($Z138:AD138)-SUM($CM138:CQ138)</f>
        <v>4649</v>
      </c>
      <c r="BL138" s="93">
        <f>SUM($Z138:AE138)-SUM($CM138:CR138)</f>
        <v>4334</v>
      </c>
      <c r="BM138" s="93">
        <f>SUM($Z138:AF138)-SUM($CM138:CS138)</f>
        <v>4041.5</v>
      </c>
      <c r="BN138" s="93">
        <f>SUM($Z138:AG138)-SUM($CM138:CT138)</f>
        <v>3771.5</v>
      </c>
      <c r="BO138" s="93">
        <f>SUM($Z138:AH138)-SUM($CM138:CU138)</f>
        <v>3501.5</v>
      </c>
      <c r="BP138" s="93">
        <f>SUM($Z138:AI138)-SUM($CM138:CV138)</f>
        <v>3231.5</v>
      </c>
      <c r="BQ138" s="93">
        <f>SUM($Z138:AJ138)-SUM($CM138:CW138)</f>
        <v>2961.5</v>
      </c>
      <c r="BR138" s="93">
        <f>SUM($Z138:AK138)-SUM($CM138:CX138)</f>
        <v>2691.5</v>
      </c>
      <c r="BS138" s="93">
        <f>SUM($Z138:AL138)-SUM($CM138:CY138)</f>
        <v>2421.5</v>
      </c>
      <c r="BT138" s="93">
        <f>SUM($Z138:AM138)-SUM($CM138:CZ138)</f>
        <v>2151.5</v>
      </c>
      <c r="BU138" s="93">
        <f>SUM($Z138:AN138)-SUM($CM138:DA138)</f>
        <v>1881.5</v>
      </c>
      <c r="BV138" s="93">
        <f>SUM($Z138:AO138)-SUM($CM138:DB138)</f>
        <v>1818.5</v>
      </c>
      <c r="BW138" s="93">
        <f>SUM($Z138:AP138)-SUM($CM138:DC138)</f>
        <v>1818.5</v>
      </c>
      <c r="BX138" s="93">
        <f>SUM($Z138:AQ138)-SUM($CM138:DD138)</f>
        <v>1818.5</v>
      </c>
      <c r="BY138" s="93">
        <f>SUM($Z138:AR138)-SUM($CM138:DE138)</f>
        <v>1818.5</v>
      </c>
      <c r="BZ138" s="93">
        <f>SUM($Z138:AS138)-SUM($CM138:DF138)</f>
        <v>1818.5</v>
      </c>
      <c r="CA138" s="93">
        <f>SUM($Z138:AT138)-SUM($CM138:DG138)</f>
        <v>1818.5</v>
      </c>
      <c r="CB138" s="93">
        <f>SUM($Z138:AU138)-SUM($CM138:DH138)</f>
        <v>1818.5</v>
      </c>
      <c r="CC138" s="93">
        <f>SUM($Z138:AV138)-SUM($CM138:DI138)</f>
        <v>1818.5</v>
      </c>
      <c r="CD138" s="93">
        <f>SUM($Z138:AW138)-SUM($CM138:DJ138)</f>
        <v>1818.5</v>
      </c>
      <c r="CE138" s="93">
        <f>SUM($Z138:AX138)-SUM($CM138:DK138)</f>
        <v>1818.5</v>
      </c>
      <c r="CF138" s="93">
        <f>SUM($Z138:AY138)-SUM($CM138:DL138)</f>
        <v>1818.5</v>
      </c>
      <c r="CG138" s="93">
        <f>SUM($Z138:AZ138)-SUM($CM138:DM138)</f>
        <v>1818.5</v>
      </c>
      <c r="CH138" s="93">
        <f>SUM($Z138:BA138)-SUM($CM138:DN138)</f>
        <v>1818.5</v>
      </c>
      <c r="CI138" s="93">
        <f>SUM($Z138:BB138)-SUM($CM138:DO138)</f>
        <v>1818.5</v>
      </c>
      <c r="CJ138" s="93"/>
      <c r="CK138" s="93"/>
      <c r="CL138" s="93"/>
      <c r="CM138" s="93"/>
      <c r="CN138" s="93" cm="1">
        <f t="array" ref="CN138">SUMPRODUCT(TRANSPOSE(CN$4:CN$20),$G138:$W138)</f>
        <v>0</v>
      </c>
      <c r="CO138" s="93" cm="1">
        <f t="array" ref="CO138">SUMPRODUCT(TRANSPOSE(CO$4:CO$20),$G138:$W138)</f>
        <v>0</v>
      </c>
      <c r="CP138" s="93" cm="1">
        <f t="array" ref="CP138">SUMPRODUCT(TRANSPOSE(CP$4:CP$20),$G138:$W138)</f>
        <v>0</v>
      </c>
      <c r="CQ138" s="93" cm="1">
        <f t="array" ref="CQ138">SUMPRODUCT(TRANSPOSE(CQ$4:CQ$20),$G138:$W138)</f>
        <v>351</v>
      </c>
      <c r="CR138" s="93" cm="1">
        <f t="array" ref="CR138">SUMPRODUCT(TRANSPOSE(CR$4:CR$20),$G138:$W138)</f>
        <v>315</v>
      </c>
      <c r="CS138" s="93" cm="1">
        <f t="array" ref="CS138">SUMPRODUCT(TRANSPOSE(CS$4:CS$20),$G138:$W138)</f>
        <v>292.5</v>
      </c>
      <c r="CT138" s="93" cm="1">
        <f t="array" ref="CT138">SUMPRODUCT(TRANSPOSE(CT$4:CT$20),$G138:$W138)</f>
        <v>270</v>
      </c>
      <c r="CU138" s="93" cm="1">
        <f t="array" ref="CU138">SUMPRODUCT(TRANSPOSE(CU$4:CU$20),$G138:$W138)</f>
        <v>270</v>
      </c>
      <c r="CV138" s="93" cm="1">
        <f t="array" ref="CV138">SUMPRODUCT(TRANSPOSE(CV$4:CV$20),$G138:$W138)</f>
        <v>270</v>
      </c>
      <c r="CW138" s="93" cm="1">
        <f t="array" ref="CW138">SUMPRODUCT(TRANSPOSE(CW$4:CW$20),$G138:$W138)</f>
        <v>270</v>
      </c>
      <c r="CX138" s="93" cm="1">
        <f t="array" ref="CX138">SUMPRODUCT(TRANSPOSE(CX$4:CX$20),$G138:$W138)</f>
        <v>270</v>
      </c>
      <c r="CY138" s="93" cm="1">
        <f t="array" ref="CY138">SUMPRODUCT(TRANSPOSE(CY$4:CY$20),$G138:$W138)</f>
        <v>270</v>
      </c>
      <c r="CZ138" s="93" cm="1">
        <f t="array" ref="CZ138">SUMPRODUCT(TRANSPOSE(CZ$4:CZ$20),$G138:$W138)</f>
        <v>270</v>
      </c>
      <c r="DA138" s="93" cm="1">
        <f t="array" ref="DA138">SUMPRODUCT(TRANSPOSE(DA$4:DA$20),$G138:$W138)</f>
        <v>270</v>
      </c>
      <c r="DB138" s="93" cm="1">
        <f t="array" ref="DB138">SUMPRODUCT(TRANSPOSE(DB$4:DB$20),$G138:$W138)</f>
        <v>63</v>
      </c>
      <c r="DC138" s="93" cm="1">
        <f t="array" ref="DC138">SUMPRODUCT(TRANSPOSE(DC$4:DC$20),$G138:$W138)</f>
        <v>0</v>
      </c>
      <c r="DD138" s="93" cm="1">
        <f t="array" ref="DD138">SUMPRODUCT(TRANSPOSE(DD$4:DD$20),$G138:$W138)</f>
        <v>0</v>
      </c>
      <c r="DE138" s="93" cm="1">
        <f t="array" ref="DE138">SUMPRODUCT(TRANSPOSE(DE$4:DE$20),$G138:$W138)</f>
        <v>0</v>
      </c>
      <c r="DF138" s="93" cm="1">
        <f t="array" ref="DF138">SUMPRODUCT(TRANSPOSE(DF$4:DF$20),$G138:$W138)</f>
        <v>0</v>
      </c>
      <c r="DG138" s="93" cm="1">
        <f t="array" ref="DG138">SUMPRODUCT(TRANSPOSE(DG$4:DG$20),$G138:$W138)</f>
        <v>0</v>
      </c>
      <c r="DH138" s="93" cm="1">
        <f t="array" ref="DH138">SUMPRODUCT(TRANSPOSE(DH$4:DH$20),$G138:$W138)</f>
        <v>0</v>
      </c>
      <c r="DI138" s="93" cm="1">
        <f t="array" ref="DI138">SUMPRODUCT(TRANSPOSE(DI$4:DI$20),$G138:$W138)</f>
        <v>0</v>
      </c>
      <c r="DJ138" s="93" cm="1">
        <f t="array" ref="DJ138">SUMPRODUCT(TRANSPOSE(DJ$4:DJ$20),$G138:$W138)</f>
        <v>0</v>
      </c>
      <c r="DK138" s="93" cm="1">
        <f t="array" ref="DK138">SUMPRODUCT(TRANSPOSE(DK$4:DK$20),$G138:$W138)</f>
        <v>0</v>
      </c>
      <c r="DL138" s="93" cm="1">
        <f t="array" ref="DL138">SUMPRODUCT(TRANSPOSE(DL$4:DL$20),$G138:$W138)</f>
        <v>0</v>
      </c>
      <c r="DM138" s="93" cm="1">
        <f t="array" ref="DM138">SUMPRODUCT(TRANSPOSE(DM$4:DM$20),$G138:$W138)</f>
        <v>0</v>
      </c>
      <c r="DN138" s="93" cm="1">
        <f t="array" ref="DN138">SUMPRODUCT(TRANSPOSE(DN$4:DN$20),$G138:$W138)</f>
        <v>0</v>
      </c>
      <c r="DO138" s="93" cm="1">
        <f t="array" ref="DO138">SUMPRODUCT(TRANSPOSE(DO$4:DO$20),$G138:$W138)</f>
        <v>0</v>
      </c>
    </row>
    <row r="139" spans="1:119" x14ac:dyDescent="0.2">
      <c r="A139" s="45">
        <f t="shared" si="27"/>
        <v>118</v>
      </c>
      <c r="B139" s="46" t="s">
        <v>364</v>
      </c>
      <c r="C139" s="45" t="s">
        <v>365</v>
      </c>
      <c r="D139" s="45" t="s">
        <v>366</v>
      </c>
      <c r="E139" s="45" t="s">
        <v>162</v>
      </c>
      <c r="F139" s="48">
        <v>1</v>
      </c>
      <c r="G139" s="100">
        <v>0</v>
      </c>
      <c r="H139" s="100">
        <v>0</v>
      </c>
      <c r="I139" s="100">
        <v>0</v>
      </c>
      <c r="J139" s="100">
        <v>0</v>
      </c>
      <c r="K139" s="100">
        <v>0</v>
      </c>
      <c r="L139" s="100">
        <v>0</v>
      </c>
      <c r="M139" s="100">
        <v>0</v>
      </c>
      <c r="N139" s="100">
        <v>0</v>
      </c>
      <c r="O139" s="100">
        <v>0</v>
      </c>
      <c r="P139" s="100">
        <v>0</v>
      </c>
      <c r="Q139" s="100">
        <v>1</v>
      </c>
      <c r="R139" s="100">
        <v>0</v>
      </c>
      <c r="S139" s="100">
        <v>0</v>
      </c>
      <c r="T139" s="100">
        <v>0</v>
      </c>
      <c r="U139" s="100">
        <v>1</v>
      </c>
      <c r="V139" s="100">
        <v>0</v>
      </c>
      <c r="W139" s="100">
        <v>0</v>
      </c>
      <c r="X139" s="45" t="s">
        <v>60</v>
      </c>
      <c r="Y139" s="49">
        <v>24</v>
      </c>
      <c r="Z139" s="45">
        <v>1070</v>
      </c>
      <c r="AA139" s="45">
        <v>0</v>
      </c>
      <c r="AB139" s="45">
        <v>0</v>
      </c>
      <c r="AC139" s="45">
        <v>0</v>
      </c>
      <c r="AD139" s="45">
        <v>0</v>
      </c>
      <c r="AE139" s="45">
        <v>0</v>
      </c>
      <c r="AF139" s="45">
        <v>0</v>
      </c>
      <c r="AG139" s="45">
        <v>0</v>
      </c>
      <c r="AH139" s="45">
        <v>0</v>
      </c>
      <c r="AI139" s="45">
        <v>0</v>
      </c>
      <c r="AJ139" s="45">
        <v>0</v>
      </c>
      <c r="AK139" s="45">
        <v>0</v>
      </c>
      <c r="AL139" s="45">
        <v>0</v>
      </c>
      <c r="AM139" s="45">
        <v>0</v>
      </c>
      <c r="AN139" s="45">
        <v>0</v>
      </c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45"/>
      <c r="BD139" s="93"/>
      <c r="BE139" s="93"/>
      <c r="BF139" s="93"/>
      <c r="BG139" s="93"/>
      <c r="BH139" s="93"/>
      <c r="BI139" s="93"/>
      <c r="BJ139" s="93"/>
      <c r="BK139" s="93">
        <f>SUM($Z139:AD139)-SUM($CM139:CQ139)</f>
        <v>992</v>
      </c>
      <c r="BL139" s="93">
        <f>SUM($Z139:AE139)-SUM($CM139:CR139)</f>
        <v>922</v>
      </c>
      <c r="BM139" s="93">
        <f>SUM($Z139:AF139)-SUM($CM139:CS139)</f>
        <v>857</v>
      </c>
      <c r="BN139" s="93">
        <f>SUM($Z139:AG139)-SUM($CM139:CT139)</f>
        <v>797</v>
      </c>
      <c r="BO139" s="93">
        <f>SUM($Z139:AH139)-SUM($CM139:CU139)</f>
        <v>737</v>
      </c>
      <c r="BP139" s="93">
        <f>SUM($Z139:AI139)-SUM($CM139:CV139)</f>
        <v>677</v>
      </c>
      <c r="BQ139" s="93">
        <f>SUM($Z139:AJ139)-SUM($CM139:CW139)</f>
        <v>617</v>
      </c>
      <c r="BR139" s="93">
        <f>SUM($Z139:AK139)-SUM($CM139:CX139)</f>
        <v>557</v>
      </c>
      <c r="BS139" s="93">
        <f>SUM($Z139:AL139)-SUM($CM139:CY139)</f>
        <v>497</v>
      </c>
      <c r="BT139" s="93">
        <f>SUM($Z139:AM139)-SUM($CM139:CZ139)</f>
        <v>437</v>
      </c>
      <c r="BU139" s="93">
        <f>SUM($Z139:AN139)-SUM($CM139:DA139)</f>
        <v>377</v>
      </c>
      <c r="BV139" s="93">
        <f>SUM($Z139:AO139)-SUM($CM139:DB139)</f>
        <v>363</v>
      </c>
      <c r="BW139" s="93">
        <f>SUM($Z139:AP139)-SUM($CM139:DC139)</f>
        <v>363</v>
      </c>
      <c r="BX139" s="93">
        <f>SUM($Z139:AQ139)-SUM($CM139:DD139)</f>
        <v>363</v>
      </c>
      <c r="BY139" s="93">
        <f>SUM($Z139:AR139)-SUM($CM139:DE139)</f>
        <v>363</v>
      </c>
      <c r="BZ139" s="93">
        <f>SUM($Z139:AS139)-SUM($CM139:DF139)</f>
        <v>363</v>
      </c>
      <c r="CA139" s="93">
        <f>SUM($Z139:AT139)-SUM($CM139:DG139)</f>
        <v>363</v>
      </c>
      <c r="CB139" s="93">
        <f>SUM($Z139:AU139)-SUM($CM139:DH139)</f>
        <v>363</v>
      </c>
      <c r="CC139" s="93">
        <f>SUM($Z139:AV139)-SUM($CM139:DI139)</f>
        <v>363</v>
      </c>
      <c r="CD139" s="93">
        <f>SUM($Z139:AW139)-SUM($CM139:DJ139)</f>
        <v>363</v>
      </c>
      <c r="CE139" s="93">
        <f>SUM($Z139:AX139)-SUM($CM139:DK139)</f>
        <v>363</v>
      </c>
      <c r="CF139" s="93">
        <f>SUM($Z139:AY139)-SUM($CM139:DL139)</f>
        <v>363</v>
      </c>
      <c r="CG139" s="93">
        <f>SUM($Z139:AZ139)-SUM($CM139:DM139)</f>
        <v>363</v>
      </c>
      <c r="CH139" s="93">
        <f>SUM($Z139:BA139)-SUM($CM139:DN139)</f>
        <v>363</v>
      </c>
      <c r="CI139" s="93">
        <f>SUM($Z139:BB139)-SUM($CM139:DO139)</f>
        <v>363</v>
      </c>
      <c r="CJ139" s="93"/>
      <c r="CK139" s="93"/>
      <c r="CL139" s="93"/>
      <c r="CM139" s="93"/>
      <c r="CN139" s="93" cm="1">
        <f t="array" ref="CN139">SUMPRODUCT(TRANSPOSE(CN$4:CN$20),$G139:$W139)</f>
        <v>0</v>
      </c>
      <c r="CO139" s="93" cm="1">
        <f t="array" ref="CO139">SUMPRODUCT(TRANSPOSE(CO$4:CO$20),$G139:$W139)</f>
        <v>0</v>
      </c>
      <c r="CP139" s="93" cm="1">
        <f t="array" ref="CP139">SUMPRODUCT(TRANSPOSE(CP$4:CP$20),$G139:$W139)</f>
        <v>0</v>
      </c>
      <c r="CQ139" s="93" cm="1">
        <f t="array" ref="CQ139">SUMPRODUCT(TRANSPOSE(CQ$4:CQ$20),$G139:$W139)</f>
        <v>78</v>
      </c>
      <c r="CR139" s="93" cm="1">
        <f t="array" ref="CR139">SUMPRODUCT(TRANSPOSE(CR$4:CR$20),$G139:$W139)</f>
        <v>70</v>
      </c>
      <c r="CS139" s="93" cm="1">
        <f t="array" ref="CS139">SUMPRODUCT(TRANSPOSE(CS$4:CS$20),$G139:$W139)</f>
        <v>65</v>
      </c>
      <c r="CT139" s="93" cm="1">
        <f t="array" ref="CT139">SUMPRODUCT(TRANSPOSE(CT$4:CT$20),$G139:$W139)</f>
        <v>60</v>
      </c>
      <c r="CU139" s="93" cm="1">
        <f t="array" ref="CU139">SUMPRODUCT(TRANSPOSE(CU$4:CU$20),$G139:$W139)</f>
        <v>60</v>
      </c>
      <c r="CV139" s="93" cm="1">
        <f t="array" ref="CV139">SUMPRODUCT(TRANSPOSE(CV$4:CV$20),$G139:$W139)</f>
        <v>60</v>
      </c>
      <c r="CW139" s="93" cm="1">
        <f t="array" ref="CW139">SUMPRODUCT(TRANSPOSE(CW$4:CW$20),$G139:$W139)</f>
        <v>60</v>
      </c>
      <c r="CX139" s="93" cm="1">
        <f t="array" ref="CX139">SUMPRODUCT(TRANSPOSE(CX$4:CX$20),$G139:$W139)</f>
        <v>60</v>
      </c>
      <c r="CY139" s="93" cm="1">
        <f t="array" ref="CY139">SUMPRODUCT(TRANSPOSE(CY$4:CY$20),$G139:$W139)</f>
        <v>60</v>
      </c>
      <c r="CZ139" s="93" cm="1">
        <f t="array" ref="CZ139">SUMPRODUCT(TRANSPOSE(CZ$4:CZ$20),$G139:$W139)</f>
        <v>60</v>
      </c>
      <c r="DA139" s="93" cm="1">
        <f t="array" ref="DA139">SUMPRODUCT(TRANSPOSE(DA$4:DA$20),$G139:$W139)</f>
        <v>60</v>
      </c>
      <c r="DB139" s="93" cm="1">
        <f t="array" ref="DB139">SUMPRODUCT(TRANSPOSE(DB$4:DB$20),$G139:$W139)</f>
        <v>14</v>
      </c>
      <c r="DC139" s="93" cm="1">
        <f t="array" ref="DC139">SUMPRODUCT(TRANSPOSE(DC$4:DC$20),$G139:$W139)</f>
        <v>0</v>
      </c>
      <c r="DD139" s="93" cm="1">
        <f t="array" ref="DD139">SUMPRODUCT(TRANSPOSE(DD$4:DD$20),$G139:$W139)</f>
        <v>0</v>
      </c>
      <c r="DE139" s="93" cm="1">
        <f t="array" ref="DE139">SUMPRODUCT(TRANSPOSE(DE$4:DE$20),$G139:$W139)</f>
        <v>0</v>
      </c>
      <c r="DF139" s="93" cm="1">
        <f t="array" ref="DF139">SUMPRODUCT(TRANSPOSE(DF$4:DF$20),$G139:$W139)</f>
        <v>0</v>
      </c>
      <c r="DG139" s="93" cm="1">
        <f t="array" ref="DG139">SUMPRODUCT(TRANSPOSE(DG$4:DG$20),$G139:$W139)</f>
        <v>0</v>
      </c>
      <c r="DH139" s="93" cm="1">
        <f t="array" ref="DH139">SUMPRODUCT(TRANSPOSE(DH$4:DH$20),$G139:$W139)</f>
        <v>0</v>
      </c>
      <c r="DI139" s="93" cm="1">
        <f t="array" ref="DI139">SUMPRODUCT(TRANSPOSE(DI$4:DI$20),$G139:$W139)</f>
        <v>0</v>
      </c>
      <c r="DJ139" s="93" cm="1">
        <f t="array" ref="DJ139">SUMPRODUCT(TRANSPOSE(DJ$4:DJ$20),$G139:$W139)</f>
        <v>0</v>
      </c>
      <c r="DK139" s="93" cm="1">
        <f t="array" ref="DK139">SUMPRODUCT(TRANSPOSE(DK$4:DK$20),$G139:$W139)</f>
        <v>0</v>
      </c>
      <c r="DL139" s="93" cm="1">
        <f t="array" ref="DL139">SUMPRODUCT(TRANSPOSE(DL$4:DL$20),$G139:$W139)</f>
        <v>0</v>
      </c>
      <c r="DM139" s="93" cm="1">
        <f t="array" ref="DM139">SUMPRODUCT(TRANSPOSE(DM$4:DM$20),$G139:$W139)</f>
        <v>0</v>
      </c>
      <c r="DN139" s="93" cm="1">
        <f t="array" ref="DN139">SUMPRODUCT(TRANSPOSE(DN$4:DN$20),$G139:$W139)</f>
        <v>0</v>
      </c>
      <c r="DO139" s="93" cm="1">
        <f t="array" ref="DO139">SUMPRODUCT(TRANSPOSE(DO$4:DO$20),$G139:$W139)</f>
        <v>0</v>
      </c>
    </row>
    <row r="140" spans="1:119" x14ac:dyDescent="0.2">
      <c r="A140" s="45">
        <f t="shared" si="27"/>
        <v>119</v>
      </c>
      <c r="B140" s="46" t="s">
        <v>367</v>
      </c>
      <c r="C140" s="45">
        <v>732602347</v>
      </c>
      <c r="D140" s="45" t="s">
        <v>368</v>
      </c>
      <c r="E140" s="45" t="s">
        <v>191</v>
      </c>
      <c r="F140" s="48">
        <v>2</v>
      </c>
      <c r="G140" s="100">
        <v>0.1</v>
      </c>
      <c r="H140" s="100">
        <v>0</v>
      </c>
      <c r="I140" s="100">
        <v>0.05</v>
      </c>
      <c r="J140" s="100">
        <v>0</v>
      </c>
      <c r="K140" s="100">
        <v>0.05</v>
      </c>
      <c r="L140" s="100">
        <v>0</v>
      </c>
      <c r="M140" s="100">
        <v>0</v>
      </c>
      <c r="N140" s="100">
        <v>0.05</v>
      </c>
      <c r="O140" s="100">
        <v>0</v>
      </c>
      <c r="P140" s="100">
        <v>0</v>
      </c>
      <c r="Q140" s="100">
        <v>0</v>
      </c>
      <c r="R140" s="100">
        <v>0</v>
      </c>
      <c r="S140" s="100">
        <v>0</v>
      </c>
      <c r="T140" s="100">
        <v>0</v>
      </c>
      <c r="U140" s="100">
        <v>0</v>
      </c>
      <c r="V140" s="100">
        <v>0</v>
      </c>
      <c r="W140" s="100">
        <v>0.05</v>
      </c>
      <c r="X140" s="45" t="s">
        <v>369</v>
      </c>
      <c r="Y140" s="49">
        <v>0.1608</v>
      </c>
      <c r="Z140" s="45">
        <v>750</v>
      </c>
      <c r="AA140" s="45">
        <v>0</v>
      </c>
      <c r="AB140" s="45">
        <v>0</v>
      </c>
      <c r="AC140" s="45">
        <v>0</v>
      </c>
      <c r="AD140" s="45">
        <v>0</v>
      </c>
      <c r="AE140" s="45">
        <v>0</v>
      </c>
      <c r="AF140" s="45">
        <v>0</v>
      </c>
      <c r="AG140" s="45">
        <v>0</v>
      </c>
      <c r="AH140" s="45">
        <v>0</v>
      </c>
      <c r="AI140" s="45">
        <v>0</v>
      </c>
      <c r="AJ140" s="45">
        <v>0</v>
      </c>
      <c r="AK140" s="45">
        <v>0</v>
      </c>
      <c r="AL140" s="45">
        <v>0</v>
      </c>
      <c r="AM140" s="45">
        <v>0</v>
      </c>
      <c r="AN140" s="45">
        <v>0</v>
      </c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45"/>
      <c r="BD140" s="93"/>
      <c r="BE140" s="93"/>
      <c r="BF140" s="93"/>
      <c r="BG140" s="93"/>
      <c r="BH140" s="93"/>
      <c r="BI140" s="93"/>
      <c r="BJ140" s="93"/>
      <c r="BK140" s="93">
        <f>SUM($Z140:AD140)-SUM($CM140:CQ140)</f>
        <v>746.8</v>
      </c>
      <c r="BL140" s="93">
        <f>SUM($Z140:AE140)-SUM($CM140:CR140)</f>
        <v>743.6</v>
      </c>
      <c r="BM140" s="93">
        <f>SUM($Z140:AF140)-SUM($CM140:CS140)</f>
        <v>740.4</v>
      </c>
      <c r="BN140" s="93">
        <f>SUM($Z140:AG140)-SUM($CM140:CT140)</f>
        <v>737.2</v>
      </c>
      <c r="BO140" s="93">
        <f>SUM($Z140:AH140)-SUM($CM140:CU140)</f>
        <v>734.4</v>
      </c>
      <c r="BP140" s="93">
        <f>SUM($Z140:AI140)-SUM($CM140:CV140)</f>
        <v>731.6</v>
      </c>
      <c r="BQ140" s="93">
        <f>SUM($Z140:AJ140)-SUM($CM140:CW140)</f>
        <v>728.8</v>
      </c>
      <c r="BR140" s="93">
        <f>SUM($Z140:AK140)-SUM($CM140:CX140)</f>
        <v>726</v>
      </c>
      <c r="BS140" s="93">
        <f>SUM($Z140:AL140)-SUM($CM140:CY140)</f>
        <v>724</v>
      </c>
      <c r="BT140" s="93">
        <f>SUM($Z140:AM140)-SUM($CM140:CZ140)</f>
        <v>722</v>
      </c>
      <c r="BU140" s="93">
        <f>SUM($Z140:AN140)-SUM($CM140:DA140)</f>
        <v>720</v>
      </c>
      <c r="BV140" s="93">
        <f>SUM($Z140:AO140)-SUM($CM140:DB140)</f>
        <v>718</v>
      </c>
      <c r="BW140" s="93">
        <f>SUM($Z140:AP140)-SUM($CM140:DC140)</f>
        <v>716.8</v>
      </c>
      <c r="BX140" s="93">
        <f>SUM($Z140:AQ140)-SUM($CM140:DD140)</f>
        <v>716.8</v>
      </c>
      <c r="BY140" s="93">
        <f>SUM($Z140:AR140)-SUM($CM140:DE140)</f>
        <v>716.8</v>
      </c>
      <c r="BZ140" s="93">
        <f>SUM($Z140:AS140)-SUM($CM140:DF140)</f>
        <v>716.8</v>
      </c>
      <c r="CA140" s="93">
        <f>SUM($Z140:AT140)-SUM($CM140:DG140)</f>
        <v>716.8</v>
      </c>
      <c r="CB140" s="93">
        <f>SUM($Z140:AU140)-SUM($CM140:DH140)</f>
        <v>716.8</v>
      </c>
      <c r="CC140" s="93">
        <f>SUM($Z140:AV140)-SUM($CM140:DI140)</f>
        <v>716.8</v>
      </c>
      <c r="CD140" s="93">
        <f>SUM($Z140:AW140)-SUM($CM140:DJ140)</f>
        <v>716.8</v>
      </c>
      <c r="CE140" s="93">
        <f>SUM($Z140:AX140)-SUM($CM140:DK140)</f>
        <v>716.8</v>
      </c>
      <c r="CF140" s="93">
        <f>SUM($Z140:AY140)-SUM($CM140:DL140)</f>
        <v>716.8</v>
      </c>
      <c r="CG140" s="93">
        <f>SUM($Z140:AZ140)-SUM($CM140:DM140)</f>
        <v>716.8</v>
      </c>
      <c r="CH140" s="93">
        <f>SUM($Z140:BA140)-SUM($CM140:DN140)</f>
        <v>716.8</v>
      </c>
      <c r="CI140" s="93">
        <f>SUM($Z140:BB140)-SUM($CM140:DO140)</f>
        <v>716.8</v>
      </c>
      <c r="CJ140" s="93"/>
      <c r="CK140" s="93"/>
      <c r="CL140" s="93"/>
      <c r="CM140" s="93"/>
      <c r="CN140" s="93" cm="1">
        <f t="array" ref="CN140">SUMPRODUCT(TRANSPOSE(CN$4:CN$20),$G140:$W140)</f>
        <v>0</v>
      </c>
      <c r="CO140" s="93" cm="1">
        <f t="array" ref="CO140">SUMPRODUCT(TRANSPOSE(CO$4:CO$20),$G140:$W140)</f>
        <v>0</v>
      </c>
      <c r="CP140" s="93" cm="1">
        <f t="array" ref="CP140">SUMPRODUCT(TRANSPOSE(CP$4:CP$20),$G140:$W140)</f>
        <v>0</v>
      </c>
      <c r="CQ140" s="93" cm="1">
        <f t="array" ref="CQ140">SUMPRODUCT(TRANSPOSE(CQ$4:CQ$20),$G140:$W140)</f>
        <v>3.2</v>
      </c>
      <c r="CR140" s="93" cm="1">
        <f t="array" ref="CR140">SUMPRODUCT(TRANSPOSE(CR$4:CR$20),$G140:$W140)</f>
        <v>3.2</v>
      </c>
      <c r="CS140" s="93" cm="1">
        <f t="array" ref="CS140">SUMPRODUCT(TRANSPOSE(CS$4:CS$20),$G140:$W140)</f>
        <v>3.2</v>
      </c>
      <c r="CT140" s="93" cm="1">
        <f t="array" ref="CT140">SUMPRODUCT(TRANSPOSE(CT$4:CT$20),$G140:$W140)</f>
        <v>3.2</v>
      </c>
      <c r="CU140" s="93" cm="1">
        <f t="array" ref="CU140">SUMPRODUCT(TRANSPOSE(CU$4:CU$20),$G140:$W140)</f>
        <v>2.8</v>
      </c>
      <c r="CV140" s="93" cm="1">
        <f t="array" ref="CV140">SUMPRODUCT(TRANSPOSE(CV$4:CV$20),$G140:$W140)</f>
        <v>2.8</v>
      </c>
      <c r="CW140" s="93" cm="1">
        <f t="array" ref="CW140">SUMPRODUCT(TRANSPOSE(CW$4:CW$20),$G140:$W140)</f>
        <v>2.8</v>
      </c>
      <c r="CX140" s="93" cm="1">
        <f t="array" ref="CX140">SUMPRODUCT(TRANSPOSE(CX$4:CX$20),$G140:$W140)</f>
        <v>2.8</v>
      </c>
      <c r="CY140" s="93" cm="1">
        <f t="array" ref="CY140">SUMPRODUCT(TRANSPOSE(CY$4:CY$20),$G140:$W140)</f>
        <v>2</v>
      </c>
      <c r="CZ140" s="93" cm="1">
        <f t="array" ref="CZ140">SUMPRODUCT(TRANSPOSE(CZ$4:CZ$20),$G140:$W140)</f>
        <v>2</v>
      </c>
      <c r="DA140" s="93" cm="1">
        <f t="array" ref="DA140">SUMPRODUCT(TRANSPOSE(DA$4:DA$20),$G140:$W140)</f>
        <v>2</v>
      </c>
      <c r="DB140" s="93" cm="1">
        <f t="array" ref="DB140">SUMPRODUCT(TRANSPOSE(DB$4:DB$20),$G140:$W140)</f>
        <v>2</v>
      </c>
      <c r="DC140" s="93" cm="1">
        <f t="array" ref="DC140">SUMPRODUCT(TRANSPOSE(DC$4:DC$20),$G140:$W140)</f>
        <v>1.2000000000000002</v>
      </c>
      <c r="DD140" s="93" cm="1">
        <f t="array" ref="DD140">SUMPRODUCT(TRANSPOSE(DD$4:DD$20),$G140:$W140)</f>
        <v>0</v>
      </c>
      <c r="DE140" s="93" cm="1">
        <f t="array" ref="DE140">SUMPRODUCT(TRANSPOSE(DE$4:DE$20),$G140:$W140)</f>
        <v>0</v>
      </c>
      <c r="DF140" s="93" cm="1">
        <f t="array" ref="DF140">SUMPRODUCT(TRANSPOSE(DF$4:DF$20),$G140:$W140)</f>
        <v>0</v>
      </c>
      <c r="DG140" s="93" cm="1">
        <f t="array" ref="DG140">SUMPRODUCT(TRANSPOSE(DG$4:DG$20),$G140:$W140)</f>
        <v>0</v>
      </c>
      <c r="DH140" s="93" cm="1">
        <f t="array" ref="DH140">SUMPRODUCT(TRANSPOSE(DH$4:DH$20),$G140:$W140)</f>
        <v>0</v>
      </c>
      <c r="DI140" s="93" cm="1">
        <f t="array" ref="DI140">SUMPRODUCT(TRANSPOSE(DI$4:DI$20),$G140:$W140)</f>
        <v>0</v>
      </c>
      <c r="DJ140" s="93" cm="1">
        <f t="array" ref="DJ140">SUMPRODUCT(TRANSPOSE(DJ$4:DJ$20),$G140:$W140)</f>
        <v>0</v>
      </c>
      <c r="DK140" s="93" cm="1">
        <f t="array" ref="DK140">SUMPRODUCT(TRANSPOSE(DK$4:DK$20),$G140:$W140)</f>
        <v>0</v>
      </c>
      <c r="DL140" s="93" cm="1">
        <f t="array" ref="DL140">SUMPRODUCT(TRANSPOSE(DL$4:DL$20),$G140:$W140)</f>
        <v>0</v>
      </c>
      <c r="DM140" s="93" cm="1">
        <f t="array" ref="DM140">SUMPRODUCT(TRANSPOSE(DM$4:DM$20),$G140:$W140)</f>
        <v>0</v>
      </c>
      <c r="DN140" s="93" cm="1">
        <f t="array" ref="DN140">SUMPRODUCT(TRANSPOSE(DN$4:DN$20),$G140:$W140)</f>
        <v>0</v>
      </c>
      <c r="DO140" s="93" cm="1">
        <f t="array" ref="DO140">SUMPRODUCT(TRANSPOSE(DO$4:DO$20),$G140:$W140)</f>
        <v>0</v>
      </c>
    </row>
    <row r="141" spans="1:119" x14ac:dyDescent="0.2">
      <c r="A141" s="45">
        <f t="shared" si="27"/>
        <v>120</v>
      </c>
      <c r="B141" s="46" t="s">
        <v>370</v>
      </c>
      <c r="C141" s="45">
        <v>417983176</v>
      </c>
      <c r="D141" s="45" t="s">
        <v>371</v>
      </c>
      <c r="E141" s="45" t="s">
        <v>162</v>
      </c>
      <c r="F141" s="48">
        <v>2</v>
      </c>
      <c r="G141" s="100">
        <v>0</v>
      </c>
      <c r="H141" s="100">
        <v>0</v>
      </c>
      <c r="I141" s="100">
        <v>0</v>
      </c>
      <c r="J141" s="100">
        <v>0</v>
      </c>
      <c r="K141" s="100">
        <v>0</v>
      </c>
      <c r="L141" s="100">
        <v>0</v>
      </c>
      <c r="M141" s="100">
        <v>0</v>
      </c>
      <c r="N141" s="100">
        <v>0</v>
      </c>
      <c r="O141" s="100">
        <v>0</v>
      </c>
      <c r="P141" s="100">
        <v>0</v>
      </c>
      <c r="Q141" s="100">
        <v>0</v>
      </c>
      <c r="R141" s="100">
        <v>2</v>
      </c>
      <c r="S141" s="100">
        <v>0</v>
      </c>
      <c r="T141" s="100">
        <v>0</v>
      </c>
      <c r="U141" s="100">
        <v>0</v>
      </c>
      <c r="V141" s="100">
        <v>2</v>
      </c>
      <c r="W141" s="100">
        <v>0</v>
      </c>
      <c r="X141" s="45" t="s">
        <v>61</v>
      </c>
      <c r="Y141" s="49">
        <v>5.5E-2</v>
      </c>
      <c r="Z141" s="45">
        <v>4000</v>
      </c>
      <c r="AA141" s="45">
        <v>0</v>
      </c>
      <c r="AB141" s="45">
        <v>0</v>
      </c>
      <c r="AC141" s="45">
        <v>0</v>
      </c>
      <c r="AD141" s="45">
        <v>0</v>
      </c>
      <c r="AE141" s="45">
        <v>0</v>
      </c>
      <c r="AF141" s="45">
        <v>0</v>
      </c>
      <c r="AG141" s="45">
        <v>0</v>
      </c>
      <c r="AH141" s="45">
        <v>0</v>
      </c>
      <c r="AI141" s="45">
        <v>0</v>
      </c>
      <c r="AJ141" s="45">
        <v>0</v>
      </c>
      <c r="AK141" s="45">
        <v>0</v>
      </c>
      <c r="AL141" s="45">
        <v>0</v>
      </c>
      <c r="AM141" s="45">
        <v>0</v>
      </c>
      <c r="AN141" s="45">
        <v>0</v>
      </c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93"/>
      <c r="BE141" s="93"/>
      <c r="BF141" s="93"/>
      <c r="BG141" s="93"/>
      <c r="BH141" s="93"/>
      <c r="BI141" s="93"/>
      <c r="BJ141" s="93"/>
      <c r="BK141" s="93">
        <f>SUM($Z141:AD141)-SUM($CM141:CQ141)</f>
        <v>3860</v>
      </c>
      <c r="BL141" s="93">
        <f>SUM($Z141:AE141)-SUM($CM141:CR141)</f>
        <v>3720</v>
      </c>
      <c r="BM141" s="93">
        <f>SUM($Z141:AF141)-SUM($CM141:CS141)</f>
        <v>3580</v>
      </c>
      <c r="BN141" s="93">
        <f>SUM($Z141:AG141)-SUM($CM141:CT141)</f>
        <v>3440</v>
      </c>
      <c r="BO141" s="93">
        <f>SUM($Z141:AH141)-SUM($CM141:CU141)</f>
        <v>3300</v>
      </c>
      <c r="BP141" s="93">
        <f>SUM($Z141:AI141)-SUM($CM141:CV141)</f>
        <v>3160</v>
      </c>
      <c r="BQ141" s="93">
        <f>SUM($Z141:AJ141)-SUM($CM141:CW141)</f>
        <v>3020</v>
      </c>
      <c r="BR141" s="93">
        <f>SUM($Z141:AK141)-SUM($CM141:CX141)</f>
        <v>2880</v>
      </c>
      <c r="BS141" s="93">
        <f>SUM($Z141:AL141)-SUM($CM141:CY141)</f>
        <v>2740</v>
      </c>
      <c r="BT141" s="93">
        <f>SUM($Z141:AM141)-SUM($CM141:CZ141)</f>
        <v>2670</v>
      </c>
      <c r="BU141" s="93">
        <f>SUM($Z141:AN141)-SUM($CM141:DA141)</f>
        <v>2670</v>
      </c>
      <c r="BV141" s="93">
        <f>SUM($Z141:AO141)-SUM($CM141:DB141)</f>
        <v>2670</v>
      </c>
      <c r="BW141" s="93">
        <f>SUM($Z141:AP141)-SUM($CM141:DC141)</f>
        <v>2670</v>
      </c>
      <c r="BX141" s="93">
        <f>SUM($Z141:AQ141)-SUM($CM141:DD141)</f>
        <v>2670</v>
      </c>
      <c r="BY141" s="93">
        <f>SUM($Z141:AR141)-SUM($CM141:DE141)</f>
        <v>2670</v>
      </c>
      <c r="BZ141" s="93">
        <f>SUM($Z141:AS141)-SUM($CM141:DF141)</f>
        <v>2670</v>
      </c>
      <c r="CA141" s="93">
        <f>SUM($Z141:AT141)-SUM($CM141:DG141)</f>
        <v>2670</v>
      </c>
      <c r="CB141" s="93">
        <f>SUM($Z141:AU141)-SUM($CM141:DH141)</f>
        <v>2670</v>
      </c>
      <c r="CC141" s="93">
        <f>SUM($Z141:AV141)-SUM($CM141:DI141)</f>
        <v>2670</v>
      </c>
      <c r="CD141" s="93">
        <f>SUM($Z141:AW141)-SUM($CM141:DJ141)</f>
        <v>2670</v>
      </c>
      <c r="CE141" s="93">
        <f>SUM($Z141:AX141)-SUM($CM141:DK141)</f>
        <v>2670</v>
      </c>
      <c r="CF141" s="93">
        <f>SUM($Z141:AY141)-SUM($CM141:DL141)</f>
        <v>2670</v>
      </c>
      <c r="CG141" s="93">
        <f>SUM($Z141:AZ141)-SUM($CM141:DM141)</f>
        <v>2670</v>
      </c>
      <c r="CH141" s="93">
        <f>SUM($Z141:BA141)-SUM($CM141:DN141)</f>
        <v>2670</v>
      </c>
      <c r="CI141" s="93">
        <f>SUM($Z141:BB141)-SUM($CM141:DO141)</f>
        <v>2670</v>
      </c>
      <c r="CJ141" s="93"/>
      <c r="CK141" s="93"/>
      <c r="CL141" s="93"/>
      <c r="CM141" s="93"/>
      <c r="CN141" s="93" cm="1">
        <f t="array" ref="CN141">SUMPRODUCT(TRANSPOSE(CN$4:CN$20),$G141:$W141)</f>
        <v>0</v>
      </c>
      <c r="CO141" s="93" cm="1">
        <f t="array" ref="CO141">SUMPRODUCT(TRANSPOSE(CO$4:CO$20),$G141:$W141)</f>
        <v>0</v>
      </c>
      <c r="CP141" s="93" cm="1">
        <f t="array" ref="CP141">SUMPRODUCT(TRANSPOSE(CP$4:CP$20),$G141:$W141)</f>
        <v>0</v>
      </c>
      <c r="CQ141" s="93" cm="1">
        <f t="array" ref="CQ141">SUMPRODUCT(TRANSPOSE(CQ$4:CQ$20),$G141:$W141)</f>
        <v>140</v>
      </c>
      <c r="CR141" s="93" cm="1">
        <f t="array" ref="CR141">SUMPRODUCT(TRANSPOSE(CR$4:CR$20),$G141:$W141)</f>
        <v>140</v>
      </c>
      <c r="CS141" s="93" cm="1">
        <f t="array" ref="CS141">SUMPRODUCT(TRANSPOSE(CS$4:CS$20),$G141:$W141)</f>
        <v>140</v>
      </c>
      <c r="CT141" s="93" cm="1">
        <f t="array" ref="CT141">SUMPRODUCT(TRANSPOSE(CT$4:CT$20),$G141:$W141)</f>
        <v>140</v>
      </c>
      <c r="CU141" s="93" cm="1">
        <f t="array" ref="CU141">SUMPRODUCT(TRANSPOSE(CU$4:CU$20),$G141:$W141)</f>
        <v>140</v>
      </c>
      <c r="CV141" s="93" cm="1">
        <f t="array" ref="CV141">SUMPRODUCT(TRANSPOSE(CV$4:CV$20),$G141:$W141)</f>
        <v>140</v>
      </c>
      <c r="CW141" s="93" cm="1">
        <f t="array" ref="CW141">SUMPRODUCT(TRANSPOSE(CW$4:CW$20),$G141:$W141)</f>
        <v>140</v>
      </c>
      <c r="CX141" s="93" cm="1">
        <f t="array" ref="CX141">SUMPRODUCT(TRANSPOSE(CX$4:CX$20),$G141:$W141)</f>
        <v>140</v>
      </c>
      <c r="CY141" s="93" cm="1">
        <f t="array" ref="CY141">SUMPRODUCT(TRANSPOSE(CY$4:CY$20),$G141:$W141)</f>
        <v>140</v>
      </c>
      <c r="CZ141" s="93" cm="1">
        <f t="array" ref="CZ141">SUMPRODUCT(TRANSPOSE(CZ$4:CZ$20),$G141:$W141)</f>
        <v>70</v>
      </c>
      <c r="DA141" s="93" cm="1">
        <f t="array" ref="DA141">SUMPRODUCT(TRANSPOSE(DA$4:DA$20),$G141:$W141)</f>
        <v>0</v>
      </c>
      <c r="DB141" s="93" cm="1">
        <f t="array" ref="DB141">SUMPRODUCT(TRANSPOSE(DB$4:DB$20),$G141:$W141)</f>
        <v>0</v>
      </c>
      <c r="DC141" s="93" cm="1">
        <f t="array" ref="DC141">SUMPRODUCT(TRANSPOSE(DC$4:DC$20),$G141:$W141)</f>
        <v>0</v>
      </c>
      <c r="DD141" s="93" cm="1">
        <f t="array" ref="DD141">SUMPRODUCT(TRANSPOSE(DD$4:DD$20),$G141:$W141)</f>
        <v>0</v>
      </c>
      <c r="DE141" s="93" cm="1">
        <f t="array" ref="DE141">SUMPRODUCT(TRANSPOSE(DE$4:DE$20),$G141:$W141)</f>
        <v>0</v>
      </c>
      <c r="DF141" s="93" cm="1">
        <f t="array" ref="DF141">SUMPRODUCT(TRANSPOSE(DF$4:DF$20),$G141:$W141)</f>
        <v>0</v>
      </c>
      <c r="DG141" s="93" cm="1">
        <f t="array" ref="DG141">SUMPRODUCT(TRANSPOSE(DG$4:DG$20),$G141:$W141)</f>
        <v>0</v>
      </c>
      <c r="DH141" s="93" cm="1">
        <f t="array" ref="DH141">SUMPRODUCT(TRANSPOSE(DH$4:DH$20),$G141:$W141)</f>
        <v>0</v>
      </c>
      <c r="DI141" s="93" cm="1">
        <f t="array" ref="DI141">SUMPRODUCT(TRANSPOSE(DI$4:DI$20),$G141:$W141)</f>
        <v>0</v>
      </c>
      <c r="DJ141" s="93" cm="1">
        <f t="array" ref="DJ141">SUMPRODUCT(TRANSPOSE(DJ$4:DJ$20),$G141:$W141)</f>
        <v>0</v>
      </c>
      <c r="DK141" s="93" cm="1">
        <f t="array" ref="DK141">SUMPRODUCT(TRANSPOSE(DK$4:DK$20),$G141:$W141)</f>
        <v>0</v>
      </c>
      <c r="DL141" s="93" cm="1">
        <f t="array" ref="DL141">SUMPRODUCT(TRANSPOSE(DL$4:DL$20),$G141:$W141)</f>
        <v>0</v>
      </c>
      <c r="DM141" s="93" cm="1">
        <f t="array" ref="DM141">SUMPRODUCT(TRANSPOSE(DM$4:DM$20),$G141:$W141)</f>
        <v>0</v>
      </c>
      <c r="DN141" s="93" cm="1">
        <f t="array" ref="DN141">SUMPRODUCT(TRANSPOSE(DN$4:DN$20),$G141:$W141)</f>
        <v>0</v>
      </c>
      <c r="DO141" s="93" cm="1">
        <f t="array" ref="DO141">SUMPRODUCT(TRANSPOSE(DO$4:DO$20),$G141:$W141)</f>
        <v>0</v>
      </c>
    </row>
    <row r="142" spans="1:119" x14ac:dyDescent="0.2">
      <c r="A142" s="45">
        <f t="shared" si="27"/>
        <v>121</v>
      </c>
      <c r="B142" s="46" t="s">
        <v>372</v>
      </c>
      <c r="C142" s="45">
        <v>417983172</v>
      </c>
      <c r="D142" s="45" t="s">
        <v>373</v>
      </c>
      <c r="E142" s="45" t="s">
        <v>162</v>
      </c>
      <c r="F142" s="48">
        <v>2</v>
      </c>
      <c r="G142" s="100">
        <v>0</v>
      </c>
      <c r="H142" s="100">
        <v>0</v>
      </c>
      <c r="I142" s="100">
        <v>0</v>
      </c>
      <c r="J142" s="100">
        <v>0</v>
      </c>
      <c r="K142" s="100">
        <v>0</v>
      </c>
      <c r="L142" s="100">
        <v>0</v>
      </c>
      <c r="M142" s="100">
        <v>0</v>
      </c>
      <c r="N142" s="100">
        <v>0</v>
      </c>
      <c r="O142" s="100">
        <v>0</v>
      </c>
      <c r="P142" s="100">
        <v>0</v>
      </c>
      <c r="Q142" s="100">
        <v>6</v>
      </c>
      <c r="R142" s="100">
        <v>0</v>
      </c>
      <c r="S142" s="100">
        <v>0</v>
      </c>
      <c r="T142" s="100">
        <v>0</v>
      </c>
      <c r="U142" s="100">
        <v>6</v>
      </c>
      <c r="V142" s="100">
        <v>0</v>
      </c>
      <c r="W142" s="100">
        <v>0</v>
      </c>
      <c r="X142" s="45" t="s">
        <v>61</v>
      </c>
      <c r="Y142" s="49">
        <v>0.22</v>
      </c>
      <c r="Z142" s="45">
        <v>7000</v>
      </c>
      <c r="AA142" s="45">
        <v>0</v>
      </c>
      <c r="AB142" s="45">
        <v>0</v>
      </c>
      <c r="AC142" s="45">
        <v>0</v>
      </c>
      <c r="AD142" s="45">
        <v>0</v>
      </c>
      <c r="AE142" s="45">
        <v>0</v>
      </c>
      <c r="AF142" s="45">
        <v>0</v>
      </c>
      <c r="AG142" s="45">
        <v>0</v>
      </c>
      <c r="AH142" s="45">
        <v>0</v>
      </c>
      <c r="AI142" s="45">
        <v>0</v>
      </c>
      <c r="AJ142" s="45">
        <v>0</v>
      </c>
      <c r="AK142" s="45">
        <v>0</v>
      </c>
      <c r="AL142" s="45">
        <v>0</v>
      </c>
      <c r="AM142" s="45">
        <v>0</v>
      </c>
      <c r="AN142" s="45">
        <v>0</v>
      </c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93"/>
      <c r="BE142" s="93"/>
      <c r="BF142" s="93"/>
      <c r="BG142" s="93"/>
      <c r="BH142" s="93"/>
      <c r="BI142" s="93"/>
      <c r="BJ142" s="93"/>
      <c r="BK142" s="93">
        <f>SUM($Z142:AD142)-SUM($CM142:CQ142)</f>
        <v>6532</v>
      </c>
      <c r="BL142" s="93">
        <f>SUM($Z142:AE142)-SUM($CM142:CR142)</f>
        <v>6112</v>
      </c>
      <c r="BM142" s="93">
        <f>SUM($Z142:AF142)-SUM($CM142:CS142)</f>
        <v>5722</v>
      </c>
      <c r="BN142" s="93">
        <f>SUM($Z142:AG142)-SUM($CM142:CT142)</f>
        <v>5362</v>
      </c>
      <c r="BO142" s="93">
        <f>SUM($Z142:AH142)-SUM($CM142:CU142)</f>
        <v>5002</v>
      </c>
      <c r="BP142" s="93">
        <f>SUM($Z142:AI142)-SUM($CM142:CV142)</f>
        <v>4642</v>
      </c>
      <c r="BQ142" s="93">
        <f>SUM($Z142:AJ142)-SUM($CM142:CW142)</f>
        <v>4282</v>
      </c>
      <c r="BR142" s="93">
        <f>SUM($Z142:AK142)-SUM($CM142:CX142)</f>
        <v>3922</v>
      </c>
      <c r="BS142" s="93">
        <f>SUM($Z142:AL142)-SUM($CM142:CY142)</f>
        <v>3562</v>
      </c>
      <c r="BT142" s="93">
        <f>SUM($Z142:AM142)-SUM($CM142:CZ142)</f>
        <v>3202</v>
      </c>
      <c r="BU142" s="93">
        <f>SUM($Z142:AN142)-SUM($CM142:DA142)</f>
        <v>2842</v>
      </c>
      <c r="BV142" s="93">
        <f>SUM($Z142:AO142)-SUM($CM142:DB142)</f>
        <v>2758</v>
      </c>
      <c r="BW142" s="93">
        <f>SUM($Z142:AP142)-SUM($CM142:DC142)</f>
        <v>2758</v>
      </c>
      <c r="BX142" s="93">
        <f>SUM($Z142:AQ142)-SUM($CM142:DD142)</f>
        <v>2758</v>
      </c>
      <c r="BY142" s="93">
        <f>SUM($Z142:AR142)-SUM($CM142:DE142)</f>
        <v>2758</v>
      </c>
      <c r="BZ142" s="93">
        <f>SUM($Z142:AS142)-SUM($CM142:DF142)</f>
        <v>2758</v>
      </c>
      <c r="CA142" s="93">
        <f>SUM($Z142:AT142)-SUM($CM142:DG142)</f>
        <v>2758</v>
      </c>
      <c r="CB142" s="93">
        <f>SUM($Z142:AU142)-SUM($CM142:DH142)</f>
        <v>2758</v>
      </c>
      <c r="CC142" s="93">
        <f>SUM($Z142:AV142)-SUM($CM142:DI142)</f>
        <v>2758</v>
      </c>
      <c r="CD142" s="93">
        <f>SUM($Z142:AW142)-SUM($CM142:DJ142)</f>
        <v>2758</v>
      </c>
      <c r="CE142" s="93">
        <f>SUM($Z142:AX142)-SUM($CM142:DK142)</f>
        <v>2758</v>
      </c>
      <c r="CF142" s="93">
        <f>SUM($Z142:AY142)-SUM($CM142:DL142)</f>
        <v>2758</v>
      </c>
      <c r="CG142" s="93">
        <f>SUM($Z142:AZ142)-SUM($CM142:DM142)</f>
        <v>2758</v>
      </c>
      <c r="CH142" s="93">
        <f>SUM($Z142:BA142)-SUM($CM142:DN142)</f>
        <v>2758</v>
      </c>
      <c r="CI142" s="93">
        <f>SUM($Z142:BB142)-SUM($CM142:DO142)</f>
        <v>2758</v>
      </c>
      <c r="CJ142" s="93"/>
      <c r="CK142" s="93"/>
      <c r="CL142" s="93"/>
      <c r="CM142" s="93"/>
      <c r="CN142" s="93" cm="1">
        <f t="array" ref="CN142">SUMPRODUCT(TRANSPOSE(CN$4:CN$20),$G142:$W142)</f>
        <v>0</v>
      </c>
      <c r="CO142" s="93" cm="1">
        <f t="array" ref="CO142">SUMPRODUCT(TRANSPOSE(CO$4:CO$20),$G142:$W142)</f>
        <v>0</v>
      </c>
      <c r="CP142" s="93" cm="1">
        <f t="array" ref="CP142">SUMPRODUCT(TRANSPOSE(CP$4:CP$20),$G142:$W142)</f>
        <v>0</v>
      </c>
      <c r="CQ142" s="93" cm="1">
        <f t="array" ref="CQ142">SUMPRODUCT(TRANSPOSE(CQ$4:CQ$20),$G142:$W142)</f>
        <v>468</v>
      </c>
      <c r="CR142" s="93" cm="1">
        <f t="array" ref="CR142">SUMPRODUCT(TRANSPOSE(CR$4:CR$20),$G142:$W142)</f>
        <v>420</v>
      </c>
      <c r="CS142" s="93" cm="1">
        <f t="array" ref="CS142">SUMPRODUCT(TRANSPOSE(CS$4:CS$20),$G142:$W142)</f>
        <v>390</v>
      </c>
      <c r="CT142" s="93" cm="1">
        <f t="array" ref="CT142">SUMPRODUCT(TRANSPOSE(CT$4:CT$20),$G142:$W142)</f>
        <v>360</v>
      </c>
      <c r="CU142" s="93" cm="1">
        <f t="array" ref="CU142">SUMPRODUCT(TRANSPOSE(CU$4:CU$20),$G142:$W142)</f>
        <v>360</v>
      </c>
      <c r="CV142" s="93" cm="1">
        <f t="array" ref="CV142">SUMPRODUCT(TRANSPOSE(CV$4:CV$20),$G142:$W142)</f>
        <v>360</v>
      </c>
      <c r="CW142" s="93" cm="1">
        <f t="array" ref="CW142">SUMPRODUCT(TRANSPOSE(CW$4:CW$20),$G142:$W142)</f>
        <v>360</v>
      </c>
      <c r="CX142" s="93" cm="1">
        <f t="array" ref="CX142">SUMPRODUCT(TRANSPOSE(CX$4:CX$20),$G142:$W142)</f>
        <v>360</v>
      </c>
      <c r="CY142" s="93" cm="1">
        <f t="array" ref="CY142">SUMPRODUCT(TRANSPOSE(CY$4:CY$20),$G142:$W142)</f>
        <v>360</v>
      </c>
      <c r="CZ142" s="93" cm="1">
        <f t="array" ref="CZ142">SUMPRODUCT(TRANSPOSE(CZ$4:CZ$20),$G142:$W142)</f>
        <v>360</v>
      </c>
      <c r="DA142" s="93" cm="1">
        <f t="array" ref="DA142">SUMPRODUCT(TRANSPOSE(DA$4:DA$20),$G142:$W142)</f>
        <v>360</v>
      </c>
      <c r="DB142" s="93" cm="1">
        <f t="array" ref="DB142">SUMPRODUCT(TRANSPOSE(DB$4:DB$20),$G142:$W142)</f>
        <v>84</v>
      </c>
      <c r="DC142" s="93" cm="1">
        <f t="array" ref="DC142">SUMPRODUCT(TRANSPOSE(DC$4:DC$20),$G142:$W142)</f>
        <v>0</v>
      </c>
      <c r="DD142" s="93" cm="1">
        <f t="array" ref="DD142">SUMPRODUCT(TRANSPOSE(DD$4:DD$20),$G142:$W142)</f>
        <v>0</v>
      </c>
      <c r="DE142" s="93" cm="1">
        <f t="array" ref="DE142">SUMPRODUCT(TRANSPOSE(DE$4:DE$20),$G142:$W142)</f>
        <v>0</v>
      </c>
      <c r="DF142" s="93" cm="1">
        <f t="array" ref="DF142">SUMPRODUCT(TRANSPOSE(DF$4:DF$20),$G142:$W142)</f>
        <v>0</v>
      </c>
      <c r="DG142" s="93" cm="1">
        <f t="array" ref="DG142">SUMPRODUCT(TRANSPOSE(DG$4:DG$20),$G142:$W142)</f>
        <v>0</v>
      </c>
      <c r="DH142" s="93" cm="1">
        <f t="array" ref="DH142">SUMPRODUCT(TRANSPOSE(DH$4:DH$20),$G142:$W142)</f>
        <v>0</v>
      </c>
      <c r="DI142" s="93" cm="1">
        <f t="array" ref="DI142">SUMPRODUCT(TRANSPOSE(DI$4:DI$20),$G142:$W142)</f>
        <v>0</v>
      </c>
      <c r="DJ142" s="93" cm="1">
        <f t="array" ref="DJ142">SUMPRODUCT(TRANSPOSE(DJ$4:DJ$20),$G142:$W142)</f>
        <v>0</v>
      </c>
      <c r="DK142" s="93" cm="1">
        <f t="array" ref="DK142">SUMPRODUCT(TRANSPOSE(DK$4:DK$20),$G142:$W142)</f>
        <v>0</v>
      </c>
      <c r="DL142" s="93" cm="1">
        <f t="array" ref="DL142">SUMPRODUCT(TRANSPOSE(DL$4:DL$20),$G142:$W142)</f>
        <v>0</v>
      </c>
      <c r="DM142" s="93" cm="1">
        <f t="array" ref="DM142">SUMPRODUCT(TRANSPOSE(DM$4:DM$20),$G142:$W142)</f>
        <v>0</v>
      </c>
      <c r="DN142" s="93" cm="1">
        <f t="array" ref="DN142">SUMPRODUCT(TRANSPOSE(DN$4:DN$20),$G142:$W142)</f>
        <v>0</v>
      </c>
      <c r="DO142" s="93" cm="1">
        <f t="array" ref="DO142">SUMPRODUCT(TRANSPOSE(DO$4:DO$20),$G142:$W142)</f>
        <v>0</v>
      </c>
    </row>
    <row r="143" spans="1:119" x14ac:dyDescent="0.2">
      <c r="A143" s="45">
        <f t="shared" si="27"/>
        <v>122</v>
      </c>
      <c r="B143" s="46" t="s">
        <v>374</v>
      </c>
      <c r="C143" s="45">
        <v>417531784</v>
      </c>
      <c r="D143" s="45" t="s">
        <v>375</v>
      </c>
      <c r="E143" s="45" t="s">
        <v>162</v>
      </c>
      <c r="F143" s="48">
        <v>2</v>
      </c>
      <c r="G143" s="100">
        <v>0</v>
      </c>
      <c r="H143" s="100">
        <v>0</v>
      </c>
      <c r="I143" s="100">
        <v>0</v>
      </c>
      <c r="J143" s="100">
        <v>0</v>
      </c>
      <c r="K143" s="100">
        <v>0</v>
      </c>
      <c r="L143" s="100">
        <v>0</v>
      </c>
      <c r="M143" s="100">
        <v>0</v>
      </c>
      <c r="N143" s="100">
        <v>0</v>
      </c>
      <c r="O143" s="100">
        <v>0</v>
      </c>
      <c r="P143" s="100">
        <v>0</v>
      </c>
      <c r="Q143" s="100">
        <v>34</v>
      </c>
      <c r="R143" s="100">
        <v>0</v>
      </c>
      <c r="S143" s="100">
        <v>0</v>
      </c>
      <c r="T143" s="100">
        <v>0</v>
      </c>
      <c r="U143" s="100">
        <v>0</v>
      </c>
      <c r="V143" s="100">
        <v>0</v>
      </c>
      <c r="W143" s="100">
        <v>0</v>
      </c>
      <c r="X143" s="45" t="s">
        <v>61</v>
      </c>
      <c r="Y143" s="49">
        <v>5.5E-2</v>
      </c>
      <c r="Z143" s="45">
        <v>56000</v>
      </c>
      <c r="AA143" s="45">
        <v>0</v>
      </c>
      <c r="AB143" s="45">
        <v>0</v>
      </c>
      <c r="AC143" s="45">
        <v>0</v>
      </c>
      <c r="AD143" s="45">
        <v>0</v>
      </c>
      <c r="AE143" s="45">
        <v>0</v>
      </c>
      <c r="AF143" s="45">
        <v>0</v>
      </c>
      <c r="AG143" s="45">
        <v>0</v>
      </c>
      <c r="AH143" s="45">
        <v>0</v>
      </c>
      <c r="AI143" s="45">
        <v>0</v>
      </c>
      <c r="AJ143" s="45">
        <v>0</v>
      </c>
      <c r="AK143" s="45">
        <v>0</v>
      </c>
      <c r="AL143" s="45">
        <v>0</v>
      </c>
      <c r="AM143" s="45">
        <v>0</v>
      </c>
      <c r="AN143" s="45">
        <v>0</v>
      </c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45"/>
      <c r="BA143" s="45"/>
      <c r="BB143" s="45"/>
      <c r="BC143" s="45"/>
      <c r="BD143" s="93"/>
      <c r="BE143" s="93"/>
      <c r="BF143" s="93"/>
      <c r="BG143" s="93"/>
      <c r="BH143" s="93"/>
      <c r="BI143" s="93"/>
      <c r="BJ143" s="93"/>
      <c r="BK143" s="93">
        <f>SUM($Z143:AD143)-SUM($CM143:CQ143)</f>
        <v>54810</v>
      </c>
      <c r="BL143" s="93">
        <f>SUM($Z143:AE143)-SUM($CM143:CR143)</f>
        <v>53620</v>
      </c>
      <c r="BM143" s="93">
        <f>SUM($Z143:AF143)-SUM($CM143:CS143)</f>
        <v>52430</v>
      </c>
      <c r="BN143" s="93">
        <f>SUM($Z143:AG143)-SUM($CM143:CT143)</f>
        <v>51410</v>
      </c>
      <c r="BO143" s="93">
        <f>SUM($Z143:AH143)-SUM($CM143:CU143)</f>
        <v>50390</v>
      </c>
      <c r="BP143" s="93">
        <f>SUM($Z143:AI143)-SUM($CM143:CV143)</f>
        <v>49370</v>
      </c>
      <c r="BQ143" s="93">
        <f>SUM($Z143:AJ143)-SUM($CM143:CW143)</f>
        <v>48350</v>
      </c>
      <c r="BR143" s="93">
        <f>SUM($Z143:AK143)-SUM($CM143:CX143)</f>
        <v>47330</v>
      </c>
      <c r="BS143" s="93">
        <f>SUM($Z143:AL143)-SUM($CM143:CY143)</f>
        <v>46310</v>
      </c>
      <c r="BT143" s="93">
        <f>SUM($Z143:AM143)-SUM($CM143:CZ143)</f>
        <v>45290</v>
      </c>
      <c r="BU143" s="93">
        <f>SUM($Z143:AN143)-SUM($CM143:DA143)</f>
        <v>44270</v>
      </c>
      <c r="BV143" s="93">
        <f>SUM($Z143:AO143)-SUM($CM143:DB143)</f>
        <v>43794</v>
      </c>
      <c r="BW143" s="93">
        <f>SUM($Z143:AP143)-SUM($CM143:DC143)</f>
        <v>43794</v>
      </c>
      <c r="BX143" s="93">
        <f>SUM($Z143:AQ143)-SUM($CM143:DD143)</f>
        <v>43794</v>
      </c>
      <c r="BY143" s="93">
        <f>SUM($Z143:AR143)-SUM($CM143:DE143)</f>
        <v>43794</v>
      </c>
      <c r="BZ143" s="93">
        <f>SUM($Z143:AS143)-SUM($CM143:DF143)</f>
        <v>43794</v>
      </c>
      <c r="CA143" s="93">
        <f>SUM($Z143:AT143)-SUM($CM143:DG143)</f>
        <v>43794</v>
      </c>
      <c r="CB143" s="93">
        <f>SUM($Z143:AU143)-SUM($CM143:DH143)</f>
        <v>43794</v>
      </c>
      <c r="CC143" s="93">
        <f>SUM($Z143:AV143)-SUM($CM143:DI143)</f>
        <v>43794</v>
      </c>
      <c r="CD143" s="93">
        <f>SUM($Z143:AW143)-SUM($CM143:DJ143)</f>
        <v>43794</v>
      </c>
      <c r="CE143" s="93">
        <f>SUM($Z143:AX143)-SUM($CM143:DK143)</f>
        <v>43794</v>
      </c>
      <c r="CF143" s="93">
        <f>SUM($Z143:AY143)-SUM($CM143:DL143)</f>
        <v>43794</v>
      </c>
      <c r="CG143" s="93">
        <f>SUM($Z143:AZ143)-SUM($CM143:DM143)</f>
        <v>43794</v>
      </c>
      <c r="CH143" s="93">
        <f>SUM($Z143:BA143)-SUM($CM143:DN143)</f>
        <v>43794</v>
      </c>
      <c r="CI143" s="93">
        <f>SUM($Z143:BB143)-SUM($CM143:DO143)</f>
        <v>43794</v>
      </c>
      <c r="CJ143" s="93"/>
      <c r="CK143" s="93"/>
      <c r="CL143" s="93"/>
      <c r="CM143" s="93"/>
      <c r="CN143" s="93" cm="1">
        <f t="array" ref="CN143">SUMPRODUCT(TRANSPOSE(CN$4:CN$20),$G143:$W143)</f>
        <v>0</v>
      </c>
      <c r="CO143" s="93" cm="1">
        <f t="array" ref="CO143">SUMPRODUCT(TRANSPOSE(CO$4:CO$20),$G143:$W143)</f>
        <v>0</v>
      </c>
      <c r="CP143" s="93" cm="1">
        <f t="array" ref="CP143">SUMPRODUCT(TRANSPOSE(CP$4:CP$20),$G143:$W143)</f>
        <v>0</v>
      </c>
      <c r="CQ143" s="93" cm="1">
        <f t="array" ref="CQ143">SUMPRODUCT(TRANSPOSE(CQ$4:CQ$20),$G143:$W143)</f>
        <v>1190</v>
      </c>
      <c r="CR143" s="93" cm="1">
        <f t="array" ref="CR143">SUMPRODUCT(TRANSPOSE(CR$4:CR$20),$G143:$W143)</f>
        <v>1190</v>
      </c>
      <c r="CS143" s="93" cm="1">
        <f t="array" ref="CS143">SUMPRODUCT(TRANSPOSE(CS$4:CS$20),$G143:$W143)</f>
        <v>1190</v>
      </c>
      <c r="CT143" s="93" cm="1">
        <f t="array" ref="CT143">SUMPRODUCT(TRANSPOSE(CT$4:CT$20),$G143:$W143)</f>
        <v>1020</v>
      </c>
      <c r="CU143" s="93" cm="1">
        <f t="array" ref="CU143">SUMPRODUCT(TRANSPOSE(CU$4:CU$20),$G143:$W143)</f>
        <v>1020</v>
      </c>
      <c r="CV143" s="93" cm="1">
        <f t="array" ref="CV143">SUMPRODUCT(TRANSPOSE(CV$4:CV$20),$G143:$W143)</f>
        <v>1020</v>
      </c>
      <c r="CW143" s="93" cm="1">
        <f t="array" ref="CW143">SUMPRODUCT(TRANSPOSE(CW$4:CW$20),$G143:$W143)</f>
        <v>1020</v>
      </c>
      <c r="CX143" s="93" cm="1">
        <f t="array" ref="CX143">SUMPRODUCT(TRANSPOSE(CX$4:CX$20),$G143:$W143)</f>
        <v>1020</v>
      </c>
      <c r="CY143" s="93" cm="1">
        <f t="array" ref="CY143">SUMPRODUCT(TRANSPOSE(CY$4:CY$20),$G143:$W143)</f>
        <v>1020</v>
      </c>
      <c r="CZ143" s="93" cm="1">
        <f t="array" ref="CZ143">SUMPRODUCT(TRANSPOSE(CZ$4:CZ$20),$G143:$W143)</f>
        <v>1020</v>
      </c>
      <c r="DA143" s="93" cm="1">
        <f t="array" ref="DA143">SUMPRODUCT(TRANSPOSE(DA$4:DA$20),$G143:$W143)</f>
        <v>1020</v>
      </c>
      <c r="DB143" s="93" cm="1">
        <f t="array" ref="DB143">SUMPRODUCT(TRANSPOSE(DB$4:DB$20),$G143:$W143)</f>
        <v>476</v>
      </c>
      <c r="DC143" s="93" cm="1">
        <f t="array" ref="DC143">SUMPRODUCT(TRANSPOSE(DC$4:DC$20),$G143:$W143)</f>
        <v>0</v>
      </c>
      <c r="DD143" s="93" cm="1">
        <f t="array" ref="DD143">SUMPRODUCT(TRANSPOSE(DD$4:DD$20),$G143:$W143)</f>
        <v>0</v>
      </c>
      <c r="DE143" s="93" cm="1">
        <f t="array" ref="DE143">SUMPRODUCT(TRANSPOSE(DE$4:DE$20),$G143:$W143)</f>
        <v>0</v>
      </c>
      <c r="DF143" s="93" cm="1">
        <f t="array" ref="DF143">SUMPRODUCT(TRANSPOSE(DF$4:DF$20),$G143:$W143)</f>
        <v>0</v>
      </c>
      <c r="DG143" s="93" cm="1">
        <f t="array" ref="DG143">SUMPRODUCT(TRANSPOSE(DG$4:DG$20),$G143:$W143)</f>
        <v>0</v>
      </c>
      <c r="DH143" s="93" cm="1">
        <f t="array" ref="DH143">SUMPRODUCT(TRANSPOSE(DH$4:DH$20),$G143:$W143)</f>
        <v>0</v>
      </c>
      <c r="DI143" s="93" cm="1">
        <f t="array" ref="DI143">SUMPRODUCT(TRANSPOSE(DI$4:DI$20),$G143:$W143)</f>
        <v>0</v>
      </c>
      <c r="DJ143" s="93" cm="1">
        <f t="array" ref="DJ143">SUMPRODUCT(TRANSPOSE(DJ$4:DJ$20),$G143:$W143)</f>
        <v>0</v>
      </c>
      <c r="DK143" s="93" cm="1">
        <f t="array" ref="DK143">SUMPRODUCT(TRANSPOSE(DK$4:DK$20),$G143:$W143)</f>
        <v>0</v>
      </c>
      <c r="DL143" s="93" cm="1">
        <f t="array" ref="DL143">SUMPRODUCT(TRANSPOSE(DL$4:DL$20),$G143:$W143)</f>
        <v>0</v>
      </c>
      <c r="DM143" s="93" cm="1">
        <f t="array" ref="DM143">SUMPRODUCT(TRANSPOSE(DM$4:DM$20),$G143:$W143)</f>
        <v>0</v>
      </c>
      <c r="DN143" s="93" cm="1">
        <f t="array" ref="DN143">SUMPRODUCT(TRANSPOSE(DN$4:DN$20),$G143:$W143)</f>
        <v>0</v>
      </c>
      <c r="DO143" s="93" cm="1">
        <f t="array" ref="DO143">SUMPRODUCT(TRANSPOSE(DO$4:DO$20),$G143:$W143)</f>
        <v>0</v>
      </c>
    </row>
    <row r="144" spans="1:119" x14ac:dyDescent="0.2">
      <c r="A144" s="45">
        <f t="shared" si="27"/>
        <v>123</v>
      </c>
      <c r="B144" s="46" t="s">
        <v>376</v>
      </c>
      <c r="C144" s="45">
        <v>405580071</v>
      </c>
      <c r="D144" s="45" t="s">
        <v>377</v>
      </c>
      <c r="E144" s="45" t="s">
        <v>162</v>
      </c>
      <c r="F144" s="48">
        <v>2</v>
      </c>
      <c r="G144" s="100">
        <v>0</v>
      </c>
      <c r="H144" s="100">
        <v>0</v>
      </c>
      <c r="I144" s="100">
        <v>0</v>
      </c>
      <c r="J144" s="100">
        <v>0</v>
      </c>
      <c r="K144" s="100">
        <v>0</v>
      </c>
      <c r="L144" s="100">
        <v>0</v>
      </c>
      <c r="M144" s="100">
        <v>0</v>
      </c>
      <c r="N144" s="100">
        <v>0</v>
      </c>
      <c r="O144" s="100">
        <v>0</v>
      </c>
      <c r="P144" s="100">
        <v>0</v>
      </c>
      <c r="Q144" s="100">
        <v>0</v>
      </c>
      <c r="R144" s="100">
        <v>0</v>
      </c>
      <c r="S144" s="100">
        <v>0</v>
      </c>
      <c r="T144" s="100">
        <v>0</v>
      </c>
      <c r="U144" s="100">
        <v>0</v>
      </c>
      <c r="V144" s="100">
        <v>0</v>
      </c>
      <c r="W144" s="100">
        <v>10</v>
      </c>
      <c r="X144" s="45" t="s">
        <v>69</v>
      </c>
      <c r="Y144" s="49">
        <v>30.691500000000001</v>
      </c>
      <c r="Z144" s="45">
        <v>2310</v>
      </c>
      <c r="AA144" s="45">
        <v>0</v>
      </c>
      <c r="AB144" s="45">
        <v>0</v>
      </c>
      <c r="AC144" s="45">
        <v>0</v>
      </c>
      <c r="AD144" s="45">
        <v>0</v>
      </c>
      <c r="AE144" s="45">
        <v>0</v>
      </c>
      <c r="AF144" s="45">
        <v>0</v>
      </c>
      <c r="AG144" s="45">
        <v>0</v>
      </c>
      <c r="AH144" s="45">
        <v>0</v>
      </c>
      <c r="AI144" s="45">
        <v>0</v>
      </c>
      <c r="AJ144" s="45">
        <v>0</v>
      </c>
      <c r="AK144" s="45">
        <v>0</v>
      </c>
      <c r="AL144" s="45">
        <v>0</v>
      </c>
      <c r="AM144" s="45">
        <v>0</v>
      </c>
      <c r="AN144" s="45">
        <v>0</v>
      </c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45"/>
      <c r="BA144" s="45"/>
      <c r="BB144" s="45"/>
      <c r="BC144" s="45"/>
      <c r="BD144" s="93"/>
      <c r="BE144" s="93"/>
      <c r="BF144" s="93"/>
      <c r="BG144" s="93"/>
      <c r="BH144" s="93"/>
      <c r="BI144" s="93"/>
      <c r="BJ144" s="93"/>
      <c r="BK144" s="93">
        <f>SUM($Z144:AD144)-SUM($CM144:CQ144)</f>
        <v>2150</v>
      </c>
      <c r="BL144" s="93">
        <f>SUM($Z144:AE144)-SUM($CM144:CR144)</f>
        <v>1990</v>
      </c>
      <c r="BM144" s="93">
        <f>SUM($Z144:AF144)-SUM($CM144:CS144)</f>
        <v>1830</v>
      </c>
      <c r="BN144" s="93">
        <f>SUM($Z144:AG144)-SUM($CM144:CT144)</f>
        <v>1670</v>
      </c>
      <c r="BO144" s="93">
        <f>SUM($Z144:AH144)-SUM($CM144:CU144)</f>
        <v>1510</v>
      </c>
      <c r="BP144" s="93">
        <f>SUM($Z144:AI144)-SUM($CM144:CV144)</f>
        <v>1350</v>
      </c>
      <c r="BQ144" s="93">
        <f>SUM($Z144:AJ144)-SUM($CM144:CW144)</f>
        <v>1190</v>
      </c>
      <c r="BR144" s="93">
        <f>SUM($Z144:AK144)-SUM($CM144:CX144)</f>
        <v>1030</v>
      </c>
      <c r="BS144" s="93">
        <f>SUM($Z144:AL144)-SUM($CM144:CY144)</f>
        <v>1030</v>
      </c>
      <c r="BT144" s="93">
        <f>SUM($Z144:AM144)-SUM($CM144:CZ144)</f>
        <v>1030</v>
      </c>
      <c r="BU144" s="93">
        <f>SUM($Z144:AN144)-SUM($CM144:DA144)</f>
        <v>1030</v>
      </c>
      <c r="BV144" s="93">
        <f>SUM($Z144:AO144)-SUM($CM144:DB144)</f>
        <v>1030</v>
      </c>
      <c r="BW144" s="93">
        <f>SUM($Z144:AP144)-SUM($CM144:DC144)</f>
        <v>1030</v>
      </c>
      <c r="BX144" s="93">
        <f>SUM($Z144:AQ144)-SUM($CM144:DD144)</f>
        <v>1030</v>
      </c>
      <c r="BY144" s="93">
        <f>SUM($Z144:AR144)-SUM($CM144:DE144)</f>
        <v>1030</v>
      </c>
      <c r="BZ144" s="93">
        <f>SUM($Z144:AS144)-SUM($CM144:DF144)</f>
        <v>1030</v>
      </c>
      <c r="CA144" s="93">
        <f>SUM($Z144:AT144)-SUM($CM144:DG144)</f>
        <v>1030</v>
      </c>
      <c r="CB144" s="93">
        <f>SUM($Z144:AU144)-SUM($CM144:DH144)</f>
        <v>1030</v>
      </c>
      <c r="CC144" s="93">
        <f>SUM($Z144:AV144)-SUM($CM144:DI144)</f>
        <v>1030</v>
      </c>
      <c r="CD144" s="93">
        <f>SUM($Z144:AW144)-SUM($CM144:DJ144)</f>
        <v>1030</v>
      </c>
      <c r="CE144" s="93">
        <f>SUM($Z144:AX144)-SUM($CM144:DK144)</f>
        <v>1030</v>
      </c>
      <c r="CF144" s="93">
        <f>SUM($Z144:AY144)-SUM($CM144:DL144)</f>
        <v>1030</v>
      </c>
      <c r="CG144" s="93">
        <f>SUM($Z144:AZ144)-SUM($CM144:DM144)</f>
        <v>1030</v>
      </c>
      <c r="CH144" s="93">
        <f>SUM($Z144:BA144)-SUM($CM144:DN144)</f>
        <v>1030</v>
      </c>
      <c r="CI144" s="93">
        <f>SUM($Z144:BB144)-SUM($CM144:DO144)</f>
        <v>1030</v>
      </c>
      <c r="CJ144" s="93"/>
      <c r="CK144" s="93"/>
      <c r="CL144" s="93"/>
      <c r="CM144" s="93"/>
      <c r="CN144" s="93" cm="1">
        <f t="array" ref="CN144">SUMPRODUCT(TRANSPOSE(CN$4:CN$20),$G144:$W144)</f>
        <v>0</v>
      </c>
      <c r="CO144" s="93" cm="1">
        <f t="array" ref="CO144">SUMPRODUCT(TRANSPOSE(CO$4:CO$20),$G144:$W144)</f>
        <v>0</v>
      </c>
      <c r="CP144" s="93" cm="1">
        <f t="array" ref="CP144">SUMPRODUCT(TRANSPOSE(CP$4:CP$20),$G144:$W144)</f>
        <v>0</v>
      </c>
      <c r="CQ144" s="93" cm="1">
        <f t="array" ref="CQ144">SUMPRODUCT(TRANSPOSE(CQ$4:CQ$20),$G144:$W144)</f>
        <v>160</v>
      </c>
      <c r="CR144" s="93" cm="1">
        <f t="array" ref="CR144">SUMPRODUCT(TRANSPOSE(CR$4:CR$20),$G144:$W144)</f>
        <v>160</v>
      </c>
      <c r="CS144" s="93" cm="1">
        <f t="array" ref="CS144">SUMPRODUCT(TRANSPOSE(CS$4:CS$20),$G144:$W144)</f>
        <v>160</v>
      </c>
      <c r="CT144" s="93" cm="1">
        <f t="array" ref="CT144">SUMPRODUCT(TRANSPOSE(CT$4:CT$20),$G144:$W144)</f>
        <v>160</v>
      </c>
      <c r="CU144" s="93" cm="1">
        <f t="array" ref="CU144">SUMPRODUCT(TRANSPOSE(CU$4:CU$20),$G144:$W144)</f>
        <v>160</v>
      </c>
      <c r="CV144" s="93" cm="1">
        <f t="array" ref="CV144">SUMPRODUCT(TRANSPOSE(CV$4:CV$20),$G144:$W144)</f>
        <v>160</v>
      </c>
      <c r="CW144" s="93" cm="1">
        <f t="array" ref="CW144">SUMPRODUCT(TRANSPOSE(CW$4:CW$20),$G144:$W144)</f>
        <v>160</v>
      </c>
      <c r="CX144" s="93" cm="1">
        <f t="array" ref="CX144">SUMPRODUCT(TRANSPOSE(CX$4:CX$20),$G144:$W144)</f>
        <v>160</v>
      </c>
      <c r="CY144" s="93" cm="1">
        <f t="array" ref="CY144">SUMPRODUCT(TRANSPOSE(CY$4:CY$20),$G144:$W144)</f>
        <v>0</v>
      </c>
      <c r="CZ144" s="93" cm="1">
        <f t="array" ref="CZ144">SUMPRODUCT(TRANSPOSE(CZ$4:CZ$20),$G144:$W144)</f>
        <v>0</v>
      </c>
      <c r="DA144" s="93" cm="1">
        <f t="array" ref="DA144">SUMPRODUCT(TRANSPOSE(DA$4:DA$20),$G144:$W144)</f>
        <v>0</v>
      </c>
      <c r="DB144" s="93" cm="1">
        <f t="array" ref="DB144">SUMPRODUCT(TRANSPOSE(DB$4:DB$20),$G144:$W144)</f>
        <v>0</v>
      </c>
      <c r="DC144" s="93" cm="1">
        <f t="array" ref="DC144">SUMPRODUCT(TRANSPOSE(DC$4:DC$20),$G144:$W144)</f>
        <v>0</v>
      </c>
      <c r="DD144" s="93" cm="1">
        <f t="array" ref="DD144">SUMPRODUCT(TRANSPOSE(DD$4:DD$20),$G144:$W144)</f>
        <v>0</v>
      </c>
      <c r="DE144" s="93" cm="1">
        <f t="array" ref="DE144">SUMPRODUCT(TRANSPOSE(DE$4:DE$20),$G144:$W144)</f>
        <v>0</v>
      </c>
      <c r="DF144" s="93" cm="1">
        <f t="array" ref="DF144">SUMPRODUCT(TRANSPOSE(DF$4:DF$20),$G144:$W144)</f>
        <v>0</v>
      </c>
      <c r="DG144" s="93" cm="1">
        <f t="array" ref="DG144">SUMPRODUCT(TRANSPOSE(DG$4:DG$20),$G144:$W144)</f>
        <v>0</v>
      </c>
      <c r="DH144" s="93" cm="1">
        <f t="array" ref="DH144">SUMPRODUCT(TRANSPOSE(DH$4:DH$20),$G144:$W144)</f>
        <v>0</v>
      </c>
      <c r="DI144" s="93" cm="1">
        <f t="array" ref="DI144">SUMPRODUCT(TRANSPOSE(DI$4:DI$20),$G144:$W144)</f>
        <v>0</v>
      </c>
      <c r="DJ144" s="93" cm="1">
        <f t="array" ref="DJ144">SUMPRODUCT(TRANSPOSE(DJ$4:DJ$20),$G144:$W144)</f>
        <v>0</v>
      </c>
      <c r="DK144" s="93" cm="1">
        <f t="array" ref="DK144">SUMPRODUCT(TRANSPOSE(DK$4:DK$20),$G144:$W144)</f>
        <v>0</v>
      </c>
      <c r="DL144" s="93" cm="1">
        <f t="array" ref="DL144">SUMPRODUCT(TRANSPOSE(DL$4:DL$20),$G144:$W144)</f>
        <v>0</v>
      </c>
      <c r="DM144" s="93" cm="1">
        <f t="array" ref="DM144">SUMPRODUCT(TRANSPOSE(DM$4:DM$20),$G144:$W144)</f>
        <v>0</v>
      </c>
      <c r="DN144" s="93" cm="1">
        <f t="array" ref="DN144">SUMPRODUCT(TRANSPOSE(DN$4:DN$20),$G144:$W144)</f>
        <v>0</v>
      </c>
      <c r="DO144" s="93" cm="1">
        <f t="array" ref="DO144">SUMPRODUCT(TRANSPOSE(DO$4:DO$20),$G144:$W144)</f>
        <v>0</v>
      </c>
    </row>
    <row r="145" spans="1:119" x14ac:dyDescent="0.2">
      <c r="A145" s="45">
        <f t="shared" si="27"/>
        <v>124</v>
      </c>
      <c r="B145" s="46" t="s">
        <v>378</v>
      </c>
      <c r="C145" s="45">
        <v>417417686</v>
      </c>
      <c r="D145" s="45" t="s">
        <v>174</v>
      </c>
      <c r="E145" s="45" t="s">
        <v>162</v>
      </c>
      <c r="F145" s="48">
        <v>2</v>
      </c>
      <c r="G145" s="100">
        <v>0</v>
      </c>
      <c r="H145" s="100">
        <v>0</v>
      </c>
      <c r="I145" s="100">
        <v>0</v>
      </c>
      <c r="J145" s="100">
        <v>0</v>
      </c>
      <c r="K145" s="100">
        <v>0</v>
      </c>
      <c r="L145" s="100">
        <v>0</v>
      </c>
      <c r="M145" s="100">
        <v>0</v>
      </c>
      <c r="N145" s="100">
        <v>0</v>
      </c>
      <c r="O145" s="100">
        <v>0</v>
      </c>
      <c r="P145" s="100">
        <v>0</v>
      </c>
      <c r="Q145" s="100">
        <v>0</v>
      </c>
      <c r="R145" s="100">
        <v>0</v>
      </c>
      <c r="S145" s="100">
        <v>0</v>
      </c>
      <c r="T145" s="100">
        <v>0</v>
      </c>
      <c r="U145" s="100">
        <v>0</v>
      </c>
      <c r="V145" s="100">
        <v>0</v>
      </c>
      <c r="W145" s="100">
        <v>0</v>
      </c>
      <c r="X145" s="45" t="s">
        <v>38</v>
      </c>
      <c r="Y145" s="49">
        <v>0.17</v>
      </c>
      <c r="Z145" s="45">
        <v>40000</v>
      </c>
      <c r="AA145" s="45">
        <v>0</v>
      </c>
      <c r="AB145" s="45">
        <v>0</v>
      </c>
      <c r="AC145" s="45">
        <v>0</v>
      </c>
      <c r="AD145" s="45">
        <v>0</v>
      </c>
      <c r="AE145" s="45">
        <v>0</v>
      </c>
      <c r="AF145" s="45">
        <v>0</v>
      </c>
      <c r="AG145" s="45">
        <v>0</v>
      </c>
      <c r="AH145" s="45">
        <v>0</v>
      </c>
      <c r="AI145" s="45">
        <v>0</v>
      </c>
      <c r="AJ145" s="45">
        <v>0</v>
      </c>
      <c r="AK145" s="45">
        <v>0</v>
      </c>
      <c r="AL145" s="45">
        <v>0</v>
      </c>
      <c r="AM145" s="45">
        <v>0</v>
      </c>
      <c r="AN145" s="45">
        <v>0</v>
      </c>
      <c r="AO145" s="45"/>
      <c r="AP145" s="45"/>
      <c r="AQ145" s="45"/>
      <c r="AR145" s="45"/>
      <c r="AS145" s="45"/>
      <c r="AT145" s="45"/>
      <c r="AU145" s="45"/>
      <c r="AV145" s="45"/>
      <c r="AW145" s="45"/>
      <c r="AX145" s="45"/>
      <c r="AY145" s="45"/>
      <c r="AZ145" s="45"/>
      <c r="BA145" s="45"/>
      <c r="BB145" s="45"/>
      <c r="BC145" s="45"/>
      <c r="BD145" s="93"/>
      <c r="BE145" s="93"/>
      <c r="BF145" s="93"/>
      <c r="BG145" s="93"/>
      <c r="BH145" s="93"/>
      <c r="BI145" s="93"/>
      <c r="BJ145" s="93"/>
      <c r="BK145" s="93">
        <f>SUM($Z145:AD145)-SUM($CM145:CQ145)</f>
        <v>40000</v>
      </c>
      <c r="BL145" s="93">
        <f>SUM($Z145:AE145)-SUM($CM145:CR145)</f>
        <v>40000</v>
      </c>
      <c r="BM145" s="93">
        <f>SUM($Z145:AF145)-SUM($CM145:CS145)</f>
        <v>40000</v>
      </c>
      <c r="BN145" s="93">
        <f>SUM($Z145:AG145)-SUM($CM145:CT145)</f>
        <v>40000</v>
      </c>
      <c r="BO145" s="93">
        <f>SUM($Z145:AH145)-SUM($CM145:CU145)</f>
        <v>40000</v>
      </c>
      <c r="BP145" s="93">
        <f>SUM($Z145:AI145)-SUM($CM145:CV145)</f>
        <v>40000</v>
      </c>
      <c r="BQ145" s="93">
        <f>SUM($Z145:AJ145)-SUM($CM145:CW145)</f>
        <v>40000</v>
      </c>
      <c r="BR145" s="93">
        <f>SUM($Z145:AK145)-SUM($CM145:CX145)</f>
        <v>40000</v>
      </c>
      <c r="BS145" s="93">
        <f>SUM($Z145:AL145)-SUM($CM145:CY145)</f>
        <v>40000</v>
      </c>
      <c r="BT145" s="93">
        <f>SUM($Z145:AM145)-SUM($CM145:CZ145)</f>
        <v>40000</v>
      </c>
      <c r="BU145" s="93">
        <f>SUM($Z145:AN145)-SUM($CM145:DA145)</f>
        <v>40000</v>
      </c>
      <c r="BV145" s="93">
        <f>SUM($Z145:AO145)-SUM($CM145:DB145)</f>
        <v>40000</v>
      </c>
      <c r="BW145" s="93">
        <f>SUM($Z145:AP145)-SUM($CM145:DC145)</f>
        <v>40000</v>
      </c>
      <c r="BX145" s="93">
        <f>SUM($Z145:AQ145)-SUM($CM145:DD145)</f>
        <v>40000</v>
      </c>
      <c r="BY145" s="93">
        <f>SUM($Z145:AR145)-SUM($CM145:DE145)</f>
        <v>40000</v>
      </c>
      <c r="BZ145" s="93">
        <f>SUM($Z145:AS145)-SUM($CM145:DF145)</f>
        <v>40000</v>
      </c>
      <c r="CA145" s="93">
        <f>SUM($Z145:AT145)-SUM($CM145:DG145)</f>
        <v>40000</v>
      </c>
      <c r="CB145" s="93">
        <f>SUM($Z145:AU145)-SUM($CM145:DH145)</f>
        <v>40000</v>
      </c>
      <c r="CC145" s="93">
        <f>SUM($Z145:AV145)-SUM($CM145:DI145)</f>
        <v>40000</v>
      </c>
      <c r="CD145" s="93">
        <f>SUM($Z145:AW145)-SUM($CM145:DJ145)</f>
        <v>40000</v>
      </c>
      <c r="CE145" s="93">
        <f>SUM($Z145:AX145)-SUM($CM145:DK145)</f>
        <v>40000</v>
      </c>
      <c r="CF145" s="93">
        <f>SUM($Z145:AY145)-SUM($CM145:DL145)</f>
        <v>40000</v>
      </c>
      <c r="CG145" s="93">
        <f>SUM($Z145:AZ145)-SUM($CM145:DM145)</f>
        <v>40000</v>
      </c>
      <c r="CH145" s="93">
        <f>SUM($Z145:BA145)-SUM($CM145:DN145)</f>
        <v>40000</v>
      </c>
      <c r="CI145" s="93">
        <f>SUM($Z145:BB145)-SUM($CM145:DO145)</f>
        <v>40000</v>
      </c>
      <c r="CJ145" s="93"/>
      <c r="CK145" s="93"/>
      <c r="CL145" s="93"/>
      <c r="CM145" s="93"/>
      <c r="CN145" s="93" cm="1">
        <f t="array" ref="CN145">SUMPRODUCT(TRANSPOSE(CN$4:CN$20),$G145:$W145)</f>
        <v>0</v>
      </c>
      <c r="CO145" s="93" cm="1">
        <f t="array" ref="CO145">SUMPRODUCT(TRANSPOSE(CO$4:CO$20),$G145:$W145)</f>
        <v>0</v>
      </c>
      <c r="CP145" s="93" cm="1">
        <f t="array" ref="CP145">SUMPRODUCT(TRANSPOSE(CP$4:CP$20),$G145:$W145)</f>
        <v>0</v>
      </c>
      <c r="CQ145" s="93" cm="1">
        <f t="array" ref="CQ145">SUMPRODUCT(TRANSPOSE(CQ$4:CQ$20),$G145:$W145)</f>
        <v>0</v>
      </c>
      <c r="CR145" s="93" cm="1">
        <f t="array" ref="CR145">SUMPRODUCT(TRANSPOSE(CR$4:CR$20),$G145:$W145)</f>
        <v>0</v>
      </c>
      <c r="CS145" s="93" cm="1">
        <f t="array" ref="CS145">SUMPRODUCT(TRANSPOSE(CS$4:CS$20),$G145:$W145)</f>
        <v>0</v>
      </c>
      <c r="CT145" s="93" cm="1">
        <f t="array" ref="CT145">SUMPRODUCT(TRANSPOSE(CT$4:CT$20),$G145:$W145)</f>
        <v>0</v>
      </c>
      <c r="CU145" s="93" cm="1">
        <f t="array" ref="CU145">SUMPRODUCT(TRANSPOSE(CU$4:CU$20),$G145:$W145)</f>
        <v>0</v>
      </c>
      <c r="CV145" s="93" cm="1">
        <f t="array" ref="CV145">SUMPRODUCT(TRANSPOSE(CV$4:CV$20),$G145:$W145)</f>
        <v>0</v>
      </c>
      <c r="CW145" s="93" cm="1">
        <f t="array" ref="CW145">SUMPRODUCT(TRANSPOSE(CW$4:CW$20),$G145:$W145)</f>
        <v>0</v>
      </c>
      <c r="CX145" s="93" cm="1">
        <f t="array" ref="CX145">SUMPRODUCT(TRANSPOSE(CX$4:CX$20),$G145:$W145)</f>
        <v>0</v>
      </c>
      <c r="CY145" s="93" cm="1">
        <f t="array" ref="CY145">SUMPRODUCT(TRANSPOSE(CY$4:CY$20),$G145:$W145)</f>
        <v>0</v>
      </c>
      <c r="CZ145" s="93" cm="1">
        <f t="array" ref="CZ145">SUMPRODUCT(TRANSPOSE(CZ$4:CZ$20),$G145:$W145)</f>
        <v>0</v>
      </c>
      <c r="DA145" s="93" cm="1">
        <f t="array" ref="DA145">SUMPRODUCT(TRANSPOSE(DA$4:DA$20),$G145:$W145)</f>
        <v>0</v>
      </c>
      <c r="DB145" s="93" cm="1">
        <f t="array" ref="DB145">SUMPRODUCT(TRANSPOSE(DB$4:DB$20),$G145:$W145)</f>
        <v>0</v>
      </c>
      <c r="DC145" s="93" cm="1">
        <f t="array" ref="DC145">SUMPRODUCT(TRANSPOSE(DC$4:DC$20),$G145:$W145)</f>
        <v>0</v>
      </c>
      <c r="DD145" s="93" cm="1">
        <f t="array" ref="DD145">SUMPRODUCT(TRANSPOSE(DD$4:DD$20),$G145:$W145)</f>
        <v>0</v>
      </c>
      <c r="DE145" s="93" cm="1">
        <f t="array" ref="DE145">SUMPRODUCT(TRANSPOSE(DE$4:DE$20),$G145:$W145)</f>
        <v>0</v>
      </c>
      <c r="DF145" s="93" cm="1">
        <f t="array" ref="DF145">SUMPRODUCT(TRANSPOSE(DF$4:DF$20),$G145:$W145)</f>
        <v>0</v>
      </c>
      <c r="DG145" s="93" cm="1">
        <f t="array" ref="DG145">SUMPRODUCT(TRANSPOSE(DG$4:DG$20),$G145:$W145)</f>
        <v>0</v>
      </c>
      <c r="DH145" s="93" cm="1">
        <f t="array" ref="DH145">SUMPRODUCT(TRANSPOSE(DH$4:DH$20),$G145:$W145)</f>
        <v>0</v>
      </c>
      <c r="DI145" s="93" cm="1">
        <f t="array" ref="DI145">SUMPRODUCT(TRANSPOSE(DI$4:DI$20),$G145:$W145)</f>
        <v>0</v>
      </c>
      <c r="DJ145" s="93" cm="1">
        <f t="array" ref="DJ145">SUMPRODUCT(TRANSPOSE(DJ$4:DJ$20),$G145:$W145)</f>
        <v>0</v>
      </c>
      <c r="DK145" s="93" cm="1">
        <f t="array" ref="DK145">SUMPRODUCT(TRANSPOSE(DK$4:DK$20),$G145:$W145)</f>
        <v>0</v>
      </c>
      <c r="DL145" s="93" cm="1">
        <f t="array" ref="DL145">SUMPRODUCT(TRANSPOSE(DL$4:DL$20),$G145:$W145)</f>
        <v>0</v>
      </c>
      <c r="DM145" s="93" cm="1">
        <f t="array" ref="DM145">SUMPRODUCT(TRANSPOSE(DM$4:DM$20),$G145:$W145)</f>
        <v>0</v>
      </c>
      <c r="DN145" s="93" cm="1">
        <f t="array" ref="DN145">SUMPRODUCT(TRANSPOSE(DN$4:DN$20),$G145:$W145)</f>
        <v>0</v>
      </c>
      <c r="DO145" s="93" cm="1">
        <f t="array" ref="DO145">SUMPRODUCT(TRANSPOSE(DO$4:DO$20),$G145:$W145)</f>
        <v>0</v>
      </c>
    </row>
    <row r="146" spans="1:119" x14ac:dyDescent="0.2">
      <c r="A146" s="45">
        <f t="shared" si="27"/>
        <v>125</v>
      </c>
      <c r="B146" s="46" t="s">
        <v>379</v>
      </c>
      <c r="C146" s="45">
        <v>417417688</v>
      </c>
      <c r="D146" s="45" t="s">
        <v>176</v>
      </c>
      <c r="E146" s="45" t="s">
        <v>162</v>
      </c>
      <c r="F146" s="48">
        <v>2</v>
      </c>
      <c r="G146" s="100">
        <v>0</v>
      </c>
      <c r="H146" s="100">
        <v>0</v>
      </c>
      <c r="I146" s="100">
        <v>0</v>
      </c>
      <c r="J146" s="100">
        <v>0</v>
      </c>
      <c r="K146" s="100">
        <v>0</v>
      </c>
      <c r="L146" s="100">
        <v>0</v>
      </c>
      <c r="M146" s="100">
        <v>0</v>
      </c>
      <c r="N146" s="100">
        <v>0</v>
      </c>
      <c r="O146" s="100">
        <v>0</v>
      </c>
      <c r="P146" s="100">
        <v>0</v>
      </c>
      <c r="Q146" s="100">
        <v>0</v>
      </c>
      <c r="R146" s="100">
        <v>0</v>
      </c>
      <c r="S146" s="100">
        <v>0</v>
      </c>
      <c r="T146" s="100">
        <v>0</v>
      </c>
      <c r="U146" s="100">
        <v>0</v>
      </c>
      <c r="V146" s="100">
        <v>0</v>
      </c>
      <c r="W146" s="100">
        <v>0</v>
      </c>
      <c r="X146" s="45" t="s">
        <v>38</v>
      </c>
      <c r="Y146" s="53">
        <v>0.17</v>
      </c>
      <c r="Z146" s="45">
        <v>0</v>
      </c>
      <c r="AA146" s="45">
        <v>0</v>
      </c>
      <c r="AB146" s="45">
        <v>0</v>
      </c>
      <c r="AC146" s="45">
        <v>0</v>
      </c>
      <c r="AD146" s="45">
        <v>0</v>
      </c>
      <c r="AE146" s="45">
        <v>0</v>
      </c>
      <c r="AF146" s="45">
        <v>0</v>
      </c>
      <c r="AG146" s="45">
        <v>0</v>
      </c>
      <c r="AH146" s="45">
        <v>0</v>
      </c>
      <c r="AI146" s="45">
        <v>0</v>
      </c>
      <c r="AJ146" s="45">
        <v>0</v>
      </c>
      <c r="AK146" s="45">
        <v>0</v>
      </c>
      <c r="AL146" s="45">
        <v>0</v>
      </c>
      <c r="AM146" s="45">
        <v>0</v>
      </c>
      <c r="AN146" s="45">
        <v>0</v>
      </c>
      <c r="AO146" s="45"/>
      <c r="AP146" s="45"/>
      <c r="AQ146" s="45"/>
      <c r="AR146" s="45"/>
      <c r="AS146" s="45"/>
      <c r="AT146" s="45"/>
      <c r="AU146" s="45"/>
      <c r="AV146" s="45"/>
      <c r="AW146" s="45"/>
      <c r="AX146" s="45"/>
      <c r="AY146" s="45"/>
      <c r="AZ146" s="45"/>
      <c r="BA146" s="45"/>
      <c r="BB146" s="45"/>
      <c r="BC146" s="45"/>
      <c r="BD146" s="93"/>
      <c r="BE146" s="93"/>
      <c r="BF146" s="93"/>
      <c r="BG146" s="93"/>
      <c r="BH146" s="93"/>
      <c r="BI146" s="93"/>
      <c r="BJ146" s="93"/>
      <c r="BK146" s="93">
        <f>SUM($Z146:AD146)-SUM($CM146:CQ146)</f>
        <v>0</v>
      </c>
      <c r="BL146" s="93">
        <f>SUM($Z146:AE146)-SUM($CM146:CR146)</f>
        <v>0</v>
      </c>
      <c r="BM146" s="93">
        <f>SUM($Z146:AF146)-SUM($CM146:CS146)</f>
        <v>0</v>
      </c>
      <c r="BN146" s="93">
        <f>SUM($Z146:AG146)-SUM($CM146:CT146)</f>
        <v>0</v>
      </c>
      <c r="BO146" s="93">
        <f>SUM($Z146:AH146)-SUM($CM146:CU146)</f>
        <v>0</v>
      </c>
      <c r="BP146" s="93">
        <f>SUM($Z146:AI146)-SUM($CM146:CV146)</f>
        <v>0</v>
      </c>
      <c r="BQ146" s="93">
        <f>SUM($Z146:AJ146)-SUM($CM146:CW146)</f>
        <v>0</v>
      </c>
      <c r="BR146" s="93">
        <f>SUM($Z146:AK146)-SUM($CM146:CX146)</f>
        <v>0</v>
      </c>
      <c r="BS146" s="93">
        <f>SUM($Z146:AL146)-SUM($CM146:CY146)</f>
        <v>0</v>
      </c>
      <c r="BT146" s="93">
        <f>SUM($Z146:AM146)-SUM($CM146:CZ146)</f>
        <v>0</v>
      </c>
      <c r="BU146" s="93">
        <f>SUM($Z146:AN146)-SUM($CM146:DA146)</f>
        <v>0</v>
      </c>
      <c r="BV146" s="93">
        <f>SUM($Z146:AO146)-SUM($CM146:DB146)</f>
        <v>0</v>
      </c>
      <c r="BW146" s="93">
        <f>SUM($Z146:AP146)-SUM($CM146:DC146)</f>
        <v>0</v>
      </c>
      <c r="BX146" s="93">
        <f>SUM($Z146:AQ146)-SUM($CM146:DD146)</f>
        <v>0</v>
      </c>
      <c r="BY146" s="93">
        <f>SUM($Z146:AR146)-SUM($CM146:DE146)</f>
        <v>0</v>
      </c>
      <c r="BZ146" s="93">
        <f>SUM($Z146:AS146)-SUM($CM146:DF146)</f>
        <v>0</v>
      </c>
      <c r="CA146" s="93">
        <f>SUM($Z146:AT146)-SUM($CM146:DG146)</f>
        <v>0</v>
      </c>
      <c r="CB146" s="93">
        <f>SUM($Z146:AU146)-SUM($CM146:DH146)</f>
        <v>0</v>
      </c>
      <c r="CC146" s="93">
        <f>SUM($Z146:AV146)-SUM($CM146:DI146)</f>
        <v>0</v>
      </c>
      <c r="CD146" s="93">
        <f>SUM($Z146:AW146)-SUM($CM146:DJ146)</f>
        <v>0</v>
      </c>
      <c r="CE146" s="93">
        <f>SUM($Z146:AX146)-SUM($CM146:DK146)</f>
        <v>0</v>
      </c>
      <c r="CF146" s="93">
        <f>SUM($Z146:AY146)-SUM($CM146:DL146)</f>
        <v>0</v>
      </c>
      <c r="CG146" s="93">
        <f>SUM($Z146:AZ146)-SUM($CM146:DM146)</f>
        <v>0</v>
      </c>
      <c r="CH146" s="93">
        <f>SUM($Z146:BA146)-SUM($CM146:DN146)</f>
        <v>0</v>
      </c>
      <c r="CI146" s="93">
        <f>SUM($Z146:BB146)-SUM($CM146:DO146)</f>
        <v>0</v>
      </c>
      <c r="CJ146" s="93"/>
      <c r="CK146" s="93"/>
      <c r="CL146" s="93"/>
      <c r="CM146" s="93"/>
      <c r="CN146" s="93" cm="1">
        <f t="array" ref="CN146">SUMPRODUCT(TRANSPOSE(CN$4:CN$20),$G146:$W146)</f>
        <v>0</v>
      </c>
      <c r="CO146" s="93" cm="1">
        <f t="array" ref="CO146">SUMPRODUCT(TRANSPOSE(CO$4:CO$20),$G146:$W146)</f>
        <v>0</v>
      </c>
      <c r="CP146" s="93" cm="1">
        <f t="array" ref="CP146">SUMPRODUCT(TRANSPOSE(CP$4:CP$20),$G146:$W146)</f>
        <v>0</v>
      </c>
      <c r="CQ146" s="93" cm="1">
        <f t="array" ref="CQ146">SUMPRODUCT(TRANSPOSE(CQ$4:CQ$20),$G146:$W146)</f>
        <v>0</v>
      </c>
      <c r="CR146" s="93" cm="1">
        <f t="array" ref="CR146">SUMPRODUCT(TRANSPOSE(CR$4:CR$20),$G146:$W146)</f>
        <v>0</v>
      </c>
      <c r="CS146" s="93" cm="1">
        <f t="array" ref="CS146">SUMPRODUCT(TRANSPOSE(CS$4:CS$20),$G146:$W146)</f>
        <v>0</v>
      </c>
      <c r="CT146" s="93" cm="1">
        <f t="array" ref="CT146">SUMPRODUCT(TRANSPOSE(CT$4:CT$20),$G146:$W146)</f>
        <v>0</v>
      </c>
      <c r="CU146" s="93" cm="1">
        <f t="array" ref="CU146">SUMPRODUCT(TRANSPOSE(CU$4:CU$20),$G146:$W146)</f>
        <v>0</v>
      </c>
      <c r="CV146" s="93" cm="1">
        <f t="array" ref="CV146">SUMPRODUCT(TRANSPOSE(CV$4:CV$20),$G146:$W146)</f>
        <v>0</v>
      </c>
      <c r="CW146" s="93" cm="1">
        <f t="array" ref="CW146">SUMPRODUCT(TRANSPOSE(CW$4:CW$20),$G146:$W146)</f>
        <v>0</v>
      </c>
      <c r="CX146" s="93" cm="1">
        <f t="array" ref="CX146">SUMPRODUCT(TRANSPOSE(CX$4:CX$20),$G146:$W146)</f>
        <v>0</v>
      </c>
      <c r="CY146" s="93" cm="1">
        <f t="array" ref="CY146">SUMPRODUCT(TRANSPOSE(CY$4:CY$20),$G146:$W146)</f>
        <v>0</v>
      </c>
      <c r="CZ146" s="93" cm="1">
        <f t="array" ref="CZ146">SUMPRODUCT(TRANSPOSE(CZ$4:CZ$20),$G146:$W146)</f>
        <v>0</v>
      </c>
      <c r="DA146" s="93" cm="1">
        <f t="array" ref="DA146">SUMPRODUCT(TRANSPOSE(DA$4:DA$20),$G146:$W146)</f>
        <v>0</v>
      </c>
      <c r="DB146" s="93" cm="1">
        <f t="array" ref="DB146">SUMPRODUCT(TRANSPOSE(DB$4:DB$20),$G146:$W146)</f>
        <v>0</v>
      </c>
      <c r="DC146" s="93" cm="1">
        <f t="array" ref="DC146">SUMPRODUCT(TRANSPOSE(DC$4:DC$20),$G146:$W146)</f>
        <v>0</v>
      </c>
      <c r="DD146" s="93" cm="1">
        <f t="array" ref="DD146">SUMPRODUCT(TRANSPOSE(DD$4:DD$20),$G146:$W146)</f>
        <v>0</v>
      </c>
      <c r="DE146" s="93" cm="1">
        <f t="array" ref="DE146">SUMPRODUCT(TRANSPOSE(DE$4:DE$20),$G146:$W146)</f>
        <v>0</v>
      </c>
      <c r="DF146" s="93" cm="1">
        <f t="array" ref="DF146">SUMPRODUCT(TRANSPOSE(DF$4:DF$20),$G146:$W146)</f>
        <v>0</v>
      </c>
      <c r="DG146" s="93" cm="1">
        <f t="array" ref="DG146">SUMPRODUCT(TRANSPOSE(DG$4:DG$20),$G146:$W146)</f>
        <v>0</v>
      </c>
      <c r="DH146" s="93" cm="1">
        <f t="array" ref="DH146">SUMPRODUCT(TRANSPOSE(DH$4:DH$20),$G146:$W146)</f>
        <v>0</v>
      </c>
      <c r="DI146" s="93" cm="1">
        <f t="array" ref="DI146">SUMPRODUCT(TRANSPOSE(DI$4:DI$20),$G146:$W146)</f>
        <v>0</v>
      </c>
      <c r="DJ146" s="93" cm="1">
        <f t="array" ref="DJ146">SUMPRODUCT(TRANSPOSE(DJ$4:DJ$20),$G146:$W146)</f>
        <v>0</v>
      </c>
      <c r="DK146" s="93" cm="1">
        <f t="array" ref="DK146">SUMPRODUCT(TRANSPOSE(DK$4:DK$20),$G146:$W146)</f>
        <v>0</v>
      </c>
      <c r="DL146" s="93" cm="1">
        <f t="array" ref="DL146">SUMPRODUCT(TRANSPOSE(DL$4:DL$20),$G146:$W146)</f>
        <v>0</v>
      </c>
      <c r="DM146" s="93" cm="1">
        <f t="array" ref="DM146">SUMPRODUCT(TRANSPOSE(DM$4:DM$20),$G146:$W146)</f>
        <v>0</v>
      </c>
      <c r="DN146" s="93" cm="1">
        <f t="array" ref="DN146">SUMPRODUCT(TRANSPOSE(DN$4:DN$20),$G146:$W146)</f>
        <v>0</v>
      </c>
      <c r="DO146" s="93" cm="1">
        <f t="array" ref="DO146">SUMPRODUCT(TRANSPOSE(DO$4:DO$20),$G146:$W146)</f>
        <v>0</v>
      </c>
    </row>
    <row r="147" spans="1:119" x14ac:dyDescent="0.2">
      <c r="A147" s="45">
        <f t="shared" si="27"/>
        <v>126</v>
      </c>
      <c r="B147" s="52">
        <v>429.00200000000001</v>
      </c>
      <c r="C147" s="45">
        <v>400025135</v>
      </c>
      <c r="D147" s="45" t="s">
        <v>380</v>
      </c>
      <c r="E147" s="45" t="s">
        <v>162</v>
      </c>
      <c r="F147" s="48">
        <v>1</v>
      </c>
      <c r="G147" s="100">
        <v>0</v>
      </c>
      <c r="H147" s="100">
        <v>0</v>
      </c>
      <c r="I147" s="100">
        <v>0</v>
      </c>
      <c r="J147" s="100">
        <v>0</v>
      </c>
      <c r="K147" s="100">
        <v>0</v>
      </c>
      <c r="L147" s="100">
        <v>0</v>
      </c>
      <c r="M147" s="100">
        <v>0</v>
      </c>
      <c r="N147" s="100">
        <v>0</v>
      </c>
      <c r="O147" s="100">
        <v>0</v>
      </c>
      <c r="P147" s="100">
        <v>0</v>
      </c>
      <c r="Q147" s="100">
        <v>0</v>
      </c>
      <c r="R147" s="100">
        <v>0</v>
      </c>
      <c r="S147" s="100">
        <v>0</v>
      </c>
      <c r="T147" s="100">
        <v>0</v>
      </c>
      <c r="U147" s="100">
        <v>0</v>
      </c>
      <c r="V147" s="100">
        <v>0</v>
      </c>
      <c r="W147" s="100">
        <v>0</v>
      </c>
      <c r="X147" s="45" t="s">
        <v>13</v>
      </c>
      <c r="Y147" s="49">
        <v>0</v>
      </c>
      <c r="Z147" s="45">
        <v>40000</v>
      </c>
      <c r="AA147" s="45">
        <v>0</v>
      </c>
      <c r="AB147" s="45">
        <v>0</v>
      </c>
      <c r="AC147" s="45">
        <v>0</v>
      </c>
      <c r="AD147" s="45">
        <v>0</v>
      </c>
      <c r="AE147" s="45">
        <v>0</v>
      </c>
      <c r="AF147" s="45">
        <v>0</v>
      </c>
      <c r="AG147" s="45">
        <v>0</v>
      </c>
      <c r="AH147" s="45">
        <v>0</v>
      </c>
      <c r="AI147" s="45">
        <v>0</v>
      </c>
      <c r="AJ147" s="45">
        <v>0</v>
      </c>
      <c r="AK147" s="45">
        <v>0</v>
      </c>
      <c r="AL147" s="45">
        <v>0</v>
      </c>
      <c r="AM147" s="45">
        <v>0</v>
      </c>
      <c r="AN147" s="45">
        <v>0</v>
      </c>
      <c r="AO147" s="45"/>
      <c r="AP147" s="45"/>
      <c r="AQ147" s="45"/>
      <c r="AR147" s="45"/>
      <c r="AS147" s="45"/>
      <c r="AT147" s="45"/>
      <c r="AU147" s="45"/>
      <c r="AV147" s="45"/>
      <c r="AW147" s="45"/>
      <c r="AX147" s="45"/>
      <c r="AY147" s="45"/>
      <c r="AZ147" s="45"/>
      <c r="BA147" s="45"/>
      <c r="BB147" s="45"/>
      <c r="BC147" s="45"/>
      <c r="BD147" s="93"/>
      <c r="BE147" s="93"/>
      <c r="BF147" s="93"/>
      <c r="BG147" s="93"/>
      <c r="BH147" s="93"/>
      <c r="BI147" s="93"/>
      <c r="BJ147" s="93"/>
      <c r="BK147" s="93">
        <f>SUM($Z147:AD147)-SUM($CM147:CQ147)</f>
        <v>40000</v>
      </c>
      <c r="BL147" s="93">
        <f>SUM($Z147:AE147)-SUM($CM147:CR147)</f>
        <v>40000</v>
      </c>
      <c r="BM147" s="93">
        <f>SUM($Z147:AF147)-SUM($CM147:CS147)</f>
        <v>40000</v>
      </c>
      <c r="BN147" s="93">
        <f>SUM($Z147:AG147)-SUM($CM147:CT147)</f>
        <v>40000</v>
      </c>
      <c r="BO147" s="93">
        <f>SUM($Z147:AH147)-SUM($CM147:CU147)</f>
        <v>40000</v>
      </c>
      <c r="BP147" s="93">
        <f>SUM($Z147:AI147)-SUM($CM147:CV147)</f>
        <v>40000</v>
      </c>
      <c r="BQ147" s="93">
        <f>SUM($Z147:AJ147)-SUM($CM147:CW147)</f>
        <v>40000</v>
      </c>
      <c r="BR147" s="93">
        <f>SUM($Z147:AK147)-SUM($CM147:CX147)</f>
        <v>40000</v>
      </c>
      <c r="BS147" s="93">
        <f>SUM($Z147:AL147)-SUM($CM147:CY147)</f>
        <v>40000</v>
      </c>
      <c r="BT147" s="93">
        <f>SUM($Z147:AM147)-SUM($CM147:CZ147)</f>
        <v>40000</v>
      </c>
      <c r="BU147" s="93">
        <f>SUM($Z147:AN147)-SUM($CM147:DA147)</f>
        <v>40000</v>
      </c>
      <c r="BV147" s="93">
        <f>SUM($Z147:AO147)-SUM($CM147:DB147)</f>
        <v>40000</v>
      </c>
      <c r="BW147" s="93">
        <f>SUM($Z147:AP147)-SUM($CM147:DC147)</f>
        <v>40000</v>
      </c>
      <c r="BX147" s="93">
        <f>SUM($Z147:AQ147)-SUM($CM147:DD147)</f>
        <v>40000</v>
      </c>
      <c r="BY147" s="93">
        <f>SUM($Z147:AR147)-SUM($CM147:DE147)</f>
        <v>40000</v>
      </c>
      <c r="BZ147" s="93">
        <f>SUM($Z147:AS147)-SUM($CM147:DF147)</f>
        <v>40000</v>
      </c>
      <c r="CA147" s="93">
        <f>SUM($Z147:AT147)-SUM($CM147:DG147)</f>
        <v>40000</v>
      </c>
      <c r="CB147" s="93">
        <f>SUM($Z147:AU147)-SUM($CM147:DH147)</f>
        <v>40000</v>
      </c>
      <c r="CC147" s="93">
        <f>SUM($Z147:AV147)-SUM($CM147:DI147)</f>
        <v>40000</v>
      </c>
      <c r="CD147" s="93">
        <f>SUM($Z147:AW147)-SUM($CM147:DJ147)</f>
        <v>40000</v>
      </c>
      <c r="CE147" s="93">
        <f>SUM($Z147:AX147)-SUM($CM147:DK147)</f>
        <v>40000</v>
      </c>
      <c r="CF147" s="93">
        <f>SUM($Z147:AY147)-SUM($CM147:DL147)</f>
        <v>40000</v>
      </c>
      <c r="CG147" s="93">
        <f>SUM($Z147:AZ147)-SUM($CM147:DM147)</f>
        <v>40000</v>
      </c>
      <c r="CH147" s="93">
        <f>SUM($Z147:BA147)-SUM($CM147:DN147)</f>
        <v>40000</v>
      </c>
      <c r="CI147" s="93">
        <f>SUM($Z147:BB147)-SUM($CM147:DO147)</f>
        <v>40000</v>
      </c>
      <c r="CJ147" s="93"/>
      <c r="CK147" s="93"/>
      <c r="CL147" s="93"/>
      <c r="CM147" s="93"/>
      <c r="CN147" s="93" cm="1">
        <f t="array" ref="CN147">SUMPRODUCT(TRANSPOSE(CN$4:CN$20),$G147:$W147)</f>
        <v>0</v>
      </c>
      <c r="CO147" s="93" cm="1">
        <f t="array" ref="CO147">SUMPRODUCT(TRANSPOSE(CO$4:CO$20),$G147:$W147)</f>
        <v>0</v>
      </c>
      <c r="CP147" s="93" cm="1">
        <f t="array" ref="CP147">SUMPRODUCT(TRANSPOSE(CP$4:CP$20),$G147:$W147)</f>
        <v>0</v>
      </c>
      <c r="CQ147" s="93" cm="1">
        <f t="array" ref="CQ147">SUMPRODUCT(TRANSPOSE(CQ$4:CQ$20),$G147:$W147)</f>
        <v>0</v>
      </c>
      <c r="CR147" s="93" cm="1">
        <f t="array" ref="CR147">SUMPRODUCT(TRANSPOSE(CR$4:CR$20),$G147:$W147)</f>
        <v>0</v>
      </c>
      <c r="CS147" s="93" cm="1">
        <f t="array" ref="CS147">SUMPRODUCT(TRANSPOSE(CS$4:CS$20),$G147:$W147)</f>
        <v>0</v>
      </c>
      <c r="CT147" s="93" cm="1">
        <f t="array" ref="CT147">SUMPRODUCT(TRANSPOSE(CT$4:CT$20),$G147:$W147)</f>
        <v>0</v>
      </c>
      <c r="CU147" s="93" cm="1">
        <f t="array" ref="CU147">SUMPRODUCT(TRANSPOSE(CU$4:CU$20),$G147:$W147)</f>
        <v>0</v>
      </c>
      <c r="CV147" s="93" cm="1">
        <f t="array" ref="CV147">SUMPRODUCT(TRANSPOSE(CV$4:CV$20),$G147:$W147)</f>
        <v>0</v>
      </c>
      <c r="CW147" s="93" cm="1">
        <f t="array" ref="CW147">SUMPRODUCT(TRANSPOSE(CW$4:CW$20),$G147:$W147)</f>
        <v>0</v>
      </c>
      <c r="CX147" s="93" cm="1">
        <f t="array" ref="CX147">SUMPRODUCT(TRANSPOSE(CX$4:CX$20),$G147:$W147)</f>
        <v>0</v>
      </c>
      <c r="CY147" s="93" cm="1">
        <f t="array" ref="CY147">SUMPRODUCT(TRANSPOSE(CY$4:CY$20),$G147:$W147)</f>
        <v>0</v>
      </c>
      <c r="CZ147" s="93" cm="1">
        <f t="array" ref="CZ147">SUMPRODUCT(TRANSPOSE(CZ$4:CZ$20),$G147:$W147)</f>
        <v>0</v>
      </c>
      <c r="DA147" s="93" cm="1">
        <f t="array" ref="DA147">SUMPRODUCT(TRANSPOSE(DA$4:DA$20),$G147:$W147)</f>
        <v>0</v>
      </c>
      <c r="DB147" s="93" cm="1">
        <f t="array" ref="DB147">SUMPRODUCT(TRANSPOSE(DB$4:DB$20),$G147:$W147)</f>
        <v>0</v>
      </c>
      <c r="DC147" s="93" cm="1">
        <f t="array" ref="DC147">SUMPRODUCT(TRANSPOSE(DC$4:DC$20),$G147:$W147)</f>
        <v>0</v>
      </c>
      <c r="DD147" s="93" cm="1">
        <f t="array" ref="DD147">SUMPRODUCT(TRANSPOSE(DD$4:DD$20),$G147:$W147)</f>
        <v>0</v>
      </c>
      <c r="DE147" s="93" cm="1">
        <f t="array" ref="DE147">SUMPRODUCT(TRANSPOSE(DE$4:DE$20),$G147:$W147)</f>
        <v>0</v>
      </c>
      <c r="DF147" s="93" cm="1">
        <f t="array" ref="DF147">SUMPRODUCT(TRANSPOSE(DF$4:DF$20),$G147:$W147)</f>
        <v>0</v>
      </c>
      <c r="DG147" s="93" cm="1">
        <f t="array" ref="DG147">SUMPRODUCT(TRANSPOSE(DG$4:DG$20),$G147:$W147)</f>
        <v>0</v>
      </c>
      <c r="DH147" s="93" cm="1">
        <f t="array" ref="DH147">SUMPRODUCT(TRANSPOSE(DH$4:DH$20),$G147:$W147)</f>
        <v>0</v>
      </c>
      <c r="DI147" s="93" cm="1">
        <f t="array" ref="DI147">SUMPRODUCT(TRANSPOSE(DI$4:DI$20),$G147:$W147)</f>
        <v>0</v>
      </c>
      <c r="DJ147" s="93" cm="1">
        <f t="array" ref="DJ147">SUMPRODUCT(TRANSPOSE(DJ$4:DJ$20),$G147:$W147)</f>
        <v>0</v>
      </c>
      <c r="DK147" s="93" cm="1">
        <f t="array" ref="DK147">SUMPRODUCT(TRANSPOSE(DK$4:DK$20),$G147:$W147)</f>
        <v>0</v>
      </c>
      <c r="DL147" s="93" cm="1">
        <f t="array" ref="DL147">SUMPRODUCT(TRANSPOSE(DL$4:DL$20),$G147:$W147)</f>
        <v>0</v>
      </c>
      <c r="DM147" s="93" cm="1">
        <f t="array" ref="DM147">SUMPRODUCT(TRANSPOSE(DM$4:DM$20),$G147:$W147)</f>
        <v>0</v>
      </c>
      <c r="DN147" s="93" cm="1">
        <f t="array" ref="DN147">SUMPRODUCT(TRANSPOSE(DN$4:DN$20),$G147:$W147)</f>
        <v>0</v>
      </c>
      <c r="DO147" s="93" cm="1">
        <f t="array" ref="DO147">SUMPRODUCT(TRANSPOSE(DO$4:DO$20),$G147:$W147)</f>
        <v>0</v>
      </c>
    </row>
    <row r="148" spans="1:119" x14ac:dyDescent="0.2">
      <c r="A148" s="45">
        <f t="shared" si="27"/>
        <v>127</v>
      </c>
      <c r="B148" s="46" t="s">
        <v>381</v>
      </c>
      <c r="C148" s="45">
        <v>732602115</v>
      </c>
      <c r="D148" s="45" t="s">
        <v>382</v>
      </c>
      <c r="E148" s="45" t="s">
        <v>191</v>
      </c>
      <c r="F148" s="48">
        <v>2</v>
      </c>
      <c r="G148" s="100">
        <v>0</v>
      </c>
      <c r="H148" s="100">
        <v>0</v>
      </c>
      <c r="I148" s="100">
        <v>0</v>
      </c>
      <c r="J148" s="100">
        <v>0</v>
      </c>
      <c r="K148" s="100">
        <v>0</v>
      </c>
      <c r="L148" s="100">
        <v>0</v>
      </c>
      <c r="M148" s="100">
        <v>0</v>
      </c>
      <c r="N148" s="100">
        <v>0</v>
      </c>
      <c r="O148" s="100">
        <v>0</v>
      </c>
      <c r="P148" s="100">
        <v>0</v>
      </c>
      <c r="Q148" s="100">
        <v>0</v>
      </c>
      <c r="R148" s="100">
        <v>0</v>
      </c>
      <c r="S148" s="100">
        <v>0</v>
      </c>
      <c r="T148" s="100">
        <v>0</v>
      </c>
      <c r="U148" s="100">
        <v>0</v>
      </c>
      <c r="V148" s="100">
        <v>0</v>
      </c>
      <c r="W148" s="100">
        <v>0.05</v>
      </c>
      <c r="X148" s="45" t="s">
        <v>6</v>
      </c>
      <c r="Y148" s="49">
        <v>0</v>
      </c>
      <c r="Z148" s="45">
        <v>0</v>
      </c>
      <c r="AA148" s="45">
        <v>0</v>
      </c>
      <c r="AB148" s="45">
        <v>0</v>
      </c>
      <c r="AC148" s="45">
        <v>0</v>
      </c>
      <c r="AD148" s="45">
        <v>0</v>
      </c>
      <c r="AE148" s="45">
        <v>0</v>
      </c>
      <c r="AF148" s="45">
        <v>0</v>
      </c>
      <c r="AG148" s="45">
        <v>0</v>
      </c>
      <c r="AH148" s="45">
        <v>0</v>
      </c>
      <c r="AI148" s="45">
        <v>0</v>
      </c>
      <c r="AJ148" s="45">
        <v>0</v>
      </c>
      <c r="AK148" s="45">
        <v>0</v>
      </c>
      <c r="AL148" s="45">
        <v>0</v>
      </c>
      <c r="AM148" s="45">
        <v>0</v>
      </c>
      <c r="AN148" s="45">
        <v>0</v>
      </c>
      <c r="AO148" s="45"/>
      <c r="AP148" s="45"/>
      <c r="AQ148" s="45"/>
      <c r="AR148" s="45"/>
      <c r="AS148" s="45"/>
      <c r="AT148" s="45"/>
      <c r="AU148" s="45"/>
      <c r="AV148" s="45"/>
      <c r="AW148" s="45"/>
      <c r="AX148" s="45"/>
      <c r="AY148" s="45"/>
      <c r="AZ148" s="45"/>
      <c r="BA148" s="45"/>
      <c r="BB148" s="45"/>
      <c r="BC148" s="45"/>
      <c r="BD148" s="93"/>
      <c r="BE148" s="93"/>
      <c r="BF148" s="93"/>
      <c r="BG148" s="93"/>
      <c r="BH148" s="93"/>
      <c r="BI148" s="93"/>
      <c r="BJ148" s="93"/>
      <c r="BK148" s="93">
        <f>SUM($Z148:AD148)-SUM($CM148:CQ148)</f>
        <v>-0.8</v>
      </c>
      <c r="BL148" s="93">
        <f>SUM($Z148:AE148)-SUM($CM148:CR148)</f>
        <v>-1.6</v>
      </c>
      <c r="BM148" s="93">
        <f>SUM($Z148:AF148)-SUM($CM148:CS148)</f>
        <v>-2.4000000000000004</v>
      </c>
      <c r="BN148" s="93">
        <f>SUM($Z148:AG148)-SUM($CM148:CT148)</f>
        <v>-3.2</v>
      </c>
      <c r="BO148" s="93">
        <f>SUM($Z148:AH148)-SUM($CM148:CU148)</f>
        <v>-4</v>
      </c>
      <c r="BP148" s="93">
        <f>SUM($Z148:AI148)-SUM($CM148:CV148)</f>
        <v>-4.8</v>
      </c>
      <c r="BQ148" s="93">
        <f>SUM($Z148:AJ148)-SUM($CM148:CW148)</f>
        <v>-5.6</v>
      </c>
      <c r="BR148" s="93">
        <f>SUM($Z148:AK148)-SUM($CM148:CX148)</f>
        <v>-6.3999999999999995</v>
      </c>
      <c r="BS148" s="93">
        <f>SUM($Z148:AL148)-SUM($CM148:CY148)</f>
        <v>-6.3999999999999995</v>
      </c>
      <c r="BT148" s="93">
        <f>SUM($Z148:AM148)-SUM($CM148:CZ148)</f>
        <v>-6.3999999999999995</v>
      </c>
      <c r="BU148" s="93">
        <f>SUM($Z148:AN148)-SUM($CM148:DA148)</f>
        <v>-6.3999999999999995</v>
      </c>
      <c r="BV148" s="93">
        <f>SUM($Z148:AO148)-SUM($CM148:DB148)</f>
        <v>-6.3999999999999995</v>
      </c>
      <c r="BW148" s="93">
        <f>SUM($Z148:AP148)-SUM($CM148:DC148)</f>
        <v>-6.3999999999999995</v>
      </c>
      <c r="BX148" s="93">
        <f>SUM($Z148:AQ148)-SUM($CM148:DD148)</f>
        <v>-6.3999999999999995</v>
      </c>
      <c r="BY148" s="93">
        <f>SUM($Z148:AR148)-SUM($CM148:DE148)</f>
        <v>-6.3999999999999995</v>
      </c>
      <c r="BZ148" s="93">
        <f>SUM($Z148:AS148)-SUM($CM148:DF148)</f>
        <v>-6.3999999999999995</v>
      </c>
      <c r="CA148" s="93">
        <f>SUM($Z148:AT148)-SUM($CM148:DG148)</f>
        <v>-6.3999999999999995</v>
      </c>
      <c r="CB148" s="93">
        <f>SUM($Z148:AU148)-SUM($CM148:DH148)</f>
        <v>-6.3999999999999995</v>
      </c>
      <c r="CC148" s="93">
        <f>SUM($Z148:AV148)-SUM($CM148:DI148)</f>
        <v>-6.3999999999999995</v>
      </c>
      <c r="CD148" s="93">
        <f>SUM($Z148:AW148)-SUM($CM148:DJ148)</f>
        <v>-6.3999999999999995</v>
      </c>
      <c r="CE148" s="93">
        <f>SUM($Z148:AX148)-SUM($CM148:DK148)</f>
        <v>-6.3999999999999995</v>
      </c>
      <c r="CF148" s="93">
        <f>SUM($Z148:AY148)-SUM($CM148:DL148)</f>
        <v>-6.3999999999999995</v>
      </c>
      <c r="CG148" s="93">
        <f>SUM($Z148:AZ148)-SUM($CM148:DM148)</f>
        <v>-6.3999999999999995</v>
      </c>
      <c r="CH148" s="93">
        <f>SUM($Z148:BA148)-SUM($CM148:DN148)</f>
        <v>-6.3999999999999995</v>
      </c>
      <c r="CI148" s="93">
        <f>SUM($Z148:BB148)-SUM($CM148:DO148)</f>
        <v>-6.3999999999999995</v>
      </c>
      <c r="CJ148" s="93"/>
      <c r="CK148" s="93"/>
      <c r="CL148" s="93"/>
      <c r="CM148" s="93"/>
      <c r="CN148" s="93" cm="1">
        <f t="array" ref="CN148">SUMPRODUCT(TRANSPOSE(CN$4:CN$20),$G148:$W148)</f>
        <v>0</v>
      </c>
      <c r="CO148" s="93" cm="1">
        <f t="array" ref="CO148">SUMPRODUCT(TRANSPOSE(CO$4:CO$20),$G148:$W148)</f>
        <v>0</v>
      </c>
      <c r="CP148" s="93" cm="1">
        <f t="array" ref="CP148">SUMPRODUCT(TRANSPOSE(CP$4:CP$20),$G148:$W148)</f>
        <v>0</v>
      </c>
      <c r="CQ148" s="93" cm="1">
        <f t="array" ref="CQ148">SUMPRODUCT(TRANSPOSE(CQ$4:CQ$20),$G148:$W148)</f>
        <v>0.8</v>
      </c>
      <c r="CR148" s="93" cm="1">
        <f t="array" ref="CR148">SUMPRODUCT(TRANSPOSE(CR$4:CR$20),$G148:$W148)</f>
        <v>0.8</v>
      </c>
      <c r="CS148" s="93" cm="1">
        <f t="array" ref="CS148">SUMPRODUCT(TRANSPOSE(CS$4:CS$20),$G148:$W148)</f>
        <v>0.8</v>
      </c>
      <c r="CT148" s="93" cm="1">
        <f t="array" ref="CT148">SUMPRODUCT(TRANSPOSE(CT$4:CT$20),$G148:$W148)</f>
        <v>0.8</v>
      </c>
      <c r="CU148" s="93" cm="1">
        <f t="array" ref="CU148">SUMPRODUCT(TRANSPOSE(CU$4:CU$20),$G148:$W148)</f>
        <v>0.8</v>
      </c>
      <c r="CV148" s="93" cm="1">
        <f t="array" ref="CV148">SUMPRODUCT(TRANSPOSE(CV$4:CV$20),$G148:$W148)</f>
        <v>0.8</v>
      </c>
      <c r="CW148" s="93" cm="1">
        <f t="array" ref="CW148">SUMPRODUCT(TRANSPOSE(CW$4:CW$20),$G148:$W148)</f>
        <v>0.8</v>
      </c>
      <c r="CX148" s="93" cm="1">
        <f t="array" ref="CX148">SUMPRODUCT(TRANSPOSE(CX$4:CX$20),$G148:$W148)</f>
        <v>0.8</v>
      </c>
      <c r="CY148" s="93" cm="1">
        <f t="array" ref="CY148">SUMPRODUCT(TRANSPOSE(CY$4:CY$20),$G148:$W148)</f>
        <v>0</v>
      </c>
      <c r="CZ148" s="93" cm="1">
        <f t="array" ref="CZ148">SUMPRODUCT(TRANSPOSE(CZ$4:CZ$20),$G148:$W148)</f>
        <v>0</v>
      </c>
      <c r="DA148" s="93" cm="1">
        <f t="array" ref="DA148">SUMPRODUCT(TRANSPOSE(DA$4:DA$20),$G148:$W148)</f>
        <v>0</v>
      </c>
      <c r="DB148" s="93" cm="1">
        <f t="array" ref="DB148">SUMPRODUCT(TRANSPOSE(DB$4:DB$20),$G148:$W148)</f>
        <v>0</v>
      </c>
      <c r="DC148" s="93" cm="1">
        <f t="array" ref="DC148">SUMPRODUCT(TRANSPOSE(DC$4:DC$20),$G148:$W148)</f>
        <v>0</v>
      </c>
      <c r="DD148" s="93" cm="1">
        <f t="array" ref="DD148">SUMPRODUCT(TRANSPOSE(DD$4:DD$20),$G148:$W148)</f>
        <v>0</v>
      </c>
      <c r="DE148" s="93" cm="1">
        <f t="array" ref="DE148">SUMPRODUCT(TRANSPOSE(DE$4:DE$20),$G148:$W148)</f>
        <v>0</v>
      </c>
      <c r="DF148" s="93" cm="1">
        <f t="array" ref="DF148">SUMPRODUCT(TRANSPOSE(DF$4:DF$20),$G148:$W148)</f>
        <v>0</v>
      </c>
      <c r="DG148" s="93" cm="1">
        <f t="array" ref="DG148">SUMPRODUCT(TRANSPOSE(DG$4:DG$20),$G148:$W148)</f>
        <v>0</v>
      </c>
      <c r="DH148" s="93" cm="1">
        <f t="array" ref="DH148">SUMPRODUCT(TRANSPOSE(DH$4:DH$20),$G148:$W148)</f>
        <v>0</v>
      </c>
      <c r="DI148" s="93" cm="1">
        <f t="array" ref="DI148">SUMPRODUCT(TRANSPOSE(DI$4:DI$20),$G148:$W148)</f>
        <v>0</v>
      </c>
      <c r="DJ148" s="93" cm="1">
        <f t="array" ref="DJ148">SUMPRODUCT(TRANSPOSE(DJ$4:DJ$20),$G148:$W148)</f>
        <v>0</v>
      </c>
      <c r="DK148" s="93" cm="1">
        <f t="array" ref="DK148">SUMPRODUCT(TRANSPOSE(DK$4:DK$20),$G148:$W148)</f>
        <v>0</v>
      </c>
      <c r="DL148" s="93" cm="1">
        <f t="array" ref="DL148">SUMPRODUCT(TRANSPOSE(DL$4:DL$20),$G148:$W148)</f>
        <v>0</v>
      </c>
      <c r="DM148" s="93" cm="1">
        <f t="array" ref="DM148">SUMPRODUCT(TRANSPOSE(DM$4:DM$20),$G148:$W148)</f>
        <v>0</v>
      </c>
      <c r="DN148" s="93" cm="1">
        <f t="array" ref="DN148">SUMPRODUCT(TRANSPOSE(DN$4:DN$20),$G148:$W148)</f>
        <v>0</v>
      </c>
      <c r="DO148" s="93" cm="1">
        <f t="array" ref="DO148">SUMPRODUCT(TRANSPOSE(DO$4:DO$20),$G148:$W148)</f>
        <v>0</v>
      </c>
    </row>
    <row r="149" spans="1:119" x14ac:dyDescent="0.2">
      <c r="A149" s="45">
        <f t="shared" si="27"/>
        <v>128</v>
      </c>
      <c r="B149" s="46" t="s">
        <v>383</v>
      </c>
      <c r="C149" s="45">
        <v>400339908</v>
      </c>
      <c r="D149" s="45" t="s">
        <v>384</v>
      </c>
      <c r="E149" s="45" t="s">
        <v>162</v>
      </c>
      <c r="F149" s="48">
        <v>2</v>
      </c>
      <c r="G149" s="100">
        <v>0</v>
      </c>
      <c r="H149" s="100">
        <v>0</v>
      </c>
      <c r="I149" s="100">
        <v>0</v>
      </c>
      <c r="J149" s="100">
        <v>0</v>
      </c>
      <c r="K149" s="100">
        <v>0</v>
      </c>
      <c r="L149" s="100">
        <v>0</v>
      </c>
      <c r="M149" s="100">
        <v>0</v>
      </c>
      <c r="N149" s="100">
        <v>0</v>
      </c>
      <c r="O149" s="100">
        <v>0</v>
      </c>
      <c r="P149" s="100">
        <v>0</v>
      </c>
      <c r="Q149" s="100">
        <v>1</v>
      </c>
      <c r="R149" s="100">
        <v>0</v>
      </c>
      <c r="S149" s="100">
        <v>0</v>
      </c>
      <c r="T149" s="100">
        <v>0</v>
      </c>
      <c r="U149" s="100">
        <v>0</v>
      </c>
      <c r="V149" s="100">
        <v>0</v>
      </c>
      <c r="W149" s="100">
        <v>0</v>
      </c>
      <c r="X149" s="45" t="s">
        <v>61</v>
      </c>
      <c r="Y149" s="49">
        <v>4.25</v>
      </c>
      <c r="Z149" s="45">
        <v>1200</v>
      </c>
      <c r="AA149" s="45">
        <v>0</v>
      </c>
      <c r="AB149" s="45">
        <v>0</v>
      </c>
      <c r="AC149" s="45">
        <v>0</v>
      </c>
      <c r="AD149" s="45">
        <v>0</v>
      </c>
      <c r="AE149" s="45">
        <v>0</v>
      </c>
      <c r="AF149" s="45">
        <v>0</v>
      </c>
      <c r="AG149" s="45">
        <v>0</v>
      </c>
      <c r="AH149" s="45">
        <v>0</v>
      </c>
      <c r="AI149" s="45">
        <v>0</v>
      </c>
      <c r="AJ149" s="45">
        <v>0</v>
      </c>
      <c r="AK149" s="45">
        <v>0</v>
      </c>
      <c r="AL149" s="45">
        <v>0</v>
      </c>
      <c r="AM149" s="45">
        <v>0</v>
      </c>
      <c r="AN149" s="45">
        <v>0</v>
      </c>
      <c r="AO149" s="45"/>
      <c r="AP149" s="45"/>
      <c r="AQ149" s="45"/>
      <c r="AR149" s="45"/>
      <c r="AS149" s="45"/>
      <c r="AT149" s="45"/>
      <c r="AU149" s="45"/>
      <c r="AV149" s="45"/>
      <c r="AW149" s="45"/>
      <c r="AX149" s="45"/>
      <c r="AY149" s="45"/>
      <c r="AZ149" s="45"/>
      <c r="BA149" s="45"/>
      <c r="BB149" s="45"/>
      <c r="BC149" s="45"/>
      <c r="BD149" s="93"/>
      <c r="BE149" s="93"/>
      <c r="BF149" s="93"/>
      <c r="BG149" s="93"/>
      <c r="BH149" s="93"/>
      <c r="BI149" s="93"/>
      <c r="BJ149" s="93"/>
      <c r="BK149" s="93">
        <f>SUM($Z149:AD149)-SUM($CM149:CQ149)</f>
        <v>1165</v>
      </c>
      <c r="BL149" s="93">
        <f>SUM($Z149:AE149)-SUM($CM149:CR149)</f>
        <v>1130</v>
      </c>
      <c r="BM149" s="93">
        <f>SUM($Z149:AF149)-SUM($CM149:CS149)</f>
        <v>1095</v>
      </c>
      <c r="BN149" s="93">
        <f>SUM($Z149:AG149)-SUM($CM149:CT149)</f>
        <v>1065</v>
      </c>
      <c r="BO149" s="93">
        <f>SUM($Z149:AH149)-SUM($CM149:CU149)</f>
        <v>1035</v>
      </c>
      <c r="BP149" s="93">
        <f>SUM($Z149:AI149)-SUM($CM149:CV149)</f>
        <v>1005</v>
      </c>
      <c r="BQ149" s="93">
        <f>SUM($Z149:AJ149)-SUM($CM149:CW149)</f>
        <v>975</v>
      </c>
      <c r="BR149" s="93">
        <f>SUM($Z149:AK149)-SUM($CM149:CX149)</f>
        <v>945</v>
      </c>
      <c r="BS149" s="93">
        <f>SUM($Z149:AL149)-SUM($CM149:CY149)</f>
        <v>915</v>
      </c>
      <c r="BT149" s="93">
        <f>SUM($Z149:AM149)-SUM($CM149:CZ149)</f>
        <v>885</v>
      </c>
      <c r="BU149" s="93">
        <f>SUM($Z149:AN149)-SUM($CM149:DA149)</f>
        <v>855</v>
      </c>
      <c r="BV149" s="93">
        <f>SUM($Z149:AO149)-SUM($CM149:DB149)</f>
        <v>841</v>
      </c>
      <c r="BW149" s="93">
        <f>SUM($Z149:AP149)-SUM($CM149:DC149)</f>
        <v>841</v>
      </c>
      <c r="BX149" s="93">
        <f>SUM($Z149:AQ149)-SUM($CM149:DD149)</f>
        <v>841</v>
      </c>
      <c r="BY149" s="93">
        <f>SUM($Z149:AR149)-SUM($CM149:DE149)</f>
        <v>841</v>
      </c>
      <c r="BZ149" s="93">
        <f>SUM($Z149:AS149)-SUM($CM149:DF149)</f>
        <v>841</v>
      </c>
      <c r="CA149" s="93">
        <f>SUM($Z149:AT149)-SUM($CM149:DG149)</f>
        <v>841</v>
      </c>
      <c r="CB149" s="93">
        <f>SUM($Z149:AU149)-SUM($CM149:DH149)</f>
        <v>841</v>
      </c>
      <c r="CC149" s="93">
        <f>SUM($Z149:AV149)-SUM($CM149:DI149)</f>
        <v>841</v>
      </c>
      <c r="CD149" s="93">
        <f>SUM($Z149:AW149)-SUM($CM149:DJ149)</f>
        <v>841</v>
      </c>
      <c r="CE149" s="93">
        <f>SUM($Z149:AX149)-SUM($CM149:DK149)</f>
        <v>841</v>
      </c>
      <c r="CF149" s="93">
        <f>SUM($Z149:AY149)-SUM($CM149:DL149)</f>
        <v>841</v>
      </c>
      <c r="CG149" s="93">
        <f>SUM($Z149:AZ149)-SUM($CM149:DM149)</f>
        <v>841</v>
      </c>
      <c r="CH149" s="93">
        <f>SUM($Z149:BA149)-SUM($CM149:DN149)</f>
        <v>841</v>
      </c>
      <c r="CI149" s="93">
        <f>SUM($Z149:BB149)-SUM($CM149:DO149)</f>
        <v>841</v>
      </c>
      <c r="CJ149" s="93"/>
      <c r="CK149" s="93"/>
      <c r="CL149" s="93"/>
      <c r="CM149" s="93"/>
      <c r="CN149" s="93" cm="1">
        <f t="array" ref="CN149">SUMPRODUCT(TRANSPOSE(CN$4:CN$20),$G149:$W149)</f>
        <v>0</v>
      </c>
      <c r="CO149" s="93" cm="1">
        <f t="array" ref="CO149">SUMPRODUCT(TRANSPOSE(CO$4:CO$20),$G149:$W149)</f>
        <v>0</v>
      </c>
      <c r="CP149" s="93" cm="1">
        <f t="array" ref="CP149">SUMPRODUCT(TRANSPOSE(CP$4:CP$20),$G149:$W149)</f>
        <v>0</v>
      </c>
      <c r="CQ149" s="93" cm="1">
        <f t="array" ref="CQ149">SUMPRODUCT(TRANSPOSE(CQ$4:CQ$20),$G149:$W149)</f>
        <v>35</v>
      </c>
      <c r="CR149" s="93" cm="1">
        <f t="array" ref="CR149">SUMPRODUCT(TRANSPOSE(CR$4:CR$20),$G149:$W149)</f>
        <v>35</v>
      </c>
      <c r="CS149" s="93" cm="1">
        <f t="array" ref="CS149">SUMPRODUCT(TRANSPOSE(CS$4:CS$20),$G149:$W149)</f>
        <v>35</v>
      </c>
      <c r="CT149" s="93" cm="1">
        <f t="array" ref="CT149">SUMPRODUCT(TRANSPOSE(CT$4:CT$20),$G149:$W149)</f>
        <v>30</v>
      </c>
      <c r="CU149" s="93" cm="1">
        <f t="array" ref="CU149">SUMPRODUCT(TRANSPOSE(CU$4:CU$20),$G149:$W149)</f>
        <v>30</v>
      </c>
      <c r="CV149" s="93" cm="1">
        <f t="array" ref="CV149">SUMPRODUCT(TRANSPOSE(CV$4:CV$20),$G149:$W149)</f>
        <v>30</v>
      </c>
      <c r="CW149" s="93" cm="1">
        <f t="array" ref="CW149">SUMPRODUCT(TRANSPOSE(CW$4:CW$20),$G149:$W149)</f>
        <v>30</v>
      </c>
      <c r="CX149" s="93" cm="1">
        <f t="array" ref="CX149">SUMPRODUCT(TRANSPOSE(CX$4:CX$20),$G149:$W149)</f>
        <v>30</v>
      </c>
      <c r="CY149" s="93" cm="1">
        <f t="array" ref="CY149">SUMPRODUCT(TRANSPOSE(CY$4:CY$20),$G149:$W149)</f>
        <v>30</v>
      </c>
      <c r="CZ149" s="93" cm="1">
        <f t="array" ref="CZ149">SUMPRODUCT(TRANSPOSE(CZ$4:CZ$20),$G149:$W149)</f>
        <v>30</v>
      </c>
      <c r="DA149" s="93" cm="1">
        <f t="array" ref="DA149">SUMPRODUCT(TRANSPOSE(DA$4:DA$20),$G149:$W149)</f>
        <v>30</v>
      </c>
      <c r="DB149" s="93" cm="1">
        <f t="array" ref="DB149">SUMPRODUCT(TRANSPOSE(DB$4:DB$20),$G149:$W149)</f>
        <v>14</v>
      </c>
      <c r="DC149" s="93" cm="1">
        <f t="array" ref="DC149">SUMPRODUCT(TRANSPOSE(DC$4:DC$20),$G149:$W149)</f>
        <v>0</v>
      </c>
      <c r="DD149" s="93" cm="1">
        <f t="array" ref="DD149">SUMPRODUCT(TRANSPOSE(DD$4:DD$20),$G149:$W149)</f>
        <v>0</v>
      </c>
      <c r="DE149" s="93" cm="1">
        <f t="array" ref="DE149">SUMPRODUCT(TRANSPOSE(DE$4:DE$20),$G149:$W149)</f>
        <v>0</v>
      </c>
      <c r="DF149" s="93" cm="1">
        <f t="array" ref="DF149">SUMPRODUCT(TRANSPOSE(DF$4:DF$20),$G149:$W149)</f>
        <v>0</v>
      </c>
      <c r="DG149" s="93" cm="1">
        <f t="array" ref="DG149">SUMPRODUCT(TRANSPOSE(DG$4:DG$20),$G149:$W149)</f>
        <v>0</v>
      </c>
      <c r="DH149" s="93" cm="1">
        <f t="array" ref="DH149">SUMPRODUCT(TRANSPOSE(DH$4:DH$20),$G149:$W149)</f>
        <v>0</v>
      </c>
      <c r="DI149" s="93" cm="1">
        <f t="array" ref="DI149">SUMPRODUCT(TRANSPOSE(DI$4:DI$20),$G149:$W149)</f>
        <v>0</v>
      </c>
      <c r="DJ149" s="93" cm="1">
        <f t="array" ref="DJ149">SUMPRODUCT(TRANSPOSE(DJ$4:DJ$20),$G149:$W149)</f>
        <v>0</v>
      </c>
      <c r="DK149" s="93" cm="1">
        <f t="array" ref="DK149">SUMPRODUCT(TRANSPOSE(DK$4:DK$20),$G149:$W149)</f>
        <v>0</v>
      </c>
      <c r="DL149" s="93" cm="1">
        <f t="array" ref="DL149">SUMPRODUCT(TRANSPOSE(DL$4:DL$20),$G149:$W149)</f>
        <v>0</v>
      </c>
      <c r="DM149" s="93" cm="1">
        <f t="array" ref="DM149">SUMPRODUCT(TRANSPOSE(DM$4:DM$20),$G149:$W149)</f>
        <v>0</v>
      </c>
      <c r="DN149" s="93" cm="1">
        <f t="array" ref="DN149">SUMPRODUCT(TRANSPOSE(DN$4:DN$20),$G149:$W149)</f>
        <v>0</v>
      </c>
      <c r="DO149" s="93" cm="1">
        <f t="array" ref="DO149">SUMPRODUCT(TRANSPOSE(DO$4:DO$20),$G149:$W149)</f>
        <v>0</v>
      </c>
    </row>
    <row r="150" spans="1:119" ht="64.900000000000006" customHeight="1" x14ac:dyDescent="0.2">
      <c r="A150" s="45">
        <f t="shared" si="27"/>
        <v>129</v>
      </c>
      <c r="B150" s="46" t="s">
        <v>385</v>
      </c>
      <c r="C150" s="55">
        <v>420905006</v>
      </c>
      <c r="D150" s="45" t="s">
        <v>386</v>
      </c>
      <c r="E150" s="45" t="s">
        <v>162</v>
      </c>
      <c r="F150" s="48">
        <v>2</v>
      </c>
      <c r="G150" s="100">
        <v>0</v>
      </c>
      <c r="H150" s="100">
        <v>0</v>
      </c>
      <c r="I150" s="100">
        <v>0</v>
      </c>
      <c r="J150" s="100">
        <v>0</v>
      </c>
      <c r="K150" s="100">
        <v>0</v>
      </c>
      <c r="L150" s="100">
        <v>0</v>
      </c>
      <c r="M150" s="100">
        <v>0</v>
      </c>
      <c r="N150" s="100">
        <v>0</v>
      </c>
      <c r="O150" s="100">
        <v>0</v>
      </c>
      <c r="P150" s="100">
        <v>0</v>
      </c>
      <c r="Q150" s="100">
        <v>38</v>
      </c>
      <c r="R150" s="100">
        <v>0</v>
      </c>
      <c r="S150" s="100">
        <v>0</v>
      </c>
      <c r="T150" s="100">
        <v>0</v>
      </c>
      <c r="U150" s="100">
        <v>0</v>
      </c>
      <c r="V150" s="100">
        <v>0</v>
      </c>
      <c r="W150" s="100">
        <v>0</v>
      </c>
      <c r="X150" s="45" t="s">
        <v>66</v>
      </c>
      <c r="Y150" s="49">
        <v>11.27</v>
      </c>
      <c r="Z150" s="45">
        <v>20630</v>
      </c>
      <c r="AA150" s="45">
        <v>0</v>
      </c>
      <c r="AB150" s="45">
        <v>0</v>
      </c>
      <c r="AC150" s="45">
        <v>0</v>
      </c>
      <c r="AD150" s="45">
        <v>0</v>
      </c>
      <c r="AE150" s="45">
        <v>0</v>
      </c>
      <c r="AF150" s="45">
        <v>0</v>
      </c>
      <c r="AG150" s="45">
        <v>0</v>
      </c>
      <c r="AH150" s="45">
        <v>0</v>
      </c>
      <c r="AI150" s="45">
        <v>0</v>
      </c>
      <c r="AJ150" s="45">
        <v>0</v>
      </c>
      <c r="AK150" s="45">
        <v>0</v>
      </c>
      <c r="AL150" s="45">
        <v>0</v>
      </c>
      <c r="AM150" s="45">
        <v>0</v>
      </c>
      <c r="AN150" s="45">
        <v>0</v>
      </c>
      <c r="AO150" s="45"/>
      <c r="AP150" s="45"/>
      <c r="AQ150" s="45"/>
      <c r="AR150" s="45"/>
      <c r="AS150" s="45"/>
      <c r="AT150" s="45"/>
      <c r="AU150" s="45"/>
      <c r="AV150" s="45"/>
      <c r="AW150" s="45"/>
      <c r="AX150" s="45"/>
      <c r="AY150" s="45"/>
      <c r="AZ150" s="45"/>
      <c r="BA150" s="45"/>
      <c r="BB150" s="45"/>
      <c r="BC150" s="45"/>
      <c r="BD150" s="93"/>
      <c r="BE150" s="93"/>
      <c r="BF150" s="93"/>
      <c r="BG150" s="93"/>
      <c r="BH150" s="93"/>
      <c r="BI150" s="93"/>
      <c r="BJ150" s="93"/>
      <c r="BK150" s="93">
        <f>SUM($Z150:AD150)-SUM($CM150:CQ150)</f>
        <v>19300</v>
      </c>
      <c r="BL150" s="93">
        <f>SUM($Z150:AE150)-SUM($CM150:CR150)</f>
        <v>17970</v>
      </c>
      <c r="BM150" s="93">
        <f>SUM($Z150:AF150)-SUM($CM150:CS150)</f>
        <v>16640</v>
      </c>
      <c r="BN150" s="93">
        <f>SUM($Z150:AG150)-SUM($CM150:CT150)</f>
        <v>15500</v>
      </c>
      <c r="BO150" s="93">
        <f>SUM($Z150:AH150)-SUM($CM150:CU150)</f>
        <v>14360</v>
      </c>
      <c r="BP150" s="93">
        <f>SUM($Z150:AI150)-SUM($CM150:CV150)</f>
        <v>13220</v>
      </c>
      <c r="BQ150" s="93">
        <f>SUM($Z150:AJ150)-SUM($CM150:CW150)</f>
        <v>12080</v>
      </c>
      <c r="BR150" s="93">
        <f>SUM($Z150:AK150)-SUM($CM150:CX150)</f>
        <v>10940</v>
      </c>
      <c r="BS150" s="93">
        <f>SUM($Z150:AL150)-SUM($CM150:CY150)</f>
        <v>9800</v>
      </c>
      <c r="BT150" s="93">
        <f>SUM($Z150:AM150)-SUM($CM150:CZ150)</f>
        <v>8660</v>
      </c>
      <c r="BU150" s="93">
        <f>SUM($Z150:AN150)-SUM($CM150:DA150)</f>
        <v>7520</v>
      </c>
      <c r="BV150" s="93">
        <f>SUM($Z150:AO150)-SUM($CM150:DB150)</f>
        <v>6988</v>
      </c>
      <c r="BW150" s="93">
        <f>SUM($Z150:AP150)-SUM($CM150:DC150)</f>
        <v>6988</v>
      </c>
      <c r="BX150" s="93">
        <f>SUM($Z150:AQ150)-SUM($CM150:DD150)</f>
        <v>6988</v>
      </c>
      <c r="BY150" s="93">
        <f>SUM($Z150:AR150)-SUM($CM150:DE150)</f>
        <v>6988</v>
      </c>
      <c r="BZ150" s="93">
        <f>SUM($Z150:AS150)-SUM($CM150:DF150)</f>
        <v>6988</v>
      </c>
      <c r="CA150" s="93">
        <f>SUM($Z150:AT150)-SUM($CM150:DG150)</f>
        <v>6988</v>
      </c>
      <c r="CB150" s="93">
        <f>SUM($Z150:AU150)-SUM($CM150:DH150)</f>
        <v>6988</v>
      </c>
      <c r="CC150" s="93">
        <f>SUM($Z150:AV150)-SUM($CM150:DI150)</f>
        <v>6988</v>
      </c>
      <c r="CD150" s="93">
        <f>SUM($Z150:AW150)-SUM($CM150:DJ150)</f>
        <v>6988</v>
      </c>
      <c r="CE150" s="93">
        <f>SUM($Z150:AX150)-SUM($CM150:DK150)</f>
        <v>6988</v>
      </c>
      <c r="CF150" s="93">
        <f>SUM($Z150:AY150)-SUM($CM150:DL150)</f>
        <v>6988</v>
      </c>
      <c r="CG150" s="93">
        <f>SUM($Z150:AZ150)-SUM($CM150:DM150)</f>
        <v>6988</v>
      </c>
      <c r="CH150" s="93">
        <f>SUM($Z150:BA150)-SUM($CM150:DN150)</f>
        <v>6988</v>
      </c>
      <c r="CI150" s="93">
        <f>SUM($Z150:BB150)-SUM($CM150:DO150)</f>
        <v>6988</v>
      </c>
      <c r="CJ150" s="93"/>
      <c r="CK150" s="93"/>
      <c r="CL150" s="93"/>
      <c r="CM150" s="93"/>
      <c r="CN150" s="93" cm="1">
        <f t="array" ref="CN150">SUMPRODUCT(TRANSPOSE(CN$4:CN$20),$G150:$W150)</f>
        <v>0</v>
      </c>
      <c r="CO150" s="93" cm="1">
        <f t="array" ref="CO150">SUMPRODUCT(TRANSPOSE(CO$4:CO$20),$G150:$W150)</f>
        <v>0</v>
      </c>
      <c r="CP150" s="93" cm="1">
        <f t="array" ref="CP150">SUMPRODUCT(TRANSPOSE(CP$4:CP$20),$G150:$W150)</f>
        <v>0</v>
      </c>
      <c r="CQ150" s="93" cm="1">
        <f t="array" ref="CQ150">SUMPRODUCT(TRANSPOSE(CQ$4:CQ$20),$G150:$W150)</f>
        <v>1330</v>
      </c>
      <c r="CR150" s="93" cm="1">
        <f t="array" ref="CR150">SUMPRODUCT(TRANSPOSE(CR$4:CR$20),$G150:$W150)</f>
        <v>1330</v>
      </c>
      <c r="CS150" s="93" cm="1">
        <f t="array" ref="CS150">SUMPRODUCT(TRANSPOSE(CS$4:CS$20),$G150:$W150)</f>
        <v>1330</v>
      </c>
      <c r="CT150" s="93" cm="1">
        <f t="array" ref="CT150">SUMPRODUCT(TRANSPOSE(CT$4:CT$20),$G150:$W150)</f>
        <v>1140</v>
      </c>
      <c r="CU150" s="93" cm="1">
        <f t="array" ref="CU150">SUMPRODUCT(TRANSPOSE(CU$4:CU$20),$G150:$W150)</f>
        <v>1140</v>
      </c>
      <c r="CV150" s="93" cm="1">
        <f t="array" ref="CV150">SUMPRODUCT(TRANSPOSE(CV$4:CV$20),$G150:$W150)</f>
        <v>1140</v>
      </c>
      <c r="CW150" s="93" cm="1">
        <f t="array" ref="CW150">SUMPRODUCT(TRANSPOSE(CW$4:CW$20),$G150:$W150)</f>
        <v>1140</v>
      </c>
      <c r="CX150" s="93" cm="1">
        <f t="array" ref="CX150">SUMPRODUCT(TRANSPOSE(CX$4:CX$20),$G150:$W150)</f>
        <v>1140</v>
      </c>
      <c r="CY150" s="93" cm="1">
        <f t="array" ref="CY150">SUMPRODUCT(TRANSPOSE(CY$4:CY$20),$G150:$W150)</f>
        <v>1140</v>
      </c>
      <c r="CZ150" s="93" cm="1">
        <f t="array" ref="CZ150">SUMPRODUCT(TRANSPOSE(CZ$4:CZ$20),$G150:$W150)</f>
        <v>1140</v>
      </c>
      <c r="DA150" s="93" cm="1">
        <f t="array" ref="DA150">SUMPRODUCT(TRANSPOSE(DA$4:DA$20),$G150:$W150)</f>
        <v>1140</v>
      </c>
      <c r="DB150" s="93" cm="1">
        <f t="array" ref="DB150">SUMPRODUCT(TRANSPOSE(DB$4:DB$20),$G150:$W150)</f>
        <v>532</v>
      </c>
      <c r="DC150" s="93" cm="1">
        <f t="array" ref="DC150">SUMPRODUCT(TRANSPOSE(DC$4:DC$20),$G150:$W150)</f>
        <v>0</v>
      </c>
      <c r="DD150" s="93" cm="1">
        <f t="array" ref="DD150">SUMPRODUCT(TRANSPOSE(DD$4:DD$20),$G150:$W150)</f>
        <v>0</v>
      </c>
      <c r="DE150" s="93" cm="1">
        <f t="array" ref="DE150">SUMPRODUCT(TRANSPOSE(DE$4:DE$20),$G150:$W150)</f>
        <v>0</v>
      </c>
      <c r="DF150" s="93" cm="1">
        <f t="array" ref="DF150">SUMPRODUCT(TRANSPOSE(DF$4:DF$20),$G150:$W150)</f>
        <v>0</v>
      </c>
      <c r="DG150" s="93" cm="1">
        <f t="array" ref="DG150">SUMPRODUCT(TRANSPOSE(DG$4:DG$20),$G150:$W150)</f>
        <v>0</v>
      </c>
      <c r="DH150" s="93" cm="1">
        <f t="array" ref="DH150">SUMPRODUCT(TRANSPOSE(DH$4:DH$20),$G150:$W150)</f>
        <v>0</v>
      </c>
      <c r="DI150" s="93" cm="1">
        <f t="array" ref="DI150">SUMPRODUCT(TRANSPOSE(DI$4:DI$20),$G150:$W150)</f>
        <v>0</v>
      </c>
      <c r="DJ150" s="93" cm="1">
        <f t="array" ref="DJ150">SUMPRODUCT(TRANSPOSE(DJ$4:DJ$20),$G150:$W150)</f>
        <v>0</v>
      </c>
      <c r="DK150" s="93" cm="1">
        <f t="array" ref="DK150">SUMPRODUCT(TRANSPOSE(DK$4:DK$20),$G150:$W150)</f>
        <v>0</v>
      </c>
      <c r="DL150" s="93" cm="1">
        <f t="array" ref="DL150">SUMPRODUCT(TRANSPOSE(DL$4:DL$20),$G150:$W150)</f>
        <v>0</v>
      </c>
      <c r="DM150" s="93" cm="1">
        <f t="array" ref="DM150">SUMPRODUCT(TRANSPOSE(DM$4:DM$20),$G150:$W150)</f>
        <v>0</v>
      </c>
      <c r="DN150" s="93" cm="1">
        <f t="array" ref="DN150">SUMPRODUCT(TRANSPOSE(DN$4:DN$20),$G150:$W150)</f>
        <v>0</v>
      </c>
      <c r="DO150" s="93" cm="1">
        <f t="array" ref="DO150">SUMPRODUCT(TRANSPOSE(DO$4:DO$20),$G150:$W150)</f>
        <v>0</v>
      </c>
    </row>
    <row r="151" spans="1:119" x14ac:dyDescent="0.2">
      <c r="A151" s="47">
        <f t="shared" ref="A151:A214" si="28">A150+1</f>
        <v>130</v>
      </c>
      <c r="B151" s="46" t="s">
        <v>387</v>
      </c>
      <c r="C151" s="45">
        <v>417983155</v>
      </c>
      <c r="D151" s="45" t="s">
        <v>388</v>
      </c>
      <c r="E151" s="45" t="s">
        <v>162</v>
      </c>
      <c r="F151" s="48">
        <v>2</v>
      </c>
      <c r="G151" s="100">
        <v>0</v>
      </c>
      <c r="H151" s="100">
        <v>0</v>
      </c>
      <c r="I151" s="100">
        <v>0</v>
      </c>
      <c r="J151" s="100">
        <v>0</v>
      </c>
      <c r="K151" s="100">
        <v>0</v>
      </c>
      <c r="L151" s="100">
        <v>0</v>
      </c>
      <c r="M151" s="100">
        <v>0</v>
      </c>
      <c r="N151" s="100">
        <v>0</v>
      </c>
      <c r="O151" s="100">
        <v>0</v>
      </c>
      <c r="P151" s="100">
        <v>0</v>
      </c>
      <c r="Q151" s="100">
        <v>1</v>
      </c>
      <c r="R151" s="100">
        <v>0</v>
      </c>
      <c r="S151" s="100">
        <v>0</v>
      </c>
      <c r="T151" s="100">
        <v>0</v>
      </c>
      <c r="U151" s="100">
        <v>0</v>
      </c>
      <c r="V151" s="100">
        <v>0</v>
      </c>
      <c r="W151" s="100">
        <v>0</v>
      </c>
      <c r="X151" s="45" t="s">
        <v>8</v>
      </c>
      <c r="Y151" s="49">
        <v>0</v>
      </c>
      <c r="Z151" s="45">
        <v>668</v>
      </c>
      <c r="AA151" s="45">
        <v>0</v>
      </c>
      <c r="AB151" s="45">
        <v>0</v>
      </c>
      <c r="AC151" s="45">
        <v>0</v>
      </c>
      <c r="AD151" s="45">
        <v>0</v>
      </c>
      <c r="AE151" s="45">
        <v>0</v>
      </c>
      <c r="AF151" s="45">
        <v>0</v>
      </c>
      <c r="AG151" s="45">
        <v>0</v>
      </c>
      <c r="AH151" s="45">
        <v>0</v>
      </c>
      <c r="AI151" s="45">
        <v>0</v>
      </c>
      <c r="AJ151" s="45">
        <v>0</v>
      </c>
      <c r="AK151" s="45">
        <v>0</v>
      </c>
      <c r="AL151" s="45">
        <v>0</v>
      </c>
      <c r="AM151" s="45">
        <v>0</v>
      </c>
      <c r="AN151" s="45">
        <v>0</v>
      </c>
      <c r="AO151" s="45"/>
      <c r="AP151" s="45"/>
      <c r="AQ151" s="45"/>
      <c r="AR151" s="45"/>
      <c r="AS151" s="45"/>
      <c r="AT151" s="45"/>
      <c r="AU151" s="45"/>
      <c r="AV151" s="45"/>
      <c r="AW151" s="45"/>
      <c r="AX151" s="45"/>
      <c r="AY151" s="45"/>
      <c r="AZ151" s="45"/>
      <c r="BA151" s="45"/>
      <c r="BB151" s="45"/>
      <c r="BC151" s="45"/>
      <c r="BD151" s="93"/>
      <c r="BE151" s="93"/>
      <c r="BF151" s="93"/>
      <c r="BG151" s="93"/>
      <c r="BH151" s="93"/>
      <c r="BI151" s="93"/>
      <c r="BJ151" s="93"/>
      <c r="BK151" s="93">
        <f>SUM($Z151:AD151)-SUM($CM151:CQ151)</f>
        <v>633</v>
      </c>
      <c r="BL151" s="93">
        <f>SUM($Z151:AE151)-SUM($CM151:CR151)</f>
        <v>598</v>
      </c>
      <c r="BM151" s="93">
        <f>SUM($Z151:AF151)-SUM($CM151:CS151)</f>
        <v>563</v>
      </c>
      <c r="BN151" s="93">
        <f>SUM($Z151:AG151)-SUM($CM151:CT151)</f>
        <v>533</v>
      </c>
      <c r="BO151" s="93">
        <f>SUM($Z151:AH151)-SUM($CM151:CU151)</f>
        <v>503</v>
      </c>
      <c r="BP151" s="93">
        <f>SUM($Z151:AI151)-SUM($CM151:CV151)</f>
        <v>473</v>
      </c>
      <c r="BQ151" s="93">
        <f>SUM($Z151:AJ151)-SUM($CM151:CW151)</f>
        <v>443</v>
      </c>
      <c r="BR151" s="93">
        <f>SUM($Z151:AK151)-SUM($CM151:CX151)</f>
        <v>413</v>
      </c>
      <c r="BS151" s="93">
        <f>SUM($Z151:AL151)-SUM($CM151:CY151)</f>
        <v>383</v>
      </c>
      <c r="BT151" s="93">
        <f>SUM($Z151:AM151)-SUM($CM151:CZ151)</f>
        <v>353</v>
      </c>
      <c r="BU151" s="93">
        <f>SUM($Z151:AN151)-SUM($CM151:DA151)</f>
        <v>323</v>
      </c>
      <c r="BV151" s="93">
        <f>SUM($Z151:AO151)-SUM($CM151:DB151)</f>
        <v>309</v>
      </c>
      <c r="BW151" s="93">
        <f>SUM($Z151:AP151)-SUM($CM151:DC151)</f>
        <v>309</v>
      </c>
      <c r="BX151" s="93">
        <f>SUM($Z151:AQ151)-SUM($CM151:DD151)</f>
        <v>309</v>
      </c>
      <c r="BY151" s="93">
        <f>SUM($Z151:AR151)-SUM($CM151:DE151)</f>
        <v>309</v>
      </c>
      <c r="BZ151" s="93">
        <f>SUM($Z151:AS151)-SUM($CM151:DF151)</f>
        <v>309</v>
      </c>
      <c r="CA151" s="93">
        <f>SUM($Z151:AT151)-SUM($CM151:DG151)</f>
        <v>309</v>
      </c>
      <c r="CB151" s="93">
        <f>SUM($Z151:AU151)-SUM($CM151:DH151)</f>
        <v>309</v>
      </c>
      <c r="CC151" s="93">
        <f>SUM($Z151:AV151)-SUM($CM151:DI151)</f>
        <v>309</v>
      </c>
      <c r="CD151" s="93">
        <f>SUM($Z151:AW151)-SUM($CM151:DJ151)</f>
        <v>309</v>
      </c>
      <c r="CE151" s="93">
        <f>SUM($Z151:AX151)-SUM($CM151:DK151)</f>
        <v>309</v>
      </c>
      <c r="CF151" s="93">
        <f>SUM($Z151:AY151)-SUM($CM151:DL151)</f>
        <v>309</v>
      </c>
      <c r="CG151" s="93">
        <f>SUM($Z151:AZ151)-SUM($CM151:DM151)</f>
        <v>309</v>
      </c>
      <c r="CH151" s="93">
        <f>SUM($Z151:BA151)-SUM($CM151:DN151)</f>
        <v>309</v>
      </c>
      <c r="CI151" s="93">
        <f>SUM($Z151:BB151)-SUM($CM151:DO151)</f>
        <v>309</v>
      </c>
      <c r="CJ151" s="93"/>
      <c r="CK151" s="93"/>
      <c r="CL151" s="93"/>
      <c r="CM151" s="93"/>
      <c r="CN151" s="93" cm="1">
        <f t="array" ref="CN151">SUMPRODUCT(TRANSPOSE(CN$4:CN$20),$G151:$W151)</f>
        <v>0</v>
      </c>
      <c r="CO151" s="93" cm="1">
        <f t="array" ref="CO151">SUMPRODUCT(TRANSPOSE(CO$4:CO$20),$G151:$W151)</f>
        <v>0</v>
      </c>
      <c r="CP151" s="93" cm="1">
        <f t="array" ref="CP151">SUMPRODUCT(TRANSPOSE(CP$4:CP$20),$G151:$W151)</f>
        <v>0</v>
      </c>
      <c r="CQ151" s="93" cm="1">
        <f t="array" ref="CQ151">SUMPRODUCT(TRANSPOSE(CQ$4:CQ$20),$G151:$W151)</f>
        <v>35</v>
      </c>
      <c r="CR151" s="93" cm="1">
        <f t="array" ref="CR151">SUMPRODUCT(TRANSPOSE(CR$4:CR$20),$G151:$W151)</f>
        <v>35</v>
      </c>
      <c r="CS151" s="93" cm="1">
        <f t="array" ref="CS151">SUMPRODUCT(TRANSPOSE(CS$4:CS$20),$G151:$W151)</f>
        <v>35</v>
      </c>
      <c r="CT151" s="93" cm="1">
        <f t="array" ref="CT151">SUMPRODUCT(TRANSPOSE(CT$4:CT$20),$G151:$W151)</f>
        <v>30</v>
      </c>
      <c r="CU151" s="93" cm="1">
        <f t="array" ref="CU151">SUMPRODUCT(TRANSPOSE(CU$4:CU$20),$G151:$W151)</f>
        <v>30</v>
      </c>
      <c r="CV151" s="93" cm="1">
        <f t="array" ref="CV151">SUMPRODUCT(TRANSPOSE(CV$4:CV$20),$G151:$W151)</f>
        <v>30</v>
      </c>
      <c r="CW151" s="93" cm="1">
        <f t="array" ref="CW151">SUMPRODUCT(TRANSPOSE(CW$4:CW$20),$G151:$W151)</f>
        <v>30</v>
      </c>
      <c r="CX151" s="93" cm="1">
        <f t="array" ref="CX151">SUMPRODUCT(TRANSPOSE(CX$4:CX$20),$G151:$W151)</f>
        <v>30</v>
      </c>
      <c r="CY151" s="93" cm="1">
        <f t="array" ref="CY151">SUMPRODUCT(TRANSPOSE(CY$4:CY$20),$G151:$W151)</f>
        <v>30</v>
      </c>
      <c r="CZ151" s="93" cm="1">
        <f t="array" ref="CZ151">SUMPRODUCT(TRANSPOSE(CZ$4:CZ$20),$G151:$W151)</f>
        <v>30</v>
      </c>
      <c r="DA151" s="93" cm="1">
        <f t="array" ref="DA151">SUMPRODUCT(TRANSPOSE(DA$4:DA$20),$G151:$W151)</f>
        <v>30</v>
      </c>
      <c r="DB151" s="93" cm="1">
        <f t="array" ref="DB151">SUMPRODUCT(TRANSPOSE(DB$4:DB$20),$G151:$W151)</f>
        <v>14</v>
      </c>
      <c r="DC151" s="93" cm="1">
        <f t="array" ref="DC151">SUMPRODUCT(TRANSPOSE(DC$4:DC$20),$G151:$W151)</f>
        <v>0</v>
      </c>
      <c r="DD151" s="93" cm="1">
        <f t="array" ref="DD151">SUMPRODUCT(TRANSPOSE(DD$4:DD$20),$G151:$W151)</f>
        <v>0</v>
      </c>
      <c r="DE151" s="93" cm="1">
        <f t="array" ref="DE151">SUMPRODUCT(TRANSPOSE(DE$4:DE$20),$G151:$W151)</f>
        <v>0</v>
      </c>
      <c r="DF151" s="93" cm="1">
        <f t="array" ref="DF151">SUMPRODUCT(TRANSPOSE(DF$4:DF$20),$G151:$W151)</f>
        <v>0</v>
      </c>
      <c r="DG151" s="93" cm="1">
        <f t="array" ref="DG151">SUMPRODUCT(TRANSPOSE(DG$4:DG$20),$G151:$W151)</f>
        <v>0</v>
      </c>
      <c r="DH151" s="93" cm="1">
        <f t="array" ref="DH151">SUMPRODUCT(TRANSPOSE(DH$4:DH$20),$G151:$W151)</f>
        <v>0</v>
      </c>
      <c r="DI151" s="93" cm="1">
        <f t="array" ref="DI151">SUMPRODUCT(TRANSPOSE(DI$4:DI$20),$G151:$W151)</f>
        <v>0</v>
      </c>
      <c r="DJ151" s="93" cm="1">
        <f t="array" ref="DJ151">SUMPRODUCT(TRANSPOSE(DJ$4:DJ$20),$G151:$W151)</f>
        <v>0</v>
      </c>
      <c r="DK151" s="93" cm="1">
        <f t="array" ref="DK151">SUMPRODUCT(TRANSPOSE(DK$4:DK$20),$G151:$W151)</f>
        <v>0</v>
      </c>
      <c r="DL151" s="93" cm="1">
        <f t="array" ref="DL151">SUMPRODUCT(TRANSPOSE(DL$4:DL$20),$G151:$W151)</f>
        <v>0</v>
      </c>
      <c r="DM151" s="93" cm="1">
        <f t="array" ref="DM151">SUMPRODUCT(TRANSPOSE(DM$4:DM$20),$G151:$W151)</f>
        <v>0</v>
      </c>
      <c r="DN151" s="93" cm="1">
        <f t="array" ref="DN151">SUMPRODUCT(TRANSPOSE(DN$4:DN$20),$G151:$W151)</f>
        <v>0</v>
      </c>
      <c r="DO151" s="93" cm="1">
        <f t="array" ref="DO151">SUMPRODUCT(TRANSPOSE(DO$4:DO$20),$G151:$W151)</f>
        <v>0</v>
      </c>
    </row>
    <row r="152" spans="1:119" ht="13.35" customHeight="1" x14ac:dyDescent="0.2">
      <c r="A152" s="45">
        <f t="shared" si="28"/>
        <v>131</v>
      </c>
      <c r="B152" s="46" t="s">
        <v>389</v>
      </c>
      <c r="C152" s="45">
        <v>400252132</v>
      </c>
      <c r="D152" s="45" t="s">
        <v>390</v>
      </c>
      <c r="E152" s="45" t="s">
        <v>162</v>
      </c>
      <c r="F152" s="48">
        <v>2</v>
      </c>
      <c r="G152" s="100">
        <v>0</v>
      </c>
      <c r="H152" s="100">
        <v>0</v>
      </c>
      <c r="I152" s="100">
        <v>0</v>
      </c>
      <c r="J152" s="100">
        <v>0</v>
      </c>
      <c r="K152" s="100">
        <v>0</v>
      </c>
      <c r="L152" s="100">
        <v>0</v>
      </c>
      <c r="M152" s="100">
        <v>0</v>
      </c>
      <c r="N152" s="100">
        <v>0</v>
      </c>
      <c r="O152" s="100">
        <v>0</v>
      </c>
      <c r="P152" s="100">
        <v>0</v>
      </c>
      <c r="Q152" s="100">
        <v>0</v>
      </c>
      <c r="R152" s="100">
        <v>24</v>
      </c>
      <c r="S152" s="100">
        <v>0</v>
      </c>
      <c r="T152" s="100">
        <v>0</v>
      </c>
      <c r="U152" s="100">
        <v>0</v>
      </c>
      <c r="V152" s="100">
        <v>24</v>
      </c>
      <c r="W152" s="100">
        <v>0</v>
      </c>
      <c r="X152" s="45" t="s">
        <v>63</v>
      </c>
      <c r="Y152" s="49">
        <v>0.15680000000000002</v>
      </c>
      <c r="Z152" s="45">
        <v>27500</v>
      </c>
      <c r="AA152" s="45">
        <v>0</v>
      </c>
      <c r="AB152" s="45">
        <v>0</v>
      </c>
      <c r="AC152" s="45">
        <v>0</v>
      </c>
      <c r="AD152" s="45">
        <v>0</v>
      </c>
      <c r="AE152" s="45">
        <v>0</v>
      </c>
      <c r="AF152" s="45">
        <v>0</v>
      </c>
      <c r="AG152" s="45">
        <v>0</v>
      </c>
      <c r="AH152" s="45">
        <v>0</v>
      </c>
      <c r="AI152" s="45">
        <v>0</v>
      </c>
      <c r="AJ152" s="45">
        <v>0</v>
      </c>
      <c r="AK152" s="45">
        <v>0</v>
      </c>
      <c r="AL152" s="45">
        <v>0</v>
      </c>
      <c r="AM152" s="45">
        <v>0</v>
      </c>
      <c r="AN152" s="45">
        <v>0</v>
      </c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45"/>
      <c r="BD152" s="93"/>
      <c r="BE152" s="93"/>
      <c r="BF152" s="93"/>
      <c r="BG152" s="93"/>
      <c r="BH152" s="93"/>
      <c r="BI152" s="93"/>
      <c r="BJ152" s="93"/>
      <c r="BK152" s="93">
        <f>SUM($Z152:AD152)-SUM($CM152:CQ152)</f>
        <v>25820</v>
      </c>
      <c r="BL152" s="93">
        <f>SUM($Z152:AE152)-SUM($CM152:CR152)</f>
        <v>24140</v>
      </c>
      <c r="BM152" s="93">
        <f>SUM($Z152:AF152)-SUM($CM152:CS152)</f>
        <v>22460</v>
      </c>
      <c r="BN152" s="93">
        <f>SUM($Z152:AG152)-SUM($CM152:CT152)</f>
        <v>20780</v>
      </c>
      <c r="BO152" s="93">
        <f>SUM($Z152:AH152)-SUM($CM152:CU152)</f>
        <v>19100</v>
      </c>
      <c r="BP152" s="93">
        <f>SUM($Z152:AI152)-SUM($CM152:CV152)</f>
        <v>17420</v>
      </c>
      <c r="BQ152" s="93">
        <f>SUM($Z152:AJ152)-SUM($CM152:CW152)</f>
        <v>15740</v>
      </c>
      <c r="BR152" s="93">
        <f>SUM($Z152:AK152)-SUM($CM152:CX152)</f>
        <v>14060</v>
      </c>
      <c r="BS152" s="93">
        <f>SUM($Z152:AL152)-SUM($CM152:CY152)</f>
        <v>12380</v>
      </c>
      <c r="BT152" s="93">
        <f>SUM($Z152:AM152)-SUM($CM152:CZ152)</f>
        <v>11540</v>
      </c>
      <c r="BU152" s="93">
        <f>SUM($Z152:AN152)-SUM($CM152:DA152)</f>
        <v>11540</v>
      </c>
      <c r="BV152" s="93">
        <f>SUM($Z152:AO152)-SUM($CM152:DB152)</f>
        <v>11540</v>
      </c>
      <c r="BW152" s="93">
        <f>SUM($Z152:AP152)-SUM($CM152:DC152)</f>
        <v>11540</v>
      </c>
      <c r="BX152" s="93">
        <f>SUM($Z152:AQ152)-SUM($CM152:DD152)</f>
        <v>11540</v>
      </c>
      <c r="BY152" s="93">
        <f>SUM($Z152:AR152)-SUM($CM152:DE152)</f>
        <v>11540</v>
      </c>
      <c r="BZ152" s="93">
        <f>SUM($Z152:AS152)-SUM($CM152:DF152)</f>
        <v>11540</v>
      </c>
      <c r="CA152" s="93">
        <f>SUM($Z152:AT152)-SUM($CM152:DG152)</f>
        <v>11540</v>
      </c>
      <c r="CB152" s="93">
        <f>SUM($Z152:AU152)-SUM($CM152:DH152)</f>
        <v>11540</v>
      </c>
      <c r="CC152" s="93">
        <f>SUM($Z152:AV152)-SUM($CM152:DI152)</f>
        <v>11540</v>
      </c>
      <c r="CD152" s="93">
        <f>SUM($Z152:AW152)-SUM($CM152:DJ152)</f>
        <v>11540</v>
      </c>
      <c r="CE152" s="93">
        <f>SUM($Z152:AX152)-SUM($CM152:DK152)</f>
        <v>11540</v>
      </c>
      <c r="CF152" s="93">
        <f>SUM($Z152:AY152)-SUM($CM152:DL152)</f>
        <v>11540</v>
      </c>
      <c r="CG152" s="93">
        <f>SUM($Z152:AZ152)-SUM($CM152:DM152)</f>
        <v>11540</v>
      </c>
      <c r="CH152" s="93">
        <f>SUM($Z152:BA152)-SUM($CM152:DN152)</f>
        <v>11540</v>
      </c>
      <c r="CI152" s="93">
        <f>SUM($Z152:BB152)-SUM($CM152:DO152)</f>
        <v>11540</v>
      </c>
      <c r="CJ152" s="93"/>
      <c r="CK152" s="93"/>
      <c r="CL152" s="93"/>
      <c r="CM152" s="93"/>
      <c r="CN152" s="93" cm="1">
        <f t="array" ref="CN152">SUMPRODUCT(TRANSPOSE(CN$4:CN$20),$G152:$W152)</f>
        <v>0</v>
      </c>
      <c r="CO152" s="93" cm="1">
        <f t="array" ref="CO152">SUMPRODUCT(TRANSPOSE(CO$4:CO$20),$G152:$W152)</f>
        <v>0</v>
      </c>
      <c r="CP152" s="93" cm="1">
        <f t="array" ref="CP152">SUMPRODUCT(TRANSPOSE(CP$4:CP$20),$G152:$W152)</f>
        <v>0</v>
      </c>
      <c r="CQ152" s="93" cm="1">
        <f t="array" ref="CQ152">SUMPRODUCT(TRANSPOSE(CQ$4:CQ$20),$G152:$W152)</f>
        <v>1680</v>
      </c>
      <c r="CR152" s="93" cm="1">
        <f t="array" ref="CR152">SUMPRODUCT(TRANSPOSE(CR$4:CR$20),$G152:$W152)</f>
        <v>1680</v>
      </c>
      <c r="CS152" s="93" cm="1">
        <f t="array" ref="CS152">SUMPRODUCT(TRANSPOSE(CS$4:CS$20),$G152:$W152)</f>
        <v>1680</v>
      </c>
      <c r="CT152" s="93" cm="1">
        <f t="array" ref="CT152">SUMPRODUCT(TRANSPOSE(CT$4:CT$20),$G152:$W152)</f>
        <v>1680</v>
      </c>
      <c r="CU152" s="93" cm="1">
        <f t="array" ref="CU152">SUMPRODUCT(TRANSPOSE(CU$4:CU$20),$G152:$W152)</f>
        <v>1680</v>
      </c>
      <c r="CV152" s="93" cm="1">
        <f t="array" ref="CV152">SUMPRODUCT(TRANSPOSE(CV$4:CV$20),$G152:$W152)</f>
        <v>1680</v>
      </c>
      <c r="CW152" s="93" cm="1">
        <f t="array" ref="CW152">SUMPRODUCT(TRANSPOSE(CW$4:CW$20),$G152:$W152)</f>
        <v>1680</v>
      </c>
      <c r="CX152" s="93" cm="1">
        <f t="array" ref="CX152">SUMPRODUCT(TRANSPOSE(CX$4:CX$20),$G152:$W152)</f>
        <v>1680</v>
      </c>
      <c r="CY152" s="93" cm="1">
        <f t="array" ref="CY152">SUMPRODUCT(TRANSPOSE(CY$4:CY$20),$G152:$W152)</f>
        <v>1680</v>
      </c>
      <c r="CZ152" s="93" cm="1">
        <f t="array" ref="CZ152">SUMPRODUCT(TRANSPOSE(CZ$4:CZ$20),$G152:$W152)</f>
        <v>840</v>
      </c>
      <c r="DA152" s="93" cm="1">
        <f t="array" ref="DA152">SUMPRODUCT(TRANSPOSE(DA$4:DA$20),$G152:$W152)</f>
        <v>0</v>
      </c>
      <c r="DB152" s="93" cm="1">
        <f t="array" ref="DB152">SUMPRODUCT(TRANSPOSE(DB$4:DB$20),$G152:$W152)</f>
        <v>0</v>
      </c>
      <c r="DC152" s="93" cm="1">
        <f t="array" ref="DC152">SUMPRODUCT(TRANSPOSE(DC$4:DC$20),$G152:$W152)</f>
        <v>0</v>
      </c>
      <c r="DD152" s="93" cm="1">
        <f t="array" ref="DD152">SUMPRODUCT(TRANSPOSE(DD$4:DD$20),$G152:$W152)</f>
        <v>0</v>
      </c>
      <c r="DE152" s="93" cm="1">
        <f t="array" ref="DE152">SUMPRODUCT(TRANSPOSE(DE$4:DE$20),$G152:$W152)</f>
        <v>0</v>
      </c>
      <c r="DF152" s="93" cm="1">
        <f t="array" ref="DF152">SUMPRODUCT(TRANSPOSE(DF$4:DF$20),$G152:$W152)</f>
        <v>0</v>
      </c>
      <c r="DG152" s="93" cm="1">
        <f t="array" ref="DG152">SUMPRODUCT(TRANSPOSE(DG$4:DG$20),$G152:$W152)</f>
        <v>0</v>
      </c>
      <c r="DH152" s="93" cm="1">
        <f t="array" ref="DH152">SUMPRODUCT(TRANSPOSE(DH$4:DH$20),$G152:$W152)</f>
        <v>0</v>
      </c>
      <c r="DI152" s="93" cm="1">
        <f t="array" ref="DI152">SUMPRODUCT(TRANSPOSE(DI$4:DI$20),$G152:$W152)</f>
        <v>0</v>
      </c>
      <c r="DJ152" s="93" cm="1">
        <f t="array" ref="DJ152">SUMPRODUCT(TRANSPOSE(DJ$4:DJ$20),$G152:$W152)</f>
        <v>0</v>
      </c>
      <c r="DK152" s="93" cm="1">
        <f t="array" ref="DK152">SUMPRODUCT(TRANSPOSE(DK$4:DK$20),$G152:$W152)</f>
        <v>0</v>
      </c>
      <c r="DL152" s="93" cm="1">
        <f t="array" ref="DL152">SUMPRODUCT(TRANSPOSE(DL$4:DL$20),$G152:$W152)</f>
        <v>0</v>
      </c>
      <c r="DM152" s="93" cm="1">
        <f t="array" ref="DM152">SUMPRODUCT(TRANSPOSE(DM$4:DM$20),$G152:$W152)</f>
        <v>0</v>
      </c>
      <c r="DN152" s="93" cm="1">
        <f t="array" ref="DN152">SUMPRODUCT(TRANSPOSE(DN$4:DN$20),$G152:$W152)</f>
        <v>0</v>
      </c>
      <c r="DO152" s="93" cm="1">
        <f t="array" ref="DO152">SUMPRODUCT(TRANSPOSE(DO$4:DO$20),$G152:$W152)</f>
        <v>0</v>
      </c>
    </row>
    <row r="153" spans="1:119" x14ac:dyDescent="0.2">
      <c r="A153" s="45">
        <f t="shared" si="28"/>
        <v>132</v>
      </c>
      <c r="B153" s="46" t="s">
        <v>391</v>
      </c>
      <c r="C153" s="45">
        <v>400124756</v>
      </c>
      <c r="D153" s="45" t="s">
        <v>392</v>
      </c>
      <c r="E153" s="45" t="s">
        <v>162</v>
      </c>
      <c r="F153" s="48">
        <v>2</v>
      </c>
      <c r="G153" s="100">
        <v>0</v>
      </c>
      <c r="H153" s="100">
        <v>0</v>
      </c>
      <c r="I153" s="100">
        <v>0</v>
      </c>
      <c r="J153" s="100">
        <v>0</v>
      </c>
      <c r="K153" s="100">
        <v>0</v>
      </c>
      <c r="L153" s="100">
        <v>0</v>
      </c>
      <c r="M153" s="100">
        <v>0</v>
      </c>
      <c r="N153" s="100">
        <v>0</v>
      </c>
      <c r="O153" s="100">
        <v>0</v>
      </c>
      <c r="P153" s="100">
        <v>0</v>
      </c>
      <c r="Q153" s="100">
        <v>0</v>
      </c>
      <c r="R153" s="100">
        <v>5</v>
      </c>
      <c r="S153" s="100">
        <v>0</v>
      </c>
      <c r="T153" s="100">
        <v>0</v>
      </c>
      <c r="U153" s="100">
        <v>0</v>
      </c>
      <c r="V153" s="100">
        <v>5</v>
      </c>
      <c r="W153" s="100">
        <v>0</v>
      </c>
      <c r="X153" s="45" t="s">
        <v>63</v>
      </c>
      <c r="Y153" s="49">
        <v>0.38300000000000001</v>
      </c>
      <c r="Z153" s="45">
        <v>7500</v>
      </c>
      <c r="AA153" s="45">
        <v>0</v>
      </c>
      <c r="AB153" s="45">
        <v>0</v>
      </c>
      <c r="AC153" s="45">
        <v>0</v>
      </c>
      <c r="AD153" s="45">
        <v>0</v>
      </c>
      <c r="AE153" s="45">
        <v>0</v>
      </c>
      <c r="AF153" s="45">
        <v>0</v>
      </c>
      <c r="AG153" s="45">
        <v>0</v>
      </c>
      <c r="AH153" s="45">
        <v>0</v>
      </c>
      <c r="AI153" s="45">
        <v>0</v>
      </c>
      <c r="AJ153" s="45">
        <v>0</v>
      </c>
      <c r="AK153" s="45">
        <v>0</v>
      </c>
      <c r="AL153" s="45">
        <v>0</v>
      </c>
      <c r="AM153" s="45">
        <v>0</v>
      </c>
      <c r="AN153" s="45">
        <v>0</v>
      </c>
      <c r="AO153" s="45"/>
      <c r="AP153" s="45"/>
      <c r="AQ153" s="45"/>
      <c r="AR153" s="45"/>
      <c r="AS153" s="45"/>
      <c r="AT153" s="45"/>
      <c r="AU153" s="45"/>
      <c r="AV153" s="45"/>
      <c r="AW153" s="45"/>
      <c r="AX153" s="45"/>
      <c r="AY153" s="45"/>
      <c r="AZ153" s="45"/>
      <c r="BA153" s="45"/>
      <c r="BB153" s="45"/>
      <c r="BC153" s="45"/>
      <c r="BD153" s="93"/>
      <c r="BE153" s="93"/>
      <c r="BF153" s="93"/>
      <c r="BG153" s="93"/>
      <c r="BH153" s="93"/>
      <c r="BI153" s="93"/>
      <c r="BJ153" s="93"/>
      <c r="BK153" s="93">
        <f>SUM($Z153:AD153)-SUM($CM153:CQ153)</f>
        <v>7150</v>
      </c>
      <c r="BL153" s="93">
        <f>SUM($Z153:AE153)-SUM($CM153:CR153)</f>
        <v>6800</v>
      </c>
      <c r="BM153" s="93">
        <f>SUM($Z153:AF153)-SUM($CM153:CS153)</f>
        <v>6450</v>
      </c>
      <c r="BN153" s="93">
        <f>SUM($Z153:AG153)-SUM($CM153:CT153)</f>
        <v>6100</v>
      </c>
      <c r="BO153" s="93">
        <f>SUM($Z153:AH153)-SUM($CM153:CU153)</f>
        <v>5750</v>
      </c>
      <c r="BP153" s="93">
        <f>SUM($Z153:AI153)-SUM($CM153:CV153)</f>
        <v>5400</v>
      </c>
      <c r="BQ153" s="93">
        <f>SUM($Z153:AJ153)-SUM($CM153:CW153)</f>
        <v>5050</v>
      </c>
      <c r="BR153" s="93">
        <f>SUM($Z153:AK153)-SUM($CM153:CX153)</f>
        <v>4700</v>
      </c>
      <c r="BS153" s="93">
        <f>SUM($Z153:AL153)-SUM($CM153:CY153)</f>
        <v>4350</v>
      </c>
      <c r="BT153" s="93">
        <f>SUM($Z153:AM153)-SUM($CM153:CZ153)</f>
        <v>4175</v>
      </c>
      <c r="BU153" s="93">
        <f>SUM($Z153:AN153)-SUM($CM153:DA153)</f>
        <v>4175</v>
      </c>
      <c r="BV153" s="93">
        <f>SUM($Z153:AO153)-SUM($CM153:DB153)</f>
        <v>4175</v>
      </c>
      <c r="BW153" s="93">
        <f>SUM($Z153:AP153)-SUM($CM153:DC153)</f>
        <v>4175</v>
      </c>
      <c r="BX153" s="93">
        <f>SUM($Z153:AQ153)-SUM($CM153:DD153)</f>
        <v>4175</v>
      </c>
      <c r="BY153" s="93">
        <f>SUM($Z153:AR153)-SUM($CM153:DE153)</f>
        <v>4175</v>
      </c>
      <c r="BZ153" s="93">
        <f>SUM($Z153:AS153)-SUM($CM153:DF153)</f>
        <v>4175</v>
      </c>
      <c r="CA153" s="93">
        <f>SUM($Z153:AT153)-SUM($CM153:DG153)</f>
        <v>4175</v>
      </c>
      <c r="CB153" s="93">
        <f>SUM($Z153:AU153)-SUM($CM153:DH153)</f>
        <v>4175</v>
      </c>
      <c r="CC153" s="93">
        <f>SUM($Z153:AV153)-SUM($CM153:DI153)</f>
        <v>4175</v>
      </c>
      <c r="CD153" s="93">
        <f>SUM($Z153:AW153)-SUM($CM153:DJ153)</f>
        <v>4175</v>
      </c>
      <c r="CE153" s="93">
        <f>SUM($Z153:AX153)-SUM($CM153:DK153)</f>
        <v>4175</v>
      </c>
      <c r="CF153" s="93">
        <f>SUM($Z153:AY153)-SUM($CM153:DL153)</f>
        <v>4175</v>
      </c>
      <c r="CG153" s="93">
        <f>SUM($Z153:AZ153)-SUM($CM153:DM153)</f>
        <v>4175</v>
      </c>
      <c r="CH153" s="93">
        <f>SUM($Z153:BA153)-SUM($CM153:DN153)</f>
        <v>4175</v>
      </c>
      <c r="CI153" s="93">
        <f>SUM($Z153:BB153)-SUM($CM153:DO153)</f>
        <v>4175</v>
      </c>
      <c r="CJ153" s="93"/>
      <c r="CK153" s="93"/>
      <c r="CL153" s="93"/>
      <c r="CM153" s="93"/>
      <c r="CN153" s="93" cm="1">
        <f t="array" ref="CN153">SUMPRODUCT(TRANSPOSE(CN$4:CN$20),$G153:$W153)</f>
        <v>0</v>
      </c>
      <c r="CO153" s="93" cm="1">
        <f t="array" ref="CO153">SUMPRODUCT(TRANSPOSE(CO$4:CO$20),$G153:$W153)</f>
        <v>0</v>
      </c>
      <c r="CP153" s="93" cm="1">
        <f t="array" ref="CP153">SUMPRODUCT(TRANSPOSE(CP$4:CP$20),$G153:$W153)</f>
        <v>0</v>
      </c>
      <c r="CQ153" s="93" cm="1">
        <f t="array" ref="CQ153">SUMPRODUCT(TRANSPOSE(CQ$4:CQ$20),$G153:$W153)</f>
        <v>350</v>
      </c>
      <c r="CR153" s="93" cm="1">
        <f t="array" ref="CR153">SUMPRODUCT(TRANSPOSE(CR$4:CR$20),$G153:$W153)</f>
        <v>350</v>
      </c>
      <c r="CS153" s="93" cm="1">
        <f t="array" ref="CS153">SUMPRODUCT(TRANSPOSE(CS$4:CS$20),$G153:$W153)</f>
        <v>350</v>
      </c>
      <c r="CT153" s="93" cm="1">
        <f t="array" ref="CT153">SUMPRODUCT(TRANSPOSE(CT$4:CT$20),$G153:$W153)</f>
        <v>350</v>
      </c>
      <c r="CU153" s="93" cm="1">
        <f t="array" ref="CU153">SUMPRODUCT(TRANSPOSE(CU$4:CU$20),$G153:$W153)</f>
        <v>350</v>
      </c>
      <c r="CV153" s="93" cm="1">
        <f t="array" ref="CV153">SUMPRODUCT(TRANSPOSE(CV$4:CV$20),$G153:$W153)</f>
        <v>350</v>
      </c>
      <c r="CW153" s="93" cm="1">
        <f t="array" ref="CW153">SUMPRODUCT(TRANSPOSE(CW$4:CW$20),$G153:$W153)</f>
        <v>350</v>
      </c>
      <c r="CX153" s="93" cm="1">
        <f t="array" ref="CX153">SUMPRODUCT(TRANSPOSE(CX$4:CX$20),$G153:$W153)</f>
        <v>350</v>
      </c>
      <c r="CY153" s="93" cm="1">
        <f t="array" ref="CY153">SUMPRODUCT(TRANSPOSE(CY$4:CY$20),$G153:$W153)</f>
        <v>350</v>
      </c>
      <c r="CZ153" s="93" cm="1">
        <f t="array" ref="CZ153">SUMPRODUCT(TRANSPOSE(CZ$4:CZ$20),$G153:$W153)</f>
        <v>175</v>
      </c>
      <c r="DA153" s="93" cm="1">
        <f t="array" ref="DA153">SUMPRODUCT(TRANSPOSE(DA$4:DA$20),$G153:$W153)</f>
        <v>0</v>
      </c>
      <c r="DB153" s="93" cm="1">
        <f t="array" ref="DB153">SUMPRODUCT(TRANSPOSE(DB$4:DB$20),$G153:$W153)</f>
        <v>0</v>
      </c>
      <c r="DC153" s="93" cm="1">
        <f t="array" ref="DC153">SUMPRODUCT(TRANSPOSE(DC$4:DC$20),$G153:$W153)</f>
        <v>0</v>
      </c>
      <c r="DD153" s="93" cm="1">
        <f t="array" ref="DD153">SUMPRODUCT(TRANSPOSE(DD$4:DD$20),$G153:$W153)</f>
        <v>0</v>
      </c>
      <c r="DE153" s="93" cm="1">
        <f t="array" ref="DE153">SUMPRODUCT(TRANSPOSE(DE$4:DE$20),$G153:$W153)</f>
        <v>0</v>
      </c>
      <c r="DF153" s="93" cm="1">
        <f t="array" ref="DF153">SUMPRODUCT(TRANSPOSE(DF$4:DF$20),$G153:$W153)</f>
        <v>0</v>
      </c>
      <c r="DG153" s="93" cm="1">
        <f t="array" ref="DG153">SUMPRODUCT(TRANSPOSE(DG$4:DG$20),$G153:$W153)</f>
        <v>0</v>
      </c>
      <c r="DH153" s="93" cm="1">
        <f t="array" ref="DH153">SUMPRODUCT(TRANSPOSE(DH$4:DH$20),$G153:$W153)</f>
        <v>0</v>
      </c>
      <c r="DI153" s="93" cm="1">
        <f t="array" ref="DI153">SUMPRODUCT(TRANSPOSE(DI$4:DI$20),$G153:$W153)</f>
        <v>0</v>
      </c>
      <c r="DJ153" s="93" cm="1">
        <f t="array" ref="DJ153">SUMPRODUCT(TRANSPOSE(DJ$4:DJ$20),$G153:$W153)</f>
        <v>0</v>
      </c>
      <c r="DK153" s="93" cm="1">
        <f t="array" ref="DK153">SUMPRODUCT(TRANSPOSE(DK$4:DK$20),$G153:$W153)</f>
        <v>0</v>
      </c>
      <c r="DL153" s="93" cm="1">
        <f t="array" ref="DL153">SUMPRODUCT(TRANSPOSE(DL$4:DL$20),$G153:$W153)</f>
        <v>0</v>
      </c>
      <c r="DM153" s="93" cm="1">
        <f t="array" ref="DM153">SUMPRODUCT(TRANSPOSE(DM$4:DM$20),$G153:$W153)</f>
        <v>0</v>
      </c>
      <c r="DN153" s="93" cm="1">
        <f t="array" ref="DN153">SUMPRODUCT(TRANSPOSE(DN$4:DN$20),$G153:$W153)</f>
        <v>0</v>
      </c>
      <c r="DO153" s="93" cm="1">
        <f t="array" ref="DO153">SUMPRODUCT(TRANSPOSE(DO$4:DO$20),$G153:$W153)</f>
        <v>0</v>
      </c>
    </row>
    <row r="154" spans="1:119" x14ac:dyDescent="0.2">
      <c r="A154" s="45">
        <f t="shared" si="28"/>
        <v>133</v>
      </c>
      <c r="B154" s="46" t="s">
        <v>393</v>
      </c>
      <c r="C154" s="45">
        <v>401317900</v>
      </c>
      <c r="D154" s="45" t="s">
        <v>394</v>
      </c>
      <c r="E154" s="45" t="s">
        <v>191</v>
      </c>
      <c r="F154" s="48">
        <v>2</v>
      </c>
      <c r="G154" s="100">
        <v>0</v>
      </c>
      <c r="H154" s="100">
        <v>0</v>
      </c>
      <c r="I154" s="100">
        <v>0</v>
      </c>
      <c r="J154" s="100">
        <v>0</v>
      </c>
      <c r="K154" s="100">
        <v>0</v>
      </c>
      <c r="L154" s="100">
        <v>0</v>
      </c>
      <c r="M154" s="100">
        <v>0</v>
      </c>
      <c r="N154" s="100">
        <v>0</v>
      </c>
      <c r="O154" s="100">
        <v>2.5000000000000001E-2</v>
      </c>
      <c r="P154" s="100">
        <v>0</v>
      </c>
      <c r="Q154" s="100">
        <v>0</v>
      </c>
      <c r="R154" s="100">
        <v>0</v>
      </c>
      <c r="S154" s="100">
        <v>2.5000000000000001E-2</v>
      </c>
      <c r="T154" s="100">
        <v>0</v>
      </c>
      <c r="U154" s="100">
        <v>0</v>
      </c>
      <c r="V154" s="100">
        <v>0</v>
      </c>
      <c r="W154" s="100">
        <v>0</v>
      </c>
      <c r="X154" s="45" t="s">
        <v>41</v>
      </c>
      <c r="Y154" s="49">
        <v>24.98</v>
      </c>
      <c r="Z154" s="45">
        <v>0</v>
      </c>
      <c r="AA154" s="45">
        <v>0</v>
      </c>
      <c r="AB154" s="45">
        <v>0</v>
      </c>
      <c r="AC154" s="45">
        <v>0</v>
      </c>
      <c r="AD154" s="45">
        <v>0</v>
      </c>
      <c r="AE154" s="45">
        <v>0</v>
      </c>
      <c r="AF154" s="45">
        <v>0</v>
      </c>
      <c r="AG154" s="45">
        <v>0</v>
      </c>
      <c r="AH154" s="45">
        <v>0</v>
      </c>
      <c r="AI154" s="45">
        <v>0</v>
      </c>
      <c r="AJ154" s="45">
        <v>0</v>
      </c>
      <c r="AK154" s="45">
        <v>0</v>
      </c>
      <c r="AL154" s="45">
        <v>0</v>
      </c>
      <c r="AM154" s="45">
        <v>0</v>
      </c>
      <c r="AN154" s="45">
        <v>0</v>
      </c>
      <c r="AO154" s="45"/>
      <c r="AP154" s="45"/>
      <c r="AQ154" s="45"/>
      <c r="AR154" s="45"/>
      <c r="AS154" s="45"/>
      <c r="AT154" s="45"/>
      <c r="AU154" s="45"/>
      <c r="AV154" s="45"/>
      <c r="AW154" s="45"/>
      <c r="AX154" s="45"/>
      <c r="AY154" s="45"/>
      <c r="AZ154" s="45"/>
      <c r="BA154" s="45"/>
      <c r="BB154" s="45"/>
      <c r="BC154" s="45"/>
      <c r="BD154" s="93"/>
      <c r="BE154" s="93"/>
      <c r="BF154" s="93"/>
      <c r="BG154" s="93"/>
      <c r="BH154" s="93"/>
      <c r="BI154" s="93"/>
      <c r="BJ154" s="93"/>
      <c r="BK154" s="93">
        <f>SUM($Z154:AD154)-SUM($CM154:CQ154)</f>
        <v>-1.95</v>
      </c>
      <c r="BL154" s="93">
        <f>SUM($Z154:AE154)-SUM($CM154:CR154)</f>
        <v>-3.7</v>
      </c>
      <c r="BM154" s="93">
        <f>SUM($Z154:AF154)-SUM($CM154:CS154)</f>
        <v>-5.3250000000000002</v>
      </c>
      <c r="BN154" s="93">
        <f>SUM($Z154:AG154)-SUM($CM154:CT154)</f>
        <v>-6.8250000000000002</v>
      </c>
      <c r="BO154" s="93">
        <f>SUM($Z154:AH154)-SUM($CM154:CU154)</f>
        <v>-8.3249999999999993</v>
      </c>
      <c r="BP154" s="93">
        <f>SUM($Z154:AI154)-SUM($CM154:CV154)</f>
        <v>-9.8249999999999993</v>
      </c>
      <c r="BQ154" s="93">
        <f>SUM($Z154:AJ154)-SUM($CM154:CW154)</f>
        <v>-11.324999999999999</v>
      </c>
      <c r="BR154" s="93">
        <f>SUM($Z154:AK154)-SUM($CM154:CX154)</f>
        <v>-12.824999999999999</v>
      </c>
      <c r="BS154" s="93">
        <f>SUM($Z154:AL154)-SUM($CM154:CY154)</f>
        <v>-14.324999999999999</v>
      </c>
      <c r="BT154" s="93">
        <f>SUM($Z154:AM154)-SUM($CM154:CZ154)</f>
        <v>-15.824999999999999</v>
      </c>
      <c r="BU154" s="93">
        <f>SUM($Z154:AN154)-SUM($CM154:DA154)</f>
        <v>-17.324999999999999</v>
      </c>
      <c r="BV154" s="93">
        <f>SUM($Z154:AO154)-SUM($CM154:DB154)</f>
        <v>-17.675000000000001</v>
      </c>
      <c r="BW154" s="93">
        <f>SUM($Z154:AP154)-SUM($CM154:DC154)</f>
        <v>-17.675000000000001</v>
      </c>
      <c r="BX154" s="93">
        <f>SUM($Z154:AQ154)-SUM($CM154:DD154)</f>
        <v>-17.675000000000001</v>
      </c>
      <c r="BY154" s="93">
        <f>SUM($Z154:AR154)-SUM($CM154:DE154)</f>
        <v>-17.675000000000001</v>
      </c>
      <c r="BZ154" s="93">
        <f>SUM($Z154:AS154)-SUM($CM154:DF154)</f>
        <v>-17.675000000000001</v>
      </c>
      <c r="CA154" s="93">
        <f>SUM($Z154:AT154)-SUM($CM154:DG154)</f>
        <v>-17.675000000000001</v>
      </c>
      <c r="CB154" s="93">
        <f>SUM($Z154:AU154)-SUM($CM154:DH154)</f>
        <v>-17.675000000000001</v>
      </c>
      <c r="CC154" s="93">
        <f>SUM($Z154:AV154)-SUM($CM154:DI154)</f>
        <v>-17.675000000000001</v>
      </c>
      <c r="CD154" s="93">
        <f>SUM($Z154:AW154)-SUM($CM154:DJ154)</f>
        <v>-17.675000000000001</v>
      </c>
      <c r="CE154" s="93">
        <f>SUM($Z154:AX154)-SUM($CM154:DK154)</f>
        <v>-17.675000000000001</v>
      </c>
      <c r="CF154" s="93">
        <f>SUM($Z154:AY154)-SUM($CM154:DL154)</f>
        <v>-17.675000000000001</v>
      </c>
      <c r="CG154" s="93">
        <f>SUM($Z154:AZ154)-SUM($CM154:DM154)</f>
        <v>-17.675000000000001</v>
      </c>
      <c r="CH154" s="93">
        <f>SUM($Z154:BA154)-SUM($CM154:DN154)</f>
        <v>-17.675000000000001</v>
      </c>
      <c r="CI154" s="93">
        <f>SUM($Z154:BB154)-SUM($CM154:DO154)</f>
        <v>-17.675000000000001</v>
      </c>
      <c r="CJ154" s="93"/>
      <c r="CK154" s="93"/>
      <c r="CL154" s="93"/>
      <c r="CM154" s="93"/>
      <c r="CN154" s="93" cm="1">
        <f t="array" ref="CN154">SUMPRODUCT(TRANSPOSE(CN$4:CN$20),$G154:$W154)</f>
        <v>0</v>
      </c>
      <c r="CO154" s="93" cm="1">
        <f t="array" ref="CO154">SUMPRODUCT(TRANSPOSE(CO$4:CO$20),$G154:$W154)</f>
        <v>0</v>
      </c>
      <c r="CP154" s="93" cm="1">
        <f t="array" ref="CP154">SUMPRODUCT(TRANSPOSE(CP$4:CP$20),$G154:$W154)</f>
        <v>0</v>
      </c>
      <c r="CQ154" s="93" cm="1">
        <f t="array" ref="CQ154">SUMPRODUCT(TRANSPOSE(CQ$4:CQ$20),$G154:$W154)</f>
        <v>1.95</v>
      </c>
      <c r="CR154" s="93" cm="1">
        <f t="array" ref="CR154">SUMPRODUCT(TRANSPOSE(CR$4:CR$20),$G154:$W154)</f>
        <v>1.75</v>
      </c>
      <c r="CS154" s="93" cm="1">
        <f t="array" ref="CS154">SUMPRODUCT(TRANSPOSE(CS$4:CS$20),$G154:$W154)</f>
        <v>1.625</v>
      </c>
      <c r="CT154" s="93" cm="1">
        <f t="array" ref="CT154">SUMPRODUCT(TRANSPOSE(CT$4:CT$20),$G154:$W154)</f>
        <v>1.5</v>
      </c>
      <c r="CU154" s="93" cm="1">
        <f t="array" ref="CU154">SUMPRODUCT(TRANSPOSE(CU$4:CU$20),$G154:$W154)</f>
        <v>1.5</v>
      </c>
      <c r="CV154" s="93" cm="1">
        <f t="array" ref="CV154">SUMPRODUCT(TRANSPOSE(CV$4:CV$20),$G154:$W154)</f>
        <v>1.5</v>
      </c>
      <c r="CW154" s="93" cm="1">
        <f t="array" ref="CW154">SUMPRODUCT(TRANSPOSE(CW$4:CW$20),$G154:$W154)</f>
        <v>1.5</v>
      </c>
      <c r="CX154" s="93" cm="1">
        <f t="array" ref="CX154">SUMPRODUCT(TRANSPOSE(CX$4:CX$20),$G154:$W154)</f>
        <v>1.5</v>
      </c>
      <c r="CY154" s="93" cm="1">
        <f t="array" ref="CY154">SUMPRODUCT(TRANSPOSE(CY$4:CY$20),$G154:$W154)</f>
        <v>1.5</v>
      </c>
      <c r="CZ154" s="93" cm="1">
        <f t="array" ref="CZ154">SUMPRODUCT(TRANSPOSE(CZ$4:CZ$20),$G154:$W154)</f>
        <v>1.5</v>
      </c>
      <c r="DA154" s="93" cm="1">
        <f t="array" ref="DA154">SUMPRODUCT(TRANSPOSE(DA$4:DA$20),$G154:$W154)</f>
        <v>1.5</v>
      </c>
      <c r="DB154" s="93" cm="1">
        <f t="array" ref="DB154">SUMPRODUCT(TRANSPOSE(DB$4:DB$20),$G154:$W154)</f>
        <v>0.35000000000000003</v>
      </c>
      <c r="DC154" s="93" cm="1">
        <f t="array" ref="DC154">SUMPRODUCT(TRANSPOSE(DC$4:DC$20),$G154:$W154)</f>
        <v>0</v>
      </c>
      <c r="DD154" s="93" cm="1">
        <f t="array" ref="DD154">SUMPRODUCT(TRANSPOSE(DD$4:DD$20),$G154:$W154)</f>
        <v>0</v>
      </c>
      <c r="DE154" s="93" cm="1">
        <f t="array" ref="DE154">SUMPRODUCT(TRANSPOSE(DE$4:DE$20),$G154:$W154)</f>
        <v>0</v>
      </c>
      <c r="DF154" s="93" cm="1">
        <f t="array" ref="DF154">SUMPRODUCT(TRANSPOSE(DF$4:DF$20),$G154:$W154)</f>
        <v>0</v>
      </c>
      <c r="DG154" s="93" cm="1">
        <f t="array" ref="DG154">SUMPRODUCT(TRANSPOSE(DG$4:DG$20),$G154:$W154)</f>
        <v>0</v>
      </c>
      <c r="DH154" s="93" cm="1">
        <f t="array" ref="DH154">SUMPRODUCT(TRANSPOSE(DH$4:DH$20),$G154:$W154)</f>
        <v>0</v>
      </c>
      <c r="DI154" s="93" cm="1">
        <f t="array" ref="DI154">SUMPRODUCT(TRANSPOSE(DI$4:DI$20),$G154:$W154)</f>
        <v>0</v>
      </c>
      <c r="DJ154" s="93" cm="1">
        <f t="array" ref="DJ154">SUMPRODUCT(TRANSPOSE(DJ$4:DJ$20),$G154:$W154)</f>
        <v>0</v>
      </c>
      <c r="DK154" s="93" cm="1">
        <f t="array" ref="DK154">SUMPRODUCT(TRANSPOSE(DK$4:DK$20),$G154:$W154)</f>
        <v>0</v>
      </c>
      <c r="DL154" s="93" cm="1">
        <f t="array" ref="DL154">SUMPRODUCT(TRANSPOSE(DL$4:DL$20),$G154:$W154)</f>
        <v>0</v>
      </c>
      <c r="DM154" s="93" cm="1">
        <f t="array" ref="DM154">SUMPRODUCT(TRANSPOSE(DM$4:DM$20),$G154:$W154)</f>
        <v>0</v>
      </c>
      <c r="DN154" s="93" cm="1">
        <f t="array" ref="DN154">SUMPRODUCT(TRANSPOSE(DN$4:DN$20),$G154:$W154)</f>
        <v>0</v>
      </c>
      <c r="DO154" s="93" cm="1">
        <f t="array" ref="DO154">SUMPRODUCT(TRANSPOSE(DO$4:DO$20),$G154:$W154)</f>
        <v>0</v>
      </c>
    </row>
    <row r="155" spans="1:119" x14ac:dyDescent="0.2">
      <c r="A155" s="45">
        <f t="shared" si="28"/>
        <v>134</v>
      </c>
      <c r="B155" s="46" t="s">
        <v>395</v>
      </c>
      <c r="C155" s="45">
        <v>400493201</v>
      </c>
      <c r="D155" s="45" t="s">
        <v>396</v>
      </c>
      <c r="E155" s="45" t="s">
        <v>162</v>
      </c>
      <c r="F155" s="48">
        <v>2</v>
      </c>
      <c r="G155" s="100">
        <v>0</v>
      </c>
      <c r="H155" s="100">
        <v>0</v>
      </c>
      <c r="I155" s="100">
        <v>0</v>
      </c>
      <c r="J155" s="100">
        <v>0</v>
      </c>
      <c r="K155" s="100">
        <v>0</v>
      </c>
      <c r="L155" s="100">
        <v>0</v>
      </c>
      <c r="M155" s="100">
        <v>0</v>
      </c>
      <c r="N155" s="100">
        <v>0</v>
      </c>
      <c r="O155" s="100">
        <v>0</v>
      </c>
      <c r="P155" s="100">
        <v>0</v>
      </c>
      <c r="Q155" s="100">
        <v>0</v>
      </c>
      <c r="R155" s="100">
        <v>0</v>
      </c>
      <c r="S155" s="100">
        <v>0</v>
      </c>
      <c r="T155" s="100">
        <v>0</v>
      </c>
      <c r="U155" s="100">
        <v>0</v>
      </c>
      <c r="V155" s="100">
        <v>0</v>
      </c>
      <c r="W155" s="100">
        <v>16</v>
      </c>
      <c r="X155" s="45" t="s">
        <v>24</v>
      </c>
      <c r="Y155" s="49">
        <v>0.39</v>
      </c>
      <c r="Z155" s="45">
        <v>3250</v>
      </c>
      <c r="AA155" s="45">
        <v>0</v>
      </c>
      <c r="AB155" s="45">
        <v>0</v>
      </c>
      <c r="AC155" s="45">
        <v>0</v>
      </c>
      <c r="AD155" s="45">
        <v>0</v>
      </c>
      <c r="AE155" s="45">
        <v>0</v>
      </c>
      <c r="AF155" s="45">
        <v>0</v>
      </c>
      <c r="AG155" s="45">
        <v>0</v>
      </c>
      <c r="AH155" s="45">
        <v>0</v>
      </c>
      <c r="AI155" s="45">
        <v>0</v>
      </c>
      <c r="AJ155" s="45">
        <v>0</v>
      </c>
      <c r="AK155" s="45">
        <v>0</v>
      </c>
      <c r="AL155" s="45">
        <v>0</v>
      </c>
      <c r="AM155" s="45">
        <v>0</v>
      </c>
      <c r="AN155" s="45">
        <v>0</v>
      </c>
      <c r="AO155" s="45"/>
      <c r="AP155" s="45"/>
      <c r="AQ155" s="45"/>
      <c r="AR155" s="45"/>
      <c r="AS155" s="45"/>
      <c r="AT155" s="45"/>
      <c r="AU155" s="45"/>
      <c r="AV155" s="45"/>
      <c r="AW155" s="45"/>
      <c r="AX155" s="45"/>
      <c r="AY155" s="45"/>
      <c r="AZ155" s="45"/>
      <c r="BA155" s="45"/>
      <c r="BB155" s="45"/>
      <c r="BC155" s="45"/>
      <c r="BD155" s="93"/>
      <c r="BE155" s="93"/>
      <c r="BF155" s="93"/>
      <c r="BG155" s="93"/>
      <c r="BH155" s="93"/>
      <c r="BI155" s="93"/>
      <c r="BJ155" s="93"/>
      <c r="BK155" s="93">
        <f>SUM($Z155:AD155)-SUM($CM155:CQ155)</f>
        <v>2994</v>
      </c>
      <c r="BL155" s="93">
        <f>SUM($Z155:AE155)-SUM($CM155:CR155)</f>
        <v>2738</v>
      </c>
      <c r="BM155" s="93">
        <f>SUM($Z155:AF155)-SUM($CM155:CS155)</f>
        <v>2482</v>
      </c>
      <c r="BN155" s="93">
        <f>SUM($Z155:AG155)-SUM($CM155:CT155)</f>
        <v>2226</v>
      </c>
      <c r="BO155" s="93">
        <f>SUM($Z155:AH155)-SUM($CM155:CU155)</f>
        <v>1970</v>
      </c>
      <c r="BP155" s="93">
        <f>SUM($Z155:AI155)-SUM($CM155:CV155)</f>
        <v>1714</v>
      </c>
      <c r="BQ155" s="93">
        <f>SUM($Z155:AJ155)-SUM($CM155:CW155)</f>
        <v>1458</v>
      </c>
      <c r="BR155" s="93">
        <f>SUM($Z155:AK155)-SUM($CM155:CX155)</f>
        <v>1202</v>
      </c>
      <c r="BS155" s="93">
        <f>SUM($Z155:AL155)-SUM($CM155:CY155)</f>
        <v>1202</v>
      </c>
      <c r="BT155" s="93">
        <f>SUM($Z155:AM155)-SUM($CM155:CZ155)</f>
        <v>1202</v>
      </c>
      <c r="BU155" s="93">
        <f>SUM($Z155:AN155)-SUM($CM155:DA155)</f>
        <v>1202</v>
      </c>
      <c r="BV155" s="93">
        <f>SUM($Z155:AO155)-SUM($CM155:DB155)</f>
        <v>1202</v>
      </c>
      <c r="BW155" s="93">
        <f>SUM($Z155:AP155)-SUM($CM155:DC155)</f>
        <v>1202</v>
      </c>
      <c r="BX155" s="93">
        <f>SUM($Z155:AQ155)-SUM($CM155:DD155)</f>
        <v>1202</v>
      </c>
      <c r="BY155" s="93">
        <f>SUM($Z155:AR155)-SUM($CM155:DE155)</f>
        <v>1202</v>
      </c>
      <c r="BZ155" s="93">
        <f>SUM($Z155:AS155)-SUM($CM155:DF155)</f>
        <v>1202</v>
      </c>
      <c r="CA155" s="93">
        <f>SUM($Z155:AT155)-SUM($CM155:DG155)</f>
        <v>1202</v>
      </c>
      <c r="CB155" s="93">
        <f>SUM($Z155:AU155)-SUM($CM155:DH155)</f>
        <v>1202</v>
      </c>
      <c r="CC155" s="93">
        <f>SUM($Z155:AV155)-SUM($CM155:DI155)</f>
        <v>1202</v>
      </c>
      <c r="CD155" s="93">
        <f>SUM($Z155:AW155)-SUM($CM155:DJ155)</f>
        <v>1202</v>
      </c>
      <c r="CE155" s="93">
        <f>SUM($Z155:AX155)-SUM($CM155:DK155)</f>
        <v>1202</v>
      </c>
      <c r="CF155" s="93">
        <f>SUM($Z155:AY155)-SUM($CM155:DL155)</f>
        <v>1202</v>
      </c>
      <c r="CG155" s="93">
        <f>SUM($Z155:AZ155)-SUM($CM155:DM155)</f>
        <v>1202</v>
      </c>
      <c r="CH155" s="93">
        <f>SUM($Z155:BA155)-SUM($CM155:DN155)</f>
        <v>1202</v>
      </c>
      <c r="CI155" s="93">
        <f>SUM($Z155:BB155)-SUM($CM155:DO155)</f>
        <v>1202</v>
      </c>
      <c r="CJ155" s="93"/>
      <c r="CK155" s="93"/>
      <c r="CL155" s="93"/>
      <c r="CM155" s="93"/>
      <c r="CN155" s="93" cm="1">
        <f t="array" ref="CN155">SUMPRODUCT(TRANSPOSE(CN$4:CN$20),$G155:$W155)</f>
        <v>0</v>
      </c>
      <c r="CO155" s="93" cm="1">
        <f t="array" ref="CO155">SUMPRODUCT(TRANSPOSE(CO$4:CO$20),$G155:$W155)</f>
        <v>0</v>
      </c>
      <c r="CP155" s="93" cm="1">
        <f t="array" ref="CP155">SUMPRODUCT(TRANSPOSE(CP$4:CP$20),$G155:$W155)</f>
        <v>0</v>
      </c>
      <c r="CQ155" s="93" cm="1">
        <f t="array" ref="CQ155">SUMPRODUCT(TRANSPOSE(CQ$4:CQ$20),$G155:$W155)</f>
        <v>256</v>
      </c>
      <c r="CR155" s="93" cm="1">
        <f t="array" ref="CR155">SUMPRODUCT(TRANSPOSE(CR$4:CR$20),$G155:$W155)</f>
        <v>256</v>
      </c>
      <c r="CS155" s="93" cm="1">
        <f t="array" ref="CS155">SUMPRODUCT(TRANSPOSE(CS$4:CS$20),$G155:$W155)</f>
        <v>256</v>
      </c>
      <c r="CT155" s="93" cm="1">
        <f t="array" ref="CT155">SUMPRODUCT(TRANSPOSE(CT$4:CT$20),$G155:$W155)</f>
        <v>256</v>
      </c>
      <c r="CU155" s="93" cm="1">
        <f t="array" ref="CU155">SUMPRODUCT(TRANSPOSE(CU$4:CU$20),$G155:$W155)</f>
        <v>256</v>
      </c>
      <c r="CV155" s="93" cm="1">
        <f t="array" ref="CV155">SUMPRODUCT(TRANSPOSE(CV$4:CV$20),$G155:$W155)</f>
        <v>256</v>
      </c>
      <c r="CW155" s="93" cm="1">
        <f t="array" ref="CW155">SUMPRODUCT(TRANSPOSE(CW$4:CW$20),$G155:$W155)</f>
        <v>256</v>
      </c>
      <c r="CX155" s="93" cm="1">
        <f t="array" ref="CX155">SUMPRODUCT(TRANSPOSE(CX$4:CX$20),$G155:$W155)</f>
        <v>256</v>
      </c>
      <c r="CY155" s="93" cm="1">
        <f t="array" ref="CY155">SUMPRODUCT(TRANSPOSE(CY$4:CY$20),$G155:$W155)</f>
        <v>0</v>
      </c>
      <c r="CZ155" s="93" cm="1">
        <f t="array" ref="CZ155">SUMPRODUCT(TRANSPOSE(CZ$4:CZ$20),$G155:$W155)</f>
        <v>0</v>
      </c>
      <c r="DA155" s="93" cm="1">
        <f t="array" ref="DA155">SUMPRODUCT(TRANSPOSE(DA$4:DA$20),$G155:$W155)</f>
        <v>0</v>
      </c>
      <c r="DB155" s="93" cm="1">
        <f t="array" ref="DB155">SUMPRODUCT(TRANSPOSE(DB$4:DB$20),$G155:$W155)</f>
        <v>0</v>
      </c>
      <c r="DC155" s="93" cm="1">
        <f t="array" ref="DC155">SUMPRODUCT(TRANSPOSE(DC$4:DC$20),$G155:$W155)</f>
        <v>0</v>
      </c>
      <c r="DD155" s="93" cm="1">
        <f t="array" ref="DD155">SUMPRODUCT(TRANSPOSE(DD$4:DD$20),$G155:$W155)</f>
        <v>0</v>
      </c>
      <c r="DE155" s="93" cm="1">
        <f t="array" ref="DE155">SUMPRODUCT(TRANSPOSE(DE$4:DE$20),$G155:$W155)</f>
        <v>0</v>
      </c>
      <c r="DF155" s="93" cm="1">
        <f t="array" ref="DF155">SUMPRODUCT(TRANSPOSE(DF$4:DF$20),$G155:$W155)</f>
        <v>0</v>
      </c>
      <c r="DG155" s="93" cm="1">
        <f t="array" ref="DG155">SUMPRODUCT(TRANSPOSE(DG$4:DG$20),$G155:$W155)</f>
        <v>0</v>
      </c>
      <c r="DH155" s="93" cm="1">
        <f t="array" ref="DH155">SUMPRODUCT(TRANSPOSE(DH$4:DH$20),$G155:$W155)</f>
        <v>0</v>
      </c>
      <c r="DI155" s="93" cm="1">
        <f t="array" ref="DI155">SUMPRODUCT(TRANSPOSE(DI$4:DI$20),$G155:$W155)</f>
        <v>0</v>
      </c>
      <c r="DJ155" s="93" cm="1">
        <f t="array" ref="DJ155">SUMPRODUCT(TRANSPOSE(DJ$4:DJ$20),$G155:$W155)</f>
        <v>0</v>
      </c>
      <c r="DK155" s="93" cm="1">
        <f t="array" ref="DK155">SUMPRODUCT(TRANSPOSE(DK$4:DK$20),$G155:$W155)</f>
        <v>0</v>
      </c>
      <c r="DL155" s="93" cm="1">
        <f t="array" ref="DL155">SUMPRODUCT(TRANSPOSE(DL$4:DL$20),$G155:$W155)</f>
        <v>0</v>
      </c>
      <c r="DM155" s="93" cm="1">
        <f t="array" ref="DM155">SUMPRODUCT(TRANSPOSE(DM$4:DM$20),$G155:$W155)</f>
        <v>0</v>
      </c>
      <c r="DN155" s="93" cm="1">
        <f t="array" ref="DN155">SUMPRODUCT(TRANSPOSE(DN$4:DN$20),$G155:$W155)</f>
        <v>0</v>
      </c>
      <c r="DO155" s="93" cm="1">
        <f t="array" ref="DO155">SUMPRODUCT(TRANSPOSE(DO$4:DO$20),$G155:$W155)</f>
        <v>0</v>
      </c>
    </row>
    <row r="156" spans="1:119" x14ac:dyDescent="0.2">
      <c r="A156" s="45">
        <f t="shared" si="28"/>
        <v>135</v>
      </c>
      <c r="B156" s="46" t="s">
        <v>397</v>
      </c>
      <c r="C156" s="45">
        <v>401387650</v>
      </c>
      <c r="D156" s="45" t="s">
        <v>398</v>
      </c>
      <c r="E156" s="45" t="s">
        <v>162</v>
      </c>
      <c r="F156" s="48">
        <v>2</v>
      </c>
      <c r="G156" s="100">
        <v>0</v>
      </c>
      <c r="H156" s="100">
        <v>0</v>
      </c>
      <c r="I156" s="100">
        <v>0</v>
      </c>
      <c r="J156" s="100">
        <v>0</v>
      </c>
      <c r="K156" s="100">
        <v>0</v>
      </c>
      <c r="L156" s="100">
        <v>0</v>
      </c>
      <c r="M156" s="100">
        <v>0</v>
      </c>
      <c r="N156" s="100">
        <v>0</v>
      </c>
      <c r="O156" s="100">
        <v>0</v>
      </c>
      <c r="P156" s="100">
        <v>0</v>
      </c>
      <c r="Q156" s="100">
        <v>0</v>
      </c>
      <c r="R156" s="100">
        <v>1</v>
      </c>
      <c r="S156" s="100">
        <v>0</v>
      </c>
      <c r="T156" s="100">
        <v>0</v>
      </c>
      <c r="U156" s="100">
        <v>0</v>
      </c>
      <c r="V156" s="100">
        <v>1</v>
      </c>
      <c r="W156" s="100">
        <v>0</v>
      </c>
      <c r="X156" s="45" t="s">
        <v>21</v>
      </c>
      <c r="Y156" s="49">
        <v>1.6171</v>
      </c>
      <c r="Z156" s="45">
        <v>1100</v>
      </c>
      <c r="AA156" s="45">
        <v>0</v>
      </c>
      <c r="AB156" s="45">
        <v>0</v>
      </c>
      <c r="AC156" s="45">
        <v>0</v>
      </c>
      <c r="AD156" s="45">
        <v>0</v>
      </c>
      <c r="AE156" s="45">
        <v>0</v>
      </c>
      <c r="AF156" s="45">
        <v>0</v>
      </c>
      <c r="AG156" s="45">
        <v>0</v>
      </c>
      <c r="AH156" s="45">
        <v>0</v>
      </c>
      <c r="AI156" s="45">
        <v>0</v>
      </c>
      <c r="AJ156" s="45">
        <v>0</v>
      </c>
      <c r="AK156" s="45">
        <v>0</v>
      </c>
      <c r="AL156" s="45">
        <v>0</v>
      </c>
      <c r="AM156" s="45">
        <v>0</v>
      </c>
      <c r="AN156" s="45">
        <v>0</v>
      </c>
      <c r="AO156" s="45"/>
      <c r="AP156" s="45"/>
      <c r="AQ156" s="45"/>
      <c r="AR156" s="45"/>
      <c r="AS156" s="45"/>
      <c r="AT156" s="45"/>
      <c r="AU156" s="45"/>
      <c r="AV156" s="45"/>
      <c r="AW156" s="45"/>
      <c r="AX156" s="45"/>
      <c r="AY156" s="45"/>
      <c r="AZ156" s="45"/>
      <c r="BA156" s="45"/>
      <c r="BB156" s="45"/>
      <c r="BC156" s="45"/>
      <c r="BD156" s="93"/>
      <c r="BE156" s="93"/>
      <c r="BF156" s="93"/>
      <c r="BG156" s="93"/>
      <c r="BH156" s="93"/>
      <c r="BI156" s="93"/>
      <c r="BJ156" s="93"/>
      <c r="BK156" s="93">
        <f>SUM($Z156:AD156)-SUM($CM156:CQ156)</f>
        <v>1030</v>
      </c>
      <c r="BL156" s="93">
        <f>SUM($Z156:AE156)-SUM($CM156:CR156)</f>
        <v>960</v>
      </c>
      <c r="BM156" s="93">
        <f>SUM($Z156:AF156)-SUM($CM156:CS156)</f>
        <v>890</v>
      </c>
      <c r="BN156" s="93">
        <f>SUM($Z156:AG156)-SUM($CM156:CT156)</f>
        <v>820</v>
      </c>
      <c r="BO156" s="93">
        <f>SUM($Z156:AH156)-SUM($CM156:CU156)</f>
        <v>750</v>
      </c>
      <c r="BP156" s="93">
        <f>SUM($Z156:AI156)-SUM($CM156:CV156)</f>
        <v>680</v>
      </c>
      <c r="BQ156" s="93">
        <f>SUM($Z156:AJ156)-SUM($CM156:CW156)</f>
        <v>610</v>
      </c>
      <c r="BR156" s="93">
        <f>SUM($Z156:AK156)-SUM($CM156:CX156)</f>
        <v>540</v>
      </c>
      <c r="BS156" s="93">
        <f>SUM($Z156:AL156)-SUM($CM156:CY156)</f>
        <v>470</v>
      </c>
      <c r="BT156" s="93">
        <f>SUM($Z156:AM156)-SUM($CM156:CZ156)</f>
        <v>435</v>
      </c>
      <c r="BU156" s="93">
        <f>SUM($Z156:AN156)-SUM($CM156:DA156)</f>
        <v>435</v>
      </c>
      <c r="BV156" s="93">
        <f>SUM($Z156:AO156)-SUM($CM156:DB156)</f>
        <v>435</v>
      </c>
      <c r="BW156" s="93">
        <f>SUM($Z156:AP156)-SUM($CM156:DC156)</f>
        <v>435</v>
      </c>
      <c r="BX156" s="93">
        <f>SUM($Z156:AQ156)-SUM($CM156:DD156)</f>
        <v>435</v>
      </c>
      <c r="BY156" s="93">
        <f>SUM($Z156:AR156)-SUM($CM156:DE156)</f>
        <v>435</v>
      </c>
      <c r="BZ156" s="93">
        <f>SUM($Z156:AS156)-SUM($CM156:DF156)</f>
        <v>435</v>
      </c>
      <c r="CA156" s="93">
        <f>SUM($Z156:AT156)-SUM($CM156:DG156)</f>
        <v>435</v>
      </c>
      <c r="CB156" s="93">
        <f>SUM($Z156:AU156)-SUM($CM156:DH156)</f>
        <v>435</v>
      </c>
      <c r="CC156" s="93">
        <f>SUM($Z156:AV156)-SUM($CM156:DI156)</f>
        <v>435</v>
      </c>
      <c r="CD156" s="93">
        <f>SUM($Z156:AW156)-SUM($CM156:DJ156)</f>
        <v>435</v>
      </c>
      <c r="CE156" s="93">
        <f>SUM($Z156:AX156)-SUM($CM156:DK156)</f>
        <v>435</v>
      </c>
      <c r="CF156" s="93">
        <f>SUM($Z156:AY156)-SUM($CM156:DL156)</f>
        <v>435</v>
      </c>
      <c r="CG156" s="93">
        <f>SUM($Z156:AZ156)-SUM($CM156:DM156)</f>
        <v>435</v>
      </c>
      <c r="CH156" s="93">
        <f>SUM($Z156:BA156)-SUM($CM156:DN156)</f>
        <v>435</v>
      </c>
      <c r="CI156" s="93">
        <f>SUM($Z156:BB156)-SUM($CM156:DO156)</f>
        <v>435</v>
      </c>
      <c r="CJ156" s="93"/>
      <c r="CK156" s="93"/>
      <c r="CL156" s="93"/>
      <c r="CM156" s="93"/>
      <c r="CN156" s="93" cm="1">
        <f t="array" ref="CN156">SUMPRODUCT(TRANSPOSE(CN$4:CN$20),$G156:$W156)</f>
        <v>0</v>
      </c>
      <c r="CO156" s="93" cm="1">
        <f t="array" ref="CO156">SUMPRODUCT(TRANSPOSE(CO$4:CO$20),$G156:$W156)</f>
        <v>0</v>
      </c>
      <c r="CP156" s="93" cm="1">
        <f t="array" ref="CP156">SUMPRODUCT(TRANSPOSE(CP$4:CP$20),$G156:$W156)</f>
        <v>0</v>
      </c>
      <c r="CQ156" s="93" cm="1">
        <f t="array" ref="CQ156">SUMPRODUCT(TRANSPOSE(CQ$4:CQ$20),$G156:$W156)</f>
        <v>70</v>
      </c>
      <c r="CR156" s="93" cm="1">
        <f t="array" ref="CR156">SUMPRODUCT(TRANSPOSE(CR$4:CR$20),$G156:$W156)</f>
        <v>70</v>
      </c>
      <c r="CS156" s="93" cm="1">
        <f t="array" ref="CS156">SUMPRODUCT(TRANSPOSE(CS$4:CS$20),$G156:$W156)</f>
        <v>70</v>
      </c>
      <c r="CT156" s="93" cm="1">
        <f t="array" ref="CT156">SUMPRODUCT(TRANSPOSE(CT$4:CT$20),$G156:$W156)</f>
        <v>70</v>
      </c>
      <c r="CU156" s="93" cm="1">
        <f t="array" ref="CU156">SUMPRODUCT(TRANSPOSE(CU$4:CU$20),$G156:$W156)</f>
        <v>70</v>
      </c>
      <c r="CV156" s="93" cm="1">
        <f t="array" ref="CV156">SUMPRODUCT(TRANSPOSE(CV$4:CV$20),$G156:$W156)</f>
        <v>70</v>
      </c>
      <c r="CW156" s="93" cm="1">
        <f t="array" ref="CW156">SUMPRODUCT(TRANSPOSE(CW$4:CW$20),$G156:$W156)</f>
        <v>70</v>
      </c>
      <c r="CX156" s="93" cm="1">
        <f t="array" ref="CX156">SUMPRODUCT(TRANSPOSE(CX$4:CX$20),$G156:$W156)</f>
        <v>70</v>
      </c>
      <c r="CY156" s="93" cm="1">
        <f t="array" ref="CY156">SUMPRODUCT(TRANSPOSE(CY$4:CY$20),$G156:$W156)</f>
        <v>70</v>
      </c>
      <c r="CZ156" s="93" cm="1">
        <f t="array" ref="CZ156">SUMPRODUCT(TRANSPOSE(CZ$4:CZ$20),$G156:$W156)</f>
        <v>35</v>
      </c>
      <c r="DA156" s="93" cm="1">
        <f t="array" ref="DA156">SUMPRODUCT(TRANSPOSE(DA$4:DA$20),$G156:$W156)</f>
        <v>0</v>
      </c>
      <c r="DB156" s="93" cm="1">
        <f t="array" ref="DB156">SUMPRODUCT(TRANSPOSE(DB$4:DB$20),$G156:$W156)</f>
        <v>0</v>
      </c>
      <c r="DC156" s="93" cm="1">
        <f t="array" ref="DC156">SUMPRODUCT(TRANSPOSE(DC$4:DC$20),$G156:$W156)</f>
        <v>0</v>
      </c>
      <c r="DD156" s="93" cm="1">
        <f t="array" ref="DD156">SUMPRODUCT(TRANSPOSE(DD$4:DD$20),$G156:$W156)</f>
        <v>0</v>
      </c>
      <c r="DE156" s="93" cm="1">
        <f t="array" ref="DE156">SUMPRODUCT(TRANSPOSE(DE$4:DE$20),$G156:$W156)</f>
        <v>0</v>
      </c>
      <c r="DF156" s="93" cm="1">
        <f t="array" ref="DF156">SUMPRODUCT(TRANSPOSE(DF$4:DF$20),$G156:$W156)</f>
        <v>0</v>
      </c>
      <c r="DG156" s="93" cm="1">
        <f t="array" ref="DG156">SUMPRODUCT(TRANSPOSE(DG$4:DG$20),$G156:$W156)</f>
        <v>0</v>
      </c>
      <c r="DH156" s="93" cm="1">
        <f t="array" ref="DH156">SUMPRODUCT(TRANSPOSE(DH$4:DH$20),$G156:$W156)</f>
        <v>0</v>
      </c>
      <c r="DI156" s="93" cm="1">
        <f t="array" ref="DI156">SUMPRODUCT(TRANSPOSE(DI$4:DI$20),$G156:$W156)</f>
        <v>0</v>
      </c>
      <c r="DJ156" s="93" cm="1">
        <f t="array" ref="DJ156">SUMPRODUCT(TRANSPOSE(DJ$4:DJ$20),$G156:$W156)</f>
        <v>0</v>
      </c>
      <c r="DK156" s="93" cm="1">
        <f t="array" ref="DK156">SUMPRODUCT(TRANSPOSE(DK$4:DK$20),$G156:$W156)</f>
        <v>0</v>
      </c>
      <c r="DL156" s="93" cm="1">
        <f t="array" ref="DL156">SUMPRODUCT(TRANSPOSE(DL$4:DL$20),$G156:$W156)</f>
        <v>0</v>
      </c>
      <c r="DM156" s="93" cm="1">
        <f t="array" ref="DM156">SUMPRODUCT(TRANSPOSE(DM$4:DM$20),$G156:$W156)</f>
        <v>0</v>
      </c>
      <c r="DN156" s="93" cm="1">
        <f t="array" ref="DN156">SUMPRODUCT(TRANSPOSE(DN$4:DN$20),$G156:$W156)</f>
        <v>0</v>
      </c>
      <c r="DO156" s="93" cm="1">
        <f t="array" ref="DO156">SUMPRODUCT(TRANSPOSE(DO$4:DO$20),$G156:$W156)</f>
        <v>0</v>
      </c>
    </row>
    <row r="157" spans="1:119" x14ac:dyDescent="0.2">
      <c r="A157" s="45">
        <f t="shared" si="28"/>
        <v>136</v>
      </c>
      <c r="B157" s="46" t="s">
        <v>399</v>
      </c>
      <c r="C157" s="45">
        <v>732191549</v>
      </c>
      <c r="D157" s="45" t="s">
        <v>400</v>
      </c>
      <c r="E157" s="45" t="s">
        <v>191</v>
      </c>
      <c r="F157" s="48">
        <v>1</v>
      </c>
      <c r="G157" s="100">
        <v>0</v>
      </c>
      <c r="H157" s="100">
        <v>0</v>
      </c>
      <c r="I157" s="100">
        <v>0</v>
      </c>
      <c r="J157" s="100">
        <v>0</v>
      </c>
      <c r="K157" s="100">
        <v>0</v>
      </c>
      <c r="L157" s="100">
        <v>0</v>
      </c>
      <c r="M157" s="100">
        <v>0</v>
      </c>
      <c r="N157" s="100">
        <v>0</v>
      </c>
      <c r="O157" s="100">
        <v>0</v>
      </c>
      <c r="P157" s="100">
        <v>0</v>
      </c>
      <c r="Q157" s="100">
        <v>0</v>
      </c>
      <c r="R157" s="100">
        <v>0</v>
      </c>
      <c r="S157" s="100">
        <v>0</v>
      </c>
      <c r="T157" s="100">
        <v>0</v>
      </c>
      <c r="U157" s="100">
        <v>0</v>
      </c>
      <c r="V157" s="100">
        <v>0</v>
      </c>
      <c r="W157" s="100">
        <v>0.05</v>
      </c>
      <c r="X157" s="45" t="s">
        <v>6</v>
      </c>
      <c r="Y157" s="49">
        <v>0</v>
      </c>
      <c r="Z157" s="45">
        <v>0</v>
      </c>
      <c r="AA157" s="45">
        <v>0</v>
      </c>
      <c r="AB157" s="45">
        <v>0</v>
      </c>
      <c r="AC157" s="45">
        <v>0</v>
      </c>
      <c r="AD157" s="45">
        <v>0</v>
      </c>
      <c r="AE157" s="45">
        <v>0</v>
      </c>
      <c r="AF157" s="45">
        <v>0</v>
      </c>
      <c r="AG157" s="45">
        <v>0</v>
      </c>
      <c r="AH157" s="45">
        <v>0</v>
      </c>
      <c r="AI157" s="45">
        <v>0</v>
      </c>
      <c r="AJ157" s="45">
        <v>0</v>
      </c>
      <c r="AK157" s="45">
        <v>0</v>
      </c>
      <c r="AL157" s="45">
        <v>0</v>
      </c>
      <c r="AM157" s="45">
        <v>0</v>
      </c>
      <c r="AN157" s="45">
        <v>0</v>
      </c>
      <c r="AO157" s="45"/>
      <c r="AP157" s="45"/>
      <c r="AQ157" s="45"/>
      <c r="AR157" s="45"/>
      <c r="AS157" s="45"/>
      <c r="AT157" s="45"/>
      <c r="AU157" s="45"/>
      <c r="AV157" s="45"/>
      <c r="AW157" s="45"/>
      <c r="AX157" s="45"/>
      <c r="AY157" s="45"/>
      <c r="AZ157" s="45"/>
      <c r="BA157" s="45"/>
      <c r="BB157" s="45"/>
      <c r="BC157" s="45"/>
      <c r="BD157" s="93"/>
      <c r="BE157" s="93"/>
      <c r="BF157" s="93"/>
      <c r="BG157" s="93"/>
      <c r="BH157" s="93"/>
      <c r="BI157" s="93"/>
      <c r="BJ157" s="93"/>
      <c r="BK157" s="93">
        <f>SUM($Z157:AD157)-SUM($CM157:CQ157)</f>
        <v>-0.8</v>
      </c>
      <c r="BL157" s="93">
        <f>SUM($Z157:AE157)-SUM($CM157:CR157)</f>
        <v>-1.6</v>
      </c>
      <c r="BM157" s="93">
        <f>SUM($Z157:AF157)-SUM($CM157:CS157)</f>
        <v>-2.4000000000000004</v>
      </c>
      <c r="BN157" s="93">
        <f>SUM($Z157:AG157)-SUM($CM157:CT157)</f>
        <v>-3.2</v>
      </c>
      <c r="BO157" s="93">
        <f>SUM($Z157:AH157)-SUM($CM157:CU157)</f>
        <v>-4</v>
      </c>
      <c r="BP157" s="93">
        <f>SUM($Z157:AI157)-SUM($CM157:CV157)</f>
        <v>-4.8</v>
      </c>
      <c r="BQ157" s="93">
        <f>SUM($Z157:AJ157)-SUM($CM157:CW157)</f>
        <v>-5.6</v>
      </c>
      <c r="BR157" s="93">
        <f>SUM($Z157:AK157)-SUM($CM157:CX157)</f>
        <v>-6.3999999999999995</v>
      </c>
      <c r="BS157" s="93">
        <f>SUM($Z157:AL157)-SUM($CM157:CY157)</f>
        <v>-6.3999999999999995</v>
      </c>
      <c r="BT157" s="93">
        <f>SUM($Z157:AM157)-SUM($CM157:CZ157)</f>
        <v>-6.3999999999999995</v>
      </c>
      <c r="BU157" s="93">
        <f>SUM($Z157:AN157)-SUM($CM157:DA157)</f>
        <v>-6.3999999999999995</v>
      </c>
      <c r="BV157" s="93">
        <f>SUM($Z157:AO157)-SUM($CM157:DB157)</f>
        <v>-6.3999999999999995</v>
      </c>
      <c r="BW157" s="93">
        <f>SUM($Z157:AP157)-SUM($CM157:DC157)</f>
        <v>-6.3999999999999995</v>
      </c>
      <c r="BX157" s="93">
        <f>SUM($Z157:AQ157)-SUM($CM157:DD157)</f>
        <v>-6.3999999999999995</v>
      </c>
      <c r="BY157" s="93">
        <f>SUM($Z157:AR157)-SUM($CM157:DE157)</f>
        <v>-6.3999999999999995</v>
      </c>
      <c r="BZ157" s="93">
        <f>SUM($Z157:AS157)-SUM($CM157:DF157)</f>
        <v>-6.3999999999999995</v>
      </c>
      <c r="CA157" s="93">
        <f>SUM($Z157:AT157)-SUM($CM157:DG157)</f>
        <v>-6.3999999999999995</v>
      </c>
      <c r="CB157" s="93">
        <f>SUM($Z157:AU157)-SUM($CM157:DH157)</f>
        <v>-6.3999999999999995</v>
      </c>
      <c r="CC157" s="93">
        <f>SUM($Z157:AV157)-SUM($CM157:DI157)</f>
        <v>-6.3999999999999995</v>
      </c>
      <c r="CD157" s="93">
        <f>SUM($Z157:AW157)-SUM($CM157:DJ157)</f>
        <v>-6.3999999999999995</v>
      </c>
      <c r="CE157" s="93">
        <f>SUM($Z157:AX157)-SUM($CM157:DK157)</f>
        <v>-6.3999999999999995</v>
      </c>
      <c r="CF157" s="93">
        <f>SUM($Z157:AY157)-SUM($CM157:DL157)</f>
        <v>-6.3999999999999995</v>
      </c>
      <c r="CG157" s="93">
        <f>SUM($Z157:AZ157)-SUM($CM157:DM157)</f>
        <v>-6.3999999999999995</v>
      </c>
      <c r="CH157" s="93">
        <f>SUM($Z157:BA157)-SUM($CM157:DN157)</f>
        <v>-6.3999999999999995</v>
      </c>
      <c r="CI157" s="93">
        <f>SUM($Z157:BB157)-SUM($CM157:DO157)</f>
        <v>-6.3999999999999995</v>
      </c>
      <c r="CJ157" s="93"/>
      <c r="CK157" s="93"/>
      <c r="CL157" s="93"/>
      <c r="CM157" s="93"/>
      <c r="CN157" s="93" cm="1">
        <f t="array" ref="CN157">SUMPRODUCT(TRANSPOSE(CN$4:CN$20),$G157:$W157)</f>
        <v>0</v>
      </c>
      <c r="CO157" s="93" cm="1">
        <f t="array" ref="CO157">SUMPRODUCT(TRANSPOSE(CO$4:CO$20),$G157:$W157)</f>
        <v>0</v>
      </c>
      <c r="CP157" s="93" cm="1">
        <f t="array" ref="CP157">SUMPRODUCT(TRANSPOSE(CP$4:CP$20),$G157:$W157)</f>
        <v>0</v>
      </c>
      <c r="CQ157" s="93" cm="1">
        <f t="array" ref="CQ157">SUMPRODUCT(TRANSPOSE(CQ$4:CQ$20),$G157:$W157)</f>
        <v>0.8</v>
      </c>
      <c r="CR157" s="93" cm="1">
        <f t="array" ref="CR157">SUMPRODUCT(TRANSPOSE(CR$4:CR$20),$G157:$W157)</f>
        <v>0.8</v>
      </c>
      <c r="CS157" s="93" cm="1">
        <f t="array" ref="CS157">SUMPRODUCT(TRANSPOSE(CS$4:CS$20),$G157:$W157)</f>
        <v>0.8</v>
      </c>
      <c r="CT157" s="93" cm="1">
        <f t="array" ref="CT157">SUMPRODUCT(TRANSPOSE(CT$4:CT$20),$G157:$W157)</f>
        <v>0.8</v>
      </c>
      <c r="CU157" s="93" cm="1">
        <f t="array" ref="CU157">SUMPRODUCT(TRANSPOSE(CU$4:CU$20),$G157:$W157)</f>
        <v>0.8</v>
      </c>
      <c r="CV157" s="93" cm="1">
        <f t="array" ref="CV157">SUMPRODUCT(TRANSPOSE(CV$4:CV$20),$G157:$W157)</f>
        <v>0.8</v>
      </c>
      <c r="CW157" s="93" cm="1">
        <f t="array" ref="CW157">SUMPRODUCT(TRANSPOSE(CW$4:CW$20),$G157:$W157)</f>
        <v>0.8</v>
      </c>
      <c r="CX157" s="93" cm="1">
        <f t="array" ref="CX157">SUMPRODUCT(TRANSPOSE(CX$4:CX$20),$G157:$W157)</f>
        <v>0.8</v>
      </c>
      <c r="CY157" s="93" cm="1">
        <f t="array" ref="CY157">SUMPRODUCT(TRANSPOSE(CY$4:CY$20),$G157:$W157)</f>
        <v>0</v>
      </c>
      <c r="CZ157" s="93" cm="1">
        <f t="array" ref="CZ157">SUMPRODUCT(TRANSPOSE(CZ$4:CZ$20),$G157:$W157)</f>
        <v>0</v>
      </c>
      <c r="DA157" s="93" cm="1">
        <f t="array" ref="DA157">SUMPRODUCT(TRANSPOSE(DA$4:DA$20),$G157:$W157)</f>
        <v>0</v>
      </c>
      <c r="DB157" s="93" cm="1">
        <f t="array" ref="DB157">SUMPRODUCT(TRANSPOSE(DB$4:DB$20),$G157:$W157)</f>
        <v>0</v>
      </c>
      <c r="DC157" s="93" cm="1">
        <f t="array" ref="DC157">SUMPRODUCT(TRANSPOSE(DC$4:DC$20),$G157:$W157)</f>
        <v>0</v>
      </c>
      <c r="DD157" s="93" cm="1">
        <f t="array" ref="DD157">SUMPRODUCT(TRANSPOSE(DD$4:DD$20),$G157:$W157)</f>
        <v>0</v>
      </c>
      <c r="DE157" s="93" cm="1">
        <f t="array" ref="DE157">SUMPRODUCT(TRANSPOSE(DE$4:DE$20),$G157:$W157)</f>
        <v>0</v>
      </c>
      <c r="DF157" s="93" cm="1">
        <f t="array" ref="DF157">SUMPRODUCT(TRANSPOSE(DF$4:DF$20),$G157:$W157)</f>
        <v>0</v>
      </c>
      <c r="DG157" s="93" cm="1">
        <f t="array" ref="DG157">SUMPRODUCT(TRANSPOSE(DG$4:DG$20),$G157:$W157)</f>
        <v>0</v>
      </c>
      <c r="DH157" s="93" cm="1">
        <f t="array" ref="DH157">SUMPRODUCT(TRANSPOSE(DH$4:DH$20),$G157:$W157)</f>
        <v>0</v>
      </c>
      <c r="DI157" s="93" cm="1">
        <f t="array" ref="DI157">SUMPRODUCT(TRANSPOSE(DI$4:DI$20),$G157:$W157)</f>
        <v>0</v>
      </c>
      <c r="DJ157" s="93" cm="1">
        <f t="array" ref="DJ157">SUMPRODUCT(TRANSPOSE(DJ$4:DJ$20),$G157:$W157)</f>
        <v>0</v>
      </c>
      <c r="DK157" s="93" cm="1">
        <f t="array" ref="DK157">SUMPRODUCT(TRANSPOSE(DK$4:DK$20),$G157:$W157)</f>
        <v>0</v>
      </c>
      <c r="DL157" s="93" cm="1">
        <f t="array" ref="DL157">SUMPRODUCT(TRANSPOSE(DL$4:DL$20),$G157:$W157)</f>
        <v>0</v>
      </c>
      <c r="DM157" s="93" cm="1">
        <f t="array" ref="DM157">SUMPRODUCT(TRANSPOSE(DM$4:DM$20),$G157:$W157)</f>
        <v>0</v>
      </c>
      <c r="DN157" s="93" cm="1">
        <f t="array" ref="DN157">SUMPRODUCT(TRANSPOSE(DN$4:DN$20),$G157:$W157)</f>
        <v>0</v>
      </c>
      <c r="DO157" s="93" cm="1">
        <f t="array" ref="DO157">SUMPRODUCT(TRANSPOSE(DO$4:DO$20),$G157:$W157)</f>
        <v>0</v>
      </c>
    </row>
    <row r="158" spans="1:119" x14ac:dyDescent="0.2">
      <c r="A158" s="45">
        <f t="shared" si="28"/>
        <v>137</v>
      </c>
      <c r="B158" s="46" t="s">
        <v>401</v>
      </c>
      <c r="C158" s="45">
        <v>401018376</v>
      </c>
      <c r="D158" s="45" t="s">
        <v>402</v>
      </c>
      <c r="E158" s="45" t="s">
        <v>162</v>
      </c>
      <c r="F158" s="48">
        <v>2</v>
      </c>
      <c r="G158" s="100">
        <v>0</v>
      </c>
      <c r="H158" s="100">
        <v>0</v>
      </c>
      <c r="I158" s="100">
        <v>0</v>
      </c>
      <c r="J158" s="100">
        <v>0</v>
      </c>
      <c r="K158" s="100">
        <v>0</v>
      </c>
      <c r="L158" s="100">
        <v>0</v>
      </c>
      <c r="M158" s="100">
        <v>0</v>
      </c>
      <c r="N158" s="100">
        <v>0</v>
      </c>
      <c r="O158" s="100">
        <v>0</v>
      </c>
      <c r="P158" s="100">
        <v>0</v>
      </c>
      <c r="Q158" s="100">
        <v>0</v>
      </c>
      <c r="R158" s="100">
        <v>1</v>
      </c>
      <c r="S158" s="100">
        <v>0</v>
      </c>
      <c r="T158" s="100">
        <v>0</v>
      </c>
      <c r="U158" s="100">
        <v>0</v>
      </c>
      <c r="V158" s="100">
        <v>1</v>
      </c>
      <c r="W158" s="100">
        <v>0</v>
      </c>
      <c r="X158" s="45" t="s">
        <v>64</v>
      </c>
      <c r="Y158" s="49">
        <v>1.96</v>
      </c>
      <c r="Z158" s="45">
        <v>1080</v>
      </c>
      <c r="AA158" s="45">
        <v>0</v>
      </c>
      <c r="AB158" s="45">
        <v>0</v>
      </c>
      <c r="AC158" s="45">
        <v>0</v>
      </c>
      <c r="AD158" s="45">
        <v>0</v>
      </c>
      <c r="AE158" s="45">
        <v>0</v>
      </c>
      <c r="AF158" s="45">
        <v>0</v>
      </c>
      <c r="AG158" s="45">
        <v>0</v>
      </c>
      <c r="AH158" s="45">
        <v>0</v>
      </c>
      <c r="AI158" s="45">
        <v>0</v>
      </c>
      <c r="AJ158" s="45">
        <v>0</v>
      </c>
      <c r="AK158" s="45">
        <v>0</v>
      </c>
      <c r="AL158" s="45">
        <v>0</v>
      </c>
      <c r="AM158" s="45">
        <v>0</v>
      </c>
      <c r="AN158" s="45">
        <v>0</v>
      </c>
      <c r="AO158" s="45"/>
      <c r="AP158" s="45"/>
      <c r="AQ158" s="45"/>
      <c r="AR158" s="45"/>
      <c r="AS158" s="45"/>
      <c r="AT158" s="45"/>
      <c r="AU158" s="45"/>
      <c r="AV158" s="45"/>
      <c r="AW158" s="45"/>
      <c r="AX158" s="45"/>
      <c r="AY158" s="45"/>
      <c r="AZ158" s="45"/>
      <c r="BA158" s="45"/>
      <c r="BB158" s="45"/>
      <c r="BC158" s="45"/>
      <c r="BD158" s="93"/>
      <c r="BE158" s="93"/>
      <c r="BF158" s="93"/>
      <c r="BG158" s="93"/>
      <c r="BH158" s="93"/>
      <c r="BI158" s="93"/>
      <c r="BJ158" s="93"/>
      <c r="BK158" s="93">
        <f>SUM($Z158:AD158)-SUM($CM158:CQ158)</f>
        <v>1010</v>
      </c>
      <c r="BL158" s="93">
        <f>SUM($Z158:AE158)-SUM($CM158:CR158)</f>
        <v>940</v>
      </c>
      <c r="BM158" s="93">
        <f>SUM($Z158:AF158)-SUM($CM158:CS158)</f>
        <v>870</v>
      </c>
      <c r="BN158" s="93">
        <f>SUM($Z158:AG158)-SUM($CM158:CT158)</f>
        <v>800</v>
      </c>
      <c r="BO158" s="93">
        <f>SUM($Z158:AH158)-SUM($CM158:CU158)</f>
        <v>730</v>
      </c>
      <c r="BP158" s="93">
        <f>SUM($Z158:AI158)-SUM($CM158:CV158)</f>
        <v>660</v>
      </c>
      <c r="BQ158" s="93">
        <f>SUM($Z158:AJ158)-SUM($CM158:CW158)</f>
        <v>590</v>
      </c>
      <c r="BR158" s="93">
        <f>SUM($Z158:AK158)-SUM($CM158:CX158)</f>
        <v>520</v>
      </c>
      <c r="BS158" s="93">
        <f>SUM($Z158:AL158)-SUM($CM158:CY158)</f>
        <v>450</v>
      </c>
      <c r="BT158" s="93">
        <f>SUM($Z158:AM158)-SUM($CM158:CZ158)</f>
        <v>415</v>
      </c>
      <c r="BU158" s="93">
        <f>SUM($Z158:AN158)-SUM($CM158:DA158)</f>
        <v>415</v>
      </c>
      <c r="BV158" s="93">
        <f>SUM($Z158:AO158)-SUM($CM158:DB158)</f>
        <v>415</v>
      </c>
      <c r="BW158" s="93">
        <f>SUM($Z158:AP158)-SUM($CM158:DC158)</f>
        <v>415</v>
      </c>
      <c r="BX158" s="93">
        <f>SUM($Z158:AQ158)-SUM($CM158:DD158)</f>
        <v>415</v>
      </c>
      <c r="BY158" s="93">
        <f>SUM($Z158:AR158)-SUM($CM158:DE158)</f>
        <v>415</v>
      </c>
      <c r="BZ158" s="93">
        <f>SUM($Z158:AS158)-SUM($CM158:DF158)</f>
        <v>415</v>
      </c>
      <c r="CA158" s="93">
        <f>SUM($Z158:AT158)-SUM($CM158:DG158)</f>
        <v>415</v>
      </c>
      <c r="CB158" s="93">
        <f>SUM($Z158:AU158)-SUM($CM158:DH158)</f>
        <v>415</v>
      </c>
      <c r="CC158" s="93">
        <f>SUM($Z158:AV158)-SUM($CM158:DI158)</f>
        <v>415</v>
      </c>
      <c r="CD158" s="93">
        <f>SUM($Z158:AW158)-SUM($CM158:DJ158)</f>
        <v>415</v>
      </c>
      <c r="CE158" s="93">
        <f>SUM($Z158:AX158)-SUM($CM158:DK158)</f>
        <v>415</v>
      </c>
      <c r="CF158" s="93">
        <f>SUM($Z158:AY158)-SUM($CM158:DL158)</f>
        <v>415</v>
      </c>
      <c r="CG158" s="93">
        <f>SUM($Z158:AZ158)-SUM($CM158:DM158)</f>
        <v>415</v>
      </c>
      <c r="CH158" s="93">
        <f>SUM($Z158:BA158)-SUM($CM158:DN158)</f>
        <v>415</v>
      </c>
      <c r="CI158" s="93">
        <f>SUM($Z158:BB158)-SUM($CM158:DO158)</f>
        <v>415</v>
      </c>
      <c r="CJ158" s="93"/>
      <c r="CK158" s="93"/>
      <c r="CL158" s="93"/>
      <c r="CM158" s="93"/>
      <c r="CN158" s="93" cm="1">
        <f t="array" ref="CN158">SUMPRODUCT(TRANSPOSE(CN$4:CN$20),$G158:$W158)</f>
        <v>0</v>
      </c>
      <c r="CO158" s="93" cm="1">
        <f t="array" ref="CO158">SUMPRODUCT(TRANSPOSE(CO$4:CO$20),$G158:$W158)</f>
        <v>0</v>
      </c>
      <c r="CP158" s="93" cm="1">
        <f t="array" ref="CP158">SUMPRODUCT(TRANSPOSE(CP$4:CP$20),$G158:$W158)</f>
        <v>0</v>
      </c>
      <c r="CQ158" s="93" cm="1">
        <f t="array" ref="CQ158">SUMPRODUCT(TRANSPOSE(CQ$4:CQ$20),$G158:$W158)</f>
        <v>70</v>
      </c>
      <c r="CR158" s="93" cm="1">
        <f t="array" ref="CR158">SUMPRODUCT(TRANSPOSE(CR$4:CR$20),$G158:$W158)</f>
        <v>70</v>
      </c>
      <c r="CS158" s="93" cm="1">
        <f t="array" ref="CS158">SUMPRODUCT(TRANSPOSE(CS$4:CS$20),$G158:$W158)</f>
        <v>70</v>
      </c>
      <c r="CT158" s="93" cm="1">
        <f t="array" ref="CT158">SUMPRODUCT(TRANSPOSE(CT$4:CT$20),$G158:$W158)</f>
        <v>70</v>
      </c>
      <c r="CU158" s="93" cm="1">
        <f t="array" ref="CU158">SUMPRODUCT(TRANSPOSE(CU$4:CU$20),$G158:$W158)</f>
        <v>70</v>
      </c>
      <c r="CV158" s="93" cm="1">
        <f t="array" ref="CV158">SUMPRODUCT(TRANSPOSE(CV$4:CV$20),$G158:$W158)</f>
        <v>70</v>
      </c>
      <c r="CW158" s="93" cm="1">
        <f t="array" ref="CW158">SUMPRODUCT(TRANSPOSE(CW$4:CW$20),$G158:$W158)</f>
        <v>70</v>
      </c>
      <c r="CX158" s="93" cm="1">
        <f t="array" ref="CX158">SUMPRODUCT(TRANSPOSE(CX$4:CX$20),$G158:$W158)</f>
        <v>70</v>
      </c>
      <c r="CY158" s="93" cm="1">
        <f t="array" ref="CY158">SUMPRODUCT(TRANSPOSE(CY$4:CY$20),$G158:$W158)</f>
        <v>70</v>
      </c>
      <c r="CZ158" s="93" cm="1">
        <f t="array" ref="CZ158">SUMPRODUCT(TRANSPOSE(CZ$4:CZ$20),$G158:$W158)</f>
        <v>35</v>
      </c>
      <c r="DA158" s="93" cm="1">
        <f t="array" ref="DA158">SUMPRODUCT(TRANSPOSE(DA$4:DA$20),$G158:$W158)</f>
        <v>0</v>
      </c>
      <c r="DB158" s="93" cm="1">
        <f t="array" ref="DB158">SUMPRODUCT(TRANSPOSE(DB$4:DB$20),$G158:$W158)</f>
        <v>0</v>
      </c>
      <c r="DC158" s="93" cm="1">
        <f t="array" ref="DC158">SUMPRODUCT(TRANSPOSE(DC$4:DC$20),$G158:$W158)</f>
        <v>0</v>
      </c>
      <c r="DD158" s="93" cm="1">
        <f t="array" ref="DD158">SUMPRODUCT(TRANSPOSE(DD$4:DD$20),$G158:$W158)</f>
        <v>0</v>
      </c>
      <c r="DE158" s="93" cm="1">
        <f t="array" ref="DE158">SUMPRODUCT(TRANSPOSE(DE$4:DE$20),$G158:$W158)</f>
        <v>0</v>
      </c>
      <c r="DF158" s="93" cm="1">
        <f t="array" ref="DF158">SUMPRODUCT(TRANSPOSE(DF$4:DF$20),$G158:$W158)</f>
        <v>0</v>
      </c>
      <c r="DG158" s="93" cm="1">
        <f t="array" ref="DG158">SUMPRODUCT(TRANSPOSE(DG$4:DG$20),$G158:$W158)</f>
        <v>0</v>
      </c>
      <c r="DH158" s="93" cm="1">
        <f t="array" ref="DH158">SUMPRODUCT(TRANSPOSE(DH$4:DH$20),$G158:$W158)</f>
        <v>0</v>
      </c>
      <c r="DI158" s="93" cm="1">
        <f t="array" ref="DI158">SUMPRODUCT(TRANSPOSE(DI$4:DI$20),$G158:$W158)</f>
        <v>0</v>
      </c>
      <c r="DJ158" s="93" cm="1">
        <f t="array" ref="DJ158">SUMPRODUCT(TRANSPOSE(DJ$4:DJ$20),$G158:$W158)</f>
        <v>0</v>
      </c>
      <c r="DK158" s="93" cm="1">
        <f t="array" ref="DK158">SUMPRODUCT(TRANSPOSE(DK$4:DK$20),$G158:$W158)</f>
        <v>0</v>
      </c>
      <c r="DL158" s="93" cm="1">
        <f t="array" ref="DL158">SUMPRODUCT(TRANSPOSE(DL$4:DL$20),$G158:$W158)</f>
        <v>0</v>
      </c>
      <c r="DM158" s="93" cm="1">
        <f t="array" ref="DM158">SUMPRODUCT(TRANSPOSE(DM$4:DM$20),$G158:$W158)</f>
        <v>0</v>
      </c>
      <c r="DN158" s="93" cm="1">
        <f t="array" ref="DN158">SUMPRODUCT(TRANSPOSE(DN$4:DN$20),$G158:$W158)</f>
        <v>0</v>
      </c>
      <c r="DO158" s="93" cm="1">
        <f t="array" ref="DO158">SUMPRODUCT(TRANSPOSE(DO$4:DO$20),$G158:$W158)</f>
        <v>0</v>
      </c>
    </row>
    <row r="159" spans="1:119" x14ac:dyDescent="0.2">
      <c r="A159" s="45">
        <f t="shared" si="28"/>
        <v>138</v>
      </c>
      <c r="B159" s="46" t="s">
        <v>403</v>
      </c>
      <c r="C159" s="45">
        <v>400043186</v>
      </c>
      <c r="D159" s="45" t="s">
        <v>404</v>
      </c>
      <c r="E159" s="45" t="s">
        <v>162</v>
      </c>
      <c r="F159" s="48">
        <v>2</v>
      </c>
      <c r="G159" s="100">
        <v>0</v>
      </c>
      <c r="H159" s="100">
        <v>0</v>
      </c>
      <c r="I159" s="100">
        <v>0</v>
      </c>
      <c r="J159" s="100">
        <v>0</v>
      </c>
      <c r="K159" s="100">
        <v>0</v>
      </c>
      <c r="L159" s="100">
        <v>0</v>
      </c>
      <c r="M159" s="100">
        <v>0</v>
      </c>
      <c r="N159" s="100">
        <v>0</v>
      </c>
      <c r="O159" s="100">
        <v>0</v>
      </c>
      <c r="P159" s="100">
        <v>0</v>
      </c>
      <c r="Q159" s="100">
        <v>139</v>
      </c>
      <c r="R159" s="100">
        <v>0</v>
      </c>
      <c r="S159" s="100">
        <v>0</v>
      </c>
      <c r="T159" s="100">
        <v>0</v>
      </c>
      <c r="U159" s="100">
        <v>139</v>
      </c>
      <c r="V159" s="100">
        <v>0</v>
      </c>
      <c r="W159" s="100">
        <v>0</v>
      </c>
      <c r="X159" s="45" t="s">
        <v>65</v>
      </c>
      <c r="Y159" s="49">
        <v>1.2999999999999999E-2</v>
      </c>
      <c r="Z159" s="45">
        <v>150000</v>
      </c>
      <c r="AA159" s="45">
        <v>0</v>
      </c>
      <c r="AB159" s="45">
        <v>0</v>
      </c>
      <c r="AC159" s="45">
        <v>0</v>
      </c>
      <c r="AD159" s="45">
        <v>0</v>
      </c>
      <c r="AE159" s="45">
        <v>0</v>
      </c>
      <c r="AF159" s="45">
        <v>0</v>
      </c>
      <c r="AG159" s="45">
        <v>0</v>
      </c>
      <c r="AH159" s="45">
        <v>0</v>
      </c>
      <c r="AI159" s="45">
        <v>0</v>
      </c>
      <c r="AJ159" s="45">
        <v>0</v>
      </c>
      <c r="AK159" s="45">
        <v>0</v>
      </c>
      <c r="AL159" s="45">
        <v>0</v>
      </c>
      <c r="AM159" s="45">
        <v>0</v>
      </c>
      <c r="AN159" s="45">
        <v>0</v>
      </c>
      <c r="AO159" s="45"/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45"/>
      <c r="BD159" s="93"/>
      <c r="BE159" s="93"/>
      <c r="BF159" s="93"/>
      <c r="BG159" s="93"/>
      <c r="BH159" s="93"/>
      <c r="BI159" s="93"/>
      <c r="BJ159" s="93"/>
      <c r="BK159" s="93">
        <f>SUM($Z159:AD159)-SUM($CM159:CQ159)</f>
        <v>139158</v>
      </c>
      <c r="BL159" s="93">
        <f>SUM($Z159:AE159)-SUM($CM159:CR159)</f>
        <v>129428</v>
      </c>
      <c r="BM159" s="93">
        <f>SUM($Z159:AF159)-SUM($CM159:CS159)</f>
        <v>120393</v>
      </c>
      <c r="BN159" s="93">
        <f>SUM($Z159:AG159)-SUM($CM159:CT159)</f>
        <v>112053</v>
      </c>
      <c r="BO159" s="93">
        <f>SUM($Z159:AH159)-SUM($CM159:CU159)</f>
        <v>103713</v>
      </c>
      <c r="BP159" s="93">
        <f>SUM($Z159:AI159)-SUM($CM159:CV159)</f>
        <v>95373</v>
      </c>
      <c r="BQ159" s="93">
        <f>SUM($Z159:AJ159)-SUM($CM159:CW159)</f>
        <v>87033</v>
      </c>
      <c r="BR159" s="93">
        <f>SUM($Z159:AK159)-SUM($CM159:CX159)</f>
        <v>78693</v>
      </c>
      <c r="BS159" s="93">
        <f>SUM($Z159:AL159)-SUM($CM159:CY159)</f>
        <v>70353</v>
      </c>
      <c r="BT159" s="93">
        <f>SUM($Z159:AM159)-SUM($CM159:CZ159)</f>
        <v>62013</v>
      </c>
      <c r="BU159" s="93">
        <f>SUM($Z159:AN159)-SUM($CM159:DA159)</f>
        <v>53673</v>
      </c>
      <c r="BV159" s="93">
        <f>SUM($Z159:AO159)-SUM($CM159:DB159)</f>
        <v>51727</v>
      </c>
      <c r="BW159" s="93">
        <f>SUM($Z159:AP159)-SUM($CM159:DC159)</f>
        <v>51727</v>
      </c>
      <c r="BX159" s="93">
        <f>SUM($Z159:AQ159)-SUM($CM159:DD159)</f>
        <v>51727</v>
      </c>
      <c r="BY159" s="93">
        <f>SUM($Z159:AR159)-SUM($CM159:DE159)</f>
        <v>51727</v>
      </c>
      <c r="BZ159" s="93">
        <f>SUM($Z159:AS159)-SUM($CM159:DF159)</f>
        <v>51727</v>
      </c>
      <c r="CA159" s="93">
        <f>SUM($Z159:AT159)-SUM($CM159:DG159)</f>
        <v>51727</v>
      </c>
      <c r="CB159" s="93">
        <f>SUM($Z159:AU159)-SUM($CM159:DH159)</f>
        <v>51727</v>
      </c>
      <c r="CC159" s="93">
        <f>SUM($Z159:AV159)-SUM($CM159:DI159)</f>
        <v>51727</v>
      </c>
      <c r="CD159" s="93">
        <f>SUM($Z159:AW159)-SUM($CM159:DJ159)</f>
        <v>51727</v>
      </c>
      <c r="CE159" s="93">
        <f>SUM($Z159:AX159)-SUM($CM159:DK159)</f>
        <v>51727</v>
      </c>
      <c r="CF159" s="93">
        <f>SUM($Z159:AY159)-SUM($CM159:DL159)</f>
        <v>51727</v>
      </c>
      <c r="CG159" s="93">
        <f>SUM($Z159:AZ159)-SUM($CM159:DM159)</f>
        <v>51727</v>
      </c>
      <c r="CH159" s="93">
        <f>SUM($Z159:BA159)-SUM($CM159:DN159)</f>
        <v>51727</v>
      </c>
      <c r="CI159" s="93">
        <f>SUM($Z159:BB159)-SUM($CM159:DO159)</f>
        <v>51727</v>
      </c>
      <c r="CJ159" s="93"/>
      <c r="CK159" s="93"/>
      <c r="CL159" s="93"/>
      <c r="CM159" s="93"/>
      <c r="CN159" s="93" cm="1">
        <f t="array" ref="CN159">SUMPRODUCT(TRANSPOSE(CN$4:CN$20),$G159:$W159)</f>
        <v>0</v>
      </c>
      <c r="CO159" s="93" cm="1">
        <f t="array" ref="CO159">SUMPRODUCT(TRANSPOSE(CO$4:CO$20),$G159:$W159)</f>
        <v>0</v>
      </c>
      <c r="CP159" s="93" cm="1">
        <f t="array" ref="CP159">SUMPRODUCT(TRANSPOSE(CP$4:CP$20),$G159:$W159)</f>
        <v>0</v>
      </c>
      <c r="CQ159" s="93" cm="1">
        <f t="array" ref="CQ159">SUMPRODUCT(TRANSPOSE(CQ$4:CQ$20),$G159:$W159)</f>
        <v>10842</v>
      </c>
      <c r="CR159" s="93" cm="1">
        <f t="array" ref="CR159">SUMPRODUCT(TRANSPOSE(CR$4:CR$20),$G159:$W159)</f>
        <v>9730</v>
      </c>
      <c r="CS159" s="93" cm="1">
        <f t="array" ref="CS159">SUMPRODUCT(TRANSPOSE(CS$4:CS$20),$G159:$W159)</f>
        <v>9035</v>
      </c>
      <c r="CT159" s="93" cm="1">
        <f t="array" ref="CT159">SUMPRODUCT(TRANSPOSE(CT$4:CT$20),$G159:$W159)</f>
        <v>8340</v>
      </c>
      <c r="CU159" s="93" cm="1">
        <f t="array" ref="CU159">SUMPRODUCT(TRANSPOSE(CU$4:CU$20),$G159:$W159)</f>
        <v>8340</v>
      </c>
      <c r="CV159" s="93" cm="1">
        <f t="array" ref="CV159">SUMPRODUCT(TRANSPOSE(CV$4:CV$20),$G159:$W159)</f>
        <v>8340</v>
      </c>
      <c r="CW159" s="93" cm="1">
        <f t="array" ref="CW159">SUMPRODUCT(TRANSPOSE(CW$4:CW$20),$G159:$W159)</f>
        <v>8340</v>
      </c>
      <c r="CX159" s="93" cm="1">
        <f t="array" ref="CX159">SUMPRODUCT(TRANSPOSE(CX$4:CX$20),$G159:$W159)</f>
        <v>8340</v>
      </c>
      <c r="CY159" s="93" cm="1">
        <f t="array" ref="CY159">SUMPRODUCT(TRANSPOSE(CY$4:CY$20),$G159:$W159)</f>
        <v>8340</v>
      </c>
      <c r="CZ159" s="93" cm="1">
        <f t="array" ref="CZ159">SUMPRODUCT(TRANSPOSE(CZ$4:CZ$20),$G159:$W159)</f>
        <v>8340</v>
      </c>
      <c r="DA159" s="93" cm="1">
        <f t="array" ref="DA159">SUMPRODUCT(TRANSPOSE(DA$4:DA$20),$G159:$W159)</f>
        <v>8340</v>
      </c>
      <c r="DB159" s="93" cm="1">
        <f t="array" ref="DB159">SUMPRODUCT(TRANSPOSE(DB$4:DB$20),$G159:$W159)</f>
        <v>1946</v>
      </c>
      <c r="DC159" s="93" cm="1">
        <f t="array" ref="DC159">SUMPRODUCT(TRANSPOSE(DC$4:DC$20),$G159:$W159)</f>
        <v>0</v>
      </c>
      <c r="DD159" s="93" cm="1">
        <f t="array" ref="DD159">SUMPRODUCT(TRANSPOSE(DD$4:DD$20),$G159:$W159)</f>
        <v>0</v>
      </c>
      <c r="DE159" s="93" cm="1">
        <f t="array" ref="DE159">SUMPRODUCT(TRANSPOSE(DE$4:DE$20),$G159:$W159)</f>
        <v>0</v>
      </c>
      <c r="DF159" s="93" cm="1">
        <f t="array" ref="DF159">SUMPRODUCT(TRANSPOSE(DF$4:DF$20),$G159:$W159)</f>
        <v>0</v>
      </c>
      <c r="DG159" s="93" cm="1">
        <f t="array" ref="DG159">SUMPRODUCT(TRANSPOSE(DG$4:DG$20),$G159:$W159)</f>
        <v>0</v>
      </c>
      <c r="DH159" s="93" cm="1">
        <f t="array" ref="DH159">SUMPRODUCT(TRANSPOSE(DH$4:DH$20),$G159:$W159)</f>
        <v>0</v>
      </c>
      <c r="DI159" s="93" cm="1">
        <f t="array" ref="DI159">SUMPRODUCT(TRANSPOSE(DI$4:DI$20),$G159:$W159)</f>
        <v>0</v>
      </c>
      <c r="DJ159" s="93" cm="1">
        <f t="array" ref="DJ159">SUMPRODUCT(TRANSPOSE(DJ$4:DJ$20),$G159:$W159)</f>
        <v>0</v>
      </c>
      <c r="DK159" s="93" cm="1">
        <f t="array" ref="DK159">SUMPRODUCT(TRANSPOSE(DK$4:DK$20),$G159:$W159)</f>
        <v>0</v>
      </c>
      <c r="DL159" s="93" cm="1">
        <f t="array" ref="DL159">SUMPRODUCT(TRANSPOSE(DL$4:DL$20),$G159:$W159)</f>
        <v>0</v>
      </c>
      <c r="DM159" s="93" cm="1">
        <f t="array" ref="DM159">SUMPRODUCT(TRANSPOSE(DM$4:DM$20),$G159:$W159)</f>
        <v>0</v>
      </c>
      <c r="DN159" s="93" cm="1">
        <f t="array" ref="DN159">SUMPRODUCT(TRANSPOSE(DN$4:DN$20),$G159:$W159)</f>
        <v>0</v>
      </c>
      <c r="DO159" s="93" cm="1">
        <f t="array" ref="DO159">SUMPRODUCT(TRANSPOSE(DO$4:DO$20),$G159:$W159)</f>
        <v>0</v>
      </c>
    </row>
    <row r="160" spans="1:119" x14ac:dyDescent="0.2">
      <c r="A160" s="45">
        <f t="shared" si="28"/>
        <v>139</v>
      </c>
      <c r="B160" s="46" t="s">
        <v>405</v>
      </c>
      <c r="C160" s="45">
        <v>400112300</v>
      </c>
      <c r="D160" s="45" t="s">
        <v>406</v>
      </c>
      <c r="E160" s="45" t="s">
        <v>162</v>
      </c>
      <c r="F160" s="48">
        <v>2</v>
      </c>
      <c r="G160" s="100">
        <v>0</v>
      </c>
      <c r="H160" s="100">
        <v>0</v>
      </c>
      <c r="I160" s="100">
        <v>0</v>
      </c>
      <c r="J160" s="100">
        <v>0</v>
      </c>
      <c r="K160" s="100">
        <v>0</v>
      </c>
      <c r="L160" s="100">
        <v>0</v>
      </c>
      <c r="M160" s="100">
        <v>0</v>
      </c>
      <c r="N160" s="100">
        <v>0</v>
      </c>
      <c r="O160" s="100">
        <v>0</v>
      </c>
      <c r="P160" s="100">
        <v>0</v>
      </c>
      <c r="Q160" s="100">
        <v>61</v>
      </c>
      <c r="R160" s="100">
        <v>0</v>
      </c>
      <c r="S160" s="100">
        <v>0</v>
      </c>
      <c r="T160" s="100">
        <v>0</v>
      </c>
      <c r="U160" s="100">
        <v>15</v>
      </c>
      <c r="V160" s="100">
        <v>0</v>
      </c>
      <c r="W160" s="100">
        <v>0</v>
      </c>
      <c r="X160" s="45" t="s">
        <v>65</v>
      </c>
      <c r="Y160" s="49">
        <v>1.4999999999999999E-2</v>
      </c>
      <c r="Z160" s="45">
        <v>70000</v>
      </c>
      <c r="AA160" s="45">
        <v>0</v>
      </c>
      <c r="AB160" s="45">
        <v>0</v>
      </c>
      <c r="AC160" s="45">
        <v>0</v>
      </c>
      <c r="AD160" s="45">
        <v>0</v>
      </c>
      <c r="AE160" s="45">
        <v>0</v>
      </c>
      <c r="AF160" s="45">
        <v>0</v>
      </c>
      <c r="AG160" s="45">
        <v>0</v>
      </c>
      <c r="AH160" s="45">
        <v>0</v>
      </c>
      <c r="AI160" s="45">
        <v>0</v>
      </c>
      <c r="AJ160" s="45">
        <v>0</v>
      </c>
      <c r="AK160" s="45">
        <v>0</v>
      </c>
      <c r="AL160" s="45">
        <v>0</v>
      </c>
      <c r="AM160" s="45">
        <v>0</v>
      </c>
      <c r="AN160" s="45">
        <v>0</v>
      </c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45"/>
      <c r="BD160" s="93"/>
      <c r="BE160" s="93"/>
      <c r="BF160" s="93"/>
      <c r="BG160" s="93"/>
      <c r="BH160" s="93"/>
      <c r="BI160" s="93"/>
      <c r="BJ160" s="93"/>
      <c r="BK160" s="93">
        <f>SUM($Z160:AD160)-SUM($CM160:CQ160)</f>
        <v>67220</v>
      </c>
      <c r="BL160" s="93">
        <f>SUM($Z160:AE160)-SUM($CM160:CR160)</f>
        <v>64560</v>
      </c>
      <c r="BM160" s="93">
        <f>SUM($Z160:AF160)-SUM($CM160:CS160)</f>
        <v>61975</v>
      </c>
      <c r="BN160" s="93">
        <f>SUM($Z160:AG160)-SUM($CM160:CT160)</f>
        <v>59695</v>
      </c>
      <c r="BO160" s="93">
        <f>SUM($Z160:AH160)-SUM($CM160:CU160)</f>
        <v>57415</v>
      </c>
      <c r="BP160" s="93">
        <f>SUM($Z160:AI160)-SUM($CM160:CV160)</f>
        <v>55135</v>
      </c>
      <c r="BQ160" s="93">
        <f>SUM($Z160:AJ160)-SUM($CM160:CW160)</f>
        <v>52855</v>
      </c>
      <c r="BR160" s="93">
        <f>SUM($Z160:AK160)-SUM($CM160:CX160)</f>
        <v>50575</v>
      </c>
      <c r="BS160" s="93">
        <f>SUM($Z160:AL160)-SUM($CM160:CY160)</f>
        <v>48295</v>
      </c>
      <c r="BT160" s="93">
        <f>SUM($Z160:AM160)-SUM($CM160:CZ160)</f>
        <v>46015</v>
      </c>
      <c r="BU160" s="93">
        <f>SUM($Z160:AN160)-SUM($CM160:DA160)</f>
        <v>43735</v>
      </c>
      <c r="BV160" s="93">
        <f>SUM($Z160:AO160)-SUM($CM160:DB160)</f>
        <v>42881</v>
      </c>
      <c r="BW160" s="93">
        <f>SUM($Z160:AP160)-SUM($CM160:DC160)</f>
        <v>42881</v>
      </c>
      <c r="BX160" s="93">
        <f>SUM($Z160:AQ160)-SUM($CM160:DD160)</f>
        <v>42881</v>
      </c>
      <c r="BY160" s="93">
        <f>SUM($Z160:AR160)-SUM($CM160:DE160)</f>
        <v>42881</v>
      </c>
      <c r="BZ160" s="93">
        <f>SUM($Z160:AS160)-SUM($CM160:DF160)</f>
        <v>42881</v>
      </c>
      <c r="CA160" s="93">
        <f>SUM($Z160:AT160)-SUM($CM160:DG160)</f>
        <v>42881</v>
      </c>
      <c r="CB160" s="93">
        <f>SUM($Z160:AU160)-SUM($CM160:DH160)</f>
        <v>42881</v>
      </c>
      <c r="CC160" s="93">
        <f>SUM($Z160:AV160)-SUM($CM160:DI160)</f>
        <v>42881</v>
      </c>
      <c r="CD160" s="93">
        <f>SUM($Z160:AW160)-SUM($CM160:DJ160)</f>
        <v>42881</v>
      </c>
      <c r="CE160" s="93">
        <f>SUM($Z160:AX160)-SUM($CM160:DK160)</f>
        <v>42881</v>
      </c>
      <c r="CF160" s="93">
        <f>SUM($Z160:AY160)-SUM($CM160:DL160)</f>
        <v>42881</v>
      </c>
      <c r="CG160" s="93">
        <f>SUM($Z160:AZ160)-SUM($CM160:DM160)</f>
        <v>42881</v>
      </c>
      <c r="CH160" s="93">
        <f>SUM($Z160:BA160)-SUM($CM160:DN160)</f>
        <v>42881</v>
      </c>
      <c r="CI160" s="93">
        <f>SUM($Z160:BB160)-SUM($CM160:DO160)</f>
        <v>42881</v>
      </c>
      <c r="CJ160" s="93"/>
      <c r="CK160" s="93"/>
      <c r="CL160" s="93"/>
      <c r="CM160" s="93"/>
      <c r="CN160" s="93" cm="1">
        <f t="array" ref="CN160">SUMPRODUCT(TRANSPOSE(CN$4:CN$20),$G160:$W160)</f>
        <v>0</v>
      </c>
      <c r="CO160" s="93" cm="1">
        <f t="array" ref="CO160">SUMPRODUCT(TRANSPOSE(CO$4:CO$20),$G160:$W160)</f>
        <v>0</v>
      </c>
      <c r="CP160" s="93" cm="1">
        <f t="array" ref="CP160">SUMPRODUCT(TRANSPOSE(CP$4:CP$20),$G160:$W160)</f>
        <v>0</v>
      </c>
      <c r="CQ160" s="93" cm="1">
        <f t="array" ref="CQ160">SUMPRODUCT(TRANSPOSE(CQ$4:CQ$20),$G160:$W160)</f>
        <v>2780</v>
      </c>
      <c r="CR160" s="93" cm="1">
        <f t="array" ref="CR160">SUMPRODUCT(TRANSPOSE(CR$4:CR$20),$G160:$W160)</f>
        <v>2660</v>
      </c>
      <c r="CS160" s="93" cm="1">
        <f t="array" ref="CS160">SUMPRODUCT(TRANSPOSE(CS$4:CS$20),$G160:$W160)</f>
        <v>2585</v>
      </c>
      <c r="CT160" s="93" cm="1">
        <f t="array" ref="CT160">SUMPRODUCT(TRANSPOSE(CT$4:CT$20),$G160:$W160)</f>
        <v>2280</v>
      </c>
      <c r="CU160" s="93" cm="1">
        <f t="array" ref="CU160">SUMPRODUCT(TRANSPOSE(CU$4:CU$20),$G160:$W160)</f>
        <v>2280</v>
      </c>
      <c r="CV160" s="93" cm="1">
        <f t="array" ref="CV160">SUMPRODUCT(TRANSPOSE(CV$4:CV$20),$G160:$W160)</f>
        <v>2280</v>
      </c>
      <c r="CW160" s="93" cm="1">
        <f t="array" ref="CW160">SUMPRODUCT(TRANSPOSE(CW$4:CW$20),$G160:$W160)</f>
        <v>2280</v>
      </c>
      <c r="CX160" s="93" cm="1">
        <f t="array" ref="CX160">SUMPRODUCT(TRANSPOSE(CX$4:CX$20),$G160:$W160)</f>
        <v>2280</v>
      </c>
      <c r="CY160" s="93" cm="1">
        <f t="array" ref="CY160">SUMPRODUCT(TRANSPOSE(CY$4:CY$20),$G160:$W160)</f>
        <v>2280</v>
      </c>
      <c r="CZ160" s="93" cm="1">
        <f t="array" ref="CZ160">SUMPRODUCT(TRANSPOSE(CZ$4:CZ$20),$G160:$W160)</f>
        <v>2280</v>
      </c>
      <c r="DA160" s="93" cm="1">
        <f t="array" ref="DA160">SUMPRODUCT(TRANSPOSE(DA$4:DA$20),$G160:$W160)</f>
        <v>2280</v>
      </c>
      <c r="DB160" s="93" cm="1">
        <f t="array" ref="DB160">SUMPRODUCT(TRANSPOSE(DB$4:DB$20),$G160:$W160)</f>
        <v>854</v>
      </c>
      <c r="DC160" s="93" cm="1">
        <f t="array" ref="DC160">SUMPRODUCT(TRANSPOSE(DC$4:DC$20),$G160:$W160)</f>
        <v>0</v>
      </c>
      <c r="DD160" s="93" cm="1">
        <f t="array" ref="DD160">SUMPRODUCT(TRANSPOSE(DD$4:DD$20),$G160:$W160)</f>
        <v>0</v>
      </c>
      <c r="DE160" s="93" cm="1">
        <f t="array" ref="DE160">SUMPRODUCT(TRANSPOSE(DE$4:DE$20),$G160:$W160)</f>
        <v>0</v>
      </c>
      <c r="DF160" s="93" cm="1">
        <f t="array" ref="DF160">SUMPRODUCT(TRANSPOSE(DF$4:DF$20),$G160:$W160)</f>
        <v>0</v>
      </c>
      <c r="DG160" s="93" cm="1">
        <f t="array" ref="DG160">SUMPRODUCT(TRANSPOSE(DG$4:DG$20),$G160:$W160)</f>
        <v>0</v>
      </c>
      <c r="DH160" s="93" cm="1">
        <f t="array" ref="DH160">SUMPRODUCT(TRANSPOSE(DH$4:DH$20),$G160:$W160)</f>
        <v>0</v>
      </c>
      <c r="DI160" s="93" cm="1">
        <f t="array" ref="DI160">SUMPRODUCT(TRANSPOSE(DI$4:DI$20),$G160:$W160)</f>
        <v>0</v>
      </c>
      <c r="DJ160" s="93" cm="1">
        <f t="array" ref="DJ160">SUMPRODUCT(TRANSPOSE(DJ$4:DJ$20),$G160:$W160)</f>
        <v>0</v>
      </c>
      <c r="DK160" s="93" cm="1">
        <f t="array" ref="DK160">SUMPRODUCT(TRANSPOSE(DK$4:DK$20),$G160:$W160)</f>
        <v>0</v>
      </c>
      <c r="DL160" s="93" cm="1">
        <f t="array" ref="DL160">SUMPRODUCT(TRANSPOSE(DL$4:DL$20),$G160:$W160)</f>
        <v>0</v>
      </c>
      <c r="DM160" s="93" cm="1">
        <f t="array" ref="DM160">SUMPRODUCT(TRANSPOSE(DM$4:DM$20),$G160:$W160)</f>
        <v>0</v>
      </c>
      <c r="DN160" s="93" cm="1">
        <f t="array" ref="DN160">SUMPRODUCT(TRANSPOSE(DN$4:DN$20),$G160:$W160)</f>
        <v>0</v>
      </c>
      <c r="DO160" s="93" cm="1">
        <f t="array" ref="DO160">SUMPRODUCT(TRANSPOSE(DO$4:DO$20),$G160:$W160)</f>
        <v>0</v>
      </c>
    </row>
    <row r="161" spans="1:119" x14ac:dyDescent="0.2">
      <c r="A161" s="45">
        <f t="shared" si="28"/>
        <v>140</v>
      </c>
      <c r="B161" s="46" t="s">
        <v>407</v>
      </c>
      <c r="C161" s="45" t="s">
        <v>408</v>
      </c>
      <c r="D161" s="45" t="s">
        <v>409</v>
      </c>
      <c r="E161" s="45" t="s">
        <v>162</v>
      </c>
      <c r="F161" s="48">
        <v>2</v>
      </c>
      <c r="G161" s="100">
        <v>0</v>
      </c>
      <c r="H161" s="100">
        <v>0</v>
      </c>
      <c r="I161" s="100">
        <v>0</v>
      </c>
      <c r="J161" s="100">
        <v>0</v>
      </c>
      <c r="K161" s="100">
        <v>0</v>
      </c>
      <c r="L161" s="100">
        <v>0</v>
      </c>
      <c r="M161" s="100">
        <v>0</v>
      </c>
      <c r="N161" s="100">
        <v>0</v>
      </c>
      <c r="O161" s="100">
        <v>0</v>
      </c>
      <c r="P161" s="100">
        <v>0</v>
      </c>
      <c r="Q161" s="100">
        <v>6</v>
      </c>
      <c r="R161" s="100">
        <v>0</v>
      </c>
      <c r="S161" s="100">
        <v>0</v>
      </c>
      <c r="T161" s="100">
        <v>0</v>
      </c>
      <c r="U161" s="100">
        <v>6</v>
      </c>
      <c r="V161" s="100">
        <v>0</v>
      </c>
      <c r="W161" s="100">
        <v>0</v>
      </c>
      <c r="X161" s="45" t="s">
        <v>65</v>
      </c>
      <c r="Y161" s="49">
        <v>4.4999999999999998E-2</v>
      </c>
      <c r="Z161" s="45">
        <v>9000</v>
      </c>
      <c r="AA161" s="45">
        <v>0</v>
      </c>
      <c r="AB161" s="45">
        <v>0</v>
      </c>
      <c r="AC161" s="45">
        <v>0</v>
      </c>
      <c r="AD161" s="45">
        <v>0</v>
      </c>
      <c r="AE161" s="45">
        <v>0</v>
      </c>
      <c r="AF161" s="45">
        <v>0</v>
      </c>
      <c r="AG161" s="45">
        <v>0</v>
      </c>
      <c r="AH161" s="45">
        <v>0</v>
      </c>
      <c r="AI161" s="45">
        <v>0</v>
      </c>
      <c r="AJ161" s="45">
        <v>0</v>
      </c>
      <c r="AK161" s="45">
        <v>0</v>
      </c>
      <c r="AL161" s="45">
        <v>0</v>
      </c>
      <c r="AM161" s="45">
        <v>0</v>
      </c>
      <c r="AN161" s="45">
        <v>0</v>
      </c>
      <c r="AO161" s="45"/>
      <c r="AP161" s="45"/>
      <c r="AQ161" s="45"/>
      <c r="AR161" s="45"/>
      <c r="AS161" s="45"/>
      <c r="AT161" s="45"/>
      <c r="AU161" s="45"/>
      <c r="AV161" s="45"/>
      <c r="AW161" s="45"/>
      <c r="AX161" s="45"/>
      <c r="AY161" s="45"/>
      <c r="AZ161" s="45"/>
      <c r="BA161" s="45"/>
      <c r="BB161" s="45"/>
      <c r="BC161" s="45"/>
      <c r="BD161" s="93"/>
      <c r="BE161" s="93"/>
      <c r="BF161" s="93"/>
      <c r="BG161" s="93"/>
      <c r="BH161" s="93"/>
      <c r="BI161" s="93"/>
      <c r="BJ161" s="93"/>
      <c r="BK161" s="93">
        <f>SUM($Z161:AD161)-SUM($CM161:CQ161)</f>
        <v>8532</v>
      </c>
      <c r="BL161" s="93">
        <f>SUM($Z161:AE161)-SUM($CM161:CR161)</f>
        <v>8112</v>
      </c>
      <c r="BM161" s="93">
        <f>SUM($Z161:AF161)-SUM($CM161:CS161)</f>
        <v>7722</v>
      </c>
      <c r="BN161" s="93">
        <f>SUM($Z161:AG161)-SUM($CM161:CT161)</f>
        <v>7362</v>
      </c>
      <c r="BO161" s="93">
        <f>SUM($Z161:AH161)-SUM($CM161:CU161)</f>
        <v>7002</v>
      </c>
      <c r="BP161" s="93">
        <f>SUM($Z161:AI161)-SUM($CM161:CV161)</f>
        <v>6642</v>
      </c>
      <c r="BQ161" s="93">
        <f>SUM($Z161:AJ161)-SUM($CM161:CW161)</f>
        <v>6282</v>
      </c>
      <c r="BR161" s="93">
        <f>SUM($Z161:AK161)-SUM($CM161:CX161)</f>
        <v>5922</v>
      </c>
      <c r="BS161" s="93">
        <f>SUM($Z161:AL161)-SUM($CM161:CY161)</f>
        <v>5562</v>
      </c>
      <c r="BT161" s="93">
        <f>SUM($Z161:AM161)-SUM($CM161:CZ161)</f>
        <v>5202</v>
      </c>
      <c r="BU161" s="93">
        <f>SUM($Z161:AN161)-SUM($CM161:DA161)</f>
        <v>4842</v>
      </c>
      <c r="BV161" s="93">
        <f>SUM($Z161:AO161)-SUM($CM161:DB161)</f>
        <v>4758</v>
      </c>
      <c r="BW161" s="93">
        <f>SUM($Z161:AP161)-SUM($CM161:DC161)</f>
        <v>4758</v>
      </c>
      <c r="BX161" s="93">
        <f>SUM($Z161:AQ161)-SUM($CM161:DD161)</f>
        <v>4758</v>
      </c>
      <c r="BY161" s="93">
        <f>SUM($Z161:AR161)-SUM($CM161:DE161)</f>
        <v>4758</v>
      </c>
      <c r="BZ161" s="93">
        <f>SUM($Z161:AS161)-SUM($CM161:DF161)</f>
        <v>4758</v>
      </c>
      <c r="CA161" s="93">
        <f>SUM($Z161:AT161)-SUM($CM161:DG161)</f>
        <v>4758</v>
      </c>
      <c r="CB161" s="93">
        <f>SUM($Z161:AU161)-SUM($CM161:DH161)</f>
        <v>4758</v>
      </c>
      <c r="CC161" s="93">
        <f>SUM($Z161:AV161)-SUM($CM161:DI161)</f>
        <v>4758</v>
      </c>
      <c r="CD161" s="93">
        <f>SUM($Z161:AW161)-SUM($CM161:DJ161)</f>
        <v>4758</v>
      </c>
      <c r="CE161" s="93">
        <f>SUM($Z161:AX161)-SUM($CM161:DK161)</f>
        <v>4758</v>
      </c>
      <c r="CF161" s="93">
        <f>SUM($Z161:AY161)-SUM($CM161:DL161)</f>
        <v>4758</v>
      </c>
      <c r="CG161" s="93">
        <f>SUM($Z161:AZ161)-SUM($CM161:DM161)</f>
        <v>4758</v>
      </c>
      <c r="CH161" s="93">
        <f>SUM($Z161:BA161)-SUM($CM161:DN161)</f>
        <v>4758</v>
      </c>
      <c r="CI161" s="93">
        <f>SUM($Z161:BB161)-SUM($CM161:DO161)</f>
        <v>4758</v>
      </c>
      <c r="CJ161" s="93"/>
      <c r="CK161" s="93"/>
      <c r="CL161" s="93"/>
      <c r="CM161" s="93"/>
      <c r="CN161" s="93" cm="1">
        <f t="array" ref="CN161">SUMPRODUCT(TRANSPOSE(CN$4:CN$20),$G161:$W161)</f>
        <v>0</v>
      </c>
      <c r="CO161" s="93" cm="1">
        <f t="array" ref="CO161">SUMPRODUCT(TRANSPOSE(CO$4:CO$20),$G161:$W161)</f>
        <v>0</v>
      </c>
      <c r="CP161" s="93" cm="1">
        <f t="array" ref="CP161">SUMPRODUCT(TRANSPOSE(CP$4:CP$20),$G161:$W161)</f>
        <v>0</v>
      </c>
      <c r="CQ161" s="93" cm="1">
        <f t="array" ref="CQ161">SUMPRODUCT(TRANSPOSE(CQ$4:CQ$20),$G161:$W161)</f>
        <v>468</v>
      </c>
      <c r="CR161" s="93" cm="1">
        <f t="array" ref="CR161">SUMPRODUCT(TRANSPOSE(CR$4:CR$20),$G161:$W161)</f>
        <v>420</v>
      </c>
      <c r="CS161" s="93" cm="1">
        <f t="array" ref="CS161">SUMPRODUCT(TRANSPOSE(CS$4:CS$20),$G161:$W161)</f>
        <v>390</v>
      </c>
      <c r="CT161" s="93" cm="1">
        <f t="array" ref="CT161">SUMPRODUCT(TRANSPOSE(CT$4:CT$20),$G161:$W161)</f>
        <v>360</v>
      </c>
      <c r="CU161" s="93" cm="1">
        <f t="array" ref="CU161">SUMPRODUCT(TRANSPOSE(CU$4:CU$20),$G161:$W161)</f>
        <v>360</v>
      </c>
      <c r="CV161" s="93" cm="1">
        <f t="array" ref="CV161">SUMPRODUCT(TRANSPOSE(CV$4:CV$20),$G161:$W161)</f>
        <v>360</v>
      </c>
      <c r="CW161" s="93" cm="1">
        <f t="array" ref="CW161">SUMPRODUCT(TRANSPOSE(CW$4:CW$20),$G161:$W161)</f>
        <v>360</v>
      </c>
      <c r="CX161" s="93" cm="1">
        <f t="array" ref="CX161">SUMPRODUCT(TRANSPOSE(CX$4:CX$20),$G161:$W161)</f>
        <v>360</v>
      </c>
      <c r="CY161" s="93" cm="1">
        <f t="array" ref="CY161">SUMPRODUCT(TRANSPOSE(CY$4:CY$20),$G161:$W161)</f>
        <v>360</v>
      </c>
      <c r="CZ161" s="93" cm="1">
        <f t="array" ref="CZ161">SUMPRODUCT(TRANSPOSE(CZ$4:CZ$20),$G161:$W161)</f>
        <v>360</v>
      </c>
      <c r="DA161" s="93" cm="1">
        <f t="array" ref="DA161">SUMPRODUCT(TRANSPOSE(DA$4:DA$20),$G161:$W161)</f>
        <v>360</v>
      </c>
      <c r="DB161" s="93" cm="1">
        <f t="array" ref="DB161">SUMPRODUCT(TRANSPOSE(DB$4:DB$20),$G161:$W161)</f>
        <v>84</v>
      </c>
      <c r="DC161" s="93" cm="1">
        <f t="array" ref="DC161">SUMPRODUCT(TRANSPOSE(DC$4:DC$20),$G161:$W161)</f>
        <v>0</v>
      </c>
      <c r="DD161" s="93" cm="1">
        <f t="array" ref="DD161">SUMPRODUCT(TRANSPOSE(DD$4:DD$20),$G161:$W161)</f>
        <v>0</v>
      </c>
      <c r="DE161" s="93" cm="1">
        <f t="array" ref="DE161">SUMPRODUCT(TRANSPOSE(DE$4:DE$20),$G161:$W161)</f>
        <v>0</v>
      </c>
      <c r="DF161" s="93" cm="1">
        <f t="array" ref="DF161">SUMPRODUCT(TRANSPOSE(DF$4:DF$20),$G161:$W161)</f>
        <v>0</v>
      </c>
      <c r="DG161" s="93" cm="1">
        <f t="array" ref="DG161">SUMPRODUCT(TRANSPOSE(DG$4:DG$20),$G161:$W161)</f>
        <v>0</v>
      </c>
      <c r="DH161" s="93" cm="1">
        <f t="array" ref="DH161">SUMPRODUCT(TRANSPOSE(DH$4:DH$20),$G161:$W161)</f>
        <v>0</v>
      </c>
      <c r="DI161" s="93" cm="1">
        <f t="array" ref="DI161">SUMPRODUCT(TRANSPOSE(DI$4:DI$20),$G161:$W161)</f>
        <v>0</v>
      </c>
      <c r="DJ161" s="93" cm="1">
        <f t="array" ref="DJ161">SUMPRODUCT(TRANSPOSE(DJ$4:DJ$20),$G161:$W161)</f>
        <v>0</v>
      </c>
      <c r="DK161" s="93" cm="1">
        <f t="array" ref="DK161">SUMPRODUCT(TRANSPOSE(DK$4:DK$20),$G161:$W161)</f>
        <v>0</v>
      </c>
      <c r="DL161" s="93" cm="1">
        <f t="array" ref="DL161">SUMPRODUCT(TRANSPOSE(DL$4:DL$20),$G161:$W161)</f>
        <v>0</v>
      </c>
      <c r="DM161" s="93" cm="1">
        <f t="array" ref="DM161">SUMPRODUCT(TRANSPOSE(DM$4:DM$20),$G161:$W161)</f>
        <v>0</v>
      </c>
      <c r="DN161" s="93" cm="1">
        <f t="array" ref="DN161">SUMPRODUCT(TRANSPOSE(DN$4:DN$20),$G161:$W161)</f>
        <v>0</v>
      </c>
      <c r="DO161" s="93" cm="1">
        <f t="array" ref="DO161">SUMPRODUCT(TRANSPOSE(DO$4:DO$20),$G161:$W161)</f>
        <v>0</v>
      </c>
    </row>
    <row r="162" spans="1:119" x14ac:dyDescent="0.2">
      <c r="A162" s="45">
        <f t="shared" si="28"/>
        <v>141</v>
      </c>
      <c r="B162" s="46" t="s">
        <v>410</v>
      </c>
      <c r="C162" s="45">
        <v>401172747</v>
      </c>
      <c r="D162" s="45" t="s">
        <v>411</v>
      </c>
      <c r="E162" s="45" t="s">
        <v>162</v>
      </c>
      <c r="F162" s="48">
        <v>2</v>
      </c>
      <c r="G162" s="100">
        <v>0</v>
      </c>
      <c r="H162" s="100">
        <v>0</v>
      </c>
      <c r="I162" s="100">
        <v>0</v>
      </c>
      <c r="J162" s="100">
        <v>0</v>
      </c>
      <c r="K162" s="100">
        <v>0</v>
      </c>
      <c r="L162" s="100">
        <v>0</v>
      </c>
      <c r="M162" s="100">
        <v>0</v>
      </c>
      <c r="N162" s="100">
        <v>0</v>
      </c>
      <c r="O162" s="100">
        <v>0</v>
      </c>
      <c r="P162" s="100">
        <v>0</v>
      </c>
      <c r="Q162" s="100">
        <v>639</v>
      </c>
      <c r="R162" s="100">
        <v>0</v>
      </c>
      <c r="S162" s="100">
        <v>0</v>
      </c>
      <c r="T162" s="100">
        <v>0</v>
      </c>
      <c r="U162" s="100">
        <v>231</v>
      </c>
      <c r="V162" s="100">
        <v>0</v>
      </c>
      <c r="W162" s="100">
        <v>0</v>
      </c>
      <c r="X162" s="45" t="s">
        <v>66</v>
      </c>
      <c r="Y162" s="49">
        <v>1.6500000000000001E-2</v>
      </c>
      <c r="Z162" s="45">
        <v>690000</v>
      </c>
      <c r="AA162" s="45">
        <v>0</v>
      </c>
      <c r="AB162" s="45">
        <v>0</v>
      </c>
      <c r="AC162" s="45">
        <v>0</v>
      </c>
      <c r="AD162" s="45">
        <v>0</v>
      </c>
      <c r="AE162" s="45">
        <v>0</v>
      </c>
      <c r="AF162" s="45">
        <v>0</v>
      </c>
      <c r="AG162" s="45">
        <v>0</v>
      </c>
      <c r="AH162" s="45">
        <v>0</v>
      </c>
      <c r="AI162" s="45">
        <v>0</v>
      </c>
      <c r="AJ162" s="45">
        <v>0</v>
      </c>
      <c r="AK162" s="45">
        <v>0</v>
      </c>
      <c r="AL162" s="45">
        <v>0</v>
      </c>
      <c r="AM162" s="45">
        <v>0</v>
      </c>
      <c r="AN162" s="45">
        <v>0</v>
      </c>
      <c r="AO162" s="45"/>
      <c r="AP162" s="45"/>
      <c r="AQ162" s="45"/>
      <c r="AR162" s="45"/>
      <c r="AS162" s="45"/>
      <c r="AT162" s="45"/>
      <c r="AU162" s="45"/>
      <c r="AV162" s="45"/>
      <c r="AW162" s="45"/>
      <c r="AX162" s="45"/>
      <c r="AY162" s="45"/>
      <c r="AZ162" s="45"/>
      <c r="BA162" s="45"/>
      <c r="BB162" s="45"/>
      <c r="BC162" s="45"/>
      <c r="BD162" s="93"/>
      <c r="BE162" s="93"/>
      <c r="BF162" s="93"/>
      <c r="BG162" s="93"/>
      <c r="BH162" s="93"/>
      <c r="BI162" s="93"/>
      <c r="BJ162" s="93"/>
      <c r="BK162" s="93">
        <f>SUM($Z162:AD162)-SUM($CM162:CQ162)</f>
        <v>657702</v>
      </c>
      <c r="BL162" s="93">
        <f>SUM($Z162:AE162)-SUM($CM162:CR162)</f>
        <v>627252</v>
      </c>
      <c r="BM162" s="93">
        <f>SUM($Z162:AF162)-SUM($CM162:CS162)</f>
        <v>597957</v>
      </c>
      <c r="BN162" s="93">
        <f>SUM($Z162:AG162)-SUM($CM162:CT162)</f>
        <v>571857</v>
      </c>
      <c r="BO162" s="93">
        <f>SUM($Z162:AH162)-SUM($CM162:CU162)</f>
        <v>545757</v>
      </c>
      <c r="BP162" s="93">
        <f>SUM($Z162:AI162)-SUM($CM162:CV162)</f>
        <v>519657</v>
      </c>
      <c r="BQ162" s="93">
        <f>SUM($Z162:AJ162)-SUM($CM162:CW162)</f>
        <v>493557</v>
      </c>
      <c r="BR162" s="93">
        <f>SUM($Z162:AK162)-SUM($CM162:CX162)</f>
        <v>467457</v>
      </c>
      <c r="BS162" s="93">
        <f>SUM($Z162:AL162)-SUM($CM162:CY162)</f>
        <v>441357</v>
      </c>
      <c r="BT162" s="93">
        <f>SUM($Z162:AM162)-SUM($CM162:CZ162)</f>
        <v>415257</v>
      </c>
      <c r="BU162" s="93">
        <f>SUM($Z162:AN162)-SUM($CM162:DA162)</f>
        <v>389157</v>
      </c>
      <c r="BV162" s="93">
        <f>SUM($Z162:AO162)-SUM($CM162:DB162)</f>
        <v>380211</v>
      </c>
      <c r="BW162" s="93">
        <f>SUM($Z162:AP162)-SUM($CM162:DC162)</f>
        <v>380211</v>
      </c>
      <c r="BX162" s="93">
        <f>SUM($Z162:AQ162)-SUM($CM162:DD162)</f>
        <v>380211</v>
      </c>
      <c r="BY162" s="93">
        <f>SUM($Z162:AR162)-SUM($CM162:DE162)</f>
        <v>380211</v>
      </c>
      <c r="BZ162" s="93">
        <f>SUM($Z162:AS162)-SUM($CM162:DF162)</f>
        <v>380211</v>
      </c>
      <c r="CA162" s="93">
        <f>SUM($Z162:AT162)-SUM($CM162:DG162)</f>
        <v>380211</v>
      </c>
      <c r="CB162" s="93">
        <f>SUM($Z162:AU162)-SUM($CM162:DH162)</f>
        <v>380211</v>
      </c>
      <c r="CC162" s="93">
        <f>SUM($Z162:AV162)-SUM($CM162:DI162)</f>
        <v>380211</v>
      </c>
      <c r="CD162" s="93">
        <f>SUM($Z162:AW162)-SUM($CM162:DJ162)</f>
        <v>380211</v>
      </c>
      <c r="CE162" s="93">
        <f>SUM($Z162:AX162)-SUM($CM162:DK162)</f>
        <v>380211</v>
      </c>
      <c r="CF162" s="93">
        <f>SUM($Z162:AY162)-SUM($CM162:DL162)</f>
        <v>380211</v>
      </c>
      <c r="CG162" s="93">
        <f>SUM($Z162:AZ162)-SUM($CM162:DM162)</f>
        <v>380211</v>
      </c>
      <c r="CH162" s="93">
        <f>SUM($Z162:BA162)-SUM($CM162:DN162)</f>
        <v>380211</v>
      </c>
      <c r="CI162" s="93">
        <f>SUM($Z162:BB162)-SUM($CM162:DO162)</f>
        <v>380211</v>
      </c>
      <c r="CJ162" s="93"/>
      <c r="CK162" s="93"/>
      <c r="CL162" s="93"/>
      <c r="CM162" s="93"/>
      <c r="CN162" s="93" cm="1">
        <f t="array" ref="CN162">SUMPRODUCT(TRANSPOSE(CN$4:CN$20),$G162:$W162)</f>
        <v>0</v>
      </c>
      <c r="CO162" s="93" cm="1">
        <f t="array" ref="CO162">SUMPRODUCT(TRANSPOSE(CO$4:CO$20),$G162:$W162)</f>
        <v>0</v>
      </c>
      <c r="CP162" s="93" cm="1">
        <f t="array" ref="CP162">SUMPRODUCT(TRANSPOSE(CP$4:CP$20),$G162:$W162)</f>
        <v>0</v>
      </c>
      <c r="CQ162" s="93" cm="1">
        <f t="array" ref="CQ162">SUMPRODUCT(TRANSPOSE(CQ$4:CQ$20),$G162:$W162)</f>
        <v>32298</v>
      </c>
      <c r="CR162" s="93" cm="1">
        <f t="array" ref="CR162">SUMPRODUCT(TRANSPOSE(CR$4:CR$20),$G162:$W162)</f>
        <v>30450</v>
      </c>
      <c r="CS162" s="93" cm="1">
        <f t="array" ref="CS162">SUMPRODUCT(TRANSPOSE(CS$4:CS$20),$G162:$W162)</f>
        <v>29295</v>
      </c>
      <c r="CT162" s="93" cm="1">
        <f t="array" ref="CT162">SUMPRODUCT(TRANSPOSE(CT$4:CT$20),$G162:$W162)</f>
        <v>26100</v>
      </c>
      <c r="CU162" s="93" cm="1">
        <f t="array" ref="CU162">SUMPRODUCT(TRANSPOSE(CU$4:CU$20),$G162:$W162)</f>
        <v>26100</v>
      </c>
      <c r="CV162" s="93" cm="1">
        <f t="array" ref="CV162">SUMPRODUCT(TRANSPOSE(CV$4:CV$20),$G162:$W162)</f>
        <v>26100</v>
      </c>
      <c r="CW162" s="93" cm="1">
        <f t="array" ref="CW162">SUMPRODUCT(TRANSPOSE(CW$4:CW$20),$G162:$W162)</f>
        <v>26100</v>
      </c>
      <c r="CX162" s="93" cm="1">
        <f t="array" ref="CX162">SUMPRODUCT(TRANSPOSE(CX$4:CX$20),$G162:$W162)</f>
        <v>26100</v>
      </c>
      <c r="CY162" s="93" cm="1">
        <f t="array" ref="CY162">SUMPRODUCT(TRANSPOSE(CY$4:CY$20),$G162:$W162)</f>
        <v>26100</v>
      </c>
      <c r="CZ162" s="93" cm="1">
        <f t="array" ref="CZ162">SUMPRODUCT(TRANSPOSE(CZ$4:CZ$20),$G162:$W162)</f>
        <v>26100</v>
      </c>
      <c r="DA162" s="93" cm="1">
        <f t="array" ref="DA162">SUMPRODUCT(TRANSPOSE(DA$4:DA$20),$G162:$W162)</f>
        <v>26100</v>
      </c>
      <c r="DB162" s="93" cm="1">
        <f t="array" ref="DB162">SUMPRODUCT(TRANSPOSE(DB$4:DB$20),$G162:$W162)</f>
        <v>8946</v>
      </c>
      <c r="DC162" s="93" cm="1">
        <f t="array" ref="DC162">SUMPRODUCT(TRANSPOSE(DC$4:DC$20),$G162:$W162)</f>
        <v>0</v>
      </c>
      <c r="DD162" s="93" cm="1">
        <f t="array" ref="DD162">SUMPRODUCT(TRANSPOSE(DD$4:DD$20),$G162:$W162)</f>
        <v>0</v>
      </c>
      <c r="DE162" s="93" cm="1">
        <f t="array" ref="DE162">SUMPRODUCT(TRANSPOSE(DE$4:DE$20),$G162:$W162)</f>
        <v>0</v>
      </c>
      <c r="DF162" s="93" cm="1">
        <f t="array" ref="DF162">SUMPRODUCT(TRANSPOSE(DF$4:DF$20),$G162:$W162)</f>
        <v>0</v>
      </c>
      <c r="DG162" s="93" cm="1">
        <f t="array" ref="DG162">SUMPRODUCT(TRANSPOSE(DG$4:DG$20),$G162:$W162)</f>
        <v>0</v>
      </c>
      <c r="DH162" s="93" cm="1">
        <f t="array" ref="DH162">SUMPRODUCT(TRANSPOSE(DH$4:DH$20),$G162:$W162)</f>
        <v>0</v>
      </c>
      <c r="DI162" s="93" cm="1">
        <f t="array" ref="DI162">SUMPRODUCT(TRANSPOSE(DI$4:DI$20),$G162:$W162)</f>
        <v>0</v>
      </c>
      <c r="DJ162" s="93" cm="1">
        <f t="array" ref="DJ162">SUMPRODUCT(TRANSPOSE(DJ$4:DJ$20),$G162:$W162)</f>
        <v>0</v>
      </c>
      <c r="DK162" s="93" cm="1">
        <f t="array" ref="DK162">SUMPRODUCT(TRANSPOSE(DK$4:DK$20),$G162:$W162)</f>
        <v>0</v>
      </c>
      <c r="DL162" s="93" cm="1">
        <f t="array" ref="DL162">SUMPRODUCT(TRANSPOSE(DL$4:DL$20),$G162:$W162)</f>
        <v>0</v>
      </c>
      <c r="DM162" s="93" cm="1">
        <f t="array" ref="DM162">SUMPRODUCT(TRANSPOSE(DM$4:DM$20),$G162:$W162)</f>
        <v>0</v>
      </c>
      <c r="DN162" s="93" cm="1">
        <f t="array" ref="DN162">SUMPRODUCT(TRANSPOSE(DN$4:DN$20),$G162:$W162)</f>
        <v>0</v>
      </c>
      <c r="DO162" s="93" cm="1">
        <f t="array" ref="DO162">SUMPRODUCT(TRANSPOSE(DO$4:DO$20),$G162:$W162)</f>
        <v>0</v>
      </c>
    </row>
    <row r="163" spans="1:119" x14ac:dyDescent="0.2">
      <c r="A163" s="45">
        <f t="shared" si="28"/>
        <v>142</v>
      </c>
      <c r="B163" s="46" t="s">
        <v>412</v>
      </c>
      <c r="C163" s="45">
        <v>400536577</v>
      </c>
      <c r="D163" s="45" t="s">
        <v>413</v>
      </c>
      <c r="E163" s="45" t="s">
        <v>162</v>
      </c>
      <c r="F163" s="48">
        <v>2</v>
      </c>
      <c r="G163" s="100">
        <v>0</v>
      </c>
      <c r="H163" s="100">
        <v>0</v>
      </c>
      <c r="I163" s="100">
        <v>0</v>
      </c>
      <c r="J163" s="100">
        <v>0</v>
      </c>
      <c r="K163" s="100">
        <v>0</v>
      </c>
      <c r="L163" s="100">
        <v>0</v>
      </c>
      <c r="M163" s="100">
        <v>0</v>
      </c>
      <c r="N163" s="100">
        <v>0</v>
      </c>
      <c r="O163" s="100">
        <v>0</v>
      </c>
      <c r="P163" s="100">
        <v>0</v>
      </c>
      <c r="Q163" s="100">
        <v>210</v>
      </c>
      <c r="R163" s="100">
        <v>0</v>
      </c>
      <c r="S163" s="100">
        <v>0</v>
      </c>
      <c r="T163" s="100">
        <v>0</v>
      </c>
      <c r="U163" s="100">
        <v>74</v>
      </c>
      <c r="V163" s="100">
        <v>0</v>
      </c>
      <c r="W163" s="100">
        <v>0</v>
      </c>
      <c r="X163" s="45" t="s">
        <v>67</v>
      </c>
      <c r="Y163" s="49">
        <v>2.3999999999999998E-3</v>
      </c>
      <c r="Z163" s="45">
        <v>230000</v>
      </c>
      <c r="AA163" s="45">
        <v>0</v>
      </c>
      <c r="AB163" s="45">
        <v>0</v>
      </c>
      <c r="AC163" s="45">
        <v>0</v>
      </c>
      <c r="AD163" s="45">
        <v>0</v>
      </c>
      <c r="AE163" s="45">
        <v>0</v>
      </c>
      <c r="AF163" s="45">
        <v>0</v>
      </c>
      <c r="AG163" s="45">
        <v>0</v>
      </c>
      <c r="AH163" s="45">
        <v>0</v>
      </c>
      <c r="AI163" s="45">
        <v>0</v>
      </c>
      <c r="AJ163" s="45">
        <v>0</v>
      </c>
      <c r="AK163" s="45">
        <v>0</v>
      </c>
      <c r="AL163" s="45">
        <v>0</v>
      </c>
      <c r="AM163" s="45">
        <v>0</v>
      </c>
      <c r="AN163" s="45">
        <v>0</v>
      </c>
      <c r="AO163" s="45"/>
      <c r="AP163" s="45"/>
      <c r="AQ163" s="45"/>
      <c r="AR163" s="45"/>
      <c r="AS163" s="45"/>
      <c r="AT163" s="45"/>
      <c r="AU163" s="45"/>
      <c r="AV163" s="45"/>
      <c r="AW163" s="45"/>
      <c r="AX163" s="45"/>
      <c r="AY163" s="45"/>
      <c r="AZ163" s="45"/>
      <c r="BA163" s="45"/>
      <c r="BB163" s="45"/>
      <c r="BC163" s="45"/>
      <c r="BD163" s="93"/>
      <c r="BE163" s="93"/>
      <c r="BF163" s="93"/>
      <c r="BG163" s="93"/>
      <c r="BH163" s="93"/>
      <c r="BI163" s="93"/>
      <c r="BJ163" s="93"/>
      <c r="BK163" s="93">
        <f>SUM($Z163:AD163)-SUM($CM163:CQ163)</f>
        <v>219468</v>
      </c>
      <c r="BL163" s="93">
        <f>SUM($Z163:AE163)-SUM($CM163:CR163)</f>
        <v>209528</v>
      </c>
      <c r="BM163" s="93">
        <f>SUM($Z163:AF163)-SUM($CM163:CS163)</f>
        <v>199958</v>
      </c>
      <c r="BN163" s="93">
        <f>SUM($Z163:AG163)-SUM($CM163:CT163)</f>
        <v>191438</v>
      </c>
      <c r="BO163" s="93">
        <f>SUM($Z163:AH163)-SUM($CM163:CU163)</f>
        <v>182918</v>
      </c>
      <c r="BP163" s="93">
        <f>SUM($Z163:AI163)-SUM($CM163:CV163)</f>
        <v>174398</v>
      </c>
      <c r="BQ163" s="93">
        <f>SUM($Z163:AJ163)-SUM($CM163:CW163)</f>
        <v>165878</v>
      </c>
      <c r="BR163" s="93">
        <f>SUM($Z163:AK163)-SUM($CM163:CX163)</f>
        <v>157358</v>
      </c>
      <c r="BS163" s="93">
        <f>SUM($Z163:AL163)-SUM($CM163:CY163)</f>
        <v>148838</v>
      </c>
      <c r="BT163" s="93">
        <f>SUM($Z163:AM163)-SUM($CM163:CZ163)</f>
        <v>140318</v>
      </c>
      <c r="BU163" s="93">
        <f>SUM($Z163:AN163)-SUM($CM163:DA163)</f>
        <v>131798</v>
      </c>
      <c r="BV163" s="93">
        <f>SUM($Z163:AO163)-SUM($CM163:DB163)</f>
        <v>128858</v>
      </c>
      <c r="BW163" s="93">
        <f>SUM($Z163:AP163)-SUM($CM163:DC163)</f>
        <v>128858</v>
      </c>
      <c r="BX163" s="93">
        <f>SUM($Z163:AQ163)-SUM($CM163:DD163)</f>
        <v>128858</v>
      </c>
      <c r="BY163" s="93">
        <f>SUM($Z163:AR163)-SUM($CM163:DE163)</f>
        <v>128858</v>
      </c>
      <c r="BZ163" s="93">
        <f>SUM($Z163:AS163)-SUM($CM163:DF163)</f>
        <v>128858</v>
      </c>
      <c r="CA163" s="93">
        <f>SUM($Z163:AT163)-SUM($CM163:DG163)</f>
        <v>128858</v>
      </c>
      <c r="CB163" s="93">
        <f>SUM($Z163:AU163)-SUM($CM163:DH163)</f>
        <v>128858</v>
      </c>
      <c r="CC163" s="93">
        <f>SUM($Z163:AV163)-SUM($CM163:DI163)</f>
        <v>128858</v>
      </c>
      <c r="CD163" s="93">
        <f>SUM($Z163:AW163)-SUM($CM163:DJ163)</f>
        <v>128858</v>
      </c>
      <c r="CE163" s="93">
        <f>SUM($Z163:AX163)-SUM($CM163:DK163)</f>
        <v>128858</v>
      </c>
      <c r="CF163" s="93">
        <f>SUM($Z163:AY163)-SUM($CM163:DL163)</f>
        <v>128858</v>
      </c>
      <c r="CG163" s="93">
        <f>SUM($Z163:AZ163)-SUM($CM163:DM163)</f>
        <v>128858</v>
      </c>
      <c r="CH163" s="93">
        <f>SUM($Z163:BA163)-SUM($CM163:DN163)</f>
        <v>128858</v>
      </c>
      <c r="CI163" s="93">
        <f>SUM($Z163:BB163)-SUM($CM163:DO163)</f>
        <v>128858</v>
      </c>
      <c r="CJ163" s="93"/>
      <c r="CK163" s="93"/>
      <c r="CL163" s="93"/>
      <c r="CM163" s="93"/>
      <c r="CN163" s="93" cm="1">
        <f t="array" ref="CN163">SUMPRODUCT(TRANSPOSE(CN$4:CN$20),$G163:$W163)</f>
        <v>0</v>
      </c>
      <c r="CO163" s="93" cm="1">
        <f t="array" ref="CO163">SUMPRODUCT(TRANSPOSE(CO$4:CO$20),$G163:$W163)</f>
        <v>0</v>
      </c>
      <c r="CP163" s="93" cm="1">
        <f t="array" ref="CP163">SUMPRODUCT(TRANSPOSE(CP$4:CP$20),$G163:$W163)</f>
        <v>0</v>
      </c>
      <c r="CQ163" s="93" cm="1">
        <f t="array" ref="CQ163">SUMPRODUCT(TRANSPOSE(CQ$4:CQ$20),$G163:$W163)</f>
        <v>10532</v>
      </c>
      <c r="CR163" s="93" cm="1">
        <f t="array" ref="CR163">SUMPRODUCT(TRANSPOSE(CR$4:CR$20),$G163:$W163)</f>
        <v>9940</v>
      </c>
      <c r="CS163" s="93" cm="1">
        <f t="array" ref="CS163">SUMPRODUCT(TRANSPOSE(CS$4:CS$20),$G163:$W163)</f>
        <v>9570</v>
      </c>
      <c r="CT163" s="93" cm="1">
        <f t="array" ref="CT163">SUMPRODUCT(TRANSPOSE(CT$4:CT$20),$G163:$W163)</f>
        <v>8520</v>
      </c>
      <c r="CU163" s="93" cm="1">
        <f t="array" ref="CU163">SUMPRODUCT(TRANSPOSE(CU$4:CU$20),$G163:$W163)</f>
        <v>8520</v>
      </c>
      <c r="CV163" s="93" cm="1">
        <f t="array" ref="CV163">SUMPRODUCT(TRANSPOSE(CV$4:CV$20),$G163:$W163)</f>
        <v>8520</v>
      </c>
      <c r="CW163" s="93" cm="1">
        <f t="array" ref="CW163">SUMPRODUCT(TRANSPOSE(CW$4:CW$20),$G163:$W163)</f>
        <v>8520</v>
      </c>
      <c r="CX163" s="93" cm="1">
        <f t="array" ref="CX163">SUMPRODUCT(TRANSPOSE(CX$4:CX$20),$G163:$W163)</f>
        <v>8520</v>
      </c>
      <c r="CY163" s="93" cm="1">
        <f t="array" ref="CY163">SUMPRODUCT(TRANSPOSE(CY$4:CY$20),$G163:$W163)</f>
        <v>8520</v>
      </c>
      <c r="CZ163" s="93" cm="1">
        <f t="array" ref="CZ163">SUMPRODUCT(TRANSPOSE(CZ$4:CZ$20),$G163:$W163)</f>
        <v>8520</v>
      </c>
      <c r="DA163" s="93" cm="1">
        <f t="array" ref="DA163">SUMPRODUCT(TRANSPOSE(DA$4:DA$20),$G163:$W163)</f>
        <v>8520</v>
      </c>
      <c r="DB163" s="93" cm="1">
        <f t="array" ref="DB163">SUMPRODUCT(TRANSPOSE(DB$4:DB$20),$G163:$W163)</f>
        <v>2940</v>
      </c>
      <c r="DC163" s="93" cm="1">
        <f t="array" ref="DC163">SUMPRODUCT(TRANSPOSE(DC$4:DC$20),$G163:$W163)</f>
        <v>0</v>
      </c>
      <c r="DD163" s="93" cm="1">
        <f t="array" ref="DD163">SUMPRODUCT(TRANSPOSE(DD$4:DD$20),$G163:$W163)</f>
        <v>0</v>
      </c>
      <c r="DE163" s="93" cm="1">
        <f t="array" ref="DE163">SUMPRODUCT(TRANSPOSE(DE$4:DE$20),$G163:$W163)</f>
        <v>0</v>
      </c>
      <c r="DF163" s="93" cm="1">
        <f t="array" ref="DF163">SUMPRODUCT(TRANSPOSE(DF$4:DF$20),$G163:$W163)</f>
        <v>0</v>
      </c>
      <c r="DG163" s="93" cm="1">
        <f t="array" ref="DG163">SUMPRODUCT(TRANSPOSE(DG$4:DG$20),$G163:$W163)</f>
        <v>0</v>
      </c>
      <c r="DH163" s="93" cm="1">
        <f t="array" ref="DH163">SUMPRODUCT(TRANSPOSE(DH$4:DH$20),$G163:$W163)</f>
        <v>0</v>
      </c>
      <c r="DI163" s="93" cm="1">
        <f t="array" ref="DI163">SUMPRODUCT(TRANSPOSE(DI$4:DI$20),$G163:$W163)</f>
        <v>0</v>
      </c>
      <c r="DJ163" s="93" cm="1">
        <f t="array" ref="DJ163">SUMPRODUCT(TRANSPOSE(DJ$4:DJ$20),$G163:$W163)</f>
        <v>0</v>
      </c>
      <c r="DK163" s="93" cm="1">
        <f t="array" ref="DK163">SUMPRODUCT(TRANSPOSE(DK$4:DK$20),$G163:$W163)</f>
        <v>0</v>
      </c>
      <c r="DL163" s="93" cm="1">
        <f t="array" ref="DL163">SUMPRODUCT(TRANSPOSE(DL$4:DL$20),$G163:$W163)</f>
        <v>0</v>
      </c>
      <c r="DM163" s="93" cm="1">
        <f t="array" ref="DM163">SUMPRODUCT(TRANSPOSE(DM$4:DM$20),$G163:$W163)</f>
        <v>0</v>
      </c>
      <c r="DN163" s="93" cm="1">
        <f t="array" ref="DN163">SUMPRODUCT(TRANSPOSE(DN$4:DN$20),$G163:$W163)</f>
        <v>0</v>
      </c>
      <c r="DO163" s="93" cm="1">
        <f t="array" ref="DO163">SUMPRODUCT(TRANSPOSE(DO$4:DO$20),$G163:$W163)</f>
        <v>0</v>
      </c>
    </row>
    <row r="164" spans="1:119" x14ac:dyDescent="0.2">
      <c r="A164" s="45">
        <f t="shared" si="28"/>
        <v>143</v>
      </c>
      <c r="B164" s="46" t="s">
        <v>414</v>
      </c>
      <c r="C164" s="45">
        <v>400984937</v>
      </c>
      <c r="D164" s="45" t="s">
        <v>415</v>
      </c>
      <c r="E164" s="45" t="s">
        <v>162</v>
      </c>
      <c r="F164" s="48">
        <v>2</v>
      </c>
      <c r="G164" s="100">
        <v>0</v>
      </c>
      <c r="H164" s="100">
        <v>0</v>
      </c>
      <c r="I164" s="100">
        <v>0</v>
      </c>
      <c r="J164" s="100">
        <v>0</v>
      </c>
      <c r="K164" s="100">
        <v>0</v>
      </c>
      <c r="L164" s="100">
        <v>0</v>
      </c>
      <c r="M164" s="100">
        <v>0</v>
      </c>
      <c r="N164" s="100">
        <v>0</v>
      </c>
      <c r="O164" s="100">
        <v>0</v>
      </c>
      <c r="P164" s="100">
        <v>0</v>
      </c>
      <c r="Q164" s="100">
        <v>343</v>
      </c>
      <c r="R164" s="100">
        <v>4</v>
      </c>
      <c r="S164" s="100">
        <v>0</v>
      </c>
      <c r="T164" s="100">
        <v>0</v>
      </c>
      <c r="U164" s="100">
        <v>3</v>
      </c>
      <c r="V164" s="100">
        <v>4</v>
      </c>
      <c r="W164" s="100">
        <v>0</v>
      </c>
      <c r="X164" s="45" t="s">
        <v>67</v>
      </c>
      <c r="Y164" s="49">
        <v>1.8E-3</v>
      </c>
      <c r="Z164" s="45">
        <v>380000</v>
      </c>
      <c r="AA164" s="45">
        <v>0</v>
      </c>
      <c r="AB164" s="45">
        <v>0</v>
      </c>
      <c r="AC164" s="45">
        <v>0</v>
      </c>
      <c r="AD164" s="45">
        <v>0</v>
      </c>
      <c r="AE164" s="45">
        <v>0</v>
      </c>
      <c r="AF164" s="45">
        <v>0</v>
      </c>
      <c r="AG164" s="45">
        <v>0</v>
      </c>
      <c r="AH164" s="45">
        <v>0</v>
      </c>
      <c r="AI164" s="45">
        <v>0</v>
      </c>
      <c r="AJ164" s="45">
        <v>0</v>
      </c>
      <c r="AK164" s="45">
        <v>0</v>
      </c>
      <c r="AL164" s="45">
        <v>0</v>
      </c>
      <c r="AM164" s="45">
        <v>0</v>
      </c>
      <c r="AN164" s="45">
        <v>0</v>
      </c>
      <c r="AO164" s="45"/>
      <c r="AP164" s="45"/>
      <c r="AQ164" s="45"/>
      <c r="AR164" s="45"/>
      <c r="AS164" s="45"/>
      <c r="AT164" s="45"/>
      <c r="AU164" s="45"/>
      <c r="AV164" s="45"/>
      <c r="AW164" s="45"/>
      <c r="AX164" s="45"/>
      <c r="AY164" s="45"/>
      <c r="AZ164" s="45"/>
      <c r="BA164" s="45"/>
      <c r="BB164" s="45"/>
      <c r="BC164" s="45"/>
      <c r="BD164" s="93"/>
      <c r="BE164" s="93"/>
      <c r="BF164" s="93"/>
      <c r="BG164" s="93"/>
      <c r="BH164" s="93"/>
      <c r="BI164" s="93"/>
      <c r="BJ164" s="93"/>
      <c r="BK164" s="93">
        <f>SUM($Z164:AD164)-SUM($CM164:CQ164)</f>
        <v>367586</v>
      </c>
      <c r="BL164" s="93">
        <f>SUM($Z164:AE164)-SUM($CM164:CR164)</f>
        <v>355196</v>
      </c>
      <c r="BM164" s="93">
        <f>SUM($Z164:AF164)-SUM($CM164:CS164)</f>
        <v>342821</v>
      </c>
      <c r="BN164" s="93">
        <f>SUM($Z164:AG164)-SUM($CM164:CT164)</f>
        <v>332161</v>
      </c>
      <c r="BO164" s="93">
        <f>SUM($Z164:AH164)-SUM($CM164:CU164)</f>
        <v>321501</v>
      </c>
      <c r="BP164" s="93">
        <f>SUM($Z164:AI164)-SUM($CM164:CV164)</f>
        <v>310841</v>
      </c>
      <c r="BQ164" s="93">
        <f>SUM($Z164:AJ164)-SUM($CM164:CW164)</f>
        <v>300181</v>
      </c>
      <c r="BR164" s="93">
        <f>SUM($Z164:AK164)-SUM($CM164:CX164)</f>
        <v>289521</v>
      </c>
      <c r="BS164" s="93">
        <f>SUM($Z164:AL164)-SUM($CM164:CY164)</f>
        <v>278861</v>
      </c>
      <c r="BT164" s="93">
        <f>SUM($Z164:AM164)-SUM($CM164:CZ164)</f>
        <v>268341</v>
      </c>
      <c r="BU164" s="93">
        <f>SUM($Z164:AN164)-SUM($CM164:DA164)</f>
        <v>257961</v>
      </c>
      <c r="BV164" s="93">
        <f>SUM($Z164:AO164)-SUM($CM164:DB164)</f>
        <v>253159</v>
      </c>
      <c r="BW164" s="93">
        <f>SUM($Z164:AP164)-SUM($CM164:DC164)</f>
        <v>253159</v>
      </c>
      <c r="BX164" s="93">
        <f>SUM($Z164:AQ164)-SUM($CM164:DD164)</f>
        <v>253159</v>
      </c>
      <c r="BY164" s="93">
        <f>SUM($Z164:AR164)-SUM($CM164:DE164)</f>
        <v>253159</v>
      </c>
      <c r="BZ164" s="93">
        <f>SUM($Z164:AS164)-SUM($CM164:DF164)</f>
        <v>253159</v>
      </c>
      <c r="CA164" s="93">
        <f>SUM($Z164:AT164)-SUM($CM164:DG164)</f>
        <v>253159</v>
      </c>
      <c r="CB164" s="93">
        <f>SUM($Z164:AU164)-SUM($CM164:DH164)</f>
        <v>253159</v>
      </c>
      <c r="CC164" s="93">
        <f>SUM($Z164:AV164)-SUM($CM164:DI164)</f>
        <v>253159</v>
      </c>
      <c r="CD164" s="93">
        <f>SUM($Z164:AW164)-SUM($CM164:DJ164)</f>
        <v>253159</v>
      </c>
      <c r="CE164" s="93">
        <f>SUM($Z164:AX164)-SUM($CM164:DK164)</f>
        <v>253159</v>
      </c>
      <c r="CF164" s="93">
        <f>SUM($Z164:AY164)-SUM($CM164:DL164)</f>
        <v>253159</v>
      </c>
      <c r="CG164" s="93">
        <f>SUM($Z164:AZ164)-SUM($CM164:DM164)</f>
        <v>253159</v>
      </c>
      <c r="CH164" s="93">
        <f>SUM($Z164:BA164)-SUM($CM164:DN164)</f>
        <v>253159</v>
      </c>
      <c r="CI164" s="93">
        <f>SUM($Z164:BB164)-SUM($CM164:DO164)</f>
        <v>253159</v>
      </c>
      <c r="CJ164" s="93"/>
      <c r="CK164" s="93"/>
      <c r="CL164" s="93"/>
      <c r="CM164" s="93"/>
      <c r="CN164" s="93" cm="1">
        <f t="array" ref="CN164">SUMPRODUCT(TRANSPOSE(CN$4:CN$20),$G164:$W164)</f>
        <v>0</v>
      </c>
      <c r="CO164" s="93" cm="1">
        <f t="array" ref="CO164">SUMPRODUCT(TRANSPOSE(CO$4:CO$20),$G164:$W164)</f>
        <v>0</v>
      </c>
      <c r="CP164" s="93" cm="1">
        <f t="array" ref="CP164">SUMPRODUCT(TRANSPOSE(CP$4:CP$20),$G164:$W164)</f>
        <v>0</v>
      </c>
      <c r="CQ164" s="93" cm="1">
        <f t="array" ref="CQ164">SUMPRODUCT(TRANSPOSE(CQ$4:CQ$20),$G164:$W164)</f>
        <v>12414</v>
      </c>
      <c r="CR164" s="93" cm="1">
        <f t="array" ref="CR164">SUMPRODUCT(TRANSPOSE(CR$4:CR$20),$G164:$W164)</f>
        <v>12390</v>
      </c>
      <c r="CS164" s="93" cm="1">
        <f t="array" ref="CS164">SUMPRODUCT(TRANSPOSE(CS$4:CS$20),$G164:$W164)</f>
        <v>12375</v>
      </c>
      <c r="CT164" s="93" cm="1">
        <f t="array" ref="CT164">SUMPRODUCT(TRANSPOSE(CT$4:CT$20),$G164:$W164)</f>
        <v>10660</v>
      </c>
      <c r="CU164" s="93" cm="1">
        <f t="array" ref="CU164">SUMPRODUCT(TRANSPOSE(CU$4:CU$20),$G164:$W164)</f>
        <v>10660</v>
      </c>
      <c r="CV164" s="93" cm="1">
        <f t="array" ref="CV164">SUMPRODUCT(TRANSPOSE(CV$4:CV$20),$G164:$W164)</f>
        <v>10660</v>
      </c>
      <c r="CW164" s="93" cm="1">
        <f t="array" ref="CW164">SUMPRODUCT(TRANSPOSE(CW$4:CW$20),$G164:$W164)</f>
        <v>10660</v>
      </c>
      <c r="CX164" s="93" cm="1">
        <f t="array" ref="CX164">SUMPRODUCT(TRANSPOSE(CX$4:CX$20),$G164:$W164)</f>
        <v>10660</v>
      </c>
      <c r="CY164" s="93" cm="1">
        <f t="array" ref="CY164">SUMPRODUCT(TRANSPOSE(CY$4:CY$20),$G164:$W164)</f>
        <v>10660</v>
      </c>
      <c r="CZ164" s="93" cm="1">
        <f t="array" ref="CZ164">SUMPRODUCT(TRANSPOSE(CZ$4:CZ$20),$G164:$W164)</f>
        <v>10520</v>
      </c>
      <c r="DA164" s="93" cm="1">
        <f t="array" ref="DA164">SUMPRODUCT(TRANSPOSE(DA$4:DA$20),$G164:$W164)</f>
        <v>10380</v>
      </c>
      <c r="DB164" s="93" cm="1">
        <f t="array" ref="DB164">SUMPRODUCT(TRANSPOSE(DB$4:DB$20),$G164:$W164)</f>
        <v>4802</v>
      </c>
      <c r="DC164" s="93" cm="1">
        <f t="array" ref="DC164">SUMPRODUCT(TRANSPOSE(DC$4:DC$20),$G164:$W164)</f>
        <v>0</v>
      </c>
      <c r="DD164" s="93" cm="1">
        <f t="array" ref="DD164">SUMPRODUCT(TRANSPOSE(DD$4:DD$20),$G164:$W164)</f>
        <v>0</v>
      </c>
      <c r="DE164" s="93" cm="1">
        <f t="array" ref="DE164">SUMPRODUCT(TRANSPOSE(DE$4:DE$20),$G164:$W164)</f>
        <v>0</v>
      </c>
      <c r="DF164" s="93" cm="1">
        <f t="array" ref="DF164">SUMPRODUCT(TRANSPOSE(DF$4:DF$20),$G164:$W164)</f>
        <v>0</v>
      </c>
      <c r="DG164" s="93" cm="1">
        <f t="array" ref="DG164">SUMPRODUCT(TRANSPOSE(DG$4:DG$20),$G164:$W164)</f>
        <v>0</v>
      </c>
      <c r="DH164" s="93" cm="1">
        <f t="array" ref="DH164">SUMPRODUCT(TRANSPOSE(DH$4:DH$20),$G164:$W164)</f>
        <v>0</v>
      </c>
      <c r="DI164" s="93" cm="1">
        <f t="array" ref="DI164">SUMPRODUCT(TRANSPOSE(DI$4:DI$20),$G164:$W164)</f>
        <v>0</v>
      </c>
      <c r="DJ164" s="93" cm="1">
        <f t="array" ref="DJ164">SUMPRODUCT(TRANSPOSE(DJ$4:DJ$20),$G164:$W164)</f>
        <v>0</v>
      </c>
      <c r="DK164" s="93" cm="1">
        <f t="array" ref="DK164">SUMPRODUCT(TRANSPOSE(DK$4:DK$20),$G164:$W164)</f>
        <v>0</v>
      </c>
      <c r="DL164" s="93" cm="1">
        <f t="array" ref="DL164">SUMPRODUCT(TRANSPOSE(DL$4:DL$20),$G164:$W164)</f>
        <v>0</v>
      </c>
      <c r="DM164" s="93" cm="1">
        <f t="array" ref="DM164">SUMPRODUCT(TRANSPOSE(DM$4:DM$20),$G164:$W164)</f>
        <v>0</v>
      </c>
      <c r="DN164" s="93" cm="1">
        <f t="array" ref="DN164">SUMPRODUCT(TRANSPOSE(DN$4:DN$20),$G164:$W164)</f>
        <v>0</v>
      </c>
      <c r="DO164" s="93" cm="1">
        <f t="array" ref="DO164">SUMPRODUCT(TRANSPOSE(DO$4:DO$20),$G164:$W164)</f>
        <v>0</v>
      </c>
    </row>
    <row r="165" spans="1:119" x14ac:dyDescent="0.2">
      <c r="A165" s="45">
        <f t="shared" si="28"/>
        <v>144</v>
      </c>
      <c r="B165" s="46" t="s">
        <v>416</v>
      </c>
      <c r="C165" s="45">
        <v>401246012</v>
      </c>
      <c r="D165" s="45" t="s">
        <v>417</v>
      </c>
      <c r="E165" s="45" t="s">
        <v>162</v>
      </c>
      <c r="F165" s="48">
        <v>2</v>
      </c>
      <c r="G165" s="100">
        <v>0</v>
      </c>
      <c r="H165" s="100">
        <v>0</v>
      </c>
      <c r="I165" s="100">
        <v>0</v>
      </c>
      <c r="J165" s="100">
        <v>0</v>
      </c>
      <c r="K165" s="100">
        <v>0</v>
      </c>
      <c r="L165" s="100">
        <v>0</v>
      </c>
      <c r="M165" s="100">
        <v>0</v>
      </c>
      <c r="N165" s="100">
        <v>0</v>
      </c>
      <c r="O165" s="100">
        <v>0</v>
      </c>
      <c r="P165" s="100">
        <v>0</v>
      </c>
      <c r="Q165" s="100">
        <v>6</v>
      </c>
      <c r="R165" s="100">
        <v>99</v>
      </c>
      <c r="S165" s="100">
        <v>0</v>
      </c>
      <c r="T165" s="100">
        <v>0</v>
      </c>
      <c r="U165" s="100">
        <v>6</v>
      </c>
      <c r="V165" s="100">
        <v>99</v>
      </c>
      <c r="W165" s="100">
        <v>0</v>
      </c>
      <c r="X165" s="45" t="s">
        <v>67</v>
      </c>
      <c r="Y165" s="49">
        <v>1.8E-3</v>
      </c>
      <c r="Z165" s="45">
        <v>120000</v>
      </c>
      <c r="AA165" s="45">
        <v>0</v>
      </c>
      <c r="AB165" s="45">
        <v>0</v>
      </c>
      <c r="AC165" s="45">
        <v>0</v>
      </c>
      <c r="AD165" s="45">
        <v>0</v>
      </c>
      <c r="AE165" s="45">
        <v>0</v>
      </c>
      <c r="AF165" s="45">
        <v>0</v>
      </c>
      <c r="AG165" s="45">
        <v>0</v>
      </c>
      <c r="AH165" s="45">
        <v>0</v>
      </c>
      <c r="AI165" s="45">
        <v>0</v>
      </c>
      <c r="AJ165" s="45">
        <v>0</v>
      </c>
      <c r="AK165" s="45">
        <v>0</v>
      </c>
      <c r="AL165" s="45">
        <v>0</v>
      </c>
      <c r="AM165" s="45">
        <v>0</v>
      </c>
      <c r="AN165" s="45">
        <v>0</v>
      </c>
      <c r="AO165" s="45"/>
      <c r="AP165" s="45"/>
      <c r="AQ165" s="45"/>
      <c r="AR165" s="45"/>
      <c r="AS165" s="45"/>
      <c r="AT165" s="45"/>
      <c r="AU165" s="45"/>
      <c r="AV165" s="45"/>
      <c r="AW165" s="45"/>
      <c r="AX165" s="45"/>
      <c r="AY165" s="45"/>
      <c r="AZ165" s="45"/>
      <c r="BA165" s="45"/>
      <c r="BB165" s="45"/>
      <c r="BC165" s="45"/>
      <c r="BD165" s="93"/>
      <c r="BE165" s="93"/>
      <c r="BF165" s="93"/>
      <c r="BG165" s="93"/>
      <c r="BH165" s="93"/>
      <c r="BI165" s="93"/>
      <c r="BJ165" s="93"/>
      <c r="BK165" s="93">
        <f>SUM($Z165:AD165)-SUM($CM165:CQ165)</f>
        <v>112602</v>
      </c>
      <c r="BL165" s="93">
        <f>SUM($Z165:AE165)-SUM($CM165:CR165)</f>
        <v>105252</v>
      </c>
      <c r="BM165" s="93">
        <f>SUM($Z165:AF165)-SUM($CM165:CS165)</f>
        <v>97932</v>
      </c>
      <c r="BN165" s="93">
        <f>SUM($Z165:AG165)-SUM($CM165:CT165)</f>
        <v>90642</v>
      </c>
      <c r="BO165" s="93">
        <f>SUM($Z165:AH165)-SUM($CM165:CU165)</f>
        <v>83352</v>
      </c>
      <c r="BP165" s="93">
        <f>SUM($Z165:AI165)-SUM($CM165:CV165)</f>
        <v>76062</v>
      </c>
      <c r="BQ165" s="93">
        <f>SUM($Z165:AJ165)-SUM($CM165:CW165)</f>
        <v>68772</v>
      </c>
      <c r="BR165" s="93">
        <f>SUM($Z165:AK165)-SUM($CM165:CX165)</f>
        <v>61482</v>
      </c>
      <c r="BS165" s="93">
        <f>SUM($Z165:AL165)-SUM($CM165:CY165)</f>
        <v>54192</v>
      </c>
      <c r="BT165" s="93">
        <f>SUM($Z165:AM165)-SUM($CM165:CZ165)</f>
        <v>50367</v>
      </c>
      <c r="BU165" s="93">
        <f>SUM($Z165:AN165)-SUM($CM165:DA165)</f>
        <v>50007</v>
      </c>
      <c r="BV165" s="93">
        <f>SUM($Z165:AO165)-SUM($CM165:DB165)</f>
        <v>49923</v>
      </c>
      <c r="BW165" s="93">
        <f>SUM($Z165:AP165)-SUM($CM165:DC165)</f>
        <v>49923</v>
      </c>
      <c r="BX165" s="93">
        <f>SUM($Z165:AQ165)-SUM($CM165:DD165)</f>
        <v>49923</v>
      </c>
      <c r="BY165" s="93">
        <f>SUM($Z165:AR165)-SUM($CM165:DE165)</f>
        <v>49923</v>
      </c>
      <c r="BZ165" s="93">
        <f>SUM($Z165:AS165)-SUM($CM165:DF165)</f>
        <v>49923</v>
      </c>
      <c r="CA165" s="93">
        <f>SUM($Z165:AT165)-SUM($CM165:DG165)</f>
        <v>49923</v>
      </c>
      <c r="CB165" s="93">
        <f>SUM($Z165:AU165)-SUM($CM165:DH165)</f>
        <v>49923</v>
      </c>
      <c r="CC165" s="93">
        <f>SUM($Z165:AV165)-SUM($CM165:DI165)</f>
        <v>49923</v>
      </c>
      <c r="CD165" s="93">
        <f>SUM($Z165:AW165)-SUM($CM165:DJ165)</f>
        <v>49923</v>
      </c>
      <c r="CE165" s="93">
        <f>SUM($Z165:AX165)-SUM($CM165:DK165)</f>
        <v>49923</v>
      </c>
      <c r="CF165" s="93">
        <f>SUM($Z165:AY165)-SUM($CM165:DL165)</f>
        <v>49923</v>
      </c>
      <c r="CG165" s="93">
        <f>SUM($Z165:AZ165)-SUM($CM165:DM165)</f>
        <v>49923</v>
      </c>
      <c r="CH165" s="93">
        <f>SUM($Z165:BA165)-SUM($CM165:DN165)</f>
        <v>49923</v>
      </c>
      <c r="CI165" s="93">
        <f>SUM($Z165:BB165)-SUM($CM165:DO165)</f>
        <v>49923</v>
      </c>
      <c r="CJ165" s="93"/>
      <c r="CK165" s="93"/>
      <c r="CL165" s="93"/>
      <c r="CM165" s="93"/>
      <c r="CN165" s="93" cm="1">
        <f t="array" ref="CN165">SUMPRODUCT(TRANSPOSE(CN$4:CN$20),$G165:$W165)</f>
        <v>0</v>
      </c>
      <c r="CO165" s="93" cm="1">
        <f t="array" ref="CO165">SUMPRODUCT(TRANSPOSE(CO$4:CO$20),$G165:$W165)</f>
        <v>0</v>
      </c>
      <c r="CP165" s="93" cm="1">
        <f t="array" ref="CP165">SUMPRODUCT(TRANSPOSE(CP$4:CP$20),$G165:$W165)</f>
        <v>0</v>
      </c>
      <c r="CQ165" s="93" cm="1">
        <f t="array" ref="CQ165">SUMPRODUCT(TRANSPOSE(CQ$4:CQ$20),$G165:$W165)</f>
        <v>7398</v>
      </c>
      <c r="CR165" s="93" cm="1">
        <f t="array" ref="CR165">SUMPRODUCT(TRANSPOSE(CR$4:CR$20),$G165:$W165)</f>
        <v>7350</v>
      </c>
      <c r="CS165" s="93" cm="1">
        <f t="array" ref="CS165">SUMPRODUCT(TRANSPOSE(CS$4:CS$20),$G165:$W165)</f>
        <v>7320</v>
      </c>
      <c r="CT165" s="93" cm="1">
        <f t="array" ref="CT165">SUMPRODUCT(TRANSPOSE(CT$4:CT$20),$G165:$W165)</f>
        <v>7290</v>
      </c>
      <c r="CU165" s="93" cm="1">
        <f t="array" ref="CU165">SUMPRODUCT(TRANSPOSE(CU$4:CU$20),$G165:$W165)</f>
        <v>7290</v>
      </c>
      <c r="CV165" s="93" cm="1">
        <f t="array" ref="CV165">SUMPRODUCT(TRANSPOSE(CV$4:CV$20),$G165:$W165)</f>
        <v>7290</v>
      </c>
      <c r="CW165" s="93" cm="1">
        <f t="array" ref="CW165">SUMPRODUCT(TRANSPOSE(CW$4:CW$20),$G165:$W165)</f>
        <v>7290</v>
      </c>
      <c r="CX165" s="93" cm="1">
        <f t="array" ref="CX165">SUMPRODUCT(TRANSPOSE(CX$4:CX$20),$G165:$W165)</f>
        <v>7290</v>
      </c>
      <c r="CY165" s="93" cm="1">
        <f t="array" ref="CY165">SUMPRODUCT(TRANSPOSE(CY$4:CY$20),$G165:$W165)</f>
        <v>7290</v>
      </c>
      <c r="CZ165" s="93" cm="1">
        <f t="array" ref="CZ165">SUMPRODUCT(TRANSPOSE(CZ$4:CZ$20),$G165:$W165)</f>
        <v>3825</v>
      </c>
      <c r="DA165" s="93" cm="1">
        <f t="array" ref="DA165">SUMPRODUCT(TRANSPOSE(DA$4:DA$20),$G165:$W165)</f>
        <v>360</v>
      </c>
      <c r="DB165" s="93" cm="1">
        <f t="array" ref="DB165">SUMPRODUCT(TRANSPOSE(DB$4:DB$20),$G165:$W165)</f>
        <v>84</v>
      </c>
      <c r="DC165" s="93" cm="1">
        <f t="array" ref="DC165">SUMPRODUCT(TRANSPOSE(DC$4:DC$20),$G165:$W165)</f>
        <v>0</v>
      </c>
      <c r="DD165" s="93" cm="1">
        <f t="array" ref="DD165">SUMPRODUCT(TRANSPOSE(DD$4:DD$20),$G165:$W165)</f>
        <v>0</v>
      </c>
      <c r="DE165" s="93" cm="1">
        <f t="array" ref="DE165">SUMPRODUCT(TRANSPOSE(DE$4:DE$20),$G165:$W165)</f>
        <v>0</v>
      </c>
      <c r="DF165" s="93" cm="1">
        <f t="array" ref="DF165">SUMPRODUCT(TRANSPOSE(DF$4:DF$20),$G165:$W165)</f>
        <v>0</v>
      </c>
      <c r="DG165" s="93" cm="1">
        <f t="array" ref="DG165">SUMPRODUCT(TRANSPOSE(DG$4:DG$20),$G165:$W165)</f>
        <v>0</v>
      </c>
      <c r="DH165" s="93" cm="1">
        <f t="array" ref="DH165">SUMPRODUCT(TRANSPOSE(DH$4:DH$20),$G165:$W165)</f>
        <v>0</v>
      </c>
      <c r="DI165" s="93" cm="1">
        <f t="array" ref="DI165">SUMPRODUCT(TRANSPOSE(DI$4:DI$20),$G165:$W165)</f>
        <v>0</v>
      </c>
      <c r="DJ165" s="93" cm="1">
        <f t="array" ref="DJ165">SUMPRODUCT(TRANSPOSE(DJ$4:DJ$20),$G165:$W165)</f>
        <v>0</v>
      </c>
      <c r="DK165" s="93" cm="1">
        <f t="array" ref="DK165">SUMPRODUCT(TRANSPOSE(DK$4:DK$20),$G165:$W165)</f>
        <v>0</v>
      </c>
      <c r="DL165" s="93" cm="1">
        <f t="array" ref="DL165">SUMPRODUCT(TRANSPOSE(DL$4:DL$20),$G165:$W165)</f>
        <v>0</v>
      </c>
      <c r="DM165" s="93" cm="1">
        <f t="array" ref="DM165">SUMPRODUCT(TRANSPOSE(DM$4:DM$20),$G165:$W165)</f>
        <v>0</v>
      </c>
      <c r="DN165" s="93" cm="1">
        <f t="array" ref="DN165">SUMPRODUCT(TRANSPOSE(DN$4:DN$20),$G165:$W165)</f>
        <v>0</v>
      </c>
      <c r="DO165" s="93" cm="1">
        <f t="array" ref="DO165">SUMPRODUCT(TRANSPOSE(DO$4:DO$20),$G165:$W165)</f>
        <v>0</v>
      </c>
    </row>
    <row r="166" spans="1:119" x14ac:dyDescent="0.2">
      <c r="A166" s="45">
        <f t="shared" si="28"/>
        <v>145</v>
      </c>
      <c r="B166" s="46" t="s">
        <v>418</v>
      </c>
      <c r="C166" s="45">
        <v>400584360</v>
      </c>
      <c r="D166" s="45" t="s">
        <v>419</v>
      </c>
      <c r="E166" s="45" t="s">
        <v>162</v>
      </c>
      <c r="F166" s="48">
        <v>2</v>
      </c>
      <c r="G166" s="100">
        <v>0</v>
      </c>
      <c r="H166" s="100">
        <v>0</v>
      </c>
      <c r="I166" s="100">
        <v>0</v>
      </c>
      <c r="J166" s="100">
        <v>0</v>
      </c>
      <c r="K166" s="100">
        <v>0</v>
      </c>
      <c r="L166" s="100">
        <v>0</v>
      </c>
      <c r="M166" s="100">
        <v>0</v>
      </c>
      <c r="N166" s="100">
        <v>0</v>
      </c>
      <c r="O166" s="100">
        <v>0</v>
      </c>
      <c r="P166" s="100">
        <v>0</v>
      </c>
      <c r="Q166" s="100">
        <v>68</v>
      </c>
      <c r="R166" s="100">
        <v>0</v>
      </c>
      <c r="S166" s="100">
        <v>0</v>
      </c>
      <c r="T166" s="100">
        <v>0</v>
      </c>
      <c r="U166" s="100">
        <v>0</v>
      </c>
      <c r="V166" s="100">
        <v>0</v>
      </c>
      <c r="W166" s="100">
        <v>0</v>
      </c>
      <c r="X166" s="45" t="s">
        <v>64</v>
      </c>
      <c r="Y166" s="49">
        <v>3.0000000000000001E-3</v>
      </c>
      <c r="Z166" s="45">
        <v>60000</v>
      </c>
      <c r="AA166" s="45">
        <v>0</v>
      </c>
      <c r="AB166" s="45">
        <v>0</v>
      </c>
      <c r="AC166" s="45">
        <v>0</v>
      </c>
      <c r="AD166" s="45">
        <v>0</v>
      </c>
      <c r="AE166" s="45">
        <v>0</v>
      </c>
      <c r="AF166" s="45">
        <v>0</v>
      </c>
      <c r="AG166" s="45">
        <v>0</v>
      </c>
      <c r="AH166" s="45">
        <v>0</v>
      </c>
      <c r="AI166" s="45">
        <v>0</v>
      </c>
      <c r="AJ166" s="45">
        <v>0</v>
      </c>
      <c r="AK166" s="45">
        <v>0</v>
      </c>
      <c r="AL166" s="45">
        <v>0</v>
      </c>
      <c r="AM166" s="45">
        <v>0</v>
      </c>
      <c r="AN166" s="45">
        <v>0</v>
      </c>
      <c r="AO166" s="45"/>
      <c r="AP166" s="45"/>
      <c r="AQ166" s="45"/>
      <c r="AR166" s="45"/>
      <c r="AS166" s="45"/>
      <c r="AT166" s="45"/>
      <c r="AU166" s="45"/>
      <c r="AV166" s="45"/>
      <c r="AW166" s="45"/>
      <c r="AX166" s="45"/>
      <c r="AY166" s="45"/>
      <c r="AZ166" s="45"/>
      <c r="BA166" s="45"/>
      <c r="BB166" s="45"/>
      <c r="BC166" s="45"/>
      <c r="BD166" s="93"/>
      <c r="BE166" s="93"/>
      <c r="BF166" s="93"/>
      <c r="BG166" s="93"/>
      <c r="BH166" s="93"/>
      <c r="BI166" s="93"/>
      <c r="BJ166" s="93"/>
      <c r="BK166" s="93">
        <f>SUM($Z166:AD166)-SUM($CM166:CQ166)</f>
        <v>57620</v>
      </c>
      <c r="BL166" s="93">
        <f>SUM($Z166:AE166)-SUM($CM166:CR166)</f>
        <v>55240</v>
      </c>
      <c r="BM166" s="93">
        <f>SUM($Z166:AF166)-SUM($CM166:CS166)</f>
        <v>52860</v>
      </c>
      <c r="BN166" s="93">
        <f>SUM($Z166:AG166)-SUM($CM166:CT166)</f>
        <v>50820</v>
      </c>
      <c r="BO166" s="93">
        <f>SUM($Z166:AH166)-SUM($CM166:CU166)</f>
        <v>48780</v>
      </c>
      <c r="BP166" s="93">
        <f>SUM($Z166:AI166)-SUM($CM166:CV166)</f>
        <v>46740</v>
      </c>
      <c r="BQ166" s="93">
        <f>SUM($Z166:AJ166)-SUM($CM166:CW166)</f>
        <v>44700</v>
      </c>
      <c r="BR166" s="93">
        <f>SUM($Z166:AK166)-SUM($CM166:CX166)</f>
        <v>42660</v>
      </c>
      <c r="BS166" s="93">
        <f>SUM($Z166:AL166)-SUM($CM166:CY166)</f>
        <v>40620</v>
      </c>
      <c r="BT166" s="93">
        <f>SUM($Z166:AM166)-SUM($CM166:CZ166)</f>
        <v>38580</v>
      </c>
      <c r="BU166" s="93">
        <f>SUM($Z166:AN166)-SUM($CM166:DA166)</f>
        <v>36540</v>
      </c>
      <c r="BV166" s="93">
        <f>SUM($Z166:AO166)-SUM($CM166:DB166)</f>
        <v>35588</v>
      </c>
      <c r="BW166" s="93">
        <f>SUM($Z166:AP166)-SUM($CM166:DC166)</f>
        <v>35588</v>
      </c>
      <c r="BX166" s="93">
        <f>SUM($Z166:AQ166)-SUM($CM166:DD166)</f>
        <v>35588</v>
      </c>
      <c r="BY166" s="93">
        <f>SUM($Z166:AR166)-SUM($CM166:DE166)</f>
        <v>35588</v>
      </c>
      <c r="BZ166" s="93">
        <f>SUM($Z166:AS166)-SUM($CM166:DF166)</f>
        <v>35588</v>
      </c>
      <c r="CA166" s="93">
        <f>SUM($Z166:AT166)-SUM($CM166:DG166)</f>
        <v>35588</v>
      </c>
      <c r="CB166" s="93">
        <f>SUM($Z166:AU166)-SUM($CM166:DH166)</f>
        <v>35588</v>
      </c>
      <c r="CC166" s="93">
        <f>SUM($Z166:AV166)-SUM($CM166:DI166)</f>
        <v>35588</v>
      </c>
      <c r="CD166" s="93">
        <f>SUM($Z166:AW166)-SUM($CM166:DJ166)</f>
        <v>35588</v>
      </c>
      <c r="CE166" s="93">
        <f>SUM($Z166:AX166)-SUM($CM166:DK166)</f>
        <v>35588</v>
      </c>
      <c r="CF166" s="93">
        <f>SUM($Z166:AY166)-SUM($CM166:DL166)</f>
        <v>35588</v>
      </c>
      <c r="CG166" s="93">
        <f>SUM($Z166:AZ166)-SUM($CM166:DM166)</f>
        <v>35588</v>
      </c>
      <c r="CH166" s="93">
        <f>SUM($Z166:BA166)-SUM($CM166:DN166)</f>
        <v>35588</v>
      </c>
      <c r="CI166" s="93">
        <f>SUM($Z166:BB166)-SUM($CM166:DO166)</f>
        <v>35588</v>
      </c>
      <c r="CJ166" s="93"/>
      <c r="CK166" s="93"/>
      <c r="CL166" s="93"/>
      <c r="CM166" s="93"/>
      <c r="CN166" s="93" cm="1">
        <f t="array" ref="CN166">SUMPRODUCT(TRANSPOSE(CN$4:CN$20),$G166:$W166)</f>
        <v>0</v>
      </c>
      <c r="CO166" s="93" cm="1">
        <f t="array" ref="CO166">SUMPRODUCT(TRANSPOSE(CO$4:CO$20),$G166:$W166)</f>
        <v>0</v>
      </c>
      <c r="CP166" s="93" cm="1">
        <f t="array" ref="CP166">SUMPRODUCT(TRANSPOSE(CP$4:CP$20),$G166:$W166)</f>
        <v>0</v>
      </c>
      <c r="CQ166" s="93" cm="1">
        <f t="array" ref="CQ166">SUMPRODUCT(TRANSPOSE(CQ$4:CQ$20),$G166:$W166)</f>
        <v>2380</v>
      </c>
      <c r="CR166" s="93" cm="1">
        <f t="array" ref="CR166">SUMPRODUCT(TRANSPOSE(CR$4:CR$20),$G166:$W166)</f>
        <v>2380</v>
      </c>
      <c r="CS166" s="93" cm="1">
        <f t="array" ref="CS166">SUMPRODUCT(TRANSPOSE(CS$4:CS$20),$G166:$W166)</f>
        <v>2380</v>
      </c>
      <c r="CT166" s="93" cm="1">
        <f t="array" ref="CT166">SUMPRODUCT(TRANSPOSE(CT$4:CT$20),$G166:$W166)</f>
        <v>2040</v>
      </c>
      <c r="CU166" s="93" cm="1">
        <f t="array" ref="CU166">SUMPRODUCT(TRANSPOSE(CU$4:CU$20),$G166:$W166)</f>
        <v>2040</v>
      </c>
      <c r="CV166" s="93" cm="1">
        <f t="array" ref="CV166">SUMPRODUCT(TRANSPOSE(CV$4:CV$20),$G166:$W166)</f>
        <v>2040</v>
      </c>
      <c r="CW166" s="93" cm="1">
        <f t="array" ref="CW166">SUMPRODUCT(TRANSPOSE(CW$4:CW$20),$G166:$W166)</f>
        <v>2040</v>
      </c>
      <c r="CX166" s="93" cm="1">
        <f t="array" ref="CX166">SUMPRODUCT(TRANSPOSE(CX$4:CX$20),$G166:$W166)</f>
        <v>2040</v>
      </c>
      <c r="CY166" s="93" cm="1">
        <f t="array" ref="CY166">SUMPRODUCT(TRANSPOSE(CY$4:CY$20),$G166:$W166)</f>
        <v>2040</v>
      </c>
      <c r="CZ166" s="93" cm="1">
        <f t="array" ref="CZ166">SUMPRODUCT(TRANSPOSE(CZ$4:CZ$20),$G166:$W166)</f>
        <v>2040</v>
      </c>
      <c r="DA166" s="93" cm="1">
        <f t="array" ref="DA166">SUMPRODUCT(TRANSPOSE(DA$4:DA$20),$G166:$W166)</f>
        <v>2040</v>
      </c>
      <c r="DB166" s="93" cm="1">
        <f t="array" ref="DB166">SUMPRODUCT(TRANSPOSE(DB$4:DB$20),$G166:$W166)</f>
        <v>952</v>
      </c>
      <c r="DC166" s="93" cm="1">
        <f t="array" ref="DC166">SUMPRODUCT(TRANSPOSE(DC$4:DC$20),$G166:$W166)</f>
        <v>0</v>
      </c>
      <c r="DD166" s="93" cm="1">
        <f t="array" ref="DD166">SUMPRODUCT(TRANSPOSE(DD$4:DD$20),$G166:$W166)</f>
        <v>0</v>
      </c>
      <c r="DE166" s="93" cm="1">
        <f t="array" ref="DE166">SUMPRODUCT(TRANSPOSE(DE$4:DE$20),$G166:$W166)</f>
        <v>0</v>
      </c>
      <c r="DF166" s="93" cm="1">
        <f t="array" ref="DF166">SUMPRODUCT(TRANSPOSE(DF$4:DF$20),$G166:$W166)</f>
        <v>0</v>
      </c>
      <c r="DG166" s="93" cm="1">
        <f t="array" ref="DG166">SUMPRODUCT(TRANSPOSE(DG$4:DG$20),$G166:$W166)</f>
        <v>0</v>
      </c>
      <c r="DH166" s="93" cm="1">
        <f t="array" ref="DH166">SUMPRODUCT(TRANSPOSE(DH$4:DH$20),$G166:$W166)</f>
        <v>0</v>
      </c>
      <c r="DI166" s="93" cm="1">
        <f t="array" ref="DI166">SUMPRODUCT(TRANSPOSE(DI$4:DI$20),$G166:$W166)</f>
        <v>0</v>
      </c>
      <c r="DJ166" s="93" cm="1">
        <f t="array" ref="DJ166">SUMPRODUCT(TRANSPOSE(DJ$4:DJ$20),$G166:$W166)</f>
        <v>0</v>
      </c>
      <c r="DK166" s="93" cm="1">
        <f t="array" ref="DK166">SUMPRODUCT(TRANSPOSE(DK$4:DK$20),$G166:$W166)</f>
        <v>0</v>
      </c>
      <c r="DL166" s="93" cm="1">
        <f t="array" ref="DL166">SUMPRODUCT(TRANSPOSE(DL$4:DL$20),$G166:$W166)</f>
        <v>0</v>
      </c>
      <c r="DM166" s="93" cm="1">
        <f t="array" ref="DM166">SUMPRODUCT(TRANSPOSE(DM$4:DM$20),$G166:$W166)</f>
        <v>0</v>
      </c>
      <c r="DN166" s="93" cm="1">
        <f t="array" ref="DN166">SUMPRODUCT(TRANSPOSE(DN$4:DN$20),$G166:$W166)</f>
        <v>0</v>
      </c>
      <c r="DO166" s="93" cm="1">
        <f t="array" ref="DO166">SUMPRODUCT(TRANSPOSE(DO$4:DO$20),$G166:$W166)</f>
        <v>0</v>
      </c>
    </row>
    <row r="167" spans="1:119" x14ac:dyDescent="0.2">
      <c r="A167" s="45">
        <f t="shared" si="28"/>
        <v>146</v>
      </c>
      <c r="B167" s="46" t="s">
        <v>420</v>
      </c>
      <c r="C167" s="45">
        <v>400713754</v>
      </c>
      <c r="D167" s="45" t="s">
        <v>421</v>
      </c>
      <c r="E167" s="45" t="s">
        <v>162</v>
      </c>
      <c r="F167" s="48">
        <v>2</v>
      </c>
      <c r="G167" s="100">
        <v>0</v>
      </c>
      <c r="H167" s="100">
        <v>0</v>
      </c>
      <c r="I167" s="100">
        <v>0</v>
      </c>
      <c r="J167" s="100">
        <v>0</v>
      </c>
      <c r="K167" s="100">
        <v>0</v>
      </c>
      <c r="L167" s="100">
        <v>0</v>
      </c>
      <c r="M167" s="100">
        <v>0</v>
      </c>
      <c r="N167" s="100">
        <v>0</v>
      </c>
      <c r="O167" s="100">
        <v>0</v>
      </c>
      <c r="P167" s="100">
        <v>0</v>
      </c>
      <c r="Q167" s="100">
        <v>137</v>
      </c>
      <c r="R167" s="100">
        <v>0</v>
      </c>
      <c r="S167" s="100">
        <v>0</v>
      </c>
      <c r="T167" s="100">
        <v>0</v>
      </c>
      <c r="U167" s="100">
        <v>0</v>
      </c>
      <c r="V167" s="100">
        <v>0</v>
      </c>
      <c r="W167" s="100">
        <v>0</v>
      </c>
      <c r="X167" s="45" t="s">
        <v>67</v>
      </c>
      <c r="Y167" s="49">
        <v>3.0000000000000001E-3</v>
      </c>
      <c r="Z167" s="45">
        <v>76000</v>
      </c>
      <c r="AA167" s="45">
        <v>0</v>
      </c>
      <c r="AB167" s="45">
        <v>0</v>
      </c>
      <c r="AC167" s="45">
        <v>0</v>
      </c>
      <c r="AD167" s="45">
        <v>0</v>
      </c>
      <c r="AE167" s="45">
        <v>0</v>
      </c>
      <c r="AF167" s="45">
        <v>0</v>
      </c>
      <c r="AG167" s="45">
        <v>0</v>
      </c>
      <c r="AH167" s="45">
        <v>0</v>
      </c>
      <c r="AI167" s="45">
        <v>0</v>
      </c>
      <c r="AJ167" s="45">
        <v>0</v>
      </c>
      <c r="AK167" s="45">
        <v>0</v>
      </c>
      <c r="AL167" s="45">
        <v>0</v>
      </c>
      <c r="AM167" s="45">
        <v>0</v>
      </c>
      <c r="AN167" s="45">
        <v>0</v>
      </c>
      <c r="AO167" s="45"/>
      <c r="AP167" s="45"/>
      <c r="AQ167" s="45"/>
      <c r="AR167" s="45"/>
      <c r="AS167" s="45"/>
      <c r="AT167" s="45"/>
      <c r="AU167" s="45"/>
      <c r="AV167" s="45"/>
      <c r="AW167" s="45"/>
      <c r="AX167" s="45"/>
      <c r="AY167" s="45"/>
      <c r="AZ167" s="45"/>
      <c r="BA167" s="45"/>
      <c r="BB167" s="45"/>
      <c r="BC167" s="45"/>
      <c r="BD167" s="93"/>
      <c r="BE167" s="93"/>
      <c r="BF167" s="93"/>
      <c r="BG167" s="93"/>
      <c r="BH167" s="93"/>
      <c r="BI167" s="93"/>
      <c r="BJ167" s="93"/>
      <c r="BK167" s="93">
        <f>SUM($Z167:AD167)-SUM($CM167:CQ167)</f>
        <v>71205</v>
      </c>
      <c r="BL167" s="93">
        <f>SUM($Z167:AE167)-SUM($CM167:CR167)</f>
        <v>66410</v>
      </c>
      <c r="BM167" s="93">
        <f>SUM($Z167:AF167)-SUM($CM167:CS167)</f>
        <v>61615</v>
      </c>
      <c r="BN167" s="93">
        <f>SUM($Z167:AG167)-SUM($CM167:CT167)</f>
        <v>57505</v>
      </c>
      <c r="BO167" s="93">
        <f>SUM($Z167:AH167)-SUM($CM167:CU167)</f>
        <v>53395</v>
      </c>
      <c r="BP167" s="93">
        <f>SUM($Z167:AI167)-SUM($CM167:CV167)</f>
        <v>49285</v>
      </c>
      <c r="BQ167" s="93">
        <f>SUM($Z167:AJ167)-SUM($CM167:CW167)</f>
        <v>45175</v>
      </c>
      <c r="BR167" s="93">
        <f>SUM($Z167:AK167)-SUM($CM167:CX167)</f>
        <v>41065</v>
      </c>
      <c r="BS167" s="93">
        <f>SUM($Z167:AL167)-SUM($CM167:CY167)</f>
        <v>36955</v>
      </c>
      <c r="BT167" s="93">
        <f>SUM($Z167:AM167)-SUM($CM167:CZ167)</f>
        <v>32845</v>
      </c>
      <c r="BU167" s="93">
        <f>SUM($Z167:AN167)-SUM($CM167:DA167)</f>
        <v>28735</v>
      </c>
      <c r="BV167" s="93">
        <f>SUM($Z167:AO167)-SUM($CM167:DB167)</f>
        <v>26817</v>
      </c>
      <c r="BW167" s="93">
        <f>SUM($Z167:AP167)-SUM($CM167:DC167)</f>
        <v>26817</v>
      </c>
      <c r="BX167" s="93">
        <f>SUM($Z167:AQ167)-SUM($CM167:DD167)</f>
        <v>26817</v>
      </c>
      <c r="BY167" s="93">
        <f>SUM($Z167:AR167)-SUM($CM167:DE167)</f>
        <v>26817</v>
      </c>
      <c r="BZ167" s="93">
        <f>SUM($Z167:AS167)-SUM($CM167:DF167)</f>
        <v>26817</v>
      </c>
      <c r="CA167" s="93">
        <f>SUM($Z167:AT167)-SUM($CM167:DG167)</f>
        <v>26817</v>
      </c>
      <c r="CB167" s="93">
        <f>SUM($Z167:AU167)-SUM($CM167:DH167)</f>
        <v>26817</v>
      </c>
      <c r="CC167" s="93">
        <f>SUM($Z167:AV167)-SUM($CM167:DI167)</f>
        <v>26817</v>
      </c>
      <c r="CD167" s="93">
        <f>SUM($Z167:AW167)-SUM($CM167:DJ167)</f>
        <v>26817</v>
      </c>
      <c r="CE167" s="93">
        <f>SUM($Z167:AX167)-SUM($CM167:DK167)</f>
        <v>26817</v>
      </c>
      <c r="CF167" s="93">
        <f>SUM($Z167:AY167)-SUM($CM167:DL167)</f>
        <v>26817</v>
      </c>
      <c r="CG167" s="93">
        <f>SUM($Z167:AZ167)-SUM($CM167:DM167)</f>
        <v>26817</v>
      </c>
      <c r="CH167" s="93">
        <f>SUM($Z167:BA167)-SUM($CM167:DN167)</f>
        <v>26817</v>
      </c>
      <c r="CI167" s="93">
        <f>SUM($Z167:BB167)-SUM($CM167:DO167)</f>
        <v>26817</v>
      </c>
      <c r="CJ167" s="93"/>
      <c r="CK167" s="93"/>
      <c r="CL167" s="93"/>
      <c r="CM167" s="93"/>
      <c r="CN167" s="93" cm="1">
        <f t="array" ref="CN167">SUMPRODUCT(TRANSPOSE(CN$4:CN$20),$G167:$W167)</f>
        <v>0</v>
      </c>
      <c r="CO167" s="93" cm="1">
        <f t="array" ref="CO167">SUMPRODUCT(TRANSPOSE(CO$4:CO$20),$G167:$W167)</f>
        <v>0</v>
      </c>
      <c r="CP167" s="93" cm="1">
        <f t="array" ref="CP167">SUMPRODUCT(TRANSPOSE(CP$4:CP$20),$G167:$W167)</f>
        <v>0</v>
      </c>
      <c r="CQ167" s="93" cm="1">
        <f t="array" ref="CQ167">SUMPRODUCT(TRANSPOSE(CQ$4:CQ$20),$G167:$W167)</f>
        <v>4795</v>
      </c>
      <c r="CR167" s="93" cm="1">
        <f t="array" ref="CR167">SUMPRODUCT(TRANSPOSE(CR$4:CR$20),$G167:$W167)</f>
        <v>4795</v>
      </c>
      <c r="CS167" s="93" cm="1">
        <f t="array" ref="CS167">SUMPRODUCT(TRANSPOSE(CS$4:CS$20),$G167:$W167)</f>
        <v>4795</v>
      </c>
      <c r="CT167" s="93" cm="1">
        <f t="array" ref="CT167">SUMPRODUCT(TRANSPOSE(CT$4:CT$20),$G167:$W167)</f>
        <v>4110</v>
      </c>
      <c r="CU167" s="93" cm="1">
        <f t="array" ref="CU167">SUMPRODUCT(TRANSPOSE(CU$4:CU$20),$G167:$W167)</f>
        <v>4110</v>
      </c>
      <c r="CV167" s="93" cm="1">
        <f t="array" ref="CV167">SUMPRODUCT(TRANSPOSE(CV$4:CV$20),$G167:$W167)</f>
        <v>4110</v>
      </c>
      <c r="CW167" s="93" cm="1">
        <f t="array" ref="CW167">SUMPRODUCT(TRANSPOSE(CW$4:CW$20),$G167:$W167)</f>
        <v>4110</v>
      </c>
      <c r="CX167" s="93" cm="1">
        <f t="array" ref="CX167">SUMPRODUCT(TRANSPOSE(CX$4:CX$20),$G167:$W167)</f>
        <v>4110</v>
      </c>
      <c r="CY167" s="93" cm="1">
        <f t="array" ref="CY167">SUMPRODUCT(TRANSPOSE(CY$4:CY$20),$G167:$W167)</f>
        <v>4110</v>
      </c>
      <c r="CZ167" s="93" cm="1">
        <f t="array" ref="CZ167">SUMPRODUCT(TRANSPOSE(CZ$4:CZ$20),$G167:$W167)</f>
        <v>4110</v>
      </c>
      <c r="DA167" s="93" cm="1">
        <f t="array" ref="DA167">SUMPRODUCT(TRANSPOSE(DA$4:DA$20),$G167:$W167)</f>
        <v>4110</v>
      </c>
      <c r="DB167" s="93" cm="1">
        <f t="array" ref="DB167">SUMPRODUCT(TRANSPOSE(DB$4:DB$20),$G167:$W167)</f>
        <v>1918</v>
      </c>
      <c r="DC167" s="93" cm="1">
        <f t="array" ref="DC167">SUMPRODUCT(TRANSPOSE(DC$4:DC$20),$G167:$W167)</f>
        <v>0</v>
      </c>
      <c r="DD167" s="93" cm="1">
        <f t="array" ref="DD167">SUMPRODUCT(TRANSPOSE(DD$4:DD$20),$G167:$W167)</f>
        <v>0</v>
      </c>
      <c r="DE167" s="93" cm="1">
        <f t="array" ref="DE167">SUMPRODUCT(TRANSPOSE(DE$4:DE$20),$G167:$W167)</f>
        <v>0</v>
      </c>
      <c r="DF167" s="93" cm="1">
        <f t="array" ref="DF167">SUMPRODUCT(TRANSPOSE(DF$4:DF$20),$G167:$W167)</f>
        <v>0</v>
      </c>
      <c r="DG167" s="93" cm="1">
        <f t="array" ref="DG167">SUMPRODUCT(TRANSPOSE(DG$4:DG$20),$G167:$W167)</f>
        <v>0</v>
      </c>
      <c r="DH167" s="93" cm="1">
        <f t="array" ref="DH167">SUMPRODUCT(TRANSPOSE(DH$4:DH$20),$G167:$W167)</f>
        <v>0</v>
      </c>
      <c r="DI167" s="93" cm="1">
        <f t="array" ref="DI167">SUMPRODUCT(TRANSPOSE(DI$4:DI$20),$G167:$W167)</f>
        <v>0</v>
      </c>
      <c r="DJ167" s="93" cm="1">
        <f t="array" ref="DJ167">SUMPRODUCT(TRANSPOSE(DJ$4:DJ$20),$G167:$W167)</f>
        <v>0</v>
      </c>
      <c r="DK167" s="93" cm="1">
        <f t="array" ref="DK167">SUMPRODUCT(TRANSPOSE(DK$4:DK$20),$G167:$W167)</f>
        <v>0</v>
      </c>
      <c r="DL167" s="93" cm="1">
        <f t="array" ref="DL167">SUMPRODUCT(TRANSPOSE(DL$4:DL$20),$G167:$W167)</f>
        <v>0</v>
      </c>
      <c r="DM167" s="93" cm="1">
        <f t="array" ref="DM167">SUMPRODUCT(TRANSPOSE(DM$4:DM$20),$G167:$W167)</f>
        <v>0</v>
      </c>
      <c r="DN167" s="93" cm="1">
        <f t="array" ref="DN167">SUMPRODUCT(TRANSPOSE(DN$4:DN$20),$G167:$W167)</f>
        <v>0</v>
      </c>
      <c r="DO167" s="93" cm="1">
        <f t="array" ref="DO167">SUMPRODUCT(TRANSPOSE(DO$4:DO$20),$G167:$W167)</f>
        <v>0</v>
      </c>
    </row>
    <row r="168" spans="1:119" x14ac:dyDescent="0.2">
      <c r="A168" s="45">
        <f t="shared" si="28"/>
        <v>147</v>
      </c>
      <c r="B168" s="46" t="s">
        <v>422</v>
      </c>
      <c r="C168" s="45">
        <v>400538428</v>
      </c>
      <c r="D168" s="45" t="s">
        <v>423</v>
      </c>
      <c r="E168" s="45" t="s">
        <v>162</v>
      </c>
      <c r="F168" s="48">
        <v>2</v>
      </c>
      <c r="G168" s="100">
        <v>0</v>
      </c>
      <c r="H168" s="100">
        <v>0</v>
      </c>
      <c r="I168" s="100">
        <v>0</v>
      </c>
      <c r="J168" s="100">
        <v>0</v>
      </c>
      <c r="K168" s="100">
        <v>0</v>
      </c>
      <c r="L168" s="100">
        <v>0</v>
      </c>
      <c r="M168" s="100">
        <v>0</v>
      </c>
      <c r="N168" s="100">
        <v>0</v>
      </c>
      <c r="O168" s="100">
        <v>0</v>
      </c>
      <c r="P168" s="100">
        <v>0</v>
      </c>
      <c r="Q168" s="100">
        <v>0</v>
      </c>
      <c r="R168" s="100">
        <v>11</v>
      </c>
      <c r="S168" s="100">
        <v>0</v>
      </c>
      <c r="T168" s="100">
        <v>0</v>
      </c>
      <c r="U168" s="100">
        <v>0</v>
      </c>
      <c r="V168" s="100">
        <v>11</v>
      </c>
      <c r="W168" s="100">
        <v>0</v>
      </c>
      <c r="X168" s="45" t="s">
        <v>66</v>
      </c>
      <c r="Y168" s="49">
        <v>0.12</v>
      </c>
      <c r="Z168" s="45">
        <v>12000</v>
      </c>
      <c r="AA168" s="45">
        <v>0</v>
      </c>
      <c r="AB168" s="45">
        <v>0</v>
      </c>
      <c r="AC168" s="45">
        <v>0</v>
      </c>
      <c r="AD168" s="45">
        <v>0</v>
      </c>
      <c r="AE168" s="45">
        <v>0</v>
      </c>
      <c r="AF168" s="45">
        <v>0</v>
      </c>
      <c r="AG168" s="45">
        <v>0</v>
      </c>
      <c r="AH168" s="45">
        <v>0</v>
      </c>
      <c r="AI168" s="45">
        <v>0</v>
      </c>
      <c r="AJ168" s="45">
        <v>0</v>
      </c>
      <c r="AK168" s="45">
        <v>0</v>
      </c>
      <c r="AL168" s="45">
        <v>0</v>
      </c>
      <c r="AM168" s="45">
        <v>0</v>
      </c>
      <c r="AN168" s="45">
        <v>0</v>
      </c>
      <c r="AO168" s="45"/>
      <c r="AP168" s="45"/>
      <c r="AQ168" s="45"/>
      <c r="AR168" s="45"/>
      <c r="AS168" s="45"/>
      <c r="AT168" s="45"/>
      <c r="AU168" s="45"/>
      <c r="AV168" s="45"/>
      <c r="AW168" s="45"/>
      <c r="AX168" s="45"/>
      <c r="AY168" s="45"/>
      <c r="AZ168" s="45"/>
      <c r="BA168" s="45"/>
      <c r="BB168" s="45"/>
      <c r="BC168" s="45"/>
      <c r="BD168" s="93"/>
      <c r="BE168" s="93"/>
      <c r="BF168" s="93"/>
      <c r="BG168" s="93"/>
      <c r="BH168" s="93"/>
      <c r="BI168" s="93"/>
      <c r="BJ168" s="93"/>
      <c r="BK168" s="93">
        <f>SUM($Z168:AD168)-SUM($CM168:CQ168)</f>
        <v>11230</v>
      </c>
      <c r="BL168" s="93">
        <f>SUM($Z168:AE168)-SUM($CM168:CR168)</f>
        <v>10460</v>
      </c>
      <c r="BM168" s="93">
        <f>SUM($Z168:AF168)-SUM($CM168:CS168)</f>
        <v>9690</v>
      </c>
      <c r="BN168" s="93">
        <f>SUM($Z168:AG168)-SUM($CM168:CT168)</f>
        <v>8920</v>
      </c>
      <c r="BO168" s="93">
        <f>SUM($Z168:AH168)-SUM($CM168:CU168)</f>
        <v>8150</v>
      </c>
      <c r="BP168" s="93">
        <f>SUM($Z168:AI168)-SUM($CM168:CV168)</f>
        <v>7380</v>
      </c>
      <c r="BQ168" s="93">
        <f>SUM($Z168:AJ168)-SUM($CM168:CW168)</f>
        <v>6610</v>
      </c>
      <c r="BR168" s="93">
        <f>SUM($Z168:AK168)-SUM($CM168:CX168)</f>
        <v>5840</v>
      </c>
      <c r="BS168" s="93">
        <f>SUM($Z168:AL168)-SUM($CM168:CY168)</f>
        <v>5070</v>
      </c>
      <c r="BT168" s="93">
        <f>SUM($Z168:AM168)-SUM($CM168:CZ168)</f>
        <v>4685</v>
      </c>
      <c r="BU168" s="93">
        <f>SUM($Z168:AN168)-SUM($CM168:DA168)</f>
        <v>4685</v>
      </c>
      <c r="BV168" s="93">
        <f>SUM($Z168:AO168)-SUM($CM168:DB168)</f>
        <v>4685</v>
      </c>
      <c r="BW168" s="93">
        <f>SUM($Z168:AP168)-SUM($CM168:DC168)</f>
        <v>4685</v>
      </c>
      <c r="BX168" s="93">
        <f>SUM($Z168:AQ168)-SUM($CM168:DD168)</f>
        <v>4685</v>
      </c>
      <c r="BY168" s="93">
        <f>SUM($Z168:AR168)-SUM($CM168:DE168)</f>
        <v>4685</v>
      </c>
      <c r="BZ168" s="93">
        <f>SUM($Z168:AS168)-SUM($CM168:DF168)</f>
        <v>4685</v>
      </c>
      <c r="CA168" s="93">
        <f>SUM($Z168:AT168)-SUM($CM168:DG168)</f>
        <v>4685</v>
      </c>
      <c r="CB168" s="93">
        <f>SUM($Z168:AU168)-SUM($CM168:DH168)</f>
        <v>4685</v>
      </c>
      <c r="CC168" s="93">
        <f>SUM($Z168:AV168)-SUM($CM168:DI168)</f>
        <v>4685</v>
      </c>
      <c r="CD168" s="93">
        <f>SUM($Z168:AW168)-SUM($CM168:DJ168)</f>
        <v>4685</v>
      </c>
      <c r="CE168" s="93">
        <f>SUM($Z168:AX168)-SUM($CM168:DK168)</f>
        <v>4685</v>
      </c>
      <c r="CF168" s="93">
        <f>SUM($Z168:AY168)-SUM($CM168:DL168)</f>
        <v>4685</v>
      </c>
      <c r="CG168" s="93">
        <f>SUM($Z168:AZ168)-SUM($CM168:DM168)</f>
        <v>4685</v>
      </c>
      <c r="CH168" s="93">
        <f>SUM($Z168:BA168)-SUM($CM168:DN168)</f>
        <v>4685</v>
      </c>
      <c r="CI168" s="93">
        <f>SUM($Z168:BB168)-SUM($CM168:DO168)</f>
        <v>4685</v>
      </c>
      <c r="CJ168" s="93"/>
      <c r="CK168" s="93"/>
      <c r="CL168" s="93"/>
      <c r="CM168" s="93"/>
      <c r="CN168" s="93" cm="1">
        <f t="array" ref="CN168">SUMPRODUCT(TRANSPOSE(CN$4:CN$20),$G168:$W168)</f>
        <v>0</v>
      </c>
      <c r="CO168" s="93" cm="1">
        <f t="array" ref="CO168">SUMPRODUCT(TRANSPOSE(CO$4:CO$20),$G168:$W168)</f>
        <v>0</v>
      </c>
      <c r="CP168" s="93" cm="1">
        <f t="array" ref="CP168">SUMPRODUCT(TRANSPOSE(CP$4:CP$20),$G168:$W168)</f>
        <v>0</v>
      </c>
      <c r="CQ168" s="93" cm="1">
        <f t="array" ref="CQ168">SUMPRODUCT(TRANSPOSE(CQ$4:CQ$20),$G168:$W168)</f>
        <v>770</v>
      </c>
      <c r="CR168" s="93" cm="1">
        <f t="array" ref="CR168">SUMPRODUCT(TRANSPOSE(CR$4:CR$20),$G168:$W168)</f>
        <v>770</v>
      </c>
      <c r="CS168" s="93" cm="1">
        <f t="array" ref="CS168">SUMPRODUCT(TRANSPOSE(CS$4:CS$20),$G168:$W168)</f>
        <v>770</v>
      </c>
      <c r="CT168" s="93" cm="1">
        <f t="array" ref="CT168">SUMPRODUCT(TRANSPOSE(CT$4:CT$20),$G168:$W168)</f>
        <v>770</v>
      </c>
      <c r="CU168" s="93" cm="1">
        <f t="array" ref="CU168">SUMPRODUCT(TRANSPOSE(CU$4:CU$20),$G168:$W168)</f>
        <v>770</v>
      </c>
      <c r="CV168" s="93" cm="1">
        <f t="array" ref="CV168">SUMPRODUCT(TRANSPOSE(CV$4:CV$20),$G168:$W168)</f>
        <v>770</v>
      </c>
      <c r="CW168" s="93" cm="1">
        <f t="array" ref="CW168">SUMPRODUCT(TRANSPOSE(CW$4:CW$20),$G168:$W168)</f>
        <v>770</v>
      </c>
      <c r="CX168" s="93" cm="1">
        <f t="array" ref="CX168">SUMPRODUCT(TRANSPOSE(CX$4:CX$20),$G168:$W168)</f>
        <v>770</v>
      </c>
      <c r="CY168" s="93" cm="1">
        <f t="array" ref="CY168">SUMPRODUCT(TRANSPOSE(CY$4:CY$20),$G168:$W168)</f>
        <v>770</v>
      </c>
      <c r="CZ168" s="93" cm="1">
        <f t="array" ref="CZ168">SUMPRODUCT(TRANSPOSE(CZ$4:CZ$20),$G168:$W168)</f>
        <v>385</v>
      </c>
      <c r="DA168" s="93" cm="1">
        <f t="array" ref="DA168">SUMPRODUCT(TRANSPOSE(DA$4:DA$20),$G168:$W168)</f>
        <v>0</v>
      </c>
      <c r="DB168" s="93" cm="1">
        <f t="array" ref="DB168">SUMPRODUCT(TRANSPOSE(DB$4:DB$20),$G168:$W168)</f>
        <v>0</v>
      </c>
      <c r="DC168" s="93" cm="1">
        <f t="array" ref="DC168">SUMPRODUCT(TRANSPOSE(DC$4:DC$20),$G168:$W168)</f>
        <v>0</v>
      </c>
      <c r="DD168" s="93" cm="1">
        <f t="array" ref="DD168">SUMPRODUCT(TRANSPOSE(DD$4:DD$20),$G168:$W168)</f>
        <v>0</v>
      </c>
      <c r="DE168" s="93" cm="1">
        <f t="array" ref="DE168">SUMPRODUCT(TRANSPOSE(DE$4:DE$20),$G168:$W168)</f>
        <v>0</v>
      </c>
      <c r="DF168" s="93" cm="1">
        <f t="array" ref="DF168">SUMPRODUCT(TRANSPOSE(DF$4:DF$20),$G168:$W168)</f>
        <v>0</v>
      </c>
      <c r="DG168" s="93" cm="1">
        <f t="array" ref="DG168">SUMPRODUCT(TRANSPOSE(DG$4:DG$20),$G168:$W168)</f>
        <v>0</v>
      </c>
      <c r="DH168" s="93" cm="1">
        <f t="array" ref="DH168">SUMPRODUCT(TRANSPOSE(DH$4:DH$20),$G168:$W168)</f>
        <v>0</v>
      </c>
      <c r="DI168" s="93" cm="1">
        <f t="array" ref="DI168">SUMPRODUCT(TRANSPOSE(DI$4:DI$20),$G168:$W168)</f>
        <v>0</v>
      </c>
      <c r="DJ168" s="93" cm="1">
        <f t="array" ref="DJ168">SUMPRODUCT(TRANSPOSE(DJ$4:DJ$20),$G168:$W168)</f>
        <v>0</v>
      </c>
      <c r="DK168" s="93" cm="1">
        <f t="array" ref="DK168">SUMPRODUCT(TRANSPOSE(DK$4:DK$20),$G168:$W168)</f>
        <v>0</v>
      </c>
      <c r="DL168" s="93" cm="1">
        <f t="array" ref="DL168">SUMPRODUCT(TRANSPOSE(DL$4:DL$20),$G168:$W168)</f>
        <v>0</v>
      </c>
      <c r="DM168" s="93" cm="1">
        <f t="array" ref="DM168">SUMPRODUCT(TRANSPOSE(DM$4:DM$20),$G168:$W168)</f>
        <v>0</v>
      </c>
      <c r="DN168" s="93" cm="1">
        <f t="array" ref="DN168">SUMPRODUCT(TRANSPOSE(DN$4:DN$20),$G168:$W168)</f>
        <v>0</v>
      </c>
      <c r="DO168" s="93" cm="1">
        <f t="array" ref="DO168">SUMPRODUCT(TRANSPOSE(DO$4:DO$20),$G168:$W168)</f>
        <v>0</v>
      </c>
    </row>
    <row r="169" spans="1:119" x14ac:dyDescent="0.2">
      <c r="A169" s="45">
        <f t="shared" si="28"/>
        <v>148</v>
      </c>
      <c r="B169" s="46" t="s">
        <v>424</v>
      </c>
      <c r="C169" s="55">
        <v>417350080</v>
      </c>
      <c r="D169" s="45" t="s">
        <v>425</v>
      </c>
      <c r="E169" s="45" t="s">
        <v>162</v>
      </c>
      <c r="F169" s="48">
        <v>2</v>
      </c>
      <c r="G169" s="100">
        <v>0</v>
      </c>
      <c r="H169" s="100">
        <v>0</v>
      </c>
      <c r="I169" s="100">
        <v>0</v>
      </c>
      <c r="J169" s="100">
        <v>0</v>
      </c>
      <c r="K169" s="100">
        <v>0</v>
      </c>
      <c r="L169" s="100">
        <v>0</v>
      </c>
      <c r="M169" s="100">
        <v>0</v>
      </c>
      <c r="N169" s="100">
        <v>0</v>
      </c>
      <c r="O169" s="100">
        <v>0</v>
      </c>
      <c r="P169" s="100">
        <v>0</v>
      </c>
      <c r="Q169" s="100">
        <v>323</v>
      </c>
      <c r="R169" s="100">
        <v>0</v>
      </c>
      <c r="S169" s="100">
        <v>0</v>
      </c>
      <c r="T169" s="100">
        <v>0</v>
      </c>
      <c r="U169" s="100">
        <v>253</v>
      </c>
      <c r="V169" s="100">
        <v>0</v>
      </c>
      <c r="W169" s="100">
        <v>0</v>
      </c>
      <c r="X169" s="45" t="s">
        <v>69</v>
      </c>
      <c r="Y169" s="49">
        <v>1.7999999999999999E-2</v>
      </c>
      <c r="Z169" s="45">
        <v>320000</v>
      </c>
      <c r="AA169" s="45">
        <v>0</v>
      </c>
      <c r="AB169" s="45">
        <v>0</v>
      </c>
      <c r="AC169" s="45">
        <v>0</v>
      </c>
      <c r="AD169" s="45">
        <v>0</v>
      </c>
      <c r="AE169" s="45">
        <v>0</v>
      </c>
      <c r="AF169" s="45">
        <v>0</v>
      </c>
      <c r="AG169" s="45">
        <v>0</v>
      </c>
      <c r="AH169" s="45">
        <v>0</v>
      </c>
      <c r="AI169" s="45">
        <v>0</v>
      </c>
      <c r="AJ169" s="45">
        <v>0</v>
      </c>
      <c r="AK169" s="45">
        <v>0</v>
      </c>
      <c r="AL169" s="45">
        <v>0</v>
      </c>
      <c r="AM169" s="45">
        <v>0</v>
      </c>
      <c r="AN169" s="45">
        <v>0</v>
      </c>
      <c r="AO169" s="45"/>
      <c r="AP169" s="45"/>
      <c r="AQ169" s="45"/>
      <c r="AR169" s="45"/>
      <c r="AS169" s="45"/>
      <c r="AT169" s="45"/>
      <c r="AU169" s="45"/>
      <c r="AV169" s="45"/>
      <c r="AW169" s="45"/>
      <c r="AX169" s="45"/>
      <c r="AY169" s="45"/>
      <c r="AZ169" s="45"/>
      <c r="BA169" s="45"/>
      <c r="BB169" s="45"/>
      <c r="BC169" s="45"/>
      <c r="BD169" s="93"/>
      <c r="BE169" s="93"/>
      <c r="BF169" s="93"/>
      <c r="BG169" s="93"/>
      <c r="BH169" s="93"/>
      <c r="BI169" s="93"/>
      <c r="BJ169" s="93"/>
      <c r="BK169" s="93">
        <f>SUM($Z169:AD169)-SUM($CM169:CQ169)</f>
        <v>297816</v>
      </c>
      <c r="BL169" s="93">
        <f>SUM($Z169:AE169)-SUM($CM169:CR169)</f>
        <v>277656</v>
      </c>
      <c r="BM169" s="93">
        <f>SUM($Z169:AF169)-SUM($CM169:CS169)</f>
        <v>258761</v>
      </c>
      <c r="BN169" s="93">
        <f>SUM($Z169:AG169)-SUM($CM169:CT169)</f>
        <v>241481</v>
      </c>
      <c r="BO169" s="93">
        <f>SUM($Z169:AH169)-SUM($CM169:CU169)</f>
        <v>224201</v>
      </c>
      <c r="BP169" s="93">
        <f>SUM($Z169:AI169)-SUM($CM169:CV169)</f>
        <v>206921</v>
      </c>
      <c r="BQ169" s="93">
        <f>SUM($Z169:AJ169)-SUM($CM169:CW169)</f>
        <v>189641</v>
      </c>
      <c r="BR169" s="93">
        <f>SUM($Z169:AK169)-SUM($CM169:CX169)</f>
        <v>172361</v>
      </c>
      <c r="BS169" s="93">
        <f>SUM($Z169:AL169)-SUM($CM169:CY169)</f>
        <v>155081</v>
      </c>
      <c r="BT169" s="93">
        <f>SUM($Z169:AM169)-SUM($CM169:CZ169)</f>
        <v>137801</v>
      </c>
      <c r="BU169" s="93">
        <f>SUM($Z169:AN169)-SUM($CM169:DA169)</f>
        <v>120521</v>
      </c>
      <c r="BV169" s="93">
        <f>SUM($Z169:AO169)-SUM($CM169:DB169)</f>
        <v>115999</v>
      </c>
      <c r="BW169" s="93">
        <f>SUM($Z169:AP169)-SUM($CM169:DC169)</f>
        <v>115999</v>
      </c>
      <c r="BX169" s="93">
        <f>SUM($Z169:AQ169)-SUM($CM169:DD169)</f>
        <v>115999</v>
      </c>
      <c r="BY169" s="93">
        <f>SUM($Z169:AR169)-SUM($CM169:DE169)</f>
        <v>115999</v>
      </c>
      <c r="BZ169" s="93">
        <f>SUM($Z169:AS169)-SUM($CM169:DF169)</f>
        <v>115999</v>
      </c>
      <c r="CA169" s="93">
        <f>SUM($Z169:AT169)-SUM($CM169:DG169)</f>
        <v>115999</v>
      </c>
      <c r="CB169" s="93">
        <f>SUM($Z169:AU169)-SUM($CM169:DH169)</f>
        <v>115999</v>
      </c>
      <c r="CC169" s="93">
        <f>SUM($Z169:AV169)-SUM($CM169:DI169)</f>
        <v>115999</v>
      </c>
      <c r="CD169" s="93">
        <f>SUM($Z169:AW169)-SUM($CM169:DJ169)</f>
        <v>115999</v>
      </c>
      <c r="CE169" s="93">
        <f>SUM($Z169:AX169)-SUM($CM169:DK169)</f>
        <v>115999</v>
      </c>
      <c r="CF169" s="93">
        <f>SUM($Z169:AY169)-SUM($CM169:DL169)</f>
        <v>115999</v>
      </c>
      <c r="CG169" s="93">
        <f>SUM($Z169:AZ169)-SUM($CM169:DM169)</f>
        <v>115999</v>
      </c>
      <c r="CH169" s="93">
        <f>SUM($Z169:BA169)-SUM($CM169:DN169)</f>
        <v>115999</v>
      </c>
      <c r="CI169" s="93">
        <f>SUM($Z169:BB169)-SUM($CM169:DO169)</f>
        <v>115999</v>
      </c>
      <c r="CJ169" s="93"/>
      <c r="CK169" s="93"/>
      <c r="CL169" s="93"/>
      <c r="CM169" s="93"/>
      <c r="CN169" s="93" cm="1">
        <f t="array" ref="CN169">SUMPRODUCT(TRANSPOSE(CN$4:CN$20),$G169:$W169)</f>
        <v>0</v>
      </c>
      <c r="CO169" s="93" cm="1">
        <f t="array" ref="CO169">SUMPRODUCT(TRANSPOSE(CO$4:CO$20),$G169:$W169)</f>
        <v>0</v>
      </c>
      <c r="CP169" s="93" cm="1">
        <f t="array" ref="CP169">SUMPRODUCT(TRANSPOSE(CP$4:CP$20),$G169:$W169)</f>
        <v>0</v>
      </c>
      <c r="CQ169" s="93" cm="1">
        <f t="array" ref="CQ169">SUMPRODUCT(TRANSPOSE(CQ$4:CQ$20),$G169:$W169)</f>
        <v>22184</v>
      </c>
      <c r="CR169" s="93" cm="1">
        <f t="array" ref="CR169">SUMPRODUCT(TRANSPOSE(CR$4:CR$20),$G169:$W169)</f>
        <v>20160</v>
      </c>
      <c r="CS169" s="93" cm="1">
        <f t="array" ref="CS169">SUMPRODUCT(TRANSPOSE(CS$4:CS$20),$G169:$W169)</f>
        <v>18895</v>
      </c>
      <c r="CT169" s="93" cm="1">
        <f t="array" ref="CT169">SUMPRODUCT(TRANSPOSE(CT$4:CT$20),$G169:$W169)</f>
        <v>17280</v>
      </c>
      <c r="CU169" s="93" cm="1">
        <f t="array" ref="CU169">SUMPRODUCT(TRANSPOSE(CU$4:CU$20),$G169:$W169)</f>
        <v>17280</v>
      </c>
      <c r="CV169" s="93" cm="1">
        <f t="array" ref="CV169">SUMPRODUCT(TRANSPOSE(CV$4:CV$20),$G169:$W169)</f>
        <v>17280</v>
      </c>
      <c r="CW169" s="93" cm="1">
        <f t="array" ref="CW169">SUMPRODUCT(TRANSPOSE(CW$4:CW$20),$G169:$W169)</f>
        <v>17280</v>
      </c>
      <c r="CX169" s="93" cm="1">
        <f t="array" ref="CX169">SUMPRODUCT(TRANSPOSE(CX$4:CX$20),$G169:$W169)</f>
        <v>17280</v>
      </c>
      <c r="CY169" s="93" cm="1">
        <f t="array" ref="CY169">SUMPRODUCT(TRANSPOSE(CY$4:CY$20),$G169:$W169)</f>
        <v>17280</v>
      </c>
      <c r="CZ169" s="93" cm="1">
        <f t="array" ref="CZ169">SUMPRODUCT(TRANSPOSE(CZ$4:CZ$20),$G169:$W169)</f>
        <v>17280</v>
      </c>
      <c r="DA169" s="93" cm="1">
        <f t="array" ref="DA169">SUMPRODUCT(TRANSPOSE(DA$4:DA$20),$G169:$W169)</f>
        <v>17280</v>
      </c>
      <c r="DB169" s="93" cm="1">
        <f t="array" ref="DB169">SUMPRODUCT(TRANSPOSE(DB$4:DB$20),$G169:$W169)</f>
        <v>4522</v>
      </c>
      <c r="DC169" s="93" cm="1">
        <f t="array" ref="DC169">SUMPRODUCT(TRANSPOSE(DC$4:DC$20),$G169:$W169)</f>
        <v>0</v>
      </c>
      <c r="DD169" s="93" cm="1">
        <f t="array" ref="DD169">SUMPRODUCT(TRANSPOSE(DD$4:DD$20),$G169:$W169)</f>
        <v>0</v>
      </c>
      <c r="DE169" s="93" cm="1">
        <f t="array" ref="DE169">SUMPRODUCT(TRANSPOSE(DE$4:DE$20),$G169:$W169)</f>
        <v>0</v>
      </c>
      <c r="DF169" s="93" cm="1">
        <f t="array" ref="DF169">SUMPRODUCT(TRANSPOSE(DF$4:DF$20),$G169:$W169)</f>
        <v>0</v>
      </c>
      <c r="DG169" s="93" cm="1">
        <f t="array" ref="DG169">SUMPRODUCT(TRANSPOSE(DG$4:DG$20),$G169:$W169)</f>
        <v>0</v>
      </c>
      <c r="DH169" s="93" cm="1">
        <f t="array" ref="DH169">SUMPRODUCT(TRANSPOSE(DH$4:DH$20),$G169:$W169)</f>
        <v>0</v>
      </c>
      <c r="DI169" s="93" cm="1">
        <f t="array" ref="DI169">SUMPRODUCT(TRANSPOSE(DI$4:DI$20),$G169:$W169)</f>
        <v>0</v>
      </c>
      <c r="DJ169" s="93" cm="1">
        <f t="array" ref="DJ169">SUMPRODUCT(TRANSPOSE(DJ$4:DJ$20),$G169:$W169)</f>
        <v>0</v>
      </c>
      <c r="DK169" s="93" cm="1">
        <f t="array" ref="DK169">SUMPRODUCT(TRANSPOSE(DK$4:DK$20),$G169:$W169)</f>
        <v>0</v>
      </c>
      <c r="DL169" s="93" cm="1">
        <f t="array" ref="DL169">SUMPRODUCT(TRANSPOSE(DL$4:DL$20),$G169:$W169)</f>
        <v>0</v>
      </c>
      <c r="DM169" s="93" cm="1">
        <f t="array" ref="DM169">SUMPRODUCT(TRANSPOSE(DM$4:DM$20),$G169:$W169)</f>
        <v>0</v>
      </c>
      <c r="DN169" s="93" cm="1">
        <f t="array" ref="DN169">SUMPRODUCT(TRANSPOSE(DN$4:DN$20),$G169:$W169)</f>
        <v>0</v>
      </c>
      <c r="DO169" s="93" cm="1">
        <f t="array" ref="DO169">SUMPRODUCT(TRANSPOSE(DO$4:DO$20),$G169:$W169)</f>
        <v>0</v>
      </c>
    </row>
    <row r="170" spans="1:119" x14ac:dyDescent="0.2">
      <c r="A170" s="45">
        <f t="shared" si="28"/>
        <v>149</v>
      </c>
      <c r="B170" s="46" t="s">
        <v>426</v>
      </c>
      <c r="C170" s="45">
        <v>584100838</v>
      </c>
      <c r="D170" s="45" t="s">
        <v>427</v>
      </c>
      <c r="E170" s="45" t="s">
        <v>162</v>
      </c>
      <c r="F170" s="48">
        <v>2</v>
      </c>
      <c r="G170" s="100">
        <v>3</v>
      </c>
      <c r="H170" s="100">
        <v>1</v>
      </c>
      <c r="I170" s="100">
        <v>2</v>
      </c>
      <c r="J170" s="100">
        <v>0</v>
      </c>
      <c r="K170" s="100">
        <v>2</v>
      </c>
      <c r="L170" s="100">
        <v>0</v>
      </c>
      <c r="M170" s="100">
        <v>0</v>
      </c>
      <c r="N170" s="100">
        <v>0</v>
      </c>
      <c r="O170" s="100">
        <v>2</v>
      </c>
      <c r="P170" s="100">
        <v>0</v>
      </c>
      <c r="Q170" s="100">
        <v>0</v>
      </c>
      <c r="R170" s="100">
        <v>0</v>
      </c>
      <c r="S170" s="100">
        <v>2</v>
      </c>
      <c r="T170" s="100">
        <v>0</v>
      </c>
      <c r="U170" s="100">
        <v>0</v>
      </c>
      <c r="V170" s="100">
        <v>0</v>
      </c>
      <c r="W170" s="100">
        <v>0</v>
      </c>
      <c r="X170" s="45" t="s">
        <v>24</v>
      </c>
      <c r="Y170" s="49">
        <v>1.72</v>
      </c>
      <c r="Z170" s="45">
        <v>3291</v>
      </c>
      <c r="AA170" s="45">
        <v>0</v>
      </c>
      <c r="AB170" s="45">
        <v>0</v>
      </c>
      <c r="AC170" s="45">
        <v>0</v>
      </c>
      <c r="AD170" s="45">
        <v>0</v>
      </c>
      <c r="AE170" s="45">
        <v>0</v>
      </c>
      <c r="AF170" s="45">
        <v>0</v>
      </c>
      <c r="AG170" s="45">
        <v>0</v>
      </c>
      <c r="AH170" s="45">
        <v>0</v>
      </c>
      <c r="AI170" s="45">
        <v>0</v>
      </c>
      <c r="AJ170" s="45">
        <v>0</v>
      </c>
      <c r="AK170" s="45">
        <v>0</v>
      </c>
      <c r="AL170" s="45">
        <v>0</v>
      </c>
      <c r="AM170" s="45">
        <v>0</v>
      </c>
      <c r="AN170" s="45">
        <v>0</v>
      </c>
      <c r="AO170" s="45"/>
      <c r="AP170" s="45"/>
      <c r="AQ170" s="45"/>
      <c r="AR170" s="45"/>
      <c r="AS170" s="45"/>
      <c r="AT170" s="45"/>
      <c r="AU170" s="45"/>
      <c r="AV170" s="45"/>
      <c r="AW170" s="45"/>
      <c r="AX170" s="45"/>
      <c r="AY170" s="45"/>
      <c r="AZ170" s="45"/>
      <c r="BA170" s="45"/>
      <c r="BB170" s="45"/>
      <c r="BC170" s="45"/>
      <c r="BD170" s="93"/>
      <c r="BE170" s="93"/>
      <c r="BF170" s="93"/>
      <c r="BG170" s="93"/>
      <c r="BH170" s="93"/>
      <c r="BI170" s="93"/>
      <c r="BJ170" s="93"/>
      <c r="BK170" s="93">
        <f>SUM($Z170:AD170)-SUM($CM170:CQ170)</f>
        <v>3071</v>
      </c>
      <c r="BL170" s="93">
        <f>SUM($Z170:AE170)-SUM($CM170:CR170)</f>
        <v>2867</v>
      </c>
      <c r="BM170" s="93">
        <f>SUM($Z170:AF170)-SUM($CM170:CS170)</f>
        <v>2673</v>
      </c>
      <c r="BN170" s="93">
        <f>SUM($Z170:AG170)-SUM($CM170:CT170)</f>
        <v>2489</v>
      </c>
      <c r="BO170" s="93">
        <f>SUM($Z170:AH170)-SUM($CM170:CU170)</f>
        <v>2305</v>
      </c>
      <c r="BP170" s="93">
        <f>SUM($Z170:AI170)-SUM($CM170:CV170)</f>
        <v>2121</v>
      </c>
      <c r="BQ170" s="93">
        <f>SUM($Z170:AJ170)-SUM($CM170:CW170)</f>
        <v>1937</v>
      </c>
      <c r="BR170" s="93">
        <f>SUM($Z170:AK170)-SUM($CM170:CX170)</f>
        <v>1753</v>
      </c>
      <c r="BS170" s="93">
        <f>SUM($Z170:AL170)-SUM($CM170:CY170)</f>
        <v>1569</v>
      </c>
      <c r="BT170" s="93">
        <f>SUM($Z170:AM170)-SUM($CM170:CZ170)</f>
        <v>1385</v>
      </c>
      <c r="BU170" s="93">
        <f>SUM($Z170:AN170)-SUM($CM170:DA170)</f>
        <v>1201</v>
      </c>
      <c r="BV170" s="93">
        <f>SUM($Z170:AO170)-SUM($CM170:DB170)</f>
        <v>1109</v>
      </c>
      <c r="BW170" s="93">
        <f>SUM($Z170:AP170)-SUM($CM170:DC170)</f>
        <v>1061</v>
      </c>
      <c r="BX170" s="93">
        <f>SUM($Z170:AQ170)-SUM($CM170:DD170)</f>
        <v>1061</v>
      </c>
      <c r="BY170" s="93">
        <f>SUM($Z170:AR170)-SUM($CM170:DE170)</f>
        <v>1061</v>
      </c>
      <c r="BZ170" s="93">
        <f>SUM($Z170:AS170)-SUM($CM170:DF170)</f>
        <v>1061</v>
      </c>
      <c r="CA170" s="93">
        <f>SUM($Z170:AT170)-SUM($CM170:DG170)</f>
        <v>1061</v>
      </c>
      <c r="CB170" s="93">
        <f>SUM($Z170:AU170)-SUM($CM170:DH170)</f>
        <v>1061</v>
      </c>
      <c r="CC170" s="93">
        <f>SUM($Z170:AV170)-SUM($CM170:DI170)</f>
        <v>1061</v>
      </c>
      <c r="CD170" s="93">
        <f>SUM($Z170:AW170)-SUM($CM170:DJ170)</f>
        <v>1061</v>
      </c>
      <c r="CE170" s="93">
        <f>SUM($Z170:AX170)-SUM($CM170:DK170)</f>
        <v>1061</v>
      </c>
      <c r="CF170" s="93">
        <f>SUM($Z170:AY170)-SUM($CM170:DL170)</f>
        <v>1061</v>
      </c>
      <c r="CG170" s="93">
        <f>SUM($Z170:AZ170)-SUM($CM170:DM170)</f>
        <v>1061</v>
      </c>
      <c r="CH170" s="93">
        <f>SUM($Z170:BA170)-SUM($CM170:DN170)</f>
        <v>1061</v>
      </c>
      <c r="CI170" s="93">
        <f>SUM($Z170:BB170)-SUM($CM170:DO170)</f>
        <v>1061</v>
      </c>
      <c r="CJ170" s="93"/>
      <c r="CK170" s="93"/>
      <c r="CL170" s="93"/>
      <c r="CM170" s="93"/>
      <c r="CN170" s="93" cm="1">
        <f t="array" ref="CN170">SUMPRODUCT(TRANSPOSE(CN$4:CN$20),$G170:$W170)</f>
        <v>0</v>
      </c>
      <c r="CO170" s="93" cm="1">
        <f t="array" ref="CO170">SUMPRODUCT(TRANSPOSE(CO$4:CO$20),$G170:$W170)</f>
        <v>0</v>
      </c>
      <c r="CP170" s="93" cm="1">
        <f t="array" ref="CP170">SUMPRODUCT(TRANSPOSE(CP$4:CP$20),$G170:$W170)</f>
        <v>0</v>
      </c>
      <c r="CQ170" s="93" cm="1">
        <f t="array" ref="CQ170">SUMPRODUCT(TRANSPOSE(CQ$4:CQ$20),$G170:$W170)</f>
        <v>220</v>
      </c>
      <c r="CR170" s="93" cm="1">
        <f t="array" ref="CR170">SUMPRODUCT(TRANSPOSE(CR$4:CR$20),$G170:$W170)</f>
        <v>204</v>
      </c>
      <c r="CS170" s="93" cm="1">
        <f t="array" ref="CS170">SUMPRODUCT(TRANSPOSE(CS$4:CS$20),$G170:$W170)</f>
        <v>194</v>
      </c>
      <c r="CT170" s="93" cm="1">
        <f t="array" ref="CT170">SUMPRODUCT(TRANSPOSE(CT$4:CT$20),$G170:$W170)</f>
        <v>184</v>
      </c>
      <c r="CU170" s="93" cm="1">
        <f t="array" ref="CU170">SUMPRODUCT(TRANSPOSE(CU$4:CU$20),$G170:$W170)</f>
        <v>184</v>
      </c>
      <c r="CV170" s="93" cm="1">
        <f t="array" ref="CV170">SUMPRODUCT(TRANSPOSE(CV$4:CV$20),$G170:$W170)</f>
        <v>184</v>
      </c>
      <c r="CW170" s="93" cm="1">
        <f t="array" ref="CW170">SUMPRODUCT(TRANSPOSE(CW$4:CW$20),$G170:$W170)</f>
        <v>184</v>
      </c>
      <c r="CX170" s="93" cm="1">
        <f t="array" ref="CX170">SUMPRODUCT(TRANSPOSE(CX$4:CX$20),$G170:$W170)</f>
        <v>184</v>
      </c>
      <c r="CY170" s="93" cm="1">
        <f t="array" ref="CY170">SUMPRODUCT(TRANSPOSE(CY$4:CY$20),$G170:$W170)</f>
        <v>184</v>
      </c>
      <c r="CZ170" s="93" cm="1">
        <f t="array" ref="CZ170">SUMPRODUCT(TRANSPOSE(CZ$4:CZ$20),$G170:$W170)</f>
        <v>184</v>
      </c>
      <c r="DA170" s="93" cm="1">
        <f t="array" ref="DA170">SUMPRODUCT(TRANSPOSE(DA$4:DA$20),$G170:$W170)</f>
        <v>184</v>
      </c>
      <c r="DB170" s="93" cm="1">
        <f t="array" ref="DB170">SUMPRODUCT(TRANSPOSE(DB$4:DB$20),$G170:$W170)</f>
        <v>92</v>
      </c>
      <c r="DC170" s="93" cm="1">
        <f t="array" ref="DC170">SUMPRODUCT(TRANSPOSE(DC$4:DC$20),$G170:$W170)</f>
        <v>48</v>
      </c>
      <c r="DD170" s="93" cm="1">
        <f t="array" ref="DD170">SUMPRODUCT(TRANSPOSE(DD$4:DD$20),$G170:$W170)</f>
        <v>0</v>
      </c>
      <c r="DE170" s="93" cm="1">
        <f t="array" ref="DE170">SUMPRODUCT(TRANSPOSE(DE$4:DE$20),$G170:$W170)</f>
        <v>0</v>
      </c>
      <c r="DF170" s="93" cm="1">
        <f t="array" ref="DF170">SUMPRODUCT(TRANSPOSE(DF$4:DF$20),$G170:$W170)</f>
        <v>0</v>
      </c>
      <c r="DG170" s="93" cm="1">
        <f t="array" ref="DG170">SUMPRODUCT(TRANSPOSE(DG$4:DG$20),$G170:$W170)</f>
        <v>0</v>
      </c>
      <c r="DH170" s="93" cm="1">
        <f t="array" ref="DH170">SUMPRODUCT(TRANSPOSE(DH$4:DH$20),$G170:$W170)</f>
        <v>0</v>
      </c>
      <c r="DI170" s="93" cm="1">
        <f t="array" ref="DI170">SUMPRODUCT(TRANSPOSE(DI$4:DI$20),$G170:$W170)</f>
        <v>0</v>
      </c>
      <c r="DJ170" s="93" cm="1">
        <f t="array" ref="DJ170">SUMPRODUCT(TRANSPOSE(DJ$4:DJ$20),$G170:$W170)</f>
        <v>0</v>
      </c>
      <c r="DK170" s="93" cm="1">
        <f t="array" ref="DK170">SUMPRODUCT(TRANSPOSE(DK$4:DK$20),$G170:$W170)</f>
        <v>0</v>
      </c>
      <c r="DL170" s="93" cm="1">
        <f t="array" ref="DL170">SUMPRODUCT(TRANSPOSE(DL$4:DL$20),$G170:$W170)</f>
        <v>0</v>
      </c>
      <c r="DM170" s="93" cm="1">
        <f t="array" ref="DM170">SUMPRODUCT(TRANSPOSE(DM$4:DM$20),$G170:$W170)</f>
        <v>0</v>
      </c>
      <c r="DN170" s="93" cm="1">
        <f t="array" ref="DN170">SUMPRODUCT(TRANSPOSE(DN$4:DN$20),$G170:$W170)</f>
        <v>0</v>
      </c>
      <c r="DO170" s="93" cm="1">
        <f t="array" ref="DO170">SUMPRODUCT(TRANSPOSE(DO$4:DO$20),$G170:$W170)</f>
        <v>0</v>
      </c>
    </row>
    <row r="171" spans="1:119" x14ac:dyDescent="0.2">
      <c r="A171" s="45">
        <f t="shared" si="28"/>
        <v>150</v>
      </c>
      <c r="B171" s="46" t="s">
        <v>428</v>
      </c>
      <c r="C171" s="45">
        <v>405656805</v>
      </c>
      <c r="D171" s="45" t="s">
        <v>429</v>
      </c>
      <c r="E171" s="45" t="s">
        <v>162</v>
      </c>
      <c r="F171" s="48">
        <v>2</v>
      </c>
      <c r="G171" s="100">
        <v>0</v>
      </c>
      <c r="H171" s="100">
        <v>0</v>
      </c>
      <c r="I171" s="100">
        <v>0</v>
      </c>
      <c r="J171" s="100">
        <v>0</v>
      </c>
      <c r="K171" s="100">
        <v>0</v>
      </c>
      <c r="L171" s="100">
        <v>0</v>
      </c>
      <c r="M171" s="100">
        <v>0</v>
      </c>
      <c r="N171" s="100">
        <v>0</v>
      </c>
      <c r="O171" s="100">
        <v>0</v>
      </c>
      <c r="P171" s="100">
        <v>0</v>
      </c>
      <c r="Q171" s="100">
        <v>189</v>
      </c>
      <c r="R171" s="100">
        <v>0</v>
      </c>
      <c r="S171" s="100">
        <v>0</v>
      </c>
      <c r="T171" s="100">
        <v>0</v>
      </c>
      <c r="U171" s="100">
        <v>12</v>
      </c>
      <c r="V171" s="100">
        <v>0</v>
      </c>
      <c r="W171" s="100">
        <v>0</v>
      </c>
      <c r="X171" s="45" t="s">
        <v>70</v>
      </c>
      <c r="Y171" s="49">
        <v>9.8000000000000004E-2</v>
      </c>
      <c r="Z171" s="45">
        <v>114000</v>
      </c>
      <c r="AA171" s="45">
        <v>0</v>
      </c>
      <c r="AB171" s="45">
        <v>0</v>
      </c>
      <c r="AC171" s="45">
        <v>0</v>
      </c>
      <c r="AD171" s="45">
        <v>0</v>
      </c>
      <c r="AE171" s="45">
        <v>0</v>
      </c>
      <c r="AF171" s="45">
        <v>0</v>
      </c>
      <c r="AG171" s="45">
        <v>0</v>
      </c>
      <c r="AH171" s="45">
        <v>0</v>
      </c>
      <c r="AI171" s="45">
        <v>0</v>
      </c>
      <c r="AJ171" s="45">
        <v>0</v>
      </c>
      <c r="AK171" s="45">
        <v>0</v>
      </c>
      <c r="AL171" s="45">
        <v>0</v>
      </c>
      <c r="AM171" s="45">
        <v>0</v>
      </c>
      <c r="AN171" s="45">
        <v>0</v>
      </c>
      <c r="AO171" s="45"/>
      <c r="AP171" s="45"/>
      <c r="AQ171" s="45"/>
      <c r="AR171" s="45"/>
      <c r="AS171" s="45"/>
      <c r="AT171" s="45"/>
      <c r="AU171" s="45"/>
      <c r="AV171" s="45"/>
      <c r="AW171" s="45"/>
      <c r="AX171" s="45"/>
      <c r="AY171" s="45"/>
      <c r="AZ171" s="45"/>
      <c r="BA171" s="45"/>
      <c r="BB171" s="45"/>
      <c r="BC171" s="45"/>
      <c r="BD171" s="93"/>
      <c r="BE171" s="93"/>
      <c r="BF171" s="93"/>
      <c r="BG171" s="93"/>
      <c r="BH171" s="93"/>
      <c r="BI171" s="93"/>
      <c r="BJ171" s="93"/>
      <c r="BK171" s="93">
        <f>SUM($Z171:AD171)-SUM($CM171:CQ171)</f>
        <v>106869</v>
      </c>
      <c r="BL171" s="93">
        <f>SUM($Z171:AE171)-SUM($CM171:CR171)</f>
        <v>99834</v>
      </c>
      <c r="BM171" s="93">
        <f>SUM($Z171:AF171)-SUM($CM171:CS171)</f>
        <v>92859</v>
      </c>
      <c r="BN171" s="93">
        <f>SUM($Z171:AG171)-SUM($CM171:CT171)</f>
        <v>86829</v>
      </c>
      <c r="BO171" s="93">
        <f>SUM($Z171:AH171)-SUM($CM171:CU171)</f>
        <v>80799</v>
      </c>
      <c r="BP171" s="93">
        <f>SUM($Z171:AI171)-SUM($CM171:CV171)</f>
        <v>74769</v>
      </c>
      <c r="BQ171" s="93">
        <f>SUM($Z171:AJ171)-SUM($CM171:CW171)</f>
        <v>68739</v>
      </c>
      <c r="BR171" s="93">
        <f>SUM($Z171:AK171)-SUM($CM171:CX171)</f>
        <v>62709</v>
      </c>
      <c r="BS171" s="93">
        <f>SUM($Z171:AL171)-SUM($CM171:CY171)</f>
        <v>56679</v>
      </c>
      <c r="BT171" s="93">
        <f>SUM($Z171:AM171)-SUM($CM171:CZ171)</f>
        <v>50649</v>
      </c>
      <c r="BU171" s="93">
        <f>SUM($Z171:AN171)-SUM($CM171:DA171)</f>
        <v>44619</v>
      </c>
      <c r="BV171" s="93">
        <f>SUM($Z171:AO171)-SUM($CM171:DB171)</f>
        <v>41973</v>
      </c>
      <c r="BW171" s="93">
        <f>SUM($Z171:AP171)-SUM($CM171:DC171)</f>
        <v>41973</v>
      </c>
      <c r="BX171" s="93">
        <f>SUM($Z171:AQ171)-SUM($CM171:DD171)</f>
        <v>41973</v>
      </c>
      <c r="BY171" s="93">
        <f>SUM($Z171:AR171)-SUM($CM171:DE171)</f>
        <v>41973</v>
      </c>
      <c r="BZ171" s="93">
        <f>SUM($Z171:AS171)-SUM($CM171:DF171)</f>
        <v>41973</v>
      </c>
      <c r="CA171" s="93">
        <f>SUM($Z171:AT171)-SUM($CM171:DG171)</f>
        <v>41973</v>
      </c>
      <c r="CB171" s="93">
        <f>SUM($Z171:AU171)-SUM($CM171:DH171)</f>
        <v>41973</v>
      </c>
      <c r="CC171" s="93">
        <f>SUM($Z171:AV171)-SUM($CM171:DI171)</f>
        <v>41973</v>
      </c>
      <c r="CD171" s="93">
        <f>SUM($Z171:AW171)-SUM($CM171:DJ171)</f>
        <v>41973</v>
      </c>
      <c r="CE171" s="93">
        <f>SUM($Z171:AX171)-SUM($CM171:DK171)</f>
        <v>41973</v>
      </c>
      <c r="CF171" s="93">
        <f>SUM($Z171:AY171)-SUM($CM171:DL171)</f>
        <v>41973</v>
      </c>
      <c r="CG171" s="93">
        <f>SUM($Z171:AZ171)-SUM($CM171:DM171)</f>
        <v>41973</v>
      </c>
      <c r="CH171" s="93">
        <f>SUM($Z171:BA171)-SUM($CM171:DN171)</f>
        <v>41973</v>
      </c>
      <c r="CI171" s="93">
        <f>SUM($Z171:BB171)-SUM($CM171:DO171)</f>
        <v>41973</v>
      </c>
      <c r="CJ171" s="93"/>
      <c r="CK171" s="93"/>
      <c r="CL171" s="93"/>
      <c r="CM171" s="93"/>
      <c r="CN171" s="93" cm="1">
        <f t="array" ref="CN171">SUMPRODUCT(TRANSPOSE(CN$4:CN$20),$G171:$W171)</f>
        <v>0</v>
      </c>
      <c r="CO171" s="93" cm="1">
        <f t="array" ref="CO171">SUMPRODUCT(TRANSPOSE(CO$4:CO$20),$G171:$W171)</f>
        <v>0</v>
      </c>
      <c r="CP171" s="93" cm="1">
        <f t="array" ref="CP171">SUMPRODUCT(TRANSPOSE(CP$4:CP$20),$G171:$W171)</f>
        <v>0</v>
      </c>
      <c r="CQ171" s="93" cm="1">
        <f t="array" ref="CQ171">SUMPRODUCT(TRANSPOSE(CQ$4:CQ$20),$G171:$W171)</f>
        <v>7131</v>
      </c>
      <c r="CR171" s="93" cm="1">
        <f t="array" ref="CR171">SUMPRODUCT(TRANSPOSE(CR$4:CR$20),$G171:$W171)</f>
        <v>7035</v>
      </c>
      <c r="CS171" s="93" cm="1">
        <f t="array" ref="CS171">SUMPRODUCT(TRANSPOSE(CS$4:CS$20),$G171:$W171)</f>
        <v>6975</v>
      </c>
      <c r="CT171" s="93" cm="1">
        <f t="array" ref="CT171">SUMPRODUCT(TRANSPOSE(CT$4:CT$20),$G171:$W171)</f>
        <v>6030</v>
      </c>
      <c r="CU171" s="93" cm="1">
        <f t="array" ref="CU171">SUMPRODUCT(TRANSPOSE(CU$4:CU$20),$G171:$W171)</f>
        <v>6030</v>
      </c>
      <c r="CV171" s="93" cm="1">
        <f t="array" ref="CV171">SUMPRODUCT(TRANSPOSE(CV$4:CV$20),$G171:$W171)</f>
        <v>6030</v>
      </c>
      <c r="CW171" s="93" cm="1">
        <f t="array" ref="CW171">SUMPRODUCT(TRANSPOSE(CW$4:CW$20),$G171:$W171)</f>
        <v>6030</v>
      </c>
      <c r="CX171" s="93" cm="1">
        <f t="array" ref="CX171">SUMPRODUCT(TRANSPOSE(CX$4:CX$20),$G171:$W171)</f>
        <v>6030</v>
      </c>
      <c r="CY171" s="93" cm="1">
        <f t="array" ref="CY171">SUMPRODUCT(TRANSPOSE(CY$4:CY$20),$G171:$W171)</f>
        <v>6030</v>
      </c>
      <c r="CZ171" s="93" cm="1">
        <f t="array" ref="CZ171">SUMPRODUCT(TRANSPOSE(CZ$4:CZ$20),$G171:$W171)</f>
        <v>6030</v>
      </c>
      <c r="DA171" s="93" cm="1">
        <f t="array" ref="DA171">SUMPRODUCT(TRANSPOSE(DA$4:DA$20),$G171:$W171)</f>
        <v>6030</v>
      </c>
      <c r="DB171" s="93" cm="1">
        <f t="array" ref="DB171">SUMPRODUCT(TRANSPOSE(DB$4:DB$20),$G171:$W171)</f>
        <v>2646</v>
      </c>
      <c r="DC171" s="93" cm="1">
        <f t="array" ref="DC171">SUMPRODUCT(TRANSPOSE(DC$4:DC$20),$G171:$W171)</f>
        <v>0</v>
      </c>
      <c r="DD171" s="93" cm="1">
        <f t="array" ref="DD171">SUMPRODUCT(TRANSPOSE(DD$4:DD$20),$G171:$W171)</f>
        <v>0</v>
      </c>
      <c r="DE171" s="93" cm="1">
        <f t="array" ref="DE171">SUMPRODUCT(TRANSPOSE(DE$4:DE$20),$G171:$W171)</f>
        <v>0</v>
      </c>
      <c r="DF171" s="93" cm="1">
        <f t="array" ref="DF171">SUMPRODUCT(TRANSPOSE(DF$4:DF$20),$G171:$W171)</f>
        <v>0</v>
      </c>
      <c r="DG171" s="93" cm="1">
        <f t="array" ref="DG171">SUMPRODUCT(TRANSPOSE(DG$4:DG$20),$G171:$W171)</f>
        <v>0</v>
      </c>
      <c r="DH171" s="93" cm="1">
        <f t="array" ref="DH171">SUMPRODUCT(TRANSPOSE(DH$4:DH$20),$G171:$W171)</f>
        <v>0</v>
      </c>
      <c r="DI171" s="93" cm="1">
        <f t="array" ref="DI171">SUMPRODUCT(TRANSPOSE(DI$4:DI$20),$G171:$W171)</f>
        <v>0</v>
      </c>
      <c r="DJ171" s="93" cm="1">
        <f t="array" ref="DJ171">SUMPRODUCT(TRANSPOSE(DJ$4:DJ$20),$G171:$W171)</f>
        <v>0</v>
      </c>
      <c r="DK171" s="93" cm="1">
        <f t="array" ref="DK171">SUMPRODUCT(TRANSPOSE(DK$4:DK$20),$G171:$W171)</f>
        <v>0</v>
      </c>
      <c r="DL171" s="93" cm="1">
        <f t="array" ref="DL171">SUMPRODUCT(TRANSPOSE(DL$4:DL$20),$G171:$W171)</f>
        <v>0</v>
      </c>
      <c r="DM171" s="93" cm="1">
        <f t="array" ref="DM171">SUMPRODUCT(TRANSPOSE(DM$4:DM$20),$G171:$W171)</f>
        <v>0</v>
      </c>
      <c r="DN171" s="93" cm="1">
        <f t="array" ref="DN171">SUMPRODUCT(TRANSPOSE(DN$4:DN$20),$G171:$W171)</f>
        <v>0</v>
      </c>
      <c r="DO171" s="93" cm="1">
        <f t="array" ref="DO171">SUMPRODUCT(TRANSPOSE(DO$4:DO$20),$G171:$W171)</f>
        <v>0</v>
      </c>
    </row>
    <row r="172" spans="1:119" x14ac:dyDescent="0.2">
      <c r="A172" s="45">
        <f t="shared" si="28"/>
        <v>151</v>
      </c>
      <c r="B172" s="46" t="s">
        <v>430</v>
      </c>
      <c r="C172" s="45">
        <v>416653035</v>
      </c>
      <c r="D172" s="45" t="s">
        <v>431</v>
      </c>
      <c r="E172" s="45" t="s">
        <v>162</v>
      </c>
      <c r="F172" s="48">
        <v>1</v>
      </c>
      <c r="G172" s="100">
        <v>0</v>
      </c>
      <c r="H172" s="100">
        <v>0</v>
      </c>
      <c r="I172" s="100">
        <v>0</v>
      </c>
      <c r="J172" s="100">
        <v>0</v>
      </c>
      <c r="K172" s="100">
        <v>0</v>
      </c>
      <c r="L172" s="100">
        <v>0</v>
      </c>
      <c r="M172" s="100">
        <v>0</v>
      </c>
      <c r="N172" s="100">
        <v>0</v>
      </c>
      <c r="O172" s="100">
        <v>0</v>
      </c>
      <c r="P172" s="100">
        <v>0</v>
      </c>
      <c r="Q172" s="100">
        <v>0</v>
      </c>
      <c r="R172" s="100">
        <v>2</v>
      </c>
      <c r="S172" s="100">
        <v>0</v>
      </c>
      <c r="T172" s="100">
        <v>0</v>
      </c>
      <c r="U172" s="100">
        <v>0</v>
      </c>
      <c r="V172" s="100">
        <v>2</v>
      </c>
      <c r="W172" s="100">
        <v>0</v>
      </c>
      <c r="X172" s="45" t="s">
        <v>63</v>
      </c>
      <c r="Y172" s="49">
        <v>0.44688000000000005</v>
      </c>
      <c r="Z172" s="45">
        <v>2500</v>
      </c>
      <c r="AA172" s="45">
        <v>0</v>
      </c>
      <c r="AB172" s="45">
        <v>0</v>
      </c>
      <c r="AC172" s="45">
        <v>0</v>
      </c>
      <c r="AD172" s="45">
        <v>0</v>
      </c>
      <c r="AE172" s="45">
        <v>0</v>
      </c>
      <c r="AF172" s="45">
        <v>0</v>
      </c>
      <c r="AG172" s="45">
        <v>0</v>
      </c>
      <c r="AH172" s="45">
        <v>0</v>
      </c>
      <c r="AI172" s="45">
        <v>0</v>
      </c>
      <c r="AJ172" s="45">
        <v>0</v>
      </c>
      <c r="AK172" s="45">
        <v>0</v>
      </c>
      <c r="AL172" s="45">
        <v>0</v>
      </c>
      <c r="AM172" s="45">
        <v>0</v>
      </c>
      <c r="AN172" s="45">
        <v>0</v>
      </c>
      <c r="AO172" s="45"/>
      <c r="AP172" s="45"/>
      <c r="AQ172" s="45"/>
      <c r="AR172" s="45"/>
      <c r="AS172" s="45"/>
      <c r="AT172" s="45"/>
      <c r="AU172" s="45"/>
      <c r="AV172" s="45"/>
      <c r="AW172" s="45"/>
      <c r="AX172" s="45"/>
      <c r="AY172" s="45"/>
      <c r="AZ172" s="45"/>
      <c r="BA172" s="45"/>
      <c r="BB172" s="45"/>
      <c r="BC172" s="45"/>
      <c r="BD172" s="93"/>
      <c r="BE172" s="93"/>
      <c r="BF172" s="93"/>
      <c r="BG172" s="93"/>
      <c r="BH172" s="93"/>
      <c r="BI172" s="93"/>
      <c r="BJ172" s="93"/>
      <c r="BK172" s="93">
        <f>SUM($Z172:AD172)-SUM($CM172:CQ172)</f>
        <v>2360</v>
      </c>
      <c r="BL172" s="93">
        <f>SUM($Z172:AE172)-SUM($CM172:CR172)</f>
        <v>2220</v>
      </c>
      <c r="BM172" s="93">
        <f>SUM($Z172:AF172)-SUM($CM172:CS172)</f>
        <v>2080</v>
      </c>
      <c r="BN172" s="93">
        <f>SUM($Z172:AG172)-SUM($CM172:CT172)</f>
        <v>1940</v>
      </c>
      <c r="BO172" s="93">
        <f>SUM($Z172:AH172)-SUM($CM172:CU172)</f>
        <v>1800</v>
      </c>
      <c r="BP172" s="93">
        <f>SUM($Z172:AI172)-SUM($CM172:CV172)</f>
        <v>1660</v>
      </c>
      <c r="BQ172" s="93">
        <f>SUM($Z172:AJ172)-SUM($CM172:CW172)</f>
        <v>1520</v>
      </c>
      <c r="BR172" s="93">
        <f>SUM($Z172:AK172)-SUM($CM172:CX172)</f>
        <v>1380</v>
      </c>
      <c r="BS172" s="93">
        <f>SUM($Z172:AL172)-SUM($CM172:CY172)</f>
        <v>1240</v>
      </c>
      <c r="BT172" s="93">
        <f>SUM($Z172:AM172)-SUM($CM172:CZ172)</f>
        <v>1170</v>
      </c>
      <c r="BU172" s="93">
        <f>SUM($Z172:AN172)-SUM($CM172:DA172)</f>
        <v>1170</v>
      </c>
      <c r="BV172" s="93">
        <f>SUM($Z172:AO172)-SUM($CM172:DB172)</f>
        <v>1170</v>
      </c>
      <c r="BW172" s="93">
        <f>SUM($Z172:AP172)-SUM($CM172:DC172)</f>
        <v>1170</v>
      </c>
      <c r="BX172" s="93">
        <f>SUM($Z172:AQ172)-SUM($CM172:DD172)</f>
        <v>1170</v>
      </c>
      <c r="BY172" s="93">
        <f>SUM($Z172:AR172)-SUM($CM172:DE172)</f>
        <v>1170</v>
      </c>
      <c r="BZ172" s="93">
        <f>SUM($Z172:AS172)-SUM($CM172:DF172)</f>
        <v>1170</v>
      </c>
      <c r="CA172" s="93">
        <f>SUM($Z172:AT172)-SUM($CM172:DG172)</f>
        <v>1170</v>
      </c>
      <c r="CB172" s="93">
        <f>SUM($Z172:AU172)-SUM($CM172:DH172)</f>
        <v>1170</v>
      </c>
      <c r="CC172" s="93">
        <f>SUM($Z172:AV172)-SUM($CM172:DI172)</f>
        <v>1170</v>
      </c>
      <c r="CD172" s="93">
        <f>SUM($Z172:AW172)-SUM($CM172:DJ172)</f>
        <v>1170</v>
      </c>
      <c r="CE172" s="93">
        <f>SUM($Z172:AX172)-SUM($CM172:DK172)</f>
        <v>1170</v>
      </c>
      <c r="CF172" s="93">
        <f>SUM($Z172:AY172)-SUM($CM172:DL172)</f>
        <v>1170</v>
      </c>
      <c r="CG172" s="93">
        <f>SUM($Z172:AZ172)-SUM($CM172:DM172)</f>
        <v>1170</v>
      </c>
      <c r="CH172" s="93">
        <f>SUM($Z172:BA172)-SUM($CM172:DN172)</f>
        <v>1170</v>
      </c>
      <c r="CI172" s="93">
        <f>SUM($Z172:BB172)-SUM($CM172:DO172)</f>
        <v>1170</v>
      </c>
      <c r="CJ172" s="93"/>
      <c r="CK172" s="93"/>
      <c r="CL172" s="93"/>
      <c r="CM172" s="93"/>
      <c r="CN172" s="93" cm="1">
        <f t="array" ref="CN172">SUMPRODUCT(TRANSPOSE(CN$4:CN$20),$G172:$W172)</f>
        <v>0</v>
      </c>
      <c r="CO172" s="93" cm="1">
        <f t="array" ref="CO172">SUMPRODUCT(TRANSPOSE(CO$4:CO$20),$G172:$W172)</f>
        <v>0</v>
      </c>
      <c r="CP172" s="93" cm="1">
        <f t="array" ref="CP172">SUMPRODUCT(TRANSPOSE(CP$4:CP$20),$G172:$W172)</f>
        <v>0</v>
      </c>
      <c r="CQ172" s="93" cm="1">
        <f t="array" ref="CQ172">SUMPRODUCT(TRANSPOSE(CQ$4:CQ$20),$G172:$W172)</f>
        <v>140</v>
      </c>
      <c r="CR172" s="93" cm="1">
        <f t="array" ref="CR172">SUMPRODUCT(TRANSPOSE(CR$4:CR$20),$G172:$W172)</f>
        <v>140</v>
      </c>
      <c r="CS172" s="93" cm="1">
        <f t="array" ref="CS172">SUMPRODUCT(TRANSPOSE(CS$4:CS$20),$G172:$W172)</f>
        <v>140</v>
      </c>
      <c r="CT172" s="93" cm="1">
        <f t="array" ref="CT172">SUMPRODUCT(TRANSPOSE(CT$4:CT$20),$G172:$W172)</f>
        <v>140</v>
      </c>
      <c r="CU172" s="93" cm="1">
        <f t="array" ref="CU172">SUMPRODUCT(TRANSPOSE(CU$4:CU$20),$G172:$W172)</f>
        <v>140</v>
      </c>
      <c r="CV172" s="93" cm="1">
        <f t="array" ref="CV172">SUMPRODUCT(TRANSPOSE(CV$4:CV$20),$G172:$W172)</f>
        <v>140</v>
      </c>
      <c r="CW172" s="93" cm="1">
        <f t="array" ref="CW172">SUMPRODUCT(TRANSPOSE(CW$4:CW$20),$G172:$W172)</f>
        <v>140</v>
      </c>
      <c r="CX172" s="93" cm="1">
        <f t="array" ref="CX172">SUMPRODUCT(TRANSPOSE(CX$4:CX$20),$G172:$W172)</f>
        <v>140</v>
      </c>
      <c r="CY172" s="93" cm="1">
        <f t="array" ref="CY172">SUMPRODUCT(TRANSPOSE(CY$4:CY$20),$G172:$W172)</f>
        <v>140</v>
      </c>
      <c r="CZ172" s="93" cm="1">
        <f t="array" ref="CZ172">SUMPRODUCT(TRANSPOSE(CZ$4:CZ$20),$G172:$W172)</f>
        <v>70</v>
      </c>
      <c r="DA172" s="93" cm="1">
        <f t="array" ref="DA172">SUMPRODUCT(TRANSPOSE(DA$4:DA$20),$G172:$W172)</f>
        <v>0</v>
      </c>
      <c r="DB172" s="93" cm="1">
        <f t="array" ref="DB172">SUMPRODUCT(TRANSPOSE(DB$4:DB$20),$G172:$W172)</f>
        <v>0</v>
      </c>
      <c r="DC172" s="93" cm="1">
        <f t="array" ref="DC172">SUMPRODUCT(TRANSPOSE(DC$4:DC$20),$G172:$W172)</f>
        <v>0</v>
      </c>
      <c r="DD172" s="93" cm="1">
        <f t="array" ref="DD172">SUMPRODUCT(TRANSPOSE(DD$4:DD$20),$G172:$W172)</f>
        <v>0</v>
      </c>
      <c r="DE172" s="93" cm="1">
        <f t="array" ref="DE172">SUMPRODUCT(TRANSPOSE(DE$4:DE$20),$G172:$W172)</f>
        <v>0</v>
      </c>
      <c r="DF172" s="93" cm="1">
        <f t="array" ref="DF172">SUMPRODUCT(TRANSPOSE(DF$4:DF$20),$G172:$W172)</f>
        <v>0</v>
      </c>
      <c r="DG172" s="93" cm="1">
        <f t="array" ref="DG172">SUMPRODUCT(TRANSPOSE(DG$4:DG$20),$G172:$W172)</f>
        <v>0</v>
      </c>
      <c r="DH172" s="93" cm="1">
        <f t="array" ref="DH172">SUMPRODUCT(TRANSPOSE(DH$4:DH$20),$G172:$W172)</f>
        <v>0</v>
      </c>
      <c r="DI172" s="93" cm="1">
        <f t="array" ref="DI172">SUMPRODUCT(TRANSPOSE(DI$4:DI$20),$G172:$W172)</f>
        <v>0</v>
      </c>
      <c r="DJ172" s="93" cm="1">
        <f t="array" ref="DJ172">SUMPRODUCT(TRANSPOSE(DJ$4:DJ$20),$G172:$W172)</f>
        <v>0</v>
      </c>
      <c r="DK172" s="93" cm="1">
        <f t="array" ref="DK172">SUMPRODUCT(TRANSPOSE(DK$4:DK$20),$G172:$W172)</f>
        <v>0</v>
      </c>
      <c r="DL172" s="93" cm="1">
        <f t="array" ref="DL172">SUMPRODUCT(TRANSPOSE(DL$4:DL$20),$G172:$W172)</f>
        <v>0</v>
      </c>
      <c r="DM172" s="93" cm="1">
        <f t="array" ref="DM172">SUMPRODUCT(TRANSPOSE(DM$4:DM$20),$G172:$W172)</f>
        <v>0</v>
      </c>
      <c r="DN172" s="93" cm="1">
        <f t="array" ref="DN172">SUMPRODUCT(TRANSPOSE(DN$4:DN$20),$G172:$W172)</f>
        <v>0</v>
      </c>
      <c r="DO172" s="93" cm="1">
        <f t="array" ref="DO172">SUMPRODUCT(TRANSPOSE(DO$4:DO$20),$G172:$W172)</f>
        <v>0</v>
      </c>
    </row>
    <row r="173" spans="1:119" x14ac:dyDescent="0.2">
      <c r="A173" s="45">
        <f t="shared" si="28"/>
        <v>152</v>
      </c>
      <c r="B173" s="46" t="s">
        <v>432</v>
      </c>
      <c r="C173" s="45">
        <v>417983106</v>
      </c>
      <c r="D173" s="45" t="s">
        <v>433</v>
      </c>
      <c r="E173" s="45" t="s">
        <v>162</v>
      </c>
      <c r="F173" s="48">
        <v>2</v>
      </c>
      <c r="G173" s="100">
        <v>0</v>
      </c>
      <c r="H173" s="100">
        <v>0</v>
      </c>
      <c r="I173" s="100">
        <v>0</v>
      </c>
      <c r="J173" s="100">
        <v>0</v>
      </c>
      <c r="K173" s="100">
        <v>0</v>
      </c>
      <c r="L173" s="100">
        <v>0</v>
      </c>
      <c r="M173" s="100">
        <v>0</v>
      </c>
      <c r="N173" s="100">
        <v>0</v>
      </c>
      <c r="O173" s="100">
        <v>0</v>
      </c>
      <c r="P173" s="100">
        <v>0</v>
      </c>
      <c r="Q173" s="100">
        <v>0</v>
      </c>
      <c r="R173" s="100">
        <v>186</v>
      </c>
      <c r="S173" s="100">
        <v>0</v>
      </c>
      <c r="T173" s="100">
        <v>0</v>
      </c>
      <c r="U173" s="100">
        <v>0</v>
      </c>
      <c r="V173" s="100">
        <v>186</v>
      </c>
      <c r="W173" s="100">
        <v>0</v>
      </c>
      <c r="X173" s="45" t="s">
        <v>69</v>
      </c>
      <c r="Y173" s="49">
        <v>2.5000000000000001E-3</v>
      </c>
      <c r="Z173" s="45">
        <v>200000</v>
      </c>
      <c r="AA173" s="45">
        <v>0</v>
      </c>
      <c r="AB173" s="45">
        <v>0</v>
      </c>
      <c r="AC173" s="45">
        <v>0</v>
      </c>
      <c r="AD173" s="45">
        <v>0</v>
      </c>
      <c r="AE173" s="45">
        <v>0</v>
      </c>
      <c r="AF173" s="45">
        <v>0</v>
      </c>
      <c r="AG173" s="45">
        <v>0</v>
      </c>
      <c r="AH173" s="45">
        <v>0</v>
      </c>
      <c r="AI173" s="45">
        <v>0</v>
      </c>
      <c r="AJ173" s="45">
        <v>0</v>
      </c>
      <c r="AK173" s="45">
        <v>0</v>
      </c>
      <c r="AL173" s="45">
        <v>0</v>
      </c>
      <c r="AM173" s="45">
        <v>0</v>
      </c>
      <c r="AN173" s="45">
        <v>0</v>
      </c>
      <c r="AO173" s="45"/>
      <c r="AP173" s="45"/>
      <c r="AQ173" s="45"/>
      <c r="AR173" s="45"/>
      <c r="AS173" s="45"/>
      <c r="AT173" s="45"/>
      <c r="AU173" s="45"/>
      <c r="AV173" s="45"/>
      <c r="AW173" s="45"/>
      <c r="AX173" s="45"/>
      <c r="AY173" s="45"/>
      <c r="AZ173" s="45"/>
      <c r="BA173" s="45"/>
      <c r="BB173" s="45"/>
      <c r="BC173" s="45"/>
      <c r="BD173" s="93"/>
      <c r="BE173" s="93"/>
      <c r="BF173" s="93"/>
      <c r="BG173" s="93"/>
      <c r="BH173" s="93"/>
      <c r="BI173" s="93"/>
      <c r="BJ173" s="93"/>
      <c r="BK173" s="93">
        <f>SUM($Z173:AD173)-SUM($CM173:CQ173)</f>
        <v>186980</v>
      </c>
      <c r="BL173" s="93">
        <f>SUM($Z173:AE173)-SUM($CM173:CR173)</f>
        <v>173960</v>
      </c>
      <c r="BM173" s="93">
        <f>SUM($Z173:AF173)-SUM($CM173:CS173)</f>
        <v>160940</v>
      </c>
      <c r="BN173" s="93">
        <f>SUM($Z173:AG173)-SUM($CM173:CT173)</f>
        <v>147920</v>
      </c>
      <c r="BO173" s="93">
        <f>SUM($Z173:AH173)-SUM($CM173:CU173)</f>
        <v>134900</v>
      </c>
      <c r="BP173" s="93">
        <f>SUM($Z173:AI173)-SUM($CM173:CV173)</f>
        <v>121880</v>
      </c>
      <c r="BQ173" s="93">
        <f>SUM($Z173:AJ173)-SUM($CM173:CW173)</f>
        <v>108860</v>
      </c>
      <c r="BR173" s="93">
        <f>SUM($Z173:AK173)-SUM($CM173:CX173)</f>
        <v>95840</v>
      </c>
      <c r="BS173" s="93">
        <f>SUM($Z173:AL173)-SUM($CM173:CY173)</f>
        <v>82820</v>
      </c>
      <c r="BT173" s="93">
        <f>SUM($Z173:AM173)-SUM($CM173:CZ173)</f>
        <v>76310</v>
      </c>
      <c r="BU173" s="93">
        <f>SUM($Z173:AN173)-SUM($CM173:DA173)</f>
        <v>76310</v>
      </c>
      <c r="BV173" s="93">
        <f>SUM($Z173:AO173)-SUM($CM173:DB173)</f>
        <v>76310</v>
      </c>
      <c r="BW173" s="93">
        <f>SUM($Z173:AP173)-SUM($CM173:DC173)</f>
        <v>76310</v>
      </c>
      <c r="BX173" s="93">
        <f>SUM($Z173:AQ173)-SUM($CM173:DD173)</f>
        <v>76310</v>
      </c>
      <c r="BY173" s="93">
        <f>SUM($Z173:AR173)-SUM($CM173:DE173)</f>
        <v>76310</v>
      </c>
      <c r="BZ173" s="93">
        <f>SUM($Z173:AS173)-SUM($CM173:DF173)</f>
        <v>76310</v>
      </c>
      <c r="CA173" s="93">
        <f>SUM($Z173:AT173)-SUM($CM173:DG173)</f>
        <v>76310</v>
      </c>
      <c r="CB173" s="93">
        <f>SUM($Z173:AU173)-SUM($CM173:DH173)</f>
        <v>76310</v>
      </c>
      <c r="CC173" s="93">
        <f>SUM($Z173:AV173)-SUM($CM173:DI173)</f>
        <v>76310</v>
      </c>
      <c r="CD173" s="93">
        <f>SUM($Z173:AW173)-SUM($CM173:DJ173)</f>
        <v>76310</v>
      </c>
      <c r="CE173" s="93">
        <f>SUM($Z173:AX173)-SUM($CM173:DK173)</f>
        <v>76310</v>
      </c>
      <c r="CF173" s="93">
        <f>SUM($Z173:AY173)-SUM($CM173:DL173)</f>
        <v>76310</v>
      </c>
      <c r="CG173" s="93">
        <f>SUM($Z173:AZ173)-SUM($CM173:DM173)</f>
        <v>76310</v>
      </c>
      <c r="CH173" s="93">
        <f>SUM($Z173:BA173)-SUM($CM173:DN173)</f>
        <v>76310</v>
      </c>
      <c r="CI173" s="93">
        <f>SUM($Z173:BB173)-SUM($CM173:DO173)</f>
        <v>76310</v>
      </c>
      <c r="CJ173" s="93"/>
      <c r="CK173" s="93"/>
      <c r="CL173" s="93"/>
      <c r="CM173" s="93"/>
      <c r="CN173" s="93" cm="1">
        <f t="array" ref="CN173">SUMPRODUCT(TRANSPOSE(CN$4:CN$20),$G173:$W173)</f>
        <v>0</v>
      </c>
      <c r="CO173" s="93" cm="1">
        <f t="array" ref="CO173">SUMPRODUCT(TRANSPOSE(CO$4:CO$20),$G173:$W173)</f>
        <v>0</v>
      </c>
      <c r="CP173" s="93" cm="1">
        <f t="array" ref="CP173">SUMPRODUCT(TRANSPOSE(CP$4:CP$20),$G173:$W173)</f>
        <v>0</v>
      </c>
      <c r="CQ173" s="93" cm="1">
        <f t="array" ref="CQ173">SUMPRODUCT(TRANSPOSE(CQ$4:CQ$20),$G173:$W173)</f>
        <v>13020</v>
      </c>
      <c r="CR173" s="93" cm="1">
        <f t="array" ref="CR173">SUMPRODUCT(TRANSPOSE(CR$4:CR$20),$G173:$W173)</f>
        <v>13020</v>
      </c>
      <c r="CS173" s="93" cm="1">
        <f t="array" ref="CS173">SUMPRODUCT(TRANSPOSE(CS$4:CS$20),$G173:$W173)</f>
        <v>13020</v>
      </c>
      <c r="CT173" s="93" cm="1">
        <f t="array" ref="CT173">SUMPRODUCT(TRANSPOSE(CT$4:CT$20),$G173:$W173)</f>
        <v>13020</v>
      </c>
      <c r="CU173" s="93" cm="1">
        <f t="array" ref="CU173">SUMPRODUCT(TRANSPOSE(CU$4:CU$20),$G173:$W173)</f>
        <v>13020</v>
      </c>
      <c r="CV173" s="93" cm="1">
        <f t="array" ref="CV173">SUMPRODUCT(TRANSPOSE(CV$4:CV$20),$G173:$W173)</f>
        <v>13020</v>
      </c>
      <c r="CW173" s="93" cm="1">
        <f t="array" ref="CW173">SUMPRODUCT(TRANSPOSE(CW$4:CW$20),$G173:$W173)</f>
        <v>13020</v>
      </c>
      <c r="CX173" s="93" cm="1">
        <f t="array" ref="CX173">SUMPRODUCT(TRANSPOSE(CX$4:CX$20),$G173:$W173)</f>
        <v>13020</v>
      </c>
      <c r="CY173" s="93" cm="1">
        <f t="array" ref="CY173">SUMPRODUCT(TRANSPOSE(CY$4:CY$20),$G173:$W173)</f>
        <v>13020</v>
      </c>
      <c r="CZ173" s="93" cm="1">
        <f t="array" ref="CZ173">SUMPRODUCT(TRANSPOSE(CZ$4:CZ$20),$G173:$W173)</f>
        <v>6510</v>
      </c>
      <c r="DA173" s="93" cm="1">
        <f t="array" ref="DA173">SUMPRODUCT(TRANSPOSE(DA$4:DA$20),$G173:$W173)</f>
        <v>0</v>
      </c>
      <c r="DB173" s="93" cm="1">
        <f t="array" ref="DB173">SUMPRODUCT(TRANSPOSE(DB$4:DB$20),$G173:$W173)</f>
        <v>0</v>
      </c>
      <c r="DC173" s="93" cm="1">
        <f t="array" ref="DC173">SUMPRODUCT(TRANSPOSE(DC$4:DC$20),$G173:$W173)</f>
        <v>0</v>
      </c>
      <c r="DD173" s="93" cm="1">
        <f t="array" ref="DD173">SUMPRODUCT(TRANSPOSE(DD$4:DD$20),$G173:$W173)</f>
        <v>0</v>
      </c>
      <c r="DE173" s="93" cm="1">
        <f t="array" ref="DE173">SUMPRODUCT(TRANSPOSE(DE$4:DE$20),$G173:$W173)</f>
        <v>0</v>
      </c>
      <c r="DF173" s="93" cm="1">
        <f t="array" ref="DF173">SUMPRODUCT(TRANSPOSE(DF$4:DF$20),$G173:$W173)</f>
        <v>0</v>
      </c>
      <c r="DG173" s="93" cm="1">
        <f t="array" ref="DG173">SUMPRODUCT(TRANSPOSE(DG$4:DG$20),$G173:$W173)</f>
        <v>0</v>
      </c>
      <c r="DH173" s="93" cm="1">
        <f t="array" ref="DH173">SUMPRODUCT(TRANSPOSE(DH$4:DH$20),$G173:$W173)</f>
        <v>0</v>
      </c>
      <c r="DI173" s="93" cm="1">
        <f t="array" ref="DI173">SUMPRODUCT(TRANSPOSE(DI$4:DI$20),$G173:$W173)</f>
        <v>0</v>
      </c>
      <c r="DJ173" s="93" cm="1">
        <f t="array" ref="DJ173">SUMPRODUCT(TRANSPOSE(DJ$4:DJ$20),$G173:$W173)</f>
        <v>0</v>
      </c>
      <c r="DK173" s="93" cm="1">
        <f t="array" ref="DK173">SUMPRODUCT(TRANSPOSE(DK$4:DK$20),$G173:$W173)</f>
        <v>0</v>
      </c>
      <c r="DL173" s="93" cm="1">
        <f t="array" ref="DL173">SUMPRODUCT(TRANSPOSE(DL$4:DL$20),$G173:$W173)</f>
        <v>0</v>
      </c>
      <c r="DM173" s="93" cm="1">
        <f t="array" ref="DM173">SUMPRODUCT(TRANSPOSE(DM$4:DM$20),$G173:$W173)</f>
        <v>0</v>
      </c>
      <c r="DN173" s="93" cm="1">
        <f t="array" ref="DN173">SUMPRODUCT(TRANSPOSE(DN$4:DN$20),$G173:$W173)</f>
        <v>0</v>
      </c>
      <c r="DO173" s="93" cm="1">
        <f t="array" ref="DO173">SUMPRODUCT(TRANSPOSE(DO$4:DO$20),$G173:$W173)</f>
        <v>0</v>
      </c>
    </row>
    <row r="174" spans="1:119" x14ac:dyDescent="0.2">
      <c r="A174" s="45">
        <f t="shared" si="28"/>
        <v>153</v>
      </c>
      <c r="B174" s="46" t="s">
        <v>434</v>
      </c>
      <c r="C174" s="45">
        <v>417983107</v>
      </c>
      <c r="D174" s="45" t="s">
        <v>435</v>
      </c>
      <c r="E174" s="45" t="s">
        <v>162</v>
      </c>
      <c r="F174" s="48">
        <v>2</v>
      </c>
      <c r="G174" s="100">
        <v>0</v>
      </c>
      <c r="H174" s="100">
        <v>0</v>
      </c>
      <c r="I174" s="100">
        <v>0</v>
      </c>
      <c r="J174" s="100">
        <v>0</v>
      </c>
      <c r="K174" s="100">
        <v>0</v>
      </c>
      <c r="L174" s="100">
        <v>0</v>
      </c>
      <c r="M174" s="100">
        <v>0</v>
      </c>
      <c r="N174" s="100">
        <v>0</v>
      </c>
      <c r="O174" s="100">
        <v>0</v>
      </c>
      <c r="P174" s="100">
        <v>0</v>
      </c>
      <c r="Q174" s="100">
        <v>1</v>
      </c>
      <c r="R174" s="100">
        <v>0</v>
      </c>
      <c r="S174" s="100">
        <v>0</v>
      </c>
      <c r="T174" s="100">
        <v>0</v>
      </c>
      <c r="U174" s="100">
        <v>0</v>
      </c>
      <c r="V174" s="100">
        <v>0</v>
      </c>
      <c r="W174" s="100">
        <v>0</v>
      </c>
      <c r="X174" s="45" t="s">
        <v>63</v>
      </c>
      <c r="Y174" s="49">
        <v>2.6862000000000001E-3</v>
      </c>
      <c r="Z174" s="45">
        <v>10000</v>
      </c>
      <c r="AA174" s="45">
        <v>0</v>
      </c>
      <c r="AB174" s="45">
        <v>0</v>
      </c>
      <c r="AC174" s="45">
        <v>0</v>
      </c>
      <c r="AD174" s="45">
        <v>0</v>
      </c>
      <c r="AE174" s="45">
        <v>0</v>
      </c>
      <c r="AF174" s="45">
        <v>0</v>
      </c>
      <c r="AG174" s="45">
        <v>0</v>
      </c>
      <c r="AH174" s="45">
        <v>0</v>
      </c>
      <c r="AI174" s="45">
        <v>0</v>
      </c>
      <c r="AJ174" s="45">
        <v>0</v>
      </c>
      <c r="AK174" s="45">
        <v>0</v>
      </c>
      <c r="AL174" s="45">
        <v>0</v>
      </c>
      <c r="AM174" s="45">
        <v>0</v>
      </c>
      <c r="AN174" s="45">
        <v>0</v>
      </c>
      <c r="AO174" s="45"/>
      <c r="AP174" s="45"/>
      <c r="AQ174" s="45"/>
      <c r="AR174" s="45"/>
      <c r="AS174" s="45"/>
      <c r="AT174" s="45"/>
      <c r="AU174" s="45"/>
      <c r="AV174" s="45"/>
      <c r="AW174" s="45"/>
      <c r="AX174" s="45"/>
      <c r="AY174" s="45"/>
      <c r="AZ174" s="45"/>
      <c r="BA174" s="45"/>
      <c r="BB174" s="45"/>
      <c r="BC174" s="45"/>
      <c r="BD174" s="93"/>
      <c r="BE174" s="93"/>
      <c r="BF174" s="93"/>
      <c r="BG174" s="93"/>
      <c r="BH174" s="93"/>
      <c r="BI174" s="93"/>
      <c r="BJ174" s="93"/>
      <c r="BK174" s="93">
        <f>SUM($Z174:AD174)-SUM($CM174:CQ174)</f>
        <v>9965</v>
      </c>
      <c r="BL174" s="93">
        <f>SUM($Z174:AE174)-SUM($CM174:CR174)</f>
        <v>9930</v>
      </c>
      <c r="BM174" s="93">
        <f>SUM($Z174:AF174)-SUM($CM174:CS174)</f>
        <v>9895</v>
      </c>
      <c r="BN174" s="93">
        <f>SUM($Z174:AG174)-SUM($CM174:CT174)</f>
        <v>9865</v>
      </c>
      <c r="BO174" s="93">
        <f>SUM($Z174:AH174)-SUM($CM174:CU174)</f>
        <v>9835</v>
      </c>
      <c r="BP174" s="93">
        <f>SUM($Z174:AI174)-SUM($CM174:CV174)</f>
        <v>9805</v>
      </c>
      <c r="BQ174" s="93">
        <f>SUM($Z174:AJ174)-SUM($CM174:CW174)</f>
        <v>9775</v>
      </c>
      <c r="BR174" s="93">
        <f>SUM($Z174:AK174)-SUM($CM174:CX174)</f>
        <v>9745</v>
      </c>
      <c r="BS174" s="93">
        <f>SUM($Z174:AL174)-SUM($CM174:CY174)</f>
        <v>9715</v>
      </c>
      <c r="BT174" s="93">
        <f>SUM($Z174:AM174)-SUM($CM174:CZ174)</f>
        <v>9685</v>
      </c>
      <c r="BU174" s="93">
        <f>SUM($Z174:AN174)-SUM($CM174:DA174)</f>
        <v>9655</v>
      </c>
      <c r="BV174" s="93">
        <f>SUM($Z174:AO174)-SUM($CM174:DB174)</f>
        <v>9641</v>
      </c>
      <c r="BW174" s="93">
        <f>SUM($Z174:AP174)-SUM($CM174:DC174)</f>
        <v>9641</v>
      </c>
      <c r="BX174" s="93">
        <f>SUM($Z174:AQ174)-SUM($CM174:DD174)</f>
        <v>9641</v>
      </c>
      <c r="BY174" s="93">
        <f>SUM($Z174:AR174)-SUM($CM174:DE174)</f>
        <v>9641</v>
      </c>
      <c r="BZ174" s="93">
        <f>SUM($Z174:AS174)-SUM($CM174:DF174)</f>
        <v>9641</v>
      </c>
      <c r="CA174" s="93">
        <f>SUM($Z174:AT174)-SUM($CM174:DG174)</f>
        <v>9641</v>
      </c>
      <c r="CB174" s="93">
        <f>SUM($Z174:AU174)-SUM($CM174:DH174)</f>
        <v>9641</v>
      </c>
      <c r="CC174" s="93">
        <f>SUM($Z174:AV174)-SUM($CM174:DI174)</f>
        <v>9641</v>
      </c>
      <c r="CD174" s="93">
        <f>SUM($Z174:AW174)-SUM($CM174:DJ174)</f>
        <v>9641</v>
      </c>
      <c r="CE174" s="93">
        <f>SUM($Z174:AX174)-SUM($CM174:DK174)</f>
        <v>9641</v>
      </c>
      <c r="CF174" s="93">
        <f>SUM($Z174:AY174)-SUM($CM174:DL174)</f>
        <v>9641</v>
      </c>
      <c r="CG174" s="93">
        <f>SUM($Z174:AZ174)-SUM($CM174:DM174)</f>
        <v>9641</v>
      </c>
      <c r="CH174" s="93">
        <f>SUM($Z174:BA174)-SUM($CM174:DN174)</f>
        <v>9641</v>
      </c>
      <c r="CI174" s="93">
        <f>SUM($Z174:BB174)-SUM($CM174:DO174)</f>
        <v>9641</v>
      </c>
      <c r="CJ174" s="93"/>
      <c r="CK174" s="93"/>
      <c r="CL174" s="93"/>
      <c r="CM174" s="93"/>
      <c r="CN174" s="93" cm="1">
        <f t="array" ref="CN174">SUMPRODUCT(TRANSPOSE(CN$4:CN$20),$G174:$W174)</f>
        <v>0</v>
      </c>
      <c r="CO174" s="93" cm="1">
        <f t="array" ref="CO174">SUMPRODUCT(TRANSPOSE(CO$4:CO$20),$G174:$W174)</f>
        <v>0</v>
      </c>
      <c r="CP174" s="93" cm="1">
        <f t="array" ref="CP174">SUMPRODUCT(TRANSPOSE(CP$4:CP$20),$G174:$W174)</f>
        <v>0</v>
      </c>
      <c r="CQ174" s="93" cm="1">
        <f t="array" ref="CQ174">SUMPRODUCT(TRANSPOSE(CQ$4:CQ$20),$G174:$W174)</f>
        <v>35</v>
      </c>
      <c r="CR174" s="93" cm="1">
        <f t="array" ref="CR174">SUMPRODUCT(TRANSPOSE(CR$4:CR$20),$G174:$W174)</f>
        <v>35</v>
      </c>
      <c r="CS174" s="93" cm="1">
        <f t="array" ref="CS174">SUMPRODUCT(TRANSPOSE(CS$4:CS$20),$G174:$W174)</f>
        <v>35</v>
      </c>
      <c r="CT174" s="93" cm="1">
        <f t="array" ref="CT174">SUMPRODUCT(TRANSPOSE(CT$4:CT$20),$G174:$W174)</f>
        <v>30</v>
      </c>
      <c r="CU174" s="93" cm="1">
        <f t="array" ref="CU174">SUMPRODUCT(TRANSPOSE(CU$4:CU$20),$G174:$W174)</f>
        <v>30</v>
      </c>
      <c r="CV174" s="93" cm="1">
        <f t="array" ref="CV174">SUMPRODUCT(TRANSPOSE(CV$4:CV$20),$G174:$W174)</f>
        <v>30</v>
      </c>
      <c r="CW174" s="93" cm="1">
        <f t="array" ref="CW174">SUMPRODUCT(TRANSPOSE(CW$4:CW$20),$G174:$W174)</f>
        <v>30</v>
      </c>
      <c r="CX174" s="93" cm="1">
        <f t="array" ref="CX174">SUMPRODUCT(TRANSPOSE(CX$4:CX$20),$G174:$W174)</f>
        <v>30</v>
      </c>
      <c r="CY174" s="93" cm="1">
        <f t="array" ref="CY174">SUMPRODUCT(TRANSPOSE(CY$4:CY$20),$G174:$W174)</f>
        <v>30</v>
      </c>
      <c r="CZ174" s="93" cm="1">
        <f t="array" ref="CZ174">SUMPRODUCT(TRANSPOSE(CZ$4:CZ$20),$G174:$W174)</f>
        <v>30</v>
      </c>
      <c r="DA174" s="93" cm="1">
        <f t="array" ref="DA174">SUMPRODUCT(TRANSPOSE(DA$4:DA$20),$G174:$W174)</f>
        <v>30</v>
      </c>
      <c r="DB174" s="93" cm="1">
        <f t="array" ref="DB174">SUMPRODUCT(TRANSPOSE(DB$4:DB$20),$G174:$W174)</f>
        <v>14</v>
      </c>
      <c r="DC174" s="93" cm="1">
        <f t="array" ref="DC174">SUMPRODUCT(TRANSPOSE(DC$4:DC$20),$G174:$W174)</f>
        <v>0</v>
      </c>
      <c r="DD174" s="93" cm="1">
        <f t="array" ref="DD174">SUMPRODUCT(TRANSPOSE(DD$4:DD$20),$G174:$W174)</f>
        <v>0</v>
      </c>
      <c r="DE174" s="93" cm="1">
        <f t="array" ref="DE174">SUMPRODUCT(TRANSPOSE(DE$4:DE$20),$G174:$W174)</f>
        <v>0</v>
      </c>
      <c r="DF174" s="93" cm="1">
        <f t="array" ref="DF174">SUMPRODUCT(TRANSPOSE(DF$4:DF$20),$G174:$W174)</f>
        <v>0</v>
      </c>
      <c r="DG174" s="93" cm="1">
        <f t="array" ref="DG174">SUMPRODUCT(TRANSPOSE(DG$4:DG$20),$G174:$W174)</f>
        <v>0</v>
      </c>
      <c r="DH174" s="93" cm="1">
        <f t="array" ref="DH174">SUMPRODUCT(TRANSPOSE(DH$4:DH$20),$G174:$W174)</f>
        <v>0</v>
      </c>
      <c r="DI174" s="93" cm="1">
        <f t="array" ref="DI174">SUMPRODUCT(TRANSPOSE(DI$4:DI$20),$G174:$W174)</f>
        <v>0</v>
      </c>
      <c r="DJ174" s="93" cm="1">
        <f t="array" ref="DJ174">SUMPRODUCT(TRANSPOSE(DJ$4:DJ$20),$G174:$W174)</f>
        <v>0</v>
      </c>
      <c r="DK174" s="93" cm="1">
        <f t="array" ref="DK174">SUMPRODUCT(TRANSPOSE(DK$4:DK$20),$G174:$W174)</f>
        <v>0</v>
      </c>
      <c r="DL174" s="93" cm="1">
        <f t="array" ref="DL174">SUMPRODUCT(TRANSPOSE(DL$4:DL$20),$G174:$W174)</f>
        <v>0</v>
      </c>
      <c r="DM174" s="93" cm="1">
        <f t="array" ref="DM174">SUMPRODUCT(TRANSPOSE(DM$4:DM$20),$G174:$W174)</f>
        <v>0</v>
      </c>
      <c r="DN174" s="93" cm="1">
        <f t="array" ref="DN174">SUMPRODUCT(TRANSPOSE(DN$4:DN$20),$G174:$W174)</f>
        <v>0</v>
      </c>
      <c r="DO174" s="93" cm="1">
        <f t="array" ref="DO174">SUMPRODUCT(TRANSPOSE(DO$4:DO$20),$G174:$W174)</f>
        <v>0</v>
      </c>
    </row>
    <row r="175" spans="1:119" x14ac:dyDescent="0.2">
      <c r="A175" s="45">
        <f t="shared" si="28"/>
        <v>154</v>
      </c>
      <c r="B175" s="46" t="s">
        <v>436</v>
      </c>
      <c r="C175" s="45">
        <v>417983111</v>
      </c>
      <c r="D175" s="45" t="s">
        <v>437</v>
      </c>
      <c r="E175" s="45" t="s">
        <v>162</v>
      </c>
      <c r="F175" s="48">
        <v>2</v>
      </c>
      <c r="G175" s="100">
        <v>0</v>
      </c>
      <c r="H175" s="100">
        <v>0</v>
      </c>
      <c r="I175" s="100">
        <v>0</v>
      </c>
      <c r="J175" s="100">
        <v>0</v>
      </c>
      <c r="K175" s="100">
        <v>0</v>
      </c>
      <c r="L175" s="100">
        <v>0</v>
      </c>
      <c r="M175" s="100">
        <v>0</v>
      </c>
      <c r="N175" s="100">
        <v>0</v>
      </c>
      <c r="O175" s="100">
        <v>0</v>
      </c>
      <c r="P175" s="100">
        <v>0</v>
      </c>
      <c r="Q175" s="100">
        <v>104</v>
      </c>
      <c r="R175" s="100">
        <v>0</v>
      </c>
      <c r="S175" s="100">
        <v>0</v>
      </c>
      <c r="T175" s="100">
        <v>0</v>
      </c>
      <c r="U175" s="100">
        <v>70</v>
      </c>
      <c r="V175" s="100">
        <v>0</v>
      </c>
      <c r="W175" s="100">
        <v>0</v>
      </c>
      <c r="X175" s="45" t="s">
        <v>63</v>
      </c>
      <c r="Y175" s="49">
        <v>1.2210000000000001E-3</v>
      </c>
      <c r="Z175" s="45">
        <v>120000</v>
      </c>
      <c r="AA175" s="45">
        <v>0</v>
      </c>
      <c r="AB175" s="45">
        <v>0</v>
      </c>
      <c r="AC175" s="45">
        <v>0</v>
      </c>
      <c r="AD175" s="45">
        <v>0</v>
      </c>
      <c r="AE175" s="45">
        <v>0</v>
      </c>
      <c r="AF175" s="45">
        <v>0</v>
      </c>
      <c r="AG175" s="45">
        <v>0</v>
      </c>
      <c r="AH175" s="45">
        <v>0</v>
      </c>
      <c r="AI175" s="45">
        <v>0</v>
      </c>
      <c r="AJ175" s="45">
        <v>0</v>
      </c>
      <c r="AK175" s="45">
        <v>0</v>
      </c>
      <c r="AL175" s="45">
        <v>0</v>
      </c>
      <c r="AM175" s="45">
        <v>0</v>
      </c>
      <c r="AN175" s="45">
        <v>0</v>
      </c>
      <c r="AO175" s="45"/>
      <c r="AP175" s="45"/>
      <c r="AQ175" s="45"/>
      <c r="AR175" s="45"/>
      <c r="AS175" s="45"/>
      <c r="AT175" s="45"/>
      <c r="AU175" s="45"/>
      <c r="AV175" s="45"/>
      <c r="AW175" s="45"/>
      <c r="AX175" s="45"/>
      <c r="AY175" s="45"/>
      <c r="AZ175" s="45"/>
      <c r="BA175" s="45"/>
      <c r="BB175" s="45"/>
      <c r="BC175" s="45"/>
      <c r="BD175" s="93"/>
      <c r="BE175" s="93"/>
      <c r="BF175" s="93"/>
      <c r="BG175" s="93"/>
      <c r="BH175" s="93"/>
      <c r="BI175" s="93"/>
      <c r="BJ175" s="93"/>
      <c r="BK175" s="93">
        <f>SUM($Z175:AD175)-SUM($CM175:CQ175)</f>
        <v>113350</v>
      </c>
      <c r="BL175" s="93">
        <f>SUM($Z175:AE175)-SUM($CM175:CR175)</f>
        <v>107260</v>
      </c>
      <c r="BM175" s="93">
        <f>SUM($Z175:AF175)-SUM($CM175:CS175)</f>
        <v>101520</v>
      </c>
      <c r="BN175" s="93">
        <f>SUM($Z175:AG175)-SUM($CM175:CT175)</f>
        <v>96300</v>
      </c>
      <c r="BO175" s="93">
        <f>SUM($Z175:AH175)-SUM($CM175:CU175)</f>
        <v>91080</v>
      </c>
      <c r="BP175" s="93">
        <f>SUM($Z175:AI175)-SUM($CM175:CV175)</f>
        <v>85860</v>
      </c>
      <c r="BQ175" s="93">
        <f>SUM($Z175:AJ175)-SUM($CM175:CW175)</f>
        <v>80640</v>
      </c>
      <c r="BR175" s="93">
        <f>SUM($Z175:AK175)-SUM($CM175:CX175)</f>
        <v>75420</v>
      </c>
      <c r="BS175" s="93">
        <f>SUM($Z175:AL175)-SUM($CM175:CY175)</f>
        <v>70200</v>
      </c>
      <c r="BT175" s="93">
        <f>SUM($Z175:AM175)-SUM($CM175:CZ175)</f>
        <v>64980</v>
      </c>
      <c r="BU175" s="93">
        <f>SUM($Z175:AN175)-SUM($CM175:DA175)</f>
        <v>59760</v>
      </c>
      <c r="BV175" s="93">
        <f>SUM($Z175:AO175)-SUM($CM175:DB175)</f>
        <v>58304</v>
      </c>
      <c r="BW175" s="93">
        <f>SUM($Z175:AP175)-SUM($CM175:DC175)</f>
        <v>58304</v>
      </c>
      <c r="BX175" s="93">
        <f>SUM($Z175:AQ175)-SUM($CM175:DD175)</f>
        <v>58304</v>
      </c>
      <c r="BY175" s="93">
        <f>SUM($Z175:AR175)-SUM($CM175:DE175)</f>
        <v>58304</v>
      </c>
      <c r="BZ175" s="93">
        <f>SUM($Z175:AS175)-SUM($CM175:DF175)</f>
        <v>58304</v>
      </c>
      <c r="CA175" s="93">
        <f>SUM($Z175:AT175)-SUM($CM175:DG175)</f>
        <v>58304</v>
      </c>
      <c r="CB175" s="93">
        <f>SUM($Z175:AU175)-SUM($CM175:DH175)</f>
        <v>58304</v>
      </c>
      <c r="CC175" s="93">
        <f>SUM($Z175:AV175)-SUM($CM175:DI175)</f>
        <v>58304</v>
      </c>
      <c r="CD175" s="93">
        <f>SUM($Z175:AW175)-SUM($CM175:DJ175)</f>
        <v>58304</v>
      </c>
      <c r="CE175" s="93">
        <f>SUM($Z175:AX175)-SUM($CM175:DK175)</f>
        <v>58304</v>
      </c>
      <c r="CF175" s="93">
        <f>SUM($Z175:AY175)-SUM($CM175:DL175)</f>
        <v>58304</v>
      </c>
      <c r="CG175" s="93">
        <f>SUM($Z175:AZ175)-SUM($CM175:DM175)</f>
        <v>58304</v>
      </c>
      <c r="CH175" s="93">
        <f>SUM($Z175:BA175)-SUM($CM175:DN175)</f>
        <v>58304</v>
      </c>
      <c r="CI175" s="93">
        <f>SUM($Z175:BB175)-SUM($CM175:DO175)</f>
        <v>58304</v>
      </c>
      <c r="CJ175" s="93"/>
      <c r="CK175" s="93"/>
      <c r="CL175" s="93"/>
      <c r="CM175" s="93"/>
      <c r="CN175" s="93" cm="1">
        <f t="array" ref="CN175">SUMPRODUCT(TRANSPOSE(CN$4:CN$20),$G175:$W175)</f>
        <v>0</v>
      </c>
      <c r="CO175" s="93" cm="1">
        <f t="array" ref="CO175">SUMPRODUCT(TRANSPOSE(CO$4:CO$20),$G175:$W175)</f>
        <v>0</v>
      </c>
      <c r="CP175" s="93" cm="1">
        <f t="array" ref="CP175">SUMPRODUCT(TRANSPOSE(CP$4:CP$20),$G175:$W175)</f>
        <v>0</v>
      </c>
      <c r="CQ175" s="93" cm="1">
        <f t="array" ref="CQ175">SUMPRODUCT(TRANSPOSE(CQ$4:CQ$20),$G175:$W175)</f>
        <v>6650</v>
      </c>
      <c r="CR175" s="93" cm="1">
        <f t="array" ref="CR175">SUMPRODUCT(TRANSPOSE(CR$4:CR$20),$G175:$W175)</f>
        <v>6090</v>
      </c>
      <c r="CS175" s="93" cm="1">
        <f t="array" ref="CS175">SUMPRODUCT(TRANSPOSE(CS$4:CS$20),$G175:$W175)</f>
        <v>5740</v>
      </c>
      <c r="CT175" s="93" cm="1">
        <f t="array" ref="CT175">SUMPRODUCT(TRANSPOSE(CT$4:CT$20),$G175:$W175)</f>
        <v>5220</v>
      </c>
      <c r="CU175" s="93" cm="1">
        <f t="array" ref="CU175">SUMPRODUCT(TRANSPOSE(CU$4:CU$20),$G175:$W175)</f>
        <v>5220</v>
      </c>
      <c r="CV175" s="93" cm="1">
        <f t="array" ref="CV175">SUMPRODUCT(TRANSPOSE(CV$4:CV$20),$G175:$W175)</f>
        <v>5220</v>
      </c>
      <c r="CW175" s="93" cm="1">
        <f t="array" ref="CW175">SUMPRODUCT(TRANSPOSE(CW$4:CW$20),$G175:$W175)</f>
        <v>5220</v>
      </c>
      <c r="CX175" s="93" cm="1">
        <f t="array" ref="CX175">SUMPRODUCT(TRANSPOSE(CX$4:CX$20),$G175:$W175)</f>
        <v>5220</v>
      </c>
      <c r="CY175" s="93" cm="1">
        <f t="array" ref="CY175">SUMPRODUCT(TRANSPOSE(CY$4:CY$20),$G175:$W175)</f>
        <v>5220</v>
      </c>
      <c r="CZ175" s="93" cm="1">
        <f t="array" ref="CZ175">SUMPRODUCT(TRANSPOSE(CZ$4:CZ$20),$G175:$W175)</f>
        <v>5220</v>
      </c>
      <c r="DA175" s="93" cm="1">
        <f t="array" ref="DA175">SUMPRODUCT(TRANSPOSE(DA$4:DA$20),$G175:$W175)</f>
        <v>5220</v>
      </c>
      <c r="DB175" s="93" cm="1">
        <f t="array" ref="DB175">SUMPRODUCT(TRANSPOSE(DB$4:DB$20),$G175:$W175)</f>
        <v>1456</v>
      </c>
      <c r="DC175" s="93" cm="1">
        <f t="array" ref="DC175">SUMPRODUCT(TRANSPOSE(DC$4:DC$20),$G175:$W175)</f>
        <v>0</v>
      </c>
      <c r="DD175" s="93" cm="1">
        <f t="array" ref="DD175">SUMPRODUCT(TRANSPOSE(DD$4:DD$20),$G175:$W175)</f>
        <v>0</v>
      </c>
      <c r="DE175" s="93" cm="1">
        <f t="array" ref="DE175">SUMPRODUCT(TRANSPOSE(DE$4:DE$20),$G175:$W175)</f>
        <v>0</v>
      </c>
      <c r="DF175" s="93" cm="1">
        <f t="array" ref="DF175">SUMPRODUCT(TRANSPOSE(DF$4:DF$20),$G175:$W175)</f>
        <v>0</v>
      </c>
      <c r="DG175" s="93" cm="1">
        <f t="array" ref="DG175">SUMPRODUCT(TRANSPOSE(DG$4:DG$20),$G175:$W175)</f>
        <v>0</v>
      </c>
      <c r="DH175" s="93" cm="1">
        <f t="array" ref="DH175">SUMPRODUCT(TRANSPOSE(DH$4:DH$20),$G175:$W175)</f>
        <v>0</v>
      </c>
      <c r="DI175" s="93" cm="1">
        <f t="array" ref="DI175">SUMPRODUCT(TRANSPOSE(DI$4:DI$20),$G175:$W175)</f>
        <v>0</v>
      </c>
      <c r="DJ175" s="93" cm="1">
        <f t="array" ref="DJ175">SUMPRODUCT(TRANSPOSE(DJ$4:DJ$20),$G175:$W175)</f>
        <v>0</v>
      </c>
      <c r="DK175" s="93" cm="1">
        <f t="array" ref="DK175">SUMPRODUCT(TRANSPOSE(DK$4:DK$20),$G175:$W175)</f>
        <v>0</v>
      </c>
      <c r="DL175" s="93" cm="1">
        <f t="array" ref="DL175">SUMPRODUCT(TRANSPOSE(DL$4:DL$20),$G175:$W175)</f>
        <v>0</v>
      </c>
      <c r="DM175" s="93" cm="1">
        <f t="array" ref="DM175">SUMPRODUCT(TRANSPOSE(DM$4:DM$20),$G175:$W175)</f>
        <v>0</v>
      </c>
      <c r="DN175" s="93" cm="1">
        <f t="array" ref="DN175">SUMPRODUCT(TRANSPOSE(DN$4:DN$20),$G175:$W175)</f>
        <v>0</v>
      </c>
      <c r="DO175" s="93" cm="1">
        <f t="array" ref="DO175">SUMPRODUCT(TRANSPOSE(DO$4:DO$20),$G175:$W175)</f>
        <v>0</v>
      </c>
    </row>
    <row r="176" spans="1:119" x14ac:dyDescent="0.2">
      <c r="A176" s="45">
        <f t="shared" si="28"/>
        <v>155</v>
      </c>
      <c r="B176" s="46" t="s">
        <v>438</v>
      </c>
      <c r="C176" s="45">
        <v>417983138</v>
      </c>
      <c r="D176" s="45" t="s">
        <v>439</v>
      </c>
      <c r="E176" s="45" t="s">
        <v>162</v>
      </c>
      <c r="F176" s="48">
        <v>2</v>
      </c>
      <c r="G176" s="100">
        <v>0</v>
      </c>
      <c r="H176" s="100">
        <v>0</v>
      </c>
      <c r="I176" s="100">
        <v>0</v>
      </c>
      <c r="J176" s="100">
        <v>0</v>
      </c>
      <c r="K176" s="100">
        <v>0</v>
      </c>
      <c r="L176" s="100">
        <v>0</v>
      </c>
      <c r="M176" s="100">
        <v>0</v>
      </c>
      <c r="N176" s="100">
        <v>0</v>
      </c>
      <c r="O176" s="100">
        <v>0</v>
      </c>
      <c r="P176" s="100">
        <v>0</v>
      </c>
      <c r="Q176" s="100">
        <v>3</v>
      </c>
      <c r="R176" s="100">
        <v>0</v>
      </c>
      <c r="S176" s="100">
        <v>0</v>
      </c>
      <c r="T176" s="100">
        <v>0</v>
      </c>
      <c r="U176" s="100">
        <v>3</v>
      </c>
      <c r="V176" s="100">
        <v>0</v>
      </c>
      <c r="W176" s="100">
        <v>0</v>
      </c>
      <c r="X176" s="45" t="s">
        <v>70</v>
      </c>
      <c r="Y176" s="49">
        <v>7.7000000000000002E-3</v>
      </c>
      <c r="Z176" s="45">
        <v>28000</v>
      </c>
      <c r="AA176" s="45">
        <v>0</v>
      </c>
      <c r="AB176" s="45">
        <v>0</v>
      </c>
      <c r="AC176" s="45">
        <v>0</v>
      </c>
      <c r="AD176" s="45">
        <v>0</v>
      </c>
      <c r="AE176" s="45">
        <v>0</v>
      </c>
      <c r="AF176" s="45">
        <v>0</v>
      </c>
      <c r="AG176" s="45">
        <v>0</v>
      </c>
      <c r="AH176" s="45">
        <v>0</v>
      </c>
      <c r="AI176" s="45">
        <v>0</v>
      </c>
      <c r="AJ176" s="45">
        <v>0</v>
      </c>
      <c r="AK176" s="45">
        <v>0</v>
      </c>
      <c r="AL176" s="45">
        <v>0</v>
      </c>
      <c r="AM176" s="45">
        <v>0</v>
      </c>
      <c r="AN176" s="45">
        <v>0</v>
      </c>
      <c r="AO176" s="45"/>
      <c r="AP176" s="45"/>
      <c r="AQ176" s="45"/>
      <c r="AR176" s="45"/>
      <c r="AS176" s="45"/>
      <c r="AT176" s="45"/>
      <c r="AU176" s="45"/>
      <c r="AV176" s="45"/>
      <c r="AW176" s="45"/>
      <c r="AX176" s="45"/>
      <c r="AY176" s="45"/>
      <c r="AZ176" s="45"/>
      <c r="BA176" s="45"/>
      <c r="BB176" s="45"/>
      <c r="BC176" s="45"/>
      <c r="BD176" s="93"/>
      <c r="BE176" s="93"/>
      <c r="BF176" s="93"/>
      <c r="BG176" s="93"/>
      <c r="BH176" s="93"/>
      <c r="BI176" s="93"/>
      <c r="BJ176" s="93"/>
      <c r="BK176" s="93">
        <f>SUM($Z176:AD176)-SUM($CM176:CQ176)</f>
        <v>27766</v>
      </c>
      <c r="BL176" s="93">
        <f>SUM($Z176:AE176)-SUM($CM176:CR176)</f>
        <v>27556</v>
      </c>
      <c r="BM176" s="93">
        <f>SUM($Z176:AF176)-SUM($CM176:CS176)</f>
        <v>27361</v>
      </c>
      <c r="BN176" s="93">
        <f>SUM($Z176:AG176)-SUM($CM176:CT176)</f>
        <v>27181</v>
      </c>
      <c r="BO176" s="93">
        <f>SUM($Z176:AH176)-SUM($CM176:CU176)</f>
        <v>27001</v>
      </c>
      <c r="BP176" s="93">
        <f>SUM($Z176:AI176)-SUM($CM176:CV176)</f>
        <v>26821</v>
      </c>
      <c r="BQ176" s="93">
        <f>SUM($Z176:AJ176)-SUM($CM176:CW176)</f>
        <v>26641</v>
      </c>
      <c r="BR176" s="93">
        <f>SUM($Z176:AK176)-SUM($CM176:CX176)</f>
        <v>26461</v>
      </c>
      <c r="BS176" s="93">
        <f>SUM($Z176:AL176)-SUM($CM176:CY176)</f>
        <v>26281</v>
      </c>
      <c r="BT176" s="93">
        <f>SUM($Z176:AM176)-SUM($CM176:CZ176)</f>
        <v>26101</v>
      </c>
      <c r="BU176" s="93">
        <f>SUM($Z176:AN176)-SUM($CM176:DA176)</f>
        <v>25921</v>
      </c>
      <c r="BV176" s="93">
        <f>SUM($Z176:AO176)-SUM($CM176:DB176)</f>
        <v>25879</v>
      </c>
      <c r="BW176" s="93">
        <f>SUM($Z176:AP176)-SUM($CM176:DC176)</f>
        <v>25879</v>
      </c>
      <c r="BX176" s="93">
        <f>SUM($Z176:AQ176)-SUM($CM176:DD176)</f>
        <v>25879</v>
      </c>
      <c r="BY176" s="93">
        <f>SUM($Z176:AR176)-SUM($CM176:DE176)</f>
        <v>25879</v>
      </c>
      <c r="BZ176" s="93">
        <f>SUM($Z176:AS176)-SUM($CM176:DF176)</f>
        <v>25879</v>
      </c>
      <c r="CA176" s="93">
        <f>SUM($Z176:AT176)-SUM($CM176:DG176)</f>
        <v>25879</v>
      </c>
      <c r="CB176" s="93">
        <f>SUM($Z176:AU176)-SUM($CM176:DH176)</f>
        <v>25879</v>
      </c>
      <c r="CC176" s="93">
        <f>SUM($Z176:AV176)-SUM($CM176:DI176)</f>
        <v>25879</v>
      </c>
      <c r="CD176" s="93">
        <f>SUM($Z176:AW176)-SUM($CM176:DJ176)</f>
        <v>25879</v>
      </c>
      <c r="CE176" s="93">
        <f>SUM($Z176:AX176)-SUM($CM176:DK176)</f>
        <v>25879</v>
      </c>
      <c r="CF176" s="93">
        <f>SUM($Z176:AY176)-SUM($CM176:DL176)</f>
        <v>25879</v>
      </c>
      <c r="CG176" s="93">
        <f>SUM($Z176:AZ176)-SUM($CM176:DM176)</f>
        <v>25879</v>
      </c>
      <c r="CH176" s="93">
        <f>SUM($Z176:BA176)-SUM($CM176:DN176)</f>
        <v>25879</v>
      </c>
      <c r="CI176" s="93">
        <f>SUM($Z176:BB176)-SUM($CM176:DO176)</f>
        <v>25879</v>
      </c>
      <c r="CJ176" s="93"/>
      <c r="CK176" s="93"/>
      <c r="CL176" s="93"/>
      <c r="CM176" s="93"/>
      <c r="CN176" s="93" cm="1">
        <f t="array" ref="CN176">SUMPRODUCT(TRANSPOSE(CN$4:CN$20),$G176:$W176)</f>
        <v>0</v>
      </c>
      <c r="CO176" s="93" cm="1">
        <f t="array" ref="CO176">SUMPRODUCT(TRANSPOSE(CO$4:CO$20),$G176:$W176)</f>
        <v>0</v>
      </c>
      <c r="CP176" s="93" cm="1">
        <f t="array" ref="CP176">SUMPRODUCT(TRANSPOSE(CP$4:CP$20),$G176:$W176)</f>
        <v>0</v>
      </c>
      <c r="CQ176" s="93" cm="1">
        <f t="array" ref="CQ176">SUMPRODUCT(TRANSPOSE(CQ$4:CQ$20),$G176:$W176)</f>
        <v>234</v>
      </c>
      <c r="CR176" s="93" cm="1">
        <f t="array" ref="CR176">SUMPRODUCT(TRANSPOSE(CR$4:CR$20),$G176:$W176)</f>
        <v>210</v>
      </c>
      <c r="CS176" s="93" cm="1">
        <f t="array" ref="CS176">SUMPRODUCT(TRANSPOSE(CS$4:CS$20),$G176:$W176)</f>
        <v>195</v>
      </c>
      <c r="CT176" s="93" cm="1">
        <f t="array" ref="CT176">SUMPRODUCT(TRANSPOSE(CT$4:CT$20),$G176:$W176)</f>
        <v>180</v>
      </c>
      <c r="CU176" s="93" cm="1">
        <f t="array" ref="CU176">SUMPRODUCT(TRANSPOSE(CU$4:CU$20),$G176:$W176)</f>
        <v>180</v>
      </c>
      <c r="CV176" s="93" cm="1">
        <f t="array" ref="CV176">SUMPRODUCT(TRANSPOSE(CV$4:CV$20),$G176:$W176)</f>
        <v>180</v>
      </c>
      <c r="CW176" s="93" cm="1">
        <f t="array" ref="CW176">SUMPRODUCT(TRANSPOSE(CW$4:CW$20),$G176:$W176)</f>
        <v>180</v>
      </c>
      <c r="CX176" s="93" cm="1">
        <f t="array" ref="CX176">SUMPRODUCT(TRANSPOSE(CX$4:CX$20),$G176:$W176)</f>
        <v>180</v>
      </c>
      <c r="CY176" s="93" cm="1">
        <f t="array" ref="CY176">SUMPRODUCT(TRANSPOSE(CY$4:CY$20),$G176:$W176)</f>
        <v>180</v>
      </c>
      <c r="CZ176" s="93" cm="1">
        <f t="array" ref="CZ176">SUMPRODUCT(TRANSPOSE(CZ$4:CZ$20),$G176:$W176)</f>
        <v>180</v>
      </c>
      <c r="DA176" s="93" cm="1">
        <f t="array" ref="DA176">SUMPRODUCT(TRANSPOSE(DA$4:DA$20),$G176:$W176)</f>
        <v>180</v>
      </c>
      <c r="DB176" s="93" cm="1">
        <f t="array" ref="DB176">SUMPRODUCT(TRANSPOSE(DB$4:DB$20),$G176:$W176)</f>
        <v>42</v>
      </c>
      <c r="DC176" s="93" cm="1">
        <f t="array" ref="DC176">SUMPRODUCT(TRANSPOSE(DC$4:DC$20),$G176:$W176)</f>
        <v>0</v>
      </c>
      <c r="DD176" s="93" cm="1">
        <f t="array" ref="DD176">SUMPRODUCT(TRANSPOSE(DD$4:DD$20),$G176:$W176)</f>
        <v>0</v>
      </c>
      <c r="DE176" s="93" cm="1">
        <f t="array" ref="DE176">SUMPRODUCT(TRANSPOSE(DE$4:DE$20),$G176:$W176)</f>
        <v>0</v>
      </c>
      <c r="DF176" s="93" cm="1">
        <f t="array" ref="DF176">SUMPRODUCT(TRANSPOSE(DF$4:DF$20),$G176:$W176)</f>
        <v>0</v>
      </c>
      <c r="DG176" s="93" cm="1">
        <f t="array" ref="DG176">SUMPRODUCT(TRANSPOSE(DG$4:DG$20),$G176:$W176)</f>
        <v>0</v>
      </c>
      <c r="DH176" s="93" cm="1">
        <f t="array" ref="DH176">SUMPRODUCT(TRANSPOSE(DH$4:DH$20),$G176:$W176)</f>
        <v>0</v>
      </c>
      <c r="DI176" s="93" cm="1">
        <f t="array" ref="DI176">SUMPRODUCT(TRANSPOSE(DI$4:DI$20),$G176:$W176)</f>
        <v>0</v>
      </c>
      <c r="DJ176" s="93" cm="1">
        <f t="array" ref="DJ176">SUMPRODUCT(TRANSPOSE(DJ$4:DJ$20),$G176:$W176)</f>
        <v>0</v>
      </c>
      <c r="DK176" s="93" cm="1">
        <f t="array" ref="DK176">SUMPRODUCT(TRANSPOSE(DK$4:DK$20),$G176:$W176)</f>
        <v>0</v>
      </c>
      <c r="DL176" s="93" cm="1">
        <f t="array" ref="DL176">SUMPRODUCT(TRANSPOSE(DL$4:DL$20),$G176:$W176)</f>
        <v>0</v>
      </c>
      <c r="DM176" s="93" cm="1">
        <f t="array" ref="DM176">SUMPRODUCT(TRANSPOSE(DM$4:DM$20),$G176:$W176)</f>
        <v>0</v>
      </c>
      <c r="DN176" s="93" cm="1">
        <f t="array" ref="DN176">SUMPRODUCT(TRANSPOSE(DN$4:DN$20),$G176:$W176)</f>
        <v>0</v>
      </c>
      <c r="DO176" s="93" cm="1">
        <f t="array" ref="DO176">SUMPRODUCT(TRANSPOSE(DO$4:DO$20),$G176:$W176)</f>
        <v>0</v>
      </c>
    </row>
    <row r="177" spans="1:119" x14ac:dyDescent="0.2">
      <c r="A177" s="45">
        <f t="shared" si="28"/>
        <v>156</v>
      </c>
      <c r="B177" s="46" t="s">
        <v>440</v>
      </c>
      <c r="C177" s="45">
        <v>400709578</v>
      </c>
      <c r="D177" s="45" t="s">
        <v>441</v>
      </c>
      <c r="E177" s="45" t="s">
        <v>162</v>
      </c>
      <c r="F177" s="48">
        <v>2</v>
      </c>
      <c r="G177" s="100">
        <v>0</v>
      </c>
      <c r="H177" s="100">
        <v>0</v>
      </c>
      <c r="I177" s="100">
        <v>0</v>
      </c>
      <c r="J177" s="100">
        <v>0</v>
      </c>
      <c r="K177" s="100">
        <v>0</v>
      </c>
      <c r="L177" s="100">
        <v>0</v>
      </c>
      <c r="M177" s="100">
        <v>0</v>
      </c>
      <c r="N177" s="100">
        <v>0</v>
      </c>
      <c r="O177" s="100">
        <v>0</v>
      </c>
      <c r="P177" s="100">
        <v>0</v>
      </c>
      <c r="Q177" s="100">
        <v>1</v>
      </c>
      <c r="R177" s="100">
        <v>0</v>
      </c>
      <c r="S177" s="100">
        <v>0</v>
      </c>
      <c r="T177" s="100">
        <v>0</v>
      </c>
      <c r="U177" s="100">
        <v>0</v>
      </c>
      <c r="V177" s="100">
        <v>0</v>
      </c>
      <c r="W177" s="100">
        <v>0</v>
      </c>
      <c r="X177" s="45" t="s">
        <v>61</v>
      </c>
      <c r="Y177" s="49">
        <v>4.0000000000000001E-3</v>
      </c>
      <c r="Z177" s="45">
        <v>10000</v>
      </c>
      <c r="AA177" s="45">
        <v>0</v>
      </c>
      <c r="AB177" s="45">
        <v>0</v>
      </c>
      <c r="AC177" s="45">
        <v>0</v>
      </c>
      <c r="AD177" s="45">
        <v>0</v>
      </c>
      <c r="AE177" s="45">
        <v>0</v>
      </c>
      <c r="AF177" s="45">
        <v>0</v>
      </c>
      <c r="AG177" s="45">
        <v>0</v>
      </c>
      <c r="AH177" s="45">
        <v>0</v>
      </c>
      <c r="AI177" s="45">
        <v>0</v>
      </c>
      <c r="AJ177" s="45">
        <v>0</v>
      </c>
      <c r="AK177" s="45">
        <v>0</v>
      </c>
      <c r="AL177" s="45">
        <v>0</v>
      </c>
      <c r="AM177" s="45">
        <v>0</v>
      </c>
      <c r="AN177" s="45">
        <v>0</v>
      </c>
      <c r="AO177" s="45"/>
      <c r="AP177" s="45"/>
      <c r="AQ177" s="45"/>
      <c r="AR177" s="45"/>
      <c r="AS177" s="45"/>
      <c r="AT177" s="45"/>
      <c r="AU177" s="45"/>
      <c r="AV177" s="45"/>
      <c r="AW177" s="45"/>
      <c r="AX177" s="45"/>
      <c r="AY177" s="45"/>
      <c r="AZ177" s="45"/>
      <c r="BA177" s="45"/>
      <c r="BB177" s="45"/>
      <c r="BC177" s="45"/>
      <c r="BD177" s="93"/>
      <c r="BE177" s="93"/>
      <c r="BF177" s="93"/>
      <c r="BG177" s="93"/>
      <c r="BH177" s="93"/>
      <c r="BI177" s="93"/>
      <c r="BJ177" s="93"/>
      <c r="BK177" s="93">
        <f>SUM($Z177:AD177)-SUM($CM177:CQ177)</f>
        <v>9965</v>
      </c>
      <c r="BL177" s="93">
        <f>SUM($Z177:AE177)-SUM($CM177:CR177)</f>
        <v>9930</v>
      </c>
      <c r="BM177" s="93">
        <f>SUM($Z177:AF177)-SUM($CM177:CS177)</f>
        <v>9895</v>
      </c>
      <c r="BN177" s="93">
        <f>SUM($Z177:AG177)-SUM($CM177:CT177)</f>
        <v>9865</v>
      </c>
      <c r="BO177" s="93">
        <f>SUM($Z177:AH177)-SUM($CM177:CU177)</f>
        <v>9835</v>
      </c>
      <c r="BP177" s="93">
        <f>SUM($Z177:AI177)-SUM($CM177:CV177)</f>
        <v>9805</v>
      </c>
      <c r="BQ177" s="93">
        <f>SUM($Z177:AJ177)-SUM($CM177:CW177)</f>
        <v>9775</v>
      </c>
      <c r="BR177" s="93">
        <f>SUM($Z177:AK177)-SUM($CM177:CX177)</f>
        <v>9745</v>
      </c>
      <c r="BS177" s="93">
        <f>SUM($Z177:AL177)-SUM($CM177:CY177)</f>
        <v>9715</v>
      </c>
      <c r="BT177" s="93">
        <f>SUM($Z177:AM177)-SUM($CM177:CZ177)</f>
        <v>9685</v>
      </c>
      <c r="BU177" s="93">
        <f>SUM($Z177:AN177)-SUM($CM177:DA177)</f>
        <v>9655</v>
      </c>
      <c r="BV177" s="93">
        <f>SUM($Z177:AO177)-SUM($CM177:DB177)</f>
        <v>9641</v>
      </c>
      <c r="BW177" s="93">
        <f>SUM($Z177:AP177)-SUM($CM177:DC177)</f>
        <v>9641</v>
      </c>
      <c r="BX177" s="93">
        <f>SUM($Z177:AQ177)-SUM($CM177:DD177)</f>
        <v>9641</v>
      </c>
      <c r="BY177" s="93">
        <f>SUM($Z177:AR177)-SUM($CM177:DE177)</f>
        <v>9641</v>
      </c>
      <c r="BZ177" s="93">
        <f>SUM($Z177:AS177)-SUM($CM177:DF177)</f>
        <v>9641</v>
      </c>
      <c r="CA177" s="93">
        <f>SUM($Z177:AT177)-SUM($CM177:DG177)</f>
        <v>9641</v>
      </c>
      <c r="CB177" s="93">
        <f>SUM($Z177:AU177)-SUM($CM177:DH177)</f>
        <v>9641</v>
      </c>
      <c r="CC177" s="93">
        <f>SUM($Z177:AV177)-SUM($CM177:DI177)</f>
        <v>9641</v>
      </c>
      <c r="CD177" s="93">
        <f>SUM($Z177:AW177)-SUM($CM177:DJ177)</f>
        <v>9641</v>
      </c>
      <c r="CE177" s="93">
        <f>SUM($Z177:AX177)-SUM($CM177:DK177)</f>
        <v>9641</v>
      </c>
      <c r="CF177" s="93">
        <f>SUM($Z177:AY177)-SUM($CM177:DL177)</f>
        <v>9641</v>
      </c>
      <c r="CG177" s="93">
        <f>SUM($Z177:AZ177)-SUM($CM177:DM177)</f>
        <v>9641</v>
      </c>
      <c r="CH177" s="93">
        <f>SUM($Z177:BA177)-SUM($CM177:DN177)</f>
        <v>9641</v>
      </c>
      <c r="CI177" s="93">
        <f>SUM($Z177:BB177)-SUM($CM177:DO177)</f>
        <v>9641</v>
      </c>
      <c r="CJ177" s="93"/>
      <c r="CK177" s="93"/>
      <c r="CL177" s="93"/>
      <c r="CM177" s="93"/>
      <c r="CN177" s="93" cm="1">
        <f t="array" ref="CN177">SUMPRODUCT(TRANSPOSE(CN$4:CN$20),$G177:$W177)</f>
        <v>0</v>
      </c>
      <c r="CO177" s="93" cm="1">
        <f t="array" ref="CO177">SUMPRODUCT(TRANSPOSE(CO$4:CO$20),$G177:$W177)</f>
        <v>0</v>
      </c>
      <c r="CP177" s="93" cm="1">
        <f t="array" ref="CP177">SUMPRODUCT(TRANSPOSE(CP$4:CP$20),$G177:$W177)</f>
        <v>0</v>
      </c>
      <c r="CQ177" s="93" cm="1">
        <f t="array" ref="CQ177">SUMPRODUCT(TRANSPOSE(CQ$4:CQ$20),$G177:$W177)</f>
        <v>35</v>
      </c>
      <c r="CR177" s="93" cm="1">
        <f t="array" ref="CR177">SUMPRODUCT(TRANSPOSE(CR$4:CR$20),$G177:$W177)</f>
        <v>35</v>
      </c>
      <c r="CS177" s="93" cm="1">
        <f t="array" ref="CS177">SUMPRODUCT(TRANSPOSE(CS$4:CS$20),$G177:$W177)</f>
        <v>35</v>
      </c>
      <c r="CT177" s="93" cm="1">
        <f t="array" ref="CT177">SUMPRODUCT(TRANSPOSE(CT$4:CT$20),$G177:$W177)</f>
        <v>30</v>
      </c>
      <c r="CU177" s="93" cm="1">
        <f t="array" ref="CU177">SUMPRODUCT(TRANSPOSE(CU$4:CU$20),$G177:$W177)</f>
        <v>30</v>
      </c>
      <c r="CV177" s="93" cm="1">
        <f t="array" ref="CV177">SUMPRODUCT(TRANSPOSE(CV$4:CV$20),$G177:$W177)</f>
        <v>30</v>
      </c>
      <c r="CW177" s="93" cm="1">
        <f t="array" ref="CW177">SUMPRODUCT(TRANSPOSE(CW$4:CW$20),$G177:$W177)</f>
        <v>30</v>
      </c>
      <c r="CX177" s="93" cm="1">
        <f t="array" ref="CX177">SUMPRODUCT(TRANSPOSE(CX$4:CX$20),$G177:$W177)</f>
        <v>30</v>
      </c>
      <c r="CY177" s="93" cm="1">
        <f t="array" ref="CY177">SUMPRODUCT(TRANSPOSE(CY$4:CY$20),$G177:$W177)</f>
        <v>30</v>
      </c>
      <c r="CZ177" s="93" cm="1">
        <f t="array" ref="CZ177">SUMPRODUCT(TRANSPOSE(CZ$4:CZ$20),$G177:$W177)</f>
        <v>30</v>
      </c>
      <c r="DA177" s="93" cm="1">
        <f t="array" ref="DA177">SUMPRODUCT(TRANSPOSE(DA$4:DA$20),$G177:$W177)</f>
        <v>30</v>
      </c>
      <c r="DB177" s="93" cm="1">
        <f t="array" ref="DB177">SUMPRODUCT(TRANSPOSE(DB$4:DB$20),$G177:$W177)</f>
        <v>14</v>
      </c>
      <c r="DC177" s="93" cm="1">
        <f t="array" ref="DC177">SUMPRODUCT(TRANSPOSE(DC$4:DC$20),$G177:$W177)</f>
        <v>0</v>
      </c>
      <c r="DD177" s="93" cm="1">
        <f t="array" ref="DD177">SUMPRODUCT(TRANSPOSE(DD$4:DD$20),$G177:$W177)</f>
        <v>0</v>
      </c>
      <c r="DE177" s="93" cm="1">
        <f t="array" ref="DE177">SUMPRODUCT(TRANSPOSE(DE$4:DE$20),$G177:$W177)</f>
        <v>0</v>
      </c>
      <c r="DF177" s="93" cm="1">
        <f t="array" ref="DF177">SUMPRODUCT(TRANSPOSE(DF$4:DF$20),$G177:$W177)</f>
        <v>0</v>
      </c>
      <c r="DG177" s="93" cm="1">
        <f t="array" ref="DG177">SUMPRODUCT(TRANSPOSE(DG$4:DG$20),$G177:$W177)</f>
        <v>0</v>
      </c>
      <c r="DH177" s="93" cm="1">
        <f t="array" ref="DH177">SUMPRODUCT(TRANSPOSE(DH$4:DH$20),$G177:$W177)</f>
        <v>0</v>
      </c>
      <c r="DI177" s="93" cm="1">
        <f t="array" ref="DI177">SUMPRODUCT(TRANSPOSE(DI$4:DI$20),$G177:$W177)</f>
        <v>0</v>
      </c>
      <c r="DJ177" s="93" cm="1">
        <f t="array" ref="DJ177">SUMPRODUCT(TRANSPOSE(DJ$4:DJ$20),$G177:$W177)</f>
        <v>0</v>
      </c>
      <c r="DK177" s="93" cm="1">
        <f t="array" ref="DK177">SUMPRODUCT(TRANSPOSE(DK$4:DK$20),$G177:$W177)</f>
        <v>0</v>
      </c>
      <c r="DL177" s="93" cm="1">
        <f t="array" ref="DL177">SUMPRODUCT(TRANSPOSE(DL$4:DL$20),$G177:$W177)</f>
        <v>0</v>
      </c>
      <c r="DM177" s="93" cm="1">
        <f t="array" ref="DM177">SUMPRODUCT(TRANSPOSE(DM$4:DM$20),$G177:$W177)</f>
        <v>0</v>
      </c>
      <c r="DN177" s="93" cm="1">
        <f t="array" ref="DN177">SUMPRODUCT(TRANSPOSE(DN$4:DN$20),$G177:$W177)</f>
        <v>0</v>
      </c>
      <c r="DO177" s="93" cm="1">
        <f t="array" ref="DO177">SUMPRODUCT(TRANSPOSE(DO$4:DO$20),$G177:$W177)</f>
        <v>0</v>
      </c>
    </row>
    <row r="178" spans="1:119" x14ac:dyDescent="0.2">
      <c r="A178" s="45">
        <f t="shared" si="28"/>
        <v>157</v>
      </c>
      <c r="B178" s="46" t="s">
        <v>442</v>
      </c>
      <c r="C178" s="45">
        <v>400656755</v>
      </c>
      <c r="D178" s="45" t="s">
        <v>443</v>
      </c>
      <c r="E178" s="45" t="s">
        <v>162</v>
      </c>
      <c r="F178" s="48">
        <v>2</v>
      </c>
      <c r="G178" s="100">
        <v>0</v>
      </c>
      <c r="H178" s="100">
        <v>0</v>
      </c>
      <c r="I178" s="100">
        <v>0</v>
      </c>
      <c r="J178" s="100">
        <v>0</v>
      </c>
      <c r="K178" s="100">
        <v>0</v>
      </c>
      <c r="L178" s="100">
        <v>0</v>
      </c>
      <c r="M178" s="100">
        <v>0</v>
      </c>
      <c r="N178" s="100">
        <v>0</v>
      </c>
      <c r="O178" s="100">
        <v>0</v>
      </c>
      <c r="P178" s="100">
        <v>0</v>
      </c>
      <c r="Q178" s="100">
        <v>34</v>
      </c>
      <c r="R178" s="100">
        <v>0</v>
      </c>
      <c r="S178" s="100">
        <v>0</v>
      </c>
      <c r="T178" s="100">
        <v>0</v>
      </c>
      <c r="U178" s="100">
        <v>0</v>
      </c>
      <c r="V178" s="100">
        <v>0</v>
      </c>
      <c r="W178" s="100">
        <v>0</v>
      </c>
      <c r="X178" s="45" t="s">
        <v>61</v>
      </c>
      <c r="Y178" s="49">
        <v>4.0000000000000001E-3</v>
      </c>
      <c r="Z178" s="45">
        <v>40000</v>
      </c>
      <c r="AA178" s="45">
        <v>0</v>
      </c>
      <c r="AB178" s="45">
        <v>0</v>
      </c>
      <c r="AC178" s="45">
        <v>0</v>
      </c>
      <c r="AD178" s="45">
        <v>0</v>
      </c>
      <c r="AE178" s="45">
        <v>0</v>
      </c>
      <c r="AF178" s="45">
        <v>0</v>
      </c>
      <c r="AG178" s="45">
        <v>0</v>
      </c>
      <c r="AH178" s="45">
        <v>0</v>
      </c>
      <c r="AI178" s="45">
        <v>0</v>
      </c>
      <c r="AJ178" s="45">
        <v>0</v>
      </c>
      <c r="AK178" s="45">
        <v>0</v>
      </c>
      <c r="AL178" s="45">
        <v>0</v>
      </c>
      <c r="AM178" s="45">
        <v>0</v>
      </c>
      <c r="AN178" s="45">
        <v>0</v>
      </c>
      <c r="AO178" s="45"/>
      <c r="AP178" s="45"/>
      <c r="AQ178" s="45"/>
      <c r="AR178" s="45"/>
      <c r="AS178" s="45"/>
      <c r="AT178" s="45"/>
      <c r="AU178" s="45"/>
      <c r="AV178" s="45"/>
      <c r="AW178" s="45"/>
      <c r="AX178" s="45"/>
      <c r="AY178" s="45"/>
      <c r="AZ178" s="45"/>
      <c r="BA178" s="45"/>
      <c r="BB178" s="45"/>
      <c r="BC178" s="45"/>
      <c r="BD178" s="93"/>
      <c r="BE178" s="93"/>
      <c r="BF178" s="93"/>
      <c r="BG178" s="93"/>
      <c r="BH178" s="93"/>
      <c r="BI178" s="93"/>
      <c r="BJ178" s="93"/>
      <c r="BK178" s="93">
        <f>SUM($Z178:AD178)-SUM($CM178:CQ178)</f>
        <v>38810</v>
      </c>
      <c r="BL178" s="93">
        <f>SUM($Z178:AE178)-SUM($CM178:CR178)</f>
        <v>37620</v>
      </c>
      <c r="BM178" s="93">
        <f>SUM($Z178:AF178)-SUM($CM178:CS178)</f>
        <v>36430</v>
      </c>
      <c r="BN178" s="93">
        <f>SUM($Z178:AG178)-SUM($CM178:CT178)</f>
        <v>35410</v>
      </c>
      <c r="BO178" s="93">
        <f>SUM($Z178:AH178)-SUM($CM178:CU178)</f>
        <v>34390</v>
      </c>
      <c r="BP178" s="93">
        <f>SUM($Z178:AI178)-SUM($CM178:CV178)</f>
        <v>33370</v>
      </c>
      <c r="BQ178" s="93">
        <f>SUM($Z178:AJ178)-SUM($CM178:CW178)</f>
        <v>32350</v>
      </c>
      <c r="BR178" s="93">
        <f>SUM($Z178:AK178)-SUM($CM178:CX178)</f>
        <v>31330</v>
      </c>
      <c r="BS178" s="93">
        <f>SUM($Z178:AL178)-SUM($CM178:CY178)</f>
        <v>30310</v>
      </c>
      <c r="BT178" s="93">
        <f>SUM($Z178:AM178)-SUM($CM178:CZ178)</f>
        <v>29290</v>
      </c>
      <c r="BU178" s="93">
        <f>SUM($Z178:AN178)-SUM($CM178:DA178)</f>
        <v>28270</v>
      </c>
      <c r="BV178" s="93">
        <f>SUM($Z178:AO178)-SUM($CM178:DB178)</f>
        <v>27794</v>
      </c>
      <c r="BW178" s="93">
        <f>SUM($Z178:AP178)-SUM($CM178:DC178)</f>
        <v>27794</v>
      </c>
      <c r="BX178" s="93">
        <f>SUM($Z178:AQ178)-SUM($CM178:DD178)</f>
        <v>27794</v>
      </c>
      <c r="BY178" s="93">
        <f>SUM($Z178:AR178)-SUM($CM178:DE178)</f>
        <v>27794</v>
      </c>
      <c r="BZ178" s="93">
        <f>SUM($Z178:AS178)-SUM($CM178:DF178)</f>
        <v>27794</v>
      </c>
      <c r="CA178" s="93">
        <f>SUM($Z178:AT178)-SUM($CM178:DG178)</f>
        <v>27794</v>
      </c>
      <c r="CB178" s="93">
        <f>SUM($Z178:AU178)-SUM($CM178:DH178)</f>
        <v>27794</v>
      </c>
      <c r="CC178" s="93">
        <f>SUM($Z178:AV178)-SUM($CM178:DI178)</f>
        <v>27794</v>
      </c>
      <c r="CD178" s="93">
        <f>SUM($Z178:AW178)-SUM($CM178:DJ178)</f>
        <v>27794</v>
      </c>
      <c r="CE178" s="93">
        <f>SUM($Z178:AX178)-SUM($CM178:DK178)</f>
        <v>27794</v>
      </c>
      <c r="CF178" s="93">
        <f>SUM($Z178:AY178)-SUM($CM178:DL178)</f>
        <v>27794</v>
      </c>
      <c r="CG178" s="93">
        <f>SUM($Z178:AZ178)-SUM($CM178:DM178)</f>
        <v>27794</v>
      </c>
      <c r="CH178" s="93">
        <f>SUM($Z178:BA178)-SUM($CM178:DN178)</f>
        <v>27794</v>
      </c>
      <c r="CI178" s="93">
        <f>SUM($Z178:BB178)-SUM($CM178:DO178)</f>
        <v>27794</v>
      </c>
      <c r="CJ178" s="93"/>
      <c r="CK178" s="93"/>
      <c r="CL178" s="93"/>
      <c r="CM178" s="93"/>
      <c r="CN178" s="93" cm="1">
        <f t="array" ref="CN178">SUMPRODUCT(TRANSPOSE(CN$4:CN$20),$G178:$W178)</f>
        <v>0</v>
      </c>
      <c r="CO178" s="93" cm="1">
        <f t="array" ref="CO178">SUMPRODUCT(TRANSPOSE(CO$4:CO$20),$G178:$W178)</f>
        <v>0</v>
      </c>
      <c r="CP178" s="93" cm="1">
        <f t="array" ref="CP178">SUMPRODUCT(TRANSPOSE(CP$4:CP$20),$G178:$W178)</f>
        <v>0</v>
      </c>
      <c r="CQ178" s="93" cm="1">
        <f t="array" ref="CQ178">SUMPRODUCT(TRANSPOSE(CQ$4:CQ$20),$G178:$W178)</f>
        <v>1190</v>
      </c>
      <c r="CR178" s="93" cm="1">
        <f t="array" ref="CR178">SUMPRODUCT(TRANSPOSE(CR$4:CR$20),$G178:$W178)</f>
        <v>1190</v>
      </c>
      <c r="CS178" s="93" cm="1">
        <f t="array" ref="CS178">SUMPRODUCT(TRANSPOSE(CS$4:CS$20),$G178:$W178)</f>
        <v>1190</v>
      </c>
      <c r="CT178" s="93" cm="1">
        <f t="array" ref="CT178">SUMPRODUCT(TRANSPOSE(CT$4:CT$20),$G178:$W178)</f>
        <v>1020</v>
      </c>
      <c r="CU178" s="93" cm="1">
        <f t="array" ref="CU178">SUMPRODUCT(TRANSPOSE(CU$4:CU$20),$G178:$W178)</f>
        <v>1020</v>
      </c>
      <c r="CV178" s="93" cm="1">
        <f t="array" ref="CV178">SUMPRODUCT(TRANSPOSE(CV$4:CV$20),$G178:$W178)</f>
        <v>1020</v>
      </c>
      <c r="CW178" s="93" cm="1">
        <f t="array" ref="CW178">SUMPRODUCT(TRANSPOSE(CW$4:CW$20),$G178:$W178)</f>
        <v>1020</v>
      </c>
      <c r="CX178" s="93" cm="1">
        <f t="array" ref="CX178">SUMPRODUCT(TRANSPOSE(CX$4:CX$20),$G178:$W178)</f>
        <v>1020</v>
      </c>
      <c r="CY178" s="93" cm="1">
        <f t="array" ref="CY178">SUMPRODUCT(TRANSPOSE(CY$4:CY$20),$G178:$W178)</f>
        <v>1020</v>
      </c>
      <c r="CZ178" s="93" cm="1">
        <f t="array" ref="CZ178">SUMPRODUCT(TRANSPOSE(CZ$4:CZ$20),$G178:$W178)</f>
        <v>1020</v>
      </c>
      <c r="DA178" s="93" cm="1">
        <f t="array" ref="DA178">SUMPRODUCT(TRANSPOSE(DA$4:DA$20),$G178:$W178)</f>
        <v>1020</v>
      </c>
      <c r="DB178" s="93" cm="1">
        <f t="array" ref="DB178">SUMPRODUCT(TRANSPOSE(DB$4:DB$20),$G178:$W178)</f>
        <v>476</v>
      </c>
      <c r="DC178" s="93" cm="1">
        <f t="array" ref="DC178">SUMPRODUCT(TRANSPOSE(DC$4:DC$20),$G178:$W178)</f>
        <v>0</v>
      </c>
      <c r="DD178" s="93" cm="1">
        <f t="array" ref="DD178">SUMPRODUCT(TRANSPOSE(DD$4:DD$20),$G178:$W178)</f>
        <v>0</v>
      </c>
      <c r="DE178" s="93" cm="1">
        <f t="array" ref="DE178">SUMPRODUCT(TRANSPOSE(DE$4:DE$20),$G178:$W178)</f>
        <v>0</v>
      </c>
      <c r="DF178" s="93" cm="1">
        <f t="array" ref="DF178">SUMPRODUCT(TRANSPOSE(DF$4:DF$20),$G178:$W178)</f>
        <v>0</v>
      </c>
      <c r="DG178" s="93" cm="1">
        <f t="array" ref="DG178">SUMPRODUCT(TRANSPOSE(DG$4:DG$20),$G178:$W178)</f>
        <v>0</v>
      </c>
      <c r="DH178" s="93" cm="1">
        <f t="array" ref="DH178">SUMPRODUCT(TRANSPOSE(DH$4:DH$20),$G178:$W178)</f>
        <v>0</v>
      </c>
      <c r="DI178" s="93" cm="1">
        <f t="array" ref="DI178">SUMPRODUCT(TRANSPOSE(DI$4:DI$20),$G178:$W178)</f>
        <v>0</v>
      </c>
      <c r="DJ178" s="93" cm="1">
        <f t="array" ref="DJ178">SUMPRODUCT(TRANSPOSE(DJ$4:DJ$20),$G178:$W178)</f>
        <v>0</v>
      </c>
      <c r="DK178" s="93" cm="1">
        <f t="array" ref="DK178">SUMPRODUCT(TRANSPOSE(DK$4:DK$20),$G178:$W178)</f>
        <v>0</v>
      </c>
      <c r="DL178" s="93" cm="1">
        <f t="array" ref="DL178">SUMPRODUCT(TRANSPOSE(DL$4:DL$20),$G178:$W178)</f>
        <v>0</v>
      </c>
      <c r="DM178" s="93" cm="1">
        <f t="array" ref="DM178">SUMPRODUCT(TRANSPOSE(DM$4:DM$20),$G178:$W178)</f>
        <v>0</v>
      </c>
      <c r="DN178" s="93" cm="1">
        <f t="array" ref="DN178">SUMPRODUCT(TRANSPOSE(DN$4:DN$20),$G178:$W178)</f>
        <v>0</v>
      </c>
      <c r="DO178" s="93" cm="1">
        <f t="array" ref="DO178">SUMPRODUCT(TRANSPOSE(DO$4:DO$20),$G178:$W178)</f>
        <v>0</v>
      </c>
    </row>
    <row r="179" spans="1:119" x14ac:dyDescent="0.2">
      <c r="A179" s="45">
        <f t="shared" si="28"/>
        <v>158</v>
      </c>
      <c r="B179" s="51" t="s">
        <v>444</v>
      </c>
      <c r="C179" s="45">
        <v>400656757</v>
      </c>
      <c r="D179" s="45" t="s">
        <v>445</v>
      </c>
      <c r="E179" s="45" t="s">
        <v>162</v>
      </c>
      <c r="F179" s="48">
        <v>2</v>
      </c>
      <c r="G179" s="100">
        <v>0</v>
      </c>
      <c r="H179" s="100">
        <v>0</v>
      </c>
      <c r="I179" s="100">
        <v>0</v>
      </c>
      <c r="J179" s="100">
        <v>0</v>
      </c>
      <c r="K179" s="100">
        <v>0</v>
      </c>
      <c r="L179" s="100">
        <v>0</v>
      </c>
      <c r="M179" s="100">
        <v>0</v>
      </c>
      <c r="N179" s="100">
        <v>0</v>
      </c>
      <c r="O179" s="100">
        <v>0</v>
      </c>
      <c r="P179" s="100">
        <v>0</v>
      </c>
      <c r="Q179" s="100">
        <v>68</v>
      </c>
      <c r="R179" s="100">
        <v>0</v>
      </c>
      <c r="S179" s="100">
        <v>0</v>
      </c>
      <c r="T179" s="100">
        <v>0</v>
      </c>
      <c r="U179" s="100">
        <v>0</v>
      </c>
      <c r="V179" s="100">
        <v>0</v>
      </c>
      <c r="W179" s="100">
        <v>0</v>
      </c>
      <c r="X179" s="45" t="s">
        <v>61</v>
      </c>
      <c r="Y179" s="49">
        <v>4.0000000000000001E-3</v>
      </c>
      <c r="Z179" s="45">
        <v>40000</v>
      </c>
      <c r="AA179" s="45">
        <v>0</v>
      </c>
      <c r="AB179" s="45">
        <v>0</v>
      </c>
      <c r="AC179" s="45">
        <v>0</v>
      </c>
      <c r="AD179" s="45">
        <v>0</v>
      </c>
      <c r="AE179" s="45">
        <v>0</v>
      </c>
      <c r="AF179" s="45">
        <v>0</v>
      </c>
      <c r="AG179" s="45">
        <v>0</v>
      </c>
      <c r="AH179" s="45">
        <v>0</v>
      </c>
      <c r="AI179" s="45">
        <v>0</v>
      </c>
      <c r="AJ179" s="45">
        <v>0</v>
      </c>
      <c r="AK179" s="45">
        <v>0</v>
      </c>
      <c r="AL179" s="45">
        <v>0</v>
      </c>
      <c r="AM179" s="45">
        <v>0</v>
      </c>
      <c r="AN179" s="45">
        <v>0</v>
      </c>
      <c r="AO179" s="45"/>
      <c r="AP179" s="45"/>
      <c r="AQ179" s="45"/>
      <c r="AR179" s="45"/>
      <c r="AS179" s="45"/>
      <c r="AT179" s="45"/>
      <c r="AU179" s="45"/>
      <c r="AV179" s="45"/>
      <c r="AW179" s="45"/>
      <c r="AX179" s="45"/>
      <c r="AY179" s="45"/>
      <c r="AZ179" s="45"/>
      <c r="BA179" s="45"/>
      <c r="BB179" s="45"/>
      <c r="BC179" s="45"/>
      <c r="BD179" s="93"/>
      <c r="BE179" s="93"/>
      <c r="BF179" s="93"/>
      <c r="BG179" s="93"/>
      <c r="BH179" s="93"/>
      <c r="BI179" s="93"/>
      <c r="BJ179" s="93"/>
      <c r="BK179" s="93">
        <f>SUM($Z179:AD179)-SUM($CM179:CQ179)</f>
        <v>37620</v>
      </c>
      <c r="BL179" s="93">
        <f>SUM($Z179:AE179)-SUM($CM179:CR179)</f>
        <v>35240</v>
      </c>
      <c r="BM179" s="93">
        <f>SUM($Z179:AF179)-SUM($CM179:CS179)</f>
        <v>32860</v>
      </c>
      <c r="BN179" s="93">
        <f>SUM($Z179:AG179)-SUM($CM179:CT179)</f>
        <v>30820</v>
      </c>
      <c r="BO179" s="93">
        <f>SUM($Z179:AH179)-SUM($CM179:CU179)</f>
        <v>28780</v>
      </c>
      <c r="BP179" s="93">
        <f>SUM($Z179:AI179)-SUM($CM179:CV179)</f>
        <v>26740</v>
      </c>
      <c r="BQ179" s="93">
        <f>SUM($Z179:AJ179)-SUM($CM179:CW179)</f>
        <v>24700</v>
      </c>
      <c r="BR179" s="93">
        <f>SUM($Z179:AK179)-SUM($CM179:CX179)</f>
        <v>22660</v>
      </c>
      <c r="BS179" s="93">
        <f>SUM($Z179:AL179)-SUM($CM179:CY179)</f>
        <v>20620</v>
      </c>
      <c r="BT179" s="93">
        <f>SUM($Z179:AM179)-SUM($CM179:CZ179)</f>
        <v>18580</v>
      </c>
      <c r="BU179" s="93">
        <f>SUM($Z179:AN179)-SUM($CM179:DA179)</f>
        <v>16540</v>
      </c>
      <c r="BV179" s="93">
        <f>SUM($Z179:AO179)-SUM($CM179:DB179)</f>
        <v>15588</v>
      </c>
      <c r="BW179" s="93">
        <f>SUM($Z179:AP179)-SUM($CM179:DC179)</f>
        <v>15588</v>
      </c>
      <c r="BX179" s="93">
        <f>SUM($Z179:AQ179)-SUM($CM179:DD179)</f>
        <v>15588</v>
      </c>
      <c r="BY179" s="93">
        <f>SUM($Z179:AR179)-SUM($CM179:DE179)</f>
        <v>15588</v>
      </c>
      <c r="BZ179" s="93">
        <f>SUM($Z179:AS179)-SUM($CM179:DF179)</f>
        <v>15588</v>
      </c>
      <c r="CA179" s="93">
        <f>SUM($Z179:AT179)-SUM($CM179:DG179)</f>
        <v>15588</v>
      </c>
      <c r="CB179" s="93">
        <f>SUM($Z179:AU179)-SUM($CM179:DH179)</f>
        <v>15588</v>
      </c>
      <c r="CC179" s="93">
        <f>SUM($Z179:AV179)-SUM($CM179:DI179)</f>
        <v>15588</v>
      </c>
      <c r="CD179" s="93">
        <f>SUM($Z179:AW179)-SUM($CM179:DJ179)</f>
        <v>15588</v>
      </c>
      <c r="CE179" s="93">
        <f>SUM($Z179:AX179)-SUM($CM179:DK179)</f>
        <v>15588</v>
      </c>
      <c r="CF179" s="93">
        <f>SUM($Z179:AY179)-SUM($CM179:DL179)</f>
        <v>15588</v>
      </c>
      <c r="CG179" s="93">
        <f>SUM($Z179:AZ179)-SUM($CM179:DM179)</f>
        <v>15588</v>
      </c>
      <c r="CH179" s="93">
        <f>SUM($Z179:BA179)-SUM($CM179:DN179)</f>
        <v>15588</v>
      </c>
      <c r="CI179" s="93">
        <f>SUM($Z179:BB179)-SUM($CM179:DO179)</f>
        <v>15588</v>
      </c>
      <c r="CJ179" s="93"/>
      <c r="CK179" s="93"/>
      <c r="CL179" s="93"/>
      <c r="CM179" s="93"/>
      <c r="CN179" s="93" cm="1">
        <f t="array" ref="CN179">SUMPRODUCT(TRANSPOSE(CN$4:CN$20),$G179:$W179)</f>
        <v>0</v>
      </c>
      <c r="CO179" s="93" cm="1">
        <f t="array" ref="CO179">SUMPRODUCT(TRANSPOSE(CO$4:CO$20),$G179:$W179)</f>
        <v>0</v>
      </c>
      <c r="CP179" s="93" cm="1">
        <f t="array" ref="CP179">SUMPRODUCT(TRANSPOSE(CP$4:CP$20),$G179:$W179)</f>
        <v>0</v>
      </c>
      <c r="CQ179" s="93" cm="1">
        <f t="array" ref="CQ179">SUMPRODUCT(TRANSPOSE(CQ$4:CQ$20),$G179:$W179)</f>
        <v>2380</v>
      </c>
      <c r="CR179" s="93" cm="1">
        <f t="array" ref="CR179">SUMPRODUCT(TRANSPOSE(CR$4:CR$20),$G179:$W179)</f>
        <v>2380</v>
      </c>
      <c r="CS179" s="93" cm="1">
        <f t="array" ref="CS179">SUMPRODUCT(TRANSPOSE(CS$4:CS$20),$G179:$W179)</f>
        <v>2380</v>
      </c>
      <c r="CT179" s="93" cm="1">
        <f t="array" ref="CT179">SUMPRODUCT(TRANSPOSE(CT$4:CT$20),$G179:$W179)</f>
        <v>2040</v>
      </c>
      <c r="CU179" s="93" cm="1">
        <f t="array" ref="CU179">SUMPRODUCT(TRANSPOSE(CU$4:CU$20),$G179:$W179)</f>
        <v>2040</v>
      </c>
      <c r="CV179" s="93" cm="1">
        <f t="array" ref="CV179">SUMPRODUCT(TRANSPOSE(CV$4:CV$20),$G179:$W179)</f>
        <v>2040</v>
      </c>
      <c r="CW179" s="93" cm="1">
        <f t="array" ref="CW179">SUMPRODUCT(TRANSPOSE(CW$4:CW$20),$G179:$W179)</f>
        <v>2040</v>
      </c>
      <c r="CX179" s="93" cm="1">
        <f t="array" ref="CX179">SUMPRODUCT(TRANSPOSE(CX$4:CX$20),$G179:$W179)</f>
        <v>2040</v>
      </c>
      <c r="CY179" s="93" cm="1">
        <f t="array" ref="CY179">SUMPRODUCT(TRANSPOSE(CY$4:CY$20),$G179:$W179)</f>
        <v>2040</v>
      </c>
      <c r="CZ179" s="93" cm="1">
        <f t="array" ref="CZ179">SUMPRODUCT(TRANSPOSE(CZ$4:CZ$20),$G179:$W179)</f>
        <v>2040</v>
      </c>
      <c r="DA179" s="93" cm="1">
        <f t="array" ref="DA179">SUMPRODUCT(TRANSPOSE(DA$4:DA$20),$G179:$W179)</f>
        <v>2040</v>
      </c>
      <c r="DB179" s="93" cm="1">
        <f t="array" ref="DB179">SUMPRODUCT(TRANSPOSE(DB$4:DB$20),$G179:$W179)</f>
        <v>952</v>
      </c>
      <c r="DC179" s="93" cm="1">
        <f t="array" ref="DC179">SUMPRODUCT(TRANSPOSE(DC$4:DC$20),$G179:$W179)</f>
        <v>0</v>
      </c>
      <c r="DD179" s="93" cm="1">
        <f t="array" ref="DD179">SUMPRODUCT(TRANSPOSE(DD$4:DD$20),$G179:$W179)</f>
        <v>0</v>
      </c>
      <c r="DE179" s="93" cm="1">
        <f t="array" ref="DE179">SUMPRODUCT(TRANSPOSE(DE$4:DE$20),$G179:$W179)</f>
        <v>0</v>
      </c>
      <c r="DF179" s="93" cm="1">
        <f t="array" ref="DF179">SUMPRODUCT(TRANSPOSE(DF$4:DF$20),$G179:$W179)</f>
        <v>0</v>
      </c>
      <c r="DG179" s="93" cm="1">
        <f t="array" ref="DG179">SUMPRODUCT(TRANSPOSE(DG$4:DG$20),$G179:$W179)</f>
        <v>0</v>
      </c>
      <c r="DH179" s="93" cm="1">
        <f t="array" ref="DH179">SUMPRODUCT(TRANSPOSE(DH$4:DH$20),$G179:$W179)</f>
        <v>0</v>
      </c>
      <c r="DI179" s="93" cm="1">
        <f t="array" ref="DI179">SUMPRODUCT(TRANSPOSE(DI$4:DI$20),$G179:$W179)</f>
        <v>0</v>
      </c>
      <c r="DJ179" s="93" cm="1">
        <f t="array" ref="DJ179">SUMPRODUCT(TRANSPOSE(DJ$4:DJ$20),$G179:$W179)</f>
        <v>0</v>
      </c>
      <c r="DK179" s="93" cm="1">
        <f t="array" ref="DK179">SUMPRODUCT(TRANSPOSE(DK$4:DK$20),$G179:$W179)</f>
        <v>0</v>
      </c>
      <c r="DL179" s="93" cm="1">
        <f t="array" ref="DL179">SUMPRODUCT(TRANSPOSE(DL$4:DL$20),$G179:$W179)</f>
        <v>0</v>
      </c>
      <c r="DM179" s="93" cm="1">
        <f t="array" ref="DM179">SUMPRODUCT(TRANSPOSE(DM$4:DM$20),$G179:$W179)</f>
        <v>0</v>
      </c>
      <c r="DN179" s="93" cm="1">
        <f t="array" ref="DN179">SUMPRODUCT(TRANSPOSE(DN$4:DN$20),$G179:$W179)</f>
        <v>0</v>
      </c>
      <c r="DO179" s="93" cm="1">
        <f t="array" ref="DO179">SUMPRODUCT(TRANSPOSE(DO$4:DO$20),$G179:$W179)</f>
        <v>0</v>
      </c>
    </row>
    <row r="180" spans="1:119" x14ac:dyDescent="0.2">
      <c r="A180" s="45">
        <f t="shared" si="28"/>
        <v>159</v>
      </c>
      <c r="B180" s="46" t="s">
        <v>446</v>
      </c>
      <c r="C180" s="45">
        <v>400656760</v>
      </c>
      <c r="D180" s="45" t="s">
        <v>447</v>
      </c>
      <c r="E180" s="45" t="s">
        <v>162</v>
      </c>
      <c r="F180" s="48">
        <v>2</v>
      </c>
      <c r="G180" s="100">
        <v>0</v>
      </c>
      <c r="H180" s="100">
        <v>0</v>
      </c>
      <c r="I180" s="100">
        <v>0</v>
      </c>
      <c r="J180" s="100">
        <v>0</v>
      </c>
      <c r="K180" s="100">
        <v>0</v>
      </c>
      <c r="L180" s="100">
        <v>0</v>
      </c>
      <c r="M180" s="100">
        <v>9</v>
      </c>
      <c r="N180" s="100">
        <v>0</v>
      </c>
      <c r="O180" s="100">
        <v>0</v>
      </c>
      <c r="P180" s="100">
        <v>0</v>
      </c>
      <c r="Q180" s="100">
        <v>68</v>
      </c>
      <c r="R180" s="100">
        <v>0</v>
      </c>
      <c r="S180" s="100">
        <v>0</v>
      </c>
      <c r="T180" s="100">
        <v>0</v>
      </c>
      <c r="U180" s="100">
        <v>0</v>
      </c>
      <c r="V180" s="100">
        <v>0</v>
      </c>
      <c r="W180" s="100">
        <v>0</v>
      </c>
      <c r="X180" s="45" t="s">
        <v>61</v>
      </c>
      <c r="Y180" s="53">
        <v>4.0000000000000001E-3</v>
      </c>
      <c r="Z180" s="45">
        <v>90000</v>
      </c>
      <c r="AA180" s="45">
        <v>0</v>
      </c>
      <c r="AB180" s="45">
        <v>0</v>
      </c>
      <c r="AC180" s="45">
        <v>0</v>
      </c>
      <c r="AD180" s="45">
        <v>0</v>
      </c>
      <c r="AE180" s="45">
        <v>0</v>
      </c>
      <c r="AF180" s="45">
        <v>0</v>
      </c>
      <c r="AG180" s="45">
        <v>0</v>
      </c>
      <c r="AH180" s="45">
        <v>0</v>
      </c>
      <c r="AI180" s="45">
        <v>0</v>
      </c>
      <c r="AJ180" s="45">
        <v>0</v>
      </c>
      <c r="AK180" s="45">
        <v>0</v>
      </c>
      <c r="AL180" s="45">
        <v>0</v>
      </c>
      <c r="AM180" s="45">
        <v>0</v>
      </c>
      <c r="AN180" s="45">
        <v>0</v>
      </c>
      <c r="AO180" s="45"/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  <c r="AZ180" s="45"/>
      <c r="BA180" s="45"/>
      <c r="BB180" s="45"/>
      <c r="BC180" s="45"/>
      <c r="BD180" s="93"/>
      <c r="BE180" s="93"/>
      <c r="BF180" s="93"/>
      <c r="BG180" s="93"/>
      <c r="BH180" s="93"/>
      <c r="BI180" s="93"/>
      <c r="BJ180" s="93"/>
      <c r="BK180" s="93">
        <f>SUM($Z180:AD180)-SUM($CM180:CQ180)</f>
        <v>87548</v>
      </c>
      <c r="BL180" s="93">
        <f>SUM($Z180:AE180)-SUM($CM180:CR180)</f>
        <v>85096</v>
      </c>
      <c r="BM180" s="93">
        <f>SUM($Z180:AF180)-SUM($CM180:CS180)</f>
        <v>82644</v>
      </c>
      <c r="BN180" s="93">
        <f>SUM($Z180:AG180)-SUM($CM180:CT180)</f>
        <v>80532</v>
      </c>
      <c r="BO180" s="93">
        <f>SUM($Z180:AH180)-SUM($CM180:CU180)</f>
        <v>78420</v>
      </c>
      <c r="BP180" s="93">
        <f>SUM($Z180:AI180)-SUM($CM180:CV180)</f>
        <v>76308</v>
      </c>
      <c r="BQ180" s="93">
        <f>SUM($Z180:AJ180)-SUM($CM180:CW180)</f>
        <v>74196</v>
      </c>
      <c r="BR180" s="93">
        <f>SUM($Z180:AK180)-SUM($CM180:CX180)</f>
        <v>72084</v>
      </c>
      <c r="BS180" s="93">
        <f>SUM($Z180:AL180)-SUM($CM180:CY180)</f>
        <v>69972</v>
      </c>
      <c r="BT180" s="93">
        <f>SUM($Z180:AM180)-SUM($CM180:CZ180)</f>
        <v>67860</v>
      </c>
      <c r="BU180" s="93">
        <f>SUM($Z180:AN180)-SUM($CM180:DA180)</f>
        <v>65748</v>
      </c>
      <c r="BV180" s="93">
        <f>SUM($Z180:AO180)-SUM($CM180:DB180)</f>
        <v>64724</v>
      </c>
      <c r="BW180" s="93">
        <f>SUM($Z180:AP180)-SUM($CM180:DC180)</f>
        <v>64598</v>
      </c>
      <c r="BX180" s="93">
        <f>SUM($Z180:AQ180)-SUM($CM180:DD180)</f>
        <v>64598</v>
      </c>
      <c r="BY180" s="93">
        <f>SUM($Z180:AR180)-SUM($CM180:DE180)</f>
        <v>64598</v>
      </c>
      <c r="BZ180" s="93">
        <f>SUM($Z180:AS180)-SUM($CM180:DF180)</f>
        <v>64598</v>
      </c>
      <c r="CA180" s="93">
        <f>SUM($Z180:AT180)-SUM($CM180:DG180)</f>
        <v>64598</v>
      </c>
      <c r="CB180" s="93">
        <f>SUM($Z180:AU180)-SUM($CM180:DH180)</f>
        <v>64598</v>
      </c>
      <c r="CC180" s="93">
        <f>SUM($Z180:AV180)-SUM($CM180:DI180)</f>
        <v>64598</v>
      </c>
      <c r="CD180" s="93">
        <f>SUM($Z180:AW180)-SUM($CM180:DJ180)</f>
        <v>64598</v>
      </c>
      <c r="CE180" s="93">
        <f>SUM($Z180:AX180)-SUM($CM180:DK180)</f>
        <v>64598</v>
      </c>
      <c r="CF180" s="93">
        <f>SUM($Z180:AY180)-SUM($CM180:DL180)</f>
        <v>64598</v>
      </c>
      <c r="CG180" s="93">
        <f>SUM($Z180:AZ180)-SUM($CM180:DM180)</f>
        <v>64598</v>
      </c>
      <c r="CH180" s="93">
        <f>SUM($Z180:BA180)-SUM($CM180:DN180)</f>
        <v>64598</v>
      </c>
      <c r="CI180" s="93">
        <f>SUM($Z180:BB180)-SUM($CM180:DO180)</f>
        <v>64598</v>
      </c>
      <c r="CJ180" s="93"/>
      <c r="CK180" s="93"/>
      <c r="CL180" s="93"/>
      <c r="CM180" s="93"/>
      <c r="CN180" s="93" cm="1">
        <f t="array" ref="CN180">SUMPRODUCT(TRANSPOSE(CN$4:CN$20),$G180:$W180)</f>
        <v>0</v>
      </c>
      <c r="CO180" s="93" cm="1">
        <f t="array" ref="CO180">SUMPRODUCT(TRANSPOSE(CO$4:CO$20),$G180:$W180)</f>
        <v>0</v>
      </c>
      <c r="CP180" s="93" cm="1">
        <f t="array" ref="CP180">SUMPRODUCT(TRANSPOSE(CP$4:CP$20),$G180:$W180)</f>
        <v>0</v>
      </c>
      <c r="CQ180" s="93" cm="1">
        <f t="array" ref="CQ180">SUMPRODUCT(TRANSPOSE(CQ$4:CQ$20),$G180:$W180)</f>
        <v>2452</v>
      </c>
      <c r="CR180" s="93" cm="1">
        <f t="array" ref="CR180">SUMPRODUCT(TRANSPOSE(CR$4:CR$20),$G180:$W180)</f>
        <v>2452</v>
      </c>
      <c r="CS180" s="93" cm="1">
        <f t="array" ref="CS180">SUMPRODUCT(TRANSPOSE(CS$4:CS$20),$G180:$W180)</f>
        <v>2452</v>
      </c>
      <c r="CT180" s="93" cm="1">
        <f t="array" ref="CT180">SUMPRODUCT(TRANSPOSE(CT$4:CT$20),$G180:$W180)</f>
        <v>2112</v>
      </c>
      <c r="CU180" s="93" cm="1">
        <f t="array" ref="CU180">SUMPRODUCT(TRANSPOSE(CU$4:CU$20),$G180:$W180)</f>
        <v>2112</v>
      </c>
      <c r="CV180" s="93" cm="1">
        <f t="array" ref="CV180">SUMPRODUCT(TRANSPOSE(CV$4:CV$20),$G180:$W180)</f>
        <v>2112</v>
      </c>
      <c r="CW180" s="93" cm="1">
        <f t="array" ref="CW180">SUMPRODUCT(TRANSPOSE(CW$4:CW$20),$G180:$W180)</f>
        <v>2112</v>
      </c>
      <c r="CX180" s="93" cm="1">
        <f t="array" ref="CX180">SUMPRODUCT(TRANSPOSE(CX$4:CX$20),$G180:$W180)</f>
        <v>2112</v>
      </c>
      <c r="CY180" s="93" cm="1">
        <f t="array" ref="CY180">SUMPRODUCT(TRANSPOSE(CY$4:CY$20),$G180:$W180)</f>
        <v>2112</v>
      </c>
      <c r="CZ180" s="93" cm="1">
        <f t="array" ref="CZ180">SUMPRODUCT(TRANSPOSE(CZ$4:CZ$20),$G180:$W180)</f>
        <v>2112</v>
      </c>
      <c r="DA180" s="93" cm="1">
        <f t="array" ref="DA180">SUMPRODUCT(TRANSPOSE(DA$4:DA$20),$G180:$W180)</f>
        <v>2112</v>
      </c>
      <c r="DB180" s="93" cm="1">
        <f t="array" ref="DB180">SUMPRODUCT(TRANSPOSE(DB$4:DB$20),$G180:$W180)</f>
        <v>1024</v>
      </c>
      <c r="DC180" s="93" cm="1">
        <f t="array" ref="DC180">SUMPRODUCT(TRANSPOSE(DC$4:DC$20),$G180:$W180)</f>
        <v>126</v>
      </c>
      <c r="DD180" s="93" cm="1">
        <f t="array" ref="DD180">SUMPRODUCT(TRANSPOSE(DD$4:DD$20),$G180:$W180)</f>
        <v>0</v>
      </c>
      <c r="DE180" s="93" cm="1">
        <f t="array" ref="DE180">SUMPRODUCT(TRANSPOSE(DE$4:DE$20),$G180:$W180)</f>
        <v>0</v>
      </c>
      <c r="DF180" s="93" cm="1">
        <f t="array" ref="DF180">SUMPRODUCT(TRANSPOSE(DF$4:DF$20),$G180:$W180)</f>
        <v>0</v>
      </c>
      <c r="DG180" s="93" cm="1">
        <f t="array" ref="DG180">SUMPRODUCT(TRANSPOSE(DG$4:DG$20),$G180:$W180)</f>
        <v>0</v>
      </c>
      <c r="DH180" s="93" cm="1">
        <f t="array" ref="DH180">SUMPRODUCT(TRANSPOSE(DH$4:DH$20),$G180:$W180)</f>
        <v>0</v>
      </c>
      <c r="DI180" s="93" cm="1">
        <f t="array" ref="DI180">SUMPRODUCT(TRANSPOSE(DI$4:DI$20),$G180:$W180)</f>
        <v>0</v>
      </c>
      <c r="DJ180" s="93" cm="1">
        <f t="array" ref="DJ180">SUMPRODUCT(TRANSPOSE(DJ$4:DJ$20),$G180:$W180)</f>
        <v>0</v>
      </c>
      <c r="DK180" s="93" cm="1">
        <f t="array" ref="DK180">SUMPRODUCT(TRANSPOSE(DK$4:DK$20),$G180:$W180)</f>
        <v>0</v>
      </c>
      <c r="DL180" s="93" cm="1">
        <f t="array" ref="DL180">SUMPRODUCT(TRANSPOSE(DL$4:DL$20),$G180:$W180)</f>
        <v>0</v>
      </c>
      <c r="DM180" s="93" cm="1">
        <f t="array" ref="DM180">SUMPRODUCT(TRANSPOSE(DM$4:DM$20),$G180:$W180)</f>
        <v>0</v>
      </c>
      <c r="DN180" s="93" cm="1">
        <f t="array" ref="DN180">SUMPRODUCT(TRANSPOSE(DN$4:DN$20),$G180:$W180)</f>
        <v>0</v>
      </c>
      <c r="DO180" s="93" cm="1">
        <f t="array" ref="DO180">SUMPRODUCT(TRANSPOSE(DO$4:DO$20),$G180:$W180)</f>
        <v>0</v>
      </c>
    </row>
    <row r="181" spans="1:119" x14ac:dyDescent="0.2">
      <c r="A181" s="45">
        <f t="shared" si="28"/>
        <v>160</v>
      </c>
      <c r="B181" s="46" t="s">
        <v>448</v>
      </c>
      <c r="C181" s="45">
        <v>401239839</v>
      </c>
      <c r="D181" s="45" t="s">
        <v>449</v>
      </c>
      <c r="E181" s="45" t="s">
        <v>162</v>
      </c>
      <c r="F181" s="48">
        <v>2</v>
      </c>
      <c r="G181" s="100">
        <v>0</v>
      </c>
      <c r="H181" s="100">
        <v>0</v>
      </c>
      <c r="I181" s="100">
        <v>0</v>
      </c>
      <c r="J181" s="100">
        <v>0</v>
      </c>
      <c r="K181" s="100">
        <v>0</v>
      </c>
      <c r="L181" s="100">
        <v>0</v>
      </c>
      <c r="M181" s="100">
        <v>0</v>
      </c>
      <c r="N181" s="100">
        <v>0</v>
      </c>
      <c r="O181" s="100">
        <v>0</v>
      </c>
      <c r="P181" s="100">
        <v>0</v>
      </c>
      <c r="Q181" s="100">
        <v>1</v>
      </c>
      <c r="R181" s="100">
        <v>0</v>
      </c>
      <c r="S181" s="100">
        <v>0</v>
      </c>
      <c r="T181" s="100">
        <v>0</v>
      </c>
      <c r="U181" s="100">
        <v>0</v>
      </c>
      <c r="V181" s="100">
        <v>0</v>
      </c>
      <c r="W181" s="100">
        <v>0</v>
      </c>
      <c r="X181" s="45" t="s">
        <v>61</v>
      </c>
      <c r="Y181" s="49">
        <v>4.0000000000000001E-3</v>
      </c>
      <c r="Z181" s="45">
        <v>10000</v>
      </c>
      <c r="AA181" s="45">
        <v>0</v>
      </c>
      <c r="AB181" s="45">
        <v>0</v>
      </c>
      <c r="AC181" s="45">
        <v>0</v>
      </c>
      <c r="AD181" s="45">
        <v>0</v>
      </c>
      <c r="AE181" s="45">
        <v>0</v>
      </c>
      <c r="AF181" s="45">
        <v>0</v>
      </c>
      <c r="AG181" s="45">
        <v>0</v>
      </c>
      <c r="AH181" s="45">
        <v>0</v>
      </c>
      <c r="AI181" s="45">
        <v>0</v>
      </c>
      <c r="AJ181" s="45">
        <v>0</v>
      </c>
      <c r="AK181" s="45">
        <v>0</v>
      </c>
      <c r="AL181" s="45">
        <v>0</v>
      </c>
      <c r="AM181" s="45">
        <v>0</v>
      </c>
      <c r="AN181" s="45">
        <v>0</v>
      </c>
      <c r="AO181" s="45"/>
      <c r="AP181" s="45"/>
      <c r="AQ181" s="45"/>
      <c r="AR181" s="45"/>
      <c r="AS181" s="45"/>
      <c r="AT181" s="45"/>
      <c r="AU181" s="45"/>
      <c r="AV181" s="45"/>
      <c r="AW181" s="45"/>
      <c r="AX181" s="45"/>
      <c r="AY181" s="45"/>
      <c r="AZ181" s="45"/>
      <c r="BA181" s="45"/>
      <c r="BB181" s="45"/>
      <c r="BC181" s="45"/>
      <c r="BD181" s="93"/>
      <c r="BE181" s="93"/>
      <c r="BF181" s="93"/>
      <c r="BG181" s="93"/>
      <c r="BH181" s="93"/>
      <c r="BI181" s="93"/>
      <c r="BJ181" s="93"/>
      <c r="BK181" s="93">
        <f>SUM($Z181:AD181)-SUM($CM181:CQ181)</f>
        <v>9965</v>
      </c>
      <c r="BL181" s="93">
        <f>SUM($Z181:AE181)-SUM($CM181:CR181)</f>
        <v>9930</v>
      </c>
      <c r="BM181" s="93">
        <f>SUM($Z181:AF181)-SUM($CM181:CS181)</f>
        <v>9895</v>
      </c>
      <c r="BN181" s="93">
        <f>SUM($Z181:AG181)-SUM($CM181:CT181)</f>
        <v>9865</v>
      </c>
      <c r="BO181" s="93">
        <f>SUM($Z181:AH181)-SUM($CM181:CU181)</f>
        <v>9835</v>
      </c>
      <c r="BP181" s="93">
        <f>SUM($Z181:AI181)-SUM($CM181:CV181)</f>
        <v>9805</v>
      </c>
      <c r="BQ181" s="93">
        <f>SUM($Z181:AJ181)-SUM($CM181:CW181)</f>
        <v>9775</v>
      </c>
      <c r="BR181" s="93">
        <f>SUM($Z181:AK181)-SUM($CM181:CX181)</f>
        <v>9745</v>
      </c>
      <c r="BS181" s="93">
        <f>SUM($Z181:AL181)-SUM($CM181:CY181)</f>
        <v>9715</v>
      </c>
      <c r="BT181" s="93">
        <f>SUM($Z181:AM181)-SUM($CM181:CZ181)</f>
        <v>9685</v>
      </c>
      <c r="BU181" s="93">
        <f>SUM($Z181:AN181)-SUM($CM181:DA181)</f>
        <v>9655</v>
      </c>
      <c r="BV181" s="93">
        <f>SUM($Z181:AO181)-SUM($CM181:DB181)</f>
        <v>9641</v>
      </c>
      <c r="BW181" s="93">
        <f>SUM($Z181:AP181)-SUM($CM181:DC181)</f>
        <v>9641</v>
      </c>
      <c r="BX181" s="93">
        <f>SUM($Z181:AQ181)-SUM($CM181:DD181)</f>
        <v>9641</v>
      </c>
      <c r="BY181" s="93">
        <f>SUM($Z181:AR181)-SUM($CM181:DE181)</f>
        <v>9641</v>
      </c>
      <c r="BZ181" s="93">
        <f>SUM($Z181:AS181)-SUM($CM181:DF181)</f>
        <v>9641</v>
      </c>
      <c r="CA181" s="93">
        <f>SUM($Z181:AT181)-SUM($CM181:DG181)</f>
        <v>9641</v>
      </c>
      <c r="CB181" s="93">
        <f>SUM($Z181:AU181)-SUM($CM181:DH181)</f>
        <v>9641</v>
      </c>
      <c r="CC181" s="93">
        <f>SUM($Z181:AV181)-SUM($CM181:DI181)</f>
        <v>9641</v>
      </c>
      <c r="CD181" s="93">
        <f>SUM($Z181:AW181)-SUM($CM181:DJ181)</f>
        <v>9641</v>
      </c>
      <c r="CE181" s="93">
        <f>SUM($Z181:AX181)-SUM($CM181:DK181)</f>
        <v>9641</v>
      </c>
      <c r="CF181" s="93">
        <f>SUM($Z181:AY181)-SUM($CM181:DL181)</f>
        <v>9641</v>
      </c>
      <c r="CG181" s="93">
        <f>SUM($Z181:AZ181)-SUM($CM181:DM181)</f>
        <v>9641</v>
      </c>
      <c r="CH181" s="93">
        <f>SUM($Z181:BA181)-SUM($CM181:DN181)</f>
        <v>9641</v>
      </c>
      <c r="CI181" s="93">
        <f>SUM($Z181:BB181)-SUM($CM181:DO181)</f>
        <v>9641</v>
      </c>
      <c r="CJ181" s="93"/>
      <c r="CK181" s="93"/>
      <c r="CL181" s="93"/>
      <c r="CM181" s="93"/>
      <c r="CN181" s="93" cm="1">
        <f t="array" ref="CN181">SUMPRODUCT(TRANSPOSE(CN$4:CN$20),$G181:$W181)</f>
        <v>0</v>
      </c>
      <c r="CO181" s="93" cm="1">
        <f t="array" ref="CO181">SUMPRODUCT(TRANSPOSE(CO$4:CO$20),$G181:$W181)</f>
        <v>0</v>
      </c>
      <c r="CP181" s="93" cm="1">
        <f t="array" ref="CP181">SUMPRODUCT(TRANSPOSE(CP$4:CP$20),$G181:$W181)</f>
        <v>0</v>
      </c>
      <c r="CQ181" s="93" cm="1">
        <f t="array" ref="CQ181">SUMPRODUCT(TRANSPOSE(CQ$4:CQ$20),$G181:$W181)</f>
        <v>35</v>
      </c>
      <c r="CR181" s="93" cm="1">
        <f t="array" ref="CR181">SUMPRODUCT(TRANSPOSE(CR$4:CR$20),$G181:$W181)</f>
        <v>35</v>
      </c>
      <c r="CS181" s="93" cm="1">
        <f t="array" ref="CS181">SUMPRODUCT(TRANSPOSE(CS$4:CS$20),$G181:$W181)</f>
        <v>35</v>
      </c>
      <c r="CT181" s="93" cm="1">
        <f t="array" ref="CT181">SUMPRODUCT(TRANSPOSE(CT$4:CT$20),$G181:$W181)</f>
        <v>30</v>
      </c>
      <c r="CU181" s="93" cm="1">
        <f t="array" ref="CU181">SUMPRODUCT(TRANSPOSE(CU$4:CU$20),$G181:$W181)</f>
        <v>30</v>
      </c>
      <c r="CV181" s="93" cm="1">
        <f t="array" ref="CV181">SUMPRODUCT(TRANSPOSE(CV$4:CV$20),$G181:$W181)</f>
        <v>30</v>
      </c>
      <c r="CW181" s="93" cm="1">
        <f t="array" ref="CW181">SUMPRODUCT(TRANSPOSE(CW$4:CW$20),$G181:$W181)</f>
        <v>30</v>
      </c>
      <c r="CX181" s="93" cm="1">
        <f t="array" ref="CX181">SUMPRODUCT(TRANSPOSE(CX$4:CX$20),$G181:$W181)</f>
        <v>30</v>
      </c>
      <c r="CY181" s="93" cm="1">
        <f t="array" ref="CY181">SUMPRODUCT(TRANSPOSE(CY$4:CY$20),$G181:$W181)</f>
        <v>30</v>
      </c>
      <c r="CZ181" s="93" cm="1">
        <f t="array" ref="CZ181">SUMPRODUCT(TRANSPOSE(CZ$4:CZ$20),$G181:$W181)</f>
        <v>30</v>
      </c>
      <c r="DA181" s="93" cm="1">
        <f t="array" ref="DA181">SUMPRODUCT(TRANSPOSE(DA$4:DA$20),$G181:$W181)</f>
        <v>30</v>
      </c>
      <c r="DB181" s="93" cm="1">
        <f t="array" ref="DB181">SUMPRODUCT(TRANSPOSE(DB$4:DB$20),$G181:$W181)</f>
        <v>14</v>
      </c>
      <c r="DC181" s="93" cm="1">
        <f t="array" ref="DC181">SUMPRODUCT(TRANSPOSE(DC$4:DC$20),$G181:$W181)</f>
        <v>0</v>
      </c>
      <c r="DD181" s="93" cm="1">
        <f t="array" ref="DD181">SUMPRODUCT(TRANSPOSE(DD$4:DD$20),$G181:$W181)</f>
        <v>0</v>
      </c>
      <c r="DE181" s="93" cm="1">
        <f t="array" ref="DE181">SUMPRODUCT(TRANSPOSE(DE$4:DE$20),$G181:$W181)</f>
        <v>0</v>
      </c>
      <c r="DF181" s="93" cm="1">
        <f t="array" ref="DF181">SUMPRODUCT(TRANSPOSE(DF$4:DF$20),$G181:$W181)</f>
        <v>0</v>
      </c>
      <c r="DG181" s="93" cm="1">
        <f t="array" ref="DG181">SUMPRODUCT(TRANSPOSE(DG$4:DG$20),$G181:$W181)</f>
        <v>0</v>
      </c>
      <c r="DH181" s="93" cm="1">
        <f t="array" ref="DH181">SUMPRODUCT(TRANSPOSE(DH$4:DH$20),$G181:$W181)</f>
        <v>0</v>
      </c>
      <c r="DI181" s="93" cm="1">
        <f t="array" ref="DI181">SUMPRODUCT(TRANSPOSE(DI$4:DI$20),$G181:$W181)</f>
        <v>0</v>
      </c>
      <c r="DJ181" s="93" cm="1">
        <f t="array" ref="DJ181">SUMPRODUCT(TRANSPOSE(DJ$4:DJ$20),$G181:$W181)</f>
        <v>0</v>
      </c>
      <c r="DK181" s="93" cm="1">
        <f t="array" ref="DK181">SUMPRODUCT(TRANSPOSE(DK$4:DK$20),$G181:$W181)</f>
        <v>0</v>
      </c>
      <c r="DL181" s="93" cm="1">
        <f t="array" ref="DL181">SUMPRODUCT(TRANSPOSE(DL$4:DL$20),$G181:$W181)</f>
        <v>0</v>
      </c>
      <c r="DM181" s="93" cm="1">
        <f t="array" ref="DM181">SUMPRODUCT(TRANSPOSE(DM$4:DM$20),$G181:$W181)</f>
        <v>0</v>
      </c>
      <c r="DN181" s="93" cm="1">
        <f t="array" ref="DN181">SUMPRODUCT(TRANSPOSE(DN$4:DN$20),$G181:$W181)</f>
        <v>0</v>
      </c>
      <c r="DO181" s="93" cm="1">
        <f t="array" ref="DO181">SUMPRODUCT(TRANSPOSE(DO$4:DO$20),$G181:$W181)</f>
        <v>0</v>
      </c>
    </row>
    <row r="182" spans="1:119" x14ac:dyDescent="0.2">
      <c r="A182" s="45">
        <f t="shared" si="28"/>
        <v>161</v>
      </c>
      <c r="B182" s="46" t="s">
        <v>450</v>
      </c>
      <c r="C182" s="45">
        <v>401481543</v>
      </c>
      <c r="D182" s="45" t="s">
        <v>451</v>
      </c>
      <c r="E182" s="45" t="s">
        <v>162</v>
      </c>
      <c r="F182" s="48">
        <v>2</v>
      </c>
      <c r="G182" s="100">
        <v>0</v>
      </c>
      <c r="H182" s="100">
        <v>0</v>
      </c>
      <c r="I182" s="100">
        <v>0</v>
      </c>
      <c r="J182" s="100">
        <v>0</v>
      </c>
      <c r="K182" s="100">
        <v>0</v>
      </c>
      <c r="L182" s="100">
        <v>0</v>
      </c>
      <c r="M182" s="100">
        <v>0</v>
      </c>
      <c r="N182" s="100">
        <v>0</v>
      </c>
      <c r="O182" s="100">
        <v>0</v>
      </c>
      <c r="P182" s="100">
        <v>0</v>
      </c>
      <c r="Q182" s="100">
        <v>68</v>
      </c>
      <c r="R182" s="100">
        <v>0</v>
      </c>
      <c r="S182" s="100">
        <v>0</v>
      </c>
      <c r="T182" s="100">
        <v>0</v>
      </c>
      <c r="U182" s="100">
        <v>68</v>
      </c>
      <c r="V182" s="100">
        <v>0</v>
      </c>
      <c r="W182" s="100">
        <v>0</v>
      </c>
      <c r="X182" s="45" t="s">
        <v>61</v>
      </c>
      <c r="Y182" s="49">
        <v>4.0000000000000001E-3</v>
      </c>
      <c r="Z182" s="45">
        <v>80000</v>
      </c>
      <c r="AA182" s="45">
        <v>0</v>
      </c>
      <c r="AB182" s="45">
        <v>0</v>
      </c>
      <c r="AC182" s="45">
        <v>0</v>
      </c>
      <c r="AD182" s="45">
        <v>0</v>
      </c>
      <c r="AE182" s="45">
        <v>0</v>
      </c>
      <c r="AF182" s="45">
        <v>0</v>
      </c>
      <c r="AG182" s="45">
        <v>0</v>
      </c>
      <c r="AH182" s="45">
        <v>0</v>
      </c>
      <c r="AI182" s="45">
        <v>0</v>
      </c>
      <c r="AJ182" s="45">
        <v>0</v>
      </c>
      <c r="AK182" s="45">
        <v>0</v>
      </c>
      <c r="AL182" s="45">
        <v>0</v>
      </c>
      <c r="AM182" s="45">
        <v>0</v>
      </c>
      <c r="AN182" s="45">
        <v>0</v>
      </c>
      <c r="AO182" s="45"/>
      <c r="AP182" s="45"/>
      <c r="AQ182" s="45"/>
      <c r="AR182" s="45"/>
      <c r="AS182" s="45"/>
      <c r="AT182" s="45"/>
      <c r="AU182" s="45"/>
      <c r="AV182" s="45"/>
      <c r="AW182" s="45"/>
      <c r="AX182" s="45"/>
      <c r="AY182" s="45"/>
      <c r="AZ182" s="45"/>
      <c r="BA182" s="45"/>
      <c r="BB182" s="45"/>
      <c r="BC182" s="45"/>
      <c r="BD182" s="93"/>
      <c r="BE182" s="93"/>
      <c r="BF182" s="93"/>
      <c r="BG182" s="93"/>
      <c r="BH182" s="93"/>
      <c r="BI182" s="93"/>
      <c r="BJ182" s="93"/>
      <c r="BK182" s="93">
        <f>SUM($Z182:AD182)-SUM($CM182:CQ182)</f>
        <v>74696</v>
      </c>
      <c r="BL182" s="93">
        <f>SUM($Z182:AE182)-SUM($CM182:CR182)</f>
        <v>69936</v>
      </c>
      <c r="BM182" s="93">
        <f>SUM($Z182:AF182)-SUM($CM182:CS182)</f>
        <v>65516</v>
      </c>
      <c r="BN182" s="93">
        <f>SUM($Z182:AG182)-SUM($CM182:CT182)</f>
        <v>61436</v>
      </c>
      <c r="BO182" s="93">
        <f>SUM($Z182:AH182)-SUM($CM182:CU182)</f>
        <v>57356</v>
      </c>
      <c r="BP182" s="93">
        <f>SUM($Z182:AI182)-SUM($CM182:CV182)</f>
        <v>53276</v>
      </c>
      <c r="BQ182" s="93">
        <f>SUM($Z182:AJ182)-SUM($CM182:CW182)</f>
        <v>49196</v>
      </c>
      <c r="BR182" s="93">
        <f>SUM($Z182:AK182)-SUM($CM182:CX182)</f>
        <v>45116</v>
      </c>
      <c r="BS182" s="93">
        <f>SUM($Z182:AL182)-SUM($CM182:CY182)</f>
        <v>41036</v>
      </c>
      <c r="BT182" s="93">
        <f>SUM($Z182:AM182)-SUM($CM182:CZ182)</f>
        <v>36956</v>
      </c>
      <c r="BU182" s="93">
        <f>SUM($Z182:AN182)-SUM($CM182:DA182)</f>
        <v>32876</v>
      </c>
      <c r="BV182" s="93">
        <f>SUM($Z182:AO182)-SUM($CM182:DB182)</f>
        <v>31924</v>
      </c>
      <c r="BW182" s="93">
        <f>SUM($Z182:AP182)-SUM($CM182:DC182)</f>
        <v>31924</v>
      </c>
      <c r="BX182" s="93">
        <f>SUM($Z182:AQ182)-SUM($CM182:DD182)</f>
        <v>31924</v>
      </c>
      <c r="BY182" s="93">
        <f>SUM($Z182:AR182)-SUM($CM182:DE182)</f>
        <v>31924</v>
      </c>
      <c r="BZ182" s="93">
        <f>SUM($Z182:AS182)-SUM($CM182:DF182)</f>
        <v>31924</v>
      </c>
      <c r="CA182" s="93">
        <f>SUM($Z182:AT182)-SUM($CM182:DG182)</f>
        <v>31924</v>
      </c>
      <c r="CB182" s="93">
        <f>SUM($Z182:AU182)-SUM($CM182:DH182)</f>
        <v>31924</v>
      </c>
      <c r="CC182" s="93">
        <f>SUM($Z182:AV182)-SUM($CM182:DI182)</f>
        <v>31924</v>
      </c>
      <c r="CD182" s="93">
        <f>SUM($Z182:AW182)-SUM($CM182:DJ182)</f>
        <v>31924</v>
      </c>
      <c r="CE182" s="93">
        <f>SUM($Z182:AX182)-SUM($CM182:DK182)</f>
        <v>31924</v>
      </c>
      <c r="CF182" s="93">
        <f>SUM($Z182:AY182)-SUM($CM182:DL182)</f>
        <v>31924</v>
      </c>
      <c r="CG182" s="93">
        <f>SUM($Z182:AZ182)-SUM($CM182:DM182)</f>
        <v>31924</v>
      </c>
      <c r="CH182" s="93">
        <f>SUM($Z182:BA182)-SUM($CM182:DN182)</f>
        <v>31924</v>
      </c>
      <c r="CI182" s="93">
        <f>SUM($Z182:BB182)-SUM($CM182:DO182)</f>
        <v>31924</v>
      </c>
      <c r="CJ182" s="93"/>
      <c r="CK182" s="93"/>
      <c r="CL182" s="93"/>
      <c r="CM182" s="93"/>
      <c r="CN182" s="93" cm="1">
        <f t="array" ref="CN182">SUMPRODUCT(TRANSPOSE(CN$4:CN$20),$G182:$W182)</f>
        <v>0</v>
      </c>
      <c r="CO182" s="93" cm="1">
        <f t="array" ref="CO182">SUMPRODUCT(TRANSPOSE(CO$4:CO$20),$G182:$W182)</f>
        <v>0</v>
      </c>
      <c r="CP182" s="93" cm="1">
        <f t="array" ref="CP182">SUMPRODUCT(TRANSPOSE(CP$4:CP$20),$G182:$W182)</f>
        <v>0</v>
      </c>
      <c r="CQ182" s="93" cm="1">
        <f t="array" ref="CQ182">SUMPRODUCT(TRANSPOSE(CQ$4:CQ$20),$G182:$W182)</f>
        <v>5304</v>
      </c>
      <c r="CR182" s="93" cm="1">
        <f t="array" ref="CR182">SUMPRODUCT(TRANSPOSE(CR$4:CR$20),$G182:$W182)</f>
        <v>4760</v>
      </c>
      <c r="CS182" s="93" cm="1">
        <f t="array" ref="CS182">SUMPRODUCT(TRANSPOSE(CS$4:CS$20),$G182:$W182)</f>
        <v>4420</v>
      </c>
      <c r="CT182" s="93" cm="1">
        <f t="array" ref="CT182">SUMPRODUCT(TRANSPOSE(CT$4:CT$20),$G182:$W182)</f>
        <v>4080</v>
      </c>
      <c r="CU182" s="93" cm="1">
        <f t="array" ref="CU182">SUMPRODUCT(TRANSPOSE(CU$4:CU$20),$G182:$W182)</f>
        <v>4080</v>
      </c>
      <c r="CV182" s="93" cm="1">
        <f t="array" ref="CV182">SUMPRODUCT(TRANSPOSE(CV$4:CV$20),$G182:$W182)</f>
        <v>4080</v>
      </c>
      <c r="CW182" s="93" cm="1">
        <f t="array" ref="CW182">SUMPRODUCT(TRANSPOSE(CW$4:CW$20),$G182:$W182)</f>
        <v>4080</v>
      </c>
      <c r="CX182" s="93" cm="1">
        <f t="array" ref="CX182">SUMPRODUCT(TRANSPOSE(CX$4:CX$20),$G182:$W182)</f>
        <v>4080</v>
      </c>
      <c r="CY182" s="93" cm="1">
        <f t="array" ref="CY182">SUMPRODUCT(TRANSPOSE(CY$4:CY$20),$G182:$W182)</f>
        <v>4080</v>
      </c>
      <c r="CZ182" s="93" cm="1">
        <f t="array" ref="CZ182">SUMPRODUCT(TRANSPOSE(CZ$4:CZ$20),$G182:$W182)</f>
        <v>4080</v>
      </c>
      <c r="DA182" s="93" cm="1">
        <f t="array" ref="DA182">SUMPRODUCT(TRANSPOSE(DA$4:DA$20),$G182:$W182)</f>
        <v>4080</v>
      </c>
      <c r="DB182" s="93" cm="1">
        <f t="array" ref="DB182">SUMPRODUCT(TRANSPOSE(DB$4:DB$20),$G182:$W182)</f>
        <v>952</v>
      </c>
      <c r="DC182" s="93" cm="1">
        <f t="array" ref="DC182">SUMPRODUCT(TRANSPOSE(DC$4:DC$20),$G182:$W182)</f>
        <v>0</v>
      </c>
      <c r="DD182" s="93" cm="1">
        <f t="array" ref="DD182">SUMPRODUCT(TRANSPOSE(DD$4:DD$20),$G182:$W182)</f>
        <v>0</v>
      </c>
      <c r="DE182" s="93" cm="1">
        <f t="array" ref="DE182">SUMPRODUCT(TRANSPOSE(DE$4:DE$20),$G182:$W182)</f>
        <v>0</v>
      </c>
      <c r="DF182" s="93" cm="1">
        <f t="array" ref="DF182">SUMPRODUCT(TRANSPOSE(DF$4:DF$20),$G182:$W182)</f>
        <v>0</v>
      </c>
      <c r="DG182" s="93" cm="1">
        <f t="array" ref="DG182">SUMPRODUCT(TRANSPOSE(DG$4:DG$20),$G182:$W182)</f>
        <v>0</v>
      </c>
      <c r="DH182" s="93" cm="1">
        <f t="array" ref="DH182">SUMPRODUCT(TRANSPOSE(DH$4:DH$20),$G182:$W182)</f>
        <v>0</v>
      </c>
      <c r="DI182" s="93" cm="1">
        <f t="array" ref="DI182">SUMPRODUCT(TRANSPOSE(DI$4:DI$20),$G182:$W182)</f>
        <v>0</v>
      </c>
      <c r="DJ182" s="93" cm="1">
        <f t="array" ref="DJ182">SUMPRODUCT(TRANSPOSE(DJ$4:DJ$20),$G182:$W182)</f>
        <v>0</v>
      </c>
      <c r="DK182" s="93" cm="1">
        <f t="array" ref="DK182">SUMPRODUCT(TRANSPOSE(DK$4:DK$20),$G182:$W182)</f>
        <v>0</v>
      </c>
      <c r="DL182" s="93" cm="1">
        <f t="array" ref="DL182">SUMPRODUCT(TRANSPOSE(DL$4:DL$20),$G182:$W182)</f>
        <v>0</v>
      </c>
      <c r="DM182" s="93" cm="1">
        <f t="array" ref="DM182">SUMPRODUCT(TRANSPOSE(DM$4:DM$20),$G182:$W182)</f>
        <v>0</v>
      </c>
      <c r="DN182" s="93" cm="1">
        <f t="array" ref="DN182">SUMPRODUCT(TRANSPOSE(DN$4:DN$20),$G182:$W182)</f>
        <v>0</v>
      </c>
      <c r="DO182" s="93" cm="1">
        <f t="array" ref="DO182">SUMPRODUCT(TRANSPOSE(DO$4:DO$20),$G182:$W182)</f>
        <v>0</v>
      </c>
    </row>
    <row r="183" spans="1:119" x14ac:dyDescent="0.2">
      <c r="A183" s="45">
        <f t="shared" si="28"/>
        <v>162</v>
      </c>
      <c r="B183" s="46" t="s">
        <v>452</v>
      </c>
      <c r="C183" s="45">
        <v>405295603</v>
      </c>
      <c r="D183" s="45" t="s">
        <v>453</v>
      </c>
      <c r="E183" s="45" t="s">
        <v>162</v>
      </c>
      <c r="F183" s="48">
        <v>2</v>
      </c>
      <c r="G183" s="100">
        <v>0</v>
      </c>
      <c r="H183" s="100">
        <v>0</v>
      </c>
      <c r="I183" s="100">
        <v>0</v>
      </c>
      <c r="J183" s="100">
        <v>0</v>
      </c>
      <c r="K183" s="100">
        <v>0</v>
      </c>
      <c r="L183" s="100">
        <v>0</v>
      </c>
      <c r="M183" s="100">
        <v>0</v>
      </c>
      <c r="N183" s="100">
        <v>0</v>
      </c>
      <c r="O183" s="100">
        <v>0</v>
      </c>
      <c r="P183" s="100">
        <v>0</v>
      </c>
      <c r="Q183" s="100">
        <v>136</v>
      </c>
      <c r="R183" s="100">
        <v>0</v>
      </c>
      <c r="S183" s="100">
        <v>0</v>
      </c>
      <c r="T183" s="100">
        <v>0</v>
      </c>
      <c r="U183" s="100">
        <v>0</v>
      </c>
      <c r="V183" s="100">
        <v>0</v>
      </c>
      <c r="W183" s="100">
        <v>0</v>
      </c>
      <c r="X183" s="45" t="s">
        <v>61</v>
      </c>
      <c r="Y183" s="49">
        <v>4.0000000000000001E-3</v>
      </c>
      <c r="Z183" s="45">
        <v>150000</v>
      </c>
      <c r="AA183" s="45">
        <v>0</v>
      </c>
      <c r="AB183" s="45">
        <v>0</v>
      </c>
      <c r="AC183" s="45">
        <v>0</v>
      </c>
      <c r="AD183" s="45">
        <v>0</v>
      </c>
      <c r="AE183" s="45">
        <v>0</v>
      </c>
      <c r="AF183" s="45">
        <v>0</v>
      </c>
      <c r="AG183" s="45">
        <v>0</v>
      </c>
      <c r="AH183" s="45">
        <v>0</v>
      </c>
      <c r="AI183" s="45">
        <v>0</v>
      </c>
      <c r="AJ183" s="45">
        <v>0</v>
      </c>
      <c r="AK183" s="45">
        <v>0</v>
      </c>
      <c r="AL183" s="45">
        <v>0</v>
      </c>
      <c r="AM183" s="45">
        <v>0</v>
      </c>
      <c r="AN183" s="45">
        <v>0</v>
      </c>
      <c r="AO183" s="45"/>
      <c r="AP183" s="45"/>
      <c r="AQ183" s="45"/>
      <c r="AR183" s="45"/>
      <c r="AS183" s="45"/>
      <c r="AT183" s="45"/>
      <c r="AU183" s="45"/>
      <c r="AV183" s="45"/>
      <c r="AW183" s="45"/>
      <c r="AX183" s="45"/>
      <c r="AY183" s="45"/>
      <c r="AZ183" s="45"/>
      <c r="BA183" s="45"/>
      <c r="BB183" s="45"/>
      <c r="BC183" s="45"/>
      <c r="BD183" s="93"/>
      <c r="BE183" s="93"/>
      <c r="BF183" s="93"/>
      <c r="BG183" s="93"/>
      <c r="BH183" s="93"/>
      <c r="BI183" s="93"/>
      <c r="BJ183" s="93"/>
      <c r="BK183" s="93">
        <f>SUM($Z183:AD183)-SUM($CM183:CQ183)</f>
        <v>145240</v>
      </c>
      <c r="BL183" s="93">
        <f>SUM($Z183:AE183)-SUM($CM183:CR183)</f>
        <v>140480</v>
      </c>
      <c r="BM183" s="93">
        <f>SUM($Z183:AF183)-SUM($CM183:CS183)</f>
        <v>135720</v>
      </c>
      <c r="BN183" s="93">
        <f>SUM($Z183:AG183)-SUM($CM183:CT183)</f>
        <v>131640</v>
      </c>
      <c r="BO183" s="93">
        <f>SUM($Z183:AH183)-SUM($CM183:CU183)</f>
        <v>127560</v>
      </c>
      <c r="BP183" s="93">
        <f>SUM($Z183:AI183)-SUM($CM183:CV183)</f>
        <v>123480</v>
      </c>
      <c r="BQ183" s="93">
        <f>SUM($Z183:AJ183)-SUM($CM183:CW183)</f>
        <v>119400</v>
      </c>
      <c r="BR183" s="93">
        <f>SUM($Z183:AK183)-SUM($CM183:CX183)</f>
        <v>115320</v>
      </c>
      <c r="BS183" s="93">
        <f>SUM($Z183:AL183)-SUM($CM183:CY183)</f>
        <v>111240</v>
      </c>
      <c r="BT183" s="93">
        <f>SUM($Z183:AM183)-SUM($CM183:CZ183)</f>
        <v>107160</v>
      </c>
      <c r="BU183" s="93">
        <f>SUM($Z183:AN183)-SUM($CM183:DA183)</f>
        <v>103080</v>
      </c>
      <c r="BV183" s="93">
        <f>SUM($Z183:AO183)-SUM($CM183:DB183)</f>
        <v>101176</v>
      </c>
      <c r="BW183" s="93">
        <f>SUM($Z183:AP183)-SUM($CM183:DC183)</f>
        <v>101176</v>
      </c>
      <c r="BX183" s="93">
        <f>SUM($Z183:AQ183)-SUM($CM183:DD183)</f>
        <v>101176</v>
      </c>
      <c r="BY183" s="93">
        <f>SUM($Z183:AR183)-SUM($CM183:DE183)</f>
        <v>101176</v>
      </c>
      <c r="BZ183" s="93">
        <f>SUM($Z183:AS183)-SUM($CM183:DF183)</f>
        <v>101176</v>
      </c>
      <c r="CA183" s="93">
        <f>SUM($Z183:AT183)-SUM($CM183:DG183)</f>
        <v>101176</v>
      </c>
      <c r="CB183" s="93">
        <f>SUM($Z183:AU183)-SUM($CM183:DH183)</f>
        <v>101176</v>
      </c>
      <c r="CC183" s="93">
        <f>SUM($Z183:AV183)-SUM($CM183:DI183)</f>
        <v>101176</v>
      </c>
      <c r="CD183" s="93">
        <f>SUM($Z183:AW183)-SUM($CM183:DJ183)</f>
        <v>101176</v>
      </c>
      <c r="CE183" s="93">
        <f>SUM($Z183:AX183)-SUM($CM183:DK183)</f>
        <v>101176</v>
      </c>
      <c r="CF183" s="93">
        <f>SUM($Z183:AY183)-SUM($CM183:DL183)</f>
        <v>101176</v>
      </c>
      <c r="CG183" s="93">
        <f>SUM($Z183:AZ183)-SUM($CM183:DM183)</f>
        <v>101176</v>
      </c>
      <c r="CH183" s="93">
        <f>SUM($Z183:BA183)-SUM($CM183:DN183)</f>
        <v>101176</v>
      </c>
      <c r="CI183" s="93">
        <f>SUM($Z183:BB183)-SUM($CM183:DO183)</f>
        <v>101176</v>
      </c>
      <c r="CJ183" s="93"/>
      <c r="CK183" s="93"/>
      <c r="CL183" s="93"/>
      <c r="CM183" s="93"/>
      <c r="CN183" s="93" cm="1">
        <f t="array" ref="CN183">SUMPRODUCT(TRANSPOSE(CN$4:CN$20),$G183:$W183)</f>
        <v>0</v>
      </c>
      <c r="CO183" s="93" cm="1">
        <f t="array" ref="CO183">SUMPRODUCT(TRANSPOSE(CO$4:CO$20),$G183:$W183)</f>
        <v>0</v>
      </c>
      <c r="CP183" s="93" cm="1">
        <f t="array" ref="CP183">SUMPRODUCT(TRANSPOSE(CP$4:CP$20),$G183:$W183)</f>
        <v>0</v>
      </c>
      <c r="CQ183" s="93" cm="1">
        <f t="array" ref="CQ183">SUMPRODUCT(TRANSPOSE(CQ$4:CQ$20),$G183:$W183)</f>
        <v>4760</v>
      </c>
      <c r="CR183" s="93" cm="1">
        <f t="array" ref="CR183">SUMPRODUCT(TRANSPOSE(CR$4:CR$20),$G183:$W183)</f>
        <v>4760</v>
      </c>
      <c r="CS183" s="93" cm="1">
        <f t="array" ref="CS183">SUMPRODUCT(TRANSPOSE(CS$4:CS$20),$G183:$W183)</f>
        <v>4760</v>
      </c>
      <c r="CT183" s="93" cm="1">
        <f t="array" ref="CT183">SUMPRODUCT(TRANSPOSE(CT$4:CT$20),$G183:$W183)</f>
        <v>4080</v>
      </c>
      <c r="CU183" s="93" cm="1">
        <f t="array" ref="CU183">SUMPRODUCT(TRANSPOSE(CU$4:CU$20),$G183:$W183)</f>
        <v>4080</v>
      </c>
      <c r="CV183" s="93" cm="1">
        <f t="array" ref="CV183">SUMPRODUCT(TRANSPOSE(CV$4:CV$20),$G183:$W183)</f>
        <v>4080</v>
      </c>
      <c r="CW183" s="93" cm="1">
        <f t="array" ref="CW183">SUMPRODUCT(TRANSPOSE(CW$4:CW$20),$G183:$W183)</f>
        <v>4080</v>
      </c>
      <c r="CX183" s="93" cm="1">
        <f t="array" ref="CX183">SUMPRODUCT(TRANSPOSE(CX$4:CX$20),$G183:$W183)</f>
        <v>4080</v>
      </c>
      <c r="CY183" s="93" cm="1">
        <f t="array" ref="CY183">SUMPRODUCT(TRANSPOSE(CY$4:CY$20),$G183:$W183)</f>
        <v>4080</v>
      </c>
      <c r="CZ183" s="93" cm="1">
        <f t="array" ref="CZ183">SUMPRODUCT(TRANSPOSE(CZ$4:CZ$20),$G183:$W183)</f>
        <v>4080</v>
      </c>
      <c r="DA183" s="93" cm="1">
        <f t="array" ref="DA183">SUMPRODUCT(TRANSPOSE(DA$4:DA$20),$G183:$W183)</f>
        <v>4080</v>
      </c>
      <c r="DB183" s="93" cm="1">
        <f t="array" ref="DB183">SUMPRODUCT(TRANSPOSE(DB$4:DB$20),$G183:$W183)</f>
        <v>1904</v>
      </c>
      <c r="DC183" s="93" cm="1">
        <f t="array" ref="DC183">SUMPRODUCT(TRANSPOSE(DC$4:DC$20),$G183:$W183)</f>
        <v>0</v>
      </c>
      <c r="DD183" s="93" cm="1">
        <f t="array" ref="DD183">SUMPRODUCT(TRANSPOSE(DD$4:DD$20),$G183:$W183)</f>
        <v>0</v>
      </c>
      <c r="DE183" s="93" cm="1">
        <f t="array" ref="DE183">SUMPRODUCT(TRANSPOSE(DE$4:DE$20),$G183:$W183)</f>
        <v>0</v>
      </c>
      <c r="DF183" s="93" cm="1">
        <f t="array" ref="DF183">SUMPRODUCT(TRANSPOSE(DF$4:DF$20),$G183:$W183)</f>
        <v>0</v>
      </c>
      <c r="DG183" s="93" cm="1">
        <f t="array" ref="DG183">SUMPRODUCT(TRANSPOSE(DG$4:DG$20),$G183:$W183)</f>
        <v>0</v>
      </c>
      <c r="DH183" s="93" cm="1">
        <f t="array" ref="DH183">SUMPRODUCT(TRANSPOSE(DH$4:DH$20),$G183:$W183)</f>
        <v>0</v>
      </c>
      <c r="DI183" s="93" cm="1">
        <f t="array" ref="DI183">SUMPRODUCT(TRANSPOSE(DI$4:DI$20),$G183:$W183)</f>
        <v>0</v>
      </c>
      <c r="DJ183" s="93" cm="1">
        <f t="array" ref="DJ183">SUMPRODUCT(TRANSPOSE(DJ$4:DJ$20),$G183:$W183)</f>
        <v>0</v>
      </c>
      <c r="DK183" s="93" cm="1">
        <f t="array" ref="DK183">SUMPRODUCT(TRANSPOSE(DK$4:DK$20),$G183:$W183)</f>
        <v>0</v>
      </c>
      <c r="DL183" s="93" cm="1">
        <f t="array" ref="DL183">SUMPRODUCT(TRANSPOSE(DL$4:DL$20),$G183:$W183)</f>
        <v>0</v>
      </c>
      <c r="DM183" s="93" cm="1">
        <f t="array" ref="DM183">SUMPRODUCT(TRANSPOSE(DM$4:DM$20),$G183:$W183)</f>
        <v>0</v>
      </c>
      <c r="DN183" s="93" cm="1">
        <f t="array" ref="DN183">SUMPRODUCT(TRANSPOSE(DN$4:DN$20),$G183:$W183)</f>
        <v>0</v>
      </c>
      <c r="DO183" s="93" cm="1">
        <f t="array" ref="DO183">SUMPRODUCT(TRANSPOSE(DO$4:DO$20),$G183:$W183)</f>
        <v>0</v>
      </c>
    </row>
    <row r="184" spans="1:119" x14ac:dyDescent="0.2">
      <c r="A184" s="45">
        <f t="shared" si="28"/>
        <v>163</v>
      </c>
      <c r="B184" s="46" t="s">
        <v>454</v>
      </c>
      <c r="C184" s="45">
        <v>401053359</v>
      </c>
      <c r="D184" s="45" t="s">
        <v>455</v>
      </c>
      <c r="E184" s="45" t="s">
        <v>162</v>
      </c>
      <c r="F184" s="48">
        <v>2</v>
      </c>
      <c r="G184" s="100">
        <v>0</v>
      </c>
      <c r="H184" s="100">
        <v>0</v>
      </c>
      <c r="I184" s="100">
        <v>0</v>
      </c>
      <c r="J184" s="100">
        <v>0</v>
      </c>
      <c r="K184" s="100">
        <v>0</v>
      </c>
      <c r="L184" s="100">
        <v>0</v>
      </c>
      <c r="M184" s="100">
        <v>0</v>
      </c>
      <c r="N184" s="100">
        <v>0</v>
      </c>
      <c r="O184" s="100">
        <v>0</v>
      </c>
      <c r="P184" s="100">
        <v>0</v>
      </c>
      <c r="Q184" s="100">
        <v>68</v>
      </c>
      <c r="R184" s="100">
        <v>10</v>
      </c>
      <c r="S184" s="100">
        <v>0</v>
      </c>
      <c r="T184" s="100">
        <v>0</v>
      </c>
      <c r="U184" s="100">
        <v>68</v>
      </c>
      <c r="V184" s="100">
        <v>10</v>
      </c>
      <c r="W184" s="100">
        <v>0</v>
      </c>
      <c r="X184" s="45" t="s">
        <v>61</v>
      </c>
      <c r="Y184" s="49">
        <v>4.0000000000000001E-3</v>
      </c>
      <c r="Z184" s="45">
        <v>90000</v>
      </c>
      <c r="AA184" s="45">
        <v>0</v>
      </c>
      <c r="AB184" s="45">
        <v>0</v>
      </c>
      <c r="AC184" s="45">
        <v>0</v>
      </c>
      <c r="AD184" s="45">
        <v>0</v>
      </c>
      <c r="AE184" s="45">
        <v>0</v>
      </c>
      <c r="AF184" s="45">
        <v>0</v>
      </c>
      <c r="AG184" s="45">
        <v>0</v>
      </c>
      <c r="AH184" s="45">
        <v>0</v>
      </c>
      <c r="AI184" s="45">
        <v>0</v>
      </c>
      <c r="AJ184" s="45">
        <v>0</v>
      </c>
      <c r="AK184" s="45">
        <v>0</v>
      </c>
      <c r="AL184" s="45">
        <v>0</v>
      </c>
      <c r="AM184" s="45">
        <v>0</v>
      </c>
      <c r="AN184" s="45">
        <v>0</v>
      </c>
      <c r="AO184" s="45"/>
      <c r="AP184" s="45"/>
      <c r="AQ184" s="45"/>
      <c r="AR184" s="45"/>
      <c r="AS184" s="45"/>
      <c r="AT184" s="45"/>
      <c r="AU184" s="45"/>
      <c r="AV184" s="45"/>
      <c r="AW184" s="45"/>
      <c r="AX184" s="45"/>
      <c r="AY184" s="45"/>
      <c r="AZ184" s="45"/>
      <c r="BA184" s="45"/>
      <c r="BB184" s="45"/>
      <c r="BC184" s="45"/>
      <c r="BD184" s="93"/>
      <c r="BE184" s="93"/>
      <c r="BF184" s="93"/>
      <c r="BG184" s="93"/>
      <c r="BH184" s="93"/>
      <c r="BI184" s="93"/>
      <c r="BJ184" s="93"/>
      <c r="BK184" s="93">
        <f>SUM($Z184:AD184)-SUM($CM184:CQ184)</f>
        <v>83996</v>
      </c>
      <c r="BL184" s="93">
        <f>SUM($Z184:AE184)-SUM($CM184:CR184)</f>
        <v>78536</v>
      </c>
      <c r="BM184" s="93">
        <f>SUM($Z184:AF184)-SUM($CM184:CS184)</f>
        <v>73416</v>
      </c>
      <c r="BN184" s="93">
        <f>SUM($Z184:AG184)-SUM($CM184:CT184)</f>
        <v>68636</v>
      </c>
      <c r="BO184" s="93">
        <f>SUM($Z184:AH184)-SUM($CM184:CU184)</f>
        <v>63856</v>
      </c>
      <c r="BP184" s="93">
        <f>SUM($Z184:AI184)-SUM($CM184:CV184)</f>
        <v>59076</v>
      </c>
      <c r="BQ184" s="93">
        <f>SUM($Z184:AJ184)-SUM($CM184:CW184)</f>
        <v>54296</v>
      </c>
      <c r="BR184" s="93">
        <f>SUM($Z184:AK184)-SUM($CM184:CX184)</f>
        <v>49516</v>
      </c>
      <c r="BS184" s="93">
        <f>SUM($Z184:AL184)-SUM($CM184:CY184)</f>
        <v>44736</v>
      </c>
      <c r="BT184" s="93">
        <f>SUM($Z184:AM184)-SUM($CM184:CZ184)</f>
        <v>40306</v>
      </c>
      <c r="BU184" s="93">
        <f>SUM($Z184:AN184)-SUM($CM184:DA184)</f>
        <v>36226</v>
      </c>
      <c r="BV184" s="93">
        <f>SUM($Z184:AO184)-SUM($CM184:DB184)</f>
        <v>35274</v>
      </c>
      <c r="BW184" s="93">
        <f>SUM($Z184:AP184)-SUM($CM184:DC184)</f>
        <v>35274</v>
      </c>
      <c r="BX184" s="93">
        <f>SUM($Z184:AQ184)-SUM($CM184:DD184)</f>
        <v>35274</v>
      </c>
      <c r="BY184" s="93">
        <f>SUM($Z184:AR184)-SUM($CM184:DE184)</f>
        <v>35274</v>
      </c>
      <c r="BZ184" s="93">
        <f>SUM($Z184:AS184)-SUM($CM184:DF184)</f>
        <v>35274</v>
      </c>
      <c r="CA184" s="93">
        <f>SUM($Z184:AT184)-SUM($CM184:DG184)</f>
        <v>35274</v>
      </c>
      <c r="CB184" s="93">
        <f>SUM($Z184:AU184)-SUM($CM184:DH184)</f>
        <v>35274</v>
      </c>
      <c r="CC184" s="93">
        <f>SUM($Z184:AV184)-SUM($CM184:DI184)</f>
        <v>35274</v>
      </c>
      <c r="CD184" s="93">
        <f>SUM($Z184:AW184)-SUM($CM184:DJ184)</f>
        <v>35274</v>
      </c>
      <c r="CE184" s="93">
        <f>SUM($Z184:AX184)-SUM($CM184:DK184)</f>
        <v>35274</v>
      </c>
      <c r="CF184" s="93">
        <f>SUM($Z184:AY184)-SUM($CM184:DL184)</f>
        <v>35274</v>
      </c>
      <c r="CG184" s="93">
        <f>SUM($Z184:AZ184)-SUM($CM184:DM184)</f>
        <v>35274</v>
      </c>
      <c r="CH184" s="93">
        <f>SUM($Z184:BA184)-SUM($CM184:DN184)</f>
        <v>35274</v>
      </c>
      <c r="CI184" s="93">
        <f>SUM($Z184:BB184)-SUM($CM184:DO184)</f>
        <v>35274</v>
      </c>
      <c r="CJ184" s="93"/>
      <c r="CK184" s="93"/>
      <c r="CL184" s="93"/>
      <c r="CM184" s="93"/>
      <c r="CN184" s="93" cm="1">
        <f t="array" ref="CN184">SUMPRODUCT(TRANSPOSE(CN$4:CN$20),$G184:$W184)</f>
        <v>0</v>
      </c>
      <c r="CO184" s="93" cm="1">
        <f t="array" ref="CO184">SUMPRODUCT(TRANSPOSE(CO$4:CO$20),$G184:$W184)</f>
        <v>0</v>
      </c>
      <c r="CP184" s="93" cm="1">
        <f t="array" ref="CP184">SUMPRODUCT(TRANSPOSE(CP$4:CP$20),$G184:$W184)</f>
        <v>0</v>
      </c>
      <c r="CQ184" s="93" cm="1">
        <f t="array" ref="CQ184">SUMPRODUCT(TRANSPOSE(CQ$4:CQ$20),$G184:$W184)</f>
        <v>6004</v>
      </c>
      <c r="CR184" s="93" cm="1">
        <f t="array" ref="CR184">SUMPRODUCT(TRANSPOSE(CR$4:CR$20),$G184:$W184)</f>
        <v>5460</v>
      </c>
      <c r="CS184" s="93" cm="1">
        <f t="array" ref="CS184">SUMPRODUCT(TRANSPOSE(CS$4:CS$20),$G184:$W184)</f>
        <v>5120</v>
      </c>
      <c r="CT184" s="93" cm="1">
        <f t="array" ref="CT184">SUMPRODUCT(TRANSPOSE(CT$4:CT$20),$G184:$W184)</f>
        <v>4780</v>
      </c>
      <c r="CU184" s="93" cm="1">
        <f t="array" ref="CU184">SUMPRODUCT(TRANSPOSE(CU$4:CU$20),$G184:$W184)</f>
        <v>4780</v>
      </c>
      <c r="CV184" s="93" cm="1">
        <f t="array" ref="CV184">SUMPRODUCT(TRANSPOSE(CV$4:CV$20),$G184:$W184)</f>
        <v>4780</v>
      </c>
      <c r="CW184" s="93" cm="1">
        <f t="array" ref="CW184">SUMPRODUCT(TRANSPOSE(CW$4:CW$20),$G184:$W184)</f>
        <v>4780</v>
      </c>
      <c r="CX184" s="93" cm="1">
        <f t="array" ref="CX184">SUMPRODUCT(TRANSPOSE(CX$4:CX$20),$G184:$W184)</f>
        <v>4780</v>
      </c>
      <c r="CY184" s="93" cm="1">
        <f t="array" ref="CY184">SUMPRODUCT(TRANSPOSE(CY$4:CY$20),$G184:$W184)</f>
        <v>4780</v>
      </c>
      <c r="CZ184" s="93" cm="1">
        <f t="array" ref="CZ184">SUMPRODUCT(TRANSPOSE(CZ$4:CZ$20),$G184:$W184)</f>
        <v>4430</v>
      </c>
      <c r="DA184" s="93" cm="1">
        <f t="array" ref="DA184">SUMPRODUCT(TRANSPOSE(DA$4:DA$20),$G184:$W184)</f>
        <v>4080</v>
      </c>
      <c r="DB184" s="93" cm="1">
        <f t="array" ref="DB184">SUMPRODUCT(TRANSPOSE(DB$4:DB$20),$G184:$W184)</f>
        <v>952</v>
      </c>
      <c r="DC184" s="93" cm="1">
        <f t="array" ref="DC184">SUMPRODUCT(TRANSPOSE(DC$4:DC$20),$G184:$W184)</f>
        <v>0</v>
      </c>
      <c r="DD184" s="93" cm="1">
        <f t="array" ref="DD184">SUMPRODUCT(TRANSPOSE(DD$4:DD$20),$G184:$W184)</f>
        <v>0</v>
      </c>
      <c r="DE184" s="93" cm="1">
        <f t="array" ref="DE184">SUMPRODUCT(TRANSPOSE(DE$4:DE$20),$G184:$W184)</f>
        <v>0</v>
      </c>
      <c r="DF184" s="93" cm="1">
        <f t="array" ref="DF184">SUMPRODUCT(TRANSPOSE(DF$4:DF$20),$G184:$W184)</f>
        <v>0</v>
      </c>
      <c r="DG184" s="93" cm="1">
        <f t="array" ref="DG184">SUMPRODUCT(TRANSPOSE(DG$4:DG$20),$G184:$W184)</f>
        <v>0</v>
      </c>
      <c r="DH184" s="93" cm="1">
        <f t="array" ref="DH184">SUMPRODUCT(TRANSPOSE(DH$4:DH$20),$G184:$W184)</f>
        <v>0</v>
      </c>
      <c r="DI184" s="93" cm="1">
        <f t="array" ref="DI184">SUMPRODUCT(TRANSPOSE(DI$4:DI$20),$G184:$W184)</f>
        <v>0</v>
      </c>
      <c r="DJ184" s="93" cm="1">
        <f t="array" ref="DJ184">SUMPRODUCT(TRANSPOSE(DJ$4:DJ$20),$G184:$W184)</f>
        <v>0</v>
      </c>
      <c r="DK184" s="93" cm="1">
        <f t="array" ref="DK184">SUMPRODUCT(TRANSPOSE(DK$4:DK$20),$G184:$W184)</f>
        <v>0</v>
      </c>
      <c r="DL184" s="93" cm="1">
        <f t="array" ref="DL184">SUMPRODUCT(TRANSPOSE(DL$4:DL$20),$G184:$W184)</f>
        <v>0</v>
      </c>
      <c r="DM184" s="93" cm="1">
        <f t="array" ref="DM184">SUMPRODUCT(TRANSPOSE(DM$4:DM$20),$G184:$W184)</f>
        <v>0</v>
      </c>
      <c r="DN184" s="93" cm="1">
        <f t="array" ref="DN184">SUMPRODUCT(TRANSPOSE(DN$4:DN$20),$G184:$W184)</f>
        <v>0</v>
      </c>
      <c r="DO184" s="93" cm="1">
        <f t="array" ref="DO184">SUMPRODUCT(TRANSPOSE(DO$4:DO$20),$G184:$W184)</f>
        <v>0</v>
      </c>
    </row>
    <row r="185" spans="1:119" x14ac:dyDescent="0.2">
      <c r="A185" s="45">
        <f t="shared" si="28"/>
        <v>164</v>
      </c>
      <c r="B185" s="51" t="s">
        <v>456</v>
      </c>
      <c r="C185" s="45">
        <v>421343534</v>
      </c>
      <c r="D185" s="45" t="s">
        <v>457</v>
      </c>
      <c r="E185" s="45" t="s">
        <v>162</v>
      </c>
      <c r="F185" s="48">
        <v>2</v>
      </c>
      <c r="G185" s="100">
        <v>0</v>
      </c>
      <c r="H185" s="100">
        <v>0</v>
      </c>
      <c r="I185" s="100">
        <v>0</v>
      </c>
      <c r="J185" s="100">
        <v>0</v>
      </c>
      <c r="K185" s="100">
        <v>0</v>
      </c>
      <c r="L185" s="100">
        <v>0</v>
      </c>
      <c r="M185" s="100">
        <v>0</v>
      </c>
      <c r="N185" s="100">
        <v>0</v>
      </c>
      <c r="O185" s="100">
        <v>0</v>
      </c>
      <c r="P185" s="100">
        <v>0</v>
      </c>
      <c r="Q185" s="100">
        <v>1</v>
      </c>
      <c r="R185" s="100">
        <v>0</v>
      </c>
      <c r="S185" s="100">
        <v>0</v>
      </c>
      <c r="T185" s="100">
        <v>0</v>
      </c>
      <c r="U185" s="100">
        <v>0</v>
      </c>
      <c r="V185" s="100">
        <v>0</v>
      </c>
      <c r="W185" s="100">
        <v>0</v>
      </c>
      <c r="X185" s="45" t="s">
        <v>64</v>
      </c>
      <c r="Y185" s="49">
        <v>8.0000000000000002E-3</v>
      </c>
      <c r="Z185" s="45">
        <v>1000</v>
      </c>
      <c r="AA185" s="45">
        <v>0</v>
      </c>
      <c r="AB185" s="45">
        <v>0</v>
      </c>
      <c r="AC185" s="45">
        <v>0</v>
      </c>
      <c r="AD185" s="45">
        <v>0</v>
      </c>
      <c r="AE185" s="45">
        <v>0</v>
      </c>
      <c r="AF185" s="45">
        <v>0</v>
      </c>
      <c r="AG185" s="45">
        <v>0</v>
      </c>
      <c r="AH185" s="45">
        <v>0</v>
      </c>
      <c r="AI185" s="45">
        <v>0</v>
      </c>
      <c r="AJ185" s="45">
        <v>0</v>
      </c>
      <c r="AK185" s="45">
        <v>0</v>
      </c>
      <c r="AL185" s="45">
        <v>0</v>
      </c>
      <c r="AM185" s="45">
        <v>0</v>
      </c>
      <c r="AN185" s="45">
        <v>0</v>
      </c>
      <c r="AO185" s="45"/>
      <c r="AP185" s="45"/>
      <c r="AQ185" s="45"/>
      <c r="AR185" s="45"/>
      <c r="AS185" s="45"/>
      <c r="AT185" s="45"/>
      <c r="AU185" s="45"/>
      <c r="AV185" s="45"/>
      <c r="AW185" s="45"/>
      <c r="AX185" s="45"/>
      <c r="AY185" s="45"/>
      <c r="AZ185" s="45"/>
      <c r="BA185" s="45"/>
      <c r="BB185" s="45"/>
      <c r="BC185" s="45"/>
      <c r="BD185" s="93"/>
      <c r="BE185" s="93"/>
      <c r="BF185" s="93"/>
      <c r="BG185" s="93"/>
      <c r="BH185" s="93"/>
      <c r="BI185" s="93"/>
      <c r="BJ185" s="93"/>
      <c r="BK185" s="93">
        <f>SUM($Z185:AD185)-SUM($CM185:CQ185)</f>
        <v>965</v>
      </c>
      <c r="BL185" s="93">
        <f>SUM($Z185:AE185)-SUM($CM185:CR185)</f>
        <v>930</v>
      </c>
      <c r="BM185" s="93">
        <f>SUM($Z185:AF185)-SUM($CM185:CS185)</f>
        <v>895</v>
      </c>
      <c r="BN185" s="93">
        <f>SUM($Z185:AG185)-SUM($CM185:CT185)</f>
        <v>865</v>
      </c>
      <c r="BO185" s="93">
        <f>SUM($Z185:AH185)-SUM($CM185:CU185)</f>
        <v>835</v>
      </c>
      <c r="BP185" s="93">
        <f>SUM($Z185:AI185)-SUM($CM185:CV185)</f>
        <v>805</v>
      </c>
      <c r="BQ185" s="93">
        <f>SUM($Z185:AJ185)-SUM($CM185:CW185)</f>
        <v>775</v>
      </c>
      <c r="BR185" s="93">
        <f>SUM($Z185:AK185)-SUM($CM185:CX185)</f>
        <v>745</v>
      </c>
      <c r="BS185" s="93">
        <f>SUM($Z185:AL185)-SUM($CM185:CY185)</f>
        <v>715</v>
      </c>
      <c r="BT185" s="93">
        <f>SUM($Z185:AM185)-SUM($CM185:CZ185)</f>
        <v>685</v>
      </c>
      <c r="BU185" s="93">
        <f>SUM($Z185:AN185)-SUM($CM185:DA185)</f>
        <v>655</v>
      </c>
      <c r="BV185" s="93">
        <f>SUM($Z185:AO185)-SUM($CM185:DB185)</f>
        <v>641</v>
      </c>
      <c r="BW185" s="93">
        <f>SUM($Z185:AP185)-SUM($CM185:DC185)</f>
        <v>641</v>
      </c>
      <c r="BX185" s="93">
        <f>SUM($Z185:AQ185)-SUM($CM185:DD185)</f>
        <v>641</v>
      </c>
      <c r="BY185" s="93">
        <f>SUM($Z185:AR185)-SUM($CM185:DE185)</f>
        <v>641</v>
      </c>
      <c r="BZ185" s="93">
        <f>SUM($Z185:AS185)-SUM($CM185:DF185)</f>
        <v>641</v>
      </c>
      <c r="CA185" s="93">
        <f>SUM($Z185:AT185)-SUM($CM185:DG185)</f>
        <v>641</v>
      </c>
      <c r="CB185" s="93">
        <f>SUM($Z185:AU185)-SUM($CM185:DH185)</f>
        <v>641</v>
      </c>
      <c r="CC185" s="93">
        <f>SUM($Z185:AV185)-SUM($CM185:DI185)</f>
        <v>641</v>
      </c>
      <c r="CD185" s="93">
        <f>SUM($Z185:AW185)-SUM($CM185:DJ185)</f>
        <v>641</v>
      </c>
      <c r="CE185" s="93">
        <f>SUM($Z185:AX185)-SUM($CM185:DK185)</f>
        <v>641</v>
      </c>
      <c r="CF185" s="93">
        <f>SUM($Z185:AY185)-SUM($CM185:DL185)</f>
        <v>641</v>
      </c>
      <c r="CG185" s="93">
        <f>SUM($Z185:AZ185)-SUM($CM185:DM185)</f>
        <v>641</v>
      </c>
      <c r="CH185" s="93">
        <f>SUM($Z185:BA185)-SUM($CM185:DN185)</f>
        <v>641</v>
      </c>
      <c r="CI185" s="93">
        <f>SUM($Z185:BB185)-SUM($CM185:DO185)</f>
        <v>641</v>
      </c>
      <c r="CJ185" s="93"/>
      <c r="CK185" s="93"/>
      <c r="CL185" s="93"/>
      <c r="CM185" s="93"/>
      <c r="CN185" s="93" cm="1">
        <f t="array" ref="CN185">SUMPRODUCT(TRANSPOSE(CN$4:CN$20),$G185:$W185)</f>
        <v>0</v>
      </c>
      <c r="CO185" s="93" cm="1">
        <f t="array" ref="CO185">SUMPRODUCT(TRANSPOSE(CO$4:CO$20),$G185:$W185)</f>
        <v>0</v>
      </c>
      <c r="CP185" s="93" cm="1">
        <f t="array" ref="CP185">SUMPRODUCT(TRANSPOSE(CP$4:CP$20),$G185:$W185)</f>
        <v>0</v>
      </c>
      <c r="CQ185" s="93" cm="1">
        <f t="array" ref="CQ185">SUMPRODUCT(TRANSPOSE(CQ$4:CQ$20),$G185:$W185)</f>
        <v>35</v>
      </c>
      <c r="CR185" s="93" cm="1">
        <f t="array" ref="CR185">SUMPRODUCT(TRANSPOSE(CR$4:CR$20),$G185:$W185)</f>
        <v>35</v>
      </c>
      <c r="CS185" s="93" cm="1">
        <f t="array" ref="CS185">SUMPRODUCT(TRANSPOSE(CS$4:CS$20),$G185:$W185)</f>
        <v>35</v>
      </c>
      <c r="CT185" s="93" cm="1">
        <f t="array" ref="CT185">SUMPRODUCT(TRANSPOSE(CT$4:CT$20),$G185:$W185)</f>
        <v>30</v>
      </c>
      <c r="CU185" s="93" cm="1">
        <f t="array" ref="CU185">SUMPRODUCT(TRANSPOSE(CU$4:CU$20),$G185:$W185)</f>
        <v>30</v>
      </c>
      <c r="CV185" s="93" cm="1">
        <f t="array" ref="CV185">SUMPRODUCT(TRANSPOSE(CV$4:CV$20),$G185:$W185)</f>
        <v>30</v>
      </c>
      <c r="CW185" s="93" cm="1">
        <f t="array" ref="CW185">SUMPRODUCT(TRANSPOSE(CW$4:CW$20),$G185:$W185)</f>
        <v>30</v>
      </c>
      <c r="CX185" s="93" cm="1">
        <f t="array" ref="CX185">SUMPRODUCT(TRANSPOSE(CX$4:CX$20),$G185:$W185)</f>
        <v>30</v>
      </c>
      <c r="CY185" s="93" cm="1">
        <f t="array" ref="CY185">SUMPRODUCT(TRANSPOSE(CY$4:CY$20),$G185:$W185)</f>
        <v>30</v>
      </c>
      <c r="CZ185" s="93" cm="1">
        <f t="array" ref="CZ185">SUMPRODUCT(TRANSPOSE(CZ$4:CZ$20),$G185:$W185)</f>
        <v>30</v>
      </c>
      <c r="DA185" s="93" cm="1">
        <f t="array" ref="DA185">SUMPRODUCT(TRANSPOSE(DA$4:DA$20),$G185:$W185)</f>
        <v>30</v>
      </c>
      <c r="DB185" s="93" cm="1">
        <f t="array" ref="DB185">SUMPRODUCT(TRANSPOSE(DB$4:DB$20),$G185:$W185)</f>
        <v>14</v>
      </c>
      <c r="DC185" s="93" cm="1">
        <f t="array" ref="DC185">SUMPRODUCT(TRANSPOSE(DC$4:DC$20),$G185:$W185)</f>
        <v>0</v>
      </c>
      <c r="DD185" s="93" cm="1">
        <f t="array" ref="DD185">SUMPRODUCT(TRANSPOSE(DD$4:DD$20),$G185:$W185)</f>
        <v>0</v>
      </c>
      <c r="DE185" s="93" cm="1">
        <f t="array" ref="DE185">SUMPRODUCT(TRANSPOSE(DE$4:DE$20),$G185:$W185)</f>
        <v>0</v>
      </c>
      <c r="DF185" s="93" cm="1">
        <f t="array" ref="DF185">SUMPRODUCT(TRANSPOSE(DF$4:DF$20),$G185:$W185)</f>
        <v>0</v>
      </c>
      <c r="DG185" s="93" cm="1">
        <f t="array" ref="DG185">SUMPRODUCT(TRANSPOSE(DG$4:DG$20),$G185:$W185)</f>
        <v>0</v>
      </c>
      <c r="DH185" s="93" cm="1">
        <f t="array" ref="DH185">SUMPRODUCT(TRANSPOSE(DH$4:DH$20),$G185:$W185)</f>
        <v>0</v>
      </c>
      <c r="DI185" s="93" cm="1">
        <f t="array" ref="DI185">SUMPRODUCT(TRANSPOSE(DI$4:DI$20),$G185:$W185)</f>
        <v>0</v>
      </c>
      <c r="DJ185" s="93" cm="1">
        <f t="array" ref="DJ185">SUMPRODUCT(TRANSPOSE(DJ$4:DJ$20),$G185:$W185)</f>
        <v>0</v>
      </c>
      <c r="DK185" s="93" cm="1">
        <f t="array" ref="DK185">SUMPRODUCT(TRANSPOSE(DK$4:DK$20),$G185:$W185)</f>
        <v>0</v>
      </c>
      <c r="DL185" s="93" cm="1">
        <f t="array" ref="DL185">SUMPRODUCT(TRANSPOSE(DL$4:DL$20),$G185:$W185)</f>
        <v>0</v>
      </c>
      <c r="DM185" s="93" cm="1">
        <f t="array" ref="DM185">SUMPRODUCT(TRANSPOSE(DM$4:DM$20),$G185:$W185)</f>
        <v>0</v>
      </c>
      <c r="DN185" s="93" cm="1">
        <f t="array" ref="DN185">SUMPRODUCT(TRANSPOSE(DN$4:DN$20),$G185:$W185)</f>
        <v>0</v>
      </c>
      <c r="DO185" s="93" cm="1">
        <f t="array" ref="DO185">SUMPRODUCT(TRANSPOSE(DO$4:DO$20),$G185:$W185)</f>
        <v>0</v>
      </c>
    </row>
    <row r="186" spans="1:119" x14ac:dyDescent="0.2">
      <c r="A186" s="45">
        <f t="shared" si="28"/>
        <v>165</v>
      </c>
      <c r="B186" s="46" t="s">
        <v>458</v>
      </c>
      <c r="C186" s="45">
        <v>400679613</v>
      </c>
      <c r="D186" s="45" t="s">
        <v>459</v>
      </c>
      <c r="E186" s="45" t="s">
        <v>162</v>
      </c>
      <c r="F186" s="48">
        <v>2</v>
      </c>
      <c r="G186" s="100">
        <v>0</v>
      </c>
      <c r="H186" s="100">
        <v>0</v>
      </c>
      <c r="I186" s="100">
        <v>0</v>
      </c>
      <c r="J186" s="100">
        <v>0</v>
      </c>
      <c r="K186" s="100">
        <v>0</v>
      </c>
      <c r="L186" s="100">
        <v>0</v>
      </c>
      <c r="M186" s="100">
        <v>0</v>
      </c>
      <c r="N186" s="100">
        <v>0</v>
      </c>
      <c r="O186" s="100">
        <v>0</v>
      </c>
      <c r="P186" s="100">
        <v>0</v>
      </c>
      <c r="Q186" s="100">
        <v>69</v>
      </c>
      <c r="R186" s="100">
        <v>8</v>
      </c>
      <c r="S186" s="100">
        <v>0</v>
      </c>
      <c r="T186" s="100">
        <v>0</v>
      </c>
      <c r="U186" s="100">
        <v>0</v>
      </c>
      <c r="V186" s="100">
        <v>8</v>
      </c>
      <c r="W186" s="100">
        <v>0</v>
      </c>
      <c r="X186" s="45" t="s">
        <v>61</v>
      </c>
      <c r="Y186" s="49">
        <v>4.0000000000000001E-3</v>
      </c>
      <c r="Z186" s="45">
        <v>85000</v>
      </c>
      <c r="AA186" s="45">
        <v>0</v>
      </c>
      <c r="AB186" s="45">
        <v>0</v>
      </c>
      <c r="AC186" s="45">
        <v>0</v>
      </c>
      <c r="AD186" s="45">
        <v>0</v>
      </c>
      <c r="AE186" s="45">
        <v>0</v>
      </c>
      <c r="AF186" s="45">
        <v>0</v>
      </c>
      <c r="AG186" s="45">
        <v>0</v>
      </c>
      <c r="AH186" s="45">
        <v>0</v>
      </c>
      <c r="AI186" s="45">
        <v>0</v>
      </c>
      <c r="AJ186" s="45">
        <v>0</v>
      </c>
      <c r="AK186" s="45">
        <v>0</v>
      </c>
      <c r="AL186" s="45">
        <v>0</v>
      </c>
      <c r="AM186" s="45">
        <v>0</v>
      </c>
      <c r="AN186" s="45">
        <v>0</v>
      </c>
      <c r="AO186" s="45"/>
      <c r="AP186" s="45"/>
      <c r="AQ186" s="45"/>
      <c r="AR186" s="45"/>
      <c r="AS186" s="45"/>
      <c r="AT186" s="45"/>
      <c r="AU186" s="45"/>
      <c r="AV186" s="45"/>
      <c r="AW186" s="45"/>
      <c r="AX186" s="45"/>
      <c r="AY186" s="45"/>
      <c r="AZ186" s="45"/>
      <c r="BA186" s="45"/>
      <c r="BB186" s="45"/>
      <c r="BC186" s="45"/>
      <c r="BD186" s="93"/>
      <c r="BE186" s="93"/>
      <c r="BF186" s="93"/>
      <c r="BG186" s="93"/>
      <c r="BH186" s="93"/>
      <c r="BI186" s="93"/>
      <c r="BJ186" s="93"/>
      <c r="BK186" s="93">
        <f>SUM($Z186:AD186)-SUM($CM186:CQ186)</f>
        <v>82025</v>
      </c>
      <c r="BL186" s="93">
        <f>SUM($Z186:AE186)-SUM($CM186:CR186)</f>
        <v>79050</v>
      </c>
      <c r="BM186" s="93">
        <f>SUM($Z186:AF186)-SUM($CM186:CS186)</f>
        <v>76075</v>
      </c>
      <c r="BN186" s="93">
        <f>SUM($Z186:AG186)-SUM($CM186:CT186)</f>
        <v>73445</v>
      </c>
      <c r="BO186" s="93">
        <f>SUM($Z186:AH186)-SUM($CM186:CU186)</f>
        <v>70815</v>
      </c>
      <c r="BP186" s="93">
        <f>SUM($Z186:AI186)-SUM($CM186:CV186)</f>
        <v>68185</v>
      </c>
      <c r="BQ186" s="93">
        <f>SUM($Z186:AJ186)-SUM($CM186:CW186)</f>
        <v>65555</v>
      </c>
      <c r="BR186" s="93">
        <f>SUM($Z186:AK186)-SUM($CM186:CX186)</f>
        <v>62925</v>
      </c>
      <c r="BS186" s="93">
        <f>SUM($Z186:AL186)-SUM($CM186:CY186)</f>
        <v>60295</v>
      </c>
      <c r="BT186" s="93">
        <f>SUM($Z186:AM186)-SUM($CM186:CZ186)</f>
        <v>57945</v>
      </c>
      <c r="BU186" s="93">
        <f>SUM($Z186:AN186)-SUM($CM186:DA186)</f>
        <v>55875</v>
      </c>
      <c r="BV186" s="93">
        <f>SUM($Z186:AO186)-SUM($CM186:DB186)</f>
        <v>54909</v>
      </c>
      <c r="BW186" s="93">
        <f>SUM($Z186:AP186)-SUM($CM186:DC186)</f>
        <v>54909</v>
      </c>
      <c r="BX186" s="93">
        <f>SUM($Z186:AQ186)-SUM($CM186:DD186)</f>
        <v>54909</v>
      </c>
      <c r="BY186" s="93">
        <f>SUM($Z186:AR186)-SUM($CM186:DE186)</f>
        <v>54909</v>
      </c>
      <c r="BZ186" s="93">
        <f>SUM($Z186:AS186)-SUM($CM186:DF186)</f>
        <v>54909</v>
      </c>
      <c r="CA186" s="93">
        <f>SUM($Z186:AT186)-SUM($CM186:DG186)</f>
        <v>54909</v>
      </c>
      <c r="CB186" s="93">
        <f>SUM($Z186:AU186)-SUM($CM186:DH186)</f>
        <v>54909</v>
      </c>
      <c r="CC186" s="93">
        <f>SUM($Z186:AV186)-SUM($CM186:DI186)</f>
        <v>54909</v>
      </c>
      <c r="CD186" s="93">
        <f>SUM($Z186:AW186)-SUM($CM186:DJ186)</f>
        <v>54909</v>
      </c>
      <c r="CE186" s="93">
        <f>SUM($Z186:AX186)-SUM($CM186:DK186)</f>
        <v>54909</v>
      </c>
      <c r="CF186" s="93">
        <f>SUM($Z186:AY186)-SUM($CM186:DL186)</f>
        <v>54909</v>
      </c>
      <c r="CG186" s="93">
        <f>SUM($Z186:AZ186)-SUM($CM186:DM186)</f>
        <v>54909</v>
      </c>
      <c r="CH186" s="93">
        <f>SUM($Z186:BA186)-SUM($CM186:DN186)</f>
        <v>54909</v>
      </c>
      <c r="CI186" s="93">
        <f>SUM($Z186:BB186)-SUM($CM186:DO186)</f>
        <v>54909</v>
      </c>
      <c r="CJ186" s="93"/>
      <c r="CK186" s="93"/>
      <c r="CL186" s="93"/>
      <c r="CM186" s="93"/>
      <c r="CN186" s="93" cm="1">
        <f t="array" ref="CN186">SUMPRODUCT(TRANSPOSE(CN$4:CN$20),$G186:$W186)</f>
        <v>0</v>
      </c>
      <c r="CO186" s="93" cm="1">
        <f t="array" ref="CO186">SUMPRODUCT(TRANSPOSE(CO$4:CO$20),$G186:$W186)</f>
        <v>0</v>
      </c>
      <c r="CP186" s="93" cm="1">
        <f t="array" ref="CP186">SUMPRODUCT(TRANSPOSE(CP$4:CP$20),$G186:$W186)</f>
        <v>0</v>
      </c>
      <c r="CQ186" s="93" cm="1">
        <f t="array" ref="CQ186">SUMPRODUCT(TRANSPOSE(CQ$4:CQ$20),$G186:$W186)</f>
        <v>2975</v>
      </c>
      <c r="CR186" s="93" cm="1">
        <f t="array" ref="CR186">SUMPRODUCT(TRANSPOSE(CR$4:CR$20),$G186:$W186)</f>
        <v>2975</v>
      </c>
      <c r="CS186" s="93" cm="1">
        <f t="array" ref="CS186">SUMPRODUCT(TRANSPOSE(CS$4:CS$20),$G186:$W186)</f>
        <v>2975</v>
      </c>
      <c r="CT186" s="93" cm="1">
        <f t="array" ref="CT186">SUMPRODUCT(TRANSPOSE(CT$4:CT$20),$G186:$W186)</f>
        <v>2630</v>
      </c>
      <c r="CU186" s="93" cm="1">
        <f t="array" ref="CU186">SUMPRODUCT(TRANSPOSE(CU$4:CU$20),$G186:$W186)</f>
        <v>2630</v>
      </c>
      <c r="CV186" s="93" cm="1">
        <f t="array" ref="CV186">SUMPRODUCT(TRANSPOSE(CV$4:CV$20),$G186:$W186)</f>
        <v>2630</v>
      </c>
      <c r="CW186" s="93" cm="1">
        <f t="array" ref="CW186">SUMPRODUCT(TRANSPOSE(CW$4:CW$20),$G186:$W186)</f>
        <v>2630</v>
      </c>
      <c r="CX186" s="93" cm="1">
        <f t="array" ref="CX186">SUMPRODUCT(TRANSPOSE(CX$4:CX$20),$G186:$W186)</f>
        <v>2630</v>
      </c>
      <c r="CY186" s="93" cm="1">
        <f t="array" ref="CY186">SUMPRODUCT(TRANSPOSE(CY$4:CY$20),$G186:$W186)</f>
        <v>2630</v>
      </c>
      <c r="CZ186" s="93" cm="1">
        <f t="array" ref="CZ186">SUMPRODUCT(TRANSPOSE(CZ$4:CZ$20),$G186:$W186)</f>
        <v>2350</v>
      </c>
      <c r="DA186" s="93" cm="1">
        <f t="array" ref="DA186">SUMPRODUCT(TRANSPOSE(DA$4:DA$20),$G186:$W186)</f>
        <v>2070</v>
      </c>
      <c r="DB186" s="93" cm="1">
        <f t="array" ref="DB186">SUMPRODUCT(TRANSPOSE(DB$4:DB$20),$G186:$W186)</f>
        <v>966</v>
      </c>
      <c r="DC186" s="93" cm="1">
        <f t="array" ref="DC186">SUMPRODUCT(TRANSPOSE(DC$4:DC$20),$G186:$W186)</f>
        <v>0</v>
      </c>
      <c r="DD186" s="93" cm="1">
        <f t="array" ref="DD186">SUMPRODUCT(TRANSPOSE(DD$4:DD$20),$G186:$W186)</f>
        <v>0</v>
      </c>
      <c r="DE186" s="93" cm="1">
        <f t="array" ref="DE186">SUMPRODUCT(TRANSPOSE(DE$4:DE$20),$G186:$W186)</f>
        <v>0</v>
      </c>
      <c r="DF186" s="93" cm="1">
        <f t="array" ref="DF186">SUMPRODUCT(TRANSPOSE(DF$4:DF$20),$G186:$W186)</f>
        <v>0</v>
      </c>
      <c r="DG186" s="93" cm="1">
        <f t="array" ref="DG186">SUMPRODUCT(TRANSPOSE(DG$4:DG$20),$G186:$W186)</f>
        <v>0</v>
      </c>
      <c r="DH186" s="93" cm="1">
        <f t="array" ref="DH186">SUMPRODUCT(TRANSPOSE(DH$4:DH$20),$G186:$W186)</f>
        <v>0</v>
      </c>
      <c r="DI186" s="93" cm="1">
        <f t="array" ref="DI186">SUMPRODUCT(TRANSPOSE(DI$4:DI$20),$G186:$W186)</f>
        <v>0</v>
      </c>
      <c r="DJ186" s="93" cm="1">
        <f t="array" ref="DJ186">SUMPRODUCT(TRANSPOSE(DJ$4:DJ$20),$G186:$W186)</f>
        <v>0</v>
      </c>
      <c r="DK186" s="93" cm="1">
        <f t="array" ref="DK186">SUMPRODUCT(TRANSPOSE(DK$4:DK$20),$G186:$W186)</f>
        <v>0</v>
      </c>
      <c r="DL186" s="93" cm="1">
        <f t="array" ref="DL186">SUMPRODUCT(TRANSPOSE(DL$4:DL$20),$G186:$W186)</f>
        <v>0</v>
      </c>
      <c r="DM186" s="93" cm="1">
        <f t="array" ref="DM186">SUMPRODUCT(TRANSPOSE(DM$4:DM$20),$G186:$W186)</f>
        <v>0</v>
      </c>
      <c r="DN186" s="93" cm="1">
        <f t="array" ref="DN186">SUMPRODUCT(TRANSPOSE(DN$4:DN$20),$G186:$W186)</f>
        <v>0</v>
      </c>
      <c r="DO186" s="93" cm="1">
        <f t="array" ref="DO186">SUMPRODUCT(TRANSPOSE(DO$4:DO$20),$G186:$W186)</f>
        <v>0</v>
      </c>
    </row>
    <row r="187" spans="1:119" x14ac:dyDescent="0.2">
      <c r="A187" s="45">
        <f t="shared" si="28"/>
        <v>166</v>
      </c>
      <c r="B187" s="46" t="s">
        <v>460</v>
      </c>
      <c r="C187" s="45">
        <v>400693196</v>
      </c>
      <c r="D187" s="45" t="s">
        <v>461</v>
      </c>
      <c r="E187" s="45" t="s">
        <v>162</v>
      </c>
      <c r="F187" s="48">
        <v>2</v>
      </c>
      <c r="G187" s="100">
        <v>0</v>
      </c>
      <c r="H187" s="100">
        <v>0</v>
      </c>
      <c r="I187" s="100">
        <v>0</v>
      </c>
      <c r="J187" s="100">
        <v>0</v>
      </c>
      <c r="K187" s="100">
        <v>0</v>
      </c>
      <c r="L187" s="100">
        <v>0</v>
      </c>
      <c r="M187" s="100">
        <v>0</v>
      </c>
      <c r="N187" s="100">
        <v>0</v>
      </c>
      <c r="O187" s="100">
        <v>0</v>
      </c>
      <c r="P187" s="100">
        <v>0</v>
      </c>
      <c r="Q187" s="100">
        <v>0</v>
      </c>
      <c r="R187" s="100">
        <v>1</v>
      </c>
      <c r="S187" s="100">
        <v>0</v>
      </c>
      <c r="T187" s="100">
        <v>0</v>
      </c>
      <c r="U187" s="100">
        <v>0</v>
      </c>
      <c r="V187" s="100">
        <v>1</v>
      </c>
      <c r="W187" s="100">
        <v>0</v>
      </c>
      <c r="X187" s="45" t="s">
        <v>61</v>
      </c>
      <c r="Y187" s="49">
        <v>4.0000000000000001E-3</v>
      </c>
      <c r="Z187" s="45">
        <v>10000</v>
      </c>
      <c r="AA187" s="45">
        <v>0</v>
      </c>
      <c r="AB187" s="45">
        <v>0</v>
      </c>
      <c r="AC187" s="45">
        <v>0</v>
      </c>
      <c r="AD187" s="45">
        <v>0</v>
      </c>
      <c r="AE187" s="45">
        <v>0</v>
      </c>
      <c r="AF187" s="45">
        <v>0</v>
      </c>
      <c r="AG187" s="45">
        <v>0</v>
      </c>
      <c r="AH187" s="45">
        <v>0</v>
      </c>
      <c r="AI187" s="45">
        <v>0</v>
      </c>
      <c r="AJ187" s="45">
        <v>0</v>
      </c>
      <c r="AK187" s="45">
        <v>0</v>
      </c>
      <c r="AL187" s="45">
        <v>0</v>
      </c>
      <c r="AM187" s="45">
        <v>0</v>
      </c>
      <c r="AN187" s="45">
        <v>0</v>
      </c>
      <c r="AO187" s="45"/>
      <c r="AP187" s="45"/>
      <c r="AQ187" s="45"/>
      <c r="AR187" s="45"/>
      <c r="AS187" s="45"/>
      <c r="AT187" s="45"/>
      <c r="AU187" s="45"/>
      <c r="AV187" s="45"/>
      <c r="AW187" s="45"/>
      <c r="AX187" s="45"/>
      <c r="AY187" s="45"/>
      <c r="AZ187" s="45"/>
      <c r="BA187" s="45"/>
      <c r="BB187" s="45"/>
      <c r="BC187" s="45"/>
      <c r="BD187" s="93"/>
      <c r="BE187" s="93"/>
      <c r="BF187" s="93"/>
      <c r="BG187" s="93"/>
      <c r="BH187" s="93"/>
      <c r="BI187" s="93"/>
      <c r="BJ187" s="93"/>
      <c r="BK187" s="93">
        <f>SUM($Z187:AD187)-SUM($CM187:CQ187)</f>
        <v>9930</v>
      </c>
      <c r="BL187" s="93">
        <f>SUM($Z187:AE187)-SUM($CM187:CR187)</f>
        <v>9860</v>
      </c>
      <c r="BM187" s="93">
        <f>SUM($Z187:AF187)-SUM($CM187:CS187)</f>
        <v>9790</v>
      </c>
      <c r="BN187" s="93">
        <f>SUM($Z187:AG187)-SUM($CM187:CT187)</f>
        <v>9720</v>
      </c>
      <c r="BO187" s="93">
        <f>SUM($Z187:AH187)-SUM($CM187:CU187)</f>
        <v>9650</v>
      </c>
      <c r="BP187" s="93">
        <f>SUM($Z187:AI187)-SUM($CM187:CV187)</f>
        <v>9580</v>
      </c>
      <c r="BQ187" s="93">
        <f>SUM($Z187:AJ187)-SUM($CM187:CW187)</f>
        <v>9510</v>
      </c>
      <c r="BR187" s="93">
        <f>SUM($Z187:AK187)-SUM($CM187:CX187)</f>
        <v>9440</v>
      </c>
      <c r="BS187" s="93">
        <f>SUM($Z187:AL187)-SUM($CM187:CY187)</f>
        <v>9370</v>
      </c>
      <c r="BT187" s="93">
        <f>SUM($Z187:AM187)-SUM($CM187:CZ187)</f>
        <v>9335</v>
      </c>
      <c r="BU187" s="93">
        <f>SUM($Z187:AN187)-SUM($CM187:DA187)</f>
        <v>9335</v>
      </c>
      <c r="BV187" s="93">
        <f>SUM($Z187:AO187)-SUM($CM187:DB187)</f>
        <v>9335</v>
      </c>
      <c r="BW187" s="93">
        <f>SUM($Z187:AP187)-SUM($CM187:DC187)</f>
        <v>9335</v>
      </c>
      <c r="BX187" s="93">
        <f>SUM($Z187:AQ187)-SUM($CM187:DD187)</f>
        <v>9335</v>
      </c>
      <c r="BY187" s="93">
        <f>SUM($Z187:AR187)-SUM($CM187:DE187)</f>
        <v>9335</v>
      </c>
      <c r="BZ187" s="93">
        <f>SUM($Z187:AS187)-SUM($CM187:DF187)</f>
        <v>9335</v>
      </c>
      <c r="CA187" s="93">
        <f>SUM($Z187:AT187)-SUM($CM187:DG187)</f>
        <v>9335</v>
      </c>
      <c r="CB187" s="93">
        <f>SUM($Z187:AU187)-SUM($CM187:DH187)</f>
        <v>9335</v>
      </c>
      <c r="CC187" s="93">
        <f>SUM($Z187:AV187)-SUM($CM187:DI187)</f>
        <v>9335</v>
      </c>
      <c r="CD187" s="93">
        <f>SUM($Z187:AW187)-SUM($CM187:DJ187)</f>
        <v>9335</v>
      </c>
      <c r="CE187" s="93">
        <f>SUM($Z187:AX187)-SUM($CM187:DK187)</f>
        <v>9335</v>
      </c>
      <c r="CF187" s="93">
        <f>SUM($Z187:AY187)-SUM($CM187:DL187)</f>
        <v>9335</v>
      </c>
      <c r="CG187" s="93">
        <f>SUM($Z187:AZ187)-SUM($CM187:DM187)</f>
        <v>9335</v>
      </c>
      <c r="CH187" s="93">
        <f>SUM($Z187:BA187)-SUM($CM187:DN187)</f>
        <v>9335</v>
      </c>
      <c r="CI187" s="93">
        <f>SUM($Z187:BB187)-SUM($CM187:DO187)</f>
        <v>9335</v>
      </c>
      <c r="CJ187" s="93"/>
      <c r="CK187" s="93"/>
      <c r="CL187" s="93"/>
      <c r="CM187" s="93"/>
      <c r="CN187" s="93" cm="1">
        <f t="array" ref="CN187">SUMPRODUCT(TRANSPOSE(CN$4:CN$20),$G187:$W187)</f>
        <v>0</v>
      </c>
      <c r="CO187" s="93" cm="1">
        <f t="array" ref="CO187">SUMPRODUCT(TRANSPOSE(CO$4:CO$20),$G187:$W187)</f>
        <v>0</v>
      </c>
      <c r="CP187" s="93" cm="1">
        <f t="array" ref="CP187">SUMPRODUCT(TRANSPOSE(CP$4:CP$20),$G187:$W187)</f>
        <v>0</v>
      </c>
      <c r="CQ187" s="93" cm="1">
        <f t="array" ref="CQ187">SUMPRODUCT(TRANSPOSE(CQ$4:CQ$20),$G187:$W187)</f>
        <v>70</v>
      </c>
      <c r="CR187" s="93" cm="1">
        <f t="array" ref="CR187">SUMPRODUCT(TRANSPOSE(CR$4:CR$20),$G187:$W187)</f>
        <v>70</v>
      </c>
      <c r="CS187" s="93" cm="1">
        <f t="array" ref="CS187">SUMPRODUCT(TRANSPOSE(CS$4:CS$20),$G187:$W187)</f>
        <v>70</v>
      </c>
      <c r="CT187" s="93" cm="1">
        <f t="array" ref="CT187">SUMPRODUCT(TRANSPOSE(CT$4:CT$20),$G187:$W187)</f>
        <v>70</v>
      </c>
      <c r="CU187" s="93" cm="1">
        <f t="array" ref="CU187">SUMPRODUCT(TRANSPOSE(CU$4:CU$20),$G187:$W187)</f>
        <v>70</v>
      </c>
      <c r="CV187" s="93" cm="1">
        <f t="array" ref="CV187">SUMPRODUCT(TRANSPOSE(CV$4:CV$20),$G187:$W187)</f>
        <v>70</v>
      </c>
      <c r="CW187" s="93" cm="1">
        <f t="array" ref="CW187">SUMPRODUCT(TRANSPOSE(CW$4:CW$20),$G187:$W187)</f>
        <v>70</v>
      </c>
      <c r="CX187" s="93" cm="1">
        <f t="array" ref="CX187">SUMPRODUCT(TRANSPOSE(CX$4:CX$20),$G187:$W187)</f>
        <v>70</v>
      </c>
      <c r="CY187" s="93" cm="1">
        <f t="array" ref="CY187">SUMPRODUCT(TRANSPOSE(CY$4:CY$20),$G187:$W187)</f>
        <v>70</v>
      </c>
      <c r="CZ187" s="93" cm="1">
        <f t="array" ref="CZ187">SUMPRODUCT(TRANSPOSE(CZ$4:CZ$20),$G187:$W187)</f>
        <v>35</v>
      </c>
      <c r="DA187" s="93" cm="1">
        <f t="array" ref="DA187">SUMPRODUCT(TRANSPOSE(DA$4:DA$20),$G187:$W187)</f>
        <v>0</v>
      </c>
      <c r="DB187" s="93" cm="1">
        <f t="array" ref="DB187">SUMPRODUCT(TRANSPOSE(DB$4:DB$20),$G187:$W187)</f>
        <v>0</v>
      </c>
      <c r="DC187" s="93" cm="1">
        <f t="array" ref="DC187">SUMPRODUCT(TRANSPOSE(DC$4:DC$20),$G187:$W187)</f>
        <v>0</v>
      </c>
      <c r="DD187" s="93" cm="1">
        <f t="array" ref="DD187">SUMPRODUCT(TRANSPOSE(DD$4:DD$20),$G187:$W187)</f>
        <v>0</v>
      </c>
      <c r="DE187" s="93" cm="1">
        <f t="array" ref="DE187">SUMPRODUCT(TRANSPOSE(DE$4:DE$20),$G187:$W187)</f>
        <v>0</v>
      </c>
      <c r="DF187" s="93" cm="1">
        <f t="array" ref="DF187">SUMPRODUCT(TRANSPOSE(DF$4:DF$20),$G187:$W187)</f>
        <v>0</v>
      </c>
      <c r="DG187" s="93" cm="1">
        <f t="array" ref="DG187">SUMPRODUCT(TRANSPOSE(DG$4:DG$20),$G187:$W187)</f>
        <v>0</v>
      </c>
      <c r="DH187" s="93" cm="1">
        <f t="array" ref="DH187">SUMPRODUCT(TRANSPOSE(DH$4:DH$20),$G187:$W187)</f>
        <v>0</v>
      </c>
      <c r="DI187" s="93" cm="1">
        <f t="array" ref="DI187">SUMPRODUCT(TRANSPOSE(DI$4:DI$20),$G187:$W187)</f>
        <v>0</v>
      </c>
      <c r="DJ187" s="93" cm="1">
        <f t="array" ref="DJ187">SUMPRODUCT(TRANSPOSE(DJ$4:DJ$20),$G187:$W187)</f>
        <v>0</v>
      </c>
      <c r="DK187" s="93" cm="1">
        <f t="array" ref="DK187">SUMPRODUCT(TRANSPOSE(DK$4:DK$20),$G187:$W187)</f>
        <v>0</v>
      </c>
      <c r="DL187" s="93" cm="1">
        <f t="array" ref="DL187">SUMPRODUCT(TRANSPOSE(DL$4:DL$20),$G187:$W187)</f>
        <v>0</v>
      </c>
      <c r="DM187" s="93" cm="1">
        <f t="array" ref="DM187">SUMPRODUCT(TRANSPOSE(DM$4:DM$20),$G187:$W187)</f>
        <v>0</v>
      </c>
      <c r="DN187" s="93" cm="1">
        <f t="array" ref="DN187">SUMPRODUCT(TRANSPOSE(DN$4:DN$20),$G187:$W187)</f>
        <v>0</v>
      </c>
      <c r="DO187" s="93" cm="1">
        <f t="array" ref="DO187">SUMPRODUCT(TRANSPOSE(DO$4:DO$20),$G187:$W187)</f>
        <v>0</v>
      </c>
    </row>
    <row r="188" spans="1:119" x14ac:dyDescent="0.2">
      <c r="A188" s="45">
        <f t="shared" si="28"/>
        <v>167</v>
      </c>
      <c r="B188" s="46" t="s">
        <v>462</v>
      </c>
      <c r="C188" s="45">
        <v>400693201</v>
      </c>
      <c r="D188" s="45" t="s">
        <v>463</v>
      </c>
      <c r="E188" s="45" t="s">
        <v>162</v>
      </c>
      <c r="F188" s="48">
        <v>2</v>
      </c>
      <c r="G188" s="100">
        <v>0</v>
      </c>
      <c r="H188" s="100">
        <v>0</v>
      </c>
      <c r="I188" s="100">
        <v>0</v>
      </c>
      <c r="J188" s="100">
        <v>0</v>
      </c>
      <c r="K188" s="100">
        <v>0</v>
      </c>
      <c r="L188" s="100">
        <v>0</v>
      </c>
      <c r="M188" s="100">
        <v>0</v>
      </c>
      <c r="N188" s="100">
        <v>0</v>
      </c>
      <c r="O188" s="100">
        <v>0</v>
      </c>
      <c r="P188" s="100">
        <v>0</v>
      </c>
      <c r="Q188" s="100">
        <v>44</v>
      </c>
      <c r="R188" s="100">
        <v>11</v>
      </c>
      <c r="S188" s="100">
        <v>0</v>
      </c>
      <c r="T188" s="100">
        <v>0</v>
      </c>
      <c r="U188" s="100">
        <v>44</v>
      </c>
      <c r="V188" s="100">
        <v>11</v>
      </c>
      <c r="W188" s="100">
        <v>0</v>
      </c>
      <c r="X188" s="45" t="s">
        <v>61</v>
      </c>
      <c r="Y188" s="49">
        <v>4.0000000000000001E-3</v>
      </c>
      <c r="Z188" s="45">
        <v>60000</v>
      </c>
      <c r="AA188" s="45">
        <v>0</v>
      </c>
      <c r="AB188" s="45">
        <v>0</v>
      </c>
      <c r="AC188" s="45">
        <v>0</v>
      </c>
      <c r="AD188" s="45">
        <v>0</v>
      </c>
      <c r="AE188" s="45">
        <v>0</v>
      </c>
      <c r="AF188" s="45">
        <v>0</v>
      </c>
      <c r="AG188" s="45">
        <v>0</v>
      </c>
      <c r="AH188" s="45">
        <v>0</v>
      </c>
      <c r="AI188" s="45">
        <v>0</v>
      </c>
      <c r="AJ188" s="45">
        <v>0</v>
      </c>
      <c r="AK188" s="45">
        <v>0</v>
      </c>
      <c r="AL188" s="45">
        <v>0</v>
      </c>
      <c r="AM188" s="45">
        <v>0</v>
      </c>
      <c r="AN188" s="45">
        <v>0</v>
      </c>
      <c r="AO188" s="45"/>
      <c r="AP188" s="45"/>
      <c r="AQ188" s="45"/>
      <c r="AR188" s="45"/>
      <c r="AS188" s="45"/>
      <c r="AT188" s="45"/>
      <c r="AU188" s="45"/>
      <c r="AV188" s="45"/>
      <c r="AW188" s="45"/>
      <c r="AX188" s="45"/>
      <c r="AY188" s="45"/>
      <c r="AZ188" s="45"/>
      <c r="BA188" s="45"/>
      <c r="BB188" s="45"/>
      <c r="BC188" s="45"/>
      <c r="BD188" s="93"/>
      <c r="BE188" s="93"/>
      <c r="BF188" s="93"/>
      <c r="BG188" s="93"/>
      <c r="BH188" s="93"/>
      <c r="BI188" s="93"/>
      <c r="BJ188" s="93"/>
      <c r="BK188" s="93">
        <f>SUM($Z188:AD188)-SUM($CM188:CQ188)</f>
        <v>55798</v>
      </c>
      <c r="BL188" s="93">
        <f>SUM($Z188:AE188)-SUM($CM188:CR188)</f>
        <v>51948</v>
      </c>
      <c r="BM188" s="93">
        <f>SUM($Z188:AF188)-SUM($CM188:CS188)</f>
        <v>48318</v>
      </c>
      <c r="BN188" s="93">
        <f>SUM($Z188:AG188)-SUM($CM188:CT188)</f>
        <v>44908</v>
      </c>
      <c r="BO188" s="93">
        <f>SUM($Z188:AH188)-SUM($CM188:CU188)</f>
        <v>41498</v>
      </c>
      <c r="BP188" s="93">
        <f>SUM($Z188:AI188)-SUM($CM188:CV188)</f>
        <v>38088</v>
      </c>
      <c r="BQ188" s="93">
        <f>SUM($Z188:AJ188)-SUM($CM188:CW188)</f>
        <v>34678</v>
      </c>
      <c r="BR188" s="93">
        <f>SUM($Z188:AK188)-SUM($CM188:CX188)</f>
        <v>31268</v>
      </c>
      <c r="BS188" s="93">
        <f>SUM($Z188:AL188)-SUM($CM188:CY188)</f>
        <v>27858</v>
      </c>
      <c r="BT188" s="93">
        <f>SUM($Z188:AM188)-SUM($CM188:CZ188)</f>
        <v>24833</v>
      </c>
      <c r="BU188" s="93">
        <f>SUM($Z188:AN188)-SUM($CM188:DA188)</f>
        <v>22193</v>
      </c>
      <c r="BV188" s="93">
        <f>SUM($Z188:AO188)-SUM($CM188:DB188)</f>
        <v>21577</v>
      </c>
      <c r="BW188" s="93">
        <f>SUM($Z188:AP188)-SUM($CM188:DC188)</f>
        <v>21577</v>
      </c>
      <c r="BX188" s="93">
        <f>SUM($Z188:AQ188)-SUM($CM188:DD188)</f>
        <v>21577</v>
      </c>
      <c r="BY188" s="93">
        <f>SUM($Z188:AR188)-SUM($CM188:DE188)</f>
        <v>21577</v>
      </c>
      <c r="BZ188" s="93">
        <f>SUM($Z188:AS188)-SUM($CM188:DF188)</f>
        <v>21577</v>
      </c>
      <c r="CA188" s="93">
        <f>SUM($Z188:AT188)-SUM($CM188:DG188)</f>
        <v>21577</v>
      </c>
      <c r="CB188" s="93">
        <f>SUM($Z188:AU188)-SUM($CM188:DH188)</f>
        <v>21577</v>
      </c>
      <c r="CC188" s="93">
        <f>SUM($Z188:AV188)-SUM($CM188:DI188)</f>
        <v>21577</v>
      </c>
      <c r="CD188" s="93">
        <f>SUM($Z188:AW188)-SUM($CM188:DJ188)</f>
        <v>21577</v>
      </c>
      <c r="CE188" s="93">
        <f>SUM($Z188:AX188)-SUM($CM188:DK188)</f>
        <v>21577</v>
      </c>
      <c r="CF188" s="93">
        <f>SUM($Z188:AY188)-SUM($CM188:DL188)</f>
        <v>21577</v>
      </c>
      <c r="CG188" s="93">
        <f>SUM($Z188:AZ188)-SUM($CM188:DM188)</f>
        <v>21577</v>
      </c>
      <c r="CH188" s="93">
        <f>SUM($Z188:BA188)-SUM($CM188:DN188)</f>
        <v>21577</v>
      </c>
      <c r="CI188" s="93">
        <f>SUM($Z188:BB188)-SUM($CM188:DO188)</f>
        <v>21577</v>
      </c>
      <c r="CJ188" s="93"/>
      <c r="CK188" s="93"/>
      <c r="CL188" s="93"/>
      <c r="CM188" s="93"/>
      <c r="CN188" s="93" cm="1">
        <f t="array" ref="CN188">SUMPRODUCT(TRANSPOSE(CN$4:CN$20),$G188:$W188)</f>
        <v>0</v>
      </c>
      <c r="CO188" s="93" cm="1">
        <f t="array" ref="CO188">SUMPRODUCT(TRANSPOSE(CO$4:CO$20),$G188:$W188)</f>
        <v>0</v>
      </c>
      <c r="CP188" s="93" cm="1">
        <f t="array" ref="CP188">SUMPRODUCT(TRANSPOSE(CP$4:CP$20),$G188:$W188)</f>
        <v>0</v>
      </c>
      <c r="CQ188" s="93" cm="1">
        <f t="array" ref="CQ188">SUMPRODUCT(TRANSPOSE(CQ$4:CQ$20),$G188:$W188)</f>
        <v>4202</v>
      </c>
      <c r="CR188" s="93" cm="1">
        <f t="array" ref="CR188">SUMPRODUCT(TRANSPOSE(CR$4:CR$20),$G188:$W188)</f>
        <v>3850</v>
      </c>
      <c r="CS188" s="93" cm="1">
        <f t="array" ref="CS188">SUMPRODUCT(TRANSPOSE(CS$4:CS$20),$G188:$W188)</f>
        <v>3630</v>
      </c>
      <c r="CT188" s="93" cm="1">
        <f t="array" ref="CT188">SUMPRODUCT(TRANSPOSE(CT$4:CT$20),$G188:$W188)</f>
        <v>3410</v>
      </c>
      <c r="CU188" s="93" cm="1">
        <f t="array" ref="CU188">SUMPRODUCT(TRANSPOSE(CU$4:CU$20),$G188:$W188)</f>
        <v>3410</v>
      </c>
      <c r="CV188" s="93" cm="1">
        <f t="array" ref="CV188">SUMPRODUCT(TRANSPOSE(CV$4:CV$20),$G188:$W188)</f>
        <v>3410</v>
      </c>
      <c r="CW188" s="93" cm="1">
        <f t="array" ref="CW188">SUMPRODUCT(TRANSPOSE(CW$4:CW$20),$G188:$W188)</f>
        <v>3410</v>
      </c>
      <c r="CX188" s="93" cm="1">
        <f t="array" ref="CX188">SUMPRODUCT(TRANSPOSE(CX$4:CX$20),$G188:$W188)</f>
        <v>3410</v>
      </c>
      <c r="CY188" s="93" cm="1">
        <f t="array" ref="CY188">SUMPRODUCT(TRANSPOSE(CY$4:CY$20),$G188:$W188)</f>
        <v>3410</v>
      </c>
      <c r="CZ188" s="93" cm="1">
        <f t="array" ref="CZ188">SUMPRODUCT(TRANSPOSE(CZ$4:CZ$20),$G188:$W188)</f>
        <v>3025</v>
      </c>
      <c r="DA188" s="93" cm="1">
        <f t="array" ref="DA188">SUMPRODUCT(TRANSPOSE(DA$4:DA$20),$G188:$W188)</f>
        <v>2640</v>
      </c>
      <c r="DB188" s="93" cm="1">
        <f t="array" ref="DB188">SUMPRODUCT(TRANSPOSE(DB$4:DB$20),$G188:$W188)</f>
        <v>616</v>
      </c>
      <c r="DC188" s="93" cm="1">
        <f t="array" ref="DC188">SUMPRODUCT(TRANSPOSE(DC$4:DC$20),$G188:$W188)</f>
        <v>0</v>
      </c>
      <c r="DD188" s="93" cm="1">
        <f t="array" ref="DD188">SUMPRODUCT(TRANSPOSE(DD$4:DD$20),$G188:$W188)</f>
        <v>0</v>
      </c>
      <c r="DE188" s="93" cm="1">
        <f t="array" ref="DE188">SUMPRODUCT(TRANSPOSE(DE$4:DE$20),$G188:$W188)</f>
        <v>0</v>
      </c>
      <c r="DF188" s="93" cm="1">
        <f t="array" ref="DF188">SUMPRODUCT(TRANSPOSE(DF$4:DF$20),$G188:$W188)</f>
        <v>0</v>
      </c>
      <c r="DG188" s="93" cm="1">
        <f t="array" ref="DG188">SUMPRODUCT(TRANSPOSE(DG$4:DG$20),$G188:$W188)</f>
        <v>0</v>
      </c>
      <c r="DH188" s="93" cm="1">
        <f t="array" ref="DH188">SUMPRODUCT(TRANSPOSE(DH$4:DH$20),$G188:$W188)</f>
        <v>0</v>
      </c>
      <c r="DI188" s="93" cm="1">
        <f t="array" ref="DI188">SUMPRODUCT(TRANSPOSE(DI$4:DI$20),$G188:$W188)</f>
        <v>0</v>
      </c>
      <c r="DJ188" s="93" cm="1">
        <f t="array" ref="DJ188">SUMPRODUCT(TRANSPOSE(DJ$4:DJ$20),$G188:$W188)</f>
        <v>0</v>
      </c>
      <c r="DK188" s="93" cm="1">
        <f t="array" ref="DK188">SUMPRODUCT(TRANSPOSE(DK$4:DK$20),$G188:$W188)</f>
        <v>0</v>
      </c>
      <c r="DL188" s="93" cm="1">
        <f t="array" ref="DL188">SUMPRODUCT(TRANSPOSE(DL$4:DL$20),$G188:$W188)</f>
        <v>0</v>
      </c>
      <c r="DM188" s="93" cm="1">
        <f t="array" ref="DM188">SUMPRODUCT(TRANSPOSE(DM$4:DM$20),$G188:$W188)</f>
        <v>0</v>
      </c>
      <c r="DN188" s="93" cm="1">
        <f t="array" ref="DN188">SUMPRODUCT(TRANSPOSE(DN$4:DN$20),$G188:$W188)</f>
        <v>0</v>
      </c>
      <c r="DO188" s="93" cm="1">
        <f t="array" ref="DO188">SUMPRODUCT(TRANSPOSE(DO$4:DO$20),$G188:$W188)</f>
        <v>0</v>
      </c>
    </row>
    <row r="189" spans="1:119" x14ac:dyDescent="0.2">
      <c r="A189" s="45">
        <f t="shared" si="28"/>
        <v>168</v>
      </c>
      <c r="B189" s="46" t="s">
        <v>464</v>
      </c>
      <c r="C189" s="45">
        <v>401053474</v>
      </c>
      <c r="D189" s="45" t="s">
        <v>465</v>
      </c>
      <c r="E189" s="45" t="s">
        <v>162</v>
      </c>
      <c r="F189" s="48">
        <v>2</v>
      </c>
      <c r="G189" s="100">
        <v>0</v>
      </c>
      <c r="H189" s="100">
        <v>0</v>
      </c>
      <c r="I189" s="100">
        <v>0</v>
      </c>
      <c r="J189" s="100">
        <v>0</v>
      </c>
      <c r="K189" s="100">
        <v>0</v>
      </c>
      <c r="L189" s="100">
        <v>0</v>
      </c>
      <c r="M189" s="100">
        <v>0</v>
      </c>
      <c r="N189" s="100">
        <v>0</v>
      </c>
      <c r="O189" s="100">
        <v>0</v>
      </c>
      <c r="P189" s="100">
        <v>0</v>
      </c>
      <c r="Q189" s="100">
        <v>0</v>
      </c>
      <c r="R189" s="100">
        <v>8</v>
      </c>
      <c r="S189" s="100">
        <v>0</v>
      </c>
      <c r="T189" s="100">
        <v>0</v>
      </c>
      <c r="U189" s="100">
        <v>0</v>
      </c>
      <c r="V189" s="100">
        <v>8</v>
      </c>
      <c r="W189" s="100">
        <v>0</v>
      </c>
      <c r="X189" s="45" t="s">
        <v>61</v>
      </c>
      <c r="Y189" s="49">
        <v>4.0000000000000001E-3</v>
      </c>
      <c r="Z189" s="45">
        <v>10000</v>
      </c>
      <c r="AA189" s="45">
        <v>0</v>
      </c>
      <c r="AB189" s="45">
        <v>0</v>
      </c>
      <c r="AC189" s="45">
        <v>0</v>
      </c>
      <c r="AD189" s="45">
        <v>0</v>
      </c>
      <c r="AE189" s="45">
        <v>0</v>
      </c>
      <c r="AF189" s="45">
        <v>0</v>
      </c>
      <c r="AG189" s="45">
        <v>0</v>
      </c>
      <c r="AH189" s="45">
        <v>0</v>
      </c>
      <c r="AI189" s="45">
        <v>0</v>
      </c>
      <c r="AJ189" s="45">
        <v>0</v>
      </c>
      <c r="AK189" s="45">
        <v>0</v>
      </c>
      <c r="AL189" s="45">
        <v>0</v>
      </c>
      <c r="AM189" s="45">
        <v>0</v>
      </c>
      <c r="AN189" s="45">
        <v>0</v>
      </c>
      <c r="AO189" s="45"/>
      <c r="AP189" s="45"/>
      <c r="AQ189" s="45"/>
      <c r="AR189" s="45"/>
      <c r="AS189" s="45"/>
      <c r="AT189" s="45"/>
      <c r="AU189" s="45"/>
      <c r="AV189" s="45"/>
      <c r="AW189" s="45"/>
      <c r="AX189" s="45"/>
      <c r="AY189" s="45"/>
      <c r="AZ189" s="45"/>
      <c r="BA189" s="45"/>
      <c r="BB189" s="45"/>
      <c r="BC189" s="45"/>
      <c r="BD189" s="93"/>
      <c r="BE189" s="93"/>
      <c r="BF189" s="93"/>
      <c r="BG189" s="93"/>
      <c r="BH189" s="93"/>
      <c r="BI189" s="93"/>
      <c r="BJ189" s="93"/>
      <c r="BK189" s="93">
        <f>SUM($Z189:AD189)-SUM($CM189:CQ189)</f>
        <v>9440</v>
      </c>
      <c r="BL189" s="93">
        <f>SUM($Z189:AE189)-SUM($CM189:CR189)</f>
        <v>8880</v>
      </c>
      <c r="BM189" s="93">
        <f>SUM($Z189:AF189)-SUM($CM189:CS189)</f>
        <v>8320</v>
      </c>
      <c r="BN189" s="93">
        <f>SUM($Z189:AG189)-SUM($CM189:CT189)</f>
        <v>7760</v>
      </c>
      <c r="BO189" s="93">
        <f>SUM($Z189:AH189)-SUM($CM189:CU189)</f>
        <v>7200</v>
      </c>
      <c r="BP189" s="93">
        <f>SUM($Z189:AI189)-SUM($CM189:CV189)</f>
        <v>6640</v>
      </c>
      <c r="BQ189" s="93">
        <f>SUM($Z189:AJ189)-SUM($CM189:CW189)</f>
        <v>6080</v>
      </c>
      <c r="BR189" s="93">
        <f>SUM($Z189:AK189)-SUM($CM189:CX189)</f>
        <v>5520</v>
      </c>
      <c r="BS189" s="93">
        <f>SUM($Z189:AL189)-SUM($CM189:CY189)</f>
        <v>4960</v>
      </c>
      <c r="BT189" s="93">
        <f>SUM($Z189:AM189)-SUM($CM189:CZ189)</f>
        <v>4680</v>
      </c>
      <c r="BU189" s="93">
        <f>SUM($Z189:AN189)-SUM($CM189:DA189)</f>
        <v>4680</v>
      </c>
      <c r="BV189" s="93">
        <f>SUM($Z189:AO189)-SUM($CM189:DB189)</f>
        <v>4680</v>
      </c>
      <c r="BW189" s="93">
        <f>SUM($Z189:AP189)-SUM($CM189:DC189)</f>
        <v>4680</v>
      </c>
      <c r="BX189" s="93">
        <f>SUM($Z189:AQ189)-SUM($CM189:DD189)</f>
        <v>4680</v>
      </c>
      <c r="BY189" s="93">
        <f>SUM($Z189:AR189)-SUM($CM189:DE189)</f>
        <v>4680</v>
      </c>
      <c r="BZ189" s="93">
        <f>SUM($Z189:AS189)-SUM($CM189:DF189)</f>
        <v>4680</v>
      </c>
      <c r="CA189" s="93">
        <f>SUM($Z189:AT189)-SUM($CM189:DG189)</f>
        <v>4680</v>
      </c>
      <c r="CB189" s="93">
        <f>SUM($Z189:AU189)-SUM($CM189:DH189)</f>
        <v>4680</v>
      </c>
      <c r="CC189" s="93">
        <f>SUM($Z189:AV189)-SUM($CM189:DI189)</f>
        <v>4680</v>
      </c>
      <c r="CD189" s="93">
        <f>SUM($Z189:AW189)-SUM($CM189:DJ189)</f>
        <v>4680</v>
      </c>
      <c r="CE189" s="93">
        <f>SUM($Z189:AX189)-SUM($CM189:DK189)</f>
        <v>4680</v>
      </c>
      <c r="CF189" s="93">
        <f>SUM($Z189:AY189)-SUM($CM189:DL189)</f>
        <v>4680</v>
      </c>
      <c r="CG189" s="93">
        <f>SUM($Z189:AZ189)-SUM($CM189:DM189)</f>
        <v>4680</v>
      </c>
      <c r="CH189" s="93">
        <f>SUM($Z189:BA189)-SUM($CM189:DN189)</f>
        <v>4680</v>
      </c>
      <c r="CI189" s="93">
        <f>SUM($Z189:BB189)-SUM($CM189:DO189)</f>
        <v>4680</v>
      </c>
      <c r="CJ189" s="93"/>
      <c r="CK189" s="93"/>
      <c r="CL189" s="93"/>
      <c r="CM189" s="93"/>
      <c r="CN189" s="93" cm="1">
        <f t="array" ref="CN189">SUMPRODUCT(TRANSPOSE(CN$4:CN$20),$G189:$W189)</f>
        <v>0</v>
      </c>
      <c r="CO189" s="93" cm="1">
        <f t="array" ref="CO189">SUMPRODUCT(TRANSPOSE(CO$4:CO$20),$G189:$W189)</f>
        <v>0</v>
      </c>
      <c r="CP189" s="93" cm="1">
        <f t="array" ref="CP189">SUMPRODUCT(TRANSPOSE(CP$4:CP$20),$G189:$W189)</f>
        <v>0</v>
      </c>
      <c r="CQ189" s="93" cm="1">
        <f t="array" ref="CQ189">SUMPRODUCT(TRANSPOSE(CQ$4:CQ$20),$G189:$W189)</f>
        <v>560</v>
      </c>
      <c r="CR189" s="93" cm="1">
        <f t="array" ref="CR189">SUMPRODUCT(TRANSPOSE(CR$4:CR$20),$G189:$W189)</f>
        <v>560</v>
      </c>
      <c r="CS189" s="93" cm="1">
        <f t="array" ref="CS189">SUMPRODUCT(TRANSPOSE(CS$4:CS$20),$G189:$W189)</f>
        <v>560</v>
      </c>
      <c r="CT189" s="93" cm="1">
        <f t="array" ref="CT189">SUMPRODUCT(TRANSPOSE(CT$4:CT$20),$G189:$W189)</f>
        <v>560</v>
      </c>
      <c r="CU189" s="93" cm="1">
        <f t="array" ref="CU189">SUMPRODUCT(TRANSPOSE(CU$4:CU$20),$G189:$W189)</f>
        <v>560</v>
      </c>
      <c r="CV189" s="93" cm="1">
        <f t="array" ref="CV189">SUMPRODUCT(TRANSPOSE(CV$4:CV$20),$G189:$W189)</f>
        <v>560</v>
      </c>
      <c r="CW189" s="93" cm="1">
        <f t="array" ref="CW189">SUMPRODUCT(TRANSPOSE(CW$4:CW$20),$G189:$W189)</f>
        <v>560</v>
      </c>
      <c r="CX189" s="93" cm="1">
        <f t="array" ref="CX189">SUMPRODUCT(TRANSPOSE(CX$4:CX$20),$G189:$W189)</f>
        <v>560</v>
      </c>
      <c r="CY189" s="93" cm="1">
        <f t="array" ref="CY189">SUMPRODUCT(TRANSPOSE(CY$4:CY$20),$G189:$W189)</f>
        <v>560</v>
      </c>
      <c r="CZ189" s="93" cm="1">
        <f t="array" ref="CZ189">SUMPRODUCT(TRANSPOSE(CZ$4:CZ$20),$G189:$W189)</f>
        <v>280</v>
      </c>
      <c r="DA189" s="93" cm="1">
        <f t="array" ref="DA189">SUMPRODUCT(TRANSPOSE(DA$4:DA$20),$G189:$W189)</f>
        <v>0</v>
      </c>
      <c r="DB189" s="93" cm="1">
        <f t="array" ref="DB189">SUMPRODUCT(TRANSPOSE(DB$4:DB$20),$G189:$W189)</f>
        <v>0</v>
      </c>
      <c r="DC189" s="93" cm="1">
        <f t="array" ref="DC189">SUMPRODUCT(TRANSPOSE(DC$4:DC$20),$G189:$W189)</f>
        <v>0</v>
      </c>
      <c r="DD189" s="93" cm="1">
        <f t="array" ref="DD189">SUMPRODUCT(TRANSPOSE(DD$4:DD$20),$G189:$W189)</f>
        <v>0</v>
      </c>
      <c r="DE189" s="93" cm="1">
        <f t="array" ref="DE189">SUMPRODUCT(TRANSPOSE(DE$4:DE$20),$G189:$W189)</f>
        <v>0</v>
      </c>
      <c r="DF189" s="93" cm="1">
        <f t="array" ref="DF189">SUMPRODUCT(TRANSPOSE(DF$4:DF$20),$G189:$W189)</f>
        <v>0</v>
      </c>
      <c r="DG189" s="93" cm="1">
        <f t="array" ref="DG189">SUMPRODUCT(TRANSPOSE(DG$4:DG$20),$G189:$W189)</f>
        <v>0</v>
      </c>
      <c r="DH189" s="93" cm="1">
        <f t="array" ref="DH189">SUMPRODUCT(TRANSPOSE(DH$4:DH$20),$G189:$W189)</f>
        <v>0</v>
      </c>
      <c r="DI189" s="93" cm="1">
        <f t="array" ref="DI189">SUMPRODUCT(TRANSPOSE(DI$4:DI$20),$G189:$W189)</f>
        <v>0</v>
      </c>
      <c r="DJ189" s="93" cm="1">
        <f t="array" ref="DJ189">SUMPRODUCT(TRANSPOSE(DJ$4:DJ$20),$G189:$W189)</f>
        <v>0</v>
      </c>
      <c r="DK189" s="93" cm="1">
        <f t="array" ref="DK189">SUMPRODUCT(TRANSPOSE(DK$4:DK$20),$G189:$W189)</f>
        <v>0</v>
      </c>
      <c r="DL189" s="93" cm="1">
        <f t="array" ref="DL189">SUMPRODUCT(TRANSPOSE(DL$4:DL$20),$G189:$W189)</f>
        <v>0</v>
      </c>
      <c r="DM189" s="93" cm="1">
        <f t="array" ref="DM189">SUMPRODUCT(TRANSPOSE(DM$4:DM$20),$G189:$W189)</f>
        <v>0</v>
      </c>
      <c r="DN189" s="93" cm="1">
        <f t="array" ref="DN189">SUMPRODUCT(TRANSPOSE(DN$4:DN$20),$G189:$W189)</f>
        <v>0</v>
      </c>
      <c r="DO189" s="93" cm="1">
        <f t="array" ref="DO189">SUMPRODUCT(TRANSPOSE(DO$4:DO$20),$G189:$W189)</f>
        <v>0</v>
      </c>
    </row>
    <row r="190" spans="1:119" x14ac:dyDescent="0.2">
      <c r="A190" s="45">
        <f t="shared" si="28"/>
        <v>169</v>
      </c>
      <c r="B190" s="46" t="s">
        <v>466</v>
      </c>
      <c r="C190" s="45">
        <v>400271772</v>
      </c>
      <c r="D190" s="45" t="s">
        <v>467</v>
      </c>
      <c r="E190" s="45" t="s">
        <v>162</v>
      </c>
      <c r="F190" s="48">
        <v>2</v>
      </c>
      <c r="G190" s="100">
        <v>0</v>
      </c>
      <c r="H190" s="100">
        <v>0</v>
      </c>
      <c r="I190" s="100">
        <v>0</v>
      </c>
      <c r="J190" s="100">
        <v>0</v>
      </c>
      <c r="K190" s="100">
        <v>0</v>
      </c>
      <c r="L190" s="100">
        <v>0</v>
      </c>
      <c r="M190" s="100">
        <v>0</v>
      </c>
      <c r="N190" s="100">
        <v>0</v>
      </c>
      <c r="O190" s="100">
        <v>0</v>
      </c>
      <c r="P190" s="100">
        <v>0</v>
      </c>
      <c r="Q190" s="100">
        <v>0</v>
      </c>
      <c r="R190" s="100">
        <v>1</v>
      </c>
      <c r="S190" s="100">
        <v>0</v>
      </c>
      <c r="T190" s="100">
        <v>0</v>
      </c>
      <c r="U190" s="100">
        <v>0</v>
      </c>
      <c r="V190" s="100">
        <v>1</v>
      </c>
      <c r="W190" s="100">
        <v>0</v>
      </c>
      <c r="X190" s="45" t="s">
        <v>61</v>
      </c>
      <c r="Y190" s="49">
        <v>4.0000000000000001E-3</v>
      </c>
      <c r="Z190" s="45">
        <v>10000</v>
      </c>
      <c r="AA190" s="45">
        <v>0</v>
      </c>
      <c r="AB190" s="45">
        <v>0</v>
      </c>
      <c r="AC190" s="45">
        <v>0</v>
      </c>
      <c r="AD190" s="45">
        <v>0</v>
      </c>
      <c r="AE190" s="45">
        <v>0</v>
      </c>
      <c r="AF190" s="45">
        <v>0</v>
      </c>
      <c r="AG190" s="45">
        <v>0</v>
      </c>
      <c r="AH190" s="45">
        <v>0</v>
      </c>
      <c r="AI190" s="45">
        <v>0</v>
      </c>
      <c r="AJ190" s="45">
        <v>0</v>
      </c>
      <c r="AK190" s="45">
        <v>0</v>
      </c>
      <c r="AL190" s="45">
        <v>0</v>
      </c>
      <c r="AM190" s="45">
        <v>0</v>
      </c>
      <c r="AN190" s="45">
        <v>0</v>
      </c>
      <c r="AO190" s="45"/>
      <c r="AP190" s="45"/>
      <c r="AQ190" s="45"/>
      <c r="AR190" s="45"/>
      <c r="AS190" s="45"/>
      <c r="AT190" s="45"/>
      <c r="AU190" s="45"/>
      <c r="AV190" s="45"/>
      <c r="AW190" s="45"/>
      <c r="AX190" s="45"/>
      <c r="AY190" s="45"/>
      <c r="AZ190" s="45"/>
      <c r="BA190" s="45"/>
      <c r="BB190" s="45"/>
      <c r="BC190" s="45"/>
      <c r="BD190" s="93"/>
      <c r="BE190" s="93"/>
      <c r="BF190" s="93"/>
      <c r="BG190" s="93"/>
      <c r="BH190" s="93"/>
      <c r="BI190" s="93"/>
      <c r="BJ190" s="93"/>
      <c r="BK190" s="93">
        <f>SUM($Z190:AD190)-SUM($CM190:CQ190)</f>
        <v>9930</v>
      </c>
      <c r="BL190" s="93">
        <f>SUM($Z190:AE190)-SUM($CM190:CR190)</f>
        <v>9860</v>
      </c>
      <c r="BM190" s="93">
        <f>SUM($Z190:AF190)-SUM($CM190:CS190)</f>
        <v>9790</v>
      </c>
      <c r="BN190" s="93">
        <f>SUM($Z190:AG190)-SUM($CM190:CT190)</f>
        <v>9720</v>
      </c>
      <c r="BO190" s="93">
        <f>SUM($Z190:AH190)-SUM($CM190:CU190)</f>
        <v>9650</v>
      </c>
      <c r="BP190" s="93">
        <f>SUM($Z190:AI190)-SUM($CM190:CV190)</f>
        <v>9580</v>
      </c>
      <c r="BQ190" s="93">
        <f>SUM($Z190:AJ190)-SUM($CM190:CW190)</f>
        <v>9510</v>
      </c>
      <c r="BR190" s="93">
        <f>SUM($Z190:AK190)-SUM($CM190:CX190)</f>
        <v>9440</v>
      </c>
      <c r="BS190" s="93">
        <f>SUM($Z190:AL190)-SUM($CM190:CY190)</f>
        <v>9370</v>
      </c>
      <c r="BT190" s="93">
        <f>SUM($Z190:AM190)-SUM($CM190:CZ190)</f>
        <v>9335</v>
      </c>
      <c r="BU190" s="93">
        <f>SUM($Z190:AN190)-SUM($CM190:DA190)</f>
        <v>9335</v>
      </c>
      <c r="BV190" s="93">
        <f>SUM($Z190:AO190)-SUM($CM190:DB190)</f>
        <v>9335</v>
      </c>
      <c r="BW190" s="93">
        <f>SUM($Z190:AP190)-SUM($CM190:DC190)</f>
        <v>9335</v>
      </c>
      <c r="BX190" s="93">
        <f>SUM($Z190:AQ190)-SUM($CM190:DD190)</f>
        <v>9335</v>
      </c>
      <c r="BY190" s="93">
        <f>SUM($Z190:AR190)-SUM($CM190:DE190)</f>
        <v>9335</v>
      </c>
      <c r="BZ190" s="93">
        <f>SUM($Z190:AS190)-SUM($CM190:DF190)</f>
        <v>9335</v>
      </c>
      <c r="CA190" s="93">
        <f>SUM($Z190:AT190)-SUM($CM190:DG190)</f>
        <v>9335</v>
      </c>
      <c r="CB190" s="93">
        <f>SUM($Z190:AU190)-SUM($CM190:DH190)</f>
        <v>9335</v>
      </c>
      <c r="CC190" s="93">
        <f>SUM($Z190:AV190)-SUM($CM190:DI190)</f>
        <v>9335</v>
      </c>
      <c r="CD190" s="93">
        <f>SUM($Z190:AW190)-SUM($CM190:DJ190)</f>
        <v>9335</v>
      </c>
      <c r="CE190" s="93">
        <f>SUM($Z190:AX190)-SUM($CM190:DK190)</f>
        <v>9335</v>
      </c>
      <c r="CF190" s="93">
        <f>SUM($Z190:AY190)-SUM($CM190:DL190)</f>
        <v>9335</v>
      </c>
      <c r="CG190" s="93">
        <f>SUM($Z190:AZ190)-SUM($CM190:DM190)</f>
        <v>9335</v>
      </c>
      <c r="CH190" s="93">
        <f>SUM($Z190:BA190)-SUM($CM190:DN190)</f>
        <v>9335</v>
      </c>
      <c r="CI190" s="93">
        <f>SUM($Z190:BB190)-SUM($CM190:DO190)</f>
        <v>9335</v>
      </c>
      <c r="CJ190" s="93"/>
      <c r="CK190" s="93"/>
      <c r="CL190" s="93"/>
      <c r="CM190" s="93"/>
      <c r="CN190" s="93" cm="1">
        <f t="array" ref="CN190">SUMPRODUCT(TRANSPOSE(CN$4:CN$20),$G190:$W190)</f>
        <v>0</v>
      </c>
      <c r="CO190" s="93" cm="1">
        <f t="array" ref="CO190">SUMPRODUCT(TRANSPOSE(CO$4:CO$20),$G190:$W190)</f>
        <v>0</v>
      </c>
      <c r="CP190" s="93" cm="1">
        <f t="array" ref="CP190">SUMPRODUCT(TRANSPOSE(CP$4:CP$20),$G190:$W190)</f>
        <v>0</v>
      </c>
      <c r="CQ190" s="93" cm="1">
        <f t="array" ref="CQ190">SUMPRODUCT(TRANSPOSE(CQ$4:CQ$20),$G190:$W190)</f>
        <v>70</v>
      </c>
      <c r="CR190" s="93" cm="1">
        <f t="array" ref="CR190">SUMPRODUCT(TRANSPOSE(CR$4:CR$20),$G190:$W190)</f>
        <v>70</v>
      </c>
      <c r="CS190" s="93" cm="1">
        <f t="array" ref="CS190">SUMPRODUCT(TRANSPOSE(CS$4:CS$20),$G190:$W190)</f>
        <v>70</v>
      </c>
      <c r="CT190" s="93" cm="1">
        <f t="array" ref="CT190">SUMPRODUCT(TRANSPOSE(CT$4:CT$20),$G190:$W190)</f>
        <v>70</v>
      </c>
      <c r="CU190" s="93" cm="1">
        <f t="array" ref="CU190">SUMPRODUCT(TRANSPOSE(CU$4:CU$20),$G190:$W190)</f>
        <v>70</v>
      </c>
      <c r="CV190" s="93" cm="1">
        <f t="array" ref="CV190">SUMPRODUCT(TRANSPOSE(CV$4:CV$20),$G190:$W190)</f>
        <v>70</v>
      </c>
      <c r="CW190" s="93" cm="1">
        <f t="array" ref="CW190">SUMPRODUCT(TRANSPOSE(CW$4:CW$20),$G190:$W190)</f>
        <v>70</v>
      </c>
      <c r="CX190" s="93" cm="1">
        <f t="array" ref="CX190">SUMPRODUCT(TRANSPOSE(CX$4:CX$20),$G190:$W190)</f>
        <v>70</v>
      </c>
      <c r="CY190" s="93" cm="1">
        <f t="array" ref="CY190">SUMPRODUCT(TRANSPOSE(CY$4:CY$20),$G190:$W190)</f>
        <v>70</v>
      </c>
      <c r="CZ190" s="93" cm="1">
        <f t="array" ref="CZ190">SUMPRODUCT(TRANSPOSE(CZ$4:CZ$20),$G190:$W190)</f>
        <v>35</v>
      </c>
      <c r="DA190" s="93" cm="1">
        <f t="array" ref="DA190">SUMPRODUCT(TRANSPOSE(DA$4:DA$20),$G190:$W190)</f>
        <v>0</v>
      </c>
      <c r="DB190" s="93" cm="1">
        <f t="array" ref="DB190">SUMPRODUCT(TRANSPOSE(DB$4:DB$20),$G190:$W190)</f>
        <v>0</v>
      </c>
      <c r="DC190" s="93" cm="1">
        <f t="array" ref="DC190">SUMPRODUCT(TRANSPOSE(DC$4:DC$20),$G190:$W190)</f>
        <v>0</v>
      </c>
      <c r="DD190" s="93" cm="1">
        <f t="array" ref="DD190">SUMPRODUCT(TRANSPOSE(DD$4:DD$20),$G190:$W190)</f>
        <v>0</v>
      </c>
      <c r="DE190" s="93" cm="1">
        <f t="array" ref="DE190">SUMPRODUCT(TRANSPOSE(DE$4:DE$20),$G190:$W190)</f>
        <v>0</v>
      </c>
      <c r="DF190" s="93" cm="1">
        <f t="array" ref="DF190">SUMPRODUCT(TRANSPOSE(DF$4:DF$20),$G190:$W190)</f>
        <v>0</v>
      </c>
      <c r="DG190" s="93" cm="1">
        <f t="array" ref="DG190">SUMPRODUCT(TRANSPOSE(DG$4:DG$20),$G190:$W190)</f>
        <v>0</v>
      </c>
      <c r="DH190" s="93" cm="1">
        <f t="array" ref="DH190">SUMPRODUCT(TRANSPOSE(DH$4:DH$20),$G190:$W190)</f>
        <v>0</v>
      </c>
      <c r="DI190" s="93" cm="1">
        <f t="array" ref="DI190">SUMPRODUCT(TRANSPOSE(DI$4:DI$20),$G190:$W190)</f>
        <v>0</v>
      </c>
      <c r="DJ190" s="93" cm="1">
        <f t="array" ref="DJ190">SUMPRODUCT(TRANSPOSE(DJ$4:DJ$20),$G190:$W190)</f>
        <v>0</v>
      </c>
      <c r="DK190" s="93" cm="1">
        <f t="array" ref="DK190">SUMPRODUCT(TRANSPOSE(DK$4:DK$20),$G190:$W190)</f>
        <v>0</v>
      </c>
      <c r="DL190" s="93" cm="1">
        <f t="array" ref="DL190">SUMPRODUCT(TRANSPOSE(DL$4:DL$20),$G190:$W190)</f>
        <v>0</v>
      </c>
      <c r="DM190" s="93" cm="1">
        <f t="array" ref="DM190">SUMPRODUCT(TRANSPOSE(DM$4:DM$20),$G190:$W190)</f>
        <v>0</v>
      </c>
      <c r="DN190" s="93" cm="1">
        <f t="array" ref="DN190">SUMPRODUCT(TRANSPOSE(DN$4:DN$20),$G190:$W190)</f>
        <v>0</v>
      </c>
      <c r="DO190" s="93" cm="1">
        <f t="array" ref="DO190">SUMPRODUCT(TRANSPOSE(DO$4:DO$20),$G190:$W190)</f>
        <v>0</v>
      </c>
    </row>
    <row r="191" spans="1:119" x14ac:dyDescent="0.2">
      <c r="A191" s="45">
        <f t="shared" si="28"/>
        <v>170</v>
      </c>
      <c r="B191" s="46" t="s">
        <v>468</v>
      </c>
      <c r="C191" s="45">
        <v>400693203</v>
      </c>
      <c r="D191" s="45" t="s">
        <v>469</v>
      </c>
      <c r="E191" s="45" t="s">
        <v>162</v>
      </c>
      <c r="F191" s="48">
        <v>2</v>
      </c>
      <c r="G191" s="100">
        <v>0</v>
      </c>
      <c r="H191" s="100">
        <v>0</v>
      </c>
      <c r="I191" s="100">
        <v>0</v>
      </c>
      <c r="J191" s="100">
        <v>0</v>
      </c>
      <c r="K191" s="100">
        <v>0</v>
      </c>
      <c r="L191" s="100">
        <v>0</v>
      </c>
      <c r="M191" s="100">
        <v>0</v>
      </c>
      <c r="N191" s="100">
        <v>0</v>
      </c>
      <c r="O191" s="100">
        <v>0</v>
      </c>
      <c r="P191" s="100">
        <v>0</v>
      </c>
      <c r="Q191" s="100">
        <v>0</v>
      </c>
      <c r="R191" s="100">
        <v>2</v>
      </c>
      <c r="S191" s="100">
        <v>0</v>
      </c>
      <c r="T191" s="100">
        <v>0</v>
      </c>
      <c r="U191" s="100">
        <v>0</v>
      </c>
      <c r="V191" s="100">
        <v>2</v>
      </c>
      <c r="W191" s="100">
        <v>0</v>
      </c>
      <c r="X191" s="45" t="s">
        <v>63</v>
      </c>
      <c r="Y191" s="49">
        <v>1.5096000000000003E-3</v>
      </c>
      <c r="Z191" s="45">
        <v>5000</v>
      </c>
      <c r="AA191" s="45">
        <v>0</v>
      </c>
      <c r="AB191" s="45">
        <v>0</v>
      </c>
      <c r="AC191" s="45">
        <v>0</v>
      </c>
      <c r="AD191" s="45">
        <v>0</v>
      </c>
      <c r="AE191" s="45">
        <v>0</v>
      </c>
      <c r="AF191" s="45">
        <v>0</v>
      </c>
      <c r="AG191" s="45">
        <v>0</v>
      </c>
      <c r="AH191" s="45">
        <v>0</v>
      </c>
      <c r="AI191" s="45">
        <v>0</v>
      </c>
      <c r="AJ191" s="45">
        <v>0</v>
      </c>
      <c r="AK191" s="45">
        <v>0</v>
      </c>
      <c r="AL191" s="45">
        <v>0</v>
      </c>
      <c r="AM191" s="45">
        <v>0</v>
      </c>
      <c r="AN191" s="45">
        <v>0</v>
      </c>
      <c r="AO191" s="45"/>
      <c r="AP191" s="45"/>
      <c r="AQ191" s="45"/>
      <c r="AR191" s="45"/>
      <c r="AS191" s="45"/>
      <c r="AT191" s="45"/>
      <c r="AU191" s="45"/>
      <c r="AV191" s="45"/>
      <c r="AW191" s="45"/>
      <c r="AX191" s="45"/>
      <c r="AY191" s="45"/>
      <c r="AZ191" s="45"/>
      <c r="BA191" s="45"/>
      <c r="BB191" s="45"/>
      <c r="BC191" s="45"/>
      <c r="BD191" s="93"/>
      <c r="BE191" s="93"/>
      <c r="BF191" s="93"/>
      <c r="BG191" s="93"/>
      <c r="BH191" s="93"/>
      <c r="BI191" s="93"/>
      <c r="BJ191" s="93"/>
      <c r="BK191" s="93">
        <f>SUM($Z191:AD191)-SUM($CM191:CQ191)</f>
        <v>4860</v>
      </c>
      <c r="BL191" s="93">
        <f>SUM($Z191:AE191)-SUM($CM191:CR191)</f>
        <v>4720</v>
      </c>
      <c r="BM191" s="93">
        <f>SUM($Z191:AF191)-SUM($CM191:CS191)</f>
        <v>4580</v>
      </c>
      <c r="BN191" s="93">
        <f>SUM($Z191:AG191)-SUM($CM191:CT191)</f>
        <v>4440</v>
      </c>
      <c r="BO191" s="93">
        <f>SUM($Z191:AH191)-SUM($CM191:CU191)</f>
        <v>4300</v>
      </c>
      <c r="BP191" s="93">
        <f>SUM($Z191:AI191)-SUM($CM191:CV191)</f>
        <v>4160</v>
      </c>
      <c r="BQ191" s="93">
        <f>SUM($Z191:AJ191)-SUM($CM191:CW191)</f>
        <v>4020</v>
      </c>
      <c r="BR191" s="93">
        <f>SUM($Z191:AK191)-SUM($CM191:CX191)</f>
        <v>3880</v>
      </c>
      <c r="BS191" s="93">
        <f>SUM($Z191:AL191)-SUM($CM191:CY191)</f>
        <v>3740</v>
      </c>
      <c r="BT191" s="93">
        <f>SUM($Z191:AM191)-SUM($CM191:CZ191)</f>
        <v>3670</v>
      </c>
      <c r="BU191" s="93">
        <f>SUM($Z191:AN191)-SUM($CM191:DA191)</f>
        <v>3670</v>
      </c>
      <c r="BV191" s="93">
        <f>SUM($Z191:AO191)-SUM($CM191:DB191)</f>
        <v>3670</v>
      </c>
      <c r="BW191" s="93">
        <f>SUM($Z191:AP191)-SUM($CM191:DC191)</f>
        <v>3670</v>
      </c>
      <c r="BX191" s="93">
        <f>SUM($Z191:AQ191)-SUM($CM191:DD191)</f>
        <v>3670</v>
      </c>
      <c r="BY191" s="93">
        <f>SUM($Z191:AR191)-SUM($CM191:DE191)</f>
        <v>3670</v>
      </c>
      <c r="BZ191" s="93">
        <f>SUM($Z191:AS191)-SUM($CM191:DF191)</f>
        <v>3670</v>
      </c>
      <c r="CA191" s="93">
        <f>SUM($Z191:AT191)-SUM($CM191:DG191)</f>
        <v>3670</v>
      </c>
      <c r="CB191" s="93">
        <f>SUM($Z191:AU191)-SUM($CM191:DH191)</f>
        <v>3670</v>
      </c>
      <c r="CC191" s="93">
        <f>SUM($Z191:AV191)-SUM($CM191:DI191)</f>
        <v>3670</v>
      </c>
      <c r="CD191" s="93">
        <f>SUM($Z191:AW191)-SUM($CM191:DJ191)</f>
        <v>3670</v>
      </c>
      <c r="CE191" s="93">
        <f>SUM($Z191:AX191)-SUM($CM191:DK191)</f>
        <v>3670</v>
      </c>
      <c r="CF191" s="93">
        <f>SUM($Z191:AY191)-SUM($CM191:DL191)</f>
        <v>3670</v>
      </c>
      <c r="CG191" s="93">
        <f>SUM($Z191:AZ191)-SUM($CM191:DM191)</f>
        <v>3670</v>
      </c>
      <c r="CH191" s="93">
        <f>SUM($Z191:BA191)-SUM($CM191:DN191)</f>
        <v>3670</v>
      </c>
      <c r="CI191" s="93">
        <f>SUM($Z191:BB191)-SUM($CM191:DO191)</f>
        <v>3670</v>
      </c>
      <c r="CJ191" s="93"/>
      <c r="CK191" s="93"/>
      <c r="CL191" s="93"/>
      <c r="CM191" s="93"/>
      <c r="CN191" s="93" cm="1">
        <f t="array" ref="CN191">SUMPRODUCT(TRANSPOSE(CN$4:CN$20),$G191:$W191)</f>
        <v>0</v>
      </c>
      <c r="CO191" s="93" cm="1">
        <f t="array" ref="CO191">SUMPRODUCT(TRANSPOSE(CO$4:CO$20),$G191:$W191)</f>
        <v>0</v>
      </c>
      <c r="CP191" s="93" cm="1">
        <f t="array" ref="CP191">SUMPRODUCT(TRANSPOSE(CP$4:CP$20),$G191:$W191)</f>
        <v>0</v>
      </c>
      <c r="CQ191" s="93" cm="1">
        <f t="array" ref="CQ191">SUMPRODUCT(TRANSPOSE(CQ$4:CQ$20),$G191:$W191)</f>
        <v>140</v>
      </c>
      <c r="CR191" s="93" cm="1">
        <f t="array" ref="CR191">SUMPRODUCT(TRANSPOSE(CR$4:CR$20),$G191:$W191)</f>
        <v>140</v>
      </c>
      <c r="CS191" s="93" cm="1">
        <f t="array" ref="CS191">SUMPRODUCT(TRANSPOSE(CS$4:CS$20),$G191:$W191)</f>
        <v>140</v>
      </c>
      <c r="CT191" s="93" cm="1">
        <f t="array" ref="CT191">SUMPRODUCT(TRANSPOSE(CT$4:CT$20),$G191:$W191)</f>
        <v>140</v>
      </c>
      <c r="CU191" s="93" cm="1">
        <f t="array" ref="CU191">SUMPRODUCT(TRANSPOSE(CU$4:CU$20),$G191:$W191)</f>
        <v>140</v>
      </c>
      <c r="CV191" s="93" cm="1">
        <f t="array" ref="CV191">SUMPRODUCT(TRANSPOSE(CV$4:CV$20),$G191:$W191)</f>
        <v>140</v>
      </c>
      <c r="CW191" s="93" cm="1">
        <f t="array" ref="CW191">SUMPRODUCT(TRANSPOSE(CW$4:CW$20),$G191:$W191)</f>
        <v>140</v>
      </c>
      <c r="CX191" s="93" cm="1">
        <f t="array" ref="CX191">SUMPRODUCT(TRANSPOSE(CX$4:CX$20),$G191:$W191)</f>
        <v>140</v>
      </c>
      <c r="CY191" s="93" cm="1">
        <f t="array" ref="CY191">SUMPRODUCT(TRANSPOSE(CY$4:CY$20),$G191:$W191)</f>
        <v>140</v>
      </c>
      <c r="CZ191" s="93" cm="1">
        <f t="array" ref="CZ191">SUMPRODUCT(TRANSPOSE(CZ$4:CZ$20),$G191:$W191)</f>
        <v>70</v>
      </c>
      <c r="DA191" s="93" cm="1">
        <f t="array" ref="DA191">SUMPRODUCT(TRANSPOSE(DA$4:DA$20),$G191:$W191)</f>
        <v>0</v>
      </c>
      <c r="DB191" s="93" cm="1">
        <f t="array" ref="DB191">SUMPRODUCT(TRANSPOSE(DB$4:DB$20),$G191:$W191)</f>
        <v>0</v>
      </c>
      <c r="DC191" s="93" cm="1">
        <f t="array" ref="DC191">SUMPRODUCT(TRANSPOSE(DC$4:DC$20),$G191:$W191)</f>
        <v>0</v>
      </c>
      <c r="DD191" s="93" cm="1">
        <f t="array" ref="DD191">SUMPRODUCT(TRANSPOSE(DD$4:DD$20),$G191:$W191)</f>
        <v>0</v>
      </c>
      <c r="DE191" s="93" cm="1">
        <f t="array" ref="DE191">SUMPRODUCT(TRANSPOSE(DE$4:DE$20),$G191:$W191)</f>
        <v>0</v>
      </c>
      <c r="DF191" s="93" cm="1">
        <f t="array" ref="DF191">SUMPRODUCT(TRANSPOSE(DF$4:DF$20),$G191:$W191)</f>
        <v>0</v>
      </c>
      <c r="DG191" s="93" cm="1">
        <f t="array" ref="DG191">SUMPRODUCT(TRANSPOSE(DG$4:DG$20),$G191:$W191)</f>
        <v>0</v>
      </c>
      <c r="DH191" s="93" cm="1">
        <f t="array" ref="DH191">SUMPRODUCT(TRANSPOSE(DH$4:DH$20),$G191:$W191)</f>
        <v>0</v>
      </c>
      <c r="DI191" s="93" cm="1">
        <f t="array" ref="DI191">SUMPRODUCT(TRANSPOSE(DI$4:DI$20),$G191:$W191)</f>
        <v>0</v>
      </c>
      <c r="DJ191" s="93" cm="1">
        <f t="array" ref="DJ191">SUMPRODUCT(TRANSPOSE(DJ$4:DJ$20),$G191:$W191)</f>
        <v>0</v>
      </c>
      <c r="DK191" s="93" cm="1">
        <f t="array" ref="DK191">SUMPRODUCT(TRANSPOSE(DK$4:DK$20),$G191:$W191)</f>
        <v>0</v>
      </c>
      <c r="DL191" s="93" cm="1">
        <f t="array" ref="DL191">SUMPRODUCT(TRANSPOSE(DL$4:DL$20),$G191:$W191)</f>
        <v>0</v>
      </c>
      <c r="DM191" s="93" cm="1">
        <f t="array" ref="DM191">SUMPRODUCT(TRANSPOSE(DM$4:DM$20),$G191:$W191)</f>
        <v>0</v>
      </c>
      <c r="DN191" s="93" cm="1">
        <f t="array" ref="DN191">SUMPRODUCT(TRANSPOSE(DN$4:DN$20),$G191:$W191)</f>
        <v>0</v>
      </c>
      <c r="DO191" s="93" cm="1">
        <f t="array" ref="DO191">SUMPRODUCT(TRANSPOSE(DO$4:DO$20),$G191:$W191)</f>
        <v>0</v>
      </c>
    </row>
    <row r="192" spans="1:119" x14ac:dyDescent="0.2">
      <c r="A192" s="45">
        <f t="shared" si="28"/>
        <v>171</v>
      </c>
      <c r="B192" s="46" t="s">
        <v>470</v>
      </c>
      <c r="C192" s="45">
        <v>400931576</v>
      </c>
      <c r="D192" s="45" t="s">
        <v>471</v>
      </c>
      <c r="E192" s="45" t="s">
        <v>162</v>
      </c>
      <c r="F192" s="48">
        <v>2</v>
      </c>
      <c r="G192" s="100">
        <v>0</v>
      </c>
      <c r="H192" s="100">
        <v>0</v>
      </c>
      <c r="I192" s="100">
        <v>0</v>
      </c>
      <c r="J192" s="100">
        <v>0</v>
      </c>
      <c r="K192" s="100">
        <v>0</v>
      </c>
      <c r="L192" s="100">
        <v>0</v>
      </c>
      <c r="M192" s="100">
        <v>0</v>
      </c>
      <c r="N192" s="100">
        <v>0</v>
      </c>
      <c r="O192" s="100">
        <v>0</v>
      </c>
      <c r="P192" s="100">
        <v>0</v>
      </c>
      <c r="Q192" s="100">
        <v>0</v>
      </c>
      <c r="R192" s="100">
        <v>24</v>
      </c>
      <c r="S192" s="100">
        <v>0</v>
      </c>
      <c r="T192" s="100">
        <v>0</v>
      </c>
      <c r="U192" s="100">
        <v>0</v>
      </c>
      <c r="V192" s="100">
        <v>24</v>
      </c>
      <c r="W192" s="100">
        <v>0</v>
      </c>
      <c r="X192" s="45" t="s">
        <v>61</v>
      </c>
      <c r="Y192" s="49">
        <v>4.0000000000000001E-3</v>
      </c>
      <c r="Z192" s="45">
        <v>30000</v>
      </c>
      <c r="AA192" s="45">
        <v>0</v>
      </c>
      <c r="AB192" s="45">
        <v>0</v>
      </c>
      <c r="AC192" s="45">
        <v>0</v>
      </c>
      <c r="AD192" s="45">
        <v>0</v>
      </c>
      <c r="AE192" s="45">
        <v>0</v>
      </c>
      <c r="AF192" s="45">
        <v>0</v>
      </c>
      <c r="AG192" s="45">
        <v>0</v>
      </c>
      <c r="AH192" s="45">
        <v>0</v>
      </c>
      <c r="AI192" s="45">
        <v>0</v>
      </c>
      <c r="AJ192" s="45">
        <v>0</v>
      </c>
      <c r="AK192" s="45">
        <v>0</v>
      </c>
      <c r="AL192" s="45">
        <v>0</v>
      </c>
      <c r="AM192" s="45">
        <v>0</v>
      </c>
      <c r="AN192" s="45">
        <v>0</v>
      </c>
      <c r="AO192" s="45"/>
      <c r="AP192" s="45"/>
      <c r="AQ192" s="45"/>
      <c r="AR192" s="45"/>
      <c r="AS192" s="45"/>
      <c r="AT192" s="45"/>
      <c r="AU192" s="45"/>
      <c r="AV192" s="45"/>
      <c r="AW192" s="45"/>
      <c r="AX192" s="45"/>
      <c r="AY192" s="45"/>
      <c r="AZ192" s="45"/>
      <c r="BA192" s="45"/>
      <c r="BB192" s="45"/>
      <c r="BC192" s="45"/>
      <c r="BD192" s="93"/>
      <c r="BE192" s="93"/>
      <c r="BF192" s="93"/>
      <c r="BG192" s="93"/>
      <c r="BH192" s="93"/>
      <c r="BI192" s="93"/>
      <c r="BJ192" s="93"/>
      <c r="BK192" s="93">
        <f>SUM($Z192:AD192)-SUM($CM192:CQ192)</f>
        <v>28320</v>
      </c>
      <c r="BL192" s="93">
        <f>SUM($Z192:AE192)-SUM($CM192:CR192)</f>
        <v>26640</v>
      </c>
      <c r="BM192" s="93">
        <f>SUM($Z192:AF192)-SUM($CM192:CS192)</f>
        <v>24960</v>
      </c>
      <c r="BN192" s="93">
        <f>SUM($Z192:AG192)-SUM($CM192:CT192)</f>
        <v>23280</v>
      </c>
      <c r="BO192" s="93">
        <f>SUM($Z192:AH192)-SUM($CM192:CU192)</f>
        <v>21600</v>
      </c>
      <c r="BP192" s="93">
        <f>SUM($Z192:AI192)-SUM($CM192:CV192)</f>
        <v>19920</v>
      </c>
      <c r="BQ192" s="93">
        <f>SUM($Z192:AJ192)-SUM($CM192:CW192)</f>
        <v>18240</v>
      </c>
      <c r="BR192" s="93">
        <f>SUM($Z192:AK192)-SUM($CM192:CX192)</f>
        <v>16560</v>
      </c>
      <c r="BS192" s="93">
        <f>SUM($Z192:AL192)-SUM($CM192:CY192)</f>
        <v>14880</v>
      </c>
      <c r="BT192" s="93">
        <f>SUM($Z192:AM192)-SUM($CM192:CZ192)</f>
        <v>14040</v>
      </c>
      <c r="BU192" s="93">
        <f>SUM($Z192:AN192)-SUM($CM192:DA192)</f>
        <v>14040</v>
      </c>
      <c r="BV192" s="93">
        <f>SUM($Z192:AO192)-SUM($CM192:DB192)</f>
        <v>14040</v>
      </c>
      <c r="BW192" s="93">
        <f>SUM($Z192:AP192)-SUM($CM192:DC192)</f>
        <v>14040</v>
      </c>
      <c r="BX192" s="93">
        <f>SUM($Z192:AQ192)-SUM($CM192:DD192)</f>
        <v>14040</v>
      </c>
      <c r="BY192" s="93">
        <f>SUM($Z192:AR192)-SUM($CM192:DE192)</f>
        <v>14040</v>
      </c>
      <c r="BZ192" s="93">
        <f>SUM($Z192:AS192)-SUM($CM192:DF192)</f>
        <v>14040</v>
      </c>
      <c r="CA192" s="93">
        <f>SUM($Z192:AT192)-SUM($CM192:DG192)</f>
        <v>14040</v>
      </c>
      <c r="CB192" s="93">
        <f>SUM($Z192:AU192)-SUM($CM192:DH192)</f>
        <v>14040</v>
      </c>
      <c r="CC192" s="93">
        <f>SUM($Z192:AV192)-SUM($CM192:DI192)</f>
        <v>14040</v>
      </c>
      <c r="CD192" s="93">
        <f>SUM($Z192:AW192)-SUM($CM192:DJ192)</f>
        <v>14040</v>
      </c>
      <c r="CE192" s="93">
        <f>SUM($Z192:AX192)-SUM($CM192:DK192)</f>
        <v>14040</v>
      </c>
      <c r="CF192" s="93">
        <f>SUM($Z192:AY192)-SUM($CM192:DL192)</f>
        <v>14040</v>
      </c>
      <c r="CG192" s="93">
        <f>SUM($Z192:AZ192)-SUM($CM192:DM192)</f>
        <v>14040</v>
      </c>
      <c r="CH192" s="93">
        <f>SUM($Z192:BA192)-SUM($CM192:DN192)</f>
        <v>14040</v>
      </c>
      <c r="CI192" s="93">
        <f>SUM($Z192:BB192)-SUM($CM192:DO192)</f>
        <v>14040</v>
      </c>
      <c r="CJ192" s="93"/>
      <c r="CK192" s="93"/>
      <c r="CL192" s="93"/>
      <c r="CM192" s="93"/>
      <c r="CN192" s="93" cm="1">
        <f t="array" ref="CN192">SUMPRODUCT(TRANSPOSE(CN$4:CN$20),$G192:$W192)</f>
        <v>0</v>
      </c>
      <c r="CO192" s="93" cm="1">
        <f t="array" ref="CO192">SUMPRODUCT(TRANSPOSE(CO$4:CO$20),$G192:$W192)</f>
        <v>0</v>
      </c>
      <c r="CP192" s="93" cm="1">
        <f t="array" ref="CP192">SUMPRODUCT(TRANSPOSE(CP$4:CP$20),$G192:$W192)</f>
        <v>0</v>
      </c>
      <c r="CQ192" s="93" cm="1">
        <f t="array" ref="CQ192">SUMPRODUCT(TRANSPOSE(CQ$4:CQ$20),$G192:$W192)</f>
        <v>1680</v>
      </c>
      <c r="CR192" s="93" cm="1">
        <f t="array" ref="CR192">SUMPRODUCT(TRANSPOSE(CR$4:CR$20),$G192:$W192)</f>
        <v>1680</v>
      </c>
      <c r="CS192" s="93" cm="1">
        <f t="array" ref="CS192">SUMPRODUCT(TRANSPOSE(CS$4:CS$20),$G192:$W192)</f>
        <v>1680</v>
      </c>
      <c r="CT192" s="93" cm="1">
        <f t="array" ref="CT192">SUMPRODUCT(TRANSPOSE(CT$4:CT$20),$G192:$W192)</f>
        <v>1680</v>
      </c>
      <c r="CU192" s="93" cm="1">
        <f t="array" ref="CU192">SUMPRODUCT(TRANSPOSE(CU$4:CU$20),$G192:$W192)</f>
        <v>1680</v>
      </c>
      <c r="CV192" s="93" cm="1">
        <f t="array" ref="CV192">SUMPRODUCT(TRANSPOSE(CV$4:CV$20),$G192:$W192)</f>
        <v>1680</v>
      </c>
      <c r="CW192" s="93" cm="1">
        <f t="array" ref="CW192">SUMPRODUCT(TRANSPOSE(CW$4:CW$20),$G192:$W192)</f>
        <v>1680</v>
      </c>
      <c r="CX192" s="93" cm="1">
        <f t="array" ref="CX192">SUMPRODUCT(TRANSPOSE(CX$4:CX$20),$G192:$W192)</f>
        <v>1680</v>
      </c>
      <c r="CY192" s="93" cm="1">
        <f t="array" ref="CY192">SUMPRODUCT(TRANSPOSE(CY$4:CY$20),$G192:$W192)</f>
        <v>1680</v>
      </c>
      <c r="CZ192" s="93" cm="1">
        <f t="array" ref="CZ192">SUMPRODUCT(TRANSPOSE(CZ$4:CZ$20),$G192:$W192)</f>
        <v>840</v>
      </c>
      <c r="DA192" s="93" cm="1">
        <f t="array" ref="DA192">SUMPRODUCT(TRANSPOSE(DA$4:DA$20),$G192:$W192)</f>
        <v>0</v>
      </c>
      <c r="DB192" s="93" cm="1">
        <f t="array" ref="DB192">SUMPRODUCT(TRANSPOSE(DB$4:DB$20),$G192:$W192)</f>
        <v>0</v>
      </c>
      <c r="DC192" s="93" cm="1">
        <f t="array" ref="DC192">SUMPRODUCT(TRANSPOSE(DC$4:DC$20),$G192:$W192)</f>
        <v>0</v>
      </c>
      <c r="DD192" s="93" cm="1">
        <f t="array" ref="DD192">SUMPRODUCT(TRANSPOSE(DD$4:DD$20),$G192:$W192)</f>
        <v>0</v>
      </c>
      <c r="DE192" s="93" cm="1">
        <f t="array" ref="DE192">SUMPRODUCT(TRANSPOSE(DE$4:DE$20),$G192:$W192)</f>
        <v>0</v>
      </c>
      <c r="DF192" s="93" cm="1">
        <f t="array" ref="DF192">SUMPRODUCT(TRANSPOSE(DF$4:DF$20),$G192:$W192)</f>
        <v>0</v>
      </c>
      <c r="DG192" s="93" cm="1">
        <f t="array" ref="DG192">SUMPRODUCT(TRANSPOSE(DG$4:DG$20),$G192:$W192)</f>
        <v>0</v>
      </c>
      <c r="DH192" s="93" cm="1">
        <f t="array" ref="DH192">SUMPRODUCT(TRANSPOSE(DH$4:DH$20),$G192:$W192)</f>
        <v>0</v>
      </c>
      <c r="DI192" s="93" cm="1">
        <f t="array" ref="DI192">SUMPRODUCT(TRANSPOSE(DI$4:DI$20),$G192:$W192)</f>
        <v>0</v>
      </c>
      <c r="DJ192" s="93" cm="1">
        <f t="array" ref="DJ192">SUMPRODUCT(TRANSPOSE(DJ$4:DJ$20),$G192:$W192)</f>
        <v>0</v>
      </c>
      <c r="DK192" s="93" cm="1">
        <f t="array" ref="DK192">SUMPRODUCT(TRANSPOSE(DK$4:DK$20),$G192:$W192)</f>
        <v>0</v>
      </c>
      <c r="DL192" s="93" cm="1">
        <f t="array" ref="DL192">SUMPRODUCT(TRANSPOSE(DL$4:DL$20),$G192:$W192)</f>
        <v>0</v>
      </c>
      <c r="DM192" s="93" cm="1">
        <f t="array" ref="DM192">SUMPRODUCT(TRANSPOSE(DM$4:DM$20),$G192:$W192)</f>
        <v>0</v>
      </c>
      <c r="DN192" s="93" cm="1">
        <f t="array" ref="DN192">SUMPRODUCT(TRANSPOSE(DN$4:DN$20),$G192:$W192)</f>
        <v>0</v>
      </c>
      <c r="DO192" s="93" cm="1">
        <f t="array" ref="DO192">SUMPRODUCT(TRANSPOSE(DO$4:DO$20),$G192:$W192)</f>
        <v>0</v>
      </c>
    </row>
    <row r="193" spans="1:119" x14ac:dyDescent="0.2">
      <c r="A193" s="45">
        <f t="shared" si="28"/>
        <v>172</v>
      </c>
      <c r="B193" s="46" t="s">
        <v>472</v>
      </c>
      <c r="C193" s="45">
        <v>403690601</v>
      </c>
      <c r="D193" s="45" t="s">
        <v>473</v>
      </c>
      <c r="E193" s="45" t="s">
        <v>162</v>
      </c>
      <c r="F193" s="48">
        <v>2</v>
      </c>
      <c r="G193" s="100">
        <v>0</v>
      </c>
      <c r="H193" s="100">
        <v>0</v>
      </c>
      <c r="I193" s="100">
        <v>0</v>
      </c>
      <c r="J193" s="100">
        <v>0</v>
      </c>
      <c r="K193" s="100">
        <v>0</v>
      </c>
      <c r="L193" s="100">
        <v>0</v>
      </c>
      <c r="M193" s="100">
        <v>0</v>
      </c>
      <c r="N193" s="100">
        <v>0</v>
      </c>
      <c r="O193" s="100">
        <v>0</v>
      </c>
      <c r="P193" s="100">
        <v>0</v>
      </c>
      <c r="Q193" s="100">
        <v>1</v>
      </c>
      <c r="R193" s="100">
        <v>1</v>
      </c>
      <c r="S193" s="100">
        <v>0</v>
      </c>
      <c r="T193" s="100">
        <v>0</v>
      </c>
      <c r="U193" s="100">
        <v>1</v>
      </c>
      <c r="V193" s="100">
        <v>1</v>
      </c>
      <c r="W193" s="100">
        <v>0</v>
      </c>
      <c r="X193" s="45" t="s">
        <v>61</v>
      </c>
      <c r="Y193" s="49">
        <v>4.0000000000000001E-3</v>
      </c>
      <c r="Z193" s="45">
        <v>10000</v>
      </c>
      <c r="AA193" s="45">
        <v>0</v>
      </c>
      <c r="AB193" s="45">
        <v>0</v>
      </c>
      <c r="AC193" s="45">
        <v>0</v>
      </c>
      <c r="AD193" s="45">
        <v>0</v>
      </c>
      <c r="AE193" s="45">
        <v>0</v>
      </c>
      <c r="AF193" s="45">
        <v>0</v>
      </c>
      <c r="AG193" s="45">
        <v>0</v>
      </c>
      <c r="AH193" s="45">
        <v>0</v>
      </c>
      <c r="AI193" s="45">
        <v>0</v>
      </c>
      <c r="AJ193" s="45">
        <v>0</v>
      </c>
      <c r="AK193" s="45">
        <v>0</v>
      </c>
      <c r="AL193" s="45">
        <v>0</v>
      </c>
      <c r="AM193" s="45">
        <v>0</v>
      </c>
      <c r="AN193" s="45">
        <v>0</v>
      </c>
      <c r="AO193" s="45"/>
      <c r="AP193" s="45"/>
      <c r="AQ193" s="45"/>
      <c r="AR193" s="45"/>
      <c r="AS193" s="45"/>
      <c r="AT193" s="45"/>
      <c r="AU193" s="45"/>
      <c r="AV193" s="45"/>
      <c r="AW193" s="45"/>
      <c r="AX193" s="45"/>
      <c r="AY193" s="45"/>
      <c r="AZ193" s="45"/>
      <c r="BA193" s="45"/>
      <c r="BB193" s="45"/>
      <c r="BC193" s="45"/>
      <c r="BD193" s="93"/>
      <c r="BE193" s="93"/>
      <c r="BF193" s="93"/>
      <c r="BG193" s="93"/>
      <c r="BH193" s="93"/>
      <c r="BI193" s="93"/>
      <c r="BJ193" s="93"/>
      <c r="BK193" s="93">
        <f>SUM($Z193:AD193)-SUM($CM193:CQ193)</f>
        <v>9852</v>
      </c>
      <c r="BL193" s="93">
        <f>SUM($Z193:AE193)-SUM($CM193:CR193)</f>
        <v>9712</v>
      </c>
      <c r="BM193" s="93">
        <f>SUM($Z193:AF193)-SUM($CM193:CS193)</f>
        <v>9577</v>
      </c>
      <c r="BN193" s="93">
        <f>SUM($Z193:AG193)-SUM($CM193:CT193)</f>
        <v>9447</v>
      </c>
      <c r="BO193" s="93">
        <f>SUM($Z193:AH193)-SUM($CM193:CU193)</f>
        <v>9317</v>
      </c>
      <c r="BP193" s="93">
        <f>SUM($Z193:AI193)-SUM($CM193:CV193)</f>
        <v>9187</v>
      </c>
      <c r="BQ193" s="93">
        <f>SUM($Z193:AJ193)-SUM($CM193:CW193)</f>
        <v>9057</v>
      </c>
      <c r="BR193" s="93">
        <f>SUM($Z193:AK193)-SUM($CM193:CX193)</f>
        <v>8927</v>
      </c>
      <c r="BS193" s="93">
        <f>SUM($Z193:AL193)-SUM($CM193:CY193)</f>
        <v>8797</v>
      </c>
      <c r="BT193" s="93">
        <f>SUM($Z193:AM193)-SUM($CM193:CZ193)</f>
        <v>8702</v>
      </c>
      <c r="BU193" s="93">
        <f>SUM($Z193:AN193)-SUM($CM193:DA193)</f>
        <v>8642</v>
      </c>
      <c r="BV193" s="93">
        <f>SUM($Z193:AO193)-SUM($CM193:DB193)</f>
        <v>8628</v>
      </c>
      <c r="BW193" s="93">
        <f>SUM($Z193:AP193)-SUM($CM193:DC193)</f>
        <v>8628</v>
      </c>
      <c r="BX193" s="93">
        <f>SUM($Z193:AQ193)-SUM($CM193:DD193)</f>
        <v>8628</v>
      </c>
      <c r="BY193" s="93">
        <f>SUM($Z193:AR193)-SUM($CM193:DE193)</f>
        <v>8628</v>
      </c>
      <c r="BZ193" s="93">
        <f>SUM($Z193:AS193)-SUM($CM193:DF193)</f>
        <v>8628</v>
      </c>
      <c r="CA193" s="93">
        <f>SUM($Z193:AT193)-SUM($CM193:DG193)</f>
        <v>8628</v>
      </c>
      <c r="CB193" s="93">
        <f>SUM($Z193:AU193)-SUM($CM193:DH193)</f>
        <v>8628</v>
      </c>
      <c r="CC193" s="93">
        <f>SUM($Z193:AV193)-SUM($CM193:DI193)</f>
        <v>8628</v>
      </c>
      <c r="CD193" s="93">
        <f>SUM($Z193:AW193)-SUM($CM193:DJ193)</f>
        <v>8628</v>
      </c>
      <c r="CE193" s="93">
        <f>SUM($Z193:AX193)-SUM($CM193:DK193)</f>
        <v>8628</v>
      </c>
      <c r="CF193" s="93">
        <f>SUM($Z193:AY193)-SUM($CM193:DL193)</f>
        <v>8628</v>
      </c>
      <c r="CG193" s="93">
        <f>SUM($Z193:AZ193)-SUM($CM193:DM193)</f>
        <v>8628</v>
      </c>
      <c r="CH193" s="93">
        <f>SUM($Z193:BA193)-SUM($CM193:DN193)</f>
        <v>8628</v>
      </c>
      <c r="CI193" s="93">
        <f>SUM($Z193:BB193)-SUM($CM193:DO193)</f>
        <v>8628</v>
      </c>
      <c r="CJ193" s="93"/>
      <c r="CK193" s="93"/>
      <c r="CL193" s="93"/>
      <c r="CM193" s="93"/>
      <c r="CN193" s="93" cm="1">
        <f t="array" ref="CN193">SUMPRODUCT(TRANSPOSE(CN$4:CN$20),$G193:$W193)</f>
        <v>0</v>
      </c>
      <c r="CO193" s="93" cm="1">
        <f t="array" ref="CO193">SUMPRODUCT(TRANSPOSE(CO$4:CO$20),$G193:$W193)</f>
        <v>0</v>
      </c>
      <c r="CP193" s="93" cm="1">
        <f t="array" ref="CP193">SUMPRODUCT(TRANSPOSE(CP$4:CP$20),$G193:$W193)</f>
        <v>0</v>
      </c>
      <c r="CQ193" s="93" cm="1">
        <f t="array" ref="CQ193">SUMPRODUCT(TRANSPOSE(CQ$4:CQ$20),$G193:$W193)</f>
        <v>148</v>
      </c>
      <c r="CR193" s="93" cm="1">
        <f t="array" ref="CR193">SUMPRODUCT(TRANSPOSE(CR$4:CR$20),$G193:$W193)</f>
        <v>140</v>
      </c>
      <c r="CS193" s="93" cm="1">
        <f t="array" ref="CS193">SUMPRODUCT(TRANSPOSE(CS$4:CS$20),$G193:$W193)</f>
        <v>135</v>
      </c>
      <c r="CT193" s="93" cm="1">
        <f t="array" ref="CT193">SUMPRODUCT(TRANSPOSE(CT$4:CT$20),$G193:$W193)</f>
        <v>130</v>
      </c>
      <c r="CU193" s="93" cm="1">
        <f t="array" ref="CU193">SUMPRODUCT(TRANSPOSE(CU$4:CU$20),$G193:$W193)</f>
        <v>130</v>
      </c>
      <c r="CV193" s="93" cm="1">
        <f t="array" ref="CV193">SUMPRODUCT(TRANSPOSE(CV$4:CV$20),$G193:$W193)</f>
        <v>130</v>
      </c>
      <c r="CW193" s="93" cm="1">
        <f t="array" ref="CW193">SUMPRODUCT(TRANSPOSE(CW$4:CW$20),$G193:$W193)</f>
        <v>130</v>
      </c>
      <c r="CX193" s="93" cm="1">
        <f t="array" ref="CX193">SUMPRODUCT(TRANSPOSE(CX$4:CX$20),$G193:$W193)</f>
        <v>130</v>
      </c>
      <c r="CY193" s="93" cm="1">
        <f t="array" ref="CY193">SUMPRODUCT(TRANSPOSE(CY$4:CY$20),$G193:$W193)</f>
        <v>130</v>
      </c>
      <c r="CZ193" s="93" cm="1">
        <f t="array" ref="CZ193">SUMPRODUCT(TRANSPOSE(CZ$4:CZ$20),$G193:$W193)</f>
        <v>95</v>
      </c>
      <c r="DA193" s="93" cm="1">
        <f t="array" ref="DA193">SUMPRODUCT(TRANSPOSE(DA$4:DA$20),$G193:$W193)</f>
        <v>60</v>
      </c>
      <c r="DB193" s="93" cm="1">
        <f t="array" ref="DB193">SUMPRODUCT(TRANSPOSE(DB$4:DB$20),$G193:$W193)</f>
        <v>14</v>
      </c>
      <c r="DC193" s="93" cm="1">
        <f t="array" ref="DC193">SUMPRODUCT(TRANSPOSE(DC$4:DC$20),$G193:$W193)</f>
        <v>0</v>
      </c>
      <c r="DD193" s="93" cm="1">
        <f t="array" ref="DD193">SUMPRODUCT(TRANSPOSE(DD$4:DD$20),$G193:$W193)</f>
        <v>0</v>
      </c>
      <c r="DE193" s="93" cm="1">
        <f t="array" ref="DE193">SUMPRODUCT(TRANSPOSE(DE$4:DE$20),$G193:$W193)</f>
        <v>0</v>
      </c>
      <c r="DF193" s="93" cm="1">
        <f t="array" ref="DF193">SUMPRODUCT(TRANSPOSE(DF$4:DF$20),$G193:$W193)</f>
        <v>0</v>
      </c>
      <c r="DG193" s="93" cm="1">
        <f t="array" ref="DG193">SUMPRODUCT(TRANSPOSE(DG$4:DG$20),$G193:$W193)</f>
        <v>0</v>
      </c>
      <c r="DH193" s="93" cm="1">
        <f t="array" ref="DH193">SUMPRODUCT(TRANSPOSE(DH$4:DH$20),$G193:$W193)</f>
        <v>0</v>
      </c>
      <c r="DI193" s="93" cm="1">
        <f t="array" ref="DI193">SUMPRODUCT(TRANSPOSE(DI$4:DI$20),$G193:$W193)</f>
        <v>0</v>
      </c>
      <c r="DJ193" s="93" cm="1">
        <f t="array" ref="DJ193">SUMPRODUCT(TRANSPOSE(DJ$4:DJ$20),$G193:$W193)</f>
        <v>0</v>
      </c>
      <c r="DK193" s="93" cm="1">
        <f t="array" ref="DK193">SUMPRODUCT(TRANSPOSE(DK$4:DK$20),$G193:$W193)</f>
        <v>0</v>
      </c>
      <c r="DL193" s="93" cm="1">
        <f t="array" ref="DL193">SUMPRODUCT(TRANSPOSE(DL$4:DL$20),$G193:$W193)</f>
        <v>0</v>
      </c>
      <c r="DM193" s="93" cm="1">
        <f t="array" ref="DM193">SUMPRODUCT(TRANSPOSE(DM$4:DM$20),$G193:$W193)</f>
        <v>0</v>
      </c>
      <c r="DN193" s="93" cm="1">
        <f t="array" ref="DN193">SUMPRODUCT(TRANSPOSE(DN$4:DN$20),$G193:$W193)</f>
        <v>0</v>
      </c>
      <c r="DO193" s="93" cm="1">
        <f t="array" ref="DO193">SUMPRODUCT(TRANSPOSE(DO$4:DO$20),$G193:$W193)</f>
        <v>0</v>
      </c>
    </row>
    <row r="194" spans="1:119" x14ac:dyDescent="0.2">
      <c r="A194" s="45">
        <f t="shared" si="28"/>
        <v>173</v>
      </c>
      <c r="B194" s="46" t="s">
        <v>474</v>
      </c>
      <c r="C194" s="45">
        <v>401007782</v>
      </c>
      <c r="D194" s="45" t="s">
        <v>475</v>
      </c>
      <c r="E194" s="45" t="s">
        <v>162</v>
      </c>
      <c r="F194" s="48">
        <v>2</v>
      </c>
      <c r="G194" s="100">
        <v>0</v>
      </c>
      <c r="H194" s="100">
        <v>0</v>
      </c>
      <c r="I194" s="100">
        <v>0</v>
      </c>
      <c r="J194" s="100">
        <v>0</v>
      </c>
      <c r="K194" s="100">
        <v>0</v>
      </c>
      <c r="L194" s="100">
        <v>0</v>
      </c>
      <c r="M194" s="100">
        <v>0</v>
      </c>
      <c r="N194" s="100">
        <v>0</v>
      </c>
      <c r="O194" s="100">
        <v>0</v>
      </c>
      <c r="P194" s="100">
        <v>0</v>
      </c>
      <c r="Q194" s="100">
        <v>0</v>
      </c>
      <c r="R194" s="100">
        <v>59</v>
      </c>
      <c r="S194" s="100">
        <v>0</v>
      </c>
      <c r="T194" s="100">
        <v>0</v>
      </c>
      <c r="U194" s="100">
        <v>0</v>
      </c>
      <c r="V194" s="100">
        <v>59</v>
      </c>
      <c r="W194" s="100">
        <v>0</v>
      </c>
      <c r="X194" s="45" t="s">
        <v>61</v>
      </c>
      <c r="Y194" s="49">
        <v>4.0000000000000001E-3</v>
      </c>
      <c r="Z194" s="45">
        <v>65000</v>
      </c>
      <c r="AA194" s="45">
        <v>0</v>
      </c>
      <c r="AB194" s="45">
        <v>0</v>
      </c>
      <c r="AC194" s="45">
        <v>0</v>
      </c>
      <c r="AD194" s="45">
        <v>0</v>
      </c>
      <c r="AE194" s="45">
        <v>0</v>
      </c>
      <c r="AF194" s="45">
        <v>0</v>
      </c>
      <c r="AG194" s="45">
        <v>0</v>
      </c>
      <c r="AH194" s="45">
        <v>0</v>
      </c>
      <c r="AI194" s="45">
        <v>0</v>
      </c>
      <c r="AJ194" s="45">
        <v>0</v>
      </c>
      <c r="AK194" s="45">
        <v>0</v>
      </c>
      <c r="AL194" s="45">
        <v>0</v>
      </c>
      <c r="AM194" s="45">
        <v>0</v>
      </c>
      <c r="AN194" s="45">
        <v>0</v>
      </c>
      <c r="AO194" s="45"/>
      <c r="AP194" s="45"/>
      <c r="AQ194" s="45"/>
      <c r="AR194" s="45"/>
      <c r="AS194" s="45"/>
      <c r="AT194" s="45"/>
      <c r="AU194" s="45"/>
      <c r="AV194" s="45"/>
      <c r="AW194" s="45"/>
      <c r="AX194" s="45"/>
      <c r="AY194" s="45"/>
      <c r="AZ194" s="45"/>
      <c r="BA194" s="45"/>
      <c r="BB194" s="45"/>
      <c r="BC194" s="45"/>
      <c r="BD194" s="93"/>
      <c r="BE194" s="93"/>
      <c r="BF194" s="93"/>
      <c r="BG194" s="93"/>
      <c r="BH194" s="93"/>
      <c r="BI194" s="93"/>
      <c r="BJ194" s="93"/>
      <c r="BK194" s="93">
        <f>SUM($Z194:AD194)-SUM($CM194:CQ194)</f>
        <v>60870</v>
      </c>
      <c r="BL194" s="93">
        <f>SUM($Z194:AE194)-SUM($CM194:CR194)</f>
        <v>56740</v>
      </c>
      <c r="BM194" s="93">
        <f>SUM($Z194:AF194)-SUM($CM194:CS194)</f>
        <v>52610</v>
      </c>
      <c r="BN194" s="93">
        <f>SUM($Z194:AG194)-SUM($CM194:CT194)</f>
        <v>48480</v>
      </c>
      <c r="BO194" s="93">
        <f>SUM($Z194:AH194)-SUM($CM194:CU194)</f>
        <v>44350</v>
      </c>
      <c r="BP194" s="93">
        <f>SUM($Z194:AI194)-SUM($CM194:CV194)</f>
        <v>40220</v>
      </c>
      <c r="BQ194" s="93">
        <f>SUM($Z194:AJ194)-SUM($CM194:CW194)</f>
        <v>36090</v>
      </c>
      <c r="BR194" s="93">
        <f>SUM($Z194:AK194)-SUM($CM194:CX194)</f>
        <v>31960</v>
      </c>
      <c r="BS194" s="93">
        <f>SUM($Z194:AL194)-SUM($CM194:CY194)</f>
        <v>27830</v>
      </c>
      <c r="BT194" s="93">
        <f>SUM($Z194:AM194)-SUM($CM194:CZ194)</f>
        <v>25765</v>
      </c>
      <c r="BU194" s="93">
        <f>SUM($Z194:AN194)-SUM($CM194:DA194)</f>
        <v>25765</v>
      </c>
      <c r="BV194" s="93">
        <f>SUM($Z194:AO194)-SUM($CM194:DB194)</f>
        <v>25765</v>
      </c>
      <c r="BW194" s="93">
        <f>SUM($Z194:AP194)-SUM($CM194:DC194)</f>
        <v>25765</v>
      </c>
      <c r="BX194" s="93">
        <f>SUM($Z194:AQ194)-SUM($CM194:DD194)</f>
        <v>25765</v>
      </c>
      <c r="BY194" s="93">
        <f>SUM($Z194:AR194)-SUM($CM194:DE194)</f>
        <v>25765</v>
      </c>
      <c r="BZ194" s="93">
        <f>SUM($Z194:AS194)-SUM($CM194:DF194)</f>
        <v>25765</v>
      </c>
      <c r="CA194" s="93">
        <f>SUM($Z194:AT194)-SUM($CM194:DG194)</f>
        <v>25765</v>
      </c>
      <c r="CB194" s="93">
        <f>SUM($Z194:AU194)-SUM($CM194:DH194)</f>
        <v>25765</v>
      </c>
      <c r="CC194" s="93">
        <f>SUM($Z194:AV194)-SUM($CM194:DI194)</f>
        <v>25765</v>
      </c>
      <c r="CD194" s="93">
        <f>SUM($Z194:AW194)-SUM($CM194:DJ194)</f>
        <v>25765</v>
      </c>
      <c r="CE194" s="93">
        <f>SUM($Z194:AX194)-SUM($CM194:DK194)</f>
        <v>25765</v>
      </c>
      <c r="CF194" s="93">
        <f>SUM($Z194:AY194)-SUM($CM194:DL194)</f>
        <v>25765</v>
      </c>
      <c r="CG194" s="93">
        <f>SUM($Z194:AZ194)-SUM($CM194:DM194)</f>
        <v>25765</v>
      </c>
      <c r="CH194" s="93">
        <f>SUM($Z194:BA194)-SUM($CM194:DN194)</f>
        <v>25765</v>
      </c>
      <c r="CI194" s="93">
        <f>SUM($Z194:BB194)-SUM($CM194:DO194)</f>
        <v>25765</v>
      </c>
      <c r="CJ194" s="93"/>
      <c r="CK194" s="93"/>
      <c r="CL194" s="93"/>
      <c r="CM194" s="93"/>
      <c r="CN194" s="93" cm="1">
        <f t="array" ref="CN194">SUMPRODUCT(TRANSPOSE(CN$4:CN$20),$G194:$W194)</f>
        <v>0</v>
      </c>
      <c r="CO194" s="93" cm="1">
        <f t="array" ref="CO194">SUMPRODUCT(TRANSPOSE(CO$4:CO$20),$G194:$W194)</f>
        <v>0</v>
      </c>
      <c r="CP194" s="93" cm="1">
        <f t="array" ref="CP194">SUMPRODUCT(TRANSPOSE(CP$4:CP$20),$G194:$W194)</f>
        <v>0</v>
      </c>
      <c r="CQ194" s="93" cm="1">
        <f t="array" ref="CQ194">SUMPRODUCT(TRANSPOSE(CQ$4:CQ$20),$G194:$W194)</f>
        <v>4130</v>
      </c>
      <c r="CR194" s="93" cm="1">
        <f t="array" ref="CR194">SUMPRODUCT(TRANSPOSE(CR$4:CR$20),$G194:$W194)</f>
        <v>4130</v>
      </c>
      <c r="CS194" s="93" cm="1">
        <f t="array" ref="CS194">SUMPRODUCT(TRANSPOSE(CS$4:CS$20),$G194:$W194)</f>
        <v>4130</v>
      </c>
      <c r="CT194" s="93" cm="1">
        <f t="array" ref="CT194">SUMPRODUCT(TRANSPOSE(CT$4:CT$20),$G194:$W194)</f>
        <v>4130</v>
      </c>
      <c r="CU194" s="93" cm="1">
        <f t="array" ref="CU194">SUMPRODUCT(TRANSPOSE(CU$4:CU$20),$G194:$W194)</f>
        <v>4130</v>
      </c>
      <c r="CV194" s="93" cm="1">
        <f t="array" ref="CV194">SUMPRODUCT(TRANSPOSE(CV$4:CV$20),$G194:$W194)</f>
        <v>4130</v>
      </c>
      <c r="CW194" s="93" cm="1">
        <f t="array" ref="CW194">SUMPRODUCT(TRANSPOSE(CW$4:CW$20),$G194:$W194)</f>
        <v>4130</v>
      </c>
      <c r="CX194" s="93" cm="1">
        <f t="array" ref="CX194">SUMPRODUCT(TRANSPOSE(CX$4:CX$20),$G194:$W194)</f>
        <v>4130</v>
      </c>
      <c r="CY194" s="93" cm="1">
        <f t="array" ref="CY194">SUMPRODUCT(TRANSPOSE(CY$4:CY$20),$G194:$W194)</f>
        <v>4130</v>
      </c>
      <c r="CZ194" s="93" cm="1">
        <f t="array" ref="CZ194">SUMPRODUCT(TRANSPOSE(CZ$4:CZ$20),$G194:$W194)</f>
        <v>2065</v>
      </c>
      <c r="DA194" s="93" cm="1">
        <f t="array" ref="DA194">SUMPRODUCT(TRANSPOSE(DA$4:DA$20),$G194:$W194)</f>
        <v>0</v>
      </c>
      <c r="DB194" s="93" cm="1">
        <f t="array" ref="DB194">SUMPRODUCT(TRANSPOSE(DB$4:DB$20),$G194:$W194)</f>
        <v>0</v>
      </c>
      <c r="DC194" s="93" cm="1">
        <f t="array" ref="DC194">SUMPRODUCT(TRANSPOSE(DC$4:DC$20),$G194:$W194)</f>
        <v>0</v>
      </c>
      <c r="DD194" s="93" cm="1">
        <f t="array" ref="DD194">SUMPRODUCT(TRANSPOSE(DD$4:DD$20),$G194:$W194)</f>
        <v>0</v>
      </c>
      <c r="DE194" s="93" cm="1">
        <f t="array" ref="DE194">SUMPRODUCT(TRANSPOSE(DE$4:DE$20),$G194:$W194)</f>
        <v>0</v>
      </c>
      <c r="DF194" s="93" cm="1">
        <f t="array" ref="DF194">SUMPRODUCT(TRANSPOSE(DF$4:DF$20),$G194:$W194)</f>
        <v>0</v>
      </c>
      <c r="DG194" s="93" cm="1">
        <f t="array" ref="DG194">SUMPRODUCT(TRANSPOSE(DG$4:DG$20),$G194:$W194)</f>
        <v>0</v>
      </c>
      <c r="DH194" s="93" cm="1">
        <f t="array" ref="DH194">SUMPRODUCT(TRANSPOSE(DH$4:DH$20),$G194:$W194)</f>
        <v>0</v>
      </c>
      <c r="DI194" s="93" cm="1">
        <f t="array" ref="DI194">SUMPRODUCT(TRANSPOSE(DI$4:DI$20),$G194:$W194)</f>
        <v>0</v>
      </c>
      <c r="DJ194" s="93" cm="1">
        <f t="array" ref="DJ194">SUMPRODUCT(TRANSPOSE(DJ$4:DJ$20),$G194:$W194)</f>
        <v>0</v>
      </c>
      <c r="DK194" s="93" cm="1">
        <f t="array" ref="DK194">SUMPRODUCT(TRANSPOSE(DK$4:DK$20),$G194:$W194)</f>
        <v>0</v>
      </c>
      <c r="DL194" s="93" cm="1">
        <f t="array" ref="DL194">SUMPRODUCT(TRANSPOSE(DL$4:DL$20),$G194:$W194)</f>
        <v>0</v>
      </c>
      <c r="DM194" s="93" cm="1">
        <f t="array" ref="DM194">SUMPRODUCT(TRANSPOSE(DM$4:DM$20),$G194:$W194)</f>
        <v>0</v>
      </c>
      <c r="DN194" s="93" cm="1">
        <f t="array" ref="DN194">SUMPRODUCT(TRANSPOSE(DN$4:DN$20),$G194:$W194)</f>
        <v>0</v>
      </c>
      <c r="DO194" s="93" cm="1">
        <f t="array" ref="DO194">SUMPRODUCT(TRANSPOSE(DO$4:DO$20),$G194:$W194)</f>
        <v>0</v>
      </c>
    </row>
    <row r="195" spans="1:119" x14ac:dyDescent="0.2">
      <c r="A195" s="45">
        <f t="shared" si="28"/>
        <v>174</v>
      </c>
      <c r="B195" s="46" t="s">
        <v>476</v>
      </c>
      <c r="C195" s="45">
        <v>401225492</v>
      </c>
      <c r="D195" s="45" t="s">
        <v>477</v>
      </c>
      <c r="E195" s="45" t="s">
        <v>162</v>
      </c>
      <c r="F195" s="48">
        <v>2</v>
      </c>
      <c r="G195" s="100">
        <v>0</v>
      </c>
      <c r="H195" s="100">
        <v>0</v>
      </c>
      <c r="I195" s="100">
        <v>0</v>
      </c>
      <c r="J195" s="100">
        <v>0</v>
      </c>
      <c r="K195" s="100">
        <v>0</v>
      </c>
      <c r="L195" s="100">
        <v>0</v>
      </c>
      <c r="M195" s="100">
        <v>0</v>
      </c>
      <c r="N195" s="100">
        <v>0</v>
      </c>
      <c r="O195" s="100">
        <v>0</v>
      </c>
      <c r="P195" s="100">
        <v>0</v>
      </c>
      <c r="Q195" s="100">
        <v>0</v>
      </c>
      <c r="R195" s="100">
        <v>1</v>
      </c>
      <c r="S195" s="100">
        <v>0</v>
      </c>
      <c r="T195" s="100">
        <v>0</v>
      </c>
      <c r="U195" s="100">
        <v>0</v>
      </c>
      <c r="V195" s="100">
        <v>1</v>
      </c>
      <c r="W195" s="100">
        <v>0</v>
      </c>
      <c r="X195" s="45" t="s">
        <v>61</v>
      </c>
      <c r="Y195" s="49">
        <v>4.0000000000000001E-3</v>
      </c>
      <c r="Z195" s="45">
        <v>10000</v>
      </c>
      <c r="AA195" s="45">
        <v>0</v>
      </c>
      <c r="AB195" s="45">
        <v>0</v>
      </c>
      <c r="AC195" s="45">
        <v>0</v>
      </c>
      <c r="AD195" s="45">
        <v>0</v>
      </c>
      <c r="AE195" s="45">
        <v>0</v>
      </c>
      <c r="AF195" s="45">
        <v>0</v>
      </c>
      <c r="AG195" s="45">
        <v>0</v>
      </c>
      <c r="AH195" s="45">
        <v>0</v>
      </c>
      <c r="AI195" s="45">
        <v>0</v>
      </c>
      <c r="AJ195" s="45">
        <v>0</v>
      </c>
      <c r="AK195" s="45">
        <v>0</v>
      </c>
      <c r="AL195" s="45">
        <v>0</v>
      </c>
      <c r="AM195" s="45">
        <v>0</v>
      </c>
      <c r="AN195" s="45">
        <v>0</v>
      </c>
      <c r="AO195" s="45"/>
      <c r="AP195" s="45"/>
      <c r="AQ195" s="45"/>
      <c r="AR195" s="45"/>
      <c r="AS195" s="45"/>
      <c r="AT195" s="45"/>
      <c r="AU195" s="45"/>
      <c r="AV195" s="45"/>
      <c r="AW195" s="45"/>
      <c r="AX195" s="45"/>
      <c r="AY195" s="45"/>
      <c r="AZ195" s="45"/>
      <c r="BA195" s="45"/>
      <c r="BB195" s="45"/>
      <c r="BC195" s="45"/>
      <c r="BD195" s="93"/>
      <c r="BE195" s="93"/>
      <c r="BF195" s="93"/>
      <c r="BG195" s="93"/>
      <c r="BH195" s="93"/>
      <c r="BI195" s="93"/>
      <c r="BJ195" s="93"/>
      <c r="BK195" s="93">
        <f>SUM($Z195:AD195)-SUM($CM195:CQ195)</f>
        <v>9930</v>
      </c>
      <c r="BL195" s="93">
        <f>SUM($Z195:AE195)-SUM($CM195:CR195)</f>
        <v>9860</v>
      </c>
      <c r="BM195" s="93">
        <f>SUM($Z195:AF195)-SUM($CM195:CS195)</f>
        <v>9790</v>
      </c>
      <c r="BN195" s="93">
        <f>SUM($Z195:AG195)-SUM($CM195:CT195)</f>
        <v>9720</v>
      </c>
      <c r="BO195" s="93">
        <f>SUM($Z195:AH195)-SUM($CM195:CU195)</f>
        <v>9650</v>
      </c>
      <c r="BP195" s="93">
        <f>SUM($Z195:AI195)-SUM($CM195:CV195)</f>
        <v>9580</v>
      </c>
      <c r="BQ195" s="93">
        <f>SUM($Z195:AJ195)-SUM($CM195:CW195)</f>
        <v>9510</v>
      </c>
      <c r="BR195" s="93">
        <f>SUM($Z195:AK195)-SUM($CM195:CX195)</f>
        <v>9440</v>
      </c>
      <c r="BS195" s="93">
        <f>SUM($Z195:AL195)-SUM($CM195:CY195)</f>
        <v>9370</v>
      </c>
      <c r="BT195" s="93">
        <f>SUM($Z195:AM195)-SUM($CM195:CZ195)</f>
        <v>9335</v>
      </c>
      <c r="BU195" s="93">
        <f>SUM($Z195:AN195)-SUM($CM195:DA195)</f>
        <v>9335</v>
      </c>
      <c r="BV195" s="93">
        <f>SUM($Z195:AO195)-SUM($CM195:DB195)</f>
        <v>9335</v>
      </c>
      <c r="BW195" s="93">
        <f>SUM($Z195:AP195)-SUM($CM195:DC195)</f>
        <v>9335</v>
      </c>
      <c r="BX195" s="93">
        <f>SUM($Z195:AQ195)-SUM($CM195:DD195)</f>
        <v>9335</v>
      </c>
      <c r="BY195" s="93">
        <f>SUM($Z195:AR195)-SUM($CM195:DE195)</f>
        <v>9335</v>
      </c>
      <c r="BZ195" s="93">
        <f>SUM($Z195:AS195)-SUM($CM195:DF195)</f>
        <v>9335</v>
      </c>
      <c r="CA195" s="93">
        <f>SUM($Z195:AT195)-SUM($CM195:DG195)</f>
        <v>9335</v>
      </c>
      <c r="CB195" s="93">
        <f>SUM($Z195:AU195)-SUM($CM195:DH195)</f>
        <v>9335</v>
      </c>
      <c r="CC195" s="93">
        <f>SUM($Z195:AV195)-SUM($CM195:DI195)</f>
        <v>9335</v>
      </c>
      <c r="CD195" s="93">
        <f>SUM($Z195:AW195)-SUM($CM195:DJ195)</f>
        <v>9335</v>
      </c>
      <c r="CE195" s="93">
        <f>SUM($Z195:AX195)-SUM($CM195:DK195)</f>
        <v>9335</v>
      </c>
      <c r="CF195" s="93">
        <f>SUM($Z195:AY195)-SUM($CM195:DL195)</f>
        <v>9335</v>
      </c>
      <c r="CG195" s="93">
        <f>SUM($Z195:AZ195)-SUM($CM195:DM195)</f>
        <v>9335</v>
      </c>
      <c r="CH195" s="93">
        <f>SUM($Z195:BA195)-SUM($CM195:DN195)</f>
        <v>9335</v>
      </c>
      <c r="CI195" s="93">
        <f>SUM($Z195:BB195)-SUM($CM195:DO195)</f>
        <v>9335</v>
      </c>
      <c r="CJ195" s="93"/>
      <c r="CK195" s="93"/>
      <c r="CL195" s="93"/>
      <c r="CM195" s="93"/>
      <c r="CN195" s="93" cm="1">
        <f t="array" ref="CN195">SUMPRODUCT(TRANSPOSE(CN$4:CN$20),$G195:$W195)</f>
        <v>0</v>
      </c>
      <c r="CO195" s="93" cm="1">
        <f t="array" ref="CO195">SUMPRODUCT(TRANSPOSE(CO$4:CO$20),$G195:$W195)</f>
        <v>0</v>
      </c>
      <c r="CP195" s="93" cm="1">
        <f t="array" ref="CP195">SUMPRODUCT(TRANSPOSE(CP$4:CP$20),$G195:$W195)</f>
        <v>0</v>
      </c>
      <c r="CQ195" s="93" cm="1">
        <f t="array" ref="CQ195">SUMPRODUCT(TRANSPOSE(CQ$4:CQ$20),$G195:$W195)</f>
        <v>70</v>
      </c>
      <c r="CR195" s="93" cm="1">
        <f t="array" ref="CR195">SUMPRODUCT(TRANSPOSE(CR$4:CR$20),$G195:$W195)</f>
        <v>70</v>
      </c>
      <c r="CS195" s="93" cm="1">
        <f t="array" ref="CS195">SUMPRODUCT(TRANSPOSE(CS$4:CS$20),$G195:$W195)</f>
        <v>70</v>
      </c>
      <c r="CT195" s="93" cm="1">
        <f t="array" ref="CT195">SUMPRODUCT(TRANSPOSE(CT$4:CT$20),$G195:$W195)</f>
        <v>70</v>
      </c>
      <c r="CU195" s="93" cm="1">
        <f t="array" ref="CU195">SUMPRODUCT(TRANSPOSE(CU$4:CU$20),$G195:$W195)</f>
        <v>70</v>
      </c>
      <c r="CV195" s="93" cm="1">
        <f t="array" ref="CV195">SUMPRODUCT(TRANSPOSE(CV$4:CV$20),$G195:$W195)</f>
        <v>70</v>
      </c>
      <c r="CW195" s="93" cm="1">
        <f t="array" ref="CW195">SUMPRODUCT(TRANSPOSE(CW$4:CW$20),$G195:$W195)</f>
        <v>70</v>
      </c>
      <c r="CX195" s="93" cm="1">
        <f t="array" ref="CX195">SUMPRODUCT(TRANSPOSE(CX$4:CX$20),$G195:$W195)</f>
        <v>70</v>
      </c>
      <c r="CY195" s="93" cm="1">
        <f t="array" ref="CY195">SUMPRODUCT(TRANSPOSE(CY$4:CY$20),$G195:$W195)</f>
        <v>70</v>
      </c>
      <c r="CZ195" s="93" cm="1">
        <f t="array" ref="CZ195">SUMPRODUCT(TRANSPOSE(CZ$4:CZ$20),$G195:$W195)</f>
        <v>35</v>
      </c>
      <c r="DA195" s="93" cm="1">
        <f t="array" ref="DA195">SUMPRODUCT(TRANSPOSE(DA$4:DA$20),$G195:$W195)</f>
        <v>0</v>
      </c>
      <c r="DB195" s="93" cm="1">
        <f t="array" ref="DB195">SUMPRODUCT(TRANSPOSE(DB$4:DB$20),$G195:$W195)</f>
        <v>0</v>
      </c>
      <c r="DC195" s="93" cm="1">
        <f t="array" ref="DC195">SUMPRODUCT(TRANSPOSE(DC$4:DC$20),$G195:$W195)</f>
        <v>0</v>
      </c>
      <c r="DD195" s="93" cm="1">
        <f t="array" ref="DD195">SUMPRODUCT(TRANSPOSE(DD$4:DD$20),$G195:$W195)</f>
        <v>0</v>
      </c>
      <c r="DE195" s="93" cm="1">
        <f t="array" ref="DE195">SUMPRODUCT(TRANSPOSE(DE$4:DE$20),$G195:$W195)</f>
        <v>0</v>
      </c>
      <c r="DF195" s="93" cm="1">
        <f t="array" ref="DF195">SUMPRODUCT(TRANSPOSE(DF$4:DF$20),$G195:$W195)</f>
        <v>0</v>
      </c>
      <c r="DG195" s="93" cm="1">
        <f t="array" ref="DG195">SUMPRODUCT(TRANSPOSE(DG$4:DG$20),$G195:$W195)</f>
        <v>0</v>
      </c>
      <c r="DH195" s="93" cm="1">
        <f t="array" ref="DH195">SUMPRODUCT(TRANSPOSE(DH$4:DH$20),$G195:$W195)</f>
        <v>0</v>
      </c>
      <c r="DI195" s="93" cm="1">
        <f t="array" ref="DI195">SUMPRODUCT(TRANSPOSE(DI$4:DI$20),$G195:$W195)</f>
        <v>0</v>
      </c>
      <c r="DJ195" s="93" cm="1">
        <f t="array" ref="DJ195">SUMPRODUCT(TRANSPOSE(DJ$4:DJ$20),$G195:$W195)</f>
        <v>0</v>
      </c>
      <c r="DK195" s="93" cm="1">
        <f t="array" ref="DK195">SUMPRODUCT(TRANSPOSE(DK$4:DK$20),$G195:$W195)</f>
        <v>0</v>
      </c>
      <c r="DL195" s="93" cm="1">
        <f t="array" ref="DL195">SUMPRODUCT(TRANSPOSE(DL$4:DL$20),$G195:$W195)</f>
        <v>0</v>
      </c>
      <c r="DM195" s="93" cm="1">
        <f t="array" ref="DM195">SUMPRODUCT(TRANSPOSE(DM$4:DM$20),$G195:$W195)</f>
        <v>0</v>
      </c>
      <c r="DN195" s="93" cm="1">
        <f t="array" ref="DN195">SUMPRODUCT(TRANSPOSE(DN$4:DN$20),$G195:$W195)</f>
        <v>0</v>
      </c>
      <c r="DO195" s="93" cm="1">
        <f t="array" ref="DO195">SUMPRODUCT(TRANSPOSE(DO$4:DO$20),$G195:$W195)</f>
        <v>0</v>
      </c>
    </row>
    <row r="196" spans="1:119" x14ac:dyDescent="0.2">
      <c r="A196" s="45">
        <f t="shared" si="28"/>
        <v>175</v>
      </c>
      <c r="B196" s="46" t="s">
        <v>478</v>
      </c>
      <c r="C196" s="45">
        <v>401234950</v>
      </c>
      <c r="D196" s="45" t="s">
        <v>479</v>
      </c>
      <c r="E196" s="45" t="s">
        <v>162</v>
      </c>
      <c r="F196" s="48">
        <v>2</v>
      </c>
      <c r="G196" s="100">
        <v>0</v>
      </c>
      <c r="H196" s="100">
        <v>0</v>
      </c>
      <c r="I196" s="100">
        <v>0</v>
      </c>
      <c r="J196" s="100">
        <v>0</v>
      </c>
      <c r="K196" s="100">
        <v>0</v>
      </c>
      <c r="L196" s="100">
        <v>0</v>
      </c>
      <c r="M196" s="100">
        <v>0</v>
      </c>
      <c r="N196" s="100">
        <v>0</v>
      </c>
      <c r="O196" s="100">
        <v>0</v>
      </c>
      <c r="P196" s="100">
        <v>0</v>
      </c>
      <c r="Q196" s="100">
        <v>0</v>
      </c>
      <c r="R196" s="100">
        <v>111</v>
      </c>
      <c r="S196" s="100">
        <v>0</v>
      </c>
      <c r="T196" s="100">
        <v>0</v>
      </c>
      <c r="U196" s="100">
        <v>0</v>
      </c>
      <c r="V196" s="100">
        <v>111</v>
      </c>
      <c r="W196" s="100">
        <v>0</v>
      </c>
      <c r="X196" s="45" t="s">
        <v>61</v>
      </c>
      <c r="Y196" s="49">
        <v>4.0000000000000001E-3</v>
      </c>
      <c r="Z196" s="45">
        <v>120000</v>
      </c>
      <c r="AA196" s="45">
        <v>0</v>
      </c>
      <c r="AB196" s="45">
        <v>0</v>
      </c>
      <c r="AC196" s="45">
        <v>0</v>
      </c>
      <c r="AD196" s="45">
        <v>0</v>
      </c>
      <c r="AE196" s="45">
        <v>0</v>
      </c>
      <c r="AF196" s="45">
        <v>0</v>
      </c>
      <c r="AG196" s="45">
        <v>0</v>
      </c>
      <c r="AH196" s="45">
        <v>0</v>
      </c>
      <c r="AI196" s="45">
        <v>0</v>
      </c>
      <c r="AJ196" s="45">
        <v>0</v>
      </c>
      <c r="AK196" s="45">
        <v>0</v>
      </c>
      <c r="AL196" s="45">
        <v>0</v>
      </c>
      <c r="AM196" s="45">
        <v>0</v>
      </c>
      <c r="AN196" s="45">
        <v>0</v>
      </c>
      <c r="AO196" s="45"/>
      <c r="AP196" s="45"/>
      <c r="AQ196" s="45"/>
      <c r="AR196" s="45"/>
      <c r="AS196" s="45"/>
      <c r="AT196" s="45"/>
      <c r="AU196" s="45"/>
      <c r="AV196" s="45"/>
      <c r="AW196" s="45"/>
      <c r="AX196" s="45"/>
      <c r="AY196" s="45"/>
      <c r="AZ196" s="45"/>
      <c r="BA196" s="45"/>
      <c r="BB196" s="45"/>
      <c r="BC196" s="45"/>
      <c r="BD196" s="93"/>
      <c r="BE196" s="93"/>
      <c r="BF196" s="93"/>
      <c r="BG196" s="93"/>
      <c r="BH196" s="93"/>
      <c r="BI196" s="93"/>
      <c r="BJ196" s="93"/>
      <c r="BK196" s="93">
        <f>SUM($Z196:AD196)-SUM($CM196:CQ196)</f>
        <v>112230</v>
      </c>
      <c r="BL196" s="93">
        <f>SUM($Z196:AE196)-SUM($CM196:CR196)</f>
        <v>104460</v>
      </c>
      <c r="BM196" s="93">
        <f>SUM($Z196:AF196)-SUM($CM196:CS196)</f>
        <v>96690</v>
      </c>
      <c r="BN196" s="93">
        <f>SUM($Z196:AG196)-SUM($CM196:CT196)</f>
        <v>88920</v>
      </c>
      <c r="BO196" s="93">
        <f>SUM($Z196:AH196)-SUM($CM196:CU196)</f>
        <v>81150</v>
      </c>
      <c r="BP196" s="93">
        <f>SUM($Z196:AI196)-SUM($CM196:CV196)</f>
        <v>73380</v>
      </c>
      <c r="BQ196" s="93">
        <f>SUM($Z196:AJ196)-SUM($CM196:CW196)</f>
        <v>65610</v>
      </c>
      <c r="BR196" s="93">
        <f>SUM($Z196:AK196)-SUM($CM196:CX196)</f>
        <v>57840</v>
      </c>
      <c r="BS196" s="93">
        <f>SUM($Z196:AL196)-SUM($CM196:CY196)</f>
        <v>50070</v>
      </c>
      <c r="BT196" s="93">
        <f>SUM($Z196:AM196)-SUM($CM196:CZ196)</f>
        <v>46185</v>
      </c>
      <c r="BU196" s="93">
        <f>SUM($Z196:AN196)-SUM($CM196:DA196)</f>
        <v>46185</v>
      </c>
      <c r="BV196" s="93">
        <f>SUM($Z196:AO196)-SUM($CM196:DB196)</f>
        <v>46185</v>
      </c>
      <c r="BW196" s="93">
        <f>SUM($Z196:AP196)-SUM($CM196:DC196)</f>
        <v>46185</v>
      </c>
      <c r="BX196" s="93">
        <f>SUM($Z196:AQ196)-SUM($CM196:DD196)</f>
        <v>46185</v>
      </c>
      <c r="BY196" s="93">
        <f>SUM($Z196:AR196)-SUM($CM196:DE196)</f>
        <v>46185</v>
      </c>
      <c r="BZ196" s="93">
        <f>SUM($Z196:AS196)-SUM($CM196:DF196)</f>
        <v>46185</v>
      </c>
      <c r="CA196" s="93">
        <f>SUM($Z196:AT196)-SUM($CM196:DG196)</f>
        <v>46185</v>
      </c>
      <c r="CB196" s="93">
        <f>SUM($Z196:AU196)-SUM($CM196:DH196)</f>
        <v>46185</v>
      </c>
      <c r="CC196" s="93">
        <f>SUM($Z196:AV196)-SUM($CM196:DI196)</f>
        <v>46185</v>
      </c>
      <c r="CD196" s="93">
        <f>SUM($Z196:AW196)-SUM($CM196:DJ196)</f>
        <v>46185</v>
      </c>
      <c r="CE196" s="93">
        <f>SUM($Z196:AX196)-SUM($CM196:DK196)</f>
        <v>46185</v>
      </c>
      <c r="CF196" s="93">
        <f>SUM($Z196:AY196)-SUM($CM196:DL196)</f>
        <v>46185</v>
      </c>
      <c r="CG196" s="93">
        <f>SUM($Z196:AZ196)-SUM($CM196:DM196)</f>
        <v>46185</v>
      </c>
      <c r="CH196" s="93">
        <f>SUM($Z196:BA196)-SUM($CM196:DN196)</f>
        <v>46185</v>
      </c>
      <c r="CI196" s="93">
        <f>SUM($Z196:BB196)-SUM($CM196:DO196)</f>
        <v>46185</v>
      </c>
      <c r="CJ196" s="93"/>
      <c r="CK196" s="93"/>
      <c r="CL196" s="93"/>
      <c r="CM196" s="93"/>
      <c r="CN196" s="93" cm="1">
        <f t="array" ref="CN196">SUMPRODUCT(TRANSPOSE(CN$4:CN$20),$G196:$W196)</f>
        <v>0</v>
      </c>
      <c r="CO196" s="93" cm="1">
        <f t="array" ref="CO196">SUMPRODUCT(TRANSPOSE(CO$4:CO$20),$G196:$W196)</f>
        <v>0</v>
      </c>
      <c r="CP196" s="93" cm="1">
        <f t="array" ref="CP196">SUMPRODUCT(TRANSPOSE(CP$4:CP$20),$G196:$W196)</f>
        <v>0</v>
      </c>
      <c r="CQ196" s="93" cm="1">
        <f t="array" ref="CQ196">SUMPRODUCT(TRANSPOSE(CQ$4:CQ$20),$G196:$W196)</f>
        <v>7770</v>
      </c>
      <c r="CR196" s="93" cm="1">
        <f t="array" ref="CR196">SUMPRODUCT(TRANSPOSE(CR$4:CR$20),$G196:$W196)</f>
        <v>7770</v>
      </c>
      <c r="CS196" s="93" cm="1">
        <f t="array" ref="CS196">SUMPRODUCT(TRANSPOSE(CS$4:CS$20),$G196:$W196)</f>
        <v>7770</v>
      </c>
      <c r="CT196" s="93" cm="1">
        <f t="array" ref="CT196">SUMPRODUCT(TRANSPOSE(CT$4:CT$20),$G196:$W196)</f>
        <v>7770</v>
      </c>
      <c r="CU196" s="93" cm="1">
        <f t="array" ref="CU196">SUMPRODUCT(TRANSPOSE(CU$4:CU$20),$G196:$W196)</f>
        <v>7770</v>
      </c>
      <c r="CV196" s="93" cm="1">
        <f t="array" ref="CV196">SUMPRODUCT(TRANSPOSE(CV$4:CV$20),$G196:$W196)</f>
        <v>7770</v>
      </c>
      <c r="CW196" s="93" cm="1">
        <f t="array" ref="CW196">SUMPRODUCT(TRANSPOSE(CW$4:CW$20),$G196:$W196)</f>
        <v>7770</v>
      </c>
      <c r="CX196" s="93" cm="1">
        <f t="array" ref="CX196">SUMPRODUCT(TRANSPOSE(CX$4:CX$20),$G196:$W196)</f>
        <v>7770</v>
      </c>
      <c r="CY196" s="93" cm="1">
        <f t="array" ref="CY196">SUMPRODUCT(TRANSPOSE(CY$4:CY$20),$G196:$W196)</f>
        <v>7770</v>
      </c>
      <c r="CZ196" s="93" cm="1">
        <f t="array" ref="CZ196">SUMPRODUCT(TRANSPOSE(CZ$4:CZ$20),$G196:$W196)</f>
        <v>3885</v>
      </c>
      <c r="DA196" s="93" cm="1">
        <f t="array" ref="DA196">SUMPRODUCT(TRANSPOSE(DA$4:DA$20),$G196:$W196)</f>
        <v>0</v>
      </c>
      <c r="DB196" s="93" cm="1">
        <f t="array" ref="DB196">SUMPRODUCT(TRANSPOSE(DB$4:DB$20),$G196:$W196)</f>
        <v>0</v>
      </c>
      <c r="DC196" s="93" cm="1">
        <f t="array" ref="DC196">SUMPRODUCT(TRANSPOSE(DC$4:DC$20),$G196:$W196)</f>
        <v>0</v>
      </c>
      <c r="DD196" s="93" cm="1">
        <f t="array" ref="DD196">SUMPRODUCT(TRANSPOSE(DD$4:DD$20),$G196:$W196)</f>
        <v>0</v>
      </c>
      <c r="DE196" s="93" cm="1">
        <f t="array" ref="DE196">SUMPRODUCT(TRANSPOSE(DE$4:DE$20),$G196:$W196)</f>
        <v>0</v>
      </c>
      <c r="DF196" s="93" cm="1">
        <f t="array" ref="DF196">SUMPRODUCT(TRANSPOSE(DF$4:DF$20),$G196:$W196)</f>
        <v>0</v>
      </c>
      <c r="DG196" s="93" cm="1">
        <f t="array" ref="DG196">SUMPRODUCT(TRANSPOSE(DG$4:DG$20),$G196:$W196)</f>
        <v>0</v>
      </c>
      <c r="DH196" s="93" cm="1">
        <f t="array" ref="DH196">SUMPRODUCT(TRANSPOSE(DH$4:DH$20),$G196:$W196)</f>
        <v>0</v>
      </c>
      <c r="DI196" s="93" cm="1">
        <f t="array" ref="DI196">SUMPRODUCT(TRANSPOSE(DI$4:DI$20),$G196:$W196)</f>
        <v>0</v>
      </c>
      <c r="DJ196" s="93" cm="1">
        <f t="array" ref="DJ196">SUMPRODUCT(TRANSPOSE(DJ$4:DJ$20),$G196:$W196)</f>
        <v>0</v>
      </c>
      <c r="DK196" s="93" cm="1">
        <f t="array" ref="DK196">SUMPRODUCT(TRANSPOSE(DK$4:DK$20),$G196:$W196)</f>
        <v>0</v>
      </c>
      <c r="DL196" s="93" cm="1">
        <f t="array" ref="DL196">SUMPRODUCT(TRANSPOSE(DL$4:DL$20),$G196:$W196)</f>
        <v>0</v>
      </c>
      <c r="DM196" s="93" cm="1">
        <f t="array" ref="DM196">SUMPRODUCT(TRANSPOSE(DM$4:DM$20),$G196:$W196)</f>
        <v>0</v>
      </c>
      <c r="DN196" s="93" cm="1">
        <f t="array" ref="DN196">SUMPRODUCT(TRANSPOSE(DN$4:DN$20),$G196:$W196)</f>
        <v>0</v>
      </c>
      <c r="DO196" s="93" cm="1">
        <f t="array" ref="DO196">SUMPRODUCT(TRANSPOSE(DO$4:DO$20),$G196:$W196)</f>
        <v>0</v>
      </c>
    </row>
    <row r="197" spans="1:119" x14ac:dyDescent="0.2">
      <c r="A197" s="45">
        <f t="shared" si="28"/>
        <v>176</v>
      </c>
      <c r="B197" s="46" t="s">
        <v>480</v>
      </c>
      <c r="C197" s="45">
        <v>400693204</v>
      </c>
      <c r="D197" s="45" t="s">
        <v>481</v>
      </c>
      <c r="E197" s="45" t="s">
        <v>162</v>
      </c>
      <c r="F197" s="48">
        <v>2</v>
      </c>
      <c r="G197" s="100">
        <v>0</v>
      </c>
      <c r="H197" s="100">
        <v>0</v>
      </c>
      <c r="I197" s="100">
        <v>0</v>
      </c>
      <c r="J197" s="100">
        <v>0</v>
      </c>
      <c r="K197" s="100">
        <v>0</v>
      </c>
      <c r="L197" s="100">
        <v>0</v>
      </c>
      <c r="M197" s="100">
        <v>0</v>
      </c>
      <c r="N197" s="100">
        <v>0</v>
      </c>
      <c r="O197" s="100">
        <v>0</v>
      </c>
      <c r="P197" s="100">
        <v>0</v>
      </c>
      <c r="Q197" s="100">
        <v>1</v>
      </c>
      <c r="R197" s="100">
        <v>3</v>
      </c>
      <c r="S197" s="100">
        <v>0</v>
      </c>
      <c r="T197" s="100">
        <v>0</v>
      </c>
      <c r="U197" s="100">
        <v>1</v>
      </c>
      <c r="V197" s="100">
        <v>3</v>
      </c>
      <c r="W197" s="100">
        <v>0</v>
      </c>
      <c r="X197" s="45" t="s">
        <v>61</v>
      </c>
      <c r="Y197" s="49">
        <v>4.0000000000000001E-3</v>
      </c>
      <c r="Z197" s="45">
        <v>10000</v>
      </c>
      <c r="AA197" s="45">
        <v>0</v>
      </c>
      <c r="AB197" s="45">
        <v>0</v>
      </c>
      <c r="AC197" s="45">
        <v>0</v>
      </c>
      <c r="AD197" s="45">
        <v>0</v>
      </c>
      <c r="AE197" s="45">
        <v>0</v>
      </c>
      <c r="AF197" s="45">
        <v>0</v>
      </c>
      <c r="AG197" s="45">
        <v>0</v>
      </c>
      <c r="AH197" s="45">
        <v>0</v>
      </c>
      <c r="AI197" s="45">
        <v>0</v>
      </c>
      <c r="AJ197" s="45">
        <v>0</v>
      </c>
      <c r="AK197" s="45">
        <v>0</v>
      </c>
      <c r="AL197" s="45">
        <v>0</v>
      </c>
      <c r="AM197" s="45">
        <v>0</v>
      </c>
      <c r="AN197" s="45">
        <v>0</v>
      </c>
      <c r="AO197" s="45"/>
      <c r="AP197" s="45"/>
      <c r="AQ197" s="45"/>
      <c r="AR197" s="45"/>
      <c r="AS197" s="45"/>
      <c r="AT197" s="45"/>
      <c r="AU197" s="45"/>
      <c r="AV197" s="45"/>
      <c r="AW197" s="45"/>
      <c r="AX197" s="45"/>
      <c r="AY197" s="45"/>
      <c r="AZ197" s="45"/>
      <c r="BA197" s="45"/>
      <c r="BB197" s="45"/>
      <c r="BC197" s="45"/>
      <c r="BD197" s="93"/>
      <c r="BE197" s="93"/>
      <c r="BF197" s="93"/>
      <c r="BG197" s="93"/>
      <c r="BH197" s="93"/>
      <c r="BI197" s="93"/>
      <c r="BJ197" s="93"/>
      <c r="BK197" s="93">
        <f>SUM($Z197:AD197)-SUM($CM197:CQ197)</f>
        <v>9712</v>
      </c>
      <c r="BL197" s="93">
        <f>SUM($Z197:AE197)-SUM($CM197:CR197)</f>
        <v>9432</v>
      </c>
      <c r="BM197" s="93">
        <f>SUM($Z197:AF197)-SUM($CM197:CS197)</f>
        <v>9157</v>
      </c>
      <c r="BN197" s="93">
        <f>SUM($Z197:AG197)-SUM($CM197:CT197)</f>
        <v>8887</v>
      </c>
      <c r="BO197" s="93">
        <f>SUM($Z197:AH197)-SUM($CM197:CU197)</f>
        <v>8617</v>
      </c>
      <c r="BP197" s="93">
        <f>SUM($Z197:AI197)-SUM($CM197:CV197)</f>
        <v>8347</v>
      </c>
      <c r="BQ197" s="93">
        <f>SUM($Z197:AJ197)-SUM($CM197:CW197)</f>
        <v>8077</v>
      </c>
      <c r="BR197" s="93">
        <f>SUM($Z197:AK197)-SUM($CM197:CX197)</f>
        <v>7807</v>
      </c>
      <c r="BS197" s="93">
        <f>SUM($Z197:AL197)-SUM($CM197:CY197)</f>
        <v>7537</v>
      </c>
      <c r="BT197" s="93">
        <f>SUM($Z197:AM197)-SUM($CM197:CZ197)</f>
        <v>7372</v>
      </c>
      <c r="BU197" s="93">
        <f>SUM($Z197:AN197)-SUM($CM197:DA197)</f>
        <v>7312</v>
      </c>
      <c r="BV197" s="93">
        <f>SUM($Z197:AO197)-SUM($CM197:DB197)</f>
        <v>7298</v>
      </c>
      <c r="BW197" s="93">
        <f>SUM($Z197:AP197)-SUM($CM197:DC197)</f>
        <v>7298</v>
      </c>
      <c r="BX197" s="93">
        <f>SUM($Z197:AQ197)-SUM($CM197:DD197)</f>
        <v>7298</v>
      </c>
      <c r="BY197" s="93">
        <f>SUM($Z197:AR197)-SUM($CM197:DE197)</f>
        <v>7298</v>
      </c>
      <c r="BZ197" s="93">
        <f>SUM($Z197:AS197)-SUM($CM197:DF197)</f>
        <v>7298</v>
      </c>
      <c r="CA197" s="93">
        <f>SUM($Z197:AT197)-SUM($CM197:DG197)</f>
        <v>7298</v>
      </c>
      <c r="CB197" s="93">
        <f>SUM($Z197:AU197)-SUM($CM197:DH197)</f>
        <v>7298</v>
      </c>
      <c r="CC197" s="93">
        <f>SUM($Z197:AV197)-SUM($CM197:DI197)</f>
        <v>7298</v>
      </c>
      <c r="CD197" s="93">
        <f>SUM($Z197:AW197)-SUM($CM197:DJ197)</f>
        <v>7298</v>
      </c>
      <c r="CE197" s="93">
        <f>SUM($Z197:AX197)-SUM($CM197:DK197)</f>
        <v>7298</v>
      </c>
      <c r="CF197" s="93">
        <f>SUM($Z197:AY197)-SUM($CM197:DL197)</f>
        <v>7298</v>
      </c>
      <c r="CG197" s="93">
        <f>SUM($Z197:AZ197)-SUM($CM197:DM197)</f>
        <v>7298</v>
      </c>
      <c r="CH197" s="93">
        <f>SUM($Z197:BA197)-SUM($CM197:DN197)</f>
        <v>7298</v>
      </c>
      <c r="CI197" s="93">
        <f>SUM($Z197:BB197)-SUM($CM197:DO197)</f>
        <v>7298</v>
      </c>
      <c r="CJ197" s="93"/>
      <c r="CK197" s="93"/>
      <c r="CL197" s="93"/>
      <c r="CM197" s="93"/>
      <c r="CN197" s="93" cm="1">
        <f t="array" ref="CN197">SUMPRODUCT(TRANSPOSE(CN$4:CN$20),$G197:$W197)</f>
        <v>0</v>
      </c>
      <c r="CO197" s="93" cm="1">
        <f t="array" ref="CO197">SUMPRODUCT(TRANSPOSE(CO$4:CO$20),$G197:$W197)</f>
        <v>0</v>
      </c>
      <c r="CP197" s="93" cm="1">
        <f t="array" ref="CP197">SUMPRODUCT(TRANSPOSE(CP$4:CP$20),$G197:$W197)</f>
        <v>0</v>
      </c>
      <c r="CQ197" s="93" cm="1">
        <f t="array" ref="CQ197">SUMPRODUCT(TRANSPOSE(CQ$4:CQ$20),$G197:$W197)</f>
        <v>288</v>
      </c>
      <c r="CR197" s="93" cm="1">
        <f t="array" ref="CR197">SUMPRODUCT(TRANSPOSE(CR$4:CR$20),$G197:$W197)</f>
        <v>280</v>
      </c>
      <c r="CS197" s="93" cm="1">
        <f t="array" ref="CS197">SUMPRODUCT(TRANSPOSE(CS$4:CS$20),$G197:$W197)</f>
        <v>275</v>
      </c>
      <c r="CT197" s="93" cm="1">
        <f t="array" ref="CT197">SUMPRODUCT(TRANSPOSE(CT$4:CT$20),$G197:$W197)</f>
        <v>270</v>
      </c>
      <c r="CU197" s="93" cm="1">
        <f t="array" ref="CU197">SUMPRODUCT(TRANSPOSE(CU$4:CU$20),$G197:$W197)</f>
        <v>270</v>
      </c>
      <c r="CV197" s="93" cm="1">
        <f t="array" ref="CV197">SUMPRODUCT(TRANSPOSE(CV$4:CV$20),$G197:$W197)</f>
        <v>270</v>
      </c>
      <c r="CW197" s="93" cm="1">
        <f t="array" ref="CW197">SUMPRODUCT(TRANSPOSE(CW$4:CW$20),$G197:$W197)</f>
        <v>270</v>
      </c>
      <c r="CX197" s="93" cm="1">
        <f t="array" ref="CX197">SUMPRODUCT(TRANSPOSE(CX$4:CX$20),$G197:$W197)</f>
        <v>270</v>
      </c>
      <c r="CY197" s="93" cm="1">
        <f t="array" ref="CY197">SUMPRODUCT(TRANSPOSE(CY$4:CY$20),$G197:$W197)</f>
        <v>270</v>
      </c>
      <c r="CZ197" s="93" cm="1">
        <f t="array" ref="CZ197">SUMPRODUCT(TRANSPOSE(CZ$4:CZ$20),$G197:$W197)</f>
        <v>165</v>
      </c>
      <c r="DA197" s="93" cm="1">
        <f t="array" ref="DA197">SUMPRODUCT(TRANSPOSE(DA$4:DA$20),$G197:$W197)</f>
        <v>60</v>
      </c>
      <c r="DB197" s="93" cm="1">
        <f t="array" ref="DB197">SUMPRODUCT(TRANSPOSE(DB$4:DB$20),$G197:$W197)</f>
        <v>14</v>
      </c>
      <c r="DC197" s="93" cm="1">
        <f t="array" ref="DC197">SUMPRODUCT(TRANSPOSE(DC$4:DC$20),$G197:$W197)</f>
        <v>0</v>
      </c>
      <c r="DD197" s="93" cm="1">
        <f t="array" ref="DD197">SUMPRODUCT(TRANSPOSE(DD$4:DD$20),$G197:$W197)</f>
        <v>0</v>
      </c>
      <c r="DE197" s="93" cm="1">
        <f t="array" ref="DE197">SUMPRODUCT(TRANSPOSE(DE$4:DE$20),$G197:$W197)</f>
        <v>0</v>
      </c>
      <c r="DF197" s="93" cm="1">
        <f t="array" ref="DF197">SUMPRODUCT(TRANSPOSE(DF$4:DF$20),$G197:$W197)</f>
        <v>0</v>
      </c>
      <c r="DG197" s="93" cm="1">
        <f t="array" ref="DG197">SUMPRODUCT(TRANSPOSE(DG$4:DG$20),$G197:$W197)</f>
        <v>0</v>
      </c>
      <c r="DH197" s="93" cm="1">
        <f t="array" ref="DH197">SUMPRODUCT(TRANSPOSE(DH$4:DH$20),$G197:$W197)</f>
        <v>0</v>
      </c>
      <c r="DI197" s="93" cm="1">
        <f t="array" ref="DI197">SUMPRODUCT(TRANSPOSE(DI$4:DI$20),$G197:$W197)</f>
        <v>0</v>
      </c>
      <c r="DJ197" s="93" cm="1">
        <f t="array" ref="DJ197">SUMPRODUCT(TRANSPOSE(DJ$4:DJ$20),$G197:$W197)</f>
        <v>0</v>
      </c>
      <c r="DK197" s="93" cm="1">
        <f t="array" ref="DK197">SUMPRODUCT(TRANSPOSE(DK$4:DK$20),$G197:$W197)</f>
        <v>0</v>
      </c>
      <c r="DL197" s="93" cm="1">
        <f t="array" ref="DL197">SUMPRODUCT(TRANSPOSE(DL$4:DL$20),$G197:$W197)</f>
        <v>0</v>
      </c>
      <c r="DM197" s="93" cm="1">
        <f t="array" ref="DM197">SUMPRODUCT(TRANSPOSE(DM$4:DM$20),$G197:$W197)</f>
        <v>0</v>
      </c>
      <c r="DN197" s="93" cm="1">
        <f t="array" ref="DN197">SUMPRODUCT(TRANSPOSE(DN$4:DN$20),$G197:$W197)</f>
        <v>0</v>
      </c>
      <c r="DO197" s="93" cm="1">
        <f t="array" ref="DO197">SUMPRODUCT(TRANSPOSE(DO$4:DO$20),$G197:$W197)</f>
        <v>0</v>
      </c>
    </row>
    <row r="198" spans="1:119" x14ac:dyDescent="0.2">
      <c r="A198" s="45">
        <f t="shared" si="28"/>
        <v>177</v>
      </c>
      <c r="B198" s="46" t="s">
        <v>482</v>
      </c>
      <c r="C198" s="45">
        <v>400272339</v>
      </c>
      <c r="D198" s="45" t="s">
        <v>483</v>
      </c>
      <c r="E198" s="45" t="s">
        <v>162</v>
      </c>
      <c r="F198" s="48">
        <v>2</v>
      </c>
      <c r="G198" s="100">
        <v>0</v>
      </c>
      <c r="H198" s="100">
        <v>0</v>
      </c>
      <c r="I198" s="100">
        <v>0</v>
      </c>
      <c r="J198" s="100">
        <v>0</v>
      </c>
      <c r="K198" s="100">
        <v>0</v>
      </c>
      <c r="L198" s="100">
        <v>0</v>
      </c>
      <c r="M198" s="100">
        <v>0</v>
      </c>
      <c r="N198" s="100">
        <v>0</v>
      </c>
      <c r="O198" s="100">
        <v>0</v>
      </c>
      <c r="P198" s="100">
        <v>0</v>
      </c>
      <c r="Q198" s="100">
        <v>0</v>
      </c>
      <c r="R198" s="100">
        <v>1</v>
      </c>
      <c r="S198" s="100">
        <v>0</v>
      </c>
      <c r="T198" s="100">
        <v>0</v>
      </c>
      <c r="U198" s="100">
        <v>0</v>
      </c>
      <c r="V198" s="100">
        <v>1</v>
      </c>
      <c r="W198" s="100">
        <v>0</v>
      </c>
      <c r="X198" s="45" t="s">
        <v>61</v>
      </c>
      <c r="Y198" s="49">
        <v>4.0000000000000001E-3</v>
      </c>
      <c r="Z198" s="45">
        <v>10000</v>
      </c>
      <c r="AA198" s="45">
        <v>0</v>
      </c>
      <c r="AB198" s="45">
        <v>0</v>
      </c>
      <c r="AC198" s="45">
        <v>0</v>
      </c>
      <c r="AD198" s="45">
        <v>0</v>
      </c>
      <c r="AE198" s="45">
        <v>0</v>
      </c>
      <c r="AF198" s="45">
        <v>0</v>
      </c>
      <c r="AG198" s="45">
        <v>0</v>
      </c>
      <c r="AH198" s="45">
        <v>0</v>
      </c>
      <c r="AI198" s="45">
        <v>0</v>
      </c>
      <c r="AJ198" s="45">
        <v>0</v>
      </c>
      <c r="AK198" s="45">
        <v>0</v>
      </c>
      <c r="AL198" s="45">
        <v>0</v>
      </c>
      <c r="AM198" s="45">
        <v>0</v>
      </c>
      <c r="AN198" s="45">
        <v>0</v>
      </c>
      <c r="AO198" s="45"/>
      <c r="AP198" s="45"/>
      <c r="AQ198" s="45"/>
      <c r="AR198" s="45"/>
      <c r="AS198" s="45"/>
      <c r="AT198" s="45"/>
      <c r="AU198" s="45"/>
      <c r="AV198" s="45"/>
      <c r="AW198" s="45"/>
      <c r="AX198" s="45"/>
      <c r="AY198" s="45"/>
      <c r="AZ198" s="45"/>
      <c r="BA198" s="45"/>
      <c r="BB198" s="45"/>
      <c r="BC198" s="45"/>
      <c r="BD198" s="93"/>
      <c r="BE198" s="93"/>
      <c r="BF198" s="93"/>
      <c r="BG198" s="93"/>
      <c r="BH198" s="93"/>
      <c r="BI198" s="93"/>
      <c r="BJ198" s="93"/>
      <c r="BK198" s="93">
        <f>SUM($Z198:AD198)-SUM($CM198:CQ198)</f>
        <v>9930</v>
      </c>
      <c r="BL198" s="93">
        <f>SUM($Z198:AE198)-SUM($CM198:CR198)</f>
        <v>9860</v>
      </c>
      <c r="BM198" s="93">
        <f>SUM($Z198:AF198)-SUM($CM198:CS198)</f>
        <v>9790</v>
      </c>
      <c r="BN198" s="93">
        <f>SUM($Z198:AG198)-SUM($CM198:CT198)</f>
        <v>9720</v>
      </c>
      <c r="BO198" s="93">
        <f>SUM($Z198:AH198)-SUM($CM198:CU198)</f>
        <v>9650</v>
      </c>
      <c r="BP198" s="93">
        <f>SUM($Z198:AI198)-SUM($CM198:CV198)</f>
        <v>9580</v>
      </c>
      <c r="BQ198" s="93">
        <f>SUM($Z198:AJ198)-SUM($CM198:CW198)</f>
        <v>9510</v>
      </c>
      <c r="BR198" s="93">
        <f>SUM($Z198:AK198)-SUM($CM198:CX198)</f>
        <v>9440</v>
      </c>
      <c r="BS198" s="93">
        <f>SUM($Z198:AL198)-SUM($CM198:CY198)</f>
        <v>9370</v>
      </c>
      <c r="BT198" s="93">
        <f>SUM($Z198:AM198)-SUM($CM198:CZ198)</f>
        <v>9335</v>
      </c>
      <c r="BU198" s="93">
        <f>SUM($Z198:AN198)-SUM($CM198:DA198)</f>
        <v>9335</v>
      </c>
      <c r="BV198" s="93">
        <f>SUM($Z198:AO198)-SUM($CM198:DB198)</f>
        <v>9335</v>
      </c>
      <c r="BW198" s="93">
        <f>SUM($Z198:AP198)-SUM($CM198:DC198)</f>
        <v>9335</v>
      </c>
      <c r="BX198" s="93">
        <f>SUM($Z198:AQ198)-SUM($CM198:DD198)</f>
        <v>9335</v>
      </c>
      <c r="BY198" s="93">
        <f>SUM($Z198:AR198)-SUM($CM198:DE198)</f>
        <v>9335</v>
      </c>
      <c r="BZ198" s="93">
        <f>SUM($Z198:AS198)-SUM($CM198:DF198)</f>
        <v>9335</v>
      </c>
      <c r="CA198" s="93">
        <f>SUM($Z198:AT198)-SUM($CM198:DG198)</f>
        <v>9335</v>
      </c>
      <c r="CB198" s="93">
        <f>SUM($Z198:AU198)-SUM($CM198:DH198)</f>
        <v>9335</v>
      </c>
      <c r="CC198" s="93">
        <f>SUM($Z198:AV198)-SUM($CM198:DI198)</f>
        <v>9335</v>
      </c>
      <c r="CD198" s="93">
        <f>SUM($Z198:AW198)-SUM($CM198:DJ198)</f>
        <v>9335</v>
      </c>
      <c r="CE198" s="93">
        <f>SUM($Z198:AX198)-SUM($CM198:DK198)</f>
        <v>9335</v>
      </c>
      <c r="CF198" s="93">
        <f>SUM($Z198:AY198)-SUM($CM198:DL198)</f>
        <v>9335</v>
      </c>
      <c r="CG198" s="93">
        <f>SUM($Z198:AZ198)-SUM($CM198:DM198)</f>
        <v>9335</v>
      </c>
      <c r="CH198" s="93">
        <f>SUM($Z198:BA198)-SUM($CM198:DN198)</f>
        <v>9335</v>
      </c>
      <c r="CI198" s="93">
        <f>SUM($Z198:BB198)-SUM($CM198:DO198)</f>
        <v>9335</v>
      </c>
      <c r="CJ198" s="93"/>
      <c r="CK198" s="93"/>
      <c r="CL198" s="93"/>
      <c r="CM198" s="93"/>
      <c r="CN198" s="93" cm="1">
        <f t="array" ref="CN198">SUMPRODUCT(TRANSPOSE(CN$4:CN$20),$G198:$W198)</f>
        <v>0</v>
      </c>
      <c r="CO198" s="93" cm="1">
        <f t="array" ref="CO198">SUMPRODUCT(TRANSPOSE(CO$4:CO$20),$G198:$W198)</f>
        <v>0</v>
      </c>
      <c r="CP198" s="93" cm="1">
        <f t="array" ref="CP198">SUMPRODUCT(TRANSPOSE(CP$4:CP$20),$G198:$W198)</f>
        <v>0</v>
      </c>
      <c r="CQ198" s="93" cm="1">
        <f t="array" ref="CQ198">SUMPRODUCT(TRANSPOSE(CQ$4:CQ$20),$G198:$W198)</f>
        <v>70</v>
      </c>
      <c r="CR198" s="93" cm="1">
        <f t="array" ref="CR198">SUMPRODUCT(TRANSPOSE(CR$4:CR$20),$G198:$W198)</f>
        <v>70</v>
      </c>
      <c r="CS198" s="93" cm="1">
        <f t="array" ref="CS198">SUMPRODUCT(TRANSPOSE(CS$4:CS$20),$G198:$W198)</f>
        <v>70</v>
      </c>
      <c r="CT198" s="93" cm="1">
        <f t="array" ref="CT198">SUMPRODUCT(TRANSPOSE(CT$4:CT$20),$G198:$W198)</f>
        <v>70</v>
      </c>
      <c r="CU198" s="93" cm="1">
        <f t="array" ref="CU198">SUMPRODUCT(TRANSPOSE(CU$4:CU$20),$G198:$W198)</f>
        <v>70</v>
      </c>
      <c r="CV198" s="93" cm="1">
        <f t="array" ref="CV198">SUMPRODUCT(TRANSPOSE(CV$4:CV$20),$G198:$W198)</f>
        <v>70</v>
      </c>
      <c r="CW198" s="93" cm="1">
        <f t="array" ref="CW198">SUMPRODUCT(TRANSPOSE(CW$4:CW$20),$G198:$W198)</f>
        <v>70</v>
      </c>
      <c r="CX198" s="93" cm="1">
        <f t="array" ref="CX198">SUMPRODUCT(TRANSPOSE(CX$4:CX$20),$G198:$W198)</f>
        <v>70</v>
      </c>
      <c r="CY198" s="93" cm="1">
        <f t="array" ref="CY198">SUMPRODUCT(TRANSPOSE(CY$4:CY$20),$G198:$W198)</f>
        <v>70</v>
      </c>
      <c r="CZ198" s="93" cm="1">
        <f t="array" ref="CZ198">SUMPRODUCT(TRANSPOSE(CZ$4:CZ$20),$G198:$W198)</f>
        <v>35</v>
      </c>
      <c r="DA198" s="93" cm="1">
        <f t="array" ref="DA198">SUMPRODUCT(TRANSPOSE(DA$4:DA$20),$G198:$W198)</f>
        <v>0</v>
      </c>
      <c r="DB198" s="93" cm="1">
        <f t="array" ref="DB198">SUMPRODUCT(TRANSPOSE(DB$4:DB$20),$G198:$W198)</f>
        <v>0</v>
      </c>
      <c r="DC198" s="93" cm="1">
        <f t="array" ref="DC198">SUMPRODUCT(TRANSPOSE(DC$4:DC$20),$G198:$W198)</f>
        <v>0</v>
      </c>
      <c r="DD198" s="93" cm="1">
        <f t="array" ref="DD198">SUMPRODUCT(TRANSPOSE(DD$4:DD$20),$G198:$W198)</f>
        <v>0</v>
      </c>
      <c r="DE198" s="93" cm="1">
        <f t="array" ref="DE198">SUMPRODUCT(TRANSPOSE(DE$4:DE$20),$G198:$W198)</f>
        <v>0</v>
      </c>
      <c r="DF198" s="93" cm="1">
        <f t="array" ref="DF198">SUMPRODUCT(TRANSPOSE(DF$4:DF$20),$G198:$W198)</f>
        <v>0</v>
      </c>
      <c r="DG198" s="93" cm="1">
        <f t="array" ref="DG198">SUMPRODUCT(TRANSPOSE(DG$4:DG$20),$G198:$W198)</f>
        <v>0</v>
      </c>
      <c r="DH198" s="93" cm="1">
        <f t="array" ref="DH198">SUMPRODUCT(TRANSPOSE(DH$4:DH$20),$G198:$W198)</f>
        <v>0</v>
      </c>
      <c r="DI198" s="93" cm="1">
        <f t="array" ref="DI198">SUMPRODUCT(TRANSPOSE(DI$4:DI$20),$G198:$W198)</f>
        <v>0</v>
      </c>
      <c r="DJ198" s="93" cm="1">
        <f t="array" ref="DJ198">SUMPRODUCT(TRANSPOSE(DJ$4:DJ$20),$G198:$W198)</f>
        <v>0</v>
      </c>
      <c r="DK198" s="93" cm="1">
        <f t="array" ref="DK198">SUMPRODUCT(TRANSPOSE(DK$4:DK$20),$G198:$W198)</f>
        <v>0</v>
      </c>
      <c r="DL198" s="93" cm="1">
        <f t="array" ref="DL198">SUMPRODUCT(TRANSPOSE(DL$4:DL$20),$G198:$W198)</f>
        <v>0</v>
      </c>
      <c r="DM198" s="93" cm="1">
        <f t="array" ref="DM198">SUMPRODUCT(TRANSPOSE(DM$4:DM$20),$G198:$W198)</f>
        <v>0</v>
      </c>
      <c r="DN198" s="93" cm="1">
        <f t="array" ref="DN198">SUMPRODUCT(TRANSPOSE(DN$4:DN$20),$G198:$W198)</f>
        <v>0</v>
      </c>
      <c r="DO198" s="93" cm="1">
        <f t="array" ref="DO198">SUMPRODUCT(TRANSPOSE(DO$4:DO$20),$G198:$W198)</f>
        <v>0</v>
      </c>
    </row>
    <row r="199" spans="1:119" x14ac:dyDescent="0.2">
      <c r="A199" s="45">
        <f t="shared" si="28"/>
        <v>178</v>
      </c>
      <c r="B199" s="46" t="s">
        <v>484</v>
      </c>
      <c r="C199" s="45">
        <v>401234952</v>
      </c>
      <c r="D199" s="45" t="s">
        <v>485</v>
      </c>
      <c r="E199" s="45" t="s">
        <v>162</v>
      </c>
      <c r="F199" s="48">
        <v>2</v>
      </c>
      <c r="G199" s="100">
        <v>0</v>
      </c>
      <c r="H199" s="100">
        <v>0</v>
      </c>
      <c r="I199" s="100">
        <v>0</v>
      </c>
      <c r="J199" s="100">
        <v>0</v>
      </c>
      <c r="K199" s="100">
        <v>0</v>
      </c>
      <c r="L199" s="100">
        <v>0</v>
      </c>
      <c r="M199" s="100">
        <v>0</v>
      </c>
      <c r="N199" s="100">
        <v>0</v>
      </c>
      <c r="O199" s="100">
        <v>0</v>
      </c>
      <c r="P199" s="100">
        <v>0</v>
      </c>
      <c r="Q199" s="100">
        <v>1</v>
      </c>
      <c r="R199" s="100">
        <v>0</v>
      </c>
      <c r="S199" s="100">
        <v>0</v>
      </c>
      <c r="T199" s="100">
        <v>0</v>
      </c>
      <c r="U199" s="100">
        <v>0</v>
      </c>
      <c r="V199" s="100">
        <v>0</v>
      </c>
      <c r="W199" s="100">
        <v>0</v>
      </c>
      <c r="X199" s="45" t="s">
        <v>61</v>
      </c>
      <c r="Y199" s="49">
        <v>4.0000000000000001E-3</v>
      </c>
      <c r="Z199" s="45">
        <v>10000</v>
      </c>
      <c r="AA199" s="45">
        <v>0</v>
      </c>
      <c r="AB199" s="45">
        <v>0</v>
      </c>
      <c r="AC199" s="45">
        <v>0</v>
      </c>
      <c r="AD199" s="45">
        <v>0</v>
      </c>
      <c r="AE199" s="45">
        <v>0</v>
      </c>
      <c r="AF199" s="45">
        <v>0</v>
      </c>
      <c r="AG199" s="45">
        <v>0</v>
      </c>
      <c r="AH199" s="45">
        <v>0</v>
      </c>
      <c r="AI199" s="45">
        <v>0</v>
      </c>
      <c r="AJ199" s="45">
        <v>0</v>
      </c>
      <c r="AK199" s="45">
        <v>0</v>
      </c>
      <c r="AL199" s="45">
        <v>0</v>
      </c>
      <c r="AM199" s="45">
        <v>0</v>
      </c>
      <c r="AN199" s="45">
        <v>0</v>
      </c>
      <c r="AO199" s="45"/>
      <c r="AP199" s="45"/>
      <c r="AQ199" s="45"/>
      <c r="AR199" s="45"/>
      <c r="AS199" s="45"/>
      <c r="AT199" s="45"/>
      <c r="AU199" s="45"/>
      <c r="AV199" s="45"/>
      <c r="AW199" s="45"/>
      <c r="AX199" s="45"/>
      <c r="AY199" s="45"/>
      <c r="AZ199" s="45"/>
      <c r="BA199" s="45"/>
      <c r="BB199" s="45"/>
      <c r="BC199" s="45"/>
      <c r="BD199" s="93"/>
      <c r="BE199" s="93"/>
      <c r="BF199" s="93"/>
      <c r="BG199" s="93"/>
      <c r="BH199" s="93"/>
      <c r="BI199" s="93"/>
      <c r="BJ199" s="93"/>
      <c r="BK199" s="93">
        <f>SUM($Z199:AD199)-SUM($CM199:CQ199)</f>
        <v>9965</v>
      </c>
      <c r="BL199" s="93">
        <f>SUM($Z199:AE199)-SUM($CM199:CR199)</f>
        <v>9930</v>
      </c>
      <c r="BM199" s="93">
        <f>SUM($Z199:AF199)-SUM($CM199:CS199)</f>
        <v>9895</v>
      </c>
      <c r="BN199" s="93">
        <f>SUM($Z199:AG199)-SUM($CM199:CT199)</f>
        <v>9865</v>
      </c>
      <c r="BO199" s="93">
        <f>SUM($Z199:AH199)-SUM($CM199:CU199)</f>
        <v>9835</v>
      </c>
      <c r="BP199" s="93">
        <f>SUM($Z199:AI199)-SUM($CM199:CV199)</f>
        <v>9805</v>
      </c>
      <c r="BQ199" s="93">
        <f>SUM($Z199:AJ199)-SUM($CM199:CW199)</f>
        <v>9775</v>
      </c>
      <c r="BR199" s="93">
        <f>SUM($Z199:AK199)-SUM($CM199:CX199)</f>
        <v>9745</v>
      </c>
      <c r="BS199" s="93">
        <f>SUM($Z199:AL199)-SUM($CM199:CY199)</f>
        <v>9715</v>
      </c>
      <c r="BT199" s="93">
        <f>SUM($Z199:AM199)-SUM($CM199:CZ199)</f>
        <v>9685</v>
      </c>
      <c r="BU199" s="93">
        <f>SUM($Z199:AN199)-SUM($CM199:DA199)</f>
        <v>9655</v>
      </c>
      <c r="BV199" s="93">
        <f>SUM($Z199:AO199)-SUM($CM199:DB199)</f>
        <v>9641</v>
      </c>
      <c r="BW199" s="93">
        <f>SUM($Z199:AP199)-SUM($CM199:DC199)</f>
        <v>9641</v>
      </c>
      <c r="BX199" s="93">
        <f>SUM($Z199:AQ199)-SUM($CM199:DD199)</f>
        <v>9641</v>
      </c>
      <c r="BY199" s="93">
        <f>SUM($Z199:AR199)-SUM($CM199:DE199)</f>
        <v>9641</v>
      </c>
      <c r="BZ199" s="93">
        <f>SUM($Z199:AS199)-SUM($CM199:DF199)</f>
        <v>9641</v>
      </c>
      <c r="CA199" s="93">
        <f>SUM($Z199:AT199)-SUM($CM199:DG199)</f>
        <v>9641</v>
      </c>
      <c r="CB199" s="93">
        <f>SUM($Z199:AU199)-SUM($CM199:DH199)</f>
        <v>9641</v>
      </c>
      <c r="CC199" s="93">
        <f>SUM($Z199:AV199)-SUM($CM199:DI199)</f>
        <v>9641</v>
      </c>
      <c r="CD199" s="93">
        <f>SUM($Z199:AW199)-SUM($CM199:DJ199)</f>
        <v>9641</v>
      </c>
      <c r="CE199" s="93">
        <f>SUM($Z199:AX199)-SUM($CM199:DK199)</f>
        <v>9641</v>
      </c>
      <c r="CF199" s="93">
        <f>SUM($Z199:AY199)-SUM($CM199:DL199)</f>
        <v>9641</v>
      </c>
      <c r="CG199" s="93">
        <f>SUM($Z199:AZ199)-SUM($CM199:DM199)</f>
        <v>9641</v>
      </c>
      <c r="CH199" s="93">
        <f>SUM($Z199:BA199)-SUM($CM199:DN199)</f>
        <v>9641</v>
      </c>
      <c r="CI199" s="93">
        <f>SUM($Z199:BB199)-SUM($CM199:DO199)</f>
        <v>9641</v>
      </c>
      <c r="CJ199" s="93"/>
      <c r="CK199" s="93"/>
      <c r="CL199" s="93"/>
      <c r="CM199" s="93"/>
      <c r="CN199" s="93" cm="1">
        <f t="array" ref="CN199">SUMPRODUCT(TRANSPOSE(CN$4:CN$20),$G199:$W199)</f>
        <v>0</v>
      </c>
      <c r="CO199" s="93" cm="1">
        <f t="array" ref="CO199">SUMPRODUCT(TRANSPOSE(CO$4:CO$20),$G199:$W199)</f>
        <v>0</v>
      </c>
      <c r="CP199" s="93" cm="1">
        <f t="array" ref="CP199">SUMPRODUCT(TRANSPOSE(CP$4:CP$20),$G199:$W199)</f>
        <v>0</v>
      </c>
      <c r="CQ199" s="93" cm="1">
        <f t="array" ref="CQ199">SUMPRODUCT(TRANSPOSE(CQ$4:CQ$20),$G199:$W199)</f>
        <v>35</v>
      </c>
      <c r="CR199" s="93" cm="1">
        <f t="array" ref="CR199">SUMPRODUCT(TRANSPOSE(CR$4:CR$20),$G199:$W199)</f>
        <v>35</v>
      </c>
      <c r="CS199" s="93" cm="1">
        <f t="array" ref="CS199">SUMPRODUCT(TRANSPOSE(CS$4:CS$20),$G199:$W199)</f>
        <v>35</v>
      </c>
      <c r="CT199" s="93" cm="1">
        <f t="array" ref="CT199">SUMPRODUCT(TRANSPOSE(CT$4:CT$20),$G199:$W199)</f>
        <v>30</v>
      </c>
      <c r="CU199" s="93" cm="1">
        <f t="array" ref="CU199">SUMPRODUCT(TRANSPOSE(CU$4:CU$20),$G199:$W199)</f>
        <v>30</v>
      </c>
      <c r="CV199" s="93" cm="1">
        <f t="array" ref="CV199">SUMPRODUCT(TRANSPOSE(CV$4:CV$20),$G199:$W199)</f>
        <v>30</v>
      </c>
      <c r="CW199" s="93" cm="1">
        <f t="array" ref="CW199">SUMPRODUCT(TRANSPOSE(CW$4:CW$20),$G199:$W199)</f>
        <v>30</v>
      </c>
      <c r="CX199" s="93" cm="1">
        <f t="array" ref="CX199">SUMPRODUCT(TRANSPOSE(CX$4:CX$20),$G199:$W199)</f>
        <v>30</v>
      </c>
      <c r="CY199" s="93" cm="1">
        <f t="array" ref="CY199">SUMPRODUCT(TRANSPOSE(CY$4:CY$20),$G199:$W199)</f>
        <v>30</v>
      </c>
      <c r="CZ199" s="93" cm="1">
        <f t="array" ref="CZ199">SUMPRODUCT(TRANSPOSE(CZ$4:CZ$20),$G199:$W199)</f>
        <v>30</v>
      </c>
      <c r="DA199" s="93" cm="1">
        <f t="array" ref="DA199">SUMPRODUCT(TRANSPOSE(DA$4:DA$20),$G199:$W199)</f>
        <v>30</v>
      </c>
      <c r="DB199" s="93" cm="1">
        <f t="array" ref="DB199">SUMPRODUCT(TRANSPOSE(DB$4:DB$20),$G199:$W199)</f>
        <v>14</v>
      </c>
      <c r="DC199" s="93" cm="1">
        <f t="array" ref="DC199">SUMPRODUCT(TRANSPOSE(DC$4:DC$20),$G199:$W199)</f>
        <v>0</v>
      </c>
      <c r="DD199" s="93" cm="1">
        <f t="array" ref="DD199">SUMPRODUCT(TRANSPOSE(DD$4:DD$20),$G199:$W199)</f>
        <v>0</v>
      </c>
      <c r="DE199" s="93" cm="1">
        <f t="array" ref="DE199">SUMPRODUCT(TRANSPOSE(DE$4:DE$20),$G199:$W199)</f>
        <v>0</v>
      </c>
      <c r="DF199" s="93" cm="1">
        <f t="array" ref="DF199">SUMPRODUCT(TRANSPOSE(DF$4:DF$20),$G199:$W199)</f>
        <v>0</v>
      </c>
      <c r="DG199" s="93" cm="1">
        <f t="array" ref="DG199">SUMPRODUCT(TRANSPOSE(DG$4:DG$20),$G199:$W199)</f>
        <v>0</v>
      </c>
      <c r="DH199" s="93" cm="1">
        <f t="array" ref="DH199">SUMPRODUCT(TRANSPOSE(DH$4:DH$20),$G199:$W199)</f>
        <v>0</v>
      </c>
      <c r="DI199" s="93" cm="1">
        <f t="array" ref="DI199">SUMPRODUCT(TRANSPOSE(DI$4:DI$20),$G199:$W199)</f>
        <v>0</v>
      </c>
      <c r="DJ199" s="93" cm="1">
        <f t="array" ref="DJ199">SUMPRODUCT(TRANSPOSE(DJ$4:DJ$20),$G199:$W199)</f>
        <v>0</v>
      </c>
      <c r="DK199" s="93" cm="1">
        <f t="array" ref="DK199">SUMPRODUCT(TRANSPOSE(DK$4:DK$20),$G199:$W199)</f>
        <v>0</v>
      </c>
      <c r="DL199" s="93" cm="1">
        <f t="array" ref="DL199">SUMPRODUCT(TRANSPOSE(DL$4:DL$20),$G199:$W199)</f>
        <v>0</v>
      </c>
      <c r="DM199" s="93" cm="1">
        <f t="array" ref="DM199">SUMPRODUCT(TRANSPOSE(DM$4:DM$20),$G199:$W199)</f>
        <v>0</v>
      </c>
      <c r="DN199" s="93" cm="1">
        <f t="array" ref="DN199">SUMPRODUCT(TRANSPOSE(DN$4:DN$20),$G199:$W199)</f>
        <v>0</v>
      </c>
      <c r="DO199" s="93" cm="1">
        <f t="array" ref="DO199">SUMPRODUCT(TRANSPOSE(DO$4:DO$20),$G199:$W199)</f>
        <v>0</v>
      </c>
    </row>
    <row r="200" spans="1:119" x14ac:dyDescent="0.2">
      <c r="A200" s="45">
        <f t="shared" si="28"/>
        <v>179</v>
      </c>
      <c r="B200" s="46" t="s">
        <v>486</v>
      </c>
      <c r="C200" s="45">
        <v>400272402</v>
      </c>
      <c r="D200" s="45" t="s">
        <v>487</v>
      </c>
      <c r="E200" s="45" t="s">
        <v>162</v>
      </c>
      <c r="F200" s="48">
        <v>2</v>
      </c>
      <c r="G200" s="100">
        <v>0</v>
      </c>
      <c r="H200" s="100">
        <v>0</v>
      </c>
      <c r="I200" s="100">
        <v>0</v>
      </c>
      <c r="J200" s="100">
        <v>0</v>
      </c>
      <c r="K200" s="100">
        <v>0</v>
      </c>
      <c r="L200" s="100">
        <v>0</v>
      </c>
      <c r="M200" s="100">
        <v>0</v>
      </c>
      <c r="N200" s="100">
        <v>0</v>
      </c>
      <c r="O200" s="100">
        <v>0</v>
      </c>
      <c r="P200" s="100">
        <v>0</v>
      </c>
      <c r="Q200" s="100">
        <v>0</v>
      </c>
      <c r="R200" s="100">
        <v>1</v>
      </c>
      <c r="S200" s="100">
        <v>0</v>
      </c>
      <c r="T200" s="100">
        <v>0</v>
      </c>
      <c r="U200" s="100">
        <v>0</v>
      </c>
      <c r="V200" s="100">
        <v>1</v>
      </c>
      <c r="W200" s="100">
        <v>0</v>
      </c>
      <c r="X200" s="45" t="s">
        <v>61</v>
      </c>
      <c r="Y200" s="49">
        <v>4.0000000000000001E-3</v>
      </c>
      <c r="Z200" s="45">
        <v>10000</v>
      </c>
      <c r="AA200" s="45">
        <v>0</v>
      </c>
      <c r="AB200" s="45">
        <v>0</v>
      </c>
      <c r="AC200" s="45">
        <v>0</v>
      </c>
      <c r="AD200" s="45">
        <v>0</v>
      </c>
      <c r="AE200" s="45">
        <v>0</v>
      </c>
      <c r="AF200" s="45">
        <v>0</v>
      </c>
      <c r="AG200" s="45">
        <v>0</v>
      </c>
      <c r="AH200" s="45">
        <v>0</v>
      </c>
      <c r="AI200" s="45">
        <v>0</v>
      </c>
      <c r="AJ200" s="45">
        <v>0</v>
      </c>
      <c r="AK200" s="45">
        <v>0</v>
      </c>
      <c r="AL200" s="45">
        <v>0</v>
      </c>
      <c r="AM200" s="45">
        <v>0</v>
      </c>
      <c r="AN200" s="45">
        <v>0</v>
      </c>
      <c r="AO200" s="45"/>
      <c r="AP200" s="45"/>
      <c r="AQ200" s="45"/>
      <c r="AR200" s="45"/>
      <c r="AS200" s="45"/>
      <c r="AT200" s="45"/>
      <c r="AU200" s="45"/>
      <c r="AV200" s="45"/>
      <c r="AW200" s="45"/>
      <c r="AX200" s="45"/>
      <c r="AY200" s="45"/>
      <c r="AZ200" s="45"/>
      <c r="BA200" s="45"/>
      <c r="BB200" s="45"/>
      <c r="BC200" s="45"/>
      <c r="BD200" s="93"/>
      <c r="BE200" s="93"/>
      <c r="BF200" s="93"/>
      <c r="BG200" s="93"/>
      <c r="BH200" s="93"/>
      <c r="BI200" s="93"/>
      <c r="BJ200" s="93"/>
      <c r="BK200" s="93">
        <f>SUM($Z200:AD200)-SUM($CM200:CQ200)</f>
        <v>9930</v>
      </c>
      <c r="BL200" s="93">
        <f>SUM($Z200:AE200)-SUM($CM200:CR200)</f>
        <v>9860</v>
      </c>
      <c r="BM200" s="93">
        <f>SUM($Z200:AF200)-SUM($CM200:CS200)</f>
        <v>9790</v>
      </c>
      <c r="BN200" s="93">
        <f>SUM($Z200:AG200)-SUM($CM200:CT200)</f>
        <v>9720</v>
      </c>
      <c r="BO200" s="93">
        <f>SUM($Z200:AH200)-SUM($CM200:CU200)</f>
        <v>9650</v>
      </c>
      <c r="BP200" s="93">
        <f>SUM($Z200:AI200)-SUM($CM200:CV200)</f>
        <v>9580</v>
      </c>
      <c r="BQ200" s="93">
        <f>SUM($Z200:AJ200)-SUM($CM200:CW200)</f>
        <v>9510</v>
      </c>
      <c r="BR200" s="93">
        <f>SUM($Z200:AK200)-SUM($CM200:CX200)</f>
        <v>9440</v>
      </c>
      <c r="BS200" s="93">
        <f>SUM($Z200:AL200)-SUM($CM200:CY200)</f>
        <v>9370</v>
      </c>
      <c r="BT200" s="93">
        <f>SUM($Z200:AM200)-SUM($CM200:CZ200)</f>
        <v>9335</v>
      </c>
      <c r="BU200" s="93">
        <f>SUM($Z200:AN200)-SUM($CM200:DA200)</f>
        <v>9335</v>
      </c>
      <c r="BV200" s="93">
        <f>SUM($Z200:AO200)-SUM($CM200:DB200)</f>
        <v>9335</v>
      </c>
      <c r="BW200" s="93">
        <f>SUM($Z200:AP200)-SUM($CM200:DC200)</f>
        <v>9335</v>
      </c>
      <c r="BX200" s="93">
        <f>SUM($Z200:AQ200)-SUM($CM200:DD200)</f>
        <v>9335</v>
      </c>
      <c r="BY200" s="93">
        <f>SUM($Z200:AR200)-SUM($CM200:DE200)</f>
        <v>9335</v>
      </c>
      <c r="BZ200" s="93">
        <f>SUM($Z200:AS200)-SUM($CM200:DF200)</f>
        <v>9335</v>
      </c>
      <c r="CA200" s="93">
        <f>SUM($Z200:AT200)-SUM($CM200:DG200)</f>
        <v>9335</v>
      </c>
      <c r="CB200" s="93">
        <f>SUM($Z200:AU200)-SUM($CM200:DH200)</f>
        <v>9335</v>
      </c>
      <c r="CC200" s="93">
        <f>SUM($Z200:AV200)-SUM($CM200:DI200)</f>
        <v>9335</v>
      </c>
      <c r="CD200" s="93">
        <f>SUM($Z200:AW200)-SUM($CM200:DJ200)</f>
        <v>9335</v>
      </c>
      <c r="CE200" s="93">
        <f>SUM($Z200:AX200)-SUM($CM200:DK200)</f>
        <v>9335</v>
      </c>
      <c r="CF200" s="93">
        <f>SUM($Z200:AY200)-SUM($CM200:DL200)</f>
        <v>9335</v>
      </c>
      <c r="CG200" s="93">
        <f>SUM($Z200:AZ200)-SUM($CM200:DM200)</f>
        <v>9335</v>
      </c>
      <c r="CH200" s="93">
        <f>SUM($Z200:BA200)-SUM($CM200:DN200)</f>
        <v>9335</v>
      </c>
      <c r="CI200" s="93">
        <f>SUM($Z200:BB200)-SUM($CM200:DO200)</f>
        <v>9335</v>
      </c>
      <c r="CJ200" s="93"/>
      <c r="CK200" s="93"/>
      <c r="CL200" s="93"/>
      <c r="CM200" s="93"/>
      <c r="CN200" s="93" cm="1">
        <f t="array" ref="CN200">SUMPRODUCT(TRANSPOSE(CN$4:CN$20),$G200:$W200)</f>
        <v>0</v>
      </c>
      <c r="CO200" s="93" cm="1">
        <f t="array" ref="CO200">SUMPRODUCT(TRANSPOSE(CO$4:CO$20),$G200:$W200)</f>
        <v>0</v>
      </c>
      <c r="CP200" s="93" cm="1">
        <f t="array" ref="CP200">SUMPRODUCT(TRANSPOSE(CP$4:CP$20),$G200:$W200)</f>
        <v>0</v>
      </c>
      <c r="CQ200" s="93" cm="1">
        <f t="array" ref="CQ200">SUMPRODUCT(TRANSPOSE(CQ$4:CQ$20),$G200:$W200)</f>
        <v>70</v>
      </c>
      <c r="CR200" s="93" cm="1">
        <f t="array" ref="CR200">SUMPRODUCT(TRANSPOSE(CR$4:CR$20),$G200:$W200)</f>
        <v>70</v>
      </c>
      <c r="CS200" s="93" cm="1">
        <f t="array" ref="CS200">SUMPRODUCT(TRANSPOSE(CS$4:CS$20),$G200:$W200)</f>
        <v>70</v>
      </c>
      <c r="CT200" s="93" cm="1">
        <f t="array" ref="CT200">SUMPRODUCT(TRANSPOSE(CT$4:CT$20),$G200:$W200)</f>
        <v>70</v>
      </c>
      <c r="CU200" s="93" cm="1">
        <f t="array" ref="CU200">SUMPRODUCT(TRANSPOSE(CU$4:CU$20),$G200:$W200)</f>
        <v>70</v>
      </c>
      <c r="CV200" s="93" cm="1">
        <f t="array" ref="CV200">SUMPRODUCT(TRANSPOSE(CV$4:CV$20),$G200:$W200)</f>
        <v>70</v>
      </c>
      <c r="CW200" s="93" cm="1">
        <f t="array" ref="CW200">SUMPRODUCT(TRANSPOSE(CW$4:CW$20),$G200:$W200)</f>
        <v>70</v>
      </c>
      <c r="CX200" s="93" cm="1">
        <f t="array" ref="CX200">SUMPRODUCT(TRANSPOSE(CX$4:CX$20),$G200:$W200)</f>
        <v>70</v>
      </c>
      <c r="CY200" s="93" cm="1">
        <f t="array" ref="CY200">SUMPRODUCT(TRANSPOSE(CY$4:CY$20),$G200:$W200)</f>
        <v>70</v>
      </c>
      <c r="CZ200" s="93" cm="1">
        <f t="array" ref="CZ200">SUMPRODUCT(TRANSPOSE(CZ$4:CZ$20),$G200:$W200)</f>
        <v>35</v>
      </c>
      <c r="DA200" s="93" cm="1">
        <f t="array" ref="DA200">SUMPRODUCT(TRANSPOSE(DA$4:DA$20),$G200:$W200)</f>
        <v>0</v>
      </c>
      <c r="DB200" s="93" cm="1">
        <f t="array" ref="DB200">SUMPRODUCT(TRANSPOSE(DB$4:DB$20),$G200:$W200)</f>
        <v>0</v>
      </c>
      <c r="DC200" s="93" cm="1">
        <f t="array" ref="DC200">SUMPRODUCT(TRANSPOSE(DC$4:DC$20),$G200:$W200)</f>
        <v>0</v>
      </c>
      <c r="DD200" s="93" cm="1">
        <f t="array" ref="DD200">SUMPRODUCT(TRANSPOSE(DD$4:DD$20),$G200:$W200)</f>
        <v>0</v>
      </c>
      <c r="DE200" s="93" cm="1">
        <f t="array" ref="DE200">SUMPRODUCT(TRANSPOSE(DE$4:DE$20),$G200:$W200)</f>
        <v>0</v>
      </c>
      <c r="DF200" s="93" cm="1">
        <f t="array" ref="DF200">SUMPRODUCT(TRANSPOSE(DF$4:DF$20),$G200:$W200)</f>
        <v>0</v>
      </c>
      <c r="DG200" s="93" cm="1">
        <f t="array" ref="DG200">SUMPRODUCT(TRANSPOSE(DG$4:DG$20),$G200:$W200)</f>
        <v>0</v>
      </c>
      <c r="DH200" s="93" cm="1">
        <f t="array" ref="DH200">SUMPRODUCT(TRANSPOSE(DH$4:DH$20),$G200:$W200)</f>
        <v>0</v>
      </c>
      <c r="DI200" s="93" cm="1">
        <f t="array" ref="DI200">SUMPRODUCT(TRANSPOSE(DI$4:DI$20),$G200:$W200)</f>
        <v>0</v>
      </c>
      <c r="DJ200" s="93" cm="1">
        <f t="array" ref="DJ200">SUMPRODUCT(TRANSPOSE(DJ$4:DJ$20),$G200:$W200)</f>
        <v>0</v>
      </c>
      <c r="DK200" s="93" cm="1">
        <f t="array" ref="DK200">SUMPRODUCT(TRANSPOSE(DK$4:DK$20),$G200:$W200)</f>
        <v>0</v>
      </c>
      <c r="DL200" s="93" cm="1">
        <f t="array" ref="DL200">SUMPRODUCT(TRANSPOSE(DL$4:DL$20),$G200:$W200)</f>
        <v>0</v>
      </c>
      <c r="DM200" s="93" cm="1">
        <f t="array" ref="DM200">SUMPRODUCT(TRANSPOSE(DM$4:DM$20),$G200:$W200)</f>
        <v>0</v>
      </c>
      <c r="DN200" s="93" cm="1">
        <f t="array" ref="DN200">SUMPRODUCT(TRANSPOSE(DN$4:DN$20),$G200:$W200)</f>
        <v>0</v>
      </c>
      <c r="DO200" s="93" cm="1">
        <f t="array" ref="DO200">SUMPRODUCT(TRANSPOSE(DO$4:DO$20),$G200:$W200)</f>
        <v>0</v>
      </c>
    </row>
    <row r="201" spans="1:119" x14ac:dyDescent="0.2">
      <c r="A201" s="45">
        <f t="shared" si="28"/>
        <v>180</v>
      </c>
      <c r="B201" s="46" t="s">
        <v>488</v>
      </c>
      <c r="C201" s="45">
        <v>402134268</v>
      </c>
      <c r="D201" s="45" t="s">
        <v>489</v>
      </c>
      <c r="E201" s="45" t="s">
        <v>162</v>
      </c>
      <c r="F201" s="48">
        <v>2</v>
      </c>
      <c r="G201" s="100">
        <v>0</v>
      </c>
      <c r="H201" s="100">
        <v>0</v>
      </c>
      <c r="I201" s="100">
        <v>0</v>
      </c>
      <c r="J201" s="100">
        <v>0</v>
      </c>
      <c r="K201" s="100">
        <v>0</v>
      </c>
      <c r="L201" s="100">
        <v>0</v>
      </c>
      <c r="M201" s="100">
        <v>0</v>
      </c>
      <c r="N201" s="100">
        <v>0</v>
      </c>
      <c r="O201" s="100">
        <v>0</v>
      </c>
      <c r="P201" s="100">
        <v>0</v>
      </c>
      <c r="Q201" s="100">
        <v>0</v>
      </c>
      <c r="R201" s="100">
        <v>0</v>
      </c>
      <c r="S201" s="100">
        <v>0</v>
      </c>
      <c r="T201" s="100">
        <v>0</v>
      </c>
      <c r="U201" s="100">
        <v>0</v>
      </c>
      <c r="V201" s="100">
        <v>0</v>
      </c>
      <c r="W201" s="100">
        <v>0</v>
      </c>
      <c r="X201" s="45" t="s">
        <v>61</v>
      </c>
      <c r="Y201" s="49">
        <v>4.0000000000000001E-3</v>
      </c>
      <c r="Z201" s="45">
        <v>20000</v>
      </c>
      <c r="AA201" s="45">
        <v>0</v>
      </c>
      <c r="AB201" s="45">
        <v>0</v>
      </c>
      <c r="AC201" s="45">
        <v>0</v>
      </c>
      <c r="AD201" s="45">
        <v>0</v>
      </c>
      <c r="AE201" s="45">
        <v>0</v>
      </c>
      <c r="AF201" s="45">
        <v>0</v>
      </c>
      <c r="AG201" s="45">
        <v>0</v>
      </c>
      <c r="AH201" s="45">
        <v>0</v>
      </c>
      <c r="AI201" s="45">
        <v>0</v>
      </c>
      <c r="AJ201" s="45">
        <v>0</v>
      </c>
      <c r="AK201" s="45">
        <v>0</v>
      </c>
      <c r="AL201" s="45">
        <v>0</v>
      </c>
      <c r="AM201" s="45">
        <v>0</v>
      </c>
      <c r="AN201" s="45">
        <v>0</v>
      </c>
      <c r="AO201" s="45"/>
      <c r="AP201" s="45"/>
      <c r="AQ201" s="45"/>
      <c r="AR201" s="45"/>
      <c r="AS201" s="45"/>
      <c r="AT201" s="45"/>
      <c r="AU201" s="45"/>
      <c r="AV201" s="45"/>
      <c r="AW201" s="45"/>
      <c r="AX201" s="45"/>
      <c r="AY201" s="45"/>
      <c r="AZ201" s="45"/>
      <c r="BA201" s="45"/>
      <c r="BB201" s="45"/>
      <c r="BC201" s="45"/>
      <c r="BD201" s="93"/>
      <c r="BE201" s="93"/>
      <c r="BF201" s="93"/>
      <c r="BG201" s="93"/>
      <c r="BH201" s="93"/>
      <c r="BI201" s="93"/>
      <c r="BJ201" s="93"/>
      <c r="BK201" s="93">
        <f>SUM($Z201:AD201)-SUM($CM201:CQ201)</f>
        <v>20000</v>
      </c>
      <c r="BL201" s="93">
        <f>SUM($Z201:AE201)-SUM($CM201:CR201)</f>
        <v>20000</v>
      </c>
      <c r="BM201" s="93">
        <f>SUM($Z201:AF201)-SUM($CM201:CS201)</f>
        <v>20000</v>
      </c>
      <c r="BN201" s="93">
        <f>SUM($Z201:AG201)-SUM($CM201:CT201)</f>
        <v>20000</v>
      </c>
      <c r="BO201" s="93">
        <f>SUM($Z201:AH201)-SUM($CM201:CU201)</f>
        <v>20000</v>
      </c>
      <c r="BP201" s="93">
        <f>SUM($Z201:AI201)-SUM($CM201:CV201)</f>
        <v>20000</v>
      </c>
      <c r="BQ201" s="93">
        <f>SUM($Z201:AJ201)-SUM($CM201:CW201)</f>
        <v>20000</v>
      </c>
      <c r="BR201" s="93">
        <f>SUM($Z201:AK201)-SUM($CM201:CX201)</f>
        <v>20000</v>
      </c>
      <c r="BS201" s="93">
        <f>SUM($Z201:AL201)-SUM($CM201:CY201)</f>
        <v>20000</v>
      </c>
      <c r="BT201" s="93">
        <f>SUM($Z201:AM201)-SUM($CM201:CZ201)</f>
        <v>20000</v>
      </c>
      <c r="BU201" s="93">
        <f>SUM($Z201:AN201)-SUM($CM201:DA201)</f>
        <v>20000</v>
      </c>
      <c r="BV201" s="93">
        <f>SUM($Z201:AO201)-SUM($CM201:DB201)</f>
        <v>20000</v>
      </c>
      <c r="BW201" s="93">
        <f>SUM($Z201:AP201)-SUM($CM201:DC201)</f>
        <v>20000</v>
      </c>
      <c r="BX201" s="93">
        <f>SUM($Z201:AQ201)-SUM($CM201:DD201)</f>
        <v>20000</v>
      </c>
      <c r="BY201" s="93">
        <f>SUM($Z201:AR201)-SUM($CM201:DE201)</f>
        <v>20000</v>
      </c>
      <c r="BZ201" s="93">
        <f>SUM($Z201:AS201)-SUM($CM201:DF201)</f>
        <v>20000</v>
      </c>
      <c r="CA201" s="93">
        <f>SUM($Z201:AT201)-SUM($CM201:DG201)</f>
        <v>20000</v>
      </c>
      <c r="CB201" s="93">
        <f>SUM($Z201:AU201)-SUM($CM201:DH201)</f>
        <v>20000</v>
      </c>
      <c r="CC201" s="93">
        <f>SUM($Z201:AV201)-SUM($CM201:DI201)</f>
        <v>20000</v>
      </c>
      <c r="CD201" s="93">
        <f>SUM($Z201:AW201)-SUM($CM201:DJ201)</f>
        <v>20000</v>
      </c>
      <c r="CE201" s="93">
        <f>SUM($Z201:AX201)-SUM($CM201:DK201)</f>
        <v>20000</v>
      </c>
      <c r="CF201" s="93">
        <f>SUM($Z201:AY201)-SUM($CM201:DL201)</f>
        <v>20000</v>
      </c>
      <c r="CG201" s="93">
        <f>SUM($Z201:AZ201)-SUM($CM201:DM201)</f>
        <v>20000</v>
      </c>
      <c r="CH201" s="93">
        <f>SUM($Z201:BA201)-SUM($CM201:DN201)</f>
        <v>20000</v>
      </c>
      <c r="CI201" s="93">
        <f>SUM($Z201:BB201)-SUM($CM201:DO201)</f>
        <v>20000</v>
      </c>
      <c r="CJ201" s="93"/>
      <c r="CK201" s="93"/>
      <c r="CL201" s="93"/>
      <c r="CM201" s="93"/>
      <c r="CN201" s="93" cm="1">
        <f t="array" ref="CN201">SUMPRODUCT(TRANSPOSE(CN$4:CN$20),$G201:$W201)</f>
        <v>0</v>
      </c>
      <c r="CO201" s="93" cm="1">
        <f t="array" ref="CO201">SUMPRODUCT(TRANSPOSE(CO$4:CO$20),$G201:$W201)</f>
        <v>0</v>
      </c>
      <c r="CP201" s="93" cm="1">
        <f t="array" ref="CP201">SUMPRODUCT(TRANSPOSE(CP$4:CP$20),$G201:$W201)</f>
        <v>0</v>
      </c>
      <c r="CQ201" s="93" cm="1">
        <f t="array" ref="CQ201">SUMPRODUCT(TRANSPOSE(CQ$4:CQ$20),$G201:$W201)</f>
        <v>0</v>
      </c>
      <c r="CR201" s="93" cm="1">
        <f t="array" ref="CR201">SUMPRODUCT(TRANSPOSE(CR$4:CR$20),$G201:$W201)</f>
        <v>0</v>
      </c>
      <c r="CS201" s="93" cm="1">
        <f t="array" ref="CS201">SUMPRODUCT(TRANSPOSE(CS$4:CS$20),$G201:$W201)</f>
        <v>0</v>
      </c>
      <c r="CT201" s="93" cm="1">
        <f t="array" ref="CT201">SUMPRODUCT(TRANSPOSE(CT$4:CT$20),$G201:$W201)</f>
        <v>0</v>
      </c>
      <c r="CU201" s="93" cm="1">
        <f t="array" ref="CU201">SUMPRODUCT(TRANSPOSE(CU$4:CU$20),$G201:$W201)</f>
        <v>0</v>
      </c>
      <c r="CV201" s="93" cm="1">
        <f t="array" ref="CV201">SUMPRODUCT(TRANSPOSE(CV$4:CV$20),$G201:$W201)</f>
        <v>0</v>
      </c>
      <c r="CW201" s="93" cm="1">
        <f t="array" ref="CW201">SUMPRODUCT(TRANSPOSE(CW$4:CW$20),$G201:$W201)</f>
        <v>0</v>
      </c>
      <c r="CX201" s="93" cm="1">
        <f t="array" ref="CX201">SUMPRODUCT(TRANSPOSE(CX$4:CX$20),$G201:$W201)</f>
        <v>0</v>
      </c>
      <c r="CY201" s="93" cm="1">
        <f t="array" ref="CY201">SUMPRODUCT(TRANSPOSE(CY$4:CY$20),$G201:$W201)</f>
        <v>0</v>
      </c>
      <c r="CZ201" s="93" cm="1">
        <f t="array" ref="CZ201">SUMPRODUCT(TRANSPOSE(CZ$4:CZ$20),$G201:$W201)</f>
        <v>0</v>
      </c>
      <c r="DA201" s="93" cm="1">
        <f t="array" ref="DA201">SUMPRODUCT(TRANSPOSE(DA$4:DA$20),$G201:$W201)</f>
        <v>0</v>
      </c>
      <c r="DB201" s="93" cm="1">
        <f t="array" ref="DB201">SUMPRODUCT(TRANSPOSE(DB$4:DB$20),$G201:$W201)</f>
        <v>0</v>
      </c>
      <c r="DC201" s="93" cm="1">
        <f t="array" ref="DC201">SUMPRODUCT(TRANSPOSE(DC$4:DC$20),$G201:$W201)</f>
        <v>0</v>
      </c>
      <c r="DD201" s="93" cm="1">
        <f t="array" ref="DD201">SUMPRODUCT(TRANSPOSE(DD$4:DD$20),$G201:$W201)</f>
        <v>0</v>
      </c>
      <c r="DE201" s="93" cm="1">
        <f t="array" ref="DE201">SUMPRODUCT(TRANSPOSE(DE$4:DE$20),$G201:$W201)</f>
        <v>0</v>
      </c>
      <c r="DF201" s="93" cm="1">
        <f t="array" ref="DF201">SUMPRODUCT(TRANSPOSE(DF$4:DF$20),$G201:$W201)</f>
        <v>0</v>
      </c>
      <c r="DG201" s="93" cm="1">
        <f t="array" ref="DG201">SUMPRODUCT(TRANSPOSE(DG$4:DG$20),$G201:$W201)</f>
        <v>0</v>
      </c>
      <c r="DH201" s="93" cm="1">
        <f t="array" ref="DH201">SUMPRODUCT(TRANSPOSE(DH$4:DH$20),$G201:$W201)</f>
        <v>0</v>
      </c>
      <c r="DI201" s="93" cm="1">
        <f t="array" ref="DI201">SUMPRODUCT(TRANSPOSE(DI$4:DI$20),$G201:$W201)</f>
        <v>0</v>
      </c>
      <c r="DJ201" s="93" cm="1">
        <f t="array" ref="DJ201">SUMPRODUCT(TRANSPOSE(DJ$4:DJ$20),$G201:$W201)</f>
        <v>0</v>
      </c>
      <c r="DK201" s="93" cm="1">
        <f t="array" ref="DK201">SUMPRODUCT(TRANSPOSE(DK$4:DK$20),$G201:$W201)</f>
        <v>0</v>
      </c>
      <c r="DL201" s="93" cm="1">
        <f t="array" ref="DL201">SUMPRODUCT(TRANSPOSE(DL$4:DL$20),$G201:$W201)</f>
        <v>0</v>
      </c>
      <c r="DM201" s="93" cm="1">
        <f t="array" ref="DM201">SUMPRODUCT(TRANSPOSE(DM$4:DM$20),$G201:$W201)</f>
        <v>0</v>
      </c>
      <c r="DN201" s="93" cm="1">
        <f t="array" ref="DN201">SUMPRODUCT(TRANSPOSE(DN$4:DN$20),$G201:$W201)</f>
        <v>0</v>
      </c>
      <c r="DO201" s="93" cm="1">
        <f t="array" ref="DO201">SUMPRODUCT(TRANSPOSE(DO$4:DO$20),$G201:$W201)</f>
        <v>0</v>
      </c>
    </row>
    <row r="202" spans="1:119" x14ac:dyDescent="0.2">
      <c r="A202" s="45">
        <f t="shared" si="28"/>
        <v>181</v>
      </c>
      <c r="B202" s="46" t="s">
        <v>490</v>
      </c>
      <c r="C202" s="45">
        <v>401468750</v>
      </c>
      <c r="D202" s="45" t="s">
        <v>491</v>
      </c>
      <c r="E202" s="45" t="s">
        <v>162</v>
      </c>
      <c r="F202" s="48">
        <v>2</v>
      </c>
      <c r="G202" s="100">
        <v>0</v>
      </c>
      <c r="H202" s="100">
        <v>0</v>
      </c>
      <c r="I202" s="100">
        <v>0</v>
      </c>
      <c r="J202" s="100">
        <v>0</v>
      </c>
      <c r="K202" s="100">
        <v>0</v>
      </c>
      <c r="L202" s="100">
        <v>0</v>
      </c>
      <c r="M202" s="100">
        <v>0</v>
      </c>
      <c r="N202" s="100">
        <v>0</v>
      </c>
      <c r="O202" s="100">
        <v>0</v>
      </c>
      <c r="P202" s="100">
        <v>0</v>
      </c>
      <c r="Q202" s="100">
        <v>0</v>
      </c>
      <c r="R202" s="100">
        <v>24</v>
      </c>
      <c r="S202" s="100">
        <v>0</v>
      </c>
      <c r="T202" s="100">
        <v>0</v>
      </c>
      <c r="U202" s="100">
        <v>0</v>
      </c>
      <c r="V202" s="100">
        <v>24</v>
      </c>
      <c r="W202" s="100">
        <v>0</v>
      </c>
      <c r="X202" s="45" t="s">
        <v>61</v>
      </c>
      <c r="Y202" s="49">
        <v>4.0000000000000001E-3</v>
      </c>
      <c r="Z202" s="45">
        <v>30000</v>
      </c>
      <c r="AA202" s="45">
        <v>0</v>
      </c>
      <c r="AB202" s="45">
        <v>0</v>
      </c>
      <c r="AC202" s="45">
        <v>0</v>
      </c>
      <c r="AD202" s="45">
        <v>0</v>
      </c>
      <c r="AE202" s="45">
        <v>0</v>
      </c>
      <c r="AF202" s="45">
        <v>0</v>
      </c>
      <c r="AG202" s="45">
        <v>0</v>
      </c>
      <c r="AH202" s="45">
        <v>0</v>
      </c>
      <c r="AI202" s="45">
        <v>0</v>
      </c>
      <c r="AJ202" s="45">
        <v>0</v>
      </c>
      <c r="AK202" s="45">
        <v>0</v>
      </c>
      <c r="AL202" s="45">
        <v>0</v>
      </c>
      <c r="AM202" s="45">
        <v>0</v>
      </c>
      <c r="AN202" s="45">
        <v>0</v>
      </c>
      <c r="AO202" s="45"/>
      <c r="AP202" s="45"/>
      <c r="AQ202" s="45"/>
      <c r="AR202" s="45"/>
      <c r="AS202" s="45"/>
      <c r="AT202" s="45"/>
      <c r="AU202" s="45"/>
      <c r="AV202" s="45"/>
      <c r="AW202" s="45"/>
      <c r="AX202" s="45"/>
      <c r="AY202" s="45"/>
      <c r="AZ202" s="45"/>
      <c r="BA202" s="45"/>
      <c r="BB202" s="45"/>
      <c r="BC202" s="45"/>
      <c r="BD202" s="93"/>
      <c r="BE202" s="93"/>
      <c r="BF202" s="93"/>
      <c r="BG202" s="93"/>
      <c r="BH202" s="93"/>
      <c r="BI202" s="93"/>
      <c r="BJ202" s="93"/>
      <c r="BK202" s="93">
        <f>SUM($Z202:AD202)-SUM($CM202:CQ202)</f>
        <v>28320</v>
      </c>
      <c r="BL202" s="93">
        <f>SUM($Z202:AE202)-SUM($CM202:CR202)</f>
        <v>26640</v>
      </c>
      <c r="BM202" s="93">
        <f>SUM($Z202:AF202)-SUM($CM202:CS202)</f>
        <v>24960</v>
      </c>
      <c r="BN202" s="93">
        <f>SUM($Z202:AG202)-SUM($CM202:CT202)</f>
        <v>23280</v>
      </c>
      <c r="BO202" s="93">
        <f>SUM($Z202:AH202)-SUM($CM202:CU202)</f>
        <v>21600</v>
      </c>
      <c r="BP202" s="93">
        <f>SUM($Z202:AI202)-SUM($CM202:CV202)</f>
        <v>19920</v>
      </c>
      <c r="BQ202" s="93">
        <f>SUM($Z202:AJ202)-SUM($CM202:CW202)</f>
        <v>18240</v>
      </c>
      <c r="BR202" s="93">
        <f>SUM($Z202:AK202)-SUM($CM202:CX202)</f>
        <v>16560</v>
      </c>
      <c r="BS202" s="93">
        <f>SUM($Z202:AL202)-SUM($CM202:CY202)</f>
        <v>14880</v>
      </c>
      <c r="BT202" s="93">
        <f>SUM($Z202:AM202)-SUM($CM202:CZ202)</f>
        <v>14040</v>
      </c>
      <c r="BU202" s="93">
        <f>SUM($Z202:AN202)-SUM($CM202:DA202)</f>
        <v>14040</v>
      </c>
      <c r="BV202" s="93">
        <f>SUM($Z202:AO202)-SUM($CM202:DB202)</f>
        <v>14040</v>
      </c>
      <c r="BW202" s="93">
        <f>SUM($Z202:AP202)-SUM($CM202:DC202)</f>
        <v>14040</v>
      </c>
      <c r="BX202" s="93">
        <f>SUM($Z202:AQ202)-SUM($CM202:DD202)</f>
        <v>14040</v>
      </c>
      <c r="BY202" s="93">
        <f>SUM($Z202:AR202)-SUM($CM202:DE202)</f>
        <v>14040</v>
      </c>
      <c r="BZ202" s="93">
        <f>SUM($Z202:AS202)-SUM($CM202:DF202)</f>
        <v>14040</v>
      </c>
      <c r="CA202" s="93">
        <f>SUM($Z202:AT202)-SUM($CM202:DG202)</f>
        <v>14040</v>
      </c>
      <c r="CB202" s="93">
        <f>SUM($Z202:AU202)-SUM($CM202:DH202)</f>
        <v>14040</v>
      </c>
      <c r="CC202" s="93">
        <f>SUM($Z202:AV202)-SUM($CM202:DI202)</f>
        <v>14040</v>
      </c>
      <c r="CD202" s="93">
        <f>SUM($Z202:AW202)-SUM($CM202:DJ202)</f>
        <v>14040</v>
      </c>
      <c r="CE202" s="93">
        <f>SUM($Z202:AX202)-SUM($CM202:DK202)</f>
        <v>14040</v>
      </c>
      <c r="CF202" s="93">
        <f>SUM($Z202:AY202)-SUM($CM202:DL202)</f>
        <v>14040</v>
      </c>
      <c r="CG202" s="93">
        <f>SUM($Z202:AZ202)-SUM($CM202:DM202)</f>
        <v>14040</v>
      </c>
      <c r="CH202" s="93">
        <f>SUM($Z202:BA202)-SUM($CM202:DN202)</f>
        <v>14040</v>
      </c>
      <c r="CI202" s="93">
        <f>SUM($Z202:BB202)-SUM($CM202:DO202)</f>
        <v>14040</v>
      </c>
      <c r="CJ202" s="93"/>
      <c r="CK202" s="93"/>
      <c r="CL202" s="93"/>
      <c r="CM202" s="93"/>
      <c r="CN202" s="93" cm="1">
        <f t="array" ref="CN202">SUMPRODUCT(TRANSPOSE(CN$4:CN$20),$G202:$W202)</f>
        <v>0</v>
      </c>
      <c r="CO202" s="93" cm="1">
        <f t="array" ref="CO202">SUMPRODUCT(TRANSPOSE(CO$4:CO$20),$G202:$W202)</f>
        <v>0</v>
      </c>
      <c r="CP202" s="93" cm="1">
        <f t="array" ref="CP202">SUMPRODUCT(TRANSPOSE(CP$4:CP$20),$G202:$W202)</f>
        <v>0</v>
      </c>
      <c r="CQ202" s="93" cm="1">
        <f t="array" ref="CQ202">SUMPRODUCT(TRANSPOSE(CQ$4:CQ$20),$G202:$W202)</f>
        <v>1680</v>
      </c>
      <c r="CR202" s="93" cm="1">
        <f t="array" ref="CR202">SUMPRODUCT(TRANSPOSE(CR$4:CR$20),$G202:$W202)</f>
        <v>1680</v>
      </c>
      <c r="CS202" s="93" cm="1">
        <f t="array" ref="CS202">SUMPRODUCT(TRANSPOSE(CS$4:CS$20),$G202:$W202)</f>
        <v>1680</v>
      </c>
      <c r="CT202" s="93" cm="1">
        <f t="array" ref="CT202">SUMPRODUCT(TRANSPOSE(CT$4:CT$20),$G202:$W202)</f>
        <v>1680</v>
      </c>
      <c r="CU202" s="93" cm="1">
        <f t="array" ref="CU202">SUMPRODUCT(TRANSPOSE(CU$4:CU$20),$G202:$W202)</f>
        <v>1680</v>
      </c>
      <c r="CV202" s="93" cm="1">
        <f t="array" ref="CV202">SUMPRODUCT(TRANSPOSE(CV$4:CV$20),$G202:$W202)</f>
        <v>1680</v>
      </c>
      <c r="CW202" s="93" cm="1">
        <f t="array" ref="CW202">SUMPRODUCT(TRANSPOSE(CW$4:CW$20),$G202:$W202)</f>
        <v>1680</v>
      </c>
      <c r="CX202" s="93" cm="1">
        <f t="array" ref="CX202">SUMPRODUCT(TRANSPOSE(CX$4:CX$20),$G202:$W202)</f>
        <v>1680</v>
      </c>
      <c r="CY202" s="93" cm="1">
        <f t="array" ref="CY202">SUMPRODUCT(TRANSPOSE(CY$4:CY$20),$G202:$W202)</f>
        <v>1680</v>
      </c>
      <c r="CZ202" s="93" cm="1">
        <f t="array" ref="CZ202">SUMPRODUCT(TRANSPOSE(CZ$4:CZ$20),$G202:$W202)</f>
        <v>840</v>
      </c>
      <c r="DA202" s="93" cm="1">
        <f t="array" ref="DA202">SUMPRODUCT(TRANSPOSE(DA$4:DA$20),$G202:$W202)</f>
        <v>0</v>
      </c>
      <c r="DB202" s="93" cm="1">
        <f t="array" ref="DB202">SUMPRODUCT(TRANSPOSE(DB$4:DB$20),$G202:$W202)</f>
        <v>0</v>
      </c>
      <c r="DC202" s="93" cm="1">
        <f t="array" ref="DC202">SUMPRODUCT(TRANSPOSE(DC$4:DC$20),$G202:$W202)</f>
        <v>0</v>
      </c>
      <c r="DD202" s="93" cm="1">
        <f t="array" ref="DD202">SUMPRODUCT(TRANSPOSE(DD$4:DD$20),$G202:$W202)</f>
        <v>0</v>
      </c>
      <c r="DE202" s="93" cm="1">
        <f t="array" ref="DE202">SUMPRODUCT(TRANSPOSE(DE$4:DE$20),$G202:$W202)</f>
        <v>0</v>
      </c>
      <c r="DF202" s="93" cm="1">
        <f t="array" ref="DF202">SUMPRODUCT(TRANSPOSE(DF$4:DF$20),$G202:$W202)</f>
        <v>0</v>
      </c>
      <c r="DG202" s="93" cm="1">
        <f t="array" ref="DG202">SUMPRODUCT(TRANSPOSE(DG$4:DG$20),$G202:$W202)</f>
        <v>0</v>
      </c>
      <c r="DH202" s="93" cm="1">
        <f t="array" ref="DH202">SUMPRODUCT(TRANSPOSE(DH$4:DH$20),$G202:$W202)</f>
        <v>0</v>
      </c>
      <c r="DI202" s="93" cm="1">
        <f t="array" ref="DI202">SUMPRODUCT(TRANSPOSE(DI$4:DI$20),$G202:$W202)</f>
        <v>0</v>
      </c>
      <c r="DJ202" s="93" cm="1">
        <f t="array" ref="DJ202">SUMPRODUCT(TRANSPOSE(DJ$4:DJ$20),$G202:$W202)</f>
        <v>0</v>
      </c>
      <c r="DK202" s="93" cm="1">
        <f t="array" ref="DK202">SUMPRODUCT(TRANSPOSE(DK$4:DK$20),$G202:$W202)</f>
        <v>0</v>
      </c>
      <c r="DL202" s="93" cm="1">
        <f t="array" ref="DL202">SUMPRODUCT(TRANSPOSE(DL$4:DL$20),$G202:$W202)</f>
        <v>0</v>
      </c>
      <c r="DM202" s="93" cm="1">
        <f t="array" ref="DM202">SUMPRODUCT(TRANSPOSE(DM$4:DM$20),$G202:$W202)</f>
        <v>0</v>
      </c>
      <c r="DN202" s="93" cm="1">
        <f t="array" ref="DN202">SUMPRODUCT(TRANSPOSE(DN$4:DN$20),$G202:$W202)</f>
        <v>0</v>
      </c>
      <c r="DO202" s="93" cm="1">
        <f t="array" ref="DO202">SUMPRODUCT(TRANSPOSE(DO$4:DO$20),$G202:$W202)</f>
        <v>0</v>
      </c>
    </row>
    <row r="203" spans="1:119" x14ac:dyDescent="0.2">
      <c r="A203" s="45">
        <f t="shared" si="28"/>
        <v>182</v>
      </c>
      <c r="B203" s="46" t="s">
        <v>492</v>
      </c>
      <c r="C203" s="45">
        <v>400265792</v>
      </c>
      <c r="D203" s="45" t="s">
        <v>493</v>
      </c>
      <c r="E203" s="45" t="s">
        <v>162</v>
      </c>
      <c r="F203" s="48">
        <v>2</v>
      </c>
      <c r="G203" s="100">
        <v>0</v>
      </c>
      <c r="H203" s="100">
        <v>0</v>
      </c>
      <c r="I203" s="100">
        <v>0</v>
      </c>
      <c r="J203" s="100">
        <v>0</v>
      </c>
      <c r="K203" s="100">
        <v>0</v>
      </c>
      <c r="L203" s="100">
        <v>0</v>
      </c>
      <c r="M203" s="100">
        <v>0</v>
      </c>
      <c r="N203" s="100">
        <v>0</v>
      </c>
      <c r="O203" s="100">
        <v>0</v>
      </c>
      <c r="P203" s="100">
        <v>0</v>
      </c>
      <c r="Q203" s="100">
        <v>0</v>
      </c>
      <c r="R203" s="100">
        <v>0</v>
      </c>
      <c r="S203" s="100">
        <v>0</v>
      </c>
      <c r="T203" s="100">
        <v>0</v>
      </c>
      <c r="U203" s="100">
        <v>0</v>
      </c>
      <c r="V203" s="100">
        <v>0</v>
      </c>
      <c r="W203" s="100">
        <v>0</v>
      </c>
      <c r="X203" s="45" t="s">
        <v>61</v>
      </c>
      <c r="Y203" s="49">
        <v>4.0000000000000001E-3</v>
      </c>
      <c r="Z203" s="45">
        <v>10000</v>
      </c>
      <c r="AA203" s="45">
        <v>0</v>
      </c>
      <c r="AB203" s="45">
        <v>0</v>
      </c>
      <c r="AC203" s="45">
        <v>0</v>
      </c>
      <c r="AD203" s="45">
        <v>0</v>
      </c>
      <c r="AE203" s="45">
        <v>0</v>
      </c>
      <c r="AF203" s="45">
        <v>0</v>
      </c>
      <c r="AG203" s="45">
        <v>0</v>
      </c>
      <c r="AH203" s="45">
        <v>0</v>
      </c>
      <c r="AI203" s="45">
        <v>0</v>
      </c>
      <c r="AJ203" s="45">
        <v>0</v>
      </c>
      <c r="AK203" s="45">
        <v>0</v>
      </c>
      <c r="AL203" s="45">
        <v>0</v>
      </c>
      <c r="AM203" s="45">
        <v>0</v>
      </c>
      <c r="AN203" s="45">
        <v>0</v>
      </c>
      <c r="AO203" s="45"/>
      <c r="AP203" s="45"/>
      <c r="AQ203" s="45"/>
      <c r="AR203" s="45"/>
      <c r="AS203" s="45"/>
      <c r="AT203" s="45"/>
      <c r="AU203" s="45"/>
      <c r="AV203" s="45"/>
      <c r="AW203" s="45"/>
      <c r="AX203" s="45"/>
      <c r="AY203" s="45"/>
      <c r="AZ203" s="45"/>
      <c r="BA203" s="45"/>
      <c r="BB203" s="45"/>
      <c r="BC203" s="45"/>
      <c r="BD203" s="93"/>
      <c r="BE203" s="93"/>
      <c r="BF203" s="93"/>
      <c r="BG203" s="93"/>
      <c r="BH203" s="93"/>
      <c r="BI203" s="93"/>
      <c r="BJ203" s="93"/>
      <c r="BK203" s="93">
        <f>SUM($Z203:AD203)-SUM($CM203:CQ203)</f>
        <v>10000</v>
      </c>
      <c r="BL203" s="93">
        <f>SUM($Z203:AE203)-SUM($CM203:CR203)</f>
        <v>10000</v>
      </c>
      <c r="BM203" s="93">
        <f>SUM($Z203:AF203)-SUM($CM203:CS203)</f>
        <v>10000</v>
      </c>
      <c r="BN203" s="93">
        <f>SUM($Z203:AG203)-SUM($CM203:CT203)</f>
        <v>10000</v>
      </c>
      <c r="BO203" s="93">
        <f>SUM($Z203:AH203)-SUM($CM203:CU203)</f>
        <v>10000</v>
      </c>
      <c r="BP203" s="93">
        <f>SUM($Z203:AI203)-SUM($CM203:CV203)</f>
        <v>10000</v>
      </c>
      <c r="BQ203" s="93">
        <f>SUM($Z203:AJ203)-SUM($CM203:CW203)</f>
        <v>10000</v>
      </c>
      <c r="BR203" s="93">
        <f>SUM($Z203:AK203)-SUM($CM203:CX203)</f>
        <v>10000</v>
      </c>
      <c r="BS203" s="93">
        <f>SUM($Z203:AL203)-SUM($CM203:CY203)</f>
        <v>10000</v>
      </c>
      <c r="BT203" s="93">
        <f>SUM($Z203:AM203)-SUM($CM203:CZ203)</f>
        <v>10000</v>
      </c>
      <c r="BU203" s="93">
        <f>SUM($Z203:AN203)-SUM($CM203:DA203)</f>
        <v>10000</v>
      </c>
      <c r="BV203" s="93">
        <f>SUM($Z203:AO203)-SUM($CM203:DB203)</f>
        <v>10000</v>
      </c>
      <c r="BW203" s="93">
        <f>SUM($Z203:AP203)-SUM($CM203:DC203)</f>
        <v>10000</v>
      </c>
      <c r="BX203" s="93">
        <f>SUM($Z203:AQ203)-SUM($CM203:DD203)</f>
        <v>10000</v>
      </c>
      <c r="BY203" s="93">
        <f>SUM($Z203:AR203)-SUM($CM203:DE203)</f>
        <v>10000</v>
      </c>
      <c r="BZ203" s="93">
        <f>SUM($Z203:AS203)-SUM($CM203:DF203)</f>
        <v>10000</v>
      </c>
      <c r="CA203" s="93">
        <f>SUM($Z203:AT203)-SUM($CM203:DG203)</f>
        <v>10000</v>
      </c>
      <c r="CB203" s="93">
        <f>SUM($Z203:AU203)-SUM($CM203:DH203)</f>
        <v>10000</v>
      </c>
      <c r="CC203" s="93">
        <f>SUM($Z203:AV203)-SUM($CM203:DI203)</f>
        <v>10000</v>
      </c>
      <c r="CD203" s="93">
        <f>SUM($Z203:AW203)-SUM($CM203:DJ203)</f>
        <v>10000</v>
      </c>
      <c r="CE203" s="93">
        <f>SUM($Z203:AX203)-SUM($CM203:DK203)</f>
        <v>10000</v>
      </c>
      <c r="CF203" s="93">
        <f>SUM($Z203:AY203)-SUM($CM203:DL203)</f>
        <v>10000</v>
      </c>
      <c r="CG203" s="93">
        <f>SUM($Z203:AZ203)-SUM($CM203:DM203)</f>
        <v>10000</v>
      </c>
      <c r="CH203" s="93">
        <f>SUM($Z203:BA203)-SUM($CM203:DN203)</f>
        <v>10000</v>
      </c>
      <c r="CI203" s="93">
        <f>SUM($Z203:BB203)-SUM($CM203:DO203)</f>
        <v>10000</v>
      </c>
      <c r="CJ203" s="93"/>
      <c r="CK203" s="93"/>
      <c r="CL203" s="93"/>
      <c r="CM203" s="93"/>
      <c r="CN203" s="93" cm="1">
        <f t="array" ref="CN203">SUMPRODUCT(TRANSPOSE(CN$4:CN$20),$G203:$W203)</f>
        <v>0</v>
      </c>
      <c r="CO203" s="93" cm="1">
        <f t="array" ref="CO203">SUMPRODUCT(TRANSPOSE(CO$4:CO$20),$G203:$W203)</f>
        <v>0</v>
      </c>
      <c r="CP203" s="93" cm="1">
        <f t="array" ref="CP203">SUMPRODUCT(TRANSPOSE(CP$4:CP$20),$G203:$W203)</f>
        <v>0</v>
      </c>
      <c r="CQ203" s="93" cm="1">
        <f t="array" ref="CQ203">SUMPRODUCT(TRANSPOSE(CQ$4:CQ$20),$G203:$W203)</f>
        <v>0</v>
      </c>
      <c r="CR203" s="93" cm="1">
        <f t="array" ref="CR203">SUMPRODUCT(TRANSPOSE(CR$4:CR$20),$G203:$W203)</f>
        <v>0</v>
      </c>
      <c r="CS203" s="93" cm="1">
        <f t="array" ref="CS203">SUMPRODUCT(TRANSPOSE(CS$4:CS$20),$G203:$W203)</f>
        <v>0</v>
      </c>
      <c r="CT203" s="93" cm="1">
        <f t="array" ref="CT203">SUMPRODUCT(TRANSPOSE(CT$4:CT$20),$G203:$W203)</f>
        <v>0</v>
      </c>
      <c r="CU203" s="93" cm="1">
        <f t="array" ref="CU203">SUMPRODUCT(TRANSPOSE(CU$4:CU$20),$G203:$W203)</f>
        <v>0</v>
      </c>
      <c r="CV203" s="93" cm="1">
        <f t="array" ref="CV203">SUMPRODUCT(TRANSPOSE(CV$4:CV$20),$G203:$W203)</f>
        <v>0</v>
      </c>
      <c r="CW203" s="93" cm="1">
        <f t="array" ref="CW203">SUMPRODUCT(TRANSPOSE(CW$4:CW$20),$G203:$W203)</f>
        <v>0</v>
      </c>
      <c r="CX203" s="93" cm="1">
        <f t="array" ref="CX203">SUMPRODUCT(TRANSPOSE(CX$4:CX$20),$G203:$W203)</f>
        <v>0</v>
      </c>
      <c r="CY203" s="93" cm="1">
        <f t="array" ref="CY203">SUMPRODUCT(TRANSPOSE(CY$4:CY$20),$G203:$W203)</f>
        <v>0</v>
      </c>
      <c r="CZ203" s="93" cm="1">
        <f t="array" ref="CZ203">SUMPRODUCT(TRANSPOSE(CZ$4:CZ$20),$G203:$W203)</f>
        <v>0</v>
      </c>
      <c r="DA203" s="93" cm="1">
        <f t="array" ref="DA203">SUMPRODUCT(TRANSPOSE(DA$4:DA$20),$G203:$W203)</f>
        <v>0</v>
      </c>
      <c r="DB203" s="93" cm="1">
        <f t="array" ref="DB203">SUMPRODUCT(TRANSPOSE(DB$4:DB$20),$G203:$W203)</f>
        <v>0</v>
      </c>
      <c r="DC203" s="93" cm="1">
        <f t="array" ref="DC203">SUMPRODUCT(TRANSPOSE(DC$4:DC$20),$G203:$W203)</f>
        <v>0</v>
      </c>
      <c r="DD203" s="93" cm="1">
        <f t="array" ref="DD203">SUMPRODUCT(TRANSPOSE(DD$4:DD$20),$G203:$W203)</f>
        <v>0</v>
      </c>
      <c r="DE203" s="93" cm="1">
        <f t="array" ref="DE203">SUMPRODUCT(TRANSPOSE(DE$4:DE$20),$G203:$W203)</f>
        <v>0</v>
      </c>
      <c r="DF203" s="93" cm="1">
        <f t="array" ref="DF203">SUMPRODUCT(TRANSPOSE(DF$4:DF$20),$G203:$W203)</f>
        <v>0</v>
      </c>
      <c r="DG203" s="93" cm="1">
        <f t="array" ref="DG203">SUMPRODUCT(TRANSPOSE(DG$4:DG$20),$G203:$W203)</f>
        <v>0</v>
      </c>
      <c r="DH203" s="93" cm="1">
        <f t="array" ref="DH203">SUMPRODUCT(TRANSPOSE(DH$4:DH$20),$G203:$W203)</f>
        <v>0</v>
      </c>
      <c r="DI203" s="93" cm="1">
        <f t="array" ref="DI203">SUMPRODUCT(TRANSPOSE(DI$4:DI$20),$G203:$W203)</f>
        <v>0</v>
      </c>
      <c r="DJ203" s="93" cm="1">
        <f t="array" ref="DJ203">SUMPRODUCT(TRANSPOSE(DJ$4:DJ$20),$G203:$W203)</f>
        <v>0</v>
      </c>
      <c r="DK203" s="93" cm="1">
        <f t="array" ref="DK203">SUMPRODUCT(TRANSPOSE(DK$4:DK$20),$G203:$W203)</f>
        <v>0</v>
      </c>
      <c r="DL203" s="93" cm="1">
        <f t="array" ref="DL203">SUMPRODUCT(TRANSPOSE(DL$4:DL$20),$G203:$W203)</f>
        <v>0</v>
      </c>
      <c r="DM203" s="93" cm="1">
        <f t="array" ref="DM203">SUMPRODUCT(TRANSPOSE(DM$4:DM$20),$G203:$W203)</f>
        <v>0</v>
      </c>
      <c r="DN203" s="93" cm="1">
        <f t="array" ref="DN203">SUMPRODUCT(TRANSPOSE(DN$4:DN$20),$G203:$W203)</f>
        <v>0</v>
      </c>
      <c r="DO203" s="93" cm="1">
        <f t="array" ref="DO203">SUMPRODUCT(TRANSPOSE(DO$4:DO$20),$G203:$W203)</f>
        <v>0</v>
      </c>
    </row>
    <row r="204" spans="1:119" x14ac:dyDescent="0.2">
      <c r="A204" s="45">
        <f t="shared" si="28"/>
        <v>183</v>
      </c>
      <c r="B204" s="46" t="s">
        <v>494</v>
      </c>
      <c r="C204" s="45">
        <v>400265809</v>
      </c>
      <c r="D204" s="45" t="s">
        <v>495</v>
      </c>
      <c r="E204" s="45" t="s">
        <v>162</v>
      </c>
      <c r="F204" s="48">
        <v>2</v>
      </c>
      <c r="G204" s="100">
        <v>0</v>
      </c>
      <c r="H204" s="100">
        <v>0</v>
      </c>
      <c r="I204" s="100">
        <v>0</v>
      </c>
      <c r="J204" s="100">
        <v>0</v>
      </c>
      <c r="K204" s="100">
        <v>0</v>
      </c>
      <c r="L204" s="100">
        <v>0</v>
      </c>
      <c r="M204" s="100">
        <v>0</v>
      </c>
      <c r="N204" s="100">
        <v>0</v>
      </c>
      <c r="O204" s="100">
        <v>0</v>
      </c>
      <c r="P204" s="100">
        <v>0</v>
      </c>
      <c r="Q204" s="100">
        <v>6</v>
      </c>
      <c r="R204" s="100">
        <v>0</v>
      </c>
      <c r="S204" s="100">
        <v>0</v>
      </c>
      <c r="T204" s="100">
        <v>0</v>
      </c>
      <c r="U204" s="100">
        <v>6</v>
      </c>
      <c r="V204" s="100">
        <v>0</v>
      </c>
      <c r="W204" s="100">
        <v>0</v>
      </c>
      <c r="X204" s="45" t="s">
        <v>61</v>
      </c>
      <c r="Y204" s="49">
        <v>4.0000000000000001E-3</v>
      </c>
      <c r="Z204" s="45">
        <v>10000</v>
      </c>
      <c r="AA204" s="45">
        <v>0</v>
      </c>
      <c r="AB204" s="45">
        <v>0</v>
      </c>
      <c r="AC204" s="45">
        <v>0</v>
      </c>
      <c r="AD204" s="45">
        <v>0</v>
      </c>
      <c r="AE204" s="45">
        <v>0</v>
      </c>
      <c r="AF204" s="45">
        <v>0</v>
      </c>
      <c r="AG204" s="45">
        <v>0</v>
      </c>
      <c r="AH204" s="45">
        <v>0</v>
      </c>
      <c r="AI204" s="45">
        <v>0</v>
      </c>
      <c r="AJ204" s="45">
        <v>0</v>
      </c>
      <c r="AK204" s="45">
        <v>0</v>
      </c>
      <c r="AL204" s="45">
        <v>0</v>
      </c>
      <c r="AM204" s="45">
        <v>0</v>
      </c>
      <c r="AN204" s="45">
        <v>0</v>
      </c>
      <c r="AO204" s="45"/>
      <c r="AP204" s="45"/>
      <c r="AQ204" s="45"/>
      <c r="AR204" s="45"/>
      <c r="AS204" s="45"/>
      <c r="AT204" s="45"/>
      <c r="AU204" s="45"/>
      <c r="AV204" s="45"/>
      <c r="AW204" s="45"/>
      <c r="AX204" s="45"/>
      <c r="AY204" s="45"/>
      <c r="AZ204" s="45"/>
      <c r="BA204" s="45"/>
      <c r="BB204" s="45"/>
      <c r="BC204" s="45"/>
      <c r="BD204" s="93"/>
      <c r="BE204" s="93"/>
      <c r="BF204" s="93"/>
      <c r="BG204" s="93"/>
      <c r="BH204" s="93"/>
      <c r="BI204" s="93"/>
      <c r="BJ204" s="93"/>
      <c r="BK204" s="93">
        <f>SUM($Z204:AD204)-SUM($CM204:CQ204)</f>
        <v>9532</v>
      </c>
      <c r="BL204" s="93">
        <f>SUM($Z204:AE204)-SUM($CM204:CR204)</f>
        <v>9112</v>
      </c>
      <c r="BM204" s="93">
        <f>SUM($Z204:AF204)-SUM($CM204:CS204)</f>
        <v>8722</v>
      </c>
      <c r="BN204" s="93">
        <f>SUM($Z204:AG204)-SUM($CM204:CT204)</f>
        <v>8362</v>
      </c>
      <c r="BO204" s="93">
        <f>SUM($Z204:AH204)-SUM($CM204:CU204)</f>
        <v>8002</v>
      </c>
      <c r="BP204" s="93">
        <f>SUM($Z204:AI204)-SUM($CM204:CV204)</f>
        <v>7642</v>
      </c>
      <c r="BQ204" s="93">
        <f>SUM($Z204:AJ204)-SUM($CM204:CW204)</f>
        <v>7282</v>
      </c>
      <c r="BR204" s="93">
        <f>SUM($Z204:AK204)-SUM($CM204:CX204)</f>
        <v>6922</v>
      </c>
      <c r="BS204" s="93">
        <f>SUM($Z204:AL204)-SUM($CM204:CY204)</f>
        <v>6562</v>
      </c>
      <c r="BT204" s="93">
        <f>SUM($Z204:AM204)-SUM($CM204:CZ204)</f>
        <v>6202</v>
      </c>
      <c r="BU204" s="93">
        <f>SUM($Z204:AN204)-SUM($CM204:DA204)</f>
        <v>5842</v>
      </c>
      <c r="BV204" s="93">
        <f>SUM($Z204:AO204)-SUM($CM204:DB204)</f>
        <v>5758</v>
      </c>
      <c r="BW204" s="93">
        <f>SUM($Z204:AP204)-SUM($CM204:DC204)</f>
        <v>5758</v>
      </c>
      <c r="BX204" s="93">
        <f>SUM($Z204:AQ204)-SUM($CM204:DD204)</f>
        <v>5758</v>
      </c>
      <c r="BY204" s="93">
        <f>SUM($Z204:AR204)-SUM($CM204:DE204)</f>
        <v>5758</v>
      </c>
      <c r="BZ204" s="93">
        <f>SUM($Z204:AS204)-SUM($CM204:DF204)</f>
        <v>5758</v>
      </c>
      <c r="CA204" s="93">
        <f>SUM($Z204:AT204)-SUM($CM204:DG204)</f>
        <v>5758</v>
      </c>
      <c r="CB204" s="93">
        <f>SUM($Z204:AU204)-SUM($CM204:DH204)</f>
        <v>5758</v>
      </c>
      <c r="CC204" s="93">
        <f>SUM($Z204:AV204)-SUM($CM204:DI204)</f>
        <v>5758</v>
      </c>
      <c r="CD204" s="93">
        <f>SUM($Z204:AW204)-SUM($CM204:DJ204)</f>
        <v>5758</v>
      </c>
      <c r="CE204" s="93">
        <f>SUM($Z204:AX204)-SUM($CM204:DK204)</f>
        <v>5758</v>
      </c>
      <c r="CF204" s="93">
        <f>SUM($Z204:AY204)-SUM($CM204:DL204)</f>
        <v>5758</v>
      </c>
      <c r="CG204" s="93">
        <f>SUM($Z204:AZ204)-SUM($CM204:DM204)</f>
        <v>5758</v>
      </c>
      <c r="CH204" s="93">
        <f>SUM($Z204:BA204)-SUM($CM204:DN204)</f>
        <v>5758</v>
      </c>
      <c r="CI204" s="93">
        <f>SUM($Z204:BB204)-SUM($CM204:DO204)</f>
        <v>5758</v>
      </c>
      <c r="CJ204" s="93"/>
      <c r="CK204" s="93"/>
      <c r="CL204" s="93"/>
      <c r="CM204" s="93"/>
      <c r="CN204" s="93" cm="1">
        <f t="array" ref="CN204">SUMPRODUCT(TRANSPOSE(CN$4:CN$20),$G204:$W204)</f>
        <v>0</v>
      </c>
      <c r="CO204" s="93" cm="1">
        <f t="array" ref="CO204">SUMPRODUCT(TRANSPOSE(CO$4:CO$20),$G204:$W204)</f>
        <v>0</v>
      </c>
      <c r="CP204" s="93" cm="1">
        <f t="array" ref="CP204">SUMPRODUCT(TRANSPOSE(CP$4:CP$20),$G204:$W204)</f>
        <v>0</v>
      </c>
      <c r="CQ204" s="93" cm="1">
        <f t="array" ref="CQ204">SUMPRODUCT(TRANSPOSE(CQ$4:CQ$20),$G204:$W204)</f>
        <v>468</v>
      </c>
      <c r="CR204" s="93" cm="1">
        <f t="array" ref="CR204">SUMPRODUCT(TRANSPOSE(CR$4:CR$20),$G204:$W204)</f>
        <v>420</v>
      </c>
      <c r="CS204" s="93" cm="1">
        <f t="array" ref="CS204">SUMPRODUCT(TRANSPOSE(CS$4:CS$20),$G204:$W204)</f>
        <v>390</v>
      </c>
      <c r="CT204" s="93" cm="1">
        <f t="array" ref="CT204">SUMPRODUCT(TRANSPOSE(CT$4:CT$20),$G204:$W204)</f>
        <v>360</v>
      </c>
      <c r="CU204" s="93" cm="1">
        <f t="array" ref="CU204">SUMPRODUCT(TRANSPOSE(CU$4:CU$20),$G204:$W204)</f>
        <v>360</v>
      </c>
      <c r="CV204" s="93" cm="1">
        <f t="array" ref="CV204">SUMPRODUCT(TRANSPOSE(CV$4:CV$20),$G204:$W204)</f>
        <v>360</v>
      </c>
      <c r="CW204" s="93" cm="1">
        <f t="array" ref="CW204">SUMPRODUCT(TRANSPOSE(CW$4:CW$20),$G204:$W204)</f>
        <v>360</v>
      </c>
      <c r="CX204" s="93" cm="1">
        <f t="array" ref="CX204">SUMPRODUCT(TRANSPOSE(CX$4:CX$20),$G204:$W204)</f>
        <v>360</v>
      </c>
      <c r="CY204" s="93" cm="1">
        <f t="array" ref="CY204">SUMPRODUCT(TRANSPOSE(CY$4:CY$20),$G204:$W204)</f>
        <v>360</v>
      </c>
      <c r="CZ204" s="93" cm="1">
        <f t="array" ref="CZ204">SUMPRODUCT(TRANSPOSE(CZ$4:CZ$20),$G204:$W204)</f>
        <v>360</v>
      </c>
      <c r="DA204" s="93" cm="1">
        <f t="array" ref="DA204">SUMPRODUCT(TRANSPOSE(DA$4:DA$20),$G204:$W204)</f>
        <v>360</v>
      </c>
      <c r="DB204" s="93" cm="1">
        <f t="array" ref="DB204">SUMPRODUCT(TRANSPOSE(DB$4:DB$20),$G204:$W204)</f>
        <v>84</v>
      </c>
      <c r="DC204" s="93" cm="1">
        <f t="array" ref="DC204">SUMPRODUCT(TRANSPOSE(DC$4:DC$20),$G204:$W204)</f>
        <v>0</v>
      </c>
      <c r="DD204" s="93" cm="1">
        <f t="array" ref="DD204">SUMPRODUCT(TRANSPOSE(DD$4:DD$20),$G204:$W204)</f>
        <v>0</v>
      </c>
      <c r="DE204" s="93" cm="1">
        <f t="array" ref="DE204">SUMPRODUCT(TRANSPOSE(DE$4:DE$20),$G204:$W204)</f>
        <v>0</v>
      </c>
      <c r="DF204" s="93" cm="1">
        <f t="array" ref="DF204">SUMPRODUCT(TRANSPOSE(DF$4:DF$20),$G204:$W204)</f>
        <v>0</v>
      </c>
      <c r="DG204" s="93" cm="1">
        <f t="array" ref="DG204">SUMPRODUCT(TRANSPOSE(DG$4:DG$20),$G204:$W204)</f>
        <v>0</v>
      </c>
      <c r="DH204" s="93" cm="1">
        <f t="array" ref="DH204">SUMPRODUCT(TRANSPOSE(DH$4:DH$20),$G204:$W204)</f>
        <v>0</v>
      </c>
      <c r="DI204" s="93" cm="1">
        <f t="array" ref="DI204">SUMPRODUCT(TRANSPOSE(DI$4:DI$20),$G204:$W204)</f>
        <v>0</v>
      </c>
      <c r="DJ204" s="93" cm="1">
        <f t="array" ref="DJ204">SUMPRODUCT(TRANSPOSE(DJ$4:DJ$20),$G204:$W204)</f>
        <v>0</v>
      </c>
      <c r="DK204" s="93" cm="1">
        <f t="array" ref="DK204">SUMPRODUCT(TRANSPOSE(DK$4:DK$20),$G204:$W204)</f>
        <v>0</v>
      </c>
      <c r="DL204" s="93" cm="1">
        <f t="array" ref="DL204">SUMPRODUCT(TRANSPOSE(DL$4:DL$20),$G204:$W204)</f>
        <v>0</v>
      </c>
      <c r="DM204" s="93" cm="1">
        <f t="array" ref="DM204">SUMPRODUCT(TRANSPOSE(DM$4:DM$20),$G204:$W204)</f>
        <v>0</v>
      </c>
      <c r="DN204" s="93" cm="1">
        <f t="array" ref="DN204">SUMPRODUCT(TRANSPOSE(DN$4:DN$20),$G204:$W204)</f>
        <v>0</v>
      </c>
      <c r="DO204" s="93" cm="1">
        <f t="array" ref="DO204">SUMPRODUCT(TRANSPOSE(DO$4:DO$20),$G204:$W204)</f>
        <v>0</v>
      </c>
    </row>
    <row r="205" spans="1:119" x14ac:dyDescent="0.2">
      <c r="A205" s="45">
        <f t="shared" si="28"/>
        <v>184</v>
      </c>
      <c r="B205" s="62" t="s">
        <v>496</v>
      </c>
      <c r="C205" s="45">
        <v>408369023</v>
      </c>
      <c r="D205" s="45" t="s">
        <v>497</v>
      </c>
      <c r="E205" s="45" t="s">
        <v>162</v>
      </c>
      <c r="F205" s="48">
        <v>2</v>
      </c>
      <c r="G205" s="100">
        <v>0</v>
      </c>
      <c r="H205" s="100">
        <v>0</v>
      </c>
      <c r="I205" s="100">
        <v>0</v>
      </c>
      <c r="J205" s="100">
        <v>0</v>
      </c>
      <c r="K205" s="100">
        <v>0</v>
      </c>
      <c r="L205" s="100">
        <v>0</v>
      </c>
      <c r="M205" s="100">
        <v>0</v>
      </c>
      <c r="N205" s="100">
        <v>0</v>
      </c>
      <c r="O205" s="100">
        <v>0</v>
      </c>
      <c r="P205" s="100">
        <v>0</v>
      </c>
      <c r="Q205" s="100">
        <v>6</v>
      </c>
      <c r="R205" s="100">
        <v>0</v>
      </c>
      <c r="S205" s="100">
        <v>0</v>
      </c>
      <c r="T205" s="100">
        <v>0</v>
      </c>
      <c r="U205" s="100">
        <v>0</v>
      </c>
      <c r="V205" s="100">
        <v>0</v>
      </c>
      <c r="W205" s="100">
        <v>0</v>
      </c>
      <c r="X205" s="45" t="s">
        <v>61</v>
      </c>
      <c r="Y205" s="49">
        <v>4.0000000000000001E-3</v>
      </c>
      <c r="Z205" s="45">
        <v>5000</v>
      </c>
      <c r="AA205" s="45">
        <v>0</v>
      </c>
      <c r="AB205" s="45">
        <v>0</v>
      </c>
      <c r="AC205" s="45">
        <v>0</v>
      </c>
      <c r="AD205" s="45">
        <v>0</v>
      </c>
      <c r="AE205" s="45">
        <v>0</v>
      </c>
      <c r="AF205" s="45">
        <v>0</v>
      </c>
      <c r="AG205" s="45">
        <v>0</v>
      </c>
      <c r="AH205" s="45">
        <v>0</v>
      </c>
      <c r="AI205" s="45">
        <v>0</v>
      </c>
      <c r="AJ205" s="45">
        <v>0</v>
      </c>
      <c r="AK205" s="45">
        <v>0</v>
      </c>
      <c r="AL205" s="45">
        <v>0</v>
      </c>
      <c r="AM205" s="45">
        <v>0</v>
      </c>
      <c r="AN205" s="45">
        <v>0</v>
      </c>
      <c r="AO205" s="45"/>
      <c r="AP205" s="45"/>
      <c r="AQ205" s="45"/>
      <c r="AR205" s="45"/>
      <c r="AS205" s="45"/>
      <c r="AT205" s="45"/>
      <c r="AU205" s="45"/>
      <c r="AV205" s="45"/>
      <c r="AW205" s="45"/>
      <c r="AX205" s="45"/>
      <c r="AY205" s="45"/>
      <c r="AZ205" s="45"/>
      <c r="BA205" s="45"/>
      <c r="BB205" s="45"/>
      <c r="BC205" s="45"/>
      <c r="BD205" s="93"/>
      <c r="BE205" s="93"/>
      <c r="BF205" s="93"/>
      <c r="BG205" s="93"/>
      <c r="BH205" s="93"/>
      <c r="BI205" s="93"/>
      <c r="BJ205" s="93"/>
      <c r="BK205" s="93">
        <f>SUM($Z205:AD205)-SUM($CM205:CQ205)</f>
        <v>4790</v>
      </c>
      <c r="BL205" s="93">
        <f>SUM($Z205:AE205)-SUM($CM205:CR205)</f>
        <v>4580</v>
      </c>
      <c r="BM205" s="93">
        <f>SUM($Z205:AF205)-SUM($CM205:CS205)</f>
        <v>4370</v>
      </c>
      <c r="BN205" s="93">
        <f>SUM($Z205:AG205)-SUM($CM205:CT205)</f>
        <v>4190</v>
      </c>
      <c r="BO205" s="93">
        <f>SUM($Z205:AH205)-SUM($CM205:CU205)</f>
        <v>4010</v>
      </c>
      <c r="BP205" s="93">
        <f>SUM($Z205:AI205)-SUM($CM205:CV205)</f>
        <v>3830</v>
      </c>
      <c r="BQ205" s="93">
        <f>SUM($Z205:AJ205)-SUM($CM205:CW205)</f>
        <v>3650</v>
      </c>
      <c r="BR205" s="93">
        <f>SUM($Z205:AK205)-SUM($CM205:CX205)</f>
        <v>3470</v>
      </c>
      <c r="BS205" s="93">
        <f>SUM($Z205:AL205)-SUM($CM205:CY205)</f>
        <v>3290</v>
      </c>
      <c r="BT205" s="93">
        <f>SUM($Z205:AM205)-SUM($CM205:CZ205)</f>
        <v>3110</v>
      </c>
      <c r="BU205" s="93">
        <f>SUM($Z205:AN205)-SUM($CM205:DA205)</f>
        <v>2930</v>
      </c>
      <c r="BV205" s="93">
        <f>SUM($Z205:AO205)-SUM($CM205:DB205)</f>
        <v>2846</v>
      </c>
      <c r="BW205" s="93">
        <f>SUM($Z205:AP205)-SUM($CM205:DC205)</f>
        <v>2846</v>
      </c>
      <c r="BX205" s="93">
        <f>SUM($Z205:AQ205)-SUM($CM205:DD205)</f>
        <v>2846</v>
      </c>
      <c r="BY205" s="93">
        <f>SUM($Z205:AR205)-SUM($CM205:DE205)</f>
        <v>2846</v>
      </c>
      <c r="BZ205" s="93">
        <f>SUM($Z205:AS205)-SUM($CM205:DF205)</f>
        <v>2846</v>
      </c>
      <c r="CA205" s="93">
        <f>SUM($Z205:AT205)-SUM($CM205:DG205)</f>
        <v>2846</v>
      </c>
      <c r="CB205" s="93">
        <f>SUM($Z205:AU205)-SUM($CM205:DH205)</f>
        <v>2846</v>
      </c>
      <c r="CC205" s="93">
        <f>SUM($Z205:AV205)-SUM($CM205:DI205)</f>
        <v>2846</v>
      </c>
      <c r="CD205" s="93">
        <f>SUM($Z205:AW205)-SUM($CM205:DJ205)</f>
        <v>2846</v>
      </c>
      <c r="CE205" s="93">
        <f>SUM($Z205:AX205)-SUM($CM205:DK205)</f>
        <v>2846</v>
      </c>
      <c r="CF205" s="93">
        <f>SUM($Z205:AY205)-SUM($CM205:DL205)</f>
        <v>2846</v>
      </c>
      <c r="CG205" s="93">
        <f>SUM($Z205:AZ205)-SUM($CM205:DM205)</f>
        <v>2846</v>
      </c>
      <c r="CH205" s="93">
        <f>SUM($Z205:BA205)-SUM($CM205:DN205)</f>
        <v>2846</v>
      </c>
      <c r="CI205" s="93">
        <f>SUM($Z205:BB205)-SUM($CM205:DO205)</f>
        <v>2846</v>
      </c>
      <c r="CJ205" s="93"/>
      <c r="CK205" s="93"/>
      <c r="CL205" s="93"/>
      <c r="CM205" s="93"/>
      <c r="CN205" s="93" cm="1">
        <f t="array" ref="CN205">SUMPRODUCT(TRANSPOSE(CN$4:CN$20),$G205:$W205)</f>
        <v>0</v>
      </c>
      <c r="CO205" s="93" cm="1">
        <f t="array" ref="CO205">SUMPRODUCT(TRANSPOSE(CO$4:CO$20),$G205:$W205)</f>
        <v>0</v>
      </c>
      <c r="CP205" s="93" cm="1">
        <f t="array" ref="CP205">SUMPRODUCT(TRANSPOSE(CP$4:CP$20),$G205:$W205)</f>
        <v>0</v>
      </c>
      <c r="CQ205" s="93" cm="1">
        <f t="array" ref="CQ205">SUMPRODUCT(TRANSPOSE(CQ$4:CQ$20),$G205:$W205)</f>
        <v>210</v>
      </c>
      <c r="CR205" s="93" cm="1">
        <f t="array" ref="CR205">SUMPRODUCT(TRANSPOSE(CR$4:CR$20),$G205:$W205)</f>
        <v>210</v>
      </c>
      <c r="CS205" s="93" cm="1">
        <f t="array" ref="CS205">SUMPRODUCT(TRANSPOSE(CS$4:CS$20),$G205:$W205)</f>
        <v>210</v>
      </c>
      <c r="CT205" s="93" cm="1">
        <f t="array" ref="CT205">SUMPRODUCT(TRANSPOSE(CT$4:CT$20),$G205:$W205)</f>
        <v>180</v>
      </c>
      <c r="CU205" s="93" cm="1">
        <f t="array" ref="CU205">SUMPRODUCT(TRANSPOSE(CU$4:CU$20),$G205:$W205)</f>
        <v>180</v>
      </c>
      <c r="CV205" s="93" cm="1">
        <f t="array" ref="CV205">SUMPRODUCT(TRANSPOSE(CV$4:CV$20),$G205:$W205)</f>
        <v>180</v>
      </c>
      <c r="CW205" s="93" cm="1">
        <f t="array" ref="CW205">SUMPRODUCT(TRANSPOSE(CW$4:CW$20),$G205:$W205)</f>
        <v>180</v>
      </c>
      <c r="CX205" s="93" cm="1">
        <f t="array" ref="CX205">SUMPRODUCT(TRANSPOSE(CX$4:CX$20),$G205:$W205)</f>
        <v>180</v>
      </c>
      <c r="CY205" s="93" cm="1">
        <f t="array" ref="CY205">SUMPRODUCT(TRANSPOSE(CY$4:CY$20),$G205:$W205)</f>
        <v>180</v>
      </c>
      <c r="CZ205" s="93" cm="1">
        <f t="array" ref="CZ205">SUMPRODUCT(TRANSPOSE(CZ$4:CZ$20),$G205:$W205)</f>
        <v>180</v>
      </c>
      <c r="DA205" s="93" cm="1">
        <f t="array" ref="DA205">SUMPRODUCT(TRANSPOSE(DA$4:DA$20),$G205:$W205)</f>
        <v>180</v>
      </c>
      <c r="DB205" s="93" cm="1">
        <f t="array" ref="DB205">SUMPRODUCT(TRANSPOSE(DB$4:DB$20),$G205:$W205)</f>
        <v>84</v>
      </c>
      <c r="DC205" s="93" cm="1">
        <f t="array" ref="DC205">SUMPRODUCT(TRANSPOSE(DC$4:DC$20),$G205:$W205)</f>
        <v>0</v>
      </c>
      <c r="DD205" s="93" cm="1">
        <f t="array" ref="DD205">SUMPRODUCT(TRANSPOSE(DD$4:DD$20),$G205:$W205)</f>
        <v>0</v>
      </c>
      <c r="DE205" s="93" cm="1">
        <f t="array" ref="DE205">SUMPRODUCT(TRANSPOSE(DE$4:DE$20),$G205:$W205)</f>
        <v>0</v>
      </c>
      <c r="DF205" s="93" cm="1">
        <f t="array" ref="DF205">SUMPRODUCT(TRANSPOSE(DF$4:DF$20),$G205:$W205)</f>
        <v>0</v>
      </c>
      <c r="DG205" s="93" cm="1">
        <f t="array" ref="DG205">SUMPRODUCT(TRANSPOSE(DG$4:DG$20),$G205:$W205)</f>
        <v>0</v>
      </c>
      <c r="DH205" s="93" cm="1">
        <f t="array" ref="DH205">SUMPRODUCT(TRANSPOSE(DH$4:DH$20),$G205:$W205)</f>
        <v>0</v>
      </c>
      <c r="DI205" s="93" cm="1">
        <f t="array" ref="DI205">SUMPRODUCT(TRANSPOSE(DI$4:DI$20),$G205:$W205)</f>
        <v>0</v>
      </c>
      <c r="DJ205" s="93" cm="1">
        <f t="array" ref="DJ205">SUMPRODUCT(TRANSPOSE(DJ$4:DJ$20),$G205:$W205)</f>
        <v>0</v>
      </c>
      <c r="DK205" s="93" cm="1">
        <f t="array" ref="DK205">SUMPRODUCT(TRANSPOSE(DK$4:DK$20),$G205:$W205)</f>
        <v>0</v>
      </c>
      <c r="DL205" s="93" cm="1">
        <f t="array" ref="DL205">SUMPRODUCT(TRANSPOSE(DL$4:DL$20),$G205:$W205)</f>
        <v>0</v>
      </c>
      <c r="DM205" s="93" cm="1">
        <f t="array" ref="DM205">SUMPRODUCT(TRANSPOSE(DM$4:DM$20),$G205:$W205)</f>
        <v>0</v>
      </c>
      <c r="DN205" s="93" cm="1">
        <f t="array" ref="DN205">SUMPRODUCT(TRANSPOSE(DN$4:DN$20),$G205:$W205)</f>
        <v>0</v>
      </c>
      <c r="DO205" s="93" cm="1">
        <f t="array" ref="DO205">SUMPRODUCT(TRANSPOSE(DO$4:DO$20),$G205:$W205)</f>
        <v>0</v>
      </c>
    </row>
    <row r="206" spans="1:119" x14ac:dyDescent="0.2">
      <c r="A206" s="45">
        <f t="shared" si="28"/>
        <v>185</v>
      </c>
      <c r="B206" s="51" t="s">
        <v>498</v>
      </c>
      <c r="C206" s="45">
        <v>408368997</v>
      </c>
      <c r="D206" s="45" t="s">
        <v>499</v>
      </c>
      <c r="E206" s="45" t="s">
        <v>162</v>
      </c>
      <c r="F206" s="48">
        <v>1</v>
      </c>
      <c r="G206" s="100">
        <v>0</v>
      </c>
      <c r="H206" s="100">
        <v>0</v>
      </c>
      <c r="I206" s="100">
        <v>0</v>
      </c>
      <c r="J206" s="100">
        <v>0</v>
      </c>
      <c r="K206" s="100">
        <v>0</v>
      </c>
      <c r="L206" s="100">
        <v>0</v>
      </c>
      <c r="M206" s="100">
        <v>0</v>
      </c>
      <c r="N206" s="100">
        <v>0</v>
      </c>
      <c r="O206" s="100">
        <v>0</v>
      </c>
      <c r="P206" s="100">
        <v>0</v>
      </c>
      <c r="Q206" s="100">
        <v>6</v>
      </c>
      <c r="R206" s="100">
        <v>0</v>
      </c>
      <c r="S206" s="100">
        <v>0</v>
      </c>
      <c r="T206" s="100">
        <v>0</v>
      </c>
      <c r="U206" s="100">
        <v>6</v>
      </c>
      <c r="V206" s="100">
        <v>0</v>
      </c>
      <c r="W206" s="100">
        <v>0</v>
      </c>
      <c r="X206" s="45" t="s">
        <v>61</v>
      </c>
      <c r="Y206" s="49">
        <v>4.0000000000000001E-3</v>
      </c>
      <c r="Z206" s="45">
        <v>10000</v>
      </c>
      <c r="AA206" s="45">
        <v>0</v>
      </c>
      <c r="AB206" s="45">
        <v>0</v>
      </c>
      <c r="AC206" s="45">
        <v>0</v>
      </c>
      <c r="AD206" s="45">
        <v>0</v>
      </c>
      <c r="AE206" s="45">
        <v>0</v>
      </c>
      <c r="AF206" s="45">
        <v>0</v>
      </c>
      <c r="AG206" s="45">
        <v>0</v>
      </c>
      <c r="AH206" s="45">
        <v>0</v>
      </c>
      <c r="AI206" s="45">
        <v>0</v>
      </c>
      <c r="AJ206" s="45">
        <v>0</v>
      </c>
      <c r="AK206" s="45">
        <v>0</v>
      </c>
      <c r="AL206" s="45">
        <v>0</v>
      </c>
      <c r="AM206" s="45">
        <v>0</v>
      </c>
      <c r="AN206" s="45">
        <v>0</v>
      </c>
      <c r="AO206" s="45"/>
      <c r="AP206" s="45"/>
      <c r="AQ206" s="45"/>
      <c r="AR206" s="45"/>
      <c r="AS206" s="45"/>
      <c r="AT206" s="45"/>
      <c r="AU206" s="45"/>
      <c r="AV206" s="45"/>
      <c r="AW206" s="45"/>
      <c r="AX206" s="45"/>
      <c r="AY206" s="45"/>
      <c r="AZ206" s="45"/>
      <c r="BA206" s="45"/>
      <c r="BB206" s="45"/>
      <c r="BC206" s="45"/>
      <c r="BD206" s="93"/>
      <c r="BE206" s="93"/>
      <c r="BF206" s="93"/>
      <c r="BG206" s="93"/>
      <c r="BH206" s="93"/>
      <c r="BI206" s="93"/>
      <c r="BJ206" s="93"/>
      <c r="BK206" s="93">
        <f>SUM($Z206:AD206)-SUM($CM206:CQ206)</f>
        <v>9532</v>
      </c>
      <c r="BL206" s="93">
        <f>SUM($Z206:AE206)-SUM($CM206:CR206)</f>
        <v>9112</v>
      </c>
      <c r="BM206" s="93">
        <f>SUM($Z206:AF206)-SUM($CM206:CS206)</f>
        <v>8722</v>
      </c>
      <c r="BN206" s="93">
        <f>SUM($Z206:AG206)-SUM($CM206:CT206)</f>
        <v>8362</v>
      </c>
      <c r="BO206" s="93">
        <f>SUM($Z206:AH206)-SUM($CM206:CU206)</f>
        <v>8002</v>
      </c>
      <c r="BP206" s="93">
        <f>SUM($Z206:AI206)-SUM($CM206:CV206)</f>
        <v>7642</v>
      </c>
      <c r="BQ206" s="93">
        <f>SUM($Z206:AJ206)-SUM($CM206:CW206)</f>
        <v>7282</v>
      </c>
      <c r="BR206" s="93">
        <f>SUM($Z206:AK206)-SUM($CM206:CX206)</f>
        <v>6922</v>
      </c>
      <c r="BS206" s="93">
        <f>SUM($Z206:AL206)-SUM($CM206:CY206)</f>
        <v>6562</v>
      </c>
      <c r="BT206" s="93">
        <f>SUM($Z206:AM206)-SUM($CM206:CZ206)</f>
        <v>6202</v>
      </c>
      <c r="BU206" s="93">
        <f>SUM($Z206:AN206)-SUM($CM206:DA206)</f>
        <v>5842</v>
      </c>
      <c r="BV206" s="93">
        <f>SUM($Z206:AO206)-SUM($CM206:DB206)</f>
        <v>5758</v>
      </c>
      <c r="BW206" s="93">
        <f>SUM($Z206:AP206)-SUM($CM206:DC206)</f>
        <v>5758</v>
      </c>
      <c r="BX206" s="93">
        <f>SUM($Z206:AQ206)-SUM($CM206:DD206)</f>
        <v>5758</v>
      </c>
      <c r="BY206" s="93">
        <f>SUM($Z206:AR206)-SUM($CM206:DE206)</f>
        <v>5758</v>
      </c>
      <c r="BZ206" s="93">
        <f>SUM($Z206:AS206)-SUM($CM206:DF206)</f>
        <v>5758</v>
      </c>
      <c r="CA206" s="93">
        <f>SUM($Z206:AT206)-SUM($CM206:DG206)</f>
        <v>5758</v>
      </c>
      <c r="CB206" s="93">
        <f>SUM($Z206:AU206)-SUM($CM206:DH206)</f>
        <v>5758</v>
      </c>
      <c r="CC206" s="93">
        <f>SUM($Z206:AV206)-SUM($CM206:DI206)</f>
        <v>5758</v>
      </c>
      <c r="CD206" s="93">
        <f>SUM($Z206:AW206)-SUM($CM206:DJ206)</f>
        <v>5758</v>
      </c>
      <c r="CE206" s="93">
        <f>SUM($Z206:AX206)-SUM($CM206:DK206)</f>
        <v>5758</v>
      </c>
      <c r="CF206" s="93">
        <f>SUM($Z206:AY206)-SUM($CM206:DL206)</f>
        <v>5758</v>
      </c>
      <c r="CG206" s="93">
        <f>SUM($Z206:AZ206)-SUM($CM206:DM206)</f>
        <v>5758</v>
      </c>
      <c r="CH206" s="93">
        <f>SUM($Z206:BA206)-SUM($CM206:DN206)</f>
        <v>5758</v>
      </c>
      <c r="CI206" s="93">
        <f>SUM($Z206:BB206)-SUM($CM206:DO206)</f>
        <v>5758</v>
      </c>
      <c r="CJ206" s="93"/>
      <c r="CK206" s="93"/>
      <c r="CL206" s="93"/>
      <c r="CM206" s="93"/>
      <c r="CN206" s="93" cm="1">
        <f t="array" ref="CN206">SUMPRODUCT(TRANSPOSE(CN$4:CN$20),$G206:$W206)</f>
        <v>0</v>
      </c>
      <c r="CO206" s="93" cm="1">
        <f t="array" ref="CO206">SUMPRODUCT(TRANSPOSE(CO$4:CO$20),$G206:$W206)</f>
        <v>0</v>
      </c>
      <c r="CP206" s="93" cm="1">
        <f t="array" ref="CP206">SUMPRODUCT(TRANSPOSE(CP$4:CP$20),$G206:$W206)</f>
        <v>0</v>
      </c>
      <c r="CQ206" s="93" cm="1">
        <f t="array" ref="CQ206">SUMPRODUCT(TRANSPOSE(CQ$4:CQ$20),$G206:$W206)</f>
        <v>468</v>
      </c>
      <c r="CR206" s="93" cm="1">
        <f t="array" ref="CR206">SUMPRODUCT(TRANSPOSE(CR$4:CR$20),$G206:$W206)</f>
        <v>420</v>
      </c>
      <c r="CS206" s="93" cm="1">
        <f t="array" ref="CS206">SUMPRODUCT(TRANSPOSE(CS$4:CS$20),$G206:$W206)</f>
        <v>390</v>
      </c>
      <c r="CT206" s="93" cm="1">
        <f t="array" ref="CT206">SUMPRODUCT(TRANSPOSE(CT$4:CT$20),$G206:$W206)</f>
        <v>360</v>
      </c>
      <c r="CU206" s="93" cm="1">
        <f t="array" ref="CU206">SUMPRODUCT(TRANSPOSE(CU$4:CU$20),$G206:$W206)</f>
        <v>360</v>
      </c>
      <c r="CV206" s="93" cm="1">
        <f t="array" ref="CV206">SUMPRODUCT(TRANSPOSE(CV$4:CV$20),$G206:$W206)</f>
        <v>360</v>
      </c>
      <c r="CW206" s="93" cm="1">
        <f t="array" ref="CW206">SUMPRODUCT(TRANSPOSE(CW$4:CW$20),$G206:$W206)</f>
        <v>360</v>
      </c>
      <c r="CX206" s="93" cm="1">
        <f t="array" ref="CX206">SUMPRODUCT(TRANSPOSE(CX$4:CX$20),$G206:$W206)</f>
        <v>360</v>
      </c>
      <c r="CY206" s="93" cm="1">
        <f t="array" ref="CY206">SUMPRODUCT(TRANSPOSE(CY$4:CY$20),$G206:$W206)</f>
        <v>360</v>
      </c>
      <c r="CZ206" s="93" cm="1">
        <f t="array" ref="CZ206">SUMPRODUCT(TRANSPOSE(CZ$4:CZ$20),$G206:$W206)</f>
        <v>360</v>
      </c>
      <c r="DA206" s="93" cm="1">
        <f t="array" ref="DA206">SUMPRODUCT(TRANSPOSE(DA$4:DA$20),$G206:$W206)</f>
        <v>360</v>
      </c>
      <c r="DB206" s="93" cm="1">
        <f t="array" ref="DB206">SUMPRODUCT(TRANSPOSE(DB$4:DB$20),$G206:$W206)</f>
        <v>84</v>
      </c>
      <c r="DC206" s="93" cm="1">
        <f t="array" ref="DC206">SUMPRODUCT(TRANSPOSE(DC$4:DC$20),$G206:$W206)</f>
        <v>0</v>
      </c>
      <c r="DD206" s="93" cm="1">
        <f t="array" ref="DD206">SUMPRODUCT(TRANSPOSE(DD$4:DD$20),$G206:$W206)</f>
        <v>0</v>
      </c>
      <c r="DE206" s="93" cm="1">
        <f t="array" ref="DE206">SUMPRODUCT(TRANSPOSE(DE$4:DE$20),$G206:$W206)</f>
        <v>0</v>
      </c>
      <c r="DF206" s="93" cm="1">
        <f t="array" ref="DF206">SUMPRODUCT(TRANSPOSE(DF$4:DF$20),$G206:$W206)</f>
        <v>0</v>
      </c>
      <c r="DG206" s="93" cm="1">
        <f t="array" ref="DG206">SUMPRODUCT(TRANSPOSE(DG$4:DG$20),$G206:$W206)</f>
        <v>0</v>
      </c>
      <c r="DH206" s="93" cm="1">
        <f t="array" ref="DH206">SUMPRODUCT(TRANSPOSE(DH$4:DH$20),$G206:$W206)</f>
        <v>0</v>
      </c>
      <c r="DI206" s="93" cm="1">
        <f t="array" ref="DI206">SUMPRODUCT(TRANSPOSE(DI$4:DI$20),$G206:$W206)</f>
        <v>0</v>
      </c>
      <c r="DJ206" s="93" cm="1">
        <f t="array" ref="DJ206">SUMPRODUCT(TRANSPOSE(DJ$4:DJ$20),$G206:$W206)</f>
        <v>0</v>
      </c>
      <c r="DK206" s="93" cm="1">
        <f t="array" ref="DK206">SUMPRODUCT(TRANSPOSE(DK$4:DK$20),$G206:$W206)</f>
        <v>0</v>
      </c>
      <c r="DL206" s="93" cm="1">
        <f t="array" ref="DL206">SUMPRODUCT(TRANSPOSE(DL$4:DL$20),$G206:$W206)</f>
        <v>0</v>
      </c>
      <c r="DM206" s="93" cm="1">
        <f t="array" ref="DM206">SUMPRODUCT(TRANSPOSE(DM$4:DM$20),$G206:$W206)</f>
        <v>0</v>
      </c>
      <c r="DN206" s="93" cm="1">
        <f t="array" ref="DN206">SUMPRODUCT(TRANSPOSE(DN$4:DN$20),$G206:$W206)</f>
        <v>0</v>
      </c>
      <c r="DO206" s="93" cm="1">
        <f t="array" ref="DO206">SUMPRODUCT(TRANSPOSE(DO$4:DO$20),$G206:$W206)</f>
        <v>0</v>
      </c>
    </row>
    <row r="207" spans="1:119" x14ac:dyDescent="0.2">
      <c r="A207" s="45">
        <f t="shared" si="28"/>
        <v>186</v>
      </c>
      <c r="B207" s="51" t="s">
        <v>500</v>
      </c>
      <c r="C207" s="45">
        <v>401509701</v>
      </c>
      <c r="D207" s="45" t="s">
        <v>501</v>
      </c>
      <c r="E207" s="45" t="s">
        <v>162</v>
      </c>
      <c r="F207" s="48">
        <v>2</v>
      </c>
      <c r="G207" s="100">
        <v>0</v>
      </c>
      <c r="H207" s="100">
        <v>0</v>
      </c>
      <c r="I207" s="100">
        <v>0</v>
      </c>
      <c r="J207" s="100">
        <v>0</v>
      </c>
      <c r="K207" s="100">
        <v>0</v>
      </c>
      <c r="L207" s="100">
        <v>0</v>
      </c>
      <c r="M207" s="100">
        <v>0</v>
      </c>
      <c r="N207" s="100">
        <v>0</v>
      </c>
      <c r="O207" s="100">
        <v>0</v>
      </c>
      <c r="P207" s="100">
        <v>0</v>
      </c>
      <c r="Q207" s="100">
        <v>34</v>
      </c>
      <c r="R207" s="100">
        <v>0</v>
      </c>
      <c r="S207" s="100">
        <v>0</v>
      </c>
      <c r="T207" s="100">
        <v>0</v>
      </c>
      <c r="U207" s="100">
        <v>0</v>
      </c>
      <c r="V207" s="100">
        <v>0</v>
      </c>
      <c r="W207" s="100">
        <v>0</v>
      </c>
      <c r="X207" s="45" t="s">
        <v>61</v>
      </c>
      <c r="Y207" s="49">
        <v>4.0000000000000001E-3</v>
      </c>
      <c r="Z207" s="45">
        <v>20000</v>
      </c>
      <c r="AA207" s="45">
        <v>0</v>
      </c>
      <c r="AB207" s="45">
        <v>0</v>
      </c>
      <c r="AC207" s="45">
        <v>0</v>
      </c>
      <c r="AD207" s="45">
        <v>0</v>
      </c>
      <c r="AE207" s="45">
        <v>0</v>
      </c>
      <c r="AF207" s="45">
        <v>0</v>
      </c>
      <c r="AG207" s="45">
        <v>0</v>
      </c>
      <c r="AH207" s="45">
        <v>0</v>
      </c>
      <c r="AI207" s="45">
        <v>0</v>
      </c>
      <c r="AJ207" s="45">
        <v>0</v>
      </c>
      <c r="AK207" s="45">
        <v>0</v>
      </c>
      <c r="AL207" s="45">
        <v>0</v>
      </c>
      <c r="AM207" s="45">
        <v>0</v>
      </c>
      <c r="AN207" s="45">
        <v>0</v>
      </c>
      <c r="AO207" s="45"/>
      <c r="AP207" s="45"/>
      <c r="AQ207" s="45"/>
      <c r="AR207" s="45"/>
      <c r="AS207" s="45"/>
      <c r="AT207" s="45"/>
      <c r="AU207" s="45"/>
      <c r="AV207" s="45"/>
      <c r="AW207" s="45"/>
      <c r="AX207" s="45"/>
      <c r="AY207" s="45"/>
      <c r="AZ207" s="45"/>
      <c r="BA207" s="45"/>
      <c r="BB207" s="45"/>
      <c r="BC207" s="45"/>
      <c r="BD207" s="93"/>
      <c r="BE207" s="93"/>
      <c r="BF207" s="93"/>
      <c r="BG207" s="93"/>
      <c r="BH207" s="93"/>
      <c r="BI207" s="93"/>
      <c r="BJ207" s="93"/>
      <c r="BK207" s="93">
        <f>SUM($Z207:AD207)-SUM($CM207:CQ207)</f>
        <v>18810</v>
      </c>
      <c r="BL207" s="93">
        <f>SUM($Z207:AE207)-SUM($CM207:CR207)</f>
        <v>17620</v>
      </c>
      <c r="BM207" s="93">
        <f>SUM($Z207:AF207)-SUM($CM207:CS207)</f>
        <v>16430</v>
      </c>
      <c r="BN207" s="93">
        <f>SUM($Z207:AG207)-SUM($CM207:CT207)</f>
        <v>15410</v>
      </c>
      <c r="BO207" s="93">
        <f>SUM($Z207:AH207)-SUM($CM207:CU207)</f>
        <v>14390</v>
      </c>
      <c r="BP207" s="93">
        <f>SUM($Z207:AI207)-SUM($CM207:CV207)</f>
        <v>13370</v>
      </c>
      <c r="BQ207" s="93">
        <f>SUM($Z207:AJ207)-SUM($CM207:CW207)</f>
        <v>12350</v>
      </c>
      <c r="BR207" s="93">
        <f>SUM($Z207:AK207)-SUM($CM207:CX207)</f>
        <v>11330</v>
      </c>
      <c r="BS207" s="93">
        <f>SUM($Z207:AL207)-SUM($CM207:CY207)</f>
        <v>10310</v>
      </c>
      <c r="BT207" s="93">
        <f>SUM($Z207:AM207)-SUM($CM207:CZ207)</f>
        <v>9290</v>
      </c>
      <c r="BU207" s="93">
        <f>SUM($Z207:AN207)-SUM($CM207:DA207)</f>
        <v>8270</v>
      </c>
      <c r="BV207" s="93">
        <f>SUM($Z207:AO207)-SUM($CM207:DB207)</f>
        <v>7794</v>
      </c>
      <c r="BW207" s="93">
        <f>SUM($Z207:AP207)-SUM($CM207:DC207)</f>
        <v>7794</v>
      </c>
      <c r="BX207" s="93">
        <f>SUM($Z207:AQ207)-SUM($CM207:DD207)</f>
        <v>7794</v>
      </c>
      <c r="BY207" s="93">
        <f>SUM($Z207:AR207)-SUM($CM207:DE207)</f>
        <v>7794</v>
      </c>
      <c r="BZ207" s="93">
        <f>SUM($Z207:AS207)-SUM($CM207:DF207)</f>
        <v>7794</v>
      </c>
      <c r="CA207" s="93">
        <f>SUM($Z207:AT207)-SUM($CM207:DG207)</f>
        <v>7794</v>
      </c>
      <c r="CB207" s="93">
        <f>SUM($Z207:AU207)-SUM($CM207:DH207)</f>
        <v>7794</v>
      </c>
      <c r="CC207" s="93">
        <f>SUM($Z207:AV207)-SUM($CM207:DI207)</f>
        <v>7794</v>
      </c>
      <c r="CD207" s="93">
        <f>SUM($Z207:AW207)-SUM($CM207:DJ207)</f>
        <v>7794</v>
      </c>
      <c r="CE207" s="93">
        <f>SUM($Z207:AX207)-SUM($CM207:DK207)</f>
        <v>7794</v>
      </c>
      <c r="CF207" s="93">
        <f>SUM($Z207:AY207)-SUM($CM207:DL207)</f>
        <v>7794</v>
      </c>
      <c r="CG207" s="93">
        <f>SUM($Z207:AZ207)-SUM($CM207:DM207)</f>
        <v>7794</v>
      </c>
      <c r="CH207" s="93">
        <f>SUM($Z207:BA207)-SUM($CM207:DN207)</f>
        <v>7794</v>
      </c>
      <c r="CI207" s="93">
        <f>SUM($Z207:BB207)-SUM($CM207:DO207)</f>
        <v>7794</v>
      </c>
      <c r="CJ207" s="93"/>
      <c r="CK207" s="93"/>
      <c r="CL207" s="93"/>
      <c r="CM207" s="93"/>
      <c r="CN207" s="93" cm="1">
        <f t="array" ref="CN207">SUMPRODUCT(TRANSPOSE(CN$4:CN$20),$G207:$W207)</f>
        <v>0</v>
      </c>
      <c r="CO207" s="93" cm="1">
        <f t="array" ref="CO207">SUMPRODUCT(TRANSPOSE(CO$4:CO$20),$G207:$W207)</f>
        <v>0</v>
      </c>
      <c r="CP207" s="93" cm="1">
        <f t="array" ref="CP207">SUMPRODUCT(TRANSPOSE(CP$4:CP$20),$G207:$W207)</f>
        <v>0</v>
      </c>
      <c r="CQ207" s="93" cm="1">
        <f t="array" ref="CQ207">SUMPRODUCT(TRANSPOSE(CQ$4:CQ$20),$G207:$W207)</f>
        <v>1190</v>
      </c>
      <c r="CR207" s="93" cm="1">
        <f t="array" ref="CR207">SUMPRODUCT(TRANSPOSE(CR$4:CR$20),$G207:$W207)</f>
        <v>1190</v>
      </c>
      <c r="CS207" s="93" cm="1">
        <f t="array" ref="CS207">SUMPRODUCT(TRANSPOSE(CS$4:CS$20),$G207:$W207)</f>
        <v>1190</v>
      </c>
      <c r="CT207" s="93" cm="1">
        <f t="array" ref="CT207">SUMPRODUCT(TRANSPOSE(CT$4:CT$20),$G207:$W207)</f>
        <v>1020</v>
      </c>
      <c r="CU207" s="93" cm="1">
        <f t="array" ref="CU207">SUMPRODUCT(TRANSPOSE(CU$4:CU$20),$G207:$W207)</f>
        <v>1020</v>
      </c>
      <c r="CV207" s="93" cm="1">
        <f t="array" ref="CV207">SUMPRODUCT(TRANSPOSE(CV$4:CV$20),$G207:$W207)</f>
        <v>1020</v>
      </c>
      <c r="CW207" s="93" cm="1">
        <f t="array" ref="CW207">SUMPRODUCT(TRANSPOSE(CW$4:CW$20),$G207:$W207)</f>
        <v>1020</v>
      </c>
      <c r="CX207" s="93" cm="1">
        <f t="array" ref="CX207">SUMPRODUCT(TRANSPOSE(CX$4:CX$20),$G207:$W207)</f>
        <v>1020</v>
      </c>
      <c r="CY207" s="93" cm="1">
        <f t="array" ref="CY207">SUMPRODUCT(TRANSPOSE(CY$4:CY$20),$G207:$W207)</f>
        <v>1020</v>
      </c>
      <c r="CZ207" s="93" cm="1">
        <f t="array" ref="CZ207">SUMPRODUCT(TRANSPOSE(CZ$4:CZ$20),$G207:$W207)</f>
        <v>1020</v>
      </c>
      <c r="DA207" s="93" cm="1">
        <f t="array" ref="DA207">SUMPRODUCT(TRANSPOSE(DA$4:DA$20),$G207:$W207)</f>
        <v>1020</v>
      </c>
      <c r="DB207" s="93" cm="1">
        <f t="array" ref="DB207">SUMPRODUCT(TRANSPOSE(DB$4:DB$20),$G207:$W207)</f>
        <v>476</v>
      </c>
      <c r="DC207" s="93" cm="1">
        <f t="array" ref="DC207">SUMPRODUCT(TRANSPOSE(DC$4:DC$20),$G207:$W207)</f>
        <v>0</v>
      </c>
      <c r="DD207" s="93" cm="1">
        <f t="array" ref="DD207">SUMPRODUCT(TRANSPOSE(DD$4:DD$20),$G207:$W207)</f>
        <v>0</v>
      </c>
      <c r="DE207" s="93" cm="1">
        <f t="array" ref="DE207">SUMPRODUCT(TRANSPOSE(DE$4:DE$20),$G207:$W207)</f>
        <v>0</v>
      </c>
      <c r="DF207" s="93" cm="1">
        <f t="array" ref="DF207">SUMPRODUCT(TRANSPOSE(DF$4:DF$20),$G207:$W207)</f>
        <v>0</v>
      </c>
      <c r="DG207" s="93" cm="1">
        <f t="array" ref="DG207">SUMPRODUCT(TRANSPOSE(DG$4:DG$20),$G207:$W207)</f>
        <v>0</v>
      </c>
      <c r="DH207" s="93" cm="1">
        <f t="array" ref="DH207">SUMPRODUCT(TRANSPOSE(DH$4:DH$20),$G207:$W207)</f>
        <v>0</v>
      </c>
      <c r="DI207" s="93" cm="1">
        <f t="array" ref="DI207">SUMPRODUCT(TRANSPOSE(DI$4:DI$20),$G207:$W207)</f>
        <v>0</v>
      </c>
      <c r="DJ207" s="93" cm="1">
        <f t="array" ref="DJ207">SUMPRODUCT(TRANSPOSE(DJ$4:DJ$20),$G207:$W207)</f>
        <v>0</v>
      </c>
      <c r="DK207" s="93" cm="1">
        <f t="array" ref="DK207">SUMPRODUCT(TRANSPOSE(DK$4:DK$20),$G207:$W207)</f>
        <v>0</v>
      </c>
      <c r="DL207" s="93" cm="1">
        <f t="array" ref="DL207">SUMPRODUCT(TRANSPOSE(DL$4:DL$20),$G207:$W207)</f>
        <v>0</v>
      </c>
      <c r="DM207" s="93" cm="1">
        <f t="array" ref="DM207">SUMPRODUCT(TRANSPOSE(DM$4:DM$20),$G207:$W207)</f>
        <v>0</v>
      </c>
      <c r="DN207" s="93" cm="1">
        <f t="array" ref="DN207">SUMPRODUCT(TRANSPOSE(DN$4:DN$20),$G207:$W207)</f>
        <v>0</v>
      </c>
      <c r="DO207" s="93" cm="1">
        <f t="array" ref="DO207">SUMPRODUCT(TRANSPOSE(DO$4:DO$20),$G207:$W207)</f>
        <v>0</v>
      </c>
    </row>
    <row r="208" spans="1:119" x14ac:dyDescent="0.2">
      <c r="A208" s="45">
        <f t="shared" si="28"/>
        <v>187</v>
      </c>
      <c r="B208" s="46" t="s">
        <v>502</v>
      </c>
      <c r="C208" s="45">
        <v>400700886</v>
      </c>
      <c r="D208" s="45" t="s">
        <v>503</v>
      </c>
      <c r="E208" s="45" t="s">
        <v>162</v>
      </c>
      <c r="F208" s="48">
        <v>2</v>
      </c>
      <c r="G208" s="100">
        <v>0</v>
      </c>
      <c r="H208" s="100">
        <v>0</v>
      </c>
      <c r="I208" s="100">
        <v>0</v>
      </c>
      <c r="J208" s="100">
        <v>0</v>
      </c>
      <c r="K208" s="100">
        <v>0</v>
      </c>
      <c r="L208" s="100">
        <v>0</v>
      </c>
      <c r="M208" s="100">
        <v>0</v>
      </c>
      <c r="N208" s="100">
        <v>0</v>
      </c>
      <c r="O208" s="100">
        <v>0</v>
      </c>
      <c r="P208" s="100">
        <v>0</v>
      </c>
      <c r="Q208" s="100">
        <v>3</v>
      </c>
      <c r="R208" s="100">
        <v>0</v>
      </c>
      <c r="S208" s="100">
        <v>0</v>
      </c>
      <c r="T208" s="100">
        <v>0</v>
      </c>
      <c r="U208" s="100">
        <v>3</v>
      </c>
      <c r="V208" s="100">
        <v>0</v>
      </c>
      <c r="W208" s="100">
        <v>0</v>
      </c>
      <c r="X208" s="45" t="s">
        <v>61</v>
      </c>
      <c r="Y208" s="49">
        <v>0.01</v>
      </c>
      <c r="Z208" s="45">
        <v>5000</v>
      </c>
      <c r="AA208" s="45">
        <v>0</v>
      </c>
      <c r="AB208" s="45">
        <v>0</v>
      </c>
      <c r="AC208" s="45">
        <v>0</v>
      </c>
      <c r="AD208" s="45">
        <v>0</v>
      </c>
      <c r="AE208" s="45">
        <v>0</v>
      </c>
      <c r="AF208" s="45">
        <v>0</v>
      </c>
      <c r="AG208" s="45">
        <v>0</v>
      </c>
      <c r="AH208" s="45">
        <v>0</v>
      </c>
      <c r="AI208" s="45">
        <v>0</v>
      </c>
      <c r="AJ208" s="45">
        <v>0</v>
      </c>
      <c r="AK208" s="45">
        <v>0</v>
      </c>
      <c r="AL208" s="45">
        <v>0</v>
      </c>
      <c r="AM208" s="45">
        <v>0</v>
      </c>
      <c r="AN208" s="45">
        <v>0</v>
      </c>
      <c r="AO208" s="45"/>
      <c r="AP208" s="45"/>
      <c r="AQ208" s="45"/>
      <c r="AR208" s="45"/>
      <c r="AS208" s="45"/>
      <c r="AT208" s="45"/>
      <c r="AU208" s="45"/>
      <c r="AV208" s="45"/>
      <c r="AW208" s="45"/>
      <c r="AX208" s="45"/>
      <c r="AY208" s="45"/>
      <c r="AZ208" s="45"/>
      <c r="BA208" s="45"/>
      <c r="BB208" s="45"/>
      <c r="BC208" s="45"/>
      <c r="BD208" s="93"/>
      <c r="BE208" s="93"/>
      <c r="BF208" s="93"/>
      <c r="BG208" s="93"/>
      <c r="BH208" s="93"/>
      <c r="BI208" s="93"/>
      <c r="BJ208" s="93"/>
      <c r="BK208" s="93">
        <f>SUM($Z208:AD208)-SUM($CM208:CQ208)</f>
        <v>4766</v>
      </c>
      <c r="BL208" s="93">
        <f>SUM($Z208:AE208)-SUM($CM208:CR208)</f>
        <v>4556</v>
      </c>
      <c r="BM208" s="93">
        <f>SUM($Z208:AF208)-SUM($CM208:CS208)</f>
        <v>4361</v>
      </c>
      <c r="BN208" s="93">
        <f>SUM($Z208:AG208)-SUM($CM208:CT208)</f>
        <v>4181</v>
      </c>
      <c r="BO208" s="93">
        <f>SUM($Z208:AH208)-SUM($CM208:CU208)</f>
        <v>4001</v>
      </c>
      <c r="BP208" s="93">
        <f>SUM($Z208:AI208)-SUM($CM208:CV208)</f>
        <v>3821</v>
      </c>
      <c r="BQ208" s="93">
        <f>SUM($Z208:AJ208)-SUM($CM208:CW208)</f>
        <v>3641</v>
      </c>
      <c r="BR208" s="93">
        <f>SUM($Z208:AK208)-SUM($CM208:CX208)</f>
        <v>3461</v>
      </c>
      <c r="BS208" s="93">
        <f>SUM($Z208:AL208)-SUM($CM208:CY208)</f>
        <v>3281</v>
      </c>
      <c r="BT208" s="93">
        <f>SUM($Z208:AM208)-SUM($CM208:CZ208)</f>
        <v>3101</v>
      </c>
      <c r="BU208" s="93">
        <f>SUM($Z208:AN208)-SUM($CM208:DA208)</f>
        <v>2921</v>
      </c>
      <c r="BV208" s="93">
        <f>SUM($Z208:AO208)-SUM($CM208:DB208)</f>
        <v>2879</v>
      </c>
      <c r="BW208" s="93">
        <f>SUM($Z208:AP208)-SUM($CM208:DC208)</f>
        <v>2879</v>
      </c>
      <c r="BX208" s="93">
        <f>SUM($Z208:AQ208)-SUM($CM208:DD208)</f>
        <v>2879</v>
      </c>
      <c r="BY208" s="93">
        <f>SUM($Z208:AR208)-SUM($CM208:DE208)</f>
        <v>2879</v>
      </c>
      <c r="BZ208" s="93">
        <f>SUM($Z208:AS208)-SUM($CM208:DF208)</f>
        <v>2879</v>
      </c>
      <c r="CA208" s="93">
        <f>SUM($Z208:AT208)-SUM($CM208:DG208)</f>
        <v>2879</v>
      </c>
      <c r="CB208" s="93">
        <f>SUM($Z208:AU208)-SUM($CM208:DH208)</f>
        <v>2879</v>
      </c>
      <c r="CC208" s="93">
        <f>SUM($Z208:AV208)-SUM($CM208:DI208)</f>
        <v>2879</v>
      </c>
      <c r="CD208" s="93">
        <f>SUM($Z208:AW208)-SUM($CM208:DJ208)</f>
        <v>2879</v>
      </c>
      <c r="CE208" s="93">
        <f>SUM($Z208:AX208)-SUM($CM208:DK208)</f>
        <v>2879</v>
      </c>
      <c r="CF208" s="93">
        <f>SUM($Z208:AY208)-SUM($CM208:DL208)</f>
        <v>2879</v>
      </c>
      <c r="CG208" s="93">
        <f>SUM($Z208:AZ208)-SUM($CM208:DM208)</f>
        <v>2879</v>
      </c>
      <c r="CH208" s="93">
        <f>SUM($Z208:BA208)-SUM($CM208:DN208)</f>
        <v>2879</v>
      </c>
      <c r="CI208" s="93">
        <f>SUM($Z208:BB208)-SUM($CM208:DO208)</f>
        <v>2879</v>
      </c>
      <c r="CJ208" s="93"/>
      <c r="CK208" s="93"/>
      <c r="CL208" s="93"/>
      <c r="CM208" s="93"/>
      <c r="CN208" s="93" cm="1">
        <f t="array" ref="CN208">SUMPRODUCT(TRANSPOSE(CN$4:CN$20),$G208:$W208)</f>
        <v>0</v>
      </c>
      <c r="CO208" s="93" cm="1">
        <f t="array" ref="CO208">SUMPRODUCT(TRANSPOSE(CO$4:CO$20),$G208:$W208)</f>
        <v>0</v>
      </c>
      <c r="CP208" s="93" cm="1">
        <f t="array" ref="CP208">SUMPRODUCT(TRANSPOSE(CP$4:CP$20),$G208:$W208)</f>
        <v>0</v>
      </c>
      <c r="CQ208" s="93" cm="1">
        <f t="array" ref="CQ208">SUMPRODUCT(TRANSPOSE(CQ$4:CQ$20),$G208:$W208)</f>
        <v>234</v>
      </c>
      <c r="CR208" s="93" cm="1">
        <f t="array" ref="CR208">SUMPRODUCT(TRANSPOSE(CR$4:CR$20),$G208:$W208)</f>
        <v>210</v>
      </c>
      <c r="CS208" s="93" cm="1">
        <f t="array" ref="CS208">SUMPRODUCT(TRANSPOSE(CS$4:CS$20),$G208:$W208)</f>
        <v>195</v>
      </c>
      <c r="CT208" s="93" cm="1">
        <f t="array" ref="CT208">SUMPRODUCT(TRANSPOSE(CT$4:CT$20),$G208:$W208)</f>
        <v>180</v>
      </c>
      <c r="CU208" s="93" cm="1">
        <f t="array" ref="CU208">SUMPRODUCT(TRANSPOSE(CU$4:CU$20),$G208:$W208)</f>
        <v>180</v>
      </c>
      <c r="CV208" s="93" cm="1">
        <f t="array" ref="CV208">SUMPRODUCT(TRANSPOSE(CV$4:CV$20),$G208:$W208)</f>
        <v>180</v>
      </c>
      <c r="CW208" s="93" cm="1">
        <f t="array" ref="CW208">SUMPRODUCT(TRANSPOSE(CW$4:CW$20),$G208:$W208)</f>
        <v>180</v>
      </c>
      <c r="CX208" s="93" cm="1">
        <f t="array" ref="CX208">SUMPRODUCT(TRANSPOSE(CX$4:CX$20),$G208:$W208)</f>
        <v>180</v>
      </c>
      <c r="CY208" s="93" cm="1">
        <f t="array" ref="CY208">SUMPRODUCT(TRANSPOSE(CY$4:CY$20),$G208:$W208)</f>
        <v>180</v>
      </c>
      <c r="CZ208" s="93" cm="1">
        <f t="array" ref="CZ208">SUMPRODUCT(TRANSPOSE(CZ$4:CZ$20),$G208:$W208)</f>
        <v>180</v>
      </c>
      <c r="DA208" s="93" cm="1">
        <f t="array" ref="DA208">SUMPRODUCT(TRANSPOSE(DA$4:DA$20),$G208:$W208)</f>
        <v>180</v>
      </c>
      <c r="DB208" s="93" cm="1">
        <f t="array" ref="DB208">SUMPRODUCT(TRANSPOSE(DB$4:DB$20),$G208:$W208)</f>
        <v>42</v>
      </c>
      <c r="DC208" s="93" cm="1">
        <f t="array" ref="DC208">SUMPRODUCT(TRANSPOSE(DC$4:DC$20),$G208:$W208)</f>
        <v>0</v>
      </c>
      <c r="DD208" s="93" cm="1">
        <f t="array" ref="DD208">SUMPRODUCT(TRANSPOSE(DD$4:DD$20),$G208:$W208)</f>
        <v>0</v>
      </c>
      <c r="DE208" s="93" cm="1">
        <f t="array" ref="DE208">SUMPRODUCT(TRANSPOSE(DE$4:DE$20),$G208:$W208)</f>
        <v>0</v>
      </c>
      <c r="DF208" s="93" cm="1">
        <f t="array" ref="DF208">SUMPRODUCT(TRANSPOSE(DF$4:DF$20),$G208:$W208)</f>
        <v>0</v>
      </c>
      <c r="DG208" s="93" cm="1">
        <f t="array" ref="DG208">SUMPRODUCT(TRANSPOSE(DG$4:DG$20),$G208:$W208)</f>
        <v>0</v>
      </c>
      <c r="DH208" s="93" cm="1">
        <f t="array" ref="DH208">SUMPRODUCT(TRANSPOSE(DH$4:DH$20),$G208:$W208)</f>
        <v>0</v>
      </c>
      <c r="DI208" s="93" cm="1">
        <f t="array" ref="DI208">SUMPRODUCT(TRANSPOSE(DI$4:DI$20),$G208:$W208)</f>
        <v>0</v>
      </c>
      <c r="DJ208" s="93" cm="1">
        <f t="array" ref="DJ208">SUMPRODUCT(TRANSPOSE(DJ$4:DJ$20),$G208:$W208)</f>
        <v>0</v>
      </c>
      <c r="DK208" s="93" cm="1">
        <f t="array" ref="DK208">SUMPRODUCT(TRANSPOSE(DK$4:DK$20),$G208:$W208)</f>
        <v>0</v>
      </c>
      <c r="DL208" s="93" cm="1">
        <f t="array" ref="DL208">SUMPRODUCT(TRANSPOSE(DL$4:DL$20),$G208:$W208)</f>
        <v>0</v>
      </c>
      <c r="DM208" s="93" cm="1">
        <f t="array" ref="DM208">SUMPRODUCT(TRANSPOSE(DM$4:DM$20),$G208:$W208)</f>
        <v>0</v>
      </c>
      <c r="DN208" s="93" cm="1">
        <f t="array" ref="DN208">SUMPRODUCT(TRANSPOSE(DN$4:DN$20),$G208:$W208)</f>
        <v>0</v>
      </c>
      <c r="DO208" s="93" cm="1">
        <f t="array" ref="DO208">SUMPRODUCT(TRANSPOSE(DO$4:DO$20),$G208:$W208)</f>
        <v>0</v>
      </c>
    </row>
    <row r="209" spans="1:119" x14ac:dyDescent="0.2">
      <c r="A209" s="45">
        <f t="shared" si="28"/>
        <v>188</v>
      </c>
      <c r="B209" s="46" t="s">
        <v>504</v>
      </c>
      <c r="C209" s="45">
        <v>400676835</v>
      </c>
      <c r="D209" s="45" t="s">
        <v>505</v>
      </c>
      <c r="E209" s="45" t="s">
        <v>162</v>
      </c>
      <c r="F209" s="48">
        <v>2</v>
      </c>
      <c r="G209" s="100">
        <v>0</v>
      </c>
      <c r="H209" s="100">
        <v>0</v>
      </c>
      <c r="I209" s="100">
        <v>0</v>
      </c>
      <c r="J209" s="100">
        <v>0</v>
      </c>
      <c r="K209" s="100">
        <v>0</v>
      </c>
      <c r="L209" s="100">
        <v>0</v>
      </c>
      <c r="M209" s="100">
        <v>0</v>
      </c>
      <c r="N209" s="100">
        <v>0</v>
      </c>
      <c r="O209" s="100">
        <v>0</v>
      </c>
      <c r="P209" s="100">
        <v>0</v>
      </c>
      <c r="Q209" s="100">
        <v>1</v>
      </c>
      <c r="R209" s="100">
        <v>0</v>
      </c>
      <c r="S209" s="100">
        <v>0</v>
      </c>
      <c r="T209" s="100">
        <v>0</v>
      </c>
      <c r="U209" s="100">
        <v>1</v>
      </c>
      <c r="V209" s="100">
        <v>0</v>
      </c>
      <c r="W209" s="100">
        <v>0</v>
      </c>
      <c r="X209" s="45" t="s">
        <v>61</v>
      </c>
      <c r="Y209" s="49">
        <v>0.01</v>
      </c>
      <c r="Z209" s="45">
        <v>5000</v>
      </c>
      <c r="AA209" s="45">
        <v>0</v>
      </c>
      <c r="AB209" s="45">
        <v>0</v>
      </c>
      <c r="AC209" s="45">
        <v>0</v>
      </c>
      <c r="AD209" s="45">
        <v>0</v>
      </c>
      <c r="AE209" s="45">
        <v>0</v>
      </c>
      <c r="AF209" s="45">
        <v>0</v>
      </c>
      <c r="AG209" s="45">
        <v>0</v>
      </c>
      <c r="AH209" s="45">
        <v>0</v>
      </c>
      <c r="AI209" s="45">
        <v>0</v>
      </c>
      <c r="AJ209" s="45">
        <v>0</v>
      </c>
      <c r="AK209" s="45">
        <v>0</v>
      </c>
      <c r="AL209" s="45">
        <v>0</v>
      </c>
      <c r="AM209" s="45">
        <v>0</v>
      </c>
      <c r="AN209" s="45">
        <v>0</v>
      </c>
      <c r="AO209" s="45"/>
      <c r="AP209" s="45"/>
      <c r="AQ209" s="45"/>
      <c r="AR209" s="45"/>
      <c r="AS209" s="45"/>
      <c r="AT209" s="45"/>
      <c r="AU209" s="45"/>
      <c r="AV209" s="45"/>
      <c r="AW209" s="45"/>
      <c r="AX209" s="45"/>
      <c r="AY209" s="45"/>
      <c r="AZ209" s="45"/>
      <c r="BA209" s="45"/>
      <c r="BB209" s="45"/>
      <c r="BC209" s="45"/>
      <c r="BD209" s="93"/>
      <c r="BE209" s="93"/>
      <c r="BF209" s="93"/>
      <c r="BG209" s="93"/>
      <c r="BH209" s="93"/>
      <c r="BI209" s="93"/>
      <c r="BJ209" s="93"/>
      <c r="BK209" s="93">
        <f>SUM($Z209:AD209)-SUM($CM209:CQ209)</f>
        <v>4922</v>
      </c>
      <c r="BL209" s="93">
        <f>SUM($Z209:AE209)-SUM($CM209:CR209)</f>
        <v>4852</v>
      </c>
      <c r="BM209" s="93">
        <f>SUM($Z209:AF209)-SUM($CM209:CS209)</f>
        <v>4787</v>
      </c>
      <c r="BN209" s="93">
        <f>SUM($Z209:AG209)-SUM($CM209:CT209)</f>
        <v>4727</v>
      </c>
      <c r="BO209" s="93">
        <f>SUM($Z209:AH209)-SUM($CM209:CU209)</f>
        <v>4667</v>
      </c>
      <c r="BP209" s="93">
        <f>SUM($Z209:AI209)-SUM($CM209:CV209)</f>
        <v>4607</v>
      </c>
      <c r="BQ209" s="93">
        <f>SUM($Z209:AJ209)-SUM($CM209:CW209)</f>
        <v>4547</v>
      </c>
      <c r="BR209" s="93">
        <f>SUM($Z209:AK209)-SUM($CM209:CX209)</f>
        <v>4487</v>
      </c>
      <c r="BS209" s="93">
        <f>SUM($Z209:AL209)-SUM($CM209:CY209)</f>
        <v>4427</v>
      </c>
      <c r="BT209" s="93">
        <f>SUM($Z209:AM209)-SUM($CM209:CZ209)</f>
        <v>4367</v>
      </c>
      <c r="BU209" s="93">
        <f>SUM($Z209:AN209)-SUM($CM209:DA209)</f>
        <v>4307</v>
      </c>
      <c r="BV209" s="93">
        <f>SUM($Z209:AO209)-SUM($CM209:DB209)</f>
        <v>4293</v>
      </c>
      <c r="BW209" s="93">
        <f>SUM($Z209:AP209)-SUM($CM209:DC209)</f>
        <v>4293</v>
      </c>
      <c r="BX209" s="93">
        <f>SUM($Z209:AQ209)-SUM($CM209:DD209)</f>
        <v>4293</v>
      </c>
      <c r="BY209" s="93">
        <f>SUM($Z209:AR209)-SUM($CM209:DE209)</f>
        <v>4293</v>
      </c>
      <c r="BZ209" s="93">
        <f>SUM($Z209:AS209)-SUM($CM209:DF209)</f>
        <v>4293</v>
      </c>
      <c r="CA209" s="93">
        <f>SUM($Z209:AT209)-SUM($CM209:DG209)</f>
        <v>4293</v>
      </c>
      <c r="CB209" s="93">
        <f>SUM($Z209:AU209)-SUM($CM209:DH209)</f>
        <v>4293</v>
      </c>
      <c r="CC209" s="93">
        <f>SUM($Z209:AV209)-SUM($CM209:DI209)</f>
        <v>4293</v>
      </c>
      <c r="CD209" s="93">
        <f>SUM($Z209:AW209)-SUM($CM209:DJ209)</f>
        <v>4293</v>
      </c>
      <c r="CE209" s="93">
        <f>SUM($Z209:AX209)-SUM($CM209:DK209)</f>
        <v>4293</v>
      </c>
      <c r="CF209" s="93">
        <f>SUM($Z209:AY209)-SUM($CM209:DL209)</f>
        <v>4293</v>
      </c>
      <c r="CG209" s="93">
        <f>SUM($Z209:AZ209)-SUM($CM209:DM209)</f>
        <v>4293</v>
      </c>
      <c r="CH209" s="93">
        <f>SUM($Z209:BA209)-SUM($CM209:DN209)</f>
        <v>4293</v>
      </c>
      <c r="CI209" s="93">
        <f>SUM($Z209:BB209)-SUM($CM209:DO209)</f>
        <v>4293</v>
      </c>
      <c r="CJ209" s="93"/>
      <c r="CK209" s="93"/>
      <c r="CL209" s="93"/>
      <c r="CM209" s="93"/>
      <c r="CN209" s="93" cm="1">
        <f t="array" ref="CN209">SUMPRODUCT(TRANSPOSE(CN$4:CN$20),$G209:$W209)</f>
        <v>0</v>
      </c>
      <c r="CO209" s="93" cm="1">
        <f t="array" ref="CO209">SUMPRODUCT(TRANSPOSE(CO$4:CO$20),$G209:$W209)</f>
        <v>0</v>
      </c>
      <c r="CP209" s="93" cm="1">
        <f t="array" ref="CP209">SUMPRODUCT(TRANSPOSE(CP$4:CP$20),$G209:$W209)</f>
        <v>0</v>
      </c>
      <c r="CQ209" s="93" cm="1">
        <f t="array" ref="CQ209">SUMPRODUCT(TRANSPOSE(CQ$4:CQ$20),$G209:$W209)</f>
        <v>78</v>
      </c>
      <c r="CR209" s="93" cm="1">
        <f t="array" ref="CR209">SUMPRODUCT(TRANSPOSE(CR$4:CR$20),$G209:$W209)</f>
        <v>70</v>
      </c>
      <c r="CS209" s="93" cm="1">
        <f t="array" ref="CS209">SUMPRODUCT(TRANSPOSE(CS$4:CS$20),$G209:$W209)</f>
        <v>65</v>
      </c>
      <c r="CT209" s="93" cm="1">
        <f t="array" ref="CT209">SUMPRODUCT(TRANSPOSE(CT$4:CT$20),$G209:$W209)</f>
        <v>60</v>
      </c>
      <c r="CU209" s="93" cm="1">
        <f t="array" ref="CU209">SUMPRODUCT(TRANSPOSE(CU$4:CU$20),$G209:$W209)</f>
        <v>60</v>
      </c>
      <c r="CV209" s="93" cm="1">
        <f t="array" ref="CV209">SUMPRODUCT(TRANSPOSE(CV$4:CV$20),$G209:$W209)</f>
        <v>60</v>
      </c>
      <c r="CW209" s="93" cm="1">
        <f t="array" ref="CW209">SUMPRODUCT(TRANSPOSE(CW$4:CW$20),$G209:$W209)</f>
        <v>60</v>
      </c>
      <c r="CX209" s="93" cm="1">
        <f t="array" ref="CX209">SUMPRODUCT(TRANSPOSE(CX$4:CX$20),$G209:$W209)</f>
        <v>60</v>
      </c>
      <c r="CY209" s="93" cm="1">
        <f t="array" ref="CY209">SUMPRODUCT(TRANSPOSE(CY$4:CY$20),$G209:$W209)</f>
        <v>60</v>
      </c>
      <c r="CZ209" s="93" cm="1">
        <f t="array" ref="CZ209">SUMPRODUCT(TRANSPOSE(CZ$4:CZ$20),$G209:$W209)</f>
        <v>60</v>
      </c>
      <c r="DA209" s="93" cm="1">
        <f t="array" ref="DA209">SUMPRODUCT(TRANSPOSE(DA$4:DA$20),$G209:$W209)</f>
        <v>60</v>
      </c>
      <c r="DB209" s="93" cm="1">
        <f t="array" ref="DB209">SUMPRODUCT(TRANSPOSE(DB$4:DB$20),$G209:$W209)</f>
        <v>14</v>
      </c>
      <c r="DC209" s="93" cm="1">
        <f t="array" ref="DC209">SUMPRODUCT(TRANSPOSE(DC$4:DC$20),$G209:$W209)</f>
        <v>0</v>
      </c>
      <c r="DD209" s="93" cm="1">
        <f t="array" ref="DD209">SUMPRODUCT(TRANSPOSE(DD$4:DD$20),$G209:$W209)</f>
        <v>0</v>
      </c>
      <c r="DE209" s="93" cm="1">
        <f t="array" ref="DE209">SUMPRODUCT(TRANSPOSE(DE$4:DE$20),$G209:$W209)</f>
        <v>0</v>
      </c>
      <c r="DF209" s="93" cm="1">
        <f t="array" ref="DF209">SUMPRODUCT(TRANSPOSE(DF$4:DF$20),$G209:$W209)</f>
        <v>0</v>
      </c>
      <c r="DG209" s="93" cm="1">
        <f t="array" ref="DG209">SUMPRODUCT(TRANSPOSE(DG$4:DG$20),$G209:$W209)</f>
        <v>0</v>
      </c>
      <c r="DH209" s="93" cm="1">
        <f t="array" ref="DH209">SUMPRODUCT(TRANSPOSE(DH$4:DH$20),$G209:$W209)</f>
        <v>0</v>
      </c>
      <c r="DI209" s="93" cm="1">
        <f t="array" ref="DI209">SUMPRODUCT(TRANSPOSE(DI$4:DI$20),$G209:$W209)</f>
        <v>0</v>
      </c>
      <c r="DJ209" s="93" cm="1">
        <f t="array" ref="DJ209">SUMPRODUCT(TRANSPOSE(DJ$4:DJ$20),$G209:$W209)</f>
        <v>0</v>
      </c>
      <c r="DK209" s="93" cm="1">
        <f t="array" ref="DK209">SUMPRODUCT(TRANSPOSE(DK$4:DK$20),$G209:$W209)</f>
        <v>0</v>
      </c>
      <c r="DL209" s="93" cm="1">
        <f t="array" ref="DL209">SUMPRODUCT(TRANSPOSE(DL$4:DL$20),$G209:$W209)</f>
        <v>0</v>
      </c>
      <c r="DM209" s="93" cm="1">
        <f t="array" ref="DM209">SUMPRODUCT(TRANSPOSE(DM$4:DM$20),$G209:$W209)</f>
        <v>0</v>
      </c>
      <c r="DN209" s="93" cm="1">
        <f t="array" ref="DN209">SUMPRODUCT(TRANSPOSE(DN$4:DN$20),$G209:$W209)</f>
        <v>0</v>
      </c>
      <c r="DO209" s="93" cm="1">
        <f t="array" ref="DO209">SUMPRODUCT(TRANSPOSE(DO$4:DO$20),$G209:$W209)</f>
        <v>0</v>
      </c>
    </row>
    <row r="210" spans="1:119" x14ac:dyDescent="0.2">
      <c r="A210" s="45">
        <f t="shared" si="28"/>
        <v>189</v>
      </c>
      <c r="B210" s="46" t="s">
        <v>506</v>
      </c>
      <c r="C210" s="45">
        <v>417531772</v>
      </c>
      <c r="D210" s="45" t="s">
        <v>507</v>
      </c>
      <c r="E210" s="45" t="s">
        <v>162</v>
      </c>
      <c r="F210" s="48">
        <v>2</v>
      </c>
      <c r="G210" s="100">
        <v>0</v>
      </c>
      <c r="H210" s="100">
        <v>0</v>
      </c>
      <c r="I210" s="100">
        <v>0</v>
      </c>
      <c r="J210" s="100">
        <v>0</v>
      </c>
      <c r="K210" s="100">
        <v>0</v>
      </c>
      <c r="L210" s="100">
        <v>0</v>
      </c>
      <c r="M210" s="100">
        <v>0</v>
      </c>
      <c r="N210" s="100">
        <v>0</v>
      </c>
      <c r="O210" s="100">
        <v>0</v>
      </c>
      <c r="P210" s="100">
        <v>0</v>
      </c>
      <c r="Q210" s="100">
        <v>1</v>
      </c>
      <c r="R210" s="100">
        <v>0</v>
      </c>
      <c r="S210" s="100">
        <v>0</v>
      </c>
      <c r="T210" s="100">
        <v>0</v>
      </c>
      <c r="U210" s="100">
        <v>1</v>
      </c>
      <c r="V210" s="100">
        <v>0</v>
      </c>
      <c r="W210" s="100">
        <v>0</v>
      </c>
      <c r="X210" s="45" t="s">
        <v>61</v>
      </c>
      <c r="Y210" s="49">
        <v>0.01</v>
      </c>
      <c r="Z210" s="45">
        <v>5000</v>
      </c>
      <c r="AA210" s="45">
        <v>0</v>
      </c>
      <c r="AB210" s="45">
        <v>0</v>
      </c>
      <c r="AC210" s="45">
        <v>0</v>
      </c>
      <c r="AD210" s="45">
        <v>0</v>
      </c>
      <c r="AE210" s="45">
        <v>0</v>
      </c>
      <c r="AF210" s="45">
        <v>0</v>
      </c>
      <c r="AG210" s="45">
        <v>0</v>
      </c>
      <c r="AH210" s="45">
        <v>0</v>
      </c>
      <c r="AI210" s="45">
        <v>0</v>
      </c>
      <c r="AJ210" s="45">
        <v>0</v>
      </c>
      <c r="AK210" s="45">
        <v>0</v>
      </c>
      <c r="AL210" s="45">
        <v>0</v>
      </c>
      <c r="AM210" s="45">
        <v>0</v>
      </c>
      <c r="AN210" s="45">
        <v>0</v>
      </c>
      <c r="AO210" s="45"/>
      <c r="AP210" s="45"/>
      <c r="AQ210" s="45"/>
      <c r="AR210" s="45"/>
      <c r="AS210" s="45"/>
      <c r="AT210" s="45"/>
      <c r="AU210" s="45"/>
      <c r="AV210" s="45"/>
      <c r="AW210" s="45"/>
      <c r="AX210" s="45"/>
      <c r="AY210" s="45"/>
      <c r="AZ210" s="45"/>
      <c r="BA210" s="45"/>
      <c r="BB210" s="45"/>
      <c r="BC210" s="45"/>
      <c r="BD210" s="93"/>
      <c r="BE210" s="93"/>
      <c r="BF210" s="93"/>
      <c r="BG210" s="93"/>
      <c r="BH210" s="93"/>
      <c r="BI210" s="93"/>
      <c r="BJ210" s="93"/>
      <c r="BK210" s="93">
        <f>SUM($Z210:AD210)-SUM($CM210:CQ210)</f>
        <v>4922</v>
      </c>
      <c r="BL210" s="93">
        <f>SUM($Z210:AE210)-SUM($CM210:CR210)</f>
        <v>4852</v>
      </c>
      <c r="BM210" s="93">
        <f>SUM($Z210:AF210)-SUM($CM210:CS210)</f>
        <v>4787</v>
      </c>
      <c r="BN210" s="93">
        <f>SUM($Z210:AG210)-SUM($CM210:CT210)</f>
        <v>4727</v>
      </c>
      <c r="BO210" s="93">
        <f>SUM($Z210:AH210)-SUM($CM210:CU210)</f>
        <v>4667</v>
      </c>
      <c r="BP210" s="93">
        <f>SUM($Z210:AI210)-SUM($CM210:CV210)</f>
        <v>4607</v>
      </c>
      <c r="BQ210" s="93">
        <f>SUM($Z210:AJ210)-SUM($CM210:CW210)</f>
        <v>4547</v>
      </c>
      <c r="BR210" s="93">
        <f>SUM($Z210:AK210)-SUM($CM210:CX210)</f>
        <v>4487</v>
      </c>
      <c r="BS210" s="93">
        <f>SUM($Z210:AL210)-SUM($CM210:CY210)</f>
        <v>4427</v>
      </c>
      <c r="BT210" s="93">
        <f>SUM($Z210:AM210)-SUM($CM210:CZ210)</f>
        <v>4367</v>
      </c>
      <c r="BU210" s="93">
        <f>SUM($Z210:AN210)-SUM($CM210:DA210)</f>
        <v>4307</v>
      </c>
      <c r="BV210" s="93">
        <f>SUM($Z210:AO210)-SUM($CM210:DB210)</f>
        <v>4293</v>
      </c>
      <c r="BW210" s="93">
        <f>SUM($Z210:AP210)-SUM($CM210:DC210)</f>
        <v>4293</v>
      </c>
      <c r="BX210" s="93">
        <f>SUM($Z210:AQ210)-SUM($CM210:DD210)</f>
        <v>4293</v>
      </c>
      <c r="BY210" s="93">
        <f>SUM($Z210:AR210)-SUM($CM210:DE210)</f>
        <v>4293</v>
      </c>
      <c r="BZ210" s="93">
        <f>SUM($Z210:AS210)-SUM($CM210:DF210)</f>
        <v>4293</v>
      </c>
      <c r="CA210" s="93">
        <f>SUM($Z210:AT210)-SUM($CM210:DG210)</f>
        <v>4293</v>
      </c>
      <c r="CB210" s="93">
        <f>SUM($Z210:AU210)-SUM($CM210:DH210)</f>
        <v>4293</v>
      </c>
      <c r="CC210" s="93">
        <f>SUM($Z210:AV210)-SUM($CM210:DI210)</f>
        <v>4293</v>
      </c>
      <c r="CD210" s="93">
        <f>SUM($Z210:AW210)-SUM($CM210:DJ210)</f>
        <v>4293</v>
      </c>
      <c r="CE210" s="93">
        <f>SUM($Z210:AX210)-SUM($CM210:DK210)</f>
        <v>4293</v>
      </c>
      <c r="CF210" s="93">
        <f>SUM($Z210:AY210)-SUM($CM210:DL210)</f>
        <v>4293</v>
      </c>
      <c r="CG210" s="93">
        <f>SUM($Z210:AZ210)-SUM($CM210:DM210)</f>
        <v>4293</v>
      </c>
      <c r="CH210" s="93">
        <f>SUM($Z210:BA210)-SUM($CM210:DN210)</f>
        <v>4293</v>
      </c>
      <c r="CI210" s="93">
        <f>SUM($Z210:BB210)-SUM($CM210:DO210)</f>
        <v>4293</v>
      </c>
      <c r="CJ210" s="93"/>
      <c r="CK210" s="93"/>
      <c r="CL210" s="93"/>
      <c r="CM210" s="93"/>
      <c r="CN210" s="93" cm="1">
        <f t="array" ref="CN210">SUMPRODUCT(TRANSPOSE(CN$4:CN$20),$G210:$W210)</f>
        <v>0</v>
      </c>
      <c r="CO210" s="93" cm="1">
        <f t="array" ref="CO210">SUMPRODUCT(TRANSPOSE(CO$4:CO$20),$G210:$W210)</f>
        <v>0</v>
      </c>
      <c r="CP210" s="93" cm="1">
        <f t="array" ref="CP210">SUMPRODUCT(TRANSPOSE(CP$4:CP$20),$G210:$W210)</f>
        <v>0</v>
      </c>
      <c r="CQ210" s="93" cm="1">
        <f t="array" ref="CQ210">SUMPRODUCT(TRANSPOSE(CQ$4:CQ$20),$G210:$W210)</f>
        <v>78</v>
      </c>
      <c r="CR210" s="93" cm="1">
        <f t="array" ref="CR210">SUMPRODUCT(TRANSPOSE(CR$4:CR$20),$G210:$W210)</f>
        <v>70</v>
      </c>
      <c r="CS210" s="93" cm="1">
        <f t="array" ref="CS210">SUMPRODUCT(TRANSPOSE(CS$4:CS$20),$G210:$W210)</f>
        <v>65</v>
      </c>
      <c r="CT210" s="93" cm="1">
        <f t="array" ref="CT210">SUMPRODUCT(TRANSPOSE(CT$4:CT$20),$G210:$W210)</f>
        <v>60</v>
      </c>
      <c r="CU210" s="93" cm="1">
        <f t="array" ref="CU210">SUMPRODUCT(TRANSPOSE(CU$4:CU$20),$G210:$W210)</f>
        <v>60</v>
      </c>
      <c r="CV210" s="93" cm="1">
        <f t="array" ref="CV210">SUMPRODUCT(TRANSPOSE(CV$4:CV$20),$G210:$W210)</f>
        <v>60</v>
      </c>
      <c r="CW210" s="93" cm="1">
        <f t="array" ref="CW210">SUMPRODUCT(TRANSPOSE(CW$4:CW$20),$G210:$W210)</f>
        <v>60</v>
      </c>
      <c r="CX210" s="93" cm="1">
        <f t="array" ref="CX210">SUMPRODUCT(TRANSPOSE(CX$4:CX$20),$G210:$W210)</f>
        <v>60</v>
      </c>
      <c r="CY210" s="93" cm="1">
        <f t="array" ref="CY210">SUMPRODUCT(TRANSPOSE(CY$4:CY$20),$G210:$W210)</f>
        <v>60</v>
      </c>
      <c r="CZ210" s="93" cm="1">
        <f t="array" ref="CZ210">SUMPRODUCT(TRANSPOSE(CZ$4:CZ$20),$G210:$W210)</f>
        <v>60</v>
      </c>
      <c r="DA210" s="93" cm="1">
        <f t="array" ref="DA210">SUMPRODUCT(TRANSPOSE(DA$4:DA$20),$G210:$W210)</f>
        <v>60</v>
      </c>
      <c r="DB210" s="93" cm="1">
        <f t="array" ref="DB210">SUMPRODUCT(TRANSPOSE(DB$4:DB$20),$G210:$W210)</f>
        <v>14</v>
      </c>
      <c r="DC210" s="93" cm="1">
        <f t="array" ref="DC210">SUMPRODUCT(TRANSPOSE(DC$4:DC$20),$G210:$W210)</f>
        <v>0</v>
      </c>
      <c r="DD210" s="93" cm="1">
        <f t="array" ref="DD210">SUMPRODUCT(TRANSPOSE(DD$4:DD$20),$G210:$W210)</f>
        <v>0</v>
      </c>
      <c r="DE210" s="93" cm="1">
        <f t="array" ref="DE210">SUMPRODUCT(TRANSPOSE(DE$4:DE$20),$G210:$W210)</f>
        <v>0</v>
      </c>
      <c r="DF210" s="93" cm="1">
        <f t="array" ref="DF210">SUMPRODUCT(TRANSPOSE(DF$4:DF$20),$G210:$W210)</f>
        <v>0</v>
      </c>
      <c r="DG210" s="93" cm="1">
        <f t="array" ref="DG210">SUMPRODUCT(TRANSPOSE(DG$4:DG$20),$G210:$W210)</f>
        <v>0</v>
      </c>
      <c r="DH210" s="93" cm="1">
        <f t="array" ref="DH210">SUMPRODUCT(TRANSPOSE(DH$4:DH$20),$G210:$W210)</f>
        <v>0</v>
      </c>
      <c r="DI210" s="93" cm="1">
        <f t="array" ref="DI210">SUMPRODUCT(TRANSPOSE(DI$4:DI$20),$G210:$W210)</f>
        <v>0</v>
      </c>
      <c r="DJ210" s="93" cm="1">
        <f t="array" ref="DJ210">SUMPRODUCT(TRANSPOSE(DJ$4:DJ$20),$G210:$W210)</f>
        <v>0</v>
      </c>
      <c r="DK210" s="93" cm="1">
        <f t="array" ref="DK210">SUMPRODUCT(TRANSPOSE(DK$4:DK$20),$G210:$W210)</f>
        <v>0</v>
      </c>
      <c r="DL210" s="93" cm="1">
        <f t="array" ref="DL210">SUMPRODUCT(TRANSPOSE(DL$4:DL$20),$G210:$W210)</f>
        <v>0</v>
      </c>
      <c r="DM210" s="93" cm="1">
        <f t="array" ref="DM210">SUMPRODUCT(TRANSPOSE(DM$4:DM$20),$G210:$W210)</f>
        <v>0</v>
      </c>
      <c r="DN210" s="93" cm="1">
        <f t="array" ref="DN210">SUMPRODUCT(TRANSPOSE(DN$4:DN$20),$G210:$W210)</f>
        <v>0</v>
      </c>
      <c r="DO210" s="93" cm="1">
        <f t="array" ref="DO210">SUMPRODUCT(TRANSPOSE(DO$4:DO$20),$G210:$W210)</f>
        <v>0</v>
      </c>
    </row>
    <row r="211" spans="1:119" x14ac:dyDescent="0.2">
      <c r="A211" s="45">
        <f t="shared" si="28"/>
        <v>190</v>
      </c>
      <c r="B211" s="46" t="s">
        <v>508</v>
      </c>
      <c r="C211" s="45">
        <v>400249347</v>
      </c>
      <c r="D211" s="45" t="s">
        <v>509</v>
      </c>
      <c r="E211" s="45" t="s">
        <v>162</v>
      </c>
      <c r="F211" s="48">
        <v>2</v>
      </c>
      <c r="G211" s="100">
        <v>0</v>
      </c>
      <c r="H211" s="100">
        <v>0</v>
      </c>
      <c r="I211" s="100">
        <v>0</v>
      </c>
      <c r="J211" s="100">
        <v>0</v>
      </c>
      <c r="K211" s="100">
        <v>0</v>
      </c>
      <c r="L211" s="100">
        <v>0</v>
      </c>
      <c r="M211" s="100">
        <v>0</v>
      </c>
      <c r="N211" s="100">
        <v>0</v>
      </c>
      <c r="O211" s="100">
        <v>0</v>
      </c>
      <c r="P211" s="100">
        <v>0</v>
      </c>
      <c r="Q211" s="100">
        <v>1</v>
      </c>
      <c r="R211" s="100">
        <v>0</v>
      </c>
      <c r="S211" s="100">
        <v>0</v>
      </c>
      <c r="T211" s="100">
        <v>0</v>
      </c>
      <c r="U211" s="100">
        <v>1</v>
      </c>
      <c r="V211" s="100">
        <v>0</v>
      </c>
      <c r="W211" s="100">
        <v>0</v>
      </c>
      <c r="X211" s="45" t="s">
        <v>61</v>
      </c>
      <c r="Y211" s="49">
        <v>0.01</v>
      </c>
      <c r="Z211" s="45">
        <v>5000</v>
      </c>
      <c r="AA211" s="45">
        <v>0</v>
      </c>
      <c r="AB211" s="45">
        <v>0</v>
      </c>
      <c r="AC211" s="45">
        <v>0</v>
      </c>
      <c r="AD211" s="45">
        <v>0</v>
      </c>
      <c r="AE211" s="45">
        <v>0</v>
      </c>
      <c r="AF211" s="45">
        <v>0</v>
      </c>
      <c r="AG211" s="45">
        <v>0</v>
      </c>
      <c r="AH211" s="45">
        <v>0</v>
      </c>
      <c r="AI211" s="45">
        <v>0</v>
      </c>
      <c r="AJ211" s="45">
        <v>0</v>
      </c>
      <c r="AK211" s="45">
        <v>0</v>
      </c>
      <c r="AL211" s="45">
        <v>0</v>
      </c>
      <c r="AM211" s="45">
        <v>0</v>
      </c>
      <c r="AN211" s="45">
        <v>0</v>
      </c>
      <c r="AO211" s="45"/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  <c r="BA211" s="45"/>
      <c r="BB211" s="45"/>
      <c r="BC211" s="45"/>
      <c r="BD211" s="93"/>
      <c r="BE211" s="93"/>
      <c r="BF211" s="93"/>
      <c r="BG211" s="93"/>
      <c r="BH211" s="93"/>
      <c r="BI211" s="93"/>
      <c r="BJ211" s="93"/>
      <c r="BK211" s="93">
        <f>SUM($Z211:AD211)-SUM($CM211:CQ211)</f>
        <v>4922</v>
      </c>
      <c r="BL211" s="93">
        <f>SUM($Z211:AE211)-SUM($CM211:CR211)</f>
        <v>4852</v>
      </c>
      <c r="BM211" s="93">
        <f>SUM($Z211:AF211)-SUM($CM211:CS211)</f>
        <v>4787</v>
      </c>
      <c r="BN211" s="93">
        <f>SUM($Z211:AG211)-SUM($CM211:CT211)</f>
        <v>4727</v>
      </c>
      <c r="BO211" s="93">
        <f>SUM($Z211:AH211)-SUM($CM211:CU211)</f>
        <v>4667</v>
      </c>
      <c r="BP211" s="93">
        <f>SUM($Z211:AI211)-SUM($CM211:CV211)</f>
        <v>4607</v>
      </c>
      <c r="BQ211" s="93">
        <f>SUM($Z211:AJ211)-SUM($CM211:CW211)</f>
        <v>4547</v>
      </c>
      <c r="BR211" s="93">
        <f>SUM($Z211:AK211)-SUM($CM211:CX211)</f>
        <v>4487</v>
      </c>
      <c r="BS211" s="93">
        <f>SUM($Z211:AL211)-SUM($CM211:CY211)</f>
        <v>4427</v>
      </c>
      <c r="BT211" s="93">
        <f>SUM($Z211:AM211)-SUM($CM211:CZ211)</f>
        <v>4367</v>
      </c>
      <c r="BU211" s="93">
        <f>SUM($Z211:AN211)-SUM($CM211:DA211)</f>
        <v>4307</v>
      </c>
      <c r="BV211" s="93">
        <f>SUM($Z211:AO211)-SUM($CM211:DB211)</f>
        <v>4293</v>
      </c>
      <c r="BW211" s="93">
        <f>SUM($Z211:AP211)-SUM($CM211:DC211)</f>
        <v>4293</v>
      </c>
      <c r="BX211" s="93">
        <f>SUM($Z211:AQ211)-SUM($CM211:DD211)</f>
        <v>4293</v>
      </c>
      <c r="BY211" s="93">
        <f>SUM($Z211:AR211)-SUM($CM211:DE211)</f>
        <v>4293</v>
      </c>
      <c r="BZ211" s="93">
        <f>SUM($Z211:AS211)-SUM($CM211:DF211)</f>
        <v>4293</v>
      </c>
      <c r="CA211" s="93">
        <f>SUM($Z211:AT211)-SUM($CM211:DG211)</f>
        <v>4293</v>
      </c>
      <c r="CB211" s="93">
        <f>SUM($Z211:AU211)-SUM($CM211:DH211)</f>
        <v>4293</v>
      </c>
      <c r="CC211" s="93">
        <f>SUM($Z211:AV211)-SUM($CM211:DI211)</f>
        <v>4293</v>
      </c>
      <c r="CD211" s="93">
        <f>SUM($Z211:AW211)-SUM($CM211:DJ211)</f>
        <v>4293</v>
      </c>
      <c r="CE211" s="93">
        <f>SUM($Z211:AX211)-SUM($CM211:DK211)</f>
        <v>4293</v>
      </c>
      <c r="CF211" s="93">
        <f>SUM($Z211:AY211)-SUM($CM211:DL211)</f>
        <v>4293</v>
      </c>
      <c r="CG211" s="93">
        <f>SUM($Z211:AZ211)-SUM($CM211:DM211)</f>
        <v>4293</v>
      </c>
      <c r="CH211" s="93">
        <f>SUM($Z211:BA211)-SUM($CM211:DN211)</f>
        <v>4293</v>
      </c>
      <c r="CI211" s="93">
        <f>SUM($Z211:BB211)-SUM($CM211:DO211)</f>
        <v>4293</v>
      </c>
      <c r="CJ211" s="93"/>
      <c r="CK211" s="93"/>
      <c r="CL211" s="93"/>
      <c r="CM211" s="93"/>
      <c r="CN211" s="93" cm="1">
        <f t="array" ref="CN211">SUMPRODUCT(TRANSPOSE(CN$4:CN$20),$G211:$W211)</f>
        <v>0</v>
      </c>
      <c r="CO211" s="93" cm="1">
        <f t="array" ref="CO211">SUMPRODUCT(TRANSPOSE(CO$4:CO$20),$G211:$W211)</f>
        <v>0</v>
      </c>
      <c r="CP211" s="93" cm="1">
        <f t="array" ref="CP211">SUMPRODUCT(TRANSPOSE(CP$4:CP$20),$G211:$W211)</f>
        <v>0</v>
      </c>
      <c r="CQ211" s="93" cm="1">
        <f t="array" ref="CQ211">SUMPRODUCT(TRANSPOSE(CQ$4:CQ$20),$G211:$W211)</f>
        <v>78</v>
      </c>
      <c r="CR211" s="93" cm="1">
        <f t="array" ref="CR211">SUMPRODUCT(TRANSPOSE(CR$4:CR$20),$G211:$W211)</f>
        <v>70</v>
      </c>
      <c r="CS211" s="93" cm="1">
        <f t="array" ref="CS211">SUMPRODUCT(TRANSPOSE(CS$4:CS$20),$G211:$W211)</f>
        <v>65</v>
      </c>
      <c r="CT211" s="93" cm="1">
        <f t="array" ref="CT211">SUMPRODUCT(TRANSPOSE(CT$4:CT$20),$G211:$W211)</f>
        <v>60</v>
      </c>
      <c r="CU211" s="93" cm="1">
        <f t="array" ref="CU211">SUMPRODUCT(TRANSPOSE(CU$4:CU$20),$G211:$W211)</f>
        <v>60</v>
      </c>
      <c r="CV211" s="93" cm="1">
        <f t="array" ref="CV211">SUMPRODUCT(TRANSPOSE(CV$4:CV$20),$G211:$W211)</f>
        <v>60</v>
      </c>
      <c r="CW211" s="93" cm="1">
        <f t="array" ref="CW211">SUMPRODUCT(TRANSPOSE(CW$4:CW$20),$G211:$W211)</f>
        <v>60</v>
      </c>
      <c r="CX211" s="93" cm="1">
        <f t="array" ref="CX211">SUMPRODUCT(TRANSPOSE(CX$4:CX$20),$G211:$W211)</f>
        <v>60</v>
      </c>
      <c r="CY211" s="93" cm="1">
        <f t="array" ref="CY211">SUMPRODUCT(TRANSPOSE(CY$4:CY$20),$G211:$W211)</f>
        <v>60</v>
      </c>
      <c r="CZ211" s="93" cm="1">
        <f t="array" ref="CZ211">SUMPRODUCT(TRANSPOSE(CZ$4:CZ$20),$G211:$W211)</f>
        <v>60</v>
      </c>
      <c r="DA211" s="93" cm="1">
        <f t="array" ref="DA211">SUMPRODUCT(TRANSPOSE(DA$4:DA$20),$G211:$W211)</f>
        <v>60</v>
      </c>
      <c r="DB211" s="93" cm="1">
        <f t="array" ref="DB211">SUMPRODUCT(TRANSPOSE(DB$4:DB$20),$G211:$W211)</f>
        <v>14</v>
      </c>
      <c r="DC211" s="93" cm="1">
        <f t="array" ref="DC211">SUMPRODUCT(TRANSPOSE(DC$4:DC$20),$G211:$W211)</f>
        <v>0</v>
      </c>
      <c r="DD211" s="93" cm="1">
        <f t="array" ref="DD211">SUMPRODUCT(TRANSPOSE(DD$4:DD$20),$G211:$W211)</f>
        <v>0</v>
      </c>
      <c r="DE211" s="93" cm="1">
        <f t="array" ref="DE211">SUMPRODUCT(TRANSPOSE(DE$4:DE$20),$G211:$W211)</f>
        <v>0</v>
      </c>
      <c r="DF211" s="93" cm="1">
        <f t="array" ref="DF211">SUMPRODUCT(TRANSPOSE(DF$4:DF$20),$G211:$W211)</f>
        <v>0</v>
      </c>
      <c r="DG211" s="93" cm="1">
        <f t="array" ref="DG211">SUMPRODUCT(TRANSPOSE(DG$4:DG$20),$G211:$W211)</f>
        <v>0</v>
      </c>
      <c r="DH211" s="93" cm="1">
        <f t="array" ref="DH211">SUMPRODUCT(TRANSPOSE(DH$4:DH$20),$G211:$W211)</f>
        <v>0</v>
      </c>
      <c r="DI211" s="93" cm="1">
        <f t="array" ref="DI211">SUMPRODUCT(TRANSPOSE(DI$4:DI$20),$G211:$W211)</f>
        <v>0</v>
      </c>
      <c r="DJ211" s="93" cm="1">
        <f t="array" ref="DJ211">SUMPRODUCT(TRANSPOSE(DJ$4:DJ$20),$G211:$W211)</f>
        <v>0</v>
      </c>
      <c r="DK211" s="93" cm="1">
        <f t="array" ref="DK211">SUMPRODUCT(TRANSPOSE(DK$4:DK$20),$G211:$W211)</f>
        <v>0</v>
      </c>
      <c r="DL211" s="93" cm="1">
        <f t="array" ref="DL211">SUMPRODUCT(TRANSPOSE(DL$4:DL$20),$G211:$W211)</f>
        <v>0</v>
      </c>
      <c r="DM211" s="93" cm="1">
        <f t="array" ref="DM211">SUMPRODUCT(TRANSPOSE(DM$4:DM$20),$G211:$W211)</f>
        <v>0</v>
      </c>
      <c r="DN211" s="93" cm="1">
        <f t="array" ref="DN211">SUMPRODUCT(TRANSPOSE(DN$4:DN$20),$G211:$W211)</f>
        <v>0</v>
      </c>
      <c r="DO211" s="93" cm="1">
        <f t="array" ref="DO211">SUMPRODUCT(TRANSPOSE(DO$4:DO$20),$G211:$W211)</f>
        <v>0</v>
      </c>
    </row>
    <row r="212" spans="1:119" x14ac:dyDescent="0.2">
      <c r="A212" s="47">
        <f t="shared" si="28"/>
        <v>191</v>
      </c>
      <c r="B212" s="46" t="s">
        <v>510</v>
      </c>
      <c r="C212" s="45">
        <v>400971792</v>
      </c>
      <c r="D212" s="45" t="s">
        <v>511</v>
      </c>
      <c r="E212" s="45" t="s">
        <v>162</v>
      </c>
      <c r="F212" s="48">
        <v>2</v>
      </c>
      <c r="G212" s="100">
        <v>0</v>
      </c>
      <c r="H212" s="100">
        <v>0</v>
      </c>
      <c r="I212" s="100">
        <v>0</v>
      </c>
      <c r="J212" s="100">
        <v>0</v>
      </c>
      <c r="K212" s="100">
        <v>0</v>
      </c>
      <c r="L212" s="100">
        <v>0</v>
      </c>
      <c r="M212" s="100">
        <v>0</v>
      </c>
      <c r="N212" s="100">
        <v>0</v>
      </c>
      <c r="O212" s="100">
        <v>0</v>
      </c>
      <c r="P212" s="100">
        <v>0</v>
      </c>
      <c r="Q212" s="100">
        <v>1</v>
      </c>
      <c r="R212" s="100">
        <v>0</v>
      </c>
      <c r="S212" s="100">
        <v>0</v>
      </c>
      <c r="T212" s="100">
        <v>0</v>
      </c>
      <c r="U212" s="100">
        <v>1</v>
      </c>
      <c r="V212" s="100">
        <v>0</v>
      </c>
      <c r="W212" s="100">
        <v>0</v>
      </c>
      <c r="X212" s="45" t="s">
        <v>8</v>
      </c>
      <c r="Y212" s="49">
        <v>0</v>
      </c>
      <c r="Z212" s="45">
        <v>753</v>
      </c>
      <c r="AA212" s="45">
        <v>0</v>
      </c>
      <c r="AB212" s="45">
        <v>0</v>
      </c>
      <c r="AC212" s="45">
        <v>0</v>
      </c>
      <c r="AD212" s="45">
        <v>0</v>
      </c>
      <c r="AE212" s="45">
        <v>0</v>
      </c>
      <c r="AF212" s="45">
        <v>0</v>
      </c>
      <c r="AG212" s="45">
        <v>0</v>
      </c>
      <c r="AH212" s="45">
        <v>0</v>
      </c>
      <c r="AI212" s="45">
        <v>0</v>
      </c>
      <c r="AJ212" s="45">
        <v>0</v>
      </c>
      <c r="AK212" s="45">
        <v>0</v>
      </c>
      <c r="AL212" s="45">
        <v>0</v>
      </c>
      <c r="AM212" s="45">
        <v>0</v>
      </c>
      <c r="AN212" s="45">
        <v>0</v>
      </c>
      <c r="AO212" s="45"/>
      <c r="AP212" s="45"/>
      <c r="AQ212" s="45"/>
      <c r="AR212" s="45"/>
      <c r="AS212" s="45"/>
      <c r="AT212" s="45"/>
      <c r="AU212" s="45"/>
      <c r="AV212" s="45"/>
      <c r="AW212" s="45"/>
      <c r="AX212" s="45"/>
      <c r="AY212" s="45"/>
      <c r="AZ212" s="45"/>
      <c r="BA212" s="45"/>
      <c r="BB212" s="45"/>
      <c r="BC212" s="45"/>
      <c r="BD212" s="93"/>
      <c r="BE212" s="93"/>
      <c r="BF212" s="93"/>
      <c r="BG212" s="93"/>
      <c r="BH212" s="93"/>
      <c r="BI212" s="93"/>
      <c r="BJ212" s="93"/>
      <c r="BK212" s="93">
        <f>SUM($Z212:AD212)-SUM($CM212:CQ212)</f>
        <v>675</v>
      </c>
      <c r="BL212" s="93">
        <f>SUM($Z212:AE212)-SUM($CM212:CR212)</f>
        <v>605</v>
      </c>
      <c r="BM212" s="93">
        <f>SUM($Z212:AF212)-SUM($CM212:CS212)</f>
        <v>540</v>
      </c>
      <c r="BN212" s="93">
        <f>SUM($Z212:AG212)-SUM($CM212:CT212)</f>
        <v>480</v>
      </c>
      <c r="BO212" s="93">
        <f>SUM($Z212:AH212)-SUM($CM212:CU212)</f>
        <v>420</v>
      </c>
      <c r="BP212" s="93">
        <f>SUM($Z212:AI212)-SUM($CM212:CV212)</f>
        <v>360</v>
      </c>
      <c r="BQ212" s="93">
        <f>SUM($Z212:AJ212)-SUM($CM212:CW212)</f>
        <v>300</v>
      </c>
      <c r="BR212" s="93">
        <f>SUM($Z212:AK212)-SUM($CM212:CX212)</f>
        <v>240</v>
      </c>
      <c r="BS212" s="93">
        <f>SUM($Z212:AL212)-SUM($CM212:CY212)</f>
        <v>180</v>
      </c>
      <c r="BT212" s="93">
        <f>SUM($Z212:AM212)-SUM($CM212:CZ212)</f>
        <v>120</v>
      </c>
      <c r="BU212" s="93">
        <f>SUM($Z212:AN212)-SUM($CM212:DA212)</f>
        <v>60</v>
      </c>
      <c r="BV212" s="93">
        <f>SUM($Z212:AO212)-SUM($CM212:DB212)</f>
        <v>46</v>
      </c>
      <c r="BW212" s="93">
        <f>SUM($Z212:AP212)-SUM($CM212:DC212)</f>
        <v>46</v>
      </c>
      <c r="BX212" s="93">
        <f>SUM($Z212:AQ212)-SUM($CM212:DD212)</f>
        <v>46</v>
      </c>
      <c r="BY212" s="93">
        <f>SUM($Z212:AR212)-SUM($CM212:DE212)</f>
        <v>46</v>
      </c>
      <c r="BZ212" s="93">
        <f>SUM($Z212:AS212)-SUM($CM212:DF212)</f>
        <v>46</v>
      </c>
      <c r="CA212" s="93">
        <f>SUM($Z212:AT212)-SUM($CM212:DG212)</f>
        <v>46</v>
      </c>
      <c r="CB212" s="93">
        <f>SUM($Z212:AU212)-SUM($CM212:DH212)</f>
        <v>46</v>
      </c>
      <c r="CC212" s="93">
        <f>SUM($Z212:AV212)-SUM($CM212:DI212)</f>
        <v>46</v>
      </c>
      <c r="CD212" s="93">
        <f>SUM($Z212:AW212)-SUM($CM212:DJ212)</f>
        <v>46</v>
      </c>
      <c r="CE212" s="93">
        <f>SUM($Z212:AX212)-SUM($CM212:DK212)</f>
        <v>46</v>
      </c>
      <c r="CF212" s="93">
        <f>SUM($Z212:AY212)-SUM($CM212:DL212)</f>
        <v>46</v>
      </c>
      <c r="CG212" s="93">
        <f>SUM($Z212:AZ212)-SUM($CM212:DM212)</f>
        <v>46</v>
      </c>
      <c r="CH212" s="93">
        <f>SUM($Z212:BA212)-SUM($CM212:DN212)</f>
        <v>46</v>
      </c>
      <c r="CI212" s="93">
        <f>SUM($Z212:BB212)-SUM($CM212:DO212)</f>
        <v>46</v>
      </c>
      <c r="CJ212" s="93"/>
      <c r="CK212" s="93"/>
      <c r="CL212" s="93"/>
      <c r="CM212" s="93"/>
      <c r="CN212" s="93" cm="1">
        <f t="array" ref="CN212">SUMPRODUCT(TRANSPOSE(CN$4:CN$20),$G212:$W212)</f>
        <v>0</v>
      </c>
      <c r="CO212" s="93" cm="1">
        <f t="array" ref="CO212">SUMPRODUCT(TRANSPOSE(CO$4:CO$20),$G212:$W212)</f>
        <v>0</v>
      </c>
      <c r="CP212" s="93" cm="1">
        <f t="array" ref="CP212">SUMPRODUCT(TRANSPOSE(CP$4:CP$20),$G212:$W212)</f>
        <v>0</v>
      </c>
      <c r="CQ212" s="93" cm="1">
        <f t="array" ref="CQ212">SUMPRODUCT(TRANSPOSE(CQ$4:CQ$20),$G212:$W212)</f>
        <v>78</v>
      </c>
      <c r="CR212" s="93" cm="1">
        <f t="array" ref="CR212">SUMPRODUCT(TRANSPOSE(CR$4:CR$20),$G212:$W212)</f>
        <v>70</v>
      </c>
      <c r="CS212" s="93" cm="1">
        <f t="array" ref="CS212">SUMPRODUCT(TRANSPOSE(CS$4:CS$20),$G212:$W212)</f>
        <v>65</v>
      </c>
      <c r="CT212" s="93" cm="1">
        <f t="array" ref="CT212">SUMPRODUCT(TRANSPOSE(CT$4:CT$20),$G212:$W212)</f>
        <v>60</v>
      </c>
      <c r="CU212" s="93" cm="1">
        <f t="array" ref="CU212">SUMPRODUCT(TRANSPOSE(CU$4:CU$20),$G212:$W212)</f>
        <v>60</v>
      </c>
      <c r="CV212" s="93" cm="1">
        <f t="array" ref="CV212">SUMPRODUCT(TRANSPOSE(CV$4:CV$20),$G212:$W212)</f>
        <v>60</v>
      </c>
      <c r="CW212" s="93" cm="1">
        <f t="array" ref="CW212">SUMPRODUCT(TRANSPOSE(CW$4:CW$20),$G212:$W212)</f>
        <v>60</v>
      </c>
      <c r="CX212" s="93" cm="1">
        <f t="array" ref="CX212">SUMPRODUCT(TRANSPOSE(CX$4:CX$20),$G212:$W212)</f>
        <v>60</v>
      </c>
      <c r="CY212" s="93" cm="1">
        <f t="array" ref="CY212">SUMPRODUCT(TRANSPOSE(CY$4:CY$20),$G212:$W212)</f>
        <v>60</v>
      </c>
      <c r="CZ212" s="93" cm="1">
        <f t="array" ref="CZ212">SUMPRODUCT(TRANSPOSE(CZ$4:CZ$20),$G212:$W212)</f>
        <v>60</v>
      </c>
      <c r="DA212" s="93" cm="1">
        <f t="array" ref="DA212">SUMPRODUCT(TRANSPOSE(DA$4:DA$20),$G212:$W212)</f>
        <v>60</v>
      </c>
      <c r="DB212" s="93" cm="1">
        <f t="array" ref="DB212">SUMPRODUCT(TRANSPOSE(DB$4:DB$20),$G212:$W212)</f>
        <v>14</v>
      </c>
      <c r="DC212" s="93" cm="1">
        <f t="array" ref="DC212">SUMPRODUCT(TRANSPOSE(DC$4:DC$20),$G212:$W212)</f>
        <v>0</v>
      </c>
      <c r="DD212" s="93" cm="1">
        <f t="array" ref="DD212">SUMPRODUCT(TRANSPOSE(DD$4:DD$20),$G212:$W212)</f>
        <v>0</v>
      </c>
      <c r="DE212" s="93" cm="1">
        <f t="array" ref="DE212">SUMPRODUCT(TRANSPOSE(DE$4:DE$20),$G212:$W212)</f>
        <v>0</v>
      </c>
      <c r="DF212" s="93" cm="1">
        <f t="array" ref="DF212">SUMPRODUCT(TRANSPOSE(DF$4:DF$20),$G212:$W212)</f>
        <v>0</v>
      </c>
      <c r="DG212" s="93" cm="1">
        <f t="array" ref="DG212">SUMPRODUCT(TRANSPOSE(DG$4:DG$20),$G212:$W212)</f>
        <v>0</v>
      </c>
      <c r="DH212" s="93" cm="1">
        <f t="array" ref="DH212">SUMPRODUCT(TRANSPOSE(DH$4:DH$20),$G212:$W212)</f>
        <v>0</v>
      </c>
      <c r="DI212" s="93" cm="1">
        <f t="array" ref="DI212">SUMPRODUCT(TRANSPOSE(DI$4:DI$20),$G212:$W212)</f>
        <v>0</v>
      </c>
      <c r="DJ212" s="93" cm="1">
        <f t="array" ref="DJ212">SUMPRODUCT(TRANSPOSE(DJ$4:DJ$20),$G212:$W212)</f>
        <v>0</v>
      </c>
      <c r="DK212" s="93" cm="1">
        <f t="array" ref="DK212">SUMPRODUCT(TRANSPOSE(DK$4:DK$20),$G212:$W212)</f>
        <v>0</v>
      </c>
      <c r="DL212" s="93" cm="1">
        <f t="array" ref="DL212">SUMPRODUCT(TRANSPOSE(DL$4:DL$20),$G212:$W212)</f>
        <v>0</v>
      </c>
      <c r="DM212" s="93" cm="1">
        <f t="array" ref="DM212">SUMPRODUCT(TRANSPOSE(DM$4:DM$20),$G212:$W212)</f>
        <v>0</v>
      </c>
      <c r="DN212" s="93" cm="1">
        <f t="array" ref="DN212">SUMPRODUCT(TRANSPOSE(DN$4:DN$20),$G212:$W212)</f>
        <v>0</v>
      </c>
      <c r="DO212" s="93" cm="1">
        <f t="array" ref="DO212">SUMPRODUCT(TRANSPOSE(DO$4:DO$20),$G212:$W212)</f>
        <v>0</v>
      </c>
    </row>
    <row r="213" spans="1:119" x14ac:dyDescent="0.2">
      <c r="A213" s="45">
        <f t="shared" si="28"/>
        <v>192</v>
      </c>
      <c r="B213" s="46" t="s">
        <v>512</v>
      </c>
      <c r="C213" s="45" t="s">
        <v>513</v>
      </c>
      <c r="D213" s="45" t="s">
        <v>514</v>
      </c>
      <c r="E213" s="45" t="s">
        <v>162</v>
      </c>
      <c r="F213" s="48">
        <v>2</v>
      </c>
      <c r="G213" s="100">
        <v>0</v>
      </c>
      <c r="H213" s="100">
        <v>0</v>
      </c>
      <c r="I213" s="100">
        <v>0</v>
      </c>
      <c r="J213" s="100">
        <v>0</v>
      </c>
      <c r="K213" s="100">
        <v>0</v>
      </c>
      <c r="L213" s="100">
        <v>0</v>
      </c>
      <c r="M213" s="100">
        <v>0</v>
      </c>
      <c r="N213" s="100">
        <v>0</v>
      </c>
      <c r="O213" s="100">
        <v>1</v>
      </c>
      <c r="P213" s="100">
        <v>0</v>
      </c>
      <c r="Q213" s="100">
        <v>0</v>
      </c>
      <c r="R213" s="100">
        <v>0</v>
      </c>
      <c r="S213" s="100">
        <v>1</v>
      </c>
      <c r="T213" s="100">
        <v>0</v>
      </c>
      <c r="U213" s="100">
        <v>0</v>
      </c>
      <c r="V213" s="100">
        <v>0</v>
      </c>
      <c r="W213" s="100">
        <v>0</v>
      </c>
      <c r="X213" s="45" t="s">
        <v>71</v>
      </c>
      <c r="Y213" s="49">
        <v>6.35</v>
      </c>
      <c r="Z213" s="45">
        <v>1067</v>
      </c>
      <c r="AA213" s="45">
        <v>0</v>
      </c>
      <c r="AB213" s="45">
        <v>0</v>
      </c>
      <c r="AC213" s="45">
        <v>0</v>
      </c>
      <c r="AD213" s="45">
        <v>0</v>
      </c>
      <c r="AE213" s="45">
        <v>0</v>
      </c>
      <c r="AF213" s="45">
        <v>0</v>
      </c>
      <c r="AG213" s="45">
        <v>0</v>
      </c>
      <c r="AH213" s="45">
        <v>0</v>
      </c>
      <c r="AI213" s="45">
        <v>0</v>
      </c>
      <c r="AJ213" s="45">
        <v>0</v>
      </c>
      <c r="AK213" s="45">
        <v>0</v>
      </c>
      <c r="AL213" s="45">
        <v>0</v>
      </c>
      <c r="AM213" s="45">
        <v>0</v>
      </c>
      <c r="AN213" s="45">
        <v>0</v>
      </c>
      <c r="AO213" s="45"/>
      <c r="AP213" s="45"/>
      <c r="AQ213" s="45"/>
      <c r="AR213" s="45"/>
      <c r="AS213" s="45"/>
      <c r="AT213" s="45"/>
      <c r="AU213" s="45"/>
      <c r="AV213" s="45"/>
      <c r="AW213" s="45"/>
      <c r="AX213" s="45"/>
      <c r="AY213" s="45"/>
      <c r="AZ213" s="45"/>
      <c r="BA213" s="45"/>
      <c r="BB213" s="45"/>
      <c r="BC213" s="45"/>
      <c r="BD213" s="93"/>
      <c r="BE213" s="93"/>
      <c r="BF213" s="93"/>
      <c r="BG213" s="93"/>
      <c r="BH213" s="93"/>
      <c r="BI213" s="93"/>
      <c r="BJ213" s="93"/>
      <c r="BK213" s="93">
        <f>SUM($Z213:AD213)-SUM($CM213:CQ213)</f>
        <v>989</v>
      </c>
      <c r="BL213" s="93">
        <f>SUM($Z213:AE213)-SUM($CM213:CR213)</f>
        <v>919</v>
      </c>
      <c r="BM213" s="93">
        <f>SUM($Z213:AF213)-SUM($CM213:CS213)</f>
        <v>854</v>
      </c>
      <c r="BN213" s="93">
        <f>SUM($Z213:AG213)-SUM($CM213:CT213)</f>
        <v>794</v>
      </c>
      <c r="BO213" s="93">
        <f>SUM($Z213:AH213)-SUM($CM213:CU213)</f>
        <v>734</v>
      </c>
      <c r="BP213" s="93">
        <f>SUM($Z213:AI213)-SUM($CM213:CV213)</f>
        <v>674</v>
      </c>
      <c r="BQ213" s="93">
        <f>SUM($Z213:AJ213)-SUM($CM213:CW213)</f>
        <v>614</v>
      </c>
      <c r="BR213" s="93">
        <f>SUM($Z213:AK213)-SUM($CM213:CX213)</f>
        <v>554</v>
      </c>
      <c r="BS213" s="93">
        <f>SUM($Z213:AL213)-SUM($CM213:CY213)</f>
        <v>494</v>
      </c>
      <c r="BT213" s="93">
        <f>SUM($Z213:AM213)-SUM($CM213:CZ213)</f>
        <v>434</v>
      </c>
      <c r="BU213" s="93">
        <f>SUM($Z213:AN213)-SUM($CM213:DA213)</f>
        <v>374</v>
      </c>
      <c r="BV213" s="93">
        <f>SUM($Z213:AO213)-SUM($CM213:DB213)</f>
        <v>360</v>
      </c>
      <c r="BW213" s="93">
        <f>SUM($Z213:AP213)-SUM($CM213:DC213)</f>
        <v>360</v>
      </c>
      <c r="BX213" s="93">
        <f>SUM($Z213:AQ213)-SUM($CM213:DD213)</f>
        <v>360</v>
      </c>
      <c r="BY213" s="93">
        <f>SUM($Z213:AR213)-SUM($CM213:DE213)</f>
        <v>360</v>
      </c>
      <c r="BZ213" s="93">
        <f>SUM($Z213:AS213)-SUM($CM213:DF213)</f>
        <v>360</v>
      </c>
      <c r="CA213" s="93">
        <f>SUM($Z213:AT213)-SUM($CM213:DG213)</f>
        <v>360</v>
      </c>
      <c r="CB213" s="93">
        <f>SUM($Z213:AU213)-SUM($CM213:DH213)</f>
        <v>360</v>
      </c>
      <c r="CC213" s="93">
        <f>SUM($Z213:AV213)-SUM($CM213:DI213)</f>
        <v>360</v>
      </c>
      <c r="CD213" s="93">
        <f>SUM($Z213:AW213)-SUM($CM213:DJ213)</f>
        <v>360</v>
      </c>
      <c r="CE213" s="93">
        <f>SUM($Z213:AX213)-SUM($CM213:DK213)</f>
        <v>360</v>
      </c>
      <c r="CF213" s="93">
        <f>SUM($Z213:AY213)-SUM($CM213:DL213)</f>
        <v>360</v>
      </c>
      <c r="CG213" s="93">
        <f>SUM($Z213:AZ213)-SUM($CM213:DM213)</f>
        <v>360</v>
      </c>
      <c r="CH213" s="93">
        <f>SUM($Z213:BA213)-SUM($CM213:DN213)</f>
        <v>360</v>
      </c>
      <c r="CI213" s="93">
        <f>SUM($Z213:BB213)-SUM($CM213:DO213)</f>
        <v>360</v>
      </c>
      <c r="CJ213" s="93"/>
      <c r="CK213" s="93"/>
      <c r="CL213" s="93"/>
      <c r="CM213" s="93"/>
      <c r="CN213" s="93" cm="1">
        <f t="array" ref="CN213">SUMPRODUCT(TRANSPOSE(CN$4:CN$20),$G213:$W213)</f>
        <v>0</v>
      </c>
      <c r="CO213" s="93" cm="1">
        <f t="array" ref="CO213">SUMPRODUCT(TRANSPOSE(CO$4:CO$20),$G213:$W213)</f>
        <v>0</v>
      </c>
      <c r="CP213" s="93" cm="1">
        <f t="array" ref="CP213">SUMPRODUCT(TRANSPOSE(CP$4:CP$20),$G213:$W213)</f>
        <v>0</v>
      </c>
      <c r="CQ213" s="93" cm="1">
        <f t="array" ref="CQ213">SUMPRODUCT(TRANSPOSE(CQ$4:CQ$20),$G213:$W213)</f>
        <v>78</v>
      </c>
      <c r="CR213" s="93" cm="1">
        <f t="array" ref="CR213">SUMPRODUCT(TRANSPOSE(CR$4:CR$20),$G213:$W213)</f>
        <v>70</v>
      </c>
      <c r="CS213" s="93" cm="1">
        <f t="array" ref="CS213">SUMPRODUCT(TRANSPOSE(CS$4:CS$20),$G213:$W213)</f>
        <v>65</v>
      </c>
      <c r="CT213" s="93" cm="1">
        <f t="array" ref="CT213">SUMPRODUCT(TRANSPOSE(CT$4:CT$20),$G213:$W213)</f>
        <v>60</v>
      </c>
      <c r="CU213" s="93" cm="1">
        <f t="array" ref="CU213">SUMPRODUCT(TRANSPOSE(CU$4:CU$20),$G213:$W213)</f>
        <v>60</v>
      </c>
      <c r="CV213" s="93" cm="1">
        <f t="array" ref="CV213">SUMPRODUCT(TRANSPOSE(CV$4:CV$20),$G213:$W213)</f>
        <v>60</v>
      </c>
      <c r="CW213" s="93" cm="1">
        <f t="array" ref="CW213">SUMPRODUCT(TRANSPOSE(CW$4:CW$20),$G213:$W213)</f>
        <v>60</v>
      </c>
      <c r="CX213" s="93" cm="1">
        <f t="array" ref="CX213">SUMPRODUCT(TRANSPOSE(CX$4:CX$20),$G213:$W213)</f>
        <v>60</v>
      </c>
      <c r="CY213" s="93" cm="1">
        <f t="array" ref="CY213">SUMPRODUCT(TRANSPOSE(CY$4:CY$20),$G213:$W213)</f>
        <v>60</v>
      </c>
      <c r="CZ213" s="93" cm="1">
        <f t="array" ref="CZ213">SUMPRODUCT(TRANSPOSE(CZ$4:CZ$20),$G213:$W213)</f>
        <v>60</v>
      </c>
      <c r="DA213" s="93" cm="1">
        <f t="array" ref="DA213">SUMPRODUCT(TRANSPOSE(DA$4:DA$20),$G213:$W213)</f>
        <v>60</v>
      </c>
      <c r="DB213" s="93" cm="1">
        <f t="array" ref="DB213">SUMPRODUCT(TRANSPOSE(DB$4:DB$20),$G213:$W213)</f>
        <v>14</v>
      </c>
      <c r="DC213" s="93" cm="1">
        <f t="array" ref="DC213">SUMPRODUCT(TRANSPOSE(DC$4:DC$20),$G213:$W213)</f>
        <v>0</v>
      </c>
      <c r="DD213" s="93" cm="1">
        <f t="array" ref="DD213">SUMPRODUCT(TRANSPOSE(DD$4:DD$20),$G213:$W213)</f>
        <v>0</v>
      </c>
      <c r="DE213" s="93" cm="1">
        <f t="array" ref="DE213">SUMPRODUCT(TRANSPOSE(DE$4:DE$20),$G213:$W213)</f>
        <v>0</v>
      </c>
      <c r="DF213" s="93" cm="1">
        <f t="array" ref="DF213">SUMPRODUCT(TRANSPOSE(DF$4:DF$20),$G213:$W213)</f>
        <v>0</v>
      </c>
      <c r="DG213" s="93" cm="1">
        <f t="array" ref="DG213">SUMPRODUCT(TRANSPOSE(DG$4:DG$20),$G213:$W213)</f>
        <v>0</v>
      </c>
      <c r="DH213" s="93" cm="1">
        <f t="array" ref="DH213">SUMPRODUCT(TRANSPOSE(DH$4:DH$20),$G213:$W213)</f>
        <v>0</v>
      </c>
      <c r="DI213" s="93" cm="1">
        <f t="array" ref="DI213">SUMPRODUCT(TRANSPOSE(DI$4:DI$20),$G213:$W213)</f>
        <v>0</v>
      </c>
      <c r="DJ213" s="93" cm="1">
        <f t="array" ref="DJ213">SUMPRODUCT(TRANSPOSE(DJ$4:DJ$20),$G213:$W213)</f>
        <v>0</v>
      </c>
      <c r="DK213" s="93" cm="1">
        <f t="array" ref="DK213">SUMPRODUCT(TRANSPOSE(DK$4:DK$20),$G213:$W213)</f>
        <v>0</v>
      </c>
      <c r="DL213" s="93" cm="1">
        <f t="array" ref="DL213">SUMPRODUCT(TRANSPOSE(DL$4:DL$20),$G213:$W213)</f>
        <v>0</v>
      </c>
      <c r="DM213" s="93" cm="1">
        <f t="array" ref="DM213">SUMPRODUCT(TRANSPOSE(DM$4:DM$20),$G213:$W213)</f>
        <v>0</v>
      </c>
      <c r="DN213" s="93" cm="1">
        <f t="array" ref="DN213">SUMPRODUCT(TRANSPOSE(DN$4:DN$20),$G213:$W213)</f>
        <v>0</v>
      </c>
      <c r="DO213" s="93" cm="1">
        <f t="array" ref="DO213">SUMPRODUCT(TRANSPOSE(DO$4:DO$20),$G213:$W213)</f>
        <v>0</v>
      </c>
    </row>
    <row r="214" spans="1:119" x14ac:dyDescent="0.2">
      <c r="A214" s="45">
        <f t="shared" si="28"/>
        <v>193</v>
      </c>
      <c r="B214" s="46" t="s">
        <v>515</v>
      </c>
      <c r="C214" s="45" t="s">
        <v>516</v>
      </c>
      <c r="D214" s="45" t="s">
        <v>517</v>
      </c>
      <c r="E214" s="45" t="s">
        <v>162</v>
      </c>
      <c r="F214" s="48">
        <v>2</v>
      </c>
      <c r="G214" s="100">
        <v>0</v>
      </c>
      <c r="H214" s="100">
        <v>0</v>
      </c>
      <c r="I214" s="100">
        <v>0</v>
      </c>
      <c r="J214" s="100">
        <v>0</v>
      </c>
      <c r="K214" s="100">
        <v>0</v>
      </c>
      <c r="L214" s="100">
        <v>0</v>
      </c>
      <c r="M214" s="100">
        <v>0</v>
      </c>
      <c r="N214" s="100">
        <v>0</v>
      </c>
      <c r="O214" s="100">
        <v>1</v>
      </c>
      <c r="P214" s="100">
        <v>0</v>
      </c>
      <c r="Q214" s="100">
        <v>0</v>
      </c>
      <c r="R214" s="100">
        <v>0</v>
      </c>
      <c r="S214" s="100">
        <v>1</v>
      </c>
      <c r="T214" s="100">
        <v>0</v>
      </c>
      <c r="U214" s="100">
        <v>0</v>
      </c>
      <c r="V214" s="100">
        <v>0</v>
      </c>
      <c r="W214" s="100">
        <v>0</v>
      </c>
      <c r="X214" s="45" t="s">
        <v>71</v>
      </c>
      <c r="Y214" s="49">
        <v>6.8</v>
      </c>
      <c r="Z214" s="45">
        <v>1067</v>
      </c>
      <c r="AA214" s="45">
        <v>0</v>
      </c>
      <c r="AB214" s="45">
        <v>0</v>
      </c>
      <c r="AC214" s="45">
        <v>0</v>
      </c>
      <c r="AD214" s="45">
        <v>0</v>
      </c>
      <c r="AE214" s="45">
        <v>0</v>
      </c>
      <c r="AF214" s="45">
        <v>0</v>
      </c>
      <c r="AG214" s="45">
        <v>0</v>
      </c>
      <c r="AH214" s="45">
        <v>0</v>
      </c>
      <c r="AI214" s="45">
        <v>0</v>
      </c>
      <c r="AJ214" s="45">
        <v>0</v>
      </c>
      <c r="AK214" s="45">
        <v>0</v>
      </c>
      <c r="AL214" s="45">
        <v>0</v>
      </c>
      <c r="AM214" s="45">
        <v>0</v>
      </c>
      <c r="AN214" s="45">
        <v>0</v>
      </c>
      <c r="AO214" s="45"/>
      <c r="AP214" s="45"/>
      <c r="AQ214" s="45"/>
      <c r="AR214" s="45"/>
      <c r="AS214" s="45"/>
      <c r="AT214" s="45"/>
      <c r="AU214" s="45"/>
      <c r="AV214" s="45"/>
      <c r="AW214" s="45"/>
      <c r="AX214" s="45"/>
      <c r="AY214" s="45"/>
      <c r="AZ214" s="45"/>
      <c r="BA214" s="45"/>
      <c r="BB214" s="45"/>
      <c r="BC214" s="45"/>
      <c r="BD214" s="93"/>
      <c r="BE214" s="93"/>
      <c r="BF214" s="93"/>
      <c r="BG214" s="93"/>
      <c r="BH214" s="93"/>
      <c r="BI214" s="93"/>
      <c r="BJ214" s="93"/>
      <c r="BK214" s="93">
        <f>SUM($Z214:AD214)-SUM($CM214:CQ214)</f>
        <v>989</v>
      </c>
      <c r="BL214" s="93">
        <f>SUM($Z214:AE214)-SUM($CM214:CR214)</f>
        <v>919</v>
      </c>
      <c r="BM214" s="93">
        <f>SUM($Z214:AF214)-SUM($CM214:CS214)</f>
        <v>854</v>
      </c>
      <c r="BN214" s="93">
        <f>SUM($Z214:AG214)-SUM($CM214:CT214)</f>
        <v>794</v>
      </c>
      <c r="BO214" s="93">
        <f>SUM($Z214:AH214)-SUM($CM214:CU214)</f>
        <v>734</v>
      </c>
      <c r="BP214" s="93">
        <f>SUM($Z214:AI214)-SUM($CM214:CV214)</f>
        <v>674</v>
      </c>
      <c r="BQ214" s="93">
        <f>SUM($Z214:AJ214)-SUM($CM214:CW214)</f>
        <v>614</v>
      </c>
      <c r="BR214" s="93">
        <f>SUM($Z214:AK214)-SUM($CM214:CX214)</f>
        <v>554</v>
      </c>
      <c r="BS214" s="93">
        <f>SUM($Z214:AL214)-SUM($CM214:CY214)</f>
        <v>494</v>
      </c>
      <c r="BT214" s="93">
        <f>SUM($Z214:AM214)-SUM($CM214:CZ214)</f>
        <v>434</v>
      </c>
      <c r="BU214" s="93">
        <f>SUM($Z214:AN214)-SUM($CM214:DA214)</f>
        <v>374</v>
      </c>
      <c r="BV214" s="93">
        <f>SUM($Z214:AO214)-SUM($CM214:DB214)</f>
        <v>360</v>
      </c>
      <c r="BW214" s="93">
        <f>SUM($Z214:AP214)-SUM($CM214:DC214)</f>
        <v>360</v>
      </c>
      <c r="BX214" s="93">
        <f>SUM($Z214:AQ214)-SUM($CM214:DD214)</f>
        <v>360</v>
      </c>
      <c r="BY214" s="93">
        <f>SUM($Z214:AR214)-SUM($CM214:DE214)</f>
        <v>360</v>
      </c>
      <c r="BZ214" s="93">
        <f>SUM($Z214:AS214)-SUM($CM214:DF214)</f>
        <v>360</v>
      </c>
      <c r="CA214" s="93">
        <f>SUM($Z214:AT214)-SUM($CM214:DG214)</f>
        <v>360</v>
      </c>
      <c r="CB214" s="93">
        <f>SUM($Z214:AU214)-SUM($CM214:DH214)</f>
        <v>360</v>
      </c>
      <c r="CC214" s="93">
        <f>SUM($Z214:AV214)-SUM($CM214:DI214)</f>
        <v>360</v>
      </c>
      <c r="CD214" s="93">
        <f>SUM($Z214:AW214)-SUM($CM214:DJ214)</f>
        <v>360</v>
      </c>
      <c r="CE214" s="93">
        <f>SUM($Z214:AX214)-SUM($CM214:DK214)</f>
        <v>360</v>
      </c>
      <c r="CF214" s="93">
        <f>SUM($Z214:AY214)-SUM($CM214:DL214)</f>
        <v>360</v>
      </c>
      <c r="CG214" s="93">
        <f>SUM($Z214:AZ214)-SUM($CM214:DM214)</f>
        <v>360</v>
      </c>
      <c r="CH214" s="93">
        <f>SUM($Z214:BA214)-SUM($CM214:DN214)</f>
        <v>360</v>
      </c>
      <c r="CI214" s="93">
        <f>SUM($Z214:BB214)-SUM($CM214:DO214)</f>
        <v>360</v>
      </c>
      <c r="CJ214" s="93"/>
      <c r="CK214" s="93"/>
      <c r="CL214" s="93"/>
      <c r="CM214" s="93"/>
      <c r="CN214" s="93" cm="1">
        <f t="array" ref="CN214">SUMPRODUCT(TRANSPOSE(CN$4:CN$20),$G214:$W214)</f>
        <v>0</v>
      </c>
      <c r="CO214" s="93" cm="1">
        <f t="array" ref="CO214">SUMPRODUCT(TRANSPOSE(CO$4:CO$20),$G214:$W214)</f>
        <v>0</v>
      </c>
      <c r="CP214" s="93" cm="1">
        <f t="array" ref="CP214">SUMPRODUCT(TRANSPOSE(CP$4:CP$20),$G214:$W214)</f>
        <v>0</v>
      </c>
      <c r="CQ214" s="93" cm="1">
        <f t="array" ref="CQ214">SUMPRODUCT(TRANSPOSE(CQ$4:CQ$20),$G214:$W214)</f>
        <v>78</v>
      </c>
      <c r="CR214" s="93" cm="1">
        <f t="array" ref="CR214">SUMPRODUCT(TRANSPOSE(CR$4:CR$20),$G214:$W214)</f>
        <v>70</v>
      </c>
      <c r="CS214" s="93" cm="1">
        <f t="array" ref="CS214">SUMPRODUCT(TRANSPOSE(CS$4:CS$20),$G214:$W214)</f>
        <v>65</v>
      </c>
      <c r="CT214" s="93" cm="1">
        <f t="array" ref="CT214">SUMPRODUCT(TRANSPOSE(CT$4:CT$20),$G214:$W214)</f>
        <v>60</v>
      </c>
      <c r="CU214" s="93" cm="1">
        <f t="array" ref="CU214">SUMPRODUCT(TRANSPOSE(CU$4:CU$20),$G214:$W214)</f>
        <v>60</v>
      </c>
      <c r="CV214" s="93" cm="1">
        <f t="array" ref="CV214">SUMPRODUCT(TRANSPOSE(CV$4:CV$20),$G214:$W214)</f>
        <v>60</v>
      </c>
      <c r="CW214" s="93" cm="1">
        <f t="array" ref="CW214">SUMPRODUCT(TRANSPOSE(CW$4:CW$20),$G214:$W214)</f>
        <v>60</v>
      </c>
      <c r="CX214" s="93" cm="1">
        <f t="array" ref="CX214">SUMPRODUCT(TRANSPOSE(CX$4:CX$20),$G214:$W214)</f>
        <v>60</v>
      </c>
      <c r="CY214" s="93" cm="1">
        <f t="array" ref="CY214">SUMPRODUCT(TRANSPOSE(CY$4:CY$20),$G214:$W214)</f>
        <v>60</v>
      </c>
      <c r="CZ214" s="93" cm="1">
        <f t="array" ref="CZ214">SUMPRODUCT(TRANSPOSE(CZ$4:CZ$20),$G214:$W214)</f>
        <v>60</v>
      </c>
      <c r="DA214" s="93" cm="1">
        <f t="array" ref="DA214">SUMPRODUCT(TRANSPOSE(DA$4:DA$20),$G214:$W214)</f>
        <v>60</v>
      </c>
      <c r="DB214" s="93" cm="1">
        <f t="array" ref="DB214">SUMPRODUCT(TRANSPOSE(DB$4:DB$20),$G214:$W214)</f>
        <v>14</v>
      </c>
      <c r="DC214" s="93" cm="1">
        <f t="array" ref="DC214">SUMPRODUCT(TRANSPOSE(DC$4:DC$20),$G214:$W214)</f>
        <v>0</v>
      </c>
      <c r="DD214" s="93" cm="1">
        <f t="array" ref="DD214">SUMPRODUCT(TRANSPOSE(DD$4:DD$20),$G214:$W214)</f>
        <v>0</v>
      </c>
      <c r="DE214" s="93" cm="1">
        <f t="array" ref="DE214">SUMPRODUCT(TRANSPOSE(DE$4:DE$20),$G214:$W214)</f>
        <v>0</v>
      </c>
      <c r="DF214" s="93" cm="1">
        <f t="array" ref="DF214">SUMPRODUCT(TRANSPOSE(DF$4:DF$20),$G214:$W214)</f>
        <v>0</v>
      </c>
      <c r="DG214" s="93" cm="1">
        <f t="array" ref="DG214">SUMPRODUCT(TRANSPOSE(DG$4:DG$20),$G214:$W214)</f>
        <v>0</v>
      </c>
      <c r="DH214" s="93" cm="1">
        <f t="array" ref="DH214">SUMPRODUCT(TRANSPOSE(DH$4:DH$20),$G214:$W214)</f>
        <v>0</v>
      </c>
      <c r="DI214" s="93" cm="1">
        <f t="array" ref="DI214">SUMPRODUCT(TRANSPOSE(DI$4:DI$20),$G214:$W214)</f>
        <v>0</v>
      </c>
      <c r="DJ214" s="93" cm="1">
        <f t="array" ref="DJ214">SUMPRODUCT(TRANSPOSE(DJ$4:DJ$20),$G214:$W214)</f>
        <v>0</v>
      </c>
      <c r="DK214" s="93" cm="1">
        <f t="array" ref="DK214">SUMPRODUCT(TRANSPOSE(DK$4:DK$20),$G214:$W214)</f>
        <v>0</v>
      </c>
      <c r="DL214" s="93" cm="1">
        <f t="array" ref="DL214">SUMPRODUCT(TRANSPOSE(DL$4:DL$20),$G214:$W214)</f>
        <v>0</v>
      </c>
      <c r="DM214" s="93" cm="1">
        <f t="array" ref="DM214">SUMPRODUCT(TRANSPOSE(DM$4:DM$20),$G214:$W214)</f>
        <v>0</v>
      </c>
      <c r="DN214" s="93" cm="1">
        <f t="array" ref="DN214">SUMPRODUCT(TRANSPOSE(DN$4:DN$20),$G214:$W214)</f>
        <v>0</v>
      </c>
      <c r="DO214" s="93" cm="1">
        <f t="array" ref="DO214">SUMPRODUCT(TRANSPOSE(DO$4:DO$20),$G214:$W214)</f>
        <v>0</v>
      </c>
    </row>
    <row r="215" spans="1:119" x14ac:dyDescent="0.2">
      <c r="A215" s="45">
        <f t="shared" ref="A215:A278" si="29">A214+1</f>
        <v>194</v>
      </c>
      <c r="B215" s="46" t="s">
        <v>518</v>
      </c>
      <c r="C215" s="45" t="s">
        <v>519</v>
      </c>
      <c r="D215" s="45" t="s">
        <v>520</v>
      </c>
      <c r="E215" s="45" t="s">
        <v>162</v>
      </c>
      <c r="F215" s="48">
        <v>2</v>
      </c>
      <c r="G215" s="100">
        <v>2</v>
      </c>
      <c r="H215" s="100">
        <v>0</v>
      </c>
      <c r="I215" s="100">
        <v>0</v>
      </c>
      <c r="J215" s="100">
        <v>0</v>
      </c>
      <c r="K215" s="100">
        <v>0</v>
      </c>
      <c r="L215" s="100">
        <v>0</v>
      </c>
      <c r="M215" s="100">
        <v>0</v>
      </c>
      <c r="N215" s="100">
        <v>0</v>
      </c>
      <c r="O215" s="100">
        <v>1</v>
      </c>
      <c r="P215" s="100">
        <v>0</v>
      </c>
      <c r="Q215" s="100">
        <v>0</v>
      </c>
      <c r="R215" s="100">
        <v>0</v>
      </c>
      <c r="S215" s="100">
        <v>1</v>
      </c>
      <c r="T215" s="100">
        <v>0</v>
      </c>
      <c r="U215" s="100">
        <v>0</v>
      </c>
      <c r="V215" s="100">
        <v>0</v>
      </c>
      <c r="W215" s="100">
        <v>0</v>
      </c>
      <c r="X215" s="45" t="s">
        <v>71</v>
      </c>
      <c r="Y215" s="49">
        <v>7.5</v>
      </c>
      <c r="Z215" s="45">
        <v>1326</v>
      </c>
      <c r="AA215" s="45">
        <v>0</v>
      </c>
      <c r="AB215" s="45">
        <v>0</v>
      </c>
      <c r="AC215" s="45">
        <v>0</v>
      </c>
      <c r="AD215" s="45">
        <v>0</v>
      </c>
      <c r="AE215" s="45">
        <v>0</v>
      </c>
      <c r="AF215" s="45">
        <v>0</v>
      </c>
      <c r="AG215" s="45">
        <v>0</v>
      </c>
      <c r="AH215" s="45">
        <v>0</v>
      </c>
      <c r="AI215" s="45">
        <v>0</v>
      </c>
      <c r="AJ215" s="45">
        <v>0</v>
      </c>
      <c r="AK215" s="45">
        <v>0</v>
      </c>
      <c r="AL215" s="45">
        <v>0</v>
      </c>
      <c r="AM215" s="45">
        <v>0</v>
      </c>
      <c r="AN215" s="45">
        <v>0</v>
      </c>
      <c r="AO215" s="45"/>
      <c r="AP215" s="45"/>
      <c r="AQ215" s="45"/>
      <c r="AR215" s="45"/>
      <c r="AS215" s="45"/>
      <c r="AT215" s="45"/>
      <c r="AU215" s="45"/>
      <c r="AV215" s="45"/>
      <c r="AW215" s="45"/>
      <c r="AX215" s="45"/>
      <c r="AY215" s="45"/>
      <c r="AZ215" s="45"/>
      <c r="BA215" s="45"/>
      <c r="BB215" s="45"/>
      <c r="BC215" s="45"/>
      <c r="BD215" s="93"/>
      <c r="BE215" s="93"/>
      <c r="BF215" s="93"/>
      <c r="BG215" s="93"/>
      <c r="BH215" s="93"/>
      <c r="BI215" s="93"/>
      <c r="BJ215" s="93"/>
      <c r="BK215" s="93">
        <f>SUM($Z215:AD215)-SUM($CM215:CQ215)</f>
        <v>1232</v>
      </c>
      <c r="BL215" s="93">
        <f>SUM($Z215:AE215)-SUM($CM215:CR215)</f>
        <v>1146</v>
      </c>
      <c r="BM215" s="93">
        <f>SUM($Z215:AF215)-SUM($CM215:CS215)</f>
        <v>1065</v>
      </c>
      <c r="BN215" s="93">
        <f>SUM($Z215:AG215)-SUM($CM215:CT215)</f>
        <v>989</v>
      </c>
      <c r="BO215" s="93">
        <f>SUM($Z215:AH215)-SUM($CM215:CU215)</f>
        <v>913</v>
      </c>
      <c r="BP215" s="93">
        <f>SUM($Z215:AI215)-SUM($CM215:CV215)</f>
        <v>837</v>
      </c>
      <c r="BQ215" s="93">
        <f>SUM($Z215:AJ215)-SUM($CM215:CW215)</f>
        <v>761</v>
      </c>
      <c r="BR215" s="93">
        <f>SUM($Z215:AK215)-SUM($CM215:CX215)</f>
        <v>685</v>
      </c>
      <c r="BS215" s="93">
        <f>SUM($Z215:AL215)-SUM($CM215:CY215)</f>
        <v>609</v>
      </c>
      <c r="BT215" s="93">
        <f>SUM($Z215:AM215)-SUM($CM215:CZ215)</f>
        <v>533</v>
      </c>
      <c r="BU215" s="93">
        <f>SUM($Z215:AN215)-SUM($CM215:DA215)</f>
        <v>457</v>
      </c>
      <c r="BV215" s="93">
        <f>SUM($Z215:AO215)-SUM($CM215:DB215)</f>
        <v>427</v>
      </c>
      <c r="BW215" s="93">
        <f>SUM($Z215:AP215)-SUM($CM215:DC215)</f>
        <v>415</v>
      </c>
      <c r="BX215" s="93">
        <f>SUM($Z215:AQ215)-SUM($CM215:DD215)</f>
        <v>415</v>
      </c>
      <c r="BY215" s="93">
        <f>SUM($Z215:AR215)-SUM($CM215:DE215)</f>
        <v>415</v>
      </c>
      <c r="BZ215" s="93">
        <f>SUM($Z215:AS215)-SUM($CM215:DF215)</f>
        <v>415</v>
      </c>
      <c r="CA215" s="93">
        <f>SUM($Z215:AT215)-SUM($CM215:DG215)</f>
        <v>415</v>
      </c>
      <c r="CB215" s="93">
        <f>SUM($Z215:AU215)-SUM($CM215:DH215)</f>
        <v>415</v>
      </c>
      <c r="CC215" s="93">
        <f>SUM($Z215:AV215)-SUM($CM215:DI215)</f>
        <v>415</v>
      </c>
      <c r="CD215" s="93">
        <f>SUM($Z215:AW215)-SUM($CM215:DJ215)</f>
        <v>415</v>
      </c>
      <c r="CE215" s="93">
        <f>SUM($Z215:AX215)-SUM($CM215:DK215)</f>
        <v>415</v>
      </c>
      <c r="CF215" s="93">
        <f>SUM($Z215:AY215)-SUM($CM215:DL215)</f>
        <v>415</v>
      </c>
      <c r="CG215" s="93">
        <f>SUM($Z215:AZ215)-SUM($CM215:DM215)</f>
        <v>415</v>
      </c>
      <c r="CH215" s="93">
        <f>SUM($Z215:BA215)-SUM($CM215:DN215)</f>
        <v>415</v>
      </c>
      <c r="CI215" s="93">
        <f>SUM($Z215:BB215)-SUM($CM215:DO215)</f>
        <v>415</v>
      </c>
      <c r="CJ215" s="93"/>
      <c r="CK215" s="93"/>
      <c r="CL215" s="93"/>
      <c r="CM215" s="93"/>
      <c r="CN215" s="93" cm="1">
        <f t="array" ref="CN215">SUMPRODUCT(TRANSPOSE(CN$4:CN$20),$G215:$W215)</f>
        <v>0</v>
      </c>
      <c r="CO215" s="93" cm="1">
        <f t="array" ref="CO215">SUMPRODUCT(TRANSPOSE(CO$4:CO$20),$G215:$W215)</f>
        <v>0</v>
      </c>
      <c r="CP215" s="93" cm="1">
        <f t="array" ref="CP215">SUMPRODUCT(TRANSPOSE(CP$4:CP$20),$G215:$W215)</f>
        <v>0</v>
      </c>
      <c r="CQ215" s="93" cm="1">
        <f t="array" ref="CQ215">SUMPRODUCT(TRANSPOSE(CQ$4:CQ$20),$G215:$W215)</f>
        <v>94</v>
      </c>
      <c r="CR215" s="93" cm="1">
        <f t="array" ref="CR215">SUMPRODUCT(TRANSPOSE(CR$4:CR$20),$G215:$W215)</f>
        <v>86</v>
      </c>
      <c r="CS215" s="93" cm="1">
        <f t="array" ref="CS215">SUMPRODUCT(TRANSPOSE(CS$4:CS$20),$G215:$W215)</f>
        <v>81</v>
      </c>
      <c r="CT215" s="93" cm="1">
        <f t="array" ref="CT215">SUMPRODUCT(TRANSPOSE(CT$4:CT$20),$G215:$W215)</f>
        <v>76</v>
      </c>
      <c r="CU215" s="93" cm="1">
        <f t="array" ref="CU215">SUMPRODUCT(TRANSPOSE(CU$4:CU$20),$G215:$W215)</f>
        <v>76</v>
      </c>
      <c r="CV215" s="93" cm="1">
        <f t="array" ref="CV215">SUMPRODUCT(TRANSPOSE(CV$4:CV$20),$G215:$W215)</f>
        <v>76</v>
      </c>
      <c r="CW215" s="93" cm="1">
        <f t="array" ref="CW215">SUMPRODUCT(TRANSPOSE(CW$4:CW$20),$G215:$W215)</f>
        <v>76</v>
      </c>
      <c r="CX215" s="93" cm="1">
        <f t="array" ref="CX215">SUMPRODUCT(TRANSPOSE(CX$4:CX$20),$G215:$W215)</f>
        <v>76</v>
      </c>
      <c r="CY215" s="93" cm="1">
        <f t="array" ref="CY215">SUMPRODUCT(TRANSPOSE(CY$4:CY$20),$G215:$W215)</f>
        <v>76</v>
      </c>
      <c r="CZ215" s="93" cm="1">
        <f t="array" ref="CZ215">SUMPRODUCT(TRANSPOSE(CZ$4:CZ$20),$G215:$W215)</f>
        <v>76</v>
      </c>
      <c r="DA215" s="93" cm="1">
        <f t="array" ref="DA215">SUMPRODUCT(TRANSPOSE(DA$4:DA$20),$G215:$W215)</f>
        <v>76</v>
      </c>
      <c r="DB215" s="93" cm="1">
        <f t="array" ref="DB215">SUMPRODUCT(TRANSPOSE(DB$4:DB$20),$G215:$W215)</f>
        <v>30</v>
      </c>
      <c r="DC215" s="93" cm="1">
        <f t="array" ref="DC215">SUMPRODUCT(TRANSPOSE(DC$4:DC$20),$G215:$W215)</f>
        <v>12</v>
      </c>
      <c r="DD215" s="93" cm="1">
        <f t="array" ref="DD215">SUMPRODUCT(TRANSPOSE(DD$4:DD$20),$G215:$W215)</f>
        <v>0</v>
      </c>
      <c r="DE215" s="93" cm="1">
        <f t="array" ref="DE215">SUMPRODUCT(TRANSPOSE(DE$4:DE$20),$G215:$W215)</f>
        <v>0</v>
      </c>
      <c r="DF215" s="93" cm="1">
        <f t="array" ref="DF215">SUMPRODUCT(TRANSPOSE(DF$4:DF$20),$G215:$W215)</f>
        <v>0</v>
      </c>
      <c r="DG215" s="93" cm="1">
        <f t="array" ref="DG215">SUMPRODUCT(TRANSPOSE(DG$4:DG$20),$G215:$W215)</f>
        <v>0</v>
      </c>
      <c r="DH215" s="93" cm="1">
        <f t="array" ref="DH215">SUMPRODUCT(TRANSPOSE(DH$4:DH$20),$G215:$W215)</f>
        <v>0</v>
      </c>
      <c r="DI215" s="93" cm="1">
        <f t="array" ref="DI215">SUMPRODUCT(TRANSPOSE(DI$4:DI$20),$G215:$W215)</f>
        <v>0</v>
      </c>
      <c r="DJ215" s="93" cm="1">
        <f t="array" ref="DJ215">SUMPRODUCT(TRANSPOSE(DJ$4:DJ$20),$G215:$W215)</f>
        <v>0</v>
      </c>
      <c r="DK215" s="93" cm="1">
        <f t="array" ref="DK215">SUMPRODUCT(TRANSPOSE(DK$4:DK$20),$G215:$W215)</f>
        <v>0</v>
      </c>
      <c r="DL215" s="93" cm="1">
        <f t="array" ref="DL215">SUMPRODUCT(TRANSPOSE(DL$4:DL$20),$G215:$W215)</f>
        <v>0</v>
      </c>
      <c r="DM215" s="93" cm="1">
        <f t="array" ref="DM215">SUMPRODUCT(TRANSPOSE(DM$4:DM$20),$G215:$W215)</f>
        <v>0</v>
      </c>
      <c r="DN215" s="93" cm="1">
        <f t="array" ref="DN215">SUMPRODUCT(TRANSPOSE(DN$4:DN$20),$G215:$W215)</f>
        <v>0</v>
      </c>
      <c r="DO215" s="93" cm="1">
        <f t="array" ref="DO215">SUMPRODUCT(TRANSPOSE(DO$4:DO$20),$G215:$W215)</f>
        <v>0</v>
      </c>
    </row>
    <row r="216" spans="1:119" ht="24" x14ac:dyDescent="0.2">
      <c r="A216" s="45">
        <f t="shared" si="29"/>
        <v>195</v>
      </c>
      <c r="B216" s="87" t="s">
        <v>1107</v>
      </c>
      <c r="C216" s="45" t="s">
        <v>1108</v>
      </c>
      <c r="D216" s="63" t="s">
        <v>521</v>
      </c>
      <c r="E216" s="45" t="s">
        <v>162</v>
      </c>
      <c r="F216" s="48">
        <v>2</v>
      </c>
      <c r="G216" s="100">
        <v>24</v>
      </c>
      <c r="H216" s="100">
        <v>0</v>
      </c>
      <c r="I216" s="100">
        <v>11</v>
      </c>
      <c r="J216" s="100">
        <v>0</v>
      </c>
      <c r="K216" s="100">
        <v>11</v>
      </c>
      <c r="L216" s="100">
        <v>0</v>
      </c>
      <c r="M216" s="100">
        <v>0</v>
      </c>
      <c r="N216" s="100">
        <v>0</v>
      </c>
      <c r="O216" s="100">
        <v>0</v>
      </c>
      <c r="P216" s="100">
        <v>0</v>
      </c>
      <c r="Q216" s="100">
        <v>0</v>
      </c>
      <c r="R216" s="100">
        <v>0</v>
      </c>
      <c r="S216" s="100">
        <v>0</v>
      </c>
      <c r="T216" s="100">
        <v>0</v>
      </c>
      <c r="U216" s="100">
        <v>0</v>
      </c>
      <c r="V216" s="100">
        <v>0</v>
      </c>
      <c r="W216" s="100">
        <v>0</v>
      </c>
      <c r="X216" s="56" t="s">
        <v>24</v>
      </c>
      <c r="Y216" s="53">
        <v>8.59</v>
      </c>
      <c r="Z216" s="45">
        <v>26124</v>
      </c>
      <c r="AA216" s="45">
        <v>0</v>
      </c>
      <c r="AB216" s="45">
        <v>0</v>
      </c>
      <c r="AC216" s="45">
        <v>0</v>
      </c>
      <c r="AD216" s="45">
        <v>0</v>
      </c>
      <c r="AE216" s="45">
        <v>0</v>
      </c>
      <c r="AF216" s="45">
        <v>0</v>
      </c>
      <c r="AG216" s="45">
        <v>0</v>
      </c>
      <c r="AH216" s="45">
        <v>0</v>
      </c>
      <c r="AI216" s="45">
        <v>0</v>
      </c>
      <c r="AJ216" s="45">
        <v>0</v>
      </c>
      <c r="AK216" s="45">
        <v>0</v>
      </c>
      <c r="AL216" s="45">
        <v>0</v>
      </c>
      <c r="AM216" s="45">
        <v>0</v>
      </c>
      <c r="AN216" s="45">
        <v>0</v>
      </c>
      <c r="AO216" s="45"/>
      <c r="AP216" s="45"/>
      <c r="AQ216" s="45"/>
      <c r="AR216" s="45"/>
      <c r="AS216" s="45"/>
      <c r="AT216" s="45"/>
      <c r="AU216" s="45"/>
      <c r="AV216" s="45"/>
      <c r="AW216" s="45"/>
      <c r="AX216" s="45"/>
      <c r="AY216" s="45"/>
      <c r="AZ216" s="45"/>
      <c r="BA216" s="45"/>
      <c r="BB216" s="45"/>
      <c r="BC216" s="45"/>
      <c r="BD216" s="93"/>
      <c r="BE216" s="93"/>
      <c r="BF216" s="93"/>
      <c r="BG216" s="93"/>
      <c r="BH216" s="93"/>
      <c r="BI216" s="93"/>
      <c r="BJ216" s="93"/>
      <c r="BK216" s="93">
        <f>SUM($Z216:AD216)-SUM($CM216:CQ216)</f>
        <v>25756</v>
      </c>
      <c r="BL216" s="93">
        <f>SUM($Z216:AE216)-SUM($CM216:CR216)</f>
        <v>25388</v>
      </c>
      <c r="BM216" s="93">
        <f>SUM($Z216:AF216)-SUM($CM216:CS216)</f>
        <v>25020</v>
      </c>
      <c r="BN216" s="93">
        <f>SUM($Z216:AG216)-SUM($CM216:CT216)</f>
        <v>24652</v>
      </c>
      <c r="BO216" s="93">
        <f>SUM($Z216:AH216)-SUM($CM216:CU216)</f>
        <v>24284</v>
      </c>
      <c r="BP216" s="93">
        <f>SUM($Z216:AI216)-SUM($CM216:CV216)</f>
        <v>23916</v>
      </c>
      <c r="BQ216" s="93">
        <f>SUM($Z216:AJ216)-SUM($CM216:CW216)</f>
        <v>23548</v>
      </c>
      <c r="BR216" s="93">
        <f>SUM($Z216:AK216)-SUM($CM216:CX216)</f>
        <v>23180</v>
      </c>
      <c r="BS216" s="93">
        <f>SUM($Z216:AL216)-SUM($CM216:CY216)</f>
        <v>22812</v>
      </c>
      <c r="BT216" s="93">
        <f>SUM($Z216:AM216)-SUM($CM216:CZ216)</f>
        <v>22444</v>
      </c>
      <c r="BU216" s="93">
        <f>SUM($Z216:AN216)-SUM($CM216:DA216)</f>
        <v>22076</v>
      </c>
      <c r="BV216" s="93">
        <f>SUM($Z216:AO216)-SUM($CM216:DB216)</f>
        <v>21708</v>
      </c>
      <c r="BW216" s="93">
        <f>SUM($Z216:AP216)-SUM($CM216:DC216)</f>
        <v>21432</v>
      </c>
      <c r="BX216" s="93">
        <f>SUM($Z216:AQ216)-SUM($CM216:DD216)</f>
        <v>21432</v>
      </c>
      <c r="BY216" s="93">
        <f>SUM($Z216:AR216)-SUM($CM216:DE216)</f>
        <v>21432</v>
      </c>
      <c r="BZ216" s="93">
        <f>SUM($Z216:AS216)-SUM($CM216:DF216)</f>
        <v>21432</v>
      </c>
      <c r="CA216" s="93">
        <f>SUM($Z216:AT216)-SUM($CM216:DG216)</f>
        <v>21432</v>
      </c>
      <c r="CB216" s="93">
        <f>SUM($Z216:AU216)-SUM($CM216:DH216)</f>
        <v>21432</v>
      </c>
      <c r="CC216" s="93">
        <f>SUM($Z216:AV216)-SUM($CM216:DI216)</f>
        <v>21432</v>
      </c>
      <c r="CD216" s="93">
        <f>SUM($Z216:AW216)-SUM($CM216:DJ216)</f>
        <v>21432</v>
      </c>
      <c r="CE216" s="93">
        <f>SUM($Z216:AX216)-SUM($CM216:DK216)</f>
        <v>21432</v>
      </c>
      <c r="CF216" s="93">
        <f>SUM($Z216:AY216)-SUM($CM216:DL216)</f>
        <v>21432</v>
      </c>
      <c r="CG216" s="93">
        <f>SUM($Z216:AZ216)-SUM($CM216:DM216)</f>
        <v>21432</v>
      </c>
      <c r="CH216" s="93">
        <f>SUM($Z216:BA216)-SUM($CM216:DN216)</f>
        <v>21432</v>
      </c>
      <c r="CI216" s="93">
        <f>SUM($Z216:BB216)-SUM($CM216:DO216)</f>
        <v>21432</v>
      </c>
      <c r="CJ216" s="93"/>
      <c r="CK216" s="93"/>
      <c r="CL216" s="93"/>
      <c r="CM216" s="93"/>
      <c r="CN216" s="93" cm="1">
        <f t="array" ref="CN216">SUMPRODUCT(TRANSPOSE(CN$4:CN$20),$G216:$W216)</f>
        <v>0</v>
      </c>
      <c r="CO216" s="93" cm="1">
        <f t="array" ref="CO216">SUMPRODUCT(TRANSPOSE(CO$4:CO$20),$G216:$W216)</f>
        <v>0</v>
      </c>
      <c r="CP216" s="93" cm="1">
        <f t="array" ref="CP216">SUMPRODUCT(TRANSPOSE(CP$4:CP$20),$G216:$W216)</f>
        <v>0</v>
      </c>
      <c r="CQ216" s="93" cm="1">
        <f t="array" ref="CQ216">SUMPRODUCT(TRANSPOSE(CQ$4:CQ$20),$G216:$W216)</f>
        <v>368</v>
      </c>
      <c r="CR216" s="93" cm="1">
        <f t="array" ref="CR216">SUMPRODUCT(TRANSPOSE(CR$4:CR$20),$G216:$W216)</f>
        <v>368</v>
      </c>
      <c r="CS216" s="93" cm="1">
        <f t="array" ref="CS216">SUMPRODUCT(TRANSPOSE(CS$4:CS$20),$G216:$W216)</f>
        <v>368</v>
      </c>
      <c r="CT216" s="93" cm="1">
        <f t="array" ref="CT216">SUMPRODUCT(TRANSPOSE(CT$4:CT$20),$G216:$W216)</f>
        <v>368</v>
      </c>
      <c r="CU216" s="93" cm="1">
        <f t="array" ref="CU216">SUMPRODUCT(TRANSPOSE(CU$4:CU$20),$G216:$W216)</f>
        <v>368</v>
      </c>
      <c r="CV216" s="93" cm="1">
        <f t="array" ref="CV216">SUMPRODUCT(TRANSPOSE(CV$4:CV$20),$G216:$W216)</f>
        <v>368</v>
      </c>
      <c r="CW216" s="93" cm="1">
        <f t="array" ref="CW216">SUMPRODUCT(TRANSPOSE(CW$4:CW$20),$G216:$W216)</f>
        <v>368</v>
      </c>
      <c r="CX216" s="93" cm="1">
        <f t="array" ref="CX216">SUMPRODUCT(TRANSPOSE(CX$4:CX$20),$G216:$W216)</f>
        <v>368</v>
      </c>
      <c r="CY216" s="93" cm="1">
        <f t="array" ref="CY216">SUMPRODUCT(TRANSPOSE(CY$4:CY$20),$G216:$W216)</f>
        <v>368</v>
      </c>
      <c r="CZ216" s="93" cm="1">
        <f t="array" ref="CZ216">SUMPRODUCT(TRANSPOSE(CZ$4:CZ$20),$G216:$W216)</f>
        <v>368</v>
      </c>
      <c r="DA216" s="93" cm="1">
        <f t="array" ref="DA216">SUMPRODUCT(TRANSPOSE(DA$4:DA$20),$G216:$W216)</f>
        <v>368</v>
      </c>
      <c r="DB216" s="93" cm="1">
        <f t="array" ref="DB216">SUMPRODUCT(TRANSPOSE(DB$4:DB$20),$G216:$W216)</f>
        <v>368</v>
      </c>
      <c r="DC216" s="93" cm="1">
        <f t="array" ref="DC216">SUMPRODUCT(TRANSPOSE(DC$4:DC$20),$G216:$W216)</f>
        <v>276</v>
      </c>
      <c r="DD216" s="93" cm="1">
        <f t="array" ref="DD216">SUMPRODUCT(TRANSPOSE(DD$4:DD$20),$G216:$W216)</f>
        <v>0</v>
      </c>
      <c r="DE216" s="93" cm="1">
        <f t="array" ref="DE216">SUMPRODUCT(TRANSPOSE(DE$4:DE$20),$G216:$W216)</f>
        <v>0</v>
      </c>
      <c r="DF216" s="93" cm="1">
        <f t="array" ref="DF216">SUMPRODUCT(TRANSPOSE(DF$4:DF$20),$G216:$W216)</f>
        <v>0</v>
      </c>
      <c r="DG216" s="93" cm="1">
        <f t="array" ref="DG216">SUMPRODUCT(TRANSPOSE(DG$4:DG$20),$G216:$W216)</f>
        <v>0</v>
      </c>
      <c r="DH216" s="93" cm="1">
        <f t="array" ref="DH216">SUMPRODUCT(TRANSPOSE(DH$4:DH$20),$G216:$W216)</f>
        <v>0</v>
      </c>
      <c r="DI216" s="93" cm="1">
        <f t="array" ref="DI216">SUMPRODUCT(TRANSPOSE(DI$4:DI$20),$G216:$W216)</f>
        <v>0</v>
      </c>
      <c r="DJ216" s="93" cm="1">
        <f t="array" ref="DJ216">SUMPRODUCT(TRANSPOSE(DJ$4:DJ$20),$G216:$W216)</f>
        <v>0</v>
      </c>
      <c r="DK216" s="93" cm="1">
        <f t="array" ref="DK216">SUMPRODUCT(TRANSPOSE(DK$4:DK$20),$G216:$W216)</f>
        <v>0</v>
      </c>
      <c r="DL216" s="93" cm="1">
        <f t="array" ref="DL216">SUMPRODUCT(TRANSPOSE(DL$4:DL$20),$G216:$W216)</f>
        <v>0</v>
      </c>
      <c r="DM216" s="93" cm="1">
        <f t="array" ref="DM216">SUMPRODUCT(TRANSPOSE(DM$4:DM$20),$G216:$W216)</f>
        <v>0</v>
      </c>
      <c r="DN216" s="93" cm="1">
        <f t="array" ref="DN216">SUMPRODUCT(TRANSPOSE(DN$4:DN$20),$G216:$W216)</f>
        <v>0</v>
      </c>
      <c r="DO216" s="93" cm="1">
        <f t="array" ref="DO216">SUMPRODUCT(TRANSPOSE(DO$4:DO$20),$G216:$W216)</f>
        <v>0</v>
      </c>
    </row>
    <row r="217" spans="1:119" x14ac:dyDescent="0.2">
      <c r="A217" s="45">
        <f t="shared" si="29"/>
        <v>196</v>
      </c>
      <c r="B217" s="64" t="s">
        <v>523</v>
      </c>
      <c r="C217" s="45">
        <v>731587267</v>
      </c>
      <c r="D217" s="45" t="s">
        <v>524</v>
      </c>
      <c r="E217" s="45" t="s">
        <v>191</v>
      </c>
      <c r="F217" s="48">
        <v>2</v>
      </c>
      <c r="G217" s="100">
        <v>0</v>
      </c>
      <c r="H217" s="100">
        <v>0</v>
      </c>
      <c r="I217" s="100">
        <v>0</v>
      </c>
      <c r="J217" s="100">
        <v>0</v>
      </c>
      <c r="K217" s="100">
        <v>0</v>
      </c>
      <c r="L217" s="100">
        <v>0</v>
      </c>
      <c r="M217" s="100">
        <v>0</v>
      </c>
      <c r="N217" s="100">
        <v>0</v>
      </c>
      <c r="O217" s="100">
        <v>2.5000000000000001E-2</v>
      </c>
      <c r="P217" s="100">
        <v>0</v>
      </c>
      <c r="Q217" s="100">
        <v>0</v>
      </c>
      <c r="R217" s="100">
        <v>0</v>
      </c>
      <c r="S217" s="100">
        <v>2.5000000000000001E-2</v>
      </c>
      <c r="T217" s="100">
        <v>0</v>
      </c>
      <c r="U217" s="100">
        <v>0</v>
      </c>
      <c r="V217" s="100">
        <v>0</v>
      </c>
      <c r="W217" s="100">
        <v>0.05</v>
      </c>
      <c r="X217" s="45" t="s">
        <v>525</v>
      </c>
      <c r="Y217" s="49">
        <v>16.920000000000002</v>
      </c>
      <c r="Z217" s="45">
        <v>1</v>
      </c>
      <c r="AA217" s="45">
        <v>0</v>
      </c>
      <c r="AB217" s="45">
        <v>0</v>
      </c>
      <c r="AC217" s="45">
        <v>0</v>
      </c>
      <c r="AD217" s="45">
        <v>0</v>
      </c>
      <c r="AE217" s="45">
        <v>0</v>
      </c>
      <c r="AF217" s="45">
        <v>0</v>
      </c>
      <c r="AG217" s="45">
        <v>0</v>
      </c>
      <c r="AH217" s="45">
        <v>0</v>
      </c>
      <c r="AI217" s="45">
        <v>0</v>
      </c>
      <c r="AJ217" s="45">
        <v>0</v>
      </c>
      <c r="AK217" s="45">
        <v>0</v>
      </c>
      <c r="AL217" s="45">
        <v>0</v>
      </c>
      <c r="AM217" s="45">
        <v>0</v>
      </c>
      <c r="AN217" s="45">
        <v>0</v>
      </c>
      <c r="AO217" s="45"/>
      <c r="AP217" s="45"/>
      <c r="AQ217" s="45"/>
      <c r="AR217" s="45"/>
      <c r="AS217" s="45"/>
      <c r="AT217" s="45"/>
      <c r="AU217" s="45"/>
      <c r="AV217" s="45"/>
      <c r="AW217" s="45"/>
      <c r="AX217" s="45"/>
      <c r="AY217" s="45"/>
      <c r="AZ217" s="45"/>
      <c r="BA217" s="45"/>
      <c r="BB217" s="45"/>
      <c r="BC217" s="45"/>
      <c r="BD217" s="93"/>
      <c r="BE217" s="93"/>
      <c r="BF217" s="93"/>
      <c r="BG217" s="93"/>
      <c r="BH217" s="93"/>
      <c r="BI217" s="93"/>
      <c r="BJ217" s="93"/>
      <c r="BK217" s="93">
        <f>SUM($Z217:AD217)-SUM($CM217:CQ217)</f>
        <v>-1.75</v>
      </c>
      <c r="BL217" s="93">
        <f>SUM($Z217:AE217)-SUM($CM217:CR217)</f>
        <v>-4.3</v>
      </c>
      <c r="BM217" s="93">
        <f>SUM($Z217:AF217)-SUM($CM217:CS217)</f>
        <v>-6.7249999999999996</v>
      </c>
      <c r="BN217" s="93">
        <f>SUM($Z217:AG217)-SUM($CM217:CT217)</f>
        <v>-9.0249999999999986</v>
      </c>
      <c r="BO217" s="93">
        <f>SUM($Z217:AH217)-SUM($CM217:CU217)</f>
        <v>-11.324999999999999</v>
      </c>
      <c r="BP217" s="93">
        <f>SUM($Z217:AI217)-SUM($CM217:CV217)</f>
        <v>-13.625</v>
      </c>
      <c r="BQ217" s="93">
        <f>SUM($Z217:AJ217)-SUM($CM217:CW217)</f>
        <v>-15.925000000000001</v>
      </c>
      <c r="BR217" s="93">
        <f>SUM($Z217:AK217)-SUM($CM217:CX217)</f>
        <v>-18.225000000000001</v>
      </c>
      <c r="BS217" s="93">
        <f>SUM($Z217:AL217)-SUM($CM217:CY217)</f>
        <v>-19.725000000000001</v>
      </c>
      <c r="BT217" s="93">
        <f>SUM($Z217:AM217)-SUM($CM217:CZ217)</f>
        <v>-21.225000000000001</v>
      </c>
      <c r="BU217" s="93">
        <f>SUM($Z217:AN217)-SUM($CM217:DA217)</f>
        <v>-22.725000000000001</v>
      </c>
      <c r="BV217" s="93">
        <f>SUM($Z217:AO217)-SUM($CM217:DB217)</f>
        <v>-23.075000000000003</v>
      </c>
      <c r="BW217" s="93">
        <f>SUM($Z217:AP217)-SUM($CM217:DC217)</f>
        <v>-23.075000000000003</v>
      </c>
      <c r="BX217" s="93">
        <f>SUM($Z217:AQ217)-SUM($CM217:DD217)</f>
        <v>-23.075000000000003</v>
      </c>
      <c r="BY217" s="93">
        <f>SUM($Z217:AR217)-SUM($CM217:DE217)</f>
        <v>-23.075000000000003</v>
      </c>
      <c r="BZ217" s="93">
        <f>SUM($Z217:AS217)-SUM($CM217:DF217)</f>
        <v>-23.075000000000003</v>
      </c>
      <c r="CA217" s="93">
        <f>SUM($Z217:AT217)-SUM($CM217:DG217)</f>
        <v>-23.075000000000003</v>
      </c>
      <c r="CB217" s="93">
        <f>SUM($Z217:AU217)-SUM($CM217:DH217)</f>
        <v>-23.075000000000003</v>
      </c>
      <c r="CC217" s="93">
        <f>SUM($Z217:AV217)-SUM($CM217:DI217)</f>
        <v>-23.075000000000003</v>
      </c>
      <c r="CD217" s="93">
        <f>SUM($Z217:AW217)-SUM($CM217:DJ217)</f>
        <v>-23.075000000000003</v>
      </c>
      <c r="CE217" s="93">
        <f>SUM($Z217:AX217)-SUM($CM217:DK217)</f>
        <v>-23.075000000000003</v>
      </c>
      <c r="CF217" s="93">
        <f>SUM($Z217:AY217)-SUM($CM217:DL217)</f>
        <v>-23.075000000000003</v>
      </c>
      <c r="CG217" s="93">
        <f>SUM($Z217:AZ217)-SUM($CM217:DM217)</f>
        <v>-23.075000000000003</v>
      </c>
      <c r="CH217" s="93">
        <f>SUM($Z217:BA217)-SUM($CM217:DN217)</f>
        <v>-23.075000000000003</v>
      </c>
      <c r="CI217" s="93">
        <f>SUM($Z217:BB217)-SUM($CM217:DO217)</f>
        <v>-23.075000000000003</v>
      </c>
      <c r="CJ217" s="93"/>
      <c r="CK217" s="93"/>
      <c r="CL217" s="93"/>
      <c r="CM217" s="93"/>
      <c r="CN217" s="93" cm="1">
        <f t="array" ref="CN217">SUMPRODUCT(TRANSPOSE(CN$4:CN$20),$G217:$W217)</f>
        <v>0</v>
      </c>
      <c r="CO217" s="93" cm="1">
        <f t="array" ref="CO217">SUMPRODUCT(TRANSPOSE(CO$4:CO$20),$G217:$W217)</f>
        <v>0</v>
      </c>
      <c r="CP217" s="93" cm="1">
        <f t="array" ref="CP217">SUMPRODUCT(TRANSPOSE(CP$4:CP$20),$G217:$W217)</f>
        <v>0</v>
      </c>
      <c r="CQ217" s="93" cm="1">
        <f t="array" ref="CQ217">SUMPRODUCT(TRANSPOSE(CQ$4:CQ$20),$G217:$W217)</f>
        <v>2.75</v>
      </c>
      <c r="CR217" s="93" cm="1">
        <f t="array" ref="CR217">SUMPRODUCT(TRANSPOSE(CR$4:CR$20),$G217:$W217)</f>
        <v>2.5499999999999998</v>
      </c>
      <c r="CS217" s="93" cm="1">
        <f t="array" ref="CS217">SUMPRODUCT(TRANSPOSE(CS$4:CS$20),$G217:$W217)</f>
        <v>2.4249999999999998</v>
      </c>
      <c r="CT217" s="93" cm="1">
        <f t="array" ref="CT217">SUMPRODUCT(TRANSPOSE(CT$4:CT$20),$G217:$W217)</f>
        <v>2.2999999999999998</v>
      </c>
      <c r="CU217" s="93" cm="1">
        <f t="array" ref="CU217">SUMPRODUCT(TRANSPOSE(CU$4:CU$20),$G217:$W217)</f>
        <v>2.2999999999999998</v>
      </c>
      <c r="CV217" s="93" cm="1">
        <f t="array" ref="CV217">SUMPRODUCT(TRANSPOSE(CV$4:CV$20),$G217:$W217)</f>
        <v>2.2999999999999998</v>
      </c>
      <c r="CW217" s="93" cm="1">
        <f t="array" ref="CW217">SUMPRODUCT(TRANSPOSE(CW$4:CW$20),$G217:$W217)</f>
        <v>2.2999999999999998</v>
      </c>
      <c r="CX217" s="93" cm="1">
        <f t="array" ref="CX217">SUMPRODUCT(TRANSPOSE(CX$4:CX$20),$G217:$W217)</f>
        <v>2.2999999999999998</v>
      </c>
      <c r="CY217" s="93" cm="1">
        <f t="array" ref="CY217">SUMPRODUCT(TRANSPOSE(CY$4:CY$20),$G217:$W217)</f>
        <v>1.5</v>
      </c>
      <c r="CZ217" s="93" cm="1">
        <f t="array" ref="CZ217">SUMPRODUCT(TRANSPOSE(CZ$4:CZ$20),$G217:$W217)</f>
        <v>1.5</v>
      </c>
      <c r="DA217" s="93" cm="1">
        <f t="array" ref="DA217">SUMPRODUCT(TRANSPOSE(DA$4:DA$20),$G217:$W217)</f>
        <v>1.5</v>
      </c>
      <c r="DB217" s="93" cm="1">
        <f t="array" ref="DB217">SUMPRODUCT(TRANSPOSE(DB$4:DB$20),$G217:$W217)</f>
        <v>0.35000000000000003</v>
      </c>
      <c r="DC217" s="93" cm="1">
        <f t="array" ref="DC217">SUMPRODUCT(TRANSPOSE(DC$4:DC$20),$G217:$W217)</f>
        <v>0</v>
      </c>
      <c r="DD217" s="93" cm="1">
        <f t="array" ref="DD217">SUMPRODUCT(TRANSPOSE(DD$4:DD$20),$G217:$W217)</f>
        <v>0</v>
      </c>
      <c r="DE217" s="93" cm="1">
        <f t="array" ref="DE217">SUMPRODUCT(TRANSPOSE(DE$4:DE$20),$G217:$W217)</f>
        <v>0</v>
      </c>
      <c r="DF217" s="93" cm="1">
        <f t="array" ref="DF217">SUMPRODUCT(TRANSPOSE(DF$4:DF$20),$G217:$W217)</f>
        <v>0</v>
      </c>
      <c r="DG217" s="93" cm="1">
        <f t="array" ref="DG217">SUMPRODUCT(TRANSPOSE(DG$4:DG$20),$G217:$W217)</f>
        <v>0</v>
      </c>
      <c r="DH217" s="93" cm="1">
        <f t="array" ref="DH217">SUMPRODUCT(TRANSPOSE(DH$4:DH$20),$G217:$W217)</f>
        <v>0</v>
      </c>
      <c r="DI217" s="93" cm="1">
        <f t="array" ref="DI217">SUMPRODUCT(TRANSPOSE(DI$4:DI$20),$G217:$W217)</f>
        <v>0</v>
      </c>
      <c r="DJ217" s="93" cm="1">
        <f t="array" ref="DJ217">SUMPRODUCT(TRANSPOSE(DJ$4:DJ$20),$G217:$W217)</f>
        <v>0</v>
      </c>
      <c r="DK217" s="93" cm="1">
        <f t="array" ref="DK217">SUMPRODUCT(TRANSPOSE(DK$4:DK$20),$G217:$W217)</f>
        <v>0</v>
      </c>
      <c r="DL217" s="93" cm="1">
        <f t="array" ref="DL217">SUMPRODUCT(TRANSPOSE(DL$4:DL$20),$G217:$W217)</f>
        <v>0</v>
      </c>
      <c r="DM217" s="93" cm="1">
        <f t="array" ref="DM217">SUMPRODUCT(TRANSPOSE(DM$4:DM$20),$G217:$W217)</f>
        <v>0</v>
      </c>
      <c r="DN217" s="93" cm="1">
        <f t="array" ref="DN217">SUMPRODUCT(TRANSPOSE(DN$4:DN$20),$G217:$W217)</f>
        <v>0</v>
      </c>
      <c r="DO217" s="93" cm="1">
        <f t="array" ref="DO217">SUMPRODUCT(TRANSPOSE(DO$4:DO$20),$G217:$W217)</f>
        <v>0</v>
      </c>
    </row>
    <row r="218" spans="1:119" x14ac:dyDescent="0.2">
      <c r="A218" s="45">
        <f t="shared" si="29"/>
        <v>197</v>
      </c>
      <c r="B218" s="46" t="s">
        <v>526</v>
      </c>
      <c r="C218" s="45">
        <v>400052375</v>
      </c>
      <c r="D218" s="45" t="s">
        <v>527</v>
      </c>
      <c r="E218" s="45" t="s">
        <v>162</v>
      </c>
      <c r="F218" s="48">
        <v>2</v>
      </c>
      <c r="G218" s="100">
        <v>0</v>
      </c>
      <c r="H218" s="100">
        <v>0</v>
      </c>
      <c r="I218" s="100">
        <v>0</v>
      </c>
      <c r="J218" s="100">
        <v>0</v>
      </c>
      <c r="K218" s="100">
        <v>0</v>
      </c>
      <c r="L218" s="100">
        <v>0</v>
      </c>
      <c r="M218" s="100">
        <v>0</v>
      </c>
      <c r="N218" s="100">
        <v>0</v>
      </c>
      <c r="O218" s="100">
        <v>0</v>
      </c>
      <c r="P218" s="100">
        <v>0</v>
      </c>
      <c r="Q218" s="100">
        <v>0</v>
      </c>
      <c r="R218" s="100">
        <v>2</v>
      </c>
      <c r="S218" s="100">
        <v>0</v>
      </c>
      <c r="T218" s="100">
        <v>0</v>
      </c>
      <c r="U218" s="100">
        <v>0</v>
      </c>
      <c r="V218" s="100">
        <v>2</v>
      </c>
      <c r="W218" s="100">
        <v>0</v>
      </c>
      <c r="X218" s="45" t="s">
        <v>21</v>
      </c>
      <c r="Y218" s="49">
        <v>0.52529999999999999</v>
      </c>
      <c r="Z218" s="45">
        <v>2500</v>
      </c>
      <c r="AA218" s="45">
        <v>0</v>
      </c>
      <c r="AB218" s="45">
        <v>0</v>
      </c>
      <c r="AC218" s="45">
        <v>0</v>
      </c>
      <c r="AD218" s="45">
        <v>0</v>
      </c>
      <c r="AE218" s="45">
        <v>0</v>
      </c>
      <c r="AF218" s="45">
        <v>0</v>
      </c>
      <c r="AG218" s="45">
        <v>0</v>
      </c>
      <c r="AH218" s="45">
        <v>0</v>
      </c>
      <c r="AI218" s="45">
        <v>0</v>
      </c>
      <c r="AJ218" s="45">
        <v>0</v>
      </c>
      <c r="AK218" s="45">
        <v>0</v>
      </c>
      <c r="AL218" s="45">
        <v>0</v>
      </c>
      <c r="AM218" s="45">
        <v>0</v>
      </c>
      <c r="AN218" s="45">
        <v>0</v>
      </c>
      <c r="AO218" s="45"/>
      <c r="AP218" s="45"/>
      <c r="AQ218" s="45"/>
      <c r="AR218" s="45"/>
      <c r="AS218" s="45"/>
      <c r="AT218" s="45"/>
      <c r="AU218" s="45"/>
      <c r="AV218" s="45"/>
      <c r="AW218" s="45"/>
      <c r="AX218" s="45"/>
      <c r="AY218" s="45"/>
      <c r="AZ218" s="45"/>
      <c r="BA218" s="45"/>
      <c r="BB218" s="45"/>
      <c r="BC218" s="45"/>
      <c r="BD218" s="93"/>
      <c r="BE218" s="93"/>
      <c r="BF218" s="93"/>
      <c r="BG218" s="93"/>
      <c r="BH218" s="93"/>
      <c r="BI218" s="93"/>
      <c r="BJ218" s="93"/>
      <c r="BK218" s="93">
        <f>SUM($Z218:AD218)-SUM($CM218:CQ218)</f>
        <v>2360</v>
      </c>
      <c r="BL218" s="93">
        <f>SUM($Z218:AE218)-SUM($CM218:CR218)</f>
        <v>2220</v>
      </c>
      <c r="BM218" s="93">
        <f>SUM($Z218:AF218)-SUM($CM218:CS218)</f>
        <v>2080</v>
      </c>
      <c r="BN218" s="93">
        <f>SUM($Z218:AG218)-SUM($CM218:CT218)</f>
        <v>1940</v>
      </c>
      <c r="BO218" s="93">
        <f>SUM($Z218:AH218)-SUM($CM218:CU218)</f>
        <v>1800</v>
      </c>
      <c r="BP218" s="93">
        <f>SUM($Z218:AI218)-SUM($CM218:CV218)</f>
        <v>1660</v>
      </c>
      <c r="BQ218" s="93">
        <f>SUM($Z218:AJ218)-SUM($CM218:CW218)</f>
        <v>1520</v>
      </c>
      <c r="BR218" s="93">
        <f>SUM($Z218:AK218)-SUM($CM218:CX218)</f>
        <v>1380</v>
      </c>
      <c r="BS218" s="93">
        <f>SUM($Z218:AL218)-SUM($CM218:CY218)</f>
        <v>1240</v>
      </c>
      <c r="BT218" s="93">
        <f>SUM($Z218:AM218)-SUM($CM218:CZ218)</f>
        <v>1170</v>
      </c>
      <c r="BU218" s="93">
        <f>SUM($Z218:AN218)-SUM($CM218:DA218)</f>
        <v>1170</v>
      </c>
      <c r="BV218" s="93">
        <f>SUM($Z218:AO218)-SUM($CM218:DB218)</f>
        <v>1170</v>
      </c>
      <c r="BW218" s="93">
        <f>SUM($Z218:AP218)-SUM($CM218:DC218)</f>
        <v>1170</v>
      </c>
      <c r="BX218" s="93">
        <f>SUM($Z218:AQ218)-SUM($CM218:DD218)</f>
        <v>1170</v>
      </c>
      <c r="BY218" s="93">
        <f>SUM($Z218:AR218)-SUM($CM218:DE218)</f>
        <v>1170</v>
      </c>
      <c r="BZ218" s="93">
        <f>SUM($Z218:AS218)-SUM($CM218:DF218)</f>
        <v>1170</v>
      </c>
      <c r="CA218" s="93">
        <f>SUM($Z218:AT218)-SUM($CM218:DG218)</f>
        <v>1170</v>
      </c>
      <c r="CB218" s="93">
        <f>SUM($Z218:AU218)-SUM($CM218:DH218)</f>
        <v>1170</v>
      </c>
      <c r="CC218" s="93">
        <f>SUM($Z218:AV218)-SUM($CM218:DI218)</f>
        <v>1170</v>
      </c>
      <c r="CD218" s="93">
        <f>SUM($Z218:AW218)-SUM($CM218:DJ218)</f>
        <v>1170</v>
      </c>
      <c r="CE218" s="93">
        <f>SUM($Z218:AX218)-SUM($CM218:DK218)</f>
        <v>1170</v>
      </c>
      <c r="CF218" s="93">
        <f>SUM($Z218:AY218)-SUM($CM218:DL218)</f>
        <v>1170</v>
      </c>
      <c r="CG218" s="93">
        <f>SUM($Z218:AZ218)-SUM($CM218:DM218)</f>
        <v>1170</v>
      </c>
      <c r="CH218" s="93">
        <f>SUM($Z218:BA218)-SUM($CM218:DN218)</f>
        <v>1170</v>
      </c>
      <c r="CI218" s="93">
        <f>SUM($Z218:BB218)-SUM($CM218:DO218)</f>
        <v>1170</v>
      </c>
      <c r="CJ218" s="93"/>
      <c r="CK218" s="93"/>
      <c r="CL218" s="93"/>
      <c r="CM218" s="93"/>
      <c r="CN218" s="93" cm="1">
        <f t="array" ref="CN218">SUMPRODUCT(TRANSPOSE(CN$4:CN$20),$G218:$W218)</f>
        <v>0</v>
      </c>
      <c r="CO218" s="93" cm="1">
        <f t="array" ref="CO218">SUMPRODUCT(TRANSPOSE(CO$4:CO$20),$G218:$W218)</f>
        <v>0</v>
      </c>
      <c r="CP218" s="93" cm="1">
        <f t="array" ref="CP218">SUMPRODUCT(TRANSPOSE(CP$4:CP$20),$G218:$W218)</f>
        <v>0</v>
      </c>
      <c r="CQ218" s="93" cm="1">
        <f t="array" ref="CQ218">SUMPRODUCT(TRANSPOSE(CQ$4:CQ$20),$G218:$W218)</f>
        <v>140</v>
      </c>
      <c r="CR218" s="93" cm="1">
        <f t="array" ref="CR218">SUMPRODUCT(TRANSPOSE(CR$4:CR$20),$G218:$W218)</f>
        <v>140</v>
      </c>
      <c r="CS218" s="93" cm="1">
        <f t="array" ref="CS218">SUMPRODUCT(TRANSPOSE(CS$4:CS$20),$G218:$W218)</f>
        <v>140</v>
      </c>
      <c r="CT218" s="93" cm="1">
        <f t="array" ref="CT218">SUMPRODUCT(TRANSPOSE(CT$4:CT$20),$G218:$W218)</f>
        <v>140</v>
      </c>
      <c r="CU218" s="93" cm="1">
        <f t="array" ref="CU218">SUMPRODUCT(TRANSPOSE(CU$4:CU$20),$G218:$W218)</f>
        <v>140</v>
      </c>
      <c r="CV218" s="93" cm="1">
        <f t="array" ref="CV218">SUMPRODUCT(TRANSPOSE(CV$4:CV$20),$G218:$W218)</f>
        <v>140</v>
      </c>
      <c r="CW218" s="93" cm="1">
        <f t="array" ref="CW218">SUMPRODUCT(TRANSPOSE(CW$4:CW$20),$G218:$W218)</f>
        <v>140</v>
      </c>
      <c r="CX218" s="93" cm="1">
        <f t="array" ref="CX218">SUMPRODUCT(TRANSPOSE(CX$4:CX$20),$G218:$W218)</f>
        <v>140</v>
      </c>
      <c r="CY218" s="93" cm="1">
        <f t="array" ref="CY218">SUMPRODUCT(TRANSPOSE(CY$4:CY$20),$G218:$W218)</f>
        <v>140</v>
      </c>
      <c r="CZ218" s="93" cm="1">
        <f t="array" ref="CZ218">SUMPRODUCT(TRANSPOSE(CZ$4:CZ$20),$G218:$W218)</f>
        <v>70</v>
      </c>
      <c r="DA218" s="93" cm="1">
        <f t="array" ref="DA218">SUMPRODUCT(TRANSPOSE(DA$4:DA$20),$G218:$W218)</f>
        <v>0</v>
      </c>
      <c r="DB218" s="93" cm="1">
        <f t="array" ref="DB218">SUMPRODUCT(TRANSPOSE(DB$4:DB$20),$G218:$W218)</f>
        <v>0</v>
      </c>
      <c r="DC218" s="93" cm="1">
        <f t="array" ref="DC218">SUMPRODUCT(TRANSPOSE(DC$4:DC$20),$G218:$W218)</f>
        <v>0</v>
      </c>
      <c r="DD218" s="93" cm="1">
        <f t="array" ref="DD218">SUMPRODUCT(TRANSPOSE(DD$4:DD$20),$G218:$W218)</f>
        <v>0</v>
      </c>
      <c r="DE218" s="93" cm="1">
        <f t="array" ref="DE218">SUMPRODUCT(TRANSPOSE(DE$4:DE$20),$G218:$W218)</f>
        <v>0</v>
      </c>
      <c r="DF218" s="93" cm="1">
        <f t="array" ref="DF218">SUMPRODUCT(TRANSPOSE(DF$4:DF$20),$G218:$W218)</f>
        <v>0</v>
      </c>
      <c r="DG218" s="93" cm="1">
        <f t="array" ref="DG218">SUMPRODUCT(TRANSPOSE(DG$4:DG$20),$G218:$W218)</f>
        <v>0</v>
      </c>
      <c r="DH218" s="93" cm="1">
        <f t="array" ref="DH218">SUMPRODUCT(TRANSPOSE(DH$4:DH$20),$G218:$W218)</f>
        <v>0</v>
      </c>
      <c r="DI218" s="93" cm="1">
        <f t="array" ref="DI218">SUMPRODUCT(TRANSPOSE(DI$4:DI$20),$G218:$W218)</f>
        <v>0</v>
      </c>
      <c r="DJ218" s="93" cm="1">
        <f t="array" ref="DJ218">SUMPRODUCT(TRANSPOSE(DJ$4:DJ$20),$G218:$W218)</f>
        <v>0</v>
      </c>
      <c r="DK218" s="93" cm="1">
        <f t="array" ref="DK218">SUMPRODUCT(TRANSPOSE(DK$4:DK$20),$G218:$W218)</f>
        <v>0</v>
      </c>
      <c r="DL218" s="93" cm="1">
        <f t="array" ref="DL218">SUMPRODUCT(TRANSPOSE(DL$4:DL$20),$G218:$W218)</f>
        <v>0</v>
      </c>
      <c r="DM218" s="93" cm="1">
        <f t="array" ref="DM218">SUMPRODUCT(TRANSPOSE(DM$4:DM$20),$G218:$W218)</f>
        <v>0</v>
      </c>
      <c r="DN218" s="93" cm="1">
        <f t="array" ref="DN218">SUMPRODUCT(TRANSPOSE(DN$4:DN$20),$G218:$W218)</f>
        <v>0</v>
      </c>
      <c r="DO218" s="93" cm="1">
        <f t="array" ref="DO218">SUMPRODUCT(TRANSPOSE(DO$4:DO$20),$G218:$W218)</f>
        <v>0</v>
      </c>
    </row>
    <row r="219" spans="1:119" x14ac:dyDescent="0.2">
      <c r="A219" s="45">
        <f t="shared" si="29"/>
        <v>198</v>
      </c>
      <c r="B219" s="46" t="s">
        <v>528</v>
      </c>
      <c r="C219" s="45">
        <v>732002563</v>
      </c>
      <c r="D219" s="45" t="s">
        <v>529</v>
      </c>
      <c r="E219" s="45" t="s">
        <v>191</v>
      </c>
      <c r="F219" s="48">
        <v>2</v>
      </c>
      <c r="G219" s="100">
        <v>0</v>
      </c>
      <c r="H219" s="100">
        <v>0</v>
      </c>
      <c r="I219" s="100">
        <v>0</v>
      </c>
      <c r="J219" s="100">
        <v>0</v>
      </c>
      <c r="K219" s="100">
        <v>0</v>
      </c>
      <c r="L219" s="100">
        <v>0</v>
      </c>
      <c r="M219" s="100">
        <v>0</v>
      </c>
      <c r="N219" s="100">
        <v>0</v>
      </c>
      <c r="O219" s="100">
        <v>0</v>
      </c>
      <c r="P219" s="100">
        <v>0</v>
      </c>
      <c r="Q219" s="100">
        <v>0</v>
      </c>
      <c r="R219" s="100">
        <v>0</v>
      </c>
      <c r="S219" s="100">
        <v>0</v>
      </c>
      <c r="T219" s="100">
        <v>0</v>
      </c>
      <c r="U219" s="100">
        <v>0</v>
      </c>
      <c r="V219" s="100">
        <v>0</v>
      </c>
      <c r="W219" s="100">
        <v>0.05</v>
      </c>
      <c r="X219" s="45" t="s">
        <v>6</v>
      </c>
      <c r="Y219" s="49">
        <v>0</v>
      </c>
      <c r="Z219" s="45">
        <v>0</v>
      </c>
      <c r="AA219" s="45">
        <v>0</v>
      </c>
      <c r="AB219" s="45">
        <v>0</v>
      </c>
      <c r="AC219" s="45">
        <v>0</v>
      </c>
      <c r="AD219" s="45">
        <v>0</v>
      </c>
      <c r="AE219" s="45">
        <v>0</v>
      </c>
      <c r="AF219" s="45">
        <v>0</v>
      </c>
      <c r="AG219" s="45">
        <v>0</v>
      </c>
      <c r="AH219" s="45">
        <v>0</v>
      </c>
      <c r="AI219" s="45">
        <v>0</v>
      </c>
      <c r="AJ219" s="45">
        <v>0</v>
      </c>
      <c r="AK219" s="45">
        <v>0</v>
      </c>
      <c r="AL219" s="45">
        <v>0</v>
      </c>
      <c r="AM219" s="45">
        <v>0</v>
      </c>
      <c r="AN219" s="45">
        <v>0</v>
      </c>
      <c r="AO219" s="45"/>
      <c r="AP219" s="45"/>
      <c r="AQ219" s="45"/>
      <c r="AR219" s="45"/>
      <c r="AS219" s="45"/>
      <c r="AT219" s="45"/>
      <c r="AU219" s="45"/>
      <c r="AV219" s="45"/>
      <c r="AW219" s="45"/>
      <c r="AX219" s="45"/>
      <c r="AY219" s="45"/>
      <c r="AZ219" s="45"/>
      <c r="BA219" s="45"/>
      <c r="BB219" s="45"/>
      <c r="BC219" s="45"/>
      <c r="BD219" s="93"/>
      <c r="BE219" s="93"/>
      <c r="BF219" s="93"/>
      <c r="BG219" s="93"/>
      <c r="BH219" s="93"/>
      <c r="BI219" s="93"/>
      <c r="BJ219" s="93"/>
      <c r="BK219" s="93">
        <f>SUM($Z219:AD219)-SUM($CM219:CQ219)</f>
        <v>-0.8</v>
      </c>
      <c r="BL219" s="93">
        <f>SUM($Z219:AE219)-SUM($CM219:CR219)</f>
        <v>-1.6</v>
      </c>
      <c r="BM219" s="93">
        <f>SUM($Z219:AF219)-SUM($CM219:CS219)</f>
        <v>-2.4000000000000004</v>
      </c>
      <c r="BN219" s="93">
        <f>SUM($Z219:AG219)-SUM($CM219:CT219)</f>
        <v>-3.2</v>
      </c>
      <c r="BO219" s="93">
        <f>SUM($Z219:AH219)-SUM($CM219:CU219)</f>
        <v>-4</v>
      </c>
      <c r="BP219" s="93">
        <f>SUM($Z219:AI219)-SUM($CM219:CV219)</f>
        <v>-4.8</v>
      </c>
      <c r="BQ219" s="93">
        <f>SUM($Z219:AJ219)-SUM($CM219:CW219)</f>
        <v>-5.6</v>
      </c>
      <c r="BR219" s="93">
        <f>SUM($Z219:AK219)-SUM($CM219:CX219)</f>
        <v>-6.3999999999999995</v>
      </c>
      <c r="BS219" s="93">
        <f>SUM($Z219:AL219)-SUM($CM219:CY219)</f>
        <v>-6.3999999999999995</v>
      </c>
      <c r="BT219" s="93">
        <f>SUM($Z219:AM219)-SUM($CM219:CZ219)</f>
        <v>-6.3999999999999995</v>
      </c>
      <c r="BU219" s="93">
        <f>SUM($Z219:AN219)-SUM($CM219:DA219)</f>
        <v>-6.3999999999999995</v>
      </c>
      <c r="BV219" s="93">
        <f>SUM($Z219:AO219)-SUM($CM219:DB219)</f>
        <v>-6.3999999999999995</v>
      </c>
      <c r="BW219" s="93">
        <f>SUM($Z219:AP219)-SUM($CM219:DC219)</f>
        <v>-6.3999999999999995</v>
      </c>
      <c r="BX219" s="93">
        <f>SUM($Z219:AQ219)-SUM($CM219:DD219)</f>
        <v>-6.3999999999999995</v>
      </c>
      <c r="BY219" s="93">
        <f>SUM($Z219:AR219)-SUM($CM219:DE219)</f>
        <v>-6.3999999999999995</v>
      </c>
      <c r="BZ219" s="93">
        <f>SUM($Z219:AS219)-SUM($CM219:DF219)</f>
        <v>-6.3999999999999995</v>
      </c>
      <c r="CA219" s="93">
        <f>SUM($Z219:AT219)-SUM($CM219:DG219)</f>
        <v>-6.3999999999999995</v>
      </c>
      <c r="CB219" s="93">
        <f>SUM($Z219:AU219)-SUM($CM219:DH219)</f>
        <v>-6.3999999999999995</v>
      </c>
      <c r="CC219" s="93">
        <f>SUM($Z219:AV219)-SUM($CM219:DI219)</f>
        <v>-6.3999999999999995</v>
      </c>
      <c r="CD219" s="93">
        <f>SUM($Z219:AW219)-SUM($CM219:DJ219)</f>
        <v>-6.3999999999999995</v>
      </c>
      <c r="CE219" s="93">
        <f>SUM($Z219:AX219)-SUM($CM219:DK219)</f>
        <v>-6.3999999999999995</v>
      </c>
      <c r="CF219" s="93">
        <f>SUM($Z219:AY219)-SUM($CM219:DL219)</f>
        <v>-6.3999999999999995</v>
      </c>
      <c r="CG219" s="93">
        <f>SUM($Z219:AZ219)-SUM($CM219:DM219)</f>
        <v>-6.3999999999999995</v>
      </c>
      <c r="CH219" s="93">
        <f>SUM($Z219:BA219)-SUM($CM219:DN219)</f>
        <v>-6.3999999999999995</v>
      </c>
      <c r="CI219" s="93">
        <f>SUM($Z219:BB219)-SUM($CM219:DO219)</f>
        <v>-6.3999999999999995</v>
      </c>
      <c r="CJ219" s="93"/>
      <c r="CK219" s="93"/>
      <c r="CL219" s="93"/>
      <c r="CM219" s="93"/>
      <c r="CN219" s="93" cm="1">
        <f t="array" ref="CN219">SUMPRODUCT(TRANSPOSE(CN$4:CN$20),$G219:$W219)</f>
        <v>0</v>
      </c>
      <c r="CO219" s="93" cm="1">
        <f t="array" ref="CO219">SUMPRODUCT(TRANSPOSE(CO$4:CO$20),$G219:$W219)</f>
        <v>0</v>
      </c>
      <c r="CP219" s="93" cm="1">
        <f t="array" ref="CP219">SUMPRODUCT(TRANSPOSE(CP$4:CP$20),$G219:$W219)</f>
        <v>0</v>
      </c>
      <c r="CQ219" s="93" cm="1">
        <f t="array" ref="CQ219">SUMPRODUCT(TRANSPOSE(CQ$4:CQ$20),$G219:$W219)</f>
        <v>0.8</v>
      </c>
      <c r="CR219" s="93" cm="1">
        <f t="array" ref="CR219">SUMPRODUCT(TRANSPOSE(CR$4:CR$20),$G219:$W219)</f>
        <v>0.8</v>
      </c>
      <c r="CS219" s="93" cm="1">
        <f t="array" ref="CS219">SUMPRODUCT(TRANSPOSE(CS$4:CS$20),$G219:$W219)</f>
        <v>0.8</v>
      </c>
      <c r="CT219" s="93" cm="1">
        <f t="array" ref="CT219">SUMPRODUCT(TRANSPOSE(CT$4:CT$20),$G219:$W219)</f>
        <v>0.8</v>
      </c>
      <c r="CU219" s="93" cm="1">
        <f t="array" ref="CU219">SUMPRODUCT(TRANSPOSE(CU$4:CU$20),$G219:$W219)</f>
        <v>0.8</v>
      </c>
      <c r="CV219" s="93" cm="1">
        <f t="array" ref="CV219">SUMPRODUCT(TRANSPOSE(CV$4:CV$20),$G219:$W219)</f>
        <v>0.8</v>
      </c>
      <c r="CW219" s="93" cm="1">
        <f t="array" ref="CW219">SUMPRODUCT(TRANSPOSE(CW$4:CW$20),$G219:$W219)</f>
        <v>0.8</v>
      </c>
      <c r="CX219" s="93" cm="1">
        <f t="array" ref="CX219">SUMPRODUCT(TRANSPOSE(CX$4:CX$20),$G219:$W219)</f>
        <v>0.8</v>
      </c>
      <c r="CY219" s="93" cm="1">
        <f t="array" ref="CY219">SUMPRODUCT(TRANSPOSE(CY$4:CY$20),$G219:$W219)</f>
        <v>0</v>
      </c>
      <c r="CZ219" s="93" cm="1">
        <f t="array" ref="CZ219">SUMPRODUCT(TRANSPOSE(CZ$4:CZ$20),$G219:$W219)</f>
        <v>0</v>
      </c>
      <c r="DA219" s="93" cm="1">
        <f t="array" ref="DA219">SUMPRODUCT(TRANSPOSE(DA$4:DA$20),$G219:$W219)</f>
        <v>0</v>
      </c>
      <c r="DB219" s="93" cm="1">
        <f t="array" ref="DB219">SUMPRODUCT(TRANSPOSE(DB$4:DB$20),$G219:$W219)</f>
        <v>0</v>
      </c>
      <c r="DC219" s="93" cm="1">
        <f t="array" ref="DC219">SUMPRODUCT(TRANSPOSE(DC$4:DC$20),$G219:$W219)</f>
        <v>0</v>
      </c>
      <c r="DD219" s="93" cm="1">
        <f t="array" ref="DD219">SUMPRODUCT(TRANSPOSE(DD$4:DD$20),$G219:$W219)</f>
        <v>0</v>
      </c>
      <c r="DE219" s="93" cm="1">
        <f t="array" ref="DE219">SUMPRODUCT(TRANSPOSE(DE$4:DE$20),$G219:$W219)</f>
        <v>0</v>
      </c>
      <c r="DF219" s="93" cm="1">
        <f t="array" ref="DF219">SUMPRODUCT(TRANSPOSE(DF$4:DF$20),$G219:$W219)</f>
        <v>0</v>
      </c>
      <c r="DG219" s="93" cm="1">
        <f t="array" ref="DG219">SUMPRODUCT(TRANSPOSE(DG$4:DG$20),$G219:$W219)</f>
        <v>0</v>
      </c>
      <c r="DH219" s="93" cm="1">
        <f t="array" ref="DH219">SUMPRODUCT(TRANSPOSE(DH$4:DH$20),$G219:$W219)</f>
        <v>0</v>
      </c>
      <c r="DI219" s="93" cm="1">
        <f t="array" ref="DI219">SUMPRODUCT(TRANSPOSE(DI$4:DI$20),$G219:$W219)</f>
        <v>0</v>
      </c>
      <c r="DJ219" s="93" cm="1">
        <f t="array" ref="DJ219">SUMPRODUCT(TRANSPOSE(DJ$4:DJ$20),$G219:$W219)</f>
        <v>0</v>
      </c>
      <c r="DK219" s="93" cm="1">
        <f t="array" ref="DK219">SUMPRODUCT(TRANSPOSE(DK$4:DK$20),$G219:$W219)</f>
        <v>0</v>
      </c>
      <c r="DL219" s="93" cm="1">
        <f t="array" ref="DL219">SUMPRODUCT(TRANSPOSE(DL$4:DL$20),$G219:$W219)</f>
        <v>0</v>
      </c>
      <c r="DM219" s="93" cm="1">
        <f t="array" ref="DM219">SUMPRODUCT(TRANSPOSE(DM$4:DM$20),$G219:$W219)</f>
        <v>0</v>
      </c>
      <c r="DN219" s="93" cm="1">
        <f t="array" ref="DN219">SUMPRODUCT(TRANSPOSE(DN$4:DN$20),$G219:$W219)</f>
        <v>0</v>
      </c>
      <c r="DO219" s="93" cm="1">
        <f t="array" ref="DO219">SUMPRODUCT(TRANSPOSE(DO$4:DO$20),$G219:$W219)</f>
        <v>0</v>
      </c>
    </row>
    <row r="220" spans="1:119" x14ac:dyDescent="0.2">
      <c r="A220" s="45">
        <f t="shared" si="29"/>
        <v>199</v>
      </c>
      <c r="B220" s="46" t="s">
        <v>530</v>
      </c>
      <c r="C220" s="45">
        <v>732009568</v>
      </c>
      <c r="D220" s="45" t="s">
        <v>531</v>
      </c>
      <c r="E220" s="45" t="s">
        <v>191</v>
      </c>
      <c r="F220" s="48">
        <v>2</v>
      </c>
      <c r="G220" s="100">
        <v>0</v>
      </c>
      <c r="H220" s="100">
        <v>0</v>
      </c>
      <c r="I220" s="100">
        <v>0</v>
      </c>
      <c r="J220" s="100">
        <v>0</v>
      </c>
      <c r="K220" s="100">
        <v>0</v>
      </c>
      <c r="L220" s="100">
        <v>0</v>
      </c>
      <c r="M220" s="100">
        <v>0</v>
      </c>
      <c r="N220" s="100">
        <v>0</v>
      </c>
      <c r="O220" s="100">
        <v>0</v>
      </c>
      <c r="P220" s="100">
        <v>0</v>
      </c>
      <c r="Q220" s="100">
        <v>0</v>
      </c>
      <c r="R220" s="100">
        <v>0</v>
      </c>
      <c r="S220" s="100">
        <v>0</v>
      </c>
      <c r="T220" s="100">
        <v>0</v>
      </c>
      <c r="U220" s="100">
        <v>0</v>
      </c>
      <c r="V220" s="100">
        <v>0</v>
      </c>
      <c r="W220" s="100">
        <v>0.05</v>
      </c>
      <c r="X220" s="45" t="s">
        <v>194</v>
      </c>
      <c r="Y220" s="49">
        <v>0</v>
      </c>
      <c r="Z220" s="45">
        <v>1</v>
      </c>
      <c r="AA220" s="45">
        <v>0</v>
      </c>
      <c r="AB220" s="45">
        <v>0</v>
      </c>
      <c r="AC220" s="45">
        <v>0</v>
      </c>
      <c r="AD220" s="45">
        <v>0</v>
      </c>
      <c r="AE220" s="45">
        <v>0</v>
      </c>
      <c r="AF220" s="45">
        <v>0</v>
      </c>
      <c r="AG220" s="45">
        <v>0</v>
      </c>
      <c r="AH220" s="45">
        <v>0</v>
      </c>
      <c r="AI220" s="45">
        <v>0</v>
      </c>
      <c r="AJ220" s="45">
        <v>0</v>
      </c>
      <c r="AK220" s="45">
        <v>0</v>
      </c>
      <c r="AL220" s="45">
        <v>0</v>
      </c>
      <c r="AM220" s="45">
        <v>0</v>
      </c>
      <c r="AN220" s="45">
        <v>0</v>
      </c>
      <c r="AO220" s="45"/>
      <c r="AP220" s="45"/>
      <c r="AQ220" s="45"/>
      <c r="AR220" s="45"/>
      <c r="AS220" s="45"/>
      <c r="AT220" s="45"/>
      <c r="AU220" s="45"/>
      <c r="AV220" s="45"/>
      <c r="AW220" s="45"/>
      <c r="AX220" s="45"/>
      <c r="AY220" s="45"/>
      <c r="AZ220" s="45"/>
      <c r="BA220" s="45"/>
      <c r="BB220" s="45"/>
      <c r="BC220" s="45"/>
      <c r="BD220" s="93"/>
      <c r="BE220" s="93"/>
      <c r="BF220" s="93"/>
      <c r="BG220" s="93"/>
      <c r="BH220" s="93"/>
      <c r="BI220" s="93"/>
      <c r="BJ220" s="93"/>
      <c r="BK220" s="93">
        <f>SUM($Z220:AD220)-SUM($CM220:CQ220)</f>
        <v>0.19999999999999996</v>
      </c>
      <c r="BL220" s="93">
        <f>SUM($Z220:AE220)-SUM($CM220:CR220)</f>
        <v>-0.60000000000000009</v>
      </c>
      <c r="BM220" s="93">
        <f>SUM($Z220:AF220)-SUM($CM220:CS220)</f>
        <v>-1.4000000000000004</v>
      </c>
      <c r="BN220" s="93">
        <f>SUM($Z220:AG220)-SUM($CM220:CT220)</f>
        <v>-2.2000000000000002</v>
      </c>
      <c r="BO220" s="93">
        <f>SUM($Z220:AH220)-SUM($CM220:CU220)</f>
        <v>-3</v>
      </c>
      <c r="BP220" s="93">
        <f>SUM($Z220:AI220)-SUM($CM220:CV220)</f>
        <v>-3.8</v>
      </c>
      <c r="BQ220" s="93">
        <f>SUM($Z220:AJ220)-SUM($CM220:CW220)</f>
        <v>-4.5999999999999996</v>
      </c>
      <c r="BR220" s="93">
        <f>SUM($Z220:AK220)-SUM($CM220:CX220)</f>
        <v>-5.3999999999999995</v>
      </c>
      <c r="BS220" s="93">
        <f>SUM($Z220:AL220)-SUM($CM220:CY220)</f>
        <v>-5.3999999999999995</v>
      </c>
      <c r="BT220" s="93">
        <f>SUM($Z220:AM220)-SUM($CM220:CZ220)</f>
        <v>-5.3999999999999995</v>
      </c>
      <c r="BU220" s="93">
        <f>SUM($Z220:AN220)-SUM($CM220:DA220)</f>
        <v>-5.3999999999999995</v>
      </c>
      <c r="BV220" s="93">
        <f>SUM($Z220:AO220)-SUM($CM220:DB220)</f>
        <v>-5.3999999999999995</v>
      </c>
      <c r="BW220" s="93">
        <f>SUM($Z220:AP220)-SUM($CM220:DC220)</f>
        <v>-5.3999999999999995</v>
      </c>
      <c r="BX220" s="93">
        <f>SUM($Z220:AQ220)-SUM($CM220:DD220)</f>
        <v>-5.3999999999999995</v>
      </c>
      <c r="BY220" s="93">
        <f>SUM($Z220:AR220)-SUM($CM220:DE220)</f>
        <v>-5.3999999999999995</v>
      </c>
      <c r="BZ220" s="93">
        <f>SUM($Z220:AS220)-SUM($CM220:DF220)</f>
        <v>-5.3999999999999995</v>
      </c>
      <c r="CA220" s="93">
        <f>SUM($Z220:AT220)-SUM($CM220:DG220)</f>
        <v>-5.3999999999999995</v>
      </c>
      <c r="CB220" s="93">
        <f>SUM($Z220:AU220)-SUM($CM220:DH220)</f>
        <v>-5.3999999999999995</v>
      </c>
      <c r="CC220" s="93">
        <f>SUM($Z220:AV220)-SUM($CM220:DI220)</f>
        <v>-5.3999999999999995</v>
      </c>
      <c r="CD220" s="93">
        <f>SUM($Z220:AW220)-SUM($CM220:DJ220)</f>
        <v>-5.3999999999999995</v>
      </c>
      <c r="CE220" s="93">
        <f>SUM($Z220:AX220)-SUM($CM220:DK220)</f>
        <v>-5.3999999999999995</v>
      </c>
      <c r="CF220" s="93">
        <f>SUM($Z220:AY220)-SUM($CM220:DL220)</f>
        <v>-5.3999999999999995</v>
      </c>
      <c r="CG220" s="93">
        <f>SUM($Z220:AZ220)-SUM($CM220:DM220)</f>
        <v>-5.3999999999999995</v>
      </c>
      <c r="CH220" s="93">
        <f>SUM($Z220:BA220)-SUM($CM220:DN220)</f>
        <v>-5.3999999999999995</v>
      </c>
      <c r="CI220" s="93">
        <f>SUM($Z220:BB220)-SUM($CM220:DO220)</f>
        <v>-5.3999999999999995</v>
      </c>
      <c r="CJ220" s="93"/>
      <c r="CK220" s="93"/>
      <c r="CL220" s="93"/>
      <c r="CM220" s="93"/>
      <c r="CN220" s="93" cm="1">
        <f t="array" ref="CN220">SUMPRODUCT(TRANSPOSE(CN$4:CN$20),$G220:$W220)</f>
        <v>0</v>
      </c>
      <c r="CO220" s="93" cm="1">
        <f t="array" ref="CO220">SUMPRODUCT(TRANSPOSE(CO$4:CO$20),$G220:$W220)</f>
        <v>0</v>
      </c>
      <c r="CP220" s="93" cm="1">
        <f t="array" ref="CP220">SUMPRODUCT(TRANSPOSE(CP$4:CP$20),$G220:$W220)</f>
        <v>0</v>
      </c>
      <c r="CQ220" s="93" cm="1">
        <f t="array" ref="CQ220">SUMPRODUCT(TRANSPOSE(CQ$4:CQ$20),$G220:$W220)</f>
        <v>0.8</v>
      </c>
      <c r="CR220" s="93" cm="1">
        <f t="array" ref="CR220">SUMPRODUCT(TRANSPOSE(CR$4:CR$20),$G220:$W220)</f>
        <v>0.8</v>
      </c>
      <c r="CS220" s="93" cm="1">
        <f t="array" ref="CS220">SUMPRODUCT(TRANSPOSE(CS$4:CS$20),$G220:$W220)</f>
        <v>0.8</v>
      </c>
      <c r="CT220" s="93" cm="1">
        <f t="array" ref="CT220">SUMPRODUCT(TRANSPOSE(CT$4:CT$20),$G220:$W220)</f>
        <v>0.8</v>
      </c>
      <c r="CU220" s="93" cm="1">
        <f t="array" ref="CU220">SUMPRODUCT(TRANSPOSE(CU$4:CU$20),$G220:$W220)</f>
        <v>0.8</v>
      </c>
      <c r="CV220" s="93" cm="1">
        <f t="array" ref="CV220">SUMPRODUCT(TRANSPOSE(CV$4:CV$20),$G220:$W220)</f>
        <v>0.8</v>
      </c>
      <c r="CW220" s="93" cm="1">
        <f t="array" ref="CW220">SUMPRODUCT(TRANSPOSE(CW$4:CW$20),$G220:$W220)</f>
        <v>0.8</v>
      </c>
      <c r="CX220" s="93" cm="1">
        <f t="array" ref="CX220">SUMPRODUCT(TRANSPOSE(CX$4:CX$20),$G220:$W220)</f>
        <v>0.8</v>
      </c>
      <c r="CY220" s="93" cm="1">
        <f t="array" ref="CY220">SUMPRODUCT(TRANSPOSE(CY$4:CY$20),$G220:$W220)</f>
        <v>0</v>
      </c>
      <c r="CZ220" s="93" cm="1">
        <f t="array" ref="CZ220">SUMPRODUCT(TRANSPOSE(CZ$4:CZ$20),$G220:$W220)</f>
        <v>0</v>
      </c>
      <c r="DA220" s="93" cm="1">
        <f t="array" ref="DA220">SUMPRODUCT(TRANSPOSE(DA$4:DA$20),$G220:$W220)</f>
        <v>0</v>
      </c>
      <c r="DB220" s="93" cm="1">
        <f t="array" ref="DB220">SUMPRODUCT(TRANSPOSE(DB$4:DB$20),$G220:$W220)</f>
        <v>0</v>
      </c>
      <c r="DC220" s="93" cm="1">
        <f t="array" ref="DC220">SUMPRODUCT(TRANSPOSE(DC$4:DC$20),$G220:$W220)</f>
        <v>0</v>
      </c>
      <c r="DD220" s="93" cm="1">
        <f t="array" ref="DD220">SUMPRODUCT(TRANSPOSE(DD$4:DD$20),$G220:$W220)</f>
        <v>0</v>
      </c>
      <c r="DE220" s="93" cm="1">
        <f t="array" ref="DE220">SUMPRODUCT(TRANSPOSE(DE$4:DE$20),$G220:$W220)</f>
        <v>0</v>
      </c>
      <c r="DF220" s="93" cm="1">
        <f t="array" ref="DF220">SUMPRODUCT(TRANSPOSE(DF$4:DF$20),$G220:$W220)</f>
        <v>0</v>
      </c>
      <c r="DG220" s="93" cm="1">
        <f t="array" ref="DG220">SUMPRODUCT(TRANSPOSE(DG$4:DG$20),$G220:$W220)</f>
        <v>0</v>
      </c>
      <c r="DH220" s="93" cm="1">
        <f t="array" ref="DH220">SUMPRODUCT(TRANSPOSE(DH$4:DH$20),$G220:$W220)</f>
        <v>0</v>
      </c>
      <c r="DI220" s="93" cm="1">
        <f t="array" ref="DI220">SUMPRODUCT(TRANSPOSE(DI$4:DI$20),$G220:$W220)</f>
        <v>0</v>
      </c>
      <c r="DJ220" s="93" cm="1">
        <f t="array" ref="DJ220">SUMPRODUCT(TRANSPOSE(DJ$4:DJ$20),$G220:$W220)</f>
        <v>0</v>
      </c>
      <c r="DK220" s="93" cm="1">
        <f t="array" ref="DK220">SUMPRODUCT(TRANSPOSE(DK$4:DK$20),$G220:$W220)</f>
        <v>0</v>
      </c>
      <c r="DL220" s="93" cm="1">
        <f t="array" ref="DL220">SUMPRODUCT(TRANSPOSE(DL$4:DL$20),$G220:$W220)</f>
        <v>0</v>
      </c>
      <c r="DM220" s="93" cm="1">
        <f t="array" ref="DM220">SUMPRODUCT(TRANSPOSE(DM$4:DM$20),$G220:$W220)</f>
        <v>0</v>
      </c>
      <c r="DN220" s="93" cm="1">
        <f t="array" ref="DN220">SUMPRODUCT(TRANSPOSE(DN$4:DN$20),$G220:$W220)</f>
        <v>0</v>
      </c>
      <c r="DO220" s="93" cm="1">
        <f t="array" ref="DO220">SUMPRODUCT(TRANSPOSE(DO$4:DO$20),$G220:$W220)</f>
        <v>0</v>
      </c>
    </row>
    <row r="221" spans="1:119" x14ac:dyDescent="0.2">
      <c r="A221" s="45">
        <f t="shared" si="29"/>
        <v>200</v>
      </c>
      <c r="B221" s="46" t="s">
        <v>532</v>
      </c>
      <c r="C221" s="45">
        <v>400174386</v>
      </c>
      <c r="D221" s="45" t="s">
        <v>533</v>
      </c>
      <c r="E221" s="45" t="s">
        <v>162</v>
      </c>
      <c r="F221" s="48">
        <v>2</v>
      </c>
      <c r="G221" s="100">
        <v>0</v>
      </c>
      <c r="H221" s="100">
        <v>0</v>
      </c>
      <c r="I221" s="100">
        <v>0</v>
      </c>
      <c r="J221" s="100">
        <v>0</v>
      </c>
      <c r="K221" s="100">
        <v>0</v>
      </c>
      <c r="L221" s="100">
        <v>0</v>
      </c>
      <c r="M221" s="100">
        <v>0</v>
      </c>
      <c r="N221" s="100">
        <v>0</v>
      </c>
      <c r="O221" s="100">
        <v>0</v>
      </c>
      <c r="P221" s="100">
        <v>0</v>
      </c>
      <c r="Q221" s="100">
        <v>0</v>
      </c>
      <c r="R221" s="100">
        <v>1</v>
      </c>
      <c r="S221" s="100">
        <v>0</v>
      </c>
      <c r="T221" s="100">
        <v>0</v>
      </c>
      <c r="U221" s="100">
        <v>0</v>
      </c>
      <c r="V221" s="100">
        <v>1</v>
      </c>
      <c r="W221" s="100">
        <v>0</v>
      </c>
      <c r="X221" s="45" t="s">
        <v>21</v>
      </c>
      <c r="Y221" s="53">
        <v>177.61</v>
      </c>
      <c r="Z221" s="45">
        <v>540</v>
      </c>
      <c r="AA221" s="45">
        <v>0</v>
      </c>
      <c r="AB221" s="45">
        <v>0</v>
      </c>
      <c r="AC221" s="45">
        <v>0</v>
      </c>
      <c r="AD221" s="45">
        <v>0</v>
      </c>
      <c r="AE221" s="45">
        <v>0</v>
      </c>
      <c r="AF221" s="45">
        <v>540</v>
      </c>
      <c r="AG221" s="45">
        <v>0</v>
      </c>
      <c r="AH221" s="45">
        <v>0</v>
      </c>
      <c r="AI221" s="45">
        <v>0</v>
      </c>
      <c r="AJ221" s="45">
        <v>0</v>
      </c>
      <c r="AK221" s="45">
        <v>0</v>
      </c>
      <c r="AL221" s="45">
        <v>0</v>
      </c>
      <c r="AM221" s="45">
        <v>0</v>
      </c>
      <c r="AN221" s="45">
        <v>0</v>
      </c>
      <c r="AO221" s="45"/>
      <c r="AP221" s="45"/>
      <c r="AQ221" s="45"/>
      <c r="AR221" s="45"/>
      <c r="AS221" s="45"/>
      <c r="AT221" s="45"/>
      <c r="AU221" s="45"/>
      <c r="AV221" s="45"/>
      <c r="AW221" s="45"/>
      <c r="AX221" s="45"/>
      <c r="AY221" s="45"/>
      <c r="AZ221" s="45"/>
      <c r="BA221" s="45"/>
      <c r="BB221" s="45"/>
      <c r="BC221" s="45"/>
      <c r="BD221" s="93"/>
      <c r="BE221" s="93"/>
      <c r="BF221" s="93"/>
      <c r="BG221" s="93"/>
      <c r="BH221" s="93"/>
      <c r="BI221" s="93"/>
      <c r="BJ221" s="93"/>
      <c r="BK221" s="93">
        <f>SUM($Z221:AD221)-SUM($CM221:CQ221)</f>
        <v>470</v>
      </c>
      <c r="BL221" s="93">
        <f>SUM($Z221:AE221)-SUM($CM221:CR221)</f>
        <v>400</v>
      </c>
      <c r="BM221" s="93">
        <f>SUM($Z221:AF221)-SUM($CM221:CS221)</f>
        <v>870</v>
      </c>
      <c r="BN221" s="93">
        <f>SUM($Z221:AG221)-SUM($CM221:CT221)</f>
        <v>800</v>
      </c>
      <c r="BO221" s="93">
        <f>SUM($Z221:AH221)-SUM($CM221:CU221)</f>
        <v>730</v>
      </c>
      <c r="BP221" s="93">
        <f>SUM($Z221:AI221)-SUM($CM221:CV221)</f>
        <v>660</v>
      </c>
      <c r="BQ221" s="93">
        <f>SUM($Z221:AJ221)-SUM($CM221:CW221)</f>
        <v>590</v>
      </c>
      <c r="BR221" s="93">
        <f>SUM($Z221:AK221)-SUM($CM221:CX221)</f>
        <v>520</v>
      </c>
      <c r="BS221" s="93">
        <f>SUM($Z221:AL221)-SUM($CM221:CY221)</f>
        <v>450</v>
      </c>
      <c r="BT221" s="93">
        <f>SUM($Z221:AM221)-SUM($CM221:CZ221)</f>
        <v>415</v>
      </c>
      <c r="BU221" s="93">
        <f>SUM($Z221:AN221)-SUM($CM221:DA221)</f>
        <v>415</v>
      </c>
      <c r="BV221" s="93">
        <f>SUM($Z221:AO221)-SUM($CM221:DB221)</f>
        <v>415</v>
      </c>
      <c r="BW221" s="93">
        <f>SUM($Z221:AP221)-SUM($CM221:DC221)</f>
        <v>415</v>
      </c>
      <c r="BX221" s="93">
        <f>SUM($Z221:AQ221)-SUM($CM221:DD221)</f>
        <v>415</v>
      </c>
      <c r="BY221" s="93">
        <f>SUM($Z221:AR221)-SUM($CM221:DE221)</f>
        <v>415</v>
      </c>
      <c r="BZ221" s="93">
        <f>SUM($Z221:AS221)-SUM($CM221:DF221)</f>
        <v>415</v>
      </c>
      <c r="CA221" s="93">
        <f>SUM($Z221:AT221)-SUM($CM221:DG221)</f>
        <v>415</v>
      </c>
      <c r="CB221" s="93">
        <f>SUM($Z221:AU221)-SUM($CM221:DH221)</f>
        <v>415</v>
      </c>
      <c r="CC221" s="93">
        <f>SUM($Z221:AV221)-SUM($CM221:DI221)</f>
        <v>415</v>
      </c>
      <c r="CD221" s="93">
        <f>SUM($Z221:AW221)-SUM($CM221:DJ221)</f>
        <v>415</v>
      </c>
      <c r="CE221" s="93">
        <f>SUM($Z221:AX221)-SUM($CM221:DK221)</f>
        <v>415</v>
      </c>
      <c r="CF221" s="93">
        <f>SUM($Z221:AY221)-SUM($CM221:DL221)</f>
        <v>415</v>
      </c>
      <c r="CG221" s="93">
        <f>SUM($Z221:AZ221)-SUM($CM221:DM221)</f>
        <v>415</v>
      </c>
      <c r="CH221" s="93">
        <f>SUM($Z221:BA221)-SUM($CM221:DN221)</f>
        <v>415</v>
      </c>
      <c r="CI221" s="93">
        <f>SUM($Z221:BB221)-SUM($CM221:DO221)</f>
        <v>415</v>
      </c>
      <c r="CJ221" s="93"/>
      <c r="CK221" s="93"/>
      <c r="CL221" s="93"/>
      <c r="CM221" s="93"/>
      <c r="CN221" s="93" cm="1">
        <f t="array" ref="CN221">SUMPRODUCT(TRANSPOSE(CN$4:CN$20),$G221:$W221)</f>
        <v>0</v>
      </c>
      <c r="CO221" s="93" cm="1">
        <f t="array" ref="CO221">SUMPRODUCT(TRANSPOSE(CO$4:CO$20),$G221:$W221)</f>
        <v>0</v>
      </c>
      <c r="CP221" s="93" cm="1">
        <f t="array" ref="CP221">SUMPRODUCT(TRANSPOSE(CP$4:CP$20),$G221:$W221)</f>
        <v>0</v>
      </c>
      <c r="CQ221" s="93" cm="1">
        <f t="array" ref="CQ221">SUMPRODUCT(TRANSPOSE(CQ$4:CQ$20),$G221:$W221)</f>
        <v>70</v>
      </c>
      <c r="CR221" s="93" cm="1">
        <f t="array" ref="CR221">SUMPRODUCT(TRANSPOSE(CR$4:CR$20),$G221:$W221)</f>
        <v>70</v>
      </c>
      <c r="CS221" s="93" cm="1">
        <f t="array" ref="CS221">SUMPRODUCT(TRANSPOSE(CS$4:CS$20),$G221:$W221)</f>
        <v>70</v>
      </c>
      <c r="CT221" s="93" cm="1">
        <f t="array" ref="CT221">SUMPRODUCT(TRANSPOSE(CT$4:CT$20),$G221:$W221)</f>
        <v>70</v>
      </c>
      <c r="CU221" s="93" cm="1">
        <f t="array" ref="CU221">SUMPRODUCT(TRANSPOSE(CU$4:CU$20),$G221:$W221)</f>
        <v>70</v>
      </c>
      <c r="CV221" s="93" cm="1">
        <f t="array" ref="CV221">SUMPRODUCT(TRANSPOSE(CV$4:CV$20),$G221:$W221)</f>
        <v>70</v>
      </c>
      <c r="CW221" s="93" cm="1">
        <f t="array" ref="CW221">SUMPRODUCT(TRANSPOSE(CW$4:CW$20),$G221:$W221)</f>
        <v>70</v>
      </c>
      <c r="CX221" s="93" cm="1">
        <f t="array" ref="CX221">SUMPRODUCT(TRANSPOSE(CX$4:CX$20),$G221:$W221)</f>
        <v>70</v>
      </c>
      <c r="CY221" s="93" cm="1">
        <f t="array" ref="CY221">SUMPRODUCT(TRANSPOSE(CY$4:CY$20),$G221:$W221)</f>
        <v>70</v>
      </c>
      <c r="CZ221" s="93" cm="1">
        <f t="array" ref="CZ221">SUMPRODUCT(TRANSPOSE(CZ$4:CZ$20),$G221:$W221)</f>
        <v>35</v>
      </c>
      <c r="DA221" s="93" cm="1">
        <f t="array" ref="DA221">SUMPRODUCT(TRANSPOSE(DA$4:DA$20),$G221:$W221)</f>
        <v>0</v>
      </c>
      <c r="DB221" s="93" cm="1">
        <f t="array" ref="DB221">SUMPRODUCT(TRANSPOSE(DB$4:DB$20),$G221:$W221)</f>
        <v>0</v>
      </c>
      <c r="DC221" s="93" cm="1">
        <f t="array" ref="DC221">SUMPRODUCT(TRANSPOSE(DC$4:DC$20),$G221:$W221)</f>
        <v>0</v>
      </c>
      <c r="DD221" s="93" cm="1">
        <f t="array" ref="DD221">SUMPRODUCT(TRANSPOSE(DD$4:DD$20),$G221:$W221)</f>
        <v>0</v>
      </c>
      <c r="DE221" s="93" cm="1">
        <f t="array" ref="DE221">SUMPRODUCT(TRANSPOSE(DE$4:DE$20),$G221:$W221)</f>
        <v>0</v>
      </c>
      <c r="DF221" s="93" cm="1">
        <f t="array" ref="DF221">SUMPRODUCT(TRANSPOSE(DF$4:DF$20),$G221:$W221)</f>
        <v>0</v>
      </c>
      <c r="DG221" s="93" cm="1">
        <f t="array" ref="DG221">SUMPRODUCT(TRANSPOSE(DG$4:DG$20),$G221:$W221)</f>
        <v>0</v>
      </c>
      <c r="DH221" s="93" cm="1">
        <f t="array" ref="DH221">SUMPRODUCT(TRANSPOSE(DH$4:DH$20),$G221:$W221)</f>
        <v>0</v>
      </c>
      <c r="DI221" s="93" cm="1">
        <f t="array" ref="DI221">SUMPRODUCT(TRANSPOSE(DI$4:DI$20),$G221:$W221)</f>
        <v>0</v>
      </c>
      <c r="DJ221" s="93" cm="1">
        <f t="array" ref="DJ221">SUMPRODUCT(TRANSPOSE(DJ$4:DJ$20),$G221:$W221)</f>
        <v>0</v>
      </c>
      <c r="DK221" s="93" cm="1">
        <f t="array" ref="DK221">SUMPRODUCT(TRANSPOSE(DK$4:DK$20),$G221:$W221)</f>
        <v>0</v>
      </c>
      <c r="DL221" s="93" cm="1">
        <f t="array" ref="DL221">SUMPRODUCT(TRANSPOSE(DL$4:DL$20),$G221:$W221)</f>
        <v>0</v>
      </c>
      <c r="DM221" s="93" cm="1">
        <f t="array" ref="DM221">SUMPRODUCT(TRANSPOSE(DM$4:DM$20),$G221:$W221)</f>
        <v>0</v>
      </c>
      <c r="DN221" s="93" cm="1">
        <f t="array" ref="DN221">SUMPRODUCT(TRANSPOSE(DN$4:DN$20),$G221:$W221)</f>
        <v>0</v>
      </c>
      <c r="DO221" s="93" cm="1">
        <f t="array" ref="DO221">SUMPRODUCT(TRANSPOSE(DO$4:DO$20),$G221:$W221)</f>
        <v>0</v>
      </c>
    </row>
    <row r="222" spans="1:119" x14ac:dyDescent="0.2">
      <c r="A222" s="45">
        <f t="shared" si="29"/>
        <v>201</v>
      </c>
      <c r="B222" s="46" t="s">
        <v>534</v>
      </c>
      <c r="C222" s="45">
        <v>411359913</v>
      </c>
      <c r="D222" s="45" t="s">
        <v>535</v>
      </c>
      <c r="E222" s="45" t="s">
        <v>162</v>
      </c>
      <c r="F222" s="48">
        <v>2</v>
      </c>
      <c r="G222" s="100">
        <v>0</v>
      </c>
      <c r="H222" s="100">
        <v>0</v>
      </c>
      <c r="I222" s="100">
        <v>0</v>
      </c>
      <c r="J222" s="100">
        <v>0</v>
      </c>
      <c r="K222" s="100">
        <v>0</v>
      </c>
      <c r="L222" s="100">
        <v>0</v>
      </c>
      <c r="M222" s="100">
        <v>0</v>
      </c>
      <c r="N222" s="100">
        <v>0</v>
      </c>
      <c r="O222" s="100">
        <v>0</v>
      </c>
      <c r="P222" s="100">
        <v>0</v>
      </c>
      <c r="Q222" s="100">
        <v>0</v>
      </c>
      <c r="R222" s="100">
        <v>1</v>
      </c>
      <c r="S222" s="100">
        <v>0</v>
      </c>
      <c r="T222" s="100">
        <v>0</v>
      </c>
      <c r="U222" s="100">
        <v>0</v>
      </c>
      <c r="V222" s="100">
        <v>1</v>
      </c>
      <c r="W222" s="100">
        <v>0</v>
      </c>
      <c r="X222" s="45" t="s">
        <v>21</v>
      </c>
      <c r="Y222" s="53">
        <v>4.0276800000000001</v>
      </c>
      <c r="Z222" s="45">
        <v>1100</v>
      </c>
      <c r="AA222" s="45">
        <v>0</v>
      </c>
      <c r="AB222" s="45">
        <v>0</v>
      </c>
      <c r="AC222" s="45">
        <v>0</v>
      </c>
      <c r="AD222" s="45">
        <v>0</v>
      </c>
      <c r="AE222" s="45">
        <v>0</v>
      </c>
      <c r="AF222" s="45">
        <v>0</v>
      </c>
      <c r="AG222" s="45">
        <v>0</v>
      </c>
      <c r="AH222" s="45">
        <v>0</v>
      </c>
      <c r="AI222" s="45">
        <v>0</v>
      </c>
      <c r="AJ222" s="45">
        <v>0</v>
      </c>
      <c r="AK222" s="45">
        <v>0</v>
      </c>
      <c r="AL222" s="45">
        <v>0</v>
      </c>
      <c r="AM222" s="45">
        <v>0</v>
      </c>
      <c r="AN222" s="45">
        <v>0</v>
      </c>
      <c r="AO222" s="45"/>
      <c r="AP222" s="45"/>
      <c r="AQ222" s="45"/>
      <c r="AR222" s="45"/>
      <c r="AS222" s="45"/>
      <c r="AT222" s="45"/>
      <c r="AU222" s="45"/>
      <c r="AV222" s="45"/>
      <c r="AW222" s="45"/>
      <c r="AX222" s="45"/>
      <c r="AY222" s="45"/>
      <c r="AZ222" s="45"/>
      <c r="BA222" s="45"/>
      <c r="BB222" s="45"/>
      <c r="BC222" s="45"/>
      <c r="BD222" s="93"/>
      <c r="BE222" s="93"/>
      <c r="BF222" s="93"/>
      <c r="BG222" s="93"/>
      <c r="BH222" s="93"/>
      <c r="BI222" s="93"/>
      <c r="BJ222" s="93"/>
      <c r="BK222" s="93">
        <f>SUM($Z222:AD222)-SUM($CM222:CQ222)</f>
        <v>1030</v>
      </c>
      <c r="BL222" s="93">
        <f>SUM($Z222:AE222)-SUM($CM222:CR222)</f>
        <v>960</v>
      </c>
      <c r="BM222" s="93">
        <f>SUM($Z222:AF222)-SUM($CM222:CS222)</f>
        <v>890</v>
      </c>
      <c r="BN222" s="93">
        <f>SUM($Z222:AG222)-SUM($CM222:CT222)</f>
        <v>820</v>
      </c>
      <c r="BO222" s="93">
        <f>SUM($Z222:AH222)-SUM($CM222:CU222)</f>
        <v>750</v>
      </c>
      <c r="BP222" s="93">
        <f>SUM($Z222:AI222)-SUM($CM222:CV222)</f>
        <v>680</v>
      </c>
      <c r="BQ222" s="93">
        <f>SUM($Z222:AJ222)-SUM($CM222:CW222)</f>
        <v>610</v>
      </c>
      <c r="BR222" s="93">
        <f>SUM($Z222:AK222)-SUM($CM222:CX222)</f>
        <v>540</v>
      </c>
      <c r="BS222" s="93">
        <f>SUM($Z222:AL222)-SUM($CM222:CY222)</f>
        <v>470</v>
      </c>
      <c r="BT222" s="93">
        <f>SUM($Z222:AM222)-SUM($CM222:CZ222)</f>
        <v>435</v>
      </c>
      <c r="BU222" s="93">
        <f>SUM($Z222:AN222)-SUM($CM222:DA222)</f>
        <v>435</v>
      </c>
      <c r="BV222" s="93">
        <f>SUM($Z222:AO222)-SUM($CM222:DB222)</f>
        <v>435</v>
      </c>
      <c r="BW222" s="93">
        <f>SUM($Z222:AP222)-SUM($CM222:DC222)</f>
        <v>435</v>
      </c>
      <c r="BX222" s="93">
        <f>SUM($Z222:AQ222)-SUM($CM222:DD222)</f>
        <v>435</v>
      </c>
      <c r="BY222" s="93">
        <f>SUM($Z222:AR222)-SUM($CM222:DE222)</f>
        <v>435</v>
      </c>
      <c r="BZ222" s="93">
        <f>SUM($Z222:AS222)-SUM($CM222:DF222)</f>
        <v>435</v>
      </c>
      <c r="CA222" s="93">
        <f>SUM($Z222:AT222)-SUM($CM222:DG222)</f>
        <v>435</v>
      </c>
      <c r="CB222" s="93">
        <f>SUM($Z222:AU222)-SUM($CM222:DH222)</f>
        <v>435</v>
      </c>
      <c r="CC222" s="93">
        <f>SUM($Z222:AV222)-SUM($CM222:DI222)</f>
        <v>435</v>
      </c>
      <c r="CD222" s="93">
        <f>SUM($Z222:AW222)-SUM($CM222:DJ222)</f>
        <v>435</v>
      </c>
      <c r="CE222" s="93">
        <f>SUM($Z222:AX222)-SUM($CM222:DK222)</f>
        <v>435</v>
      </c>
      <c r="CF222" s="93">
        <f>SUM($Z222:AY222)-SUM($CM222:DL222)</f>
        <v>435</v>
      </c>
      <c r="CG222" s="93">
        <f>SUM($Z222:AZ222)-SUM($CM222:DM222)</f>
        <v>435</v>
      </c>
      <c r="CH222" s="93">
        <f>SUM($Z222:BA222)-SUM($CM222:DN222)</f>
        <v>435</v>
      </c>
      <c r="CI222" s="93">
        <f>SUM($Z222:BB222)-SUM($CM222:DO222)</f>
        <v>435</v>
      </c>
      <c r="CJ222" s="93"/>
      <c r="CK222" s="93"/>
      <c r="CL222" s="93"/>
      <c r="CM222" s="93"/>
      <c r="CN222" s="93" cm="1">
        <f t="array" ref="CN222">SUMPRODUCT(TRANSPOSE(CN$4:CN$20),$G222:$W222)</f>
        <v>0</v>
      </c>
      <c r="CO222" s="93" cm="1">
        <f t="array" ref="CO222">SUMPRODUCT(TRANSPOSE(CO$4:CO$20),$G222:$W222)</f>
        <v>0</v>
      </c>
      <c r="CP222" s="93" cm="1">
        <f t="array" ref="CP222">SUMPRODUCT(TRANSPOSE(CP$4:CP$20),$G222:$W222)</f>
        <v>0</v>
      </c>
      <c r="CQ222" s="93" cm="1">
        <f t="array" ref="CQ222">SUMPRODUCT(TRANSPOSE(CQ$4:CQ$20),$G222:$W222)</f>
        <v>70</v>
      </c>
      <c r="CR222" s="93" cm="1">
        <f t="array" ref="CR222">SUMPRODUCT(TRANSPOSE(CR$4:CR$20),$G222:$W222)</f>
        <v>70</v>
      </c>
      <c r="CS222" s="93" cm="1">
        <f t="array" ref="CS222">SUMPRODUCT(TRANSPOSE(CS$4:CS$20),$G222:$W222)</f>
        <v>70</v>
      </c>
      <c r="CT222" s="93" cm="1">
        <f t="array" ref="CT222">SUMPRODUCT(TRANSPOSE(CT$4:CT$20),$G222:$W222)</f>
        <v>70</v>
      </c>
      <c r="CU222" s="93" cm="1">
        <f t="array" ref="CU222">SUMPRODUCT(TRANSPOSE(CU$4:CU$20),$G222:$W222)</f>
        <v>70</v>
      </c>
      <c r="CV222" s="93" cm="1">
        <f t="array" ref="CV222">SUMPRODUCT(TRANSPOSE(CV$4:CV$20),$G222:$W222)</f>
        <v>70</v>
      </c>
      <c r="CW222" s="93" cm="1">
        <f t="array" ref="CW222">SUMPRODUCT(TRANSPOSE(CW$4:CW$20),$G222:$W222)</f>
        <v>70</v>
      </c>
      <c r="CX222" s="93" cm="1">
        <f t="array" ref="CX222">SUMPRODUCT(TRANSPOSE(CX$4:CX$20),$G222:$W222)</f>
        <v>70</v>
      </c>
      <c r="CY222" s="93" cm="1">
        <f t="array" ref="CY222">SUMPRODUCT(TRANSPOSE(CY$4:CY$20),$G222:$W222)</f>
        <v>70</v>
      </c>
      <c r="CZ222" s="93" cm="1">
        <f t="array" ref="CZ222">SUMPRODUCT(TRANSPOSE(CZ$4:CZ$20),$G222:$W222)</f>
        <v>35</v>
      </c>
      <c r="DA222" s="93" cm="1">
        <f t="array" ref="DA222">SUMPRODUCT(TRANSPOSE(DA$4:DA$20),$G222:$W222)</f>
        <v>0</v>
      </c>
      <c r="DB222" s="93" cm="1">
        <f t="array" ref="DB222">SUMPRODUCT(TRANSPOSE(DB$4:DB$20),$G222:$W222)</f>
        <v>0</v>
      </c>
      <c r="DC222" s="93" cm="1">
        <f t="array" ref="DC222">SUMPRODUCT(TRANSPOSE(DC$4:DC$20),$G222:$W222)</f>
        <v>0</v>
      </c>
      <c r="DD222" s="93" cm="1">
        <f t="array" ref="DD222">SUMPRODUCT(TRANSPOSE(DD$4:DD$20),$G222:$W222)</f>
        <v>0</v>
      </c>
      <c r="DE222" s="93" cm="1">
        <f t="array" ref="DE222">SUMPRODUCT(TRANSPOSE(DE$4:DE$20),$G222:$W222)</f>
        <v>0</v>
      </c>
      <c r="DF222" s="93" cm="1">
        <f t="array" ref="DF222">SUMPRODUCT(TRANSPOSE(DF$4:DF$20),$G222:$W222)</f>
        <v>0</v>
      </c>
      <c r="DG222" s="93" cm="1">
        <f t="array" ref="DG222">SUMPRODUCT(TRANSPOSE(DG$4:DG$20),$G222:$W222)</f>
        <v>0</v>
      </c>
      <c r="DH222" s="93" cm="1">
        <f t="array" ref="DH222">SUMPRODUCT(TRANSPOSE(DH$4:DH$20),$G222:$W222)</f>
        <v>0</v>
      </c>
      <c r="DI222" s="93" cm="1">
        <f t="array" ref="DI222">SUMPRODUCT(TRANSPOSE(DI$4:DI$20),$G222:$W222)</f>
        <v>0</v>
      </c>
      <c r="DJ222" s="93" cm="1">
        <f t="array" ref="DJ222">SUMPRODUCT(TRANSPOSE(DJ$4:DJ$20),$G222:$W222)</f>
        <v>0</v>
      </c>
      <c r="DK222" s="93" cm="1">
        <f t="array" ref="DK222">SUMPRODUCT(TRANSPOSE(DK$4:DK$20),$G222:$W222)</f>
        <v>0</v>
      </c>
      <c r="DL222" s="93" cm="1">
        <f t="array" ref="DL222">SUMPRODUCT(TRANSPOSE(DL$4:DL$20),$G222:$W222)</f>
        <v>0</v>
      </c>
      <c r="DM222" s="93" cm="1">
        <f t="array" ref="DM222">SUMPRODUCT(TRANSPOSE(DM$4:DM$20),$G222:$W222)</f>
        <v>0</v>
      </c>
      <c r="DN222" s="93" cm="1">
        <f t="array" ref="DN222">SUMPRODUCT(TRANSPOSE(DN$4:DN$20),$G222:$W222)</f>
        <v>0</v>
      </c>
      <c r="DO222" s="93" cm="1">
        <f t="array" ref="DO222">SUMPRODUCT(TRANSPOSE(DO$4:DO$20),$G222:$W222)</f>
        <v>0</v>
      </c>
    </row>
    <row r="223" spans="1:119" x14ac:dyDescent="0.2">
      <c r="A223" s="45">
        <f t="shared" si="29"/>
        <v>202</v>
      </c>
      <c r="B223" s="46" t="s">
        <v>536</v>
      </c>
      <c r="C223" s="45">
        <v>400703056</v>
      </c>
      <c r="D223" s="45" t="s">
        <v>537</v>
      </c>
      <c r="E223" s="45" t="s">
        <v>162</v>
      </c>
      <c r="F223" s="48">
        <v>2</v>
      </c>
      <c r="G223" s="100">
        <v>0</v>
      </c>
      <c r="H223" s="100">
        <v>0</v>
      </c>
      <c r="I223" s="100">
        <v>0</v>
      </c>
      <c r="J223" s="100">
        <v>0</v>
      </c>
      <c r="K223" s="100">
        <v>0</v>
      </c>
      <c r="L223" s="100">
        <v>0</v>
      </c>
      <c r="M223" s="100">
        <v>0</v>
      </c>
      <c r="N223" s="100">
        <v>0</v>
      </c>
      <c r="O223" s="100">
        <v>0</v>
      </c>
      <c r="P223" s="100">
        <v>0</v>
      </c>
      <c r="Q223" s="100">
        <v>0</v>
      </c>
      <c r="R223" s="100">
        <v>1</v>
      </c>
      <c r="S223" s="100">
        <v>0</v>
      </c>
      <c r="T223" s="100">
        <v>0</v>
      </c>
      <c r="U223" s="100">
        <v>0</v>
      </c>
      <c r="V223" s="100">
        <v>1</v>
      </c>
      <c r="W223" s="100">
        <v>0</v>
      </c>
      <c r="X223" s="45" t="s">
        <v>63</v>
      </c>
      <c r="Y223" s="49">
        <v>0.13664000000000001</v>
      </c>
      <c r="Z223" s="45">
        <v>3000</v>
      </c>
      <c r="AA223" s="45">
        <v>0</v>
      </c>
      <c r="AB223" s="45">
        <v>0</v>
      </c>
      <c r="AC223" s="45">
        <v>0</v>
      </c>
      <c r="AD223" s="45">
        <v>0</v>
      </c>
      <c r="AE223" s="45">
        <v>0</v>
      </c>
      <c r="AF223" s="45">
        <v>0</v>
      </c>
      <c r="AG223" s="45">
        <v>0</v>
      </c>
      <c r="AH223" s="45">
        <v>0</v>
      </c>
      <c r="AI223" s="45">
        <v>0</v>
      </c>
      <c r="AJ223" s="45">
        <v>0</v>
      </c>
      <c r="AK223" s="45">
        <v>0</v>
      </c>
      <c r="AL223" s="45">
        <v>0</v>
      </c>
      <c r="AM223" s="45">
        <v>0</v>
      </c>
      <c r="AN223" s="45">
        <v>0</v>
      </c>
      <c r="AO223" s="45"/>
      <c r="AP223" s="45"/>
      <c r="AQ223" s="45"/>
      <c r="AR223" s="45"/>
      <c r="AS223" s="45"/>
      <c r="AT223" s="45"/>
      <c r="AU223" s="45"/>
      <c r="AV223" s="45"/>
      <c r="AW223" s="45"/>
      <c r="AX223" s="45"/>
      <c r="AY223" s="45"/>
      <c r="AZ223" s="45"/>
      <c r="BA223" s="45"/>
      <c r="BB223" s="45"/>
      <c r="BC223" s="45"/>
      <c r="BD223" s="93"/>
      <c r="BE223" s="93"/>
      <c r="BF223" s="93"/>
      <c r="BG223" s="93"/>
      <c r="BH223" s="93"/>
      <c r="BI223" s="93"/>
      <c r="BJ223" s="93"/>
      <c r="BK223" s="93">
        <f>SUM($Z223:AD223)-SUM($CM223:CQ223)</f>
        <v>2930</v>
      </c>
      <c r="BL223" s="93">
        <f>SUM($Z223:AE223)-SUM($CM223:CR223)</f>
        <v>2860</v>
      </c>
      <c r="BM223" s="93">
        <f>SUM($Z223:AF223)-SUM($CM223:CS223)</f>
        <v>2790</v>
      </c>
      <c r="BN223" s="93">
        <f>SUM($Z223:AG223)-SUM($CM223:CT223)</f>
        <v>2720</v>
      </c>
      <c r="BO223" s="93">
        <f>SUM($Z223:AH223)-SUM($CM223:CU223)</f>
        <v>2650</v>
      </c>
      <c r="BP223" s="93">
        <f>SUM($Z223:AI223)-SUM($CM223:CV223)</f>
        <v>2580</v>
      </c>
      <c r="BQ223" s="93">
        <f>SUM($Z223:AJ223)-SUM($CM223:CW223)</f>
        <v>2510</v>
      </c>
      <c r="BR223" s="93">
        <f>SUM($Z223:AK223)-SUM($CM223:CX223)</f>
        <v>2440</v>
      </c>
      <c r="BS223" s="93">
        <f>SUM($Z223:AL223)-SUM($CM223:CY223)</f>
        <v>2370</v>
      </c>
      <c r="BT223" s="93">
        <f>SUM($Z223:AM223)-SUM($CM223:CZ223)</f>
        <v>2335</v>
      </c>
      <c r="BU223" s="93">
        <f>SUM($Z223:AN223)-SUM($CM223:DA223)</f>
        <v>2335</v>
      </c>
      <c r="BV223" s="93">
        <f>SUM($Z223:AO223)-SUM($CM223:DB223)</f>
        <v>2335</v>
      </c>
      <c r="BW223" s="93">
        <f>SUM($Z223:AP223)-SUM($CM223:DC223)</f>
        <v>2335</v>
      </c>
      <c r="BX223" s="93">
        <f>SUM($Z223:AQ223)-SUM($CM223:DD223)</f>
        <v>2335</v>
      </c>
      <c r="BY223" s="93">
        <f>SUM($Z223:AR223)-SUM($CM223:DE223)</f>
        <v>2335</v>
      </c>
      <c r="BZ223" s="93">
        <f>SUM($Z223:AS223)-SUM($CM223:DF223)</f>
        <v>2335</v>
      </c>
      <c r="CA223" s="93">
        <f>SUM($Z223:AT223)-SUM($CM223:DG223)</f>
        <v>2335</v>
      </c>
      <c r="CB223" s="93">
        <f>SUM($Z223:AU223)-SUM($CM223:DH223)</f>
        <v>2335</v>
      </c>
      <c r="CC223" s="93">
        <f>SUM($Z223:AV223)-SUM($CM223:DI223)</f>
        <v>2335</v>
      </c>
      <c r="CD223" s="93">
        <f>SUM($Z223:AW223)-SUM($CM223:DJ223)</f>
        <v>2335</v>
      </c>
      <c r="CE223" s="93">
        <f>SUM($Z223:AX223)-SUM($CM223:DK223)</f>
        <v>2335</v>
      </c>
      <c r="CF223" s="93">
        <f>SUM($Z223:AY223)-SUM($CM223:DL223)</f>
        <v>2335</v>
      </c>
      <c r="CG223" s="93">
        <f>SUM($Z223:AZ223)-SUM($CM223:DM223)</f>
        <v>2335</v>
      </c>
      <c r="CH223" s="93">
        <f>SUM($Z223:BA223)-SUM($CM223:DN223)</f>
        <v>2335</v>
      </c>
      <c r="CI223" s="93">
        <f>SUM($Z223:BB223)-SUM($CM223:DO223)</f>
        <v>2335</v>
      </c>
      <c r="CJ223" s="93"/>
      <c r="CK223" s="93"/>
      <c r="CL223" s="93"/>
      <c r="CM223" s="93"/>
      <c r="CN223" s="93" cm="1">
        <f t="array" ref="CN223">SUMPRODUCT(TRANSPOSE(CN$4:CN$20),$G223:$W223)</f>
        <v>0</v>
      </c>
      <c r="CO223" s="93" cm="1">
        <f t="array" ref="CO223">SUMPRODUCT(TRANSPOSE(CO$4:CO$20),$G223:$W223)</f>
        <v>0</v>
      </c>
      <c r="CP223" s="93" cm="1">
        <f t="array" ref="CP223">SUMPRODUCT(TRANSPOSE(CP$4:CP$20),$G223:$W223)</f>
        <v>0</v>
      </c>
      <c r="CQ223" s="93" cm="1">
        <f t="array" ref="CQ223">SUMPRODUCT(TRANSPOSE(CQ$4:CQ$20),$G223:$W223)</f>
        <v>70</v>
      </c>
      <c r="CR223" s="93" cm="1">
        <f t="array" ref="CR223">SUMPRODUCT(TRANSPOSE(CR$4:CR$20),$G223:$W223)</f>
        <v>70</v>
      </c>
      <c r="CS223" s="93" cm="1">
        <f t="array" ref="CS223">SUMPRODUCT(TRANSPOSE(CS$4:CS$20),$G223:$W223)</f>
        <v>70</v>
      </c>
      <c r="CT223" s="93" cm="1">
        <f t="array" ref="CT223">SUMPRODUCT(TRANSPOSE(CT$4:CT$20),$G223:$W223)</f>
        <v>70</v>
      </c>
      <c r="CU223" s="93" cm="1">
        <f t="array" ref="CU223">SUMPRODUCT(TRANSPOSE(CU$4:CU$20),$G223:$W223)</f>
        <v>70</v>
      </c>
      <c r="CV223" s="93" cm="1">
        <f t="array" ref="CV223">SUMPRODUCT(TRANSPOSE(CV$4:CV$20),$G223:$W223)</f>
        <v>70</v>
      </c>
      <c r="CW223" s="93" cm="1">
        <f t="array" ref="CW223">SUMPRODUCT(TRANSPOSE(CW$4:CW$20),$G223:$W223)</f>
        <v>70</v>
      </c>
      <c r="CX223" s="93" cm="1">
        <f t="array" ref="CX223">SUMPRODUCT(TRANSPOSE(CX$4:CX$20),$G223:$W223)</f>
        <v>70</v>
      </c>
      <c r="CY223" s="93" cm="1">
        <f t="array" ref="CY223">SUMPRODUCT(TRANSPOSE(CY$4:CY$20),$G223:$W223)</f>
        <v>70</v>
      </c>
      <c r="CZ223" s="93" cm="1">
        <f t="array" ref="CZ223">SUMPRODUCT(TRANSPOSE(CZ$4:CZ$20),$G223:$W223)</f>
        <v>35</v>
      </c>
      <c r="DA223" s="93" cm="1">
        <f t="array" ref="DA223">SUMPRODUCT(TRANSPOSE(DA$4:DA$20),$G223:$W223)</f>
        <v>0</v>
      </c>
      <c r="DB223" s="93" cm="1">
        <f t="array" ref="DB223">SUMPRODUCT(TRANSPOSE(DB$4:DB$20),$G223:$W223)</f>
        <v>0</v>
      </c>
      <c r="DC223" s="93" cm="1">
        <f t="array" ref="DC223">SUMPRODUCT(TRANSPOSE(DC$4:DC$20),$G223:$W223)</f>
        <v>0</v>
      </c>
      <c r="DD223" s="93" cm="1">
        <f t="array" ref="DD223">SUMPRODUCT(TRANSPOSE(DD$4:DD$20),$G223:$W223)</f>
        <v>0</v>
      </c>
      <c r="DE223" s="93" cm="1">
        <f t="array" ref="DE223">SUMPRODUCT(TRANSPOSE(DE$4:DE$20),$G223:$W223)</f>
        <v>0</v>
      </c>
      <c r="DF223" s="93" cm="1">
        <f t="array" ref="DF223">SUMPRODUCT(TRANSPOSE(DF$4:DF$20),$G223:$W223)</f>
        <v>0</v>
      </c>
      <c r="DG223" s="93" cm="1">
        <f t="array" ref="DG223">SUMPRODUCT(TRANSPOSE(DG$4:DG$20),$G223:$W223)</f>
        <v>0</v>
      </c>
      <c r="DH223" s="93" cm="1">
        <f t="array" ref="DH223">SUMPRODUCT(TRANSPOSE(DH$4:DH$20),$G223:$W223)</f>
        <v>0</v>
      </c>
      <c r="DI223" s="93" cm="1">
        <f t="array" ref="DI223">SUMPRODUCT(TRANSPOSE(DI$4:DI$20),$G223:$W223)</f>
        <v>0</v>
      </c>
      <c r="DJ223" s="93" cm="1">
        <f t="array" ref="DJ223">SUMPRODUCT(TRANSPOSE(DJ$4:DJ$20),$G223:$W223)</f>
        <v>0</v>
      </c>
      <c r="DK223" s="93" cm="1">
        <f t="array" ref="DK223">SUMPRODUCT(TRANSPOSE(DK$4:DK$20),$G223:$W223)</f>
        <v>0</v>
      </c>
      <c r="DL223" s="93" cm="1">
        <f t="array" ref="DL223">SUMPRODUCT(TRANSPOSE(DL$4:DL$20),$G223:$W223)</f>
        <v>0</v>
      </c>
      <c r="DM223" s="93" cm="1">
        <f t="array" ref="DM223">SUMPRODUCT(TRANSPOSE(DM$4:DM$20),$G223:$W223)</f>
        <v>0</v>
      </c>
      <c r="DN223" s="93" cm="1">
        <f t="array" ref="DN223">SUMPRODUCT(TRANSPOSE(DN$4:DN$20),$G223:$W223)</f>
        <v>0</v>
      </c>
      <c r="DO223" s="93" cm="1">
        <f t="array" ref="DO223">SUMPRODUCT(TRANSPOSE(DO$4:DO$20),$G223:$W223)</f>
        <v>0</v>
      </c>
    </row>
    <row r="224" spans="1:119" x14ac:dyDescent="0.2">
      <c r="A224" s="65">
        <f t="shared" si="29"/>
        <v>203</v>
      </c>
      <c r="B224" s="46" t="s">
        <v>538</v>
      </c>
      <c r="C224" s="45">
        <v>526945878</v>
      </c>
      <c r="D224" s="45" t="s">
        <v>539</v>
      </c>
      <c r="E224" s="45" t="s">
        <v>162</v>
      </c>
      <c r="F224" s="48">
        <v>2</v>
      </c>
      <c r="G224" s="100">
        <v>0</v>
      </c>
      <c r="H224" s="100">
        <v>0</v>
      </c>
      <c r="I224" s="100">
        <v>0</v>
      </c>
      <c r="J224" s="100">
        <v>0</v>
      </c>
      <c r="K224" s="100">
        <v>0</v>
      </c>
      <c r="L224" s="100">
        <v>0</v>
      </c>
      <c r="M224" s="100">
        <v>0</v>
      </c>
      <c r="N224" s="100">
        <v>0</v>
      </c>
      <c r="O224" s="100">
        <v>0</v>
      </c>
      <c r="P224" s="100">
        <v>16</v>
      </c>
      <c r="Q224" s="100">
        <v>0</v>
      </c>
      <c r="R224" s="100">
        <v>0</v>
      </c>
      <c r="S224" s="100">
        <v>0</v>
      </c>
      <c r="T224" s="100">
        <v>16</v>
      </c>
      <c r="U224" s="100">
        <v>0</v>
      </c>
      <c r="V224" s="100">
        <v>0</v>
      </c>
      <c r="W224" s="100">
        <v>0</v>
      </c>
      <c r="X224" s="45" t="s">
        <v>540</v>
      </c>
      <c r="Y224" s="49">
        <v>4.09</v>
      </c>
      <c r="Z224" s="45">
        <v>18714</v>
      </c>
      <c r="AA224" s="45">
        <v>0</v>
      </c>
      <c r="AB224" s="45">
        <v>0</v>
      </c>
      <c r="AC224" s="45">
        <v>0</v>
      </c>
      <c r="AD224" s="45">
        <v>0</v>
      </c>
      <c r="AE224" s="45">
        <v>0</v>
      </c>
      <c r="AF224" s="45">
        <v>0</v>
      </c>
      <c r="AG224" s="45">
        <v>0</v>
      </c>
      <c r="AH224" s="45">
        <v>0</v>
      </c>
      <c r="AI224" s="45">
        <v>0</v>
      </c>
      <c r="AJ224" s="45">
        <v>0</v>
      </c>
      <c r="AK224" s="45">
        <v>0</v>
      </c>
      <c r="AL224" s="45">
        <v>0</v>
      </c>
      <c r="AM224" s="45">
        <v>0</v>
      </c>
      <c r="AN224" s="45">
        <v>0</v>
      </c>
      <c r="AO224" s="45"/>
      <c r="AP224" s="45"/>
      <c r="AQ224" s="45"/>
      <c r="AR224" s="45"/>
      <c r="AS224" s="45"/>
      <c r="AT224" s="45"/>
      <c r="AU224" s="45"/>
      <c r="AV224" s="45"/>
      <c r="AW224" s="45"/>
      <c r="AX224" s="45"/>
      <c r="AY224" s="45"/>
      <c r="AZ224" s="45"/>
      <c r="BA224" s="45"/>
      <c r="BB224" s="45"/>
      <c r="BC224" s="45"/>
      <c r="BD224" s="93"/>
      <c r="BE224" s="93"/>
      <c r="BF224" s="93"/>
      <c r="BG224" s="93"/>
      <c r="BH224" s="93"/>
      <c r="BI224" s="93"/>
      <c r="BJ224" s="93"/>
      <c r="BK224" s="93">
        <f>SUM($Z224:AD224)-SUM($CM224:CQ224)</f>
        <v>17466</v>
      </c>
      <c r="BL224" s="93">
        <f>SUM($Z224:AE224)-SUM($CM224:CR224)</f>
        <v>16346</v>
      </c>
      <c r="BM224" s="93">
        <f>SUM($Z224:AF224)-SUM($CM224:CS224)</f>
        <v>15306</v>
      </c>
      <c r="BN224" s="93">
        <f>SUM($Z224:AG224)-SUM($CM224:CT224)</f>
        <v>14346</v>
      </c>
      <c r="BO224" s="93">
        <f>SUM($Z224:AH224)-SUM($CM224:CU224)</f>
        <v>13386</v>
      </c>
      <c r="BP224" s="93">
        <f>SUM($Z224:AI224)-SUM($CM224:CV224)</f>
        <v>12426</v>
      </c>
      <c r="BQ224" s="93">
        <f>SUM($Z224:AJ224)-SUM($CM224:CW224)</f>
        <v>11466</v>
      </c>
      <c r="BR224" s="93">
        <f>SUM($Z224:AK224)-SUM($CM224:CX224)</f>
        <v>10506</v>
      </c>
      <c r="BS224" s="93">
        <f>SUM($Z224:AL224)-SUM($CM224:CY224)</f>
        <v>9546</v>
      </c>
      <c r="BT224" s="93">
        <f>SUM($Z224:AM224)-SUM($CM224:CZ224)</f>
        <v>8586</v>
      </c>
      <c r="BU224" s="93">
        <f>SUM($Z224:AN224)-SUM($CM224:DA224)</f>
        <v>7626</v>
      </c>
      <c r="BV224" s="93">
        <f>SUM($Z224:AO224)-SUM($CM224:DB224)</f>
        <v>7402</v>
      </c>
      <c r="BW224" s="93">
        <f>SUM($Z224:AP224)-SUM($CM224:DC224)</f>
        <v>7402</v>
      </c>
      <c r="BX224" s="93">
        <f>SUM($Z224:AQ224)-SUM($CM224:DD224)</f>
        <v>7402</v>
      </c>
      <c r="BY224" s="93">
        <f>SUM($Z224:AR224)-SUM($CM224:DE224)</f>
        <v>7402</v>
      </c>
      <c r="BZ224" s="93">
        <f>SUM($Z224:AS224)-SUM($CM224:DF224)</f>
        <v>7402</v>
      </c>
      <c r="CA224" s="93">
        <f>SUM($Z224:AT224)-SUM($CM224:DG224)</f>
        <v>7402</v>
      </c>
      <c r="CB224" s="93">
        <f>SUM($Z224:AU224)-SUM($CM224:DH224)</f>
        <v>7402</v>
      </c>
      <c r="CC224" s="93">
        <f>SUM($Z224:AV224)-SUM($CM224:DI224)</f>
        <v>7402</v>
      </c>
      <c r="CD224" s="93">
        <f>SUM($Z224:AW224)-SUM($CM224:DJ224)</f>
        <v>7402</v>
      </c>
      <c r="CE224" s="93">
        <f>SUM($Z224:AX224)-SUM($CM224:DK224)</f>
        <v>7402</v>
      </c>
      <c r="CF224" s="93">
        <f>SUM($Z224:AY224)-SUM($CM224:DL224)</f>
        <v>7402</v>
      </c>
      <c r="CG224" s="93">
        <f>SUM($Z224:AZ224)-SUM($CM224:DM224)</f>
        <v>7402</v>
      </c>
      <c r="CH224" s="93">
        <f>SUM($Z224:BA224)-SUM($CM224:DN224)</f>
        <v>7402</v>
      </c>
      <c r="CI224" s="93">
        <f>SUM($Z224:BB224)-SUM($CM224:DO224)</f>
        <v>7402</v>
      </c>
      <c r="CJ224" s="93"/>
      <c r="CK224" s="93"/>
      <c r="CL224" s="93"/>
      <c r="CM224" s="93"/>
      <c r="CN224" s="93" cm="1">
        <f t="array" ref="CN224">SUMPRODUCT(TRANSPOSE(CN$4:CN$20),$G224:$W224)</f>
        <v>0</v>
      </c>
      <c r="CO224" s="93" cm="1">
        <f t="array" ref="CO224">SUMPRODUCT(TRANSPOSE(CO$4:CO$20),$G224:$W224)</f>
        <v>0</v>
      </c>
      <c r="CP224" s="93" cm="1">
        <f t="array" ref="CP224">SUMPRODUCT(TRANSPOSE(CP$4:CP$20),$G224:$W224)</f>
        <v>0</v>
      </c>
      <c r="CQ224" s="93" cm="1">
        <f t="array" ref="CQ224">SUMPRODUCT(TRANSPOSE(CQ$4:CQ$20),$G224:$W224)</f>
        <v>1248</v>
      </c>
      <c r="CR224" s="93" cm="1">
        <f t="array" ref="CR224">SUMPRODUCT(TRANSPOSE(CR$4:CR$20),$G224:$W224)</f>
        <v>1120</v>
      </c>
      <c r="CS224" s="93" cm="1">
        <f t="array" ref="CS224">SUMPRODUCT(TRANSPOSE(CS$4:CS$20),$G224:$W224)</f>
        <v>1040</v>
      </c>
      <c r="CT224" s="93" cm="1">
        <f t="array" ref="CT224">SUMPRODUCT(TRANSPOSE(CT$4:CT$20),$G224:$W224)</f>
        <v>960</v>
      </c>
      <c r="CU224" s="93" cm="1">
        <f t="array" ref="CU224">SUMPRODUCT(TRANSPOSE(CU$4:CU$20),$G224:$W224)</f>
        <v>960</v>
      </c>
      <c r="CV224" s="93" cm="1">
        <f t="array" ref="CV224">SUMPRODUCT(TRANSPOSE(CV$4:CV$20),$G224:$W224)</f>
        <v>960</v>
      </c>
      <c r="CW224" s="93" cm="1">
        <f t="array" ref="CW224">SUMPRODUCT(TRANSPOSE(CW$4:CW$20),$G224:$W224)</f>
        <v>960</v>
      </c>
      <c r="CX224" s="93" cm="1">
        <f t="array" ref="CX224">SUMPRODUCT(TRANSPOSE(CX$4:CX$20),$G224:$W224)</f>
        <v>960</v>
      </c>
      <c r="CY224" s="93" cm="1">
        <f t="array" ref="CY224">SUMPRODUCT(TRANSPOSE(CY$4:CY$20),$G224:$W224)</f>
        <v>960</v>
      </c>
      <c r="CZ224" s="93" cm="1">
        <f t="array" ref="CZ224">SUMPRODUCT(TRANSPOSE(CZ$4:CZ$20),$G224:$W224)</f>
        <v>960</v>
      </c>
      <c r="DA224" s="93" cm="1">
        <f t="array" ref="DA224">SUMPRODUCT(TRANSPOSE(DA$4:DA$20),$G224:$W224)</f>
        <v>960</v>
      </c>
      <c r="DB224" s="93" cm="1">
        <f t="array" ref="DB224">SUMPRODUCT(TRANSPOSE(DB$4:DB$20),$G224:$W224)</f>
        <v>224</v>
      </c>
      <c r="DC224" s="93" cm="1">
        <f t="array" ref="DC224">SUMPRODUCT(TRANSPOSE(DC$4:DC$20),$G224:$W224)</f>
        <v>0</v>
      </c>
      <c r="DD224" s="93" cm="1">
        <f t="array" ref="DD224">SUMPRODUCT(TRANSPOSE(DD$4:DD$20),$G224:$W224)</f>
        <v>0</v>
      </c>
      <c r="DE224" s="93" cm="1">
        <f t="array" ref="DE224">SUMPRODUCT(TRANSPOSE(DE$4:DE$20),$G224:$W224)</f>
        <v>0</v>
      </c>
      <c r="DF224" s="93" cm="1">
        <f t="array" ref="DF224">SUMPRODUCT(TRANSPOSE(DF$4:DF$20),$G224:$W224)</f>
        <v>0</v>
      </c>
      <c r="DG224" s="93" cm="1">
        <f t="array" ref="DG224">SUMPRODUCT(TRANSPOSE(DG$4:DG$20),$G224:$W224)</f>
        <v>0</v>
      </c>
      <c r="DH224" s="93" cm="1">
        <f t="array" ref="DH224">SUMPRODUCT(TRANSPOSE(DH$4:DH$20),$G224:$W224)</f>
        <v>0</v>
      </c>
      <c r="DI224" s="93" cm="1">
        <f t="array" ref="DI224">SUMPRODUCT(TRANSPOSE(DI$4:DI$20),$G224:$W224)</f>
        <v>0</v>
      </c>
      <c r="DJ224" s="93" cm="1">
        <f t="array" ref="DJ224">SUMPRODUCT(TRANSPOSE(DJ$4:DJ$20),$G224:$W224)</f>
        <v>0</v>
      </c>
      <c r="DK224" s="93" cm="1">
        <f t="array" ref="DK224">SUMPRODUCT(TRANSPOSE(DK$4:DK$20),$G224:$W224)</f>
        <v>0</v>
      </c>
      <c r="DL224" s="93" cm="1">
        <f t="array" ref="DL224">SUMPRODUCT(TRANSPOSE(DL$4:DL$20),$G224:$W224)</f>
        <v>0</v>
      </c>
      <c r="DM224" s="93" cm="1">
        <f t="array" ref="DM224">SUMPRODUCT(TRANSPOSE(DM$4:DM$20),$G224:$W224)</f>
        <v>0</v>
      </c>
      <c r="DN224" s="93" cm="1">
        <f t="array" ref="DN224">SUMPRODUCT(TRANSPOSE(DN$4:DN$20),$G224:$W224)</f>
        <v>0</v>
      </c>
      <c r="DO224" s="93" cm="1">
        <f t="array" ref="DO224">SUMPRODUCT(TRANSPOSE(DO$4:DO$20),$G224:$W224)</f>
        <v>0</v>
      </c>
    </row>
    <row r="225" spans="1:119" x14ac:dyDescent="0.2">
      <c r="A225" s="45">
        <f t="shared" si="29"/>
        <v>204</v>
      </c>
      <c r="B225" s="46" t="s">
        <v>541</v>
      </c>
      <c r="C225" s="45">
        <v>417049490</v>
      </c>
      <c r="D225" s="45" t="s">
        <v>542</v>
      </c>
      <c r="E225" s="45" t="s">
        <v>162</v>
      </c>
      <c r="F225" s="48">
        <v>2</v>
      </c>
      <c r="G225" s="100">
        <v>0</v>
      </c>
      <c r="H225" s="100">
        <v>0</v>
      </c>
      <c r="I225" s="100">
        <v>0</v>
      </c>
      <c r="J225" s="100">
        <v>0</v>
      </c>
      <c r="K225" s="100">
        <v>0</v>
      </c>
      <c r="L225" s="100">
        <v>0</v>
      </c>
      <c r="M225" s="100">
        <v>0</v>
      </c>
      <c r="N225" s="100">
        <v>0</v>
      </c>
      <c r="O225" s="100">
        <v>0</v>
      </c>
      <c r="P225" s="100">
        <v>0</v>
      </c>
      <c r="Q225" s="100">
        <v>522</v>
      </c>
      <c r="R225" s="100">
        <v>0</v>
      </c>
      <c r="S225" s="100">
        <v>0</v>
      </c>
      <c r="T225" s="100">
        <v>0</v>
      </c>
      <c r="U225" s="100">
        <v>282</v>
      </c>
      <c r="V225" s="100">
        <v>0</v>
      </c>
      <c r="W225" s="100">
        <v>0</v>
      </c>
      <c r="X225" s="45" t="s">
        <v>65</v>
      </c>
      <c r="Y225" s="49">
        <v>8.0000000000000004E-4</v>
      </c>
      <c r="Z225" s="45">
        <v>570000</v>
      </c>
      <c r="AA225" s="45">
        <v>0</v>
      </c>
      <c r="AB225" s="45">
        <v>0</v>
      </c>
      <c r="AC225" s="45">
        <v>0</v>
      </c>
      <c r="AD225" s="45">
        <v>0</v>
      </c>
      <c r="AE225" s="45">
        <v>0</v>
      </c>
      <c r="AF225" s="45">
        <v>0</v>
      </c>
      <c r="AG225" s="45">
        <v>0</v>
      </c>
      <c r="AH225" s="45">
        <v>0</v>
      </c>
      <c r="AI225" s="45">
        <v>0</v>
      </c>
      <c r="AJ225" s="45">
        <v>0</v>
      </c>
      <c r="AK225" s="45">
        <v>0</v>
      </c>
      <c r="AL225" s="45">
        <v>0</v>
      </c>
      <c r="AM225" s="45">
        <v>0</v>
      </c>
      <c r="AN225" s="45">
        <v>0</v>
      </c>
      <c r="AO225" s="45"/>
      <c r="AP225" s="45"/>
      <c r="AQ225" s="45"/>
      <c r="AR225" s="45"/>
      <c r="AS225" s="45"/>
      <c r="AT225" s="45"/>
      <c r="AU225" s="45"/>
      <c r="AV225" s="45"/>
      <c r="AW225" s="45"/>
      <c r="AX225" s="45"/>
      <c r="AY225" s="45"/>
      <c r="AZ225" s="45"/>
      <c r="BA225" s="45"/>
      <c r="BB225" s="45"/>
      <c r="BC225" s="45"/>
      <c r="BD225" s="93"/>
      <c r="BE225" s="93"/>
      <c r="BF225" s="93"/>
      <c r="BG225" s="93"/>
      <c r="BH225" s="93"/>
      <c r="BI225" s="93"/>
      <c r="BJ225" s="93"/>
      <c r="BK225" s="93">
        <f>SUM($Z225:AD225)-SUM($CM225:CQ225)</f>
        <v>539604</v>
      </c>
      <c r="BL225" s="93">
        <f>SUM($Z225:AE225)-SUM($CM225:CR225)</f>
        <v>511464</v>
      </c>
      <c r="BM225" s="93">
        <f>SUM($Z225:AF225)-SUM($CM225:CS225)</f>
        <v>484734</v>
      </c>
      <c r="BN225" s="93">
        <f>SUM($Z225:AG225)-SUM($CM225:CT225)</f>
        <v>460614</v>
      </c>
      <c r="BO225" s="93">
        <f>SUM($Z225:AH225)-SUM($CM225:CU225)</f>
        <v>436494</v>
      </c>
      <c r="BP225" s="93">
        <f>SUM($Z225:AI225)-SUM($CM225:CV225)</f>
        <v>412374</v>
      </c>
      <c r="BQ225" s="93">
        <f>SUM($Z225:AJ225)-SUM($CM225:CW225)</f>
        <v>388254</v>
      </c>
      <c r="BR225" s="93">
        <f>SUM($Z225:AK225)-SUM($CM225:CX225)</f>
        <v>364134</v>
      </c>
      <c r="BS225" s="93">
        <f>SUM($Z225:AL225)-SUM($CM225:CY225)</f>
        <v>340014</v>
      </c>
      <c r="BT225" s="93">
        <f>SUM($Z225:AM225)-SUM($CM225:CZ225)</f>
        <v>315894</v>
      </c>
      <c r="BU225" s="93">
        <f>SUM($Z225:AN225)-SUM($CM225:DA225)</f>
        <v>291774</v>
      </c>
      <c r="BV225" s="93">
        <f>SUM($Z225:AO225)-SUM($CM225:DB225)</f>
        <v>284466</v>
      </c>
      <c r="BW225" s="93">
        <f>SUM($Z225:AP225)-SUM($CM225:DC225)</f>
        <v>284466</v>
      </c>
      <c r="BX225" s="93">
        <f>SUM($Z225:AQ225)-SUM($CM225:DD225)</f>
        <v>284466</v>
      </c>
      <c r="BY225" s="93">
        <f>SUM($Z225:AR225)-SUM($CM225:DE225)</f>
        <v>284466</v>
      </c>
      <c r="BZ225" s="93">
        <f>SUM($Z225:AS225)-SUM($CM225:DF225)</f>
        <v>284466</v>
      </c>
      <c r="CA225" s="93">
        <f>SUM($Z225:AT225)-SUM($CM225:DG225)</f>
        <v>284466</v>
      </c>
      <c r="CB225" s="93">
        <f>SUM($Z225:AU225)-SUM($CM225:DH225)</f>
        <v>284466</v>
      </c>
      <c r="CC225" s="93">
        <f>SUM($Z225:AV225)-SUM($CM225:DI225)</f>
        <v>284466</v>
      </c>
      <c r="CD225" s="93">
        <f>SUM($Z225:AW225)-SUM($CM225:DJ225)</f>
        <v>284466</v>
      </c>
      <c r="CE225" s="93">
        <f>SUM($Z225:AX225)-SUM($CM225:DK225)</f>
        <v>284466</v>
      </c>
      <c r="CF225" s="93">
        <f>SUM($Z225:AY225)-SUM($CM225:DL225)</f>
        <v>284466</v>
      </c>
      <c r="CG225" s="93">
        <f>SUM($Z225:AZ225)-SUM($CM225:DM225)</f>
        <v>284466</v>
      </c>
      <c r="CH225" s="93">
        <f>SUM($Z225:BA225)-SUM($CM225:DN225)</f>
        <v>284466</v>
      </c>
      <c r="CI225" s="93">
        <f>SUM($Z225:BB225)-SUM($CM225:DO225)</f>
        <v>284466</v>
      </c>
      <c r="CJ225" s="93"/>
      <c r="CK225" s="93"/>
      <c r="CL225" s="93"/>
      <c r="CM225" s="93"/>
      <c r="CN225" s="93" cm="1">
        <f t="array" ref="CN225">SUMPRODUCT(TRANSPOSE(CN$4:CN$20),$G225:$W225)</f>
        <v>0</v>
      </c>
      <c r="CO225" s="93" cm="1">
        <f t="array" ref="CO225">SUMPRODUCT(TRANSPOSE(CO$4:CO$20),$G225:$W225)</f>
        <v>0</v>
      </c>
      <c r="CP225" s="93" cm="1">
        <f t="array" ref="CP225">SUMPRODUCT(TRANSPOSE(CP$4:CP$20),$G225:$W225)</f>
        <v>0</v>
      </c>
      <c r="CQ225" s="93" cm="1">
        <f t="array" ref="CQ225">SUMPRODUCT(TRANSPOSE(CQ$4:CQ$20),$G225:$W225)</f>
        <v>30396</v>
      </c>
      <c r="CR225" s="93" cm="1">
        <f t="array" ref="CR225">SUMPRODUCT(TRANSPOSE(CR$4:CR$20),$G225:$W225)</f>
        <v>28140</v>
      </c>
      <c r="CS225" s="93" cm="1">
        <f t="array" ref="CS225">SUMPRODUCT(TRANSPOSE(CS$4:CS$20),$G225:$W225)</f>
        <v>26730</v>
      </c>
      <c r="CT225" s="93" cm="1">
        <f t="array" ref="CT225">SUMPRODUCT(TRANSPOSE(CT$4:CT$20),$G225:$W225)</f>
        <v>24120</v>
      </c>
      <c r="CU225" s="93" cm="1">
        <f t="array" ref="CU225">SUMPRODUCT(TRANSPOSE(CU$4:CU$20),$G225:$W225)</f>
        <v>24120</v>
      </c>
      <c r="CV225" s="93" cm="1">
        <f t="array" ref="CV225">SUMPRODUCT(TRANSPOSE(CV$4:CV$20),$G225:$W225)</f>
        <v>24120</v>
      </c>
      <c r="CW225" s="93" cm="1">
        <f t="array" ref="CW225">SUMPRODUCT(TRANSPOSE(CW$4:CW$20),$G225:$W225)</f>
        <v>24120</v>
      </c>
      <c r="CX225" s="93" cm="1">
        <f t="array" ref="CX225">SUMPRODUCT(TRANSPOSE(CX$4:CX$20),$G225:$W225)</f>
        <v>24120</v>
      </c>
      <c r="CY225" s="93" cm="1">
        <f t="array" ref="CY225">SUMPRODUCT(TRANSPOSE(CY$4:CY$20),$G225:$W225)</f>
        <v>24120</v>
      </c>
      <c r="CZ225" s="93" cm="1">
        <f t="array" ref="CZ225">SUMPRODUCT(TRANSPOSE(CZ$4:CZ$20),$G225:$W225)</f>
        <v>24120</v>
      </c>
      <c r="DA225" s="93" cm="1">
        <f t="array" ref="DA225">SUMPRODUCT(TRANSPOSE(DA$4:DA$20),$G225:$W225)</f>
        <v>24120</v>
      </c>
      <c r="DB225" s="93" cm="1">
        <f t="array" ref="DB225">SUMPRODUCT(TRANSPOSE(DB$4:DB$20),$G225:$W225)</f>
        <v>7308</v>
      </c>
      <c r="DC225" s="93" cm="1">
        <f t="array" ref="DC225">SUMPRODUCT(TRANSPOSE(DC$4:DC$20),$G225:$W225)</f>
        <v>0</v>
      </c>
      <c r="DD225" s="93" cm="1">
        <f t="array" ref="DD225">SUMPRODUCT(TRANSPOSE(DD$4:DD$20),$G225:$W225)</f>
        <v>0</v>
      </c>
      <c r="DE225" s="93" cm="1">
        <f t="array" ref="DE225">SUMPRODUCT(TRANSPOSE(DE$4:DE$20),$G225:$W225)</f>
        <v>0</v>
      </c>
      <c r="DF225" s="93" cm="1">
        <f t="array" ref="DF225">SUMPRODUCT(TRANSPOSE(DF$4:DF$20),$G225:$W225)</f>
        <v>0</v>
      </c>
      <c r="DG225" s="93" cm="1">
        <f t="array" ref="DG225">SUMPRODUCT(TRANSPOSE(DG$4:DG$20),$G225:$W225)</f>
        <v>0</v>
      </c>
      <c r="DH225" s="93" cm="1">
        <f t="array" ref="DH225">SUMPRODUCT(TRANSPOSE(DH$4:DH$20),$G225:$W225)</f>
        <v>0</v>
      </c>
      <c r="DI225" s="93" cm="1">
        <f t="array" ref="DI225">SUMPRODUCT(TRANSPOSE(DI$4:DI$20),$G225:$W225)</f>
        <v>0</v>
      </c>
      <c r="DJ225" s="93" cm="1">
        <f t="array" ref="DJ225">SUMPRODUCT(TRANSPOSE(DJ$4:DJ$20),$G225:$W225)</f>
        <v>0</v>
      </c>
      <c r="DK225" s="93" cm="1">
        <f t="array" ref="DK225">SUMPRODUCT(TRANSPOSE(DK$4:DK$20),$G225:$W225)</f>
        <v>0</v>
      </c>
      <c r="DL225" s="93" cm="1">
        <f t="array" ref="DL225">SUMPRODUCT(TRANSPOSE(DL$4:DL$20),$G225:$W225)</f>
        <v>0</v>
      </c>
      <c r="DM225" s="93" cm="1">
        <f t="array" ref="DM225">SUMPRODUCT(TRANSPOSE(DM$4:DM$20),$G225:$W225)</f>
        <v>0</v>
      </c>
      <c r="DN225" s="93" cm="1">
        <f t="array" ref="DN225">SUMPRODUCT(TRANSPOSE(DN$4:DN$20),$G225:$W225)</f>
        <v>0</v>
      </c>
      <c r="DO225" s="93" cm="1">
        <f t="array" ref="DO225">SUMPRODUCT(TRANSPOSE(DO$4:DO$20),$G225:$W225)</f>
        <v>0</v>
      </c>
    </row>
    <row r="226" spans="1:119" x14ac:dyDescent="0.2">
      <c r="A226" s="45">
        <f t="shared" si="29"/>
        <v>205</v>
      </c>
      <c r="B226" s="46" t="s">
        <v>543</v>
      </c>
      <c r="C226" s="45">
        <v>402231969</v>
      </c>
      <c r="D226" s="45" t="s">
        <v>544</v>
      </c>
      <c r="E226" s="45" t="s">
        <v>162</v>
      </c>
      <c r="F226" s="48">
        <v>2</v>
      </c>
      <c r="G226" s="100">
        <v>0</v>
      </c>
      <c r="H226" s="100">
        <v>0</v>
      </c>
      <c r="I226" s="100">
        <v>0</v>
      </c>
      <c r="J226" s="100">
        <v>0</v>
      </c>
      <c r="K226" s="100">
        <v>0</v>
      </c>
      <c r="L226" s="100">
        <v>0</v>
      </c>
      <c r="M226" s="100">
        <v>0</v>
      </c>
      <c r="N226" s="100">
        <v>0</v>
      </c>
      <c r="O226" s="100">
        <v>0</v>
      </c>
      <c r="P226" s="100">
        <v>0</v>
      </c>
      <c r="Q226" s="100">
        <v>68</v>
      </c>
      <c r="R226" s="100">
        <v>0</v>
      </c>
      <c r="S226" s="100">
        <v>0</v>
      </c>
      <c r="T226" s="100">
        <v>0</v>
      </c>
      <c r="U226" s="100">
        <v>0</v>
      </c>
      <c r="V226" s="100">
        <v>0</v>
      </c>
      <c r="W226" s="100">
        <v>0</v>
      </c>
      <c r="X226" s="45" t="s">
        <v>65</v>
      </c>
      <c r="Y226" s="49">
        <v>2E-3</v>
      </c>
      <c r="Z226" s="45">
        <v>80000</v>
      </c>
      <c r="AA226" s="45">
        <v>0</v>
      </c>
      <c r="AB226" s="45">
        <v>0</v>
      </c>
      <c r="AC226" s="45">
        <v>0</v>
      </c>
      <c r="AD226" s="45">
        <v>0</v>
      </c>
      <c r="AE226" s="45">
        <v>0</v>
      </c>
      <c r="AF226" s="45">
        <v>0</v>
      </c>
      <c r="AG226" s="45">
        <v>0</v>
      </c>
      <c r="AH226" s="45">
        <v>0</v>
      </c>
      <c r="AI226" s="45">
        <v>0</v>
      </c>
      <c r="AJ226" s="45">
        <v>0</v>
      </c>
      <c r="AK226" s="45">
        <v>0</v>
      </c>
      <c r="AL226" s="45">
        <v>0</v>
      </c>
      <c r="AM226" s="45">
        <v>0</v>
      </c>
      <c r="AN226" s="45">
        <v>0</v>
      </c>
      <c r="AO226" s="45"/>
      <c r="AP226" s="45"/>
      <c r="AQ226" s="45"/>
      <c r="AR226" s="45"/>
      <c r="AS226" s="45"/>
      <c r="AT226" s="45"/>
      <c r="AU226" s="45"/>
      <c r="AV226" s="45"/>
      <c r="AW226" s="45"/>
      <c r="AX226" s="45"/>
      <c r="AY226" s="45"/>
      <c r="AZ226" s="45"/>
      <c r="BA226" s="45"/>
      <c r="BB226" s="45"/>
      <c r="BC226" s="45"/>
      <c r="BD226" s="93"/>
      <c r="BE226" s="93"/>
      <c r="BF226" s="93"/>
      <c r="BG226" s="93"/>
      <c r="BH226" s="93"/>
      <c r="BI226" s="93"/>
      <c r="BJ226" s="93"/>
      <c r="BK226" s="93">
        <f>SUM($Z226:AD226)-SUM($CM226:CQ226)</f>
        <v>77620</v>
      </c>
      <c r="BL226" s="93">
        <f>SUM($Z226:AE226)-SUM($CM226:CR226)</f>
        <v>75240</v>
      </c>
      <c r="BM226" s="93">
        <f>SUM($Z226:AF226)-SUM($CM226:CS226)</f>
        <v>72860</v>
      </c>
      <c r="BN226" s="93">
        <f>SUM($Z226:AG226)-SUM($CM226:CT226)</f>
        <v>70820</v>
      </c>
      <c r="BO226" s="93">
        <f>SUM($Z226:AH226)-SUM($CM226:CU226)</f>
        <v>68780</v>
      </c>
      <c r="BP226" s="93">
        <f>SUM($Z226:AI226)-SUM($CM226:CV226)</f>
        <v>66740</v>
      </c>
      <c r="BQ226" s="93">
        <f>SUM($Z226:AJ226)-SUM($CM226:CW226)</f>
        <v>64700</v>
      </c>
      <c r="BR226" s="93">
        <f>SUM($Z226:AK226)-SUM($CM226:CX226)</f>
        <v>62660</v>
      </c>
      <c r="BS226" s="93">
        <f>SUM($Z226:AL226)-SUM($CM226:CY226)</f>
        <v>60620</v>
      </c>
      <c r="BT226" s="93">
        <f>SUM($Z226:AM226)-SUM($CM226:CZ226)</f>
        <v>58580</v>
      </c>
      <c r="BU226" s="93">
        <f>SUM($Z226:AN226)-SUM($CM226:DA226)</f>
        <v>56540</v>
      </c>
      <c r="BV226" s="93">
        <f>SUM($Z226:AO226)-SUM($CM226:DB226)</f>
        <v>55588</v>
      </c>
      <c r="BW226" s="93">
        <f>SUM($Z226:AP226)-SUM($CM226:DC226)</f>
        <v>55588</v>
      </c>
      <c r="BX226" s="93">
        <f>SUM($Z226:AQ226)-SUM($CM226:DD226)</f>
        <v>55588</v>
      </c>
      <c r="BY226" s="93">
        <f>SUM($Z226:AR226)-SUM($CM226:DE226)</f>
        <v>55588</v>
      </c>
      <c r="BZ226" s="93">
        <f>SUM($Z226:AS226)-SUM($CM226:DF226)</f>
        <v>55588</v>
      </c>
      <c r="CA226" s="93">
        <f>SUM($Z226:AT226)-SUM($CM226:DG226)</f>
        <v>55588</v>
      </c>
      <c r="CB226" s="93">
        <f>SUM($Z226:AU226)-SUM($CM226:DH226)</f>
        <v>55588</v>
      </c>
      <c r="CC226" s="93">
        <f>SUM($Z226:AV226)-SUM($CM226:DI226)</f>
        <v>55588</v>
      </c>
      <c r="CD226" s="93">
        <f>SUM($Z226:AW226)-SUM($CM226:DJ226)</f>
        <v>55588</v>
      </c>
      <c r="CE226" s="93">
        <f>SUM($Z226:AX226)-SUM($CM226:DK226)</f>
        <v>55588</v>
      </c>
      <c r="CF226" s="93">
        <f>SUM($Z226:AY226)-SUM($CM226:DL226)</f>
        <v>55588</v>
      </c>
      <c r="CG226" s="93">
        <f>SUM($Z226:AZ226)-SUM($CM226:DM226)</f>
        <v>55588</v>
      </c>
      <c r="CH226" s="93">
        <f>SUM($Z226:BA226)-SUM($CM226:DN226)</f>
        <v>55588</v>
      </c>
      <c r="CI226" s="93">
        <f>SUM($Z226:BB226)-SUM($CM226:DO226)</f>
        <v>55588</v>
      </c>
      <c r="CJ226" s="93"/>
      <c r="CK226" s="93"/>
      <c r="CL226" s="93"/>
      <c r="CM226" s="93"/>
      <c r="CN226" s="93" cm="1">
        <f t="array" ref="CN226">SUMPRODUCT(TRANSPOSE(CN$4:CN$20),$G226:$W226)</f>
        <v>0</v>
      </c>
      <c r="CO226" s="93" cm="1">
        <f t="array" ref="CO226">SUMPRODUCT(TRANSPOSE(CO$4:CO$20),$G226:$W226)</f>
        <v>0</v>
      </c>
      <c r="CP226" s="93" cm="1">
        <f t="array" ref="CP226">SUMPRODUCT(TRANSPOSE(CP$4:CP$20),$G226:$W226)</f>
        <v>0</v>
      </c>
      <c r="CQ226" s="93" cm="1">
        <f t="array" ref="CQ226">SUMPRODUCT(TRANSPOSE(CQ$4:CQ$20),$G226:$W226)</f>
        <v>2380</v>
      </c>
      <c r="CR226" s="93" cm="1">
        <f t="array" ref="CR226">SUMPRODUCT(TRANSPOSE(CR$4:CR$20),$G226:$W226)</f>
        <v>2380</v>
      </c>
      <c r="CS226" s="93" cm="1">
        <f t="array" ref="CS226">SUMPRODUCT(TRANSPOSE(CS$4:CS$20),$G226:$W226)</f>
        <v>2380</v>
      </c>
      <c r="CT226" s="93" cm="1">
        <f t="array" ref="CT226">SUMPRODUCT(TRANSPOSE(CT$4:CT$20),$G226:$W226)</f>
        <v>2040</v>
      </c>
      <c r="CU226" s="93" cm="1">
        <f t="array" ref="CU226">SUMPRODUCT(TRANSPOSE(CU$4:CU$20),$G226:$W226)</f>
        <v>2040</v>
      </c>
      <c r="CV226" s="93" cm="1">
        <f t="array" ref="CV226">SUMPRODUCT(TRANSPOSE(CV$4:CV$20),$G226:$W226)</f>
        <v>2040</v>
      </c>
      <c r="CW226" s="93" cm="1">
        <f t="array" ref="CW226">SUMPRODUCT(TRANSPOSE(CW$4:CW$20),$G226:$W226)</f>
        <v>2040</v>
      </c>
      <c r="CX226" s="93" cm="1">
        <f t="array" ref="CX226">SUMPRODUCT(TRANSPOSE(CX$4:CX$20),$G226:$W226)</f>
        <v>2040</v>
      </c>
      <c r="CY226" s="93" cm="1">
        <f t="array" ref="CY226">SUMPRODUCT(TRANSPOSE(CY$4:CY$20),$G226:$W226)</f>
        <v>2040</v>
      </c>
      <c r="CZ226" s="93" cm="1">
        <f t="array" ref="CZ226">SUMPRODUCT(TRANSPOSE(CZ$4:CZ$20),$G226:$W226)</f>
        <v>2040</v>
      </c>
      <c r="DA226" s="93" cm="1">
        <f t="array" ref="DA226">SUMPRODUCT(TRANSPOSE(DA$4:DA$20),$G226:$W226)</f>
        <v>2040</v>
      </c>
      <c r="DB226" s="93" cm="1">
        <f t="array" ref="DB226">SUMPRODUCT(TRANSPOSE(DB$4:DB$20),$G226:$W226)</f>
        <v>952</v>
      </c>
      <c r="DC226" s="93" cm="1">
        <f t="array" ref="DC226">SUMPRODUCT(TRANSPOSE(DC$4:DC$20),$G226:$W226)</f>
        <v>0</v>
      </c>
      <c r="DD226" s="93" cm="1">
        <f t="array" ref="DD226">SUMPRODUCT(TRANSPOSE(DD$4:DD$20),$G226:$W226)</f>
        <v>0</v>
      </c>
      <c r="DE226" s="93" cm="1">
        <f t="array" ref="DE226">SUMPRODUCT(TRANSPOSE(DE$4:DE$20),$G226:$W226)</f>
        <v>0</v>
      </c>
      <c r="DF226" s="93" cm="1">
        <f t="array" ref="DF226">SUMPRODUCT(TRANSPOSE(DF$4:DF$20),$G226:$W226)</f>
        <v>0</v>
      </c>
      <c r="DG226" s="93" cm="1">
        <f t="array" ref="DG226">SUMPRODUCT(TRANSPOSE(DG$4:DG$20),$G226:$W226)</f>
        <v>0</v>
      </c>
      <c r="DH226" s="93" cm="1">
        <f t="array" ref="DH226">SUMPRODUCT(TRANSPOSE(DH$4:DH$20),$G226:$W226)</f>
        <v>0</v>
      </c>
      <c r="DI226" s="93" cm="1">
        <f t="array" ref="DI226">SUMPRODUCT(TRANSPOSE(DI$4:DI$20),$G226:$W226)</f>
        <v>0</v>
      </c>
      <c r="DJ226" s="93" cm="1">
        <f t="array" ref="DJ226">SUMPRODUCT(TRANSPOSE(DJ$4:DJ$20),$G226:$W226)</f>
        <v>0</v>
      </c>
      <c r="DK226" s="93" cm="1">
        <f t="array" ref="DK226">SUMPRODUCT(TRANSPOSE(DK$4:DK$20),$G226:$W226)</f>
        <v>0</v>
      </c>
      <c r="DL226" s="93" cm="1">
        <f t="array" ref="DL226">SUMPRODUCT(TRANSPOSE(DL$4:DL$20),$G226:$W226)</f>
        <v>0</v>
      </c>
      <c r="DM226" s="93" cm="1">
        <f t="array" ref="DM226">SUMPRODUCT(TRANSPOSE(DM$4:DM$20),$G226:$W226)</f>
        <v>0</v>
      </c>
      <c r="DN226" s="93" cm="1">
        <f t="array" ref="DN226">SUMPRODUCT(TRANSPOSE(DN$4:DN$20),$G226:$W226)</f>
        <v>0</v>
      </c>
      <c r="DO226" s="93" cm="1">
        <f t="array" ref="DO226">SUMPRODUCT(TRANSPOSE(DO$4:DO$20),$G226:$W226)</f>
        <v>0</v>
      </c>
    </row>
    <row r="227" spans="1:119" x14ac:dyDescent="0.2">
      <c r="A227" s="45">
        <f t="shared" si="29"/>
        <v>206</v>
      </c>
      <c r="B227" s="51" t="s">
        <v>545</v>
      </c>
      <c r="C227" s="45">
        <v>410910553</v>
      </c>
      <c r="D227" s="45" t="s">
        <v>546</v>
      </c>
      <c r="E227" s="45" t="s">
        <v>162</v>
      </c>
      <c r="F227" s="48">
        <v>2</v>
      </c>
      <c r="G227" s="100">
        <v>0</v>
      </c>
      <c r="H227" s="100">
        <v>0</v>
      </c>
      <c r="I227" s="100">
        <v>0</v>
      </c>
      <c r="J227" s="100">
        <v>0</v>
      </c>
      <c r="K227" s="100">
        <v>0</v>
      </c>
      <c r="L227" s="100">
        <v>0</v>
      </c>
      <c r="M227" s="100">
        <v>0</v>
      </c>
      <c r="N227" s="100">
        <v>0</v>
      </c>
      <c r="O227" s="100">
        <v>0</v>
      </c>
      <c r="P227" s="100">
        <v>0</v>
      </c>
      <c r="Q227" s="100">
        <v>34</v>
      </c>
      <c r="R227" s="100">
        <v>0</v>
      </c>
      <c r="S227" s="100">
        <v>0</v>
      </c>
      <c r="T227" s="100">
        <v>0</v>
      </c>
      <c r="U227" s="100">
        <v>0</v>
      </c>
      <c r="V227" s="100">
        <v>0</v>
      </c>
      <c r="W227" s="100">
        <v>0</v>
      </c>
      <c r="X227" s="45" t="s">
        <v>65</v>
      </c>
      <c r="Y227" s="49">
        <v>3.9E-2</v>
      </c>
      <c r="Z227" s="45">
        <v>20000</v>
      </c>
      <c r="AA227" s="45">
        <v>0</v>
      </c>
      <c r="AB227" s="45">
        <v>0</v>
      </c>
      <c r="AC227" s="45">
        <v>0</v>
      </c>
      <c r="AD227" s="45">
        <v>0</v>
      </c>
      <c r="AE227" s="45">
        <v>0</v>
      </c>
      <c r="AF227" s="45">
        <v>0</v>
      </c>
      <c r="AG227" s="45">
        <v>0</v>
      </c>
      <c r="AH227" s="45">
        <v>0</v>
      </c>
      <c r="AI227" s="45">
        <v>0</v>
      </c>
      <c r="AJ227" s="45">
        <v>0</v>
      </c>
      <c r="AK227" s="45">
        <v>0</v>
      </c>
      <c r="AL227" s="45">
        <v>0</v>
      </c>
      <c r="AM227" s="45">
        <v>0</v>
      </c>
      <c r="AN227" s="45">
        <v>0</v>
      </c>
      <c r="AO227" s="45"/>
      <c r="AP227" s="45"/>
      <c r="AQ227" s="45"/>
      <c r="AR227" s="45"/>
      <c r="AS227" s="45"/>
      <c r="AT227" s="45"/>
      <c r="AU227" s="45"/>
      <c r="AV227" s="45"/>
      <c r="AW227" s="45"/>
      <c r="AX227" s="45"/>
      <c r="AY227" s="45"/>
      <c r="AZ227" s="45"/>
      <c r="BA227" s="45"/>
      <c r="BB227" s="45"/>
      <c r="BC227" s="45"/>
      <c r="BD227" s="93"/>
      <c r="BE227" s="93"/>
      <c r="BF227" s="93"/>
      <c r="BG227" s="93"/>
      <c r="BH227" s="93"/>
      <c r="BI227" s="93"/>
      <c r="BJ227" s="93"/>
      <c r="BK227" s="93">
        <f>SUM($Z227:AD227)-SUM($CM227:CQ227)</f>
        <v>18810</v>
      </c>
      <c r="BL227" s="93">
        <f>SUM($Z227:AE227)-SUM($CM227:CR227)</f>
        <v>17620</v>
      </c>
      <c r="BM227" s="93">
        <f>SUM($Z227:AF227)-SUM($CM227:CS227)</f>
        <v>16430</v>
      </c>
      <c r="BN227" s="93">
        <f>SUM($Z227:AG227)-SUM($CM227:CT227)</f>
        <v>15410</v>
      </c>
      <c r="BO227" s="93">
        <f>SUM($Z227:AH227)-SUM($CM227:CU227)</f>
        <v>14390</v>
      </c>
      <c r="BP227" s="93">
        <f>SUM($Z227:AI227)-SUM($CM227:CV227)</f>
        <v>13370</v>
      </c>
      <c r="BQ227" s="93">
        <f>SUM($Z227:AJ227)-SUM($CM227:CW227)</f>
        <v>12350</v>
      </c>
      <c r="BR227" s="93">
        <f>SUM($Z227:AK227)-SUM($CM227:CX227)</f>
        <v>11330</v>
      </c>
      <c r="BS227" s="93">
        <f>SUM($Z227:AL227)-SUM($CM227:CY227)</f>
        <v>10310</v>
      </c>
      <c r="BT227" s="93">
        <f>SUM($Z227:AM227)-SUM($CM227:CZ227)</f>
        <v>9290</v>
      </c>
      <c r="BU227" s="93">
        <f>SUM($Z227:AN227)-SUM($CM227:DA227)</f>
        <v>8270</v>
      </c>
      <c r="BV227" s="93">
        <f>SUM($Z227:AO227)-SUM($CM227:DB227)</f>
        <v>7794</v>
      </c>
      <c r="BW227" s="93">
        <f>SUM($Z227:AP227)-SUM($CM227:DC227)</f>
        <v>7794</v>
      </c>
      <c r="BX227" s="93">
        <f>SUM($Z227:AQ227)-SUM($CM227:DD227)</f>
        <v>7794</v>
      </c>
      <c r="BY227" s="93">
        <f>SUM($Z227:AR227)-SUM($CM227:DE227)</f>
        <v>7794</v>
      </c>
      <c r="BZ227" s="93">
        <f>SUM($Z227:AS227)-SUM($CM227:DF227)</f>
        <v>7794</v>
      </c>
      <c r="CA227" s="93">
        <f>SUM($Z227:AT227)-SUM($CM227:DG227)</f>
        <v>7794</v>
      </c>
      <c r="CB227" s="93">
        <f>SUM($Z227:AU227)-SUM($CM227:DH227)</f>
        <v>7794</v>
      </c>
      <c r="CC227" s="93">
        <f>SUM($Z227:AV227)-SUM($CM227:DI227)</f>
        <v>7794</v>
      </c>
      <c r="CD227" s="93">
        <f>SUM($Z227:AW227)-SUM($CM227:DJ227)</f>
        <v>7794</v>
      </c>
      <c r="CE227" s="93">
        <f>SUM($Z227:AX227)-SUM($CM227:DK227)</f>
        <v>7794</v>
      </c>
      <c r="CF227" s="93">
        <f>SUM($Z227:AY227)-SUM($CM227:DL227)</f>
        <v>7794</v>
      </c>
      <c r="CG227" s="93">
        <f>SUM($Z227:AZ227)-SUM($CM227:DM227)</f>
        <v>7794</v>
      </c>
      <c r="CH227" s="93">
        <f>SUM($Z227:BA227)-SUM($CM227:DN227)</f>
        <v>7794</v>
      </c>
      <c r="CI227" s="93">
        <f>SUM($Z227:BB227)-SUM($CM227:DO227)</f>
        <v>7794</v>
      </c>
      <c r="CJ227" s="93"/>
      <c r="CK227" s="93"/>
      <c r="CL227" s="93"/>
      <c r="CM227" s="93"/>
      <c r="CN227" s="93" cm="1">
        <f t="array" ref="CN227">SUMPRODUCT(TRANSPOSE(CN$4:CN$20),$G227:$W227)</f>
        <v>0</v>
      </c>
      <c r="CO227" s="93" cm="1">
        <f t="array" ref="CO227">SUMPRODUCT(TRANSPOSE(CO$4:CO$20),$G227:$W227)</f>
        <v>0</v>
      </c>
      <c r="CP227" s="93" cm="1">
        <f t="array" ref="CP227">SUMPRODUCT(TRANSPOSE(CP$4:CP$20),$G227:$W227)</f>
        <v>0</v>
      </c>
      <c r="CQ227" s="93" cm="1">
        <f t="array" ref="CQ227">SUMPRODUCT(TRANSPOSE(CQ$4:CQ$20),$G227:$W227)</f>
        <v>1190</v>
      </c>
      <c r="CR227" s="93" cm="1">
        <f t="array" ref="CR227">SUMPRODUCT(TRANSPOSE(CR$4:CR$20),$G227:$W227)</f>
        <v>1190</v>
      </c>
      <c r="CS227" s="93" cm="1">
        <f t="array" ref="CS227">SUMPRODUCT(TRANSPOSE(CS$4:CS$20),$G227:$W227)</f>
        <v>1190</v>
      </c>
      <c r="CT227" s="93" cm="1">
        <f t="array" ref="CT227">SUMPRODUCT(TRANSPOSE(CT$4:CT$20),$G227:$W227)</f>
        <v>1020</v>
      </c>
      <c r="CU227" s="93" cm="1">
        <f t="array" ref="CU227">SUMPRODUCT(TRANSPOSE(CU$4:CU$20),$G227:$W227)</f>
        <v>1020</v>
      </c>
      <c r="CV227" s="93" cm="1">
        <f t="array" ref="CV227">SUMPRODUCT(TRANSPOSE(CV$4:CV$20),$G227:$W227)</f>
        <v>1020</v>
      </c>
      <c r="CW227" s="93" cm="1">
        <f t="array" ref="CW227">SUMPRODUCT(TRANSPOSE(CW$4:CW$20),$G227:$W227)</f>
        <v>1020</v>
      </c>
      <c r="CX227" s="93" cm="1">
        <f t="array" ref="CX227">SUMPRODUCT(TRANSPOSE(CX$4:CX$20),$G227:$W227)</f>
        <v>1020</v>
      </c>
      <c r="CY227" s="93" cm="1">
        <f t="array" ref="CY227">SUMPRODUCT(TRANSPOSE(CY$4:CY$20),$G227:$W227)</f>
        <v>1020</v>
      </c>
      <c r="CZ227" s="93" cm="1">
        <f t="array" ref="CZ227">SUMPRODUCT(TRANSPOSE(CZ$4:CZ$20),$G227:$W227)</f>
        <v>1020</v>
      </c>
      <c r="DA227" s="93" cm="1">
        <f t="array" ref="DA227">SUMPRODUCT(TRANSPOSE(DA$4:DA$20),$G227:$W227)</f>
        <v>1020</v>
      </c>
      <c r="DB227" s="93" cm="1">
        <f t="array" ref="DB227">SUMPRODUCT(TRANSPOSE(DB$4:DB$20),$G227:$W227)</f>
        <v>476</v>
      </c>
      <c r="DC227" s="93" cm="1">
        <f t="array" ref="DC227">SUMPRODUCT(TRANSPOSE(DC$4:DC$20),$G227:$W227)</f>
        <v>0</v>
      </c>
      <c r="DD227" s="93" cm="1">
        <f t="array" ref="DD227">SUMPRODUCT(TRANSPOSE(DD$4:DD$20),$G227:$W227)</f>
        <v>0</v>
      </c>
      <c r="DE227" s="93" cm="1">
        <f t="array" ref="DE227">SUMPRODUCT(TRANSPOSE(DE$4:DE$20),$G227:$W227)</f>
        <v>0</v>
      </c>
      <c r="DF227" s="93" cm="1">
        <f t="array" ref="DF227">SUMPRODUCT(TRANSPOSE(DF$4:DF$20),$G227:$W227)</f>
        <v>0</v>
      </c>
      <c r="DG227" s="93" cm="1">
        <f t="array" ref="DG227">SUMPRODUCT(TRANSPOSE(DG$4:DG$20),$G227:$W227)</f>
        <v>0</v>
      </c>
      <c r="DH227" s="93" cm="1">
        <f t="array" ref="DH227">SUMPRODUCT(TRANSPOSE(DH$4:DH$20),$G227:$W227)</f>
        <v>0</v>
      </c>
      <c r="DI227" s="93" cm="1">
        <f t="array" ref="DI227">SUMPRODUCT(TRANSPOSE(DI$4:DI$20),$G227:$W227)</f>
        <v>0</v>
      </c>
      <c r="DJ227" s="93" cm="1">
        <f t="array" ref="DJ227">SUMPRODUCT(TRANSPOSE(DJ$4:DJ$20),$G227:$W227)</f>
        <v>0</v>
      </c>
      <c r="DK227" s="93" cm="1">
        <f t="array" ref="DK227">SUMPRODUCT(TRANSPOSE(DK$4:DK$20),$G227:$W227)</f>
        <v>0</v>
      </c>
      <c r="DL227" s="93" cm="1">
        <f t="array" ref="DL227">SUMPRODUCT(TRANSPOSE(DL$4:DL$20),$G227:$W227)</f>
        <v>0</v>
      </c>
      <c r="DM227" s="93" cm="1">
        <f t="array" ref="DM227">SUMPRODUCT(TRANSPOSE(DM$4:DM$20),$G227:$W227)</f>
        <v>0</v>
      </c>
      <c r="DN227" s="93" cm="1">
        <f t="array" ref="DN227">SUMPRODUCT(TRANSPOSE(DN$4:DN$20),$G227:$W227)</f>
        <v>0</v>
      </c>
      <c r="DO227" s="93" cm="1">
        <f t="array" ref="DO227">SUMPRODUCT(TRANSPOSE(DO$4:DO$20),$G227:$W227)</f>
        <v>0</v>
      </c>
    </row>
    <row r="228" spans="1:119" x14ac:dyDescent="0.2">
      <c r="A228" s="45">
        <f t="shared" si="29"/>
        <v>207</v>
      </c>
      <c r="B228" s="46" t="s">
        <v>547</v>
      </c>
      <c r="C228" s="45">
        <v>403326394</v>
      </c>
      <c r="D228" s="45" t="s">
        <v>548</v>
      </c>
      <c r="E228" s="45" t="s">
        <v>162</v>
      </c>
      <c r="F228" s="48">
        <v>2</v>
      </c>
      <c r="G228" s="100">
        <v>0</v>
      </c>
      <c r="H228" s="100">
        <v>0</v>
      </c>
      <c r="I228" s="100">
        <v>0</v>
      </c>
      <c r="J228" s="100">
        <v>0</v>
      </c>
      <c r="K228" s="100">
        <v>0</v>
      </c>
      <c r="L228" s="100">
        <v>0</v>
      </c>
      <c r="M228" s="100">
        <v>0</v>
      </c>
      <c r="N228" s="100">
        <v>0</v>
      </c>
      <c r="O228" s="100">
        <v>0</v>
      </c>
      <c r="P228" s="100">
        <v>0</v>
      </c>
      <c r="Q228" s="100">
        <v>0</v>
      </c>
      <c r="R228" s="100">
        <v>6</v>
      </c>
      <c r="S228" s="100">
        <v>0</v>
      </c>
      <c r="T228" s="100">
        <v>0</v>
      </c>
      <c r="U228" s="100">
        <v>0</v>
      </c>
      <c r="V228" s="100">
        <v>6</v>
      </c>
      <c r="W228" s="100">
        <v>0</v>
      </c>
      <c r="X228" s="45" t="s">
        <v>73</v>
      </c>
      <c r="Y228" s="49">
        <v>2.16</v>
      </c>
      <c r="Z228" s="45">
        <v>7500</v>
      </c>
      <c r="AA228" s="45">
        <v>0</v>
      </c>
      <c r="AB228" s="45">
        <v>0</v>
      </c>
      <c r="AC228" s="45">
        <v>0</v>
      </c>
      <c r="AD228" s="45">
        <v>0</v>
      </c>
      <c r="AE228" s="45">
        <v>0</v>
      </c>
      <c r="AF228" s="45">
        <v>0</v>
      </c>
      <c r="AG228" s="45">
        <v>0</v>
      </c>
      <c r="AH228" s="45">
        <v>0</v>
      </c>
      <c r="AI228" s="45">
        <v>0</v>
      </c>
      <c r="AJ228" s="45">
        <v>0</v>
      </c>
      <c r="AK228" s="45">
        <v>0</v>
      </c>
      <c r="AL228" s="45">
        <v>0</v>
      </c>
      <c r="AM228" s="45">
        <v>0</v>
      </c>
      <c r="AN228" s="45">
        <v>0</v>
      </c>
      <c r="AO228" s="45"/>
      <c r="AP228" s="45"/>
      <c r="AQ228" s="45"/>
      <c r="AR228" s="45"/>
      <c r="AS228" s="45"/>
      <c r="AT228" s="45"/>
      <c r="AU228" s="45"/>
      <c r="AV228" s="45"/>
      <c r="AW228" s="45"/>
      <c r="AX228" s="45"/>
      <c r="AY228" s="45"/>
      <c r="AZ228" s="45"/>
      <c r="BA228" s="45"/>
      <c r="BB228" s="45"/>
      <c r="BC228" s="45"/>
      <c r="BD228" s="93"/>
      <c r="BE228" s="93"/>
      <c r="BF228" s="93"/>
      <c r="BG228" s="93"/>
      <c r="BH228" s="93"/>
      <c r="BI228" s="93"/>
      <c r="BJ228" s="93"/>
      <c r="BK228" s="93">
        <f>SUM($Z228:AD228)-SUM($CM228:CQ228)</f>
        <v>7080</v>
      </c>
      <c r="BL228" s="93">
        <f>SUM($Z228:AE228)-SUM($CM228:CR228)</f>
        <v>6660</v>
      </c>
      <c r="BM228" s="93">
        <f>SUM($Z228:AF228)-SUM($CM228:CS228)</f>
        <v>6240</v>
      </c>
      <c r="BN228" s="93">
        <f>SUM($Z228:AG228)-SUM($CM228:CT228)</f>
        <v>5820</v>
      </c>
      <c r="BO228" s="93">
        <f>SUM($Z228:AH228)-SUM($CM228:CU228)</f>
        <v>5400</v>
      </c>
      <c r="BP228" s="93">
        <f>SUM($Z228:AI228)-SUM($CM228:CV228)</f>
        <v>4980</v>
      </c>
      <c r="BQ228" s="93">
        <f>SUM($Z228:AJ228)-SUM($CM228:CW228)</f>
        <v>4560</v>
      </c>
      <c r="BR228" s="93">
        <f>SUM($Z228:AK228)-SUM($CM228:CX228)</f>
        <v>4140</v>
      </c>
      <c r="BS228" s="93">
        <f>SUM($Z228:AL228)-SUM($CM228:CY228)</f>
        <v>3720</v>
      </c>
      <c r="BT228" s="93">
        <f>SUM($Z228:AM228)-SUM($CM228:CZ228)</f>
        <v>3510</v>
      </c>
      <c r="BU228" s="93">
        <f>SUM($Z228:AN228)-SUM($CM228:DA228)</f>
        <v>3510</v>
      </c>
      <c r="BV228" s="93">
        <f>SUM($Z228:AO228)-SUM($CM228:DB228)</f>
        <v>3510</v>
      </c>
      <c r="BW228" s="93">
        <f>SUM($Z228:AP228)-SUM($CM228:DC228)</f>
        <v>3510</v>
      </c>
      <c r="BX228" s="93">
        <f>SUM($Z228:AQ228)-SUM($CM228:DD228)</f>
        <v>3510</v>
      </c>
      <c r="BY228" s="93">
        <f>SUM($Z228:AR228)-SUM($CM228:DE228)</f>
        <v>3510</v>
      </c>
      <c r="BZ228" s="93">
        <f>SUM($Z228:AS228)-SUM($CM228:DF228)</f>
        <v>3510</v>
      </c>
      <c r="CA228" s="93">
        <f>SUM($Z228:AT228)-SUM($CM228:DG228)</f>
        <v>3510</v>
      </c>
      <c r="CB228" s="93">
        <f>SUM($Z228:AU228)-SUM($CM228:DH228)</f>
        <v>3510</v>
      </c>
      <c r="CC228" s="93">
        <f>SUM($Z228:AV228)-SUM($CM228:DI228)</f>
        <v>3510</v>
      </c>
      <c r="CD228" s="93">
        <f>SUM($Z228:AW228)-SUM($CM228:DJ228)</f>
        <v>3510</v>
      </c>
      <c r="CE228" s="93">
        <f>SUM($Z228:AX228)-SUM($CM228:DK228)</f>
        <v>3510</v>
      </c>
      <c r="CF228" s="93">
        <f>SUM($Z228:AY228)-SUM($CM228:DL228)</f>
        <v>3510</v>
      </c>
      <c r="CG228" s="93">
        <f>SUM($Z228:AZ228)-SUM($CM228:DM228)</f>
        <v>3510</v>
      </c>
      <c r="CH228" s="93">
        <f>SUM($Z228:BA228)-SUM($CM228:DN228)</f>
        <v>3510</v>
      </c>
      <c r="CI228" s="93">
        <f>SUM($Z228:BB228)-SUM($CM228:DO228)</f>
        <v>3510</v>
      </c>
      <c r="CJ228" s="93"/>
      <c r="CK228" s="93"/>
      <c r="CL228" s="93"/>
      <c r="CM228" s="93"/>
      <c r="CN228" s="93" cm="1">
        <f t="array" ref="CN228">SUMPRODUCT(TRANSPOSE(CN$4:CN$20),$G228:$W228)</f>
        <v>0</v>
      </c>
      <c r="CO228" s="93" cm="1">
        <f t="array" ref="CO228">SUMPRODUCT(TRANSPOSE(CO$4:CO$20),$G228:$W228)</f>
        <v>0</v>
      </c>
      <c r="CP228" s="93" cm="1">
        <f t="array" ref="CP228">SUMPRODUCT(TRANSPOSE(CP$4:CP$20),$G228:$W228)</f>
        <v>0</v>
      </c>
      <c r="CQ228" s="93" cm="1">
        <f t="array" ref="CQ228">SUMPRODUCT(TRANSPOSE(CQ$4:CQ$20),$G228:$W228)</f>
        <v>420</v>
      </c>
      <c r="CR228" s="93" cm="1">
        <f t="array" ref="CR228">SUMPRODUCT(TRANSPOSE(CR$4:CR$20),$G228:$W228)</f>
        <v>420</v>
      </c>
      <c r="CS228" s="93" cm="1">
        <f t="array" ref="CS228">SUMPRODUCT(TRANSPOSE(CS$4:CS$20),$G228:$W228)</f>
        <v>420</v>
      </c>
      <c r="CT228" s="93" cm="1">
        <f t="array" ref="CT228">SUMPRODUCT(TRANSPOSE(CT$4:CT$20),$G228:$W228)</f>
        <v>420</v>
      </c>
      <c r="CU228" s="93" cm="1">
        <f t="array" ref="CU228">SUMPRODUCT(TRANSPOSE(CU$4:CU$20),$G228:$W228)</f>
        <v>420</v>
      </c>
      <c r="CV228" s="93" cm="1">
        <f t="array" ref="CV228">SUMPRODUCT(TRANSPOSE(CV$4:CV$20),$G228:$W228)</f>
        <v>420</v>
      </c>
      <c r="CW228" s="93" cm="1">
        <f t="array" ref="CW228">SUMPRODUCT(TRANSPOSE(CW$4:CW$20),$G228:$W228)</f>
        <v>420</v>
      </c>
      <c r="CX228" s="93" cm="1">
        <f t="array" ref="CX228">SUMPRODUCT(TRANSPOSE(CX$4:CX$20),$G228:$W228)</f>
        <v>420</v>
      </c>
      <c r="CY228" s="93" cm="1">
        <f t="array" ref="CY228">SUMPRODUCT(TRANSPOSE(CY$4:CY$20),$G228:$W228)</f>
        <v>420</v>
      </c>
      <c r="CZ228" s="93" cm="1">
        <f t="array" ref="CZ228">SUMPRODUCT(TRANSPOSE(CZ$4:CZ$20),$G228:$W228)</f>
        <v>210</v>
      </c>
      <c r="DA228" s="93" cm="1">
        <f t="array" ref="DA228">SUMPRODUCT(TRANSPOSE(DA$4:DA$20),$G228:$W228)</f>
        <v>0</v>
      </c>
      <c r="DB228" s="93" cm="1">
        <f t="array" ref="DB228">SUMPRODUCT(TRANSPOSE(DB$4:DB$20),$G228:$W228)</f>
        <v>0</v>
      </c>
      <c r="DC228" s="93" cm="1">
        <f t="array" ref="DC228">SUMPRODUCT(TRANSPOSE(DC$4:DC$20),$G228:$W228)</f>
        <v>0</v>
      </c>
      <c r="DD228" s="93" cm="1">
        <f t="array" ref="DD228">SUMPRODUCT(TRANSPOSE(DD$4:DD$20),$G228:$W228)</f>
        <v>0</v>
      </c>
      <c r="DE228" s="93" cm="1">
        <f t="array" ref="DE228">SUMPRODUCT(TRANSPOSE(DE$4:DE$20),$G228:$W228)</f>
        <v>0</v>
      </c>
      <c r="DF228" s="93" cm="1">
        <f t="array" ref="DF228">SUMPRODUCT(TRANSPOSE(DF$4:DF$20),$G228:$W228)</f>
        <v>0</v>
      </c>
      <c r="DG228" s="93" cm="1">
        <f t="array" ref="DG228">SUMPRODUCT(TRANSPOSE(DG$4:DG$20),$G228:$W228)</f>
        <v>0</v>
      </c>
      <c r="DH228" s="93" cm="1">
        <f t="array" ref="DH228">SUMPRODUCT(TRANSPOSE(DH$4:DH$20),$G228:$W228)</f>
        <v>0</v>
      </c>
      <c r="DI228" s="93" cm="1">
        <f t="array" ref="DI228">SUMPRODUCT(TRANSPOSE(DI$4:DI$20),$G228:$W228)</f>
        <v>0</v>
      </c>
      <c r="DJ228" s="93" cm="1">
        <f t="array" ref="DJ228">SUMPRODUCT(TRANSPOSE(DJ$4:DJ$20),$G228:$W228)</f>
        <v>0</v>
      </c>
      <c r="DK228" s="93" cm="1">
        <f t="array" ref="DK228">SUMPRODUCT(TRANSPOSE(DK$4:DK$20),$G228:$W228)</f>
        <v>0</v>
      </c>
      <c r="DL228" s="93" cm="1">
        <f t="array" ref="DL228">SUMPRODUCT(TRANSPOSE(DL$4:DL$20),$G228:$W228)</f>
        <v>0</v>
      </c>
      <c r="DM228" s="93" cm="1">
        <f t="array" ref="DM228">SUMPRODUCT(TRANSPOSE(DM$4:DM$20),$G228:$W228)</f>
        <v>0</v>
      </c>
      <c r="DN228" s="93" cm="1">
        <f t="array" ref="DN228">SUMPRODUCT(TRANSPOSE(DN$4:DN$20),$G228:$W228)</f>
        <v>0</v>
      </c>
      <c r="DO228" s="93" cm="1">
        <f t="array" ref="DO228">SUMPRODUCT(TRANSPOSE(DO$4:DO$20),$G228:$W228)</f>
        <v>0</v>
      </c>
    </row>
    <row r="229" spans="1:119" x14ac:dyDescent="0.2">
      <c r="A229" s="45">
        <f t="shared" si="29"/>
        <v>208</v>
      </c>
      <c r="B229" s="46" t="s">
        <v>549</v>
      </c>
      <c r="C229" s="45">
        <v>720709658</v>
      </c>
      <c r="D229" s="45" t="s">
        <v>550</v>
      </c>
      <c r="E229" s="45" t="s">
        <v>551</v>
      </c>
      <c r="F229" s="48">
        <v>2</v>
      </c>
      <c r="G229" s="100">
        <v>0</v>
      </c>
      <c r="H229" s="100">
        <v>0</v>
      </c>
      <c r="I229" s="100">
        <v>0</v>
      </c>
      <c r="J229" s="100">
        <v>0</v>
      </c>
      <c r="K229" s="100">
        <v>0</v>
      </c>
      <c r="L229" s="100">
        <v>0</v>
      </c>
      <c r="M229" s="100">
        <v>0</v>
      </c>
      <c r="N229" s="100">
        <v>0</v>
      </c>
      <c r="O229" s="100">
        <v>0</v>
      </c>
      <c r="P229" s="100">
        <v>0</v>
      </c>
      <c r="Q229" s="100">
        <v>0</v>
      </c>
      <c r="R229" s="100">
        <v>0</v>
      </c>
      <c r="S229" s="100">
        <v>0</v>
      </c>
      <c r="T229" s="100">
        <v>0</v>
      </c>
      <c r="U229" s="100">
        <v>0</v>
      </c>
      <c r="V229" s="100">
        <v>0</v>
      </c>
      <c r="W229" s="100">
        <v>0.05</v>
      </c>
      <c r="X229" s="45" t="s">
        <v>6</v>
      </c>
      <c r="Y229" s="49">
        <v>0</v>
      </c>
      <c r="Z229" s="45">
        <v>0</v>
      </c>
      <c r="AA229" s="45">
        <v>0</v>
      </c>
      <c r="AB229" s="45">
        <v>0</v>
      </c>
      <c r="AC229" s="45">
        <v>0</v>
      </c>
      <c r="AD229" s="45">
        <v>0</v>
      </c>
      <c r="AE229" s="45">
        <v>0</v>
      </c>
      <c r="AF229" s="45">
        <v>0</v>
      </c>
      <c r="AG229" s="45">
        <v>0</v>
      </c>
      <c r="AH229" s="45">
        <v>0</v>
      </c>
      <c r="AI229" s="45">
        <v>0</v>
      </c>
      <c r="AJ229" s="45">
        <v>0</v>
      </c>
      <c r="AK229" s="45">
        <v>0</v>
      </c>
      <c r="AL229" s="45">
        <v>0</v>
      </c>
      <c r="AM229" s="45">
        <v>0</v>
      </c>
      <c r="AN229" s="45">
        <v>0</v>
      </c>
      <c r="AO229" s="45"/>
      <c r="AP229" s="45"/>
      <c r="AQ229" s="45"/>
      <c r="AR229" s="45"/>
      <c r="AS229" s="45"/>
      <c r="AT229" s="45"/>
      <c r="AU229" s="45"/>
      <c r="AV229" s="45"/>
      <c r="AW229" s="45"/>
      <c r="AX229" s="45"/>
      <c r="AY229" s="45"/>
      <c r="AZ229" s="45"/>
      <c r="BA229" s="45"/>
      <c r="BB229" s="45"/>
      <c r="BC229" s="45"/>
      <c r="BD229" s="93"/>
      <c r="BE229" s="93"/>
      <c r="BF229" s="93"/>
      <c r="BG229" s="93"/>
      <c r="BH229" s="93"/>
      <c r="BI229" s="93"/>
      <c r="BJ229" s="93"/>
      <c r="BK229" s="93">
        <f>SUM($Z229:AD229)-SUM($CM229:CQ229)</f>
        <v>-0.8</v>
      </c>
      <c r="BL229" s="93">
        <f>SUM($Z229:AE229)-SUM($CM229:CR229)</f>
        <v>-1.6</v>
      </c>
      <c r="BM229" s="93">
        <f>SUM($Z229:AF229)-SUM($CM229:CS229)</f>
        <v>-2.4000000000000004</v>
      </c>
      <c r="BN229" s="93">
        <f>SUM($Z229:AG229)-SUM($CM229:CT229)</f>
        <v>-3.2</v>
      </c>
      <c r="BO229" s="93">
        <f>SUM($Z229:AH229)-SUM($CM229:CU229)</f>
        <v>-4</v>
      </c>
      <c r="BP229" s="93">
        <f>SUM($Z229:AI229)-SUM($CM229:CV229)</f>
        <v>-4.8</v>
      </c>
      <c r="BQ229" s="93">
        <f>SUM($Z229:AJ229)-SUM($CM229:CW229)</f>
        <v>-5.6</v>
      </c>
      <c r="BR229" s="93">
        <f>SUM($Z229:AK229)-SUM($CM229:CX229)</f>
        <v>-6.3999999999999995</v>
      </c>
      <c r="BS229" s="93">
        <f>SUM($Z229:AL229)-SUM($CM229:CY229)</f>
        <v>-6.3999999999999995</v>
      </c>
      <c r="BT229" s="93">
        <f>SUM($Z229:AM229)-SUM($CM229:CZ229)</f>
        <v>-6.3999999999999995</v>
      </c>
      <c r="BU229" s="93">
        <f>SUM($Z229:AN229)-SUM($CM229:DA229)</f>
        <v>-6.3999999999999995</v>
      </c>
      <c r="BV229" s="93">
        <f>SUM($Z229:AO229)-SUM($CM229:DB229)</f>
        <v>-6.3999999999999995</v>
      </c>
      <c r="BW229" s="93">
        <f>SUM($Z229:AP229)-SUM($CM229:DC229)</f>
        <v>-6.3999999999999995</v>
      </c>
      <c r="BX229" s="93">
        <f>SUM($Z229:AQ229)-SUM($CM229:DD229)</f>
        <v>-6.3999999999999995</v>
      </c>
      <c r="BY229" s="93">
        <f>SUM($Z229:AR229)-SUM($CM229:DE229)</f>
        <v>-6.3999999999999995</v>
      </c>
      <c r="BZ229" s="93">
        <f>SUM($Z229:AS229)-SUM($CM229:DF229)</f>
        <v>-6.3999999999999995</v>
      </c>
      <c r="CA229" s="93">
        <f>SUM($Z229:AT229)-SUM($CM229:DG229)</f>
        <v>-6.3999999999999995</v>
      </c>
      <c r="CB229" s="93">
        <f>SUM($Z229:AU229)-SUM($CM229:DH229)</f>
        <v>-6.3999999999999995</v>
      </c>
      <c r="CC229" s="93">
        <f>SUM($Z229:AV229)-SUM($CM229:DI229)</f>
        <v>-6.3999999999999995</v>
      </c>
      <c r="CD229" s="93">
        <f>SUM($Z229:AW229)-SUM($CM229:DJ229)</f>
        <v>-6.3999999999999995</v>
      </c>
      <c r="CE229" s="93">
        <f>SUM($Z229:AX229)-SUM($CM229:DK229)</f>
        <v>-6.3999999999999995</v>
      </c>
      <c r="CF229" s="93">
        <f>SUM($Z229:AY229)-SUM($CM229:DL229)</f>
        <v>-6.3999999999999995</v>
      </c>
      <c r="CG229" s="93">
        <f>SUM($Z229:AZ229)-SUM($CM229:DM229)</f>
        <v>-6.3999999999999995</v>
      </c>
      <c r="CH229" s="93">
        <f>SUM($Z229:BA229)-SUM($CM229:DN229)</f>
        <v>-6.3999999999999995</v>
      </c>
      <c r="CI229" s="93">
        <f>SUM($Z229:BB229)-SUM($CM229:DO229)</f>
        <v>-6.3999999999999995</v>
      </c>
      <c r="CJ229" s="93"/>
      <c r="CK229" s="93"/>
      <c r="CL229" s="93"/>
      <c r="CM229" s="93"/>
      <c r="CN229" s="93" cm="1">
        <f t="array" ref="CN229">SUMPRODUCT(TRANSPOSE(CN$4:CN$20),$G229:$W229)</f>
        <v>0</v>
      </c>
      <c r="CO229" s="93" cm="1">
        <f t="array" ref="CO229">SUMPRODUCT(TRANSPOSE(CO$4:CO$20),$G229:$W229)</f>
        <v>0</v>
      </c>
      <c r="CP229" s="93" cm="1">
        <f t="array" ref="CP229">SUMPRODUCT(TRANSPOSE(CP$4:CP$20),$G229:$W229)</f>
        <v>0</v>
      </c>
      <c r="CQ229" s="93" cm="1">
        <f t="array" ref="CQ229">SUMPRODUCT(TRANSPOSE(CQ$4:CQ$20),$G229:$W229)</f>
        <v>0.8</v>
      </c>
      <c r="CR229" s="93" cm="1">
        <f t="array" ref="CR229">SUMPRODUCT(TRANSPOSE(CR$4:CR$20),$G229:$W229)</f>
        <v>0.8</v>
      </c>
      <c r="CS229" s="93" cm="1">
        <f t="array" ref="CS229">SUMPRODUCT(TRANSPOSE(CS$4:CS$20),$G229:$W229)</f>
        <v>0.8</v>
      </c>
      <c r="CT229" s="93" cm="1">
        <f t="array" ref="CT229">SUMPRODUCT(TRANSPOSE(CT$4:CT$20),$G229:$W229)</f>
        <v>0.8</v>
      </c>
      <c r="CU229" s="93" cm="1">
        <f t="array" ref="CU229">SUMPRODUCT(TRANSPOSE(CU$4:CU$20),$G229:$W229)</f>
        <v>0.8</v>
      </c>
      <c r="CV229" s="93" cm="1">
        <f t="array" ref="CV229">SUMPRODUCT(TRANSPOSE(CV$4:CV$20),$G229:$W229)</f>
        <v>0.8</v>
      </c>
      <c r="CW229" s="93" cm="1">
        <f t="array" ref="CW229">SUMPRODUCT(TRANSPOSE(CW$4:CW$20),$G229:$W229)</f>
        <v>0.8</v>
      </c>
      <c r="CX229" s="93" cm="1">
        <f t="array" ref="CX229">SUMPRODUCT(TRANSPOSE(CX$4:CX$20),$G229:$W229)</f>
        <v>0.8</v>
      </c>
      <c r="CY229" s="93" cm="1">
        <f t="array" ref="CY229">SUMPRODUCT(TRANSPOSE(CY$4:CY$20),$G229:$W229)</f>
        <v>0</v>
      </c>
      <c r="CZ229" s="93" cm="1">
        <f t="array" ref="CZ229">SUMPRODUCT(TRANSPOSE(CZ$4:CZ$20),$G229:$W229)</f>
        <v>0</v>
      </c>
      <c r="DA229" s="93" cm="1">
        <f t="array" ref="DA229">SUMPRODUCT(TRANSPOSE(DA$4:DA$20),$G229:$W229)</f>
        <v>0</v>
      </c>
      <c r="DB229" s="93" cm="1">
        <f t="array" ref="DB229">SUMPRODUCT(TRANSPOSE(DB$4:DB$20),$G229:$W229)</f>
        <v>0</v>
      </c>
      <c r="DC229" s="93" cm="1">
        <f t="array" ref="DC229">SUMPRODUCT(TRANSPOSE(DC$4:DC$20),$G229:$W229)</f>
        <v>0</v>
      </c>
      <c r="DD229" s="93" cm="1">
        <f t="array" ref="DD229">SUMPRODUCT(TRANSPOSE(DD$4:DD$20),$G229:$W229)</f>
        <v>0</v>
      </c>
      <c r="DE229" s="93" cm="1">
        <f t="array" ref="DE229">SUMPRODUCT(TRANSPOSE(DE$4:DE$20),$G229:$W229)</f>
        <v>0</v>
      </c>
      <c r="DF229" s="93" cm="1">
        <f t="array" ref="DF229">SUMPRODUCT(TRANSPOSE(DF$4:DF$20),$G229:$W229)</f>
        <v>0</v>
      </c>
      <c r="DG229" s="93" cm="1">
        <f t="array" ref="DG229">SUMPRODUCT(TRANSPOSE(DG$4:DG$20),$G229:$W229)</f>
        <v>0</v>
      </c>
      <c r="DH229" s="93" cm="1">
        <f t="array" ref="DH229">SUMPRODUCT(TRANSPOSE(DH$4:DH$20),$G229:$W229)</f>
        <v>0</v>
      </c>
      <c r="DI229" s="93" cm="1">
        <f t="array" ref="DI229">SUMPRODUCT(TRANSPOSE(DI$4:DI$20),$G229:$W229)</f>
        <v>0</v>
      </c>
      <c r="DJ229" s="93" cm="1">
        <f t="array" ref="DJ229">SUMPRODUCT(TRANSPOSE(DJ$4:DJ$20),$G229:$W229)</f>
        <v>0</v>
      </c>
      <c r="DK229" s="93" cm="1">
        <f t="array" ref="DK229">SUMPRODUCT(TRANSPOSE(DK$4:DK$20),$G229:$W229)</f>
        <v>0</v>
      </c>
      <c r="DL229" s="93" cm="1">
        <f t="array" ref="DL229">SUMPRODUCT(TRANSPOSE(DL$4:DL$20),$G229:$W229)</f>
        <v>0</v>
      </c>
      <c r="DM229" s="93" cm="1">
        <f t="array" ref="DM229">SUMPRODUCT(TRANSPOSE(DM$4:DM$20),$G229:$W229)</f>
        <v>0</v>
      </c>
      <c r="DN229" s="93" cm="1">
        <f t="array" ref="DN229">SUMPRODUCT(TRANSPOSE(DN$4:DN$20),$G229:$W229)</f>
        <v>0</v>
      </c>
      <c r="DO229" s="93" cm="1">
        <f t="array" ref="DO229">SUMPRODUCT(TRANSPOSE(DO$4:DO$20),$G229:$W229)</f>
        <v>0</v>
      </c>
    </row>
    <row r="230" spans="1:119" x14ac:dyDescent="0.2">
      <c r="A230" s="45">
        <f t="shared" si="29"/>
        <v>209</v>
      </c>
      <c r="B230" s="46" t="s">
        <v>552</v>
      </c>
      <c r="C230" s="45">
        <v>421559188</v>
      </c>
      <c r="D230" s="45" t="s">
        <v>553</v>
      </c>
      <c r="E230" s="45" t="s">
        <v>162</v>
      </c>
      <c r="F230" s="48">
        <v>2</v>
      </c>
      <c r="G230" s="100">
        <v>0</v>
      </c>
      <c r="H230" s="100">
        <v>0</v>
      </c>
      <c r="I230" s="100">
        <v>0</v>
      </c>
      <c r="J230" s="100">
        <v>0</v>
      </c>
      <c r="K230" s="100">
        <v>0</v>
      </c>
      <c r="L230" s="100">
        <v>0</v>
      </c>
      <c r="M230" s="100">
        <v>0</v>
      </c>
      <c r="N230" s="100">
        <v>0</v>
      </c>
      <c r="O230" s="100">
        <v>0</v>
      </c>
      <c r="P230" s="100">
        <v>0</v>
      </c>
      <c r="Q230" s="100">
        <v>5</v>
      </c>
      <c r="R230" s="100">
        <v>0</v>
      </c>
      <c r="S230" s="100">
        <v>0</v>
      </c>
      <c r="T230" s="100">
        <v>0</v>
      </c>
      <c r="U230" s="100">
        <v>5</v>
      </c>
      <c r="V230" s="100">
        <v>0</v>
      </c>
      <c r="W230" s="100">
        <v>0</v>
      </c>
      <c r="X230" s="45" t="s">
        <v>21</v>
      </c>
      <c r="Y230" s="49">
        <v>1.0814999999999999</v>
      </c>
      <c r="Z230" s="45">
        <v>5500</v>
      </c>
      <c r="AA230" s="45">
        <v>0</v>
      </c>
      <c r="AB230" s="45">
        <v>0</v>
      </c>
      <c r="AC230" s="45">
        <v>0</v>
      </c>
      <c r="AD230" s="45">
        <v>0</v>
      </c>
      <c r="AE230" s="45">
        <v>0</v>
      </c>
      <c r="AF230" s="45">
        <v>0</v>
      </c>
      <c r="AG230" s="45">
        <v>0</v>
      </c>
      <c r="AH230" s="45">
        <v>0</v>
      </c>
      <c r="AI230" s="45">
        <v>0</v>
      </c>
      <c r="AJ230" s="45">
        <v>0</v>
      </c>
      <c r="AK230" s="45">
        <v>0</v>
      </c>
      <c r="AL230" s="45">
        <v>0</v>
      </c>
      <c r="AM230" s="45">
        <v>0</v>
      </c>
      <c r="AN230" s="45">
        <v>0</v>
      </c>
      <c r="AO230" s="45"/>
      <c r="AP230" s="45"/>
      <c r="AQ230" s="45"/>
      <c r="AR230" s="45"/>
      <c r="AS230" s="45"/>
      <c r="AT230" s="45"/>
      <c r="AU230" s="45"/>
      <c r="AV230" s="45"/>
      <c r="AW230" s="45"/>
      <c r="AX230" s="45"/>
      <c r="AY230" s="45"/>
      <c r="AZ230" s="45"/>
      <c r="BA230" s="45"/>
      <c r="BB230" s="45"/>
      <c r="BC230" s="45"/>
      <c r="BD230" s="93"/>
      <c r="BE230" s="93"/>
      <c r="BF230" s="93"/>
      <c r="BG230" s="93"/>
      <c r="BH230" s="93"/>
      <c r="BI230" s="93"/>
      <c r="BJ230" s="93"/>
      <c r="BK230" s="93">
        <f>SUM($Z230:AD230)-SUM($CM230:CQ230)</f>
        <v>5110</v>
      </c>
      <c r="BL230" s="93">
        <f>SUM($Z230:AE230)-SUM($CM230:CR230)</f>
        <v>4760</v>
      </c>
      <c r="BM230" s="93">
        <f>SUM($Z230:AF230)-SUM($CM230:CS230)</f>
        <v>4435</v>
      </c>
      <c r="BN230" s="93">
        <f>SUM($Z230:AG230)-SUM($CM230:CT230)</f>
        <v>4135</v>
      </c>
      <c r="BO230" s="93">
        <f>SUM($Z230:AH230)-SUM($CM230:CU230)</f>
        <v>3835</v>
      </c>
      <c r="BP230" s="93">
        <f>SUM($Z230:AI230)-SUM($CM230:CV230)</f>
        <v>3535</v>
      </c>
      <c r="BQ230" s="93">
        <f>SUM($Z230:AJ230)-SUM($CM230:CW230)</f>
        <v>3235</v>
      </c>
      <c r="BR230" s="93">
        <f>SUM($Z230:AK230)-SUM($CM230:CX230)</f>
        <v>2935</v>
      </c>
      <c r="BS230" s="93">
        <f>SUM($Z230:AL230)-SUM($CM230:CY230)</f>
        <v>2635</v>
      </c>
      <c r="BT230" s="93">
        <f>SUM($Z230:AM230)-SUM($CM230:CZ230)</f>
        <v>2335</v>
      </c>
      <c r="BU230" s="93">
        <f>SUM($Z230:AN230)-SUM($CM230:DA230)</f>
        <v>2035</v>
      </c>
      <c r="BV230" s="93">
        <f>SUM($Z230:AO230)-SUM($CM230:DB230)</f>
        <v>1965</v>
      </c>
      <c r="BW230" s="93">
        <f>SUM($Z230:AP230)-SUM($CM230:DC230)</f>
        <v>1965</v>
      </c>
      <c r="BX230" s="93">
        <f>SUM($Z230:AQ230)-SUM($CM230:DD230)</f>
        <v>1965</v>
      </c>
      <c r="BY230" s="93">
        <f>SUM($Z230:AR230)-SUM($CM230:DE230)</f>
        <v>1965</v>
      </c>
      <c r="BZ230" s="93">
        <f>SUM($Z230:AS230)-SUM($CM230:DF230)</f>
        <v>1965</v>
      </c>
      <c r="CA230" s="93">
        <f>SUM($Z230:AT230)-SUM($CM230:DG230)</f>
        <v>1965</v>
      </c>
      <c r="CB230" s="93">
        <f>SUM($Z230:AU230)-SUM($CM230:DH230)</f>
        <v>1965</v>
      </c>
      <c r="CC230" s="93">
        <f>SUM($Z230:AV230)-SUM($CM230:DI230)</f>
        <v>1965</v>
      </c>
      <c r="CD230" s="93">
        <f>SUM($Z230:AW230)-SUM($CM230:DJ230)</f>
        <v>1965</v>
      </c>
      <c r="CE230" s="93">
        <f>SUM($Z230:AX230)-SUM($CM230:DK230)</f>
        <v>1965</v>
      </c>
      <c r="CF230" s="93">
        <f>SUM($Z230:AY230)-SUM($CM230:DL230)</f>
        <v>1965</v>
      </c>
      <c r="CG230" s="93">
        <f>SUM($Z230:AZ230)-SUM($CM230:DM230)</f>
        <v>1965</v>
      </c>
      <c r="CH230" s="93">
        <f>SUM($Z230:BA230)-SUM($CM230:DN230)</f>
        <v>1965</v>
      </c>
      <c r="CI230" s="93">
        <f>SUM($Z230:BB230)-SUM($CM230:DO230)</f>
        <v>1965</v>
      </c>
      <c r="CJ230" s="93"/>
      <c r="CK230" s="93"/>
      <c r="CL230" s="93"/>
      <c r="CM230" s="93"/>
      <c r="CN230" s="93" cm="1">
        <f t="array" ref="CN230">SUMPRODUCT(TRANSPOSE(CN$4:CN$20),$G230:$W230)</f>
        <v>0</v>
      </c>
      <c r="CO230" s="93" cm="1">
        <f t="array" ref="CO230">SUMPRODUCT(TRANSPOSE(CO$4:CO$20),$G230:$W230)</f>
        <v>0</v>
      </c>
      <c r="CP230" s="93" cm="1">
        <f t="array" ref="CP230">SUMPRODUCT(TRANSPOSE(CP$4:CP$20),$G230:$W230)</f>
        <v>0</v>
      </c>
      <c r="CQ230" s="93" cm="1">
        <f t="array" ref="CQ230">SUMPRODUCT(TRANSPOSE(CQ$4:CQ$20),$G230:$W230)</f>
        <v>390</v>
      </c>
      <c r="CR230" s="93" cm="1">
        <f t="array" ref="CR230">SUMPRODUCT(TRANSPOSE(CR$4:CR$20),$G230:$W230)</f>
        <v>350</v>
      </c>
      <c r="CS230" s="93" cm="1">
        <f t="array" ref="CS230">SUMPRODUCT(TRANSPOSE(CS$4:CS$20),$G230:$W230)</f>
        <v>325</v>
      </c>
      <c r="CT230" s="93" cm="1">
        <f t="array" ref="CT230">SUMPRODUCT(TRANSPOSE(CT$4:CT$20),$G230:$W230)</f>
        <v>300</v>
      </c>
      <c r="CU230" s="93" cm="1">
        <f t="array" ref="CU230">SUMPRODUCT(TRANSPOSE(CU$4:CU$20),$G230:$W230)</f>
        <v>300</v>
      </c>
      <c r="CV230" s="93" cm="1">
        <f t="array" ref="CV230">SUMPRODUCT(TRANSPOSE(CV$4:CV$20),$G230:$W230)</f>
        <v>300</v>
      </c>
      <c r="CW230" s="93" cm="1">
        <f t="array" ref="CW230">SUMPRODUCT(TRANSPOSE(CW$4:CW$20),$G230:$W230)</f>
        <v>300</v>
      </c>
      <c r="CX230" s="93" cm="1">
        <f t="array" ref="CX230">SUMPRODUCT(TRANSPOSE(CX$4:CX$20),$G230:$W230)</f>
        <v>300</v>
      </c>
      <c r="CY230" s="93" cm="1">
        <f t="array" ref="CY230">SUMPRODUCT(TRANSPOSE(CY$4:CY$20),$G230:$W230)</f>
        <v>300</v>
      </c>
      <c r="CZ230" s="93" cm="1">
        <f t="array" ref="CZ230">SUMPRODUCT(TRANSPOSE(CZ$4:CZ$20),$G230:$W230)</f>
        <v>300</v>
      </c>
      <c r="DA230" s="93" cm="1">
        <f t="array" ref="DA230">SUMPRODUCT(TRANSPOSE(DA$4:DA$20),$G230:$W230)</f>
        <v>300</v>
      </c>
      <c r="DB230" s="93" cm="1">
        <f t="array" ref="DB230">SUMPRODUCT(TRANSPOSE(DB$4:DB$20),$G230:$W230)</f>
        <v>70</v>
      </c>
      <c r="DC230" s="93" cm="1">
        <f t="array" ref="DC230">SUMPRODUCT(TRANSPOSE(DC$4:DC$20),$G230:$W230)</f>
        <v>0</v>
      </c>
      <c r="DD230" s="93" cm="1">
        <f t="array" ref="DD230">SUMPRODUCT(TRANSPOSE(DD$4:DD$20),$G230:$W230)</f>
        <v>0</v>
      </c>
      <c r="DE230" s="93" cm="1">
        <f t="array" ref="DE230">SUMPRODUCT(TRANSPOSE(DE$4:DE$20),$G230:$W230)</f>
        <v>0</v>
      </c>
      <c r="DF230" s="93" cm="1">
        <f t="array" ref="DF230">SUMPRODUCT(TRANSPOSE(DF$4:DF$20),$G230:$W230)</f>
        <v>0</v>
      </c>
      <c r="DG230" s="93" cm="1">
        <f t="array" ref="DG230">SUMPRODUCT(TRANSPOSE(DG$4:DG$20),$G230:$W230)</f>
        <v>0</v>
      </c>
      <c r="DH230" s="93" cm="1">
        <f t="array" ref="DH230">SUMPRODUCT(TRANSPOSE(DH$4:DH$20),$G230:$W230)</f>
        <v>0</v>
      </c>
      <c r="DI230" s="93" cm="1">
        <f t="array" ref="DI230">SUMPRODUCT(TRANSPOSE(DI$4:DI$20),$G230:$W230)</f>
        <v>0</v>
      </c>
      <c r="DJ230" s="93" cm="1">
        <f t="array" ref="DJ230">SUMPRODUCT(TRANSPOSE(DJ$4:DJ$20),$G230:$W230)</f>
        <v>0</v>
      </c>
      <c r="DK230" s="93" cm="1">
        <f t="array" ref="DK230">SUMPRODUCT(TRANSPOSE(DK$4:DK$20),$G230:$W230)</f>
        <v>0</v>
      </c>
      <c r="DL230" s="93" cm="1">
        <f t="array" ref="DL230">SUMPRODUCT(TRANSPOSE(DL$4:DL$20),$G230:$W230)</f>
        <v>0</v>
      </c>
      <c r="DM230" s="93" cm="1">
        <f t="array" ref="DM230">SUMPRODUCT(TRANSPOSE(DM$4:DM$20),$G230:$W230)</f>
        <v>0</v>
      </c>
      <c r="DN230" s="93" cm="1">
        <f t="array" ref="DN230">SUMPRODUCT(TRANSPOSE(DN$4:DN$20),$G230:$W230)</f>
        <v>0</v>
      </c>
      <c r="DO230" s="93" cm="1">
        <f t="array" ref="DO230">SUMPRODUCT(TRANSPOSE(DO$4:DO$20),$G230:$W230)</f>
        <v>0</v>
      </c>
    </row>
    <row r="231" spans="1:119" x14ac:dyDescent="0.2">
      <c r="A231" s="45">
        <f t="shared" si="29"/>
        <v>210</v>
      </c>
      <c r="B231" s="46" t="s">
        <v>554</v>
      </c>
      <c r="C231" s="45">
        <v>400359753</v>
      </c>
      <c r="D231" s="45" t="s">
        <v>555</v>
      </c>
      <c r="E231" s="45" t="s">
        <v>162</v>
      </c>
      <c r="F231" s="48">
        <v>2</v>
      </c>
      <c r="G231" s="100">
        <v>0</v>
      </c>
      <c r="H231" s="100">
        <v>0</v>
      </c>
      <c r="I231" s="100">
        <v>0</v>
      </c>
      <c r="J231" s="100">
        <v>0</v>
      </c>
      <c r="K231" s="100">
        <v>0</v>
      </c>
      <c r="L231" s="100">
        <v>0</v>
      </c>
      <c r="M231" s="100">
        <v>0</v>
      </c>
      <c r="N231" s="100">
        <v>0</v>
      </c>
      <c r="O231" s="100">
        <v>0</v>
      </c>
      <c r="P231" s="100">
        <v>0</v>
      </c>
      <c r="Q231" s="100">
        <v>34</v>
      </c>
      <c r="R231" s="100">
        <v>0</v>
      </c>
      <c r="S231" s="100">
        <v>0</v>
      </c>
      <c r="T231" s="100">
        <v>0</v>
      </c>
      <c r="U231" s="100">
        <v>0</v>
      </c>
      <c r="V231" s="100">
        <v>0</v>
      </c>
      <c r="W231" s="100">
        <v>0</v>
      </c>
      <c r="X231" s="45" t="s">
        <v>21</v>
      </c>
      <c r="Y231" s="49">
        <v>2.8531</v>
      </c>
      <c r="Z231" s="45">
        <v>9500</v>
      </c>
      <c r="AA231" s="45">
        <v>0</v>
      </c>
      <c r="AB231" s="45">
        <v>0</v>
      </c>
      <c r="AC231" s="45">
        <v>0</v>
      </c>
      <c r="AD231" s="45">
        <v>0</v>
      </c>
      <c r="AE231" s="45">
        <v>0</v>
      </c>
      <c r="AF231" s="45">
        <v>0</v>
      </c>
      <c r="AG231" s="45">
        <v>0</v>
      </c>
      <c r="AH231" s="45">
        <v>0</v>
      </c>
      <c r="AI231" s="45">
        <v>0</v>
      </c>
      <c r="AJ231" s="45">
        <v>0</v>
      </c>
      <c r="AK231" s="45">
        <v>0</v>
      </c>
      <c r="AL231" s="45">
        <v>0</v>
      </c>
      <c r="AM231" s="45">
        <v>0</v>
      </c>
      <c r="AN231" s="45">
        <v>0</v>
      </c>
      <c r="AO231" s="45"/>
      <c r="AP231" s="45"/>
      <c r="AQ231" s="45"/>
      <c r="AR231" s="45"/>
      <c r="AS231" s="45"/>
      <c r="AT231" s="45"/>
      <c r="AU231" s="45"/>
      <c r="AV231" s="45"/>
      <c r="AW231" s="45"/>
      <c r="AX231" s="45"/>
      <c r="AY231" s="45"/>
      <c r="AZ231" s="45"/>
      <c r="BA231" s="45"/>
      <c r="BB231" s="45"/>
      <c r="BC231" s="45"/>
      <c r="BD231" s="93"/>
      <c r="BE231" s="93"/>
      <c r="BF231" s="93"/>
      <c r="BG231" s="93"/>
      <c r="BH231" s="93"/>
      <c r="BI231" s="93"/>
      <c r="BJ231" s="93"/>
      <c r="BK231" s="93">
        <f>SUM($Z231:AD231)-SUM($CM231:CQ231)</f>
        <v>8310</v>
      </c>
      <c r="BL231" s="93">
        <f>SUM($Z231:AE231)-SUM($CM231:CR231)</f>
        <v>7120</v>
      </c>
      <c r="BM231" s="93">
        <f>SUM($Z231:AF231)-SUM($CM231:CS231)</f>
        <v>5930</v>
      </c>
      <c r="BN231" s="93">
        <f>SUM($Z231:AG231)-SUM($CM231:CT231)</f>
        <v>4910</v>
      </c>
      <c r="BO231" s="93">
        <f>SUM($Z231:AH231)-SUM($CM231:CU231)</f>
        <v>3890</v>
      </c>
      <c r="BP231" s="93">
        <f>SUM($Z231:AI231)-SUM($CM231:CV231)</f>
        <v>2870</v>
      </c>
      <c r="BQ231" s="93">
        <f>SUM($Z231:AJ231)-SUM($CM231:CW231)</f>
        <v>1850</v>
      </c>
      <c r="BR231" s="93">
        <f>SUM($Z231:AK231)-SUM($CM231:CX231)</f>
        <v>830</v>
      </c>
      <c r="BS231" s="93">
        <f>SUM($Z231:AL231)-SUM($CM231:CY231)</f>
        <v>-190</v>
      </c>
      <c r="BT231" s="93">
        <f>SUM($Z231:AM231)-SUM($CM231:CZ231)</f>
        <v>-1210</v>
      </c>
      <c r="BU231" s="93">
        <f>SUM($Z231:AN231)-SUM($CM231:DA231)</f>
        <v>-2230</v>
      </c>
      <c r="BV231" s="93">
        <f>SUM($Z231:AO231)-SUM($CM231:DB231)</f>
        <v>-2706</v>
      </c>
      <c r="BW231" s="93">
        <f>SUM($Z231:AP231)-SUM($CM231:DC231)</f>
        <v>-2706</v>
      </c>
      <c r="BX231" s="93">
        <f>SUM($Z231:AQ231)-SUM($CM231:DD231)</f>
        <v>-2706</v>
      </c>
      <c r="BY231" s="93">
        <f>SUM($Z231:AR231)-SUM($CM231:DE231)</f>
        <v>-2706</v>
      </c>
      <c r="BZ231" s="93">
        <f>SUM($Z231:AS231)-SUM($CM231:DF231)</f>
        <v>-2706</v>
      </c>
      <c r="CA231" s="93">
        <f>SUM($Z231:AT231)-SUM($CM231:DG231)</f>
        <v>-2706</v>
      </c>
      <c r="CB231" s="93">
        <f>SUM($Z231:AU231)-SUM($CM231:DH231)</f>
        <v>-2706</v>
      </c>
      <c r="CC231" s="93">
        <f>SUM($Z231:AV231)-SUM($CM231:DI231)</f>
        <v>-2706</v>
      </c>
      <c r="CD231" s="93">
        <f>SUM($Z231:AW231)-SUM($CM231:DJ231)</f>
        <v>-2706</v>
      </c>
      <c r="CE231" s="93">
        <f>SUM($Z231:AX231)-SUM($CM231:DK231)</f>
        <v>-2706</v>
      </c>
      <c r="CF231" s="93">
        <f>SUM($Z231:AY231)-SUM($CM231:DL231)</f>
        <v>-2706</v>
      </c>
      <c r="CG231" s="93">
        <f>SUM($Z231:AZ231)-SUM($CM231:DM231)</f>
        <v>-2706</v>
      </c>
      <c r="CH231" s="93">
        <f>SUM($Z231:BA231)-SUM($CM231:DN231)</f>
        <v>-2706</v>
      </c>
      <c r="CI231" s="93">
        <f>SUM($Z231:BB231)-SUM($CM231:DO231)</f>
        <v>-2706</v>
      </c>
      <c r="CJ231" s="93"/>
      <c r="CK231" s="93"/>
      <c r="CL231" s="93"/>
      <c r="CM231" s="93"/>
      <c r="CN231" s="93" cm="1">
        <f t="array" ref="CN231">SUMPRODUCT(TRANSPOSE(CN$4:CN$20),$G231:$W231)</f>
        <v>0</v>
      </c>
      <c r="CO231" s="93" cm="1">
        <f t="array" ref="CO231">SUMPRODUCT(TRANSPOSE(CO$4:CO$20),$G231:$W231)</f>
        <v>0</v>
      </c>
      <c r="CP231" s="93" cm="1">
        <f t="array" ref="CP231">SUMPRODUCT(TRANSPOSE(CP$4:CP$20),$G231:$W231)</f>
        <v>0</v>
      </c>
      <c r="CQ231" s="93" cm="1">
        <f t="array" ref="CQ231">SUMPRODUCT(TRANSPOSE(CQ$4:CQ$20),$G231:$W231)</f>
        <v>1190</v>
      </c>
      <c r="CR231" s="93" cm="1">
        <f t="array" ref="CR231">SUMPRODUCT(TRANSPOSE(CR$4:CR$20),$G231:$W231)</f>
        <v>1190</v>
      </c>
      <c r="CS231" s="93" cm="1">
        <f t="array" ref="CS231">SUMPRODUCT(TRANSPOSE(CS$4:CS$20),$G231:$W231)</f>
        <v>1190</v>
      </c>
      <c r="CT231" s="93" cm="1">
        <f t="array" ref="CT231">SUMPRODUCT(TRANSPOSE(CT$4:CT$20),$G231:$W231)</f>
        <v>1020</v>
      </c>
      <c r="CU231" s="93" cm="1">
        <f t="array" ref="CU231">SUMPRODUCT(TRANSPOSE(CU$4:CU$20),$G231:$W231)</f>
        <v>1020</v>
      </c>
      <c r="CV231" s="93" cm="1">
        <f t="array" ref="CV231">SUMPRODUCT(TRANSPOSE(CV$4:CV$20),$G231:$W231)</f>
        <v>1020</v>
      </c>
      <c r="CW231" s="93" cm="1">
        <f t="array" ref="CW231">SUMPRODUCT(TRANSPOSE(CW$4:CW$20),$G231:$W231)</f>
        <v>1020</v>
      </c>
      <c r="CX231" s="93" cm="1">
        <f t="array" ref="CX231">SUMPRODUCT(TRANSPOSE(CX$4:CX$20),$G231:$W231)</f>
        <v>1020</v>
      </c>
      <c r="CY231" s="93" cm="1">
        <f t="array" ref="CY231">SUMPRODUCT(TRANSPOSE(CY$4:CY$20),$G231:$W231)</f>
        <v>1020</v>
      </c>
      <c r="CZ231" s="93" cm="1">
        <f t="array" ref="CZ231">SUMPRODUCT(TRANSPOSE(CZ$4:CZ$20),$G231:$W231)</f>
        <v>1020</v>
      </c>
      <c r="DA231" s="93" cm="1">
        <f t="array" ref="DA231">SUMPRODUCT(TRANSPOSE(DA$4:DA$20),$G231:$W231)</f>
        <v>1020</v>
      </c>
      <c r="DB231" s="93" cm="1">
        <f t="array" ref="DB231">SUMPRODUCT(TRANSPOSE(DB$4:DB$20),$G231:$W231)</f>
        <v>476</v>
      </c>
      <c r="DC231" s="93" cm="1">
        <f t="array" ref="DC231">SUMPRODUCT(TRANSPOSE(DC$4:DC$20),$G231:$W231)</f>
        <v>0</v>
      </c>
      <c r="DD231" s="93" cm="1">
        <f t="array" ref="DD231">SUMPRODUCT(TRANSPOSE(DD$4:DD$20),$G231:$W231)</f>
        <v>0</v>
      </c>
      <c r="DE231" s="93" cm="1">
        <f t="array" ref="DE231">SUMPRODUCT(TRANSPOSE(DE$4:DE$20),$G231:$W231)</f>
        <v>0</v>
      </c>
      <c r="DF231" s="93" cm="1">
        <f t="array" ref="DF231">SUMPRODUCT(TRANSPOSE(DF$4:DF$20),$G231:$W231)</f>
        <v>0</v>
      </c>
      <c r="DG231" s="93" cm="1">
        <f t="array" ref="DG231">SUMPRODUCT(TRANSPOSE(DG$4:DG$20),$G231:$W231)</f>
        <v>0</v>
      </c>
      <c r="DH231" s="93" cm="1">
        <f t="array" ref="DH231">SUMPRODUCT(TRANSPOSE(DH$4:DH$20),$G231:$W231)</f>
        <v>0</v>
      </c>
      <c r="DI231" s="93" cm="1">
        <f t="array" ref="DI231">SUMPRODUCT(TRANSPOSE(DI$4:DI$20),$G231:$W231)</f>
        <v>0</v>
      </c>
      <c r="DJ231" s="93" cm="1">
        <f t="array" ref="DJ231">SUMPRODUCT(TRANSPOSE(DJ$4:DJ$20),$G231:$W231)</f>
        <v>0</v>
      </c>
      <c r="DK231" s="93" cm="1">
        <f t="array" ref="DK231">SUMPRODUCT(TRANSPOSE(DK$4:DK$20),$G231:$W231)</f>
        <v>0</v>
      </c>
      <c r="DL231" s="93" cm="1">
        <f t="array" ref="DL231">SUMPRODUCT(TRANSPOSE(DL$4:DL$20),$G231:$W231)</f>
        <v>0</v>
      </c>
      <c r="DM231" s="93" cm="1">
        <f t="array" ref="DM231">SUMPRODUCT(TRANSPOSE(DM$4:DM$20),$G231:$W231)</f>
        <v>0</v>
      </c>
      <c r="DN231" s="93" cm="1">
        <f t="array" ref="DN231">SUMPRODUCT(TRANSPOSE(DN$4:DN$20),$G231:$W231)</f>
        <v>0</v>
      </c>
      <c r="DO231" s="93" cm="1">
        <f t="array" ref="DO231">SUMPRODUCT(TRANSPOSE(DO$4:DO$20),$G231:$W231)</f>
        <v>0</v>
      </c>
    </row>
    <row r="232" spans="1:119" x14ac:dyDescent="0.2">
      <c r="A232" s="45">
        <f t="shared" si="29"/>
        <v>211</v>
      </c>
      <c r="B232" s="46" t="s">
        <v>556</v>
      </c>
      <c r="C232" s="45">
        <v>400547664</v>
      </c>
      <c r="D232" s="45" t="s">
        <v>557</v>
      </c>
      <c r="E232" s="45" t="s">
        <v>162</v>
      </c>
      <c r="F232" s="48">
        <v>2</v>
      </c>
      <c r="G232" s="100">
        <v>0</v>
      </c>
      <c r="H232" s="100">
        <v>0</v>
      </c>
      <c r="I232" s="100">
        <v>0</v>
      </c>
      <c r="J232" s="100">
        <v>0</v>
      </c>
      <c r="K232" s="100">
        <v>0</v>
      </c>
      <c r="L232" s="100">
        <v>0</v>
      </c>
      <c r="M232" s="100">
        <v>0</v>
      </c>
      <c r="N232" s="100">
        <v>0</v>
      </c>
      <c r="O232" s="100">
        <v>0</v>
      </c>
      <c r="P232" s="100">
        <v>0</v>
      </c>
      <c r="Q232" s="100">
        <v>1</v>
      </c>
      <c r="R232" s="100">
        <v>0</v>
      </c>
      <c r="S232" s="100">
        <v>0</v>
      </c>
      <c r="T232" s="100">
        <v>0</v>
      </c>
      <c r="U232" s="100">
        <v>1</v>
      </c>
      <c r="V232" s="100">
        <v>0</v>
      </c>
      <c r="W232" s="100">
        <v>0</v>
      </c>
      <c r="X232" s="45" t="s">
        <v>21</v>
      </c>
      <c r="Y232" s="49">
        <v>1.9570000000000001</v>
      </c>
      <c r="Z232" s="45">
        <v>1500</v>
      </c>
      <c r="AA232" s="45">
        <v>0</v>
      </c>
      <c r="AB232" s="45">
        <v>0</v>
      </c>
      <c r="AC232" s="45">
        <v>0</v>
      </c>
      <c r="AD232" s="45">
        <v>0</v>
      </c>
      <c r="AE232" s="45">
        <v>0</v>
      </c>
      <c r="AF232" s="45">
        <v>0</v>
      </c>
      <c r="AG232" s="45">
        <v>0</v>
      </c>
      <c r="AH232" s="45">
        <v>0</v>
      </c>
      <c r="AI232" s="45">
        <v>0</v>
      </c>
      <c r="AJ232" s="45">
        <v>0</v>
      </c>
      <c r="AK232" s="45">
        <v>0</v>
      </c>
      <c r="AL232" s="45">
        <v>0</v>
      </c>
      <c r="AM232" s="45">
        <v>0</v>
      </c>
      <c r="AN232" s="45">
        <v>0</v>
      </c>
      <c r="AO232" s="45"/>
      <c r="AP232" s="45"/>
      <c r="AQ232" s="45"/>
      <c r="AR232" s="45"/>
      <c r="AS232" s="45"/>
      <c r="AT232" s="45"/>
      <c r="AU232" s="45"/>
      <c r="AV232" s="45"/>
      <c r="AW232" s="45"/>
      <c r="AX232" s="45"/>
      <c r="AY232" s="45"/>
      <c r="AZ232" s="45"/>
      <c r="BA232" s="45"/>
      <c r="BB232" s="45"/>
      <c r="BC232" s="45"/>
      <c r="BD232" s="93"/>
      <c r="BE232" s="93"/>
      <c r="BF232" s="93"/>
      <c r="BG232" s="93"/>
      <c r="BH232" s="93"/>
      <c r="BI232" s="93"/>
      <c r="BJ232" s="93"/>
      <c r="BK232" s="93">
        <f>SUM($Z232:AD232)-SUM($CM232:CQ232)</f>
        <v>1422</v>
      </c>
      <c r="BL232" s="93">
        <f>SUM($Z232:AE232)-SUM($CM232:CR232)</f>
        <v>1352</v>
      </c>
      <c r="BM232" s="93">
        <f>SUM($Z232:AF232)-SUM($CM232:CS232)</f>
        <v>1287</v>
      </c>
      <c r="BN232" s="93">
        <f>SUM($Z232:AG232)-SUM($CM232:CT232)</f>
        <v>1227</v>
      </c>
      <c r="BO232" s="93">
        <f>SUM($Z232:AH232)-SUM($CM232:CU232)</f>
        <v>1167</v>
      </c>
      <c r="BP232" s="93">
        <f>SUM($Z232:AI232)-SUM($CM232:CV232)</f>
        <v>1107</v>
      </c>
      <c r="BQ232" s="93">
        <f>SUM($Z232:AJ232)-SUM($CM232:CW232)</f>
        <v>1047</v>
      </c>
      <c r="BR232" s="93">
        <f>SUM($Z232:AK232)-SUM($CM232:CX232)</f>
        <v>987</v>
      </c>
      <c r="BS232" s="93">
        <f>SUM($Z232:AL232)-SUM($CM232:CY232)</f>
        <v>927</v>
      </c>
      <c r="BT232" s="93">
        <f>SUM($Z232:AM232)-SUM($CM232:CZ232)</f>
        <v>867</v>
      </c>
      <c r="BU232" s="93">
        <f>SUM($Z232:AN232)-SUM($CM232:DA232)</f>
        <v>807</v>
      </c>
      <c r="BV232" s="93">
        <f>SUM($Z232:AO232)-SUM($CM232:DB232)</f>
        <v>793</v>
      </c>
      <c r="BW232" s="93">
        <f>SUM($Z232:AP232)-SUM($CM232:DC232)</f>
        <v>793</v>
      </c>
      <c r="BX232" s="93">
        <f>SUM($Z232:AQ232)-SUM($CM232:DD232)</f>
        <v>793</v>
      </c>
      <c r="BY232" s="93">
        <f>SUM($Z232:AR232)-SUM($CM232:DE232)</f>
        <v>793</v>
      </c>
      <c r="BZ232" s="93">
        <f>SUM($Z232:AS232)-SUM($CM232:DF232)</f>
        <v>793</v>
      </c>
      <c r="CA232" s="93">
        <f>SUM($Z232:AT232)-SUM($CM232:DG232)</f>
        <v>793</v>
      </c>
      <c r="CB232" s="93">
        <f>SUM($Z232:AU232)-SUM($CM232:DH232)</f>
        <v>793</v>
      </c>
      <c r="CC232" s="93">
        <f>SUM($Z232:AV232)-SUM($CM232:DI232)</f>
        <v>793</v>
      </c>
      <c r="CD232" s="93">
        <f>SUM($Z232:AW232)-SUM($CM232:DJ232)</f>
        <v>793</v>
      </c>
      <c r="CE232" s="93">
        <f>SUM($Z232:AX232)-SUM($CM232:DK232)</f>
        <v>793</v>
      </c>
      <c r="CF232" s="93">
        <f>SUM($Z232:AY232)-SUM($CM232:DL232)</f>
        <v>793</v>
      </c>
      <c r="CG232" s="93">
        <f>SUM($Z232:AZ232)-SUM($CM232:DM232)</f>
        <v>793</v>
      </c>
      <c r="CH232" s="93">
        <f>SUM($Z232:BA232)-SUM($CM232:DN232)</f>
        <v>793</v>
      </c>
      <c r="CI232" s="93">
        <f>SUM($Z232:BB232)-SUM($CM232:DO232)</f>
        <v>793</v>
      </c>
      <c r="CJ232" s="93"/>
      <c r="CK232" s="93"/>
      <c r="CL232" s="93"/>
      <c r="CM232" s="93"/>
      <c r="CN232" s="93" cm="1">
        <f t="array" ref="CN232">SUMPRODUCT(TRANSPOSE(CN$4:CN$20),$G232:$W232)</f>
        <v>0</v>
      </c>
      <c r="CO232" s="93" cm="1">
        <f t="array" ref="CO232">SUMPRODUCT(TRANSPOSE(CO$4:CO$20),$G232:$W232)</f>
        <v>0</v>
      </c>
      <c r="CP232" s="93" cm="1">
        <f t="array" ref="CP232">SUMPRODUCT(TRANSPOSE(CP$4:CP$20),$G232:$W232)</f>
        <v>0</v>
      </c>
      <c r="CQ232" s="93" cm="1">
        <f t="array" ref="CQ232">SUMPRODUCT(TRANSPOSE(CQ$4:CQ$20),$G232:$W232)</f>
        <v>78</v>
      </c>
      <c r="CR232" s="93" cm="1">
        <f t="array" ref="CR232">SUMPRODUCT(TRANSPOSE(CR$4:CR$20),$G232:$W232)</f>
        <v>70</v>
      </c>
      <c r="CS232" s="93" cm="1">
        <f t="array" ref="CS232">SUMPRODUCT(TRANSPOSE(CS$4:CS$20),$G232:$W232)</f>
        <v>65</v>
      </c>
      <c r="CT232" s="93" cm="1">
        <f t="array" ref="CT232">SUMPRODUCT(TRANSPOSE(CT$4:CT$20),$G232:$W232)</f>
        <v>60</v>
      </c>
      <c r="CU232" s="93" cm="1">
        <f t="array" ref="CU232">SUMPRODUCT(TRANSPOSE(CU$4:CU$20),$G232:$W232)</f>
        <v>60</v>
      </c>
      <c r="CV232" s="93" cm="1">
        <f t="array" ref="CV232">SUMPRODUCT(TRANSPOSE(CV$4:CV$20),$G232:$W232)</f>
        <v>60</v>
      </c>
      <c r="CW232" s="93" cm="1">
        <f t="array" ref="CW232">SUMPRODUCT(TRANSPOSE(CW$4:CW$20),$G232:$W232)</f>
        <v>60</v>
      </c>
      <c r="CX232" s="93" cm="1">
        <f t="array" ref="CX232">SUMPRODUCT(TRANSPOSE(CX$4:CX$20),$G232:$W232)</f>
        <v>60</v>
      </c>
      <c r="CY232" s="93" cm="1">
        <f t="array" ref="CY232">SUMPRODUCT(TRANSPOSE(CY$4:CY$20),$G232:$W232)</f>
        <v>60</v>
      </c>
      <c r="CZ232" s="93" cm="1">
        <f t="array" ref="CZ232">SUMPRODUCT(TRANSPOSE(CZ$4:CZ$20),$G232:$W232)</f>
        <v>60</v>
      </c>
      <c r="DA232" s="93" cm="1">
        <f t="array" ref="DA232">SUMPRODUCT(TRANSPOSE(DA$4:DA$20),$G232:$W232)</f>
        <v>60</v>
      </c>
      <c r="DB232" s="93" cm="1">
        <f t="array" ref="DB232">SUMPRODUCT(TRANSPOSE(DB$4:DB$20),$G232:$W232)</f>
        <v>14</v>
      </c>
      <c r="DC232" s="93" cm="1">
        <f t="array" ref="DC232">SUMPRODUCT(TRANSPOSE(DC$4:DC$20),$G232:$W232)</f>
        <v>0</v>
      </c>
      <c r="DD232" s="93" cm="1">
        <f t="array" ref="DD232">SUMPRODUCT(TRANSPOSE(DD$4:DD$20),$G232:$W232)</f>
        <v>0</v>
      </c>
      <c r="DE232" s="93" cm="1">
        <f t="array" ref="DE232">SUMPRODUCT(TRANSPOSE(DE$4:DE$20),$G232:$W232)</f>
        <v>0</v>
      </c>
      <c r="DF232" s="93" cm="1">
        <f t="array" ref="DF232">SUMPRODUCT(TRANSPOSE(DF$4:DF$20),$G232:$W232)</f>
        <v>0</v>
      </c>
      <c r="DG232" s="93" cm="1">
        <f t="array" ref="DG232">SUMPRODUCT(TRANSPOSE(DG$4:DG$20),$G232:$W232)</f>
        <v>0</v>
      </c>
      <c r="DH232" s="93" cm="1">
        <f t="array" ref="DH232">SUMPRODUCT(TRANSPOSE(DH$4:DH$20),$G232:$W232)</f>
        <v>0</v>
      </c>
      <c r="DI232" s="93" cm="1">
        <f t="array" ref="DI232">SUMPRODUCT(TRANSPOSE(DI$4:DI$20),$G232:$W232)</f>
        <v>0</v>
      </c>
      <c r="DJ232" s="93" cm="1">
        <f t="array" ref="DJ232">SUMPRODUCT(TRANSPOSE(DJ$4:DJ$20),$G232:$W232)</f>
        <v>0</v>
      </c>
      <c r="DK232" s="93" cm="1">
        <f t="array" ref="DK232">SUMPRODUCT(TRANSPOSE(DK$4:DK$20),$G232:$W232)</f>
        <v>0</v>
      </c>
      <c r="DL232" s="93" cm="1">
        <f t="array" ref="DL232">SUMPRODUCT(TRANSPOSE(DL$4:DL$20),$G232:$W232)</f>
        <v>0</v>
      </c>
      <c r="DM232" s="93" cm="1">
        <f t="array" ref="DM232">SUMPRODUCT(TRANSPOSE(DM$4:DM$20),$G232:$W232)</f>
        <v>0</v>
      </c>
      <c r="DN232" s="93" cm="1">
        <f t="array" ref="DN232">SUMPRODUCT(TRANSPOSE(DN$4:DN$20),$G232:$W232)</f>
        <v>0</v>
      </c>
      <c r="DO232" s="93" cm="1">
        <f t="array" ref="DO232">SUMPRODUCT(TRANSPOSE(DO$4:DO$20),$G232:$W232)</f>
        <v>0</v>
      </c>
    </row>
    <row r="233" spans="1:119" x14ac:dyDescent="0.2">
      <c r="A233" s="45">
        <f t="shared" si="29"/>
        <v>212</v>
      </c>
      <c r="B233" s="46" t="s">
        <v>558</v>
      </c>
      <c r="C233" s="45">
        <v>400524033</v>
      </c>
      <c r="D233" s="45" t="s">
        <v>559</v>
      </c>
      <c r="E233" s="45" t="s">
        <v>162</v>
      </c>
      <c r="F233" s="48">
        <v>2</v>
      </c>
      <c r="G233" s="100">
        <v>0</v>
      </c>
      <c r="H233" s="100">
        <v>0</v>
      </c>
      <c r="I233" s="100">
        <v>0</v>
      </c>
      <c r="J233" s="100">
        <v>0</v>
      </c>
      <c r="K233" s="100">
        <v>0</v>
      </c>
      <c r="L233" s="100">
        <v>0</v>
      </c>
      <c r="M233" s="100">
        <v>0</v>
      </c>
      <c r="N233" s="100">
        <v>0</v>
      </c>
      <c r="O233" s="100">
        <v>0</v>
      </c>
      <c r="P233" s="100">
        <v>0</v>
      </c>
      <c r="Q233" s="100">
        <v>0</v>
      </c>
      <c r="R233" s="100">
        <v>1</v>
      </c>
      <c r="S233" s="100">
        <v>0</v>
      </c>
      <c r="T233" s="100">
        <v>0</v>
      </c>
      <c r="U233" s="100">
        <v>0</v>
      </c>
      <c r="V233" s="100">
        <v>1</v>
      </c>
      <c r="W233" s="100">
        <v>0</v>
      </c>
      <c r="X233" s="45" t="s">
        <v>73</v>
      </c>
      <c r="Y233" s="49">
        <v>0.1</v>
      </c>
      <c r="Z233" s="45">
        <v>3000</v>
      </c>
      <c r="AA233" s="45">
        <v>0</v>
      </c>
      <c r="AB233" s="45">
        <v>0</v>
      </c>
      <c r="AC233" s="45">
        <v>0</v>
      </c>
      <c r="AD233" s="45">
        <v>0</v>
      </c>
      <c r="AE233" s="45">
        <v>0</v>
      </c>
      <c r="AF233" s="45">
        <v>0</v>
      </c>
      <c r="AG233" s="45">
        <v>0</v>
      </c>
      <c r="AH233" s="45">
        <v>0</v>
      </c>
      <c r="AI233" s="45">
        <v>0</v>
      </c>
      <c r="AJ233" s="45">
        <v>0</v>
      </c>
      <c r="AK233" s="45">
        <v>0</v>
      </c>
      <c r="AL233" s="45">
        <v>0</v>
      </c>
      <c r="AM233" s="45">
        <v>0</v>
      </c>
      <c r="AN233" s="45">
        <v>0</v>
      </c>
      <c r="AO233" s="45"/>
      <c r="AP233" s="45"/>
      <c r="AQ233" s="45"/>
      <c r="AR233" s="45"/>
      <c r="AS233" s="45"/>
      <c r="AT233" s="45"/>
      <c r="AU233" s="45"/>
      <c r="AV233" s="45"/>
      <c r="AW233" s="45"/>
      <c r="AX233" s="45"/>
      <c r="AY233" s="45"/>
      <c r="AZ233" s="45"/>
      <c r="BA233" s="45"/>
      <c r="BB233" s="45"/>
      <c r="BC233" s="45"/>
      <c r="BD233" s="93"/>
      <c r="BE233" s="93"/>
      <c r="BF233" s="93"/>
      <c r="BG233" s="93"/>
      <c r="BH233" s="93"/>
      <c r="BI233" s="93"/>
      <c r="BJ233" s="93"/>
      <c r="BK233" s="93">
        <f>SUM($Z233:AD233)-SUM($CM233:CQ233)</f>
        <v>2930</v>
      </c>
      <c r="BL233" s="93">
        <f>SUM($Z233:AE233)-SUM($CM233:CR233)</f>
        <v>2860</v>
      </c>
      <c r="BM233" s="93">
        <f>SUM($Z233:AF233)-SUM($CM233:CS233)</f>
        <v>2790</v>
      </c>
      <c r="BN233" s="93">
        <f>SUM($Z233:AG233)-SUM($CM233:CT233)</f>
        <v>2720</v>
      </c>
      <c r="BO233" s="93">
        <f>SUM($Z233:AH233)-SUM($CM233:CU233)</f>
        <v>2650</v>
      </c>
      <c r="BP233" s="93">
        <f>SUM($Z233:AI233)-SUM($CM233:CV233)</f>
        <v>2580</v>
      </c>
      <c r="BQ233" s="93">
        <f>SUM($Z233:AJ233)-SUM($CM233:CW233)</f>
        <v>2510</v>
      </c>
      <c r="BR233" s="93">
        <f>SUM($Z233:AK233)-SUM($CM233:CX233)</f>
        <v>2440</v>
      </c>
      <c r="BS233" s="93">
        <f>SUM($Z233:AL233)-SUM($CM233:CY233)</f>
        <v>2370</v>
      </c>
      <c r="BT233" s="93">
        <f>SUM($Z233:AM233)-SUM($CM233:CZ233)</f>
        <v>2335</v>
      </c>
      <c r="BU233" s="93">
        <f>SUM($Z233:AN233)-SUM($CM233:DA233)</f>
        <v>2335</v>
      </c>
      <c r="BV233" s="93">
        <f>SUM($Z233:AO233)-SUM($CM233:DB233)</f>
        <v>2335</v>
      </c>
      <c r="BW233" s="93">
        <f>SUM($Z233:AP233)-SUM($CM233:DC233)</f>
        <v>2335</v>
      </c>
      <c r="BX233" s="93">
        <f>SUM($Z233:AQ233)-SUM($CM233:DD233)</f>
        <v>2335</v>
      </c>
      <c r="BY233" s="93">
        <f>SUM($Z233:AR233)-SUM($CM233:DE233)</f>
        <v>2335</v>
      </c>
      <c r="BZ233" s="93">
        <f>SUM($Z233:AS233)-SUM($CM233:DF233)</f>
        <v>2335</v>
      </c>
      <c r="CA233" s="93">
        <f>SUM($Z233:AT233)-SUM($CM233:DG233)</f>
        <v>2335</v>
      </c>
      <c r="CB233" s="93">
        <f>SUM($Z233:AU233)-SUM($CM233:DH233)</f>
        <v>2335</v>
      </c>
      <c r="CC233" s="93">
        <f>SUM($Z233:AV233)-SUM($CM233:DI233)</f>
        <v>2335</v>
      </c>
      <c r="CD233" s="93">
        <f>SUM($Z233:AW233)-SUM($CM233:DJ233)</f>
        <v>2335</v>
      </c>
      <c r="CE233" s="93">
        <f>SUM($Z233:AX233)-SUM($CM233:DK233)</f>
        <v>2335</v>
      </c>
      <c r="CF233" s="93">
        <f>SUM($Z233:AY233)-SUM($CM233:DL233)</f>
        <v>2335</v>
      </c>
      <c r="CG233" s="93">
        <f>SUM($Z233:AZ233)-SUM($CM233:DM233)</f>
        <v>2335</v>
      </c>
      <c r="CH233" s="93">
        <f>SUM($Z233:BA233)-SUM($CM233:DN233)</f>
        <v>2335</v>
      </c>
      <c r="CI233" s="93">
        <f>SUM($Z233:BB233)-SUM($CM233:DO233)</f>
        <v>2335</v>
      </c>
      <c r="CJ233" s="93"/>
      <c r="CK233" s="93"/>
      <c r="CL233" s="93"/>
      <c r="CM233" s="93"/>
      <c r="CN233" s="93" cm="1">
        <f t="array" ref="CN233">SUMPRODUCT(TRANSPOSE(CN$4:CN$20),$G233:$W233)</f>
        <v>0</v>
      </c>
      <c r="CO233" s="93" cm="1">
        <f t="array" ref="CO233">SUMPRODUCT(TRANSPOSE(CO$4:CO$20),$G233:$W233)</f>
        <v>0</v>
      </c>
      <c r="CP233" s="93" cm="1">
        <f t="array" ref="CP233">SUMPRODUCT(TRANSPOSE(CP$4:CP$20),$G233:$W233)</f>
        <v>0</v>
      </c>
      <c r="CQ233" s="93" cm="1">
        <f t="array" ref="CQ233">SUMPRODUCT(TRANSPOSE(CQ$4:CQ$20),$G233:$W233)</f>
        <v>70</v>
      </c>
      <c r="CR233" s="93" cm="1">
        <f t="array" ref="CR233">SUMPRODUCT(TRANSPOSE(CR$4:CR$20),$G233:$W233)</f>
        <v>70</v>
      </c>
      <c r="CS233" s="93" cm="1">
        <f t="array" ref="CS233">SUMPRODUCT(TRANSPOSE(CS$4:CS$20),$G233:$W233)</f>
        <v>70</v>
      </c>
      <c r="CT233" s="93" cm="1">
        <f t="array" ref="CT233">SUMPRODUCT(TRANSPOSE(CT$4:CT$20),$G233:$W233)</f>
        <v>70</v>
      </c>
      <c r="CU233" s="93" cm="1">
        <f t="array" ref="CU233">SUMPRODUCT(TRANSPOSE(CU$4:CU$20),$G233:$W233)</f>
        <v>70</v>
      </c>
      <c r="CV233" s="93" cm="1">
        <f t="array" ref="CV233">SUMPRODUCT(TRANSPOSE(CV$4:CV$20),$G233:$W233)</f>
        <v>70</v>
      </c>
      <c r="CW233" s="93" cm="1">
        <f t="array" ref="CW233">SUMPRODUCT(TRANSPOSE(CW$4:CW$20),$G233:$W233)</f>
        <v>70</v>
      </c>
      <c r="CX233" s="93" cm="1">
        <f t="array" ref="CX233">SUMPRODUCT(TRANSPOSE(CX$4:CX$20),$G233:$W233)</f>
        <v>70</v>
      </c>
      <c r="CY233" s="93" cm="1">
        <f t="array" ref="CY233">SUMPRODUCT(TRANSPOSE(CY$4:CY$20),$G233:$W233)</f>
        <v>70</v>
      </c>
      <c r="CZ233" s="93" cm="1">
        <f t="array" ref="CZ233">SUMPRODUCT(TRANSPOSE(CZ$4:CZ$20),$G233:$W233)</f>
        <v>35</v>
      </c>
      <c r="DA233" s="93" cm="1">
        <f t="array" ref="DA233">SUMPRODUCT(TRANSPOSE(DA$4:DA$20),$G233:$W233)</f>
        <v>0</v>
      </c>
      <c r="DB233" s="93" cm="1">
        <f t="array" ref="DB233">SUMPRODUCT(TRANSPOSE(DB$4:DB$20),$G233:$W233)</f>
        <v>0</v>
      </c>
      <c r="DC233" s="93" cm="1">
        <f t="array" ref="DC233">SUMPRODUCT(TRANSPOSE(DC$4:DC$20),$G233:$W233)</f>
        <v>0</v>
      </c>
      <c r="DD233" s="93" cm="1">
        <f t="array" ref="DD233">SUMPRODUCT(TRANSPOSE(DD$4:DD$20),$G233:$W233)</f>
        <v>0</v>
      </c>
      <c r="DE233" s="93" cm="1">
        <f t="array" ref="DE233">SUMPRODUCT(TRANSPOSE(DE$4:DE$20),$G233:$W233)</f>
        <v>0</v>
      </c>
      <c r="DF233" s="93" cm="1">
        <f t="array" ref="DF233">SUMPRODUCT(TRANSPOSE(DF$4:DF$20),$G233:$W233)</f>
        <v>0</v>
      </c>
      <c r="DG233" s="93" cm="1">
        <f t="array" ref="DG233">SUMPRODUCT(TRANSPOSE(DG$4:DG$20),$G233:$W233)</f>
        <v>0</v>
      </c>
      <c r="DH233" s="93" cm="1">
        <f t="array" ref="DH233">SUMPRODUCT(TRANSPOSE(DH$4:DH$20),$G233:$W233)</f>
        <v>0</v>
      </c>
      <c r="DI233" s="93" cm="1">
        <f t="array" ref="DI233">SUMPRODUCT(TRANSPOSE(DI$4:DI$20),$G233:$W233)</f>
        <v>0</v>
      </c>
      <c r="DJ233" s="93" cm="1">
        <f t="array" ref="DJ233">SUMPRODUCT(TRANSPOSE(DJ$4:DJ$20),$G233:$W233)</f>
        <v>0</v>
      </c>
      <c r="DK233" s="93" cm="1">
        <f t="array" ref="DK233">SUMPRODUCT(TRANSPOSE(DK$4:DK$20),$G233:$W233)</f>
        <v>0</v>
      </c>
      <c r="DL233" s="93" cm="1">
        <f t="array" ref="DL233">SUMPRODUCT(TRANSPOSE(DL$4:DL$20),$G233:$W233)</f>
        <v>0</v>
      </c>
      <c r="DM233" s="93" cm="1">
        <f t="array" ref="DM233">SUMPRODUCT(TRANSPOSE(DM$4:DM$20),$G233:$W233)</f>
        <v>0</v>
      </c>
      <c r="DN233" s="93" cm="1">
        <f t="array" ref="DN233">SUMPRODUCT(TRANSPOSE(DN$4:DN$20),$G233:$W233)</f>
        <v>0</v>
      </c>
      <c r="DO233" s="93" cm="1">
        <f t="array" ref="DO233">SUMPRODUCT(TRANSPOSE(DO$4:DO$20),$G233:$W233)</f>
        <v>0</v>
      </c>
    </row>
    <row r="234" spans="1:119" x14ac:dyDescent="0.2">
      <c r="A234" s="45">
        <f t="shared" si="29"/>
        <v>213</v>
      </c>
      <c r="B234" s="46" t="s">
        <v>560</v>
      </c>
      <c r="C234" s="45">
        <v>400523828</v>
      </c>
      <c r="D234" s="45" t="s">
        <v>561</v>
      </c>
      <c r="E234" s="45" t="s">
        <v>162</v>
      </c>
      <c r="F234" s="48">
        <v>2</v>
      </c>
      <c r="G234" s="100">
        <v>0</v>
      </c>
      <c r="H234" s="100">
        <v>0</v>
      </c>
      <c r="I234" s="100">
        <v>0</v>
      </c>
      <c r="J234" s="100">
        <v>0</v>
      </c>
      <c r="K234" s="100">
        <v>0</v>
      </c>
      <c r="L234" s="100">
        <v>0</v>
      </c>
      <c r="M234" s="100">
        <v>0</v>
      </c>
      <c r="N234" s="100">
        <v>0</v>
      </c>
      <c r="O234" s="100">
        <v>0</v>
      </c>
      <c r="P234" s="100">
        <v>0</v>
      </c>
      <c r="Q234" s="100">
        <v>0</v>
      </c>
      <c r="R234" s="100">
        <v>3</v>
      </c>
      <c r="S234" s="100">
        <v>0</v>
      </c>
      <c r="T234" s="100">
        <v>0</v>
      </c>
      <c r="U234" s="100">
        <v>0</v>
      </c>
      <c r="V234" s="100">
        <v>3</v>
      </c>
      <c r="W234" s="100">
        <v>0</v>
      </c>
      <c r="X234" s="45" t="s">
        <v>73</v>
      </c>
      <c r="Y234" s="49">
        <v>0.11</v>
      </c>
      <c r="Z234" s="45">
        <v>6000</v>
      </c>
      <c r="AA234" s="45">
        <v>0</v>
      </c>
      <c r="AB234" s="45">
        <v>0</v>
      </c>
      <c r="AC234" s="45">
        <v>0</v>
      </c>
      <c r="AD234" s="45">
        <v>0</v>
      </c>
      <c r="AE234" s="45">
        <v>0</v>
      </c>
      <c r="AF234" s="45">
        <v>0</v>
      </c>
      <c r="AG234" s="45">
        <v>0</v>
      </c>
      <c r="AH234" s="45">
        <v>0</v>
      </c>
      <c r="AI234" s="45">
        <v>0</v>
      </c>
      <c r="AJ234" s="45">
        <v>0</v>
      </c>
      <c r="AK234" s="45">
        <v>0</v>
      </c>
      <c r="AL234" s="45">
        <v>0</v>
      </c>
      <c r="AM234" s="45">
        <v>0</v>
      </c>
      <c r="AN234" s="45">
        <v>0</v>
      </c>
      <c r="AO234" s="45"/>
      <c r="AP234" s="45"/>
      <c r="AQ234" s="45"/>
      <c r="AR234" s="45"/>
      <c r="AS234" s="45"/>
      <c r="AT234" s="45"/>
      <c r="AU234" s="45"/>
      <c r="AV234" s="45"/>
      <c r="AW234" s="45"/>
      <c r="AX234" s="45"/>
      <c r="AY234" s="45"/>
      <c r="AZ234" s="45"/>
      <c r="BA234" s="45"/>
      <c r="BB234" s="45"/>
      <c r="BC234" s="45"/>
      <c r="BD234" s="93"/>
      <c r="BE234" s="93"/>
      <c r="BF234" s="93"/>
      <c r="BG234" s="93"/>
      <c r="BH234" s="93"/>
      <c r="BI234" s="93"/>
      <c r="BJ234" s="93"/>
      <c r="BK234" s="93">
        <f>SUM($Z234:AD234)-SUM($CM234:CQ234)</f>
        <v>5790</v>
      </c>
      <c r="BL234" s="93">
        <f>SUM($Z234:AE234)-SUM($CM234:CR234)</f>
        <v>5580</v>
      </c>
      <c r="BM234" s="93">
        <f>SUM($Z234:AF234)-SUM($CM234:CS234)</f>
        <v>5370</v>
      </c>
      <c r="BN234" s="93">
        <f>SUM($Z234:AG234)-SUM($CM234:CT234)</f>
        <v>5160</v>
      </c>
      <c r="BO234" s="93">
        <f>SUM($Z234:AH234)-SUM($CM234:CU234)</f>
        <v>4950</v>
      </c>
      <c r="BP234" s="93">
        <f>SUM($Z234:AI234)-SUM($CM234:CV234)</f>
        <v>4740</v>
      </c>
      <c r="BQ234" s="93">
        <f>SUM($Z234:AJ234)-SUM($CM234:CW234)</f>
        <v>4530</v>
      </c>
      <c r="BR234" s="93">
        <f>SUM($Z234:AK234)-SUM($CM234:CX234)</f>
        <v>4320</v>
      </c>
      <c r="BS234" s="93">
        <f>SUM($Z234:AL234)-SUM($CM234:CY234)</f>
        <v>4110</v>
      </c>
      <c r="BT234" s="93">
        <f>SUM($Z234:AM234)-SUM($CM234:CZ234)</f>
        <v>4005</v>
      </c>
      <c r="BU234" s="93">
        <f>SUM($Z234:AN234)-SUM($CM234:DA234)</f>
        <v>4005</v>
      </c>
      <c r="BV234" s="93">
        <f>SUM($Z234:AO234)-SUM($CM234:DB234)</f>
        <v>4005</v>
      </c>
      <c r="BW234" s="93">
        <f>SUM($Z234:AP234)-SUM($CM234:DC234)</f>
        <v>4005</v>
      </c>
      <c r="BX234" s="93">
        <f>SUM($Z234:AQ234)-SUM($CM234:DD234)</f>
        <v>4005</v>
      </c>
      <c r="BY234" s="93">
        <f>SUM($Z234:AR234)-SUM($CM234:DE234)</f>
        <v>4005</v>
      </c>
      <c r="BZ234" s="93">
        <f>SUM($Z234:AS234)-SUM($CM234:DF234)</f>
        <v>4005</v>
      </c>
      <c r="CA234" s="93">
        <f>SUM($Z234:AT234)-SUM($CM234:DG234)</f>
        <v>4005</v>
      </c>
      <c r="CB234" s="93">
        <f>SUM($Z234:AU234)-SUM($CM234:DH234)</f>
        <v>4005</v>
      </c>
      <c r="CC234" s="93">
        <f>SUM($Z234:AV234)-SUM($CM234:DI234)</f>
        <v>4005</v>
      </c>
      <c r="CD234" s="93">
        <f>SUM($Z234:AW234)-SUM($CM234:DJ234)</f>
        <v>4005</v>
      </c>
      <c r="CE234" s="93">
        <f>SUM($Z234:AX234)-SUM($CM234:DK234)</f>
        <v>4005</v>
      </c>
      <c r="CF234" s="93">
        <f>SUM($Z234:AY234)-SUM($CM234:DL234)</f>
        <v>4005</v>
      </c>
      <c r="CG234" s="93">
        <f>SUM($Z234:AZ234)-SUM($CM234:DM234)</f>
        <v>4005</v>
      </c>
      <c r="CH234" s="93">
        <f>SUM($Z234:BA234)-SUM($CM234:DN234)</f>
        <v>4005</v>
      </c>
      <c r="CI234" s="93">
        <f>SUM($Z234:BB234)-SUM($CM234:DO234)</f>
        <v>4005</v>
      </c>
      <c r="CJ234" s="93"/>
      <c r="CK234" s="93"/>
      <c r="CL234" s="93"/>
      <c r="CM234" s="93"/>
      <c r="CN234" s="93" cm="1">
        <f t="array" ref="CN234">SUMPRODUCT(TRANSPOSE(CN$4:CN$20),$G234:$W234)</f>
        <v>0</v>
      </c>
      <c r="CO234" s="93" cm="1">
        <f t="array" ref="CO234">SUMPRODUCT(TRANSPOSE(CO$4:CO$20),$G234:$W234)</f>
        <v>0</v>
      </c>
      <c r="CP234" s="93" cm="1">
        <f t="array" ref="CP234">SUMPRODUCT(TRANSPOSE(CP$4:CP$20),$G234:$W234)</f>
        <v>0</v>
      </c>
      <c r="CQ234" s="93" cm="1">
        <f t="array" ref="CQ234">SUMPRODUCT(TRANSPOSE(CQ$4:CQ$20),$G234:$W234)</f>
        <v>210</v>
      </c>
      <c r="CR234" s="93" cm="1">
        <f t="array" ref="CR234">SUMPRODUCT(TRANSPOSE(CR$4:CR$20),$G234:$W234)</f>
        <v>210</v>
      </c>
      <c r="CS234" s="93" cm="1">
        <f t="array" ref="CS234">SUMPRODUCT(TRANSPOSE(CS$4:CS$20),$G234:$W234)</f>
        <v>210</v>
      </c>
      <c r="CT234" s="93" cm="1">
        <f t="array" ref="CT234">SUMPRODUCT(TRANSPOSE(CT$4:CT$20),$G234:$W234)</f>
        <v>210</v>
      </c>
      <c r="CU234" s="93" cm="1">
        <f t="array" ref="CU234">SUMPRODUCT(TRANSPOSE(CU$4:CU$20),$G234:$W234)</f>
        <v>210</v>
      </c>
      <c r="CV234" s="93" cm="1">
        <f t="array" ref="CV234">SUMPRODUCT(TRANSPOSE(CV$4:CV$20),$G234:$W234)</f>
        <v>210</v>
      </c>
      <c r="CW234" s="93" cm="1">
        <f t="array" ref="CW234">SUMPRODUCT(TRANSPOSE(CW$4:CW$20),$G234:$W234)</f>
        <v>210</v>
      </c>
      <c r="CX234" s="93" cm="1">
        <f t="array" ref="CX234">SUMPRODUCT(TRANSPOSE(CX$4:CX$20),$G234:$W234)</f>
        <v>210</v>
      </c>
      <c r="CY234" s="93" cm="1">
        <f t="array" ref="CY234">SUMPRODUCT(TRANSPOSE(CY$4:CY$20),$G234:$W234)</f>
        <v>210</v>
      </c>
      <c r="CZ234" s="93" cm="1">
        <f t="array" ref="CZ234">SUMPRODUCT(TRANSPOSE(CZ$4:CZ$20),$G234:$W234)</f>
        <v>105</v>
      </c>
      <c r="DA234" s="93" cm="1">
        <f t="array" ref="DA234">SUMPRODUCT(TRANSPOSE(DA$4:DA$20),$G234:$W234)</f>
        <v>0</v>
      </c>
      <c r="DB234" s="93" cm="1">
        <f t="array" ref="DB234">SUMPRODUCT(TRANSPOSE(DB$4:DB$20),$G234:$W234)</f>
        <v>0</v>
      </c>
      <c r="DC234" s="93" cm="1">
        <f t="array" ref="DC234">SUMPRODUCT(TRANSPOSE(DC$4:DC$20),$G234:$W234)</f>
        <v>0</v>
      </c>
      <c r="DD234" s="93" cm="1">
        <f t="array" ref="DD234">SUMPRODUCT(TRANSPOSE(DD$4:DD$20),$G234:$W234)</f>
        <v>0</v>
      </c>
      <c r="DE234" s="93" cm="1">
        <f t="array" ref="DE234">SUMPRODUCT(TRANSPOSE(DE$4:DE$20),$G234:$W234)</f>
        <v>0</v>
      </c>
      <c r="DF234" s="93" cm="1">
        <f t="array" ref="DF234">SUMPRODUCT(TRANSPOSE(DF$4:DF$20),$G234:$W234)</f>
        <v>0</v>
      </c>
      <c r="DG234" s="93" cm="1">
        <f t="array" ref="DG234">SUMPRODUCT(TRANSPOSE(DG$4:DG$20),$G234:$W234)</f>
        <v>0</v>
      </c>
      <c r="DH234" s="93" cm="1">
        <f t="array" ref="DH234">SUMPRODUCT(TRANSPOSE(DH$4:DH$20),$G234:$W234)</f>
        <v>0</v>
      </c>
      <c r="DI234" s="93" cm="1">
        <f t="array" ref="DI234">SUMPRODUCT(TRANSPOSE(DI$4:DI$20),$G234:$W234)</f>
        <v>0</v>
      </c>
      <c r="DJ234" s="93" cm="1">
        <f t="array" ref="DJ234">SUMPRODUCT(TRANSPOSE(DJ$4:DJ$20),$G234:$W234)</f>
        <v>0</v>
      </c>
      <c r="DK234" s="93" cm="1">
        <f t="array" ref="DK234">SUMPRODUCT(TRANSPOSE(DK$4:DK$20),$G234:$W234)</f>
        <v>0</v>
      </c>
      <c r="DL234" s="93" cm="1">
        <f t="array" ref="DL234">SUMPRODUCT(TRANSPOSE(DL$4:DL$20),$G234:$W234)</f>
        <v>0</v>
      </c>
      <c r="DM234" s="93" cm="1">
        <f t="array" ref="DM234">SUMPRODUCT(TRANSPOSE(DM$4:DM$20),$G234:$W234)</f>
        <v>0</v>
      </c>
      <c r="DN234" s="93" cm="1">
        <f t="array" ref="DN234">SUMPRODUCT(TRANSPOSE(DN$4:DN$20),$G234:$W234)</f>
        <v>0</v>
      </c>
      <c r="DO234" s="93" cm="1">
        <f t="array" ref="DO234">SUMPRODUCT(TRANSPOSE(DO$4:DO$20),$G234:$W234)</f>
        <v>0</v>
      </c>
    </row>
    <row r="235" spans="1:119" x14ac:dyDescent="0.2">
      <c r="A235" s="47">
        <f t="shared" si="29"/>
        <v>214</v>
      </c>
      <c r="B235" s="46" t="s">
        <v>562</v>
      </c>
      <c r="C235" s="45" t="s">
        <v>563</v>
      </c>
      <c r="D235" s="45" t="s">
        <v>564</v>
      </c>
      <c r="E235" s="45" t="s">
        <v>162</v>
      </c>
      <c r="F235" s="48">
        <v>2</v>
      </c>
      <c r="G235" s="100">
        <v>0</v>
      </c>
      <c r="H235" s="100">
        <v>0</v>
      </c>
      <c r="I235" s="100">
        <v>0</v>
      </c>
      <c r="J235" s="100">
        <v>0</v>
      </c>
      <c r="K235" s="100">
        <v>0</v>
      </c>
      <c r="L235" s="100">
        <v>0</v>
      </c>
      <c r="M235" s="100">
        <v>0</v>
      </c>
      <c r="N235" s="100">
        <v>0</v>
      </c>
      <c r="O235" s="100">
        <v>0</v>
      </c>
      <c r="P235" s="100">
        <v>0</v>
      </c>
      <c r="Q235" s="100">
        <v>0</v>
      </c>
      <c r="R235" s="100">
        <v>1</v>
      </c>
      <c r="S235" s="100">
        <v>0</v>
      </c>
      <c r="T235" s="100">
        <v>0</v>
      </c>
      <c r="U235" s="100">
        <v>0</v>
      </c>
      <c r="V235" s="100">
        <v>1</v>
      </c>
      <c r="W235" s="100">
        <v>0</v>
      </c>
      <c r="X235" s="45" t="s">
        <v>73</v>
      </c>
      <c r="Y235" s="49">
        <v>66.760000000000005</v>
      </c>
      <c r="Z235" s="45">
        <v>1197</v>
      </c>
      <c r="AA235" s="45">
        <v>0</v>
      </c>
      <c r="AB235" s="45">
        <v>0</v>
      </c>
      <c r="AC235" s="45">
        <v>0</v>
      </c>
      <c r="AD235" s="45">
        <v>0</v>
      </c>
      <c r="AE235" s="45">
        <v>0</v>
      </c>
      <c r="AF235" s="45">
        <v>0</v>
      </c>
      <c r="AG235" s="45">
        <v>0</v>
      </c>
      <c r="AH235" s="45">
        <v>0</v>
      </c>
      <c r="AI235" s="45">
        <v>0</v>
      </c>
      <c r="AJ235" s="45">
        <v>0</v>
      </c>
      <c r="AK235" s="45">
        <v>0</v>
      </c>
      <c r="AL235" s="45">
        <v>0</v>
      </c>
      <c r="AM235" s="45">
        <v>0</v>
      </c>
      <c r="AN235" s="45">
        <v>0</v>
      </c>
      <c r="AO235" s="45"/>
      <c r="AP235" s="45"/>
      <c r="AQ235" s="45"/>
      <c r="AR235" s="45"/>
      <c r="AS235" s="45"/>
      <c r="AT235" s="45"/>
      <c r="AU235" s="45"/>
      <c r="AV235" s="45"/>
      <c r="AW235" s="45"/>
      <c r="AX235" s="45"/>
      <c r="AY235" s="45"/>
      <c r="AZ235" s="45"/>
      <c r="BA235" s="45"/>
      <c r="BB235" s="45"/>
      <c r="BC235" s="45"/>
      <c r="BD235" s="93"/>
      <c r="BE235" s="93"/>
      <c r="BF235" s="93"/>
      <c r="BG235" s="93"/>
      <c r="BH235" s="93"/>
      <c r="BI235" s="93"/>
      <c r="BJ235" s="93"/>
      <c r="BK235" s="93">
        <f>SUM($Z235:AD235)-SUM($CM235:CQ235)</f>
        <v>1127</v>
      </c>
      <c r="BL235" s="93">
        <f>SUM($Z235:AE235)-SUM($CM235:CR235)</f>
        <v>1057</v>
      </c>
      <c r="BM235" s="93">
        <f>SUM($Z235:AF235)-SUM($CM235:CS235)</f>
        <v>987</v>
      </c>
      <c r="BN235" s="93">
        <f>SUM($Z235:AG235)-SUM($CM235:CT235)</f>
        <v>917</v>
      </c>
      <c r="BO235" s="93">
        <f>SUM($Z235:AH235)-SUM($CM235:CU235)</f>
        <v>847</v>
      </c>
      <c r="BP235" s="93">
        <f>SUM($Z235:AI235)-SUM($CM235:CV235)</f>
        <v>777</v>
      </c>
      <c r="BQ235" s="93">
        <f>SUM($Z235:AJ235)-SUM($CM235:CW235)</f>
        <v>707</v>
      </c>
      <c r="BR235" s="93">
        <f>SUM($Z235:AK235)-SUM($CM235:CX235)</f>
        <v>637</v>
      </c>
      <c r="BS235" s="93">
        <f>SUM($Z235:AL235)-SUM($CM235:CY235)</f>
        <v>567</v>
      </c>
      <c r="BT235" s="93">
        <f>SUM($Z235:AM235)-SUM($CM235:CZ235)</f>
        <v>532</v>
      </c>
      <c r="BU235" s="93">
        <f>SUM($Z235:AN235)-SUM($CM235:DA235)</f>
        <v>532</v>
      </c>
      <c r="BV235" s="93">
        <f>SUM($Z235:AO235)-SUM($CM235:DB235)</f>
        <v>532</v>
      </c>
      <c r="BW235" s="93">
        <f>SUM($Z235:AP235)-SUM($CM235:DC235)</f>
        <v>532</v>
      </c>
      <c r="BX235" s="93">
        <f>SUM($Z235:AQ235)-SUM($CM235:DD235)</f>
        <v>532</v>
      </c>
      <c r="BY235" s="93">
        <f>SUM($Z235:AR235)-SUM($CM235:DE235)</f>
        <v>532</v>
      </c>
      <c r="BZ235" s="93">
        <f>SUM($Z235:AS235)-SUM($CM235:DF235)</f>
        <v>532</v>
      </c>
      <c r="CA235" s="93">
        <f>SUM($Z235:AT235)-SUM($CM235:DG235)</f>
        <v>532</v>
      </c>
      <c r="CB235" s="93">
        <f>SUM($Z235:AU235)-SUM($CM235:DH235)</f>
        <v>532</v>
      </c>
      <c r="CC235" s="93">
        <f>SUM($Z235:AV235)-SUM($CM235:DI235)</f>
        <v>532</v>
      </c>
      <c r="CD235" s="93">
        <f>SUM($Z235:AW235)-SUM($CM235:DJ235)</f>
        <v>532</v>
      </c>
      <c r="CE235" s="93">
        <f>SUM($Z235:AX235)-SUM($CM235:DK235)</f>
        <v>532</v>
      </c>
      <c r="CF235" s="93">
        <f>SUM($Z235:AY235)-SUM($CM235:DL235)</f>
        <v>532</v>
      </c>
      <c r="CG235" s="93">
        <f>SUM($Z235:AZ235)-SUM($CM235:DM235)</f>
        <v>532</v>
      </c>
      <c r="CH235" s="93">
        <f>SUM($Z235:BA235)-SUM($CM235:DN235)</f>
        <v>532</v>
      </c>
      <c r="CI235" s="93">
        <f>SUM($Z235:BB235)-SUM($CM235:DO235)</f>
        <v>532</v>
      </c>
      <c r="CJ235" s="93"/>
      <c r="CK235" s="93"/>
      <c r="CL235" s="93"/>
      <c r="CM235" s="93"/>
      <c r="CN235" s="93" cm="1">
        <f t="array" ref="CN235">SUMPRODUCT(TRANSPOSE(CN$4:CN$20),$G235:$W235)</f>
        <v>0</v>
      </c>
      <c r="CO235" s="93" cm="1">
        <f t="array" ref="CO235">SUMPRODUCT(TRANSPOSE(CO$4:CO$20),$G235:$W235)</f>
        <v>0</v>
      </c>
      <c r="CP235" s="93" cm="1">
        <f t="array" ref="CP235">SUMPRODUCT(TRANSPOSE(CP$4:CP$20),$G235:$W235)</f>
        <v>0</v>
      </c>
      <c r="CQ235" s="93" cm="1">
        <f t="array" ref="CQ235">SUMPRODUCT(TRANSPOSE(CQ$4:CQ$20),$G235:$W235)</f>
        <v>70</v>
      </c>
      <c r="CR235" s="93" cm="1">
        <f t="array" ref="CR235">SUMPRODUCT(TRANSPOSE(CR$4:CR$20),$G235:$W235)</f>
        <v>70</v>
      </c>
      <c r="CS235" s="93" cm="1">
        <f t="array" ref="CS235">SUMPRODUCT(TRANSPOSE(CS$4:CS$20),$G235:$W235)</f>
        <v>70</v>
      </c>
      <c r="CT235" s="93" cm="1">
        <f t="array" ref="CT235">SUMPRODUCT(TRANSPOSE(CT$4:CT$20),$G235:$W235)</f>
        <v>70</v>
      </c>
      <c r="CU235" s="93" cm="1">
        <f t="array" ref="CU235">SUMPRODUCT(TRANSPOSE(CU$4:CU$20),$G235:$W235)</f>
        <v>70</v>
      </c>
      <c r="CV235" s="93" cm="1">
        <f t="array" ref="CV235">SUMPRODUCT(TRANSPOSE(CV$4:CV$20),$G235:$W235)</f>
        <v>70</v>
      </c>
      <c r="CW235" s="93" cm="1">
        <f t="array" ref="CW235">SUMPRODUCT(TRANSPOSE(CW$4:CW$20),$G235:$W235)</f>
        <v>70</v>
      </c>
      <c r="CX235" s="93" cm="1">
        <f t="array" ref="CX235">SUMPRODUCT(TRANSPOSE(CX$4:CX$20),$G235:$W235)</f>
        <v>70</v>
      </c>
      <c r="CY235" s="93" cm="1">
        <f t="array" ref="CY235">SUMPRODUCT(TRANSPOSE(CY$4:CY$20),$G235:$W235)</f>
        <v>70</v>
      </c>
      <c r="CZ235" s="93" cm="1">
        <f t="array" ref="CZ235">SUMPRODUCT(TRANSPOSE(CZ$4:CZ$20),$G235:$W235)</f>
        <v>35</v>
      </c>
      <c r="DA235" s="93" cm="1">
        <f t="array" ref="DA235">SUMPRODUCT(TRANSPOSE(DA$4:DA$20),$G235:$W235)</f>
        <v>0</v>
      </c>
      <c r="DB235" s="93" cm="1">
        <f t="array" ref="DB235">SUMPRODUCT(TRANSPOSE(DB$4:DB$20),$G235:$W235)</f>
        <v>0</v>
      </c>
      <c r="DC235" s="93" cm="1">
        <f t="array" ref="DC235">SUMPRODUCT(TRANSPOSE(DC$4:DC$20),$G235:$W235)</f>
        <v>0</v>
      </c>
      <c r="DD235" s="93" cm="1">
        <f t="array" ref="DD235">SUMPRODUCT(TRANSPOSE(DD$4:DD$20),$G235:$W235)</f>
        <v>0</v>
      </c>
      <c r="DE235" s="93" cm="1">
        <f t="array" ref="DE235">SUMPRODUCT(TRANSPOSE(DE$4:DE$20),$G235:$W235)</f>
        <v>0</v>
      </c>
      <c r="DF235" s="93" cm="1">
        <f t="array" ref="DF235">SUMPRODUCT(TRANSPOSE(DF$4:DF$20),$G235:$W235)</f>
        <v>0</v>
      </c>
      <c r="DG235" s="93" cm="1">
        <f t="array" ref="DG235">SUMPRODUCT(TRANSPOSE(DG$4:DG$20),$G235:$W235)</f>
        <v>0</v>
      </c>
      <c r="DH235" s="93" cm="1">
        <f t="array" ref="DH235">SUMPRODUCT(TRANSPOSE(DH$4:DH$20),$G235:$W235)</f>
        <v>0</v>
      </c>
      <c r="DI235" s="93" cm="1">
        <f t="array" ref="DI235">SUMPRODUCT(TRANSPOSE(DI$4:DI$20),$G235:$W235)</f>
        <v>0</v>
      </c>
      <c r="DJ235" s="93" cm="1">
        <f t="array" ref="DJ235">SUMPRODUCT(TRANSPOSE(DJ$4:DJ$20),$G235:$W235)</f>
        <v>0</v>
      </c>
      <c r="DK235" s="93" cm="1">
        <f t="array" ref="DK235">SUMPRODUCT(TRANSPOSE(DK$4:DK$20),$G235:$W235)</f>
        <v>0</v>
      </c>
      <c r="DL235" s="93" cm="1">
        <f t="array" ref="DL235">SUMPRODUCT(TRANSPOSE(DL$4:DL$20),$G235:$W235)</f>
        <v>0</v>
      </c>
      <c r="DM235" s="93" cm="1">
        <f t="array" ref="DM235">SUMPRODUCT(TRANSPOSE(DM$4:DM$20),$G235:$W235)</f>
        <v>0</v>
      </c>
      <c r="DN235" s="93" cm="1">
        <f t="array" ref="DN235">SUMPRODUCT(TRANSPOSE(DN$4:DN$20),$G235:$W235)</f>
        <v>0</v>
      </c>
      <c r="DO235" s="93" cm="1">
        <f t="array" ref="DO235">SUMPRODUCT(TRANSPOSE(DO$4:DO$20),$G235:$W235)</f>
        <v>0</v>
      </c>
    </row>
    <row r="236" spans="1:119" x14ac:dyDescent="0.2">
      <c r="A236" s="47">
        <f t="shared" si="29"/>
        <v>215</v>
      </c>
      <c r="B236" s="46" t="s">
        <v>565</v>
      </c>
      <c r="C236" s="45">
        <v>401501905</v>
      </c>
      <c r="D236" s="45" t="s">
        <v>566</v>
      </c>
      <c r="E236" s="45" t="s">
        <v>162</v>
      </c>
      <c r="F236" s="48">
        <v>2</v>
      </c>
      <c r="G236" s="100">
        <v>0</v>
      </c>
      <c r="H236" s="100">
        <v>0</v>
      </c>
      <c r="I236" s="100">
        <v>0</v>
      </c>
      <c r="J236" s="100">
        <v>0</v>
      </c>
      <c r="K236" s="100">
        <v>0</v>
      </c>
      <c r="L236" s="100">
        <v>0</v>
      </c>
      <c r="M236" s="100">
        <v>0</v>
      </c>
      <c r="N236" s="100">
        <v>0</v>
      </c>
      <c r="O236" s="100">
        <v>0</v>
      </c>
      <c r="P236" s="100">
        <v>0</v>
      </c>
      <c r="Q236" s="100">
        <v>1</v>
      </c>
      <c r="R236" s="100">
        <v>0</v>
      </c>
      <c r="S236" s="100">
        <v>0</v>
      </c>
      <c r="T236" s="100">
        <v>0</v>
      </c>
      <c r="U236" s="100">
        <v>1</v>
      </c>
      <c r="V236" s="100">
        <v>0</v>
      </c>
      <c r="W236" s="100">
        <v>0</v>
      </c>
      <c r="X236" s="45" t="s">
        <v>74</v>
      </c>
      <c r="Y236" s="49">
        <v>2.16</v>
      </c>
      <c r="Z236" s="45">
        <v>2120</v>
      </c>
      <c r="AA236" s="45">
        <v>0</v>
      </c>
      <c r="AB236" s="45">
        <v>0</v>
      </c>
      <c r="AC236" s="45">
        <v>0</v>
      </c>
      <c r="AD236" s="45">
        <v>0</v>
      </c>
      <c r="AE236" s="45">
        <v>0</v>
      </c>
      <c r="AF236" s="45">
        <v>0</v>
      </c>
      <c r="AG236" s="45">
        <v>0</v>
      </c>
      <c r="AH236" s="45">
        <v>0</v>
      </c>
      <c r="AI236" s="45">
        <v>0</v>
      </c>
      <c r="AJ236" s="45">
        <v>0</v>
      </c>
      <c r="AK236" s="45">
        <v>0</v>
      </c>
      <c r="AL236" s="45">
        <v>0</v>
      </c>
      <c r="AM236" s="45">
        <v>0</v>
      </c>
      <c r="AN236" s="45">
        <v>0</v>
      </c>
      <c r="AO236" s="45"/>
      <c r="AP236" s="45"/>
      <c r="AQ236" s="45"/>
      <c r="AR236" s="45"/>
      <c r="AS236" s="45"/>
      <c r="AT236" s="45"/>
      <c r="AU236" s="45"/>
      <c r="AV236" s="45"/>
      <c r="AW236" s="45"/>
      <c r="AX236" s="45"/>
      <c r="AY236" s="45"/>
      <c r="AZ236" s="45"/>
      <c r="BA236" s="45"/>
      <c r="BB236" s="45"/>
      <c r="BC236" s="45"/>
      <c r="BD236" s="93"/>
      <c r="BE236" s="93"/>
      <c r="BF236" s="93"/>
      <c r="BG236" s="93"/>
      <c r="BH236" s="93"/>
      <c r="BI236" s="93"/>
      <c r="BJ236" s="93"/>
      <c r="BK236" s="93">
        <f>SUM($Z236:AD236)-SUM($CM236:CQ236)</f>
        <v>2042</v>
      </c>
      <c r="BL236" s="93">
        <f>SUM($Z236:AE236)-SUM($CM236:CR236)</f>
        <v>1972</v>
      </c>
      <c r="BM236" s="93">
        <f>SUM($Z236:AF236)-SUM($CM236:CS236)</f>
        <v>1907</v>
      </c>
      <c r="BN236" s="93">
        <f>SUM($Z236:AG236)-SUM($CM236:CT236)</f>
        <v>1847</v>
      </c>
      <c r="BO236" s="93">
        <f>SUM($Z236:AH236)-SUM($CM236:CU236)</f>
        <v>1787</v>
      </c>
      <c r="BP236" s="93">
        <f>SUM($Z236:AI236)-SUM($CM236:CV236)</f>
        <v>1727</v>
      </c>
      <c r="BQ236" s="93">
        <f>SUM($Z236:AJ236)-SUM($CM236:CW236)</f>
        <v>1667</v>
      </c>
      <c r="BR236" s="93">
        <f>SUM($Z236:AK236)-SUM($CM236:CX236)</f>
        <v>1607</v>
      </c>
      <c r="BS236" s="93">
        <f>SUM($Z236:AL236)-SUM($CM236:CY236)</f>
        <v>1547</v>
      </c>
      <c r="BT236" s="93">
        <f>SUM($Z236:AM236)-SUM($CM236:CZ236)</f>
        <v>1487</v>
      </c>
      <c r="BU236" s="93">
        <f>SUM($Z236:AN236)-SUM($CM236:DA236)</f>
        <v>1427</v>
      </c>
      <c r="BV236" s="93">
        <f>SUM($Z236:AO236)-SUM($CM236:DB236)</f>
        <v>1413</v>
      </c>
      <c r="BW236" s="93">
        <f>SUM($Z236:AP236)-SUM($CM236:DC236)</f>
        <v>1413</v>
      </c>
      <c r="BX236" s="93">
        <f>SUM($Z236:AQ236)-SUM($CM236:DD236)</f>
        <v>1413</v>
      </c>
      <c r="BY236" s="93">
        <f>SUM($Z236:AR236)-SUM($CM236:DE236)</f>
        <v>1413</v>
      </c>
      <c r="BZ236" s="93">
        <f>SUM($Z236:AS236)-SUM($CM236:DF236)</f>
        <v>1413</v>
      </c>
      <c r="CA236" s="93">
        <f>SUM($Z236:AT236)-SUM($CM236:DG236)</f>
        <v>1413</v>
      </c>
      <c r="CB236" s="93">
        <f>SUM($Z236:AU236)-SUM($CM236:DH236)</f>
        <v>1413</v>
      </c>
      <c r="CC236" s="93">
        <f>SUM($Z236:AV236)-SUM($CM236:DI236)</f>
        <v>1413</v>
      </c>
      <c r="CD236" s="93">
        <f>SUM($Z236:AW236)-SUM($CM236:DJ236)</f>
        <v>1413</v>
      </c>
      <c r="CE236" s="93">
        <f>SUM($Z236:AX236)-SUM($CM236:DK236)</f>
        <v>1413</v>
      </c>
      <c r="CF236" s="93">
        <f>SUM($Z236:AY236)-SUM($CM236:DL236)</f>
        <v>1413</v>
      </c>
      <c r="CG236" s="93">
        <f>SUM($Z236:AZ236)-SUM($CM236:DM236)</f>
        <v>1413</v>
      </c>
      <c r="CH236" s="93">
        <f>SUM($Z236:BA236)-SUM($CM236:DN236)</f>
        <v>1413</v>
      </c>
      <c r="CI236" s="93">
        <f>SUM($Z236:BB236)-SUM($CM236:DO236)</f>
        <v>1413</v>
      </c>
      <c r="CJ236" s="93"/>
      <c r="CK236" s="93"/>
      <c r="CL236" s="93"/>
      <c r="CM236" s="93"/>
      <c r="CN236" s="93" cm="1">
        <f t="array" ref="CN236">SUMPRODUCT(TRANSPOSE(CN$4:CN$20),$G236:$W236)</f>
        <v>0</v>
      </c>
      <c r="CO236" s="93" cm="1">
        <f t="array" ref="CO236">SUMPRODUCT(TRANSPOSE(CO$4:CO$20),$G236:$W236)</f>
        <v>0</v>
      </c>
      <c r="CP236" s="93" cm="1">
        <f t="array" ref="CP236">SUMPRODUCT(TRANSPOSE(CP$4:CP$20),$G236:$W236)</f>
        <v>0</v>
      </c>
      <c r="CQ236" s="93" cm="1">
        <f t="array" ref="CQ236">SUMPRODUCT(TRANSPOSE(CQ$4:CQ$20),$G236:$W236)</f>
        <v>78</v>
      </c>
      <c r="CR236" s="93" cm="1">
        <f t="array" ref="CR236">SUMPRODUCT(TRANSPOSE(CR$4:CR$20),$G236:$W236)</f>
        <v>70</v>
      </c>
      <c r="CS236" s="93" cm="1">
        <f t="array" ref="CS236">SUMPRODUCT(TRANSPOSE(CS$4:CS$20),$G236:$W236)</f>
        <v>65</v>
      </c>
      <c r="CT236" s="93" cm="1">
        <f t="array" ref="CT236">SUMPRODUCT(TRANSPOSE(CT$4:CT$20),$G236:$W236)</f>
        <v>60</v>
      </c>
      <c r="CU236" s="93" cm="1">
        <f t="array" ref="CU236">SUMPRODUCT(TRANSPOSE(CU$4:CU$20),$G236:$W236)</f>
        <v>60</v>
      </c>
      <c r="CV236" s="93" cm="1">
        <f t="array" ref="CV236">SUMPRODUCT(TRANSPOSE(CV$4:CV$20),$G236:$W236)</f>
        <v>60</v>
      </c>
      <c r="CW236" s="93" cm="1">
        <f t="array" ref="CW236">SUMPRODUCT(TRANSPOSE(CW$4:CW$20),$G236:$W236)</f>
        <v>60</v>
      </c>
      <c r="CX236" s="93" cm="1">
        <f t="array" ref="CX236">SUMPRODUCT(TRANSPOSE(CX$4:CX$20),$G236:$W236)</f>
        <v>60</v>
      </c>
      <c r="CY236" s="93" cm="1">
        <f t="array" ref="CY236">SUMPRODUCT(TRANSPOSE(CY$4:CY$20),$G236:$W236)</f>
        <v>60</v>
      </c>
      <c r="CZ236" s="93" cm="1">
        <f t="array" ref="CZ236">SUMPRODUCT(TRANSPOSE(CZ$4:CZ$20),$G236:$W236)</f>
        <v>60</v>
      </c>
      <c r="DA236" s="93" cm="1">
        <f t="array" ref="DA236">SUMPRODUCT(TRANSPOSE(DA$4:DA$20),$G236:$W236)</f>
        <v>60</v>
      </c>
      <c r="DB236" s="93" cm="1">
        <f t="array" ref="DB236">SUMPRODUCT(TRANSPOSE(DB$4:DB$20),$G236:$W236)</f>
        <v>14</v>
      </c>
      <c r="DC236" s="93" cm="1">
        <f t="array" ref="DC236">SUMPRODUCT(TRANSPOSE(DC$4:DC$20),$G236:$W236)</f>
        <v>0</v>
      </c>
      <c r="DD236" s="93" cm="1">
        <f t="array" ref="DD236">SUMPRODUCT(TRANSPOSE(DD$4:DD$20),$G236:$W236)</f>
        <v>0</v>
      </c>
      <c r="DE236" s="93" cm="1">
        <f t="array" ref="DE236">SUMPRODUCT(TRANSPOSE(DE$4:DE$20),$G236:$W236)</f>
        <v>0</v>
      </c>
      <c r="DF236" s="93" cm="1">
        <f t="array" ref="DF236">SUMPRODUCT(TRANSPOSE(DF$4:DF$20),$G236:$W236)</f>
        <v>0</v>
      </c>
      <c r="DG236" s="93" cm="1">
        <f t="array" ref="DG236">SUMPRODUCT(TRANSPOSE(DG$4:DG$20),$G236:$W236)</f>
        <v>0</v>
      </c>
      <c r="DH236" s="93" cm="1">
        <f t="array" ref="DH236">SUMPRODUCT(TRANSPOSE(DH$4:DH$20),$G236:$W236)</f>
        <v>0</v>
      </c>
      <c r="DI236" s="93" cm="1">
        <f t="array" ref="DI236">SUMPRODUCT(TRANSPOSE(DI$4:DI$20),$G236:$W236)</f>
        <v>0</v>
      </c>
      <c r="DJ236" s="93" cm="1">
        <f t="array" ref="DJ236">SUMPRODUCT(TRANSPOSE(DJ$4:DJ$20),$G236:$W236)</f>
        <v>0</v>
      </c>
      <c r="DK236" s="93" cm="1">
        <f t="array" ref="DK236">SUMPRODUCT(TRANSPOSE(DK$4:DK$20),$G236:$W236)</f>
        <v>0</v>
      </c>
      <c r="DL236" s="93" cm="1">
        <f t="array" ref="DL236">SUMPRODUCT(TRANSPOSE(DL$4:DL$20),$G236:$W236)</f>
        <v>0</v>
      </c>
      <c r="DM236" s="93" cm="1">
        <f t="array" ref="DM236">SUMPRODUCT(TRANSPOSE(DM$4:DM$20),$G236:$W236)</f>
        <v>0</v>
      </c>
      <c r="DN236" s="93" cm="1">
        <f t="array" ref="DN236">SUMPRODUCT(TRANSPOSE(DN$4:DN$20),$G236:$W236)</f>
        <v>0</v>
      </c>
      <c r="DO236" s="93" cm="1">
        <f t="array" ref="DO236">SUMPRODUCT(TRANSPOSE(DO$4:DO$20),$G236:$W236)</f>
        <v>0</v>
      </c>
    </row>
    <row r="237" spans="1:119" x14ac:dyDescent="0.2">
      <c r="A237" s="45">
        <f t="shared" si="29"/>
        <v>216</v>
      </c>
      <c r="B237" s="46" t="s">
        <v>567</v>
      </c>
      <c r="C237" s="45">
        <v>724409123</v>
      </c>
      <c r="D237" s="45" t="s">
        <v>568</v>
      </c>
      <c r="E237" s="45" t="s">
        <v>191</v>
      </c>
      <c r="F237" s="48">
        <v>2</v>
      </c>
      <c r="G237" s="100">
        <v>0</v>
      </c>
      <c r="H237" s="100">
        <v>0</v>
      </c>
      <c r="I237" s="100">
        <v>0</v>
      </c>
      <c r="J237" s="100">
        <v>0</v>
      </c>
      <c r="K237" s="100">
        <v>0</v>
      </c>
      <c r="L237" s="100">
        <v>0</v>
      </c>
      <c r="M237" s="100">
        <v>0</v>
      </c>
      <c r="N237" s="100">
        <v>0</v>
      </c>
      <c r="O237" s="100">
        <v>0</v>
      </c>
      <c r="P237" s="100">
        <v>0</v>
      </c>
      <c r="Q237" s="100">
        <v>0</v>
      </c>
      <c r="R237" s="100">
        <v>0</v>
      </c>
      <c r="S237" s="100">
        <v>0</v>
      </c>
      <c r="T237" s="100">
        <v>0</v>
      </c>
      <c r="U237" s="100">
        <v>0</v>
      </c>
      <c r="V237" s="100">
        <v>0</v>
      </c>
      <c r="W237" s="100">
        <v>0.05</v>
      </c>
      <c r="X237" s="45" t="s">
        <v>6</v>
      </c>
      <c r="Y237" s="49">
        <v>0</v>
      </c>
      <c r="Z237" s="45">
        <v>0</v>
      </c>
      <c r="AA237" s="45">
        <v>0</v>
      </c>
      <c r="AB237" s="45">
        <v>0</v>
      </c>
      <c r="AC237" s="45">
        <v>0</v>
      </c>
      <c r="AD237" s="45">
        <v>0</v>
      </c>
      <c r="AE237" s="45">
        <v>0</v>
      </c>
      <c r="AF237" s="45">
        <v>0</v>
      </c>
      <c r="AG237" s="45">
        <v>0</v>
      </c>
      <c r="AH237" s="45">
        <v>0</v>
      </c>
      <c r="AI237" s="45">
        <v>0</v>
      </c>
      <c r="AJ237" s="45">
        <v>0</v>
      </c>
      <c r="AK237" s="45">
        <v>0</v>
      </c>
      <c r="AL237" s="45">
        <v>0</v>
      </c>
      <c r="AM237" s="45">
        <v>0</v>
      </c>
      <c r="AN237" s="45">
        <v>0</v>
      </c>
      <c r="AO237" s="45"/>
      <c r="AP237" s="45"/>
      <c r="AQ237" s="45"/>
      <c r="AR237" s="45"/>
      <c r="AS237" s="45"/>
      <c r="AT237" s="45"/>
      <c r="AU237" s="45"/>
      <c r="AV237" s="45"/>
      <c r="AW237" s="45"/>
      <c r="AX237" s="45"/>
      <c r="AY237" s="45"/>
      <c r="AZ237" s="45"/>
      <c r="BA237" s="45"/>
      <c r="BB237" s="45"/>
      <c r="BC237" s="45"/>
      <c r="BD237" s="93"/>
      <c r="BE237" s="93"/>
      <c r="BF237" s="93"/>
      <c r="BG237" s="93"/>
      <c r="BH237" s="93"/>
      <c r="BI237" s="93"/>
      <c r="BJ237" s="93"/>
      <c r="BK237" s="93">
        <f>SUM($Z237:AD237)-SUM($CM237:CQ237)</f>
        <v>-0.8</v>
      </c>
      <c r="BL237" s="93">
        <f>SUM($Z237:AE237)-SUM($CM237:CR237)</f>
        <v>-1.6</v>
      </c>
      <c r="BM237" s="93">
        <f>SUM($Z237:AF237)-SUM($CM237:CS237)</f>
        <v>-2.4000000000000004</v>
      </c>
      <c r="BN237" s="93">
        <f>SUM($Z237:AG237)-SUM($CM237:CT237)</f>
        <v>-3.2</v>
      </c>
      <c r="BO237" s="93">
        <f>SUM($Z237:AH237)-SUM($CM237:CU237)</f>
        <v>-4</v>
      </c>
      <c r="BP237" s="93">
        <f>SUM($Z237:AI237)-SUM($CM237:CV237)</f>
        <v>-4.8</v>
      </c>
      <c r="BQ237" s="93">
        <f>SUM($Z237:AJ237)-SUM($CM237:CW237)</f>
        <v>-5.6</v>
      </c>
      <c r="BR237" s="93">
        <f>SUM($Z237:AK237)-SUM($CM237:CX237)</f>
        <v>-6.3999999999999995</v>
      </c>
      <c r="BS237" s="93">
        <f>SUM($Z237:AL237)-SUM($CM237:CY237)</f>
        <v>-6.3999999999999995</v>
      </c>
      <c r="BT237" s="93">
        <f>SUM($Z237:AM237)-SUM($CM237:CZ237)</f>
        <v>-6.3999999999999995</v>
      </c>
      <c r="BU237" s="93">
        <f>SUM($Z237:AN237)-SUM($CM237:DA237)</f>
        <v>-6.3999999999999995</v>
      </c>
      <c r="BV237" s="93">
        <f>SUM($Z237:AO237)-SUM($CM237:DB237)</f>
        <v>-6.3999999999999995</v>
      </c>
      <c r="BW237" s="93">
        <f>SUM($Z237:AP237)-SUM($CM237:DC237)</f>
        <v>-6.3999999999999995</v>
      </c>
      <c r="BX237" s="93">
        <f>SUM($Z237:AQ237)-SUM($CM237:DD237)</f>
        <v>-6.3999999999999995</v>
      </c>
      <c r="BY237" s="93">
        <f>SUM($Z237:AR237)-SUM($CM237:DE237)</f>
        <v>-6.3999999999999995</v>
      </c>
      <c r="BZ237" s="93">
        <f>SUM($Z237:AS237)-SUM($CM237:DF237)</f>
        <v>-6.3999999999999995</v>
      </c>
      <c r="CA237" s="93">
        <f>SUM($Z237:AT237)-SUM($CM237:DG237)</f>
        <v>-6.3999999999999995</v>
      </c>
      <c r="CB237" s="93">
        <f>SUM($Z237:AU237)-SUM($CM237:DH237)</f>
        <v>-6.3999999999999995</v>
      </c>
      <c r="CC237" s="93">
        <f>SUM($Z237:AV237)-SUM($CM237:DI237)</f>
        <v>-6.3999999999999995</v>
      </c>
      <c r="CD237" s="93">
        <f>SUM($Z237:AW237)-SUM($CM237:DJ237)</f>
        <v>-6.3999999999999995</v>
      </c>
      <c r="CE237" s="93">
        <f>SUM($Z237:AX237)-SUM($CM237:DK237)</f>
        <v>-6.3999999999999995</v>
      </c>
      <c r="CF237" s="93">
        <f>SUM($Z237:AY237)-SUM($CM237:DL237)</f>
        <v>-6.3999999999999995</v>
      </c>
      <c r="CG237" s="93">
        <f>SUM($Z237:AZ237)-SUM($CM237:DM237)</f>
        <v>-6.3999999999999995</v>
      </c>
      <c r="CH237" s="93">
        <f>SUM($Z237:BA237)-SUM($CM237:DN237)</f>
        <v>-6.3999999999999995</v>
      </c>
      <c r="CI237" s="93">
        <f>SUM($Z237:BB237)-SUM($CM237:DO237)</f>
        <v>-6.3999999999999995</v>
      </c>
      <c r="CJ237" s="93"/>
      <c r="CK237" s="93"/>
      <c r="CL237" s="93"/>
      <c r="CM237" s="93"/>
      <c r="CN237" s="93" cm="1">
        <f t="array" ref="CN237">SUMPRODUCT(TRANSPOSE(CN$4:CN$20),$G237:$W237)</f>
        <v>0</v>
      </c>
      <c r="CO237" s="93" cm="1">
        <f t="array" ref="CO237">SUMPRODUCT(TRANSPOSE(CO$4:CO$20),$G237:$W237)</f>
        <v>0</v>
      </c>
      <c r="CP237" s="93" cm="1">
        <f t="array" ref="CP237">SUMPRODUCT(TRANSPOSE(CP$4:CP$20),$G237:$W237)</f>
        <v>0</v>
      </c>
      <c r="CQ237" s="93" cm="1">
        <f t="array" ref="CQ237">SUMPRODUCT(TRANSPOSE(CQ$4:CQ$20),$G237:$W237)</f>
        <v>0.8</v>
      </c>
      <c r="CR237" s="93" cm="1">
        <f t="array" ref="CR237">SUMPRODUCT(TRANSPOSE(CR$4:CR$20),$G237:$W237)</f>
        <v>0.8</v>
      </c>
      <c r="CS237" s="93" cm="1">
        <f t="array" ref="CS237">SUMPRODUCT(TRANSPOSE(CS$4:CS$20),$G237:$W237)</f>
        <v>0.8</v>
      </c>
      <c r="CT237" s="93" cm="1">
        <f t="array" ref="CT237">SUMPRODUCT(TRANSPOSE(CT$4:CT$20),$G237:$W237)</f>
        <v>0.8</v>
      </c>
      <c r="CU237" s="93" cm="1">
        <f t="array" ref="CU237">SUMPRODUCT(TRANSPOSE(CU$4:CU$20),$G237:$W237)</f>
        <v>0.8</v>
      </c>
      <c r="CV237" s="93" cm="1">
        <f t="array" ref="CV237">SUMPRODUCT(TRANSPOSE(CV$4:CV$20),$G237:$W237)</f>
        <v>0.8</v>
      </c>
      <c r="CW237" s="93" cm="1">
        <f t="array" ref="CW237">SUMPRODUCT(TRANSPOSE(CW$4:CW$20),$G237:$W237)</f>
        <v>0.8</v>
      </c>
      <c r="CX237" s="93" cm="1">
        <f t="array" ref="CX237">SUMPRODUCT(TRANSPOSE(CX$4:CX$20),$G237:$W237)</f>
        <v>0.8</v>
      </c>
      <c r="CY237" s="93" cm="1">
        <f t="array" ref="CY237">SUMPRODUCT(TRANSPOSE(CY$4:CY$20),$G237:$W237)</f>
        <v>0</v>
      </c>
      <c r="CZ237" s="93" cm="1">
        <f t="array" ref="CZ237">SUMPRODUCT(TRANSPOSE(CZ$4:CZ$20),$G237:$W237)</f>
        <v>0</v>
      </c>
      <c r="DA237" s="93" cm="1">
        <f t="array" ref="DA237">SUMPRODUCT(TRANSPOSE(DA$4:DA$20),$G237:$W237)</f>
        <v>0</v>
      </c>
      <c r="DB237" s="93" cm="1">
        <f t="array" ref="DB237">SUMPRODUCT(TRANSPOSE(DB$4:DB$20),$G237:$W237)</f>
        <v>0</v>
      </c>
      <c r="DC237" s="93" cm="1">
        <f t="array" ref="DC237">SUMPRODUCT(TRANSPOSE(DC$4:DC$20),$G237:$W237)</f>
        <v>0</v>
      </c>
      <c r="DD237" s="93" cm="1">
        <f t="array" ref="DD237">SUMPRODUCT(TRANSPOSE(DD$4:DD$20),$G237:$W237)</f>
        <v>0</v>
      </c>
      <c r="DE237" s="93" cm="1">
        <f t="array" ref="DE237">SUMPRODUCT(TRANSPOSE(DE$4:DE$20),$G237:$W237)</f>
        <v>0</v>
      </c>
      <c r="DF237" s="93" cm="1">
        <f t="array" ref="DF237">SUMPRODUCT(TRANSPOSE(DF$4:DF$20),$G237:$W237)</f>
        <v>0</v>
      </c>
      <c r="DG237" s="93" cm="1">
        <f t="array" ref="DG237">SUMPRODUCT(TRANSPOSE(DG$4:DG$20),$G237:$W237)</f>
        <v>0</v>
      </c>
      <c r="DH237" s="93" cm="1">
        <f t="array" ref="DH237">SUMPRODUCT(TRANSPOSE(DH$4:DH$20),$G237:$W237)</f>
        <v>0</v>
      </c>
      <c r="DI237" s="93" cm="1">
        <f t="array" ref="DI237">SUMPRODUCT(TRANSPOSE(DI$4:DI$20),$G237:$W237)</f>
        <v>0</v>
      </c>
      <c r="DJ237" s="93" cm="1">
        <f t="array" ref="DJ237">SUMPRODUCT(TRANSPOSE(DJ$4:DJ$20),$G237:$W237)</f>
        <v>0</v>
      </c>
      <c r="DK237" s="93" cm="1">
        <f t="array" ref="DK237">SUMPRODUCT(TRANSPOSE(DK$4:DK$20),$G237:$W237)</f>
        <v>0</v>
      </c>
      <c r="DL237" s="93" cm="1">
        <f t="array" ref="DL237">SUMPRODUCT(TRANSPOSE(DL$4:DL$20),$G237:$W237)</f>
        <v>0</v>
      </c>
      <c r="DM237" s="93" cm="1">
        <f t="array" ref="DM237">SUMPRODUCT(TRANSPOSE(DM$4:DM$20),$G237:$W237)</f>
        <v>0</v>
      </c>
      <c r="DN237" s="93" cm="1">
        <f t="array" ref="DN237">SUMPRODUCT(TRANSPOSE(DN$4:DN$20),$G237:$W237)</f>
        <v>0</v>
      </c>
      <c r="DO237" s="93" cm="1">
        <f t="array" ref="DO237">SUMPRODUCT(TRANSPOSE(DO$4:DO$20),$G237:$W237)</f>
        <v>0</v>
      </c>
    </row>
    <row r="238" spans="1:119" x14ac:dyDescent="0.2">
      <c r="A238" s="45">
        <f t="shared" si="29"/>
        <v>217</v>
      </c>
      <c r="B238" s="46" t="s">
        <v>569</v>
      </c>
      <c r="C238" s="45">
        <v>404102750</v>
      </c>
      <c r="D238" s="45" t="s">
        <v>570</v>
      </c>
      <c r="E238" s="45" t="s">
        <v>162</v>
      </c>
      <c r="F238" s="48">
        <v>1</v>
      </c>
      <c r="G238" s="100">
        <v>0</v>
      </c>
      <c r="H238" s="100">
        <v>0</v>
      </c>
      <c r="I238" s="100">
        <v>0</v>
      </c>
      <c r="J238" s="100">
        <v>0</v>
      </c>
      <c r="K238" s="100">
        <v>0</v>
      </c>
      <c r="L238" s="100">
        <v>0</v>
      </c>
      <c r="M238" s="100">
        <v>0</v>
      </c>
      <c r="N238" s="100">
        <v>0</v>
      </c>
      <c r="O238" s="100">
        <v>0</v>
      </c>
      <c r="P238" s="100">
        <v>0</v>
      </c>
      <c r="Q238" s="100">
        <v>33</v>
      </c>
      <c r="R238" s="100">
        <v>0</v>
      </c>
      <c r="S238" s="100">
        <v>0</v>
      </c>
      <c r="T238" s="100">
        <v>0</v>
      </c>
      <c r="U238" s="100">
        <v>33</v>
      </c>
      <c r="V238" s="100">
        <v>0</v>
      </c>
      <c r="W238" s="100">
        <v>0</v>
      </c>
      <c r="X238" s="45" t="s">
        <v>52</v>
      </c>
      <c r="Y238" s="49">
        <v>14.5</v>
      </c>
      <c r="Z238" s="45">
        <v>26409</v>
      </c>
      <c r="AA238" s="45">
        <v>0</v>
      </c>
      <c r="AB238" s="45">
        <v>0</v>
      </c>
      <c r="AC238" s="45">
        <v>0</v>
      </c>
      <c r="AD238" s="45">
        <v>0</v>
      </c>
      <c r="AE238" s="45">
        <v>0</v>
      </c>
      <c r="AF238" s="45">
        <v>0</v>
      </c>
      <c r="AG238" s="45">
        <v>0</v>
      </c>
      <c r="AH238" s="45">
        <v>0</v>
      </c>
      <c r="AI238" s="45">
        <v>0</v>
      </c>
      <c r="AJ238" s="45">
        <v>0</v>
      </c>
      <c r="AK238" s="45">
        <v>0</v>
      </c>
      <c r="AL238" s="45">
        <v>0</v>
      </c>
      <c r="AM238" s="45">
        <v>0</v>
      </c>
      <c r="AN238" s="45">
        <v>0</v>
      </c>
      <c r="AO238" s="45"/>
      <c r="AP238" s="45"/>
      <c r="AQ238" s="45"/>
      <c r="AR238" s="45"/>
      <c r="AS238" s="45"/>
      <c r="AT238" s="45"/>
      <c r="AU238" s="45"/>
      <c r="AV238" s="45"/>
      <c r="AW238" s="45"/>
      <c r="AX238" s="45"/>
      <c r="AY238" s="45"/>
      <c r="AZ238" s="45"/>
      <c r="BA238" s="45"/>
      <c r="BB238" s="45"/>
      <c r="BC238" s="45"/>
      <c r="BD238" s="93"/>
      <c r="BE238" s="93"/>
      <c r="BF238" s="93"/>
      <c r="BG238" s="93"/>
      <c r="BH238" s="93"/>
      <c r="BI238" s="93"/>
      <c r="BJ238" s="93"/>
      <c r="BK238" s="93">
        <f>SUM($Z238:AD238)-SUM($CM238:CQ238)</f>
        <v>23835</v>
      </c>
      <c r="BL238" s="93">
        <f>SUM($Z238:AE238)-SUM($CM238:CR238)</f>
        <v>21525</v>
      </c>
      <c r="BM238" s="93">
        <f>SUM($Z238:AF238)-SUM($CM238:CS238)</f>
        <v>19380</v>
      </c>
      <c r="BN238" s="93">
        <f>SUM($Z238:AG238)-SUM($CM238:CT238)</f>
        <v>17400</v>
      </c>
      <c r="BO238" s="93">
        <f>SUM($Z238:AH238)-SUM($CM238:CU238)</f>
        <v>15420</v>
      </c>
      <c r="BP238" s="93">
        <f>SUM($Z238:AI238)-SUM($CM238:CV238)</f>
        <v>13440</v>
      </c>
      <c r="BQ238" s="93">
        <f>SUM($Z238:AJ238)-SUM($CM238:CW238)</f>
        <v>11460</v>
      </c>
      <c r="BR238" s="93">
        <f>SUM($Z238:AK238)-SUM($CM238:CX238)</f>
        <v>9480</v>
      </c>
      <c r="BS238" s="93">
        <f>SUM($Z238:AL238)-SUM($CM238:CY238)</f>
        <v>7500</v>
      </c>
      <c r="BT238" s="93">
        <f>SUM($Z238:AM238)-SUM($CM238:CZ238)</f>
        <v>5520</v>
      </c>
      <c r="BU238" s="93">
        <f>SUM($Z238:AN238)-SUM($CM238:DA238)</f>
        <v>3540</v>
      </c>
      <c r="BV238" s="93">
        <f>SUM($Z238:AO238)-SUM($CM238:DB238)</f>
        <v>3078</v>
      </c>
      <c r="BW238" s="93">
        <f>SUM($Z238:AP238)-SUM($CM238:DC238)</f>
        <v>3078</v>
      </c>
      <c r="BX238" s="93">
        <f>SUM($Z238:AQ238)-SUM($CM238:DD238)</f>
        <v>3078</v>
      </c>
      <c r="BY238" s="93">
        <f>SUM($Z238:AR238)-SUM($CM238:DE238)</f>
        <v>3078</v>
      </c>
      <c r="BZ238" s="93">
        <f>SUM($Z238:AS238)-SUM($CM238:DF238)</f>
        <v>3078</v>
      </c>
      <c r="CA238" s="93">
        <f>SUM($Z238:AT238)-SUM($CM238:DG238)</f>
        <v>3078</v>
      </c>
      <c r="CB238" s="93">
        <f>SUM($Z238:AU238)-SUM($CM238:DH238)</f>
        <v>3078</v>
      </c>
      <c r="CC238" s="93">
        <f>SUM($Z238:AV238)-SUM($CM238:DI238)</f>
        <v>3078</v>
      </c>
      <c r="CD238" s="93">
        <f>SUM($Z238:AW238)-SUM($CM238:DJ238)</f>
        <v>3078</v>
      </c>
      <c r="CE238" s="93">
        <f>SUM($Z238:AX238)-SUM($CM238:DK238)</f>
        <v>3078</v>
      </c>
      <c r="CF238" s="93">
        <f>SUM($Z238:AY238)-SUM($CM238:DL238)</f>
        <v>3078</v>
      </c>
      <c r="CG238" s="93">
        <f>SUM($Z238:AZ238)-SUM($CM238:DM238)</f>
        <v>3078</v>
      </c>
      <c r="CH238" s="93">
        <f>SUM($Z238:BA238)-SUM($CM238:DN238)</f>
        <v>3078</v>
      </c>
      <c r="CI238" s="93">
        <f>SUM($Z238:BB238)-SUM($CM238:DO238)</f>
        <v>3078</v>
      </c>
      <c r="CJ238" s="93"/>
      <c r="CK238" s="93"/>
      <c r="CL238" s="93"/>
      <c r="CM238" s="93"/>
      <c r="CN238" s="93" cm="1">
        <f t="array" ref="CN238">SUMPRODUCT(TRANSPOSE(CN$4:CN$20),$G238:$W238)</f>
        <v>0</v>
      </c>
      <c r="CO238" s="93" cm="1">
        <f t="array" ref="CO238">SUMPRODUCT(TRANSPOSE(CO$4:CO$20),$G238:$W238)</f>
        <v>0</v>
      </c>
      <c r="CP238" s="93" cm="1">
        <f t="array" ref="CP238">SUMPRODUCT(TRANSPOSE(CP$4:CP$20),$G238:$W238)</f>
        <v>0</v>
      </c>
      <c r="CQ238" s="93" cm="1">
        <f t="array" ref="CQ238">SUMPRODUCT(TRANSPOSE(CQ$4:CQ$20),$G238:$W238)</f>
        <v>2574</v>
      </c>
      <c r="CR238" s="93" cm="1">
        <f t="array" ref="CR238">SUMPRODUCT(TRANSPOSE(CR$4:CR$20),$G238:$W238)</f>
        <v>2310</v>
      </c>
      <c r="CS238" s="93" cm="1">
        <f t="array" ref="CS238">SUMPRODUCT(TRANSPOSE(CS$4:CS$20),$G238:$W238)</f>
        <v>2145</v>
      </c>
      <c r="CT238" s="93" cm="1">
        <f t="array" ref="CT238">SUMPRODUCT(TRANSPOSE(CT$4:CT$20),$G238:$W238)</f>
        <v>1980</v>
      </c>
      <c r="CU238" s="93" cm="1">
        <f t="array" ref="CU238">SUMPRODUCT(TRANSPOSE(CU$4:CU$20),$G238:$W238)</f>
        <v>1980</v>
      </c>
      <c r="CV238" s="93" cm="1">
        <f t="array" ref="CV238">SUMPRODUCT(TRANSPOSE(CV$4:CV$20),$G238:$W238)</f>
        <v>1980</v>
      </c>
      <c r="CW238" s="93" cm="1">
        <f t="array" ref="CW238">SUMPRODUCT(TRANSPOSE(CW$4:CW$20),$G238:$W238)</f>
        <v>1980</v>
      </c>
      <c r="CX238" s="93" cm="1">
        <f t="array" ref="CX238">SUMPRODUCT(TRANSPOSE(CX$4:CX$20),$G238:$W238)</f>
        <v>1980</v>
      </c>
      <c r="CY238" s="93" cm="1">
        <f t="array" ref="CY238">SUMPRODUCT(TRANSPOSE(CY$4:CY$20),$G238:$W238)</f>
        <v>1980</v>
      </c>
      <c r="CZ238" s="93" cm="1">
        <f t="array" ref="CZ238">SUMPRODUCT(TRANSPOSE(CZ$4:CZ$20),$G238:$W238)</f>
        <v>1980</v>
      </c>
      <c r="DA238" s="93" cm="1">
        <f t="array" ref="DA238">SUMPRODUCT(TRANSPOSE(DA$4:DA$20),$G238:$W238)</f>
        <v>1980</v>
      </c>
      <c r="DB238" s="93" cm="1">
        <f t="array" ref="DB238">SUMPRODUCT(TRANSPOSE(DB$4:DB$20),$G238:$W238)</f>
        <v>462</v>
      </c>
      <c r="DC238" s="93" cm="1">
        <f t="array" ref="DC238">SUMPRODUCT(TRANSPOSE(DC$4:DC$20),$G238:$W238)</f>
        <v>0</v>
      </c>
      <c r="DD238" s="93" cm="1">
        <f t="array" ref="DD238">SUMPRODUCT(TRANSPOSE(DD$4:DD$20),$G238:$W238)</f>
        <v>0</v>
      </c>
      <c r="DE238" s="93" cm="1">
        <f t="array" ref="DE238">SUMPRODUCT(TRANSPOSE(DE$4:DE$20),$G238:$W238)</f>
        <v>0</v>
      </c>
      <c r="DF238" s="93" cm="1">
        <f t="array" ref="DF238">SUMPRODUCT(TRANSPOSE(DF$4:DF$20),$G238:$W238)</f>
        <v>0</v>
      </c>
      <c r="DG238" s="93" cm="1">
        <f t="array" ref="DG238">SUMPRODUCT(TRANSPOSE(DG$4:DG$20),$G238:$W238)</f>
        <v>0</v>
      </c>
      <c r="DH238" s="93" cm="1">
        <f t="array" ref="DH238">SUMPRODUCT(TRANSPOSE(DH$4:DH$20),$G238:$W238)</f>
        <v>0</v>
      </c>
      <c r="DI238" s="93" cm="1">
        <f t="array" ref="DI238">SUMPRODUCT(TRANSPOSE(DI$4:DI$20),$G238:$W238)</f>
        <v>0</v>
      </c>
      <c r="DJ238" s="93" cm="1">
        <f t="array" ref="DJ238">SUMPRODUCT(TRANSPOSE(DJ$4:DJ$20),$G238:$W238)</f>
        <v>0</v>
      </c>
      <c r="DK238" s="93" cm="1">
        <f t="array" ref="DK238">SUMPRODUCT(TRANSPOSE(DK$4:DK$20),$G238:$W238)</f>
        <v>0</v>
      </c>
      <c r="DL238" s="93" cm="1">
        <f t="array" ref="DL238">SUMPRODUCT(TRANSPOSE(DL$4:DL$20),$G238:$W238)</f>
        <v>0</v>
      </c>
      <c r="DM238" s="93" cm="1">
        <f t="array" ref="DM238">SUMPRODUCT(TRANSPOSE(DM$4:DM$20),$G238:$W238)</f>
        <v>0</v>
      </c>
      <c r="DN238" s="93" cm="1">
        <f t="array" ref="DN238">SUMPRODUCT(TRANSPOSE(DN$4:DN$20),$G238:$W238)</f>
        <v>0</v>
      </c>
      <c r="DO238" s="93" cm="1">
        <f t="array" ref="DO238">SUMPRODUCT(TRANSPOSE(DO$4:DO$20),$G238:$W238)</f>
        <v>0</v>
      </c>
    </row>
    <row r="239" spans="1:119" x14ac:dyDescent="0.2">
      <c r="A239" s="45">
        <f t="shared" si="29"/>
        <v>218</v>
      </c>
      <c r="B239" s="46" t="s">
        <v>571</v>
      </c>
      <c r="C239" s="45">
        <v>404102751</v>
      </c>
      <c r="D239" s="45" t="s">
        <v>570</v>
      </c>
      <c r="E239" s="45" t="s">
        <v>162</v>
      </c>
      <c r="F239" s="48">
        <v>1</v>
      </c>
      <c r="G239" s="100">
        <v>0</v>
      </c>
      <c r="H239" s="100">
        <v>0</v>
      </c>
      <c r="I239" s="100">
        <v>0</v>
      </c>
      <c r="J239" s="100">
        <v>0</v>
      </c>
      <c r="K239" s="100">
        <v>0</v>
      </c>
      <c r="L239" s="100">
        <v>0</v>
      </c>
      <c r="M239" s="100">
        <v>0</v>
      </c>
      <c r="N239" s="100">
        <v>0</v>
      </c>
      <c r="O239" s="100">
        <v>0</v>
      </c>
      <c r="P239" s="100">
        <v>0</v>
      </c>
      <c r="Q239" s="100">
        <v>2</v>
      </c>
      <c r="R239" s="100">
        <v>0</v>
      </c>
      <c r="S239" s="100">
        <v>0</v>
      </c>
      <c r="T239" s="100">
        <v>0</v>
      </c>
      <c r="U239" s="100">
        <v>2</v>
      </c>
      <c r="V239" s="100">
        <v>0</v>
      </c>
      <c r="W239" s="100">
        <v>0</v>
      </c>
      <c r="X239" s="45" t="s">
        <v>52</v>
      </c>
      <c r="Y239" s="49">
        <v>14.5</v>
      </c>
      <c r="Z239" s="45">
        <v>2134</v>
      </c>
      <c r="AA239" s="45">
        <v>0</v>
      </c>
      <c r="AB239" s="45">
        <v>0</v>
      </c>
      <c r="AC239" s="45">
        <v>0</v>
      </c>
      <c r="AD239" s="45">
        <v>0</v>
      </c>
      <c r="AE239" s="45">
        <v>0</v>
      </c>
      <c r="AF239" s="45">
        <v>0</v>
      </c>
      <c r="AG239" s="45">
        <v>0</v>
      </c>
      <c r="AH239" s="45">
        <v>0</v>
      </c>
      <c r="AI239" s="45">
        <v>0</v>
      </c>
      <c r="AJ239" s="45">
        <v>0</v>
      </c>
      <c r="AK239" s="45">
        <v>0</v>
      </c>
      <c r="AL239" s="45">
        <v>0</v>
      </c>
      <c r="AM239" s="45">
        <v>0</v>
      </c>
      <c r="AN239" s="45">
        <v>0</v>
      </c>
      <c r="AO239" s="45"/>
      <c r="AP239" s="45"/>
      <c r="AQ239" s="45"/>
      <c r="AR239" s="45"/>
      <c r="AS239" s="45"/>
      <c r="AT239" s="45"/>
      <c r="AU239" s="45"/>
      <c r="AV239" s="45"/>
      <c r="AW239" s="45"/>
      <c r="AX239" s="45"/>
      <c r="AY239" s="45"/>
      <c r="AZ239" s="45"/>
      <c r="BA239" s="45"/>
      <c r="BB239" s="45"/>
      <c r="BC239" s="45"/>
      <c r="BD239" s="93"/>
      <c r="BE239" s="93"/>
      <c r="BF239" s="93"/>
      <c r="BG239" s="93"/>
      <c r="BH239" s="93"/>
      <c r="BI239" s="93"/>
      <c r="BJ239" s="93"/>
      <c r="BK239" s="93">
        <f>SUM($Z239:AD239)-SUM($CM239:CQ239)</f>
        <v>1978</v>
      </c>
      <c r="BL239" s="93">
        <f>SUM($Z239:AE239)-SUM($CM239:CR239)</f>
        <v>1838</v>
      </c>
      <c r="BM239" s="93">
        <f>SUM($Z239:AF239)-SUM($CM239:CS239)</f>
        <v>1708</v>
      </c>
      <c r="BN239" s="93">
        <f>SUM($Z239:AG239)-SUM($CM239:CT239)</f>
        <v>1588</v>
      </c>
      <c r="BO239" s="93">
        <f>SUM($Z239:AH239)-SUM($CM239:CU239)</f>
        <v>1468</v>
      </c>
      <c r="BP239" s="93">
        <f>SUM($Z239:AI239)-SUM($CM239:CV239)</f>
        <v>1348</v>
      </c>
      <c r="BQ239" s="93">
        <f>SUM($Z239:AJ239)-SUM($CM239:CW239)</f>
        <v>1228</v>
      </c>
      <c r="BR239" s="93">
        <f>SUM($Z239:AK239)-SUM($CM239:CX239)</f>
        <v>1108</v>
      </c>
      <c r="BS239" s="93">
        <f>SUM($Z239:AL239)-SUM($CM239:CY239)</f>
        <v>988</v>
      </c>
      <c r="BT239" s="93">
        <f>SUM($Z239:AM239)-SUM($CM239:CZ239)</f>
        <v>868</v>
      </c>
      <c r="BU239" s="93">
        <f>SUM($Z239:AN239)-SUM($CM239:DA239)</f>
        <v>748</v>
      </c>
      <c r="BV239" s="93">
        <f>SUM($Z239:AO239)-SUM($CM239:DB239)</f>
        <v>720</v>
      </c>
      <c r="BW239" s="93">
        <f>SUM($Z239:AP239)-SUM($CM239:DC239)</f>
        <v>720</v>
      </c>
      <c r="BX239" s="93">
        <f>SUM($Z239:AQ239)-SUM($CM239:DD239)</f>
        <v>720</v>
      </c>
      <c r="BY239" s="93">
        <f>SUM($Z239:AR239)-SUM($CM239:DE239)</f>
        <v>720</v>
      </c>
      <c r="BZ239" s="93">
        <f>SUM($Z239:AS239)-SUM($CM239:DF239)</f>
        <v>720</v>
      </c>
      <c r="CA239" s="93">
        <f>SUM($Z239:AT239)-SUM($CM239:DG239)</f>
        <v>720</v>
      </c>
      <c r="CB239" s="93">
        <f>SUM($Z239:AU239)-SUM($CM239:DH239)</f>
        <v>720</v>
      </c>
      <c r="CC239" s="93">
        <f>SUM($Z239:AV239)-SUM($CM239:DI239)</f>
        <v>720</v>
      </c>
      <c r="CD239" s="93">
        <f>SUM($Z239:AW239)-SUM($CM239:DJ239)</f>
        <v>720</v>
      </c>
      <c r="CE239" s="93">
        <f>SUM($Z239:AX239)-SUM($CM239:DK239)</f>
        <v>720</v>
      </c>
      <c r="CF239" s="93">
        <f>SUM($Z239:AY239)-SUM($CM239:DL239)</f>
        <v>720</v>
      </c>
      <c r="CG239" s="93">
        <f>SUM($Z239:AZ239)-SUM($CM239:DM239)</f>
        <v>720</v>
      </c>
      <c r="CH239" s="93">
        <f>SUM($Z239:BA239)-SUM($CM239:DN239)</f>
        <v>720</v>
      </c>
      <c r="CI239" s="93">
        <f>SUM($Z239:BB239)-SUM($CM239:DO239)</f>
        <v>720</v>
      </c>
      <c r="CJ239" s="93"/>
      <c r="CK239" s="93"/>
      <c r="CL239" s="93"/>
      <c r="CM239" s="93"/>
      <c r="CN239" s="93" cm="1">
        <f t="array" ref="CN239">SUMPRODUCT(TRANSPOSE(CN$4:CN$20),$G239:$W239)</f>
        <v>0</v>
      </c>
      <c r="CO239" s="93" cm="1">
        <f t="array" ref="CO239">SUMPRODUCT(TRANSPOSE(CO$4:CO$20),$G239:$W239)</f>
        <v>0</v>
      </c>
      <c r="CP239" s="93" cm="1">
        <f t="array" ref="CP239">SUMPRODUCT(TRANSPOSE(CP$4:CP$20),$G239:$W239)</f>
        <v>0</v>
      </c>
      <c r="CQ239" s="93" cm="1">
        <f t="array" ref="CQ239">SUMPRODUCT(TRANSPOSE(CQ$4:CQ$20),$G239:$W239)</f>
        <v>156</v>
      </c>
      <c r="CR239" s="93" cm="1">
        <f t="array" ref="CR239">SUMPRODUCT(TRANSPOSE(CR$4:CR$20),$G239:$W239)</f>
        <v>140</v>
      </c>
      <c r="CS239" s="93" cm="1">
        <f t="array" ref="CS239">SUMPRODUCT(TRANSPOSE(CS$4:CS$20),$G239:$W239)</f>
        <v>130</v>
      </c>
      <c r="CT239" s="93" cm="1">
        <f t="array" ref="CT239">SUMPRODUCT(TRANSPOSE(CT$4:CT$20),$G239:$W239)</f>
        <v>120</v>
      </c>
      <c r="CU239" s="93" cm="1">
        <f t="array" ref="CU239">SUMPRODUCT(TRANSPOSE(CU$4:CU$20),$G239:$W239)</f>
        <v>120</v>
      </c>
      <c r="CV239" s="93" cm="1">
        <f t="array" ref="CV239">SUMPRODUCT(TRANSPOSE(CV$4:CV$20),$G239:$W239)</f>
        <v>120</v>
      </c>
      <c r="CW239" s="93" cm="1">
        <f t="array" ref="CW239">SUMPRODUCT(TRANSPOSE(CW$4:CW$20),$G239:$W239)</f>
        <v>120</v>
      </c>
      <c r="CX239" s="93" cm="1">
        <f t="array" ref="CX239">SUMPRODUCT(TRANSPOSE(CX$4:CX$20),$G239:$W239)</f>
        <v>120</v>
      </c>
      <c r="CY239" s="93" cm="1">
        <f t="array" ref="CY239">SUMPRODUCT(TRANSPOSE(CY$4:CY$20),$G239:$W239)</f>
        <v>120</v>
      </c>
      <c r="CZ239" s="93" cm="1">
        <f t="array" ref="CZ239">SUMPRODUCT(TRANSPOSE(CZ$4:CZ$20),$G239:$W239)</f>
        <v>120</v>
      </c>
      <c r="DA239" s="93" cm="1">
        <f t="array" ref="DA239">SUMPRODUCT(TRANSPOSE(DA$4:DA$20),$G239:$W239)</f>
        <v>120</v>
      </c>
      <c r="DB239" s="93" cm="1">
        <f t="array" ref="DB239">SUMPRODUCT(TRANSPOSE(DB$4:DB$20),$G239:$W239)</f>
        <v>28</v>
      </c>
      <c r="DC239" s="93" cm="1">
        <f t="array" ref="DC239">SUMPRODUCT(TRANSPOSE(DC$4:DC$20),$G239:$W239)</f>
        <v>0</v>
      </c>
      <c r="DD239" s="93" cm="1">
        <f t="array" ref="DD239">SUMPRODUCT(TRANSPOSE(DD$4:DD$20),$G239:$W239)</f>
        <v>0</v>
      </c>
      <c r="DE239" s="93" cm="1">
        <f t="array" ref="DE239">SUMPRODUCT(TRANSPOSE(DE$4:DE$20),$G239:$W239)</f>
        <v>0</v>
      </c>
      <c r="DF239" s="93" cm="1">
        <f t="array" ref="DF239">SUMPRODUCT(TRANSPOSE(DF$4:DF$20),$G239:$W239)</f>
        <v>0</v>
      </c>
      <c r="DG239" s="93" cm="1">
        <f t="array" ref="DG239">SUMPRODUCT(TRANSPOSE(DG$4:DG$20),$G239:$W239)</f>
        <v>0</v>
      </c>
      <c r="DH239" s="93" cm="1">
        <f t="array" ref="DH239">SUMPRODUCT(TRANSPOSE(DH$4:DH$20),$G239:$W239)</f>
        <v>0</v>
      </c>
      <c r="DI239" s="93" cm="1">
        <f t="array" ref="DI239">SUMPRODUCT(TRANSPOSE(DI$4:DI$20),$G239:$W239)</f>
        <v>0</v>
      </c>
      <c r="DJ239" s="93" cm="1">
        <f t="array" ref="DJ239">SUMPRODUCT(TRANSPOSE(DJ$4:DJ$20),$G239:$W239)</f>
        <v>0</v>
      </c>
      <c r="DK239" s="93" cm="1">
        <f t="array" ref="DK239">SUMPRODUCT(TRANSPOSE(DK$4:DK$20),$G239:$W239)</f>
        <v>0</v>
      </c>
      <c r="DL239" s="93" cm="1">
        <f t="array" ref="DL239">SUMPRODUCT(TRANSPOSE(DL$4:DL$20),$G239:$W239)</f>
        <v>0</v>
      </c>
      <c r="DM239" s="93" cm="1">
        <f t="array" ref="DM239">SUMPRODUCT(TRANSPOSE(DM$4:DM$20),$G239:$W239)</f>
        <v>0</v>
      </c>
      <c r="DN239" s="93" cm="1">
        <f t="array" ref="DN239">SUMPRODUCT(TRANSPOSE(DN$4:DN$20),$G239:$W239)</f>
        <v>0</v>
      </c>
      <c r="DO239" s="93" cm="1">
        <f t="array" ref="DO239">SUMPRODUCT(TRANSPOSE(DO$4:DO$20),$G239:$W239)</f>
        <v>0</v>
      </c>
    </row>
    <row r="240" spans="1:119" x14ac:dyDescent="0.2">
      <c r="A240" s="45">
        <f t="shared" si="29"/>
        <v>219</v>
      </c>
      <c r="B240" s="46" t="s">
        <v>572</v>
      </c>
      <c r="C240" s="50">
        <v>732603683</v>
      </c>
      <c r="D240" s="45" t="s">
        <v>573</v>
      </c>
      <c r="E240" s="45" t="s">
        <v>191</v>
      </c>
      <c r="F240" s="48">
        <v>2</v>
      </c>
      <c r="G240" s="100">
        <v>0</v>
      </c>
      <c r="H240" s="100">
        <v>0</v>
      </c>
      <c r="I240" s="100">
        <v>0</v>
      </c>
      <c r="J240" s="100">
        <v>2.5000000000000001E-2</v>
      </c>
      <c r="K240" s="100">
        <v>0</v>
      </c>
      <c r="L240" s="100">
        <v>2.5000000000000001E-2</v>
      </c>
      <c r="M240" s="100">
        <v>0</v>
      </c>
      <c r="N240" s="100">
        <v>0</v>
      </c>
      <c r="O240" s="100">
        <v>0</v>
      </c>
      <c r="P240" s="100">
        <v>0</v>
      </c>
      <c r="Q240" s="100">
        <v>0</v>
      </c>
      <c r="R240" s="100">
        <v>0</v>
      </c>
      <c r="S240" s="100">
        <v>0</v>
      </c>
      <c r="T240" s="100">
        <v>0</v>
      </c>
      <c r="U240" s="100">
        <v>0</v>
      </c>
      <c r="V240" s="100">
        <v>0</v>
      </c>
      <c r="W240" s="100">
        <v>0.1</v>
      </c>
      <c r="X240" s="45" t="s">
        <v>41</v>
      </c>
      <c r="Y240" s="49">
        <v>0.18</v>
      </c>
      <c r="Z240" s="45">
        <v>0</v>
      </c>
      <c r="AA240" s="45">
        <v>0</v>
      </c>
      <c r="AB240" s="45">
        <v>0</v>
      </c>
      <c r="AC240" s="45">
        <v>0</v>
      </c>
      <c r="AD240" s="45">
        <v>0</v>
      </c>
      <c r="AE240" s="45">
        <v>0</v>
      </c>
      <c r="AF240" s="45">
        <v>0</v>
      </c>
      <c r="AG240" s="45">
        <v>0</v>
      </c>
      <c r="AH240" s="45">
        <v>0</v>
      </c>
      <c r="AI240" s="45">
        <v>0</v>
      </c>
      <c r="AJ240" s="45">
        <v>0</v>
      </c>
      <c r="AK240" s="45">
        <v>0</v>
      </c>
      <c r="AL240" s="45">
        <v>0</v>
      </c>
      <c r="AM240" s="45">
        <v>0</v>
      </c>
      <c r="AN240" s="45">
        <v>0</v>
      </c>
      <c r="AO240" s="45"/>
      <c r="AP240" s="45"/>
      <c r="AQ240" s="45"/>
      <c r="AR240" s="45"/>
      <c r="AS240" s="45"/>
      <c r="AT240" s="45"/>
      <c r="AU240" s="45"/>
      <c r="AV240" s="45"/>
      <c r="AW240" s="45"/>
      <c r="AX240" s="45"/>
      <c r="AY240" s="45"/>
      <c r="AZ240" s="45"/>
      <c r="BA240" s="45"/>
      <c r="BB240" s="45"/>
      <c r="BC240" s="45"/>
      <c r="BD240" s="93"/>
      <c r="BE240" s="93"/>
      <c r="BF240" s="93"/>
      <c r="BG240" s="93"/>
      <c r="BH240" s="93"/>
      <c r="BI240" s="93"/>
      <c r="BJ240" s="93"/>
      <c r="BK240" s="93">
        <f>SUM($Z240:AD240)-SUM($CM240:CQ240)</f>
        <v>-2</v>
      </c>
      <c r="BL240" s="93">
        <f>SUM($Z240:AE240)-SUM($CM240:CR240)</f>
        <v>-4</v>
      </c>
      <c r="BM240" s="93">
        <f>SUM($Z240:AF240)-SUM($CM240:CS240)</f>
        <v>-6</v>
      </c>
      <c r="BN240" s="93">
        <f>SUM($Z240:AG240)-SUM($CM240:CT240)</f>
        <v>-8</v>
      </c>
      <c r="BO240" s="93">
        <f>SUM($Z240:AH240)-SUM($CM240:CU240)</f>
        <v>-10</v>
      </c>
      <c r="BP240" s="93">
        <f>SUM($Z240:AI240)-SUM($CM240:CV240)</f>
        <v>-12</v>
      </c>
      <c r="BQ240" s="93">
        <f>SUM($Z240:AJ240)-SUM($CM240:CW240)</f>
        <v>-14</v>
      </c>
      <c r="BR240" s="93">
        <f>SUM($Z240:AK240)-SUM($CM240:CX240)</f>
        <v>-16</v>
      </c>
      <c r="BS240" s="93">
        <f>SUM($Z240:AL240)-SUM($CM240:CY240)</f>
        <v>-16.399999999999999</v>
      </c>
      <c r="BT240" s="93">
        <f>SUM($Z240:AM240)-SUM($CM240:CZ240)</f>
        <v>-16.799999999999997</v>
      </c>
      <c r="BU240" s="93">
        <f>SUM($Z240:AN240)-SUM($CM240:DA240)</f>
        <v>-17.199999999999996</v>
      </c>
      <c r="BV240" s="93">
        <f>SUM($Z240:AO240)-SUM($CM240:DB240)</f>
        <v>-17.599999999999994</v>
      </c>
      <c r="BW240" s="93">
        <f>SUM($Z240:AP240)-SUM($CM240:DC240)</f>
        <v>-17.899999999999995</v>
      </c>
      <c r="BX240" s="93">
        <f>SUM($Z240:AQ240)-SUM($CM240:DD240)</f>
        <v>-17.899999999999995</v>
      </c>
      <c r="BY240" s="93">
        <f>SUM($Z240:AR240)-SUM($CM240:DE240)</f>
        <v>-17.899999999999995</v>
      </c>
      <c r="BZ240" s="93">
        <f>SUM($Z240:AS240)-SUM($CM240:DF240)</f>
        <v>-17.899999999999995</v>
      </c>
      <c r="CA240" s="93">
        <f>SUM($Z240:AT240)-SUM($CM240:DG240)</f>
        <v>-17.899999999999995</v>
      </c>
      <c r="CB240" s="93">
        <f>SUM($Z240:AU240)-SUM($CM240:DH240)</f>
        <v>-17.899999999999995</v>
      </c>
      <c r="CC240" s="93">
        <f>SUM($Z240:AV240)-SUM($CM240:DI240)</f>
        <v>-17.899999999999995</v>
      </c>
      <c r="CD240" s="93">
        <f>SUM($Z240:AW240)-SUM($CM240:DJ240)</f>
        <v>-17.899999999999995</v>
      </c>
      <c r="CE240" s="93">
        <f>SUM($Z240:AX240)-SUM($CM240:DK240)</f>
        <v>-17.899999999999995</v>
      </c>
      <c r="CF240" s="93">
        <f>SUM($Z240:AY240)-SUM($CM240:DL240)</f>
        <v>-17.899999999999995</v>
      </c>
      <c r="CG240" s="93">
        <f>SUM($Z240:AZ240)-SUM($CM240:DM240)</f>
        <v>-17.899999999999995</v>
      </c>
      <c r="CH240" s="93">
        <f>SUM($Z240:BA240)-SUM($CM240:DN240)</f>
        <v>-17.899999999999995</v>
      </c>
      <c r="CI240" s="93">
        <f>SUM($Z240:BB240)-SUM($CM240:DO240)</f>
        <v>-17.899999999999995</v>
      </c>
      <c r="CJ240" s="93"/>
      <c r="CK240" s="93"/>
      <c r="CL240" s="93"/>
      <c r="CM240" s="93"/>
      <c r="CN240" s="93" cm="1">
        <f t="array" ref="CN240">SUMPRODUCT(TRANSPOSE(CN$4:CN$20),$G240:$W240)</f>
        <v>0</v>
      </c>
      <c r="CO240" s="93" cm="1">
        <f t="array" ref="CO240">SUMPRODUCT(TRANSPOSE(CO$4:CO$20),$G240:$W240)</f>
        <v>0</v>
      </c>
      <c r="CP240" s="93" cm="1">
        <f t="array" ref="CP240">SUMPRODUCT(TRANSPOSE(CP$4:CP$20),$G240:$W240)</f>
        <v>0</v>
      </c>
      <c r="CQ240" s="93" cm="1">
        <f t="array" ref="CQ240">SUMPRODUCT(TRANSPOSE(CQ$4:CQ$20),$G240:$W240)</f>
        <v>2</v>
      </c>
      <c r="CR240" s="93" cm="1">
        <f t="array" ref="CR240">SUMPRODUCT(TRANSPOSE(CR$4:CR$20),$G240:$W240)</f>
        <v>2</v>
      </c>
      <c r="CS240" s="93" cm="1">
        <f t="array" ref="CS240">SUMPRODUCT(TRANSPOSE(CS$4:CS$20),$G240:$W240)</f>
        <v>2</v>
      </c>
      <c r="CT240" s="93" cm="1">
        <f t="array" ref="CT240">SUMPRODUCT(TRANSPOSE(CT$4:CT$20),$G240:$W240)</f>
        <v>2</v>
      </c>
      <c r="CU240" s="93" cm="1">
        <f t="array" ref="CU240">SUMPRODUCT(TRANSPOSE(CU$4:CU$20),$G240:$W240)</f>
        <v>2</v>
      </c>
      <c r="CV240" s="93" cm="1">
        <f t="array" ref="CV240">SUMPRODUCT(TRANSPOSE(CV$4:CV$20),$G240:$W240)</f>
        <v>2</v>
      </c>
      <c r="CW240" s="93" cm="1">
        <f t="array" ref="CW240">SUMPRODUCT(TRANSPOSE(CW$4:CW$20),$G240:$W240)</f>
        <v>2</v>
      </c>
      <c r="CX240" s="93" cm="1">
        <f t="array" ref="CX240">SUMPRODUCT(TRANSPOSE(CX$4:CX$20),$G240:$W240)</f>
        <v>2</v>
      </c>
      <c r="CY240" s="93" cm="1">
        <f t="array" ref="CY240">SUMPRODUCT(TRANSPOSE(CY$4:CY$20),$G240:$W240)</f>
        <v>0.4</v>
      </c>
      <c r="CZ240" s="93" cm="1">
        <f t="array" ref="CZ240">SUMPRODUCT(TRANSPOSE(CZ$4:CZ$20),$G240:$W240)</f>
        <v>0.4</v>
      </c>
      <c r="DA240" s="93" cm="1">
        <f t="array" ref="DA240">SUMPRODUCT(TRANSPOSE(DA$4:DA$20),$G240:$W240)</f>
        <v>0.4</v>
      </c>
      <c r="DB240" s="93" cm="1">
        <f t="array" ref="DB240">SUMPRODUCT(TRANSPOSE(DB$4:DB$20),$G240:$W240)</f>
        <v>0.4</v>
      </c>
      <c r="DC240" s="93" cm="1">
        <f t="array" ref="DC240">SUMPRODUCT(TRANSPOSE(DC$4:DC$20),$G240:$W240)</f>
        <v>0.30000000000000004</v>
      </c>
      <c r="DD240" s="93" cm="1">
        <f t="array" ref="DD240">SUMPRODUCT(TRANSPOSE(DD$4:DD$20),$G240:$W240)</f>
        <v>0</v>
      </c>
      <c r="DE240" s="93" cm="1">
        <f t="array" ref="DE240">SUMPRODUCT(TRANSPOSE(DE$4:DE$20),$G240:$W240)</f>
        <v>0</v>
      </c>
      <c r="DF240" s="93" cm="1">
        <f t="array" ref="DF240">SUMPRODUCT(TRANSPOSE(DF$4:DF$20),$G240:$W240)</f>
        <v>0</v>
      </c>
      <c r="DG240" s="93" cm="1">
        <f t="array" ref="DG240">SUMPRODUCT(TRANSPOSE(DG$4:DG$20),$G240:$W240)</f>
        <v>0</v>
      </c>
      <c r="DH240" s="93" cm="1">
        <f t="array" ref="DH240">SUMPRODUCT(TRANSPOSE(DH$4:DH$20),$G240:$W240)</f>
        <v>0</v>
      </c>
      <c r="DI240" s="93" cm="1">
        <f t="array" ref="DI240">SUMPRODUCT(TRANSPOSE(DI$4:DI$20),$G240:$W240)</f>
        <v>0</v>
      </c>
      <c r="DJ240" s="93" cm="1">
        <f t="array" ref="DJ240">SUMPRODUCT(TRANSPOSE(DJ$4:DJ$20),$G240:$W240)</f>
        <v>0</v>
      </c>
      <c r="DK240" s="93" cm="1">
        <f t="array" ref="DK240">SUMPRODUCT(TRANSPOSE(DK$4:DK$20),$G240:$W240)</f>
        <v>0</v>
      </c>
      <c r="DL240" s="93" cm="1">
        <f t="array" ref="DL240">SUMPRODUCT(TRANSPOSE(DL$4:DL$20),$G240:$W240)</f>
        <v>0</v>
      </c>
      <c r="DM240" s="93" cm="1">
        <f t="array" ref="DM240">SUMPRODUCT(TRANSPOSE(DM$4:DM$20),$G240:$W240)</f>
        <v>0</v>
      </c>
      <c r="DN240" s="93" cm="1">
        <f t="array" ref="DN240">SUMPRODUCT(TRANSPOSE(DN$4:DN$20),$G240:$W240)</f>
        <v>0</v>
      </c>
      <c r="DO240" s="93" cm="1">
        <f t="array" ref="DO240">SUMPRODUCT(TRANSPOSE(DO$4:DO$20),$G240:$W240)</f>
        <v>0</v>
      </c>
    </row>
    <row r="241" spans="1:119" x14ac:dyDescent="0.2">
      <c r="A241" s="45">
        <f t="shared" si="29"/>
        <v>220</v>
      </c>
      <c r="B241" s="46" t="s">
        <v>574</v>
      </c>
      <c r="C241" s="50">
        <v>732684436</v>
      </c>
      <c r="D241" s="45" t="s">
        <v>573</v>
      </c>
      <c r="E241" s="45" t="s">
        <v>191</v>
      </c>
      <c r="F241" s="48">
        <v>2</v>
      </c>
      <c r="G241" s="100">
        <v>0</v>
      </c>
      <c r="H241" s="100">
        <v>0</v>
      </c>
      <c r="I241" s="100">
        <v>0</v>
      </c>
      <c r="J241" s="100">
        <v>0</v>
      </c>
      <c r="K241" s="100">
        <v>0</v>
      </c>
      <c r="L241" s="100">
        <v>0</v>
      </c>
      <c r="M241" s="100">
        <v>0</v>
      </c>
      <c r="N241" s="100">
        <v>0</v>
      </c>
      <c r="O241" s="100">
        <v>0</v>
      </c>
      <c r="P241" s="100">
        <v>2.5000000000000001E-2</v>
      </c>
      <c r="Q241" s="100">
        <v>2.5000000000000001E-2</v>
      </c>
      <c r="R241" s="100">
        <v>2.5000000000000001E-2</v>
      </c>
      <c r="S241" s="100">
        <v>0</v>
      </c>
      <c r="T241" s="100">
        <v>2.5000000000000001E-2</v>
      </c>
      <c r="U241" s="100">
        <v>2.5000000000000001E-2</v>
      </c>
      <c r="V241" s="100">
        <v>2.5000000000000001E-2</v>
      </c>
      <c r="W241" s="100">
        <v>0</v>
      </c>
      <c r="X241" s="45" t="s">
        <v>41</v>
      </c>
      <c r="Y241" s="49">
        <v>0.18</v>
      </c>
      <c r="Z241" s="45">
        <v>6</v>
      </c>
      <c r="AA241" s="45">
        <v>0</v>
      </c>
      <c r="AB241" s="45">
        <v>0</v>
      </c>
      <c r="AC241" s="45">
        <v>0</v>
      </c>
      <c r="AD241" s="45">
        <v>0</v>
      </c>
      <c r="AE241" s="45">
        <v>0</v>
      </c>
      <c r="AF241" s="45">
        <v>0</v>
      </c>
      <c r="AG241" s="45">
        <v>0</v>
      </c>
      <c r="AH241" s="45">
        <v>0</v>
      </c>
      <c r="AI241" s="45">
        <v>0</v>
      </c>
      <c r="AJ241" s="45">
        <v>0</v>
      </c>
      <c r="AK241" s="45">
        <v>0</v>
      </c>
      <c r="AL241" s="45">
        <v>0</v>
      </c>
      <c r="AM241" s="45">
        <v>0</v>
      </c>
      <c r="AN241" s="45">
        <v>0</v>
      </c>
      <c r="AO241" s="45"/>
      <c r="AP241" s="45"/>
      <c r="AQ241" s="45"/>
      <c r="AR241" s="45"/>
      <c r="AS241" s="45"/>
      <c r="AT241" s="45"/>
      <c r="AU241" s="45"/>
      <c r="AV241" s="45"/>
      <c r="AW241" s="45"/>
      <c r="AX241" s="45"/>
      <c r="AY241" s="45"/>
      <c r="AZ241" s="45"/>
      <c r="BA241" s="45"/>
      <c r="BB241" s="45"/>
      <c r="BC241" s="45"/>
      <c r="BD241" s="93"/>
      <c r="BE241" s="93"/>
      <c r="BF241" s="93"/>
      <c r="BG241" s="93"/>
      <c r="BH241" s="93"/>
      <c r="BI241" s="93"/>
      <c r="BJ241" s="93"/>
      <c r="BK241" s="93">
        <f>SUM($Z241:AD241)-SUM($CM241:CQ241)</f>
        <v>0.34999999999999964</v>
      </c>
      <c r="BL241" s="93">
        <f>SUM($Z241:AE241)-SUM($CM241:CR241)</f>
        <v>-4.9000000000000004</v>
      </c>
      <c r="BM241" s="93">
        <f>SUM($Z241:AF241)-SUM($CM241:CS241)</f>
        <v>-9.9</v>
      </c>
      <c r="BN241" s="93">
        <f>SUM($Z241:AG241)-SUM($CM241:CT241)</f>
        <v>-14.649999999999999</v>
      </c>
      <c r="BO241" s="93">
        <f>SUM($Z241:AH241)-SUM($CM241:CU241)</f>
        <v>-19.399999999999999</v>
      </c>
      <c r="BP241" s="93">
        <f>SUM($Z241:AI241)-SUM($CM241:CV241)</f>
        <v>-24.15</v>
      </c>
      <c r="BQ241" s="93">
        <f>SUM($Z241:AJ241)-SUM($CM241:CW241)</f>
        <v>-28.9</v>
      </c>
      <c r="BR241" s="93">
        <f>SUM($Z241:AK241)-SUM($CM241:CX241)</f>
        <v>-33.65</v>
      </c>
      <c r="BS241" s="93">
        <f>SUM($Z241:AL241)-SUM($CM241:CY241)</f>
        <v>-38.4</v>
      </c>
      <c r="BT241" s="93">
        <f>SUM($Z241:AM241)-SUM($CM241:CZ241)</f>
        <v>-42.274999999999999</v>
      </c>
      <c r="BU241" s="93">
        <f>SUM($Z241:AN241)-SUM($CM241:DA241)</f>
        <v>-45.274999999999999</v>
      </c>
      <c r="BV241" s="93">
        <f>SUM($Z241:AO241)-SUM($CM241:DB241)</f>
        <v>-45.975000000000001</v>
      </c>
      <c r="BW241" s="93">
        <f>SUM($Z241:AP241)-SUM($CM241:DC241)</f>
        <v>-45.975000000000001</v>
      </c>
      <c r="BX241" s="93">
        <f>SUM($Z241:AQ241)-SUM($CM241:DD241)</f>
        <v>-45.975000000000001</v>
      </c>
      <c r="BY241" s="93">
        <f>SUM($Z241:AR241)-SUM($CM241:DE241)</f>
        <v>-45.975000000000001</v>
      </c>
      <c r="BZ241" s="93">
        <f>SUM($Z241:AS241)-SUM($CM241:DF241)</f>
        <v>-45.975000000000001</v>
      </c>
      <c r="CA241" s="93">
        <f>SUM($Z241:AT241)-SUM($CM241:DG241)</f>
        <v>-45.975000000000001</v>
      </c>
      <c r="CB241" s="93">
        <f>SUM($Z241:AU241)-SUM($CM241:DH241)</f>
        <v>-45.975000000000001</v>
      </c>
      <c r="CC241" s="93">
        <f>SUM($Z241:AV241)-SUM($CM241:DI241)</f>
        <v>-45.975000000000001</v>
      </c>
      <c r="CD241" s="93">
        <f>SUM($Z241:AW241)-SUM($CM241:DJ241)</f>
        <v>-45.975000000000001</v>
      </c>
      <c r="CE241" s="93">
        <f>SUM($Z241:AX241)-SUM($CM241:DK241)</f>
        <v>-45.975000000000001</v>
      </c>
      <c r="CF241" s="93">
        <f>SUM($Z241:AY241)-SUM($CM241:DL241)</f>
        <v>-45.975000000000001</v>
      </c>
      <c r="CG241" s="93">
        <f>SUM($Z241:AZ241)-SUM($CM241:DM241)</f>
        <v>-45.975000000000001</v>
      </c>
      <c r="CH241" s="93">
        <f>SUM($Z241:BA241)-SUM($CM241:DN241)</f>
        <v>-45.975000000000001</v>
      </c>
      <c r="CI241" s="93">
        <f>SUM($Z241:BB241)-SUM($CM241:DO241)</f>
        <v>-45.975000000000001</v>
      </c>
      <c r="CJ241" s="93"/>
      <c r="CK241" s="93"/>
      <c r="CL241" s="93"/>
      <c r="CM241" s="93"/>
      <c r="CN241" s="93" cm="1">
        <f t="array" ref="CN241">SUMPRODUCT(TRANSPOSE(CN$4:CN$20),$G241:$W241)</f>
        <v>0</v>
      </c>
      <c r="CO241" s="93" cm="1">
        <f t="array" ref="CO241">SUMPRODUCT(TRANSPOSE(CO$4:CO$20),$G241:$W241)</f>
        <v>0</v>
      </c>
      <c r="CP241" s="93" cm="1">
        <f t="array" ref="CP241">SUMPRODUCT(TRANSPOSE(CP$4:CP$20),$G241:$W241)</f>
        <v>0</v>
      </c>
      <c r="CQ241" s="93" cm="1">
        <f t="array" ref="CQ241">SUMPRODUCT(TRANSPOSE(CQ$4:CQ$20),$G241:$W241)</f>
        <v>5.65</v>
      </c>
      <c r="CR241" s="93" cm="1">
        <f t="array" ref="CR241">SUMPRODUCT(TRANSPOSE(CR$4:CR$20),$G241:$W241)</f>
        <v>5.25</v>
      </c>
      <c r="CS241" s="93" cm="1">
        <f t="array" ref="CS241">SUMPRODUCT(TRANSPOSE(CS$4:CS$20),$G241:$W241)</f>
        <v>5</v>
      </c>
      <c r="CT241" s="93" cm="1">
        <f t="array" ref="CT241">SUMPRODUCT(TRANSPOSE(CT$4:CT$20),$G241:$W241)</f>
        <v>4.75</v>
      </c>
      <c r="CU241" s="93" cm="1">
        <f t="array" ref="CU241">SUMPRODUCT(TRANSPOSE(CU$4:CU$20),$G241:$W241)</f>
        <v>4.75</v>
      </c>
      <c r="CV241" s="93" cm="1">
        <f t="array" ref="CV241">SUMPRODUCT(TRANSPOSE(CV$4:CV$20),$G241:$W241)</f>
        <v>4.75</v>
      </c>
      <c r="CW241" s="93" cm="1">
        <f t="array" ref="CW241">SUMPRODUCT(TRANSPOSE(CW$4:CW$20),$G241:$W241)</f>
        <v>4.75</v>
      </c>
      <c r="CX241" s="93" cm="1">
        <f t="array" ref="CX241">SUMPRODUCT(TRANSPOSE(CX$4:CX$20),$G241:$W241)</f>
        <v>4.75</v>
      </c>
      <c r="CY241" s="93" cm="1">
        <f t="array" ref="CY241">SUMPRODUCT(TRANSPOSE(CY$4:CY$20),$G241:$W241)</f>
        <v>4.75</v>
      </c>
      <c r="CZ241" s="93" cm="1">
        <f t="array" ref="CZ241">SUMPRODUCT(TRANSPOSE(CZ$4:CZ$20),$G241:$W241)</f>
        <v>3.875</v>
      </c>
      <c r="DA241" s="93" cm="1">
        <f t="array" ref="DA241">SUMPRODUCT(TRANSPOSE(DA$4:DA$20),$G241:$W241)</f>
        <v>3</v>
      </c>
      <c r="DB241" s="93" cm="1">
        <f t="array" ref="DB241">SUMPRODUCT(TRANSPOSE(DB$4:DB$20),$G241:$W241)</f>
        <v>0.70000000000000007</v>
      </c>
      <c r="DC241" s="93" cm="1">
        <f t="array" ref="DC241">SUMPRODUCT(TRANSPOSE(DC$4:DC$20),$G241:$W241)</f>
        <v>0</v>
      </c>
      <c r="DD241" s="93" cm="1">
        <f t="array" ref="DD241">SUMPRODUCT(TRANSPOSE(DD$4:DD$20),$G241:$W241)</f>
        <v>0</v>
      </c>
      <c r="DE241" s="93" cm="1">
        <f t="array" ref="DE241">SUMPRODUCT(TRANSPOSE(DE$4:DE$20),$G241:$W241)</f>
        <v>0</v>
      </c>
      <c r="DF241" s="93" cm="1">
        <f t="array" ref="DF241">SUMPRODUCT(TRANSPOSE(DF$4:DF$20),$G241:$W241)</f>
        <v>0</v>
      </c>
      <c r="DG241" s="93" cm="1">
        <f t="array" ref="DG241">SUMPRODUCT(TRANSPOSE(DG$4:DG$20),$G241:$W241)</f>
        <v>0</v>
      </c>
      <c r="DH241" s="93" cm="1">
        <f t="array" ref="DH241">SUMPRODUCT(TRANSPOSE(DH$4:DH$20),$G241:$W241)</f>
        <v>0</v>
      </c>
      <c r="DI241" s="93" cm="1">
        <f t="array" ref="DI241">SUMPRODUCT(TRANSPOSE(DI$4:DI$20),$G241:$W241)</f>
        <v>0</v>
      </c>
      <c r="DJ241" s="93" cm="1">
        <f t="array" ref="DJ241">SUMPRODUCT(TRANSPOSE(DJ$4:DJ$20),$G241:$W241)</f>
        <v>0</v>
      </c>
      <c r="DK241" s="93" cm="1">
        <f t="array" ref="DK241">SUMPRODUCT(TRANSPOSE(DK$4:DK$20),$G241:$W241)</f>
        <v>0</v>
      </c>
      <c r="DL241" s="93" cm="1">
        <f t="array" ref="DL241">SUMPRODUCT(TRANSPOSE(DL$4:DL$20),$G241:$W241)</f>
        <v>0</v>
      </c>
      <c r="DM241" s="93" cm="1">
        <f t="array" ref="DM241">SUMPRODUCT(TRANSPOSE(DM$4:DM$20),$G241:$W241)</f>
        <v>0</v>
      </c>
      <c r="DN241" s="93" cm="1">
        <f t="array" ref="DN241">SUMPRODUCT(TRANSPOSE(DN$4:DN$20),$G241:$W241)</f>
        <v>0</v>
      </c>
      <c r="DO241" s="93" cm="1">
        <f t="array" ref="DO241">SUMPRODUCT(TRANSPOSE(DO$4:DO$20),$G241:$W241)</f>
        <v>0</v>
      </c>
    </row>
    <row r="242" spans="1:119" x14ac:dyDescent="0.2">
      <c r="A242" s="45">
        <f t="shared" si="29"/>
        <v>221</v>
      </c>
      <c r="B242" s="46" t="s">
        <v>575</v>
      </c>
      <c r="C242" s="45">
        <v>401363827</v>
      </c>
      <c r="D242" s="45" t="s">
        <v>576</v>
      </c>
      <c r="E242" s="45" t="s">
        <v>162</v>
      </c>
      <c r="F242" s="48">
        <v>2</v>
      </c>
      <c r="G242" s="100">
        <v>0</v>
      </c>
      <c r="H242" s="100">
        <v>0</v>
      </c>
      <c r="I242" s="100">
        <v>0</v>
      </c>
      <c r="J242" s="100">
        <v>0</v>
      </c>
      <c r="K242" s="100">
        <v>0</v>
      </c>
      <c r="L242" s="100">
        <v>0</v>
      </c>
      <c r="M242" s="100">
        <v>0</v>
      </c>
      <c r="N242" s="100">
        <v>0</v>
      </c>
      <c r="O242" s="100">
        <v>0</v>
      </c>
      <c r="P242" s="100">
        <v>0</v>
      </c>
      <c r="Q242" s="100">
        <v>34</v>
      </c>
      <c r="R242" s="100">
        <v>0</v>
      </c>
      <c r="S242" s="100">
        <v>0</v>
      </c>
      <c r="T242" s="100">
        <v>0</v>
      </c>
      <c r="U242" s="100">
        <v>0</v>
      </c>
      <c r="V242" s="100">
        <v>0</v>
      </c>
      <c r="W242" s="100">
        <v>0</v>
      </c>
      <c r="X242" s="45" t="s">
        <v>65</v>
      </c>
      <c r="Y242" s="49">
        <v>3.7999999999999999E-2</v>
      </c>
      <c r="Z242" s="45">
        <v>40000</v>
      </c>
      <c r="AA242" s="45">
        <v>0</v>
      </c>
      <c r="AB242" s="45">
        <v>0</v>
      </c>
      <c r="AC242" s="45">
        <v>0</v>
      </c>
      <c r="AD242" s="45">
        <v>0</v>
      </c>
      <c r="AE242" s="45">
        <v>0</v>
      </c>
      <c r="AF242" s="45">
        <v>0</v>
      </c>
      <c r="AG242" s="45">
        <v>0</v>
      </c>
      <c r="AH242" s="45">
        <v>0</v>
      </c>
      <c r="AI242" s="45">
        <v>0</v>
      </c>
      <c r="AJ242" s="45">
        <v>0</v>
      </c>
      <c r="AK242" s="45">
        <v>0</v>
      </c>
      <c r="AL242" s="45">
        <v>0</v>
      </c>
      <c r="AM242" s="45">
        <v>0</v>
      </c>
      <c r="AN242" s="45">
        <v>0</v>
      </c>
      <c r="AO242" s="45"/>
      <c r="AP242" s="45"/>
      <c r="AQ242" s="45"/>
      <c r="AR242" s="45"/>
      <c r="AS242" s="45"/>
      <c r="AT242" s="45"/>
      <c r="AU242" s="45"/>
      <c r="AV242" s="45"/>
      <c r="AW242" s="45"/>
      <c r="AX242" s="45"/>
      <c r="AY242" s="45"/>
      <c r="AZ242" s="45"/>
      <c r="BA242" s="45"/>
      <c r="BB242" s="45"/>
      <c r="BC242" s="45"/>
      <c r="BD242" s="93"/>
      <c r="BE242" s="93"/>
      <c r="BF242" s="93"/>
      <c r="BG242" s="93"/>
      <c r="BH242" s="93"/>
      <c r="BI242" s="93"/>
      <c r="BJ242" s="93"/>
      <c r="BK242" s="93">
        <f>SUM($Z242:AD242)-SUM($CM242:CQ242)</f>
        <v>38810</v>
      </c>
      <c r="BL242" s="93">
        <f>SUM($Z242:AE242)-SUM($CM242:CR242)</f>
        <v>37620</v>
      </c>
      <c r="BM242" s="93">
        <f>SUM($Z242:AF242)-SUM($CM242:CS242)</f>
        <v>36430</v>
      </c>
      <c r="BN242" s="93">
        <f>SUM($Z242:AG242)-SUM($CM242:CT242)</f>
        <v>35410</v>
      </c>
      <c r="BO242" s="93">
        <f>SUM($Z242:AH242)-SUM($CM242:CU242)</f>
        <v>34390</v>
      </c>
      <c r="BP242" s="93">
        <f>SUM($Z242:AI242)-SUM($CM242:CV242)</f>
        <v>33370</v>
      </c>
      <c r="BQ242" s="93">
        <f>SUM($Z242:AJ242)-SUM($CM242:CW242)</f>
        <v>32350</v>
      </c>
      <c r="BR242" s="93">
        <f>SUM($Z242:AK242)-SUM($CM242:CX242)</f>
        <v>31330</v>
      </c>
      <c r="BS242" s="93">
        <f>SUM($Z242:AL242)-SUM($CM242:CY242)</f>
        <v>30310</v>
      </c>
      <c r="BT242" s="93">
        <f>SUM($Z242:AM242)-SUM($CM242:CZ242)</f>
        <v>29290</v>
      </c>
      <c r="BU242" s="93">
        <f>SUM($Z242:AN242)-SUM($CM242:DA242)</f>
        <v>28270</v>
      </c>
      <c r="BV242" s="93">
        <f>SUM($Z242:AO242)-SUM($CM242:DB242)</f>
        <v>27794</v>
      </c>
      <c r="BW242" s="93">
        <f>SUM($Z242:AP242)-SUM($CM242:DC242)</f>
        <v>27794</v>
      </c>
      <c r="BX242" s="93">
        <f>SUM($Z242:AQ242)-SUM($CM242:DD242)</f>
        <v>27794</v>
      </c>
      <c r="BY242" s="93">
        <f>SUM($Z242:AR242)-SUM($CM242:DE242)</f>
        <v>27794</v>
      </c>
      <c r="BZ242" s="93">
        <f>SUM($Z242:AS242)-SUM($CM242:DF242)</f>
        <v>27794</v>
      </c>
      <c r="CA242" s="93">
        <f>SUM($Z242:AT242)-SUM($CM242:DG242)</f>
        <v>27794</v>
      </c>
      <c r="CB242" s="93">
        <f>SUM($Z242:AU242)-SUM($CM242:DH242)</f>
        <v>27794</v>
      </c>
      <c r="CC242" s="93">
        <f>SUM($Z242:AV242)-SUM($CM242:DI242)</f>
        <v>27794</v>
      </c>
      <c r="CD242" s="93">
        <f>SUM($Z242:AW242)-SUM($CM242:DJ242)</f>
        <v>27794</v>
      </c>
      <c r="CE242" s="93">
        <f>SUM($Z242:AX242)-SUM($CM242:DK242)</f>
        <v>27794</v>
      </c>
      <c r="CF242" s="93">
        <f>SUM($Z242:AY242)-SUM($CM242:DL242)</f>
        <v>27794</v>
      </c>
      <c r="CG242" s="93">
        <f>SUM($Z242:AZ242)-SUM($CM242:DM242)</f>
        <v>27794</v>
      </c>
      <c r="CH242" s="93">
        <f>SUM($Z242:BA242)-SUM($CM242:DN242)</f>
        <v>27794</v>
      </c>
      <c r="CI242" s="93">
        <f>SUM($Z242:BB242)-SUM($CM242:DO242)</f>
        <v>27794</v>
      </c>
      <c r="CJ242" s="93"/>
      <c r="CK242" s="93"/>
      <c r="CL242" s="93"/>
      <c r="CM242" s="93"/>
      <c r="CN242" s="93" cm="1">
        <f t="array" ref="CN242">SUMPRODUCT(TRANSPOSE(CN$4:CN$20),$G242:$W242)</f>
        <v>0</v>
      </c>
      <c r="CO242" s="93" cm="1">
        <f t="array" ref="CO242">SUMPRODUCT(TRANSPOSE(CO$4:CO$20),$G242:$W242)</f>
        <v>0</v>
      </c>
      <c r="CP242" s="93" cm="1">
        <f t="array" ref="CP242">SUMPRODUCT(TRANSPOSE(CP$4:CP$20),$G242:$W242)</f>
        <v>0</v>
      </c>
      <c r="CQ242" s="93" cm="1">
        <f t="array" ref="CQ242">SUMPRODUCT(TRANSPOSE(CQ$4:CQ$20),$G242:$W242)</f>
        <v>1190</v>
      </c>
      <c r="CR242" s="93" cm="1">
        <f t="array" ref="CR242">SUMPRODUCT(TRANSPOSE(CR$4:CR$20),$G242:$W242)</f>
        <v>1190</v>
      </c>
      <c r="CS242" s="93" cm="1">
        <f t="array" ref="CS242">SUMPRODUCT(TRANSPOSE(CS$4:CS$20),$G242:$W242)</f>
        <v>1190</v>
      </c>
      <c r="CT242" s="93" cm="1">
        <f t="array" ref="CT242">SUMPRODUCT(TRANSPOSE(CT$4:CT$20),$G242:$W242)</f>
        <v>1020</v>
      </c>
      <c r="CU242" s="93" cm="1">
        <f t="array" ref="CU242">SUMPRODUCT(TRANSPOSE(CU$4:CU$20),$G242:$W242)</f>
        <v>1020</v>
      </c>
      <c r="CV242" s="93" cm="1">
        <f t="array" ref="CV242">SUMPRODUCT(TRANSPOSE(CV$4:CV$20),$G242:$W242)</f>
        <v>1020</v>
      </c>
      <c r="CW242" s="93" cm="1">
        <f t="array" ref="CW242">SUMPRODUCT(TRANSPOSE(CW$4:CW$20),$G242:$W242)</f>
        <v>1020</v>
      </c>
      <c r="CX242" s="93" cm="1">
        <f t="array" ref="CX242">SUMPRODUCT(TRANSPOSE(CX$4:CX$20),$G242:$W242)</f>
        <v>1020</v>
      </c>
      <c r="CY242" s="93" cm="1">
        <f t="array" ref="CY242">SUMPRODUCT(TRANSPOSE(CY$4:CY$20),$G242:$W242)</f>
        <v>1020</v>
      </c>
      <c r="CZ242" s="93" cm="1">
        <f t="array" ref="CZ242">SUMPRODUCT(TRANSPOSE(CZ$4:CZ$20),$G242:$W242)</f>
        <v>1020</v>
      </c>
      <c r="DA242" s="93" cm="1">
        <f t="array" ref="DA242">SUMPRODUCT(TRANSPOSE(DA$4:DA$20),$G242:$W242)</f>
        <v>1020</v>
      </c>
      <c r="DB242" s="93" cm="1">
        <f t="array" ref="DB242">SUMPRODUCT(TRANSPOSE(DB$4:DB$20),$G242:$W242)</f>
        <v>476</v>
      </c>
      <c r="DC242" s="93" cm="1">
        <f t="array" ref="DC242">SUMPRODUCT(TRANSPOSE(DC$4:DC$20),$G242:$W242)</f>
        <v>0</v>
      </c>
      <c r="DD242" s="93" cm="1">
        <f t="array" ref="DD242">SUMPRODUCT(TRANSPOSE(DD$4:DD$20),$G242:$W242)</f>
        <v>0</v>
      </c>
      <c r="DE242" s="93" cm="1">
        <f t="array" ref="DE242">SUMPRODUCT(TRANSPOSE(DE$4:DE$20),$G242:$W242)</f>
        <v>0</v>
      </c>
      <c r="DF242" s="93" cm="1">
        <f t="array" ref="DF242">SUMPRODUCT(TRANSPOSE(DF$4:DF$20),$G242:$W242)</f>
        <v>0</v>
      </c>
      <c r="DG242" s="93" cm="1">
        <f t="array" ref="DG242">SUMPRODUCT(TRANSPOSE(DG$4:DG$20),$G242:$W242)</f>
        <v>0</v>
      </c>
      <c r="DH242" s="93" cm="1">
        <f t="array" ref="DH242">SUMPRODUCT(TRANSPOSE(DH$4:DH$20),$G242:$W242)</f>
        <v>0</v>
      </c>
      <c r="DI242" s="93" cm="1">
        <f t="array" ref="DI242">SUMPRODUCT(TRANSPOSE(DI$4:DI$20),$G242:$W242)</f>
        <v>0</v>
      </c>
      <c r="DJ242" s="93" cm="1">
        <f t="array" ref="DJ242">SUMPRODUCT(TRANSPOSE(DJ$4:DJ$20),$G242:$W242)</f>
        <v>0</v>
      </c>
      <c r="DK242" s="93" cm="1">
        <f t="array" ref="DK242">SUMPRODUCT(TRANSPOSE(DK$4:DK$20),$G242:$W242)</f>
        <v>0</v>
      </c>
      <c r="DL242" s="93" cm="1">
        <f t="array" ref="DL242">SUMPRODUCT(TRANSPOSE(DL$4:DL$20),$G242:$W242)</f>
        <v>0</v>
      </c>
      <c r="DM242" s="93" cm="1">
        <f t="array" ref="DM242">SUMPRODUCT(TRANSPOSE(DM$4:DM$20),$G242:$W242)</f>
        <v>0</v>
      </c>
      <c r="DN242" s="93" cm="1">
        <f t="array" ref="DN242">SUMPRODUCT(TRANSPOSE(DN$4:DN$20),$G242:$W242)</f>
        <v>0</v>
      </c>
      <c r="DO242" s="93" cm="1">
        <f t="array" ref="DO242">SUMPRODUCT(TRANSPOSE(DO$4:DO$20),$G242:$W242)</f>
        <v>0</v>
      </c>
    </row>
    <row r="243" spans="1:119" x14ac:dyDescent="0.2">
      <c r="A243" s="45">
        <f t="shared" si="29"/>
        <v>222</v>
      </c>
      <c r="B243" s="51" t="s">
        <v>577</v>
      </c>
      <c r="C243" s="45">
        <v>401363830</v>
      </c>
      <c r="D243" s="45" t="s">
        <v>578</v>
      </c>
      <c r="E243" s="45" t="s">
        <v>162</v>
      </c>
      <c r="F243" s="48">
        <v>1</v>
      </c>
      <c r="G243" s="100">
        <v>0</v>
      </c>
      <c r="H243" s="100">
        <v>0</v>
      </c>
      <c r="I243" s="100">
        <v>0</v>
      </c>
      <c r="J243" s="100">
        <v>0</v>
      </c>
      <c r="K243" s="100">
        <v>0</v>
      </c>
      <c r="L243" s="100">
        <v>0</v>
      </c>
      <c r="M243" s="100">
        <v>0</v>
      </c>
      <c r="N243" s="100">
        <v>0</v>
      </c>
      <c r="O243" s="100">
        <v>0</v>
      </c>
      <c r="P243" s="100">
        <v>0</v>
      </c>
      <c r="Q243" s="100">
        <v>34</v>
      </c>
      <c r="R243" s="100">
        <v>0</v>
      </c>
      <c r="S243" s="100">
        <v>0</v>
      </c>
      <c r="T243" s="100">
        <v>0</v>
      </c>
      <c r="U243" s="100">
        <v>0</v>
      </c>
      <c r="V243" s="100">
        <v>0</v>
      </c>
      <c r="W243" s="100">
        <v>0</v>
      </c>
      <c r="X243" s="45" t="s">
        <v>579</v>
      </c>
      <c r="Y243" s="53">
        <v>4.8000000000000001E-2</v>
      </c>
      <c r="Z243" s="45">
        <v>20000</v>
      </c>
      <c r="AA243" s="45">
        <v>0</v>
      </c>
      <c r="AB243" s="45">
        <v>0</v>
      </c>
      <c r="AC243" s="45">
        <v>0</v>
      </c>
      <c r="AD243" s="45">
        <v>0</v>
      </c>
      <c r="AE243" s="45">
        <v>0</v>
      </c>
      <c r="AF243" s="45">
        <v>0</v>
      </c>
      <c r="AG243" s="45">
        <v>0</v>
      </c>
      <c r="AH243" s="45">
        <v>0</v>
      </c>
      <c r="AI243" s="45">
        <v>0</v>
      </c>
      <c r="AJ243" s="45">
        <v>0</v>
      </c>
      <c r="AK243" s="45">
        <v>0</v>
      </c>
      <c r="AL243" s="45">
        <v>0</v>
      </c>
      <c r="AM243" s="45">
        <v>0</v>
      </c>
      <c r="AN243" s="45">
        <v>0</v>
      </c>
      <c r="AO243" s="45"/>
      <c r="AP243" s="45"/>
      <c r="AQ243" s="45"/>
      <c r="AR243" s="45"/>
      <c r="AS243" s="45"/>
      <c r="AT243" s="45"/>
      <c r="AU243" s="45"/>
      <c r="AV243" s="45"/>
      <c r="AW243" s="45"/>
      <c r="AX243" s="45"/>
      <c r="AY243" s="45"/>
      <c r="AZ243" s="45"/>
      <c r="BA243" s="45"/>
      <c r="BB243" s="45"/>
      <c r="BC243" s="45"/>
      <c r="BD243" s="93"/>
      <c r="BE243" s="93"/>
      <c r="BF243" s="93"/>
      <c r="BG243" s="93"/>
      <c r="BH243" s="93"/>
      <c r="BI243" s="93"/>
      <c r="BJ243" s="93"/>
      <c r="BK243" s="93">
        <f>SUM($Z243:AD243)-SUM($CM243:CQ243)</f>
        <v>18810</v>
      </c>
      <c r="BL243" s="93">
        <f>SUM($Z243:AE243)-SUM($CM243:CR243)</f>
        <v>17620</v>
      </c>
      <c r="BM243" s="93">
        <f>SUM($Z243:AF243)-SUM($CM243:CS243)</f>
        <v>16430</v>
      </c>
      <c r="BN243" s="93">
        <f>SUM($Z243:AG243)-SUM($CM243:CT243)</f>
        <v>15410</v>
      </c>
      <c r="BO243" s="93">
        <f>SUM($Z243:AH243)-SUM($CM243:CU243)</f>
        <v>14390</v>
      </c>
      <c r="BP243" s="93">
        <f>SUM($Z243:AI243)-SUM($CM243:CV243)</f>
        <v>13370</v>
      </c>
      <c r="BQ243" s="93">
        <f>SUM($Z243:AJ243)-SUM($CM243:CW243)</f>
        <v>12350</v>
      </c>
      <c r="BR243" s="93">
        <f>SUM($Z243:AK243)-SUM($CM243:CX243)</f>
        <v>11330</v>
      </c>
      <c r="BS243" s="93">
        <f>SUM($Z243:AL243)-SUM($CM243:CY243)</f>
        <v>10310</v>
      </c>
      <c r="BT243" s="93">
        <f>SUM($Z243:AM243)-SUM($CM243:CZ243)</f>
        <v>9290</v>
      </c>
      <c r="BU243" s="93">
        <f>SUM($Z243:AN243)-SUM($CM243:DA243)</f>
        <v>8270</v>
      </c>
      <c r="BV243" s="93">
        <f>SUM($Z243:AO243)-SUM($CM243:DB243)</f>
        <v>7794</v>
      </c>
      <c r="BW243" s="93">
        <f>SUM($Z243:AP243)-SUM($CM243:DC243)</f>
        <v>7794</v>
      </c>
      <c r="BX243" s="93">
        <f>SUM($Z243:AQ243)-SUM($CM243:DD243)</f>
        <v>7794</v>
      </c>
      <c r="BY243" s="93">
        <f>SUM($Z243:AR243)-SUM($CM243:DE243)</f>
        <v>7794</v>
      </c>
      <c r="BZ243" s="93">
        <f>SUM($Z243:AS243)-SUM($CM243:DF243)</f>
        <v>7794</v>
      </c>
      <c r="CA243" s="93">
        <f>SUM($Z243:AT243)-SUM($CM243:DG243)</f>
        <v>7794</v>
      </c>
      <c r="CB243" s="93">
        <f>SUM($Z243:AU243)-SUM($CM243:DH243)</f>
        <v>7794</v>
      </c>
      <c r="CC243" s="93">
        <f>SUM($Z243:AV243)-SUM($CM243:DI243)</f>
        <v>7794</v>
      </c>
      <c r="CD243" s="93">
        <f>SUM($Z243:AW243)-SUM($CM243:DJ243)</f>
        <v>7794</v>
      </c>
      <c r="CE243" s="93">
        <f>SUM($Z243:AX243)-SUM($CM243:DK243)</f>
        <v>7794</v>
      </c>
      <c r="CF243" s="93">
        <f>SUM($Z243:AY243)-SUM($CM243:DL243)</f>
        <v>7794</v>
      </c>
      <c r="CG243" s="93">
        <f>SUM($Z243:AZ243)-SUM($CM243:DM243)</f>
        <v>7794</v>
      </c>
      <c r="CH243" s="93">
        <f>SUM($Z243:BA243)-SUM($CM243:DN243)</f>
        <v>7794</v>
      </c>
      <c r="CI243" s="93">
        <f>SUM($Z243:BB243)-SUM($CM243:DO243)</f>
        <v>7794</v>
      </c>
      <c r="CJ243" s="93"/>
      <c r="CK243" s="93"/>
      <c r="CL243" s="93"/>
      <c r="CM243" s="93"/>
      <c r="CN243" s="93" cm="1">
        <f t="array" ref="CN243">SUMPRODUCT(TRANSPOSE(CN$4:CN$20),$G243:$W243)</f>
        <v>0</v>
      </c>
      <c r="CO243" s="93" cm="1">
        <f t="array" ref="CO243">SUMPRODUCT(TRANSPOSE(CO$4:CO$20),$G243:$W243)</f>
        <v>0</v>
      </c>
      <c r="CP243" s="93" cm="1">
        <f t="array" ref="CP243">SUMPRODUCT(TRANSPOSE(CP$4:CP$20),$G243:$W243)</f>
        <v>0</v>
      </c>
      <c r="CQ243" s="93" cm="1">
        <f t="array" ref="CQ243">SUMPRODUCT(TRANSPOSE(CQ$4:CQ$20),$G243:$W243)</f>
        <v>1190</v>
      </c>
      <c r="CR243" s="93" cm="1">
        <f t="array" ref="CR243">SUMPRODUCT(TRANSPOSE(CR$4:CR$20),$G243:$W243)</f>
        <v>1190</v>
      </c>
      <c r="CS243" s="93" cm="1">
        <f t="array" ref="CS243">SUMPRODUCT(TRANSPOSE(CS$4:CS$20),$G243:$W243)</f>
        <v>1190</v>
      </c>
      <c r="CT243" s="93" cm="1">
        <f t="array" ref="CT243">SUMPRODUCT(TRANSPOSE(CT$4:CT$20),$G243:$W243)</f>
        <v>1020</v>
      </c>
      <c r="CU243" s="93" cm="1">
        <f t="array" ref="CU243">SUMPRODUCT(TRANSPOSE(CU$4:CU$20),$G243:$W243)</f>
        <v>1020</v>
      </c>
      <c r="CV243" s="93" cm="1">
        <f t="array" ref="CV243">SUMPRODUCT(TRANSPOSE(CV$4:CV$20),$G243:$W243)</f>
        <v>1020</v>
      </c>
      <c r="CW243" s="93" cm="1">
        <f t="array" ref="CW243">SUMPRODUCT(TRANSPOSE(CW$4:CW$20),$G243:$W243)</f>
        <v>1020</v>
      </c>
      <c r="CX243" s="93" cm="1">
        <f t="array" ref="CX243">SUMPRODUCT(TRANSPOSE(CX$4:CX$20),$G243:$W243)</f>
        <v>1020</v>
      </c>
      <c r="CY243" s="93" cm="1">
        <f t="array" ref="CY243">SUMPRODUCT(TRANSPOSE(CY$4:CY$20),$G243:$W243)</f>
        <v>1020</v>
      </c>
      <c r="CZ243" s="93" cm="1">
        <f t="array" ref="CZ243">SUMPRODUCT(TRANSPOSE(CZ$4:CZ$20),$G243:$W243)</f>
        <v>1020</v>
      </c>
      <c r="DA243" s="93" cm="1">
        <f t="array" ref="DA243">SUMPRODUCT(TRANSPOSE(DA$4:DA$20),$G243:$W243)</f>
        <v>1020</v>
      </c>
      <c r="DB243" s="93" cm="1">
        <f t="array" ref="DB243">SUMPRODUCT(TRANSPOSE(DB$4:DB$20),$G243:$W243)</f>
        <v>476</v>
      </c>
      <c r="DC243" s="93" cm="1">
        <f t="array" ref="DC243">SUMPRODUCT(TRANSPOSE(DC$4:DC$20),$G243:$W243)</f>
        <v>0</v>
      </c>
      <c r="DD243" s="93" cm="1">
        <f t="array" ref="DD243">SUMPRODUCT(TRANSPOSE(DD$4:DD$20),$G243:$W243)</f>
        <v>0</v>
      </c>
      <c r="DE243" s="93" cm="1">
        <f t="array" ref="DE243">SUMPRODUCT(TRANSPOSE(DE$4:DE$20),$G243:$W243)</f>
        <v>0</v>
      </c>
      <c r="DF243" s="93" cm="1">
        <f t="array" ref="DF243">SUMPRODUCT(TRANSPOSE(DF$4:DF$20),$G243:$W243)</f>
        <v>0</v>
      </c>
      <c r="DG243" s="93" cm="1">
        <f t="array" ref="DG243">SUMPRODUCT(TRANSPOSE(DG$4:DG$20),$G243:$W243)</f>
        <v>0</v>
      </c>
      <c r="DH243" s="93" cm="1">
        <f t="array" ref="DH243">SUMPRODUCT(TRANSPOSE(DH$4:DH$20),$G243:$W243)</f>
        <v>0</v>
      </c>
      <c r="DI243" s="93" cm="1">
        <f t="array" ref="DI243">SUMPRODUCT(TRANSPOSE(DI$4:DI$20),$G243:$W243)</f>
        <v>0</v>
      </c>
      <c r="DJ243" s="93" cm="1">
        <f t="array" ref="DJ243">SUMPRODUCT(TRANSPOSE(DJ$4:DJ$20),$G243:$W243)</f>
        <v>0</v>
      </c>
      <c r="DK243" s="93" cm="1">
        <f t="array" ref="DK243">SUMPRODUCT(TRANSPOSE(DK$4:DK$20),$G243:$W243)</f>
        <v>0</v>
      </c>
      <c r="DL243" s="93" cm="1">
        <f t="array" ref="DL243">SUMPRODUCT(TRANSPOSE(DL$4:DL$20),$G243:$W243)</f>
        <v>0</v>
      </c>
      <c r="DM243" s="93" cm="1">
        <f t="array" ref="DM243">SUMPRODUCT(TRANSPOSE(DM$4:DM$20),$G243:$W243)</f>
        <v>0</v>
      </c>
      <c r="DN243" s="93" cm="1">
        <f t="array" ref="DN243">SUMPRODUCT(TRANSPOSE(DN$4:DN$20),$G243:$W243)</f>
        <v>0</v>
      </c>
      <c r="DO243" s="93" cm="1">
        <f t="array" ref="DO243">SUMPRODUCT(TRANSPOSE(DO$4:DO$20),$G243:$W243)</f>
        <v>0</v>
      </c>
    </row>
    <row r="244" spans="1:119" x14ac:dyDescent="0.2">
      <c r="A244" s="45">
        <f t="shared" si="29"/>
        <v>223</v>
      </c>
      <c r="B244" s="46" t="s">
        <v>580</v>
      </c>
      <c r="C244" s="45">
        <v>406825833</v>
      </c>
      <c r="D244" s="45" t="s">
        <v>581</v>
      </c>
      <c r="E244" s="45" t="s">
        <v>162</v>
      </c>
      <c r="F244" s="48">
        <v>1</v>
      </c>
      <c r="G244" s="100">
        <v>0</v>
      </c>
      <c r="H244" s="100">
        <v>0</v>
      </c>
      <c r="I244" s="100">
        <v>0</v>
      </c>
      <c r="J244" s="100">
        <v>0</v>
      </c>
      <c r="K244" s="100">
        <v>0</v>
      </c>
      <c r="L244" s="100">
        <v>0</v>
      </c>
      <c r="M244" s="100">
        <v>0</v>
      </c>
      <c r="N244" s="100">
        <v>0</v>
      </c>
      <c r="O244" s="100">
        <v>0</v>
      </c>
      <c r="P244" s="100">
        <v>0</v>
      </c>
      <c r="Q244" s="100">
        <v>136</v>
      </c>
      <c r="R244" s="100">
        <v>0</v>
      </c>
      <c r="S244" s="100">
        <v>0</v>
      </c>
      <c r="T244" s="100">
        <v>0</v>
      </c>
      <c r="U244" s="100">
        <v>0</v>
      </c>
      <c r="V244" s="100">
        <v>0</v>
      </c>
      <c r="W244" s="100">
        <v>0</v>
      </c>
      <c r="X244" s="45" t="s">
        <v>65</v>
      </c>
      <c r="Y244" s="49">
        <v>3.9E-2</v>
      </c>
      <c r="Z244" s="45">
        <v>150000</v>
      </c>
      <c r="AA244" s="45">
        <v>0</v>
      </c>
      <c r="AB244" s="45">
        <v>0</v>
      </c>
      <c r="AC244" s="45">
        <v>0</v>
      </c>
      <c r="AD244" s="45">
        <v>0</v>
      </c>
      <c r="AE244" s="45">
        <v>0</v>
      </c>
      <c r="AF244" s="45">
        <v>0</v>
      </c>
      <c r="AG244" s="45">
        <v>0</v>
      </c>
      <c r="AH244" s="45">
        <v>0</v>
      </c>
      <c r="AI244" s="45">
        <v>0</v>
      </c>
      <c r="AJ244" s="45">
        <v>0</v>
      </c>
      <c r="AK244" s="45">
        <v>0</v>
      </c>
      <c r="AL244" s="45">
        <v>0</v>
      </c>
      <c r="AM244" s="45">
        <v>0</v>
      </c>
      <c r="AN244" s="45">
        <v>0</v>
      </c>
      <c r="AO244" s="45"/>
      <c r="AP244" s="45"/>
      <c r="AQ244" s="45"/>
      <c r="AR244" s="45"/>
      <c r="AS244" s="45"/>
      <c r="AT244" s="45"/>
      <c r="AU244" s="45"/>
      <c r="AV244" s="45"/>
      <c r="AW244" s="45"/>
      <c r="AX244" s="45"/>
      <c r="AY244" s="45"/>
      <c r="AZ244" s="45"/>
      <c r="BA244" s="45"/>
      <c r="BB244" s="45"/>
      <c r="BC244" s="45"/>
      <c r="BD244" s="93"/>
      <c r="BE244" s="93"/>
      <c r="BF244" s="93"/>
      <c r="BG244" s="93"/>
      <c r="BH244" s="93"/>
      <c r="BI244" s="93"/>
      <c r="BJ244" s="93"/>
      <c r="BK244" s="93">
        <f>SUM($Z244:AD244)-SUM($CM244:CQ244)</f>
        <v>145240</v>
      </c>
      <c r="BL244" s="93">
        <f>SUM($Z244:AE244)-SUM($CM244:CR244)</f>
        <v>140480</v>
      </c>
      <c r="BM244" s="93">
        <f>SUM($Z244:AF244)-SUM($CM244:CS244)</f>
        <v>135720</v>
      </c>
      <c r="BN244" s="93">
        <f>SUM($Z244:AG244)-SUM($CM244:CT244)</f>
        <v>131640</v>
      </c>
      <c r="BO244" s="93">
        <f>SUM($Z244:AH244)-SUM($CM244:CU244)</f>
        <v>127560</v>
      </c>
      <c r="BP244" s="93">
        <f>SUM($Z244:AI244)-SUM($CM244:CV244)</f>
        <v>123480</v>
      </c>
      <c r="BQ244" s="93">
        <f>SUM($Z244:AJ244)-SUM($CM244:CW244)</f>
        <v>119400</v>
      </c>
      <c r="BR244" s="93">
        <f>SUM($Z244:AK244)-SUM($CM244:CX244)</f>
        <v>115320</v>
      </c>
      <c r="BS244" s="93">
        <f>SUM($Z244:AL244)-SUM($CM244:CY244)</f>
        <v>111240</v>
      </c>
      <c r="BT244" s="93">
        <f>SUM($Z244:AM244)-SUM($CM244:CZ244)</f>
        <v>107160</v>
      </c>
      <c r="BU244" s="93">
        <f>SUM($Z244:AN244)-SUM($CM244:DA244)</f>
        <v>103080</v>
      </c>
      <c r="BV244" s="93">
        <f>SUM($Z244:AO244)-SUM($CM244:DB244)</f>
        <v>101176</v>
      </c>
      <c r="BW244" s="93">
        <f>SUM($Z244:AP244)-SUM($CM244:DC244)</f>
        <v>101176</v>
      </c>
      <c r="BX244" s="93">
        <f>SUM($Z244:AQ244)-SUM($CM244:DD244)</f>
        <v>101176</v>
      </c>
      <c r="BY244" s="93">
        <f>SUM($Z244:AR244)-SUM($CM244:DE244)</f>
        <v>101176</v>
      </c>
      <c r="BZ244" s="93">
        <f>SUM($Z244:AS244)-SUM($CM244:DF244)</f>
        <v>101176</v>
      </c>
      <c r="CA244" s="93">
        <f>SUM($Z244:AT244)-SUM($CM244:DG244)</f>
        <v>101176</v>
      </c>
      <c r="CB244" s="93">
        <f>SUM($Z244:AU244)-SUM($CM244:DH244)</f>
        <v>101176</v>
      </c>
      <c r="CC244" s="93">
        <f>SUM($Z244:AV244)-SUM($CM244:DI244)</f>
        <v>101176</v>
      </c>
      <c r="CD244" s="93">
        <f>SUM($Z244:AW244)-SUM($CM244:DJ244)</f>
        <v>101176</v>
      </c>
      <c r="CE244" s="93">
        <f>SUM($Z244:AX244)-SUM($CM244:DK244)</f>
        <v>101176</v>
      </c>
      <c r="CF244" s="93">
        <f>SUM($Z244:AY244)-SUM($CM244:DL244)</f>
        <v>101176</v>
      </c>
      <c r="CG244" s="93">
        <f>SUM($Z244:AZ244)-SUM($CM244:DM244)</f>
        <v>101176</v>
      </c>
      <c r="CH244" s="93">
        <f>SUM($Z244:BA244)-SUM($CM244:DN244)</f>
        <v>101176</v>
      </c>
      <c r="CI244" s="93">
        <f>SUM($Z244:BB244)-SUM($CM244:DO244)</f>
        <v>101176</v>
      </c>
      <c r="CJ244" s="93"/>
      <c r="CK244" s="93"/>
      <c r="CL244" s="93"/>
      <c r="CM244" s="93"/>
      <c r="CN244" s="93" cm="1">
        <f t="array" ref="CN244">SUMPRODUCT(TRANSPOSE(CN$4:CN$20),$G244:$W244)</f>
        <v>0</v>
      </c>
      <c r="CO244" s="93" cm="1">
        <f t="array" ref="CO244">SUMPRODUCT(TRANSPOSE(CO$4:CO$20),$G244:$W244)</f>
        <v>0</v>
      </c>
      <c r="CP244" s="93" cm="1">
        <f t="array" ref="CP244">SUMPRODUCT(TRANSPOSE(CP$4:CP$20),$G244:$W244)</f>
        <v>0</v>
      </c>
      <c r="CQ244" s="93" cm="1">
        <f t="array" ref="CQ244">SUMPRODUCT(TRANSPOSE(CQ$4:CQ$20),$G244:$W244)</f>
        <v>4760</v>
      </c>
      <c r="CR244" s="93" cm="1">
        <f t="array" ref="CR244">SUMPRODUCT(TRANSPOSE(CR$4:CR$20),$G244:$W244)</f>
        <v>4760</v>
      </c>
      <c r="CS244" s="93" cm="1">
        <f t="array" ref="CS244">SUMPRODUCT(TRANSPOSE(CS$4:CS$20),$G244:$W244)</f>
        <v>4760</v>
      </c>
      <c r="CT244" s="93" cm="1">
        <f t="array" ref="CT244">SUMPRODUCT(TRANSPOSE(CT$4:CT$20),$G244:$W244)</f>
        <v>4080</v>
      </c>
      <c r="CU244" s="93" cm="1">
        <f t="array" ref="CU244">SUMPRODUCT(TRANSPOSE(CU$4:CU$20),$G244:$W244)</f>
        <v>4080</v>
      </c>
      <c r="CV244" s="93" cm="1">
        <f t="array" ref="CV244">SUMPRODUCT(TRANSPOSE(CV$4:CV$20),$G244:$W244)</f>
        <v>4080</v>
      </c>
      <c r="CW244" s="93" cm="1">
        <f t="array" ref="CW244">SUMPRODUCT(TRANSPOSE(CW$4:CW$20),$G244:$W244)</f>
        <v>4080</v>
      </c>
      <c r="CX244" s="93" cm="1">
        <f t="array" ref="CX244">SUMPRODUCT(TRANSPOSE(CX$4:CX$20),$G244:$W244)</f>
        <v>4080</v>
      </c>
      <c r="CY244" s="93" cm="1">
        <f t="array" ref="CY244">SUMPRODUCT(TRANSPOSE(CY$4:CY$20),$G244:$W244)</f>
        <v>4080</v>
      </c>
      <c r="CZ244" s="93" cm="1">
        <f t="array" ref="CZ244">SUMPRODUCT(TRANSPOSE(CZ$4:CZ$20),$G244:$W244)</f>
        <v>4080</v>
      </c>
      <c r="DA244" s="93" cm="1">
        <f t="array" ref="DA244">SUMPRODUCT(TRANSPOSE(DA$4:DA$20),$G244:$W244)</f>
        <v>4080</v>
      </c>
      <c r="DB244" s="93" cm="1">
        <f t="array" ref="DB244">SUMPRODUCT(TRANSPOSE(DB$4:DB$20),$G244:$W244)</f>
        <v>1904</v>
      </c>
      <c r="DC244" s="93" cm="1">
        <f t="array" ref="DC244">SUMPRODUCT(TRANSPOSE(DC$4:DC$20),$G244:$W244)</f>
        <v>0</v>
      </c>
      <c r="DD244" s="93" cm="1">
        <f t="array" ref="DD244">SUMPRODUCT(TRANSPOSE(DD$4:DD$20),$G244:$W244)</f>
        <v>0</v>
      </c>
      <c r="DE244" s="93" cm="1">
        <f t="array" ref="DE244">SUMPRODUCT(TRANSPOSE(DE$4:DE$20),$G244:$W244)</f>
        <v>0</v>
      </c>
      <c r="DF244" s="93" cm="1">
        <f t="array" ref="DF244">SUMPRODUCT(TRANSPOSE(DF$4:DF$20),$G244:$W244)</f>
        <v>0</v>
      </c>
      <c r="DG244" s="93" cm="1">
        <f t="array" ref="DG244">SUMPRODUCT(TRANSPOSE(DG$4:DG$20),$G244:$W244)</f>
        <v>0</v>
      </c>
      <c r="DH244" s="93" cm="1">
        <f t="array" ref="DH244">SUMPRODUCT(TRANSPOSE(DH$4:DH$20),$G244:$W244)</f>
        <v>0</v>
      </c>
      <c r="DI244" s="93" cm="1">
        <f t="array" ref="DI244">SUMPRODUCT(TRANSPOSE(DI$4:DI$20),$G244:$W244)</f>
        <v>0</v>
      </c>
      <c r="DJ244" s="93" cm="1">
        <f t="array" ref="DJ244">SUMPRODUCT(TRANSPOSE(DJ$4:DJ$20),$G244:$W244)</f>
        <v>0</v>
      </c>
      <c r="DK244" s="93" cm="1">
        <f t="array" ref="DK244">SUMPRODUCT(TRANSPOSE(DK$4:DK$20),$G244:$W244)</f>
        <v>0</v>
      </c>
      <c r="DL244" s="93" cm="1">
        <f t="array" ref="DL244">SUMPRODUCT(TRANSPOSE(DL$4:DL$20),$G244:$W244)</f>
        <v>0</v>
      </c>
      <c r="DM244" s="93" cm="1">
        <f t="array" ref="DM244">SUMPRODUCT(TRANSPOSE(DM$4:DM$20),$G244:$W244)</f>
        <v>0</v>
      </c>
      <c r="DN244" s="93" cm="1">
        <f t="array" ref="DN244">SUMPRODUCT(TRANSPOSE(DN$4:DN$20),$G244:$W244)</f>
        <v>0</v>
      </c>
      <c r="DO244" s="93" cm="1">
        <f t="array" ref="DO244">SUMPRODUCT(TRANSPOSE(DO$4:DO$20),$G244:$W244)</f>
        <v>0</v>
      </c>
    </row>
    <row r="245" spans="1:119" x14ac:dyDescent="0.2">
      <c r="A245" s="45">
        <f t="shared" si="29"/>
        <v>224</v>
      </c>
      <c r="B245" s="46" t="s">
        <v>582</v>
      </c>
      <c r="C245" s="45">
        <v>400897248</v>
      </c>
      <c r="D245" s="45" t="s">
        <v>583</v>
      </c>
      <c r="E245" s="45" t="s">
        <v>162</v>
      </c>
      <c r="F245" s="48">
        <v>2</v>
      </c>
      <c r="G245" s="100">
        <v>0</v>
      </c>
      <c r="H245" s="100">
        <v>0</v>
      </c>
      <c r="I245" s="100">
        <v>0</v>
      </c>
      <c r="J245" s="100">
        <v>0</v>
      </c>
      <c r="K245" s="100">
        <v>0</v>
      </c>
      <c r="L245" s="100">
        <v>0</v>
      </c>
      <c r="M245" s="100">
        <v>0</v>
      </c>
      <c r="N245" s="100">
        <v>0</v>
      </c>
      <c r="O245" s="100">
        <v>0</v>
      </c>
      <c r="P245" s="100">
        <v>0</v>
      </c>
      <c r="Q245" s="100">
        <v>6</v>
      </c>
      <c r="R245" s="100">
        <v>0</v>
      </c>
      <c r="S245" s="100">
        <v>0</v>
      </c>
      <c r="T245" s="100">
        <v>0</v>
      </c>
      <c r="U245" s="100">
        <v>6</v>
      </c>
      <c r="V245" s="100">
        <v>0</v>
      </c>
      <c r="W245" s="100">
        <v>0</v>
      </c>
      <c r="X245" s="45" t="s">
        <v>21</v>
      </c>
      <c r="Y245" s="49">
        <v>2.0291000000000001</v>
      </c>
      <c r="Z245" s="45">
        <v>5000</v>
      </c>
      <c r="AA245" s="45">
        <v>0</v>
      </c>
      <c r="AB245" s="45">
        <v>0</v>
      </c>
      <c r="AC245" s="45">
        <v>0</v>
      </c>
      <c r="AD245" s="45">
        <v>0</v>
      </c>
      <c r="AE245" s="45">
        <v>0</v>
      </c>
      <c r="AF245" s="45">
        <v>0</v>
      </c>
      <c r="AG245" s="45">
        <v>0</v>
      </c>
      <c r="AH245" s="45">
        <v>0</v>
      </c>
      <c r="AI245" s="45">
        <v>0</v>
      </c>
      <c r="AJ245" s="45">
        <v>0</v>
      </c>
      <c r="AK245" s="45">
        <v>0</v>
      </c>
      <c r="AL245" s="45">
        <v>0</v>
      </c>
      <c r="AM245" s="45">
        <v>0</v>
      </c>
      <c r="AN245" s="45">
        <v>0</v>
      </c>
      <c r="AO245" s="45"/>
      <c r="AP245" s="45"/>
      <c r="AQ245" s="45"/>
      <c r="AR245" s="45"/>
      <c r="AS245" s="45"/>
      <c r="AT245" s="45"/>
      <c r="AU245" s="45"/>
      <c r="AV245" s="45"/>
      <c r="AW245" s="45"/>
      <c r="AX245" s="45"/>
      <c r="AY245" s="45"/>
      <c r="AZ245" s="45"/>
      <c r="BA245" s="45"/>
      <c r="BB245" s="45"/>
      <c r="BC245" s="45"/>
      <c r="BD245" s="93"/>
      <c r="BE245" s="93"/>
      <c r="BF245" s="93"/>
      <c r="BG245" s="93"/>
      <c r="BH245" s="93"/>
      <c r="BI245" s="93"/>
      <c r="BJ245" s="93"/>
      <c r="BK245" s="93">
        <f>SUM($Z245:AD245)-SUM($CM245:CQ245)</f>
        <v>4532</v>
      </c>
      <c r="BL245" s="93">
        <f>SUM($Z245:AE245)-SUM($CM245:CR245)</f>
        <v>4112</v>
      </c>
      <c r="BM245" s="93">
        <f>SUM($Z245:AF245)-SUM($CM245:CS245)</f>
        <v>3722</v>
      </c>
      <c r="BN245" s="93">
        <f>SUM($Z245:AG245)-SUM($CM245:CT245)</f>
        <v>3362</v>
      </c>
      <c r="BO245" s="93">
        <f>SUM($Z245:AH245)-SUM($CM245:CU245)</f>
        <v>3002</v>
      </c>
      <c r="BP245" s="93">
        <f>SUM($Z245:AI245)-SUM($CM245:CV245)</f>
        <v>2642</v>
      </c>
      <c r="BQ245" s="93">
        <f>SUM($Z245:AJ245)-SUM($CM245:CW245)</f>
        <v>2282</v>
      </c>
      <c r="BR245" s="93">
        <f>SUM($Z245:AK245)-SUM($CM245:CX245)</f>
        <v>1922</v>
      </c>
      <c r="BS245" s="93">
        <f>SUM($Z245:AL245)-SUM($CM245:CY245)</f>
        <v>1562</v>
      </c>
      <c r="BT245" s="93">
        <f>SUM($Z245:AM245)-SUM($CM245:CZ245)</f>
        <v>1202</v>
      </c>
      <c r="BU245" s="93">
        <f>SUM($Z245:AN245)-SUM($CM245:DA245)</f>
        <v>842</v>
      </c>
      <c r="BV245" s="93">
        <f>SUM($Z245:AO245)-SUM($CM245:DB245)</f>
        <v>758</v>
      </c>
      <c r="BW245" s="93">
        <f>SUM($Z245:AP245)-SUM($CM245:DC245)</f>
        <v>758</v>
      </c>
      <c r="BX245" s="93">
        <f>SUM($Z245:AQ245)-SUM($CM245:DD245)</f>
        <v>758</v>
      </c>
      <c r="BY245" s="93">
        <f>SUM($Z245:AR245)-SUM($CM245:DE245)</f>
        <v>758</v>
      </c>
      <c r="BZ245" s="93">
        <f>SUM($Z245:AS245)-SUM($CM245:DF245)</f>
        <v>758</v>
      </c>
      <c r="CA245" s="93">
        <f>SUM($Z245:AT245)-SUM($CM245:DG245)</f>
        <v>758</v>
      </c>
      <c r="CB245" s="93">
        <f>SUM($Z245:AU245)-SUM($CM245:DH245)</f>
        <v>758</v>
      </c>
      <c r="CC245" s="93">
        <f>SUM($Z245:AV245)-SUM($CM245:DI245)</f>
        <v>758</v>
      </c>
      <c r="CD245" s="93">
        <f>SUM($Z245:AW245)-SUM($CM245:DJ245)</f>
        <v>758</v>
      </c>
      <c r="CE245" s="93">
        <f>SUM($Z245:AX245)-SUM($CM245:DK245)</f>
        <v>758</v>
      </c>
      <c r="CF245" s="93">
        <f>SUM($Z245:AY245)-SUM($CM245:DL245)</f>
        <v>758</v>
      </c>
      <c r="CG245" s="93">
        <f>SUM($Z245:AZ245)-SUM($CM245:DM245)</f>
        <v>758</v>
      </c>
      <c r="CH245" s="93">
        <f>SUM($Z245:BA245)-SUM($CM245:DN245)</f>
        <v>758</v>
      </c>
      <c r="CI245" s="93">
        <f>SUM($Z245:BB245)-SUM($CM245:DO245)</f>
        <v>758</v>
      </c>
      <c r="CJ245" s="93"/>
      <c r="CK245" s="93"/>
      <c r="CL245" s="93"/>
      <c r="CM245" s="93"/>
      <c r="CN245" s="93" cm="1">
        <f t="array" ref="CN245">SUMPRODUCT(TRANSPOSE(CN$4:CN$20),$G245:$W245)</f>
        <v>0</v>
      </c>
      <c r="CO245" s="93" cm="1">
        <f t="array" ref="CO245">SUMPRODUCT(TRANSPOSE(CO$4:CO$20),$G245:$W245)</f>
        <v>0</v>
      </c>
      <c r="CP245" s="93" cm="1">
        <f t="array" ref="CP245">SUMPRODUCT(TRANSPOSE(CP$4:CP$20),$G245:$W245)</f>
        <v>0</v>
      </c>
      <c r="CQ245" s="93" cm="1">
        <f t="array" ref="CQ245">SUMPRODUCT(TRANSPOSE(CQ$4:CQ$20),$G245:$W245)</f>
        <v>468</v>
      </c>
      <c r="CR245" s="93" cm="1">
        <f t="array" ref="CR245">SUMPRODUCT(TRANSPOSE(CR$4:CR$20),$G245:$W245)</f>
        <v>420</v>
      </c>
      <c r="CS245" s="93" cm="1">
        <f t="array" ref="CS245">SUMPRODUCT(TRANSPOSE(CS$4:CS$20),$G245:$W245)</f>
        <v>390</v>
      </c>
      <c r="CT245" s="93" cm="1">
        <f t="array" ref="CT245">SUMPRODUCT(TRANSPOSE(CT$4:CT$20),$G245:$W245)</f>
        <v>360</v>
      </c>
      <c r="CU245" s="93" cm="1">
        <f t="array" ref="CU245">SUMPRODUCT(TRANSPOSE(CU$4:CU$20),$G245:$W245)</f>
        <v>360</v>
      </c>
      <c r="CV245" s="93" cm="1">
        <f t="array" ref="CV245">SUMPRODUCT(TRANSPOSE(CV$4:CV$20),$G245:$W245)</f>
        <v>360</v>
      </c>
      <c r="CW245" s="93" cm="1">
        <f t="array" ref="CW245">SUMPRODUCT(TRANSPOSE(CW$4:CW$20),$G245:$W245)</f>
        <v>360</v>
      </c>
      <c r="CX245" s="93" cm="1">
        <f t="array" ref="CX245">SUMPRODUCT(TRANSPOSE(CX$4:CX$20),$G245:$W245)</f>
        <v>360</v>
      </c>
      <c r="CY245" s="93" cm="1">
        <f t="array" ref="CY245">SUMPRODUCT(TRANSPOSE(CY$4:CY$20),$G245:$W245)</f>
        <v>360</v>
      </c>
      <c r="CZ245" s="93" cm="1">
        <f t="array" ref="CZ245">SUMPRODUCT(TRANSPOSE(CZ$4:CZ$20),$G245:$W245)</f>
        <v>360</v>
      </c>
      <c r="DA245" s="93" cm="1">
        <f t="array" ref="DA245">SUMPRODUCT(TRANSPOSE(DA$4:DA$20),$G245:$W245)</f>
        <v>360</v>
      </c>
      <c r="DB245" s="93" cm="1">
        <f t="array" ref="DB245">SUMPRODUCT(TRANSPOSE(DB$4:DB$20),$G245:$W245)</f>
        <v>84</v>
      </c>
      <c r="DC245" s="93" cm="1">
        <f t="array" ref="DC245">SUMPRODUCT(TRANSPOSE(DC$4:DC$20),$G245:$W245)</f>
        <v>0</v>
      </c>
      <c r="DD245" s="93" cm="1">
        <f t="array" ref="DD245">SUMPRODUCT(TRANSPOSE(DD$4:DD$20),$G245:$W245)</f>
        <v>0</v>
      </c>
      <c r="DE245" s="93" cm="1">
        <f t="array" ref="DE245">SUMPRODUCT(TRANSPOSE(DE$4:DE$20),$G245:$W245)</f>
        <v>0</v>
      </c>
      <c r="DF245" s="93" cm="1">
        <f t="array" ref="DF245">SUMPRODUCT(TRANSPOSE(DF$4:DF$20),$G245:$W245)</f>
        <v>0</v>
      </c>
      <c r="DG245" s="93" cm="1">
        <f t="array" ref="DG245">SUMPRODUCT(TRANSPOSE(DG$4:DG$20),$G245:$W245)</f>
        <v>0</v>
      </c>
      <c r="DH245" s="93" cm="1">
        <f t="array" ref="DH245">SUMPRODUCT(TRANSPOSE(DH$4:DH$20),$G245:$W245)</f>
        <v>0</v>
      </c>
      <c r="DI245" s="93" cm="1">
        <f t="array" ref="DI245">SUMPRODUCT(TRANSPOSE(DI$4:DI$20),$G245:$W245)</f>
        <v>0</v>
      </c>
      <c r="DJ245" s="93" cm="1">
        <f t="array" ref="DJ245">SUMPRODUCT(TRANSPOSE(DJ$4:DJ$20),$G245:$W245)</f>
        <v>0</v>
      </c>
      <c r="DK245" s="93" cm="1">
        <f t="array" ref="DK245">SUMPRODUCT(TRANSPOSE(DK$4:DK$20),$G245:$W245)</f>
        <v>0</v>
      </c>
      <c r="DL245" s="93" cm="1">
        <f t="array" ref="DL245">SUMPRODUCT(TRANSPOSE(DL$4:DL$20),$G245:$W245)</f>
        <v>0</v>
      </c>
      <c r="DM245" s="93" cm="1">
        <f t="array" ref="DM245">SUMPRODUCT(TRANSPOSE(DM$4:DM$20),$G245:$W245)</f>
        <v>0</v>
      </c>
      <c r="DN245" s="93" cm="1">
        <f t="array" ref="DN245">SUMPRODUCT(TRANSPOSE(DN$4:DN$20),$G245:$W245)</f>
        <v>0</v>
      </c>
      <c r="DO245" s="93" cm="1">
        <f t="array" ref="DO245">SUMPRODUCT(TRANSPOSE(DO$4:DO$20),$G245:$W245)</f>
        <v>0</v>
      </c>
    </row>
    <row r="246" spans="1:119" x14ac:dyDescent="0.2">
      <c r="A246" s="45">
        <f t="shared" si="29"/>
        <v>225</v>
      </c>
      <c r="B246" s="46" t="s">
        <v>584</v>
      </c>
      <c r="C246" s="45">
        <v>416807302</v>
      </c>
      <c r="D246" s="45" t="s">
        <v>585</v>
      </c>
      <c r="E246" s="45" t="s">
        <v>162</v>
      </c>
      <c r="F246" s="48">
        <v>2</v>
      </c>
      <c r="G246" s="100">
        <v>0</v>
      </c>
      <c r="H246" s="100">
        <v>0</v>
      </c>
      <c r="I246" s="100">
        <v>0</v>
      </c>
      <c r="J246" s="100">
        <v>0</v>
      </c>
      <c r="K246" s="100">
        <v>0</v>
      </c>
      <c r="L246" s="100">
        <v>0</v>
      </c>
      <c r="M246" s="100">
        <v>0</v>
      </c>
      <c r="N246" s="100">
        <v>0</v>
      </c>
      <c r="O246" s="100">
        <v>0</v>
      </c>
      <c r="P246" s="100">
        <v>0</v>
      </c>
      <c r="Q246" s="100">
        <v>0</v>
      </c>
      <c r="R246" s="100">
        <v>1</v>
      </c>
      <c r="S246" s="100">
        <v>0</v>
      </c>
      <c r="T246" s="100">
        <v>0</v>
      </c>
      <c r="U246" s="100">
        <v>0</v>
      </c>
      <c r="V246" s="100">
        <v>1</v>
      </c>
      <c r="W246" s="100">
        <v>0</v>
      </c>
      <c r="X246" s="45" t="s">
        <v>21</v>
      </c>
      <c r="Y246" s="49">
        <v>3.1002999999999998</v>
      </c>
      <c r="Z246" s="45">
        <v>1500</v>
      </c>
      <c r="AA246" s="45">
        <v>0</v>
      </c>
      <c r="AB246" s="45">
        <v>0</v>
      </c>
      <c r="AC246" s="45">
        <v>0</v>
      </c>
      <c r="AD246" s="45">
        <v>0</v>
      </c>
      <c r="AE246" s="45">
        <v>0</v>
      </c>
      <c r="AF246" s="45">
        <v>0</v>
      </c>
      <c r="AG246" s="45">
        <v>0</v>
      </c>
      <c r="AH246" s="45">
        <v>0</v>
      </c>
      <c r="AI246" s="45">
        <v>0</v>
      </c>
      <c r="AJ246" s="45">
        <v>0</v>
      </c>
      <c r="AK246" s="45">
        <v>0</v>
      </c>
      <c r="AL246" s="45">
        <v>0</v>
      </c>
      <c r="AM246" s="45">
        <v>0</v>
      </c>
      <c r="AN246" s="45">
        <v>0</v>
      </c>
      <c r="AO246" s="45"/>
      <c r="AP246" s="45"/>
      <c r="AQ246" s="45"/>
      <c r="AR246" s="45"/>
      <c r="AS246" s="45"/>
      <c r="AT246" s="45"/>
      <c r="AU246" s="45"/>
      <c r="AV246" s="45"/>
      <c r="AW246" s="45"/>
      <c r="AX246" s="45"/>
      <c r="AY246" s="45"/>
      <c r="AZ246" s="45"/>
      <c r="BA246" s="45"/>
      <c r="BB246" s="45"/>
      <c r="BC246" s="45"/>
      <c r="BD246" s="93"/>
      <c r="BE246" s="93"/>
      <c r="BF246" s="93"/>
      <c r="BG246" s="93"/>
      <c r="BH246" s="93"/>
      <c r="BI246" s="93"/>
      <c r="BJ246" s="93"/>
      <c r="BK246" s="93">
        <f>SUM($Z246:AD246)-SUM($CM246:CQ246)</f>
        <v>1430</v>
      </c>
      <c r="BL246" s="93">
        <f>SUM($Z246:AE246)-SUM($CM246:CR246)</f>
        <v>1360</v>
      </c>
      <c r="BM246" s="93">
        <f>SUM($Z246:AF246)-SUM($CM246:CS246)</f>
        <v>1290</v>
      </c>
      <c r="BN246" s="93">
        <f>SUM($Z246:AG246)-SUM($CM246:CT246)</f>
        <v>1220</v>
      </c>
      <c r="BO246" s="93">
        <f>SUM($Z246:AH246)-SUM($CM246:CU246)</f>
        <v>1150</v>
      </c>
      <c r="BP246" s="93">
        <f>SUM($Z246:AI246)-SUM($CM246:CV246)</f>
        <v>1080</v>
      </c>
      <c r="BQ246" s="93">
        <f>SUM($Z246:AJ246)-SUM($CM246:CW246)</f>
        <v>1010</v>
      </c>
      <c r="BR246" s="93">
        <f>SUM($Z246:AK246)-SUM($CM246:CX246)</f>
        <v>940</v>
      </c>
      <c r="BS246" s="93">
        <f>SUM($Z246:AL246)-SUM($CM246:CY246)</f>
        <v>870</v>
      </c>
      <c r="BT246" s="93">
        <f>SUM($Z246:AM246)-SUM($CM246:CZ246)</f>
        <v>835</v>
      </c>
      <c r="BU246" s="93">
        <f>SUM($Z246:AN246)-SUM($CM246:DA246)</f>
        <v>835</v>
      </c>
      <c r="BV246" s="93">
        <f>SUM($Z246:AO246)-SUM($CM246:DB246)</f>
        <v>835</v>
      </c>
      <c r="BW246" s="93">
        <f>SUM($Z246:AP246)-SUM($CM246:DC246)</f>
        <v>835</v>
      </c>
      <c r="BX246" s="93">
        <f>SUM($Z246:AQ246)-SUM($CM246:DD246)</f>
        <v>835</v>
      </c>
      <c r="BY246" s="93">
        <f>SUM($Z246:AR246)-SUM($CM246:DE246)</f>
        <v>835</v>
      </c>
      <c r="BZ246" s="93">
        <f>SUM($Z246:AS246)-SUM($CM246:DF246)</f>
        <v>835</v>
      </c>
      <c r="CA246" s="93">
        <f>SUM($Z246:AT246)-SUM($CM246:DG246)</f>
        <v>835</v>
      </c>
      <c r="CB246" s="93">
        <f>SUM($Z246:AU246)-SUM($CM246:DH246)</f>
        <v>835</v>
      </c>
      <c r="CC246" s="93">
        <f>SUM($Z246:AV246)-SUM($CM246:DI246)</f>
        <v>835</v>
      </c>
      <c r="CD246" s="93">
        <f>SUM($Z246:AW246)-SUM($CM246:DJ246)</f>
        <v>835</v>
      </c>
      <c r="CE246" s="93">
        <f>SUM($Z246:AX246)-SUM($CM246:DK246)</f>
        <v>835</v>
      </c>
      <c r="CF246" s="93">
        <f>SUM($Z246:AY246)-SUM($CM246:DL246)</f>
        <v>835</v>
      </c>
      <c r="CG246" s="93">
        <f>SUM($Z246:AZ246)-SUM($CM246:DM246)</f>
        <v>835</v>
      </c>
      <c r="CH246" s="93">
        <f>SUM($Z246:BA246)-SUM($CM246:DN246)</f>
        <v>835</v>
      </c>
      <c r="CI246" s="93">
        <f>SUM($Z246:BB246)-SUM($CM246:DO246)</f>
        <v>835</v>
      </c>
      <c r="CJ246" s="93"/>
      <c r="CK246" s="93"/>
      <c r="CL246" s="93"/>
      <c r="CM246" s="93"/>
      <c r="CN246" s="93" cm="1">
        <f t="array" ref="CN246">SUMPRODUCT(TRANSPOSE(CN$4:CN$20),$G246:$W246)</f>
        <v>0</v>
      </c>
      <c r="CO246" s="93" cm="1">
        <f t="array" ref="CO246">SUMPRODUCT(TRANSPOSE(CO$4:CO$20),$G246:$W246)</f>
        <v>0</v>
      </c>
      <c r="CP246" s="93" cm="1">
        <f t="array" ref="CP246">SUMPRODUCT(TRANSPOSE(CP$4:CP$20),$G246:$W246)</f>
        <v>0</v>
      </c>
      <c r="CQ246" s="93" cm="1">
        <f t="array" ref="CQ246">SUMPRODUCT(TRANSPOSE(CQ$4:CQ$20),$G246:$W246)</f>
        <v>70</v>
      </c>
      <c r="CR246" s="93" cm="1">
        <f t="array" ref="CR246">SUMPRODUCT(TRANSPOSE(CR$4:CR$20),$G246:$W246)</f>
        <v>70</v>
      </c>
      <c r="CS246" s="93" cm="1">
        <f t="array" ref="CS246">SUMPRODUCT(TRANSPOSE(CS$4:CS$20),$G246:$W246)</f>
        <v>70</v>
      </c>
      <c r="CT246" s="93" cm="1">
        <f t="array" ref="CT246">SUMPRODUCT(TRANSPOSE(CT$4:CT$20),$G246:$W246)</f>
        <v>70</v>
      </c>
      <c r="CU246" s="93" cm="1">
        <f t="array" ref="CU246">SUMPRODUCT(TRANSPOSE(CU$4:CU$20),$G246:$W246)</f>
        <v>70</v>
      </c>
      <c r="CV246" s="93" cm="1">
        <f t="array" ref="CV246">SUMPRODUCT(TRANSPOSE(CV$4:CV$20),$G246:$W246)</f>
        <v>70</v>
      </c>
      <c r="CW246" s="93" cm="1">
        <f t="array" ref="CW246">SUMPRODUCT(TRANSPOSE(CW$4:CW$20),$G246:$W246)</f>
        <v>70</v>
      </c>
      <c r="CX246" s="93" cm="1">
        <f t="array" ref="CX246">SUMPRODUCT(TRANSPOSE(CX$4:CX$20),$G246:$W246)</f>
        <v>70</v>
      </c>
      <c r="CY246" s="93" cm="1">
        <f t="array" ref="CY246">SUMPRODUCT(TRANSPOSE(CY$4:CY$20),$G246:$W246)</f>
        <v>70</v>
      </c>
      <c r="CZ246" s="93" cm="1">
        <f t="array" ref="CZ246">SUMPRODUCT(TRANSPOSE(CZ$4:CZ$20),$G246:$W246)</f>
        <v>35</v>
      </c>
      <c r="DA246" s="93" cm="1">
        <f t="array" ref="DA246">SUMPRODUCT(TRANSPOSE(DA$4:DA$20),$G246:$W246)</f>
        <v>0</v>
      </c>
      <c r="DB246" s="93" cm="1">
        <f t="array" ref="DB246">SUMPRODUCT(TRANSPOSE(DB$4:DB$20),$G246:$W246)</f>
        <v>0</v>
      </c>
      <c r="DC246" s="93" cm="1">
        <f t="array" ref="DC246">SUMPRODUCT(TRANSPOSE(DC$4:DC$20),$G246:$W246)</f>
        <v>0</v>
      </c>
      <c r="DD246" s="93" cm="1">
        <f t="array" ref="DD246">SUMPRODUCT(TRANSPOSE(DD$4:DD$20),$G246:$W246)</f>
        <v>0</v>
      </c>
      <c r="DE246" s="93" cm="1">
        <f t="array" ref="DE246">SUMPRODUCT(TRANSPOSE(DE$4:DE$20),$G246:$W246)</f>
        <v>0</v>
      </c>
      <c r="DF246" s="93" cm="1">
        <f t="array" ref="DF246">SUMPRODUCT(TRANSPOSE(DF$4:DF$20),$G246:$W246)</f>
        <v>0</v>
      </c>
      <c r="DG246" s="93" cm="1">
        <f t="array" ref="DG246">SUMPRODUCT(TRANSPOSE(DG$4:DG$20),$G246:$W246)</f>
        <v>0</v>
      </c>
      <c r="DH246" s="93" cm="1">
        <f t="array" ref="DH246">SUMPRODUCT(TRANSPOSE(DH$4:DH$20),$G246:$W246)</f>
        <v>0</v>
      </c>
      <c r="DI246" s="93" cm="1">
        <f t="array" ref="DI246">SUMPRODUCT(TRANSPOSE(DI$4:DI$20),$G246:$W246)</f>
        <v>0</v>
      </c>
      <c r="DJ246" s="93" cm="1">
        <f t="array" ref="DJ246">SUMPRODUCT(TRANSPOSE(DJ$4:DJ$20),$G246:$W246)</f>
        <v>0</v>
      </c>
      <c r="DK246" s="93" cm="1">
        <f t="array" ref="DK246">SUMPRODUCT(TRANSPOSE(DK$4:DK$20),$G246:$W246)</f>
        <v>0</v>
      </c>
      <c r="DL246" s="93" cm="1">
        <f t="array" ref="DL246">SUMPRODUCT(TRANSPOSE(DL$4:DL$20),$G246:$W246)</f>
        <v>0</v>
      </c>
      <c r="DM246" s="93" cm="1">
        <f t="array" ref="DM246">SUMPRODUCT(TRANSPOSE(DM$4:DM$20),$G246:$W246)</f>
        <v>0</v>
      </c>
      <c r="DN246" s="93" cm="1">
        <f t="array" ref="DN246">SUMPRODUCT(TRANSPOSE(DN$4:DN$20),$G246:$W246)</f>
        <v>0</v>
      </c>
      <c r="DO246" s="93" cm="1">
        <f t="array" ref="DO246">SUMPRODUCT(TRANSPOSE(DO$4:DO$20),$G246:$W246)</f>
        <v>0</v>
      </c>
    </row>
    <row r="247" spans="1:119" x14ac:dyDescent="0.2">
      <c r="A247" s="45">
        <f t="shared" si="29"/>
        <v>226</v>
      </c>
      <c r="B247" s="46" t="s">
        <v>586</v>
      </c>
      <c r="C247" s="45">
        <v>401681605</v>
      </c>
      <c r="D247" s="45" t="s">
        <v>587</v>
      </c>
      <c r="E247" s="45" t="s">
        <v>162</v>
      </c>
      <c r="F247" s="48">
        <v>2</v>
      </c>
      <c r="G247" s="100">
        <v>0</v>
      </c>
      <c r="H247" s="100">
        <v>0</v>
      </c>
      <c r="I247" s="100">
        <v>0</v>
      </c>
      <c r="J247" s="100">
        <v>0</v>
      </c>
      <c r="K247" s="100">
        <v>0</v>
      </c>
      <c r="L247" s="100">
        <v>0</v>
      </c>
      <c r="M247" s="100">
        <v>0</v>
      </c>
      <c r="N247" s="100">
        <v>0</v>
      </c>
      <c r="O247" s="100">
        <v>0</v>
      </c>
      <c r="P247" s="100">
        <v>0</v>
      </c>
      <c r="Q247" s="100">
        <v>34</v>
      </c>
      <c r="R247" s="100">
        <v>0</v>
      </c>
      <c r="S247" s="100">
        <v>0</v>
      </c>
      <c r="T247" s="100">
        <v>0</v>
      </c>
      <c r="U247" s="100">
        <v>0</v>
      </c>
      <c r="V247" s="100">
        <v>0</v>
      </c>
      <c r="W247" s="100">
        <v>0</v>
      </c>
      <c r="X247" s="45" t="s">
        <v>21</v>
      </c>
      <c r="Y247" s="49">
        <v>1.7922</v>
      </c>
      <c r="Z247" s="45">
        <v>10000</v>
      </c>
      <c r="AA247" s="45">
        <v>0</v>
      </c>
      <c r="AB247" s="45">
        <v>0</v>
      </c>
      <c r="AC247" s="45">
        <v>0</v>
      </c>
      <c r="AD247" s="45">
        <v>0</v>
      </c>
      <c r="AE247" s="45">
        <v>0</v>
      </c>
      <c r="AF247" s="45">
        <v>0</v>
      </c>
      <c r="AG247" s="45">
        <v>0</v>
      </c>
      <c r="AH247" s="45">
        <v>0</v>
      </c>
      <c r="AI247" s="45">
        <v>0</v>
      </c>
      <c r="AJ247" s="45">
        <v>0</v>
      </c>
      <c r="AK247" s="45">
        <v>0</v>
      </c>
      <c r="AL247" s="45">
        <v>0</v>
      </c>
      <c r="AM247" s="45">
        <v>0</v>
      </c>
      <c r="AN247" s="45">
        <v>0</v>
      </c>
      <c r="AO247" s="45"/>
      <c r="AP247" s="45"/>
      <c r="AQ247" s="45"/>
      <c r="AR247" s="45"/>
      <c r="AS247" s="45"/>
      <c r="AT247" s="45"/>
      <c r="AU247" s="45"/>
      <c r="AV247" s="45"/>
      <c r="AW247" s="45"/>
      <c r="AX247" s="45"/>
      <c r="AY247" s="45"/>
      <c r="AZ247" s="45"/>
      <c r="BA247" s="45"/>
      <c r="BB247" s="45"/>
      <c r="BC247" s="45"/>
      <c r="BD247" s="93"/>
      <c r="BE247" s="93"/>
      <c r="BF247" s="93"/>
      <c r="BG247" s="93"/>
      <c r="BH247" s="93"/>
      <c r="BI247" s="93"/>
      <c r="BJ247" s="93"/>
      <c r="BK247" s="93">
        <f>SUM($Z247:AD247)-SUM($CM247:CQ247)</f>
        <v>8810</v>
      </c>
      <c r="BL247" s="93">
        <f>SUM($Z247:AE247)-SUM($CM247:CR247)</f>
        <v>7620</v>
      </c>
      <c r="BM247" s="93">
        <f>SUM($Z247:AF247)-SUM($CM247:CS247)</f>
        <v>6430</v>
      </c>
      <c r="BN247" s="93">
        <f>SUM($Z247:AG247)-SUM($CM247:CT247)</f>
        <v>5410</v>
      </c>
      <c r="BO247" s="93">
        <f>SUM($Z247:AH247)-SUM($CM247:CU247)</f>
        <v>4390</v>
      </c>
      <c r="BP247" s="93">
        <f>SUM($Z247:AI247)-SUM($CM247:CV247)</f>
        <v>3370</v>
      </c>
      <c r="BQ247" s="93">
        <f>SUM($Z247:AJ247)-SUM($CM247:CW247)</f>
        <v>2350</v>
      </c>
      <c r="BR247" s="93">
        <f>SUM($Z247:AK247)-SUM($CM247:CX247)</f>
        <v>1330</v>
      </c>
      <c r="BS247" s="93">
        <f>SUM($Z247:AL247)-SUM($CM247:CY247)</f>
        <v>310</v>
      </c>
      <c r="BT247" s="93">
        <f>SUM($Z247:AM247)-SUM($CM247:CZ247)</f>
        <v>-710</v>
      </c>
      <c r="BU247" s="93">
        <f>SUM($Z247:AN247)-SUM($CM247:DA247)</f>
        <v>-1730</v>
      </c>
      <c r="BV247" s="93">
        <f>SUM($Z247:AO247)-SUM($CM247:DB247)</f>
        <v>-2206</v>
      </c>
      <c r="BW247" s="93">
        <f>SUM($Z247:AP247)-SUM($CM247:DC247)</f>
        <v>-2206</v>
      </c>
      <c r="BX247" s="93">
        <f>SUM($Z247:AQ247)-SUM($CM247:DD247)</f>
        <v>-2206</v>
      </c>
      <c r="BY247" s="93">
        <f>SUM($Z247:AR247)-SUM($CM247:DE247)</f>
        <v>-2206</v>
      </c>
      <c r="BZ247" s="93">
        <f>SUM($Z247:AS247)-SUM($CM247:DF247)</f>
        <v>-2206</v>
      </c>
      <c r="CA247" s="93">
        <f>SUM($Z247:AT247)-SUM($CM247:DG247)</f>
        <v>-2206</v>
      </c>
      <c r="CB247" s="93">
        <f>SUM($Z247:AU247)-SUM($CM247:DH247)</f>
        <v>-2206</v>
      </c>
      <c r="CC247" s="93">
        <f>SUM($Z247:AV247)-SUM($CM247:DI247)</f>
        <v>-2206</v>
      </c>
      <c r="CD247" s="93">
        <f>SUM($Z247:AW247)-SUM($CM247:DJ247)</f>
        <v>-2206</v>
      </c>
      <c r="CE247" s="93">
        <f>SUM($Z247:AX247)-SUM($CM247:DK247)</f>
        <v>-2206</v>
      </c>
      <c r="CF247" s="93">
        <f>SUM($Z247:AY247)-SUM($CM247:DL247)</f>
        <v>-2206</v>
      </c>
      <c r="CG247" s="93">
        <f>SUM($Z247:AZ247)-SUM($CM247:DM247)</f>
        <v>-2206</v>
      </c>
      <c r="CH247" s="93">
        <f>SUM($Z247:BA247)-SUM($CM247:DN247)</f>
        <v>-2206</v>
      </c>
      <c r="CI247" s="93">
        <f>SUM($Z247:BB247)-SUM($CM247:DO247)</f>
        <v>-2206</v>
      </c>
      <c r="CJ247" s="93"/>
      <c r="CK247" s="93"/>
      <c r="CL247" s="93"/>
      <c r="CM247" s="93"/>
      <c r="CN247" s="93" cm="1">
        <f t="array" ref="CN247">SUMPRODUCT(TRANSPOSE(CN$4:CN$20),$G247:$W247)</f>
        <v>0</v>
      </c>
      <c r="CO247" s="93" cm="1">
        <f t="array" ref="CO247">SUMPRODUCT(TRANSPOSE(CO$4:CO$20),$G247:$W247)</f>
        <v>0</v>
      </c>
      <c r="CP247" s="93" cm="1">
        <f t="array" ref="CP247">SUMPRODUCT(TRANSPOSE(CP$4:CP$20),$G247:$W247)</f>
        <v>0</v>
      </c>
      <c r="CQ247" s="93" cm="1">
        <f t="array" ref="CQ247">SUMPRODUCT(TRANSPOSE(CQ$4:CQ$20),$G247:$W247)</f>
        <v>1190</v>
      </c>
      <c r="CR247" s="93" cm="1">
        <f t="array" ref="CR247">SUMPRODUCT(TRANSPOSE(CR$4:CR$20),$G247:$W247)</f>
        <v>1190</v>
      </c>
      <c r="CS247" s="93" cm="1">
        <f t="array" ref="CS247">SUMPRODUCT(TRANSPOSE(CS$4:CS$20),$G247:$W247)</f>
        <v>1190</v>
      </c>
      <c r="CT247" s="93" cm="1">
        <f t="array" ref="CT247">SUMPRODUCT(TRANSPOSE(CT$4:CT$20),$G247:$W247)</f>
        <v>1020</v>
      </c>
      <c r="CU247" s="93" cm="1">
        <f t="array" ref="CU247">SUMPRODUCT(TRANSPOSE(CU$4:CU$20),$G247:$W247)</f>
        <v>1020</v>
      </c>
      <c r="CV247" s="93" cm="1">
        <f t="array" ref="CV247">SUMPRODUCT(TRANSPOSE(CV$4:CV$20),$G247:$W247)</f>
        <v>1020</v>
      </c>
      <c r="CW247" s="93" cm="1">
        <f t="array" ref="CW247">SUMPRODUCT(TRANSPOSE(CW$4:CW$20),$G247:$W247)</f>
        <v>1020</v>
      </c>
      <c r="CX247" s="93" cm="1">
        <f t="array" ref="CX247">SUMPRODUCT(TRANSPOSE(CX$4:CX$20),$G247:$W247)</f>
        <v>1020</v>
      </c>
      <c r="CY247" s="93" cm="1">
        <f t="array" ref="CY247">SUMPRODUCT(TRANSPOSE(CY$4:CY$20),$G247:$W247)</f>
        <v>1020</v>
      </c>
      <c r="CZ247" s="93" cm="1">
        <f t="array" ref="CZ247">SUMPRODUCT(TRANSPOSE(CZ$4:CZ$20),$G247:$W247)</f>
        <v>1020</v>
      </c>
      <c r="DA247" s="93" cm="1">
        <f t="array" ref="DA247">SUMPRODUCT(TRANSPOSE(DA$4:DA$20),$G247:$W247)</f>
        <v>1020</v>
      </c>
      <c r="DB247" s="93" cm="1">
        <f t="array" ref="DB247">SUMPRODUCT(TRANSPOSE(DB$4:DB$20),$G247:$W247)</f>
        <v>476</v>
      </c>
      <c r="DC247" s="93" cm="1">
        <f t="array" ref="DC247">SUMPRODUCT(TRANSPOSE(DC$4:DC$20),$G247:$W247)</f>
        <v>0</v>
      </c>
      <c r="DD247" s="93" cm="1">
        <f t="array" ref="DD247">SUMPRODUCT(TRANSPOSE(DD$4:DD$20),$G247:$W247)</f>
        <v>0</v>
      </c>
      <c r="DE247" s="93" cm="1">
        <f t="array" ref="DE247">SUMPRODUCT(TRANSPOSE(DE$4:DE$20),$G247:$W247)</f>
        <v>0</v>
      </c>
      <c r="DF247" s="93" cm="1">
        <f t="array" ref="DF247">SUMPRODUCT(TRANSPOSE(DF$4:DF$20),$G247:$W247)</f>
        <v>0</v>
      </c>
      <c r="DG247" s="93" cm="1">
        <f t="array" ref="DG247">SUMPRODUCT(TRANSPOSE(DG$4:DG$20),$G247:$W247)</f>
        <v>0</v>
      </c>
      <c r="DH247" s="93" cm="1">
        <f t="array" ref="DH247">SUMPRODUCT(TRANSPOSE(DH$4:DH$20),$G247:$W247)</f>
        <v>0</v>
      </c>
      <c r="DI247" s="93" cm="1">
        <f t="array" ref="DI247">SUMPRODUCT(TRANSPOSE(DI$4:DI$20),$G247:$W247)</f>
        <v>0</v>
      </c>
      <c r="DJ247" s="93" cm="1">
        <f t="array" ref="DJ247">SUMPRODUCT(TRANSPOSE(DJ$4:DJ$20),$G247:$W247)</f>
        <v>0</v>
      </c>
      <c r="DK247" s="93" cm="1">
        <f t="array" ref="DK247">SUMPRODUCT(TRANSPOSE(DK$4:DK$20),$G247:$W247)</f>
        <v>0</v>
      </c>
      <c r="DL247" s="93" cm="1">
        <f t="array" ref="DL247">SUMPRODUCT(TRANSPOSE(DL$4:DL$20),$G247:$W247)</f>
        <v>0</v>
      </c>
      <c r="DM247" s="93" cm="1">
        <f t="array" ref="DM247">SUMPRODUCT(TRANSPOSE(DM$4:DM$20),$G247:$W247)</f>
        <v>0</v>
      </c>
      <c r="DN247" s="93" cm="1">
        <f t="array" ref="DN247">SUMPRODUCT(TRANSPOSE(DN$4:DN$20),$G247:$W247)</f>
        <v>0</v>
      </c>
      <c r="DO247" s="93" cm="1">
        <f t="array" ref="DO247">SUMPRODUCT(TRANSPOSE(DO$4:DO$20),$G247:$W247)</f>
        <v>0</v>
      </c>
    </row>
    <row r="248" spans="1:119" x14ac:dyDescent="0.2">
      <c r="A248" s="45">
        <f t="shared" si="29"/>
        <v>227</v>
      </c>
      <c r="B248" s="46" t="s">
        <v>588</v>
      </c>
      <c r="C248" s="45">
        <v>401246606</v>
      </c>
      <c r="D248" s="45" t="s">
        <v>589</v>
      </c>
      <c r="E248" s="45" t="s">
        <v>162</v>
      </c>
      <c r="F248" s="48">
        <v>2</v>
      </c>
      <c r="G248" s="100">
        <v>0</v>
      </c>
      <c r="H248" s="100">
        <v>0</v>
      </c>
      <c r="I248" s="100">
        <v>0</v>
      </c>
      <c r="J248" s="100">
        <v>0</v>
      </c>
      <c r="K248" s="100">
        <v>0</v>
      </c>
      <c r="L248" s="100">
        <v>0</v>
      </c>
      <c r="M248" s="100">
        <v>0</v>
      </c>
      <c r="N248" s="100">
        <v>0</v>
      </c>
      <c r="O248" s="100">
        <v>0</v>
      </c>
      <c r="P248" s="100">
        <v>0</v>
      </c>
      <c r="Q248" s="100">
        <v>1</v>
      </c>
      <c r="R248" s="100">
        <v>0</v>
      </c>
      <c r="S248" s="100">
        <v>0</v>
      </c>
      <c r="T248" s="100">
        <v>0</v>
      </c>
      <c r="U248" s="100">
        <v>0</v>
      </c>
      <c r="V248" s="100">
        <v>0</v>
      </c>
      <c r="W248" s="100">
        <v>0</v>
      </c>
      <c r="X248" s="45" t="s">
        <v>21</v>
      </c>
      <c r="Y248" s="49">
        <v>20.6206</v>
      </c>
      <c r="Z248" s="45">
        <v>595</v>
      </c>
      <c r="AA248" s="45">
        <v>0</v>
      </c>
      <c r="AB248" s="45">
        <v>0</v>
      </c>
      <c r="AC248" s="45">
        <v>0</v>
      </c>
      <c r="AD248" s="45">
        <v>0</v>
      </c>
      <c r="AE248" s="45">
        <v>0</v>
      </c>
      <c r="AF248" s="45">
        <v>0</v>
      </c>
      <c r="AG248" s="45">
        <v>0</v>
      </c>
      <c r="AH248" s="45">
        <v>0</v>
      </c>
      <c r="AI248" s="45">
        <v>0</v>
      </c>
      <c r="AJ248" s="45">
        <v>0</v>
      </c>
      <c r="AK248" s="45">
        <v>0</v>
      </c>
      <c r="AL248" s="45">
        <v>0</v>
      </c>
      <c r="AM248" s="45">
        <v>0</v>
      </c>
      <c r="AN248" s="45">
        <v>0</v>
      </c>
      <c r="AO248" s="45"/>
      <c r="AP248" s="45"/>
      <c r="AQ248" s="45"/>
      <c r="AR248" s="45"/>
      <c r="AS248" s="45"/>
      <c r="AT248" s="45"/>
      <c r="AU248" s="45"/>
      <c r="AV248" s="45"/>
      <c r="AW248" s="45"/>
      <c r="AX248" s="45"/>
      <c r="AY248" s="45"/>
      <c r="AZ248" s="45"/>
      <c r="BA248" s="45"/>
      <c r="BB248" s="45"/>
      <c r="BC248" s="45"/>
      <c r="BD248" s="93"/>
      <c r="BE248" s="93"/>
      <c r="BF248" s="93"/>
      <c r="BG248" s="93"/>
      <c r="BH248" s="93"/>
      <c r="BI248" s="93"/>
      <c r="BJ248" s="93"/>
      <c r="BK248" s="93">
        <f>SUM($Z248:AD248)-SUM($CM248:CQ248)</f>
        <v>560</v>
      </c>
      <c r="BL248" s="93">
        <f>SUM($Z248:AE248)-SUM($CM248:CR248)</f>
        <v>525</v>
      </c>
      <c r="BM248" s="93">
        <f>SUM($Z248:AF248)-SUM($CM248:CS248)</f>
        <v>490</v>
      </c>
      <c r="BN248" s="93">
        <f>SUM($Z248:AG248)-SUM($CM248:CT248)</f>
        <v>460</v>
      </c>
      <c r="BO248" s="93">
        <f>SUM($Z248:AH248)-SUM($CM248:CU248)</f>
        <v>430</v>
      </c>
      <c r="BP248" s="93">
        <f>SUM($Z248:AI248)-SUM($CM248:CV248)</f>
        <v>400</v>
      </c>
      <c r="BQ248" s="93">
        <f>SUM($Z248:AJ248)-SUM($CM248:CW248)</f>
        <v>370</v>
      </c>
      <c r="BR248" s="93">
        <f>SUM($Z248:AK248)-SUM($CM248:CX248)</f>
        <v>340</v>
      </c>
      <c r="BS248" s="93">
        <f>SUM($Z248:AL248)-SUM($CM248:CY248)</f>
        <v>310</v>
      </c>
      <c r="BT248" s="93">
        <f>SUM($Z248:AM248)-SUM($CM248:CZ248)</f>
        <v>280</v>
      </c>
      <c r="BU248" s="93">
        <f>SUM($Z248:AN248)-SUM($CM248:DA248)</f>
        <v>250</v>
      </c>
      <c r="BV248" s="93">
        <f>SUM($Z248:AO248)-SUM($CM248:DB248)</f>
        <v>236</v>
      </c>
      <c r="BW248" s="93">
        <f>SUM($Z248:AP248)-SUM($CM248:DC248)</f>
        <v>236</v>
      </c>
      <c r="BX248" s="93">
        <f>SUM($Z248:AQ248)-SUM($CM248:DD248)</f>
        <v>236</v>
      </c>
      <c r="BY248" s="93">
        <f>SUM($Z248:AR248)-SUM($CM248:DE248)</f>
        <v>236</v>
      </c>
      <c r="BZ248" s="93">
        <f>SUM($Z248:AS248)-SUM($CM248:DF248)</f>
        <v>236</v>
      </c>
      <c r="CA248" s="93">
        <f>SUM($Z248:AT248)-SUM($CM248:DG248)</f>
        <v>236</v>
      </c>
      <c r="CB248" s="93">
        <f>SUM($Z248:AU248)-SUM($CM248:DH248)</f>
        <v>236</v>
      </c>
      <c r="CC248" s="93">
        <f>SUM($Z248:AV248)-SUM($CM248:DI248)</f>
        <v>236</v>
      </c>
      <c r="CD248" s="93">
        <f>SUM($Z248:AW248)-SUM($CM248:DJ248)</f>
        <v>236</v>
      </c>
      <c r="CE248" s="93">
        <f>SUM($Z248:AX248)-SUM($CM248:DK248)</f>
        <v>236</v>
      </c>
      <c r="CF248" s="93">
        <f>SUM($Z248:AY248)-SUM($CM248:DL248)</f>
        <v>236</v>
      </c>
      <c r="CG248" s="93">
        <f>SUM($Z248:AZ248)-SUM($CM248:DM248)</f>
        <v>236</v>
      </c>
      <c r="CH248" s="93">
        <f>SUM($Z248:BA248)-SUM($CM248:DN248)</f>
        <v>236</v>
      </c>
      <c r="CI248" s="93">
        <f>SUM($Z248:BB248)-SUM($CM248:DO248)</f>
        <v>236</v>
      </c>
      <c r="CJ248" s="93"/>
      <c r="CK248" s="93"/>
      <c r="CL248" s="93"/>
      <c r="CM248" s="93"/>
      <c r="CN248" s="93" cm="1">
        <f t="array" ref="CN248">SUMPRODUCT(TRANSPOSE(CN$4:CN$20),$G248:$W248)</f>
        <v>0</v>
      </c>
      <c r="CO248" s="93" cm="1">
        <f t="array" ref="CO248">SUMPRODUCT(TRANSPOSE(CO$4:CO$20),$G248:$W248)</f>
        <v>0</v>
      </c>
      <c r="CP248" s="93" cm="1">
        <f t="array" ref="CP248">SUMPRODUCT(TRANSPOSE(CP$4:CP$20),$G248:$W248)</f>
        <v>0</v>
      </c>
      <c r="CQ248" s="93" cm="1">
        <f t="array" ref="CQ248">SUMPRODUCT(TRANSPOSE(CQ$4:CQ$20),$G248:$W248)</f>
        <v>35</v>
      </c>
      <c r="CR248" s="93" cm="1">
        <f t="array" ref="CR248">SUMPRODUCT(TRANSPOSE(CR$4:CR$20),$G248:$W248)</f>
        <v>35</v>
      </c>
      <c r="CS248" s="93" cm="1">
        <f t="array" ref="CS248">SUMPRODUCT(TRANSPOSE(CS$4:CS$20),$G248:$W248)</f>
        <v>35</v>
      </c>
      <c r="CT248" s="93" cm="1">
        <f t="array" ref="CT248">SUMPRODUCT(TRANSPOSE(CT$4:CT$20),$G248:$W248)</f>
        <v>30</v>
      </c>
      <c r="CU248" s="93" cm="1">
        <f t="array" ref="CU248">SUMPRODUCT(TRANSPOSE(CU$4:CU$20),$G248:$W248)</f>
        <v>30</v>
      </c>
      <c r="CV248" s="93" cm="1">
        <f t="array" ref="CV248">SUMPRODUCT(TRANSPOSE(CV$4:CV$20),$G248:$W248)</f>
        <v>30</v>
      </c>
      <c r="CW248" s="93" cm="1">
        <f t="array" ref="CW248">SUMPRODUCT(TRANSPOSE(CW$4:CW$20),$G248:$W248)</f>
        <v>30</v>
      </c>
      <c r="CX248" s="93" cm="1">
        <f t="array" ref="CX248">SUMPRODUCT(TRANSPOSE(CX$4:CX$20),$G248:$W248)</f>
        <v>30</v>
      </c>
      <c r="CY248" s="93" cm="1">
        <f t="array" ref="CY248">SUMPRODUCT(TRANSPOSE(CY$4:CY$20),$G248:$W248)</f>
        <v>30</v>
      </c>
      <c r="CZ248" s="93" cm="1">
        <f t="array" ref="CZ248">SUMPRODUCT(TRANSPOSE(CZ$4:CZ$20),$G248:$W248)</f>
        <v>30</v>
      </c>
      <c r="DA248" s="93" cm="1">
        <f t="array" ref="DA248">SUMPRODUCT(TRANSPOSE(DA$4:DA$20),$G248:$W248)</f>
        <v>30</v>
      </c>
      <c r="DB248" s="93" cm="1">
        <f t="array" ref="DB248">SUMPRODUCT(TRANSPOSE(DB$4:DB$20),$G248:$W248)</f>
        <v>14</v>
      </c>
      <c r="DC248" s="93" cm="1">
        <f t="array" ref="DC248">SUMPRODUCT(TRANSPOSE(DC$4:DC$20),$G248:$W248)</f>
        <v>0</v>
      </c>
      <c r="DD248" s="93" cm="1">
        <f t="array" ref="DD248">SUMPRODUCT(TRANSPOSE(DD$4:DD$20),$G248:$W248)</f>
        <v>0</v>
      </c>
      <c r="DE248" s="93" cm="1">
        <f t="array" ref="DE248">SUMPRODUCT(TRANSPOSE(DE$4:DE$20),$G248:$W248)</f>
        <v>0</v>
      </c>
      <c r="DF248" s="93" cm="1">
        <f t="array" ref="DF248">SUMPRODUCT(TRANSPOSE(DF$4:DF$20),$G248:$W248)</f>
        <v>0</v>
      </c>
      <c r="DG248" s="93" cm="1">
        <f t="array" ref="DG248">SUMPRODUCT(TRANSPOSE(DG$4:DG$20),$G248:$W248)</f>
        <v>0</v>
      </c>
      <c r="DH248" s="93" cm="1">
        <f t="array" ref="DH248">SUMPRODUCT(TRANSPOSE(DH$4:DH$20),$G248:$W248)</f>
        <v>0</v>
      </c>
      <c r="DI248" s="93" cm="1">
        <f t="array" ref="DI248">SUMPRODUCT(TRANSPOSE(DI$4:DI$20),$G248:$W248)</f>
        <v>0</v>
      </c>
      <c r="DJ248" s="93" cm="1">
        <f t="array" ref="DJ248">SUMPRODUCT(TRANSPOSE(DJ$4:DJ$20),$G248:$W248)</f>
        <v>0</v>
      </c>
      <c r="DK248" s="93" cm="1">
        <f t="array" ref="DK248">SUMPRODUCT(TRANSPOSE(DK$4:DK$20),$G248:$W248)</f>
        <v>0</v>
      </c>
      <c r="DL248" s="93" cm="1">
        <f t="array" ref="DL248">SUMPRODUCT(TRANSPOSE(DL$4:DL$20),$G248:$W248)</f>
        <v>0</v>
      </c>
      <c r="DM248" s="93" cm="1">
        <f t="array" ref="DM248">SUMPRODUCT(TRANSPOSE(DM$4:DM$20),$G248:$W248)</f>
        <v>0</v>
      </c>
      <c r="DN248" s="93" cm="1">
        <f t="array" ref="DN248">SUMPRODUCT(TRANSPOSE(DN$4:DN$20),$G248:$W248)</f>
        <v>0</v>
      </c>
      <c r="DO248" s="93" cm="1">
        <f t="array" ref="DO248">SUMPRODUCT(TRANSPOSE(DO$4:DO$20),$G248:$W248)</f>
        <v>0</v>
      </c>
    </row>
    <row r="249" spans="1:119" x14ac:dyDescent="0.2">
      <c r="A249" s="45">
        <f t="shared" si="29"/>
        <v>228</v>
      </c>
      <c r="B249" s="46" t="s">
        <v>590</v>
      </c>
      <c r="C249" s="45">
        <v>414290613</v>
      </c>
      <c r="D249" s="45" t="s">
        <v>591</v>
      </c>
      <c r="E249" s="45" t="s">
        <v>162</v>
      </c>
      <c r="F249" s="48">
        <v>1</v>
      </c>
      <c r="G249" s="100">
        <v>0</v>
      </c>
      <c r="H249" s="100">
        <v>0</v>
      </c>
      <c r="I249" s="100">
        <v>0</v>
      </c>
      <c r="J249" s="100">
        <v>0</v>
      </c>
      <c r="K249" s="100">
        <v>0</v>
      </c>
      <c r="L249" s="100">
        <v>0</v>
      </c>
      <c r="M249" s="100">
        <v>0</v>
      </c>
      <c r="N249" s="100">
        <v>0</v>
      </c>
      <c r="O249" s="100">
        <v>0</v>
      </c>
      <c r="P249" s="100">
        <v>0</v>
      </c>
      <c r="Q249" s="100">
        <v>0</v>
      </c>
      <c r="R249" s="100">
        <v>1</v>
      </c>
      <c r="S249" s="100">
        <v>0</v>
      </c>
      <c r="T249" s="100">
        <v>0</v>
      </c>
      <c r="U249" s="100">
        <v>0</v>
      </c>
      <c r="V249" s="100">
        <v>1</v>
      </c>
      <c r="W249" s="100">
        <v>0</v>
      </c>
      <c r="X249" s="45" t="s">
        <v>76</v>
      </c>
      <c r="Y249" s="49">
        <v>19.487000000000002</v>
      </c>
      <c r="Z249" s="45">
        <v>1072</v>
      </c>
      <c r="AA249" s="45">
        <v>0</v>
      </c>
      <c r="AB249" s="45">
        <v>0</v>
      </c>
      <c r="AC249" s="45">
        <v>0</v>
      </c>
      <c r="AD249" s="45">
        <v>0</v>
      </c>
      <c r="AE249" s="45">
        <v>0</v>
      </c>
      <c r="AF249" s="45">
        <v>0</v>
      </c>
      <c r="AG249" s="45">
        <v>0</v>
      </c>
      <c r="AH249" s="45">
        <v>0</v>
      </c>
      <c r="AI249" s="45">
        <v>0</v>
      </c>
      <c r="AJ249" s="45">
        <v>0</v>
      </c>
      <c r="AK249" s="45">
        <v>0</v>
      </c>
      <c r="AL249" s="45">
        <v>0</v>
      </c>
      <c r="AM249" s="45">
        <v>0</v>
      </c>
      <c r="AN249" s="45">
        <v>0</v>
      </c>
      <c r="AO249" s="45"/>
      <c r="AP249" s="45"/>
      <c r="AQ249" s="45"/>
      <c r="AR249" s="45"/>
      <c r="AS249" s="45"/>
      <c r="AT249" s="45"/>
      <c r="AU249" s="45"/>
      <c r="AV249" s="45"/>
      <c r="AW249" s="45"/>
      <c r="AX249" s="45"/>
      <c r="AY249" s="45"/>
      <c r="AZ249" s="45"/>
      <c r="BA249" s="45"/>
      <c r="BB249" s="45"/>
      <c r="BC249" s="45"/>
      <c r="BD249" s="93"/>
      <c r="BE249" s="93"/>
      <c r="BF249" s="93"/>
      <c r="BG249" s="93"/>
      <c r="BH249" s="93"/>
      <c r="BI249" s="93"/>
      <c r="BJ249" s="93"/>
      <c r="BK249" s="93">
        <f>SUM($Z249:AD249)-SUM($CM249:CQ249)</f>
        <v>1002</v>
      </c>
      <c r="BL249" s="93">
        <f>SUM($Z249:AE249)-SUM($CM249:CR249)</f>
        <v>932</v>
      </c>
      <c r="BM249" s="93">
        <f>SUM($Z249:AF249)-SUM($CM249:CS249)</f>
        <v>862</v>
      </c>
      <c r="BN249" s="93">
        <f>SUM($Z249:AG249)-SUM($CM249:CT249)</f>
        <v>792</v>
      </c>
      <c r="BO249" s="93">
        <f>SUM($Z249:AH249)-SUM($CM249:CU249)</f>
        <v>722</v>
      </c>
      <c r="BP249" s="93">
        <f>SUM($Z249:AI249)-SUM($CM249:CV249)</f>
        <v>652</v>
      </c>
      <c r="BQ249" s="93">
        <f>SUM($Z249:AJ249)-SUM($CM249:CW249)</f>
        <v>582</v>
      </c>
      <c r="BR249" s="93">
        <f>SUM($Z249:AK249)-SUM($CM249:CX249)</f>
        <v>512</v>
      </c>
      <c r="BS249" s="93">
        <f>SUM($Z249:AL249)-SUM($CM249:CY249)</f>
        <v>442</v>
      </c>
      <c r="BT249" s="93">
        <f>SUM($Z249:AM249)-SUM($CM249:CZ249)</f>
        <v>407</v>
      </c>
      <c r="BU249" s="93">
        <f>SUM($Z249:AN249)-SUM($CM249:DA249)</f>
        <v>407</v>
      </c>
      <c r="BV249" s="93">
        <f>SUM($Z249:AO249)-SUM($CM249:DB249)</f>
        <v>407</v>
      </c>
      <c r="BW249" s="93">
        <f>SUM($Z249:AP249)-SUM($CM249:DC249)</f>
        <v>407</v>
      </c>
      <c r="BX249" s="93">
        <f>SUM($Z249:AQ249)-SUM($CM249:DD249)</f>
        <v>407</v>
      </c>
      <c r="BY249" s="93">
        <f>SUM($Z249:AR249)-SUM($CM249:DE249)</f>
        <v>407</v>
      </c>
      <c r="BZ249" s="93">
        <f>SUM($Z249:AS249)-SUM($CM249:DF249)</f>
        <v>407</v>
      </c>
      <c r="CA249" s="93">
        <f>SUM($Z249:AT249)-SUM($CM249:DG249)</f>
        <v>407</v>
      </c>
      <c r="CB249" s="93">
        <f>SUM($Z249:AU249)-SUM($CM249:DH249)</f>
        <v>407</v>
      </c>
      <c r="CC249" s="93">
        <f>SUM($Z249:AV249)-SUM($CM249:DI249)</f>
        <v>407</v>
      </c>
      <c r="CD249" s="93">
        <f>SUM($Z249:AW249)-SUM($CM249:DJ249)</f>
        <v>407</v>
      </c>
      <c r="CE249" s="93">
        <f>SUM($Z249:AX249)-SUM($CM249:DK249)</f>
        <v>407</v>
      </c>
      <c r="CF249" s="93">
        <f>SUM($Z249:AY249)-SUM($CM249:DL249)</f>
        <v>407</v>
      </c>
      <c r="CG249" s="93">
        <f>SUM($Z249:AZ249)-SUM($CM249:DM249)</f>
        <v>407</v>
      </c>
      <c r="CH249" s="93">
        <f>SUM($Z249:BA249)-SUM($CM249:DN249)</f>
        <v>407</v>
      </c>
      <c r="CI249" s="93">
        <f>SUM($Z249:BB249)-SUM($CM249:DO249)</f>
        <v>407</v>
      </c>
      <c r="CJ249" s="93"/>
      <c r="CK249" s="93"/>
      <c r="CL249" s="93"/>
      <c r="CM249" s="93"/>
      <c r="CN249" s="93" cm="1">
        <f t="array" ref="CN249">SUMPRODUCT(TRANSPOSE(CN$4:CN$20),$G249:$W249)</f>
        <v>0</v>
      </c>
      <c r="CO249" s="93" cm="1">
        <f t="array" ref="CO249">SUMPRODUCT(TRANSPOSE(CO$4:CO$20),$G249:$W249)</f>
        <v>0</v>
      </c>
      <c r="CP249" s="93" cm="1">
        <f t="array" ref="CP249">SUMPRODUCT(TRANSPOSE(CP$4:CP$20),$G249:$W249)</f>
        <v>0</v>
      </c>
      <c r="CQ249" s="93" cm="1">
        <f t="array" ref="CQ249">SUMPRODUCT(TRANSPOSE(CQ$4:CQ$20),$G249:$W249)</f>
        <v>70</v>
      </c>
      <c r="CR249" s="93" cm="1">
        <f t="array" ref="CR249">SUMPRODUCT(TRANSPOSE(CR$4:CR$20),$G249:$W249)</f>
        <v>70</v>
      </c>
      <c r="CS249" s="93" cm="1">
        <f t="array" ref="CS249">SUMPRODUCT(TRANSPOSE(CS$4:CS$20),$G249:$W249)</f>
        <v>70</v>
      </c>
      <c r="CT249" s="93" cm="1">
        <f t="array" ref="CT249">SUMPRODUCT(TRANSPOSE(CT$4:CT$20),$G249:$W249)</f>
        <v>70</v>
      </c>
      <c r="CU249" s="93" cm="1">
        <f t="array" ref="CU249">SUMPRODUCT(TRANSPOSE(CU$4:CU$20),$G249:$W249)</f>
        <v>70</v>
      </c>
      <c r="CV249" s="93" cm="1">
        <f t="array" ref="CV249">SUMPRODUCT(TRANSPOSE(CV$4:CV$20),$G249:$W249)</f>
        <v>70</v>
      </c>
      <c r="CW249" s="93" cm="1">
        <f t="array" ref="CW249">SUMPRODUCT(TRANSPOSE(CW$4:CW$20),$G249:$W249)</f>
        <v>70</v>
      </c>
      <c r="CX249" s="93" cm="1">
        <f t="array" ref="CX249">SUMPRODUCT(TRANSPOSE(CX$4:CX$20),$G249:$W249)</f>
        <v>70</v>
      </c>
      <c r="CY249" s="93" cm="1">
        <f t="array" ref="CY249">SUMPRODUCT(TRANSPOSE(CY$4:CY$20),$G249:$W249)</f>
        <v>70</v>
      </c>
      <c r="CZ249" s="93" cm="1">
        <f t="array" ref="CZ249">SUMPRODUCT(TRANSPOSE(CZ$4:CZ$20),$G249:$W249)</f>
        <v>35</v>
      </c>
      <c r="DA249" s="93" cm="1">
        <f t="array" ref="DA249">SUMPRODUCT(TRANSPOSE(DA$4:DA$20),$G249:$W249)</f>
        <v>0</v>
      </c>
      <c r="DB249" s="93" cm="1">
        <f t="array" ref="DB249">SUMPRODUCT(TRANSPOSE(DB$4:DB$20),$G249:$W249)</f>
        <v>0</v>
      </c>
      <c r="DC249" s="93" cm="1">
        <f t="array" ref="DC249">SUMPRODUCT(TRANSPOSE(DC$4:DC$20),$G249:$W249)</f>
        <v>0</v>
      </c>
      <c r="DD249" s="93" cm="1">
        <f t="array" ref="DD249">SUMPRODUCT(TRANSPOSE(DD$4:DD$20),$G249:$W249)</f>
        <v>0</v>
      </c>
      <c r="DE249" s="93" cm="1">
        <f t="array" ref="DE249">SUMPRODUCT(TRANSPOSE(DE$4:DE$20),$G249:$W249)</f>
        <v>0</v>
      </c>
      <c r="DF249" s="93" cm="1">
        <f t="array" ref="DF249">SUMPRODUCT(TRANSPOSE(DF$4:DF$20),$G249:$W249)</f>
        <v>0</v>
      </c>
      <c r="DG249" s="93" cm="1">
        <f t="array" ref="DG249">SUMPRODUCT(TRANSPOSE(DG$4:DG$20),$G249:$W249)</f>
        <v>0</v>
      </c>
      <c r="DH249" s="93" cm="1">
        <f t="array" ref="DH249">SUMPRODUCT(TRANSPOSE(DH$4:DH$20),$G249:$W249)</f>
        <v>0</v>
      </c>
      <c r="DI249" s="93" cm="1">
        <f t="array" ref="DI249">SUMPRODUCT(TRANSPOSE(DI$4:DI$20),$G249:$W249)</f>
        <v>0</v>
      </c>
      <c r="DJ249" s="93" cm="1">
        <f t="array" ref="DJ249">SUMPRODUCT(TRANSPOSE(DJ$4:DJ$20),$G249:$W249)</f>
        <v>0</v>
      </c>
      <c r="DK249" s="93" cm="1">
        <f t="array" ref="DK249">SUMPRODUCT(TRANSPOSE(DK$4:DK$20),$G249:$W249)</f>
        <v>0</v>
      </c>
      <c r="DL249" s="93" cm="1">
        <f t="array" ref="DL249">SUMPRODUCT(TRANSPOSE(DL$4:DL$20),$G249:$W249)</f>
        <v>0</v>
      </c>
      <c r="DM249" s="93" cm="1">
        <f t="array" ref="DM249">SUMPRODUCT(TRANSPOSE(DM$4:DM$20),$G249:$W249)</f>
        <v>0</v>
      </c>
      <c r="DN249" s="93" cm="1">
        <f t="array" ref="DN249">SUMPRODUCT(TRANSPOSE(DN$4:DN$20),$G249:$W249)</f>
        <v>0</v>
      </c>
      <c r="DO249" s="93" cm="1">
        <f t="array" ref="DO249">SUMPRODUCT(TRANSPOSE(DO$4:DO$20),$G249:$W249)</f>
        <v>0</v>
      </c>
    </row>
    <row r="250" spans="1:119" x14ac:dyDescent="0.2">
      <c r="A250" s="45">
        <f t="shared" si="29"/>
        <v>229</v>
      </c>
      <c r="B250" s="46" t="s">
        <v>592</v>
      </c>
      <c r="C250" s="45">
        <v>400330009</v>
      </c>
      <c r="D250" s="45" t="s">
        <v>593</v>
      </c>
      <c r="E250" s="45" t="s">
        <v>162</v>
      </c>
      <c r="F250" s="48">
        <v>2</v>
      </c>
      <c r="G250" s="100">
        <v>0</v>
      </c>
      <c r="H250" s="100">
        <v>0</v>
      </c>
      <c r="I250" s="100">
        <v>0</v>
      </c>
      <c r="J250" s="100">
        <v>0</v>
      </c>
      <c r="K250" s="100">
        <v>0</v>
      </c>
      <c r="L250" s="100">
        <v>0</v>
      </c>
      <c r="M250" s="100">
        <v>0</v>
      </c>
      <c r="N250" s="100">
        <v>0</v>
      </c>
      <c r="O250" s="100">
        <v>0</v>
      </c>
      <c r="P250" s="100">
        <v>0</v>
      </c>
      <c r="Q250" s="100">
        <v>0</v>
      </c>
      <c r="R250" s="100">
        <v>1</v>
      </c>
      <c r="S250" s="100">
        <v>0</v>
      </c>
      <c r="T250" s="100">
        <v>0</v>
      </c>
      <c r="U250" s="100">
        <v>0</v>
      </c>
      <c r="V250" s="100">
        <v>1</v>
      </c>
      <c r="W250" s="100">
        <v>0</v>
      </c>
      <c r="X250" s="45" t="s">
        <v>63</v>
      </c>
      <c r="Y250" s="66">
        <v>2.17</v>
      </c>
      <c r="Z250" s="45">
        <v>2500</v>
      </c>
      <c r="AA250" s="45">
        <v>0</v>
      </c>
      <c r="AB250" s="45">
        <v>0</v>
      </c>
      <c r="AC250" s="45">
        <v>0</v>
      </c>
      <c r="AD250" s="45">
        <v>0</v>
      </c>
      <c r="AE250" s="45">
        <v>0</v>
      </c>
      <c r="AF250" s="45">
        <v>0</v>
      </c>
      <c r="AG250" s="45">
        <v>0</v>
      </c>
      <c r="AH250" s="45">
        <v>0</v>
      </c>
      <c r="AI250" s="45">
        <v>0</v>
      </c>
      <c r="AJ250" s="45">
        <v>0</v>
      </c>
      <c r="AK250" s="45">
        <v>0</v>
      </c>
      <c r="AL250" s="45">
        <v>0</v>
      </c>
      <c r="AM250" s="45">
        <v>0</v>
      </c>
      <c r="AN250" s="45">
        <v>0</v>
      </c>
      <c r="AO250" s="45"/>
      <c r="AP250" s="45"/>
      <c r="AQ250" s="45"/>
      <c r="AR250" s="45"/>
      <c r="AS250" s="45"/>
      <c r="AT250" s="45"/>
      <c r="AU250" s="45"/>
      <c r="AV250" s="45"/>
      <c r="AW250" s="45"/>
      <c r="AX250" s="45"/>
      <c r="AY250" s="45"/>
      <c r="AZ250" s="45"/>
      <c r="BA250" s="45"/>
      <c r="BB250" s="45"/>
      <c r="BC250" s="45"/>
      <c r="BD250" s="93"/>
      <c r="BE250" s="93"/>
      <c r="BF250" s="93"/>
      <c r="BG250" s="93"/>
      <c r="BH250" s="93"/>
      <c r="BI250" s="93"/>
      <c r="BJ250" s="93"/>
      <c r="BK250" s="93">
        <f>SUM($Z250:AD250)-SUM($CM250:CQ250)</f>
        <v>2430</v>
      </c>
      <c r="BL250" s="93">
        <f>SUM($Z250:AE250)-SUM($CM250:CR250)</f>
        <v>2360</v>
      </c>
      <c r="BM250" s="93">
        <f>SUM($Z250:AF250)-SUM($CM250:CS250)</f>
        <v>2290</v>
      </c>
      <c r="BN250" s="93">
        <f>SUM($Z250:AG250)-SUM($CM250:CT250)</f>
        <v>2220</v>
      </c>
      <c r="BO250" s="93">
        <f>SUM($Z250:AH250)-SUM($CM250:CU250)</f>
        <v>2150</v>
      </c>
      <c r="BP250" s="93">
        <f>SUM($Z250:AI250)-SUM($CM250:CV250)</f>
        <v>2080</v>
      </c>
      <c r="BQ250" s="93">
        <f>SUM($Z250:AJ250)-SUM($CM250:CW250)</f>
        <v>2010</v>
      </c>
      <c r="BR250" s="93">
        <f>SUM($Z250:AK250)-SUM($CM250:CX250)</f>
        <v>1940</v>
      </c>
      <c r="BS250" s="93">
        <f>SUM($Z250:AL250)-SUM($CM250:CY250)</f>
        <v>1870</v>
      </c>
      <c r="BT250" s="93">
        <f>SUM($Z250:AM250)-SUM($CM250:CZ250)</f>
        <v>1835</v>
      </c>
      <c r="BU250" s="93">
        <f>SUM($Z250:AN250)-SUM($CM250:DA250)</f>
        <v>1835</v>
      </c>
      <c r="BV250" s="93">
        <f>SUM($Z250:AO250)-SUM($CM250:DB250)</f>
        <v>1835</v>
      </c>
      <c r="BW250" s="93">
        <f>SUM($Z250:AP250)-SUM($CM250:DC250)</f>
        <v>1835</v>
      </c>
      <c r="BX250" s="93">
        <f>SUM($Z250:AQ250)-SUM($CM250:DD250)</f>
        <v>1835</v>
      </c>
      <c r="BY250" s="93">
        <f>SUM($Z250:AR250)-SUM($CM250:DE250)</f>
        <v>1835</v>
      </c>
      <c r="BZ250" s="93">
        <f>SUM($Z250:AS250)-SUM($CM250:DF250)</f>
        <v>1835</v>
      </c>
      <c r="CA250" s="93">
        <f>SUM($Z250:AT250)-SUM($CM250:DG250)</f>
        <v>1835</v>
      </c>
      <c r="CB250" s="93">
        <f>SUM($Z250:AU250)-SUM($CM250:DH250)</f>
        <v>1835</v>
      </c>
      <c r="CC250" s="93">
        <f>SUM($Z250:AV250)-SUM($CM250:DI250)</f>
        <v>1835</v>
      </c>
      <c r="CD250" s="93">
        <f>SUM($Z250:AW250)-SUM($CM250:DJ250)</f>
        <v>1835</v>
      </c>
      <c r="CE250" s="93">
        <f>SUM($Z250:AX250)-SUM($CM250:DK250)</f>
        <v>1835</v>
      </c>
      <c r="CF250" s="93">
        <f>SUM($Z250:AY250)-SUM($CM250:DL250)</f>
        <v>1835</v>
      </c>
      <c r="CG250" s="93">
        <f>SUM($Z250:AZ250)-SUM($CM250:DM250)</f>
        <v>1835</v>
      </c>
      <c r="CH250" s="93">
        <f>SUM($Z250:BA250)-SUM($CM250:DN250)</f>
        <v>1835</v>
      </c>
      <c r="CI250" s="93">
        <f>SUM($Z250:BB250)-SUM($CM250:DO250)</f>
        <v>1835</v>
      </c>
      <c r="CJ250" s="93"/>
      <c r="CK250" s="93"/>
      <c r="CL250" s="93"/>
      <c r="CM250" s="93"/>
      <c r="CN250" s="93" cm="1">
        <f t="array" ref="CN250">SUMPRODUCT(TRANSPOSE(CN$4:CN$20),$G250:$W250)</f>
        <v>0</v>
      </c>
      <c r="CO250" s="93" cm="1">
        <f t="array" ref="CO250">SUMPRODUCT(TRANSPOSE(CO$4:CO$20),$G250:$W250)</f>
        <v>0</v>
      </c>
      <c r="CP250" s="93" cm="1">
        <f t="array" ref="CP250">SUMPRODUCT(TRANSPOSE(CP$4:CP$20),$G250:$W250)</f>
        <v>0</v>
      </c>
      <c r="CQ250" s="93" cm="1">
        <f t="array" ref="CQ250">SUMPRODUCT(TRANSPOSE(CQ$4:CQ$20),$G250:$W250)</f>
        <v>70</v>
      </c>
      <c r="CR250" s="93" cm="1">
        <f t="array" ref="CR250">SUMPRODUCT(TRANSPOSE(CR$4:CR$20),$G250:$W250)</f>
        <v>70</v>
      </c>
      <c r="CS250" s="93" cm="1">
        <f t="array" ref="CS250">SUMPRODUCT(TRANSPOSE(CS$4:CS$20),$G250:$W250)</f>
        <v>70</v>
      </c>
      <c r="CT250" s="93" cm="1">
        <f t="array" ref="CT250">SUMPRODUCT(TRANSPOSE(CT$4:CT$20),$G250:$W250)</f>
        <v>70</v>
      </c>
      <c r="CU250" s="93" cm="1">
        <f t="array" ref="CU250">SUMPRODUCT(TRANSPOSE(CU$4:CU$20),$G250:$W250)</f>
        <v>70</v>
      </c>
      <c r="CV250" s="93" cm="1">
        <f t="array" ref="CV250">SUMPRODUCT(TRANSPOSE(CV$4:CV$20),$G250:$W250)</f>
        <v>70</v>
      </c>
      <c r="CW250" s="93" cm="1">
        <f t="array" ref="CW250">SUMPRODUCT(TRANSPOSE(CW$4:CW$20),$G250:$W250)</f>
        <v>70</v>
      </c>
      <c r="CX250" s="93" cm="1">
        <f t="array" ref="CX250">SUMPRODUCT(TRANSPOSE(CX$4:CX$20),$G250:$W250)</f>
        <v>70</v>
      </c>
      <c r="CY250" s="93" cm="1">
        <f t="array" ref="CY250">SUMPRODUCT(TRANSPOSE(CY$4:CY$20),$G250:$W250)</f>
        <v>70</v>
      </c>
      <c r="CZ250" s="93" cm="1">
        <f t="array" ref="CZ250">SUMPRODUCT(TRANSPOSE(CZ$4:CZ$20),$G250:$W250)</f>
        <v>35</v>
      </c>
      <c r="DA250" s="93" cm="1">
        <f t="array" ref="DA250">SUMPRODUCT(TRANSPOSE(DA$4:DA$20),$G250:$W250)</f>
        <v>0</v>
      </c>
      <c r="DB250" s="93" cm="1">
        <f t="array" ref="DB250">SUMPRODUCT(TRANSPOSE(DB$4:DB$20),$G250:$W250)</f>
        <v>0</v>
      </c>
      <c r="DC250" s="93" cm="1">
        <f t="array" ref="DC250">SUMPRODUCT(TRANSPOSE(DC$4:DC$20),$G250:$W250)</f>
        <v>0</v>
      </c>
      <c r="DD250" s="93" cm="1">
        <f t="array" ref="DD250">SUMPRODUCT(TRANSPOSE(DD$4:DD$20),$G250:$W250)</f>
        <v>0</v>
      </c>
      <c r="DE250" s="93" cm="1">
        <f t="array" ref="DE250">SUMPRODUCT(TRANSPOSE(DE$4:DE$20),$G250:$W250)</f>
        <v>0</v>
      </c>
      <c r="DF250" s="93" cm="1">
        <f t="array" ref="DF250">SUMPRODUCT(TRANSPOSE(DF$4:DF$20),$G250:$W250)</f>
        <v>0</v>
      </c>
      <c r="DG250" s="93" cm="1">
        <f t="array" ref="DG250">SUMPRODUCT(TRANSPOSE(DG$4:DG$20),$G250:$W250)</f>
        <v>0</v>
      </c>
      <c r="DH250" s="93" cm="1">
        <f t="array" ref="DH250">SUMPRODUCT(TRANSPOSE(DH$4:DH$20),$G250:$W250)</f>
        <v>0</v>
      </c>
      <c r="DI250" s="93" cm="1">
        <f t="array" ref="DI250">SUMPRODUCT(TRANSPOSE(DI$4:DI$20),$G250:$W250)</f>
        <v>0</v>
      </c>
      <c r="DJ250" s="93" cm="1">
        <f t="array" ref="DJ250">SUMPRODUCT(TRANSPOSE(DJ$4:DJ$20),$G250:$W250)</f>
        <v>0</v>
      </c>
      <c r="DK250" s="93" cm="1">
        <f t="array" ref="DK250">SUMPRODUCT(TRANSPOSE(DK$4:DK$20),$G250:$W250)</f>
        <v>0</v>
      </c>
      <c r="DL250" s="93" cm="1">
        <f t="array" ref="DL250">SUMPRODUCT(TRANSPOSE(DL$4:DL$20),$G250:$W250)</f>
        <v>0</v>
      </c>
      <c r="DM250" s="93" cm="1">
        <f t="array" ref="DM250">SUMPRODUCT(TRANSPOSE(DM$4:DM$20),$G250:$W250)</f>
        <v>0</v>
      </c>
      <c r="DN250" s="93" cm="1">
        <f t="array" ref="DN250">SUMPRODUCT(TRANSPOSE(DN$4:DN$20),$G250:$W250)</f>
        <v>0</v>
      </c>
      <c r="DO250" s="93" cm="1">
        <f t="array" ref="DO250">SUMPRODUCT(TRANSPOSE(DO$4:DO$20),$G250:$W250)</f>
        <v>0</v>
      </c>
    </row>
    <row r="251" spans="1:119" x14ac:dyDescent="0.2">
      <c r="A251" s="45">
        <f t="shared" si="29"/>
        <v>230</v>
      </c>
      <c r="B251" s="46" t="s">
        <v>594</v>
      </c>
      <c r="C251" s="45">
        <v>400391792</v>
      </c>
      <c r="D251" s="45" t="s">
        <v>390</v>
      </c>
      <c r="E251" s="45" t="s">
        <v>162</v>
      </c>
      <c r="F251" s="48">
        <v>2</v>
      </c>
      <c r="G251" s="100">
        <v>0</v>
      </c>
      <c r="H251" s="100">
        <v>0</v>
      </c>
      <c r="I251" s="100">
        <v>0</v>
      </c>
      <c r="J251" s="100">
        <v>0</v>
      </c>
      <c r="K251" s="100">
        <v>0</v>
      </c>
      <c r="L251" s="100">
        <v>0</v>
      </c>
      <c r="M251" s="100">
        <v>0</v>
      </c>
      <c r="N251" s="100">
        <v>0</v>
      </c>
      <c r="O251" s="100">
        <v>0</v>
      </c>
      <c r="P251" s="100">
        <v>0</v>
      </c>
      <c r="Q251" s="100">
        <v>1</v>
      </c>
      <c r="R251" s="100">
        <v>0</v>
      </c>
      <c r="S251" s="100">
        <v>0</v>
      </c>
      <c r="T251" s="100">
        <v>0</v>
      </c>
      <c r="U251" s="100">
        <v>1</v>
      </c>
      <c r="V251" s="100">
        <v>0</v>
      </c>
      <c r="W251" s="100">
        <v>0</v>
      </c>
      <c r="X251" s="45" t="s">
        <v>63</v>
      </c>
      <c r="Y251" s="49">
        <v>0.12992000000000001</v>
      </c>
      <c r="Z251" s="45">
        <v>2500</v>
      </c>
      <c r="AA251" s="45">
        <v>0</v>
      </c>
      <c r="AB251" s="45">
        <v>0</v>
      </c>
      <c r="AC251" s="45">
        <v>0</v>
      </c>
      <c r="AD251" s="45">
        <v>0</v>
      </c>
      <c r="AE251" s="45">
        <v>0</v>
      </c>
      <c r="AF251" s="45">
        <v>0</v>
      </c>
      <c r="AG251" s="45">
        <v>0</v>
      </c>
      <c r="AH251" s="45">
        <v>0</v>
      </c>
      <c r="AI251" s="45">
        <v>0</v>
      </c>
      <c r="AJ251" s="45">
        <v>0</v>
      </c>
      <c r="AK251" s="45">
        <v>0</v>
      </c>
      <c r="AL251" s="45">
        <v>0</v>
      </c>
      <c r="AM251" s="45">
        <v>0</v>
      </c>
      <c r="AN251" s="45">
        <v>0</v>
      </c>
      <c r="AO251" s="45"/>
      <c r="AP251" s="45"/>
      <c r="AQ251" s="45"/>
      <c r="AR251" s="45"/>
      <c r="AS251" s="45"/>
      <c r="AT251" s="45"/>
      <c r="AU251" s="45"/>
      <c r="AV251" s="45"/>
      <c r="AW251" s="45"/>
      <c r="AX251" s="45"/>
      <c r="AY251" s="45"/>
      <c r="AZ251" s="45"/>
      <c r="BA251" s="45"/>
      <c r="BB251" s="45"/>
      <c r="BC251" s="45"/>
      <c r="BD251" s="93"/>
      <c r="BE251" s="93"/>
      <c r="BF251" s="93"/>
      <c r="BG251" s="93"/>
      <c r="BH251" s="93"/>
      <c r="BI251" s="93"/>
      <c r="BJ251" s="93"/>
      <c r="BK251" s="93">
        <f>SUM($Z251:AD251)-SUM($CM251:CQ251)</f>
        <v>2422</v>
      </c>
      <c r="BL251" s="93">
        <f>SUM($Z251:AE251)-SUM($CM251:CR251)</f>
        <v>2352</v>
      </c>
      <c r="BM251" s="93">
        <f>SUM($Z251:AF251)-SUM($CM251:CS251)</f>
        <v>2287</v>
      </c>
      <c r="BN251" s="93">
        <f>SUM($Z251:AG251)-SUM($CM251:CT251)</f>
        <v>2227</v>
      </c>
      <c r="BO251" s="93">
        <f>SUM($Z251:AH251)-SUM($CM251:CU251)</f>
        <v>2167</v>
      </c>
      <c r="BP251" s="93">
        <f>SUM($Z251:AI251)-SUM($CM251:CV251)</f>
        <v>2107</v>
      </c>
      <c r="BQ251" s="93">
        <f>SUM($Z251:AJ251)-SUM($CM251:CW251)</f>
        <v>2047</v>
      </c>
      <c r="BR251" s="93">
        <f>SUM($Z251:AK251)-SUM($CM251:CX251)</f>
        <v>1987</v>
      </c>
      <c r="BS251" s="93">
        <f>SUM($Z251:AL251)-SUM($CM251:CY251)</f>
        <v>1927</v>
      </c>
      <c r="BT251" s="93">
        <f>SUM($Z251:AM251)-SUM($CM251:CZ251)</f>
        <v>1867</v>
      </c>
      <c r="BU251" s="93">
        <f>SUM($Z251:AN251)-SUM($CM251:DA251)</f>
        <v>1807</v>
      </c>
      <c r="BV251" s="93">
        <f>SUM($Z251:AO251)-SUM($CM251:DB251)</f>
        <v>1793</v>
      </c>
      <c r="BW251" s="93">
        <f>SUM($Z251:AP251)-SUM($CM251:DC251)</f>
        <v>1793</v>
      </c>
      <c r="BX251" s="93">
        <f>SUM($Z251:AQ251)-SUM($CM251:DD251)</f>
        <v>1793</v>
      </c>
      <c r="BY251" s="93">
        <f>SUM($Z251:AR251)-SUM($CM251:DE251)</f>
        <v>1793</v>
      </c>
      <c r="BZ251" s="93">
        <f>SUM($Z251:AS251)-SUM($CM251:DF251)</f>
        <v>1793</v>
      </c>
      <c r="CA251" s="93">
        <f>SUM($Z251:AT251)-SUM($CM251:DG251)</f>
        <v>1793</v>
      </c>
      <c r="CB251" s="93">
        <f>SUM($Z251:AU251)-SUM($CM251:DH251)</f>
        <v>1793</v>
      </c>
      <c r="CC251" s="93">
        <f>SUM($Z251:AV251)-SUM($CM251:DI251)</f>
        <v>1793</v>
      </c>
      <c r="CD251" s="93">
        <f>SUM($Z251:AW251)-SUM($CM251:DJ251)</f>
        <v>1793</v>
      </c>
      <c r="CE251" s="93">
        <f>SUM($Z251:AX251)-SUM($CM251:DK251)</f>
        <v>1793</v>
      </c>
      <c r="CF251" s="93">
        <f>SUM($Z251:AY251)-SUM($CM251:DL251)</f>
        <v>1793</v>
      </c>
      <c r="CG251" s="93">
        <f>SUM($Z251:AZ251)-SUM($CM251:DM251)</f>
        <v>1793</v>
      </c>
      <c r="CH251" s="93">
        <f>SUM($Z251:BA251)-SUM($CM251:DN251)</f>
        <v>1793</v>
      </c>
      <c r="CI251" s="93">
        <f>SUM($Z251:BB251)-SUM($CM251:DO251)</f>
        <v>1793</v>
      </c>
      <c r="CJ251" s="93"/>
      <c r="CK251" s="93"/>
      <c r="CL251" s="93"/>
      <c r="CM251" s="93"/>
      <c r="CN251" s="93" cm="1">
        <f t="array" ref="CN251">SUMPRODUCT(TRANSPOSE(CN$4:CN$20),$G251:$W251)</f>
        <v>0</v>
      </c>
      <c r="CO251" s="93" cm="1">
        <f t="array" ref="CO251">SUMPRODUCT(TRANSPOSE(CO$4:CO$20),$G251:$W251)</f>
        <v>0</v>
      </c>
      <c r="CP251" s="93" cm="1">
        <f t="array" ref="CP251">SUMPRODUCT(TRANSPOSE(CP$4:CP$20),$G251:$W251)</f>
        <v>0</v>
      </c>
      <c r="CQ251" s="93" cm="1">
        <f t="array" ref="CQ251">SUMPRODUCT(TRANSPOSE(CQ$4:CQ$20),$G251:$W251)</f>
        <v>78</v>
      </c>
      <c r="CR251" s="93" cm="1">
        <f t="array" ref="CR251">SUMPRODUCT(TRANSPOSE(CR$4:CR$20),$G251:$W251)</f>
        <v>70</v>
      </c>
      <c r="CS251" s="93" cm="1">
        <f t="array" ref="CS251">SUMPRODUCT(TRANSPOSE(CS$4:CS$20),$G251:$W251)</f>
        <v>65</v>
      </c>
      <c r="CT251" s="93" cm="1">
        <f t="array" ref="CT251">SUMPRODUCT(TRANSPOSE(CT$4:CT$20),$G251:$W251)</f>
        <v>60</v>
      </c>
      <c r="CU251" s="93" cm="1">
        <f t="array" ref="CU251">SUMPRODUCT(TRANSPOSE(CU$4:CU$20),$G251:$W251)</f>
        <v>60</v>
      </c>
      <c r="CV251" s="93" cm="1">
        <f t="array" ref="CV251">SUMPRODUCT(TRANSPOSE(CV$4:CV$20),$G251:$W251)</f>
        <v>60</v>
      </c>
      <c r="CW251" s="93" cm="1">
        <f t="array" ref="CW251">SUMPRODUCT(TRANSPOSE(CW$4:CW$20),$G251:$W251)</f>
        <v>60</v>
      </c>
      <c r="CX251" s="93" cm="1">
        <f t="array" ref="CX251">SUMPRODUCT(TRANSPOSE(CX$4:CX$20),$G251:$W251)</f>
        <v>60</v>
      </c>
      <c r="CY251" s="93" cm="1">
        <f t="array" ref="CY251">SUMPRODUCT(TRANSPOSE(CY$4:CY$20),$G251:$W251)</f>
        <v>60</v>
      </c>
      <c r="CZ251" s="93" cm="1">
        <f t="array" ref="CZ251">SUMPRODUCT(TRANSPOSE(CZ$4:CZ$20),$G251:$W251)</f>
        <v>60</v>
      </c>
      <c r="DA251" s="93" cm="1">
        <f t="array" ref="DA251">SUMPRODUCT(TRANSPOSE(DA$4:DA$20),$G251:$W251)</f>
        <v>60</v>
      </c>
      <c r="DB251" s="93" cm="1">
        <f t="array" ref="DB251">SUMPRODUCT(TRANSPOSE(DB$4:DB$20),$G251:$W251)</f>
        <v>14</v>
      </c>
      <c r="DC251" s="93" cm="1">
        <f t="array" ref="DC251">SUMPRODUCT(TRANSPOSE(DC$4:DC$20),$G251:$W251)</f>
        <v>0</v>
      </c>
      <c r="DD251" s="93" cm="1">
        <f t="array" ref="DD251">SUMPRODUCT(TRANSPOSE(DD$4:DD$20),$G251:$W251)</f>
        <v>0</v>
      </c>
      <c r="DE251" s="93" cm="1">
        <f t="array" ref="DE251">SUMPRODUCT(TRANSPOSE(DE$4:DE$20),$G251:$W251)</f>
        <v>0</v>
      </c>
      <c r="DF251" s="93" cm="1">
        <f t="array" ref="DF251">SUMPRODUCT(TRANSPOSE(DF$4:DF$20),$G251:$W251)</f>
        <v>0</v>
      </c>
      <c r="DG251" s="93" cm="1">
        <f t="array" ref="DG251">SUMPRODUCT(TRANSPOSE(DG$4:DG$20),$G251:$W251)</f>
        <v>0</v>
      </c>
      <c r="DH251" s="93" cm="1">
        <f t="array" ref="DH251">SUMPRODUCT(TRANSPOSE(DH$4:DH$20),$G251:$W251)</f>
        <v>0</v>
      </c>
      <c r="DI251" s="93" cm="1">
        <f t="array" ref="DI251">SUMPRODUCT(TRANSPOSE(DI$4:DI$20),$G251:$W251)</f>
        <v>0</v>
      </c>
      <c r="DJ251" s="93" cm="1">
        <f t="array" ref="DJ251">SUMPRODUCT(TRANSPOSE(DJ$4:DJ$20),$G251:$W251)</f>
        <v>0</v>
      </c>
      <c r="DK251" s="93" cm="1">
        <f t="array" ref="DK251">SUMPRODUCT(TRANSPOSE(DK$4:DK$20),$G251:$W251)</f>
        <v>0</v>
      </c>
      <c r="DL251" s="93" cm="1">
        <f t="array" ref="DL251">SUMPRODUCT(TRANSPOSE(DL$4:DL$20),$G251:$W251)</f>
        <v>0</v>
      </c>
      <c r="DM251" s="93" cm="1">
        <f t="array" ref="DM251">SUMPRODUCT(TRANSPOSE(DM$4:DM$20),$G251:$W251)</f>
        <v>0</v>
      </c>
      <c r="DN251" s="93" cm="1">
        <f t="array" ref="DN251">SUMPRODUCT(TRANSPOSE(DN$4:DN$20),$G251:$W251)</f>
        <v>0</v>
      </c>
      <c r="DO251" s="93" cm="1">
        <f t="array" ref="DO251">SUMPRODUCT(TRANSPOSE(DO$4:DO$20),$G251:$W251)</f>
        <v>0</v>
      </c>
    </row>
    <row r="252" spans="1:119" x14ac:dyDescent="0.2">
      <c r="A252" s="45">
        <f t="shared" si="29"/>
        <v>231</v>
      </c>
      <c r="B252" s="46" t="s">
        <v>595</v>
      </c>
      <c r="C252" s="45">
        <v>400149265</v>
      </c>
      <c r="D252" s="45" t="s">
        <v>596</v>
      </c>
      <c r="E252" s="45" t="s">
        <v>162</v>
      </c>
      <c r="F252" s="48">
        <v>2</v>
      </c>
      <c r="G252" s="100">
        <v>0</v>
      </c>
      <c r="H252" s="100">
        <v>0</v>
      </c>
      <c r="I252" s="100">
        <v>0</v>
      </c>
      <c r="J252" s="100">
        <v>0</v>
      </c>
      <c r="K252" s="100">
        <v>0</v>
      </c>
      <c r="L252" s="100">
        <v>0</v>
      </c>
      <c r="M252" s="100">
        <v>0</v>
      </c>
      <c r="N252" s="100">
        <v>0</v>
      </c>
      <c r="O252" s="100">
        <v>0</v>
      </c>
      <c r="P252" s="100">
        <v>0</v>
      </c>
      <c r="Q252" s="100">
        <v>34</v>
      </c>
      <c r="R252" s="100">
        <v>15</v>
      </c>
      <c r="S252" s="100">
        <v>0</v>
      </c>
      <c r="T252" s="100">
        <v>0</v>
      </c>
      <c r="U252" s="100">
        <v>0</v>
      </c>
      <c r="V252" s="100">
        <v>15</v>
      </c>
      <c r="W252" s="100">
        <v>0</v>
      </c>
      <c r="X252" s="45" t="s">
        <v>64</v>
      </c>
      <c r="Y252" s="49">
        <v>3.9E-2</v>
      </c>
      <c r="Z252" s="45">
        <v>40000</v>
      </c>
      <c r="AA252" s="45">
        <v>0</v>
      </c>
      <c r="AB252" s="45">
        <v>0</v>
      </c>
      <c r="AC252" s="45">
        <v>0</v>
      </c>
      <c r="AD252" s="45">
        <v>0</v>
      </c>
      <c r="AE252" s="45">
        <v>0</v>
      </c>
      <c r="AF252" s="45">
        <v>0</v>
      </c>
      <c r="AG252" s="45">
        <v>0</v>
      </c>
      <c r="AH252" s="45">
        <v>0</v>
      </c>
      <c r="AI252" s="45">
        <v>0</v>
      </c>
      <c r="AJ252" s="45">
        <v>0</v>
      </c>
      <c r="AK252" s="45">
        <v>0</v>
      </c>
      <c r="AL252" s="45">
        <v>0</v>
      </c>
      <c r="AM252" s="45">
        <v>0</v>
      </c>
      <c r="AN252" s="45">
        <v>0</v>
      </c>
      <c r="AO252" s="45"/>
      <c r="AP252" s="45"/>
      <c r="AQ252" s="45"/>
      <c r="AR252" s="45"/>
      <c r="AS252" s="45"/>
      <c r="AT252" s="45"/>
      <c r="AU252" s="45"/>
      <c r="AV252" s="45"/>
      <c r="AW252" s="45"/>
      <c r="AX252" s="45"/>
      <c r="AY252" s="45"/>
      <c r="AZ252" s="45"/>
      <c r="BA252" s="45"/>
      <c r="BB252" s="45"/>
      <c r="BC252" s="45"/>
      <c r="BD252" s="93"/>
      <c r="BE252" s="93"/>
      <c r="BF252" s="93"/>
      <c r="BG252" s="93"/>
      <c r="BH252" s="93"/>
      <c r="BI252" s="93"/>
      <c r="BJ252" s="93"/>
      <c r="BK252" s="93">
        <f>SUM($Z252:AD252)-SUM($CM252:CQ252)</f>
        <v>37760</v>
      </c>
      <c r="BL252" s="93">
        <f>SUM($Z252:AE252)-SUM($CM252:CR252)</f>
        <v>35520</v>
      </c>
      <c r="BM252" s="93">
        <f>SUM($Z252:AF252)-SUM($CM252:CS252)</f>
        <v>33280</v>
      </c>
      <c r="BN252" s="93">
        <f>SUM($Z252:AG252)-SUM($CM252:CT252)</f>
        <v>31210</v>
      </c>
      <c r="BO252" s="93">
        <f>SUM($Z252:AH252)-SUM($CM252:CU252)</f>
        <v>29140</v>
      </c>
      <c r="BP252" s="93">
        <f>SUM($Z252:AI252)-SUM($CM252:CV252)</f>
        <v>27070</v>
      </c>
      <c r="BQ252" s="93">
        <f>SUM($Z252:AJ252)-SUM($CM252:CW252)</f>
        <v>25000</v>
      </c>
      <c r="BR252" s="93">
        <f>SUM($Z252:AK252)-SUM($CM252:CX252)</f>
        <v>22930</v>
      </c>
      <c r="BS252" s="93">
        <f>SUM($Z252:AL252)-SUM($CM252:CY252)</f>
        <v>20860</v>
      </c>
      <c r="BT252" s="93">
        <f>SUM($Z252:AM252)-SUM($CM252:CZ252)</f>
        <v>19315</v>
      </c>
      <c r="BU252" s="93">
        <f>SUM($Z252:AN252)-SUM($CM252:DA252)</f>
        <v>18295</v>
      </c>
      <c r="BV252" s="93">
        <f>SUM($Z252:AO252)-SUM($CM252:DB252)</f>
        <v>17819</v>
      </c>
      <c r="BW252" s="93">
        <f>SUM($Z252:AP252)-SUM($CM252:DC252)</f>
        <v>17819</v>
      </c>
      <c r="BX252" s="93">
        <f>SUM($Z252:AQ252)-SUM($CM252:DD252)</f>
        <v>17819</v>
      </c>
      <c r="BY252" s="93">
        <f>SUM($Z252:AR252)-SUM($CM252:DE252)</f>
        <v>17819</v>
      </c>
      <c r="BZ252" s="93">
        <f>SUM($Z252:AS252)-SUM($CM252:DF252)</f>
        <v>17819</v>
      </c>
      <c r="CA252" s="93">
        <f>SUM($Z252:AT252)-SUM($CM252:DG252)</f>
        <v>17819</v>
      </c>
      <c r="CB252" s="93">
        <f>SUM($Z252:AU252)-SUM($CM252:DH252)</f>
        <v>17819</v>
      </c>
      <c r="CC252" s="93">
        <f>SUM($Z252:AV252)-SUM($CM252:DI252)</f>
        <v>17819</v>
      </c>
      <c r="CD252" s="93">
        <f>SUM($Z252:AW252)-SUM($CM252:DJ252)</f>
        <v>17819</v>
      </c>
      <c r="CE252" s="93">
        <f>SUM($Z252:AX252)-SUM($CM252:DK252)</f>
        <v>17819</v>
      </c>
      <c r="CF252" s="93">
        <f>SUM($Z252:AY252)-SUM($CM252:DL252)</f>
        <v>17819</v>
      </c>
      <c r="CG252" s="93">
        <f>SUM($Z252:AZ252)-SUM($CM252:DM252)</f>
        <v>17819</v>
      </c>
      <c r="CH252" s="93">
        <f>SUM($Z252:BA252)-SUM($CM252:DN252)</f>
        <v>17819</v>
      </c>
      <c r="CI252" s="93">
        <f>SUM($Z252:BB252)-SUM($CM252:DO252)</f>
        <v>17819</v>
      </c>
      <c r="CJ252" s="93"/>
      <c r="CK252" s="93"/>
      <c r="CL252" s="93"/>
      <c r="CM252" s="93"/>
      <c r="CN252" s="93" cm="1">
        <f t="array" ref="CN252">SUMPRODUCT(TRANSPOSE(CN$4:CN$20),$G252:$W252)</f>
        <v>0</v>
      </c>
      <c r="CO252" s="93" cm="1">
        <f t="array" ref="CO252">SUMPRODUCT(TRANSPOSE(CO$4:CO$20),$G252:$W252)</f>
        <v>0</v>
      </c>
      <c r="CP252" s="93" cm="1">
        <f t="array" ref="CP252">SUMPRODUCT(TRANSPOSE(CP$4:CP$20),$G252:$W252)</f>
        <v>0</v>
      </c>
      <c r="CQ252" s="93" cm="1">
        <f t="array" ref="CQ252">SUMPRODUCT(TRANSPOSE(CQ$4:CQ$20),$G252:$W252)</f>
        <v>2240</v>
      </c>
      <c r="CR252" s="93" cm="1">
        <f t="array" ref="CR252">SUMPRODUCT(TRANSPOSE(CR$4:CR$20),$G252:$W252)</f>
        <v>2240</v>
      </c>
      <c r="CS252" s="93" cm="1">
        <f t="array" ref="CS252">SUMPRODUCT(TRANSPOSE(CS$4:CS$20),$G252:$W252)</f>
        <v>2240</v>
      </c>
      <c r="CT252" s="93" cm="1">
        <f t="array" ref="CT252">SUMPRODUCT(TRANSPOSE(CT$4:CT$20),$G252:$W252)</f>
        <v>2070</v>
      </c>
      <c r="CU252" s="93" cm="1">
        <f t="array" ref="CU252">SUMPRODUCT(TRANSPOSE(CU$4:CU$20),$G252:$W252)</f>
        <v>2070</v>
      </c>
      <c r="CV252" s="93" cm="1">
        <f t="array" ref="CV252">SUMPRODUCT(TRANSPOSE(CV$4:CV$20),$G252:$W252)</f>
        <v>2070</v>
      </c>
      <c r="CW252" s="93" cm="1">
        <f t="array" ref="CW252">SUMPRODUCT(TRANSPOSE(CW$4:CW$20),$G252:$W252)</f>
        <v>2070</v>
      </c>
      <c r="CX252" s="93" cm="1">
        <f t="array" ref="CX252">SUMPRODUCT(TRANSPOSE(CX$4:CX$20),$G252:$W252)</f>
        <v>2070</v>
      </c>
      <c r="CY252" s="93" cm="1">
        <f t="array" ref="CY252">SUMPRODUCT(TRANSPOSE(CY$4:CY$20),$G252:$W252)</f>
        <v>2070</v>
      </c>
      <c r="CZ252" s="93" cm="1">
        <f t="array" ref="CZ252">SUMPRODUCT(TRANSPOSE(CZ$4:CZ$20),$G252:$W252)</f>
        <v>1545</v>
      </c>
      <c r="DA252" s="93" cm="1">
        <f t="array" ref="DA252">SUMPRODUCT(TRANSPOSE(DA$4:DA$20),$G252:$W252)</f>
        <v>1020</v>
      </c>
      <c r="DB252" s="93" cm="1">
        <f t="array" ref="DB252">SUMPRODUCT(TRANSPOSE(DB$4:DB$20),$G252:$W252)</f>
        <v>476</v>
      </c>
      <c r="DC252" s="93" cm="1">
        <f t="array" ref="DC252">SUMPRODUCT(TRANSPOSE(DC$4:DC$20),$G252:$W252)</f>
        <v>0</v>
      </c>
      <c r="DD252" s="93" cm="1">
        <f t="array" ref="DD252">SUMPRODUCT(TRANSPOSE(DD$4:DD$20),$G252:$W252)</f>
        <v>0</v>
      </c>
      <c r="DE252" s="93" cm="1">
        <f t="array" ref="DE252">SUMPRODUCT(TRANSPOSE(DE$4:DE$20),$G252:$W252)</f>
        <v>0</v>
      </c>
      <c r="DF252" s="93" cm="1">
        <f t="array" ref="DF252">SUMPRODUCT(TRANSPOSE(DF$4:DF$20),$G252:$W252)</f>
        <v>0</v>
      </c>
      <c r="DG252" s="93" cm="1">
        <f t="array" ref="DG252">SUMPRODUCT(TRANSPOSE(DG$4:DG$20),$G252:$W252)</f>
        <v>0</v>
      </c>
      <c r="DH252" s="93" cm="1">
        <f t="array" ref="DH252">SUMPRODUCT(TRANSPOSE(DH$4:DH$20),$G252:$W252)</f>
        <v>0</v>
      </c>
      <c r="DI252" s="93" cm="1">
        <f t="array" ref="DI252">SUMPRODUCT(TRANSPOSE(DI$4:DI$20),$G252:$W252)</f>
        <v>0</v>
      </c>
      <c r="DJ252" s="93" cm="1">
        <f t="array" ref="DJ252">SUMPRODUCT(TRANSPOSE(DJ$4:DJ$20),$G252:$W252)</f>
        <v>0</v>
      </c>
      <c r="DK252" s="93" cm="1">
        <f t="array" ref="DK252">SUMPRODUCT(TRANSPOSE(DK$4:DK$20),$G252:$W252)</f>
        <v>0</v>
      </c>
      <c r="DL252" s="93" cm="1">
        <f t="array" ref="DL252">SUMPRODUCT(TRANSPOSE(DL$4:DL$20),$G252:$W252)</f>
        <v>0</v>
      </c>
      <c r="DM252" s="93" cm="1">
        <f t="array" ref="DM252">SUMPRODUCT(TRANSPOSE(DM$4:DM$20),$G252:$W252)</f>
        <v>0</v>
      </c>
      <c r="DN252" s="93" cm="1">
        <f t="array" ref="DN252">SUMPRODUCT(TRANSPOSE(DN$4:DN$20),$G252:$W252)</f>
        <v>0</v>
      </c>
      <c r="DO252" s="93" cm="1">
        <f t="array" ref="DO252">SUMPRODUCT(TRANSPOSE(DO$4:DO$20),$G252:$W252)</f>
        <v>0</v>
      </c>
    </row>
    <row r="253" spans="1:119" x14ac:dyDescent="0.2">
      <c r="A253" s="45">
        <f t="shared" si="29"/>
        <v>232</v>
      </c>
      <c r="B253" s="46" t="s">
        <v>597</v>
      </c>
      <c r="C253" s="45">
        <v>400054690</v>
      </c>
      <c r="D253" s="45" t="s">
        <v>598</v>
      </c>
      <c r="E253" s="45" t="s">
        <v>162</v>
      </c>
      <c r="F253" s="48">
        <v>2</v>
      </c>
      <c r="G253" s="100">
        <v>0</v>
      </c>
      <c r="H253" s="100">
        <v>0</v>
      </c>
      <c r="I253" s="100">
        <v>0</v>
      </c>
      <c r="J253" s="100">
        <v>0</v>
      </c>
      <c r="K253" s="100">
        <v>0</v>
      </c>
      <c r="L253" s="100">
        <v>0</v>
      </c>
      <c r="M253" s="100">
        <v>0</v>
      </c>
      <c r="N253" s="100">
        <v>0</v>
      </c>
      <c r="O253" s="100">
        <v>0</v>
      </c>
      <c r="P253" s="100">
        <v>0</v>
      </c>
      <c r="Q253" s="100">
        <v>34</v>
      </c>
      <c r="R253" s="100">
        <v>0</v>
      </c>
      <c r="S253" s="100">
        <v>0</v>
      </c>
      <c r="T253" s="100">
        <v>0</v>
      </c>
      <c r="U253" s="100">
        <v>0</v>
      </c>
      <c r="V253" s="100">
        <v>0</v>
      </c>
      <c r="W253" s="100">
        <v>0</v>
      </c>
      <c r="X253" s="45" t="s">
        <v>63</v>
      </c>
      <c r="Y253" s="49">
        <v>1.456E-2</v>
      </c>
      <c r="Z253" s="45">
        <v>72000</v>
      </c>
      <c r="AA253" s="45">
        <v>0</v>
      </c>
      <c r="AB253" s="45">
        <v>0</v>
      </c>
      <c r="AC253" s="45">
        <v>0</v>
      </c>
      <c r="AD253" s="45">
        <v>0</v>
      </c>
      <c r="AE253" s="45">
        <v>0</v>
      </c>
      <c r="AF253" s="45">
        <v>0</v>
      </c>
      <c r="AG253" s="45">
        <v>0</v>
      </c>
      <c r="AH253" s="45">
        <v>0</v>
      </c>
      <c r="AI253" s="45">
        <v>0</v>
      </c>
      <c r="AJ253" s="45">
        <v>0</v>
      </c>
      <c r="AK253" s="45">
        <v>0</v>
      </c>
      <c r="AL253" s="45">
        <v>0</v>
      </c>
      <c r="AM253" s="45">
        <v>0</v>
      </c>
      <c r="AN253" s="45">
        <v>0</v>
      </c>
      <c r="AO253" s="45"/>
      <c r="AP253" s="45"/>
      <c r="AQ253" s="45"/>
      <c r="AR253" s="45"/>
      <c r="AS253" s="45"/>
      <c r="AT253" s="45"/>
      <c r="AU253" s="45"/>
      <c r="AV253" s="45"/>
      <c r="AW253" s="45"/>
      <c r="AX253" s="45"/>
      <c r="AY253" s="45"/>
      <c r="AZ253" s="45"/>
      <c r="BA253" s="45"/>
      <c r="BB253" s="45"/>
      <c r="BC253" s="45"/>
      <c r="BD253" s="93"/>
      <c r="BE253" s="93"/>
      <c r="BF253" s="93"/>
      <c r="BG253" s="93"/>
      <c r="BH253" s="93"/>
      <c r="BI253" s="93"/>
      <c r="BJ253" s="93"/>
      <c r="BK253" s="93">
        <f>SUM($Z253:AD253)-SUM($CM253:CQ253)</f>
        <v>70810</v>
      </c>
      <c r="BL253" s="93">
        <f>SUM($Z253:AE253)-SUM($CM253:CR253)</f>
        <v>69620</v>
      </c>
      <c r="BM253" s="93">
        <f>SUM($Z253:AF253)-SUM($CM253:CS253)</f>
        <v>68430</v>
      </c>
      <c r="BN253" s="93">
        <f>SUM($Z253:AG253)-SUM($CM253:CT253)</f>
        <v>67410</v>
      </c>
      <c r="BO253" s="93">
        <f>SUM($Z253:AH253)-SUM($CM253:CU253)</f>
        <v>66390</v>
      </c>
      <c r="BP253" s="93">
        <f>SUM($Z253:AI253)-SUM($CM253:CV253)</f>
        <v>65370</v>
      </c>
      <c r="BQ253" s="93">
        <f>SUM($Z253:AJ253)-SUM($CM253:CW253)</f>
        <v>64350</v>
      </c>
      <c r="BR253" s="93">
        <f>SUM($Z253:AK253)-SUM($CM253:CX253)</f>
        <v>63330</v>
      </c>
      <c r="BS253" s="93">
        <f>SUM($Z253:AL253)-SUM($CM253:CY253)</f>
        <v>62310</v>
      </c>
      <c r="BT253" s="93">
        <f>SUM($Z253:AM253)-SUM($CM253:CZ253)</f>
        <v>61290</v>
      </c>
      <c r="BU253" s="93">
        <f>SUM($Z253:AN253)-SUM($CM253:DA253)</f>
        <v>60270</v>
      </c>
      <c r="BV253" s="93">
        <f>SUM($Z253:AO253)-SUM($CM253:DB253)</f>
        <v>59794</v>
      </c>
      <c r="BW253" s="93">
        <f>SUM($Z253:AP253)-SUM($CM253:DC253)</f>
        <v>59794</v>
      </c>
      <c r="BX253" s="93">
        <f>SUM($Z253:AQ253)-SUM($CM253:DD253)</f>
        <v>59794</v>
      </c>
      <c r="BY253" s="93">
        <f>SUM($Z253:AR253)-SUM($CM253:DE253)</f>
        <v>59794</v>
      </c>
      <c r="BZ253" s="93">
        <f>SUM($Z253:AS253)-SUM($CM253:DF253)</f>
        <v>59794</v>
      </c>
      <c r="CA253" s="93">
        <f>SUM($Z253:AT253)-SUM($CM253:DG253)</f>
        <v>59794</v>
      </c>
      <c r="CB253" s="93">
        <f>SUM($Z253:AU253)-SUM($CM253:DH253)</f>
        <v>59794</v>
      </c>
      <c r="CC253" s="93">
        <f>SUM($Z253:AV253)-SUM($CM253:DI253)</f>
        <v>59794</v>
      </c>
      <c r="CD253" s="93">
        <f>SUM($Z253:AW253)-SUM($CM253:DJ253)</f>
        <v>59794</v>
      </c>
      <c r="CE253" s="93">
        <f>SUM($Z253:AX253)-SUM($CM253:DK253)</f>
        <v>59794</v>
      </c>
      <c r="CF253" s="93">
        <f>SUM($Z253:AY253)-SUM($CM253:DL253)</f>
        <v>59794</v>
      </c>
      <c r="CG253" s="93">
        <f>SUM($Z253:AZ253)-SUM($CM253:DM253)</f>
        <v>59794</v>
      </c>
      <c r="CH253" s="93">
        <f>SUM($Z253:BA253)-SUM($CM253:DN253)</f>
        <v>59794</v>
      </c>
      <c r="CI253" s="93">
        <f>SUM($Z253:BB253)-SUM($CM253:DO253)</f>
        <v>59794</v>
      </c>
      <c r="CJ253" s="93"/>
      <c r="CK253" s="93"/>
      <c r="CL253" s="93"/>
      <c r="CM253" s="93"/>
      <c r="CN253" s="93" cm="1">
        <f t="array" ref="CN253">SUMPRODUCT(TRANSPOSE(CN$4:CN$20),$G253:$W253)</f>
        <v>0</v>
      </c>
      <c r="CO253" s="93" cm="1">
        <f t="array" ref="CO253">SUMPRODUCT(TRANSPOSE(CO$4:CO$20),$G253:$W253)</f>
        <v>0</v>
      </c>
      <c r="CP253" s="93" cm="1">
        <f t="array" ref="CP253">SUMPRODUCT(TRANSPOSE(CP$4:CP$20),$G253:$W253)</f>
        <v>0</v>
      </c>
      <c r="CQ253" s="93" cm="1">
        <f t="array" ref="CQ253">SUMPRODUCT(TRANSPOSE(CQ$4:CQ$20),$G253:$W253)</f>
        <v>1190</v>
      </c>
      <c r="CR253" s="93" cm="1">
        <f t="array" ref="CR253">SUMPRODUCT(TRANSPOSE(CR$4:CR$20),$G253:$W253)</f>
        <v>1190</v>
      </c>
      <c r="CS253" s="93" cm="1">
        <f t="array" ref="CS253">SUMPRODUCT(TRANSPOSE(CS$4:CS$20),$G253:$W253)</f>
        <v>1190</v>
      </c>
      <c r="CT253" s="93" cm="1">
        <f t="array" ref="CT253">SUMPRODUCT(TRANSPOSE(CT$4:CT$20),$G253:$W253)</f>
        <v>1020</v>
      </c>
      <c r="CU253" s="93" cm="1">
        <f t="array" ref="CU253">SUMPRODUCT(TRANSPOSE(CU$4:CU$20),$G253:$W253)</f>
        <v>1020</v>
      </c>
      <c r="CV253" s="93" cm="1">
        <f t="array" ref="CV253">SUMPRODUCT(TRANSPOSE(CV$4:CV$20),$G253:$W253)</f>
        <v>1020</v>
      </c>
      <c r="CW253" s="93" cm="1">
        <f t="array" ref="CW253">SUMPRODUCT(TRANSPOSE(CW$4:CW$20),$G253:$W253)</f>
        <v>1020</v>
      </c>
      <c r="CX253" s="93" cm="1">
        <f t="array" ref="CX253">SUMPRODUCT(TRANSPOSE(CX$4:CX$20),$G253:$W253)</f>
        <v>1020</v>
      </c>
      <c r="CY253" s="93" cm="1">
        <f t="array" ref="CY253">SUMPRODUCT(TRANSPOSE(CY$4:CY$20),$G253:$W253)</f>
        <v>1020</v>
      </c>
      <c r="CZ253" s="93" cm="1">
        <f t="array" ref="CZ253">SUMPRODUCT(TRANSPOSE(CZ$4:CZ$20),$G253:$W253)</f>
        <v>1020</v>
      </c>
      <c r="DA253" s="93" cm="1">
        <f t="array" ref="DA253">SUMPRODUCT(TRANSPOSE(DA$4:DA$20),$G253:$W253)</f>
        <v>1020</v>
      </c>
      <c r="DB253" s="93" cm="1">
        <f t="array" ref="DB253">SUMPRODUCT(TRANSPOSE(DB$4:DB$20),$G253:$W253)</f>
        <v>476</v>
      </c>
      <c r="DC253" s="93" cm="1">
        <f t="array" ref="DC253">SUMPRODUCT(TRANSPOSE(DC$4:DC$20),$G253:$W253)</f>
        <v>0</v>
      </c>
      <c r="DD253" s="93" cm="1">
        <f t="array" ref="DD253">SUMPRODUCT(TRANSPOSE(DD$4:DD$20),$G253:$W253)</f>
        <v>0</v>
      </c>
      <c r="DE253" s="93" cm="1">
        <f t="array" ref="DE253">SUMPRODUCT(TRANSPOSE(DE$4:DE$20),$G253:$W253)</f>
        <v>0</v>
      </c>
      <c r="DF253" s="93" cm="1">
        <f t="array" ref="DF253">SUMPRODUCT(TRANSPOSE(DF$4:DF$20),$G253:$W253)</f>
        <v>0</v>
      </c>
      <c r="DG253" s="93" cm="1">
        <f t="array" ref="DG253">SUMPRODUCT(TRANSPOSE(DG$4:DG$20),$G253:$W253)</f>
        <v>0</v>
      </c>
      <c r="DH253" s="93" cm="1">
        <f t="array" ref="DH253">SUMPRODUCT(TRANSPOSE(DH$4:DH$20),$G253:$W253)</f>
        <v>0</v>
      </c>
      <c r="DI253" s="93" cm="1">
        <f t="array" ref="DI253">SUMPRODUCT(TRANSPOSE(DI$4:DI$20),$G253:$W253)</f>
        <v>0</v>
      </c>
      <c r="DJ253" s="93" cm="1">
        <f t="array" ref="DJ253">SUMPRODUCT(TRANSPOSE(DJ$4:DJ$20),$G253:$W253)</f>
        <v>0</v>
      </c>
      <c r="DK253" s="93" cm="1">
        <f t="array" ref="DK253">SUMPRODUCT(TRANSPOSE(DK$4:DK$20),$G253:$W253)</f>
        <v>0</v>
      </c>
      <c r="DL253" s="93" cm="1">
        <f t="array" ref="DL253">SUMPRODUCT(TRANSPOSE(DL$4:DL$20),$G253:$W253)</f>
        <v>0</v>
      </c>
      <c r="DM253" s="93" cm="1">
        <f t="array" ref="DM253">SUMPRODUCT(TRANSPOSE(DM$4:DM$20),$G253:$W253)</f>
        <v>0</v>
      </c>
      <c r="DN253" s="93" cm="1">
        <f t="array" ref="DN253">SUMPRODUCT(TRANSPOSE(DN$4:DN$20),$G253:$W253)</f>
        <v>0</v>
      </c>
      <c r="DO253" s="93" cm="1">
        <f t="array" ref="DO253">SUMPRODUCT(TRANSPOSE(DO$4:DO$20),$G253:$W253)</f>
        <v>0</v>
      </c>
    </row>
    <row r="254" spans="1:119" x14ac:dyDescent="0.2">
      <c r="A254" s="45">
        <f t="shared" si="29"/>
        <v>233</v>
      </c>
      <c r="B254" s="46" t="s">
        <v>599</v>
      </c>
      <c r="C254" s="45">
        <v>400068581</v>
      </c>
      <c r="D254" s="45" t="s">
        <v>600</v>
      </c>
      <c r="E254" s="45" t="s">
        <v>162</v>
      </c>
      <c r="F254" s="48">
        <v>2</v>
      </c>
      <c r="G254" s="100">
        <v>0</v>
      </c>
      <c r="H254" s="100">
        <v>0</v>
      </c>
      <c r="I254" s="100">
        <v>0</v>
      </c>
      <c r="J254" s="100">
        <v>0</v>
      </c>
      <c r="K254" s="100">
        <v>0</v>
      </c>
      <c r="L254" s="100">
        <v>0</v>
      </c>
      <c r="M254" s="100">
        <v>0</v>
      </c>
      <c r="N254" s="100">
        <v>0</v>
      </c>
      <c r="O254" s="100">
        <v>0</v>
      </c>
      <c r="P254" s="100">
        <v>0</v>
      </c>
      <c r="Q254" s="100">
        <v>1</v>
      </c>
      <c r="R254" s="100">
        <v>0</v>
      </c>
      <c r="S254" s="100">
        <v>0</v>
      </c>
      <c r="T254" s="100">
        <v>0</v>
      </c>
      <c r="U254" s="100">
        <v>1</v>
      </c>
      <c r="V254" s="100">
        <v>0</v>
      </c>
      <c r="W254" s="100">
        <v>0</v>
      </c>
      <c r="X254" s="45" t="s">
        <v>63</v>
      </c>
      <c r="Y254" s="49">
        <v>1.8815999999999999E-2</v>
      </c>
      <c r="Z254" s="45">
        <v>3000</v>
      </c>
      <c r="AA254" s="45">
        <v>0</v>
      </c>
      <c r="AB254" s="45">
        <v>0</v>
      </c>
      <c r="AC254" s="45">
        <v>0</v>
      </c>
      <c r="AD254" s="45">
        <v>0</v>
      </c>
      <c r="AE254" s="45">
        <v>0</v>
      </c>
      <c r="AF254" s="45">
        <v>0</v>
      </c>
      <c r="AG254" s="45">
        <v>0</v>
      </c>
      <c r="AH254" s="45">
        <v>0</v>
      </c>
      <c r="AI254" s="45">
        <v>0</v>
      </c>
      <c r="AJ254" s="45">
        <v>0</v>
      </c>
      <c r="AK254" s="45">
        <v>0</v>
      </c>
      <c r="AL254" s="45">
        <v>0</v>
      </c>
      <c r="AM254" s="45">
        <v>0</v>
      </c>
      <c r="AN254" s="45">
        <v>0</v>
      </c>
      <c r="AO254" s="45"/>
      <c r="AP254" s="45"/>
      <c r="AQ254" s="45"/>
      <c r="AR254" s="45"/>
      <c r="AS254" s="45"/>
      <c r="AT254" s="45"/>
      <c r="AU254" s="45"/>
      <c r="AV254" s="45"/>
      <c r="AW254" s="45"/>
      <c r="AX254" s="45"/>
      <c r="AY254" s="45"/>
      <c r="AZ254" s="45"/>
      <c r="BA254" s="45"/>
      <c r="BB254" s="45"/>
      <c r="BC254" s="45"/>
      <c r="BD254" s="93"/>
      <c r="BE254" s="93"/>
      <c r="BF254" s="93"/>
      <c r="BG254" s="93"/>
      <c r="BH254" s="93"/>
      <c r="BI254" s="93"/>
      <c r="BJ254" s="93"/>
      <c r="BK254" s="93">
        <f>SUM($Z254:AD254)-SUM($CM254:CQ254)</f>
        <v>2922</v>
      </c>
      <c r="BL254" s="93">
        <f>SUM($Z254:AE254)-SUM($CM254:CR254)</f>
        <v>2852</v>
      </c>
      <c r="BM254" s="93">
        <f>SUM($Z254:AF254)-SUM($CM254:CS254)</f>
        <v>2787</v>
      </c>
      <c r="BN254" s="93">
        <f>SUM($Z254:AG254)-SUM($CM254:CT254)</f>
        <v>2727</v>
      </c>
      <c r="BO254" s="93">
        <f>SUM($Z254:AH254)-SUM($CM254:CU254)</f>
        <v>2667</v>
      </c>
      <c r="BP254" s="93">
        <f>SUM($Z254:AI254)-SUM($CM254:CV254)</f>
        <v>2607</v>
      </c>
      <c r="BQ254" s="93">
        <f>SUM($Z254:AJ254)-SUM($CM254:CW254)</f>
        <v>2547</v>
      </c>
      <c r="BR254" s="93">
        <f>SUM($Z254:AK254)-SUM($CM254:CX254)</f>
        <v>2487</v>
      </c>
      <c r="BS254" s="93">
        <f>SUM($Z254:AL254)-SUM($CM254:CY254)</f>
        <v>2427</v>
      </c>
      <c r="BT254" s="93">
        <f>SUM($Z254:AM254)-SUM($CM254:CZ254)</f>
        <v>2367</v>
      </c>
      <c r="BU254" s="93">
        <f>SUM($Z254:AN254)-SUM($CM254:DA254)</f>
        <v>2307</v>
      </c>
      <c r="BV254" s="93">
        <f>SUM($Z254:AO254)-SUM($CM254:DB254)</f>
        <v>2293</v>
      </c>
      <c r="BW254" s="93">
        <f>SUM($Z254:AP254)-SUM($CM254:DC254)</f>
        <v>2293</v>
      </c>
      <c r="BX254" s="93">
        <f>SUM($Z254:AQ254)-SUM($CM254:DD254)</f>
        <v>2293</v>
      </c>
      <c r="BY254" s="93">
        <f>SUM($Z254:AR254)-SUM($CM254:DE254)</f>
        <v>2293</v>
      </c>
      <c r="BZ254" s="93">
        <f>SUM($Z254:AS254)-SUM($CM254:DF254)</f>
        <v>2293</v>
      </c>
      <c r="CA254" s="93">
        <f>SUM($Z254:AT254)-SUM($CM254:DG254)</f>
        <v>2293</v>
      </c>
      <c r="CB254" s="93">
        <f>SUM($Z254:AU254)-SUM($CM254:DH254)</f>
        <v>2293</v>
      </c>
      <c r="CC254" s="93">
        <f>SUM($Z254:AV254)-SUM($CM254:DI254)</f>
        <v>2293</v>
      </c>
      <c r="CD254" s="93">
        <f>SUM($Z254:AW254)-SUM($CM254:DJ254)</f>
        <v>2293</v>
      </c>
      <c r="CE254" s="93">
        <f>SUM($Z254:AX254)-SUM($CM254:DK254)</f>
        <v>2293</v>
      </c>
      <c r="CF254" s="93">
        <f>SUM($Z254:AY254)-SUM($CM254:DL254)</f>
        <v>2293</v>
      </c>
      <c r="CG254" s="93">
        <f>SUM($Z254:AZ254)-SUM($CM254:DM254)</f>
        <v>2293</v>
      </c>
      <c r="CH254" s="93">
        <f>SUM($Z254:BA254)-SUM($CM254:DN254)</f>
        <v>2293</v>
      </c>
      <c r="CI254" s="93">
        <f>SUM($Z254:BB254)-SUM($CM254:DO254)</f>
        <v>2293</v>
      </c>
      <c r="CJ254" s="93"/>
      <c r="CK254" s="93"/>
      <c r="CL254" s="93"/>
      <c r="CM254" s="93"/>
      <c r="CN254" s="93" cm="1">
        <f t="array" ref="CN254">SUMPRODUCT(TRANSPOSE(CN$4:CN$20),$G254:$W254)</f>
        <v>0</v>
      </c>
      <c r="CO254" s="93" cm="1">
        <f t="array" ref="CO254">SUMPRODUCT(TRANSPOSE(CO$4:CO$20),$G254:$W254)</f>
        <v>0</v>
      </c>
      <c r="CP254" s="93" cm="1">
        <f t="array" ref="CP254">SUMPRODUCT(TRANSPOSE(CP$4:CP$20),$G254:$W254)</f>
        <v>0</v>
      </c>
      <c r="CQ254" s="93" cm="1">
        <f t="array" ref="CQ254">SUMPRODUCT(TRANSPOSE(CQ$4:CQ$20),$G254:$W254)</f>
        <v>78</v>
      </c>
      <c r="CR254" s="93" cm="1">
        <f t="array" ref="CR254">SUMPRODUCT(TRANSPOSE(CR$4:CR$20),$G254:$W254)</f>
        <v>70</v>
      </c>
      <c r="CS254" s="93" cm="1">
        <f t="array" ref="CS254">SUMPRODUCT(TRANSPOSE(CS$4:CS$20),$G254:$W254)</f>
        <v>65</v>
      </c>
      <c r="CT254" s="93" cm="1">
        <f t="array" ref="CT254">SUMPRODUCT(TRANSPOSE(CT$4:CT$20),$G254:$W254)</f>
        <v>60</v>
      </c>
      <c r="CU254" s="93" cm="1">
        <f t="array" ref="CU254">SUMPRODUCT(TRANSPOSE(CU$4:CU$20),$G254:$W254)</f>
        <v>60</v>
      </c>
      <c r="CV254" s="93" cm="1">
        <f t="array" ref="CV254">SUMPRODUCT(TRANSPOSE(CV$4:CV$20),$G254:$W254)</f>
        <v>60</v>
      </c>
      <c r="CW254" s="93" cm="1">
        <f t="array" ref="CW254">SUMPRODUCT(TRANSPOSE(CW$4:CW$20),$G254:$W254)</f>
        <v>60</v>
      </c>
      <c r="CX254" s="93" cm="1">
        <f t="array" ref="CX254">SUMPRODUCT(TRANSPOSE(CX$4:CX$20),$G254:$W254)</f>
        <v>60</v>
      </c>
      <c r="CY254" s="93" cm="1">
        <f t="array" ref="CY254">SUMPRODUCT(TRANSPOSE(CY$4:CY$20),$G254:$W254)</f>
        <v>60</v>
      </c>
      <c r="CZ254" s="93" cm="1">
        <f t="array" ref="CZ254">SUMPRODUCT(TRANSPOSE(CZ$4:CZ$20),$G254:$W254)</f>
        <v>60</v>
      </c>
      <c r="DA254" s="93" cm="1">
        <f t="array" ref="DA254">SUMPRODUCT(TRANSPOSE(DA$4:DA$20),$G254:$W254)</f>
        <v>60</v>
      </c>
      <c r="DB254" s="93" cm="1">
        <f t="array" ref="DB254">SUMPRODUCT(TRANSPOSE(DB$4:DB$20),$G254:$W254)</f>
        <v>14</v>
      </c>
      <c r="DC254" s="93" cm="1">
        <f t="array" ref="DC254">SUMPRODUCT(TRANSPOSE(DC$4:DC$20),$G254:$W254)</f>
        <v>0</v>
      </c>
      <c r="DD254" s="93" cm="1">
        <f t="array" ref="DD254">SUMPRODUCT(TRANSPOSE(DD$4:DD$20),$G254:$W254)</f>
        <v>0</v>
      </c>
      <c r="DE254" s="93" cm="1">
        <f t="array" ref="DE254">SUMPRODUCT(TRANSPOSE(DE$4:DE$20),$G254:$W254)</f>
        <v>0</v>
      </c>
      <c r="DF254" s="93" cm="1">
        <f t="array" ref="DF254">SUMPRODUCT(TRANSPOSE(DF$4:DF$20),$G254:$W254)</f>
        <v>0</v>
      </c>
      <c r="DG254" s="93" cm="1">
        <f t="array" ref="DG254">SUMPRODUCT(TRANSPOSE(DG$4:DG$20),$G254:$W254)</f>
        <v>0</v>
      </c>
      <c r="DH254" s="93" cm="1">
        <f t="array" ref="DH254">SUMPRODUCT(TRANSPOSE(DH$4:DH$20),$G254:$W254)</f>
        <v>0</v>
      </c>
      <c r="DI254" s="93" cm="1">
        <f t="array" ref="DI254">SUMPRODUCT(TRANSPOSE(DI$4:DI$20),$G254:$W254)</f>
        <v>0</v>
      </c>
      <c r="DJ254" s="93" cm="1">
        <f t="array" ref="DJ254">SUMPRODUCT(TRANSPOSE(DJ$4:DJ$20),$G254:$W254)</f>
        <v>0</v>
      </c>
      <c r="DK254" s="93" cm="1">
        <f t="array" ref="DK254">SUMPRODUCT(TRANSPOSE(DK$4:DK$20),$G254:$W254)</f>
        <v>0</v>
      </c>
      <c r="DL254" s="93" cm="1">
        <f t="array" ref="DL254">SUMPRODUCT(TRANSPOSE(DL$4:DL$20),$G254:$W254)</f>
        <v>0</v>
      </c>
      <c r="DM254" s="93" cm="1">
        <f t="array" ref="DM254">SUMPRODUCT(TRANSPOSE(DM$4:DM$20),$G254:$W254)</f>
        <v>0</v>
      </c>
      <c r="DN254" s="93" cm="1">
        <f t="array" ref="DN254">SUMPRODUCT(TRANSPOSE(DN$4:DN$20),$G254:$W254)</f>
        <v>0</v>
      </c>
      <c r="DO254" s="93" cm="1">
        <f t="array" ref="DO254">SUMPRODUCT(TRANSPOSE(DO$4:DO$20),$G254:$W254)</f>
        <v>0</v>
      </c>
    </row>
    <row r="255" spans="1:119" x14ac:dyDescent="0.2">
      <c r="A255" s="45">
        <f t="shared" si="29"/>
        <v>234</v>
      </c>
      <c r="B255" s="46" t="s">
        <v>601</v>
      </c>
      <c r="C255" s="45">
        <v>424084749</v>
      </c>
      <c r="D255" s="45" t="s">
        <v>602</v>
      </c>
      <c r="E255" s="45" t="s">
        <v>162</v>
      </c>
      <c r="F255" s="48">
        <v>2</v>
      </c>
      <c r="G255" s="100">
        <v>0</v>
      </c>
      <c r="H255" s="100">
        <v>0</v>
      </c>
      <c r="I255" s="100">
        <v>0</v>
      </c>
      <c r="J255" s="100">
        <v>0</v>
      </c>
      <c r="K255" s="100">
        <v>0</v>
      </c>
      <c r="L255" s="100">
        <v>0</v>
      </c>
      <c r="M255" s="100">
        <v>0</v>
      </c>
      <c r="N255" s="100">
        <v>0</v>
      </c>
      <c r="O255" s="100">
        <v>0</v>
      </c>
      <c r="P255" s="100">
        <v>0</v>
      </c>
      <c r="Q255" s="100">
        <v>0</v>
      </c>
      <c r="R255" s="100">
        <v>13</v>
      </c>
      <c r="S255" s="100">
        <v>0</v>
      </c>
      <c r="T255" s="100">
        <v>0</v>
      </c>
      <c r="U255" s="100">
        <v>0</v>
      </c>
      <c r="V255" s="100">
        <v>13</v>
      </c>
      <c r="W255" s="100">
        <v>0</v>
      </c>
      <c r="X255" s="45" t="s">
        <v>63</v>
      </c>
      <c r="Y255" s="49">
        <v>1.1872000000000001E-2</v>
      </c>
      <c r="Z255" s="45">
        <v>15000</v>
      </c>
      <c r="AA255" s="45">
        <v>0</v>
      </c>
      <c r="AB255" s="45">
        <v>0</v>
      </c>
      <c r="AC255" s="45">
        <v>0</v>
      </c>
      <c r="AD255" s="45">
        <v>0</v>
      </c>
      <c r="AE255" s="45">
        <v>0</v>
      </c>
      <c r="AF255" s="45">
        <v>0</v>
      </c>
      <c r="AG255" s="45">
        <v>0</v>
      </c>
      <c r="AH255" s="45">
        <v>0</v>
      </c>
      <c r="AI255" s="45">
        <v>0</v>
      </c>
      <c r="AJ255" s="45">
        <v>0</v>
      </c>
      <c r="AK255" s="45">
        <v>0</v>
      </c>
      <c r="AL255" s="45">
        <v>0</v>
      </c>
      <c r="AM255" s="45">
        <v>0</v>
      </c>
      <c r="AN255" s="45">
        <v>0</v>
      </c>
      <c r="AO255" s="45"/>
      <c r="AP255" s="45"/>
      <c r="AQ255" s="45"/>
      <c r="AR255" s="45"/>
      <c r="AS255" s="45"/>
      <c r="AT255" s="45"/>
      <c r="AU255" s="45"/>
      <c r="AV255" s="45"/>
      <c r="AW255" s="45"/>
      <c r="AX255" s="45"/>
      <c r="AY255" s="45"/>
      <c r="AZ255" s="45"/>
      <c r="BA255" s="45"/>
      <c r="BB255" s="45"/>
      <c r="BC255" s="45"/>
      <c r="BD255" s="93"/>
      <c r="BE255" s="93"/>
      <c r="BF255" s="93"/>
      <c r="BG255" s="93"/>
      <c r="BH255" s="93"/>
      <c r="BI255" s="93"/>
      <c r="BJ255" s="93"/>
      <c r="BK255" s="93">
        <f>SUM($Z255:AD255)-SUM($CM255:CQ255)</f>
        <v>14090</v>
      </c>
      <c r="BL255" s="93">
        <f>SUM($Z255:AE255)-SUM($CM255:CR255)</f>
        <v>13180</v>
      </c>
      <c r="BM255" s="93">
        <f>SUM($Z255:AF255)-SUM($CM255:CS255)</f>
        <v>12270</v>
      </c>
      <c r="BN255" s="93">
        <f>SUM($Z255:AG255)-SUM($CM255:CT255)</f>
        <v>11360</v>
      </c>
      <c r="BO255" s="93">
        <f>SUM($Z255:AH255)-SUM($CM255:CU255)</f>
        <v>10450</v>
      </c>
      <c r="BP255" s="93">
        <f>SUM($Z255:AI255)-SUM($CM255:CV255)</f>
        <v>9540</v>
      </c>
      <c r="BQ255" s="93">
        <f>SUM($Z255:AJ255)-SUM($CM255:CW255)</f>
        <v>8630</v>
      </c>
      <c r="BR255" s="93">
        <f>SUM($Z255:AK255)-SUM($CM255:CX255)</f>
        <v>7720</v>
      </c>
      <c r="BS255" s="93">
        <f>SUM($Z255:AL255)-SUM($CM255:CY255)</f>
        <v>6810</v>
      </c>
      <c r="BT255" s="93">
        <f>SUM($Z255:AM255)-SUM($CM255:CZ255)</f>
        <v>6355</v>
      </c>
      <c r="BU255" s="93">
        <f>SUM($Z255:AN255)-SUM($CM255:DA255)</f>
        <v>6355</v>
      </c>
      <c r="BV255" s="93">
        <f>SUM($Z255:AO255)-SUM($CM255:DB255)</f>
        <v>6355</v>
      </c>
      <c r="BW255" s="93">
        <f>SUM($Z255:AP255)-SUM($CM255:DC255)</f>
        <v>6355</v>
      </c>
      <c r="BX255" s="93">
        <f>SUM($Z255:AQ255)-SUM($CM255:DD255)</f>
        <v>6355</v>
      </c>
      <c r="BY255" s="93">
        <f>SUM($Z255:AR255)-SUM($CM255:DE255)</f>
        <v>6355</v>
      </c>
      <c r="BZ255" s="93">
        <f>SUM($Z255:AS255)-SUM($CM255:DF255)</f>
        <v>6355</v>
      </c>
      <c r="CA255" s="93">
        <f>SUM($Z255:AT255)-SUM($CM255:DG255)</f>
        <v>6355</v>
      </c>
      <c r="CB255" s="93">
        <f>SUM($Z255:AU255)-SUM($CM255:DH255)</f>
        <v>6355</v>
      </c>
      <c r="CC255" s="93">
        <f>SUM($Z255:AV255)-SUM($CM255:DI255)</f>
        <v>6355</v>
      </c>
      <c r="CD255" s="93">
        <f>SUM($Z255:AW255)-SUM($CM255:DJ255)</f>
        <v>6355</v>
      </c>
      <c r="CE255" s="93">
        <f>SUM($Z255:AX255)-SUM($CM255:DK255)</f>
        <v>6355</v>
      </c>
      <c r="CF255" s="93">
        <f>SUM($Z255:AY255)-SUM($CM255:DL255)</f>
        <v>6355</v>
      </c>
      <c r="CG255" s="93">
        <f>SUM($Z255:AZ255)-SUM($CM255:DM255)</f>
        <v>6355</v>
      </c>
      <c r="CH255" s="93">
        <f>SUM($Z255:BA255)-SUM($CM255:DN255)</f>
        <v>6355</v>
      </c>
      <c r="CI255" s="93">
        <f>SUM($Z255:BB255)-SUM($CM255:DO255)</f>
        <v>6355</v>
      </c>
      <c r="CJ255" s="93"/>
      <c r="CK255" s="93"/>
      <c r="CL255" s="93"/>
      <c r="CM255" s="93"/>
      <c r="CN255" s="93" cm="1">
        <f t="array" ref="CN255">SUMPRODUCT(TRANSPOSE(CN$4:CN$20),$G255:$W255)</f>
        <v>0</v>
      </c>
      <c r="CO255" s="93" cm="1">
        <f t="array" ref="CO255">SUMPRODUCT(TRANSPOSE(CO$4:CO$20),$G255:$W255)</f>
        <v>0</v>
      </c>
      <c r="CP255" s="93" cm="1">
        <f t="array" ref="CP255">SUMPRODUCT(TRANSPOSE(CP$4:CP$20),$G255:$W255)</f>
        <v>0</v>
      </c>
      <c r="CQ255" s="93" cm="1">
        <f t="array" ref="CQ255">SUMPRODUCT(TRANSPOSE(CQ$4:CQ$20),$G255:$W255)</f>
        <v>910</v>
      </c>
      <c r="CR255" s="93" cm="1">
        <f t="array" ref="CR255">SUMPRODUCT(TRANSPOSE(CR$4:CR$20),$G255:$W255)</f>
        <v>910</v>
      </c>
      <c r="CS255" s="93" cm="1">
        <f t="array" ref="CS255">SUMPRODUCT(TRANSPOSE(CS$4:CS$20),$G255:$W255)</f>
        <v>910</v>
      </c>
      <c r="CT255" s="93" cm="1">
        <f t="array" ref="CT255">SUMPRODUCT(TRANSPOSE(CT$4:CT$20),$G255:$W255)</f>
        <v>910</v>
      </c>
      <c r="CU255" s="93" cm="1">
        <f t="array" ref="CU255">SUMPRODUCT(TRANSPOSE(CU$4:CU$20),$G255:$W255)</f>
        <v>910</v>
      </c>
      <c r="CV255" s="93" cm="1">
        <f t="array" ref="CV255">SUMPRODUCT(TRANSPOSE(CV$4:CV$20),$G255:$W255)</f>
        <v>910</v>
      </c>
      <c r="CW255" s="93" cm="1">
        <f t="array" ref="CW255">SUMPRODUCT(TRANSPOSE(CW$4:CW$20),$G255:$W255)</f>
        <v>910</v>
      </c>
      <c r="CX255" s="93" cm="1">
        <f t="array" ref="CX255">SUMPRODUCT(TRANSPOSE(CX$4:CX$20),$G255:$W255)</f>
        <v>910</v>
      </c>
      <c r="CY255" s="93" cm="1">
        <f t="array" ref="CY255">SUMPRODUCT(TRANSPOSE(CY$4:CY$20),$G255:$W255)</f>
        <v>910</v>
      </c>
      <c r="CZ255" s="93" cm="1">
        <f t="array" ref="CZ255">SUMPRODUCT(TRANSPOSE(CZ$4:CZ$20),$G255:$W255)</f>
        <v>455</v>
      </c>
      <c r="DA255" s="93" cm="1">
        <f t="array" ref="DA255">SUMPRODUCT(TRANSPOSE(DA$4:DA$20),$G255:$W255)</f>
        <v>0</v>
      </c>
      <c r="DB255" s="93" cm="1">
        <f t="array" ref="DB255">SUMPRODUCT(TRANSPOSE(DB$4:DB$20),$G255:$W255)</f>
        <v>0</v>
      </c>
      <c r="DC255" s="93" cm="1">
        <f t="array" ref="DC255">SUMPRODUCT(TRANSPOSE(DC$4:DC$20),$G255:$W255)</f>
        <v>0</v>
      </c>
      <c r="DD255" s="93" cm="1">
        <f t="array" ref="DD255">SUMPRODUCT(TRANSPOSE(DD$4:DD$20),$G255:$W255)</f>
        <v>0</v>
      </c>
      <c r="DE255" s="93" cm="1">
        <f t="array" ref="DE255">SUMPRODUCT(TRANSPOSE(DE$4:DE$20),$G255:$W255)</f>
        <v>0</v>
      </c>
      <c r="DF255" s="93" cm="1">
        <f t="array" ref="DF255">SUMPRODUCT(TRANSPOSE(DF$4:DF$20),$G255:$W255)</f>
        <v>0</v>
      </c>
      <c r="DG255" s="93" cm="1">
        <f t="array" ref="DG255">SUMPRODUCT(TRANSPOSE(DG$4:DG$20),$G255:$W255)</f>
        <v>0</v>
      </c>
      <c r="DH255" s="93" cm="1">
        <f t="array" ref="DH255">SUMPRODUCT(TRANSPOSE(DH$4:DH$20),$G255:$W255)</f>
        <v>0</v>
      </c>
      <c r="DI255" s="93" cm="1">
        <f t="array" ref="DI255">SUMPRODUCT(TRANSPOSE(DI$4:DI$20),$G255:$W255)</f>
        <v>0</v>
      </c>
      <c r="DJ255" s="93" cm="1">
        <f t="array" ref="DJ255">SUMPRODUCT(TRANSPOSE(DJ$4:DJ$20),$G255:$W255)</f>
        <v>0</v>
      </c>
      <c r="DK255" s="93" cm="1">
        <f t="array" ref="DK255">SUMPRODUCT(TRANSPOSE(DK$4:DK$20),$G255:$W255)</f>
        <v>0</v>
      </c>
      <c r="DL255" s="93" cm="1">
        <f t="array" ref="DL255">SUMPRODUCT(TRANSPOSE(DL$4:DL$20),$G255:$W255)</f>
        <v>0</v>
      </c>
      <c r="DM255" s="93" cm="1">
        <f t="array" ref="DM255">SUMPRODUCT(TRANSPOSE(DM$4:DM$20),$G255:$W255)</f>
        <v>0</v>
      </c>
      <c r="DN255" s="93" cm="1">
        <f t="array" ref="DN255">SUMPRODUCT(TRANSPOSE(DN$4:DN$20),$G255:$W255)</f>
        <v>0</v>
      </c>
      <c r="DO255" s="93" cm="1">
        <f t="array" ref="DO255">SUMPRODUCT(TRANSPOSE(DO$4:DO$20),$G255:$W255)</f>
        <v>0</v>
      </c>
    </row>
    <row r="256" spans="1:119" x14ac:dyDescent="0.2">
      <c r="A256" s="45">
        <f t="shared" si="29"/>
        <v>235</v>
      </c>
      <c r="B256" s="46" t="s">
        <v>603</v>
      </c>
      <c r="C256" s="45">
        <v>400280614</v>
      </c>
      <c r="D256" s="45" t="s">
        <v>604</v>
      </c>
      <c r="E256" s="45" t="s">
        <v>162</v>
      </c>
      <c r="F256" s="48">
        <v>2</v>
      </c>
      <c r="G256" s="100">
        <v>0</v>
      </c>
      <c r="H256" s="100">
        <v>0</v>
      </c>
      <c r="I256" s="100">
        <v>0</v>
      </c>
      <c r="J256" s="100">
        <v>0</v>
      </c>
      <c r="K256" s="100">
        <v>0</v>
      </c>
      <c r="L256" s="100">
        <v>0</v>
      </c>
      <c r="M256" s="100">
        <v>0</v>
      </c>
      <c r="N256" s="100">
        <v>0</v>
      </c>
      <c r="O256" s="100">
        <v>0</v>
      </c>
      <c r="P256" s="100">
        <v>0</v>
      </c>
      <c r="Q256" s="100">
        <v>35</v>
      </c>
      <c r="R256" s="100">
        <v>0</v>
      </c>
      <c r="S256" s="100">
        <v>0</v>
      </c>
      <c r="T256" s="100">
        <v>0</v>
      </c>
      <c r="U256" s="100">
        <v>1</v>
      </c>
      <c r="V256" s="100">
        <v>0</v>
      </c>
      <c r="W256" s="100">
        <v>0</v>
      </c>
      <c r="X256" s="45" t="s">
        <v>63</v>
      </c>
      <c r="Y256" s="49">
        <v>9.9680000000000012E-3</v>
      </c>
      <c r="Z256" s="45">
        <v>51000</v>
      </c>
      <c r="AA256" s="45">
        <v>0</v>
      </c>
      <c r="AB256" s="45">
        <v>0</v>
      </c>
      <c r="AC256" s="45">
        <v>0</v>
      </c>
      <c r="AD256" s="45">
        <v>0</v>
      </c>
      <c r="AE256" s="45">
        <v>0</v>
      </c>
      <c r="AF256" s="45">
        <v>0</v>
      </c>
      <c r="AG256" s="45">
        <v>0</v>
      </c>
      <c r="AH256" s="45">
        <v>0</v>
      </c>
      <c r="AI256" s="45">
        <v>0</v>
      </c>
      <c r="AJ256" s="45">
        <v>0</v>
      </c>
      <c r="AK256" s="45">
        <v>0</v>
      </c>
      <c r="AL256" s="45">
        <v>0</v>
      </c>
      <c r="AM256" s="45">
        <v>0</v>
      </c>
      <c r="AN256" s="45">
        <v>0</v>
      </c>
      <c r="AO256" s="45"/>
      <c r="AP256" s="45"/>
      <c r="AQ256" s="45"/>
      <c r="AR256" s="45"/>
      <c r="AS256" s="45"/>
      <c r="AT256" s="45"/>
      <c r="AU256" s="45"/>
      <c r="AV256" s="45"/>
      <c r="AW256" s="45"/>
      <c r="AX256" s="45"/>
      <c r="AY256" s="45"/>
      <c r="AZ256" s="45"/>
      <c r="BA256" s="45"/>
      <c r="BB256" s="45"/>
      <c r="BC256" s="45"/>
      <c r="BD256" s="93"/>
      <c r="BE256" s="93"/>
      <c r="BF256" s="93"/>
      <c r="BG256" s="93"/>
      <c r="BH256" s="93"/>
      <c r="BI256" s="93"/>
      <c r="BJ256" s="93"/>
      <c r="BK256" s="93">
        <f>SUM($Z256:AD256)-SUM($CM256:CQ256)</f>
        <v>49732</v>
      </c>
      <c r="BL256" s="93">
        <f>SUM($Z256:AE256)-SUM($CM256:CR256)</f>
        <v>48472</v>
      </c>
      <c r="BM256" s="93">
        <f>SUM($Z256:AF256)-SUM($CM256:CS256)</f>
        <v>47217</v>
      </c>
      <c r="BN256" s="93">
        <f>SUM($Z256:AG256)-SUM($CM256:CT256)</f>
        <v>46137</v>
      </c>
      <c r="BO256" s="93">
        <f>SUM($Z256:AH256)-SUM($CM256:CU256)</f>
        <v>45057</v>
      </c>
      <c r="BP256" s="93">
        <f>SUM($Z256:AI256)-SUM($CM256:CV256)</f>
        <v>43977</v>
      </c>
      <c r="BQ256" s="93">
        <f>SUM($Z256:AJ256)-SUM($CM256:CW256)</f>
        <v>42897</v>
      </c>
      <c r="BR256" s="93">
        <f>SUM($Z256:AK256)-SUM($CM256:CX256)</f>
        <v>41817</v>
      </c>
      <c r="BS256" s="93">
        <f>SUM($Z256:AL256)-SUM($CM256:CY256)</f>
        <v>40737</v>
      </c>
      <c r="BT256" s="93">
        <f>SUM($Z256:AM256)-SUM($CM256:CZ256)</f>
        <v>39657</v>
      </c>
      <c r="BU256" s="93">
        <f>SUM($Z256:AN256)-SUM($CM256:DA256)</f>
        <v>38577</v>
      </c>
      <c r="BV256" s="93">
        <f>SUM($Z256:AO256)-SUM($CM256:DB256)</f>
        <v>38087</v>
      </c>
      <c r="BW256" s="93">
        <f>SUM($Z256:AP256)-SUM($CM256:DC256)</f>
        <v>38087</v>
      </c>
      <c r="BX256" s="93">
        <f>SUM($Z256:AQ256)-SUM($CM256:DD256)</f>
        <v>38087</v>
      </c>
      <c r="BY256" s="93">
        <f>SUM($Z256:AR256)-SUM($CM256:DE256)</f>
        <v>38087</v>
      </c>
      <c r="BZ256" s="93">
        <f>SUM($Z256:AS256)-SUM($CM256:DF256)</f>
        <v>38087</v>
      </c>
      <c r="CA256" s="93">
        <f>SUM($Z256:AT256)-SUM($CM256:DG256)</f>
        <v>38087</v>
      </c>
      <c r="CB256" s="93">
        <f>SUM($Z256:AU256)-SUM($CM256:DH256)</f>
        <v>38087</v>
      </c>
      <c r="CC256" s="93">
        <f>SUM($Z256:AV256)-SUM($CM256:DI256)</f>
        <v>38087</v>
      </c>
      <c r="CD256" s="93">
        <f>SUM($Z256:AW256)-SUM($CM256:DJ256)</f>
        <v>38087</v>
      </c>
      <c r="CE256" s="93">
        <f>SUM($Z256:AX256)-SUM($CM256:DK256)</f>
        <v>38087</v>
      </c>
      <c r="CF256" s="93">
        <f>SUM($Z256:AY256)-SUM($CM256:DL256)</f>
        <v>38087</v>
      </c>
      <c r="CG256" s="93">
        <f>SUM($Z256:AZ256)-SUM($CM256:DM256)</f>
        <v>38087</v>
      </c>
      <c r="CH256" s="93">
        <f>SUM($Z256:BA256)-SUM($CM256:DN256)</f>
        <v>38087</v>
      </c>
      <c r="CI256" s="93">
        <f>SUM($Z256:BB256)-SUM($CM256:DO256)</f>
        <v>38087</v>
      </c>
      <c r="CJ256" s="93"/>
      <c r="CK256" s="93"/>
      <c r="CL256" s="93"/>
      <c r="CM256" s="93"/>
      <c r="CN256" s="93" cm="1">
        <f t="array" ref="CN256">SUMPRODUCT(TRANSPOSE(CN$4:CN$20),$G256:$W256)</f>
        <v>0</v>
      </c>
      <c r="CO256" s="93" cm="1">
        <f t="array" ref="CO256">SUMPRODUCT(TRANSPOSE(CO$4:CO$20),$G256:$W256)</f>
        <v>0</v>
      </c>
      <c r="CP256" s="93" cm="1">
        <f t="array" ref="CP256">SUMPRODUCT(TRANSPOSE(CP$4:CP$20),$G256:$W256)</f>
        <v>0</v>
      </c>
      <c r="CQ256" s="93" cm="1">
        <f t="array" ref="CQ256">SUMPRODUCT(TRANSPOSE(CQ$4:CQ$20),$G256:$W256)</f>
        <v>1268</v>
      </c>
      <c r="CR256" s="93" cm="1">
        <f t="array" ref="CR256">SUMPRODUCT(TRANSPOSE(CR$4:CR$20),$G256:$W256)</f>
        <v>1260</v>
      </c>
      <c r="CS256" s="93" cm="1">
        <f t="array" ref="CS256">SUMPRODUCT(TRANSPOSE(CS$4:CS$20),$G256:$W256)</f>
        <v>1255</v>
      </c>
      <c r="CT256" s="93" cm="1">
        <f t="array" ref="CT256">SUMPRODUCT(TRANSPOSE(CT$4:CT$20),$G256:$W256)</f>
        <v>1080</v>
      </c>
      <c r="CU256" s="93" cm="1">
        <f t="array" ref="CU256">SUMPRODUCT(TRANSPOSE(CU$4:CU$20),$G256:$W256)</f>
        <v>1080</v>
      </c>
      <c r="CV256" s="93" cm="1">
        <f t="array" ref="CV256">SUMPRODUCT(TRANSPOSE(CV$4:CV$20),$G256:$W256)</f>
        <v>1080</v>
      </c>
      <c r="CW256" s="93" cm="1">
        <f t="array" ref="CW256">SUMPRODUCT(TRANSPOSE(CW$4:CW$20),$G256:$W256)</f>
        <v>1080</v>
      </c>
      <c r="CX256" s="93" cm="1">
        <f t="array" ref="CX256">SUMPRODUCT(TRANSPOSE(CX$4:CX$20),$G256:$W256)</f>
        <v>1080</v>
      </c>
      <c r="CY256" s="93" cm="1">
        <f t="array" ref="CY256">SUMPRODUCT(TRANSPOSE(CY$4:CY$20),$G256:$W256)</f>
        <v>1080</v>
      </c>
      <c r="CZ256" s="93" cm="1">
        <f t="array" ref="CZ256">SUMPRODUCT(TRANSPOSE(CZ$4:CZ$20),$G256:$W256)</f>
        <v>1080</v>
      </c>
      <c r="DA256" s="93" cm="1">
        <f t="array" ref="DA256">SUMPRODUCT(TRANSPOSE(DA$4:DA$20),$G256:$W256)</f>
        <v>1080</v>
      </c>
      <c r="DB256" s="93" cm="1">
        <f t="array" ref="DB256">SUMPRODUCT(TRANSPOSE(DB$4:DB$20),$G256:$W256)</f>
        <v>490</v>
      </c>
      <c r="DC256" s="93" cm="1">
        <f t="array" ref="DC256">SUMPRODUCT(TRANSPOSE(DC$4:DC$20),$G256:$W256)</f>
        <v>0</v>
      </c>
      <c r="DD256" s="93" cm="1">
        <f t="array" ref="DD256">SUMPRODUCT(TRANSPOSE(DD$4:DD$20),$G256:$W256)</f>
        <v>0</v>
      </c>
      <c r="DE256" s="93" cm="1">
        <f t="array" ref="DE256">SUMPRODUCT(TRANSPOSE(DE$4:DE$20),$G256:$W256)</f>
        <v>0</v>
      </c>
      <c r="DF256" s="93" cm="1">
        <f t="array" ref="DF256">SUMPRODUCT(TRANSPOSE(DF$4:DF$20),$G256:$W256)</f>
        <v>0</v>
      </c>
      <c r="DG256" s="93" cm="1">
        <f t="array" ref="DG256">SUMPRODUCT(TRANSPOSE(DG$4:DG$20),$G256:$W256)</f>
        <v>0</v>
      </c>
      <c r="DH256" s="93" cm="1">
        <f t="array" ref="DH256">SUMPRODUCT(TRANSPOSE(DH$4:DH$20),$G256:$W256)</f>
        <v>0</v>
      </c>
      <c r="DI256" s="93" cm="1">
        <f t="array" ref="DI256">SUMPRODUCT(TRANSPOSE(DI$4:DI$20),$G256:$W256)</f>
        <v>0</v>
      </c>
      <c r="DJ256" s="93" cm="1">
        <f t="array" ref="DJ256">SUMPRODUCT(TRANSPOSE(DJ$4:DJ$20),$G256:$W256)</f>
        <v>0</v>
      </c>
      <c r="DK256" s="93" cm="1">
        <f t="array" ref="DK256">SUMPRODUCT(TRANSPOSE(DK$4:DK$20),$G256:$W256)</f>
        <v>0</v>
      </c>
      <c r="DL256" s="93" cm="1">
        <f t="array" ref="DL256">SUMPRODUCT(TRANSPOSE(DL$4:DL$20),$G256:$W256)</f>
        <v>0</v>
      </c>
      <c r="DM256" s="93" cm="1">
        <f t="array" ref="DM256">SUMPRODUCT(TRANSPOSE(DM$4:DM$20),$G256:$W256)</f>
        <v>0</v>
      </c>
      <c r="DN256" s="93" cm="1">
        <f t="array" ref="DN256">SUMPRODUCT(TRANSPOSE(DN$4:DN$20),$G256:$W256)</f>
        <v>0</v>
      </c>
      <c r="DO256" s="93" cm="1">
        <f t="array" ref="DO256">SUMPRODUCT(TRANSPOSE(DO$4:DO$20),$G256:$W256)</f>
        <v>0</v>
      </c>
    </row>
    <row r="257" spans="1:119" x14ac:dyDescent="0.2">
      <c r="A257" s="45">
        <f t="shared" si="29"/>
        <v>236</v>
      </c>
      <c r="B257" s="46" t="s">
        <v>605</v>
      </c>
      <c r="C257" s="45">
        <v>512306812</v>
      </c>
      <c r="D257" s="45" t="s">
        <v>606</v>
      </c>
      <c r="E257" s="45" t="s">
        <v>162</v>
      </c>
      <c r="F257" s="48">
        <v>2</v>
      </c>
      <c r="G257" s="100">
        <v>0</v>
      </c>
      <c r="H257" s="100">
        <v>0</v>
      </c>
      <c r="I257" s="100">
        <v>0</v>
      </c>
      <c r="J257" s="100">
        <v>0</v>
      </c>
      <c r="K257" s="100">
        <v>0</v>
      </c>
      <c r="L257" s="100">
        <v>0</v>
      </c>
      <c r="M257" s="100">
        <v>0</v>
      </c>
      <c r="N257" s="100">
        <v>0</v>
      </c>
      <c r="O257" s="100">
        <v>2</v>
      </c>
      <c r="P257" s="100">
        <v>0</v>
      </c>
      <c r="Q257" s="100">
        <v>0</v>
      </c>
      <c r="R257" s="100">
        <v>0</v>
      </c>
      <c r="S257" s="100">
        <v>2</v>
      </c>
      <c r="T257" s="100">
        <v>0</v>
      </c>
      <c r="U257" s="100">
        <v>0</v>
      </c>
      <c r="V257" s="100">
        <v>0</v>
      </c>
      <c r="W257" s="100">
        <v>0</v>
      </c>
      <c r="X257" s="45" t="s">
        <v>24</v>
      </c>
      <c r="Y257" s="49">
        <v>0.15</v>
      </c>
      <c r="Z257" s="45">
        <v>2840</v>
      </c>
      <c r="AA257" s="45">
        <v>0</v>
      </c>
      <c r="AB257" s="45">
        <v>0</v>
      </c>
      <c r="AC257" s="45">
        <v>0</v>
      </c>
      <c r="AD257" s="45">
        <v>0</v>
      </c>
      <c r="AE257" s="45">
        <v>0</v>
      </c>
      <c r="AF257" s="45">
        <v>0</v>
      </c>
      <c r="AG257" s="45">
        <v>0</v>
      </c>
      <c r="AH257" s="45">
        <v>0</v>
      </c>
      <c r="AI257" s="45">
        <v>0</v>
      </c>
      <c r="AJ257" s="45">
        <v>0</v>
      </c>
      <c r="AK257" s="45">
        <v>0</v>
      </c>
      <c r="AL257" s="45">
        <v>0</v>
      </c>
      <c r="AM257" s="45">
        <v>0</v>
      </c>
      <c r="AN257" s="45">
        <v>0</v>
      </c>
      <c r="AO257" s="45"/>
      <c r="AP257" s="45"/>
      <c r="AQ257" s="45"/>
      <c r="AR257" s="45"/>
      <c r="AS257" s="45"/>
      <c r="AT257" s="45"/>
      <c r="AU257" s="45"/>
      <c r="AV257" s="45"/>
      <c r="AW257" s="45"/>
      <c r="AX257" s="45"/>
      <c r="AY257" s="45"/>
      <c r="AZ257" s="45"/>
      <c r="BA257" s="45"/>
      <c r="BB257" s="45"/>
      <c r="BC257" s="45"/>
      <c r="BD257" s="93"/>
      <c r="BE257" s="93"/>
      <c r="BF257" s="93"/>
      <c r="BG257" s="93"/>
      <c r="BH257" s="93"/>
      <c r="BI257" s="93"/>
      <c r="BJ257" s="93"/>
      <c r="BK257" s="93">
        <f>SUM($Z257:AD257)-SUM($CM257:CQ257)</f>
        <v>2684</v>
      </c>
      <c r="BL257" s="93">
        <f>SUM($Z257:AE257)-SUM($CM257:CR257)</f>
        <v>2544</v>
      </c>
      <c r="BM257" s="93">
        <f>SUM($Z257:AF257)-SUM($CM257:CS257)</f>
        <v>2414</v>
      </c>
      <c r="BN257" s="93">
        <f>SUM($Z257:AG257)-SUM($CM257:CT257)</f>
        <v>2294</v>
      </c>
      <c r="BO257" s="93">
        <f>SUM($Z257:AH257)-SUM($CM257:CU257)</f>
        <v>2174</v>
      </c>
      <c r="BP257" s="93">
        <f>SUM($Z257:AI257)-SUM($CM257:CV257)</f>
        <v>2054</v>
      </c>
      <c r="BQ257" s="93">
        <f>SUM($Z257:AJ257)-SUM($CM257:CW257)</f>
        <v>1934</v>
      </c>
      <c r="BR257" s="93">
        <f>SUM($Z257:AK257)-SUM($CM257:CX257)</f>
        <v>1814</v>
      </c>
      <c r="BS257" s="93">
        <f>SUM($Z257:AL257)-SUM($CM257:CY257)</f>
        <v>1694</v>
      </c>
      <c r="BT257" s="93">
        <f>SUM($Z257:AM257)-SUM($CM257:CZ257)</f>
        <v>1574</v>
      </c>
      <c r="BU257" s="93">
        <f>SUM($Z257:AN257)-SUM($CM257:DA257)</f>
        <v>1454</v>
      </c>
      <c r="BV257" s="93">
        <f>SUM($Z257:AO257)-SUM($CM257:DB257)</f>
        <v>1426</v>
      </c>
      <c r="BW257" s="93">
        <f>SUM($Z257:AP257)-SUM($CM257:DC257)</f>
        <v>1426</v>
      </c>
      <c r="BX257" s="93">
        <f>SUM($Z257:AQ257)-SUM($CM257:DD257)</f>
        <v>1426</v>
      </c>
      <c r="BY257" s="93">
        <f>SUM($Z257:AR257)-SUM($CM257:DE257)</f>
        <v>1426</v>
      </c>
      <c r="BZ257" s="93">
        <f>SUM($Z257:AS257)-SUM($CM257:DF257)</f>
        <v>1426</v>
      </c>
      <c r="CA257" s="93">
        <f>SUM($Z257:AT257)-SUM($CM257:DG257)</f>
        <v>1426</v>
      </c>
      <c r="CB257" s="93">
        <f>SUM($Z257:AU257)-SUM($CM257:DH257)</f>
        <v>1426</v>
      </c>
      <c r="CC257" s="93">
        <f>SUM($Z257:AV257)-SUM($CM257:DI257)</f>
        <v>1426</v>
      </c>
      <c r="CD257" s="93">
        <f>SUM($Z257:AW257)-SUM($CM257:DJ257)</f>
        <v>1426</v>
      </c>
      <c r="CE257" s="93">
        <f>SUM($Z257:AX257)-SUM($CM257:DK257)</f>
        <v>1426</v>
      </c>
      <c r="CF257" s="93">
        <f>SUM($Z257:AY257)-SUM($CM257:DL257)</f>
        <v>1426</v>
      </c>
      <c r="CG257" s="93">
        <f>SUM($Z257:AZ257)-SUM($CM257:DM257)</f>
        <v>1426</v>
      </c>
      <c r="CH257" s="93">
        <f>SUM($Z257:BA257)-SUM($CM257:DN257)</f>
        <v>1426</v>
      </c>
      <c r="CI257" s="93">
        <f>SUM($Z257:BB257)-SUM($CM257:DO257)</f>
        <v>1426</v>
      </c>
      <c r="CJ257" s="93"/>
      <c r="CK257" s="93"/>
      <c r="CL257" s="93"/>
      <c r="CM257" s="93"/>
      <c r="CN257" s="93" cm="1">
        <f t="array" ref="CN257">SUMPRODUCT(TRANSPOSE(CN$4:CN$20),$G257:$W257)</f>
        <v>0</v>
      </c>
      <c r="CO257" s="93" cm="1">
        <f t="array" ref="CO257">SUMPRODUCT(TRANSPOSE(CO$4:CO$20),$G257:$W257)</f>
        <v>0</v>
      </c>
      <c r="CP257" s="93" cm="1">
        <f t="array" ref="CP257">SUMPRODUCT(TRANSPOSE(CP$4:CP$20),$G257:$W257)</f>
        <v>0</v>
      </c>
      <c r="CQ257" s="93" cm="1">
        <f t="array" ref="CQ257">SUMPRODUCT(TRANSPOSE(CQ$4:CQ$20),$G257:$W257)</f>
        <v>156</v>
      </c>
      <c r="CR257" s="93" cm="1">
        <f t="array" ref="CR257">SUMPRODUCT(TRANSPOSE(CR$4:CR$20),$G257:$W257)</f>
        <v>140</v>
      </c>
      <c r="CS257" s="93" cm="1">
        <f t="array" ref="CS257">SUMPRODUCT(TRANSPOSE(CS$4:CS$20),$G257:$W257)</f>
        <v>130</v>
      </c>
      <c r="CT257" s="93" cm="1">
        <f t="array" ref="CT257">SUMPRODUCT(TRANSPOSE(CT$4:CT$20),$G257:$W257)</f>
        <v>120</v>
      </c>
      <c r="CU257" s="93" cm="1">
        <f t="array" ref="CU257">SUMPRODUCT(TRANSPOSE(CU$4:CU$20),$G257:$W257)</f>
        <v>120</v>
      </c>
      <c r="CV257" s="93" cm="1">
        <f t="array" ref="CV257">SUMPRODUCT(TRANSPOSE(CV$4:CV$20),$G257:$W257)</f>
        <v>120</v>
      </c>
      <c r="CW257" s="93" cm="1">
        <f t="array" ref="CW257">SUMPRODUCT(TRANSPOSE(CW$4:CW$20),$G257:$W257)</f>
        <v>120</v>
      </c>
      <c r="CX257" s="93" cm="1">
        <f t="array" ref="CX257">SUMPRODUCT(TRANSPOSE(CX$4:CX$20),$G257:$W257)</f>
        <v>120</v>
      </c>
      <c r="CY257" s="93" cm="1">
        <f t="array" ref="CY257">SUMPRODUCT(TRANSPOSE(CY$4:CY$20),$G257:$W257)</f>
        <v>120</v>
      </c>
      <c r="CZ257" s="93" cm="1">
        <f t="array" ref="CZ257">SUMPRODUCT(TRANSPOSE(CZ$4:CZ$20),$G257:$W257)</f>
        <v>120</v>
      </c>
      <c r="DA257" s="93" cm="1">
        <f t="array" ref="DA257">SUMPRODUCT(TRANSPOSE(DA$4:DA$20),$G257:$W257)</f>
        <v>120</v>
      </c>
      <c r="DB257" s="93" cm="1">
        <f t="array" ref="DB257">SUMPRODUCT(TRANSPOSE(DB$4:DB$20),$G257:$W257)</f>
        <v>28</v>
      </c>
      <c r="DC257" s="93" cm="1">
        <f t="array" ref="DC257">SUMPRODUCT(TRANSPOSE(DC$4:DC$20),$G257:$W257)</f>
        <v>0</v>
      </c>
      <c r="DD257" s="93" cm="1">
        <f t="array" ref="DD257">SUMPRODUCT(TRANSPOSE(DD$4:DD$20),$G257:$W257)</f>
        <v>0</v>
      </c>
      <c r="DE257" s="93" cm="1">
        <f t="array" ref="DE257">SUMPRODUCT(TRANSPOSE(DE$4:DE$20),$G257:$W257)</f>
        <v>0</v>
      </c>
      <c r="DF257" s="93" cm="1">
        <f t="array" ref="DF257">SUMPRODUCT(TRANSPOSE(DF$4:DF$20),$G257:$W257)</f>
        <v>0</v>
      </c>
      <c r="DG257" s="93" cm="1">
        <f t="array" ref="DG257">SUMPRODUCT(TRANSPOSE(DG$4:DG$20),$G257:$W257)</f>
        <v>0</v>
      </c>
      <c r="DH257" s="93" cm="1">
        <f t="array" ref="DH257">SUMPRODUCT(TRANSPOSE(DH$4:DH$20),$G257:$W257)</f>
        <v>0</v>
      </c>
      <c r="DI257" s="93" cm="1">
        <f t="array" ref="DI257">SUMPRODUCT(TRANSPOSE(DI$4:DI$20),$G257:$W257)</f>
        <v>0</v>
      </c>
      <c r="DJ257" s="93" cm="1">
        <f t="array" ref="DJ257">SUMPRODUCT(TRANSPOSE(DJ$4:DJ$20),$G257:$W257)</f>
        <v>0</v>
      </c>
      <c r="DK257" s="93" cm="1">
        <f t="array" ref="DK257">SUMPRODUCT(TRANSPOSE(DK$4:DK$20),$G257:$W257)</f>
        <v>0</v>
      </c>
      <c r="DL257" s="93" cm="1">
        <f t="array" ref="DL257">SUMPRODUCT(TRANSPOSE(DL$4:DL$20),$G257:$W257)</f>
        <v>0</v>
      </c>
      <c r="DM257" s="93" cm="1">
        <f t="array" ref="DM257">SUMPRODUCT(TRANSPOSE(DM$4:DM$20),$G257:$W257)</f>
        <v>0</v>
      </c>
      <c r="DN257" s="93" cm="1">
        <f t="array" ref="DN257">SUMPRODUCT(TRANSPOSE(DN$4:DN$20),$G257:$W257)</f>
        <v>0</v>
      </c>
      <c r="DO257" s="93" cm="1">
        <f t="array" ref="DO257">SUMPRODUCT(TRANSPOSE(DO$4:DO$20),$G257:$W257)</f>
        <v>0</v>
      </c>
    </row>
    <row r="258" spans="1:119" x14ac:dyDescent="0.2">
      <c r="A258" s="45">
        <f t="shared" si="29"/>
        <v>237</v>
      </c>
      <c r="B258" s="46" t="s">
        <v>607</v>
      </c>
      <c r="C258" s="45">
        <v>512306820</v>
      </c>
      <c r="D258" s="45" t="s">
        <v>606</v>
      </c>
      <c r="E258" s="45" t="s">
        <v>162</v>
      </c>
      <c r="F258" s="48">
        <v>2</v>
      </c>
      <c r="G258" s="100">
        <v>0</v>
      </c>
      <c r="H258" s="100">
        <v>0</v>
      </c>
      <c r="I258" s="100">
        <v>0</v>
      </c>
      <c r="J258" s="100">
        <v>0</v>
      </c>
      <c r="K258" s="100">
        <v>0</v>
      </c>
      <c r="L258" s="100">
        <v>0</v>
      </c>
      <c r="M258" s="100">
        <v>0</v>
      </c>
      <c r="N258" s="100">
        <v>0</v>
      </c>
      <c r="O258" s="100">
        <v>0</v>
      </c>
      <c r="P258" s="100">
        <v>0</v>
      </c>
      <c r="Q258" s="100">
        <v>0</v>
      </c>
      <c r="R258" s="100">
        <v>0</v>
      </c>
      <c r="S258" s="100">
        <v>0</v>
      </c>
      <c r="T258" s="100">
        <v>0</v>
      </c>
      <c r="U258" s="100">
        <v>0</v>
      </c>
      <c r="V258" s="100">
        <v>0</v>
      </c>
      <c r="W258" s="100">
        <v>192</v>
      </c>
      <c r="X258" s="45" t="s">
        <v>24</v>
      </c>
      <c r="Y258" s="49">
        <v>0.13100000000000001</v>
      </c>
      <c r="Z258" s="45">
        <v>45240</v>
      </c>
      <c r="AA258" s="45">
        <v>0</v>
      </c>
      <c r="AB258" s="45">
        <v>0</v>
      </c>
      <c r="AC258" s="45">
        <v>0</v>
      </c>
      <c r="AD258" s="45">
        <v>0</v>
      </c>
      <c r="AE258" s="45">
        <v>0</v>
      </c>
      <c r="AF258" s="45">
        <v>0</v>
      </c>
      <c r="AG258" s="45">
        <v>0</v>
      </c>
      <c r="AH258" s="45">
        <v>0</v>
      </c>
      <c r="AI258" s="45">
        <v>0</v>
      </c>
      <c r="AJ258" s="45">
        <v>0</v>
      </c>
      <c r="AK258" s="45">
        <v>0</v>
      </c>
      <c r="AL258" s="45">
        <v>0</v>
      </c>
      <c r="AM258" s="45">
        <v>0</v>
      </c>
      <c r="AN258" s="45">
        <v>0</v>
      </c>
      <c r="AO258" s="45"/>
      <c r="AP258" s="45"/>
      <c r="AQ258" s="45"/>
      <c r="AR258" s="45"/>
      <c r="AS258" s="45"/>
      <c r="AT258" s="45"/>
      <c r="AU258" s="45"/>
      <c r="AV258" s="45"/>
      <c r="AW258" s="45"/>
      <c r="AX258" s="45"/>
      <c r="AY258" s="45"/>
      <c r="AZ258" s="45"/>
      <c r="BA258" s="45"/>
      <c r="BB258" s="45"/>
      <c r="BC258" s="45"/>
      <c r="BD258" s="93"/>
      <c r="BE258" s="93"/>
      <c r="BF258" s="93"/>
      <c r="BG258" s="93"/>
      <c r="BH258" s="93"/>
      <c r="BI258" s="93"/>
      <c r="BJ258" s="93"/>
      <c r="BK258" s="93">
        <f>SUM($Z258:AD258)-SUM($CM258:CQ258)</f>
        <v>42168</v>
      </c>
      <c r="BL258" s="93">
        <f>SUM($Z258:AE258)-SUM($CM258:CR258)</f>
        <v>39096</v>
      </c>
      <c r="BM258" s="93">
        <f>SUM($Z258:AF258)-SUM($CM258:CS258)</f>
        <v>36024</v>
      </c>
      <c r="BN258" s="93">
        <f>SUM($Z258:AG258)-SUM($CM258:CT258)</f>
        <v>32952</v>
      </c>
      <c r="BO258" s="93">
        <f>SUM($Z258:AH258)-SUM($CM258:CU258)</f>
        <v>29880</v>
      </c>
      <c r="BP258" s="93">
        <f>SUM($Z258:AI258)-SUM($CM258:CV258)</f>
        <v>26808</v>
      </c>
      <c r="BQ258" s="93">
        <f>SUM($Z258:AJ258)-SUM($CM258:CW258)</f>
        <v>23736</v>
      </c>
      <c r="BR258" s="93">
        <f>SUM($Z258:AK258)-SUM($CM258:CX258)</f>
        <v>20664</v>
      </c>
      <c r="BS258" s="93">
        <f>SUM($Z258:AL258)-SUM($CM258:CY258)</f>
        <v>20664</v>
      </c>
      <c r="BT258" s="93">
        <f>SUM($Z258:AM258)-SUM($CM258:CZ258)</f>
        <v>20664</v>
      </c>
      <c r="BU258" s="93">
        <f>SUM($Z258:AN258)-SUM($CM258:DA258)</f>
        <v>20664</v>
      </c>
      <c r="BV258" s="93">
        <f>SUM($Z258:AO258)-SUM($CM258:DB258)</f>
        <v>20664</v>
      </c>
      <c r="BW258" s="93">
        <f>SUM($Z258:AP258)-SUM($CM258:DC258)</f>
        <v>20664</v>
      </c>
      <c r="BX258" s="93">
        <f>SUM($Z258:AQ258)-SUM($CM258:DD258)</f>
        <v>20664</v>
      </c>
      <c r="BY258" s="93">
        <f>SUM($Z258:AR258)-SUM($CM258:DE258)</f>
        <v>20664</v>
      </c>
      <c r="BZ258" s="93">
        <f>SUM($Z258:AS258)-SUM($CM258:DF258)</f>
        <v>20664</v>
      </c>
      <c r="CA258" s="93">
        <f>SUM($Z258:AT258)-SUM($CM258:DG258)</f>
        <v>20664</v>
      </c>
      <c r="CB258" s="93">
        <f>SUM($Z258:AU258)-SUM($CM258:DH258)</f>
        <v>20664</v>
      </c>
      <c r="CC258" s="93">
        <f>SUM($Z258:AV258)-SUM($CM258:DI258)</f>
        <v>20664</v>
      </c>
      <c r="CD258" s="93">
        <f>SUM($Z258:AW258)-SUM($CM258:DJ258)</f>
        <v>20664</v>
      </c>
      <c r="CE258" s="93">
        <f>SUM($Z258:AX258)-SUM($CM258:DK258)</f>
        <v>20664</v>
      </c>
      <c r="CF258" s="93">
        <f>SUM($Z258:AY258)-SUM($CM258:DL258)</f>
        <v>20664</v>
      </c>
      <c r="CG258" s="93">
        <f>SUM($Z258:AZ258)-SUM($CM258:DM258)</f>
        <v>20664</v>
      </c>
      <c r="CH258" s="93">
        <f>SUM($Z258:BA258)-SUM($CM258:DN258)</f>
        <v>20664</v>
      </c>
      <c r="CI258" s="93">
        <f>SUM($Z258:BB258)-SUM($CM258:DO258)</f>
        <v>20664</v>
      </c>
      <c r="CJ258" s="93"/>
      <c r="CK258" s="93"/>
      <c r="CL258" s="93"/>
      <c r="CM258" s="93"/>
      <c r="CN258" s="93" cm="1">
        <f t="array" ref="CN258">SUMPRODUCT(TRANSPOSE(CN$4:CN$20),$G258:$W258)</f>
        <v>0</v>
      </c>
      <c r="CO258" s="93" cm="1">
        <f t="array" ref="CO258">SUMPRODUCT(TRANSPOSE(CO$4:CO$20),$G258:$W258)</f>
        <v>0</v>
      </c>
      <c r="CP258" s="93" cm="1">
        <f t="array" ref="CP258">SUMPRODUCT(TRANSPOSE(CP$4:CP$20),$G258:$W258)</f>
        <v>0</v>
      </c>
      <c r="CQ258" s="93" cm="1">
        <f t="array" ref="CQ258">SUMPRODUCT(TRANSPOSE(CQ$4:CQ$20),$G258:$W258)</f>
        <v>3072</v>
      </c>
      <c r="CR258" s="93" cm="1">
        <f t="array" ref="CR258">SUMPRODUCT(TRANSPOSE(CR$4:CR$20),$G258:$W258)</f>
        <v>3072</v>
      </c>
      <c r="CS258" s="93" cm="1">
        <f t="array" ref="CS258">SUMPRODUCT(TRANSPOSE(CS$4:CS$20),$G258:$W258)</f>
        <v>3072</v>
      </c>
      <c r="CT258" s="93" cm="1">
        <f t="array" ref="CT258">SUMPRODUCT(TRANSPOSE(CT$4:CT$20),$G258:$W258)</f>
        <v>3072</v>
      </c>
      <c r="CU258" s="93" cm="1">
        <f t="array" ref="CU258">SUMPRODUCT(TRANSPOSE(CU$4:CU$20),$G258:$W258)</f>
        <v>3072</v>
      </c>
      <c r="CV258" s="93" cm="1">
        <f t="array" ref="CV258">SUMPRODUCT(TRANSPOSE(CV$4:CV$20),$G258:$W258)</f>
        <v>3072</v>
      </c>
      <c r="CW258" s="93" cm="1">
        <f t="array" ref="CW258">SUMPRODUCT(TRANSPOSE(CW$4:CW$20),$G258:$W258)</f>
        <v>3072</v>
      </c>
      <c r="CX258" s="93" cm="1">
        <f t="array" ref="CX258">SUMPRODUCT(TRANSPOSE(CX$4:CX$20),$G258:$W258)</f>
        <v>3072</v>
      </c>
      <c r="CY258" s="93" cm="1">
        <f t="array" ref="CY258">SUMPRODUCT(TRANSPOSE(CY$4:CY$20),$G258:$W258)</f>
        <v>0</v>
      </c>
      <c r="CZ258" s="93" cm="1">
        <f t="array" ref="CZ258">SUMPRODUCT(TRANSPOSE(CZ$4:CZ$20),$G258:$W258)</f>
        <v>0</v>
      </c>
      <c r="DA258" s="93" cm="1">
        <f t="array" ref="DA258">SUMPRODUCT(TRANSPOSE(DA$4:DA$20),$G258:$W258)</f>
        <v>0</v>
      </c>
      <c r="DB258" s="93" cm="1">
        <f t="array" ref="DB258">SUMPRODUCT(TRANSPOSE(DB$4:DB$20),$G258:$W258)</f>
        <v>0</v>
      </c>
      <c r="DC258" s="93" cm="1">
        <f t="array" ref="DC258">SUMPRODUCT(TRANSPOSE(DC$4:DC$20),$G258:$W258)</f>
        <v>0</v>
      </c>
      <c r="DD258" s="93" cm="1">
        <f t="array" ref="DD258">SUMPRODUCT(TRANSPOSE(DD$4:DD$20),$G258:$W258)</f>
        <v>0</v>
      </c>
      <c r="DE258" s="93" cm="1">
        <f t="array" ref="DE258">SUMPRODUCT(TRANSPOSE(DE$4:DE$20),$G258:$W258)</f>
        <v>0</v>
      </c>
      <c r="DF258" s="93" cm="1">
        <f t="array" ref="DF258">SUMPRODUCT(TRANSPOSE(DF$4:DF$20),$G258:$W258)</f>
        <v>0</v>
      </c>
      <c r="DG258" s="93" cm="1">
        <f t="array" ref="DG258">SUMPRODUCT(TRANSPOSE(DG$4:DG$20),$G258:$W258)</f>
        <v>0</v>
      </c>
      <c r="DH258" s="93" cm="1">
        <f t="array" ref="DH258">SUMPRODUCT(TRANSPOSE(DH$4:DH$20),$G258:$W258)</f>
        <v>0</v>
      </c>
      <c r="DI258" s="93" cm="1">
        <f t="array" ref="DI258">SUMPRODUCT(TRANSPOSE(DI$4:DI$20),$G258:$W258)</f>
        <v>0</v>
      </c>
      <c r="DJ258" s="93" cm="1">
        <f t="array" ref="DJ258">SUMPRODUCT(TRANSPOSE(DJ$4:DJ$20),$G258:$W258)</f>
        <v>0</v>
      </c>
      <c r="DK258" s="93" cm="1">
        <f t="array" ref="DK258">SUMPRODUCT(TRANSPOSE(DK$4:DK$20),$G258:$W258)</f>
        <v>0</v>
      </c>
      <c r="DL258" s="93" cm="1">
        <f t="array" ref="DL258">SUMPRODUCT(TRANSPOSE(DL$4:DL$20),$G258:$W258)</f>
        <v>0</v>
      </c>
      <c r="DM258" s="93" cm="1">
        <f t="array" ref="DM258">SUMPRODUCT(TRANSPOSE(DM$4:DM$20),$G258:$W258)</f>
        <v>0</v>
      </c>
      <c r="DN258" s="93" cm="1">
        <f t="array" ref="DN258">SUMPRODUCT(TRANSPOSE(DN$4:DN$20),$G258:$W258)</f>
        <v>0</v>
      </c>
      <c r="DO258" s="93" cm="1">
        <f t="array" ref="DO258">SUMPRODUCT(TRANSPOSE(DO$4:DO$20),$G258:$W258)</f>
        <v>0</v>
      </c>
    </row>
    <row r="259" spans="1:119" x14ac:dyDescent="0.2">
      <c r="A259" s="45">
        <f t="shared" si="29"/>
        <v>238</v>
      </c>
      <c r="B259" s="46" t="s">
        <v>608</v>
      </c>
      <c r="C259" s="45">
        <v>512306846</v>
      </c>
      <c r="D259" s="45" t="s">
        <v>606</v>
      </c>
      <c r="E259" s="45" t="s">
        <v>162</v>
      </c>
      <c r="F259" s="48">
        <v>2</v>
      </c>
      <c r="G259" s="100">
        <v>0</v>
      </c>
      <c r="H259" s="100">
        <v>0</v>
      </c>
      <c r="I259" s="100">
        <v>0</v>
      </c>
      <c r="J259" s="100">
        <v>0</v>
      </c>
      <c r="K259" s="100">
        <v>0</v>
      </c>
      <c r="L259" s="100">
        <v>0</v>
      </c>
      <c r="M259" s="100">
        <v>0</v>
      </c>
      <c r="N259" s="100">
        <v>0</v>
      </c>
      <c r="O259" s="100">
        <v>20</v>
      </c>
      <c r="P259" s="100">
        <v>0</v>
      </c>
      <c r="Q259" s="100">
        <v>0</v>
      </c>
      <c r="R259" s="100">
        <v>0</v>
      </c>
      <c r="S259" s="100">
        <v>20</v>
      </c>
      <c r="T259" s="100">
        <v>0</v>
      </c>
      <c r="U259" s="100">
        <v>0</v>
      </c>
      <c r="V259" s="100">
        <v>0</v>
      </c>
      <c r="W259" s="100">
        <v>0</v>
      </c>
      <c r="X259" s="45" t="s">
        <v>24</v>
      </c>
      <c r="Y259" s="49">
        <v>0.11899999999999999</v>
      </c>
      <c r="Z259" s="45">
        <v>21767</v>
      </c>
      <c r="AA259" s="45">
        <v>0</v>
      </c>
      <c r="AB259" s="45">
        <v>0</v>
      </c>
      <c r="AC259" s="45">
        <v>0</v>
      </c>
      <c r="AD259" s="45">
        <v>0</v>
      </c>
      <c r="AE259" s="45">
        <v>0</v>
      </c>
      <c r="AF259" s="45">
        <v>0</v>
      </c>
      <c r="AG259" s="45">
        <v>0</v>
      </c>
      <c r="AH259" s="45">
        <v>0</v>
      </c>
      <c r="AI259" s="45">
        <v>0</v>
      </c>
      <c r="AJ259" s="45">
        <v>0</v>
      </c>
      <c r="AK259" s="45">
        <v>0</v>
      </c>
      <c r="AL259" s="45">
        <v>0</v>
      </c>
      <c r="AM259" s="45">
        <v>0</v>
      </c>
      <c r="AN259" s="45">
        <v>0</v>
      </c>
      <c r="AO259" s="45"/>
      <c r="AP259" s="45"/>
      <c r="AQ259" s="45"/>
      <c r="AR259" s="45"/>
      <c r="AS259" s="45"/>
      <c r="AT259" s="45"/>
      <c r="AU259" s="45"/>
      <c r="AV259" s="45"/>
      <c r="AW259" s="45"/>
      <c r="AX259" s="45"/>
      <c r="AY259" s="45"/>
      <c r="AZ259" s="45"/>
      <c r="BA259" s="45"/>
      <c r="BB259" s="45"/>
      <c r="BC259" s="45"/>
      <c r="BD259" s="93"/>
      <c r="BE259" s="93"/>
      <c r="BF259" s="93"/>
      <c r="BG259" s="93"/>
      <c r="BH259" s="93"/>
      <c r="BI259" s="93"/>
      <c r="BJ259" s="93"/>
      <c r="BK259" s="93">
        <f>SUM($Z259:AD259)-SUM($CM259:CQ259)</f>
        <v>20207</v>
      </c>
      <c r="BL259" s="93">
        <f>SUM($Z259:AE259)-SUM($CM259:CR259)</f>
        <v>18807</v>
      </c>
      <c r="BM259" s="93">
        <f>SUM($Z259:AF259)-SUM($CM259:CS259)</f>
        <v>17507</v>
      </c>
      <c r="BN259" s="93">
        <f>SUM($Z259:AG259)-SUM($CM259:CT259)</f>
        <v>16307</v>
      </c>
      <c r="BO259" s="93">
        <f>SUM($Z259:AH259)-SUM($CM259:CU259)</f>
        <v>15107</v>
      </c>
      <c r="BP259" s="93">
        <f>SUM($Z259:AI259)-SUM($CM259:CV259)</f>
        <v>13907</v>
      </c>
      <c r="BQ259" s="93">
        <f>SUM($Z259:AJ259)-SUM($CM259:CW259)</f>
        <v>12707</v>
      </c>
      <c r="BR259" s="93">
        <f>SUM($Z259:AK259)-SUM($CM259:CX259)</f>
        <v>11507</v>
      </c>
      <c r="BS259" s="93">
        <f>SUM($Z259:AL259)-SUM($CM259:CY259)</f>
        <v>10307</v>
      </c>
      <c r="BT259" s="93">
        <f>SUM($Z259:AM259)-SUM($CM259:CZ259)</f>
        <v>9107</v>
      </c>
      <c r="BU259" s="93">
        <f>SUM($Z259:AN259)-SUM($CM259:DA259)</f>
        <v>7907</v>
      </c>
      <c r="BV259" s="93">
        <f>SUM($Z259:AO259)-SUM($CM259:DB259)</f>
        <v>7627</v>
      </c>
      <c r="BW259" s="93">
        <f>SUM($Z259:AP259)-SUM($CM259:DC259)</f>
        <v>7627</v>
      </c>
      <c r="BX259" s="93">
        <f>SUM($Z259:AQ259)-SUM($CM259:DD259)</f>
        <v>7627</v>
      </c>
      <c r="BY259" s="93">
        <f>SUM($Z259:AR259)-SUM($CM259:DE259)</f>
        <v>7627</v>
      </c>
      <c r="BZ259" s="93">
        <f>SUM($Z259:AS259)-SUM($CM259:DF259)</f>
        <v>7627</v>
      </c>
      <c r="CA259" s="93">
        <f>SUM($Z259:AT259)-SUM($CM259:DG259)</f>
        <v>7627</v>
      </c>
      <c r="CB259" s="93">
        <f>SUM($Z259:AU259)-SUM($CM259:DH259)</f>
        <v>7627</v>
      </c>
      <c r="CC259" s="93">
        <f>SUM($Z259:AV259)-SUM($CM259:DI259)</f>
        <v>7627</v>
      </c>
      <c r="CD259" s="93">
        <f>SUM($Z259:AW259)-SUM($CM259:DJ259)</f>
        <v>7627</v>
      </c>
      <c r="CE259" s="93">
        <f>SUM($Z259:AX259)-SUM($CM259:DK259)</f>
        <v>7627</v>
      </c>
      <c r="CF259" s="93">
        <f>SUM($Z259:AY259)-SUM($CM259:DL259)</f>
        <v>7627</v>
      </c>
      <c r="CG259" s="93">
        <f>SUM($Z259:AZ259)-SUM($CM259:DM259)</f>
        <v>7627</v>
      </c>
      <c r="CH259" s="93">
        <f>SUM($Z259:BA259)-SUM($CM259:DN259)</f>
        <v>7627</v>
      </c>
      <c r="CI259" s="93">
        <f>SUM($Z259:BB259)-SUM($CM259:DO259)</f>
        <v>7627</v>
      </c>
      <c r="CJ259" s="93"/>
      <c r="CK259" s="93"/>
      <c r="CL259" s="93"/>
      <c r="CM259" s="93"/>
      <c r="CN259" s="93" cm="1">
        <f t="array" ref="CN259">SUMPRODUCT(TRANSPOSE(CN$4:CN$20),$G259:$W259)</f>
        <v>0</v>
      </c>
      <c r="CO259" s="93" cm="1">
        <f t="array" ref="CO259">SUMPRODUCT(TRANSPOSE(CO$4:CO$20),$G259:$W259)</f>
        <v>0</v>
      </c>
      <c r="CP259" s="93" cm="1">
        <f t="array" ref="CP259">SUMPRODUCT(TRANSPOSE(CP$4:CP$20),$G259:$W259)</f>
        <v>0</v>
      </c>
      <c r="CQ259" s="93" cm="1">
        <f t="array" ref="CQ259">SUMPRODUCT(TRANSPOSE(CQ$4:CQ$20),$G259:$W259)</f>
        <v>1560</v>
      </c>
      <c r="CR259" s="93" cm="1">
        <f t="array" ref="CR259">SUMPRODUCT(TRANSPOSE(CR$4:CR$20),$G259:$W259)</f>
        <v>1400</v>
      </c>
      <c r="CS259" s="93" cm="1">
        <f t="array" ref="CS259">SUMPRODUCT(TRANSPOSE(CS$4:CS$20),$G259:$W259)</f>
        <v>1300</v>
      </c>
      <c r="CT259" s="93" cm="1">
        <f t="array" ref="CT259">SUMPRODUCT(TRANSPOSE(CT$4:CT$20),$G259:$W259)</f>
        <v>1200</v>
      </c>
      <c r="CU259" s="93" cm="1">
        <f t="array" ref="CU259">SUMPRODUCT(TRANSPOSE(CU$4:CU$20),$G259:$W259)</f>
        <v>1200</v>
      </c>
      <c r="CV259" s="93" cm="1">
        <f t="array" ref="CV259">SUMPRODUCT(TRANSPOSE(CV$4:CV$20),$G259:$W259)</f>
        <v>1200</v>
      </c>
      <c r="CW259" s="93" cm="1">
        <f t="array" ref="CW259">SUMPRODUCT(TRANSPOSE(CW$4:CW$20),$G259:$W259)</f>
        <v>1200</v>
      </c>
      <c r="CX259" s="93" cm="1">
        <f t="array" ref="CX259">SUMPRODUCT(TRANSPOSE(CX$4:CX$20),$G259:$W259)</f>
        <v>1200</v>
      </c>
      <c r="CY259" s="93" cm="1">
        <f t="array" ref="CY259">SUMPRODUCT(TRANSPOSE(CY$4:CY$20),$G259:$W259)</f>
        <v>1200</v>
      </c>
      <c r="CZ259" s="93" cm="1">
        <f t="array" ref="CZ259">SUMPRODUCT(TRANSPOSE(CZ$4:CZ$20),$G259:$W259)</f>
        <v>1200</v>
      </c>
      <c r="DA259" s="93" cm="1">
        <f t="array" ref="DA259">SUMPRODUCT(TRANSPOSE(DA$4:DA$20),$G259:$W259)</f>
        <v>1200</v>
      </c>
      <c r="DB259" s="93" cm="1">
        <f t="array" ref="DB259">SUMPRODUCT(TRANSPOSE(DB$4:DB$20),$G259:$W259)</f>
        <v>280</v>
      </c>
      <c r="DC259" s="93" cm="1">
        <f t="array" ref="DC259">SUMPRODUCT(TRANSPOSE(DC$4:DC$20),$G259:$W259)</f>
        <v>0</v>
      </c>
      <c r="DD259" s="93" cm="1">
        <f t="array" ref="DD259">SUMPRODUCT(TRANSPOSE(DD$4:DD$20),$G259:$W259)</f>
        <v>0</v>
      </c>
      <c r="DE259" s="93" cm="1">
        <f t="array" ref="DE259">SUMPRODUCT(TRANSPOSE(DE$4:DE$20),$G259:$W259)</f>
        <v>0</v>
      </c>
      <c r="DF259" s="93" cm="1">
        <f t="array" ref="DF259">SUMPRODUCT(TRANSPOSE(DF$4:DF$20),$G259:$W259)</f>
        <v>0</v>
      </c>
      <c r="DG259" s="93" cm="1">
        <f t="array" ref="DG259">SUMPRODUCT(TRANSPOSE(DG$4:DG$20),$G259:$W259)</f>
        <v>0</v>
      </c>
      <c r="DH259" s="93" cm="1">
        <f t="array" ref="DH259">SUMPRODUCT(TRANSPOSE(DH$4:DH$20),$G259:$W259)</f>
        <v>0</v>
      </c>
      <c r="DI259" s="93" cm="1">
        <f t="array" ref="DI259">SUMPRODUCT(TRANSPOSE(DI$4:DI$20),$G259:$W259)</f>
        <v>0</v>
      </c>
      <c r="DJ259" s="93" cm="1">
        <f t="array" ref="DJ259">SUMPRODUCT(TRANSPOSE(DJ$4:DJ$20),$G259:$W259)</f>
        <v>0</v>
      </c>
      <c r="DK259" s="93" cm="1">
        <f t="array" ref="DK259">SUMPRODUCT(TRANSPOSE(DK$4:DK$20),$G259:$W259)</f>
        <v>0</v>
      </c>
      <c r="DL259" s="93" cm="1">
        <f t="array" ref="DL259">SUMPRODUCT(TRANSPOSE(DL$4:DL$20),$G259:$W259)</f>
        <v>0</v>
      </c>
      <c r="DM259" s="93" cm="1">
        <f t="array" ref="DM259">SUMPRODUCT(TRANSPOSE(DM$4:DM$20),$G259:$W259)</f>
        <v>0</v>
      </c>
      <c r="DN259" s="93" cm="1">
        <f t="array" ref="DN259">SUMPRODUCT(TRANSPOSE(DN$4:DN$20),$G259:$W259)</f>
        <v>0</v>
      </c>
      <c r="DO259" s="93" cm="1">
        <f t="array" ref="DO259">SUMPRODUCT(TRANSPOSE(DO$4:DO$20),$G259:$W259)</f>
        <v>0</v>
      </c>
    </row>
    <row r="260" spans="1:119" x14ac:dyDescent="0.2">
      <c r="A260" s="45">
        <f t="shared" si="29"/>
        <v>239</v>
      </c>
      <c r="B260" s="46" t="s">
        <v>609</v>
      </c>
      <c r="C260" s="45">
        <v>512306838</v>
      </c>
      <c r="D260" s="45" t="s">
        <v>606</v>
      </c>
      <c r="E260" s="45" t="s">
        <v>162</v>
      </c>
      <c r="F260" s="48">
        <v>2</v>
      </c>
      <c r="G260" s="100">
        <v>0</v>
      </c>
      <c r="H260" s="100">
        <v>0</v>
      </c>
      <c r="I260" s="100">
        <v>0</v>
      </c>
      <c r="J260" s="100">
        <v>0</v>
      </c>
      <c r="K260" s="100">
        <v>0</v>
      </c>
      <c r="L260" s="100">
        <v>0</v>
      </c>
      <c r="M260" s="100">
        <v>0</v>
      </c>
      <c r="N260" s="100">
        <v>0</v>
      </c>
      <c r="O260" s="100">
        <v>30</v>
      </c>
      <c r="P260" s="100">
        <v>0</v>
      </c>
      <c r="Q260" s="100">
        <v>0</v>
      </c>
      <c r="R260" s="100">
        <v>0</v>
      </c>
      <c r="S260" s="100">
        <v>30</v>
      </c>
      <c r="T260" s="100">
        <v>0</v>
      </c>
      <c r="U260" s="100">
        <v>0</v>
      </c>
      <c r="V260" s="100">
        <v>0</v>
      </c>
      <c r="W260" s="100">
        <v>0</v>
      </c>
      <c r="X260" s="45" t="s">
        <v>24</v>
      </c>
      <c r="Y260" s="49">
        <v>0.13500000000000001</v>
      </c>
      <c r="Z260" s="45">
        <v>32643</v>
      </c>
      <c r="AA260" s="45">
        <v>0</v>
      </c>
      <c r="AB260" s="45">
        <v>0</v>
      </c>
      <c r="AC260" s="45">
        <v>0</v>
      </c>
      <c r="AD260" s="45">
        <v>0</v>
      </c>
      <c r="AE260" s="45">
        <v>0</v>
      </c>
      <c r="AF260" s="45">
        <v>0</v>
      </c>
      <c r="AG260" s="45">
        <v>0</v>
      </c>
      <c r="AH260" s="45">
        <v>0</v>
      </c>
      <c r="AI260" s="45">
        <v>0</v>
      </c>
      <c r="AJ260" s="45">
        <v>0</v>
      </c>
      <c r="AK260" s="45">
        <v>0</v>
      </c>
      <c r="AL260" s="45">
        <v>0</v>
      </c>
      <c r="AM260" s="45">
        <v>0</v>
      </c>
      <c r="AN260" s="45">
        <v>0</v>
      </c>
      <c r="AO260" s="45"/>
      <c r="AP260" s="45"/>
      <c r="AQ260" s="45"/>
      <c r="AR260" s="45"/>
      <c r="AS260" s="45"/>
      <c r="AT260" s="45"/>
      <c r="AU260" s="45"/>
      <c r="AV260" s="45"/>
      <c r="AW260" s="45"/>
      <c r="AX260" s="45"/>
      <c r="AY260" s="45"/>
      <c r="AZ260" s="45"/>
      <c r="BA260" s="45"/>
      <c r="BB260" s="45"/>
      <c r="BC260" s="45"/>
      <c r="BD260" s="93"/>
      <c r="BE260" s="93"/>
      <c r="BF260" s="93"/>
      <c r="BG260" s="93"/>
      <c r="BH260" s="93"/>
      <c r="BI260" s="93"/>
      <c r="BJ260" s="93"/>
      <c r="BK260" s="93">
        <f>SUM($Z260:AD260)-SUM($CM260:CQ260)</f>
        <v>30303</v>
      </c>
      <c r="BL260" s="93">
        <f>SUM($Z260:AE260)-SUM($CM260:CR260)</f>
        <v>28203</v>
      </c>
      <c r="BM260" s="93">
        <f>SUM($Z260:AF260)-SUM($CM260:CS260)</f>
        <v>26253</v>
      </c>
      <c r="BN260" s="93">
        <f>SUM($Z260:AG260)-SUM($CM260:CT260)</f>
        <v>24453</v>
      </c>
      <c r="BO260" s="93">
        <f>SUM($Z260:AH260)-SUM($CM260:CU260)</f>
        <v>22653</v>
      </c>
      <c r="BP260" s="93">
        <f>SUM($Z260:AI260)-SUM($CM260:CV260)</f>
        <v>20853</v>
      </c>
      <c r="BQ260" s="93">
        <f>SUM($Z260:AJ260)-SUM($CM260:CW260)</f>
        <v>19053</v>
      </c>
      <c r="BR260" s="93">
        <f>SUM($Z260:AK260)-SUM($CM260:CX260)</f>
        <v>17253</v>
      </c>
      <c r="BS260" s="93">
        <f>SUM($Z260:AL260)-SUM($CM260:CY260)</f>
        <v>15453</v>
      </c>
      <c r="BT260" s="93">
        <f>SUM($Z260:AM260)-SUM($CM260:CZ260)</f>
        <v>13653</v>
      </c>
      <c r="BU260" s="93">
        <f>SUM($Z260:AN260)-SUM($CM260:DA260)</f>
        <v>11853</v>
      </c>
      <c r="BV260" s="93">
        <f>SUM($Z260:AO260)-SUM($CM260:DB260)</f>
        <v>11433</v>
      </c>
      <c r="BW260" s="93">
        <f>SUM($Z260:AP260)-SUM($CM260:DC260)</f>
        <v>11433</v>
      </c>
      <c r="BX260" s="93">
        <f>SUM($Z260:AQ260)-SUM($CM260:DD260)</f>
        <v>11433</v>
      </c>
      <c r="BY260" s="93">
        <f>SUM($Z260:AR260)-SUM($CM260:DE260)</f>
        <v>11433</v>
      </c>
      <c r="BZ260" s="93">
        <f>SUM($Z260:AS260)-SUM($CM260:DF260)</f>
        <v>11433</v>
      </c>
      <c r="CA260" s="93">
        <f>SUM($Z260:AT260)-SUM($CM260:DG260)</f>
        <v>11433</v>
      </c>
      <c r="CB260" s="93">
        <f>SUM($Z260:AU260)-SUM($CM260:DH260)</f>
        <v>11433</v>
      </c>
      <c r="CC260" s="93">
        <f>SUM($Z260:AV260)-SUM($CM260:DI260)</f>
        <v>11433</v>
      </c>
      <c r="CD260" s="93">
        <f>SUM($Z260:AW260)-SUM($CM260:DJ260)</f>
        <v>11433</v>
      </c>
      <c r="CE260" s="93">
        <f>SUM($Z260:AX260)-SUM($CM260:DK260)</f>
        <v>11433</v>
      </c>
      <c r="CF260" s="93">
        <f>SUM($Z260:AY260)-SUM($CM260:DL260)</f>
        <v>11433</v>
      </c>
      <c r="CG260" s="93">
        <f>SUM($Z260:AZ260)-SUM($CM260:DM260)</f>
        <v>11433</v>
      </c>
      <c r="CH260" s="93">
        <f>SUM($Z260:BA260)-SUM($CM260:DN260)</f>
        <v>11433</v>
      </c>
      <c r="CI260" s="93">
        <f>SUM($Z260:BB260)-SUM($CM260:DO260)</f>
        <v>11433</v>
      </c>
      <c r="CJ260" s="93"/>
      <c r="CK260" s="93"/>
      <c r="CL260" s="93"/>
      <c r="CM260" s="93"/>
      <c r="CN260" s="93" cm="1">
        <f t="array" ref="CN260">SUMPRODUCT(TRANSPOSE(CN$4:CN$20),$G260:$W260)</f>
        <v>0</v>
      </c>
      <c r="CO260" s="93" cm="1">
        <f t="array" ref="CO260">SUMPRODUCT(TRANSPOSE(CO$4:CO$20),$G260:$W260)</f>
        <v>0</v>
      </c>
      <c r="CP260" s="93" cm="1">
        <f t="array" ref="CP260">SUMPRODUCT(TRANSPOSE(CP$4:CP$20),$G260:$W260)</f>
        <v>0</v>
      </c>
      <c r="CQ260" s="93" cm="1">
        <f t="array" ref="CQ260">SUMPRODUCT(TRANSPOSE(CQ$4:CQ$20),$G260:$W260)</f>
        <v>2340</v>
      </c>
      <c r="CR260" s="93" cm="1">
        <f t="array" ref="CR260">SUMPRODUCT(TRANSPOSE(CR$4:CR$20),$G260:$W260)</f>
        <v>2100</v>
      </c>
      <c r="CS260" s="93" cm="1">
        <f t="array" ref="CS260">SUMPRODUCT(TRANSPOSE(CS$4:CS$20),$G260:$W260)</f>
        <v>1950</v>
      </c>
      <c r="CT260" s="93" cm="1">
        <f t="array" ref="CT260">SUMPRODUCT(TRANSPOSE(CT$4:CT$20),$G260:$W260)</f>
        <v>1800</v>
      </c>
      <c r="CU260" s="93" cm="1">
        <f t="array" ref="CU260">SUMPRODUCT(TRANSPOSE(CU$4:CU$20),$G260:$W260)</f>
        <v>1800</v>
      </c>
      <c r="CV260" s="93" cm="1">
        <f t="array" ref="CV260">SUMPRODUCT(TRANSPOSE(CV$4:CV$20),$G260:$W260)</f>
        <v>1800</v>
      </c>
      <c r="CW260" s="93" cm="1">
        <f t="array" ref="CW260">SUMPRODUCT(TRANSPOSE(CW$4:CW$20),$G260:$W260)</f>
        <v>1800</v>
      </c>
      <c r="CX260" s="93" cm="1">
        <f t="array" ref="CX260">SUMPRODUCT(TRANSPOSE(CX$4:CX$20),$G260:$W260)</f>
        <v>1800</v>
      </c>
      <c r="CY260" s="93" cm="1">
        <f t="array" ref="CY260">SUMPRODUCT(TRANSPOSE(CY$4:CY$20),$G260:$W260)</f>
        <v>1800</v>
      </c>
      <c r="CZ260" s="93" cm="1">
        <f t="array" ref="CZ260">SUMPRODUCT(TRANSPOSE(CZ$4:CZ$20),$G260:$W260)</f>
        <v>1800</v>
      </c>
      <c r="DA260" s="93" cm="1">
        <f t="array" ref="DA260">SUMPRODUCT(TRANSPOSE(DA$4:DA$20),$G260:$W260)</f>
        <v>1800</v>
      </c>
      <c r="DB260" s="93" cm="1">
        <f t="array" ref="DB260">SUMPRODUCT(TRANSPOSE(DB$4:DB$20),$G260:$W260)</f>
        <v>420</v>
      </c>
      <c r="DC260" s="93" cm="1">
        <f t="array" ref="DC260">SUMPRODUCT(TRANSPOSE(DC$4:DC$20),$G260:$W260)</f>
        <v>0</v>
      </c>
      <c r="DD260" s="93" cm="1">
        <f t="array" ref="DD260">SUMPRODUCT(TRANSPOSE(DD$4:DD$20),$G260:$W260)</f>
        <v>0</v>
      </c>
      <c r="DE260" s="93" cm="1">
        <f t="array" ref="DE260">SUMPRODUCT(TRANSPOSE(DE$4:DE$20),$G260:$W260)</f>
        <v>0</v>
      </c>
      <c r="DF260" s="93" cm="1">
        <f t="array" ref="DF260">SUMPRODUCT(TRANSPOSE(DF$4:DF$20),$G260:$W260)</f>
        <v>0</v>
      </c>
      <c r="DG260" s="93" cm="1">
        <f t="array" ref="DG260">SUMPRODUCT(TRANSPOSE(DG$4:DG$20),$G260:$W260)</f>
        <v>0</v>
      </c>
      <c r="DH260" s="93" cm="1">
        <f t="array" ref="DH260">SUMPRODUCT(TRANSPOSE(DH$4:DH$20),$G260:$W260)</f>
        <v>0</v>
      </c>
      <c r="DI260" s="93" cm="1">
        <f t="array" ref="DI260">SUMPRODUCT(TRANSPOSE(DI$4:DI$20),$G260:$W260)</f>
        <v>0</v>
      </c>
      <c r="DJ260" s="93" cm="1">
        <f t="array" ref="DJ260">SUMPRODUCT(TRANSPOSE(DJ$4:DJ$20),$G260:$W260)</f>
        <v>0</v>
      </c>
      <c r="DK260" s="93" cm="1">
        <f t="array" ref="DK260">SUMPRODUCT(TRANSPOSE(DK$4:DK$20),$G260:$W260)</f>
        <v>0</v>
      </c>
      <c r="DL260" s="93" cm="1">
        <f t="array" ref="DL260">SUMPRODUCT(TRANSPOSE(DL$4:DL$20),$G260:$W260)</f>
        <v>0</v>
      </c>
      <c r="DM260" s="93" cm="1">
        <f t="array" ref="DM260">SUMPRODUCT(TRANSPOSE(DM$4:DM$20),$G260:$W260)</f>
        <v>0</v>
      </c>
      <c r="DN260" s="93" cm="1">
        <f t="array" ref="DN260">SUMPRODUCT(TRANSPOSE(DN$4:DN$20),$G260:$W260)</f>
        <v>0</v>
      </c>
      <c r="DO260" s="93" cm="1">
        <f t="array" ref="DO260">SUMPRODUCT(TRANSPOSE(DO$4:DO$20),$G260:$W260)</f>
        <v>0</v>
      </c>
    </row>
    <row r="261" spans="1:119" x14ac:dyDescent="0.2">
      <c r="A261" s="45">
        <f t="shared" si="29"/>
        <v>240</v>
      </c>
      <c r="B261" s="46" t="s">
        <v>610</v>
      </c>
      <c r="C261" s="45">
        <v>512306861</v>
      </c>
      <c r="D261" s="45" t="s">
        <v>606</v>
      </c>
      <c r="E261" s="45" t="s">
        <v>162</v>
      </c>
      <c r="F261" s="48">
        <v>2</v>
      </c>
      <c r="G261" s="100">
        <v>0</v>
      </c>
      <c r="H261" s="100">
        <v>0</v>
      </c>
      <c r="I261" s="100">
        <v>0</v>
      </c>
      <c r="J261" s="100">
        <v>0</v>
      </c>
      <c r="K261" s="100">
        <v>0</v>
      </c>
      <c r="L261" s="100">
        <v>0</v>
      </c>
      <c r="M261" s="100">
        <v>0</v>
      </c>
      <c r="N261" s="100">
        <v>0</v>
      </c>
      <c r="O261" s="100">
        <v>4</v>
      </c>
      <c r="P261" s="100">
        <v>0</v>
      </c>
      <c r="Q261" s="100">
        <v>0</v>
      </c>
      <c r="R261" s="100">
        <v>0</v>
      </c>
      <c r="S261" s="100">
        <v>4</v>
      </c>
      <c r="T261" s="100">
        <v>0</v>
      </c>
      <c r="U261" s="100">
        <v>0</v>
      </c>
      <c r="V261" s="100">
        <v>0</v>
      </c>
      <c r="W261" s="100">
        <v>68</v>
      </c>
      <c r="X261" s="45" t="s">
        <v>24</v>
      </c>
      <c r="Y261" s="49">
        <v>0.13900000000000001</v>
      </c>
      <c r="Z261" s="45">
        <v>19958</v>
      </c>
      <c r="AA261" s="45">
        <v>0</v>
      </c>
      <c r="AB261" s="45">
        <v>0</v>
      </c>
      <c r="AC261" s="45">
        <v>0</v>
      </c>
      <c r="AD261" s="45">
        <v>0</v>
      </c>
      <c r="AE261" s="45">
        <v>0</v>
      </c>
      <c r="AF261" s="45">
        <v>0</v>
      </c>
      <c r="AG261" s="45">
        <v>0</v>
      </c>
      <c r="AH261" s="45">
        <v>0</v>
      </c>
      <c r="AI261" s="45">
        <v>0</v>
      </c>
      <c r="AJ261" s="45">
        <v>0</v>
      </c>
      <c r="AK261" s="45">
        <v>0</v>
      </c>
      <c r="AL261" s="45">
        <v>0</v>
      </c>
      <c r="AM261" s="45">
        <v>0</v>
      </c>
      <c r="AN261" s="45">
        <v>0</v>
      </c>
      <c r="AO261" s="45"/>
      <c r="AP261" s="45"/>
      <c r="AQ261" s="45"/>
      <c r="AR261" s="45"/>
      <c r="AS261" s="45"/>
      <c r="AT261" s="45"/>
      <c r="AU261" s="45"/>
      <c r="AV261" s="45"/>
      <c r="AW261" s="45"/>
      <c r="AX261" s="45"/>
      <c r="AY261" s="45"/>
      <c r="AZ261" s="45"/>
      <c r="BA261" s="45"/>
      <c r="BB261" s="45"/>
      <c r="BC261" s="45"/>
      <c r="BD261" s="93"/>
      <c r="BE261" s="93"/>
      <c r="BF261" s="93"/>
      <c r="BG261" s="93"/>
      <c r="BH261" s="93"/>
      <c r="BI261" s="93"/>
      <c r="BJ261" s="93"/>
      <c r="BK261" s="93">
        <f>SUM($Z261:AD261)-SUM($CM261:CQ261)</f>
        <v>18558</v>
      </c>
      <c r="BL261" s="93">
        <f>SUM($Z261:AE261)-SUM($CM261:CR261)</f>
        <v>17190</v>
      </c>
      <c r="BM261" s="93">
        <f>SUM($Z261:AF261)-SUM($CM261:CS261)</f>
        <v>15842</v>
      </c>
      <c r="BN261" s="93">
        <f>SUM($Z261:AG261)-SUM($CM261:CT261)</f>
        <v>14514</v>
      </c>
      <c r="BO261" s="93">
        <f>SUM($Z261:AH261)-SUM($CM261:CU261)</f>
        <v>13186</v>
      </c>
      <c r="BP261" s="93">
        <f>SUM($Z261:AI261)-SUM($CM261:CV261)</f>
        <v>11858</v>
      </c>
      <c r="BQ261" s="93">
        <f>SUM($Z261:AJ261)-SUM($CM261:CW261)</f>
        <v>10530</v>
      </c>
      <c r="BR261" s="93">
        <f>SUM($Z261:AK261)-SUM($CM261:CX261)</f>
        <v>9202</v>
      </c>
      <c r="BS261" s="93">
        <f>SUM($Z261:AL261)-SUM($CM261:CY261)</f>
        <v>8962</v>
      </c>
      <c r="BT261" s="93">
        <f>SUM($Z261:AM261)-SUM($CM261:CZ261)</f>
        <v>8722</v>
      </c>
      <c r="BU261" s="93">
        <f>SUM($Z261:AN261)-SUM($CM261:DA261)</f>
        <v>8482</v>
      </c>
      <c r="BV261" s="93">
        <f>SUM($Z261:AO261)-SUM($CM261:DB261)</f>
        <v>8426</v>
      </c>
      <c r="BW261" s="93">
        <f>SUM($Z261:AP261)-SUM($CM261:DC261)</f>
        <v>8426</v>
      </c>
      <c r="BX261" s="93">
        <f>SUM($Z261:AQ261)-SUM($CM261:DD261)</f>
        <v>8426</v>
      </c>
      <c r="BY261" s="93">
        <f>SUM($Z261:AR261)-SUM($CM261:DE261)</f>
        <v>8426</v>
      </c>
      <c r="BZ261" s="93">
        <f>SUM($Z261:AS261)-SUM($CM261:DF261)</f>
        <v>8426</v>
      </c>
      <c r="CA261" s="93">
        <f>SUM($Z261:AT261)-SUM($CM261:DG261)</f>
        <v>8426</v>
      </c>
      <c r="CB261" s="93">
        <f>SUM($Z261:AU261)-SUM($CM261:DH261)</f>
        <v>8426</v>
      </c>
      <c r="CC261" s="93">
        <f>SUM($Z261:AV261)-SUM($CM261:DI261)</f>
        <v>8426</v>
      </c>
      <c r="CD261" s="93">
        <f>SUM($Z261:AW261)-SUM($CM261:DJ261)</f>
        <v>8426</v>
      </c>
      <c r="CE261" s="93">
        <f>SUM($Z261:AX261)-SUM($CM261:DK261)</f>
        <v>8426</v>
      </c>
      <c r="CF261" s="93">
        <f>SUM($Z261:AY261)-SUM($CM261:DL261)</f>
        <v>8426</v>
      </c>
      <c r="CG261" s="93">
        <f>SUM($Z261:AZ261)-SUM($CM261:DM261)</f>
        <v>8426</v>
      </c>
      <c r="CH261" s="93">
        <f>SUM($Z261:BA261)-SUM($CM261:DN261)</f>
        <v>8426</v>
      </c>
      <c r="CI261" s="93">
        <f>SUM($Z261:BB261)-SUM($CM261:DO261)</f>
        <v>8426</v>
      </c>
      <c r="CJ261" s="93"/>
      <c r="CK261" s="93"/>
      <c r="CL261" s="93"/>
      <c r="CM261" s="93"/>
      <c r="CN261" s="93" cm="1">
        <f t="array" ref="CN261">SUMPRODUCT(TRANSPOSE(CN$4:CN$20),$G261:$W261)</f>
        <v>0</v>
      </c>
      <c r="CO261" s="93" cm="1">
        <f t="array" ref="CO261">SUMPRODUCT(TRANSPOSE(CO$4:CO$20),$G261:$W261)</f>
        <v>0</v>
      </c>
      <c r="CP261" s="93" cm="1">
        <f t="array" ref="CP261">SUMPRODUCT(TRANSPOSE(CP$4:CP$20),$G261:$W261)</f>
        <v>0</v>
      </c>
      <c r="CQ261" s="93" cm="1">
        <f t="array" ref="CQ261">SUMPRODUCT(TRANSPOSE(CQ$4:CQ$20),$G261:$W261)</f>
        <v>1400</v>
      </c>
      <c r="CR261" s="93" cm="1">
        <f t="array" ref="CR261">SUMPRODUCT(TRANSPOSE(CR$4:CR$20),$G261:$W261)</f>
        <v>1368</v>
      </c>
      <c r="CS261" s="93" cm="1">
        <f t="array" ref="CS261">SUMPRODUCT(TRANSPOSE(CS$4:CS$20),$G261:$W261)</f>
        <v>1348</v>
      </c>
      <c r="CT261" s="93" cm="1">
        <f t="array" ref="CT261">SUMPRODUCT(TRANSPOSE(CT$4:CT$20),$G261:$W261)</f>
        <v>1328</v>
      </c>
      <c r="CU261" s="93" cm="1">
        <f t="array" ref="CU261">SUMPRODUCT(TRANSPOSE(CU$4:CU$20),$G261:$W261)</f>
        <v>1328</v>
      </c>
      <c r="CV261" s="93" cm="1">
        <f t="array" ref="CV261">SUMPRODUCT(TRANSPOSE(CV$4:CV$20),$G261:$W261)</f>
        <v>1328</v>
      </c>
      <c r="CW261" s="93" cm="1">
        <f t="array" ref="CW261">SUMPRODUCT(TRANSPOSE(CW$4:CW$20),$G261:$W261)</f>
        <v>1328</v>
      </c>
      <c r="CX261" s="93" cm="1">
        <f t="array" ref="CX261">SUMPRODUCT(TRANSPOSE(CX$4:CX$20),$G261:$W261)</f>
        <v>1328</v>
      </c>
      <c r="CY261" s="93" cm="1">
        <f t="array" ref="CY261">SUMPRODUCT(TRANSPOSE(CY$4:CY$20),$G261:$W261)</f>
        <v>240</v>
      </c>
      <c r="CZ261" s="93" cm="1">
        <f t="array" ref="CZ261">SUMPRODUCT(TRANSPOSE(CZ$4:CZ$20),$G261:$W261)</f>
        <v>240</v>
      </c>
      <c r="DA261" s="93" cm="1">
        <f t="array" ref="DA261">SUMPRODUCT(TRANSPOSE(DA$4:DA$20),$G261:$W261)</f>
        <v>240</v>
      </c>
      <c r="DB261" s="93" cm="1">
        <f t="array" ref="DB261">SUMPRODUCT(TRANSPOSE(DB$4:DB$20),$G261:$W261)</f>
        <v>56</v>
      </c>
      <c r="DC261" s="93" cm="1">
        <f t="array" ref="DC261">SUMPRODUCT(TRANSPOSE(DC$4:DC$20),$G261:$W261)</f>
        <v>0</v>
      </c>
      <c r="DD261" s="93" cm="1">
        <f t="array" ref="DD261">SUMPRODUCT(TRANSPOSE(DD$4:DD$20),$G261:$W261)</f>
        <v>0</v>
      </c>
      <c r="DE261" s="93" cm="1">
        <f t="array" ref="DE261">SUMPRODUCT(TRANSPOSE(DE$4:DE$20),$G261:$W261)</f>
        <v>0</v>
      </c>
      <c r="DF261" s="93" cm="1">
        <f t="array" ref="DF261">SUMPRODUCT(TRANSPOSE(DF$4:DF$20),$G261:$W261)</f>
        <v>0</v>
      </c>
      <c r="DG261" s="93" cm="1">
        <f t="array" ref="DG261">SUMPRODUCT(TRANSPOSE(DG$4:DG$20),$G261:$W261)</f>
        <v>0</v>
      </c>
      <c r="DH261" s="93" cm="1">
        <f t="array" ref="DH261">SUMPRODUCT(TRANSPOSE(DH$4:DH$20),$G261:$W261)</f>
        <v>0</v>
      </c>
      <c r="DI261" s="93" cm="1">
        <f t="array" ref="DI261">SUMPRODUCT(TRANSPOSE(DI$4:DI$20),$G261:$W261)</f>
        <v>0</v>
      </c>
      <c r="DJ261" s="93" cm="1">
        <f t="array" ref="DJ261">SUMPRODUCT(TRANSPOSE(DJ$4:DJ$20),$G261:$W261)</f>
        <v>0</v>
      </c>
      <c r="DK261" s="93" cm="1">
        <f t="array" ref="DK261">SUMPRODUCT(TRANSPOSE(DK$4:DK$20),$G261:$W261)</f>
        <v>0</v>
      </c>
      <c r="DL261" s="93" cm="1">
        <f t="array" ref="DL261">SUMPRODUCT(TRANSPOSE(DL$4:DL$20),$G261:$W261)</f>
        <v>0</v>
      </c>
      <c r="DM261" s="93" cm="1">
        <f t="array" ref="DM261">SUMPRODUCT(TRANSPOSE(DM$4:DM$20),$G261:$W261)</f>
        <v>0</v>
      </c>
      <c r="DN261" s="93" cm="1">
        <f t="array" ref="DN261">SUMPRODUCT(TRANSPOSE(DN$4:DN$20),$G261:$W261)</f>
        <v>0</v>
      </c>
      <c r="DO261" s="93" cm="1">
        <f t="array" ref="DO261">SUMPRODUCT(TRANSPOSE(DO$4:DO$20),$G261:$W261)</f>
        <v>0</v>
      </c>
    </row>
    <row r="262" spans="1:119" x14ac:dyDescent="0.2">
      <c r="A262" s="45">
        <f t="shared" si="29"/>
        <v>241</v>
      </c>
      <c r="B262" s="46" t="s">
        <v>611</v>
      </c>
      <c r="C262" s="45">
        <v>512313149</v>
      </c>
      <c r="D262" s="45" t="s">
        <v>612</v>
      </c>
      <c r="E262" s="45" t="s">
        <v>162</v>
      </c>
      <c r="F262" s="48">
        <v>2</v>
      </c>
      <c r="G262" s="100">
        <v>0</v>
      </c>
      <c r="H262" s="100">
        <v>0</v>
      </c>
      <c r="I262" s="100">
        <v>4</v>
      </c>
      <c r="J262" s="100">
        <v>0</v>
      </c>
      <c r="K262" s="100">
        <v>4</v>
      </c>
      <c r="L262" s="100">
        <v>0</v>
      </c>
      <c r="M262" s="100">
        <v>0</v>
      </c>
      <c r="N262" s="100">
        <v>0</v>
      </c>
      <c r="O262" s="100">
        <v>0</v>
      </c>
      <c r="P262" s="100">
        <v>0</v>
      </c>
      <c r="Q262" s="100">
        <v>0</v>
      </c>
      <c r="R262" s="100">
        <v>0</v>
      </c>
      <c r="S262" s="100">
        <v>0</v>
      </c>
      <c r="T262" s="100">
        <v>0</v>
      </c>
      <c r="U262" s="100">
        <v>0</v>
      </c>
      <c r="V262" s="100">
        <v>0</v>
      </c>
      <c r="W262" s="100">
        <v>560</v>
      </c>
      <c r="X262" s="45" t="s">
        <v>24</v>
      </c>
      <c r="Y262" s="49">
        <v>3.2899999999999999E-2</v>
      </c>
      <c r="Z262" s="45">
        <v>133009</v>
      </c>
      <c r="AA262" s="45">
        <v>0</v>
      </c>
      <c r="AB262" s="45">
        <v>0</v>
      </c>
      <c r="AC262" s="45">
        <v>0</v>
      </c>
      <c r="AD262" s="45">
        <v>0</v>
      </c>
      <c r="AE262" s="45">
        <v>0</v>
      </c>
      <c r="AF262" s="45">
        <v>0</v>
      </c>
      <c r="AG262" s="45">
        <v>0</v>
      </c>
      <c r="AH262" s="45">
        <v>0</v>
      </c>
      <c r="AI262" s="45">
        <v>0</v>
      </c>
      <c r="AJ262" s="45">
        <v>0</v>
      </c>
      <c r="AK262" s="45">
        <v>0</v>
      </c>
      <c r="AL262" s="45">
        <v>0</v>
      </c>
      <c r="AM262" s="45">
        <v>0</v>
      </c>
      <c r="AN262" s="45">
        <v>0</v>
      </c>
      <c r="AO262" s="45"/>
      <c r="AP262" s="45"/>
      <c r="AQ262" s="45"/>
      <c r="AR262" s="45"/>
      <c r="AS262" s="45"/>
      <c r="AT262" s="45"/>
      <c r="AU262" s="45"/>
      <c r="AV262" s="45"/>
      <c r="AW262" s="45"/>
      <c r="AX262" s="45"/>
      <c r="AY262" s="45"/>
      <c r="AZ262" s="45"/>
      <c r="BA262" s="45"/>
      <c r="BB262" s="45"/>
      <c r="BC262" s="45"/>
      <c r="BD262" s="93"/>
      <c r="BE262" s="93"/>
      <c r="BF262" s="93"/>
      <c r="BG262" s="93"/>
      <c r="BH262" s="93"/>
      <c r="BI262" s="93"/>
      <c r="BJ262" s="93"/>
      <c r="BK262" s="93">
        <f>SUM($Z262:AD262)-SUM($CM262:CQ262)</f>
        <v>123985</v>
      </c>
      <c r="BL262" s="93">
        <f>SUM($Z262:AE262)-SUM($CM262:CR262)</f>
        <v>114961</v>
      </c>
      <c r="BM262" s="93">
        <f>SUM($Z262:AF262)-SUM($CM262:CS262)</f>
        <v>105937</v>
      </c>
      <c r="BN262" s="93">
        <f>SUM($Z262:AG262)-SUM($CM262:CT262)</f>
        <v>96913</v>
      </c>
      <c r="BO262" s="93">
        <f>SUM($Z262:AH262)-SUM($CM262:CU262)</f>
        <v>87889</v>
      </c>
      <c r="BP262" s="93">
        <f>SUM($Z262:AI262)-SUM($CM262:CV262)</f>
        <v>78865</v>
      </c>
      <c r="BQ262" s="93">
        <f>SUM($Z262:AJ262)-SUM($CM262:CW262)</f>
        <v>69841</v>
      </c>
      <c r="BR262" s="93">
        <f>SUM($Z262:AK262)-SUM($CM262:CX262)</f>
        <v>60817</v>
      </c>
      <c r="BS262" s="93">
        <f>SUM($Z262:AL262)-SUM($CM262:CY262)</f>
        <v>60753</v>
      </c>
      <c r="BT262" s="93">
        <f>SUM($Z262:AM262)-SUM($CM262:CZ262)</f>
        <v>60689</v>
      </c>
      <c r="BU262" s="93">
        <f>SUM($Z262:AN262)-SUM($CM262:DA262)</f>
        <v>60625</v>
      </c>
      <c r="BV262" s="93">
        <f>SUM($Z262:AO262)-SUM($CM262:DB262)</f>
        <v>60561</v>
      </c>
      <c r="BW262" s="93">
        <f>SUM($Z262:AP262)-SUM($CM262:DC262)</f>
        <v>60513</v>
      </c>
      <c r="BX262" s="93">
        <f>SUM($Z262:AQ262)-SUM($CM262:DD262)</f>
        <v>60513</v>
      </c>
      <c r="BY262" s="93">
        <f>SUM($Z262:AR262)-SUM($CM262:DE262)</f>
        <v>60513</v>
      </c>
      <c r="BZ262" s="93">
        <f>SUM($Z262:AS262)-SUM($CM262:DF262)</f>
        <v>60513</v>
      </c>
      <c r="CA262" s="93">
        <f>SUM($Z262:AT262)-SUM($CM262:DG262)</f>
        <v>60513</v>
      </c>
      <c r="CB262" s="93">
        <f>SUM($Z262:AU262)-SUM($CM262:DH262)</f>
        <v>60513</v>
      </c>
      <c r="CC262" s="93">
        <f>SUM($Z262:AV262)-SUM($CM262:DI262)</f>
        <v>60513</v>
      </c>
      <c r="CD262" s="93">
        <f>SUM($Z262:AW262)-SUM($CM262:DJ262)</f>
        <v>60513</v>
      </c>
      <c r="CE262" s="93">
        <f>SUM($Z262:AX262)-SUM($CM262:DK262)</f>
        <v>60513</v>
      </c>
      <c r="CF262" s="93">
        <f>SUM($Z262:AY262)-SUM($CM262:DL262)</f>
        <v>60513</v>
      </c>
      <c r="CG262" s="93">
        <f>SUM($Z262:AZ262)-SUM($CM262:DM262)</f>
        <v>60513</v>
      </c>
      <c r="CH262" s="93">
        <f>SUM($Z262:BA262)-SUM($CM262:DN262)</f>
        <v>60513</v>
      </c>
      <c r="CI262" s="93">
        <f>SUM($Z262:BB262)-SUM($CM262:DO262)</f>
        <v>60513</v>
      </c>
      <c r="CJ262" s="93"/>
      <c r="CK262" s="93"/>
      <c r="CL262" s="93"/>
      <c r="CM262" s="93"/>
      <c r="CN262" s="93" cm="1">
        <f t="array" ref="CN262">SUMPRODUCT(TRANSPOSE(CN$4:CN$20),$G262:$W262)</f>
        <v>0</v>
      </c>
      <c r="CO262" s="93" cm="1">
        <f t="array" ref="CO262">SUMPRODUCT(TRANSPOSE(CO$4:CO$20),$G262:$W262)</f>
        <v>0</v>
      </c>
      <c r="CP262" s="93" cm="1">
        <f t="array" ref="CP262">SUMPRODUCT(TRANSPOSE(CP$4:CP$20),$G262:$W262)</f>
        <v>0</v>
      </c>
      <c r="CQ262" s="93" cm="1">
        <f t="array" ref="CQ262">SUMPRODUCT(TRANSPOSE(CQ$4:CQ$20),$G262:$W262)</f>
        <v>9024</v>
      </c>
      <c r="CR262" s="93" cm="1">
        <f t="array" ref="CR262">SUMPRODUCT(TRANSPOSE(CR$4:CR$20),$G262:$W262)</f>
        <v>9024</v>
      </c>
      <c r="CS262" s="93" cm="1">
        <f t="array" ref="CS262">SUMPRODUCT(TRANSPOSE(CS$4:CS$20),$G262:$W262)</f>
        <v>9024</v>
      </c>
      <c r="CT262" s="93" cm="1">
        <f t="array" ref="CT262">SUMPRODUCT(TRANSPOSE(CT$4:CT$20),$G262:$W262)</f>
        <v>9024</v>
      </c>
      <c r="CU262" s="93" cm="1">
        <f t="array" ref="CU262">SUMPRODUCT(TRANSPOSE(CU$4:CU$20),$G262:$W262)</f>
        <v>9024</v>
      </c>
      <c r="CV262" s="93" cm="1">
        <f t="array" ref="CV262">SUMPRODUCT(TRANSPOSE(CV$4:CV$20),$G262:$W262)</f>
        <v>9024</v>
      </c>
      <c r="CW262" s="93" cm="1">
        <f t="array" ref="CW262">SUMPRODUCT(TRANSPOSE(CW$4:CW$20),$G262:$W262)</f>
        <v>9024</v>
      </c>
      <c r="CX262" s="93" cm="1">
        <f t="array" ref="CX262">SUMPRODUCT(TRANSPOSE(CX$4:CX$20),$G262:$W262)</f>
        <v>9024</v>
      </c>
      <c r="CY262" s="93" cm="1">
        <f t="array" ref="CY262">SUMPRODUCT(TRANSPOSE(CY$4:CY$20),$G262:$W262)</f>
        <v>64</v>
      </c>
      <c r="CZ262" s="93" cm="1">
        <f t="array" ref="CZ262">SUMPRODUCT(TRANSPOSE(CZ$4:CZ$20),$G262:$W262)</f>
        <v>64</v>
      </c>
      <c r="DA262" s="93" cm="1">
        <f t="array" ref="DA262">SUMPRODUCT(TRANSPOSE(DA$4:DA$20),$G262:$W262)</f>
        <v>64</v>
      </c>
      <c r="DB262" s="93" cm="1">
        <f t="array" ref="DB262">SUMPRODUCT(TRANSPOSE(DB$4:DB$20),$G262:$W262)</f>
        <v>64</v>
      </c>
      <c r="DC262" s="93" cm="1">
        <f t="array" ref="DC262">SUMPRODUCT(TRANSPOSE(DC$4:DC$20),$G262:$W262)</f>
        <v>48</v>
      </c>
      <c r="DD262" s="93" cm="1">
        <f t="array" ref="DD262">SUMPRODUCT(TRANSPOSE(DD$4:DD$20),$G262:$W262)</f>
        <v>0</v>
      </c>
      <c r="DE262" s="93" cm="1">
        <f t="array" ref="DE262">SUMPRODUCT(TRANSPOSE(DE$4:DE$20),$G262:$W262)</f>
        <v>0</v>
      </c>
      <c r="DF262" s="93" cm="1">
        <f t="array" ref="DF262">SUMPRODUCT(TRANSPOSE(DF$4:DF$20),$G262:$W262)</f>
        <v>0</v>
      </c>
      <c r="DG262" s="93" cm="1">
        <f t="array" ref="DG262">SUMPRODUCT(TRANSPOSE(DG$4:DG$20),$G262:$W262)</f>
        <v>0</v>
      </c>
      <c r="DH262" s="93" cm="1">
        <f t="array" ref="DH262">SUMPRODUCT(TRANSPOSE(DH$4:DH$20),$G262:$W262)</f>
        <v>0</v>
      </c>
      <c r="DI262" s="93" cm="1">
        <f t="array" ref="DI262">SUMPRODUCT(TRANSPOSE(DI$4:DI$20),$G262:$W262)</f>
        <v>0</v>
      </c>
      <c r="DJ262" s="93" cm="1">
        <f t="array" ref="DJ262">SUMPRODUCT(TRANSPOSE(DJ$4:DJ$20),$G262:$W262)</f>
        <v>0</v>
      </c>
      <c r="DK262" s="93" cm="1">
        <f t="array" ref="DK262">SUMPRODUCT(TRANSPOSE(DK$4:DK$20),$G262:$W262)</f>
        <v>0</v>
      </c>
      <c r="DL262" s="93" cm="1">
        <f t="array" ref="DL262">SUMPRODUCT(TRANSPOSE(DL$4:DL$20),$G262:$W262)</f>
        <v>0</v>
      </c>
      <c r="DM262" s="93" cm="1">
        <f t="array" ref="DM262">SUMPRODUCT(TRANSPOSE(DM$4:DM$20),$G262:$W262)</f>
        <v>0</v>
      </c>
      <c r="DN262" s="93" cm="1">
        <f t="array" ref="DN262">SUMPRODUCT(TRANSPOSE(DN$4:DN$20),$G262:$W262)</f>
        <v>0</v>
      </c>
      <c r="DO262" s="93" cm="1">
        <f t="array" ref="DO262">SUMPRODUCT(TRANSPOSE(DO$4:DO$20),$G262:$W262)</f>
        <v>0</v>
      </c>
    </row>
    <row r="263" spans="1:119" x14ac:dyDescent="0.2">
      <c r="A263" s="45">
        <f t="shared" si="29"/>
        <v>242</v>
      </c>
      <c r="B263" s="46" t="s">
        <v>613</v>
      </c>
      <c r="C263" s="45">
        <v>512313164</v>
      </c>
      <c r="D263" s="45" t="s">
        <v>614</v>
      </c>
      <c r="E263" s="45" t="s">
        <v>162</v>
      </c>
      <c r="F263" s="48">
        <v>2</v>
      </c>
      <c r="G263" s="100">
        <v>0</v>
      </c>
      <c r="H263" s="100">
        <v>0</v>
      </c>
      <c r="I263" s="100">
        <v>0</v>
      </c>
      <c r="J263" s="100">
        <v>0</v>
      </c>
      <c r="K263" s="100">
        <v>0</v>
      </c>
      <c r="L263" s="100">
        <v>0</v>
      </c>
      <c r="M263" s="100">
        <v>0</v>
      </c>
      <c r="N263" s="100">
        <v>0</v>
      </c>
      <c r="O263" s="100">
        <v>0</v>
      </c>
      <c r="P263" s="100">
        <v>12</v>
      </c>
      <c r="Q263" s="100">
        <v>0</v>
      </c>
      <c r="R263" s="100">
        <v>0</v>
      </c>
      <c r="S263" s="100">
        <v>0</v>
      </c>
      <c r="T263" s="100">
        <v>12</v>
      </c>
      <c r="U263" s="100">
        <v>0</v>
      </c>
      <c r="V263" s="100">
        <v>0</v>
      </c>
      <c r="W263" s="100">
        <v>0</v>
      </c>
      <c r="X263" s="45" t="s">
        <v>24</v>
      </c>
      <c r="Y263" s="49">
        <v>3.9E-2</v>
      </c>
      <c r="Z263" s="45">
        <v>13061</v>
      </c>
      <c r="AA263" s="45">
        <v>0</v>
      </c>
      <c r="AB263" s="45">
        <v>0</v>
      </c>
      <c r="AC263" s="45">
        <v>0</v>
      </c>
      <c r="AD263" s="45">
        <v>0</v>
      </c>
      <c r="AE263" s="45">
        <v>0</v>
      </c>
      <c r="AF263" s="45">
        <v>0</v>
      </c>
      <c r="AG263" s="45">
        <v>0</v>
      </c>
      <c r="AH263" s="45">
        <v>0</v>
      </c>
      <c r="AI263" s="45">
        <v>0</v>
      </c>
      <c r="AJ263" s="45">
        <v>0</v>
      </c>
      <c r="AK263" s="45">
        <v>0</v>
      </c>
      <c r="AL263" s="45">
        <v>0</v>
      </c>
      <c r="AM263" s="45">
        <v>0</v>
      </c>
      <c r="AN263" s="45">
        <v>0</v>
      </c>
      <c r="AO263" s="45"/>
      <c r="AP263" s="45"/>
      <c r="AQ263" s="45"/>
      <c r="AR263" s="45"/>
      <c r="AS263" s="45"/>
      <c r="AT263" s="45"/>
      <c r="AU263" s="45"/>
      <c r="AV263" s="45"/>
      <c r="AW263" s="45"/>
      <c r="AX263" s="45"/>
      <c r="AY263" s="45"/>
      <c r="AZ263" s="45"/>
      <c r="BA263" s="45"/>
      <c r="BB263" s="45"/>
      <c r="BC263" s="45"/>
      <c r="BD263" s="93"/>
      <c r="BE263" s="93"/>
      <c r="BF263" s="93"/>
      <c r="BG263" s="93"/>
      <c r="BH263" s="93"/>
      <c r="BI263" s="93"/>
      <c r="BJ263" s="93"/>
      <c r="BK263" s="93">
        <f>SUM($Z263:AD263)-SUM($CM263:CQ263)</f>
        <v>12125</v>
      </c>
      <c r="BL263" s="93">
        <f>SUM($Z263:AE263)-SUM($CM263:CR263)</f>
        <v>11285</v>
      </c>
      <c r="BM263" s="93">
        <f>SUM($Z263:AF263)-SUM($CM263:CS263)</f>
        <v>10505</v>
      </c>
      <c r="BN263" s="93">
        <f>SUM($Z263:AG263)-SUM($CM263:CT263)</f>
        <v>9785</v>
      </c>
      <c r="BO263" s="93">
        <f>SUM($Z263:AH263)-SUM($CM263:CU263)</f>
        <v>9065</v>
      </c>
      <c r="BP263" s="93">
        <f>SUM($Z263:AI263)-SUM($CM263:CV263)</f>
        <v>8345</v>
      </c>
      <c r="BQ263" s="93">
        <f>SUM($Z263:AJ263)-SUM($CM263:CW263)</f>
        <v>7625</v>
      </c>
      <c r="BR263" s="93">
        <f>SUM($Z263:AK263)-SUM($CM263:CX263)</f>
        <v>6905</v>
      </c>
      <c r="BS263" s="93">
        <f>SUM($Z263:AL263)-SUM($CM263:CY263)</f>
        <v>6185</v>
      </c>
      <c r="BT263" s="93">
        <f>SUM($Z263:AM263)-SUM($CM263:CZ263)</f>
        <v>5465</v>
      </c>
      <c r="BU263" s="93">
        <f>SUM($Z263:AN263)-SUM($CM263:DA263)</f>
        <v>4745</v>
      </c>
      <c r="BV263" s="93">
        <f>SUM($Z263:AO263)-SUM($CM263:DB263)</f>
        <v>4577</v>
      </c>
      <c r="BW263" s="93">
        <f>SUM($Z263:AP263)-SUM($CM263:DC263)</f>
        <v>4577</v>
      </c>
      <c r="BX263" s="93">
        <f>SUM($Z263:AQ263)-SUM($CM263:DD263)</f>
        <v>4577</v>
      </c>
      <c r="BY263" s="93">
        <f>SUM($Z263:AR263)-SUM($CM263:DE263)</f>
        <v>4577</v>
      </c>
      <c r="BZ263" s="93">
        <f>SUM($Z263:AS263)-SUM($CM263:DF263)</f>
        <v>4577</v>
      </c>
      <c r="CA263" s="93">
        <f>SUM($Z263:AT263)-SUM($CM263:DG263)</f>
        <v>4577</v>
      </c>
      <c r="CB263" s="93">
        <f>SUM($Z263:AU263)-SUM($CM263:DH263)</f>
        <v>4577</v>
      </c>
      <c r="CC263" s="93">
        <f>SUM($Z263:AV263)-SUM($CM263:DI263)</f>
        <v>4577</v>
      </c>
      <c r="CD263" s="93">
        <f>SUM($Z263:AW263)-SUM($CM263:DJ263)</f>
        <v>4577</v>
      </c>
      <c r="CE263" s="93">
        <f>SUM($Z263:AX263)-SUM($CM263:DK263)</f>
        <v>4577</v>
      </c>
      <c r="CF263" s="93">
        <f>SUM($Z263:AY263)-SUM($CM263:DL263)</f>
        <v>4577</v>
      </c>
      <c r="CG263" s="93">
        <f>SUM($Z263:AZ263)-SUM($CM263:DM263)</f>
        <v>4577</v>
      </c>
      <c r="CH263" s="93">
        <f>SUM($Z263:BA263)-SUM($CM263:DN263)</f>
        <v>4577</v>
      </c>
      <c r="CI263" s="93">
        <f>SUM($Z263:BB263)-SUM($CM263:DO263)</f>
        <v>4577</v>
      </c>
      <c r="CJ263" s="93"/>
      <c r="CK263" s="93"/>
      <c r="CL263" s="93"/>
      <c r="CM263" s="93"/>
      <c r="CN263" s="93" cm="1">
        <f t="array" ref="CN263">SUMPRODUCT(TRANSPOSE(CN$4:CN$20),$G263:$W263)</f>
        <v>0</v>
      </c>
      <c r="CO263" s="93" cm="1">
        <f t="array" ref="CO263">SUMPRODUCT(TRANSPOSE(CO$4:CO$20),$G263:$W263)</f>
        <v>0</v>
      </c>
      <c r="CP263" s="93" cm="1">
        <f t="array" ref="CP263">SUMPRODUCT(TRANSPOSE(CP$4:CP$20),$G263:$W263)</f>
        <v>0</v>
      </c>
      <c r="CQ263" s="93" cm="1">
        <f t="array" ref="CQ263">SUMPRODUCT(TRANSPOSE(CQ$4:CQ$20),$G263:$W263)</f>
        <v>936</v>
      </c>
      <c r="CR263" s="93" cm="1">
        <f t="array" ref="CR263">SUMPRODUCT(TRANSPOSE(CR$4:CR$20),$G263:$W263)</f>
        <v>840</v>
      </c>
      <c r="CS263" s="93" cm="1">
        <f t="array" ref="CS263">SUMPRODUCT(TRANSPOSE(CS$4:CS$20),$G263:$W263)</f>
        <v>780</v>
      </c>
      <c r="CT263" s="93" cm="1">
        <f t="array" ref="CT263">SUMPRODUCT(TRANSPOSE(CT$4:CT$20),$G263:$W263)</f>
        <v>720</v>
      </c>
      <c r="CU263" s="93" cm="1">
        <f t="array" ref="CU263">SUMPRODUCT(TRANSPOSE(CU$4:CU$20),$G263:$W263)</f>
        <v>720</v>
      </c>
      <c r="CV263" s="93" cm="1">
        <f t="array" ref="CV263">SUMPRODUCT(TRANSPOSE(CV$4:CV$20),$G263:$W263)</f>
        <v>720</v>
      </c>
      <c r="CW263" s="93" cm="1">
        <f t="array" ref="CW263">SUMPRODUCT(TRANSPOSE(CW$4:CW$20),$G263:$W263)</f>
        <v>720</v>
      </c>
      <c r="CX263" s="93" cm="1">
        <f t="array" ref="CX263">SUMPRODUCT(TRANSPOSE(CX$4:CX$20),$G263:$W263)</f>
        <v>720</v>
      </c>
      <c r="CY263" s="93" cm="1">
        <f t="array" ref="CY263">SUMPRODUCT(TRANSPOSE(CY$4:CY$20),$G263:$W263)</f>
        <v>720</v>
      </c>
      <c r="CZ263" s="93" cm="1">
        <f t="array" ref="CZ263">SUMPRODUCT(TRANSPOSE(CZ$4:CZ$20),$G263:$W263)</f>
        <v>720</v>
      </c>
      <c r="DA263" s="93" cm="1">
        <f t="array" ref="DA263">SUMPRODUCT(TRANSPOSE(DA$4:DA$20),$G263:$W263)</f>
        <v>720</v>
      </c>
      <c r="DB263" s="93" cm="1">
        <f t="array" ref="DB263">SUMPRODUCT(TRANSPOSE(DB$4:DB$20),$G263:$W263)</f>
        <v>168</v>
      </c>
      <c r="DC263" s="93" cm="1">
        <f t="array" ref="DC263">SUMPRODUCT(TRANSPOSE(DC$4:DC$20),$G263:$W263)</f>
        <v>0</v>
      </c>
      <c r="DD263" s="93" cm="1">
        <f t="array" ref="DD263">SUMPRODUCT(TRANSPOSE(DD$4:DD$20),$G263:$W263)</f>
        <v>0</v>
      </c>
      <c r="DE263" s="93" cm="1">
        <f t="array" ref="DE263">SUMPRODUCT(TRANSPOSE(DE$4:DE$20),$G263:$W263)</f>
        <v>0</v>
      </c>
      <c r="DF263" s="93" cm="1">
        <f t="array" ref="DF263">SUMPRODUCT(TRANSPOSE(DF$4:DF$20),$G263:$W263)</f>
        <v>0</v>
      </c>
      <c r="DG263" s="93" cm="1">
        <f t="array" ref="DG263">SUMPRODUCT(TRANSPOSE(DG$4:DG$20),$G263:$W263)</f>
        <v>0</v>
      </c>
      <c r="DH263" s="93" cm="1">
        <f t="array" ref="DH263">SUMPRODUCT(TRANSPOSE(DH$4:DH$20),$G263:$W263)</f>
        <v>0</v>
      </c>
      <c r="DI263" s="93" cm="1">
        <f t="array" ref="DI263">SUMPRODUCT(TRANSPOSE(DI$4:DI$20),$G263:$W263)</f>
        <v>0</v>
      </c>
      <c r="DJ263" s="93" cm="1">
        <f t="array" ref="DJ263">SUMPRODUCT(TRANSPOSE(DJ$4:DJ$20),$G263:$W263)</f>
        <v>0</v>
      </c>
      <c r="DK263" s="93" cm="1">
        <f t="array" ref="DK263">SUMPRODUCT(TRANSPOSE(DK$4:DK$20),$G263:$W263)</f>
        <v>0</v>
      </c>
      <c r="DL263" s="93" cm="1">
        <f t="array" ref="DL263">SUMPRODUCT(TRANSPOSE(DL$4:DL$20),$G263:$W263)</f>
        <v>0</v>
      </c>
      <c r="DM263" s="93" cm="1">
        <f t="array" ref="DM263">SUMPRODUCT(TRANSPOSE(DM$4:DM$20),$G263:$W263)</f>
        <v>0</v>
      </c>
      <c r="DN263" s="93" cm="1">
        <f t="array" ref="DN263">SUMPRODUCT(TRANSPOSE(DN$4:DN$20),$G263:$W263)</f>
        <v>0</v>
      </c>
      <c r="DO263" s="93" cm="1">
        <f t="array" ref="DO263">SUMPRODUCT(TRANSPOSE(DO$4:DO$20),$G263:$W263)</f>
        <v>0</v>
      </c>
    </row>
    <row r="264" spans="1:119" x14ac:dyDescent="0.2">
      <c r="A264" s="45">
        <f t="shared" si="29"/>
        <v>243</v>
      </c>
      <c r="B264" s="46" t="s">
        <v>615</v>
      </c>
      <c r="C264" s="45">
        <v>512316308</v>
      </c>
      <c r="D264" s="45" t="s">
        <v>614</v>
      </c>
      <c r="E264" s="45" t="s">
        <v>162</v>
      </c>
      <c r="F264" s="48">
        <v>2</v>
      </c>
      <c r="G264" s="100">
        <v>0</v>
      </c>
      <c r="H264" s="100">
        <v>0</v>
      </c>
      <c r="I264" s="100">
        <v>0</v>
      </c>
      <c r="J264" s="100">
        <v>0</v>
      </c>
      <c r="K264" s="100">
        <v>0</v>
      </c>
      <c r="L264" s="100">
        <v>0</v>
      </c>
      <c r="M264" s="100">
        <v>0</v>
      </c>
      <c r="N264" s="100">
        <v>0</v>
      </c>
      <c r="O264" s="100">
        <v>0</v>
      </c>
      <c r="P264" s="100">
        <v>0</v>
      </c>
      <c r="Q264" s="100">
        <v>0</v>
      </c>
      <c r="R264" s="100">
        <v>0</v>
      </c>
      <c r="S264" s="100">
        <v>0</v>
      </c>
      <c r="T264" s="100">
        <v>0</v>
      </c>
      <c r="U264" s="100">
        <v>0</v>
      </c>
      <c r="V264" s="100">
        <v>0</v>
      </c>
      <c r="W264" s="100">
        <v>180</v>
      </c>
      <c r="X264" s="45" t="s">
        <v>24</v>
      </c>
      <c r="Y264" s="49">
        <v>4.4999999999999998E-2</v>
      </c>
      <c r="Z264" s="45">
        <v>42412</v>
      </c>
      <c r="AA264" s="45">
        <v>0</v>
      </c>
      <c r="AB264" s="45">
        <v>0</v>
      </c>
      <c r="AC264" s="45">
        <v>0</v>
      </c>
      <c r="AD264" s="45">
        <v>0</v>
      </c>
      <c r="AE264" s="45">
        <v>0</v>
      </c>
      <c r="AF264" s="45">
        <v>0</v>
      </c>
      <c r="AG264" s="45">
        <v>0</v>
      </c>
      <c r="AH264" s="45">
        <v>0</v>
      </c>
      <c r="AI264" s="45">
        <v>0</v>
      </c>
      <c r="AJ264" s="45">
        <v>0</v>
      </c>
      <c r="AK264" s="45">
        <v>0</v>
      </c>
      <c r="AL264" s="45">
        <v>0</v>
      </c>
      <c r="AM264" s="45">
        <v>0</v>
      </c>
      <c r="AN264" s="45">
        <v>0</v>
      </c>
      <c r="AO264" s="45"/>
      <c r="AP264" s="45"/>
      <c r="AQ264" s="45"/>
      <c r="AR264" s="45"/>
      <c r="AS264" s="45"/>
      <c r="AT264" s="45"/>
      <c r="AU264" s="45"/>
      <c r="AV264" s="45"/>
      <c r="AW264" s="45"/>
      <c r="AX264" s="45"/>
      <c r="AY264" s="45"/>
      <c r="AZ264" s="45"/>
      <c r="BA264" s="45"/>
      <c r="BB264" s="45"/>
      <c r="BC264" s="45"/>
      <c r="BD264" s="93"/>
      <c r="BE264" s="93"/>
      <c r="BF264" s="93"/>
      <c r="BG264" s="93"/>
      <c r="BH264" s="93"/>
      <c r="BI264" s="93"/>
      <c r="BJ264" s="93"/>
      <c r="BK264" s="93">
        <f>SUM($Z264:AD264)-SUM($CM264:CQ264)</f>
        <v>39532</v>
      </c>
      <c r="BL264" s="93">
        <f>SUM($Z264:AE264)-SUM($CM264:CR264)</f>
        <v>36652</v>
      </c>
      <c r="BM264" s="93">
        <f>SUM($Z264:AF264)-SUM($CM264:CS264)</f>
        <v>33772</v>
      </c>
      <c r="BN264" s="93">
        <f>SUM($Z264:AG264)-SUM($CM264:CT264)</f>
        <v>30892</v>
      </c>
      <c r="BO264" s="93">
        <f>SUM($Z264:AH264)-SUM($CM264:CU264)</f>
        <v>28012</v>
      </c>
      <c r="BP264" s="93">
        <f>SUM($Z264:AI264)-SUM($CM264:CV264)</f>
        <v>25132</v>
      </c>
      <c r="BQ264" s="93">
        <f>SUM($Z264:AJ264)-SUM($CM264:CW264)</f>
        <v>22252</v>
      </c>
      <c r="BR264" s="93">
        <f>SUM($Z264:AK264)-SUM($CM264:CX264)</f>
        <v>19372</v>
      </c>
      <c r="BS264" s="93">
        <f>SUM($Z264:AL264)-SUM($CM264:CY264)</f>
        <v>19372</v>
      </c>
      <c r="BT264" s="93">
        <f>SUM($Z264:AM264)-SUM($CM264:CZ264)</f>
        <v>19372</v>
      </c>
      <c r="BU264" s="93">
        <f>SUM($Z264:AN264)-SUM($CM264:DA264)</f>
        <v>19372</v>
      </c>
      <c r="BV264" s="93">
        <f>SUM($Z264:AO264)-SUM($CM264:DB264)</f>
        <v>19372</v>
      </c>
      <c r="BW264" s="93">
        <f>SUM($Z264:AP264)-SUM($CM264:DC264)</f>
        <v>19372</v>
      </c>
      <c r="BX264" s="93">
        <f>SUM($Z264:AQ264)-SUM($CM264:DD264)</f>
        <v>19372</v>
      </c>
      <c r="BY264" s="93">
        <f>SUM($Z264:AR264)-SUM($CM264:DE264)</f>
        <v>19372</v>
      </c>
      <c r="BZ264" s="93">
        <f>SUM($Z264:AS264)-SUM($CM264:DF264)</f>
        <v>19372</v>
      </c>
      <c r="CA264" s="93">
        <f>SUM($Z264:AT264)-SUM($CM264:DG264)</f>
        <v>19372</v>
      </c>
      <c r="CB264" s="93">
        <f>SUM($Z264:AU264)-SUM($CM264:DH264)</f>
        <v>19372</v>
      </c>
      <c r="CC264" s="93">
        <f>SUM($Z264:AV264)-SUM($CM264:DI264)</f>
        <v>19372</v>
      </c>
      <c r="CD264" s="93">
        <f>SUM($Z264:AW264)-SUM($CM264:DJ264)</f>
        <v>19372</v>
      </c>
      <c r="CE264" s="93">
        <f>SUM($Z264:AX264)-SUM($CM264:DK264)</f>
        <v>19372</v>
      </c>
      <c r="CF264" s="93">
        <f>SUM($Z264:AY264)-SUM($CM264:DL264)</f>
        <v>19372</v>
      </c>
      <c r="CG264" s="93">
        <f>SUM($Z264:AZ264)-SUM($CM264:DM264)</f>
        <v>19372</v>
      </c>
      <c r="CH264" s="93">
        <f>SUM($Z264:BA264)-SUM($CM264:DN264)</f>
        <v>19372</v>
      </c>
      <c r="CI264" s="93">
        <f>SUM($Z264:BB264)-SUM($CM264:DO264)</f>
        <v>19372</v>
      </c>
      <c r="CJ264" s="93"/>
      <c r="CK264" s="93"/>
      <c r="CL264" s="93"/>
      <c r="CM264" s="93"/>
      <c r="CN264" s="93" cm="1">
        <f t="array" ref="CN264">SUMPRODUCT(TRANSPOSE(CN$4:CN$20),$G264:$W264)</f>
        <v>0</v>
      </c>
      <c r="CO264" s="93" cm="1">
        <f t="array" ref="CO264">SUMPRODUCT(TRANSPOSE(CO$4:CO$20),$G264:$W264)</f>
        <v>0</v>
      </c>
      <c r="CP264" s="93" cm="1">
        <f t="array" ref="CP264">SUMPRODUCT(TRANSPOSE(CP$4:CP$20),$G264:$W264)</f>
        <v>0</v>
      </c>
      <c r="CQ264" s="93" cm="1">
        <f t="array" ref="CQ264">SUMPRODUCT(TRANSPOSE(CQ$4:CQ$20),$G264:$W264)</f>
        <v>2880</v>
      </c>
      <c r="CR264" s="93" cm="1">
        <f t="array" ref="CR264">SUMPRODUCT(TRANSPOSE(CR$4:CR$20),$G264:$W264)</f>
        <v>2880</v>
      </c>
      <c r="CS264" s="93" cm="1">
        <f t="array" ref="CS264">SUMPRODUCT(TRANSPOSE(CS$4:CS$20),$G264:$W264)</f>
        <v>2880</v>
      </c>
      <c r="CT264" s="93" cm="1">
        <f t="array" ref="CT264">SUMPRODUCT(TRANSPOSE(CT$4:CT$20),$G264:$W264)</f>
        <v>2880</v>
      </c>
      <c r="CU264" s="93" cm="1">
        <f t="array" ref="CU264">SUMPRODUCT(TRANSPOSE(CU$4:CU$20),$G264:$W264)</f>
        <v>2880</v>
      </c>
      <c r="CV264" s="93" cm="1">
        <f t="array" ref="CV264">SUMPRODUCT(TRANSPOSE(CV$4:CV$20),$G264:$W264)</f>
        <v>2880</v>
      </c>
      <c r="CW264" s="93" cm="1">
        <f t="array" ref="CW264">SUMPRODUCT(TRANSPOSE(CW$4:CW$20),$G264:$W264)</f>
        <v>2880</v>
      </c>
      <c r="CX264" s="93" cm="1">
        <f t="array" ref="CX264">SUMPRODUCT(TRANSPOSE(CX$4:CX$20),$G264:$W264)</f>
        <v>2880</v>
      </c>
      <c r="CY264" s="93" cm="1">
        <f t="array" ref="CY264">SUMPRODUCT(TRANSPOSE(CY$4:CY$20),$G264:$W264)</f>
        <v>0</v>
      </c>
      <c r="CZ264" s="93" cm="1">
        <f t="array" ref="CZ264">SUMPRODUCT(TRANSPOSE(CZ$4:CZ$20),$G264:$W264)</f>
        <v>0</v>
      </c>
      <c r="DA264" s="93" cm="1">
        <f t="array" ref="DA264">SUMPRODUCT(TRANSPOSE(DA$4:DA$20),$G264:$W264)</f>
        <v>0</v>
      </c>
      <c r="DB264" s="93" cm="1">
        <f t="array" ref="DB264">SUMPRODUCT(TRANSPOSE(DB$4:DB$20),$G264:$W264)</f>
        <v>0</v>
      </c>
      <c r="DC264" s="93" cm="1">
        <f t="array" ref="DC264">SUMPRODUCT(TRANSPOSE(DC$4:DC$20),$G264:$W264)</f>
        <v>0</v>
      </c>
      <c r="DD264" s="93" cm="1">
        <f t="array" ref="DD264">SUMPRODUCT(TRANSPOSE(DD$4:DD$20),$G264:$W264)</f>
        <v>0</v>
      </c>
      <c r="DE264" s="93" cm="1">
        <f t="array" ref="DE264">SUMPRODUCT(TRANSPOSE(DE$4:DE$20),$G264:$W264)</f>
        <v>0</v>
      </c>
      <c r="DF264" s="93" cm="1">
        <f t="array" ref="DF264">SUMPRODUCT(TRANSPOSE(DF$4:DF$20),$G264:$W264)</f>
        <v>0</v>
      </c>
      <c r="DG264" s="93" cm="1">
        <f t="array" ref="DG264">SUMPRODUCT(TRANSPOSE(DG$4:DG$20),$G264:$W264)</f>
        <v>0</v>
      </c>
      <c r="DH264" s="93" cm="1">
        <f t="array" ref="DH264">SUMPRODUCT(TRANSPOSE(DH$4:DH$20),$G264:$W264)</f>
        <v>0</v>
      </c>
      <c r="DI264" s="93" cm="1">
        <f t="array" ref="DI264">SUMPRODUCT(TRANSPOSE(DI$4:DI$20),$G264:$W264)</f>
        <v>0</v>
      </c>
      <c r="DJ264" s="93" cm="1">
        <f t="array" ref="DJ264">SUMPRODUCT(TRANSPOSE(DJ$4:DJ$20),$G264:$W264)</f>
        <v>0</v>
      </c>
      <c r="DK264" s="93" cm="1">
        <f t="array" ref="DK264">SUMPRODUCT(TRANSPOSE(DK$4:DK$20),$G264:$W264)</f>
        <v>0</v>
      </c>
      <c r="DL264" s="93" cm="1">
        <f t="array" ref="DL264">SUMPRODUCT(TRANSPOSE(DL$4:DL$20),$G264:$W264)</f>
        <v>0</v>
      </c>
      <c r="DM264" s="93" cm="1">
        <f t="array" ref="DM264">SUMPRODUCT(TRANSPOSE(DM$4:DM$20),$G264:$W264)</f>
        <v>0</v>
      </c>
      <c r="DN264" s="93" cm="1">
        <f t="array" ref="DN264">SUMPRODUCT(TRANSPOSE(DN$4:DN$20),$G264:$W264)</f>
        <v>0</v>
      </c>
      <c r="DO264" s="93" cm="1">
        <f t="array" ref="DO264">SUMPRODUCT(TRANSPOSE(DO$4:DO$20),$G264:$W264)</f>
        <v>0</v>
      </c>
    </row>
    <row r="265" spans="1:119" x14ac:dyDescent="0.2">
      <c r="A265" s="45">
        <f t="shared" si="29"/>
        <v>244</v>
      </c>
      <c r="B265" s="46" t="s">
        <v>616</v>
      </c>
      <c r="C265" s="45">
        <v>512346461</v>
      </c>
      <c r="D265" s="45" t="s">
        <v>617</v>
      </c>
      <c r="E265" s="45" t="s">
        <v>162</v>
      </c>
      <c r="F265" s="48">
        <v>2</v>
      </c>
      <c r="G265" s="100">
        <v>1</v>
      </c>
      <c r="H265" s="100">
        <v>0</v>
      </c>
      <c r="I265" s="100">
        <v>0</v>
      </c>
      <c r="J265" s="100">
        <v>0</v>
      </c>
      <c r="K265" s="100">
        <v>0</v>
      </c>
      <c r="L265" s="100">
        <v>0</v>
      </c>
      <c r="M265" s="100">
        <v>0</v>
      </c>
      <c r="N265" s="100">
        <v>0</v>
      </c>
      <c r="O265" s="100">
        <v>1</v>
      </c>
      <c r="P265" s="100">
        <v>0</v>
      </c>
      <c r="Q265" s="100">
        <v>0</v>
      </c>
      <c r="R265" s="100">
        <v>0</v>
      </c>
      <c r="S265" s="100">
        <v>1</v>
      </c>
      <c r="T265" s="100">
        <v>0</v>
      </c>
      <c r="U265" s="100">
        <v>0</v>
      </c>
      <c r="V265" s="100">
        <v>0</v>
      </c>
      <c r="W265" s="100">
        <v>0</v>
      </c>
      <c r="X265" s="45" t="s">
        <v>24</v>
      </c>
      <c r="Y265" s="49">
        <v>0.32700000000000001</v>
      </c>
      <c r="Z265" s="45">
        <v>1222</v>
      </c>
      <c r="AA265" s="45">
        <v>0</v>
      </c>
      <c r="AB265" s="45">
        <v>0</v>
      </c>
      <c r="AC265" s="45">
        <v>0</v>
      </c>
      <c r="AD265" s="45">
        <v>0</v>
      </c>
      <c r="AE265" s="45">
        <v>0</v>
      </c>
      <c r="AF265" s="45">
        <v>0</v>
      </c>
      <c r="AG265" s="45">
        <v>0</v>
      </c>
      <c r="AH265" s="45">
        <v>0</v>
      </c>
      <c r="AI265" s="45">
        <v>0</v>
      </c>
      <c r="AJ265" s="45">
        <v>0</v>
      </c>
      <c r="AK265" s="45">
        <v>0</v>
      </c>
      <c r="AL265" s="45">
        <v>0</v>
      </c>
      <c r="AM265" s="45">
        <v>0</v>
      </c>
      <c r="AN265" s="45">
        <v>0</v>
      </c>
      <c r="AO265" s="45"/>
      <c r="AP265" s="45"/>
      <c r="AQ265" s="45"/>
      <c r="AR265" s="45"/>
      <c r="AS265" s="45"/>
      <c r="AT265" s="45"/>
      <c r="AU265" s="45"/>
      <c r="AV265" s="45"/>
      <c r="AW265" s="45"/>
      <c r="AX265" s="45"/>
      <c r="AY265" s="45"/>
      <c r="AZ265" s="45"/>
      <c r="BA265" s="45"/>
      <c r="BB265" s="45"/>
      <c r="BC265" s="45"/>
      <c r="BD265" s="93"/>
      <c r="BE265" s="93"/>
      <c r="BF265" s="93"/>
      <c r="BG265" s="93"/>
      <c r="BH265" s="93"/>
      <c r="BI265" s="93"/>
      <c r="BJ265" s="93"/>
      <c r="BK265" s="93">
        <f>SUM($Z265:AD265)-SUM($CM265:CQ265)</f>
        <v>1136</v>
      </c>
      <c r="BL265" s="93">
        <f>SUM($Z265:AE265)-SUM($CM265:CR265)</f>
        <v>1058</v>
      </c>
      <c r="BM265" s="93">
        <f>SUM($Z265:AF265)-SUM($CM265:CS265)</f>
        <v>985</v>
      </c>
      <c r="BN265" s="93">
        <f>SUM($Z265:AG265)-SUM($CM265:CT265)</f>
        <v>917</v>
      </c>
      <c r="BO265" s="93">
        <f>SUM($Z265:AH265)-SUM($CM265:CU265)</f>
        <v>849</v>
      </c>
      <c r="BP265" s="93">
        <f>SUM($Z265:AI265)-SUM($CM265:CV265)</f>
        <v>781</v>
      </c>
      <c r="BQ265" s="93">
        <f>SUM($Z265:AJ265)-SUM($CM265:CW265)</f>
        <v>713</v>
      </c>
      <c r="BR265" s="93">
        <f>SUM($Z265:AK265)-SUM($CM265:CX265)</f>
        <v>645</v>
      </c>
      <c r="BS265" s="93">
        <f>SUM($Z265:AL265)-SUM($CM265:CY265)</f>
        <v>577</v>
      </c>
      <c r="BT265" s="93">
        <f>SUM($Z265:AM265)-SUM($CM265:CZ265)</f>
        <v>509</v>
      </c>
      <c r="BU265" s="93">
        <f>SUM($Z265:AN265)-SUM($CM265:DA265)</f>
        <v>441</v>
      </c>
      <c r="BV265" s="93">
        <f>SUM($Z265:AO265)-SUM($CM265:DB265)</f>
        <v>419</v>
      </c>
      <c r="BW265" s="93">
        <f>SUM($Z265:AP265)-SUM($CM265:DC265)</f>
        <v>413</v>
      </c>
      <c r="BX265" s="93">
        <f>SUM($Z265:AQ265)-SUM($CM265:DD265)</f>
        <v>413</v>
      </c>
      <c r="BY265" s="93">
        <f>SUM($Z265:AR265)-SUM($CM265:DE265)</f>
        <v>413</v>
      </c>
      <c r="BZ265" s="93">
        <f>SUM($Z265:AS265)-SUM($CM265:DF265)</f>
        <v>413</v>
      </c>
      <c r="CA265" s="93">
        <f>SUM($Z265:AT265)-SUM($CM265:DG265)</f>
        <v>413</v>
      </c>
      <c r="CB265" s="93">
        <f>SUM($Z265:AU265)-SUM($CM265:DH265)</f>
        <v>413</v>
      </c>
      <c r="CC265" s="93">
        <f>SUM($Z265:AV265)-SUM($CM265:DI265)</f>
        <v>413</v>
      </c>
      <c r="CD265" s="93">
        <f>SUM($Z265:AW265)-SUM($CM265:DJ265)</f>
        <v>413</v>
      </c>
      <c r="CE265" s="93">
        <f>SUM($Z265:AX265)-SUM($CM265:DK265)</f>
        <v>413</v>
      </c>
      <c r="CF265" s="93">
        <f>SUM($Z265:AY265)-SUM($CM265:DL265)</f>
        <v>413</v>
      </c>
      <c r="CG265" s="93">
        <f>SUM($Z265:AZ265)-SUM($CM265:DM265)</f>
        <v>413</v>
      </c>
      <c r="CH265" s="93">
        <f>SUM($Z265:BA265)-SUM($CM265:DN265)</f>
        <v>413</v>
      </c>
      <c r="CI265" s="93">
        <f>SUM($Z265:BB265)-SUM($CM265:DO265)</f>
        <v>413</v>
      </c>
      <c r="CJ265" s="93"/>
      <c r="CK265" s="93"/>
      <c r="CL265" s="93"/>
      <c r="CM265" s="93"/>
      <c r="CN265" s="93" cm="1">
        <f t="array" ref="CN265">SUMPRODUCT(TRANSPOSE(CN$4:CN$20),$G265:$W265)</f>
        <v>0</v>
      </c>
      <c r="CO265" s="93" cm="1">
        <f t="array" ref="CO265">SUMPRODUCT(TRANSPOSE(CO$4:CO$20),$G265:$W265)</f>
        <v>0</v>
      </c>
      <c r="CP265" s="93" cm="1">
        <f t="array" ref="CP265">SUMPRODUCT(TRANSPOSE(CP$4:CP$20),$G265:$W265)</f>
        <v>0</v>
      </c>
      <c r="CQ265" s="93" cm="1">
        <f t="array" ref="CQ265">SUMPRODUCT(TRANSPOSE(CQ$4:CQ$20),$G265:$W265)</f>
        <v>86</v>
      </c>
      <c r="CR265" s="93" cm="1">
        <f t="array" ref="CR265">SUMPRODUCT(TRANSPOSE(CR$4:CR$20),$G265:$W265)</f>
        <v>78</v>
      </c>
      <c r="CS265" s="93" cm="1">
        <f t="array" ref="CS265">SUMPRODUCT(TRANSPOSE(CS$4:CS$20),$G265:$W265)</f>
        <v>73</v>
      </c>
      <c r="CT265" s="93" cm="1">
        <f t="array" ref="CT265">SUMPRODUCT(TRANSPOSE(CT$4:CT$20),$G265:$W265)</f>
        <v>68</v>
      </c>
      <c r="CU265" s="93" cm="1">
        <f t="array" ref="CU265">SUMPRODUCT(TRANSPOSE(CU$4:CU$20),$G265:$W265)</f>
        <v>68</v>
      </c>
      <c r="CV265" s="93" cm="1">
        <f t="array" ref="CV265">SUMPRODUCT(TRANSPOSE(CV$4:CV$20),$G265:$W265)</f>
        <v>68</v>
      </c>
      <c r="CW265" s="93" cm="1">
        <f t="array" ref="CW265">SUMPRODUCT(TRANSPOSE(CW$4:CW$20),$G265:$W265)</f>
        <v>68</v>
      </c>
      <c r="CX265" s="93" cm="1">
        <f t="array" ref="CX265">SUMPRODUCT(TRANSPOSE(CX$4:CX$20),$G265:$W265)</f>
        <v>68</v>
      </c>
      <c r="CY265" s="93" cm="1">
        <f t="array" ref="CY265">SUMPRODUCT(TRANSPOSE(CY$4:CY$20),$G265:$W265)</f>
        <v>68</v>
      </c>
      <c r="CZ265" s="93" cm="1">
        <f t="array" ref="CZ265">SUMPRODUCT(TRANSPOSE(CZ$4:CZ$20),$G265:$W265)</f>
        <v>68</v>
      </c>
      <c r="DA265" s="93" cm="1">
        <f t="array" ref="DA265">SUMPRODUCT(TRANSPOSE(DA$4:DA$20),$G265:$W265)</f>
        <v>68</v>
      </c>
      <c r="DB265" s="93" cm="1">
        <f t="array" ref="DB265">SUMPRODUCT(TRANSPOSE(DB$4:DB$20),$G265:$W265)</f>
        <v>22</v>
      </c>
      <c r="DC265" s="93" cm="1">
        <f t="array" ref="DC265">SUMPRODUCT(TRANSPOSE(DC$4:DC$20),$G265:$W265)</f>
        <v>6</v>
      </c>
      <c r="DD265" s="93" cm="1">
        <f t="array" ref="DD265">SUMPRODUCT(TRANSPOSE(DD$4:DD$20),$G265:$W265)</f>
        <v>0</v>
      </c>
      <c r="DE265" s="93" cm="1">
        <f t="array" ref="DE265">SUMPRODUCT(TRANSPOSE(DE$4:DE$20),$G265:$W265)</f>
        <v>0</v>
      </c>
      <c r="DF265" s="93" cm="1">
        <f t="array" ref="DF265">SUMPRODUCT(TRANSPOSE(DF$4:DF$20),$G265:$W265)</f>
        <v>0</v>
      </c>
      <c r="DG265" s="93" cm="1">
        <f t="array" ref="DG265">SUMPRODUCT(TRANSPOSE(DG$4:DG$20),$G265:$W265)</f>
        <v>0</v>
      </c>
      <c r="DH265" s="93" cm="1">
        <f t="array" ref="DH265">SUMPRODUCT(TRANSPOSE(DH$4:DH$20),$G265:$W265)</f>
        <v>0</v>
      </c>
      <c r="DI265" s="93" cm="1">
        <f t="array" ref="DI265">SUMPRODUCT(TRANSPOSE(DI$4:DI$20),$G265:$W265)</f>
        <v>0</v>
      </c>
      <c r="DJ265" s="93" cm="1">
        <f t="array" ref="DJ265">SUMPRODUCT(TRANSPOSE(DJ$4:DJ$20),$G265:$W265)</f>
        <v>0</v>
      </c>
      <c r="DK265" s="93" cm="1">
        <f t="array" ref="DK265">SUMPRODUCT(TRANSPOSE(DK$4:DK$20),$G265:$W265)</f>
        <v>0</v>
      </c>
      <c r="DL265" s="93" cm="1">
        <f t="array" ref="DL265">SUMPRODUCT(TRANSPOSE(DL$4:DL$20),$G265:$W265)</f>
        <v>0</v>
      </c>
      <c r="DM265" s="93" cm="1">
        <f t="array" ref="DM265">SUMPRODUCT(TRANSPOSE(DM$4:DM$20),$G265:$W265)</f>
        <v>0</v>
      </c>
      <c r="DN265" s="93" cm="1">
        <f t="array" ref="DN265">SUMPRODUCT(TRANSPOSE(DN$4:DN$20),$G265:$W265)</f>
        <v>0</v>
      </c>
      <c r="DO265" s="93" cm="1">
        <f t="array" ref="DO265">SUMPRODUCT(TRANSPOSE(DO$4:DO$20),$G265:$W265)</f>
        <v>0</v>
      </c>
    </row>
    <row r="266" spans="1:119" x14ac:dyDescent="0.2">
      <c r="A266" s="45">
        <f t="shared" si="29"/>
        <v>245</v>
      </c>
      <c r="B266" s="67" t="s">
        <v>618</v>
      </c>
      <c r="C266" s="68">
        <v>514301548</v>
      </c>
      <c r="D266" s="45" t="s">
        <v>619</v>
      </c>
      <c r="E266" s="45" t="s">
        <v>162</v>
      </c>
      <c r="F266" s="48">
        <v>2</v>
      </c>
      <c r="G266" s="100">
        <v>2</v>
      </c>
      <c r="H266" s="100">
        <v>0</v>
      </c>
      <c r="I266" s="100">
        <v>230</v>
      </c>
      <c r="J266" s="100">
        <v>0</v>
      </c>
      <c r="K266" s="100">
        <v>228</v>
      </c>
      <c r="L266" s="100">
        <v>0</v>
      </c>
      <c r="M266" s="100">
        <v>0</v>
      </c>
      <c r="N266" s="100">
        <v>0</v>
      </c>
      <c r="O266" s="100">
        <v>0</v>
      </c>
      <c r="P266" s="100">
        <v>16</v>
      </c>
      <c r="Q266" s="100">
        <v>0</v>
      </c>
      <c r="R266" s="100">
        <v>2</v>
      </c>
      <c r="S266" s="100">
        <v>0</v>
      </c>
      <c r="T266" s="100">
        <v>16</v>
      </c>
      <c r="U266" s="100">
        <v>0</v>
      </c>
      <c r="V266" s="100">
        <v>2</v>
      </c>
      <c r="W266" s="100">
        <v>0</v>
      </c>
      <c r="X266" s="45" t="s">
        <v>24</v>
      </c>
      <c r="Y266" s="49">
        <v>6.7999999999999996E-3</v>
      </c>
      <c r="Z266" s="45">
        <v>84637</v>
      </c>
      <c r="AA266" s="45">
        <v>0</v>
      </c>
      <c r="AB266" s="45">
        <v>0</v>
      </c>
      <c r="AC266" s="45">
        <v>0</v>
      </c>
      <c r="AD266" s="45">
        <v>0</v>
      </c>
      <c r="AE266" s="45">
        <v>0</v>
      </c>
      <c r="AF266" s="45">
        <v>0</v>
      </c>
      <c r="AG266" s="45">
        <v>0</v>
      </c>
      <c r="AH266" s="45">
        <v>0</v>
      </c>
      <c r="AI266" s="45">
        <v>0</v>
      </c>
      <c r="AJ266" s="45">
        <v>0</v>
      </c>
      <c r="AK266" s="45">
        <v>0</v>
      </c>
      <c r="AL266" s="45">
        <v>0</v>
      </c>
      <c r="AM266" s="45">
        <v>0</v>
      </c>
      <c r="AN266" s="45">
        <v>0</v>
      </c>
      <c r="AO266" s="45"/>
      <c r="AP266" s="45"/>
      <c r="AQ266" s="45"/>
      <c r="AR266" s="45"/>
      <c r="AS266" s="45"/>
      <c r="AT266" s="45"/>
      <c r="AU266" s="45"/>
      <c r="AV266" s="45"/>
      <c r="AW266" s="45"/>
      <c r="AX266" s="45"/>
      <c r="AY266" s="45"/>
      <c r="AZ266" s="45"/>
      <c r="BA266" s="45"/>
      <c r="BB266" s="45"/>
      <c r="BC266" s="45"/>
      <c r="BD266" s="93"/>
      <c r="BE266" s="93"/>
      <c r="BF266" s="93"/>
      <c r="BG266" s="93"/>
      <c r="BH266" s="93"/>
      <c r="BI266" s="93"/>
      <c r="BJ266" s="93"/>
      <c r="BK266" s="93">
        <f>SUM($Z266:AD266)-SUM($CM266:CQ266)</f>
        <v>79569</v>
      </c>
      <c r="BL266" s="93">
        <f>SUM($Z266:AE266)-SUM($CM266:CR266)</f>
        <v>74629</v>
      </c>
      <c r="BM266" s="93">
        <f>SUM($Z266:AF266)-SUM($CM266:CS266)</f>
        <v>69769</v>
      </c>
      <c r="BN266" s="93">
        <f>SUM($Z266:AG266)-SUM($CM266:CT266)</f>
        <v>64989</v>
      </c>
      <c r="BO266" s="93">
        <f>SUM($Z266:AH266)-SUM($CM266:CU266)</f>
        <v>60209</v>
      </c>
      <c r="BP266" s="93">
        <f>SUM($Z266:AI266)-SUM($CM266:CV266)</f>
        <v>55429</v>
      </c>
      <c r="BQ266" s="93">
        <f>SUM($Z266:AJ266)-SUM($CM266:CW266)</f>
        <v>50649</v>
      </c>
      <c r="BR266" s="93">
        <f>SUM($Z266:AK266)-SUM($CM266:CX266)</f>
        <v>45869</v>
      </c>
      <c r="BS266" s="93">
        <f>SUM($Z266:AL266)-SUM($CM266:CY266)</f>
        <v>41089</v>
      </c>
      <c r="BT266" s="93">
        <f>SUM($Z266:AM266)-SUM($CM266:CZ266)</f>
        <v>36379</v>
      </c>
      <c r="BU266" s="93">
        <f>SUM($Z266:AN266)-SUM($CM266:DA266)</f>
        <v>31739</v>
      </c>
      <c r="BV266" s="93">
        <f>SUM($Z266:AO266)-SUM($CM266:DB266)</f>
        <v>27835</v>
      </c>
      <c r="BW266" s="93">
        <f>SUM($Z266:AP266)-SUM($CM266:DC266)</f>
        <v>25075</v>
      </c>
      <c r="BX266" s="93">
        <f>SUM($Z266:AQ266)-SUM($CM266:DD266)</f>
        <v>25075</v>
      </c>
      <c r="BY266" s="93">
        <f>SUM($Z266:AR266)-SUM($CM266:DE266)</f>
        <v>25075</v>
      </c>
      <c r="BZ266" s="93">
        <f>SUM($Z266:AS266)-SUM($CM266:DF266)</f>
        <v>25075</v>
      </c>
      <c r="CA266" s="93">
        <f>SUM($Z266:AT266)-SUM($CM266:DG266)</f>
        <v>25075</v>
      </c>
      <c r="CB266" s="93">
        <f>SUM($Z266:AU266)-SUM($CM266:DH266)</f>
        <v>25075</v>
      </c>
      <c r="CC266" s="93">
        <f>SUM($Z266:AV266)-SUM($CM266:DI266)</f>
        <v>25075</v>
      </c>
      <c r="CD266" s="93">
        <f>SUM($Z266:AW266)-SUM($CM266:DJ266)</f>
        <v>25075</v>
      </c>
      <c r="CE266" s="93">
        <f>SUM($Z266:AX266)-SUM($CM266:DK266)</f>
        <v>25075</v>
      </c>
      <c r="CF266" s="93">
        <f>SUM($Z266:AY266)-SUM($CM266:DL266)</f>
        <v>25075</v>
      </c>
      <c r="CG266" s="93">
        <f>SUM($Z266:AZ266)-SUM($CM266:DM266)</f>
        <v>25075</v>
      </c>
      <c r="CH266" s="93">
        <f>SUM($Z266:BA266)-SUM($CM266:DN266)</f>
        <v>25075</v>
      </c>
      <c r="CI266" s="93">
        <f>SUM($Z266:BB266)-SUM($CM266:DO266)</f>
        <v>25075</v>
      </c>
      <c r="CJ266" s="93"/>
      <c r="CK266" s="93"/>
      <c r="CL266" s="93"/>
      <c r="CM266" s="93"/>
      <c r="CN266" s="93" cm="1">
        <f t="array" ref="CN266">SUMPRODUCT(TRANSPOSE(CN$4:CN$20),$G266:$W266)</f>
        <v>0</v>
      </c>
      <c r="CO266" s="93" cm="1">
        <f t="array" ref="CO266">SUMPRODUCT(TRANSPOSE(CO$4:CO$20),$G266:$W266)</f>
        <v>0</v>
      </c>
      <c r="CP266" s="93" cm="1">
        <f t="array" ref="CP266">SUMPRODUCT(TRANSPOSE(CP$4:CP$20),$G266:$W266)</f>
        <v>0</v>
      </c>
      <c r="CQ266" s="93" cm="1">
        <f t="array" ref="CQ266">SUMPRODUCT(TRANSPOSE(CQ$4:CQ$20),$G266:$W266)</f>
        <v>5068</v>
      </c>
      <c r="CR266" s="93" cm="1">
        <f t="array" ref="CR266">SUMPRODUCT(TRANSPOSE(CR$4:CR$20),$G266:$W266)</f>
        <v>4940</v>
      </c>
      <c r="CS266" s="93" cm="1">
        <f t="array" ref="CS266">SUMPRODUCT(TRANSPOSE(CS$4:CS$20),$G266:$W266)</f>
        <v>4860</v>
      </c>
      <c r="CT266" s="93" cm="1">
        <f t="array" ref="CT266">SUMPRODUCT(TRANSPOSE(CT$4:CT$20),$G266:$W266)</f>
        <v>4780</v>
      </c>
      <c r="CU266" s="93" cm="1">
        <f t="array" ref="CU266">SUMPRODUCT(TRANSPOSE(CU$4:CU$20),$G266:$W266)</f>
        <v>4780</v>
      </c>
      <c r="CV266" s="93" cm="1">
        <f t="array" ref="CV266">SUMPRODUCT(TRANSPOSE(CV$4:CV$20),$G266:$W266)</f>
        <v>4780</v>
      </c>
      <c r="CW266" s="93" cm="1">
        <f t="array" ref="CW266">SUMPRODUCT(TRANSPOSE(CW$4:CW$20),$G266:$W266)</f>
        <v>4780</v>
      </c>
      <c r="CX266" s="93" cm="1">
        <f t="array" ref="CX266">SUMPRODUCT(TRANSPOSE(CX$4:CX$20),$G266:$W266)</f>
        <v>4780</v>
      </c>
      <c r="CY266" s="93" cm="1">
        <f t="array" ref="CY266">SUMPRODUCT(TRANSPOSE(CY$4:CY$20),$G266:$W266)</f>
        <v>4780</v>
      </c>
      <c r="CZ266" s="93" cm="1">
        <f t="array" ref="CZ266">SUMPRODUCT(TRANSPOSE(CZ$4:CZ$20),$G266:$W266)</f>
        <v>4710</v>
      </c>
      <c r="DA266" s="93" cm="1">
        <f t="array" ref="DA266">SUMPRODUCT(TRANSPOSE(DA$4:DA$20),$G266:$W266)</f>
        <v>4640</v>
      </c>
      <c r="DB266" s="93" cm="1">
        <f t="array" ref="DB266">SUMPRODUCT(TRANSPOSE(DB$4:DB$20),$G266:$W266)</f>
        <v>3904</v>
      </c>
      <c r="DC266" s="93" cm="1">
        <f t="array" ref="DC266">SUMPRODUCT(TRANSPOSE(DC$4:DC$20),$G266:$W266)</f>
        <v>2760</v>
      </c>
      <c r="DD266" s="93" cm="1">
        <f t="array" ref="DD266">SUMPRODUCT(TRANSPOSE(DD$4:DD$20),$G266:$W266)</f>
        <v>0</v>
      </c>
      <c r="DE266" s="93" cm="1">
        <f t="array" ref="DE266">SUMPRODUCT(TRANSPOSE(DE$4:DE$20),$G266:$W266)</f>
        <v>0</v>
      </c>
      <c r="DF266" s="93" cm="1">
        <f t="array" ref="DF266">SUMPRODUCT(TRANSPOSE(DF$4:DF$20),$G266:$W266)</f>
        <v>0</v>
      </c>
      <c r="DG266" s="93" cm="1">
        <f t="array" ref="DG266">SUMPRODUCT(TRANSPOSE(DG$4:DG$20),$G266:$W266)</f>
        <v>0</v>
      </c>
      <c r="DH266" s="93" cm="1">
        <f t="array" ref="DH266">SUMPRODUCT(TRANSPOSE(DH$4:DH$20),$G266:$W266)</f>
        <v>0</v>
      </c>
      <c r="DI266" s="93" cm="1">
        <f t="array" ref="DI266">SUMPRODUCT(TRANSPOSE(DI$4:DI$20),$G266:$W266)</f>
        <v>0</v>
      </c>
      <c r="DJ266" s="93" cm="1">
        <f t="array" ref="DJ266">SUMPRODUCT(TRANSPOSE(DJ$4:DJ$20),$G266:$W266)</f>
        <v>0</v>
      </c>
      <c r="DK266" s="93" cm="1">
        <f t="array" ref="DK266">SUMPRODUCT(TRANSPOSE(DK$4:DK$20),$G266:$W266)</f>
        <v>0</v>
      </c>
      <c r="DL266" s="93" cm="1">
        <f t="array" ref="DL266">SUMPRODUCT(TRANSPOSE(DL$4:DL$20),$G266:$W266)</f>
        <v>0</v>
      </c>
      <c r="DM266" s="93" cm="1">
        <f t="array" ref="DM266">SUMPRODUCT(TRANSPOSE(DM$4:DM$20),$G266:$W266)</f>
        <v>0</v>
      </c>
      <c r="DN266" s="93" cm="1">
        <f t="array" ref="DN266">SUMPRODUCT(TRANSPOSE(DN$4:DN$20),$G266:$W266)</f>
        <v>0</v>
      </c>
      <c r="DO266" s="93" cm="1">
        <f t="array" ref="DO266">SUMPRODUCT(TRANSPOSE(DO$4:DO$20),$G266:$W266)</f>
        <v>0</v>
      </c>
    </row>
    <row r="267" spans="1:119" x14ac:dyDescent="0.2">
      <c r="A267" s="45">
        <f t="shared" si="29"/>
        <v>246</v>
      </c>
      <c r="B267" s="46" t="s">
        <v>620</v>
      </c>
      <c r="C267" s="45">
        <v>514301316</v>
      </c>
      <c r="D267" s="45" t="s">
        <v>619</v>
      </c>
      <c r="E267" s="45" t="s">
        <v>162</v>
      </c>
      <c r="F267" s="48">
        <v>2</v>
      </c>
      <c r="G267" s="100">
        <v>57</v>
      </c>
      <c r="H267" s="100">
        <v>0</v>
      </c>
      <c r="I267" s="100">
        <v>63</v>
      </c>
      <c r="J267" s="100">
        <v>0</v>
      </c>
      <c r="K267" s="100">
        <v>64</v>
      </c>
      <c r="L267" s="100">
        <v>0</v>
      </c>
      <c r="M267" s="100">
        <v>0</v>
      </c>
      <c r="N267" s="100">
        <v>0</v>
      </c>
      <c r="O267" s="100">
        <v>14</v>
      </c>
      <c r="P267" s="100">
        <v>26</v>
      </c>
      <c r="Q267" s="100">
        <v>0</v>
      </c>
      <c r="R267" s="100">
        <v>0</v>
      </c>
      <c r="S267" s="100">
        <v>14</v>
      </c>
      <c r="T267" s="100">
        <v>26</v>
      </c>
      <c r="U267" s="100">
        <v>0</v>
      </c>
      <c r="V267" s="100">
        <v>0</v>
      </c>
      <c r="W267" s="100">
        <v>0</v>
      </c>
      <c r="X267" s="45" t="s">
        <v>24</v>
      </c>
      <c r="Y267" s="49">
        <v>8.0000000000000002E-3</v>
      </c>
      <c r="Z267" s="45">
        <v>69524</v>
      </c>
      <c r="AA267" s="45">
        <v>0</v>
      </c>
      <c r="AB267" s="45">
        <v>0</v>
      </c>
      <c r="AC267" s="45">
        <v>0</v>
      </c>
      <c r="AD267" s="45">
        <v>0</v>
      </c>
      <c r="AE267" s="45">
        <v>0</v>
      </c>
      <c r="AF267" s="45">
        <v>0</v>
      </c>
      <c r="AG267" s="45">
        <v>0</v>
      </c>
      <c r="AH267" s="45">
        <v>0</v>
      </c>
      <c r="AI267" s="45">
        <v>0</v>
      </c>
      <c r="AJ267" s="45">
        <v>0</v>
      </c>
      <c r="AK267" s="45">
        <v>0</v>
      </c>
      <c r="AL267" s="45">
        <v>0</v>
      </c>
      <c r="AM267" s="45">
        <v>0</v>
      </c>
      <c r="AN267" s="45">
        <v>0</v>
      </c>
      <c r="AO267" s="45"/>
      <c r="AP267" s="45"/>
      <c r="AQ267" s="45"/>
      <c r="AR267" s="45"/>
      <c r="AS267" s="45"/>
      <c r="AT267" s="45"/>
      <c r="AU267" s="45"/>
      <c r="AV267" s="45"/>
      <c r="AW267" s="45"/>
      <c r="AX267" s="45"/>
      <c r="AY267" s="45"/>
      <c r="AZ267" s="45"/>
      <c r="BA267" s="45"/>
      <c r="BB267" s="45"/>
      <c r="BC267" s="45"/>
      <c r="BD267" s="93"/>
      <c r="BE267" s="93"/>
      <c r="BF267" s="93"/>
      <c r="BG267" s="93"/>
      <c r="BH267" s="93"/>
      <c r="BI267" s="93"/>
      <c r="BJ267" s="93"/>
      <c r="BK267" s="93">
        <f>SUM($Z267:AD267)-SUM($CM267:CQ267)</f>
        <v>64932</v>
      </c>
      <c r="BL267" s="93">
        <f>SUM($Z267:AE267)-SUM($CM267:CR267)</f>
        <v>60660</v>
      </c>
      <c r="BM267" s="93">
        <f>SUM($Z267:AF267)-SUM($CM267:CS267)</f>
        <v>56588</v>
      </c>
      <c r="BN267" s="93">
        <f>SUM($Z267:AG267)-SUM($CM267:CT267)</f>
        <v>52716</v>
      </c>
      <c r="BO267" s="93">
        <f>SUM($Z267:AH267)-SUM($CM267:CU267)</f>
        <v>48844</v>
      </c>
      <c r="BP267" s="93">
        <f>SUM($Z267:AI267)-SUM($CM267:CV267)</f>
        <v>44972</v>
      </c>
      <c r="BQ267" s="93">
        <f>SUM($Z267:AJ267)-SUM($CM267:CW267)</f>
        <v>41100</v>
      </c>
      <c r="BR267" s="93">
        <f>SUM($Z267:AK267)-SUM($CM267:CX267)</f>
        <v>37228</v>
      </c>
      <c r="BS267" s="93">
        <f>SUM($Z267:AL267)-SUM($CM267:CY267)</f>
        <v>33356</v>
      </c>
      <c r="BT267" s="93">
        <f>SUM($Z267:AM267)-SUM($CM267:CZ267)</f>
        <v>29484</v>
      </c>
      <c r="BU267" s="93">
        <f>SUM($Z267:AN267)-SUM($CM267:DA267)</f>
        <v>25612</v>
      </c>
      <c r="BV267" s="93">
        <f>SUM($Z267:AO267)-SUM($CM267:DB267)</f>
        <v>23580</v>
      </c>
      <c r="BW267" s="93">
        <f>SUM($Z267:AP267)-SUM($CM267:DC267)</f>
        <v>22476</v>
      </c>
      <c r="BX267" s="93">
        <f>SUM($Z267:AQ267)-SUM($CM267:DD267)</f>
        <v>22476</v>
      </c>
      <c r="BY267" s="93">
        <f>SUM($Z267:AR267)-SUM($CM267:DE267)</f>
        <v>22476</v>
      </c>
      <c r="BZ267" s="93">
        <f>SUM($Z267:AS267)-SUM($CM267:DF267)</f>
        <v>22476</v>
      </c>
      <c r="CA267" s="93">
        <f>SUM($Z267:AT267)-SUM($CM267:DG267)</f>
        <v>22476</v>
      </c>
      <c r="CB267" s="93">
        <f>SUM($Z267:AU267)-SUM($CM267:DH267)</f>
        <v>22476</v>
      </c>
      <c r="CC267" s="93">
        <f>SUM($Z267:AV267)-SUM($CM267:DI267)</f>
        <v>22476</v>
      </c>
      <c r="CD267" s="93">
        <f>SUM($Z267:AW267)-SUM($CM267:DJ267)</f>
        <v>22476</v>
      </c>
      <c r="CE267" s="93">
        <f>SUM($Z267:AX267)-SUM($CM267:DK267)</f>
        <v>22476</v>
      </c>
      <c r="CF267" s="93">
        <f>SUM($Z267:AY267)-SUM($CM267:DL267)</f>
        <v>22476</v>
      </c>
      <c r="CG267" s="93">
        <f>SUM($Z267:AZ267)-SUM($CM267:DM267)</f>
        <v>22476</v>
      </c>
      <c r="CH267" s="93">
        <f>SUM($Z267:BA267)-SUM($CM267:DN267)</f>
        <v>22476</v>
      </c>
      <c r="CI267" s="93">
        <f>SUM($Z267:BB267)-SUM($CM267:DO267)</f>
        <v>22476</v>
      </c>
      <c r="CJ267" s="93"/>
      <c r="CK267" s="93"/>
      <c r="CL267" s="93"/>
      <c r="CM267" s="93"/>
      <c r="CN267" s="93" cm="1">
        <f t="array" ref="CN267">SUMPRODUCT(TRANSPOSE(CN$4:CN$20),$G267:$W267)</f>
        <v>0</v>
      </c>
      <c r="CO267" s="93" cm="1">
        <f t="array" ref="CO267">SUMPRODUCT(TRANSPOSE(CO$4:CO$20),$G267:$W267)</f>
        <v>0</v>
      </c>
      <c r="CP267" s="93" cm="1">
        <f t="array" ref="CP267">SUMPRODUCT(TRANSPOSE(CP$4:CP$20),$G267:$W267)</f>
        <v>0</v>
      </c>
      <c r="CQ267" s="93" cm="1">
        <f t="array" ref="CQ267">SUMPRODUCT(TRANSPOSE(CQ$4:CQ$20),$G267:$W267)</f>
        <v>4592</v>
      </c>
      <c r="CR267" s="93" cm="1">
        <f t="array" ref="CR267">SUMPRODUCT(TRANSPOSE(CR$4:CR$20),$G267:$W267)</f>
        <v>4272</v>
      </c>
      <c r="CS267" s="93" cm="1">
        <f t="array" ref="CS267">SUMPRODUCT(TRANSPOSE(CS$4:CS$20),$G267:$W267)</f>
        <v>4072</v>
      </c>
      <c r="CT267" s="93" cm="1">
        <f t="array" ref="CT267">SUMPRODUCT(TRANSPOSE(CT$4:CT$20),$G267:$W267)</f>
        <v>3872</v>
      </c>
      <c r="CU267" s="93" cm="1">
        <f t="array" ref="CU267">SUMPRODUCT(TRANSPOSE(CU$4:CU$20),$G267:$W267)</f>
        <v>3872</v>
      </c>
      <c r="CV267" s="93" cm="1">
        <f t="array" ref="CV267">SUMPRODUCT(TRANSPOSE(CV$4:CV$20),$G267:$W267)</f>
        <v>3872</v>
      </c>
      <c r="CW267" s="93" cm="1">
        <f t="array" ref="CW267">SUMPRODUCT(TRANSPOSE(CW$4:CW$20),$G267:$W267)</f>
        <v>3872</v>
      </c>
      <c r="CX267" s="93" cm="1">
        <f t="array" ref="CX267">SUMPRODUCT(TRANSPOSE(CX$4:CX$20),$G267:$W267)</f>
        <v>3872</v>
      </c>
      <c r="CY267" s="93" cm="1">
        <f t="array" ref="CY267">SUMPRODUCT(TRANSPOSE(CY$4:CY$20),$G267:$W267)</f>
        <v>3872</v>
      </c>
      <c r="CZ267" s="93" cm="1">
        <f t="array" ref="CZ267">SUMPRODUCT(TRANSPOSE(CZ$4:CZ$20),$G267:$W267)</f>
        <v>3872</v>
      </c>
      <c r="DA267" s="93" cm="1">
        <f t="array" ref="DA267">SUMPRODUCT(TRANSPOSE(DA$4:DA$20),$G267:$W267)</f>
        <v>3872</v>
      </c>
      <c r="DB267" s="93" cm="1">
        <f t="array" ref="DB267">SUMPRODUCT(TRANSPOSE(DB$4:DB$20),$G267:$W267)</f>
        <v>2032</v>
      </c>
      <c r="DC267" s="93" cm="1">
        <f t="array" ref="DC267">SUMPRODUCT(TRANSPOSE(DC$4:DC$20),$G267:$W267)</f>
        <v>1104</v>
      </c>
      <c r="DD267" s="93" cm="1">
        <f t="array" ref="DD267">SUMPRODUCT(TRANSPOSE(DD$4:DD$20),$G267:$W267)</f>
        <v>0</v>
      </c>
      <c r="DE267" s="93" cm="1">
        <f t="array" ref="DE267">SUMPRODUCT(TRANSPOSE(DE$4:DE$20),$G267:$W267)</f>
        <v>0</v>
      </c>
      <c r="DF267" s="93" cm="1">
        <f t="array" ref="DF267">SUMPRODUCT(TRANSPOSE(DF$4:DF$20),$G267:$W267)</f>
        <v>0</v>
      </c>
      <c r="DG267" s="93" cm="1">
        <f t="array" ref="DG267">SUMPRODUCT(TRANSPOSE(DG$4:DG$20),$G267:$W267)</f>
        <v>0</v>
      </c>
      <c r="DH267" s="93" cm="1">
        <f t="array" ref="DH267">SUMPRODUCT(TRANSPOSE(DH$4:DH$20),$G267:$W267)</f>
        <v>0</v>
      </c>
      <c r="DI267" s="93" cm="1">
        <f t="array" ref="DI267">SUMPRODUCT(TRANSPOSE(DI$4:DI$20),$G267:$W267)</f>
        <v>0</v>
      </c>
      <c r="DJ267" s="93" cm="1">
        <f t="array" ref="DJ267">SUMPRODUCT(TRANSPOSE(DJ$4:DJ$20),$G267:$W267)</f>
        <v>0</v>
      </c>
      <c r="DK267" s="93" cm="1">
        <f t="array" ref="DK267">SUMPRODUCT(TRANSPOSE(DK$4:DK$20),$G267:$W267)</f>
        <v>0</v>
      </c>
      <c r="DL267" s="93" cm="1">
        <f t="array" ref="DL267">SUMPRODUCT(TRANSPOSE(DL$4:DL$20),$G267:$W267)</f>
        <v>0</v>
      </c>
      <c r="DM267" s="93" cm="1">
        <f t="array" ref="DM267">SUMPRODUCT(TRANSPOSE(DM$4:DM$20),$G267:$W267)</f>
        <v>0</v>
      </c>
      <c r="DN267" s="93" cm="1">
        <f t="array" ref="DN267">SUMPRODUCT(TRANSPOSE(DN$4:DN$20),$G267:$W267)</f>
        <v>0</v>
      </c>
      <c r="DO267" s="93" cm="1">
        <f t="array" ref="DO267">SUMPRODUCT(TRANSPOSE(DO$4:DO$20),$G267:$W267)</f>
        <v>0</v>
      </c>
    </row>
    <row r="268" spans="1:119" x14ac:dyDescent="0.2">
      <c r="A268" s="45">
        <f t="shared" si="29"/>
        <v>247</v>
      </c>
      <c r="B268" s="46" t="s">
        <v>621</v>
      </c>
      <c r="C268" s="45">
        <v>514301324</v>
      </c>
      <c r="D268" s="45" t="s">
        <v>622</v>
      </c>
      <c r="E268" s="45" t="s">
        <v>162</v>
      </c>
      <c r="F268" s="48">
        <v>2</v>
      </c>
      <c r="G268" s="100">
        <v>2</v>
      </c>
      <c r="H268" s="100">
        <v>24</v>
      </c>
      <c r="I268" s="100">
        <v>0</v>
      </c>
      <c r="J268" s="100">
        <v>0</v>
      </c>
      <c r="K268" s="100">
        <v>4</v>
      </c>
      <c r="L268" s="100">
        <v>0</v>
      </c>
      <c r="M268" s="100">
        <v>0</v>
      </c>
      <c r="N268" s="100">
        <v>0</v>
      </c>
      <c r="O268" s="100">
        <v>0</v>
      </c>
      <c r="P268" s="100">
        <v>69</v>
      </c>
      <c r="Q268" s="100">
        <v>0</v>
      </c>
      <c r="R268" s="100">
        <v>0</v>
      </c>
      <c r="S268" s="100">
        <v>6</v>
      </c>
      <c r="T268" s="100">
        <v>69</v>
      </c>
      <c r="U268" s="100">
        <v>0</v>
      </c>
      <c r="V268" s="100">
        <v>0</v>
      </c>
      <c r="W268" s="100">
        <v>0</v>
      </c>
      <c r="X268" s="45" t="s">
        <v>24</v>
      </c>
      <c r="Y268" s="49">
        <v>1.35E-2</v>
      </c>
      <c r="Z268" s="45">
        <v>83336</v>
      </c>
      <c r="AA268" s="45">
        <v>0</v>
      </c>
      <c r="AB268" s="45">
        <v>0</v>
      </c>
      <c r="AC268" s="45">
        <v>0</v>
      </c>
      <c r="AD268" s="45">
        <v>0</v>
      </c>
      <c r="AE268" s="45">
        <v>0</v>
      </c>
      <c r="AF268" s="45">
        <v>0</v>
      </c>
      <c r="AG268" s="45">
        <v>0</v>
      </c>
      <c r="AH268" s="45">
        <v>0</v>
      </c>
      <c r="AI268" s="45">
        <v>0</v>
      </c>
      <c r="AJ268" s="45">
        <v>0</v>
      </c>
      <c r="AK268" s="45">
        <v>0</v>
      </c>
      <c r="AL268" s="45">
        <v>0</v>
      </c>
      <c r="AM268" s="45">
        <v>0</v>
      </c>
      <c r="AN268" s="45">
        <v>0</v>
      </c>
      <c r="AO268" s="45"/>
      <c r="AP268" s="45"/>
      <c r="AQ268" s="45"/>
      <c r="AR268" s="45"/>
      <c r="AS268" s="45"/>
      <c r="AT268" s="45"/>
      <c r="AU268" s="45"/>
      <c r="AV268" s="45"/>
      <c r="AW268" s="45"/>
      <c r="AX268" s="45"/>
      <c r="AY268" s="45"/>
      <c r="AZ268" s="45"/>
      <c r="BA268" s="45"/>
      <c r="BB268" s="45"/>
      <c r="BC268" s="45"/>
      <c r="BD268" s="93"/>
      <c r="BE268" s="93"/>
      <c r="BF268" s="93"/>
      <c r="BG268" s="93"/>
      <c r="BH268" s="93"/>
      <c r="BI268" s="93"/>
      <c r="BJ268" s="93"/>
      <c r="BK268" s="93">
        <f>SUM($Z268:AD268)-SUM($CM268:CQ268)</f>
        <v>77456</v>
      </c>
      <c r="BL268" s="93">
        <f>SUM($Z268:AE268)-SUM($CM268:CR268)</f>
        <v>72176</v>
      </c>
      <c r="BM268" s="93">
        <f>SUM($Z268:AF268)-SUM($CM268:CS268)</f>
        <v>67271</v>
      </c>
      <c r="BN268" s="93">
        <f>SUM($Z268:AG268)-SUM($CM268:CT268)</f>
        <v>62711</v>
      </c>
      <c r="BO268" s="93">
        <f>SUM($Z268:AH268)-SUM($CM268:CU268)</f>
        <v>58151</v>
      </c>
      <c r="BP268" s="93">
        <f>SUM($Z268:AI268)-SUM($CM268:CV268)</f>
        <v>53591</v>
      </c>
      <c r="BQ268" s="93">
        <f>SUM($Z268:AJ268)-SUM($CM268:CW268)</f>
        <v>49031</v>
      </c>
      <c r="BR268" s="93">
        <f>SUM($Z268:AK268)-SUM($CM268:CX268)</f>
        <v>44471</v>
      </c>
      <c r="BS268" s="93">
        <f>SUM($Z268:AL268)-SUM($CM268:CY268)</f>
        <v>39911</v>
      </c>
      <c r="BT268" s="93">
        <f>SUM($Z268:AM268)-SUM($CM268:CZ268)</f>
        <v>35351</v>
      </c>
      <c r="BU268" s="93">
        <f>SUM($Z268:AN268)-SUM($CM268:DA268)</f>
        <v>30791</v>
      </c>
      <c r="BV268" s="93">
        <f>SUM($Z268:AO268)-SUM($CM268:DB268)</f>
        <v>29585</v>
      </c>
      <c r="BW268" s="93">
        <f>SUM($Z268:AP268)-SUM($CM268:DC268)</f>
        <v>29405</v>
      </c>
      <c r="BX268" s="93">
        <f>SUM($Z268:AQ268)-SUM($CM268:DD268)</f>
        <v>29405</v>
      </c>
      <c r="BY268" s="93">
        <f>SUM($Z268:AR268)-SUM($CM268:DE268)</f>
        <v>29405</v>
      </c>
      <c r="BZ268" s="93">
        <f>SUM($Z268:AS268)-SUM($CM268:DF268)</f>
        <v>29405</v>
      </c>
      <c r="CA268" s="93">
        <f>SUM($Z268:AT268)-SUM($CM268:DG268)</f>
        <v>29405</v>
      </c>
      <c r="CB268" s="93">
        <f>SUM($Z268:AU268)-SUM($CM268:DH268)</f>
        <v>29405</v>
      </c>
      <c r="CC268" s="93">
        <f>SUM($Z268:AV268)-SUM($CM268:DI268)</f>
        <v>29405</v>
      </c>
      <c r="CD268" s="93">
        <f>SUM($Z268:AW268)-SUM($CM268:DJ268)</f>
        <v>29405</v>
      </c>
      <c r="CE268" s="93">
        <f>SUM($Z268:AX268)-SUM($CM268:DK268)</f>
        <v>29405</v>
      </c>
      <c r="CF268" s="93">
        <f>SUM($Z268:AY268)-SUM($CM268:DL268)</f>
        <v>29405</v>
      </c>
      <c r="CG268" s="93">
        <f>SUM($Z268:AZ268)-SUM($CM268:DM268)</f>
        <v>29405</v>
      </c>
      <c r="CH268" s="93">
        <f>SUM($Z268:BA268)-SUM($CM268:DN268)</f>
        <v>29405</v>
      </c>
      <c r="CI268" s="93">
        <f>SUM($Z268:BB268)-SUM($CM268:DO268)</f>
        <v>29405</v>
      </c>
      <c r="CJ268" s="93"/>
      <c r="CK268" s="93"/>
      <c r="CL268" s="93"/>
      <c r="CM268" s="93"/>
      <c r="CN268" s="93" cm="1">
        <f t="array" ref="CN268">SUMPRODUCT(TRANSPOSE(CN$4:CN$20),$G268:$W268)</f>
        <v>0</v>
      </c>
      <c r="CO268" s="93" cm="1">
        <f t="array" ref="CO268">SUMPRODUCT(TRANSPOSE(CO$4:CO$20),$G268:$W268)</f>
        <v>0</v>
      </c>
      <c r="CP268" s="93" cm="1">
        <f t="array" ref="CP268">SUMPRODUCT(TRANSPOSE(CP$4:CP$20),$G268:$W268)</f>
        <v>0</v>
      </c>
      <c r="CQ268" s="93" cm="1">
        <f t="array" ref="CQ268">SUMPRODUCT(TRANSPOSE(CQ$4:CQ$20),$G268:$W268)</f>
        <v>5880</v>
      </c>
      <c r="CR268" s="93" cm="1">
        <f t="array" ref="CR268">SUMPRODUCT(TRANSPOSE(CR$4:CR$20),$G268:$W268)</f>
        <v>5280</v>
      </c>
      <c r="CS268" s="93" cm="1">
        <f t="array" ref="CS268">SUMPRODUCT(TRANSPOSE(CS$4:CS$20),$G268:$W268)</f>
        <v>4905</v>
      </c>
      <c r="CT268" s="93" cm="1">
        <f t="array" ref="CT268">SUMPRODUCT(TRANSPOSE(CT$4:CT$20),$G268:$W268)</f>
        <v>4560</v>
      </c>
      <c r="CU268" s="93" cm="1">
        <f t="array" ref="CU268">SUMPRODUCT(TRANSPOSE(CU$4:CU$20),$G268:$W268)</f>
        <v>4560</v>
      </c>
      <c r="CV268" s="93" cm="1">
        <f t="array" ref="CV268">SUMPRODUCT(TRANSPOSE(CV$4:CV$20),$G268:$W268)</f>
        <v>4560</v>
      </c>
      <c r="CW268" s="93" cm="1">
        <f t="array" ref="CW268">SUMPRODUCT(TRANSPOSE(CW$4:CW$20),$G268:$W268)</f>
        <v>4560</v>
      </c>
      <c r="CX268" s="93" cm="1">
        <f t="array" ref="CX268">SUMPRODUCT(TRANSPOSE(CX$4:CX$20),$G268:$W268)</f>
        <v>4560</v>
      </c>
      <c r="CY268" s="93" cm="1">
        <f t="array" ref="CY268">SUMPRODUCT(TRANSPOSE(CY$4:CY$20),$G268:$W268)</f>
        <v>4560</v>
      </c>
      <c r="CZ268" s="93" cm="1">
        <f t="array" ref="CZ268">SUMPRODUCT(TRANSPOSE(CZ$4:CZ$20),$G268:$W268)</f>
        <v>4560</v>
      </c>
      <c r="DA268" s="93" cm="1">
        <f t="array" ref="DA268">SUMPRODUCT(TRANSPOSE(DA$4:DA$20),$G268:$W268)</f>
        <v>4560</v>
      </c>
      <c r="DB268" s="93" cm="1">
        <f t="array" ref="DB268">SUMPRODUCT(TRANSPOSE(DB$4:DB$20),$G268:$W268)</f>
        <v>1206</v>
      </c>
      <c r="DC268" s="93" cm="1">
        <f t="array" ref="DC268">SUMPRODUCT(TRANSPOSE(DC$4:DC$20),$G268:$W268)</f>
        <v>180</v>
      </c>
      <c r="DD268" s="93" cm="1">
        <f t="array" ref="DD268">SUMPRODUCT(TRANSPOSE(DD$4:DD$20),$G268:$W268)</f>
        <v>0</v>
      </c>
      <c r="DE268" s="93" cm="1">
        <f t="array" ref="DE268">SUMPRODUCT(TRANSPOSE(DE$4:DE$20),$G268:$W268)</f>
        <v>0</v>
      </c>
      <c r="DF268" s="93" cm="1">
        <f t="array" ref="DF268">SUMPRODUCT(TRANSPOSE(DF$4:DF$20),$G268:$W268)</f>
        <v>0</v>
      </c>
      <c r="DG268" s="93" cm="1">
        <f t="array" ref="DG268">SUMPRODUCT(TRANSPOSE(DG$4:DG$20),$G268:$W268)</f>
        <v>0</v>
      </c>
      <c r="DH268" s="93" cm="1">
        <f t="array" ref="DH268">SUMPRODUCT(TRANSPOSE(DH$4:DH$20),$G268:$W268)</f>
        <v>0</v>
      </c>
      <c r="DI268" s="93" cm="1">
        <f t="array" ref="DI268">SUMPRODUCT(TRANSPOSE(DI$4:DI$20),$G268:$W268)</f>
        <v>0</v>
      </c>
      <c r="DJ268" s="93" cm="1">
        <f t="array" ref="DJ268">SUMPRODUCT(TRANSPOSE(DJ$4:DJ$20),$G268:$W268)</f>
        <v>0</v>
      </c>
      <c r="DK268" s="93" cm="1">
        <f t="array" ref="DK268">SUMPRODUCT(TRANSPOSE(DK$4:DK$20),$G268:$W268)</f>
        <v>0</v>
      </c>
      <c r="DL268" s="93" cm="1">
        <f t="array" ref="DL268">SUMPRODUCT(TRANSPOSE(DL$4:DL$20),$G268:$W268)</f>
        <v>0</v>
      </c>
      <c r="DM268" s="93" cm="1">
        <f t="array" ref="DM268">SUMPRODUCT(TRANSPOSE(DM$4:DM$20),$G268:$W268)</f>
        <v>0</v>
      </c>
      <c r="DN268" s="93" cm="1">
        <f t="array" ref="DN268">SUMPRODUCT(TRANSPOSE(DN$4:DN$20),$G268:$W268)</f>
        <v>0</v>
      </c>
      <c r="DO268" s="93" cm="1">
        <f t="array" ref="DO268">SUMPRODUCT(TRANSPOSE(DO$4:DO$20),$G268:$W268)</f>
        <v>0</v>
      </c>
    </row>
    <row r="269" spans="1:119" x14ac:dyDescent="0.2">
      <c r="A269" s="45">
        <f t="shared" si="29"/>
        <v>248</v>
      </c>
      <c r="B269" s="46" t="s">
        <v>623</v>
      </c>
      <c r="C269" s="45">
        <v>514301407</v>
      </c>
      <c r="D269" s="45" t="s">
        <v>619</v>
      </c>
      <c r="E269" s="45" t="s">
        <v>162</v>
      </c>
      <c r="F269" s="48">
        <v>2</v>
      </c>
      <c r="G269" s="100">
        <v>146</v>
      </c>
      <c r="H269" s="100">
        <v>0</v>
      </c>
      <c r="I269" s="100">
        <v>4</v>
      </c>
      <c r="J269" s="100">
        <v>0</v>
      </c>
      <c r="K269" s="100">
        <v>5</v>
      </c>
      <c r="L269" s="100">
        <v>0</v>
      </c>
      <c r="M269" s="100">
        <v>0</v>
      </c>
      <c r="N269" s="100">
        <v>0</v>
      </c>
      <c r="O269" s="100">
        <v>8</v>
      </c>
      <c r="P269" s="100">
        <v>0</v>
      </c>
      <c r="Q269" s="100">
        <v>0</v>
      </c>
      <c r="R269" s="100">
        <v>0</v>
      </c>
      <c r="S269" s="100">
        <v>8</v>
      </c>
      <c r="T269" s="100">
        <v>0</v>
      </c>
      <c r="U269" s="100">
        <v>0</v>
      </c>
      <c r="V269" s="100">
        <v>0</v>
      </c>
      <c r="W269" s="100">
        <v>0</v>
      </c>
      <c r="X269" s="45" t="s">
        <v>24</v>
      </c>
      <c r="Y269" s="49">
        <v>1.8499999999999999E-2</v>
      </c>
      <c r="Z269" s="45">
        <v>30189</v>
      </c>
      <c r="AA269" s="45">
        <v>0</v>
      </c>
      <c r="AB269" s="45">
        <v>0</v>
      </c>
      <c r="AC269" s="45">
        <v>0</v>
      </c>
      <c r="AD269" s="45">
        <v>0</v>
      </c>
      <c r="AE269" s="45">
        <v>0</v>
      </c>
      <c r="AF269" s="45">
        <v>0</v>
      </c>
      <c r="AG269" s="45">
        <v>0</v>
      </c>
      <c r="AH269" s="45">
        <v>0</v>
      </c>
      <c r="AI269" s="45">
        <v>0</v>
      </c>
      <c r="AJ269" s="45">
        <v>0</v>
      </c>
      <c r="AK269" s="45">
        <v>0</v>
      </c>
      <c r="AL269" s="45">
        <v>0</v>
      </c>
      <c r="AM269" s="45">
        <v>0</v>
      </c>
      <c r="AN269" s="45">
        <v>0</v>
      </c>
      <c r="AO269" s="45"/>
      <c r="AP269" s="45"/>
      <c r="AQ269" s="45"/>
      <c r="AR269" s="45"/>
      <c r="AS269" s="45"/>
      <c r="AT269" s="45"/>
      <c r="AU269" s="45"/>
      <c r="AV269" s="45"/>
      <c r="AW269" s="45"/>
      <c r="AX269" s="45"/>
      <c r="AY269" s="45"/>
      <c r="AZ269" s="45"/>
      <c r="BA269" s="45"/>
      <c r="BB269" s="45"/>
      <c r="BC269" s="45"/>
      <c r="BD269" s="93"/>
      <c r="BE269" s="93"/>
      <c r="BF269" s="93"/>
      <c r="BG269" s="93"/>
      <c r="BH269" s="93"/>
      <c r="BI269" s="93"/>
      <c r="BJ269" s="93"/>
      <c r="BK269" s="93">
        <f>SUM($Z269:AD269)-SUM($CM269:CQ269)</f>
        <v>28325</v>
      </c>
      <c r="BL269" s="93">
        <f>SUM($Z269:AE269)-SUM($CM269:CR269)</f>
        <v>26525</v>
      </c>
      <c r="BM269" s="93">
        <f>SUM($Z269:AF269)-SUM($CM269:CS269)</f>
        <v>24765</v>
      </c>
      <c r="BN269" s="93">
        <f>SUM($Z269:AG269)-SUM($CM269:CT269)</f>
        <v>23045</v>
      </c>
      <c r="BO269" s="93">
        <f>SUM($Z269:AH269)-SUM($CM269:CU269)</f>
        <v>21325</v>
      </c>
      <c r="BP269" s="93">
        <f>SUM($Z269:AI269)-SUM($CM269:CV269)</f>
        <v>19605</v>
      </c>
      <c r="BQ269" s="93">
        <f>SUM($Z269:AJ269)-SUM($CM269:CW269)</f>
        <v>17885</v>
      </c>
      <c r="BR269" s="93">
        <f>SUM($Z269:AK269)-SUM($CM269:CX269)</f>
        <v>16165</v>
      </c>
      <c r="BS269" s="93">
        <f>SUM($Z269:AL269)-SUM($CM269:CY269)</f>
        <v>14445</v>
      </c>
      <c r="BT269" s="93">
        <f>SUM($Z269:AM269)-SUM($CM269:CZ269)</f>
        <v>12725</v>
      </c>
      <c r="BU269" s="93">
        <f>SUM($Z269:AN269)-SUM($CM269:DA269)</f>
        <v>11005</v>
      </c>
      <c r="BV269" s="93">
        <f>SUM($Z269:AO269)-SUM($CM269:DB269)</f>
        <v>9653</v>
      </c>
      <c r="BW269" s="93">
        <f>SUM($Z269:AP269)-SUM($CM269:DC269)</f>
        <v>8723</v>
      </c>
      <c r="BX269" s="93">
        <f>SUM($Z269:AQ269)-SUM($CM269:DD269)</f>
        <v>8723</v>
      </c>
      <c r="BY269" s="93">
        <f>SUM($Z269:AR269)-SUM($CM269:DE269)</f>
        <v>8723</v>
      </c>
      <c r="BZ269" s="93">
        <f>SUM($Z269:AS269)-SUM($CM269:DF269)</f>
        <v>8723</v>
      </c>
      <c r="CA269" s="93">
        <f>SUM($Z269:AT269)-SUM($CM269:DG269)</f>
        <v>8723</v>
      </c>
      <c r="CB269" s="93">
        <f>SUM($Z269:AU269)-SUM($CM269:DH269)</f>
        <v>8723</v>
      </c>
      <c r="CC269" s="93">
        <f>SUM($Z269:AV269)-SUM($CM269:DI269)</f>
        <v>8723</v>
      </c>
      <c r="CD269" s="93">
        <f>SUM($Z269:AW269)-SUM($CM269:DJ269)</f>
        <v>8723</v>
      </c>
      <c r="CE269" s="93">
        <f>SUM($Z269:AX269)-SUM($CM269:DK269)</f>
        <v>8723</v>
      </c>
      <c r="CF269" s="93">
        <f>SUM($Z269:AY269)-SUM($CM269:DL269)</f>
        <v>8723</v>
      </c>
      <c r="CG269" s="93">
        <f>SUM($Z269:AZ269)-SUM($CM269:DM269)</f>
        <v>8723</v>
      </c>
      <c r="CH269" s="93">
        <f>SUM($Z269:BA269)-SUM($CM269:DN269)</f>
        <v>8723</v>
      </c>
      <c r="CI269" s="93">
        <f>SUM($Z269:BB269)-SUM($CM269:DO269)</f>
        <v>8723</v>
      </c>
      <c r="CJ269" s="93"/>
      <c r="CK269" s="93"/>
      <c r="CL269" s="93"/>
      <c r="CM269" s="93"/>
      <c r="CN269" s="93" cm="1">
        <f t="array" ref="CN269">SUMPRODUCT(TRANSPOSE(CN$4:CN$20),$G269:$W269)</f>
        <v>0</v>
      </c>
      <c r="CO269" s="93" cm="1">
        <f t="array" ref="CO269">SUMPRODUCT(TRANSPOSE(CO$4:CO$20),$G269:$W269)</f>
        <v>0</v>
      </c>
      <c r="CP269" s="93" cm="1">
        <f t="array" ref="CP269">SUMPRODUCT(TRANSPOSE(CP$4:CP$20),$G269:$W269)</f>
        <v>0</v>
      </c>
      <c r="CQ269" s="93" cm="1">
        <f t="array" ref="CQ269">SUMPRODUCT(TRANSPOSE(CQ$4:CQ$20),$G269:$W269)</f>
        <v>1864</v>
      </c>
      <c r="CR269" s="93" cm="1">
        <f t="array" ref="CR269">SUMPRODUCT(TRANSPOSE(CR$4:CR$20),$G269:$W269)</f>
        <v>1800</v>
      </c>
      <c r="CS269" s="93" cm="1">
        <f t="array" ref="CS269">SUMPRODUCT(TRANSPOSE(CS$4:CS$20),$G269:$W269)</f>
        <v>1760</v>
      </c>
      <c r="CT269" s="93" cm="1">
        <f t="array" ref="CT269">SUMPRODUCT(TRANSPOSE(CT$4:CT$20),$G269:$W269)</f>
        <v>1720</v>
      </c>
      <c r="CU269" s="93" cm="1">
        <f t="array" ref="CU269">SUMPRODUCT(TRANSPOSE(CU$4:CU$20),$G269:$W269)</f>
        <v>1720</v>
      </c>
      <c r="CV269" s="93" cm="1">
        <f t="array" ref="CV269">SUMPRODUCT(TRANSPOSE(CV$4:CV$20),$G269:$W269)</f>
        <v>1720</v>
      </c>
      <c r="CW269" s="93" cm="1">
        <f t="array" ref="CW269">SUMPRODUCT(TRANSPOSE(CW$4:CW$20),$G269:$W269)</f>
        <v>1720</v>
      </c>
      <c r="CX269" s="93" cm="1">
        <f t="array" ref="CX269">SUMPRODUCT(TRANSPOSE(CX$4:CX$20),$G269:$W269)</f>
        <v>1720</v>
      </c>
      <c r="CY269" s="93" cm="1">
        <f t="array" ref="CY269">SUMPRODUCT(TRANSPOSE(CY$4:CY$20),$G269:$W269)</f>
        <v>1720</v>
      </c>
      <c r="CZ269" s="93" cm="1">
        <f t="array" ref="CZ269">SUMPRODUCT(TRANSPOSE(CZ$4:CZ$20),$G269:$W269)</f>
        <v>1720</v>
      </c>
      <c r="DA269" s="93" cm="1">
        <f t="array" ref="DA269">SUMPRODUCT(TRANSPOSE(DA$4:DA$20),$G269:$W269)</f>
        <v>1720</v>
      </c>
      <c r="DB269" s="93" cm="1">
        <f t="array" ref="DB269">SUMPRODUCT(TRANSPOSE(DB$4:DB$20),$G269:$W269)</f>
        <v>1352</v>
      </c>
      <c r="DC269" s="93" cm="1">
        <f t="array" ref="DC269">SUMPRODUCT(TRANSPOSE(DC$4:DC$20),$G269:$W269)</f>
        <v>930</v>
      </c>
      <c r="DD269" s="93" cm="1">
        <f t="array" ref="DD269">SUMPRODUCT(TRANSPOSE(DD$4:DD$20),$G269:$W269)</f>
        <v>0</v>
      </c>
      <c r="DE269" s="93" cm="1">
        <f t="array" ref="DE269">SUMPRODUCT(TRANSPOSE(DE$4:DE$20),$G269:$W269)</f>
        <v>0</v>
      </c>
      <c r="DF269" s="93" cm="1">
        <f t="array" ref="DF269">SUMPRODUCT(TRANSPOSE(DF$4:DF$20),$G269:$W269)</f>
        <v>0</v>
      </c>
      <c r="DG269" s="93" cm="1">
        <f t="array" ref="DG269">SUMPRODUCT(TRANSPOSE(DG$4:DG$20),$G269:$W269)</f>
        <v>0</v>
      </c>
      <c r="DH269" s="93" cm="1">
        <f t="array" ref="DH269">SUMPRODUCT(TRANSPOSE(DH$4:DH$20),$G269:$W269)</f>
        <v>0</v>
      </c>
      <c r="DI269" s="93" cm="1">
        <f t="array" ref="DI269">SUMPRODUCT(TRANSPOSE(DI$4:DI$20),$G269:$W269)</f>
        <v>0</v>
      </c>
      <c r="DJ269" s="93" cm="1">
        <f t="array" ref="DJ269">SUMPRODUCT(TRANSPOSE(DJ$4:DJ$20),$G269:$W269)</f>
        <v>0</v>
      </c>
      <c r="DK269" s="93" cm="1">
        <f t="array" ref="DK269">SUMPRODUCT(TRANSPOSE(DK$4:DK$20),$G269:$W269)</f>
        <v>0</v>
      </c>
      <c r="DL269" s="93" cm="1">
        <f t="array" ref="DL269">SUMPRODUCT(TRANSPOSE(DL$4:DL$20),$G269:$W269)</f>
        <v>0</v>
      </c>
      <c r="DM269" s="93" cm="1">
        <f t="array" ref="DM269">SUMPRODUCT(TRANSPOSE(DM$4:DM$20),$G269:$W269)</f>
        <v>0</v>
      </c>
      <c r="DN269" s="93" cm="1">
        <f t="array" ref="DN269">SUMPRODUCT(TRANSPOSE(DN$4:DN$20),$G269:$W269)</f>
        <v>0</v>
      </c>
      <c r="DO269" s="93" cm="1">
        <f t="array" ref="DO269">SUMPRODUCT(TRANSPOSE(DO$4:DO$20),$G269:$W269)</f>
        <v>0</v>
      </c>
    </row>
    <row r="270" spans="1:119" x14ac:dyDescent="0.2">
      <c r="A270" s="45">
        <f t="shared" si="29"/>
        <v>249</v>
      </c>
      <c r="B270" s="46" t="s">
        <v>624</v>
      </c>
      <c r="C270" s="45">
        <v>512304791</v>
      </c>
      <c r="D270" s="45" t="s">
        <v>617</v>
      </c>
      <c r="E270" s="45" t="s">
        <v>162</v>
      </c>
      <c r="F270" s="48">
        <v>2</v>
      </c>
      <c r="G270" s="100">
        <v>0</v>
      </c>
      <c r="H270" s="100">
        <v>0</v>
      </c>
      <c r="I270" s="100">
        <v>0</v>
      </c>
      <c r="J270" s="100">
        <v>8</v>
      </c>
      <c r="K270" s="100">
        <v>3</v>
      </c>
      <c r="L270" s="100">
        <v>8</v>
      </c>
      <c r="M270" s="100">
        <v>0</v>
      </c>
      <c r="N270" s="100">
        <v>0</v>
      </c>
      <c r="O270" s="100">
        <v>10</v>
      </c>
      <c r="P270" s="100">
        <v>0</v>
      </c>
      <c r="Q270" s="100">
        <v>0</v>
      </c>
      <c r="R270" s="100">
        <v>0</v>
      </c>
      <c r="S270" s="100">
        <v>10</v>
      </c>
      <c r="T270" s="100">
        <v>0</v>
      </c>
      <c r="U270" s="100">
        <v>0</v>
      </c>
      <c r="V270" s="100">
        <v>0</v>
      </c>
      <c r="W270" s="100">
        <v>122</v>
      </c>
      <c r="X270" s="45" t="s">
        <v>24</v>
      </c>
      <c r="Y270" s="49">
        <v>3.5000000000000003E-2</v>
      </c>
      <c r="Z270" s="45">
        <v>43031</v>
      </c>
      <c r="AA270" s="45">
        <v>0</v>
      </c>
      <c r="AB270" s="45">
        <v>0</v>
      </c>
      <c r="AC270" s="45">
        <v>0</v>
      </c>
      <c r="AD270" s="45">
        <v>0</v>
      </c>
      <c r="AE270" s="45">
        <v>0</v>
      </c>
      <c r="AF270" s="45">
        <v>0</v>
      </c>
      <c r="AG270" s="45">
        <v>0</v>
      </c>
      <c r="AH270" s="45">
        <v>0</v>
      </c>
      <c r="AI270" s="45">
        <v>0</v>
      </c>
      <c r="AJ270" s="45">
        <v>0</v>
      </c>
      <c r="AK270" s="45">
        <v>0</v>
      </c>
      <c r="AL270" s="45">
        <v>0</v>
      </c>
      <c r="AM270" s="45">
        <v>0</v>
      </c>
      <c r="AN270" s="45">
        <v>0</v>
      </c>
      <c r="AO270" s="45"/>
      <c r="AP270" s="45"/>
      <c r="AQ270" s="45"/>
      <c r="AR270" s="45"/>
      <c r="AS270" s="45"/>
      <c r="AT270" s="45"/>
      <c r="AU270" s="45"/>
      <c r="AV270" s="45"/>
      <c r="AW270" s="45"/>
      <c r="AX270" s="45"/>
      <c r="AY270" s="45"/>
      <c r="AZ270" s="45"/>
      <c r="BA270" s="45"/>
      <c r="BB270" s="45"/>
      <c r="BC270" s="45"/>
      <c r="BD270" s="93"/>
      <c r="BE270" s="93"/>
      <c r="BF270" s="93"/>
      <c r="BG270" s="93"/>
      <c r="BH270" s="93"/>
      <c r="BI270" s="93"/>
      <c r="BJ270" s="93"/>
      <c r="BK270" s="93">
        <f>SUM($Z270:AD270)-SUM($CM270:CQ270)</f>
        <v>40147</v>
      </c>
      <c r="BL270" s="93">
        <f>SUM($Z270:AE270)-SUM($CM270:CR270)</f>
        <v>37343</v>
      </c>
      <c r="BM270" s="93">
        <f>SUM($Z270:AF270)-SUM($CM270:CS270)</f>
        <v>34589</v>
      </c>
      <c r="BN270" s="93">
        <f>SUM($Z270:AG270)-SUM($CM270:CT270)</f>
        <v>31885</v>
      </c>
      <c r="BO270" s="93">
        <f>SUM($Z270:AH270)-SUM($CM270:CU270)</f>
        <v>29181</v>
      </c>
      <c r="BP270" s="93">
        <f>SUM($Z270:AI270)-SUM($CM270:CV270)</f>
        <v>26477</v>
      </c>
      <c r="BQ270" s="93">
        <f>SUM($Z270:AJ270)-SUM($CM270:CW270)</f>
        <v>23773</v>
      </c>
      <c r="BR270" s="93">
        <f>SUM($Z270:AK270)-SUM($CM270:CX270)</f>
        <v>21069</v>
      </c>
      <c r="BS270" s="93">
        <f>SUM($Z270:AL270)-SUM($CM270:CY270)</f>
        <v>20317</v>
      </c>
      <c r="BT270" s="93">
        <f>SUM($Z270:AM270)-SUM($CM270:CZ270)</f>
        <v>19565</v>
      </c>
      <c r="BU270" s="93">
        <f>SUM($Z270:AN270)-SUM($CM270:DA270)</f>
        <v>18813</v>
      </c>
      <c r="BV270" s="93">
        <f>SUM($Z270:AO270)-SUM($CM270:DB270)</f>
        <v>18521</v>
      </c>
      <c r="BW270" s="93">
        <f>SUM($Z270:AP270)-SUM($CM270:DC270)</f>
        <v>18407</v>
      </c>
      <c r="BX270" s="93">
        <f>SUM($Z270:AQ270)-SUM($CM270:DD270)</f>
        <v>18407</v>
      </c>
      <c r="BY270" s="93">
        <f>SUM($Z270:AR270)-SUM($CM270:DE270)</f>
        <v>18407</v>
      </c>
      <c r="BZ270" s="93">
        <f>SUM($Z270:AS270)-SUM($CM270:DF270)</f>
        <v>18407</v>
      </c>
      <c r="CA270" s="93">
        <f>SUM($Z270:AT270)-SUM($CM270:DG270)</f>
        <v>18407</v>
      </c>
      <c r="CB270" s="93">
        <f>SUM($Z270:AU270)-SUM($CM270:DH270)</f>
        <v>18407</v>
      </c>
      <c r="CC270" s="93">
        <f>SUM($Z270:AV270)-SUM($CM270:DI270)</f>
        <v>18407</v>
      </c>
      <c r="CD270" s="93">
        <f>SUM($Z270:AW270)-SUM($CM270:DJ270)</f>
        <v>18407</v>
      </c>
      <c r="CE270" s="93">
        <f>SUM($Z270:AX270)-SUM($CM270:DK270)</f>
        <v>18407</v>
      </c>
      <c r="CF270" s="93">
        <f>SUM($Z270:AY270)-SUM($CM270:DL270)</f>
        <v>18407</v>
      </c>
      <c r="CG270" s="93">
        <f>SUM($Z270:AZ270)-SUM($CM270:DM270)</f>
        <v>18407</v>
      </c>
      <c r="CH270" s="93">
        <f>SUM($Z270:BA270)-SUM($CM270:DN270)</f>
        <v>18407</v>
      </c>
      <c r="CI270" s="93">
        <f>SUM($Z270:BB270)-SUM($CM270:DO270)</f>
        <v>18407</v>
      </c>
      <c r="CJ270" s="93"/>
      <c r="CK270" s="93"/>
      <c r="CL270" s="93"/>
      <c r="CM270" s="93"/>
      <c r="CN270" s="93" cm="1">
        <f t="array" ref="CN270">SUMPRODUCT(TRANSPOSE(CN$4:CN$20),$G270:$W270)</f>
        <v>0</v>
      </c>
      <c r="CO270" s="93" cm="1">
        <f t="array" ref="CO270">SUMPRODUCT(TRANSPOSE(CO$4:CO$20),$G270:$W270)</f>
        <v>0</v>
      </c>
      <c r="CP270" s="93" cm="1">
        <f t="array" ref="CP270">SUMPRODUCT(TRANSPOSE(CP$4:CP$20),$G270:$W270)</f>
        <v>0</v>
      </c>
      <c r="CQ270" s="93" cm="1">
        <f t="array" ref="CQ270">SUMPRODUCT(TRANSPOSE(CQ$4:CQ$20),$G270:$W270)</f>
        <v>2884</v>
      </c>
      <c r="CR270" s="93" cm="1">
        <f t="array" ref="CR270">SUMPRODUCT(TRANSPOSE(CR$4:CR$20),$G270:$W270)</f>
        <v>2804</v>
      </c>
      <c r="CS270" s="93" cm="1">
        <f t="array" ref="CS270">SUMPRODUCT(TRANSPOSE(CS$4:CS$20),$G270:$W270)</f>
        <v>2754</v>
      </c>
      <c r="CT270" s="93" cm="1">
        <f t="array" ref="CT270">SUMPRODUCT(TRANSPOSE(CT$4:CT$20),$G270:$W270)</f>
        <v>2704</v>
      </c>
      <c r="CU270" s="93" cm="1">
        <f t="array" ref="CU270">SUMPRODUCT(TRANSPOSE(CU$4:CU$20),$G270:$W270)</f>
        <v>2704</v>
      </c>
      <c r="CV270" s="93" cm="1">
        <f t="array" ref="CV270">SUMPRODUCT(TRANSPOSE(CV$4:CV$20),$G270:$W270)</f>
        <v>2704</v>
      </c>
      <c r="CW270" s="93" cm="1">
        <f t="array" ref="CW270">SUMPRODUCT(TRANSPOSE(CW$4:CW$20),$G270:$W270)</f>
        <v>2704</v>
      </c>
      <c r="CX270" s="93" cm="1">
        <f t="array" ref="CX270">SUMPRODUCT(TRANSPOSE(CX$4:CX$20),$G270:$W270)</f>
        <v>2704</v>
      </c>
      <c r="CY270" s="93" cm="1">
        <f t="array" ref="CY270">SUMPRODUCT(TRANSPOSE(CY$4:CY$20),$G270:$W270)</f>
        <v>752</v>
      </c>
      <c r="CZ270" s="93" cm="1">
        <f t="array" ref="CZ270">SUMPRODUCT(TRANSPOSE(CZ$4:CZ$20),$G270:$W270)</f>
        <v>752</v>
      </c>
      <c r="DA270" s="93" cm="1">
        <f t="array" ref="DA270">SUMPRODUCT(TRANSPOSE(DA$4:DA$20),$G270:$W270)</f>
        <v>752</v>
      </c>
      <c r="DB270" s="93" cm="1">
        <f t="array" ref="DB270">SUMPRODUCT(TRANSPOSE(DB$4:DB$20),$G270:$W270)</f>
        <v>292</v>
      </c>
      <c r="DC270" s="93" cm="1">
        <f t="array" ref="DC270">SUMPRODUCT(TRANSPOSE(DC$4:DC$20),$G270:$W270)</f>
        <v>114</v>
      </c>
      <c r="DD270" s="93" cm="1">
        <f t="array" ref="DD270">SUMPRODUCT(TRANSPOSE(DD$4:DD$20),$G270:$W270)</f>
        <v>0</v>
      </c>
      <c r="DE270" s="93" cm="1">
        <f t="array" ref="DE270">SUMPRODUCT(TRANSPOSE(DE$4:DE$20),$G270:$W270)</f>
        <v>0</v>
      </c>
      <c r="DF270" s="93" cm="1">
        <f t="array" ref="DF270">SUMPRODUCT(TRANSPOSE(DF$4:DF$20),$G270:$W270)</f>
        <v>0</v>
      </c>
      <c r="DG270" s="93" cm="1">
        <f t="array" ref="DG270">SUMPRODUCT(TRANSPOSE(DG$4:DG$20),$G270:$W270)</f>
        <v>0</v>
      </c>
      <c r="DH270" s="93" cm="1">
        <f t="array" ref="DH270">SUMPRODUCT(TRANSPOSE(DH$4:DH$20),$G270:$W270)</f>
        <v>0</v>
      </c>
      <c r="DI270" s="93" cm="1">
        <f t="array" ref="DI270">SUMPRODUCT(TRANSPOSE(DI$4:DI$20),$G270:$W270)</f>
        <v>0</v>
      </c>
      <c r="DJ270" s="93" cm="1">
        <f t="array" ref="DJ270">SUMPRODUCT(TRANSPOSE(DJ$4:DJ$20),$G270:$W270)</f>
        <v>0</v>
      </c>
      <c r="DK270" s="93" cm="1">
        <f t="array" ref="DK270">SUMPRODUCT(TRANSPOSE(DK$4:DK$20),$G270:$W270)</f>
        <v>0</v>
      </c>
      <c r="DL270" s="93" cm="1">
        <f t="array" ref="DL270">SUMPRODUCT(TRANSPOSE(DL$4:DL$20),$G270:$W270)</f>
        <v>0</v>
      </c>
      <c r="DM270" s="93" cm="1">
        <f t="array" ref="DM270">SUMPRODUCT(TRANSPOSE(DM$4:DM$20),$G270:$W270)</f>
        <v>0</v>
      </c>
      <c r="DN270" s="93" cm="1">
        <f t="array" ref="DN270">SUMPRODUCT(TRANSPOSE(DN$4:DN$20),$G270:$W270)</f>
        <v>0</v>
      </c>
      <c r="DO270" s="93" cm="1">
        <f t="array" ref="DO270">SUMPRODUCT(TRANSPOSE(DO$4:DO$20),$G270:$W270)</f>
        <v>0</v>
      </c>
    </row>
    <row r="271" spans="1:119" x14ac:dyDescent="0.2">
      <c r="A271" s="45">
        <f t="shared" si="29"/>
        <v>250</v>
      </c>
      <c r="B271" s="46" t="s">
        <v>625</v>
      </c>
      <c r="C271" s="45">
        <v>512304809</v>
      </c>
      <c r="D271" s="45" t="s">
        <v>626</v>
      </c>
      <c r="E271" s="45" t="s">
        <v>162</v>
      </c>
      <c r="F271" s="48">
        <v>2</v>
      </c>
      <c r="G271" s="100">
        <v>1</v>
      </c>
      <c r="H271" s="100">
        <v>0</v>
      </c>
      <c r="I271" s="100">
        <v>0</v>
      </c>
      <c r="J271" s="100">
        <v>0</v>
      </c>
      <c r="K271" s="100">
        <v>0</v>
      </c>
      <c r="L271" s="100">
        <v>0</v>
      </c>
      <c r="M271" s="100">
        <v>0</v>
      </c>
      <c r="N271" s="100">
        <v>0</v>
      </c>
      <c r="O271" s="100">
        <v>0</v>
      </c>
      <c r="P271" s="100">
        <v>26</v>
      </c>
      <c r="Q271" s="100">
        <v>0</v>
      </c>
      <c r="R271" s="100">
        <v>0</v>
      </c>
      <c r="S271" s="100">
        <v>0</v>
      </c>
      <c r="T271" s="100">
        <v>26</v>
      </c>
      <c r="U271" s="100">
        <v>0</v>
      </c>
      <c r="V271" s="100">
        <v>0</v>
      </c>
      <c r="W271" s="100">
        <v>362</v>
      </c>
      <c r="X271" s="45" t="s">
        <v>24</v>
      </c>
      <c r="Y271" s="49">
        <v>3.2500000000000001E-2</v>
      </c>
      <c r="Z271" s="45">
        <v>111497</v>
      </c>
      <c r="AA271" s="45">
        <v>0</v>
      </c>
      <c r="AB271" s="45">
        <v>0</v>
      </c>
      <c r="AC271" s="45">
        <v>0</v>
      </c>
      <c r="AD271" s="45">
        <v>0</v>
      </c>
      <c r="AE271" s="45">
        <v>0</v>
      </c>
      <c r="AF271" s="45">
        <v>0</v>
      </c>
      <c r="AG271" s="45">
        <v>0</v>
      </c>
      <c r="AH271" s="45">
        <v>0</v>
      </c>
      <c r="AI271" s="45">
        <v>0</v>
      </c>
      <c r="AJ271" s="45">
        <v>0</v>
      </c>
      <c r="AK271" s="45">
        <v>0</v>
      </c>
      <c r="AL271" s="45">
        <v>0</v>
      </c>
      <c r="AM271" s="45">
        <v>0</v>
      </c>
      <c r="AN271" s="45">
        <v>0</v>
      </c>
      <c r="AO271" s="45"/>
      <c r="AP271" s="45"/>
      <c r="AQ271" s="45"/>
      <c r="AR271" s="45"/>
      <c r="AS271" s="45"/>
      <c r="AT271" s="45"/>
      <c r="AU271" s="45"/>
      <c r="AV271" s="45"/>
      <c r="AW271" s="45"/>
      <c r="AX271" s="45"/>
      <c r="AY271" s="45"/>
      <c r="AZ271" s="45"/>
      <c r="BA271" s="45"/>
      <c r="BB271" s="45"/>
      <c r="BC271" s="45"/>
      <c r="BD271" s="93"/>
      <c r="BE271" s="93"/>
      <c r="BF271" s="93"/>
      <c r="BG271" s="93"/>
      <c r="BH271" s="93"/>
      <c r="BI271" s="93"/>
      <c r="BJ271" s="93"/>
      <c r="BK271" s="93">
        <f>SUM($Z271:AD271)-SUM($CM271:CQ271)</f>
        <v>103669</v>
      </c>
      <c r="BL271" s="93">
        <f>SUM($Z271:AE271)-SUM($CM271:CR271)</f>
        <v>96049</v>
      </c>
      <c r="BM271" s="93">
        <f>SUM($Z271:AF271)-SUM($CM271:CS271)</f>
        <v>88559</v>
      </c>
      <c r="BN271" s="93">
        <f>SUM($Z271:AG271)-SUM($CM271:CT271)</f>
        <v>81199</v>
      </c>
      <c r="BO271" s="93">
        <f>SUM($Z271:AH271)-SUM($CM271:CU271)</f>
        <v>73839</v>
      </c>
      <c r="BP271" s="93">
        <f>SUM($Z271:AI271)-SUM($CM271:CV271)</f>
        <v>66479</v>
      </c>
      <c r="BQ271" s="93">
        <f>SUM($Z271:AJ271)-SUM($CM271:CW271)</f>
        <v>59119</v>
      </c>
      <c r="BR271" s="93">
        <f>SUM($Z271:AK271)-SUM($CM271:CX271)</f>
        <v>51759</v>
      </c>
      <c r="BS271" s="93">
        <f>SUM($Z271:AL271)-SUM($CM271:CY271)</f>
        <v>50191</v>
      </c>
      <c r="BT271" s="93">
        <f>SUM($Z271:AM271)-SUM($CM271:CZ271)</f>
        <v>48623</v>
      </c>
      <c r="BU271" s="93">
        <f>SUM($Z271:AN271)-SUM($CM271:DA271)</f>
        <v>47055</v>
      </c>
      <c r="BV271" s="93">
        <f>SUM($Z271:AO271)-SUM($CM271:DB271)</f>
        <v>46683</v>
      </c>
      <c r="BW271" s="93">
        <f>SUM($Z271:AP271)-SUM($CM271:DC271)</f>
        <v>46677</v>
      </c>
      <c r="BX271" s="93">
        <f>SUM($Z271:AQ271)-SUM($CM271:DD271)</f>
        <v>46677</v>
      </c>
      <c r="BY271" s="93">
        <f>SUM($Z271:AR271)-SUM($CM271:DE271)</f>
        <v>46677</v>
      </c>
      <c r="BZ271" s="93">
        <f>SUM($Z271:AS271)-SUM($CM271:DF271)</f>
        <v>46677</v>
      </c>
      <c r="CA271" s="93">
        <f>SUM($Z271:AT271)-SUM($CM271:DG271)</f>
        <v>46677</v>
      </c>
      <c r="CB271" s="93">
        <f>SUM($Z271:AU271)-SUM($CM271:DH271)</f>
        <v>46677</v>
      </c>
      <c r="CC271" s="93">
        <f>SUM($Z271:AV271)-SUM($CM271:DI271)</f>
        <v>46677</v>
      </c>
      <c r="CD271" s="93">
        <f>SUM($Z271:AW271)-SUM($CM271:DJ271)</f>
        <v>46677</v>
      </c>
      <c r="CE271" s="93">
        <f>SUM($Z271:AX271)-SUM($CM271:DK271)</f>
        <v>46677</v>
      </c>
      <c r="CF271" s="93">
        <f>SUM($Z271:AY271)-SUM($CM271:DL271)</f>
        <v>46677</v>
      </c>
      <c r="CG271" s="93">
        <f>SUM($Z271:AZ271)-SUM($CM271:DM271)</f>
        <v>46677</v>
      </c>
      <c r="CH271" s="93">
        <f>SUM($Z271:BA271)-SUM($CM271:DN271)</f>
        <v>46677</v>
      </c>
      <c r="CI271" s="93">
        <f>SUM($Z271:BB271)-SUM($CM271:DO271)</f>
        <v>46677</v>
      </c>
      <c r="CJ271" s="93"/>
      <c r="CK271" s="93"/>
      <c r="CL271" s="93"/>
      <c r="CM271" s="93"/>
      <c r="CN271" s="93" cm="1">
        <f t="array" ref="CN271">SUMPRODUCT(TRANSPOSE(CN$4:CN$20),$G271:$W271)</f>
        <v>0</v>
      </c>
      <c r="CO271" s="93" cm="1">
        <f t="array" ref="CO271">SUMPRODUCT(TRANSPOSE(CO$4:CO$20),$G271:$W271)</f>
        <v>0</v>
      </c>
      <c r="CP271" s="93" cm="1">
        <f t="array" ref="CP271">SUMPRODUCT(TRANSPOSE(CP$4:CP$20),$G271:$W271)</f>
        <v>0</v>
      </c>
      <c r="CQ271" s="93" cm="1">
        <f t="array" ref="CQ271">SUMPRODUCT(TRANSPOSE(CQ$4:CQ$20),$G271:$W271)</f>
        <v>7828</v>
      </c>
      <c r="CR271" s="93" cm="1">
        <f t="array" ref="CR271">SUMPRODUCT(TRANSPOSE(CR$4:CR$20),$G271:$W271)</f>
        <v>7620</v>
      </c>
      <c r="CS271" s="93" cm="1">
        <f t="array" ref="CS271">SUMPRODUCT(TRANSPOSE(CS$4:CS$20),$G271:$W271)</f>
        <v>7490</v>
      </c>
      <c r="CT271" s="93" cm="1">
        <f t="array" ref="CT271">SUMPRODUCT(TRANSPOSE(CT$4:CT$20),$G271:$W271)</f>
        <v>7360</v>
      </c>
      <c r="CU271" s="93" cm="1">
        <f t="array" ref="CU271">SUMPRODUCT(TRANSPOSE(CU$4:CU$20),$G271:$W271)</f>
        <v>7360</v>
      </c>
      <c r="CV271" s="93" cm="1">
        <f t="array" ref="CV271">SUMPRODUCT(TRANSPOSE(CV$4:CV$20),$G271:$W271)</f>
        <v>7360</v>
      </c>
      <c r="CW271" s="93" cm="1">
        <f t="array" ref="CW271">SUMPRODUCT(TRANSPOSE(CW$4:CW$20),$G271:$W271)</f>
        <v>7360</v>
      </c>
      <c r="CX271" s="93" cm="1">
        <f t="array" ref="CX271">SUMPRODUCT(TRANSPOSE(CX$4:CX$20),$G271:$W271)</f>
        <v>7360</v>
      </c>
      <c r="CY271" s="93" cm="1">
        <f t="array" ref="CY271">SUMPRODUCT(TRANSPOSE(CY$4:CY$20),$G271:$W271)</f>
        <v>1568</v>
      </c>
      <c r="CZ271" s="93" cm="1">
        <f t="array" ref="CZ271">SUMPRODUCT(TRANSPOSE(CZ$4:CZ$20),$G271:$W271)</f>
        <v>1568</v>
      </c>
      <c r="DA271" s="93" cm="1">
        <f t="array" ref="DA271">SUMPRODUCT(TRANSPOSE(DA$4:DA$20),$G271:$W271)</f>
        <v>1568</v>
      </c>
      <c r="DB271" s="93" cm="1">
        <f t="array" ref="DB271">SUMPRODUCT(TRANSPOSE(DB$4:DB$20),$G271:$W271)</f>
        <v>372</v>
      </c>
      <c r="DC271" s="93" cm="1">
        <f t="array" ref="DC271">SUMPRODUCT(TRANSPOSE(DC$4:DC$20),$G271:$W271)</f>
        <v>6</v>
      </c>
      <c r="DD271" s="93" cm="1">
        <f t="array" ref="DD271">SUMPRODUCT(TRANSPOSE(DD$4:DD$20),$G271:$W271)</f>
        <v>0</v>
      </c>
      <c r="DE271" s="93" cm="1">
        <f t="array" ref="DE271">SUMPRODUCT(TRANSPOSE(DE$4:DE$20),$G271:$W271)</f>
        <v>0</v>
      </c>
      <c r="DF271" s="93" cm="1">
        <f t="array" ref="DF271">SUMPRODUCT(TRANSPOSE(DF$4:DF$20),$G271:$W271)</f>
        <v>0</v>
      </c>
      <c r="DG271" s="93" cm="1">
        <f t="array" ref="DG271">SUMPRODUCT(TRANSPOSE(DG$4:DG$20),$G271:$W271)</f>
        <v>0</v>
      </c>
      <c r="DH271" s="93" cm="1">
        <f t="array" ref="DH271">SUMPRODUCT(TRANSPOSE(DH$4:DH$20),$G271:$W271)</f>
        <v>0</v>
      </c>
      <c r="DI271" s="93" cm="1">
        <f t="array" ref="DI271">SUMPRODUCT(TRANSPOSE(DI$4:DI$20),$G271:$W271)</f>
        <v>0</v>
      </c>
      <c r="DJ271" s="93" cm="1">
        <f t="array" ref="DJ271">SUMPRODUCT(TRANSPOSE(DJ$4:DJ$20),$G271:$W271)</f>
        <v>0</v>
      </c>
      <c r="DK271" s="93" cm="1">
        <f t="array" ref="DK271">SUMPRODUCT(TRANSPOSE(DK$4:DK$20),$G271:$W271)</f>
        <v>0</v>
      </c>
      <c r="DL271" s="93" cm="1">
        <f t="array" ref="DL271">SUMPRODUCT(TRANSPOSE(DL$4:DL$20),$G271:$W271)</f>
        <v>0</v>
      </c>
      <c r="DM271" s="93" cm="1">
        <f t="array" ref="DM271">SUMPRODUCT(TRANSPOSE(DM$4:DM$20),$G271:$W271)</f>
        <v>0</v>
      </c>
      <c r="DN271" s="93" cm="1">
        <f t="array" ref="DN271">SUMPRODUCT(TRANSPOSE(DN$4:DN$20),$G271:$W271)</f>
        <v>0</v>
      </c>
      <c r="DO271" s="93" cm="1">
        <f t="array" ref="DO271">SUMPRODUCT(TRANSPOSE(DO$4:DO$20),$G271:$W271)</f>
        <v>0</v>
      </c>
    </row>
    <row r="272" spans="1:119" x14ac:dyDescent="0.2">
      <c r="A272" s="45">
        <f t="shared" si="29"/>
        <v>251</v>
      </c>
      <c r="B272" s="46" t="s">
        <v>627</v>
      </c>
      <c r="C272" s="45">
        <v>512326521</v>
      </c>
      <c r="D272" s="45" t="s">
        <v>617</v>
      </c>
      <c r="E272" s="45" t="s">
        <v>162</v>
      </c>
      <c r="F272" s="48">
        <v>1</v>
      </c>
      <c r="G272" s="100">
        <v>0</v>
      </c>
      <c r="H272" s="100">
        <v>0</v>
      </c>
      <c r="I272" s="100">
        <v>0</v>
      </c>
      <c r="J272" s="100">
        <v>0</v>
      </c>
      <c r="K272" s="100">
        <v>0</v>
      </c>
      <c r="L272" s="100">
        <v>0</v>
      </c>
      <c r="M272" s="100">
        <v>0</v>
      </c>
      <c r="N272" s="100">
        <v>0</v>
      </c>
      <c r="O272" s="100">
        <v>0</v>
      </c>
      <c r="P272" s="100">
        <v>0</v>
      </c>
      <c r="Q272" s="100">
        <v>0</v>
      </c>
      <c r="R272" s="100">
        <v>2</v>
      </c>
      <c r="S272" s="100">
        <v>0</v>
      </c>
      <c r="T272" s="100">
        <v>0</v>
      </c>
      <c r="U272" s="100">
        <v>0</v>
      </c>
      <c r="V272" s="100">
        <v>2</v>
      </c>
      <c r="W272" s="100">
        <v>0</v>
      </c>
      <c r="X272" s="45" t="s">
        <v>24</v>
      </c>
      <c r="Y272" s="49">
        <v>2.5000000000000001E-2</v>
      </c>
      <c r="Z272" s="45">
        <v>2177</v>
      </c>
      <c r="AA272" s="45">
        <v>0</v>
      </c>
      <c r="AB272" s="45">
        <v>0</v>
      </c>
      <c r="AC272" s="45">
        <v>0</v>
      </c>
      <c r="AD272" s="45">
        <v>0</v>
      </c>
      <c r="AE272" s="45">
        <v>0</v>
      </c>
      <c r="AF272" s="45">
        <v>0</v>
      </c>
      <c r="AG272" s="45">
        <v>0</v>
      </c>
      <c r="AH272" s="45">
        <v>0</v>
      </c>
      <c r="AI272" s="45">
        <v>0</v>
      </c>
      <c r="AJ272" s="45">
        <v>0</v>
      </c>
      <c r="AK272" s="45">
        <v>0</v>
      </c>
      <c r="AL272" s="45">
        <v>0</v>
      </c>
      <c r="AM272" s="45">
        <v>0</v>
      </c>
      <c r="AN272" s="45">
        <v>0</v>
      </c>
      <c r="AO272" s="45"/>
      <c r="AP272" s="45"/>
      <c r="AQ272" s="45"/>
      <c r="AR272" s="45"/>
      <c r="AS272" s="45"/>
      <c r="AT272" s="45"/>
      <c r="AU272" s="45"/>
      <c r="AV272" s="45"/>
      <c r="AW272" s="45"/>
      <c r="AX272" s="45"/>
      <c r="AY272" s="45"/>
      <c r="AZ272" s="45"/>
      <c r="BA272" s="45"/>
      <c r="BB272" s="45"/>
      <c r="BC272" s="45"/>
      <c r="BD272" s="93"/>
      <c r="BE272" s="93"/>
      <c r="BF272" s="93"/>
      <c r="BG272" s="93"/>
      <c r="BH272" s="93"/>
      <c r="BI272" s="93"/>
      <c r="BJ272" s="93"/>
      <c r="BK272" s="93">
        <f>SUM($Z272:AD272)-SUM($CM272:CQ272)</f>
        <v>2037</v>
      </c>
      <c r="BL272" s="93">
        <f>SUM($Z272:AE272)-SUM($CM272:CR272)</f>
        <v>1897</v>
      </c>
      <c r="BM272" s="93">
        <f>SUM($Z272:AF272)-SUM($CM272:CS272)</f>
        <v>1757</v>
      </c>
      <c r="BN272" s="93">
        <f>SUM($Z272:AG272)-SUM($CM272:CT272)</f>
        <v>1617</v>
      </c>
      <c r="BO272" s="93">
        <f>SUM($Z272:AH272)-SUM($CM272:CU272)</f>
        <v>1477</v>
      </c>
      <c r="BP272" s="93">
        <f>SUM($Z272:AI272)-SUM($CM272:CV272)</f>
        <v>1337</v>
      </c>
      <c r="BQ272" s="93">
        <f>SUM($Z272:AJ272)-SUM($CM272:CW272)</f>
        <v>1197</v>
      </c>
      <c r="BR272" s="93">
        <f>SUM($Z272:AK272)-SUM($CM272:CX272)</f>
        <v>1057</v>
      </c>
      <c r="BS272" s="93">
        <f>SUM($Z272:AL272)-SUM($CM272:CY272)</f>
        <v>917</v>
      </c>
      <c r="BT272" s="93">
        <f>SUM($Z272:AM272)-SUM($CM272:CZ272)</f>
        <v>847</v>
      </c>
      <c r="BU272" s="93">
        <f>SUM($Z272:AN272)-SUM($CM272:DA272)</f>
        <v>847</v>
      </c>
      <c r="BV272" s="93">
        <f>SUM($Z272:AO272)-SUM($CM272:DB272)</f>
        <v>847</v>
      </c>
      <c r="BW272" s="93">
        <f>SUM($Z272:AP272)-SUM($CM272:DC272)</f>
        <v>847</v>
      </c>
      <c r="BX272" s="93">
        <f>SUM($Z272:AQ272)-SUM($CM272:DD272)</f>
        <v>847</v>
      </c>
      <c r="BY272" s="93">
        <f>SUM($Z272:AR272)-SUM($CM272:DE272)</f>
        <v>847</v>
      </c>
      <c r="BZ272" s="93">
        <f>SUM($Z272:AS272)-SUM($CM272:DF272)</f>
        <v>847</v>
      </c>
      <c r="CA272" s="93">
        <f>SUM($Z272:AT272)-SUM($CM272:DG272)</f>
        <v>847</v>
      </c>
      <c r="CB272" s="93">
        <f>SUM($Z272:AU272)-SUM($CM272:DH272)</f>
        <v>847</v>
      </c>
      <c r="CC272" s="93">
        <f>SUM($Z272:AV272)-SUM($CM272:DI272)</f>
        <v>847</v>
      </c>
      <c r="CD272" s="93">
        <f>SUM($Z272:AW272)-SUM($CM272:DJ272)</f>
        <v>847</v>
      </c>
      <c r="CE272" s="93">
        <f>SUM($Z272:AX272)-SUM($CM272:DK272)</f>
        <v>847</v>
      </c>
      <c r="CF272" s="93">
        <f>SUM($Z272:AY272)-SUM($CM272:DL272)</f>
        <v>847</v>
      </c>
      <c r="CG272" s="93">
        <f>SUM($Z272:AZ272)-SUM($CM272:DM272)</f>
        <v>847</v>
      </c>
      <c r="CH272" s="93">
        <f>SUM($Z272:BA272)-SUM($CM272:DN272)</f>
        <v>847</v>
      </c>
      <c r="CI272" s="93">
        <f>SUM($Z272:BB272)-SUM($CM272:DO272)</f>
        <v>847</v>
      </c>
      <c r="CJ272" s="93"/>
      <c r="CK272" s="93"/>
      <c r="CL272" s="93"/>
      <c r="CM272" s="93"/>
      <c r="CN272" s="93" cm="1">
        <f t="array" ref="CN272">SUMPRODUCT(TRANSPOSE(CN$4:CN$20),$G272:$W272)</f>
        <v>0</v>
      </c>
      <c r="CO272" s="93" cm="1">
        <f t="array" ref="CO272">SUMPRODUCT(TRANSPOSE(CO$4:CO$20),$G272:$W272)</f>
        <v>0</v>
      </c>
      <c r="CP272" s="93" cm="1">
        <f t="array" ref="CP272">SUMPRODUCT(TRANSPOSE(CP$4:CP$20),$G272:$W272)</f>
        <v>0</v>
      </c>
      <c r="CQ272" s="93" cm="1">
        <f t="array" ref="CQ272">SUMPRODUCT(TRANSPOSE(CQ$4:CQ$20),$G272:$W272)</f>
        <v>140</v>
      </c>
      <c r="CR272" s="93" cm="1">
        <f t="array" ref="CR272">SUMPRODUCT(TRANSPOSE(CR$4:CR$20),$G272:$W272)</f>
        <v>140</v>
      </c>
      <c r="CS272" s="93" cm="1">
        <f t="array" ref="CS272">SUMPRODUCT(TRANSPOSE(CS$4:CS$20),$G272:$W272)</f>
        <v>140</v>
      </c>
      <c r="CT272" s="93" cm="1">
        <f t="array" ref="CT272">SUMPRODUCT(TRANSPOSE(CT$4:CT$20),$G272:$W272)</f>
        <v>140</v>
      </c>
      <c r="CU272" s="93" cm="1">
        <f t="array" ref="CU272">SUMPRODUCT(TRANSPOSE(CU$4:CU$20),$G272:$W272)</f>
        <v>140</v>
      </c>
      <c r="CV272" s="93" cm="1">
        <f t="array" ref="CV272">SUMPRODUCT(TRANSPOSE(CV$4:CV$20),$G272:$W272)</f>
        <v>140</v>
      </c>
      <c r="CW272" s="93" cm="1">
        <f t="array" ref="CW272">SUMPRODUCT(TRANSPOSE(CW$4:CW$20),$G272:$W272)</f>
        <v>140</v>
      </c>
      <c r="CX272" s="93" cm="1">
        <f t="array" ref="CX272">SUMPRODUCT(TRANSPOSE(CX$4:CX$20),$G272:$W272)</f>
        <v>140</v>
      </c>
      <c r="CY272" s="93" cm="1">
        <f t="array" ref="CY272">SUMPRODUCT(TRANSPOSE(CY$4:CY$20),$G272:$W272)</f>
        <v>140</v>
      </c>
      <c r="CZ272" s="93" cm="1">
        <f t="array" ref="CZ272">SUMPRODUCT(TRANSPOSE(CZ$4:CZ$20),$G272:$W272)</f>
        <v>70</v>
      </c>
      <c r="DA272" s="93" cm="1">
        <f t="array" ref="DA272">SUMPRODUCT(TRANSPOSE(DA$4:DA$20),$G272:$W272)</f>
        <v>0</v>
      </c>
      <c r="DB272" s="93" cm="1">
        <f t="array" ref="DB272">SUMPRODUCT(TRANSPOSE(DB$4:DB$20),$G272:$W272)</f>
        <v>0</v>
      </c>
      <c r="DC272" s="93" cm="1">
        <f t="array" ref="DC272">SUMPRODUCT(TRANSPOSE(DC$4:DC$20),$G272:$W272)</f>
        <v>0</v>
      </c>
      <c r="DD272" s="93" cm="1">
        <f t="array" ref="DD272">SUMPRODUCT(TRANSPOSE(DD$4:DD$20),$G272:$W272)</f>
        <v>0</v>
      </c>
      <c r="DE272" s="93" cm="1">
        <f t="array" ref="DE272">SUMPRODUCT(TRANSPOSE(DE$4:DE$20),$G272:$W272)</f>
        <v>0</v>
      </c>
      <c r="DF272" s="93" cm="1">
        <f t="array" ref="DF272">SUMPRODUCT(TRANSPOSE(DF$4:DF$20),$G272:$W272)</f>
        <v>0</v>
      </c>
      <c r="DG272" s="93" cm="1">
        <f t="array" ref="DG272">SUMPRODUCT(TRANSPOSE(DG$4:DG$20),$G272:$W272)</f>
        <v>0</v>
      </c>
      <c r="DH272" s="93" cm="1">
        <f t="array" ref="DH272">SUMPRODUCT(TRANSPOSE(DH$4:DH$20),$G272:$W272)</f>
        <v>0</v>
      </c>
      <c r="DI272" s="93" cm="1">
        <f t="array" ref="DI272">SUMPRODUCT(TRANSPOSE(DI$4:DI$20),$G272:$W272)</f>
        <v>0</v>
      </c>
      <c r="DJ272" s="93" cm="1">
        <f t="array" ref="DJ272">SUMPRODUCT(TRANSPOSE(DJ$4:DJ$20),$G272:$W272)</f>
        <v>0</v>
      </c>
      <c r="DK272" s="93" cm="1">
        <f t="array" ref="DK272">SUMPRODUCT(TRANSPOSE(DK$4:DK$20),$G272:$W272)</f>
        <v>0</v>
      </c>
      <c r="DL272" s="93" cm="1">
        <f t="array" ref="DL272">SUMPRODUCT(TRANSPOSE(DL$4:DL$20),$G272:$W272)</f>
        <v>0</v>
      </c>
      <c r="DM272" s="93" cm="1">
        <f t="array" ref="DM272">SUMPRODUCT(TRANSPOSE(DM$4:DM$20),$G272:$W272)</f>
        <v>0</v>
      </c>
      <c r="DN272" s="93" cm="1">
        <f t="array" ref="DN272">SUMPRODUCT(TRANSPOSE(DN$4:DN$20),$G272:$W272)</f>
        <v>0</v>
      </c>
      <c r="DO272" s="93" cm="1">
        <f t="array" ref="DO272">SUMPRODUCT(TRANSPOSE(DO$4:DO$20),$G272:$W272)</f>
        <v>0</v>
      </c>
    </row>
    <row r="273" spans="1:119" x14ac:dyDescent="0.2">
      <c r="A273" s="45">
        <f t="shared" si="29"/>
        <v>252</v>
      </c>
      <c r="B273" s="46" t="s">
        <v>628</v>
      </c>
      <c r="C273" s="45">
        <v>512305368</v>
      </c>
      <c r="D273" s="45" t="s">
        <v>626</v>
      </c>
      <c r="E273" s="45" t="s">
        <v>162</v>
      </c>
      <c r="F273" s="48">
        <v>2</v>
      </c>
      <c r="G273" s="100">
        <v>0</v>
      </c>
      <c r="H273" s="100">
        <v>0</v>
      </c>
      <c r="I273" s="100">
        <v>6</v>
      </c>
      <c r="J273" s="100">
        <v>0</v>
      </c>
      <c r="K273" s="100">
        <v>4</v>
      </c>
      <c r="L273" s="100">
        <v>0</v>
      </c>
      <c r="M273" s="100">
        <v>0</v>
      </c>
      <c r="N273" s="100">
        <v>0</v>
      </c>
      <c r="O273" s="100">
        <v>4</v>
      </c>
      <c r="P273" s="100">
        <v>0</v>
      </c>
      <c r="Q273" s="100">
        <v>0</v>
      </c>
      <c r="R273" s="100">
        <v>0</v>
      </c>
      <c r="S273" s="100">
        <v>4</v>
      </c>
      <c r="T273" s="100">
        <v>0</v>
      </c>
      <c r="U273" s="100">
        <v>0</v>
      </c>
      <c r="V273" s="100">
        <v>0</v>
      </c>
      <c r="W273" s="100">
        <v>499</v>
      </c>
      <c r="X273" s="45" t="s">
        <v>24</v>
      </c>
      <c r="Y273" s="49">
        <v>3.6900000000000002E-2</v>
      </c>
      <c r="Z273" s="45">
        <v>120863</v>
      </c>
      <c r="AA273" s="45">
        <v>0</v>
      </c>
      <c r="AB273" s="45">
        <v>0</v>
      </c>
      <c r="AC273" s="45">
        <v>0</v>
      </c>
      <c r="AD273" s="45">
        <v>0</v>
      </c>
      <c r="AE273" s="45">
        <v>0</v>
      </c>
      <c r="AF273" s="45">
        <v>0</v>
      </c>
      <c r="AG273" s="45">
        <v>0</v>
      </c>
      <c r="AH273" s="45">
        <v>0</v>
      </c>
      <c r="AI273" s="45">
        <v>0</v>
      </c>
      <c r="AJ273" s="45">
        <v>0</v>
      </c>
      <c r="AK273" s="45">
        <v>0</v>
      </c>
      <c r="AL273" s="45">
        <v>0</v>
      </c>
      <c r="AM273" s="45">
        <v>0</v>
      </c>
      <c r="AN273" s="45">
        <v>0</v>
      </c>
      <c r="AO273" s="45"/>
      <c r="AP273" s="45"/>
      <c r="AQ273" s="45"/>
      <c r="AR273" s="45"/>
      <c r="AS273" s="45"/>
      <c r="AT273" s="45"/>
      <c r="AU273" s="45"/>
      <c r="AV273" s="45"/>
      <c r="AW273" s="45"/>
      <c r="AX273" s="45"/>
      <c r="AY273" s="45"/>
      <c r="AZ273" s="45"/>
      <c r="BA273" s="45"/>
      <c r="BB273" s="45"/>
      <c r="BC273" s="45"/>
      <c r="BD273" s="93"/>
      <c r="BE273" s="93"/>
      <c r="BF273" s="93"/>
      <c r="BG273" s="93"/>
      <c r="BH273" s="93"/>
      <c r="BI273" s="93"/>
      <c r="BJ273" s="93"/>
      <c r="BK273" s="93">
        <f>SUM($Z273:AD273)-SUM($CM273:CQ273)</f>
        <v>112487</v>
      </c>
      <c r="BL273" s="93">
        <f>SUM($Z273:AE273)-SUM($CM273:CR273)</f>
        <v>104143</v>
      </c>
      <c r="BM273" s="93">
        <f>SUM($Z273:AF273)-SUM($CM273:CS273)</f>
        <v>95819</v>
      </c>
      <c r="BN273" s="93">
        <f>SUM($Z273:AG273)-SUM($CM273:CT273)</f>
        <v>87515</v>
      </c>
      <c r="BO273" s="93">
        <f>SUM($Z273:AH273)-SUM($CM273:CU273)</f>
        <v>79211</v>
      </c>
      <c r="BP273" s="93">
        <f>SUM($Z273:AI273)-SUM($CM273:CV273)</f>
        <v>70907</v>
      </c>
      <c r="BQ273" s="93">
        <f>SUM($Z273:AJ273)-SUM($CM273:CW273)</f>
        <v>62603</v>
      </c>
      <c r="BR273" s="93">
        <f>SUM($Z273:AK273)-SUM($CM273:CX273)</f>
        <v>54299</v>
      </c>
      <c r="BS273" s="93">
        <f>SUM($Z273:AL273)-SUM($CM273:CY273)</f>
        <v>53979</v>
      </c>
      <c r="BT273" s="93">
        <f>SUM($Z273:AM273)-SUM($CM273:CZ273)</f>
        <v>53659</v>
      </c>
      <c r="BU273" s="93">
        <f>SUM($Z273:AN273)-SUM($CM273:DA273)</f>
        <v>53339</v>
      </c>
      <c r="BV273" s="93">
        <f>SUM($Z273:AO273)-SUM($CM273:DB273)</f>
        <v>53203</v>
      </c>
      <c r="BW273" s="93">
        <f>SUM($Z273:AP273)-SUM($CM273:DC273)</f>
        <v>53143</v>
      </c>
      <c r="BX273" s="93">
        <f>SUM($Z273:AQ273)-SUM($CM273:DD273)</f>
        <v>53143</v>
      </c>
      <c r="BY273" s="93">
        <f>SUM($Z273:AR273)-SUM($CM273:DE273)</f>
        <v>53143</v>
      </c>
      <c r="BZ273" s="93">
        <f>SUM($Z273:AS273)-SUM($CM273:DF273)</f>
        <v>53143</v>
      </c>
      <c r="CA273" s="93">
        <f>SUM($Z273:AT273)-SUM($CM273:DG273)</f>
        <v>53143</v>
      </c>
      <c r="CB273" s="93">
        <f>SUM($Z273:AU273)-SUM($CM273:DH273)</f>
        <v>53143</v>
      </c>
      <c r="CC273" s="93">
        <f>SUM($Z273:AV273)-SUM($CM273:DI273)</f>
        <v>53143</v>
      </c>
      <c r="CD273" s="93">
        <f>SUM($Z273:AW273)-SUM($CM273:DJ273)</f>
        <v>53143</v>
      </c>
      <c r="CE273" s="93">
        <f>SUM($Z273:AX273)-SUM($CM273:DK273)</f>
        <v>53143</v>
      </c>
      <c r="CF273" s="93">
        <f>SUM($Z273:AY273)-SUM($CM273:DL273)</f>
        <v>53143</v>
      </c>
      <c r="CG273" s="93">
        <f>SUM($Z273:AZ273)-SUM($CM273:DM273)</f>
        <v>53143</v>
      </c>
      <c r="CH273" s="93">
        <f>SUM($Z273:BA273)-SUM($CM273:DN273)</f>
        <v>53143</v>
      </c>
      <c r="CI273" s="93">
        <f>SUM($Z273:BB273)-SUM($CM273:DO273)</f>
        <v>53143</v>
      </c>
      <c r="CJ273" s="93"/>
      <c r="CK273" s="93"/>
      <c r="CL273" s="93"/>
      <c r="CM273" s="93"/>
      <c r="CN273" s="93" cm="1">
        <f t="array" ref="CN273">SUMPRODUCT(TRANSPOSE(CN$4:CN$20),$G273:$W273)</f>
        <v>0</v>
      </c>
      <c r="CO273" s="93" cm="1">
        <f t="array" ref="CO273">SUMPRODUCT(TRANSPOSE(CO$4:CO$20),$G273:$W273)</f>
        <v>0</v>
      </c>
      <c r="CP273" s="93" cm="1">
        <f t="array" ref="CP273">SUMPRODUCT(TRANSPOSE(CP$4:CP$20),$G273:$W273)</f>
        <v>0</v>
      </c>
      <c r="CQ273" s="93" cm="1">
        <f t="array" ref="CQ273">SUMPRODUCT(TRANSPOSE(CQ$4:CQ$20),$G273:$W273)</f>
        <v>8376</v>
      </c>
      <c r="CR273" s="93" cm="1">
        <f t="array" ref="CR273">SUMPRODUCT(TRANSPOSE(CR$4:CR$20),$G273:$W273)</f>
        <v>8344</v>
      </c>
      <c r="CS273" s="93" cm="1">
        <f t="array" ref="CS273">SUMPRODUCT(TRANSPOSE(CS$4:CS$20),$G273:$W273)</f>
        <v>8324</v>
      </c>
      <c r="CT273" s="93" cm="1">
        <f t="array" ref="CT273">SUMPRODUCT(TRANSPOSE(CT$4:CT$20),$G273:$W273)</f>
        <v>8304</v>
      </c>
      <c r="CU273" s="93" cm="1">
        <f t="array" ref="CU273">SUMPRODUCT(TRANSPOSE(CU$4:CU$20),$G273:$W273)</f>
        <v>8304</v>
      </c>
      <c r="CV273" s="93" cm="1">
        <f t="array" ref="CV273">SUMPRODUCT(TRANSPOSE(CV$4:CV$20),$G273:$W273)</f>
        <v>8304</v>
      </c>
      <c r="CW273" s="93" cm="1">
        <f t="array" ref="CW273">SUMPRODUCT(TRANSPOSE(CW$4:CW$20),$G273:$W273)</f>
        <v>8304</v>
      </c>
      <c r="CX273" s="93" cm="1">
        <f t="array" ref="CX273">SUMPRODUCT(TRANSPOSE(CX$4:CX$20),$G273:$W273)</f>
        <v>8304</v>
      </c>
      <c r="CY273" s="93" cm="1">
        <f t="array" ref="CY273">SUMPRODUCT(TRANSPOSE(CY$4:CY$20),$G273:$W273)</f>
        <v>320</v>
      </c>
      <c r="CZ273" s="93" cm="1">
        <f t="array" ref="CZ273">SUMPRODUCT(TRANSPOSE(CZ$4:CZ$20),$G273:$W273)</f>
        <v>320</v>
      </c>
      <c r="DA273" s="93" cm="1">
        <f t="array" ref="DA273">SUMPRODUCT(TRANSPOSE(DA$4:DA$20),$G273:$W273)</f>
        <v>320</v>
      </c>
      <c r="DB273" s="93" cm="1">
        <f t="array" ref="DB273">SUMPRODUCT(TRANSPOSE(DB$4:DB$20),$G273:$W273)</f>
        <v>136</v>
      </c>
      <c r="DC273" s="93" cm="1">
        <f t="array" ref="DC273">SUMPRODUCT(TRANSPOSE(DC$4:DC$20),$G273:$W273)</f>
        <v>60</v>
      </c>
      <c r="DD273" s="93" cm="1">
        <f t="array" ref="DD273">SUMPRODUCT(TRANSPOSE(DD$4:DD$20),$G273:$W273)</f>
        <v>0</v>
      </c>
      <c r="DE273" s="93" cm="1">
        <f t="array" ref="DE273">SUMPRODUCT(TRANSPOSE(DE$4:DE$20),$G273:$W273)</f>
        <v>0</v>
      </c>
      <c r="DF273" s="93" cm="1">
        <f t="array" ref="DF273">SUMPRODUCT(TRANSPOSE(DF$4:DF$20),$G273:$W273)</f>
        <v>0</v>
      </c>
      <c r="DG273" s="93" cm="1">
        <f t="array" ref="DG273">SUMPRODUCT(TRANSPOSE(DG$4:DG$20),$G273:$W273)</f>
        <v>0</v>
      </c>
      <c r="DH273" s="93" cm="1">
        <f t="array" ref="DH273">SUMPRODUCT(TRANSPOSE(DH$4:DH$20),$G273:$W273)</f>
        <v>0</v>
      </c>
      <c r="DI273" s="93" cm="1">
        <f t="array" ref="DI273">SUMPRODUCT(TRANSPOSE(DI$4:DI$20),$G273:$W273)</f>
        <v>0</v>
      </c>
      <c r="DJ273" s="93" cm="1">
        <f t="array" ref="DJ273">SUMPRODUCT(TRANSPOSE(DJ$4:DJ$20),$G273:$W273)</f>
        <v>0</v>
      </c>
      <c r="DK273" s="93" cm="1">
        <f t="array" ref="DK273">SUMPRODUCT(TRANSPOSE(DK$4:DK$20),$G273:$W273)</f>
        <v>0</v>
      </c>
      <c r="DL273" s="93" cm="1">
        <f t="array" ref="DL273">SUMPRODUCT(TRANSPOSE(DL$4:DL$20),$G273:$W273)</f>
        <v>0</v>
      </c>
      <c r="DM273" s="93" cm="1">
        <f t="array" ref="DM273">SUMPRODUCT(TRANSPOSE(DM$4:DM$20),$G273:$W273)</f>
        <v>0</v>
      </c>
      <c r="DN273" s="93" cm="1">
        <f t="array" ref="DN273">SUMPRODUCT(TRANSPOSE(DN$4:DN$20),$G273:$W273)</f>
        <v>0</v>
      </c>
      <c r="DO273" s="93" cm="1">
        <f t="array" ref="DO273">SUMPRODUCT(TRANSPOSE(DO$4:DO$20),$G273:$W273)</f>
        <v>0</v>
      </c>
    </row>
    <row r="274" spans="1:119" x14ac:dyDescent="0.2">
      <c r="A274" s="45">
        <f t="shared" si="29"/>
        <v>253</v>
      </c>
      <c r="B274" s="46" t="s">
        <v>629</v>
      </c>
      <c r="C274" s="45">
        <v>512304874</v>
      </c>
      <c r="D274" s="45" t="s">
        <v>617</v>
      </c>
      <c r="E274" s="45" t="s">
        <v>162</v>
      </c>
      <c r="F274" s="48">
        <v>2</v>
      </c>
      <c r="G274" s="100">
        <v>0</v>
      </c>
      <c r="H274" s="100">
        <v>0</v>
      </c>
      <c r="I274" s="100">
        <v>0</v>
      </c>
      <c r="J274" s="100">
        <v>0</v>
      </c>
      <c r="K274" s="100">
        <v>0</v>
      </c>
      <c r="L274" s="100">
        <v>0</v>
      </c>
      <c r="M274" s="100">
        <v>0</v>
      </c>
      <c r="N274" s="100">
        <v>0</v>
      </c>
      <c r="O274" s="100">
        <v>0</v>
      </c>
      <c r="P274" s="100">
        <v>2</v>
      </c>
      <c r="Q274" s="100">
        <v>0</v>
      </c>
      <c r="R274" s="100">
        <v>0</v>
      </c>
      <c r="S274" s="100">
        <v>0</v>
      </c>
      <c r="T274" s="100">
        <v>2</v>
      </c>
      <c r="U274" s="100">
        <v>0</v>
      </c>
      <c r="V274" s="100">
        <v>0</v>
      </c>
      <c r="W274" s="100">
        <v>0</v>
      </c>
      <c r="X274" s="45" t="s">
        <v>24</v>
      </c>
      <c r="Y274" s="49">
        <v>0.05</v>
      </c>
      <c r="Z274" s="45">
        <v>2177</v>
      </c>
      <c r="AA274" s="45">
        <v>0</v>
      </c>
      <c r="AB274" s="45">
        <v>0</v>
      </c>
      <c r="AC274" s="45">
        <v>0</v>
      </c>
      <c r="AD274" s="45">
        <v>0</v>
      </c>
      <c r="AE274" s="45">
        <v>0</v>
      </c>
      <c r="AF274" s="45">
        <v>0</v>
      </c>
      <c r="AG274" s="45">
        <v>0</v>
      </c>
      <c r="AH274" s="45">
        <v>0</v>
      </c>
      <c r="AI274" s="45">
        <v>0</v>
      </c>
      <c r="AJ274" s="45">
        <v>0</v>
      </c>
      <c r="AK274" s="45">
        <v>0</v>
      </c>
      <c r="AL274" s="45">
        <v>0</v>
      </c>
      <c r="AM274" s="45">
        <v>0</v>
      </c>
      <c r="AN274" s="45">
        <v>0</v>
      </c>
      <c r="AO274" s="45"/>
      <c r="AP274" s="45"/>
      <c r="AQ274" s="45"/>
      <c r="AR274" s="45"/>
      <c r="AS274" s="45"/>
      <c r="AT274" s="45"/>
      <c r="AU274" s="45"/>
      <c r="AV274" s="45"/>
      <c r="AW274" s="45"/>
      <c r="AX274" s="45"/>
      <c r="AY274" s="45"/>
      <c r="AZ274" s="45"/>
      <c r="BA274" s="45"/>
      <c r="BB274" s="45"/>
      <c r="BC274" s="45"/>
      <c r="BD274" s="93"/>
      <c r="BE274" s="93"/>
      <c r="BF274" s="93"/>
      <c r="BG274" s="93"/>
      <c r="BH274" s="93"/>
      <c r="BI274" s="93"/>
      <c r="BJ274" s="93"/>
      <c r="BK274" s="93">
        <f>SUM($Z274:AD274)-SUM($CM274:CQ274)</f>
        <v>2021</v>
      </c>
      <c r="BL274" s="93">
        <f>SUM($Z274:AE274)-SUM($CM274:CR274)</f>
        <v>1881</v>
      </c>
      <c r="BM274" s="93">
        <f>SUM($Z274:AF274)-SUM($CM274:CS274)</f>
        <v>1751</v>
      </c>
      <c r="BN274" s="93">
        <f>SUM($Z274:AG274)-SUM($CM274:CT274)</f>
        <v>1631</v>
      </c>
      <c r="BO274" s="93">
        <f>SUM($Z274:AH274)-SUM($CM274:CU274)</f>
        <v>1511</v>
      </c>
      <c r="BP274" s="93">
        <f>SUM($Z274:AI274)-SUM($CM274:CV274)</f>
        <v>1391</v>
      </c>
      <c r="BQ274" s="93">
        <f>SUM($Z274:AJ274)-SUM($CM274:CW274)</f>
        <v>1271</v>
      </c>
      <c r="BR274" s="93">
        <f>SUM($Z274:AK274)-SUM($CM274:CX274)</f>
        <v>1151</v>
      </c>
      <c r="BS274" s="93">
        <f>SUM($Z274:AL274)-SUM($CM274:CY274)</f>
        <v>1031</v>
      </c>
      <c r="BT274" s="93">
        <f>SUM($Z274:AM274)-SUM($CM274:CZ274)</f>
        <v>911</v>
      </c>
      <c r="BU274" s="93">
        <f>SUM($Z274:AN274)-SUM($CM274:DA274)</f>
        <v>791</v>
      </c>
      <c r="BV274" s="93">
        <f>SUM($Z274:AO274)-SUM($CM274:DB274)</f>
        <v>763</v>
      </c>
      <c r="BW274" s="93">
        <f>SUM($Z274:AP274)-SUM($CM274:DC274)</f>
        <v>763</v>
      </c>
      <c r="BX274" s="93">
        <f>SUM($Z274:AQ274)-SUM($CM274:DD274)</f>
        <v>763</v>
      </c>
      <c r="BY274" s="93">
        <f>SUM($Z274:AR274)-SUM($CM274:DE274)</f>
        <v>763</v>
      </c>
      <c r="BZ274" s="93">
        <f>SUM($Z274:AS274)-SUM($CM274:DF274)</f>
        <v>763</v>
      </c>
      <c r="CA274" s="93">
        <f>SUM($Z274:AT274)-SUM($CM274:DG274)</f>
        <v>763</v>
      </c>
      <c r="CB274" s="93">
        <f>SUM($Z274:AU274)-SUM($CM274:DH274)</f>
        <v>763</v>
      </c>
      <c r="CC274" s="93">
        <f>SUM($Z274:AV274)-SUM($CM274:DI274)</f>
        <v>763</v>
      </c>
      <c r="CD274" s="93">
        <f>SUM($Z274:AW274)-SUM($CM274:DJ274)</f>
        <v>763</v>
      </c>
      <c r="CE274" s="93">
        <f>SUM($Z274:AX274)-SUM($CM274:DK274)</f>
        <v>763</v>
      </c>
      <c r="CF274" s="93">
        <f>SUM($Z274:AY274)-SUM($CM274:DL274)</f>
        <v>763</v>
      </c>
      <c r="CG274" s="93">
        <f>SUM($Z274:AZ274)-SUM($CM274:DM274)</f>
        <v>763</v>
      </c>
      <c r="CH274" s="93">
        <f>SUM($Z274:BA274)-SUM($CM274:DN274)</f>
        <v>763</v>
      </c>
      <c r="CI274" s="93">
        <f>SUM($Z274:BB274)-SUM($CM274:DO274)</f>
        <v>763</v>
      </c>
      <c r="CJ274" s="93"/>
      <c r="CK274" s="93"/>
      <c r="CL274" s="93"/>
      <c r="CM274" s="93"/>
      <c r="CN274" s="93" cm="1">
        <f t="array" ref="CN274">SUMPRODUCT(TRANSPOSE(CN$4:CN$20),$G274:$W274)</f>
        <v>0</v>
      </c>
      <c r="CO274" s="93" cm="1">
        <f t="array" ref="CO274">SUMPRODUCT(TRANSPOSE(CO$4:CO$20),$G274:$W274)</f>
        <v>0</v>
      </c>
      <c r="CP274" s="93" cm="1">
        <f t="array" ref="CP274">SUMPRODUCT(TRANSPOSE(CP$4:CP$20),$G274:$W274)</f>
        <v>0</v>
      </c>
      <c r="CQ274" s="93" cm="1">
        <f t="array" ref="CQ274">SUMPRODUCT(TRANSPOSE(CQ$4:CQ$20),$G274:$W274)</f>
        <v>156</v>
      </c>
      <c r="CR274" s="93" cm="1">
        <f t="array" ref="CR274">SUMPRODUCT(TRANSPOSE(CR$4:CR$20),$G274:$W274)</f>
        <v>140</v>
      </c>
      <c r="CS274" s="93" cm="1">
        <f t="array" ref="CS274">SUMPRODUCT(TRANSPOSE(CS$4:CS$20),$G274:$W274)</f>
        <v>130</v>
      </c>
      <c r="CT274" s="93" cm="1">
        <f t="array" ref="CT274">SUMPRODUCT(TRANSPOSE(CT$4:CT$20),$G274:$W274)</f>
        <v>120</v>
      </c>
      <c r="CU274" s="93" cm="1">
        <f t="array" ref="CU274">SUMPRODUCT(TRANSPOSE(CU$4:CU$20),$G274:$W274)</f>
        <v>120</v>
      </c>
      <c r="CV274" s="93" cm="1">
        <f t="array" ref="CV274">SUMPRODUCT(TRANSPOSE(CV$4:CV$20),$G274:$W274)</f>
        <v>120</v>
      </c>
      <c r="CW274" s="93" cm="1">
        <f t="array" ref="CW274">SUMPRODUCT(TRANSPOSE(CW$4:CW$20),$G274:$W274)</f>
        <v>120</v>
      </c>
      <c r="CX274" s="93" cm="1">
        <f t="array" ref="CX274">SUMPRODUCT(TRANSPOSE(CX$4:CX$20),$G274:$W274)</f>
        <v>120</v>
      </c>
      <c r="CY274" s="93" cm="1">
        <f t="array" ref="CY274">SUMPRODUCT(TRANSPOSE(CY$4:CY$20),$G274:$W274)</f>
        <v>120</v>
      </c>
      <c r="CZ274" s="93" cm="1">
        <f t="array" ref="CZ274">SUMPRODUCT(TRANSPOSE(CZ$4:CZ$20),$G274:$W274)</f>
        <v>120</v>
      </c>
      <c r="DA274" s="93" cm="1">
        <f t="array" ref="DA274">SUMPRODUCT(TRANSPOSE(DA$4:DA$20),$G274:$W274)</f>
        <v>120</v>
      </c>
      <c r="DB274" s="93" cm="1">
        <f t="array" ref="DB274">SUMPRODUCT(TRANSPOSE(DB$4:DB$20),$G274:$W274)</f>
        <v>28</v>
      </c>
      <c r="DC274" s="93" cm="1">
        <f t="array" ref="DC274">SUMPRODUCT(TRANSPOSE(DC$4:DC$20),$G274:$W274)</f>
        <v>0</v>
      </c>
      <c r="DD274" s="93" cm="1">
        <f t="array" ref="DD274">SUMPRODUCT(TRANSPOSE(DD$4:DD$20),$G274:$W274)</f>
        <v>0</v>
      </c>
      <c r="DE274" s="93" cm="1">
        <f t="array" ref="DE274">SUMPRODUCT(TRANSPOSE(DE$4:DE$20),$G274:$W274)</f>
        <v>0</v>
      </c>
      <c r="DF274" s="93" cm="1">
        <f t="array" ref="DF274">SUMPRODUCT(TRANSPOSE(DF$4:DF$20),$G274:$W274)</f>
        <v>0</v>
      </c>
      <c r="DG274" s="93" cm="1">
        <f t="array" ref="DG274">SUMPRODUCT(TRANSPOSE(DG$4:DG$20),$G274:$W274)</f>
        <v>0</v>
      </c>
      <c r="DH274" s="93" cm="1">
        <f t="array" ref="DH274">SUMPRODUCT(TRANSPOSE(DH$4:DH$20),$G274:$W274)</f>
        <v>0</v>
      </c>
      <c r="DI274" s="93" cm="1">
        <f t="array" ref="DI274">SUMPRODUCT(TRANSPOSE(DI$4:DI$20),$G274:$W274)</f>
        <v>0</v>
      </c>
      <c r="DJ274" s="93" cm="1">
        <f t="array" ref="DJ274">SUMPRODUCT(TRANSPOSE(DJ$4:DJ$20),$G274:$W274)</f>
        <v>0</v>
      </c>
      <c r="DK274" s="93" cm="1">
        <f t="array" ref="DK274">SUMPRODUCT(TRANSPOSE(DK$4:DK$20),$G274:$W274)</f>
        <v>0</v>
      </c>
      <c r="DL274" s="93" cm="1">
        <f t="array" ref="DL274">SUMPRODUCT(TRANSPOSE(DL$4:DL$20),$G274:$W274)</f>
        <v>0</v>
      </c>
      <c r="DM274" s="93" cm="1">
        <f t="array" ref="DM274">SUMPRODUCT(TRANSPOSE(DM$4:DM$20),$G274:$W274)</f>
        <v>0</v>
      </c>
      <c r="DN274" s="93" cm="1">
        <f t="array" ref="DN274">SUMPRODUCT(TRANSPOSE(DN$4:DN$20),$G274:$W274)</f>
        <v>0</v>
      </c>
      <c r="DO274" s="93" cm="1">
        <f t="array" ref="DO274">SUMPRODUCT(TRANSPOSE(DO$4:DO$20),$G274:$W274)</f>
        <v>0</v>
      </c>
    </row>
    <row r="275" spans="1:119" x14ac:dyDescent="0.2">
      <c r="A275" s="45">
        <f t="shared" si="29"/>
        <v>254</v>
      </c>
      <c r="B275" s="46" t="s">
        <v>630</v>
      </c>
      <c r="C275" s="45">
        <v>512305350</v>
      </c>
      <c r="D275" s="45" t="s">
        <v>626</v>
      </c>
      <c r="E275" s="45" t="s">
        <v>162</v>
      </c>
      <c r="F275" s="48">
        <v>2</v>
      </c>
      <c r="G275" s="100">
        <v>2</v>
      </c>
      <c r="H275" s="100">
        <v>0</v>
      </c>
      <c r="I275" s="100">
        <v>0</v>
      </c>
      <c r="J275" s="100">
        <v>0</v>
      </c>
      <c r="K275" s="100">
        <v>0</v>
      </c>
      <c r="L275" s="100">
        <v>0</v>
      </c>
      <c r="M275" s="100">
        <v>0</v>
      </c>
      <c r="N275" s="100">
        <v>0</v>
      </c>
      <c r="O275" s="100">
        <v>0</v>
      </c>
      <c r="P275" s="100">
        <v>0</v>
      </c>
      <c r="Q275" s="100">
        <v>0</v>
      </c>
      <c r="R275" s="100">
        <v>0</v>
      </c>
      <c r="S275" s="100">
        <v>6</v>
      </c>
      <c r="T275" s="100">
        <v>0</v>
      </c>
      <c r="U275" s="100">
        <v>0</v>
      </c>
      <c r="V275" s="100">
        <v>0</v>
      </c>
      <c r="W275" s="100">
        <v>0</v>
      </c>
      <c r="X275" s="45" t="s">
        <v>24</v>
      </c>
      <c r="Y275" s="49">
        <v>0.14000000000000001</v>
      </c>
      <c r="Z275" s="45">
        <v>3498</v>
      </c>
      <c r="AA275" s="45">
        <v>0</v>
      </c>
      <c r="AB275" s="45">
        <v>0</v>
      </c>
      <c r="AC275" s="45">
        <v>0</v>
      </c>
      <c r="AD275" s="45">
        <v>0</v>
      </c>
      <c r="AE275" s="45">
        <v>0</v>
      </c>
      <c r="AF275" s="45">
        <v>0</v>
      </c>
      <c r="AG275" s="45">
        <v>0</v>
      </c>
      <c r="AH275" s="45">
        <v>0</v>
      </c>
      <c r="AI275" s="45">
        <v>0</v>
      </c>
      <c r="AJ275" s="45">
        <v>0</v>
      </c>
      <c r="AK275" s="45">
        <v>0</v>
      </c>
      <c r="AL275" s="45">
        <v>0</v>
      </c>
      <c r="AM275" s="45">
        <v>0</v>
      </c>
      <c r="AN275" s="45">
        <v>0</v>
      </c>
      <c r="AO275" s="45"/>
      <c r="AP275" s="45"/>
      <c r="AQ275" s="45"/>
      <c r="AR275" s="45"/>
      <c r="AS275" s="45"/>
      <c r="AT275" s="45"/>
      <c r="AU275" s="45"/>
      <c r="AV275" s="45"/>
      <c r="AW275" s="45"/>
      <c r="AX275" s="45"/>
      <c r="AY275" s="45"/>
      <c r="AZ275" s="45"/>
      <c r="BA275" s="45"/>
      <c r="BB275" s="45"/>
      <c r="BC275" s="45"/>
      <c r="BD275" s="93"/>
      <c r="BE275" s="93"/>
      <c r="BF275" s="93"/>
      <c r="BG275" s="93"/>
      <c r="BH275" s="93"/>
      <c r="BI275" s="93"/>
      <c r="BJ275" s="93"/>
      <c r="BK275" s="93">
        <f>SUM($Z275:AD275)-SUM($CM275:CQ275)</f>
        <v>3224</v>
      </c>
      <c r="BL275" s="93">
        <f>SUM($Z275:AE275)-SUM($CM275:CR275)</f>
        <v>2998</v>
      </c>
      <c r="BM275" s="93">
        <f>SUM($Z275:AF275)-SUM($CM275:CS275)</f>
        <v>2802</v>
      </c>
      <c r="BN275" s="93">
        <f>SUM($Z275:AG275)-SUM($CM275:CT275)</f>
        <v>2606</v>
      </c>
      <c r="BO275" s="93">
        <f>SUM($Z275:AH275)-SUM($CM275:CU275)</f>
        <v>2410</v>
      </c>
      <c r="BP275" s="93">
        <f>SUM($Z275:AI275)-SUM($CM275:CV275)</f>
        <v>2214</v>
      </c>
      <c r="BQ275" s="93">
        <f>SUM($Z275:AJ275)-SUM($CM275:CW275)</f>
        <v>2018</v>
      </c>
      <c r="BR275" s="93">
        <f>SUM($Z275:AK275)-SUM($CM275:CX275)</f>
        <v>1822</v>
      </c>
      <c r="BS275" s="93">
        <f>SUM($Z275:AL275)-SUM($CM275:CY275)</f>
        <v>1626</v>
      </c>
      <c r="BT275" s="93">
        <f>SUM($Z275:AM275)-SUM($CM275:CZ275)</f>
        <v>1430</v>
      </c>
      <c r="BU275" s="93">
        <f>SUM($Z275:AN275)-SUM($CM275:DA275)</f>
        <v>1234</v>
      </c>
      <c r="BV275" s="93">
        <f>SUM($Z275:AO275)-SUM($CM275:DB275)</f>
        <v>1218</v>
      </c>
      <c r="BW275" s="93">
        <f>SUM($Z275:AP275)-SUM($CM275:DC275)</f>
        <v>1206</v>
      </c>
      <c r="BX275" s="93">
        <f>SUM($Z275:AQ275)-SUM($CM275:DD275)</f>
        <v>1206</v>
      </c>
      <c r="BY275" s="93">
        <f>SUM($Z275:AR275)-SUM($CM275:DE275)</f>
        <v>1206</v>
      </c>
      <c r="BZ275" s="93">
        <f>SUM($Z275:AS275)-SUM($CM275:DF275)</f>
        <v>1206</v>
      </c>
      <c r="CA275" s="93">
        <f>SUM($Z275:AT275)-SUM($CM275:DG275)</f>
        <v>1206</v>
      </c>
      <c r="CB275" s="93">
        <f>SUM($Z275:AU275)-SUM($CM275:DH275)</f>
        <v>1206</v>
      </c>
      <c r="CC275" s="93">
        <f>SUM($Z275:AV275)-SUM($CM275:DI275)</f>
        <v>1206</v>
      </c>
      <c r="CD275" s="93">
        <f>SUM($Z275:AW275)-SUM($CM275:DJ275)</f>
        <v>1206</v>
      </c>
      <c r="CE275" s="93">
        <f>SUM($Z275:AX275)-SUM($CM275:DK275)</f>
        <v>1206</v>
      </c>
      <c r="CF275" s="93">
        <f>SUM($Z275:AY275)-SUM($CM275:DL275)</f>
        <v>1206</v>
      </c>
      <c r="CG275" s="93">
        <f>SUM($Z275:AZ275)-SUM($CM275:DM275)</f>
        <v>1206</v>
      </c>
      <c r="CH275" s="93">
        <f>SUM($Z275:BA275)-SUM($CM275:DN275)</f>
        <v>1206</v>
      </c>
      <c r="CI275" s="93">
        <f>SUM($Z275:BB275)-SUM($CM275:DO275)</f>
        <v>1206</v>
      </c>
      <c r="CJ275" s="93"/>
      <c r="CK275" s="93"/>
      <c r="CL275" s="93"/>
      <c r="CM275" s="93"/>
      <c r="CN275" s="93" cm="1">
        <f t="array" ref="CN275">SUMPRODUCT(TRANSPOSE(CN$4:CN$20),$G275:$W275)</f>
        <v>0</v>
      </c>
      <c r="CO275" s="93" cm="1">
        <f t="array" ref="CO275">SUMPRODUCT(TRANSPOSE(CO$4:CO$20),$G275:$W275)</f>
        <v>0</v>
      </c>
      <c r="CP275" s="93" cm="1">
        <f t="array" ref="CP275">SUMPRODUCT(TRANSPOSE(CP$4:CP$20),$G275:$W275)</f>
        <v>0</v>
      </c>
      <c r="CQ275" s="93" cm="1">
        <f t="array" ref="CQ275">SUMPRODUCT(TRANSPOSE(CQ$4:CQ$20),$G275:$W275)</f>
        <v>274</v>
      </c>
      <c r="CR275" s="93" cm="1">
        <f t="array" ref="CR275">SUMPRODUCT(TRANSPOSE(CR$4:CR$20),$G275:$W275)</f>
        <v>226</v>
      </c>
      <c r="CS275" s="93" cm="1">
        <f t="array" ref="CS275">SUMPRODUCT(TRANSPOSE(CS$4:CS$20),$G275:$W275)</f>
        <v>196</v>
      </c>
      <c r="CT275" s="93" cm="1">
        <f t="array" ref="CT275">SUMPRODUCT(TRANSPOSE(CT$4:CT$20),$G275:$W275)</f>
        <v>196</v>
      </c>
      <c r="CU275" s="93" cm="1">
        <f t="array" ref="CU275">SUMPRODUCT(TRANSPOSE(CU$4:CU$20),$G275:$W275)</f>
        <v>196</v>
      </c>
      <c r="CV275" s="93" cm="1">
        <f t="array" ref="CV275">SUMPRODUCT(TRANSPOSE(CV$4:CV$20),$G275:$W275)</f>
        <v>196</v>
      </c>
      <c r="CW275" s="93" cm="1">
        <f t="array" ref="CW275">SUMPRODUCT(TRANSPOSE(CW$4:CW$20),$G275:$W275)</f>
        <v>196</v>
      </c>
      <c r="CX275" s="93" cm="1">
        <f t="array" ref="CX275">SUMPRODUCT(TRANSPOSE(CX$4:CX$20),$G275:$W275)</f>
        <v>196</v>
      </c>
      <c r="CY275" s="93" cm="1">
        <f t="array" ref="CY275">SUMPRODUCT(TRANSPOSE(CY$4:CY$20),$G275:$W275)</f>
        <v>196</v>
      </c>
      <c r="CZ275" s="93" cm="1">
        <f t="array" ref="CZ275">SUMPRODUCT(TRANSPOSE(CZ$4:CZ$20),$G275:$W275)</f>
        <v>196</v>
      </c>
      <c r="DA275" s="93" cm="1">
        <f t="array" ref="DA275">SUMPRODUCT(TRANSPOSE(DA$4:DA$20),$G275:$W275)</f>
        <v>196</v>
      </c>
      <c r="DB275" s="93" cm="1">
        <f t="array" ref="DB275">SUMPRODUCT(TRANSPOSE(DB$4:DB$20),$G275:$W275)</f>
        <v>16</v>
      </c>
      <c r="DC275" s="93" cm="1">
        <f t="array" ref="DC275">SUMPRODUCT(TRANSPOSE(DC$4:DC$20),$G275:$W275)</f>
        <v>12</v>
      </c>
      <c r="DD275" s="93" cm="1">
        <f t="array" ref="DD275">SUMPRODUCT(TRANSPOSE(DD$4:DD$20),$G275:$W275)</f>
        <v>0</v>
      </c>
      <c r="DE275" s="93" cm="1">
        <f t="array" ref="DE275">SUMPRODUCT(TRANSPOSE(DE$4:DE$20),$G275:$W275)</f>
        <v>0</v>
      </c>
      <c r="DF275" s="93" cm="1">
        <f t="array" ref="DF275">SUMPRODUCT(TRANSPOSE(DF$4:DF$20),$G275:$W275)</f>
        <v>0</v>
      </c>
      <c r="DG275" s="93" cm="1">
        <f t="array" ref="DG275">SUMPRODUCT(TRANSPOSE(DG$4:DG$20),$G275:$W275)</f>
        <v>0</v>
      </c>
      <c r="DH275" s="93" cm="1">
        <f t="array" ref="DH275">SUMPRODUCT(TRANSPOSE(DH$4:DH$20),$G275:$W275)</f>
        <v>0</v>
      </c>
      <c r="DI275" s="93" cm="1">
        <f t="array" ref="DI275">SUMPRODUCT(TRANSPOSE(DI$4:DI$20),$G275:$W275)</f>
        <v>0</v>
      </c>
      <c r="DJ275" s="93" cm="1">
        <f t="array" ref="DJ275">SUMPRODUCT(TRANSPOSE(DJ$4:DJ$20),$G275:$W275)</f>
        <v>0</v>
      </c>
      <c r="DK275" s="93" cm="1">
        <f t="array" ref="DK275">SUMPRODUCT(TRANSPOSE(DK$4:DK$20),$G275:$W275)</f>
        <v>0</v>
      </c>
      <c r="DL275" s="93" cm="1">
        <f t="array" ref="DL275">SUMPRODUCT(TRANSPOSE(DL$4:DL$20),$G275:$W275)</f>
        <v>0</v>
      </c>
      <c r="DM275" s="93" cm="1">
        <f t="array" ref="DM275">SUMPRODUCT(TRANSPOSE(DM$4:DM$20),$G275:$W275)</f>
        <v>0</v>
      </c>
      <c r="DN275" s="93" cm="1">
        <f t="array" ref="DN275">SUMPRODUCT(TRANSPOSE(DN$4:DN$20),$G275:$W275)</f>
        <v>0</v>
      </c>
      <c r="DO275" s="93" cm="1">
        <f t="array" ref="DO275">SUMPRODUCT(TRANSPOSE(DO$4:DO$20),$G275:$W275)</f>
        <v>0</v>
      </c>
    </row>
    <row r="276" spans="1:119" x14ac:dyDescent="0.2">
      <c r="A276" s="45">
        <f t="shared" si="29"/>
        <v>255</v>
      </c>
      <c r="B276" s="46" t="s">
        <v>631</v>
      </c>
      <c r="C276" s="68">
        <v>512308669</v>
      </c>
      <c r="D276" s="45" t="s">
        <v>617</v>
      </c>
      <c r="E276" s="45" t="s">
        <v>162</v>
      </c>
      <c r="F276" s="48">
        <v>2</v>
      </c>
      <c r="G276" s="100">
        <v>0</v>
      </c>
      <c r="H276" s="100">
        <v>0</v>
      </c>
      <c r="I276" s="100">
        <v>16</v>
      </c>
      <c r="J276" s="100">
        <v>0</v>
      </c>
      <c r="K276" s="100">
        <v>20</v>
      </c>
      <c r="L276" s="100">
        <v>0</v>
      </c>
      <c r="M276" s="100">
        <v>0</v>
      </c>
      <c r="N276" s="100">
        <v>0</v>
      </c>
      <c r="O276" s="100">
        <v>0</v>
      </c>
      <c r="P276" s="100">
        <v>16</v>
      </c>
      <c r="Q276" s="100">
        <v>0</v>
      </c>
      <c r="R276" s="100">
        <v>0</v>
      </c>
      <c r="S276" s="100">
        <v>0</v>
      </c>
      <c r="T276" s="100">
        <v>16</v>
      </c>
      <c r="U276" s="100">
        <v>0</v>
      </c>
      <c r="V276" s="100">
        <v>0</v>
      </c>
      <c r="W276" s="100">
        <v>0</v>
      </c>
      <c r="X276" s="45" t="s">
        <v>24</v>
      </c>
      <c r="Y276" s="49">
        <v>0.03</v>
      </c>
      <c r="Z276" s="45">
        <v>23779</v>
      </c>
      <c r="AA276" s="45">
        <v>0</v>
      </c>
      <c r="AB276" s="45">
        <v>0</v>
      </c>
      <c r="AC276" s="45">
        <v>0</v>
      </c>
      <c r="AD276" s="45">
        <v>0</v>
      </c>
      <c r="AE276" s="45">
        <v>0</v>
      </c>
      <c r="AF276" s="45">
        <v>0</v>
      </c>
      <c r="AG276" s="45">
        <v>0</v>
      </c>
      <c r="AH276" s="45">
        <v>0</v>
      </c>
      <c r="AI276" s="45">
        <v>0</v>
      </c>
      <c r="AJ276" s="45">
        <v>0</v>
      </c>
      <c r="AK276" s="45">
        <v>0</v>
      </c>
      <c r="AL276" s="45">
        <v>0</v>
      </c>
      <c r="AM276" s="45">
        <v>0</v>
      </c>
      <c r="AN276" s="45">
        <v>0</v>
      </c>
      <c r="AO276" s="45"/>
      <c r="AP276" s="45"/>
      <c r="AQ276" s="45"/>
      <c r="AR276" s="45"/>
      <c r="AS276" s="45"/>
      <c r="AT276" s="45"/>
      <c r="AU276" s="45"/>
      <c r="AV276" s="45"/>
      <c r="AW276" s="45"/>
      <c r="AX276" s="45"/>
      <c r="AY276" s="45"/>
      <c r="AZ276" s="45"/>
      <c r="BA276" s="45"/>
      <c r="BB276" s="45"/>
      <c r="BC276" s="45"/>
      <c r="BD276" s="93"/>
      <c r="BE276" s="93"/>
      <c r="BF276" s="93"/>
      <c r="BG276" s="93"/>
      <c r="BH276" s="93"/>
      <c r="BI276" s="93"/>
      <c r="BJ276" s="93"/>
      <c r="BK276" s="93">
        <f>SUM($Z276:AD276)-SUM($CM276:CQ276)</f>
        <v>22243</v>
      </c>
      <c r="BL276" s="93">
        <f>SUM($Z276:AE276)-SUM($CM276:CR276)</f>
        <v>20835</v>
      </c>
      <c r="BM276" s="93">
        <f>SUM($Z276:AF276)-SUM($CM276:CS276)</f>
        <v>19507</v>
      </c>
      <c r="BN276" s="93">
        <f>SUM($Z276:AG276)-SUM($CM276:CT276)</f>
        <v>18259</v>
      </c>
      <c r="BO276" s="93">
        <f>SUM($Z276:AH276)-SUM($CM276:CU276)</f>
        <v>17011</v>
      </c>
      <c r="BP276" s="93">
        <f>SUM($Z276:AI276)-SUM($CM276:CV276)</f>
        <v>15763</v>
      </c>
      <c r="BQ276" s="93">
        <f>SUM($Z276:AJ276)-SUM($CM276:CW276)</f>
        <v>14515</v>
      </c>
      <c r="BR276" s="93">
        <f>SUM($Z276:AK276)-SUM($CM276:CX276)</f>
        <v>13267</v>
      </c>
      <c r="BS276" s="93">
        <f>SUM($Z276:AL276)-SUM($CM276:CY276)</f>
        <v>12019</v>
      </c>
      <c r="BT276" s="93">
        <f>SUM($Z276:AM276)-SUM($CM276:CZ276)</f>
        <v>10771</v>
      </c>
      <c r="BU276" s="93">
        <f>SUM($Z276:AN276)-SUM($CM276:DA276)</f>
        <v>9523</v>
      </c>
      <c r="BV276" s="93">
        <f>SUM($Z276:AO276)-SUM($CM276:DB276)</f>
        <v>9011</v>
      </c>
      <c r="BW276" s="93">
        <f>SUM($Z276:AP276)-SUM($CM276:DC276)</f>
        <v>8795</v>
      </c>
      <c r="BX276" s="93">
        <f>SUM($Z276:AQ276)-SUM($CM276:DD276)</f>
        <v>8795</v>
      </c>
      <c r="BY276" s="93">
        <f>SUM($Z276:AR276)-SUM($CM276:DE276)</f>
        <v>8795</v>
      </c>
      <c r="BZ276" s="93">
        <f>SUM($Z276:AS276)-SUM($CM276:DF276)</f>
        <v>8795</v>
      </c>
      <c r="CA276" s="93">
        <f>SUM($Z276:AT276)-SUM($CM276:DG276)</f>
        <v>8795</v>
      </c>
      <c r="CB276" s="93">
        <f>SUM($Z276:AU276)-SUM($CM276:DH276)</f>
        <v>8795</v>
      </c>
      <c r="CC276" s="93">
        <f>SUM($Z276:AV276)-SUM($CM276:DI276)</f>
        <v>8795</v>
      </c>
      <c r="CD276" s="93">
        <f>SUM($Z276:AW276)-SUM($CM276:DJ276)</f>
        <v>8795</v>
      </c>
      <c r="CE276" s="93">
        <f>SUM($Z276:AX276)-SUM($CM276:DK276)</f>
        <v>8795</v>
      </c>
      <c r="CF276" s="93">
        <f>SUM($Z276:AY276)-SUM($CM276:DL276)</f>
        <v>8795</v>
      </c>
      <c r="CG276" s="93">
        <f>SUM($Z276:AZ276)-SUM($CM276:DM276)</f>
        <v>8795</v>
      </c>
      <c r="CH276" s="93">
        <f>SUM($Z276:BA276)-SUM($CM276:DN276)</f>
        <v>8795</v>
      </c>
      <c r="CI276" s="93">
        <f>SUM($Z276:BB276)-SUM($CM276:DO276)</f>
        <v>8795</v>
      </c>
      <c r="CJ276" s="93"/>
      <c r="CK276" s="93"/>
      <c r="CL276" s="93"/>
      <c r="CM276" s="93"/>
      <c r="CN276" s="93" cm="1">
        <f t="array" ref="CN276">SUMPRODUCT(TRANSPOSE(CN$4:CN$20),$G276:$W276)</f>
        <v>0</v>
      </c>
      <c r="CO276" s="93" cm="1">
        <f t="array" ref="CO276">SUMPRODUCT(TRANSPOSE(CO$4:CO$20),$G276:$W276)</f>
        <v>0</v>
      </c>
      <c r="CP276" s="93" cm="1">
        <f t="array" ref="CP276">SUMPRODUCT(TRANSPOSE(CP$4:CP$20),$G276:$W276)</f>
        <v>0</v>
      </c>
      <c r="CQ276" s="93" cm="1">
        <f t="array" ref="CQ276">SUMPRODUCT(TRANSPOSE(CQ$4:CQ$20),$G276:$W276)</f>
        <v>1536</v>
      </c>
      <c r="CR276" s="93" cm="1">
        <f t="array" ref="CR276">SUMPRODUCT(TRANSPOSE(CR$4:CR$20),$G276:$W276)</f>
        <v>1408</v>
      </c>
      <c r="CS276" s="93" cm="1">
        <f t="array" ref="CS276">SUMPRODUCT(TRANSPOSE(CS$4:CS$20),$G276:$W276)</f>
        <v>1328</v>
      </c>
      <c r="CT276" s="93" cm="1">
        <f t="array" ref="CT276">SUMPRODUCT(TRANSPOSE(CT$4:CT$20),$G276:$W276)</f>
        <v>1248</v>
      </c>
      <c r="CU276" s="93" cm="1">
        <f t="array" ref="CU276">SUMPRODUCT(TRANSPOSE(CU$4:CU$20),$G276:$W276)</f>
        <v>1248</v>
      </c>
      <c r="CV276" s="93" cm="1">
        <f t="array" ref="CV276">SUMPRODUCT(TRANSPOSE(CV$4:CV$20),$G276:$W276)</f>
        <v>1248</v>
      </c>
      <c r="CW276" s="93" cm="1">
        <f t="array" ref="CW276">SUMPRODUCT(TRANSPOSE(CW$4:CW$20),$G276:$W276)</f>
        <v>1248</v>
      </c>
      <c r="CX276" s="93" cm="1">
        <f t="array" ref="CX276">SUMPRODUCT(TRANSPOSE(CX$4:CX$20),$G276:$W276)</f>
        <v>1248</v>
      </c>
      <c r="CY276" s="93" cm="1">
        <f t="array" ref="CY276">SUMPRODUCT(TRANSPOSE(CY$4:CY$20),$G276:$W276)</f>
        <v>1248</v>
      </c>
      <c r="CZ276" s="93" cm="1">
        <f t="array" ref="CZ276">SUMPRODUCT(TRANSPOSE(CZ$4:CZ$20),$G276:$W276)</f>
        <v>1248</v>
      </c>
      <c r="DA276" s="93" cm="1">
        <f t="array" ref="DA276">SUMPRODUCT(TRANSPOSE(DA$4:DA$20),$G276:$W276)</f>
        <v>1248</v>
      </c>
      <c r="DB276" s="93" cm="1">
        <f t="array" ref="DB276">SUMPRODUCT(TRANSPOSE(DB$4:DB$20),$G276:$W276)</f>
        <v>512</v>
      </c>
      <c r="DC276" s="93" cm="1">
        <f t="array" ref="DC276">SUMPRODUCT(TRANSPOSE(DC$4:DC$20),$G276:$W276)</f>
        <v>216</v>
      </c>
      <c r="DD276" s="93" cm="1">
        <f t="array" ref="DD276">SUMPRODUCT(TRANSPOSE(DD$4:DD$20),$G276:$W276)</f>
        <v>0</v>
      </c>
      <c r="DE276" s="93" cm="1">
        <f t="array" ref="DE276">SUMPRODUCT(TRANSPOSE(DE$4:DE$20),$G276:$W276)</f>
        <v>0</v>
      </c>
      <c r="DF276" s="93" cm="1">
        <f t="array" ref="DF276">SUMPRODUCT(TRANSPOSE(DF$4:DF$20),$G276:$W276)</f>
        <v>0</v>
      </c>
      <c r="DG276" s="93" cm="1">
        <f t="array" ref="DG276">SUMPRODUCT(TRANSPOSE(DG$4:DG$20),$G276:$W276)</f>
        <v>0</v>
      </c>
      <c r="DH276" s="93" cm="1">
        <f t="array" ref="DH276">SUMPRODUCT(TRANSPOSE(DH$4:DH$20),$G276:$W276)</f>
        <v>0</v>
      </c>
      <c r="DI276" s="93" cm="1">
        <f t="array" ref="DI276">SUMPRODUCT(TRANSPOSE(DI$4:DI$20),$G276:$W276)</f>
        <v>0</v>
      </c>
      <c r="DJ276" s="93" cm="1">
        <f t="array" ref="DJ276">SUMPRODUCT(TRANSPOSE(DJ$4:DJ$20),$G276:$W276)</f>
        <v>0</v>
      </c>
      <c r="DK276" s="93" cm="1">
        <f t="array" ref="DK276">SUMPRODUCT(TRANSPOSE(DK$4:DK$20),$G276:$W276)</f>
        <v>0</v>
      </c>
      <c r="DL276" s="93" cm="1">
        <f t="array" ref="DL276">SUMPRODUCT(TRANSPOSE(DL$4:DL$20),$G276:$W276)</f>
        <v>0</v>
      </c>
      <c r="DM276" s="93" cm="1">
        <f t="array" ref="DM276">SUMPRODUCT(TRANSPOSE(DM$4:DM$20),$G276:$W276)</f>
        <v>0</v>
      </c>
      <c r="DN276" s="93" cm="1">
        <f t="array" ref="DN276">SUMPRODUCT(TRANSPOSE(DN$4:DN$20),$G276:$W276)</f>
        <v>0</v>
      </c>
      <c r="DO276" s="93" cm="1">
        <f t="array" ref="DO276">SUMPRODUCT(TRANSPOSE(DO$4:DO$20),$G276:$W276)</f>
        <v>0</v>
      </c>
    </row>
    <row r="277" spans="1:119" x14ac:dyDescent="0.2">
      <c r="A277" s="45">
        <f t="shared" si="29"/>
        <v>256</v>
      </c>
      <c r="B277" s="46" t="s">
        <v>632</v>
      </c>
      <c r="C277" s="45">
        <v>512304908</v>
      </c>
      <c r="D277" s="45" t="s">
        <v>626</v>
      </c>
      <c r="E277" s="45" t="s">
        <v>162</v>
      </c>
      <c r="F277" s="48">
        <v>2</v>
      </c>
      <c r="G277" s="100">
        <v>0</v>
      </c>
      <c r="H277" s="100">
        <v>0</v>
      </c>
      <c r="I277" s="100">
        <v>0</v>
      </c>
      <c r="J277" s="100">
        <v>0</v>
      </c>
      <c r="K277" s="100">
        <v>0</v>
      </c>
      <c r="L277" s="100">
        <v>0</v>
      </c>
      <c r="M277" s="100">
        <v>0</v>
      </c>
      <c r="N277" s="100">
        <v>0</v>
      </c>
      <c r="O277" s="100">
        <v>0</v>
      </c>
      <c r="P277" s="100">
        <v>4</v>
      </c>
      <c r="Q277" s="100">
        <v>0</v>
      </c>
      <c r="R277" s="100">
        <v>0</v>
      </c>
      <c r="S277" s="100">
        <v>0</v>
      </c>
      <c r="T277" s="100">
        <v>4</v>
      </c>
      <c r="U277" s="100">
        <v>0</v>
      </c>
      <c r="V277" s="100">
        <v>0</v>
      </c>
      <c r="W277" s="100">
        <v>0</v>
      </c>
      <c r="X277" s="45" t="s">
        <v>24</v>
      </c>
      <c r="Y277" s="49">
        <v>0.08</v>
      </c>
      <c r="Z277" s="45">
        <v>4354</v>
      </c>
      <c r="AA277" s="45">
        <v>0</v>
      </c>
      <c r="AB277" s="45">
        <v>0</v>
      </c>
      <c r="AC277" s="45">
        <v>0</v>
      </c>
      <c r="AD277" s="45">
        <v>0</v>
      </c>
      <c r="AE277" s="45">
        <v>0</v>
      </c>
      <c r="AF277" s="45">
        <v>0</v>
      </c>
      <c r="AG277" s="45">
        <v>0</v>
      </c>
      <c r="AH277" s="45">
        <v>0</v>
      </c>
      <c r="AI277" s="45">
        <v>0</v>
      </c>
      <c r="AJ277" s="45">
        <v>0</v>
      </c>
      <c r="AK277" s="45">
        <v>0</v>
      </c>
      <c r="AL277" s="45">
        <v>0</v>
      </c>
      <c r="AM277" s="45">
        <v>0</v>
      </c>
      <c r="AN277" s="45">
        <v>0</v>
      </c>
      <c r="AO277" s="45"/>
      <c r="AP277" s="45"/>
      <c r="AQ277" s="45"/>
      <c r="AR277" s="45"/>
      <c r="AS277" s="45"/>
      <c r="AT277" s="45"/>
      <c r="AU277" s="45"/>
      <c r="AV277" s="45"/>
      <c r="AW277" s="45"/>
      <c r="AX277" s="45"/>
      <c r="AY277" s="45"/>
      <c r="AZ277" s="45"/>
      <c r="BA277" s="45"/>
      <c r="BB277" s="45"/>
      <c r="BC277" s="45"/>
      <c r="BD277" s="93"/>
      <c r="BE277" s="93"/>
      <c r="BF277" s="93"/>
      <c r="BG277" s="93"/>
      <c r="BH277" s="93"/>
      <c r="BI277" s="93"/>
      <c r="BJ277" s="93"/>
      <c r="BK277" s="93">
        <f>SUM($Z277:AD277)-SUM($CM277:CQ277)</f>
        <v>4042</v>
      </c>
      <c r="BL277" s="93">
        <f>SUM($Z277:AE277)-SUM($CM277:CR277)</f>
        <v>3762</v>
      </c>
      <c r="BM277" s="93">
        <f>SUM($Z277:AF277)-SUM($CM277:CS277)</f>
        <v>3502</v>
      </c>
      <c r="BN277" s="93">
        <f>SUM($Z277:AG277)-SUM($CM277:CT277)</f>
        <v>3262</v>
      </c>
      <c r="BO277" s="93">
        <f>SUM($Z277:AH277)-SUM($CM277:CU277)</f>
        <v>3022</v>
      </c>
      <c r="BP277" s="93">
        <f>SUM($Z277:AI277)-SUM($CM277:CV277)</f>
        <v>2782</v>
      </c>
      <c r="BQ277" s="93">
        <f>SUM($Z277:AJ277)-SUM($CM277:CW277)</f>
        <v>2542</v>
      </c>
      <c r="BR277" s="93">
        <f>SUM($Z277:AK277)-SUM($CM277:CX277)</f>
        <v>2302</v>
      </c>
      <c r="BS277" s="93">
        <f>SUM($Z277:AL277)-SUM($CM277:CY277)</f>
        <v>2062</v>
      </c>
      <c r="BT277" s="93">
        <f>SUM($Z277:AM277)-SUM($CM277:CZ277)</f>
        <v>1822</v>
      </c>
      <c r="BU277" s="93">
        <f>SUM($Z277:AN277)-SUM($CM277:DA277)</f>
        <v>1582</v>
      </c>
      <c r="BV277" s="93">
        <f>SUM($Z277:AO277)-SUM($CM277:DB277)</f>
        <v>1526</v>
      </c>
      <c r="BW277" s="93">
        <f>SUM($Z277:AP277)-SUM($CM277:DC277)</f>
        <v>1526</v>
      </c>
      <c r="BX277" s="93">
        <f>SUM($Z277:AQ277)-SUM($CM277:DD277)</f>
        <v>1526</v>
      </c>
      <c r="BY277" s="93">
        <f>SUM($Z277:AR277)-SUM($CM277:DE277)</f>
        <v>1526</v>
      </c>
      <c r="BZ277" s="93">
        <f>SUM($Z277:AS277)-SUM($CM277:DF277)</f>
        <v>1526</v>
      </c>
      <c r="CA277" s="93">
        <f>SUM($Z277:AT277)-SUM($CM277:DG277)</f>
        <v>1526</v>
      </c>
      <c r="CB277" s="93">
        <f>SUM($Z277:AU277)-SUM($CM277:DH277)</f>
        <v>1526</v>
      </c>
      <c r="CC277" s="93">
        <f>SUM($Z277:AV277)-SUM($CM277:DI277)</f>
        <v>1526</v>
      </c>
      <c r="CD277" s="93">
        <f>SUM($Z277:AW277)-SUM($CM277:DJ277)</f>
        <v>1526</v>
      </c>
      <c r="CE277" s="93">
        <f>SUM($Z277:AX277)-SUM($CM277:DK277)</f>
        <v>1526</v>
      </c>
      <c r="CF277" s="93">
        <f>SUM($Z277:AY277)-SUM($CM277:DL277)</f>
        <v>1526</v>
      </c>
      <c r="CG277" s="93">
        <f>SUM($Z277:AZ277)-SUM($CM277:DM277)</f>
        <v>1526</v>
      </c>
      <c r="CH277" s="93">
        <f>SUM($Z277:BA277)-SUM($CM277:DN277)</f>
        <v>1526</v>
      </c>
      <c r="CI277" s="93">
        <f>SUM($Z277:BB277)-SUM($CM277:DO277)</f>
        <v>1526</v>
      </c>
      <c r="CJ277" s="93"/>
      <c r="CK277" s="93"/>
      <c r="CL277" s="93"/>
      <c r="CM277" s="93"/>
      <c r="CN277" s="93" cm="1">
        <f t="array" ref="CN277">SUMPRODUCT(TRANSPOSE(CN$4:CN$20),$G277:$W277)</f>
        <v>0</v>
      </c>
      <c r="CO277" s="93" cm="1">
        <f t="array" ref="CO277">SUMPRODUCT(TRANSPOSE(CO$4:CO$20),$G277:$W277)</f>
        <v>0</v>
      </c>
      <c r="CP277" s="93" cm="1">
        <f t="array" ref="CP277">SUMPRODUCT(TRANSPOSE(CP$4:CP$20),$G277:$W277)</f>
        <v>0</v>
      </c>
      <c r="CQ277" s="93" cm="1">
        <f t="array" ref="CQ277">SUMPRODUCT(TRANSPOSE(CQ$4:CQ$20),$G277:$W277)</f>
        <v>312</v>
      </c>
      <c r="CR277" s="93" cm="1">
        <f t="array" ref="CR277">SUMPRODUCT(TRANSPOSE(CR$4:CR$20),$G277:$W277)</f>
        <v>280</v>
      </c>
      <c r="CS277" s="93" cm="1">
        <f t="array" ref="CS277">SUMPRODUCT(TRANSPOSE(CS$4:CS$20),$G277:$W277)</f>
        <v>260</v>
      </c>
      <c r="CT277" s="93" cm="1">
        <f t="array" ref="CT277">SUMPRODUCT(TRANSPOSE(CT$4:CT$20),$G277:$W277)</f>
        <v>240</v>
      </c>
      <c r="CU277" s="93" cm="1">
        <f t="array" ref="CU277">SUMPRODUCT(TRANSPOSE(CU$4:CU$20),$G277:$W277)</f>
        <v>240</v>
      </c>
      <c r="CV277" s="93" cm="1">
        <f t="array" ref="CV277">SUMPRODUCT(TRANSPOSE(CV$4:CV$20),$G277:$W277)</f>
        <v>240</v>
      </c>
      <c r="CW277" s="93" cm="1">
        <f t="array" ref="CW277">SUMPRODUCT(TRANSPOSE(CW$4:CW$20),$G277:$W277)</f>
        <v>240</v>
      </c>
      <c r="CX277" s="93" cm="1">
        <f t="array" ref="CX277">SUMPRODUCT(TRANSPOSE(CX$4:CX$20),$G277:$W277)</f>
        <v>240</v>
      </c>
      <c r="CY277" s="93" cm="1">
        <f t="array" ref="CY277">SUMPRODUCT(TRANSPOSE(CY$4:CY$20),$G277:$W277)</f>
        <v>240</v>
      </c>
      <c r="CZ277" s="93" cm="1">
        <f t="array" ref="CZ277">SUMPRODUCT(TRANSPOSE(CZ$4:CZ$20),$G277:$W277)</f>
        <v>240</v>
      </c>
      <c r="DA277" s="93" cm="1">
        <f t="array" ref="DA277">SUMPRODUCT(TRANSPOSE(DA$4:DA$20),$G277:$W277)</f>
        <v>240</v>
      </c>
      <c r="DB277" s="93" cm="1">
        <f t="array" ref="DB277">SUMPRODUCT(TRANSPOSE(DB$4:DB$20),$G277:$W277)</f>
        <v>56</v>
      </c>
      <c r="DC277" s="93" cm="1">
        <f t="array" ref="DC277">SUMPRODUCT(TRANSPOSE(DC$4:DC$20),$G277:$W277)</f>
        <v>0</v>
      </c>
      <c r="DD277" s="93" cm="1">
        <f t="array" ref="DD277">SUMPRODUCT(TRANSPOSE(DD$4:DD$20),$G277:$W277)</f>
        <v>0</v>
      </c>
      <c r="DE277" s="93" cm="1">
        <f t="array" ref="DE277">SUMPRODUCT(TRANSPOSE(DE$4:DE$20),$G277:$W277)</f>
        <v>0</v>
      </c>
      <c r="DF277" s="93" cm="1">
        <f t="array" ref="DF277">SUMPRODUCT(TRANSPOSE(DF$4:DF$20),$G277:$W277)</f>
        <v>0</v>
      </c>
      <c r="DG277" s="93" cm="1">
        <f t="array" ref="DG277">SUMPRODUCT(TRANSPOSE(DG$4:DG$20),$G277:$W277)</f>
        <v>0</v>
      </c>
      <c r="DH277" s="93" cm="1">
        <f t="array" ref="DH277">SUMPRODUCT(TRANSPOSE(DH$4:DH$20),$G277:$W277)</f>
        <v>0</v>
      </c>
      <c r="DI277" s="93" cm="1">
        <f t="array" ref="DI277">SUMPRODUCT(TRANSPOSE(DI$4:DI$20),$G277:$W277)</f>
        <v>0</v>
      </c>
      <c r="DJ277" s="93" cm="1">
        <f t="array" ref="DJ277">SUMPRODUCT(TRANSPOSE(DJ$4:DJ$20),$G277:$W277)</f>
        <v>0</v>
      </c>
      <c r="DK277" s="93" cm="1">
        <f t="array" ref="DK277">SUMPRODUCT(TRANSPOSE(DK$4:DK$20),$G277:$W277)</f>
        <v>0</v>
      </c>
      <c r="DL277" s="93" cm="1">
        <f t="array" ref="DL277">SUMPRODUCT(TRANSPOSE(DL$4:DL$20),$G277:$W277)</f>
        <v>0</v>
      </c>
      <c r="DM277" s="93" cm="1">
        <f t="array" ref="DM277">SUMPRODUCT(TRANSPOSE(DM$4:DM$20),$G277:$W277)</f>
        <v>0</v>
      </c>
      <c r="DN277" s="93" cm="1">
        <f t="array" ref="DN277">SUMPRODUCT(TRANSPOSE(DN$4:DN$20),$G277:$W277)</f>
        <v>0</v>
      </c>
      <c r="DO277" s="93" cm="1">
        <f t="array" ref="DO277">SUMPRODUCT(TRANSPOSE(DO$4:DO$20),$G277:$W277)</f>
        <v>0</v>
      </c>
    </row>
    <row r="278" spans="1:119" x14ac:dyDescent="0.2">
      <c r="A278" s="45">
        <f t="shared" si="29"/>
        <v>257</v>
      </c>
      <c r="B278" s="46" t="s">
        <v>633</v>
      </c>
      <c r="C278" s="45">
        <v>512313669</v>
      </c>
      <c r="D278" s="45" t="s">
        <v>617</v>
      </c>
      <c r="E278" s="45" t="s">
        <v>162</v>
      </c>
      <c r="F278" s="48">
        <v>2</v>
      </c>
      <c r="G278" s="100">
        <v>0</v>
      </c>
      <c r="H278" s="100">
        <v>0</v>
      </c>
      <c r="I278" s="100">
        <v>0</v>
      </c>
      <c r="J278" s="100">
        <v>0</v>
      </c>
      <c r="K278" s="100">
        <v>0</v>
      </c>
      <c r="L278" s="100">
        <v>0</v>
      </c>
      <c r="M278" s="100">
        <v>0</v>
      </c>
      <c r="N278" s="100">
        <v>0</v>
      </c>
      <c r="O278" s="100">
        <v>0</v>
      </c>
      <c r="P278" s="100">
        <v>63</v>
      </c>
      <c r="Q278" s="100">
        <v>0</v>
      </c>
      <c r="R278" s="100">
        <v>0</v>
      </c>
      <c r="S278" s="100">
        <v>0</v>
      </c>
      <c r="T278" s="100">
        <v>63</v>
      </c>
      <c r="U278" s="100">
        <v>0</v>
      </c>
      <c r="V278" s="100">
        <v>0</v>
      </c>
      <c r="W278" s="100">
        <v>0</v>
      </c>
      <c r="X278" s="45" t="s">
        <v>24</v>
      </c>
      <c r="Y278" s="53">
        <v>8.3500000000000005E-2</v>
      </c>
      <c r="Z278" s="45">
        <v>81666</v>
      </c>
      <c r="AA278" s="45">
        <v>0</v>
      </c>
      <c r="AB278" s="45">
        <v>0</v>
      </c>
      <c r="AC278" s="45">
        <v>0</v>
      </c>
      <c r="AD278" s="45">
        <v>0</v>
      </c>
      <c r="AE278" s="45">
        <v>0</v>
      </c>
      <c r="AF278" s="45">
        <v>0</v>
      </c>
      <c r="AG278" s="45">
        <v>0</v>
      </c>
      <c r="AH278" s="45">
        <v>0</v>
      </c>
      <c r="AI278" s="45">
        <v>0</v>
      </c>
      <c r="AJ278" s="45">
        <v>0</v>
      </c>
      <c r="AK278" s="45">
        <v>0</v>
      </c>
      <c r="AL278" s="45">
        <v>0</v>
      </c>
      <c r="AM278" s="45">
        <v>0</v>
      </c>
      <c r="AN278" s="45">
        <v>0</v>
      </c>
      <c r="AO278" s="45"/>
      <c r="AP278" s="45"/>
      <c r="AQ278" s="45"/>
      <c r="AR278" s="45"/>
      <c r="AS278" s="45"/>
      <c r="AT278" s="45"/>
      <c r="AU278" s="45"/>
      <c r="AV278" s="45"/>
      <c r="AW278" s="45"/>
      <c r="AX278" s="45"/>
      <c r="AY278" s="45"/>
      <c r="AZ278" s="45"/>
      <c r="BA278" s="45"/>
      <c r="BB278" s="45"/>
      <c r="BC278" s="45"/>
      <c r="BD278" s="93"/>
      <c r="BE278" s="93"/>
      <c r="BF278" s="93"/>
      <c r="BG278" s="93"/>
      <c r="BH278" s="93"/>
      <c r="BI278" s="93"/>
      <c r="BJ278" s="93"/>
      <c r="BK278" s="93">
        <f>SUM($Z278:AD278)-SUM($CM278:CQ278)</f>
        <v>76752</v>
      </c>
      <c r="BL278" s="93">
        <f>SUM($Z278:AE278)-SUM($CM278:CR278)</f>
        <v>72342</v>
      </c>
      <c r="BM278" s="93">
        <f>SUM($Z278:AF278)-SUM($CM278:CS278)</f>
        <v>68247</v>
      </c>
      <c r="BN278" s="93">
        <f>SUM($Z278:AG278)-SUM($CM278:CT278)</f>
        <v>64467</v>
      </c>
      <c r="BO278" s="93">
        <f>SUM($Z278:AH278)-SUM($CM278:CU278)</f>
        <v>60687</v>
      </c>
      <c r="BP278" s="93">
        <f>SUM($Z278:AI278)-SUM($CM278:CV278)</f>
        <v>56907</v>
      </c>
      <c r="BQ278" s="93">
        <f>SUM($Z278:AJ278)-SUM($CM278:CW278)</f>
        <v>53127</v>
      </c>
      <c r="BR278" s="93">
        <f>SUM($Z278:AK278)-SUM($CM278:CX278)</f>
        <v>49347</v>
      </c>
      <c r="BS278" s="93">
        <f>SUM($Z278:AL278)-SUM($CM278:CY278)</f>
        <v>45567</v>
      </c>
      <c r="BT278" s="93">
        <f>SUM($Z278:AM278)-SUM($CM278:CZ278)</f>
        <v>41787</v>
      </c>
      <c r="BU278" s="93">
        <f>SUM($Z278:AN278)-SUM($CM278:DA278)</f>
        <v>38007</v>
      </c>
      <c r="BV278" s="93">
        <f>SUM($Z278:AO278)-SUM($CM278:DB278)</f>
        <v>37125</v>
      </c>
      <c r="BW278" s="93">
        <f>SUM($Z278:AP278)-SUM($CM278:DC278)</f>
        <v>37125</v>
      </c>
      <c r="BX278" s="93">
        <f>SUM($Z278:AQ278)-SUM($CM278:DD278)</f>
        <v>37125</v>
      </c>
      <c r="BY278" s="93">
        <f>SUM($Z278:AR278)-SUM($CM278:DE278)</f>
        <v>37125</v>
      </c>
      <c r="BZ278" s="93">
        <f>SUM($Z278:AS278)-SUM($CM278:DF278)</f>
        <v>37125</v>
      </c>
      <c r="CA278" s="93">
        <f>SUM($Z278:AT278)-SUM($CM278:DG278)</f>
        <v>37125</v>
      </c>
      <c r="CB278" s="93">
        <f>SUM($Z278:AU278)-SUM($CM278:DH278)</f>
        <v>37125</v>
      </c>
      <c r="CC278" s="93">
        <f>SUM($Z278:AV278)-SUM($CM278:DI278)</f>
        <v>37125</v>
      </c>
      <c r="CD278" s="93">
        <f>SUM($Z278:AW278)-SUM($CM278:DJ278)</f>
        <v>37125</v>
      </c>
      <c r="CE278" s="93">
        <f>SUM($Z278:AX278)-SUM($CM278:DK278)</f>
        <v>37125</v>
      </c>
      <c r="CF278" s="93">
        <f>SUM($Z278:AY278)-SUM($CM278:DL278)</f>
        <v>37125</v>
      </c>
      <c r="CG278" s="93">
        <f>SUM($Z278:AZ278)-SUM($CM278:DM278)</f>
        <v>37125</v>
      </c>
      <c r="CH278" s="93">
        <f>SUM($Z278:BA278)-SUM($CM278:DN278)</f>
        <v>37125</v>
      </c>
      <c r="CI278" s="93">
        <f>SUM($Z278:BB278)-SUM($CM278:DO278)</f>
        <v>37125</v>
      </c>
      <c r="CJ278" s="93"/>
      <c r="CK278" s="93"/>
      <c r="CL278" s="93"/>
      <c r="CM278" s="93"/>
      <c r="CN278" s="93" cm="1">
        <f t="array" ref="CN278">SUMPRODUCT(TRANSPOSE(CN$4:CN$20),$G278:$W278)</f>
        <v>0</v>
      </c>
      <c r="CO278" s="93" cm="1">
        <f t="array" ref="CO278">SUMPRODUCT(TRANSPOSE(CO$4:CO$20),$G278:$W278)</f>
        <v>0</v>
      </c>
      <c r="CP278" s="93" cm="1">
        <f t="array" ref="CP278">SUMPRODUCT(TRANSPOSE(CP$4:CP$20),$G278:$W278)</f>
        <v>0</v>
      </c>
      <c r="CQ278" s="93" cm="1">
        <f t="array" ref="CQ278">SUMPRODUCT(TRANSPOSE(CQ$4:CQ$20),$G278:$W278)</f>
        <v>4914</v>
      </c>
      <c r="CR278" s="93" cm="1">
        <f t="array" ref="CR278">SUMPRODUCT(TRANSPOSE(CR$4:CR$20),$G278:$W278)</f>
        <v>4410</v>
      </c>
      <c r="CS278" s="93" cm="1">
        <f t="array" ref="CS278">SUMPRODUCT(TRANSPOSE(CS$4:CS$20),$G278:$W278)</f>
        <v>4095</v>
      </c>
      <c r="CT278" s="93" cm="1">
        <f t="array" ref="CT278">SUMPRODUCT(TRANSPOSE(CT$4:CT$20),$G278:$W278)</f>
        <v>3780</v>
      </c>
      <c r="CU278" s="93" cm="1">
        <f t="array" ref="CU278">SUMPRODUCT(TRANSPOSE(CU$4:CU$20),$G278:$W278)</f>
        <v>3780</v>
      </c>
      <c r="CV278" s="93" cm="1">
        <f t="array" ref="CV278">SUMPRODUCT(TRANSPOSE(CV$4:CV$20),$G278:$W278)</f>
        <v>3780</v>
      </c>
      <c r="CW278" s="93" cm="1">
        <f t="array" ref="CW278">SUMPRODUCT(TRANSPOSE(CW$4:CW$20),$G278:$W278)</f>
        <v>3780</v>
      </c>
      <c r="CX278" s="93" cm="1">
        <f t="array" ref="CX278">SUMPRODUCT(TRANSPOSE(CX$4:CX$20),$G278:$W278)</f>
        <v>3780</v>
      </c>
      <c r="CY278" s="93" cm="1">
        <f t="array" ref="CY278">SUMPRODUCT(TRANSPOSE(CY$4:CY$20),$G278:$W278)</f>
        <v>3780</v>
      </c>
      <c r="CZ278" s="93" cm="1">
        <f t="array" ref="CZ278">SUMPRODUCT(TRANSPOSE(CZ$4:CZ$20),$G278:$W278)</f>
        <v>3780</v>
      </c>
      <c r="DA278" s="93" cm="1">
        <f t="array" ref="DA278">SUMPRODUCT(TRANSPOSE(DA$4:DA$20),$G278:$W278)</f>
        <v>3780</v>
      </c>
      <c r="DB278" s="93" cm="1">
        <f t="array" ref="DB278">SUMPRODUCT(TRANSPOSE(DB$4:DB$20),$G278:$W278)</f>
        <v>882</v>
      </c>
      <c r="DC278" s="93" cm="1">
        <f t="array" ref="DC278">SUMPRODUCT(TRANSPOSE(DC$4:DC$20),$G278:$W278)</f>
        <v>0</v>
      </c>
      <c r="DD278" s="93" cm="1">
        <f t="array" ref="DD278">SUMPRODUCT(TRANSPOSE(DD$4:DD$20),$G278:$W278)</f>
        <v>0</v>
      </c>
      <c r="DE278" s="93" cm="1">
        <f t="array" ref="DE278">SUMPRODUCT(TRANSPOSE(DE$4:DE$20),$G278:$W278)</f>
        <v>0</v>
      </c>
      <c r="DF278" s="93" cm="1">
        <f t="array" ref="DF278">SUMPRODUCT(TRANSPOSE(DF$4:DF$20),$G278:$W278)</f>
        <v>0</v>
      </c>
      <c r="DG278" s="93" cm="1">
        <f t="array" ref="DG278">SUMPRODUCT(TRANSPOSE(DG$4:DG$20),$G278:$W278)</f>
        <v>0</v>
      </c>
      <c r="DH278" s="93" cm="1">
        <f t="array" ref="DH278">SUMPRODUCT(TRANSPOSE(DH$4:DH$20),$G278:$W278)</f>
        <v>0</v>
      </c>
      <c r="DI278" s="93" cm="1">
        <f t="array" ref="DI278">SUMPRODUCT(TRANSPOSE(DI$4:DI$20),$G278:$W278)</f>
        <v>0</v>
      </c>
      <c r="DJ278" s="93" cm="1">
        <f t="array" ref="DJ278">SUMPRODUCT(TRANSPOSE(DJ$4:DJ$20),$G278:$W278)</f>
        <v>0</v>
      </c>
      <c r="DK278" s="93" cm="1">
        <f t="array" ref="DK278">SUMPRODUCT(TRANSPOSE(DK$4:DK$20),$G278:$W278)</f>
        <v>0</v>
      </c>
      <c r="DL278" s="93" cm="1">
        <f t="array" ref="DL278">SUMPRODUCT(TRANSPOSE(DL$4:DL$20),$G278:$W278)</f>
        <v>0</v>
      </c>
      <c r="DM278" s="93" cm="1">
        <f t="array" ref="DM278">SUMPRODUCT(TRANSPOSE(DM$4:DM$20),$G278:$W278)</f>
        <v>0</v>
      </c>
      <c r="DN278" s="93" cm="1">
        <f t="array" ref="DN278">SUMPRODUCT(TRANSPOSE(DN$4:DN$20),$G278:$W278)</f>
        <v>0</v>
      </c>
      <c r="DO278" s="93" cm="1">
        <f t="array" ref="DO278">SUMPRODUCT(TRANSPOSE(DO$4:DO$20),$G278:$W278)</f>
        <v>0</v>
      </c>
    </row>
    <row r="279" spans="1:119" x14ac:dyDescent="0.2">
      <c r="A279" s="45">
        <f t="shared" ref="A279:A342" si="30">A278+1</f>
        <v>258</v>
      </c>
      <c r="B279" s="46" t="s">
        <v>634</v>
      </c>
      <c r="C279" s="45">
        <v>400991035</v>
      </c>
      <c r="D279" s="45" t="s">
        <v>635</v>
      </c>
      <c r="E279" s="45" t="s">
        <v>162</v>
      </c>
      <c r="F279" s="48">
        <v>2</v>
      </c>
      <c r="G279" s="100">
        <v>0</v>
      </c>
      <c r="H279" s="100">
        <v>0</v>
      </c>
      <c r="I279" s="100">
        <v>0</v>
      </c>
      <c r="J279" s="100">
        <v>0</v>
      </c>
      <c r="K279" s="100">
        <v>0</v>
      </c>
      <c r="L279" s="100">
        <v>0</v>
      </c>
      <c r="M279" s="100">
        <v>0</v>
      </c>
      <c r="N279" s="100">
        <v>0</v>
      </c>
      <c r="O279" s="100">
        <v>0</v>
      </c>
      <c r="P279" s="100">
        <v>0</v>
      </c>
      <c r="Q279" s="100">
        <v>0</v>
      </c>
      <c r="R279" s="100">
        <v>1</v>
      </c>
      <c r="S279" s="100">
        <v>0</v>
      </c>
      <c r="T279" s="100">
        <v>0</v>
      </c>
      <c r="U279" s="100">
        <v>0</v>
      </c>
      <c r="V279" s="100">
        <v>1</v>
      </c>
      <c r="W279" s="100">
        <v>0</v>
      </c>
      <c r="X279" s="45" t="s">
        <v>77</v>
      </c>
      <c r="Y279" s="49">
        <v>1.2</v>
      </c>
      <c r="Z279" s="45">
        <v>1067</v>
      </c>
      <c r="AA279" s="45">
        <v>0</v>
      </c>
      <c r="AB279" s="45">
        <v>0</v>
      </c>
      <c r="AC279" s="45">
        <v>0</v>
      </c>
      <c r="AD279" s="45">
        <v>0</v>
      </c>
      <c r="AE279" s="45">
        <v>0</v>
      </c>
      <c r="AF279" s="45">
        <v>0</v>
      </c>
      <c r="AG279" s="45">
        <v>0</v>
      </c>
      <c r="AH279" s="45">
        <v>0</v>
      </c>
      <c r="AI279" s="45">
        <v>0</v>
      </c>
      <c r="AJ279" s="45">
        <v>0</v>
      </c>
      <c r="AK279" s="45">
        <v>0</v>
      </c>
      <c r="AL279" s="45">
        <v>0</v>
      </c>
      <c r="AM279" s="45">
        <v>0</v>
      </c>
      <c r="AN279" s="45">
        <v>0</v>
      </c>
      <c r="AO279" s="45"/>
      <c r="AP279" s="45"/>
      <c r="AQ279" s="45"/>
      <c r="AR279" s="45"/>
      <c r="AS279" s="45"/>
      <c r="AT279" s="45"/>
      <c r="AU279" s="45"/>
      <c r="AV279" s="45"/>
      <c r="AW279" s="45"/>
      <c r="AX279" s="45"/>
      <c r="AY279" s="45"/>
      <c r="AZ279" s="45"/>
      <c r="BA279" s="45"/>
      <c r="BB279" s="45"/>
      <c r="BC279" s="45"/>
      <c r="BD279" s="93"/>
      <c r="BE279" s="93"/>
      <c r="BF279" s="93"/>
      <c r="BG279" s="93"/>
      <c r="BH279" s="93"/>
      <c r="BI279" s="93"/>
      <c r="BJ279" s="93"/>
      <c r="BK279" s="93">
        <f>SUM($Z279:AD279)-SUM($CM279:CQ279)</f>
        <v>997</v>
      </c>
      <c r="BL279" s="93">
        <f>SUM($Z279:AE279)-SUM($CM279:CR279)</f>
        <v>927</v>
      </c>
      <c r="BM279" s="93">
        <f>SUM($Z279:AF279)-SUM($CM279:CS279)</f>
        <v>857</v>
      </c>
      <c r="BN279" s="93">
        <f>SUM($Z279:AG279)-SUM($CM279:CT279)</f>
        <v>787</v>
      </c>
      <c r="BO279" s="93">
        <f>SUM($Z279:AH279)-SUM($CM279:CU279)</f>
        <v>717</v>
      </c>
      <c r="BP279" s="93">
        <f>SUM($Z279:AI279)-SUM($CM279:CV279)</f>
        <v>647</v>
      </c>
      <c r="BQ279" s="93">
        <f>SUM($Z279:AJ279)-SUM($CM279:CW279)</f>
        <v>577</v>
      </c>
      <c r="BR279" s="93">
        <f>SUM($Z279:AK279)-SUM($CM279:CX279)</f>
        <v>507</v>
      </c>
      <c r="BS279" s="93">
        <f>SUM($Z279:AL279)-SUM($CM279:CY279)</f>
        <v>437</v>
      </c>
      <c r="BT279" s="93">
        <f>SUM($Z279:AM279)-SUM($CM279:CZ279)</f>
        <v>402</v>
      </c>
      <c r="BU279" s="93">
        <f>SUM($Z279:AN279)-SUM($CM279:DA279)</f>
        <v>402</v>
      </c>
      <c r="BV279" s="93">
        <f>SUM($Z279:AO279)-SUM($CM279:DB279)</f>
        <v>402</v>
      </c>
      <c r="BW279" s="93">
        <f>SUM($Z279:AP279)-SUM($CM279:DC279)</f>
        <v>402</v>
      </c>
      <c r="BX279" s="93">
        <f>SUM($Z279:AQ279)-SUM($CM279:DD279)</f>
        <v>402</v>
      </c>
      <c r="BY279" s="93">
        <f>SUM($Z279:AR279)-SUM($CM279:DE279)</f>
        <v>402</v>
      </c>
      <c r="BZ279" s="93">
        <f>SUM($Z279:AS279)-SUM($CM279:DF279)</f>
        <v>402</v>
      </c>
      <c r="CA279" s="93">
        <f>SUM($Z279:AT279)-SUM($CM279:DG279)</f>
        <v>402</v>
      </c>
      <c r="CB279" s="93">
        <f>SUM($Z279:AU279)-SUM($CM279:DH279)</f>
        <v>402</v>
      </c>
      <c r="CC279" s="93">
        <f>SUM($Z279:AV279)-SUM($CM279:DI279)</f>
        <v>402</v>
      </c>
      <c r="CD279" s="93">
        <f>SUM($Z279:AW279)-SUM($CM279:DJ279)</f>
        <v>402</v>
      </c>
      <c r="CE279" s="93">
        <f>SUM($Z279:AX279)-SUM($CM279:DK279)</f>
        <v>402</v>
      </c>
      <c r="CF279" s="93">
        <f>SUM($Z279:AY279)-SUM($CM279:DL279)</f>
        <v>402</v>
      </c>
      <c r="CG279" s="93">
        <f>SUM($Z279:AZ279)-SUM($CM279:DM279)</f>
        <v>402</v>
      </c>
      <c r="CH279" s="93">
        <f>SUM($Z279:BA279)-SUM($CM279:DN279)</f>
        <v>402</v>
      </c>
      <c r="CI279" s="93">
        <f>SUM($Z279:BB279)-SUM($CM279:DO279)</f>
        <v>402</v>
      </c>
      <c r="CJ279" s="93"/>
      <c r="CK279" s="93"/>
      <c r="CL279" s="93"/>
      <c r="CM279" s="93"/>
      <c r="CN279" s="93" cm="1">
        <f t="array" ref="CN279">SUMPRODUCT(TRANSPOSE(CN$4:CN$20),$G279:$W279)</f>
        <v>0</v>
      </c>
      <c r="CO279" s="93" cm="1">
        <f t="array" ref="CO279">SUMPRODUCT(TRANSPOSE(CO$4:CO$20),$G279:$W279)</f>
        <v>0</v>
      </c>
      <c r="CP279" s="93" cm="1">
        <f t="array" ref="CP279">SUMPRODUCT(TRANSPOSE(CP$4:CP$20),$G279:$W279)</f>
        <v>0</v>
      </c>
      <c r="CQ279" s="93" cm="1">
        <f t="array" ref="CQ279">SUMPRODUCT(TRANSPOSE(CQ$4:CQ$20),$G279:$W279)</f>
        <v>70</v>
      </c>
      <c r="CR279" s="93" cm="1">
        <f t="array" ref="CR279">SUMPRODUCT(TRANSPOSE(CR$4:CR$20),$G279:$W279)</f>
        <v>70</v>
      </c>
      <c r="CS279" s="93" cm="1">
        <f t="array" ref="CS279">SUMPRODUCT(TRANSPOSE(CS$4:CS$20),$G279:$W279)</f>
        <v>70</v>
      </c>
      <c r="CT279" s="93" cm="1">
        <f t="array" ref="CT279">SUMPRODUCT(TRANSPOSE(CT$4:CT$20),$G279:$W279)</f>
        <v>70</v>
      </c>
      <c r="CU279" s="93" cm="1">
        <f t="array" ref="CU279">SUMPRODUCT(TRANSPOSE(CU$4:CU$20),$G279:$W279)</f>
        <v>70</v>
      </c>
      <c r="CV279" s="93" cm="1">
        <f t="array" ref="CV279">SUMPRODUCT(TRANSPOSE(CV$4:CV$20),$G279:$W279)</f>
        <v>70</v>
      </c>
      <c r="CW279" s="93" cm="1">
        <f t="array" ref="CW279">SUMPRODUCT(TRANSPOSE(CW$4:CW$20),$G279:$W279)</f>
        <v>70</v>
      </c>
      <c r="CX279" s="93" cm="1">
        <f t="array" ref="CX279">SUMPRODUCT(TRANSPOSE(CX$4:CX$20),$G279:$W279)</f>
        <v>70</v>
      </c>
      <c r="CY279" s="93" cm="1">
        <f t="array" ref="CY279">SUMPRODUCT(TRANSPOSE(CY$4:CY$20),$G279:$W279)</f>
        <v>70</v>
      </c>
      <c r="CZ279" s="93" cm="1">
        <f t="array" ref="CZ279">SUMPRODUCT(TRANSPOSE(CZ$4:CZ$20),$G279:$W279)</f>
        <v>35</v>
      </c>
      <c r="DA279" s="93" cm="1">
        <f t="array" ref="DA279">SUMPRODUCT(TRANSPOSE(DA$4:DA$20),$G279:$W279)</f>
        <v>0</v>
      </c>
      <c r="DB279" s="93" cm="1">
        <f t="array" ref="DB279">SUMPRODUCT(TRANSPOSE(DB$4:DB$20),$G279:$W279)</f>
        <v>0</v>
      </c>
      <c r="DC279" s="93" cm="1">
        <f t="array" ref="DC279">SUMPRODUCT(TRANSPOSE(DC$4:DC$20),$G279:$W279)</f>
        <v>0</v>
      </c>
      <c r="DD279" s="93" cm="1">
        <f t="array" ref="DD279">SUMPRODUCT(TRANSPOSE(DD$4:DD$20),$G279:$W279)</f>
        <v>0</v>
      </c>
      <c r="DE279" s="93" cm="1">
        <f t="array" ref="DE279">SUMPRODUCT(TRANSPOSE(DE$4:DE$20),$G279:$W279)</f>
        <v>0</v>
      </c>
      <c r="DF279" s="93" cm="1">
        <f t="array" ref="DF279">SUMPRODUCT(TRANSPOSE(DF$4:DF$20),$G279:$W279)</f>
        <v>0</v>
      </c>
      <c r="DG279" s="93" cm="1">
        <f t="array" ref="DG279">SUMPRODUCT(TRANSPOSE(DG$4:DG$20),$G279:$W279)</f>
        <v>0</v>
      </c>
      <c r="DH279" s="93" cm="1">
        <f t="array" ref="DH279">SUMPRODUCT(TRANSPOSE(DH$4:DH$20),$G279:$W279)</f>
        <v>0</v>
      </c>
      <c r="DI279" s="93" cm="1">
        <f t="array" ref="DI279">SUMPRODUCT(TRANSPOSE(DI$4:DI$20),$G279:$W279)</f>
        <v>0</v>
      </c>
      <c r="DJ279" s="93" cm="1">
        <f t="array" ref="DJ279">SUMPRODUCT(TRANSPOSE(DJ$4:DJ$20),$G279:$W279)</f>
        <v>0</v>
      </c>
      <c r="DK279" s="93" cm="1">
        <f t="array" ref="DK279">SUMPRODUCT(TRANSPOSE(DK$4:DK$20),$G279:$W279)</f>
        <v>0</v>
      </c>
      <c r="DL279" s="93" cm="1">
        <f t="array" ref="DL279">SUMPRODUCT(TRANSPOSE(DL$4:DL$20),$G279:$W279)</f>
        <v>0</v>
      </c>
      <c r="DM279" s="93" cm="1">
        <f t="array" ref="DM279">SUMPRODUCT(TRANSPOSE(DM$4:DM$20),$G279:$W279)</f>
        <v>0</v>
      </c>
      <c r="DN279" s="93" cm="1">
        <f t="array" ref="DN279">SUMPRODUCT(TRANSPOSE(DN$4:DN$20),$G279:$W279)</f>
        <v>0</v>
      </c>
      <c r="DO279" s="93" cm="1">
        <f t="array" ref="DO279">SUMPRODUCT(TRANSPOSE(DO$4:DO$20),$G279:$W279)</f>
        <v>0</v>
      </c>
    </row>
    <row r="280" spans="1:119" x14ac:dyDescent="0.2">
      <c r="A280" s="45">
        <f t="shared" si="30"/>
        <v>259</v>
      </c>
      <c r="B280" s="46" t="s">
        <v>636</v>
      </c>
      <c r="C280" s="45">
        <v>521362392</v>
      </c>
      <c r="D280" s="45" t="s">
        <v>606</v>
      </c>
      <c r="E280" s="45" t="s">
        <v>162</v>
      </c>
      <c r="F280" s="48">
        <v>1</v>
      </c>
      <c r="G280" s="100">
        <v>0</v>
      </c>
      <c r="H280" s="100">
        <v>0</v>
      </c>
      <c r="I280" s="100">
        <v>0</v>
      </c>
      <c r="J280" s="100">
        <v>0</v>
      </c>
      <c r="K280" s="100">
        <v>0</v>
      </c>
      <c r="L280" s="100">
        <v>0</v>
      </c>
      <c r="M280" s="100">
        <v>0</v>
      </c>
      <c r="N280" s="100">
        <v>0</v>
      </c>
      <c r="O280" s="100">
        <v>0</v>
      </c>
      <c r="P280" s="100">
        <v>0</v>
      </c>
      <c r="Q280" s="100">
        <v>0</v>
      </c>
      <c r="R280" s="100">
        <v>0</v>
      </c>
      <c r="S280" s="100">
        <v>0</v>
      </c>
      <c r="T280" s="100">
        <v>0</v>
      </c>
      <c r="U280" s="100">
        <v>0</v>
      </c>
      <c r="V280" s="100">
        <v>0</v>
      </c>
      <c r="W280" s="100">
        <v>5</v>
      </c>
      <c r="X280" s="45" t="s">
        <v>24</v>
      </c>
      <c r="Y280" s="49">
        <v>0.23899999999999999</v>
      </c>
      <c r="Z280" s="45">
        <v>1200</v>
      </c>
      <c r="AA280" s="45">
        <v>0</v>
      </c>
      <c r="AB280" s="45">
        <v>0</v>
      </c>
      <c r="AC280" s="45">
        <v>0</v>
      </c>
      <c r="AD280" s="45">
        <v>0</v>
      </c>
      <c r="AE280" s="45">
        <v>0</v>
      </c>
      <c r="AF280" s="45">
        <v>0</v>
      </c>
      <c r="AG280" s="45">
        <v>0</v>
      </c>
      <c r="AH280" s="45">
        <v>0</v>
      </c>
      <c r="AI280" s="45">
        <v>0</v>
      </c>
      <c r="AJ280" s="45">
        <v>0</v>
      </c>
      <c r="AK280" s="45">
        <v>0</v>
      </c>
      <c r="AL280" s="45">
        <v>0</v>
      </c>
      <c r="AM280" s="45">
        <v>0</v>
      </c>
      <c r="AN280" s="45">
        <v>0</v>
      </c>
      <c r="AO280" s="45"/>
      <c r="AP280" s="45"/>
      <c r="AQ280" s="45"/>
      <c r="AR280" s="45"/>
      <c r="AS280" s="45"/>
      <c r="AT280" s="45"/>
      <c r="AU280" s="45"/>
      <c r="AV280" s="45"/>
      <c r="AW280" s="45"/>
      <c r="AX280" s="45"/>
      <c r="AY280" s="45"/>
      <c r="AZ280" s="45"/>
      <c r="BA280" s="45"/>
      <c r="BB280" s="45"/>
      <c r="BC280" s="45"/>
      <c r="BD280" s="93"/>
      <c r="BE280" s="93"/>
      <c r="BF280" s="93"/>
      <c r="BG280" s="93"/>
      <c r="BH280" s="93"/>
      <c r="BI280" s="93"/>
      <c r="BJ280" s="93"/>
      <c r="BK280" s="93">
        <f>SUM($Z280:AD280)-SUM($CM280:CQ280)</f>
        <v>1120</v>
      </c>
      <c r="BL280" s="93">
        <f>SUM($Z280:AE280)-SUM($CM280:CR280)</f>
        <v>1040</v>
      </c>
      <c r="BM280" s="93">
        <f>SUM($Z280:AF280)-SUM($CM280:CS280)</f>
        <v>960</v>
      </c>
      <c r="BN280" s="93">
        <f>SUM($Z280:AG280)-SUM($CM280:CT280)</f>
        <v>880</v>
      </c>
      <c r="BO280" s="93">
        <f>SUM($Z280:AH280)-SUM($CM280:CU280)</f>
        <v>800</v>
      </c>
      <c r="BP280" s="93">
        <f>SUM($Z280:AI280)-SUM($CM280:CV280)</f>
        <v>720</v>
      </c>
      <c r="BQ280" s="93">
        <f>SUM($Z280:AJ280)-SUM($CM280:CW280)</f>
        <v>640</v>
      </c>
      <c r="BR280" s="93">
        <f>SUM($Z280:AK280)-SUM($CM280:CX280)</f>
        <v>560</v>
      </c>
      <c r="BS280" s="93">
        <f>SUM($Z280:AL280)-SUM($CM280:CY280)</f>
        <v>560</v>
      </c>
      <c r="BT280" s="93">
        <f>SUM($Z280:AM280)-SUM($CM280:CZ280)</f>
        <v>560</v>
      </c>
      <c r="BU280" s="93">
        <f>SUM($Z280:AN280)-SUM($CM280:DA280)</f>
        <v>560</v>
      </c>
      <c r="BV280" s="93">
        <f>SUM($Z280:AO280)-SUM($CM280:DB280)</f>
        <v>560</v>
      </c>
      <c r="BW280" s="93">
        <f>SUM($Z280:AP280)-SUM($CM280:DC280)</f>
        <v>560</v>
      </c>
      <c r="BX280" s="93">
        <f>SUM($Z280:AQ280)-SUM($CM280:DD280)</f>
        <v>560</v>
      </c>
      <c r="BY280" s="93">
        <f>SUM($Z280:AR280)-SUM($CM280:DE280)</f>
        <v>560</v>
      </c>
      <c r="BZ280" s="93">
        <f>SUM($Z280:AS280)-SUM($CM280:DF280)</f>
        <v>560</v>
      </c>
      <c r="CA280" s="93">
        <f>SUM($Z280:AT280)-SUM($CM280:DG280)</f>
        <v>560</v>
      </c>
      <c r="CB280" s="93">
        <f>SUM($Z280:AU280)-SUM($CM280:DH280)</f>
        <v>560</v>
      </c>
      <c r="CC280" s="93">
        <f>SUM($Z280:AV280)-SUM($CM280:DI280)</f>
        <v>560</v>
      </c>
      <c r="CD280" s="93">
        <f>SUM($Z280:AW280)-SUM($CM280:DJ280)</f>
        <v>560</v>
      </c>
      <c r="CE280" s="93">
        <f>SUM($Z280:AX280)-SUM($CM280:DK280)</f>
        <v>560</v>
      </c>
      <c r="CF280" s="93">
        <f>SUM($Z280:AY280)-SUM($CM280:DL280)</f>
        <v>560</v>
      </c>
      <c r="CG280" s="93">
        <f>SUM($Z280:AZ280)-SUM($CM280:DM280)</f>
        <v>560</v>
      </c>
      <c r="CH280" s="93">
        <f>SUM($Z280:BA280)-SUM($CM280:DN280)</f>
        <v>560</v>
      </c>
      <c r="CI280" s="93">
        <f>SUM($Z280:BB280)-SUM($CM280:DO280)</f>
        <v>560</v>
      </c>
      <c r="CJ280" s="93"/>
      <c r="CK280" s="93"/>
      <c r="CL280" s="93"/>
      <c r="CM280" s="93"/>
      <c r="CN280" s="93" cm="1">
        <f t="array" ref="CN280">SUMPRODUCT(TRANSPOSE(CN$4:CN$20),$G280:$W280)</f>
        <v>0</v>
      </c>
      <c r="CO280" s="93" cm="1">
        <f t="array" ref="CO280">SUMPRODUCT(TRANSPOSE(CO$4:CO$20),$G280:$W280)</f>
        <v>0</v>
      </c>
      <c r="CP280" s="93" cm="1">
        <f t="array" ref="CP280">SUMPRODUCT(TRANSPOSE(CP$4:CP$20),$G280:$W280)</f>
        <v>0</v>
      </c>
      <c r="CQ280" s="93" cm="1">
        <f t="array" ref="CQ280">SUMPRODUCT(TRANSPOSE(CQ$4:CQ$20),$G280:$W280)</f>
        <v>80</v>
      </c>
      <c r="CR280" s="93" cm="1">
        <f t="array" ref="CR280">SUMPRODUCT(TRANSPOSE(CR$4:CR$20),$G280:$W280)</f>
        <v>80</v>
      </c>
      <c r="CS280" s="93" cm="1">
        <f t="array" ref="CS280">SUMPRODUCT(TRANSPOSE(CS$4:CS$20),$G280:$W280)</f>
        <v>80</v>
      </c>
      <c r="CT280" s="93" cm="1">
        <f t="array" ref="CT280">SUMPRODUCT(TRANSPOSE(CT$4:CT$20),$G280:$W280)</f>
        <v>80</v>
      </c>
      <c r="CU280" s="93" cm="1">
        <f t="array" ref="CU280">SUMPRODUCT(TRANSPOSE(CU$4:CU$20),$G280:$W280)</f>
        <v>80</v>
      </c>
      <c r="CV280" s="93" cm="1">
        <f t="array" ref="CV280">SUMPRODUCT(TRANSPOSE(CV$4:CV$20),$G280:$W280)</f>
        <v>80</v>
      </c>
      <c r="CW280" s="93" cm="1">
        <f t="array" ref="CW280">SUMPRODUCT(TRANSPOSE(CW$4:CW$20),$G280:$W280)</f>
        <v>80</v>
      </c>
      <c r="CX280" s="93" cm="1">
        <f t="array" ref="CX280">SUMPRODUCT(TRANSPOSE(CX$4:CX$20),$G280:$W280)</f>
        <v>80</v>
      </c>
      <c r="CY280" s="93" cm="1">
        <f t="array" ref="CY280">SUMPRODUCT(TRANSPOSE(CY$4:CY$20),$G280:$W280)</f>
        <v>0</v>
      </c>
      <c r="CZ280" s="93" cm="1">
        <f t="array" ref="CZ280">SUMPRODUCT(TRANSPOSE(CZ$4:CZ$20),$G280:$W280)</f>
        <v>0</v>
      </c>
      <c r="DA280" s="93" cm="1">
        <f t="array" ref="DA280">SUMPRODUCT(TRANSPOSE(DA$4:DA$20),$G280:$W280)</f>
        <v>0</v>
      </c>
      <c r="DB280" s="93" cm="1">
        <f t="array" ref="DB280">SUMPRODUCT(TRANSPOSE(DB$4:DB$20),$G280:$W280)</f>
        <v>0</v>
      </c>
      <c r="DC280" s="93" cm="1">
        <f t="array" ref="DC280">SUMPRODUCT(TRANSPOSE(DC$4:DC$20),$G280:$W280)</f>
        <v>0</v>
      </c>
      <c r="DD280" s="93" cm="1">
        <f t="array" ref="DD280">SUMPRODUCT(TRANSPOSE(DD$4:DD$20),$G280:$W280)</f>
        <v>0</v>
      </c>
      <c r="DE280" s="93" cm="1">
        <f t="array" ref="DE280">SUMPRODUCT(TRANSPOSE(DE$4:DE$20),$G280:$W280)</f>
        <v>0</v>
      </c>
      <c r="DF280" s="93" cm="1">
        <f t="array" ref="DF280">SUMPRODUCT(TRANSPOSE(DF$4:DF$20),$G280:$W280)</f>
        <v>0</v>
      </c>
      <c r="DG280" s="93" cm="1">
        <f t="array" ref="DG280">SUMPRODUCT(TRANSPOSE(DG$4:DG$20),$G280:$W280)</f>
        <v>0</v>
      </c>
      <c r="DH280" s="93" cm="1">
        <f t="array" ref="DH280">SUMPRODUCT(TRANSPOSE(DH$4:DH$20),$G280:$W280)</f>
        <v>0</v>
      </c>
      <c r="DI280" s="93" cm="1">
        <f t="array" ref="DI280">SUMPRODUCT(TRANSPOSE(DI$4:DI$20),$G280:$W280)</f>
        <v>0</v>
      </c>
      <c r="DJ280" s="93" cm="1">
        <f t="array" ref="DJ280">SUMPRODUCT(TRANSPOSE(DJ$4:DJ$20),$G280:$W280)</f>
        <v>0</v>
      </c>
      <c r="DK280" s="93" cm="1">
        <f t="array" ref="DK280">SUMPRODUCT(TRANSPOSE(DK$4:DK$20),$G280:$W280)</f>
        <v>0</v>
      </c>
      <c r="DL280" s="93" cm="1">
        <f t="array" ref="DL280">SUMPRODUCT(TRANSPOSE(DL$4:DL$20),$G280:$W280)</f>
        <v>0</v>
      </c>
      <c r="DM280" s="93" cm="1">
        <f t="array" ref="DM280">SUMPRODUCT(TRANSPOSE(DM$4:DM$20),$G280:$W280)</f>
        <v>0</v>
      </c>
      <c r="DN280" s="93" cm="1">
        <f t="array" ref="DN280">SUMPRODUCT(TRANSPOSE(DN$4:DN$20),$G280:$W280)</f>
        <v>0</v>
      </c>
      <c r="DO280" s="93" cm="1">
        <f t="array" ref="DO280">SUMPRODUCT(TRANSPOSE(DO$4:DO$20),$G280:$W280)</f>
        <v>0</v>
      </c>
    </row>
    <row r="281" spans="1:119" x14ac:dyDescent="0.2">
      <c r="A281" s="45">
        <f t="shared" si="30"/>
        <v>260</v>
      </c>
      <c r="B281" s="46" t="s">
        <v>637</v>
      </c>
      <c r="C281" s="45">
        <v>512219262</v>
      </c>
      <c r="D281" s="45" t="s">
        <v>606</v>
      </c>
      <c r="E281" s="45" t="s">
        <v>162</v>
      </c>
      <c r="F281" s="48">
        <v>2</v>
      </c>
      <c r="G281" s="100">
        <v>0</v>
      </c>
      <c r="H281" s="100">
        <v>0</v>
      </c>
      <c r="I281" s="100">
        <v>0</v>
      </c>
      <c r="J281" s="100">
        <v>0</v>
      </c>
      <c r="K281" s="100">
        <v>0</v>
      </c>
      <c r="L281" s="100">
        <v>0</v>
      </c>
      <c r="M281" s="100">
        <v>0</v>
      </c>
      <c r="N281" s="100">
        <v>0</v>
      </c>
      <c r="O281" s="100">
        <v>7</v>
      </c>
      <c r="P281" s="100">
        <v>0</v>
      </c>
      <c r="Q281" s="100">
        <v>0</v>
      </c>
      <c r="R281" s="100">
        <v>0</v>
      </c>
      <c r="S281" s="100">
        <v>0</v>
      </c>
      <c r="T281" s="100">
        <v>0</v>
      </c>
      <c r="U281" s="100">
        <v>0</v>
      </c>
      <c r="V281" s="100">
        <v>0</v>
      </c>
      <c r="W281" s="100">
        <v>0</v>
      </c>
      <c r="X281" s="45" t="s">
        <v>24</v>
      </c>
      <c r="Y281" s="49">
        <v>0.12</v>
      </c>
      <c r="Z281" s="45">
        <v>3849</v>
      </c>
      <c r="AA281" s="45">
        <v>0</v>
      </c>
      <c r="AB281" s="45">
        <v>0</v>
      </c>
      <c r="AC281" s="45">
        <v>0</v>
      </c>
      <c r="AD281" s="45">
        <v>0</v>
      </c>
      <c r="AE281" s="45">
        <v>0</v>
      </c>
      <c r="AF281" s="45">
        <v>0</v>
      </c>
      <c r="AG281" s="45">
        <v>0</v>
      </c>
      <c r="AH281" s="45">
        <v>0</v>
      </c>
      <c r="AI281" s="45">
        <v>0</v>
      </c>
      <c r="AJ281" s="45">
        <v>0</v>
      </c>
      <c r="AK281" s="45">
        <v>0</v>
      </c>
      <c r="AL281" s="45">
        <v>0</v>
      </c>
      <c r="AM281" s="45">
        <v>0</v>
      </c>
      <c r="AN281" s="45">
        <v>0</v>
      </c>
      <c r="AO281" s="45"/>
      <c r="AP281" s="45"/>
      <c r="AQ281" s="45"/>
      <c r="AR281" s="45"/>
      <c r="AS281" s="45"/>
      <c r="AT281" s="45"/>
      <c r="AU281" s="45"/>
      <c r="AV281" s="45"/>
      <c r="AW281" s="45"/>
      <c r="AX281" s="45"/>
      <c r="AY281" s="45"/>
      <c r="AZ281" s="45"/>
      <c r="BA281" s="45"/>
      <c r="BB281" s="45"/>
      <c r="BC281" s="45"/>
      <c r="BD281" s="93"/>
      <c r="BE281" s="93"/>
      <c r="BF281" s="93"/>
      <c r="BG281" s="93"/>
      <c r="BH281" s="93"/>
      <c r="BI281" s="93"/>
      <c r="BJ281" s="93"/>
      <c r="BK281" s="93">
        <f>SUM($Z281:AD281)-SUM($CM281:CQ281)</f>
        <v>3604</v>
      </c>
      <c r="BL281" s="93">
        <f>SUM($Z281:AE281)-SUM($CM281:CR281)</f>
        <v>3359</v>
      </c>
      <c r="BM281" s="93">
        <f>SUM($Z281:AF281)-SUM($CM281:CS281)</f>
        <v>3114</v>
      </c>
      <c r="BN281" s="93">
        <f>SUM($Z281:AG281)-SUM($CM281:CT281)</f>
        <v>2904</v>
      </c>
      <c r="BO281" s="93">
        <f>SUM($Z281:AH281)-SUM($CM281:CU281)</f>
        <v>2694</v>
      </c>
      <c r="BP281" s="93">
        <f>SUM($Z281:AI281)-SUM($CM281:CV281)</f>
        <v>2484</v>
      </c>
      <c r="BQ281" s="93">
        <f>SUM($Z281:AJ281)-SUM($CM281:CW281)</f>
        <v>2274</v>
      </c>
      <c r="BR281" s="93">
        <f>SUM($Z281:AK281)-SUM($CM281:CX281)</f>
        <v>2064</v>
      </c>
      <c r="BS281" s="93">
        <f>SUM($Z281:AL281)-SUM($CM281:CY281)</f>
        <v>1854</v>
      </c>
      <c r="BT281" s="93">
        <f>SUM($Z281:AM281)-SUM($CM281:CZ281)</f>
        <v>1644</v>
      </c>
      <c r="BU281" s="93">
        <f>SUM($Z281:AN281)-SUM($CM281:DA281)</f>
        <v>1434</v>
      </c>
      <c r="BV281" s="93">
        <f>SUM($Z281:AO281)-SUM($CM281:DB281)</f>
        <v>1336</v>
      </c>
      <c r="BW281" s="93">
        <f>SUM($Z281:AP281)-SUM($CM281:DC281)</f>
        <v>1336</v>
      </c>
      <c r="BX281" s="93">
        <f>SUM($Z281:AQ281)-SUM($CM281:DD281)</f>
        <v>1336</v>
      </c>
      <c r="BY281" s="93">
        <f>SUM($Z281:AR281)-SUM($CM281:DE281)</f>
        <v>1336</v>
      </c>
      <c r="BZ281" s="93">
        <f>SUM($Z281:AS281)-SUM($CM281:DF281)</f>
        <v>1336</v>
      </c>
      <c r="CA281" s="93">
        <f>SUM($Z281:AT281)-SUM($CM281:DG281)</f>
        <v>1336</v>
      </c>
      <c r="CB281" s="93">
        <f>SUM($Z281:AU281)-SUM($CM281:DH281)</f>
        <v>1336</v>
      </c>
      <c r="CC281" s="93">
        <f>SUM($Z281:AV281)-SUM($CM281:DI281)</f>
        <v>1336</v>
      </c>
      <c r="CD281" s="93">
        <f>SUM($Z281:AW281)-SUM($CM281:DJ281)</f>
        <v>1336</v>
      </c>
      <c r="CE281" s="93">
        <f>SUM($Z281:AX281)-SUM($CM281:DK281)</f>
        <v>1336</v>
      </c>
      <c r="CF281" s="93">
        <f>SUM($Z281:AY281)-SUM($CM281:DL281)</f>
        <v>1336</v>
      </c>
      <c r="CG281" s="93">
        <f>SUM($Z281:AZ281)-SUM($CM281:DM281)</f>
        <v>1336</v>
      </c>
      <c r="CH281" s="93">
        <f>SUM($Z281:BA281)-SUM($CM281:DN281)</f>
        <v>1336</v>
      </c>
      <c r="CI281" s="93">
        <f>SUM($Z281:BB281)-SUM($CM281:DO281)</f>
        <v>1336</v>
      </c>
      <c r="CJ281" s="93"/>
      <c r="CK281" s="93"/>
      <c r="CL281" s="93"/>
      <c r="CM281" s="93"/>
      <c r="CN281" s="93" cm="1">
        <f t="array" ref="CN281">SUMPRODUCT(TRANSPOSE(CN$4:CN$20),$G281:$W281)</f>
        <v>0</v>
      </c>
      <c r="CO281" s="93" cm="1">
        <f t="array" ref="CO281">SUMPRODUCT(TRANSPOSE(CO$4:CO$20),$G281:$W281)</f>
        <v>0</v>
      </c>
      <c r="CP281" s="93" cm="1">
        <f t="array" ref="CP281">SUMPRODUCT(TRANSPOSE(CP$4:CP$20),$G281:$W281)</f>
        <v>0</v>
      </c>
      <c r="CQ281" s="93" cm="1">
        <f t="array" ref="CQ281">SUMPRODUCT(TRANSPOSE(CQ$4:CQ$20),$G281:$W281)</f>
        <v>245</v>
      </c>
      <c r="CR281" s="93" cm="1">
        <f t="array" ref="CR281">SUMPRODUCT(TRANSPOSE(CR$4:CR$20),$G281:$W281)</f>
        <v>245</v>
      </c>
      <c r="CS281" s="93" cm="1">
        <f t="array" ref="CS281">SUMPRODUCT(TRANSPOSE(CS$4:CS$20),$G281:$W281)</f>
        <v>245</v>
      </c>
      <c r="CT281" s="93" cm="1">
        <f t="array" ref="CT281">SUMPRODUCT(TRANSPOSE(CT$4:CT$20),$G281:$W281)</f>
        <v>210</v>
      </c>
      <c r="CU281" s="93" cm="1">
        <f t="array" ref="CU281">SUMPRODUCT(TRANSPOSE(CU$4:CU$20),$G281:$W281)</f>
        <v>210</v>
      </c>
      <c r="CV281" s="93" cm="1">
        <f t="array" ref="CV281">SUMPRODUCT(TRANSPOSE(CV$4:CV$20),$G281:$W281)</f>
        <v>210</v>
      </c>
      <c r="CW281" s="93" cm="1">
        <f t="array" ref="CW281">SUMPRODUCT(TRANSPOSE(CW$4:CW$20),$G281:$W281)</f>
        <v>210</v>
      </c>
      <c r="CX281" s="93" cm="1">
        <f t="array" ref="CX281">SUMPRODUCT(TRANSPOSE(CX$4:CX$20),$G281:$W281)</f>
        <v>210</v>
      </c>
      <c r="CY281" s="93" cm="1">
        <f t="array" ref="CY281">SUMPRODUCT(TRANSPOSE(CY$4:CY$20),$G281:$W281)</f>
        <v>210</v>
      </c>
      <c r="CZ281" s="93" cm="1">
        <f t="array" ref="CZ281">SUMPRODUCT(TRANSPOSE(CZ$4:CZ$20),$G281:$W281)</f>
        <v>210</v>
      </c>
      <c r="DA281" s="93" cm="1">
        <f t="array" ref="DA281">SUMPRODUCT(TRANSPOSE(DA$4:DA$20),$G281:$W281)</f>
        <v>210</v>
      </c>
      <c r="DB281" s="93" cm="1">
        <f t="array" ref="DB281">SUMPRODUCT(TRANSPOSE(DB$4:DB$20),$G281:$W281)</f>
        <v>98</v>
      </c>
      <c r="DC281" s="93" cm="1">
        <f t="array" ref="DC281">SUMPRODUCT(TRANSPOSE(DC$4:DC$20),$G281:$W281)</f>
        <v>0</v>
      </c>
      <c r="DD281" s="93" cm="1">
        <f t="array" ref="DD281">SUMPRODUCT(TRANSPOSE(DD$4:DD$20),$G281:$W281)</f>
        <v>0</v>
      </c>
      <c r="DE281" s="93" cm="1">
        <f t="array" ref="DE281">SUMPRODUCT(TRANSPOSE(DE$4:DE$20),$G281:$W281)</f>
        <v>0</v>
      </c>
      <c r="DF281" s="93" cm="1">
        <f t="array" ref="DF281">SUMPRODUCT(TRANSPOSE(DF$4:DF$20),$G281:$W281)</f>
        <v>0</v>
      </c>
      <c r="DG281" s="93" cm="1">
        <f t="array" ref="DG281">SUMPRODUCT(TRANSPOSE(DG$4:DG$20),$G281:$W281)</f>
        <v>0</v>
      </c>
      <c r="DH281" s="93" cm="1">
        <f t="array" ref="DH281">SUMPRODUCT(TRANSPOSE(DH$4:DH$20),$G281:$W281)</f>
        <v>0</v>
      </c>
      <c r="DI281" s="93" cm="1">
        <f t="array" ref="DI281">SUMPRODUCT(TRANSPOSE(DI$4:DI$20),$G281:$W281)</f>
        <v>0</v>
      </c>
      <c r="DJ281" s="93" cm="1">
        <f t="array" ref="DJ281">SUMPRODUCT(TRANSPOSE(DJ$4:DJ$20),$G281:$W281)</f>
        <v>0</v>
      </c>
      <c r="DK281" s="93" cm="1">
        <f t="array" ref="DK281">SUMPRODUCT(TRANSPOSE(DK$4:DK$20),$G281:$W281)</f>
        <v>0</v>
      </c>
      <c r="DL281" s="93" cm="1">
        <f t="array" ref="DL281">SUMPRODUCT(TRANSPOSE(DL$4:DL$20),$G281:$W281)</f>
        <v>0</v>
      </c>
      <c r="DM281" s="93" cm="1">
        <f t="array" ref="DM281">SUMPRODUCT(TRANSPOSE(DM$4:DM$20),$G281:$W281)</f>
        <v>0</v>
      </c>
      <c r="DN281" s="93" cm="1">
        <f t="array" ref="DN281">SUMPRODUCT(TRANSPOSE(DN$4:DN$20),$G281:$W281)</f>
        <v>0</v>
      </c>
      <c r="DO281" s="93" cm="1">
        <f t="array" ref="DO281">SUMPRODUCT(TRANSPOSE(DO$4:DO$20),$G281:$W281)</f>
        <v>0</v>
      </c>
    </row>
    <row r="282" spans="1:119" x14ac:dyDescent="0.2">
      <c r="A282" s="45">
        <f t="shared" si="30"/>
        <v>261</v>
      </c>
      <c r="B282" s="46" t="s">
        <v>638</v>
      </c>
      <c r="C282" s="45">
        <v>511261935</v>
      </c>
      <c r="D282" s="45" t="s">
        <v>639</v>
      </c>
      <c r="E282" s="45" t="s">
        <v>162</v>
      </c>
      <c r="F282" s="48">
        <v>2</v>
      </c>
      <c r="G282" s="100">
        <v>0</v>
      </c>
      <c r="H282" s="100">
        <v>0</v>
      </c>
      <c r="I282" s="100">
        <v>0</v>
      </c>
      <c r="J282" s="100">
        <v>0</v>
      </c>
      <c r="K282" s="100">
        <v>0</v>
      </c>
      <c r="L282" s="100">
        <v>0</v>
      </c>
      <c r="M282" s="100">
        <v>0</v>
      </c>
      <c r="N282" s="100">
        <v>0</v>
      </c>
      <c r="O282" s="100">
        <v>0</v>
      </c>
      <c r="P282" s="100">
        <v>0</v>
      </c>
      <c r="Q282" s="100">
        <v>0</v>
      </c>
      <c r="R282" s="100">
        <v>0</v>
      </c>
      <c r="S282" s="100">
        <v>0</v>
      </c>
      <c r="T282" s="100">
        <v>0</v>
      </c>
      <c r="U282" s="100">
        <v>0</v>
      </c>
      <c r="V282" s="100">
        <v>0</v>
      </c>
      <c r="W282" s="100">
        <v>22</v>
      </c>
      <c r="X282" s="45" t="s">
        <v>24</v>
      </c>
      <c r="Y282" s="49">
        <v>1.75</v>
      </c>
      <c r="Z282" s="45">
        <v>5100</v>
      </c>
      <c r="AA282" s="45">
        <v>0</v>
      </c>
      <c r="AB282" s="45">
        <v>0</v>
      </c>
      <c r="AC282" s="45">
        <v>0</v>
      </c>
      <c r="AD282" s="45">
        <v>0</v>
      </c>
      <c r="AE282" s="45">
        <v>0</v>
      </c>
      <c r="AF282" s="45">
        <v>0</v>
      </c>
      <c r="AG282" s="45">
        <v>0</v>
      </c>
      <c r="AH282" s="45">
        <v>0</v>
      </c>
      <c r="AI282" s="45">
        <v>0</v>
      </c>
      <c r="AJ282" s="45">
        <v>0</v>
      </c>
      <c r="AK282" s="45">
        <v>0</v>
      </c>
      <c r="AL282" s="45">
        <v>0</v>
      </c>
      <c r="AM282" s="45">
        <v>0</v>
      </c>
      <c r="AN282" s="45">
        <v>0</v>
      </c>
      <c r="AO282" s="45"/>
      <c r="AP282" s="45"/>
      <c r="AQ282" s="45"/>
      <c r="AR282" s="45"/>
      <c r="AS282" s="45"/>
      <c r="AT282" s="45"/>
      <c r="AU282" s="45"/>
      <c r="AV282" s="45"/>
      <c r="AW282" s="45"/>
      <c r="AX282" s="45"/>
      <c r="AY282" s="45"/>
      <c r="AZ282" s="45"/>
      <c r="BA282" s="45"/>
      <c r="BB282" s="45"/>
      <c r="BC282" s="45"/>
      <c r="BD282" s="93"/>
      <c r="BE282" s="93"/>
      <c r="BF282" s="93"/>
      <c r="BG282" s="93"/>
      <c r="BH282" s="93"/>
      <c r="BI282" s="93"/>
      <c r="BJ282" s="93"/>
      <c r="BK282" s="93">
        <f>SUM($Z282:AD282)-SUM($CM282:CQ282)</f>
        <v>4748</v>
      </c>
      <c r="BL282" s="93">
        <f>SUM($Z282:AE282)-SUM($CM282:CR282)</f>
        <v>4396</v>
      </c>
      <c r="BM282" s="93">
        <f>SUM($Z282:AF282)-SUM($CM282:CS282)</f>
        <v>4044</v>
      </c>
      <c r="BN282" s="93">
        <f>SUM($Z282:AG282)-SUM($CM282:CT282)</f>
        <v>3692</v>
      </c>
      <c r="BO282" s="93">
        <f>SUM($Z282:AH282)-SUM($CM282:CU282)</f>
        <v>3340</v>
      </c>
      <c r="BP282" s="93">
        <f>SUM($Z282:AI282)-SUM($CM282:CV282)</f>
        <v>2988</v>
      </c>
      <c r="BQ282" s="93">
        <f>SUM($Z282:AJ282)-SUM($CM282:CW282)</f>
        <v>2636</v>
      </c>
      <c r="BR282" s="93">
        <f>SUM($Z282:AK282)-SUM($CM282:CX282)</f>
        <v>2284</v>
      </c>
      <c r="BS282" s="93">
        <f>SUM($Z282:AL282)-SUM($CM282:CY282)</f>
        <v>2284</v>
      </c>
      <c r="BT282" s="93">
        <f>SUM($Z282:AM282)-SUM($CM282:CZ282)</f>
        <v>2284</v>
      </c>
      <c r="BU282" s="93">
        <f>SUM($Z282:AN282)-SUM($CM282:DA282)</f>
        <v>2284</v>
      </c>
      <c r="BV282" s="93">
        <f>SUM($Z282:AO282)-SUM($CM282:DB282)</f>
        <v>2284</v>
      </c>
      <c r="BW282" s="93">
        <f>SUM($Z282:AP282)-SUM($CM282:DC282)</f>
        <v>2284</v>
      </c>
      <c r="BX282" s="93">
        <f>SUM($Z282:AQ282)-SUM($CM282:DD282)</f>
        <v>2284</v>
      </c>
      <c r="BY282" s="93">
        <f>SUM($Z282:AR282)-SUM($CM282:DE282)</f>
        <v>2284</v>
      </c>
      <c r="BZ282" s="93">
        <f>SUM($Z282:AS282)-SUM($CM282:DF282)</f>
        <v>2284</v>
      </c>
      <c r="CA282" s="93">
        <f>SUM($Z282:AT282)-SUM($CM282:DG282)</f>
        <v>2284</v>
      </c>
      <c r="CB282" s="93">
        <f>SUM($Z282:AU282)-SUM($CM282:DH282)</f>
        <v>2284</v>
      </c>
      <c r="CC282" s="93">
        <f>SUM($Z282:AV282)-SUM($CM282:DI282)</f>
        <v>2284</v>
      </c>
      <c r="CD282" s="93">
        <f>SUM($Z282:AW282)-SUM($CM282:DJ282)</f>
        <v>2284</v>
      </c>
      <c r="CE282" s="93">
        <f>SUM($Z282:AX282)-SUM($CM282:DK282)</f>
        <v>2284</v>
      </c>
      <c r="CF282" s="93">
        <f>SUM($Z282:AY282)-SUM($CM282:DL282)</f>
        <v>2284</v>
      </c>
      <c r="CG282" s="93">
        <f>SUM($Z282:AZ282)-SUM($CM282:DM282)</f>
        <v>2284</v>
      </c>
      <c r="CH282" s="93">
        <f>SUM($Z282:BA282)-SUM($CM282:DN282)</f>
        <v>2284</v>
      </c>
      <c r="CI282" s="93">
        <f>SUM($Z282:BB282)-SUM($CM282:DO282)</f>
        <v>2284</v>
      </c>
      <c r="CJ282" s="93"/>
      <c r="CK282" s="93"/>
      <c r="CL282" s="93"/>
      <c r="CM282" s="93"/>
      <c r="CN282" s="93" cm="1">
        <f t="array" ref="CN282">SUMPRODUCT(TRANSPOSE(CN$4:CN$20),$G282:$W282)</f>
        <v>0</v>
      </c>
      <c r="CO282" s="93" cm="1">
        <f t="array" ref="CO282">SUMPRODUCT(TRANSPOSE(CO$4:CO$20),$G282:$W282)</f>
        <v>0</v>
      </c>
      <c r="CP282" s="93" cm="1">
        <f t="array" ref="CP282">SUMPRODUCT(TRANSPOSE(CP$4:CP$20),$G282:$W282)</f>
        <v>0</v>
      </c>
      <c r="CQ282" s="93" cm="1">
        <f t="array" ref="CQ282">SUMPRODUCT(TRANSPOSE(CQ$4:CQ$20),$G282:$W282)</f>
        <v>352</v>
      </c>
      <c r="CR282" s="93" cm="1">
        <f t="array" ref="CR282">SUMPRODUCT(TRANSPOSE(CR$4:CR$20),$G282:$W282)</f>
        <v>352</v>
      </c>
      <c r="CS282" s="93" cm="1">
        <f t="array" ref="CS282">SUMPRODUCT(TRANSPOSE(CS$4:CS$20),$G282:$W282)</f>
        <v>352</v>
      </c>
      <c r="CT282" s="93" cm="1">
        <f t="array" ref="CT282">SUMPRODUCT(TRANSPOSE(CT$4:CT$20),$G282:$W282)</f>
        <v>352</v>
      </c>
      <c r="CU282" s="93" cm="1">
        <f t="array" ref="CU282">SUMPRODUCT(TRANSPOSE(CU$4:CU$20),$G282:$W282)</f>
        <v>352</v>
      </c>
      <c r="CV282" s="93" cm="1">
        <f t="array" ref="CV282">SUMPRODUCT(TRANSPOSE(CV$4:CV$20),$G282:$W282)</f>
        <v>352</v>
      </c>
      <c r="CW282" s="93" cm="1">
        <f t="array" ref="CW282">SUMPRODUCT(TRANSPOSE(CW$4:CW$20),$G282:$W282)</f>
        <v>352</v>
      </c>
      <c r="CX282" s="93" cm="1">
        <f t="array" ref="CX282">SUMPRODUCT(TRANSPOSE(CX$4:CX$20),$G282:$W282)</f>
        <v>352</v>
      </c>
      <c r="CY282" s="93" cm="1">
        <f t="array" ref="CY282">SUMPRODUCT(TRANSPOSE(CY$4:CY$20),$G282:$W282)</f>
        <v>0</v>
      </c>
      <c r="CZ282" s="93" cm="1">
        <f t="array" ref="CZ282">SUMPRODUCT(TRANSPOSE(CZ$4:CZ$20),$G282:$W282)</f>
        <v>0</v>
      </c>
      <c r="DA282" s="93" cm="1">
        <f t="array" ref="DA282">SUMPRODUCT(TRANSPOSE(DA$4:DA$20),$G282:$W282)</f>
        <v>0</v>
      </c>
      <c r="DB282" s="93" cm="1">
        <f t="array" ref="DB282">SUMPRODUCT(TRANSPOSE(DB$4:DB$20),$G282:$W282)</f>
        <v>0</v>
      </c>
      <c r="DC282" s="93" cm="1">
        <f t="array" ref="DC282">SUMPRODUCT(TRANSPOSE(DC$4:DC$20),$G282:$W282)</f>
        <v>0</v>
      </c>
      <c r="DD282" s="93" cm="1">
        <f t="array" ref="DD282">SUMPRODUCT(TRANSPOSE(DD$4:DD$20),$G282:$W282)</f>
        <v>0</v>
      </c>
      <c r="DE282" s="93" cm="1">
        <f t="array" ref="DE282">SUMPRODUCT(TRANSPOSE(DE$4:DE$20),$G282:$W282)</f>
        <v>0</v>
      </c>
      <c r="DF282" s="93" cm="1">
        <f t="array" ref="DF282">SUMPRODUCT(TRANSPOSE(DF$4:DF$20),$G282:$W282)</f>
        <v>0</v>
      </c>
      <c r="DG282" s="93" cm="1">
        <f t="array" ref="DG282">SUMPRODUCT(TRANSPOSE(DG$4:DG$20),$G282:$W282)</f>
        <v>0</v>
      </c>
      <c r="DH282" s="93" cm="1">
        <f t="array" ref="DH282">SUMPRODUCT(TRANSPOSE(DH$4:DH$20),$G282:$W282)</f>
        <v>0</v>
      </c>
      <c r="DI282" s="93" cm="1">
        <f t="array" ref="DI282">SUMPRODUCT(TRANSPOSE(DI$4:DI$20),$G282:$W282)</f>
        <v>0</v>
      </c>
      <c r="DJ282" s="93" cm="1">
        <f t="array" ref="DJ282">SUMPRODUCT(TRANSPOSE(DJ$4:DJ$20),$G282:$W282)</f>
        <v>0</v>
      </c>
      <c r="DK282" s="93" cm="1">
        <f t="array" ref="DK282">SUMPRODUCT(TRANSPOSE(DK$4:DK$20),$G282:$W282)</f>
        <v>0</v>
      </c>
      <c r="DL282" s="93" cm="1">
        <f t="array" ref="DL282">SUMPRODUCT(TRANSPOSE(DL$4:DL$20),$G282:$W282)</f>
        <v>0</v>
      </c>
      <c r="DM282" s="93" cm="1">
        <f t="array" ref="DM282">SUMPRODUCT(TRANSPOSE(DM$4:DM$20),$G282:$W282)</f>
        <v>0</v>
      </c>
      <c r="DN282" s="93" cm="1">
        <f t="array" ref="DN282">SUMPRODUCT(TRANSPOSE(DN$4:DN$20),$G282:$W282)</f>
        <v>0</v>
      </c>
      <c r="DO282" s="93" cm="1">
        <f t="array" ref="DO282">SUMPRODUCT(TRANSPOSE(DO$4:DO$20),$G282:$W282)</f>
        <v>0</v>
      </c>
    </row>
    <row r="283" spans="1:119" x14ac:dyDescent="0.2">
      <c r="A283" s="45">
        <f t="shared" si="30"/>
        <v>262</v>
      </c>
      <c r="B283" s="46" t="s">
        <v>640</v>
      </c>
      <c r="C283" s="45">
        <v>541553780</v>
      </c>
      <c r="D283" s="45" t="s">
        <v>641</v>
      </c>
      <c r="E283" s="45" t="s">
        <v>162</v>
      </c>
      <c r="F283" s="48">
        <v>2</v>
      </c>
      <c r="G283" s="100">
        <v>0</v>
      </c>
      <c r="H283" s="100">
        <v>0</v>
      </c>
      <c r="I283" s="100">
        <v>0</v>
      </c>
      <c r="J283" s="100">
        <v>0</v>
      </c>
      <c r="K283" s="100">
        <v>0</v>
      </c>
      <c r="L283" s="100">
        <v>0</v>
      </c>
      <c r="M283" s="100">
        <v>4</v>
      </c>
      <c r="N283" s="100">
        <v>0</v>
      </c>
      <c r="O283" s="100">
        <v>7</v>
      </c>
      <c r="P283" s="100">
        <v>0</v>
      </c>
      <c r="Q283" s="100">
        <v>0</v>
      </c>
      <c r="R283" s="100">
        <v>0</v>
      </c>
      <c r="S283" s="100">
        <v>0</v>
      </c>
      <c r="T283" s="100">
        <v>0</v>
      </c>
      <c r="U283" s="100">
        <v>0</v>
      </c>
      <c r="V283" s="100">
        <v>0</v>
      </c>
      <c r="W283" s="100">
        <v>0</v>
      </c>
      <c r="X283" s="45" t="s">
        <v>24</v>
      </c>
      <c r="Y283" s="49">
        <v>8.5000000000000006E-2</v>
      </c>
      <c r="Z283" s="45">
        <v>4429</v>
      </c>
      <c r="AA283" s="45">
        <v>0</v>
      </c>
      <c r="AB283" s="45">
        <v>0</v>
      </c>
      <c r="AC283" s="45">
        <v>0</v>
      </c>
      <c r="AD283" s="45">
        <v>0</v>
      </c>
      <c r="AE283" s="45">
        <v>0</v>
      </c>
      <c r="AF283" s="45">
        <v>0</v>
      </c>
      <c r="AG283" s="45">
        <v>0</v>
      </c>
      <c r="AH283" s="45">
        <v>0</v>
      </c>
      <c r="AI283" s="45">
        <v>0</v>
      </c>
      <c r="AJ283" s="45">
        <v>0</v>
      </c>
      <c r="AK283" s="45">
        <v>0</v>
      </c>
      <c r="AL283" s="45">
        <v>0</v>
      </c>
      <c r="AM283" s="45">
        <v>0</v>
      </c>
      <c r="AN283" s="45">
        <v>0</v>
      </c>
      <c r="AO283" s="45"/>
      <c r="AP283" s="45"/>
      <c r="AQ283" s="45"/>
      <c r="AR283" s="45"/>
      <c r="AS283" s="45"/>
      <c r="AT283" s="45"/>
      <c r="AU283" s="45"/>
      <c r="AV283" s="45"/>
      <c r="AW283" s="45"/>
      <c r="AX283" s="45"/>
      <c r="AY283" s="45"/>
      <c r="AZ283" s="45"/>
      <c r="BA283" s="45"/>
      <c r="BB283" s="45"/>
      <c r="BC283" s="45"/>
      <c r="BD283" s="93"/>
      <c r="BE283" s="93"/>
      <c r="BF283" s="93"/>
      <c r="BG283" s="93"/>
      <c r="BH283" s="93"/>
      <c r="BI283" s="93"/>
      <c r="BJ283" s="93"/>
      <c r="BK283" s="93">
        <f>SUM($Z283:AD283)-SUM($CM283:CQ283)</f>
        <v>4152</v>
      </c>
      <c r="BL283" s="93">
        <f>SUM($Z283:AE283)-SUM($CM283:CR283)</f>
        <v>3875</v>
      </c>
      <c r="BM283" s="93">
        <f>SUM($Z283:AF283)-SUM($CM283:CS283)</f>
        <v>3598</v>
      </c>
      <c r="BN283" s="93">
        <f>SUM($Z283:AG283)-SUM($CM283:CT283)</f>
        <v>3356</v>
      </c>
      <c r="BO283" s="93">
        <f>SUM($Z283:AH283)-SUM($CM283:CU283)</f>
        <v>3114</v>
      </c>
      <c r="BP283" s="93">
        <f>SUM($Z283:AI283)-SUM($CM283:CV283)</f>
        <v>2872</v>
      </c>
      <c r="BQ283" s="93">
        <f>SUM($Z283:AJ283)-SUM($CM283:CW283)</f>
        <v>2630</v>
      </c>
      <c r="BR283" s="93">
        <f>SUM($Z283:AK283)-SUM($CM283:CX283)</f>
        <v>2388</v>
      </c>
      <c r="BS283" s="93">
        <f>SUM($Z283:AL283)-SUM($CM283:CY283)</f>
        <v>2146</v>
      </c>
      <c r="BT283" s="93">
        <f>SUM($Z283:AM283)-SUM($CM283:CZ283)</f>
        <v>1904</v>
      </c>
      <c r="BU283" s="93">
        <f>SUM($Z283:AN283)-SUM($CM283:DA283)</f>
        <v>1662</v>
      </c>
      <c r="BV283" s="93">
        <f>SUM($Z283:AO283)-SUM($CM283:DB283)</f>
        <v>1532</v>
      </c>
      <c r="BW283" s="93">
        <f>SUM($Z283:AP283)-SUM($CM283:DC283)</f>
        <v>1476</v>
      </c>
      <c r="BX283" s="93">
        <f>SUM($Z283:AQ283)-SUM($CM283:DD283)</f>
        <v>1476</v>
      </c>
      <c r="BY283" s="93">
        <f>SUM($Z283:AR283)-SUM($CM283:DE283)</f>
        <v>1476</v>
      </c>
      <c r="BZ283" s="93">
        <f>SUM($Z283:AS283)-SUM($CM283:DF283)</f>
        <v>1476</v>
      </c>
      <c r="CA283" s="93">
        <f>SUM($Z283:AT283)-SUM($CM283:DG283)</f>
        <v>1476</v>
      </c>
      <c r="CB283" s="93">
        <f>SUM($Z283:AU283)-SUM($CM283:DH283)</f>
        <v>1476</v>
      </c>
      <c r="CC283" s="93">
        <f>SUM($Z283:AV283)-SUM($CM283:DI283)</f>
        <v>1476</v>
      </c>
      <c r="CD283" s="93">
        <f>SUM($Z283:AW283)-SUM($CM283:DJ283)</f>
        <v>1476</v>
      </c>
      <c r="CE283" s="93">
        <f>SUM($Z283:AX283)-SUM($CM283:DK283)</f>
        <v>1476</v>
      </c>
      <c r="CF283" s="93">
        <f>SUM($Z283:AY283)-SUM($CM283:DL283)</f>
        <v>1476</v>
      </c>
      <c r="CG283" s="93">
        <f>SUM($Z283:AZ283)-SUM($CM283:DM283)</f>
        <v>1476</v>
      </c>
      <c r="CH283" s="93">
        <f>SUM($Z283:BA283)-SUM($CM283:DN283)</f>
        <v>1476</v>
      </c>
      <c r="CI283" s="93">
        <f>SUM($Z283:BB283)-SUM($CM283:DO283)</f>
        <v>1476</v>
      </c>
      <c r="CJ283" s="93"/>
      <c r="CK283" s="93"/>
      <c r="CL283" s="93"/>
      <c r="CM283" s="93"/>
      <c r="CN283" s="93" cm="1">
        <f t="array" ref="CN283">SUMPRODUCT(TRANSPOSE(CN$4:CN$20),$G283:$W283)</f>
        <v>0</v>
      </c>
      <c r="CO283" s="93" cm="1">
        <f t="array" ref="CO283">SUMPRODUCT(TRANSPOSE(CO$4:CO$20),$G283:$W283)</f>
        <v>0</v>
      </c>
      <c r="CP283" s="93" cm="1">
        <f t="array" ref="CP283">SUMPRODUCT(TRANSPOSE(CP$4:CP$20),$G283:$W283)</f>
        <v>0</v>
      </c>
      <c r="CQ283" s="93" cm="1">
        <f t="array" ref="CQ283">SUMPRODUCT(TRANSPOSE(CQ$4:CQ$20),$G283:$W283)</f>
        <v>277</v>
      </c>
      <c r="CR283" s="93" cm="1">
        <f t="array" ref="CR283">SUMPRODUCT(TRANSPOSE(CR$4:CR$20),$G283:$W283)</f>
        <v>277</v>
      </c>
      <c r="CS283" s="93" cm="1">
        <f t="array" ref="CS283">SUMPRODUCT(TRANSPOSE(CS$4:CS$20),$G283:$W283)</f>
        <v>277</v>
      </c>
      <c r="CT283" s="93" cm="1">
        <f t="array" ref="CT283">SUMPRODUCT(TRANSPOSE(CT$4:CT$20),$G283:$W283)</f>
        <v>242</v>
      </c>
      <c r="CU283" s="93" cm="1">
        <f t="array" ref="CU283">SUMPRODUCT(TRANSPOSE(CU$4:CU$20),$G283:$W283)</f>
        <v>242</v>
      </c>
      <c r="CV283" s="93" cm="1">
        <f t="array" ref="CV283">SUMPRODUCT(TRANSPOSE(CV$4:CV$20),$G283:$W283)</f>
        <v>242</v>
      </c>
      <c r="CW283" s="93" cm="1">
        <f t="array" ref="CW283">SUMPRODUCT(TRANSPOSE(CW$4:CW$20),$G283:$W283)</f>
        <v>242</v>
      </c>
      <c r="CX283" s="93" cm="1">
        <f t="array" ref="CX283">SUMPRODUCT(TRANSPOSE(CX$4:CX$20),$G283:$W283)</f>
        <v>242</v>
      </c>
      <c r="CY283" s="93" cm="1">
        <f t="array" ref="CY283">SUMPRODUCT(TRANSPOSE(CY$4:CY$20),$G283:$W283)</f>
        <v>242</v>
      </c>
      <c r="CZ283" s="93" cm="1">
        <f t="array" ref="CZ283">SUMPRODUCT(TRANSPOSE(CZ$4:CZ$20),$G283:$W283)</f>
        <v>242</v>
      </c>
      <c r="DA283" s="93" cm="1">
        <f t="array" ref="DA283">SUMPRODUCT(TRANSPOSE(DA$4:DA$20),$G283:$W283)</f>
        <v>242</v>
      </c>
      <c r="DB283" s="93" cm="1">
        <f t="array" ref="DB283">SUMPRODUCT(TRANSPOSE(DB$4:DB$20),$G283:$W283)</f>
        <v>130</v>
      </c>
      <c r="DC283" s="93" cm="1">
        <f t="array" ref="DC283">SUMPRODUCT(TRANSPOSE(DC$4:DC$20),$G283:$W283)</f>
        <v>56</v>
      </c>
      <c r="DD283" s="93" cm="1">
        <f t="array" ref="DD283">SUMPRODUCT(TRANSPOSE(DD$4:DD$20),$G283:$W283)</f>
        <v>0</v>
      </c>
      <c r="DE283" s="93" cm="1">
        <f t="array" ref="DE283">SUMPRODUCT(TRANSPOSE(DE$4:DE$20),$G283:$W283)</f>
        <v>0</v>
      </c>
      <c r="DF283" s="93" cm="1">
        <f t="array" ref="DF283">SUMPRODUCT(TRANSPOSE(DF$4:DF$20),$G283:$W283)</f>
        <v>0</v>
      </c>
      <c r="DG283" s="93" cm="1">
        <f t="array" ref="DG283">SUMPRODUCT(TRANSPOSE(DG$4:DG$20),$G283:$W283)</f>
        <v>0</v>
      </c>
      <c r="DH283" s="93" cm="1">
        <f t="array" ref="DH283">SUMPRODUCT(TRANSPOSE(DH$4:DH$20),$G283:$W283)</f>
        <v>0</v>
      </c>
      <c r="DI283" s="93" cm="1">
        <f t="array" ref="DI283">SUMPRODUCT(TRANSPOSE(DI$4:DI$20),$G283:$W283)</f>
        <v>0</v>
      </c>
      <c r="DJ283" s="93" cm="1">
        <f t="array" ref="DJ283">SUMPRODUCT(TRANSPOSE(DJ$4:DJ$20),$G283:$W283)</f>
        <v>0</v>
      </c>
      <c r="DK283" s="93" cm="1">
        <f t="array" ref="DK283">SUMPRODUCT(TRANSPOSE(DK$4:DK$20),$G283:$W283)</f>
        <v>0</v>
      </c>
      <c r="DL283" s="93" cm="1">
        <f t="array" ref="DL283">SUMPRODUCT(TRANSPOSE(DL$4:DL$20),$G283:$W283)</f>
        <v>0</v>
      </c>
      <c r="DM283" s="93" cm="1">
        <f t="array" ref="DM283">SUMPRODUCT(TRANSPOSE(DM$4:DM$20),$G283:$W283)</f>
        <v>0</v>
      </c>
      <c r="DN283" s="93" cm="1">
        <f t="array" ref="DN283">SUMPRODUCT(TRANSPOSE(DN$4:DN$20),$G283:$W283)</f>
        <v>0</v>
      </c>
      <c r="DO283" s="93" cm="1">
        <f t="array" ref="DO283">SUMPRODUCT(TRANSPOSE(DO$4:DO$20),$G283:$W283)</f>
        <v>0</v>
      </c>
    </row>
    <row r="284" spans="1:119" x14ac:dyDescent="0.2">
      <c r="A284" s="45">
        <f t="shared" si="30"/>
        <v>263</v>
      </c>
      <c r="B284" s="46" t="s">
        <v>642</v>
      </c>
      <c r="C284" s="45">
        <v>541553756</v>
      </c>
      <c r="D284" s="45" t="s">
        <v>643</v>
      </c>
      <c r="E284" s="45" t="s">
        <v>162</v>
      </c>
      <c r="F284" s="48">
        <v>2</v>
      </c>
      <c r="G284" s="100">
        <v>0</v>
      </c>
      <c r="H284" s="100">
        <v>0</v>
      </c>
      <c r="I284" s="100">
        <v>0</v>
      </c>
      <c r="J284" s="100">
        <v>0</v>
      </c>
      <c r="K284" s="100">
        <v>0</v>
      </c>
      <c r="L284" s="100">
        <v>0</v>
      </c>
      <c r="M284" s="100">
        <v>0</v>
      </c>
      <c r="N284" s="100">
        <v>0</v>
      </c>
      <c r="O284" s="100">
        <v>52</v>
      </c>
      <c r="P284" s="100">
        <v>0</v>
      </c>
      <c r="Q284" s="100">
        <v>0</v>
      </c>
      <c r="R284" s="100">
        <v>0</v>
      </c>
      <c r="S284" s="100">
        <v>52</v>
      </c>
      <c r="T284" s="100">
        <v>0</v>
      </c>
      <c r="U284" s="100">
        <v>0</v>
      </c>
      <c r="V284" s="100">
        <v>0</v>
      </c>
      <c r="W284" s="100">
        <v>0</v>
      </c>
      <c r="X284" s="45" t="s">
        <v>24</v>
      </c>
      <c r="Y284" s="49">
        <v>2.3900000000000001E-2</v>
      </c>
      <c r="Z284" s="45">
        <v>56594</v>
      </c>
      <c r="AA284" s="45">
        <v>0</v>
      </c>
      <c r="AB284" s="45">
        <v>0</v>
      </c>
      <c r="AC284" s="45">
        <v>0</v>
      </c>
      <c r="AD284" s="45">
        <v>0</v>
      </c>
      <c r="AE284" s="45">
        <v>0</v>
      </c>
      <c r="AF284" s="45">
        <v>0</v>
      </c>
      <c r="AG284" s="45">
        <v>0</v>
      </c>
      <c r="AH284" s="45">
        <v>0</v>
      </c>
      <c r="AI284" s="45">
        <v>0</v>
      </c>
      <c r="AJ284" s="45">
        <v>0</v>
      </c>
      <c r="AK284" s="45">
        <v>0</v>
      </c>
      <c r="AL284" s="45">
        <v>0</v>
      </c>
      <c r="AM284" s="45">
        <v>0</v>
      </c>
      <c r="AN284" s="45">
        <v>0</v>
      </c>
      <c r="AO284" s="45"/>
      <c r="AP284" s="45"/>
      <c r="AQ284" s="45"/>
      <c r="AR284" s="45"/>
      <c r="AS284" s="45"/>
      <c r="AT284" s="45"/>
      <c r="AU284" s="45"/>
      <c r="AV284" s="45"/>
      <c r="AW284" s="45"/>
      <c r="AX284" s="45"/>
      <c r="AY284" s="45"/>
      <c r="AZ284" s="45"/>
      <c r="BA284" s="45"/>
      <c r="BB284" s="45"/>
      <c r="BC284" s="45"/>
      <c r="BD284" s="93"/>
      <c r="BE284" s="93"/>
      <c r="BF284" s="93"/>
      <c r="BG284" s="93"/>
      <c r="BH284" s="93"/>
      <c r="BI284" s="93"/>
      <c r="BJ284" s="93"/>
      <c r="BK284" s="93">
        <f>SUM($Z284:AD284)-SUM($CM284:CQ284)</f>
        <v>52538</v>
      </c>
      <c r="BL284" s="93">
        <f>SUM($Z284:AE284)-SUM($CM284:CR284)</f>
        <v>48898</v>
      </c>
      <c r="BM284" s="93">
        <f>SUM($Z284:AF284)-SUM($CM284:CS284)</f>
        <v>45518</v>
      </c>
      <c r="BN284" s="93">
        <f>SUM($Z284:AG284)-SUM($CM284:CT284)</f>
        <v>42398</v>
      </c>
      <c r="BO284" s="93">
        <f>SUM($Z284:AH284)-SUM($CM284:CU284)</f>
        <v>39278</v>
      </c>
      <c r="BP284" s="93">
        <f>SUM($Z284:AI284)-SUM($CM284:CV284)</f>
        <v>36158</v>
      </c>
      <c r="BQ284" s="93">
        <f>SUM($Z284:AJ284)-SUM($CM284:CW284)</f>
        <v>33038</v>
      </c>
      <c r="BR284" s="93">
        <f>SUM($Z284:AK284)-SUM($CM284:CX284)</f>
        <v>29918</v>
      </c>
      <c r="BS284" s="93">
        <f>SUM($Z284:AL284)-SUM($CM284:CY284)</f>
        <v>26798</v>
      </c>
      <c r="BT284" s="93">
        <f>SUM($Z284:AM284)-SUM($CM284:CZ284)</f>
        <v>23678</v>
      </c>
      <c r="BU284" s="93">
        <f>SUM($Z284:AN284)-SUM($CM284:DA284)</f>
        <v>20558</v>
      </c>
      <c r="BV284" s="93">
        <f>SUM($Z284:AO284)-SUM($CM284:DB284)</f>
        <v>19830</v>
      </c>
      <c r="BW284" s="93">
        <f>SUM($Z284:AP284)-SUM($CM284:DC284)</f>
        <v>19830</v>
      </c>
      <c r="BX284" s="93">
        <f>SUM($Z284:AQ284)-SUM($CM284:DD284)</f>
        <v>19830</v>
      </c>
      <c r="BY284" s="93">
        <f>SUM($Z284:AR284)-SUM($CM284:DE284)</f>
        <v>19830</v>
      </c>
      <c r="BZ284" s="93">
        <f>SUM($Z284:AS284)-SUM($CM284:DF284)</f>
        <v>19830</v>
      </c>
      <c r="CA284" s="93">
        <f>SUM($Z284:AT284)-SUM($CM284:DG284)</f>
        <v>19830</v>
      </c>
      <c r="CB284" s="93">
        <f>SUM($Z284:AU284)-SUM($CM284:DH284)</f>
        <v>19830</v>
      </c>
      <c r="CC284" s="93">
        <f>SUM($Z284:AV284)-SUM($CM284:DI284)</f>
        <v>19830</v>
      </c>
      <c r="CD284" s="93">
        <f>SUM($Z284:AW284)-SUM($CM284:DJ284)</f>
        <v>19830</v>
      </c>
      <c r="CE284" s="93">
        <f>SUM($Z284:AX284)-SUM($CM284:DK284)</f>
        <v>19830</v>
      </c>
      <c r="CF284" s="93">
        <f>SUM($Z284:AY284)-SUM($CM284:DL284)</f>
        <v>19830</v>
      </c>
      <c r="CG284" s="93">
        <f>SUM($Z284:AZ284)-SUM($CM284:DM284)</f>
        <v>19830</v>
      </c>
      <c r="CH284" s="93">
        <f>SUM($Z284:BA284)-SUM($CM284:DN284)</f>
        <v>19830</v>
      </c>
      <c r="CI284" s="93">
        <f>SUM($Z284:BB284)-SUM($CM284:DO284)</f>
        <v>19830</v>
      </c>
      <c r="CJ284" s="93"/>
      <c r="CK284" s="93"/>
      <c r="CL284" s="93"/>
      <c r="CM284" s="93"/>
      <c r="CN284" s="93" cm="1">
        <f t="array" ref="CN284">SUMPRODUCT(TRANSPOSE(CN$4:CN$20),$G284:$W284)</f>
        <v>0</v>
      </c>
      <c r="CO284" s="93" cm="1">
        <f t="array" ref="CO284">SUMPRODUCT(TRANSPOSE(CO$4:CO$20),$G284:$W284)</f>
        <v>0</v>
      </c>
      <c r="CP284" s="93" cm="1">
        <f t="array" ref="CP284">SUMPRODUCT(TRANSPOSE(CP$4:CP$20),$G284:$W284)</f>
        <v>0</v>
      </c>
      <c r="CQ284" s="93" cm="1">
        <f t="array" ref="CQ284">SUMPRODUCT(TRANSPOSE(CQ$4:CQ$20),$G284:$W284)</f>
        <v>4056</v>
      </c>
      <c r="CR284" s="93" cm="1">
        <f t="array" ref="CR284">SUMPRODUCT(TRANSPOSE(CR$4:CR$20),$G284:$W284)</f>
        <v>3640</v>
      </c>
      <c r="CS284" s="93" cm="1">
        <f t="array" ref="CS284">SUMPRODUCT(TRANSPOSE(CS$4:CS$20),$G284:$W284)</f>
        <v>3380</v>
      </c>
      <c r="CT284" s="93" cm="1">
        <f t="array" ref="CT284">SUMPRODUCT(TRANSPOSE(CT$4:CT$20),$G284:$W284)</f>
        <v>3120</v>
      </c>
      <c r="CU284" s="93" cm="1">
        <f t="array" ref="CU284">SUMPRODUCT(TRANSPOSE(CU$4:CU$20),$G284:$W284)</f>
        <v>3120</v>
      </c>
      <c r="CV284" s="93" cm="1">
        <f t="array" ref="CV284">SUMPRODUCT(TRANSPOSE(CV$4:CV$20),$G284:$W284)</f>
        <v>3120</v>
      </c>
      <c r="CW284" s="93" cm="1">
        <f t="array" ref="CW284">SUMPRODUCT(TRANSPOSE(CW$4:CW$20),$G284:$W284)</f>
        <v>3120</v>
      </c>
      <c r="CX284" s="93" cm="1">
        <f t="array" ref="CX284">SUMPRODUCT(TRANSPOSE(CX$4:CX$20),$G284:$W284)</f>
        <v>3120</v>
      </c>
      <c r="CY284" s="93" cm="1">
        <f t="array" ref="CY284">SUMPRODUCT(TRANSPOSE(CY$4:CY$20),$G284:$W284)</f>
        <v>3120</v>
      </c>
      <c r="CZ284" s="93" cm="1">
        <f t="array" ref="CZ284">SUMPRODUCT(TRANSPOSE(CZ$4:CZ$20),$G284:$W284)</f>
        <v>3120</v>
      </c>
      <c r="DA284" s="93" cm="1">
        <f t="array" ref="DA284">SUMPRODUCT(TRANSPOSE(DA$4:DA$20),$G284:$W284)</f>
        <v>3120</v>
      </c>
      <c r="DB284" s="93" cm="1">
        <f t="array" ref="DB284">SUMPRODUCT(TRANSPOSE(DB$4:DB$20),$G284:$W284)</f>
        <v>728</v>
      </c>
      <c r="DC284" s="93" cm="1">
        <f t="array" ref="DC284">SUMPRODUCT(TRANSPOSE(DC$4:DC$20),$G284:$W284)</f>
        <v>0</v>
      </c>
      <c r="DD284" s="93" cm="1">
        <f t="array" ref="DD284">SUMPRODUCT(TRANSPOSE(DD$4:DD$20),$G284:$W284)</f>
        <v>0</v>
      </c>
      <c r="DE284" s="93" cm="1">
        <f t="array" ref="DE284">SUMPRODUCT(TRANSPOSE(DE$4:DE$20),$G284:$W284)</f>
        <v>0</v>
      </c>
      <c r="DF284" s="93" cm="1">
        <f t="array" ref="DF284">SUMPRODUCT(TRANSPOSE(DF$4:DF$20),$G284:$W284)</f>
        <v>0</v>
      </c>
      <c r="DG284" s="93" cm="1">
        <f t="array" ref="DG284">SUMPRODUCT(TRANSPOSE(DG$4:DG$20),$G284:$W284)</f>
        <v>0</v>
      </c>
      <c r="DH284" s="93" cm="1">
        <f t="array" ref="DH284">SUMPRODUCT(TRANSPOSE(DH$4:DH$20),$G284:$W284)</f>
        <v>0</v>
      </c>
      <c r="DI284" s="93" cm="1">
        <f t="array" ref="DI284">SUMPRODUCT(TRANSPOSE(DI$4:DI$20),$G284:$W284)</f>
        <v>0</v>
      </c>
      <c r="DJ284" s="93" cm="1">
        <f t="array" ref="DJ284">SUMPRODUCT(TRANSPOSE(DJ$4:DJ$20),$G284:$W284)</f>
        <v>0</v>
      </c>
      <c r="DK284" s="93" cm="1">
        <f t="array" ref="DK284">SUMPRODUCT(TRANSPOSE(DK$4:DK$20),$G284:$W284)</f>
        <v>0</v>
      </c>
      <c r="DL284" s="93" cm="1">
        <f t="array" ref="DL284">SUMPRODUCT(TRANSPOSE(DL$4:DL$20),$G284:$W284)</f>
        <v>0</v>
      </c>
      <c r="DM284" s="93" cm="1">
        <f t="array" ref="DM284">SUMPRODUCT(TRANSPOSE(DM$4:DM$20),$G284:$W284)</f>
        <v>0</v>
      </c>
      <c r="DN284" s="93" cm="1">
        <f t="array" ref="DN284">SUMPRODUCT(TRANSPOSE(DN$4:DN$20),$G284:$W284)</f>
        <v>0</v>
      </c>
      <c r="DO284" s="93" cm="1">
        <f t="array" ref="DO284">SUMPRODUCT(TRANSPOSE(DO$4:DO$20),$G284:$W284)</f>
        <v>0</v>
      </c>
    </row>
    <row r="285" spans="1:119" x14ac:dyDescent="0.2">
      <c r="A285" s="45">
        <f>A284+1</f>
        <v>264</v>
      </c>
      <c r="B285" s="67" t="s">
        <v>644</v>
      </c>
      <c r="C285" s="68">
        <v>514201177</v>
      </c>
      <c r="D285" s="45" t="s">
        <v>645</v>
      </c>
      <c r="E285" s="45" t="s">
        <v>162</v>
      </c>
      <c r="F285" s="48">
        <v>2</v>
      </c>
      <c r="G285" s="100">
        <v>2</v>
      </c>
      <c r="H285" s="100">
        <v>0</v>
      </c>
      <c r="I285" s="100">
        <v>432</v>
      </c>
      <c r="J285" s="100">
        <v>0</v>
      </c>
      <c r="K285" s="100">
        <v>430</v>
      </c>
      <c r="L285" s="100">
        <v>0</v>
      </c>
      <c r="M285" s="100">
        <v>0</v>
      </c>
      <c r="N285" s="100">
        <v>0</v>
      </c>
      <c r="O285" s="100">
        <v>0</v>
      </c>
      <c r="P285" s="100">
        <v>16</v>
      </c>
      <c r="Q285" s="100">
        <v>0</v>
      </c>
      <c r="R285" s="100">
        <v>4</v>
      </c>
      <c r="S285" s="100">
        <v>0</v>
      </c>
      <c r="T285" s="100">
        <v>16</v>
      </c>
      <c r="U285" s="100">
        <v>0</v>
      </c>
      <c r="V285" s="100">
        <v>4</v>
      </c>
      <c r="W285" s="100">
        <v>5</v>
      </c>
      <c r="X285" s="45" t="s">
        <v>24</v>
      </c>
      <c r="Y285" s="49">
        <v>1.9E-2</v>
      </c>
      <c r="Z285" s="45">
        <v>136939</v>
      </c>
      <c r="AA285" s="45">
        <v>0</v>
      </c>
      <c r="AB285" s="45">
        <v>0</v>
      </c>
      <c r="AC285" s="45">
        <v>0</v>
      </c>
      <c r="AD285" s="45">
        <v>0</v>
      </c>
      <c r="AE285" s="45">
        <v>0</v>
      </c>
      <c r="AF285" s="45">
        <v>0</v>
      </c>
      <c r="AG285" s="45">
        <v>0</v>
      </c>
      <c r="AH285" s="45">
        <v>0</v>
      </c>
      <c r="AI285" s="45">
        <v>0</v>
      </c>
      <c r="AJ285" s="45">
        <v>0</v>
      </c>
      <c r="AK285" s="45">
        <v>0</v>
      </c>
      <c r="AL285" s="45">
        <v>0</v>
      </c>
      <c r="AM285" s="45">
        <v>0</v>
      </c>
      <c r="AN285" s="45">
        <v>0</v>
      </c>
      <c r="AO285" s="45"/>
      <c r="AP285" s="45"/>
      <c r="AQ285" s="45"/>
      <c r="AR285" s="45"/>
      <c r="AS285" s="45"/>
      <c r="AT285" s="45"/>
      <c r="AU285" s="45"/>
      <c r="AV285" s="45"/>
      <c r="AW285" s="45"/>
      <c r="AX285" s="45"/>
      <c r="AY285" s="45"/>
      <c r="AZ285" s="45"/>
      <c r="BA285" s="45"/>
      <c r="BB285" s="45"/>
      <c r="BC285" s="45"/>
      <c r="BD285" s="93"/>
      <c r="BE285" s="93"/>
      <c r="BF285" s="93"/>
      <c r="BG285" s="93"/>
      <c r="BH285" s="93"/>
      <c r="BI285" s="93"/>
      <c r="BJ285" s="93"/>
      <c r="BK285" s="93">
        <f>SUM($Z285:AD285)-SUM($CM285:CQ285)</f>
        <v>128419</v>
      </c>
      <c r="BL285" s="93">
        <f>SUM($Z285:AE285)-SUM($CM285:CR285)</f>
        <v>120027</v>
      </c>
      <c r="BM285" s="93">
        <f>SUM($Z285:AF285)-SUM($CM285:CS285)</f>
        <v>111715</v>
      </c>
      <c r="BN285" s="93">
        <f>SUM($Z285:AG285)-SUM($CM285:CT285)</f>
        <v>103483</v>
      </c>
      <c r="BO285" s="93">
        <f>SUM($Z285:AH285)-SUM($CM285:CU285)</f>
        <v>95251</v>
      </c>
      <c r="BP285" s="93">
        <f>SUM($Z285:AI285)-SUM($CM285:CV285)</f>
        <v>87019</v>
      </c>
      <c r="BQ285" s="93">
        <f>SUM($Z285:AJ285)-SUM($CM285:CW285)</f>
        <v>78787</v>
      </c>
      <c r="BR285" s="93">
        <f>SUM($Z285:AK285)-SUM($CM285:CX285)</f>
        <v>70555</v>
      </c>
      <c r="BS285" s="93">
        <f>SUM($Z285:AL285)-SUM($CM285:CY285)</f>
        <v>62403</v>
      </c>
      <c r="BT285" s="93">
        <f>SUM($Z285:AM285)-SUM($CM285:CZ285)</f>
        <v>54391</v>
      </c>
      <c r="BU285" s="93">
        <f>SUM($Z285:AN285)-SUM($CM285:DA285)</f>
        <v>46519</v>
      </c>
      <c r="BV285" s="93">
        <f>SUM($Z285:AO285)-SUM($CM285:DB285)</f>
        <v>39383</v>
      </c>
      <c r="BW285" s="93">
        <f>SUM($Z285:AP285)-SUM($CM285:DC285)</f>
        <v>34199</v>
      </c>
      <c r="BX285" s="93">
        <f>SUM($Z285:AQ285)-SUM($CM285:DD285)</f>
        <v>34199</v>
      </c>
      <c r="BY285" s="93">
        <f>SUM($Z285:AR285)-SUM($CM285:DE285)</f>
        <v>34199</v>
      </c>
      <c r="BZ285" s="93">
        <f>SUM($Z285:AS285)-SUM($CM285:DF285)</f>
        <v>34199</v>
      </c>
      <c r="CA285" s="93">
        <f>SUM($Z285:AT285)-SUM($CM285:DG285)</f>
        <v>34199</v>
      </c>
      <c r="CB285" s="93">
        <f>SUM($Z285:AU285)-SUM($CM285:DH285)</f>
        <v>34199</v>
      </c>
      <c r="CC285" s="93">
        <f>SUM($Z285:AV285)-SUM($CM285:DI285)</f>
        <v>34199</v>
      </c>
      <c r="CD285" s="93">
        <f>SUM($Z285:AW285)-SUM($CM285:DJ285)</f>
        <v>34199</v>
      </c>
      <c r="CE285" s="93">
        <f>SUM($Z285:AX285)-SUM($CM285:DK285)</f>
        <v>34199</v>
      </c>
      <c r="CF285" s="93">
        <f>SUM($Z285:AY285)-SUM($CM285:DL285)</f>
        <v>34199</v>
      </c>
      <c r="CG285" s="93">
        <f>SUM($Z285:AZ285)-SUM($CM285:DM285)</f>
        <v>34199</v>
      </c>
      <c r="CH285" s="93">
        <f>SUM($Z285:BA285)-SUM($CM285:DN285)</f>
        <v>34199</v>
      </c>
      <c r="CI285" s="93">
        <f>SUM($Z285:BB285)-SUM($CM285:DO285)</f>
        <v>34199</v>
      </c>
      <c r="CJ285" s="93"/>
      <c r="CK285" s="93"/>
      <c r="CL285" s="93"/>
      <c r="CM285" s="93"/>
      <c r="CN285" s="93" cm="1">
        <f t="array" ref="CN285">SUMPRODUCT(TRANSPOSE(CN$4:CN$20),$G285:$W285)</f>
        <v>0</v>
      </c>
      <c r="CO285" s="93" cm="1">
        <f t="array" ref="CO285">SUMPRODUCT(TRANSPOSE(CO$4:CO$20),$G285:$W285)</f>
        <v>0</v>
      </c>
      <c r="CP285" s="93" cm="1">
        <f t="array" ref="CP285">SUMPRODUCT(TRANSPOSE(CP$4:CP$20),$G285:$W285)</f>
        <v>0</v>
      </c>
      <c r="CQ285" s="93" cm="1">
        <f t="array" ref="CQ285">SUMPRODUCT(TRANSPOSE(CQ$4:CQ$20),$G285:$W285)</f>
        <v>8520</v>
      </c>
      <c r="CR285" s="93" cm="1">
        <f t="array" ref="CR285">SUMPRODUCT(TRANSPOSE(CR$4:CR$20),$G285:$W285)</f>
        <v>8392</v>
      </c>
      <c r="CS285" s="93" cm="1">
        <f t="array" ref="CS285">SUMPRODUCT(TRANSPOSE(CS$4:CS$20),$G285:$W285)</f>
        <v>8312</v>
      </c>
      <c r="CT285" s="93" cm="1">
        <f t="array" ref="CT285">SUMPRODUCT(TRANSPOSE(CT$4:CT$20),$G285:$W285)</f>
        <v>8232</v>
      </c>
      <c r="CU285" s="93" cm="1">
        <f t="array" ref="CU285">SUMPRODUCT(TRANSPOSE(CU$4:CU$20),$G285:$W285)</f>
        <v>8232</v>
      </c>
      <c r="CV285" s="93" cm="1">
        <f t="array" ref="CV285">SUMPRODUCT(TRANSPOSE(CV$4:CV$20),$G285:$W285)</f>
        <v>8232</v>
      </c>
      <c r="CW285" s="93" cm="1">
        <f t="array" ref="CW285">SUMPRODUCT(TRANSPOSE(CW$4:CW$20),$G285:$W285)</f>
        <v>8232</v>
      </c>
      <c r="CX285" s="93" cm="1">
        <f t="array" ref="CX285">SUMPRODUCT(TRANSPOSE(CX$4:CX$20),$G285:$W285)</f>
        <v>8232</v>
      </c>
      <c r="CY285" s="93" cm="1">
        <f t="array" ref="CY285">SUMPRODUCT(TRANSPOSE(CY$4:CY$20),$G285:$W285)</f>
        <v>8152</v>
      </c>
      <c r="CZ285" s="93" cm="1">
        <f t="array" ref="CZ285">SUMPRODUCT(TRANSPOSE(CZ$4:CZ$20),$G285:$W285)</f>
        <v>8012</v>
      </c>
      <c r="DA285" s="93" cm="1">
        <f t="array" ref="DA285">SUMPRODUCT(TRANSPOSE(DA$4:DA$20),$G285:$W285)</f>
        <v>7872</v>
      </c>
      <c r="DB285" s="93" cm="1">
        <f t="array" ref="DB285">SUMPRODUCT(TRANSPOSE(DB$4:DB$20),$G285:$W285)</f>
        <v>7136</v>
      </c>
      <c r="DC285" s="93" cm="1">
        <f t="array" ref="DC285">SUMPRODUCT(TRANSPOSE(DC$4:DC$20),$G285:$W285)</f>
        <v>5184</v>
      </c>
      <c r="DD285" s="93" cm="1">
        <f t="array" ref="DD285">SUMPRODUCT(TRANSPOSE(DD$4:DD$20),$G285:$W285)</f>
        <v>0</v>
      </c>
      <c r="DE285" s="93" cm="1">
        <f t="array" ref="DE285">SUMPRODUCT(TRANSPOSE(DE$4:DE$20),$G285:$W285)</f>
        <v>0</v>
      </c>
      <c r="DF285" s="93" cm="1">
        <f t="array" ref="DF285">SUMPRODUCT(TRANSPOSE(DF$4:DF$20),$G285:$W285)</f>
        <v>0</v>
      </c>
      <c r="DG285" s="93" cm="1">
        <f t="array" ref="DG285">SUMPRODUCT(TRANSPOSE(DG$4:DG$20),$G285:$W285)</f>
        <v>0</v>
      </c>
      <c r="DH285" s="93" cm="1">
        <f t="array" ref="DH285">SUMPRODUCT(TRANSPOSE(DH$4:DH$20),$G285:$W285)</f>
        <v>0</v>
      </c>
      <c r="DI285" s="93" cm="1">
        <f t="array" ref="DI285">SUMPRODUCT(TRANSPOSE(DI$4:DI$20),$G285:$W285)</f>
        <v>0</v>
      </c>
      <c r="DJ285" s="93" cm="1">
        <f t="array" ref="DJ285">SUMPRODUCT(TRANSPOSE(DJ$4:DJ$20),$G285:$W285)</f>
        <v>0</v>
      </c>
      <c r="DK285" s="93" cm="1">
        <f t="array" ref="DK285">SUMPRODUCT(TRANSPOSE(DK$4:DK$20),$G285:$W285)</f>
        <v>0</v>
      </c>
      <c r="DL285" s="93" cm="1">
        <f t="array" ref="DL285">SUMPRODUCT(TRANSPOSE(DL$4:DL$20),$G285:$W285)</f>
        <v>0</v>
      </c>
      <c r="DM285" s="93" cm="1">
        <f t="array" ref="DM285">SUMPRODUCT(TRANSPOSE(DM$4:DM$20),$G285:$W285)</f>
        <v>0</v>
      </c>
      <c r="DN285" s="93" cm="1">
        <f t="array" ref="DN285">SUMPRODUCT(TRANSPOSE(DN$4:DN$20),$G285:$W285)</f>
        <v>0</v>
      </c>
      <c r="DO285" s="93" cm="1">
        <f t="array" ref="DO285">SUMPRODUCT(TRANSPOSE(DO$4:DO$20),$G285:$W285)</f>
        <v>0</v>
      </c>
    </row>
    <row r="286" spans="1:119" x14ac:dyDescent="0.2">
      <c r="A286" s="45">
        <f t="shared" si="30"/>
        <v>265</v>
      </c>
      <c r="B286" s="46" t="s">
        <v>646</v>
      </c>
      <c r="C286" s="45">
        <v>514200799</v>
      </c>
      <c r="D286" s="45" t="s">
        <v>647</v>
      </c>
      <c r="E286" s="45" t="s">
        <v>162</v>
      </c>
      <c r="F286" s="48">
        <v>2</v>
      </c>
      <c r="G286" s="100">
        <v>44</v>
      </c>
      <c r="H286" s="100">
        <v>0</v>
      </c>
      <c r="I286" s="100">
        <v>63</v>
      </c>
      <c r="J286" s="100">
        <v>8</v>
      </c>
      <c r="K286" s="100">
        <v>64</v>
      </c>
      <c r="L286" s="100">
        <v>8</v>
      </c>
      <c r="M286" s="100">
        <v>4</v>
      </c>
      <c r="N286" s="100">
        <v>0</v>
      </c>
      <c r="O286" s="100">
        <v>21</v>
      </c>
      <c r="P286" s="100">
        <v>26</v>
      </c>
      <c r="Q286" s="100">
        <v>0</v>
      </c>
      <c r="R286" s="100">
        <v>0</v>
      </c>
      <c r="S286" s="100">
        <v>21</v>
      </c>
      <c r="T286" s="100">
        <v>26</v>
      </c>
      <c r="U286" s="100">
        <v>0</v>
      </c>
      <c r="V286" s="100">
        <v>0</v>
      </c>
      <c r="W286" s="100">
        <v>861</v>
      </c>
      <c r="X286" s="45" t="s">
        <v>24</v>
      </c>
      <c r="Y286" s="49">
        <v>1.1599999999999999E-2</v>
      </c>
      <c r="Z286" s="45">
        <v>277038</v>
      </c>
      <c r="AA286" s="45">
        <v>0</v>
      </c>
      <c r="AB286" s="45">
        <v>0</v>
      </c>
      <c r="AC286" s="45">
        <v>0</v>
      </c>
      <c r="AD286" s="45">
        <v>0</v>
      </c>
      <c r="AE286" s="45">
        <v>0</v>
      </c>
      <c r="AF286" s="45">
        <v>0</v>
      </c>
      <c r="AG286" s="45">
        <v>0</v>
      </c>
      <c r="AH286" s="45">
        <v>0</v>
      </c>
      <c r="AI286" s="45">
        <v>0</v>
      </c>
      <c r="AJ286" s="45">
        <v>0</v>
      </c>
      <c r="AK286" s="45">
        <v>0</v>
      </c>
      <c r="AL286" s="45">
        <v>0</v>
      </c>
      <c r="AM286" s="45">
        <v>0</v>
      </c>
      <c r="AN286" s="45">
        <v>0</v>
      </c>
      <c r="AO286" s="45"/>
      <c r="AP286" s="45"/>
      <c r="AQ286" s="45"/>
      <c r="AR286" s="45"/>
      <c r="AS286" s="45"/>
      <c r="AT286" s="45"/>
      <c r="AU286" s="45"/>
      <c r="AV286" s="45"/>
      <c r="AW286" s="45"/>
      <c r="AX286" s="45"/>
      <c r="AY286" s="45"/>
      <c r="AZ286" s="45"/>
      <c r="BA286" s="45"/>
      <c r="BB286" s="45"/>
      <c r="BC286" s="45"/>
      <c r="BD286" s="93"/>
      <c r="BE286" s="93"/>
      <c r="BF286" s="93"/>
      <c r="BG286" s="93"/>
      <c r="BH286" s="93"/>
      <c r="BI286" s="93"/>
      <c r="BJ286" s="93"/>
      <c r="BK286" s="93">
        <f>SUM($Z286:AD286)-SUM($CM286:CQ286)</f>
        <v>258068</v>
      </c>
      <c r="BL286" s="93">
        <f>SUM($Z286:AE286)-SUM($CM286:CR286)</f>
        <v>239474</v>
      </c>
      <c r="BM286" s="93">
        <f>SUM($Z286:AF286)-SUM($CM286:CS286)</f>
        <v>221115</v>
      </c>
      <c r="BN286" s="93">
        <f>SUM($Z286:AG286)-SUM($CM286:CT286)</f>
        <v>202991</v>
      </c>
      <c r="BO286" s="93">
        <f>SUM($Z286:AH286)-SUM($CM286:CU286)</f>
        <v>184867</v>
      </c>
      <c r="BP286" s="93">
        <f>SUM($Z286:AI286)-SUM($CM286:CV286)</f>
        <v>166743</v>
      </c>
      <c r="BQ286" s="93">
        <f>SUM($Z286:AJ286)-SUM($CM286:CW286)</f>
        <v>148619</v>
      </c>
      <c r="BR286" s="93">
        <f>SUM($Z286:AK286)-SUM($CM286:CX286)</f>
        <v>130495</v>
      </c>
      <c r="BS286" s="93">
        <f>SUM($Z286:AL286)-SUM($CM286:CY286)</f>
        <v>126147</v>
      </c>
      <c r="BT286" s="93">
        <f>SUM($Z286:AM286)-SUM($CM286:CZ286)</f>
        <v>121799</v>
      </c>
      <c r="BU286" s="93">
        <f>SUM($Z286:AN286)-SUM($CM286:DA286)</f>
        <v>117451</v>
      </c>
      <c r="BV286" s="93">
        <f>SUM($Z286:AO286)-SUM($CM286:DB286)</f>
        <v>115265</v>
      </c>
      <c r="BW286" s="93">
        <f>SUM($Z286:AP286)-SUM($CM286:DC286)</f>
        <v>114087</v>
      </c>
      <c r="BX286" s="93">
        <f>SUM($Z286:AQ286)-SUM($CM286:DD286)</f>
        <v>114087</v>
      </c>
      <c r="BY286" s="93">
        <f>SUM($Z286:AR286)-SUM($CM286:DE286)</f>
        <v>114087</v>
      </c>
      <c r="BZ286" s="93">
        <f>SUM($Z286:AS286)-SUM($CM286:DF286)</f>
        <v>114087</v>
      </c>
      <c r="CA286" s="93">
        <f>SUM($Z286:AT286)-SUM($CM286:DG286)</f>
        <v>114087</v>
      </c>
      <c r="CB286" s="93">
        <f>SUM($Z286:AU286)-SUM($CM286:DH286)</f>
        <v>114087</v>
      </c>
      <c r="CC286" s="93">
        <f>SUM($Z286:AV286)-SUM($CM286:DI286)</f>
        <v>114087</v>
      </c>
      <c r="CD286" s="93">
        <f>SUM($Z286:AW286)-SUM($CM286:DJ286)</f>
        <v>114087</v>
      </c>
      <c r="CE286" s="93">
        <f>SUM($Z286:AX286)-SUM($CM286:DK286)</f>
        <v>114087</v>
      </c>
      <c r="CF286" s="93">
        <f>SUM($Z286:AY286)-SUM($CM286:DL286)</f>
        <v>114087</v>
      </c>
      <c r="CG286" s="93">
        <f>SUM($Z286:AZ286)-SUM($CM286:DM286)</f>
        <v>114087</v>
      </c>
      <c r="CH286" s="93">
        <f>SUM($Z286:BA286)-SUM($CM286:DN286)</f>
        <v>114087</v>
      </c>
      <c r="CI286" s="93">
        <f>SUM($Z286:BB286)-SUM($CM286:DO286)</f>
        <v>114087</v>
      </c>
      <c r="CJ286" s="93"/>
      <c r="CK286" s="93"/>
      <c r="CL286" s="93"/>
      <c r="CM286" s="93"/>
      <c r="CN286" s="93" cm="1">
        <f t="array" ref="CN286">SUMPRODUCT(TRANSPOSE(CN$4:CN$20),$G286:$W286)</f>
        <v>0</v>
      </c>
      <c r="CO286" s="93" cm="1">
        <f t="array" ref="CO286">SUMPRODUCT(TRANSPOSE(CO$4:CO$20),$G286:$W286)</f>
        <v>0</v>
      </c>
      <c r="CP286" s="93" cm="1">
        <f t="array" ref="CP286">SUMPRODUCT(TRANSPOSE(CP$4:CP$20),$G286:$W286)</f>
        <v>0</v>
      </c>
      <c r="CQ286" s="93" cm="1">
        <f t="array" ref="CQ286">SUMPRODUCT(TRANSPOSE(CQ$4:CQ$20),$G286:$W286)</f>
        <v>18970</v>
      </c>
      <c r="CR286" s="93" cm="1">
        <f t="array" ref="CR286">SUMPRODUCT(TRANSPOSE(CR$4:CR$20),$G286:$W286)</f>
        <v>18594</v>
      </c>
      <c r="CS286" s="93" cm="1">
        <f t="array" ref="CS286">SUMPRODUCT(TRANSPOSE(CS$4:CS$20),$G286:$W286)</f>
        <v>18359</v>
      </c>
      <c r="CT286" s="93" cm="1">
        <f t="array" ref="CT286">SUMPRODUCT(TRANSPOSE(CT$4:CT$20),$G286:$W286)</f>
        <v>18124</v>
      </c>
      <c r="CU286" s="93" cm="1">
        <f t="array" ref="CU286">SUMPRODUCT(TRANSPOSE(CU$4:CU$20),$G286:$W286)</f>
        <v>18124</v>
      </c>
      <c r="CV286" s="93" cm="1">
        <f t="array" ref="CV286">SUMPRODUCT(TRANSPOSE(CV$4:CV$20),$G286:$W286)</f>
        <v>18124</v>
      </c>
      <c r="CW286" s="93" cm="1">
        <f t="array" ref="CW286">SUMPRODUCT(TRANSPOSE(CW$4:CW$20),$G286:$W286)</f>
        <v>18124</v>
      </c>
      <c r="CX286" s="93" cm="1">
        <f t="array" ref="CX286">SUMPRODUCT(TRANSPOSE(CX$4:CX$20),$G286:$W286)</f>
        <v>18124</v>
      </c>
      <c r="CY286" s="93" cm="1">
        <f t="array" ref="CY286">SUMPRODUCT(TRANSPOSE(CY$4:CY$20),$G286:$W286)</f>
        <v>4348</v>
      </c>
      <c r="CZ286" s="93" cm="1">
        <f t="array" ref="CZ286">SUMPRODUCT(TRANSPOSE(CZ$4:CZ$20),$G286:$W286)</f>
        <v>4348</v>
      </c>
      <c r="DA286" s="93" cm="1">
        <f t="array" ref="DA286">SUMPRODUCT(TRANSPOSE(DA$4:DA$20),$G286:$W286)</f>
        <v>4348</v>
      </c>
      <c r="DB286" s="93" cm="1">
        <f t="array" ref="DB286">SUMPRODUCT(TRANSPOSE(DB$4:DB$20),$G286:$W286)</f>
        <v>2186</v>
      </c>
      <c r="DC286" s="93" cm="1">
        <f t="array" ref="DC286">SUMPRODUCT(TRANSPOSE(DC$4:DC$20),$G286:$W286)</f>
        <v>1178</v>
      </c>
      <c r="DD286" s="93" cm="1">
        <f t="array" ref="DD286">SUMPRODUCT(TRANSPOSE(DD$4:DD$20),$G286:$W286)</f>
        <v>0</v>
      </c>
      <c r="DE286" s="93" cm="1">
        <f t="array" ref="DE286">SUMPRODUCT(TRANSPOSE(DE$4:DE$20),$G286:$W286)</f>
        <v>0</v>
      </c>
      <c r="DF286" s="93" cm="1">
        <f t="array" ref="DF286">SUMPRODUCT(TRANSPOSE(DF$4:DF$20),$G286:$W286)</f>
        <v>0</v>
      </c>
      <c r="DG286" s="93" cm="1">
        <f t="array" ref="DG286">SUMPRODUCT(TRANSPOSE(DG$4:DG$20),$G286:$W286)</f>
        <v>0</v>
      </c>
      <c r="DH286" s="93" cm="1">
        <f t="array" ref="DH286">SUMPRODUCT(TRANSPOSE(DH$4:DH$20),$G286:$W286)</f>
        <v>0</v>
      </c>
      <c r="DI286" s="93" cm="1">
        <f t="array" ref="DI286">SUMPRODUCT(TRANSPOSE(DI$4:DI$20),$G286:$W286)</f>
        <v>0</v>
      </c>
      <c r="DJ286" s="93" cm="1">
        <f t="array" ref="DJ286">SUMPRODUCT(TRANSPOSE(DJ$4:DJ$20),$G286:$W286)</f>
        <v>0</v>
      </c>
      <c r="DK286" s="93" cm="1">
        <f t="array" ref="DK286">SUMPRODUCT(TRANSPOSE(DK$4:DK$20),$G286:$W286)</f>
        <v>0</v>
      </c>
      <c r="DL286" s="93" cm="1">
        <f t="array" ref="DL286">SUMPRODUCT(TRANSPOSE(DL$4:DL$20),$G286:$W286)</f>
        <v>0</v>
      </c>
      <c r="DM286" s="93" cm="1">
        <f t="array" ref="DM286">SUMPRODUCT(TRANSPOSE(DM$4:DM$20),$G286:$W286)</f>
        <v>0</v>
      </c>
      <c r="DN286" s="93" cm="1">
        <f t="array" ref="DN286">SUMPRODUCT(TRANSPOSE(DN$4:DN$20),$G286:$W286)</f>
        <v>0</v>
      </c>
      <c r="DO286" s="93" cm="1">
        <f t="array" ref="DO286">SUMPRODUCT(TRANSPOSE(DO$4:DO$20),$G286:$W286)</f>
        <v>0</v>
      </c>
    </row>
    <row r="287" spans="1:119" x14ac:dyDescent="0.2">
      <c r="A287" s="45">
        <f t="shared" si="30"/>
        <v>266</v>
      </c>
      <c r="B287" s="46" t="s">
        <v>648</v>
      </c>
      <c r="C287" s="45">
        <v>514202670</v>
      </c>
      <c r="D287" s="45" t="s">
        <v>649</v>
      </c>
      <c r="E287" s="45" t="s">
        <v>162</v>
      </c>
      <c r="F287" s="48">
        <v>2</v>
      </c>
      <c r="G287" s="100">
        <v>0</v>
      </c>
      <c r="H287" s="100">
        <v>0</v>
      </c>
      <c r="I287" s="100">
        <v>0</v>
      </c>
      <c r="J287" s="100">
        <v>0</v>
      </c>
      <c r="K287" s="100">
        <v>0</v>
      </c>
      <c r="L287" s="100">
        <v>0</v>
      </c>
      <c r="M287" s="100">
        <v>0</v>
      </c>
      <c r="N287" s="100">
        <v>0</v>
      </c>
      <c r="O287" s="100">
        <v>0</v>
      </c>
      <c r="P287" s="100">
        <v>0</v>
      </c>
      <c r="Q287" s="100">
        <v>0</v>
      </c>
      <c r="R287" s="100">
        <v>0</v>
      </c>
      <c r="S287" s="100">
        <v>0</v>
      </c>
      <c r="T287" s="100">
        <v>0</v>
      </c>
      <c r="U287" s="100">
        <v>0</v>
      </c>
      <c r="V287" s="100">
        <v>0</v>
      </c>
      <c r="W287" s="100">
        <v>122</v>
      </c>
      <c r="X287" s="45" t="s">
        <v>24</v>
      </c>
      <c r="Y287" s="49">
        <v>2.5000000000000001E-2</v>
      </c>
      <c r="Z287" s="45">
        <v>28275</v>
      </c>
      <c r="AA287" s="45">
        <v>0</v>
      </c>
      <c r="AB287" s="45">
        <v>0</v>
      </c>
      <c r="AC287" s="45">
        <v>0</v>
      </c>
      <c r="AD287" s="45">
        <v>0</v>
      </c>
      <c r="AE287" s="45">
        <v>0</v>
      </c>
      <c r="AF287" s="45">
        <v>0</v>
      </c>
      <c r="AG287" s="45">
        <v>0</v>
      </c>
      <c r="AH287" s="45">
        <v>0</v>
      </c>
      <c r="AI287" s="45">
        <v>0</v>
      </c>
      <c r="AJ287" s="45">
        <v>0</v>
      </c>
      <c r="AK287" s="45">
        <v>0</v>
      </c>
      <c r="AL287" s="45">
        <v>0</v>
      </c>
      <c r="AM287" s="45">
        <v>0</v>
      </c>
      <c r="AN287" s="45">
        <v>0</v>
      </c>
      <c r="AO287" s="45"/>
      <c r="AP287" s="45"/>
      <c r="AQ287" s="45"/>
      <c r="AR287" s="45"/>
      <c r="AS287" s="45"/>
      <c r="AT287" s="45"/>
      <c r="AU287" s="45"/>
      <c r="AV287" s="45"/>
      <c r="AW287" s="45"/>
      <c r="AX287" s="45"/>
      <c r="AY287" s="45"/>
      <c r="AZ287" s="45"/>
      <c r="BA287" s="45"/>
      <c r="BB287" s="45"/>
      <c r="BC287" s="45"/>
      <c r="BD287" s="93"/>
      <c r="BE287" s="93"/>
      <c r="BF287" s="93"/>
      <c r="BG287" s="93"/>
      <c r="BH287" s="93"/>
      <c r="BI287" s="93"/>
      <c r="BJ287" s="93"/>
      <c r="BK287" s="93">
        <f>SUM($Z287:AD287)-SUM($CM287:CQ287)</f>
        <v>26323</v>
      </c>
      <c r="BL287" s="93">
        <f>SUM($Z287:AE287)-SUM($CM287:CR287)</f>
        <v>24371</v>
      </c>
      <c r="BM287" s="93">
        <f>SUM($Z287:AF287)-SUM($CM287:CS287)</f>
        <v>22419</v>
      </c>
      <c r="BN287" s="93">
        <f>SUM($Z287:AG287)-SUM($CM287:CT287)</f>
        <v>20467</v>
      </c>
      <c r="BO287" s="93">
        <f>SUM($Z287:AH287)-SUM($CM287:CU287)</f>
        <v>18515</v>
      </c>
      <c r="BP287" s="93">
        <f>SUM($Z287:AI287)-SUM($CM287:CV287)</f>
        <v>16563</v>
      </c>
      <c r="BQ287" s="93">
        <f>SUM($Z287:AJ287)-SUM($CM287:CW287)</f>
        <v>14611</v>
      </c>
      <c r="BR287" s="93">
        <f>SUM($Z287:AK287)-SUM($CM287:CX287)</f>
        <v>12659</v>
      </c>
      <c r="BS287" s="93">
        <f>SUM($Z287:AL287)-SUM($CM287:CY287)</f>
        <v>12659</v>
      </c>
      <c r="BT287" s="93">
        <f>SUM($Z287:AM287)-SUM($CM287:CZ287)</f>
        <v>12659</v>
      </c>
      <c r="BU287" s="93">
        <f>SUM($Z287:AN287)-SUM($CM287:DA287)</f>
        <v>12659</v>
      </c>
      <c r="BV287" s="93">
        <f>SUM($Z287:AO287)-SUM($CM287:DB287)</f>
        <v>12659</v>
      </c>
      <c r="BW287" s="93">
        <f>SUM($Z287:AP287)-SUM($CM287:DC287)</f>
        <v>12659</v>
      </c>
      <c r="BX287" s="93">
        <f>SUM($Z287:AQ287)-SUM($CM287:DD287)</f>
        <v>12659</v>
      </c>
      <c r="BY287" s="93">
        <f>SUM($Z287:AR287)-SUM($CM287:DE287)</f>
        <v>12659</v>
      </c>
      <c r="BZ287" s="93">
        <f>SUM($Z287:AS287)-SUM($CM287:DF287)</f>
        <v>12659</v>
      </c>
      <c r="CA287" s="93">
        <f>SUM($Z287:AT287)-SUM($CM287:DG287)</f>
        <v>12659</v>
      </c>
      <c r="CB287" s="93">
        <f>SUM($Z287:AU287)-SUM($CM287:DH287)</f>
        <v>12659</v>
      </c>
      <c r="CC287" s="93">
        <f>SUM($Z287:AV287)-SUM($CM287:DI287)</f>
        <v>12659</v>
      </c>
      <c r="CD287" s="93">
        <f>SUM($Z287:AW287)-SUM($CM287:DJ287)</f>
        <v>12659</v>
      </c>
      <c r="CE287" s="93">
        <f>SUM($Z287:AX287)-SUM($CM287:DK287)</f>
        <v>12659</v>
      </c>
      <c r="CF287" s="93">
        <f>SUM($Z287:AY287)-SUM($CM287:DL287)</f>
        <v>12659</v>
      </c>
      <c r="CG287" s="93">
        <f>SUM($Z287:AZ287)-SUM($CM287:DM287)</f>
        <v>12659</v>
      </c>
      <c r="CH287" s="93">
        <f>SUM($Z287:BA287)-SUM($CM287:DN287)</f>
        <v>12659</v>
      </c>
      <c r="CI287" s="93">
        <f>SUM($Z287:BB287)-SUM($CM287:DO287)</f>
        <v>12659</v>
      </c>
      <c r="CJ287" s="93"/>
      <c r="CK287" s="93"/>
      <c r="CL287" s="93"/>
      <c r="CM287" s="93"/>
      <c r="CN287" s="93" cm="1">
        <f t="array" ref="CN287">SUMPRODUCT(TRANSPOSE(CN$4:CN$20),$G287:$W287)</f>
        <v>0</v>
      </c>
      <c r="CO287" s="93" cm="1">
        <f t="array" ref="CO287">SUMPRODUCT(TRANSPOSE(CO$4:CO$20),$G287:$W287)</f>
        <v>0</v>
      </c>
      <c r="CP287" s="93" cm="1">
        <f t="array" ref="CP287">SUMPRODUCT(TRANSPOSE(CP$4:CP$20),$G287:$W287)</f>
        <v>0</v>
      </c>
      <c r="CQ287" s="93" cm="1">
        <f t="array" ref="CQ287">SUMPRODUCT(TRANSPOSE(CQ$4:CQ$20),$G287:$W287)</f>
        <v>1952</v>
      </c>
      <c r="CR287" s="93" cm="1">
        <f t="array" ref="CR287">SUMPRODUCT(TRANSPOSE(CR$4:CR$20),$G287:$W287)</f>
        <v>1952</v>
      </c>
      <c r="CS287" s="93" cm="1">
        <f t="array" ref="CS287">SUMPRODUCT(TRANSPOSE(CS$4:CS$20),$G287:$W287)</f>
        <v>1952</v>
      </c>
      <c r="CT287" s="93" cm="1">
        <f t="array" ref="CT287">SUMPRODUCT(TRANSPOSE(CT$4:CT$20),$G287:$W287)</f>
        <v>1952</v>
      </c>
      <c r="CU287" s="93" cm="1">
        <f t="array" ref="CU287">SUMPRODUCT(TRANSPOSE(CU$4:CU$20),$G287:$W287)</f>
        <v>1952</v>
      </c>
      <c r="CV287" s="93" cm="1">
        <f t="array" ref="CV287">SUMPRODUCT(TRANSPOSE(CV$4:CV$20),$G287:$W287)</f>
        <v>1952</v>
      </c>
      <c r="CW287" s="93" cm="1">
        <f t="array" ref="CW287">SUMPRODUCT(TRANSPOSE(CW$4:CW$20),$G287:$W287)</f>
        <v>1952</v>
      </c>
      <c r="CX287" s="93" cm="1">
        <f t="array" ref="CX287">SUMPRODUCT(TRANSPOSE(CX$4:CX$20),$G287:$W287)</f>
        <v>1952</v>
      </c>
      <c r="CY287" s="93" cm="1">
        <f t="array" ref="CY287">SUMPRODUCT(TRANSPOSE(CY$4:CY$20),$G287:$W287)</f>
        <v>0</v>
      </c>
      <c r="CZ287" s="93" cm="1">
        <f t="array" ref="CZ287">SUMPRODUCT(TRANSPOSE(CZ$4:CZ$20),$G287:$W287)</f>
        <v>0</v>
      </c>
      <c r="DA287" s="93" cm="1">
        <f t="array" ref="DA287">SUMPRODUCT(TRANSPOSE(DA$4:DA$20),$G287:$W287)</f>
        <v>0</v>
      </c>
      <c r="DB287" s="93" cm="1">
        <f t="array" ref="DB287">SUMPRODUCT(TRANSPOSE(DB$4:DB$20),$G287:$W287)</f>
        <v>0</v>
      </c>
      <c r="DC287" s="93" cm="1">
        <f t="array" ref="DC287">SUMPRODUCT(TRANSPOSE(DC$4:DC$20),$G287:$W287)</f>
        <v>0</v>
      </c>
      <c r="DD287" s="93" cm="1">
        <f t="array" ref="DD287">SUMPRODUCT(TRANSPOSE(DD$4:DD$20),$G287:$W287)</f>
        <v>0</v>
      </c>
      <c r="DE287" s="93" cm="1">
        <f t="array" ref="DE287">SUMPRODUCT(TRANSPOSE(DE$4:DE$20),$G287:$W287)</f>
        <v>0</v>
      </c>
      <c r="DF287" s="93" cm="1">
        <f t="array" ref="DF287">SUMPRODUCT(TRANSPOSE(DF$4:DF$20),$G287:$W287)</f>
        <v>0</v>
      </c>
      <c r="DG287" s="93" cm="1">
        <f t="array" ref="DG287">SUMPRODUCT(TRANSPOSE(DG$4:DG$20),$G287:$W287)</f>
        <v>0</v>
      </c>
      <c r="DH287" s="93" cm="1">
        <f t="array" ref="DH287">SUMPRODUCT(TRANSPOSE(DH$4:DH$20),$G287:$W287)</f>
        <v>0</v>
      </c>
      <c r="DI287" s="93" cm="1">
        <f t="array" ref="DI287">SUMPRODUCT(TRANSPOSE(DI$4:DI$20),$G287:$W287)</f>
        <v>0</v>
      </c>
      <c r="DJ287" s="93" cm="1">
        <f t="array" ref="DJ287">SUMPRODUCT(TRANSPOSE(DJ$4:DJ$20),$G287:$W287)</f>
        <v>0</v>
      </c>
      <c r="DK287" s="93" cm="1">
        <f t="array" ref="DK287">SUMPRODUCT(TRANSPOSE(DK$4:DK$20),$G287:$W287)</f>
        <v>0</v>
      </c>
      <c r="DL287" s="93" cm="1">
        <f t="array" ref="DL287">SUMPRODUCT(TRANSPOSE(DL$4:DL$20),$G287:$W287)</f>
        <v>0</v>
      </c>
      <c r="DM287" s="93" cm="1">
        <f t="array" ref="DM287">SUMPRODUCT(TRANSPOSE(DM$4:DM$20),$G287:$W287)</f>
        <v>0</v>
      </c>
      <c r="DN287" s="93" cm="1">
        <f t="array" ref="DN287">SUMPRODUCT(TRANSPOSE(DN$4:DN$20),$G287:$W287)</f>
        <v>0</v>
      </c>
      <c r="DO287" s="93" cm="1">
        <f t="array" ref="DO287">SUMPRODUCT(TRANSPOSE(DO$4:DO$20),$G287:$W287)</f>
        <v>0</v>
      </c>
    </row>
    <row r="288" spans="1:119" x14ac:dyDescent="0.2">
      <c r="A288" s="45">
        <f t="shared" si="30"/>
        <v>267</v>
      </c>
      <c r="B288" s="46" t="s">
        <v>650</v>
      </c>
      <c r="C288" s="45">
        <v>514200518</v>
      </c>
      <c r="D288" s="45" t="s">
        <v>651</v>
      </c>
      <c r="E288" s="45" t="s">
        <v>162</v>
      </c>
      <c r="F288" s="48">
        <v>2</v>
      </c>
      <c r="G288" s="100">
        <v>2</v>
      </c>
      <c r="H288" s="100">
        <v>24</v>
      </c>
      <c r="I288" s="100">
        <v>0</v>
      </c>
      <c r="J288" s="100">
        <v>0</v>
      </c>
      <c r="K288" s="100">
        <v>0</v>
      </c>
      <c r="L288" s="100">
        <v>0</v>
      </c>
      <c r="M288" s="100">
        <v>0</v>
      </c>
      <c r="N288" s="100">
        <v>0</v>
      </c>
      <c r="O288" s="100">
        <v>50</v>
      </c>
      <c r="P288" s="100">
        <v>69</v>
      </c>
      <c r="Q288" s="100">
        <v>0</v>
      </c>
      <c r="R288" s="100">
        <v>0</v>
      </c>
      <c r="S288" s="100">
        <v>56</v>
      </c>
      <c r="T288" s="100">
        <v>69</v>
      </c>
      <c r="U288" s="100">
        <v>0</v>
      </c>
      <c r="V288" s="100">
        <v>0</v>
      </c>
      <c r="W288" s="100">
        <v>192</v>
      </c>
      <c r="X288" s="45" t="s">
        <v>24</v>
      </c>
      <c r="Y288" s="49">
        <v>1.7999999999999999E-2</v>
      </c>
      <c r="Z288" s="45">
        <v>178971</v>
      </c>
      <c r="AA288" s="45">
        <v>0</v>
      </c>
      <c r="AB288" s="45">
        <v>0</v>
      </c>
      <c r="AC288" s="45">
        <v>0</v>
      </c>
      <c r="AD288" s="45">
        <v>0</v>
      </c>
      <c r="AE288" s="45">
        <v>0</v>
      </c>
      <c r="AF288" s="45">
        <v>0</v>
      </c>
      <c r="AG288" s="45">
        <v>0</v>
      </c>
      <c r="AH288" s="45">
        <v>0</v>
      </c>
      <c r="AI288" s="45">
        <v>0</v>
      </c>
      <c r="AJ288" s="45">
        <v>0</v>
      </c>
      <c r="AK288" s="45">
        <v>0</v>
      </c>
      <c r="AL288" s="45">
        <v>0</v>
      </c>
      <c r="AM288" s="45">
        <v>0</v>
      </c>
      <c r="AN288" s="45">
        <v>0</v>
      </c>
      <c r="AO288" s="45"/>
      <c r="AP288" s="45"/>
      <c r="AQ288" s="45"/>
      <c r="AR288" s="45"/>
      <c r="AS288" s="45"/>
      <c r="AT288" s="45"/>
      <c r="AU288" s="45"/>
      <c r="AV288" s="45"/>
      <c r="AW288" s="45"/>
      <c r="AX288" s="45"/>
      <c r="AY288" s="45"/>
      <c r="AZ288" s="45"/>
      <c r="BA288" s="45"/>
      <c r="BB288" s="45"/>
      <c r="BC288" s="45"/>
      <c r="BD288" s="93"/>
      <c r="BE288" s="93"/>
      <c r="BF288" s="93"/>
      <c r="BG288" s="93"/>
      <c r="BH288" s="93"/>
      <c r="BI288" s="93"/>
      <c r="BJ288" s="93"/>
      <c r="BK288" s="93">
        <f>SUM($Z288:AD288)-SUM($CM288:CQ288)</f>
        <v>166151</v>
      </c>
      <c r="BL288" s="93">
        <f>SUM($Z288:AE288)-SUM($CM288:CR288)</f>
        <v>154331</v>
      </c>
      <c r="BM288" s="93">
        <f>SUM($Z288:AF288)-SUM($CM288:CS288)</f>
        <v>143136</v>
      </c>
      <c r="BN288" s="93">
        <f>SUM($Z288:AG288)-SUM($CM288:CT288)</f>
        <v>132536</v>
      </c>
      <c r="BO288" s="93">
        <f>SUM($Z288:AH288)-SUM($CM288:CU288)</f>
        <v>121936</v>
      </c>
      <c r="BP288" s="93">
        <f>SUM($Z288:AI288)-SUM($CM288:CV288)</f>
        <v>111336</v>
      </c>
      <c r="BQ288" s="93">
        <f>SUM($Z288:AJ288)-SUM($CM288:CW288)</f>
        <v>100736</v>
      </c>
      <c r="BR288" s="93">
        <f>SUM($Z288:AK288)-SUM($CM288:CX288)</f>
        <v>90136</v>
      </c>
      <c r="BS288" s="93">
        <f>SUM($Z288:AL288)-SUM($CM288:CY288)</f>
        <v>82608</v>
      </c>
      <c r="BT288" s="93">
        <f>SUM($Z288:AM288)-SUM($CM288:CZ288)</f>
        <v>75080</v>
      </c>
      <c r="BU288" s="93">
        <f>SUM($Z288:AN288)-SUM($CM288:DA288)</f>
        <v>67552</v>
      </c>
      <c r="BV288" s="93">
        <f>SUM($Z288:AO288)-SUM($CM288:DB288)</f>
        <v>65678</v>
      </c>
      <c r="BW288" s="93">
        <f>SUM($Z288:AP288)-SUM($CM288:DC288)</f>
        <v>65522</v>
      </c>
      <c r="BX288" s="93">
        <f>SUM($Z288:AQ288)-SUM($CM288:DD288)</f>
        <v>65522</v>
      </c>
      <c r="BY288" s="93">
        <f>SUM($Z288:AR288)-SUM($CM288:DE288)</f>
        <v>65522</v>
      </c>
      <c r="BZ288" s="93">
        <f>SUM($Z288:AS288)-SUM($CM288:DF288)</f>
        <v>65522</v>
      </c>
      <c r="CA288" s="93">
        <f>SUM($Z288:AT288)-SUM($CM288:DG288)</f>
        <v>65522</v>
      </c>
      <c r="CB288" s="93">
        <f>SUM($Z288:AU288)-SUM($CM288:DH288)</f>
        <v>65522</v>
      </c>
      <c r="CC288" s="93">
        <f>SUM($Z288:AV288)-SUM($CM288:DI288)</f>
        <v>65522</v>
      </c>
      <c r="CD288" s="93">
        <f>SUM($Z288:AW288)-SUM($CM288:DJ288)</f>
        <v>65522</v>
      </c>
      <c r="CE288" s="93">
        <f>SUM($Z288:AX288)-SUM($CM288:DK288)</f>
        <v>65522</v>
      </c>
      <c r="CF288" s="93">
        <f>SUM($Z288:AY288)-SUM($CM288:DL288)</f>
        <v>65522</v>
      </c>
      <c r="CG288" s="93">
        <f>SUM($Z288:AZ288)-SUM($CM288:DM288)</f>
        <v>65522</v>
      </c>
      <c r="CH288" s="93">
        <f>SUM($Z288:BA288)-SUM($CM288:DN288)</f>
        <v>65522</v>
      </c>
      <c r="CI288" s="93">
        <f>SUM($Z288:BB288)-SUM($CM288:DO288)</f>
        <v>65522</v>
      </c>
      <c r="CJ288" s="93"/>
      <c r="CK288" s="93"/>
      <c r="CL288" s="93"/>
      <c r="CM288" s="93"/>
      <c r="CN288" s="93" cm="1">
        <f t="array" ref="CN288">SUMPRODUCT(TRANSPOSE(CN$4:CN$20),$G288:$W288)</f>
        <v>0</v>
      </c>
      <c r="CO288" s="93" cm="1">
        <f t="array" ref="CO288">SUMPRODUCT(TRANSPOSE(CO$4:CO$20),$G288:$W288)</f>
        <v>0</v>
      </c>
      <c r="CP288" s="93" cm="1">
        <f t="array" ref="CP288">SUMPRODUCT(TRANSPOSE(CP$4:CP$20),$G288:$W288)</f>
        <v>0</v>
      </c>
      <c r="CQ288" s="93" cm="1">
        <f t="array" ref="CQ288">SUMPRODUCT(TRANSPOSE(CQ$4:CQ$20),$G288:$W288)</f>
        <v>12820</v>
      </c>
      <c r="CR288" s="93" cm="1">
        <f t="array" ref="CR288">SUMPRODUCT(TRANSPOSE(CR$4:CR$20),$G288:$W288)</f>
        <v>11820</v>
      </c>
      <c r="CS288" s="93" cm="1">
        <f t="array" ref="CS288">SUMPRODUCT(TRANSPOSE(CS$4:CS$20),$G288:$W288)</f>
        <v>11195</v>
      </c>
      <c r="CT288" s="93" cm="1">
        <f t="array" ref="CT288">SUMPRODUCT(TRANSPOSE(CT$4:CT$20),$G288:$W288)</f>
        <v>10600</v>
      </c>
      <c r="CU288" s="93" cm="1">
        <f t="array" ref="CU288">SUMPRODUCT(TRANSPOSE(CU$4:CU$20),$G288:$W288)</f>
        <v>10600</v>
      </c>
      <c r="CV288" s="93" cm="1">
        <f t="array" ref="CV288">SUMPRODUCT(TRANSPOSE(CV$4:CV$20),$G288:$W288)</f>
        <v>10600</v>
      </c>
      <c r="CW288" s="93" cm="1">
        <f t="array" ref="CW288">SUMPRODUCT(TRANSPOSE(CW$4:CW$20),$G288:$W288)</f>
        <v>10600</v>
      </c>
      <c r="CX288" s="93" cm="1">
        <f t="array" ref="CX288">SUMPRODUCT(TRANSPOSE(CX$4:CX$20),$G288:$W288)</f>
        <v>10600</v>
      </c>
      <c r="CY288" s="93" cm="1">
        <f t="array" ref="CY288">SUMPRODUCT(TRANSPOSE(CY$4:CY$20),$G288:$W288)</f>
        <v>7528</v>
      </c>
      <c r="CZ288" s="93" cm="1">
        <f t="array" ref="CZ288">SUMPRODUCT(TRANSPOSE(CZ$4:CZ$20),$G288:$W288)</f>
        <v>7528</v>
      </c>
      <c r="DA288" s="93" cm="1">
        <f t="array" ref="DA288">SUMPRODUCT(TRANSPOSE(DA$4:DA$20),$G288:$W288)</f>
        <v>7528</v>
      </c>
      <c r="DB288" s="93" cm="1">
        <f t="array" ref="DB288">SUMPRODUCT(TRANSPOSE(DB$4:DB$20),$G288:$W288)</f>
        <v>1874</v>
      </c>
      <c r="DC288" s="93" cm="1">
        <f t="array" ref="DC288">SUMPRODUCT(TRANSPOSE(DC$4:DC$20),$G288:$W288)</f>
        <v>156</v>
      </c>
      <c r="DD288" s="93" cm="1">
        <f t="array" ref="DD288">SUMPRODUCT(TRANSPOSE(DD$4:DD$20),$G288:$W288)</f>
        <v>0</v>
      </c>
      <c r="DE288" s="93" cm="1">
        <f t="array" ref="DE288">SUMPRODUCT(TRANSPOSE(DE$4:DE$20),$G288:$W288)</f>
        <v>0</v>
      </c>
      <c r="DF288" s="93" cm="1">
        <f t="array" ref="DF288">SUMPRODUCT(TRANSPOSE(DF$4:DF$20),$G288:$W288)</f>
        <v>0</v>
      </c>
      <c r="DG288" s="93" cm="1">
        <f t="array" ref="DG288">SUMPRODUCT(TRANSPOSE(DG$4:DG$20),$G288:$W288)</f>
        <v>0</v>
      </c>
      <c r="DH288" s="93" cm="1">
        <f t="array" ref="DH288">SUMPRODUCT(TRANSPOSE(DH$4:DH$20),$G288:$W288)</f>
        <v>0</v>
      </c>
      <c r="DI288" s="93" cm="1">
        <f t="array" ref="DI288">SUMPRODUCT(TRANSPOSE(DI$4:DI$20),$G288:$W288)</f>
        <v>0</v>
      </c>
      <c r="DJ288" s="93" cm="1">
        <f t="array" ref="DJ288">SUMPRODUCT(TRANSPOSE(DJ$4:DJ$20),$G288:$W288)</f>
        <v>0</v>
      </c>
      <c r="DK288" s="93" cm="1">
        <f t="array" ref="DK288">SUMPRODUCT(TRANSPOSE(DK$4:DK$20),$G288:$W288)</f>
        <v>0</v>
      </c>
      <c r="DL288" s="93" cm="1">
        <f t="array" ref="DL288">SUMPRODUCT(TRANSPOSE(DL$4:DL$20),$G288:$W288)</f>
        <v>0</v>
      </c>
      <c r="DM288" s="93" cm="1">
        <f t="array" ref="DM288">SUMPRODUCT(TRANSPOSE(DM$4:DM$20),$G288:$W288)</f>
        <v>0</v>
      </c>
      <c r="DN288" s="93" cm="1">
        <f t="array" ref="DN288">SUMPRODUCT(TRANSPOSE(DN$4:DN$20),$G288:$W288)</f>
        <v>0</v>
      </c>
      <c r="DO288" s="93" cm="1">
        <f t="array" ref="DO288">SUMPRODUCT(TRANSPOSE(DO$4:DO$20),$G288:$W288)</f>
        <v>0</v>
      </c>
    </row>
    <row r="289" spans="1:119" x14ac:dyDescent="0.2">
      <c r="A289" s="45">
        <f t="shared" si="30"/>
        <v>268</v>
      </c>
      <c r="B289" s="46" t="s">
        <v>652</v>
      </c>
      <c r="C289" s="45">
        <v>514201029</v>
      </c>
      <c r="D289" s="45" t="s">
        <v>653</v>
      </c>
      <c r="E289" s="45" t="s">
        <v>162</v>
      </c>
      <c r="F289" s="48">
        <v>2</v>
      </c>
      <c r="G289" s="100">
        <v>16</v>
      </c>
      <c r="H289" s="100">
        <v>0</v>
      </c>
      <c r="I289" s="100">
        <v>4</v>
      </c>
      <c r="J289" s="100">
        <v>0</v>
      </c>
      <c r="K289" s="100">
        <v>5</v>
      </c>
      <c r="L289" s="100">
        <v>0</v>
      </c>
      <c r="M289" s="100">
        <v>0</v>
      </c>
      <c r="N289" s="100">
        <v>0</v>
      </c>
      <c r="O289" s="100">
        <v>4</v>
      </c>
      <c r="P289" s="100">
        <v>0</v>
      </c>
      <c r="Q289" s="100">
        <v>0</v>
      </c>
      <c r="R289" s="100">
        <v>0</v>
      </c>
      <c r="S289" s="100">
        <v>4</v>
      </c>
      <c r="T289" s="100">
        <v>0</v>
      </c>
      <c r="U289" s="100">
        <v>0</v>
      </c>
      <c r="V289" s="100">
        <v>0</v>
      </c>
      <c r="W289" s="100">
        <v>68</v>
      </c>
      <c r="X289" s="45" t="s">
        <v>24</v>
      </c>
      <c r="Y289" s="49">
        <v>2.3199999999999998E-2</v>
      </c>
      <c r="Z289" s="45">
        <v>23291</v>
      </c>
      <c r="AA289" s="45">
        <v>0</v>
      </c>
      <c r="AB289" s="45">
        <v>0</v>
      </c>
      <c r="AC289" s="45">
        <v>0</v>
      </c>
      <c r="AD289" s="45">
        <v>0</v>
      </c>
      <c r="AE289" s="45">
        <v>0</v>
      </c>
      <c r="AF289" s="45">
        <v>0</v>
      </c>
      <c r="AG289" s="45">
        <v>0</v>
      </c>
      <c r="AH289" s="45">
        <v>0</v>
      </c>
      <c r="AI289" s="45">
        <v>0</v>
      </c>
      <c r="AJ289" s="45">
        <v>0</v>
      </c>
      <c r="AK289" s="45">
        <v>0</v>
      </c>
      <c r="AL289" s="45">
        <v>0</v>
      </c>
      <c r="AM289" s="45">
        <v>0</v>
      </c>
      <c r="AN289" s="45">
        <v>0</v>
      </c>
      <c r="AO289" s="45"/>
      <c r="AP289" s="45"/>
      <c r="AQ289" s="45"/>
      <c r="AR289" s="45"/>
      <c r="AS289" s="45"/>
      <c r="AT289" s="45"/>
      <c r="AU289" s="45"/>
      <c r="AV289" s="45"/>
      <c r="AW289" s="45"/>
      <c r="AX289" s="45"/>
      <c r="AY289" s="45"/>
      <c r="AZ289" s="45"/>
      <c r="BA289" s="45"/>
      <c r="BB289" s="45"/>
      <c r="BC289" s="45"/>
      <c r="BD289" s="93"/>
      <c r="BE289" s="93"/>
      <c r="BF289" s="93"/>
      <c r="BG289" s="93"/>
      <c r="BH289" s="93"/>
      <c r="BI289" s="93"/>
      <c r="BJ289" s="93"/>
      <c r="BK289" s="93">
        <f>SUM($Z289:AD289)-SUM($CM289:CQ289)</f>
        <v>21691</v>
      </c>
      <c r="BL289" s="93">
        <f>SUM($Z289:AE289)-SUM($CM289:CR289)</f>
        <v>20123</v>
      </c>
      <c r="BM289" s="93">
        <f>SUM($Z289:AF289)-SUM($CM289:CS289)</f>
        <v>18575</v>
      </c>
      <c r="BN289" s="93">
        <f>SUM($Z289:AG289)-SUM($CM289:CT289)</f>
        <v>17047</v>
      </c>
      <c r="BO289" s="93">
        <f>SUM($Z289:AH289)-SUM($CM289:CU289)</f>
        <v>15519</v>
      </c>
      <c r="BP289" s="93">
        <f>SUM($Z289:AI289)-SUM($CM289:CV289)</f>
        <v>13991</v>
      </c>
      <c r="BQ289" s="93">
        <f>SUM($Z289:AJ289)-SUM($CM289:CW289)</f>
        <v>12463</v>
      </c>
      <c r="BR289" s="93">
        <f>SUM($Z289:AK289)-SUM($CM289:CX289)</f>
        <v>10935</v>
      </c>
      <c r="BS289" s="93">
        <f>SUM($Z289:AL289)-SUM($CM289:CY289)</f>
        <v>10495</v>
      </c>
      <c r="BT289" s="93">
        <f>SUM($Z289:AM289)-SUM($CM289:CZ289)</f>
        <v>10055</v>
      </c>
      <c r="BU289" s="93">
        <f>SUM($Z289:AN289)-SUM($CM289:DA289)</f>
        <v>9615</v>
      </c>
      <c r="BV289" s="93">
        <f>SUM($Z289:AO289)-SUM($CM289:DB289)</f>
        <v>9359</v>
      </c>
      <c r="BW289" s="93">
        <f>SUM($Z289:AP289)-SUM($CM289:DC289)</f>
        <v>9209</v>
      </c>
      <c r="BX289" s="93">
        <f>SUM($Z289:AQ289)-SUM($CM289:DD289)</f>
        <v>9209</v>
      </c>
      <c r="BY289" s="93">
        <f>SUM($Z289:AR289)-SUM($CM289:DE289)</f>
        <v>9209</v>
      </c>
      <c r="BZ289" s="93">
        <f>SUM($Z289:AS289)-SUM($CM289:DF289)</f>
        <v>9209</v>
      </c>
      <c r="CA289" s="93">
        <f>SUM($Z289:AT289)-SUM($CM289:DG289)</f>
        <v>9209</v>
      </c>
      <c r="CB289" s="93">
        <f>SUM($Z289:AU289)-SUM($CM289:DH289)</f>
        <v>9209</v>
      </c>
      <c r="CC289" s="93">
        <f>SUM($Z289:AV289)-SUM($CM289:DI289)</f>
        <v>9209</v>
      </c>
      <c r="CD289" s="93">
        <f>SUM($Z289:AW289)-SUM($CM289:DJ289)</f>
        <v>9209</v>
      </c>
      <c r="CE289" s="93">
        <f>SUM($Z289:AX289)-SUM($CM289:DK289)</f>
        <v>9209</v>
      </c>
      <c r="CF289" s="93">
        <f>SUM($Z289:AY289)-SUM($CM289:DL289)</f>
        <v>9209</v>
      </c>
      <c r="CG289" s="93">
        <f>SUM($Z289:AZ289)-SUM($CM289:DM289)</f>
        <v>9209</v>
      </c>
      <c r="CH289" s="93">
        <f>SUM($Z289:BA289)-SUM($CM289:DN289)</f>
        <v>9209</v>
      </c>
      <c r="CI289" s="93">
        <f>SUM($Z289:BB289)-SUM($CM289:DO289)</f>
        <v>9209</v>
      </c>
      <c r="CJ289" s="93"/>
      <c r="CK289" s="93"/>
      <c r="CL289" s="93"/>
      <c r="CM289" s="93"/>
      <c r="CN289" s="93" cm="1">
        <f t="array" ref="CN289">SUMPRODUCT(TRANSPOSE(CN$4:CN$20),$G289:$W289)</f>
        <v>0</v>
      </c>
      <c r="CO289" s="93" cm="1">
        <f t="array" ref="CO289">SUMPRODUCT(TRANSPOSE(CO$4:CO$20),$G289:$W289)</f>
        <v>0</v>
      </c>
      <c r="CP289" s="93" cm="1">
        <f t="array" ref="CP289">SUMPRODUCT(TRANSPOSE(CP$4:CP$20),$G289:$W289)</f>
        <v>0</v>
      </c>
      <c r="CQ289" s="93" cm="1">
        <f t="array" ref="CQ289">SUMPRODUCT(TRANSPOSE(CQ$4:CQ$20),$G289:$W289)</f>
        <v>1600</v>
      </c>
      <c r="CR289" s="93" cm="1">
        <f t="array" ref="CR289">SUMPRODUCT(TRANSPOSE(CR$4:CR$20),$G289:$W289)</f>
        <v>1568</v>
      </c>
      <c r="CS289" s="93" cm="1">
        <f t="array" ref="CS289">SUMPRODUCT(TRANSPOSE(CS$4:CS$20),$G289:$W289)</f>
        <v>1548</v>
      </c>
      <c r="CT289" s="93" cm="1">
        <f t="array" ref="CT289">SUMPRODUCT(TRANSPOSE(CT$4:CT$20),$G289:$W289)</f>
        <v>1528</v>
      </c>
      <c r="CU289" s="93" cm="1">
        <f t="array" ref="CU289">SUMPRODUCT(TRANSPOSE(CU$4:CU$20),$G289:$W289)</f>
        <v>1528</v>
      </c>
      <c r="CV289" s="93" cm="1">
        <f t="array" ref="CV289">SUMPRODUCT(TRANSPOSE(CV$4:CV$20),$G289:$W289)</f>
        <v>1528</v>
      </c>
      <c r="CW289" s="93" cm="1">
        <f t="array" ref="CW289">SUMPRODUCT(TRANSPOSE(CW$4:CW$20),$G289:$W289)</f>
        <v>1528</v>
      </c>
      <c r="CX289" s="93" cm="1">
        <f t="array" ref="CX289">SUMPRODUCT(TRANSPOSE(CX$4:CX$20),$G289:$W289)</f>
        <v>1528</v>
      </c>
      <c r="CY289" s="93" cm="1">
        <f t="array" ref="CY289">SUMPRODUCT(TRANSPOSE(CY$4:CY$20),$G289:$W289)</f>
        <v>440</v>
      </c>
      <c r="CZ289" s="93" cm="1">
        <f t="array" ref="CZ289">SUMPRODUCT(TRANSPOSE(CZ$4:CZ$20),$G289:$W289)</f>
        <v>440</v>
      </c>
      <c r="DA289" s="93" cm="1">
        <f t="array" ref="DA289">SUMPRODUCT(TRANSPOSE(DA$4:DA$20),$G289:$W289)</f>
        <v>440</v>
      </c>
      <c r="DB289" s="93" cm="1">
        <f t="array" ref="DB289">SUMPRODUCT(TRANSPOSE(DB$4:DB$20),$G289:$W289)</f>
        <v>256</v>
      </c>
      <c r="DC289" s="93" cm="1">
        <f t="array" ref="DC289">SUMPRODUCT(TRANSPOSE(DC$4:DC$20),$G289:$W289)</f>
        <v>150</v>
      </c>
      <c r="DD289" s="93" cm="1">
        <f t="array" ref="DD289">SUMPRODUCT(TRANSPOSE(DD$4:DD$20),$G289:$W289)</f>
        <v>0</v>
      </c>
      <c r="DE289" s="93" cm="1">
        <f t="array" ref="DE289">SUMPRODUCT(TRANSPOSE(DE$4:DE$20),$G289:$W289)</f>
        <v>0</v>
      </c>
      <c r="DF289" s="93" cm="1">
        <f t="array" ref="DF289">SUMPRODUCT(TRANSPOSE(DF$4:DF$20),$G289:$W289)</f>
        <v>0</v>
      </c>
      <c r="DG289" s="93" cm="1">
        <f t="array" ref="DG289">SUMPRODUCT(TRANSPOSE(DG$4:DG$20),$G289:$W289)</f>
        <v>0</v>
      </c>
      <c r="DH289" s="93" cm="1">
        <f t="array" ref="DH289">SUMPRODUCT(TRANSPOSE(DH$4:DH$20),$G289:$W289)</f>
        <v>0</v>
      </c>
      <c r="DI289" s="93" cm="1">
        <f t="array" ref="DI289">SUMPRODUCT(TRANSPOSE(DI$4:DI$20),$G289:$W289)</f>
        <v>0</v>
      </c>
      <c r="DJ289" s="93" cm="1">
        <f t="array" ref="DJ289">SUMPRODUCT(TRANSPOSE(DJ$4:DJ$20),$G289:$W289)</f>
        <v>0</v>
      </c>
      <c r="DK289" s="93" cm="1">
        <f t="array" ref="DK289">SUMPRODUCT(TRANSPOSE(DK$4:DK$20),$G289:$W289)</f>
        <v>0</v>
      </c>
      <c r="DL289" s="93" cm="1">
        <f t="array" ref="DL289">SUMPRODUCT(TRANSPOSE(DL$4:DL$20),$G289:$W289)</f>
        <v>0</v>
      </c>
      <c r="DM289" s="93" cm="1">
        <f t="array" ref="DM289">SUMPRODUCT(TRANSPOSE(DM$4:DM$20),$G289:$W289)</f>
        <v>0</v>
      </c>
      <c r="DN289" s="93" cm="1">
        <f t="array" ref="DN289">SUMPRODUCT(TRANSPOSE(DN$4:DN$20),$G289:$W289)</f>
        <v>0</v>
      </c>
      <c r="DO289" s="93" cm="1">
        <f t="array" ref="DO289">SUMPRODUCT(TRANSPOSE(DO$4:DO$20),$G289:$W289)</f>
        <v>0</v>
      </c>
    </row>
    <row r="290" spans="1:119" x14ac:dyDescent="0.2">
      <c r="A290" s="45">
        <f t="shared" si="30"/>
        <v>269</v>
      </c>
      <c r="B290" s="46" t="s">
        <v>654</v>
      </c>
      <c r="C290" s="45">
        <v>513206524</v>
      </c>
      <c r="D290" s="45" t="s">
        <v>655</v>
      </c>
      <c r="E290" s="45" t="s">
        <v>162</v>
      </c>
      <c r="F290" s="48">
        <v>2</v>
      </c>
      <c r="G290" s="100">
        <v>0</v>
      </c>
      <c r="H290" s="100">
        <v>0</v>
      </c>
      <c r="I290" s="100">
        <v>0</v>
      </c>
      <c r="J290" s="100">
        <v>0</v>
      </c>
      <c r="K290" s="100">
        <v>0</v>
      </c>
      <c r="L290" s="100">
        <v>0</v>
      </c>
      <c r="M290" s="100">
        <v>0</v>
      </c>
      <c r="N290" s="100">
        <v>0</v>
      </c>
      <c r="O290" s="100">
        <v>0</v>
      </c>
      <c r="P290" s="100">
        <v>0</v>
      </c>
      <c r="Q290" s="100">
        <v>0</v>
      </c>
      <c r="R290" s="100">
        <v>2</v>
      </c>
      <c r="S290" s="100">
        <v>0</v>
      </c>
      <c r="T290" s="100">
        <v>0</v>
      </c>
      <c r="U290" s="100">
        <v>0</v>
      </c>
      <c r="V290" s="100">
        <v>2</v>
      </c>
      <c r="W290" s="100">
        <v>0</v>
      </c>
      <c r="X290" s="45" t="s">
        <v>24</v>
      </c>
      <c r="Y290" s="49">
        <v>0.32500000000000001</v>
      </c>
      <c r="Z290" s="45">
        <v>2177</v>
      </c>
      <c r="AA290" s="45">
        <v>0</v>
      </c>
      <c r="AB290" s="45">
        <v>0</v>
      </c>
      <c r="AC290" s="45">
        <v>0</v>
      </c>
      <c r="AD290" s="45">
        <v>0</v>
      </c>
      <c r="AE290" s="45">
        <v>0</v>
      </c>
      <c r="AF290" s="45">
        <v>0</v>
      </c>
      <c r="AG290" s="45">
        <v>0</v>
      </c>
      <c r="AH290" s="45">
        <v>0</v>
      </c>
      <c r="AI290" s="45">
        <v>0</v>
      </c>
      <c r="AJ290" s="45">
        <v>0</v>
      </c>
      <c r="AK290" s="45">
        <v>0</v>
      </c>
      <c r="AL290" s="45">
        <v>0</v>
      </c>
      <c r="AM290" s="45">
        <v>0</v>
      </c>
      <c r="AN290" s="45">
        <v>0</v>
      </c>
      <c r="AO290" s="45"/>
      <c r="AP290" s="45"/>
      <c r="AQ290" s="45"/>
      <c r="AR290" s="45"/>
      <c r="AS290" s="45"/>
      <c r="AT290" s="45"/>
      <c r="AU290" s="45"/>
      <c r="AV290" s="45"/>
      <c r="AW290" s="45"/>
      <c r="AX290" s="45"/>
      <c r="AY290" s="45"/>
      <c r="AZ290" s="45"/>
      <c r="BA290" s="45"/>
      <c r="BB290" s="45"/>
      <c r="BC290" s="45"/>
      <c r="BD290" s="93"/>
      <c r="BE290" s="93"/>
      <c r="BF290" s="93"/>
      <c r="BG290" s="93"/>
      <c r="BH290" s="93"/>
      <c r="BI290" s="93"/>
      <c r="BJ290" s="93"/>
      <c r="BK290" s="93">
        <f>SUM($Z290:AD290)-SUM($CM290:CQ290)</f>
        <v>2037</v>
      </c>
      <c r="BL290" s="93">
        <f>SUM($Z290:AE290)-SUM($CM290:CR290)</f>
        <v>1897</v>
      </c>
      <c r="BM290" s="93">
        <f>SUM($Z290:AF290)-SUM($CM290:CS290)</f>
        <v>1757</v>
      </c>
      <c r="BN290" s="93">
        <f>SUM($Z290:AG290)-SUM($CM290:CT290)</f>
        <v>1617</v>
      </c>
      <c r="BO290" s="93">
        <f>SUM($Z290:AH290)-SUM($CM290:CU290)</f>
        <v>1477</v>
      </c>
      <c r="BP290" s="93">
        <f>SUM($Z290:AI290)-SUM($CM290:CV290)</f>
        <v>1337</v>
      </c>
      <c r="BQ290" s="93">
        <f>SUM($Z290:AJ290)-SUM($CM290:CW290)</f>
        <v>1197</v>
      </c>
      <c r="BR290" s="93">
        <f>SUM($Z290:AK290)-SUM($CM290:CX290)</f>
        <v>1057</v>
      </c>
      <c r="BS290" s="93">
        <f>SUM($Z290:AL290)-SUM($CM290:CY290)</f>
        <v>917</v>
      </c>
      <c r="BT290" s="93">
        <f>SUM($Z290:AM290)-SUM($CM290:CZ290)</f>
        <v>847</v>
      </c>
      <c r="BU290" s="93">
        <f>SUM($Z290:AN290)-SUM($CM290:DA290)</f>
        <v>847</v>
      </c>
      <c r="BV290" s="93">
        <f>SUM($Z290:AO290)-SUM($CM290:DB290)</f>
        <v>847</v>
      </c>
      <c r="BW290" s="93">
        <f>SUM($Z290:AP290)-SUM($CM290:DC290)</f>
        <v>847</v>
      </c>
      <c r="BX290" s="93">
        <f>SUM($Z290:AQ290)-SUM($CM290:DD290)</f>
        <v>847</v>
      </c>
      <c r="BY290" s="93">
        <f>SUM($Z290:AR290)-SUM($CM290:DE290)</f>
        <v>847</v>
      </c>
      <c r="BZ290" s="93">
        <f>SUM($Z290:AS290)-SUM($CM290:DF290)</f>
        <v>847</v>
      </c>
      <c r="CA290" s="93">
        <f>SUM($Z290:AT290)-SUM($CM290:DG290)</f>
        <v>847</v>
      </c>
      <c r="CB290" s="93">
        <f>SUM($Z290:AU290)-SUM($CM290:DH290)</f>
        <v>847</v>
      </c>
      <c r="CC290" s="93">
        <f>SUM($Z290:AV290)-SUM($CM290:DI290)</f>
        <v>847</v>
      </c>
      <c r="CD290" s="93">
        <f>SUM($Z290:AW290)-SUM($CM290:DJ290)</f>
        <v>847</v>
      </c>
      <c r="CE290" s="93">
        <f>SUM($Z290:AX290)-SUM($CM290:DK290)</f>
        <v>847</v>
      </c>
      <c r="CF290" s="93">
        <f>SUM($Z290:AY290)-SUM($CM290:DL290)</f>
        <v>847</v>
      </c>
      <c r="CG290" s="93">
        <f>SUM($Z290:AZ290)-SUM($CM290:DM290)</f>
        <v>847</v>
      </c>
      <c r="CH290" s="93">
        <f>SUM($Z290:BA290)-SUM($CM290:DN290)</f>
        <v>847</v>
      </c>
      <c r="CI290" s="93">
        <f>SUM($Z290:BB290)-SUM($CM290:DO290)</f>
        <v>847</v>
      </c>
      <c r="CJ290" s="93"/>
      <c r="CK290" s="93"/>
      <c r="CL290" s="93"/>
      <c r="CM290" s="93"/>
      <c r="CN290" s="93" cm="1">
        <f t="array" ref="CN290">SUMPRODUCT(TRANSPOSE(CN$4:CN$20),$G290:$W290)</f>
        <v>0</v>
      </c>
      <c r="CO290" s="93" cm="1">
        <f t="array" ref="CO290">SUMPRODUCT(TRANSPOSE(CO$4:CO$20),$G290:$W290)</f>
        <v>0</v>
      </c>
      <c r="CP290" s="93" cm="1">
        <f t="array" ref="CP290">SUMPRODUCT(TRANSPOSE(CP$4:CP$20),$G290:$W290)</f>
        <v>0</v>
      </c>
      <c r="CQ290" s="93" cm="1">
        <f t="array" ref="CQ290">SUMPRODUCT(TRANSPOSE(CQ$4:CQ$20),$G290:$W290)</f>
        <v>140</v>
      </c>
      <c r="CR290" s="93" cm="1">
        <f t="array" ref="CR290">SUMPRODUCT(TRANSPOSE(CR$4:CR$20),$G290:$W290)</f>
        <v>140</v>
      </c>
      <c r="CS290" s="93" cm="1">
        <f t="array" ref="CS290">SUMPRODUCT(TRANSPOSE(CS$4:CS$20),$G290:$W290)</f>
        <v>140</v>
      </c>
      <c r="CT290" s="93" cm="1">
        <f t="array" ref="CT290">SUMPRODUCT(TRANSPOSE(CT$4:CT$20),$G290:$W290)</f>
        <v>140</v>
      </c>
      <c r="CU290" s="93" cm="1">
        <f t="array" ref="CU290">SUMPRODUCT(TRANSPOSE(CU$4:CU$20),$G290:$W290)</f>
        <v>140</v>
      </c>
      <c r="CV290" s="93" cm="1">
        <f t="array" ref="CV290">SUMPRODUCT(TRANSPOSE(CV$4:CV$20),$G290:$W290)</f>
        <v>140</v>
      </c>
      <c r="CW290" s="93" cm="1">
        <f t="array" ref="CW290">SUMPRODUCT(TRANSPOSE(CW$4:CW$20),$G290:$W290)</f>
        <v>140</v>
      </c>
      <c r="CX290" s="93" cm="1">
        <f t="array" ref="CX290">SUMPRODUCT(TRANSPOSE(CX$4:CX$20),$G290:$W290)</f>
        <v>140</v>
      </c>
      <c r="CY290" s="93" cm="1">
        <f t="array" ref="CY290">SUMPRODUCT(TRANSPOSE(CY$4:CY$20),$G290:$W290)</f>
        <v>140</v>
      </c>
      <c r="CZ290" s="93" cm="1">
        <f t="array" ref="CZ290">SUMPRODUCT(TRANSPOSE(CZ$4:CZ$20),$G290:$W290)</f>
        <v>70</v>
      </c>
      <c r="DA290" s="93" cm="1">
        <f t="array" ref="DA290">SUMPRODUCT(TRANSPOSE(DA$4:DA$20),$G290:$W290)</f>
        <v>0</v>
      </c>
      <c r="DB290" s="93" cm="1">
        <f t="array" ref="DB290">SUMPRODUCT(TRANSPOSE(DB$4:DB$20),$G290:$W290)</f>
        <v>0</v>
      </c>
      <c r="DC290" s="93" cm="1">
        <f t="array" ref="DC290">SUMPRODUCT(TRANSPOSE(DC$4:DC$20),$G290:$W290)</f>
        <v>0</v>
      </c>
      <c r="DD290" s="93" cm="1">
        <f t="array" ref="DD290">SUMPRODUCT(TRANSPOSE(DD$4:DD$20),$G290:$W290)</f>
        <v>0</v>
      </c>
      <c r="DE290" s="93" cm="1">
        <f t="array" ref="DE290">SUMPRODUCT(TRANSPOSE(DE$4:DE$20),$G290:$W290)</f>
        <v>0</v>
      </c>
      <c r="DF290" s="93" cm="1">
        <f t="array" ref="DF290">SUMPRODUCT(TRANSPOSE(DF$4:DF$20),$G290:$W290)</f>
        <v>0</v>
      </c>
      <c r="DG290" s="93" cm="1">
        <f t="array" ref="DG290">SUMPRODUCT(TRANSPOSE(DG$4:DG$20),$G290:$W290)</f>
        <v>0</v>
      </c>
      <c r="DH290" s="93" cm="1">
        <f t="array" ref="DH290">SUMPRODUCT(TRANSPOSE(DH$4:DH$20),$G290:$W290)</f>
        <v>0</v>
      </c>
      <c r="DI290" s="93" cm="1">
        <f t="array" ref="DI290">SUMPRODUCT(TRANSPOSE(DI$4:DI$20),$G290:$W290)</f>
        <v>0</v>
      </c>
      <c r="DJ290" s="93" cm="1">
        <f t="array" ref="DJ290">SUMPRODUCT(TRANSPOSE(DJ$4:DJ$20),$G290:$W290)</f>
        <v>0</v>
      </c>
      <c r="DK290" s="93" cm="1">
        <f t="array" ref="DK290">SUMPRODUCT(TRANSPOSE(DK$4:DK$20),$G290:$W290)</f>
        <v>0</v>
      </c>
      <c r="DL290" s="93" cm="1">
        <f t="array" ref="DL290">SUMPRODUCT(TRANSPOSE(DL$4:DL$20),$G290:$W290)</f>
        <v>0</v>
      </c>
      <c r="DM290" s="93" cm="1">
        <f t="array" ref="DM290">SUMPRODUCT(TRANSPOSE(DM$4:DM$20),$G290:$W290)</f>
        <v>0</v>
      </c>
      <c r="DN290" s="93" cm="1">
        <f t="array" ref="DN290">SUMPRODUCT(TRANSPOSE(DN$4:DN$20),$G290:$W290)</f>
        <v>0</v>
      </c>
      <c r="DO290" s="93" cm="1">
        <f t="array" ref="DO290">SUMPRODUCT(TRANSPOSE(DO$4:DO$20),$G290:$W290)</f>
        <v>0</v>
      </c>
    </row>
    <row r="291" spans="1:119" x14ac:dyDescent="0.2">
      <c r="A291" s="45">
        <f t="shared" si="30"/>
        <v>270</v>
      </c>
      <c r="B291" s="46" t="s">
        <v>656</v>
      </c>
      <c r="C291" s="45">
        <v>400022971</v>
      </c>
      <c r="D291" s="45" t="s">
        <v>657</v>
      </c>
      <c r="E291" s="45" t="s">
        <v>162</v>
      </c>
      <c r="F291" s="48">
        <v>2</v>
      </c>
      <c r="G291" s="100">
        <v>0</v>
      </c>
      <c r="H291" s="100">
        <v>0</v>
      </c>
      <c r="I291" s="100">
        <v>0</v>
      </c>
      <c r="J291" s="100">
        <v>0</v>
      </c>
      <c r="K291" s="100">
        <v>0</v>
      </c>
      <c r="L291" s="100">
        <v>0</v>
      </c>
      <c r="M291" s="100">
        <v>0</v>
      </c>
      <c r="N291" s="100">
        <v>0</v>
      </c>
      <c r="O291" s="100">
        <v>0</v>
      </c>
      <c r="P291" s="100">
        <v>0</v>
      </c>
      <c r="Q291" s="100">
        <v>40</v>
      </c>
      <c r="R291" s="100">
        <v>0</v>
      </c>
      <c r="S291" s="100">
        <v>0</v>
      </c>
      <c r="T291" s="100">
        <v>0</v>
      </c>
      <c r="U291" s="100">
        <v>6</v>
      </c>
      <c r="V291" s="100">
        <v>0</v>
      </c>
      <c r="W291" s="100">
        <v>0</v>
      </c>
      <c r="X291" s="45" t="s">
        <v>63</v>
      </c>
      <c r="Y291" s="49">
        <v>2.7216000000000001E-2</v>
      </c>
      <c r="Z291" s="45">
        <v>45000</v>
      </c>
      <c r="AA291" s="45">
        <v>0</v>
      </c>
      <c r="AB291" s="45">
        <v>0</v>
      </c>
      <c r="AC291" s="45">
        <v>0</v>
      </c>
      <c r="AD291" s="45">
        <v>0</v>
      </c>
      <c r="AE291" s="45">
        <v>0</v>
      </c>
      <c r="AF291" s="45">
        <v>0</v>
      </c>
      <c r="AG291" s="45">
        <v>0</v>
      </c>
      <c r="AH291" s="45">
        <v>0</v>
      </c>
      <c r="AI291" s="45">
        <v>0</v>
      </c>
      <c r="AJ291" s="45">
        <v>0</v>
      </c>
      <c r="AK291" s="45">
        <v>0</v>
      </c>
      <c r="AL291" s="45">
        <v>0</v>
      </c>
      <c r="AM291" s="45">
        <v>0</v>
      </c>
      <c r="AN291" s="45">
        <v>0</v>
      </c>
      <c r="AO291" s="45"/>
      <c r="AP291" s="45"/>
      <c r="AQ291" s="45"/>
      <c r="AR291" s="45"/>
      <c r="AS291" s="45"/>
      <c r="AT291" s="45"/>
      <c r="AU291" s="45"/>
      <c r="AV291" s="45"/>
      <c r="AW291" s="45"/>
      <c r="AX291" s="45"/>
      <c r="AY291" s="45"/>
      <c r="AZ291" s="45"/>
      <c r="BA291" s="45"/>
      <c r="BB291" s="45"/>
      <c r="BC291" s="45"/>
      <c r="BD291" s="93"/>
      <c r="BE291" s="93"/>
      <c r="BF291" s="93"/>
      <c r="BG291" s="93"/>
      <c r="BH291" s="93"/>
      <c r="BI291" s="93"/>
      <c r="BJ291" s="93"/>
      <c r="BK291" s="93">
        <f>SUM($Z291:AD291)-SUM($CM291:CQ291)</f>
        <v>43342</v>
      </c>
      <c r="BL291" s="93">
        <f>SUM($Z291:AE291)-SUM($CM291:CR291)</f>
        <v>41732</v>
      </c>
      <c r="BM291" s="93">
        <f>SUM($Z291:AF291)-SUM($CM291:CS291)</f>
        <v>40152</v>
      </c>
      <c r="BN291" s="93">
        <f>SUM($Z291:AG291)-SUM($CM291:CT291)</f>
        <v>38772</v>
      </c>
      <c r="BO291" s="93">
        <f>SUM($Z291:AH291)-SUM($CM291:CU291)</f>
        <v>37392</v>
      </c>
      <c r="BP291" s="93">
        <f>SUM($Z291:AI291)-SUM($CM291:CV291)</f>
        <v>36012</v>
      </c>
      <c r="BQ291" s="93">
        <f>SUM($Z291:AJ291)-SUM($CM291:CW291)</f>
        <v>34632</v>
      </c>
      <c r="BR291" s="93">
        <f>SUM($Z291:AK291)-SUM($CM291:CX291)</f>
        <v>33252</v>
      </c>
      <c r="BS291" s="93">
        <f>SUM($Z291:AL291)-SUM($CM291:CY291)</f>
        <v>31872</v>
      </c>
      <c r="BT291" s="93">
        <f>SUM($Z291:AM291)-SUM($CM291:CZ291)</f>
        <v>30492</v>
      </c>
      <c r="BU291" s="93">
        <f>SUM($Z291:AN291)-SUM($CM291:DA291)</f>
        <v>29112</v>
      </c>
      <c r="BV291" s="93">
        <f>SUM($Z291:AO291)-SUM($CM291:DB291)</f>
        <v>28552</v>
      </c>
      <c r="BW291" s="93">
        <f>SUM($Z291:AP291)-SUM($CM291:DC291)</f>
        <v>28552</v>
      </c>
      <c r="BX291" s="93">
        <f>SUM($Z291:AQ291)-SUM($CM291:DD291)</f>
        <v>28552</v>
      </c>
      <c r="BY291" s="93">
        <f>SUM($Z291:AR291)-SUM($CM291:DE291)</f>
        <v>28552</v>
      </c>
      <c r="BZ291" s="93">
        <f>SUM($Z291:AS291)-SUM($CM291:DF291)</f>
        <v>28552</v>
      </c>
      <c r="CA291" s="93">
        <f>SUM($Z291:AT291)-SUM($CM291:DG291)</f>
        <v>28552</v>
      </c>
      <c r="CB291" s="93">
        <f>SUM($Z291:AU291)-SUM($CM291:DH291)</f>
        <v>28552</v>
      </c>
      <c r="CC291" s="93">
        <f>SUM($Z291:AV291)-SUM($CM291:DI291)</f>
        <v>28552</v>
      </c>
      <c r="CD291" s="93">
        <f>SUM($Z291:AW291)-SUM($CM291:DJ291)</f>
        <v>28552</v>
      </c>
      <c r="CE291" s="93">
        <f>SUM($Z291:AX291)-SUM($CM291:DK291)</f>
        <v>28552</v>
      </c>
      <c r="CF291" s="93">
        <f>SUM($Z291:AY291)-SUM($CM291:DL291)</f>
        <v>28552</v>
      </c>
      <c r="CG291" s="93">
        <f>SUM($Z291:AZ291)-SUM($CM291:DM291)</f>
        <v>28552</v>
      </c>
      <c r="CH291" s="93">
        <f>SUM($Z291:BA291)-SUM($CM291:DN291)</f>
        <v>28552</v>
      </c>
      <c r="CI291" s="93">
        <f>SUM($Z291:BB291)-SUM($CM291:DO291)</f>
        <v>28552</v>
      </c>
      <c r="CJ291" s="93"/>
      <c r="CK291" s="93"/>
      <c r="CL291" s="93"/>
      <c r="CM291" s="93"/>
      <c r="CN291" s="93" cm="1">
        <f t="array" ref="CN291">SUMPRODUCT(TRANSPOSE(CN$4:CN$20),$G291:$W291)</f>
        <v>0</v>
      </c>
      <c r="CO291" s="93" cm="1">
        <f t="array" ref="CO291">SUMPRODUCT(TRANSPOSE(CO$4:CO$20),$G291:$W291)</f>
        <v>0</v>
      </c>
      <c r="CP291" s="93" cm="1">
        <f t="array" ref="CP291">SUMPRODUCT(TRANSPOSE(CP$4:CP$20),$G291:$W291)</f>
        <v>0</v>
      </c>
      <c r="CQ291" s="93" cm="1">
        <f t="array" ref="CQ291">SUMPRODUCT(TRANSPOSE(CQ$4:CQ$20),$G291:$W291)</f>
        <v>1658</v>
      </c>
      <c r="CR291" s="93" cm="1">
        <f t="array" ref="CR291">SUMPRODUCT(TRANSPOSE(CR$4:CR$20),$G291:$W291)</f>
        <v>1610</v>
      </c>
      <c r="CS291" s="93" cm="1">
        <f t="array" ref="CS291">SUMPRODUCT(TRANSPOSE(CS$4:CS$20),$G291:$W291)</f>
        <v>1580</v>
      </c>
      <c r="CT291" s="93" cm="1">
        <f t="array" ref="CT291">SUMPRODUCT(TRANSPOSE(CT$4:CT$20),$G291:$W291)</f>
        <v>1380</v>
      </c>
      <c r="CU291" s="93" cm="1">
        <f t="array" ref="CU291">SUMPRODUCT(TRANSPOSE(CU$4:CU$20),$G291:$W291)</f>
        <v>1380</v>
      </c>
      <c r="CV291" s="93" cm="1">
        <f t="array" ref="CV291">SUMPRODUCT(TRANSPOSE(CV$4:CV$20),$G291:$W291)</f>
        <v>1380</v>
      </c>
      <c r="CW291" s="93" cm="1">
        <f t="array" ref="CW291">SUMPRODUCT(TRANSPOSE(CW$4:CW$20),$G291:$W291)</f>
        <v>1380</v>
      </c>
      <c r="CX291" s="93" cm="1">
        <f t="array" ref="CX291">SUMPRODUCT(TRANSPOSE(CX$4:CX$20),$G291:$W291)</f>
        <v>1380</v>
      </c>
      <c r="CY291" s="93" cm="1">
        <f t="array" ref="CY291">SUMPRODUCT(TRANSPOSE(CY$4:CY$20),$G291:$W291)</f>
        <v>1380</v>
      </c>
      <c r="CZ291" s="93" cm="1">
        <f t="array" ref="CZ291">SUMPRODUCT(TRANSPOSE(CZ$4:CZ$20),$G291:$W291)</f>
        <v>1380</v>
      </c>
      <c r="DA291" s="93" cm="1">
        <f t="array" ref="DA291">SUMPRODUCT(TRANSPOSE(DA$4:DA$20),$G291:$W291)</f>
        <v>1380</v>
      </c>
      <c r="DB291" s="93" cm="1">
        <f t="array" ref="DB291">SUMPRODUCT(TRANSPOSE(DB$4:DB$20),$G291:$W291)</f>
        <v>560</v>
      </c>
      <c r="DC291" s="93" cm="1">
        <f t="array" ref="DC291">SUMPRODUCT(TRANSPOSE(DC$4:DC$20),$G291:$W291)</f>
        <v>0</v>
      </c>
      <c r="DD291" s="93" cm="1">
        <f t="array" ref="DD291">SUMPRODUCT(TRANSPOSE(DD$4:DD$20),$G291:$W291)</f>
        <v>0</v>
      </c>
      <c r="DE291" s="93" cm="1">
        <f t="array" ref="DE291">SUMPRODUCT(TRANSPOSE(DE$4:DE$20),$G291:$W291)</f>
        <v>0</v>
      </c>
      <c r="DF291" s="93" cm="1">
        <f t="array" ref="DF291">SUMPRODUCT(TRANSPOSE(DF$4:DF$20),$G291:$W291)</f>
        <v>0</v>
      </c>
      <c r="DG291" s="93" cm="1">
        <f t="array" ref="DG291">SUMPRODUCT(TRANSPOSE(DG$4:DG$20),$G291:$W291)</f>
        <v>0</v>
      </c>
      <c r="DH291" s="93" cm="1">
        <f t="array" ref="DH291">SUMPRODUCT(TRANSPOSE(DH$4:DH$20),$G291:$W291)</f>
        <v>0</v>
      </c>
      <c r="DI291" s="93" cm="1">
        <f t="array" ref="DI291">SUMPRODUCT(TRANSPOSE(DI$4:DI$20),$G291:$W291)</f>
        <v>0</v>
      </c>
      <c r="DJ291" s="93" cm="1">
        <f t="array" ref="DJ291">SUMPRODUCT(TRANSPOSE(DJ$4:DJ$20),$G291:$W291)</f>
        <v>0</v>
      </c>
      <c r="DK291" s="93" cm="1">
        <f t="array" ref="DK291">SUMPRODUCT(TRANSPOSE(DK$4:DK$20),$G291:$W291)</f>
        <v>0</v>
      </c>
      <c r="DL291" s="93" cm="1">
        <f t="array" ref="DL291">SUMPRODUCT(TRANSPOSE(DL$4:DL$20),$G291:$W291)</f>
        <v>0</v>
      </c>
      <c r="DM291" s="93" cm="1">
        <f t="array" ref="DM291">SUMPRODUCT(TRANSPOSE(DM$4:DM$20),$G291:$W291)</f>
        <v>0</v>
      </c>
      <c r="DN291" s="93" cm="1">
        <f t="array" ref="DN291">SUMPRODUCT(TRANSPOSE(DN$4:DN$20),$G291:$W291)</f>
        <v>0</v>
      </c>
      <c r="DO291" s="93" cm="1">
        <f t="array" ref="DO291">SUMPRODUCT(TRANSPOSE(DO$4:DO$20),$G291:$W291)</f>
        <v>0</v>
      </c>
    </row>
    <row r="292" spans="1:119" x14ac:dyDescent="0.2">
      <c r="A292" s="45">
        <f t="shared" si="30"/>
        <v>271</v>
      </c>
      <c r="B292" s="46" t="s">
        <v>658</v>
      </c>
      <c r="C292" s="45">
        <v>407374949</v>
      </c>
      <c r="D292" s="45" t="s">
        <v>659</v>
      </c>
      <c r="E292" s="45" t="s">
        <v>162</v>
      </c>
      <c r="F292" s="48">
        <v>2</v>
      </c>
      <c r="G292" s="100">
        <v>0</v>
      </c>
      <c r="H292" s="100">
        <v>0</v>
      </c>
      <c r="I292" s="100">
        <v>0</v>
      </c>
      <c r="J292" s="100">
        <v>0</v>
      </c>
      <c r="K292" s="100">
        <v>0</v>
      </c>
      <c r="L292" s="100">
        <v>0</v>
      </c>
      <c r="M292" s="100">
        <v>0</v>
      </c>
      <c r="N292" s="100">
        <v>0</v>
      </c>
      <c r="O292" s="100">
        <v>0</v>
      </c>
      <c r="P292" s="100">
        <v>0</v>
      </c>
      <c r="Q292" s="100">
        <v>36</v>
      </c>
      <c r="R292" s="100">
        <v>0</v>
      </c>
      <c r="S292" s="100">
        <v>0</v>
      </c>
      <c r="T292" s="100">
        <v>0</v>
      </c>
      <c r="U292" s="100">
        <v>2</v>
      </c>
      <c r="V292" s="100">
        <v>0</v>
      </c>
      <c r="W292" s="100">
        <v>0</v>
      </c>
      <c r="X292" s="45" t="s">
        <v>63</v>
      </c>
      <c r="Y292" s="49">
        <v>4.0320000000000002E-2</v>
      </c>
      <c r="Z292" s="45">
        <v>39000</v>
      </c>
      <c r="AA292" s="45">
        <v>0</v>
      </c>
      <c r="AB292" s="45">
        <v>0</v>
      </c>
      <c r="AC292" s="45">
        <v>0</v>
      </c>
      <c r="AD292" s="45">
        <v>0</v>
      </c>
      <c r="AE292" s="45">
        <v>0</v>
      </c>
      <c r="AF292" s="45">
        <v>0</v>
      </c>
      <c r="AG292" s="45">
        <v>0</v>
      </c>
      <c r="AH292" s="45">
        <v>0</v>
      </c>
      <c r="AI292" s="45">
        <v>0</v>
      </c>
      <c r="AJ292" s="45">
        <v>0</v>
      </c>
      <c r="AK292" s="45">
        <v>0</v>
      </c>
      <c r="AL292" s="45">
        <v>0</v>
      </c>
      <c r="AM292" s="45">
        <v>0</v>
      </c>
      <c r="AN292" s="45">
        <v>0</v>
      </c>
      <c r="AO292" s="45"/>
      <c r="AP292" s="45"/>
      <c r="AQ292" s="45"/>
      <c r="AR292" s="45"/>
      <c r="AS292" s="45"/>
      <c r="AT292" s="45"/>
      <c r="AU292" s="45"/>
      <c r="AV292" s="45"/>
      <c r="AW292" s="45"/>
      <c r="AX292" s="45"/>
      <c r="AY292" s="45"/>
      <c r="AZ292" s="45"/>
      <c r="BA292" s="45"/>
      <c r="BB292" s="45"/>
      <c r="BC292" s="45"/>
      <c r="BD292" s="93"/>
      <c r="BE292" s="93"/>
      <c r="BF292" s="93"/>
      <c r="BG292" s="93"/>
      <c r="BH292" s="93"/>
      <c r="BI292" s="93"/>
      <c r="BJ292" s="93"/>
      <c r="BK292" s="93">
        <f>SUM($Z292:AD292)-SUM($CM292:CQ292)</f>
        <v>37654</v>
      </c>
      <c r="BL292" s="93">
        <f>SUM($Z292:AE292)-SUM($CM292:CR292)</f>
        <v>36324</v>
      </c>
      <c r="BM292" s="93">
        <f>SUM($Z292:AF292)-SUM($CM292:CS292)</f>
        <v>35004</v>
      </c>
      <c r="BN292" s="93">
        <f>SUM($Z292:AG292)-SUM($CM292:CT292)</f>
        <v>33864</v>
      </c>
      <c r="BO292" s="93">
        <f>SUM($Z292:AH292)-SUM($CM292:CU292)</f>
        <v>32724</v>
      </c>
      <c r="BP292" s="93">
        <f>SUM($Z292:AI292)-SUM($CM292:CV292)</f>
        <v>31584</v>
      </c>
      <c r="BQ292" s="93">
        <f>SUM($Z292:AJ292)-SUM($CM292:CW292)</f>
        <v>30444</v>
      </c>
      <c r="BR292" s="93">
        <f>SUM($Z292:AK292)-SUM($CM292:CX292)</f>
        <v>29304</v>
      </c>
      <c r="BS292" s="93">
        <f>SUM($Z292:AL292)-SUM($CM292:CY292)</f>
        <v>28164</v>
      </c>
      <c r="BT292" s="93">
        <f>SUM($Z292:AM292)-SUM($CM292:CZ292)</f>
        <v>27024</v>
      </c>
      <c r="BU292" s="93">
        <f>SUM($Z292:AN292)-SUM($CM292:DA292)</f>
        <v>25884</v>
      </c>
      <c r="BV292" s="93">
        <f>SUM($Z292:AO292)-SUM($CM292:DB292)</f>
        <v>25380</v>
      </c>
      <c r="BW292" s="93">
        <f>SUM($Z292:AP292)-SUM($CM292:DC292)</f>
        <v>25380</v>
      </c>
      <c r="BX292" s="93">
        <f>SUM($Z292:AQ292)-SUM($CM292:DD292)</f>
        <v>25380</v>
      </c>
      <c r="BY292" s="93">
        <f>SUM($Z292:AR292)-SUM($CM292:DE292)</f>
        <v>25380</v>
      </c>
      <c r="BZ292" s="93">
        <f>SUM($Z292:AS292)-SUM($CM292:DF292)</f>
        <v>25380</v>
      </c>
      <c r="CA292" s="93">
        <f>SUM($Z292:AT292)-SUM($CM292:DG292)</f>
        <v>25380</v>
      </c>
      <c r="CB292" s="93">
        <f>SUM($Z292:AU292)-SUM($CM292:DH292)</f>
        <v>25380</v>
      </c>
      <c r="CC292" s="93">
        <f>SUM($Z292:AV292)-SUM($CM292:DI292)</f>
        <v>25380</v>
      </c>
      <c r="CD292" s="93">
        <f>SUM($Z292:AW292)-SUM($CM292:DJ292)</f>
        <v>25380</v>
      </c>
      <c r="CE292" s="93">
        <f>SUM($Z292:AX292)-SUM($CM292:DK292)</f>
        <v>25380</v>
      </c>
      <c r="CF292" s="93">
        <f>SUM($Z292:AY292)-SUM($CM292:DL292)</f>
        <v>25380</v>
      </c>
      <c r="CG292" s="93">
        <f>SUM($Z292:AZ292)-SUM($CM292:DM292)</f>
        <v>25380</v>
      </c>
      <c r="CH292" s="93">
        <f>SUM($Z292:BA292)-SUM($CM292:DN292)</f>
        <v>25380</v>
      </c>
      <c r="CI292" s="93">
        <f>SUM($Z292:BB292)-SUM($CM292:DO292)</f>
        <v>25380</v>
      </c>
      <c r="CJ292" s="93"/>
      <c r="CK292" s="93"/>
      <c r="CL292" s="93"/>
      <c r="CM292" s="93"/>
      <c r="CN292" s="93" cm="1">
        <f t="array" ref="CN292">SUMPRODUCT(TRANSPOSE(CN$4:CN$20),$G292:$W292)</f>
        <v>0</v>
      </c>
      <c r="CO292" s="93" cm="1">
        <f t="array" ref="CO292">SUMPRODUCT(TRANSPOSE(CO$4:CO$20),$G292:$W292)</f>
        <v>0</v>
      </c>
      <c r="CP292" s="93" cm="1">
        <f t="array" ref="CP292">SUMPRODUCT(TRANSPOSE(CP$4:CP$20),$G292:$W292)</f>
        <v>0</v>
      </c>
      <c r="CQ292" s="93" cm="1">
        <f t="array" ref="CQ292">SUMPRODUCT(TRANSPOSE(CQ$4:CQ$20),$G292:$W292)</f>
        <v>1346</v>
      </c>
      <c r="CR292" s="93" cm="1">
        <f t="array" ref="CR292">SUMPRODUCT(TRANSPOSE(CR$4:CR$20),$G292:$W292)</f>
        <v>1330</v>
      </c>
      <c r="CS292" s="93" cm="1">
        <f t="array" ref="CS292">SUMPRODUCT(TRANSPOSE(CS$4:CS$20),$G292:$W292)</f>
        <v>1320</v>
      </c>
      <c r="CT292" s="93" cm="1">
        <f t="array" ref="CT292">SUMPRODUCT(TRANSPOSE(CT$4:CT$20),$G292:$W292)</f>
        <v>1140</v>
      </c>
      <c r="CU292" s="93" cm="1">
        <f t="array" ref="CU292">SUMPRODUCT(TRANSPOSE(CU$4:CU$20),$G292:$W292)</f>
        <v>1140</v>
      </c>
      <c r="CV292" s="93" cm="1">
        <f t="array" ref="CV292">SUMPRODUCT(TRANSPOSE(CV$4:CV$20),$G292:$W292)</f>
        <v>1140</v>
      </c>
      <c r="CW292" s="93" cm="1">
        <f t="array" ref="CW292">SUMPRODUCT(TRANSPOSE(CW$4:CW$20),$G292:$W292)</f>
        <v>1140</v>
      </c>
      <c r="CX292" s="93" cm="1">
        <f t="array" ref="CX292">SUMPRODUCT(TRANSPOSE(CX$4:CX$20),$G292:$W292)</f>
        <v>1140</v>
      </c>
      <c r="CY292" s="93" cm="1">
        <f t="array" ref="CY292">SUMPRODUCT(TRANSPOSE(CY$4:CY$20),$G292:$W292)</f>
        <v>1140</v>
      </c>
      <c r="CZ292" s="93" cm="1">
        <f t="array" ref="CZ292">SUMPRODUCT(TRANSPOSE(CZ$4:CZ$20),$G292:$W292)</f>
        <v>1140</v>
      </c>
      <c r="DA292" s="93" cm="1">
        <f t="array" ref="DA292">SUMPRODUCT(TRANSPOSE(DA$4:DA$20),$G292:$W292)</f>
        <v>1140</v>
      </c>
      <c r="DB292" s="93" cm="1">
        <f t="array" ref="DB292">SUMPRODUCT(TRANSPOSE(DB$4:DB$20),$G292:$W292)</f>
        <v>504</v>
      </c>
      <c r="DC292" s="93" cm="1">
        <f t="array" ref="DC292">SUMPRODUCT(TRANSPOSE(DC$4:DC$20),$G292:$W292)</f>
        <v>0</v>
      </c>
      <c r="DD292" s="93" cm="1">
        <f t="array" ref="DD292">SUMPRODUCT(TRANSPOSE(DD$4:DD$20),$G292:$W292)</f>
        <v>0</v>
      </c>
      <c r="DE292" s="93" cm="1">
        <f t="array" ref="DE292">SUMPRODUCT(TRANSPOSE(DE$4:DE$20),$G292:$W292)</f>
        <v>0</v>
      </c>
      <c r="DF292" s="93" cm="1">
        <f t="array" ref="DF292">SUMPRODUCT(TRANSPOSE(DF$4:DF$20),$G292:$W292)</f>
        <v>0</v>
      </c>
      <c r="DG292" s="93" cm="1">
        <f t="array" ref="DG292">SUMPRODUCT(TRANSPOSE(DG$4:DG$20),$G292:$W292)</f>
        <v>0</v>
      </c>
      <c r="DH292" s="93" cm="1">
        <f t="array" ref="DH292">SUMPRODUCT(TRANSPOSE(DH$4:DH$20),$G292:$W292)</f>
        <v>0</v>
      </c>
      <c r="DI292" s="93" cm="1">
        <f t="array" ref="DI292">SUMPRODUCT(TRANSPOSE(DI$4:DI$20),$G292:$W292)</f>
        <v>0</v>
      </c>
      <c r="DJ292" s="93" cm="1">
        <f t="array" ref="DJ292">SUMPRODUCT(TRANSPOSE(DJ$4:DJ$20),$G292:$W292)</f>
        <v>0</v>
      </c>
      <c r="DK292" s="93" cm="1">
        <f t="array" ref="DK292">SUMPRODUCT(TRANSPOSE(DK$4:DK$20),$G292:$W292)</f>
        <v>0</v>
      </c>
      <c r="DL292" s="93" cm="1">
        <f t="array" ref="DL292">SUMPRODUCT(TRANSPOSE(DL$4:DL$20),$G292:$W292)</f>
        <v>0</v>
      </c>
      <c r="DM292" s="93" cm="1">
        <f t="array" ref="DM292">SUMPRODUCT(TRANSPOSE(DM$4:DM$20),$G292:$W292)</f>
        <v>0</v>
      </c>
      <c r="DN292" s="93" cm="1">
        <f t="array" ref="DN292">SUMPRODUCT(TRANSPOSE(DN$4:DN$20),$G292:$W292)</f>
        <v>0</v>
      </c>
      <c r="DO292" s="93" cm="1">
        <f t="array" ref="DO292">SUMPRODUCT(TRANSPOSE(DO$4:DO$20),$G292:$W292)</f>
        <v>0</v>
      </c>
    </row>
    <row r="293" spans="1:119" x14ac:dyDescent="0.2">
      <c r="A293" s="45">
        <f t="shared" si="30"/>
        <v>272</v>
      </c>
      <c r="B293" s="46" t="s">
        <v>660</v>
      </c>
      <c r="C293" s="45">
        <v>407135463</v>
      </c>
      <c r="D293" s="45" t="s">
        <v>661</v>
      </c>
      <c r="E293" s="45" t="s">
        <v>162</v>
      </c>
      <c r="F293" s="48">
        <v>1</v>
      </c>
      <c r="G293" s="100">
        <v>0</v>
      </c>
      <c r="H293" s="100">
        <v>0</v>
      </c>
      <c r="I293" s="100">
        <v>0</v>
      </c>
      <c r="J293" s="100">
        <v>0</v>
      </c>
      <c r="K293" s="100">
        <v>0</v>
      </c>
      <c r="L293" s="100">
        <v>0</v>
      </c>
      <c r="M293" s="100">
        <v>0</v>
      </c>
      <c r="N293" s="100">
        <v>0</v>
      </c>
      <c r="O293" s="100">
        <v>0</v>
      </c>
      <c r="P293" s="100">
        <v>0</v>
      </c>
      <c r="Q293" s="100">
        <v>426</v>
      </c>
      <c r="R293" s="100">
        <v>0</v>
      </c>
      <c r="S293" s="100">
        <v>0</v>
      </c>
      <c r="T293" s="100">
        <v>0</v>
      </c>
      <c r="U293" s="100">
        <v>426</v>
      </c>
      <c r="V293" s="100">
        <v>0</v>
      </c>
      <c r="W293" s="100">
        <v>0</v>
      </c>
      <c r="X293" s="45" t="s">
        <v>65</v>
      </c>
      <c r="Y293" s="49">
        <v>0.17299999999999999</v>
      </c>
      <c r="Z293" s="45">
        <v>456000</v>
      </c>
      <c r="AA293" s="45">
        <v>0</v>
      </c>
      <c r="AB293" s="45">
        <v>0</v>
      </c>
      <c r="AC293" s="45">
        <v>0</v>
      </c>
      <c r="AD293" s="45">
        <v>0</v>
      </c>
      <c r="AE293" s="45">
        <v>0</v>
      </c>
      <c r="AF293" s="45">
        <v>0</v>
      </c>
      <c r="AG293" s="45">
        <v>0</v>
      </c>
      <c r="AH293" s="45">
        <v>0</v>
      </c>
      <c r="AI293" s="45">
        <v>0</v>
      </c>
      <c r="AJ293" s="45">
        <v>0</v>
      </c>
      <c r="AK293" s="45">
        <v>0</v>
      </c>
      <c r="AL293" s="45">
        <v>0</v>
      </c>
      <c r="AM293" s="45">
        <v>0</v>
      </c>
      <c r="AN293" s="45">
        <v>0</v>
      </c>
      <c r="AO293" s="45"/>
      <c r="AP293" s="45"/>
      <c r="AQ293" s="45"/>
      <c r="AR293" s="45"/>
      <c r="AS293" s="45"/>
      <c r="AT293" s="45"/>
      <c r="AU293" s="45"/>
      <c r="AV293" s="45"/>
      <c r="AW293" s="45"/>
      <c r="AX293" s="45"/>
      <c r="AY293" s="45"/>
      <c r="AZ293" s="45"/>
      <c r="BA293" s="45"/>
      <c r="BB293" s="45"/>
      <c r="BC293" s="45"/>
      <c r="BD293" s="93"/>
      <c r="BE293" s="93"/>
      <c r="BF293" s="93"/>
      <c r="BG293" s="93"/>
      <c r="BH293" s="93"/>
      <c r="BI293" s="93"/>
      <c r="BJ293" s="93"/>
      <c r="BK293" s="93">
        <f>SUM($Z293:AD293)-SUM($CM293:CQ293)</f>
        <v>422772</v>
      </c>
      <c r="BL293" s="93">
        <f>SUM($Z293:AE293)-SUM($CM293:CR293)</f>
        <v>392952</v>
      </c>
      <c r="BM293" s="93">
        <f>SUM($Z293:AF293)-SUM($CM293:CS293)</f>
        <v>365262</v>
      </c>
      <c r="BN293" s="93">
        <f>SUM($Z293:AG293)-SUM($CM293:CT293)</f>
        <v>339702</v>
      </c>
      <c r="BO293" s="93">
        <f>SUM($Z293:AH293)-SUM($CM293:CU293)</f>
        <v>314142</v>
      </c>
      <c r="BP293" s="93">
        <f>SUM($Z293:AI293)-SUM($CM293:CV293)</f>
        <v>288582</v>
      </c>
      <c r="BQ293" s="93">
        <f>SUM($Z293:AJ293)-SUM($CM293:CW293)</f>
        <v>263022</v>
      </c>
      <c r="BR293" s="93">
        <f>SUM($Z293:AK293)-SUM($CM293:CX293)</f>
        <v>237462</v>
      </c>
      <c r="BS293" s="93">
        <f>SUM($Z293:AL293)-SUM($CM293:CY293)</f>
        <v>211902</v>
      </c>
      <c r="BT293" s="93">
        <f>SUM($Z293:AM293)-SUM($CM293:CZ293)</f>
        <v>186342</v>
      </c>
      <c r="BU293" s="93">
        <f>SUM($Z293:AN293)-SUM($CM293:DA293)</f>
        <v>160782</v>
      </c>
      <c r="BV293" s="93">
        <f>SUM($Z293:AO293)-SUM($CM293:DB293)</f>
        <v>154818</v>
      </c>
      <c r="BW293" s="93">
        <f>SUM($Z293:AP293)-SUM($CM293:DC293)</f>
        <v>154818</v>
      </c>
      <c r="BX293" s="93">
        <f>SUM($Z293:AQ293)-SUM($CM293:DD293)</f>
        <v>154818</v>
      </c>
      <c r="BY293" s="93">
        <f>SUM($Z293:AR293)-SUM($CM293:DE293)</f>
        <v>154818</v>
      </c>
      <c r="BZ293" s="93">
        <f>SUM($Z293:AS293)-SUM($CM293:DF293)</f>
        <v>154818</v>
      </c>
      <c r="CA293" s="93">
        <f>SUM($Z293:AT293)-SUM($CM293:DG293)</f>
        <v>154818</v>
      </c>
      <c r="CB293" s="93">
        <f>SUM($Z293:AU293)-SUM($CM293:DH293)</f>
        <v>154818</v>
      </c>
      <c r="CC293" s="93">
        <f>SUM($Z293:AV293)-SUM($CM293:DI293)</f>
        <v>154818</v>
      </c>
      <c r="CD293" s="93">
        <f>SUM($Z293:AW293)-SUM($CM293:DJ293)</f>
        <v>154818</v>
      </c>
      <c r="CE293" s="93">
        <f>SUM($Z293:AX293)-SUM($CM293:DK293)</f>
        <v>154818</v>
      </c>
      <c r="CF293" s="93">
        <f>SUM($Z293:AY293)-SUM($CM293:DL293)</f>
        <v>154818</v>
      </c>
      <c r="CG293" s="93">
        <f>SUM($Z293:AZ293)-SUM($CM293:DM293)</f>
        <v>154818</v>
      </c>
      <c r="CH293" s="93">
        <f>SUM($Z293:BA293)-SUM($CM293:DN293)</f>
        <v>154818</v>
      </c>
      <c r="CI293" s="93">
        <f>SUM($Z293:BB293)-SUM($CM293:DO293)</f>
        <v>154818</v>
      </c>
      <c r="CJ293" s="93"/>
      <c r="CK293" s="93"/>
      <c r="CL293" s="93"/>
      <c r="CM293" s="93"/>
      <c r="CN293" s="93" cm="1">
        <f t="array" ref="CN293">SUMPRODUCT(TRANSPOSE(CN$4:CN$20),$G293:$W293)</f>
        <v>0</v>
      </c>
      <c r="CO293" s="93" cm="1">
        <f t="array" ref="CO293">SUMPRODUCT(TRANSPOSE(CO$4:CO$20),$G293:$W293)</f>
        <v>0</v>
      </c>
      <c r="CP293" s="93" cm="1">
        <f t="array" ref="CP293">SUMPRODUCT(TRANSPOSE(CP$4:CP$20),$G293:$W293)</f>
        <v>0</v>
      </c>
      <c r="CQ293" s="93" cm="1">
        <f t="array" ref="CQ293">SUMPRODUCT(TRANSPOSE(CQ$4:CQ$20),$G293:$W293)</f>
        <v>33228</v>
      </c>
      <c r="CR293" s="93" cm="1">
        <f t="array" ref="CR293">SUMPRODUCT(TRANSPOSE(CR$4:CR$20),$G293:$W293)</f>
        <v>29820</v>
      </c>
      <c r="CS293" s="93" cm="1">
        <f t="array" ref="CS293">SUMPRODUCT(TRANSPOSE(CS$4:CS$20),$G293:$W293)</f>
        <v>27690</v>
      </c>
      <c r="CT293" s="93" cm="1">
        <f t="array" ref="CT293">SUMPRODUCT(TRANSPOSE(CT$4:CT$20),$G293:$W293)</f>
        <v>25560</v>
      </c>
      <c r="CU293" s="93" cm="1">
        <f t="array" ref="CU293">SUMPRODUCT(TRANSPOSE(CU$4:CU$20),$G293:$W293)</f>
        <v>25560</v>
      </c>
      <c r="CV293" s="93" cm="1">
        <f t="array" ref="CV293">SUMPRODUCT(TRANSPOSE(CV$4:CV$20),$G293:$W293)</f>
        <v>25560</v>
      </c>
      <c r="CW293" s="93" cm="1">
        <f t="array" ref="CW293">SUMPRODUCT(TRANSPOSE(CW$4:CW$20),$G293:$W293)</f>
        <v>25560</v>
      </c>
      <c r="CX293" s="93" cm="1">
        <f t="array" ref="CX293">SUMPRODUCT(TRANSPOSE(CX$4:CX$20),$G293:$W293)</f>
        <v>25560</v>
      </c>
      <c r="CY293" s="93" cm="1">
        <f t="array" ref="CY293">SUMPRODUCT(TRANSPOSE(CY$4:CY$20),$G293:$W293)</f>
        <v>25560</v>
      </c>
      <c r="CZ293" s="93" cm="1">
        <f t="array" ref="CZ293">SUMPRODUCT(TRANSPOSE(CZ$4:CZ$20),$G293:$W293)</f>
        <v>25560</v>
      </c>
      <c r="DA293" s="93" cm="1">
        <f t="array" ref="DA293">SUMPRODUCT(TRANSPOSE(DA$4:DA$20),$G293:$W293)</f>
        <v>25560</v>
      </c>
      <c r="DB293" s="93" cm="1">
        <f t="array" ref="DB293">SUMPRODUCT(TRANSPOSE(DB$4:DB$20),$G293:$W293)</f>
        <v>5964</v>
      </c>
      <c r="DC293" s="93" cm="1">
        <f t="array" ref="DC293">SUMPRODUCT(TRANSPOSE(DC$4:DC$20),$G293:$W293)</f>
        <v>0</v>
      </c>
      <c r="DD293" s="93" cm="1">
        <f t="array" ref="DD293">SUMPRODUCT(TRANSPOSE(DD$4:DD$20),$G293:$W293)</f>
        <v>0</v>
      </c>
      <c r="DE293" s="93" cm="1">
        <f t="array" ref="DE293">SUMPRODUCT(TRANSPOSE(DE$4:DE$20),$G293:$W293)</f>
        <v>0</v>
      </c>
      <c r="DF293" s="93" cm="1">
        <f t="array" ref="DF293">SUMPRODUCT(TRANSPOSE(DF$4:DF$20),$G293:$W293)</f>
        <v>0</v>
      </c>
      <c r="DG293" s="93" cm="1">
        <f t="array" ref="DG293">SUMPRODUCT(TRANSPOSE(DG$4:DG$20),$G293:$W293)</f>
        <v>0</v>
      </c>
      <c r="DH293" s="93" cm="1">
        <f t="array" ref="DH293">SUMPRODUCT(TRANSPOSE(DH$4:DH$20),$G293:$W293)</f>
        <v>0</v>
      </c>
      <c r="DI293" s="93" cm="1">
        <f t="array" ref="DI293">SUMPRODUCT(TRANSPOSE(DI$4:DI$20),$G293:$W293)</f>
        <v>0</v>
      </c>
      <c r="DJ293" s="93" cm="1">
        <f t="array" ref="DJ293">SUMPRODUCT(TRANSPOSE(DJ$4:DJ$20),$G293:$W293)</f>
        <v>0</v>
      </c>
      <c r="DK293" s="93" cm="1">
        <f t="array" ref="DK293">SUMPRODUCT(TRANSPOSE(DK$4:DK$20),$G293:$W293)</f>
        <v>0</v>
      </c>
      <c r="DL293" s="93" cm="1">
        <f t="array" ref="DL293">SUMPRODUCT(TRANSPOSE(DL$4:DL$20),$G293:$W293)</f>
        <v>0</v>
      </c>
      <c r="DM293" s="93" cm="1">
        <f t="array" ref="DM293">SUMPRODUCT(TRANSPOSE(DM$4:DM$20),$G293:$W293)</f>
        <v>0</v>
      </c>
      <c r="DN293" s="93" cm="1">
        <f t="array" ref="DN293">SUMPRODUCT(TRANSPOSE(DN$4:DN$20),$G293:$W293)</f>
        <v>0</v>
      </c>
      <c r="DO293" s="93" cm="1">
        <f t="array" ref="DO293">SUMPRODUCT(TRANSPOSE(DO$4:DO$20),$G293:$W293)</f>
        <v>0</v>
      </c>
    </row>
    <row r="294" spans="1:119" x14ac:dyDescent="0.2">
      <c r="A294" s="45">
        <f t="shared" si="30"/>
        <v>273</v>
      </c>
      <c r="B294" s="46" t="s">
        <v>662</v>
      </c>
      <c r="C294" s="45">
        <v>407135456</v>
      </c>
      <c r="D294" s="45" t="s">
        <v>663</v>
      </c>
      <c r="E294" s="45" t="s">
        <v>162</v>
      </c>
      <c r="F294" s="48">
        <v>2</v>
      </c>
      <c r="G294" s="100">
        <v>0</v>
      </c>
      <c r="H294" s="100">
        <v>0</v>
      </c>
      <c r="I294" s="100">
        <v>0</v>
      </c>
      <c r="J294" s="100">
        <v>0</v>
      </c>
      <c r="K294" s="100">
        <v>0</v>
      </c>
      <c r="L294" s="100">
        <v>0</v>
      </c>
      <c r="M294" s="100">
        <v>0</v>
      </c>
      <c r="N294" s="100">
        <v>0</v>
      </c>
      <c r="O294" s="100">
        <v>0</v>
      </c>
      <c r="P294" s="100">
        <v>0</v>
      </c>
      <c r="Q294" s="100">
        <v>181</v>
      </c>
      <c r="R294" s="100">
        <v>0</v>
      </c>
      <c r="S294" s="100">
        <v>0</v>
      </c>
      <c r="T294" s="100">
        <v>0</v>
      </c>
      <c r="U294" s="100">
        <v>147</v>
      </c>
      <c r="V294" s="100">
        <v>0</v>
      </c>
      <c r="W294" s="100">
        <v>0</v>
      </c>
      <c r="X294" s="45" t="s">
        <v>65</v>
      </c>
      <c r="Y294" s="49">
        <v>0.17299999999999999</v>
      </c>
      <c r="Z294" s="45">
        <v>176000</v>
      </c>
      <c r="AA294" s="45">
        <v>0</v>
      </c>
      <c r="AB294" s="45">
        <v>0</v>
      </c>
      <c r="AC294" s="45">
        <v>0</v>
      </c>
      <c r="AD294" s="45">
        <v>0</v>
      </c>
      <c r="AE294" s="45">
        <v>0</v>
      </c>
      <c r="AF294" s="45">
        <v>0</v>
      </c>
      <c r="AG294" s="45">
        <v>0</v>
      </c>
      <c r="AH294" s="45">
        <v>0</v>
      </c>
      <c r="AI294" s="45">
        <v>0</v>
      </c>
      <c r="AJ294" s="45">
        <v>0</v>
      </c>
      <c r="AK294" s="45">
        <v>0</v>
      </c>
      <c r="AL294" s="45">
        <v>0</v>
      </c>
      <c r="AM294" s="45">
        <v>0</v>
      </c>
      <c r="AN294" s="45">
        <v>0</v>
      </c>
      <c r="AO294" s="45"/>
      <c r="AP294" s="45"/>
      <c r="AQ294" s="45"/>
      <c r="AR294" s="45"/>
      <c r="AS294" s="45"/>
      <c r="AT294" s="45"/>
      <c r="AU294" s="45"/>
      <c r="AV294" s="45"/>
      <c r="AW294" s="45"/>
      <c r="AX294" s="45"/>
      <c r="AY294" s="45"/>
      <c r="AZ294" s="45"/>
      <c r="BA294" s="45"/>
      <c r="BB294" s="45"/>
      <c r="BC294" s="45"/>
      <c r="BD294" s="93"/>
      <c r="BE294" s="93"/>
      <c r="BF294" s="93"/>
      <c r="BG294" s="93"/>
      <c r="BH294" s="93"/>
      <c r="BI294" s="93"/>
      <c r="BJ294" s="93"/>
      <c r="BK294" s="93">
        <f>SUM($Z294:AD294)-SUM($CM294:CQ294)</f>
        <v>163344</v>
      </c>
      <c r="BL294" s="93">
        <f>SUM($Z294:AE294)-SUM($CM294:CR294)</f>
        <v>151864</v>
      </c>
      <c r="BM294" s="93">
        <f>SUM($Z294:AF294)-SUM($CM294:CS294)</f>
        <v>141119</v>
      </c>
      <c r="BN294" s="93">
        <f>SUM($Z294:AG294)-SUM($CM294:CT294)</f>
        <v>131279</v>
      </c>
      <c r="BO294" s="93">
        <f>SUM($Z294:AH294)-SUM($CM294:CU294)</f>
        <v>121439</v>
      </c>
      <c r="BP294" s="93">
        <f>SUM($Z294:AI294)-SUM($CM294:CV294)</f>
        <v>111599</v>
      </c>
      <c r="BQ294" s="93">
        <f>SUM($Z294:AJ294)-SUM($CM294:CW294)</f>
        <v>101759</v>
      </c>
      <c r="BR294" s="93">
        <f>SUM($Z294:AK294)-SUM($CM294:CX294)</f>
        <v>91919</v>
      </c>
      <c r="BS294" s="93">
        <f>SUM($Z294:AL294)-SUM($CM294:CY294)</f>
        <v>82079</v>
      </c>
      <c r="BT294" s="93">
        <f>SUM($Z294:AM294)-SUM($CM294:CZ294)</f>
        <v>72239</v>
      </c>
      <c r="BU294" s="93">
        <f>SUM($Z294:AN294)-SUM($CM294:DA294)</f>
        <v>62399</v>
      </c>
      <c r="BV294" s="93">
        <f>SUM($Z294:AO294)-SUM($CM294:DB294)</f>
        <v>59865</v>
      </c>
      <c r="BW294" s="93">
        <f>SUM($Z294:AP294)-SUM($CM294:DC294)</f>
        <v>59865</v>
      </c>
      <c r="BX294" s="93">
        <f>SUM($Z294:AQ294)-SUM($CM294:DD294)</f>
        <v>59865</v>
      </c>
      <c r="BY294" s="93">
        <f>SUM($Z294:AR294)-SUM($CM294:DE294)</f>
        <v>59865</v>
      </c>
      <c r="BZ294" s="93">
        <f>SUM($Z294:AS294)-SUM($CM294:DF294)</f>
        <v>59865</v>
      </c>
      <c r="CA294" s="93">
        <f>SUM($Z294:AT294)-SUM($CM294:DG294)</f>
        <v>59865</v>
      </c>
      <c r="CB294" s="93">
        <f>SUM($Z294:AU294)-SUM($CM294:DH294)</f>
        <v>59865</v>
      </c>
      <c r="CC294" s="93">
        <f>SUM($Z294:AV294)-SUM($CM294:DI294)</f>
        <v>59865</v>
      </c>
      <c r="CD294" s="93">
        <f>SUM($Z294:AW294)-SUM($CM294:DJ294)</f>
        <v>59865</v>
      </c>
      <c r="CE294" s="93">
        <f>SUM($Z294:AX294)-SUM($CM294:DK294)</f>
        <v>59865</v>
      </c>
      <c r="CF294" s="93">
        <f>SUM($Z294:AY294)-SUM($CM294:DL294)</f>
        <v>59865</v>
      </c>
      <c r="CG294" s="93">
        <f>SUM($Z294:AZ294)-SUM($CM294:DM294)</f>
        <v>59865</v>
      </c>
      <c r="CH294" s="93">
        <f>SUM($Z294:BA294)-SUM($CM294:DN294)</f>
        <v>59865</v>
      </c>
      <c r="CI294" s="93">
        <f>SUM($Z294:BB294)-SUM($CM294:DO294)</f>
        <v>59865</v>
      </c>
      <c r="CJ294" s="93"/>
      <c r="CK294" s="93"/>
      <c r="CL294" s="93"/>
      <c r="CM294" s="93"/>
      <c r="CN294" s="93" cm="1">
        <f t="array" ref="CN294">SUMPRODUCT(TRANSPOSE(CN$4:CN$20),$G294:$W294)</f>
        <v>0</v>
      </c>
      <c r="CO294" s="93" cm="1">
        <f t="array" ref="CO294">SUMPRODUCT(TRANSPOSE(CO$4:CO$20),$G294:$W294)</f>
        <v>0</v>
      </c>
      <c r="CP294" s="93" cm="1">
        <f t="array" ref="CP294">SUMPRODUCT(TRANSPOSE(CP$4:CP$20),$G294:$W294)</f>
        <v>0</v>
      </c>
      <c r="CQ294" s="93" cm="1">
        <f t="array" ref="CQ294">SUMPRODUCT(TRANSPOSE(CQ$4:CQ$20),$G294:$W294)</f>
        <v>12656</v>
      </c>
      <c r="CR294" s="93" cm="1">
        <f t="array" ref="CR294">SUMPRODUCT(TRANSPOSE(CR$4:CR$20),$G294:$W294)</f>
        <v>11480</v>
      </c>
      <c r="CS294" s="93" cm="1">
        <f t="array" ref="CS294">SUMPRODUCT(TRANSPOSE(CS$4:CS$20),$G294:$W294)</f>
        <v>10745</v>
      </c>
      <c r="CT294" s="93" cm="1">
        <f t="array" ref="CT294">SUMPRODUCT(TRANSPOSE(CT$4:CT$20),$G294:$W294)</f>
        <v>9840</v>
      </c>
      <c r="CU294" s="93" cm="1">
        <f t="array" ref="CU294">SUMPRODUCT(TRANSPOSE(CU$4:CU$20),$G294:$W294)</f>
        <v>9840</v>
      </c>
      <c r="CV294" s="93" cm="1">
        <f t="array" ref="CV294">SUMPRODUCT(TRANSPOSE(CV$4:CV$20),$G294:$W294)</f>
        <v>9840</v>
      </c>
      <c r="CW294" s="93" cm="1">
        <f t="array" ref="CW294">SUMPRODUCT(TRANSPOSE(CW$4:CW$20),$G294:$W294)</f>
        <v>9840</v>
      </c>
      <c r="CX294" s="93" cm="1">
        <f t="array" ref="CX294">SUMPRODUCT(TRANSPOSE(CX$4:CX$20),$G294:$W294)</f>
        <v>9840</v>
      </c>
      <c r="CY294" s="93" cm="1">
        <f t="array" ref="CY294">SUMPRODUCT(TRANSPOSE(CY$4:CY$20),$G294:$W294)</f>
        <v>9840</v>
      </c>
      <c r="CZ294" s="93" cm="1">
        <f t="array" ref="CZ294">SUMPRODUCT(TRANSPOSE(CZ$4:CZ$20),$G294:$W294)</f>
        <v>9840</v>
      </c>
      <c r="DA294" s="93" cm="1">
        <f t="array" ref="DA294">SUMPRODUCT(TRANSPOSE(DA$4:DA$20),$G294:$W294)</f>
        <v>9840</v>
      </c>
      <c r="DB294" s="93" cm="1">
        <f t="array" ref="DB294">SUMPRODUCT(TRANSPOSE(DB$4:DB$20),$G294:$W294)</f>
        <v>2534</v>
      </c>
      <c r="DC294" s="93" cm="1">
        <f t="array" ref="DC294">SUMPRODUCT(TRANSPOSE(DC$4:DC$20),$G294:$W294)</f>
        <v>0</v>
      </c>
      <c r="DD294" s="93" cm="1">
        <f t="array" ref="DD294">SUMPRODUCT(TRANSPOSE(DD$4:DD$20),$G294:$W294)</f>
        <v>0</v>
      </c>
      <c r="DE294" s="93" cm="1">
        <f t="array" ref="DE294">SUMPRODUCT(TRANSPOSE(DE$4:DE$20),$G294:$W294)</f>
        <v>0</v>
      </c>
      <c r="DF294" s="93" cm="1">
        <f t="array" ref="DF294">SUMPRODUCT(TRANSPOSE(DF$4:DF$20),$G294:$W294)</f>
        <v>0</v>
      </c>
      <c r="DG294" s="93" cm="1">
        <f t="array" ref="DG294">SUMPRODUCT(TRANSPOSE(DG$4:DG$20),$G294:$W294)</f>
        <v>0</v>
      </c>
      <c r="DH294" s="93" cm="1">
        <f t="array" ref="DH294">SUMPRODUCT(TRANSPOSE(DH$4:DH$20),$G294:$W294)</f>
        <v>0</v>
      </c>
      <c r="DI294" s="93" cm="1">
        <f t="array" ref="DI294">SUMPRODUCT(TRANSPOSE(DI$4:DI$20),$G294:$W294)</f>
        <v>0</v>
      </c>
      <c r="DJ294" s="93" cm="1">
        <f t="array" ref="DJ294">SUMPRODUCT(TRANSPOSE(DJ$4:DJ$20),$G294:$W294)</f>
        <v>0</v>
      </c>
      <c r="DK294" s="93" cm="1">
        <f t="array" ref="DK294">SUMPRODUCT(TRANSPOSE(DK$4:DK$20),$G294:$W294)</f>
        <v>0</v>
      </c>
      <c r="DL294" s="93" cm="1">
        <f t="array" ref="DL294">SUMPRODUCT(TRANSPOSE(DL$4:DL$20),$G294:$W294)</f>
        <v>0</v>
      </c>
      <c r="DM294" s="93" cm="1">
        <f t="array" ref="DM294">SUMPRODUCT(TRANSPOSE(DM$4:DM$20),$G294:$W294)</f>
        <v>0</v>
      </c>
      <c r="DN294" s="93" cm="1">
        <f t="array" ref="DN294">SUMPRODUCT(TRANSPOSE(DN$4:DN$20),$G294:$W294)</f>
        <v>0</v>
      </c>
      <c r="DO294" s="93" cm="1">
        <f t="array" ref="DO294">SUMPRODUCT(TRANSPOSE(DO$4:DO$20),$G294:$W294)</f>
        <v>0</v>
      </c>
    </row>
    <row r="295" spans="1:119" x14ac:dyDescent="0.2">
      <c r="A295" s="45">
        <f t="shared" si="30"/>
        <v>274</v>
      </c>
      <c r="B295" s="46" t="s">
        <v>664</v>
      </c>
      <c r="C295" s="45">
        <v>401354460</v>
      </c>
      <c r="D295" s="45" t="s">
        <v>665</v>
      </c>
      <c r="E295" s="45" t="s">
        <v>162</v>
      </c>
      <c r="F295" s="48">
        <v>2</v>
      </c>
      <c r="G295" s="100">
        <v>0</v>
      </c>
      <c r="H295" s="100">
        <v>0</v>
      </c>
      <c r="I295" s="100">
        <v>0</v>
      </c>
      <c r="J295" s="100">
        <v>0</v>
      </c>
      <c r="K295" s="100">
        <v>0</v>
      </c>
      <c r="L295" s="100">
        <v>0</v>
      </c>
      <c r="M295" s="100">
        <v>0</v>
      </c>
      <c r="N295" s="100">
        <v>0</v>
      </c>
      <c r="O295" s="100">
        <v>0</v>
      </c>
      <c r="P295" s="100">
        <v>0</v>
      </c>
      <c r="Q295" s="100">
        <v>0</v>
      </c>
      <c r="R295" s="100">
        <v>0</v>
      </c>
      <c r="S295" s="100">
        <v>0</v>
      </c>
      <c r="T295" s="100">
        <v>0</v>
      </c>
      <c r="U295" s="100">
        <v>68</v>
      </c>
      <c r="V295" s="100">
        <v>0</v>
      </c>
      <c r="W295" s="100">
        <v>0</v>
      </c>
      <c r="X295" s="45" t="s">
        <v>74</v>
      </c>
      <c r="Y295" s="49">
        <v>1.27</v>
      </c>
      <c r="Z295" s="45">
        <v>38500</v>
      </c>
      <c r="AA295" s="45">
        <v>0</v>
      </c>
      <c r="AB295" s="45">
        <v>0</v>
      </c>
      <c r="AC295" s="45">
        <v>0</v>
      </c>
      <c r="AD295" s="45">
        <v>0</v>
      </c>
      <c r="AE295" s="45">
        <v>0</v>
      </c>
      <c r="AF295" s="45">
        <v>0</v>
      </c>
      <c r="AG295" s="45">
        <v>0</v>
      </c>
      <c r="AH295" s="45">
        <v>0</v>
      </c>
      <c r="AI295" s="45">
        <v>0</v>
      </c>
      <c r="AJ295" s="45">
        <v>0</v>
      </c>
      <c r="AK295" s="45">
        <v>0</v>
      </c>
      <c r="AL295" s="45">
        <v>0</v>
      </c>
      <c r="AM295" s="45">
        <v>0</v>
      </c>
      <c r="AN295" s="45">
        <v>0</v>
      </c>
      <c r="AO295" s="45"/>
      <c r="AP295" s="45"/>
      <c r="AQ295" s="45"/>
      <c r="AR295" s="45"/>
      <c r="AS295" s="45"/>
      <c r="AT295" s="45"/>
      <c r="AU295" s="45"/>
      <c r="AV295" s="45"/>
      <c r="AW295" s="45"/>
      <c r="AX295" s="45"/>
      <c r="AY295" s="45"/>
      <c r="AZ295" s="45"/>
      <c r="BA295" s="45"/>
      <c r="BB295" s="45"/>
      <c r="BC295" s="45"/>
      <c r="BD295" s="93"/>
      <c r="BE295" s="93"/>
      <c r="BF295" s="93"/>
      <c r="BG295" s="93"/>
      <c r="BH295" s="93"/>
      <c r="BI295" s="93"/>
      <c r="BJ295" s="93"/>
      <c r="BK295" s="93">
        <f>SUM($Z295:AD295)-SUM($CM295:CQ295)</f>
        <v>35576</v>
      </c>
      <c r="BL295" s="93">
        <f>SUM($Z295:AE295)-SUM($CM295:CR295)</f>
        <v>33196</v>
      </c>
      <c r="BM295" s="93">
        <f>SUM($Z295:AF295)-SUM($CM295:CS295)</f>
        <v>31156</v>
      </c>
      <c r="BN295" s="93">
        <f>SUM($Z295:AG295)-SUM($CM295:CT295)</f>
        <v>29116</v>
      </c>
      <c r="BO295" s="93">
        <f>SUM($Z295:AH295)-SUM($CM295:CU295)</f>
        <v>27076</v>
      </c>
      <c r="BP295" s="93">
        <f>SUM($Z295:AI295)-SUM($CM295:CV295)</f>
        <v>25036</v>
      </c>
      <c r="BQ295" s="93">
        <f>SUM($Z295:AJ295)-SUM($CM295:CW295)</f>
        <v>22996</v>
      </c>
      <c r="BR295" s="93">
        <f>SUM($Z295:AK295)-SUM($CM295:CX295)</f>
        <v>20956</v>
      </c>
      <c r="BS295" s="93">
        <f>SUM($Z295:AL295)-SUM($CM295:CY295)</f>
        <v>18916</v>
      </c>
      <c r="BT295" s="93">
        <f>SUM($Z295:AM295)-SUM($CM295:CZ295)</f>
        <v>16876</v>
      </c>
      <c r="BU295" s="93">
        <f>SUM($Z295:AN295)-SUM($CM295:DA295)</f>
        <v>14836</v>
      </c>
      <c r="BV295" s="93">
        <f>SUM($Z295:AO295)-SUM($CM295:DB295)</f>
        <v>14836</v>
      </c>
      <c r="BW295" s="93">
        <f>SUM($Z295:AP295)-SUM($CM295:DC295)</f>
        <v>14836</v>
      </c>
      <c r="BX295" s="93">
        <f>SUM($Z295:AQ295)-SUM($CM295:DD295)</f>
        <v>14836</v>
      </c>
      <c r="BY295" s="93">
        <f>SUM($Z295:AR295)-SUM($CM295:DE295)</f>
        <v>14836</v>
      </c>
      <c r="BZ295" s="93">
        <f>SUM($Z295:AS295)-SUM($CM295:DF295)</f>
        <v>14836</v>
      </c>
      <c r="CA295" s="93">
        <f>SUM($Z295:AT295)-SUM($CM295:DG295)</f>
        <v>14836</v>
      </c>
      <c r="CB295" s="93">
        <f>SUM($Z295:AU295)-SUM($CM295:DH295)</f>
        <v>14836</v>
      </c>
      <c r="CC295" s="93">
        <f>SUM($Z295:AV295)-SUM($CM295:DI295)</f>
        <v>14836</v>
      </c>
      <c r="CD295" s="93">
        <f>SUM($Z295:AW295)-SUM($CM295:DJ295)</f>
        <v>14836</v>
      </c>
      <c r="CE295" s="93">
        <f>SUM($Z295:AX295)-SUM($CM295:DK295)</f>
        <v>14836</v>
      </c>
      <c r="CF295" s="93">
        <f>SUM($Z295:AY295)-SUM($CM295:DL295)</f>
        <v>14836</v>
      </c>
      <c r="CG295" s="93">
        <f>SUM($Z295:AZ295)-SUM($CM295:DM295)</f>
        <v>14836</v>
      </c>
      <c r="CH295" s="93">
        <f>SUM($Z295:BA295)-SUM($CM295:DN295)</f>
        <v>14836</v>
      </c>
      <c r="CI295" s="93">
        <f>SUM($Z295:BB295)-SUM($CM295:DO295)</f>
        <v>14836</v>
      </c>
      <c r="CJ295" s="93"/>
      <c r="CK295" s="93"/>
      <c r="CL295" s="93"/>
      <c r="CM295" s="93"/>
      <c r="CN295" s="93" cm="1">
        <f t="array" ref="CN295">SUMPRODUCT(TRANSPOSE(CN$4:CN$20),$G295:$W295)</f>
        <v>0</v>
      </c>
      <c r="CO295" s="93" cm="1">
        <f t="array" ref="CO295">SUMPRODUCT(TRANSPOSE(CO$4:CO$20),$G295:$W295)</f>
        <v>0</v>
      </c>
      <c r="CP295" s="93" cm="1">
        <f t="array" ref="CP295">SUMPRODUCT(TRANSPOSE(CP$4:CP$20),$G295:$W295)</f>
        <v>0</v>
      </c>
      <c r="CQ295" s="93" cm="1">
        <f t="array" ref="CQ295">SUMPRODUCT(TRANSPOSE(CQ$4:CQ$20),$G295:$W295)</f>
        <v>2924</v>
      </c>
      <c r="CR295" s="93" cm="1">
        <f t="array" ref="CR295">SUMPRODUCT(TRANSPOSE(CR$4:CR$20),$G295:$W295)</f>
        <v>2380</v>
      </c>
      <c r="CS295" s="93" cm="1">
        <f t="array" ref="CS295">SUMPRODUCT(TRANSPOSE(CS$4:CS$20),$G295:$W295)</f>
        <v>2040</v>
      </c>
      <c r="CT295" s="93" cm="1">
        <f t="array" ref="CT295">SUMPRODUCT(TRANSPOSE(CT$4:CT$20),$G295:$W295)</f>
        <v>2040</v>
      </c>
      <c r="CU295" s="93" cm="1">
        <f t="array" ref="CU295">SUMPRODUCT(TRANSPOSE(CU$4:CU$20),$G295:$W295)</f>
        <v>2040</v>
      </c>
      <c r="CV295" s="93" cm="1">
        <f t="array" ref="CV295">SUMPRODUCT(TRANSPOSE(CV$4:CV$20),$G295:$W295)</f>
        <v>2040</v>
      </c>
      <c r="CW295" s="93" cm="1">
        <f t="array" ref="CW295">SUMPRODUCT(TRANSPOSE(CW$4:CW$20),$G295:$W295)</f>
        <v>2040</v>
      </c>
      <c r="CX295" s="93" cm="1">
        <f t="array" ref="CX295">SUMPRODUCT(TRANSPOSE(CX$4:CX$20),$G295:$W295)</f>
        <v>2040</v>
      </c>
      <c r="CY295" s="93" cm="1">
        <f t="array" ref="CY295">SUMPRODUCT(TRANSPOSE(CY$4:CY$20),$G295:$W295)</f>
        <v>2040</v>
      </c>
      <c r="CZ295" s="93" cm="1">
        <f t="array" ref="CZ295">SUMPRODUCT(TRANSPOSE(CZ$4:CZ$20),$G295:$W295)</f>
        <v>2040</v>
      </c>
      <c r="DA295" s="93" cm="1">
        <f t="array" ref="DA295">SUMPRODUCT(TRANSPOSE(DA$4:DA$20),$G295:$W295)</f>
        <v>2040</v>
      </c>
      <c r="DB295" s="93" cm="1">
        <f t="array" ref="DB295">SUMPRODUCT(TRANSPOSE(DB$4:DB$20),$G295:$W295)</f>
        <v>0</v>
      </c>
      <c r="DC295" s="93" cm="1">
        <f t="array" ref="DC295">SUMPRODUCT(TRANSPOSE(DC$4:DC$20),$G295:$W295)</f>
        <v>0</v>
      </c>
      <c r="DD295" s="93" cm="1">
        <f t="array" ref="DD295">SUMPRODUCT(TRANSPOSE(DD$4:DD$20),$G295:$W295)</f>
        <v>0</v>
      </c>
      <c r="DE295" s="93" cm="1">
        <f t="array" ref="DE295">SUMPRODUCT(TRANSPOSE(DE$4:DE$20),$G295:$W295)</f>
        <v>0</v>
      </c>
      <c r="DF295" s="93" cm="1">
        <f t="array" ref="DF295">SUMPRODUCT(TRANSPOSE(DF$4:DF$20),$G295:$W295)</f>
        <v>0</v>
      </c>
      <c r="DG295" s="93" cm="1">
        <f t="array" ref="DG295">SUMPRODUCT(TRANSPOSE(DG$4:DG$20),$G295:$W295)</f>
        <v>0</v>
      </c>
      <c r="DH295" s="93" cm="1">
        <f t="array" ref="DH295">SUMPRODUCT(TRANSPOSE(DH$4:DH$20),$G295:$W295)</f>
        <v>0</v>
      </c>
      <c r="DI295" s="93" cm="1">
        <f t="array" ref="DI295">SUMPRODUCT(TRANSPOSE(DI$4:DI$20),$G295:$W295)</f>
        <v>0</v>
      </c>
      <c r="DJ295" s="93" cm="1">
        <f t="array" ref="DJ295">SUMPRODUCT(TRANSPOSE(DJ$4:DJ$20),$G295:$W295)</f>
        <v>0</v>
      </c>
      <c r="DK295" s="93" cm="1">
        <f t="array" ref="DK295">SUMPRODUCT(TRANSPOSE(DK$4:DK$20),$G295:$W295)</f>
        <v>0</v>
      </c>
      <c r="DL295" s="93" cm="1">
        <f t="array" ref="DL295">SUMPRODUCT(TRANSPOSE(DL$4:DL$20),$G295:$W295)</f>
        <v>0</v>
      </c>
      <c r="DM295" s="93" cm="1">
        <f t="array" ref="DM295">SUMPRODUCT(TRANSPOSE(DM$4:DM$20),$G295:$W295)</f>
        <v>0</v>
      </c>
      <c r="DN295" s="93" cm="1">
        <f t="array" ref="DN295">SUMPRODUCT(TRANSPOSE(DN$4:DN$20),$G295:$W295)</f>
        <v>0</v>
      </c>
      <c r="DO295" s="93" cm="1">
        <f t="array" ref="DO295">SUMPRODUCT(TRANSPOSE(DO$4:DO$20),$G295:$W295)</f>
        <v>0</v>
      </c>
    </row>
    <row r="296" spans="1:119" x14ac:dyDescent="0.2">
      <c r="A296" s="45">
        <f t="shared" si="30"/>
        <v>275</v>
      </c>
      <c r="B296" s="51" t="s">
        <v>666</v>
      </c>
      <c r="C296" s="45">
        <v>400157870</v>
      </c>
      <c r="D296" s="45" t="s">
        <v>667</v>
      </c>
      <c r="E296" s="45" t="s">
        <v>162</v>
      </c>
      <c r="F296" s="48">
        <v>2</v>
      </c>
      <c r="G296" s="100">
        <v>0</v>
      </c>
      <c r="H296" s="100">
        <v>0</v>
      </c>
      <c r="I296" s="100">
        <v>0</v>
      </c>
      <c r="J296" s="100">
        <v>0</v>
      </c>
      <c r="K296" s="100">
        <v>0</v>
      </c>
      <c r="L296" s="100">
        <v>0</v>
      </c>
      <c r="M296" s="100">
        <v>0</v>
      </c>
      <c r="N296" s="100">
        <v>0</v>
      </c>
      <c r="O296" s="100">
        <v>0</v>
      </c>
      <c r="P296" s="100">
        <v>0</v>
      </c>
      <c r="Q296" s="100">
        <v>34</v>
      </c>
      <c r="R296" s="100">
        <v>0</v>
      </c>
      <c r="S296" s="100">
        <v>0</v>
      </c>
      <c r="T296" s="100">
        <v>0</v>
      </c>
      <c r="U296" s="100">
        <v>0</v>
      </c>
      <c r="V296" s="100">
        <v>0</v>
      </c>
      <c r="W296" s="100">
        <v>0</v>
      </c>
      <c r="X296" s="45" t="s">
        <v>64</v>
      </c>
      <c r="Y296" s="49">
        <v>0.318</v>
      </c>
      <c r="Z296" s="45">
        <v>20000</v>
      </c>
      <c r="AA296" s="45">
        <v>0</v>
      </c>
      <c r="AB296" s="45">
        <v>0</v>
      </c>
      <c r="AC296" s="45">
        <v>0</v>
      </c>
      <c r="AD296" s="45">
        <v>0</v>
      </c>
      <c r="AE296" s="45">
        <v>0</v>
      </c>
      <c r="AF296" s="45">
        <v>0</v>
      </c>
      <c r="AG296" s="45">
        <v>0</v>
      </c>
      <c r="AH296" s="45">
        <v>0</v>
      </c>
      <c r="AI296" s="45">
        <v>0</v>
      </c>
      <c r="AJ296" s="45">
        <v>0</v>
      </c>
      <c r="AK296" s="45">
        <v>0</v>
      </c>
      <c r="AL296" s="45">
        <v>0</v>
      </c>
      <c r="AM296" s="45">
        <v>0</v>
      </c>
      <c r="AN296" s="45">
        <v>0</v>
      </c>
      <c r="AO296" s="45"/>
      <c r="AP296" s="45"/>
      <c r="AQ296" s="45"/>
      <c r="AR296" s="45"/>
      <c r="AS296" s="45"/>
      <c r="AT296" s="45"/>
      <c r="AU296" s="45"/>
      <c r="AV296" s="45"/>
      <c r="AW296" s="45"/>
      <c r="AX296" s="45"/>
      <c r="AY296" s="45"/>
      <c r="AZ296" s="45"/>
      <c r="BA296" s="45"/>
      <c r="BB296" s="45"/>
      <c r="BC296" s="45"/>
      <c r="BD296" s="93"/>
      <c r="BE296" s="93"/>
      <c r="BF296" s="93"/>
      <c r="BG296" s="93"/>
      <c r="BH296" s="93"/>
      <c r="BI296" s="93"/>
      <c r="BJ296" s="93"/>
      <c r="BK296" s="93">
        <f>SUM($Z296:AD296)-SUM($CM296:CQ296)</f>
        <v>18810</v>
      </c>
      <c r="BL296" s="93">
        <f>SUM($Z296:AE296)-SUM($CM296:CR296)</f>
        <v>17620</v>
      </c>
      <c r="BM296" s="93">
        <f>SUM($Z296:AF296)-SUM($CM296:CS296)</f>
        <v>16430</v>
      </c>
      <c r="BN296" s="93">
        <f>SUM($Z296:AG296)-SUM($CM296:CT296)</f>
        <v>15410</v>
      </c>
      <c r="BO296" s="93">
        <f>SUM($Z296:AH296)-SUM($CM296:CU296)</f>
        <v>14390</v>
      </c>
      <c r="BP296" s="93">
        <f>SUM($Z296:AI296)-SUM($CM296:CV296)</f>
        <v>13370</v>
      </c>
      <c r="BQ296" s="93">
        <f>SUM($Z296:AJ296)-SUM($CM296:CW296)</f>
        <v>12350</v>
      </c>
      <c r="BR296" s="93">
        <f>SUM($Z296:AK296)-SUM($CM296:CX296)</f>
        <v>11330</v>
      </c>
      <c r="BS296" s="93">
        <f>SUM($Z296:AL296)-SUM($CM296:CY296)</f>
        <v>10310</v>
      </c>
      <c r="BT296" s="93">
        <f>SUM($Z296:AM296)-SUM($CM296:CZ296)</f>
        <v>9290</v>
      </c>
      <c r="BU296" s="93">
        <f>SUM($Z296:AN296)-SUM($CM296:DA296)</f>
        <v>8270</v>
      </c>
      <c r="BV296" s="93">
        <f>SUM($Z296:AO296)-SUM($CM296:DB296)</f>
        <v>7794</v>
      </c>
      <c r="BW296" s="93">
        <f>SUM($Z296:AP296)-SUM($CM296:DC296)</f>
        <v>7794</v>
      </c>
      <c r="BX296" s="93">
        <f>SUM($Z296:AQ296)-SUM($CM296:DD296)</f>
        <v>7794</v>
      </c>
      <c r="BY296" s="93">
        <f>SUM($Z296:AR296)-SUM($CM296:DE296)</f>
        <v>7794</v>
      </c>
      <c r="BZ296" s="93">
        <f>SUM($Z296:AS296)-SUM($CM296:DF296)</f>
        <v>7794</v>
      </c>
      <c r="CA296" s="93">
        <f>SUM($Z296:AT296)-SUM($CM296:DG296)</f>
        <v>7794</v>
      </c>
      <c r="CB296" s="93">
        <f>SUM($Z296:AU296)-SUM($CM296:DH296)</f>
        <v>7794</v>
      </c>
      <c r="CC296" s="93">
        <f>SUM($Z296:AV296)-SUM($CM296:DI296)</f>
        <v>7794</v>
      </c>
      <c r="CD296" s="93">
        <f>SUM($Z296:AW296)-SUM($CM296:DJ296)</f>
        <v>7794</v>
      </c>
      <c r="CE296" s="93">
        <f>SUM($Z296:AX296)-SUM($CM296:DK296)</f>
        <v>7794</v>
      </c>
      <c r="CF296" s="93">
        <f>SUM($Z296:AY296)-SUM($CM296:DL296)</f>
        <v>7794</v>
      </c>
      <c r="CG296" s="93">
        <f>SUM($Z296:AZ296)-SUM($CM296:DM296)</f>
        <v>7794</v>
      </c>
      <c r="CH296" s="93">
        <f>SUM($Z296:BA296)-SUM($CM296:DN296)</f>
        <v>7794</v>
      </c>
      <c r="CI296" s="93">
        <f>SUM($Z296:BB296)-SUM($CM296:DO296)</f>
        <v>7794</v>
      </c>
      <c r="CJ296" s="93"/>
      <c r="CK296" s="93"/>
      <c r="CL296" s="93"/>
      <c r="CM296" s="93"/>
      <c r="CN296" s="93" cm="1">
        <f t="array" ref="CN296">SUMPRODUCT(TRANSPOSE(CN$4:CN$20),$G296:$W296)</f>
        <v>0</v>
      </c>
      <c r="CO296" s="93" cm="1">
        <f t="array" ref="CO296">SUMPRODUCT(TRANSPOSE(CO$4:CO$20),$G296:$W296)</f>
        <v>0</v>
      </c>
      <c r="CP296" s="93" cm="1">
        <f t="array" ref="CP296">SUMPRODUCT(TRANSPOSE(CP$4:CP$20),$G296:$W296)</f>
        <v>0</v>
      </c>
      <c r="CQ296" s="93" cm="1">
        <f t="array" ref="CQ296">SUMPRODUCT(TRANSPOSE(CQ$4:CQ$20),$G296:$W296)</f>
        <v>1190</v>
      </c>
      <c r="CR296" s="93" cm="1">
        <f t="array" ref="CR296">SUMPRODUCT(TRANSPOSE(CR$4:CR$20),$G296:$W296)</f>
        <v>1190</v>
      </c>
      <c r="CS296" s="93" cm="1">
        <f t="array" ref="CS296">SUMPRODUCT(TRANSPOSE(CS$4:CS$20),$G296:$W296)</f>
        <v>1190</v>
      </c>
      <c r="CT296" s="93" cm="1">
        <f t="array" ref="CT296">SUMPRODUCT(TRANSPOSE(CT$4:CT$20),$G296:$W296)</f>
        <v>1020</v>
      </c>
      <c r="CU296" s="93" cm="1">
        <f t="array" ref="CU296">SUMPRODUCT(TRANSPOSE(CU$4:CU$20),$G296:$W296)</f>
        <v>1020</v>
      </c>
      <c r="CV296" s="93" cm="1">
        <f t="array" ref="CV296">SUMPRODUCT(TRANSPOSE(CV$4:CV$20),$G296:$W296)</f>
        <v>1020</v>
      </c>
      <c r="CW296" s="93" cm="1">
        <f t="array" ref="CW296">SUMPRODUCT(TRANSPOSE(CW$4:CW$20),$G296:$W296)</f>
        <v>1020</v>
      </c>
      <c r="CX296" s="93" cm="1">
        <f t="array" ref="CX296">SUMPRODUCT(TRANSPOSE(CX$4:CX$20),$G296:$W296)</f>
        <v>1020</v>
      </c>
      <c r="CY296" s="93" cm="1">
        <f t="array" ref="CY296">SUMPRODUCT(TRANSPOSE(CY$4:CY$20),$G296:$W296)</f>
        <v>1020</v>
      </c>
      <c r="CZ296" s="93" cm="1">
        <f t="array" ref="CZ296">SUMPRODUCT(TRANSPOSE(CZ$4:CZ$20),$G296:$W296)</f>
        <v>1020</v>
      </c>
      <c r="DA296" s="93" cm="1">
        <f t="array" ref="DA296">SUMPRODUCT(TRANSPOSE(DA$4:DA$20),$G296:$W296)</f>
        <v>1020</v>
      </c>
      <c r="DB296" s="93" cm="1">
        <f t="array" ref="DB296">SUMPRODUCT(TRANSPOSE(DB$4:DB$20),$G296:$W296)</f>
        <v>476</v>
      </c>
      <c r="DC296" s="93" cm="1">
        <f t="array" ref="DC296">SUMPRODUCT(TRANSPOSE(DC$4:DC$20),$G296:$W296)</f>
        <v>0</v>
      </c>
      <c r="DD296" s="93" cm="1">
        <f t="array" ref="DD296">SUMPRODUCT(TRANSPOSE(DD$4:DD$20),$G296:$W296)</f>
        <v>0</v>
      </c>
      <c r="DE296" s="93" cm="1">
        <f t="array" ref="DE296">SUMPRODUCT(TRANSPOSE(DE$4:DE$20),$G296:$W296)</f>
        <v>0</v>
      </c>
      <c r="DF296" s="93" cm="1">
        <f t="array" ref="DF296">SUMPRODUCT(TRANSPOSE(DF$4:DF$20),$G296:$W296)</f>
        <v>0</v>
      </c>
      <c r="DG296" s="93" cm="1">
        <f t="array" ref="DG296">SUMPRODUCT(TRANSPOSE(DG$4:DG$20),$G296:$W296)</f>
        <v>0</v>
      </c>
      <c r="DH296" s="93" cm="1">
        <f t="array" ref="DH296">SUMPRODUCT(TRANSPOSE(DH$4:DH$20),$G296:$W296)</f>
        <v>0</v>
      </c>
      <c r="DI296" s="93" cm="1">
        <f t="array" ref="DI296">SUMPRODUCT(TRANSPOSE(DI$4:DI$20),$G296:$W296)</f>
        <v>0</v>
      </c>
      <c r="DJ296" s="93" cm="1">
        <f t="array" ref="DJ296">SUMPRODUCT(TRANSPOSE(DJ$4:DJ$20),$G296:$W296)</f>
        <v>0</v>
      </c>
      <c r="DK296" s="93" cm="1">
        <f t="array" ref="DK296">SUMPRODUCT(TRANSPOSE(DK$4:DK$20),$G296:$W296)</f>
        <v>0</v>
      </c>
      <c r="DL296" s="93" cm="1">
        <f t="array" ref="DL296">SUMPRODUCT(TRANSPOSE(DL$4:DL$20),$G296:$W296)</f>
        <v>0</v>
      </c>
      <c r="DM296" s="93" cm="1">
        <f t="array" ref="DM296">SUMPRODUCT(TRANSPOSE(DM$4:DM$20),$G296:$W296)</f>
        <v>0</v>
      </c>
      <c r="DN296" s="93" cm="1">
        <f t="array" ref="DN296">SUMPRODUCT(TRANSPOSE(DN$4:DN$20),$G296:$W296)</f>
        <v>0</v>
      </c>
      <c r="DO296" s="93" cm="1">
        <f t="array" ref="DO296">SUMPRODUCT(TRANSPOSE(DO$4:DO$20),$G296:$W296)</f>
        <v>0</v>
      </c>
    </row>
    <row r="297" spans="1:119" x14ac:dyDescent="0.2">
      <c r="A297" s="45">
        <f t="shared" si="30"/>
        <v>276</v>
      </c>
      <c r="B297" s="46" t="s">
        <v>668</v>
      </c>
      <c r="C297" s="45">
        <v>724201546</v>
      </c>
      <c r="D297" s="45" t="s">
        <v>669</v>
      </c>
      <c r="E297" s="45" t="s">
        <v>191</v>
      </c>
      <c r="F297" s="48">
        <v>2</v>
      </c>
      <c r="G297" s="100">
        <v>0</v>
      </c>
      <c r="H297" s="100">
        <v>0</v>
      </c>
      <c r="I297" s="100">
        <v>0</v>
      </c>
      <c r="J297" s="100">
        <v>0</v>
      </c>
      <c r="K297" s="100">
        <v>0</v>
      </c>
      <c r="L297" s="100">
        <v>0</v>
      </c>
      <c r="M297" s="100">
        <v>0</v>
      </c>
      <c r="N297" s="100">
        <v>0</v>
      </c>
      <c r="O297" s="100">
        <v>0</v>
      </c>
      <c r="P297" s="100">
        <v>0</v>
      </c>
      <c r="Q297" s="100">
        <v>0</v>
      </c>
      <c r="R297" s="100">
        <v>0</v>
      </c>
      <c r="S297" s="100">
        <v>0</v>
      </c>
      <c r="T297" s="100">
        <v>0</v>
      </c>
      <c r="U297" s="100">
        <v>0</v>
      </c>
      <c r="V297" s="100">
        <v>0</v>
      </c>
      <c r="W297" s="100">
        <v>0</v>
      </c>
      <c r="X297" s="45" t="s">
        <v>6</v>
      </c>
      <c r="Y297" s="49">
        <v>0</v>
      </c>
      <c r="Z297" s="45">
        <v>0</v>
      </c>
      <c r="AA297" s="45">
        <v>0</v>
      </c>
      <c r="AB297" s="45">
        <v>0</v>
      </c>
      <c r="AC297" s="45">
        <v>0</v>
      </c>
      <c r="AD297" s="45">
        <v>0</v>
      </c>
      <c r="AE297" s="45">
        <v>0</v>
      </c>
      <c r="AF297" s="45">
        <v>0</v>
      </c>
      <c r="AG297" s="45">
        <v>0</v>
      </c>
      <c r="AH297" s="45">
        <v>0</v>
      </c>
      <c r="AI297" s="45">
        <v>0</v>
      </c>
      <c r="AJ297" s="45">
        <v>0</v>
      </c>
      <c r="AK297" s="45">
        <v>0</v>
      </c>
      <c r="AL297" s="45">
        <v>0</v>
      </c>
      <c r="AM297" s="45">
        <v>0</v>
      </c>
      <c r="AN297" s="45">
        <v>0</v>
      </c>
      <c r="AO297" s="45"/>
      <c r="AP297" s="45"/>
      <c r="AQ297" s="45"/>
      <c r="AR297" s="45"/>
      <c r="AS297" s="45"/>
      <c r="AT297" s="45"/>
      <c r="AU297" s="45"/>
      <c r="AV297" s="45"/>
      <c r="AW297" s="45"/>
      <c r="AX297" s="45"/>
      <c r="AY297" s="45"/>
      <c r="AZ297" s="45"/>
      <c r="BA297" s="45"/>
      <c r="BB297" s="45"/>
      <c r="BC297" s="45"/>
      <c r="BD297" s="93"/>
      <c r="BE297" s="93"/>
      <c r="BF297" s="93"/>
      <c r="BG297" s="93"/>
      <c r="BH297" s="93"/>
      <c r="BI297" s="93"/>
      <c r="BJ297" s="93"/>
      <c r="BK297" s="93">
        <f>SUM($Z297:AD297)-SUM($CM297:CQ297)</f>
        <v>0</v>
      </c>
      <c r="BL297" s="93">
        <f>SUM($Z297:AE297)-SUM($CM297:CR297)</f>
        <v>0</v>
      </c>
      <c r="BM297" s="93">
        <f>SUM($Z297:AF297)-SUM($CM297:CS297)</f>
        <v>0</v>
      </c>
      <c r="BN297" s="93">
        <f>SUM($Z297:AG297)-SUM($CM297:CT297)</f>
        <v>0</v>
      </c>
      <c r="BO297" s="93">
        <f>SUM($Z297:AH297)-SUM($CM297:CU297)</f>
        <v>0</v>
      </c>
      <c r="BP297" s="93">
        <f>SUM($Z297:AI297)-SUM($CM297:CV297)</f>
        <v>0</v>
      </c>
      <c r="BQ297" s="93">
        <f>SUM($Z297:AJ297)-SUM($CM297:CW297)</f>
        <v>0</v>
      </c>
      <c r="BR297" s="93">
        <f>SUM($Z297:AK297)-SUM($CM297:CX297)</f>
        <v>0</v>
      </c>
      <c r="BS297" s="93">
        <f>SUM($Z297:AL297)-SUM($CM297:CY297)</f>
        <v>0</v>
      </c>
      <c r="BT297" s="93">
        <f>SUM($Z297:AM297)-SUM($CM297:CZ297)</f>
        <v>0</v>
      </c>
      <c r="BU297" s="93">
        <f>SUM($Z297:AN297)-SUM($CM297:DA297)</f>
        <v>0</v>
      </c>
      <c r="BV297" s="93">
        <f>SUM($Z297:AO297)-SUM($CM297:DB297)</f>
        <v>0</v>
      </c>
      <c r="BW297" s="93">
        <f>SUM($Z297:AP297)-SUM($CM297:DC297)</f>
        <v>0</v>
      </c>
      <c r="BX297" s="93">
        <f>SUM($Z297:AQ297)-SUM($CM297:DD297)</f>
        <v>0</v>
      </c>
      <c r="BY297" s="93">
        <f>SUM($Z297:AR297)-SUM($CM297:DE297)</f>
        <v>0</v>
      </c>
      <c r="BZ297" s="93">
        <f>SUM($Z297:AS297)-SUM($CM297:DF297)</f>
        <v>0</v>
      </c>
      <c r="CA297" s="93">
        <f>SUM($Z297:AT297)-SUM($CM297:DG297)</f>
        <v>0</v>
      </c>
      <c r="CB297" s="93">
        <f>SUM($Z297:AU297)-SUM($CM297:DH297)</f>
        <v>0</v>
      </c>
      <c r="CC297" s="93">
        <f>SUM($Z297:AV297)-SUM($CM297:DI297)</f>
        <v>0</v>
      </c>
      <c r="CD297" s="93">
        <f>SUM($Z297:AW297)-SUM($CM297:DJ297)</f>
        <v>0</v>
      </c>
      <c r="CE297" s="93">
        <f>SUM($Z297:AX297)-SUM($CM297:DK297)</f>
        <v>0</v>
      </c>
      <c r="CF297" s="93">
        <f>SUM($Z297:AY297)-SUM($CM297:DL297)</f>
        <v>0</v>
      </c>
      <c r="CG297" s="93">
        <f>SUM($Z297:AZ297)-SUM($CM297:DM297)</f>
        <v>0</v>
      </c>
      <c r="CH297" s="93">
        <f>SUM($Z297:BA297)-SUM($CM297:DN297)</f>
        <v>0</v>
      </c>
      <c r="CI297" s="93">
        <f>SUM($Z297:BB297)-SUM($CM297:DO297)</f>
        <v>0</v>
      </c>
      <c r="CJ297" s="93"/>
      <c r="CK297" s="93"/>
      <c r="CL297" s="93"/>
      <c r="CM297" s="93"/>
      <c r="CN297" s="93" cm="1">
        <f t="array" ref="CN297">SUMPRODUCT(TRANSPOSE(CN$4:CN$20),$G297:$W297)</f>
        <v>0</v>
      </c>
      <c r="CO297" s="93" cm="1">
        <f t="array" ref="CO297">SUMPRODUCT(TRANSPOSE(CO$4:CO$20),$G297:$W297)</f>
        <v>0</v>
      </c>
      <c r="CP297" s="93" cm="1">
        <f t="array" ref="CP297">SUMPRODUCT(TRANSPOSE(CP$4:CP$20),$G297:$W297)</f>
        <v>0</v>
      </c>
      <c r="CQ297" s="93" cm="1">
        <f t="array" ref="CQ297">SUMPRODUCT(TRANSPOSE(CQ$4:CQ$20),$G297:$W297)</f>
        <v>0</v>
      </c>
      <c r="CR297" s="93" cm="1">
        <f t="array" ref="CR297">SUMPRODUCT(TRANSPOSE(CR$4:CR$20),$G297:$W297)</f>
        <v>0</v>
      </c>
      <c r="CS297" s="93" cm="1">
        <f t="array" ref="CS297">SUMPRODUCT(TRANSPOSE(CS$4:CS$20),$G297:$W297)</f>
        <v>0</v>
      </c>
      <c r="CT297" s="93" cm="1">
        <f t="array" ref="CT297">SUMPRODUCT(TRANSPOSE(CT$4:CT$20),$G297:$W297)</f>
        <v>0</v>
      </c>
      <c r="CU297" s="93" cm="1">
        <f t="array" ref="CU297">SUMPRODUCT(TRANSPOSE(CU$4:CU$20),$G297:$W297)</f>
        <v>0</v>
      </c>
      <c r="CV297" s="93" cm="1">
        <f t="array" ref="CV297">SUMPRODUCT(TRANSPOSE(CV$4:CV$20),$G297:$W297)</f>
        <v>0</v>
      </c>
      <c r="CW297" s="93" cm="1">
        <f t="array" ref="CW297">SUMPRODUCT(TRANSPOSE(CW$4:CW$20),$G297:$W297)</f>
        <v>0</v>
      </c>
      <c r="CX297" s="93" cm="1">
        <f t="array" ref="CX297">SUMPRODUCT(TRANSPOSE(CX$4:CX$20),$G297:$W297)</f>
        <v>0</v>
      </c>
      <c r="CY297" s="93" cm="1">
        <f t="array" ref="CY297">SUMPRODUCT(TRANSPOSE(CY$4:CY$20),$G297:$W297)</f>
        <v>0</v>
      </c>
      <c r="CZ297" s="93" cm="1">
        <f t="array" ref="CZ297">SUMPRODUCT(TRANSPOSE(CZ$4:CZ$20),$G297:$W297)</f>
        <v>0</v>
      </c>
      <c r="DA297" s="93" cm="1">
        <f t="array" ref="DA297">SUMPRODUCT(TRANSPOSE(DA$4:DA$20),$G297:$W297)</f>
        <v>0</v>
      </c>
      <c r="DB297" s="93" cm="1">
        <f t="array" ref="DB297">SUMPRODUCT(TRANSPOSE(DB$4:DB$20),$G297:$W297)</f>
        <v>0</v>
      </c>
      <c r="DC297" s="93" cm="1">
        <f t="array" ref="DC297">SUMPRODUCT(TRANSPOSE(DC$4:DC$20),$G297:$W297)</f>
        <v>0</v>
      </c>
      <c r="DD297" s="93" cm="1">
        <f t="array" ref="DD297">SUMPRODUCT(TRANSPOSE(DD$4:DD$20),$G297:$W297)</f>
        <v>0</v>
      </c>
      <c r="DE297" s="93" cm="1">
        <f t="array" ref="DE297">SUMPRODUCT(TRANSPOSE(DE$4:DE$20),$G297:$W297)</f>
        <v>0</v>
      </c>
      <c r="DF297" s="93" cm="1">
        <f t="array" ref="DF297">SUMPRODUCT(TRANSPOSE(DF$4:DF$20),$G297:$W297)</f>
        <v>0</v>
      </c>
      <c r="DG297" s="93" cm="1">
        <f t="array" ref="DG297">SUMPRODUCT(TRANSPOSE(DG$4:DG$20),$G297:$W297)</f>
        <v>0</v>
      </c>
      <c r="DH297" s="93" cm="1">
        <f t="array" ref="DH297">SUMPRODUCT(TRANSPOSE(DH$4:DH$20),$G297:$W297)</f>
        <v>0</v>
      </c>
      <c r="DI297" s="93" cm="1">
        <f t="array" ref="DI297">SUMPRODUCT(TRANSPOSE(DI$4:DI$20),$G297:$W297)</f>
        <v>0</v>
      </c>
      <c r="DJ297" s="93" cm="1">
        <f t="array" ref="DJ297">SUMPRODUCT(TRANSPOSE(DJ$4:DJ$20),$G297:$W297)</f>
        <v>0</v>
      </c>
      <c r="DK297" s="93" cm="1">
        <f t="array" ref="DK297">SUMPRODUCT(TRANSPOSE(DK$4:DK$20),$G297:$W297)</f>
        <v>0</v>
      </c>
      <c r="DL297" s="93" cm="1">
        <f t="array" ref="DL297">SUMPRODUCT(TRANSPOSE(DL$4:DL$20),$G297:$W297)</f>
        <v>0</v>
      </c>
      <c r="DM297" s="93" cm="1">
        <f t="array" ref="DM297">SUMPRODUCT(TRANSPOSE(DM$4:DM$20),$G297:$W297)</f>
        <v>0</v>
      </c>
      <c r="DN297" s="93" cm="1">
        <f t="array" ref="DN297">SUMPRODUCT(TRANSPOSE(DN$4:DN$20),$G297:$W297)</f>
        <v>0</v>
      </c>
      <c r="DO297" s="93" cm="1">
        <f t="array" ref="DO297">SUMPRODUCT(TRANSPOSE(DO$4:DO$20),$G297:$W297)</f>
        <v>0</v>
      </c>
    </row>
    <row r="298" spans="1:119" x14ac:dyDescent="0.2">
      <c r="A298" s="45">
        <f t="shared" si="30"/>
        <v>277</v>
      </c>
      <c r="B298" s="46" t="s">
        <v>670</v>
      </c>
      <c r="C298" s="45">
        <v>400057230</v>
      </c>
      <c r="D298" s="45" t="s">
        <v>671</v>
      </c>
      <c r="E298" s="45" t="s">
        <v>162</v>
      </c>
      <c r="F298" s="48">
        <v>2</v>
      </c>
      <c r="G298" s="100">
        <v>0</v>
      </c>
      <c r="H298" s="100">
        <v>0</v>
      </c>
      <c r="I298" s="100">
        <v>20</v>
      </c>
      <c r="J298" s="100">
        <v>0</v>
      </c>
      <c r="K298" s="100">
        <v>20</v>
      </c>
      <c r="L298" s="100">
        <v>0</v>
      </c>
      <c r="M298" s="100">
        <v>0</v>
      </c>
      <c r="N298" s="100">
        <v>0</v>
      </c>
      <c r="O298" s="100">
        <v>8</v>
      </c>
      <c r="P298" s="100">
        <v>0</v>
      </c>
      <c r="Q298" s="100">
        <v>0</v>
      </c>
      <c r="R298" s="100">
        <v>0</v>
      </c>
      <c r="S298" s="100">
        <v>8</v>
      </c>
      <c r="T298" s="100">
        <v>0</v>
      </c>
      <c r="U298" s="100">
        <v>0</v>
      </c>
      <c r="V298" s="100">
        <v>0</v>
      </c>
      <c r="W298" s="100">
        <v>150</v>
      </c>
      <c r="X298" s="45" t="s">
        <v>24</v>
      </c>
      <c r="Y298" s="49">
        <v>1.7500000000000002E-2</v>
      </c>
      <c r="Z298" s="45">
        <v>48490</v>
      </c>
      <c r="AA298" s="45">
        <v>0</v>
      </c>
      <c r="AB298" s="45">
        <v>0</v>
      </c>
      <c r="AC298" s="45">
        <v>0</v>
      </c>
      <c r="AD298" s="45">
        <v>0</v>
      </c>
      <c r="AE298" s="45">
        <v>0</v>
      </c>
      <c r="AF298" s="45">
        <v>0</v>
      </c>
      <c r="AG298" s="45">
        <v>0</v>
      </c>
      <c r="AH298" s="45">
        <v>0</v>
      </c>
      <c r="AI298" s="45">
        <v>0</v>
      </c>
      <c r="AJ298" s="45">
        <v>0</v>
      </c>
      <c r="AK298" s="45">
        <v>0</v>
      </c>
      <c r="AL298" s="45">
        <v>0</v>
      </c>
      <c r="AM298" s="45">
        <v>0</v>
      </c>
      <c r="AN298" s="45">
        <v>0</v>
      </c>
      <c r="AO298" s="45"/>
      <c r="AP298" s="45"/>
      <c r="AQ298" s="45"/>
      <c r="AR298" s="45"/>
      <c r="AS298" s="45"/>
      <c r="AT298" s="45"/>
      <c r="AU298" s="45"/>
      <c r="AV298" s="45"/>
      <c r="AW298" s="45"/>
      <c r="AX298" s="45"/>
      <c r="AY298" s="45"/>
      <c r="AZ298" s="45"/>
      <c r="BA298" s="45"/>
      <c r="BB298" s="45"/>
      <c r="BC298" s="45"/>
      <c r="BD298" s="93"/>
      <c r="BE298" s="93"/>
      <c r="BF298" s="93"/>
      <c r="BG298" s="93"/>
      <c r="BH298" s="93"/>
      <c r="BI298" s="93"/>
      <c r="BJ298" s="93"/>
      <c r="BK298" s="93">
        <f>SUM($Z298:AD298)-SUM($CM298:CQ298)</f>
        <v>45146</v>
      </c>
      <c r="BL298" s="93">
        <f>SUM($Z298:AE298)-SUM($CM298:CR298)</f>
        <v>41866</v>
      </c>
      <c r="BM298" s="93">
        <f>SUM($Z298:AF298)-SUM($CM298:CS298)</f>
        <v>38626</v>
      </c>
      <c r="BN298" s="93">
        <f>SUM($Z298:AG298)-SUM($CM298:CT298)</f>
        <v>35426</v>
      </c>
      <c r="BO298" s="93">
        <f>SUM($Z298:AH298)-SUM($CM298:CU298)</f>
        <v>32226</v>
      </c>
      <c r="BP298" s="93">
        <f>SUM($Z298:AI298)-SUM($CM298:CV298)</f>
        <v>29026</v>
      </c>
      <c r="BQ298" s="93">
        <f>SUM($Z298:AJ298)-SUM($CM298:CW298)</f>
        <v>25826</v>
      </c>
      <c r="BR298" s="93">
        <f>SUM($Z298:AK298)-SUM($CM298:CX298)</f>
        <v>22626</v>
      </c>
      <c r="BS298" s="93">
        <f>SUM($Z298:AL298)-SUM($CM298:CY298)</f>
        <v>21826</v>
      </c>
      <c r="BT298" s="93">
        <f>SUM($Z298:AM298)-SUM($CM298:CZ298)</f>
        <v>21026</v>
      </c>
      <c r="BU298" s="93">
        <f>SUM($Z298:AN298)-SUM($CM298:DA298)</f>
        <v>20226</v>
      </c>
      <c r="BV298" s="93">
        <f>SUM($Z298:AO298)-SUM($CM298:DB298)</f>
        <v>19794</v>
      </c>
      <c r="BW298" s="93">
        <f>SUM($Z298:AP298)-SUM($CM298:DC298)</f>
        <v>19554</v>
      </c>
      <c r="BX298" s="93">
        <f>SUM($Z298:AQ298)-SUM($CM298:DD298)</f>
        <v>19554</v>
      </c>
      <c r="BY298" s="93">
        <f>SUM($Z298:AR298)-SUM($CM298:DE298)</f>
        <v>19554</v>
      </c>
      <c r="BZ298" s="93">
        <f>SUM($Z298:AS298)-SUM($CM298:DF298)</f>
        <v>19554</v>
      </c>
      <c r="CA298" s="93">
        <f>SUM($Z298:AT298)-SUM($CM298:DG298)</f>
        <v>19554</v>
      </c>
      <c r="CB298" s="93">
        <f>SUM($Z298:AU298)-SUM($CM298:DH298)</f>
        <v>19554</v>
      </c>
      <c r="CC298" s="93">
        <f>SUM($Z298:AV298)-SUM($CM298:DI298)</f>
        <v>19554</v>
      </c>
      <c r="CD298" s="93">
        <f>SUM($Z298:AW298)-SUM($CM298:DJ298)</f>
        <v>19554</v>
      </c>
      <c r="CE298" s="93">
        <f>SUM($Z298:AX298)-SUM($CM298:DK298)</f>
        <v>19554</v>
      </c>
      <c r="CF298" s="93">
        <f>SUM($Z298:AY298)-SUM($CM298:DL298)</f>
        <v>19554</v>
      </c>
      <c r="CG298" s="93">
        <f>SUM($Z298:AZ298)-SUM($CM298:DM298)</f>
        <v>19554</v>
      </c>
      <c r="CH298" s="93">
        <f>SUM($Z298:BA298)-SUM($CM298:DN298)</f>
        <v>19554</v>
      </c>
      <c r="CI298" s="93">
        <f>SUM($Z298:BB298)-SUM($CM298:DO298)</f>
        <v>19554</v>
      </c>
      <c r="CJ298" s="93"/>
      <c r="CK298" s="93"/>
      <c r="CL298" s="93"/>
      <c r="CM298" s="93"/>
      <c r="CN298" s="93" cm="1">
        <f t="array" ref="CN298">SUMPRODUCT(TRANSPOSE(CN$4:CN$20),$G298:$W298)</f>
        <v>0</v>
      </c>
      <c r="CO298" s="93" cm="1">
        <f t="array" ref="CO298">SUMPRODUCT(TRANSPOSE(CO$4:CO$20),$G298:$W298)</f>
        <v>0</v>
      </c>
      <c r="CP298" s="93" cm="1">
        <f t="array" ref="CP298">SUMPRODUCT(TRANSPOSE(CP$4:CP$20),$G298:$W298)</f>
        <v>0</v>
      </c>
      <c r="CQ298" s="93" cm="1">
        <f t="array" ref="CQ298">SUMPRODUCT(TRANSPOSE(CQ$4:CQ$20),$G298:$W298)</f>
        <v>3344</v>
      </c>
      <c r="CR298" s="93" cm="1">
        <f t="array" ref="CR298">SUMPRODUCT(TRANSPOSE(CR$4:CR$20),$G298:$W298)</f>
        <v>3280</v>
      </c>
      <c r="CS298" s="93" cm="1">
        <f t="array" ref="CS298">SUMPRODUCT(TRANSPOSE(CS$4:CS$20),$G298:$W298)</f>
        <v>3240</v>
      </c>
      <c r="CT298" s="93" cm="1">
        <f t="array" ref="CT298">SUMPRODUCT(TRANSPOSE(CT$4:CT$20),$G298:$W298)</f>
        <v>3200</v>
      </c>
      <c r="CU298" s="93" cm="1">
        <f t="array" ref="CU298">SUMPRODUCT(TRANSPOSE(CU$4:CU$20),$G298:$W298)</f>
        <v>3200</v>
      </c>
      <c r="CV298" s="93" cm="1">
        <f t="array" ref="CV298">SUMPRODUCT(TRANSPOSE(CV$4:CV$20),$G298:$W298)</f>
        <v>3200</v>
      </c>
      <c r="CW298" s="93" cm="1">
        <f t="array" ref="CW298">SUMPRODUCT(TRANSPOSE(CW$4:CW$20),$G298:$W298)</f>
        <v>3200</v>
      </c>
      <c r="CX298" s="93" cm="1">
        <f t="array" ref="CX298">SUMPRODUCT(TRANSPOSE(CX$4:CX$20),$G298:$W298)</f>
        <v>3200</v>
      </c>
      <c r="CY298" s="93" cm="1">
        <f t="array" ref="CY298">SUMPRODUCT(TRANSPOSE(CY$4:CY$20),$G298:$W298)</f>
        <v>800</v>
      </c>
      <c r="CZ298" s="93" cm="1">
        <f t="array" ref="CZ298">SUMPRODUCT(TRANSPOSE(CZ$4:CZ$20),$G298:$W298)</f>
        <v>800</v>
      </c>
      <c r="DA298" s="93" cm="1">
        <f t="array" ref="DA298">SUMPRODUCT(TRANSPOSE(DA$4:DA$20),$G298:$W298)</f>
        <v>800</v>
      </c>
      <c r="DB298" s="93" cm="1">
        <f t="array" ref="DB298">SUMPRODUCT(TRANSPOSE(DB$4:DB$20),$G298:$W298)</f>
        <v>432</v>
      </c>
      <c r="DC298" s="93" cm="1">
        <f t="array" ref="DC298">SUMPRODUCT(TRANSPOSE(DC$4:DC$20),$G298:$W298)</f>
        <v>240</v>
      </c>
      <c r="DD298" s="93" cm="1">
        <f t="array" ref="DD298">SUMPRODUCT(TRANSPOSE(DD$4:DD$20),$G298:$W298)</f>
        <v>0</v>
      </c>
      <c r="DE298" s="93" cm="1">
        <f t="array" ref="DE298">SUMPRODUCT(TRANSPOSE(DE$4:DE$20),$G298:$W298)</f>
        <v>0</v>
      </c>
      <c r="DF298" s="93" cm="1">
        <f t="array" ref="DF298">SUMPRODUCT(TRANSPOSE(DF$4:DF$20),$G298:$W298)</f>
        <v>0</v>
      </c>
      <c r="DG298" s="93" cm="1">
        <f t="array" ref="DG298">SUMPRODUCT(TRANSPOSE(DG$4:DG$20),$G298:$W298)</f>
        <v>0</v>
      </c>
      <c r="DH298" s="93" cm="1">
        <f t="array" ref="DH298">SUMPRODUCT(TRANSPOSE(DH$4:DH$20),$G298:$W298)</f>
        <v>0</v>
      </c>
      <c r="DI298" s="93" cm="1">
        <f t="array" ref="DI298">SUMPRODUCT(TRANSPOSE(DI$4:DI$20),$G298:$W298)</f>
        <v>0</v>
      </c>
      <c r="DJ298" s="93" cm="1">
        <f t="array" ref="DJ298">SUMPRODUCT(TRANSPOSE(DJ$4:DJ$20),$G298:$W298)</f>
        <v>0</v>
      </c>
      <c r="DK298" s="93" cm="1">
        <f t="array" ref="DK298">SUMPRODUCT(TRANSPOSE(DK$4:DK$20),$G298:$W298)</f>
        <v>0</v>
      </c>
      <c r="DL298" s="93" cm="1">
        <f t="array" ref="DL298">SUMPRODUCT(TRANSPOSE(DL$4:DL$20),$G298:$W298)</f>
        <v>0</v>
      </c>
      <c r="DM298" s="93" cm="1">
        <f t="array" ref="DM298">SUMPRODUCT(TRANSPOSE(DM$4:DM$20),$G298:$W298)</f>
        <v>0</v>
      </c>
      <c r="DN298" s="93" cm="1">
        <f t="array" ref="DN298">SUMPRODUCT(TRANSPOSE(DN$4:DN$20),$G298:$W298)</f>
        <v>0</v>
      </c>
      <c r="DO298" s="93" cm="1">
        <f t="array" ref="DO298">SUMPRODUCT(TRANSPOSE(DO$4:DO$20),$G298:$W298)</f>
        <v>0</v>
      </c>
    </row>
    <row r="299" spans="1:119" x14ac:dyDescent="0.2">
      <c r="A299" s="45">
        <f t="shared" si="30"/>
        <v>278</v>
      </c>
      <c r="B299" s="46" t="s">
        <v>672</v>
      </c>
      <c r="C299" s="45">
        <v>400399198</v>
      </c>
      <c r="D299" s="45" t="s">
        <v>673</v>
      </c>
      <c r="E299" s="45" t="s">
        <v>162</v>
      </c>
      <c r="F299" s="48">
        <v>2</v>
      </c>
      <c r="G299" s="100">
        <v>0</v>
      </c>
      <c r="H299" s="100">
        <v>0</v>
      </c>
      <c r="I299" s="100">
        <v>0</v>
      </c>
      <c r="J299" s="100">
        <v>0</v>
      </c>
      <c r="K299" s="100">
        <v>0</v>
      </c>
      <c r="L299" s="100">
        <v>0</v>
      </c>
      <c r="M299" s="100">
        <v>0</v>
      </c>
      <c r="N299" s="100">
        <v>0</v>
      </c>
      <c r="O299" s="100">
        <v>0</v>
      </c>
      <c r="P299" s="100">
        <v>0</v>
      </c>
      <c r="Q299" s="100">
        <v>0</v>
      </c>
      <c r="R299" s="100">
        <v>8</v>
      </c>
      <c r="S299" s="100">
        <v>0</v>
      </c>
      <c r="T299" s="100">
        <v>0</v>
      </c>
      <c r="U299" s="100">
        <v>0</v>
      </c>
      <c r="V299" s="100">
        <v>8</v>
      </c>
      <c r="W299" s="100">
        <v>0</v>
      </c>
      <c r="X299" s="45" t="s">
        <v>78</v>
      </c>
      <c r="Y299" s="49">
        <v>6.8699999999999997E-2</v>
      </c>
      <c r="Z299" s="45">
        <v>9000</v>
      </c>
      <c r="AA299" s="45">
        <v>0</v>
      </c>
      <c r="AB299" s="45">
        <v>0</v>
      </c>
      <c r="AC299" s="45">
        <v>0</v>
      </c>
      <c r="AD299" s="45">
        <v>0</v>
      </c>
      <c r="AE299" s="45">
        <v>0</v>
      </c>
      <c r="AF299" s="45">
        <v>0</v>
      </c>
      <c r="AG299" s="45">
        <v>0</v>
      </c>
      <c r="AH299" s="45">
        <v>0</v>
      </c>
      <c r="AI299" s="45">
        <v>0</v>
      </c>
      <c r="AJ299" s="45">
        <v>0</v>
      </c>
      <c r="AK299" s="45">
        <v>0</v>
      </c>
      <c r="AL299" s="45">
        <v>0</v>
      </c>
      <c r="AM299" s="45">
        <v>0</v>
      </c>
      <c r="AN299" s="45">
        <v>0</v>
      </c>
      <c r="AO299" s="45"/>
      <c r="AP299" s="45"/>
      <c r="AQ299" s="45"/>
      <c r="AR299" s="45"/>
      <c r="AS299" s="45"/>
      <c r="AT299" s="45"/>
      <c r="AU299" s="45"/>
      <c r="AV299" s="45"/>
      <c r="AW299" s="45"/>
      <c r="AX299" s="45"/>
      <c r="AY299" s="45"/>
      <c r="AZ299" s="45"/>
      <c r="BA299" s="45"/>
      <c r="BB299" s="45"/>
      <c r="BC299" s="45"/>
      <c r="BD299" s="93"/>
      <c r="BE299" s="93"/>
      <c r="BF299" s="93"/>
      <c r="BG299" s="93"/>
      <c r="BH299" s="93"/>
      <c r="BI299" s="93"/>
      <c r="BJ299" s="93"/>
      <c r="BK299" s="93">
        <f>SUM($Z299:AD299)-SUM($CM299:CQ299)</f>
        <v>8440</v>
      </c>
      <c r="BL299" s="93">
        <f>SUM($Z299:AE299)-SUM($CM299:CR299)</f>
        <v>7880</v>
      </c>
      <c r="BM299" s="93">
        <f>SUM($Z299:AF299)-SUM($CM299:CS299)</f>
        <v>7320</v>
      </c>
      <c r="BN299" s="93">
        <f>SUM($Z299:AG299)-SUM($CM299:CT299)</f>
        <v>6760</v>
      </c>
      <c r="BO299" s="93">
        <f>SUM($Z299:AH299)-SUM($CM299:CU299)</f>
        <v>6200</v>
      </c>
      <c r="BP299" s="93">
        <f>SUM($Z299:AI299)-SUM($CM299:CV299)</f>
        <v>5640</v>
      </c>
      <c r="BQ299" s="93">
        <f>SUM($Z299:AJ299)-SUM($CM299:CW299)</f>
        <v>5080</v>
      </c>
      <c r="BR299" s="93">
        <f>SUM($Z299:AK299)-SUM($CM299:CX299)</f>
        <v>4520</v>
      </c>
      <c r="BS299" s="93">
        <f>SUM($Z299:AL299)-SUM($CM299:CY299)</f>
        <v>3960</v>
      </c>
      <c r="BT299" s="93">
        <f>SUM($Z299:AM299)-SUM($CM299:CZ299)</f>
        <v>3680</v>
      </c>
      <c r="BU299" s="93">
        <f>SUM($Z299:AN299)-SUM($CM299:DA299)</f>
        <v>3680</v>
      </c>
      <c r="BV299" s="93">
        <f>SUM($Z299:AO299)-SUM($CM299:DB299)</f>
        <v>3680</v>
      </c>
      <c r="BW299" s="93">
        <f>SUM($Z299:AP299)-SUM($CM299:DC299)</f>
        <v>3680</v>
      </c>
      <c r="BX299" s="93">
        <f>SUM($Z299:AQ299)-SUM($CM299:DD299)</f>
        <v>3680</v>
      </c>
      <c r="BY299" s="93">
        <f>SUM($Z299:AR299)-SUM($CM299:DE299)</f>
        <v>3680</v>
      </c>
      <c r="BZ299" s="93">
        <f>SUM($Z299:AS299)-SUM($CM299:DF299)</f>
        <v>3680</v>
      </c>
      <c r="CA299" s="93">
        <f>SUM($Z299:AT299)-SUM($CM299:DG299)</f>
        <v>3680</v>
      </c>
      <c r="CB299" s="93">
        <f>SUM($Z299:AU299)-SUM($CM299:DH299)</f>
        <v>3680</v>
      </c>
      <c r="CC299" s="93">
        <f>SUM($Z299:AV299)-SUM($CM299:DI299)</f>
        <v>3680</v>
      </c>
      <c r="CD299" s="93">
        <f>SUM($Z299:AW299)-SUM($CM299:DJ299)</f>
        <v>3680</v>
      </c>
      <c r="CE299" s="93">
        <f>SUM($Z299:AX299)-SUM($CM299:DK299)</f>
        <v>3680</v>
      </c>
      <c r="CF299" s="93">
        <f>SUM($Z299:AY299)-SUM($CM299:DL299)</f>
        <v>3680</v>
      </c>
      <c r="CG299" s="93">
        <f>SUM($Z299:AZ299)-SUM($CM299:DM299)</f>
        <v>3680</v>
      </c>
      <c r="CH299" s="93">
        <f>SUM($Z299:BA299)-SUM($CM299:DN299)</f>
        <v>3680</v>
      </c>
      <c r="CI299" s="93">
        <f>SUM($Z299:BB299)-SUM($CM299:DO299)</f>
        <v>3680</v>
      </c>
      <c r="CJ299" s="93"/>
      <c r="CK299" s="93"/>
      <c r="CL299" s="93"/>
      <c r="CM299" s="93"/>
      <c r="CN299" s="93" cm="1">
        <f t="array" ref="CN299">SUMPRODUCT(TRANSPOSE(CN$4:CN$20),$G299:$W299)</f>
        <v>0</v>
      </c>
      <c r="CO299" s="93" cm="1">
        <f t="array" ref="CO299">SUMPRODUCT(TRANSPOSE(CO$4:CO$20),$G299:$W299)</f>
        <v>0</v>
      </c>
      <c r="CP299" s="93" cm="1">
        <f t="array" ref="CP299">SUMPRODUCT(TRANSPOSE(CP$4:CP$20),$G299:$W299)</f>
        <v>0</v>
      </c>
      <c r="CQ299" s="93" cm="1">
        <f t="array" ref="CQ299">SUMPRODUCT(TRANSPOSE(CQ$4:CQ$20),$G299:$W299)</f>
        <v>560</v>
      </c>
      <c r="CR299" s="93" cm="1">
        <f t="array" ref="CR299">SUMPRODUCT(TRANSPOSE(CR$4:CR$20),$G299:$W299)</f>
        <v>560</v>
      </c>
      <c r="CS299" s="93" cm="1">
        <f t="array" ref="CS299">SUMPRODUCT(TRANSPOSE(CS$4:CS$20),$G299:$W299)</f>
        <v>560</v>
      </c>
      <c r="CT299" s="93" cm="1">
        <f t="array" ref="CT299">SUMPRODUCT(TRANSPOSE(CT$4:CT$20),$G299:$W299)</f>
        <v>560</v>
      </c>
      <c r="CU299" s="93" cm="1">
        <f t="array" ref="CU299">SUMPRODUCT(TRANSPOSE(CU$4:CU$20),$G299:$W299)</f>
        <v>560</v>
      </c>
      <c r="CV299" s="93" cm="1">
        <f t="array" ref="CV299">SUMPRODUCT(TRANSPOSE(CV$4:CV$20),$G299:$W299)</f>
        <v>560</v>
      </c>
      <c r="CW299" s="93" cm="1">
        <f t="array" ref="CW299">SUMPRODUCT(TRANSPOSE(CW$4:CW$20),$G299:$W299)</f>
        <v>560</v>
      </c>
      <c r="CX299" s="93" cm="1">
        <f t="array" ref="CX299">SUMPRODUCT(TRANSPOSE(CX$4:CX$20),$G299:$W299)</f>
        <v>560</v>
      </c>
      <c r="CY299" s="93" cm="1">
        <f t="array" ref="CY299">SUMPRODUCT(TRANSPOSE(CY$4:CY$20),$G299:$W299)</f>
        <v>560</v>
      </c>
      <c r="CZ299" s="93" cm="1">
        <f t="array" ref="CZ299">SUMPRODUCT(TRANSPOSE(CZ$4:CZ$20),$G299:$W299)</f>
        <v>280</v>
      </c>
      <c r="DA299" s="93" cm="1">
        <f t="array" ref="DA299">SUMPRODUCT(TRANSPOSE(DA$4:DA$20),$G299:$W299)</f>
        <v>0</v>
      </c>
      <c r="DB299" s="93" cm="1">
        <f t="array" ref="DB299">SUMPRODUCT(TRANSPOSE(DB$4:DB$20),$G299:$W299)</f>
        <v>0</v>
      </c>
      <c r="DC299" s="93" cm="1">
        <f t="array" ref="DC299">SUMPRODUCT(TRANSPOSE(DC$4:DC$20),$G299:$W299)</f>
        <v>0</v>
      </c>
      <c r="DD299" s="93" cm="1">
        <f t="array" ref="DD299">SUMPRODUCT(TRANSPOSE(DD$4:DD$20),$G299:$W299)</f>
        <v>0</v>
      </c>
      <c r="DE299" s="93" cm="1">
        <f t="array" ref="DE299">SUMPRODUCT(TRANSPOSE(DE$4:DE$20),$G299:$W299)</f>
        <v>0</v>
      </c>
      <c r="DF299" s="93" cm="1">
        <f t="array" ref="DF299">SUMPRODUCT(TRANSPOSE(DF$4:DF$20),$G299:$W299)</f>
        <v>0</v>
      </c>
      <c r="DG299" s="93" cm="1">
        <f t="array" ref="DG299">SUMPRODUCT(TRANSPOSE(DG$4:DG$20),$G299:$W299)</f>
        <v>0</v>
      </c>
      <c r="DH299" s="93" cm="1">
        <f t="array" ref="DH299">SUMPRODUCT(TRANSPOSE(DH$4:DH$20),$G299:$W299)</f>
        <v>0</v>
      </c>
      <c r="DI299" s="93" cm="1">
        <f t="array" ref="DI299">SUMPRODUCT(TRANSPOSE(DI$4:DI$20),$G299:$W299)</f>
        <v>0</v>
      </c>
      <c r="DJ299" s="93" cm="1">
        <f t="array" ref="DJ299">SUMPRODUCT(TRANSPOSE(DJ$4:DJ$20),$G299:$W299)</f>
        <v>0</v>
      </c>
      <c r="DK299" s="93" cm="1">
        <f t="array" ref="DK299">SUMPRODUCT(TRANSPOSE(DK$4:DK$20),$G299:$W299)</f>
        <v>0</v>
      </c>
      <c r="DL299" s="93" cm="1">
        <f t="array" ref="DL299">SUMPRODUCT(TRANSPOSE(DL$4:DL$20),$G299:$W299)</f>
        <v>0</v>
      </c>
      <c r="DM299" s="93" cm="1">
        <f t="array" ref="DM299">SUMPRODUCT(TRANSPOSE(DM$4:DM$20),$G299:$W299)</f>
        <v>0</v>
      </c>
      <c r="DN299" s="93" cm="1">
        <f t="array" ref="DN299">SUMPRODUCT(TRANSPOSE(DN$4:DN$20),$G299:$W299)</f>
        <v>0</v>
      </c>
      <c r="DO299" s="93" cm="1">
        <f t="array" ref="DO299">SUMPRODUCT(TRANSPOSE(DO$4:DO$20),$G299:$W299)</f>
        <v>0</v>
      </c>
    </row>
    <row r="300" spans="1:119" x14ac:dyDescent="0.2">
      <c r="A300" s="45">
        <f t="shared" si="30"/>
        <v>279</v>
      </c>
      <c r="B300" s="46" t="s">
        <v>674</v>
      </c>
      <c r="C300" s="45">
        <v>400002897</v>
      </c>
      <c r="D300" s="45" t="s">
        <v>675</v>
      </c>
      <c r="E300" s="45" t="s">
        <v>191</v>
      </c>
      <c r="F300" s="48">
        <v>2</v>
      </c>
      <c r="G300" s="100">
        <v>0</v>
      </c>
      <c r="H300" s="100">
        <v>0</v>
      </c>
      <c r="I300" s="100">
        <v>0</v>
      </c>
      <c r="J300" s="100">
        <v>0</v>
      </c>
      <c r="K300" s="100">
        <v>0</v>
      </c>
      <c r="L300" s="100">
        <v>0</v>
      </c>
      <c r="M300" s="100">
        <v>0</v>
      </c>
      <c r="N300" s="100">
        <v>0</v>
      </c>
      <c r="O300" s="100">
        <v>0</v>
      </c>
      <c r="P300" s="100">
        <v>0</v>
      </c>
      <c r="Q300" s="100">
        <v>0</v>
      </c>
      <c r="R300" s="100">
        <v>0</v>
      </c>
      <c r="S300" s="100">
        <v>0</v>
      </c>
      <c r="T300" s="100">
        <v>0</v>
      </c>
      <c r="U300" s="100">
        <v>0</v>
      </c>
      <c r="V300" s="100">
        <v>0</v>
      </c>
      <c r="W300" s="100">
        <v>0.05</v>
      </c>
      <c r="X300" s="45" t="s">
        <v>194</v>
      </c>
      <c r="Y300" s="49">
        <v>0</v>
      </c>
      <c r="Z300" s="45">
        <v>0</v>
      </c>
      <c r="AA300" s="45">
        <v>0</v>
      </c>
      <c r="AB300" s="45">
        <v>0</v>
      </c>
      <c r="AC300" s="45">
        <v>0</v>
      </c>
      <c r="AD300" s="45">
        <v>0</v>
      </c>
      <c r="AE300" s="45">
        <v>0</v>
      </c>
      <c r="AF300" s="45">
        <v>0</v>
      </c>
      <c r="AG300" s="45">
        <v>0</v>
      </c>
      <c r="AH300" s="45">
        <v>0</v>
      </c>
      <c r="AI300" s="45">
        <v>0</v>
      </c>
      <c r="AJ300" s="45">
        <v>0</v>
      </c>
      <c r="AK300" s="45">
        <v>0</v>
      </c>
      <c r="AL300" s="45">
        <v>0</v>
      </c>
      <c r="AM300" s="45">
        <v>0</v>
      </c>
      <c r="AN300" s="45">
        <v>0</v>
      </c>
      <c r="AO300" s="45"/>
      <c r="AP300" s="45"/>
      <c r="AQ300" s="45"/>
      <c r="AR300" s="45"/>
      <c r="AS300" s="45"/>
      <c r="AT300" s="45"/>
      <c r="AU300" s="45"/>
      <c r="AV300" s="45"/>
      <c r="AW300" s="45"/>
      <c r="AX300" s="45"/>
      <c r="AY300" s="45"/>
      <c r="AZ300" s="45"/>
      <c r="BA300" s="45"/>
      <c r="BB300" s="45"/>
      <c r="BC300" s="45"/>
      <c r="BD300" s="93"/>
      <c r="BE300" s="93"/>
      <c r="BF300" s="93"/>
      <c r="BG300" s="93"/>
      <c r="BH300" s="93"/>
      <c r="BI300" s="93"/>
      <c r="BJ300" s="93"/>
      <c r="BK300" s="93">
        <f>SUM($Z300:AD300)-SUM($CM300:CQ300)</f>
        <v>-0.8</v>
      </c>
      <c r="BL300" s="93">
        <f>SUM($Z300:AE300)-SUM($CM300:CR300)</f>
        <v>-1.6</v>
      </c>
      <c r="BM300" s="93">
        <f>SUM($Z300:AF300)-SUM($CM300:CS300)</f>
        <v>-2.4000000000000004</v>
      </c>
      <c r="BN300" s="93">
        <f>SUM($Z300:AG300)-SUM($CM300:CT300)</f>
        <v>-3.2</v>
      </c>
      <c r="BO300" s="93">
        <f>SUM($Z300:AH300)-SUM($CM300:CU300)</f>
        <v>-4</v>
      </c>
      <c r="BP300" s="93">
        <f>SUM($Z300:AI300)-SUM($CM300:CV300)</f>
        <v>-4.8</v>
      </c>
      <c r="BQ300" s="93">
        <f>SUM($Z300:AJ300)-SUM($CM300:CW300)</f>
        <v>-5.6</v>
      </c>
      <c r="BR300" s="93">
        <f>SUM($Z300:AK300)-SUM($CM300:CX300)</f>
        <v>-6.3999999999999995</v>
      </c>
      <c r="BS300" s="93">
        <f>SUM($Z300:AL300)-SUM($CM300:CY300)</f>
        <v>-6.3999999999999995</v>
      </c>
      <c r="BT300" s="93">
        <f>SUM($Z300:AM300)-SUM($CM300:CZ300)</f>
        <v>-6.3999999999999995</v>
      </c>
      <c r="BU300" s="93">
        <f>SUM($Z300:AN300)-SUM($CM300:DA300)</f>
        <v>-6.3999999999999995</v>
      </c>
      <c r="BV300" s="93">
        <f>SUM($Z300:AO300)-SUM($CM300:DB300)</f>
        <v>-6.3999999999999995</v>
      </c>
      <c r="BW300" s="93">
        <f>SUM($Z300:AP300)-SUM($CM300:DC300)</f>
        <v>-6.3999999999999995</v>
      </c>
      <c r="BX300" s="93">
        <f>SUM($Z300:AQ300)-SUM($CM300:DD300)</f>
        <v>-6.3999999999999995</v>
      </c>
      <c r="BY300" s="93">
        <f>SUM($Z300:AR300)-SUM($CM300:DE300)</f>
        <v>-6.3999999999999995</v>
      </c>
      <c r="BZ300" s="93">
        <f>SUM($Z300:AS300)-SUM($CM300:DF300)</f>
        <v>-6.3999999999999995</v>
      </c>
      <c r="CA300" s="93">
        <f>SUM($Z300:AT300)-SUM($CM300:DG300)</f>
        <v>-6.3999999999999995</v>
      </c>
      <c r="CB300" s="93">
        <f>SUM($Z300:AU300)-SUM($CM300:DH300)</f>
        <v>-6.3999999999999995</v>
      </c>
      <c r="CC300" s="93">
        <f>SUM($Z300:AV300)-SUM($CM300:DI300)</f>
        <v>-6.3999999999999995</v>
      </c>
      <c r="CD300" s="93">
        <f>SUM($Z300:AW300)-SUM($CM300:DJ300)</f>
        <v>-6.3999999999999995</v>
      </c>
      <c r="CE300" s="93">
        <f>SUM($Z300:AX300)-SUM($CM300:DK300)</f>
        <v>-6.3999999999999995</v>
      </c>
      <c r="CF300" s="93">
        <f>SUM($Z300:AY300)-SUM($CM300:DL300)</f>
        <v>-6.3999999999999995</v>
      </c>
      <c r="CG300" s="93">
        <f>SUM($Z300:AZ300)-SUM($CM300:DM300)</f>
        <v>-6.3999999999999995</v>
      </c>
      <c r="CH300" s="93">
        <f>SUM($Z300:BA300)-SUM($CM300:DN300)</f>
        <v>-6.3999999999999995</v>
      </c>
      <c r="CI300" s="93">
        <f>SUM($Z300:BB300)-SUM($CM300:DO300)</f>
        <v>-6.3999999999999995</v>
      </c>
      <c r="CJ300" s="93"/>
      <c r="CK300" s="93"/>
      <c r="CL300" s="93"/>
      <c r="CM300" s="93"/>
      <c r="CN300" s="93" cm="1">
        <f t="array" ref="CN300">SUMPRODUCT(TRANSPOSE(CN$4:CN$20),$G300:$W300)</f>
        <v>0</v>
      </c>
      <c r="CO300" s="93" cm="1">
        <f t="array" ref="CO300">SUMPRODUCT(TRANSPOSE(CO$4:CO$20),$G300:$W300)</f>
        <v>0</v>
      </c>
      <c r="CP300" s="93" cm="1">
        <f t="array" ref="CP300">SUMPRODUCT(TRANSPOSE(CP$4:CP$20),$G300:$W300)</f>
        <v>0</v>
      </c>
      <c r="CQ300" s="93" cm="1">
        <f t="array" ref="CQ300">SUMPRODUCT(TRANSPOSE(CQ$4:CQ$20),$G300:$W300)</f>
        <v>0.8</v>
      </c>
      <c r="CR300" s="93" cm="1">
        <f t="array" ref="CR300">SUMPRODUCT(TRANSPOSE(CR$4:CR$20),$G300:$W300)</f>
        <v>0.8</v>
      </c>
      <c r="CS300" s="93" cm="1">
        <f t="array" ref="CS300">SUMPRODUCT(TRANSPOSE(CS$4:CS$20),$G300:$W300)</f>
        <v>0.8</v>
      </c>
      <c r="CT300" s="93" cm="1">
        <f t="array" ref="CT300">SUMPRODUCT(TRANSPOSE(CT$4:CT$20),$G300:$W300)</f>
        <v>0.8</v>
      </c>
      <c r="CU300" s="93" cm="1">
        <f t="array" ref="CU300">SUMPRODUCT(TRANSPOSE(CU$4:CU$20),$G300:$W300)</f>
        <v>0.8</v>
      </c>
      <c r="CV300" s="93" cm="1">
        <f t="array" ref="CV300">SUMPRODUCT(TRANSPOSE(CV$4:CV$20),$G300:$W300)</f>
        <v>0.8</v>
      </c>
      <c r="CW300" s="93" cm="1">
        <f t="array" ref="CW300">SUMPRODUCT(TRANSPOSE(CW$4:CW$20),$G300:$W300)</f>
        <v>0.8</v>
      </c>
      <c r="CX300" s="93" cm="1">
        <f t="array" ref="CX300">SUMPRODUCT(TRANSPOSE(CX$4:CX$20),$G300:$W300)</f>
        <v>0.8</v>
      </c>
      <c r="CY300" s="93" cm="1">
        <f t="array" ref="CY300">SUMPRODUCT(TRANSPOSE(CY$4:CY$20),$G300:$W300)</f>
        <v>0</v>
      </c>
      <c r="CZ300" s="93" cm="1">
        <f t="array" ref="CZ300">SUMPRODUCT(TRANSPOSE(CZ$4:CZ$20),$G300:$W300)</f>
        <v>0</v>
      </c>
      <c r="DA300" s="93" cm="1">
        <f t="array" ref="DA300">SUMPRODUCT(TRANSPOSE(DA$4:DA$20),$G300:$W300)</f>
        <v>0</v>
      </c>
      <c r="DB300" s="93" cm="1">
        <f t="array" ref="DB300">SUMPRODUCT(TRANSPOSE(DB$4:DB$20),$G300:$W300)</f>
        <v>0</v>
      </c>
      <c r="DC300" s="93" cm="1">
        <f t="array" ref="DC300">SUMPRODUCT(TRANSPOSE(DC$4:DC$20),$G300:$W300)</f>
        <v>0</v>
      </c>
      <c r="DD300" s="93" cm="1">
        <f t="array" ref="DD300">SUMPRODUCT(TRANSPOSE(DD$4:DD$20),$G300:$W300)</f>
        <v>0</v>
      </c>
      <c r="DE300" s="93" cm="1">
        <f t="array" ref="DE300">SUMPRODUCT(TRANSPOSE(DE$4:DE$20),$G300:$W300)</f>
        <v>0</v>
      </c>
      <c r="DF300" s="93" cm="1">
        <f t="array" ref="DF300">SUMPRODUCT(TRANSPOSE(DF$4:DF$20),$G300:$W300)</f>
        <v>0</v>
      </c>
      <c r="DG300" s="93" cm="1">
        <f t="array" ref="DG300">SUMPRODUCT(TRANSPOSE(DG$4:DG$20),$G300:$W300)</f>
        <v>0</v>
      </c>
      <c r="DH300" s="93" cm="1">
        <f t="array" ref="DH300">SUMPRODUCT(TRANSPOSE(DH$4:DH$20),$G300:$W300)</f>
        <v>0</v>
      </c>
      <c r="DI300" s="93" cm="1">
        <f t="array" ref="DI300">SUMPRODUCT(TRANSPOSE(DI$4:DI$20),$G300:$W300)</f>
        <v>0</v>
      </c>
      <c r="DJ300" s="93" cm="1">
        <f t="array" ref="DJ300">SUMPRODUCT(TRANSPOSE(DJ$4:DJ$20),$G300:$W300)</f>
        <v>0</v>
      </c>
      <c r="DK300" s="93" cm="1">
        <f t="array" ref="DK300">SUMPRODUCT(TRANSPOSE(DK$4:DK$20),$G300:$W300)</f>
        <v>0</v>
      </c>
      <c r="DL300" s="93" cm="1">
        <f t="array" ref="DL300">SUMPRODUCT(TRANSPOSE(DL$4:DL$20),$G300:$W300)</f>
        <v>0</v>
      </c>
      <c r="DM300" s="93" cm="1">
        <f t="array" ref="DM300">SUMPRODUCT(TRANSPOSE(DM$4:DM$20),$G300:$W300)</f>
        <v>0</v>
      </c>
      <c r="DN300" s="93" cm="1">
        <f t="array" ref="DN300">SUMPRODUCT(TRANSPOSE(DN$4:DN$20),$G300:$W300)</f>
        <v>0</v>
      </c>
      <c r="DO300" s="93" cm="1">
        <f t="array" ref="DO300">SUMPRODUCT(TRANSPOSE(DO$4:DO$20),$G300:$W300)</f>
        <v>0</v>
      </c>
    </row>
    <row r="301" spans="1:119" x14ac:dyDescent="0.2">
      <c r="A301" s="45">
        <f t="shared" si="30"/>
        <v>280</v>
      </c>
      <c r="B301" s="46" t="s">
        <v>676</v>
      </c>
      <c r="C301" s="45">
        <v>405530594</v>
      </c>
      <c r="D301" s="45" t="s">
        <v>677</v>
      </c>
      <c r="E301" s="45" t="s">
        <v>162</v>
      </c>
      <c r="F301" s="48">
        <v>2</v>
      </c>
      <c r="G301" s="100">
        <v>0</v>
      </c>
      <c r="H301" s="100">
        <v>0</v>
      </c>
      <c r="I301" s="100">
        <v>0</v>
      </c>
      <c r="J301" s="100">
        <v>0</v>
      </c>
      <c r="K301" s="100">
        <v>0</v>
      </c>
      <c r="L301" s="100">
        <v>0</v>
      </c>
      <c r="M301" s="100">
        <v>0</v>
      </c>
      <c r="N301" s="100">
        <v>0</v>
      </c>
      <c r="O301" s="100">
        <v>0</v>
      </c>
      <c r="P301" s="100">
        <v>0</v>
      </c>
      <c r="Q301" s="100">
        <v>1</v>
      </c>
      <c r="R301" s="100">
        <v>0</v>
      </c>
      <c r="S301" s="100">
        <v>0</v>
      </c>
      <c r="T301" s="100">
        <v>0</v>
      </c>
      <c r="U301" s="100">
        <v>1</v>
      </c>
      <c r="V301" s="100">
        <v>0</v>
      </c>
      <c r="W301" s="100">
        <v>0</v>
      </c>
      <c r="X301" s="45" t="s">
        <v>194</v>
      </c>
      <c r="Y301" s="49">
        <v>0</v>
      </c>
      <c r="Z301" s="45">
        <v>0</v>
      </c>
      <c r="AA301" s="45">
        <v>0</v>
      </c>
      <c r="AB301" s="45">
        <v>0</v>
      </c>
      <c r="AC301" s="45">
        <v>0</v>
      </c>
      <c r="AD301" s="45">
        <v>0</v>
      </c>
      <c r="AE301" s="45">
        <v>0</v>
      </c>
      <c r="AF301" s="45">
        <v>0</v>
      </c>
      <c r="AG301" s="45">
        <v>0</v>
      </c>
      <c r="AH301" s="45">
        <v>0</v>
      </c>
      <c r="AI301" s="45">
        <v>0</v>
      </c>
      <c r="AJ301" s="45">
        <v>0</v>
      </c>
      <c r="AK301" s="45">
        <v>0</v>
      </c>
      <c r="AL301" s="45">
        <v>0</v>
      </c>
      <c r="AM301" s="45">
        <v>0</v>
      </c>
      <c r="AN301" s="45">
        <v>0</v>
      </c>
      <c r="AO301" s="45"/>
      <c r="AP301" s="45"/>
      <c r="AQ301" s="45"/>
      <c r="AR301" s="45"/>
      <c r="AS301" s="45"/>
      <c r="AT301" s="45"/>
      <c r="AU301" s="45"/>
      <c r="AV301" s="45"/>
      <c r="AW301" s="45"/>
      <c r="AX301" s="45"/>
      <c r="AY301" s="45"/>
      <c r="AZ301" s="45"/>
      <c r="BA301" s="45"/>
      <c r="BB301" s="45"/>
      <c r="BC301" s="45"/>
      <c r="BD301" s="93"/>
      <c r="BE301" s="93"/>
      <c r="BF301" s="93"/>
      <c r="BG301" s="93"/>
      <c r="BH301" s="93"/>
      <c r="BI301" s="93"/>
      <c r="BJ301" s="93"/>
      <c r="BK301" s="93">
        <f>SUM($Z301:AD301)-SUM($CM301:CQ301)</f>
        <v>-78</v>
      </c>
      <c r="BL301" s="93">
        <f>SUM($Z301:AE301)-SUM($CM301:CR301)</f>
        <v>-148</v>
      </c>
      <c r="BM301" s="93">
        <f>SUM($Z301:AF301)-SUM($CM301:CS301)</f>
        <v>-213</v>
      </c>
      <c r="BN301" s="93">
        <f>SUM($Z301:AG301)-SUM($CM301:CT301)</f>
        <v>-273</v>
      </c>
      <c r="BO301" s="93">
        <f>SUM($Z301:AH301)-SUM($CM301:CU301)</f>
        <v>-333</v>
      </c>
      <c r="BP301" s="93">
        <f>SUM($Z301:AI301)-SUM($CM301:CV301)</f>
        <v>-393</v>
      </c>
      <c r="BQ301" s="93">
        <f>SUM($Z301:AJ301)-SUM($CM301:CW301)</f>
        <v>-453</v>
      </c>
      <c r="BR301" s="93">
        <f>SUM($Z301:AK301)-SUM($CM301:CX301)</f>
        <v>-513</v>
      </c>
      <c r="BS301" s="93">
        <f>SUM($Z301:AL301)-SUM($CM301:CY301)</f>
        <v>-573</v>
      </c>
      <c r="BT301" s="93">
        <f>SUM($Z301:AM301)-SUM($CM301:CZ301)</f>
        <v>-633</v>
      </c>
      <c r="BU301" s="93">
        <f>SUM($Z301:AN301)-SUM($CM301:DA301)</f>
        <v>-693</v>
      </c>
      <c r="BV301" s="93">
        <f>SUM($Z301:AO301)-SUM($CM301:DB301)</f>
        <v>-707</v>
      </c>
      <c r="BW301" s="93">
        <f>SUM($Z301:AP301)-SUM($CM301:DC301)</f>
        <v>-707</v>
      </c>
      <c r="BX301" s="93">
        <f>SUM($Z301:AQ301)-SUM($CM301:DD301)</f>
        <v>-707</v>
      </c>
      <c r="BY301" s="93">
        <f>SUM($Z301:AR301)-SUM($CM301:DE301)</f>
        <v>-707</v>
      </c>
      <c r="BZ301" s="93">
        <f>SUM($Z301:AS301)-SUM($CM301:DF301)</f>
        <v>-707</v>
      </c>
      <c r="CA301" s="93">
        <f>SUM($Z301:AT301)-SUM($CM301:DG301)</f>
        <v>-707</v>
      </c>
      <c r="CB301" s="93">
        <f>SUM($Z301:AU301)-SUM($CM301:DH301)</f>
        <v>-707</v>
      </c>
      <c r="CC301" s="93">
        <f>SUM($Z301:AV301)-SUM($CM301:DI301)</f>
        <v>-707</v>
      </c>
      <c r="CD301" s="93">
        <f>SUM($Z301:AW301)-SUM($CM301:DJ301)</f>
        <v>-707</v>
      </c>
      <c r="CE301" s="93">
        <f>SUM($Z301:AX301)-SUM($CM301:DK301)</f>
        <v>-707</v>
      </c>
      <c r="CF301" s="93">
        <f>SUM($Z301:AY301)-SUM($CM301:DL301)</f>
        <v>-707</v>
      </c>
      <c r="CG301" s="93">
        <f>SUM($Z301:AZ301)-SUM($CM301:DM301)</f>
        <v>-707</v>
      </c>
      <c r="CH301" s="93">
        <f>SUM($Z301:BA301)-SUM($CM301:DN301)</f>
        <v>-707</v>
      </c>
      <c r="CI301" s="93">
        <f>SUM($Z301:BB301)-SUM($CM301:DO301)</f>
        <v>-707</v>
      </c>
      <c r="CJ301" s="93"/>
      <c r="CK301" s="93"/>
      <c r="CL301" s="93"/>
      <c r="CM301" s="93"/>
      <c r="CN301" s="93" cm="1">
        <f t="array" ref="CN301">SUMPRODUCT(TRANSPOSE(CN$4:CN$20),$G301:$W301)</f>
        <v>0</v>
      </c>
      <c r="CO301" s="93" cm="1">
        <f t="array" ref="CO301">SUMPRODUCT(TRANSPOSE(CO$4:CO$20),$G301:$W301)</f>
        <v>0</v>
      </c>
      <c r="CP301" s="93" cm="1">
        <f t="array" ref="CP301">SUMPRODUCT(TRANSPOSE(CP$4:CP$20),$G301:$W301)</f>
        <v>0</v>
      </c>
      <c r="CQ301" s="93" cm="1">
        <f t="array" ref="CQ301">SUMPRODUCT(TRANSPOSE(CQ$4:CQ$20),$G301:$W301)</f>
        <v>78</v>
      </c>
      <c r="CR301" s="93" cm="1">
        <f t="array" ref="CR301">SUMPRODUCT(TRANSPOSE(CR$4:CR$20),$G301:$W301)</f>
        <v>70</v>
      </c>
      <c r="CS301" s="93" cm="1">
        <f t="array" ref="CS301">SUMPRODUCT(TRANSPOSE(CS$4:CS$20),$G301:$W301)</f>
        <v>65</v>
      </c>
      <c r="CT301" s="93" cm="1">
        <f t="array" ref="CT301">SUMPRODUCT(TRANSPOSE(CT$4:CT$20),$G301:$W301)</f>
        <v>60</v>
      </c>
      <c r="CU301" s="93" cm="1">
        <f t="array" ref="CU301">SUMPRODUCT(TRANSPOSE(CU$4:CU$20),$G301:$W301)</f>
        <v>60</v>
      </c>
      <c r="CV301" s="93" cm="1">
        <f t="array" ref="CV301">SUMPRODUCT(TRANSPOSE(CV$4:CV$20),$G301:$W301)</f>
        <v>60</v>
      </c>
      <c r="CW301" s="93" cm="1">
        <f t="array" ref="CW301">SUMPRODUCT(TRANSPOSE(CW$4:CW$20),$G301:$W301)</f>
        <v>60</v>
      </c>
      <c r="CX301" s="93" cm="1">
        <f t="array" ref="CX301">SUMPRODUCT(TRANSPOSE(CX$4:CX$20),$G301:$W301)</f>
        <v>60</v>
      </c>
      <c r="CY301" s="93" cm="1">
        <f t="array" ref="CY301">SUMPRODUCT(TRANSPOSE(CY$4:CY$20),$G301:$W301)</f>
        <v>60</v>
      </c>
      <c r="CZ301" s="93" cm="1">
        <f t="array" ref="CZ301">SUMPRODUCT(TRANSPOSE(CZ$4:CZ$20),$G301:$W301)</f>
        <v>60</v>
      </c>
      <c r="DA301" s="93" cm="1">
        <f t="array" ref="DA301">SUMPRODUCT(TRANSPOSE(DA$4:DA$20),$G301:$W301)</f>
        <v>60</v>
      </c>
      <c r="DB301" s="93" cm="1">
        <f t="array" ref="DB301">SUMPRODUCT(TRANSPOSE(DB$4:DB$20),$G301:$W301)</f>
        <v>14</v>
      </c>
      <c r="DC301" s="93" cm="1">
        <f t="array" ref="DC301">SUMPRODUCT(TRANSPOSE(DC$4:DC$20),$G301:$W301)</f>
        <v>0</v>
      </c>
      <c r="DD301" s="93" cm="1">
        <f t="array" ref="DD301">SUMPRODUCT(TRANSPOSE(DD$4:DD$20),$G301:$W301)</f>
        <v>0</v>
      </c>
      <c r="DE301" s="93" cm="1">
        <f t="array" ref="DE301">SUMPRODUCT(TRANSPOSE(DE$4:DE$20),$G301:$W301)</f>
        <v>0</v>
      </c>
      <c r="DF301" s="93" cm="1">
        <f t="array" ref="DF301">SUMPRODUCT(TRANSPOSE(DF$4:DF$20),$G301:$W301)</f>
        <v>0</v>
      </c>
      <c r="DG301" s="93" cm="1">
        <f t="array" ref="DG301">SUMPRODUCT(TRANSPOSE(DG$4:DG$20),$G301:$W301)</f>
        <v>0</v>
      </c>
      <c r="DH301" s="93" cm="1">
        <f t="array" ref="DH301">SUMPRODUCT(TRANSPOSE(DH$4:DH$20),$G301:$W301)</f>
        <v>0</v>
      </c>
      <c r="DI301" s="93" cm="1">
        <f t="array" ref="DI301">SUMPRODUCT(TRANSPOSE(DI$4:DI$20),$G301:$W301)</f>
        <v>0</v>
      </c>
      <c r="DJ301" s="93" cm="1">
        <f t="array" ref="DJ301">SUMPRODUCT(TRANSPOSE(DJ$4:DJ$20),$G301:$W301)</f>
        <v>0</v>
      </c>
      <c r="DK301" s="93" cm="1">
        <f t="array" ref="DK301">SUMPRODUCT(TRANSPOSE(DK$4:DK$20),$G301:$W301)</f>
        <v>0</v>
      </c>
      <c r="DL301" s="93" cm="1">
        <f t="array" ref="DL301">SUMPRODUCT(TRANSPOSE(DL$4:DL$20),$G301:$W301)</f>
        <v>0</v>
      </c>
      <c r="DM301" s="93" cm="1">
        <f t="array" ref="DM301">SUMPRODUCT(TRANSPOSE(DM$4:DM$20),$G301:$W301)</f>
        <v>0</v>
      </c>
      <c r="DN301" s="93" cm="1">
        <f t="array" ref="DN301">SUMPRODUCT(TRANSPOSE(DN$4:DN$20),$G301:$W301)</f>
        <v>0</v>
      </c>
      <c r="DO301" s="93" cm="1">
        <f t="array" ref="DO301">SUMPRODUCT(TRANSPOSE(DO$4:DO$20),$G301:$W301)</f>
        <v>0</v>
      </c>
    </row>
    <row r="302" spans="1:119" x14ac:dyDescent="0.2">
      <c r="A302" s="45">
        <f t="shared" si="30"/>
        <v>281</v>
      </c>
      <c r="B302" s="46" t="s">
        <v>678</v>
      </c>
      <c r="C302" s="45" t="s">
        <v>679</v>
      </c>
      <c r="D302" s="45" t="s">
        <v>680</v>
      </c>
      <c r="E302" s="45" t="s">
        <v>162</v>
      </c>
      <c r="F302" s="48">
        <v>1</v>
      </c>
      <c r="G302" s="100">
        <v>0</v>
      </c>
      <c r="H302" s="100">
        <v>0</v>
      </c>
      <c r="I302" s="100">
        <v>0</v>
      </c>
      <c r="J302" s="100">
        <v>0</v>
      </c>
      <c r="K302" s="100">
        <v>0</v>
      </c>
      <c r="L302" s="100">
        <v>0</v>
      </c>
      <c r="M302" s="100">
        <v>0</v>
      </c>
      <c r="N302" s="100">
        <v>0</v>
      </c>
      <c r="O302" s="100">
        <v>0</v>
      </c>
      <c r="P302" s="100">
        <v>0</v>
      </c>
      <c r="Q302" s="100">
        <v>0</v>
      </c>
      <c r="R302" s="100">
        <v>0</v>
      </c>
      <c r="S302" s="100">
        <v>0</v>
      </c>
      <c r="T302" s="100">
        <v>0</v>
      </c>
      <c r="U302" s="100">
        <v>0</v>
      </c>
      <c r="V302" s="100">
        <v>0</v>
      </c>
      <c r="W302" s="100">
        <v>26</v>
      </c>
      <c r="X302" s="45" t="s">
        <v>79</v>
      </c>
      <c r="Y302" s="49">
        <v>24.080000000000002</v>
      </c>
      <c r="Z302" s="45">
        <v>6006</v>
      </c>
      <c r="AA302" s="45">
        <v>0</v>
      </c>
      <c r="AB302" s="45">
        <v>0</v>
      </c>
      <c r="AC302" s="45">
        <v>0</v>
      </c>
      <c r="AD302" s="45">
        <v>0</v>
      </c>
      <c r="AE302" s="45">
        <v>0</v>
      </c>
      <c r="AF302" s="45">
        <v>0</v>
      </c>
      <c r="AG302" s="45">
        <v>0</v>
      </c>
      <c r="AH302" s="45">
        <v>0</v>
      </c>
      <c r="AI302" s="45">
        <v>0</v>
      </c>
      <c r="AJ302" s="45">
        <v>0</v>
      </c>
      <c r="AK302" s="45">
        <v>0</v>
      </c>
      <c r="AL302" s="45">
        <v>0</v>
      </c>
      <c r="AM302" s="45">
        <v>0</v>
      </c>
      <c r="AN302" s="45">
        <v>0</v>
      </c>
      <c r="AO302" s="45"/>
      <c r="AP302" s="45"/>
      <c r="AQ302" s="45"/>
      <c r="AR302" s="45"/>
      <c r="AS302" s="45"/>
      <c r="AT302" s="45"/>
      <c r="AU302" s="45"/>
      <c r="AV302" s="45"/>
      <c r="AW302" s="45"/>
      <c r="AX302" s="45"/>
      <c r="AY302" s="45"/>
      <c r="AZ302" s="45"/>
      <c r="BA302" s="45"/>
      <c r="BB302" s="45"/>
      <c r="BC302" s="45"/>
      <c r="BD302" s="93"/>
      <c r="BE302" s="93"/>
      <c r="BF302" s="93"/>
      <c r="BG302" s="93"/>
      <c r="BH302" s="93"/>
      <c r="BI302" s="93"/>
      <c r="BJ302" s="93"/>
      <c r="BK302" s="93">
        <f>SUM($Z302:AD302)-SUM($CM302:CQ302)</f>
        <v>5590</v>
      </c>
      <c r="BL302" s="93">
        <f>SUM($Z302:AE302)-SUM($CM302:CR302)</f>
        <v>5174</v>
      </c>
      <c r="BM302" s="93">
        <f>SUM($Z302:AF302)-SUM($CM302:CS302)</f>
        <v>4758</v>
      </c>
      <c r="BN302" s="93">
        <f>SUM($Z302:AG302)-SUM($CM302:CT302)</f>
        <v>4342</v>
      </c>
      <c r="BO302" s="93">
        <f>SUM($Z302:AH302)-SUM($CM302:CU302)</f>
        <v>3926</v>
      </c>
      <c r="BP302" s="93">
        <f>SUM($Z302:AI302)-SUM($CM302:CV302)</f>
        <v>3510</v>
      </c>
      <c r="BQ302" s="93">
        <f>SUM($Z302:AJ302)-SUM($CM302:CW302)</f>
        <v>3094</v>
      </c>
      <c r="BR302" s="93">
        <f>SUM($Z302:AK302)-SUM($CM302:CX302)</f>
        <v>2678</v>
      </c>
      <c r="BS302" s="93">
        <f>SUM($Z302:AL302)-SUM($CM302:CY302)</f>
        <v>2678</v>
      </c>
      <c r="BT302" s="93">
        <f>SUM($Z302:AM302)-SUM($CM302:CZ302)</f>
        <v>2678</v>
      </c>
      <c r="BU302" s="93">
        <f>SUM($Z302:AN302)-SUM($CM302:DA302)</f>
        <v>2678</v>
      </c>
      <c r="BV302" s="93">
        <f>SUM($Z302:AO302)-SUM($CM302:DB302)</f>
        <v>2678</v>
      </c>
      <c r="BW302" s="93">
        <f>SUM($Z302:AP302)-SUM($CM302:DC302)</f>
        <v>2678</v>
      </c>
      <c r="BX302" s="93">
        <f>SUM($Z302:AQ302)-SUM($CM302:DD302)</f>
        <v>2678</v>
      </c>
      <c r="BY302" s="93">
        <f>SUM($Z302:AR302)-SUM($CM302:DE302)</f>
        <v>2678</v>
      </c>
      <c r="BZ302" s="93">
        <f>SUM($Z302:AS302)-SUM($CM302:DF302)</f>
        <v>2678</v>
      </c>
      <c r="CA302" s="93">
        <f>SUM($Z302:AT302)-SUM($CM302:DG302)</f>
        <v>2678</v>
      </c>
      <c r="CB302" s="93">
        <f>SUM($Z302:AU302)-SUM($CM302:DH302)</f>
        <v>2678</v>
      </c>
      <c r="CC302" s="93">
        <f>SUM($Z302:AV302)-SUM($CM302:DI302)</f>
        <v>2678</v>
      </c>
      <c r="CD302" s="93">
        <f>SUM($Z302:AW302)-SUM($CM302:DJ302)</f>
        <v>2678</v>
      </c>
      <c r="CE302" s="93">
        <f>SUM($Z302:AX302)-SUM($CM302:DK302)</f>
        <v>2678</v>
      </c>
      <c r="CF302" s="93">
        <f>SUM($Z302:AY302)-SUM($CM302:DL302)</f>
        <v>2678</v>
      </c>
      <c r="CG302" s="93">
        <f>SUM($Z302:AZ302)-SUM($CM302:DM302)</f>
        <v>2678</v>
      </c>
      <c r="CH302" s="93">
        <f>SUM($Z302:BA302)-SUM($CM302:DN302)</f>
        <v>2678</v>
      </c>
      <c r="CI302" s="93">
        <f>SUM($Z302:BB302)-SUM($CM302:DO302)</f>
        <v>2678</v>
      </c>
      <c r="CJ302" s="93"/>
      <c r="CK302" s="93"/>
      <c r="CL302" s="93"/>
      <c r="CM302" s="93"/>
      <c r="CN302" s="93" cm="1">
        <f t="array" ref="CN302">SUMPRODUCT(TRANSPOSE(CN$4:CN$20),$G302:$W302)</f>
        <v>0</v>
      </c>
      <c r="CO302" s="93" cm="1">
        <f t="array" ref="CO302">SUMPRODUCT(TRANSPOSE(CO$4:CO$20),$G302:$W302)</f>
        <v>0</v>
      </c>
      <c r="CP302" s="93" cm="1">
        <f t="array" ref="CP302">SUMPRODUCT(TRANSPOSE(CP$4:CP$20),$G302:$W302)</f>
        <v>0</v>
      </c>
      <c r="CQ302" s="93" cm="1">
        <f t="array" ref="CQ302">SUMPRODUCT(TRANSPOSE(CQ$4:CQ$20),$G302:$W302)</f>
        <v>416</v>
      </c>
      <c r="CR302" s="93" cm="1">
        <f t="array" ref="CR302">SUMPRODUCT(TRANSPOSE(CR$4:CR$20),$G302:$W302)</f>
        <v>416</v>
      </c>
      <c r="CS302" s="93" cm="1">
        <f t="array" ref="CS302">SUMPRODUCT(TRANSPOSE(CS$4:CS$20),$G302:$W302)</f>
        <v>416</v>
      </c>
      <c r="CT302" s="93" cm="1">
        <f t="array" ref="CT302">SUMPRODUCT(TRANSPOSE(CT$4:CT$20),$G302:$W302)</f>
        <v>416</v>
      </c>
      <c r="CU302" s="93" cm="1">
        <f t="array" ref="CU302">SUMPRODUCT(TRANSPOSE(CU$4:CU$20),$G302:$W302)</f>
        <v>416</v>
      </c>
      <c r="CV302" s="93" cm="1">
        <f t="array" ref="CV302">SUMPRODUCT(TRANSPOSE(CV$4:CV$20),$G302:$W302)</f>
        <v>416</v>
      </c>
      <c r="CW302" s="93" cm="1">
        <f t="array" ref="CW302">SUMPRODUCT(TRANSPOSE(CW$4:CW$20),$G302:$W302)</f>
        <v>416</v>
      </c>
      <c r="CX302" s="93" cm="1">
        <f t="array" ref="CX302">SUMPRODUCT(TRANSPOSE(CX$4:CX$20),$G302:$W302)</f>
        <v>416</v>
      </c>
      <c r="CY302" s="93" cm="1">
        <f t="array" ref="CY302">SUMPRODUCT(TRANSPOSE(CY$4:CY$20),$G302:$W302)</f>
        <v>0</v>
      </c>
      <c r="CZ302" s="93" cm="1">
        <f t="array" ref="CZ302">SUMPRODUCT(TRANSPOSE(CZ$4:CZ$20),$G302:$W302)</f>
        <v>0</v>
      </c>
      <c r="DA302" s="93" cm="1">
        <f t="array" ref="DA302">SUMPRODUCT(TRANSPOSE(DA$4:DA$20),$G302:$W302)</f>
        <v>0</v>
      </c>
      <c r="DB302" s="93" cm="1">
        <f t="array" ref="DB302">SUMPRODUCT(TRANSPOSE(DB$4:DB$20),$G302:$W302)</f>
        <v>0</v>
      </c>
      <c r="DC302" s="93" cm="1">
        <f t="array" ref="DC302">SUMPRODUCT(TRANSPOSE(DC$4:DC$20),$G302:$W302)</f>
        <v>0</v>
      </c>
      <c r="DD302" s="93" cm="1">
        <f t="array" ref="DD302">SUMPRODUCT(TRANSPOSE(DD$4:DD$20),$G302:$W302)</f>
        <v>0</v>
      </c>
      <c r="DE302" s="93" cm="1">
        <f t="array" ref="DE302">SUMPRODUCT(TRANSPOSE(DE$4:DE$20),$G302:$W302)</f>
        <v>0</v>
      </c>
      <c r="DF302" s="93" cm="1">
        <f t="array" ref="DF302">SUMPRODUCT(TRANSPOSE(DF$4:DF$20),$G302:$W302)</f>
        <v>0</v>
      </c>
      <c r="DG302" s="93" cm="1">
        <f t="array" ref="DG302">SUMPRODUCT(TRANSPOSE(DG$4:DG$20),$G302:$W302)</f>
        <v>0</v>
      </c>
      <c r="DH302" s="93" cm="1">
        <f t="array" ref="DH302">SUMPRODUCT(TRANSPOSE(DH$4:DH$20),$G302:$W302)</f>
        <v>0</v>
      </c>
      <c r="DI302" s="93" cm="1">
        <f t="array" ref="DI302">SUMPRODUCT(TRANSPOSE(DI$4:DI$20),$G302:$W302)</f>
        <v>0</v>
      </c>
      <c r="DJ302" s="93" cm="1">
        <f t="array" ref="DJ302">SUMPRODUCT(TRANSPOSE(DJ$4:DJ$20),$G302:$W302)</f>
        <v>0</v>
      </c>
      <c r="DK302" s="93" cm="1">
        <f t="array" ref="DK302">SUMPRODUCT(TRANSPOSE(DK$4:DK$20),$G302:$W302)</f>
        <v>0</v>
      </c>
      <c r="DL302" s="93" cm="1">
        <f t="array" ref="DL302">SUMPRODUCT(TRANSPOSE(DL$4:DL$20),$G302:$W302)</f>
        <v>0</v>
      </c>
      <c r="DM302" s="93" cm="1">
        <f t="array" ref="DM302">SUMPRODUCT(TRANSPOSE(DM$4:DM$20),$G302:$W302)</f>
        <v>0</v>
      </c>
      <c r="DN302" s="93" cm="1">
        <f t="array" ref="DN302">SUMPRODUCT(TRANSPOSE(DN$4:DN$20),$G302:$W302)</f>
        <v>0</v>
      </c>
      <c r="DO302" s="93" cm="1">
        <f t="array" ref="DO302">SUMPRODUCT(TRANSPOSE(DO$4:DO$20),$G302:$W302)</f>
        <v>0</v>
      </c>
    </row>
    <row r="303" spans="1:119" x14ac:dyDescent="0.2">
      <c r="A303" s="45">
        <f t="shared" si="30"/>
        <v>282</v>
      </c>
      <c r="B303" s="46" t="s">
        <v>681</v>
      </c>
      <c r="C303" s="45">
        <v>732400080</v>
      </c>
      <c r="D303" s="45" t="s">
        <v>682</v>
      </c>
      <c r="E303" s="45" t="s">
        <v>191</v>
      </c>
      <c r="F303" s="48">
        <v>2</v>
      </c>
      <c r="G303" s="100">
        <v>0</v>
      </c>
      <c r="H303" s="100">
        <v>0</v>
      </c>
      <c r="I303" s="100">
        <v>0</v>
      </c>
      <c r="J303" s="100">
        <v>0</v>
      </c>
      <c r="K303" s="100">
        <v>0</v>
      </c>
      <c r="L303" s="100">
        <v>0</v>
      </c>
      <c r="M303" s="100">
        <v>0</v>
      </c>
      <c r="N303" s="100">
        <v>0</v>
      </c>
      <c r="O303" s="100">
        <v>2.5000000000000001E-2</v>
      </c>
      <c r="P303" s="100">
        <v>2.5000000000000001E-2</v>
      </c>
      <c r="Q303" s="100">
        <v>0</v>
      </c>
      <c r="R303" s="100">
        <v>0</v>
      </c>
      <c r="S303" s="100">
        <v>2.5000000000000001E-2</v>
      </c>
      <c r="T303" s="100">
        <v>2.5000000000000001E-2</v>
      </c>
      <c r="U303" s="100">
        <v>0</v>
      </c>
      <c r="V303" s="100">
        <v>0</v>
      </c>
      <c r="W303" s="100">
        <v>0</v>
      </c>
      <c r="X303" s="45" t="s">
        <v>41</v>
      </c>
      <c r="Y303" s="49">
        <v>0</v>
      </c>
      <c r="Z303" s="45">
        <v>0</v>
      </c>
      <c r="AA303" s="45">
        <v>0</v>
      </c>
      <c r="AB303" s="45">
        <v>0</v>
      </c>
      <c r="AC303" s="45">
        <v>0</v>
      </c>
      <c r="AD303" s="45">
        <v>0</v>
      </c>
      <c r="AE303" s="45">
        <v>0</v>
      </c>
      <c r="AF303" s="45">
        <v>0</v>
      </c>
      <c r="AG303" s="45">
        <v>0</v>
      </c>
      <c r="AH303" s="45">
        <v>0</v>
      </c>
      <c r="AI303" s="45">
        <v>0</v>
      </c>
      <c r="AJ303" s="45">
        <v>0</v>
      </c>
      <c r="AK303" s="45">
        <v>0</v>
      </c>
      <c r="AL303" s="45">
        <v>0</v>
      </c>
      <c r="AM303" s="45">
        <v>0</v>
      </c>
      <c r="AN303" s="45">
        <v>0</v>
      </c>
      <c r="AO303" s="45"/>
      <c r="AP303" s="45"/>
      <c r="AQ303" s="45"/>
      <c r="AR303" s="45"/>
      <c r="AS303" s="45"/>
      <c r="AT303" s="45"/>
      <c r="AU303" s="45"/>
      <c r="AV303" s="45"/>
      <c r="AW303" s="45"/>
      <c r="AX303" s="45"/>
      <c r="AY303" s="45"/>
      <c r="AZ303" s="45"/>
      <c r="BA303" s="45"/>
      <c r="BB303" s="45"/>
      <c r="BC303" s="45"/>
      <c r="BD303" s="93"/>
      <c r="BE303" s="93"/>
      <c r="BF303" s="93"/>
      <c r="BG303" s="93"/>
      <c r="BH303" s="93"/>
      <c r="BI303" s="93"/>
      <c r="BJ303" s="93"/>
      <c r="BK303" s="93">
        <f>SUM($Z303:AD303)-SUM($CM303:CQ303)</f>
        <v>-3.9000000000000004</v>
      </c>
      <c r="BL303" s="93">
        <f>SUM($Z303:AE303)-SUM($CM303:CR303)</f>
        <v>-7.4</v>
      </c>
      <c r="BM303" s="93">
        <f>SUM($Z303:AF303)-SUM($CM303:CS303)</f>
        <v>-10.65</v>
      </c>
      <c r="BN303" s="93">
        <f>SUM($Z303:AG303)-SUM($CM303:CT303)</f>
        <v>-13.65</v>
      </c>
      <c r="BO303" s="93">
        <f>SUM($Z303:AH303)-SUM($CM303:CU303)</f>
        <v>-16.649999999999999</v>
      </c>
      <c r="BP303" s="93">
        <f>SUM($Z303:AI303)-SUM($CM303:CV303)</f>
        <v>-19.649999999999999</v>
      </c>
      <c r="BQ303" s="93">
        <f>SUM($Z303:AJ303)-SUM($CM303:CW303)</f>
        <v>-22.65</v>
      </c>
      <c r="BR303" s="93">
        <f>SUM($Z303:AK303)-SUM($CM303:CX303)</f>
        <v>-25.65</v>
      </c>
      <c r="BS303" s="93">
        <f>SUM($Z303:AL303)-SUM($CM303:CY303)</f>
        <v>-28.65</v>
      </c>
      <c r="BT303" s="93">
        <f>SUM($Z303:AM303)-SUM($CM303:CZ303)</f>
        <v>-31.65</v>
      </c>
      <c r="BU303" s="93">
        <f>SUM($Z303:AN303)-SUM($CM303:DA303)</f>
        <v>-34.65</v>
      </c>
      <c r="BV303" s="93">
        <f>SUM($Z303:AO303)-SUM($CM303:DB303)</f>
        <v>-35.35</v>
      </c>
      <c r="BW303" s="93">
        <f>SUM($Z303:AP303)-SUM($CM303:DC303)</f>
        <v>-35.35</v>
      </c>
      <c r="BX303" s="93">
        <f>SUM($Z303:AQ303)-SUM($CM303:DD303)</f>
        <v>-35.35</v>
      </c>
      <c r="BY303" s="93">
        <f>SUM($Z303:AR303)-SUM($CM303:DE303)</f>
        <v>-35.35</v>
      </c>
      <c r="BZ303" s="93">
        <f>SUM($Z303:AS303)-SUM($CM303:DF303)</f>
        <v>-35.35</v>
      </c>
      <c r="CA303" s="93">
        <f>SUM($Z303:AT303)-SUM($CM303:DG303)</f>
        <v>-35.35</v>
      </c>
      <c r="CB303" s="93">
        <f>SUM($Z303:AU303)-SUM($CM303:DH303)</f>
        <v>-35.35</v>
      </c>
      <c r="CC303" s="93">
        <f>SUM($Z303:AV303)-SUM($CM303:DI303)</f>
        <v>-35.35</v>
      </c>
      <c r="CD303" s="93">
        <f>SUM($Z303:AW303)-SUM($CM303:DJ303)</f>
        <v>-35.35</v>
      </c>
      <c r="CE303" s="93">
        <f>SUM($Z303:AX303)-SUM($CM303:DK303)</f>
        <v>-35.35</v>
      </c>
      <c r="CF303" s="93">
        <f>SUM($Z303:AY303)-SUM($CM303:DL303)</f>
        <v>-35.35</v>
      </c>
      <c r="CG303" s="93">
        <f>SUM($Z303:AZ303)-SUM($CM303:DM303)</f>
        <v>-35.35</v>
      </c>
      <c r="CH303" s="93">
        <f>SUM($Z303:BA303)-SUM($CM303:DN303)</f>
        <v>-35.35</v>
      </c>
      <c r="CI303" s="93">
        <f>SUM($Z303:BB303)-SUM($CM303:DO303)</f>
        <v>-35.35</v>
      </c>
      <c r="CJ303" s="93"/>
      <c r="CK303" s="93"/>
      <c r="CL303" s="93"/>
      <c r="CM303" s="93"/>
      <c r="CN303" s="93" cm="1">
        <f t="array" ref="CN303">SUMPRODUCT(TRANSPOSE(CN$4:CN$20),$G303:$W303)</f>
        <v>0</v>
      </c>
      <c r="CO303" s="93" cm="1">
        <f t="array" ref="CO303">SUMPRODUCT(TRANSPOSE(CO$4:CO$20),$G303:$W303)</f>
        <v>0</v>
      </c>
      <c r="CP303" s="93" cm="1">
        <f t="array" ref="CP303">SUMPRODUCT(TRANSPOSE(CP$4:CP$20),$G303:$W303)</f>
        <v>0</v>
      </c>
      <c r="CQ303" s="93" cm="1">
        <f t="array" ref="CQ303">SUMPRODUCT(TRANSPOSE(CQ$4:CQ$20),$G303:$W303)</f>
        <v>3.9000000000000004</v>
      </c>
      <c r="CR303" s="93" cm="1">
        <f t="array" ref="CR303">SUMPRODUCT(TRANSPOSE(CR$4:CR$20),$G303:$W303)</f>
        <v>3.5</v>
      </c>
      <c r="CS303" s="93" cm="1">
        <f t="array" ref="CS303">SUMPRODUCT(TRANSPOSE(CS$4:CS$20),$G303:$W303)</f>
        <v>3.25</v>
      </c>
      <c r="CT303" s="93" cm="1">
        <f t="array" ref="CT303">SUMPRODUCT(TRANSPOSE(CT$4:CT$20),$G303:$W303)</f>
        <v>3</v>
      </c>
      <c r="CU303" s="93" cm="1">
        <f t="array" ref="CU303">SUMPRODUCT(TRANSPOSE(CU$4:CU$20),$G303:$W303)</f>
        <v>3</v>
      </c>
      <c r="CV303" s="93" cm="1">
        <f t="array" ref="CV303">SUMPRODUCT(TRANSPOSE(CV$4:CV$20),$G303:$W303)</f>
        <v>3</v>
      </c>
      <c r="CW303" s="93" cm="1">
        <f t="array" ref="CW303">SUMPRODUCT(TRANSPOSE(CW$4:CW$20),$G303:$W303)</f>
        <v>3</v>
      </c>
      <c r="CX303" s="93" cm="1">
        <f t="array" ref="CX303">SUMPRODUCT(TRANSPOSE(CX$4:CX$20),$G303:$W303)</f>
        <v>3</v>
      </c>
      <c r="CY303" s="93" cm="1">
        <f t="array" ref="CY303">SUMPRODUCT(TRANSPOSE(CY$4:CY$20),$G303:$W303)</f>
        <v>3</v>
      </c>
      <c r="CZ303" s="93" cm="1">
        <f t="array" ref="CZ303">SUMPRODUCT(TRANSPOSE(CZ$4:CZ$20),$G303:$W303)</f>
        <v>3</v>
      </c>
      <c r="DA303" s="93" cm="1">
        <f t="array" ref="DA303">SUMPRODUCT(TRANSPOSE(DA$4:DA$20),$G303:$W303)</f>
        <v>3</v>
      </c>
      <c r="DB303" s="93" cm="1">
        <f t="array" ref="DB303">SUMPRODUCT(TRANSPOSE(DB$4:DB$20),$G303:$W303)</f>
        <v>0.70000000000000007</v>
      </c>
      <c r="DC303" s="93" cm="1">
        <f t="array" ref="DC303">SUMPRODUCT(TRANSPOSE(DC$4:DC$20),$G303:$W303)</f>
        <v>0</v>
      </c>
      <c r="DD303" s="93" cm="1">
        <f t="array" ref="DD303">SUMPRODUCT(TRANSPOSE(DD$4:DD$20),$G303:$W303)</f>
        <v>0</v>
      </c>
      <c r="DE303" s="93" cm="1">
        <f t="array" ref="DE303">SUMPRODUCT(TRANSPOSE(DE$4:DE$20),$G303:$W303)</f>
        <v>0</v>
      </c>
      <c r="DF303" s="93" cm="1">
        <f t="array" ref="DF303">SUMPRODUCT(TRANSPOSE(DF$4:DF$20),$G303:$W303)</f>
        <v>0</v>
      </c>
      <c r="DG303" s="93" cm="1">
        <f t="array" ref="DG303">SUMPRODUCT(TRANSPOSE(DG$4:DG$20),$G303:$W303)</f>
        <v>0</v>
      </c>
      <c r="DH303" s="93" cm="1">
        <f t="array" ref="DH303">SUMPRODUCT(TRANSPOSE(DH$4:DH$20),$G303:$W303)</f>
        <v>0</v>
      </c>
      <c r="DI303" s="93" cm="1">
        <f t="array" ref="DI303">SUMPRODUCT(TRANSPOSE(DI$4:DI$20),$G303:$W303)</f>
        <v>0</v>
      </c>
      <c r="DJ303" s="93" cm="1">
        <f t="array" ref="DJ303">SUMPRODUCT(TRANSPOSE(DJ$4:DJ$20),$G303:$W303)</f>
        <v>0</v>
      </c>
      <c r="DK303" s="93" cm="1">
        <f t="array" ref="DK303">SUMPRODUCT(TRANSPOSE(DK$4:DK$20),$G303:$W303)</f>
        <v>0</v>
      </c>
      <c r="DL303" s="93" cm="1">
        <f t="array" ref="DL303">SUMPRODUCT(TRANSPOSE(DL$4:DL$20),$G303:$W303)</f>
        <v>0</v>
      </c>
      <c r="DM303" s="93" cm="1">
        <f t="array" ref="DM303">SUMPRODUCT(TRANSPOSE(DM$4:DM$20),$G303:$W303)</f>
        <v>0</v>
      </c>
      <c r="DN303" s="93" cm="1">
        <f t="array" ref="DN303">SUMPRODUCT(TRANSPOSE(DN$4:DN$20),$G303:$W303)</f>
        <v>0</v>
      </c>
      <c r="DO303" s="93" cm="1">
        <f t="array" ref="DO303">SUMPRODUCT(TRANSPOSE(DO$4:DO$20),$G303:$W303)</f>
        <v>0</v>
      </c>
    </row>
    <row r="304" spans="1:119" x14ac:dyDescent="0.2">
      <c r="A304" s="45">
        <f t="shared" si="30"/>
        <v>283</v>
      </c>
      <c r="B304" s="46" t="s">
        <v>683</v>
      </c>
      <c r="C304" s="45">
        <v>400607645</v>
      </c>
      <c r="D304" s="45" t="s">
        <v>684</v>
      </c>
      <c r="E304" s="45" t="s">
        <v>162</v>
      </c>
      <c r="F304" s="48">
        <v>2</v>
      </c>
      <c r="G304" s="100">
        <v>0</v>
      </c>
      <c r="H304" s="100">
        <v>0</v>
      </c>
      <c r="I304" s="100">
        <v>0</v>
      </c>
      <c r="J304" s="100">
        <v>0</v>
      </c>
      <c r="K304" s="100">
        <v>0</v>
      </c>
      <c r="L304" s="100">
        <v>0</v>
      </c>
      <c r="M304" s="100">
        <v>0</v>
      </c>
      <c r="N304" s="100">
        <v>0</v>
      </c>
      <c r="O304" s="100">
        <v>0</v>
      </c>
      <c r="P304" s="100">
        <v>0</v>
      </c>
      <c r="Q304" s="100">
        <v>32</v>
      </c>
      <c r="R304" s="100">
        <v>0</v>
      </c>
      <c r="S304" s="100">
        <v>0</v>
      </c>
      <c r="T304" s="100">
        <v>0</v>
      </c>
      <c r="U304" s="100">
        <v>32</v>
      </c>
      <c r="V304" s="100">
        <v>0</v>
      </c>
      <c r="W304" s="100">
        <v>0</v>
      </c>
      <c r="X304" s="45" t="s">
        <v>80</v>
      </c>
      <c r="Y304" s="49">
        <v>0.86</v>
      </c>
      <c r="Z304" s="45">
        <v>34150</v>
      </c>
      <c r="AA304" s="45">
        <v>0</v>
      </c>
      <c r="AB304" s="45">
        <v>0</v>
      </c>
      <c r="AC304" s="45">
        <v>0</v>
      </c>
      <c r="AD304" s="45">
        <v>0</v>
      </c>
      <c r="AE304" s="45">
        <v>0</v>
      </c>
      <c r="AF304" s="45">
        <v>0</v>
      </c>
      <c r="AG304" s="45">
        <v>0</v>
      </c>
      <c r="AH304" s="45">
        <v>0</v>
      </c>
      <c r="AI304" s="45">
        <v>0</v>
      </c>
      <c r="AJ304" s="45">
        <v>0</v>
      </c>
      <c r="AK304" s="45">
        <v>0</v>
      </c>
      <c r="AL304" s="45">
        <v>0</v>
      </c>
      <c r="AM304" s="45">
        <v>0</v>
      </c>
      <c r="AN304" s="45">
        <v>0</v>
      </c>
      <c r="AO304" s="45"/>
      <c r="AP304" s="45"/>
      <c r="AQ304" s="45"/>
      <c r="AR304" s="45"/>
      <c r="AS304" s="45"/>
      <c r="AT304" s="45"/>
      <c r="AU304" s="45"/>
      <c r="AV304" s="45"/>
      <c r="AW304" s="45"/>
      <c r="AX304" s="45"/>
      <c r="AY304" s="45"/>
      <c r="AZ304" s="45"/>
      <c r="BA304" s="45"/>
      <c r="BB304" s="45"/>
      <c r="BC304" s="45"/>
      <c r="BD304" s="93"/>
      <c r="BE304" s="93"/>
      <c r="BF304" s="93"/>
      <c r="BG304" s="93"/>
      <c r="BH304" s="93"/>
      <c r="BI304" s="93"/>
      <c r="BJ304" s="93"/>
      <c r="BK304" s="93">
        <f>SUM($Z304:AD304)-SUM($CM304:CQ304)</f>
        <v>31654</v>
      </c>
      <c r="BL304" s="93">
        <f>SUM($Z304:AE304)-SUM($CM304:CR304)</f>
        <v>29414</v>
      </c>
      <c r="BM304" s="93">
        <f>SUM($Z304:AF304)-SUM($CM304:CS304)</f>
        <v>27334</v>
      </c>
      <c r="BN304" s="93">
        <f>SUM($Z304:AG304)-SUM($CM304:CT304)</f>
        <v>25414</v>
      </c>
      <c r="BO304" s="93">
        <f>SUM($Z304:AH304)-SUM($CM304:CU304)</f>
        <v>23494</v>
      </c>
      <c r="BP304" s="93">
        <f>SUM($Z304:AI304)-SUM($CM304:CV304)</f>
        <v>21574</v>
      </c>
      <c r="BQ304" s="93">
        <f>SUM($Z304:AJ304)-SUM($CM304:CW304)</f>
        <v>19654</v>
      </c>
      <c r="BR304" s="93">
        <f>SUM($Z304:AK304)-SUM($CM304:CX304)</f>
        <v>17734</v>
      </c>
      <c r="BS304" s="93">
        <f>SUM($Z304:AL304)-SUM($CM304:CY304)</f>
        <v>15814</v>
      </c>
      <c r="BT304" s="93">
        <f>SUM($Z304:AM304)-SUM($CM304:CZ304)</f>
        <v>13894</v>
      </c>
      <c r="BU304" s="93">
        <f>SUM($Z304:AN304)-SUM($CM304:DA304)</f>
        <v>11974</v>
      </c>
      <c r="BV304" s="93">
        <f>SUM($Z304:AO304)-SUM($CM304:DB304)</f>
        <v>11526</v>
      </c>
      <c r="BW304" s="93">
        <f>SUM($Z304:AP304)-SUM($CM304:DC304)</f>
        <v>11526</v>
      </c>
      <c r="BX304" s="93">
        <f>SUM($Z304:AQ304)-SUM($CM304:DD304)</f>
        <v>11526</v>
      </c>
      <c r="BY304" s="93">
        <f>SUM($Z304:AR304)-SUM($CM304:DE304)</f>
        <v>11526</v>
      </c>
      <c r="BZ304" s="93">
        <f>SUM($Z304:AS304)-SUM($CM304:DF304)</f>
        <v>11526</v>
      </c>
      <c r="CA304" s="93">
        <f>SUM($Z304:AT304)-SUM($CM304:DG304)</f>
        <v>11526</v>
      </c>
      <c r="CB304" s="93">
        <f>SUM($Z304:AU304)-SUM($CM304:DH304)</f>
        <v>11526</v>
      </c>
      <c r="CC304" s="93">
        <f>SUM($Z304:AV304)-SUM($CM304:DI304)</f>
        <v>11526</v>
      </c>
      <c r="CD304" s="93">
        <f>SUM($Z304:AW304)-SUM($CM304:DJ304)</f>
        <v>11526</v>
      </c>
      <c r="CE304" s="93">
        <f>SUM($Z304:AX304)-SUM($CM304:DK304)</f>
        <v>11526</v>
      </c>
      <c r="CF304" s="93">
        <f>SUM($Z304:AY304)-SUM($CM304:DL304)</f>
        <v>11526</v>
      </c>
      <c r="CG304" s="93">
        <f>SUM($Z304:AZ304)-SUM($CM304:DM304)</f>
        <v>11526</v>
      </c>
      <c r="CH304" s="93">
        <f>SUM($Z304:BA304)-SUM($CM304:DN304)</f>
        <v>11526</v>
      </c>
      <c r="CI304" s="93">
        <f>SUM($Z304:BB304)-SUM($CM304:DO304)</f>
        <v>11526</v>
      </c>
      <c r="CJ304" s="93"/>
      <c r="CK304" s="93"/>
      <c r="CL304" s="93"/>
      <c r="CM304" s="93"/>
      <c r="CN304" s="93" cm="1">
        <f t="array" ref="CN304">SUMPRODUCT(TRANSPOSE(CN$4:CN$20),$G304:$W304)</f>
        <v>0</v>
      </c>
      <c r="CO304" s="93" cm="1">
        <f t="array" ref="CO304">SUMPRODUCT(TRANSPOSE(CO$4:CO$20),$G304:$W304)</f>
        <v>0</v>
      </c>
      <c r="CP304" s="93" cm="1">
        <f t="array" ref="CP304">SUMPRODUCT(TRANSPOSE(CP$4:CP$20),$G304:$W304)</f>
        <v>0</v>
      </c>
      <c r="CQ304" s="93" cm="1">
        <f t="array" ref="CQ304">SUMPRODUCT(TRANSPOSE(CQ$4:CQ$20),$G304:$W304)</f>
        <v>2496</v>
      </c>
      <c r="CR304" s="93" cm="1">
        <f t="array" ref="CR304">SUMPRODUCT(TRANSPOSE(CR$4:CR$20),$G304:$W304)</f>
        <v>2240</v>
      </c>
      <c r="CS304" s="93" cm="1">
        <f t="array" ref="CS304">SUMPRODUCT(TRANSPOSE(CS$4:CS$20),$G304:$W304)</f>
        <v>2080</v>
      </c>
      <c r="CT304" s="93" cm="1">
        <f t="array" ref="CT304">SUMPRODUCT(TRANSPOSE(CT$4:CT$20),$G304:$W304)</f>
        <v>1920</v>
      </c>
      <c r="CU304" s="93" cm="1">
        <f t="array" ref="CU304">SUMPRODUCT(TRANSPOSE(CU$4:CU$20),$G304:$W304)</f>
        <v>1920</v>
      </c>
      <c r="CV304" s="93" cm="1">
        <f t="array" ref="CV304">SUMPRODUCT(TRANSPOSE(CV$4:CV$20),$G304:$W304)</f>
        <v>1920</v>
      </c>
      <c r="CW304" s="93" cm="1">
        <f t="array" ref="CW304">SUMPRODUCT(TRANSPOSE(CW$4:CW$20),$G304:$W304)</f>
        <v>1920</v>
      </c>
      <c r="CX304" s="93" cm="1">
        <f t="array" ref="CX304">SUMPRODUCT(TRANSPOSE(CX$4:CX$20),$G304:$W304)</f>
        <v>1920</v>
      </c>
      <c r="CY304" s="93" cm="1">
        <f t="array" ref="CY304">SUMPRODUCT(TRANSPOSE(CY$4:CY$20),$G304:$W304)</f>
        <v>1920</v>
      </c>
      <c r="CZ304" s="93" cm="1">
        <f t="array" ref="CZ304">SUMPRODUCT(TRANSPOSE(CZ$4:CZ$20),$G304:$W304)</f>
        <v>1920</v>
      </c>
      <c r="DA304" s="93" cm="1">
        <f t="array" ref="DA304">SUMPRODUCT(TRANSPOSE(DA$4:DA$20),$G304:$W304)</f>
        <v>1920</v>
      </c>
      <c r="DB304" s="93" cm="1">
        <f t="array" ref="DB304">SUMPRODUCT(TRANSPOSE(DB$4:DB$20),$G304:$W304)</f>
        <v>448</v>
      </c>
      <c r="DC304" s="93" cm="1">
        <f t="array" ref="DC304">SUMPRODUCT(TRANSPOSE(DC$4:DC$20),$G304:$W304)</f>
        <v>0</v>
      </c>
      <c r="DD304" s="93" cm="1">
        <f t="array" ref="DD304">SUMPRODUCT(TRANSPOSE(DD$4:DD$20),$G304:$W304)</f>
        <v>0</v>
      </c>
      <c r="DE304" s="93" cm="1">
        <f t="array" ref="DE304">SUMPRODUCT(TRANSPOSE(DE$4:DE$20),$G304:$W304)</f>
        <v>0</v>
      </c>
      <c r="DF304" s="93" cm="1">
        <f t="array" ref="DF304">SUMPRODUCT(TRANSPOSE(DF$4:DF$20),$G304:$W304)</f>
        <v>0</v>
      </c>
      <c r="DG304" s="93" cm="1">
        <f t="array" ref="DG304">SUMPRODUCT(TRANSPOSE(DG$4:DG$20),$G304:$W304)</f>
        <v>0</v>
      </c>
      <c r="DH304" s="93" cm="1">
        <f t="array" ref="DH304">SUMPRODUCT(TRANSPOSE(DH$4:DH$20),$G304:$W304)</f>
        <v>0</v>
      </c>
      <c r="DI304" s="93" cm="1">
        <f t="array" ref="DI304">SUMPRODUCT(TRANSPOSE(DI$4:DI$20),$G304:$W304)</f>
        <v>0</v>
      </c>
      <c r="DJ304" s="93" cm="1">
        <f t="array" ref="DJ304">SUMPRODUCT(TRANSPOSE(DJ$4:DJ$20),$G304:$W304)</f>
        <v>0</v>
      </c>
      <c r="DK304" s="93" cm="1">
        <f t="array" ref="DK304">SUMPRODUCT(TRANSPOSE(DK$4:DK$20),$G304:$W304)</f>
        <v>0</v>
      </c>
      <c r="DL304" s="93" cm="1">
        <f t="array" ref="DL304">SUMPRODUCT(TRANSPOSE(DL$4:DL$20),$G304:$W304)</f>
        <v>0</v>
      </c>
      <c r="DM304" s="93" cm="1">
        <f t="array" ref="DM304">SUMPRODUCT(TRANSPOSE(DM$4:DM$20),$G304:$W304)</f>
        <v>0</v>
      </c>
      <c r="DN304" s="93" cm="1">
        <f t="array" ref="DN304">SUMPRODUCT(TRANSPOSE(DN$4:DN$20),$G304:$W304)</f>
        <v>0</v>
      </c>
      <c r="DO304" s="93" cm="1">
        <f t="array" ref="DO304">SUMPRODUCT(TRANSPOSE(DO$4:DO$20),$G304:$W304)</f>
        <v>0</v>
      </c>
    </row>
    <row r="305" spans="1:119" x14ac:dyDescent="0.2">
      <c r="A305" s="45">
        <f t="shared" si="30"/>
        <v>284</v>
      </c>
      <c r="B305" s="46" t="s">
        <v>685</v>
      </c>
      <c r="C305" s="45">
        <v>400237666</v>
      </c>
      <c r="D305" s="45" t="s">
        <v>686</v>
      </c>
      <c r="E305" s="45" t="s">
        <v>162</v>
      </c>
      <c r="F305" s="48">
        <v>2</v>
      </c>
      <c r="G305" s="100">
        <v>0</v>
      </c>
      <c r="H305" s="100">
        <v>0</v>
      </c>
      <c r="I305" s="100">
        <v>0</v>
      </c>
      <c r="J305" s="100">
        <v>0</v>
      </c>
      <c r="K305" s="100">
        <v>0</v>
      </c>
      <c r="L305" s="100">
        <v>0</v>
      </c>
      <c r="M305" s="100">
        <v>0</v>
      </c>
      <c r="N305" s="100">
        <v>0</v>
      </c>
      <c r="O305" s="100">
        <v>0</v>
      </c>
      <c r="P305" s="100">
        <v>0</v>
      </c>
      <c r="Q305" s="100">
        <v>2</v>
      </c>
      <c r="R305" s="100">
        <v>0</v>
      </c>
      <c r="S305" s="100">
        <v>0</v>
      </c>
      <c r="T305" s="100">
        <v>0</v>
      </c>
      <c r="U305" s="100">
        <v>2</v>
      </c>
      <c r="V305" s="100">
        <v>0</v>
      </c>
      <c r="W305" s="100">
        <v>0</v>
      </c>
      <c r="X305" s="45" t="s">
        <v>81</v>
      </c>
      <c r="Y305" s="49">
        <v>9.64</v>
      </c>
      <c r="Z305" s="45">
        <v>1200</v>
      </c>
      <c r="AA305" s="45">
        <v>0</v>
      </c>
      <c r="AB305" s="45">
        <v>0</v>
      </c>
      <c r="AC305" s="45">
        <v>0</v>
      </c>
      <c r="AD305" s="45">
        <v>0</v>
      </c>
      <c r="AE305" s="45">
        <v>0</v>
      </c>
      <c r="AF305" s="45">
        <v>0</v>
      </c>
      <c r="AG305" s="45">
        <v>0</v>
      </c>
      <c r="AH305" s="45">
        <v>0</v>
      </c>
      <c r="AI305" s="45">
        <v>0</v>
      </c>
      <c r="AJ305" s="45">
        <v>0</v>
      </c>
      <c r="AK305" s="45">
        <v>0</v>
      </c>
      <c r="AL305" s="45">
        <v>0</v>
      </c>
      <c r="AM305" s="45">
        <v>0</v>
      </c>
      <c r="AN305" s="45">
        <v>0</v>
      </c>
      <c r="AO305" s="45"/>
      <c r="AP305" s="45"/>
      <c r="AQ305" s="45"/>
      <c r="AR305" s="45"/>
      <c r="AS305" s="45"/>
      <c r="AT305" s="45"/>
      <c r="AU305" s="45"/>
      <c r="AV305" s="45"/>
      <c r="AW305" s="45"/>
      <c r="AX305" s="45"/>
      <c r="AY305" s="45"/>
      <c r="AZ305" s="45"/>
      <c r="BA305" s="45"/>
      <c r="BB305" s="45"/>
      <c r="BC305" s="45"/>
      <c r="BD305" s="93"/>
      <c r="BE305" s="93"/>
      <c r="BF305" s="93"/>
      <c r="BG305" s="93"/>
      <c r="BH305" s="93"/>
      <c r="BI305" s="93"/>
      <c r="BJ305" s="93"/>
      <c r="BK305" s="93">
        <f>SUM($Z305:AD305)-SUM($CM305:CQ305)</f>
        <v>1044</v>
      </c>
      <c r="BL305" s="93">
        <f>SUM($Z305:AE305)-SUM($CM305:CR305)</f>
        <v>904</v>
      </c>
      <c r="BM305" s="93">
        <f>SUM($Z305:AF305)-SUM($CM305:CS305)</f>
        <v>774</v>
      </c>
      <c r="BN305" s="93">
        <f>SUM($Z305:AG305)-SUM($CM305:CT305)</f>
        <v>654</v>
      </c>
      <c r="BO305" s="93">
        <f>SUM($Z305:AH305)-SUM($CM305:CU305)</f>
        <v>534</v>
      </c>
      <c r="BP305" s="93">
        <f>SUM($Z305:AI305)-SUM($CM305:CV305)</f>
        <v>414</v>
      </c>
      <c r="BQ305" s="93">
        <f>SUM($Z305:AJ305)-SUM($CM305:CW305)</f>
        <v>294</v>
      </c>
      <c r="BR305" s="93">
        <f>SUM($Z305:AK305)-SUM($CM305:CX305)</f>
        <v>174</v>
      </c>
      <c r="BS305" s="93">
        <f>SUM($Z305:AL305)-SUM($CM305:CY305)</f>
        <v>54</v>
      </c>
      <c r="BT305" s="93">
        <f>SUM($Z305:AM305)-SUM($CM305:CZ305)</f>
        <v>-66</v>
      </c>
      <c r="BU305" s="93">
        <f>SUM($Z305:AN305)-SUM($CM305:DA305)</f>
        <v>-186</v>
      </c>
      <c r="BV305" s="93">
        <f>SUM($Z305:AO305)-SUM($CM305:DB305)</f>
        <v>-214</v>
      </c>
      <c r="BW305" s="93">
        <f>SUM($Z305:AP305)-SUM($CM305:DC305)</f>
        <v>-214</v>
      </c>
      <c r="BX305" s="93">
        <f>SUM($Z305:AQ305)-SUM($CM305:DD305)</f>
        <v>-214</v>
      </c>
      <c r="BY305" s="93">
        <f>SUM($Z305:AR305)-SUM($CM305:DE305)</f>
        <v>-214</v>
      </c>
      <c r="BZ305" s="93">
        <f>SUM($Z305:AS305)-SUM($CM305:DF305)</f>
        <v>-214</v>
      </c>
      <c r="CA305" s="93">
        <f>SUM($Z305:AT305)-SUM($CM305:DG305)</f>
        <v>-214</v>
      </c>
      <c r="CB305" s="93">
        <f>SUM($Z305:AU305)-SUM($CM305:DH305)</f>
        <v>-214</v>
      </c>
      <c r="CC305" s="93">
        <f>SUM($Z305:AV305)-SUM($CM305:DI305)</f>
        <v>-214</v>
      </c>
      <c r="CD305" s="93">
        <f>SUM($Z305:AW305)-SUM($CM305:DJ305)</f>
        <v>-214</v>
      </c>
      <c r="CE305" s="93">
        <f>SUM($Z305:AX305)-SUM($CM305:DK305)</f>
        <v>-214</v>
      </c>
      <c r="CF305" s="93">
        <f>SUM($Z305:AY305)-SUM($CM305:DL305)</f>
        <v>-214</v>
      </c>
      <c r="CG305" s="93">
        <f>SUM($Z305:AZ305)-SUM($CM305:DM305)</f>
        <v>-214</v>
      </c>
      <c r="CH305" s="93">
        <f>SUM($Z305:BA305)-SUM($CM305:DN305)</f>
        <v>-214</v>
      </c>
      <c r="CI305" s="93">
        <f>SUM($Z305:BB305)-SUM($CM305:DO305)</f>
        <v>-214</v>
      </c>
      <c r="CJ305" s="93"/>
      <c r="CK305" s="93"/>
      <c r="CL305" s="93"/>
      <c r="CM305" s="93"/>
      <c r="CN305" s="93" cm="1">
        <f t="array" ref="CN305">SUMPRODUCT(TRANSPOSE(CN$4:CN$20),$G305:$W305)</f>
        <v>0</v>
      </c>
      <c r="CO305" s="93" cm="1">
        <f t="array" ref="CO305">SUMPRODUCT(TRANSPOSE(CO$4:CO$20),$G305:$W305)</f>
        <v>0</v>
      </c>
      <c r="CP305" s="93" cm="1">
        <f t="array" ref="CP305">SUMPRODUCT(TRANSPOSE(CP$4:CP$20),$G305:$W305)</f>
        <v>0</v>
      </c>
      <c r="CQ305" s="93" cm="1">
        <f t="array" ref="CQ305">SUMPRODUCT(TRANSPOSE(CQ$4:CQ$20),$G305:$W305)</f>
        <v>156</v>
      </c>
      <c r="CR305" s="93" cm="1">
        <f t="array" ref="CR305">SUMPRODUCT(TRANSPOSE(CR$4:CR$20),$G305:$W305)</f>
        <v>140</v>
      </c>
      <c r="CS305" s="93" cm="1">
        <f t="array" ref="CS305">SUMPRODUCT(TRANSPOSE(CS$4:CS$20),$G305:$W305)</f>
        <v>130</v>
      </c>
      <c r="CT305" s="93" cm="1">
        <f t="array" ref="CT305">SUMPRODUCT(TRANSPOSE(CT$4:CT$20),$G305:$W305)</f>
        <v>120</v>
      </c>
      <c r="CU305" s="93" cm="1">
        <f t="array" ref="CU305">SUMPRODUCT(TRANSPOSE(CU$4:CU$20),$G305:$W305)</f>
        <v>120</v>
      </c>
      <c r="CV305" s="93" cm="1">
        <f t="array" ref="CV305">SUMPRODUCT(TRANSPOSE(CV$4:CV$20),$G305:$W305)</f>
        <v>120</v>
      </c>
      <c r="CW305" s="93" cm="1">
        <f t="array" ref="CW305">SUMPRODUCT(TRANSPOSE(CW$4:CW$20),$G305:$W305)</f>
        <v>120</v>
      </c>
      <c r="CX305" s="93" cm="1">
        <f t="array" ref="CX305">SUMPRODUCT(TRANSPOSE(CX$4:CX$20),$G305:$W305)</f>
        <v>120</v>
      </c>
      <c r="CY305" s="93" cm="1">
        <f t="array" ref="CY305">SUMPRODUCT(TRANSPOSE(CY$4:CY$20),$G305:$W305)</f>
        <v>120</v>
      </c>
      <c r="CZ305" s="93" cm="1">
        <f t="array" ref="CZ305">SUMPRODUCT(TRANSPOSE(CZ$4:CZ$20),$G305:$W305)</f>
        <v>120</v>
      </c>
      <c r="DA305" s="93" cm="1">
        <f t="array" ref="DA305">SUMPRODUCT(TRANSPOSE(DA$4:DA$20),$G305:$W305)</f>
        <v>120</v>
      </c>
      <c r="DB305" s="93" cm="1">
        <f t="array" ref="DB305">SUMPRODUCT(TRANSPOSE(DB$4:DB$20),$G305:$W305)</f>
        <v>28</v>
      </c>
      <c r="DC305" s="93" cm="1">
        <f t="array" ref="DC305">SUMPRODUCT(TRANSPOSE(DC$4:DC$20),$G305:$W305)</f>
        <v>0</v>
      </c>
      <c r="DD305" s="93" cm="1">
        <f t="array" ref="DD305">SUMPRODUCT(TRANSPOSE(DD$4:DD$20),$G305:$W305)</f>
        <v>0</v>
      </c>
      <c r="DE305" s="93" cm="1">
        <f t="array" ref="DE305">SUMPRODUCT(TRANSPOSE(DE$4:DE$20),$G305:$W305)</f>
        <v>0</v>
      </c>
      <c r="DF305" s="93" cm="1">
        <f t="array" ref="DF305">SUMPRODUCT(TRANSPOSE(DF$4:DF$20),$G305:$W305)</f>
        <v>0</v>
      </c>
      <c r="DG305" s="93" cm="1">
        <f t="array" ref="DG305">SUMPRODUCT(TRANSPOSE(DG$4:DG$20),$G305:$W305)</f>
        <v>0</v>
      </c>
      <c r="DH305" s="93" cm="1">
        <f t="array" ref="DH305">SUMPRODUCT(TRANSPOSE(DH$4:DH$20),$G305:$W305)</f>
        <v>0</v>
      </c>
      <c r="DI305" s="93" cm="1">
        <f t="array" ref="DI305">SUMPRODUCT(TRANSPOSE(DI$4:DI$20),$G305:$W305)</f>
        <v>0</v>
      </c>
      <c r="DJ305" s="93" cm="1">
        <f t="array" ref="DJ305">SUMPRODUCT(TRANSPOSE(DJ$4:DJ$20),$G305:$W305)</f>
        <v>0</v>
      </c>
      <c r="DK305" s="93" cm="1">
        <f t="array" ref="DK305">SUMPRODUCT(TRANSPOSE(DK$4:DK$20),$G305:$W305)</f>
        <v>0</v>
      </c>
      <c r="DL305" s="93" cm="1">
        <f t="array" ref="DL305">SUMPRODUCT(TRANSPOSE(DL$4:DL$20),$G305:$W305)</f>
        <v>0</v>
      </c>
      <c r="DM305" s="93" cm="1">
        <f t="array" ref="DM305">SUMPRODUCT(TRANSPOSE(DM$4:DM$20),$G305:$W305)</f>
        <v>0</v>
      </c>
      <c r="DN305" s="93" cm="1">
        <f t="array" ref="DN305">SUMPRODUCT(TRANSPOSE(DN$4:DN$20),$G305:$W305)</f>
        <v>0</v>
      </c>
      <c r="DO305" s="93" cm="1">
        <f t="array" ref="DO305">SUMPRODUCT(TRANSPOSE(DO$4:DO$20),$G305:$W305)</f>
        <v>0</v>
      </c>
    </row>
    <row r="306" spans="1:119" x14ac:dyDescent="0.2">
      <c r="A306" s="45">
        <f t="shared" si="30"/>
        <v>285</v>
      </c>
      <c r="B306" s="46" t="s">
        <v>687</v>
      </c>
      <c r="C306" s="45">
        <v>400236682</v>
      </c>
      <c r="D306" s="45" t="s">
        <v>688</v>
      </c>
      <c r="E306" s="45" t="s">
        <v>162</v>
      </c>
      <c r="F306" s="48">
        <v>2</v>
      </c>
      <c r="G306" s="100">
        <v>0</v>
      </c>
      <c r="H306" s="100">
        <v>0</v>
      </c>
      <c r="I306" s="100">
        <v>0</v>
      </c>
      <c r="J306" s="100">
        <v>0</v>
      </c>
      <c r="K306" s="100">
        <v>0</v>
      </c>
      <c r="L306" s="100">
        <v>0</v>
      </c>
      <c r="M306" s="100">
        <v>0</v>
      </c>
      <c r="N306" s="100">
        <v>0</v>
      </c>
      <c r="O306" s="100">
        <v>0</v>
      </c>
      <c r="P306" s="100">
        <v>0</v>
      </c>
      <c r="Q306" s="100">
        <v>0</v>
      </c>
      <c r="R306" s="100">
        <v>2</v>
      </c>
      <c r="S306" s="100">
        <v>0</v>
      </c>
      <c r="T306" s="100">
        <v>0</v>
      </c>
      <c r="U306" s="100">
        <v>0</v>
      </c>
      <c r="V306" s="100">
        <v>2</v>
      </c>
      <c r="W306" s="100">
        <v>0</v>
      </c>
      <c r="X306" s="45" t="s">
        <v>81</v>
      </c>
      <c r="Y306" s="49">
        <v>10.41</v>
      </c>
      <c r="Z306" s="45">
        <v>1200</v>
      </c>
      <c r="AA306" s="45">
        <v>0</v>
      </c>
      <c r="AB306" s="45">
        <v>0</v>
      </c>
      <c r="AC306" s="45">
        <v>0</v>
      </c>
      <c r="AD306" s="45">
        <v>0</v>
      </c>
      <c r="AE306" s="45">
        <v>0</v>
      </c>
      <c r="AF306" s="45">
        <v>400</v>
      </c>
      <c r="AG306" s="45">
        <v>0</v>
      </c>
      <c r="AH306" s="45">
        <v>0</v>
      </c>
      <c r="AI306" s="45">
        <v>0</v>
      </c>
      <c r="AJ306" s="45">
        <v>0</v>
      </c>
      <c r="AK306" s="45">
        <v>0</v>
      </c>
      <c r="AL306" s="45">
        <v>0</v>
      </c>
      <c r="AM306" s="45">
        <v>0</v>
      </c>
      <c r="AN306" s="45">
        <v>0</v>
      </c>
      <c r="AO306" s="45"/>
      <c r="AP306" s="45"/>
      <c r="AQ306" s="45"/>
      <c r="AR306" s="45"/>
      <c r="AS306" s="45"/>
      <c r="AT306" s="45"/>
      <c r="AU306" s="45"/>
      <c r="AV306" s="45"/>
      <c r="AW306" s="45"/>
      <c r="AX306" s="45"/>
      <c r="AY306" s="45"/>
      <c r="AZ306" s="45"/>
      <c r="BA306" s="45"/>
      <c r="BB306" s="45"/>
      <c r="BC306" s="45"/>
      <c r="BD306" s="93"/>
      <c r="BE306" s="93"/>
      <c r="BF306" s="93"/>
      <c r="BG306" s="93"/>
      <c r="BH306" s="93"/>
      <c r="BI306" s="93"/>
      <c r="BJ306" s="93"/>
      <c r="BK306" s="93">
        <f>SUM($Z306:AD306)-SUM($CM306:CQ306)</f>
        <v>1060</v>
      </c>
      <c r="BL306" s="93">
        <f>SUM($Z306:AE306)-SUM($CM306:CR306)</f>
        <v>920</v>
      </c>
      <c r="BM306" s="93">
        <f>SUM($Z306:AF306)-SUM($CM306:CS306)</f>
        <v>1180</v>
      </c>
      <c r="BN306" s="93">
        <f>SUM($Z306:AG306)-SUM($CM306:CT306)</f>
        <v>1040</v>
      </c>
      <c r="BO306" s="93">
        <f>SUM($Z306:AH306)-SUM($CM306:CU306)</f>
        <v>900</v>
      </c>
      <c r="BP306" s="93">
        <f>SUM($Z306:AI306)-SUM($CM306:CV306)</f>
        <v>760</v>
      </c>
      <c r="BQ306" s="93">
        <f>SUM($Z306:AJ306)-SUM($CM306:CW306)</f>
        <v>620</v>
      </c>
      <c r="BR306" s="93">
        <f>SUM($Z306:AK306)-SUM($CM306:CX306)</f>
        <v>480</v>
      </c>
      <c r="BS306" s="93">
        <f>SUM($Z306:AL306)-SUM($CM306:CY306)</f>
        <v>340</v>
      </c>
      <c r="BT306" s="93">
        <f>SUM($Z306:AM306)-SUM($CM306:CZ306)</f>
        <v>270</v>
      </c>
      <c r="BU306" s="93">
        <f>SUM($Z306:AN306)-SUM($CM306:DA306)</f>
        <v>270</v>
      </c>
      <c r="BV306" s="93">
        <f>SUM($Z306:AO306)-SUM($CM306:DB306)</f>
        <v>270</v>
      </c>
      <c r="BW306" s="93">
        <f>SUM($Z306:AP306)-SUM($CM306:DC306)</f>
        <v>270</v>
      </c>
      <c r="BX306" s="93">
        <f>SUM($Z306:AQ306)-SUM($CM306:DD306)</f>
        <v>270</v>
      </c>
      <c r="BY306" s="93">
        <f>SUM($Z306:AR306)-SUM($CM306:DE306)</f>
        <v>270</v>
      </c>
      <c r="BZ306" s="93">
        <f>SUM($Z306:AS306)-SUM($CM306:DF306)</f>
        <v>270</v>
      </c>
      <c r="CA306" s="93">
        <f>SUM($Z306:AT306)-SUM($CM306:DG306)</f>
        <v>270</v>
      </c>
      <c r="CB306" s="93">
        <f>SUM($Z306:AU306)-SUM($CM306:DH306)</f>
        <v>270</v>
      </c>
      <c r="CC306" s="93">
        <f>SUM($Z306:AV306)-SUM($CM306:DI306)</f>
        <v>270</v>
      </c>
      <c r="CD306" s="93">
        <f>SUM($Z306:AW306)-SUM($CM306:DJ306)</f>
        <v>270</v>
      </c>
      <c r="CE306" s="93">
        <f>SUM($Z306:AX306)-SUM($CM306:DK306)</f>
        <v>270</v>
      </c>
      <c r="CF306" s="93">
        <f>SUM($Z306:AY306)-SUM($CM306:DL306)</f>
        <v>270</v>
      </c>
      <c r="CG306" s="93">
        <f>SUM($Z306:AZ306)-SUM($CM306:DM306)</f>
        <v>270</v>
      </c>
      <c r="CH306" s="93">
        <f>SUM($Z306:BA306)-SUM($CM306:DN306)</f>
        <v>270</v>
      </c>
      <c r="CI306" s="93">
        <f>SUM($Z306:BB306)-SUM($CM306:DO306)</f>
        <v>270</v>
      </c>
      <c r="CJ306" s="93"/>
      <c r="CK306" s="93"/>
      <c r="CL306" s="93"/>
      <c r="CM306" s="93"/>
      <c r="CN306" s="93" cm="1">
        <f t="array" ref="CN306">SUMPRODUCT(TRANSPOSE(CN$4:CN$20),$G306:$W306)</f>
        <v>0</v>
      </c>
      <c r="CO306" s="93" cm="1">
        <f t="array" ref="CO306">SUMPRODUCT(TRANSPOSE(CO$4:CO$20),$G306:$W306)</f>
        <v>0</v>
      </c>
      <c r="CP306" s="93" cm="1">
        <f t="array" ref="CP306">SUMPRODUCT(TRANSPOSE(CP$4:CP$20),$G306:$W306)</f>
        <v>0</v>
      </c>
      <c r="CQ306" s="93" cm="1">
        <f t="array" ref="CQ306">SUMPRODUCT(TRANSPOSE(CQ$4:CQ$20),$G306:$W306)</f>
        <v>140</v>
      </c>
      <c r="CR306" s="93" cm="1">
        <f t="array" ref="CR306">SUMPRODUCT(TRANSPOSE(CR$4:CR$20),$G306:$W306)</f>
        <v>140</v>
      </c>
      <c r="CS306" s="93" cm="1">
        <f t="array" ref="CS306">SUMPRODUCT(TRANSPOSE(CS$4:CS$20),$G306:$W306)</f>
        <v>140</v>
      </c>
      <c r="CT306" s="93" cm="1">
        <f t="array" ref="CT306">SUMPRODUCT(TRANSPOSE(CT$4:CT$20),$G306:$W306)</f>
        <v>140</v>
      </c>
      <c r="CU306" s="93" cm="1">
        <f t="array" ref="CU306">SUMPRODUCT(TRANSPOSE(CU$4:CU$20),$G306:$W306)</f>
        <v>140</v>
      </c>
      <c r="CV306" s="93" cm="1">
        <f t="array" ref="CV306">SUMPRODUCT(TRANSPOSE(CV$4:CV$20),$G306:$W306)</f>
        <v>140</v>
      </c>
      <c r="CW306" s="93" cm="1">
        <f t="array" ref="CW306">SUMPRODUCT(TRANSPOSE(CW$4:CW$20),$G306:$W306)</f>
        <v>140</v>
      </c>
      <c r="CX306" s="93" cm="1">
        <f t="array" ref="CX306">SUMPRODUCT(TRANSPOSE(CX$4:CX$20),$G306:$W306)</f>
        <v>140</v>
      </c>
      <c r="CY306" s="93" cm="1">
        <f t="array" ref="CY306">SUMPRODUCT(TRANSPOSE(CY$4:CY$20),$G306:$W306)</f>
        <v>140</v>
      </c>
      <c r="CZ306" s="93" cm="1">
        <f t="array" ref="CZ306">SUMPRODUCT(TRANSPOSE(CZ$4:CZ$20),$G306:$W306)</f>
        <v>70</v>
      </c>
      <c r="DA306" s="93" cm="1">
        <f t="array" ref="DA306">SUMPRODUCT(TRANSPOSE(DA$4:DA$20),$G306:$W306)</f>
        <v>0</v>
      </c>
      <c r="DB306" s="93" cm="1">
        <f t="array" ref="DB306">SUMPRODUCT(TRANSPOSE(DB$4:DB$20),$G306:$W306)</f>
        <v>0</v>
      </c>
      <c r="DC306" s="93" cm="1">
        <f t="array" ref="DC306">SUMPRODUCT(TRANSPOSE(DC$4:DC$20),$G306:$W306)</f>
        <v>0</v>
      </c>
      <c r="DD306" s="93" cm="1">
        <f t="array" ref="DD306">SUMPRODUCT(TRANSPOSE(DD$4:DD$20),$G306:$W306)</f>
        <v>0</v>
      </c>
      <c r="DE306" s="93" cm="1">
        <f t="array" ref="DE306">SUMPRODUCT(TRANSPOSE(DE$4:DE$20),$G306:$W306)</f>
        <v>0</v>
      </c>
      <c r="DF306" s="93" cm="1">
        <f t="array" ref="DF306">SUMPRODUCT(TRANSPOSE(DF$4:DF$20),$G306:$W306)</f>
        <v>0</v>
      </c>
      <c r="DG306" s="93" cm="1">
        <f t="array" ref="DG306">SUMPRODUCT(TRANSPOSE(DG$4:DG$20),$G306:$W306)</f>
        <v>0</v>
      </c>
      <c r="DH306" s="93" cm="1">
        <f t="array" ref="DH306">SUMPRODUCT(TRANSPOSE(DH$4:DH$20),$G306:$W306)</f>
        <v>0</v>
      </c>
      <c r="DI306" s="93" cm="1">
        <f t="array" ref="DI306">SUMPRODUCT(TRANSPOSE(DI$4:DI$20),$G306:$W306)</f>
        <v>0</v>
      </c>
      <c r="DJ306" s="93" cm="1">
        <f t="array" ref="DJ306">SUMPRODUCT(TRANSPOSE(DJ$4:DJ$20),$G306:$W306)</f>
        <v>0</v>
      </c>
      <c r="DK306" s="93" cm="1">
        <f t="array" ref="DK306">SUMPRODUCT(TRANSPOSE(DK$4:DK$20),$G306:$W306)</f>
        <v>0</v>
      </c>
      <c r="DL306" s="93" cm="1">
        <f t="array" ref="DL306">SUMPRODUCT(TRANSPOSE(DL$4:DL$20),$G306:$W306)</f>
        <v>0</v>
      </c>
      <c r="DM306" s="93" cm="1">
        <f t="array" ref="DM306">SUMPRODUCT(TRANSPOSE(DM$4:DM$20),$G306:$W306)</f>
        <v>0</v>
      </c>
      <c r="DN306" s="93" cm="1">
        <f t="array" ref="DN306">SUMPRODUCT(TRANSPOSE(DN$4:DN$20),$G306:$W306)</f>
        <v>0</v>
      </c>
      <c r="DO306" s="93" cm="1">
        <f t="array" ref="DO306">SUMPRODUCT(TRANSPOSE(DO$4:DO$20),$G306:$W306)</f>
        <v>0</v>
      </c>
    </row>
    <row r="307" spans="1:119" x14ac:dyDescent="0.2">
      <c r="A307" s="45">
        <f t="shared" si="30"/>
        <v>286</v>
      </c>
      <c r="B307" s="46" t="s">
        <v>689</v>
      </c>
      <c r="C307" s="45">
        <v>409729294</v>
      </c>
      <c r="D307" s="45" t="s">
        <v>690</v>
      </c>
      <c r="E307" s="45" t="s">
        <v>162</v>
      </c>
      <c r="F307" s="48">
        <v>2</v>
      </c>
      <c r="G307" s="100">
        <v>0</v>
      </c>
      <c r="H307" s="100">
        <v>0</v>
      </c>
      <c r="I307" s="100">
        <v>0</v>
      </c>
      <c r="J307" s="100">
        <v>0</v>
      </c>
      <c r="K307" s="100">
        <v>0</v>
      </c>
      <c r="L307" s="100">
        <v>0</v>
      </c>
      <c r="M307" s="100">
        <v>0</v>
      </c>
      <c r="N307" s="100">
        <v>0</v>
      </c>
      <c r="O307" s="100">
        <v>0</v>
      </c>
      <c r="P307" s="100">
        <v>0</v>
      </c>
      <c r="Q307" s="100">
        <v>34</v>
      </c>
      <c r="R307" s="100">
        <v>0</v>
      </c>
      <c r="S307" s="100">
        <v>0</v>
      </c>
      <c r="T307" s="100">
        <v>0</v>
      </c>
      <c r="U307" s="100">
        <v>0</v>
      </c>
      <c r="V307" s="100">
        <v>0</v>
      </c>
      <c r="W307" s="100">
        <v>0</v>
      </c>
      <c r="X307" s="45" t="s">
        <v>61</v>
      </c>
      <c r="Y307" s="49">
        <v>0.67</v>
      </c>
      <c r="Z307" s="45">
        <v>21000</v>
      </c>
      <c r="AA307" s="45">
        <v>0</v>
      </c>
      <c r="AB307" s="45">
        <v>0</v>
      </c>
      <c r="AC307" s="45">
        <v>0</v>
      </c>
      <c r="AD307" s="45">
        <v>0</v>
      </c>
      <c r="AE307" s="45">
        <v>0</v>
      </c>
      <c r="AF307" s="45">
        <v>0</v>
      </c>
      <c r="AG307" s="45">
        <v>0</v>
      </c>
      <c r="AH307" s="45">
        <v>0</v>
      </c>
      <c r="AI307" s="45">
        <v>0</v>
      </c>
      <c r="AJ307" s="45">
        <v>0</v>
      </c>
      <c r="AK307" s="45">
        <v>0</v>
      </c>
      <c r="AL307" s="45">
        <v>0</v>
      </c>
      <c r="AM307" s="45">
        <v>0</v>
      </c>
      <c r="AN307" s="45">
        <v>0</v>
      </c>
      <c r="AO307" s="45"/>
      <c r="AP307" s="45"/>
      <c r="AQ307" s="45"/>
      <c r="AR307" s="45"/>
      <c r="AS307" s="45"/>
      <c r="AT307" s="45"/>
      <c r="AU307" s="45"/>
      <c r="AV307" s="45"/>
      <c r="AW307" s="45"/>
      <c r="AX307" s="45"/>
      <c r="AY307" s="45"/>
      <c r="AZ307" s="45"/>
      <c r="BA307" s="45"/>
      <c r="BB307" s="45"/>
      <c r="BC307" s="45"/>
      <c r="BD307" s="93"/>
      <c r="BE307" s="93"/>
      <c r="BF307" s="93"/>
      <c r="BG307" s="93"/>
      <c r="BH307" s="93"/>
      <c r="BI307" s="93"/>
      <c r="BJ307" s="93"/>
      <c r="BK307" s="93">
        <f>SUM($Z307:AD307)-SUM($CM307:CQ307)</f>
        <v>19810</v>
      </c>
      <c r="BL307" s="93">
        <f>SUM($Z307:AE307)-SUM($CM307:CR307)</f>
        <v>18620</v>
      </c>
      <c r="BM307" s="93">
        <f>SUM($Z307:AF307)-SUM($CM307:CS307)</f>
        <v>17430</v>
      </c>
      <c r="BN307" s="93">
        <f>SUM($Z307:AG307)-SUM($CM307:CT307)</f>
        <v>16410</v>
      </c>
      <c r="BO307" s="93">
        <f>SUM($Z307:AH307)-SUM($CM307:CU307)</f>
        <v>15390</v>
      </c>
      <c r="BP307" s="93">
        <f>SUM($Z307:AI307)-SUM($CM307:CV307)</f>
        <v>14370</v>
      </c>
      <c r="BQ307" s="93">
        <f>SUM($Z307:AJ307)-SUM($CM307:CW307)</f>
        <v>13350</v>
      </c>
      <c r="BR307" s="93">
        <f>SUM($Z307:AK307)-SUM($CM307:CX307)</f>
        <v>12330</v>
      </c>
      <c r="BS307" s="93">
        <f>SUM($Z307:AL307)-SUM($CM307:CY307)</f>
        <v>11310</v>
      </c>
      <c r="BT307" s="93">
        <f>SUM($Z307:AM307)-SUM($CM307:CZ307)</f>
        <v>10290</v>
      </c>
      <c r="BU307" s="93">
        <f>SUM($Z307:AN307)-SUM($CM307:DA307)</f>
        <v>9270</v>
      </c>
      <c r="BV307" s="93">
        <f>SUM($Z307:AO307)-SUM($CM307:DB307)</f>
        <v>8794</v>
      </c>
      <c r="BW307" s="93">
        <f>SUM($Z307:AP307)-SUM($CM307:DC307)</f>
        <v>8794</v>
      </c>
      <c r="BX307" s="93">
        <f>SUM($Z307:AQ307)-SUM($CM307:DD307)</f>
        <v>8794</v>
      </c>
      <c r="BY307" s="93">
        <f>SUM($Z307:AR307)-SUM($CM307:DE307)</f>
        <v>8794</v>
      </c>
      <c r="BZ307" s="93">
        <f>SUM($Z307:AS307)-SUM($CM307:DF307)</f>
        <v>8794</v>
      </c>
      <c r="CA307" s="93">
        <f>SUM($Z307:AT307)-SUM($CM307:DG307)</f>
        <v>8794</v>
      </c>
      <c r="CB307" s="93">
        <f>SUM($Z307:AU307)-SUM($CM307:DH307)</f>
        <v>8794</v>
      </c>
      <c r="CC307" s="93">
        <f>SUM($Z307:AV307)-SUM($CM307:DI307)</f>
        <v>8794</v>
      </c>
      <c r="CD307" s="93">
        <f>SUM($Z307:AW307)-SUM($CM307:DJ307)</f>
        <v>8794</v>
      </c>
      <c r="CE307" s="93">
        <f>SUM($Z307:AX307)-SUM($CM307:DK307)</f>
        <v>8794</v>
      </c>
      <c r="CF307" s="93">
        <f>SUM($Z307:AY307)-SUM($CM307:DL307)</f>
        <v>8794</v>
      </c>
      <c r="CG307" s="93">
        <f>SUM($Z307:AZ307)-SUM($CM307:DM307)</f>
        <v>8794</v>
      </c>
      <c r="CH307" s="93">
        <f>SUM($Z307:BA307)-SUM($CM307:DN307)</f>
        <v>8794</v>
      </c>
      <c r="CI307" s="93">
        <f>SUM($Z307:BB307)-SUM($CM307:DO307)</f>
        <v>8794</v>
      </c>
      <c r="CJ307" s="93"/>
      <c r="CK307" s="93"/>
      <c r="CL307" s="93"/>
      <c r="CM307" s="93"/>
      <c r="CN307" s="93" cm="1">
        <f t="array" ref="CN307">SUMPRODUCT(TRANSPOSE(CN$4:CN$20),$G307:$W307)</f>
        <v>0</v>
      </c>
      <c r="CO307" s="93" cm="1">
        <f t="array" ref="CO307">SUMPRODUCT(TRANSPOSE(CO$4:CO$20),$G307:$W307)</f>
        <v>0</v>
      </c>
      <c r="CP307" s="93" cm="1">
        <f t="array" ref="CP307">SUMPRODUCT(TRANSPOSE(CP$4:CP$20),$G307:$W307)</f>
        <v>0</v>
      </c>
      <c r="CQ307" s="93" cm="1">
        <f t="array" ref="CQ307">SUMPRODUCT(TRANSPOSE(CQ$4:CQ$20),$G307:$W307)</f>
        <v>1190</v>
      </c>
      <c r="CR307" s="93" cm="1">
        <f t="array" ref="CR307">SUMPRODUCT(TRANSPOSE(CR$4:CR$20),$G307:$W307)</f>
        <v>1190</v>
      </c>
      <c r="CS307" s="93" cm="1">
        <f t="array" ref="CS307">SUMPRODUCT(TRANSPOSE(CS$4:CS$20),$G307:$W307)</f>
        <v>1190</v>
      </c>
      <c r="CT307" s="93" cm="1">
        <f t="array" ref="CT307">SUMPRODUCT(TRANSPOSE(CT$4:CT$20),$G307:$W307)</f>
        <v>1020</v>
      </c>
      <c r="CU307" s="93" cm="1">
        <f t="array" ref="CU307">SUMPRODUCT(TRANSPOSE(CU$4:CU$20),$G307:$W307)</f>
        <v>1020</v>
      </c>
      <c r="CV307" s="93" cm="1">
        <f t="array" ref="CV307">SUMPRODUCT(TRANSPOSE(CV$4:CV$20),$G307:$W307)</f>
        <v>1020</v>
      </c>
      <c r="CW307" s="93" cm="1">
        <f t="array" ref="CW307">SUMPRODUCT(TRANSPOSE(CW$4:CW$20),$G307:$W307)</f>
        <v>1020</v>
      </c>
      <c r="CX307" s="93" cm="1">
        <f t="array" ref="CX307">SUMPRODUCT(TRANSPOSE(CX$4:CX$20),$G307:$W307)</f>
        <v>1020</v>
      </c>
      <c r="CY307" s="93" cm="1">
        <f t="array" ref="CY307">SUMPRODUCT(TRANSPOSE(CY$4:CY$20),$G307:$W307)</f>
        <v>1020</v>
      </c>
      <c r="CZ307" s="93" cm="1">
        <f t="array" ref="CZ307">SUMPRODUCT(TRANSPOSE(CZ$4:CZ$20),$G307:$W307)</f>
        <v>1020</v>
      </c>
      <c r="DA307" s="93" cm="1">
        <f t="array" ref="DA307">SUMPRODUCT(TRANSPOSE(DA$4:DA$20),$G307:$W307)</f>
        <v>1020</v>
      </c>
      <c r="DB307" s="93" cm="1">
        <f t="array" ref="DB307">SUMPRODUCT(TRANSPOSE(DB$4:DB$20),$G307:$W307)</f>
        <v>476</v>
      </c>
      <c r="DC307" s="93" cm="1">
        <f t="array" ref="DC307">SUMPRODUCT(TRANSPOSE(DC$4:DC$20),$G307:$W307)</f>
        <v>0</v>
      </c>
      <c r="DD307" s="93" cm="1">
        <f t="array" ref="DD307">SUMPRODUCT(TRANSPOSE(DD$4:DD$20),$G307:$W307)</f>
        <v>0</v>
      </c>
      <c r="DE307" s="93" cm="1">
        <f t="array" ref="DE307">SUMPRODUCT(TRANSPOSE(DE$4:DE$20),$G307:$W307)</f>
        <v>0</v>
      </c>
      <c r="DF307" s="93" cm="1">
        <f t="array" ref="DF307">SUMPRODUCT(TRANSPOSE(DF$4:DF$20),$G307:$W307)</f>
        <v>0</v>
      </c>
      <c r="DG307" s="93" cm="1">
        <f t="array" ref="DG307">SUMPRODUCT(TRANSPOSE(DG$4:DG$20),$G307:$W307)</f>
        <v>0</v>
      </c>
      <c r="DH307" s="93" cm="1">
        <f t="array" ref="DH307">SUMPRODUCT(TRANSPOSE(DH$4:DH$20),$G307:$W307)</f>
        <v>0</v>
      </c>
      <c r="DI307" s="93" cm="1">
        <f t="array" ref="DI307">SUMPRODUCT(TRANSPOSE(DI$4:DI$20),$G307:$W307)</f>
        <v>0</v>
      </c>
      <c r="DJ307" s="93" cm="1">
        <f t="array" ref="DJ307">SUMPRODUCT(TRANSPOSE(DJ$4:DJ$20),$G307:$W307)</f>
        <v>0</v>
      </c>
      <c r="DK307" s="93" cm="1">
        <f t="array" ref="DK307">SUMPRODUCT(TRANSPOSE(DK$4:DK$20),$G307:$W307)</f>
        <v>0</v>
      </c>
      <c r="DL307" s="93" cm="1">
        <f t="array" ref="DL307">SUMPRODUCT(TRANSPOSE(DL$4:DL$20),$G307:$W307)</f>
        <v>0</v>
      </c>
      <c r="DM307" s="93" cm="1">
        <f t="array" ref="DM307">SUMPRODUCT(TRANSPOSE(DM$4:DM$20),$G307:$W307)</f>
        <v>0</v>
      </c>
      <c r="DN307" s="93" cm="1">
        <f t="array" ref="DN307">SUMPRODUCT(TRANSPOSE(DN$4:DN$20),$G307:$W307)</f>
        <v>0</v>
      </c>
      <c r="DO307" s="93" cm="1">
        <f t="array" ref="DO307">SUMPRODUCT(TRANSPOSE(DO$4:DO$20),$G307:$W307)</f>
        <v>0</v>
      </c>
    </row>
    <row r="308" spans="1:119" x14ac:dyDescent="0.2">
      <c r="A308" s="45">
        <f t="shared" si="30"/>
        <v>287</v>
      </c>
      <c r="B308" s="46" t="s">
        <v>691</v>
      </c>
      <c r="C308" s="45" t="s">
        <v>692</v>
      </c>
      <c r="D308" s="45" t="s">
        <v>693</v>
      </c>
      <c r="E308" s="45" t="s">
        <v>162</v>
      </c>
      <c r="F308" s="48">
        <v>2</v>
      </c>
      <c r="G308" s="100">
        <v>0</v>
      </c>
      <c r="H308" s="100">
        <v>0</v>
      </c>
      <c r="I308" s="100">
        <v>0</v>
      </c>
      <c r="J308" s="100">
        <v>0</v>
      </c>
      <c r="K308" s="100">
        <v>0</v>
      </c>
      <c r="L308" s="100">
        <v>0</v>
      </c>
      <c r="M308" s="100">
        <v>0</v>
      </c>
      <c r="N308" s="100">
        <v>0</v>
      </c>
      <c r="O308" s="100">
        <v>0</v>
      </c>
      <c r="P308" s="100">
        <v>0</v>
      </c>
      <c r="Q308" s="100">
        <v>0</v>
      </c>
      <c r="R308" s="100">
        <v>0</v>
      </c>
      <c r="S308" s="100">
        <v>0</v>
      </c>
      <c r="T308" s="100">
        <v>0</v>
      </c>
      <c r="U308" s="100">
        <v>0</v>
      </c>
      <c r="V308" s="100">
        <v>0</v>
      </c>
      <c r="W308" s="100">
        <v>0</v>
      </c>
      <c r="X308" s="45" t="s">
        <v>61</v>
      </c>
      <c r="Y308" s="53">
        <v>5.5E-2</v>
      </c>
      <c r="Z308" s="45">
        <v>3000</v>
      </c>
      <c r="AA308" s="45">
        <v>0</v>
      </c>
      <c r="AB308" s="45">
        <v>0</v>
      </c>
      <c r="AC308" s="45">
        <v>0</v>
      </c>
      <c r="AD308" s="45">
        <v>0</v>
      </c>
      <c r="AE308" s="45">
        <v>0</v>
      </c>
      <c r="AF308" s="45">
        <v>0</v>
      </c>
      <c r="AG308" s="45">
        <v>0</v>
      </c>
      <c r="AH308" s="45">
        <v>0</v>
      </c>
      <c r="AI308" s="45">
        <v>0</v>
      </c>
      <c r="AJ308" s="45">
        <v>0</v>
      </c>
      <c r="AK308" s="45">
        <v>0</v>
      </c>
      <c r="AL308" s="45">
        <v>0</v>
      </c>
      <c r="AM308" s="45">
        <v>0</v>
      </c>
      <c r="AN308" s="45">
        <v>0</v>
      </c>
      <c r="AO308" s="45"/>
      <c r="AP308" s="45"/>
      <c r="AQ308" s="45"/>
      <c r="AR308" s="45"/>
      <c r="AS308" s="45"/>
      <c r="AT308" s="45"/>
      <c r="AU308" s="45"/>
      <c r="AV308" s="45"/>
      <c r="AW308" s="45"/>
      <c r="AX308" s="45"/>
      <c r="AY308" s="45"/>
      <c r="AZ308" s="45"/>
      <c r="BA308" s="45"/>
      <c r="BB308" s="45"/>
      <c r="BC308" s="45"/>
      <c r="BD308" s="93"/>
      <c r="BE308" s="93"/>
      <c r="BF308" s="93"/>
      <c r="BG308" s="93"/>
      <c r="BH308" s="93"/>
      <c r="BI308" s="93"/>
      <c r="BJ308" s="93"/>
      <c r="BK308" s="93">
        <f>SUM($Z308:AD308)-SUM($CM308:CQ308)</f>
        <v>3000</v>
      </c>
      <c r="BL308" s="93">
        <f>SUM($Z308:AE308)-SUM($CM308:CR308)</f>
        <v>3000</v>
      </c>
      <c r="BM308" s="93">
        <f>SUM($Z308:AF308)-SUM($CM308:CS308)</f>
        <v>3000</v>
      </c>
      <c r="BN308" s="93">
        <f>SUM($Z308:AG308)-SUM($CM308:CT308)</f>
        <v>3000</v>
      </c>
      <c r="BO308" s="93">
        <f>SUM($Z308:AH308)-SUM($CM308:CU308)</f>
        <v>3000</v>
      </c>
      <c r="BP308" s="93">
        <f>SUM($Z308:AI308)-SUM($CM308:CV308)</f>
        <v>3000</v>
      </c>
      <c r="BQ308" s="93">
        <f>SUM($Z308:AJ308)-SUM($CM308:CW308)</f>
        <v>3000</v>
      </c>
      <c r="BR308" s="93">
        <f>SUM($Z308:AK308)-SUM($CM308:CX308)</f>
        <v>3000</v>
      </c>
      <c r="BS308" s="93">
        <f>SUM($Z308:AL308)-SUM($CM308:CY308)</f>
        <v>3000</v>
      </c>
      <c r="BT308" s="93">
        <f>SUM($Z308:AM308)-SUM($CM308:CZ308)</f>
        <v>3000</v>
      </c>
      <c r="BU308" s="93">
        <f>SUM($Z308:AN308)-SUM($CM308:DA308)</f>
        <v>3000</v>
      </c>
      <c r="BV308" s="93">
        <f>SUM($Z308:AO308)-SUM($CM308:DB308)</f>
        <v>3000</v>
      </c>
      <c r="BW308" s="93">
        <f>SUM($Z308:AP308)-SUM($CM308:DC308)</f>
        <v>3000</v>
      </c>
      <c r="BX308" s="93">
        <f>SUM($Z308:AQ308)-SUM($CM308:DD308)</f>
        <v>3000</v>
      </c>
      <c r="BY308" s="93">
        <f>SUM($Z308:AR308)-SUM($CM308:DE308)</f>
        <v>3000</v>
      </c>
      <c r="BZ308" s="93">
        <f>SUM($Z308:AS308)-SUM($CM308:DF308)</f>
        <v>3000</v>
      </c>
      <c r="CA308" s="93">
        <f>SUM($Z308:AT308)-SUM($CM308:DG308)</f>
        <v>3000</v>
      </c>
      <c r="CB308" s="93">
        <f>SUM($Z308:AU308)-SUM($CM308:DH308)</f>
        <v>3000</v>
      </c>
      <c r="CC308" s="93">
        <f>SUM($Z308:AV308)-SUM($CM308:DI308)</f>
        <v>3000</v>
      </c>
      <c r="CD308" s="93">
        <f>SUM($Z308:AW308)-SUM($CM308:DJ308)</f>
        <v>3000</v>
      </c>
      <c r="CE308" s="93">
        <f>SUM($Z308:AX308)-SUM($CM308:DK308)</f>
        <v>3000</v>
      </c>
      <c r="CF308" s="93">
        <f>SUM($Z308:AY308)-SUM($CM308:DL308)</f>
        <v>3000</v>
      </c>
      <c r="CG308" s="93">
        <f>SUM($Z308:AZ308)-SUM($CM308:DM308)</f>
        <v>3000</v>
      </c>
      <c r="CH308" s="93">
        <f>SUM($Z308:BA308)-SUM($CM308:DN308)</f>
        <v>3000</v>
      </c>
      <c r="CI308" s="93">
        <f>SUM($Z308:BB308)-SUM($CM308:DO308)</f>
        <v>3000</v>
      </c>
      <c r="CJ308" s="93"/>
      <c r="CK308" s="93"/>
      <c r="CL308" s="93"/>
      <c r="CM308" s="93"/>
      <c r="CN308" s="93" cm="1">
        <f t="array" ref="CN308">SUMPRODUCT(TRANSPOSE(CN$4:CN$20),$G308:$W308)</f>
        <v>0</v>
      </c>
      <c r="CO308" s="93" cm="1">
        <f t="array" ref="CO308">SUMPRODUCT(TRANSPOSE(CO$4:CO$20),$G308:$W308)</f>
        <v>0</v>
      </c>
      <c r="CP308" s="93" cm="1">
        <f t="array" ref="CP308">SUMPRODUCT(TRANSPOSE(CP$4:CP$20),$G308:$W308)</f>
        <v>0</v>
      </c>
      <c r="CQ308" s="93" cm="1">
        <f t="array" ref="CQ308">SUMPRODUCT(TRANSPOSE(CQ$4:CQ$20),$G308:$W308)</f>
        <v>0</v>
      </c>
      <c r="CR308" s="93" cm="1">
        <f t="array" ref="CR308">SUMPRODUCT(TRANSPOSE(CR$4:CR$20),$G308:$W308)</f>
        <v>0</v>
      </c>
      <c r="CS308" s="93" cm="1">
        <f t="array" ref="CS308">SUMPRODUCT(TRANSPOSE(CS$4:CS$20),$G308:$W308)</f>
        <v>0</v>
      </c>
      <c r="CT308" s="93" cm="1">
        <f t="array" ref="CT308">SUMPRODUCT(TRANSPOSE(CT$4:CT$20),$G308:$W308)</f>
        <v>0</v>
      </c>
      <c r="CU308" s="93" cm="1">
        <f t="array" ref="CU308">SUMPRODUCT(TRANSPOSE(CU$4:CU$20),$G308:$W308)</f>
        <v>0</v>
      </c>
      <c r="CV308" s="93" cm="1">
        <f t="array" ref="CV308">SUMPRODUCT(TRANSPOSE(CV$4:CV$20),$G308:$W308)</f>
        <v>0</v>
      </c>
      <c r="CW308" s="93" cm="1">
        <f t="array" ref="CW308">SUMPRODUCT(TRANSPOSE(CW$4:CW$20),$G308:$W308)</f>
        <v>0</v>
      </c>
      <c r="CX308" s="93" cm="1">
        <f t="array" ref="CX308">SUMPRODUCT(TRANSPOSE(CX$4:CX$20),$G308:$W308)</f>
        <v>0</v>
      </c>
      <c r="CY308" s="93" cm="1">
        <f t="array" ref="CY308">SUMPRODUCT(TRANSPOSE(CY$4:CY$20),$G308:$W308)</f>
        <v>0</v>
      </c>
      <c r="CZ308" s="93" cm="1">
        <f t="array" ref="CZ308">SUMPRODUCT(TRANSPOSE(CZ$4:CZ$20),$G308:$W308)</f>
        <v>0</v>
      </c>
      <c r="DA308" s="93" cm="1">
        <f t="array" ref="DA308">SUMPRODUCT(TRANSPOSE(DA$4:DA$20),$G308:$W308)</f>
        <v>0</v>
      </c>
      <c r="DB308" s="93" cm="1">
        <f t="array" ref="DB308">SUMPRODUCT(TRANSPOSE(DB$4:DB$20),$G308:$W308)</f>
        <v>0</v>
      </c>
      <c r="DC308" s="93" cm="1">
        <f t="array" ref="DC308">SUMPRODUCT(TRANSPOSE(DC$4:DC$20),$G308:$W308)</f>
        <v>0</v>
      </c>
      <c r="DD308" s="93" cm="1">
        <f t="array" ref="DD308">SUMPRODUCT(TRANSPOSE(DD$4:DD$20),$G308:$W308)</f>
        <v>0</v>
      </c>
      <c r="DE308" s="93" cm="1">
        <f t="array" ref="DE308">SUMPRODUCT(TRANSPOSE(DE$4:DE$20),$G308:$W308)</f>
        <v>0</v>
      </c>
      <c r="DF308" s="93" cm="1">
        <f t="array" ref="DF308">SUMPRODUCT(TRANSPOSE(DF$4:DF$20),$G308:$W308)</f>
        <v>0</v>
      </c>
      <c r="DG308" s="93" cm="1">
        <f t="array" ref="DG308">SUMPRODUCT(TRANSPOSE(DG$4:DG$20),$G308:$W308)</f>
        <v>0</v>
      </c>
      <c r="DH308" s="93" cm="1">
        <f t="array" ref="DH308">SUMPRODUCT(TRANSPOSE(DH$4:DH$20),$G308:$W308)</f>
        <v>0</v>
      </c>
      <c r="DI308" s="93" cm="1">
        <f t="array" ref="DI308">SUMPRODUCT(TRANSPOSE(DI$4:DI$20),$G308:$W308)</f>
        <v>0</v>
      </c>
      <c r="DJ308" s="93" cm="1">
        <f t="array" ref="DJ308">SUMPRODUCT(TRANSPOSE(DJ$4:DJ$20),$G308:$W308)</f>
        <v>0</v>
      </c>
      <c r="DK308" s="93" cm="1">
        <f t="array" ref="DK308">SUMPRODUCT(TRANSPOSE(DK$4:DK$20),$G308:$W308)</f>
        <v>0</v>
      </c>
      <c r="DL308" s="93" cm="1">
        <f t="array" ref="DL308">SUMPRODUCT(TRANSPOSE(DL$4:DL$20),$G308:$W308)</f>
        <v>0</v>
      </c>
      <c r="DM308" s="93" cm="1">
        <f t="array" ref="DM308">SUMPRODUCT(TRANSPOSE(DM$4:DM$20),$G308:$W308)</f>
        <v>0</v>
      </c>
      <c r="DN308" s="93" cm="1">
        <f t="array" ref="DN308">SUMPRODUCT(TRANSPOSE(DN$4:DN$20),$G308:$W308)</f>
        <v>0</v>
      </c>
      <c r="DO308" s="93" cm="1">
        <f t="array" ref="DO308">SUMPRODUCT(TRANSPOSE(DO$4:DO$20),$G308:$W308)</f>
        <v>0</v>
      </c>
    </row>
    <row r="309" spans="1:119" x14ac:dyDescent="0.2">
      <c r="A309" s="45">
        <f t="shared" si="30"/>
        <v>288</v>
      </c>
      <c r="B309" s="51" t="s">
        <v>694</v>
      </c>
      <c r="C309" s="45">
        <v>400620323</v>
      </c>
      <c r="D309" s="45" t="s">
        <v>695</v>
      </c>
      <c r="E309" s="45" t="s">
        <v>162</v>
      </c>
      <c r="F309" s="48">
        <v>2</v>
      </c>
      <c r="G309" s="100">
        <v>0</v>
      </c>
      <c r="H309" s="100">
        <v>0</v>
      </c>
      <c r="I309" s="100">
        <v>0</v>
      </c>
      <c r="J309" s="100">
        <v>0</v>
      </c>
      <c r="K309" s="100">
        <v>0</v>
      </c>
      <c r="L309" s="100">
        <v>0</v>
      </c>
      <c r="M309" s="100">
        <v>0</v>
      </c>
      <c r="N309" s="100">
        <v>0</v>
      </c>
      <c r="O309" s="100">
        <v>0</v>
      </c>
      <c r="P309" s="100">
        <v>0</v>
      </c>
      <c r="Q309" s="100">
        <v>1</v>
      </c>
      <c r="R309" s="100">
        <v>0</v>
      </c>
      <c r="S309" s="100">
        <v>0</v>
      </c>
      <c r="T309" s="100">
        <v>0</v>
      </c>
      <c r="U309" s="100">
        <v>0</v>
      </c>
      <c r="V309" s="100">
        <v>0</v>
      </c>
      <c r="W309" s="100">
        <v>0</v>
      </c>
      <c r="X309" s="45" t="s">
        <v>64</v>
      </c>
      <c r="Y309" s="49">
        <v>8.2000000000000003E-2</v>
      </c>
      <c r="Z309" s="45">
        <v>539</v>
      </c>
      <c r="AA309" s="45">
        <v>0</v>
      </c>
      <c r="AB309" s="45">
        <v>0</v>
      </c>
      <c r="AC309" s="45">
        <v>0</v>
      </c>
      <c r="AD309" s="45">
        <v>0</v>
      </c>
      <c r="AE309" s="45">
        <v>0</v>
      </c>
      <c r="AF309" s="45">
        <v>0</v>
      </c>
      <c r="AG309" s="45">
        <v>0</v>
      </c>
      <c r="AH309" s="45">
        <v>0</v>
      </c>
      <c r="AI309" s="45">
        <v>0</v>
      </c>
      <c r="AJ309" s="45">
        <v>0</v>
      </c>
      <c r="AK309" s="45">
        <v>0</v>
      </c>
      <c r="AL309" s="45">
        <v>0</v>
      </c>
      <c r="AM309" s="45">
        <v>0</v>
      </c>
      <c r="AN309" s="45">
        <v>0</v>
      </c>
      <c r="AO309" s="45"/>
      <c r="AP309" s="45"/>
      <c r="AQ309" s="45"/>
      <c r="AR309" s="45"/>
      <c r="AS309" s="45"/>
      <c r="AT309" s="45"/>
      <c r="AU309" s="45"/>
      <c r="AV309" s="45"/>
      <c r="AW309" s="45"/>
      <c r="AX309" s="45"/>
      <c r="AY309" s="45"/>
      <c r="AZ309" s="45"/>
      <c r="BA309" s="45"/>
      <c r="BB309" s="45"/>
      <c r="BC309" s="45"/>
      <c r="BD309" s="93"/>
      <c r="BE309" s="93"/>
      <c r="BF309" s="93"/>
      <c r="BG309" s="93"/>
      <c r="BH309" s="93"/>
      <c r="BI309" s="93"/>
      <c r="BJ309" s="93"/>
      <c r="BK309" s="93">
        <f>SUM($Z309:AD309)-SUM($CM309:CQ309)</f>
        <v>504</v>
      </c>
      <c r="BL309" s="93">
        <f>SUM($Z309:AE309)-SUM($CM309:CR309)</f>
        <v>469</v>
      </c>
      <c r="BM309" s="93">
        <f>SUM($Z309:AF309)-SUM($CM309:CS309)</f>
        <v>434</v>
      </c>
      <c r="BN309" s="93">
        <f>SUM($Z309:AG309)-SUM($CM309:CT309)</f>
        <v>404</v>
      </c>
      <c r="BO309" s="93">
        <f>SUM($Z309:AH309)-SUM($CM309:CU309)</f>
        <v>374</v>
      </c>
      <c r="BP309" s="93">
        <f>SUM($Z309:AI309)-SUM($CM309:CV309)</f>
        <v>344</v>
      </c>
      <c r="BQ309" s="93">
        <f>SUM($Z309:AJ309)-SUM($CM309:CW309)</f>
        <v>314</v>
      </c>
      <c r="BR309" s="93">
        <f>SUM($Z309:AK309)-SUM($CM309:CX309)</f>
        <v>284</v>
      </c>
      <c r="BS309" s="93">
        <f>SUM($Z309:AL309)-SUM($CM309:CY309)</f>
        <v>254</v>
      </c>
      <c r="BT309" s="93">
        <f>SUM($Z309:AM309)-SUM($CM309:CZ309)</f>
        <v>224</v>
      </c>
      <c r="BU309" s="93">
        <f>SUM($Z309:AN309)-SUM($CM309:DA309)</f>
        <v>194</v>
      </c>
      <c r="BV309" s="93">
        <f>SUM($Z309:AO309)-SUM($CM309:DB309)</f>
        <v>180</v>
      </c>
      <c r="BW309" s="93">
        <f>SUM($Z309:AP309)-SUM($CM309:DC309)</f>
        <v>180</v>
      </c>
      <c r="BX309" s="93">
        <f>SUM($Z309:AQ309)-SUM($CM309:DD309)</f>
        <v>180</v>
      </c>
      <c r="BY309" s="93">
        <f>SUM($Z309:AR309)-SUM($CM309:DE309)</f>
        <v>180</v>
      </c>
      <c r="BZ309" s="93">
        <f>SUM($Z309:AS309)-SUM($CM309:DF309)</f>
        <v>180</v>
      </c>
      <c r="CA309" s="93">
        <f>SUM($Z309:AT309)-SUM($CM309:DG309)</f>
        <v>180</v>
      </c>
      <c r="CB309" s="93">
        <f>SUM($Z309:AU309)-SUM($CM309:DH309)</f>
        <v>180</v>
      </c>
      <c r="CC309" s="93">
        <f>SUM($Z309:AV309)-SUM($CM309:DI309)</f>
        <v>180</v>
      </c>
      <c r="CD309" s="93">
        <f>SUM($Z309:AW309)-SUM($CM309:DJ309)</f>
        <v>180</v>
      </c>
      <c r="CE309" s="93">
        <f>SUM($Z309:AX309)-SUM($CM309:DK309)</f>
        <v>180</v>
      </c>
      <c r="CF309" s="93">
        <f>SUM($Z309:AY309)-SUM($CM309:DL309)</f>
        <v>180</v>
      </c>
      <c r="CG309" s="93">
        <f>SUM($Z309:AZ309)-SUM($CM309:DM309)</f>
        <v>180</v>
      </c>
      <c r="CH309" s="93">
        <f>SUM($Z309:BA309)-SUM($CM309:DN309)</f>
        <v>180</v>
      </c>
      <c r="CI309" s="93">
        <f>SUM($Z309:BB309)-SUM($CM309:DO309)</f>
        <v>180</v>
      </c>
      <c r="CJ309" s="93"/>
      <c r="CK309" s="93"/>
      <c r="CL309" s="93"/>
      <c r="CM309" s="93"/>
      <c r="CN309" s="93" cm="1">
        <f t="array" ref="CN309">SUMPRODUCT(TRANSPOSE(CN$4:CN$20),$G309:$W309)</f>
        <v>0</v>
      </c>
      <c r="CO309" s="93" cm="1">
        <f t="array" ref="CO309">SUMPRODUCT(TRANSPOSE(CO$4:CO$20),$G309:$W309)</f>
        <v>0</v>
      </c>
      <c r="CP309" s="93" cm="1">
        <f t="array" ref="CP309">SUMPRODUCT(TRANSPOSE(CP$4:CP$20),$G309:$W309)</f>
        <v>0</v>
      </c>
      <c r="CQ309" s="93" cm="1">
        <f t="array" ref="CQ309">SUMPRODUCT(TRANSPOSE(CQ$4:CQ$20),$G309:$W309)</f>
        <v>35</v>
      </c>
      <c r="CR309" s="93" cm="1">
        <f t="array" ref="CR309">SUMPRODUCT(TRANSPOSE(CR$4:CR$20),$G309:$W309)</f>
        <v>35</v>
      </c>
      <c r="CS309" s="93" cm="1">
        <f t="array" ref="CS309">SUMPRODUCT(TRANSPOSE(CS$4:CS$20),$G309:$W309)</f>
        <v>35</v>
      </c>
      <c r="CT309" s="93" cm="1">
        <f t="array" ref="CT309">SUMPRODUCT(TRANSPOSE(CT$4:CT$20),$G309:$W309)</f>
        <v>30</v>
      </c>
      <c r="CU309" s="93" cm="1">
        <f t="array" ref="CU309">SUMPRODUCT(TRANSPOSE(CU$4:CU$20),$G309:$W309)</f>
        <v>30</v>
      </c>
      <c r="CV309" s="93" cm="1">
        <f t="array" ref="CV309">SUMPRODUCT(TRANSPOSE(CV$4:CV$20),$G309:$W309)</f>
        <v>30</v>
      </c>
      <c r="CW309" s="93" cm="1">
        <f t="array" ref="CW309">SUMPRODUCT(TRANSPOSE(CW$4:CW$20),$G309:$W309)</f>
        <v>30</v>
      </c>
      <c r="CX309" s="93" cm="1">
        <f t="array" ref="CX309">SUMPRODUCT(TRANSPOSE(CX$4:CX$20),$G309:$W309)</f>
        <v>30</v>
      </c>
      <c r="CY309" s="93" cm="1">
        <f t="array" ref="CY309">SUMPRODUCT(TRANSPOSE(CY$4:CY$20),$G309:$W309)</f>
        <v>30</v>
      </c>
      <c r="CZ309" s="93" cm="1">
        <f t="array" ref="CZ309">SUMPRODUCT(TRANSPOSE(CZ$4:CZ$20),$G309:$W309)</f>
        <v>30</v>
      </c>
      <c r="DA309" s="93" cm="1">
        <f t="array" ref="DA309">SUMPRODUCT(TRANSPOSE(DA$4:DA$20),$G309:$W309)</f>
        <v>30</v>
      </c>
      <c r="DB309" s="93" cm="1">
        <f t="array" ref="DB309">SUMPRODUCT(TRANSPOSE(DB$4:DB$20),$G309:$W309)</f>
        <v>14</v>
      </c>
      <c r="DC309" s="93" cm="1">
        <f t="array" ref="DC309">SUMPRODUCT(TRANSPOSE(DC$4:DC$20),$G309:$W309)</f>
        <v>0</v>
      </c>
      <c r="DD309" s="93" cm="1">
        <f t="array" ref="DD309">SUMPRODUCT(TRANSPOSE(DD$4:DD$20),$G309:$W309)</f>
        <v>0</v>
      </c>
      <c r="DE309" s="93" cm="1">
        <f t="array" ref="DE309">SUMPRODUCT(TRANSPOSE(DE$4:DE$20),$G309:$W309)</f>
        <v>0</v>
      </c>
      <c r="DF309" s="93" cm="1">
        <f t="array" ref="DF309">SUMPRODUCT(TRANSPOSE(DF$4:DF$20),$G309:$W309)</f>
        <v>0</v>
      </c>
      <c r="DG309" s="93" cm="1">
        <f t="array" ref="DG309">SUMPRODUCT(TRANSPOSE(DG$4:DG$20),$G309:$W309)</f>
        <v>0</v>
      </c>
      <c r="DH309" s="93" cm="1">
        <f t="array" ref="DH309">SUMPRODUCT(TRANSPOSE(DH$4:DH$20),$G309:$W309)</f>
        <v>0</v>
      </c>
      <c r="DI309" s="93" cm="1">
        <f t="array" ref="DI309">SUMPRODUCT(TRANSPOSE(DI$4:DI$20),$G309:$W309)</f>
        <v>0</v>
      </c>
      <c r="DJ309" s="93" cm="1">
        <f t="array" ref="DJ309">SUMPRODUCT(TRANSPOSE(DJ$4:DJ$20),$G309:$W309)</f>
        <v>0</v>
      </c>
      <c r="DK309" s="93" cm="1">
        <f t="array" ref="DK309">SUMPRODUCT(TRANSPOSE(DK$4:DK$20),$G309:$W309)</f>
        <v>0</v>
      </c>
      <c r="DL309" s="93" cm="1">
        <f t="array" ref="DL309">SUMPRODUCT(TRANSPOSE(DL$4:DL$20),$G309:$W309)</f>
        <v>0</v>
      </c>
      <c r="DM309" s="93" cm="1">
        <f t="array" ref="DM309">SUMPRODUCT(TRANSPOSE(DM$4:DM$20),$G309:$W309)</f>
        <v>0</v>
      </c>
      <c r="DN309" s="93" cm="1">
        <f t="array" ref="DN309">SUMPRODUCT(TRANSPOSE(DN$4:DN$20),$G309:$W309)</f>
        <v>0</v>
      </c>
      <c r="DO309" s="93" cm="1">
        <f t="array" ref="DO309">SUMPRODUCT(TRANSPOSE(DO$4:DO$20),$G309:$W309)</f>
        <v>0</v>
      </c>
    </row>
    <row r="310" spans="1:119" x14ac:dyDescent="0.2">
      <c r="A310" s="45">
        <f t="shared" si="30"/>
        <v>289</v>
      </c>
      <c r="B310" s="46" t="s">
        <v>696</v>
      </c>
      <c r="C310" s="45">
        <v>401480774</v>
      </c>
      <c r="D310" s="45" t="s">
        <v>697</v>
      </c>
      <c r="E310" s="45" t="s">
        <v>162</v>
      </c>
      <c r="F310" s="48">
        <v>2</v>
      </c>
      <c r="G310" s="100">
        <v>0</v>
      </c>
      <c r="H310" s="100">
        <v>0</v>
      </c>
      <c r="I310" s="100">
        <v>0</v>
      </c>
      <c r="J310" s="100">
        <v>0</v>
      </c>
      <c r="K310" s="100">
        <v>0</v>
      </c>
      <c r="L310" s="100">
        <v>0</v>
      </c>
      <c r="M310" s="100">
        <v>0</v>
      </c>
      <c r="N310" s="100">
        <v>0</v>
      </c>
      <c r="O310" s="100">
        <v>0</v>
      </c>
      <c r="P310" s="100">
        <v>0</v>
      </c>
      <c r="Q310" s="100">
        <v>3</v>
      </c>
      <c r="R310" s="100">
        <v>0</v>
      </c>
      <c r="S310" s="100">
        <v>0</v>
      </c>
      <c r="T310" s="100">
        <v>0</v>
      </c>
      <c r="U310" s="100">
        <v>3</v>
      </c>
      <c r="V310" s="100">
        <v>0</v>
      </c>
      <c r="W310" s="100">
        <v>0</v>
      </c>
      <c r="X310" s="45" t="s">
        <v>61</v>
      </c>
      <c r="Y310" s="49">
        <v>6.6000000000000003E-2</v>
      </c>
      <c r="Z310" s="45">
        <v>3750</v>
      </c>
      <c r="AA310" s="45">
        <v>0</v>
      </c>
      <c r="AB310" s="45">
        <v>0</v>
      </c>
      <c r="AC310" s="45">
        <v>0</v>
      </c>
      <c r="AD310" s="45">
        <v>0</v>
      </c>
      <c r="AE310" s="45">
        <v>0</v>
      </c>
      <c r="AF310" s="45">
        <v>0</v>
      </c>
      <c r="AG310" s="45">
        <v>0</v>
      </c>
      <c r="AH310" s="45">
        <v>0</v>
      </c>
      <c r="AI310" s="45">
        <v>0</v>
      </c>
      <c r="AJ310" s="45">
        <v>0</v>
      </c>
      <c r="AK310" s="45">
        <v>0</v>
      </c>
      <c r="AL310" s="45">
        <v>0</v>
      </c>
      <c r="AM310" s="45">
        <v>0</v>
      </c>
      <c r="AN310" s="45">
        <v>0</v>
      </c>
      <c r="AO310" s="45"/>
      <c r="AP310" s="45"/>
      <c r="AQ310" s="45"/>
      <c r="AR310" s="45"/>
      <c r="AS310" s="45"/>
      <c r="AT310" s="45"/>
      <c r="AU310" s="45"/>
      <c r="AV310" s="45"/>
      <c r="AW310" s="45"/>
      <c r="AX310" s="45"/>
      <c r="AY310" s="45"/>
      <c r="AZ310" s="45"/>
      <c r="BA310" s="45"/>
      <c r="BB310" s="45"/>
      <c r="BC310" s="45"/>
      <c r="BD310" s="93"/>
      <c r="BE310" s="93"/>
      <c r="BF310" s="93"/>
      <c r="BG310" s="93"/>
      <c r="BH310" s="93"/>
      <c r="BI310" s="93"/>
      <c r="BJ310" s="93"/>
      <c r="BK310" s="93">
        <f>SUM($Z310:AD310)-SUM($CM310:CQ310)</f>
        <v>3516</v>
      </c>
      <c r="BL310" s="93">
        <f>SUM($Z310:AE310)-SUM($CM310:CR310)</f>
        <v>3306</v>
      </c>
      <c r="BM310" s="93">
        <f>SUM($Z310:AF310)-SUM($CM310:CS310)</f>
        <v>3111</v>
      </c>
      <c r="BN310" s="93">
        <f>SUM($Z310:AG310)-SUM($CM310:CT310)</f>
        <v>2931</v>
      </c>
      <c r="BO310" s="93">
        <f>SUM($Z310:AH310)-SUM($CM310:CU310)</f>
        <v>2751</v>
      </c>
      <c r="BP310" s="93">
        <f>SUM($Z310:AI310)-SUM($CM310:CV310)</f>
        <v>2571</v>
      </c>
      <c r="BQ310" s="93">
        <f>SUM($Z310:AJ310)-SUM($CM310:CW310)</f>
        <v>2391</v>
      </c>
      <c r="BR310" s="93">
        <f>SUM($Z310:AK310)-SUM($CM310:CX310)</f>
        <v>2211</v>
      </c>
      <c r="BS310" s="93">
        <f>SUM($Z310:AL310)-SUM($CM310:CY310)</f>
        <v>2031</v>
      </c>
      <c r="BT310" s="93">
        <f>SUM($Z310:AM310)-SUM($CM310:CZ310)</f>
        <v>1851</v>
      </c>
      <c r="BU310" s="93">
        <f>SUM($Z310:AN310)-SUM($CM310:DA310)</f>
        <v>1671</v>
      </c>
      <c r="BV310" s="93">
        <f>SUM($Z310:AO310)-SUM($CM310:DB310)</f>
        <v>1629</v>
      </c>
      <c r="BW310" s="93">
        <f>SUM($Z310:AP310)-SUM($CM310:DC310)</f>
        <v>1629</v>
      </c>
      <c r="BX310" s="93">
        <f>SUM($Z310:AQ310)-SUM($CM310:DD310)</f>
        <v>1629</v>
      </c>
      <c r="BY310" s="93">
        <f>SUM($Z310:AR310)-SUM($CM310:DE310)</f>
        <v>1629</v>
      </c>
      <c r="BZ310" s="93">
        <f>SUM($Z310:AS310)-SUM($CM310:DF310)</f>
        <v>1629</v>
      </c>
      <c r="CA310" s="93">
        <f>SUM($Z310:AT310)-SUM($CM310:DG310)</f>
        <v>1629</v>
      </c>
      <c r="CB310" s="93">
        <f>SUM($Z310:AU310)-SUM($CM310:DH310)</f>
        <v>1629</v>
      </c>
      <c r="CC310" s="93">
        <f>SUM($Z310:AV310)-SUM($CM310:DI310)</f>
        <v>1629</v>
      </c>
      <c r="CD310" s="93">
        <f>SUM($Z310:AW310)-SUM($CM310:DJ310)</f>
        <v>1629</v>
      </c>
      <c r="CE310" s="93">
        <f>SUM($Z310:AX310)-SUM($CM310:DK310)</f>
        <v>1629</v>
      </c>
      <c r="CF310" s="93">
        <f>SUM($Z310:AY310)-SUM($CM310:DL310)</f>
        <v>1629</v>
      </c>
      <c r="CG310" s="93">
        <f>SUM($Z310:AZ310)-SUM($CM310:DM310)</f>
        <v>1629</v>
      </c>
      <c r="CH310" s="93">
        <f>SUM($Z310:BA310)-SUM($CM310:DN310)</f>
        <v>1629</v>
      </c>
      <c r="CI310" s="93">
        <f>SUM($Z310:BB310)-SUM($CM310:DO310)</f>
        <v>1629</v>
      </c>
      <c r="CJ310" s="93"/>
      <c r="CK310" s="93"/>
      <c r="CL310" s="93"/>
      <c r="CM310" s="93"/>
      <c r="CN310" s="93" cm="1">
        <f t="array" ref="CN310">SUMPRODUCT(TRANSPOSE(CN$4:CN$20),$G310:$W310)</f>
        <v>0</v>
      </c>
      <c r="CO310" s="93" cm="1">
        <f t="array" ref="CO310">SUMPRODUCT(TRANSPOSE(CO$4:CO$20),$G310:$W310)</f>
        <v>0</v>
      </c>
      <c r="CP310" s="93" cm="1">
        <f t="array" ref="CP310">SUMPRODUCT(TRANSPOSE(CP$4:CP$20),$G310:$W310)</f>
        <v>0</v>
      </c>
      <c r="CQ310" s="93" cm="1">
        <f t="array" ref="CQ310">SUMPRODUCT(TRANSPOSE(CQ$4:CQ$20),$G310:$W310)</f>
        <v>234</v>
      </c>
      <c r="CR310" s="93" cm="1">
        <f t="array" ref="CR310">SUMPRODUCT(TRANSPOSE(CR$4:CR$20),$G310:$W310)</f>
        <v>210</v>
      </c>
      <c r="CS310" s="93" cm="1">
        <f t="array" ref="CS310">SUMPRODUCT(TRANSPOSE(CS$4:CS$20),$G310:$W310)</f>
        <v>195</v>
      </c>
      <c r="CT310" s="93" cm="1">
        <f t="array" ref="CT310">SUMPRODUCT(TRANSPOSE(CT$4:CT$20),$G310:$W310)</f>
        <v>180</v>
      </c>
      <c r="CU310" s="93" cm="1">
        <f t="array" ref="CU310">SUMPRODUCT(TRANSPOSE(CU$4:CU$20),$G310:$W310)</f>
        <v>180</v>
      </c>
      <c r="CV310" s="93" cm="1">
        <f t="array" ref="CV310">SUMPRODUCT(TRANSPOSE(CV$4:CV$20),$G310:$W310)</f>
        <v>180</v>
      </c>
      <c r="CW310" s="93" cm="1">
        <f t="array" ref="CW310">SUMPRODUCT(TRANSPOSE(CW$4:CW$20),$G310:$W310)</f>
        <v>180</v>
      </c>
      <c r="CX310" s="93" cm="1">
        <f t="array" ref="CX310">SUMPRODUCT(TRANSPOSE(CX$4:CX$20),$G310:$W310)</f>
        <v>180</v>
      </c>
      <c r="CY310" s="93" cm="1">
        <f t="array" ref="CY310">SUMPRODUCT(TRANSPOSE(CY$4:CY$20),$G310:$W310)</f>
        <v>180</v>
      </c>
      <c r="CZ310" s="93" cm="1">
        <f t="array" ref="CZ310">SUMPRODUCT(TRANSPOSE(CZ$4:CZ$20),$G310:$W310)</f>
        <v>180</v>
      </c>
      <c r="DA310" s="93" cm="1">
        <f t="array" ref="DA310">SUMPRODUCT(TRANSPOSE(DA$4:DA$20),$G310:$W310)</f>
        <v>180</v>
      </c>
      <c r="DB310" s="93" cm="1">
        <f t="array" ref="DB310">SUMPRODUCT(TRANSPOSE(DB$4:DB$20),$G310:$W310)</f>
        <v>42</v>
      </c>
      <c r="DC310" s="93" cm="1">
        <f t="array" ref="DC310">SUMPRODUCT(TRANSPOSE(DC$4:DC$20),$G310:$W310)</f>
        <v>0</v>
      </c>
      <c r="DD310" s="93" cm="1">
        <f t="array" ref="DD310">SUMPRODUCT(TRANSPOSE(DD$4:DD$20),$G310:$W310)</f>
        <v>0</v>
      </c>
      <c r="DE310" s="93" cm="1">
        <f t="array" ref="DE310">SUMPRODUCT(TRANSPOSE(DE$4:DE$20),$G310:$W310)</f>
        <v>0</v>
      </c>
      <c r="DF310" s="93" cm="1">
        <f t="array" ref="DF310">SUMPRODUCT(TRANSPOSE(DF$4:DF$20),$G310:$W310)</f>
        <v>0</v>
      </c>
      <c r="DG310" s="93" cm="1">
        <f t="array" ref="DG310">SUMPRODUCT(TRANSPOSE(DG$4:DG$20),$G310:$W310)</f>
        <v>0</v>
      </c>
      <c r="DH310" s="93" cm="1">
        <f t="array" ref="DH310">SUMPRODUCT(TRANSPOSE(DH$4:DH$20),$G310:$W310)</f>
        <v>0</v>
      </c>
      <c r="DI310" s="93" cm="1">
        <f t="array" ref="DI310">SUMPRODUCT(TRANSPOSE(DI$4:DI$20),$G310:$W310)</f>
        <v>0</v>
      </c>
      <c r="DJ310" s="93" cm="1">
        <f t="array" ref="DJ310">SUMPRODUCT(TRANSPOSE(DJ$4:DJ$20),$G310:$W310)</f>
        <v>0</v>
      </c>
      <c r="DK310" s="93" cm="1">
        <f t="array" ref="DK310">SUMPRODUCT(TRANSPOSE(DK$4:DK$20),$G310:$W310)</f>
        <v>0</v>
      </c>
      <c r="DL310" s="93" cm="1">
        <f t="array" ref="DL310">SUMPRODUCT(TRANSPOSE(DL$4:DL$20),$G310:$W310)</f>
        <v>0</v>
      </c>
      <c r="DM310" s="93" cm="1">
        <f t="array" ref="DM310">SUMPRODUCT(TRANSPOSE(DM$4:DM$20),$G310:$W310)</f>
        <v>0</v>
      </c>
      <c r="DN310" s="93" cm="1">
        <f t="array" ref="DN310">SUMPRODUCT(TRANSPOSE(DN$4:DN$20),$G310:$W310)</f>
        <v>0</v>
      </c>
      <c r="DO310" s="93" cm="1">
        <f t="array" ref="DO310">SUMPRODUCT(TRANSPOSE(DO$4:DO$20),$G310:$W310)</f>
        <v>0</v>
      </c>
    </row>
    <row r="311" spans="1:119" x14ac:dyDescent="0.2">
      <c r="A311" s="45">
        <f t="shared" si="30"/>
        <v>290</v>
      </c>
      <c r="B311" s="46" t="s">
        <v>698</v>
      </c>
      <c r="C311" s="45">
        <v>403578730</v>
      </c>
      <c r="D311" s="45" t="s">
        <v>699</v>
      </c>
      <c r="E311" s="45" t="s">
        <v>162</v>
      </c>
      <c r="F311" s="48">
        <v>2</v>
      </c>
      <c r="G311" s="100">
        <v>0</v>
      </c>
      <c r="H311" s="100">
        <v>0</v>
      </c>
      <c r="I311" s="100">
        <v>0</v>
      </c>
      <c r="J311" s="100">
        <v>0</v>
      </c>
      <c r="K311" s="100">
        <v>0</v>
      </c>
      <c r="L311" s="100">
        <v>0</v>
      </c>
      <c r="M311" s="100">
        <v>0</v>
      </c>
      <c r="N311" s="100">
        <v>0</v>
      </c>
      <c r="O311" s="100">
        <v>0</v>
      </c>
      <c r="P311" s="100">
        <v>0</v>
      </c>
      <c r="Q311" s="100">
        <v>0</v>
      </c>
      <c r="R311" s="100">
        <v>27</v>
      </c>
      <c r="S311" s="100">
        <v>0</v>
      </c>
      <c r="T311" s="100">
        <v>0</v>
      </c>
      <c r="U311" s="100">
        <v>0</v>
      </c>
      <c r="V311" s="100">
        <v>27</v>
      </c>
      <c r="W311" s="100">
        <v>0</v>
      </c>
      <c r="X311" s="45" t="s">
        <v>21</v>
      </c>
      <c r="Y311" s="49">
        <v>0.26780000000000004</v>
      </c>
      <c r="Z311" s="45">
        <v>30000</v>
      </c>
      <c r="AA311" s="45">
        <v>0</v>
      </c>
      <c r="AB311" s="45">
        <v>0</v>
      </c>
      <c r="AC311" s="45">
        <v>0</v>
      </c>
      <c r="AD311" s="45">
        <v>0</v>
      </c>
      <c r="AE311" s="45">
        <v>0</v>
      </c>
      <c r="AF311" s="45">
        <v>0</v>
      </c>
      <c r="AG311" s="45">
        <v>0</v>
      </c>
      <c r="AH311" s="45">
        <v>0</v>
      </c>
      <c r="AI311" s="45">
        <v>0</v>
      </c>
      <c r="AJ311" s="45">
        <v>0</v>
      </c>
      <c r="AK311" s="45">
        <v>0</v>
      </c>
      <c r="AL311" s="45">
        <v>0</v>
      </c>
      <c r="AM311" s="45">
        <v>0</v>
      </c>
      <c r="AN311" s="45">
        <v>0</v>
      </c>
      <c r="AO311" s="45"/>
      <c r="AP311" s="45"/>
      <c r="AQ311" s="45"/>
      <c r="AR311" s="45"/>
      <c r="AS311" s="45"/>
      <c r="AT311" s="45"/>
      <c r="AU311" s="45"/>
      <c r="AV311" s="45"/>
      <c r="AW311" s="45"/>
      <c r="AX311" s="45"/>
      <c r="AY311" s="45"/>
      <c r="AZ311" s="45"/>
      <c r="BA311" s="45"/>
      <c r="BB311" s="45"/>
      <c r="BC311" s="45"/>
      <c r="BD311" s="93"/>
      <c r="BE311" s="93"/>
      <c r="BF311" s="93"/>
      <c r="BG311" s="93"/>
      <c r="BH311" s="93"/>
      <c r="BI311" s="93"/>
      <c r="BJ311" s="93"/>
      <c r="BK311" s="93">
        <f>SUM($Z311:AD311)-SUM($CM311:CQ311)</f>
        <v>28110</v>
      </c>
      <c r="BL311" s="93">
        <f>SUM($Z311:AE311)-SUM($CM311:CR311)</f>
        <v>26220</v>
      </c>
      <c r="BM311" s="93">
        <f>SUM($Z311:AF311)-SUM($CM311:CS311)</f>
        <v>24330</v>
      </c>
      <c r="BN311" s="93">
        <f>SUM($Z311:AG311)-SUM($CM311:CT311)</f>
        <v>22440</v>
      </c>
      <c r="BO311" s="93">
        <f>SUM($Z311:AH311)-SUM($CM311:CU311)</f>
        <v>20550</v>
      </c>
      <c r="BP311" s="93">
        <f>SUM($Z311:AI311)-SUM($CM311:CV311)</f>
        <v>18660</v>
      </c>
      <c r="BQ311" s="93">
        <f>SUM($Z311:AJ311)-SUM($CM311:CW311)</f>
        <v>16770</v>
      </c>
      <c r="BR311" s="93">
        <f>SUM($Z311:AK311)-SUM($CM311:CX311)</f>
        <v>14880</v>
      </c>
      <c r="BS311" s="93">
        <f>SUM($Z311:AL311)-SUM($CM311:CY311)</f>
        <v>12990</v>
      </c>
      <c r="BT311" s="93">
        <f>SUM($Z311:AM311)-SUM($CM311:CZ311)</f>
        <v>12045</v>
      </c>
      <c r="BU311" s="93">
        <f>SUM($Z311:AN311)-SUM($CM311:DA311)</f>
        <v>12045</v>
      </c>
      <c r="BV311" s="93">
        <f>SUM($Z311:AO311)-SUM($CM311:DB311)</f>
        <v>12045</v>
      </c>
      <c r="BW311" s="93">
        <f>SUM($Z311:AP311)-SUM($CM311:DC311)</f>
        <v>12045</v>
      </c>
      <c r="BX311" s="93">
        <f>SUM($Z311:AQ311)-SUM($CM311:DD311)</f>
        <v>12045</v>
      </c>
      <c r="BY311" s="93">
        <f>SUM($Z311:AR311)-SUM($CM311:DE311)</f>
        <v>12045</v>
      </c>
      <c r="BZ311" s="93">
        <f>SUM($Z311:AS311)-SUM($CM311:DF311)</f>
        <v>12045</v>
      </c>
      <c r="CA311" s="93">
        <f>SUM($Z311:AT311)-SUM($CM311:DG311)</f>
        <v>12045</v>
      </c>
      <c r="CB311" s="93">
        <f>SUM($Z311:AU311)-SUM($CM311:DH311)</f>
        <v>12045</v>
      </c>
      <c r="CC311" s="93">
        <f>SUM($Z311:AV311)-SUM($CM311:DI311)</f>
        <v>12045</v>
      </c>
      <c r="CD311" s="93">
        <f>SUM($Z311:AW311)-SUM($CM311:DJ311)</f>
        <v>12045</v>
      </c>
      <c r="CE311" s="93">
        <f>SUM($Z311:AX311)-SUM($CM311:DK311)</f>
        <v>12045</v>
      </c>
      <c r="CF311" s="93">
        <f>SUM($Z311:AY311)-SUM($CM311:DL311)</f>
        <v>12045</v>
      </c>
      <c r="CG311" s="93">
        <f>SUM($Z311:AZ311)-SUM($CM311:DM311)</f>
        <v>12045</v>
      </c>
      <c r="CH311" s="93">
        <f>SUM($Z311:BA311)-SUM($CM311:DN311)</f>
        <v>12045</v>
      </c>
      <c r="CI311" s="93">
        <f>SUM($Z311:BB311)-SUM($CM311:DO311)</f>
        <v>12045</v>
      </c>
      <c r="CJ311" s="93"/>
      <c r="CK311" s="93"/>
      <c r="CL311" s="93"/>
      <c r="CM311" s="93"/>
      <c r="CN311" s="93" cm="1">
        <f t="array" ref="CN311">SUMPRODUCT(TRANSPOSE(CN$4:CN$20),$G311:$W311)</f>
        <v>0</v>
      </c>
      <c r="CO311" s="93" cm="1">
        <f t="array" ref="CO311">SUMPRODUCT(TRANSPOSE(CO$4:CO$20),$G311:$W311)</f>
        <v>0</v>
      </c>
      <c r="CP311" s="93" cm="1">
        <f t="array" ref="CP311">SUMPRODUCT(TRANSPOSE(CP$4:CP$20),$G311:$W311)</f>
        <v>0</v>
      </c>
      <c r="CQ311" s="93" cm="1">
        <f t="array" ref="CQ311">SUMPRODUCT(TRANSPOSE(CQ$4:CQ$20),$G311:$W311)</f>
        <v>1890</v>
      </c>
      <c r="CR311" s="93" cm="1">
        <f t="array" ref="CR311">SUMPRODUCT(TRANSPOSE(CR$4:CR$20),$G311:$W311)</f>
        <v>1890</v>
      </c>
      <c r="CS311" s="93" cm="1">
        <f t="array" ref="CS311">SUMPRODUCT(TRANSPOSE(CS$4:CS$20),$G311:$W311)</f>
        <v>1890</v>
      </c>
      <c r="CT311" s="93" cm="1">
        <f t="array" ref="CT311">SUMPRODUCT(TRANSPOSE(CT$4:CT$20),$G311:$W311)</f>
        <v>1890</v>
      </c>
      <c r="CU311" s="93" cm="1">
        <f t="array" ref="CU311">SUMPRODUCT(TRANSPOSE(CU$4:CU$20),$G311:$W311)</f>
        <v>1890</v>
      </c>
      <c r="CV311" s="93" cm="1">
        <f t="array" ref="CV311">SUMPRODUCT(TRANSPOSE(CV$4:CV$20),$G311:$W311)</f>
        <v>1890</v>
      </c>
      <c r="CW311" s="93" cm="1">
        <f t="array" ref="CW311">SUMPRODUCT(TRANSPOSE(CW$4:CW$20),$G311:$W311)</f>
        <v>1890</v>
      </c>
      <c r="CX311" s="93" cm="1">
        <f t="array" ref="CX311">SUMPRODUCT(TRANSPOSE(CX$4:CX$20),$G311:$W311)</f>
        <v>1890</v>
      </c>
      <c r="CY311" s="93" cm="1">
        <f t="array" ref="CY311">SUMPRODUCT(TRANSPOSE(CY$4:CY$20),$G311:$W311)</f>
        <v>1890</v>
      </c>
      <c r="CZ311" s="93" cm="1">
        <f t="array" ref="CZ311">SUMPRODUCT(TRANSPOSE(CZ$4:CZ$20),$G311:$W311)</f>
        <v>945</v>
      </c>
      <c r="DA311" s="93" cm="1">
        <f t="array" ref="DA311">SUMPRODUCT(TRANSPOSE(DA$4:DA$20),$G311:$W311)</f>
        <v>0</v>
      </c>
      <c r="DB311" s="93" cm="1">
        <f t="array" ref="DB311">SUMPRODUCT(TRANSPOSE(DB$4:DB$20),$G311:$W311)</f>
        <v>0</v>
      </c>
      <c r="DC311" s="93" cm="1">
        <f t="array" ref="DC311">SUMPRODUCT(TRANSPOSE(DC$4:DC$20),$G311:$W311)</f>
        <v>0</v>
      </c>
      <c r="DD311" s="93" cm="1">
        <f t="array" ref="DD311">SUMPRODUCT(TRANSPOSE(DD$4:DD$20),$G311:$W311)</f>
        <v>0</v>
      </c>
      <c r="DE311" s="93" cm="1">
        <f t="array" ref="DE311">SUMPRODUCT(TRANSPOSE(DE$4:DE$20),$G311:$W311)</f>
        <v>0</v>
      </c>
      <c r="DF311" s="93" cm="1">
        <f t="array" ref="DF311">SUMPRODUCT(TRANSPOSE(DF$4:DF$20),$G311:$W311)</f>
        <v>0</v>
      </c>
      <c r="DG311" s="93" cm="1">
        <f t="array" ref="DG311">SUMPRODUCT(TRANSPOSE(DG$4:DG$20),$G311:$W311)</f>
        <v>0</v>
      </c>
      <c r="DH311" s="93" cm="1">
        <f t="array" ref="DH311">SUMPRODUCT(TRANSPOSE(DH$4:DH$20),$G311:$W311)</f>
        <v>0</v>
      </c>
      <c r="DI311" s="93" cm="1">
        <f t="array" ref="DI311">SUMPRODUCT(TRANSPOSE(DI$4:DI$20),$G311:$W311)</f>
        <v>0</v>
      </c>
      <c r="DJ311" s="93" cm="1">
        <f t="array" ref="DJ311">SUMPRODUCT(TRANSPOSE(DJ$4:DJ$20),$G311:$W311)</f>
        <v>0</v>
      </c>
      <c r="DK311" s="93" cm="1">
        <f t="array" ref="DK311">SUMPRODUCT(TRANSPOSE(DK$4:DK$20),$G311:$W311)</f>
        <v>0</v>
      </c>
      <c r="DL311" s="93" cm="1">
        <f t="array" ref="DL311">SUMPRODUCT(TRANSPOSE(DL$4:DL$20),$G311:$W311)</f>
        <v>0</v>
      </c>
      <c r="DM311" s="93" cm="1">
        <f t="array" ref="DM311">SUMPRODUCT(TRANSPOSE(DM$4:DM$20),$G311:$W311)</f>
        <v>0</v>
      </c>
      <c r="DN311" s="93" cm="1">
        <f t="array" ref="DN311">SUMPRODUCT(TRANSPOSE(DN$4:DN$20),$G311:$W311)</f>
        <v>0</v>
      </c>
      <c r="DO311" s="93" cm="1">
        <f t="array" ref="DO311">SUMPRODUCT(TRANSPOSE(DO$4:DO$20),$G311:$W311)</f>
        <v>0</v>
      </c>
    </row>
    <row r="312" spans="1:119" x14ac:dyDescent="0.2">
      <c r="A312" s="45">
        <f t="shared" si="30"/>
        <v>291</v>
      </c>
      <c r="B312" s="46" t="s">
        <v>700</v>
      </c>
      <c r="C312" s="45" t="s">
        <v>701</v>
      </c>
      <c r="D312" s="45" t="s">
        <v>702</v>
      </c>
      <c r="E312" s="45" t="s">
        <v>162</v>
      </c>
      <c r="F312" s="48">
        <v>2</v>
      </c>
      <c r="G312" s="100">
        <v>0</v>
      </c>
      <c r="H312" s="100">
        <v>0</v>
      </c>
      <c r="I312" s="100">
        <v>0</v>
      </c>
      <c r="J312" s="100">
        <v>0</v>
      </c>
      <c r="K312" s="100">
        <v>0</v>
      </c>
      <c r="L312" s="100">
        <v>0</v>
      </c>
      <c r="M312" s="100">
        <v>0</v>
      </c>
      <c r="N312" s="100">
        <v>0</v>
      </c>
      <c r="O312" s="100">
        <v>0</v>
      </c>
      <c r="P312" s="100">
        <v>0</v>
      </c>
      <c r="Q312" s="100">
        <v>0</v>
      </c>
      <c r="R312" s="100">
        <v>17</v>
      </c>
      <c r="S312" s="100">
        <v>0</v>
      </c>
      <c r="T312" s="100">
        <v>0</v>
      </c>
      <c r="U312" s="100">
        <v>0</v>
      </c>
      <c r="V312" s="100">
        <v>17</v>
      </c>
      <c r="W312" s="100">
        <v>0</v>
      </c>
      <c r="X312" s="45" t="s">
        <v>38</v>
      </c>
      <c r="Y312" s="49">
        <v>0.45</v>
      </c>
      <c r="Z312" s="45">
        <v>20000</v>
      </c>
      <c r="AA312" s="45">
        <v>0</v>
      </c>
      <c r="AB312" s="45">
        <v>0</v>
      </c>
      <c r="AC312" s="45">
        <v>0</v>
      </c>
      <c r="AD312" s="45">
        <v>0</v>
      </c>
      <c r="AE312" s="45">
        <v>0</v>
      </c>
      <c r="AF312" s="45">
        <v>0</v>
      </c>
      <c r="AG312" s="45">
        <v>0</v>
      </c>
      <c r="AH312" s="45">
        <v>0</v>
      </c>
      <c r="AI312" s="45">
        <v>0</v>
      </c>
      <c r="AJ312" s="45">
        <v>0</v>
      </c>
      <c r="AK312" s="45">
        <v>0</v>
      </c>
      <c r="AL312" s="45">
        <v>0</v>
      </c>
      <c r="AM312" s="45">
        <v>0</v>
      </c>
      <c r="AN312" s="45">
        <v>0</v>
      </c>
      <c r="AO312" s="45"/>
      <c r="AP312" s="45"/>
      <c r="AQ312" s="45"/>
      <c r="AR312" s="45"/>
      <c r="AS312" s="45"/>
      <c r="AT312" s="45"/>
      <c r="AU312" s="45"/>
      <c r="AV312" s="45"/>
      <c r="AW312" s="45"/>
      <c r="AX312" s="45"/>
      <c r="AY312" s="45"/>
      <c r="AZ312" s="45"/>
      <c r="BA312" s="45"/>
      <c r="BB312" s="45"/>
      <c r="BC312" s="45"/>
      <c r="BD312" s="93"/>
      <c r="BE312" s="93"/>
      <c r="BF312" s="93"/>
      <c r="BG312" s="93"/>
      <c r="BH312" s="93"/>
      <c r="BI312" s="93"/>
      <c r="BJ312" s="93"/>
      <c r="BK312" s="93">
        <f>SUM($Z312:AD312)-SUM($CM312:CQ312)</f>
        <v>18810</v>
      </c>
      <c r="BL312" s="93">
        <f>SUM($Z312:AE312)-SUM($CM312:CR312)</f>
        <v>17620</v>
      </c>
      <c r="BM312" s="93">
        <f>SUM($Z312:AF312)-SUM($CM312:CS312)</f>
        <v>16430</v>
      </c>
      <c r="BN312" s="93">
        <f>SUM($Z312:AG312)-SUM($CM312:CT312)</f>
        <v>15240</v>
      </c>
      <c r="BO312" s="93">
        <f>SUM($Z312:AH312)-SUM($CM312:CU312)</f>
        <v>14050</v>
      </c>
      <c r="BP312" s="93">
        <f>SUM($Z312:AI312)-SUM($CM312:CV312)</f>
        <v>12860</v>
      </c>
      <c r="BQ312" s="93">
        <f>SUM($Z312:AJ312)-SUM($CM312:CW312)</f>
        <v>11670</v>
      </c>
      <c r="BR312" s="93">
        <f>SUM($Z312:AK312)-SUM($CM312:CX312)</f>
        <v>10480</v>
      </c>
      <c r="BS312" s="93">
        <f>SUM($Z312:AL312)-SUM($CM312:CY312)</f>
        <v>9290</v>
      </c>
      <c r="BT312" s="93">
        <f>SUM($Z312:AM312)-SUM($CM312:CZ312)</f>
        <v>8695</v>
      </c>
      <c r="BU312" s="93">
        <f>SUM($Z312:AN312)-SUM($CM312:DA312)</f>
        <v>8695</v>
      </c>
      <c r="BV312" s="93">
        <f>SUM($Z312:AO312)-SUM($CM312:DB312)</f>
        <v>8695</v>
      </c>
      <c r="BW312" s="93">
        <f>SUM($Z312:AP312)-SUM($CM312:DC312)</f>
        <v>8695</v>
      </c>
      <c r="BX312" s="93">
        <f>SUM($Z312:AQ312)-SUM($CM312:DD312)</f>
        <v>8695</v>
      </c>
      <c r="BY312" s="93">
        <f>SUM($Z312:AR312)-SUM($CM312:DE312)</f>
        <v>8695</v>
      </c>
      <c r="BZ312" s="93">
        <f>SUM($Z312:AS312)-SUM($CM312:DF312)</f>
        <v>8695</v>
      </c>
      <c r="CA312" s="93">
        <f>SUM($Z312:AT312)-SUM($CM312:DG312)</f>
        <v>8695</v>
      </c>
      <c r="CB312" s="93">
        <f>SUM($Z312:AU312)-SUM($CM312:DH312)</f>
        <v>8695</v>
      </c>
      <c r="CC312" s="93">
        <f>SUM($Z312:AV312)-SUM($CM312:DI312)</f>
        <v>8695</v>
      </c>
      <c r="CD312" s="93">
        <f>SUM($Z312:AW312)-SUM($CM312:DJ312)</f>
        <v>8695</v>
      </c>
      <c r="CE312" s="93">
        <f>SUM($Z312:AX312)-SUM($CM312:DK312)</f>
        <v>8695</v>
      </c>
      <c r="CF312" s="93">
        <f>SUM($Z312:AY312)-SUM($CM312:DL312)</f>
        <v>8695</v>
      </c>
      <c r="CG312" s="93">
        <f>SUM($Z312:AZ312)-SUM($CM312:DM312)</f>
        <v>8695</v>
      </c>
      <c r="CH312" s="93">
        <f>SUM($Z312:BA312)-SUM($CM312:DN312)</f>
        <v>8695</v>
      </c>
      <c r="CI312" s="93">
        <f>SUM($Z312:BB312)-SUM($CM312:DO312)</f>
        <v>8695</v>
      </c>
      <c r="CJ312" s="93"/>
      <c r="CK312" s="93"/>
      <c r="CL312" s="93"/>
      <c r="CM312" s="93"/>
      <c r="CN312" s="93" cm="1">
        <f t="array" ref="CN312">SUMPRODUCT(TRANSPOSE(CN$4:CN$20),$G312:$W312)</f>
        <v>0</v>
      </c>
      <c r="CO312" s="93" cm="1">
        <f t="array" ref="CO312">SUMPRODUCT(TRANSPOSE(CO$4:CO$20),$G312:$W312)</f>
        <v>0</v>
      </c>
      <c r="CP312" s="93" cm="1">
        <f t="array" ref="CP312">SUMPRODUCT(TRANSPOSE(CP$4:CP$20),$G312:$W312)</f>
        <v>0</v>
      </c>
      <c r="CQ312" s="93" cm="1">
        <f t="array" ref="CQ312">SUMPRODUCT(TRANSPOSE(CQ$4:CQ$20),$G312:$W312)</f>
        <v>1190</v>
      </c>
      <c r="CR312" s="93" cm="1">
        <f t="array" ref="CR312">SUMPRODUCT(TRANSPOSE(CR$4:CR$20),$G312:$W312)</f>
        <v>1190</v>
      </c>
      <c r="CS312" s="93" cm="1">
        <f t="array" ref="CS312">SUMPRODUCT(TRANSPOSE(CS$4:CS$20),$G312:$W312)</f>
        <v>1190</v>
      </c>
      <c r="CT312" s="93" cm="1">
        <f t="array" ref="CT312">SUMPRODUCT(TRANSPOSE(CT$4:CT$20),$G312:$W312)</f>
        <v>1190</v>
      </c>
      <c r="CU312" s="93" cm="1">
        <f t="array" ref="CU312">SUMPRODUCT(TRANSPOSE(CU$4:CU$20),$G312:$W312)</f>
        <v>1190</v>
      </c>
      <c r="CV312" s="93" cm="1">
        <f t="array" ref="CV312">SUMPRODUCT(TRANSPOSE(CV$4:CV$20),$G312:$W312)</f>
        <v>1190</v>
      </c>
      <c r="CW312" s="93" cm="1">
        <f t="array" ref="CW312">SUMPRODUCT(TRANSPOSE(CW$4:CW$20),$G312:$W312)</f>
        <v>1190</v>
      </c>
      <c r="CX312" s="93" cm="1">
        <f t="array" ref="CX312">SUMPRODUCT(TRANSPOSE(CX$4:CX$20),$G312:$W312)</f>
        <v>1190</v>
      </c>
      <c r="CY312" s="93" cm="1">
        <f t="array" ref="CY312">SUMPRODUCT(TRANSPOSE(CY$4:CY$20),$G312:$W312)</f>
        <v>1190</v>
      </c>
      <c r="CZ312" s="93" cm="1">
        <f t="array" ref="CZ312">SUMPRODUCT(TRANSPOSE(CZ$4:CZ$20),$G312:$W312)</f>
        <v>595</v>
      </c>
      <c r="DA312" s="93" cm="1">
        <f t="array" ref="DA312">SUMPRODUCT(TRANSPOSE(DA$4:DA$20),$G312:$W312)</f>
        <v>0</v>
      </c>
      <c r="DB312" s="93" cm="1">
        <f t="array" ref="DB312">SUMPRODUCT(TRANSPOSE(DB$4:DB$20),$G312:$W312)</f>
        <v>0</v>
      </c>
      <c r="DC312" s="93" cm="1">
        <f t="array" ref="DC312">SUMPRODUCT(TRANSPOSE(DC$4:DC$20),$G312:$W312)</f>
        <v>0</v>
      </c>
      <c r="DD312" s="93" cm="1">
        <f t="array" ref="DD312">SUMPRODUCT(TRANSPOSE(DD$4:DD$20),$G312:$W312)</f>
        <v>0</v>
      </c>
      <c r="DE312" s="93" cm="1">
        <f t="array" ref="DE312">SUMPRODUCT(TRANSPOSE(DE$4:DE$20),$G312:$W312)</f>
        <v>0</v>
      </c>
      <c r="DF312" s="93" cm="1">
        <f t="array" ref="DF312">SUMPRODUCT(TRANSPOSE(DF$4:DF$20),$G312:$W312)</f>
        <v>0</v>
      </c>
      <c r="DG312" s="93" cm="1">
        <f t="array" ref="DG312">SUMPRODUCT(TRANSPOSE(DG$4:DG$20),$G312:$W312)</f>
        <v>0</v>
      </c>
      <c r="DH312" s="93" cm="1">
        <f t="array" ref="DH312">SUMPRODUCT(TRANSPOSE(DH$4:DH$20),$G312:$W312)</f>
        <v>0</v>
      </c>
      <c r="DI312" s="93" cm="1">
        <f t="array" ref="DI312">SUMPRODUCT(TRANSPOSE(DI$4:DI$20),$G312:$W312)</f>
        <v>0</v>
      </c>
      <c r="DJ312" s="93" cm="1">
        <f t="array" ref="DJ312">SUMPRODUCT(TRANSPOSE(DJ$4:DJ$20),$G312:$W312)</f>
        <v>0</v>
      </c>
      <c r="DK312" s="93" cm="1">
        <f t="array" ref="DK312">SUMPRODUCT(TRANSPOSE(DK$4:DK$20),$G312:$W312)</f>
        <v>0</v>
      </c>
      <c r="DL312" s="93" cm="1">
        <f t="array" ref="DL312">SUMPRODUCT(TRANSPOSE(DL$4:DL$20),$G312:$W312)</f>
        <v>0</v>
      </c>
      <c r="DM312" s="93" cm="1">
        <f t="array" ref="DM312">SUMPRODUCT(TRANSPOSE(DM$4:DM$20),$G312:$W312)</f>
        <v>0</v>
      </c>
      <c r="DN312" s="93" cm="1">
        <f t="array" ref="DN312">SUMPRODUCT(TRANSPOSE(DN$4:DN$20),$G312:$W312)</f>
        <v>0</v>
      </c>
      <c r="DO312" s="93" cm="1">
        <f t="array" ref="DO312">SUMPRODUCT(TRANSPOSE(DO$4:DO$20),$G312:$W312)</f>
        <v>0</v>
      </c>
    </row>
    <row r="313" spans="1:119" x14ac:dyDescent="0.2">
      <c r="A313" s="47">
        <f t="shared" si="30"/>
        <v>292</v>
      </c>
      <c r="B313" s="69" t="s">
        <v>703</v>
      </c>
      <c r="C313" s="70">
        <v>408602563</v>
      </c>
      <c r="D313" s="45" t="s">
        <v>704</v>
      </c>
      <c r="E313" s="45" t="s">
        <v>162</v>
      </c>
      <c r="F313" s="48">
        <v>2</v>
      </c>
      <c r="G313" s="100">
        <v>0</v>
      </c>
      <c r="H313" s="100">
        <v>0</v>
      </c>
      <c r="I313" s="100">
        <v>0</v>
      </c>
      <c r="J313" s="100">
        <v>0</v>
      </c>
      <c r="K313" s="100">
        <v>0</v>
      </c>
      <c r="L313" s="100">
        <v>0</v>
      </c>
      <c r="M313" s="100">
        <v>0</v>
      </c>
      <c r="N313" s="100">
        <v>0</v>
      </c>
      <c r="O313" s="100">
        <v>0</v>
      </c>
      <c r="P313" s="100">
        <v>0</v>
      </c>
      <c r="Q313" s="100">
        <v>35</v>
      </c>
      <c r="R313" s="100">
        <v>0</v>
      </c>
      <c r="S313" s="100">
        <v>0</v>
      </c>
      <c r="T313" s="100">
        <v>0</v>
      </c>
      <c r="U313" s="100">
        <v>35</v>
      </c>
      <c r="V313" s="100">
        <v>0</v>
      </c>
      <c r="W313" s="100">
        <v>0</v>
      </c>
      <c r="X313" s="58" t="s">
        <v>8</v>
      </c>
      <c r="Y313" s="49">
        <v>0</v>
      </c>
      <c r="Z313" s="45">
        <v>16869</v>
      </c>
      <c r="AA313" s="45">
        <v>0</v>
      </c>
      <c r="AB313" s="45">
        <v>0</v>
      </c>
      <c r="AC313" s="45">
        <v>0</v>
      </c>
      <c r="AD313" s="45">
        <v>0</v>
      </c>
      <c r="AE313" s="45">
        <v>0</v>
      </c>
      <c r="AF313" s="45">
        <v>0</v>
      </c>
      <c r="AG313" s="45">
        <v>0</v>
      </c>
      <c r="AH313" s="45">
        <v>0</v>
      </c>
      <c r="AI313" s="45">
        <v>0</v>
      </c>
      <c r="AJ313" s="45">
        <v>0</v>
      </c>
      <c r="AK313" s="45">
        <v>0</v>
      </c>
      <c r="AL313" s="45">
        <v>0</v>
      </c>
      <c r="AM313" s="45">
        <v>0</v>
      </c>
      <c r="AN313" s="45">
        <v>0</v>
      </c>
      <c r="AO313" s="45"/>
      <c r="AP313" s="45"/>
      <c r="AQ313" s="45"/>
      <c r="AR313" s="45"/>
      <c r="AS313" s="45"/>
      <c r="AT313" s="45"/>
      <c r="AU313" s="45"/>
      <c r="AV313" s="45"/>
      <c r="AW313" s="45"/>
      <c r="AX313" s="45"/>
      <c r="AY313" s="45"/>
      <c r="AZ313" s="45"/>
      <c r="BA313" s="45"/>
      <c r="BB313" s="45"/>
      <c r="BC313" s="45"/>
      <c r="BD313" s="93"/>
      <c r="BE313" s="93"/>
      <c r="BF313" s="93"/>
      <c r="BG313" s="93"/>
      <c r="BH313" s="93"/>
      <c r="BI313" s="93"/>
      <c r="BJ313" s="93"/>
      <c r="BK313" s="93">
        <f>SUM($Z313:AD313)-SUM($CM313:CQ313)</f>
        <v>14139</v>
      </c>
      <c r="BL313" s="93">
        <f>SUM($Z313:AE313)-SUM($CM313:CR313)</f>
        <v>11689</v>
      </c>
      <c r="BM313" s="93">
        <f>SUM($Z313:AF313)-SUM($CM313:CS313)</f>
        <v>9414</v>
      </c>
      <c r="BN313" s="93">
        <f>SUM($Z313:AG313)-SUM($CM313:CT313)</f>
        <v>7314</v>
      </c>
      <c r="BO313" s="93">
        <f>SUM($Z313:AH313)-SUM($CM313:CU313)</f>
        <v>5214</v>
      </c>
      <c r="BP313" s="93">
        <f>SUM($Z313:AI313)-SUM($CM313:CV313)</f>
        <v>3114</v>
      </c>
      <c r="BQ313" s="93">
        <f>SUM($Z313:AJ313)-SUM($CM313:CW313)</f>
        <v>1014</v>
      </c>
      <c r="BR313" s="93">
        <f>SUM($Z313:AK313)-SUM($CM313:CX313)</f>
        <v>-1086</v>
      </c>
      <c r="BS313" s="93">
        <f>SUM($Z313:AL313)-SUM($CM313:CY313)</f>
        <v>-3186</v>
      </c>
      <c r="BT313" s="93">
        <f>SUM($Z313:AM313)-SUM($CM313:CZ313)</f>
        <v>-5286</v>
      </c>
      <c r="BU313" s="93">
        <f>SUM($Z313:AN313)-SUM($CM313:DA313)</f>
        <v>-7386</v>
      </c>
      <c r="BV313" s="93">
        <f>SUM($Z313:AO313)-SUM($CM313:DB313)</f>
        <v>-7876</v>
      </c>
      <c r="BW313" s="93">
        <f>SUM($Z313:AP313)-SUM($CM313:DC313)</f>
        <v>-7876</v>
      </c>
      <c r="BX313" s="93">
        <f>SUM($Z313:AQ313)-SUM($CM313:DD313)</f>
        <v>-7876</v>
      </c>
      <c r="BY313" s="93">
        <f>SUM($Z313:AR313)-SUM($CM313:DE313)</f>
        <v>-7876</v>
      </c>
      <c r="BZ313" s="93">
        <f>SUM($Z313:AS313)-SUM($CM313:DF313)</f>
        <v>-7876</v>
      </c>
      <c r="CA313" s="93">
        <f>SUM($Z313:AT313)-SUM($CM313:DG313)</f>
        <v>-7876</v>
      </c>
      <c r="CB313" s="93">
        <f>SUM($Z313:AU313)-SUM($CM313:DH313)</f>
        <v>-7876</v>
      </c>
      <c r="CC313" s="93">
        <f>SUM($Z313:AV313)-SUM($CM313:DI313)</f>
        <v>-7876</v>
      </c>
      <c r="CD313" s="93">
        <f>SUM($Z313:AW313)-SUM($CM313:DJ313)</f>
        <v>-7876</v>
      </c>
      <c r="CE313" s="93">
        <f>SUM($Z313:AX313)-SUM($CM313:DK313)</f>
        <v>-7876</v>
      </c>
      <c r="CF313" s="93">
        <f>SUM($Z313:AY313)-SUM($CM313:DL313)</f>
        <v>-7876</v>
      </c>
      <c r="CG313" s="93">
        <f>SUM($Z313:AZ313)-SUM($CM313:DM313)</f>
        <v>-7876</v>
      </c>
      <c r="CH313" s="93">
        <f>SUM($Z313:BA313)-SUM($CM313:DN313)</f>
        <v>-7876</v>
      </c>
      <c r="CI313" s="93">
        <f>SUM($Z313:BB313)-SUM($CM313:DO313)</f>
        <v>-7876</v>
      </c>
      <c r="CJ313" s="93"/>
      <c r="CK313" s="93"/>
      <c r="CL313" s="93"/>
      <c r="CM313" s="93"/>
      <c r="CN313" s="93" cm="1">
        <f t="array" ref="CN313">SUMPRODUCT(TRANSPOSE(CN$4:CN$20),$G313:$W313)</f>
        <v>0</v>
      </c>
      <c r="CO313" s="93" cm="1">
        <f t="array" ref="CO313">SUMPRODUCT(TRANSPOSE(CO$4:CO$20),$G313:$W313)</f>
        <v>0</v>
      </c>
      <c r="CP313" s="93" cm="1">
        <f t="array" ref="CP313">SUMPRODUCT(TRANSPOSE(CP$4:CP$20),$G313:$W313)</f>
        <v>0</v>
      </c>
      <c r="CQ313" s="93" cm="1">
        <f t="array" ref="CQ313">SUMPRODUCT(TRANSPOSE(CQ$4:CQ$20),$G313:$W313)</f>
        <v>2730</v>
      </c>
      <c r="CR313" s="93" cm="1">
        <f t="array" ref="CR313">SUMPRODUCT(TRANSPOSE(CR$4:CR$20),$G313:$W313)</f>
        <v>2450</v>
      </c>
      <c r="CS313" s="93" cm="1">
        <f t="array" ref="CS313">SUMPRODUCT(TRANSPOSE(CS$4:CS$20),$G313:$W313)</f>
        <v>2275</v>
      </c>
      <c r="CT313" s="93" cm="1">
        <f t="array" ref="CT313">SUMPRODUCT(TRANSPOSE(CT$4:CT$20),$G313:$W313)</f>
        <v>2100</v>
      </c>
      <c r="CU313" s="93" cm="1">
        <f t="array" ref="CU313">SUMPRODUCT(TRANSPOSE(CU$4:CU$20),$G313:$W313)</f>
        <v>2100</v>
      </c>
      <c r="CV313" s="93" cm="1">
        <f t="array" ref="CV313">SUMPRODUCT(TRANSPOSE(CV$4:CV$20),$G313:$W313)</f>
        <v>2100</v>
      </c>
      <c r="CW313" s="93" cm="1">
        <f t="array" ref="CW313">SUMPRODUCT(TRANSPOSE(CW$4:CW$20),$G313:$W313)</f>
        <v>2100</v>
      </c>
      <c r="CX313" s="93" cm="1">
        <f t="array" ref="CX313">SUMPRODUCT(TRANSPOSE(CX$4:CX$20),$G313:$W313)</f>
        <v>2100</v>
      </c>
      <c r="CY313" s="93" cm="1">
        <f t="array" ref="CY313">SUMPRODUCT(TRANSPOSE(CY$4:CY$20),$G313:$W313)</f>
        <v>2100</v>
      </c>
      <c r="CZ313" s="93" cm="1">
        <f t="array" ref="CZ313">SUMPRODUCT(TRANSPOSE(CZ$4:CZ$20),$G313:$W313)</f>
        <v>2100</v>
      </c>
      <c r="DA313" s="93" cm="1">
        <f t="array" ref="DA313">SUMPRODUCT(TRANSPOSE(DA$4:DA$20),$G313:$W313)</f>
        <v>2100</v>
      </c>
      <c r="DB313" s="93" cm="1">
        <f t="array" ref="DB313">SUMPRODUCT(TRANSPOSE(DB$4:DB$20),$G313:$W313)</f>
        <v>490</v>
      </c>
      <c r="DC313" s="93" cm="1">
        <f t="array" ref="DC313">SUMPRODUCT(TRANSPOSE(DC$4:DC$20),$G313:$W313)</f>
        <v>0</v>
      </c>
      <c r="DD313" s="93" cm="1">
        <f t="array" ref="DD313">SUMPRODUCT(TRANSPOSE(DD$4:DD$20),$G313:$W313)</f>
        <v>0</v>
      </c>
      <c r="DE313" s="93" cm="1">
        <f t="array" ref="DE313">SUMPRODUCT(TRANSPOSE(DE$4:DE$20),$G313:$W313)</f>
        <v>0</v>
      </c>
      <c r="DF313" s="93" cm="1">
        <f t="array" ref="DF313">SUMPRODUCT(TRANSPOSE(DF$4:DF$20),$G313:$W313)</f>
        <v>0</v>
      </c>
      <c r="DG313" s="93" cm="1">
        <f t="array" ref="DG313">SUMPRODUCT(TRANSPOSE(DG$4:DG$20),$G313:$W313)</f>
        <v>0</v>
      </c>
      <c r="DH313" s="93" cm="1">
        <f t="array" ref="DH313">SUMPRODUCT(TRANSPOSE(DH$4:DH$20),$G313:$W313)</f>
        <v>0</v>
      </c>
      <c r="DI313" s="93" cm="1">
        <f t="array" ref="DI313">SUMPRODUCT(TRANSPOSE(DI$4:DI$20),$G313:$W313)</f>
        <v>0</v>
      </c>
      <c r="DJ313" s="93" cm="1">
        <f t="array" ref="DJ313">SUMPRODUCT(TRANSPOSE(DJ$4:DJ$20),$G313:$W313)</f>
        <v>0</v>
      </c>
      <c r="DK313" s="93" cm="1">
        <f t="array" ref="DK313">SUMPRODUCT(TRANSPOSE(DK$4:DK$20),$G313:$W313)</f>
        <v>0</v>
      </c>
      <c r="DL313" s="93" cm="1">
        <f t="array" ref="DL313">SUMPRODUCT(TRANSPOSE(DL$4:DL$20),$G313:$W313)</f>
        <v>0</v>
      </c>
      <c r="DM313" s="93" cm="1">
        <f t="array" ref="DM313">SUMPRODUCT(TRANSPOSE(DM$4:DM$20),$G313:$W313)</f>
        <v>0</v>
      </c>
      <c r="DN313" s="93" cm="1">
        <f t="array" ref="DN313">SUMPRODUCT(TRANSPOSE(DN$4:DN$20),$G313:$W313)</f>
        <v>0</v>
      </c>
      <c r="DO313" s="93" cm="1">
        <f t="array" ref="DO313">SUMPRODUCT(TRANSPOSE(DO$4:DO$20),$G313:$W313)</f>
        <v>0</v>
      </c>
    </row>
    <row r="314" spans="1:119" x14ac:dyDescent="0.2">
      <c r="A314" s="45">
        <f t="shared" si="30"/>
        <v>293</v>
      </c>
      <c r="B314" s="46" t="s">
        <v>705</v>
      </c>
      <c r="C314" s="45">
        <v>400005328</v>
      </c>
      <c r="D314" s="45" t="s">
        <v>706</v>
      </c>
      <c r="E314" s="45" t="s">
        <v>162</v>
      </c>
      <c r="F314" s="48">
        <v>1</v>
      </c>
      <c r="G314" s="100">
        <v>0</v>
      </c>
      <c r="H314" s="100">
        <v>0</v>
      </c>
      <c r="I314" s="100">
        <v>0</v>
      </c>
      <c r="J314" s="100">
        <v>0</v>
      </c>
      <c r="K314" s="100">
        <v>0</v>
      </c>
      <c r="L314" s="100">
        <v>0</v>
      </c>
      <c r="M314" s="100">
        <v>0</v>
      </c>
      <c r="N314" s="100">
        <v>0</v>
      </c>
      <c r="O314" s="100">
        <v>0</v>
      </c>
      <c r="P314" s="100">
        <v>0</v>
      </c>
      <c r="Q314" s="100">
        <v>0</v>
      </c>
      <c r="R314" s="100">
        <v>0</v>
      </c>
      <c r="S314" s="100">
        <v>0</v>
      </c>
      <c r="T314" s="100">
        <v>0</v>
      </c>
      <c r="U314" s="100">
        <v>0</v>
      </c>
      <c r="V314" s="100">
        <v>0</v>
      </c>
      <c r="W314" s="100">
        <v>1</v>
      </c>
      <c r="X314" s="45" t="s">
        <v>59</v>
      </c>
      <c r="Y314" s="49">
        <v>86</v>
      </c>
      <c r="Z314" s="45">
        <v>231</v>
      </c>
      <c r="AA314" s="45">
        <v>0</v>
      </c>
      <c r="AB314" s="45">
        <v>0</v>
      </c>
      <c r="AC314" s="45">
        <v>0</v>
      </c>
      <c r="AD314" s="45">
        <v>0</v>
      </c>
      <c r="AE314" s="45">
        <v>0</v>
      </c>
      <c r="AF314" s="45">
        <v>0</v>
      </c>
      <c r="AG314" s="45">
        <v>0</v>
      </c>
      <c r="AH314" s="45">
        <v>0</v>
      </c>
      <c r="AI314" s="45">
        <v>0</v>
      </c>
      <c r="AJ314" s="45">
        <v>0</v>
      </c>
      <c r="AK314" s="45">
        <v>0</v>
      </c>
      <c r="AL314" s="45">
        <v>0</v>
      </c>
      <c r="AM314" s="45">
        <v>0</v>
      </c>
      <c r="AN314" s="45">
        <v>0</v>
      </c>
      <c r="AO314" s="45"/>
      <c r="AP314" s="45"/>
      <c r="AQ314" s="45"/>
      <c r="AR314" s="45"/>
      <c r="AS314" s="45"/>
      <c r="AT314" s="45"/>
      <c r="AU314" s="45"/>
      <c r="AV314" s="45"/>
      <c r="AW314" s="45"/>
      <c r="AX314" s="45"/>
      <c r="AY314" s="45"/>
      <c r="AZ314" s="45"/>
      <c r="BA314" s="45"/>
      <c r="BB314" s="45"/>
      <c r="BC314" s="45"/>
      <c r="BD314" s="93"/>
      <c r="BE314" s="93"/>
      <c r="BF314" s="93"/>
      <c r="BG314" s="93"/>
      <c r="BH314" s="93"/>
      <c r="BI314" s="93"/>
      <c r="BJ314" s="93"/>
      <c r="BK314" s="93">
        <f>SUM($Z314:AD314)-SUM($CM314:CQ314)</f>
        <v>215</v>
      </c>
      <c r="BL314" s="93">
        <f>SUM($Z314:AE314)-SUM($CM314:CR314)</f>
        <v>199</v>
      </c>
      <c r="BM314" s="93">
        <f>SUM($Z314:AF314)-SUM($CM314:CS314)</f>
        <v>183</v>
      </c>
      <c r="BN314" s="93">
        <f>SUM($Z314:AG314)-SUM($CM314:CT314)</f>
        <v>167</v>
      </c>
      <c r="BO314" s="93">
        <f>SUM($Z314:AH314)-SUM($CM314:CU314)</f>
        <v>151</v>
      </c>
      <c r="BP314" s="93">
        <f>SUM($Z314:AI314)-SUM($CM314:CV314)</f>
        <v>135</v>
      </c>
      <c r="BQ314" s="93">
        <f>SUM($Z314:AJ314)-SUM($CM314:CW314)</f>
        <v>119</v>
      </c>
      <c r="BR314" s="93">
        <f>SUM($Z314:AK314)-SUM($CM314:CX314)</f>
        <v>103</v>
      </c>
      <c r="BS314" s="93">
        <f>SUM($Z314:AL314)-SUM($CM314:CY314)</f>
        <v>103</v>
      </c>
      <c r="BT314" s="93">
        <f>SUM($Z314:AM314)-SUM($CM314:CZ314)</f>
        <v>103</v>
      </c>
      <c r="BU314" s="93">
        <f>SUM($Z314:AN314)-SUM($CM314:DA314)</f>
        <v>103</v>
      </c>
      <c r="BV314" s="93">
        <f>SUM($Z314:AO314)-SUM($CM314:DB314)</f>
        <v>103</v>
      </c>
      <c r="BW314" s="93">
        <f>SUM($Z314:AP314)-SUM($CM314:DC314)</f>
        <v>103</v>
      </c>
      <c r="BX314" s="93">
        <f>SUM($Z314:AQ314)-SUM($CM314:DD314)</f>
        <v>103</v>
      </c>
      <c r="BY314" s="93">
        <f>SUM($Z314:AR314)-SUM($CM314:DE314)</f>
        <v>103</v>
      </c>
      <c r="BZ314" s="93">
        <f>SUM($Z314:AS314)-SUM($CM314:DF314)</f>
        <v>103</v>
      </c>
      <c r="CA314" s="93">
        <f>SUM($Z314:AT314)-SUM($CM314:DG314)</f>
        <v>103</v>
      </c>
      <c r="CB314" s="93">
        <f>SUM($Z314:AU314)-SUM($CM314:DH314)</f>
        <v>103</v>
      </c>
      <c r="CC314" s="93">
        <f>SUM($Z314:AV314)-SUM($CM314:DI314)</f>
        <v>103</v>
      </c>
      <c r="CD314" s="93">
        <f>SUM($Z314:AW314)-SUM($CM314:DJ314)</f>
        <v>103</v>
      </c>
      <c r="CE314" s="93">
        <f>SUM($Z314:AX314)-SUM($CM314:DK314)</f>
        <v>103</v>
      </c>
      <c r="CF314" s="93">
        <f>SUM($Z314:AY314)-SUM($CM314:DL314)</f>
        <v>103</v>
      </c>
      <c r="CG314" s="93">
        <f>SUM($Z314:AZ314)-SUM($CM314:DM314)</f>
        <v>103</v>
      </c>
      <c r="CH314" s="93">
        <f>SUM($Z314:BA314)-SUM($CM314:DN314)</f>
        <v>103</v>
      </c>
      <c r="CI314" s="93">
        <f>SUM($Z314:BB314)-SUM($CM314:DO314)</f>
        <v>103</v>
      </c>
      <c r="CJ314" s="93"/>
      <c r="CK314" s="93"/>
      <c r="CL314" s="93"/>
      <c r="CM314" s="93"/>
      <c r="CN314" s="93" cm="1">
        <f t="array" ref="CN314">SUMPRODUCT(TRANSPOSE(CN$4:CN$20),$G314:$W314)</f>
        <v>0</v>
      </c>
      <c r="CO314" s="93" cm="1">
        <f t="array" ref="CO314">SUMPRODUCT(TRANSPOSE(CO$4:CO$20),$G314:$W314)</f>
        <v>0</v>
      </c>
      <c r="CP314" s="93" cm="1">
        <f t="array" ref="CP314">SUMPRODUCT(TRANSPOSE(CP$4:CP$20),$G314:$W314)</f>
        <v>0</v>
      </c>
      <c r="CQ314" s="93" cm="1">
        <f t="array" ref="CQ314">SUMPRODUCT(TRANSPOSE(CQ$4:CQ$20),$G314:$W314)</f>
        <v>16</v>
      </c>
      <c r="CR314" s="93" cm="1">
        <f t="array" ref="CR314">SUMPRODUCT(TRANSPOSE(CR$4:CR$20),$G314:$W314)</f>
        <v>16</v>
      </c>
      <c r="CS314" s="93" cm="1">
        <f t="array" ref="CS314">SUMPRODUCT(TRANSPOSE(CS$4:CS$20),$G314:$W314)</f>
        <v>16</v>
      </c>
      <c r="CT314" s="93" cm="1">
        <f t="array" ref="CT314">SUMPRODUCT(TRANSPOSE(CT$4:CT$20),$G314:$W314)</f>
        <v>16</v>
      </c>
      <c r="CU314" s="93" cm="1">
        <f t="array" ref="CU314">SUMPRODUCT(TRANSPOSE(CU$4:CU$20),$G314:$W314)</f>
        <v>16</v>
      </c>
      <c r="CV314" s="93" cm="1">
        <f t="array" ref="CV314">SUMPRODUCT(TRANSPOSE(CV$4:CV$20),$G314:$W314)</f>
        <v>16</v>
      </c>
      <c r="CW314" s="93" cm="1">
        <f t="array" ref="CW314">SUMPRODUCT(TRANSPOSE(CW$4:CW$20),$G314:$W314)</f>
        <v>16</v>
      </c>
      <c r="CX314" s="93" cm="1">
        <f t="array" ref="CX314">SUMPRODUCT(TRANSPOSE(CX$4:CX$20),$G314:$W314)</f>
        <v>16</v>
      </c>
      <c r="CY314" s="93" cm="1">
        <f t="array" ref="CY314">SUMPRODUCT(TRANSPOSE(CY$4:CY$20),$G314:$W314)</f>
        <v>0</v>
      </c>
      <c r="CZ314" s="93" cm="1">
        <f t="array" ref="CZ314">SUMPRODUCT(TRANSPOSE(CZ$4:CZ$20),$G314:$W314)</f>
        <v>0</v>
      </c>
      <c r="DA314" s="93" cm="1">
        <f t="array" ref="DA314">SUMPRODUCT(TRANSPOSE(DA$4:DA$20),$G314:$W314)</f>
        <v>0</v>
      </c>
      <c r="DB314" s="93" cm="1">
        <f t="array" ref="DB314">SUMPRODUCT(TRANSPOSE(DB$4:DB$20),$G314:$W314)</f>
        <v>0</v>
      </c>
      <c r="DC314" s="93" cm="1">
        <f t="array" ref="DC314">SUMPRODUCT(TRANSPOSE(DC$4:DC$20),$G314:$W314)</f>
        <v>0</v>
      </c>
      <c r="DD314" s="93" cm="1">
        <f t="array" ref="DD314">SUMPRODUCT(TRANSPOSE(DD$4:DD$20),$G314:$W314)</f>
        <v>0</v>
      </c>
      <c r="DE314" s="93" cm="1">
        <f t="array" ref="DE314">SUMPRODUCT(TRANSPOSE(DE$4:DE$20),$G314:$W314)</f>
        <v>0</v>
      </c>
      <c r="DF314" s="93" cm="1">
        <f t="array" ref="DF314">SUMPRODUCT(TRANSPOSE(DF$4:DF$20),$G314:$W314)</f>
        <v>0</v>
      </c>
      <c r="DG314" s="93" cm="1">
        <f t="array" ref="DG314">SUMPRODUCT(TRANSPOSE(DG$4:DG$20),$G314:$W314)</f>
        <v>0</v>
      </c>
      <c r="DH314" s="93" cm="1">
        <f t="array" ref="DH314">SUMPRODUCT(TRANSPOSE(DH$4:DH$20),$G314:$W314)</f>
        <v>0</v>
      </c>
      <c r="DI314" s="93" cm="1">
        <f t="array" ref="DI314">SUMPRODUCT(TRANSPOSE(DI$4:DI$20),$G314:$W314)</f>
        <v>0</v>
      </c>
      <c r="DJ314" s="93" cm="1">
        <f t="array" ref="DJ314">SUMPRODUCT(TRANSPOSE(DJ$4:DJ$20),$G314:$W314)</f>
        <v>0</v>
      </c>
      <c r="DK314" s="93" cm="1">
        <f t="array" ref="DK314">SUMPRODUCT(TRANSPOSE(DK$4:DK$20),$G314:$W314)</f>
        <v>0</v>
      </c>
      <c r="DL314" s="93" cm="1">
        <f t="array" ref="DL314">SUMPRODUCT(TRANSPOSE(DL$4:DL$20),$G314:$W314)</f>
        <v>0</v>
      </c>
      <c r="DM314" s="93" cm="1">
        <f t="array" ref="DM314">SUMPRODUCT(TRANSPOSE(DM$4:DM$20),$G314:$W314)</f>
        <v>0</v>
      </c>
      <c r="DN314" s="93" cm="1">
        <f t="array" ref="DN314">SUMPRODUCT(TRANSPOSE(DN$4:DN$20),$G314:$W314)</f>
        <v>0</v>
      </c>
      <c r="DO314" s="93" cm="1">
        <f t="array" ref="DO314">SUMPRODUCT(TRANSPOSE(DO$4:DO$20),$G314:$W314)</f>
        <v>0</v>
      </c>
    </row>
    <row r="315" spans="1:119" x14ac:dyDescent="0.2">
      <c r="A315" s="45">
        <f t="shared" si="30"/>
        <v>294</v>
      </c>
      <c r="B315" s="46" t="s">
        <v>707</v>
      </c>
      <c r="C315" s="50">
        <v>410928732</v>
      </c>
      <c r="D315" s="45" t="s">
        <v>708</v>
      </c>
      <c r="E315" s="45" t="s">
        <v>162</v>
      </c>
      <c r="F315" s="48">
        <v>2</v>
      </c>
      <c r="G315" s="100">
        <v>0</v>
      </c>
      <c r="H315" s="100">
        <v>0</v>
      </c>
      <c r="I315" s="100">
        <v>0</v>
      </c>
      <c r="J315" s="100">
        <v>0</v>
      </c>
      <c r="K315" s="100">
        <v>0</v>
      </c>
      <c r="L315" s="100">
        <v>0</v>
      </c>
      <c r="M315" s="100">
        <v>0</v>
      </c>
      <c r="N315" s="100">
        <v>0</v>
      </c>
      <c r="O315" s="100">
        <v>0</v>
      </c>
      <c r="P315" s="100">
        <v>0</v>
      </c>
      <c r="Q315" s="100">
        <v>0</v>
      </c>
      <c r="R315" s="100">
        <v>1</v>
      </c>
      <c r="S315" s="100">
        <v>0</v>
      </c>
      <c r="T315" s="100">
        <v>0</v>
      </c>
      <c r="U315" s="100">
        <v>0</v>
      </c>
      <c r="V315" s="100">
        <v>1</v>
      </c>
      <c r="W315" s="100">
        <v>0</v>
      </c>
      <c r="X315" s="45" t="s">
        <v>194</v>
      </c>
      <c r="Y315" s="49">
        <v>0</v>
      </c>
      <c r="Z315" s="45">
        <v>0</v>
      </c>
      <c r="AA315" s="45">
        <v>0</v>
      </c>
      <c r="AB315" s="45">
        <v>0</v>
      </c>
      <c r="AC315" s="45">
        <v>0</v>
      </c>
      <c r="AD315" s="45">
        <v>0</v>
      </c>
      <c r="AE315" s="45">
        <v>0</v>
      </c>
      <c r="AF315" s="45">
        <v>0</v>
      </c>
      <c r="AG315" s="45">
        <v>0</v>
      </c>
      <c r="AH315" s="45">
        <v>0</v>
      </c>
      <c r="AI315" s="45">
        <v>0</v>
      </c>
      <c r="AJ315" s="45">
        <v>0</v>
      </c>
      <c r="AK315" s="45">
        <v>0</v>
      </c>
      <c r="AL315" s="45">
        <v>0</v>
      </c>
      <c r="AM315" s="45">
        <v>0</v>
      </c>
      <c r="AN315" s="45">
        <v>0</v>
      </c>
      <c r="AO315" s="45"/>
      <c r="AP315" s="45"/>
      <c r="AQ315" s="45"/>
      <c r="AR315" s="45"/>
      <c r="AS315" s="45"/>
      <c r="AT315" s="45"/>
      <c r="AU315" s="45"/>
      <c r="AV315" s="45"/>
      <c r="AW315" s="45"/>
      <c r="AX315" s="45"/>
      <c r="AY315" s="45"/>
      <c r="AZ315" s="45"/>
      <c r="BA315" s="45"/>
      <c r="BB315" s="45"/>
      <c r="BC315" s="45"/>
      <c r="BD315" s="93"/>
      <c r="BE315" s="93"/>
      <c r="BF315" s="93"/>
      <c r="BG315" s="93"/>
      <c r="BH315" s="93"/>
      <c r="BI315" s="93"/>
      <c r="BJ315" s="93"/>
      <c r="BK315" s="93">
        <f>SUM($Z315:AD315)-SUM($CM315:CQ315)</f>
        <v>-70</v>
      </c>
      <c r="BL315" s="93">
        <f>SUM($Z315:AE315)-SUM($CM315:CR315)</f>
        <v>-140</v>
      </c>
      <c r="BM315" s="93">
        <f>SUM($Z315:AF315)-SUM($CM315:CS315)</f>
        <v>-210</v>
      </c>
      <c r="BN315" s="93">
        <f>SUM($Z315:AG315)-SUM($CM315:CT315)</f>
        <v>-280</v>
      </c>
      <c r="BO315" s="93">
        <f>SUM($Z315:AH315)-SUM($CM315:CU315)</f>
        <v>-350</v>
      </c>
      <c r="BP315" s="93">
        <f>SUM($Z315:AI315)-SUM($CM315:CV315)</f>
        <v>-420</v>
      </c>
      <c r="BQ315" s="93">
        <f>SUM($Z315:AJ315)-SUM($CM315:CW315)</f>
        <v>-490</v>
      </c>
      <c r="BR315" s="93">
        <f>SUM($Z315:AK315)-SUM($CM315:CX315)</f>
        <v>-560</v>
      </c>
      <c r="BS315" s="93">
        <f>SUM($Z315:AL315)-SUM($CM315:CY315)</f>
        <v>-630</v>
      </c>
      <c r="BT315" s="93">
        <f>SUM($Z315:AM315)-SUM($CM315:CZ315)</f>
        <v>-665</v>
      </c>
      <c r="BU315" s="93">
        <f>SUM($Z315:AN315)-SUM($CM315:DA315)</f>
        <v>-665</v>
      </c>
      <c r="BV315" s="93">
        <f>SUM($Z315:AO315)-SUM($CM315:DB315)</f>
        <v>-665</v>
      </c>
      <c r="BW315" s="93">
        <f>SUM($Z315:AP315)-SUM($CM315:DC315)</f>
        <v>-665</v>
      </c>
      <c r="BX315" s="93">
        <f>SUM($Z315:AQ315)-SUM($CM315:DD315)</f>
        <v>-665</v>
      </c>
      <c r="BY315" s="93">
        <f>SUM($Z315:AR315)-SUM($CM315:DE315)</f>
        <v>-665</v>
      </c>
      <c r="BZ315" s="93">
        <f>SUM($Z315:AS315)-SUM($CM315:DF315)</f>
        <v>-665</v>
      </c>
      <c r="CA315" s="93">
        <f>SUM($Z315:AT315)-SUM($CM315:DG315)</f>
        <v>-665</v>
      </c>
      <c r="CB315" s="93">
        <f>SUM($Z315:AU315)-SUM($CM315:DH315)</f>
        <v>-665</v>
      </c>
      <c r="CC315" s="93">
        <f>SUM($Z315:AV315)-SUM($CM315:DI315)</f>
        <v>-665</v>
      </c>
      <c r="CD315" s="93">
        <f>SUM($Z315:AW315)-SUM($CM315:DJ315)</f>
        <v>-665</v>
      </c>
      <c r="CE315" s="93">
        <f>SUM($Z315:AX315)-SUM($CM315:DK315)</f>
        <v>-665</v>
      </c>
      <c r="CF315" s="93">
        <f>SUM($Z315:AY315)-SUM($CM315:DL315)</f>
        <v>-665</v>
      </c>
      <c r="CG315" s="93">
        <f>SUM($Z315:AZ315)-SUM($CM315:DM315)</f>
        <v>-665</v>
      </c>
      <c r="CH315" s="93">
        <f>SUM($Z315:BA315)-SUM($CM315:DN315)</f>
        <v>-665</v>
      </c>
      <c r="CI315" s="93">
        <f>SUM($Z315:BB315)-SUM($CM315:DO315)</f>
        <v>-665</v>
      </c>
      <c r="CJ315" s="93"/>
      <c r="CK315" s="93"/>
      <c r="CL315" s="93"/>
      <c r="CM315" s="93"/>
      <c r="CN315" s="93" cm="1">
        <f t="array" ref="CN315">SUMPRODUCT(TRANSPOSE(CN$4:CN$20),$G315:$W315)</f>
        <v>0</v>
      </c>
      <c r="CO315" s="93" cm="1">
        <f t="array" ref="CO315">SUMPRODUCT(TRANSPOSE(CO$4:CO$20),$G315:$W315)</f>
        <v>0</v>
      </c>
      <c r="CP315" s="93" cm="1">
        <f t="array" ref="CP315">SUMPRODUCT(TRANSPOSE(CP$4:CP$20),$G315:$W315)</f>
        <v>0</v>
      </c>
      <c r="CQ315" s="93" cm="1">
        <f t="array" ref="CQ315">SUMPRODUCT(TRANSPOSE(CQ$4:CQ$20),$G315:$W315)</f>
        <v>70</v>
      </c>
      <c r="CR315" s="93" cm="1">
        <f t="array" ref="CR315">SUMPRODUCT(TRANSPOSE(CR$4:CR$20),$G315:$W315)</f>
        <v>70</v>
      </c>
      <c r="CS315" s="93" cm="1">
        <f t="array" ref="CS315">SUMPRODUCT(TRANSPOSE(CS$4:CS$20),$G315:$W315)</f>
        <v>70</v>
      </c>
      <c r="CT315" s="93" cm="1">
        <f t="array" ref="CT315">SUMPRODUCT(TRANSPOSE(CT$4:CT$20),$G315:$W315)</f>
        <v>70</v>
      </c>
      <c r="CU315" s="93" cm="1">
        <f t="array" ref="CU315">SUMPRODUCT(TRANSPOSE(CU$4:CU$20),$G315:$W315)</f>
        <v>70</v>
      </c>
      <c r="CV315" s="93" cm="1">
        <f t="array" ref="CV315">SUMPRODUCT(TRANSPOSE(CV$4:CV$20),$G315:$W315)</f>
        <v>70</v>
      </c>
      <c r="CW315" s="93" cm="1">
        <f t="array" ref="CW315">SUMPRODUCT(TRANSPOSE(CW$4:CW$20),$G315:$W315)</f>
        <v>70</v>
      </c>
      <c r="CX315" s="93" cm="1">
        <f t="array" ref="CX315">SUMPRODUCT(TRANSPOSE(CX$4:CX$20),$G315:$W315)</f>
        <v>70</v>
      </c>
      <c r="CY315" s="93" cm="1">
        <f t="array" ref="CY315">SUMPRODUCT(TRANSPOSE(CY$4:CY$20),$G315:$W315)</f>
        <v>70</v>
      </c>
      <c r="CZ315" s="93" cm="1">
        <f t="array" ref="CZ315">SUMPRODUCT(TRANSPOSE(CZ$4:CZ$20),$G315:$W315)</f>
        <v>35</v>
      </c>
      <c r="DA315" s="93" cm="1">
        <f t="array" ref="DA315">SUMPRODUCT(TRANSPOSE(DA$4:DA$20),$G315:$W315)</f>
        <v>0</v>
      </c>
      <c r="DB315" s="93" cm="1">
        <f t="array" ref="DB315">SUMPRODUCT(TRANSPOSE(DB$4:DB$20),$G315:$W315)</f>
        <v>0</v>
      </c>
      <c r="DC315" s="93" cm="1">
        <f t="array" ref="DC315">SUMPRODUCT(TRANSPOSE(DC$4:DC$20),$G315:$W315)</f>
        <v>0</v>
      </c>
      <c r="DD315" s="93" cm="1">
        <f t="array" ref="DD315">SUMPRODUCT(TRANSPOSE(DD$4:DD$20),$G315:$W315)</f>
        <v>0</v>
      </c>
      <c r="DE315" s="93" cm="1">
        <f t="array" ref="DE315">SUMPRODUCT(TRANSPOSE(DE$4:DE$20),$G315:$W315)</f>
        <v>0</v>
      </c>
      <c r="DF315" s="93" cm="1">
        <f t="array" ref="DF315">SUMPRODUCT(TRANSPOSE(DF$4:DF$20),$G315:$W315)</f>
        <v>0</v>
      </c>
      <c r="DG315" s="93" cm="1">
        <f t="array" ref="DG315">SUMPRODUCT(TRANSPOSE(DG$4:DG$20),$G315:$W315)</f>
        <v>0</v>
      </c>
      <c r="DH315" s="93" cm="1">
        <f t="array" ref="DH315">SUMPRODUCT(TRANSPOSE(DH$4:DH$20),$G315:$W315)</f>
        <v>0</v>
      </c>
      <c r="DI315" s="93" cm="1">
        <f t="array" ref="DI315">SUMPRODUCT(TRANSPOSE(DI$4:DI$20),$G315:$W315)</f>
        <v>0</v>
      </c>
      <c r="DJ315" s="93" cm="1">
        <f t="array" ref="DJ315">SUMPRODUCT(TRANSPOSE(DJ$4:DJ$20),$G315:$W315)</f>
        <v>0</v>
      </c>
      <c r="DK315" s="93" cm="1">
        <f t="array" ref="DK315">SUMPRODUCT(TRANSPOSE(DK$4:DK$20),$G315:$W315)</f>
        <v>0</v>
      </c>
      <c r="DL315" s="93" cm="1">
        <f t="array" ref="DL315">SUMPRODUCT(TRANSPOSE(DL$4:DL$20),$G315:$W315)</f>
        <v>0</v>
      </c>
      <c r="DM315" s="93" cm="1">
        <f t="array" ref="DM315">SUMPRODUCT(TRANSPOSE(DM$4:DM$20),$G315:$W315)</f>
        <v>0</v>
      </c>
      <c r="DN315" s="93" cm="1">
        <f t="array" ref="DN315">SUMPRODUCT(TRANSPOSE(DN$4:DN$20),$G315:$W315)</f>
        <v>0</v>
      </c>
      <c r="DO315" s="93" cm="1">
        <f t="array" ref="DO315">SUMPRODUCT(TRANSPOSE(DO$4:DO$20),$G315:$W315)</f>
        <v>0</v>
      </c>
    </row>
    <row r="316" spans="1:119" x14ac:dyDescent="0.2">
      <c r="A316" s="45">
        <f t="shared" si="30"/>
        <v>295</v>
      </c>
      <c r="B316" s="46" t="s">
        <v>709</v>
      </c>
      <c r="C316" s="50">
        <v>584100192</v>
      </c>
      <c r="D316" s="45" t="s">
        <v>710</v>
      </c>
      <c r="E316" s="45" t="s">
        <v>162</v>
      </c>
      <c r="F316" s="48">
        <v>2</v>
      </c>
      <c r="G316" s="100">
        <v>0</v>
      </c>
      <c r="H316" s="100">
        <v>0</v>
      </c>
      <c r="I316" s="100">
        <v>0</v>
      </c>
      <c r="J316" s="100">
        <v>8</v>
      </c>
      <c r="K316" s="100">
        <v>0</v>
      </c>
      <c r="L316" s="100">
        <v>8</v>
      </c>
      <c r="M316" s="100">
        <v>0</v>
      </c>
      <c r="N316" s="100">
        <v>0</v>
      </c>
      <c r="O316" s="100">
        <v>3</v>
      </c>
      <c r="P316" s="100">
        <v>6</v>
      </c>
      <c r="Q316" s="100">
        <v>0</v>
      </c>
      <c r="R316" s="100">
        <v>0</v>
      </c>
      <c r="S316" s="100">
        <v>3</v>
      </c>
      <c r="T316" s="100">
        <v>6</v>
      </c>
      <c r="U316" s="100">
        <v>0</v>
      </c>
      <c r="V316" s="100">
        <v>0</v>
      </c>
      <c r="W316" s="100">
        <v>122</v>
      </c>
      <c r="X316" s="45" t="s">
        <v>24</v>
      </c>
      <c r="Y316" s="49">
        <v>0.152</v>
      </c>
      <c r="Z316" s="45">
        <v>41567</v>
      </c>
      <c r="AA316" s="45">
        <v>0</v>
      </c>
      <c r="AB316" s="45">
        <v>0</v>
      </c>
      <c r="AC316" s="45">
        <v>0</v>
      </c>
      <c r="AD316" s="45">
        <v>0</v>
      </c>
      <c r="AE316" s="45">
        <v>0</v>
      </c>
      <c r="AF316" s="45">
        <v>0</v>
      </c>
      <c r="AG316" s="45">
        <v>0</v>
      </c>
      <c r="AH316" s="45">
        <v>0</v>
      </c>
      <c r="AI316" s="45">
        <v>0</v>
      </c>
      <c r="AJ316" s="45">
        <v>0</v>
      </c>
      <c r="AK316" s="45">
        <v>0</v>
      </c>
      <c r="AL316" s="45">
        <v>0</v>
      </c>
      <c r="AM316" s="45">
        <v>0</v>
      </c>
      <c r="AN316" s="45">
        <v>0</v>
      </c>
      <c r="AO316" s="45"/>
      <c r="AP316" s="45"/>
      <c r="AQ316" s="45"/>
      <c r="AR316" s="45"/>
      <c r="AS316" s="45"/>
      <c r="AT316" s="45"/>
      <c r="AU316" s="45"/>
      <c r="AV316" s="45"/>
      <c r="AW316" s="45"/>
      <c r="AX316" s="45"/>
      <c r="AY316" s="45"/>
      <c r="AZ316" s="45"/>
      <c r="BA316" s="45"/>
      <c r="BB316" s="45"/>
      <c r="BC316" s="45"/>
      <c r="BD316" s="93"/>
      <c r="BE316" s="93"/>
      <c r="BF316" s="93"/>
      <c r="BG316" s="93"/>
      <c r="BH316" s="93"/>
      <c r="BI316" s="93"/>
      <c r="BJ316" s="93"/>
      <c r="BK316" s="93">
        <f>SUM($Z316:AD316)-SUM($CM316:CQ316)</f>
        <v>38785</v>
      </c>
      <c r="BL316" s="93">
        <f>SUM($Z316:AE316)-SUM($CM316:CR316)</f>
        <v>36075</v>
      </c>
      <c r="BM316" s="93">
        <f>SUM($Z316:AF316)-SUM($CM316:CS316)</f>
        <v>33410</v>
      </c>
      <c r="BN316" s="93">
        <f>SUM($Z316:AG316)-SUM($CM316:CT316)</f>
        <v>30790</v>
      </c>
      <c r="BO316" s="93">
        <f>SUM($Z316:AH316)-SUM($CM316:CU316)</f>
        <v>28170</v>
      </c>
      <c r="BP316" s="93">
        <f>SUM($Z316:AI316)-SUM($CM316:CV316)</f>
        <v>25550</v>
      </c>
      <c r="BQ316" s="93">
        <f>SUM($Z316:AJ316)-SUM($CM316:CW316)</f>
        <v>22930</v>
      </c>
      <c r="BR316" s="93">
        <f>SUM($Z316:AK316)-SUM($CM316:CX316)</f>
        <v>20310</v>
      </c>
      <c r="BS316" s="93">
        <f>SUM($Z316:AL316)-SUM($CM316:CY316)</f>
        <v>19642</v>
      </c>
      <c r="BT316" s="93">
        <f>SUM($Z316:AM316)-SUM($CM316:CZ316)</f>
        <v>18974</v>
      </c>
      <c r="BU316" s="93">
        <f>SUM($Z316:AN316)-SUM($CM316:DA316)</f>
        <v>18306</v>
      </c>
      <c r="BV316" s="93">
        <f>SUM($Z316:AO316)-SUM($CM316:DB316)</f>
        <v>18052</v>
      </c>
      <c r="BW316" s="93">
        <f>SUM($Z316:AP316)-SUM($CM316:DC316)</f>
        <v>17956</v>
      </c>
      <c r="BX316" s="93">
        <f>SUM($Z316:AQ316)-SUM($CM316:DD316)</f>
        <v>17956</v>
      </c>
      <c r="BY316" s="93">
        <f>SUM($Z316:AR316)-SUM($CM316:DE316)</f>
        <v>17956</v>
      </c>
      <c r="BZ316" s="93">
        <f>SUM($Z316:AS316)-SUM($CM316:DF316)</f>
        <v>17956</v>
      </c>
      <c r="CA316" s="93">
        <f>SUM($Z316:AT316)-SUM($CM316:DG316)</f>
        <v>17956</v>
      </c>
      <c r="CB316" s="93">
        <f>SUM($Z316:AU316)-SUM($CM316:DH316)</f>
        <v>17956</v>
      </c>
      <c r="CC316" s="93">
        <f>SUM($Z316:AV316)-SUM($CM316:DI316)</f>
        <v>17956</v>
      </c>
      <c r="CD316" s="93">
        <f>SUM($Z316:AW316)-SUM($CM316:DJ316)</f>
        <v>17956</v>
      </c>
      <c r="CE316" s="93">
        <f>SUM($Z316:AX316)-SUM($CM316:DK316)</f>
        <v>17956</v>
      </c>
      <c r="CF316" s="93">
        <f>SUM($Z316:AY316)-SUM($CM316:DL316)</f>
        <v>17956</v>
      </c>
      <c r="CG316" s="93">
        <f>SUM($Z316:AZ316)-SUM($CM316:DM316)</f>
        <v>17956</v>
      </c>
      <c r="CH316" s="93">
        <f>SUM($Z316:BA316)-SUM($CM316:DN316)</f>
        <v>17956</v>
      </c>
      <c r="CI316" s="93">
        <f>SUM($Z316:BB316)-SUM($CM316:DO316)</f>
        <v>17956</v>
      </c>
      <c r="CJ316" s="93"/>
      <c r="CK316" s="93"/>
      <c r="CL316" s="93"/>
      <c r="CM316" s="93"/>
      <c r="CN316" s="93" cm="1">
        <f t="array" ref="CN316">SUMPRODUCT(TRANSPOSE(CN$4:CN$20),$G316:$W316)</f>
        <v>0</v>
      </c>
      <c r="CO316" s="93" cm="1">
        <f t="array" ref="CO316">SUMPRODUCT(TRANSPOSE(CO$4:CO$20),$G316:$W316)</f>
        <v>0</v>
      </c>
      <c r="CP316" s="93" cm="1">
        <f t="array" ref="CP316">SUMPRODUCT(TRANSPOSE(CP$4:CP$20),$G316:$W316)</f>
        <v>0</v>
      </c>
      <c r="CQ316" s="93" cm="1">
        <f t="array" ref="CQ316">SUMPRODUCT(TRANSPOSE(CQ$4:CQ$20),$G316:$W316)</f>
        <v>2782</v>
      </c>
      <c r="CR316" s="93" cm="1">
        <f t="array" ref="CR316">SUMPRODUCT(TRANSPOSE(CR$4:CR$20),$G316:$W316)</f>
        <v>2710</v>
      </c>
      <c r="CS316" s="93" cm="1">
        <f t="array" ref="CS316">SUMPRODUCT(TRANSPOSE(CS$4:CS$20),$G316:$W316)</f>
        <v>2665</v>
      </c>
      <c r="CT316" s="93" cm="1">
        <f t="array" ref="CT316">SUMPRODUCT(TRANSPOSE(CT$4:CT$20),$G316:$W316)</f>
        <v>2620</v>
      </c>
      <c r="CU316" s="93" cm="1">
        <f t="array" ref="CU316">SUMPRODUCT(TRANSPOSE(CU$4:CU$20),$G316:$W316)</f>
        <v>2620</v>
      </c>
      <c r="CV316" s="93" cm="1">
        <f t="array" ref="CV316">SUMPRODUCT(TRANSPOSE(CV$4:CV$20),$G316:$W316)</f>
        <v>2620</v>
      </c>
      <c r="CW316" s="93" cm="1">
        <f t="array" ref="CW316">SUMPRODUCT(TRANSPOSE(CW$4:CW$20),$G316:$W316)</f>
        <v>2620</v>
      </c>
      <c r="CX316" s="93" cm="1">
        <f t="array" ref="CX316">SUMPRODUCT(TRANSPOSE(CX$4:CX$20),$G316:$W316)</f>
        <v>2620</v>
      </c>
      <c r="CY316" s="93" cm="1">
        <f t="array" ref="CY316">SUMPRODUCT(TRANSPOSE(CY$4:CY$20),$G316:$W316)</f>
        <v>668</v>
      </c>
      <c r="CZ316" s="93" cm="1">
        <f t="array" ref="CZ316">SUMPRODUCT(TRANSPOSE(CZ$4:CZ$20),$G316:$W316)</f>
        <v>668</v>
      </c>
      <c r="DA316" s="93" cm="1">
        <f t="array" ref="DA316">SUMPRODUCT(TRANSPOSE(DA$4:DA$20),$G316:$W316)</f>
        <v>668</v>
      </c>
      <c r="DB316" s="93" cm="1">
        <f t="array" ref="DB316">SUMPRODUCT(TRANSPOSE(DB$4:DB$20),$G316:$W316)</f>
        <v>254</v>
      </c>
      <c r="DC316" s="93" cm="1">
        <f t="array" ref="DC316">SUMPRODUCT(TRANSPOSE(DC$4:DC$20),$G316:$W316)</f>
        <v>96</v>
      </c>
      <c r="DD316" s="93" cm="1">
        <f t="array" ref="DD316">SUMPRODUCT(TRANSPOSE(DD$4:DD$20),$G316:$W316)</f>
        <v>0</v>
      </c>
      <c r="DE316" s="93" cm="1">
        <f t="array" ref="DE316">SUMPRODUCT(TRANSPOSE(DE$4:DE$20),$G316:$W316)</f>
        <v>0</v>
      </c>
      <c r="DF316" s="93" cm="1">
        <f t="array" ref="DF316">SUMPRODUCT(TRANSPOSE(DF$4:DF$20),$G316:$W316)</f>
        <v>0</v>
      </c>
      <c r="DG316" s="93" cm="1">
        <f t="array" ref="DG316">SUMPRODUCT(TRANSPOSE(DG$4:DG$20),$G316:$W316)</f>
        <v>0</v>
      </c>
      <c r="DH316" s="93" cm="1">
        <f t="array" ref="DH316">SUMPRODUCT(TRANSPOSE(DH$4:DH$20),$G316:$W316)</f>
        <v>0</v>
      </c>
      <c r="DI316" s="93" cm="1">
        <f t="array" ref="DI316">SUMPRODUCT(TRANSPOSE(DI$4:DI$20),$G316:$W316)</f>
        <v>0</v>
      </c>
      <c r="DJ316" s="93" cm="1">
        <f t="array" ref="DJ316">SUMPRODUCT(TRANSPOSE(DJ$4:DJ$20),$G316:$W316)</f>
        <v>0</v>
      </c>
      <c r="DK316" s="93" cm="1">
        <f t="array" ref="DK316">SUMPRODUCT(TRANSPOSE(DK$4:DK$20),$G316:$W316)</f>
        <v>0</v>
      </c>
      <c r="DL316" s="93" cm="1">
        <f t="array" ref="DL316">SUMPRODUCT(TRANSPOSE(DL$4:DL$20),$G316:$W316)</f>
        <v>0</v>
      </c>
      <c r="DM316" s="93" cm="1">
        <f t="array" ref="DM316">SUMPRODUCT(TRANSPOSE(DM$4:DM$20),$G316:$W316)</f>
        <v>0</v>
      </c>
      <c r="DN316" s="93" cm="1">
        <f t="array" ref="DN316">SUMPRODUCT(TRANSPOSE(DN$4:DN$20),$G316:$W316)</f>
        <v>0</v>
      </c>
      <c r="DO316" s="93" cm="1">
        <f t="array" ref="DO316">SUMPRODUCT(TRANSPOSE(DO$4:DO$20),$G316:$W316)</f>
        <v>0</v>
      </c>
    </row>
    <row r="317" spans="1:119" x14ac:dyDescent="0.2">
      <c r="A317" s="45">
        <f t="shared" si="30"/>
        <v>296</v>
      </c>
      <c r="B317" s="46" t="s">
        <v>711</v>
      </c>
      <c r="C317" s="45">
        <v>407349608</v>
      </c>
      <c r="D317" s="45" t="s">
        <v>712</v>
      </c>
      <c r="E317" s="45" t="s">
        <v>162</v>
      </c>
      <c r="F317" s="48">
        <v>1</v>
      </c>
      <c r="G317" s="100">
        <v>0</v>
      </c>
      <c r="H317" s="100">
        <v>0</v>
      </c>
      <c r="I317" s="100">
        <v>0</v>
      </c>
      <c r="J317" s="100">
        <v>0</v>
      </c>
      <c r="K317" s="100">
        <v>0</v>
      </c>
      <c r="L317" s="100">
        <v>0</v>
      </c>
      <c r="M317" s="100">
        <v>0</v>
      </c>
      <c r="N317" s="100">
        <v>0</v>
      </c>
      <c r="O317" s="100">
        <v>0</v>
      </c>
      <c r="P317" s="100">
        <v>0</v>
      </c>
      <c r="Q317" s="100">
        <v>34</v>
      </c>
      <c r="R317" s="100">
        <v>0</v>
      </c>
      <c r="S317" s="100">
        <v>0</v>
      </c>
      <c r="T317" s="100">
        <v>0</v>
      </c>
      <c r="U317" s="100">
        <v>0</v>
      </c>
      <c r="V317" s="100">
        <v>0</v>
      </c>
      <c r="W317" s="100">
        <v>0</v>
      </c>
      <c r="X317" s="45" t="s">
        <v>82</v>
      </c>
      <c r="Y317" s="49">
        <v>0.75</v>
      </c>
      <c r="Z317" s="45">
        <v>21000</v>
      </c>
      <c r="AA317" s="45">
        <v>0</v>
      </c>
      <c r="AB317" s="45">
        <v>0</v>
      </c>
      <c r="AC317" s="45">
        <v>0</v>
      </c>
      <c r="AD317" s="45">
        <v>0</v>
      </c>
      <c r="AE317" s="45">
        <v>0</v>
      </c>
      <c r="AF317" s="45">
        <v>0</v>
      </c>
      <c r="AG317" s="45">
        <v>0</v>
      </c>
      <c r="AH317" s="45">
        <v>0</v>
      </c>
      <c r="AI317" s="45">
        <v>0</v>
      </c>
      <c r="AJ317" s="45">
        <v>0</v>
      </c>
      <c r="AK317" s="45">
        <v>0</v>
      </c>
      <c r="AL317" s="45">
        <v>0</v>
      </c>
      <c r="AM317" s="45">
        <v>0</v>
      </c>
      <c r="AN317" s="45">
        <v>0</v>
      </c>
      <c r="AO317" s="45"/>
      <c r="AP317" s="45"/>
      <c r="AQ317" s="45"/>
      <c r="AR317" s="45"/>
      <c r="AS317" s="45"/>
      <c r="AT317" s="45"/>
      <c r="AU317" s="45"/>
      <c r="AV317" s="45"/>
      <c r="AW317" s="45"/>
      <c r="AX317" s="45"/>
      <c r="AY317" s="45"/>
      <c r="AZ317" s="45"/>
      <c r="BA317" s="45"/>
      <c r="BB317" s="45"/>
      <c r="BC317" s="45"/>
      <c r="BD317" s="93"/>
      <c r="BE317" s="93"/>
      <c r="BF317" s="93"/>
      <c r="BG317" s="93"/>
      <c r="BH317" s="93"/>
      <c r="BI317" s="93"/>
      <c r="BJ317" s="93"/>
      <c r="BK317" s="93">
        <f>SUM($Z317:AD317)-SUM($CM317:CQ317)</f>
        <v>19810</v>
      </c>
      <c r="BL317" s="93">
        <f>SUM($Z317:AE317)-SUM($CM317:CR317)</f>
        <v>18620</v>
      </c>
      <c r="BM317" s="93">
        <f>SUM($Z317:AF317)-SUM($CM317:CS317)</f>
        <v>17430</v>
      </c>
      <c r="BN317" s="93">
        <f>SUM($Z317:AG317)-SUM($CM317:CT317)</f>
        <v>16410</v>
      </c>
      <c r="BO317" s="93">
        <f>SUM($Z317:AH317)-SUM($CM317:CU317)</f>
        <v>15390</v>
      </c>
      <c r="BP317" s="93">
        <f>SUM($Z317:AI317)-SUM($CM317:CV317)</f>
        <v>14370</v>
      </c>
      <c r="BQ317" s="93">
        <f>SUM($Z317:AJ317)-SUM($CM317:CW317)</f>
        <v>13350</v>
      </c>
      <c r="BR317" s="93">
        <f>SUM($Z317:AK317)-SUM($CM317:CX317)</f>
        <v>12330</v>
      </c>
      <c r="BS317" s="93">
        <f>SUM($Z317:AL317)-SUM($CM317:CY317)</f>
        <v>11310</v>
      </c>
      <c r="BT317" s="93">
        <f>SUM($Z317:AM317)-SUM($CM317:CZ317)</f>
        <v>10290</v>
      </c>
      <c r="BU317" s="93">
        <f>SUM($Z317:AN317)-SUM($CM317:DA317)</f>
        <v>9270</v>
      </c>
      <c r="BV317" s="93">
        <f>SUM($Z317:AO317)-SUM($CM317:DB317)</f>
        <v>8794</v>
      </c>
      <c r="BW317" s="93">
        <f>SUM($Z317:AP317)-SUM($CM317:DC317)</f>
        <v>8794</v>
      </c>
      <c r="BX317" s="93">
        <f>SUM($Z317:AQ317)-SUM($CM317:DD317)</f>
        <v>8794</v>
      </c>
      <c r="BY317" s="93">
        <f>SUM($Z317:AR317)-SUM($CM317:DE317)</f>
        <v>8794</v>
      </c>
      <c r="BZ317" s="93">
        <f>SUM($Z317:AS317)-SUM($CM317:DF317)</f>
        <v>8794</v>
      </c>
      <c r="CA317" s="93">
        <f>SUM($Z317:AT317)-SUM($CM317:DG317)</f>
        <v>8794</v>
      </c>
      <c r="CB317" s="93">
        <f>SUM($Z317:AU317)-SUM($CM317:DH317)</f>
        <v>8794</v>
      </c>
      <c r="CC317" s="93">
        <f>SUM($Z317:AV317)-SUM($CM317:DI317)</f>
        <v>8794</v>
      </c>
      <c r="CD317" s="93">
        <f>SUM($Z317:AW317)-SUM($CM317:DJ317)</f>
        <v>8794</v>
      </c>
      <c r="CE317" s="93">
        <f>SUM($Z317:AX317)-SUM($CM317:DK317)</f>
        <v>8794</v>
      </c>
      <c r="CF317" s="93">
        <f>SUM($Z317:AY317)-SUM($CM317:DL317)</f>
        <v>8794</v>
      </c>
      <c r="CG317" s="93">
        <f>SUM($Z317:AZ317)-SUM($CM317:DM317)</f>
        <v>8794</v>
      </c>
      <c r="CH317" s="93">
        <f>SUM($Z317:BA317)-SUM($CM317:DN317)</f>
        <v>8794</v>
      </c>
      <c r="CI317" s="93">
        <f>SUM($Z317:BB317)-SUM($CM317:DO317)</f>
        <v>8794</v>
      </c>
      <c r="CJ317" s="93"/>
      <c r="CK317" s="93"/>
      <c r="CL317" s="93"/>
      <c r="CM317" s="93"/>
      <c r="CN317" s="93" cm="1">
        <f t="array" ref="CN317">SUMPRODUCT(TRANSPOSE(CN$4:CN$20),$G317:$W317)</f>
        <v>0</v>
      </c>
      <c r="CO317" s="93" cm="1">
        <f t="array" ref="CO317">SUMPRODUCT(TRANSPOSE(CO$4:CO$20),$G317:$W317)</f>
        <v>0</v>
      </c>
      <c r="CP317" s="93" cm="1">
        <f t="array" ref="CP317">SUMPRODUCT(TRANSPOSE(CP$4:CP$20),$G317:$W317)</f>
        <v>0</v>
      </c>
      <c r="CQ317" s="93" cm="1">
        <f t="array" ref="CQ317">SUMPRODUCT(TRANSPOSE(CQ$4:CQ$20),$G317:$W317)</f>
        <v>1190</v>
      </c>
      <c r="CR317" s="93" cm="1">
        <f t="array" ref="CR317">SUMPRODUCT(TRANSPOSE(CR$4:CR$20),$G317:$W317)</f>
        <v>1190</v>
      </c>
      <c r="CS317" s="93" cm="1">
        <f t="array" ref="CS317">SUMPRODUCT(TRANSPOSE(CS$4:CS$20),$G317:$W317)</f>
        <v>1190</v>
      </c>
      <c r="CT317" s="93" cm="1">
        <f t="array" ref="CT317">SUMPRODUCT(TRANSPOSE(CT$4:CT$20),$G317:$W317)</f>
        <v>1020</v>
      </c>
      <c r="CU317" s="93" cm="1">
        <f t="array" ref="CU317">SUMPRODUCT(TRANSPOSE(CU$4:CU$20),$G317:$W317)</f>
        <v>1020</v>
      </c>
      <c r="CV317" s="93" cm="1">
        <f t="array" ref="CV317">SUMPRODUCT(TRANSPOSE(CV$4:CV$20),$G317:$W317)</f>
        <v>1020</v>
      </c>
      <c r="CW317" s="93" cm="1">
        <f t="array" ref="CW317">SUMPRODUCT(TRANSPOSE(CW$4:CW$20),$G317:$W317)</f>
        <v>1020</v>
      </c>
      <c r="CX317" s="93" cm="1">
        <f t="array" ref="CX317">SUMPRODUCT(TRANSPOSE(CX$4:CX$20),$G317:$W317)</f>
        <v>1020</v>
      </c>
      <c r="CY317" s="93" cm="1">
        <f t="array" ref="CY317">SUMPRODUCT(TRANSPOSE(CY$4:CY$20),$G317:$W317)</f>
        <v>1020</v>
      </c>
      <c r="CZ317" s="93" cm="1">
        <f t="array" ref="CZ317">SUMPRODUCT(TRANSPOSE(CZ$4:CZ$20),$G317:$W317)</f>
        <v>1020</v>
      </c>
      <c r="DA317" s="93" cm="1">
        <f t="array" ref="DA317">SUMPRODUCT(TRANSPOSE(DA$4:DA$20),$G317:$W317)</f>
        <v>1020</v>
      </c>
      <c r="DB317" s="93" cm="1">
        <f t="array" ref="DB317">SUMPRODUCT(TRANSPOSE(DB$4:DB$20),$G317:$W317)</f>
        <v>476</v>
      </c>
      <c r="DC317" s="93" cm="1">
        <f t="array" ref="DC317">SUMPRODUCT(TRANSPOSE(DC$4:DC$20),$G317:$W317)</f>
        <v>0</v>
      </c>
      <c r="DD317" s="93" cm="1">
        <f t="array" ref="DD317">SUMPRODUCT(TRANSPOSE(DD$4:DD$20),$G317:$W317)</f>
        <v>0</v>
      </c>
      <c r="DE317" s="93" cm="1">
        <f t="array" ref="DE317">SUMPRODUCT(TRANSPOSE(DE$4:DE$20),$G317:$W317)</f>
        <v>0</v>
      </c>
      <c r="DF317" s="93" cm="1">
        <f t="array" ref="DF317">SUMPRODUCT(TRANSPOSE(DF$4:DF$20),$G317:$W317)</f>
        <v>0</v>
      </c>
      <c r="DG317" s="93" cm="1">
        <f t="array" ref="DG317">SUMPRODUCT(TRANSPOSE(DG$4:DG$20),$G317:$W317)</f>
        <v>0</v>
      </c>
      <c r="DH317" s="93" cm="1">
        <f t="array" ref="DH317">SUMPRODUCT(TRANSPOSE(DH$4:DH$20),$G317:$W317)</f>
        <v>0</v>
      </c>
      <c r="DI317" s="93" cm="1">
        <f t="array" ref="DI317">SUMPRODUCT(TRANSPOSE(DI$4:DI$20),$G317:$W317)</f>
        <v>0</v>
      </c>
      <c r="DJ317" s="93" cm="1">
        <f t="array" ref="DJ317">SUMPRODUCT(TRANSPOSE(DJ$4:DJ$20),$G317:$W317)</f>
        <v>0</v>
      </c>
      <c r="DK317" s="93" cm="1">
        <f t="array" ref="DK317">SUMPRODUCT(TRANSPOSE(DK$4:DK$20),$G317:$W317)</f>
        <v>0</v>
      </c>
      <c r="DL317" s="93" cm="1">
        <f t="array" ref="DL317">SUMPRODUCT(TRANSPOSE(DL$4:DL$20),$G317:$W317)</f>
        <v>0</v>
      </c>
      <c r="DM317" s="93" cm="1">
        <f t="array" ref="DM317">SUMPRODUCT(TRANSPOSE(DM$4:DM$20),$G317:$W317)</f>
        <v>0</v>
      </c>
      <c r="DN317" s="93" cm="1">
        <f t="array" ref="DN317">SUMPRODUCT(TRANSPOSE(DN$4:DN$20),$G317:$W317)</f>
        <v>0</v>
      </c>
      <c r="DO317" s="93" cm="1">
        <f t="array" ref="DO317">SUMPRODUCT(TRANSPOSE(DO$4:DO$20),$G317:$W317)</f>
        <v>0</v>
      </c>
    </row>
    <row r="318" spans="1:119" x14ac:dyDescent="0.2">
      <c r="A318" s="45">
        <f t="shared" si="30"/>
        <v>297</v>
      </c>
      <c r="B318" s="46" t="s">
        <v>713</v>
      </c>
      <c r="C318" s="45" t="s">
        <v>714</v>
      </c>
      <c r="D318" s="45" t="s">
        <v>715</v>
      </c>
      <c r="E318" s="45" t="s">
        <v>162</v>
      </c>
      <c r="F318" s="48">
        <v>2</v>
      </c>
      <c r="G318" s="100">
        <v>0</v>
      </c>
      <c r="H318" s="100">
        <v>0</v>
      </c>
      <c r="I318" s="100">
        <v>0</v>
      </c>
      <c r="J318" s="100">
        <v>0</v>
      </c>
      <c r="K318" s="100">
        <v>0</v>
      </c>
      <c r="L318" s="100">
        <v>0</v>
      </c>
      <c r="M318" s="100">
        <v>0</v>
      </c>
      <c r="N318" s="100">
        <v>0</v>
      </c>
      <c r="O318" s="100">
        <v>0</v>
      </c>
      <c r="P318" s="100">
        <v>0</v>
      </c>
      <c r="Q318" s="100">
        <v>0</v>
      </c>
      <c r="R318" s="100">
        <v>0</v>
      </c>
      <c r="S318" s="100">
        <v>0</v>
      </c>
      <c r="T318" s="100">
        <v>0</v>
      </c>
      <c r="U318" s="100">
        <v>0</v>
      </c>
      <c r="V318" s="100">
        <v>0</v>
      </c>
      <c r="W318" s="100">
        <v>2</v>
      </c>
      <c r="X318" s="45" t="s">
        <v>83</v>
      </c>
      <c r="Y318" s="49">
        <v>107.5</v>
      </c>
      <c r="Z318" s="45">
        <v>462</v>
      </c>
      <c r="AA318" s="45">
        <v>0</v>
      </c>
      <c r="AB318" s="45">
        <v>0</v>
      </c>
      <c r="AC318" s="45">
        <v>0</v>
      </c>
      <c r="AD318" s="45">
        <v>0</v>
      </c>
      <c r="AE318" s="45">
        <v>0</v>
      </c>
      <c r="AF318" s="45">
        <v>0</v>
      </c>
      <c r="AG318" s="45">
        <v>0</v>
      </c>
      <c r="AH318" s="45">
        <v>0</v>
      </c>
      <c r="AI318" s="45">
        <v>0</v>
      </c>
      <c r="AJ318" s="45">
        <v>0</v>
      </c>
      <c r="AK318" s="45">
        <v>0</v>
      </c>
      <c r="AL318" s="45">
        <v>0</v>
      </c>
      <c r="AM318" s="45">
        <v>0</v>
      </c>
      <c r="AN318" s="45">
        <v>0</v>
      </c>
      <c r="AO318" s="45"/>
      <c r="AP318" s="45"/>
      <c r="AQ318" s="45"/>
      <c r="AR318" s="45"/>
      <c r="AS318" s="45"/>
      <c r="AT318" s="45"/>
      <c r="AU318" s="45"/>
      <c r="AV318" s="45"/>
      <c r="AW318" s="45"/>
      <c r="AX318" s="45"/>
      <c r="AY318" s="45"/>
      <c r="AZ318" s="45"/>
      <c r="BA318" s="45"/>
      <c r="BB318" s="45"/>
      <c r="BC318" s="45"/>
      <c r="BD318" s="93"/>
      <c r="BE318" s="93"/>
      <c r="BF318" s="93"/>
      <c r="BG318" s="93"/>
      <c r="BH318" s="93"/>
      <c r="BI318" s="93"/>
      <c r="BJ318" s="93"/>
      <c r="BK318" s="93">
        <f>SUM($Z318:AD318)-SUM($CM318:CQ318)</f>
        <v>430</v>
      </c>
      <c r="BL318" s="93">
        <f>SUM($Z318:AE318)-SUM($CM318:CR318)</f>
        <v>398</v>
      </c>
      <c r="BM318" s="93">
        <f>SUM($Z318:AF318)-SUM($CM318:CS318)</f>
        <v>366</v>
      </c>
      <c r="BN318" s="93">
        <f>SUM($Z318:AG318)-SUM($CM318:CT318)</f>
        <v>334</v>
      </c>
      <c r="BO318" s="93">
        <f>SUM($Z318:AH318)-SUM($CM318:CU318)</f>
        <v>302</v>
      </c>
      <c r="BP318" s="93">
        <f>SUM($Z318:AI318)-SUM($CM318:CV318)</f>
        <v>270</v>
      </c>
      <c r="BQ318" s="93">
        <f>SUM($Z318:AJ318)-SUM($CM318:CW318)</f>
        <v>238</v>
      </c>
      <c r="BR318" s="93">
        <f>SUM($Z318:AK318)-SUM($CM318:CX318)</f>
        <v>206</v>
      </c>
      <c r="BS318" s="93">
        <f>SUM($Z318:AL318)-SUM($CM318:CY318)</f>
        <v>206</v>
      </c>
      <c r="BT318" s="93">
        <f>SUM($Z318:AM318)-SUM($CM318:CZ318)</f>
        <v>206</v>
      </c>
      <c r="BU318" s="93">
        <f>SUM($Z318:AN318)-SUM($CM318:DA318)</f>
        <v>206</v>
      </c>
      <c r="BV318" s="93">
        <f>SUM($Z318:AO318)-SUM($CM318:DB318)</f>
        <v>206</v>
      </c>
      <c r="BW318" s="93">
        <f>SUM($Z318:AP318)-SUM($CM318:DC318)</f>
        <v>206</v>
      </c>
      <c r="BX318" s="93">
        <f>SUM($Z318:AQ318)-SUM($CM318:DD318)</f>
        <v>206</v>
      </c>
      <c r="BY318" s="93">
        <f>SUM($Z318:AR318)-SUM($CM318:DE318)</f>
        <v>206</v>
      </c>
      <c r="BZ318" s="93">
        <f>SUM($Z318:AS318)-SUM($CM318:DF318)</f>
        <v>206</v>
      </c>
      <c r="CA318" s="93">
        <f>SUM($Z318:AT318)-SUM($CM318:DG318)</f>
        <v>206</v>
      </c>
      <c r="CB318" s="93">
        <f>SUM($Z318:AU318)-SUM($CM318:DH318)</f>
        <v>206</v>
      </c>
      <c r="CC318" s="93">
        <f>SUM($Z318:AV318)-SUM($CM318:DI318)</f>
        <v>206</v>
      </c>
      <c r="CD318" s="93">
        <f>SUM($Z318:AW318)-SUM($CM318:DJ318)</f>
        <v>206</v>
      </c>
      <c r="CE318" s="93">
        <f>SUM($Z318:AX318)-SUM($CM318:DK318)</f>
        <v>206</v>
      </c>
      <c r="CF318" s="93">
        <f>SUM($Z318:AY318)-SUM($CM318:DL318)</f>
        <v>206</v>
      </c>
      <c r="CG318" s="93">
        <f>SUM($Z318:AZ318)-SUM($CM318:DM318)</f>
        <v>206</v>
      </c>
      <c r="CH318" s="93">
        <f>SUM($Z318:BA318)-SUM($CM318:DN318)</f>
        <v>206</v>
      </c>
      <c r="CI318" s="93">
        <f>SUM($Z318:BB318)-SUM($CM318:DO318)</f>
        <v>206</v>
      </c>
      <c r="CJ318" s="93"/>
      <c r="CK318" s="93"/>
      <c r="CL318" s="93"/>
      <c r="CM318" s="93"/>
      <c r="CN318" s="93" cm="1">
        <f t="array" ref="CN318">SUMPRODUCT(TRANSPOSE(CN$4:CN$20),$G318:$W318)</f>
        <v>0</v>
      </c>
      <c r="CO318" s="93" cm="1">
        <f t="array" ref="CO318">SUMPRODUCT(TRANSPOSE(CO$4:CO$20),$G318:$W318)</f>
        <v>0</v>
      </c>
      <c r="CP318" s="93" cm="1">
        <f t="array" ref="CP318">SUMPRODUCT(TRANSPOSE(CP$4:CP$20),$G318:$W318)</f>
        <v>0</v>
      </c>
      <c r="CQ318" s="93" cm="1">
        <f t="array" ref="CQ318">SUMPRODUCT(TRANSPOSE(CQ$4:CQ$20),$G318:$W318)</f>
        <v>32</v>
      </c>
      <c r="CR318" s="93" cm="1">
        <f t="array" ref="CR318">SUMPRODUCT(TRANSPOSE(CR$4:CR$20),$G318:$W318)</f>
        <v>32</v>
      </c>
      <c r="CS318" s="93" cm="1">
        <f t="array" ref="CS318">SUMPRODUCT(TRANSPOSE(CS$4:CS$20),$G318:$W318)</f>
        <v>32</v>
      </c>
      <c r="CT318" s="93" cm="1">
        <f t="array" ref="CT318">SUMPRODUCT(TRANSPOSE(CT$4:CT$20),$G318:$W318)</f>
        <v>32</v>
      </c>
      <c r="CU318" s="93" cm="1">
        <f t="array" ref="CU318">SUMPRODUCT(TRANSPOSE(CU$4:CU$20),$G318:$W318)</f>
        <v>32</v>
      </c>
      <c r="CV318" s="93" cm="1">
        <f t="array" ref="CV318">SUMPRODUCT(TRANSPOSE(CV$4:CV$20),$G318:$W318)</f>
        <v>32</v>
      </c>
      <c r="CW318" s="93" cm="1">
        <f t="array" ref="CW318">SUMPRODUCT(TRANSPOSE(CW$4:CW$20),$G318:$W318)</f>
        <v>32</v>
      </c>
      <c r="CX318" s="93" cm="1">
        <f t="array" ref="CX318">SUMPRODUCT(TRANSPOSE(CX$4:CX$20),$G318:$W318)</f>
        <v>32</v>
      </c>
      <c r="CY318" s="93" cm="1">
        <f t="array" ref="CY318">SUMPRODUCT(TRANSPOSE(CY$4:CY$20),$G318:$W318)</f>
        <v>0</v>
      </c>
      <c r="CZ318" s="93" cm="1">
        <f t="array" ref="CZ318">SUMPRODUCT(TRANSPOSE(CZ$4:CZ$20),$G318:$W318)</f>
        <v>0</v>
      </c>
      <c r="DA318" s="93" cm="1">
        <f t="array" ref="DA318">SUMPRODUCT(TRANSPOSE(DA$4:DA$20),$G318:$W318)</f>
        <v>0</v>
      </c>
      <c r="DB318" s="93" cm="1">
        <f t="array" ref="DB318">SUMPRODUCT(TRANSPOSE(DB$4:DB$20),$G318:$W318)</f>
        <v>0</v>
      </c>
      <c r="DC318" s="93" cm="1">
        <f t="array" ref="DC318">SUMPRODUCT(TRANSPOSE(DC$4:DC$20),$G318:$W318)</f>
        <v>0</v>
      </c>
      <c r="DD318" s="93" cm="1">
        <f t="array" ref="DD318">SUMPRODUCT(TRANSPOSE(DD$4:DD$20),$G318:$W318)</f>
        <v>0</v>
      </c>
      <c r="DE318" s="93" cm="1">
        <f t="array" ref="DE318">SUMPRODUCT(TRANSPOSE(DE$4:DE$20),$G318:$W318)</f>
        <v>0</v>
      </c>
      <c r="DF318" s="93" cm="1">
        <f t="array" ref="DF318">SUMPRODUCT(TRANSPOSE(DF$4:DF$20),$G318:$W318)</f>
        <v>0</v>
      </c>
      <c r="DG318" s="93" cm="1">
        <f t="array" ref="DG318">SUMPRODUCT(TRANSPOSE(DG$4:DG$20),$G318:$W318)</f>
        <v>0</v>
      </c>
      <c r="DH318" s="93" cm="1">
        <f t="array" ref="DH318">SUMPRODUCT(TRANSPOSE(DH$4:DH$20),$G318:$W318)</f>
        <v>0</v>
      </c>
      <c r="DI318" s="93" cm="1">
        <f t="array" ref="DI318">SUMPRODUCT(TRANSPOSE(DI$4:DI$20),$G318:$W318)</f>
        <v>0</v>
      </c>
      <c r="DJ318" s="93" cm="1">
        <f t="array" ref="DJ318">SUMPRODUCT(TRANSPOSE(DJ$4:DJ$20),$G318:$W318)</f>
        <v>0</v>
      </c>
      <c r="DK318" s="93" cm="1">
        <f t="array" ref="DK318">SUMPRODUCT(TRANSPOSE(DK$4:DK$20),$G318:$W318)</f>
        <v>0</v>
      </c>
      <c r="DL318" s="93" cm="1">
        <f t="array" ref="DL318">SUMPRODUCT(TRANSPOSE(DL$4:DL$20),$G318:$W318)</f>
        <v>0</v>
      </c>
      <c r="DM318" s="93" cm="1">
        <f t="array" ref="DM318">SUMPRODUCT(TRANSPOSE(DM$4:DM$20),$G318:$W318)</f>
        <v>0</v>
      </c>
      <c r="DN318" s="93" cm="1">
        <f t="array" ref="DN318">SUMPRODUCT(TRANSPOSE(DN$4:DN$20),$G318:$W318)</f>
        <v>0</v>
      </c>
      <c r="DO318" s="93" cm="1">
        <f t="array" ref="DO318">SUMPRODUCT(TRANSPOSE(DO$4:DO$20),$G318:$W318)</f>
        <v>0</v>
      </c>
    </row>
    <row r="319" spans="1:119" ht="13.9" customHeight="1" x14ac:dyDescent="0.2">
      <c r="A319" s="45">
        <f t="shared" si="30"/>
        <v>298</v>
      </c>
      <c r="B319" s="46" t="s">
        <v>716</v>
      </c>
      <c r="C319" s="45">
        <v>400396960</v>
      </c>
      <c r="D319" s="45" t="s">
        <v>717</v>
      </c>
      <c r="E319" s="45" t="s">
        <v>162</v>
      </c>
      <c r="F319" s="48">
        <v>1</v>
      </c>
      <c r="G319" s="100">
        <v>0</v>
      </c>
      <c r="H319" s="100">
        <v>0</v>
      </c>
      <c r="I319" s="100">
        <v>0</v>
      </c>
      <c r="J319" s="100">
        <v>0</v>
      </c>
      <c r="K319" s="100">
        <v>0</v>
      </c>
      <c r="L319" s="100">
        <v>0</v>
      </c>
      <c r="M319" s="100">
        <v>0</v>
      </c>
      <c r="N319" s="100">
        <v>0</v>
      </c>
      <c r="O319" s="100">
        <v>0</v>
      </c>
      <c r="P319" s="100">
        <v>0</v>
      </c>
      <c r="Q319" s="100">
        <v>0</v>
      </c>
      <c r="R319" s="100">
        <v>0</v>
      </c>
      <c r="S319" s="100">
        <v>0</v>
      </c>
      <c r="T319" s="100">
        <v>0</v>
      </c>
      <c r="U319" s="100">
        <v>0</v>
      </c>
      <c r="V319" s="100">
        <v>0</v>
      </c>
      <c r="W319" s="100">
        <v>0</v>
      </c>
      <c r="X319" s="45" t="s">
        <v>84</v>
      </c>
      <c r="Y319" s="49">
        <v>0</v>
      </c>
      <c r="Z319" s="45">
        <v>0</v>
      </c>
      <c r="AA319" s="45">
        <v>0</v>
      </c>
      <c r="AB319" s="45">
        <v>0</v>
      </c>
      <c r="AC319" s="45">
        <v>0</v>
      </c>
      <c r="AD319" s="45">
        <v>0</v>
      </c>
      <c r="AE319" s="45">
        <v>0</v>
      </c>
      <c r="AF319" s="45">
        <v>0</v>
      </c>
      <c r="AG319" s="45">
        <v>0</v>
      </c>
      <c r="AH319" s="45">
        <v>0</v>
      </c>
      <c r="AI319" s="45">
        <v>0</v>
      </c>
      <c r="AJ319" s="45">
        <v>0</v>
      </c>
      <c r="AK319" s="45">
        <v>0</v>
      </c>
      <c r="AL319" s="45">
        <v>0</v>
      </c>
      <c r="AM319" s="45">
        <v>0</v>
      </c>
      <c r="AN319" s="45">
        <v>0</v>
      </c>
      <c r="AO319" s="45"/>
      <c r="AP319" s="45"/>
      <c r="AQ319" s="45"/>
      <c r="AR319" s="45"/>
      <c r="AS319" s="45"/>
      <c r="AT319" s="45"/>
      <c r="AU319" s="45"/>
      <c r="AV319" s="45"/>
      <c r="AW319" s="45"/>
      <c r="AX319" s="45"/>
      <c r="AY319" s="45"/>
      <c r="AZ319" s="45"/>
      <c r="BA319" s="45"/>
      <c r="BB319" s="45"/>
      <c r="BC319" s="45"/>
      <c r="BD319" s="93"/>
      <c r="BE319" s="93"/>
      <c r="BF319" s="93"/>
      <c r="BG319" s="93"/>
      <c r="BH319" s="93"/>
      <c r="BI319" s="93"/>
      <c r="BJ319" s="93"/>
      <c r="BK319" s="93">
        <f>SUM($Z319:AD319)-SUM($CM319:CQ319)</f>
        <v>0</v>
      </c>
      <c r="BL319" s="93">
        <f>SUM($Z319:AE319)-SUM($CM319:CR319)</f>
        <v>0</v>
      </c>
      <c r="BM319" s="93">
        <f>SUM($Z319:AF319)-SUM($CM319:CS319)</f>
        <v>0</v>
      </c>
      <c r="BN319" s="93">
        <f>SUM($Z319:AG319)-SUM($CM319:CT319)</f>
        <v>0</v>
      </c>
      <c r="BO319" s="93">
        <f>SUM($Z319:AH319)-SUM($CM319:CU319)</f>
        <v>0</v>
      </c>
      <c r="BP319" s="93">
        <f>SUM($Z319:AI319)-SUM($CM319:CV319)</f>
        <v>0</v>
      </c>
      <c r="BQ319" s="93">
        <f>SUM($Z319:AJ319)-SUM($CM319:CW319)</f>
        <v>0</v>
      </c>
      <c r="BR319" s="93">
        <f>SUM($Z319:AK319)-SUM($CM319:CX319)</f>
        <v>0</v>
      </c>
      <c r="BS319" s="93">
        <f>SUM($Z319:AL319)-SUM($CM319:CY319)</f>
        <v>0</v>
      </c>
      <c r="BT319" s="93">
        <f>SUM($Z319:AM319)-SUM($CM319:CZ319)</f>
        <v>0</v>
      </c>
      <c r="BU319" s="93">
        <f>SUM($Z319:AN319)-SUM($CM319:DA319)</f>
        <v>0</v>
      </c>
      <c r="BV319" s="93">
        <f>SUM($Z319:AO319)-SUM($CM319:DB319)</f>
        <v>0</v>
      </c>
      <c r="BW319" s="93">
        <f>SUM($Z319:AP319)-SUM($CM319:DC319)</f>
        <v>0</v>
      </c>
      <c r="BX319" s="93">
        <f>SUM($Z319:AQ319)-SUM($CM319:DD319)</f>
        <v>0</v>
      </c>
      <c r="BY319" s="93">
        <f>SUM($Z319:AR319)-SUM($CM319:DE319)</f>
        <v>0</v>
      </c>
      <c r="BZ319" s="93">
        <f>SUM($Z319:AS319)-SUM($CM319:DF319)</f>
        <v>0</v>
      </c>
      <c r="CA319" s="93">
        <f>SUM($Z319:AT319)-SUM($CM319:DG319)</f>
        <v>0</v>
      </c>
      <c r="CB319" s="93">
        <f>SUM($Z319:AU319)-SUM($CM319:DH319)</f>
        <v>0</v>
      </c>
      <c r="CC319" s="93">
        <f>SUM($Z319:AV319)-SUM($CM319:DI319)</f>
        <v>0</v>
      </c>
      <c r="CD319" s="93">
        <f>SUM($Z319:AW319)-SUM($CM319:DJ319)</f>
        <v>0</v>
      </c>
      <c r="CE319" s="93">
        <f>SUM($Z319:AX319)-SUM($CM319:DK319)</f>
        <v>0</v>
      </c>
      <c r="CF319" s="93">
        <f>SUM($Z319:AY319)-SUM($CM319:DL319)</f>
        <v>0</v>
      </c>
      <c r="CG319" s="93">
        <f>SUM($Z319:AZ319)-SUM($CM319:DM319)</f>
        <v>0</v>
      </c>
      <c r="CH319" s="93">
        <f>SUM($Z319:BA319)-SUM($CM319:DN319)</f>
        <v>0</v>
      </c>
      <c r="CI319" s="93">
        <f>SUM($Z319:BB319)-SUM($CM319:DO319)</f>
        <v>0</v>
      </c>
      <c r="CJ319" s="93"/>
      <c r="CK319" s="93"/>
      <c r="CL319" s="93"/>
      <c r="CM319" s="93"/>
      <c r="CN319" s="93" cm="1">
        <f t="array" ref="CN319">SUMPRODUCT(TRANSPOSE(CN$4:CN$20),$G319:$W319)</f>
        <v>0</v>
      </c>
      <c r="CO319" s="93" cm="1">
        <f t="array" ref="CO319">SUMPRODUCT(TRANSPOSE(CO$4:CO$20),$G319:$W319)</f>
        <v>0</v>
      </c>
      <c r="CP319" s="93" cm="1">
        <f t="array" ref="CP319">SUMPRODUCT(TRANSPOSE(CP$4:CP$20),$G319:$W319)</f>
        <v>0</v>
      </c>
      <c r="CQ319" s="93" cm="1">
        <f t="array" ref="CQ319">SUMPRODUCT(TRANSPOSE(CQ$4:CQ$20),$G319:$W319)</f>
        <v>0</v>
      </c>
      <c r="CR319" s="93" cm="1">
        <f t="array" ref="CR319">SUMPRODUCT(TRANSPOSE(CR$4:CR$20),$G319:$W319)</f>
        <v>0</v>
      </c>
      <c r="CS319" s="93" cm="1">
        <f t="array" ref="CS319">SUMPRODUCT(TRANSPOSE(CS$4:CS$20),$G319:$W319)</f>
        <v>0</v>
      </c>
      <c r="CT319" s="93" cm="1">
        <f t="array" ref="CT319">SUMPRODUCT(TRANSPOSE(CT$4:CT$20),$G319:$W319)</f>
        <v>0</v>
      </c>
      <c r="CU319" s="93" cm="1">
        <f t="array" ref="CU319">SUMPRODUCT(TRANSPOSE(CU$4:CU$20),$G319:$W319)</f>
        <v>0</v>
      </c>
      <c r="CV319" s="93" cm="1">
        <f t="array" ref="CV319">SUMPRODUCT(TRANSPOSE(CV$4:CV$20),$G319:$W319)</f>
        <v>0</v>
      </c>
      <c r="CW319" s="93" cm="1">
        <f t="array" ref="CW319">SUMPRODUCT(TRANSPOSE(CW$4:CW$20),$G319:$W319)</f>
        <v>0</v>
      </c>
      <c r="CX319" s="93" cm="1">
        <f t="array" ref="CX319">SUMPRODUCT(TRANSPOSE(CX$4:CX$20),$G319:$W319)</f>
        <v>0</v>
      </c>
      <c r="CY319" s="93" cm="1">
        <f t="array" ref="CY319">SUMPRODUCT(TRANSPOSE(CY$4:CY$20),$G319:$W319)</f>
        <v>0</v>
      </c>
      <c r="CZ319" s="93" cm="1">
        <f t="array" ref="CZ319">SUMPRODUCT(TRANSPOSE(CZ$4:CZ$20),$G319:$W319)</f>
        <v>0</v>
      </c>
      <c r="DA319" s="93" cm="1">
        <f t="array" ref="DA319">SUMPRODUCT(TRANSPOSE(DA$4:DA$20),$G319:$W319)</f>
        <v>0</v>
      </c>
      <c r="DB319" s="93" cm="1">
        <f t="array" ref="DB319">SUMPRODUCT(TRANSPOSE(DB$4:DB$20),$G319:$W319)</f>
        <v>0</v>
      </c>
      <c r="DC319" s="93" cm="1">
        <f t="array" ref="DC319">SUMPRODUCT(TRANSPOSE(DC$4:DC$20),$G319:$W319)</f>
        <v>0</v>
      </c>
      <c r="DD319" s="93" cm="1">
        <f t="array" ref="DD319">SUMPRODUCT(TRANSPOSE(DD$4:DD$20),$G319:$W319)</f>
        <v>0</v>
      </c>
      <c r="DE319" s="93" cm="1">
        <f t="array" ref="DE319">SUMPRODUCT(TRANSPOSE(DE$4:DE$20),$G319:$W319)</f>
        <v>0</v>
      </c>
      <c r="DF319" s="93" cm="1">
        <f t="array" ref="DF319">SUMPRODUCT(TRANSPOSE(DF$4:DF$20),$G319:$W319)</f>
        <v>0</v>
      </c>
      <c r="DG319" s="93" cm="1">
        <f t="array" ref="DG319">SUMPRODUCT(TRANSPOSE(DG$4:DG$20),$G319:$W319)</f>
        <v>0</v>
      </c>
      <c r="DH319" s="93" cm="1">
        <f t="array" ref="DH319">SUMPRODUCT(TRANSPOSE(DH$4:DH$20),$G319:$W319)</f>
        <v>0</v>
      </c>
      <c r="DI319" s="93" cm="1">
        <f t="array" ref="DI319">SUMPRODUCT(TRANSPOSE(DI$4:DI$20),$G319:$W319)</f>
        <v>0</v>
      </c>
      <c r="DJ319" s="93" cm="1">
        <f t="array" ref="DJ319">SUMPRODUCT(TRANSPOSE(DJ$4:DJ$20),$G319:$W319)</f>
        <v>0</v>
      </c>
      <c r="DK319" s="93" cm="1">
        <f t="array" ref="DK319">SUMPRODUCT(TRANSPOSE(DK$4:DK$20),$G319:$W319)</f>
        <v>0</v>
      </c>
      <c r="DL319" s="93" cm="1">
        <f t="array" ref="DL319">SUMPRODUCT(TRANSPOSE(DL$4:DL$20),$G319:$W319)</f>
        <v>0</v>
      </c>
      <c r="DM319" s="93" cm="1">
        <f t="array" ref="DM319">SUMPRODUCT(TRANSPOSE(DM$4:DM$20),$G319:$W319)</f>
        <v>0</v>
      </c>
      <c r="DN319" s="93" cm="1">
        <f t="array" ref="DN319">SUMPRODUCT(TRANSPOSE(DN$4:DN$20),$G319:$W319)</f>
        <v>0</v>
      </c>
      <c r="DO319" s="93" cm="1">
        <f t="array" ref="DO319">SUMPRODUCT(TRANSPOSE(DO$4:DO$20),$G319:$W319)</f>
        <v>0</v>
      </c>
    </row>
    <row r="320" spans="1:119" x14ac:dyDescent="0.2">
      <c r="A320" s="45">
        <f t="shared" si="30"/>
        <v>299</v>
      </c>
      <c r="B320" s="51" t="s">
        <v>718</v>
      </c>
      <c r="C320" s="45" t="s">
        <v>719</v>
      </c>
      <c r="D320" s="45" t="s">
        <v>720</v>
      </c>
      <c r="E320" s="45" t="s">
        <v>162</v>
      </c>
      <c r="F320" s="48">
        <v>1</v>
      </c>
      <c r="G320" s="100">
        <v>0</v>
      </c>
      <c r="H320" s="100">
        <v>0</v>
      </c>
      <c r="I320" s="100">
        <v>0</v>
      </c>
      <c r="J320" s="100">
        <v>0</v>
      </c>
      <c r="K320" s="100">
        <v>0</v>
      </c>
      <c r="L320" s="100">
        <v>0</v>
      </c>
      <c r="M320" s="100">
        <v>0</v>
      </c>
      <c r="N320" s="100">
        <v>0</v>
      </c>
      <c r="O320" s="100">
        <v>0</v>
      </c>
      <c r="P320" s="100">
        <v>0</v>
      </c>
      <c r="Q320" s="100">
        <v>0</v>
      </c>
      <c r="R320" s="100">
        <v>0</v>
      </c>
      <c r="S320" s="100">
        <v>0</v>
      </c>
      <c r="T320" s="100">
        <v>0</v>
      </c>
      <c r="U320" s="100">
        <v>0</v>
      </c>
      <c r="V320" s="100">
        <v>0</v>
      </c>
      <c r="W320" s="100">
        <v>0</v>
      </c>
      <c r="X320" s="45" t="s">
        <v>84</v>
      </c>
      <c r="Y320" s="49">
        <v>0</v>
      </c>
      <c r="Z320" s="45">
        <v>0</v>
      </c>
      <c r="AA320" s="45">
        <v>0</v>
      </c>
      <c r="AB320" s="45">
        <v>0</v>
      </c>
      <c r="AC320" s="45">
        <v>0</v>
      </c>
      <c r="AD320" s="45">
        <v>0</v>
      </c>
      <c r="AE320" s="45">
        <v>0</v>
      </c>
      <c r="AF320" s="45">
        <v>0</v>
      </c>
      <c r="AG320" s="45">
        <v>0</v>
      </c>
      <c r="AH320" s="45">
        <v>0</v>
      </c>
      <c r="AI320" s="45">
        <v>0</v>
      </c>
      <c r="AJ320" s="45">
        <v>0</v>
      </c>
      <c r="AK320" s="45">
        <v>0</v>
      </c>
      <c r="AL320" s="45">
        <v>0</v>
      </c>
      <c r="AM320" s="45">
        <v>0</v>
      </c>
      <c r="AN320" s="45">
        <v>0</v>
      </c>
      <c r="AO320" s="45"/>
      <c r="AP320" s="45"/>
      <c r="AQ320" s="45"/>
      <c r="AR320" s="45"/>
      <c r="AS320" s="45"/>
      <c r="AT320" s="45"/>
      <c r="AU320" s="45"/>
      <c r="AV320" s="45"/>
      <c r="AW320" s="45"/>
      <c r="AX320" s="45"/>
      <c r="AY320" s="45"/>
      <c r="AZ320" s="45"/>
      <c r="BA320" s="45"/>
      <c r="BB320" s="45"/>
      <c r="BC320" s="45"/>
      <c r="BD320" s="93"/>
      <c r="BE320" s="93"/>
      <c r="BF320" s="93"/>
      <c r="BG320" s="93"/>
      <c r="BH320" s="93"/>
      <c r="BI320" s="93"/>
      <c r="BJ320" s="93"/>
      <c r="BK320" s="93">
        <f>SUM($Z320:AD320)-SUM($CM320:CQ320)</f>
        <v>0</v>
      </c>
      <c r="BL320" s="93">
        <f>SUM($Z320:AE320)-SUM($CM320:CR320)</f>
        <v>0</v>
      </c>
      <c r="BM320" s="93">
        <f>SUM($Z320:AF320)-SUM($CM320:CS320)</f>
        <v>0</v>
      </c>
      <c r="BN320" s="93">
        <f>SUM($Z320:AG320)-SUM($CM320:CT320)</f>
        <v>0</v>
      </c>
      <c r="BO320" s="93">
        <f>SUM($Z320:AH320)-SUM($CM320:CU320)</f>
        <v>0</v>
      </c>
      <c r="BP320" s="93">
        <f>SUM($Z320:AI320)-SUM($CM320:CV320)</f>
        <v>0</v>
      </c>
      <c r="BQ320" s="93">
        <f>SUM($Z320:AJ320)-SUM($CM320:CW320)</f>
        <v>0</v>
      </c>
      <c r="BR320" s="93">
        <f>SUM($Z320:AK320)-SUM($CM320:CX320)</f>
        <v>0</v>
      </c>
      <c r="BS320" s="93">
        <f>SUM($Z320:AL320)-SUM($CM320:CY320)</f>
        <v>0</v>
      </c>
      <c r="BT320" s="93">
        <f>SUM($Z320:AM320)-SUM($CM320:CZ320)</f>
        <v>0</v>
      </c>
      <c r="BU320" s="93">
        <f>SUM($Z320:AN320)-SUM($CM320:DA320)</f>
        <v>0</v>
      </c>
      <c r="BV320" s="93">
        <f>SUM($Z320:AO320)-SUM($CM320:DB320)</f>
        <v>0</v>
      </c>
      <c r="BW320" s="93">
        <f>SUM($Z320:AP320)-SUM($CM320:DC320)</f>
        <v>0</v>
      </c>
      <c r="BX320" s="93">
        <f>SUM($Z320:AQ320)-SUM($CM320:DD320)</f>
        <v>0</v>
      </c>
      <c r="BY320" s="93">
        <f>SUM($Z320:AR320)-SUM($CM320:DE320)</f>
        <v>0</v>
      </c>
      <c r="BZ320" s="93">
        <f>SUM($Z320:AS320)-SUM($CM320:DF320)</f>
        <v>0</v>
      </c>
      <c r="CA320" s="93">
        <f>SUM($Z320:AT320)-SUM($CM320:DG320)</f>
        <v>0</v>
      </c>
      <c r="CB320" s="93">
        <f>SUM($Z320:AU320)-SUM($CM320:DH320)</f>
        <v>0</v>
      </c>
      <c r="CC320" s="93">
        <f>SUM($Z320:AV320)-SUM($CM320:DI320)</f>
        <v>0</v>
      </c>
      <c r="CD320" s="93">
        <f>SUM($Z320:AW320)-SUM($CM320:DJ320)</f>
        <v>0</v>
      </c>
      <c r="CE320" s="93">
        <f>SUM($Z320:AX320)-SUM($CM320:DK320)</f>
        <v>0</v>
      </c>
      <c r="CF320" s="93">
        <f>SUM($Z320:AY320)-SUM($CM320:DL320)</f>
        <v>0</v>
      </c>
      <c r="CG320" s="93">
        <f>SUM($Z320:AZ320)-SUM($CM320:DM320)</f>
        <v>0</v>
      </c>
      <c r="CH320" s="93">
        <f>SUM($Z320:BA320)-SUM($CM320:DN320)</f>
        <v>0</v>
      </c>
      <c r="CI320" s="93">
        <f>SUM($Z320:BB320)-SUM($CM320:DO320)</f>
        <v>0</v>
      </c>
      <c r="CJ320" s="93"/>
      <c r="CK320" s="93"/>
      <c r="CL320" s="93"/>
      <c r="CM320" s="93"/>
      <c r="CN320" s="93" cm="1">
        <f t="array" ref="CN320">SUMPRODUCT(TRANSPOSE(CN$4:CN$20),$G320:$W320)</f>
        <v>0</v>
      </c>
      <c r="CO320" s="93" cm="1">
        <f t="array" ref="CO320">SUMPRODUCT(TRANSPOSE(CO$4:CO$20),$G320:$W320)</f>
        <v>0</v>
      </c>
      <c r="CP320" s="93" cm="1">
        <f t="array" ref="CP320">SUMPRODUCT(TRANSPOSE(CP$4:CP$20),$G320:$W320)</f>
        <v>0</v>
      </c>
      <c r="CQ320" s="93" cm="1">
        <f t="array" ref="CQ320">SUMPRODUCT(TRANSPOSE(CQ$4:CQ$20),$G320:$W320)</f>
        <v>0</v>
      </c>
      <c r="CR320" s="93" cm="1">
        <f t="array" ref="CR320">SUMPRODUCT(TRANSPOSE(CR$4:CR$20),$G320:$W320)</f>
        <v>0</v>
      </c>
      <c r="CS320" s="93" cm="1">
        <f t="array" ref="CS320">SUMPRODUCT(TRANSPOSE(CS$4:CS$20),$G320:$W320)</f>
        <v>0</v>
      </c>
      <c r="CT320" s="93" cm="1">
        <f t="array" ref="CT320">SUMPRODUCT(TRANSPOSE(CT$4:CT$20),$G320:$W320)</f>
        <v>0</v>
      </c>
      <c r="CU320" s="93" cm="1">
        <f t="array" ref="CU320">SUMPRODUCT(TRANSPOSE(CU$4:CU$20),$G320:$W320)</f>
        <v>0</v>
      </c>
      <c r="CV320" s="93" cm="1">
        <f t="array" ref="CV320">SUMPRODUCT(TRANSPOSE(CV$4:CV$20),$G320:$W320)</f>
        <v>0</v>
      </c>
      <c r="CW320" s="93" cm="1">
        <f t="array" ref="CW320">SUMPRODUCT(TRANSPOSE(CW$4:CW$20),$G320:$W320)</f>
        <v>0</v>
      </c>
      <c r="CX320" s="93" cm="1">
        <f t="array" ref="CX320">SUMPRODUCT(TRANSPOSE(CX$4:CX$20),$G320:$W320)</f>
        <v>0</v>
      </c>
      <c r="CY320" s="93" cm="1">
        <f t="array" ref="CY320">SUMPRODUCT(TRANSPOSE(CY$4:CY$20),$G320:$W320)</f>
        <v>0</v>
      </c>
      <c r="CZ320" s="93" cm="1">
        <f t="array" ref="CZ320">SUMPRODUCT(TRANSPOSE(CZ$4:CZ$20),$G320:$W320)</f>
        <v>0</v>
      </c>
      <c r="DA320" s="93" cm="1">
        <f t="array" ref="DA320">SUMPRODUCT(TRANSPOSE(DA$4:DA$20),$G320:$W320)</f>
        <v>0</v>
      </c>
      <c r="DB320" s="93" cm="1">
        <f t="array" ref="DB320">SUMPRODUCT(TRANSPOSE(DB$4:DB$20),$G320:$W320)</f>
        <v>0</v>
      </c>
      <c r="DC320" s="93" cm="1">
        <f t="array" ref="DC320">SUMPRODUCT(TRANSPOSE(DC$4:DC$20),$G320:$W320)</f>
        <v>0</v>
      </c>
      <c r="DD320" s="93" cm="1">
        <f t="array" ref="DD320">SUMPRODUCT(TRANSPOSE(DD$4:DD$20),$G320:$W320)</f>
        <v>0</v>
      </c>
      <c r="DE320" s="93" cm="1">
        <f t="array" ref="DE320">SUMPRODUCT(TRANSPOSE(DE$4:DE$20),$G320:$W320)</f>
        <v>0</v>
      </c>
      <c r="DF320" s="93" cm="1">
        <f t="array" ref="DF320">SUMPRODUCT(TRANSPOSE(DF$4:DF$20),$G320:$W320)</f>
        <v>0</v>
      </c>
      <c r="DG320" s="93" cm="1">
        <f t="array" ref="DG320">SUMPRODUCT(TRANSPOSE(DG$4:DG$20),$G320:$W320)</f>
        <v>0</v>
      </c>
      <c r="DH320" s="93" cm="1">
        <f t="array" ref="DH320">SUMPRODUCT(TRANSPOSE(DH$4:DH$20),$G320:$W320)</f>
        <v>0</v>
      </c>
      <c r="DI320" s="93" cm="1">
        <f t="array" ref="DI320">SUMPRODUCT(TRANSPOSE(DI$4:DI$20),$G320:$W320)</f>
        <v>0</v>
      </c>
      <c r="DJ320" s="93" cm="1">
        <f t="array" ref="DJ320">SUMPRODUCT(TRANSPOSE(DJ$4:DJ$20),$G320:$W320)</f>
        <v>0</v>
      </c>
      <c r="DK320" s="93" cm="1">
        <f t="array" ref="DK320">SUMPRODUCT(TRANSPOSE(DK$4:DK$20),$G320:$W320)</f>
        <v>0</v>
      </c>
      <c r="DL320" s="93" cm="1">
        <f t="array" ref="DL320">SUMPRODUCT(TRANSPOSE(DL$4:DL$20),$G320:$W320)</f>
        <v>0</v>
      </c>
      <c r="DM320" s="93" cm="1">
        <f t="array" ref="DM320">SUMPRODUCT(TRANSPOSE(DM$4:DM$20),$G320:$W320)</f>
        <v>0</v>
      </c>
      <c r="DN320" s="93" cm="1">
        <f t="array" ref="DN320">SUMPRODUCT(TRANSPOSE(DN$4:DN$20),$G320:$W320)</f>
        <v>0</v>
      </c>
      <c r="DO320" s="93" cm="1">
        <f t="array" ref="DO320">SUMPRODUCT(TRANSPOSE(DO$4:DO$20),$G320:$W320)</f>
        <v>0</v>
      </c>
    </row>
    <row r="321" spans="1:119" x14ac:dyDescent="0.2">
      <c r="A321" s="47">
        <f t="shared" si="30"/>
        <v>300</v>
      </c>
      <c r="B321" s="46" t="s">
        <v>721</v>
      </c>
      <c r="C321" s="45" t="s">
        <v>722</v>
      </c>
      <c r="D321" s="45" t="s">
        <v>723</v>
      </c>
      <c r="E321" s="45" t="s">
        <v>162</v>
      </c>
      <c r="F321" s="48">
        <v>1</v>
      </c>
      <c r="G321" s="100">
        <v>0</v>
      </c>
      <c r="H321" s="100">
        <v>0</v>
      </c>
      <c r="I321" s="100">
        <v>0</v>
      </c>
      <c r="J321" s="100">
        <v>0</v>
      </c>
      <c r="K321" s="100">
        <v>0</v>
      </c>
      <c r="L321" s="100">
        <v>0</v>
      </c>
      <c r="M321" s="100">
        <v>0</v>
      </c>
      <c r="N321" s="100">
        <v>0</v>
      </c>
      <c r="O321" s="100">
        <v>0</v>
      </c>
      <c r="P321" s="100">
        <v>0</v>
      </c>
      <c r="Q321" s="100">
        <v>1</v>
      </c>
      <c r="R321" s="100">
        <v>0</v>
      </c>
      <c r="S321" s="100">
        <v>0</v>
      </c>
      <c r="T321" s="100">
        <v>0</v>
      </c>
      <c r="U321" s="100">
        <v>1</v>
      </c>
      <c r="V321" s="100">
        <v>0</v>
      </c>
      <c r="W321" s="100">
        <v>0</v>
      </c>
      <c r="X321" s="45" t="s">
        <v>84</v>
      </c>
      <c r="Y321" s="49">
        <v>4.07</v>
      </c>
      <c r="Z321" s="45">
        <v>1370</v>
      </c>
      <c r="AA321" s="45">
        <v>0</v>
      </c>
      <c r="AB321" s="45">
        <v>0</v>
      </c>
      <c r="AC321" s="45">
        <v>0</v>
      </c>
      <c r="AD321" s="45">
        <v>0</v>
      </c>
      <c r="AE321" s="45">
        <v>0</v>
      </c>
      <c r="AF321" s="45">
        <v>0</v>
      </c>
      <c r="AG321" s="45">
        <v>0</v>
      </c>
      <c r="AH321" s="45">
        <v>0</v>
      </c>
      <c r="AI321" s="45">
        <v>0</v>
      </c>
      <c r="AJ321" s="45">
        <v>0</v>
      </c>
      <c r="AK321" s="45">
        <v>0</v>
      </c>
      <c r="AL321" s="45">
        <v>0</v>
      </c>
      <c r="AM321" s="45">
        <v>0</v>
      </c>
      <c r="AN321" s="45">
        <v>0</v>
      </c>
      <c r="AO321" s="45"/>
      <c r="AP321" s="45"/>
      <c r="AQ321" s="45"/>
      <c r="AR321" s="45"/>
      <c r="AS321" s="45"/>
      <c r="AT321" s="45"/>
      <c r="AU321" s="45"/>
      <c r="AV321" s="45"/>
      <c r="AW321" s="45"/>
      <c r="AX321" s="45"/>
      <c r="AY321" s="45"/>
      <c r="AZ321" s="45"/>
      <c r="BA321" s="45"/>
      <c r="BB321" s="45"/>
      <c r="BC321" s="45"/>
      <c r="BD321" s="93"/>
      <c r="BE321" s="93"/>
      <c r="BF321" s="93"/>
      <c r="BG321" s="93"/>
      <c r="BH321" s="93"/>
      <c r="BI321" s="93"/>
      <c r="BJ321" s="93"/>
      <c r="BK321" s="93">
        <f>SUM($Z321:AD321)-SUM($CM321:CQ321)</f>
        <v>1292</v>
      </c>
      <c r="BL321" s="93">
        <f>SUM($Z321:AE321)-SUM($CM321:CR321)</f>
        <v>1222</v>
      </c>
      <c r="BM321" s="93">
        <f>SUM($Z321:AF321)-SUM($CM321:CS321)</f>
        <v>1157</v>
      </c>
      <c r="BN321" s="93">
        <f>SUM($Z321:AG321)-SUM($CM321:CT321)</f>
        <v>1097</v>
      </c>
      <c r="BO321" s="93">
        <f>SUM($Z321:AH321)-SUM($CM321:CU321)</f>
        <v>1037</v>
      </c>
      <c r="BP321" s="93">
        <f>SUM($Z321:AI321)-SUM($CM321:CV321)</f>
        <v>977</v>
      </c>
      <c r="BQ321" s="93">
        <f>SUM($Z321:AJ321)-SUM($CM321:CW321)</f>
        <v>917</v>
      </c>
      <c r="BR321" s="93">
        <f>SUM($Z321:AK321)-SUM($CM321:CX321)</f>
        <v>857</v>
      </c>
      <c r="BS321" s="93">
        <f>SUM($Z321:AL321)-SUM($CM321:CY321)</f>
        <v>797</v>
      </c>
      <c r="BT321" s="93">
        <f>SUM($Z321:AM321)-SUM($CM321:CZ321)</f>
        <v>737</v>
      </c>
      <c r="BU321" s="93">
        <f>SUM($Z321:AN321)-SUM($CM321:DA321)</f>
        <v>677</v>
      </c>
      <c r="BV321" s="93">
        <f>SUM($Z321:AO321)-SUM($CM321:DB321)</f>
        <v>663</v>
      </c>
      <c r="BW321" s="93">
        <f>SUM($Z321:AP321)-SUM($CM321:DC321)</f>
        <v>663</v>
      </c>
      <c r="BX321" s="93">
        <f>SUM($Z321:AQ321)-SUM($CM321:DD321)</f>
        <v>663</v>
      </c>
      <c r="BY321" s="93">
        <f>SUM($Z321:AR321)-SUM($CM321:DE321)</f>
        <v>663</v>
      </c>
      <c r="BZ321" s="93">
        <f>SUM($Z321:AS321)-SUM($CM321:DF321)</f>
        <v>663</v>
      </c>
      <c r="CA321" s="93">
        <f>SUM($Z321:AT321)-SUM($CM321:DG321)</f>
        <v>663</v>
      </c>
      <c r="CB321" s="93">
        <f>SUM($Z321:AU321)-SUM($CM321:DH321)</f>
        <v>663</v>
      </c>
      <c r="CC321" s="93">
        <f>SUM($Z321:AV321)-SUM($CM321:DI321)</f>
        <v>663</v>
      </c>
      <c r="CD321" s="93">
        <f>SUM($Z321:AW321)-SUM($CM321:DJ321)</f>
        <v>663</v>
      </c>
      <c r="CE321" s="93">
        <f>SUM($Z321:AX321)-SUM($CM321:DK321)</f>
        <v>663</v>
      </c>
      <c r="CF321" s="93">
        <f>SUM($Z321:AY321)-SUM($CM321:DL321)</f>
        <v>663</v>
      </c>
      <c r="CG321" s="93">
        <f>SUM($Z321:AZ321)-SUM($CM321:DM321)</f>
        <v>663</v>
      </c>
      <c r="CH321" s="93">
        <f>SUM($Z321:BA321)-SUM($CM321:DN321)</f>
        <v>663</v>
      </c>
      <c r="CI321" s="93">
        <f>SUM($Z321:BB321)-SUM($CM321:DO321)</f>
        <v>663</v>
      </c>
      <c r="CJ321" s="93"/>
      <c r="CK321" s="93"/>
      <c r="CL321" s="93"/>
      <c r="CM321" s="93"/>
      <c r="CN321" s="93" cm="1">
        <f t="array" ref="CN321">SUMPRODUCT(TRANSPOSE(CN$4:CN$20),$G321:$W321)</f>
        <v>0</v>
      </c>
      <c r="CO321" s="93" cm="1">
        <f t="array" ref="CO321">SUMPRODUCT(TRANSPOSE(CO$4:CO$20),$G321:$W321)</f>
        <v>0</v>
      </c>
      <c r="CP321" s="93" cm="1">
        <f t="array" ref="CP321">SUMPRODUCT(TRANSPOSE(CP$4:CP$20),$G321:$W321)</f>
        <v>0</v>
      </c>
      <c r="CQ321" s="93" cm="1">
        <f t="array" ref="CQ321">SUMPRODUCT(TRANSPOSE(CQ$4:CQ$20),$G321:$W321)</f>
        <v>78</v>
      </c>
      <c r="CR321" s="93" cm="1">
        <f t="array" ref="CR321">SUMPRODUCT(TRANSPOSE(CR$4:CR$20),$G321:$W321)</f>
        <v>70</v>
      </c>
      <c r="CS321" s="93" cm="1">
        <f t="array" ref="CS321">SUMPRODUCT(TRANSPOSE(CS$4:CS$20),$G321:$W321)</f>
        <v>65</v>
      </c>
      <c r="CT321" s="93" cm="1">
        <f t="array" ref="CT321">SUMPRODUCT(TRANSPOSE(CT$4:CT$20),$G321:$W321)</f>
        <v>60</v>
      </c>
      <c r="CU321" s="93" cm="1">
        <f t="array" ref="CU321">SUMPRODUCT(TRANSPOSE(CU$4:CU$20),$G321:$W321)</f>
        <v>60</v>
      </c>
      <c r="CV321" s="93" cm="1">
        <f t="array" ref="CV321">SUMPRODUCT(TRANSPOSE(CV$4:CV$20),$G321:$W321)</f>
        <v>60</v>
      </c>
      <c r="CW321" s="93" cm="1">
        <f t="array" ref="CW321">SUMPRODUCT(TRANSPOSE(CW$4:CW$20),$G321:$W321)</f>
        <v>60</v>
      </c>
      <c r="CX321" s="93" cm="1">
        <f t="array" ref="CX321">SUMPRODUCT(TRANSPOSE(CX$4:CX$20),$G321:$W321)</f>
        <v>60</v>
      </c>
      <c r="CY321" s="93" cm="1">
        <f t="array" ref="CY321">SUMPRODUCT(TRANSPOSE(CY$4:CY$20),$G321:$W321)</f>
        <v>60</v>
      </c>
      <c r="CZ321" s="93" cm="1">
        <f t="array" ref="CZ321">SUMPRODUCT(TRANSPOSE(CZ$4:CZ$20),$G321:$W321)</f>
        <v>60</v>
      </c>
      <c r="DA321" s="93" cm="1">
        <f t="array" ref="DA321">SUMPRODUCT(TRANSPOSE(DA$4:DA$20),$G321:$W321)</f>
        <v>60</v>
      </c>
      <c r="DB321" s="93" cm="1">
        <f t="array" ref="DB321">SUMPRODUCT(TRANSPOSE(DB$4:DB$20),$G321:$W321)</f>
        <v>14</v>
      </c>
      <c r="DC321" s="93" cm="1">
        <f t="array" ref="DC321">SUMPRODUCT(TRANSPOSE(DC$4:DC$20),$G321:$W321)</f>
        <v>0</v>
      </c>
      <c r="DD321" s="93" cm="1">
        <f t="array" ref="DD321">SUMPRODUCT(TRANSPOSE(DD$4:DD$20),$G321:$W321)</f>
        <v>0</v>
      </c>
      <c r="DE321" s="93" cm="1">
        <f t="array" ref="DE321">SUMPRODUCT(TRANSPOSE(DE$4:DE$20),$G321:$W321)</f>
        <v>0</v>
      </c>
      <c r="DF321" s="93" cm="1">
        <f t="array" ref="DF321">SUMPRODUCT(TRANSPOSE(DF$4:DF$20),$G321:$W321)</f>
        <v>0</v>
      </c>
      <c r="DG321" s="93" cm="1">
        <f t="array" ref="DG321">SUMPRODUCT(TRANSPOSE(DG$4:DG$20),$G321:$W321)</f>
        <v>0</v>
      </c>
      <c r="DH321" s="93" cm="1">
        <f t="array" ref="DH321">SUMPRODUCT(TRANSPOSE(DH$4:DH$20),$G321:$W321)</f>
        <v>0</v>
      </c>
      <c r="DI321" s="93" cm="1">
        <f t="array" ref="DI321">SUMPRODUCT(TRANSPOSE(DI$4:DI$20),$G321:$W321)</f>
        <v>0</v>
      </c>
      <c r="DJ321" s="93" cm="1">
        <f t="array" ref="DJ321">SUMPRODUCT(TRANSPOSE(DJ$4:DJ$20),$G321:$W321)</f>
        <v>0</v>
      </c>
      <c r="DK321" s="93" cm="1">
        <f t="array" ref="DK321">SUMPRODUCT(TRANSPOSE(DK$4:DK$20),$G321:$W321)</f>
        <v>0</v>
      </c>
      <c r="DL321" s="93" cm="1">
        <f t="array" ref="DL321">SUMPRODUCT(TRANSPOSE(DL$4:DL$20),$G321:$W321)</f>
        <v>0</v>
      </c>
      <c r="DM321" s="93" cm="1">
        <f t="array" ref="DM321">SUMPRODUCT(TRANSPOSE(DM$4:DM$20),$G321:$W321)</f>
        <v>0</v>
      </c>
      <c r="DN321" s="93" cm="1">
        <f t="array" ref="DN321">SUMPRODUCT(TRANSPOSE(DN$4:DN$20),$G321:$W321)</f>
        <v>0</v>
      </c>
      <c r="DO321" s="93" cm="1">
        <f t="array" ref="DO321">SUMPRODUCT(TRANSPOSE(DO$4:DO$20),$G321:$W321)</f>
        <v>0</v>
      </c>
    </row>
    <row r="322" spans="1:119" x14ac:dyDescent="0.2">
      <c r="A322" s="47">
        <f t="shared" si="30"/>
        <v>301</v>
      </c>
      <c r="B322" s="46" t="s">
        <v>724</v>
      </c>
      <c r="C322" s="45" t="s">
        <v>725</v>
      </c>
      <c r="D322" s="45" t="s">
        <v>726</v>
      </c>
      <c r="E322" s="45" t="s">
        <v>162</v>
      </c>
      <c r="F322" s="48">
        <v>2</v>
      </c>
      <c r="G322" s="100">
        <v>0</v>
      </c>
      <c r="H322" s="100">
        <v>0</v>
      </c>
      <c r="I322" s="100">
        <v>0</v>
      </c>
      <c r="J322" s="100">
        <v>0</v>
      </c>
      <c r="K322" s="100">
        <v>0</v>
      </c>
      <c r="L322" s="100">
        <v>0</v>
      </c>
      <c r="M322" s="100">
        <v>0</v>
      </c>
      <c r="N322" s="100">
        <v>0</v>
      </c>
      <c r="O322" s="100">
        <v>0</v>
      </c>
      <c r="P322" s="100">
        <v>0</v>
      </c>
      <c r="Q322" s="100">
        <v>1</v>
      </c>
      <c r="R322" s="100">
        <v>0</v>
      </c>
      <c r="S322" s="100">
        <v>0</v>
      </c>
      <c r="T322" s="100">
        <v>0</v>
      </c>
      <c r="U322" s="100">
        <v>1</v>
      </c>
      <c r="V322" s="100">
        <v>0</v>
      </c>
      <c r="W322" s="100">
        <v>0</v>
      </c>
      <c r="X322" s="45" t="s">
        <v>84</v>
      </c>
      <c r="Y322" s="49">
        <v>7.77</v>
      </c>
      <c r="Z322" s="45">
        <v>1279</v>
      </c>
      <c r="AA322" s="45">
        <v>0</v>
      </c>
      <c r="AB322" s="45">
        <v>0</v>
      </c>
      <c r="AC322" s="45">
        <v>0</v>
      </c>
      <c r="AD322" s="45">
        <v>0</v>
      </c>
      <c r="AE322" s="45">
        <v>0</v>
      </c>
      <c r="AF322" s="45">
        <v>0</v>
      </c>
      <c r="AG322" s="45">
        <v>0</v>
      </c>
      <c r="AH322" s="45">
        <v>0</v>
      </c>
      <c r="AI322" s="45">
        <v>0</v>
      </c>
      <c r="AJ322" s="45">
        <v>0</v>
      </c>
      <c r="AK322" s="45">
        <v>0</v>
      </c>
      <c r="AL322" s="45">
        <v>0</v>
      </c>
      <c r="AM322" s="45">
        <v>0</v>
      </c>
      <c r="AN322" s="45">
        <v>0</v>
      </c>
      <c r="AO322" s="45"/>
      <c r="AP322" s="45"/>
      <c r="AQ322" s="45"/>
      <c r="AR322" s="45"/>
      <c r="AS322" s="45"/>
      <c r="AT322" s="45"/>
      <c r="AU322" s="45"/>
      <c r="AV322" s="45"/>
      <c r="AW322" s="45"/>
      <c r="AX322" s="45"/>
      <c r="AY322" s="45"/>
      <c r="AZ322" s="45"/>
      <c r="BA322" s="45"/>
      <c r="BB322" s="45"/>
      <c r="BC322" s="45"/>
      <c r="BD322" s="93"/>
      <c r="BE322" s="93"/>
      <c r="BF322" s="93"/>
      <c r="BG322" s="93"/>
      <c r="BH322" s="93"/>
      <c r="BI322" s="93"/>
      <c r="BJ322" s="93"/>
      <c r="BK322" s="93">
        <f>SUM($Z322:AD322)-SUM($CM322:CQ322)</f>
        <v>1201</v>
      </c>
      <c r="BL322" s="93">
        <f>SUM($Z322:AE322)-SUM($CM322:CR322)</f>
        <v>1131</v>
      </c>
      <c r="BM322" s="93">
        <f>SUM($Z322:AF322)-SUM($CM322:CS322)</f>
        <v>1066</v>
      </c>
      <c r="BN322" s="93">
        <f>SUM($Z322:AG322)-SUM($CM322:CT322)</f>
        <v>1006</v>
      </c>
      <c r="BO322" s="93">
        <f>SUM($Z322:AH322)-SUM($CM322:CU322)</f>
        <v>946</v>
      </c>
      <c r="BP322" s="93">
        <f>SUM($Z322:AI322)-SUM($CM322:CV322)</f>
        <v>886</v>
      </c>
      <c r="BQ322" s="93">
        <f>SUM($Z322:AJ322)-SUM($CM322:CW322)</f>
        <v>826</v>
      </c>
      <c r="BR322" s="93">
        <f>SUM($Z322:AK322)-SUM($CM322:CX322)</f>
        <v>766</v>
      </c>
      <c r="BS322" s="93">
        <f>SUM($Z322:AL322)-SUM($CM322:CY322)</f>
        <v>706</v>
      </c>
      <c r="BT322" s="93">
        <f>SUM($Z322:AM322)-SUM($CM322:CZ322)</f>
        <v>646</v>
      </c>
      <c r="BU322" s="93">
        <f>SUM($Z322:AN322)-SUM($CM322:DA322)</f>
        <v>586</v>
      </c>
      <c r="BV322" s="93">
        <f>SUM($Z322:AO322)-SUM($CM322:DB322)</f>
        <v>572</v>
      </c>
      <c r="BW322" s="93">
        <f>SUM($Z322:AP322)-SUM($CM322:DC322)</f>
        <v>572</v>
      </c>
      <c r="BX322" s="93">
        <f>SUM($Z322:AQ322)-SUM($CM322:DD322)</f>
        <v>572</v>
      </c>
      <c r="BY322" s="93">
        <f>SUM($Z322:AR322)-SUM($CM322:DE322)</f>
        <v>572</v>
      </c>
      <c r="BZ322" s="93">
        <f>SUM($Z322:AS322)-SUM($CM322:DF322)</f>
        <v>572</v>
      </c>
      <c r="CA322" s="93">
        <f>SUM($Z322:AT322)-SUM($CM322:DG322)</f>
        <v>572</v>
      </c>
      <c r="CB322" s="93">
        <f>SUM($Z322:AU322)-SUM($CM322:DH322)</f>
        <v>572</v>
      </c>
      <c r="CC322" s="93">
        <f>SUM($Z322:AV322)-SUM($CM322:DI322)</f>
        <v>572</v>
      </c>
      <c r="CD322" s="93">
        <f>SUM($Z322:AW322)-SUM($CM322:DJ322)</f>
        <v>572</v>
      </c>
      <c r="CE322" s="93">
        <f>SUM($Z322:AX322)-SUM($CM322:DK322)</f>
        <v>572</v>
      </c>
      <c r="CF322" s="93">
        <f>SUM($Z322:AY322)-SUM($CM322:DL322)</f>
        <v>572</v>
      </c>
      <c r="CG322" s="93">
        <f>SUM($Z322:AZ322)-SUM($CM322:DM322)</f>
        <v>572</v>
      </c>
      <c r="CH322" s="93">
        <f>SUM($Z322:BA322)-SUM($CM322:DN322)</f>
        <v>572</v>
      </c>
      <c r="CI322" s="93">
        <f>SUM($Z322:BB322)-SUM($CM322:DO322)</f>
        <v>572</v>
      </c>
      <c r="CJ322" s="93"/>
      <c r="CK322" s="93"/>
      <c r="CL322" s="93"/>
      <c r="CM322" s="93"/>
      <c r="CN322" s="93" cm="1">
        <f t="array" ref="CN322">SUMPRODUCT(TRANSPOSE(CN$4:CN$20),$G322:$W322)</f>
        <v>0</v>
      </c>
      <c r="CO322" s="93" cm="1">
        <f t="array" ref="CO322">SUMPRODUCT(TRANSPOSE(CO$4:CO$20),$G322:$W322)</f>
        <v>0</v>
      </c>
      <c r="CP322" s="93" cm="1">
        <f t="array" ref="CP322">SUMPRODUCT(TRANSPOSE(CP$4:CP$20),$G322:$W322)</f>
        <v>0</v>
      </c>
      <c r="CQ322" s="93" cm="1">
        <f t="array" ref="CQ322">SUMPRODUCT(TRANSPOSE(CQ$4:CQ$20),$G322:$W322)</f>
        <v>78</v>
      </c>
      <c r="CR322" s="93" cm="1">
        <f t="array" ref="CR322">SUMPRODUCT(TRANSPOSE(CR$4:CR$20),$G322:$W322)</f>
        <v>70</v>
      </c>
      <c r="CS322" s="93" cm="1">
        <f t="array" ref="CS322">SUMPRODUCT(TRANSPOSE(CS$4:CS$20),$G322:$W322)</f>
        <v>65</v>
      </c>
      <c r="CT322" s="93" cm="1">
        <f t="array" ref="CT322">SUMPRODUCT(TRANSPOSE(CT$4:CT$20),$G322:$W322)</f>
        <v>60</v>
      </c>
      <c r="CU322" s="93" cm="1">
        <f t="array" ref="CU322">SUMPRODUCT(TRANSPOSE(CU$4:CU$20),$G322:$W322)</f>
        <v>60</v>
      </c>
      <c r="CV322" s="93" cm="1">
        <f t="array" ref="CV322">SUMPRODUCT(TRANSPOSE(CV$4:CV$20),$G322:$W322)</f>
        <v>60</v>
      </c>
      <c r="CW322" s="93" cm="1">
        <f t="array" ref="CW322">SUMPRODUCT(TRANSPOSE(CW$4:CW$20),$G322:$W322)</f>
        <v>60</v>
      </c>
      <c r="CX322" s="93" cm="1">
        <f t="array" ref="CX322">SUMPRODUCT(TRANSPOSE(CX$4:CX$20),$G322:$W322)</f>
        <v>60</v>
      </c>
      <c r="CY322" s="93" cm="1">
        <f t="array" ref="CY322">SUMPRODUCT(TRANSPOSE(CY$4:CY$20),$G322:$W322)</f>
        <v>60</v>
      </c>
      <c r="CZ322" s="93" cm="1">
        <f t="array" ref="CZ322">SUMPRODUCT(TRANSPOSE(CZ$4:CZ$20),$G322:$W322)</f>
        <v>60</v>
      </c>
      <c r="DA322" s="93" cm="1">
        <f t="array" ref="DA322">SUMPRODUCT(TRANSPOSE(DA$4:DA$20),$G322:$W322)</f>
        <v>60</v>
      </c>
      <c r="DB322" s="93" cm="1">
        <f t="array" ref="DB322">SUMPRODUCT(TRANSPOSE(DB$4:DB$20),$G322:$W322)</f>
        <v>14</v>
      </c>
      <c r="DC322" s="93" cm="1">
        <f t="array" ref="DC322">SUMPRODUCT(TRANSPOSE(DC$4:DC$20),$G322:$W322)</f>
        <v>0</v>
      </c>
      <c r="DD322" s="93" cm="1">
        <f t="array" ref="DD322">SUMPRODUCT(TRANSPOSE(DD$4:DD$20),$G322:$W322)</f>
        <v>0</v>
      </c>
      <c r="DE322" s="93" cm="1">
        <f t="array" ref="DE322">SUMPRODUCT(TRANSPOSE(DE$4:DE$20),$G322:$W322)</f>
        <v>0</v>
      </c>
      <c r="DF322" s="93" cm="1">
        <f t="array" ref="DF322">SUMPRODUCT(TRANSPOSE(DF$4:DF$20),$G322:$W322)</f>
        <v>0</v>
      </c>
      <c r="DG322" s="93" cm="1">
        <f t="array" ref="DG322">SUMPRODUCT(TRANSPOSE(DG$4:DG$20),$G322:$W322)</f>
        <v>0</v>
      </c>
      <c r="DH322" s="93" cm="1">
        <f t="array" ref="DH322">SUMPRODUCT(TRANSPOSE(DH$4:DH$20),$G322:$W322)</f>
        <v>0</v>
      </c>
      <c r="DI322" s="93" cm="1">
        <f t="array" ref="DI322">SUMPRODUCT(TRANSPOSE(DI$4:DI$20),$G322:$W322)</f>
        <v>0</v>
      </c>
      <c r="DJ322" s="93" cm="1">
        <f t="array" ref="DJ322">SUMPRODUCT(TRANSPOSE(DJ$4:DJ$20),$G322:$W322)</f>
        <v>0</v>
      </c>
      <c r="DK322" s="93" cm="1">
        <f t="array" ref="DK322">SUMPRODUCT(TRANSPOSE(DK$4:DK$20),$G322:$W322)</f>
        <v>0</v>
      </c>
      <c r="DL322" s="93" cm="1">
        <f t="array" ref="DL322">SUMPRODUCT(TRANSPOSE(DL$4:DL$20),$G322:$W322)</f>
        <v>0</v>
      </c>
      <c r="DM322" s="93" cm="1">
        <f t="array" ref="DM322">SUMPRODUCT(TRANSPOSE(DM$4:DM$20),$G322:$W322)</f>
        <v>0</v>
      </c>
      <c r="DN322" s="93" cm="1">
        <f t="array" ref="DN322">SUMPRODUCT(TRANSPOSE(DN$4:DN$20),$G322:$W322)</f>
        <v>0</v>
      </c>
      <c r="DO322" s="93" cm="1">
        <f t="array" ref="DO322">SUMPRODUCT(TRANSPOSE(DO$4:DO$20),$G322:$W322)</f>
        <v>0</v>
      </c>
    </row>
    <row r="323" spans="1:119" x14ac:dyDescent="0.2">
      <c r="A323" s="47">
        <f t="shared" si="30"/>
        <v>302</v>
      </c>
      <c r="B323" s="46" t="s">
        <v>727</v>
      </c>
      <c r="C323" s="45" t="s">
        <v>728</v>
      </c>
      <c r="D323" s="45" t="s">
        <v>729</v>
      </c>
      <c r="E323" s="45" t="s">
        <v>162</v>
      </c>
      <c r="F323" s="48">
        <v>1</v>
      </c>
      <c r="G323" s="100">
        <v>0</v>
      </c>
      <c r="H323" s="100">
        <v>0</v>
      </c>
      <c r="I323" s="100">
        <v>0</v>
      </c>
      <c r="J323" s="100">
        <v>0</v>
      </c>
      <c r="K323" s="100">
        <v>0</v>
      </c>
      <c r="L323" s="100">
        <v>0</v>
      </c>
      <c r="M323" s="100">
        <v>0</v>
      </c>
      <c r="N323" s="100">
        <v>0</v>
      </c>
      <c r="O323" s="100">
        <v>0</v>
      </c>
      <c r="P323" s="100">
        <v>0</v>
      </c>
      <c r="Q323" s="100">
        <v>1</v>
      </c>
      <c r="R323" s="100">
        <v>0</v>
      </c>
      <c r="S323" s="100">
        <v>0</v>
      </c>
      <c r="T323" s="100">
        <v>0</v>
      </c>
      <c r="U323" s="100">
        <v>1</v>
      </c>
      <c r="V323" s="100">
        <v>0</v>
      </c>
      <c r="W323" s="100">
        <v>0</v>
      </c>
      <c r="X323" s="58" t="s">
        <v>84</v>
      </c>
      <c r="Y323" s="53">
        <v>4.59</v>
      </c>
      <c r="Z323" s="45">
        <v>1270</v>
      </c>
      <c r="AA323" s="45">
        <v>0</v>
      </c>
      <c r="AB323" s="45">
        <v>0</v>
      </c>
      <c r="AC323" s="45">
        <v>0</v>
      </c>
      <c r="AD323" s="45">
        <v>0</v>
      </c>
      <c r="AE323" s="45">
        <v>0</v>
      </c>
      <c r="AF323" s="45">
        <v>0</v>
      </c>
      <c r="AG323" s="45">
        <v>0</v>
      </c>
      <c r="AH323" s="45">
        <v>0</v>
      </c>
      <c r="AI323" s="45">
        <v>0</v>
      </c>
      <c r="AJ323" s="45">
        <v>0</v>
      </c>
      <c r="AK323" s="45">
        <v>0</v>
      </c>
      <c r="AL323" s="45">
        <v>0</v>
      </c>
      <c r="AM323" s="45">
        <v>0</v>
      </c>
      <c r="AN323" s="45">
        <v>0</v>
      </c>
      <c r="AO323" s="45"/>
      <c r="AP323" s="45"/>
      <c r="AQ323" s="45"/>
      <c r="AR323" s="45"/>
      <c r="AS323" s="45"/>
      <c r="AT323" s="45"/>
      <c r="AU323" s="45"/>
      <c r="AV323" s="45"/>
      <c r="AW323" s="45"/>
      <c r="AX323" s="45"/>
      <c r="AY323" s="45"/>
      <c r="AZ323" s="45"/>
      <c r="BA323" s="45"/>
      <c r="BB323" s="45"/>
      <c r="BC323" s="45"/>
      <c r="BD323" s="93"/>
      <c r="BE323" s="93"/>
      <c r="BF323" s="93"/>
      <c r="BG323" s="93"/>
      <c r="BH323" s="93"/>
      <c r="BI323" s="93"/>
      <c r="BJ323" s="93"/>
      <c r="BK323" s="93">
        <f>SUM($Z323:AD323)-SUM($CM323:CQ323)</f>
        <v>1192</v>
      </c>
      <c r="BL323" s="93">
        <f>SUM($Z323:AE323)-SUM($CM323:CR323)</f>
        <v>1122</v>
      </c>
      <c r="BM323" s="93">
        <f>SUM($Z323:AF323)-SUM($CM323:CS323)</f>
        <v>1057</v>
      </c>
      <c r="BN323" s="93">
        <f>SUM($Z323:AG323)-SUM($CM323:CT323)</f>
        <v>997</v>
      </c>
      <c r="BO323" s="93">
        <f>SUM($Z323:AH323)-SUM($CM323:CU323)</f>
        <v>937</v>
      </c>
      <c r="BP323" s="93">
        <f>SUM($Z323:AI323)-SUM($CM323:CV323)</f>
        <v>877</v>
      </c>
      <c r="BQ323" s="93">
        <f>SUM($Z323:AJ323)-SUM($CM323:CW323)</f>
        <v>817</v>
      </c>
      <c r="BR323" s="93">
        <f>SUM($Z323:AK323)-SUM($CM323:CX323)</f>
        <v>757</v>
      </c>
      <c r="BS323" s="93">
        <f>SUM($Z323:AL323)-SUM($CM323:CY323)</f>
        <v>697</v>
      </c>
      <c r="BT323" s="93">
        <f>SUM($Z323:AM323)-SUM($CM323:CZ323)</f>
        <v>637</v>
      </c>
      <c r="BU323" s="93">
        <f>SUM($Z323:AN323)-SUM($CM323:DA323)</f>
        <v>577</v>
      </c>
      <c r="BV323" s="93">
        <f>SUM($Z323:AO323)-SUM($CM323:DB323)</f>
        <v>563</v>
      </c>
      <c r="BW323" s="93">
        <f>SUM($Z323:AP323)-SUM($CM323:DC323)</f>
        <v>563</v>
      </c>
      <c r="BX323" s="93">
        <f>SUM($Z323:AQ323)-SUM($CM323:DD323)</f>
        <v>563</v>
      </c>
      <c r="BY323" s="93">
        <f>SUM($Z323:AR323)-SUM($CM323:DE323)</f>
        <v>563</v>
      </c>
      <c r="BZ323" s="93">
        <f>SUM($Z323:AS323)-SUM($CM323:DF323)</f>
        <v>563</v>
      </c>
      <c r="CA323" s="93">
        <f>SUM($Z323:AT323)-SUM($CM323:DG323)</f>
        <v>563</v>
      </c>
      <c r="CB323" s="93">
        <f>SUM($Z323:AU323)-SUM($CM323:DH323)</f>
        <v>563</v>
      </c>
      <c r="CC323" s="93">
        <f>SUM($Z323:AV323)-SUM($CM323:DI323)</f>
        <v>563</v>
      </c>
      <c r="CD323" s="93">
        <f>SUM($Z323:AW323)-SUM($CM323:DJ323)</f>
        <v>563</v>
      </c>
      <c r="CE323" s="93">
        <f>SUM($Z323:AX323)-SUM($CM323:DK323)</f>
        <v>563</v>
      </c>
      <c r="CF323" s="93">
        <f>SUM($Z323:AY323)-SUM($CM323:DL323)</f>
        <v>563</v>
      </c>
      <c r="CG323" s="93">
        <f>SUM($Z323:AZ323)-SUM($CM323:DM323)</f>
        <v>563</v>
      </c>
      <c r="CH323" s="93">
        <f>SUM($Z323:BA323)-SUM($CM323:DN323)</f>
        <v>563</v>
      </c>
      <c r="CI323" s="93">
        <f>SUM($Z323:BB323)-SUM($CM323:DO323)</f>
        <v>563</v>
      </c>
      <c r="CJ323" s="93"/>
      <c r="CK323" s="93"/>
      <c r="CL323" s="93"/>
      <c r="CM323" s="93"/>
      <c r="CN323" s="93" cm="1">
        <f t="array" ref="CN323">SUMPRODUCT(TRANSPOSE(CN$4:CN$20),$G323:$W323)</f>
        <v>0</v>
      </c>
      <c r="CO323" s="93" cm="1">
        <f t="array" ref="CO323">SUMPRODUCT(TRANSPOSE(CO$4:CO$20),$G323:$W323)</f>
        <v>0</v>
      </c>
      <c r="CP323" s="93" cm="1">
        <f t="array" ref="CP323">SUMPRODUCT(TRANSPOSE(CP$4:CP$20),$G323:$W323)</f>
        <v>0</v>
      </c>
      <c r="CQ323" s="93" cm="1">
        <f t="array" ref="CQ323">SUMPRODUCT(TRANSPOSE(CQ$4:CQ$20),$G323:$W323)</f>
        <v>78</v>
      </c>
      <c r="CR323" s="93" cm="1">
        <f t="array" ref="CR323">SUMPRODUCT(TRANSPOSE(CR$4:CR$20),$G323:$W323)</f>
        <v>70</v>
      </c>
      <c r="CS323" s="93" cm="1">
        <f t="array" ref="CS323">SUMPRODUCT(TRANSPOSE(CS$4:CS$20),$G323:$W323)</f>
        <v>65</v>
      </c>
      <c r="CT323" s="93" cm="1">
        <f t="array" ref="CT323">SUMPRODUCT(TRANSPOSE(CT$4:CT$20),$G323:$W323)</f>
        <v>60</v>
      </c>
      <c r="CU323" s="93" cm="1">
        <f t="array" ref="CU323">SUMPRODUCT(TRANSPOSE(CU$4:CU$20),$G323:$W323)</f>
        <v>60</v>
      </c>
      <c r="CV323" s="93" cm="1">
        <f t="array" ref="CV323">SUMPRODUCT(TRANSPOSE(CV$4:CV$20),$G323:$W323)</f>
        <v>60</v>
      </c>
      <c r="CW323" s="93" cm="1">
        <f t="array" ref="CW323">SUMPRODUCT(TRANSPOSE(CW$4:CW$20),$G323:$W323)</f>
        <v>60</v>
      </c>
      <c r="CX323" s="93" cm="1">
        <f t="array" ref="CX323">SUMPRODUCT(TRANSPOSE(CX$4:CX$20),$G323:$W323)</f>
        <v>60</v>
      </c>
      <c r="CY323" s="93" cm="1">
        <f t="array" ref="CY323">SUMPRODUCT(TRANSPOSE(CY$4:CY$20),$G323:$W323)</f>
        <v>60</v>
      </c>
      <c r="CZ323" s="93" cm="1">
        <f t="array" ref="CZ323">SUMPRODUCT(TRANSPOSE(CZ$4:CZ$20),$G323:$W323)</f>
        <v>60</v>
      </c>
      <c r="DA323" s="93" cm="1">
        <f t="array" ref="DA323">SUMPRODUCT(TRANSPOSE(DA$4:DA$20),$G323:$W323)</f>
        <v>60</v>
      </c>
      <c r="DB323" s="93" cm="1">
        <f t="array" ref="DB323">SUMPRODUCT(TRANSPOSE(DB$4:DB$20),$G323:$W323)</f>
        <v>14</v>
      </c>
      <c r="DC323" s="93" cm="1">
        <f t="array" ref="DC323">SUMPRODUCT(TRANSPOSE(DC$4:DC$20),$G323:$W323)</f>
        <v>0</v>
      </c>
      <c r="DD323" s="93" cm="1">
        <f t="array" ref="DD323">SUMPRODUCT(TRANSPOSE(DD$4:DD$20),$G323:$W323)</f>
        <v>0</v>
      </c>
      <c r="DE323" s="93" cm="1">
        <f t="array" ref="DE323">SUMPRODUCT(TRANSPOSE(DE$4:DE$20),$G323:$W323)</f>
        <v>0</v>
      </c>
      <c r="DF323" s="93" cm="1">
        <f t="array" ref="DF323">SUMPRODUCT(TRANSPOSE(DF$4:DF$20),$G323:$W323)</f>
        <v>0</v>
      </c>
      <c r="DG323" s="93" cm="1">
        <f t="array" ref="DG323">SUMPRODUCT(TRANSPOSE(DG$4:DG$20),$G323:$W323)</f>
        <v>0</v>
      </c>
      <c r="DH323" s="93" cm="1">
        <f t="array" ref="DH323">SUMPRODUCT(TRANSPOSE(DH$4:DH$20),$G323:$W323)</f>
        <v>0</v>
      </c>
      <c r="DI323" s="93" cm="1">
        <f t="array" ref="DI323">SUMPRODUCT(TRANSPOSE(DI$4:DI$20),$G323:$W323)</f>
        <v>0</v>
      </c>
      <c r="DJ323" s="93" cm="1">
        <f t="array" ref="DJ323">SUMPRODUCT(TRANSPOSE(DJ$4:DJ$20),$G323:$W323)</f>
        <v>0</v>
      </c>
      <c r="DK323" s="93" cm="1">
        <f t="array" ref="DK323">SUMPRODUCT(TRANSPOSE(DK$4:DK$20),$G323:$W323)</f>
        <v>0</v>
      </c>
      <c r="DL323" s="93" cm="1">
        <f t="array" ref="DL323">SUMPRODUCT(TRANSPOSE(DL$4:DL$20),$G323:$W323)</f>
        <v>0</v>
      </c>
      <c r="DM323" s="93" cm="1">
        <f t="array" ref="DM323">SUMPRODUCT(TRANSPOSE(DM$4:DM$20),$G323:$W323)</f>
        <v>0</v>
      </c>
      <c r="DN323" s="93" cm="1">
        <f t="array" ref="DN323">SUMPRODUCT(TRANSPOSE(DN$4:DN$20),$G323:$W323)</f>
        <v>0</v>
      </c>
      <c r="DO323" s="93" cm="1">
        <f t="array" ref="DO323">SUMPRODUCT(TRANSPOSE(DO$4:DO$20),$G323:$W323)</f>
        <v>0</v>
      </c>
    </row>
    <row r="324" spans="1:119" x14ac:dyDescent="0.2">
      <c r="A324" s="47">
        <f t="shared" si="30"/>
        <v>303</v>
      </c>
      <c r="B324" s="46" t="s">
        <v>730</v>
      </c>
      <c r="C324" s="45">
        <v>400048227</v>
      </c>
      <c r="D324" s="45" t="s">
        <v>731</v>
      </c>
      <c r="E324" s="45" t="s">
        <v>162</v>
      </c>
      <c r="F324" s="48">
        <v>1</v>
      </c>
      <c r="G324" s="100">
        <v>0</v>
      </c>
      <c r="H324" s="100">
        <v>0</v>
      </c>
      <c r="I324" s="100">
        <v>0</v>
      </c>
      <c r="J324" s="100">
        <v>0</v>
      </c>
      <c r="K324" s="100">
        <v>0</v>
      </c>
      <c r="L324" s="100">
        <v>0</v>
      </c>
      <c r="M324" s="100">
        <v>0</v>
      </c>
      <c r="N324" s="100">
        <v>0</v>
      </c>
      <c r="O324" s="100">
        <v>0</v>
      </c>
      <c r="P324" s="100">
        <v>0</v>
      </c>
      <c r="Q324" s="100">
        <v>34</v>
      </c>
      <c r="R324" s="100">
        <v>0</v>
      </c>
      <c r="S324" s="100">
        <v>0</v>
      </c>
      <c r="T324" s="100">
        <v>0</v>
      </c>
      <c r="U324" s="100">
        <v>0</v>
      </c>
      <c r="V324" s="100">
        <v>0</v>
      </c>
      <c r="W324" s="100">
        <v>0</v>
      </c>
      <c r="X324" s="45" t="s">
        <v>84</v>
      </c>
      <c r="Y324" s="49">
        <v>1.75</v>
      </c>
      <c r="Z324" s="45">
        <v>19340</v>
      </c>
      <c r="AA324" s="45">
        <v>0</v>
      </c>
      <c r="AB324" s="45">
        <v>0</v>
      </c>
      <c r="AC324" s="45">
        <v>0</v>
      </c>
      <c r="AD324" s="45">
        <v>0</v>
      </c>
      <c r="AE324" s="45">
        <v>0</v>
      </c>
      <c r="AF324" s="45">
        <v>0</v>
      </c>
      <c r="AG324" s="45">
        <v>0</v>
      </c>
      <c r="AH324" s="45">
        <v>0</v>
      </c>
      <c r="AI324" s="45">
        <v>0</v>
      </c>
      <c r="AJ324" s="45">
        <v>0</v>
      </c>
      <c r="AK324" s="45">
        <v>0</v>
      </c>
      <c r="AL324" s="45">
        <v>0</v>
      </c>
      <c r="AM324" s="45">
        <v>0</v>
      </c>
      <c r="AN324" s="45">
        <v>0</v>
      </c>
      <c r="AO324" s="45"/>
      <c r="AP324" s="45"/>
      <c r="AQ324" s="45"/>
      <c r="AR324" s="45"/>
      <c r="AS324" s="45"/>
      <c r="AT324" s="45"/>
      <c r="AU324" s="45"/>
      <c r="AV324" s="45"/>
      <c r="AW324" s="45"/>
      <c r="AX324" s="45"/>
      <c r="AY324" s="45"/>
      <c r="AZ324" s="45"/>
      <c r="BA324" s="45"/>
      <c r="BB324" s="45"/>
      <c r="BC324" s="45"/>
      <c r="BD324" s="93"/>
      <c r="BE324" s="93"/>
      <c r="BF324" s="93"/>
      <c r="BG324" s="93"/>
      <c r="BH324" s="93"/>
      <c r="BI324" s="93"/>
      <c r="BJ324" s="93"/>
      <c r="BK324" s="93">
        <f>SUM($Z324:AD324)-SUM($CM324:CQ324)</f>
        <v>18150</v>
      </c>
      <c r="BL324" s="93">
        <f>SUM($Z324:AE324)-SUM($CM324:CR324)</f>
        <v>16960</v>
      </c>
      <c r="BM324" s="93">
        <f>SUM($Z324:AF324)-SUM($CM324:CS324)</f>
        <v>15770</v>
      </c>
      <c r="BN324" s="93">
        <f>SUM($Z324:AG324)-SUM($CM324:CT324)</f>
        <v>14750</v>
      </c>
      <c r="BO324" s="93">
        <f>SUM($Z324:AH324)-SUM($CM324:CU324)</f>
        <v>13730</v>
      </c>
      <c r="BP324" s="93">
        <f>SUM($Z324:AI324)-SUM($CM324:CV324)</f>
        <v>12710</v>
      </c>
      <c r="BQ324" s="93">
        <f>SUM($Z324:AJ324)-SUM($CM324:CW324)</f>
        <v>11690</v>
      </c>
      <c r="BR324" s="93">
        <f>SUM($Z324:AK324)-SUM($CM324:CX324)</f>
        <v>10670</v>
      </c>
      <c r="BS324" s="93">
        <f>SUM($Z324:AL324)-SUM($CM324:CY324)</f>
        <v>9650</v>
      </c>
      <c r="BT324" s="93">
        <f>SUM($Z324:AM324)-SUM($CM324:CZ324)</f>
        <v>8630</v>
      </c>
      <c r="BU324" s="93">
        <f>SUM($Z324:AN324)-SUM($CM324:DA324)</f>
        <v>7610</v>
      </c>
      <c r="BV324" s="93">
        <f>SUM($Z324:AO324)-SUM($CM324:DB324)</f>
        <v>7134</v>
      </c>
      <c r="BW324" s="93">
        <f>SUM($Z324:AP324)-SUM($CM324:DC324)</f>
        <v>7134</v>
      </c>
      <c r="BX324" s="93">
        <f>SUM($Z324:AQ324)-SUM($CM324:DD324)</f>
        <v>7134</v>
      </c>
      <c r="BY324" s="93">
        <f>SUM($Z324:AR324)-SUM($CM324:DE324)</f>
        <v>7134</v>
      </c>
      <c r="BZ324" s="93">
        <f>SUM($Z324:AS324)-SUM($CM324:DF324)</f>
        <v>7134</v>
      </c>
      <c r="CA324" s="93">
        <f>SUM($Z324:AT324)-SUM($CM324:DG324)</f>
        <v>7134</v>
      </c>
      <c r="CB324" s="93">
        <f>SUM($Z324:AU324)-SUM($CM324:DH324)</f>
        <v>7134</v>
      </c>
      <c r="CC324" s="93">
        <f>SUM($Z324:AV324)-SUM($CM324:DI324)</f>
        <v>7134</v>
      </c>
      <c r="CD324" s="93">
        <f>SUM($Z324:AW324)-SUM($CM324:DJ324)</f>
        <v>7134</v>
      </c>
      <c r="CE324" s="93">
        <f>SUM($Z324:AX324)-SUM($CM324:DK324)</f>
        <v>7134</v>
      </c>
      <c r="CF324" s="93">
        <f>SUM($Z324:AY324)-SUM($CM324:DL324)</f>
        <v>7134</v>
      </c>
      <c r="CG324" s="93">
        <f>SUM($Z324:AZ324)-SUM($CM324:DM324)</f>
        <v>7134</v>
      </c>
      <c r="CH324" s="93">
        <f>SUM($Z324:BA324)-SUM($CM324:DN324)</f>
        <v>7134</v>
      </c>
      <c r="CI324" s="93">
        <f>SUM($Z324:BB324)-SUM($CM324:DO324)</f>
        <v>7134</v>
      </c>
      <c r="CJ324" s="93"/>
      <c r="CK324" s="93"/>
      <c r="CL324" s="93"/>
      <c r="CM324" s="93"/>
      <c r="CN324" s="93" cm="1">
        <f t="array" ref="CN324">SUMPRODUCT(TRANSPOSE(CN$4:CN$20),$G324:$W324)</f>
        <v>0</v>
      </c>
      <c r="CO324" s="93" cm="1">
        <f t="array" ref="CO324">SUMPRODUCT(TRANSPOSE(CO$4:CO$20),$G324:$W324)</f>
        <v>0</v>
      </c>
      <c r="CP324" s="93" cm="1">
        <f t="array" ref="CP324">SUMPRODUCT(TRANSPOSE(CP$4:CP$20),$G324:$W324)</f>
        <v>0</v>
      </c>
      <c r="CQ324" s="93" cm="1">
        <f t="array" ref="CQ324">SUMPRODUCT(TRANSPOSE(CQ$4:CQ$20),$G324:$W324)</f>
        <v>1190</v>
      </c>
      <c r="CR324" s="93" cm="1">
        <f t="array" ref="CR324">SUMPRODUCT(TRANSPOSE(CR$4:CR$20),$G324:$W324)</f>
        <v>1190</v>
      </c>
      <c r="CS324" s="93" cm="1">
        <f t="array" ref="CS324">SUMPRODUCT(TRANSPOSE(CS$4:CS$20),$G324:$W324)</f>
        <v>1190</v>
      </c>
      <c r="CT324" s="93" cm="1">
        <f t="array" ref="CT324">SUMPRODUCT(TRANSPOSE(CT$4:CT$20),$G324:$W324)</f>
        <v>1020</v>
      </c>
      <c r="CU324" s="93" cm="1">
        <f t="array" ref="CU324">SUMPRODUCT(TRANSPOSE(CU$4:CU$20),$G324:$W324)</f>
        <v>1020</v>
      </c>
      <c r="CV324" s="93" cm="1">
        <f t="array" ref="CV324">SUMPRODUCT(TRANSPOSE(CV$4:CV$20),$G324:$W324)</f>
        <v>1020</v>
      </c>
      <c r="CW324" s="93" cm="1">
        <f t="array" ref="CW324">SUMPRODUCT(TRANSPOSE(CW$4:CW$20),$G324:$W324)</f>
        <v>1020</v>
      </c>
      <c r="CX324" s="93" cm="1">
        <f t="array" ref="CX324">SUMPRODUCT(TRANSPOSE(CX$4:CX$20),$G324:$W324)</f>
        <v>1020</v>
      </c>
      <c r="CY324" s="93" cm="1">
        <f t="array" ref="CY324">SUMPRODUCT(TRANSPOSE(CY$4:CY$20),$G324:$W324)</f>
        <v>1020</v>
      </c>
      <c r="CZ324" s="93" cm="1">
        <f t="array" ref="CZ324">SUMPRODUCT(TRANSPOSE(CZ$4:CZ$20),$G324:$W324)</f>
        <v>1020</v>
      </c>
      <c r="DA324" s="93" cm="1">
        <f t="array" ref="DA324">SUMPRODUCT(TRANSPOSE(DA$4:DA$20),$G324:$W324)</f>
        <v>1020</v>
      </c>
      <c r="DB324" s="93" cm="1">
        <f t="array" ref="DB324">SUMPRODUCT(TRANSPOSE(DB$4:DB$20),$G324:$W324)</f>
        <v>476</v>
      </c>
      <c r="DC324" s="93" cm="1">
        <f t="array" ref="DC324">SUMPRODUCT(TRANSPOSE(DC$4:DC$20),$G324:$W324)</f>
        <v>0</v>
      </c>
      <c r="DD324" s="93" cm="1">
        <f t="array" ref="DD324">SUMPRODUCT(TRANSPOSE(DD$4:DD$20),$G324:$W324)</f>
        <v>0</v>
      </c>
      <c r="DE324" s="93" cm="1">
        <f t="array" ref="DE324">SUMPRODUCT(TRANSPOSE(DE$4:DE$20),$G324:$W324)</f>
        <v>0</v>
      </c>
      <c r="DF324" s="93" cm="1">
        <f t="array" ref="DF324">SUMPRODUCT(TRANSPOSE(DF$4:DF$20),$G324:$W324)</f>
        <v>0</v>
      </c>
      <c r="DG324" s="93" cm="1">
        <f t="array" ref="DG324">SUMPRODUCT(TRANSPOSE(DG$4:DG$20),$G324:$W324)</f>
        <v>0</v>
      </c>
      <c r="DH324" s="93" cm="1">
        <f t="array" ref="DH324">SUMPRODUCT(TRANSPOSE(DH$4:DH$20),$G324:$W324)</f>
        <v>0</v>
      </c>
      <c r="DI324" s="93" cm="1">
        <f t="array" ref="DI324">SUMPRODUCT(TRANSPOSE(DI$4:DI$20),$G324:$W324)</f>
        <v>0</v>
      </c>
      <c r="DJ324" s="93" cm="1">
        <f t="array" ref="DJ324">SUMPRODUCT(TRANSPOSE(DJ$4:DJ$20),$G324:$W324)</f>
        <v>0</v>
      </c>
      <c r="DK324" s="93" cm="1">
        <f t="array" ref="DK324">SUMPRODUCT(TRANSPOSE(DK$4:DK$20),$G324:$W324)</f>
        <v>0</v>
      </c>
      <c r="DL324" s="93" cm="1">
        <f t="array" ref="DL324">SUMPRODUCT(TRANSPOSE(DL$4:DL$20),$G324:$W324)</f>
        <v>0</v>
      </c>
      <c r="DM324" s="93" cm="1">
        <f t="array" ref="DM324">SUMPRODUCT(TRANSPOSE(DM$4:DM$20),$G324:$W324)</f>
        <v>0</v>
      </c>
      <c r="DN324" s="93" cm="1">
        <f t="array" ref="DN324">SUMPRODUCT(TRANSPOSE(DN$4:DN$20),$G324:$W324)</f>
        <v>0</v>
      </c>
      <c r="DO324" s="93" cm="1">
        <f t="array" ref="DO324">SUMPRODUCT(TRANSPOSE(DO$4:DO$20),$G324:$W324)</f>
        <v>0</v>
      </c>
    </row>
    <row r="325" spans="1:119" x14ac:dyDescent="0.2">
      <c r="A325" s="45">
        <f t="shared" si="30"/>
        <v>304</v>
      </c>
      <c r="B325" s="46" t="s">
        <v>732</v>
      </c>
      <c r="C325" s="45">
        <v>414747781</v>
      </c>
      <c r="D325" s="45" t="s">
        <v>733</v>
      </c>
      <c r="E325" s="45" t="s">
        <v>162</v>
      </c>
      <c r="F325" s="48">
        <v>1</v>
      </c>
      <c r="G325" s="100">
        <v>0</v>
      </c>
      <c r="H325" s="100">
        <v>0</v>
      </c>
      <c r="I325" s="100">
        <v>0</v>
      </c>
      <c r="J325" s="100">
        <v>0</v>
      </c>
      <c r="K325" s="100">
        <v>0</v>
      </c>
      <c r="L325" s="100">
        <v>0</v>
      </c>
      <c r="M325" s="100">
        <v>0</v>
      </c>
      <c r="N325" s="100">
        <v>0</v>
      </c>
      <c r="O325" s="100">
        <v>0</v>
      </c>
      <c r="P325" s="100">
        <v>0</v>
      </c>
      <c r="Q325" s="100">
        <v>0</v>
      </c>
      <c r="R325" s="100">
        <v>0</v>
      </c>
      <c r="S325" s="100">
        <v>0</v>
      </c>
      <c r="T325" s="100">
        <v>0</v>
      </c>
      <c r="U325" s="100">
        <v>0</v>
      </c>
      <c r="V325" s="100">
        <v>0</v>
      </c>
      <c r="W325" s="100">
        <v>1</v>
      </c>
      <c r="X325" s="45" t="s">
        <v>59</v>
      </c>
      <c r="Y325" s="49">
        <v>185</v>
      </c>
      <c r="Z325" s="45">
        <v>231</v>
      </c>
      <c r="AA325" s="45">
        <v>0</v>
      </c>
      <c r="AB325" s="45">
        <v>0</v>
      </c>
      <c r="AC325" s="45">
        <v>0</v>
      </c>
      <c r="AD325" s="45">
        <v>0</v>
      </c>
      <c r="AE325" s="45">
        <v>0</v>
      </c>
      <c r="AF325" s="45">
        <v>0</v>
      </c>
      <c r="AG325" s="45">
        <v>0</v>
      </c>
      <c r="AH325" s="45">
        <v>0</v>
      </c>
      <c r="AI325" s="45">
        <v>0</v>
      </c>
      <c r="AJ325" s="45">
        <v>0</v>
      </c>
      <c r="AK325" s="45">
        <v>0</v>
      </c>
      <c r="AL325" s="45">
        <v>0</v>
      </c>
      <c r="AM325" s="45">
        <v>0</v>
      </c>
      <c r="AN325" s="45">
        <v>0</v>
      </c>
      <c r="AO325" s="45"/>
      <c r="AP325" s="45"/>
      <c r="AQ325" s="45"/>
      <c r="AR325" s="45"/>
      <c r="AS325" s="45"/>
      <c r="AT325" s="45"/>
      <c r="AU325" s="45"/>
      <c r="AV325" s="45"/>
      <c r="AW325" s="45"/>
      <c r="AX325" s="45"/>
      <c r="AY325" s="45"/>
      <c r="AZ325" s="45"/>
      <c r="BA325" s="45"/>
      <c r="BB325" s="45"/>
      <c r="BC325" s="45"/>
      <c r="BD325" s="93"/>
      <c r="BE325" s="93"/>
      <c r="BF325" s="93"/>
      <c r="BG325" s="93"/>
      <c r="BH325" s="93"/>
      <c r="BI325" s="93"/>
      <c r="BJ325" s="93"/>
      <c r="BK325" s="93">
        <f>SUM($Z325:AD325)-SUM($CM325:CQ325)</f>
        <v>215</v>
      </c>
      <c r="BL325" s="93">
        <f>SUM($Z325:AE325)-SUM($CM325:CR325)</f>
        <v>199</v>
      </c>
      <c r="BM325" s="93">
        <f>SUM($Z325:AF325)-SUM($CM325:CS325)</f>
        <v>183</v>
      </c>
      <c r="BN325" s="93">
        <f>SUM($Z325:AG325)-SUM($CM325:CT325)</f>
        <v>167</v>
      </c>
      <c r="BO325" s="93">
        <f>SUM($Z325:AH325)-SUM($CM325:CU325)</f>
        <v>151</v>
      </c>
      <c r="BP325" s="93">
        <f>SUM($Z325:AI325)-SUM($CM325:CV325)</f>
        <v>135</v>
      </c>
      <c r="BQ325" s="93">
        <f>SUM($Z325:AJ325)-SUM($CM325:CW325)</f>
        <v>119</v>
      </c>
      <c r="BR325" s="93">
        <f>SUM($Z325:AK325)-SUM($CM325:CX325)</f>
        <v>103</v>
      </c>
      <c r="BS325" s="93">
        <f>SUM($Z325:AL325)-SUM($CM325:CY325)</f>
        <v>103</v>
      </c>
      <c r="BT325" s="93">
        <f>SUM($Z325:AM325)-SUM($CM325:CZ325)</f>
        <v>103</v>
      </c>
      <c r="BU325" s="93">
        <f>SUM($Z325:AN325)-SUM($CM325:DA325)</f>
        <v>103</v>
      </c>
      <c r="BV325" s="93">
        <f>SUM($Z325:AO325)-SUM($CM325:DB325)</f>
        <v>103</v>
      </c>
      <c r="BW325" s="93">
        <f>SUM($Z325:AP325)-SUM($CM325:DC325)</f>
        <v>103</v>
      </c>
      <c r="BX325" s="93">
        <f>SUM($Z325:AQ325)-SUM($CM325:DD325)</f>
        <v>103</v>
      </c>
      <c r="BY325" s="93">
        <f>SUM($Z325:AR325)-SUM($CM325:DE325)</f>
        <v>103</v>
      </c>
      <c r="BZ325" s="93">
        <f>SUM($Z325:AS325)-SUM($CM325:DF325)</f>
        <v>103</v>
      </c>
      <c r="CA325" s="93">
        <f>SUM($Z325:AT325)-SUM($CM325:DG325)</f>
        <v>103</v>
      </c>
      <c r="CB325" s="93">
        <f>SUM($Z325:AU325)-SUM($CM325:DH325)</f>
        <v>103</v>
      </c>
      <c r="CC325" s="93">
        <f>SUM($Z325:AV325)-SUM($CM325:DI325)</f>
        <v>103</v>
      </c>
      <c r="CD325" s="93">
        <f>SUM($Z325:AW325)-SUM($CM325:DJ325)</f>
        <v>103</v>
      </c>
      <c r="CE325" s="93">
        <f>SUM($Z325:AX325)-SUM($CM325:DK325)</f>
        <v>103</v>
      </c>
      <c r="CF325" s="93">
        <f>SUM($Z325:AY325)-SUM($CM325:DL325)</f>
        <v>103</v>
      </c>
      <c r="CG325" s="93">
        <f>SUM($Z325:AZ325)-SUM($CM325:DM325)</f>
        <v>103</v>
      </c>
      <c r="CH325" s="93">
        <f>SUM($Z325:BA325)-SUM($CM325:DN325)</f>
        <v>103</v>
      </c>
      <c r="CI325" s="93">
        <f>SUM($Z325:BB325)-SUM($CM325:DO325)</f>
        <v>103</v>
      </c>
      <c r="CJ325" s="93"/>
      <c r="CK325" s="93"/>
      <c r="CL325" s="93"/>
      <c r="CM325" s="93"/>
      <c r="CN325" s="93" cm="1">
        <f t="array" ref="CN325">SUMPRODUCT(TRANSPOSE(CN$4:CN$20),$G325:$W325)</f>
        <v>0</v>
      </c>
      <c r="CO325" s="93" cm="1">
        <f t="array" ref="CO325">SUMPRODUCT(TRANSPOSE(CO$4:CO$20),$G325:$W325)</f>
        <v>0</v>
      </c>
      <c r="CP325" s="93" cm="1">
        <f t="array" ref="CP325">SUMPRODUCT(TRANSPOSE(CP$4:CP$20),$G325:$W325)</f>
        <v>0</v>
      </c>
      <c r="CQ325" s="93" cm="1">
        <f t="array" ref="CQ325">SUMPRODUCT(TRANSPOSE(CQ$4:CQ$20),$G325:$W325)</f>
        <v>16</v>
      </c>
      <c r="CR325" s="93" cm="1">
        <f t="array" ref="CR325">SUMPRODUCT(TRANSPOSE(CR$4:CR$20),$G325:$W325)</f>
        <v>16</v>
      </c>
      <c r="CS325" s="93" cm="1">
        <f t="array" ref="CS325">SUMPRODUCT(TRANSPOSE(CS$4:CS$20),$G325:$W325)</f>
        <v>16</v>
      </c>
      <c r="CT325" s="93" cm="1">
        <f t="array" ref="CT325">SUMPRODUCT(TRANSPOSE(CT$4:CT$20),$G325:$W325)</f>
        <v>16</v>
      </c>
      <c r="CU325" s="93" cm="1">
        <f t="array" ref="CU325">SUMPRODUCT(TRANSPOSE(CU$4:CU$20),$G325:$W325)</f>
        <v>16</v>
      </c>
      <c r="CV325" s="93" cm="1">
        <f t="array" ref="CV325">SUMPRODUCT(TRANSPOSE(CV$4:CV$20),$G325:$W325)</f>
        <v>16</v>
      </c>
      <c r="CW325" s="93" cm="1">
        <f t="array" ref="CW325">SUMPRODUCT(TRANSPOSE(CW$4:CW$20),$G325:$W325)</f>
        <v>16</v>
      </c>
      <c r="CX325" s="93" cm="1">
        <f t="array" ref="CX325">SUMPRODUCT(TRANSPOSE(CX$4:CX$20),$G325:$W325)</f>
        <v>16</v>
      </c>
      <c r="CY325" s="93" cm="1">
        <f t="array" ref="CY325">SUMPRODUCT(TRANSPOSE(CY$4:CY$20),$G325:$W325)</f>
        <v>0</v>
      </c>
      <c r="CZ325" s="93" cm="1">
        <f t="array" ref="CZ325">SUMPRODUCT(TRANSPOSE(CZ$4:CZ$20),$G325:$W325)</f>
        <v>0</v>
      </c>
      <c r="DA325" s="93" cm="1">
        <f t="array" ref="DA325">SUMPRODUCT(TRANSPOSE(DA$4:DA$20),$G325:$W325)</f>
        <v>0</v>
      </c>
      <c r="DB325" s="93" cm="1">
        <f t="array" ref="DB325">SUMPRODUCT(TRANSPOSE(DB$4:DB$20),$G325:$W325)</f>
        <v>0</v>
      </c>
      <c r="DC325" s="93" cm="1">
        <f t="array" ref="DC325">SUMPRODUCT(TRANSPOSE(DC$4:DC$20),$G325:$W325)</f>
        <v>0</v>
      </c>
      <c r="DD325" s="93" cm="1">
        <f t="array" ref="DD325">SUMPRODUCT(TRANSPOSE(DD$4:DD$20),$G325:$W325)</f>
        <v>0</v>
      </c>
      <c r="DE325" s="93" cm="1">
        <f t="array" ref="DE325">SUMPRODUCT(TRANSPOSE(DE$4:DE$20),$G325:$W325)</f>
        <v>0</v>
      </c>
      <c r="DF325" s="93" cm="1">
        <f t="array" ref="DF325">SUMPRODUCT(TRANSPOSE(DF$4:DF$20),$G325:$W325)</f>
        <v>0</v>
      </c>
      <c r="DG325" s="93" cm="1">
        <f t="array" ref="DG325">SUMPRODUCT(TRANSPOSE(DG$4:DG$20),$G325:$W325)</f>
        <v>0</v>
      </c>
      <c r="DH325" s="93" cm="1">
        <f t="array" ref="DH325">SUMPRODUCT(TRANSPOSE(DH$4:DH$20),$G325:$W325)</f>
        <v>0</v>
      </c>
      <c r="DI325" s="93" cm="1">
        <f t="array" ref="DI325">SUMPRODUCT(TRANSPOSE(DI$4:DI$20),$G325:$W325)</f>
        <v>0</v>
      </c>
      <c r="DJ325" s="93" cm="1">
        <f t="array" ref="DJ325">SUMPRODUCT(TRANSPOSE(DJ$4:DJ$20),$G325:$W325)</f>
        <v>0</v>
      </c>
      <c r="DK325" s="93" cm="1">
        <f t="array" ref="DK325">SUMPRODUCT(TRANSPOSE(DK$4:DK$20),$G325:$W325)</f>
        <v>0</v>
      </c>
      <c r="DL325" s="93" cm="1">
        <f t="array" ref="DL325">SUMPRODUCT(TRANSPOSE(DL$4:DL$20),$G325:$W325)</f>
        <v>0</v>
      </c>
      <c r="DM325" s="93" cm="1">
        <f t="array" ref="DM325">SUMPRODUCT(TRANSPOSE(DM$4:DM$20),$G325:$W325)</f>
        <v>0</v>
      </c>
      <c r="DN325" s="93" cm="1">
        <f t="array" ref="DN325">SUMPRODUCT(TRANSPOSE(DN$4:DN$20),$G325:$W325)</f>
        <v>0</v>
      </c>
      <c r="DO325" s="93" cm="1">
        <f t="array" ref="DO325">SUMPRODUCT(TRANSPOSE(DO$4:DO$20),$G325:$W325)</f>
        <v>0</v>
      </c>
    </row>
    <row r="326" spans="1:119" x14ac:dyDescent="0.2">
      <c r="A326" s="45">
        <f t="shared" si="30"/>
        <v>305</v>
      </c>
      <c r="B326" s="64" t="s">
        <v>87</v>
      </c>
      <c r="C326" s="45">
        <v>410790383</v>
      </c>
      <c r="D326" s="45" t="s">
        <v>131</v>
      </c>
      <c r="E326" s="45" t="s">
        <v>162</v>
      </c>
      <c r="F326" s="48">
        <v>1</v>
      </c>
      <c r="G326" s="100">
        <v>1</v>
      </c>
      <c r="H326" s="100">
        <v>0</v>
      </c>
      <c r="I326" s="100">
        <v>0</v>
      </c>
      <c r="J326" s="100">
        <v>0</v>
      </c>
      <c r="K326" s="100">
        <v>0</v>
      </c>
      <c r="L326" s="100">
        <v>0</v>
      </c>
      <c r="M326" s="100">
        <v>0</v>
      </c>
      <c r="N326" s="100">
        <v>0</v>
      </c>
      <c r="O326" s="100">
        <v>0</v>
      </c>
      <c r="P326" s="100">
        <v>0</v>
      </c>
      <c r="Q326" s="100">
        <v>0</v>
      </c>
      <c r="R326" s="100">
        <v>0</v>
      </c>
      <c r="S326" s="100">
        <v>0</v>
      </c>
      <c r="T326" s="100">
        <v>0</v>
      </c>
      <c r="U326" s="100">
        <v>0</v>
      </c>
      <c r="V326" s="100">
        <v>0</v>
      </c>
      <c r="W326" s="100">
        <v>0</v>
      </c>
      <c r="X326" s="45" t="s">
        <v>4</v>
      </c>
      <c r="Y326" s="49">
        <v>0</v>
      </c>
      <c r="Z326" s="45">
        <v>0</v>
      </c>
      <c r="AA326" s="45">
        <v>0</v>
      </c>
      <c r="AB326" s="45">
        <v>0</v>
      </c>
      <c r="AC326" s="45">
        <v>0</v>
      </c>
      <c r="AD326" s="45">
        <v>0</v>
      </c>
      <c r="AE326" s="45">
        <v>0</v>
      </c>
      <c r="AF326" s="45">
        <v>0</v>
      </c>
      <c r="AG326" s="45">
        <v>0</v>
      </c>
      <c r="AH326" s="45">
        <v>0</v>
      </c>
      <c r="AI326" s="45">
        <v>0</v>
      </c>
      <c r="AJ326" s="45">
        <v>0</v>
      </c>
      <c r="AK326" s="45">
        <v>0</v>
      </c>
      <c r="AL326" s="45">
        <v>0</v>
      </c>
      <c r="AM326" s="45">
        <v>0</v>
      </c>
      <c r="AN326" s="45">
        <v>0</v>
      </c>
      <c r="AO326" s="45"/>
      <c r="AP326" s="45"/>
      <c r="AQ326" s="45"/>
      <c r="AR326" s="45"/>
      <c r="AS326" s="45"/>
      <c r="AT326" s="45"/>
      <c r="AU326" s="45"/>
      <c r="AV326" s="45"/>
      <c r="AW326" s="45"/>
      <c r="AX326" s="45"/>
      <c r="AY326" s="45"/>
      <c r="AZ326" s="45"/>
      <c r="BA326" s="45"/>
      <c r="BB326" s="45"/>
      <c r="BC326" s="45"/>
      <c r="BD326" s="93"/>
      <c r="BE326" s="93"/>
      <c r="BF326" s="93"/>
      <c r="BG326" s="93"/>
      <c r="BH326" s="93"/>
      <c r="BI326" s="93"/>
      <c r="BJ326" s="93"/>
      <c r="BK326" s="93">
        <f>SUM($Z326:AD326)-SUM($CM326:CQ326)</f>
        <v>-8</v>
      </c>
      <c r="BL326" s="93">
        <f>SUM($Z326:AE326)-SUM($CM326:CR326)</f>
        <v>-16</v>
      </c>
      <c r="BM326" s="93">
        <f>SUM($Z326:AF326)-SUM($CM326:CS326)</f>
        <v>-24</v>
      </c>
      <c r="BN326" s="93">
        <f>SUM($Z326:AG326)-SUM($CM326:CT326)</f>
        <v>-32</v>
      </c>
      <c r="BO326" s="93">
        <f>SUM($Z326:AH326)-SUM($CM326:CU326)</f>
        <v>-40</v>
      </c>
      <c r="BP326" s="93">
        <f>SUM($Z326:AI326)-SUM($CM326:CV326)</f>
        <v>-48</v>
      </c>
      <c r="BQ326" s="93">
        <f>SUM($Z326:AJ326)-SUM($CM326:CW326)</f>
        <v>-56</v>
      </c>
      <c r="BR326" s="93">
        <f>SUM($Z326:AK326)-SUM($CM326:CX326)</f>
        <v>-64</v>
      </c>
      <c r="BS326" s="93">
        <f>SUM($Z326:AL326)-SUM($CM326:CY326)</f>
        <v>-72</v>
      </c>
      <c r="BT326" s="93">
        <f>SUM($Z326:AM326)-SUM($CM326:CZ326)</f>
        <v>-80</v>
      </c>
      <c r="BU326" s="93">
        <f>SUM($Z326:AN326)-SUM($CM326:DA326)</f>
        <v>-88</v>
      </c>
      <c r="BV326" s="93">
        <f>SUM($Z326:AO326)-SUM($CM326:DB326)</f>
        <v>-96</v>
      </c>
      <c r="BW326" s="93">
        <f>SUM($Z326:AP326)-SUM($CM326:DC326)</f>
        <v>-102</v>
      </c>
      <c r="BX326" s="93">
        <f>SUM($Z326:AQ326)-SUM($CM326:DD326)</f>
        <v>-102</v>
      </c>
      <c r="BY326" s="93">
        <f>SUM($Z326:AR326)-SUM($CM326:DE326)</f>
        <v>-102</v>
      </c>
      <c r="BZ326" s="93">
        <f>SUM($Z326:AS326)-SUM($CM326:DF326)</f>
        <v>-102</v>
      </c>
      <c r="CA326" s="93">
        <f>SUM($Z326:AT326)-SUM($CM326:DG326)</f>
        <v>-102</v>
      </c>
      <c r="CB326" s="93">
        <f>SUM($Z326:AU326)-SUM($CM326:DH326)</f>
        <v>-102</v>
      </c>
      <c r="CC326" s="93">
        <f>SUM($Z326:AV326)-SUM($CM326:DI326)</f>
        <v>-102</v>
      </c>
      <c r="CD326" s="93">
        <f>SUM($Z326:AW326)-SUM($CM326:DJ326)</f>
        <v>-102</v>
      </c>
      <c r="CE326" s="93">
        <f>SUM($Z326:AX326)-SUM($CM326:DK326)</f>
        <v>-102</v>
      </c>
      <c r="CF326" s="93">
        <f>SUM($Z326:AY326)-SUM($CM326:DL326)</f>
        <v>-102</v>
      </c>
      <c r="CG326" s="93">
        <f>SUM($Z326:AZ326)-SUM($CM326:DM326)</f>
        <v>-102</v>
      </c>
      <c r="CH326" s="93">
        <f>SUM($Z326:BA326)-SUM($CM326:DN326)</f>
        <v>-102</v>
      </c>
      <c r="CI326" s="93">
        <f>SUM($Z326:BB326)-SUM($CM326:DO326)</f>
        <v>-102</v>
      </c>
      <c r="CJ326" s="93"/>
      <c r="CK326" s="93"/>
      <c r="CL326" s="93"/>
      <c r="CM326" s="93"/>
      <c r="CN326" s="93" cm="1">
        <f t="array" ref="CN326">SUMPRODUCT(TRANSPOSE(CN$4:CN$20),$G326:$W326)</f>
        <v>0</v>
      </c>
      <c r="CO326" s="93" cm="1">
        <f t="array" ref="CO326">SUMPRODUCT(TRANSPOSE(CO$4:CO$20),$G326:$W326)</f>
        <v>0</v>
      </c>
      <c r="CP326" s="93" cm="1">
        <f t="array" ref="CP326">SUMPRODUCT(TRANSPOSE(CP$4:CP$20),$G326:$W326)</f>
        <v>0</v>
      </c>
      <c r="CQ326" s="93" cm="1">
        <f t="array" ref="CQ326">SUMPRODUCT(TRANSPOSE(CQ$4:CQ$20),$G326:$W326)</f>
        <v>8</v>
      </c>
      <c r="CR326" s="93" cm="1">
        <f t="array" ref="CR326">SUMPRODUCT(TRANSPOSE(CR$4:CR$20),$G326:$W326)</f>
        <v>8</v>
      </c>
      <c r="CS326" s="93" cm="1">
        <f t="array" ref="CS326">SUMPRODUCT(TRANSPOSE(CS$4:CS$20),$G326:$W326)</f>
        <v>8</v>
      </c>
      <c r="CT326" s="93" cm="1">
        <f t="array" ref="CT326">SUMPRODUCT(TRANSPOSE(CT$4:CT$20),$G326:$W326)</f>
        <v>8</v>
      </c>
      <c r="CU326" s="93" cm="1">
        <f t="array" ref="CU326">SUMPRODUCT(TRANSPOSE(CU$4:CU$20),$G326:$W326)</f>
        <v>8</v>
      </c>
      <c r="CV326" s="93" cm="1">
        <f t="array" ref="CV326">SUMPRODUCT(TRANSPOSE(CV$4:CV$20),$G326:$W326)</f>
        <v>8</v>
      </c>
      <c r="CW326" s="93" cm="1">
        <f t="array" ref="CW326">SUMPRODUCT(TRANSPOSE(CW$4:CW$20),$G326:$W326)</f>
        <v>8</v>
      </c>
      <c r="CX326" s="93" cm="1">
        <f t="array" ref="CX326">SUMPRODUCT(TRANSPOSE(CX$4:CX$20),$G326:$W326)</f>
        <v>8</v>
      </c>
      <c r="CY326" s="93" cm="1">
        <f t="array" ref="CY326">SUMPRODUCT(TRANSPOSE(CY$4:CY$20),$G326:$W326)</f>
        <v>8</v>
      </c>
      <c r="CZ326" s="93" cm="1">
        <f t="array" ref="CZ326">SUMPRODUCT(TRANSPOSE(CZ$4:CZ$20),$G326:$W326)</f>
        <v>8</v>
      </c>
      <c r="DA326" s="93" cm="1">
        <f t="array" ref="DA326">SUMPRODUCT(TRANSPOSE(DA$4:DA$20),$G326:$W326)</f>
        <v>8</v>
      </c>
      <c r="DB326" s="93" cm="1">
        <f t="array" ref="DB326">SUMPRODUCT(TRANSPOSE(DB$4:DB$20),$G326:$W326)</f>
        <v>8</v>
      </c>
      <c r="DC326" s="93" cm="1">
        <f t="array" ref="DC326">SUMPRODUCT(TRANSPOSE(DC$4:DC$20),$G326:$W326)</f>
        <v>6</v>
      </c>
      <c r="DD326" s="93" cm="1">
        <f t="array" ref="DD326">SUMPRODUCT(TRANSPOSE(DD$4:DD$20),$G326:$W326)</f>
        <v>0</v>
      </c>
      <c r="DE326" s="93" cm="1">
        <f t="array" ref="DE326">SUMPRODUCT(TRANSPOSE(DE$4:DE$20),$G326:$W326)</f>
        <v>0</v>
      </c>
      <c r="DF326" s="93" cm="1">
        <f t="array" ref="DF326">SUMPRODUCT(TRANSPOSE(DF$4:DF$20),$G326:$W326)</f>
        <v>0</v>
      </c>
      <c r="DG326" s="93" cm="1">
        <f t="array" ref="DG326">SUMPRODUCT(TRANSPOSE(DG$4:DG$20),$G326:$W326)</f>
        <v>0</v>
      </c>
      <c r="DH326" s="93" cm="1">
        <f t="array" ref="DH326">SUMPRODUCT(TRANSPOSE(DH$4:DH$20),$G326:$W326)</f>
        <v>0</v>
      </c>
      <c r="DI326" s="93" cm="1">
        <f t="array" ref="DI326">SUMPRODUCT(TRANSPOSE(DI$4:DI$20),$G326:$W326)</f>
        <v>0</v>
      </c>
      <c r="DJ326" s="93" cm="1">
        <f t="array" ref="DJ326">SUMPRODUCT(TRANSPOSE(DJ$4:DJ$20),$G326:$W326)</f>
        <v>0</v>
      </c>
      <c r="DK326" s="93" cm="1">
        <f t="array" ref="DK326">SUMPRODUCT(TRANSPOSE(DK$4:DK$20),$G326:$W326)</f>
        <v>0</v>
      </c>
      <c r="DL326" s="93" cm="1">
        <f t="array" ref="DL326">SUMPRODUCT(TRANSPOSE(DL$4:DL$20),$G326:$W326)</f>
        <v>0</v>
      </c>
      <c r="DM326" s="93" cm="1">
        <f t="array" ref="DM326">SUMPRODUCT(TRANSPOSE(DM$4:DM$20),$G326:$W326)</f>
        <v>0</v>
      </c>
      <c r="DN326" s="93" cm="1">
        <f t="array" ref="DN326">SUMPRODUCT(TRANSPOSE(DN$4:DN$20),$G326:$W326)</f>
        <v>0</v>
      </c>
      <c r="DO326" s="93" cm="1">
        <f t="array" ref="DO326">SUMPRODUCT(TRANSPOSE(DO$4:DO$20),$G326:$W326)</f>
        <v>0</v>
      </c>
    </row>
    <row r="327" spans="1:119" x14ac:dyDescent="0.2">
      <c r="A327" s="45">
        <f t="shared" si="30"/>
        <v>306</v>
      </c>
      <c r="B327" s="71" t="s">
        <v>734</v>
      </c>
      <c r="C327" s="45">
        <v>421116904</v>
      </c>
      <c r="D327" s="45" t="s">
        <v>735</v>
      </c>
      <c r="E327" s="45" t="s">
        <v>162</v>
      </c>
      <c r="F327" s="48">
        <v>1</v>
      </c>
      <c r="G327" s="100">
        <v>0</v>
      </c>
      <c r="H327" s="100">
        <v>0</v>
      </c>
      <c r="I327" s="100">
        <v>2</v>
      </c>
      <c r="J327" s="100">
        <v>0</v>
      </c>
      <c r="K327" s="100">
        <v>2</v>
      </c>
      <c r="L327" s="100">
        <v>0</v>
      </c>
      <c r="M327" s="100">
        <v>0</v>
      </c>
      <c r="N327" s="100">
        <v>0</v>
      </c>
      <c r="O327" s="100">
        <v>0</v>
      </c>
      <c r="P327" s="100">
        <v>0</v>
      </c>
      <c r="Q327" s="100">
        <v>0</v>
      </c>
      <c r="R327" s="100">
        <v>0</v>
      </c>
      <c r="S327" s="100">
        <v>0</v>
      </c>
      <c r="T327" s="100">
        <v>0</v>
      </c>
      <c r="U327" s="100">
        <v>0</v>
      </c>
      <c r="V327" s="100">
        <v>0</v>
      </c>
      <c r="W327" s="100">
        <v>0</v>
      </c>
      <c r="X327" s="45" t="s">
        <v>56</v>
      </c>
      <c r="Y327" s="49">
        <v>29.7</v>
      </c>
      <c r="Z327" s="45">
        <v>488</v>
      </c>
      <c r="AA327" s="45">
        <v>0</v>
      </c>
      <c r="AB327" s="45">
        <v>0</v>
      </c>
      <c r="AC327" s="45">
        <v>0</v>
      </c>
      <c r="AD327" s="45">
        <v>0</v>
      </c>
      <c r="AE327" s="45">
        <v>0</v>
      </c>
      <c r="AF327" s="45">
        <v>0</v>
      </c>
      <c r="AG327" s="45">
        <v>0</v>
      </c>
      <c r="AH327" s="45">
        <v>0</v>
      </c>
      <c r="AI327" s="45">
        <v>0</v>
      </c>
      <c r="AJ327" s="45">
        <v>0</v>
      </c>
      <c r="AK327" s="45">
        <v>0</v>
      </c>
      <c r="AL327" s="45">
        <v>0</v>
      </c>
      <c r="AM327" s="45">
        <v>0</v>
      </c>
      <c r="AN327" s="45">
        <v>0</v>
      </c>
      <c r="AO327" s="45"/>
      <c r="AP327" s="45"/>
      <c r="AQ327" s="45"/>
      <c r="AR327" s="45"/>
      <c r="AS327" s="45"/>
      <c r="AT327" s="45"/>
      <c r="AU327" s="45"/>
      <c r="AV327" s="45"/>
      <c r="AW327" s="45"/>
      <c r="AX327" s="45"/>
      <c r="AY327" s="45"/>
      <c r="AZ327" s="45"/>
      <c r="BA327" s="45"/>
      <c r="BB327" s="45"/>
      <c r="BC327" s="45"/>
      <c r="BD327" s="93"/>
      <c r="BE327" s="93"/>
      <c r="BF327" s="93"/>
      <c r="BG327" s="93"/>
      <c r="BH327" s="93"/>
      <c r="BI327" s="93"/>
      <c r="BJ327" s="93"/>
      <c r="BK327" s="93">
        <f>SUM($Z327:AD327)-SUM($CM327:CQ327)</f>
        <v>456</v>
      </c>
      <c r="BL327" s="93">
        <f>SUM($Z327:AE327)-SUM($CM327:CR327)</f>
        <v>424</v>
      </c>
      <c r="BM327" s="93">
        <f>SUM($Z327:AF327)-SUM($CM327:CS327)</f>
        <v>392</v>
      </c>
      <c r="BN327" s="93">
        <f>SUM($Z327:AG327)-SUM($CM327:CT327)</f>
        <v>360</v>
      </c>
      <c r="BO327" s="93">
        <f>SUM($Z327:AH327)-SUM($CM327:CU327)</f>
        <v>328</v>
      </c>
      <c r="BP327" s="93">
        <f>SUM($Z327:AI327)-SUM($CM327:CV327)</f>
        <v>296</v>
      </c>
      <c r="BQ327" s="93">
        <f>SUM($Z327:AJ327)-SUM($CM327:CW327)</f>
        <v>264</v>
      </c>
      <c r="BR327" s="93">
        <f>SUM($Z327:AK327)-SUM($CM327:CX327)</f>
        <v>232</v>
      </c>
      <c r="BS327" s="93">
        <f>SUM($Z327:AL327)-SUM($CM327:CY327)</f>
        <v>200</v>
      </c>
      <c r="BT327" s="93">
        <f>SUM($Z327:AM327)-SUM($CM327:CZ327)</f>
        <v>168</v>
      </c>
      <c r="BU327" s="93">
        <f>SUM($Z327:AN327)-SUM($CM327:DA327)</f>
        <v>136</v>
      </c>
      <c r="BV327" s="93">
        <f>SUM($Z327:AO327)-SUM($CM327:DB327)</f>
        <v>104</v>
      </c>
      <c r="BW327" s="93">
        <f>SUM($Z327:AP327)-SUM($CM327:DC327)</f>
        <v>80</v>
      </c>
      <c r="BX327" s="93">
        <f>SUM($Z327:AQ327)-SUM($CM327:DD327)</f>
        <v>80</v>
      </c>
      <c r="BY327" s="93">
        <f>SUM($Z327:AR327)-SUM($CM327:DE327)</f>
        <v>80</v>
      </c>
      <c r="BZ327" s="93">
        <f>SUM($Z327:AS327)-SUM($CM327:DF327)</f>
        <v>80</v>
      </c>
      <c r="CA327" s="93">
        <f>SUM($Z327:AT327)-SUM($CM327:DG327)</f>
        <v>80</v>
      </c>
      <c r="CB327" s="93">
        <f>SUM($Z327:AU327)-SUM($CM327:DH327)</f>
        <v>80</v>
      </c>
      <c r="CC327" s="93">
        <f>SUM($Z327:AV327)-SUM($CM327:DI327)</f>
        <v>80</v>
      </c>
      <c r="CD327" s="93">
        <f>SUM($Z327:AW327)-SUM($CM327:DJ327)</f>
        <v>80</v>
      </c>
      <c r="CE327" s="93">
        <f>SUM($Z327:AX327)-SUM($CM327:DK327)</f>
        <v>80</v>
      </c>
      <c r="CF327" s="93">
        <f>SUM($Z327:AY327)-SUM($CM327:DL327)</f>
        <v>80</v>
      </c>
      <c r="CG327" s="93">
        <f>SUM($Z327:AZ327)-SUM($CM327:DM327)</f>
        <v>80</v>
      </c>
      <c r="CH327" s="93">
        <f>SUM($Z327:BA327)-SUM($CM327:DN327)</f>
        <v>80</v>
      </c>
      <c r="CI327" s="93">
        <f>SUM($Z327:BB327)-SUM($CM327:DO327)</f>
        <v>80</v>
      </c>
      <c r="CJ327" s="93"/>
      <c r="CK327" s="93"/>
      <c r="CL327" s="93"/>
      <c r="CM327" s="93"/>
      <c r="CN327" s="93" cm="1">
        <f t="array" ref="CN327">SUMPRODUCT(TRANSPOSE(CN$4:CN$20),$G327:$W327)</f>
        <v>0</v>
      </c>
      <c r="CO327" s="93" cm="1">
        <f t="array" ref="CO327">SUMPRODUCT(TRANSPOSE(CO$4:CO$20),$G327:$W327)</f>
        <v>0</v>
      </c>
      <c r="CP327" s="93" cm="1">
        <f t="array" ref="CP327">SUMPRODUCT(TRANSPOSE(CP$4:CP$20),$G327:$W327)</f>
        <v>0</v>
      </c>
      <c r="CQ327" s="93" cm="1">
        <f t="array" ref="CQ327">SUMPRODUCT(TRANSPOSE(CQ$4:CQ$20),$G327:$W327)</f>
        <v>32</v>
      </c>
      <c r="CR327" s="93" cm="1">
        <f t="array" ref="CR327">SUMPRODUCT(TRANSPOSE(CR$4:CR$20),$G327:$W327)</f>
        <v>32</v>
      </c>
      <c r="CS327" s="93" cm="1">
        <f t="array" ref="CS327">SUMPRODUCT(TRANSPOSE(CS$4:CS$20),$G327:$W327)</f>
        <v>32</v>
      </c>
      <c r="CT327" s="93" cm="1">
        <f t="array" ref="CT327">SUMPRODUCT(TRANSPOSE(CT$4:CT$20),$G327:$W327)</f>
        <v>32</v>
      </c>
      <c r="CU327" s="93" cm="1">
        <f t="array" ref="CU327">SUMPRODUCT(TRANSPOSE(CU$4:CU$20),$G327:$W327)</f>
        <v>32</v>
      </c>
      <c r="CV327" s="93" cm="1">
        <f t="array" ref="CV327">SUMPRODUCT(TRANSPOSE(CV$4:CV$20),$G327:$W327)</f>
        <v>32</v>
      </c>
      <c r="CW327" s="93" cm="1">
        <f t="array" ref="CW327">SUMPRODUCT(TRANSPOSE(CW$4:CW$20),$G327:$W327)</f>
        <v>32</v>
      </c>
      <c r="CX327" s="93" cm="1">
        <f t="array" ref="CX327">SUMPRODUCT(TRANSPOSE(CX$4:CX$20),$G327:$W327)</f>
        <v>32</v>
      </c>
      <c r="CY327" s="93" cm="1">
        <f t="array" ref="CY327">SUMPRODUCT(TRANSPOSE(CY$4:CY$20),$G327:$W327)</f>
        <v>32</v>
      </c>
      <c r="CZ327" s="93" cm="1">
        <f t="array" ref="CZ327">SUMPRODUCT(TRANSPOSE(CZ$4:CZ$20),$G327:$W327)</f>
        <v>32</v>
      </c>
      <c r="DA327" s="93" cm="1">
        <f t="array" ref="DA327">SUMPRODUCT(TRANSPOSE(DA$4:DA$20),$G327:$W327)</f>
        <v>32</v>
      </c>
      <c r="DB327" s="93" cm="1">
        <f t="array" ref="DB327">SUMPRODUCT(TRANSPOSE(DB$4:DB$20),$G327:$W327)</f>
        <v>32</v>
      </c>
      <c r="DC327" s="93" cm="1">
        <f t="array" ref="DC327">SUMPRODUCT(TRANSPOSE(DC$4:DC$20),$G327:$W327)</f>
        <v>24</v>
      </c>
      <c r="DD327" s="93" cm="1">
        <f t="array" ref="DD327">SUMPRODUCT(TRANSPOSE(DD$4:DD$20),$G327:$W327)</f>
        <v>0</v>
      </c>
      <c r="DE327" s="93" cm="1">
        <f t="array" ref="DE327">SUMPRODUCT(TRANSPOSE(DE$4:DE$20),$G327:$W327)</f>
        <v>0</v>
      </c>
      <c r="DF327" s="93" cm="1">
        <f t="array" ref="DF327">SUMPRODUCT(TRANSPOSE(DF$4:DF$20),$G327:$W327)</f>
        <v>0</v>
      </c>
      <c r="DG327" s="93" cm="1">
        <f t="array" ref="DG327">SUMPRODUCT(TRANSPOSE(DG$4:DG$20),$G327:$W327)</f>
        <v>0</v>
      </c>
      <c r="DH327" s="93" cm="1">
        <f t="array" ref="DH327">SUMPRODUCT(TRANSPOSE(DH$4:DH$20),$G327:$W327)</f>
        <v>0</v>
      </c>
      <c r="DI327" s="93" cm="1">
        <f t="array" ref="DI327">SUMPRODUCT(TRANSPOSE(DI$4:DI$20),$G327:$W327)</f>
        <v>0</v>
      </c>
      <c r="DJ327" s="93" cm="1">
        <f t="array" ref="DJ327">SUMPRODUCT(TRANSPOSE(DJ$4:DJ$20),$G327:$W327)</f>
        <v>0</v>
      </c>
      <c r="DK327" s="93" cm="1">
        <f t="array" ref="DK327">SUMPRODUCT(TRANSPOSE(DK$4:DK$20),$G327:$W327)</f>
        <v>0</v>
      </c>
      <c r="DL327" s="93" cm="1">
        <f t="array" ref="DL327">SUMPRODUCT(TRANSPOSE(DL$4:DL$20),$G327:$W327)</f>
        <v>0</v>
      </c>
      <c r="DM327" s="93" cm="1">
        <f t="array" ref="DM327">SUMPRODUCT(TRANSPOSE(DM$4:DM$20),$G327:$W327)</f>
        <v>0</v>
      </c>
      <c r="DN327" s="93" cm="1">
        <f t="array" ref="DN327">SUMPRODUCT(TRANSPOSE(DN$4:DN$20),$G327:$W327)</f>
        <v>0</v>
      </c>
      <c r="DO327" s="93" cm="1">
        <f t="array" ref="DO327">SUMPRODUCT(TRANSPOSE(DO$4:DO$20),$G327:$W327)</f>
        <v>0</v>
      </c>
    </row>
    <row r="328" spans="1:119" x14ac:dyDescent="0.2">
      <c r="A328" s="45">
        <f t="shared" si="30"/>
        <v>307</v>
      </c>
      <c r="B328" s="64" t="s">
        <v>736</v>
      </c>
      <c r="C328" s="45">
        <v>401556275</v>
      </c>
      <c r="D328" s="45" t="s">
        <v>737</v>
      </c>
      <c r="E328" s="45" t="s">
        <v>162</v>
      </c>
      <c r="F328" s="48">
        <v>2</v>
      </c>
      <c r="G328" s="100">
        <v>0</v>
      </c>
      <c r="H328" s="100">
        <v>0</v>
      </c>
      <c r="I328" s="100">
        <v>4</v>
      </c>
      <c r="J328" s="100">
        <v>0</v>
      </c>
      <c r="K328" s="100">
        <v>0</v>
      </c>
      <c r="L328" s="100">
        <v>0</v>
      </c>
      <c r="M328" s="100">
        <v>0</v>
      </c>
      <c r="N328" s="100">
        <v>0</v>
      </c>
      <c r="O328" s="100">
        <v>0</v>
      </c>
      <c r="P328" s="100">
        <v>0</v>
      </c>
      <c r="Q328" s="100">
        <v>0</v>
      </c>
      <c r="R328" s="100">
        <v>0</v>
      </c>
      <c r="S328" s="100">
        <v>0</v>
      </c>
      <c r="T328" s="100">
        <v>0</v>
      </c>
      <c r="U328" s="100">
        <v>0</v>
      </c>
      <c r="V328" s="100">
        <v>0</v>
      </c>
      <c r="W328" s="100">
        <v>0</v>
      </c>
      <c r="X328" s="45" t="s">
        <v>216</v>
      </c>
      <c r="Y328" s="49">
        <v>3.04</v>
      </c>
      <c r="Z328" s="45">
        <v>525</v>
      </c>
      <c r="AA328" s="45">
        <v>0</v>
      </c>
      <c r="AB328" s="45">
        <v>0</v>
      </c>
      <c r="AC328" s="45">
        <v>0</v>
      </c>
      <c r="AD328" s="45">
        <v>0</v>
      </c>
      <c r="AE328" s="45">
        <v>0</v>
      </c>
      <c r="AF328" s="45">
        <v>0</v>
      </c>
      <c r="AG328" s="45">
        <v>0</v>
      </c>
      <c r="AH328" s="45">
        <v>0</v>
      </c>
      <c r="AI328" s="45">
        <v>0</v>
      </c>
      <c r="AJ328" s="45">
        <v>0</v>
      </c>
      <c r="AK328" s="45">
        <v>0</v>
      </c>
      <c r="AL328" s="45">
        <v>0</v>
      </c>
      <c r="AM328" s="45">
        <v>0</v>
      </c>
      <c r="AN328" s="45">
        <v>0</v>
      </c>
      <c r="AO328" s="45"/>
      <c r="AP328" s="45"/>
      <c r="AQ328" s="45"/>
      <c r="AR328" s="45"/>
      <c r="AS328" s="45"/>
      <c r="AT328" s="45"/>
      <c r="AU328" s="45"/>
      <c r="AV328" s="45"/>
      <c r="AW328" s="45"/>
      <c r="AX328" s="45"/>
      <c r="AY328" s="45"/>
      <c r="AZ328" s="45"/>
      <c r="BA328" s="45"/>
      <c r="BB328" s="45"/>
      <c r="BC328" s="45"/>
      <c r="BD328" s="93"/>
      <c r="BE328" s="93"/>
      <c r="BF328" s="93"/>
      <c r="BG328" s="93"/>
      <c r="BH328" s="93"/>
      <c r="BI328" s="93"/>
      <c r="BJ328" s="93"/>
      <c r="BK328" s="93">
        <f>SUM($Z328:AD328)-SUM($CM328:CQ328)</f>
        <v>493</v>
      </c>
      <c r="BL328" s="93">
        <f>SUM($Z328:AE328)-SUM($CM328:CR328)</f>
        <v>461</v>
      </c>
      <c r="BM328" s="93">
        <f>SUM($Z328:AF328)-SUM($CM328:CS328)</f>
        <v>429</v>
      </c>
      <c r="BN328" s="93">
        <f>SUM($Z328:AG328)-SUM($CM328:CT328)</f>
        <v>397</v>
      </c>
      <c r="BO328" s="93">
        <f>SUM($Z328:AH328)-SUM($CM328:CU328)</f>
        <v>365</v>
      </c>
      <c r="BP328" s="93">
        <f>SUM($Z328:AI328)-SUM($CM328:CV328)</f>
        <v>333</v>
      </c>
      <c r="BQ328" s="93">
        <f>SUM($Z328:AJ328)-SUM($CM328:CW328)</f>
        <v>301</v>
      </c>
      <c r="BR328" s="93">
        <f>SUM($Z328:AK328)-SUM($CM328:CX328)</f>
        <v>269</v>
      </c>
      <c r="BS328" s="93">
        <f>SUM($Z328:AL328)-SUM($CM328:CY328)</f>
        <v>237</v>
      </c>
      <c r="BT328" s="93">
        <f>SUM($Z328:AM328)-SUM($CM328:CZ328)</f>
        <v>205</v>
      </c>
      <c r="BU328" s="93">
        <f>SUM($Z328:AN328)-SUM($CM328:DA328)</f>
        <v>173</v>
      </c>
      <c r="BV328" s="93">
        <f>SUM($Z328:AO328)-SUM($CM328:DB328)</f>
        <v>141</v>
      </c>
      <c r="BW328" s="93">
        <f>SUM($Z328:AP328)-SUM($CM328:DC328)</f>
        <v>117</v>
      </c>
      <c r="BX328" s="93">
        <f>SUM($Z328:AQ328)-SUM($CM328:DD328)</f>
        <v>117</v>
      </c>
      <c r="BY328" s="93">
        <f>SUM($Z328:AR328)-SUM($CM328:DE328)</f>
        <v>117</v>
      </c>
      <c r="BZ328" s="93">
        <f>SUM($Z328:AS328)-SUM($CM328:DF328)</f>
        <v>117</v>
      </c>
      <c r="CA328" s="93">
        <f>SUM($Z328:AT328)-SUM($CM328:DG328)</f>
        <v>117</v>
      </c>
      <c r="CB328" s="93">
        <f>SUM($Z328:AU328)-SUM($CM328:DH328)</f>
        <v>117</v>
      </c>
      <c r="CC328" s="93">
        <f>SUM($Z328:AV328)-SUM($CM328:DI328)</f>
        <v>117</v>
      </c>
      <c r="CD328" s="93">
        <f>SUM($Z328:AW328)-SUM($CM328:DJ328)</f>
        <v>117</v>
      </c>
      <c r="CE328" s="93">
        <f>SUM($Z328:AX328)-SUM($CM328:DK328)</f>
        <v>117</v>
      </c>
      <c r="CF328" s="93">
        <f>SUM($Z328:AY328)-SUM($CM328:DL328)</f>
        <v>117</v>
      </c>
      <c r="CG328" s="93">
        <f>SUM($Z328:AZ328)-SUM($CM328:DM328)</f>
        <v>117</v>
      </c>
      <c r="CH328" s="93">
        <f>SUM($Z328:BA328)-SUM($CM328:DN328)</f>
        <v>117</v>
      </c>
      <c r="CI328" s="93">
        <f>SUM($Z328:BB328)-SUM($CM328:DO328)</f>
        <v>117</v>
      </c>
      <c r="CJ328" s="93"/>
      <c r="CK328" s="93"/>
      <c r="CL328" s="93"/>
      <c r="CM328" s="93"/>
      <c r="CN328" s="93" cm="1">
        <f t="array" ref="CN328">SUMPRODUCT(TRANSPOSE(CN$4:CN$20),$G328:$W328)</f>
        <v>0</v>
      </c>
      <c r="CO328" s="93" cm="1">
        <f t="array" ref="CO328">SUMPRODUCT(TRANSPOSE(CO$4:CO$20),$G328:$W328)</f>
        <v>0</v>
      </c>
      <c r="CP328" s="93" cm="1">
        <f t="array" ref="CP328">SUMPRODUCT(TRANSPOSE(CP$4:CP$20),$G328:$W328)</f>
        <v>0</v>
      </c>
      <c r="CQ328" s="93" cm="1">
        <f t="array" ref="CQ328">SUMPRODUCT(TRANSPOSE(CQ$4:CQ$20),$G328:$W328)</f>
        <v>32</v>
      </c>
      <c r="CR328" s="93" cm="1">
        <f t="array" ref="CR328">SUMPRODUCT(TRANSPOSE(CR$4:CR$20),$G328:$W328)</f>
        <v>32</v>
      </c>
      <c r="CS328" s="93" cm="1">
        <f t="array" ref="CS328">SUMPRODUCT(TRANSPOSE(CS$4:CS$20),$G328:$W328)</f>
        <v>32</v>
      </c>
      <c r="CT328" s="93" cm="1">
        <f t="array" ref="CT328">SUMPRODUCT(TRANSPOSE(CT$4:CT$20),$G328:$W328)</f>
        <v>32</v>
      </c>
      <c r="CU328" s="93" cm="1">
        <f t="array" ref="CU328">SUMPRODUCT(TRANSPOSE(CU$4:CU$20),$G328:$W328)</f>
        <v>32</v>
      </c>
      <c r="CV328" s="93" cm="1">
        <f t="array" ref="CV328">SUMPRODUCT(TRANSPOSE(CV$4:CV$20),$G328:$W328)</f>
        <v>32</v>
      </c>
      <c r="CW328" s="93" cm="1">
        <f t="array" ref="CW328">SUMPRODUCT(TRANSPOSE(CW$4:CW$20),$G328:$W328)</f>
        <v>32</v>
      </c>
      <c r="CX328" s="93" cm="1">
        <f t="array" ref="CX328">SUMPRODUCT(TRANSPOSE(CX$4:CX$20),$G328:$W328)</f>
        <v>32</v>
      </c>
      <c r="CY328" s="93" cm="1">
        <f t="array" ref="CY328">SUMPRODUCT(TRANSPOSE(CY$4:CY$20),$G328:$W328)</f>
        <v>32</v>
      </c>
      <c r="CZ328" s="93" cm="1">
        <f t="array" ref="CZ328">SUMPRODUCT(TRANSPOSE(CZ$4:CZ$20),$G328:$W328)</f>
        <v>32</v>
      </c>
      <c r="DA328" s="93" cm="1">
        <f t="array" ref="DA328">SUMPRODUCT(TRANSPOSE(DA$4:DA$20),$G328:$W328)</f>
        <v>32</v>
      </c>
      <c r="DB328" s="93" cm="1">
        <f t="array" ref="DB328">SUMPRODUCT(TRANSPOSE(DB$4:DB$20),$G328:$W328)</f>
        <v>32</v>
      </c>
      <c r="DC328" s="93" cm="1">
        <f t="array" ref="DC328">SUMPRODUCT(TRANSPOSE(DC$4:DC$20),$G328:$W328)</f>
        <v>24</v>
      </c>
      <c r="DD328" s="93" cm="1">
        <f t="array" ref="DD328">SUMPRODUCT(TRANSPOSE(DD$4:DD$20),$G328:$W328)</f>
        <v>0</v>
      </c>
      <c r="DE328" s="93" cm="1">
        <f t="array" ref="DE328">SUMPRODUCT(TRANSPOSE(DE$4:DE$20),$G328:$W328)</f>
        <v>0</v>
      </c>
      <c r="DF328" s="93" cm="1">
        <f t="array" ref="DF328">SUMPRODUCT(TRANSPOSE(DF$4:DF$20),$G328:$W328)</f>
        <v>0</v>
      </c>
      <c r="DG328" s="93" cm="1">
        <f t="array" ref="DG328">SUMPRODUCT(TRANSPOSE(DG$4:DG$20),$G328:$W328)</f>
        <v>0</v>
      </c>
      <c r="DH328" s="93" cm="1">
        <f t="array" ref="DH328">SUMPRODUCT(TRANSPOSE(DH$4:DH$20),$G328:$W328)</f>
        <v>0</v>
      </c>
      <c r="DI328" s="93" cm="1">
        <f t="array" ref="DI328">SUMPRODUCT(TRANSPOSE(DI$4:DI$20),$G328:$W328)</f>
        <v>0</v>
      </c>
      <c r="DJ328" s="93" cm="1">
        <f t="array" ref="DJ328">SUMPRODUCT(TRANSPOSE(DJ$4:DJ$20),$G328:$W328)</f>
        <v>0</v>
      </c>
      <c r="DK328" s="93" cm="1">
        <f t="array" ref="DK328">SUMPRODUCT(TRANSPOSE(DK$4:DK$20),$G328:$W328)</f>
        <v>0</v>
      </c>
      <c r="DL328" s="93" cm="1">
        <f t="array" ref="DL328">SUMPRODUCT(TRANSPOSE(DL$4:DL$20),$G328:$W328)</f>
        <v>0</v>
      </c>
      <c r="DM328" s="93" cm="1">
        <f t="array" ref="DM328">SUMPRODUCT(TRANSPOSE(DM$4:DM$20),$G328:$W328)</f>
        <v>0</v>
      </c>
      <c r="DN328" s="93" cm="1">
        <f t="array" ref="DN328">SUMPRODUCT(TRANSPOSE(DN$4:DN$20),$G328:$W328)</f>
        <v>0</v>
      </c>
      <c r="DO328" s="93" cm="1">
        <f t="array" ref="DO328">SUMPRODUCT(TRANSPOSE(DO$4:DO$20),$G328:$W328)</f>
        <v>0</v>
      </c>
    </row>
    <row r="329" spans="1:119" x14ac:dyDescent="0.2">
      <c r="A329" s="45">
        <f t="shared" si="30"/>
        <v>308</v>
      </c>
      <c r="B329" s="64" t="s">
        <v>738</v>
      </c>
      <c r="C329" s="45">
        <v>400955927</v>
      </c>
      <c r="D329" s="45" t="s">
        <v>739</v>
      </c>
      <c r="E329" s="45" t="s">
        <v>162</v>
      </c>
      <c r="F329" s="48">
        <v>1</v>
      </c>
      <c r="G329" s="100">
        <v>0</v>
      </c>
      <c r="H329" s="100">
        <v>0</v>
      </c>
      <c r="I329" s="100">
        <v>1</v>
      </c>
      <c r="J329" s="100">
        <v>0</v>
      </c>
      <c r="K329" s="100">
        <v>0</v>
      </c>
      <c r="L329" s="100">
        <v>0</v>
      </c>
      <c r="M329" s="100">
        <v>0</v>
      </c>
      <c r="N329" s="100">
        <v>0</v>
      </c>
      <c r="O329" s="100">
        <v>0</v>
      </c>
      <c r="P329" s="100">
        <v>0</v>
      </c>
      <c r="Q329" s="100">
        <v>0</v>
      </c>
      <c r="R329" s="100">
        <v>0</v>
      </c>
      <c r="S329" s="100">
        <v>0</v>
      </c>
      <c r="T329" s="100">
        <v>0</v>
      </c>
      <c r="U329" s="100">
        <v>0</v>
      </c>
      <c r="V329" s="100">
        <v>0</v>
      </c>
      <c r="W329" s="100">
        <v>0</v>
      </c>
      <c r="X329" s="45" t="s">
        <v>46</v>
      </c>
      <c r="Y329" s="49">
        <v>32</v>
      </c>
      <c r="Z329" s="45">
        <v>130</v>
      </c>
      <c r="AA329" s="45">
        <v>0</v>
      </c>
      <c r="AB329" s="45">
        <v>0</v>
      </c>
      <c r="AC329" s="45">
        <v>0</v>
      </c>
      <c r="AD329" s="45">
        <v>0</v>
      </c>
      <c r="AE329" s="45">
        <v>0</v>
      </c>
      <c r="AF329" s="45">
        <v>0</v>
      </c>
      <c r="AG329" s="45">
        <v>0</v>
      </c>
      <c r="AH329" s="45">
        <v>0</v>
      </c>
      <c r="AI329" s="45">
        <v>0</v>
      </c>
      <c r="AJ329" s="45">
        <v>0</v>
      </c>
      <c r="AK329" s="45">
        <v>0</v>
      </c>
      <c r="AL329" s="45">
        <v>0</v>
      </c>
      <c r="AM329" s="45">
        <v>0</v>
      </c>
      <c r="AN329" s="45">
        <v>0</v>
      </c>
      <c r="AO329" s="45"/>
      <c r="AP329" s="45"/>
      <c r="AQ329" s="45"/>
      <c r="AR329" s="45"/>
      <c r="AS329" s="45"/>
      <c r="AT329" s="45"/>
      <c r="AU329" s="45"/>
      <c r="AV329" s="45"/>
      <c r="AW329" s="45"/>
      <c r="AX329" s="45"/>
      <c r="AY329" s="45"/>
      <c r="AZ329" s="45"/>
      <c r="BA329" s="45"/>
      <c r="BB329" s="45"/>
      <c r="BC329" s="45"/>
      <c r="BD329" s="93"/>
      <c r="BE329" s="93"/>
      <c r="BF329" s="93"/>
      <c r="BG329" s="93"/>
      <c r="BH329" s="93"/>
      <c r="BI329" s="93"/>
      <c r="BJ329" s="93"/>
      <c r="BK329" s="93">
        <f>SUM($Z329:AD329)-SUM($CM329:CQ329)</f>
        <v>122</v>
      </c>
      <c r="BL329" s="93">
        <f>SUM($Z329:AE329)-SUM($CM329:CR329)</f>
        <v>114</v>
      </c>
      <c r="BM329" s="93">
        <f>SUM($Z329:AF329)-SUM($CM329:CS329)</f>
        <v>106</v>
      </c>
      <c r="BN329" s="93">
        <f>SUM($Z329:AG329)-SUM($CM329:CT329)</f>
        <v>98</v>
      </c>
      <c r="BO329" s="93">
        <f>SUM($Z329:AH329)-SUM($CM329:CU329)</f>
        <v>90</v>
      </c>
      <c r="BP329" s="93">
        <f>SUM($Z329:AI329)-SUM($CM329:CV329)</f>
        <v>82</v>
      </c>
      <c r="BQ329" s="93">
        <f>SUM($Z329:AJ329)-SUM($CM329:CW329)</f>
        <v>74</v>
      </c>
      <c r="BR329" s="93">
        <f>SUM($Z329:AK329)-SUM($CM329:CX329)</f>
        <v>66</v>
      </c>
      <c r="BS329" s="93">
        <f>SUM($Z329:AL329)-SUM($CM329:CY329)</f>
        <v>58</v>
      </c>
      <c r="BT329" s="93">
        <f>SUM($Z329:AM329)-SUM($CM329:CZ329)</f>
        <v>50</v>
      </c>
      <c r="BU329" s="93">
        <f>SUM($Z329:AN329)-SUM($CM329:DA329)</f>
        <v>42</v>
      </c>
      <c r="BV329" s="93">
        <f>SUM($Z329:AO329)-SUM($CM329:DB329)</f>
        <v>34</v>
      </c>
      <c r="BW329" s="93">
        <f>SUM($Z329:AP329)-SUM($CM329:DC329)</f>
        <v>28</v>
      </c>
      <c r="BX329" s="93">
        <f>SUM($Z329:AQ329)-SUM($CM329:DD329)</f>
        <v>28</v>
      </c>
      <c r="BY329" s="93">
        <f>SUM($Z329:AR329)-SUM($CM329:DE329)</f>
        <v>28</v>
      </c>
      <c r="BZ329" s="93">
        <f>SUM($Z329:AS329)-SUM($CM329:DF329)</f>
        <v>28</v>
      </c>
      <c r="CA329" s="93">
        <f>SUM($Z329:AT329)-SUM($CM329:DG329)</f>
        <v>28</v>
      </c>
      <c r="CB329" s="93">
        <f>SUM($Z329:AU329)-SUM($CM329:DH329)</f>
        <v>28</v>
      </c>
      <c r="CC329" s="93">
        <f>SUM($Z329:AV329)-SUM($CM329:DI329)</f>
        <v>28</v>
      </c>
      <c r="CD329" s="93">
        <f>SUM($Z329:AW329)-SUM($CM329:DJ329)</f>
        <v>28</v>
      </c>
      <c r="CE329" s="93">
        <f>SUM($Z329:AX329)-SUM($CM329:DK329)</f>
        <v>28</v>
      </c>
      <c r="CF329" s="93">
        <f>SUM($Z329:AY329)-SUM($CM329:DL329)</f>
        <v>28</v>
      </c>
      <c r="CG329" s="93">
        <f>SUM($Z329:AZ329)-SUM($CM329:DM329)</f>
        <v>28</v>
      </c>
      <c r="CH329" s="93">
        <f>SUM($Z329:BA329)-SUM($CM329:DN329)</f>
        <v>28</v>
      </c>
      <c r="CI329" s="93">
        <f>SUM($Z329:BB329)-SUM($CM329:DO329)</f>
        <v>28</v>
      </c>
      <c r="CJ329" s="93"/>
      <c r="CK329" s="93"/>
      <c r="CL329" s="93"/>
      <c r="CM329" s="93"/>
      <c r="CN329" s="93" cm="1">
        <f t="array" ref="CN329">SUMPRODUCT(TRANSPOSE(CN$4:CN$20),$G329:$W329)</f>
        <v>0</v>
      </c>
      <c r="CO329" s="93" cm="1">
        <f t="array" ref="CO329">SUMPRODUCT(TRANSPOSE(CO$4:CO$20),$G329:$W329)</f>
        <v>0</v>
      </c>
      <c r="CP329" s="93" cm="1">
        <f t="array" ref="CP329">SUMPRODUCT(TRANSPOSE(CP$4:CP$20),$G329:$W329)</f>
        <v>0</v>
      </c>
      <c r="CQ329" s="93" cm="1">
        <f t="array" ref="CQ329">SUMPRODUCT(TRANSPOSE(CQ$4:CQ$20),$G329:$W329)</f>
        <v>8</v>
      </c>
      <c r="CR329" s="93" cm="1">
        <f t="array" ref="CR329">SUMPRODUCT(TRANSPOSE(CR$4:CR$20),$G329:$W329)</f>
        <v>8</v>
      </c>
      <c r="CS329" s="93" cm="1">
        <f t="array" ref="CS329">SUMPRODUCT(TRANSPOSE(CS$4:CS$20),$G329:$W329)</f>
        <v>8</v>
      </c>
      <c r="CT329" s="93" cm="1">
        <f t="array" ref="CT329">SUMPRODUCT(TRANSPOSE(CT$4:CT$20),$G329:$W329)</f>
        <v>8</v>
      </c>
      <c r="CU329" s="93" cm="1">
        <f t="array" ref="CU329">SUMPRODUCT(TRANSPOSE(CU$4:CU$20),$G329:$W329)</f>
        <v>8</v>
      </c>
      <c r="CV329" s="93" cm="1">
        <f t="array" ref="CV329">SUMPRODUCT(TRANSPOSE(CV$4:CV$20),$G329:$W329)</f>
        <v>8</v>
      </c>
      <c r="CW329" s="93" cm="1">
        <f t="array" ref="CW329">SUMPRODUCT(TRANSPOSE(CW$4:CW$20),$G329:$W329)</f>
        <v>8</v>
      </c>
      <c r="CX329" s="93" cm="1">
        <f t="array" ref="CX329">SUMPRODUCT(TRANSPOSE(CX$4:CX$20),$G329:$W329)</f>
        <v>8</v>
      </c>
      <c r="CY329" s="93" cm="1">
        <f t="array" ref="CY329">SUMPRODUCT(TRANSPOSE(CY$4:CY$20),$G329:$W329)</f>
        <v>8</v>
      </c>
      <c r="CZ329" s="93" cm="1">
        <f t="array" ref="CZ329">SUMPRODUCT(TRANSPOSE(CZ$4:CZ$20),$G329:$W329)</f>
        <v>8</v>
      </c>
      <c r="DA329" s="93" cm="1">
        <f t="array" ref="DA329">SUMPRODUCT(TRANSPOSE(DA$4:DA$20),$G329:$W329)</f>
        <v>8</v>
      </c>
      <c r="DB329" s="93" cm="1">
        <f t="array" ref="DB329">SUMPRODUCT(TRANSPOSE(DB$4:DB$20),$G329:$W329)</f>
        <v>8</v>
      </c>
      <c r="DC329" s="93" cm="1">
        <f t="array" ref="DC329">SUMPRODUCT(TRANSPOSE(DC$4:DC$20),$G329:$W329)</f>
        <v>6</v>
      </c>
      <c r="DD329" s="93" cm="1">
        <f t="array" ref="DD329">SUMPRODUCT(TRANSPOSE(DD$4:DD$20),$G329:$W329)</f>
        <v>0</v>
      </c>
      <c r="DE329" s="93" cm="1">
        <f t="array" ref="DE329">SUMPRODUCT(TRANSPOSE(DE$4:DE$20),$G329:$W329)</f>
        <v>0</v>
      </c>
      <c r="DF329" s="93" cm="1">
        <f t="array" ref="DF329">SUMPRODUCT(TRANSPOSE(DF$4:DF$20),$G329:$W329)</f>
        <v>0</v>
      </c>
      <c r="DG329" s="93" cm="1">
        <f t="array" ref="DG329">SUMPRODUCT(TRANSPOSE(DG$4:DG$20),$G329:$W329)</f>
        <v>0</v>
      </c>
      <c r="DH329" s="93" cm="1">
        <f t="array" ref="DH329">SUMPRODUCT(TRANSPOSE(DH$4:DH$20),$G329:$W329)</f>
        <v>0</v>
      </c>
      <c r="DI329" s="93" cm="1">
        <f t="array" ref="DI329">SUMPRODUCT(TRANSPOSE(DI$4:DI$20),$G329:$W329)</f>
        <v>0</v>
      </c>
      <c r="DJ329" s="93" cm="1">
        <f t="array" ref="DJ329">SUMPRODUCT(TRANSPOSE(DJ$4:DJ$20),$G329:$W329)</f>
        <v>0</v>
      </c>
      <c r="DK329" s="93" cm="1">
        <f t="array" ref="DK329">SUMPRODUCT(TRANSPOSE(DK$4:DK$20),$G329:$W329)</f>
        <v>0</v>
      </c>
      <c r="DL329" s="93" cm="1">
        <f t="array" ref="DL329">SUMPRODUCT(TRANSPOSE(DL$4:DL$20),$G329:$W329)</f>
        <v>0</v>
      </c>
      <c r="DM329" s="93" cm="1">
        <f t="array" ref="DM329">SUMPRODUCT(TRANSPOSE(DM$4:DM$20),$G329:$W329)</f>
        <v>0</v>
      </c>
      <c r="DN329" s="93" cm="1">
        <f t="array" ref="DN329">SUMPRODUCT(TRANSPOSE(DN$4:DN$20),$G329:$W329)</f>
        <v>0</v>
      </c>
      <c r="DO329" s="93" cm="1">
        <f t="array" ref="DO329">SUMPRODUCT(TRANSPOSE(DO$4:DO$20),$G329:$W329)</f>
        <v>0</v>
      </c>
    </row>
    <row r="330" spans="1:119" x14ac:dyDescent="0.2">
      <c r="A330" s="45">
        <f t="shared" si="30"/>
        <v>309</v>
      </c>
      <c r="B330" s="64" t="s">
        <v>157</v>
      </c>
      <c r="C330" s="45">
        <v>402731978</v>
      </c>
      <c r="D330" s="45" t="s">
        <v>133</v>
      </c>
      <c r="E330" s="45" t="s">
        <v>162</v>
      </c>
      <c r="F330" s="48">
        <v>1</v>
      </c>
      <c r="G330" s="100">
        <v>0</v>
      </c>
      <c r="H330" s="100">
        <v>0</v>
      </c>
      <c r="I330" s="100">
        <v>1</v>
      </c>
      <c r="J330" s="100">
        <v>0</v>
      </c>
      <c r="K330" s="100">
        <v>0</v>
      </c>
      <c r="L330" s="100">
        <v>0</v>
      </c>
      <c r="M330" s="100">
        <v>0</v>
      </c>
      <c r="N330" s="100">
        <v>0</v>
      </c>
      <c r="O330" s="100">
        <v>0</v>
      </c>
      <c r="P330" s="100">
        <v>0</v>
      </c>
      <c r="Q330" s="100">
        <v>0</v>
      </c>
      <c r="R330" s="100">
        <v>0</v>
      </c>
      <c r="S330" s="100">
        <v>0</v>
      </c>
      <c r="T330" s="100">
        <v>0</v>
      </c>
      <c r="U330" s="100">
        <v>0</v>
      </c>
      <c r="V330" s="100">
        <v>0</v>
      </c>
      <c r="W330" s="100">
        <v>0</v>
      </c>
      <c r="X330" s="45" t="s">
        <v>8</v>
      </c>
      <c r="Y330" s="49">
        <v>0</v>
      </c>
      <c r="Z330" s="45">
        <v>50</v>
      </c>
      <c r="AA330" s="45">
        <v>0</v>
      </c>
      <c r="AB330" s="45">
        <v>0</v>
      </c>
      <c r="AC330" s="45">
        <v>0</v>
      </c>
      <c r="AD330" s="45">
        <v>0</v>
      </c>
      <c r="AE330" s="45">
        <v>0</v>
      </c>
      <c r="AF330" s="45">
        <v>0</v>
      </c>
      <c r="AG330" s="45">
        <v>0</v>
      </c>
      <c r="AH330" s="45">
        <v>0</v>
      </c>
      <c r="AI330" s="45">
        <v>0</v>
      </c>
      <c r="AJ330" s="45">
        <v>0</v>
      </c>
      <c r="AK330" s="45">
        <v>0</v>
      </c>
      <c r="AL330" s="45">
        <v>0</v>
      </c>
      <c r="AM330" s="45">
        <v>0</v>
      </c>
      <c r="AN330" s="45">
        <v>0</v>
      </c>
      <c r="AO330" s="45"/>
      <c r="AP330" s="45"/>
      <c r="AQ330" s="45"/>
      <c r="AR330" s="45"/>
      <c r="AS330" s="45"/>
      <c r="AT330" s="45"/>
      <c r="AU330" s="45"/>
      <c r="AV330" s="45"/>
      <c r="AW330" s="45"/>
      <c r="AX330" s="45"/>
      <c r="AY330" s="45"/>
      <c r="AZ330" s="45"/>
      <c r="BA330" s="45"/>
      <c r="BB330" s="45"/>
      <c r="BC330" s="45"/>
      <c r="BD330" s="93"/>
      <c r="BE330" s="93"/>
      <c r="BF330" s="93"/>
      <c r="BG330" s="93"/>
      <c r="BH330" s="93"/>
      <c r="BI330" s="93"/>
      <c r="BJ330" s="93"/>
      <c r="BK330" s="93">
        <f>SUM($Z330:AD330)-SUM($CM330:CQ330)</f>
        <v>42</v>
      </c>
      <c r="BL330" s="93">
        <f>SUM($Z330:AE330)-SUM($CM330:CR330)</f>
        <v>34</v>
      </c>
      <c r="BM330" s="93">
        <f>SUM($Z330:AF330)-SUM($CM330:CS330)</f>
        <v>26</v>
      </c>
      <c r="BN330" s="93">
        <f>SUM($Z330:AG330)-SUM($CM330:CT330)</f>
        <v>18</v>
      </c>
      <c r="BO330" s="93">
        <f>SUM($Z330:AH330)-SUM($CM330:CU330)</f>
        <v>10</v>
      </c>
      <c r="BP330" s="93">
        <f>SUM($Z330:AI330)-SUM($CM330:CV330)</f>
        <v>2</v>
      </c>
      <c r="BQ330" s="93">
        <f>SUM($Z330:AJ330)-SUM($CM330:CW330)</f>
        <v>-6</v>
      </c>
      <c r="BR330" s="93">
        <f>SUM($Z330:AK330)-SUM($CM330:CX330)</f>
        <v>-14</v>
      </c>
      <c r="BS330" s="93">
        <f>SUM($Z330:AL330)-SUM($CM330:CY330)</f>
        <v>-22</v>
      </c>
      <c r="BT330" s="93">
        <f>SUM($Z330:AM330)-SUM($CM330:CZ330)</f>
        <v>-30</v>
      </c>
      <c r="BU330" s="93">
        <f>SUM($Z330:AN330)-SUM($CM330:DA330)</f>
        <v>-38</v>
      </c>
      <c r="BV330" s="93">
        <f>SUM($Z330:AO330)-SUM($CM330:DB330)</f>
        <v>-46</v>
      </c>
      <c r="BW330" s="93">
        <f>SUM($Z330:AP330)-SUM($CM330:DC330)</f>
        <v>-52</v>
      </c>
      <c r="BX330" s="93">
        <f>SUM($Z330:AQ330)-SUM($CM330:DD330)</f>
        <v>-52</v>
      </c>
      <c r="BY330" s="93">
        <f>SUM($Z330:AR330)-SUM($CM330:DE330)</f>
        <v>-52</v>
      </c>
      <c r="BZ330" s="93">
        <f>SUM($Z330:AS330)-SUM($CM330:DF330)</f>
        <v>-52</v>
      </c>
      <c r="CA330" s="93">
        <f>SUM($Z330:AT330)-SUM($CM330:DG330)</f>
        <v>-52</v>
      </c>
      <c r="CB330" s="93">
        <f>SUM($Z330:AU330)-SUM($CM330:DH330)</f>
        <v>-52</v>
      </c>
      <c r="CC330" s="93">
        <f>SUM($Z330:AV330)-SUM($CM330:DI330)</f>
        <v>-52</v>
      </c>
      <c r="CD330" s="93">
        <f>SUM($Z330:AW330)-SUM($CM330:DJ330)</f>
        <v>-52</v>
      </c>
      <c r="CE330" s="93">
        <f>SUM($Z330:AX330)-SUM($CM330:DK330)</f>
        <v>-52</v>
      </c>
      <c r="CF330" s="93">
        <f>SUM($Z330:AY330)-SUM($CM330:DL330)</f>
        <v>-52</v>
      </c>
      <c r="CG330" s="93">
        <f>SUM($Z330:AZ330)-SUM($CM330:DM330)</f>
        <v>-52</v>
      </c>
      <c r="CH330" s="93">
        <f>SUM($Z330:BA330)-SUM($CM330:DN330)</f>
        <v>-52</v>
      </c>
      <c r="CI330" s="93">
        <f>SUM($Z330:BB330)-SUM($CM330:DO330)</f>
        <v>-52</v>
      </c>
      <c r="CJ330" s="93"/>
      <c r="CK330" s="93"/>
      <c r="CL330" s="93"/>
      <c r="CM330" s="93"/>
      <c r="CN330" s="93" cm="1">
        <f t="array" ref="CN330">SUMPRODUCT(TRANSPOSE(CN$4:CN$20),$G330:$W330)</f>
        <v>0</v>
      </c>
      <c r="CO330" s="93" cm="1">
        <f t="array" ref="CO330">SUMPRODUCT(TRANSPOSE(CO$4:CO$20),$G330:$W330)</f>
        <v>0</v>
      </c>
      <c r="CP330" s="93" cm="1">
        <f t="array" ref="CP330">SUMPRODUCT(TRANSPOSE(CP$4:CP$20),$G330:$W330)</f>
        <v>0</v>
      </c>
      <c r="CQ330" s="93" cm="1">
        <f t="array" ref="CQ330">SUMPRODUCT(TRANSPOSE(CQ$4:CQ$20),$G330:$W330)</f>
        <v>8</v>
      </c>
      <c r="CR330" s="93" cm="1">
        <f t="array" ref="CR330">SUMPRODUCT(TRANSPOSE(CR$4:CR$20),$G330:$W330)</f>
        <v>8</v>
      </c>
      <c r="CS330" s="93" cm="1">
        <f t="array" ref="CS330">SUMPRODUCT(TRANSPOSE(CS$4:CS$20),$G330:$W330)</f>
        <v>8</v>
      </c>
      <c r="CT330" s="93" cm="1">
        <f t="array" ref="CT330">SUMPRODUCT(TRANSPOSE(CT$4:CT$20),$G330:$W330)</f>
        <v>8</v>
      </c>
      <c r="CU330" s="93" cm="1">
        <f t="array" ref="CU330">SUMPRODUCT(TRANSPOSE(CU$4:CU$20),$G330:$W330)</f>
        <v>8</v>
      </c>
      <c r="CV330" s="93" cm="1">
        <f t="array" ref="CV330">SUMPRODUCT(TRANSPOSE(CV$4:CV$20),$G330:$W330)</f>
        <v>8</v>
      </c>
      <c r="CW330" s="93" cm="1">
        <f t="array" ref="CW330">SUMPRODUCT(TRANSPOSE(CW$4:CW$20),$G330:$W330)</f>
        <v>8</v>
      </c>
      <c r="CX330" s="93" cm="1">
        <f t="array" ref="CX330">SUMPRODUCT(TRANSPOSE(CX$4:CX$20),$G330:$W330)</f>
        <v>8</v>
      </c>
      <c r="CY330" s="93" cm="1">
        <f t="array" ref="CY330">SUMPRODUCT(TRANSPOSE(CY$4:CY$20),$G330:$W330)</f>
        <v>8</v>
      </c>
      <c r="CZ330" s="93" cm="1">
        <f t="array" ref="CZ330">SUMPRODUCT(TRANSPOSE(CZ$4:CZ$20),$G330:$W330)</f>
        <v>8</v>
      </c>
      <c r="DA330" s="93" cm="1">
        <f t="array" ref="DA330">SUMPRODUCT(TRANSPOSE(DA$4:DA$20),$G330:$W330)</f>
        <v>8</v>
      </c>
      <c r="DB330" s="93" cm="1">
        <f t="array" ref="DB330">SUMPRODUCT(TRANSPOSE(DB$4:DB$20),$G330:$W330)</f>
        <v>8</v>
      </c>
      <c r="DC330" s="93" cm="1">
        <f t="array" ref="DC330">SUMPRODUCT(TRANSPOSE(DC$4:DC$20),$G330:$W330)</f>
        <v>6</v>
      </c>
      <c r="DD330" s="93" cm="1">
        <f t="array" ref="DD330">SUMPRODUCT(TRANSPOSE(DD$4:DD$20),$G330:$W330)</f>
        <v>0</v>
      </c>
      <c r="DE330" s="93" cm="1">
        <f t="array" ref="DE330">SUMPRODUCT(TRANSPOSE(DE$4:DE$20),$G330:$W330)</f>
        <v>0</v>
      </c>
      <c r="DF330" s="93" cm="1">
        <f t="array" ref="DF330">SUMPRODUCT(TRANSPOSE(DF$4:DF$20),$G330:$W330)</f>
        <v>0</v>
      </c>
      <c r="DG330" s="93" cm="1">
        <f t="array" ref="DG330">SUMPRODUCT(TRANSPOSE(DG$4:DG$20),$G330:$W330)</f>
        <v>0</v>
      </c>
      <c r="DH330" s="93" cm="1">
        <f t="array" ref="DH330">SUMPRODUCT(TRANSPOSE(DH$4:DH$20),$G330:$W330)</f>
        <v>0</v>
      </c>
      <c r="DI330" s="93" cm="1">
        <f t="array" ref="DI330">SUMPRODUCT(TRANSPOSE(DI$4:DI$20),$G330:$W330)</f>
        <v>0</v>
      </c>
      <c r="DJ330" s="93" cm="1">
        <f t="array" ref="DJ330">SUMPRODUCT(TRANSPOSE(DJ$4:DJ$20),$G330:$W330)</f>
        <v>0</v>
      </c>
      <c r="DK330" s="93" cm="1">
        <f t="array" ref="DK330">SUMPRODUCT(TRANSPOSE(DK$4:DK$20),$G330:$W330)</f>
        <v>0</v>
      </c>
      <c r="DL330" s="93" cm="1">
        <f t="array" ref="DL330">SUMPRODUCT(TRANSPOSE(DL$4:DL$20),$G330:$W330)</f>
        <v>0</v>
      </c>
      <c r="DM330" s="93" cm="1">
        <f t="array" ref="DM330">SUMPRODUCT(TRANSPOSE(DM$4:DM$20),$G330:$W330)</f>
        <v>0</v>
      </c>
      <c r="DN330" s="93" cm="1">
        <f t="array" ref="DN330">SUMPRODUCT(TRANSPOSE(DN$4:DN$20),$G330:$W330)</f>
        <v>0</v>
      </c>
      <c r="DO330" s="93" cm="1">
        <f t="array" ref="DO330">SUMPRODUCT(TRANSPOSE(DO$4:DO$20),$G330:$W330)</f>
        <v>0</v>
      </c>
    </row>
    <row r="331" spans="1:119" x14ac:dyDescent="0.2">
      <c r="A331" s="45">
        <f t="shared" si="30"/>
        <v>310</v>
      </c>
      <c r="B331" s="64" t="s">
        <v>740</v>
      </c>
      <c r="C331" s="45">
        <v>421766797</v>
      </c>
      <c r="D331" s="45" t="s">
        <v>741</v>
      </c>
      <c r="E331" s="45" t="s">
        <v>162</v>
      </c>
      <c r="F331" s="48">
        <v>1</v>
      </c>
      <c r="G331" s="100">
        <v>1</v>
      </c>
      <c r="H331" s="100">
        <v>0</v>
      </c>
      <c r="I331" s="100">
        <v>0</v>
      </c>
      <c r="J331" s="100">
        <v>0</v>
      </c>
      <c r="K331" s="100">
        <v>0</v>
      </c>
      <c r="L331" s="100">
        <v>0</v>
      </c>
      <c r="M331" s="100">
        <v>0</v>
      </c>
      <c r="N331" s="100">
        <v>0</v>
      </c>
      <c r="O331" s="100">
        <v>0</v>
      </c>
      <c r="P331" s="100">
        <v>0</v>
      </c>
      <c r="Q331" s="100">
        <v>0</v>
      </c>
      <c r="R331" s="100">
        <v>0</v>
      </c>
      <c r="S331" s="100">
        <v>0</v>
      </c>
      <c r="T331" s="100">
        <v>0</v>
      </c>
      <c r="U331" s="100">
        <v>0</v>
      </c>
      <c r="V331" s="100">
        <v>0</v>
      </c>
      <c r="W331" s="100">
        <v>0</v>
      </c>
      <c r="X331" s="45" t="s">
        <v>53</v>
      </c>
      <c r="Y331" s="49">
        <v>704.40656916199407</v>
      </c>
      <c r="Z331" s="45">
        <v>146</v>
      </c>
      <c r="AA331" s="45">
        <v>0</v>
      </c>
      <c r="AB331" s="45">
        <v>0</v>
      </c>
      <c r="AC331" s="45">
        <v>0</v>
      </c>
      <c r="AD331" s="45">
        <v>0</v>
      </c>
      <c r="AE331" s="45">
        <v>0</v>
      </c>
      <c r="AF331" s="45">
        <v>0</v>
      </c>
      <c r="AG331" s="45">
        <v>0</v>
      </c>
      <c r="AH331" s="45">
        <v>0</v>
      </c>
      <c r="AI331" s="45">
        <v>0</v>
      </c>
      <c r="AJ331" s="45">
        <v>0</v>
      </c>
      <c r="AK331" s="45">
        <v>0</v>
      </c>
      <c r="AL331" s="45">
        <v>0</v>
      </c>
      <c r="AM331" s="45">
        <v>0</v>
      </c>
      <c r="AN331" s="45">
        <v>0</v>
      </c>
      <c r="AO331" s="45"/>
      <c r="AP331" s="45"/>
      <c r="AQ331" s="45"/>
      <c r="AR331" s="45"/>
      <c r="AS331" s="45"/>
      <c r="AT331" s="45"/>
      <c r="AU331" s="45"/>
      <c r="AV331" s="45"/>
      <c r="AW331" s="45"/>
      <c r="AX331" s="45"/>
      <c r="AY331" s="45"/>
      <c r="AZ331" s="45"/>
      <c r="BA331" s="45"/>
      <c r="BB331" s="45"/>
      <c r="BC331" s="45"/>
      <c r="BD331" s="93"/>
      <c r="BE331" s="93"/>
      <c r="BF331" s="93"/>
      <c r="BG331" s="93"/>
      <c r="BH331" s="93"/>
      <c r="BI331" s="93"/>
      <c r="BJ331" s="93"/>
      <c r="BK331" s="93">
        <f>SUM($Z331:AD331)-SUM($CM331:CQ331)</f>
        <v>138</v>
      </c>
      <c r="BL331" s="93">
        <f>SUM($Z331:AE331)-SUM($CM331:CR331)</f>
        <v>130</v>
      </c>
      <c r="BM331" s="93">
        <f>SUM($Z331:AF331)-SUM($CM331:CS331)</f>
        <v>122</v>
      </c>
      <c r="BN331" s="93">
        <f>SUM($Z331:AG331)-SUM($CM331:CT331)</f>
        <v>114</v>
      </c>
      <c r="BO331" s="93">
        <f>SUM($Z331:AH331)-SUM($CM331:CU331)</f>
        <v>106</v>
      </c>
      <c r="BP331" s="93">
        <f>SUM($Z331:AI331)-SUM($CM331:CV331)</f>
        <v>98</v>
      </c>
      <c r="BQ331" s="93">
        <f>SUM($Z331:AJ331)-SUM($CM331:CW331)</f>
        <v>90</v>
      </c>
      <c r="BR331" s="93">
        <f>SUM($Z331:AK331)-SUM($CM331:CX331)</f>
        <v>82</v>
      </c>
      <c r="BS331" s="93">
        <f>SUM($Z331:AL331)-SUM($CM331:CY331)</f>
        <v>74</v>
      </c>
      <c r="BT331" s="93">
        <f>SUM($Z331:AM331)-SUM($CM331:CZ331)</f>
        <v>66</v>
      </c>
      <c r="BU331" s="93">
        <f>SUM($Z331:AN331)-SUM($CM331:DA331)</f>
        <v>58</v>
      </c>
      <c r="BV331" s="93">
        <f>SUM($Z331:AO331)-SUM($CM331:DB331)</f>
        <v>50</v>
      </c>
      <c r="BW331" s="93">
        <f>SUM($Z331:AP331)-SUM($CM331:DC331)</f>
        <v>44</v>
      </c>
      <c r="BX331" s="93">
        <f>SUM($Z331:AQ331)-SUM($CM331:DD331)</f>
        <v>44</v>
      </c>
      <c r="BY331" s="93">
        <f>SUM($Z331:AR331)-SUM($CM331:DE331)</f>
        <v>44</v>
      </c>
      <c r="BZ331" s="93">
        <f>SUM($Z331:AS331)-SUM($CM331:DF331)</f>
        <v>44</v>
      </c>
      <c r="CA331" s="93">
        <f>SUM($Z331:AT331)-SUM($CM331:DG331)</f>
        <v>44</v>
      </c>
      <c r="CB331" s="93">
        <f>SUM($Z331:AU331)-SUM($CM331:DH331)</f>
        <v>44</v>
      </c>
      <c r="CC331" s="93">
        <f>SUM($Z331:AV331)-SUM($CM331:DI331)</f>
        <v>44</v>
      </c>
      <c r="CD331" s="93">
        <f>SUM($Z331:AW331)-SUM($CM331:DJ331)</f>
        <v>44</v>
      </c>
      <c r="CE331" s="93">
        <f>SUM($Z331:AX331)-SUM($CM331:DK331)</f>
        <v>44</v>
      </c>
      <c r="CF331" s="93">
        <f>SUM($Z331:AY331)-SUM($CM331:DL331)</f>
        <v>44</v>
      </c>
      <c r="CG331" s="93">
        <f>SUM($Z331:AZ331)-SUM($CM331:DM331)</f>
        <v>44</v>
      </c>
      <c r="CH331" s="93">
        <f>SUM($Z331:BA331)-SUM($CM331:DN331)</f>
        <v>44</v>
      </c>
      <c r="CI331" s="93">
        <f>SUM($Z331:BB331)-SUM($CM331:DO331)</f>
        <v>44</v>
      </c>
      <c r="CJ331" s="93"/>
      <c r="CK331" s="93"/>
      <c r="CL331" s="93"/>
      <c r="CM331" s="93"/>
      <c r="CN331" s="93" cm="1">
        <f t="array" ref="CN331">SUMPRODUCT(TRANSPOSE(CN$4:CN$20),$G331:$W331)</f>
        <v>0</v>
      </c>
      <c r="CO331" s="93" cm="1">
        <f t="array" ref="CO331">SUMPRODUCT(TRANSPOSE(CO$4:CO$20),$G331:$W331)</f>
        <v>0</v>
      </c>
      <c r="CP331" s="93" cm="1">
        <f t="array" ref="CP331">SUMPRODUCT(TRANSPOSE(CP$4:CP$20),$G331:$W331)</f>
        <v>0</v>
      </c>
      <c r="CQ331" s="93" cm="1">
        <f t="array" ref="CQ331">SUMPRODUCT(TRANSPOSE(CQ$4:CQ$20),$G331:$W331)</f>
        <v>8</v>
      </c>
      <c r="CR331" s="93" cm="1">
        <f t="array" ref="CR331">SUMPRODUCT(TRANSPOSE(CR$4:CR$20),$G331:$W331)</f>
        <v>8</v>
      </c>
      <c r="CS331" s="93" cm="1">
        <f t="array" ref="CS331">SUMPRODUCT(TRANSPOSE(CS$4:CS$20),$G331:$W331)</f>
        <v>8</v>
      </c>
      <c r="CT331" s="93" cm="1">
        <f t="array" ref="CT331">SUMPRODUCT(TRANSPOSE(CT$4:CT$20),$G331:$W331)</f>
        <v>8</v>
      </c>
      <c r="CU331" s="93" cm="1">
        <f t="array" ref="CU331">SUMPRODUCT(TRANSPOSE(CU$4:CU$20),$G331:$W331)</f>
        <v>8</v>
      </c>
      <c r="CV331" s="93" cm="1">
        <f t="array" ref="CV331">SUMPRODUCT(TRANSPOSE(CV$4:CV$20),$G331:$W331)</f>
        <v>8</v>
      </c>
      <c r="CW331" s="93" cm="1">
        <f t="array" ref="CW331">SUMPRODUCT(TRANSPOSE(CW$4:CW$20),$G331:$W331)</f>
        <v>8</v>
      </c>
      <c r="CX331" s="93" cm="1">
        <f t="array" ref="CX331">SUMPRODUCT(TRANSPOSE(CX$4:CX$20),$G331:$W331)</f>
        <v>8</v>
      </c>
      <c r="CY331" s="93" cm="1">
        <f t="array" ref="CY331">SUMPRODUCT(TRANSPOSE(CY$4:CY$20),$G331:$W331)</f>
        <v>8</v>
      </c>
      <c r="CZ331" s="93" cm="1">
        <f t="array" ref="CZ331">SUMPRODUCT(TRANSPOSE(CZ$4:CZ$20),$G331:$W331)</f>
        <v>8</v>
      </c>
      <c r="DA331" s="93" cm="1">
        <f t="array" ref="DA331">SUMPRODUCT(TRANSPOSE(DA$4:DA$20),$G331:$W331)</f>
        <v>8</v>
      </c>
      <c r="DB331" s="93" cm="1">
        <f t="array" ref="DB331">SUMPRODUCT(TRANSPOSE(DB$4:DB$20),$G331:$W331)</f>
        <v>8</v>
      </c>
      <c r="DC331" s="93" cm="1">
        <f t="array" ref="DC331">SUMPRODUCT(TRANSPOSE(DC$4:DC$20),$G331:$W331)</f>
        <v>6</v>
      </c>
      <c r="DD331" s="93" cm="1">
        <f t="array" ref="DD331">SUMPRODUCT(TRANSPOSE(DD$4:DD$20),$G331:$W331)</f>
        <v>0</v>
      </c>
      <c r="DE331" s="93" cm="1">
        <f t="array" ref="DE331">SUMPRODUCT(TRANSPOSE(DE$4:DE$20),$G331:$W331)</f>
        <v>0</v>
      </c>
      <c r="DF331" s="93" cm="1">
        <f t="array" ref="DF331">SUMPRODUCT(TRANSPOSE(DF$4:DF$20),$G331:$W331)</f>
        <v>0</v>
      </c>
      <c r="DG331" s="93" cm="1">
        <f t="array" ref="DG331">SUMPRODUCT(TRANSPOSE(DG$4:DG$20),$G331:$W331)</f>
        <v>0</v>
      </c>
      <c r="DH331" s="93" cm="1">
        <f t="array" ref="DH331">SUMPRODUCT(TRANSPOSE(DH$4:DH$20),$G331:$W331)</f>
        <v>0</v>
      </c>
      <c r="DI331" s="93" cm="1">
        <f t="array" ref="DI331">SUMPRODUCT(TRANSPOSE(DI$4:DI$20),$G331:$W331)</f>
        <v>0</v>
      </c>
      <c r="DJ331" s="93" cm="1">
        <f t="array" ref="DJ331">SUMPRODUCT(TRANSPOSE(DJ$4:DJ$20),$G331:$W331)</f>
        <v>0</v>
      </c>
      <c r="DK331" s="93" cm="1">
        <f t="array" ref="DK331">SUMPRODUCT(TRANSPOSE(DK$4:DK$20),$G331:$W331)</f>
        <v>0</v>
      </c>
      <c r="DL331" s="93" cm="1">
        <f t="array" ref="DL331">SUMPRODUCT(TRANSPOSE(DL$4:DL$20),$G331:$W331)</f>
        <v>0</v>
      </c>
      <c r="DM331" s="93" cm="1">
        <f t="array" ref="DM331">SUMPRODUCT(TRANSPOSE(DM$4:DM$20),$G331:$W331)</f>
        <v>0</v>
      </c>
      <c r="DN331" s="93" cm="1">
        <f t="array" ref="DN331">SUMPRODUCT(TRANSPOSE(DN$4:DN$20),$G331:$W331)</f>
        <v>0</v>
      </c>
      <c r="DO331" s="93" cm="1">
        <f t="array" ref="DO331">SUMPRODUCT(TRANSPOSE(DO$4:DO$20),$G331:$W331)</f>
        <v>0</v>
      </c>
    </row>
    <row r="332" spans="1:119" x14ac:dyDescent="0.2">
      <c r="A332" s="45">
        <f t="shared" si="30"/>
        <v>311</v>
      </c>
      <c r="B332" s="72" t="s">
        <v>1128</v>
      </c>
      <c r="C332" s="56">
        <v>421845656</v>
      </c>
      <c r="D332" s="45" t="s">
        <v>742</v>
      </c>
      <c r="E332" s="45" t="s">
        <v>162</v>
      </c>
      <c r="F332" s="48">
        <v>1</v>
      </c>
      <c r="G332" s="100">
        <v>1</v>
      </c>
      <c r="H332" s="100">
        <v>0</v>
      </c>
      <c r="I332" s="100">
        <v>0</v>
      </c>
      <c r="J332" s="100">
        <v>0</v>
      </c>
      <c r="K332" s="100">
        <v>0</v>
      </c>
      <c r="L332" s="100">
        <v>0</v>
      </c>
      <c r="M332" s="100">
        <v>0</v>
      </c>
      <c r="N332" s="100">
        <v>0</v>
      </c>
      <c r="O332" s="100">
        <v>0</v>
      </c>
      <c r="P332" s="100">
        <v>0</v>
      </c>
      <c r="Q332" s="100">
        <v>0</v>
      </c>
      <c r="R332" s="100">
        <v>0</v>
      </c>
      <c r="S332" s="100">
        <v>0</v>
      </c>
      <c r="T332" s="100">
        <v>0</v>
      </c>
      <c r="U332" s="100">
        <v>0</v>
      </c>
      <c r="V332" s="100">
        <v>0</v>
      </c>
      <c r="W332" s="100">
        <v>0</v>
      </c>
      <c r="X332" s="45" t="s">
        <v>53</v>
      </c>
      <c r="Y332" s="49">
        <v>102.80264793580527</v>
      </c>
      <c r="Z332" s="45">
        <v>146</v>
      </c>
      <c r="AA332" s="45">
        <v>0</v>
      </c>
      <c r="AB332" s="45">
        <v>0</v>
      </c>
      <c r="AC332" s="45">
        <v>0</v>
      </c>
      <c r="AD332" s="45">
        <v>0</v>
      </c>
      <c r="AE332" s="45">
        <v>0</v>
      </c>
      <c r="AF332" s="45">
        <v>0</v>
      </c>
      <c r="AG332" s="45">
        <v>0</v>
      </c>
      <c r="AH332" s="45">
        <v>0</v>
      </c>
      <c r="AI332" s="45">
        <v>0</v>
      </c>
      <c r="AJ332" s="45">
        <v>0</v>
      </c>
      <c r="AK332" s="45">
        <v>0</v>
      </c>
      <c r="AL332" s="45">
        <v>0</v>
      </c>
      <c r="AM332" s="45">
        <v>0</v>
      </c>
      <c r="AN332" s="45">
        <v>0</v>
      </c>
      <c r="AO332" s="45"/>
      <c r="AP332" s="45"/>
      <c r="AQ332" s="45"/>
      <c r="AR332" s="45"/>
      <c r="AS332" s="45"/>
      <c r="AT332" s="45"/>
      <c r="AU332" s="45"/>
      <c r="AV332" s="45"/>
      <c r="AW332" s="45"/>
      <c r="AX332" s="45"/>
      <c r="AY332" s="45"/>
      <c r="AZ332" s="45"/>
      <c r="BA332" s="45"/>
      <c r="BB332" s="45"/>
      <c r="BC332" s="45"/>
      <c r="BD332" s="93"/>
      <c r="BE332" s="93"/>
      <c r="BF332" s="93"/>
      <c r="BG332" s="93"/>
      <c r="BH332" s="93"/>
      <c r="BI332" s="93"/>
      <c r="BJ332" s="93"/>
      <c r="BK332" s="93">
        <f>SUM($Z332:AD332)-SUM($CM332:CQ332)</f>
        <v>138</v>
      </c>
      <c r="BL332" s="93">
        <f>SUM($Z332:AE332)-SUM($CM332:CR332)</f>
        <v>130</v>
      </c>
      <c r="BM332" s="93">
        <f>SUM($Z332:AF332)-SUM($CM332:CS332)</f>
        <v>122</v>
      </c>
      <c r="BN332" s="93">
        <f>SUM($Z332:AG332)-SUM($CM332:CT332)</f>
        <v>114</v>
      </c>
      <c r="BO332" s="93">
        <f>SUM($Z332:AH332)-SUM($CM332:CU332)</f>
        <v>106</v>
      </c>
      <c r="BP332" s="93">
        <f>SUM($Z332:AI332)-SUM($CM332:CV332)</f>
        <v>98</v>
      </c>
      <c r="BQ332" s="93">
        <f>SUM($Z332:AJ332)-SUM($CM332:CW332)</f>
        <v>90</v>
      </c>
      <c r="BR332" s="93">
        <f>SUM($Z332:AK332)-SUM($CM332:CX332)</f>
        <v>82</v>
      </c>
      <c r="BS332" s="93">
        <f>SUM($Z332:AL332)-SUM($CM332:CY332)</f>
        <v>74</v>
      </c>
      <c r="BT332" s="93">
        <f>SUM($Z332:AM332)-SUM($CM332:CZ332)</f>
        <v>66</v>
      </c>
      <c r="BU332" s="93">
        <f>SUM($Z332:AN332)-SUM($CM332:DA332)</f>
        <v>58</v>
      </c>
      <c r="BV332" s="93">
        <f>SUM($Z332:AO332)-SUM($CM332:DB332)</f>
        <v>50</v>
      </c>
      <c r="BW332" s="93">
        <f>SUM($Z332:AP332)-SUM($CM332:DC332)</f>
        <v>44</v>
      </c>
      <c r="BX332" s="93">
        <f>SUM($Z332:AQ332)-SUM($CM332:DD332)</f>
        <v>44</v>
      </c>
      <c r="BY332" s="93">
        <f>SUM($Z332:AR332)-SUM($CM332:DE332)</f>
        <v>44</v>
      </c>
      <c r="BZ332" s="93">
        <f>SUM($Z332:AS332)-SUM($CM332:DF332)</f>
        <v>44</v>
      </c>
      <c r="CA332" s="93">
        <f>SUM($Z332:AT332)-SUM($CM332:DG332)</f>
        <v>44</v>
      </c>
      <c r="CB332" s="93">
        <f>SUM($Z332:AU332)-SUM($CM332:DH332)</f>
        <v>44</v>
      </c>
      <c r="CC332" s="93">
        <f>SUM($Z332:AV332)-SUM($CM332:DI332)</f>
        <v>44</v>
      </c>
      <c r="CD332" s="93">
        <f>SUM($Z332:AW332)-SUM($CM332:DJ332)</f>
        <v>44</v>
      </c>
      <c r="CE332" s="93">
        <f>SUM($Z332:AX332)-SUM($CM332:DK332)</f>
        <v>44</v>
      </c>
      <c r="CF332" s="93">
        <f>SUM($Z332:AY332)-SUM($CM332:DL332)</f>
        <v>44</v>
      </c>
      <c r="CG332" s="93">
        <f>SUM($Z332:AZ332)-SUM($CM332:DM332)</f>
        <v>44</v>
      </c>
      <c r="CH332" s="93">
        <f>SUM($Z332:BA332)-SUM($CM332:DN332)</f>
        <v>44</v>
      </c>
      <c r="CI332" s="93">
        <f>SUM($Z332:BB332)-SUM($CM332:DO332)</f>
        <v>44</v>
      </c>
      <c r="CJ332" s="93"/>
      <c r="CK332" s="93"/>
      <c r="CL332" s="93"/>
      <c r="CM332" s="93"/>
      <c r="CN332" s="93" cm="1">
        <f t="array" ref="CN332">SUMPRODUCT(TRANSPOSE(CN$4:CN$20),$G332:$W332)</f>
        <v>0</v>
      </c>
      <c r="CO332" s="93" cm="1">
        <f t="array" ref="CO332">SUMPRODUCT(TRANSPOSE(CO$4:CO$20),$G332:$W332)</f>
        <v>0</v>
      </c>
      <c r="CP332" s="93" cm="1">
        <f t="array" ref="CP332">SUMPRODUCT(TRANSPOSE(CP$4:CP$20),$G332:$W332)</f>
        <v>0</v>
      </c>
      <c r="CQ332" s="93" cm="1">
        <f t="array" ref="CQ332">SUMPRODUCT(TRANSPOSE(CQ$4:CQ$20),$G332:$W332)</f>
        <v>8</v>
      </c>
      <c r="CR332" s="93" cm="1">
        <f t="array" ref="CR332">SUMPRODUCT(TRANSPOSE(CR$4:CR$20),$G332:$W332)</f>
        <v>8</v>
      </c>
      <c r="CS332" s="93" cm="1">
        <f t="array" ref="CS332">SUMPRODUCT(TRANSPOSE(CS$4:CS$20),$G332:$W332)</f>
        <v>8</v>
      </c>
      <c r="CT332" s="93" cm="1">
        <f t="array" ref="CT332">SUMPRODUCT(TRANSPOSE(CT$4:CT$20),$G332:$W332)</f>
        <v>8</v>
      </c>
      <c r="CU332" s="93" cm="1">
        <f t="array" ref="CU332">SUMPRODUCT(TRANSPOSE(CU$4:CU$20),$G332:$W332)</f>
        <v>8</v>
      </c>
      <c r="CV332" s="93" cm="1">
        <f t="array" ref="CV332">SUMPRODUCT(TRANSPOSE(CV$4:CV$20),$G332:$W332)</f>
        <v>8</v>
      </c>
      <c r="CW332" s="93" cm="1">
        <f t="array" ref="CW332">SUMPRODUCT(TRANSPOSE(CW$4:CW$20),$G332:$W332)</f>
        <v>8</v>
      </c>
      <c r="CX332" s="93" cm="1">
        <f t="array" ref="CX332">SUMPRODUCT(TRANSPOSE(CX$4:CX$20),$G332:$W332)</f>
        <v>8</v>
      </c>
      <c r="CY332" s="93" cm="1">
        <f t="array" ref="CY332">SUMPRODUCT(TRANSPOSE(CY$4:CY$20),$G332:$W332)</f>
        <v>8</v>
      </c>
      <c r="CZ332" s="93" cm="1">
        <f t="array" ref="CZ332">SUMPRODUCT(TRANSPOSE(CZ$4:CZ$20),$G332:$W332)</f>
        <v>8</v>
      </c>
      <c r="DA332" s="93" cm="1">
        <f t="array" ref="DA332">SUMPRODUCT(TRANSPOSE(DA$4:DA$20),$G332:$W332)</f>
        <v>8</v>
      </c>
      <c r="DB332" s="93" cm="1">
        <f t="array" ref="DB332">SUMPRODUCT(TRANSPOSE(DB$4:DB$20),$G332:$W332)</f>
        <v>8</v>
      </c>
      <c r="DC332" s="93" cm="1">
        <f t="array" ref="DC332">SUMPRODUCT(TRANSPOSE(DC$4:DC$20),$G332:$W332)</f>
        <v>6</v>
      </c>
      <c r="DD332" s="93" cm="1">
        <f t="array" ref="DD332">SUMPRODUCT(TRANSPOSE(DD$4:DD$20),$G332:$W332)</f>
        <v>0</v>
      </c>
      <c r="DE332" s="93" cm="1">
        <f t="array" ref="DE332">SUMPRODUCT(TRANSPOSE(DE$4:DE$20),$G332:$W332)</f>
        <v>0</v>
      </c>
      <c r="DF332" s="93" cm="1">
        <f t="array" ref="DF332">SUMPRODUCT(TRANSPOSE(DF$4:DF$20),$G332:$W332)</f>
        <v>0</v>
      </c>
      <c r="DG332" s="93" cm="1">
        <f t="array" ref="DG332">SUMPRODUCT(TRANSPOSE(DG$4:DG$20),$G332:$W332)</f>
        <v>0</v>
      </c>
      <c r="DH332" s="93" cm="1">
        <f t="array" ref="DH332">SUMPRODUCT(TRANSPOSE(DH$4:DH$20),$G332:$W332)</f>
        <v>0</v>
      </c>
      <c r="DI332" s="93" cm="1">
        <f t="array" ref="DI332">SUMPRODUCT(TRANSPOSE(DI$4:DI$20),$G332:$W332)</f>
        <v>0</v>
      </c>
      <c r="DJ332" s="93" cm="1">
        <f t="array" ref="DJ332">SUMPRODUCT(TRANSPOSE(DJ$4:DJ$20),$G332:$W332)</f>
        <v>0</v>
      </c>
      <c r="DK332" s="93" cm="1">
        <f t="array" ref="DK332">SUMPRODUCT(TRANSPOSE(DK$4:DK$20),$G332:$W332)</f>
        <v>0</v>
      </c>
      <c r="DL332" s="93" cm="1">
        <f t="array" ref="DL332">SUMPRODUCT(TRANSPOSE(DL$4:DL$20),$G332:$W332)</f>
        <v>0</v>
      </c>
      <c r="DM332" s="93" cm="1">
        <f t="array" ref="DM332">SUMPRODUCT(TRANSPOSE(DM$4:DM$20),$G332:$W332)</f>
        <v>0</v>
      </c>
      <c r="DN332" s="93" cm="1">
        <f t="array" ref="DN332">SUMPRODUCT(TRANSPOSE(DN$4:DN$20),$G332:$W332)</f>
        <v>0</v>
      </c>
      <c r="DO332" s="93" cm="1">
        <f t="array" ref="DO332">SUMPRODUCT(TRANSPOSE(DO$4:DO$20),$G332:$W332)</f>
        <v>0</v>
      </c>
    </row>
    <row r="333" spans="1:119" ht="12" customHeight="1" x14ac:dyDescent="0.2">
      <c r="A333" s="45">
        <f t="shared" si="30"/>
        <v>312</v>
      </c>
      <c r="B333" s="71"/>
      <c r="C333" s="45">
        <v>403795646</v>
      </c>
      <c r="D333" s="45" t="s">
        <v>743</v>
      </c>
      <c r="E333" s="45" t="s">
        <v>162</v>
      </c>
      <c r="F333" s="48">
        <v>1</v>
      </c>
      <c r="G333" s="100">
        <v>0</v>
      </c>
      <c r="H333" s="100">
        <v>0</v>
      </c>
      <c r="I333" s="100">
        <v>2</v>
      </c>
      <c r="J333" s="100">
        <v>0</v>
      </c>
      <c r="K333" s="100">
        <v>2</v>
      </c>
      <c r="L333" s="100">
        <v>0</v>
      </c>
      <c r="M333" s="100">
        <v>0</v>
      </c>
      <c r="N333" s="100">
        <v>0</v>
      </c>
      <c r="O333" s="100">
        <v>0</v>
      </c>
      <c r="P333" s="100">
        <v>0</v>
      </c>
      <c r="Q333" s="100">
        <v>0</v>
      </c>
      <c r="R333" s="100">
        <v>0</v>
      </c>
      <c r="S333" s="100">
        <v>0</v>
      </c>
      <c r="T333" s="100">
        <v>0</v>
      </c>
      <c r="U333" s="100">
        <v>0</v>
      </c>
      <c r="V333" s="100">
        <v>0</v>
      </c>
      <c r="W333" s="100">
        <v>0</v>
      </c>
      <c r="X333" s="45" t="s">
        <v>56</v>
      </c>
      <c r="Y333" s="49">
        <v>0.89</v>
      </c>
      <c r="Z333" s="45">
        <v>520</v>
      </c>
      <c r="AA333" s="45">
        <v>0</v>
      </c>
      <c r="AB333" s="45">
        <v>0</v>
      </c>
      <c r="AC333" s="45">
        <v>0</v>
      </c>
      <c r="AD333" s="45">
        <v>0</v>
      </c>
      <c r="AE333" s="45">
        <v>0</v>
      </c>
      <c r="AF333" s="45">
        <v>0</v>
      </c>
      <c r="AG333" s="45">
        <v>0</v>
      </c>
      <c r="AH333" s="45">
        <v>0</v>
      </c>
      <c r="AI333" s="45">
        <v>0</v>
      </c>
      <c r="AJ333" s="45">
        <v>0</v>
      </c>
      <c r="AK333" s="45">
        <v>0</v>
      </c>
      <c r="AL333" s="45">
        <v>0</v>
      </c>
      <c r="AM333" s="45">
        <v>0</v>
      </c>
      <c r="AN333" s="45">
        <v>0</v>
      </c>
      <c r="AO333" s="45"/>
      <c r="AP333" s="45"/>
      <c r="AQ333" s="45"/>
      <c r="AR333" s="45"/>
      <c r="AS333" s="45"/>
      <c r="AT333" s="45"/>
      <c r="AU333" s="45"/>
      <c r="AV333" s="45"/>
      <c r="AW333" s="45"/>
      <c r="AX333" s="45"/>
      <c r="AY333" s="45"/>
      <c r="AZ333" s="45"/>
      <c r="BA333" s="45"/>
      <c r="BB333" s="45"/>
      <c r="BC333" s="45"/>
      <c r="BD333" s="93"/>
      <c r="BE333" s="93"/>
      <c r="BF333" s="93"/>
      <c r="BG333" s="93"/>
      <c r="BH333" s="93"/>
      <c r="BI333" s="93"/>
      <c r="BJ333" s="93"/>
      <c r="BK333" s="93">
        <f>SUM($Z333:AD333)-SUM($CM333:CQ333)</f>
        <v>488</v>
      </c>
      <c r="BL333" s="93">
        <f>SUM($Z333:AE333)-SUM($CM333:CR333)</f>
        <v>456</v>
      </c>
      <c r="BM333" s="93">
        <f>SUM($Z333:AF333)-SUM($CM333:CS333)</f>
        <v>424</v>
      </c>
      <c r="BN333" s="93">
        <f>SUM($Z333:AG333)-SUM($CM333:CT333)</f>
        <v>392</v>
      </c>
      <c r="BO333" s="93">
        <f>SUM($Z333:AH333)-SUM($CM333:CU333)</f>
        <v>360</v>
      </c>
      <c r="BP333" s="93">
        <f>SUM($Z333:AI333)-SUM($CM333:CV333)</f>
        <v>328</v>
      </c>
      <c r="BQ333" s="93">
        <f>SUM($Z333:AJ333)-SUM($CM333:CW333)</f>
        <v>296</v>
      </c>
      <c r="BR333" s="93">
        <f>SUM($Z333:AK333)-SUM($CM333:CX333)</f>
        <v>264</v>
      </c>
      <c r="BS333" s="93">
        <f>SUM($Z333:AL333)-SUM($CM333:CY333)</f>
        <v>232</v>
      </c>
      <c r="BT333" s="93">
        <f>SUM($Z333:AM333)-SUM($CM333:CZ333)</f>
        <v>200</v>
      </c>
      <c r="BU333" s="93">
        <f>SUM($Z333:AN333)-SUM($CM333:DA333)</f>
        <v>168</v>
      </c>
      <c r="BV333" s="93">
        <f>SUM($Z333:AO333)-SUM($CM333:DB333)</f>
        <v>136</v>
      </c>
      <c r="BW333" s="93">
        <f>SUM($Z333:AP333)-SUM($CM333:DC333)</f>
        <v>112</v>
      </c>
      <c r="BX333" s="93">
        <f>SUM($Z333:AQ333)-SUM($CM333:DD333)</f>
        <v>112</v>
      </c>
      <c r="BY333" s="93">
        <f>SUM($Z333:AR333)-SUM($CM333:DE333)</f>
        <v>112</v>
      </c>
      <c r="BZ333" s="93">
        <f>SUM($Z333:AS333)-SUM($CM333:DF333)</f>
        <v>112</v>
      </c>
      <c r="CA333" s="93">
        <f>SUM($Z333:AT333)-SUM($CM333:DG333)</f>
        <v>112</v>
      </c>
      <c r="CB333" s="93">
        <f>SUM($Z333:AU333)-SUM($CM333:DH333)</f>
        <v>112</v>
      </c>
      <c r="CC333" s="93">
        <f>SUM($Z333:AV333)-SUM($CM333:DI333)</f>
        <v>112</v>
      </c>
      <c r="CD333" s="93">
        <f>SUM($Z333:AW333)-SUM($CM333:DJ333)</f>
        <v>112</v>
      </c>
      <c r="CE333" s="93">
        <f>SUM($Z333:AX333)-SUM($CM333:DK333)</f>
        <v>112</v>
      </c>
      <c r="CF333" s="93">
        <f>SUM($Z333:AY333)-SUM($CM333:DL333)</f>
        <v>112</v>
      </c>
      <c r="CG333" s="93">
        <f>SUM($Z333:AZ333)-SUM($CM333:DM333)</f>
        <v>112</v>
      </c>
      <c r="CH333" s="93">
        <f>SUM($Z333:BA333)-SUM($CM333:DN333)</f>
        <v>112</v>
      </c>
      <c r="CI333" s="93">
        <f>SUM($Z333:BB333)-SUM($CM333:DO333)</f>
        <v>112</v>
      </c>
      <c r="CJ333" s="93"/>
      <c r="CK333" s="93"/>
      <c r="CL333" s="93"/>
      <c r="CM333" s="93"/>
      <c r="CN333" s="93" cm="1">
        <f t="array" ref="CN333">SUMPRODUCT(TRANSPOSE(CN$4:CN$20),$G333:$W333)</f>
        <v>0</v>
      </c>
      <c r="CO333" s="93" cm="1">
        <f t="array" ref="CO333">SUMPRODUCT(TRANSPOSE(CO$4:CO$20),$G333:$W333)</f>
        <v>0</v>
      </c>
      <c r="CP333" s="93" cm="1">
        <f t="array" ref="CP333">SUMPRODUCT(TRANSPOSE(CP$4:CP$20),$G333:$W333)</f>
        <v>0</v>
      </c>
      <c r="CQ333" s="93" cm="1">
        <f t="array" ref="CQ333">SUMPRODUCT(TRANSPOSE(CQ$4:CQ$20),$G333:$W333)</f>
        <v>32</v>
      </c>
      <c r="CR333" s="93" cm="1">
        <f t="array" ref="CR333">SUMPRODUCT(TRANSPOSE(CR$4:CR$20),$G333:$W333)</f>
        <v>32</v>
      </c>
      <c r="CS333" s="93" cm="1">
        <f t="array" ref="CS333">SUMPRODUCT(TRANSPOSE(CS$4:CS$20),$G333:$W333)</f>
        <v>32</v>
      </c>
      <c r="CT333" s="93" cm="1">
        <f t="array" ref="CT333">SUMPRODUCT(TRANSPOSE(CT$4:CT$20),$G333:$W333)</f>
        <v>32</v>
      </c>
      <c r="CU333" s="93" cm="1">
        <f t="array" ref="CU333">SUMPRODUCT(TRANSPOSE(CU$4:CU$20),$G333:$W333)</f>
        <v>32</v>
      </c>
      <c r="CV333" s="93" cm="1">
        <f t="array" ref="CV333">SUMPRODUCT(TRANSPOSE(CV$4:CV$20),$G333:$W333)</f>
        <v>32</v>
      </c>
      <c r="CW333" s="93" cm="1">
        <f t="array" ref="CW333">SUMPRODUCT(TRANSPOSE(CW$4:CW$20),$G333:$W333)</f>
        <v>32</v>
      </c>
      <c r="CX333" s="93" cm="1">
        <f t="array" ref="CX333">SUMPRODUCT(TRANSPOSE(CX$4:CX$20),$G333:$W333)</f>
        <v>32</v>
      </c>
      <c r="CY333" s="93" cm="1">
        <f t="array" ref="CY333">SUMPRODUCT(TRANSPOSE(CY$4:CY$20),$G333:$W333)</f>
        <v>32</v>
      </c>
      <c r="CZ333" s="93" cm="1">
        <f t="array" ref="CZ333">SUMPRODUCT(TRANSPOSE(CZ$4:CZ$20),$G333:$W333)</f>
        <v>32</v>
      </c>
      <c r="DA333" s="93" cm="1">
        <f t="array" ref="DA333">SUMPRODUCT(TRANSPOSE(DA$4:DA$20),$G333:$W333)</f>
        <v>32</v>
      </c>
      <c r="DB333" s="93" cm="1">
        <f t="array" ref="DB333">SUMPRODUCT(TRANSPOSE(DB$4:DB$20),$G333:$W333)</f>
        <v>32</v>
      </c>
      <c r="DC333" s="93" cm="1">
        <f t="array" ref="DC333">SUMPRODUCT(TRANSPOSE(DC$4:DC$20),$G333:$W333)</f>
        <v>24</v>
      </c>
      <c r="DD333" s="93" cm="1">
        <f t="array" ref="DD333">SUMPRODUCT(TRANSPOSE(DD$4:DD$20),$G333:$W333)</f>
        <v>0</v>
      </c>
      <c r="DE333" s="93" cm="1">
        <f t="array" ref="DE333">SUMPRODUCT(TRANSPOSE(DE$4:DE$20),$G333:$W333)</f>
        <v>0</v>
      </c>
      <c r="DF333" s="93" cm="1">
        <f t="array" ref="DF333">SUMPRODUCT(TRANSPOSE(DF$4:DF$20),$G333:$W333)</f>
        <v>0</v>
      </c>
      <c r="DG333" s="93" cm="1">
        <f t="array" ref="DG333">SUMPRODUCT(TRANSPOSE(DG$4:DG$20),$G333:$W333)</f>
        <v>0</v>
      </c>
      <c r="DH333" s="93" cm="1">
        <f t="array" ref="DH333">SUMPRODUCT(TRANSPOSE(DH$4:DH$20),$G333:$W333)</f>
        <v>0</v>
      </c>
      <c r="DI333" s="93" cm="1">
        <f t="array" ref="DI333">SUMPRODUCT(TRANSPOSE(DI$4:DI$20),$G333:$W333)</f>
        <v>0</v>
      </c>
      <c r="DJ333" s="93" cm="1">
        <f t="array" ref="DJ333">SUMPRODUCT(TRANSPOSE(DJ$4:DJ$20),$G333:$W333)</f>
        <v>0</v>
      </c>
      <c r="DK333" s="93" cm="1">
        <f t="array" ref="DK333">SUMPRODUCT(TRANSPOSE(DK$4:DK$20),$G333:$W333)</f>
        <v>0</v>
      </c>
      <c r="DL333" s="93" cm="1">
        <f t="array" ref="DL333">SUMPRODUCT(TRANSPOSE(DL$4:DL$20),$G333:$W333)</f>
        <v>0</v>
      </c>
      <c r="DM333" s="93" cm="1">
        <f t="array" ref="DM333">SUMPRODUCT(TRANSPOSE(DM$4:DM$20),$G333:$W333)</f>
        <v>0</v>
      </c>
      <c r="DN333" s="93" cm="1">
        <f t="array" ref="DN333">SUMPRODUCT(TRANSPOSE(DN$4:DN$20),$G333:$W333)</f>
        <v>0</v>
      </c>
      <c r="DO333" s="93" cm="1">
        <f t="array" ref="DO333">SUMPRODUCT(TRANSPOSE(DO$4:DO$20),$G333:$W333)</f>
        <v>0</v>
      </c>
    </row>
    <row r="334" spans="1:119" x14ac:dyDescent="0.2">
      <c r="A334" s="45">
        <f t="shared" si="30"/>
        <v>313</v>
      </c>
      <c r="B334" s="64" t="s">
        <v>744</v>
      </c>
      <c r="C334" s="45">
        <v>415204976</v>
      </c>
      <c r="D334" s="45" t="s">
        <v>745</v>
      </c>
      <c r="E334" s="45" t="s">
        <v>162</v>
      </c>
      <c r="F334" s="48">
        <v>1</v>
      </c>
      <c r="G334" s="100">
        <v>0</v>
      </c>
      <c r="H334" s="100">
        <v>0</v>
      </c>
      <c r="I334" s="100">
        <v>0</v>
      </c>
      <c r="J334" s="100">
        <v>0</v>
      </c>
      <c r="K334" s="100">
        <v>0</v>
      </c>
      <c r="L334" s="100">
        <v>0</v>
      </c>
      <c r="M334" s="100">
        <v>0</v>
      </c>
      <c r="N334" s="100">
        <v>0</v>
      </c>
      <c r="O334" s="100">
        <v>0</v>
      </c>
      <c r="P334" s="100">
        <v>0</v>
      </c>
      <c r="Q334" s="100">
        <v>0</v>
      </c>
      <c r="R334" s="100">
        <v>0</v>
      </c>
      <c r="S334" s="100">
        <v>0</v>
      </c>
      <c r="T334" s="100">
        <v>0</v>
      </c>
      <c r="U334" s="100">
        <v>0</v>
      </c>
      <c r="V334" s="100">
        <v>0</v>
      </c>
      <c r="W334" s="100">
        <v>0</v>
      </c>
      <c r="X334" s="45"/>
      <c r="Y334" s="49">
        <v>0</v>
      </c>
      <c r="Z334" s="45">
        <v>0</v>
      </c>
      <c r="AA334" s="45">
        <v>0</v>
      </c>
      <c r="AB334" s="45">
        <v>0</v>
      </c>
      <c r="AC334" s="45">
        <v>0</v>
      </c>
      <c r="AD334" s="45">
        <v>0</v>
      </c>
      <c r="AE334" s="45">
        <v>0</v>
      </c>
      <c r="AF334" s="45">
        <v>0</v>
      </c>
      <c r="AG334" s="45">
        <v>0</v>
      </c>
      <c r="AH334" s="45">
        <v>0</v>
      </c>
      <c r="AI334" s="45">
        <v>0</v>
      </c>
      <c r="AJ334" s="45">
        <v>0</v>
      </c>
      <c r="AK334" s="45">
        <v>0</v>
      </c>
      <c r="AL334" s="45">
        <v>0</v>
      </c>
      <c r="AM334" s="45">
        <v>0</v>
      </c>
      <c r="AN334" s="45">
        <v>0</v>
      </c>
      <c r="AO334" s="45"/>
      <c r="AP334" s="45"/>
      <c r="AQ334" s="45"/>
      <c r="AR334" s="45"/>
      <c r="AS334" s="45"/>
      <c r="AT334" s="45"/>
      <c r="AU334" s="45"/>
      <c r="AV334" s="45"/>
      <c r="AW334" s="45"/>
      <c r="AX334" s="45"/>
      <c r="AY334" s="45"/>
      <c r="AZ334" s="45"/>
      <c r="BA334" s="45"/>
      <c r="BB334" s="45"/>
      <c r="BC334" s="45"/>
      <c r="BD334" s="93"/>
      <c r="BE334" s="93"/>
      <c r="BF334" s="93"/>
      <c r="BG334" s="93"/>
      <c r="BH334" s="93"/>
      <c r="BI334" s="93"/>
      <c r="BJ334" s="93"/>
      <c r="BK334" s="93">
        <f>SUM($Z334:AD334)-SUM($CM334:CQ334)</f>
        <v>0</v>
      </c>
      <c r="BL334" s="93">
        <f>SUM($Z334:AE334)-SUM($CM334:CR334)</f>
        <v>0</v>
      </c>
      <c r="BM334" s="93">
        <f>SUM($Z334:AF334)-SUM($CM334:CS334)</f>
        <v>0</v>
      </c>
      <c r="BN334" s="93">
        <f>SUM($Z334:AG334)-SUM($CM334:CT334)</f>
        <v>0</v>
      </c>
      <c r="BO334" s="93">
        <f>SUM($Z334:AH334)-SUM($CM334:CU334)</f>
        <v>0</v>
      </c>
      <c r="BP334" s="93">
        <f>SUM($Z334:AI334)-SUM($CM334:CV334)</f>
        <v>0</v>
      </c>
      <c r="BQ334" s="93">
        <f>SUM($Z334:AJ334)-SUM($CM334:CW334)</f>
        <v>0</v>
      </c>
      <c r="BR334" s="93">
        <f>SUM($Z334:AK334)-SUM($CM334:CX334)</f>
        <v>0</v>
      </c>
      <c r="BS334" s="93">
        <f>SUM($Z334:AL334)-SUM($CM334:CY334)</f>
        <v>0</v>
      </c>
      <c r="BT334" s="93">
        <f>SUM($Z334:AM334)-SUM($CM334:CZ334)</f>
        <v>0</v>
      </c>
      <c r="BU334" s="93">
        <f>SUM($Z334:AN334)-SUM($CM334:DA334)</f>
        <v>0</v>
      </c>
      <c r="BV334" s="93">
        <f>SUM($Z334:AO334)-SUM($CM334:DB334)</f>
        <v>0</v>
      </c>
      <c r="BW334" s="93">
        <f>SUM($Z334:AP334)-SUM($CM334:DC334)</f>
        <v>0</v>
      </c>
      <c r="BX334" s="93">
        <f>SUM($Z334:AQ334)-SUM($CM334:DD334)</f>
        <v>0</v>
      </c>
      <c r="BY334" s="93">
        <f>SUM($Z334:AR334)-SUM($CM334:DE334)</f>
        <v>0</v>
      </c>
      <c r="BZ334" s="93">
        <f>SUM($Z334:AS334)-SUM($CM334:DF334)</f>
        <v>0</v>
      </c>
      <c r="CA334" s="93">
        <f>SUM($Z334:AT334)-SUM($CM334:DG334)</f>
        <v>0</v>
      </c>
      <c r="CB334" s="93">
        <f>SUM($Z334:AU334)-SUM($CM334:DH334)</f>
        <v>0</v>
      </c>
      <c r="CC334" s="93">
        <f>SUM($Z334:AV334)-SUM($CM334:DI334)</f>
        <v>0</v>
      </c>
      <c r="CD334" s="93">
        <f>SUM($Z334:AW334)-SUM($CM334:DJ334)</f>
        <v>0</v>
      </c>
      <c r="CE334" s="93">
        <f>SUM($Z334:AX334)-SUM($CM334:DK334)</f>
        <v>0</v>
      </c>
      <c r="CF334" s="93">
        <f>SUM($Z334:AY334)-SUM($CM334:DL334)</f>
        <v>0</v>
      </c>
      <c r="CG334" s="93">
        <f>SUM($Z334:AZ334)-SUM($CM334:DM334)</f>
        <v>0</v>
      </c>
      <c r="CH334" s="93">
        <f>SUM($Z334:BA334)-SUM($CM334:DN334)</f>
        <v>0</v>
      </c>
      <c r="CI334" s="93">
        <f>SUM($Z334:BB334)-SUM($CM334:DO334)</f>
        <v>0</v>
      </c>
      <c r="CJ334" s="93"/>
      <c r="CK334" s="93"/>
      <c r="CL334" s="93"/>
      <c r="CM334" s="93"/>
      <c r="CN334" s="93" cm="1">
        <f t="array" ref="CN334">SUMPRODUCT(TRANSPOSE(CN$4:CN$20),$G334:$W334)</f>
        <v>0</v>
      </c>
      <c r="CO334" s="93" cm="1">
        <f t="array" ref="CO334">SUMPRODUCT(TRANSPOSE(CO$4:CO$20),$G334:$W334)</f>
        <v>0</v>
      </c>
      <c r="CP334" s="93" cm="1">
        <f t="array" ref="CP334">SUMPRODUCT(TRANSPOSE(CP$4:CP$20),$G334:$W334)</f>
        <v>0</v>
      </c>
      <c r="CQ334" s="93" cm="1">
        <f t="array" ref="CQ334">SUMPRODUCT(TRANSPOSE(CQ$4:CQ$20),$G334:$W334)</f>
        <v>0</v>
      </c>
      <c r="CR334" s="93" cm="1">
        <f t="array" ref="CR334">SUMPRODUCT(TRANSPOSE(CR$4:CR$20),$G334:$W334)</f>
        <v>0</v>
      </c>
      <c r="CS334" s="93" cm="1">
        <f t="array" ref="CS334">SUMPRODUCT(TRANSPOSE(CS$4:CS$20),$G334:$W334)</f>
        <v>0</v>
      </c>
      <c r="CT334" s="93" cm="1">
        <f t="array" ref="CT334">SUMPRODUCT(TRANSPOSE(CT$4:CT$20),$G334:$W334)</f>
        <v>0</v>
      </c>
      <c r="CU334" s="93" cm="1">
        <f t="array" ref="CU334">SUMPRODUCT(TRANSPOSE(CU$4:CU$20),$G334:$W334)</f>
        <v>0</v>
      </c>
      <c r="CV334" s="93" cm="1">
        <f t="array" ref="CV334">SUMPRODUCT(TRANSPOSE(CV$4:CV$20),$G334:$W334)</f>
        <v>0</v>
      </c>
      <c r="CW334" s="93" cm="1">
        <f t="array" ref="CW334">SUMPRODUCT(TRANSPOSE(CW$4:CW$20),$G334:$W334)</f>
        <v>0</v>
      </c>
      <c r="CX334" s="93" cm="1">
        <f t="array" ref="CX334">SUMPRODUCT(TRANSPOSE(CX$4:CX$20),$G334:$W334)</f>
        <v>0</v>
      </c>
      <c r="CY334" s="93" cm="1">
        <f t="array" ref="CY334">SUMPRODUCT(TRANSPOSE(CY$4:CY$20),$G334:$W334)</f>
        <v>0</v>
      </c>
      <c r="CZ334" s="93" cm="1">
        <f t="array" ref="CZ334">SUMPRODUCT(TRANSPOSE(CZ$4:CZ$20),$G334:$W334)</f>
        <v>0</v>
      </c>
      <c r="DA334" s="93" cm="1">
        <f t="array" ref="DA334">SUMPRODUCT(TRANSPOSE(DA$4:DA$20),$G334:$W334)</f>
        <v>0</v>
      </c>
      <c r="DB334" s="93" cm="1">
        <f t="array" ref="DB334">SUMPRODUCT(TRANSPOSE(DB$4:DB$20),$G334:$W334)</f>
        <v>0</v>
      </c>
      <c r="DC334" s="93" cm="1">
        <f t="array" ref="DC334">SUMPRODUCT(TRANSPOSE(DC$4:DC$20),$G334:$W334)</f>
        <v>0</v>
      </c>
      <c r="DD334" s="93" cm="1">
        <f t="array" ref="DD334">SUMPRODUCT(TRANSPOSE(DD$4:DD$20),$G334:$W334)</f>
        <v>0</v>
      </c>
      <c r="DE334" s="93" cm="1">
        <f t="array" ref="DE334">SUMPRODUCT(TRANSPOSE(DE$4:DE$20),$G334:$W334)</f>
        <v>0</v>
      </c>
      <c r="DF334" s="93" cm="1">
        <f t="array" ref="DF334">SUMPRODUCT(TRANSPOSE(DF$4:DF$20),$G334:$W334)</f>
        <v>0</v>
      </c>
      <c r="DG334" s="93" cm="1">
        <f t="array" ref="DG334">SUMPRODUCT(TRANSPOSE(DG$4:DG$20),$G334:$W334)</f>
        <v>0</v>
      </c>
      <c r="DH334" s="93" cm="1">
        <f t="array" ref="DH334">SUMPRODUCT(TRANSPOSE(DH$4:DH$20),$G334:$W334)</f>
        <v>0</v>
      </c>
      <c r="DI334" s="93" cm="1">
        <f t="array" ref="DI334">SUMPRODUCT(TRANSPOSE(DI$4:DI$20),$G334:$W334)</f>
        <v>0</v>
      </c>
      <c r="DJ334" s="93" cm="1">
        <f t="array" ref="DJ334">SUMPRODUCT(TRANSPOSE(DJ$4:DJ$20),$G334:$W334)</f>
        <v>0</v>
      </c>
      <c r="DK334" s="93" cm="1">
        <f t="array" ref="DK334">SUMPRODUCT(TRANSPOSE(DK$4:DK$20),$G334:$W334)</f>
        <v>0</v>
      </c>
      <c r="DL334" s="93" cm="1">
        <f t="array" ref="DL334">SUMPRODUCT(TRANSPOSE(DL$4:DL$20),$G334:$W334)</f>
        <v>0</v>
      </c>
      <c r="DM334" s="93" cm="1">
        <f t="array" ref="DM334">SUMPRODUCT(TRANSPOSE(DM$4:DM$20),$G334:$W334)</f>
        <v>0</v>
      </c>
      <c r="DN334" s="93" cm="1">
        <f t="array" ref="DN334">SUMPRODUCT(TRANSPOSE(DN$4:DN$20),$G334:$W334)</f>
        <v>0</v>
      </c>
      <c r="DO334" s="93" cm="1">
        <f t="array" ref="DO334">SUMPRODUCT(TRANSPOSE(DO$4:DO$20),$G334:$W334)</f>
        <v>0</v>
      </c>
    </row>
    <row r="335" spans="1:119" x14ac:dyDescent="0.2">
      <c r="A335" s="45">
        <f t="shared" si="30"/>
        <v>314</v>
      </c>
      <c r="B335" s="64" t="s">
        <v>746</v>
      </c>
      <c r="C335" s="45">
        <v>412216022</v>
      </c>
      <c r="D335" s="45" t="s">
        <v>244</v>
      </c>
      <c r="E335" s="45" t="s">
        <v>162</v>
      </c>
      <c r="F335" s="48">
        <v>1</v>
      </c>
      <c r="G335" s="100">
        <v>1</v>
      </c>
      <c r="H335" s="100">
        <v>0</v>
      </c>
      <c r="I335" s="100">
        <v>0</v>
      </c>
      <c r="J335" s="100">
        <v>0</v>
      </c>
      <c r="K335" s="100">
        <v>0</v>
      </c>
      <c r="L335" s="100">
        <v>0</v>
      </c>
      <c r="M335" s="100">
        <v>0</v>
      </c>
      <c r="N335" s="100">
        <v>0</v>
      </c>
      <c r="O335" s="100">
        <v>0</v>
      </c>
      <c r="P335" s="100">
        <v>0</v>
      </c>
      <c r="Q335" s="100">
        <v>0</v>
      </c>
      <c r="R335" s="100">
        <v>0</v>
      </c>
      <c r="S335" s="100">
        <v>0</v>
      </c>
      <c r="T335" s="100">
        <v>0</v>
      </c>
      <c r="U335" s="100">
        <v>0</v>
      </c>
      <c r="V335" s="100">
        <v>0</v>
      </c>
      <c r="W335" s="100">
        <v>0</v>
      </c>
      <c r="X335" s="45" t="s">
        <v>46</v>
      </c>
      <c r="Y335" s="49">
        <v>35</v>
      </c>
      <c r="Z335" s="45">
        <v>130</v>
      </c>
      <c r="AA335" s="45">
        <v>0</v>
      </c>
      <c r="AB335" s="45">
        <v>0</v>
      </c>
      <c r="AC335" s="45">
        <v>0</v>
      </c>
      <c r="AD335" s="45">
        <v>0</v>
      </c>
      <c r="AE335" s="45">
        <v>0</v>
      </c>
      <c r="AF335" s="45">
        <v>0</v>
      </c>
      <c r="AG335" s="45">
        <v>0</v>
      </c>
      <c r="AH335" s="45">
        <v>0</v>
      </c>
      <c r="AI335" s="45">
        <v>0</v>
      </c>
      <c r="AJ335" s="45">
        <v>0</v>
      </c>
      <c r="AK335" s="45">
        <v>0</v>
      </c>
      <c r="AL335" s="45">
        <v>0</v>
      </c>
      <c r="AM335" s="45">
        <v>0</v>
      </c>
      <c r="AN335" s="45">
        <v>0</v>
      </c>
      <c r="AO335" s="45"/>
      <c r="AP335" s="45"/>
      <c r="AQ335" s="45"/>
      <c r="AR335" s="45"/>
      <c r="AS335" s="45"/>
      <c r="AT335" s="45"/>
      <c r="AU335" s="45"/>
      <c r="AV335" s="45"/>
      <c r="AW335" s="45"/>
      <c r="AX335" s="45"/>
      <c r="AY335" s="45"/>
      <c r="AZ335" s="45"/>
      <c r="BA335" s="45"/>
      <c r="BB335" s="45"/>
      <c r="BC335" s="45"/>
      <c r="BD335" s="93"/>
      <c r="BE335" s="93"/>
      <c r="BF335" s="93"/>
      <c r="BG335" s="93"/>
      <c r="BH335" s="93"/>
      <c r="BI335" s="93"/>
      <c r="BJ335" s="93"/>
      <c r="BK335" s="93">
        <f>SUM($Z335:AD335)-SUM($CM335:CQ335)</f>
        <v>122</v>
      </c>
      <c r="BL335" s="93">
        <f>SUM($Z335:AE335)-SUM($CM335:CR335)</f>
        <v>114</v>
      </c>
      <c r="BM335" s="93">
        <f>SUM($Z335:AF335)-SUM($CM335:CS335)</f>
        <v>106</v>
      </c>
      <c r="BN335" s="93">
        <f>SUM($Z335:AG335)-SUM($CM335:CT335)</f>
        <v>98</v>
      </c>
      <c r="BO335" s="93">
        <f>SUM($Z335:AH335)-SUM($CM335:CU335)</f>
        <v>90</v>
      </c>
      <c r="BP335" s="93">
        <f>SUM($Z335:AI335)-SUM($CM335:CV335)</f>
        <v>82</v>
      </c>
      <c r="BQ335" s="93">
        <f>SUM($Z335:AJ335)-SUM($CM335:CW335)</f>
        <v>74</v>
      </c>
      <c r="BR335" s="93">
        <f>SUM($Z335:AK335)-SUM($CM335:CX335)</f>
        <v>66</v>
      </c>
      <c r="BS335" s="93">
        <f>SUM($Z335:AL335)-SUM($CM335:CY335)</f>
        <v>58</v>
      </c>
      <c r="BT335" s="93">
        <f>SUM($Z335:AM335)-SUM($CM335:CZ335)</f>
        <v>50</v>
      </c>
      <c r="BU335" s="93">
        <f>SUM($Z335:AN335)-SUM($CM335:DA335)</f>
        <v>42</v>
      </c>
      <c r="BV335" s="93">
        <f>SUM($Z335:AO335)-SUM($CM335:DB335)</f>
        <v>34</v>
      </c>
      <c r="BW335" s="93">
        <f>SUM($Z335:AP335)-SUM($CM335:DC335)</f>
        <v>28</v>
      </c>
      <c r="BX335" s="93">
        <f>SUM($Z335:AQ335)-SUM($CM335:DD335)</f>
        <v>28</v>
      </c>
      <c r="BY335" s="93">
        <f>SUM($Z335:AR335)-SUM($CM335:DE335)</f>
        <v>28</v>
      </c>
      <c r="BZ335" s="93">
        <f>SUM($Z335:AS335)-SUM($CM335:DF335)</f>
        <v>28</v>
      </c>
      <c r="CA335" s="93">
        <f>SUM($Z335:AT335)-SUM($CM335:DG335)</f>
        <v>28</v>
      </c>
      <c r="CB335" s="93">
        <f>SUM($Z335:AU335)-SUM($CM335:DH335)</f>
        <v>28</v>
      </c>
      <c r="CC335" s="93">
        <f>SUM($Z335:AV335)-SUM($CM335:DI335)</f>
        <v>28</v>
      </c>
      <c r="CD335" s="93">
        <f>SUM($Z335:AW335)-SUM($CM335:DJ335)</f>
        <v>28</v>
      </c>
      <c r="CE335" s="93">
        <f>SUM($Z335:AX335)-SUM($CM335:DK335)</f>
        <v>28</v>
      </c>
      <c r="CF335" s="93">
        <f>SUM($Z335:AY335)-SUM($CM335:DL335)</f>
        <v>28</v>
      </c>
      <c r="CG335" s="93">
        <f>SUM($Z335:AZ335)-SUM($CM335:DM335)</f>
        <v>28</v>
      </c>
      <c r="CH335" s="93">
        <f>SUM($Z335:BA335)-SUM($CM335:DN335)</f>
        <v>28</v>
      </c>
      <c r="CI335" s="93">
        <f>SUM($Z335:BB335)-SUM($CM335:DO335)</f>
        <v>28</v>
      </c>
      <c r="CJ335" s="93"/>
      <c r="CK335" s="93"/>
      <c r="CL335" s="93"/>
      <c r="CM335" s="93"/>
      <c r="CN335" s="93" cm="1">
        <f t="array" ref="CN335">SUMPRODUCT(TRANSPOSE(CN$4:CN$20),$G335:$W335)</f>
        <v>0</v>
      </c>
      <c r="CO335" s="93" cm="1">
        <f t="array" ref="CO335">SUMPRODUCT(TRANSPOSE(CO$4:CO$20),$G335:$W335)</f>
        <v>0</v>
      </c>
      <c r="CP335" s="93" cm="1">
        <f t="array" ref="CP335">SUMPRODUCT(TRANSPOSE(CP$4:CP$20),$G335:$W335)</f>
        <v>0</v>
      </c>
      <c r="CQ335" s="93" cm="1">
        <f t="array" ref="CQ335">SUMPRODUCT(TRANSPOSE(CQ$4:CQ$20),$G335:$W335)</f>
        <v>8</v>
      </c>
      <c r="CR335" s="93" cm="1">
        <f t="array" ref="CR335">SUMPRODUCT(TRANSPOSE(CR$4:CR$20),$G335:$W335)</f>
        <v>8</v>
      </c>
      <c r="CS335" s="93" cm="1">
        <f t="array" ref="CS335">SUMPRODUCT(TRANSPOSE(CS$4:CS$20),$G335:$W335)</f>
        <v>8</v>
      </c>
      <c r="CT335" s="93" cm="1">
        <f t="array" ref="CT335">SUMPRODUCT(TRANSPOSE(CT$4:CT$20),$G335:$W335)</f>
        <v>8</v>
      </c>
      <c r="CU335" s="93" cm="1">
        <f t="array" ref="CU335">SUMPRODUCT(TRANSPOSE(CU$4:CU$20),$G335:$W335)</f>
        <v>8</v>
      </c>
      <c r="CV335" s="93" cm="1">
        <f t="array" ref="CV335">SUMPRODUCT(TRANSPOSE(CV$4:CV$20),$G335:$W335)</f>
        <v>8</v>
      </c>
      <c r="CW335" s="93" cm="1">
        <f t="array" ref="CW335">SUMPRODUCT(TRANSPOSE(CW$4:CW$20),$G335:$W335)</f>
        <v>8</v>
      </c>
      <c r="CX335" s="93" cm="1">
        <f t="array" ref="CX335">SUMPRODUCT(TRANSPOSE(CX$4:CX$20),$G335:$W335)</f>
        <v>8</v>
      </c>
      <c r="CY335" s="93" cm="1">
        <f t="array" ref="CY335">SUMPRODUCT(TRANSPOSE(CY$4:CY$20),$G335:$W335)</f>
        <v>8</v>
      </c>
      <c r="CZ335" s="93" cm="1">
        <f t="array" ref="CZ335">SUMPRODUCT(TRANSPOSE(CZ$4:CZ$20),$G335:$W335)</f>
        <v>8</v>
      </c>
      <c r="DA335" s="93" cm="1">
        <f t="array" ref="DA335">SUMPRODUCT(TRANSPOSE(DA$4:DA$20),$G335:$W335)</f>
        <v>8</v>
      </c>
      <c r="DB335" s="93" cm="1">
        <f t="array" ref="DB335">SUMPRODUCT(TRANSPOSE(DB$4:DB$20),$G335:$W335)</f>
        <v>8</v>
      </c>
      <c r="DC335" s="93" cm="1">
        <f t="array" ref="DC335">SUMPRODUCT(TRANSPOSE(DC$4:DC$20),$G335:$W335)</f>
        <v>6</v>
      </c>
      <c r="DD335" s="93" cm="1">
        <f t="array" ref="DD335">SUMPRODUCT(TRANSPOSE(DD$4:DD$20),$G335:$W335)</f>
        <v>0</v>
      </c>
      <c r="DE335" s="93" cm="1">
        <f t="array" ref="DE335">SUMPRODUCT(TRANSPOSE(DE$4:DE$20),$G335:$W335)</f>
        <v>0</v>
      </c>
      <c r="DF335" s="93" cm="1">
        <f t="array" ref="DF335">SUMPRODUCT(TRANSPOSE(DF$4:DF$20),$G335:$W335)</f>
        <v>0</v>
      </c>
      <c r="DG335" s="93" cm="1">
        <f t="array" ref="DG335">SUMPRODUCT(TRANSPOSE(DG$4:DG$20),$G335:$W335)</f>
        <v>0</v>
      </c>
      <c r="DH335" s="93" cm="1">
        <f t="array" ref="DH335">SUMPRODUCT(TRANSPOSE(DH$4:DH$20),$G335:$W335)</f>
        <v>0</v>
      </c>
      <c r="DI335" s="93" cm="1">
        <f t="array" ref="DI335">SUMPRODUCT(TRANSPOSE(DI$4:DI$20),$G335:$W335)</f>
        <v>0</v>
      </c>
      <c r="DJ335" s="93" cm="1">
        <f t="array" ref="DJ335">SUMPRODUCT(TRANSPOSE(DJ$4:DJ$20),$G335:$W335)</f>
        <v>0</v>
      </c>
      <c r="DK335" s="93" cm="1">
        <f t="array" ref="DK335">SUMPRODUCT(TRANSPOSE(DK$4:DK$20),$G335:$W335)</f>
        <v>0</v>
      </c>
      <c r="DL335" s="93" cm="1">
        <f t="array" ref="DL335">SUMPRODUCT(TRANSPOSE(DL$4:DL$20),$G335:$W335)</f>
        <v>0</v>
      </c>
      <c r="DM335" s="93" cm="1">
        <f t="array" ref="DM335">SUMPRODUCT(TRANSPOSE(DM$4:DM$20),$G335:$W335)</f>
        <v>0</v>
      </c>
      <c r="DN335" s="93" cm="1">
        <f t="array" ref="DN335">SUMPRODUCT(TRANSPOSE(DN$4:DN$20),$G335:$W335)</f>
        <v>0</v>
      </c>
      <c r="DO335" s="93" cm="1">
        <f t="array" ref="DO335">SUMPRODUCT(TRANSPOSE(DO$4:DO$20),$G335:$W335)</f>
        <v>0</v>
      </c>
    </row>
    <row r="336" spans="1:119" x14ac:dyDescent="0.2">
      <c r="A336" s="45">
        <f t="shared" si="30"/>
        <v>315</v>
      </c>
      <c r="B336" s="64" t="s">
        <v>747</v>
      </c>
      <c r="C336" s="45">
        <v>412298926</v>
      </c>
      <c r="D336" s="45" t="s">
        <v>748</v>
      </c>
      <c r="E336" s="45" t="s">
        <v>162</v>
      </c>
      <c r="F336" s="48">
        <v>1</v>
      </c>
      <c r="G336" s="100">
        <v>1</v>
      </c>
      <c r="H336" s="100">
        <v>0</v>
      </c>
      <c r="I336" s="100">
        <v>0</v>
      </c>
      <c r="J336" s="100">
        <v>0</v>
      </c>
      <c r="K336" s="100">
        <v>0</v>
      </c>
      <c r="L336" s="100">
        <v>0</v>
      </c>
      <c r="M336" s="100">
        <v>0</v>
      </c>
      <c r="N336" s="100">
        <v>0</v>
      </c>
      <c r="O336" s="100">
        <v>0</v>
      </c>
      <c r="P336" s="100">
        <v>0</v>
      </c>
      <c r="Q336" s="100">
        <v>0</v>
      </c>
      <c r="R336" s="100">
        <v>0</v>
      </c>
      <c r="S336" s="100">
        <v>0</v>
      </c>
      <c r="T336" s="100">
        <v>0</v>
      </c>
      <c r="U336" s="100">
        <v>0</v>
      </c>
      <c r="V336" s="100">
        <v>0</v>
      </c>
      <c r="W336" s="100">
        <v>0</v>
      </c>
      <c r="X336" s="45" t="s">
        <v>46</v>
      </c>
      <c r="Y336" s="49">
        <v>210</v>
      </c>
      <c r="Z336" s="45">
        <v>130</v>
      </c>
      <c r="AA336" s="45">
        <v>0</v>
      </c>
      <c r="AB336" s="45">
        <v>0</v>
      </c>
      <c r="AC336" s="45">
        <v>0</v>
      </c>
      <c r="AD336" s="45">
        <v>0</v>
      </c>
      <c r="AE336" s="45">
        <v>0</v>
      </c>
      <c r="AF336" s="45">
        <v>0</v>
      </c>
      <c r="AG336" s="45">
        <v>0</v>
      </c>
      <c r="AH336" s="45">
        <v>0</v>
      </c>
      <c r="AI336" s="45">
        <v>0</v>
      </c>
      <c r="AJ336" s="45">
        <v>0</v>
      </c>
      <c r="AK336" s="45">
        <v>0</v>
      </c>
      <c r="AL336" s="45">
        <v>0</v>
      </c>
      <c r="AM336" s="45">
        <v>0</v>
      </c>
      <c r="AN336" s="45">
        <v>0</v>
      </c>
      <c r="AO336" s="45"/>
      <c r="AP336" s="45"/>
      <c r="AQ336" s="45"/>
      <c r="AR336" s="45"/>
      <c r="AS336" s="45"/>
      <c r="AT336" s="45"/>
      <c r="AU336" s="45"/>
      <c r="AV336" s="45"/>
      <c r="AW336" s="45"/>
      <c r="AX336" s="45"/>
      <c r="AY336" s="45"/>
      <c r="AZ336" s="45"/>
      <c r="BA336" s="45"/>
      <c r="BB336" s="45"/>
      <c r="BC336" s="45"/>
      <c r="BD336" s="93"/>
      <c r="BE336" s="93"/>
      <c r="BF336" s="93"/>
      <c r="BG336" s="93"/>
      <c r="BH336" s="93"/>
      <c r="BI336" s="93"/>
      <c r="BJ336" s="93"/>
      <c r="BK336" s="93">
        <f>SUM($Z336:AD336)-SUM($CM336:CQ336)</f>
        <v>122</v>
      </c>
      <c r="BL336" s="93">
        <f>SUM($Z336:AE336)-SUM($CM336:CR336)</f>
        <v>114</v>
      </c>
      <c r="BM336" s="93">
        <f>SUM($Z336:AF336)-SUM($CM336:CS336)</f>
        <v>106</v>
      </c>
      <c r="BN336" s="93">
        <f>SUM($Z336:AG336)-SUM($CM336:CT336)</f>
        <v>98</v>
      </c>
      <c r="BO336" s="93">
        <f>SUM($Z336:AH336)-SUM($CM336:CU336)</f>
        <v>90</v>
      </c>
      <c r="BP336" s="93">
        <f>SUM($Z336:AI336)-SUM($CM336:CV336)</f>
        <v>82</v>
      </c>
      <c r="BQ336" s="93">
        <f>SUM($Z336:AJ336)-SUM($CM336:CW336)</f>
        <v>74</v>
      </c>
      <c r="BR336" s="93">
        <f>SUM($Z336:AK336)-SUM($CM336:CX336)</f>
        <v>66</v>
      </c>
      <c r="BS336" s="93">
        <f>SUM($Z336:AL336)-SUM($CM336:CY336)</f>
        <v>58</v>
      </c>
      <c r="BT336" s="93">
        <f>SUM($Z336:AM336)-SUM($CM336:CZ336)</f>
        <v>50</v>
      </c>
      <c r="BU336" s="93">
        <f>SUM($Z336:AN336)-SUM($CM336:DA336)</f>
        <v>42</v>
      </c>
      <c r="BV336" s="93">
        <f>SUM($Z336:AO336)-SUM($CM336:DB336)</f>
        <v>34</v>
      </c>
      <c r="BW336" s="93">
        <f>SUM($Z336:AP336)-SUM($CM336:DC336)</f>
        <v>28</v>
      </c>
      <c r="BX336" s="93">
        <f>SUM($Z336:AQ336)-SUM($CM336:DD336)</f>
        <v>28</v>
      </c>
      <c r="BY336" s="93">
        <f>SUM($Z336:AR336)-SUM($CM336:DE336)</f>
        <v>28</v>
      </c>
      <c r="BZ336" s="93">
        <f>SUM($Z336:AS336)-SUM($CM336:DF336)</f>
        <v>28</v>
      </c>
      <c r="CA336" s="93">
        <f>SUM($Z336:AT336)-SUM($CM336:DG336)</f>
        <v>28</v>
      </c>
      <c r="CB336" s="93">
        <f>SUM($Z336:AU336)-SUM($CM336:DH336)</f>
        <v>28</v>
      </c>
      <c r="CC336" s="93">
        <f>SUM($Z336:AV336)-SUM($CM336:DI336)</f>
        <v>28</v>
      </c>
      <c r="CD336" s="93">
        <f>SUM($Z336:AW336)-SUM($CM336:DJ336)</f>
        <v>28</v>
      </c>
      <c r="CE336" s="93">
        <f>SUM($Z336:AX336)-SUM($CM336:DK336)</f>
        <v>28</v>
      </c>
      <c r="CF336" s="93">
        <f>SUM($Z336:AY336)-SUM($CM336:DL336)</f>
        <v>28</v>
      </c>
      <c r="CG336" s="93">
        <f>SUM($Z336:AZ336)-SUM($CM336:DM336)</f>
        <v>28</v>
      </c>
      <c r="CH336" s="93">
        <f>SUM($Z336:BA336)-SUM($CM336:DN336)</f>
        <v>28</v>
      </c>
      <c r="CI336" s="93">
        <f>SUM($Z336:BB336)-SUM($CM336:DO336)</f>
        <v>28</v>
      </c>
      <c r="CJ336" s="93"/>
      <c r="CK336" s="93"/>
      <c r="CL336" s="93"/>
      <c r="CM336" s="93"/>
      <c r="CN336" s="93" cm="1">
        <f t="array" ref="CN336">SUMPRODUCT(TRANSPOSE(CN$4:CN$20),$G336:$W336)</f>
        <v>0</v>
      </c>
      <c r="CO336" s="93" cm="1">
        <f t="array" ref="CO336">SUMPRODUCT(TRANSPOSE(CO$4:CO$20),$G336:$W336)</f>
        <v>0</v>
      </c>
      <c r="CP336" s="93" cm="1">
        <f t="array" ref="CP336">SUMPRODUCT(TRANSPOSE(CP$4:CP$20),$G336:$W336)</f>
        <v>0</v>
      </c>
      <c r="CQ336" s="93" cm="1">
        <f t="array" ref="CQ336">SUMPRODUCT(TRANSPOSE(CQ$4:CQ$20),$G336:$W336)</f>
        <v>8</v>
      </c>
      <c r="CR336" s="93" cm="1">
        <f t="array" ref="CR336">SUMPRODUCT(TRANSPOSE(CR$4:CR$20),$G336:$W336)</f>
        <v>8</v>
      </c>
      <c r="CS336" s="93" cm="1">
        <f t="array" ref="CS336">SUMPRODUCT(TRANSPOSE(CS$4:CS$20),$G336:$W336)</f>
        <v>8</v>
      </c>
      <c r="CT336" s="93" cm="1">
        <f t="array" ref="CT336">SUMPRODUCT(TRANSPOSE(CT$4:CT$20),$G336:$W336)</f>
        <v>8</v>
      </c>
      <c r="CU336" s="93" cm="1">
        <f t="array" ref="CU336">SUMPRODUCT(TRANSPOSE(CU$4:CU$20),$G336:$W336)</f>
        <v>8</v>
      </c>
      <c r="CV336" s="93" cm="1">
        <f t="array" ref="CV336">SUMPRODUCT(TRANSPOSE(CV$4:CV$20),$G336:$W336)</f>
        <v>8</v>
      </c>
      <c r="CW336" s="93" cm="1">
        <f t="array" ref="CW336">SUMPRODUCT(TRANSPOSE(CW$4:CW$20),$G336:$W336)</f>
        <v>8</v>
      </c>
      <c r="CX336" s="93" cm="1">
        <f t="array" ref="CX336">SUMPRODUCT(TRANSPOSE(CX$4:CX$20),$G336:$W336)</f>
        <v>8</v>
      </c>
      <c r="CY336" s="93" cm="1">
        <f t="array" ref="CY336">SUMPRODUCT(TRANSPOSE(CY$4:CY$20),$G336:$W336)</f>
        <v>8</v>
      </c>
      <c r="CZ336" s="93" cm="1">
        <f t="array" ref="CZ336">SUMPRODUCT(TRANSPOSE(CZ$4:CZ$20),$G336:$W336)</f>
        <v>8</v>
      </c>
      <c r="DA336" s="93" cm="1">
        <f t="array" ref="DA336">SUMPRODUCT(TRANSPOSE(DA$4:DA$20),$G336:$W336)</f>
        <v>8</v>
      </c>
      <c r="DB336" s="93" cm="1">
        <f t="array" ref="DB336">SUMPRODUCT(TRANSPOSE(DB$4:DB$20),$G336:$W336)</f>
        <v>8</v>
      </c>
      <c r="DC336" s="93" cm="1">
        <f t="array" ref="DC336">SUMPRODUCT(TRANSPOSE(DC$4:DC$20),$G336:$W336)</f>
        <v>6</v>
      </c>
      <c r="DD336" s="93" cm="1">
        <f t="array" ref="DD336">SUMPRODUCT(TRANSPOSE(DD$4:DD$20),$G336:$W336)</f>
        <v>0</v>
      </c>
      <c r="DE336" s="93" cm="1">
        <f t="array" ref="DE336">SUMPRODUCT(TRANSPOSE(DE$4:DE$20),$G336:$W336)</f>
        <v>0</v>
      </c>
      <c r="DF336" s="93" cm="1">
        <f t="array" ref="DF336">SUMPRODUCT(TRANSPOSE(DF$4:DF$20),$G336:$W336)</f>
        <v>0</v>
      </c>
      <c r="DG336" s="93" cm="1">
        <f t="array" ref="DG336">SUMPRODUCT(TRANSPOSE(DG$4:DG$20),$G336:$W336)</f>
        <v>0</v>
      </c>
      <c r="DH336" s="93" cm="1">
        <f t="array" ref="DH336">SUMPRODUCT(TRANSPOSE(DH$4:DH$20),$G336:$W336)</f>
        <v>0</v>
      </c>
      <c r="DI336" s="93" cm="1">
        <f t="array" ref="DI336">SUMPRODUCT(TRANSPOSE(DI$4:DI$20),$G336:$W336)</f>
        <v>0</v>
      </c>
      <c r="DJ336" s="93" cm="1">
        <f t="array" ref="DJ336">SUMPRODUCT(TRANSPOSE(DJ$4:DJ$20),$G336:$W336)</f>
        <v>0</v>
      </c>
      <c r="DK336" s="93" cm="1">
        <f t="array" ref="DK336">SUMPRODUCT(TRANSPOSE(DK$4:DK$20),$G336:$W336)</f>
        <v>0</v>
      </c>
      <c r="DL336" s="93" cm="1">
        <f t="array" ref="DL336">SUMPRODUCT(TRANSPOSE(DL$4:DL$20),$G336:$W336)</f>
        <v>0</v>
      </c>
      <c r="DM336" s="93" cm="1">
        <f t="array" ref="DM336">SUMPRODUCT(TRANSPOSE(DM$4:DM$20),$G336:$W336)</f>
        <v>0</v>
      </c>
      <c r="DN336" s="93" cm="1">
        <f t="array" ref="DN336">SUMPRODUCT(TRANSPOSE(DN$4:DN$20),$G336:$W336)</f>
        <v>0</v>
      </c>
      <c r="DO336" s="93" cm="1">
        <f t="array" ref="DO336">SUMPRODUCT(TRANSPOSE(DO$4:DO$20),$G336:$W336)</f>
        <v>0</v>
      </c>
    </row>
    <row r="337" spans="1:119" x14ac:dyDescent="0.2">
      <c r="A337" s="45">
        <f t="shared" si="30"/>
        <v>316</v>
      </c>
      <c r="B337" s="73" t="s">
        <v>749</v>
      </c>
      <c r="C337" s="45">
        <v>412196886</v>
      </c>
      <c r="D337" s="45" t="s">
        <v>750</v>
      </c>
      <c r="E337" s="45" t="s">
        <v>162</v>
      </c>
      <c r="F337" s="48">
        <v>1</v>
      </c>
      <c r="G337" s="100">
        <v>1</v>
      </c>
      <c r="H337" s="100">
        <v>0</v>
      </c>
      <c r="I337" s="100">
        <v>0</v>
      </c>
      <c r="J337" s="100">
        <v>0</v>
      </c>
      <c r="K337" s="100">
        <v>0</v>
      </c>
      <c r="L337" s="100">
        <v>0</v>
      </c>
      <c r="M337" s="100">
        <v>0</v>
      </c>
      <c r="N337" s="100">
        <v>0</v>
      </c>
      <c r="O337" s="100">
        <v>0</v>
      </c>
      <c r="P337" s="100">
        <v>0</v>
      </c>
      <c r="Q337" s="100">
        <v>0</v>
      </c>
      <c r="R337" s="100">
        <v>0</v>
      </c>
      <c r="S337" s="100">
        <v>0</v>
      </c>
      <c r="T337" s="100">
        <v>0</v>
      </c>
      <c r="U337" s="100">
        <v>0</v>
      </c>
      <c r="V337" s="100">
        <v>0</v>
      </c>
      <c r="W337" s="100">
        <v>0</v>
      </c>
      <c r="X337" s="88" t="s">
        <v>46</v>
      </c>
      <c r="Y337" s="49">
        <v>814</v>
      </c>
      <c r="Z337" s="45">
        <v>57</v>
      </c>
      <c r="AA337" s="45">
        <v>0</v>
      </c>
      <c r="AB337" s="45">
        <v>0</v>
      </c>
      <c r="AC337" s="45">
        <v>0</v>
      </c>
      <c r="AD337" s="45">
        <v>0</v>
      </c>
      <c r="AE337" s="45">
        <v>10</v>
      </c>
      <c r="AF337" s="45">
        <v>10</v>
      </c>
      <c r="AG337" s="45">
        <v>0</v>
      </c>
      <c r="AH337" s="45">
        <v>0</v>
      </c>
      <c r="AI337" s="45">
        <v>0</v>
      </c>
      <c r="AJ337" s="45">
        <v>0</v>
      </c>
      <c r="AK337" s="45">
        <v>0</v>
      </c>
      <c r="AL337" s="45">
        <v>0</v>
      </c>
      <c r="AM337" s="45">
        <v>0</v>
      </c>
      <c r="AN337" s="45">
        <v>0</v>
      </c>
      <c r="AO337" s="45"/>
      <c r="AP337" s="45"/>
      <c r="AQ337" s="45"/>
      <c r="AR337" s="45"/>
      <c r="AS337" s="45"/>
      <c r="AT337" s="45"/>
      <c r="AU337" s="45"/>
      <c r="AV337" s="45"/>
      <c r="AW337" s="45"/>
      <c r="AX337" s="45"/>
      <c r="AY337" s="45"/>
      <c r="AZ337" s="45"/>
      <c r="BA337" s="45"/>
      <c r="BB337" s="45"/>
      <c r="BC337" s="45"/>
      <c r="BD337" s="93"/>
      <c r="BE337" s="93"/>
      <c r="BF337" s="93"/>
      <c r="BG337" s="93"/>
      <c r="BH337" s="93"/>
      <c r="BI337" s="93"/>
      <c r="BJ337" s="93"/>
      <c r="BK337" s="93">
        <f>SUM($Z337:AD337)-SUM($CM337:CQ337)</f>
        <v>49</v>
      </c>
      <c r="BL337" s="93">
        <f>SUM($Z337:AE337)-SUM($CM337:CR337)</f>
        <v>51</v>
      </c>
      <c r="BM337" s="93">
        <f>SUM($Z337:AF337)-SUM($CM337:CS337)</f>
        <v>53</v>
      </c>
      <c r="BN337" s="93">
        <f>SUM($Z337:AG337)-SUM($CM337:CT337)</f>
        <v>45</v>
      </c>
      <c r="BO337" s="93">
        <f>SUM($Z337:AH337)-SUM($CM337:CU337)</f>
        <v>37</v>
      </c>
      <c r="BP337" s="93">
        <f>SUM($Z337:AI337)-SUM($CM337:CV337)</f>
        <v>29</v>
      </c>
      <c r="BQ337" s="93">
        <f>SUM($Z337:AJ337)-SUM($CM337:CW337)</f>
        <v>21</v>
      </c>
      <c r="BR337" s="93">
        <f>SUM($Z337:AK337)-SUM($CM337:CX337)</f>
        <v>13</v>
      </c>
      <c r="BS337" s="93">
        <f>SUM($Z337:AL337)-SUM($CM337:CY337)</f>
        <v>5</v>
      </c>
      <c r="BT337" s="93">
        <f>SUM($Z337:AM337)-SUM($CM337:CZ337)</f>
        <v>-3</v>
      </c>
      <c r="BU337" s="93">
        <f>SUM($Z337:AN337)-SUM($CM337:DA337)</f>
        <v>-11</v>
      </c>
      <c r="BV337" s="93">
        <f>SUM($Z337:AO337)-SUM($CM337:DB337)</f>
        <v>-19</v>
      </c>
      <c r="BW337" s="93">
        <f>SUM($Z337:AP337)-SUM($CM337:DC337)</f>
        <v>-25</v>
      </c>
      <c r="BX337" s="93">
        <f>SUM($Z337:AQ337)-SUM($CM337:DD337)</f>
        <v>-25</v>
      </c>
      <c r="BY337" s="93">
        <f>SUM($Z337:AR337)-SUM($CM337:DE337)</f>
        <v>-25</v>
      </c>
      <c r="BZ337" s="93">
        <f>SUM($Z337:AS337)-SUM($CM337:DF337)</f>
        <v>-25</v>
      </c>
      <c r="CA337" s="93">
        <f>SUM($Z337:AT337)-SUM($CM337:DG337)</f>
        <v>-25</v>
      </c>
      <c r="CB337" s="93">
        <f>SUM($Z337:AU337)-SUM($CM337:DH337)</f>
        <v>-25</v>
      </c>
      <c r="CC337" s="93">
        <f>SUM($Z337:AV337)-SUM($CM337:DI337)</f>
        <v>-25</v>
      </c>
      <c r="CD337" s="93">
        <f>SUM($Z337:AW337)-SUM($CM337:DJ337)</f>
        <v>-25</v>
      </c>
      <c r="CE337" s="93">
        <f>SUM($Z337:AX337)-SUM($CM337:DK337)</f>
        <v>-25</v>
      </c>
      <c r="CF337" s="93">
        <f>SUM($Z337:AY337)-SUM($CM337:DL337)</f>
        <v>-25</v>
      </c>
      <c r="CG337" s="93">
        <f>SUM($Z337:AZ337)-SUM($CM337:DM337)</f>
        <v>-25</v>
      </c>
      <c r="CH337" s="93">
        <f>SUM($Z337:BA337)-SUM($CM337:DN337)</f>
        <v>-25</v>
      </c>
      <c r="CI337" s="93">
        <f>SUM($Z337:BB337)-SUM($CM337:DO337)</f>
        <v>-25</v>
      </c>
      <c r="CJ337" s="93"/>
      <c r="CK337" s="93"/>
      <c r="CL337" s="93"/>
      <c r="CM337" s="93"/>
      <c r="CN337" s="93" cm="1">
        <f t="array" ref="CN337">SUMPRODUCT(TRANSPOSE(CN$4:CN$20),$G337:$W337)</f>
        <v>0</v>
      </c>
      <c r="CO337" s="93" cm="1">
        <f t="array" ref="CO337">SUMPRODUCT(TRANSPOSE(CO$4:CO$20),$G337:$W337)</f>
        <v>0</v>
      </c>
      <c r="CP337" s="93" cm="1">
        <f t="array" ref="CP337">SUMPRODUCT(TRANSPOSE(CP$4:CP$20),$G337:$W337)</f>
        <v>0</v>
      </c>
      <c r="CQ337" s="93" cm="1">
        <f t="array" ref="CQ337">SUMPRODUCT(TRANSPOSE(CQ$4:CQ$20),$G337:$W337)</f>
        <v>8</v>
      </c>
      <c r="CR337" s="93" cm="1">
        <f t="array" ref="CR337">SUMPRODUCT(TRANSPOSE(CR$4:CR$20),$G337:$W337)</f>
        <v>8</v>
      </c>
      <c r="CS337" s="93" cm="1">
        <f t="array" ref="CS337">SUMPRODUCT(TRANSPOSE(CS$4:CS$20),$G337:$W337)</f>
        <v>8</v>
      </c>
      <c r="CT337" s="93" cm="1">
        <f t="array" ref="CT337">SUMPRODUCT(TRANSPOSE(CT$4:CT$20),$G337:$W337)</f>
        <v>8</v>
      </c>
      <c r="CU337" s="93" cm="1">
        <f t="array" ref="CU337">SUMPRODUCT(TRANSPOSE(CU$4:CU$20),$G337:$W337)</f>
        <v>8</v>
      </c>
      <c r="CV337" s="93" cm="1">
        <f t="array" ref="CV337">SUMPRODUCT(TRANSPOSE(CV$4:CV$20),$G337:$W337)</f>
        <v>8</v>
      </c>
      <c r="CW337" s="93" cm="1">
        <f t="array" ref="CW337">SUMPRODUCT(TRANSPOSE(CW$4:CW$20),$G337:$W337)</f>
        <v>8</v>
      </c>
      <c r="CX337" s="93" cm="1">
        <f t="array" ref="CX337">SUMPRODUCT(TRANSPOSE(CX$4:CX$20),$G337:$W337)</f>
        <v>8</v>
      </c>
      <c r="CY337" s="93" cm="1">
        <f t="array" ref="CY337">SUMPRODUCT(TRANSPOSE(CY$4:CY$20),$G337:$W337)</f>
        <v>8</v>
      </c>
      <c r="CZ337" s="93" cm="1">
        <f t="array" ref="CZ337">SUMPRODUCT(TRANSPOSE(CZ$4:CZ$20),$G337:$W337)</f>
        <v>8</v>
      </c>
      <c r="DA337" s="93" cm="1">
        <f t="array" ref="DA337">SUMPRODUCT(TRANSPOSE(DA$4:DA$20),$G337:$W337)</f>
        <v>8</v>
      </c>
      <c r="DB337" s="93" cm="1">
        <f t="array" ref="DB337">SUMPRODUCT(TRANSPOSE(DB$4:DB$20),$G337:$W337)</f>
        <v>8</v>
      </c>
      <c r="DC337" s="93" cm="1">
        <f t="array" ref="DC337">SUMPRODUCT(TRANSPOSE(DC$4:DC$20),$G337:$W337)</f>
        <v>6</v>
      </c>
      <c r="DD337" s="93" cm="1">
        <f t="array" ref="DD337">SUMPRODUCT(TRANSPOSE(DD$4:DD$20),$G337:$W337)</f>
        <v>0</v>
      </c>
      <c r="DE337" s="93" cm="1">
        <f t="array" ref="DE337">SUMPRODUCT(TRANSPOSE(DE$4:DE$20),$G337:$W337)</f>
        <v>0</v>
      </c>
      <c r="DF337" s="93" cm="1">
        <f t="array" ref="DF337">SUMPRODUCT(TRANSPOSE(DF$4:DF$20),$G337:$W337)</f>
        <v>0</v>
      </c>
      <c r="DG337" s="93" cm="1">
        <f t="array" ref="DG337">SUMPRODUCT(TRANSPOSE(DG$4:DG$20),$G337:$W337)</f>
        <v>0</v>
      </c>
      <c r="DH337" s="93" cm="1">
        <f t="array" ref="DH337">SUMPRODUCT(TRANSPOSE(DH$4:DH$20),$G337:$W337)</f>
        <v>0</v>
      </c>
      <c r="DI337" s="93" cm="1">
        <f t="array" ref="DI337">SUMPRODUCT(TRANSPOSE(DI$4:DI$20),$G337:$W337)</f>
        <v>0</v>
      </c>
      <c r="DJ337" s="93" cm="1">
        <f t="array" ref="DJ337">SUMPRODUCT(TRANSPOSE(DJ$4:DJ$20),$G337:$W337)</f>
        <v>0</v>
      </c>
      <c r="DK337" s="93" cm="1">
        <f t="array" ref="DK337">SUMPRODUCT(TRANSPOSE(DK$4:DK$20),$G337:$W337)</f>
        <v>0</v>
      </c>
      <c r="DL337" s="93" cm="1">
        <f t="array" ref="DL337">SUMPRODUCT(TRANSPOSE(DL$4:DL$20),$G337:$W337)</f>
        <v>0</v>
      </c>
      <c r="DM337" s="93" cm="1">
        <f t="array" ref="DM337">SUMPRODUCT(TRANSPOSE(DM$4:DM$20),$G337:$W337)</f>
        <v>0</v>
      </c>
      <c r="DN337" s="93" cm="1">
        <f t="array" ref="DN337">SUMPRODUCT(TRANSPOSE(DN$4:DN$20),$G337:$W337)</f>
        <v>0</v>
      </c>
      <c r="DO337" s="93" cm="1">
        <f t="array" ref="DO337">SUMPRODUCT(TRANSPOSE(DO$4:DO$20),$G337:$W337)</f>
        <v>0</v>
      </c>
    </row>
    <row r="338" spans="1:119" x14ac:dyDescent="0.2">
      <c r="A338" s="45">
        <f t="shared" si="30"/>
        <v>317</v>
      </c>
      <c r="B338" s="64" t="s">
        <v>751</v>
      </c>
      <c r="C338" s="45" t="s">
        <v>752</v>
      </c>
      <c r="D338" s="45" t="s">
        <v>753</v>
      </c>
      <c r="E338" s="45" t="s">
        <v>162</v>
      </c>
      <c r="F338" s="48">
        <v>1</v>
      </c>
      <c r="G338" s="100">
        <v>0</v>
      </c>
      <c r="H338" s="100">
        <v>0</v>
      </c>
      <c r="I338" s="100">
        <v>1</v>
      </c>
      <c r="J338" s="100">
        <v>0</v>
      </c>
      <c r="K338" s="100">
        <v>2</v>
      </c>
      <c r="L338" s="100">
        <v>0</v>
      </c>
      <c r="M338" s="100">
        <v>0</v>
      </c>
      <c r="N338" s="100">
        <v>0</v>
      </c>
      <c r="O338" s="100">
        <v>0</v>
      </c>
      <c r="P338" s="100">
        <v>0</v>
      </c>
      <c r="Q338" s="100">
        <v>0</v>
      </c>
      <c r="R338" s="100">
        <v>0</v>
      </c>
      <c r="S338" s="100">
        <v>0</v>
      </c>
      <c r="T338" s="100">
        <v>0</v>
      </c>
      <c r="U338" s="100">
        <v>0</v>
      </c>
      <c r="V338" s="100">
        <v>0</v>
      </c>
      <c r="W338" s="100">
        <v>0</v>
      </c>
      <c r="X338" s="45" t="s">
        <v>754</v>
      </c>
      <c r="Y338" s="53">
        <v>42.55</v>
      </c>
      <c r="Z338" s="45">
        <v>390</v>
      </c>
      <c r="AA338" s="45">
        <v>0</v>
      </c>
      <c r="AB338" s="45">
        <v>0</v>
      </c>
      <c r="AC338" s="45">
        <v>0</v>
      </c>
      <c r="AD338" s="45">
        <v>0</v>
      </c>
      <c r="AE338" s="45">
        <v>0</v>
      </c>
      <c r="AF338" s="45">
        <v>0</v>
      </c>
      <c r="AG338" s="45">
        <v>0</v>
      </c>
      <c r="AH338" s="45">
        <v>0</v>
      </c>
      <c r="AI338" s="45">
        <v>0</v>
      </c>
      <c r="AJ338" s="45">
        <v>0</v>
      </c>
      <c r="AK338" s="45">
        <v>0</v>
      </c>
      <c r="AL338" s="45">
        <v>0</v>
      </c>
      <c r="AM338" s="45">
        <v>0</v>
      </c>
      <c r="AN338" s="45">
        <v>0</v>
      </c>
      <c r="AO338" s="45"/>
      <c r="AP338" s="45"/>
      <c r="AQ338" s="45"/>
      <c r="AR338" s="45"/>
      <c r="AS338" s="45"/>
      <c r="AT338" s="45"/>
      <c r="AU338" s="45"/>
      <c r="AV338" s="45"/>
      <c r="AW338" s="45"/>
      <c r="AX338" s="45"/>
      <c r="AY338" s="45"/>
      <c r="AZ338" s="45"/>
      <c r="BA338" s="45"/>
      <c r="BB338" s="45"/>
      <c r="BC338" s="45"/>
      <c r="BD338" s="93"/>
      <c r="BE338" s="93"/>
      <c r="BF338" s="93"/>
      <c r="BG338" s="93"/>
      <c r="BH338" s="93"/>
      <c r="BI338" s="93"/>
      <c r="BJ338" s="93"/>
      <c r="BK338" s="93">
        <f>SUM($Z338:AD338)-SUM($CM338:CQ338)</f>
        <v>366</v>
      </c>
      <c r="BL338" s="93">
        <f>SUM($Z338:AE338)-SUM($CM338:CR338)</f>
        <v>342</v>
      </c>
      <c r="BM338" s="93">
        <f>SUM($Z338:AF338)-SUM($CM338:CS338)</f>
        <v>318</v>
      </c>
      <c r="BN338" s="93">
        <f>SUM($Z338:AG338)-SUM($CM338:CT338)</f>
        <v>294</v>
      </c>
      <c r="BO338" s="93">
        <f>SUM($Z338:AH338)-SUM($CM338:CU338)</f>
        <v>270</v>
      </c>
      <c r="BP338" s="93">
        <f>SUM($Z338:AI338)-SUM($CM338:CV338)</f>
        <v>246</v>
      </c>
      <c r="BQ338" s="93">
        <f>SUM($Z338:AJ338)-SUM($CM338:CW338)</f>
        <v>222</v>
      </c>
      <c r="BR338" s="93">
        <f>SUM($Z338:AK338)-SUM($CM338:CX338)</f>
        <v>198</v>
      </c>
      <c r="BS338" s="93">
        <f>SUM($Z338:AL338)-SUM($CM338:CY338)</f>
        <v>174</v>
      </c>
      <c r="BT338" s="93">
        <f>SUM($Z338:AM338)-SUM($CM338:CZ338)</f>
        <v>150</v>
      </c>
      <c r="BU338" s="93">
        <f>SUM($Z338:AN338)-SUM($CM338:DA338)</f>
        <v>126</v>
      </c>
      <c r="BV338" s="93">
        <f>SUM($Z338:AO338)-SUM($CM338:DB338)</f>
        <v>102</v>
      </c>
      <c r="BW338" s="93">
        <f>SUM($Z338:AP338)-SUM($CM338:DC338)</f>
        <v>84</v>
      </c>
      <c r="BX338" s="93">
        <f>SUM($Z338:AQ338)-SUM($CM338:DD338)</f>
        <v>84</v>
      </c>
      <c r="BY338" s="93">
        <f>SUM($Z338:AR338)-SUM($CM338:DE338)</f>
        <v>84</v>
      </c>
      <c r="BZ338" s="93">
        <f>SUM($Z338:AS338)-SUM($CM338:DF338)</f>
        <v>84</v>
      </c>
      <c r="CA338" s="93">
        <f>SUM($Z338:AT338)-SUM($CM338:DG338)</f>
        <v>84</v>
      </c>
      <c r="CB338" s="93">
        <f>SUM($Z338:AU338)-SUM($CM338:DH338)</f>
        <v>84</v>
      </c>
      <c r="CC338" s="93">
        <f>SUM($Z338:AV338)-SUM($CM338:DI338)</f>
        <v>84</v>
      </c>
      <c r="CD338" s="93">
        <f>SUM($Z338:AW338)-SUM($CM338:DJ338)</f>
        <v>84</v>
      </c>
      <c r="CE338" s="93">
        <f>SUM($Z338:AX338)-SUM($CM338:DK338)</f>
        <v>84</v>
      </c>
      <c r="CF338" s="93">
        <f>SUM($Z338:AY338)-SUM($CM338:DL338)</f>
        <v>84</v>
      </c>
      <c r="CG338" s="93">
        <f>SUM($Z338:AZ338)-SUM($CM338:DM338)</f>
        <v>84</v>
      </c>
      <c r="CH338" s="93">
        <f>SUM($Z338:BA338)-SUM($CM338:DN338)</f>
        <v>84</v>
      </c>
      <c r="CI338" s="93">
        <f>SUM($Z338:BB338)-SUM($CM338:DO338)</f>
        <v>84</v>
      </c>
      <c r="CJ338" s="93"/>
      <c r="CK338" s="93"/>
      <c r="CL338" s="93"/>
      <c r="CM338" s="93"/>
      <c r="CN338" s="93" cm="1">
        <f t="array" ref="CN338">SUMPRODUCT(TRANSPOSE(CN$4:CN$20),$G338:$W338)</f>
        <v>0</v>
      </c>
      <c r="CO338" s="93" cm="1">
        <f t="array" ref="CO338">SUMPRODUCT(TRANSPOSE(CO$4:CO$20),$G338:$W338)</f>
        <v>0</v>
      </c>
      <c r="CP338" s="93" cm="1">
        <f t="array" ref="CP338">SUMPRODUCT(TRANSPOSE(CP$4:CP$20),$G338:$W338)</f>
        <v>0</v>
      </c>
      <c r="CQ338" s="93" cm="1">
        <f t="array" ref="CQ338">SUMPRODUCT(TRANSPOSE(CQ$4:CQ$20),$G338:$W338)</f>
        <v>24</v>
      </c>
      <c r="CR338" s="93" cm="1">
        <f t="array" ref="CR338">SUMPRODUCT(TRANSPOSE(CR$4:CR$20),$G338:$W338)</f>
        <v>24</v>
      </c>
      <c r="CS338" s="93" cm="1">
        <f t="array" ref="CS338">SUMPRODUCT(TRANSPOSE(CS$4:CS$20),$G338:$W338)</f>
        <v>24</v>
      </c>
      <c r="CT338" s="93" cm="1">
        <f t="array" ref="CT338">SUMPRODUCT(TRANSPOSE(CT$4:CT$20),$G338:$W338)</f>
        <v>24</v>
      </c>
      <c r="CU338" s="93" cm="1">
        <f t="array" ref="CU338">SUMPRODUCT(TRANSPOSE(CU$4:CU$20),$G338:$W338)</f>
        <v>24</v>
      </c>
      <c r="CV338" s="93" cm="1">
        <f t="array" ref="CV338">SUMPRODUCT(TRANSPOSE(CV$4:CV$20),$G338:$W338)</f>
        <v>24</v>
      </c>
      <c r="CW338" s="93" cm="1">
        <f t="array" ref="CW338">SUMPRODUCT(TRANSPOSE(CW$4:CW$20),$G338:$W338)</f>
        <v>24</v>
      </c>
      <c r="CX338" s="93" cm="1">
        <f t="array" ref="CX338">SUMPRODUCT(TRANSPOSE(CX$4:CX$20),$G338:$W338)</f>
        <v>24</v>
      </c>
      <c r="CY338" s="93" cm="1">
        <f t="array" ref="CY338">SUMPRODUCT(TRANSPOSE(CY$4:CY$20),$G338:$W338)</f>
        <v>24</v>
      </c>
      <c r="CZ338" s="93" cm="1">
        <f t="array" ref="CZ338">SUMPRODUCT(TRANSPOSE(CZ$4:CZ$20),$G338:$W338)</f>
        <v>24</v>
      </c>
      <c r="DA338" s="93" cm="1">
        <f t="array" ref="DA338">SUMPRODUCT(TRANSPOSE(DA$4:DA$20),$G338:$W338)</f>
        <v>24</v>
      </c>
      <c r="DB338" s="93" cm="1">
        <f t="array" ref="DB338">SUMPRODUCT(TRANSPOSE(DB$4:DB$20),$G338:$W338)</f>
        <v>24</v>
      </c>
      <c r="DC338" s="93" cm="1">
        <f t="array" ref="DC338">SUMPRODUCT(TRANSPOSE(DC$4:DC$20),$G338:$W338)</f>
        <v>18</v>
      </c>
      <c r="DD338" s="93" cm="1">
        <f t="array" ref="DD338">SUMPRODUCT(TRANSPOSE(DD$4:DD$20),$G338:$W338)</f>
        <v>0</v>
      </c>
      <c r="DE338" s="93" cm="1">
        <f t="array" ref="DE338">SUMPRODUCT(TRANSPOSE(DE$4:DE$20),$G338:$W338)</f>
        <v>0</v>
      </c>
      <c r="DF338" s="93" cm="1">
        <f t="array" ref="DF338">SUMPRODUCT(TRANSPOSE(DF$4:DF$20),$G338:$W338)</f>
        <v>0</v>
      </c>
      <c r="DG338" s="93" cm="1">
        <f t="array" ref="DG338">SUMPRODUCT(TRANSPOSE(DG$4:DG$20),$G338:$W338)</f>
        <v>0</v>
      </c>
      <c r="DH338" s="93" cm="1">
        <f t="array" ref="DH338">SUMPRODUCT(TRANSPOSE(DH$4:DH$20),$G338:$W338)</f>
        <v>0</v>
      </c>
      <c r="DI338" s="93" cm="1">
        <f t="array" ref="DI338">SUMPRODUCT(TRANSPOSE(DI$4:DI$20),$G338:$W338)</f>
        <v>0</v>
      </c>
      <c r="DJ338" s="93" cm="1">
        <f t="array" ref="DJ338">SUMPRODUCT(TRANSPOSE(DJ$4:DJ$20),$G338:$W338)</f>
        <v>0</v>
      </c>
      <c r="DK338" s="93" cm="1">
        <f t="array" ref="DK338">SUMPRODUCT(TRANSPOSE(DK$4:DK$20),$G338:$W338)</f>
        <v>0</v>
      </c>
      <c r="DL338" s="93" cm="1">
        <f t="array" ref="DL338">SUMPRODUCT(TRANSPOSE(DL$4:DL$20),$G338:$W338)</f>
        <v>0</v>
      </c>
      <c r="DM338" s="93" cm="1">
        <f t="array" ref="DM338">SUMPRODUCT(TRANSPOSE(DM$4:DM$20),$G338:$W338)</f>
        <v>0</v>
      </c>
      <c r="DN338" s="93" cm="1">
        <f t="array" ref="DN338">SUMPRODUCT(TRANSPOSE(DN$4:DN$20),$G338:$W338)</f>
        <v>0</v>
      </c>
      <c r="DO338" s="93" cm="1">
        <f t="array" ref="DO338">SUMPRODUCT(TRANSPOSE(DO$4:DO$20),$G338:$W338)</f>
        <v>0</v>
      </c>
    </row>
    <row r="339" spans="1:119" x14ac:dyDescent="0.2">
      <c r="A339" s="45">
        <f t="shared" si="30"/>
        <v>318</v>
      </c>
      <c r="B339" s="64" t="s">
        <v>755</v>
      </c>
      <c r="C339" s="45">
        <v>412240968</v>
      </c>
      <c r="D339" s="45" t="s">
        <v>756</v>
      </c>
      <c r="E339" s="45" t="s">
        <v>162</v>
      </c>
      <c r="F339" s="48">
        <v>1</v>
      </c>
      <c r="G339" s="100">
        <v>0</v>
      </c>
      <c r="H339" s="100">
        <v>0</v>
      </c>
      <c r="I339" s="100">
        <v>1</v>
      </c>
      <c r="J339" s="100">
        <v>0</v>
      </c>
      <c r="K339" s="100">
        <v>0</v>
      </c>
      <c r="L339" s="100">
        <v>0</v>
      </c>
      <c r="M339" s="100">
        <v>0</v>
      </c>
      <c r="N339" s="100">
        <v>0</v>
      </c>
      <c r="O339" s="100">
        <v>0</v>
      </c>
      <c r="P339" s="100">
        <v>0</v>
      </c>
      <c r="Q339" s="100">
        <v>0</v>
      </c>
      <c r="R339" s="100">
        <v>0</v>
      </c>
      <c r="S339" s="100">
        <v>0</v>
      </c>
      <c r="T339" s="100">
        <v>0</v>
      </c>
      <c r="U339" s="100">
        <v>0</v>
      </c>
      <c r="V339" s="100">
        <v>0</v>
      </c>
      <c r="W339" s="100">
        <v>0</v>
      </c>
      <c r="X339" s="45" t="s">
        <v>237</v>
      </c>
      <c r="Y339" s="53">
        <v>55</v>
      </c>
      <c r="Z339" s="45">
        <v>130</v>
      </c>
      <c r="AA339" s="45">
        <v>0</v>
      </c>
      <c r="AB339" s="45">
        <v>0</v>
      </c>
      <c r="AC339" s="45">
        <v>0</v>
      </c>
      <c r="AD339" s="45">
        <v>0</v>
      </c>
      <c r="AE339" s="45">
        <v>0</v>
      </c>
      <c r="AF339" s="45">
        <v>0</v>
      </c>
      <c r="AG339" s="45">
        <v>0</v>
      </c>
      <c r="AH339" s="45">
        <v>0</v>
      </c>
      <c r="AI339" s="45">
        <v>0</v>
      </c>
      <c r="AJ339" s="45">
        <v>0</v>
      </c>
      <c r="AK339" s="45">
        <v>0</v>
      </c>
      <c r="AL339" s="45">
        <v>0</v>
      </c>
      <c r="AM339" s="45">
        <v>0</v>
      </c>
      <c r="AN339" s="45">
        <v>0</v>
      </c>
      <c r="AO339" s="45"/>
      <c r="AP339" s="45"/>
      <c r="AQ339" s="45"/>
      <c r="AR339" s="45"/>
      <c r="AS339" s="45"/>
      <c r="AT339" s="45"/>
      <c r="AU339" s="45"/>
      <c r="AV339" s="45"/>
      <c r="AW339" s="45"/>
      <c r="AX339" s="45"/>
      <c r="AY339" s="45"/>
      <c r="AZ339" s="45"/>
      <c r="BA339" s="45"/>
      <c r="BB339" s="45"/>
      <c r="BC339" s="45"/>
      <c r="BD339" s="93"/>
      <c r="BE339" s="93"/>
      <c r="BF339" s="93"/>
      <c r="BG339" s="93"/>
      <c r="BH339" s="93"/>
      <c r="BI339" s="93"/>
      <c r="BJ339" s="93"/>
      <c r="BK339" s="93">
        <f>SUM($Z339:AD339)-SUM($CM339:CQ339)</f>
        <v>122</v>
      </c>
      <c r="BL339" s="93">
        <f>SUM($Z339:AE339)-SUM($CM339:CR339)</f>
        <v>114</v>
      </c>
      <c r="BM339" s="93">
        <f>SUM($Z339:AF339)-SUM($CM339:CS339)</f>
        <v>106</v>
      </c>
      <c r="BN339" s="93">
        <f>SUM($Z339:AG339)-SUM($CM339:CT339)</f>
        <v>98</v>
      </c>
      <c r="BO339" s="93">
        <f>SUM($Z339:AH339)-SUM($CM339:CU339)</f>
        <v>90</v>
      </c>
      <c r="BP339" s="93">
        <f>SUM($Z339:AI339)-SUM($CM339:CV339)</f>
        <v>82</v>
      </c>
      <c r="BQ339" s="93">
        <f>SUM($Z339:AJ339)-SUM($CM339:CW339)</f>
        <v>74</v>
      </c>
      <c r="BR339" s="93">
        <f>SUM($Z339:AK339)-SUM($CM339:CX339)</f>
        <v>66</v>
      </c>
      <c r="BS339" s="93">
        <f>SUM($Z339:AL339)-SUM($CM339:CY339)</f>
        <v>58</v>
      </c>
      <c r="BT339" s="93">
        <f>SUM($Z339:AM339)-SUM($CM339:CZ339)</f>
        <v>50</v>
      </c>
      <c r="BU339" s="93">
        <f>SUM($Z339:AN339)-SUM($CM339:DA339)</f>
        <v>42</v>
      </c>
      <c r="BV339" s="93">
        <f>SUM($Z339:AO339)-SUM($CM339:DB339)</f>
        <v>34</v>
      </c>
      <c r="BW339" s="93">
        <f>SUM($Z339:AP339)-SUM($CM339:DC339)</f>
        <v>28</v>
      </c>
      <c r="BX339" s="93">
        <f>SUM($Z339:AQ339)-SUM($CM339:DD339)</f>
        <v>28</v>
      </c>
      <c r="BY339" s="93">
        <f>SUM($Z339:AR339)-SUM($CM339:DE339)</f>
        <v>28</v>
      </c>
      <c r="BZ339" s="93">
        <f>SUM($Z339:AS339)-SUM($CM339:DF339)</f>
        <v>28</v>
      </c>
      <c r="CA339" s="93">
        <f>SUM($Z339:AT339)-SUM($CM339:DG339)</f>
        <v>28</v>
      </c>
      <c r="CB339" s="93">
        <f>SUM($Z339:AU339)-SUM($CM339:DH339)</f>
        <v>28</v>
      </c>
      <c r="CC339" s="93">
        <f>SUM($Z339:AV339)-SUM($CM339:DI339)</f>
        <v>28</v>
      </c>
      <c r="CD339" s="93">
        <f>SUM($Z339:AW339)-SUM($CM339:DJ339)</f>
        <v>28</v>
      </c>
      <c r="CE339" s="93">
        <f>SUM($Z339:AX339)-SUM($CM339:DK339)</f>
        <v>28</v>
      </c>
      <c r="CF339" s="93">
        <f>SUM($Z339:AY339)-SUM($CM339:DL339)</f>
        <v>28</v>
      </c>
      <c r="CG339" s="93">
        <f>SUM($Z339:AZ339)-SUM($CM339:DM339)</f>
        <v>28</v>
      </c>
      <c r="CH339" s="93">
        <f>SUM($Z339:BA339)-SUM($CM339:DN339)</f>
        <v>28</v>
      </c>
      <c r="CI339" s="93">
        <f>SUM($Z339:BB339)-SUM($CM339:DO339)</f>
        <v>28</v>
      </c>
      <c r="CJ339" s="93"/>
      <c r="CK339" s="93"/>
      <c r="CL339" s="93"/>
      <c r="CM339" s="93"/>
      <c r="CN339" s="93" cm="1">
        <f t="array" ref="CN339">SUMPRODUCT(TRANSPOSE(CN$4:CN$20),$G339:$W339)</f>
        <v>0</v>
      </c>
      <c r="CO339" s="93" cm="1">
        <f t="array" ref="CO339">SUMPRODUCT(TRANSPOSE(CO$4:CO$20),$G339:$W339)</f>
        <v>0</v>
      </c>
      <c r="CP339" s="93" cm="1">
        <f t="array" ref="CP339">SUMPRODUCT(TRANSPOSE(CP$4:CP$20),$G339:$W339)</f>
        <v>0</v>
      </c>
      <c r="CQ339" s="93" cm="1">
        <f t="array" ref="CQ339">SUMPRODUCT(TRANSPOSE(CQ$4:CQ$20),$G339:$W339)</f>
        <v>8</v>
      </c>
      <c r="CR339" s="93" cm="1">
        <f t="array" ref="CR339">SUMPRODUCT(TRANSPOSE(CR$4:CR$20),$G339:$W339)</f>
        <v>8</v>
      </c>
      <c r="CS339" s="93" cm="1">
        <f t="array" ref="CS339">SUMPRODUCT(TRANSPOSE(CS$4:CS$20),$G339:$W339)</f>
        <v>8</v>
      </c>
      <c r="CT339" s="93" cm="1">
        <f t="array" ref="CT339">SUMPRODUCT(TRANSPOSE(CT$4:CT$20),$G339:$W339)</f>
        <v>8</v>
      </c>
      <c r="CU339" s="93" cm="1">
        <f t="array" ref="CU339">SUMPRODUCT(TRANSPOSE(CU$4:CU$20),$G339:$W339)</f>
        <v>8</v>
      </c>
      <c r="CV339" s="93" cm="1">
        <f t="array" ref="CV339">SUMPRODUCT(TRANSPOSE(CV$4:CV$20),$G339:$W339)</f>
        <v>8</v>
      </c>
      <c r="CW339" s="93" cm="1">
        <f t="array" ref="CW339">SUMPRODUCT(TRANSPOSE(CW$4:CW$20),$G339:$W339)</f>
        <v>8</v>
      </c>
      <c r="CX339" s="93" cm="1">
        <f t="array" ref="CX339">SUMPRODUCT(TRANSPOSE(CX$4:CX$20),$G339:$W339)</f>
        <v>8</v>
      </c>
      <c r="CY339" s="93" cm="1">
        <f t="array" ref="CY339">SUMPRODUCT(TRANSPOSE(CY$4:CY$20),$G339:$W339)</f>
        <v>8</v>
      </c>
      <c r="CZ339" s="93" cm="1">
        <f t="array" ref="CZ339">SUMPRODUCT(TRANSPOSE(CZ$4:CZ$20),$G339:$W339)</f>
        <v>8</v>
      </c>
      <c r="DA339" s="93" cm="1">
        <f t="array" ref="DA339">SUMPRODUCT(TRANSPOSE(DA$4:DA$20),$G339:$W339)</f>
        <v>8</v>
      </c>
      <c r="DB339" s="93" cm="1">
        <f t="array" ref="DB339">SUMPRODUCT(TRANSPOSE(DB$4:DB$20),$G339:$W339)</f>
        <v>8</v>
      </c>
      <c r="DC339" s="93" cm="1">
        <f t="array" ref="DC339">SUMPRODUCT(TRANSPOSE(DC$4:DC$20),$G339:$W339)</f>
        <v>6</v>
      </c>
      <c r="DD339" s="93" cm="1">
        <f t="array" ref="DD339">SUMPRODUCT(TRANSPOSE(DD$4:DD$20),$G339:$W339)</f>
        <v>0</v>
      </c>
      <c r="DE339" s="93" cm="1">
        <f t="array" ref="DE339">SUMPRODUCT(TRANSPOSE(DE$4:DE$20),$G339:$W339)</f>
        <v>0</v>
      </c>
      <c r="DF339" s="93" cm="1">
        <f t="array" ref="DF339">SUMPRODUCT(TRANSPOSE(DF$4:DF$20),$G339:$W339)</f>
        <v>0</v>
      </c>
      <c r="DG339" s="93" cm="1">
        <f t="array" ref="DG339">SUMPRODUCT(TRANSPOSE(DG$4:DG$20),$G339:$W339)</f>
        <v>0</v>
      </c>
      <c r="DH339" s="93" cm="1">
        <f t="array" ref="DH339">SUMPRODUCT(TRANSPOSE(DH$4:DH$20),$G339:$W339)</f>
        <v>0</v>
      </c>
      <c r="DI339" s="93" cm="1">
        <f t="array" ref="DI339">SUMPRODUCT(TRANSPOSE(DI$4:DI$20),$G339:$W339)</f>
        <v>0</v>
      </c>
      <c r="DJ339" s="93" cm="1">
        <f t="array" ref="DJ339">SUMPRODUCT(TRANSPOSE(DJ$4:DJ$20),$G339:$W339)</f>
        <v>0</v>
      </c>
      <c r="DK339" s="93" cm="1">
        <f t="array" ref="DK339">SUMPRODUCT(TRANSPOSE(DK$4:DK$20),$G339:$W339)</f>
        <v>0</v>
      </c>
      <c r="DL339" s="93" cm="1">
        <f t="array" ref="DL339">SUMPRODUCT(TRANSPOSE(DL$4:DL$20),$G339:$W339)</f>
        <v>0</v>
      </c>
      <c r="DM339" s="93" cm="1">
        <f t="array" ref="DM339">SUMPRODUCT(TRANSPOSE(DM$4:DM$20),$G339:$W339)</f>
        <v>0</v>
      </c>
      <c r="DN339" s="93" cm="1">
        <f t="array" ref="DN339">SUMPRODUCT(TRANSPOSE(DN$4:DN$20),$G339:$W339)</f>
        <v>0</v>
      </c>
      <c r="DO339" s="93" cm="1">
        <f t="array" ref="DO339">SUMPRODUCT(TRANSPOSE(DO$4:DO$20),$G339:$W339)</f>
        <v>0</v>
      </c>
    </row>
    <row r="340" spans="1:119" x14ac:dyDescent="0.2">
      <c r="A340" s="45">
        <f t="shared" si="30"/>
        <v>319</v>
      </c>
      <c r="B340" s="64" t="s">
        <v>757</v>
      </c>
      <c r="C340" s="45">
        <v>412240974</v>
      </c>
      <c r="D340" s="45" t="s">
        <v>758</v>
      </c>
      <c r="E340" s="45" t="s">
        <v>162</v>
      </c>
      <c r="F340" s="48">
        <v>1</v>
      </c>
      <c r="G340" s="100">
        <v>0</v>
      </c>
      <c r="H340" s="100">
        <v>0</v>
      </c>
      <c r="I340" s="100">
        <v>1</v>
      </c>
      <c r="J340" s="100">
        <v>0</v>
      </c>
      <c r="K340" s="100">
        <v>0</v>
      </c>
      <c r="L340" s="100">
        <v>0</v>
      </c>
      <c r="M340" s="100">
        <v>0</v>
      </c>
      <c r="N340" s="100">
        <v>0</v>
      </c>
      <c r="O340" s="100">
        <v>0</v>
      </c>
      <c r="P340" s="100">
        <v>0</v>
      </c>
      <c r="Q340" s="100">
        <v>0</v>
      </c>
      <c r="R340" s="100">
        <v>0</v>
      </c>
      <c r="S340" s="100">
        <v>0</v>
      </c>
      <c r="T340" s="100">
        <v>0</v>
      </c>
      <c r="U340" s="100">
        <v>0</v>
      </c>
      <c r="V340" s="100">
        <v>0</v>
      </c>
      <c r="W340" s="100">
        <v>0</v>
      </c>
      <c r="X340" s="45" t="s">
        <v>237</v>
      </c>
      <c r="Y340" s="49">
        <v>55</v>
      </c>
      <c r="Z340" s="45">
        <v>130</v>
      </c>
      <c r="AA340" s="45">
        <v>0</v>
      </c>
      <c r="AB340" s="45">
        <v>0</v>
      </c>
      <c r="AC340" s="45">
        <v>0</v>
      </c>
      <c r="AD340" s="45">
        <v>0</v>
      </c>
      <c r="AE340" s="45">
        <v>0</v>
      </c>
      <c r="AF340" s="45">
        <v>0</v>
      </c>
      <c r="AG340" s="45">
        <v>0</v>
      </c>
      <c r="AH340" s="45">
        <v>0</v>
      </c>
      <c r="AI340" s="45">
        <v>0</v>
      </c>
      <c r="AJ340" s="45">
        <v>0</v>
      </c>
      <c r="AK340" s="45">
        <v>0</v>
      </c>
      <c r="AL340" s="45">
        <v>0</v>
      </c>
      <c r="AM340" s="45">
        <v>0</v>
      </c>
      <c r="AN340" s="45">
        <v>0</v>
      </c>
      <c r="AO340" s="45"/>
      <c r="AP340" s="45"/>
      <c r="AQ340" s="45"/>
      <c r="AR340" s="45"/>
      <c r="AS340" s="45"/>
      <c r="AT340" s="45"/>
      <c r="AU340" s="45"/>
      <c r="AV340" s="45"/>
      <c r="AW340" s="45"/>
      <c r="AX340" s="45"/>
      <c r="AY340" s="45"/>
      <c r="AZ340" s="45"/>
      <c r="BA340" s="45"/>
      <c r="BB340" s="45"/>
      <c r="BC340" s="45"/>
      <c r="BD340" s="93"/>
      <c r="BE340" s="93"/>
      <c r="BF340" s="93"/>
      <c r="BG340" s="93"/>
      <c r="BH340" s="93"/>
      <c r="BI340" s="93"/>
      <c r="BJ340" s="93"/>
      <c r="BK340" s="93">
        <f>SUM($Z340:AD340)-SUM($CM340:CQ340)</f>
        <v>122</v>
      </c>
      <c r="BL340" s="93">
        <f>SUM($Z340:AE340)-SUM($CM340:CR340)</f>
        <v>114</v>
      </c>
      <c r="BM340" s="93">
        <f>SUM($Z340:AF340)-SUM($CM340:CS340)</f>
        <v>106</v>
      </c>
      <c r="BN340" s="93">
        <f>SUM($Z340:AG340)-SUM($CM340:CT340)</f>
        <v>98</v>
      </c>
      <c r="BO340" s="93">
        <f>SUM($Z340:AH340)-SUM($CM340:CU340)</f>
        <v>90</v>
      </c>
      <c r="BP340" s="93">
        <f>SUM($Z340:AI340)-SUM($CM340:CV340)</f>
        <v>82</v>
      </c>
      <c r="BQ340" s="93">
        <f>SUM($Z340:AJ340)-SUM($CM340:CW340)</f>
        <v>74</v>
      </c>
      <c r="BR340" s="93">
        <f>SUM($Z340:AK340)-SUM($CM340:CX340)</f>
        <v>66</v>
      </c>
      <c r="BS340" s="93">
        <f>SUM($Z340:AL340)-SUM($CM340:CY340)</f>
        <v>58</v>
      </c>
      <c r="BT340" s="93">
        <f>SUM($Z340:AM340)-SUM($CM340:CZ340)</f>
        <v>50</v>
      </c>
      <c r="BU340" s="93">
        <f>SUM($Z340:AN340)-SUM($CM340:DA340)</f>
        <v>42</v>
      </c>
      <c r="BV340" s="93">
        <f>SUM($Z340:AO340)-SUM($CM340:DB340)</f>
        <v>34</v>
      </c>
      <c r="BW340" s="93">
        <f>SUM($Z340:AP340)-SUM($CM340:DC340)</f>
        <v>28</v>
      </c>
      <c r="BX340" s="93">
        <f>SUM($Z340:AQ340)-SUM($CM340:DD340)</f>
        <v>28</v>
      </c>
      <c r="BY340" s="93">
        <f>SUM($Z340:AR340)-SUM($CM340:DE340)</f>
        <v>28</v>
      </c>
      <c r="BZ340" s="93">
        <f>SUM($Z340:AS340)-SUM($CM340:DF340)</f>
        <v>28</v>
      </c>
      <c r="CA340" s="93">
        <f>SUM($Z340:AT340)-SUM($CM340:DG340)</f>
        <v>28</v>
      </c>
      <c r="CB340" s="93">
        <f>SUM($Z340:AU340)-SUM($CM340:DH340)</f>
        <v>28</v>
      </c>
      <c r="CC340" s="93">
        <f>SUM($Z340:AV340)-SUM($CM340:DI340)</f>
        <v>28</v>
      </c>
      <c r="CD340" s="93">
        <f>SUM($Z340:AW340)-SUM($CM340:DJ340)</f>
        <v>28</v>
      </c>
      <c r="CE340" s="93">
        <f>SUM($Z340:AX340)-SUM($CM340:DK340)</f>
        <v>28</v>
      </c>
      <c r="CF340" s="93">
        <f>SUM($Z340:AY340)-SUM($CM340:DL340)</f>
        <v>28</v>
      </c>
      <c r="CG340" s="93">
        <f>SUM($Z340:AZ340)-SUM($CM340:DM340)</f>
        <v>28</v>
      </c>
      <c r="CH340" s="93">
        <f>SUM($Z340:BA340)-SUM($CM340:DN340)</f>
        <v>28</v>
      </c>
      <c r="CI340" s="93">
        <f>SUM($Z340:BB340)-SUM($CM340:DO340)</f>
        <v>28</v>
      </c>
      <c r="CJ340" s="93"/>
      <c r="CK340" s="93"/>
      <c r="CL340" s="93"/>
      <c r="CM340" s="93"/>
      <c r="CN340" s="93" cm="1">
        <f t="array" ref="CN340">SUMPRODUCT(TRANSPOSE(CN$4:CN$20),$G340:$W340)</f>
        <v>0</v>
      </c>
      <c r="CO340" s="93" cm="1">
        <f t="array" ref="CO340">SUMPRODUCT(TRANSPOSE(CO$4:CO$20),$G340:$W340)</f>
        <v>0</v>
      </c>
      <c r="CP340" s="93" cm="1">
        <f t="array" ref="CP340">SUMPRODUCT(TRANSPOSE(CP$4:CP$20),$G340:$W340)</f>
        <v>0</v>
      </c>
      <c r="CQ340" s="93" cm="1">
        <f t="array" ref="CQ340">SUMPRODUCT(TRANSPOSE(CQ$4:CQ$20),$G340:$W340)</f>
        <v>8</v>
      </c>
      <c r="CR340" s="93" cm="1">
        <f t="array" ref="CR340">SUMPRODUCT(TRANSPOSE(CR$4:CR$20),$G340:$W340)</f>
        <v>8</v>
      </c>
      <c r="CS340" s="93" cm="1">
        <f t="array" ref="CS340">SUMPRODUCT(TRANSPOSE(CS$4:CS$20),$G340:$W340)</f>
        <v>8</v>
      </c>
      <c r="CT340" s="93" cm="1">
        <f t="array" ref="CT340">SUMPRODUCT(TRANSPOSE(CT$4:CT$20),$G340:$W340)</f>
        <v>8</v>
      </c>
      <c r="CU340" s="93" cm="1">
        <f t="array" ref="CU340">SUMPRODUCT(TRANSPOSE(CU$4:CU$20),$G340:$W340)</f>
        <v>8</v>
      </c>
      <c r="CV340" s="93" cm="1">
        <f t="array" ref="CV340">SUMPRODUCT(TRANSPOSE(CV$4:CV$20),$G340:$W340)</f>
        <v>8</v>
      </c>
      <c r="CW340" s="93" cm="1">
        <f t="array" ref="CW340">SUMPRODUCT(TRANSPOSE(CW$4:CW$20),$G340:$W340)</f>
        <v>8</v>
      </c>
      <c r="CX340" s="93" cm="1">
        <f t="array" ref="CX340">SUMPRODUCT(TRANSPOSE(CX$4:CX$20),$G340:$W340)</f>
        <v>8</v>
      </c>
      <c r="CY340" s="93" cm="1">
        <f t="array" ref="CY340">SUMPRODUCT(TRANSPOSE(CY$4:CY$20),$G340:$W340)</f>
        <v>8</v>
      </c>
      <c r="CZ340" s="93" cm="1">
        <f t="array" ref="CZ340">SUMPRODUCT(TRANSPOSE(CZ$4:CZ$20),$G340:$W340)</f>
        <v>8</v>
      </c>
      <c r="DA340" s="93" cm="1">
        <f t="array" ref="DA340">SUMPRODUCT(TRANSPOSE(DA$4:DA$20),$G340:$W340)</f>
        <v>8</v>
      </c>
      <c r="DB340" s="93" cm="1">
        <f t="array" ref="DB340">SUMPRODUCT(TRANSPOSE(DB$4:DB$20),$G340:$W340)</f>
        <v>8</v>
      </c>
      <c r="DC340" s="93" cm="1">
        <f t="array" ref="DC340">SUMPRODUCT(TRANSPOSE(DC$4:DC$20),$G340:$W340)</f>
        <v>6</v>
      </c>
      <c r="DD340" s="93" cm="1">
        <f t="array" ref="DD340">SUMPRODUCT(TRANSPOSE(DD$4:DD$20),$G340:$W340)</f>
        <v>0</v>
      </c>
      <c r="DE340" s="93" cm="1">
        <f t="array" ref="DE340">SUMPRODUCT(TRANSPOSE(DE$4:DE$20),$G340:$W340)</f>
        <v>0</v>
      </c>
      <c r="DF340" s="93" cm="1">
        <f t="array" ref="DF340">SUMPRODUCT(TRANSPOSE(DF$4:DF$20),$G340:$W340)</f>
        <v>0</v>
      </c>
      <c r="DG340" s="93" cm="1">
        <f t="array" ref="DG340">SUMPRODUCT(TRANSPOSE(DG$4:DG$20),$G340:$W340)</f>
        <v>0</v>
      </c>
      <c r="DH340" s="93" cm="1">
        <f t="array" ref="DH340">SUMPRODUCT(TRANSPOSE(DH$4:DH$20),$G340:$W340)</f>
        <v>0</v>
      </c>
      <c r="DI340" s="93" cm="1">
        <f t="array" ref="DI340">SUMPRODUCT(TRANSPOSE(DI$4:DI$20),$G340:$W340)</f>
        <v>0</v>
      </c>
      <c r="DJ340" s="93" cm="1">
        <f t="array" ref="DJ340">SUMPRODUCT(TRANSPOSE(DJ$4:DJ$20),$G340:$W340)</f>
        <v>0</v>
      </c>
      <c r="DK340" s="93" cm="1">
        <f t="array" ref="DK340">SUMPRODUCT(TRANSPOSE(DK$4:DK$20),$G340:$W340)</f>
        <v>0</v>
      </c>
      <c r="DL340" s="93" cm="1">
        <f t="array" ref="DL340">SUMPRODUCT(TRANSPOSE(DL$4:DL$20),$G340:$W340)</f>
        <v>0</v>
      </c>
      <c r="DM340" s="93" cm="1">
        <f t="array" ref="DM340">SUMPRODUCT(TRANSPOSE(DM$4:DM$20),$G340:$W340)</f>
        <v>0</v>
      </c>
      <c r="DN340" s="93" cm="1">
        <f t="array" ref="DN340">SUMPRODUCT(TRANSPOSE(DN$4:DN$20),$G340:$W340)</f>
        <v>0</v>
      </c>
      <c r="DO340" s="93" cm="1">
        <f t="array" ref="DO340">SUMPRODUCT(TRANSPOSE(DO$4:DO$20),$G340:$W340)</f>
        <v>0</v>
      </c>
    </row>
    <row r="341" spans="1:119" x14ac:dyDescent="0.2">
      <c r="A341" s="45">
        <f t="shared" si="30"/>
        <v>320</v>
      </c>
      <c r="B341" s="64" t="s">
        <v>759</v>
      </c>
      <c r="C341" s="45">
        <v>412240975</v>
      </c>
      <c r="D341" s="45" t="s">
        <v>760</v>
      </c>
      <c r="E341" s="45" t="s">
        <v>162</v>
      </c>
      <c r="F341" s="48">
        <v>1</v>
      </c>
      <c r="G341" s="100">
        <v>0</v>
      </c>
      <c r="H341" s="100">
        <v>0</v>
      </c>
      <c r="I341" s="100">
        <v>1</v>
      </c>
      <c r="J341" s="100">
        <v>0</v>
      </c>
      <c r="K341" s="100">
        <v>0</v>
      </c>
      <c r="L341" s="100">
        <v>0</v>
      </c>
      <c r="M341" s="100">
        <v>0</v>
      </c>
      <c r="N341" s="100">
        <v>0</v>
      </c>
      <c r="O341" s="100">
        <v>0</v>
      </c>
      <c r="P341" s="100">
        <v>0</v>
      </c>
      <c r="Q341" s="100">
        <v>0</v>
      </c>
      <c r="R341" s="100">
        <v>0</v>
      </c>
      <c r="S341" s="100">
        <v>0</v>
      </c>
      <c r="T341" s="100">
        <v>0</v>
      </c>
      <c r="U341" s="100">
        <v>0</v>
      </c>
      <c r="V341" s="100">
        <v>0</v>
      </c>
      <c r="W341" s="100">
        <v>0</v>
      </c>
      <c r="X341" s="45" t="s">
        <v>237</v>
      </c>
      <c r="Y341" s="49">
        <v>55</v>
      </c>
      <c r="Z341" s="45">
        <v>130</v>
      </c>
      <c r="AA341" s="45">
        <v>0</v>
      </c>
      <c r="AB341" s="45">
        <v>0</v>
      </c>
      <c r="AC341" s="45">
        <v>0</v>
      </c>
      <c r="AD341" s="45">
        <v>0</v>
      </c>
      <c r="AE341" s="45">
        <v>0</v>
      </c>
      <c r="AF341" s="45">
        <v>0</v>
      </c>
      <c r="AG341" s="45">
        <v>0</v>
      </c>
      <c r="AH341" s="45">
        <v>0</v>
      </c>
      <c r="AI341" s="45">
        <v>0</v>
      </c>
      <c r="AJ341" s="45">
        <v>0</v>
      </c>
      <c r="AK341" s="45">
        <v>0</v>
      </c>
      <c r="AL341" s="45">
        <v>0</v>
      </c>
      <c r="AM341" s="45">
        <v>0</v>
      </c>
      <c r="AN341" s="45">
        <v>0</v>
      </c>
      <c r="AO341" s="45"/>
      <c r="AP341" s="45"/>
      <c r="AQ341" s="45"/>
      <c r="AR341" s="45"/>
      <c r="AS341" s="45"/>
      <c r="AT341" s="45"/>
      <c r="AU341" s="45"/>
      <c r="AV341" s="45"/>
      <c r="AW341" s="45"/>
      <c r="AX341" s="45"/>
      <c r="AY341" s="45"/>
      <c r="AZ341" s="45"/>
      <c r="BA341" s="45"/>
      <c r="BB341" s="45"/>
      <c r="BC341" s="45"/>
      <c r="BD341" s="93"/>
      <c r="BE341" s="93"/>
      <c r="BF341" s="93"/>
      <c r="BG341" s="93"/>
      <c r="BH341" s="93"/>
      <c r="BI341" s="93"/>
      <c r="BJ341" s="93"/>
      <c r="BK341" s="93">
        <f>SUM($Z341:AD341)-SUM($CM341:CQ341)</f>
        <v>122</v>
      </c>
      <c r="BL341" s="93">
        <f>SUM($Z341:AE341)-SUM($CM341:CR341)</f>
        <v>114</v>
      </c>
      <c r="BM341" s="93">
        <f>SUM($Z341:AF341)-SUM($CM341:CS341)</f>
        <v>106</v>
      </c>
      <c r="BN341" s="93">
        <f>SUM($Z341:AG341)-SUM($CM341:CT341)</f>
        <v>98</v>
      </c>
      <c r="BO341" s="93">
        <f>SUM($Z341:AH341)-SUM($CM341:CU341)</f>
        <v>90</v>
      </c>
      <c r="BP341" s="93">
        <f>SUM($Z341:AI341)-SUM($CM341:CV341)</f>
        <v>82</v>
      </c>
      <c r="BQ341" s="93">
        <f>SUM($Z341:AJ341)-SUM($CM341:CW341)</f>
        <v>74</v>
      </c>
      <c r="BR341" s="93">
        <f>SUM($Z341:AK341)-SUM($CM341:CX341)</f>
        <v>66</v>
      </c>
      <c r="BS341" s="93">
        <f>SUM($Z341:AL341)-SUM($CM341:CY341)</f>
        <v>58</v>
      </c>
      <c r="BT341" s="93">
        <f>SUM($Z341:AM341)-SUM($CM341:CZ341)</f>
        <v>50</v>
      </c>
      <c r="BU341" s="93">
        <f>SUM($Z341:AN341)-SUM($CM341:DA341)</f>
        <v>42</v>
      </c>
      <c r="BV341" s="93">
        <f>SUM($Z341:AO341)-SUM($CM341:DB341)</f>
        <v>34</v>
      </c>
      <c r="BW341" s="93">
        <f>SUM($Z341:AP341)-SUM($CM341:DC341)</f>
        <v>28</v>
      </c>
      <c r="BX341" s="93">
        <f>SUM($Z341:AQ341)-SUM($CM341:DD341)</f>
        <v>28</v>
      </c>
      <c r="BY341" s="93">
        <f>SUM($Z341:AR341)-SUM($CM341:DE341)</f>
        <v>28</v>
      </c>
      <c r="BZ341" s="93">
        <f>SUM($Z341:AS341)-SUM($CM341:DF341)</f>
        <v>28</v>
      </c>
      <c r="CA341" s="93">
        <f>SUM($Z341:AT341)-SUM($CM341:DG341)</f>
        <v>28</v>
      </c>
      <c r="CB341" s="93">
        <f>SUM($Z341:AU341)-SUM($CM341:DH341)</f>
        <v>28</v>
      </c>
      <c r="CC341" s="93">
        <f>SUM($Z341:AV341)-SUM($CM341:DI341)</f>
        <v>28</v>
      </c>
      <c r="CD341" s="93">
        <f>SUM($Z341:AW341)-SUM($CM341:DJ341)</f>
        <v>28</v>
      </c>
      <c r="CE341" s="93">
        <f>SUM($Z341:AX341)-SUM($CM341:DK341)</f>
        <v>28</v>
      </c>
      <c r="CF341" s="93">
        <f>SUM($Z341:AY341)-SUM($CM341:DL341)</f>
        <v>28</v>
      </c>
      <c r="CG341" s="93">
        <f>SUM($Z341:AZ341)-SUM($CM341:DM341)</f>
        <v>28</v>
      </c>
      <c r="CH341" s="93">
        <f>SUM($Z341:BA341)-SUM($CM341:DN341)</f>
        <v>28</v>
      </c>
      <c r="CI341" s="93">
        <f>SUM($Z341:BB341)-SUM($CM341:DO341)</f>
        <v>28</v>
      </c>
      <c r="CJ341" s="93"/>
      <c r="CK341" s="93"/>
      <c r="CL341" s="93"/>
      <c r="CM341" s="93"/>
      <c r="CN341" s="93" cm="1">
        <f t="array" ref="CN341">SUMPRODUCT(TRANSPOSE(CN$4:CN$20),$G341:$W341)</f>
        <v>0</v>
      </c>
      <c r="CO341" s="93" cm="1">
        <f t="array" ref="CO341">SUMPRODUCT(TRANSPOSE(CO$4:CO$20),$G341:$W341)</f>
        <v>0</v>
      </c>
      <c r="CP341" s="93" cm="1">
        <f t="array" ref="CP341">SUMPRODUCT(TRANSPOSE(CP$4:CP$20),$G341:$W341)</f>
        <v>0</v>
      </c>
      <c r="CQ341" s="93" cm="1">
        <f t="array" ref="CQ341">SUMPRODUCT(TRANSPOSE(CQ$4:CQ$20),$G341:$W341)</f>
        <v>8</v>
      </c>
      <c r="CR341" s="93" cm="1">
        <f t="array" ref="CR341">SUMPRODUCT(TRANSPOSE(CR$4:CR$20),$G341:$W341)</f>
        <v>8</v>
      </c>
      <c r="CS341" s="93" cm="1">
        <f t="array" ref="CS341">SUMPRODUCT(TRANSPOSE(CS$4:CS$20),$G341:$W341)</f>
        <v>8</v>
      </c>
      <c r="CT341" s="93" cm="1">
        <f t="array" ref="CT341">SUMPRODUCT(TRANSPOSE(CT$4:CT$20),$G341:$W341)</f>
        <v>8</v>
      </c>
      <c r="CU341" s="93" cm="1">
        <f t="array" ref="CU341">SUMPRODUCT(TRANSPOSE(CU$4:CU$20),$G341:$W341)</f>
        <v>8</v>
      </c>
      <c r="CV341" s="93" cm="1">
        <f t="array" ref="CV341">SUMPRODUCT(TRANSPOSE(CV$4:CV$20),$G341:$W341)</f>
        <v>8</v>
      </c>
      <c r="CW341" s="93" cm="1">
        <f t="array" ref="CW341">SUMPRODUCT(TRANSPOSE(CW$4:CW$20),$G341:$W341)</f>
        <v>8</v>
      </c>
      <c r="CX341" s="93" cm="1">
        <f t="array" ref="CX341">SUMPRODUCT(TRANSPOSE(CX$4:CX$20),$G341:$W341)</f>
        <v>8</v>
      </c>
      <c r="CY341" s="93" cm="1">
        <f t="array" ref="CY341">SUMPRODUCT(TRANSPOSE(CY$4:CY$20),$G341:$W341)</f>
        <v>8</v>
      </c>
      <c r="CZ341" s="93" cm="1">
        <f t="array" ref="CZ341">SUMPRODUCT(TRANSPOSE(CZ$4:CZ$20),$G341:$W341)</f>
        <v>8</v>
      </c>
      <c r="DA341" s="93" cm="1">
        <f t="array" ref="DA341">SUMPRODUCT(TRANSPOSE(DA$4:DA$20),$G341:$W341)</f>
        <v>8</v>
      </c>
      <c r="DB341" s="93" cm="1">
        <f t="array" ref="DB341">SUMPRODUCT(TRANSPOSE(DB$4:DB$20),$G341:$W341)</f>
        <v>8</v>
      </c>
      <c r="DC341" s="93" cm="1">
        <f t="array" ref="DC341">SUMPRODUCT(TRANSPOSE(DC$4:DC$20),$G341:$W341)</f>
        <v>6</v>
      </c>
      <c r="DD341" s="93" cm="1">
        <f t="array" ref="DD341">SUMPRODUCT(TRANSPOSE(DD$4:DD$20),$G341:$W341)</f>
        <v>0</v>
      </c>
      <c r="DE341" s="93" cm="1">
        <f t="array" ref="DE341">SUMPRODUCT(TRANSPOSE(DE$4:DE$20),$G341:$W341)</f>
        <v>0</v>
      </c>
      <c r="DF341" s="93" cm="1">
        <f t="array" ref="DF341">SUMPRODUCT(TRANSPOSE(DF$4:DF$20),$G341:$W341)</f>
        <v>0</v>
      </c>
      <c r="DG341" s="93" cm="1">
        <f t="array" ref="DG341">SUMPRODUCT(TRANSPOSE(DG$4:DG$20),$G341:$W341)</f>
        <v>0</v>
      </c>
      <c r="DH341" s="93" cm="1">
        <f t="array" ref="DH341">SUMPRODUCT(TRANSPOSE(DH$4:DH$20),$G341:$W341)</f>
        <v>0</v>
      </c>
      <c r="DI341" s="93" cm="1">
        <f t="array" ref="DI341">SUMPRODUCT(TRANSPOSE(DI$4:DI$20),$G341:$W341)</f>
        <v>0</v>
      </c>
      <c r="DJ341" s="93" cm="1">
        <f t="array" ref="DJ341">SUMPRODUCT(TRANSPOSE(DJ$4:DJ$20),$G341:$W341)</f>
        <v>0</v>
      </c>
      <c r="DK341" s="93" cm="1">
        <f t="array" ref="DK341">SUMPRODUCT(TRANSPOSE(DK$4:DK$20),$G341:$W341)</f>
        <v>0</v>
      </c>
      <c r="DL341" s="93" cm="1">
        <f t="array" ref="DL341">SUMPRODUCT(TRANSPOSE(DL$4:DL$20),$G341:$W341)</f>
        <v>0</v>
      </c>
      <c r="DM341" s="93" cm="1">
        <f t="array" ref="DM341">SUMPRODUCT(TRANSPOSE(DM$4:DM$20),$G341:$W341)</f>
        <v>0</v>
      </c>
      <c r="DN341" s="93" cm="1">
        <f t="array" ref="DN341">SUMPRODUCT(TRANSPOSE(DN$4:DN$20),$G341:$W341)</f>
        <v>0</v>
      </c>
      <c r="DO341" s="93" cm="1">
        <f t="array" ref="DO341">SUMPRODUCT(TRANSPOSE(DO$4:DO$20),$G341:$W341)</f>
        <v>0</v>
      </c>
    </row>
    <row r="342" spans="1:119" x14ac:dyDescent="0.2">
      <c r="A342" s="45">
        <f t="shared" si="30"/>
        <v>321</v>
      </c>
      <c r="B342" s="64" t="s">
        <v>761</v>
      </c>
      <c r="C342" s="45">
        <v>412240980</v>
      </c>
      <c r="D342" s="45" t="s">
        <v>762</v>
      </c>
      <c r="E342" s="45" t="s">
        <v>162</v>
      </c>
      <c r="F342" s="48">
        <v>1</v>
      </c>
      <c r="G342" s="100">
        <v>0</v>
      </c>
      <c r="H342" s="100">
        <v>0</v>
      </c>
      <c r="I342" s="100">
        <v>0</v>
      </c>
      <c r="J342" s="100">
        <v>0</v>
      </c>
      <c r="K342" s="100">
        <v>1</v>
      </c>
      <c r="L342" s="100">
        <v>0</v>
      </c>
      <c r="M342" s="100">
        <v>0</v>
      </c>
      <c r="N342" s="100">
        <v>0</v>
      </c>
      <c r="O342" s="100">
        <v>0</v>
      </c>
      <c r="P342" s="100">
        <v>0</v>
      </c>
      <c r="Q342" s="100">
        <v>0</v>
      </c>
      <c r="R342" s="100">
        <v>0</v>
      </c>
      <c r="S342" s="100">
        <v>0</v>
      </c>
      <c r="T342" s="100">
        <v>0</v>
      </c>
      <c r="U342" s="100">
        <v>0</v>
      </c>
      <c r="V342" s="100">
        <v>0</v>
      </c>
      <c r="W342" s="100">
        <v>0</v>
      </c>
      <c r="X342" s="45" t="s">
        <v>237</v>
      </c>
      <c r="Y342" s="49">
        <v>55</v>
      </c>
      <c r="Z342" s="45">
        <v>130</v>
      </c>
      <c r="AA342" s="45">
        <v>0</v>
      </c>
      <c r="AB342" s="45">
        <v>0</v>
      </c>
      <c r="AC342" s="45">
        <v>0</v>
      </c>
      <c r="AD342" s="45">
        <v>0</v>
      </c>
      <c r="AE342" s="45">
        <v>0</v>
      </c>
      <c r="AF342" s="45">
        <v>0</v>
      </c>
      <c r="AG342" s="45">
        <v>0</v>
      </c>
      <c r="AH342" s="45">
        <v>0</v>
      </c>
      <c r="AI342" s="45">
        <v>0</v>
      </c>
      <c r="AJ342" s="45">
        <v>0</v>
      </c>
      <c r="AK342" s="45">
        <v>0</v>
      </c>
      <c r="AL342" s="45">
        <v>0</v>
      </c>
      <c r="AM342" s="45">
        <v>0</v>
      </c>
      <c r="AN342" s="45">
        <v>0</v>
      </c>
      <c r="AO342" s="45"/>
      <c r="AP342" s="45"/>
      <c r="AQ342" s="45"/>
      <c r="AR342" s="45"/>
      <c r="AS342" s="45"/>
      <c r="AT342" s="45"/>
      <c r="AU342" s="45"/>
      <c r="AV342" s="45"/>
      <c r="AW342" s="45"/>
      <c r="AX342" s="45"/>
      <c r="AY342" s="45"/>
      <c r="AZ342" s="45"/>
      <c r="BA342" s="45"/>
      <c r="BB342" s="45"/>
      <c r="BC342" s="45"/>
      <c r="BD342" s="93"/>
      <c r="BE342" s="93"/>
      <c r="BF342" s="93"/>
      <c r="BG342" s="93"/>
      <c r="BH342" s="93"/>
      <c r="BI342" s="93"/>
      <c r="BJ342" s="93"/>
      <c r="BK342" s="93">
        <f>SUM($Z342:AD342)-SUM($CM342:CQ342)</f>
        <v>122</v>
      </c>
      <c r="BL342" s="93">
        <f>SUM($Z342:AE342)-SUM($CM342:CR342)</f>
        <v>114</v>
      </c>
      <c r="BM342" s="93">
        <f>SUM($Z342:AF342)-SUM($CM342:CS342)</f>
        <v>106</v>
      </c>
      <c r="BN342" s="93">
        <f>SUM($Z342:AG342)-SUM($CM342:CT342)</f>
        <v>98</v>
      </c>
      <c r="BO342" s="93">
        <f>SUM($Z342:AH342)-SUM($CM342:CU342)</f>
        <v>90</v>
      </c>
      <c r="BP342" s="93">
        <f>SUM($Z342:AI342)-SUM($CM342:CV342)</f>
        <v>82</v>
      </c>
      <c r="BQ342" s="93">
        <f>SUM($Z342:AJ342)-SUM($CM342:CW342)</f>
        <v>74</v>
      </c>
      <c r="BR342" s="93">
        <f>SUM($Z342:AK342)-SUM($CM342:CX342)</f>
        <v>66</v>
      </c>
      <c r="BS342" s="93">
        <f>SUM($Z342:AL342)-SUM($CM342:CY342)</f>
        <v>58</v>
      </c>
      <c r="BT342" s="93">
        <f>SUM($Z342:AM342)-SUM($CM342:CZ342)</f>
        <v>50</v>
      </c>
      <c r="BU342" s="93">
        <f>SUM($Z342:AN342)-SUM($CM342:DA342)</f>
        <v>42</v>
      </c>
      <c r="BV342" s="93">
        <f>SUM($Z342:AO342)-SUM($CM342:DB342)</f>
        <v>34</v>
      </c>
      <c r="BW342" s="93">
        <f>SUM($Z342:AP342)-SUM($CM342:DC342)</f>
        <v>28</v>
      </c>
      <c r="BX342" s="93">
        <f>SUM($Z342:AQ342)-SUM($CM342:DD342)</f>
        <v>28</v>
      </c>
      <c r="BY342" s="93">
        <f>SUM($Z342:AR342)-SUM($CM342:DE342)</f>
        <v>28</v>
      </c>
      <c r="BZ342" s="93">
        <f>SUM($Z342:AS342)-SUM($CM342:DF342)</f>
        <v>28</v>
      </c>
      <c r="CA342" s="93">
        <f>SUM($Z342:AT342)-SUM($CM342:DG342)</f>
        <v>28</v>
      </c>
      <c r="CB342" s="93">
        <f>SUM($Z342:AU342)-SUM($CM342:DH342)</f>
        <v>28</v>
      </c>
      <c r="CC342" s="93">
        <f>SUM($Z342:AV342)-SUM($CM342:DI342)</f>
        <v>28</v>
      </c>
      <c r="CD342" s="93">
        <f>SUM($Z342:AW342)-SUM($CM342:DJ342)</f>
        <v>28</v>
      </c>
      <c r="CE342" s="93">
        <f>SUM($Z342:AX342)-SUM($CM342:DK342)</f>
        <v>28</v>
      </c>
      <c r="CF342" s="93">
        <f>SUM($Z342:AY342)-SUM($CM342:DL342)</f>
        <v>28</v>
      </c>
      <c r="CG342" s="93">
        <f>SUM($Z342:AZ342)-SUM($CM342:DM342)</f>
        <v>28</v>
      </c>
      <c r="CH342" s="93">
        <f>SUM($Z342:BA342)-SUM($CM342:DN342)</f>
        <v>28</v>
      </c>
      <c r="CI342" s="93">
        <f>SUM($Z342:BB342)-SUM($CM342:DO342)</f>
        <v>28</v>
      </c>
      <c r="CJ342" s="93"/>
      <c r="CK342" s="93"/>
      <c r="CL342" s="93"/>
      <c r="CM342" s="93"/>
      <c r="CN342" s="93" cm="1">
        <f t="array" ref="CN342">SUMPRODUCT(TRANSPOSE(CN$4:CN$20),$G342:$W342)</f>
        <v>0</v>
      </c>
      <c r="CO342" s="93" cm="1">
        <f t="array" ref="CO342">SUMPRODUCT(TRANSPOSE(CO$4:CO$20),$G342:$W342)</f>
        <v>0</v>
      </c>
      <c r="CP342" s="93" cm="1">
        <f t="array" ref="CP342">SUMPRODUCT(TRANSPOSE(CP$4:CP$20),$G342:$W342)</f>
        <v>0</v>
      </c>
      <c r="CQ342" s="93" cm="1">
        <f t="array" ref="CQ342">SUMPRODUCT(TRANSPOSE(CQ$4:CQ$20),$G342:$W342)</f>
        <v>8</v>
      </c>
      <c r="CR342" s="93" cm="1">
        <f t="array" ref="CR342">SUMPRODUCT(TRANSPOSE(CR$4:CR$20),$G342:$W342)</f>
        <v>8</v>
      </c>
      <c r="CS342" s="93" cm="1">
        <f t="array" ref="CS342">SUMPRODUCT(TRANSPOSE(CS$4:CS$20),$G342:$W342)</f>
        <v>8</v>
      </c>
      <c r="CT342" s="93" cm="1">
        <f t="array" ref="CT342">SUMPRODUCT(TRANSPOSE(CT$4:CT$20),$G342:$W342)</f>
        <v>8</v>
      </c>
      <c r="CU342" s="93" cm="1">
        <f t="array" ref="CU342">SUMPRODUCT(TRANSPOSE(CU$4:CU$20),$G342:$W342)</f>
        <v>8</v>
      </c>
      <c r="CV342" s="93" cm="1">
        <f t="array" ref="CV342">SUMPRODUCT(TRANSPOSE(CV$4:CV$20),$G342:$W342)</f>
        <v>8</v>
      </c>
      <c r="CW342" s="93" cm="1">
        <f t="array" ref="CW342">SUMPRODUCT(TRANSPOSE(CW$4:CW$20),$G342:$W342)</f>
        <v>8</v>
      </c>
      <c r="CX342" s="93" cm="1">
        <f t="array" ref="CX342">SUMPRODUCT(TRANSPOSE(CX$4:CX$20),$G342:$W342)</f>
        <v>8</v>
      </c>
      <c r="CY342" s="93" cm="1">
        <f t="array" ref="CY342">SUMPRODUCT(TRANSPOSE(CY$4:CY$20),$G342:$W342)</f>
        <v>8</v>
      </c>
      <c r="CZ342" s="93" cm="1">
        <f t="array" ref="CZ342">SUMPRODUCT(TRANSPOSE(CZ$4:CZ$20),$G342:$W342)</f>
        <v>8</v>
      </c>
      <c r="DA342" s="93" cm="1">
        <f t="array" ref="DA342">SUMPRODUCT(TRANSPOSE(DA$4:DA$20),$G342:$W342)</f>
        <v>8</v>
      </c>
      <c r="DB342" s="93" cm="1">
        <f t="array" ref="DB342">SUMPRODUCT(TRANSPOSE(DB$4:DB$20),$G342:$W342)</f>
        <v>8</v>
      </c>
      <c r="DC342" s="93" cm="1">
        <f t="array" ref="DC342">SUMPRODUCT(TRANSPOSE(DC$4:DC$20),$G342:$W342)</f>
        <v>6</v>
      </c>
      <c r="DD342" s="93" cm="1">
        <f t="array" ref="DD342">SUMPRODUCT(TRANSPOSE(DD$4:DD$20),$G342:$W342)</f>
        <v>0</v>
      </c>
      <c r="DE342" s="93" cm="1">
        <f t="array" ref="DE342">SUMPRODUCT(TRANSPOSE(DE$4:DE$20),$G342:$W342)</f>
        <v>0</v>
      </c>
      <c r="DF342" s="93" cm="1">
        <f t="array" ref="DF342">SUMPRODUCT(TRANSPOSE(DF$4:DF$20),$G342:$W342)</f>
        <v>0</v>
      </c>
      <c r="DG342" s="93" cm="1">
        <f t="array" ref="DG342">SUMPRODUCT(TRANSPOSE(DG$4:DG$20),$G342:$W342)</f>
        <v>0</v>
      </c>
      <c r="DH342" s="93" cm="1">
        <f t="array" ref="DH342">SUMPRODUCT(TRANSPOSE(DH$4:DH$20),$G342:$W342)</f>
        <v>0</v>
      </c>
      <c r="DI342" s="93" cm="1">
        <f t="array" ref="DI342">SUMPRODUCT(TRANSPOSE(DI$4:DI$20),$G342:$W342)</f>
        <v>0</v>
      </c>
      <c r="DJ342" s="93" cm="1">
        <f t="array" ref="DJ342">SUMPRODUCT(TRANSPOSE(DJ$4:DJ$20),$G342:$W342)</f>
        <v>0</v>
      </c>
      <c r="DK342" s="93" cm="1">
        <f t="array" ref="DK342">SUMPRODUCT(TRANSPOSE(DK$4:DK$20),$G342:$W342)</f>
        <v>0</v>
      </c>
      <c r="DL342" s="93" cm="1">
        <f t="array" ref="DL342">SUMPRODUCT(TRANSPOSE(DL$4:DL$20),$G342:$W342)</f>
        <v>0</v>
      </c>
      <c r="DM342" s="93" cm="1">
        <f t="array" ref="DM342">SUMPRODUCT(TRANSPOSE(DM$4:DM$20),$G342:$W342)</f>
        <v>0</v>
      </c>
      <c r="DN342" s="93" cm="1">
        <f t="array" ref="DN342">SUMPRODUCT(TRANSPOSE(DN$4:DN$20),$G342:$W342)</f>
        <v>0</v>
      </c>
      <c r="DO342" s="93" cm="1">
        <f t="array" ref="DO342">SUMPRODUCT(TRANSPOSE(DO$4:DO$20),$G342:$W342)</f>
        <v>0</v>
      </c>
    </row>
    <row r="343" spans="1:119" x14ac:dyDescent="0.2">
      <c r="A343" s="45">
        <f t="shared" ref="A343:A406" si="31">A342+1</f>
        <v>322</v>
      </c>
      <c r="B343" s="64" t="s">
        <v>763</v>
      </c>
      <c r="C343" s="45">
        <v>412240981</v>
      </c>
      <c r="D343" s="45" t="s">
        <v>764</v>
      </c>
      <c r="E343" s="45" t="s">
        <v>162</v>
      </c>
      <c r="F343" s="48">
        <v>1</v>
      </c>
      <c r="G343" s="100">
        <v>0</v>
      </c>
      <c r="H343" s="100">
        <v>0</v>
      </c>
      <c r="I343" s="100">
        <v>0</v>
      </c>
      <c r="J343" s="100">
        <v>0</v>
      </c>
      <c r="K343" s="100">
        <v>1</v>
      </c>
      <c r="L343" s="100">
        <v>0</v>
      </c>
      <c r="M343" s="100">
        <v>0</v>
      </c>
      <c r="N343" s="100">
        <v>0</v>
      </c>
      <c r="O343" s="100">
        <v>0</v>
      </c>
      <c r="P343" s="100">
        <v>0</v>
      </c>
      <c r="Q343" s="100">
        <v>0</v>
      </c>
      <c r="R343" s="100">
        <v>0</v>
      </c>
      <c r="S343" s="100">
        <v>0</v>
      </c>
      <c r="T343" s="100">
        <v>0</v>
      </c>
      <c r="U343" s="100">
        <v>0</v>
      </c>
      <c r="V343" s="100">
        <v>0</v>
      </c>
      <c r="W343" s="100">
        <v>0</v>
      </c>
      <c r="X343" s="45" t="s">
        <v>237</v>
      </c>
      <c r="Y343" s="53">
        <v>55</v>
      </c>
      <c r="Z343" s="45">
        <v>128</v>
      </c>
      <c r="AA343" s="45">
        <v>0</v>
      </c>
      <c r="AB343" s="45">
        <v>0</v>
      </c>
      <c r="AC343" s="45">
        <v>0</v>
      </c>
      <c r="AD343" s="45">
        <v>0</v>
      </c>
      <c r="AE343" s="45">
        <v>0</v>
      </c>
      <c r="AF343" s="45">
        <v>0</v>
      </c>
      <c r="AG343" s="45">
        <v>0</v>
      </c>
      <c r="AH343" s="45">
        <v>0</v>
      </c>
      <c r="AI343" s="45">
        <v>0</v>
      </c>
      <c r="AJ343" s="45">
        <v>0</v>
      </c>
      <c r="AK343" s="45">
        <v>0</v>
      </c>
      <c r="AL343" s="45">
        <v>0</v>
      </c>
      <c r="AM343" s="45">
        <v>0</v>
      </c>
      <c r="AN343" s="45">
        <v>0</v>
      </c>
      <c r="AO343" s="45"/>
      <c r="AP343" s="45"/>
      <c r="AQ343" s="45"/>
      <c r="AR343" s="45"/>
      <c r="AS343" s="45"/>
      <c r="AT343" s="45"/>
      <c r="AU343" s="45"/>
      <c r="AV343" s="45"/>
      <c r="AW343" s="45"/>
      <c r="AX343" s="45"/>
      <c r="AY343" s="45"/>
      <c r="AZ343" s="45"/>
      <c r="BA343" s="45"/>
      <c r="BB343" s="45"/>
      <c r="BC343" s="45"/>
      <c r="BD343" s="93"/>
      <c r="BE343" s="93"/>
      <c r="BF343" s="93"/>
      <c r="BG343" s="93"/>
      <c r="BH343" s="93"/>
      <c r="BI343" s="93"/>
      <c r="BJ343" s="93"/>
      <c r="BK343" s="93">
        <f>SUM($Z343:AD343)-SUM($CM343:CQ343)</f>
        <v>120</v>
      </c>
      <c r="BL343" s="93">
        <f>SUM($Z343:AE343)-SUM($CM343:CR343)</f>
        <v>112</v>
      </c>
      <c r="BM343" s="93">
        <f>SUM($Z343:AF343)-SUM($CM343:CS343)</f>
        <v>104</v>
      </c>
      <c r="BN343" s="93">
        <f>SUM($Z343:AG343)-SUM($CM343:CT343)</f>
        <v>96</v>
      </c>
      <c r="BO343" s="93">
        <f>SUM($Z343:AH343)-SUM($CM343:CU343)</f>
        <v>88</v>
      </c>
      <c r="BP343" s="93">
        <f>SUM($Z343:AI343)-SUM($CM343:CV343)</f>
        <v>80</v>
      </c>
      <c r="BQ343" s="93">
        <f>SUM($Z343:AJ343)-SUM($CM343:CW343)</f>
        <v>72</v>
      </c>
      <c r="BR343" s="93">
        <f>SUM($Z343:AK343)-SUM($CM343:CX343)</f>
        <v>64</v>
      </c>
      <c r="BS343" s="93">
        <f>SUM($Z343:AL343)-SUM($CM343:CY343)</f>
        <v>56</v>
      </c>
      <c r="BT343" s="93">
        <f>SUM($Z343:AM343)-SUM($CM343:CZ343)</f>
        <v>48</v>
      </c>
      <c r="BU343" s="93">
        <f>SUM($Z343:AN343)-SUM($CM343:DA343)</f>
        <v>40</v>
      </c>
      <c r="BV343" s="93">
        <f>SUM($Z343:AO343)-SUM($CM343:DB343)</f>
        <v>32</v>
      </c>
      <c r="BW343" s="93">
        <f>SUM($Z343:AP343)-SUM($CM343:DC343)</f>
        <v>26</v>
      </c>
      <c r="BX343" s="93">
        <f>SUM($Z343:AQ343)-SUM($CM343:DD343)</f>
        <v>26</v>
      </c>
      <c r="BY343" s="93">
        <f>SUM($Z343:AR343)-SUM($CM343:DE343)</f>
        <v>26</v>
      </c>
      <c r="BZ343" s="93">
        <f>SUM($Z343:AS343)-SUM($CM343:DF343)</f>
        <v>26</v>
      </c>
      <c r="CA343" s="93">
        <f>SUM($Z343:AT343)-SUM($CM343:DG343)</f>
        <v>26</v>
      </c>
      <c r="CB343" s="93">
        <f>SUM($Z343:AU343)-SUM($CM343:DH343)</f>
        <v>26</v>
      </c>
      <c r="CC343" s="93">
        <f>SUM($Z343:AV343)-SUM($CM343:DI343)</f>
        <v>26</v>
      </c>
      <c r="CD343" s="93">
        <f>SUM($Z343:AW343)-SUM($CM343:DJ343)</f>
        <v>26</v>
      </c>
      <c r="CE343" s="93">
        <f>SUM($Z343:AX343)-SUM($CM343:DK343)</f>
        <v>26</v>
      </c>
      <c r="CF343" s="93">
        <f>SUM($Z343:AY343)-SUM($CM343:DL343)</f>
        <v>26</v>
      </c>
      <c r="CG343" s="93">
        <f>SUM($Z343:AZ343)-SUM($CM343:DM343)</f>
        <v>26</v>
      </c>
      <c r="CH343" s="93">
        <f>SUM($Z343:BA343)-SUM($CM343:DN343)</f>
        <v>26</v>
      </c>
      <c r="CI343" s="93">
        <f>SUM($Z343:BB343)-SUM($CM343:DO343)</f>
        <v>26</v>
      </c>
      <c r="CJ343" s="93"/>
      <c r="CK343" s="93"/>
      <c r="CL343" s="93"/>
      <c r="CM343" s="93"/>
      <c r="CN343" s="93" cm="1">
        <f t="array" ref="CN343">SUMPRODUCT(TRANSPOSE(CN$4:CN$20),$G343:$W343)</f>
        <v>0</v>
      </c>
      <c r="CO343" s="93" cm="1">
        <f t="array" ref="CO343">SUMPRODUCT(TRANSPOSE(CO$4:CO$20),$G343:$W343)</f>
        <v>0</v>
      </c>
      <c r="CP343" s="93" cm="1">
        <f t="array" ref="CP343">SUMPRODUCT(TRANSPOSE(CP$4:CP$20),$G343:$W343)</f>
        <v>0</v>
      </c>
      <c r="CQ343" s="93" cm="1">
        <f t="array" ref="CQ343">SUMPRODUCT(TRANSPOSE(CQ$4:CQ$20),$G343:$W343)</f>
        <v>8</v>
      </c>
      <c r="CR343" s="93" cm="1">
        <f t="array" ref="CR343">SUMPRODUCT(TRANSPOSE(CR$4:CR$20),$G343:$W343)</f>
        <v>8</v>
      </c>
      <c r="CS343" s="93" cm="1">
        <f t="array" ref="CS343">SUMPRODUCT(TRANSPOSE(CS$4:CS$20),$G343:$W343)</f>
        <v>8</v>
      </c>
      <c r="CT343" s="93" cm="1">
        <f t="array" ref="CT343">SUMPRODUCT(TRANSPOSE(CT$4:CT$20),$G343:$W343)</f>
        <v>8</v>
      </c>
      <c r="CU343" s="93" cm="1">
        <f t="array" ref="CU343">SUMPRODUCT(TRANSPOSE(CU$4:CU$20),$G343:$W343)</f>
        <v>8</v>
      </c>
      <c r="CV343" s="93" cm="1">
        <f t="array" ref="CV343">SUMPRODUCT(TRANSPOSE(CV$4:CV$20),$G343:$W343)</f>
        <v>8</v>
      </c>
      <c r="CW343" s="93" cm="1">
        <f t="array" ref="CW343">SUMPRODUCT(TRANSPOSE(CW$4:CW$20),$G343:$W343)</f>
        <v>8</v>
      </c>
      <c r="CX343" s="93" cm="1">
        <f t="array" ref="CX343">SUMPRODUCT(TRANSPOSE(CX$4:CX$20),$G343:$W343)</f>
        <v>8</v>
      </c>
      <c r="CY343" s="93" cm="1">
        <f t="array" ref="CY343">SUMPRODUCT(TRANSPOSE(CY$4:CY$20),$G343:$W343)</f>
        <v>8</v>
      </c>
      <c r="CZ343" s="93" cm="1">
        <f t="array" ref="CZ343">SUMPRODUCT(TRANSPOSE(CZ$4:CZ$20),$G343:$W343)</f>
        <v>8</v>
      </c>
      <c r="DA343" s="93" cm="1">
        <f t="array" ref="DA343">SUMPRODUCT(TRANSPOSE(DA$4:DA$20),$G343:$W343)</f>
        <v>8</v>
      </c>
      <c r="DB343" s="93" cm="1">
        <f t="array" ref="DB343">SUMPRODUCT(TRANSPOSE(DB$4:DB$20),$G343:$W343)</f>
        <v>8</v>
      </c>
      <c r="DC343" s="93" cm="1">
        <f t="array" ref="DC343">SUMPRODUCT(TRANSPOSE(DC$4:DC$20),$G343:$W343)</f>
        <v>6</v>
      </c>
      <c r="DD343" s="93" cm="1">
        <f t="array" ref="DD343">SUMPRODUCT(TRANSPOSE(DD$4:DD$20),$G343:$W343)</f>
        <v>0</v>
      </c>
      <c r="DE343" s="93" cm="1">
        <f t="array" ref="DE343">SUMPRODUCT(TRANSPOSE(DE$4:DE$20),$G343:$W343)</f>
        <v>0</v>
      </c>
      <c r="DF343" s="93" cm="1">
        <f t="array" ref="DF343">SUMPRODUCT(TRANSPOSE(DF$4:DF$20),$G343:$W343)</f>
        <v>0</v>
      </c>
      <c r="DG343" s="93" cm="1">
        <f t="array" ref="DG343">SUMPRODUCT(TRANSPOSE(DG$4:DG$20),$G343:$W343)</f>
        <v>0</v>
      </c>
      <c r="DH343" s="93" cm="1">
        <f t="array" ref="DH343">SUMPRODUCT(TRANSPOSE(DH$4:DH$20),$G343:$W343)</f>
        <v>0</v>
      </c>
      <c r="DI343" s="93" cm="1">
        <f t="array" ref="DI343">SUMPRODUCT(TRANSPOSE(DI$4:DI$20),$G343:$W343)</f>
        <v>0</v>
      </c>
      <c r="DJ343" s="93" cm="1">
        <f t="array" ref="DJ343">SUMPRODUCT(TRANSPOSE(DJ$4:DJ$20),$G343:$W343)</f>
        <v>0</v>
      </c>
      <c r="DK343" s="93" cm="1">
        <f t="array" ref="DK343">SUMPRODUCT(TRANSPOSE(DK$4:DK$20),$G343:$W343)</f>
        <v>0</v>
      </c>
      <c r="DL343" s="93" cm="1">
        <f t="array" ref="DL343">SUMPRODUCT(TRANSPOSE(DL$4:DL$20),$G343:$W343)</f>
        <v>0</v>
      </c>
      <c r="DM343" s="93" cm="1">
        <f t="array" ref="DM343">SUMPRODUCT(TRANSPOSE(DM$4:DM$20),$G343:$W343)</f>
        <v>0</v>
      </c>
      <c r="DN343" s="93" cm="1">
        <f t="array" ref="DN343">SUMPRODUCT(TRANSPOSE(DN$4:DN$20),$G343:$W343)</f>
        <v>0</v>
      </c>
      <c r="DO343" s="93" cm="1">
        <f t="array" ref="DO343">SUMPRODUCT(TRANSPOSE(DO$4:DO$20),$G343:$W343)</f>
        <v>0</v>
      </c>
    </row>
    <row r="344" spans="1:119" x14ac:dyDescent="0.2">
      <c r="A344" s="45">
        <f t="shared" si="31"/>
        <v>323</v>
      </c>
      <c r="B344" s="64" t="s">
        <v>765</v>
      </c>
      <c r="C344" s="45">
        <v>412830297</v>
      </c>
      <c r="D344" s="45" t="s">
        <v>766</v>
      </c>
      <c r="E344" s="45" t="s">
        <v>162</v>
      </c>
      <c r="F344" s="48">
        <v>1</v>
      </c>
      <c r="G344" s="100">
        <v>0</v>
      </c>
      <c r="H344" s="100">
        <v>2</v>
      </c>
      <c r="I344" s="100">
        <v>0</v>
      </c>
      <c r="J344" s="100">
        <v>0</v>
      </c>
      <c r="K344" s="100">
        <v>0</v>
      </c>
      <c r="L344" s="100">
        <v>0</v>
      </c>
      <c r="M344" s="100">
        <v>0</v>
      </c>
      <c r="N344" s="100">
        <v>0</v>
      </c>
      <c r="O344" s="100">
        <v>0</v>
      </c>
      <c r="P344" s="100">
        <v>0</v>
      </c>
      <c r="Q344" s="100">
        <v>0</v>
      </c>
      <c r="R344" s="100">
        <v>0</v>
      </c>
      <c r="S344" s="100">
        <v>0</v>
      </c>
      <c r="T344" s="100">
        <v>0</v>
      </c>
      <c r="U344" s="100">
        <v>0</v>
      </c>
      <c r="V344" s="100">
        <v>0</v>
      </c>
      <c r="W344" s="100">
        <v>0</v>
      </c>
      <c r="X344" s="45" t="s">
        <v>53</v>
      </c>
      <c r="Y344" s="49">
        <v>213.82310000000001</v>
      </c>
      <c r="Z344" s="45">
        <v>290</v>
      </c>
      <c r="AA344" s="45">
        <v>0</v>
      </c>
      <c r="AB344" s="45">
        <v>0</v>
      </c>
      <c r="AC344" s="45">
        <v>0</v>
      </c>
      <c r="AD344" s="45">
        <v>0</v>
      </c>
      <c r="AE344" s="45">
        <v>0</v>
      </c>
      <c r="AF344" s="45">
        <v>0</v>
      </c>
      <c r="AG344" s="45">
        <v>0</v>
      </c>
      <c r="AH344" s="45">
        <v>0</v>
      </c>
      <c r="AI344" s="45">
        <v>0</v>
      </c>
      <c r="AJ344" s="45">
        <v>0</v>
      </c>
      <c r="AK344" s="45">
        <v>0</v>
      </c>
      <c r="AL344" s="45">
        <v>0</v>
      </c>
      <c r="AM344" s="45">
        <v>0</v>
      </c>
      <c r="AN344" s="45">
        <v>0</v>
      </c>
      <c r="AO344" s="45"/>
      <c r="AP344" s="45"/>
      <c r="AQ344" s="45"/>
      <c r="AR344" s="45"/>
      <c r="AS344" s="45"/>
      <c r="AT344" s="45"/>
      <c r="AU344" s="45"/>
      <c r="AV344" s="45"/>
      <c r="AW344" s="45"/>
      <c r="AX344" s="45"/>
      <c r="AY344" s="45"/>
      <c r="AZ344" s="45"/>
      <c r="BA344" s="45"/>
      <c r="BB344" s="45"/>
      <c r="BC344" s="45"/>
      <c r="BD344" s="93"/>
      <c r="BE344" s="93"/>
      <c r="BF344" s="93"/>
      <c r="BG344" s="93"/>
      <c r="BH344" s="93"/>
      <c r="BI344" s="93"/>
      <c r="BJ344" s="93"/>
      <c r="BK344" s="93">
        <f>SUM($Z344:AD344)-SUM($CM344:CQ344)</f>
        <v>274</v>
      </c>
      <c r="BL344" s="93">
        <f>SUM($Z344:AE344)-SUM($CM344:CR344)</f>
        <v>258</v>
      </c>
      <c r="BM344" s="93">
        <f>SUM($Z344:AF344)-SUM($CM344:CS344)</f>
        <v>242</v>
      </c>
      <c r="BN344" s="93">
        <f>SUM($Z344:AG344)-SUM($CM344:CT344)</f>
        <v>226</v>
      </c>
      <c r="BO344" s="93">
        <f>SUM($Z344:AH344)-SUM($CM344:CU344)</f>
        <v>210</v>
      </c>
      <c r="BP344" s="93">
        <f>SUM($Z344:AI344)-SUM($CM344:CV344)</f>
        <v>194</v>
      </c>
      <c r="BQ344" s="93">
        <f>SUM($Z344:AJ344)-SUM($CM344:CW344)</f>
        <v>178</v>
      </c>
      <c r="BR344" s="93">
        <f>SUM($Z344:AK344)-SUM($CM344:CX344)</f>
        <v>162</v>
      </c>
      <c r="BS344" s="93">
        <f>SUM($Z344:AL344)-SUM($CM344:CY344)</f>
        <v>146</v>
      </c>
      <c r="BT344" s="93">
        <f>SUM($Z344:AM344)-SUM($CM344:CZ344)</f>
        <v>130</v>
      </c>
      <c r="BU344" s="93">
        <f>SUM($Z344:AN344)-SUM($CM344:DA344)</f>
        <v>114</v>
      </c>
      <c r="BV344" s="93">
        <f>SUM($Z344:AO344)-SUM($CM344:DB344)</f>
        <v>98</v>
      </c>
      <c r="BW344" s="93">
        <f>SUM($Z344:AP344)-SUM($CM344:DC344)</f>
        <v>86</v>
      </c>
      <c r="BX344" s="93">
        <f>SUM($Z344:AQ344)-SUM($CM344:DD344)</f>
        <v>86</v>
      </c>
      <c r="BY344" s="93">
        <f>SUM($Z344:AR344)-SUM($CM344:DE344)</f>
        <v>86</v>
      </c>
      <c r="BZ344" s="93">
        <f>SUM($Z344:AS344)-SUM($CM344:DF344)</f>
        <v>86</v>
      </c>
      <c r="CA344" s="93">
        <f>SUM($Z344:AT344)-SUM($CM344:DG344)</f>
        <v>86</v>
      </c>
      <c r="CB344" s="93">
        <f>SUM($Z344:AU344)-SUM($CM344:DH344)</f>
        <v>86</v>
      </c>
      <c r="CC344" s="93">
        <f>SUM($Z344:AV344)-SUM($CM344:DI344)</f>
        <v>86</v>
      </c>
      <c r="CD344" s="93">
        <f>SUM($Z344:AW344)-SUM($CM344:DJ344)</f>
        <v>86</v>
      </c>
      <c r="CE344" s="93">
        <f>SUM($Z344:AX344)-SUM($CM344:DK344)</f>
        <v>86</v>
      </c>
      <c r="CF344" s="93">
        <f>SUM($Z344:AY344)-SUM($CM344:DL344)</f>
        <v>86</v>
      </c>
      <c r="CG344" s="93">
        <f>SUM($Z344:AZ344)-SUM($CM344:DM344)</f>
        <v>86</v>
      </c>
      <c r="CH344" s="93">
        <f>SUM($Z344:BA344)-SUM($CM344:DN344)</f>
        <v>86</v>
      </c>
      <c r="CI344" s="93">
        <f>SUM($Z344:BB344)-SUM($CM344:DO344)</f>
        <v>86</v>
      </c>
      <c r="CJ344" s="93"/>
      <c r="CK344" s="93"/>
      <c r="CL344" s="93"/>
      <c r="CM344" s="93"/>
      <c r="CN344" s="93" cm="1">
        <f t="array" ref="CN344">SUMPRODUCT(TRANSPOSE(CN$4:CN$20),$G344:$W344)</f>
        <v>0</v>
      </c>
      <c r="CO344" s="93" cm="1">
        <f t="array" ref="CO344">SUMPRODUCT(TRANSPOSE(CO$4:CO$20),$G344:$W344)</f>
        <v>0</v>
      </c>
      <c r="CP344" s="93" cm="1">
        <f t="array" ref="CP344">SUMPRODUCT(TRANSPOSE(CP$4:CP$20),$G344:$W344)</f>
        <v>0</v>
      </c>
      <c r="CQ344" s="93" cm="1">
        <f t="array" ref="CQ344">SUMPRODUCT(TRANSPOSE(CQ$4:CQ$20),$G344:$W344)</f>
        <v>16</v>
      </c>
      <c r="CR344" s="93" cm="1">
        <f t="array" ref="CR344">SUMPRODUCT(TRANSPOSE(CR$4:CR$20),$G344:$W344)</f>
        <v>16</v>
      </c>
      <c r="CS344" s="93" cm="1">
        <f t="array" ref="CS344">SUMPRODUCT(TRANSPOSE(CS$4:CS$20),$G344:$W344)</f>
        <v>16</v>
      </c>
      <c r="CT344" s="93" cm="1">
        <f t="array" ref="CT344">SUMPRODUCT(TRANSPOSE(CT$4:CT$20),$G344:$W344)</f>
        <v>16</v>
      </c>
      <c r="CU344" s="93" cm="1">
        <f t="array" ref="CU344">SUMPRODUCT(TRANSPOSE(CU$4:CU$20),$G344:$W344)</f>
        <v>16</v>
      </c>
      <c r="CV344" s="93" cm="1">
        <f t="array" ref="CV344">SUMPRODUCT(TRANSPOSE(CV$4:CV$20),$G344:$W344)</f>
        <v>16</v>
      </c>
      <c r="CW344" s="93" cm="1">
        <f t="array" ref="CW344">SUMPRODUCT(TRANSPOSE(CW$4:CW$20),$G344:$W344)</f>
        <v>16</v>
      </c>
      <c r="CX344" s="93" cm="1">
        <f t="array" ref="CX344">SUMPRODUCT(TRANSPOSE(CX$4:CX$20),$G344:$W344)</f>
        <v>16</v>
      </c>
      <c r="CY344" s="93" cm="1">
        <f t="array" ref="CY344">SUMPRODUCT(TRANSPOSE(CY$4:CY$20),$G344:$W344)</f>
        <v>16</v>
      </c>
      <c r="CZ344" s="93" cm="1">
        <f t="array" ref="CZ344">SUMPRODUCT(TRANSPOSE(CZ$4:CZ$20),$G344:$W344)</f>
        <v>16</v>
      </c>
      <c r="DA344" s="93" cm="1">
        <f t="array" ref="DA344">SUMPRODUCT(TRANSPOSE(DA$4:DA$20),$G344:$W344)</f>
        <v>16</v>
      </c>
      <c r="DB344" s="93" cm="1">
        <f t="array" ref="DB344">SUMPRODUCT(TRANSPOSE(DB$4:DB$20),$G344:$W344)</f>
        <v>16</v>
      </c>
      <c r="DC344" s="93" cm="1">
        <f t="array" ref="DC344">SUMPRODUCT(TRANSPOSE(DC$4:DC$20),$G344:$W344)</f>
        <v>12</v>
      </c>
      <c r="DD344" s="93" cm="1">
        <f t="array" ref="DD344">SUMPRODUCT(TRANSPOSE(DD$4:DD$20),$G344:$W344)</f>
        <v>0</v>
      </c>
      <c r="DE344" s="93" cm="1">
        <f t="array" ref="DE344">SUMPRODUCT(TRANSPOSE(DE$4:DE$20),$G344:$W344)</f>
        <v>0</v>
      </c>
      <c r="DF344" s="93" cm="1">
        <f t="array" ref="DF344">SUMPRODUCT(TRANSPOSE(DF$4:DF$20),$G344:$W344)</f>
        <v>0</v>
      </c>
      <c r="DG344" s="93" cm="1">
        <f t="array" ref="DG344">SUMPRODUCT(TRANSPOSE(DG$4:DG$20),$G344:$W344)</f>
        <v>0</v>
      </c>
      <c r="DH344" s="93" cm="1">
        <f t="array" ref="DH344">SUMPRODUCT(TRANSPOSE(DH$4:DH$20),$G344:$W344)</f>
        <v>0</v>
      </c>
      <c r="DI344" s="93" cm="1">
        <f t="array" ref="DI344">SUMPRODUCT(TRANSPOSE(DI$4:DI$20),$G344:$W344)</f>
        <v>0</v>
      </c>
      <c r="DJ344" s="93" cm="1">
        <f t="array" ref="DJ344">SUMPRODUCT(TRANSPOSE(DJ$4:DJ$20),$G344:$W344)</f>
        <v>0</v>
      </c>
      <c r="DK344" s="93" cm="1">
        <f t="array" ref="DK344">SUMPRODUCT(TRANSPOSE(DK$4:DK$20),$G344:$W344)</f>
        <v>0</v>
      </c>
      <c r="DL344" s="93" cm="1">
        <f t="array" ref="DL344">SUMPRODUCT(TRANSPOSE(DL$4:DL$20),$G344:$W344)</f>
        <v>0</v>
      </c>
      <c r="DM344" s="93" cm="1">
        <f t="array" ref="DM344">SUMPRODUCT(TRANSPOSE(DM$4:DM$20),$G344:$W344)</f>
        <v>0</v>
      </c>
      <c r="DN344" s="93" cm="1">
        <f t="array" ref="DN344">SUMPRODUCT(TRANSPOSE(DN$4:DN$20),$G344:$W344)</f>
        <v>0</v>
      </c>
      <c r="DO344" s="93" cm="1">
        <f t="array" ref="DO344">SUMPRODUCT(TRANSPOSE(DO$4:DO$20),$G344:$W344)</f>
        <v>0</v>
      </c>
    </row>
    <row r="345" spans="1:119" x14ac:dyDescent="0.2">
      <c r="A345" s="45">
        <f t="shared" si="31"/>
        <v>324</v>
      </c>
      <c r="B345" s="64" t="s">
        <v>767</v>
      </c>
      <c r="C345" s="45">
        <v>412754351</v>
      </c>
      <c r="D345" s="45" t="s">
        <v>768</v>
      </c>
      <c r="E345" s="45" t="s">
        <v>162</v>
      </c>
      <c r="F345" s="48">
        <v>1</v>
      </c>
      <c r="G345" s="100">
        <v>1</v>
      </c>
      <c r="H345" s="100">
        <v>0</v>
      </c>
      <c r="I345" s="100">
        <v>0</v>
      </c>
      <c r="J345" s="100">
        <v>0</v>
      </c>
      <c r="K345" s="100">
        <v>0</v>
      </c>
      <c r="L345" s="100">
        <v>0</v>
      </c>
      <c r="M345" s="100">
        <v>0</v>
      </c>
      <c r="N345" s="100">
        <v>0</v>
      </c>
      <c r="O345" s="100">
        <v>0</v>
      </c>
      <c r="P345" s="100">
        <v>0</v>
      </c>
      <c r="Q345" s="100">
        <v>0</v>
      </c>
      <c r="R345" s="100">
        <v>0</v>
      </c>
      <c r="S345" s="100">
        <v>0</v>
      </c>
      <c r="T345" s="100">
        <v>0</v>
      </c>
      <c r="U345" s="100">
        <v>0</v>
      </c>
      <c r="V345" s="100">
        <v>0</v>
      </c>
      <c r="W345" s="100">
        <v>0</v>
      </c>
      <c r="X345" s="45" t="s">
        <v>1123</v>
      </c>
      <c r="Y345" s="53">
        <v>465</v>
      </c>
      <c r="Z345" s="45">
        <v>60</v>
      </c>
      <c r="AA345" s="45">
        <v>0</v>
      </c>
      <c r="AB345" s="45">
        <v>0</v>
      </c>
      <c r="AC345" s="45">
        <v>0</v>
      </c>
      <c r="AD345" s="45">
        <v>0</v>
      </c>
      <c r="AE345" s="45">
        <v>0</v>
      </c>
      <c r="AF345" s="45">
        <v>0</v>
      </c>
      <c r="AG345" s="45">
        <v>0</v>
      </c>
      <c r="AH345" s="45">
        <v>0</v>
      </c>
      <c r="AI345" s="45">
        <v>0</v>
      </c>
      <c r="AJ345" s="45">
        <v>0</v>
      </c>
      <c r="AK345" s="45">
        <v>0</v>
      </c>
      <c r="AL345" s="45">
        <v>0</v>
      </c>
      <c r="AM345" s="45">
        <v>0</v>
      </c>
      <c r="AN345" s="45">
        <v>0</v>
      </c>
      <c r="AO345" s="45"/>
      <c r="AP345" s="45"/>
      <c r="AQ345" s="45"/>
      <c r="AR345" s="45"/>
      <c r="AS345" s="45"/>
      <c r="AT345" s="45"/>
      <c r="AU345" s="45"/>
      <c r="AV345" s="45"/>
      <c r="AW345" s="45"/>
      <c r="AX345" s="45"/>
      <c r="AY345" s="45"/>
      <c r="AZ345" s="45"/>
      <c r="BA345" s="45"/>
      <c r="BB345" s="45"/>
      <c r="BC345" s="45"/>
      <c r="BD345" s="93"/>
      <c r="BE345" s="93"/>
      <c r="BF345" s="93"/>
      <c r="BG345" s="93"/>
      <c r="BH345" s="93"/>
      <c r="BI345" s="93"/>
      <c r="BJ345" s="93"/>
      <c r="BK345" s="93">
        <f>SUM($Z345:AD345)-SUM($CM345:CQ345)</f>
        <v>52</v>
      </c>
      <c r="BL345" s="93">
        <f>SUM($Z345:AE345)-SUM($CM345:CR345)</f>
        <v>44</v>
      </c>
      <c r="BM345" s="93">
        <f>SUM($Z345:AF345)-SUM($CM345:CS345)</f>
        <v>36</v>
      </c>
      <c r="BN345" s="93">
        <f>SUM($Z345:AG345)-SUM($CM345:CT345)</f>
        <v>28</v>
      </c>
      <c r="BO345" s="93">
        <f>SUM($Z345:AH345)-SUM($CM345:CU345)</f>
        <v>20</v>
      </c>
      <c r="BP345" s="93">
        <f>SUM($Z345:AI345)-SUM($CM345:CV345)</f>
        <v>12</v>
      </c>
      <c r="BQ345" s="93">
        <f>SUM($Z345:AJ345)-SUM($CM345:CW345)</f>
        <v>4</v>
      </c>
      <c r="BR345" s="93">
        <f>SUM($Z345:AK345)-SUM($CM345:CX345)</f>
        <v>-4</v>
      </c>
      <c r="BS345" s="93">
        <f>SUM($Z345:AL345)-SUM($CM345:CY345)</f>
        <v>-12</v>
      </c>
      <c r="BT345" s="93">
        <f>SUM($Z345:AM345)-SUM($CM345:CZ345)</f>
        <v>-20</v>
      </c>
      <c r="BU345" s="93">
        <f>SUM($Z345:AN345)-SUM($CM345:DA345)</f>
        <v>-28</v>
      </c>
      <c r="BV345" s="93">
        <f>SUM($Z345:AO345)-SUM($CM345:DB345)</f>
        <v>-36</v>
      </c>
      <c r="BW345" s="93">
        <f>SUM($Z345:AP345)-SUM($CM345:DC345)</f>
        <v>-42</v>
      </c>
      <c r="BX345" s="93">
        <f>SUM($Z345:AQ345)-SUM($CM345:DD345)</f>
        <v>-42</v>
      </c>
      <c r="BY345" s="93">
        <f>SUM($Z345:AR345)-SUM($CM345:DE345)</f>
        <v>-42</v>
      </c>
      <c r="BZ345" s="93">
        <f>SUM($Z345:AS345)-SUM($CM345:DF345)</f>
        <v>-42</v>
      </c>
      <c r="CA345" s="93">
        <f>SUM($Z345:AT345)-SUM($CM345:DG345)</f>
        <v>-42</v>
      </c>
      <c r="CB345" s="93">
        <f>SUM($Z345:AU345)-SUM($CM345:DH345)</f>
        <v>-42</v>
      </c>
      <c r="CC345" s="93">
        <f>SUM($Z345:AV345)-SUM($CM345:DI345)</f>
        <v>-42</v>
      </c>
      <c r="CD345" s="93">
        <f>SUM($Z345:AW345)-SUM($CM345:DJ345)</f>
        <v>-42</v>
      </c>
      <c r="CE345" s="93">
        <f>SUM($Z345:AX345)-SUM($CM345:DK345)</f>
        <v>-42</v>
      </c>
      <c r="CF345" s="93">
        <f>SUM($Z345:AY345)-SUM($CM345:DL345)</f>
        <v>-42</v>
      </c>
      <c r="CG345" s="93">
        <f>SUM($Z345:AZ345)-SUM($CM345:DM345)</f>
        <v>-42</v>
      </c>
      <c r="CH345" s="93">
        <f>SUM($Z345:BA345)-SUM($CM345:DN345)</f>
        <v>-42</v>
      </c>
      <c r="CI345" s="93">
        <f>SUM($Z345:BB345)-SUM($CM345:DO345)</f>
        <v>-42</v>
      </c>
      <c r="CJ345" s="93"/>
      <c r="CK345" s="93"/>
      <c r="CL345" s="93"/>
      <c r="CM345" s="93"/>
      <c r="CN345" s="93" cm="1">
        <f t="array" ref="CN345">SUMPRODUCT(TRANSPOSE(CN$4:CN$20),$G345:$W345)</f>
        <v>0</v>
      </c>
      <c r="CO345" s="93" cm="1">
        <f t="array" ref="CO345">SUMPRODUCT(TRANSPOSE(CO$4:CO$20),$G345:$W345)</f>
        <v>0</v>
      </c>
      <c r="CP345" s="93" cm="1">
        <f t="array" ref="CP345">SUMPRODUCT(TRANSPOSE(CP$4:CP$20),$G345:$W345)</f>
        <v>0</v>
      </c>
      <c r="CQ345" s="93" cm="1">
        <f t="array" ref="CQ345">SUMPRODUCT(TRANSPOSE(CQ$4:CQ$20),$G345:$W345)</f>
        <v>8</v>
      </c>
      <c r="CR345" s="93" cm="1">
        <f t="array" ref="CR345">SUMPRODUCT(TRANSPOSE(CR$4:CR$20),$G345:$W345)</f>
        <v>8</v>
      </c>
      <c r="CS345" s="93" cm="1">
        <f t="array" ref="CS345">SUMPRODUCT(TRANSPOSE(CS$4:CS$20),$G345:$W345)</f>
        <v>8</v>
      </c>
      <c r="CT345" s="93" cm="1">
        <f t="array" ref="CT345">SUMPRODUCT(TRANSPOSE(CT$4:CT$20),$G345:$W345)</f>
        <v>8</v>
      </c>
      <c r="CU345" s="93" cm="1">
        <f t="array" ref="CU345">SUMPRODUCT(TRANSPOSE(CU$4:CU$20),$G345:$W345)</f>
        <v>8</v>
      </c>
      <c r="CV345" s="93" cm="1">
        <f t="array" ref="CV345">SUMPRODUCT(TRANSPOSE(CV$4:CV$20),$G345:$W345)</f>
        <v>8</v>
      </c>
      <c r="CW345" s="93" cm="1">
        <f t="array" ref="CW345">SUMPRODUCT(TRANSPOSE(CW$4:CW$20),$G345:$W345)</f>
        <v>8</v>
      </c>
      <c r="CX345" s="93" cm="1">
        <f t="array" ref="CX345">SUMPRODUCT(TRANSPOSE(CX$4:CX$20),$G345:$W345)</f>
        <v>8</v>
      </c>
      <c r="CY345" s="93" cm="1">
        <f t="array" ref="CY345">SUMPRODUCT(TRANSPOSE(CY$4:CY$20),$G345:$W345)</f>
        <v>8</v>
      </c>
      <c r="CZ345" s="93" cm="1">
        <f t="array" ref="CZ345">SUMPRODUCT(TRANSPOSE(CZ$4:CZ$20),$G345:$W345)</f>
        <v>8</v>
      </c>
      <c r="DA345" s="93" cm="1">
        <f t="array" ref="DA345">SUMPRODUCT(TRANSPOSE(DA$4:DA$20),$G345:$W345)</f>
        <v>8</v>
      </c>
      <c r="DB345" s="93" cm="1">
        <f t="array" ref="DB345">SUMPRODUCT(TRANSPOSE(DB$4:DB$20),$G345:$W345)</f>
        <v>8</v>
      </c>
      <c r="DC345" s="93" cm="1">
        <f t="array" ref="DC345">SUMPRODUCT(TRANSPOSE(DC$4:DC$20),$G345:$W345)</f>
        <v>6</v>
      </c>
      <c r="DD345" s="93" cm="1">
        <f t="array" ref="DD345">SUMPRODUCT(TRANSPOSE(DD$4:DD$20),$G345:$W345)</f>
        <v>0</v>
      </c>
      <c r="DE345" s="93" cm="1">
        <f t="array" ref="DE345">SUMPRODUCT(TRANSPOSE(DE$4:DE$20),$G345:$W345)</f>
        <v>0</v>
      </c>
      <c r="DF345" s="93" cm="1">
        <f t="array" ref="DF345">SUMPRODUCT(TRANSPOSE(DF$4:DF$20),$G345:$W345)</f>
        <v>0</v>
      </c>
      <c r="DG345" s="93" cm="1">
        <f t="array" ref="DG345">SUMPRODUCT(TRANSPOSE(DG$4:DG$20),$G345:$W345)</f>
        <v>0</v>
      </c>
      <c r="DH345" s="93" cm="1">
        <f t="array" ref="DH345">SUMPRODUCT(TRANSPOSE(DH$4:DH$20),$G345:$W345)</f>
        <v>0</v>
      </c>
      <c r="DI345" s="93" cm="1">
        <f t="array" ref="DI345">SUMPRODUCT(TRANSPOSE(DI$4:DI$20),$G345:$W345)</f>
        <v>0</v>
      </c>
      <c r="DJ345" s="93" cm="1">
        <f t="array" ref="DJ345">SUMPRODUCT(TRANSPOSE(DJ$4:DJ$20),$G345:$W345)</f>
        <v>0</v>
      </c>
      <c r="DK345" s="93" cm="1">
        <f t="array" ref="DK345">SUMPRODUCT(TRANSPOSE(DK$4:DK$20),$G345:$W345)</f>
        <v>0</v>
      </c>
      <c r="DL345" s="93" cm="1">
        <f t="array" ref="DL345">SUMPRODUCT(TRANSPOSE(DL$4:DL$20),$G345:$W345)</f>
        <v>0</v>
      </c>
      <c r="DM345" s="93" cm="1">
        <f t="array" ref="DM345">SUMPRODUCT(TRANSPOSE(DM$4:DM$20),$G345:$W345)</f>
        <v>0</v>
      </c>
      <c r="DN345" s="93" cm="1">
        <f t="array" ref="DN345">SUMPRODUCT(TRANSPOSE(DN$4:DN$20),$G345:$W345)</f>
        <v>0</v>
      </c>
      <c r="DO345" s="93" cm="1">
        <f t="array" ref="DO345">SUMPRODUCT(TRANSPOSE(DO$4:DO$20),$G345:$W345)</f>
        <v>0</v>
      </c>
    </row>
    <row r="346" spans="1:119" x14ac:dyDescent="0.2">
      <c r="A346" s="45">
        <f t="shared" si="31"/>
        <v>325</v>
      </c>
      <c r="B346" s="64" t="s">
        <v>769</v>
      </c>
      <c r="C346" s="45">
        <v>412754346</v>
      </c>
      <c r="D346" s="45" t="s">
        <v>770</v>
      </c>
      <c r="E346" s="45" t="s">
        <v>162</v>
      </c>
      <c r="F346" s="48">
        <v>1</v>
      </c>
      <c r="G346" s="100">
        <v>1</v>
      </c>
      <c r="H346" s="100">
        <v>0</v>
      </c>
      <c r="I346" s="100">
        <v>0</v>
      </c>
      <c r="J346" s="100">
        <v>0</v>
      </c>
      <c r="K346" s="100">
        <v>0</v>
      </c>
      <c r="L346" s="100">
        <v>0</v>
      </c>
      <c r="M346" s="100">
        <v>0</v>
      </c>
      <c r="N346" s="100">
        <v>0</v>
      </c>
      <c r="O346" s="100">
        <v>0</v>
      </c>
      <c r="P346" s="100">
        <v>0</v>
      </c>
      <c r="Q346" s="100">
        <v>0</v>
      </c>
      <c r="R346" s="100">
        <v>0</v>
      </c>
      <c r="S346" s="100">
        <v>0</v>
      </c>
      <c r="T346" s="100">
        <v>0</v>
      </c>
      <c r="U346" s="100">
        <v>0</v>
      </c>
      <c r="V346" s="100">
        <v>0</v>
      </c>
      <c r="W346" s="100">
        <v>0</v>
      </c>
      <c r="X346" s="45" t="s">
        <v>1123</v>
      </c>
      <c r="Y346" s="53">
        <v>319</v>
      </c>
      <c r="Z346" s="45">
        <v>60</v>
      </c>
      <c r="AA346" s="45">
        <v>0</v>
      </c>
      <c r="AB346" s="45">
        <v>0</v>
      </c>
      <c r="AC346" s="45">
        <v>0</v>
      </c>
      <c r="AD346" s="45">
        <v>0</v>
      </c>
      <c r="AE346" s="45">
        <v>0</v>
      </c>
      <c r="AF346" s="45">
        <v>0</v>
      </c>
      <c r="AG346" s="45">
        <v>0</v>
      </c>
      <c r="AH346" s="45">
        <v>0</v>
      </c>
      <c r="AI346" s="45">
        <v>0</v>
      </c>
      <c r="AJ346" s="45">
        <v>0</v>
      </c>
      <c r="AK346" s="45">
        <v>0</v>
      </c>
      <c r="AL346" s="45">
        <v>0</v>
      </c>
      <c r="AM346" s="45">
        <v>0</v>
      </c>
      <c r="AN346" s="45">
        <v>0</v>
      </c>
      <c r="AO346" s="45"/>
      <c r="AP346" s="45"/>
      <c r="AQ346" s="45"/>
      <c r="AR346" s="45"/>
      <c r="AS346" s="45"/>
      <c r="AT346" s="45"/>
      <c r="AU346" s="45"/>
      <c r="AV346" s="45"/>
      <c r="AW346" s="45"/>
      <c r="AX346" s="45"/>
      <c r="AY346" s="45"/>
      <c r="AZ346" s="45"/>
      <c r="BA346" s="45"/>
      <c r="BB346" s="45"/>
      <c r="BC346" s="45"/>
      <c r="BD346" s="93"/>
      <c r="BE346" s="93"/>
      <c r="BF346" s="93"/>
      <c r="BG346" s="93"/>
      <c r="BH346" s="93"/>
      <c r="BI346" s="93"/>
      <c r="BJ346" s="93"/>
      <c r="BK346" s="93">
        <f>SUM($Z346:AD346)-SUM($CM346:CQ346)</f>
        <v>52</v>
      </c>
      <c r="BL346" s="93">
        <f>SUM($Z346:AE346)-SUM($CM346:CR346)</f>
        <v>44</v>
      </c>
      <c r="BM346" s="93">
        <f>SUM($Z346:AF346)-SUM($CM346:CS346)</f>
        <v>36</v>
      </c>
      <c r="BN346" s="93">
        <f>SUM($Z346:AG346)-SUM($CM346:CT346)</f>
        <v>28</v>
      </c>
      <c r="BO346" s="93">
        <f>SUM($Z346:AH346)-SUM($CM346:CU346)</f>
        <v>20</v>
      </c>
      <c r="BP346" s="93">
        <f>SUM($Z346:AI346)-SUM($CM346:CV346)</f>
        <v>12</v>
      </c>
      <c r="BQ346" s="93">
        <f>SUM($Z346:AJ346)-SUM($CM346:CW346)</f>
        <v>4</v>
      </c>
      <c r="BR346" s="93">
        <f>SUM($Z346:AK346)-SUM($CM346:CX346)</f>
        <v>-4</v>
      </c>
      <c r="BS346" s="93">
        <f>SUM($Z346:AL346)-SUM($CM346:CY346)</f>
        <v>-12</v>
      </c>
      <c r="BT346" s="93">
        <f>SUM($Z346:AM346)-SUM($CM346:CZ346)</f>
        <v>-20</v>
      </c>
      <c r="BU346" s="93">
        <f>SUM($Z346:AN346)-SUM($CM346:DA346)</f>
        <v>-28</v>
      </c>
      <c r="BV346" s="93">
        <f>SUM($Z346:AO346)-SUM($CM346:DB346)</f>
        <v>-36</v>
      </c>
      <c r="BW346" s="93">
        <f>SUM($Z346:AP346)-SUM($CM346:DC346)</f>
        <v>-42</v>
      </c>
      <c r="BX346" s="93">
        <f>SUM($Z346:AQ346)-SUM($CM346:DD346)</f>
        <v>-42</v>
      </c>
      <c r="BY346" s="93">
        <f>SUM($Z346:AR346)-SUM($CM346:DE346)</f>
        <v>-42</v>
      </c>
      <c r="BZ346" s="93">
        <f>SUM($Z346:AS346)-SUM($CM346:DF346)</f>
        <v>-42</v>
      </c>
      <c r="CA346" s="93">
        <f>SUM($Z346:AT346)-SUM($CM346:DG346)</f>
        <v>-42</v>
      </c>
      <c r="CB346" s="93">
        <f>SUM($Z346:AU346)-SUM($CM346:DH346)</f>
        <v>-42</v>
      </c>
      <c r="CC346" s="93">
        <f>SUM($Z346:AV346)-SUM($CM346:DI346)</f>
        <v>-42</v>
      </c>
      <c r="CD346" s="93">
        <f>SUM($Z346:AW346)-SUM($CM346:DJ346)</f>
        <v>-42</v>
      </c>
      <c r="CE346" s="93">
        <f>SUM($Z346:AX346)-SUM($CM346:DK346)</f>
        <v>-42</v>
      </c>
      <c r="CF346" s="93">
        <f>SUM($Z346:AY346)-SUM($CM346:DL346)</f>
        <v>-42</v>
      </c>
      <c r="CG346" s="93">
        <f>SUM($Z346:AZ346)-SUM($CM346:DM346)</f>
        <v>-42</v>
      </c>
      <c r="CH346" s="93">
        <f>SUM($Z346:BA346)-SUM($CM346:DN346)</f>
        <v>-42</v>
      </c>
      <c r="CI346" s="93">
        <f>SUM($Z346:BB346)-SUM($CM346:DO346)</f>
        <v>-42</v>
      </c>
      <c r="CJ346" s="93"/>
      <c r="CK346" s="93"/>
      <c r="CL346" s="93"/>
      <c r="CM346" s="93"/>
      <c r="CN346" s="93" cm="1">
        <f t="array" ref="CN346">SUMPRODUCT(TRANSPOSE(CN$4:CN$20),$G346:$W346)</f>
        <v>0</v>
      </c>
      <c r="CO346" s="93" cm="1">
        <f t="array" ref="CO346">SUMPRODUCT(TRANSPOSE(CO$4:CO$20),$G346:$W346)</f>
        <v>0</v>
      </c>
      <c r="CP346" s="93" cm="1">
        <f t="array" ref="CP346">SUMPRODUCT(TRANSPOSE(CP$4:CP$20),$G346:$W346)</f>
        <v>0</v>
      </c>
      <c r="CQ346" s="93" cm="1">
        <f t="array" ref="CQ346">SUMPRODUCT(TRANSPOSE(CQ$4:CQ$20),$G346:$W346)</f>
        <v>8</v>
      </c>
      <c r="CR346" s="93" cm="1">
        <f t="array" ref="CR346">SUMPRODUCT(TRANSPOSE(CR$4:CR$20),$G346:$W346)</f>
        <v>8</v>
      </c>
      <c r="CS346" s="93" cm="1">
        <f t="array" ref="CS346">SUMPRODUCT(TRANSPOSE(CS$4:CS$20),$G346:$W346)</f>
        <v>8</v>
      </c>
      <c r="CT346" s="93" cm="1">
        <f t="array" ref="CT346">SUMPRODUCT(TRANSPOSE(CT$4:CT$20),$G346:$W346)</f>
        <v>8</v>
      </c>
      <c r="CU346" s="93" cm="1">
        <f t="array" ref="CU346">SUMPRODUCT(TRANSPOSE(CU$4:CU$20),$G346:$W346)</f>
        <v>8</v>
      </c>
      <c r="CV346" s="93" cm="1">
        <f t="array" ref="CV346">SUMPRODUCT(TRANSPOSE(CV$4:CV$20),$G346:$W346)</f>
        <v>8</v>
      </c>
      <c r="CW346" s="93" cm="1">
        <f t="array" ref="CW346">SUMPRODUCT(TRANSPOSE(CW$4:CW$20),$G346:$W346)</f>
        <v>8</v>
      </c>
      <c r="CX346" s="93" cm="1">
        <f t="array" ref="CX346">SUMPRODUCT(TRANSPOSE(CX$4:CX$20),$G346:$W346)</f>
        <v>8</v>
      </c>
      <c r="CY346" s="93" cm="1">
        <f t="array" ref="CY346">SUMPRODUCT(TRANSPOSE(CY$4:CY$20),$G346:$W346)</f>
        <v>8</v>
      </c>
      <c r="CZ346" s="93" cm="1">
        <f t="array" ref="CZ346">SUMPRODUCT(TRANSPOSE(CZ$4:CZ$20),$G346:$W346)</f>
        <v>8</v>
      </c>
      <c r="DA346" s="93" cm="1">
        <f t="array" ref="DA346">SUMPRODUCT(TRANSPOSE(DA$4:DA$20),$G346:$W346)</f>
        <v>8</v>
      </c>
      <c r="DB346" s="93" cm="1">
        <f t="array" ref="DB346">SUMPRODUCT(TRANSPOSE(DB$4:DB$20),$G346:$W346)</f>
        <v>8</v>
      </c>
      <c r="DC346" s="93" cm="1">
        <f t="array" ref="DC346">SUMPRODUCT(TRANSPOSE(DC$4:DC$20),$G346:$W346)</f>
        <v>6</v>
      </c>
      <c r="DD346" s="93" cm="1">
        <f t="array" ref="DD346">SUMPRODUCT(TRANSPOSE(DD$4:DD$20),$G346:$W346)</f>
        <v>0</v>
      </c>
      <c r="DE346" s="93" cm="1">
        <f t="array" ref="DE346">SUMPRODUCT(TRANSPOSE(DE$4:DE$20),$G346:$W346)</f>
        <v>0</v>
      </c>
      <c r="DF346" s="93" cm="1">
        <f t="array" ref="DF346">SUMPRODUCT(TRANSPOSE(DF$4:DF$20),$G346:$W346)</f>
        <v>0</v>
      </c>
      <c r="DG346" s="93" cm="1">
        <f t="array" ref="DG346">SUMPRODUCT(TRANSPOSE(DG$4:DG$20),$G346:$W346)</f>
        <v>0</v>
      </c>
      <c r="DH346" s="93" cm="1">
        <f t="array" ref="DH346">SUMPRODUCT(TRANSPOSE(DH$4:DH$20),$G346:$W346)</f>
        <v>0</v>
      </c>
      <c r="DI346" s="93" cm="1">
        <f t="array" ref="DI346">SUMPRODUCT(TRANSPOSE(DI$4:DI$20),$G346:$W346)</f>
        <v>0</v>
      </c>
      <c r="DJ346" s="93" cm="1">
        <f t="array" ref="DJ346">SUMPRODUCT(TRANSPOSE(DJ$4:DJ$20),$G346:$W346)</f>
        <v>0</v>
      </c>
      <c r="DK346" s="93" cm="1">
        <f t="array" ref="DK346">SUMPRODUCT(TRANSPOSE(DK$4:DK$20),$G346:$W346)</f>
        <v>0</v>
      </c>
      <c r="DL346" s="93" cm="1">
        <f t="array" ref="DL346">SUMPRODUCT(TRANSPOSE(DL$4:DL$20),$G346:$W346)</f>
        <v>0</v>
      </c>
      <c r="DM346" s="93" cm="1">
        <f t="array" ref="DM346">SUMPRODUCT(TRANSPOSE(DM$4:DM$20),$G346:$W346)</f>
        <v>0</v>
      </c>
      <c r="DN346" s="93" cm="1">
        <f t="array" ref="DN346">SUMPRODUCT(TRANSPOSE(DN$4:DN$20),$G346:$W346)</f>
        <v>0</v>
      </c>
      <c r="DO346" s="93" cm="1">
        <f t="array" ref="DO346">SUMPRODUCT(TRANSPOSE(DO$4:DO$20),$G346:$W346)</f>
        <v>0</v>
      </c>
    </row>
    <row r="347" spans="1:119" x14ac:dyDescent="0.2">
      <c r="A347" s="45">
        <f t="shared" si="31"/>
        <v>326</v>
      </c>
      <c r="B347" s="64" t="s">
        <v>771</v>
      </c>
      <c r="C347" s="45">
        <v>412754353</v>
      </c>
      <c r="D347" s="45" t="s">
        <v>772</v>
      </c>
      <c r="E347" s="45" t="s">
        <v>162</v>
      </c>
      <c r="F347" s="48">
        <v>1</v>
      </c>
      <c r="G347" s="100">
        <v>1</v>
      </c>
      <c r="H347" s="100">
        <v>0</v>
      </c>
      <c r="I347" s="100">
        <v>0</v>
      </c>
      <c r="J347" s="100">
        <v>0</v>
      </c>
      <c r="K347" s="100">
        <v>0</v>
      </c>
      <c r="L347" s="100">
        <v>0</v>
      </c>
      <c r="M347" s="100">
        <v>0</v>
      </c>
      <c r="N347" s="100">
        <v>0</v>
      </c>
      <c r="O347" s="100">
        <v>0</v>
      </c>
      <c r="P347" s="100">
        <v>0</v>
      </c>
      <c r="Q347" s="100">
        <v>0</v>
      </c>
      <c r="R347" s="100">
        <v>0</v>
      </c>
      <c r="S347" s="100">
        <v>0</v>
      </c>
      <c r="T347" s="100">
        <v>0</v>
      </c>
      <c r="U347" s="100">
        <v>0</v>
      </c>
      <c r="V347" s="100">
        <v>0</v>
      </c>
      <c r="W347" s="100">
        <v>0</v>
      </c>
      <c r="X347" s="45" t="s">
        <v>50</v>
      </c>
      <c r="Y347" s="49">
        <v>16.3</v>
      </c>
      <c r="Z347" s="45">
        <v>130</v>
      </c>
      <c r="AA347" s="45">
        <v>0</v>
      </c>
      <c r="AB347" s="45">
        <v>0</v>
      </c>
      <c r="AC347" s="45">
        <v>0</v>
      </c>
      <c r="AD347" s="45">
        <v>0</v>
      </c>
      <c r="AE347" s="45">
        <v>0</v>
      </c>
      <c r="AF347" s="45">
        <v>0</v>
      </c>
      <c r="AG347" s="45">
        <v>0</v>
      </c>
      <c r="AH347" s="45">
        <v>0</v>
      </c>
      <c r="AI347" s="45">
        <v>0</v>
      </c>
      <c r="AJ347" s="45">
        <v>0</v>
      </c>
      <c r="AK347" s="45">
        <v>0</v>
      </c>
      <c r="AL347" s="45">
        <v>0</v>
      </c>
      <c r="AM347" s="45">
        <v>0</v>
      </c>
      <c r="AN347" s="45">
        <v>0</v>
      </c>
      <c r="AO347" s="45"/>
      <c r="AP347" s="45"/>
      <c r="AQ347" s="45"/>
      <c r="AR347" s="45"/>
      <c r="AS347" s="45"/>
      <c r="AT347" s="45"/>
      <c r="AU347" s="45"/>
      <c r="AV347" s="45"/>
      <c r="AW347" s="45"/>
      <c r="AX347" s="45"/>
      <c r="AY347" s="45"/>
      <c r="AZ347" s="45"/>
      <c r="BA347" s="45"/>
      <c r="BB347" s="45"/>
      <c r="BC347" s="45"/>
      <c r="BD347" s="93"/>
      <c r="BE347" s="93"/>
      <c r="BF347" s="93"/>
      <c r="BG347" s="93"/>
      <c r="BH347" s="93"/>
      <c r="BI347" s="93"/>
      <c r="BJ347" s="93"/>
      <c r="BK347" s="93">
        <f>SUM($Z347:AD347)-SUM($CM347:CQ347)</f>
        <v>122</v>
      </c>
      <c r="BL347" s="93">
        <f>SUM($Z347:AE347)-SUM($CM347:CR347)</f>
        <v>114</v>
      </c>
      <c r="BM347" s="93">
        <f>SUM($Z347:AF347)-SUM($CM347:CS347)</f>
        <v>106</v>
      </c>
      <c r="BN347" s="93">
        <f>SUM($Z347:AG347)-SUM($CM347:CT347)</f>
        <v>98</v>
      </c>
      <c r="BO347" s="93">
        <f>SUM($Z347:AH347)-SUM($CM347:CU347)</f>
        <v>90</v>
      </c>
      <c r="BP347" s="93">
        <f>SUM($Z347:AI347)-SUM($CM347:CV347)</f>
        <v>82</v>
      </c>
      <c r="BQ347" s="93">
        <f>SUM($Z347:AJ347)-SUM($CM347:CW347)</f>
        <v>74</v>
      </c>
      <c r="BR347" s="93">
        <f>SUM($Z347:AK347)-SUM($CM347:CX347)</f>
        <v>66</v>
      </c>
      <c r="BS347" s="93">
        <f>SUM($Z347:AL347)-SUM($CM347:CY347)</f>
        <v>58</v>
      </c>
      <c r="BT347" s="93">
        <f>SUM($Z347:AM347)-SUM($CM347:CZ347)</f>
        <v>50</v>
      </c>
      <c r="BU347" s="93">
        <f>SUM($Z347:AN347)-SUM($CM347:DA347)</f>
        <v>42</v>
      </c>
      <c r="BV347" s="93">
        <f>SUM($Z347:AO347)-SUM($CM347:DB347)</f>
        <v>34</v>
      </c>
      <c r="BW347" s="93">
        <f>SUM($Z347:AP347)-SUM($CM347:DC347)</f>
        <v>28</v>
      </c>
      <c r="BX347" s="93">
        <f>SUM($Z347:AQ347)-SUM($CM347:DD347)</f>
        <v>28</v>
      </c>
      <c r="BY347" s="93">
        <f>SUM($Z347:AR347)-SUM($CM347:DE347)</f>
        <v>28</v>
      </c>
      <c r="BZ347" s="93">
        <f>SUM($Z347:AS347)-SUM($CM347:DF347)</f>
        <v>28</v>
      </c>
      <c r="CA347" s="93">
        <f>SUM($Z347:AT347)-SUM($CM347:DG347)</f>
        <v>28</v>
      </c>
      <c r="CB347" s="93">
        <f>SUM($Z347:AU347)-SUM($CM347:DH347)</f>
        <v>28</v>
      </c>
      <c r="CC347" s="93">
        <f>SUM($Z347:AV347)-SUM($CM347:DI347)</f>
        <v>28</v>
      </c>
      <c r="CD347" s="93">
        <f>SUM($Z347:AW347)-SUM($CM347:DJ347)</f>
        <v>28</v>
      </c>
      <c r="CE347" s="93">
        <f>SUM($Z347:AX347)-SUM($CM347:DK347)</f>
        <v>28</v>
      </c>
      <c r="CF347" s="93">
        <f>SUM($Z347:AY347)-SUM($CM347:DL347)</f>
        <v>28</v>
      </c>
      <c r="CG347" s="93">
        <f>SUM($Z347:AZ347)-SUM($CM347:DM347)</f>
        <v>28</v>
      </c>
      <c r="CH347" s="93">
        <f>SUM($Z347:BA347)-SUM($CM347:DN347)</f>
        <v>28</v>
      </c>
      <c r="CI347" s="93">
        <f>SUM($Z347:BB347)-SUM($CM347:DO347)</f>
        <v>28</v>
      </c>
      <c r="CJ347" s="93"/>
      <c r="CK347" s="93"/>
      <c r="CL347" s="93"/>
      <c r="CM347" s="93"/>
      <c r="CN347" s="93" cm="1">
        <f t="array" ref="CN347">SUMPRODUCT(TRANSPOSE(CN$4:CN$20),$G347:$W347)</f>
        <v>0</v>
      </c>
      <c r="CO347" s="93" cm="1">
        <f t="array" ref="CO347">SUMPRODUCT(TRANSPOSE(CO$4:CO$20),$G347:$W347)</f>
        <v>0</v>
      </c>
      <c r="CP347" s="93" cm="1">
        <f t="array" ref="CP347">SUMPRODUCT(TRANSPOSE(CP$4:CP$20),$G347:$W347)</f>
        <v>0</v>
      </c>
      <c r="CQ347" s="93" cm="1">
        <f t="array" ref="CQ347">SUMPRODUCT(TRANSPOSE(CQ$4:CQ$20),$G347:$W347)</f>
        <v>8</v>
      </c>
      <c r="CR347" s="93" cm="1">
        <f t="array" ref="CR347">SUMPRODUCT(TRANSPOSE(CR$4:CR$20),$G347:$W347)</f>
        <v>8</v>
      </c>
      <c r="CS347" s="93" cm="1">
        <f t="array" ref="CS347">SUMPRODUCT(TRANSPOSE(CS$4:CS$20),$G347:$W347)</f>
        <v>8</v>
      </c>
      <c r="CT347" s="93" cm="1">
        <f t="array" ref="CT347">SUMPRODUCT(TRANSPOSE(CT$4:CT$20),$G347:$W347)</f>
        <v>8</v>
      </c>
      <c r="CU347" s="93" cm="1">
        <f t="array" ref="CU347">SUMPRODUCT(TRANSPOSE(CU$4:CU$20),$G347:$W347)</f>
        <v>8</v>
      </c>
      <c r="CV347" s="93" cm="1">
        <f t="array" ref="CV347">SUMPRODUCT(TRANSPOSE(CV$4:CV$20),$G347:$W347)</f>
        <v>8</v>
      </c>
      <c r="CW347" s="93" cm="1">
        <f t="array" ref="CW347">SUMPRODUCT(TRANSPOSE(CW$4:CW$20),$G347:$W347)</f>
        <v>8</v>
      </c>
      <c r="CX347" s="93" cm="1">
        <f t="array" ref="CX347">SUMPRODUCT(TRANSPOSE(CX$4:CX$20),$G347:$W347)</f>
        <v>8</v>
      </c>
      <c r="CY347" s="93" cm="1">
        <f t="array" ref="CY347">SUMPRODUCT(TRANSPOSE(CY$4:CY$20),$G347:$W347)</f>
        <v>8</v>
      </c>
      <c r="CZ347" s="93" cm="1">
        <f t="array" ref="CZ347">SUMPRODUCT(TRANSPOSE(CZ$4:CZ$20),$G347:$W347)</f>
        <v>8</v>
      </c>
      <c r="DA347" s="93" cm="1">
        <f t="array" ref="DA347">SUMPRODUCT(TRANSPOSE(DA$4:DA$20),$G347:$W347)</f>
        <v>8</v>
      </c>
      <c r="DB347" s="93" cm="1">
        <f t="array" ref="DB347">SUMPRODUCT(TRANSPOSE(DB$4:DB$20),$G347:$W347)</f>
        <v>8</v>
      </c>
      <c r="DC347" s="93" cm="1">
        <f t="array" ref="DC347">SUMPRODUCT(TRANSPOSE(DC$4:DC$20),$G347:$W347)</f>
        <v>6</v>
      </c>
      <c r="DD347" s="93" cm="1">
        <f t="array" ref="DD347">SUMPRODUCT(TRANSPOSE(DD$4:DD$20),$G347:$W347)</f>
        <v>0</v>
      </c>
      <c r="DE347" s="93" cm="1">
        <f t="array" ref="DE347">SUMPRODUCT(TRANSPOSE(DE$4:DE$20),$G347:$W347)</f>
        <v>0</v>
      </c>
      <c r="DF347" s="93" cm="1">
        <f t="array" ref="DF347">SUMPRODUCT(TRANSPOSE(DF$4:DF$20),$G347:$W347)</f>
        <v>0</v>
      </c>
      <c r="DG347" s="93" cm="1">
        <f t="array" ref="DG347">SUMPRODUCT(TRANSPOSE(DG$4:DG$20),$G347:$W347)</f>
        <v>0</v>
      </c>
      <c r="DH347" s="93" cm="1">
        <f t="array" ref="DH347">SUMPRODUCT(TRANSPOSE(DH$4:DH$20),$G347:$W347)</f>
        <v>0</v>
      </c>
      <c r="DI347" s="93" cm="1">
        <f t="array" ref="DI347">SUMPRODUCT(TRANSPOSE(DI$4:DI$20),$G347:$W347)</f>
        <v>0</v>
      </c>
      <c r="DJ347" s="93" cm="1">
        <f t="array" ref="DJ347">SUMPRODUCT(TRANSPOSE(DJ$4:DJ$20),$G347:$W347)</f>
        <v>0</v>
      </c>
      <c r="DK347" s="93" cm="1">
        <f t="array" ref="DK347">SUMPRODUCT(TRANSPOSE(DK$4:DK$20),$G347:$W347)</f>
        <v>0</v>
      </c>
      <c r="DL347" s="93" cm="1">
        <f t="array" ref="DL347">SUMPRODUCT(TRANSPOSE(DL$4:DL$20),$G347:$W347)</f>
        <v>0</v>
      </c>
      <c r="DM347" s="93" cm="1">
        <f t="array" ref="DM347">SUMPRODUCT(TRANSPOSE(DM$4:DM$20),$G347:$W347)</f>
        <v>0</v>
      </c>
      <c r="DN347" s="93" cm="1">
        <f t="array" ref="DN347">SUMPRODUCT(TRANSPOSE(DN$4:DN$20),$G347:$W347)</f>
        <v>0</v>
      </c>
      <c r="DO347" s="93" cm="1">
        <f t="array" ref="DO347">SUMPRODUCT(TRANSPOSE(DO$4:DO$20),$G347:$W347)</f>
        <v>0</v>
      </c>
    </row>
    <row r="348" spans="1:119" x14ac:dyDescent="0.2">
      <c r="A348" s="45">
        <f t="shared" si="31"/>
        <v>327</v>
      </c>
      <c r="B348" s="64" t="s">
        <v>773</v>
      </c>
      <c r="C348" s="45">
        <v>412804951</v>
      </c>
      <c r="D348" s="45" t="s">
        <v>774</v>
      </c>
      <c r="E348" s="45" t="s">
        <v>162</v>
      </c>
      <c r="F348" s="48">
        <v>1</v>
      </c>
      <c r="G348" s="100">
        <v>1</v>
      </c>
      <c r="H348" s="100">
        <v>0</v>
      </c>
      <c r="I348" s="100">
        <v>0</v>
      </c>
      <c r="J348" s="100">
        <v>0</v>
      </c>
      <c r="K348" s="100">
        <v>0</v>
      </c>
      <c r="L348" s="100">
        <v>0</v>
      </c>
      <c r="M348" s="100">
        <v>0</v>
      </c>
      <c r="N348" s="100">
        <v>0</v>
      </c>
      <c r="O348" s="100">
        <v>0</v>
      </c>
      <c r="P348" s="100">
        <v>0</v>
      </c>
      <c r="Q348" s="100">
        <v>0</v>
      </c>
      <c r="R348" s="100">
        <v>0</v>
      </c>
      <c r="S348" s="100">
        <v>0</v>
      </c>
      <c r="T348" s="100">
        <v>0</v>
      </c>
      <c r="U348" s="100">
        <v>0</v>
      </c>
      <c r="V348" s="100">
        <v>0</v>
      </c>
      <c r="W348" s="100">
        <v>0</v>
      </c>
      <c r="X348" s="45" t="s">
        <v>50</v>
      </c>
      <c r="Y348" s="49">
        <v>16.3</v>
      </c>
      <c r="Z348" s="45">
        <v>130</v>
      </c>
      <c r="AA348" s="45">
        <v>0</v>
      </c>
      <c r="AB348" s="45">
        <v>0</v>
      </c>
      <c r="AC348" s="45">
        <v>0</v>
      </c>
      <c r="AD348" s="45">
        <v>0</v>
      </c>
      <c r="AE348" s="45">
        <v>0</v>
      </c>
      <c r="AF348" s="45">
        <v>0</v>
      </c>
      <c r="AG348" s="45">
        <v>0</v>
      </c>
      <c r="AH348" s="45">
        <v>0</v>
      </c>
      <c r="AI348" s="45">
        <v>0</v>
      </c>
      <c r="AJ348" s="45">
        <v>0</v>
      </c>
      <c r="AK348" s="45">
        <v>0</v>
      </c>
      <c r="AL348" s="45">
        <v>0</v>
      </c>
      <c r="AM348" s="45">
        <v>0</v>
      </c>
      <c r="AN348" s="45">
        <v>0</v>
      </c>
      <c r="AO348" s="45"/>
      <c r="AP348" s="45"/>
      <c r="AQ348" s="45"/>
      <c r="AR348" s="45"/>
      <c r="AS348" s="45"/>
      <c r="AT348" s="45"/>
      <c r="AU348" s="45"/>
      <c r="AV348" s="45"/>
      <c r="AW348" s="45"/>
      <c r="AX348" s="45"/>
      <c r="AY348" s="45"/>
      <c r="AZ348" s="45"/>
      <c r="BA348" s="45"/>
      <c r="BB348" s="45"/>
      <c r="BC348" s="45"/>
      <c r="BD348" s="93"/>
      <c r="BE348" s="93"/>
      <c r="BF348" s="93"/>
      <c r="BG348" s="93"/>
      <c r="BH348" s="93"/>
      <c r="BI348" s="93"/>
      <c r="BJ348" s="93"/>
      <c r="BK348" s="93">
        <f>SUM($Z348:AD348)-SUM($CM348:CQ348)</f>
        <v>122</v>
      </c>
      <c r="BL348" s="93">
        <f>SUM($Z348:AE348)-SUM($CM348:CR348)</f>
        <v>114</v>
      </c>
      <c r="BM348" s="93">
        <f>SUM($Z348:AF348)-SUM($CM348:CS348)</f>
        <v>106</v>
      </c>
      <c r="BN348" s="93">
        <f>SUM($Z348:AG348)-SUM($CM348:CT348)</f>
        <v>98</v>
      </c>
      <c r="BO348" s="93">
        <f>SUM($Z348:AH348)-SUM($CM348:CU348)</f>
        <v>90</v>
      </c>
      <c r="BP348" s="93">
        <f>SUM($Z348:AI348)-SUM($CM348:CV348)</f>
        <v>82</v>
      </c>
      <c r="BQ348" s="93">
        <f>SUM($Z348:AJ348)-SUM($CM348:CW348)</f>
        <v>74</v>
      </c>
      <c r="BR348" s="93">
        <f>SUM($Z348:AK348)-SUM($CM348:CX348)</f>
        <v>66</v>
      </c>
      <c r="BS348" s="93">
        <f>SUM($Z348:AL348)-SUM($CM348:CY348)</f>
        <v>58</v>
      </c>
      <c r="BT348" s="93">
        <f>SUM($Z348:AM348)-SUM($CM348:CZ348)</f>
        <v>50</v>
      </c>
      <c r="BU348" s="93">
        <f>SUM($Z348:AN348)-SUM($CM348:DA348)</f>
        <v>42</v>
      </c>
      <c r="BV348" s="93">
        <f>SUM($Z348:AO348)-SUM($CM348:DB348)</f>
        <v>34</v>
      </c>
      <c r="BW348" s="93">
        <f>SUM($Z348:AP348)-SUM($CM348:DC348)</f>
        <v>28</v>
      </c>
      <c r="BX348" s="93">
        <f>SUM($Z348:AQ348)-SUM($CM348:DD348)</f>
        <v>28</v>
      </c>
      <c r="BY348" s="93">
        <f>SUM($Z348:AR348)-SUM($CM348:DE348)</f>
        <v>28</v>
      </c>
      <c r="BZ348" s="93">
        <f>SUM($Z348:AS348)-SUM($CM348:DF348)</f>
        <v>28</v>
      </c>
      <c r="CA348" s="93">
        <f>SUM($Z348:AT348)-SUM($CM348:DG348)</f>
        <v>28</v>
      </c>
      <c r="CB348" s="93">
        <f>SUM($Z348:AU348)-SUM($CM348:DH348)</f>
        <v>28</v>
      </c>
      <c r="CC348" s="93">
        <f>SUM($Z348:AV348)-SUM($CM348:DI348)</f>
        <v>28</v>
      </c>
      <c r="CD348" s="93">
        <f>SUM($Z348:AW348)-SUM($CM348:DJ348)</f>
        <v>28</v>
      </c>
      <c r="CE348" s="93">
        <f>SUM($Z348:AX348)-SUM($CM348:DK348)</f>
        <v>28</v>
      </c>
      <c r="CF348" s="93">
        <f>SUM($Z348:AY348)-SUM($CM348:DL348)</f>
        <v>28</v>
      </c>
      <c r="CG348" s="93">
        <f>SUM($Z348:AZ348)-SUM($CM348:DM348)</f>
        <v>28</v>
      </c>
      <c r="CH348" s="93">
        <f>SUM($Z348:BA348)-SUM($CM348:DN348)</f>
        <v>28</v>
      </c>
      <c r="CI348" s="93">
        <f>SUM($Z348:BB348)-SUM($CM348:DO348)</f>
        <v>28</v>
      </c>
      <c r="CJ348" s="93"/>
      <c r="CK348" s="93"/>
      <c r="CL348" s="93"/>
      <c r="CM348" s="93"/>
      <c r="CN348" s="93" cm="1">
        <f t="array" ref="CN348">SUMPRODUCT(TRANSPOSE(CN$4:CN$20),$G348:$W348)</f>
        <v>0</v>
      </c>
      <c r="CO348" s="93" cm="1">
        <f t="array" ref="CO348">SUMPRODUCT(TRANSPOSE(CO$4:CO$20),$G348:$W348)</f>
        <v>0</v>
      </c>
      <c r="CP348" s="93" cm="1">
        <f t="array" ref="CP348">SUMPRODUCT(TRANSPOSE(CP$4:CP$20),$G348:$W348)</f>
        <v>0</v>
      </c>
      <c r="CQ348" s="93" cm="1">
        <f t="array" ref="CQ348">SUMPRODUCT(TRANSPOSE(CQ$4:CQ$20),$G348:$W348)</f>
        <v>8</v>
      </c>
      <c r="CR348" s="93" cm="1">
        <f t="array" ref="CR348">SUMPRODUCT(TRANSPOSE(CR$4:CR$20),$G348:$W348)</f>
        <v>8</v>
      </c>
      <c r="CS348" s="93" cm="1">
        <f t="array" ref="CS348">SUMPRODUCT(TRANSPOSE(CS$4:CS$20),$G348:$W348)</f>
        <v>8</v>
      </c>
      <c r="CT348" s="93" cm="1">
        <f t="array" ref="CT348">SUMPRODUCT(TRANSPOSE(CT$4:CT$20),$G348:$W348)</f>
        <v>8</v>
      </c>
      <c r="CU348" s="93" cm="1">
        <f t="array" ref="CU348">SUMPRODUCT(TRANSPOSE(CU$4:CU$20),$G348:$W348)</f>
        <v>8</v>
      </c>
      <c r="CV348" s="93" cm="1">
        <f t="array" ref="CV348">SUMPRODUCT(TRANSPOSE(CV$4:CV$20),$G348:$W348)</f>
        <v>8</v>
      </c>
      <c r="CW348" s="93" cm="1">
        <f t="array" ref="CW348">SUMPRODUCT(TRANSPOSE(CW$4:CW$20),$G348:$W348)</f>
        <v>8</v>
      </c>
      <c r="CX348" s="93" cm="1">
        <f t="array" ref="CX348">SUMPRODUCT(TRANSPOSE(CX$4:CX$20),$G348:$W348)</f>
        <v>8</v>
      </c>
      <c r="CY348" s="93" cm="1">
        <f t="array" ref="CY348">SUMPRODUCT(TRANSPOSE(CY$4:CY$20),$G348:$W348)</f>
        <v>8</v>
      </c>
      <c r="CZ348" s="93" cm="1">
        <f t="array" ref="CZ348">SUMPRODUCT(TRANSPOSE(CZ$4:CZ$20),$G348:$W348)</f>
        <v>8</v>
      </c>
      <c r="DA348" s="93" cm="1">
        <f t="array" ref="DA348">SUMPRODUCT(TRANSPOSE(DA$4:DA$20),$G348:$W348)</f>
        <v>8</v>
      </c>
      <c r="DB348" s="93" cm="1">
        <f t="array" ref="DB348">SUMPRODUCT(TRANSPOSE(DB$4:DB$20),$G348:$W348)</f>
        <v>8</v>
      </c>
      <c r="DC348" s="93" cm="1">
        <f t="array" ref="DC348">SUMPRODUCT(TRANSPOSE(DC$4:DC$20),$G348:$W348)</f>
        <v>6</v>
      </c>
      <c r="DD348" s="93" cm="1">
        <f t="array" ref="DD348">SUMPRODUCT(TRANSPOSE(DD$4:DD$20),$G348:$W348)</f>
        <v>0</v>
      </c>
      <c r="DE348" s="93" cm="1">
        <f t="array" ref="DE348">SUMPRODUCT(TRANSPOSE(DE$4:DE$20),$G348:$W348)</f>
        <v>0</v>
      </c>
      <c r="DF348" s="93" cm="1">
        <f t="array" ref="DF348">SUMPRODUCT(TRANSPOSE(DF$4:DF$20),$G348:$W348)</f>
        <v>0</v>
      </c>
      <c r="DG348" s="93" cm="1">
        <f t="array" ref="DG348">SUMPRODUCT(TRANSPOSE(DG$4:DG$20),$G348:$W348)</f>
        <v>0</v>
      </c>
      <c r="DH348" s="93" cm="1">
        <f t="array" ref="DH348">SUMPRODUCT(TRANSPOSE(DH$4:DH$20),$G348:$W348)</f>
        <v>0</v>
      </c>
      <c r="DI348" s="93" cm="1">
        <f t="array" ref="DI348">SUMPRODUCT(TRANSPOSE(DI$4:DI$20),$G348:$W348)</f>
        <v>0</v>
      </c>
      <c r="DJ348" s="93" cm="1">
        <f t="array" ref="DJ348">SUMPRODUCT(TRANSPOSE(DJ$4:DJ$20),$G348:$W348)</f>
        <v>0</v>
      </c>
      <c r="DK348" s="93" cm="1">
        <f t="array" ref="DK348">SUMPRODUCT(TRANSPOSE(DK$4:DK$20),$G348:$W348)</f>
        <v>0</v>
      </c>
      <c r="DL348" s="93" cm="1">
        <f t="array" ref="DL348">SUMPRODUCT(TRANSPOSE(DL$4:DL$20),$G348:$W348)</f>
        <v>0</v>
      </c>
      <c r="DM348" s="93" cm="1">
        <f t="array" ref="DM348">SUMPRODUCT(TRANSPOSE(DM$4:DM$20),$G348:$W348)</f>
        <v>0</v>
      </c>
      <c r="DN348" s="93" cm="1">
        <f t="array" ref="DN348">SUMPRODUCT(TRANSPOSE(DN$4:DN$20),$G348:$W348)</f>
        <v>0</v>
      </c>
      <c r="DO348" s="93" cm="1">
        <f t="array" ref="DO348">SUMPRODUCT(TRANSPOSE(DO$4:DO$20),$G348:$W348)</f>
        <v>0</v>
      </c>
    </row>
    <row r="349" spans="1:119" x14ac:dyDescent="0.2">
      <c r="A349" s="45">
        <f t="shared" si="31"/>
        <v>328</v>
      </c>
      <c r="B349" s="64" t="s">
        <v>160</v>
      </c>
      <c r="C349" s="45">
        <v>412687036</v>
      </c>
      <c r="D349" s="45" t="s">
        <v>137</v>
      </c>
      <c r="E349" s="45" t="s">
        <v>162</v>
      </c>
      <c r="F349" s="48">
        <v>1</v>
      </c>
      <c r="G349" s="100">
        <v>1</v>
      </c>
      <c r="H349" s="100">
        <v>0</v>
      </c>
      <c r="I349" s="100">
        <v>0</v>
      </c>
      <c r="J349" s="100">
        <v>0</v>
      </c>
      <c r="K349" s="100">
        <v>0</v>
      </c>
      <c r="L349" s="100">
        <v>0</v>
      </c>
      <c r="M349" s="100">
        <v>0</v>
      </c>
      <c r="N349" s="100">
        <v>0</v>
      </c>
      <c r="O349" s="100">
        <v>0</v>
      </c>
      <c r="P349" s="100">
        <v>0</v>
      </c>
      <c r="Q349" s="100">
        <v>0</v>
      </c>
      <c r="R349" s="100">
        <v>0</v>
      </c>
      <c r="S349" s="100">
        <v>0</v>
      </c>
      <c r="T349" s="100">
        <v>0</v>
      </c>
      <c r="U349" s="100">
        <v>0</v>
      </c>
      <c r="V349" s="100">
        <v>0</v>
      </c>
      <c r="W349" s="100">
        <v>0</v>
      </c>
      <c r="X349" s="45" t="s">
        <v>4</v>
      </c>
      <c r="Y349" s="49">
        <v>0</v>
      </c>
      <c r="Z349" s="45">
        <v>0</v>
      </c>
      <c r="AA349" s="45">
        <v>0</v>
      </c>
      <c r="AB349" s="45">
        <v>0</v>
      </c>
      <c r="AC349" s="45">
        <v>0</v>
      </c>
      <c r="AD349" s="45">
        <v>0</v>
      </c>
      <c r="AE349" s="45">
        <v>0</v>
      </c>
      <c r="AF349" s="45">
        <v>0</v>
      </c>
      <c r="AG349" s="45">
        <v>0</v>
      </c>
      <c r="AH349" s="45">
        <v>0</v>
      </c>
      <c r="AI349" s="45">
        <v>0</v>
      </c>
      <c r="AJ349" s="45">
        <v>0</v>
      </c>
      <c r="AK349" s="45">
        <v>0</v>
      </c>
      <c r="AL349" s="45">
        <v>0</v>
      </c>
      <c r="AM349" s="45">
        <v>0</v>
      </c>
      <c r="AN349" s="45">
        <v>0</v>
      </c>
      <c r="AO349" s="45"/>
      <c r="AP349" s="45"/>
      <c r="AQ349" s="45"/>
      <c r="AR349" s="45"/>
      <c r="AS349" s="45"/>
      <c r="AT349" s="45"/>
      <c r="AU349" s="45"/>
      <c r="AV349" s="45"/>
      <c r="AW349" s="45"/>
      <c r="AX349" s="45"/>
      <c r="AY349" s="45"/>
      <c r="AZ349" s="45"/>
      <c r="BA349" s="45"/>
      <c r="BB349" s="45"/>
      <c r="BC349" s="45"/>
      <c r="BD349" s="93"/>
      <c r="BE349" s="93"/>
      <c r="BF349" s="93"/>
      <c r="BG349" s="93"/>
      <c r="BH349" s="93"/>
      <c r="BI349" s="93"/>
      <c r="BJ349" s="93"/>
      <c r="BK349" s="93">
        <f>SUM($Z349:AD349)-SUM($CM349:CQ349)</f>
        <v>-8</v>
      </c>
      <c r="BL349" s="93">
        <f>SUM($Z349:AE349)-SUM($CM349:CR349)</f>
        <v>-16</v>
      </c>
      <c r="BM349" s="93">
        <f>SUM($Z349:AF349)-SUM($CM349:CS349)</f>
        <v>-24</v>
      </c>
      <c r="BN349" s="93">
        <f>SUM($Z349:AG349)-SUM($CM349:CT349)</f>
        <v>-32</v>
      </c>
      <c r="BO349" s="93">
        <f>SUM($Z349:AH349)-SUM($CM349:CU349)</f>
        <v>-40</v>
      </c>
      <c r="BP349" s="93">
        <f>SUM($Z349:AI349)-SUM($CM349:CV349)</f>
        <v>-48</v>
      </c>
      <c r="BQ349" s="93">
        <f>SUM($Z349:AJ349)-SUM($CM349:CW349)</f>
        <v>-56</v>
      </c>
      <c r="BR349" s="93">
        <f>SUM($Z349:AK349)-SUM($CM349:CX349)</f>
        <v>-64</v>
      </c>
      <c r="BS349" s="93">
        <f>SUM($Z349:AL349)-SUM($CM349:CY349)</f>
        <v>-72</v>
      </c>
      <c r="BT349" s="93">
        <f>SUM($Z349:AM349)-SUM($CM349:CZ349)</f>
        <v>-80</v>
      </c>
      <c r="BU349" s="93">
        <f>SUM($Z349:AN349)-SUM($CM349:DA349)</f>
        <v>-88</v>
      </c>
      <c r="BV349" s="93">
        <f>SUM($Z349:AO349)-SUM($CM349:DB349)</f>
        <v>-96</v>
      </c>
      <c r="BW349" s="93">
        <f>SUM($Z349:AP349)-SUM($CM349:DC349)</f>
        <v>-102</v>
      </c>
      <c r="BX349" s="93">
        <f>SUM($Z349:AQ349)-SUM($CM349:DD349)</f>
        <v>-102</v>
      </c>
      <c r="BY349" s="93">
        <f>SUM($Z349:AR349)-SUM($CM349:DE349)</f>
        <v>-102</v>
      </c>
      <c r="BZ349" s="93">
        <f>SUM($Z349:AS349)-SUM($CM349:DF349)</f>
        <v>-102</v>
      </c>
      <c r="CA349" s="93">
        <f>SUM($Z349:AT349)-SUM($CM349:DG349)</f>
        <v>-102</v>
      </c>
      <c r="CB349" s="93">
        <f>SUM($Z349:AU349)-SUM($CM349:DH349)</f>
        <v>-102</v>
      </c>
      <c r="CC349" s="93">
        <f>SUM($Z349:AV349)-SUM($CM349:DI349)</f>
        <v>-102</v>
      </c>
      <c r="CD349" s="93">
        <f>SUM($Z349:AW349)-SUM($CM349:DJ349)</f>
        <v>-102</v>
      </c>
      <c r="CE349" s="93">
        <f>SUM($Z349:AX349)-SUM($CM349:DK349)</f>
        <v>-102</v>
      </c>
      <c r="CF349" s="93">
        <f>SUM($Z349:AY349)-SUM($CM349:DL349)</f>
        <v>-102</v>
      </c>
      <c r="CG349" s="93">
        <f>SUM($Z349:AZ349)-SUM($CM349:DM349)</f>
        <v>-102</v>
      </c>
      <c r="CH349" s="93">
        <f>SUM($Z349:BA349)-SUM($CM349:DN349)</f>
        <v>-102</v>
      </c>
      <c r="CI349" s="93">
        <f>SUM($Z349:BB349)-SUM($CM349:DO349)</f>
        <v>-102</v>
      </c>
      <c r="CJ349" s="93"/>
      <c r="CK349" s="93"/>
      <c r="CL349" s="93"/>
      <c r="CM349" s="93"/>
      <c r="CN349" s="93" cm="1">
        <f t="array" ref="CN349">SUMPRODUCT(TRANSPOSE(CN$4:CN$20),$G349:$W349)</f>
        <v>0</v>
      </c>
      <c r="CO349" s="93" cm="1">
        <f t="array" ref="CO349">SUMPRODUCT(TRANSPOSE(CO$4:CO$20),$G349:$W349)</f>
        <v>0</v>
      </c>
      <c r="CP349" s="93" cm="1">
        <f t="array" ref="CP349">SUMPRODUCT(TRANSPOSE(CP$4:CP$20),$G349:$W349)</f>
        <v>0</v>
      </c>
      <c r="CQ349" s="93" cm="1">
        <f t="array" ref="CQ349">SUMPRODUCT(TRANSPOSE(CQ$4:CQ$20),$G349:$W349)</f>
        <v>8</v>
      </c>
      <c r="CR349" s="93" cm="1">
        <f t="array" ref="CR349">SUMPRODUCT(TRANSPOSE(CR$4:CR$20),$G349:$W349)</f>
        <v>8</v>
      </c>
      <c r="CS349" s="93" cm="1">
        <f t="array" ref="CS349">SUMPRODUCT(TRANSPOSE(CS$4:CS$20),$G349:$W349)</f>
        <v>8</v>
      </c>
      <c r="CT349" s="93" cm="1">
        <f t="array" ref="CT349">SUMPRODUCT(TRANSPOSE(CT$4:CT$20),$G349:$W349)</f>
        <v>8</v>
      </c>
      <c r="CU349" s="93" cm="1">
        <f t="array" ref="CU349">SUMPRODUCT(TRANSPOSE(CU$4:CU$20),$G349:$W349)</f>
        <v>8</v>
      </c>
      <c r="CV349" s="93" cm="1">
        <f t="array" ref="CV349">SUMPRODUCT(TRANSPOSE(CV$4:CV$20),$G349:$W349)</f>
        <v>8</v>
      </c>
      <c r="CW349" s="93" cm="1">
        <f t="array" ref="CW349">SUMPRODUCT(TRANSPOSE(CW$4:CW$20),$G349:$W349)</f>
        <v>8</v>
      </c>
      <c r="CX349" s="93" cm="1">
        <f t="array" ref="CX349">SUMPRODUCT(TRANSPOSE(CX$4:CX$20),$G349:$W349)</f>
        <v>8</v>
      </c>
      <c r="CY349" s="93" cm="1">
        <f t="array" ref="CY349">SUMPRODUCT(TRANSPOSE(CY$4:CY$20),$G349:$W349)</f>
        <v>8</v>
      </c>
      <c r="CZ349" s="93" cm="1">
        <f t="array" ref="CZ349">SUMPRODUCT(TRANSPOSE(CZ$4:CZ$20),$G349:$W349)</f>
        <v>8</v>
      </c>
      <c r="DA349" s="93" cm="1">
        <f t="array" ref="DA349">SUMPRODUCT(TRANSPOSE(DA$4:DA$20),$G349:$W349)</f>
        <v>8</v>
      </c>
      <c r="DB349" s="93" cm="1">
        <f t="array" ref="DB349">SUMPRODUCT(TRANSPOSE(DB$4:DB$20),$G349:$W349)</f>
        <v>8</v>
      </c>
      <c r="DC349" s="93" cm="1">
        <f t="array" ref="DC349">SUMPRODUCT(TRANSPOSE(DC$4:DC$20),$G349:$W349)</f>
        <v>6</v>
      </c>
      <c r="DD349" s="93" cm="1">
        <f t="array" ref="DD349">SUMPRODUCT(TRANSPOSE(DD$4:DD$20),$G349:$W349)</f>
        <v>0</v>
      </c>
      <c r="DE349" s="93" cm="1">
        <f t="array" ref="DE349">SUMPRODUCT(TRANSPOSE(DE$4:DE$20),$G349:$W349)</f>
        <v>0</v>
      </c>
      <c r="DF349" s="93" cm="1">
        <f t="array" ref="DF349">SUMPRODUCT(TRANSPOSE(DF$4:DF$20),$G349:$W349)</f>
        <v>0</v>
      </c>
      <c r="DG349" s="93" cm="1">
        <f t="array" ref="DG349">SUMPRODUCT(TRANSPOSE(DG$4:DG$20),$G349:$W349)</f>
        <v>0</v>
      </c>
      <c r="DH349" s="93" cm="1">
        <f t="array" ref="DH349">SUMPRODUCT(TRANSPOSE(DH$4:DH$20),$G349:$W349)</f>
        <v>0</v>
      </c>
      <c r="DI349" s="93" cm="1">
        <f t="array" ref="DI349">SUMPRODUCT(TRANSPOSE(DI$4:DI$20),$G349:$W349)</f>
        <v>0</v>
      </c>
      <c r="DJ349" s="93" cm="1">
        <f t="array" ref="DJ349">SUMPRODUCT(TRANSPOSE(DJ$4:DJ$20),$G349:$W349)</f>
        <v>0</v>
      </c>
      <c r="DK349" s="93" cm="1">
        <f t="array" ref="DK349">SUMPRODUCT(TRANSPOSE(DK$4:DK$20),$G349:$W349)</f>
        <v>0</v>
      </c>
      <c r="DL349" s="93" cm="1">
        <f t="array" ref="DL349">SUMPRODUCT(TRANSPOSE(DL$4:DL$20),$G349:$W349)</f>
        <v>0</v>
      </c>
      <c r="DM349" s="93" cm="1">
        <f t="array" ref="DM349">SUMPRODUCT(TRANSPOSE(DM$4:DM$20),$G349:$W349)</f>
        <v>0</v>
      </c>
      <c r="DN349" s="93" cm="1">
        <f t="array" ref="DN349">SUMPRODUCT(TRANSPOSE(DN$4:DN$20),$G349:$W349)</f>
        <v>0</v>
      </c>
      <c r="DO349" s="93" cm="1">
        <f t="array" ref="DO349">SUMPRODUCT(TRANSPOSE(DO$4:DO$20),$G349:$W349)</f>
        <v>0</v>
      </c>
    </row>
    <row r="350" spans="1:119" x14ac:dyDescent="0.2">
      <c r="A350" s="45">
        <f t="shared" si="31"/>
        <v>329</v>
      </c>
      <c r="B350" s="64" t="s">
        <v>159</v>
      </c>
      <c r="C350" s="45">
        <v>412687035</v>
      </c>
      <c r="D350" s="45" t="s">
        <v>136</v>
      </c>
      <c r="E350" s="45" t="s">
        <v>162</v>
      </c>
      <c r="F350" s="48">
        <v>1</v>
      </c>
      <c r="G350" s="100">
        <v>1</v>
      </c>
      <c r="H350" s="100">
        <v>0</v>
      </c>
      <c r="I350" s="100">
        <v>0</v>
      </c>
      <c r="J350" s="100">
        <v>0</v>
      </c>
      <c r="K350" s="100">
        <v>0</v>
      </c>
      <c r="L350" s="100">
        <v>0</v>
      </c>
      <c r="M350" s="100">
        <v>0</v>
      </c>
      <c r="N350" s="100">
        <v>0</v>
      </c>
      <c r="O350" s="100">
        <v>0</v>
      </c>
      <c r="P350" s="100">
        <v>0</v>
      </c>
      <c r="Q350" s="100">
        <v>0</v>
      </c>
      <c r="R350" s="100">
        <v>0</v>
      </c>
      <c r="S350" s="100">
        <v>0</v>
      </c>
      <c r="T350" s="100">
        <v>0</v>
      </c>
      <c r="U350" s="100">
        <v>0</v>
      </c>
      <c r="V350" s="100">
        <v>0</v>
      </c>
      <c r="W350" s="100">
        <v>0</v>
      </c>
      <c r="X350" s="45" t="s">
        <v>4</v>
      </c>
      <c r="Y350" s="49">
        <v>0</v>
      </c>
      <c r="Z350" s="45">
        <v>0</v>
      </c>
      <c r="AA350" s="45">
        <v>0</v>
      </c>
      <c r="AB350" s="45">
        <v>0</v>
      </c>
      <c r="AC350" s="45">
        <v>0</v>
      </c>
      <c r="AD350" s="45">
        <v>0</v>
      </c>
      <c r="AE350" s="45">
        <v>0</v>
      </c>
      <c r="AF350" s="45">
        <v>0</v>
      </c>
      <c r="AG350" s="45">
        <v>0</v>
      </c>
      <c r="AH350" s="45">
        <v>0</v>
      </c>
      <c r="AI350" s="45">
        <v>0</v>
      </c>
      <c r="AJ350" s="45">
        <v>0</v>
      </c>
      <c r="AK350" s="45">
        <v>0</v>
      </c>
      <c r="AL350" s="45">
        <v>0</v>
      </c>
      <c r="AM350" s="45">
        <v>0</v>
      </c>
      <c r="AN350" s="45">
        <v>0</v>
      </c>
      <c r="AO350" s="45"/>
      <c r="AP350" s="45"/>
      <c r="AQ350" s="45"/>
      <c r="AR350" s="45"/>
      <c r="AS350" s="45"/>
      <c r="AT350" s="45"/>
      <c r="AU350" s="45"/>
      <c r="AV350" s="45"/>
      <c r="AW350" s="45"/>
      <c r="AX350" s="45"/>
      <c r="AY350" s="45"/>
      <c r="AZ350" s="45"/>
      <c r="BA350" s="45"/>
      <c r="BB350" s="45"/>
      <c r="BC350" s="45"/>
      <c r="BD350" s="93"/>
      <c r="BE350" s="93"/>
      <c r="BF350" s="93"/>
      <c r="BG350" s="93"/>
      <c r="BH350" s="93"/>
      <c r="BI350" s="93"/>
      <c r="BJ350" s="93"/>
      <c r="BK350" s="93">
        <f>SUM($Z350:AD350)-SUM($CM350:CQ350)</f>
        <v>-8</v>
      </c>
      <c r="BL350" s="93">
        <f>SUM($Z350:AE350)-SUM($CM350:CR350)</f>
        <v>-16</v>
      </c>
      <c r="BM350" s="93">
        <f>SUM($Z350:AF350)-SUM($CM350:CS350)</f>
        <v>-24</v>
      </c>
      <c r="BN350" s="93">
        <f>SUM($Z350:AG350)-SUM($CM350:CT350)</f>
        <v>-32</v>
      </c>
      <c r="BO350" s="93">
        <f>SUM($Z350:AH350)-SUM($CM350:CU350)</f>
        <v>-40</v>
      </c>
      <c r="BP350" s="93">
        <f>SUM($Z350:AI350)-SUM($CM350:CV350)</f>
        <v>-48</v>
      </c>
      <c r="BQ350" s="93">
        <f>SUM($Z350:AJ350)-SUM($CM350:CW350)</f>
        <v>-56</v>
      </c>
      <c r="BR350" s="93">
        <f>SUM($Z350:AK350)-SUM($CM350:CX350)</f>
        <v>-64</v>
      </c>
      <c r="BS350" s="93">
        <f>SUM($Z350:AL350)-SUM($CM350:CY350)</f>
        <v>-72</v>
      </c>
      <c r="BT350" s="93">
        <f>SUM($Z350:AM350)-SUM($CM350:CZ350)</f>
        <v>-80</v>
      </c>
      <c r="BU350" s="93">
        <f>SUM($Z350:AN350)-SUM($CM350:DA350)</f>
        <v>-88</v>
      </c>
      <c r="BV350" s="93">
        <f>SUM($Z350:AO350)-SUM($CM350:DB350)</f>
        <v>-96</v>
      </c>
      <c r="BW350" s="93">
        <f>SUM($Z350:AP350)-SUM($CM350:DC350)</f>
        <v>-102</v>
      </c>
      <c r="BX350" s="93">
        <f>SUM($Z350:AQ350)-SUM($CM350:DD350)</f>
        <v>-102</v>
      </c>
      <c r="BY350" s="93">
        <f>SUM($Z350:AR350)-SUM($CM350:DE350)</f>
        <v>-102</v>
      </c>
      <c r="BZ350" s="93">
        <f>SUM($Z350:AS350)-SUM($CM350:DF350)</f>
        <v>-102</v>
      </c>
      <c r="CA350" s="93">
        <f>SUM($Z350:AT350)-SUM($CM350:DG350)</f>
        <v>-102</v>
      </c>
      <c r="CB350" s="93">
        <f>SUM($Z350:AU350)-SUM($CM350:DH350)</f>
        <v>-102</v>
      </c>
      <c r="CC350" s="93">
        <f>SUM($Z350:AV350)-SUM($CM350:DI350)</f>
        <v>-102</v>
      </c>
      <c r="CD350" s="93">
        <f>SUM($Z350:AW350)-SUM($CM350:DJ350)</f>
        <v>-102</v>
      </c>
      <c r="CE350" s="93">
        <f>SUM($Z350:AX350)-SUM($CM350:DK350)</f>
        <v>-102</v>
      </c>
      <c r="CF350" s="93">
        <f>SUM($Z350:AY350)-SUM($CM350:DL350)</f>
        <v>-102</v>
      </c>
      <c r="CG350" s="93">
        <f>SUM($Z350:AZ350)-SUM($CM350:DM350)</f>
        <v>-102</v>
      </c>
      <c r="CH350" s="93">
        <f>SUM($Z350:BA350)-SUM($CM350:DN350)</f>
        <v>-102</v>
      </c>
      <c r="CI350" s="93">
        <f>SUM($Z350:BB350)-SUM($CM350:DO350)</f>
        <v>-102</v>
      </c>
      <c r="CJ350" s="93"/>
      <c r="CK350" s="93"/>
      <c r="CL350" s="93"/>
      <c r="CM350" s="93"/>
      <c r="CN350" s="93" cm="1">
        <f t="array" ref="CN350">SUMPRODUCT(TRANSPOSE(CN$4:CN$20),$G350:$W350)</f>
        <v>0</v>
      </c>
      <c r="CO350" s="93" cm="1">
        <f t="array" ref="CO350">SUMPRODUCT(TRANSPOSE(CO$4:CO$20),$G350:$W350)</f>
        <v>0</v>
      </c>
      <c r="CP350" s="93" cm="1">
        <f t="array" ref="CP350">SUMPRODUCT(TRANSPOSE(CP$4:CP$20),$G350:$W350)</f>
        <v>0</v>
      </c>
      <c r="CQ350" s="93" cm="1">
        <f t="array" ref="CQ350">SUMPRODUCT(TRANSPOSE(CQ$4:CQ$20),$G350:$W350)</f>
        <v>8</v>
      </c>
      <c r="CR350" s="93" cm="1">
        <f t="array" ref="CR350">SUMPRODUCT(TRANSPOSE(CR$4:CR$20),$G350:$W350)</f>
        <v>8</v>
      </c>
      <c r="CS350" s="93" cm="1">
        <f t="array" ref="CS350">SUMPRODUCT(TRANSPOSE(CS$4:CS$20),$G350:$W350)</f>
        <v>8</v>
      </c>
      <c r="CT350" s="93" cm="1">
        <f t="array" ref="CT350">SUMPRODUCT(TRANSPOSE(CT$4:CT$20),$G350:$W350)</f>
        <v>8</v>
      </c>
      <c r="CU350" s="93" cm="1">
        <f t="array" ref="CU350">SUMPRODUCT(TRANSPOSE(CU$4:CU$20),$G350:$W350)</f>
        <v>8</v>
      </c>
      <c r="CV350" s="93" cm="1">
        <f t="array" ref="CV350">SUMPRODUCT(TRANSPOSE(CV$4:CV$20),$G350:$W350)</f>
        <v>8</v>
      </c>
      <c r="CW350" s="93" cm="1">
        <f t="array" ref="CW350">SUMPRODUCT(TRANSPOSE(CW$4:CW$20),$G350:$W350)</f>
        <v>8</v>
      </c>
      <c r="CX350" s="93" cm="1">
        <f t="array" ref="CX350">SUMPRODUCT(TRANSPOSE(CX$4:CX$20),$G350:$W350)</f>
        <v>8</v>
      </c>
      <c r="CY350" s="93" cm="1">
        <f t="array" ref="CY350">SUMPRODUCT(TRANSPOSE(CY$4:CY$20),$G350:$W350)</f>
        <v>8</v>
      </c>
      <c r="CZ350" s="93" cm="1">
        <f t="array" ref="CZ350">SUMPRODUCT(TRANSPOSE(CZ$4:CZ$20),$G350:$W350)</f>
        <v>8</v>
      </c>
      <c r="DA350" s="93" cm="1">
        <f t="array" ref="DA350">SUMPRODUCT(TRANSPOSE(DA$4:DA$20),$G350:$W350)</f>
        <v>8</v>
      </c>
      <c r="DB350" s="93" cm="1">
        <f t="array" ref="DB350">SUMPRODUCT(TRANSPOSE(DB$4:DB$20),$G350:$W350)</f>
        <v>8</v>
      </c>
      <c r="DC350" s="93" cm="1">
        <f t="array" ref="DC350">SUMPRODUCT(TRANSPOSE(DC$4:DC$20),$G350:$W350)</f>
        <v>6</v>
      </c>
      <c r="DD350" s="93" cm="1">
        <f t="array" ref="DD350">SUMPRODUCT(TRANSPOSE(DD$4:DD$20),$G350:$W350)</f>
        <v>0</v>
      </c>
      <c r="DE350" s="93" cm="1">
        <f t="array" ref="DE350">SUMPRODUCT(TRANSPOSE(DE$4:DE$20),$G350:$W350)</f>
        <v>0</v>
      </c>
      <c r="DF350" s="93" cm="1">
        <f t="array" ref="DF350">SUMPRODUCT(TRANSPOSE(DF$4:DF$20),$G350:$W350)</f>
        <v>0</v>
      </c>
      <c r="DG350" s="93" cm="1">
        <f t="array" ref="DG350">SUMPRODUCT(TRANSPOSE(DG$4:DG$20),$G350:$W350)</f>
        <v>0</v>
      </c>
      <c r="DH350" s="93" cm="1">
        <f t="array" ref="DH350">SUMPRODUCT(TRANSPOSE(DH$4:DH$20),$G350:$W350)</f>
        <v>0</v>
      </c>
      <c r="DI350" s="93" cm="1">
        <f t="array" ref="DI350">SUMPRODUCT(TRANSPOSE(DI$4:DI$20),$G350:$W350)</f>
        <v>0</v>
      </c>
      <c r="DJ350" s="93" cm="1">
        <f t="array" ref="DJ350">SUMPRODUCT(TRANSPOSE(DJ$4:DJ$20),$G350:$W350)</f>
        <v>0</v>
      </c>
      <c r="DK350" s="93" cm="1">
        <f t="array" ref="DK350">SUMPRODUCT(TRANSPOSE(DK$4:DK$20),$G350:$W350)</f>
        <v>0</v>
      </c>
      <c r="DL350" s="93" cm="1">
        <f t="array" ref="DL350">SUMPRODUCT(TRANSPOSE(DL$4:DL$20),$G350:$W350)</f>
        <v>0</v>
      </c>
      <c r="DM350" s="93" cm="1">
        <f t="array" ref="DM350">SUMPRODUCT(TRANSPOSE(DM$4:DM$20),$G350:$W350)</f>
        <v>0</v>
      </c>
      <c r="DN350" s="93" cm="1">
        <f t="array" ref="DN350">SUMPRODUCT(TRANSPOSE(DN$4:DN$20),$G350:$W350)</f>
        <v>0</v>
      </c>
      <c r="DO350" s="93" cm="1">
        <f t="array" ref="DO350">SUMPRODUCT(TRANSPOSE(DO$4:DO$20),$G350:$W350)</f>
        <v>0</v>
      </c>
    </row>
    <row r="351" spans="1:119" x14ac:dyDescent="0.2">
      <c r="A351" s="45">
        <f t="shared" si="31"/>
        <v>330</v>
      </c>
      <c r="B351" s="64" t="s">
        <v>775</v>
      </c>
      <c r="C351" s="45">
        <v>413256893</v>
      </c>
      <c r="D351" s="45" t="s">
        <v>776</v>
      </c>
      <c r="E351" s="45" t="s">
        <v>162</v>
      </c>
      <c r="F351" s="48">
        <v>1</v>
      </c>
      <c r="G351" s="100">
        <v>2</v>
      </c>
      <c r="H351" s="100">
        <v>0</v>
      </c>
      <c r="I351" s="100">
        <v>0</v>
      </c>
      <c r="J351" s="100">
        <v>0</v>
      </c>
      <c r="K351" s="100">
        <v>0</v>
      </c>
      <c r="L351" s="100">
        <v>0</v>
      </c>
      <c r="M351" s="100">
        <v>0</v>
      </c>
      <c r="N351" s="100">
        <v>0</v>
      </c>
      <c r="O351" s="100">
        <v>0</v>
      </c>
      <c r="P351" s="100">
        <v>0</v>
      </c>
      <c r="Q351" s="100">
        <v>0</v>
      </c>
      <c r="R351" s="100">
        <v>0</v>
      </c>
      <c r="S351" s="100">
        <v>0</v>
      </c>
      <c r="T351" s="100">
        <v>0</v>
      </c>
      <c r="U351" s="100">
        <v>0</v>
      </c>
      <c r="V351" s="100">
        <v>0</v>
      </c>
      <c r="W351" s="100">
        <v>0</v>
      </c>
      <c r="X351" s="45" t="s">
        <v>44</v>
      </c>
      <c r="Y351" s="49">
        <v>0.9</v>
      </c>
      <c r="Z351" s="45">
        <v>260</v>
      </c>
      <c r="AA351" s="45">
        <v>0</v>
      </c>
      <c r="AB351" s="45">
        <v>0</v>
      </c>
      <c r="AC351" s="45">
        <v>0</v>
      </c>
      <c r="AD351" s="45">
        <v>0</v>
      </c>
      <c r="AE351" s="45">
        <v>0</v>
      </c>
      <c r="AF351" s="45">
        <v>0</v>
      </c>
      <c r="AG351" s="45">
        <v>0</v>
      </c>
      <c r="AH351" s="45">
        <v>0</v>
      </c>
      <c r="AI351" s="45">
        <v>0</v>
      </c>
      <c r="AJ351" s="45">
        <v>0</v>
      </c>
      <c r="AK351" s="45">
        <v>0</v>
      </c>
      <c r="AL351" s="45">
        <v>0</v>
      </c>
      <c r="AM351" s="45">
        <v>0</v>
      </c>
      <c r="AN351" s="45">
        <v>0</v>
      </c>
      <c r="AO351" s="45"/>
      <c r="AP351" s="45"/>
      <c r="AQ351" s="45"/>
      <c r="AR351" s="45"/>
      <c r="AS351" s="45"/>
      <c r="AT351" s="45"/>
      <c r="AU351" s="45"/>
      <c r="AV351" s="45"/>
      <c r="AW351" s="45"/>
      <c r="AX351" s="45"/>
      <c r="AY351" s="45"/>
      <c r="AZ351" s="45"/>
      <c r="BA351" s="45"/>
      <c r="BB351" s="45"/>
      <c r="BC351" s="45"/>
      <c r="BD351" s="93"/>
      <c r="BE351" s="93"/>
      <c r="BF351" s="93"/>
      <c r="BG351" s="93"/>
      <c r="BH351" s="93"/>
      <c r="BI351" s="93"/>
      <c r="BJ351" s="93"/>
      <c r="BK351" s="93">
        <f>SUM($Z351:AD351)-SUM($CM351:CQ351)</f>
        <v>244</v>
      </c>
      <c r="BL351" s="93">
        <f>SUM($Z351:AE351)-SUM($CM351:CR351)</f>
        <v>228</v>
      </c>
      <c r="BM351" s="93">
        <f>SUM($Z351:AF351)-SUM($CM351:CS351)</f>
        <v>212</v>
      </c>
      <c r="BN351" s="93">
        <f>SUM($Z351:AG351)-SUM($CM351:CT351)</f>
        <v>196</v>
      </c>
      <c r="BO351" s="93">
        <f>SUM($Z351:AH351)-SUM($CM351:CU351)</f>
        <v>180</v>
      </c>
      <c r="BP351" s="93">
        <f>SUM($Z351:AI351)-SUM($CM351:CV351)</f>
        <v>164</v>
      </c>
      <c r="BQ351" s="93">
        <f>SUM($Z351:AJ351)-SUM($CM351:CW351)</f>
        <v>148</v>
      </c>
      <c r="BR351" s="93">
        <f>SUM($Z351:AK351)-SUM($CM351:CX351)</f>
        <v>132</v>
      </c>
      <c r="BS351" s="93">
        <f>SUM($Z351:AL351)-SUM($CM351:CY351)</f>
        <v>116</v>
      </c>
      <c r="BT351" s="93">
        <f>SUM($Z351:AM351)-SUM($CM351:CZ351)</f>
        <v>100</v>
      </c>
      <c r="BU351" s="93">
        <f>SUM($Z351:AN351)-SUM($CM351:DA351)</f>
        <v>84</v>
      </c>
      <c r="BV351" s="93">
        <f>SUM($Z351:AO351)-SUM($CM351:DB351)</f>
        <v>68</v>
      </c>
      <c r="BW351" s="93">
        <f>SUM($Z351:AP351)-SUM($CM351:DC351)</f>
        <v>56</v>
      </c>
      <c r="BX351" s="93">
        <f>SUM($Z351:AQ351)-SUM($CM351:DD351)</f>
        <v>56</v>
      </c>
      <c r="BY351" s="93">
        <f>SUM($Z351:AR351)-SUM($CM351:DE351)</f>
        <v>56</v>
      </c>
      <c r="BZ351" s="93">
        <f>SUM($Z351:AS351)-SUM($CM351:DF351)</f>
        <v>56</v>
      </c>
      <c r="CA351" s="93">
        <f>SUM($Z351:AT351)-SUM($CM351:DG351)</f>
        <v>56</v>
      </c>
      <c r="CB351" s="93">
        <f>SUM($Z351:AU351)-SUM($CM351:DH351)</f>
        <v>56</v>
      </c>
      <c r="CC351" s="93">
        <f>SUM($Z351:AV351)-SUM($CM351:DI351)</f>
        <v>56</v>
      </c>
      <c r="CD351" s="93">
        <f>SUM($Z351:AW351)-SUM($CM351:DJ351)</f>
        <v>56</v>
      </c>
      <c r="CE351" s="93">
        <f>SUM($Z351:AX351)-SUM($CM351:DK351)</f>
        <v>56</v>
      </c>
      <c r="CF351" s="93">
        <f>SUM($Z351:AY351)-SUM($CM351:DL351)</f>
        <v>56</v>
      </c>
      <c r="CG351" s="93">
        <f>SUM($Z351:AZ351)-SUM($CM351:DM351)</f>
        <v>56</v>
      </c>
      <c r="CH351" s="93">
        <f>SUM($Z351:BA351)-SUM($CM351:DN351)</f>
        <v>56</v>
      </c>
      <c r="CI351" s="93">
        <f>SUM($Z351:BB351)-SUM($CM351:DO351)</f>
        <v>56</v>
      </c>
      <c r="CJ351" s="93"/>
      <c r="CK351" s="93"/>
      <c r="CL351" s="93"/>
      <c r="CM351" s="93"/>
      <c r="CN351" s="93" cm="1">
        <f t="array" ref="CN351">SUMPRODUCT(TRANSPOSE(CN$4:CN$20),$G351:$W351)</f>
        <v>0</v>
      </c>
      <c r="CO351" s="93" cm="1">
        <f t="array" ref="CO351">SUMPRODUCT(TRANSPOSE(CO$4:CO$20),$G351:$W351)</f>
        <v>0</v>
      </c>
      <c r="CP351" s="93" cm="1">
        <f t="array" ref="CP351">SUMPRODUCT(TRANSPOSE(CP$4:CP$20),$G351:$W351)</f>
        <v>0</v>
      </c>
      <c r="CQ351" s="93" cm="1">
        <f t="array" ref="CQ351">SUMPRODUCT(TRANSPOSE(CQ$4:CQ$20),$G351:$W351)</f>
        <v>16</v>
      </c>
      <c r="CR351" s="93" cm="1">
        <f t="array" ref="CR351">SUMPRODUCT(TRANSPOSE(CR$4:CR$20),$G351:$W351)</f>
        <v>16</v>
      </c>
      <c r="CS351" s="93" cm="1">
        <f t="array" ref="CS351">SUMPRODUCT(TRANSPOSE(CS$4:CS$20),$G351:$W351)</f>
        <v>16</v>
      </c>
      <c r="CT351" s="93" cm="1">
        <f t="array" ref="CT351">SUMPRODUCT(TRANSPOSE(CT$4:CT$20),$G351:$W351)</f>
        <v>16</v>
      </c>
      <c r="CU351" s="93" cm="1">
        <f t="array" ref="CU351">SUMPRODUCT(TRANSPOSE(CU$4:CU$20),$G351:$W351)</f>
        <v>16</v>
      </c>
      <c r="CV351" s="93" cm="1">
        <f t="array" ref="CV351">SUMPRODUCT(TRANSPOSE(CV$4:CV$20),$G351:$W351)</f>
        <v>16</v>
      </c>
      <c r="CW351" s="93" cm="1">
        <f t="array" ref="CW351">SUMPRODUCT(TRANSPOSE(CW$4:CW$20),$G351:$W351)</f>
        <v>16</v>
      </c>
      <c r="CX351" s="93" cm="1">
        <f t="array" ref="CX351">SUMPRODUCT(TRANSPOSE(CX$4:CX$20),$G351:$W351)</f>
        <v>16</v>
      </c>
      <c r="CY351" s="93" cm="1">
        <f t="array" ref="CY351">SUMPRODUCT(TRANSPOSE(CY$4:CY$20),$G351:$W351)</f>
        <v>16</v>
      </c>
      <c r="CZ351" s="93" cm="1">
        <f t="array" ref="CZ351">SUMPRODUCT(TRANSPOSE(CZ$4:CZ$20),$G351:$W351)</f>
        <v>16</v>
      </c>
      <c r="DA351" s="93" cm="1">
        <f t="array" ref="DA351">SUMPRODUCT(TRANSPOSE(DA$4:DA$20),$G351:$W351)</f>
        <v>16</v>
      </c>
      <c r="DB351" s="93" cm="1">
        <f t="array" ref="DB351">SUMPRODUCT(TRANSPOSE(DB$4:DB$20),$G351:$W351)</f>
        <v>16</v>
      </c>
      <c r="DC351" s="93" cm="1">
        <f t="array" ref="DC351">SUMPRODUCT(TRANSPOSE(DC$4:DC$20),$G351:$W351)</f>
        <v>12</v>
      </c>
      <c r="DD351" s="93" cm="1">
        <f t="array" ref="DD351">SUMPRODUCT(TRANSPOSE(DD$4:DD$20),$G351:$W351)</f>
        <v>0</v>
      </c>
      <c r="DE351" s="93" cm="1">
        <f t="array" ref="DE351">SUMPRODUCT(TRANSPOSE(DE$4:DE$20),$G351:$W351)</f>
        <v>0</v>
      </c>
      <c r="DF351" s="93" cm="1">
        <f t="array" ref="DF351">SUMPRODUCT(TRANSPOSE(DF$4:DF$20),$G351:$W351)</f>
        <v>0</v>
      </c>
      <c r="DG351" s="93" cm="1">
        <f t="array" ref="DG351">SUMPRODUCT(TRANSPOSE(DG$4:DG$20),$G351:$W351)</f>
        <v>0</v>
      </c>
      <c r="DH351" s="93" cm="1">
        <f t="array" ref="DH351">SUMPRODUCT(TRANSPOSE(DH$4:DH$20),$G351:$W351)</f>
        <v>0</v>
      </c>
      <c r="DI351" s="93" cm="1">
        <f t="array" ref="DI351">SUMPRODUCT(TRANSPOSE(DI$4:DI$20),$G351:$W351)</f>
        <v>0</v>
      </c>
      <c r="DJ351" s="93" cm="1">
        <f t="array" ref="DJ351">SUMPRODUCT(TRANSPOSE(DJ$4:DJ$20),$G351:$W351)</f>
        <v>0</v>
      </c>
      <c r="DK351" s="93" cm="1">
        <f t="array" ref="DK351">SUMPRODUCT(TRANSPOSE(DK$4:DK$20),$G351:$W351)</f>
        <v>0</v>
      </c>
      <c r="DL351" s="93" cm="1">
        <f t="array" ref="DL351">SUMPRODUCT(TRANSPOSE(DL$4:DL$20),$G351:$W351)</f>
        <v>0</v>
      </c>
      <c r="DM351" s="93" cm="1">
        <f t="array" ref="DM351">SUMPRODUCT(TRANSPOSE(DM$4:DM$20),$G351:$W351)</f>
        <v>0</v>
      </c>
      <c r="DN351" s="93" cm="1">
        <f t="array" ref="DN351">SUMPRODUCT(TRANSPOSE(DN$4:DN$20),$G351:$W351)</f>
        <v>0</v>
      </c>
      <c r="DO351" s="93" cm="1">
        <f t="array" ref="DO351">SUMPRODUCT(TRANSPOSE(DO$4:DO$20),$G351:$W351)</f>
        <v>0</v>
      </c>
    </row>
    <row r="352" spans="1:119" x14ac:dyDescent="0.2">
      <c r="A352" s="45">
        <f t="shared" si="31"/>
        <v>331</v>
      </c>
      <c r="B352" s="64" t="s">
        <v>777</v>
      </c>
      <c r="C352" s="45">
        <v>412687032</v>
      </c>
      <c r="D352" s="45" t="s">
        <v>778</v>
      </c>
      <c r="E352" s="45" t="s">
        <v>162</v>
      </c>
      <c r="F352" s="48">
        <v>1</v>
      </c>
      <c r="G352" s="100">
        <v>1</v>
      </c>
      <c r="H352" s="100">
        <v>0</v>
      </c>
      <c r="I352" s="100">
        <v>0</v>
      </c>
      <c r="J352" s="100">
        <v>0</v>
      </c>
      <c r="K352" s="100">
        <v>0</v>
      </c>
      <c r="L352" s="100">
        <v>0</v>
      </c>
      <c r="M352" s="100">
        <v>0</v>
      </c>
      <c r="N352" s="100">
        <v>0</v>
      </c>
      <c r="O352" s="100">
        <v>0</v>
      </c>
      <c r="P352" s="100">
        <v>0</v>
      </c>
      <c r="Q352" s="100">
        <v>0</v>
      </c>
      <c r="R352" s="100">
        <v>0</v>
      </c>
      <c r="S352" s="100">
        <v>0</v>
      </c>
      <c r="T352" s="100">
        <v>0</v>
      </c>
      <c r="U352" s="100">
        <v>0</v>
      </c>
      <c r="V352" s="100">
        <v>0</v>
      </c>
      <c r="W352" s="100">
        <v>0</v>
      </c>
      <c r="X352" s="88" t="s">
        <v>46</v>
      </c>
      <c r="Y352" s="49">
        <v>1200</v>
      </c>
      <c r="Z352" s="45">
        <v>49</v>
      </c>
      <c r="AA352" s="45">
        <v>0</v>
      </c>
      <c r="AB352" s="45">
        <v>0</v>
      </c>
      <c r="AC352" s="45">
        <v>0</v>
      </c>
      <c r="AD352" s="45">
        <v>0</v>
      </c>
      <c r="AE352" s="45">
        <v>20</v>
      </c>
      <c r="AF352" s="45">
        <v>58</v>
      </c>
      <c r="AG352" s="45">
        <v>0</v>
      </c>
      <c r="AH352" s="45">
        <v>0</v>
      </c>
      <c r="AI352" s="45">
        <v>0</v>
      </c>
      <c r="AJ352" s="45">
        <v>0</v>
      </c>
      <c r="AK352" s="45">
        <v>0</v>
      </c>
      <c r="AL352" s="45">
        <v>0</v>
      </c>
      <c r="AM352" s="45">
        <v>0</v>
      </c>
      <c r="AN352" s="45">
        <v>0</v>
      </c>
      <c r="AO352" s="45"/>
      <c r="AP352" s="45"/>
      <c r="AQ352" s="45"/>
      <c r="AR352" s="45"/>
      <c r="AS352" s="45"/>
      <c r="AT352" s="45"/>
      <c r="AU352" s="45"/>
      <c r="AV352" s="45"/>
      <c r="AW352" s="45"/>
      <c r="AX352" s="45"/>
      <c r="AY352" s="45"/>
      <c r="AZ352" s="45"/>
      <c r="BA352" s="45"/>
      <c r="BB352" s="45"/>
      <c r="BC352" s="45"/>
      <c r="BD352" s="93"/>
      <c r="BE352" s="93"/>
      <c r="BF352" s="93"/>
      <c r="BG352" s="93"/>
      <c r="BH352" s="93"/>
      <c r="BI352" s="93"/>
      <c r="BJ352" s="93"/>
      <c r="BK352" s="93">
        <f>SUM($Z352:AD352)-SUM($CM352:CQ352)</f>
        <v>41</v>
      </c>
      <c r="BL352" s="93">
        <f>SUM($Z352:AE352)-SUM($CM352:CR352)</f>
        <v>53</v>
      </c>
      <c r="BM352" s="93">
        <f>SUM($Z352:AF352)-SUM($CM352:CS352)</f>
        <v>103</v>
      </c>
      <c r="BN352" s="93">
        <f>SUM($Z352:AG352)-SUM($CM352:CT352)</f>
        <v>95</v>
      </c>
      <c r="BO352" s="93">
        <f>SUM($Z352:AH352)-SUM($CM352:CU352)</f>
        <v>87</v>
      </c>
      <c r="BP352" s="93">
        <f>SUM($Z352:AI352)-SUM($CM352:CV352)</f>
        <v>79</v>
      </c>
      <c r="BQ352" s="93">
        <f>SUM($Z352:AJ352)-SUM($CM352:CW352)</f>
        <v>71</v>
      </c>
      <c r="BR352" s="93">
        <f>SUM($Z352:AK352)-SUM($CM352:CX352)</f>
        <v>63</v>
      </c>
      <c r="BS352" s="93">
        <f>SUM($Z352:AL352)-SUM($CM352:CY352)</f>
        <v>55</v>
      </c>
      <c r="BT352" s="93">
        <f>SUM($Z352:AM352)-SUM($CM352:CZ352)</f>
        <v>47</v>
      </c>
      <c r="BU352" s="93">
        <f>SUM($Z352:AN352)-SUM($CM352:DA352)</f>
        <v>39</v>
      </c>
      <c r="BV352" s="93">
        <f>SUM($Z352:AO352)-SUM($CM352:DB352)</f>
        <v>31</v>
      </c>
      <c r="BW352" s="93">
        <f>SUM($Z352:AP352)-SUM($CM352:DC352)</f>
        <v>25</v>
      </c>
      <c r="BX352" s="93">
        <f>SUM($Z352:AQ352)-SUM($CM352:DD352)</f>
        <v>25</v>
      </c>
      <c r="BY352" s="93">
        <f>SUM($Z352:AR352)-SUM($CM352:DE352)</f>
        <v>25</v>
      </c>
      <c r="BZ352" s="93">
        <f>SUM($Z352:AS352)-SUM($CM352:DF352)</f>
        <v>25</v>
      </c>
      <c r="CA352" s="93">
        <f>SUM($Z352:AT352)-SUM($CM352:DG352)</f>
        <v>25</v>
      </c>
      <c r="CB352" s="93">
        <f>SUM($Z352:AU352)-SUM($CM352:DH352)</f>
        <v>25</v>
      </c>
      <c r="CC352" s="93">
        <f>SUM($Z352:AV352)-SUM($CM352:DI352)</f>
        <v>25</v>
      </c>
      <c r="CD352" s="93">
        <f>SUM($Z352:AW352)-SUM($CM352:DJ352)</f>
        <v>25</v>
      </c>
      <c r="CE352" s="93">
        <f>SUM($Z352:AX352)-SUM($CM352:DK352)</f>
        <v>25</v>
      </c>
      <c r="CF352" s="93">
        <f>SUM($Z352:AY352)-SUM($CM352:DL352)</f>
        <v>25</v>
      </c>
      <c r="CG352" s="93">
        <f>SUM($Z352:AZ352)-SUM($CM352:DM352)</f>
        <v>25</v>
      </c>
      <c r="CH352" s="93">
        <f>SUM($Z352:BA352)-SUM($CM352:DN352)</f>
        <v>25</v>
      </c>
      <c r="CI352" s="93">
        <f>SUM($Z352:BB352)-SUM($CM352:DO352)</f>
        <v>25</v>
      </c>
      <c r="CJ352" s="93"/>
      <c r="CK352" s="93"/>
      <c r="CL352" s="93"/>
      <c r="CM352" s="93"/>
      <c r="CN352" s="93" cm="1">
        <f t="array" ref="CN352">SUMPRODUCT(TRANSPOSE(CN$4:CN$20),$G352:$W352)</f>
        <v>0</v>
      </c>
      <c r="CO352" s="93" cm="1">
        <f t="array" ref="CO352">SUMPRODUCT(TRANSPOSE(CO$4:CO$20),$G352:$W352)</f>
        <v>0</v>
      </c>
      <c r="CP352" s="93" cm="1">
        <f t="array" ref="CP352">SUMPRODUCT(TRANSPOSE(CP$4:CP$20),$G352:$W352)</f>
        <v>0</v>
      </c>
      <c r="CQ352" s="93" cm="1">
        <f t="array" ref="CQ352">SUMPRODUCT(TRANSPOSE(CQ$4:CQ$20),$G352:$W352)</f>
        <v>8</v>
      </c>
      <c r="CR352" s="93" cm="1">
        <f t="array" ref="CR352">SUMPRODUCT(TRANSPOSE(CR$4:CR$20),$G352:$W352)</f>
        <v>8</v>
      </c>
      <c r="CS352" s="93" cm="1">
        <f t="array" ref="CS352">SUMPRODUCT(TRANSPOSE(CS$4:CS$20),$G352:$W352)</f>
        <v>8</v>
      </c>
      <c r="CT352" s="93" cm="1">
        <f t="array" ref="CT352">SUMPRODUCT(TRANSPOSE(CT$4:CT$20),$G352:$W352)</f>
        <v>8</v>
      </c>
      <c r="CU352" s="93" cm="1">
        <f t="array" ref="CU352">SUMPRODUCT(TRANSPOSE(CU$4:CU$20),$G352:$W352)</f>
        <v>8</v>
      </c>
      <c r="CV352" s="93" cm="1">
        <f t="array" ref="CV352">SUMPRODUCT(TRANSPOSE(CV$4:CV$20),$G352:$W352)</f>
        <v>8</v>
      </c>
      <c r="CW352" s="93" cm="1">
        <f t="array" ref="CW352">SUMPRODUCT(TRANSPOSE(CW$4:CW$20),$G352:$W352)</f>
        <v>8</v>
      </c>
      <c r="CX352" s="93" cm="1">
        <f t="array" ref="CX352">SUMPRODUCT(TRANSPOSE(CX$4:CX$20),$G352:$W352)</f>
        <v>8</v>
      </c>
      <c r="CY352" s="93" cm="1">
        <f t="array" ref="CY352">SUMPRODUCT(TRANSPOSE(CY$4:CY$20),$G352:$W352)</f>
        <v>8</v>
      </c>
      <c r="CZ352" s="93" cm="1">
        <f t="array" ref="CZ352">SUMPRODUCT(TRANSPOSE(CZ$4:CZ$20),$G352:$W352)</f>
        <v>8</v>
      </c>
      <c r="DA352" s="93" cm="1">
        <f t="array" ref="DA352">SUMPRODUCT(TRANSPOSE(DA$4:DA$20),$G352:$W352)</f>
        <v>8</v>
      </c>
      <c r="DB352" s="93" cm="1">
        <f t="array" ref="DB352">SUMPRODUCT(TRANSPOSE(DB$4:DB$20),$G352:$W352)</f>
        <v>8</v>
      </c>
      <c r="DC352" s="93" cm="1">
        <f t="array" ref="DC352">SUMPRODUCT(TRANSPOSE(DC$4:DC$20),$G352:$W352)</f>
        <v>6</v>
      </c>
      <c r="DD352" s="93" cm="1">
        <f t="array" ref="DD352">SUMPRODUCT(TRANSPOSE(DD$4:DD$20),$G352:$W352)</f>
        <v>0</v>
      </c>
      <c r="DE352" s="93" cm="1">
        <f t="array" ref="DE352">SUMPRODUCT(TRANSPOSE(DE$4:DE$20),$G352:$W352)</f>
        <v>0</v>
      </c>
      <c r="DF352" s="93" cm="1">
        <f t="array" ref="DF352">SUMPRODUCT(TRANSPOSE(DF$4:DF$20),$G352:$W352)</f>
        <v>0</v>
      </c>
      <c r="DG352" s="93" cm="1">
        <f t="array" ref="DG352">SUMPRODUCT(TRANSPOSE(DG$4:DG$20),$G352:$W352)</f>
        <v>0</v>
      </c>
      <c r="DH352" s="93" cm="1">
        <f t="array" ref="DH352">SUMPRODUCT(TRANSPOSE(DH$4:DH$20),$G352:$W352)</f>
        <v>0</v>
      </c>
      <c r="DI352" s="93" cm="1">
        <f t="array" ref="DI352">SUMPRODUCT(TRANSPOSE(DI$4:DI$20),$G352:$W352)</f>
        <v>0</v>
      </c>
      <c r="DJ352" s="93" cm="1">
        <f t="array" ref="DJ352">SUMPRODUCT(TRANSPOSE(DJ$4:DJ$20),$G352:$W352)</f>
        <v>0</v>
      </c>
      <c r="DK352" s="93" cm="1">
        <f t="array" ref="DK352">SUMPRODUCT(TRANSPOSE(DK$4:DK$20),$G352:$W352)</f>
        <v>0</v>
      </c>
      <c r="DL352" s="93" cm="1">
        <f t="array" ref="DL352">SUMPRODUCT(TRANSPOSE(DL$4:DL$20),$G352:$W352)</f>
        <v>0</v>
      </c>
      <c r="DM352" s="93" cm="1">
        <f t="array" ref="DM352">SUMPRODUCT(TRANSPOSE(DM$4:DM$20),$G352:$W352)</f>
        <v>0</v>
      </c>
      <c r="DN352" s="93" cm="1">
        <f t="array" ref="DN352">SUMPRODUCT(TRANSPOSE(DN$4:DN$20),$G352:$W352)</f>
        <v>0</v>
      </c>
      <c r="DO352" s="93" cm="1">
        <f t="array" ref="DO352">SUMPRODUCT(TRANSPOSE(DO$4:DO$20),$G352:$W352)</f>
        <v>0</v>
      </c>
    </row>
    <row r="353" spans="1:119" x14ac:dyDescent="0.2">
      <c r="A353" s="74">
        <f t="shared" si="31"/>
        <v>332</v>
      </c>
      <c r="B353" s="64" t="s">
        <v>779</v>
      </c>
      <c r="C353" s="45">
        <v>417967195</v>
      </c>
      <c r="D353" s="45" t="s">
        <v>780</v>
      </c>
      <c r="E353" s="45" t="s">
        <v>162</v>
      </c>
      <c r="F353" s="48">
        <v>1</v>
      </c>
      <c r="G353" s="100">
        <v>0</v>
      </c>
      <c r="H353" s="100">
        <v>0</v>
      </c>
      <c r="I353" s="100">
        <v>1</v>
      </c>
      <c r="J353" s="100">
        <v>0</v>
      </c>
      <c r="K353" s="100">
        <v>0</v>
      </c>
      <c r="L353" s="100">
        <v>0</v>
      </c>
      <c r="M353" s="100">
        <v>0</v>
      </c>
      <c r="N353" s="100">
        <v>0</v>
      </c>
      <c r="O353" s="100">
        <v>0</v>
      </c>
      <c r="P353" s="100">
        <v>0</v>
      </c>
      <c r="Q353" s="100">
        <v>0</v>
      </c>
      <c r="R353" s="100">
        <v>0</v>
      </c>
      <c r="S353" s="100">
        <v>0</v>
      </c>
      <c r="T353" s="100">
        <v>0</v>
      </c>
      <c r="U353" s="100">
        <v>0</v>
      </c>
      <c r="V353" s="100">
        <v>0</v>
      </c>
      <c r="W353" s="100">
        <v>0</v>
      </c>
      <c r="X353" s="45" t="s">
        <v>8</v>
      </c>
      <c r="Y353" s="49">
        <v>0</v>
      </c>
      <c r="Z353" s="45">
        <v>50</v>
      </c>
      <c r="AA353" s="45">
        <v>0</v>
      </c>
      <c r="AB353" s="45">
        <v>0</v>
      </c>
      <c r="AC353" s="45">
        <v>0</v>
      </c>
      <c r="AD353" s="45">
        <v>0</v>
      </c>
      <c r="AE353" s="45">
        <v>0</v>
      </c>
      <c r="AF353" s="45">
        <v>0</v>
      </c>
      <c r="AG353" s="45">
        <v>0</v>
      </c>
      <c r="AH353" s="45">
        <v>0</v>
      </c>
      <c r="AI353" s="45">
        <v>0</v>
      </c>
      <c r="AJ353" s="45">
        <v>0</v>
      </c>
      <c r="AK353" s="45">
        <v>0</v>
      </c>
      <c r="AL353" s="45">
        <v>0</v>
      </c>
      <c r="AM353" s="45">
        <v>0</v>
      </c>
      <c r="AN353" s="45">
        <v>0</v>
      </c>
      <c r="AO353" s="45"/>
      <c r="AP353" s="45"/>
      <c r="AQ353" s="45"/>
      <c r="AR353" s="45"/>
      <c r="AS353" s="45"/>
      <c r="AT353" s="45"/>
      <c r="AU353" s="45"/>
      <c r="AV353" s="45"/>
      <c r="AW353" s="45"/>
      <c r="AX353" s="45"/>
      <c r="AY353" s="45"/>
      <c r="AZ353" s="45"/>
      <c r="BA353" s="45"/>
      <c r="BB353" s="45"/>
      <c r="BC353" s="45"/>
      <c r="BD353" s="93"/>
      <c r="BE353" s="93"/>
      <c r="BF353" s="93"/>
      <c r="BG353" s="93"/>
      <c r="BH353" s="93"/>
      <c r="BI353" s="93"/>
      <c r="BJ353" s="93"/>
      <c r="BK353" s="93">
        <f>SUM($Z353:AD353)-SUM($CM353:CQ353)</f>
        <v>42</v>
      </c>
      <c r="BL353" s="93">
        <f>SUM($Z353:AE353)-SUM($CM353:CR353)</f>
        <v>34</v>
      </c>
      <c r="BM353" s="93">
        <f>SUM($Z353:AF353)-SUM($CM353:CS353)</f>
        <v>26</v>
      </c>
      <c r="BN353" s="93">
        <f>SUM($Z353:AG353)-SUM($CM353:CT353)</f>
        <v>18</v>
      </c>
      <c r="BO353" s="93">
        <f>SUM($Z353:AH353)-SUM($CM353:CU353)</f>
        <v>10</v>
      </c>
      <c r="BP353" s="93">
        <f>SUM($Z353:AI353)-SUM($CM353:CV353)</f>
        <v>2</v>
      </c>
      <c r="BQ353" s="93">
        <f>SUM($Z353:AJ353)-SUM($CM353:CW353)</f>
        <v>-6</v>
      </c>
      <c r="BR353" s="93">
        <f>SUM($Z353:AK353)-SUM($CM353:CX353)</f>
        <v>-14</v>
      </c>
      <c r="BS353" s="93">
        <f>SUM($Z353:AL353)-SUM($CM353:CY353)</f>
        <v>-22</v>
      </c>
      <c r="BT353" s="93">
        <f>SUM($Z353:AM353)-SUM($CM353:CZ353)</f>
        <v>-30</v>
      </c>
      <c r="BU353" s="93">
        <f>SUM($Z353:AN353)-SUM($CM353:DA353)</f>
        <v>-38</v>
      </c>
      <c r="BV353" s="93">
        <f>SUM($Z353:AO353)-SUM($CM353:DB353)</f>
        <v>-46</v>
      </c>
      <c r="BW353" s="93">
        <f>SUM($Z353:AP353)-SUM($CM353:DC353)</f>
        <v>-52</v>
      </c>
      <c r="BX353" s="93">
        <f>SUM($Z353:AQ353)-SUM($CM353:DD353)</f>
        <v>-52</v>
      </c>
      <c r="BY353" s="93">
        <f>SUM($Z353:AR353)-SUM($CM353:DE353)</f>
        <v>-52</v>
      </c>
      <c r="BZ353" s="93">
        <f>SUM($Z353:AS353)-SUM($CM353:DF353)</f>
        <v>-52</v>
      </c>
      <c r="CA353" s="93">
        <f>SUM($Z353:AT353)-SUM($CM353:DG353)</f>
        <v>-52</v>
      </c>
      <c r="CB353" s="93">
        <f>SUM($Z353:AU353)-SUM($CM353:DH353)</f>
        <v>-52</v>
      </c>
      <c r="CC353" s="93">
        <f>SUM($Z353:AV353)-SUM($CM353:DI353)</f>
        <v>-52</v>
      </c>
      <c r="CD353" s="93">
        <f>SUM($Z353:AW353)-SUM($CM353:DJ353)</f>
        <v>-52</v>
      </c>
      <c r="CE353" s="93">
        <f>SUM($Z353:AX353)-SUM($CM353:DK353)</f>
        <v>-52</v>
      </c>
      <c r="CF353" s="93">
        <f>SUM($Z353:AY353)-SUM($CM353:DL353)</f>
        <v>-52</v>
      </c>
      <c r="CG353" s="93">
        <f>SUM($Z353:AZ353)-SUM($CM353:DM353)</f>
        <v>-52</v>
      </c>
      <c r="CH353" s="93">
        <f>SUM($Z353:BA353)-SUM($CM353:DN353)</f>
        <v>-52</v>
      </c>
      <c r="CI353" s="93">
        <f>SUM($Z353:BB353)-SUM($CM353:DO353)</f>
        <v>-52</v>
      </c>
      <c r="CJ353" s="93"/>
      <c r="CK353" s="93"/>
      <c r="CL353" s="93"/>
      <c r="CM353" s="93"/>
      <c r="CN353" s="93" cm="1">
        <f t="array" ref="CN353">SUMPRODUCT(TRANSPOSE(CN$4:CN$20),$G353:$W353)</f>
        <v>0</v>
      </c>
      <c r="CO353" s="93" cm="1">
        <f t="array" ref="CO353">SUMPRODUCT(TRANSPOSE(CO$4:CO$20),$G353:$W353)</f>
        <v>0</v>
      </c>
      <c r="CP353" s="93" cm="1">
        <f t="array" ref="CP353">SUMPRODUCT(TRANSPOSE(CP$4:CP$20),$G353:$W353)</f>
        <v>0</v>
      </c>
      <c r="CQ353" s="93" cm="1">
        <f t="array" ref="CQ353">SUMPRODUCT(TRANSPOSE(CQ$4:CQ$20),$G353:$W353)</f>
        <v>8</v>
      </c>
      <c r="CR353" s="93" cm="1">
        <f t="array" ref="CR353">SUMPRODUCT(TRANSPOSE(CR$4:CR$20),$G353:$W353)</f>
        <v>8</v>
      </c>
      <c r="CS353" s="93" cm="1">
        <f t="array" ref="CS353">SUMPRODUCT(TRANSPOSE(CS$4:CS$20),$G353:$W353)</f>
        <v>8</v>
      </c>
      <c r="CT353" s="93" cm="1">
        <f t="array" ref="CT353">SUMPRODUCT(TRANSPOSE(CT$4:CT$20),$G353:$W353)</f>
        <v>8</v>
      </c>
      <c r="CU353" s="93" cm="1">
        <f t="array" ref="CU353">SUMPRODUCT(TRANSPOSE(CU$4:CU$20),$G353:$W353)</f>
        <v>8</v>
      </c>
      <c r="CV353" s="93" cm="1">
        <f t="array" ref="CV353">SUMPRODUCT(TRANSPOSE(CV$4:CV$20),$G353:$W353)</f>
        <v>8</v>
      </c>
      <c r="CW353" s="93" cm="1">
        <f t="array" ref="CW353">SUMPRODUCT(TRANSPOSE(CW$4:CW$20),$G353:$W353)</f>
        <v>8</v>
      </c>
      <c r="CX353" s="93" cm="1">
        <f t="array" ref="CX353">SUMPRODUCT(TRANSPOSE(CX$4:CX$20),$G353:$W353)</f>
        <v>8</v>
      </c>
      <c r="CY353" s="93" cm="1">
        <f t="array" ref="CY353">SUMPRODUCT(TRANSPOSE(CY$4:CY$20),$G353:$W353)</f>
        <v>8</v>
      </c>
      <c r="CZ353" s="93" cm="1">
        <f t="array" ref="CZ353">SUMPRODUCT(TRANSPOSE(CZ$4:CZ$20),$G353:$W353)</f>
        <v>8</v>
      </c>
      <c r="DA353" s="93" cm="1">
        <f t="array" ref="DA353">SUMPRODUCT(TRANSPOSE(DA$4:DA$20),$G353:$W353)</f>
        <v>8</v>
      </c>
      <c r="DB353" s="93" cm="1">
        <f t="array" ref="DB353">SUMPRODUCT(TRANSPOSE(DB$4:DB$20),$G353:$W353)</f>
        <v>8</v>
      </c>
      <c r="DC353" s="93" cm="1">
        <f t="array" ref="DC353">SUMPRODUCT(TRANSPOSE(DC$4:DC$20),$G353:$W353)</f>
        <v>6</v>
      </c>
      <c r="DD353" s="93" cm="1">
        <f t="array" ref="DD353">SUMPRODUCT(TRANSPOSE(DD$4:DD$20),$G353:$W353)</f>
        <v>0</v>
      </c>
      <c r="DE353" s="93" cm="1">
        <f t="array" ref="DE353">SUMPRODUCT(TRANSPOSE(DE$4:DE$20),$G353:$W353)</f>
        <v>0</v>
      </c>
      <c r="DF353" s="93" cm="1">
        <f t="array" ref="DF353">SUMPRODUCT(TRANSPOSE(DF$4:DF$20),$G353:$W353)</f>
        <v>0</v>
      </c>
      <c r="DG353" s="93" cm="1">
        <f t="array" ref="DG353">SUMPRODUCT(TRANSPOSE(DG$4:DG$20),$G353:$W353)</f>
        <v>0</v>
      </c>
      <c r="DH353" s="93" cm="1">
        <f t="array" ref="DH353">SUMPRODUCT(TRANSPOSE(DH$4:DH$20),$G353:$W353)</f>
        <v>0</v>
      </c>
      <c r="DI353" s="93" cm="1">
        <f t="array" ref="DI353">SUMPRODUCT(TRANSPOSE(DI$4:DI$20),$G353:$W353)</f>
        <v>0</v>
      </c>
      <c r="DJ353" s="93" cm="1">
        <f t="array" ref="DJ353">SUMPRODUCT(TRANSPOSE(DJ$4:DJ$20),$G353:$W353)</f>
        <v>0</v>
      </c>
      <c r="DK353" s="93" cm="1">
        <f t="array" ref="DK353">SUMPRODUCT(TRANSPOSE(DK$4:DK$20),$G353:$W353)</f>
        <v>0</v>
      </c>
      <c r="DL353" s="93" cm="1">
        <f t="array" ref="DL353">SUMPRODUCT(TRANSPOSE(DL$4:DL$20),$G353:$W353)</f>
        <v>0</v>
      </c>
      <c r="DM353" s="93" cm="1">
        <f t="array" ref="DM353">SUMPRODUCT(TRANSPOSE(DM$4:DM$20),$G353:$W353)</f>
        <v>0</v>
      </c>
      <c r="DN353" s="93" cm="1">
        <f t="array" ref="DN353">SUMPRODUCT(TRANSPOSE(DN$4:DN$20),$G353:$W353)</f>
        <v>0</v>
      </c>
      <c r="DO353" s="93" cm="1">
        <f t="array" ref="DO353">SUMPRODUCT(TRANSPOSE(DO$4:DO$20),$G353:$W353)</f>
        <v>0</v>
      </c>
    </row>
    <row r="354" spans="1:119" x14ac:dyDescent="0.2">
      <c r="A354" s="45">
        <f t="shared" si="31"/>
        <v>333</v>
      </c>
      <c r="B354" s="73" t="s">
        <v>781</v>
      </c>
      <c r="C354" s="45">
        <v>1</v>
      </c>
      <c r="D354" s="45" t="s">
        <v>782</v>
      </c>
      <c r="E354" s="45" t="s">
        <v>162</v>
      </c>
      <c r="F354" s="48">
        <v>1</v>
      </c>
      <c r="G354" s="100">
        <v>1</v>
      </c>
      <c r="H354" s="100">
        <v>0</v>
      </c>
      <c r="I354" s="100">
        <v>0</v>
      </c>
      <c r="J354" s="100">
        <v>0</v>
      </c>
      <c r="K354" s="100">
        <v>0</v>
      </c>
      <c r="L354" s="100">
        <v>0</v>
      </c>
      <c r="M354" s="100">
        <v>0</v>
      </c>
      <c r="N354" s="100">
        <v>0</v>
      </c>
      <c r="O354" s="100">
        <v>0</v>
      </c>
      <c r="P354" s="100">
        <v>0</v>
      </c>
      <c r="Q354" s="100">
        <v>0</v>
      </c>
      <c r="R354" s="100">
        <v>0</v>
      </c>
      <c r="S354" s="100">
        <v>0</v>
      </c>
      <c r="T354" s="100">
        <v>0</v>
      </c>
      <c r="U354" s="100">
        <v>0</v>
      </c>
      <c r="V354" s="100">
        <v>0</v>
      </c>
      <c r="W354" s="100">
        <v>0</v>
      </c>
      <c r="X354" s="88" t="s">
        <v>46</v>
      </c>
      <c r="Y354" s="53">
        <v>8002</v>
      </c>
      <c r="Z354" s="45">
        <v>54</v>
      </c>
      <c r="AA354" s="45">
        <v>0</v>
      </c>
      <c r="AB354" s="45">
        <v>0</v>
      </c>
      <c r="AC354" s="45">
        <v>0</v>
      </c>
      <c r="AD354" s="45">
        <v>0</v>
      </c>
      <c r="AE354" s="45">
        <v>15</v>
      </c>
      <c r="AF354" s="45">
        <v>22</v>
      </c>
      <c r="AG354" s="45">
        <v>0</v>
      </c>
      <c r="AH354" s="45">
        <v>0</v>
      </c>
      <c r="AI354" s="45">
        <v>0</v>
      </c>
      <c r="AJ354" s="45">
        <v>0</v>
      </c>
      <c r="AK354" s="45">
        <v>0</v>
      </c>
      <c r="AL354" s="45">
        <v>0</v>
      </c>
      <c r="AM354" s="45">
        <v>0</v>
      </c>
      <c r="AN354" s="45">
        <v>0</v>
      </c>
      <c r="AO354" s="45"/>
      <c r="AP354" s="45"/>
      <c r="AQ354" s="45"/>
      <c r="AR354" s="45"/>
      <c r="AS354" s="45"/>
      <c r="AT354" s="45"/>
      <c r="AU354" s="45"/>
      <c r="AV354" s="45"/>
      <c r="AW354" s="45"/>
      <c r="AX354" s="45"/>
      <c r="AY354" s="45"/>
      <c r="AZ354" s="45"/>
      <c r="BA354" s="45"/>
      <c r="BB354" s="45"/>
      <c r="BC354" s="45"/>
      <c r="BD354" s="93"/>
      <c r="BE354" s="93"/>
      <c r="BF354" s="93"/>
      <c r="BG354" s="93"/>
      <c r="BH354" s="93"/>
      <c r="BI354" s="93"/>
      <c r="BJ354" s="93"/>
      <c r="BK354" s="93">
        <f>SUM($Z354:AD354)-SUM($CM354:CQ354)</f>
        <v>46</v>
      </c>
      <c r="BL354" s="93">
        <f>SUM($Z354:AE354)-SUM($CM354:CR354)</f>
        <v>53</v>
      </c>
      <c r="BM354" s="93">
        <f>SUM($Z354:AF354)-SUM($CM354:CS354)</f>
        <v>67</v>
      </c>
      <c r="BN354" s="93">
        <f>SUM($Z354:AG354)-SUM($CM354:CT354)</f>
        <v>59</v>
      </c>
      <c r="BO354" s="93">
        <f>SUM($Z354:AH354)-SUM($CM354:CU354)</f>
        <v>51</v>
      </c>
      <c r="BP354" s="93">
        <f>SUM($Z354:AI354)-SUM($CM354:CV354)</f>
        <v>43</v>
      </c>
      <c r="BQ354" s="93">
        <f>SUM($Z354:AJ354)-SUM($CM354:CW354)</f>
        <v>35</v>
      </c>
      <c r="BR354" s="93">
        <f>SUM($Z354:AK354)-SUM($CM354:CX354)</f>
        <v>27</v>
      </c>
      <c r="BS354" s="93">
        <f>SUM($Z354:AL354)-SUM($CM354:CY354)</f>
        <v>19</v>
      </c>
      <c r="BT354" s="93">
        <f>SUM($Z354:AM354)-SUM($CM354:CZ354)</f>
        <v>11</v>
      </c>
      <c r="BU354" s="93">
        <f>SUM($Z354:AN354)-SUM($CM354:DA354)</f>
        <v>3</v>
      </c>
      <c r="BV354" s="93">
        <f>SUM($Z354:AO354)-SUM($CM354:DB354)</f>
        <v>-5</v>
      </c>
      <c r="BW354" s="93">
        <f>SUM($Z354:AP354)-SUM($CM354:DC354)</f>
        <v>-11</v>
      </c>
      <c r="BX354" s="93">
        <f>SUM($Z354:AQ354)-SUM($CM354:DD354)</f>
        <v>-11</v>
      </c>
      <c r="BY354" s="93">
        <f>SUM($Z354:AR354)-SUM($CM354:DE354)</f>
        <v>-11</v>
      </c>
      <c r="BZ354" s="93">
        <f>SUM($Z354:AS354)-SUM($CM354:DF354)</f>
        <v>-11</v>
      </c>
      <c r="CA354" s="93">
        <f>SUM($Z354:AT354)-SUM($CM354:DG354)</f>
        <v>-11</v>
      </c>
      <c r="CB354" s="93">
        <f>SUM($Z354:AU354)-SUM($CM354:DH354)</f>
        <v>-11</v>
      </c>
      <c r="CC354" s="93">
        <f>SUM($Z354:AV354)-SUM($CM354:DI354)</f>
        <v>-11</v>
      </c>
      <c r="CD354" s="93">
        <f>SUM($Z354:AW354)-SUM($CM354:DJ354)</f>
        <v>-11</v>
      </c>
      <c r="CE354" s="93">
        <f>SUM($Z354:AX354)-SUM($CM354:DK354)</f>
        <v>-11</v>
      </c>
      <c r="CF354" s="93">
        <f>SUM($Z354:AY354)-SUM($CM354:DL354)</f>
        <v>-11</v>
      </c>
      <c r="CG354" s="93">
        <f>SUM($Z354:AZ354)-SUM($CM354:DM354)</f>
        <v>-11</v>
      </c>
      <c r="CH354" s="93">
        <f>SUM($Z354:BA354)-SUM($CM354:DN354)</f>
        <v>-11</v>
      </c>
      <c r="CI354" s="93">
        <f>SUM($Z354:BB354)-SUM($CM354:DO354)</f>
        <v>-11</v>
      </c>
      <c r="CJ354" s="93"/>
      <c r="CK354" s="93"/>
      <c r="CL354" s="93"/>
      <c r="CM354" s="93"/>
      <c r="CN354" s="93" cm="1">
        <f t="array" ref="CN354">SUMPRODUCT(TRANSPOSE(CN$4:CN$20),$G354:$W354)</f>
        <v>0</v>
      </c>
      <c r="CO354" s="93" cm="1">
        <f t="array" ref="CO354">SUMPRODUCT(TRANSPOSE(CO$4:CO$20),$G354:$W354)</f>
        <v>0</v>
      </c>
      <c r="CP354" s="93" cm="1">
        <f t="array" ref="CP354">SUMPRODUCT(TRANSPOSE(CP$4:CP$20),$G354:$W354)</f>
        <v>0</v>
      </c>
      <c r="CQ354" s="93" cm="1">
        <f t="array" ref="CQ354">SUMPRODUCT(TRANSPOSE(CQ$4:CQ$20),$G354:$W354)</f>
        <v>8</v>
      </c>
      <c r="CR354" s="93" cm="1">
        <f t="array" ref="CR354">SUMPRODUCT(TRANSPOSE(CR$4:CR$20),$G354:$W354)</f>
        <v>8</v>
      </c>
      <c r="CS354" s="93" cm="1">
        <f t="array" ref="CS354">SUMPRODUCT(TRANSPOSE(CS$4:CS$20),$G354:$W354)</f>
        <v>8</v>
      </c>
      <c r="CT354" s="93" cm="1">
        <f t="array" ref="CT354">SUMPRODUCT(TRANSPOSE(CT$4:CT$20),$G354:$W354)</f>
        <v>8</v>
      </c>
      <c r="CU354" s="93" cm="1">
        <f t="array" ref="CU354">SUMPRODUCT(TRANSPOSE(CU$4:CU$20),$G354:$W354)</f>
        <v>8</v>
      </c>
      <c r="CV354" s="93" cm="1">
        <f t="array" ref="CV354">SUMPRODUCT(TRANSPOSE(CV$4:CV$20),$G354:$W354)</f>
        <v>8</v>
      </c>
      <c r="CW354" s="93" cm="1">
        <f t="array" ref="CW354">SUMPRODUCT(TRANSPOSE(CW$4:CW$20),$G354:$W354)</f>
        <v>8</v>
      </c>
      <c r="CX354" s="93" cm="1">
        <f t="array" ref="CX354">SUMPRODUCT(TRANSPOSE(CX$4:CX$20),$G354:$W354)</f>
        <v>8</v>
      </c>
      <c r="CY354" s="93" cm="1">
        <f t="array" ref="CY354">SUMPRODUCT(TRANSPOSE(CY$4:CY$20),$G354:$W354)</f>
        <v>8</v>
      </c>
      <c r="CZ354" s="93" cm="1">
        <f t="array" ref="CZ354">SUMPRODUCT(TRANSPOSE(CZ$4:CZ$20),$G354:$W354)</f>
        <v>8</v>
      </c>
      <c r="DA354" s="93" cm="1">
        <f t="array" ref="DA354">SUMPRODUCT(TRANSPOSE(DA$4:DA$20),$G354:$W354)</f>
        <v>8</v>
      </c>
      <c r="DB354" s="93" cm="1">
        <f t="array" ref="DB354">SUMPRODUCT(TRANSPOSE(DB$4:DB$20),$G354:$W354)</f>
        <v>8</v>
      </c>
      <c r="DC354" s="93" cm="1">
        <f t="array" ref="DC354">SUMPRODUCT(TRANSPOSE(DC$4:DC$20),$G354:$W354)</f>
        <v>6</v>
      </c>
      <c r="DD354" s="93" cm="1">
        <f t="array" ref="DD354">SUMPRODUCT(TRANSPOSE(DD$4:DD$20),$G354:$W354)</f>
        <v>0</v>
      </c>
      <c r="DE354" s="93" cm="1">
        <f t="array" ref="DE354">SUMPRODUCT(TRANSPOSE(DE$4:DE$20),$G354:$W354)</f>
        <v>0</v>
      </c>
      <c r="DF354" s="93" cm="1">
        <f t="array" ref="DF354">SUMPRODUCT(TRANSPOSE(DF$4:DF$20),$G354:$W354)</f>
        <v>0</v>
      </c>
      <c r="DG354" s="93" cm="1">
        <f t="array" ref="DG354">SUMPRODUCT(TRANSPOSE(DG$4:DG$20),$G354:$W354)</f>
        <v>0</v>
      </c>
      <c r="DH354" s="93" cm="1">
        <f t="array" ref="DH354">SUMPRODUCT(TRANSPOSE(DH$4:DH$20),$G354:$W354)</f>
        <v>0</v>
      </c>
      <c r="DI354" s="93" cm="1">
        <f t="array" ref="DI354">SUMPRODUCT(TRANSPOSE(DI$4:DI$20),$G354:$W354)</f>
        <v>0</v>
      </c>
      <c r="DJ354" s="93" cm="1">
        <f t="array" ref="DJ354">SUMPRODUCT(TRANSPOSE(DJ$4:DJ$20),$G354:$W354)</f>
        <v>0</v>
      </c>
      <c r="DK354" s="93" cm="1">
        <f t="array" ref="DK354">SUMPRODUCT(TRANSPOSE(DK$4:DK$20),$G354:$W354)</f>
        <v>0</v>
      </c>
      <c r="DL354" s="93" cm="1">
        <f t="array" ref="DL354">SUMPRODUCT(TRANSPOSE(DL$4:DL$20),$G354:$W354)</f>
        <v>0</v>
      </c>
      <c r="DM354" s="93" cm="1">
        <f t="array" ref="DM354">SUMPRODUCT(TRANSPOSE(DM$4:DM$20),$G354:$W354)</f>
        <v>0</v>
      </c>
      <c r="DN354" s="93" cm="1">
        <f t="array" ref="DN354">SUMPRODUCT(TRANSPOSE(DN$4:DN$20),$G354:$W354)</f>
        <v>0</v>
      </c>
      <c r="DO354" s="93" cm="1">
        <f t="array" ref="DO354">SUMPRODUCT(TRANSPOSE(DO$4:DO$20),$G354:$W354)</f>
        <v>0</v>
      </c>
    </row>
    <row r="355" spans="1:119" x14ac:dyDescent="0.2">
      <c r="A355" s="45">
        <f t="shared" si="31"/>
        <v>334</v>
      </c>
      <c r="B355" s="64" t="s">
        <v>783</v>
      </c>
      <c r="C355" s="45">
        <v>418022948</v>
      </c>
      <c r="D355" s="45" t="s">
        <v>784</v>
      </c>
      <c r="E355" s="45" t="s">
        <v>162</v>
      </c>
      <c r="F355" s="48">
        <v>1</v>
      </c>
      <c r="G355" s="100">
        <v>1</v>
      </c>
      <c r="H355" s="100">
        <v>0</v>
      </c>
      <c r="I355" s="100">
        <v>0</v>
      </c>
      <c r="J355" s="100">
        <v>0</v>
      </c>
      <c r="K355" s="100">
        <v>0</v>
      </c>
      <c r="L355" s="100">
        <v>0</v>
      </c>
      <c r="M355" s="100">
        <v>0</v>
      </c>
      <c r="N355" s="100">
        <v>0</v>
      </c>
      <c r="O355" s="100">
        <v>0</v>
      </c>
      <c r="P355" s="100">
        <v>0</v>
      </c>
      <c r="Q355" s="100">
        <v>0</v>
      </c>
      <c r="R355" s="100">
        <v>0</v>
      </c>
      <c r="S355" s="100">
        <v>0</v>
      </c>
      <c r="T355" s="100">
        <v>0</v>
      </c>
      <c r="U355" s="100">
        <v>0</v>
      </c>
      <c r="V355" s="100">
        <v>0</v>
      </c>
      <c r="W355" s="100">
        <v>0</v>
      </c>
      <c r="X355" s="45" t="s">
        <v>53</v>
      </c>
      <c r="Y355" s="49">
        <v>736.66111136734412</v>
      </c>
      <c r="Z355" s="45">
        <v>146</v>
      </c>
      <c r="AA355" s="45">
        <v>0</v>
      </c>
      <c r="AB355" s="45">
        <v>0</v>
      </c>
      <c r="AC355" s="45">
        <v>0</v>
      </c>
      <c r="AD355" s="45">
        <v>0</v>
      </c>
      <c r="AE355" s="45">
        <v>0</v>
      </c>
      <c r="AF355" s="45">
        <v>0</v>
      </c>
      <c r="AG355" s="45">
        <v>0</v>
      </c>
      <c r="AH355" s="45">
        <v>0</v>
      </c>
      <c r="AI355" s="45">
        <v>0</v>
      </c>
      <c r="AJ355" s="45">
        <v>0</v>
      </c>
      <c r="AK355" s="45">
        <v>0</v>
      </c>
      <c r="AL355" s="45">
        <v>0</v>
      </c>
      <c r="AM355" s="45">
        <v>0</v>
      </c>
      <c r="AN355" s="45">
        <v>0</v>
      </c>
      <c r="AO355" s="45"/>
      <c r="AP355" s="45"/>
      <c r="AQ355" s="45"/>
      <c r="AR355" s="45"/>
      <c r="AS355" s="45"/>
      <c r="AT355" s="45"/>
      <c r="AU355" s="45"/>
      <c r="AV355" s="45"/>
      <c r="AW355" s="45"/>
      <c r="AX355" s="45"/>
      <c r="AY355" s="45"/>
      <c r="AZ355" s="45"/>
      <c r="BA355" s="45"/>
      <c r="BB355" s="45"/>
      <c r="BC355" s="45"/>
      <c r="BD355" s="93"/>
      <c r="BE355" s="93"/>
      <c r="BF355" s="93"/>
      <c r="BG355" s="93"/>
      <c r="BH355" s="93"/>
      <c r="BI355" s="93"/>
      <c r="BJ355" s="93"/>
      <c r="BK355" s="93">
        <f>SUM($Z355:AD355)-SUM($CM355:CQ355)</f>
        <v>138</v>
      </c>
      <c r="BL355" s="93">
        <f>SUM($Z355:AE355)-SUM($CM355:CR355)</f>
        <v>130</v>
      </c>
      <c r="BM355" s="93">
        <f>SUM($Z355:AF355)-SUM($CM355:CS355)</f>
        <v>122</v>
      </c>
      <c r="BN355" s="93">
        <f>SUM($Z355:AG355)-SUM($CM355:CT355)</f>
        <v>114</v>
      </c>
      <c r="BO355" s="93">
        <f>SUM($Z355:AH355)-SUM($CM355:CU355)</f>
        <v>106</v>
      </c>
      <c r="BP355" s="93">
        <f>SUM($Z355:AI355)-SUM($CM355:CV355)</f>
        <v>98</v>
      </c>
      <c r="BQ355" s="93">
        <f>SUM($Z355:AJ355)-SUM($CM355:CW355)</f>
        <v>90</v>
      </c>
      <c r="BR355" s="93">
        <f>SUM($Z355:AK355)-SUM($CM355:CX355)</f>
        <v>82</v>
      </c>
      <c r="BS355" s="93">
        <f>SUM($Z355:AL355)-SUM($CM355:CY355)</f>
        <v>74</v>
      </c>
      <c r="BT355" s="93">
        <f>SUM($Z355:AM355)-SUM($CM355:CZ355)</f>
        <v>66</v>
      </c>
      <c r="BU355" s="93">
        <f>SUM($Z355:AN355)-SUM($CM355:DA355)</f>
        <v>58</v>
      </c>
      <c r="BV355" s="93">
        <f>SUM($Z355:AO355)-SUM($CM355:DB355)</f>
        <v>50</v>
      </c>
      <c r="BW355" s="93">
        <f>SUM($Z355:AP355)-SUM($CM355:DC355)</f>
        <v>44</v>
      </c>
      <c r="BX355" s="93">
        <f>SUM($Z355:AQ355)-SUM($CM355:DD355)</f>
        <v>44</v>
      </c>
      <c r="BY355" s="93">
        <f>SUM($Z355:AR355)-SUM($CM355:DE355)</f>
        <v>44</v>
      </c>
      <c r="BZ355" s="93">
        <f>SUM($Z355:AS355)-SUM($CM355:DF355)</f>
        <v>44</v>
      </c>
      <c r="CA355" s="93">
        <f>SUM($Z355:AT355)-SUM($CM355:DG355)</f>
        <v>44</v>
      </c>
      <c r="CB355" s="93">
        <f>SUM($Z355:AU355)-SUM($CM355:DH355)</f>
        <v>44</v>
      </c>
      <c r="CC355" s="93">
        <f>SUM($Z355:AV355)-SUM($CM355:DI355)</f>
        <v>44</v>
      </c>
      <c r="CD355" s="93">
        <f>SUM($Z355:AW355)-SUM($CM355:DJ355)</f>
        <v>44</v>
      </c>
      <c r="CE355" s="93">
        <f>SUM($Z355:AX355)-SUM($CM355:DK355)</f>
        <v>44</v>
      </c>
      <c r="CF355" s="93">
        <f>SUM($Z355:AY355)-SUM($CM355:DL355)</f>
        <v>44</v>
      </c>
      <c r="CG355" s="93">
        <f>SUM($Z355:AZ355)-SUM($CM355:DM355)</f>
        <v>44</v>
      </c>
      <c r="CH355" s="93">
        <f>SUM($Z355:BA355)-SUM($CM355:DN355)</f>
        <v>44</v>
      </c>
      <c r="CI355" s="93">
        <f>SUM($Z355:BB355)-SUM($CM355:DO355)</f>
        <v>44</v>
      </c>
      <c r="CJ355" s="93"/>
      <c r="CK355" s="93"/>
      <c r="CL355" s="93"/>
      <c r="CM355" s="93"/>
      <c r="CN355" s="93" cm="1">
        <f t="array" ref="CN355">SUMPRODUCT(TRANSPOSE(CN$4:CN$20),$G355:$W355)</f>
        <v>0</v>
      </c>
      <c r="CO355" s="93" cm="1">
        <f t="array" ref="CO355">SUMPRODUCT(TRANSPOSE(CO$4:CO$20),$G355:$W355)</f>
        <v>0</v>
      </c>
      <c r="CP355" s="93" cm="1">
        <f t="array" ref="CP355">SUMPRODUCT(TRANSPOSE(CP$4:CP$20),$G355:$W355)</f>
        <v>0</v>
      </c>
      <c r="CQ355" s="93" cm="1">
        <f t="array" ref="CQ355">SUMPRODUCT(TRANSPOSE(CQ$4:CQ$20),$G355:$W355)</f>
        <v>8</v>
      </c>
      <c r="CR355" s="93" cm="1">
        <f t="array" ref="CR355">SUMPRODUCT(TRANSPOSE(CR$4:CR$20),$G355:$W355)</f>
        <v>8</v>
      </c>
      <c r="CS355" s="93" cm="1">
        <f t="array" ref="CS355">SUMPRODUCT(TRANSPOSE(CS$4:CS$20),$G355:$W355)</f>
        <v>8</v>
      </c>
      <c r="CT355" s="93" cm="1">
        <f t="array" ref="CT355">SUMPRODUCT(TRANSPOSE(CT$4:CT$20),$G355:$W355)</f>
        <v>8</v>
      </c>
      <c r="CU355" s="93" cm="1">
        <f t="array" ref="CU355">SUMPRODUCT(TRANSPOSE(CU$4:CU$20),$G355:$W355)</f>
        <v>8</v>
      </c>
      <c r="CV355" s="93" cm="1">
        <f t="array" ref="CV355">SUMPRODUCT(TRANSPOSE(CV$4:CV$20),$G355:$W355)</f>
        <v>8</v>
      </c>
      <c r="CW355" s="93" cm="1">
        <f t="array" ref="CW355">SUMPRODUCT(TRANSPOSE(CW$4:CW$20),$G355:$W355)</f>
        <v>8</v>
      </c>
      <c r="CX355" s="93" cm="1">
        <f t="array" ref="CX355">SUMPRODUCT(TRANSPOSE(CX$4:CX$20),$G355:$W355)</f>
        <v>8</v>
      </c>
      <c r="CY355" s="93" cm="1">
        <f t="array" ref="CY355">SUMPRODUCT(TRANSPOSE(CY$4:CY$20),$G355:$W355)</f>
        <v>8</v>
      </c>
      <c r="CZ355" s="93" cm="1">
        <f t="array" ref="CZ355">SUMPRODUCT(TRANSPOSE(CZ$4:CZ$20),$G355:$W355)</f>
        <v>8</v>
      </c>
      <c r="DA355" s="93" cm="1">
        <f t="array" ref="DA355">SUMPRODUCT(TRANSPOSE(DA$4:DA$20),$G355:$W355)</f>
        <v>8</v>
      </c>
      <c r="DB355" s="93" cm="1">
        <f t="array" ref="DB355">SUMPRODUCT(TRANSPOSE(DB$4:DB$20),$G355:$W355)</f>
        <v>8</v>
      </c>
      <c r="DC355" s="93" cm="1">
        <f t="array" ref="DC355">SUMPRODUCT(TRANSPOSE(DC$4:DC$20),$G355:$W355)</f>
        <v>6</v>
      </c>
      <c r="DD355" s="93" cm="1">
        <f t="array" ref="DD355">SUMPRODUCT(TRANSPOSE(DD$4:DD$20),$G355:$W355)</f>
        <v>0</v>
      </c>
      <c r="DE355" s="93" cm="1">
        <f t="array" ref="DE355">SUMPRODUCT(TRANSPOSE(DE$4:DE$20),$G355:$W355)</f>
        <v>0</v>
      </c>
      <c r="DF355" s="93" cm="1">
        <f t="array" ref="DF355">SUMPRODUCT(TRANSPOSE(DF$4:DF$20),$G355:$W355)</f>
        <v>0</v>
      </c>
      <c r="DG355" s="93" cm="1">
        <f t="array" ref="DG355">SUMPRODUCT(TRANSPOSE(DG$4:DG$20),$G355:$W355)</f>
        <v>0</v>
      </c>
      <c r="DH355" s="93" cm="1">
        <f t="array" ref="DH355">SUMPRODUCT(TRANSPOSE(DH$4:DH$20),$G355:$W355)</f>
        <v>0</v>
      </c>
      <c r="DI355" s="93" cm="1">
        <f t="array" ref="DI355">SUMPRODUCT(TRANSPOSE(DI$4:DI$20),$G355:$W355)</f>
        <v>0</v>
      </c>
      <c r="DJ355" s="93" cm="1">
        <f t="array" ref="DJ355">SUMPRODUCT(TRANSPOSE(DJ$4:DJ$20),$G355:$W355)</f>
        <v>0</v>
      </c>
      <c r="DK355" s="93" cm="1">
        <f t="array" ref="DK355">SUMPRODUCT(TRANSPOSE(DK$4:DK$20),$G355:$W355)</f>
        <v>0</v>
      </c>
      <c r="DL355" s="93" cm="1">
        <f t="array" ref="DL355">SUMPRODUCT(TRANSPOSE(DL$4:DL$20),$G355:$W355)</f>
        <v>0</v>
      </c>
      <c r="DM355" s="93" cm="1">
        <f t="array" ref="DM355">SUMPRODUCT(TRANSPOSE(DM$4:DM$20),$G355:$W355)</f>
        <v>0</v>
      </c>
      <c r="DN355" s="93" cm="1">
        <f t="array" ref="DN355">SUMPRODUCT(TRANSPOSE(DN$4:DN$20),$G355:$W355)</f>
        <v>0</v>
      </c>
      <c r="DO355" s="93" cm="1">
        <f t="array" ref="DO355">SUMPRODUCT(TRANSPOSE(DO$4:DO$20),$G355:$W355)</f>
        <v>0</v>
      </c>
    </row>
    <row r="356" spans="1:119" x14ac:dyDescent="0.2">
      <c r="A356" s="45">
        <f t="shared" si="31"/>
        <v>335</v>
      </c>
      <c r="B356" s="64" t="s">
        <v>785</v>
      </c>
      <c r="C356" s="45">
        <v>418022947</v>
      </c>
      <c r="D356" s="45" t="s">
        <v>786</v>
      </c>
      <c r="E356" s="45" t="s">
        <v>162</v>
      </c>
      <c r="F356" s="48">
        <v>1</v>
      </c>
      <c r="G356" s="100">
        <v>1</v>
      </c>
      <c r="H356" s="100">
        <v>0</v>
      </c>
      <c r="I356" s="100">
        <v>0</v>
      </c>
      <c r="J356" s="100">
        <v>0</v>
      </c>
      <c r="K356" s="100">
        <v>0</v>
      </c>
      <c r="L356" s="100">
        <v>0</v>
      </c>
      <c r="M356" s="100">
        <v>0</v>
      </c>
      <c r="N356" s="100">
        <v>0</v>
      </c>
      <c r="O356" s="100">
        <v>0</v>
      </c>
      <c r="P356" s="100">
        <v>0</v>
      </c>
      <c r="Q356" s="100">
        <v>0</v>
      </c>
      <c r="R356" s="100">
        <v>0</v>
      </c>
      <c r="S356" s="100">
        <v>0</v>
      </c>
      <c r="T356" s="100">
        <v>0</v>
      </c>
      <c r="U356" s="100">
        <v>0</v>
      </c>
      <c r="V356" s="100">
        <v>0</v>
      </c>
      <c r="W356" s="100">
        <v>0</v>
      </c>
      <c r="X356" s="45" t="s">
        <v>53</v>
      </c>
      <c r="Y356" s="49">
        <v>718.53409844379451</v>
      </c>
      <c r="Z356" s="45">
        <v>146</v>
      </c>
      <c r="AA356" s="45">
        <v>0</v>
      </c>
      <c r="AB356" s="45">
        <v>0</v>
      </c>
      <c r="AC356" s="45">
        <v>0</v>
      </c>
      <c r="AD356" s="45">
        <v>0</v>
      </c>
      <c r="AE356" s="45">
        <v>0</v>
      </c>
      <c r="AF356" s="45">
        <v>0</v>
      </c>
      <c r="AG356" s="45">
        <v>0</v>
      </c>
      <c r="AH356" s="45">
        <v>0</v>
      </c>
      <c r="AI356" s="45">
        <v>0</v>
      </c>
      <c r="AJ356" s="45">
        <v>0</v>
      </c>
      <c r="AK356" s="45">
        <v>0</v>
      </c>
      <c r="AL356" s="45">
        <v>0</v>
      </c>
      <c r="AM356" s="45">
        <v>0</v>
      </c>
      <c r="AN356" s="45">
        <v>0</v>
      </c>
      <c r="AO356" s="45"/>
      <c r="AP356" s="45"/>
      <c r="AQ356" s="45"/>
      <c r="AR356" s="45"/>
      <c r="AS356" s="45"/>
      <c r="AT356" s="45"/>
      <c r="AU356" s="45"/>
      <c r="AV356" s="45"/>
      <c r="AW356" s="45"/>
      <c r="AX356" s="45"/>
      <c r="AY356" s="45"/>
      <c r="AZ356" s="45"/>
      <c r="BA356" s="45"/>
      <c r="BB356" s="45"/>
      <c r="BC356" s="45"/>
      <c r="BD356" s="93"/>
      <c r="BE356" s="93"/>
      <c r="BF356" s="93"/>
      <c r="BG356" s="93"/>
      <c r="BH356" s="93"/>
      <c r="BI356" s="93"/>
      <c r="BJ356" s="93"/>
      <c r="BK356" s="93">
        <f>SUM($Z356:AD356)-SUM($CM356:CQ356)</f>
        <v>138</v>
      </c>
      <c r="BL356" s="93">
        <f>SUM($Z356:AE356)-SUM($CM356:CR356)</f>
        <v>130</v>
      </c>
      <c r="BM356" s="93">
        <f>SUM($Z356:AF356)-SUM($CM356:CS356)</f>
        <v>122</v>
      </c>
      <c r="BN356" s="93">
        <f>SUM($Z356:AG356)-SUM($CM356:CT356)</f>
        <v>114</v>
      </c>
      <c r="BO356" s="93">
        <f>SUM($Z356:AH356)-SUM($CM356:CU356)</f>
        <v>106</v>
      </c>
      <c r="BP356" s="93">
        <f>SUM($Z356:AI356)-SUM($CM356:CV356)</f>
        <v>98</v>
      </c>
      <c r="BQ356" s="93">
        <f>SUM($Z356:AJ356)-SUM($CM356:CW356)</f>
        <v>90</v>
      </c>
      <c r="BR356" s="93">
        <f>SUM($Z356:AK356)-SUM($CM356:CX356)</f>
        <v>82</v>
      </c>
      <c r="BS356" s="93">
        <f>SUM($Z356:AL356)-SUM($CM356:CY356)</f>
        <v>74</v>
      </c>
      <c r="BT356" s="93">
        <f>SUM($Z356:AM356)-SUM($CM356:CZ356)</f>
        <v>66</v>
      </c>
      <c r="BU356" s="93">
        <f>SUM($Z356:AN356)-SUM($CM356:DA356)</f>
        <v>58</v>
      </c>
      <c r="BV356" s="93">
        <f>SUM($Z356:AO356)-SUM($CM356:DB356)</f>
        <v>50</v>
      </c>
      <c r="BW356" s="93">
        <f>SUM($Z356:AP356)-SUM($CM356:DC356)</f>
        <v>44</v>
      </c>
      <c r="BX356" s="93">
        <f>SUM($Z356:AQ356)-SUM($CM356:DD356)</f>
        <v>44</v>
      </c>
      <c r="BY356" s="93">
        <f>SUM($Z356:AR356)-SUM($CM356:DE356)</f>
        <v>44</v>
      </c>
      <c r="BZ356" s="93">
        <f>SUM($Z356:AS356)-SUM($CM356:DF356)</f>
        <v>44</v>
      </c>
      <c r="CA356" s="93">
        <f>SUM($Z356:AT356)-SUM($CM356:DG356)</f>
        <v>44</v>
      </c>
      <c r="CB356" s="93">
        <f>SUM($Z356:AU356)-SUM($CM356:DH356)</f>
        <v>44</v>
      </c>
      <c r="CC356" s="93">
        <f>SUM($Z356:AV356)-SUM($CM356:DI356)</f>
        <v>44</v>
      </c>
      <c r="CD356" s="93">
        <f>SUM($Z356:AW356)-SUM($CM356:DJ356)</f>
        <v>44</v>
      </c>
      <c r="CE356" s="93">
        <f>SUM($Z356:AX356)-SUM($CM356:DK356)</f>
        <v>44</v>
      </c>
      <c r="CF356" s="93">
        <f>SUM($Z356:AY356)-SUM($CM356:DL356)</f>
        <v>44</v>
      </c>
      <c r="CG356" s="93">
        <f>SUM($Z356:AZ356)-SUM($CM356:DM356)</f>
        <v>44</v>
      </c>
      <c r="CH356" s="93">
        <f>SUM($Z356:BA356)-SUM($CM356:DN356)</f>
        <v>44</v>
      </c>
      <c r="CI356" s="93">
        <f>SUM($Z356:BB356)-SUM($CM356:DO356)</f>
        <v>44</v>
      </c>
      <c r="CJ356" s="93"/>
      <c r="CK356" s="93"/>
      <c r="CL356" s="93"/>
      <c r="CM356" s="93"/>
      <c r="CN356" s="93" cm="1">
        <f t="array" ref="CN356">SUMPRODUCT(TRANSPOSE(CN$4:CN$20),$G356:$W356)</f>
        <v>0</v>
      </c>
      <c r="CO356" s="93" cm="1">
        <f t="array" ref="CO356">SUMPRODUCT(TRANSPOSE(CO$4:CO$20),$G356:$W356)</f>
        <v>0</v>
      </c>
      <c r="CP356" s="93" cm="1">
        <f t="array" ref="CP356">SUMPRODUCT(TRANSPOSE(CP$4:CP$20),$G356:$W356)</f>
        <v>0</v>
      </c>
      <c r="CQ356" s="93" cm="1">
        <f t="array" ref="CQ356">SUMPRODUCT(TRANSPOSE(CQ$4:CQ$20),$G356:$W356)</f>
        <v>8</v>
      </c>
      <c r="CR356" s="93" cm="1">
        <f t="array" ref="CR356">SUMPRODUCT(TRANSPOSE(CR$4:CR$20),$G356:$W356)</f>
        <v>8</v>
      </c>
      <c r="CS356" s="93" cm="1">
        <f t="array" ref="CS356">SUMPRODUCT(TRANSPOSE(CS$4:CS$20),$G356:$W356)</f>
        <v>8</v>
      </c>
      <c r="CT356" s="93" cm="1">
        <f t="array" ref="CT356">SUMPRODUCT(TRANSPOSE(CT$4:CT$20),$G356:$W356)</f>
        <v>8</v>
      </c>
      <c r="CU356" s="93" cm="1">
        <f t="array" ref="CU356">SUMPRODUCT(TRANSPOSE(CU$4:CU$20),$G356:$W356)</f>
        <v>8</v>
      </c>
      <c r="CV356" s="93" cm="1">
        <f t="array" ref="CV356">SUMPRODUCT(TRANSPOSE(CV$4:CV$20),$G356:$W356)</f>
        <v>8</v>
      </c>
      <c r="CW356" s="93" cm="1">
        <f t="array" ref="CW356">SUMPRODUCT(TRANSPOSE(CW$4:CW$20),$G356:$W356)</f>
        <v>8</v>
      </c>
      <c r="CX356" s="93" cm="1">
        <f t="array" ref="CX356">SUMPRODUCT(TRANSPOSE(CX$4:CX$20),$G356:$W356)</f>
        <v>8</v>
      </c>
      <c r="CY356" s="93" cm="1">
        <f t="array" ref="CY356">SUMPRODUCT(TRANSPOSE(CY$4:CY$20),$G356:$W356)</f>
        <v>8</v>
      </c>
      <c r="CZ356" s="93" cm="1">
        <f t="array" ref="CZ356">SUMPRODUCT(TRANSPOSE(CZ$4:CZ$20),$G356:$W356)</f>
        <v>8</v>
      </c>
      <c r="DA356" s="93" cm="1">
        <f t="array" ref="DA356">SUMPRODUCT(TRANSPOSE(DA$4:DA$20),$G356:$W356)</f>
        <v>8</v>
      </c>
      <c r="DB356" s="93" cm="1">
        <f t="array" ref="DB356">SUMPRODUCT(TRANSPOSE(DB$4:DB$20),$G356:$W356)</f>
        <v>8</v>
      </c>
      <c r="DC356" s="93" cm="1">
        <f t="array" ref="DC356">SUMPRODUCT(TRANSPOSE(DC$4:DC$20),$G356:$W356)</f>
        <v>6</v>
      </c>
      <c r="DD356" s="93" cm="1">
        <f t="array" ref="DD356">SUMPRODUCT(TRANSPOSE(DD$4:DD$20),$G356:$W356)</f>
        <v>0</v>
      </c>
      <c r="DE356" s="93" cm="1">
        <f t="array" ref="DE356">SUMPRODUCT(TRANSPOSE(DE$4:DE$20),$G356:$W356)</f>
        <v>0</v>
      </c>
      <c r="DF356" s="93" cm="1">
        <f t="array" ref="DF356">SUMPRODUCT(TRANSPOSE(DF$4:DF$20),$G356:$W356)</f>
        <v>0</v>
      </c>
      <c r="DG356" s="93" cm="1">
        <f t="array" ref="DG356">SUMPRODUCT(TRANSPOSE(DG$4:DG$20),$G356:$W356)</f>
        <v>0</v>
      </c>
      <c r="DH356" s="93" cm="1">
        <f t="array" ref="DH356">SUMPRODUCT(TRANSPOSE(DH$4:DH$20),$G356:$W356)</f>
        <v>0</v>
      </c>
      <c r="DI356" s="93" cm="1">
        <f t="array" ref="DI356">SUMPRODUCT(TRANSPOSE(DI$4:DI$20),$G356:$W356)</f>
        <v>0</v>
      </c>
      <c r="DJ356" s="93" cm="1">
        <f t="array" ref="DJ356">SUMPRODUCT(TRANSPOSE(DJ$4:DJ$20),$G356:$W356)</f>
        <v>0</v>
      </c>
      <c r="DK356" s="93" cm="1">
        <f t="array" ref="DK356">SUMPRODUCT(TRANSPOSE(DK$4:DK$20),$G356:$W356)</f>
        <v>0</v>
      </c>
      <c r="DL356" s="93" cm="1">
        <f t="array" ref="DL356">SUMPRODUCT(TRANSPOSE(DL$4:DL$20),$G356:$W356)</f>
        <v>0</v>
      </c>
      <c r="DM356" s="93" cm="1">
        <f t="array" ref="DM356">SUMPRODUCT(TRANSPOSE(DM$4:DM$20),$G356:$W356)</f>
        <v>0</v>
      </c>
      <c r="DN356" s="93" cm="1">
        <f t="array" ref="DN356">SUMPRODUCT(TRANSPOSE(DN$4:DN$20),$G356:$W356)</f>
        <v>0</v>
      </c>
      <c r="DO356" s="93" cm="1">
        <f t="array" ref="DO356">SUMPRODUCT(TRANSPOSE(DO$4:DO$20),$G356:$W356)</f>
        <v>0</v>
      </c>
    </row>
    <row r="357" spans="1:119" x14ac:dyDescent="0.2">
      <c r="A357" s="45">
        <f t="shared" si="31"/>
        <v>336</v>
      </c>
      <c r="B357" s="64" t="s">
        <v>787</v>
      </c>
      <c r="C357" s="45">
        <v>418022951</v>
      </c>
      <c r="D357" s="45" t="s">
        <v>788</v>
      </c>
      <c r="E357" s="45" t="s">
        <v>162</v>
      </c>
      <c r="F357" s="48">
        <v>1</v>
      </c>
      <c r="G357" s="100">
        <v>1</v>
      </c>
      <c r="H357" s="100">
        <v>0</v>
      </c>
      <c r="I357" s="100">
        <v>0</v>
      </c>
      <c r="J357" s="100">
        <v>0</v>
      </c>
      <c r="K357" s="100">
        <v>0</v>
      </c>
      <c r="L357" s="100">
        <v>0</v>
      </c>
      <c r="M357" s="100">
        <v>0</v>
      </c>
      <c r="N357" s="100">
        <v>0</v>
      </c>
      <c r="O357" s="100">
        <v>0</v>
      </c>
      <c r="P357" s="100">
        <v>0</v>
      </c>
      <c r="Q357" s="100">
        <v>0</v>
      </c>
      <c r="R357" s="100">
        <v>0</v>
      </c>
      <c r="S357" s="100">
        <v>0</v>
      </c>
      <c r="T357" s="100">
        <v>0</v>
      </c>
      <c r="U357" s="100">
        <v>0</v>
      </c>
      <c r="V357" s="100">
        <v>0</v>
      </c>
      <c r="W357" s="100">
        <v>0</v>
      </c>
      <c r="X357" s="45" t="s">
        <v>53</v>
      </c>
      <c r="Y357" s="53">
        <v>945.59931027374535</v>
      </c>
      <c r="Z357" s="45">
        <v>146</v>
      </c>
      <c r="AA357" s="45">
        <v>0</v>
      </c>
      <c r="AB357" s="45">
        <v>0</v>
      </c>
      <c r="AC357" s="45">
        <v>0</v>
      </c>
      <c r="AD357" s="45">
        <v>0</v>
      </c>
      <c r="AE357" s="45">
        <v>0</v>
      </c>
      <c r="AF357" s="45">
        <v>0</v>
      </c>
      <c r="AG357" s="45">
        <v>0</v>
      </c>
      <c r="AH357" s="45">
        <v>0</v>
      </c>
      <c r="AI357" s="45">
        <v>0</v>
      </c>
      <c r="AJ357" s="45">
        <v>0</v>
      </c>
      <c r="AK357" s="45">
        <v>0</v>
      </c>
      <c r="AL357" s="45">
        <v>0</v>
      </c>
      <c r="AM357" s="45">
        <v>0</v>
      </c>
      <c r="AN357" s="45">
        <v>0</v>
      </c>
      <c r="AO357" s="45"/>
      <c r="AP357" s="45"/>
      <c r="AQ357" s="45"/>
      <c r="AR357" s="45"/>
      <c r="AS357" s="45"/>
      <c r="AT357" s="45"/>
      <c r="AU357" s="45"/>
      <c r="AV357" s="45"/>
      <c r="AW357" s="45"/>
      <c r="AX357" s="45"/>
      <c r="AY357" s="45"/>
      <c r="AZ357" s="45"/>
      <c r="BA357" s="45"/>
      <c r="BB357" s="45"/>
      <c r="BC357" s="45"/>
      <c r="BD357" s="93"/>
      <c r="BE357" s="93"/>
      <c r="BF357" s="93"/>
      <c r="BG357" s="93"/>
      <c r="BH357" s="93"/>
      <c r="BI357" s="93"/>
      <c r="BJ357" s="93"/>
      <c r="BK357" s="93">
        <f>SUM($Z357:AD357)-SUM($CM357:CQ357)</f>
        <v>138</v>
      </c>
      <c r="BL357" s="93">
        <f>SUM($Z357:AE357)-SUM($CM357:CR357)</f>
        <v>130</v>
      </c>
      <c r="BM357" s="93">
        <f>SUM($Z357:AF357)-SUM($CM357:CS357)</f>
        <v>122</v>
      </c>
      <c r="BN357" s="93">
        <f>SUM($Z357:AG357)-SUM($CM357:CT357)</f>
        <v>114</v>
      </c>
      <c r="BO357" s="93">
        <f>SUM($Z357:AH357)-SUM($CM357:CU357)</f>
        <v>106</v>
      </c>
      <c r="BP357" s="93">
        <f>SUM($Z357:AI357)-SUM($CM357:CV357)</f>
        <v>98</v>
      </c>
      <c r="BQ357" s="93">
        <f>SUM($Z357:AJ357)-SUM($CM357:CW357)</f>
        <v>90</v>
      </c>
      <c r="BR357" s="93">
        <f>SUM($Z357:AK357)-SUM($CM357:CX357)</f>
        <v>82</v>
      </c>
      <c r="BS357" s="93">
        <f>SUM($Z357:AL357)-SUM($CM357:CY357)</f>
        <v>74</v>
      </c>
      <c r="BT357" s="93">
        <f>SUM($Z357:AM357)-SUM($CM357:CZ357)</f>
        <v>66</v>
      </c>
      <c r="BU357" s="93">
        <f>SUM($Z357:AN357)-SUM($CM357:DA357)</f>
        <v>58</v>
      </c>
      <c r="BV357" s="93">
        <f>SUM($Z357:AO357)-SUM($CM357:DB357)</f>
        <v>50</v>
      </c>
      <c r="BW357" s="93">
        <f>SUM($Z357:AP357)-SUM($CM357:DC357)</f>
        <v>44</v>
      </c>
      <c r="BX357" s="93">
        <f>SUM($Z357:AQ357)-SUM($CM357:DD357)</f>
        <v>44</v>
      </c>
      <c r="BY357" s="93">
        <f>SUM($Z357:AR357)-SUM($CM357:DE357)</f>
        <v>44</v>
      </c>
      <c r="BZ357" s="93">
        <f>SUM($Z357:AS357)-SUM($CM357:DF357)</f>
        <v>44</v>
      </c>
      <c r="CA357" s="93">
        <f>SUM($Z357:AT357)-SUM($CM357:DG357)</f>
        <v>44</v>
      </c>
      <c r="CB357" s="93">
        <f>SUM($Z357:AU357)-SUM($CM357:DH357)</f>
        <v>44</v>
      </c>
      <c r="CC357" s="93">
        <f>SUM($Z357:AV357)-SUM($CM357:DI357)</f>
        <v>44</v>
      </c>
      <c r="CD357" s="93">
        <f>SUM($Z357:AW357)-SUM($CM357:DJ357)</f>
        <v>44</v>
      </c>
      <c r="CE357" s="93">
        <f>SUM($Z357:AX357)-SUM($CM357:DK357)</f>
        <v>44</v>
      </c>
      <c r="CF357" s="93">
        <f>SUM($Z357:AY357)-SUM($CM357:DL357)</f>
        <v>44</v>
      </c>
      <c r="CG357" s="93">
        <f>SUM($Z357:AZ357)-SUM($CM357:DM357)</f>
        <v>44</v>
      </c>
      <c r="CH357" s="93">
        <f>SUM($Z357:BA357)-SUM($CM357:DN357)</f>
        <v>44</v>
      </c>
      <c r="CI357" s="93">
        <f>SUM($Z357:BB357)-SUM($CM357:DO357)</f>
        <v>44</v>
      </c>
      <c r="CJ357" s="93"/>
      <c r="CK357" s="93"/>
      <c r="CL357" s="93"/>
      <c r="CM357" s="93"/>
      <c r="CN357" s="93" cm="1">
        <f t="array" ref="CN357">SUMPRODUCT(TRANSPOSE(CN$4:CN$20),$G357:$W357)</f>
        <v>0</v>
      </c>
      <c r="CO357" s="93" cm="1">
        <f t="array" ref="CO357">SUMPRODUCT(TRANSPOSE(CO$4:CO$20),$G357:$W357)</f>
        <v>0</v>
      </c>
      <c r="CP357" s="93" cm="1">
        <f t="array" ref="CP357">SUMPRODUCT(TRANSPOSE(CP$4:CP$20),$G357:$W357)</f>
        <v>0</v>
      </c>
      <c r="CQ357" s="93" cm="1">
        <f t="array" ref="CQ357">SUMPRODUCT(TRANSPOSE(CQ$4:CQ$20),$G357:$W357)</f>
        <v>8</v>
      </c>
      <c r="CR357" s="93" cm="1">
        <f t="array" ref="CR357">SUMPRODUCT(TRANSPOSE(CR$4:CR$20),$G357:$W357)</f>
        <v>8</v>
      </c>
      <c r="CS357" s="93" cm="1">
        <f t="array" ref="CS357">SUMPRODUCT(TRANSPOSE(CS$4:CS$20),$G357:$W357)</f>
        <v>8</v>
      </c>
      <c r="CT357" s="93" cm="1">
        <f t="array" ref="CT357">SUMPRODUCT(TRANSPOSE(CT$4:CT$20),$G357:$W357)</f>
        <v>8</v>
      </c>
      <c r="CU357" s="93" cm="1">
        <f t="array" ref="CU357">SUMPRODUCT(TRANSPOSE(CU$4:CU$20),$G357:$W357)</f>
        <v>8</v>
      </c>
      <c r="CV357" s="93" cm="1">
        <f t="array" ref="CV357">SUMPRODUCT(TRANSPOSE(CV$4:CV$20),$G357:$W357)</f>
        <v>8</v>
      </c>
      <c r="CW357" s="93" cm="1">
        <f t="array" ref="CW357">SUMPRODUCT(TRANSPOSE(CW$4:CW$20),$G357:$W357)</f>
        <v>8</v>
      </c>
      <c r="CX357" s="93" cm="1">
        <f t="array" ref="CX357">SUMPRODUCT(TRANSPOSE(CX$4:CX$20),$G357:$W357)</f>
        <v>8</v>
      </c>
      <c r="CY357" s="93" cm="1">
        <f t="array" ref="CY357">SUMPRODUCT(TRANSPOSE(CY$4:CY$20),$G357:$W357)</f>
        <v>8</v>
      </c>
      <c r="CZ357" s="93" cm="1">
        <f t="array" ref="CZ357">SUMPRODUCT(TRANSPOSE(CZ$4:CZ$20),$G357:$W357)</f>
        <v>8</v>
      </c>
      <c r="DA357" s="93" cm="1">
        <f t="array" ref="DA357">SUMPRODUCT(TRANSPOSE(DA$4:DA$20),$G357:$W357)</f>
        <v>8</v>
      </c>
      <c r="DB357" s="93" cm="1">
        <f t="array" ref="DB357">SUMPRODUCT(TRANSPOSE(DB$4:DB$20),$G357:$W357)</f>
        <v>8</v>
      </c>
      <c r="DC357" s="93" cm="1">
        <f t="array" ref="DC357">SUMPRODUCT(TRANSPOSE(DC$4:DC$20),$G357:$W357)</f>
        <v>6</v>
      </c>
      <c r="DD357" s="93" cm="1">
        <f t="array" ref="DD357">SUMPRODUCT(TRANSPOSE(DD$4:DD$20),$G357:$W357)</f>
        <v>0</v>
      </c>
      <c r="DE357" s="93" cm="1">
        <f t="array" ref="DE357">SUMPRODUCT(TRANSPOSE(DE$4:DE$20),$G357:$W357)</f>
        <v>0</v>
      </c>
      <c r="DF357" s="93" cm="1">
        <f t="array" ref="DF357">SUMPRODUCT(TRANSPOSE(DF$4:DF$20),$G357:$W357)</f>
        <v>0</v>
      </c>
      <c r="DG357" s="93" cm="1">
        <f t="array" ref="DG357">SUMPRODUCT(TRANSPOSE(DG$4:DG$20),$G357:$W357)</f>
        <v>0</v>
      </c>
      <c r="DH357" s="93" cm="1">
        <f t="array" ref="DH357">SUMPRODUCT(TRANSPOSE(DH$4:DH$20),$G357:$W357)</f>
        <v>0</v>
      </c>
      <c r="DI357" s="93" cm="1">
        <f t="array" ref="DI357">SUMPRODUCT(TRANSPOSE(DI$4:DI$20),$G357:$W357)</f>
        <v>0</v>
      </c>
      <c r="DJ357" s="93" cm="1">
        <f t="array" ref="DJ357">SUMPRODUCT(TRANSPOSE(DJ$4:DJ$20),$G357:$W357)</f>
        <v>0</v>
      </c>
      <c r="DK357" s="93" cm="1">
        <f t="array" ref="DK357">SUMPRODUCT(TRANSPOSE(DK$4:DK$20),$G357:$W357)</f>
        <v>0</v>
      </c>
      <c r="DL357" s="93" cm="1">
        <f t="array" ref="DL357">SUMPRODUCT(TRANSPOSE(DL$4:DL$20),$G357:$W357)</f>
        <v>0</v>
      </c>
      <c r="DM357" s="93" cm="1">
        <f t="array" ref="DM357">SUMPRODUCT(TRANSPOSE(DM$4:DM$20),$G357:$W357)</f>
        <v>0</v>
      </c>
      <c r="DN357" s="93" cm="1">
        <f t="array" ref="DN357">SUMPRODUCT(TRANSPOSE(DN$4:DN$20),$G357:$W357)</f>
        <v>0</v>
      </c>
      <c r="DO357" s="93" cm="1">
        <f t="array" ref="DO357">SUMPRODUCT(TRANSPOSE(DO$4:DO$20),$G357:$W357)</f>
        <v>0</v>
      </c>
    </row>
    <row r="358" spans="1:119" x14ac:dyDescent="0.2">
      <c r="A358" s="45">
        <f t="shared" si="31"/>
        <v>337</v>
      </c>
      <c r="B358" s="64" t="s">
        <v>789</v>
      </c>
      <c r="C358" s="45">
        <v>418022949</v>
      </c>
      <c r="D358" s="45" t="s">
        <v>790</v>
      </c>
      <c r="E358" s="45" t="s">
        <v>162</v>
      </c>
      <c r="F358" s="48">
        <v>1</v>
      </c>
      <c r="G358" s="100">
        <v>1</v>
      </c>
      <c r="H358" s="100">
        <v>0</v>
      </c>
      <c r="I358" s="100">
        <v>0</v>
      </c>
      <c r="J358" s="100">
        <v>0</v>
      </c>
      <c r="K358" s="100">
        <v>0</v>
      </c>
      <c r="L358" s="100">
        <v>0</v>
      </c>
      <c r="M358" s="100">
        <v>0</v>
      </c>
      <c r="N358" s="100">
        <v>0</v>
      </c>
      <c r="O358" s="100">
        <v>0</v>
      </c>
      <c r="P358" s="100">
        <v>0</v>
      </c>
      <c r="Q358" s="100">
        <v>0</v>
      </c>
      <c r="R358" s="100">
        <v>0</v>
      </c>
      <c r="S358" s="100">
        <v>0</v>
      </c>
      <c r="T358" s="100">
        <v>0</v>
      </c>
      <c r="U358" s="100">
        <v>0</v>
      </c>
      <c r="V358" s="100">
        <v>0</v>
      </c>
      <c r="W358" s="100">
        <v>0</v>
      </c>
      <c r="X358" s="45" t="s">
        <v>53</v>
      </c>
      <c r="Y358" s="49">
        <v>240.77488461186715</v>
      </c>
      <c r="Z358" s="45">
        <v>146</v>
      </c>
      <c r="AA358" s="45">
        <v>0</v>
      </c>
      <c r="AB358" s="45">
        <v>0</v>
      </c>
      <c r="AC358" s="45">
        <v>0</v>
      </c>
      <c r="AD358" s="45">
        <v>0</v>
      </c>
      <c r="AE358" s="45">
        <v>0</v>
      </c>
      <c r="AF358" s="45">
        <v>0</v>
      </c>
      <c r="AG358" s="45">
        <v>0</v>
      </c>
      <c r="AH358" s="45">
        <v>0</v>
      </c>
      <c r="AI358" s="45">
        <v>0</v>
      </c>
      <c r="AJ358" s="45">
        <v>0</v>
      </c>
      <c r="AK358" s="45">
        <v>0</v>
      </c>
      <c r="AL358" s="45">
        <v>0</v>
      </c>
      <c r="AM358" s="45">
        <v>0</v>
      </c>
      <c r="AN358" s="45">
        <v>0</v>
      </c>
      <c r="AO358" s="45"/>
      <c r="AP358" s="45"/>
      <c r="AQ358" s="45"/>
      <c r="AR358" s="45"/>
      <c r="AS358" s="45"/>
      <c r="AT358" s="45"/>
      <c r="AU358" s="45"/>
      <c r="AV358" s="45"/>
      <c r="AW358" s="45"/>
      <c r="AX358" s="45"/>
      <c r="AY358" s="45"/>
      <c r="AZ358" s="45"/>
      <c r="BA358" s="45"/>
      <c r="BB358" s="45"/>
      <c r="BC358" s="45"/>
      <c r="BD358" s="93"/>
      <c r="BE358" s="93"/>
      <c r="BF358" s="93"/>
      <c r="BG358" s="93"/>
      <c r="BH358" s="93"/>
      <c r="BI358" s="93"/>
      <c r="BJ358" s="93"/>
      <c r="BK358" s="93">
        <f>SUM($Z358:AD358)-SUM($CM358:CQ358)</f>
        <v>138</v>
      </c>
      <c r="BL358" s="93">
        <f>SUM($Z358:AE358)-SUM($CM358:CR358)</f>
        <v>130</v>
      </c>
      <c r="BM358" s="93">
        <f>SUM($Z358:AF358)-SUM($CM358:CS358)</f>
        <v>122</v>
      </c>
      <c r="BN358" s="93">
        <f>SUM($Z358:AG358)-SUM($CM358:CT358)</f>
        <v>114</v>
      </c>
      <c r="BO358" s="93">
        <f>SUM($Z358:AH358)-SUM($CM358:CU358)</f>
        <v>106</v>
      </c>
      <c r="BP358" s="93">
        <f>SUM($Z358:AI358)-SUM($CM358:CV358)</f>
        <v>98</v>
      </c>
      <c r="BQ358" s="93">
        <f>SUM($Z358:AJ358)-SUM($CM358:CW358)</f>
        <v>90</v>
      </c>
      <c r="BR358" s="93">
        <f>SUM($Z358:AK358)-SUM($CM358:CX358)</f>
        <v>82</v>
      </c>
      <c r="BS358" s="93">
        <f>SUM($Z358:AL358)-SUM($CM358:CY358)</f>
        <v>74</v>
      </c>
      <c r="BT358" s="93">
        <f>SUM($Z358:AM358)-SUM($CM358:CZ358)</f>
        <v>66</v>
      </c>
      <c r="BU358" s="93">
        <f>SUM($Z358:AN358)-SUM($CM358:DA358)</f>
        <v>58</v>
      </c>
      <c r="BV358" s="93">
        <f>SUM($Z358:AO358)-SUM($CM358:DB358)</f>
        <v>50</v>
      </c>
      <c r="BW358" s="93">
        <f>SUM($Z358:AP358)-SUM($CM358:DC358)</f>
        <v>44</v>
      </c>
      <c r="BX358" s="93">
        <f>SUM($Z358:AQ358)-SUM($CM358:DD358)</f>
        <v>44</v>
      </c>
      <c r="BY358" s="93">
        <f>SUM($Z358:AR358)-SUM($CM358:DE358)</f>
        <v>44</v>
      </c>
      <c r="BZ358" s="93">
        <f>SUM($Z358:AS358)-SUM($CM358:DF358)</f>
        <v>44</v>
      </c>
      <c r="CA358" s="93">
        <f>SUM($Z358:AT358)-SUM($CM358:DG358)</f>
        <v>44</v>
      </c>
      <c r="CB358" s="93">
        <f>SUM($Z358:AU358)-SUM($CM358:DH358)</f>
        <v>44</v>
      </c>
      <c r="CC358" s="93">
        <f>SUM($Z358:AV358)-SUM($CM358:DI358)</f>
        <v>44</v>
      </c>
      <c r="CD358" s="93">
        <f>SUM($Z358:AW358)-SUM($CM358:DJ358)</f>
        <v>44</v>
      </c>
      <c r="CE358" s="93">
        <f>SUM($Z358:AX358)-SUM($CM358:DK358)</f>
        <v>44</v>
      </c>
      <c r="CF358" s="93">
        <f>SUM($Z358:AY358)-SUM($CM358:DL358)</f>
        <v>44</v>
      </c>
      <c r="CG358" s="93">
        <f>SUM($Z358:AZ358)-SUM($CM358:DM358)</f>
        <v>44</v>
      </c>
      <c r="CH358" s="93">
        <f>SUM($Z358:BA358)-SUM($CM358:DN358)</f>
        <v>44</v>
      </c>
      <c r="CI358" s="93">
        <f>SUM($Z358:BB358)-SUM($CM358:DO358)</f>
        <v>44</v>
      </c>
      <c r="CJ358" s="93"/>
      <c r="CK358" s="93"/>
      <c r="CL358" s="93"/>
      <c r="CM358" s="93"/>
      <c r="CN358" s="93" cm="1">
        <f t="array" ref="CN358">SUMPRODUCT(TRANSPOSE(CN$4:CN$20),$G358:$W358)</f>
        <v>0</v>
      </c>
      <c r="CO358" s="93" cm="1">
        <f t="array" ref="CO358">SUMPRODUCT(TRANSPOSE(CO$4:CO$20),$G358:$W358)</f>
        <v>0</v>
      </c>
      <c r="CP358" s="93" cm="1">
        <f t="array" ref="CP358">SUMPRODUCT(TRANSPOSE(CP$4:CP$20),$G358:$W358)</f>
        <v>0</v>
      </c>
      <c r="CQ358" s="93" cm="1">
        <f t="array" ref="CQ358">SUMPRODUCT(TRANSPOSE(CQ$4:CQ$20),$G358:$W358)</f>
        <v>8</v>
      </c>
      <c r="CR358" s="93" cm="1">
        <f t="array" ref="CR358">SUMPRODUCT(TRANSPOSE(CR$4:CR$20),$G358:$W358)</f>
        <v>8</v>
      </c>
      <c r="CS358" s="93" cm="1">
        <f t="array" ref="CS358">SUMPRODUCT(TRANSPOSE(CS$4:CS$20),$G358:$W358)</f>
        <v>8</v>
      </c>
      <c r="CT358" s="93" cm="1">
        <f t="array" ref="CT358">SUMPRODUCT(TRANSPOSE(CT$4:CT$20),$G358:$W358)</f>
        <v>8</v>
      </c>
      <c r="CU358" s="93" cm="1">
        <f t="array" ref="CU358">SUMPRODUCT(TRANSPOSE(CU$4:CU$20),$G358:$W358)</f>
        <v>8</v>
      </c>
      <c r="CV358" s="93" cm="1">
        <f t="array" ref="CV358">SUMPRODUCT(TRANSPOSE(CV$4:CV$20),$G358:$W358)</f>
        <v>8</v>
      </c>
      <c r="CW358" s="93" cm="1">
        <f t="array" ref="CW358">SUMPRODUCT(TRANSPOSE(CW$4:CW$20),$G358:$W358)</f>
        <v>8</v>
      </c>
      <c r="CX358" s="93" cm="1">
        <f t="array" ref="CX358">SUMPRODUCT(TRANSPOSE(CX$4:CX$20),$G358:$W358)</f>
        <v>8</v>
      </c>
      <c r="CY358" s="93" cm="1">
        <f t="array" ref="CY358">SUMPRODUCT(TRANSPOSE(CY$4:CY$20),$G358:$W358)</f>
        <v>8</v>
      </c>
      <c r="CZ358" s="93" cm="1">
        <f t="array" ref="CZ358">SUMPRODUCT(TRANSPOSE(CZ$4:CZ$20),$G358:$W358)</f>
        <v>8</v>
      </c>
      <c r="DA358" s="93" cm="1">
        <f t="array" ref="DA358">SUMPRODUCT(TRANSPOSE(DA$4:DA$20),$G358:$W358)</f>
        <v>8</v>
      </c>
      <c r="DB358" s="93" cm="1">
        <f t="array" ref="DB358">SUMPRODUCT(TRANSPOSE(DB$4:DB$20),$G358:$W358)</f>
        <v>8</v>
      </c>
      <c r="DC358" s="93" cm="1">
        <f t="array" ref="DC358">SUMPRODUCT(TRANSPOSE(DC$4:DC$20),$G358:$W358)</f>
        <v>6</v>
      </c>
      <c r="DD358" s="93" cm="1">
        <f t="array" ref="DD358">SUMPRODUCT(TRANSPOSE(DD$4:DD$20),$G358:$W358)</f>
        <v>0</v>
      </c>
      <c r="DE358" s="93" cm="1">
        <f t="array" ref="DE358">SUMPRODUCT(TRANSPOSE(DE$4:DE$20),$G358:$W358)</f>
        <v>0</v>
      </c>
      <c r="DF358" s="93" cm="1">
        <f t="array" ref="DF358">SUMPRODUCT(TRANSPOSE(DF$4:DF$20),$G358:$W358)</f>
        <v>0</v>
      </c>
      <c r="DG358" s="93" cm="1">
        <f t="array" ref="DG358">SUMPRODUCT(TRANSPOSE(DG$4:DG$20),$G358:$W358)</f>
        <v>0</v>
      </c>
      <c r="DH358" s="93" cm="1">
        <f t="array" ref="DH358">SUMPRODUCT(TRANSPOSE(DH$4:DH$20),$G358:$W358)</f>
        <v>0</v>
      </c>
      <c r="DI358" s="93" cm="1">
        <f t="array" ref="DI358">SUMPRODUCT(TRANSPOSE(DI$4:DI$20),$G358:$W358)</f>
        <v>0</v>
      </c>
      <c r="DJ358" s="93" cm="1">
        <f t="array" ref="DJ358">SUMPRODUCT(TRANSPOSE(DJ$4:DJ$20),$G358:$W358)</f>
        <v>0</v>
      </c>
      <c r="DK358" s="93" cm="1">
        <f t="array" ref="DK358">SUMPRODUCT(TRANSPOSE(DK$4:DK$20),$G358:$W358)</f>
        <v>0</v>
      </c>
      <c r="DL358" s="93" cm="1">
        <f t="array" ref="DL358">SUMPRODUCT(TRANSPOSE(DL$4:DL$20),$G358:$W358)</f>
        <v>0</v>
      </c>
      <c r="DM358" s="93" cm="1">
        <f t="array" ref="DM358">SUMPRODUCT(TRANSPOSE(DM$4:DM$20),$G358:$W358)</f>
        <v>0</v>
      </c>
      <c r="DN358" s="93" cm="1">
        <f t="array" ref="DN358">SUMPRODUCT(TRANSPOSE(DN$4:DN$20),$G358:$W358)</f>
        <v>0</v>
      </c>
      <c r="DO358" s="93" cm="1">
        <f t="array" ref="DO358">SUMPRODUCT(TRANSPOSE(DO$4:DO$20),$G358:$W358)</f>
        <v>0</v>
      </c>
    </row>
    <row r="359" spans="1:119" x14ac:dyDescent="0.2">
      <c r="A359" s="45">
        <f t="shared" si="31"/>
        <v>338</v>
      </c>
      <c r="B359" s="64" t="s">
        <v>791</v>
      </c>
      <c r="C359" s="45" t="s">
        <v>792</v>
      </c>
      <c r="D359" s="45" t="s">
        <v>793</v>
      </c>
      <c r="E359" s="45" t="s">
        <v>162</v>
      </c>
      <c r="F359" s="48">
        <v>2</v>
      </c>
      <c r="G359" s="100">
        <v>1</v>
      </c>
      <c r="H359" s="100">
        <v>0</v>
      </c>
      <c r="I359" s="100">
        <v>0</v>
      </c>
      <c r="J359" s="100">
        <v>0</v>
      </c>
      <c r="K359" s="100">
        <v>0</v>
      </c>
      <c r="L359" s="100">
        <v>0</v>
      </c>
      <c r="M359" s="100">
        <v>0</v>
      </c>
      <c r="N359" s="100">
        <v>0</v>
      </c>
      <c r="O359" s="100">
        <v>0</v>
      </c>
      <c r="P359" s="100">
        <v>0</v>
      </c>
      <c r="Q359" s="100">
        <v>0</v>
      </c>
      <c r="R359" s="100">
        <v>0</v>
      </c>
      <c r="S359" s="100">
        <v>0</v>
      </c>
      <c r="T359" s="100">
        <v>0</v>
      </c>
      <c r="U359" s="100">
        <v>0</v>
      </c>
      <c r="V359" s="100">
        <v>0</v>
      </c>
      <c r="W359" s="100">
        <v>0</v>
      </c>
      <c r="X359" s="45" t="s">
        <v>794</v>
      </c>
      <c r="Y359" s="61">
        <v>26.785</v>
      </c>
      <c r="Z359" s="45">
        <v>260</v>
      </c>
      <c r="AA359" s="45">
        <v>0</v>
      </c>
      <c r="AB359" s="45">
        <v>0</v>
      </c>
      <c r="AC359" s="45">
        <v>0</v>
      </c>
      <c r="AD359" s="45">
        <v>0</v>
      </c>
      <c r="AE359" s="45">
        <v>0</v>
      </c>
      <c r="AF359" s="45">
        <v>0</v>
      </c>
      <c r="AG359" s="45">
        <v>0</v>
      </c>
      <c r="AH359" s="45">
        <v>0</v>
      </c>
      <c r="AI359" s="45">
        <v>0</v>
      </c>
      <c r="AJ359" s="45">
        <v>0</v>
      </c>
      <c r="AK359" s="45">
        <v>0</v>
      </c>
      <c r="AL359" s="45">
        <v>0</v>
      </c>
      <c r="AM359" s="45">
        <v>0</v>
      </c>
      <c r="AN359" s="45">
        <v>0</v>
      </c>
      <c r="AO359" s="45"/>
      <c r="AP359" s="45"/>
      <c r="AQ359" s="45"/>
      <c r="AR359" s="45"/>
      <c r="AS359" s="45"/>
      <c r="AT359" s="45"/>
      <c r="AU359" s="45"/>
      <c r="AV359" s="45"/>
      <c r="AW359" s="45"/>
      <c r="AX359" s="45"/>
      <c r="AY359" s="45"/>
      <c r="AZ359" s="45"/>
      <c r="BA359" s="45"/>
      <c r="BB359" s="45"/>
      <c r="BC359" s="45"/>
      <c r="BD359" s="93"/>
      <c r="BE359" s="93"/>
      <c r="BF359" s="93"/>
      <c r="BG359" s="93"/>
      <c r="BH359" s="93"/>
      <c r="BI359" s="93"/>
      <c r="BJ359" s="93"/>
      <c r="BK359" s="93">
        <f>SUM($Z359:AD359)-SUM($CM359:CQ359)</f>
        <v>252</v>
      </c>
      <c r="BL359" s="93">
        <f>SUM($Z359:AE359)-SUM($CM359:CR359)</f>
        <v>244</v>
      </c>
      <c r="BM359" s="93">
        <f>SUM($Z359:AF359)-SUM($CM359:CS359)</f>
        <v>236</v>
      </c>
      <c r="BN359" s="93">
        <f>SUM($Z359:AG359)-SUM($CM359:CT359)</f>
        <v>228</v>
      </c>
      <c r="BO359" s="93">
        <f>SUM($Z359:AH359)-SUM($CM359:CU359)</f>
        <v>220</v>
      </c>
      <c r="BP359" s="93">
        <f>SUM($Z359:AI359)-SUM($CM359:CV359)</f>
        <v>212</v>
      </c>
      <c r="BQ359" s="93">
        <f>SUM($Z359:AJ359)-SUM($CM359:CW359)</f>
        <v>204</v>
      </c>
      <c r="BR359" s="93">
        <f>SUM($Z359:AK359)-SUM($CM359:CX359)</f>
        <v>196</v>
      </c>
      <c r="BS359" s="93">
        <f>SUM($Z359:AL359)-SUM($CM359:CY359)</f>
        <v>188</v>
      </c>
      <c r="BT359" s="93">
        <f>SUM($Z359:AM359)-SUM($CM359:CZ359)</f>
        <v>180</v>
      </c>
      <c r="BU359" s="93">
        <f>SUM($Z359:AN359)-SUM($CM359:DA359)</f>
        <v>172</v>
      </c>
      <c r="BV359" s="93">
        <f>SUM($Z359:AO359)-SUM($CM359:DB359)</f>
        <v>164</v>
      </c>
      <c r="BW359" s="93">
        <f>SUM($Z359:AP359)-SUM($CM359:DC359)</f>
        <v>158</v>
      </c>
      <c r="BX359" s="93">
        <f>SUM($Z359:AQ359)-SUM($CM359:DD359)</f>
        <v>158</v>
      </c>
      <c r="BY359" s="93">
        <f>SUM($Z359:AR359)-SUM($CM359:DE359)</f>
        <v>158</v>
      </c>
      <c r="BZ359" s="93">
        <f>SUM($Z359:AS359)-SUM($CM359:DF359)</f>
        <v>158</v>
      </c>
      <c r="CA359" s="93">
        <f>SUM($Z359:AT359)-SUM($CM359:DG359)</f>
        <v>158</v>
      </c>
      <c r="CB359" s="93">
        <f>SUM($Z359:AU359)-SUM($CM359:DH359)</f>
        <v>158</v>
      </c>
      <c r="CC359" s="93">
        <f>SUM($Z359:AV359)-SUM($CM359:DI359)</f>
        <v>158</v>
      </c>
      <c r="CD359" s="93">
        <f>SUM($Z359:AW359)-SUM($CM359:DJ359)</f>
        <v>158</v>
      </c>
      <c r="CE359" s="93">
        <f>SUM($Z359:AX359)-SUM($CM359:DK359)</f>
        <v>158</v>
      </c>
      <c r="CF359" s="93">
        <f>SUM($Z359:AY359)-SUM($CM359:DL359)</f>
        <v>158</v>
      </c>
      <c r="CG359" s="93">
        <f>SUM($Z359:AZ359)-SUM($CM359:DM359)</f>
        <v>158</v>
      </c>
      <c r="CH359" s="93">
        <f>SUM($Z359:BA359)-SUM($CM359:DN359)</f>
        <v>158</v>
      </c>
      <c r="CI359" s="93">
        <f>SUM($Z359:BB359)-SUM($CM359:DO359)</f>
        <v>158</v>
      </c>
      <c r="CJ359" s="93"/>
      <c r="CK359" s="93"/>
      <c r="CL359" s="93"/>
      <c r="CM359" s="93"/>
      <c r="CN359" s="93" cm="1">
        <f t="array" ref="CN359">SUMPRODUCT(TRANSPOSE(CN$4:CN$20),$G359:$W359)</f>
        <v>0</v>
      </c>
      <c r="CO359" s="93" cm="1">
        <f t="array" ref="CO359">SUMPRODUCT(TRANSPOSE(CO$4:CO$20),$G359:$W359)</f>
        <v>0</v>
      </c>
      <c r="CP359" s="93" cm="1">
        <f t="array" ref="CP359">SUMPRODUCT(TRANSPOSE(CP$4:CP$20),$G359:$W359)</f>
        <v>0</v>
      </c>
      <c r="CQ359" s="93" cm="1">
        <f t="array" ref="CQ359">SUMPRODUCT(TRANSPOSE(CQ$4:CQ$20),$G359:$W359)</f>
        <v>8</v>
      </c>
      <c r="CR359" s="93" cm="1">
        <f t="array" ref="CR359">SUMPRODUCT(TRANSPOSE(CR$4:CR$20),$G359:$W359)</f>
        <v>8</v>
      </c>
      <c r="CS359" s="93" cm="1">
        <f t="array" ref="CS359">SUMPRODUCT(TRANSPOSE(CS$4:CS$20),$G359:$W359)</f>
        <v>8</v>
      </c>
      <c r="CT359" s="93" cm="1">
        <f t="array" ref="CT359">SUMPRODUCT(TRANSPOSE(CT$4:CT$20),$G359:$W359)</f>
        <v>8</v>
      </c>
      <c r="CU359" s="93" cm="1">
        <f t="array" ref="CU359">SUMPRODUCT(TRANSPOSE(CU$4:CU$20),$G359:$W359)</f>
        <v>8</v>
      </c>
      <c r="CV359" s="93" cm="1">
        <f t="array" ref="CV359">SUMPRODUCT(TRANSPOSE(CV$4:CV$20),$G359:$W359)</f>
        <v>8</v>
      </c>
      <c r="CW359" s="93" cm="1">
        <f t="array" ref="CW359">SUMPRODUCT(TRANSPOSE(CW$4:CW$20),$G359:$W359)</f>
        <v>8</v>
      </c>
      <c r="CX359" s="93" cm="1">
        <f t="array" ref="CX359">SUMPRODUCT(TRANSPOSE(CX$4:CX$20),$G359:$W359)</f>
        <v>8</v>
      </c>
      <c r="CY359" s="93" cm="1">
        <f t="array" ref="CY359">SUMPRODUCT(TRANSPOSE(CY$4:CY$20),$G359:$W359)</f>
        <v>8</v>
      </c>
      <c r="CZ359" s="93" cm="1">
        <f t="array" ref="CZ359">SUMPRODUCT(TRANSPOSE(CZ$4:CZ$20),$G359:$W359)</f>
        <v>8</v>
      </c>
      <c r="DA359" s="93" cm="1">
        <f t="array" ref="DA359">SUMPRODUCT(TRANSPOSE(DA$4:DA$20),$G359:$W359)</f>
        <v>8</v>
      </c>
      <c r="DB359" s="93" cm="1">
        <f t="array" ref="DB359">SUMPRODUCT(TRANSPOSE(DB$4:DB$20),$G359:$W359)</f>
        <v>8</v>
      </c>
      <c r="DC359" s="93" cm="1">
        <f t="array" ref="DC359">SUMPRODUCT(TRANSPOSE(DC$4:DC$20),$G359:$W359)</f>
        <v>6</v>
      </c>
      <c r="DD359" s="93" cm="1">
        <f t="array" ref="DD359">SUMPRODUCT(TRANSPOSE(DD$4:DD$20),$G359:$W359)</f>
        <v>0</v>
      </c>
      <c r="DE359" s="93" cm="1">
        <f t="array" ref="DE359">SUMPRODUCT(TRANSPOSE(DE$4:DE$20),$G359:$W359)</f>
        <v>0</v>
      </c>
      <c r="DF359" s="93" cm="1">
        <f t="array" ref="DF359">SUMPRODUCT(TRANSPOSE(DF$4:DF$20),$G359:$W359)</f>
        <v>0</v>
      </c>
      <c r="DG359" s="93" cm="1">
        <f t="array" ref="DG359">SUMPRODUCT(TRANSPOSE(DG$4:DG$20),$G359:$W359)</f>
        <v>0</v>
      </c>
      <c r="DH359" s="93" cm="1">
        <f t="array" ref="DH359">SUMPRODUCT(TRANSPOSE(DH$4:DH$20),$G359:$W359)</f>
        <v>0</v>
      </c>
      <c r="DI359" s="93" cm="1">
        <f t="array" ref="DI359">SUMPRODUCT(TRANSPOSE(DI$4:DI$20),$G359:$W359)</f>
        <v>0</v>
      </c>
      <c r="DJ359" s="93" cm="1">
        <f t="array" ref="DJ359">SUMPRODUCT(TRANSPOSE(DJ$4:DJ$20),$G359:$W359)</f>
        <v>0</v>
      </c>
      <c r="DK359" s="93" cm="1">
        <f t="array" ref="DK359">SUMPRODUCT(TRANSPOSE(DK$4:DK$20),$G359:$W359)</f>
        <v>0</v>
      </c>
      <c r="DL359" s="93" cm="1">
        <f t="array" ref="DL359">SUMPRODUCT(TRANSPOSE(DL$4:DL$20),$G359:$W359)</f>
        <v>0</v>
      </c>
      <c r="DM359" s="93" cm="1">
        <f t="array" ref="DM359">SUMPRODUCT(TRANSPOSE(DM$4:DM$20),$G359:$W359)</f>
        <v>0</v>
      </c>
      <c r="DN359" s="93" cm="1">
        <f t="array" ref="DN359">SUMPRODUCT(TRANSPOSE(DN$4:DN$20),$G359:$W359)</f>
        <v>0</v>
      </c>
      <c r="DO359" s="93" cm="1">
        <f t="array" ref="DO359">SUMPRODUCT(TRANSPOSE(DO$4:DO$20),$G359:$W359)</f>
        <v>0</v>
      </c>
    </row>
    <row r="360" spans="1:119" x14ac:dyDescent="0.2">
      <c r="A360" s="45">
        <f t="shared" si="31"/>
        <v>339</v>
      </c>
      <c r="B360" s="64" t="s">
        <v>795</v>
      </c>
      <c r="C360" s="45">
        <v>401451712</v>
      </c>
      <c r="D360" s="45" t="s">
        <v>796</v>
      </c>
      <c r="E360" s="45" t="s">
        <v>162</v>
      </c>
      <c r="F360" s="48">
        <v>1</v>
      </c>
      <c r="G360" s="100">
        <v>0</v>
      </c>
      <c r="H360" s="100">
        <v>0</v>
      </c>
      <c r="I360" s="100">
        <v>0</v>
      </c>
      <c r="J360" s="100">
        <v>0</v>
      </c>
      <c r="K360" s="100">
        <v>1</v>
      </c>
      <c r="L360" s="100">
        <v>0</v>
      </c>
      <c r="M360" s="100">
        <v>0</v>
      </c>
      <c r="N360" s="100">
        <v>0</v>
      </c>
      <c r="O360" s="100">
        <v>0</v>
      </c>
      <c r="P360" s="100">
        <v>0</v>
      </c>
      <c r="Q360" s="100">
        <v>0</v>
      </c>
      <c r="R360" s="100">
        <v>0</v>
      </c>
      <c r="S360" s="100">
        <v>0</v>
      </c>
      <c r="T360" s="100">
        <v>0</v>
      </c>
      <c r="U360" s="100">
        <v>0</v>
      </c>
      <c r="V360" s="100">
        <v>0</v>
      </c>
      <c r="W360" s="100">
        <v>0</v>
      </c>
      <c r="X360" s="45" t="s">
        <v>46</v>
      </c>
      <c r="Y360" s="49">
        <v>24</v>
      </c>
      <c r="Z360" s="45">
        <v>130</v>
      </c>
      <c r="AA360" s="45">
        <v>0</v>
      </c>
      <c r="AB360" s="45">
        <v>0</v>
      </c>
      <c r="AC360" s="45">
        <v>0</v>
      </c>
      <c r="AD360" s="45">
        <v>0</v>
      </c>
      <c r="AE360" s="45">
        <v>0</v>
      </c>
      <c r="AF360" s="45">
        <v>0</v>
      </c>
      <c r="AG360" s="45">
        <v>0</v>
      </c>
      <c r="AH360" s="45">
        <v>0</v>
      </c>
      <c r="AI360" s="45">
        <v>0</v>
      </c>
      <c r="AJ360" s="45">
        <v>0</v>
      </c>
      <c r="AK360" s="45">
        <v>0</v>
      </c>
      <c r="AL360" s="45">
        <v>0</v>
      </c>
      <c r="AM360" s="45">
        <v>0</v>
      </c>
      <c r="AN360" s="45">
        <v>0</v>
      </c>
      <c r="AO360" s="45"/>
      <c r="AP360" s="45"/>
      <c r="AQ360" s="45"/>
      <c r="AR360" s="45"/>
      <c r="AS360" s="45"/>
      <c r="AT360" s="45"/>
      <c r="AU360" s="45"/>
      <c r="AV360" s="45"/>
      <c r="AW360" s="45"/>
      <c r="AX360" s="45"/>
      <c r="AY360" s="45"/>
      <c r="AZ360" s="45"/>
      <c r="BA360" s="45"/>
      <c r="BB360" s="45"/>
      <c r="BC360" s="45"/>
      <c r="BD360" s="93"/>
      <c r="BE360" s="93"/>
      <c r="BF360" s="93"/>
      <c r="BG360" s="93"/>
      <c r="BH360" s="93"/>
      <c r="BI360" s="93"/>
      <c r="BJ360" s="93"/>
      <c r="BK360" s="93">
        <f>SUM($Z360:AD360)-SUM($CM360:CQ360)</f>
        <v>122</v>
      </c>
      <c r="BL360" s="93">
        <f>SUM($Z360:AE360)-SUM($CM360:CR360)</f>
        <v>114</v>
      </c>
      <c r="BM360" s="93">
        <f>SUM($Z360:AF360)-SUM($CM360:CS360)</f>
        <v>106</v>
      </c>
      <c r="BN360" s="93">
        <f>SUM($Z360:AG360)-SUM($CM360:CT360)</f>
        <v>98</v>
      </c>
      <c r="BO360" s="93">
        <f>SUM($Z360:AH360)-SUM($CM360:CU360)</f>
        <v>90</v>
      </c>
      <c r="BP360" s="93">
        <f>SUM($Z360:AI360)-SUM($CM360:CV360)</f>
        <v>82</v>
      </c>
      <c r="BQ360" s="93">
        <f>SUM($Z360:AJ360)-SUM($CM360:CW360)</f>
        <v>74</v>
      </c>
      <c r="BR360" s="93">
        <f>SUM($Z360:AK360)-SUM($CM360:CX360)</f>
        <v>66</v>
      </c>
      <c r="BS360" s="93">
        <f>SUM($Z360:AL360)-SUM($CM360:CY360)</f>
        <v>58</v>
      </c>
      <c r="BT360" s="93">
        <f>SUM($Z360:AM360)-SUM($CM360:CZ360)</f>
        <v>50</v>
      </c>
      <c r="BU360" s="93">
        <f>SUM($Z360:AN360)-SUM($CM360:DA360)</f>
        <v>42</v>
      </c>
      <c r="BV360" s="93">
        <f>SUM($Z360:AO360)-SUM($CM360:DB360)</f>
        <v>34</v>
      </c>
      <c r="BW360" s="93">
        <f>SUM($Z360:AP360)-SUM($CM360:DC360)</f>
        <v>28</v>
      </c>
      <c r="BX360" s="93">
        <f>SUM($Z360:AQ360)-SUM($CM360:DD360)</f>
        <v>28</v>
      </c>
      <c r="BY360" s="93">
        <f>SUM($Z360:AR360)-SUM($CM360:DE360)</f>
        <v>28</v>
      </c>
      <c r="BZ360" s="93">
        <f>SUM($Z360:AS360)-SUM($CM360:DF360)</f>
        <v>28</v>
      </c>
      <c r="CA360" s="93">
        <f>SUM($Z360:AT360)-SUM($CM360:DG360)</f>
        <v>28</v>
      </c>
      <c r="CB360" s="93">
        <f>SUM($Z360:AU360)-SUM($CM360:DH360)</f>
        <v>28</v>
      </c>
      <c r="CC360" s="93">
        <f>SUM($Z360:AV360)-SUM($CM360:DI360)</f>
        <v>28</v>
      </c>
      <c r="CD360" s="93">
        <f>SUM($Z360:AW360)-SUM($CM360:DJ360)</f>
        <v>28</v>
      </c>
      <c r="CE360" s="93">
        <f>SUM($Z360:AX360)-SUM($CM360:DK360)</f>
        <v>28</v>
      </c>
      <c r="CF360" s="93">
        <f>SUM($Z360:AY360)-SUM($CM360:DL360)</f>
        <v>28</v>
      </c>
      <c r="CG360" s="93">
        <f>SUM($Z360:AZ360)-SUM($CM360:DM360)</f>
        <v>28</v>
      </c>
      <c r="CH360" s="93">
        <f>SUM($Z360:BA360)-SUM($CM360:DN360)</f>
        <v>28</v>
      </c>
      <c r="CI360" s="93">
        <f>SUM($Z360:BB360)-SUM($CM360:DO360)</f>
        <v>28</v>
      </c>
      <c r="CJ360" s="93"/>
      <c r="CK360" s="93"/>
      <c r="CL360" s="93"/>
      <c r="CM360" s="93"/>
      <c r="CN360" s="93" cm="1">
        <f t="array" ref="CN360">SUMPRODUCT(TRANSPOSE(CN$4:CN$20),$G360:$W360)</f>
        <v>0</v>
      </c>
      <c r="CO360" s="93" cm="1">
        <f t="array" ref="CO360">SUMPRODUCT(TRANSPOSE(CO$4:CO$20),$G360:$W360)</f>
        <v>0</v>
      </c>
      <c r="CP360" s="93" cm="1">
        <f t="array" ref="CP360">SUMPRODUCT(TRANSPOSE(CP$4:CP$20),$G360:$W360)</f>
        <v>0</v>
      </c>
      <c r="CQ360" s="93" cm="1">
        <f t="array" ref="CQ360">SUMPRODUCT(TRANSPOSE(CQ$4:CQ$20),$G360:$W360)</f>
        <v>8</v>
      </c>
      <c r="CR360" s="93" cm="1">
        <f t="array" ref="CR360">SUMPRODUCT(TRANSPOSE(CR$4:CR$20),$G360:$W360)</f>
        <v>8</v>
      </c>
      <c r="CS360" s="93" cm="1">
        <f t="array" ref="CS360">SUMPRODUCT(TRANSPOSE(CS$4:CS$20),$G360:$W360)</f>
        <v>8</v>
      </c>
      <c r="CT360" s="93" cm="1">
        <f t="array" ref="CT360">SUMPRODUCT(TRANSPOSE(CT$4:CT$20),$G360:$W360)</f>
        <v>8</v>
      </c>
      <c r="CU360" s="93" cm="1">
        <f t="array" ref="CU360">SUMPRODUCT(TRANSPOSE(CU$4:CU$20),$G360:$W360)</f>
        <v>8</v>
      </c>
      <c r="CV360" s="93" cm="1">
        <f t="array" ref="CV360">SUMPRODUCT(TRANSPOSE(CV$4:CV$20),$G360:$W360)</f>
        <v>8</v>
      </c>
      <c r="CW360" s="93" cm="1">
        <f t="array" ref="CW360">SUMPRODUCT(TRANSPOSE(CW$4:CW$20),$G360:$W360)</f>
        <v>8</v>
      </c>
      <c r="CX360" s="93" cm="1">
        <f t="array" ref="CX360">SUMPRODUCT(TRANSPOSE(CX$4:CX$20),$G360:$W360)</f>
        <v>8</v>
      </c>
      <c r="CY360" s="93" cm="1">
        <f t="array" ref="CY360">SUMPRODUCT(TRANSPOSE(CY$4:CY$20),$G360:$W360)</f>
        <v>8</v>
      </c>
      <c r="CZ360" s="93" cm="1">
        <f t="array" ref="CZ360">SUMPRODUCT(TRANSPOSE(CZ$4:CZ$20),$G360:$W360)</f>
        <v>8</v>
      </c>
      <c r="DA360" s="93" cm="1">
        <f t="array" ref="DA360">SUMPRODUCT(TRANSPOSE(DA$4:DA$20),$G360:$W360)</f>
        <v>8</v>
      </c>
      <c r="DB360" s="93" cm="1">
        <f t="array" ref="DB360">SUMPRODUCT(TRANSPOSE(DB$4:DB$20),$G360:$W360)</f>
        <v>8</v>
      </c>
      <c r="DC360" s="93" cm="1">
        <f t="array" ref="DC360">SUMPRODUCT(TRANSPOSE(DC$4:DC$20),$G360:$W360)</f>
        <v>6</v>
      </c>
      <c r="DD360" s="93" cm="1">
        <f t="array" ref="DD360">SUMPRODUCT(TRANSPOSE(DD$4:DD$20),$G360:$W360)</f>
        <v>0</v>
      </c>
      <c r="DE360" s="93" cm="1">
        <f t="array" ref="DE360">SUMPRODUCT(TRANSPOSE(DE$4:DE$20),$G360:$W360)</f>
        <v>0</v>
      </c>
      <c r="DF360" s="93" cm="1">
        <f t="array" ref="DF360">SUMPRODUCT(TRANSPOSE(DF$4:DF$20),$G360:$W360)</f>
        <v>0</v>
      </c>
      <c r="DG360" s="93" cm="1">
        <f t="array" ref="DG360">SUMPRODUCT(TRANSPOSE(DG$4:DG$20),$G360:$W360)</f>
        <v>0</v>
      </c>
      <c r="DH360" s="93" cm="1">
        <f t="array" ref="DH360">SUMPRODUCT(TRANSPOSE(DH$4:DH$20),$G360:$W360)</f>
        <v>0</v>
      </c>
      <c r="DI360" s="93" cm="1">
        <f t="array" ref="DI360">SUMPRODUCT(TRANSPOSE(DI$4:DI$20),$G360:$W360)</f>
        <v>0</v>
      </c>
      <c r="DJ360" s="93" cm="1">
        <f t="array" ref="DJ360">SUMPRODUCT(TRANSPOSE(DJ$4:DJ$20),$G360:$W360)</f>
        <v>0</v>
      </c>
      <c r="DK360" s="93" cm="1">
        <f t="array" ref="DK360">SUMPRODUCT(TRANSPOSE(DK$4:DK$20),$G360:$W360)</f>
        <v>0</v>
      </c>
      <c r="DL360" s="93" cm="1">
        <f t="array" ref="DL360">SUMPRODUCT(TRANSPOSE(DL$4:DL$20),$G360:$W360)</f>
        <v>0</v>
      </c>
      <c r="DM360" s="93" cm="1">
        <f t="array" ref="DM360">SUMPRODUCT(TRANSPOSE(DM$4:DM$20),$G360:$W360)</f>
        <v>0</v>
      </c>
      <c r="DN360" s="93" cm="1">
        <f t="array" ref="DN360">SUMPRODUCT(TRANSPOSE(DN$4:DN$20),$G360:$W360)</f>
        <v>0</v>
      </c>
      <c r="DO360" s="93" cm="1">
        <f t="array" ref="DO360">SUMPRODUCT(TRANSPOSE(DO$4:DO$20),$G360:$W360)</f>
        <v>0</v>
      </c>
    </row>
    <row r="361" spans="1:119" x14ac:dyDescent="0.2">
      <c r="A361" s="45">
        <f t="shared" si="31"/>
        <v>340</v>
      </c>
      <c r="B361" s="64" t="s">
        <v>797</v>
      </c>
      <c r="C361" s="68">
        <v>401367418</v>
      </c>
      <c r="D361" s="45" t="s">
        <v>798</v>
      </c>
      <c r="E361" s="45" t="s">
        <v>162</v>
      </c>
      <c r="F361" s="48">
        <v>1</v>
      </c>
      <c r="G361" s="100">
        <v>0</v>
      </c>
      <c r="H361" s="100">
        <v>0</v>
      </c>
      <c r="I361" s="100">
        <v>0</v>
      </c>
      <c r="J361" s="100">
        <v>0</v>
      </c>
      <c r="K361" s="100">
        <v>0</v>
      </c>
      <c r="L361" s="100">
        <v>0</v>
      </c>
      <c r="M361" s="100">
        <v>0</v>
      </c>
      <c r="N361" s="100">
        <v>0</v>
      </c>
      <c r="O361" s="100">
        <v>0</v>
      </c>
      <c r="P361" s="100">
        <v>0</v>
      </c>
      <c r="Q361" s="100">
        <v>0</v>
      </c>
      <c r="R361" s="100">
        <v>0</v>
      </c>
      <c r="S361" s="100">
        <v>0</v>
      </c>
      <c r="T361" s="100">
        <v>0</v>
      </c>
      <c r="U361" s="100">
        <v>0</v>
      </c>
      <c r="V361" s="100">
        <v>0</v>
      </c>
      <c r="W361" s="100">
        <v>0</v>
      </c>
      <c r="X361" s="45" t="s">
        <v>46</v>
      </c>
      <c r="Y361" s="53">
        <v>21</v>
      </c>
      <c r="Z361" s="45">
        <v>520</v>
      </c>
      <c r="AA361" s="45">
        <v>0</v>
      </c>
      <c r="AB361" s="45">
        <v>0</v>
      </c>
      <c r="AC361" s="45">
        <v>0</v>
      </c>
      <c r="AD361" s="45">
        <v>0</v>
      </c>
      <c r="AE361" s="45">
        <v>0</v>
      </c>
      <c r="AF361" s="45">
        <v>0</v>
      </c>
      <c r="AG361" s="45">
        <v>0</v>
      </c>
      <c r="AH361" s="45">
        <v>0</v>
      </c>
      <c r="AI361" s="45">
        <v>0</v>
      </c>
      <c r="AJ361" s="45">
        <v>0</v>
      </c>
      <c r="AK361" s="45">
        <v>0</v>
      </c>
      <c r="AL361" s="45">
        <v>0</v>
      </c>
      <c r="AM361" s="45">
        <v>0</v>
      </c>
      <c r="AN361" s="45">
        <v>0</v>
      </c>
      <c r="AO361" s="45"/>
      <c r="AP361" s="45"/>
      <c r="AQ361" s="45"/>
      <c r="AR361" s="45"/>
      <c r="AS361" s="45"/>
      <c r="AT361" s="45"/>
      <c r="AU361" s="45"/>
      <c r="AV361" s="45"/>
      <c r="AW361" s="45"/>
      <c r="AX361" s="45"/>
      <c r="AY361" s="45"/>
      <c r="AZ361" s="45"/>
      <c r="BA361" s="45"/>
      <c r="BB361" s="45"/>
      <c r="BC361" s="45"/>
      <c r="BD361" s="93"/>
      <c r="BE361" s="93"/>
      <c r="BF361" s="93"/>
      <c r="BG361" s="93"/>
      <c r="BH361" s="93"/>
      <c r="BI361" s="93"/>
      <c r="BJ361" s="93"/>
      <c r="BK361" s="93">
        <f>SUM($Z361:AD361)-SUM($CM361:CQ361)</f>
        <v>520</v>
      </c>
      <c r="BL361" s="93">
        <f>SUM($Z361:AE361)-SUM($CM361:CR361)</f>
        <v>520</v>
      </c>
      <c r="BM361" s="93">
        <f>SUM($Z361:AF361)-SUM($CM361:CS361)</f>
        <v>520</v>
      </c>
      <c r="BN361" s="93">
        <f>SUM($Z361:AG361)-SUM($CM361:CT361)</f>
        <v>520</v>
      </c>
      <c r="BO361" s="93">
        <f>SUM($Z361:AH361)-SUM($CM361:CU361)</f>
        <v>520</v>
      </c>
      <c r="BP361" s="93">
        <f>SUM($Z361:AI361)-SUM($CM361:CV361)</f>
        <v>520</v>
      </c>
      <c r="BQ361" s="93">
        <f>SUM($Z361:AJ361)-SUM($CM361:CW361)</f>
        <v>520</v>
      </c>
      <c r="BR361" s="93">
        <f>SUM($Z361:AK361)-SUM($CM361:CX361)</f>
        <v>520</v>
      </c>
      <c r="BS361" s="93">
        <f>SUM($Z361:AL361)-SUM($CM361:CY361)</f>
        <v>520</v>
      </c>
      <c r="BT361" s="93">
        <f>SUM($Z361:AM361)-SUM($CM361:CZ361)</f>
        <v>520</v>
      </c>
      <c r="BU361" s="93">
        <f>SUM($Z361:AN361)-SUM($CM361:DA361)</f>
        <v>520</v>
      </c>
      <c r="BV361" s="93">
        <f>SUM($Z361:AO361)-SUM($CM361:DB361)</f>
        <v>520</v>
      </c>
      <c r="BW361" s="93">
        <f>SUM($Z361:AP361)-SUM($CM361:DC361)</f>
        <v>520</v>
      </c>
      <c r="BX361" s="93">
        <f>SUM($Z361:AQ361)-SUM($CM361:DD361)</f>
        <v>520</v>
      </c>
      <c r="BY361" s="93">
        <f>SUM($Z361:AR361)-SUM($CM361:DE361)</f>
        <v>520</v>
      </c>
      <c r="BZ361" s="93">
        <f>SUM($Z361:AS361)-SUM($CM361:DF361)</f>
        <v>520</v>
      </c>
      <c r="CA361" s="93">
        <f>SUM($Z361:AT361)-SUM($CM361:DG361)</f>
        <v>520</v>
      </c>
      <c r="CB361" s="93">
        <f>SUM($Z361:AU361)-SUM($CM361:DH361)</f>
        <v>520</v>
      </c>
      <c r="CC361" s="93">
        <f>SUM($Z361:AV361)-SUM($CM361:DI361)</f>
        <v>520</v>
      </c>
      <c r="CD361" s="93">
        <f>SUM($Z361:AW361)-SUM($CM361:DJ361)</f>
        <v>520</v>
      </c>
      <c r="CE361" s="93">
        <f>SUM($Z361:AX361)-SUM($CM361:DK361)</f>
        <v>520</v>
      </c>
      <c r="CF361" s="93">
        <f>SUM($Z361:AY361)-SUM($CM361:DL361)</f>
        <v>520</v>
      </c>
      <c r="CG361" s="93">
        <f>SUM($Z361:AZ361)-SUM($CM361:DM361)</f>
        <v>520</v>
      </c>
      <c r="CH361" s="93">
        <f>SUM($Z361:BA361)-SUM($CM361:DN361)</f>
        <v>520</v>
      </c>
      <c r="CI361" s="93">
        <f>SUM($Z361:BB361)-SUM($CM361:DO361)</f>
        <v>520</v>
      </c>
      <c r="CJ361" s="93"/>
      <c r="CK361" s="93"/>
      <c r="CL361" s="93"/>
      <c r="CM361" s="93"/>
      <c r="CN361" s="93" cm="1">
        <f t="array" ref="CN361">SUMPRODUCT(TRANSPOSE(CN$4:CN$20),$G361:$W361)</f>
        <v>0</v>
      </c>
      <c r="CO361" s="93" cm="1">
        <f t="array" ref="CO361">SUMPRODUCT(TRANSPOSE(CO$4:CO$20),$G361:$W361)</f>
        <v>0</v>
      </c>
      <c r="CP361" s="93" cm="1">
        <f t="array" ref="CP361">SUMPRODUCT(TRANSPOSE(CP$4:CP$20),$G361:$W361)</f>
        <v>0</v>
      </c>
      <c r="CQ361" s="93" cm="1">
        <f t="array" ref="CQ361">SUMPRODUCT(TRANSPOSE(CQ$4:CQ$20),$G361:$W361)</f>
        <v>0</v>
      </c>
      <c r="CR361" s="93" cm="1">
        <f t="array" ref="CR361">SUMPRODUCT(TRANSPOSE(CR$4:CR$20),$G361:$W361)</f>
        <v>0</v>
      </c>
      <c r="CS361" s="93" cm="1">
        <f t="array" ref="CS361">SUMPRODUCT(TRANSPOSE(CS$4:CS$20),$G361:$W361)</f>
        <v>0</v>
      </c>
      <c r="CT361" s="93" cm="1">
        <f t="array" ref="CT361">SUMPRODUCT(TRANSPOSE(CT$4:CT$20),$G361:$W361)</f>
        <v>0</v>
      </c>
      <c r="CU361" s="93" cm="1">
        <f t="array" ref="CU361">SUMPRODUCT(TRANSPOSE(CU$4:CU$20),$G361:$W361)</f>
        <v>0</v>
      </c>
      <c r="CV361" s="93" cm="1">
        <f t="array" ref="CV361">SUMPRODUCT(TRANSPOSE(CV$4:CV$20),$G361:$W361)</f>
        <v>0</v>
      </c>
      <c r="CW361" s="93" cm="1">
        <f t="array" ref="CW361">SUMPRODUCT(TRANSPOSE(CW$4:CW$20),$G361:$W361)</f>
        <v>0</v>
      </c>
      <c r="CX361" s="93" cm="1">
        <f t="array" ref="CX361">SUMPRODUCT(TRANSPOSE(CX$4:CX$20),$G361:$W361)</f>
        <v>0</v>
      </c>
      <c r="CY361" s="93" cm="1">
        <f t="array" ref="CY361">SUMPRODUCT(TRANSPOSE(CY$4:CY$20),$G361:$W361)</f>
        <v>0</v>
      </c>
      <c r="CZ361" s="93" cm="1">
        <f t="array" ref="CZ361">SUMPRODUCT(TRANSPOSE(CZ$4:CZ$20),$G361:$W361)</f>
        <v>0</v>
      </c>
      <c r="DA361" s="93" cm="1">
        <f t="array" ref="DA361">SUMPRODUCT(TRANSPOSE(DA$4:DA$20),$G361:$W361)</f>
        <v>0</v>
      </c>
      <c r="DB361" s="93" cm="1">
        <f t="array" ref="DB361">SUMPRODUCT(TRANSPOSE(DB$4:DB$20),$G361:$W361)</f>
        <v>0</v>
      </c>
      <c r="DC361" s="93" cm="1">
        <f t="array" ref="DC361">SUMPRODUCT(TRANSPOSE(DC$4:DC$20),$G361:$W361)</f>
        <v>0</v>
      </c>
      <c r="DD361" s="93" cm="1">
        <f t="array" ref="DD361">SUMPRODUCT(TRANSPOSE(DD$4:DD$20),$G361:$W361)</f>
        <v>0</v>
      </c>
      <c r="DE361" s="93" cm="1">
        <f t="array" ref="DE361">SUMPRODUCT(TRANSPOSE(DE$4:DE$20),$G361:$W361)</f>
        <v>0</v>
      </c>
      <c r="DF361" s="93" cm="1">
        <f t="array" ref="DF361">SUMPRODUCT(TRANSPOSE(DF$4:DF$20),$G361:$W361)</f>
        <v>0</v>
      </c>
      <c r="DG361" s="93" cm="1">
        <f t="array" ref="DG361">SUMPRODUCT(TRANSPOSE(DG$4:DG$20),$G361:$W361)</f>
        <v>0</v>
      </c>
      <c r="DH361" s="93" cm="1">
        <f t="array" ref="DH361">SUMPRODUCT(TRANSPOSE(DH$4:DH$20),$G361:$W361)</f>
        <v>0</v>
      </c>
      <c r="DI361" s="93" cm="1">
        <f t="array" ref="DI361">SUMPRODUCT(TRANSPOSE(DI$4:DI$20),$G361:$W361)</f>
        <v>0</v>
      </c>
      <c r="DJ361" s="93" cm="1">
        <f t="array" ref="DJ361">SUMPRODUCT(TRANSPOSE(DJ$4:DJ$20),$G361:$W361)</f>
        <v>0</v>
      </c>
      <c r="DK361" s="93" cm="1">
        <f t="array" ref="DK361">SUMPRODUCT(TRANSPOSE(DK$4:DK$20),$G361:$W361)</f>
        <v>0</v>
      </c>
      <c r="DL361" s="93" cm="1">
        <f t="array" ref="DL361">SUMPRODUCT(TRANSPOSE(DL$4:DL$20),$G361:$W361)</f>
        <v>0</v>
      </c>
      <c r="DM361" s="93" cm="1">
        <f t="array" ref="DM361">SUMPRODUCT(TRANSPOSE(DM$4:DM$20),$G361:$W361)</f>
        <v>0</v>
      </c>
      <c r="DN361" s="93" cm="1">
        <f t="array" ref="DN361">SUMPRODUCT(TRANSPOSE(DN$4:DN$20),$G361:$W361)</f>
        <v>0</v>
      </c>
      <c r="DO361" s="93" cm="1">
        <f t="array" ref="DO361">SUMPRODUCT(TRANSPOSE(DO$4:DO$20),$G361:$W361)</f>
        <v>0</v>
      </c>
    </row>
    <row r="362" spans="1:119" x14ac:dyDescent="0.2">
      <c r="A362" s="45">
        <f t="shared" si="31"/>
        <v>341</v>
      </c>
      <c r="B362" s="64" t="s">
        <v>799</v>
      </c>
      <c r="C362" s="45">
        <v>401367425</v>
      </c>
      <c r="D362" s="45" t="s">
        <v>800</v>
      </c>
      <c r="E362" s="45" t="s">
        <v>162</v>
      </c>
      <c r="F362" s="48">
        <v>1</v>
      </c>
      <c r="G362" s="100">
        <v>0</v>
      </c>
      <c r="H362" s="100">
        <v>0</v>
      </c>
      <c r="I362" s="100">
        <v>1</v>
      </c>
      <c r="J362" s="100">
        <v>0</v>
      </c>
      <c r="K362" s="100">
        <v>2</v>
      </c>
      <c r="L362" s="100">
        <v>0</v>
      </c>
      <c r="M362" s="100">
        <v>0</v>
      </c>
      <c r="N362" s="100">
        <v>0</v>
      </c>
      <c r="O362" s="100">
        <v>0</v>
      </c>
      <c r="P362" s="100">
        <v>0</v>
      </c>
      <c r="Q362" s="100">
        <v>0</v>
      </c>
      <c r="R362" s="100">
        <v>0</v>
      </c>
      <c r="S362" s="100">
        <v>0</v>
      </c>
      <c r="T362" s="100">
        <v>0</v>
      </c>
      <c r="U362" s="100">
        <v>0</v>
      </c>
      <c r="V362" s="100">
        <v>0</v>
      </c>
      <c r="W362" s="100">
        <v>0</v>
      </c>
      <c r="X362" s="45" t="s">
        <v>46</v>
      </c>
      <c r="Y362" s="49">
        <v>85</v>
      </c>
      <c r="Z362" s="45">
        <v>390</v>
      </c>
      <c r="AA362" s="45">
        <v>0</v>
      </c>
      <c r="AB362" s="45">
        <v>0</v>
      </c>
      <c r="AC362" s="45">
        <v>0</v>
      </c>
      <c r="AD362" s="45">
        <v>0</v>
      </c>
      <c r="AE362" s="45">
        <v>0</v>
      </c>
      <c r="AF362" s="45">
        <v>0</v>
      </c>
      <c r="AG362" s="45">
        <v>0</v>
      </c>
      <c r="AH362" s="45">
        <v>0</v>
      </c>
      <c r="AI362" s="45">
        <v>0</v>
      </c>
      <c r="AJ362" s="45">
        <v>0</v>
      </c>
      <c r="AK362" s="45">
        <v>0</v>
      </c>
      <c r="AL362" s="45">
        <v>0</v>
      </c>
      <c r="AM362" s="45">
        <v>0</v>
      </c>
      <c r="AN362" s="45">
        <v>0</v>
      </c>
      <c r="AO362" s="45"/>
      <c r="AP362" s="45"/>
      <c r="AQ362" s="45"/>
      <c r="AR362" s="45"/>
      <c r="AS362" s="45"/>
      <c r="AT362" s="45"/>
      <c r="AU362" s="45"/>
      <c r="AV362" s="45"/>
      <c r="AW362" s="45"/>
      <c r="AX362" s="45"/>
      <c r="AY362" s="45"/>
      <c r="AZ362" s="45"/>
      <c r="BA362" s="45"/>
      <c r="BB362" s="45"/>
      <c r="BC362" s="45"/>
      <c r="BD362" s="93"/>
      <c r="BE362" s="93"/>
      <c r="BF362" s="93"/>
      <c r="BG362" s="93"/>
      <c r="BH362" s="93"/>
      <c r="BI362" s="93"/>
      <c r="BJ362" s="93"/>
      <c r="BK362" s="93">
        <f>SUM($Z362:AD362)-SUM($CM362:CQ362)</f>
        <v>366</v>
      </c>
      <c r="BL362" s="93">
        <f>SUM($Z362:AE362)-SUM($CM362:CR362)</f>
        <v>342</v>
      </c>
      <c r="BM362" s="93">
        <f>SUM($Z362:AF362)-SUM($CM362:CS362)</f>
        <v>318</v>
      </c>
      <c r="BN362" s="93">
        <f>SUM($Z362:AG362)-SUM($CM362:CT362)</f>
        <v>294</v>
      </c>
      <c r="BO362" s="93">
        <f>SUM($Z362:AH362)-SUM($CM362:CU362)</f>
        <v>270</v>
      </c>
      <c r="BP362" s="93">
        <f>SUM($Z362:AI362)-SUM($CM362:CV362)</f>
        <v>246</v>
      </c>
      <c r="BQ362" s="93">
        <f>SUM($Z362:AJ362)-SUM($CM362:CW362)</f>
        <v>222</v>
      </c>
      <c r="BR362" s="93">
        <f>SUM($Z362:AK362)-SUM($CM362:CX362)</f>
        <v>198</v>
      </c>
      <c r="BS362" s="93">
        <f>SUM($Z362:AL362)-SUM($CM362:CY362)</f>
        <v>174</v>
      </c>
      <c r="BT362" s="93">
        <f>SUM($Z362:AM362)-SUM($CM362:CZ362)</f>
        <v>150</v>
      </c>
      <c r="BU362" s="93">
        <f>SUM($Z362:AN362)-SUM($CM362:DA362)</f>
        <v>126</v>
      </c>
      <c r="BV362" s="93">
        <f>SUM($Z362:AO362)-SUM($CM362:DB362)</f>
        <v>102</v>
      </c>
      <c r="BW362" s="93">
        <f>SUM($Z362:AP362)-SUM($CM362:DC362)</f>
        <v>84</v>
      </c>
      <c r="BX362" s="93">
        <f>SUM($Z362:AQ362)-SUM($CM362:DD362)</f>
        <v>84</v>
      </c>
      <c r="BY362" s="93">
        <f>SUM($Z362:AR362)-SUM($CM362:DE362)</f>
        <v>84</v>
      </c>
      <c r="BZ362" s="93">
        <f>SUM($Z362:AS362)-SUM($CM362:DF362)</f>
        <v>84</v>
      </c>
      <c r="CA362" s="93">
        <f>SUM($Z362:AT362)-SUM($CM362:DG362)</f>
        <v>84</v>
      </c>
      <c r="CB362" s="93">
        <f>SUM($Z362:AU362)-SUM($CM362:DH362)</f>
        <v>84</v>
      </c>
      <c r="CC362" s="93">
        <f>SUM($Z362:AV362)-SUM($CM362:DI362)</f>
        <v>84</v>
      </c>
      <c r="CD362" s="93">
        <f>SUM($Z362:AW362)-SUM($CM362:DJ362)</f>
        <v>84</v>
      </c>
      <c r="CE362" s="93">
        <f>SUM($Z362:AX362)-SUM($CM362:DK362)</f>
        <v>84</v>
      </c>
      <c r="CF362" s="93">
        <f>SUM($Z362:AY362)-SUM($CM362:DL362)</f>
        <v>84</v>
      </c>
      <c r="CG362" s="93">
        <f>SUM($Z362:AZ362)-SUM($CM362:DM362)</f>
        <v>84</v>
      </c>
      <c r="CH362" s="93">
        <f>SUM($Z362:BA362)-SUM($CM362:DN362)</f>
        <v>84</v>
      </c>
      <c r="CI362" s="93">
        <f>SUM($Z362:BB362)-SUM($CM362:DO362)</f>
        <v>84</v>
      </c>
      <c r="CJ362" s="93"/>
      <c r="CK362" s="93"/>
      <c r="CL362" s="93"/>
      <c r="CM362" s="93"/>
      <c r="CN362" s="93" cm="1">
        <f t="array" ref="CN362">SUMPRODUCT(TRANSPOSE(CN$4:CN$20),$G362:$W362)</f>
        <v>0</v>
      </c>
      <c r="CO362" s="93" cm="1">
        <f t="array" ref="CO362">SUMPRODUCT(TRANSPOSE(CO$4:CO$20),$G362:$W362)</f>
        <v>0</v>
      </c>
      <c r="CP362" s="93" cm="1">
        <f t="array" ref="CP362">SUMPRODUCT(TRANSPOSE(CP$4:CP$20),$G362:$W362)</f>
        <v>0</v>
      </c>
      <c r="CQ362" s="93" cm="1">
        <f t="array" ref="CQ362">SUMPRODUCT(TRANSPOSE(CQ$4:CQ$20),$G362:$W362)</f>
        <v>24</v>
      </c>
      <c r="CR362" s="93" cm="1">
        <f t="array" ref="CR362">SUMPRODUCT(TRANSPOSE(CR$4:CR$20),$G362:$W362)</f>
        <v>24</v>
      </c>
      <c r="CS362" s="93" cm="1">
        <f t="array" ref="CS362">SUMPRODUCT(TRANSPOSE(CS$4:CS$20),$G362:$W362)</f>
        <v>24</v>
      </c>
      <c r="CT362" s="93" cm="1">
        <f t="array" ref="CT362">SUMPRODUCT(TRANSPOSE(CT$4:CT$20),$G362:$W362)</f>
        <v>24</v>
      </c>
      <c r="CU362" s="93" cm="1">
        <f t="array" ref="CU362">SUMPRODUCT(TRANSPOSE(CU$4:CU$20),$G362:$W362)</f>
        <v>24</v>
      </c>
      <c r="CV362" s="93" cm="1">
        <f t="array" ref="CV362">SUMPRODUCT(TRANSPOSE(CV$4:CV$20),$G362:$W362)</f>
        <v>24</v>
      </c>
      <c r="CW362" s="93" cm="1">
        <f t="array" ref="CW362">SUMPRODUCT(TRANSPOSE(CW$4:CW$20),$G362:$W362)</f>
        <v>24</v>
      </c>
      <c r="CX362" s="93" cm="1">
        <f t="array" ref="CX362">SUMPRODUCT(TRANSPOSE(CX$4:CX$20),$G362:$W362)</f>
        <v>24</v>
      </c>
      <c r="CY362" s="93" cm="1">
        <f t="array" ref="CY362">SUMPRODUCT(TRANSPOSE(CY$4:CY$20),$G362:$W362)</f>
        <v>24</v>
      </c>
      <c r="CZ362" s="93" cm="1">
        <f t="array" ref="CZ362">SUMPRODUCT(TRANSPOSE(CZ$4:CZ$20),$G362:$W362)</f>
        <v>24</v>
      </c>
      <c r="DA362" s="93" cm="1">
        <f t="array" ref="DA362">SUMPRODUCT(TRANSPOSE(DA$4:DA$20),$G362:$W362)</f>
        <v>24</v>
      </c>
      <c r="DB362" s="93" cm="1">
        <f t="array" ref="DB362">SUMPRODUCT(TRANSPOSE(DB$4:DB$20),$G362:$W362)</f>
        <v>24</v>
      </c>
      <c r="DC362" s="93" cm="1">
        <f t="array" ref="DC362">SUMPRODUCT(TRANSPOSE(DC$4:DC$20),$G362:$W362)</f>
        <v>18</v>
      </c>
      <c r="DD362" s="93" cm="1">
        <f t="array" ref="DD362">SUMPRODUCT(TRANSPOSE(DD$4:DD$20),$G362:$W362)</f>
        <v>0</v>
      </c>
      <c r="DE362" s="93" cm="1">
        <f t="array" ref="DE362">SUMPRODUCT(TRANSPOSE(DE$4:DE$20),$G362:$W362)</f>
        <v>0</v>
      </c>
      <c r="DF362" s="93" cm="1">
        <f t="array" ref="DF362">SUMPRODUCT(TRANSPOSE(DF$4:DF$20),$G362:$W362)</f>
        <v>0</v>
      </c>
      <c r="DG362" s="93" cm="1">
        <f t="array" ref="DG362">SUMPRODUCT(TRANSPOSE(DG$4:DG$20),$G362:$W362)</f>
        <v>0</v>
      </c>
      <c r="DH362" s="93" cm="1">
        <f t="array" ref="DH362">SUMPRODUCT(TRANSPOSE(DH$4:DH$20),$G362:$W362)</f>
        <v>0</v>
      </c>
      <c r="DI362" s="93" cm="1">
        <f t="array" ref="DI362">SUMPRODUCT(TRANSPOSE(DI$4:DI$20),$G362:$W362)</f>
        <v>0</v>
      </c>
      <c r="DJ362" s="93" cm="1">
        <f t="array" ref="DJ362">SUMPRODUCT(TRANSPOSE(DJ$4:DJ$20),$G362:$W362)</f>
        <v>0</v>
      </c>
      <c r="DK362" s="93" cm="1">
        <f t="array" ref="DK362">SUMPRODUCT(TRANSPOSE(DK$4:DK$20),$G362:$W362)</f>
        <v>0</v>
      </c>
      <c r="DL362" s="93" cm="1">
        <f t="array" ref="DL362">SUMPRODUCT(TRANSPOSE(DL$4:DL$20),$G362:$W362)</f>
        <v>0</v>
      </c>
      <c r="DM362" s="93" cm="1">
        <f t="array" ref="DM362">SUMPRODUCT(TRANSPOSE(DM$4:DM$20),$G362:$W362)</f>
        <v>0</v>
      </c>
      <c r="DN362" s="93" cm="1">
        <f t="array" ref="DN362">SUMPRODUCT(TRANSPOSE(DN$4:DN$20),$G362:$W362)</f>
        <v>0</v>
      </c>
      <c r="DO362" s="93" cm="1">
        <f t="array" ref="DO362">SUMPRODUCT(TRANSPOSE(DO$4:DO$20),$G362:$W362)</f>
        <v>0</v>
      </c>
    </row>
    <row r="363" spans="1:119" x14ac:dyDescent="0.2">
      <c r="A363" s="45">
        <f t="shared" si="31"/>
        <v>342</v>
      </c>
      <c r="B363" s="64" t="s">
        <v>801</v>
      </c>
      <c r="C363" s="50">
        <v>401380518</v>
      </c>
      <c r="D363" s="45" t="s">
        <v>252</v>
      </c>
      <c r="E363" s="45" t="s">
        <v>162</v>
      </c>
      <c r="F363" s="48">
        <v>1</v>
      </c>
      <c r="G363" s="100">
        <v>0</v>
      </c>
      <c r="H363" s="100">
        <v>0</v>
      </c>
      <c r="I363" s="100">
        <v>0</v>
      </c>
      <c r="J363" s="100">
        <v>0</v>
      </c>
      <c r="K363" s="100">
        <v>0</v>
      </c>
      <c r="L363" s="100">
        <v>0</v>
      </c>
      <c r="M363" s="100">
        <v>2</v>
      </c>
      <c r="N363" s="100">
        <v>0</v>
      </c>
      <c r="O363" s="100">
        <v>0</v>
      </c>
      <c r="P363" s="100">
        <v>0</v>
      </c>
      <c r="Q363" s="100">
        <v>0</v>
      </c>
      <c r="R363" s="100">
        <v>0</v>
      </c>
      <c r="S363" s="100">
        <v>0</v>
      </c>
      <c r="T363" s="100">
        <v>0</v>
      </c>
      <c r="U363" s="100">
        <v>0</v>
      </c>
      <c r="V363" s="100">
        <v>0</v>
      </c>
      <c r="W363" s="100">
        <v>0</v>
      </c>
      <c r="X363" s="45" t="s">
        <v>46</v>
      </c>
      <c r="Y363" s="49">
        <v>8.5</v>
      </c>
      <c r="Z363" s="45">
        <v>284</v>
      </c>
      <c r="AA363" s="45">
        <v>0</v>
      </c>
      <c r="AB363" s="45">
        <v>0</v>
      </c>
      <c r="AC363" s="45">
        <v>0</v>
      </c>
      <c r="AD363" s="45">
        <v>0</v>
      </c>
      <c r="AE363" s="45">
        <v>0</v>
      </c>
      <c r="AF363" s="45">
        <v>0</v>
      </c>
      <c r="AG363" s="45">
        <v>0</v>
      </c>
      <c r="AH363" s="45">
        <v>0</v>
      </c>
      <c r="AI363" s="45">
        <v>0</v>
      </c>
      <c r="AJ363" s="45">
        <v>0</v>
      </c>
      <c r="AK363" s="45">
        <v>0</v>
      </c>
      <c r="AL363" s="45">
        <v>0</v>
      </c>
      <c r="AM363" s="45">
        <v>0</v>
      </c>
      <c r="AN363" s="45">
        <v>0</v>
      </c>
      <c r="AO363" s="45"/>
      <c r="AP363" s="45"/>
      <c r="AQ363" s="45"/>
      <c r="AR363" s="45"/>
      <c r="AS363" s="45"/>
      <c r="AT363" s="45"/>
      <c r="AU363" s="45"/>
      <c r="AV363" s="45"/>
      <c r="AW363" s="45"/>
      <c r="AX363" s="45"/>
      <c r="AY363" s="45"/>
      <c r="AZ363" s="45"/>
      <c r="BA363" s="45"/>
      <c r="BB363" s="45"/>
      <c r="BC363" s="45"/>
      <c r="BD363" s="93"/>
      <c r="BE363" s="93"/>
      <c r="BF363" s="93"/>
      <c r="BG363" s="93"/>
      <c r="BH363" s="93"/>
      <c r="BI363" s="93"/>
      <c r="BJ363" s="93"/>
      <c r="BK363" s="93">
        <f>SUM($Z363:AD363)-SUM($CM363:CQ363)</f>
        <v>268</v>
      </c>
      <c r="BL363" s="93">
        <f>SUM($Z363:AE363)-SUM($CM363:CR363)</f>
        <v>252</v>
      </c>
      <c r="BM363" s="93">
        <f>SUM($Z363:AF363)-SUM($CM363:CS363)</f>
        <v>236</v>
      </c>
      <c r="BN363" s="93">
        <f>SUM($Z363:AG363)-SUM($CM363:CT363)</f>
        <v>220</v>
      </c>
      <c r="BO363" s="93">
        <f>SUM($Z363:AH363)-SUM($CM363:CU363)</f>
        <v>204</v>
      </c>
      <c r="BP363" s="93">
        <f>SUM($Z363:AI363)-SUM($CM363:CV363)</f>
        <v>188</v>
      </c>
      <c r="BQ363" s="93">
        <f>SUM($Z363:AJ363)-SUM($CM363:CW363)</f>
        <v>172</v>
      </c>
      <c r="BR363" s="93">
        <f>SUM($Z363:AK363)-SUM($CM363:CX363)</f>
        <v>156</v>
      </c>
      <c r="BS363" s="93">
        <f>SUM($Z363:AL363)-SUM($CM363:CY363)</f>
        <v>140</v>
      </c>
      <c r="BT363" s="93">
        <f>SUM($Z363:AM363)-SUM($CM363:CZ363)</f>
        <v>124</v>
      </c>
      <c r="BU363" s="93">
        <f>SUM($Z363:AN363)-SUM($CM363:DA363)</f>
        <v>108</v>
      </c>
      <c r="BV363" s="93">
        <f>SUM($Z363:AO363)-SUM($CM363:DB363)</f>
        <v>92</v>
      </c>
      <c r="BW363" s="93">
        <f>SUM($Z363:AP363)-SUM($CM363:DC363)</f>
        <v>64</v>
      </c>
      <c r="BX363" s="93">
        <f>SUM($Z363:AQ363)-SUM($CM363:DD363)</f>
        <v>64</v>
      </c>
      <c r="BY363" s="93">
        <f>SUM($Z363:AR363)-SUM($CM363:DE363)</f>
        <v>64</v>
      </c>
      <c r="BZ363" s="93">
        <f>SUM($Z363:AS363)-SUM($CM363:DF363)</f>
        <v>64</v>
      </c>
      <c r="CA363" s="93">
        <f>SUM($Z363:AT363)-SUM($CM363:DG363)</f>
        <v>64</v>
      </c>
      <c r="CB363" s="93">
        <f>SUM($Z363:AU363)-SUM($CM363:DH363)</f>
        <v>64</v>
      </c>
      <c r="CC363" s="93">
        <f>SUM($Z363:AV363)-SUM($CM363:DI363)</f>
        <v>64</v>
      </c>
      <c r="CD363" s="93">
        <f>SUM($Z363:AW363)-SUM($CM363:DJ363)</f>
        <v>64</v>
      </c>
      <c r="CE363" s="93">
        <f>SUM($Z363:AX363)-SUM($CM363:DK363)</f>
        <v>64</v>
      </c>
      <c r="CF363" s="93">
        <f>SUM($Z363:AY363)-SUM($CM363:DL363)</f>
        <v>64</v>
      </c>
      <c r="CG363" s="93">
        <f>SUM($Z363:AZ363)-SUM($CM363:DM363)</f>
        <v>64</v>
      </c>
      <c r="CH363" s="93">
        <f>SUM($Z363:BA363)-SUM($CM363:DN363)</f>
        <v>64</v>
      </c>
      <c r="CI363" s="93">
        <f>SUM($Z363:BB363)-SUM($CM363:DO363)</f>
        <v>64</v>
      </c>
      <c r="CJ363" s="93"/>
      <c r="CK363" s="93"/>
      <c r="CL363" s="93"/>
      <c r="CM363" s="93"/>
      <c r="CN363" s="93" cm="1">
        <f t="array" ref="CN363">SUMPRODUCT(TRANSPOSE(CN$4:CN$20),$G363:$W363)</f>
        <v>0</v>
      </c>
      <c r="CO363" s="93" cm="1">
        <f t="array" ref="CO363">SUMPRODUCT(TRANSPOSE(CO$4:CO$20),$G363:$W363)</f>
        <v>0</v>
      </c>
      <c r="CP363" s="93" cm="1">
        <f t="array" ref="CP363">SUMPRODUCT(TRANSPOSE(CP$4:CP$20),$G363:$W363)</f>
        <v>0</v>
      </c>
      <c r="CQ363" s="93" cm="1">
        <f t="array" ref="CQ363">SUMPRODUCT(TRANSPOSE(CQ$4:CQ$20),$G363:$W363)</f>
        <v>16</v>
      </c>
      <c r="CR363" s="93" cm="1">
        <f t="array" ref="CR363">SUMPRODUCT(TRANSPOSE(CR$4:CR$20),$G363:$W363)</f>
        <v>16</v>
      </c>
      <c r="CS363" s="93" cm="1">
        <f t="array" ref="CS363">SUMPRODUCT(TRANSPOSE(CS$4:CS$20),$G363:$W363)</f>
        <v>16</v>
      </c>
      <c r="CT363" s="93" cm="1">
        <f t="array" ref="CT363">SUMPRODUCT(TRANSPOSE(CT$4:CT$20),$G363:$W363)</f>
        <v>16</v>
      </c>
      <c r="CU363" s="93" cm="1">
        <f t="array" ref="CU363">SUMPRODUCT(TRANSPOSE(CU$4:CU$20),$G363:$W363)</f>
        <v>16</v>
      </c>
      <c r="CV363" s="93" cm="1">
        <f t="array" ref="CV363">SUMPRODUCT(TRANSPOSE(CV$4:CV$20),$G363:$W363)</f>
        <v>16</v>
      </c>
      <c r="CW363" s="93" cm="1">
        <f t="array" ref="CW363">SUMPRODUCT(TRANSPOSE(CW$4:CW$20),$G363:$W363)</f>
        <v>16</v>
      </c>
      <c r="CX363" s="93" cm="1">
        <f t="array" ref="CX363">SUMPRODUCT(TRANSPOSE(CX$4:CX$20),$G363:$W363)</f>
        <v>16</v>
      </c>
      <c r="CY363" s="93" cm="1">
        <f t="array" ref="CY363">SUMPRODUCT(TRANSPOSE(CY$4:CY$20),$G363:$W363)</f>
        <v>16</v>
      </c>
      <c r="CZ363" s="93" cm="1">
        <f t="array" ref="CZ363">SUMPRODUCT(TRANSPOSE(CZ$4:CZ$20),$G363:$W363)</f>
        <v>16</v>
      </c>
      <c r="DA363" s="93" cm="1">
        <f t="array" ref="DA363">SUMPRODUCT(TRANSPOSE(DA$4:DA$20),$G363:$W363)</f>
        <v>16</v>
      </c>
      <c r="DB363" s="93" cm="1">
        <f t="array" ref="DB363">SUMPRODUCT(TRANSPOSE(DB$4:DB$20),$G363:$W363)</f>
        <v>16</v>
      </c>
      <c r="DC363" s="93" cm="1">
        <f t="array" ref="DC363">SUMPRODUCT(TRANSPOSE(DC$4:DC$20),$G363:$W363)</f>
        <v>28</v>
      </c>
      <c r="DD363" s="93" cm="1">
        <f t="array" ref="DD363">SUMPRODUCT(TRANSPOSE(DD$4:DD$20),$G363:$W363)</f>
        <v>0</v>
      </c>
      <c r="DE363" s="93" cm="1">
        <f t="array" ref="DE363">SUMPRODUCT(TRANSPOSE(DE$4:DE$20),$G363:$W363)</f>
        <v>0</v>
      </c>
      <c r="DF363" s="93" cm="1">
        <f t="array" ref="DF363">SUMPRODUCT(TRANSPOSE(DF$4:DF$20),$G363:$W363)</f>
        <v>0</v>
      </c>
      <c r="DG363" s="93" cm="1">
        <f t="array" ref="DG363">SUMPRODUCT(TRANSPOSE(DG$4:DG$20),$G363:$W363)</f>
        <v>0</v>
      </c>
      <c r="DH363" s="93" cm="1">
        <f t="array" ref="DH363">SUMPRODUCT(TRANSPOSE(DH$4:DH$20),$G363:$W363)</f>
        <v>0</v>
      </c>
      <c r="DI363" s="93" cm="1">
        <f t="array" ref="DI363">SUMPRODUCT(TRANSPOSE(DI$4:DI$20),$G363:$W363)</f>
        <v>0</v>
      </c>
      <c r="DJ363" s="93" cm="1">
        <f t="array" ref="DJ363">SUMPRODUCT(TRANSPOSE(DJ$4:DJ$20),$G363:$W363)</f>
        <v>0</v>
      </c>
      <c r="DK363" s="93" cm="1">
        <f t="array" ref="DK363">SUMPRODUCT(TRANSPOSE(DK$4:DK$20),$G363:$W363)</f>
        <v>0</v>
      </c>
      <c r="DL363" s="93" cm="1">
        <f t="array" ref="DL363">SUMPRODUCT(TRANSPOSE(DL$4:DL$20),$G363:$W363)</f>
        <v>0</v>
      </c>
      <c r="DM363" s="93" cm="1">
        <f t="array" ref="DM363">SUMPRODUCT(TRANSPOSE(DM$4:DM$20),$G363:$W363)</f>
        <v>0</v>
      </c>
      <c r="DN363" s="93" cm="1">
        <f t="array" ref="DN363">SUMPRODUCT(TRANSPOSE(DN$4:DN$20),$G363:$W363)</f>
        <v>0</v>
      </c>
      <c r="DO363" s="93" cm="1">
        <f t="array" ref="DO363">SUMPRODUCT(TRANSPOSE(DO$4:DO$20),$G363:$W363)</f>
        <v>0</v>
      </c>
    </row>
    <row r="364" spans="1:119" x14ac:dyDescent="0.2">
      <c r="A364" s="45">
        <f t="shared" si="31"/>
        <v>343</v>
      </c>
      <c r="B364" s="64" t="s">
        <v>802</v>
      </c>
      <c r="C364" s="45">
        <v>401367424</v>
      </c>
      <c r="D364" s="45" t="s">
        <v>252</v>
      </c>
      <c r="E364" s="45" t="s">
        <v>162</v>
      </c>
      <c r="F364" s="48">
        <v>1</v>
      </c>
      <c r="G364" s="100">
        <v>0</v>
      </c>
      <c r="H364" s="100">
        <v>0</v>
      </c>
      <c r="I364" s="100">
        <v>2</v>
      </c>
      <c r="J364" s="100">
        <v>0</v>
      </c>
      <c r="K364" s="100">
        <v>1</v>
      </c>
      <c r="L364" s="100">
        <v>0</v>
      </c>
      <c r="M364" s="100">
        <v>0</v>
      </c>
      <c r="N364" s="100">
        <v>0</v>
      </c>
      <c r="O364" s="100">
        <v>0</v>
      </c>
      <c r="P364" s="100">
        <v>0</v>
      </c>
      <c r="Q364" s="100">
        <v>0</v>
      </c>
      <c r="R364" s="100">
        <v>0</v>
      </c>
      <c r="S364" s="100">
        <v>0</v>
      </c>
      <c r="T364" s="100">
        <v>0</v>
      </c>
      <c r="U364" s="100">
        <v>0</v>
      </c>
      <c r="V364" s="100">
        <v>0</v>
      </c>
      <c r="W364" s="100">
        <v>0</v>
      </c>
      <c r="X364" s="45" t="s">
        <v>46</v>
      </c>
      <c r="Y364" s="49">
        <v>12</v>
      </c>
      <c r="Z364" s="45">
        <v>390</v>
      </c>
      <c r="AA364" s="45">
        <v>0</v>
      </c>
      <c r="AB364" s="45">
        <v>0</v>
      </c>
      <c r="AC364" s="45">
        <v>0</v>
      </c>
      <c r="AD364" s="45">
        <v>0</v>
      </c>
      <c r="AE364" s="45">
        <v>0</v>
      </c>
      <c r="AF364" s="45">
        <v>0</v>
      </c>
      <c r="AG364" s="45">
        <v>0</v>
      </c>
      <c r="AH364" s="45">
        <v>0</v>
      </c>
      <c r="AI364" s="45">
        <v>0</v>
      </c>
      <c r="AJ364" s="45">
        <v>0</v>
      </c>
      <c r="AK364" s="45">
        <v>0</v>
      </c>
      <c r="AL364" s="45">
        <v>0</v>
      </c>
      <c r="AM364" s="45">
        <v>0</v>
      </c>
      <c r="AN364" s="45">
        <v>0</v>
      </c>
      <c r="AO364" s="45"/>
      <c r="AP364" s="45"/>
      <c r="AQ364" s="45"/>
      <c r="AR364" s="45"/>
      <c r="AS364" s="45"/>
      <c r="AT364" s="45"/>
      <c r="AU364" s="45"/>
      <c r="AV364" s="45"/>
      <c r="AW364" s="45"/>
      <c r="AX364" s="45"/>
      <c r="AY364" s="45"/>
      <c r="AZ364" s="45"/>
      <c r="BA364" s="45"/>
      <c r="BB364" s="45"/>
      <c r="BC364" s="45"/>
      <c r="BD364" s="93"/>
      <c r="BE364" s="93"/>
      <c r="BF364" s="93"/>
      <c r="BG364" s="93"/>
      <c r="BH364" s="93"/>
      <c r="BI364" s="93"/>
      <c r="BJ364" s="93"/>
      <c r="BK364" s="93">
        <f>SUM($Z364:AD364)-SUM($CM364:CQ364)</f>
        <v>366</v>
      </c>
      <c r="BL364" s="93">
        <f>SUM($Z364:AE364)-SUM($CM364:CR364)</f>
        <v>342</v>
      </c>
      <c r="BM364" s="93">
        <f>SUM($Z364:AF364)-SUM($CM364:CS364)</f>
        <v>318</v>
      </c>
      <c r="BN364" s="93">
        <f>SUM($Z364:AG364)-SUM($CM364:CT364)</f>
        <v>294</v>
      </c>
      <c r="BO364" s="93">
        <f>SUM($Z364:AH364)-SUM($CM364:CU364)</f>
        <v>270</v>
      </c>
      <c r="BP364" s="93">
        <f>SUM($Z364:AI364)-SUM($CM364:CV364)</f>
        <v>246</v>
      </c>
      <c r="BQ364" s="93">
        <f>SUM($Z364:AJ364)-SUM($CM364:CW364)</f>
        <v>222</v>
      </c>
      <c r="BR364" s="93">
        <f>SUM($Z364:AK364)-SUM($CM364:CX364)</f>
        <v>198</v>
      </c>
      <c r="BS364" s="93">
        <f>SUM($Z364:AL364)-SUM($CM364:CY364)</f>
        <v>174</v>
      </c>
      <c r="BT364" s="93">
        <f>SUM($Z364:AM364)-SUM($CM364:CZ364)</f>
        <v>150</v>
      </c>
      <c r="BU364" s="93">
        <f>SUM($Z364:AN364)-SUM($CM364:DA364)</f>
        <v>126</v>
      </c>
      <c r="BV364" s="93">
        <f>SUM($Z364:AO364)-SUM($CM364:DB364)</f>
        <v>102</v>
      </c>
      <c r="BW364" s="93">
        <f>SUM($Z364:AP364)-SUM($CM364:DC364)</f>
        <v>84</v>
      </c>
      <c r="BX364" s="93">
        <f>SUM($Z364:AQ364)-SUM($CM364:DD364)</f>
        <v>84</v>
      </c>
      <c r="BY364" s="93">
        <f>SUM($Z364:AR364)-SUM($CM364:DE364)</f>
        <v>84</v>
      </c>
      <c r="BZ364" s="93">
        <f>SUM($Z364:AS364)-SUM($CM364:DF364)</f>
        <v>84</v>
      </c>
      <c r="CA364" s="93">
        <f>SUM($Z364:AT364)-SUM($CM364:DG364)</f>
        <v>84</v>
      </c>
      <c r="CB364" s="93">
        <f>SUM($Z364:AU364)-SUM($CM364:DH364)</f>
        <v>84</v>
      </c>
      <c r="CC364" s="93">
        <f>SUM($Z364:AV364)-SUM($CM364:DI364)</f>
        <v>84</v>
      </c>
      <c r="CD364" s="93">
        <f>SUM($Z364:AW364)-SUM($CM364:DJ364)</f>
        <v>84</v>
      </c>
      <c r="CE364" s="93">
        <f>SUM($Z364:AX364)-SUM($CM364:DK364)</f>
        <v>84</v>
      </c>
      <c r="CF364" s="93">
        <f>SUM($Z364:AY364)-SUM($CM364:DL364)</f>
        <v>84</v>
      </c>
      <c r="CG364" s="93">
        <f>SUM($Z364:AZ364)-SUM($CM364:DM364)</f>
        <v>84</v>
      </c>
      <c r="CH364" s="93">
        <f>SUM($Z364:BA364)-SUM($CM364:DN364)</f>
        <v>84</v>
      </c>
      <c r="CI364" s="93">
        <f>SUM($Z364:BB364)-SUM($CM364:DO364)</f>
        <v>84</v>
      </c>
      <c r="CJ364" s="93"/>
      <c r="CK364" s="93"/>
      <c r="CL364" s="93"/>
      <c r="CM364" s="93"/>
      <c r="CN364" s="93" cm="1">
        <f t="array" ref="CN364">SUMPRODUCT(TRANSPOSE(CN$4:CN$20),$G364:$W364)</f>
        <v>0</v>
      </c>
      <c r="CO364" s="93" cm="1">
        <f t="array" ref="CO364">SUMPRODUCT(TRANSPOSE(CO$4:CO$20),$G364:$W364)</f>
        <v>0</v>
      </c>
      <c r="CP364" s="93" cm="1">
        <f t="array" ref="CP364">SUMPRODUCT(TRANSPOSE(CP$4:CP$20),$G364:$W364)</f>
        <v>0</v>
      </c>
      <c r="CQ364" s="93" cm="1">
        <f t="array" ref="CQ364">SUMPRODUCT(TRANSPOSE(CQ$4:CQ$20),$G364:$W364)</f>
        <v>24</v>
      </c>
      <c r="CR364" s="93" cm="1">
        <f t="array" ref="CR364">SUMPRODUCT(TRANSPOSE(CR$4:CR$20),$G364:$W364)</f>
        <v>24</v>
      </c>
      <c r="CS364" s="93" cm="1">
        <f t="array" ref="CS364">SUMPRODUCT(TRANSPOSE(CS$4:CS$20),$G364:$W364)</f>
        <v>24</v>
      </c>
      <c r="CT364" s="93" cm="1">
        <f t="array" ref="CT364">SUMPRODUCT(TRANSPOSE(CT$4:CT$20),$G364:$W364)</f>
        <v>24</v>
      </c>
      <c r="CU364" s="93" cm="1">
        <f t="array" ref="CU364">SUMPRODUCT(TRANSPOSE(CU$4:CU$20),$G364:$W364)</f>
        <v>24</v>
      </c>
      <c r="CV364" s="93" cm="1">
        <f t="array" ref="CV364">SUMPRODUCT(TRANSPOSE(CV$4:CV$20),$G364:$W364)</f>
        <v>24</v>
      </c>
      <c r="CW364" s="93" cm="1">
        <f t="array" ref="CW364">SUMPRODUCT(TRANSPOSE(CW$4:CW$20),$G364:$W364)</f>
        <v>24</v>
      </c>
      <c r="CX364" s="93" cm="1">
        <f t="array" ref="CX364">SUMPRODUCT(TRANSPOSE(CX$4:CX$20),$G364:$W364)</f>
        <v>24</v>
      </c>
      <c r="CY364" s="93" cm="1">
        <f t="array" ref="CY364">SUMPRODUCT(TRANSPOSE(CY$4:CY$20),$G364:$W364)</f>
        <v>24</v>
      </c>
      <c r="CZ364" s="93" cm="1">
        <f t="array" ref="CZ364">SUMPRODUCT(TRANSPOSE(CZ$4:CZ$20),$G364:$W364)</f>
        <v>24</v>
      </c>
      <c r="DA364" s="93" cm="1">
        <f t="array" ref="DA364">SUMPRODUCT(TRANSPOSE(DA$4:DA$20),$G364:$W364)</f>
        <v>24</v>
      </c>
      <c r="DB364" s="93" cm="1">
        <f t="array" ref="DB364">SUMPRODUCT(TRANSPOSE(DB$4:DB$20),$G364:$W364)</f>
        <v>24</v>
      </c>
      <c r="DC364" s="93" cm="1">
        <f t="array" ref="DC364">SUMPRODUCT(TRANSPOSE(DC$4:DC$20),$G364:$W364)</f>
        <v>18</v>
      </c>
      <c r="DD364" s="93" cm="1">
        <f t="array" ref="DD364">SUMPRODUCT(TRANSPOSE(DD$4:DD$20),$G364:$W364)</f>
        <v>0</v>
      </c>
      <c r="DE364" s="93" cm="1">
        <f t="array" ref="DE364">SUMPRODUCT(TRANSPOSE(DE$4:DE$20),$G364:$W364)</f>
        <v>0</v>
      </c>
      <c r="DF364" s="93" cm="1">
        <f t="array" ref="DF364">SUMPRODUCT(TRANSPOSE(DF$4:DF$20),$G364:$W364)</f>
        <v>0</v>
      </c>
      <c r="DG364" s="93" cm="1">
        <f t="array" ref="DG364">SUMPRODUCT(TRANSPOSE(DG$4:DG$20),$G364:$W364)</f>
        <v>0</v>
      </c>
      <c r="DH364" s="93" cm="1">
        <f t="array" ref="DH364">SUMPRODUCT(TRANSPOSE(DH$4:DH$20),$G364:$W364)</f>
        <v>0</v>
      </c>
      <c r="DI364" s="93" cm="1">
        <f t="array" ref="DI364">SUMPRODUCT(TRANSPOSE(DI$4:DI$20),$G364:$W364)</f>
        <v>0</v>
      </c>
      <c r="DJ364" s="93" cm="1">
        <f t="array" ref="DJ364">SUMPRODUCT(TRANSPOSE(DJ$4:DJ$20),$G364:$W364)</f>
        <v>0</v>
      </c>
      <c r="DK364" s="93" cm="1">
        <f t="array" ref="DK364">SUMPRODUCT(TRANSPOSE(DK$4:DK$20),$G364:$W364)</f>
        <v>0</v>
      </c>
      <c r="DL364" s="93" cm="1">
        <f t="array" ref="DL364">SUMPRODUCT(TRANSPOSE(DL$4:DL$20),$G364:$W364)</f>
        <v>0</v>
      </c>
      <c r="DM364" s="93" cm="1">
        <f t="array" ref="DM364">SUMPRODUCT(TRANSPOSE(DM$4:DM$20),$G364:$W364)</f>
        <v>0</v>
      </c>
      <c r="DN364" s="93" cm="1">
        <f t="array" ref="DN364">SUMPRODUCT(TRANSPOSE(DN$4:DN$20),$G364:$W364)</f>
        <v>0</v>
      </c>
      <c r="DO364" s="93" cm="1">
        <f t="array" ref="DO364">SUMPRODUCT(TRANSPOSE(DO$4:DO$20),$G364:$W364)</f>
        <v>0</v>
      </c>
    </row>
    <row r="365" spans="1:119" x14ac:dyDescent="0.2">
      <c r="A365" s="45">
        <f t="shared" si="31"/>
        <v>344</v>
      </c>
      <c r="B365" s="64" t="s">
        <v>803</v>
      </c>
      <c r="C365" s="45">
        <v>401369264</v>
      </c>
      <c r="D365" s="45" t="s">
        <v>215</v>
      </c>
      <c r="E365" s="45" t="s">
        <v>162</v>
      </c>
      <c r="F365" s="48">
        <v>1</v>
      </c>
      <c r="G365" s="100">
        <v>0</v>
      </c>
      <c r="H365" s="100">
        <v>0</v>
      </c>
      <c r="I365" s="100">
        <v>0</v>
      </c>
      <c r="J365" s="100">
        <v>2</v>
      </c>
      <c r="K365" s="100">
        <v>0</v>
      </c>
      <c r="L365" s="100">
        <v>2</v>
      </c>
      <c r="M365" s="100">
        <v>0</v>
      </c>
      <c r="N365" s="100">
        <v>0</v>
      </c>
      <c r="O365" s="100">
        <v>0</v>
      </c>
      <c r="P365" s="100">
        <v>0</v>
      </c>
      <c r="Q365" s="100">
        <v>0</v>
      </c>
      <c r="R365" s="100">
        <v>0</v>
      </c>
      <c r="S365" s="100">
        <v>0</v>
      </c>
      <c r="T365" s="100">
        <v>0</v>
      </c>
      <c r="U365" s="100">
        <v>0</v>
      </c>
      <c r="V365" s="100">
        <v>0</v>
      </c>
      <c r="W365" s="100">
        <v>0</v>
      </c>
      <c r="X365" s="45" t="s">
        <v>216</v>
      </c>
      <c r="Y365" s="49">
        <v>2.66</v>
      </c>
      <c r="Z365" s="45">
        <v>1050</v>
      </c>
      <c r="AA365" s="45">
        <v>0</v>
      </c>
      <c r="AB365" s="45">
        <v>0</v>
      </c>
      <c r="AC365" s="45">
        <v>0</v>
      </c>
      <c r="AD365" s="45">
        <v>0</v>
      </c>
      <c r="AE365" s="45">
        <v>0</v>
      </c>
      <c r="AF365" s="45">
        <v>0</v>
      </c>
      <c r="AG365" s="45">
        <v>0</v>
      </c>
      <c r="AH365" s="45">
        <v>0</v>
      </c>
      <c r="AI365" s="45">
        <v>0</v>
      </c>
      <c r="AJ365" s="45">
        <v>0</v>
      </c>
      <c r="AK365" s="45">
        <v>0</v>
      </c>
      <c r="AL365" s="45">
        <v>0</v>
      </c>
      <c r="AM365" s="45">
        <v>0</v>
      </c>
      <c r="AN365" s="45">
        <v>0</v>
      </c>
      <c r="AO365" s="45"/>
      <c r="AP365" s="45"/>
      <c r="AQ365" s="45"/>
      <c r="AR365" s="45"/>
      <c r="AS365" s="45"/>
      <c r="AT365" s="45"/>
      <c r="AU365" s="45"/>
      <c r="AV365" s="45"/>
      <c r="AW365" s="45"/>
      <c r="AX365" s="45"/>
      <c r="AY365" s="45"/>
      <c r="AZ365" s="45"/>
      <c r="BA365" s="45"/>
      <c r="BB365" s="45"/>
      <c r="BC365" s="45"/>
      <c r="BD365" s="93"/>
      <c r="BE365" s="93"/>
      <c r="BF365" s="93"/>
      <c r="BG365" s="93"/>
      <c r="BH365" s="93"/>
      <c r="BI365" s="93"/>
      <c r="BJ365" s="93"/>
      <c r="BK365" s="93">
        <f>SUM($Z365:AD365)-SUM($CM365:CQ365)</f>
        <v>1018</v>
      </c>
      <c r="BL365" s="93">
        <f>SUM($Z365:AE365)-SUM($CM365:CR365)</f>
        <v>986</v>
      </c>
      <c r="BM365" s="93">
        <f>SUM($Z365:AF365)-SUM($CM365:CS365)</f>
        <v>954</v>
      </c>
      <c r="BN365" s="93">
        <f>SUM($Z365:AG365)-SUM($CM365:CT365)</f>
        <v>922</v>
      </c>
      <c r="BO365" s="93">
        <f>SUM($Z365:AH365)-SUM($CM365:CU365)</f>
        <v>890</v>
      </c>
      <c r="BP365" s="93">
        <f>SUM($Z365:AI365)-SUM($CM365:CV365)</f>
        <v>858</v>
      </c>
      <c r="BQ365" s="93">
        <f>SUM($Z365:AJ365)-SUM($CM365:CW365)</f>
        <v>826</v>
      </c>
      <c r="BR365" s="93">
        <f>SUM($Z365:AK365)-SUM($CM365:CX365)</f>
        <v>794</v>
      </c>
      <c r="BS365" s="93">
        <f>SUM($Z365:AL365)-SUM($CM365:CY365)</f>
        <v>762</v>
      </c>
      <c r="BT365" s="93">
        <f>SUM($Z365:AM365)-SUM($CM365:CZ365)</f>
        <v>730</v>
      </c>
      <c r="BU365" s="93">
        <f>SUM($Z365:AN365)-SUM($CM365:DA365)</f>
        <v>698</v>
      </c>
      <c r="BV365" s="93">
        <f>SUM($Z365:AO365)-SUM($CM365:DB365)</f>
        <v>666</v>
      </c>
      <c r="BW365" s="93">
        <f>SUM($Z365:AP365)-SUM($CM365:DC365)</f>
        <v>642</v>
      </c>
      <c r="BX365" s="93">
        <f>SUM($Z365:AQ365)-SUM($CM365:DD365)</f>
        <v>642</v>
      </c>
      <c r="BY365" s="93">
        <f>SUM($Z365:AR365)-SUM($CM365:DE365)</f>
        <v>642</v>
      </c>
      <c r="BZ365" s="93">
        <f>SUM($Z365:AS365)-SUM($CM365:DF365)</f>
        <v>642</v>
      </c>
      <c r="CA365" s="93">
        <f>SUM($Z365:AT365)-SUM($CM365:DG365)</f>
        <v>642</v>
      </c>
      <c r="CB365" s="93">
        <f>SUM($Z365:AU365)-SUM($CM365:DH365)</f>
        <v>642</v>
      </c>
      <c r="CC365" s="93">
        <f>SUM($Z365:AV365)-SUM($CM365:DI365)</f>
        <v>642</v>
      </c>
      <c r="CD365" s="93">
        <f>SUM($Z365:AW365)-SUM($CM365:DJ365)</f>
        <v>642</v>
      </c>
      <c r="CE365" s="93">
        <f>SUM($Z365:AX365)-SUM($CM365:DK365)</f>
        <v>642</v>
      </c>
      <c r="CF365" s="93">
        <f>SUM($Z365:AY365)-SUM($CM365:DL365)</f>
        <v>642</v>
      </c>
      <c r="CG365" s="93">
        <f>SUM($Z365:AZ365)-SUM($CM365:DM365)</f>
        <v>642</v>
      </c>
      <c r="CH365" s="93">
        <f>SUM($Z365:BA365)-SUM($CM365:DN365)</f>
        <v>642</v>
      </c>
      <c r="CI365" s="93">
        <f>SUM($Z365:BB365)-SUM($CM365:DO365)</f>
        <v>642</v>
      </c>
      <c r="CJ365" s="93"/>
      <c r="CK365" s="93"/>
      <c r="CL365" s="93"/>
      <c r="CM365" s="93"/>
      <c r="CN365" s="93" cm="1">
        <f t="array" ref="CN365">SUMPRODUCT(TRANSPOSE(CN$4:CN$20),$G365:$W365)</f>
        <v>0</v>
      </c>
      <c r="CO365" s="93" cm="1">
        <f t="array" ref="CO365">SUMPRODUCT(TRANSPOSE(CO$4:CO$20),$G365:$W365)</f>
        <v>0</v>
      </c>
      <c r="CP365" s="93" cm="1">
        <f t="array" ref="CP365">SUMPRODUCT(TRANSPOSE(CP$4:CP$20),$G365:$W365)</f>
        <v>0</v>
      </c>
      <c r="CQ365" s="93" cm="1">
        <f t="array" ref="CQ365">SUMPRODUCT(TRANSPOSE(CQ$4:CQ$20),$G365:$W365)</f>
        <v>32</v>
      </c>
      <c r="CR365" s="93" cm="1">
        <f t="array" ref="CR365">SUMPRODUCT(TRANSPOSE(CR$4:CR$20),$G365:$W365)</f>
        <v>32</v>
      </c>
      <c r="CS365" s="93" cm="1">
        <f t="array" ref="CS365">SUMPRODUCT(TRANSPOSE(CS$4:CS$20),$G365:$W365)</f>
        <v>32</v>
      </c>
      <c r="CT365" s="93" cm="1">
        <f t="array" ref="CT365">SUMPRODUCT(TRANSPOSE(CT$4:CT$20),$G365:$W365)</f>
        <v>32</v>
      </c>
      <c r="CU365" s="93" cm="1">
        <f t="array" ref="CU365">SUMPRODUCT(TRANSPOSE(CU$4:CU$20),$G365:$W365)</f>
        <v>32</v>
      </c>
      <c r="CV365" s="93" cm="1">
        <f t="array" ref="CV365">SUMPRODUCT(TRANSPOSE(CV$4:CV$20),$G365:$W365)</f>
        <v>32</v>
      </c>
      <c r="CW365" s="93" cm="1">
        <f t="array" ref="CW365">SUMPRODUCT(TRANSPOSE(CW$4:CW$20),$G365:$W365)</f>
        <v>32</v>
      </c>
      <c r="CX365" s="93" cm="1">
        <f t="array" ref="CX365">SUMPRODUCT(TRANSPOSE(CX$4:CX$20),$G365:$W365)</f>
        <v>32</v>
      </c>
      <c r="CY365" s="93" cm="1">
        <f t="array" ref="CY365">SUMPRODUCT(TRANSPOSE(CY$4:CY$20),$G365:$W365)</f>
        <v>32</v>
      </c>
      <c r="CZ365" s="93" cm="1">
        <f t="array" ref="CZ365">SUMPRODUCT(TRANSPOSE(CZ$4:CZ$20),$G365:$W365)</f>
        <v>32</v>
      </c>
      <c r="DA365" s="93" cm="1">
        <f t="array" ref="DA365">SUMPRODUCT(TRANSPOSE(DA$4:DA$20),$G365:$W365)</f>
        <v>32</v>
      </c>
      <c r="DB365" s="93" cm="1">
        <f t="array" ref="DB365">SUMPRODUCT(TRANSPOSE(DB$4:DB$20),$G365:$W365)</f>
        <v>32</v>
      </c>
      <c r="DC365" s="93" cm="1">
        <f t="array" ref="DC365">SUMPRODUCT(TRANSPOSE(DC$4:DC$20),$G365:$W365)</f>
        <v>24</v>
      </c>
      <c r="DD365" s="93" cm="1">
        <f t="array" ref="DD365">SUMPRODUCT(TRANSPOSE(DD$4:DD$20),$G365:$W365)</f>
        <v>0</v>
      </c>
      <c r="DE365" s="93" cm="1">
        <f t="array" ref="DE365">SUMPRODUCT(TRANSPOSE(DE$4:DE$20),$G365:$W365)</f>
        <v>0</v>
      </c>
      <c r="DF365" s="93" cm="1">
        <f t="array" ref="DF365">SUMPRODUCT(TRANSPOSE(DF$4:DF$20),$G365:$W365)</f>
        <v>0</v>
      </c>
      <c r="DG365" s="93" cm="1">
        <f t="array" ref="DG365">SUMPRODUCT(TRANSPOSE(DG$4:DG$20),$G365:$W365)</f>
        <v>0</v>
      </c>
      <c r="DH365" s="93" cm="1">
        <f t="array" ref="DH365">SUMPRODUCT(TRANSPOSE(DH$4:DH$20),$G365:$W365)</f>
        <v>0</v>
      </c>
      <c r="DI365" s="93" cm="1">
        <f t="array" ref="DI365">SUMPRODUCT(TRANSPOSE(DI$4:DI$20),$G365:$W365)</f>
        <v>0</v>
      </c>
      <c r="DJ365" s="93" cm="1">
        <f t="array" ref="DJ365">SUMPRODUCT(TRANSPOSE(DJ$4:DJ$20),$G365:$W365)</f>
        <v>0</v>
      </c>
      <c r="DK365" s="93" cm="1">
        <f t="array" ref="DK365">SUMPRODUCT(TRANSPOSE(DK$4:DK$20),$G365:$W365)</f>
        <v>0</v>
      </c>
      <c r="DL365" s="93" cm="1">
        <f t="array" ref="DL365">SUMPRODUCT(TRANSPOSE(DL$4:DL$20),$G365:$W365)</f>
        <v>0</v>
      </c>
      <c r="DM365" s="93" cm="1">
        <f t="array" ref="DM365">SUMPRODUCT(TRANSPOSE(DM$4:DM$20),$G365:$W365)</f>
        <v>0</v>
      </c>
      <c r="DN365" s="93" cm="1">
        <f t="array" ref="DN365">SUMPRODUCT(TRANSPOSE(DN$4:DN$20),$G365:$W365)</f>
        <v>0</v>
      </c>
      <c r="DO365" s="93" cm="1">
        <f t="array" ref="DO365">SUMPRODUCT(TRANSPOSE(DO$4:DO$20),$G365:$W365)</f>
        <v>0</v>
      </c>
    </row>
    <row r="366" spans="1:119" x14ac:dyDescent="0.2">
      <c r="A366" s="45">
        <f t="shared" si="31"/>
        <v>345</v>
      </c>
      <c r="B366" s="64" t="s">
        <v>804</v>
      </c>
      <c r="C366" s="45">
        <v>401380520</v>
      </c>
      <c r="D366" s="45" t="s">
        <v>215</v>
      </c>
      <c r="E366" s="45" t="s">
        <v>162</v>
      </c>
      <c r="F366" s="48">
        <v>1</v>
      </c>
      <c r="G366" s="100">
        <v>0</v>
      </c>
      <c r="H366" s="100">
        <v>0</v>
      </c>
      <c r="I366" s="100">
        <v>1</v>
      </c>
      <c r="J366" s="100">
        <v>0</v>
      </c>
      <c r="K366" s="100">
        <v>1</v>
      </c>
      <c r="L366" s="100">
        <v>0</v>
      </c>
      <c r="M366" s="100">
        <v>0</v>
      </c>
      <c r="N366" s="100">
        <v>0</v>
      </c>
      <c r="O366" s="100">
        <v>0</v>
      </c>
      <c r="P366" s="100">
        <v>0</v>
      </c>
      <c r="Q366" s="100">
        <v>0</v>
      </c>
      <c r="R366" s="100">
        <v>0</v>
      </c>
      <c r="S366" s="100">
        <v>0</v>
      </c>
      <c r="T366" s="100">
        <v>0</v>
      </c>
      <c r="U366" s="100">
        <v>0</v>
      </c>
      <c r="V366" s="100">
        <v>0</v>
      </c>
      <c r="W366" s="100">
        <v>0</v>
      </c>
      <c r="X366" s="45" t="s">
        <v>805</v>
      </c>
      <c r="Y366" s="49">
        <v>7.2</v>
      </c>
      <c r="Z366" s="45">
        <v>270</v>
      </c>
      <c r="AA366" s="45">
        <v>0</v>
      </c>
      <c r="AB366" s="45">
        <v>0</v>
      </c>
      <c r="AC366" s="45">
        <v>0</v>
      </c>
      <c r="AD366" s="45">
        <v>0</v>
      </c>
      <c r="AE366" s="45">
        <v>0</v>
      </c>
      <c r="AF366" s="45">
        <v>0</v>
      </c>
      <c r="AG366" s="45">
        <v>0</v>
      </c>
      <c r="AH366" s="45">
        <v>0</v>
      </c>
      <c r="AI366" s="45">
        <v>0</v>
      </c>
      <c r="AJ366" s="45">
        <v>0</v>
      </c>
      <c r="AK366" s="45">
        <v>0</v>
      </c>
      <c r="AL366" s="45">
        <v>0</v>
      </c>
      <c r="AM366" s="45">
        <v>0</v>
      </c>
      <c r="AN366" s="45">
        <v>0</v>
      </c>
      <c r="AO366" s="45"/>
      <c r="AP366" s="45"/>
      <c r="AQ366" s="45"/>
      <c r="AR366" s="45"/>
      <c r="AS366" s="45"/>
      <c r="AT366" s="45"/>
      <c r="AU366" s="45"/>
      <c r="AV366" s="45"/>
      <c r="AW366" s="45"/>
      <c r="AX366" s="45"/>
      <c r="AY366" s="45"/>
      <c r="AZ366" s="45"/>
      <c r="BA366" s="45"/>
      <c r="BB366" s="45"/>
      <c r="BC366" s="45"/>
      <c r="BD366" s="93"/>
      <c r="BE366" s="93"/>
      <c r="BF366" s="93"/>
      <c r="BG366" s="93"/>
      <c r="BH366" s="93"/>
      <c r="BI366" s="93"/>
      <c r="BJ366" s="93"/>
      <c r="BK366" s="93">
        <f>SUM($Z366:AD366)-SUM($CM366:CQ366)</f>
        <v>254</v>
      </c>
      <c r="BL366" s="93">
        <f>SUM($Z366:AE366)-SUM($CM366:CR366)</f>
        <v>238</v>
      </c>
      <c r="BM366" s="93">
        <f>SUM($Z366:AF366)-SUM($CM366:CS366)</f>
        <v>222</v>
      </c>
      <c r="BN366" s="93">
        <f>SUM($Z366:AG366)-SUM($CM366:CT366)</f>
        <v>206</v>
      </c>
      <c r="BO366" s="93">
        <f>SUM($Z366:AH366)-SUM($CM366:CU366)</f>
        <v>190</v>
      </c>
      <c r="BP366" s="93">
        <f>SUM($Z366:AI366)-SUM($CM366:CV366)</f>
        <v>174</v>
      </c>
      <c r="BQ366" s="93">
        <f>SUM($Z366:AJ366)-SUM($CM366:CW366)</f>
        <v>158</v>
      </c>
      <c r="BR366" s="93">
        <f>SUM($Z366:AK366)-SUM($CM366:CX366)</f>
        <v>142</v>
      </c>
      <c r="BS366" s="93">
        <f>SUM($Z366:AL366)-SUM($CM366:CY366)</f>
        <v>126</v>
      </c>
      <c r="BT366" s="93">
        <f>SUM($Z366:AM366)-SUM($CM366:CZ366)</f>
        <v>110</v>
      </c>
      <c r="BU366" s="93">
        <f>SUM($Z366:AN366)-SUM($CM366:DA366)</f>
        <v>94</v>
      </c>
      <c r="BV366" s="93">
        <f>SUM($Z366:AO366)-SUM($CM366:DB366)</f>
        <v>78</v>
      </c>
      <c r="BW366" s="93">
        <f>SUM($Z366:AP366)-SUM($CM366:DC366)</f>
        <v>66</v>
      </c>
      <c r="BX366" s="93">
        <f>SUM($Z366:AQ366)-SUM($CM366:DD366)</f>
        <v>66</v>
      </c>
      <c r="BY366" s="93">
        <f>SUM($Z366:AR366)-SUM($CM366:DE366)</f>
        <v>66</v>
      </c>
      <c r="BZ366" s="93">
        <f>SUM($Z366:AS366)-SUM($CM366:DF366)</f>
        <v>66</v>
      </c>
      <c r="CA366" s="93">
        <f>SUM($Z366:AT366)-SUM($CM366:DG366)</f>
        <v>66</v>
      </c>
      <c r="CB366" s="93">
        <f>SUM($Z366:AU366)-SUM($CM366:DH366)</f>
        <v>66</v>
      </c>
      <c r="CC366" s="93">
        <f>SUM($Z366:AV366)-SUM($CM366:DI366)</f>
        <v>66</v>
      </c>
      <c r="CD366" s="93">
        <f>SUM($Z366:AW366)-SUM($CM366:DJ366)</f>
        <v>66</v>
      </c>
      <c r="CE366" s="93">
        <f>SUM($Z366:AX366)-SUM($CM366:DK366)</f>
        <v>66</v>
      </c>
      <c r="CF366" s="93">
        <f>SUM($Z366:AY366)-SUM($CM366:DL366)</f>
        <v>66</v>
      </c>
      <c r="CG366" s="93">
        <f>SUM($Z366:AZ366)-SUM($CM366:DM366)</f>
        <v>66</v>
      </c>
      <c r="CH366" s="93">
        <f>SUM($Z366:BA366)-SUM($CM366:DN366)</f>
        <v>66</v>
      </c>
      <c r="CI366" s="93">
        <f>SUM($Z366:BB366)-SUM($CM366:DO366)</f>
        <v>66</v>
      </c>
      <c r="CJ366" s="93"/>
      <c r="CK366" s="93"/>
      <c r="CL366" s="93"/>
      <c r="CM366" s="93"/>
      <c r="CN366" s="93" cm="1">
        <f t="array" ref="CN366">SUMPRODUCT(TRANSPOSE(CN$4:CN$20),$G366:$W366)</f>
        <v>0</v>
      </c>
      <c r="CO366" s="93" cm="1">
        <f t="array" ref="CO366">SUMPRODUCT(TRANSPOSE(CO$4:CO$20),$G366:$W366)</f>
        <v>0</v>
      </c>
      <c r="CP366" s="93" cm="1">
        <f t="array" ref="CP366">SUMPRODUCT(TRANSPOSE(CP$4:CP$20),$G366:$W366)</f>
        <v>0</v>
      </c>
      <c r="CQ366" s="93" cm="1">
        <f t="array" ref="CQ366">SUMPRODUCT(TRANSPOSE(CQ$4:CQ$20),$G366:$W366)</f>
        <v>16</v>
      </c>
      <c r="CR366" s="93" cm="1">
        <f t="array" ref="CR366">SUMPRODUCT(TRANSPOSE(CR$4:CR$20),$G366:$W366)</f>
        <v>16</v>
      </c>
      <c r="CS366" s="93" cm="1">
        <f t="array" ref="CS366">SUMPRODUCT(TRANSPOSE(CS$4:CS$20),$G366:$W366)</f>
        <v>16</v>
      </c>
      <c r="CT366" s="93" cm="1">
        <f t="array" ref="CT366">SUMPRODUCT(TRANSPOSE(CT$4:CT$20),$G366:$W366)</f>
        <v>16</v>
      </c>
      <c r="CU366" s="93" cm="1">
        <f t="array" ref="CU366">SUMPRODUCT(TRANSPOSE(CU$4:CU$20),$G366:$W366)</f>
        <v>16</v>
      </c>
      <c r="CV366" s="93" cm="1">
        <f t="array" ref="CV366">SUMPRODUCT(TRANSPOSE(CV$4:CV$20),$G366:$W366)</f>
        <v>16</v>
      </c>
      <c r="CW366" s="93" cm="1">
        <f t="array" ref="CW366">SUMPRODUCT(TRANSPOSE(CW$4:CW$20),$G366:$W366)</f>
        <v>16</v>
      </c>
      <c r="CX366" s="93" cm="1">
        <f t="array" ref="CX366">SUMPRODUCT(TRANSPOSE(CX$4:CX$20),$G366:$W366)</f>
        <v>16</v>
      </c>
      <c r="CY366" s="93" cm="1">
        <f t="array" ref="CY366">SUMPRODUCT(TRANSPOSE(CY$4:CY$20),$G366:$W366)</f>
        <v>16</v>
      </c>
      <c r="CZ366" s="93" cm="1">
        <f t="array" ref="CZ366">SUMPRODUCT(TRANSPOSE(CZ$4:CZ$20),$G366:$W366)</f>
        <v>16</v>
      </c>
      <c r="DA366" s="93" cm="1">
        <f t="array" ref="DA366">SUMPRODUCT(TRANSPOSE(DA$4:DA$20),$G366:$W366)</f>
        <v>16</v>
      </c>
      <c r="DB366" s="93" cm="1">
        <f t="array" ref="DB366">SUMPRODUCT(TRANSPOSE(DB$4:DB$20),$G366:$W366)</f>
        <v>16</v>
      </c>
      <c r="DC366" s="93" cm="1">
        <f t="array" ref="DC366">SUMPRODUCT(TRANSPOSE(DC$4:DC$20),$G366:$W366)</f>
        <v>12</v>
      </c>
      <c r="DD366" s="93" cm="1">
        <f t="array" ref="DD366">SUMPRODUCT(TRANSPOSE(DD$4:DD$20),$G366:$W366)</f>
        <v>0</v>
      </c>
      <c r="DE366" s="93" cm="1">
        <f t="array" ref="DE366">SUMPRODUCT(TRANSPOSE(DE$4:DE$20),$G366:$W366)</f>
        <v>0</v>
      </c>
      <c r="DF366" s="93" cm="1">
        <f t="array" ref="DF366">SUMPRODUCT(TRANSPOSE(DF$4:DF$20),$G366:$W366)</f>
        <v>0</v>
      </c>
      <c r="DG366" s="93" cm="1">
        <f t="array" ref="DG366">SUMPRODUCT(TRANSPOSE(DG$4:DG$20),$G366:$W366)</f>
        <v>0</v>
      </c>
      <c r="DH366" s="93" cm="1">
        <f t="array" ref="DH366">SUMPRODUCT(TRANSPOSE(DH$4:DH$20),$G366:$W366)</f>
        <v>0</v>
      </c>
      <c r="DI366" s="93" cm="1">
        <f t="array" ref="DI366">SUMPRODUCT(TRANSPOSE(DI$4:DI$20),$G366:$W366)</f>
        <v>0</v>
      </c>
      <c r="DJ366" s="93" cm="1">
        <f t="array" ref="DJ366">SUMPRODUCT(TRANSPOSE(DJ$4:DJ$20),$G366:$W366)</f>
        <v>0</v>
      </c>
      <c r="DK366" s="93" cm="1">
        <f t="array" ref="DK366">SUMPRODUCT(TRANSPOSE(DK$4:DK$20),$G366:$W366)</f>
        <v>0</v>
      </c>
      <c r="DL366" s="93" cm="1">
        <f t="array" ref="DL366">SUMPRODUCT(TRANSPOSE(DL$4:DL$20),$G366:$W366)</f>
        <v>0</v>
      </c>
      <c r="DM366" s="93" cm="1">
        <f t="array" ref="DM366">SUMPRODUCT(TRANSPOSE(DM$4:DM$20),$G366:$W366)</f>
        <v>0</v>
      </c>
      <c r="DN366" s="93" cm="1">
        <f t="array" ref="DN366">SUMPRODUCT(TRANSPOSE(DN$4:DN$20),$G366:$W366)</f>
        <v>0</v>
      </c>
      <c r="DO366" s="93" cm="1">
        <f t="array" ref="DO366">SUMPRODUCT(TRANSPOSE(DO$4:DO$20),$G366:$W366)</f>
        <v>0</v>
      </c>
    </row>
    <row r="367" spans="1:119" x14ac:dyDescent="0.2">
      <c r="A367" s="45">
        <f t="shared" si="31"/>
        <v>346</v>
      </c>
      <c r="B367" s="64" t="s">
        <v>158</v>
      </c>
      <c r="C367" s="50">
        <v>401562293</v>
      </c>
      <c r="D367" s="45" t="s">
        <v>135</v>
      </c>
      <c r="E367" s="45" t="s">
        <v>162</v>
      </c>
      <c r="F367" s="48">
        <v>1</v>
      </c>
      <c r="G367" s="100">
        <v>0</v>
      </c>
      <c r="H367" s="100">
        <v>0</v>
      </c>
      <c r="I367" s="100">
        <v>0</v>
      </c>
      <c r="J367" s="100">
        <v>0</v>
      </c>
      <c r="K367" s="100">
        <v>0</v>
      </c>
      <c r="L367" s="100">
        <v>0</v>
      </c>
      <c r="M367" s="100">
        <v>1</v>
      </c>
      <c r="N367" s="100">
        <v>0</v>
      </c>
      <c r="O367" s="100">
        <v>0</v>
      </c>
      <c r="P367" s="100">
        <v>0</v>
      </c>
      <c r="Q367" s="100">
        <v>0</v>
      </c>
      <c r="R367" s="100">
        <v>0</v>
      </c>
      <c r="S367" s="100">
        <v>0</v>
      </c>
      <c r="T367" s="100">
        <v>0</v>
      </c>
      <c r="U367" s="100">
        <v>0</v>
      </c>
      <c r="V367" s="100">
        <v>0</v>
      </c>
      <c r="W367" s="100">
        <v>0</v>
      </c>
      <c r="X367" s="45" t="s">
        <v>4</v>
      </c>
      <c r="Y367" s="49">
        <v>0</v>
      </c>
      <c r="Z367" s="45">
        <v>0</v>
      </c>
      <c r="AA367" s="45">
        <v>0</v>
      </c>
      <c r="AB367" s="45">
        <v>0</v>
      </c>
      <c r="AC367" s="45">
        <v>0</v>
      </c>
      <c r="AD367" s="45">
        <v>0</v>
      </c>
      <c r="AE367" s="45">
        <v>0</v>
      </c>
      <c r="AF367" s="45">
        <v>0</v>
      </c>
      <c r="AG367" s="45">
        <v>0</v>
      </c>
      <c r="AH367" s="45">
        <v>0</v>
      </c>
      <c r="AI367" s="45">
        <v>0</v>
      </c>
      <c r="AJ367" s="45">
        <v>0</v>
      </c>
      <c r="AK367" s="45">
        <v>0</v>
      </c>
      <c r="AL367" s="45">
        <v>0</v>
      </c>
      <c r="AM367" s="45">
        <v>0</v>
      </c>
      <c r="AN367" s="45">
        <v>0</v>
      </c>
      <c r="AO367" s="45"/>
      <c r="AP367" s="45"/>
      <c r="AQ367" s="45"/>
      <c r="AR367" s="45"/>
      <c r="AS367" s="45"/>
      <c r="AT367" s="45"/>
      <c r="AU367" s="45"/>
      <c r="AV367" s="45"/>
      <c r="AW367" s="45"/>
      <c r="AX367" s="45"/>
      <c r="AY367" s="45"/>
      <c r="AZ367" s="45"/>
      <c r="BA367" s="45"/>
      <c r="BB367" s="45"/>
      <c r="BC367" s="45"/>
      <c r="BD367" s="93"/>
      <c r="BE367" s="93"/>
      <c r="BF367" s="93"/>
      <c r="BG367" s="93"/>
      <c r="BH367" s="93"/>
      <c r="BI367" s="93"/>
      <c r="BJ367" s="93"/>
      <c r="BK367" s="93">
        <f>SUM($Z367:AD367)-SUM($CM367:CQ367)</f>
        <v>-8</v>
      </c>
      <c r="BL367" s="93">
        <f>SUM($Z367:AE367)-SUM($CM367:CR367)</f>
        <v>-16</v>
      </c>
      <c r="BM367" s="93">
        <f>SUM($Z367:AF367)-SUM($CM367:CS367)</f>
        <v>-24</v>
      </c>
      <c r="BN367" s="93">
        <f>SUM($Z367:AG367)-SUM($CM367:CT367)</f>
        <v>-32</v>
      </c>
      <c r="BO367" s="93">
        <f>SUM($Z367:AH367)-SUM($CM367:CU367)</f>
        <v>-40</v>
      </c>
      <c r="BP367" s="93">
        <f>SUM($Z367:AI367)-SUM($CM367:CV367)</f>
        <v>-48</v>
      </c>
      <c r="BQ367" s="93">
        <f>SUM($Z367:AJ367)-SUM($CM367:CW367)</f>
        <v>-56</v>
      </c>
      <c r="BR367" s="93">
        <f>SUM($Z367:AK367)-SUM($CM367:CX367)</f>
        <v>-64</v>
      </c>
      <c r="BS367" s="93">
        <f>SUM($Z367:AL367)-SUM($CM367:CY367)</f>
        <v>-72</v>
      </c>
      <c r="BT367" s="93">
        <f>SUM($Z367:AM367)-SUM($CM367:CZ367)</f>
        <v>-80</v>
      </c>
      <c r="BU367" s="93">
        <f>SUM($Z367:AN367)-SUM($CM367:DA367)</f>
        <v>-88</v>
      </c>
      <c r="BV367" s="93">
        <f>SUM($Z367:AO367)-SUM($CM367:DB367)</f>
        <v>-96</v>
      </c>
      <c r="BW367" s="93">
        <f>SUM($Z367:AP367)-SUM($CM367:DC367)</f>
        <v>-110</v>
      </c>
      <c r="BX367" s="93">
        <f>SUM($Z367:AQ367)-SUM($CM367:DD367)</f>
        <v>-110</v>
      </c>
      <c r="BY367" s="93">
        <f>SUM($Z367:AR367)-SUM($CM367:DE367)</f>
        <v>-110</v>
      </c>
      <c r="BZ367" s="93">
        <f>SUM($Z367:AS367)-SUM($CM367:DF367)</f>
        <v>-110</v>
      </c>
      <c r="CA367" s="93">
        <f>SUM($Z367:AT367)-SUM($CM367:DG367)</f>
        <v>-110</v>
      </c>
      <c r="CB367" s="93">
        <f>SUM($Z367:AU367)-SUM($CM367:DH367)</f>
        <v>-110</v>
      </c>
      <c r="CC367" s="93">
        <f>SUM($Z367:AV367)-SUM($CM367:DI367)</f>
        <v>-110</v>
      </c>
      <c r="CD367" s="93">
        <f>SUM($Z367:AW367)-SUM($CM367:DJ367)</f>
        <v>-110</v>
      </c>
      <c r="CE367" s="93">
        <f>SUM($Z367:AX367)-SUM($CM367:DK367)</f>
        <v>-110</v>
      </c>
      <c r="CF367" s="93">
        <f>SUM($Z367:AY367)-SUM($CM367:DL367)</f>
        <v>-110</v>
      </c>
      <c r="CG367" s="93">
        <f>SUM($Z367:AZ367)-SUM($CM367:DM367)</f>
        <v>-110</v>
      </c>
      <c r="CH367" s="93">
        <f>SUM($Z367:BA367)-SUM($CM367:DN367)</f>
        <v>-110</v>
      </c>
      <c r="CI367" s="93">
        <f>SUM($Z367:BB367)-SUM($CM367:DO367)</f>
        <v>-110</v>
      </c>
      <c r="CJ367" s="93"/>
      <c r="CK367" s="93"/>
      <c r="CL367" s="93"/>
      <c r="CM367" s="93"/>
      <c r="CN367" s="93" cm="1">
        <f t="array" ref="CN367">SUMPRODUCT(TRANSPOSE(CN$4:CN$20),$G367:$W367)</f>
        <v>0</v>
      </c>
      <c r="CO367" s="93" cm="1">
        <f t="array" ref="CO367">SUMPRODUCT(TRANSPOSE(CO$4:CO$20),$G367:$W367)</f>
        <v>0</v>
      </c>
      <c r="CP367" s="93" cm="1">
        <f t="array" ref="CP367">SUMPRODUCT(TRANSPOSE(CP$4:CP$20),$G367:$W367)</f>
        <v>0</v>
      </c>
      <c r="CQ367" s="93" cm="1">
        <f t="array" ref="CQ367">SUMPRODUCT(TRANSPOSE(CQ$4:CQ$20),$G367:$W367)</f>
        <v>8</v>
      </c>
      <c r="CR367" s="93" cm="1">
        <f t="array" ref="CR367">SUMPRODUCT(TRANSPOSE(CR$4:CR$20),$G367:$W367)</f>
        <v>8</v>
      </c>
      <c r="CS367" s="93" cm="1">
        <f t="array" ref="CS367">SUMPRODUCT(TRANSPOSE(CS$4:CS$20),$G367:$W367)</f>
        <v>8</v>
      </c>
      <c r="CT367" s="93" cm="1">
        <f t="array" ref="CT367">SUMPRODUCT(TRANSPOSE(CT$4:CT$20),$G367:$W367)</f>
        <v>8</v>
      </c>
      <c r="CU367" s="93" cm="1">
        <f t="array" ref="CU367">SUMPRODUCT(TRANSPOSE(CU$4:CU$20),$G367:$W367)</f>
        <v>8</v>
      </c>
      <c r="CV367" s="93" cm="1">
        <f t="array" ref="CV367">SUMPRODUCT(TRANSPOSE(CV$4:CV$20),$G367:$W367)</f>
        <v>8</v>
      </c>
      <c r="CW367" s="93" cm="1">
        <f t="array" ref="CW367">SUMPRODUCT(TRANSPOSE(CW$4:CW$20),$G367:$W367)</f>
        <v>8</v>
      </c>
      <c r="CX367" s="93" cm="1">
        <f t="array" ref="CX367">SUMPRODUCT(TRANSPOSE(CX$4:CX$20),$G367:$W367)</f>
        <v>8</v>
      </c>
      <c r="CY367" s="93" cm="1">
        <f t="array" ref="CY367">SUMPRODUCT(TRANSPOSE(CY$4:CY$20),$G367:$W367)</f>
        <v>8</v>
      </c>
      <c r="CZ367" s="93" cm="1">
        <f t="array" ref="CZ367">SUMPRODUCT(TRANSPOSE(CZ$4:CZ$20),$G367:$W367)</f>
        <v>8</v>
      </c>
      <c r="DA367" s="93" cm="1">
        <f t="array" ref="DA367">SUMPRODUCT(TRANSPOSE(DA$4:DA$20),$G367:$W367)</f>
        <v>8</v>
      </c>
      <c r="DB367" s="93" cm="1">
        <f t="array" ref="DB367">SUMPRODUCT(TRANSPOSE(DB$4:DB$20),$G367:$W367)</f>
        <v>8</v>
      </c>
      <c r="DC367" s="93" cm="1">
        <f t="array" ref="DC367">SUMPRODUCT(TRANSPOSE(DC$4:DC$20),$G367:$W367)</f>
        <v>14</v>
      </c>
      <c r="DD367" s="93" cm="1">
        <f t="array" ref="DD367">SUMPRODUCT(TRANSPOSE(DD$4:DD$20),$G367:$W367)</f>
        <v>0</v>
      </c>
      <c r="DE367" s="93" cm="1">
        <f t="array" ref="DE367">SUMPRODUCT(TRANSPOSE(DE$4:DE$20),$G367:$W367)</f>
        <v>0</v>
      </c>
      <c r="DF367" s="93" cm="1">
        <f t="array" ref="DF367">SUMPRODUCT(TRANSPOSE(DF$4:DF$20),$G367:$W367)</f>
        <v>0</v>
      </c>
      <c r="DG367" s="93" cm="1">
        <f t="array" ref="DG367">SUMPRODUCT(TRANSPOSE(DG$4:DG$20),$G367:$W367)</f>
        <v>0</v>
      </c>
      <c r="DH367" s="93" cm="1">
        <f t="array" ref="DH367">SUMPRODUCT(TRANSPOSE(DH$4:DH$20),$G367:$W367)</f>
        <v>0</v>
      </c>
      <c r="DI367" s="93" cm="1">
        <f t="array" ref="DI367">SUMPRODUCT(TRANSPOSE(DI$4:DI$20),$G367:$W367)</f>
        <v>0</v>
      </c>
      <c r="DJ367" s="93" cm="1">
        <f t="array" ref="DJ367">SUMPRODUCT(TRANSPOSE(DJ$4:DJ$20),$G367:$W367)</f>
        <v>0</v>
      </c>
      <c r="DK367" s="93" cm="1">
        <f t="array" ref="DK367">SUMPRODUCT(TRANSPOSE(DK$4:DK$20),$G367:$W367)</f>
        <v>0</v>
      </c>
      <c r="DL367" s="93" cm="1">
        <f t="array" ref="DL367">SUMPRODUCT(TRANSPOSE(DL$4:DL$20),$G367:$W367)</f>
        <v>0</v>
      </c>
      <c r="DM367" s="93" cm="1">
        <f t="array" ref="DM367">SUMPRODUCT(TRANSPOSE(DM$4:DM$20),$G367:$W367)</f>
        <v>0</v>
      </c>
      <c r="DN367" s="93" cm="1">
        <f t="array" ref="DN367">SUMPRODUCT(TRANSPOSE(DN$4:DN$20),$G367:$W367)</f>
        <v>0</v>
      </c>
      <c r="DO367" s="93" cm="1">
        <f t="array" ref="DO367">SUMPRODUCT(TRANSPOSE(DO$4:DO$20),$G367:$W367)</f>
        <v>0</v>
      </c>
    </row>
    <row r="368" spans="1:119" x14ac:dyDescent="0.2">
      <c r="A368" s="75">
        <f t="shared" si="31"/>
        <v>347</v>
      </c>
      <c r="B368" s="45" t="s">
        <v>806</v>
      </c>
      <c r="C368" s="45">
        <v>401558814</v>
      </c>
      <c r="D368" s="45" t="s">
        <v>807</v>
      </c>
      <c r="E368" s="45" t="s">
        <v>162</v>
      </c>
      <c r="F368" s="48">
        <v>1</v>
      </c>
      <c r="G368" s="100">
        <v>0</v>
      </c>
      <c r="H368" s="100">
        <v>0</v>
      </c>
      <c r="I368" s="100">
        <v>0</v>
      </c>
      <c r="J368" s="100">
        <v>0</v>
      </c>
      <c r="K368" s="100">
        <v>0</v>
      </c>
      <c r="L368" s="100">
        <v>0</v>
      </c>
      <c r="M368" s="100">
        <v>1</v>
      </c>
      <c r="N368" s="100">
        <v>0</v>
      </c>
      <c r="O368" s="100">
        <v>0</v>
      </c>
      <c r="P368" s="100">
        <v>0</v>
      </c>
      <c r="Q368" s="100">
        <v>0</v>
      </c>
      <c r="R368" s="100">
        <v>0</v>
      </c>
      <c r="S368" s="100">
        <v>0</v>
      </c>
      <c r="T368" s="100">
        <v>0</v>
      </c>
      <c r="U368" s="100">
        <v>0</v>
      </c>
      <c r="V368" s="100">
        <v>0</v>
      </c>
      <c r="W368" s="100">
        <v>0</v>
      </c>
      <c r="X368" s="45" t="s">
        <v>808</v>
      </c>
      <c r="Y368" s="53">
        <v>790</v>
      </c>
      <c r="Z368" s="45">
        <v>164</v>
      </c>
      <c r="AA368" s="45">
        <v>0</v>
      </c>
      <c r="AB368" s="45">
        <v>0</v>
      </c>
      <c r="AC368" s="45">
        <v>0</v>
      </c>
      <c r="AD368" s="45">
        <v>0</v>
      </c>
      <c r="AE368" s="45">
        <v>0</v>
      </c>
      <c r="AF368" s="45">
        <v>0</v>
      </c>
      <c r="AG368" s="45">
        <v>0</v>
      </c>
      <c r="AH368" s="45">
        <v>0</v>
      </c>
      <c r="AI368" s="45">
        <v>0</v>
      </c>
      <c r="AJ368" s="45">
        <v>0</v>
      </c>
      <c r="AK368" s="45">
        <v>0</v>
      </c>
      <c r="AL368" s="45">
        <v>0</v>
      </c>
      <c r="AM368" s="45">
        <v>0</v>
      </c>
      <c r="AN368" s="45">
        <v>0</v>
      </c>
      <c r="AO368" s="45"/>
      <c r="AP368" s="45"/>
      <c r="AQ368" s="45"/>
      <c r="AR368" s="45"/>
      <c r="AS368" s="45"/>
      <c r="AT368" s="45"/>
      <c r="AU368" s="45"/>
      <c r="AV368" s="45"/>
      <c r="AW368" s="45"/>
      <c r="AX368" s="45"/>
      <c r="AY368" s="45"/>
      <c r="AZ368" s="45"/>
      <c r="BA368" s="45"/>
      <c r="BB368" s="45"/>
      <c r="BC368" s="45"/>
      <c r="BD368" s="93"/>
      <c r="BE368" s="93"/>
      <c r="BF368" s="93"/>
      <c r="BG368" s="93"/>
      <c r="BH368" s="93"/>
      <c r="BI368" s="93"/>
      <c r="BJ368" s="93"/>
      <c r="BK368" s="93">
        <f>SUM($Z368:AD368)-SUM($CM368:CQ368)</f>
        <v>156</v>
      </c>
      <c r="BL368" s="93">
        <f>SUM($Z368:AE368)-SUM($CM368:CR368)</f>
        <v>148</v>
      </c>
      <c r="BM368" s="93">
        <f>SUM($Z368:AF368)-SUM($CM368:CS368)</f>
        <v>140</v>
      </c>
      <c r="BN368" s="93">
        <f>SUM($Z368:AG368)-SUM($CM368:CT368)</f>
        <v>132</v>
      </c>
      <c r="BO368" s="93">
        <f>SUM($Z368:AH368)-SUM($CM368:CU368)</f>
        <v>124</v>
      </c>
      <c r="BP368" s="93">
        <f>SUM($Z368:AI368)-SUM($CM368:CV368)</f>
        <v>116</v>
      </c>
      <c r="BQ368" s="93">
        <f>SUM($Z368:AJ368)-SUM($CM368:CW368)</f>
        <v>108</v>
      </c>
      <c r="BR368" s="93">
        <f>SUM($Z368:AK368)-SUM($CM368:CX368)</f>
        <v>100</v>
      </c>
      <c r="BS368" s="93">
        <f>SUM($Z368:AL368)-SUM($CM368:CY368)</f>
        <v>92</v>
      </c>
      <c r="BT368" s="93">
        <f>SUM($Z368:AM368)-SUM($CM368:CZ368)</f>
        <v>84</v>
      </c>
      <c r="BU368" s="93">
        <f>SUM($Z368:AN368)-SUM($CM368:DA368)</f>
        <v>76</v>
      </c>
      <c r="BV368" s="93">
        <f>SUM($Z368:AO368)-SUM($CM368:DB368)</f>
        <v>68</v>
      </c>
      <c r="BW368" s="93">
        <f>SUM($Z368:AP368)-SUM($CM368:DC368)</f>
        <v>54</v>
      </c>
      <c r="BX368" s="93">
        <f>SUM($Z368:AQ368)-SUM($CM368:DD368)</f>
        <v>54</v>
      </c>
      <c r="BY368" s="93">
        <f>SUM($Z368:AR368)-SUM($CM368:DE368)</f>
        <v>54</v>
      </c>
      <c r="BZ368" s="93">
        <f>SUM($Z368:AS368)-SUM($CM368:DF368)</f>
        <v>54</v>
      </c>
      <c r="CA368" s="93">
        <f>SUM($Z368:AT368)-SUM($CM368:DG368)</f>
        <v>54</v>
      </c>
      <c r="CB368" s="93">
        <f>SUM($Z368:AU368)-SUM($CM368:DH368)</f>
        <v>54</v>
      </c>
      <c r="CC368" s="93">
        <f>SUM($Z368:AV368)-SUM($CM368:DI368)</f>
        <v>54</v>
      </c>
      <c r="CD368" s="93">
        <f>SUM($Z368:AW368)-SUM($CM368:DJ368)</f>
        <v>54</v>
      </c>
      <c r="CE368" s="93">
        <f>SUM($Z368:AX368)-SUM($CM368:DK368)</f>
        <v>54</v>
      </c>
      <c r="CF368" s="93">
        <f>SUM($Z368:AY368)-SUM($CM368:DL368)</f>
        <v>54</v>
      </c>
      <c r="CG368" s="93">
        <f>SUM($Z368:AZ368)-SUM($CM368:DM368)</f>
        <v>54</v>
      </c>
      <c r="CH368" s="93">
        <f>SUM($Z368:BA368)-SUM($CM368:DN368)</f>
        <v>54</v>
      </c>
      <c r="CI368" s="93">
        <f>SUM($Z368:BB368)-SUM($CM368:DO368)</f>
        <v>54</v>
      </c>
      <c r="CJ368" s="93"/>
      <c r="CK368" s="93"/>
      <c r="CL368" s="93"/>
      <c r="CM368" s="93"/>
      <c r="CN368" s="93" cm="1">
        <f t="array" ref="CN368">SUMPRODUCT(TRANSPOSE(CN$4:CN$20),$G368:$W368)</f>
        <v>0</v>
      </c>
      <c r="CO368" s="93" cm="1">
        <f t="array" ref="CO368">SUMPRODUCT(TRANSPOSE(CO$4:CO$20),$G368:$W368)</f>
        <v>0</v>
      </c>
      <c r="CP368" s="93" cm="1">
        <f t="array" ref="CP368">SUMPRODUCT(TRANSPOSE(CP$4:CP$20),$G368:$W368)</f>
        <v>0</v>
      </c>
      <c r="CQ368" s="93" cm="1">
        <f t="array" ref="CQ368">SUMPRODUCT(TRANSPOSE(CQ$4:CQ$20),$G368:$W368)</f>
        <v>8</v>
      </c>
      <c r="CR368" s="93" cm="1">
        <f t="array" ref="CR368">SUMPRODUCT(TRANSPOSE(CR$4:CR$20),$G368:$W368)</f>
        <v>8</v>
      </c>
      <c r="CS368" s="93" cm="1">
        <f t="array" ref="CS368">SUMPRODUCT(TRANSPOSE(CS$4:CS$20),$G368:$W368)</f>
        <v>8</v>
      </c>
      <c r="CT368" s="93" cm="1">
        <f t="array" ref="CT368">SUMPRODUCT(TRANSPOSE(CT$4:CT$20),$G368:$W368)</f>
        <v>8</v>
      </c>
      <c r="CU368" s="93" cm="1">
        <f t="array" ref="CU368">SUMPRODUCT(TRANSPOSE(CU$4:CU$20),$G368:$W368)</f>
        <v>8</v>
      </c>
      <c r="CV368" s="93" cm="1">
        <f t="array" ref="CV368">SUMPRODUCT(TRANSPOSE(CV$4:CV$20),$G368:$W368)</f>
        <v>8</v>
      </c>
      <c r="CW368" s="93" cm="1">
        <f t="array" ref="CW368">SUMPRODUCT(TRANSPOSE(CW$4:CW$20),$G368:$W368)</f>
        <v>8</v>
      </c>
      <c r="CX368" s="93" cm="1">
        <f t="array" ref="CX368">SUMPRODUCT(TRANSPOSE(CX$4:CX$20),$G368:$W368)</f>
        <v>8</v>
      </c>
      <c r="CY368" s="93" cm="1">
        <f t="array" ref="CY368">SUMPRODUCT(TRANSPOSE(CY$4:CY$20),$G368:$W368)</f>
        <v>8</v>
      </c>
      <c r="CZ368" s="93" cm="1">
        <f t="array" ref="CZ368">SUMPRODUCT(TRANSPOSE(CZ$4:CZ$20),$G368:$W368)</f>
        <v>8</v>
      </c>
      <c r="DA368" s="93" cm="1">
        <f t="array" ref="DA368">SUMPRODUCT(TRANSPOSE(DA$4:DA$20),$G368:$W368)</f>
        <v>8</v>
      </c>
      <c r="DB368" s="93" cm="1">
        <f t="array" ref="DB368">SUMPRODUCT(TRANSPOSE(DB$4:DB$20),$G368:$W368)</f>
        <v>8</v>
      </c>
      <c r="DC368" s="93" cm="1">
        <f t="array" ref="DC368">SUMPRODUCT(TRANSPOSE(DC$4:DC$20),$G368:$W368)</f>
        <v>14</v>
      </c>
      <c r="DD368" s="93" cm="1">
        <f t="array" ref="DD368">SUMPRODUCT(TRANSPOSE(DD$4:DD$20),$G368:$W368)</f>
        <v>0</v>
      </c>
      <c r="DE368" s="93" cm="1">
        <f t="array" ref="DE368">SUMPRODUCT(TRANSPOSE(DE$4:DE$20),$G368:$W368)</f>
        <v>0</v>
      </c>
      <c r="DF368" s="93" cm="1">
        <f t="array" ref="DF368">SUMPRODUCT(TRANSPOSE(DF$4:DF$20),$G368:$W368)</f>
        <v>0</v>
      </c>
      <c r="DG368" s="93" cm="1">
        <f t="array" ref="DG368">SUMPRODUCT(TRANSPOSE(DG$4:DG$20),$G368:$W368)</f>
        <v>0</v>
      </c>
      <c r="DH368" s="93" cm="1">
        <f t="array" ref="DH368">SUMPRODUCT(TRANSPOSE(DH$4:DH$20),$G368:$W368)</f>
        <v>0</v>
      </c>
      <c r="DI368" s="93" cm="1">
        <f t="array" ref="DI368">SUMPRODUCT(TRANSPOSE(DI$4:DI$20),$G368:$W368)</f>
        <v>0</v>
      </c>
      <c r="DJ368" s="93" cm="1">
        <f t="array" ref="DJ368">SUMPRODUCT(TRANSPOSE(DJ$4:DJ$20),$G368:$W368)</f>
        <v>0</v>
      </c>
      <c r="DK368" s="93" cm="1">
        <f t="array" ref="DK368">SUMPRODUCT(TRANSPOSE(DK$4:DK$20),$G368:$W368)</f>
        <v>0</v>
      </c>
      <c r="DL368" s="93" cm="1">
        <f t="array" ref="DL368">SUMPRODUCT(TRANSPOSE(DL$4:DL$20),$G368:$W368)</f>
        <v>0</v>
      </c>
      <c r="DM368" s="93" cm="1">
        <f t="array" ref="DM368">SUMPRODUCT(TRANSPOSE(DM$4:DM$20),$G368:$W368)</f>
        <v>0</v>
      </c>
      <c r="DN368" s="93" cm="1">
        <f t="array" ref="DN368">SUMPRODUCT(TRANSPOSE(DN$4:DN$20),$G368:$W368)</f>
        <v>0</v>
      </c>
      <c r="DO368" s="93" cm="1">
        <f t="array" ref="DO368">SUMPRODUCT(TRANSPOSE(DO$4:DO$20),$G368:$W368)</f>
        <v>0</v>
      </c>
    </row>
    <row r="369" spans="1:119" x14ac:dyDescent="0.2">
      <c r="A369" s="45">
        <f t="shared" si="31"/>
        <v>348</v>
      </c>
      <c r="B369" s="71" t="s">
        <v>809</v>
      </c>
      <c r="C369" s="45">
        <v>401415923</v>
      </c>
      <c r="D369" s="45" t="s">
        <v>810</v>
      </c>
      <c r="E369" s="45" t="s">
        <v>162</v>
      </c>
      <c r="F369" s="48">
        <v>1</v>
      </c>
      <c r="G369" s="100">
        <v>0</v>
      </c>
      <c r="H369" s="100">
        <v>0</v>
      </c>
      <c r="I369" s="100">
        <v>2</v>
      </c>
      <c r="J369" s="100">
        <v>0</v>
      </c>
      <c r="K369" s="100">
        <v>2</v>
      </c>
      <c r="L369" s="100">
        <v>0</v>
      </c>
      <c r="M369" s="100">
        <v>0</v>
      </c>
      <c r="N369" s="100">
        <v>0</v>
      </c>
      <c r="O369" s="100">
        <v>0</v>
      </c>
      <c r="P369" s="100">
        <v>0</v>
      </c>
      <c r="Q369" s="100">
        <v>0</v>
      </c>
      <c r="R369" s="100">
        <v>0</v>
      </c>
      <c r="S369" s="100">
        <v>0</v>
      </c>
      <c r="T369" s="100">
        <v>0</v>
      </c>
      <c r="U369" s="100">
        <v>0</v>
      </c>
      <c r="V369" s="100">
        <v>0</v>
      </c>
      <c r="W369" s="100">
        <v>0</v>
      </c>
      <c r="X369" s="45" t="s">
        <v>56</v>
      </c>
      <c r="Y369" s="49">
        <v>0.98</v>
      </c>
      <c r="Z369" s="45">
        <v>520</v>
      </c>
      <c r="AA369" s="45">
        <v>0</v>
      </c>
      <c r="AB369" s="45">
        <v>0</v>
      </c>
      <c r="AC369" s="45">
        <v>0</v>
      </c>
      <c r="AD369" s="45">
        <v>0</v>
      </c>
      <c r="AE369" s="45">
        <v>0</v>
      </c>
      <c r="AF369" s="45">
        <v>0</v>
      </c>
      <c r="AG369" s="45">
        <v>0</v>
      </c>
      <c r="AH369" s="45">
        <v>0</v>
      </c>
      <c r="AI369" s="45">
        <v>0</v>
      </c>
      <c r="AJ369" s="45">
        <v>0</v>
      </c>
      <c r="AK369" s="45">
        <v>0</v>
      </c>
      <c r="AL369" s="45">
        <v>0</v>
      </c>
      <c r="AM369" s="45">
        <v>0</v>
      </c>
      <c r="AN369" s="45">
        <v>0</v>
      </c>
      <c r="AO369" s="45"/>
      <c r="AP369" s="45"/>
      <c r="AQ369" s="45"/>
      <c r="AR369" s="45"/>
      <c r="AS369" s="45"/>
      <c r="AT369" s="45"/>
      <c r="AU369" s="45"/>
      <c r="AV369" s="45"/>
      <c r="AW369" s="45"/>
      <c r="AX369" s="45"/>
      <c r="AY369" s="45"/>
      <c r="AZ369" s="45"/>
      <c r="BA369" s="45"/>
      <c r="BB369" s="45"/>
      <c r="BC369" s="45"/>
      <c r="BD369" s="93"/>
      <c r="BE369" s="93"/>
      <c r="BF369" s="93"/>
      <c r="BG369" s="93"/>
      <c r="BH369" s="93"/>
      <c r="BI369" s="93"/>
      <c r="BJ369" s="93"/>
      <c r="BK369" s="93">
        <f>SUM($Z369:AD369)-SUM($CM369:CQ369)</f>
        <v>488</v>
      </c>
      <c r="BL369" s="93">
        <f>SUM($Z369:AE369)-SUM($CM369:CR369)</f>
        <v>456</v>
      </c>
      <c r="BM369" s="93">
        <f>SUM($Z369:AF369)-SUM($CM369:CS369)</f>
        <v>424</v>
      </c>
      <c r="BN369" s="93">
        <f>SUM($Z369:AG369)-SUM($CM369:CT369)</f>
        <v>392</v>
      </c>
      <c r="BO369" s="93">
        <f>SUM($Z369:AH369)-SUM($CM369:CU369)</f>
        <v>360</v>
      </c>
      <c r="BP369" s="93">
        <f>SUM($Z369:AI369)-SUM($CM369:CV369)</f>
        <v>328</v>
      </c>
      <c r="BQ369" s="93">
        <f>SUM($Z369:AJ369)-SUM($CM369:CW369)</f>
        <v>296</v>
      </c>
      <c r="BR369" s="93">
        <f>SUM($Z369:AK369)-SUM($CM369:CX369)</f>
        <v>264</v>
      </c>
      <c r="BS369" s="93">
        <f>SUM($Z369:AL369)-SUM($CM369:CY369)</f>
        <v>232</v>
      </c>
      <c r="BT369" s="93">
        <f>SUM($Z369:AM369)-SUM($CM369:CZ369)</f>
        <v>200</v>
      </c>
      <c r="BU369" s="93">
        <f>SUM($Z369:AN369)-SUM($CM369:DA369)</f>
        <v>168</v>
      </c>
      <c r="BV369" s="93">
        <f>SUM($Z369:AO369)-SUM($CM369:DB369)</f>
        <v>136</v>
      </c>
      <c r="BW369" s="93">
        <f>SUM($Z369:AP369)-SUM($CM369:DC369)</f>
        <v>112</v>
      </c>
      <c r="BX369" s="93">
        <f>SUM($Z369:AQ369)-SUM($CM369:DD369)</f>
        <v>112</v>
      </c>
      <c r="BY369" s="93">
        <f>SUM($Z369:AR369)-SUM($CM369:DE369)</f>
        <v>112</v>
      </c>
      <c r="BZ369" s="93">
        <f>SUM($Z369:AS369)-SUM($CM369:DF369)</f>
        <v>112</v>
      </c>
      <c r="CA369" s="93">
        <f>SUM($Z369:AT369)-SUM($CM369:DG369)</f>
        <v>112</v>
      </c>
      <c r="CB369" s="93">
        <f>SUM($Z369:AU369)-SUM($CM369:DH369)</f>
        <v>112</v>
      </c>
      <c r="CC369" s="93">
        <f>SUM($Z369:AV369)-SUM($CM369:DI369)</f>
        <v>112</v>
      </c>
      <c r="CD369" s="93">
        <f>SUM($Z369:AW369)-SUM($CM369:DJ369)</f>
        <v>112</v>
      </c>
      <c r="CE369" s="93">
        <f>SUM($Z369:AX369)-SUM($CM369:DK369)</f>
        <v>112</v>
      </c>
      <c r="CF369" s="93">
        <f>SUM($Z369:AY369)-SUM($CM369:DL369)</f>
        <v>112</v>
      </c>
      <c r="CG369" s="93">
        <f>SUM($Z369:AZ369)-SUM($CM369:DM369)</f>
        <v>112</v>
      </c>
      <c r="CH369" s="93">
        <f>SUM($Z369:BA369)-SUM($CM369:DN369)</f>
        <v>112</v>
      </c>
      <c r="CI369" s="93">
        <f>SUM($Z369:BB369)-SUM($CM369:DO369)</f>
        <v>112</v>
      </c>
      <c r="CJ369" s="93"/>
      <c r="CK369" s="93"/>
      <c r="CL369" s="93"/>
      <c r="CM369" s="93"/>
      <c r="CN369" s="93" cm="1">
        <f t="array" ref="CN369">SUMPRODUCT(TRANSPOSE(CN$4:CN$20),$G369:$W369)</f>
        <v>0</v>
      </c>
      <c r="CO369" s="93" cm="1">
        <f t="array" ref="CO369">SUMPRODUCT(TRANSPOSE(CO$4:CO$20),$G369:$W369)</f>
        <v>0</v>
      </c>
      <c r="CP369" s="93" cm="1">
        <f t="array" ref="CP369">SUMPRODUCT(TRANSPOSE(CP$4:CP$20),$G369:$W369)</f>
        <v>0</v>
      </c>
      <c r="CQ369" s="93" cm="1">
        <f t="array" ref="CQ369">SUMPRODUCT(TRANSPOSE(CQ$4:CQ$20),$G369:$W369)</f>
        <v>32</v>
      </c>
      <c r="CR369" s="93" cm="1">
        <f t="array" ref="CR369">SUMPRODUCT(TRANSPOSE(CR$4:CR$20),$G369:$W369)</f>
        <v>32</v>
      </c>
      <c r="CS369" s="93" cm="1">
        <f t="array" ref="CS369">SUMPRODUCT(TRANSPOSE(CS$4:CS$20),$G369:$W369)</f>
        <v>32</v>
      </c>
      <c r="CT369" s="93" cm="1">
        <f t="array" ref="CT369">SUMPRODUCT(TRANSPOSE(CT$4:CT$20),$G369:$W369)</f>
        <v>32</v>
      </c>
      <c r="CU369" s="93" cm="1">
        <f t="array" ref="CU369">SUMPRODUCT(TRANSPOSE(CU$4:CU$20),$G369:$W369)</f>
        <v>32</v>
      </c>
      <c r="CV369" s="93" cm="1">
        <f t="array" ref="CV369">SUMPRODUCT(TRANSPOSE(CV$4:CV$20),$G369:$W369)</f>
        <v>32</v>
      </c>
      <c r="CW369" s="93" cm="1">
        <f t="array" ref="CW369">SUMPRODUCT(TRANSPOSE(CW$4:CW$20),$G369:$W369)</f>
        <v>32</v>
      </c>
      <c r="CX369" s="93" cm="1">
        <f t="array" ref="CX369">SUMPRODUCT(TRANSPOSE(CX$4:CX$20),$G369:$W369)</f>
        <v>32</v>
      </c>
      <c r="CY369" s="93" cm="1">
        <f t="array" ref="CY369">SUMPRODUCT(TRANSPOSE(CY$4:CY$20),$G369:$W369)</f>
        <v>32</v>
      </c>
      <c r="CZ369" s="93" cm="1">
        <f t="array" ref="CZ369">SUMPRODUCT(TRANSPOSE(CZ$4:CZ$20),$G369:$W369)</f>
        <v>32</v>
      </c>
      <c r="DA369" s="93" cm="1">
        <f t="array" ref="DA369">SUMPRODUCT(TRANSPOSE(DA$4:DA$20),$G369:$W369)</f>
        <v>32</v>
      </c>
      <c r="DB369" s="93" cm="1">
        <f t="array" ref="DB369">SUMPRODUCT(TRANSPOSE(DB$4:DB$20),$G369:$W369)</f>
        <v>32</v>
      </c>
      <c r="DC369" s="93" cm="1">
        <f t="array" ref="DC369">SUMPRODUCT(TRANSPOSE(DC$4:DC$20),$G369:$W369)</f>
        <v>24</v>
      </c>
      <c r="DD369" s="93" cm="1">
        <f t="array" ref="DD369">SUMPRODUCT(TRANSPOSE(DD$4:DD$20),$G369:$W369)</f>
        <v>0</v>
      </c>
      <c r="DE369" s="93" cm="1">
        <f t="array" ref="DE369">SUMPRODUCT(TRANSPOSE(DE$4:DE$20),$G369:$W369)</f>
        <v>0</v>
      </c>
      <c r="DF369" s="93" cm="1">
        <f t="array" ref="DF369">SUMPRODUCT(TRANSPOSE(DF$4:DF$20),$G369:$W369)</f>
        <v>0</v>
      </c>
      <c r="DG369" s="93" cm="1">
        <f t="array" ref="DG369">SUMPRODUCT(TRANSPOSE(DG$4:DG$20),$G369:$W369)</f>
        <v>0</v>
      </c>
      <c r="DH369" s="93" cm="1">
        <f t="array" ref="DH369">SUMPRODUCT(TRANSPOSE(DH$4:DH$20),$G369:$W369)</f>
        <v>0</v>
      </c>
      <c r="DI369" s="93" cm="1">
        <f t="array" ref="DI369">SUMPRODUCT(TRANSPOSE(DI$4:DI$20),$G369:$W369)</f>
        <v>0</v>
      </c>
      <c r="DJ369" s="93" cm="1">
        <f t="array" ref="DJ369">SUMPRODUCT(TRANSPOSE(DJ$4:DJ$20),$G369:$W369)</f>
        <v>0</v>
      </c>
      <c r="DK369" s="93" cm="1">
        <f t="array" ref="DK369">SUMPRODUCT(TRANSPOSE(DK$4:DK$20),$G369:$W369)</f>
        <v>0</v>
      </c>
      <c r="DL369" s="93" cm="1">
        <f t="array" ref="DL369">SUMPRODUCT(TRANSPOSE(DL$4:DL$20),$G369:$W369)</f>
        <v>0</v>
      </c>
      <c r="DM369" s="93" cm="1">
        <f t="array" ref="DM369">SUMPRODUCT(TRANSPOSE(DM$4:DM$20),$G369:$W369)</f>
        <v>0</v>
      </c>
      <c r="DN369" s="93" cm="1">
        <f t="array" ref="DN369">SUMPRODUCT(TRANSPOSE(DN$4:DN$20),$G369:$W369)</f>
        <v>0</v>
      </c>
      <c r="DO369" s="93" cm="1">
        <f t="array" ref="DO369">SUMPRODUCT(TRANSPOSE(DO$4:DO$20),$G369:$W369)</f>
        <v>0</v>
      </c>
    </row>
    <row r="370" spans="1:119" x14ac:dyDescent="0.2">
      <c r="A370" s="45">
        <f t="shared" si="31"/>
        <v>349</v>
      </c>
      <c r="B370" s="64" t="s">
        <v>811</v>
      </c>
      <c r="C370" s="45">
        <v>401401891</v>
      </c>
      <c r="D370" s="45" t="s">
        <v>812</v>
      </c>
      <c r="E370" s="45" t="s">
        <v>162</v>
      </c>
      <c r="F370" s="48">
        <v>1</v>
      </c>
      <c r="G370" s="100">
        <v>1</v>
      </c>
      <c r="H370" s="100">
        <v>0</v>
      </c>
      <c r="I370" s="100">
        <v>0</v>
      </c>
      <c r="J370" s="100">
        <v>0</v>
      </c>
      <c r="K370" s="100">
        <v>0</v>
      </c>
      <c r="L370" s="100">
        <v>0</v>
      </c>
      <c r="M370" s="100">
        <v>0</v>
      </c>
      <c r="N370" s="100">
        <v>0</v>
      </c>
      <c r="O370" s="100">
        <v>0</v>
      </c>
      <c r="P370" s="100">
        <v>0</v>
      </c>
      <c r="Q370" s="100">
        <v>0</v>
      </c>
      <c r="R370" s="100">
        <v>0</v>
      </c>
      <c r="S370" s="100">
        <v>0</v>
      </c>
      <c r="T370" s="100">
        <v>0</v>
      </c>
      <c r="U370" s="100">
        <v>0</v>
      </c>
      <c r="V370" s="100">
        <v>0</v>
      </c>
      <c r="W370" s="100">
        <v>0</v>
      </c>
      <c r="X370" s="45" t="s">
        <v>50</v>
      </c>
      <c r="Y370" s="49">
        <v>2.7</v>
      </c>
      <c r="Z370" s="45">
        <v>130</v>
      </c>
      <c r="AA370" s="45">
        <v>0</v>
      </c>
      <c r="AB370" s="45">
        <v>0</v>
      </c>
      <c r="AC370" s="45">
        <v>0</v>
      </c>
      <c r="AD370" s="45">
        <v>0</v>
      </c>
      <c r="AE370" s="45">
        <v>0</v>
      </c>
      <c r="AF370" s="45">
        <v>0</v>
      </c>
      <c r="AG370" s="45">
        <v>0</v>
      </c>
      <c r="AH370" s="45">
        <v>0</v>
      </c>
      <c r="AI370" s="45">
        <v>0</v>
      </c>
      <c r="AJ370" s="45">
        <v>0</v>
      </c>
      <c r="AK370" s="45">
        <v>0</v>
      </c>
      <c r="AL370" s="45">
        <v>0</v>
      </c>
      <c r="AM370" s="45">
        <v>0</v>
      </c>
      <c r="AN370" s="45">
        <v>0</v>
      </c>
      <c r="AO370" s="45"/>
      <c r="AP370" s="45"/>
      <c r="AQ370" s="45"/>
      <c r="AR370" s="45"/>
      <c r="AS370" s="45"/>
      <c r="AT370" s="45"/>
      <c r="AU370" s="45"/>
      <c r="AV370" s="45"/>
      <c r="AW370" s="45"/>
      <c r="AX370" s="45"/>
      <c r="AY370" s="45"/>
      <c r="AZ370" s="45"/>
      <c r="BA370" s="45"/>
      <c r="BB370" s="45"/>
      <c r="BC370" s="45"/>
      <c r="BD370" s="93"/>
      <c r="BE370" s="93"/>
      <c r="BF370" s="93"/>
      <c r="BG370" s="93"/>
      <c r="BH370" s="93"/>
      <c r="BI370" s="93"/>
      <c r="BJ370" s="93"/>
      <c r="BK370" s="93">
        <f>SUM($Z370:AD370)-SUM($CM370:CQ370)</f>
        <v>122</v>
      </c>
      <c r="BL370" s="93">
        <f>SUM($Z370:AE370)-SUM($CM370:CR370)</f>
        <v>114</v>
      </c>
      <c r="BM370" s="93">
        <f>SUM($Z370:AF370)-SUM($CM370:CS370)</f>
        <v>106</v>
      </c>
      <c r="BN370" s="93">
        <f>SUM($Z370:AG370)-SUM($CM370:CT370)</f>
        <v>98</v>
      </c>
      <c r="BO370" s="93">
        <f>SUM($Z370:AH370)-SUM($CM370:CU370)</f>
        <v>90</v>
      </c>
      <c r="BP370" s="93">
        <f>SUM($Z370:AI370)-SUM($CM370:CV370)</f>
        <v>82</v>
      </c>
      <c r="BQ370" s="93">
        <f>SUM($Z370:AJ370)-SUM($CM370:CW370)</f>
        <v>74</v>
      </c>
      <c r="BR370" s="93">
        <f>SUM($Z370:AK370)-SUM($CM370:CX370)</f>
        <v>66</v>
      </c>
      <c r="BS370" s="93">
        <f>SUM($Z370:AL370)-SUM($CM370:CY370)</f>
        <v>58</v>
      </c>
      <c r="BT370" s="93">
        <f>SUM($Z370:AM370)-SUM($CM370:CZ370)</f>
        <v>50</v>
      </c>
      <c r="BU370" s="93">
        <f>SUM($Z370:AN370)-SUM($CM370:DA370)</f>
        <v>42</v>
      </c>
      <c r="BV370" s="93">
        <f>SUM($Z370:AO370)-SUM($CM370:DB370)</f>
        <v>34</v>
      </c>
      <c r="BW370" s="93">
        <f>SUM($Z370:AP370)-SUM($CM370:DC370)</f>
        <v>28</v>
      </c>
      <c r="BX370" s="93">
        <f>SUM($Z370:AQ370)-SUM($CM370:DD370)</f>
        <v>28</v>
      </c>
      <c r="BY370" s="93">
        <f>SUM($Z370:AR370)-SUM($CM370:DE370)</f>
        <v>28</v>
      </c>
      <c r="BZ370" s="93">
        <f>SUM($Z370:AS370)-SUM($CM370:DF370)</f>
        <v>28</v>
      </c>
      <c r="CA370" s="93">
        <f>SUM($Z370:AT370)-SUM($CM370:DG370)</f>
        <v>28</v>
      </c>
      <c r="CB370" s="93">
        <f>SUM($Z370:AU370)-SUM($CM370:DH370)</f>
        <v>28</v>
      </c>
      <c r="CC370" s="93">
        <f>SUM($Z370:AV370)-SUM($CM370:DI370)</f>
        <v>28</v>
      </c>
      <c r="CD370" s="93">
        <f>SUM($Z370:AW370)-SUM($CM370:DJ370)</f>
        <v>28</v>
      </c>
      <c r="CE370" s="93">
        <f>SUM($Z370:AX370)-SUM($CM370:DK370)</f>
        <v>28</v>
      </c>
      <c r="CF370" s="93">
        <f>SUM($Z370:AY370)-SUM($CM370:DL370)</f>
        <v>28</v>
      </c>
      <c r="CG370" s="93">
        <f>SUM($Z370:AZ370)-SUM($CM370:DM370)</f>
        <v>28</v>
      </c>
      <c r="CH370" s="93">
        <f>SUM($Z370:BA370)-SUM($CM370:DN370)</f>
        <v>28</v>
      </c>
      <c r="CI370" s="93">
        <f>SUM($Z370:BB370)-SUM($CM370:DO370)</f>
        <v>28</v>
      </c>
      <c r="CJ370" s="93"/>
      <c r="CK370" s="93"/>
      <c r="CL370" s="93"/>
      <c r="CM370" s="93"/>
      <c r="CN370" s="93" cm="1">
        <f t="array" ref="CN370">SUMPRODUCT(TRANSPOSE(CN$4:CN$20),$G370:$W370)</f>
        <v>0</v>
      </c>
      <c r="CO370" s="93" cm="1">
        <f t="array" ref="CO370">SUMPRODUCT(TRANSPOSE(CO$4:CO$20),$G370:$W370)</f>
        <v>0</v>
      </c>
      <c r="CP370" s="93" cm="1">
        <f t="array" ref="CP370">SUMPRODUCT(TRANSPOSE(CP$4:CP$20),$G370:$W370)</f>
        <v>0</v>
      </c>
      <c r="CQ370" s="93" cm="1">
        <f t="array" ref="CQ370">SUMPRODUCT(TRANSPOSE(CQ$4:CQ$20),$G370:$W370)</f>
        <v>8</v>
      </c>
      <c r="CR370" s="93" cm="1">
        <f t="array" ref="CR370">SUMPRODUCT(TRANSPOSE(CR$4:CR$20),$G370:$W370)</f>
        <v>8</v>
      </c>
      <c r="CS370" s="93" cm="1">
        <f t="array" ref="CS370">SUMPRODUCT(TRANSPOSE(CS$4:CS$20),$G370:$W370)</f>
        <v>8</v>
      </c>
      <c r="CT370" s="93" cm="1">
        <f t="array" ref="CT370">SUMPRODUCT(TRANSPOSE(CT$4:CT$20),$G370:$W370)</f>
        <v>8</v>
      </c>
      <c r="CU370" s="93" cm="1">
        <f t="array" ref="CU370">SUMPRODUCT(TRANSPOSE(CU$4:CU$20),$G370:$W370)</f>
        <v>8</v>
      </c>
      <c r="CV370" s="93" cm="1">
        <f t="array" ref="CV370">SUMPRODUCT(TRANSPOSE(CV$4:CV$20),$G370:$W370)</f>
        <v>8</v>
      </c>
      <c r="CW370" s="93" cm="1">
        <f t="array" ref="CW370">SUMPRODUCT(TRANSPOSE(CW$4:CW$20),$G370:$W370)</f>
        <v>8</v>
      </c>
      <c r="CX370" s="93" cm="1">
        <f t="array" ref="CX370">SUMPRODUCT(TRANSPOSE(CX$4:CX$20),$G370:$W370)</f>
        <v>8</v>
      </c>
      <c r="CY370" s="93" cm="1">
        <f t="array" ref="CY370">SUMPRODUCT(TRANSPOSE(CY$4:CY$20),$G370:$W370)</f>
        <v>8</v>
      </c>
      <c r="CZ370" s="93" cm="1">
        <f t="array" ref="CZ370">SUMPRODUCT(TRANSPOSE(CZ$4:CZ$20),$G370:$W370)</f>
        <v>8</v>
      </c>
      <c r="DA370" s="93" cm="1">
        <f t="array" ref="DA370">SUMPRODUCT(TRANSPOSE(DA$4:DA$20),$G370:$W370)</f>
        <v>8</v>
      </c>
      <c r="DB370" s="93" cm="1">
        <f t="array" ref="DB370">SUMPRODUCT(TRANSPOSE(DB$4:DB$20),$G370:$W370)</f>
        <v>8</v>
      </c>
      <c r="DC370" s="93" cm="1">
        <f t="array" ref="DC370">SUMPRODUCT(TRANSPOSE(DC$4:DC$20),$G370:$W370)</f>
        <v>6</v>
      </c>
      <c r="DD370" s="93" cm="1">
        <f t="array" ref="DD370">SUMPRODUCT(TRANSPOSE(DD$4:DD$20),$G370:$W370)</f>
        <v>0</v>
      </c>
      <c r="DE370" s="93" cm="1">
        <f t="array" ref="DE370">SUMPRODUCT(TRANSPOSE(DE$4:DE$20),$G370:$W370)</f>
        <v>0</v>
      </c>
      <c r="DF370" s="93" cm="1">
        <f t="array" ref="DF370">SUMPRODUCT(TRANSPOSE(DF$4:DF$20),$G370:$W370)</f>
        <v>0</v>
      </c>
      <c r="DG370" s="93" cm="1">
        <f t="array" ref="DG370">SUMPRODUCT(TRANSPOSE(DG$4:DG$20),$G370:$W370)</f>
        <v>0</v>
      </c>
      <c r="DH370" s="93" cm="1">
        <f t="array" ref="DH370">SUMPRODUCT(TRANSPOSE(DH$4:DH$20),$G370:$W370)</f>
        <v>0</v>
      </c>
      <c r="DI370" s="93" cm="1">
        <f t="array" ref="DI370">SUMPRODUCT(TRANSPOSE(DI$4:DI$20),$G370:$W370)</f>
        <v>0</v>
      </c>
      <c r="DJ370" s="93" cm="1">
        <f t="array" ref="DJ370">SUMPRODUCT(TRANSPOSE(DJ$4:DJ$20),$G370:$W370)</f>
        <v>0</v>
      </c>
      <c r="DK370" s="93" cm="1">
        <f t="array" ref="DK370">SUMPRODUCT(TRANSPOSE(DK$4:DK$20),$G370:$W370)</f>
        <v>0</v>
      </c>
      <c r="DL370" s="93" cm="1">
        <f t="array" ref="DL370">SUMPRODUCT(TRANSPOSE(DL$4:DL$20),$G370:$W370)</f>
        <v>0</v>
      </c>
      <c r="DM370" s="93" cm="1">
        <f t="array" ref="DM370">SUMPRODUCT(TRANSPOSE(DM$4:DM$20),$G370:$W370)</f>
        <v>0</v>
      </c>
      <c r="DN370" s="93" cm="1">
        <f t="array" ref="DN370">SUMPRODUCT(TRANSPOSE(DN$4:DN$20),$G370:$W370)</f>
        <v>0</v>
      </c>
      <c r="DO370" s="93" cm="1">
        <f t="array" ref="DO370">SUMPRODUCT(TRANSPOSE(DO$4:DO$20),$G370:$W370)</f>
        <v>0</v>
      </c>
    </row>
    <row r="371" spans="1:119" x14ac:dyDescent="0.2">
      <c r="A371" s="45">
        <f t="shared" si="31"/>
        <v>350</v>
      </c>
      <c r="B371" s="64" t="s">
        <v>813</v>
      </c>
      <c r="C371" s="45">
        <v>401367866</v>
      </c>
      <c r="D371" s="45" t="s">
        <v>814</v>
      </c>
      <c r="E371" s="45" t="s">
        <v>162</v>
      </c>
      <c r="F371" s="48">
        <v>1</v>
      </c>
      <c r="G371" s="100">
        <v>1</v>
      </c>
      <c r="H371" s="100">
        <v>0</v>
      </c>
      <c r="I371" s="100">
        <v>0</v>
      </c>
      <c r="J371" s="100">
        <v>0</v>
      </c>
      <c r="K371" s="100">
        <v>0</v>
      </c>
      <c r="L371" s="100">
        <v>0</v>
      </c>
      <c r="M371" s="100">
        <v>0</v>
      </c>
      <c r="N371" s="100">
        <v>0</v>
      </c>
      <c r="O371" s="100">
        <v>0</v>
      </c>
      <c r="P371" s="100">
        <v>0</v>
      </c>
      <c r="Q371" s="100">
        <v>0</v>
      </c>
      <c r="R371" s="100">
        <v>0</v>
      </c>
      <c r="S371" s="100">
        <v>0</v>
      </c>
      <c r="T371" s="100">
        <v>0</v>
      </c>
      <c r="U371" s="100">
        <v>0</v>
      </c>
      <c r="V371" s="100">
        <v>0</v>
      </c>
      <c r="W371" s="100">
        <v>0</v>
      </c>
      <c r="X371" s="45" t="s">
        <v>237</v>
      </c>
      <c r="Y371" s="49">
        <v>33</v>
      </c>
      <c r="Z371" s="45">
        <v>130</v>
      </c>
      <c r="AA371" s="45">
        <v>0</v>
      </c>
      <c r="AB371" s="45">
        <v>0</v>
      </c>
      <c r="AC371" s="45">
        <v>0</v>
      </c>
      <c r="AD371" s="45">
        <v>0</v>
      </c>
      <c r="AE371" s="45">
        <v>0</v>
      </c>
      <c r="AF371" s="45">
        <v>0</v>
      </c>
      <c r="AG371" s="45">
        <v>0</v>
      </c>
      <c r="AH371" s="45">
        <v>0</v>
      </c>
      <c r="AI371" s="45">
        <v>0</v>
      </c>
      <c r="AJ371" s="45">
        <v>0</v>
      </c>
      <c r="AK371" s="45">
        <v>0</v>
      </c>
      <c r="AL371" s="45">
        <v>0</v>
      </c>
      <c r="AM371" s="45">
        <v>0</v>
      </c>
      <c r="AN371" s="45">
        <v>0</v>
      </c>
      <c r="AO371" s="45"/>
      <c r="AP371" s="45"/>
      <c r="AQ371" s="45"/>
      <c r="AR371" s="45"/>
      <c r="AS371" s="45"/>
      <c r="AT371" s="45"/>
      <c r="AU371" s="45"/>
      <c r="AV371" s="45"/>
      <c r="AW371" s="45"/>
      <c r="AX371" s="45"/>
      <c r="AY371" s="45"/>
      <c r="AZ371" s="45"/>
      <c r="BA371" s="45"/>
      <c r="BB371" s="45"/>
      <c r="BC371" s="45"/>
      <c r="BD371" s="93"/>
      <c r="BE371" s="93"/>
      <c r="BF371" s="93"/>
      <c r="BG371" s="93"/>
      <c r="BH371" s="93"/>
      <c r="BI371" s="93"/>
      <c r="BJ371" s="93"/>
      <c r="BK371" s="93">
        <f>SUM($Z371:AD371)-SUM($CM371:CQ371)</f>
        <v>122</v>
      </c>
      <c r="BL371" s="93">
        <f>SUM($Z371:AE371)-SUM($CM371:CR371)</f>
        <v>114</v>
      </c>
      <c r="BM371" s="93">
        <f>SUM($Z371:AF371)-SUM($CM371:CS371)</f>
        <v>106</v>
      </c>
      <c r="BN371" s="93">
        <f>SUM($Z371:AG371)-SUM($CM371:CT371)</f>
        <v>98</v>
      </c>
      <c r="BO371" s="93">
        <f>SUM($Z371:AH371)-SUM($CM371:CU371)</f>
        <v>90</v>
      </c>
      <c r="BP371" s="93">
        <f>SUM($Z371:AI371)-SUM($CM371:CV371)</f>
        <v>82</v>
      </c>
      <c r="BQ371" s="93">
        <f>SUM($Z371:AJ371)-SUM($CM371:CW371)</f>
        <v>74</v>
      </c>
      <c r="BR371" s="93">
        <f>SUM($Z371:AK371)-SUM($CM371:CX371)</f>
        <v>66</v>
      </c>
      <c r="BS371" s="93">
        <f>SUM($Z371:AL371)-SUM($CM371:CY371)</f>
        <v>58</v>
      </c>
      <c r="BT371" s="93">
        <f>SUM($Z371:AM371)-SUM($CM371:CZ371)</f>
        <v>50</v>
      </c>
      <c r="BU371" s="93">
        <f>SUM($Z371:AN371)-SUM($CM371:DA371)</f>
        <v>42</v>
      </c>
      <c r="BV371" s="93">
        <f>SUM($Z371:AO371)-SUM($CM371:DB371)</f>
        <v>34</v>
      </c>
      <c r="BW371" s="93">
        <f>SUM($Z371:AP371)-SUM($CM371:DC371)</f>
        <v>28</v>
      </c>
      <c r="BX371" s="93">
        <f>SUM($Z371:AQ371)-SUM($CM371:DD371)</f>
        <v>28</v>
      </c>
      <c r="BY371" s="93">
        <f>SUM($Z371:AR371)-SUM($CM371:DE371)</f>
        <v>28</v>
      </c>
      <c r="BZ371" s="93">
        <f>SUM($Z371:AS371)-SUM($CM371:DF371)</f>
        <v>28</v>
      </c>
      <c r="CA371" s="93">
        <f>SUM($Z371:AT371)-SUM($CM371:DG371)</f>
        <v>28</v>
      </c>
      <c r="CB371" s="93">
        <f>SUM($Z371:AU371)-SUM($CM371:DH371)</f>
        <v>28</v>
      </c>
      <c r="CC371" s="93">
        <f>SUM($Z371:AV371)-SUM($CM371:DI371)</f>
        <v>28</v>
      </c>
      <c r="CD371" s="93">
        <f>SUM($Z371:AW371)-SUM($CM371:DJ371)</f>
        <v>28</v>
      </c>
      <c r="CE371" s="93">
        <f>SUM($Z371:AX371)-SUM($CM371:DK371)</f>
        <v>28</v>
      </c>
      <c r="CF371" s="93">
        <f>SUM($Z371:AY371)-SUM($CM371:DL371)</f>
        <v>28</v>
      </c>
      <c r="CG371" s="93">
        <f>SUM($Z371:AZ371)-SUM($CM371:DM371)</f>
        <v>28</v>
      </c>
      <c r="CH371" s="93">
        <f>SUM($Z371:BA371)-SUM($CM371:DN371)</f>
        <v>28</v>
      </c>
      <c r="CI371" s="93">
        <f>SUM($Z371:BB371)-SUM($CM371:DO371)</f>
        <v>28</v>
      </c>
      <c r="CJ371" s="93"/>
      <c r="CK371" s="93"/>
      <c r="CL371" s="93"/>
      <c r="CM371" s="93"/>
      <c r="CN371" s="93" cm="1">
        <f t="array" ref="CN371">SUMPRODUCT(TRANSPOSE(CN$4:CN$20),$G371:$W371)</f>
        <v>0</v>
      </c>
      <c r="CO371" s="93" cm="1">
        <f t="array" ref="CO371">SUMPRODUCT(TRANSPOSE(CO$4:CO$20),$G371:$W371)</f>
        <v>0</v>
      </c>
      <c r="CP371" s="93" cm="1">
        <f t="array" ref="CP371">SUMPRODUCT(TRANSPOSE(CP$4:CP$20),$G371:$W371)</f>
        <v>0</v>
      </c>
      <c r="CQ371" s="93" cm="1">
        <f t="array" ref="CQ371">SUMPRODUCT(TRANSPOSE(CQ$4:CQ$20),$G371:$W371)</f>
        <v>8</v>
      </c>
      <c r="CR371" s="93" cm="1">
        <f t="array" ref="CR371">SUMPRODUCT(TRANSPOSE(CR$4:CR$20),$G371:$W371)</f>
        <v>8</v>
      </c>
      <c r="CS371" s="93" cm="1">
        <f t="array" ref="CS371">SUMPRODUCT(TRANSPOSE(CS$4:CS$20),$G371:$W371)</f>
        <v>8</v>
      </c>
      <c r="CT371" s="93" cm="1">
        <f t="array" ref="CT371">SUMPRODUCT(TRANSPOSE(CT$4:CT$20),$G371:$W371)</f>
        <v>8</v>
      </c>
      <c r="CU371" s="93" cm="1">
        <f t="array" ref="CU371">SUMPRODUCT(TRANSPOSE(CU$4:CU$20),$G371:$W371)</f>
        <v>8</v>
      </c>
      <c r="CV371" s="93" cm="1">
        <f t="array" ref="CV371">SUMPRODUCT(TRANSPOSE(CV$4:CV$20),$G371:$W371)</f>
        <v>8</v>
      </c>
      <c r="CW371" s="93" cm="1">
        <f t="array" ref="CW371">SUMPRODUCT(TRANSPOSE(CW$4:CW$20),$G371:$W371)</f>
        <v>8</v>
      </c>
      <c r="CX371" s="93" cm="1">
        <f t="array" ref="CX371">SUMPRODUCT(TRANSPOSE(CX$4:CX$20),$G371:$W371)</f>
        <v>8</v>
      </c>
      <c r="CY371" s="93" cm="1">
        <f t="array" ref="CY371">SUMPRODUCT(TRANSPOSE(CY$4:CY$20),$G371:$W371)</f>
        <v>8</v>
      </c>
      <c r="CZ371" s="93" cm="1">
        <f t="array" ref="CZ371">SUMPRODUCT(TRANSPOSE(CZ$4:CZ$20),$G371:$W371)</f>
        <v>8</v>
      </c>
      <c r="DA371" s="93" cm="1">
        <f t="array" ref="DA371">SUMPRODUCT(TRANSPOSE(DA$4:DA$20),$G371:$W371)</f>
        <v>8</v>
      </c>
      <c r="DB371" s="93" cm="1">
        <f t="array" ref="DB371">SUMPRODUCT(TRANSPOSE(DB$4:DB$20),$G371:$W371)</f>
        <v>8</v>
      </c>
      <c r="DC371" s="93" cm="1">
        <f t="array" ref="DC371">SUMPRODUCT(TRANSPOSE(DC$4:DC$20),$G371:$W371)</f>
        <v>6</v>
      </c>
      <c r="DD371" s="93" cm="1">
        <f t="array" ref="DD371">SUMPRODUCT(TRANSPOSE(DD$4:DD$20),$G371:$W371)</f>
        <v>0</v>
      </c>
      <c r="DE371" s="93" cm="1">
        <f t="array" ref="DE371">SUMPRODUCT(TRANSPOSE(DE$4:DE$20),$G371:$W371)</f>
        <v>0</v>
      </c>
      <c r="DF371" s="93" cm="1">
        <f t="array" ref="DF371">SUMPRODUCT(TRANSPOSE(DF$4:DF$20),$G371:$W371)</f>
        <v>0</v>
      </c>
      <c r="DG371" s="93" cm="1">
        <f t="array" ref="DG371">SUMPRODUCT(TRANSPOSE(DG$4:DG$20),$G371:$W371)</f>
        <v>0</v>
      </c>
      <c r="DH371" s="93" cm="1">
        <f t="array" ref="DH371">SUMPRODUCT(TRANSPOSE(DH$4:DH$20),$G371:$W371)</f>
        <v>0</v>
      </c>
      <c r="DI371" s="93" cm="1">
        <f t="array" ref="DI371">SUMPRODUCT(TRANSPOSE(DI$4:DI$20),$G371:$W371)</f>
        <v>0</v>
      </c>
      <c r="DJ371" s="93" cm="1">
        <f t="array" ref="DJ371">SUMPRODUCT(TRANSPOSE(DJ$4:DJ$20),$G371:$W371)</f>
        <v>0</v>
      </c>
      <c r="DK371" s="93" cm="1">
        <f t="array" ref="DK371">SUMPRODUCT(TRANSPOSE(DK$4:DK$20),$G371:$W371)</f>
        <v>0</v>
      </c>
      <c r="DL371" s="93" cm="1">
        <f t="array" ref="DL371">SUMPRODUCT(TRANSPOSE(DL$4:DL$20),$G371:$W371)</f>
        <v>0</v>
      </c>
      <c r="DM371" s="93" cm="1">
        <f t="array" ref="DM371">SUMPRODUCT(TRANSPOSE(DM$4:DM$20),$G371:$W371)</f>
        <v>0</v>
      </c>
      <c r="DN371" s="93" cm="1">
        <f t="array" ref="DN371">SUMPRODUCT(TRANSPOSE(DN$4:DN$20),$G371:$W371)</f>
        <v>0</v>
      </c>
      <c r="DO371" s="93" cm="1">
        <f t="array" ref="DO371">SUMPRODUCT(TRANSPOSE(DO$4:DO$20),$G371:$W371)</f>
        <v>0</v>
      </c>
    </row>
    <row r="372" spans="1:119" x14ac:dyDescent="0.2">
      <c r="A372" s="45">
        <f t="shared" si="31"/>
        <v>351</v>
      </c>
      <c r="B372" s="64" t="s">
        <v>815</v>
      </c>
      <c r="C372" s="45">
        <v>401367862</v>
      </c>
      <c r="D372" s="45" t="s">
        <v>816</v>
      </c>
      <c r="E372" s="45" t="s">
        <v>162</v>
      </c>
      <c r="F372" s="48">
        <v>1</v>
      </c>
      <c r="G372" s="100">
        <v>1</v>
      </c>
      <c r="H372" s="100">
        <v>0</v>
      </c>
      <c r="I372" s="100">
        <v>0</v>
      </c>
      <c r="J372" s="100">
        <v>0</v>
      </c>
      <c r="K372" s="100">
        <v>0</v>
      </c>
      <c r="L372" s="100">
        <v>0</v>
      </c>
      <c r="M372" s="100">
        <v>0</v>
      </c>
      <c r="N372" s="100">
        <v>0</v>
      </c>
      <c r="O372" s="100">
        <v>0</v>
      </c>
      <c r="P372" s="100">
        <v>0</v>
      </c>
      <c r="Q372" s="100">
        <v>0</v>
      </c>
      <c r="R372" s="100">
        <v>0</v>
      </c>
      <c r="S372" s="100">
        <v>0</v>
      </c>
      <c r="T372" s="100">
        <v>0</v>
      </c>
      <c r="U372" s="100">
        <v>0</v>
      </c>
      <c r="V372" s="100">
        <v>0</v>
      </c>
      <c r="W372" s="100">
        <v>0</v>
      </c>
      <c r="X372" s="45" t="s">
        <v>237</v>
      </c>
      <c r="Y372" s="49">
        <v>33</v>
      </c>
      <c r="Z372" s="45">
        <v>130</v>
      </c>
      <c r="AA372" s="45">
        <v>0</v>
      </c>
      <c r="AB372" s="45">
        <v>0</v>
      </c>
      <c r="AC372" s="45">
        <v>0</v>
      </c>
      <c r="AD372" s="45">
        <v>0</v>
      </c>
      <c r="AE372" s="45">
        <v>0</v>
      </c>
      <c r="AF372" s="45">
        <v>0</v>
      </c>
      <c r="AG372" s="45">
        <v>0</v>
      </c>
      <c r="AH372" s="45">
        <v>0</v>
      </c>
      <c r="AI372" s="45">
        <v>0</v>
      </c>
      <c r="AJ372" s="45">
        <v>0</v>
      </c>
      <c r="AK372" s="45">
        <v>0</v>
      </c>
      <c r="AL372" s="45">
        <v>0</v>
      </c>
      <c r="AM372" s="45">
        <v>0</v>
      </c>
      <c r="AN372" s="45">
        <v>0</v>
      </c>
      <c r="AO372" s="45"/>
      <c r="AP372" s="45"/>
      <c r="AQ372" s="45"/>
      <c r="AR372" s="45"/>
      <c r="AS372" s="45"/>
      <c r="AT372" s="45"/>
      <c r="AU372" s="45"/>
      <c r="AV372" s="45"/>
      <c r="AW372" s="45"/>
      <c r="AX372" s="45"/>
      <c r="AY372" s="45"/>
      <c r="AZ372" s="45"/>
      <c r="BA372" s="45"/>
      <c r="BB372" s="45"/>
      <c r="BC372" s="45"/>
      <c r="BD372" s="93"/>
      <c r="BE372" s="93"/>
      <c r="BF372" s="93"/>
      <c r="BG372" s="93"/>
      <c r="BH372" s="93"/>
      <c r="BI372" s="93"/>
      <c r="BJ372" s="93"/>
      <c r="BK372" s="93">
        <f>SUM($Z372:AD372)-SUM($CM372:CQ372)</f>
        <v>122</v>
      </c>
      <c r="BL372" s="93">
        <f>SUM($Z372:AE372)-SUM($CM372:CR372)</f>
        <v>114</v>
      </c>
      <c r="BM372" s="93">
        <f>SUM($Z372:AF372)-SUM($CM372:CS372)</f>
        <v>106</v>
      </c>
      <c r="BN372" s="93">
        <f>SUM($Z372:AG372)-SUM($CM372:CT372)</f>
        <v>98</v>
      </c>
      <c r="BO372" s="93">
        <f>SUM($Z372:AH372)-SUM($CM372:CU372)</f>
        <v>90</v>
      </c>
      <c r="BP372" s="93">
        <f>SUM($Z372:AI372)-SUM($CM372:CV372)</f>
        <v>82</v>
      </c>
      <c r="BQ372" s="93">
        <f>SUM($Z372:AJ372)-SUM($CM372:CW372)</f>
        <v>74</v>
      </c>
      <c r="BR372" s="93">
        <f>SUM($Z372:AK372)-SUM($CM372:CX372)</f>
        <v>66</v>
      </c>
      <c r="BS372" s="93">
        <f>SUM($Z372:AL372)-SUM($CM372:CY372)</f>
        <v>58</v>
      </c>
      <c r="BT372" s="93">
        <f>SUM($Z372:AM372)-SUM($CM372:CZ372)</f>
        <v>50</v>
      </c>
      <c r="BU372" s="93">
        <f>SUM($Z372:AN372)-SUM($CM372:DA372)</f>
        <v>42</v>
      </c>
      <c r="BV372" s="93">
        <f>SUM($Z372:AO372)-SUM($CM372:DB372)</f>
        <v>34</v>
      </c>
      <c r="BW372" s="93">
        <f>SUM($Z372:AP372)-SUM($CM372:DC372)</f>
        <v>28</v>
      </c>
      <c r="BX372" s="93">
        <f>SUM($Z372:AQ372)-SUM($CM372:DD372)</f>
        <v>28</v>
      </c>
      <c r="BY372" s="93">
        <f>SUM($Z372:AR372)-SUM($CM372:DE372)</f>
        <v>28</v>
      </c>
      <c r="BZ372" s="93">
        <f>SUM($Z372:AS372)-SUM($CM372:DF372)</f>
        <v>28</v>
      </c>
      <c r="CA372" s="93">
        <f>SUM($Z372:AT372)-SUM($CM372:DG372)</f>
        <v>28</v>
      </c>
      <c r="CB372" s="93">
        <f>SUM($Z372:AU372)-SUM($CM372:DH372)</f>
        <v>28</v>
      </c>
      <c r="CC372" s="93">
        <f>SUM($Z372:AV372)-SUM($CM372:DI372)</f>
        <v>28</v>
      </c>
      <c r="CD372" s="93">
        <f>SUM($Z372:AW372)-SUM($CM372:DJ372)</f>
        <v>28</v>
      </c>
      <c r="CE372" s="93">
        <f>SUM($Z372:AX372)-SUM($CM372:DK372)</f>
        <v>28</v>
      </c>
      <c r="CF372" s="93">
        <f>SUM($Z372:AY372)-SUM($CM372:DL372)</f>
        <v>28</v>
      </c>
      <c r="CG372" s="93">
        <f>SUM($Z372:AZ372)-SUM($CM372:DM372)</f>
        <v>28</v>
      </c>
      <c r="CH372" s="93">
        <f>SUM($Z372:BA372)-SUM($CM372:DN372)</f>
        <v>28</v>
      </c>
      <c r="CI372" s="93">
        <f>SUM($Z372:BB372)-SUM($CM372:DO372)</f>
        <v>28</v>
      </c>
      <c r="CJ372" s="93"/>
      <c r="CK372" s="93"/>
      <c r="CL372" s="93"/>
      <c r="CM372" s="93"/>
      <c r="CN372" s="93" cm="1">
        <f t="array" ref="CN372">SUMPRODUCT(TRANSPOSE(CN$4:CN$20),$G372:$W372)</f>
        <v>0</v>
      </c>
      <c r="CO372" s="93" cm="1">
        <f t="array" ref="CO372">SUMPRODUCT(TRANSPOSE(CO$4:CO$20),$G372:$W372)</f>
        <v>0</v>
      </c>
      <c r="CP372" s="93" cm="1">
        <f t="array" ref="CP372">SUMPRODUCT(TRANSPOSE(CP$4:CP$20),$G372:$W372)</f>
        <v>0</v>
      </c>
      <c r="CQ372" s="93" cm="1">
        <f t="array" ref="CQ372">SUMPRODUCT(TRANSPOSE(CQ$4:CQ$20),$G372:$W372)</f>
        <v>8</v>
      </c>
      <c r="CR372" s="93" cm="1">
        <f t="array" ref="CR372">SUMPRODUCT(TRANSPOSE(CR$4:CR$20),$G372:$W372)</f>
        <v>8</v>
      </c>
      <c r="CS372" s="93" cm="1">
        <f t="array" ref="CS372">SUMPRODUCT(TRANSPOSE(CS$4:CS$20),$G372:$W372)</f>
        <v>8</v>
      </c>
      <c r="CT372" s="93" cm="1">
        <f t="array" ref="CT372">SUMPRODUCT(TRANSPOSE(CT$4:CT$20),$G372:$W372)</f>
        <v>8</v>
      </c>
      <c r="CU372" s="93" cm="1">
        <f t="array" ref="CU372">SUMPRODUCT(TRANSPOSE(CU$4:CU$20),$G372:$W372)</f>
        <v>8</v>
      </c>
      <c r="CV372" s="93" cm="1">
        <f t="array" ref="CV372">SUMPRODUCT(TRANSPOSE(CV$4:CV$20),$G372:$W372)</f>
        <v>8</v>
      </c>
      <c r="CW372" s="93" cm="1">
        <f t="array" ref="CW372">SUMPRODUCT(TRANSPOSE(CW$4:CW$20),$G372:$W372)</f>
        <v>8</v>
      </c>
      <c r="CX372" s="93" cm="1">
        <f t="array" ref="CX372">SUMPRODUCT(TRANSPOSE(CX$4:CX$20),$G372:$W372)</f>
        <v>8</v>
      </c>
      <c r="CY372" s="93" cm="1">
        <f t="array" ref="CY372">SUMPRODUCT(TRANSPOSE(CY$4:CY$20),$G372:$W372)</f>
        <v>8</v>
      </c>
      <c r="CZ372" s="93" cm="1">
        <f t="array" ref="CZ372">SUMPRODUCT(TRANSPOSE(CZ$4:CZ$20),$G372:$W372)</f>
        <v>8</v>
      </c>
      <c r="DA372" s="93" cm="1">
        <f t="array" ref="DA372">SUMPRODUCT(TRANSPOSE(DA$4:DA$20),$G372:$W372)</f>
        <v>8</v>
      </c>
      <c r="DB372" s="93" cm="1">
        <f t="array" ref="DB372">SUMPRODUCT(TRANSPOSE(DB$4:DB$20),$G372:$W372)</f>
        <v>8</v>
      </c>
      <c r="DC372" s="93" cm="1">
        <f t="array" ref="DC372">SUMPRODUCT(TRANSPOSE(DC$4:DC$20),$G372:$W372)</f>
        <v>6</v>
      </c>
      <c r="DD372" s="93" cm="1">
        <f t="array" ref="DD372">SUMPRODUCT(TRANSPOSE(DD$4:DD$20),$G372:$W372)</f>
        <v>0</v>
      </c>
      <c r="DE372" s="93" cm="1">
        <f t="array" ref="DE372">SUMPRODUCT(TRANSPOSE(DE$4:DE$20),$G372:$W372)</f>
        <v>0</v>
      </c>
      <c r="DF372" s="93" cm="1">
        <f t="array" ref="DF372">SUMPRODUCT(TRANSPOSE(DF$4:DF$20),$G372:$W372)</f>
        <v>0</v>
      </c>
      <c r="DG372" s="93" cm="1">
        <f t="array" ref="DG372">SUMPRODUCT(TRANSPOSE(DG$4:DG$20),$G372:$W372)</f>
        <v>0</v>
      </c>
      <c r="DH372" s="93" cm="1">
        <f t="array" ref="DH372">SUMPRODUCT(TRANSPOSE(DH$4:DH$20),$G372:$W372)</f>
        <v>0</v>
      </c>
      <c r="DI372" s="93" cm="1">
        <f t="array" ref="DI372">SUMPRODUCT(TRANSPOSE(DI$4:DI$20),$G372:$W372)</f>
        <v>0</v>
      </c>
      <c r="DJ372" s="93" cm="1">
        <f t="array" ref="DJ372">SUMPRODUCT(TRANSPOSE(DJ$4:DJ$20),$G372:$W372)</f>
        <v>0</v>
      </c>
      <c r="DK372" s="93" cm="1">
        <f t="array" ref="DK372">SUMPRODUCT(TRANSPOSE(DK$4:DK$20),$G372:$W372)</f>
        <v>0</v>
      </c>
      <c r="DL372" s="93" cm="1">
        <f t="array" ref="DL372">SUMPRODUCT(TRANSPOSE(DL$4:DL$20),$G372:$W372)</f>
        <v>0</v>
      </c>
      <c r="DM372" s="93" cm="1">
        <f t="array" ref="DM372">SUMPRODUCT(TRANSPOSE(DM$4:DM$20),$G372:$W372)</f>
        <v>0</v>
      </c>
      <c r="DN372" s="93" cm="1">
        <f t="array" ref="DN372">SUMPRODUCT(TRANSPOSE(DN$4:DN$20),$G372:$W372)</f>
        <v>0</v>
      </c>
      <c r="DO372" s="93" cm="1">
        <f t="array" ref="DO372">SUMPRODUCT(TRANSPOSE(DO$4:DO$20),$G372:$W372)</f>
        <v>0</v>
      </c>
    </row>
    <row r="373" spans="1:119" x14ac:dyDescent="0.2">
      <c r="A373" s="45">
        <f t="shared" si="31"/>
        <v>352</v>
      </c>
      <c r="B373" s="64" t="s">
        <v>817</v>
      </c>
      <c r="C373" s="45">
        <v>401367848</v>
      </c>
      <c r="D373" s="45" t="s">
        <v>818</v>
      </c>
      <c r="E373" s="45" t="s">
        <v>162</v>
      </c>
      <c r="F373" s="48">
        <v>1</v>
      </c>
      <c r="G373" s="100">
        <v>1</v>
      </c>
      <c r="H373" s="100">
        <v>0</v>
      </c>
      <c r="I373" s="100">
        <v>0</v>
      </c>
      <c r="J373" s="100">
        <v>0</v>
      </c>
      <c r="K373" s="100">
        <v>0</v>
      </c>
      <c r="L373" s="100">
        <v>0</v>
      </c>
      <c r="M373" s="100">
        <v>0</v>
      </c>
      <c r="N373" s="100">
        <v>0</v>
      </c>
      <c r="O373" s="100">
        <v>0</v>
      </c>
      <c r="P373" s="100">
        <v>0</v>
      </c>
      <c r="Q373" s="100">
        <v>0</v>
      </c>
      <c r="R373" s="100">
        <v>0</v>
      </c>
      <c r="S373" s="100">
        <v>0</v>
      </c>
      <c r="T373" s="100">
        <v>0</v>
      </c>
      <c r="U373" s="100">
        <v>0</v>
      </c>
      <c r="V373" s="100">
        <v>0</v>
      </c>
      <c r="W373" s="100">
        <v>0</v>
      </c>
      <c r="X373" s="45" t="s">
        <v>237</v>
      </c>
      <c r="Y373" s="49">
        <v>33</v>
      </c>
      <c r="Z373" s="45">
        <v>130</v>
      </c>
      <c r="AA373" s="45">
        <v>0</v>
      </c>
      <c r="AB373" s="45">
        <v>0</v>
      </c>
      <c r="AC373" s="45">
        <v>0</v>
      </c>
      <c r="AD373" s="45">
        <v>0</v>
      </c>
      <c r="AE373" s="45">
        <v>0</v>
      </c>
      <c r="AF373" s="45">
        <v>0</v>
      </c>
      <c r="AG373" s="45">
        <v>0</v>
      </c>
      <c r="AH373" s="45">
        <v>0</v>
      </c>
      <c r="AI373" s="45">
        <v>0</v>
      </c>
      <c r="AJ373" s="45">
        <v>0</v>
      </c>
      <c r="AK373" s="45">
        <v>0</v>
      </c>
      <c r="AL373" s="45">
        <v>0</v>
      </c>
      <c r="AM373" s="45">
        <v>0</v>
      </c>
      <c r="AN373" s="45">
        <v>0</v>
      </c>
      <c r="AO373" s="45"/>
      <c r="AP373" s="45"/>
      <c r="AQ373" s="45"/>
      <c r="AR373" s="45"/>
      <c r="AS373" s="45"/>
      <c r="AT373" s="45"/>
      <c r="AU373" s="45"/>
      <c r="AV373" s="45"/>
      <c r="AW373" s="45"/>
      <c r="AX373" s="45"/>
      <c r="AY373" s="45"/>
      <c r="AZ373" s="45"/>
      <c r="BA373" s="45"/>
      <c r="BB373" s="45"/>
      <c r="BC373" s="45"/>
      <c r="BD373" s="93"/>
      <c r="BE373" s="93"/>
      <c r="BF373" s="93"/>
      <c r="BG373" s="93"/>
      <c r="BH373" s="93"/>
      <c r="BI373" s="93"/>
      <c r="BJ373" s="93"/>
      <c r="BK373" s="93">
        <f>SUM($Z373:AD373)-SUM($CM373:CQ373)</f>
        <v>122</v>
      </c>
      <c r="BL373" s="93">
        <f>SUM($Z373:AE373)-SUM($CM373:CR373)</f>
        <v>114</v>
      </c>
      <c r="BM373" s="93">
        <f>SUM($Z373:AF373)-SUM($CM373:CS373)</f>
        <v>106</v>
      </c>
      <c r="BN373" s="93">
        <f>SUM($Z373:AG373)-SUM($CM373:CT373)</f>
        <v>98</v>
      </c>
      <c r="BO373" s="93">
        <f>SUM($Z373:AH373)-SUM($CM373:CU373)</f>
        <v>90</v>
      </c>
      <c r="BP373" s="93">
        <f>SUM($Z373:AI373)-SUM($CM373:CV373)</f>
        <v>82</v>
      </c>
      <c r="BQ373" s="93">
        <f>SUM($Z373:AJ373)-SUM($CM373:CW373)</f>
        <v>74</v>
      </c>
      <c r="BR373" s="93">
        <f>SUM($Z373:AK373)-SUM($CM373:CX373)</f>
        <v>66</v>
      </c>
      <c r="BS373" s="93">
        <f>SUM($Z373:AL373)-SUM($CM373:CY373)</f>
        <v>58</v>
      </c>
      <c r="BT373" s="93">
        <f>SUM($Z373:AM373)-SUM($CM373:CZ373)</f>
        <v>50</v>
      </c>
      <c r="BU373" s="93">
        <f>SUM($Z373:AN373)-SUM($CM373:DA373)</f>
        <v>42</v>
      </c>
      <c r="BV373" s="93">
        <f>SUM($Z373:AO373)-SUM($CM373:DB373)</f>
        <v>34</v>
      </c>
      <c r="BW373" s="93">
        <f>SUM($Z373:AP373)-SUM($CM373:DC373)</f>
        <v>28</v>
      </c>
      <c r="BX373" s="93">
        <f>SUM($Z373:AQ373)-SUM($CM373:DD373)</f>
        <v>28</v>
      </c>
      <c r="BY373" s="93">
        <f>SUM($Z373:AR373)-SUM($CM373:DE373)</f>
        <v>28</v>
      </c>
      <c r="BZ373" s="93">
        <f>SUM($Z373:AS373)-SUM($CM373:DF373)</f>
        <v>28</v>
      </c>
      <c r="CA373" s="93">
        <f>SUM($Z373:AT373)-SUM($CM373:DG373)</f>
        <v>28</v>
      </c>
      <c r="CB373" s="93">
        <f>SUM($Z373:AU373)-SUM($CM373:DH373)</f>
        <v>28</v>
      </c>
      <c r="CC373" s="93">
        <f>SUM($Z373:AV373)-SUM($CM373:DI373)</f>
        <v>28</v>
      </c>
      <c r="CD373" s="93">
        <f>SUM($Z373:AW373)-SUM($CM373:DJ373)</f>
        <v>28</v>
      </c>
      <c r="CE373" s="93">
        <f>SUM($Z373:AX373)-SUM($CM373:DK373)</f>
        <v>28</v>
      </c>
      <c r="CF373" s="93">
        <f>SUM($Z373:AY373)-SUM($CM373:DL373)</f>
        <v>28</v>
      </c>
      <c r="CG373" s="93">
        <f>SUM($Z373:AZ373)-SUM($CM373:DM373)</f>
        <v>28</v>
      </c>
      <c r="CH373" s="93">
        <f>SUM($Z373:BA373)-SUM($CM373:DN373)</f>
        <v>28</v>
      </c>
      <c r="CI373" s="93">
        <f>SUM($Z373:BB373)-SUM($CM373:DO373)</f>
        <v>28</v>
      </c>
      <c r="CJ373" s="93"/>
      <c r="CK373" s="93"/>
      <c r="CL373" s="93"/>
      <c r="CM373" s="93"/>
      <c r="CN373" s="93" cm="1">
        <f t="array" ref="CN373">SUMPRODUCT(TRANSPOSE(CN$4:CN$20),$G373:$W373)</f>
        <v>0</v>
      </c>
      <c r="CO373" s="93" cm="1">
        <f t="array" ref="CO373">SUMPRODUCT(TRANSPOSE(CO$4:CO$20),$G373:$W373)</f>
        <v>0</v>
      </c>
      <c r="CP373" s="93" cm="1">
        <f t="array" ref="CP373">SUMPRODUCT(TRANSPOSE(CP$4:CP$20),$G373:$W373)</f>
        <v>0</v>
      </c>
      <c r="CQ373" s="93" cm="1">
        <f t="array" ref="CQ373">SUMPRODUCT(TRANSPOSE(CQ$4:CQ$20),$G373:$W373)</f>
        <v>8</v>
      </c>
      <c r="CR373" s="93" cm="1">
        <f t="array" ref="CR373">SUMPRODUCT(TRANSPOSE(CR$4:CR$20),$G373:$W373)</f>
        <v>8</v>
      </c>
      <c r="CS373" s="93" cm="1">
        <f t="array" ref="CS373">SUMPRODUCT(TRANSPOSE(CS$4:CS$20),$G373:$W373)</f>
        <v>8</v>
      </c>
      <c r="CT373" s="93" cm="1">
        <f t="array" ref="CT373">SUMPRODUCT(TRANSPOSE(CT$4:CT$20),$G373:$W373)</f>
        <v>8</v>
      </c>
      <c r="CU373" s="93" cm="1">
        <f t="array" ref="CU373">SUMPRODUCT(TRANSPOSE(CU$4:CU$20),$G373:$W373)</f>
        <v>8</v>
      </c>
      <c r="CV373" s="93" cm="1">
        <f t="array" ref="CV373">SUMPRODUCT(TRANSPOSE(CV$4:CV$20),$G373:$W373)</f>
        <v>8</v>
      </c>
      <c r="CW373" s="93" cm="1">
        <f t="array" ref="CW373">SUMPRODUCT(TRANSPOSE(CW$4:CW$20),$G373:$W373)</f>
        <v>8</v>
      </c>
      <c r="CX373" s="93" cm="1">
        <f t="array" ref="CX373">SUMPRODUCT(TRANSPOSE(CX$4:CX$20),$G373:$W373)</f>
        <v>8</v>
      </c>
      <c r="CY373" s="93" cm="1">
        <f t="array" ref="CY373">SUMPRODUCT(TRANSPOSE(CY$4:CY$20),$G373:$W373)</f>
        <v>8</v>
      </c>
      <c r="CZ373" s="93" cm="1">
        <f t="array" ref="CZ373">SUMPRODUCT(TRANSPOSE(CZ$4:CZ$20),$G373:$W373)</f>
        <v>8</v>
      </c>
      <c r="DA373" s="93" cm="1">
        <f t="array" ref="DA373">SUMPRODUCT(TRANSPOSE(DA$4:DA$20),$G373:$W373)</f>
        <v>8</v>
      </c>
      <c r="DB373" s="93" cm="1">
        <f t="array" ref="DB373">SUMPRODUCT(TRANSPOSE(DB$4:DB$20),$G373:$W373)</f>
        <v>8</v>
      </c>
      <c r="DC373" s="93" cm="1">
        <f t="array" ref="DC373">SUMPRODUCT(TRANSPOSE(DC$4:DC$20),$G373:$W373)</f>
        <v>6</v>
      </c>
      <c r="DD373" s="93" cm="1">
        <f t="array" ref="DD373">SUMPRODUCT(TRANSPOSE(DD$4:DD$20),$G373:$W373)</f>
        <v>0</v>
      </c>
      <c r="DE373" s="93" cm="1">
        <f t="array" ref="DE373">SUMPRODUCT(TRANSPOSE(DE$4:DE$20),$G373:$W373)</f>
        <v>0</v>
      </c>
      <c r="DF373" s="93" cm="1">
        <f t="array" ref="DF373">SUMPRODUCT(TRANSPOSE(DF$4:DF$20),$G373:$W373)</f>
        <v>0</v>
      </c>
      <c r="DG373" s="93" cm="1">
        <f t="array" ref="DG373">SUMPRODUCT(TRANSPOSE(DG$4:DG$20),$G373:$W373)</f>
        <v>0</v>
      </c>
      <c r="DH373" s="93" cm="1">
        <f t="array" ref="DH373">SUMPRODUCT(TRANSPOSE(DH$4:DH$20),$G373:$W373)</f>
        <v>0</v>
      </c>
      <c r="DI373" s="93" cm="1">
        <f t="array" ref="DI373">SUMPRODUCT(TRANSPOSE(DI$4:DI$20),$G373:$W373)</f>
        <v>0</v>
      </c>
      <c r="DJ373" s="93" cm="1">
        <f t="array" ref="DJ373">SUMPRODUCT(TRANSPOSE(DJ$4:DJ$20),$G373:$W373)</f>
        <v>0</v>
      </c>
      <c r="DK373" s="93" cm="1">
        <f t="array" ref="DK373">SUMPRODUCT(TRANSPOSE(DK$4:DK$20),$G373:$W373)</f>
        <v>0</v>
      </c>
      <c r="DL373" s="93" cm="1">
        <f t="array" ref="DL373">SUMPRODUCT(TRANSPOSE(DL$4:DL$20),$G373:$W373)</f>
        <v>0</v>
      </c>
      <c r="DM373" s="93" cm="1">
        <f t="array" ref="DM373">SUMPRODUCT(TRANSPOSE(DM$4:DM$20),$G373:$W373)</f>
        <v>0</v>
      </c>
      <c r="DN373" s="93" cm="1">
        <f t="array" ref="DN373">SUMPRODUCT(TRANSPOSE(DN$4:DN$20),$G373:$W373)</f>
        <v>0</v>
      </c>
      <c r="DO373" s="93" cm="1">
        <f t="array" ref="DO373">SUMPRODUCT(TRANSPOSE(DO$4:DO$20),$G373:$W373)</f>
        <v>0</v>
      </c>
    </row>
    <row r="374" spans="1:119" x14ac:dyDescent="0.2">
      <c r="A374" s="45">
        <f t="shared" si="31"/>
        <v>353</v>
      </c>
      <c r="B374" s="64" t="s">
        <v>819</v>
      </c>
      <c r="C374" s="45">
        <v>401367873</v>
      </c>
      <c r="D374" s="45" t="s">
        <v>820</v>
      </c>
      <c r="E374" s="45" t="s">
        <v>162</v>
      </c>
      <c r="F374" s="48">
        <v>1</v>
      </c>
      <c r="G374" s="100">
        <v>1</v>
      </c>
      <c r="H374" s="100">
        <v>0</v>
      </c>
      <c r="I374" s="100">
        <v>0</v>
      </c>
      <c r="J374" s="100">
        <v>0</v>
      </c>
      <c r="K374" s="100">
        <v>0</v>
      </c>
      <c r="L374" s="100">
        <v>0</v>
      </c>
      <c r="M374" s="100">
        <v>0</v>
      </c>
      <c r="N374" s="100">
        <v>0</v>
      </c>
      <c r="O374" s="100">
        <v>0</v>
      </c>
      <c r="P374" s="100">
        <v>0</v>
      </c>
      <c r="Q374" s="100">
        <v>0</v>
      </c>
      <c r="R374" s="100">
        <v>0</v>
      </c>
      <c r="S374" s="100">
        <v>0</v>
      </c>
      <c r="T374" s="100">
        <v>0</v>
      </c>
      <c r="U374" s="100">
        <v>0</v>
      </c>
      <c r="V374" s="100">
        <v>0</v>
      </c>
      <c r="W374" s="100">
        <v>0</v>
      </c>
      <c r="X374" s="45" t="s">
        <v>237</v>
      </c>
      <c r="Y374" s="53">
        <v>33</v>
      </c>
      <c r="Z374" s="45">
        <v>130</v>
      </c>
      <c r="AA374" s="45">
        <v>0</v>
      </c>
      <c r="AB374" s="45">
        <v>0</v>
      </c>
      <c r="AC374" s="45">
        <v>0</v>
      </c>
      <c r="AD374" s="45">
        <v>0</v>
      </c>
      <c r="AE374" s="45">
        <v>0</v>
      </c>
      <c r="AF374" s="45">
        <v>0</v>
      </c>
      <c r="AG374" s="45">
        <v>0</v>
      </c>
      <c r="AH374" s="45">
        <v>0</v>
      </c>
      <c r="AI374" s="45">
        <v>0</v>
      </c>
      <c r="AJ374" s="45">
        <v>0</v>
      </c>
      <c r="AK374" s="45">
        <v>0</v>
      </c>
      <c r="AL374" s="45">
        <v>0</v>
      </c>
      <c r="AM374" s="45">
        <v>0</v>
      </c>
      <c r="AN374" s="45">
        <v>0</v>
      </c>
      <c r="AO374" s="45"/>
      <c r="AP374" s="45"/>
      <c r="AQ374" s="45"/>
      <c r="AR374" s="45"/>
      <c r="AS374" s="45"/>
      <c r="AT374" s="45"/>
      <c r="AU374" s="45"/>
      <c r="AV374" s="45"/>
      <c r="AW374" s="45"/>
      <c r="AX374" s="45"/>
      <c r="AY374" s="45"/>
      <c r="AZ374" s="45"/>
      <c r="BA374" s="45"/>
      <c r="BB374" s="45"/>
      <c r="BC374" s="45"/>
      <c r="BD374" s="93"/>
      <c r="BE374" s="93"/>
      <c r="BF374" s="93"/>
      <c r="BG374" s="93"/>
      <c r="BH374" s="93"/>
      <c r="BI374" s="93"/>
      <c r="BJ374" s="93"/>
      <c r="BK374" s="93">
        <f>SUM($Z374:AD374)-SUM($CM374:CQ374)</f>
        <v>122</v>
      </c>
      <c r="BL374" s="93">
        <f>SUM($Z374:AE374)-SUM($CM374:CR374)</f>
        <v>114</v>
      </c>
      <c r="BM374" s="93">
        <f>SUM($Z374:AF374)-SUM($CM374:CS374)</f>
        <v>106</v>
      </c>
      <c r="BN374" s="93">
        <f>SUM($Z374:AG374)-SUM($CM374:CT374)</f>
        <v>98</v>
      </c>
      <c r="BO374" s="93">
        <f>SUM($Z374:AH374)-SUM($CM374:CU374)</f>
        <v>90</v>
      </c>
      <c r="BP374" s="93">
        <f>SUM($Z374:AI374)-SUM($CM374:CV374)</f>
        <v>82</v>
      </c>
      <c r="BQ374" s="93">
        <f>SUM($Z374:AJ374)-SUM($CM374:CW374)</f>
        <v>74</v>
      </c>
      <c r="BR374" s="93">
        <f>SUM($Z374:AK374)-SUM($CM374:CX374)</f>
        <v>66</v>
      </c>
      <c r="BS374" s="93">
        <f>SUM($Z374:AL374)-SUM($CM374:CY374)</f>
        <v>58</v>
      </c>
      <c r="BT374" s="93">
        <f>SUM($Z374:AM374)-SUM($CM374:CZ374)</f>
        <v>50</v>
      </c>
      <c r="BU374" s="93">
        <f>SUM($Z374:AN374)-SUM($CM374:DA374)</f>
        <v>42</v>
      </c>
      <c r="BV374" s="93">
        <f>SUM($Z374:AO374)-SUM($CM374:DB374)</f>
        <v>34</v>
      </c>
      <c r="BW374" s="93">
        <f>SUM($Z374:AP374)-SUM($CM374:DC374)</f>
        <v>28</v>
      </c>
      <c r="BX374" s="93">
        <f>SUM($Z374:AQ374)-SUM($CM374:DD374)</f>
        <v>28</v>
      </c>
      <c r="BY374" s="93">
        <f>SUM($Z374:AR374)-SUM($CM374:DE374)</f>
        <v>28</v>
      </c>
      <c r="BZ374" s="93">
        <f>SUM($Z374:AS374)-SUM($CM374:DF374)</f>
        <v>28</v>
      </c>
      <c r="CA374" s="93">
        <f>SUM($Z374:AT374)-SUM($CM374:DG374)</f>
        <v>28</v>
      </c>
      <c r="CB374" s="93">
        <f>SUM($Z374:AU374)-SUM($CM374:DH374)</f>
        <v>28</v>
      </c>
      <c r="CC374" s="93">
        <f>SUM($Z374:AV374)-SUM($CM374:DI374)</f>
        <v>28</v>
      </c>
      <c r="CD374" s="93">
        <f>SUM($Z374:AW374)-SUM($CM374:DJ374)</f>
        <v>28</v>
      </c>
      <c r="CE374" s="93">
        <f>SUM($Z374:AX374)-SUM($CM374:DK374)</f>
        <v>28</v>
      </c>
      <c r="CF374" s="93">
        <f>SUM($Z374:AY374)-SUM($CM374:DL374)</f>
        <v>28</v>
      </c>
      <c r="CG374" s="93">
        <f>SUM($Z374:AZ374)-SUM($CM374:DM374)</f>
        <v>28</v>
      </c>
      <c r="CH374" s="93">
        <f>SUM($Z374:BA374)-SUM($CM374:DN374)</f>
        <v>28</v>
      </c>
      <c r="CI374" s="93">
        <f>SUM($Z374:BB374)-SUM($CM374:DO374)</f>
        <v>28</v>
      </c>
      <c r="CJ374" s="93"/>
      <c r="CK374" s="93"/>
      <c r="CL374" s="93"/>
      <c r="CM374" s="93"/>
      <c r="CN374" s="93" cm="1">
        <f t="array" ref="CN374">SUMPRODUCT(TRANSPOSE(CN$4:CN$20),$G374:$W374)</f>
        <v>0</v>
      </c>
      <c r="CO374" s="93" cm="1">
        <f t="array" ref="CO374">SUMPRODUCT(TRANSPOSE(CO$4:CO$20),$G374:$W374)</f>
        <v>0</v>
      </c>
      <c r="CP374" s="93" cm="1">
        <f t="array" ref="CP374">SUMPRODUCT(TRANSPOSE(CP$4:CP$20),$G374:$W374)</f>
        <v>0</v>
      </c>
      <c r="CQ374" s="93" cm="1">
        <f t="array" ref="CQ374">SUMPRODUCT(TRANSPOSE(CQ$4:CQ$20),$G374:$W374)</f>
        <v>8</v>
      </c>
      <c r="CR374" s="93" cm="1">
        <f t="array" ref="CR374">SUMPRODUCT(TRANSPOSE(CR$4:CR$20),$G374:$W374)</f>
        <v>8</v>
      </c>
      <c r="CS374" s="93" cm="1">
        <f t="array" ref="CS374">SUMPRODUCT(TRANSPOSE(CS$4:CS$20),$G374:$W374)</f>
        <v>8</v>
      </c>
      <c r="CT374" s="93" cm="1">
        <f t="array" ref="CT374">SUMPRODUCT(TRANSPOSE(CT$4:CT$20),$G374:$W374)</f>
        <v>8</v>
      </c>
      <c r="CU374" s="93" cm="1">
        <f t="array" ref="CU374">SUMPRODUCT(TRANSPOSE(CU$4:CU$20),$G374:$W374)</f>
        <v>8</v>
      </c>
      <c r="CV374" s="93" cm="1">
        <f t="array" ref="CV374">SUMPRODUCT(TRANSPOSE(CV$4:CV$20),$G374:$W374)</f>
        <v>8</v>
      </c>
      <c r="CW374" s="93" cm="1">
        <f t="array" ref="CW374">SUMPRODUCT(TRANSPOSE(CW$4:CW$20),$G374:$W374)</f>
        <v>8</v>
      </c>
      <c r="CX374" s="93" cm="1">
        <f t="array" ref="CX374">SUMPRODUCT(TRANSPOSE(CX$4:CX$20),$G374:$W374)</f>
        <v>8</v>
      </c>
      <c r="CY374" s="93" cm="1">
        <f t="array" ref="CY374">SUMPRODUCT(TRANSPOSE(CY$4:CY$20),$G374:$W374)</f>
        <v>8</v>
      </c>
      <c r="CZ374" s="93" cm="1">
        <f t="array" ref="CZ374">SUMPRODUCT(TRANSPOSE(CZ$4:CZ$20),$G374:$W374)</f>
        <v>8</v>
      </c>
      <c r="DA374" s="93" cm="1">
        <f t="array" ref="DA374">SUMPRODUCT(TRANSPOSE(DA$4:DA$20),$G374:$W374)</f>
        <v>8</v>
      </c>
      <c r="DB374" s="93" cm="1">
        <f t="array" ref="DB374">SUMPRODUCT(TRANSPOSE(DB$4:DB$20),$G374:$W374)</f>
        <v>8</v>
      </c>
      <c r="DC374" s="93" cm="1">
        <f t="array" ref="DC374">SUMPRODUCT(TRANSPOSE(DC$4:DC$20),$G374:$W374)</f>
        <v>6</v>
      </c>
      <c r="DD374" s="93" cm="1">
        <f t="array" ref="DD374">SUMPRODUCT(TRANSPOSE(DD$4:DD$20),$G374:$W374)</f>
        <v>0</v>
      </c>
      <c r="DE374" s="93" cm="1">
        <f t="array" ref="DE374">SUMPRODUCT(TRANSPOSE(DE$4:DE$20),$G374:$W374)</f>
        <v>0</v>
      </c>
      <c r="DF374" s="93" cm="1">
        <f t="array" ref="DF374">SUMPRODUCT(TRANSPOSE(DF$4:DF$20),$G374:$W374)</f>
        <v>0</v>
      </c>
      <c r="DG374" s="93" cm="1">
        <f t="array" ref="DG374">SUMPRODUCT(TRANSPOSE(DG$4:DG$20),$G374:$W374)</f>
        <v>0</v>
      </c>
      <c r="DH374" s="93" cm="1">
        <f t="array" ref="DH374">SUMPRODUCT(TRANSPOSE(DH$4:DH$20),$G374:$W374)</f>
        <v>0</v>
      </c>
      <c r="DI374" s="93" cm="1">
        <f t="array" ref="DI374">SUMPRODUCT(TRANSPOSE(DI$4:DI$20),$G374:$W374)</f>
        <v>0</v>
      </c>
      <c r="DJ374" s="93" cm="1">
        <f t="array" ref="DJ374">SUMPRODUCT(TRANSPOSE(DJ$4:DJ$20),$G374:$W374)</f>
        <v>0</v>
      </c>
      <c r="DK374" s="93" cm="1">
        <f t="array" ref="DK374">SUMPRODUCT(TRANSPOSE(DK$4:DK$20),$G374:$W374)</f>
        <v>0</v>
      </c>
      <c r="DL374" s="93" cm="1">
        <f t="array" ref="DL374">SUMPRODUCT(TRANSPOSE(DL$4:DL$20),$G374:$W374)</f>
        <v>0</v>
      </c>
      <c r="DM374" s="93" cm="1">
        <f t="array" ref="DM374">SUMPRODUCT(TRANSPOSE(DM$4:DM$20),$G374:$W374)</f>
        <v>0</v>
      </c>
      <c r="DN374" s="93" cm="1">
        <f t="array" ref="DN374">SUMPRODUCT(TRANSPOSE(DN$4:DN$20),$G374:$W374)</f>
        <v>0</v>
      </c>
      <c r="DO374" s="93" cm="1">
        <f t="array" ref="DO374">SUMPRODUCT(TRANSPOSE(DO$4:DO$20),$G374:$W374)</f>
        <v>0</v>
      </c>
    </row>
    <row r="375" spans="1:119" x14ac:dyDescent="0.2">
      <c r="A375" s="45">
        <f t="shared" si="31"/>
        <v>354</v>
      </c>
      <c r="B375" s="64" t="s">
        <v>821</v>
      </c>
      <c r="C375" s="45">
        <v>401367871</v>
      </c>
      <c r="D375" s="45" t="s">
        <v>822</v>
      </c>
      <c r="E375" s="45" t="s">
        <v>162</v>
      </c>
      <c r="F375" s="48">
        <v>1</v>
      </c>
      <c r="G375" s="100">
        <v>1</v>
      </c>
      <c r="H375" s="100">
        <v>0</v>
      </c>
      <c r="I375" s="100">
        <v>0</v>
      </c>
      <c r="J375" s="100">
        <v>0</v>
      </c>
      <c r="K375" s="100">
        <v>0</v>
      </c>
      <c r="L375" s="100">
        <v>0</v>
      </c>
      <c r="M375" s="100">
        <v>0</v>
      </c>
      <c r="N375" s="100">
        <v>0</v>
      </c>
      <c r="O375" s="100">
        <v>0</v>
      </c>
      <c r="P375" s="100">
        <v>0</v>
      </c>
      <c r="Q375" s="100">
        <v>0</v>
      </c>
      <c r="R375" s="100">
        <v>0</v>
      </c>
      <c r="S375" s="100">
        <v>0</v>
      </c>
      <c r="T375" s="100">
        <v>0</v>
      </c>
      <c r="U375" s="100">
        <v>0</v>
      </c>
      <c r="V375" s="100">
        <v>0</v>
      </c>
      <c r="W375" s="100">
        <v>0</v>
      </c>
      <c r="X375" s="45" t="s">
        <v>237</v>
      </c>
      <c r="Y375" s="53">
        <v>33</v>
      </c>
      <c r="Z375" s="45">
        <v>129</v>
      </c>
      <c r="AA375" s="45">
        <v>0</v>
      </c>
      <c r="AB375" s="45">
        <v>0</v>
      </c>
      <c r="AC375" s="45">
        <v>0</v>
      </c>
      <c r="AD375" s="45">
        <v>0</v>
      </c>
      <c r="AE375" s="45">
        <v>0</v>
      </c>
      <c r="AF375" s="45">
        <v>0</v>
      </c>
      <c r="AG375" s="45">
        <v>0</v>
      </c>
      <c r="AH375" s="45">
        <v>0</v>
      </c>
      <c r="AI375" s="45">
        <v>0</v>
      </c>
      <c r="AJ375" s="45">
        <v>0</v>
      </c>
      <c r="AK375" s="45">
        <v>0</v>
      </c>
      <c r="AL375" s="45">
        <v>0</v>
      </c>
      <c r="AM375" s="45">
        <v>0</v>
      </c>
      <c r="AN375" s="45">
        <v>0</v>
      </c>
      <c r="AO375" s="45"/>
      <c r="AP375" s="45"/>
      <c r="AQ375" s="45"/>
      <c r="AR375" s="45"/>
      <c r="AS375" s="45"/>
      <c r="AT375" s="45"/>
      <c r="AU375" s="45"/>
      <c r="AV375" s="45"/>
      <c r="AW375" s="45"/>
      <c r="AX375" s="45"/>
      <c r="AY375" s="45"/>
      <c r="AZ375" s="45"/>
      <c r="BA375" s="45"/>
      <c r="BB375" s="45"/>
      <c r="BC375" s="45"/>
      <c r="BD375" s="93"/>
      <c r="BE375" s="93"/>
      <c r="BF375" s="93"/>
      <c r="BG375" s="93"/>
      <c r="BH375" s="93"/>
      <c r="BI375" s="93"/>
      <c r="BJ375" s="93"/>
      <c r="BK375" s="93">
        <f>SUM($Z375:AD375)-SUM($CM375:CQ375)</f>
        <v>121</v>
      </c>
      <c r="BL375" s="93">
        <f>SUM($Z375:AE375)-SUM($CM375:CR375)</f>
        <v>113</v>
      </c>
      <c r="BM375" s="93">
        <f>SUM($Z375:AF375)-SUM($CM375:CS375)</f>
        <v>105</v>
      </c>
      <c r="BN375" s="93">
        <f>SUM($Z375:AG375)-SUM($CM375:CT375)</f>
        <v>97</v>
      </c>
      <c r="BO375" s="93">
        <f>SUM($Z375:AH375)-SUM($CM375:CU375)</f>
        <v>89</v>
      </c>
      <c r="BP375" s="93">
        <f>SUM($Z375:AI375)-SUM($CM375:CV375)</f>
        <v>81</v>
      </c>
      <c r="BQ375" s="93">
        <f>SUM($Z375:AJ375)-SUM($CM375:CW375)</f>
        <v>73</v>
      </c>
      <c r="BR375" s="93">
        <f>SUM($Z375:AK375)-SUM($CM375:CX375)</f>
        <v>65</v>
      </c>
      <c r="BS375" s="93">
        <f>SUM($Z375:AL375)-SUM($CM375:CY375)</f>
        <v>57</v>
      </c>
      <c r="BT375" s="93">
        <f>SUM($Z375:AM375)-SUM($CM375:CZ375)</f>
        <v>49</v>
      </c>
      <c r="BU375" s="93">
        <f>SUM($Z375:AN375)-SUM($CM375:DA375)</f>
        <v>41</v>
      </c>
      <c r="BV375" s="93">
        <f>SUM($Z375:AO375)-SUM($CM375:DB375)</f>
        <v>33</v>
      </c>
      <c r="BW375" s="93">
        <f>SUM($Z375:AP375)-SUM($CM375:DC375)</f>
        <v>27</v>
      </c>
      <c r="BX375" s="93">
        <f>SUM($Z375:AQ375)-SUM($CM375:DD375)</f>
        <v>27</v>
      </c>
      <c r="BY375" s="93">
        <f>SUM($Z375:AR375)-SUM($CM375:DE375)</f>
        <v>27</v>
      </c>
      <c r="BZ375" s="93">
        <f>SUM($Z375:AS375)-SUM($CM375:DF375)</f>
        <v>27</v>
      </c>
      <c r="CA375" s="93">
        <f>SUM($Z375:AT375)-SUM($CM375:DG375)</f>
        <v>27</v>
      </c>
      <c r="CB375" s="93">
        <f>SUM($Z375:AU375)-SUM($CM375:DH375)</f>
        <v>27</v>
      </c>
      <c r="CC375" s="93">
        <f>SUM($Z375:AV375)-SUM($CM375:DI375)</f>
        <v>27</v>
      </c>
      <c r="CD375" s="93">
        <f>SUM($Z375:AW375)-SUM($CM375:DJ375)</f>
        <v>27</v>
      </c>
      <c r="CE375" s="93">
        <f>SUM($Z375:AX375)-SUM($CM375:DK375)</f>
        <v>27</v>
      </c>
      <c r="CF375" s="93">
        <f>SUM($Z375:AY375)-SUM($CM375:DL375)</f>
        <v>27</v>
      </c>
      <c r="CG375" s="93">
        <f>SUM($Z375:AZ375)-SUM($CM375:DM375)</f>
        <v>27</v>
      </c>
      <c r="CH375" s="93">
        <f>SUM($Z375:BA375)-SUM($CM375:DN375)</f>
        <v>27</v>
      </c>
      <c r="CI375" s="93">
        <f>SUM($Z375:BB375)-SUM($CM375:DO375)</f>
        <v>27</v>
      </c>
      <c r="CJ375" s="93"/>
      <c r="CK375" s="93"/>
      <c r="CL375" s="93"/>
      <c r="CM375" s="93"/>
      <c r="CN375" s="93" cm="1">
        <f t="array" ref="CN375">SUMPRODUCT(TRANSPOSE(CN$4:CN$20),$G375:$W375)</f>
        <v>0</v>
      </c>
      <c r="CO375" s="93" cm="1">
        <f t="array" ref="CO375">SUMPRODUCT(TRANSPOSE(CO$4:CO$20),$G375:$W375)</f>
        <v>0</v>
      </c>
      <c r="CP375" s="93" cm="1">
        <f t="array" ref="CP375">SUMPRODUCT(TRANSPOSE(CP$4:CP$20),$G375:$W375)</f>
        <v>0</v>
      </c>
      <c r="CQ375" s="93" cm="1">
        <f t="array" ref="CQ375">SUMPRODUCT(TRANSPOSE(CQ$4:CQ$20),$G375:$W375)</f>
        <v>8</v>
      </c>
      <c r="CR375" s="93" cm="1">
        <f t="array" ref="CR375">SUMPRODUCT(TRANSPOSE(CR$4:CR$20),$G375:$W375)</f>
        <v>8</v>
      </c>
      <c r="CS375" s="93" cm="1">
        <f t="array" ref="CS375">SUMPRODUCT(TRANSPOSE(CS$4:CS$20),$G375:$W375)</f>
        <v>8</v>
      </c>
      <c r="CT375" s="93" cm="1">
        <f t="array" ref="CT375">SUMPRODUCT(TRANSPOSE(CT$4:CT$20),$G375:$W375)</f>
        <v>8</v>
      </c>
      <c r="CU375" s="93" cm="1">
        <f t="array" ref="CU375">SUMPRODUCT(TRANSPOSE(CU$4:CU$20),$G375:$W375)</f>
        <v>8</v>
      </c>
      <c r="CV375" s="93" cm="1">
        <f t="array" ref="CV375">SUMPRODUCT(TRANSPOSE(CV$4:CV$20),$G375:$W375)</f>
        <v>8</v>
      </c>
      <c r="CW375" s="93" cm="1">
        <f t="array" ref="CW375">SUMPRODUCT(TRANSPOSE(CW$4:CW$20),$G375:$W375)</f>
        <v>8</v>
      </c>
      <c r="CX375" s="93" cm="1">
        <f t="array" ref="CX375">SUMPRODUCT(TRANSPOSE(CX$4:CX$20),$G375:$W375)</f>
        <v>8</v>
      </c>
      <c r="CY375" s="93" cm="1">
        <f t="array" ref="CY375">SUMPRODUCT(TRANSPOSE(CY$4:CY$20),$G375:$W375)</f>
        <v>8</v>
      </c>
      <c r="CZ375" s="93" cm="1">
        <f t="array" ref="CZ375">SUMPRODUCT(TRANSPOSE(CZ$4:CZ$20),$G375:$W375)</f>
        <v>8</v>
      </c>
      <c r="DA375" s="93" cm="1">
        <f t="array" ref="DA375">SUMPRODUCT(TRANSPOSE(DA$4:DA$20),$G375:$W375)</f>
        <v>8</v>
      </c>
      <c r="DB375" s="93" cm="1">
        <f t="array" ref="DB375">SUMPRODUCT(TRANSPOSE(DB$4:DB$20),$G375:$W375)</f>
        <v>8</v>
      </c>
      <c r="DC375" s="93" cm="1">
        <f t="array" ref="DC375">SUMPRODUCT(TRANSPOSE(DC$4:DC$20),$G375:$W375)</f>
        <v>6</v>
      </c>
      <c r="DD375" s="93" cm="1">
        <f t="array" ref="DD375">SUMPRODUCT(TRANSPOSE(DD$4:DD$20),$G375:$W375)</f>
        <v>0</v>
      </c>
      <c r="DE375" s="93" cm="1">
        <f t="array" ref="DE375">SUMPRODUCT(TRANSPOSE(DE$4:DE$20),$G375:$W375)</f>
        <v>0</v>
      </c>
      <c r="DF375" s="93" cm="1">
        <f t="array" ref="DF375">SUMPRODUCT(TRANSPOSE(DF$4:DF$20),$G375:$W375)</f>
        <v>0</v>
      </c>
      <c r="DG375" s="93" cm="1">
        <f t="array" ref="DG375">SUMPRODUCT(TRANSPOSE(DG$4:DG$20),$G375:$W375)</f>
        <v>0</v>
      </c>
      <c r="DH375" s="93" cm="1">
        <f t="array" ref="DH375">SUMPRODUCT(TRANSPOSE(DH$4:DH$20),$G375:$W375)</f>
        <v>0</v>
      </c>
      <c r="DI375" s="93" cm="1">
        <f t="array" ref="DI375">SUMPRODUCT(TRANSPOSE(DI$4:DI$20),$G375:$W375)</f>
        <v>0</v>
      </c>
      <c r="DJ375" s="93" cm="1">
        <f t="array" ref="DJ375">SUMPRODUCT(TRANSPOSE(DJ$4:DJ$20),$G375:$W375)</f>
        <v>0</v>
      </c>
      <c r="DK375" s="93" cm="1">
        <f t="array" ref="DK375">SUMPRODUCT(TRANSPOSE(DK$4:DK$20),$G375:$W375)</f>
        <v>0</v>
      </c>
      <c r="DL375" s="93" cm="1">
        <f t="array" ref="DL375">SUMPRODUCT(TRANSPOSE(DL$4:DL$20),$G375:$W375)</f>
        <v>0</v>
      </c>
      <c r="DM375" s="93" cm="1">
        <f t="array" ref="DM375">SUMPRODUCT(TRANSPOSE(DM$4:DM$20),$G375:$W375)</f>
        <v>0</v>
      </c>
      <c r="DN375" s="93" cm="1">
        <f t="array" ref="DN375">SUMPRODUCT(TRANSPOSE(DN$4:DN$20),$G375:$W375)</f>
        <v>0</v>
      </c>
      <c r="DO375" s="93" cm="1">
        <f t="array" ref="DO375">SUMPRODUCT(TRANSPOSE(DO$4:DO$20),$G375:$W375)</f>
        <v>0</v>
      </c>
    </row>
    <row r="376" spans="1:119" x14ac:dyDescent="0.2">
      <c r="A376" s="45">
        <f t="shared" si="31"/>
        <v>355</v>
      </c>
      <c r="B376" s="64" t="s">
        <v>823</v>
      </c>
      <c r="C376" s="45">
        <v>401412775</v>
      </c>
      <c r="D376" s="45" t="s">
        <v>215</v>
      </c>
      <c r="E376" s="45" t="s">
        <v>162</v>
      </c>
      <c r="F376" s="48">
        <v>1</v>
      </c>
      <c r="G376" s="100">
        <v>0</v>
      </c>
      <c r="H376" s="100">
        <v>0</v>
      </c>
      <c r="I376" s="100">
        <v>2</v>
      </c>
      <c r="J376" s="100">
        <v>0</v>
      </c>
      <c r="K376" s="100">
        <v>2</v>
      </c>
      <c r="L376" s="100">
        <v>0</v>
      </c>
      <c r="M376" s="100">
        <v>0</v>
      </c>
      <c r="N376" s="100">
        <v>0</v>
      </c>
      <c r="O376" s="100">
        <v>0</v>
      </c>
      <c r="P376" s="100">
        <v>0</v>
      </c>
      <c r="Q376" s="100">
        <v>0</v>
      </c>
      <c r="R376" s="100">
        <v>0</v>
      </c>
      <c r="S376" s="100">
        <v>0</v>
      </c>
      <c r="T376" s="100">
        <v>0</v>
      </c>
      <c r="U376" s="100">
        <v>0</v>
      </c>
      <c r="V376" s="100">
        <v>0</v>
      </c>
      <c r="W376" s="100">
        <v>0</v>
      </c>
      <c r="X376" s="45" t="s">
        <v>805</v>
      </c>
      <c r="Y376" s="49">
        <v>5.0999999999999996</v>
      </c>
      <c r="Z376" s="45">
        <v>530</v>
      </c>
      <c r="AA376" s="45">
        <v>0</v>
      </c>
      <c r="AB376" s="45">
        <v>0</v>
      </c>
      <c r="AC376" s="45">
        <v>0</v>
      </c>
      <c r="AD376" s="45">
        <v>0</v>
      </c>
      <c r="AE376" s="45">
        <v>0</v>
      </c>
      <c r="AF376" s="45">
        <v>0</v>
      </c>
      <c r="AG376" s="45">
        <v>0</v>
      </c>
      <c r="AH376" s="45">
        <v>0</v>
      </c>
      <c r="AI376" s="45">
        <v>0</v>
      </c>
      <c r="AJ376" s="45">
        <v>0</v>
      </c>
      <c r="AK376" s="45">
        <v>0</v>
      </c>
      <c r="AL376" s="45">
        <v>0</v>
      </c>
      <c r="AM376" s="45">
        <v>0</v>
      </c>
      <c r="AN376" s="45">
        <v>0</v>
      </c>
      <c r="AO376" s="45"/>
      <c r="AP376" s="45"/>
      <c r="AQ376" s="45"/>
      <c r="AR376" s="45"/>
      <c r="AS376" s="45"/>
      <c r="AT376" s="45"/>
      <c r="AU376" s="45"/>
      <c r="AV376" s="45"/>
      <c r="AW376" s="45"/>
      <c r="AX376" s="45"/>
      <c r="AY376" s="45"/>
      <c r="AZ376" s="45"/>
      <c r="BA376" s="45"/>
      <c r="BB376" s="45"/>
      <c r="BC376" s="45"/>
      <c r="BD376" s="93"/>
      <c r="BE376" s="93"/>
      <c r="BF376" s="93"/>
      <c r="BG376" s="93"/>
      <c r="BH376" s="93"/>
      <c r="BI376" s="93"/>
      <c r="BJ376" s="93"/>
      <c r="BK376" s="93">
        <f>SUM($Z376:AD376)-SUM($CM376:CQ376)</f>
        <v>498</v>
      </c>
      <c r="BL376" s="93">
        <f>SUM($Z376:AE376)-SUM($CM376:CR376)</f>
        <v>466</v>
      </c>
      <c r="BM376" s="93">
        <f>SUM($Z376:AF376)-SUM($CM376:CS376)</f>
        <v>434</v>
      </c>
      <c r="BN376" s="93">
        <f>SUM($Z376:AG376)-SUM($CM376:CT376)</f>
        <v>402</v>
      </c>
      <c r="BO376" s="93">
        <f>SUM($Z376:AH376)-SUM($CM376:CU376)</f>
        <v>370</v>
      </c>
      <c r="BP376" s="93">
        <f>SUM($Z376:AI376)-SUM($CM376:CV376)</f>
        <v>338</v>
      </c>
      <c r="BQ376" s="93">
        <f>SUM($Z376:AJ376)-SUM($CM376:CW376)</f>
        <v>306</v>
      </c>
      <c r="BR376" s="93">
        <f>SUM($Z376:AK376)-SUM($CM376:CX376)</f>
        <v>274</v>
      </c>
      <c r="BS376" s="93">
        <f>SUM($Z376:AL376)-SUM($CM376:CY376)</f>
        <v>242</v>
      </c>
      <c r="BT376" s="93">
        <f>SUM($Z376:AM376)-SUM($CM376:CZ376)</f>
        <v>210</v>
      </c>
      <c r="BU376" s="93">
        <f>SUM($Z376:AN376)-SUM($CM376:DA376)</f>
        <v>178</v>
      </c>
      <c r="BV376" s="93">
        <f>SUM($Z376:AO376)-SUM($CM376:DB376)</f>
        <v>146</v>
      </c>
      <c r="BW376" s="93">
        <f>SUM($Z376:AP376)-SUM($CM376:DC376)</f>
        <v>122</v>
      </c>
      <c r="BX376" s="93">
        <f>SUM($Z376:AQ376)-SUM($CM376:DD376)</f>
        <v>122</v>
      </c>
      <c r="BY376" s="93">
        <f>SUM($Z376:AR376)-SUM($CM376:DE376)</f>
        <v>122</v>
      </c>
      <c r="BZ376" s="93">
        <f>SUM($Z376:AS376)-SUM($CM376:DF376)</f>
        <v>122</v>
      </c>
      <c r="CA376" s="93">
        <f>SUM($Z376:AT376)-SUM($CM376:DG376)</f>
        <v>122</v>
      </c>
      <c r="CB376" s="93">
        <f>SUM($Z376:AU376)-SUM($CM376:DH376)</f>
        <v>122</v>
      </c>
      <c r="CC376" s="93">
        <f>SUM($Z376:AV376)-SUM($CM376:DI376)</f>
        <v>122</v>
      </c>
      <c r="CD376" s="93">
        <f>SUM($Z376:AW376)-SUM($CM376:DJ376)</f>
        <v>122</v>
      </c>
      <c r="CE376" s="93">
        <f>SUM($Z376:AX376)-SUM($CM376:DK376)</f>
        <v>122</v>
      </c>
      <c r="CF376" s="93">
        <f>SUM($Z376:AY376)-SUM($CM376:DL376)</f>
        <v>122</v>
      </c>
      <c r="CG376" s="93">
        <f>SUM($Z376:AZ376)-SUM($CM376:DM376)</f>
        <v>122</v>
      </c>
      <c r="CH376" s="93">
        <f>SUM($Z376:BA376)-SUM($CM376:DN376)</f>
        <v>122</v>
      </c>
      <c r="CI376" s="93">
        <f>SUM($Z376:BB376)-SUM($CM376:DO376)</f>
        <v>122</v>
      </c>
      <c r="CJ376" s="93"/>
      <c r="CK376" s="93"/>
      <c r="CL376" s="93"/>
      <c r="CM376" s="93"/>
      <c r="CN376" s="93" cm="1">
        <f t="array" ref="CN376">SUMPRODUCT(TRANSPOSE(CN$4:CN$20),$G376:$W376)</f>
        <v>0</v>
      </c>
      <c r="CO376" s="93" cm="1">
        <f t="array" ref="CO376">SUMPRODUCT(TRANSPOSE(CO$4:CO$20),$G376:$W376)</f>
        <v>0</v>
      </c>
      <c r="CP376" s="93" cm="1">
        <f t="array" ref="CP376">SUMPRODUCT(TRANSPOSE(CP$4:CP$20),$G376:$W376)</f>
        <v>0</v>
      </c>
      <c r="CQ376" s="93" cm="1">
        <f t="array" ref="CQ376">SUMPRODUCT(TRANSPOSE(CQ$4:CQ$20),$G376:$W376)</f>
        <v>32</v>
      </c>
      <c r="CR376" s="93" cm="1">
        <f t="array" ref="CR376">SUMPRODUCT(TRANSPOSE(CR$4:CR$20),$G376:$W376)</f>
        <v>32</v>
      </c>
      <c r="CS376" s="93" cm="1">
        <f t="array" ref="CS376">SUMPRODUCT(TRANSPOSE(CS$4:CS$20),$G376:$W376)</f>
        <v>32</v>
      </c>
      <c r="CT376" s="93" cm="1">
        <f t="array" ref="CT376">SUMPRODUCT(TRANSPOSE(CT$4:CT$20),$G376:$W376)</f>
        <v>32</v>
      </c>
      <c r="CU376" s="93" cm="1">
        <f t="array" ref="CU376">SUMPRODUCT(TRANSPOSE(CU$4:CU$20),$G376:$W376)</f>
        <v>32</v>
      </c>
      <c r="CV376" s="93" cm="1">
        <f t="array" ref="CV376">SUMPRODUCT(TRANSPOSE(CV$4:CV$20),$G376:$W376)</f>
        <v>32</v>
      </c>
      <c r="CW376" s="93" cm="1">
        <f t="array" ref="CW376">SUMPRODUCT(TRANSPOSE(CW$4:CW$20),$G376:$W376)</f>
        <v>32</v>
      </c>
      <c r="CX376" s="93" cm="1">
        <f t="array" ref="CX376">SUMPRODUCT(TRANSPOSE(CX$4:CX$20),$G376:$W376)</f>
        <v>32</v>
      </c>
      <c r="CY376" s="93" cm="1">
        <f t="array" ref="CY376">SUMPRODUCT(TRANSPOSE(CY$4:CY$20),$G376:$W376)</f>
        <v>32</v>
      </c>
      <c r="CZ376" s="93" cm="1">
        <f t="array" ref="CZ376">SUMPRODUCT(TRANSPOSE(CZ$4:CZ$20),$G376:$W376)</f>
        <v>32</v>
      </c>
      <c r="DA376" s="93" cm="1">
        <f t="array" ref="DA376">SUMPRODUCT(TRANSPOSE(DA$4:DA$20),$G376:$W376)</f>
        <v>32</v>
      </c>
      <c r="DB376" s="93" cm="1">
        <f t="array" ref="DB376">SUMPRODUCT(TRANSPOSE(DB$4:DB$20),$G376:$W376)</f>
        <v>32</v>
      </c>
      <c r="DC376" s="93" cm="1">
        <f t="array" ref="DC376">SUMPRODUCT(TRANSPOSE(DC$4:DC$20),$G376:$W376)</f>
        <v>24</v>
      </c>
      <c r="DD376" s="93" cm="1">
        <f t="array" ref="DD376">SUMPRODUCT(TRANSPOSE(DD$4:DD$20),$G376:$W376)</f>
        <v>0</v>
      </c>
      <c r="DE376" s="93" cm="1">
        <f t="array" ref="DE376">SUMPRODUCT(TRANSPOSE(DE$4:DE$20),$G376:$W376)</f>
        <v>0</v>
      </c>
      <c r="DF376" s="93" cm="1">
        <f t="array" ref="DF376">SUMPRODUCT(TRANSPOSE(DF$4:DF$20),$G376:$W376)</f>
        <v>0</v>
      </c>
      <c r="DG376" s="93" cm="1">
        <f t="array" ref="DG376">SUMPRODUCT(TRANSPOSE(DG$4:DG$20),$G376:$W376)</f>
        <v>0</v>
      </c>
      <c r="DH376" s="93" cm="1">
        <f t="array" ref="DH376">SUMPRODUCT(TRANSPOSE(DH$4:DH$20),$G376:$W376)</f>
        <v>0</v>
      </c>
      <c r="DI376" s="93" cm="1">
        <f t="array" ref="DI376">SUMPRODUCT(TRANSPOSE(DI$4:DI$20),$G376:$W376)</f>
        <v>0</v>
      </c>
      <c r="DJ376" s="93" cm="1">
        <f t="array" ref="DJ376">SUMPRODUCT(TRANSPOSE(DJ$4:DJ$20),$G376:$W376)</f>
        <v>0</v>
      </c>
      <c r="DK376" s="93" cm="1">
        <f t="array" ref="DK376">SUMPRODUCT(TRANSPOSE(DK$4:DK$20),$G376:$W376)</f>
        <v>0</v>
      </c>
      <c r="DL376" s="93" cm="1">
        <f t="array" ref="DL376">SUMPRODUCT(TRANSPOSE(DL$4:DL$20),$G376:$W376)</f>
        <v>0</v>
      </c>
      <c r="DM376" s="93" cm="1">
        <f t="array" ref="DM376">SUMPRODUCT(TRANSPOSE(DM$4:DM$20),$G376:$W376)</f>
        <v>0</v>
      </c>
      <c r="DN376" s="93" cm="1">
        <f t="array" ref="DN376">SUMPRODUCT(TRANSPOSE(DN$4:DN$20),$G376:$W376)</f>
        <v>0</v>
      </c>
      <c r="DO376" s="93" cm="1">
        <f t="array" ref="DO376">SUMPRODUCT(TRANSPOSE(DO$4:DO$20),$G376:$W376)</f>
        <v>0</v>
      </c>
    </row>
    <row r="377" spans="1:119" x14ac:dyDescent="0.2">
      <c r="A377" s="45">
        <f t="shared" si="31"/>
        <v>356</v>
      </c>
      <c r="B377" s="64" t="s">
        <v>824</v>
      </c>
      <c r="C377" s="45">
        <v>401412776</v>
      </c>
      <c r="D377" s="45" t="s">
        <v>215</v>
      </c>
      <c r="E377" s="45" t="s">
        <v>162</v>
      </c>
      <c r="F377" s="48">
        <v>2</v>
      </c>
      <c r="G377" s="100">
        <v>0</v>
      </c>
      <c r="H377" s="100">
        <v>0</v>
      </c>
      <c r="I377" s="100">
        <v>2</v>
      </c>
      <c r="J377" s="100">
        <v>0</v>
      </c>
      <c r="K377" s="100">
        <v>2</v>
      </c>
      <c r="L377" s="100">
        <v>0</v>
      </c>
      <c r="M377" s="100">
        <v>0</v>
      </c>
      <c r="N377" s="100">
        <v>0</v>
      </c>
      <c r="O377" s="100">
        <v>0</v>
      </c>
      <c r="P377" s="100">
        <v>0</v>
      </c>
      <c r="Q377" s="100">
        <v>0</v>
      </c>
      <c r="R377" s="100">
        <v>0</v>
      </c>
      <c r="S377" s="100">
        <v>0</v>
      </c>
      <c r="T377" s="100">
        <v>0</v>
      </c>
      <c r="U377" s="100">
        <v>0</v>
      </c>
      <c r="V377" s="100">
        <v>0</v>
      </c>
      <c r="W377" s="100">
        <v>0</v>
      </c>
      <c r="X377" s="45" t="s">
        <v>805</v>
      </c>
      <c r="Y377" s="49">
        <v>5.0999999999999996</v>
      </c>
      <c r="Z377" s="45">
        <v>530</v>
      </c>
      <c r="AA377" s="45">
        <v>0</v>
      </c>
      <c r="AB377" s="45">
        <v>0</v>
      </c>
      <c r="AC377" s="45">
        <v>0</v>
      </c>
      <c r="AD377" s="45">
        <v>0</v>
      </c>
      <c r="AE377" s="45">
        <v>0</v>
      </c>
      <c r="AF377" s="45">
        <v>0</v>
      </c>
      <c r="AG377" s="45">
        <v>0</v>
      </c>
      <c r="AH377" s="45">
        <v>0</v>
      </c>
      <c r="AI377" s="45">
        <v>0</v>
      </c>
      <c r="AJ377" s="45">
        <v>0</v>
      </c>
      <c r="AK377" s="45">
        <v>0</v>
      </c>
      <c r="AL377" s="45">
        <v>0</v>
      </c>
      <c r="AM377" s="45">
        <v>0</v>
      </c>
      <c r="AN377" s="45">
        <v>0</v>
      </c>
      <c r="AO377" s="45"/>
      <c r="AP377" s="45"/>
      <c r="AQ377" s="45"/>
      <c r="AR377" s="45"/>
      <c r="AS377" s="45"/>
      <c r="AT377" s="45"/>
      <c r="AU377" s="45"/>
      <c r="AV377" s="45"/>
      <c r="AW377" s="45"/>
      <c r="AX377" s="45"/>
      <c r="AY377" s="45"/>
      <c r="AZ377" s="45"/>
      <c r="BA377" s="45"/>
      <c r="BB377" s="45"/>
      <c r="BC377" s="45"/>
      <c r="BD377" s="93"/>
      <c r="BE377" s="93"/>
      <c r="BF377" s="93"/>
      <c r="BG377" s="93"/>
      <c r="BH377" s="93"/>
      <c r="BI377" s="93"/>
      <c r="BJ377" s="93"/>
      <c r="BK377" s="93">
        <f>SUM($Z377:AD377)-SUM($CM377:CQ377)</f>
        <v>498</v>
      </c>
      <c r="BL377" s="93">
        <f>SUM($Z377:AE377)-SUM($CM377:CR377)</f>
        <v>466</v>
      </c>
      <c r="BM377" s="93">
        <f>SUM($Z377:AF377)-SUM($CM377:CS377)</f>
        <v>434</v>
      </c>
      <c r="BN377" s="93">
        <f>SUM($Z377:AG377)-SUM($CM377:CT377)</f>
        <v>402</v>
      </c>
      <c r="BO377" s="93">
        <f>SUM($Z377:AH377)-SUM($CM377:CU377)</f>
        <v>370</v>
      </c>
      <c r="BP377" s="93">
        <f>SUM($Z377:AI377)-SUM($CM377:CV377)</f>
        <v>338</v>
      </c>
      <c r="BQ377" s="93">
        <f>SUM($Z377:AJ377)-SUM($CM377:CW377)</f>
        <v>306</v>
      </c>
      <c r="BR377" s="93">
        <f>SUM($Z377:AK377)-SUM($CM377:CX377)</f>
        <v>274</v>
      </c>
      <c r="BS377" s="93">
        <f>SUM($Z377:AL377)-SUM($CM377:CY377)</f>
        <v>242</v>
      </c>
      <c r="BT377" s="93">
        <f>SUM($Z377:AM377)-SUM($CM377:CZ377)</f>
        <v>210</v>
      </c>
      <c r="BU377" s="93">
        <f>SUM($Z377:AN377)-SUM($CM377:DA377)</f>
        <v>178</v>
      </c>
      <c r="BV377" s="93">
        <f>SUM($Z377:AO377)-SUM($CM377:DB377)</f>
        <v>146</v>
      </c>
      <c r="BW377" s="93">
        <f>SUM($Z377:AP377)-SUM($CM377:DC377)</f>
        <v>122</v>
      </c>
      <c r="BX377" s="93">
        <f>SUM($Z377:AQ377)-SUM($CM377:DD377)</f>
        <v>122</v>
      </c>
      <c r="BY377" s="93">
        <f>SUM($Z377:AR377)-SUM($CM377:DE377)</f>
        <v>122</v>
      </c>
      <c r="BZ377" s="93">
        <f>SUM($Z377:AS377)-SUM($CM377:DF377)</f>
        <v>122</v>
      </c>
      <c r="CA377" s="93">
        <f>SUM($Z377:AT377)-SUM($CM377:DG377)</f>
        <v>122</v>
      </c>
      <c r="CB377" s="93">
        <f>SUM($Z377:AU377)-SUM($CM377:DH377)</f>
        <v>122</v>
      </c>
      <c r="CC377" s="93">
        <f>SUM($Z377:AV377)-SUM($CM377:DI377)</f>
        <v>122</v>
      </c>
      <c r="CD377" s="93">
        <f>SUM($Z377:AW377)-SUM($CM377:DJ377)</f>
        <v>122</v>
      </c>
      <c r="CE377" s="93">
        <f>SUM($Z377:AX377)-SUM($CM377:DK377)</f>
        <v>122</v>
      </c>
      <c r="CF377" s="93">
        <f>SUM($Z377:AY377)-SUM($CM377:DL377)</f>
        <v>122</v>
      </c>
      <c r="CG377" s="93">
        <f>SUM($Z377:AZ377)-SUM($CM377:DM377)</f>
        <v>122</v>
      </c>
      <c r="CH377" s="93">
        <f>SUM($Z377:BA377)-SUM($CM377:DN377)</f>
        <v>122</v>
      </c>
      <c r="CI377" s="93">
        <f>SUM($Z377:BB377)-SUM($CM377:DO377)</f>
        <v>122</v>
      </c>
      <c r="CJ377" s="93"/>
      <c r="CK377" s="93"/>
      <c r="CL377" s="93"/>
      <c r="CM377" s="93"/>
      <c r="CN377" s="93" cm="1">
        <f t="array" ref="CN377">SUMPRODUCT(TRANSPOSE(CN$4:CN$20),$G377:$W377)</f>
        <v>0</v>
      </c>
      <c r="CO377" s="93" cm="1">
        <f t="array" ref="CO377">SUMPRODUCT(TRANSPOSE(CO$4:CO$20),$G377:$W377)</f>
        <v>0</v>
      </c>
      <c r="CP377" s="93" cm="1">
        <f t="array" ref="CP377">SUMPRODUCT(TRANSPOSE(CP$4:CP$20),$G377:$W377)</f>
        <v>0</v>
      </c>
      <c r="CQ377" s="93" cm="1">
        <f t="array" ref="CQ377">SUMPRODUCT(TRANSPOSE(CQ$4:CQ$20),$G377:$W377)</f>
        <v>32</v>
      </c>
      <c r="CR377" s="93" cm="1">
        <f t="array" ref="CR377">SUMPRODUCT(TRANSPOSE(CR$4:CR$20),$G377:$W377)</f>
        <v>32</v>
      </c>
      <c r="CS377" s="93" cm="1">
        <f t="array" ref="CS377">SUMPRODUCT(TRANSPOSE(CS$4:CS$20),$G377:$W377)</f>
        <v>32</v>
      </c>
      <c r="CT377" s="93" cm="1">
        <f t="array" ref="CT377">SUMPRODUCT(TRANSPOSE(CT$4:CT$20),$G377:$W377)</f>
        <v>32</v>
      </c>
      <c r="CU377" s="93" cm="1">
        <f t="array" ref="CU377">SUMPRODUCT(TRANSPOSE(CU$4:CU$20),$G377:$W377)</f>
        <v>32</v>
      </c>
      <c r="CV377" s="93" cm="1">
        <f t="array" ref="CV377">SUMPRODUCT(TRANSPOSE(CV$4:CV$20),$G377:$W377)</f>
        <v>32</v>
      </c>
      <c r="CW377" s="93" cm="1">
        <f t="array" ref="CW377">SUMPRODUCT(TRANSPOSE(CW$4:CW$20),$G377:$W377)</f>
        <v>32</v>
      </c>
      <c r="CX377" s="93" cm="1">
        <f t="array" ref="CX377">SUMPRODUCT(TRANSPOSE(CX$4:CX$20),$G377:$W377)</f>
        <v>32</v>
      </c>
      <c r="CY377" s="93" cm="1">
        <f t="array" ref="CY377">SUMPRODUCT(TRANSPOSE(CY$4:CY$20),$G377:$W377)</f>
        <v>32</v>
      </c>
      <c r="CZ377" s="93" cm="1">
        <f t="array" ref="CZ377">SUMPRODUCT(TRANSPOSE(CZ$4:CZ$20),$G377:$W377)</f>
        <v>32</v>
      </c>
      <c r="DA377" s="93" cm="1">
        <f t="array" ref="DA377">SUMPRODUCT(TRANSPOSE(DA$4:DA$20),$G377:$W377)</f>
        <v>32</v>
      </c>
      <c r="DB377" s="93" cm="1">
        <f t="array" ref="DB377">SUMPRODUCT(TRANSPOSE(DB$4:DB$20),$G377:$W377)</f>
        <v>32</v>
      </c>
      <c r="DC377" s="93" cm="1">
        <f t="array" ref="DC377">SUMPRODUCT(TRANSPOSE(DC$4:DC$20),$G377:$W377)</f>
        <v>24</v>
      </c>
      <c r="DD377" s="93" cm="1">
        <f t="array" ref="DD377">SUMPRODUCT(TRANSPOSE(DD$4:DD$20),$G377:$W377)</f>
        <v>0</v>
      </c>
      <c r="DE377" s="93" cm="1">
        <f t="array" ref="DE377">SUMPRODUCT(TRANSPOSE(DE$4:DE$20),$G377:$W377)</f>
        <v>0</v>
      </c>
      <c r="DF377" s="93" cm="1">
        <f t="array" ref="DF377">SUMPRODUCT(TRANSPOSE(DF$4:DF$20),$G377:$W377)</f>
        <v>0</v>
      </c>
      <c r="DG377" s="93" cm="1">
        <f t="array" ref="DG377">SUMPRODUCT(TRANSPOSE(DG$4:DG$20),$G377:$W377)</f>
        <v>0</v>
      </c>
      <c r="DH377" s="93" cm="1">
        <f t="array" ref="DH377">SUMPRODUCT(TRANSPOSE(DH$4:DH$20),$G377:$W377)</f>
        <v>0</v>
      </c>
      <c r="DI377" s="93" cm="1">
        <f t="array" ref="DI377">SUMPRODUCT(TRANSPOSE(DI$4:DI$20),$G377:$W377)</f>
        <v>0</v>
      </c>
      <c r="DJ377" s="93" cm="1">
        <f t="array" ref="DJ377">SUMPRODUCT(TRANSPOSE(DJ$4:DJ$20),$G377:$W377)</f>
        <v>0</v>
      </c>
      <c r="DK377" s="93" cm="1">
        <f t="array" ref="DK377">SUMPRODUCT(TRANSPOSE(DK$4:DK$20),$G377:$W377)</f>
        <v>0</v>
      </c>
      <c r="DL377" s="93" cm="1">
        <f t="array" ref="DL377">SUMPRODUCT(TRANSPOSE(DL$4:DL$20),$G377:$W377)</f>
        <v>0</v>
      </c>
      <c r="DM377" s="93" cm="1">
        <f t="array" ref="DM377">SUMPRODUCT(TRANSPOSE(DM$4:DM$20),$G377:$W377)</f>
        <v>0</v>
      </c>
      <c r="DN377" s="93" cm="1">
        <f t="array" ref="DN377">SUMPRODUCT(TRANSPOSE(DN$4:DN$20),$G377:$W377)</f>
        <v>0</v>
      </c>
      <c r="DO377" s="93" cm="1">
        <f t="array" ref="DO377">SUMPRODUCT(TRANSPOSE(DO$4:DO$20),$G377:$W377)</f>
        <v>0</v>
      </c>
    </row>
    <row r="378" spans="1:119" x14ac:dyDescent="0.2">
      <c r="A378" s="45">
        <f t="shared" si="31"/>
        <v>357</v>
      </c>
      <c r="B378" s="71" t="s">
        <v>825</v>
      </c>
      <c r="C378" s="45">
        <v>401415925</v>
      </c>
      <c r="D378" s="45" t="s">
        <v>810</v>
      </c>
      <c r="E378" s="45" t="s">
        <v>162</v>
      </c>
      <c r="F378" s="48">
        <v>1</v>
      </c>
      <c r="G378" s="100">
        <v>0</v>
      </c>
      <c r="H378" s="100">
        <v>0</v>
      </c>
      <c r="I378" s="100">
        <v>2</v>
      </c>
      <c r="J378" s="100">
        <v>0</v>
      </c>
      <c r="K378" s="100">
        <v>2</v>
      </c>
      <c r="L378" s="100">
        <v>0</v>
      </c>
      <c r="M378" s="100">
        <v>0</v>
      </c>
      <c r="N378" s="100">
        <v>0</v>
      </c>
      <c r="O378" s="100">
        <v>0</v>
      </c>
      <c r="P378" s="100">
        <v>0</v>
      </c>
      <c r="Q378" s="100">
        <v>0</v>
      </c>
      <c r="R378" s="100">
        <v>0</v>
      </c>
      <c r="S378" s="100">
        <v>0</v>
      </c>
      <c r="T378" s="100">
        <v>0</v>
      </c>
      <c r="U378" s="100">
        <v>0</v>
      </c>
      <c r="V378" s="100">
        <v>0</v>
      </c>
      <c r="W378" s="100">
        <v>0</v>
      </c>
      <c r="X378" s="45" t="s">
        <v>56</v>
      </c>
      <c r="Y378" s="49">
        <v>0.96</v>
      </c>
      <c r="Z378" s="45">
        <v>520</v>
      </c>
      <c r="AA378" s="45">
        <v>0</v>
      </c>
      <c r="AB378" s="45">
        <v>0</v>
      </c>
      <c r="AC378" s="45">
        <v>0</v>
      </c>
      <c r="AD378" s="45">
        <v>0</v>
      </c>
      <c r="AE378" s="45">
        <v>0</v>
      </c>
      <c r="AF378" s="45">
        <v>0</v>
      </c>
      <c r="AG378" s="45">
        <v>0</v>
      </c>
      <c r="AH378" s="45">
        <v>0</v>
      </c>
      <c r="AI378" s="45">
        <v>0</v>
      </c>
      <c r="AJ378" s="45">
        <v>0</v>
      </c>
      <c r="AK378" s="45">
        <v>0</v>
      </c>
      <c r="AL378" s="45">
        <v>0</v>
      </c>
      <c r="AM378" s="45">
        <v>0</v>
      </c>
      <c r="AN378" s="45">
        <v>0</v>
      </c>
      <c r="AO378" s="45"/>
      <c r="AP378" s="45"/>
      <c r="AQ378" s="45"/>
      <c r="AR378" s="45"/>
      <c r="AS378" s="45"/>
      <c r="AT378" s="45"/>
      <c r="AU378" s="45"/>
      <c r="AV378" s="45"/>
      <c r="AW378" s="45"/>
      <c r="AX378" s="45"/>
      <c r="AY378" s="45"/>
      <c r="AZ378" s="45"/>
      <c r="BA378" s="45"/>
      <c r="BB378" s="45"/>
      <c r="BC378" s="45"/>
      <c r="BD378" s="93"/>
      <c r="BE378" s="93"/>
      <c r="BF378" s="93"/>
      <c r="BG378" s="93"/>
      <c r="BH378" s="93"/>
      <c r="BI378" s="93"/>
      <c r="BJ378" s="93"/>
      <c r="BK378" s="93">
        <f>SUM($Z378:AD378)-SUM($CM378:CQ378)</f>
        <v>488</v>
      </c>
      <c r="BL378" s="93">
        <f>SUM($Z378:AE378)-SUM($CM378:CR378)</f>
        <v>456</v>
      </c>
      <c r="BM378" s="93">
        <f>SUM($Z378:AF378)-SUM($CM378:CS378)</f>
        <v>424</v>
      </c>
      <c r="BN378" s="93">
        <f>SUM($Z378:AG378)-SUM($CM378:CT378)</f>
        <v>392</v>
      </c>
      <c r="BO378" s="93">
        <f>SUM($Z378:AH378)-SUM($CM378:CU378)</f>
        <v>360</v>
      </c>
      <c r="BP378" s="93">
        <f>SUM($Z378:AI378)-SUM($CM378:CV378)</f>
        <v>328</v>
      </c>
      <c r="BQ378" s="93">
        <f>SUM($Z378:AJ378)-SUM($CM378:CW378)</f>
        <v>296</v>
      </c>
      <c r="BR378" s="93">
        <f>SUM($Z378:AK378)-SUM($CM378:CX378)</f>
        <v>264</v>
      </c>
      <c r="BS378" s="93">
        <f>SUM($Z378:AL378)-SUM($CM378:CY378)</f>
        <v>232</v>
      </c>
      <c r="BT378" s="93">
        <f>SUM($Z378:AM378)-SUM($CM378:CZ378)</f>
        <v>200</v>
      </c>
      <c r="BU378" s="93">
        <f>SUM($Z378:AN378)-SUM($CM378:DA378)</f>
        <v>168</v>
      </c>
      <c r="BV378" s="93">
        <f>SUM($Z378:AO378)-SUM($CM378:DB378)</f>
        <v>136</v>
      </c>
      <c r="BW378" s="93">
        <f>SUM($Z378:AP378)-SUM($CM378:DC378)</f>
        <v>112</v>
      </c>
      <c r="BX378" s="93">
        <f>SUM($Z378:AQ378)-SUM($CM378:DD378)</f>
        <v>112</v>
      </c>
      <c r="BY378" s="93">
        <f>SUM($Z378:AR378)-SUM($CM378:DE378)</f>
        <v>112</v>
      </c>
      <c r="BZ378" s="93">
        <f>SUM($Z378:AS378)-SUM($CM378:DF378)</f>
        <v>112</v>
      </c>
      <c r="CA378" s="93">
        <f>SUM($Z378:AT378)-SUM($CM378:DG378)</f>
        <v>112</v>
      </c>
      <c r="CB378" s="93">
        <f>SUM($Z378:AU378)-SUM($CM378:DH378)</f>
        <v>112</v>
      </c>
      <c r="CC378" s="93">
        <f>SUM($Z378:AV378)-SUM($CM378:DI378)</f>
        <v>112</v>
      </c>
      <c r="CD378" s="93">
        <f>SUM($Z378:AW378)-SUM($CM378:DJ378)</f>
        <v>112</v>
      </c>
      <c r="CE378" s="93">
        <f>SUM($Z378:AX378)-SUM($CM378:DK378)</f>
        <v>112</v>
      </c>
      <c r="CF378" s="93">
        <f>SUM($Z378:AY378)-SUM($CM378:DL378)</f>
        <v>112</v>
      </c>
      <c r="CG378" s="93">
        <f>SUM($Z378:AZ378)-SUM($CM378:DM378)</f>
        <v>112</v>
      </c>
      <c r="CH378" s="93">
        <f>SUM($Z378:BA378)-SUM($CM378:DN378)</f>
        <v>112</v>
      </c>
      <c r="CI378" s="93">
        <f>SUM($Z378:BB378)-SUM($CM378:DO378)</f>
        <v>112</v>
      </c>
      <c r="CJ378" s="93"/>
      <c r="CK378" s="93"/>
      <c r="CL378" s="93"/>
      <c r="CM378" s="93"/>
      <c r="CN378" s="93" cm="1">
        <f t="array" ref="CN378">SUMPRODUCT(TRANSPOSE(CN$4:CN$20),$G378:$W378)</f>
        <v>0</v>
      </c>
      <c r="CO378" s="93" cm="1">
        <f t="array" ref="CO378">SUMPRODUCT(TRANSPOSE(CO$4:CO$20),$G378:$W378)</f>
        <v>0</v>
      </c>
      <c r="CP378" s="93" cm="1">
        <f t="array" ref="CP378">SUMPRODUCT(TRANSPOSE(CP$4:CP$20),$G378:$W378)</f>
        <v>0</v>
      </c>
      <c r="CQ378" s="93" cm="1">
        <f t="array" ref="CQ378">SUMPRODUCT(TRANSPOSE(CQ$4:CQ$20),$G378:$W378)</f>
        <v>32</v>
      </c>
      <c r="CR378" s="93" cm="1">
        <f t="array" ref="CR378">SUMPRODUCT(TRANSPOSE(CR$4:CR$20),$G378:$W378)</f>
        <v>32</v>
      </c>
      <c r="CS378" s="93" cm="1">
        <f t="array" ref="CS378">SUMPRODUCT(TRANSPOSE(CS$4:CS$20),$G378:$W378)</f>
        <v>32</v>
      </c>
      <c r="CT378" s="93" cm="1">
        <f t="array" ref="CT378">SUMPRODUCT(TRANSPOSE(CT$4:CT$20),$G378:$W378)</f>
        <v>32</v>
      </c>
      <c r="CU378" s="93" cm="1">
        <f t="array" ref="CU378">SUMPRODUCT(TRANSPOSE(CU$4:CU$20),$G378:$W378)</f>
        <v>32</v>
      </c>
      <c r="CV378" s="93" cm="1">
        <f t="array" ref="CV378">SUMPRODUCT(TRANSPOSE(CV$4:CV$20),$G378:$W378)</f>
        <v>32</v>
      </c>
      <c r="CW378" s="93" cm="1">
        <f t="array" ref="CW378">SUMPRODUCT(TRANSPOSE(CW$4:CW$20),$G378:$W378)</f>
        <v>32</v>
      </c>
      <c r="CX378" s="93" cm="1">
        <f t="array" ref="CX378">SUMPRODUCT(TRANSPOSE(CX$4:CX$20),$G378:$W378)</f>
        <v>32</v>
      </c>
      <c r="CY378" s="93" cm="1">
        <f t="array" ref="CY378">SUMPRODUCT(TRANSPOSE(CY$4:CY$20),$G378:$W378)</f>
        <v>32</v>
      </c>
      <c r="CZ378" s="93" cm="1">
        <f t="array" ref="CZ378">SUMPRODUCT(TRANSPOSE(CZ$4:CZ$20),$G378:$W378)</f>
        <v>32</v>
      </c>
      <c r="DA378" s="93" cm="1">
        <f t="array" ref="DA378">SUMPRODUCT(TRANSPOSE(DA$4:DA$20),$G378:$W378)</f>
        <v>32</v>
      </c>
      <c r="DB378" s="93" cm="1">
        <f t="array" ref="DB378">SUMPRODUCT(TRANSPOSE(DB$4:DB$20),$G378:$W378)</f>
        <v>32</v>
      </c>
      <c r="DC378" s="93" cm="1">
        <f t="array" ref="DC378">SUMPRODUCT(TRANSPOSE(DC$4:DC$20),$G378:$W378)</f>
        <v>24</v>
      </c>
      <c r="DD378" s="93" cm="1">
        <f t="array" ref="DD378">SUMPRODUCT(TRANSPOSE(DD$4:DD$20),$G378:$W378)</f>
        <v>0</v>
      </c>
      <c r="DE378" s="93" cm="1">
        <f t="array" ref="DE378">SUMPRODUCT(TRANSPOSE(DE$4:DE$20),$G378:$W378)</f>
        <v>0</v>
      </c>
      <c r="DF378" s="93" cm="1">
        <f t="array" ref="DF378">SUMPRODUCT(TRANSPOSE(DF$4:DF$20),$G378:$W378)</f>
        <v>0</v>
      </c>
      <c r="DG378" s="93" cm="1">
        <f t="array" ref="DG378">SUMPRODUCT(TRANSPOSE(DG$4:DG$20),$G378:$W378)</f>
        <v>0</v>
      </c>
      <c r="DH378" s="93" cm="1">
        <f t="array" ref="DH378">SUMPRODUCT(TRANSPOSE(DH$4:DH$20),$G378:$W378)</f>
        <v>0</v>
      </c>
      <c r="DI378" s="93" cm="1">
        <f t="array" ref="DI378">SUMPRODUCT(TRANSPOSE(DI$4:DI$20),$G378:$W378)</f>
        <v>0</v>
      </c>
      <c r="DJ378" s="93" cm="1">
        <f t="array" ref="DJ378">SUMPRODUCT(TRANSPOSE(DJ$4:DJ$20),$G378:$W378)</f>
        <v>0</v>
      </c>
      <c r="DK378" s="93" cm="1">
        <f t="array" ref="DK378">SUMPRODUCT(TRANSPOSE(DK$4:DK$20),$G378:$W378)</f>
        <v>0</v>
      </c>
      <c r="DL378" s="93" cm="1">
        <f t="array" ref="DL378">SUMPRODUCT(TRANSPOSE(DL$4:DL$20),$G378:$W378)</f>
        <v>0</v>
      </c>
      <c r="DM378" s="93" cm="1">
        <f t="array" ref="DM378">SUMPRODUCT(TRANSPOSE(DM$4:DM$20),$G378:$W378)</f>
        <v>0</v>
      </c>
      <c r="DN378" s="93" cm="1">
        <f t="array" ref="DN378">SUMPRODUCT(TRANSPOSE(DN$4:DN$20),$G378:$W378)</f>
        <v>0</v>
      </c>
      <c r="DO378" s="93" cm="1">
        <f t="array" ref="DO378">SUMPRODUCT(TRANSPOSE(DO$4:DO$20),$G378:$W378)</f>
        <v>0</v>
      </c>
    </row>
    <row r="379" spans="1:119" x14ac:dyDescent="0.2">
      <c r="A379" s="45">
        <f t="shared" si="31"/>
        <v>358</v>
      </c>
      <c r="B379" s="71" t="s">
        <v>826</v>
      </c>
      <c r="C379" s="45">
        <v>401415926</v>
      </c>
      <c r="D379" s="45" t="s">
        <v>810</v>
      </c>
      <c r="E379" s="45" t="s">
        <v>162</v>
      </c>
      <c r="F379" s="48">
        <v>2</v>
      </c>
      <c r="G379" s="100">
        <v>0</v>
      </c>
      <c r="H379" s="100">
        <v>0</v>
      </c>
      <c r="I379" s="100">
        <v>2</v>
      </c>
      <c r="J379" s="100">
        <v>0</v>
      </c>
      <c r="K379" s="100">
        <v>2</v>
      </c>
      <c r="L379" s="100">
        <v>0</v>
      </c>
      <c r="M379" s="100">
        <v>0</v>
      </c>
      <c r="N379" s="100">
        <v>0</v>
      </c>
      <c r="O379" s="100">
        <v>0</v>
      </c>
      <c r="P379" s="100">
        <v>0</v>
      </c>
      <c r="Q379" s="100">
        <v>0</v>
      </c>
      <c r="R379" s="100">
        <v>0</v>
      </c>
      <c r="S379" s="100">
        <v>0</v>
      </c>
      <c r="T379" s="100">
        <v>0</v>
      </c>
      <c r="U379" s="100">
        <v>0</v>
      </c>
      <c r="V379" s="100">
        <v>0</v>
      </c>
      <c r="W379" s="100">
        <v>0</v>
      </c>
      <c r="X379" s="45" t="s">
        <v>56</v>
      </c>
      <c r="Y379" s="49">
        <v>1.9</v>
      </c>
      <c r="Z379" s="45">
        <v>520</v>
      </c>
      <c r="AA379" s="45">
        <v>0</v>
      </c>
      <c r="AB379" s="45">
        <v>0</v>
      </c>
      <c r="AC379" s="45">
        <v>0</v>
      </c>
      <c r="AD379" s="45">
        <v>0</v>
      </c>
      <c r="AE379" s="45">
        <v>0</v>
      </c>
      <c r="AF379" s="45">
        <v>0</v>
      </c>
      <c r="AG379" s="45">
        <v>0</v>
      </c>
      <c r="AH379" s="45">
        <v>0</v>
      </c>
      <c r="AI379" s="45">
        <v>0</v>
      </c>
      <c r="AJ379" s="45">
        <v>0</v>
      </c>
      <c r="AK379" s="45">
        <v>0</v>
      </c>
      <c r="AL379" s="45">
        <v>0</v>
      </c>
      <c r="AM379" s="45">
        <v>0</v>
      </c>
      <c r="AN379" s="45">
        <v>0</v>
      </c>
      <c r="AO379" s="45"/>
      <c r="AP379" s="45"/>
      <c r="AQ379" s="45"/>
      <c r="AR379" s="45"/>
      <c r="AS379" s="45"/>
      <c r="AT379" s="45"/>
      <c r="AU379" s="45"/>
      <c r="AV379" s="45"/>
      <c r="AW379" s="45"/>
      <c r="AX379" s="45"/>
      <c r="AY379" s="45"/>
      <c r="AZ379" s="45"/>
      <c r="BA379" s="45"/>
      <c r="BB379" s="45"/>
      <c r="BC379" s="45"/>
      <c r="BD379" s="93"/>
      <c r="BE379" s="93"/>
      <c r="BF379" s="93"/>
      <c r="BG379" s="93"/>
      <c r="BH379" s="93"/>
      <c r="BI379" s="93"/>
      <c r="BJ379" s="93"/>
      <c r="BK379" s="93">
        <f>SUM($Z379:AD379)-SUM($CM379:CQ379)</f>
        <v>488</v>
      </c>
      <c r="BL379" s="93">
        <f>SUM($Z379:AE379)-SUM($CM379:CR379)</f>
        <v>456</v>
      </c>
      <c r="BM379" s="93">
        <f>SUM($Z379:AF379)-SUM($CM379:CS379)</f>
        <v>424</v>
      </c>
      <c r="BN379" s="93">
        <f>SUM($Z379:AG379)-SUM($CM379:CT379)</f>
        <v>392</v>
      </c>
      <c r="BO379" s="93">
        <f>SUM($Z379:AH379)-SUM($CM379:CU379)</f>
        <v>360</v>
      </c>
      <c r="BP379" s="93">
        <f>SUM($Z379:AI379)-SUM($CM379:CV379)</f>
        <v>328</v>
      </c>
      <c r="BQ379" s="93">
        <f>SUM($Z379:AJ379)-SUM($CM379:CW379)</f>
        <v>296</v>
      </c>
      <c r="BR379" s="93">
        <f>SUM($Z379:AK379)-SUM($CM379:CX379)</f>
        <v>264</v>
      </c>
      <c r="BS379" s="93">
        <f>SUM($Z379:AL379)-SUM($CM379:CY379)</f>
        <v>232</v>
      </c>
      <c r="BT379" s="93">
        <f>SUM($Z379:AM379)-SUM($CM379:CZ379)</f>
        <v>200</v>
      </c>
      <c r="BU379" s="93">
        <f>SUM($Z379:AN379)-SUM($CM379:DA379)</f>
        <v>168</v>
      </c>
      <c r="BV379" s="93">
        <f>SUM($Z379:AO379)-SUM($CM379:DB379)</f>
        <v>136</v>
      </c>
      <c r="BW379" s="93">
        <f>SUM($Z379:AP379)-SUM($CM379:DC379)</f>
        <v>112</v>
      </c>
      <c r="BX379" s="93">
        <f>SUM($Z379:AQ379)-SUM($CM379:DD379)</f>
        <v>112</v>
      </c>
      <c r="BY379" s="93">
        <f>SUM($Z379:AR379)-SUM($CM379:DE379)</f>
        <v>112</v>
      </c>
      <c r="BZ379" s="93">
        <f>SUM($Z379:AS379)-SUM($CM379:DF379)</f>
        <v>112</v>
      </c>
      <c r="CA379" s="93">
        <f>SUM($Z379:AT379)-SUM($CM379:DG379)</f>
        <v>112</v>
      </c>
      <c r="CB379" s="93">
        <f>SUM($Z379:AU379)-SUM($CM379:DH379)</f>
        <v>112</v>
      </c>
      <c r="CC379" s="93">
        <f>SUM($Z379:AV379)-SUM($CM379:DI379)</f>
        <v>112</v>
      </c>
      <c r="CD379" s="93">
        <f>SUM($Z379:AW379)-SUM($CM379:DJ379)</f>
        <v>112</v>
      </c>
      <c r="CE379" s="93">
        <f>SUM($Z379:AX379)-SUM($CM379:DK379)</f>
        <v>112</v>
      </c>
      <c r="CF379" s="93">
        <f>SUM($Z379:AY379)-SUM($CM379:DL379)</f>
        <v>112</v>
      </c>
      <c r="CG379" s="93">
        <f>SUM($Z379:AZ379)-SUM($CM379:DM379)</f>
        <v>112</v>
      </c>
      <c r="CH379" s="93">
        <f>SUM($Z379:BA379)-SUM($CM379:DN379)</f>
        <v>112</v>
      </c>
      <c r="CI379" s="93">
        <f>SUM($Z379:BB379)-SUM($CM379:DO379)</f>
        <v>112</v>
      </c>
      <c r="CJ379" s="93"/>
      <c r="CK379" s="93"/>
      <c r="CL379" s="93"/>
      <c r="CM379" s="93"/>
      <c r="CN379" s="93" cm="1">
        <f t="array" ref="CN379">SUMPRODUCT(TRANSPOSE(CN$4:CN$20),$G379:$W379)</f>
        <v>0</v>
      </c>
      <c r="CO379" s="93" cm="1">
        <f t="array" ref="CO379">SUMPRODUCT(TRANSPOSE(CO$4:CO$20),$G379:$W379)</f>
        <v>0</v>
      </c>
      <c r="CP379" s="93" cm="1">
        <f t="array" ref="CP379">SUMPRODUCT(TRANSPOSE(CP$4:CP$20),$G379:$W379)</f>
        <v>0</v>
      </c>
      <c r="CQ379" s="93" cm="1">
        <f t="array" ref="CQ379">SUMPRODUCT(TRANSPOSE(CQ$4:CQ$20),$G379:$W379)</f>
        <v>32</v>
      </c>
      <c r="CR379" s="93" cm="1">
        <f t="array" ref="CR379">SUMPRODUCT(TRANSPOSE(CR$4:CR$20),$G379:$W379)</f>
        <v>32</v>
      </c>
      <c r="CS379" s="93" cm="1">
        <f t="array" ref="CS379">SUMPRODUCT(TRANSPOSE(CS$4:CS$20),$G379:$W379)</f>
        <v>32</v>
      </c>
      <c r="CT379" s="93" cm="1">
        <f t="array" ref="CT379">SUMPRODUCT(TRANSPOSE(CT$4:CT$20),$G379:$W379)</f>
        <v>32</v>
      </c>
      <c r="CU379" s="93" cm="1">
        <f t="array" ref="CU379">SUMPRODUCT(TRANSPOSE(CU$4:CU$20),$G379:$W379)</f>
        <v>32</v>
      </c>
      <c r="CV379" s="93" cm="1">
        <f t="array" ref="CV379">SUMPRODUCT(TRANSPOSE(CV$4:CV$20),$G379:$W379)</f>
        <v>32</v>
      </c>
      <c r="CW379" s="93" cm="1">
        <f t="array" ref="CW379">SUMPRODUCT(TRANSPOSE(CW$4:CW$20),$G379:$W379)</f>
        <v>32</v>
      </c>
      <c r="CX379" s="93" cm="1">
        <f t="array" ref="CX379">SUMPRODUCT(TRANSPOSE(CX$4:CX$20),$G379:$W379)</f>
        <v>32</v>
      </c>
      <c r="CY379" s="93" cm="1">
        <f t="array" ref="CY379">SUMPRODUCT(TRANSPOSE(CY$4:CY$20),$G379:$W379)</f>
        <v>32</v>
      </c>
      <c r="CZ379" s="93" cm="1">
        <f t="array" ref="CZ379">SUMPRODUCT(TRANSPOSE(CZ$4:CZ$20),$G379:$W379)</f>
        <v>32</v>
      </c>
      <c r="DA379" s="93" cm="1">
        <f t="array" ref="DA379">SUMPRODUCT(TRANSPOSE(DA$4:DA$20),$G379:$W379)</f>
        <v>32</v>
      </c>
      <c r="DB379" s="93" cm="1">
        <f t="array" ref="DB379">SUMPRODUCT(TRANSPOSE(DB$4:DB$20),$G379:$W379)</f>
        <v>32</v>
      </c>
      <c r="DC379" s="93" cm="1">
        <f t="array" ref="DC379">SUMPRODUCT(TRANSPOSE(DC$4:DC$20),$G379:$W379)</f>
        <v>24</v>
      </c>
      <c r="DD379" s="93" cm="1">
        <f t="array" ref="DD379">SUMPRODUCT(TRANSPOSE(DD$4:DD$20),$G379:$W379)</f>
        <v>0</v>
      </c>
      <c r="DE379" s="93" cm="1">
        <f t="array" ref="DE379">SUMPRODUCT(TRANSPOSE(DE$4:DE$20),$G379:$W379)</f>
        <v>0</v>
      </c>
      <c r="DF379" s="93" cm="1">
        <f t="array" ref="DF379">SUMPRODUCT(TRANSPOSE(DF$4:DF$20),$G379:$W379)</f>
        <v>0</v>
      </c>
      <c r="DG379" s="93" cm="1">
        <f t="array" ref="DG379">SUMPRODUCT(TRANSPOSE(DG$4:DG$20),$G379:$W379)</f>
        <v>0</v>
      </c>
      <c r="DH379" s="93" cm="1">
        <f t="array" ref="DH379">SUMPRODUCT(TRANSPOSE(DH$4:DH$20),$G379:$W379)</f>
        <v>0</v>
      </c>
      <c r="DI379" s="93" cm="1">
        <f t="array" ref="DI379">SUMPRODUCT(TRANSPOSE(DI$4:DI$20),$G379:$W379)</f>
        <v>0</v>
      </c>
      <c r="DJ379" s="93" cm="1">
        <f t="array" ref="DJ379">SUMPRODUCT(TRANSPOSE(DJ$4:DJ$20),$G379:$W379)</f>
        <v>0</v>
      </c>
      <c r="DK379" s="93" cm="1">
        <f t="array" ref="DK379">SUMPRODUCT(TRANSPOSE(DK$4:DK$20),$G379:$W379)</f>
        <v>0</v>
      </c>
      <c r="DL379" s="93" cm="1">
        <f t="array" ref="DL379">SUMPRODUCT(TRANSPOSE(DL$4:DL$20),$G379:$W379)</f>
        <v>0</v>
      </c>
      <c r="DM379" s="93" cm="1">
        <f t="array" ref="DM379">SUMPRODUCT(TRANSPOSE(DM$4:DM$20),$G379:$W379)</f>
        <v>0</v>
      </c>
      <c r="DN379" s="93" cm="1">
        <f t="array" ref="DN379">SUMPRODUCT(TRANSPOSE(DN$4:DN$20),$G379:$W379)</f>
        <v>0</v>
      </c>
      <c r="DO379" s="93" cm="1">
        <f t="array" ref="DO379">SUMPRODUCT(TRANSPOSE(DO$4:DO$20),$G379:$W379)</f>
        <v>0</v>
      </c>
    </row>
    <row r="380" spans="1:119" x14ac:dyDescent="0.2">
      <c r="A380" s="45">
        <f t="shared" si="31"/>
        <v>359</v>
      </c>
      <c r="B380" s="71" t="s">
        <v>827</v>
      </c>
      <c r="C380" s="45">
        <v>401424465</v>
      </c>
      <c r="D380" s="45" t="s">
        <v>810</v>
      </c>
      <c r="E380" s="45" t="s">
        <v>162</v>
      </c>
      <c r="F380" s="48">
        <v>1</v>
      </c>
      <c r="G380" s="100">
        <v>0</v>
      </c>
      <c r="H380" s="100">
        <v>0</v>
      </c>
      <c r="I380" s="100">
        <v>1</v>
      </c>
      <c r="J380" s="100">
        <v>0</v>
      </c>
      <c r="K380" s="100">
        <v>0</v>
      </c>
      <c r="L380" s="100">
        <v>0</v>
      </c>
      <c r="M380" s="100">
        <v>0</v>
      </c>
      <c r="N380" s="100">
        <v>0</v>
      </c>
      <c r="O380" s="100">
        <v>0</v>
      </c>
      <c r="P380" s="100">
        <v>0</v>
      </c>
      <c r="Q380" s="100">
        <v>0</v>
      </c>
      <c r="R380" s="100">
        <v>0</v>
      </c>
      <c r="S380" s="100">
        <v>0</v>
      </c>
      <c r="T380" s="100">
        <v>0</v>
      </c>
      <c r="U380" s="100">
        <v>0</v>
      </c>
      <c r="V380" s="100">
        <v>0</v>
      </c>
      <c r="W380" s="100">
        <v>0</v>
      </c>
      <c r="X380" s="45" t="s">
        <v>56</v>
      </c>
      <c r="Y380" s="49">
        <v>2.2999999999999998</v>
      </c>
      <c r="Z380" s="45">
        <v>130</v>
      </c>
      <c r="AA380" s="45">
        <v>0</v>
      </c>
      <c r="AB380" s="45">
        <v>0</v>
      </c>
      <c r="AC380" s="45">
        <v>0</v>
      </c>
      <c r="AD380" s="45">
        <v>0</v>
      </c>
      <c r="AE380" s="45">
        <v>0</v>
      </c>
      <c r="AF380" s="45">
        <v>0</v>
      </c>
      <c r="AG380" s="45">
        <v>0</v>
      </c>
      <c r="AH380" s="45">
        <v>0</v>
      </c>
      <c r="AI380" s="45">
        <v>0</v>
      </c>
      <c r="AJ380" s="45">
        <v>0</v>
      </c>
      <c r="AK380" s="45">
        <v>0</v>
      </c>
      <c r="AL380" s="45">
        <v>0</v>
      </c>
      <c r="AM380" s="45">
        <v>0</v>
      </c>
      <c r="AN380" s="45">
        <v>0</v>
      </c>
      <c r="AO380" s="45"/>
      <c r="AP380" s="45"/>
      <c r="AQ380" s="45"/>
      <c r="AR380" s="45"/>
      <c r="AS380" s="45"/>
      <c r="AT380" s="45"/>
      <c r="AU380" s="45"/>
      <c r="AV380" s="45"/>
      <c r="AW380" s="45"/>
      <c r="AX380" s="45"/>
      <c r="AY380" s="45"/>
      <c r="AZ380" s="45"/>
      <c r="BA380" s="45"/>
      <c r="BB380" s="45"/>
      <c r="BC380" s="45"/>
      <c r="BD380" s="93"/>
      <c r="BE380" s="93"/>
      <c r="BF380" s="93"/>
      <c r="BG380" s="93"/>
      <c r="BH380" s="93"/>
      <c r="BI380" s="93"/>
      <c r="BJ380" s="93"/>
      <c r="BK380" s="93">
        <f>SUM($Z380:AD380)-SUM($CM380:CQ380)</f>
        <v>122</v>
      </c>
      <c r="BL380" s="93">
        <f>SUM($Z380:AE380)-SUM($CM380:CR380)</f>
        <v>114</v>
      </c>
      <c r="BM380" s="93">
        <f>SUM($Z380:AF380)-SUM($CM380:CS380)</f>
        <v>106</v>
      </c>
      <c r="BN380" s="93">
        <f>SUM($Z380:AG380)-SUM($CM380:CT380)</f>
        <v>98</v>
      </c>
      <c r="BO380" s="93">
        <f>SUM($Z380:AH380)-SUM($CM380:CU380)</f>
        <v>90</v>
      </c>
      <c r="BP380" s="93">
        <f>SUM($Z380:AI380)-SUM($CM380:CV380)</f>
        <v>82</v>
      </c>
      <c r="BQ380" s="93">
        <f>SUM($Z380:AJ380)-SUM($CM380:CW380)</f>
        <v>74</v>
      </c>
      <c r="BR380" s="93">
        <f>SUM($Z380:AK380)-SUM($CM380:CX380)</f>
        <v>66</v>
      </c>
      <c r="BS380" s="93">
        <f>SUM($Z380:AL380)-SUM($CM380:CY380)</f>
        <v>58</v>
      </c>
      <c r="BT380" s="93">
        <f>SUM($Z380:AM380)-SUM($CM380:CZ380)</f>
        <v>50</v>
      </c>
      <c r="BU380" s="93">
        <f>SUM($Z380:AN380)-SUM($CM380:DA380)</f>
        <v>42</v>
      </c>
      <c r="BV380" s="93">
        <f>SUM($Z380:AO380)-SUM($CM380:DB380)</f>
        <v>34</v>
      </c>
      <c r="BW380" s="93">
        <f>SUM($Z380:AP380)-SUM($CM380:DC380)</f>
        <v>28</v>
      </c>
      <c r="BX380" s="93">
        <f>SUM($Z380:AQ380)-SUM($CM380:DD380)</f>
        <v>28</v>
      </c>
      <c r="BY380" s="93">
        <f>SUM($Z380:AR380)-SUM($CM380:DE380)</f>
        <v>28</v>
      </c>
      <c r="BZ380" s="93">
        <f>SUM($Z380:AS380)-SUM($CM380:DF380)</f>
        <v>28</v>
      </c>
      <c r="CA380" s="93">
        <f>SUM($Z380:AT380)-SUM($CM380:DG380)</f>
        <v>28</v>
      </c>
      <c r="CB380" s="93">
        <f>SUM($Z380:AU380)-SUM($CM380:DH380)</f>
        <v>28</v>
      </c>
      <c r="CC380" s="93">
        <f>SUM($Z380:AV380)-SUM($CM380:DI380)</f>
        <v>28</v>
      </c>
      <c r="CD380" s="93">
        <f>SUM($Z380:AW380)-SUM($CM380:DJ380)</f>
        <v>28</v>
      </c>
      <c r="CE380" s="93">
        <f>SUM($Z380:AX380)-SUM($CM380:DK380)</f>
        <v>28</v>
      </c>
      <c r="CF380" s="93">
        <f>SUM($Z380:AY380)-SUM($CM380:DL380)</f>
        <v>28</v>
      </c>
      <c r="CG380" s="93">
        <f>SUM($Z380:AZ380)-SUM($CM380:DM380)</f>
        <v>28</v>
      </c>
      <c r="CH380" s="93">
        <f>SUM($Z380:BA380)-SUM($CM380:DN380)</f>
        <v>28</v>
      </c>
      <c r="CI380" s="93">
        <f>SUM($Z380:BB380)-SUM($CM380:DO380)</f>
        <v>28</v>
      </c>
      <c r="CJ380" s="93"/>
      <c r="CK380" s="93"/>
      <c r="CL380" s="93"/>
      <c r="CM380" s="93"/>
      <c r="CN380" s="93" cm="1">
        <f t="array" ref="CN380">SUMPRODUCT(TRANSPOSE(CN$4:CN$20),$G380:$W380)</f>
        <v>0</v>
      </c>
      <c r="CO380" s="93" cm="1">
        <f t="array" ref="CO380">SUMPRODUCT(TRANSPOSE(CO$4:CO$20),$G380:$W380)</f>
        <v>0</v>
      </c>
      <c r="CP380" s="93" cm="1">
        <f t="array" ref="CP380">SUMPRODUCT(TRANSPOSE(CP$4:CP$20),$G380:$W380)</f>
        <v>0</v>
      </c>
      <c r="CQ380" s="93" cm="1">
        <f t="array" ref="CQ380">SUMPRODUCT(TRANSPOSE(CQ$4:CQ$20),$G380:$W380)</f>
        <v>8</v>
      </c>
      <c r="CR380" s="93" cm="1">
        <f t="array" ref="CR380">SUMPRODUCT(TRANSPOSE(CR$4:CR$20),$G380:$W380)</f>
        <v>8</v>
      </c>
      <c r="CS380" s="93" cm="1">
        <f t="array" ref="CS380">SUMPRODUCT(TRANSPOSE(CS$4:CS$20),$G380:$W380)</f>
        <v>8</v>
      </c>
      <c r="CT380" s="93" cm="1">
        <f t="array" ref="CT380">SUMPRODUCT(TRANSPOSE(CT$4:CT$20),$G380:$W380)</f>
        <v>8</v>
      </c>
      <c r="CU380" s="93" cm="1">
        <f t="array" ref="CU380">SUMPRODUCT(TRANSPOSE(CU$4:CU$20),$G380:$W380)</f>
        <v>8</v>
      </c>
      <c r="CV380" s="93" cm="1">
        <f t="array" ref="CV380">SUMPRODUCT(TRANSPOSE(CV$4:CV$20),$G380:$W380)</f>
        <v>8</v>
      </c>
      <c r="CW380" s="93" cm="1">
        <f t="array" ref="CW380">SUMPRODUCT(TRANSPOSE(CW$4:CW$20),$G380:$W380)</f>
        <v>8</v>
      </c>
      <c r="CX380" s="93" cm="1">
        <f t="array" ref="CX380">SUMPRODUCT(TRANSPOSE(CX$4:CX$20),$G380:$W380)</f>
        <v>8</v>
      </c>
      <c r="CY380" s="93" cm="1">
        <f t="array" ref="CY380">SUMPRODUCT(TRANSPOSE(CY$4:CY$20),$G380:$W380)</f>
        <v>8</v>
      </c>
      <c r="CZ380" s="93" cm="1">
        <f t="array" ref="CZ380">SUMPRODUCT(TRANSPOSE(CZ$4:CZ$20),$G380:$W380)</f>
        <v>8</v>
      </c>
      <c r="DA380" s="93" cm="1">
        <f t="array" ref="DA380">SUMPRODUCT(TRANSPOSE(DA$4:DA$20),$G380:$W380)</f>
        <v>8</v>
      </c>
      <c r="DB380" s="93" cm="1">
        <f t="array" ref="DB380">SUMPRODUCT(TRANSPOSE(DB$4:DB$20),$G380:$W380)</f>
        <v>8</v>
      </c>
      <c r="DC380" s="93" cm="1">
        <f t="array" ref="DC380">SUMPRODUCT(TRANSPOSE(DC$4:DC$20),$G380:$W380)</f>
        <v>6</v>
      </c>
      <c r="DD380" s="93" cm="1">
        <f t="array" ref="DD380">SUMPRODUCT(TRANSPOSE(DD$4:DD$20),$G380:$W380)</f>
        <v>0</v>
      </c>
      <c r="DE380" s="93" cm="1">
        <f t="array" ref="DE380">SUMPRODUCT(TRANSPOSE(DE$4:DE$20),$G380:$W380)</f>
        <v>0</v>
      </c>
      <c r="DF380" s="93" cm="1">
        <f t="array" ref="DF380">SUMPRODUCT(TRANSPOSE(DF$4:DF$20),$G380:$W380)</f>
        <v>0</v>
      </c>
      <c r="DG380" s="93" cm="1">
        <f t="array" ref="DG380">SUMPRODUCT(TRANSPOSE(DG$4:DG$20),$G380:$W380)</f>
        <v>0</v>
      </c>
      <c r="DH380" s="93" cm="1">
        <f t="array" ref="DH380">SUMPRODUCT(TRANSPOSE(DH$4:DH$20),$G380:$W380)</f>
        <v>0</v>
      </c>
      <c r="DI380" s="93" cm="1">
        <f t="array" ref="DI380">SUMPRODUCT(TRANSPOSE(DI$4:DI$20),$G380:$W380)</f>
        <v>0</v>
      </c>
      <c r="DJ380" s="93" cm="1">
        <f t="array" ref="DJ380">SUMPRODUCT(TRANSPOSE(DJ$4:DJ$20),$G380:$W380)</f>
        <v>0</v>
      </c>
      <c r="DK380" s="93" cm="1">
        <f t="array" ref="DK380">SUMPRODUCT(TRANSPOSE(DK$4:DK$20),$G380:$W380)</f>
        <v>0</v>
      </c>
      <c r="DL380" s="93" cm="1">
        <f t="array" ref="DL380">SUMPRODUCT(TRANSPOSE(DL$4:DL$20),$G380:$W380)</f>
        <v>0</v>
      </c>
      <c r="DM380" s="93" cm="1">
        <f t="array" ref="DM380">SUMPRODUCT(TRANSPOSE(DM$4:DM$20),$G380:$W380)</f>
        <v>0</v>
      </c>
      <c r="DN380" s="93" cm="1">
        <f t="array" ref="DN380">SUMPRODUCT(TRANSPOSE(DN$4:DN$20),$G380:$W380)</f>
        <v>0</v>
      </c>
      <c r="DO380" s="93" cm="1">
        <f t="array" ref="DO380">SUMPRODUCT(TRANSPOSE(DO$4:DO$20),$G380:$W380)</f>
        <v>0</v>
      </c>
    </row>
    <row r="381" spans="1:119" x14ac:dyDescent="0.2">
      <c r="A381" s="45">
        <f t="shared" si="31"/>
        <v>360</v>
      </c>
      <c r="B381" s="64" t="s">
        <v>828</v>
      </c>
      <c r="C381" s="45">
        <v>401429709</v>
      </c>
      <c r="D381" s="45" t="s">
        <v>306</v>
      </c>
      <c r="E381" s="45" t="s">
        <v>162</v>
      </c>
      <c r="F381" s="48">
        <v>1</v>
      </c>
      <c r="G381" s="100">
        <v>0</v>
      </c>
      <c r="H381" s="100">
        <v>0</v>
      </c>
      <c r="I381" s="100">
        <v>2</v>
      </c>
      <c r="J381" s="100">
        <v>0</v>
      </c>
      <c r="K381" s="100">
        <v>2</v>
      </c>
      <c r="L381" s="100">
        <v>0</v>
      </c>
      <c r="M381" s="100">
        <v>0</v>
      </c>
      <c r="N381" s="100">
        <v>0</v>
      </c>
      <c r="O381" s="100">
        <v>0</v>
      </c>
      <c r="P381" s="100">
        <v>0</v>
      </c>
      <c r="Q381" s="100">
        <v>0</v>
      </c>
      <c r="R381" s="100">
        <v>0</v>
      </c>
      <c r="S381" s="100">
        <v>0</v>
      </c>
      <c r="T381" s="100">
        <v>0</v>
      </c>
      <c r="U381" s="100">
        <v>0</v>
      </c>
      <c r="V381" s="100">
        <v>0</v>
      </c>
      <c r="W381" s="100">
        <v>0</v>
      </c>
      <c r="X381" s="45" t="s">
        <v>50</v>
      </c>
      <c r="Y381" s="49">
        <v>2.7</v>
      </c>
      <c r="Z381" s="45">
        <v>520</v>
      </c>
      <c r="AA381" s="45">
        <v>0</v>
      </c>
      <c r="AB381" s="45">
        <v>0</v>
      </c>
      <c r="AC381" s="45">
        <v>0</v>
      </c>
      <c r="AD381" s="45">
        <v>0</v>
      </c>
      <c r="AE381" s="45">
        <v>0</v>
      </c>
      <c r="AF381" s="45">
        <v>0</v>
      </c>
      <c r="AG381" s="45">
        <v>0</v>
      </c>
      <c r="AH381" s="45">
        <v>0</v>
      </c>
      <c r="AI381" s="45">
        <v>0</v>
      </c>
      <c r="AJ381" s="45">
        <v>0</v>
      </c>
      <c r="AK381" s="45">
        <v>0</v>
      </c>
      <c r="AL381" s="45">
        <v>0</v>
      </c>
      <c r="AM381" s="45">
        <v>0</v>
      </c>
      <c r="AN381" s="45">
        <v>0</v>
      </c>
      <c r="AO381" s="45"/>
      <c r="AP381" s="45"/>
      <c r="AQ381" s="45"/>
      <c r="AR381" s="45"/>
      <c r="AS381" s="45"/>
      <c r="AT381" s="45"/>
      <c r="AU381" s="45"/>
      <c r="AV381" s="45"/>
      <c r="AW381" s="45"/>
      <c r="AX381" s="45"/>
      <c r="AY381" s="45"/>
      <c r="AZ381" s="45"/>
      <c r="BA381" s="45"/>
      <c r="BB381" s="45"/>
      <c r="BC381" s="45"/>
      <c r="BD381" s="93"/>
      <c r="BE381" s="93"/>
      <c r="BF381" s="93"/>
      <c r="BG381" s="93"/>
      <c r="BH381" s="93"/>
      <c r="BI381" s="93"/>
      <c r="BJ381" s="93"/>
      <c r="BK381" s="93">
        <f>SUM($Z381:AD381)-SUM($CM381:CQ381)</f>
        <v>488</v>
      </c>
      <c r="BL381" s="93">
        <f>SUM($Z381:AE381)-SUM($CM381:CR381)</f>
        <v>456</v>
      </c>
      <c r="BM381" s="93">
        <f>SUM($Z381:AF381)-SUM($CM381:CS381)</f>
        <v>424</v>
      </c>
      <c r="BN381" s="93">
        <f>SUM($Z381:AG381)-SUM($CM381:CT381)</f>
        <v>392</v>
      </c>
      <c r="BO381" s="93">
        <f>SUM($Z381:AH381)-SUM($CM381:CU381)</f>
        <v>360</v>
      </c>
      <c r="BP381" s="93">
        <f>SUM($Z381:AI381)-SUM($CM381:CV381)</f>
        <v>328</v>
      </c>
      <c r="BQ381" s="93">
        <f>SUM($Z381:AJ381)-SUM($CM381:CW381)</f>
        <v>296</v>
      </c>
      <c r="BR381" s="93">
        <f>SUM($Z381:AK381)-SUM($CM381:CX381)</f>
        <v>264</v>
      </c>
      <c r="BS381" s="93">
        <f>SUM($Z381:AL381)-SUM($CM381:CY381)</f>
        <v>232</v>
      </c>
      <c r="BT381" s="93">
        <f>SUM($Z381:AM381)-SUM($CM381:CZ381)</f>
        <v>200</v>
      </c>
      <c r="BU381" s="93">
        <f>SUM($Z381:AN381)-SUM($CM381:DA381)</f>
        <v>168</v>
      </c>
      <c r="BV381" s="93">
        <f>SUM($Z381:AO381)-SUM($CM381:DB381)</f>
        <v>136</v>
      </c>
      <c r="BW381" s="93">
        <f>SUM($Z381:AP381)-SUM($CM381:DC381)</f>
        <v>112</v>
      </c>
      <c r="BX381" s="93">
        <f>SUM($Z381:AQ381)-SUM($CM381:DD381)</f>
        <v>112</v>
      </c>
      <c r="BY381" s="93">
        <f>SUM($Z381:AR381)-SUM($CM381:DE381)</f>
        <v>112</v>
      </c>
      <c r="BZ381" s="93">
        <f>SUM($Z381:AS381)-SUM($CM381:DF381)</f>
        <v>112</v>
      </c>
      <c r="CA381" s="93">
        <f>SUM($Z381:AT381)-SUM($CM381:DG381)</f>
        <v>112</v>
      </c>
      <c r="CB381" s="93">
        <f>SUM($Z381:AU381)-SUM($CM381:DH381)</f>
        <v>112</v>
      </c>
      <c r="CC381" s="93">
        <f>SUM($Z381:AV381)-SUM($CM381:DI381)</f>
        <v>112</v>
      </c>
      <c r="CD381" s="93">
        <f>SUM($Z381:AW381)-SUM($CM381:DJ381)</f>
        <v>112</v>
      </c>
      <c r="CE381" s="93">
        <f>SUM($Z381:AX381)-SUM($CM381:DK381)</f>
        <v>112</v>
      </c>
      <c r="CF381" s="93">
        <f>SUM($Z381:AY381)-SUM($CM381:DL381)</f>
        <v>112</v>
      </c>
      <c r="CG381" s="93">
        <f>SUM($Z381:AZ381)-SUM($CM381:DM381)</f>
        <v>112</v>
      </c>
      <c r="CH381" s="93">
        <f>SUM($Z381:BA381)-SUM($CM381:DN381)</f>
        <v>112</v>
      </c>
      <c r="CI381" s="93">
        <f>SUM($Z381:BB381)-SUM($CM381:DO381)</f>
        <v>112</v>
      </c>
      <c r="CJ381" s="93"/>
      <c r="CK381" s="93"/>
      <c r="CL381" s="93"/>
      <c r="CM381" s="93"/>
      <c r="CN381" s="93" cm="1">
        <f t="array" ref="CN381">SUMPRODUCT(TRANSPOSE(CN$4:CN$20),$G381:$W381)</f>
        <v>0</v>
      </c>
      <c r="CO381" s="93" cm="1">
        <f t="array" ref="CO381">SUMPRODUCT(TRANSPOSE(CO$4:CO$20),$G381:$W381)</f>
        <v>0</v>
      </c>
      <c r="CP381" s="93" cm="1">
        <f t="array" ref="CP381">SUMPRODUCT(TRANSPOSE(CP$4:CP$20),$G381:$W381)</f>
        <v>0</v>
      </c>
      <c r="CQ381" s="93" cm="1">
        <f t="array" ref="CQ381">SUMPRODUCT(TRANSPOSE(CQ$4:CQ$20),$G381:$W381)</f>
        <v>32</v>
      </c>
      <c r="CR381" s="93" cm="1">
        <f t="array" ref="CR381">SUMPRODUCT(TRANSPOSE(CR$4:CR$20),$G381:$W381)</f>
        <v>32</v>
      </c>
      <c r="CS381" s="93" cm="1">
        <f t="array" ref="CS381">SUMPRODUCT(TRANSPOSE(CS$4:CS$20),$G381:$W381)</f>
        <v>32</v>
      </c>
      <c r="CT381" s="93" cm="1">
        <f t="array" ref="CT381">SUMPRODUCT(TRANSPOSE(CT$4:CT$20),$G381:$W381)</f>
        <v>32</v>
      </c>
      <c r="CU381" s="93" cm="1">
        <f t="array" ref="CU381">SUMPRODUCT(TRANSPOSE(CU$4:CU$20),$G381:$W381)</f>
        <v>32</v>
      </c>
      <c r="CV381" s="93" cm="1">
        <f t="array" ref="CV381">SUMPRODUCT(TRANSPOSE(CV$4:CV$20),$G381:$W381)</f>
        <v>32</v>
      </c>
      <c r="CW381" s="93" cm="1">
        <f t="array" ref="CW381">SUMPRODUCT(TRANSPOSE(CW$4:CW$20),$G381:$W381)</f>
        <v>32</v>
      </c>
      <c r="CX381" s="93" cm="1">
        <f t="array" ref="CX381">SUMPRODUCT(TRANSPOSE(CX$4:CX$20),$G381:$W381)</f>
        <v>32</v>
      </c>
      <c r="CY381" s="93" cm="1">
        <f t="array" ref="CY381">SUMPRODUCT(TRANSPOSE(CY$4:CY$20),$G381:$W381)</f>
        <v>32</v>
      </c>
      <c r="CZ381" s="93" cm="1">
        <f t="array" ref="CZ381">SUMPRODUCT(TRANSPOSE(CZ$4:CZ$20),$G381:$W381)</f>
        <v>32</v>
      </c>
      <c r="DA381" s="93" cm="1">
        <f t="array" ref="DA381">SUMPRODUCT(TRANSPOSE(DA$4:DA$20),$G381:$W381)</f>
        <v>32</v>
      </c>
      <c r="DB381" s="93" cm="1">
        <f t="array" ref="DB381">SUMPRODUCT(TRANSPOSE(DB$4:DB$20),$G381:$W381)</f>
        <v>32</v>
      </c>
      <c r="DC381" s="93" cm="1">
        <f t="array" ref="DC381">SUMPRODUCT(TRANSPOSE(DC$4:DC$20),$G381:$W381)</f>
        <v>24</v>
      </c>
      <c r="DD381" s="93" cm="1">
        <f t="array" ref="DD381">SUMPRODUCT(TRANSPOSE(DD$4:DD$20),$G381:$W381)</f>
        <v>0</v>
      </c>
      <c r="DE381" s="93" cm="1">
        <f t="array" ref="DE381">SUMPRODUCT(TRANSPOSE(DE$4:DE$20),$G381:$W381)</f>
        <v>0</v>
      </c>
      <c r="DF381" s="93" cm="1">
        <f t="array" ref="DF381">SUMPRODUCT(TRANSPOSE(DF$4:DF$20),$G381:$W381)</f>
        <v>0</v>
      </c>
      <c r="DG381" s="93" cm="1">
        <f t="array" ref="DG381">SUMPRODUCT(TRANSPOSE(DG$4:DG$20),$G381:$W381)</f>
        <v>0</v>
      </c>
      <c r="DH381" s="93" cm="1">
        <f t="array" ref="DH381">SUMPRODUCT(TRANSPOSE(DH$4:DH$20),$G381:$W381)</f>
        <v>0</v>
      </c>
      <c r="DI381" s="93" cm="1">
        <f t="array" ref="DI381">SUMPRODUCT(TRANSPOSE(DI$4:DI$20),$G381:$W381)</f>
        <v>0</v>
      </c>
      <c r="DJ381" s="93" cm="1">
        <f t="array" ref="DJ381">SUMPRODUCT(TRANSPOSE(DJ$4:DJ$20),$G381:$W381)</f>
        <v>0</v>
      </c>
      <c r="DK381" s="93" cm="1">
        <f t="array" ref="DK381">SUMPRODUCT(TRANSPOSE(DK$4:DK$20),$G381:$W381)</f>
        <v>0</v>
      </c>
      <c r="DL381" s="93" cm="1">
        <f t="array" ref="DL381">SUMPRODUCT(TRANSPOSE(DL$4:DL$20),$G381:$W381)</f>
        <v>0</v>
      </c>
      <c r="DM381" s="93" cm="1">
        <f t="array" ref="DM381">SUMPRODUCT(TRANSPOSE(DM$4:DM$20),$G381:$W381)</f>
        <v>0</v>
      </c>
      <c r="DN381" s="93" cm="1">
        <f t="array" ref="DN381">SUMPRODUCT(TRANSPOSE(DN$4:DN$20),$G381:$W381)</f>
        <v>0</v>
      </c>
      <c r="DO381" s="93" cm="1">
        <f t="array" ref="DO381">SUMPRODUCT(TRANSPOSE(DO$4:DO$20),$G381:$W381)</f>
        <v>0</v>
      </c>
    </row>
    <row r="382" spans="1:119" x14ac:dyDescent="0.2">
      <c r="A382" s="45">
        <f t="shared" si="31"/>
        <v>361</v>
      </c>
      <c r="B382" s="64" t="s">
        <v>829</v>
      </c>
      <c r="C382" s="45">
        <v>401429710</v>
      </c>
      <c r="D382" s="45" t="s">
        <v>306</v>
      </c>
      <c r="E382" s="45" t="s">
        <v>162</v>
      </c>
      <c r="F382" s="48">
        <v>1</v>
      </c>
      <c r="G382" s="100">
        <v>0</v>
      </c>
      <c r="H382" s="100">
        <v>0</v>
      </c>
      <c r="I382" s="100">
        <v>1</v>
      </c>
      <c r="J382" s="100">
        <v>0</v>
      </c>
      <c r="K382" s="100">
        <v>1</v>
      </c>
      <c r="L382" s="100">
        <v>0</v>
      </c>
      <c r="M382" s="100">
        <v>0</v>
      </c>
      <c r="N382" s="100">
        <v>0</v>
      </c>
      <c r="O382" s="100">
        <v>0</v>
      </c>
      <c r="P382" s="100">
        <v>0</v>
      </c>
      <c r="Q382" s="100">
        <v>0</v>
      </c>
      <c r="R382" s="100">
        <v>0</v>
      </c>
      <c r="S382" s="100">
        <v>0</v>
      </c>
      <c r="T382" s="100">
        <v>0</v>
      </c>
      <c r="U382" s="100">
        <v>0</v>
      </c>
      <c r="V382" s="100">
        <v>0</v>
      </c>
      <c r="W382" s="100">
        <v>0</v>
      </c>
      <c r="X382" s="45" t="s">
        <v>50</v>
      </c>
      <c r="Y382" s="49">
        <v>2.7</v>
      </c>
      <c r="Z382" s="45">
        <v>260</v>
      </c>
      <c r="AA382" s="45">
        <v>0</v>
      </c>
      <c r="AB382" s="45">
        <v>0</v>
      </c>
      <c r="AC382" s="45">
        <v>0</v>
      </c>
      <c r="AD382" s="45">
        <v>0</v>
      </c>
      <c r="AE382" s="45">
        <v>0</v>
      </c>
      <c r="AF382" s="45">
        <v>0</v>
      </c>
      <c r="AG382" s="45">
        <v>0</v>
      </c>
      <c r="AH382" s="45">
        <v>0</v>
      </c>
      <c r="AI382" s="45">
        <v>0</v>
      </c>
      <c r="AJ382" s="45">
        <v>0</v>
      </c>
      <c r="AK382" s="45">
        <v>0</v>
      </c>
      <c r="AL382" s="45">
        <v>0</v>
      </c>
      <c r="AM382" s="45">
        <v>0</v>
      </c>
      <c r="AN382" s="45">
        <v>0</v>
      </c>
      <c r="AO382" s="45"/>
      <c r="AP382" s="45"/>
      <c r="AQ382" s="45"/>
      <c r="AR382" s="45"/>
      <c r="AS382" s="45"/>
      <c r="AT382" s="45"/>
      <c r="AU382" s="45"/>
      <c r="AV382" s="45"/>
      <c r="AW382" s="45"/>
      <c r="AX382" s="45"/>
      <c r="AY382" s="45"/>
      <c r="AZ382" s="45"/>
      <c r="BA382" s="45"/>
      <c r="BB382" s="45"/>
      <c r="BC382" s="45"/>
      <c r="BD382" s="93"/>
      <c r="BE382" s="93"/>
      <c r="BF382" s="93"/>
      <c r="BG382" s="93"/>
      <c r="BH382" s="93"/>
      <c r="BI382" s="93"/>
      <c r="BJ382" s="93"/>
      <c r="BK382" s="93">
        <f>SUM($Z382:AD382)-SUM($CM382:CQ382)</f>
        <v>244</v>
      </c>
      <c r="BL382" s="93">
        <f>SUM($Z382:AE382)-SUM($CM382:CR382)</f>
        <v>228</v>
      </c>
      <c r="BM382" s="93">
        <f>SUM($Z382:AF382)-SUM($CM382:CS382)</f>
        <v>212</v>
      </c>
      <c r="BN382" s="93">
        <f>SUM($Z382:AG382)-SUM($CM382:CT382)</f>
        <v>196</v>
      </c>
      <c r="BO382" s="93">
        <f>SUM($Z382:AH382)-SUM($CM382:CU382)</f>
        <v>180</v>
      </c>
      <c r="BP382" s="93">
        <f>SUM($Z382:AI382)-SUM($CM382:CV382)</f>
        <v>164</v>
      </c>
      <c r="BQ382" s="93">
        <f>SUM($Z382:AJ382)-SUM($CM382:CW382)</f>
        <v>148</v>
      </c>
      <c r="BR382" s="93">
        <f>SUM($Z382:AK382)-SUM($CM382:CX382)</f>
        <v>132</v>
      </c>
      <c r="BS382" s="93">
        <f>SUM($Z382:AL382)-SUM($CM382:CY382)</f>
        <v>116</v>
      </c>
      <c r="BT382" s="93">
        <f>SUM($Z382:AM382)-SUM($CM382:CZ382)</f>
        <v>100</v>
      </c>
      <c r="BU382" s="93">
        <f>SUM($Z382:AN382)-SUM($CM382:DA382)</f>
        <v>84</v>
      </c>
      <c r="BV382" s="93">
        <f>SUM($Z382:AO382)-SUM($CM382:DB382)</f>
        <v>68</v>
      </c>
      <c r="BW382" s="93">
        <f>SUM($Z382:AP382)-SUM($CM382:DC382)</f>
        <v>56</v>
      </c>
      <c r="BX382" s="93">
        <f>SUM($Z382:AQ382)-SUM($CM382:DD382)</f>
        <v>56</v>
      </c>
      <c r="BY382" s="93">
        <f>SUM($Z382:AR382)-SUM($CM382:DE382)</f>
        <v>56</v>
      </c>
      <c r="BZ382" s="93">
        <f>SUM($Z382:AS382)-SUM($CM382:DF382)</f>
        <v>56</v>
      </c>
      <c r="CA382" s="93">
        <f>SUM($Z382:AT382)-SUM($CM382:DG382)</f>
        <v>56</v>
      </c>
      <c r="CB382" s="93">
        <f>SUM($Z382:AU382)-SUM($CM382:DH382)</f>
        <v>56</v>
      </c>
      <c r="CC382" s="93">
        <f>SUM($Z382:AV382)-SUM($CM382:DI382)</f>
        <v>56</v>
      </c>
      <c r="CD382" s="93">
        <f>SUM($Z382:AW382)-SUM($CM382:DJ382)</f>
        <v>56</v>
      </c>
      <c r="CE382" s="93">
        <f>SUM($Z382:AX382)-SUM($CM382:DK382)</f>
        <v>56</v>
      </c>
      <c r="CF382" s="93">
        <f>SUM($Z382:AY382)-SUM($CM382:DL382)</f>
        <v>56</v>
      </c>
      <c r="CG382" s="93">
        <f>SUM($Z382:AZ382)-SUM($CM382:DM382)</f>
        <v>56</v>
      </c>
      <c r="CH382" s="93">
        <f>SUM($Z382:BA382)-SUM($CM382:DN382)</f>
        <v>56</v>
      </c>
      <c r="CI382" s="93">
        <f>SUM($Z382:BB382)-SUM($CM382:DO382)</f>
        <v>56</v>
      </c>
      <c r="CJ382" s="93"/>
      <c r="CK382" s="93"/>
      <c r="CL382" s="93"/>
      <c r="CM382" s="93"/>
      <c r="CN382" s="93" cm="1">
        <f t="array" ref="CN382">SUMPRODUCT(TRANSPOSE(CN$4:CN$20),$G382:$W382)</f>
        <v>0</v>
      </c>
      <c r="CO382" s="93" cm="1">
        <f t="array" ref="CO382">SUMPRODUCT(TRANSPOSE(CO$4:CO$20),$G382:$W382)</f>
        <v>0</v>
      </c>
      <c r="CP382" s="93" cm="1">
        <f t="array" ref="CP382">SUMPRODUCT(TRANSPOSE(CP$4:CP$20),$G382:$W382)</f>
        <v>0</v>
      </c>
      <c r="CQ382" s="93" cm="1">
        <f t="array" ref="CQ382">SUMPRODUCT(TRANSPOSE(CQ$4:CQ$20),$G382:$W382)</f>
        <v>16</v>
      </c>
      <c r="CR382" s="93" cm="1">
        <f t="array" ref="CR382">SUMPRODUCT(TRANSPOSE(CR$4:CR$20),$G382:$W382)</f>
        <v>16</v>
      </c>
      <c r="CS382" s="93" cm="1">
        <f t="array" ref="CS382">SUMPRODUCT(TRANSPOSE(CS$4:CS$20),$G382:$W382)</f>
        <v>16</v>
      </c>
      <c r="CT382" s="93" cm="1">
        <f t="array" ref="CT382">SUMPRODUCT(TRANSPOSE(CT$4:CT$20),$G382:$W382)</f>
        <v>16</v>
      </c>
      <c r="CU382" s="93" cm="1">
        <f t="array" ref="CU382">SUMPRODUCT(TRANSPOSE(CU$4:CU$20),$G382:$W382)</f>
        <v>16</v>
      </c>
      <c r="CV382" s="93" cm="1">
        <f t="array" ref="CV382">SUMPRODUCT(TRANSPOSE(CV$4:CV$20),$G382:$W382)</f>
        <v>16</v>
      </c>
      <c r="CW382" s="93" cm="1">
        <f t="array" ref="CW382">SUMPRODUCT(TRANSPOSE(CW$4:CW$20),$G382:$W382)</f>
        <v>16</v>
      </c>
      <c r="CX382" s="93" cm="1">
        <f t="array" ref="CX382">SUMPRODUCT(TRANSPOSE(CX$4:CX$20),$G382:$W382)</f>
        <v>16</v>
      </c>
      <c r="CY382" s="93" cm="1">
        <f t="array" ref="CY382">SUMPRODUCT(TRANSPOSE(CY$4:CY$20),$G382:$W382)</f>
        <v>16</v>
      </c>
      <c r="CZ382" s="93" cm="1">
        <f t="array" ref="CZ382">SUMPRODUCT(TRANSPOSE(CZ$4:CZ$20),$G382:$W382)</f>
        <v>16</v>
      </c>
      <c r="DA382" s="93" cm="1">
        <f t="array" ref="DA382">SUMPRODUCT(TRANSPOSE(DA$4:DA$20),$G382:$W382)</f>
        <v>16</v>
      </c>
      <c r="DB382" s="93" cm="1">
        <f t="array" ref="DB382">SUMPRODUCT(TRANSPOSE(DB$4:DB$20),$G382:$W382)</f>
        <v>16</v>
      </c>
      <c r="DC382" s="93" cm="1">
        <f t="array" ref="DC382">SUMPRODUCT(TRANSPOSE(DC$4:DC$20),$G382:$W382)</f>
        <v>12</v>
      </c>
      <c r="DD382" s="93" cm="1">
        <f t="array" ref="DD382">SUMPRODUCT(TRANSPOSE(DD$4:DD$20),$G382:$W382)</f>
        <v>0</v>
      </c>
      <c r="DE382" s="93" cm="1">
        <f t="array" ref="DE382">SUMPRODUCT(TRANSPOSE(DE$4:DE$20),$G382:$W382)</f>
        <v>0</v>
      </c>
      <c r="DF382" s="93" cm="1">
        <f t="array" ref="DF382">SUMPRODUCT(TRANSPOSE(DF$4:DF$20),$G382:$W382)</f>
        <v>0</v>
      </c>
      <c r="DG382" s="93" cm="1">
        <f t="array" ref="DG382">SUMPRODUCT(TRANSPOSE(DG$4:DG$20),$G382:$W382)</f>
        <v>0</v>
      </c>
      <c r="DH382" s="93" cm="1">
        <f t="array" ref="DH382">SUMPRODUCT(TRANSPOSE(DH$4:DH$20),$G382:$W382)</f>
        <v>0</v>
      </c>
      <c r="DI382" s="93" cm="1">
        <f t="array" ref="DI382">SUMPRODUCT(TRANSPOSE(DI$4:DI$20),$G382:$W382)</f>
        <v>0</v>
      </c>
      <c r="DJ382" s="93" cm="1">
        <f t="array" ref="DJ382">SUMPRODUCT(TRANSPOSE(DJ$4:DJ$20),$G382:$W382)</f>
        <v>0</v>
      </c>
      <c r="DK382" s="93" cm="1">
        <f t="array" ref="DK382">SUMPRODUCT(TRANSPOSE(DK$4:DK$20),$G382:$W382)</f>
        <v>0</v>
      </c>
      <c r="DL382" s="93" cm="1">
        <f t="array" ref="DL382">SUMPRODUCT(TRANSPOSE(DL$4:DL$20),$G382:$W382)</f>
        <v>0</v>
      </c>
      <c r="DM382" s="93" cm="1">
        <f t="array" ref="DM382">SUMPRODUCT(TRANSPOSE(DM$4:DM$20),$G382:$W382)</f>
        <v>0</v>
      </c>
      <c r="DN382" s="93" cm="1">
        <f t="array" ref="DN382">SUMPRODUCT(TRANSPOSE(DN$4:DN$20),$G382:$W382)</f>
        <v>0</v>
      </c>
      <c r="DO382" s="93" cm="1">
        <f t="array" ref="DO382">SUMPRODUCT(TRANSPOSE(DO$4:DO$20),$G382:$W382)</f>
        <v>0</v>
      </c>
    </row>
    <row r="383" spans="1:119" x14ac:dyDescent="0.2">
      <c r="A383" s="45">
        <f t="shared" si="31"/>
        <v>362</v>
      </c>
      <c r="B383" s="64" t="s">
        <v>830</v>
      </c>
      <c r="C383" s="45">
        <v>401519401</v>
      </c>
      <c r="D383" s="45" t="s">
        <v>831</v>
      </c>
      <c r="E383" s="45" t="s">
        <v>162</v>
      </c>
      <c r="F383" s="48">
        <v>1</v>
      </c>
      <c r="G383" s="100">
        <v>3</v>
      </c>
      <c r="H383" s="100">
        <v>0</v>
      </c>
      <c r="I383" s="100">
        <v>0</v>
      </c>
      <c r="J383" s="100">
        <v>0</v>
      </c>
      <c r="K383" s="100">
        <v>0</v>
      </c>
      <c r="L383" s="100">
        <v>0</v>
      </c>
      <c r="M383" s="100">
        <v>0</v>
      </c>
      <c r="N383" s="100">
        <v>0</v>
      </c>
      <c r="O383" s="100">
        <v>0</v>
      </c>
      <c r="P383" s="100">
        <v>0</v>
      </c>
      <c r="Q383" s="100">
        <v>0</v>
      </c>
      <c r="R383" s="100">
        <v>0</v>
      </c>
      <c r="S383" s="100">
        <v>0</v>
      </c>
      <c r="T383" s="100">
        <v>0</v>
      </c>
      <c r="U383" s="100">
        <v>0</v>
      </c>
      <c r="V383" s="100">
        <v>0</v>
      </c>
      <c r="W383" s="100">
        <v>0</v>
      </c>
      <c r="X383" s="45" t="s">
        <v>832</v>
      </c>
      <c r="Y383" s="49">
        <v>67.600000000000009</v>
      </c>
      <c r="Z383" s="45">
        <v>390</v>
      </c>
      <c r="AA383" s="45">
        <v>0</v>
      </c>
      <c r="AB383" s="45">
        <v>0</v>
      </c>
      <c r="AC383" s="45">
        <v>0</v>
      </c>
      <c r="AD383" s="45">
        <v>0</v>
      </c>
      <c r="AE383" s="45">
        <v>0</v>
      </c>
      <c r="AF383" s="45">
        <v>0</v>
      </c>
      <c r="AG383" s="45">
        <v>0</v>
      </c>
      <c r="AH383" s="45">
        <v>0</v>
      </c>
      <c r="AI383" s="45">
        <v>0</v>
      </c>
      <c r="AJ383" s="45">
        <v>0</v>
      </c>
      <c r="AK383" s="45">
        <v>0</v>
      </c>
      <c r="AL383" s="45">
        <v>0</v>
      </c>
      <c r="AM383" s="45">
        <v>0</v>
      </c>
      <c r="AN383" s="45">
        <v>0</v>
      </c>
      <c r="AO383" s="45"/>
      <c r="AP383" s="45"/>
      <c r="AQ383" s="45"/>
      <c r="AR383" s="45"/>
      <c r="AS383" s="45"/>
      <c r="AT383" s="45"/>
      <c r="AU383" s="45"/>
      <c r="AV383" s="45"/>
      <c r="AW383" s="45"/>
      <c r="AX383" s="45"/>
      <c r="AY383" s="45"/>
      <c r="AZ383" s="45"/>
      <c r="BA383" s="45"/>
      <c r="BB383" s="45"/>
      <c r="BC383" s="45"/>
      <c r="BD383" s="93"/>
      <c r="BE383" s="93"/>
      <c r="BF383" s="93"/>
      <c r="BG383" s="93"/>
      <c r="BH383" s="93"/>
      <c r="BI383" s="93"/>
      <c r="BJ383" s="93"/>
      <c r="BK383" s="93">
        <f>SUM($Z383:AD383)-SUM($CM383:CQ383)</f>
        <v>366</v>
      </c>
      <c r="BL383" s="93">
        <f>SUM($Z383:AE383)-SUM($CM383:CR383)</f>
        <v>342</v>
      </c>
      <c r="BM383" s="93">
        <f>SUM($Z383:AF383)-SUM($CM383:CS383)</f>
        <v>318</v>
      </c>
      <c r="BN383" s="93">
        <f>SUM($Z383:AG383)-SUM($CM383:CT383)</f>
        <v>294</v>
      </c>
      <c r="BO383" s="93">
        <f>SUM($Z383:AH383)-SUM($CM383:CU383)</f>
        <v>270</v>
      </c>
      <c r="BP383" s="93">
        <f>SUM($Z383:AI383)-SUM($CM383:CV383)</f>
        <v>246</v>
      </c>
      <c r="BQ383" s="93">
        <f>SUM($Z383:AJ383)-SUM($CM383:CW383)</f>
        <v>222</v>
      </c>
      <c r="BR383" s="93">
        <f>SUM($Z383:AK383)-SUM($CM383:CX383)</f>
        <v>198</v>
      </c>
      <c r="BS383" s="93">
        <f>SUM($Z383:AL383)-SUM($CM383:CY383)</f>
        <v>174</v>
      </c>
      <c r="BT383" s="93">
        <f>SUM($Z383:AM383)-SUM($CM383:CZ383)</f>
        <v>150</v>
      </c>
      <c r="BU383" s="93">
        <f>SUM($Z383:AN383)-SUM($CM383:DA383)</f>
        <v>126</v>
      </c>
      <c r="BV383" s="93">
        <f>SUM($Z383:AO383)-SUM($CM383:DB383)</f>
        <v>102</v>
      </c>
      <c r="BW383" s="93">
        <f>SUM($Z383:AP383)-SUM($CM383:DC383)</f>
        <v>84</v>
      </c>
      <c r="BX383" s="93">
        <f>SUM($Z383:AQ383)-SUM($CM383:DD383)</f>
        <v>84</v>
      </c>
      <c r="BY383" s="93">
        <f>SUM($Z383:AR383)-SUM($CM383:DE383)</f>
        <v>84</v>
      </c>
      <c r="BZ383" s="93">
        <f>SUM($Z383:AS383)-SUM($CM383:DF383)</f>
        <v>84</v>
      </c>
      <c r="CA383" s="93">
        <f>SUM($Z383:AT383)-SUM($CM383:DG383)</f>
        <v>84</v>
      </c>
      <c r="CB383" s="93">
        <f>SUM($Z383:AU383)-SUM($CM383:DH383)</f>
        <v>84</v>
      </c>
      <c r="CC383" s="93">
        <f>SUM($Z383:AV383)-SUM($CM383:DI383)</f>
        <v>84</v>
      </c>
      <c r="CD383" s="93">
        <f>SUM($Z383:AW383)-SUM($CM383:DJ383)</f>
        <v>84</v>
      </c>
      <c r="CE383" s="93">
        <f>SUM($Z383:AX383)-SUM($CM383:DK383)</f>
        <v>84</v>
      </c>
      <c r="CF383" s="93">
        <f>SUM($Z383:AY383)-SUM($CM383:DL383)</f>
        <v>84</v>
      </c>
      <c r="CG383" s="93">
        <f>SUM($Z383:AZ383)-SUM($CM383:DM383)</f>
        <v>84</v>
      </c>
      <c r="CH383" s="93">
        <f>SUM($Z383:BA383)-SUM($CM383:DN383)</f>
        <v>84</v>
      </c>
      <c r="CI383" s="93">
        <f>SUM($Z383:BB383)-SUM($CM383:DO383)</f>
        <v>84</v>
      </c>
      <c r="CJ383" s="93"/>
      <c r="CK383" s="93"/>
      <c r="CL383" s="93"/>
      <c r="CM383" s="93"/>
      <c r="CN383" s="93" cm="1">
        <f t="array" ref="CN383">SUMPRODUCT(TRANSPOSE(CN$4:CN$20),$G383:$W383)</f>
        <v>0</v>
      </c>
      <c r="CO383" s="93" cm="1">
        <f t="array" ref="CO383">SUMPRODUCT(TRANSPOSE(CO$4:CO$20),$G383:$W383)</f>
        <v>0</v>
      </c>
      <c r="CP383" s="93" cm="1">
        <f t="array" ref="CP383">SUMPRODUCT(TRANSPOSE(CP$4:CP$20),$G383:$W383)</f>
        <v>0</v>
      </c>
      <c r="CQ383" s="93" cm="1">
        <f t="array" ref="CQ383">SUMPRODUCT(TRANSPOSE(CQ$4:CQ$20),$G383:$W383)</f>
        <v>24</v>
      </c>
      <c r="CR383" s="93" cm="1">
        <f t="array" ref="CR383">SUMPRODUCT(TRANSPOSE(CR$4:CR$20),$G383:$W383)</f>
        <v>24</v>
      </c>
      <c r="CS383" s="93" cm="1">
        <f t="array" ref="CS383">SUMPRODUCT(TRANSPOSE(CS$4:CS$20),$G383:$W383)</f>
        <v>24</v>
      </c>
      <c r="CT383" s="93" cm="1">
        <f t="array" ref="CT383">SUMPRODUCT(TRANSPOSE(CT$4:CT$20),$G383:$W383)</f>
        <v>24</v>
      </c>
      <c r="CU383" s="93" cm="1">
        <f t="array" ref="CU383">SUMPRODUCT(TRANSPOSE(CU$4:CU$20),$G383:$W383)</f>
        <v>24</v>
      </c>
      <c r="CV383" s="93" cm="1">
        <f t="array" ref="CV383">SUMPRODUCT(TRANSPOSE(CV$4:CV$20),$G383:$W383)</f>
        <v>24</v>
      </c>
      <c r="CW383" s="93" cm="1">
        <f t="array" ref="CW383">SUMPRODUCT(TRANSPOSE(CW$4:CW$20),$G383:$W383)</f>
        <v>24</v>
      </c>
      <c r="CX383" s="93" cm="1">
        <f t="array" ref="CX383">SUMPRODUCT(TRANSPOSE(CX$4:CX$20),$G383:$W383)</f>
        <v>24</v>
      </c>
      <c r="CY383" s="93" cm="1">
        <f t="array" ref="CY383">SUMPRODUCT(TRANSPOSE(CY$4:CY$20),$G383:$W383)</f>
        <v>24</v>
      </c>
      <c r="CZ383" s="93" cm="1">
        <f t="array" ref="CZ383">SUMPRODUCT(TRANSPOSE(CZ$4:CZ$20),$G383:$W383)</f>
        <v>24</v>
      </c>
      <c r="DA383" s="93" cm="1">
        <f t="array" ref="DA383">SUMPRODUCT(TRANSPOSE(DA$4:DA$20),$G383:$W383)</f>
        <v>24</v>
      </c>
      <c r="DB383" s="93" cm="1">
        <f t="array" ref="DB383">SUMPRODUCT(TRANSPOSE(DB$4:DB$20),$G383:$W383)</f>
        <v>24</v>
      </c>
      <c r="DC383" s="93" cm="1">
        <f t="array" ref="DC383">SUMPRODUCT(TRANSPOSE(DC$4:DC$20),$G383:$W383)</f>
        <v>18</v>
      </c>
      <c r="DD383" s="93" cm="1">
        <f t="array" ref="DD383">SUMPRODUCT(TRANSPOSE(DD$4:DD$20),$G383:$W383)</f>
        <v>0</v>
      </c>
      <c r="DE383" s="93" cm="1">
        <f t="array" ref="DE383">SUMPRODUCT(TRANSPOSE(DE$4:DE$20),$G383:$W383)</f>
        <v>0</v>
      </c>
      <c r="DF383" s="93" cm="1">
        <f t="array" ref="DF383">SUMPRODUCT(TRANSPOSE(DF$4:DF$20),$G383:$W383)</f>
        <v>0</v>
      </c>
      <c r="DG383" s="93" cm="1">
        <f t="array" ref="DG383">SUMPRODUCT(TRANSPOSE(DG$4:DG$20),$G383:$W383)</f>
        <v>0</v>
      </c>
      <c r="DH383" s="93" cm="1">
        <f t="array" ref="DH383">SUMPRODUCT(TRANSPOSE(DH$4:DH$20),$G383:$W383)</f>
        <v>0</v>
      </c>
      <c r="DI383" s="93" cm="1">
        <f t="array" ref="DI383">SUMPRODUCT(TRANSPOSE(DI$4:DI$20),$G383:$W383)</f>
        <v>0</v>
      </c>
      <c r="DJ383" s="93" cm="1">
        <f t="array" ref="DJ383">SUMPRODUCT(TRANSPOSE(DJ$4:DJ$20),$G383:$W383)</f>
        <v>0</v>
      </c>
      <c r="DK383" s="93" cm="1">
        <f t="array" ref="DK383">SUMPRODUCT(TRANSPOSE(DK$4:DK$20),$G383:$W383)</f>
        <v>0</v>
      </c>
      <c r="DL383" s="93" cm="1">
        <f t="array" ref="DL383">SUMPRODUCT(TRANSPOSE(DL$4:DL$20),$G383:$W383)</f>
        <v>0</v>
      </c>
      <c r="DM383" s="93" cm="1">
        <f t="array" ref="DM383">SUMPRODUCT(TRANSPOSE(DM$4:DM$20),$G383:$W383)</f>
        <v>0</v>
      </c>
      <c r="DN383" s="93" cm="1">
        <f t="array" ref="DN383">SUMPRODUCT(TRANSPOSE(DN$4:DN$20),$G383:$W383)</f>
        <v>0</v>
      </c>
      <c r="DO383" s="93" cm="1">
        <f t="array" ref="DO383">SUMPRODUCT(TRANSPOSE(DO$4:DO$20),$G383:$W383)</f>
        <v>0</v>
      </c>
    </row>
    <row r="384" spans="1:119" x14ac:dyDescent="0.2">
      <c r="A384" s="45">
        <f t="shared" si="31"/>
        <v>363</v>
      </c>
      <c r="B384" s="71" t="s">
        <v>833</v>
      </c>
      <c r="C384" s="45">
        <v>401679627</v>
      </c>
      <c r="D384" s="45" t="s">
        <v>306</v>
      </c>
      <c r="E384" s="45" t="s">
        <v>162</v>
      </c>
      <c r="F384" s="48">
        <v>1</v>
      </c>
      <c r="G384" s="100">
        <v>0</v>
      </c>
      <c r="H384" s="100">
        <v>0</v>
      </c>
      <c r="I384" s="100">
        <v>0</v>
      </c>
      <c r="J384" s="100">
        <v>0</v>
      </c>
      <c r="K384" s="100">
        <v>0</v>
      </c>
      <c r="L384" s="100">
        <v>0</v>
      </c>
      <c r="M384" s="100">
        <v>0</v>
      </c>
      <c r="N384" s="100">
        <v>0</v>
      </c>
      <c r="O384" s="100">
        <v>0</v>
      </c>
      <c r="P384" s="100">
        <v>0</v>
      </c>
      <c r="Q384" s="100">
        <v>0</v>
      </c>
      <c r="R384" s="100">
        <v>0</v>
      </c>
      <c r="S384" s="100">
        <v>0</v>
      </c>
      <c r="T384" s="100">
        <v>0</v>
      </c>
      <c r="U384" s="100">
        <v>0</v>
      </c>
      <c r="V384" s="100">
        <v>0</v>
      </c>
      <c r="W384" s="100">
        <v>0</v>
      </c>
      <c r="X384" s="45" t="s">
        <v>56</v>
      </c>
      <c r="Y384" s="49">
        <v>1.2</v>
      </c>
      <c r="Z384" s="45">
        <v>260</v>
      </c>
      <c r="AA384" s="45">
        <v>0</v>
      </c>
      <c r="AB384" s="45">
        <v>0</v>
      </c>
      <c r="AC384" s="45">
        <v>0</v>
      </c>
      <c r="AD384" s="45">
        <v>0</v>
      </c>
      <c r="AE384" s="45">
        <v>0</v>
      </c>
      <c r="AF384" s="45">
        <v>0</v>
      </c>
      <c r="AG384" s="45">
        <v>0</v>
      </c>
      <c r="AH384" s="45">
        <v>0</v>
      </c>
      <c r="AI384" s="45">
        <v>0</v>
      </c>
      <c r="AJ384" s="45">
        <v>0</v>
      </c>
      <c r="AK384" s="45">
        <v>0</v>
      </c>
      <c r="AL384" s="45">
        <v>0</v>
      </c>
      <c r="AM384" s="45">
        <v>0</v>
      </c>
      <c r="AN384" s="45">
        <v>0</v>
      </c>
      <c r="AO384" s="45"/>
      <c r="AP384" s="45"/>
      <c r="AQ384" s="45"/>
      <c r="AR384" s="45"/>
      <c r="AS384" s="45"/>
      <c r="AT384" s="45"/>
      <c r="AU384" s="45"/>
      <c r="AV384" s="45"/>
      <c r="AW384" s="45"/>
      <c r="AX384" s="45"/>
      <c r="AY384" s="45"/>
      <c r="AZ384" s="45"/>
      <c r="BA384" s="45"/>
      <c r="BB384" s="45"/>
      <c r="BC384" s="45"/>
      <c r="BD384" s="93"/>
      <c r="BE384" s="93"/>
      <c r="BF384" s="93"/>
      <c r="BG384" s="93"/>
      <c r="BH384" s="93"/>
      <c r="BI384" s="93"/>
      <c r="BJ384" s="93"/>
      <c r="BK384" s="93">
        <f>SUM($Z384:AD384)-SUM($CM384:CQ384)</f>
        <v>260</v>
      </c>
      <c r="BL384" s="93">
        <f>SUM($Z384:AE384)-SUM($CM384:CR384)</f>
        <v>260</v>
      </c>
      <c r="BM384" s="93">
        <f>SUM($Z384:AF384)-SUM($CM384:CS384)</f>
        <v>260</v>
      </c>
      <c r="BN384" s="93">
        <f>SUM($Z384:AG384)-SUM($CM384:CT384)</f>
        <v>260</v>
      </c>
      <c r="BO384" s="93">
        <f>SUM($Z384:AH384)-SUM($CM384:CU384)</f>
        <v>260</v>
      </c>
      <c r="BP384" s="93">
        <f>SUM($Z384:AI384)-SUM($CM384:CV384)</f>
        <v>260</v>
      </c>
      <c r="BQ384" s="93">
        <f>SUM($Z384:AJ384)-SUM($CM384:CW384)</f>
        <v>260</v>
      </c>
      <c r="BR384" s="93">
        <f>SUM($Z384:AK384)-SUM($CM384:CX384)</f>
        <v>260</v>
      </c>
      <c r="BS384" s="93">
        <f>SUM($Z384:AL384)-SUM($CM384:CY384)</f>
        <v>260</v>
      </c>
      <c r="BT384" s="93">
        <f>SUM($Z384:AM384)-SUM($CM384:CZ384)</f>
        <v>260</v>
      </c>
      <c r="BU384" s="93">
        <f>SUM($Z384:AN384)-SUM($CM384:DA384)</f>
        <v>260</v>
      </c>
      <c r="BV384" s="93">
        <f>SUM($Z384:AO384)-SUM($CM384:DB384)</f>
        <v>260</v>
      </c>
      <c r="BW384" s="93">
        <f>SUM($Z384:AP384)-SUM($CM384:DC384)</f>
        <v>260</v>
      </c>
      <c r="BX384" s="93">
        <f>SUM($Z384:AQ384)-SUM($CM384:DD384)</f>
        <v>260</v>
      </c>
      <c r="BY384" s="93">
        <f>SUM($Z384:AR384)-SUM($CM384:DE384)</f>
        <v>260</v>
      </c>
      <c r="BZ384" s="93">
        <f>SUM($Z384:AS384)-SUM($CM384:DF384)</f>
        <v>260</v>
      </c>
      <c r="CA384" s="93">
        <f>SUM($Z384:AT384)-SUM($CM384:DG384)</f>
        <v>260</v>
      </c>
      <c r="CB384" s="93">
        <f>SUM($Z384:AU384)-SUM($CM384:DH384)</f>
        <v>260</v>
      </c>
      <c r="CC384" s="93">
        <f>SUM($Z384:AV384)-SUM($CM384:DI384)</f>
        <v>260</v>
      </c>
      <c r="CD384" s="93">
        <f>SUM($Z384:AW384)-SUM($CM384:DJ384)</f>
        <v>260</v>
      </c>
      <c r="CE384" s="93">
        <f>SUM($Z384:AX384)-SUM($CM384:DK384)</f>
        <v>260</v>
      </c>
      <c r="CF384" s="93">
        <f>SUM($Z384:AY384)-SUM($CM384:DL384)</f>
        <v>260</v>
      </c>
      <c r="CG384" s="93">
        <f>SUM($Z384:AZ384)-SUM($CM384:DM384)</f>
        <v>260</v>
      </c>
      <c r="CH384" s="93">
        <f>SUM($Z384:BA384)-SUM($CM384:DN384)</f>
        <v>260</v>
      </c>
      <c r="CI384" s="93">
        <f>SUM($Z384:BB384)-SUM($CM384:DO384)</f>
        <v>260</v>
      </c>
      <c r="CJ384" s="93"/>
      <c r="CK384" s="93"/>
      <c r="CL384" s="93"/>
      <c r="CM384" s="93"/>
      <c r="CN384" s="93" cm="1">
        <f t="array" ref="CN384">SUMPRODUCT(TRANSPOSE(CN$4:CN$20),$G384:$W384)</f>
        <v>0</v>
      </c>
      <c r="CO384" s="93" cm="1">
        <f t="array" ref="CO384">SUMPRODUCT(TRANSPOSE(CO$4:CO$20),$G384:$W384)</f>
        <v>0</v>
      </c>
      <c r="CP384" s="93" cm="1">
        <f t="array" ref="CP384">SUMPRODUCT(TRANSPOSE(CP$4:CP$20),$G384:$W384)</f>
        <v>0</v>
      </c>
      <c r="CQ384" s="93" cm="1">
        <f t="array" ref="CQ384">SUMPRODUCT(TRANSPOSE(CQ$4:CQ$20),$G384:$W384)</f>
        <v>0</v>
      </c>
      <c r="CR384" s="93" cm="1">
        <f t="array" ref="CR384">SUMPRODUCT(TRANSPOSE(CR$4:CR$20),$G384:$W384)</f>
        <v>0</v>
      </c>
      <c r="CS384" s="93" cm="1">
        <f t="array" ref="CS384">SUMPRODUCT(TRANSPOSE(CS$4:CS$20),$G384:$W384)</f>
        <v>0</v>
      </c>
      <c r="CT384" s="93" cm="1">
        <f t="array" ref="CT384">SUMPRODUCT(TRANSPOSE(CT$4:CT$20),$G384:$W384)</f>
        <v>0</v>
      </c>
      <c r="CU384" s="93" cm="1">
        <f t="array" ref="CU384">SUMPRODUCT(TRANSPOSE(CU$4:CU$20),$G384:$W384)</f>
        <v>0</v>
      </c>
      <c r="CV384" s="93" cm="1">
        <f t="array" ref="CV384">SUMPRODUCT(TRANSPOSE(CV$4:CV$20),$G384:$W384)</f>
        <v>0</v>
      </c>
      <c r="CW384" s="93" cm="1">
        <f t="array" ref="CW384">SUMPRODUCT(TRANSPOSE(CW$4:CW$20),$G384:$W384)</f>
        <v>0</v>
      </c>
      <c r="CX384" s="93" cm="1">
        <f t="array" ref="CX384">SUMPRODUCT(TRANSPOSE(CX$4:CX$20),$G384:$W384)</f>
        <v>0</v>
      </c>
      <c r="CY384" s="93" cm="1">
        <f t="array" ref="CY384">SUMPRODUCT(TRANSPOSE(CY$4:CY$20),$G384:$W384)</f>
        <v>0</v>
      </c>
      <c r="CZ384" s="93" cm="1">
        <f t="array" ref="CZ384">SUMPRODUCT(TRANSPOSE(CZ$4:CZ$20),$G384:$W384)</f>
        <v>0</v>
      </c>
      <c r="DA384" s="93" cm="1">
        <f t="array" ref="DA384">SUMPRODUCT(TRANSPOSE(DA$4:DA$20),$G384:$W384)</f>
        <v>0</v>
      </c>
      <c r="DB384" s="93" cm="1">
        <f t="array" ref="DB384">SUMPRODUCT(TRANSPOSE(DB$4:DB$20),$G384:$W384)</f>
        <v>0</v>
      </c>
      <c r="DC384" s="93" cm="1">
        <f t="array" ref="DC384">SUMPRODUCT(TRANSPOSE(DC$4:DC$20),$G384:$W384)</f>
        <v>0</v>
      </c>
      <c r="DD384" s="93" cm="1">
        <f t="array" ref="DD384">SUMPRODUCT(TRANSPOSE(DD$4:DD$20),$G384:$W384)</f>
        <v>0</v>
      </c>
      <c r="DE384" s="93" cm="1">
        <f t="array" ref="DE384">SUMPRODUCT(TRANSPOSE(DE$4:DE$20),$G384:$W384)</f>
        <v>0</v>
      </c>
      <c r="DF384" s="93" cm="1">
        <f t="array" ref="DF384">SUMPRODUCT(TRANSPOSE(DF$4:DF$20),$G384:$W384)</f>
        <v>0</v>
      </c>
      <c r="DG384" s="93" cm="1">
        <f t="array" ref="DG384">SUMPRODUCT(TRANSPOSE(DG$4:DG$20),$G384:$W384)</f>
        <v>0</v>
      </c>
      <c r="DH384" s="93" cm="1">
        <f t="array" ref="DH384">SUMPRODUCT(TRANSPOSE(DH$4:DH$20),$G384:$W384)</f>
        <v>0</v>
      </c>
      <c r="DI384" s="93" cm="1">
        <f t="array" ref="DI384">SUMPRODUCT(TRANSPOSE(DI$4:DI$20),$G384:$W384)</f>
        <v>0</v>
      </c>
      <c r="DJ384" s="93" cm="1">
        <f t="array" ref="DJ384">SUMPRODUCT(TRANSPOSE(DJ$4:DJ$20),$G384:$W384)</f>
        <v>0</v>
      </c>
      <c r="DK384" s="93" cm="1">
        <f t="array" ref="DK384">SUMPRODUCT(TRANSPOSE(DK$4:DK$20),$G384:$W384)</f>
        <v>0</v>
      </c>
      <c r="DL384" s="93" cm="1">
        <f t="array" ref="DL384">SUMPRODUCT(TRANSPOSE(DL$4:DL$20),$G384:$W384)</f>
        <v>0</v>
      </c>
      <c r="DM384" s="93" cm="1">
        <f t="array" ref="DM384">SUMPRODUCT(TRANSPOSE(DM$4:DM$20),$G384:$W384)</f>
        <v>0</v>
      </c>
      <c r="DN384" s="93" cm="1">
        <f t="array" ref="DN384">SUMPRODUCT(TRANSPOSE(DN$4:DN$20),$G384:$W384)</f>
        <v>0</v>
      </c>
      <c r="DO384" s="93" cm="1">
        <f t="array" ref="DO384">SUMPRODUCT(TRANSPOSE(DO$4:DO$20),$G384:$W384)</f>
        <v>0</v>
      </c>
    </row>
    <row r="385" spans="1:119" x14ac:dyDescent="0.2">
      <c r="A385" s="45">
        <f t="shared" si="31"/>
        <v>364</v>
      </c>
      <c r="B385" s="64" t="s">
        <v>834</v>
      </c>
      <c r="C385" s="45">
        <v>401679626</v>
      </c>
      <c r="D385" s="45" t="s">
        <v>835</v>
      </c>
      <c r="E385" s="45" t="s">
        <v>162</v>
      </c>
      <c r="F385" s="48">
        <v>1</v>
      </c>
      <c r="G385" s="100">
        <v>24</v>
      </c>
      <c r="H385" s="100">
        <v>0</v>
      </c>
      <c r="I385" s="100">
        <v>0</v>
      </c>
      <c r="J385" s="100">
        <v>0</v>
      </c>
      <c r="K385" s="100">
        <v>0</v>
      </c>
      <c r="L385" s="100">
        <v>0</v>
      </c>
      <c r="M385" s="100">
        <v>0</v>
      </c>
      <c r="N385" s="100">
        <v>0</v>
      </c>
      <c r="O385" s="100">
        <v>0</v>
      </c>
      <c r="P385" s="100">
        <v>0</v>
      </c>
      <c r="Q385" s="100">
        <v>0</v>
      </c>
      <c r="R385" s="100">
        <v>0</v>
      </c>
      <c r="S385" s="100">
        <v>0</v>
      </c>
      <c r="T385" s="100">
        <v>0</v>
      </c>
      <c r="U385" s="100">
        <v>0</v>
      </c>
      <c r="V385" s="100">
        <v>0</v>
      </c>
      <c r="W385" s="100">
        <v>0</v>
      </c>
      <c r="X385" s="45" t="s">
        <v>216</v>
      </c>
      <c r="Y385" s="49">
        <v>1.76</v>
      </c>
      <c r="Z385" s="45">
        <v>3150</v>
      </c>
      <c r="AA385" s="45">
        <v>0</v>
      </c>
      <c r="AB385" s="45">
        <v>0</v>
      </c>
      <c r="AC385" s="45">
        <v>0</v>
      </c>
      <c r="AD385" s="45">
        <v>0</v>
      </c>
      <c r="AE385" s="45">
        <v>0</v>
      </c>
      <c r="AF385" s="45">
        <v>0</v>
      </c>
      <c r="AG385" s="45">
        <v>0</v>
      </c>
      <c r="AH385" s="45">
        <v>0</v>
      </c>
      <c r="AI385" s="45">
        <v>0</v>
      </c>
      <c r="AJ385" s="45">
        <v>0</v>
      </c>
      <c r="AK385" s="45">
        <v>0</v>
      </c>
      <c r="AL385" s="45">
        <v>0</v>
      </c>
      <c r="AM385" s="45">
        <v>0</v>
      </c>
      <c r="AN385" s="45">
        <v>0</v>
      </c>
      <c r="AO385" s="45"/>
      <c r="AP385" s="45"/>
      <c r="AQ385" s="45"/>
      <c r="AR385" s="45"/>
      <c r="AS385" s="45"/>
      <c r="AT385" s="45"/>
      <c r="AU385" s="45"/>
      <c r="AV385" s="45"/>
      <c r="AW385" s="45"/>
      <c r="AX385" s="45"/>
      <c r="AY385" s="45"/>
      <c r="AZ385" s="45"/>
      <c r="BA385" s="45"/>
      <c r="BB385" s="45"/>
      <c r="BC385" s="45"/>
      <c r="BD385" s="93"/>
      <c r="BE385" s="93"/>
      <c r="BF385" s="93"/>
      <c r="BG385" s="93"/>
      <c r="BH385" s="93"/>
      <c r="BI385" s="93"/>
      <c r="BJ385" s="93"/>
      <c r="BK385" s="93">
        <f>SUM($Z385:AD385)-SUM($CM385:CQ385)</f>
        <v>2958</v>
      </c>
      <c r="BL385" s="93">
        <f>SUM($Z385:AE385)-SUM($CM385:CR385)</f>
        <v>2766</v>
      </c>
      <c r="BM385" s="93">
        <f>SUM($Z385:AF385)-SUM($CM385:CS385)</f>
        <v>2574</v>
      </c>
      <c r="BN385" s="93">
        <f>SUM($Z385:AG385)-SUM($CM385:CT385)</f>
        <v>2382</v>
      </c>
      <c r="BO385" s="93">
        <f>SUM($Z385:AH385)-SUM($CM385:CU385)</f>
        <v>2190</v>
      </c>
      <c r="BP385" s="93">
        <f>SUM($Z385:AI385)-SUM($CM385:CV385)</f>
        <v>1998</v>
      </c>
      <c r="BQ385" s="93">
        <f>SUM($Z385:AJ385)-SUM($CM385:CW385)</f>
        <v>1806</v>
      </c>
      <c r="BR385" s="93">
        <f>SUM($Z385:AK385)-SUM($CM385:CX385)</f>
        <v>1614</v>
      </c>
      <c r="BS385" s="93">
        <f>SUM($Z385:AL385)-SUM($CM385:CY385)</f>
        <v>1422</v>
      </c>
      <c r="BT385" s="93">
        <f>SUM($Z385:AM385)-SUM($CM385:CZ385)</f>
        <v>1230</v>
      </c>
      <c r="BU385" s="93">
        <f>SUM($Z385:AN385)-SUM($CM385:DA385)</f>
        <v>1038</v>
      </c>
      <c r="BV385" s="93">
        <f>SUM($Z385:AO385)-SUM($CM385:DB385)</f>
        <v>846</v>
      </c>
      <c r="BW385" s="93">
        <f>SUM($Z385:AP385)-SUM($CM385:DC385)</f>
        <v>702</v>
      </c>
      <c r="BX385" s="93">
        <f>SUM($Z385:AQ385)-SUM($CM385:DD385)</f>
        <v>702</v>
      </c>
      <c r="BY385" s="93">
        <f>SUM($Z385:AR385)-SUM($CM385:DE385)</f>
        <v>702</v>
      </c>
      <c r="BZ385" s="93">
        <f>SUM($Z385:AS385)-SUM($CM385:DF385)</f>
        <v>702</v>
      </c>
      <c r="CA385" s="93">
        <f>SUM($Z385:AT385)-SUM($CM385:DG385)</f>
        <v>702</v>
      </c>
      <c r="CB385" s="93">
        <f>SUM($Z385:AU385)-SUM($CM385:DH385)</f>
        <v>702</v>
      </c>
      <c r="CC385" s="93">
        <f>SUM($Z385:AV385)-SUM($CM385:DI385)</f>
        <v>702</v>
      </c>
      <c r="CD385" s="93">
        <f>SUM($Z385:AW385)-SUM($CM385:DJ385)</f>
        <v>702</v>
      </c>
      <c r="CE385" s="93">
        <f>SUM($Z385:AX385)-SUM($CM385:DK385)</f>
        <v>702</v>
      </c>
      <c r="CF385" s="93">
        <f>SUM($Z385:AY385)-SUM($CM385:DL385)</f>
        <v>702</v>
      </c>
      <c r="CG385" s="93">
        <f>SUM($Z385:AZ385)-SUM($CM385:DM385)</f>
        <v>702</v>
      </c>
      <c r="CH385" s="93">
        <f>SUM($Z385:BA385)-SUM($CM385:DN385)</f>
        <v>702</v>
      </c>
      <c r="CI385" s="93">
        <f>SUM($Z385:BB385)-SUM($CM385:DO385)</f>
        <v>702</v>
      </c>
      <c r="CJ385" s="93"/>
      <c r="CK385" s="93"/>
      <c r="CL385" s="93"/>
      <c r="CM385" s="93"/>
      <c r="CN385" s="93" cm="1">
        <f t="array" ref="CN385">SUMPRODUCT(TRANSPOSE(CN$4:CN$20),$G385:$W385)</f>
        <v>0</v>
      </c>
      <c r="CO385" s="93" cm="1">
        <f t="array" ref="CO385">SUMPRODUCT(TRANSPOSE(CO$4:CO$20),$G385:$W385)</f>
        <v>0</v>
      </c>
      <c r="CP385" s="93" cm="1">
        <f t="array" ref="CP385">SUMPRODUCT(TRANSPOSE(CP$4:CP$20),$G385:$W385)</f>
        <v>0</v>
      </c>
      <c r="CQ385" s="93" cm="1">
        <f t="array" ref="CQ385">SUMPRODUCT(TRANSPOSE(CQ$4:CQ$20),$G385:$W385)</f>
        <v>192</v>
      </c>
      <c r="CR385" s="93" cm="1">
        <f t="array" ref="CR385">SUMPRODUCT(TRANSPOSE(CR$4:CR$20),$G385:$W385)</f>
        <v>192</v>
      </c>
      <c r="CS385" s="93" cm="1">
        <f t="array" ref="CS385">SUMPRODUCT(TRANSPOSE(CS$4:CS$20),$G385:$W385)</f>
        <v>192</v>
      </c>
      <c r="CT385" s="93" cm="1">
        <f t="array" ref="CT385">SUMPRODUCT(TRANSPOSE(CT$4:CT$20),$G385:$W385)</f>
        <v>192</v>
      </c>
      <c r="CU385" s="93" cm="1">
        <f t="array" ref="CU385">SUMPRODUCT(TRANSPOSE(CU$4:CU$20),$G385:$W385)</f>
        <v>192</v>
      </c>
      <c r="CV385" s="93" cm="1">
        <f t="array" ref="CV385">SUMPRODUCT(TRANSPOSE(CV$4:CV$20),$G385:$W385)</f>
        <v>192</v>
      </c>
      <c r="CW385" s="93" cm="1">
        <f t="array" ref="CW385">SUMPRODUCT(TRANSPOSE(CW$4:CW$20),$G385:$W385)</f>
        <v>192</v>
      </c>
      <c r="CX385" s="93" cm="1">
        <f t="array" ref="CX385">SUMPRODUCT(TRANSPOSE(CX$4:CX$20),$G385:$W385)</f>
        <v>192</v>
      </c>
      <c r="CY385" s="93" cm="1">
        <f t="array" ref="CY385">SUMPRODUCT(TRANSPOSE(CY$4:CY$20),$G385:$W385)</f>
        <v>192</v>
      </c>
      <c r="CZ385" s="93" cm="1">
        <f t="array" ref="CZ385">SUMPRODUCT(TRANSPOSE(CZ$4:CZ$20),$G385:$W385)</f>
        <v>192</v>
      </c>
      <c r="DA385" s="93" cm="1">
        <f t="array" ref="DA385">SUMPRODUCT(TRANSPOSE(DA$4:DA$20),$G385:$W385)</f>
        <v>192</v>
      </c>
      <c r="DB385" s="93" cm="1">
        <f t="array" ref="DB385">SUMPRODUCT(TRANSPOSE(DB$4:DB$20),$G385:$W385)</f>
        <v>192</v>
      </c>
      <c r="DC385" s="93" cm="1">
        <f t="array" ref="DC385">SUMPRODUCT(TRANSPOSE(DC$4:DC$20),$G385:$W385)</f>
        <v>144</v>
      </c>
      <c r="DD385" s="93" cm="1">
        <f t="array" ref="DD385">SUMPRODUCT(TRANSPOSE(DD$4:DD$20),$G385:$W385)</f>
        <v>0</v>
      </c>
      <c r="DE385" s="93" cm="1">
        <f t="array" ref="DE385">SUMPRODUCT(TRANSPOSE(DE$4:DE$20),$G385:$W385)</f>
        <v>0</v>
      </c>
      <c r="DF385" s="93" cm="1">
        <f t="array" ref="DF385">SUMPRODUCT(TRANSPOSE(DF$4:DF$20),$G385:$W385)</f>
        <v>0</v>
      </c>
      <c r="DG385" s="93" cm="1">
        <f t="array" ref="DG385">SUMPRODUCT(TRANSPOSE(DG$4:DG$20),$G385:$W385)</f>
        <v>0</v>
      </c>
      <c r="DH385" s="93" cm="1">
        <f t="array" ref="DH385">SUMPRODUCT(TRANSPOSE(DH$4:DH$20),$G385:$W385)</f>
        <v>0</v>
      </c>
      <c r="DI385" s="93" cm="1">
        <f t="array" ref="DI385">SUMPRODUCT(TRANSPOSE(DI$4:DI$20),$G385:$W385)</f>
        <v>0</v>
      </c>
      <c r="DJ385" s="93" cm="1">
        <f t="array" ref="DJ385">SUMPRODUCT(TRANSPOSE(DJ$4:DJ$20),$G385:$W385)</f>
        <v>0</v>
      </c>
      <c r="DK385" s="93" cm="1">
        <f t="array" ref="DK385">SUMPRODUCT(TRANSPOSE(DK$4:DK$20),$G385:$W385)</f>
        <v>0</v>
      </c>
      <c r="DL385" s="93" cm="1">
        <f t="array" ref="DL385">SUMPRODUCT(TRANSPOSE(DL$4:DL$20),$G385:$W385)</f>
        <v>0</v>
      </c>
      <c r="DM385" s="93" cm="1">
        <f t="array" ref="DM385">SUMPRODUCT(TRANSPOSE(DM$4:DM$20),$G385:$W385)</f>
        <v>0</v>
      </c>
      <c r="DN385" s="93" cm="1">
        <f t="array" ref="DN385">SUMPRODUCT(TRANSPOSE(DN$4:DN$20),$G385:$W385)</f>
        <v>0</v>
      </c>
      <c r="DO385" s="93" cm="1">
        <f t="array" ref="DO385">SUMPRODUCT(TRANSPOSE(DO$4:DO$20),$G385:$W385)</f>
        <v>0</v>
      </c>
    </row>
    <row r="386" spans="1:119" x14ac:dyDescent="0.2">
      <c r="A386" s="45">
        <f t="shared" si="31"/>
        <v>365</v>
      </c>
      <c r="B386" s="71" t="s">
        <v>836</v>
      </c>
      <c r="C386" s="45">
        <v>402007349</v>
      </c>
      <c r="D386" s="45" t="s">
        <v>306</v>
      </c>
      <c r="E386" s="45" t="s">
        <v>162</v>
      </c>
      <c r="F386" s="48">
        <v>1</v>
      </c>
      <c r="G386" s="100">
        <v>0</v>
      </c>
      <c r="H386" s="100">
        <v>0</v>
      </c>
      <c r="I386" s="100">
        <v>0</v>
      </c>
      <c r="J386" s="100">
        <v>0</v>
      </c>
      <c r="K386" s="100">
        <v>0</v>
      </c>
      <c r="L386" s="100">
        <v>0</v>
      </c>
      <c r="M386" s="100">
        <v>0</v>
      </c>
      <c r="N386" s="100">
        <v>0</v>
      </c>
      <c r="O386" s="100">
        <v>0</v>
      </c>
      <c r="P386" s="100">
        <v>0</v>
      </c>
      <c r="Q386" s="100">
        <v>0</v>
      </c>
      <c r="R386" s="100">
        <v>0</v>
      </c>
      <c r="S386" s="100">
        <v>0</v>
      </c>
      <c r="T386" s="100">
        <v>0</v>
      </c>
      <c r="U386" s="100">
        <v>0</v>
      </c>
      <c r="V386" s="100">
        <v>0</v>
      </c>
      <c r="W386" s="100">
        <v>0</v>
      </c>
      <c r="X386" s="45" t="s">
        <v>56</v>
      </c>
      <c r="Y386" s="49">
        <v>0.57999999999999996</v>
      </c>
      <c r="Z386" s="45">
        <v>520</v>
      </c>
      <c r="AA386" s="45">
        <v>0</v>
      </c>
      <c r="AB386" s="45">
        <v>0</v>
      </c>
      <c r="AC386" s="45">
        <v>0</v>
      </c>
      <c r="AD386" s="45">
        <v>0</v>
      </c>
      <c r="AE386" s="45">
        <v>0</v>
      </c>
      <c r="AF386" s="45">
        <v>0</v>
      </c>
      <c r="AG386" s="45">
        <v>0</v>
      </c>
      <c r="AH386" s="45">
        <v>0</v>
      </c>
      <c r="AI386" s="45">
        <v>0</v>
      </c>
      <c r="AJ386" s="45">
        <v>0</v>
      </c>
      <c r="AK386" s="45">
        <v>0</v>
      </c>
      <c r="AL386" s="45">
        <v>0</v>
      </c>
      <c r="AM386" s="45">
        <v>0</v>
      </c>
      <c r="AN386" s="45">
        <v>0</v>
      </c>
      <c r="AO386" s="45"/>
      <c r="AP386" s="45"/>
      <c r="AQ386" s="45"/>
      <c r="AR386" s="45"/>
      <c r="AS386" s="45"/>
      <c r="AT386" s="45"/>
      <c r="AU386" s="45"/>
      <c r="AV386" s="45"/>
      <c r="AW386" s="45"/>
      <c r="AX386" s="45"/>
      <c r="AY386" s="45"/>
      <c r="AZ386" s="45"/>
      <c r="BA386" s="45"/>
      <c r="BB386" s="45"/>
      <c r="BC386" s="45"/>
      <c r="BD386" s="93"/>
      <c r="BE386" s="93"/>
      <c r="BF386" s="93"/>
      <c r="BG386" s="93"/>
      <c r="BH386" s="93"/>
      <c r="BI386" s="93"/>
      <c r="BJ386" s="93"/>
      <c r="BK386" s="93">
        <f>SUM($Z386:AD386)-SUM($CM386:CQ386)</f>
        <v>520</v>
      </c>
      <c r="BL386" s="93">
        <f>SUM($Z386:AE386)-SUM($CM386:CR386)</f>
        <v>520</v>
      </c>
      <c r="BM386" s="93">
        <f>SUM($Z386:AF386)-SUM($CM386:CS386)</f>
        <v>520</v>
      </c>
      <c r="BN386" s="93">
        <f>SUM($Z386:AG386)-SUM($CM386:CT386)</f>
        <v>520</v>
      </c>
      <c r="BO386" s="93">
        <f>SUM($Z386:AH386)-SUM($CM386:CU386)</f>
        <v>520</v>
      </c>
      <c r="BP386" s="93">
        <f>SUM($Z386:AI386)-SUM($CM386:CV386)</f>
        <v>520</v>
      </c>
      <c r="BQ386" s="93">
        <f>SUM($Z386:AJ386)-SUM($CM386:CW386)</f>
        <v>520</v>
      </c>
      <c r="BR386" s="93">
        <f>SUM($Z386:AK386)-SUM($CM386:CX386)</f>
        <v>520</v>
      </c>
      <c r="BS386" s="93">
        <f>SUM($Z386:AL386)-SUM($CM386:CY386)</f>
        <v>520</v>
      </c>
      <c r="BT386" s="93">
        <f>SUM($Z386:AM386)-SUM($CM386:CZ386)</f>
        <v>520</v>
      </c>
      <c r="BU386" s="93">
        <f>SUM($Z386:AN386)-SUM($CM386:DA386)</f>
        <v>520</v>
      </c>
      <c r="BV386" s="93">
        <f>SUM($Z386:AO386)-SUM($CM386:DB386)</f>
        <v>520</v>
      </c>
      <c r="BW386" s="93">
        <f>SUM($Z386:AP386)-SUM($CM386:DC386)</f>
        <v>520</v>
      </c>
      <c r="BX386" s="93">
        <f>SUM($Z386:AQ386)-SUM($CM386:DD386)</f>
        <v>520</v>
      </c>
      <c r="BY386" s="93">
        <f>SUM($Z386:AR386)-SUM($CM386:DE386)</f>
        <v>520</v>
      </c>
      <c r="BZ386" s="93">
        <f>SUM($Z386:AS386)-SUM($CM386:DF386)</f>
        <v>520</v>
      </c>
      <c r="CA386" s="93">
        <f>SUM($Z386:AT386)-SUM($CM386:DG386)</f>
        <v>520</v>
      </c>
      <c r="CB386" s="93">
        <f>SUM($Z386:AU386)-SUM($CM386:DH386)</f>
        <v>520</v>
      </c>
      <c r="CC386" s="93">
        <f>SUM($Z386:AV386)-SUM($CM386:DI386)</f>
        <v>520</v>
      </c>
      <c r="CD386" s="93">
        <f>SUM($Z386:AW386)-SUM($CM386:DJ386)</f>
        <v>520</v>
      </c>
      <c r="CE386" s="93">
        <f>SUM($Z386:AX386)-SUM($CM386:DK386)</f>
        <v>520</v>
      </c>
      <c r="CF386" s="93">
        <f>SUM($Z386:AY386)-SUM($CM386:DL386)</f>
        <v>520</v>
      </c>
      <c r="CG386" s="93">
        <f>SUM($Z386:AZ386)-SUM($CM386:DM386)</f>
        <v>520</v>
      </c>
      <c r="CH386" s="93">
        <f>SUM($Z386:BA386)-SUM($CM386:DN386)</f>
        <v>520</v>
      </c>
      <c r="CI386" s="93">
        <f>SUM($Z386:BB386)-SUM($CM386:DO386)</f>
        <v>520</v>
      </c>
      <c r="CJ386" s="93"/>
      <c r="CK386" s="93"/>
      <c r="CL386" s="93"/>
      <c r="CM386" s="93"/>
      <c r="CN386" s="93" cm="1">
        <f t="array" ref="CN386">SUMPRODUCT(TRANSPOSE(CN$4:CN$20),$G386:$W386)</f>
        <v>0</v>
      </c>
      <c r="CO386" s="93" cm="1">
        <f t="array" ref="CO386">SUMPRODUCT(TRANSPOSE(CO$4:CO$20),$G386:$W386)</f>
        <v>0</v>
      </c>
      <c r="CP386" s="93" cm="1">
        <f t="array" ref="CP386">SUMPRODUCT(TRANSPOSE(CP$4:CP$20),$G386:$W386)</f>
        <v>0</v>
      </c>
      <c r="CQ386" s="93" cm="1">
        <f t="array" ref="CQ386">SUMPRODUCT(TRANSPOSE(CQ$4:CQ$20),$G386:$W386)</f>
        <v>0</v>
      </c>
      <c r="CR386" s="93" cm="1">
        <f t="array" ref="CR386">SUMPRODUCT(TRANSPOSE(CR$4:CR$20),$G386:$W386)</f>
        <v>0</v>
      </c>
      <c r="CS386" s="93" cm="1">
        <f t="array" ref="CS386">SUMPRODUCT(TRANSPOSE(CS$4:CS$20),$G386:$W386)</f>
        <v>0</v>
      </c>
      <c r="CT386" s="93" cm="1">
        <f t="array" ref="CT386">SUMPRODUCT(TRANSPOSE(CT$4:CT$20),$G386:$W386)</f>
        <v>0</v>
      </c>
      <c r="CU386" s="93" cm="1">
        <f t="array" ref="CU386">SUMPRODUCT(TRANSPOSE(CU$4:CU$20),$G386:$W386)</f>
        <v>0</v>
      </c>
      <c r="CV386" s="93" cm="1">
        <f t="array" ref="CV386">SUMPRODUCT(TRANSPOSE(CV$4:CV$20),$G386:$W386)</f>
        <v>0</v>
      </c>
      <c r="CW386" s="93" cm="1">
        <f t="array" ref="CW386">SUMPRODUCT(TRANSPOSE(CW$4:CW$20),$G386:$W386)</f>
        <v>0</v>
      </c>
      <c r="CX386" s="93" cm="1">
        <f t="array" ref="CX386">SUMPRODUCT(TRANSPOSE(CX$4:CX$20),$G386:$W386)</f>
        <v>0</v>
      </c>
      <c r="CY386" s="93" cm="1">
        <f t="array" ref="CY386">SUMPRODUCT(TRANSPOSE(CY$4:CY$20),$G386:$W386)</f>
        <v>0</v>
      </c>
      <c r="CZ386" s="93" cm="1">
        <f t="array" ref="CZ386">SUMPRODUCT(TRANSPOSE(CZ$4:CZ$20),$G386:$W386)</f>
        <v>0</v>
      </c>
      <c r="DA386" s="93" cm="1">
        <f t="array" ref="DA386">SUMPRODUCT(TRANSPOSE(DA$4:DA$20),$G386:$W386)</f>
        <v>0</v>
      </c>
      <c r="DB386" s="93" cm="1">
        <f t="array" ref="DB386">SUMPRODUCT(TRANSPOSE(DB$4:DB$20),$G386:$W386)</f>
        <v>0</v>
      </c>
      <c r="DC386" s="93" cm="1">
        <f t="array" ref="DC386">SUMPRODUCT(TRANSPOSE(DC$4:DC$20),$G386:$W386)</f>
        <v>0</v>
      </c>
      <c r="DD386" s="93" cm="1">
        <f t="array" ref="DD386">SUMPRODUCT(TRANSPOSE(DD$4:DD$20),$G386:$W386)</f>
        <v>0</v>
      </c>
      <c r="DE386" s="93" cm="1">
        <f t="array" ref="DE386">SUMPRODUCT(TRANSPOSE(DE$4:DE$20),$G386:$W386)</f>
        <v>0</v>
      </c>
      <c r="DF386" s="93" cm="1">
        <f t="array" ref="DF386">SUMPRODUCT(TRANSPOSE(DF$4:DF$20),$G386:$W386)</f>
        <v>0</v>
      </c>
      <c r="DG386" s="93" cm="1">
        <f t="array" ref="DG386">SUMPRODUCT(TRANSPOSE(DG$4:DG$20),$G386:$W386)</f>
        <v>0</v>
      </c>
      <c r="DH386" s="93" cm="1">
        <f t="array" ref="DH386">SUMPRODUCT(TRANSPOSE(DH$4:DH$20),$G386:$W386)</f>
        <v>0</v>
      </c>
      <c r="DI386" s="93" cm="1">
        <f t="array" ref="DI386">SUMPRODUCT(TRANSPOSE(DI$4:DI$20),$G386:$W386)</f>
        <v>0</v>
      </c>
      <c r="DJ386" s="93" cm="1">
        <f t="array" ref="DJ386">SUMPRODUCT(TRANSPOSE(DJ$4:DJ$20),$G386:$W386)</f>
        <v>0</v>
      </c>
      <c r="DK386" s="93" cm="1">
        <f t="array" ref="DK386">SUMPRODUCT(TRANSPOSE(DK$4:DK$20),$G386:$W386)</f>
        <v>0</v>
      </c>
      <c r="DL386" s="93" cm="1">
        <f t="array" ref="DL386">SUMPRODUCT(TRANSPOSE(DL$4:DL$20),$G386:$W386)</f>
        <v>0</v>
      </c>
      <c r="DM386" s="93" cm="1">
        <f t="array" ref="DM386">SUMPRODUCT(TRANSPOSE(DM$4:DM$20),$G386:$W386)</f>
        <v>0</v>
      </c>
      <c r="DN386" s="93" cm="1">
        <f t="array" ref="DN386">SUMPRODUCT(TRANSPOSE(DN$4:DN$20),$G386:$W386)</f>
        <v>0</v>
      </c>
      <c r="DO386" s="93" cm="1">
        <f t="array" ref="DO386">SUMPRODUCT(TRANSPOSE(DO$4:DO$20),$G386:$W386)</f>
        <v>0</v>
      </c>
    </row>
    <row r="387" spans="1:119" x14ac:dyDescent="0.2">
      <c r="A387" s="45">
        <f t="shared" si="31"/>
        <v>366</v>
      </c>
      <c r="B387" s="64" t="s">
        <v>837</v>
      </c>
      <c r="C387" s="45">
        <v>402215693</v>
      </c>
      <c r="D387" s="45" t="s">
        <v>838</v>
      </c>
      <c r="E387" s="45" t="s">
        <v>162</v>
      </c>
      <c r="F387" s="48">
        <v>1</v>
      </c>
      <c r="G387" s="100">
        <v>1</v>
      </c>
      <c r="H387" s="100">
        <v>0</v>
      </c>
      <c r="I387" s="100">
        <v>0</v>
      </c>
      <c r="J387" s="100">
        <v>0</v>
      </c>
      <c r="K387" s="100">
        <v>0</v>
      </c>
      <c r="L387" s="100">
        <v>0</v>
      </c>
      <c r="M387" s="100">
        <v>0</v>
      </c>
      <c r="N387" s="100">
        <v>0</v>
      </c>
      <c r="O387" s="100">
        <v>0</v>
      </c>
      <c r="P387" s="100">
        <v>0</v>
      </c>
      <c r="Q387" s="100">
        <v>0</v>
      </c>
      <c r="R387" s="100">
        <v>0</v>
      </c>
      <c r="S387" s="100">
        <v>0</v>
      </c>
      <c r="T387" s="100">
        <v>0</v>
      </c>
      <c r="U387" s="100">
        <v>0</v>
      </c>
      <c r="V387" s="100">
        <v>0</v>
      </c>
      <c r="W387" s="100">
        <v>0</v>
      </c>
      <c r="X387" s="45" t="s">
        <v>237</v>
      </c>
      <c r="Y387" s="53">
        <v>33</v>
      </c>
      <c r="Z387" s="45">
        <v>129</v>
      </c>
      <c r="AA387" s="45">
        <v>0</v>
      </c>
      <c r="AB387" s="45">
        <v>0</v>
      </c>
      <c r="AC387" s="45">
        <v>0</v>
      </c>
      <c r="AD387" s="45">
        <v>0</v>
      </c>
      <c r="AE387" s="45">
        <v>0</v>
      </c>
      <c r="AF387" s="45">
        <v>0</v>
      </c>
      <c r="AG387" s="45">
        <v>0</v>
      </c>
      <c r="AH387" s="45">
        <v>0</v>
      </c>
      <c r="AI387" s="45">
        <v>0</v>
      </c>
      <c r="AJ387" s="45">
        <v>0</v>
      </c>
      <c r="AK387" s="45">
        <v>0</v>
      </c>
      <c r="AL387" s="45">
        <v>0</v>
      </c>
      <c r="AM387" s="45">
        <v>0</v>
      </c>
      <c r="AN387" s="45">
        <v>0</v>
      </c>
      <c r="AO387" s="45"/>
      <c r="AP387" s="45"/>
      <c r="AQ387" s="45"/>
      <c r="AR387" s="45"/>
      <c r="AS387" s="45"/>
      <c r="AT387" s="45"/>
      <c r="AU387" s="45"/>
      <c r="AV387" s="45"/>
      <c r="AW387" s="45"/>
      <c r="AX387" s="45"/>
      <c r="AY387" s="45"/>
      <c r="AZ387" s="45"/>
      <c r="BA387" s="45"/>
      <c r="BB387" s="45"/>
      <c r="BC387" s="45"/>
      <c r="BD387" s="93"/>
      <c r="BE387" s="93"/>
      <c r="BF387" s="93"/>
      <c r="BG387" s="93"/>
      <c r="BH387" s="93"/>
      <c r="BI387" s="93"/>
      <c r="BJ387" s="93"/>
      <c r="BK387" s="93">
        <f>SUM($Z387:AD387)-SUM($CM387:CQ387)</f>
        <v>121</v>
      </c>
      <c r="BL387" s="93">
        <f>SUM($Z387:AE387)-SUM($CM387:CR387)</f>
        <v>113</v>
      </c>
      <c r="BM387" s="93">
        <f>SUM($Z387:AF387)-SUM($CM387:CS387)</f>
        <v>105</v>
      </c>
      <c r="BN387" s="93">
        <f>SUM($Z387:AG387)-SUM($CM387:CT387)</f>
        <v>97</v>
      </c>
      <c r="BO387" s="93">
        <f>SUM($Z387:AH387)-SUM($CM387:CU387)</f>
        <v>89</v>
      </c>
      <c r="BP387" s="93">
        <f>SUM($Z387:AI387)-SUM($CM387:CV387)</f>
        <v>81</v>
      </c>
      <c r="BQ387" s="93">
        <f>SUM($Z387:AJ387)-SUM($CM387:CW387)</f>
        <v>73</v>
      </c>
      <c r="BR387" s="93">
        <f>SUM($Z387:AK387)-SUM($CM387:CX387)</f>
        <v>65</v>
      </c>
      <c r="BS387" s="93">
        <f>SUM($Z387:AL387)-SUM($CM387:CY387)</f>
        <v>57</v>
      </c>
      <c r="BT387" s="93">
        <f>SUM($Z387:AM387)-SUM($CM387:CZ387)</f>
        <v>49</v>
      </c>
      <c r="BU387" s="93">
        <f>SUM($Z387:AN387)-SUM($CM387:DA387)</f>
        <v>41</v>
      </c>
      <c r="BV387" s="93">
        <f>SUM($Z387:AO387)-SUM($CM387:DB387)</f>
        <v>33</v>
      </c>
      <c r="BW387" s="93">
        <f>SUM($Z387:AP387)-SUM($CM387:DC387)</f>
        <v>27</v>
      </c>
      <c r="BX387" s="93">
        <f>SUM($Z387:AQ387)-SUM($CM387:DD387)</f>
        <v>27</v>
      </c>
      <c r="BY387" s="93">
        <f>SUM($Z387:AR387)-SUM($CM387:DE387)</f>
        <v>27</v>
      </c>
      <c r="BZ387" s="93">
        <f>SUM($Z387:AS387)-SUM($CM387:DF387)</f>
        <v>27</v>
      </c>
      <c r="CA387" s="93">
        <f>SUM($Z387:AT387)-SUM($CM387:DG387)</f>
        <v>27</v>
      </c>
      <c r="CB387" s="93">
        <f>SUM($Z387:AU387)-SUM($CM387:DH387)</f>
        <v>27</v>
      </c>
      <c r="CC387" s="93">
        <f>SUM($Z387:AV387)-SUM($CM387:DI387)</f>
        <v>27</v>
      </c>
      <c r="CD387" s="93">
        <f>SUM($Z387:AW387)-SUM($CM387:DJ387)</f>
        <v>27</v>
      </c>
      <c r="CE387" s="93">
        <f>SUM($Z387:AX387)-SUM($CM387:DK387)</f>
        <v>27</v>
      </c>
      <c r="CF387" s="93">
        <f>SUM($Z387:AY387)-SUM($CM387:DL387)</f>
        <v>27</v>
      </c>
      <c r="CG387" s="93">
        <f>SUM($Z387:AZ387)-SUM($CM387:DM387)</f>
        <v>27</v>
      </c>
      <c r="CH387" s="93">
        <f>SUM($Z387:BA387)-SUM($CM387:DN387)</f>
        <v>27</v>
      </c>
      <c r="CI387" s="93">
        <f>SUM($Z387:BB387)-SUM($CM387:DO387)</f>
        <v>27</v>
      </c>
      <c r="CJ387" s="93"/>
      <c r="CK387" s="93"/>
      <c r="CL387" s="93"/>
      <c r="CM387" s="93"/>
      <c r="CN387" s="93" cm="1">
        <f t="array" ref="CN387">SUMPRODUCT(TRANSPOSE(CN$4:CN$20),$G387:$W387)</f>
        <v>0</v>
      </c>
      <c r="CO387" s="93" cm="1">
        <f t="array" ref="CO387">SUMPRODUCT(TRANSPOSE(CO$4:CO$20),$G387:$W387)</f>
        <v>0</v>
      </c>
      <c r="CP387" s="93" cm="1">
        <f t="array" ref="CP387">SUMPRODUCT(TRANSPOSE(CP$4:CP$20),$G387:$W387)</f>
        <v>0</v>
      </c>
      <c r="CQ387" s="93" cm="1">
        <f t="array" ref="CQ387">SUMPRODUCT(TRANSPOSE(CQ$4:CQ$20),$G387:$W387)</f>
        <v>8</v>
      </c>
      <c r="CR387" s="93" cm="1">
        <f t="array" ref="CR387">SUMPRODUCT(TRANSPOSE(CR$4:CR$20),$G387:$W387)</f>
        <v>8</v>
      </c>
      <c r="CS387" s="93" cm="1">
        <f t="array" ref="CS387">SUMPRODUCT(TRANSPOSE(CS$4:CS$20),$G387:$W387)</f>
        <v>8</v>
      </c>
      <c r="CT387" s="93" cm="1">
        <f t="array" ref="CT387">SUMPRODUCT(TRANSPOSE(CT$4:CT$20),$G387:$W387)</f>
        <v>8</v>
      </c>
      <c r="CU387" s="93" cm="1">
        <f t="array" ref="CU387">SUMPRODUCT(TRANSPOSE(CU$4:CU$20),$G387:$W387)</f>
        <v>8</v>
      </c>
      <c r="CV387" s="93" cm="1">
        <f t="array" ref="CV387">SUMPRODUCT(TRANSPOSE(CV$4:CV$20),$G387:$W387)</f>
        <v>8</v>
      </c>
      <c r="CW387" s="93" cm="1">
        <f t="array" ref="CW387">SUMPRODUCT(TRANSPOSE(CW$4:CW$20),$G387:$W387)</f>
        <v>8</v>
      </c>
      <c r="CX387" s="93" cm="1">
        <f t="array" ref="CX387">SUMPRODUCT(TRANSPOSE(CX$4:CX$20),$G387:$W387)</f>
        <v>8</v>
      </c>
      <c r="CY387" s="93" cm="1">
        <f t="array" ref="CY387">SUMPRODUCT(TRANSPOSE(CY$4:CY$20),$G387:$W387)</f>
        <v>8</v>
      </c>
      <c r="CZ387" s="93" cm="1">
        <f t="array" ref="CZ387">SUMPRODUCT(TRANSPOSE(CZ$4:CZ$20),$G387:$W387)</f>
        <v>8</v>
      </c>
      <c r="DA387" s="93" cm="1">
        <f t="array" ref="DA387">SUMPRODUCT(TRANSPOSE(DA$4:DA$20),$G387:$W387)</f>
        <v>8</v>
      </c>
      <c r="DB387" s="93" cm="1">
        <f t="array" ref="DB387">SUMPRODUCT(TRANSPOSE(DB$4:DB$20),$G387:$W387)</f>
        <v>8</v>
      </c>
      <c r="DC387" s="93" cm="1">
        <f t="array" ref="DC387">SUMPRODUCT(TRANSPOSE(DC$4:DC$20),$G387:$W387)</f>
        <v>6</v>
      </c>
      <c r="DD387" s="93" cm="1">
        <f t="array" ref="DD387">SUMPRODUCT(TRANSPOSE(DD$4:DD$20),$G387:$W387)</f>
        <v>0</v>
      </c>
      <c r="DE387" s="93" cm="1">
        <f t="array" ref="DE387">SUMPRODUCT(TRANSPOSE(DE$4:DE$20),$G387:$W387)</f>
        <v>0</v>
      </c>
      <c r="DF387" s="93" cm="1">
        <f t="array" ref="DF387">SUMPRODUCT(TRANSPOSE(DF$4:DF$20),$G387:$W387)</f>
        <v>0</v>
      </c>
      <c r="DG387" s="93" cm="1">
        <f t="array" ref="DG387">SUMPRODUCT(TRANSPOSE(DG$4:DG$20),$G387:$W387)</f>
        <v>0</v>
      </c>
      <c r="DH387" s="93" cm="1">
        <f t="array" ref="DH387">SUMPRODUCT(TRANSPOSE(DH$4:DH$20),$G387:$W387)</f>
        <v>0</v>
      </c>
      <c r="DI387" s="93" cm="1">
        <f t="array" ref="DI387">SUMPRODUCT(TRANSPOSE(DI$4:DI$20),$G387:$W387)</f>
        <v>0</v>
      </c>
      <c r="DJ387" s="93" cm="1">
        <f t="array" ref="DJ387">SUMPRODUCT(TRANSPOSE(DJ$4:DJ$20),$G387:$W387)</f>
        <v>0</v>
      </c>
      <c r="DK387" s="93" cm="1">
        <f t="array" ref="DK387">SUMPRODUCT(TRANSPOSE(DK$4:DK$20),$G387:$W387)</f>
        <v>0</v>
      </c>
      <c r="DL387" s="93" cm="1">
        <f t="array" ref="DL387">SUMPRODUCT(TRANSPOSE(DL$4:DL$20),$G387:$W387)</f>
        <v>0</v>
      </c>
      <c r="DM387" s="93" cm="1">
        <f t="array" ref="DM387">SUMPRODUCT(TRANSPOSE(DM$4:DM$20),$G387:$W387)</f>
        <v>0</v>
      </c>
      <c r="DN387" s="93" cm="1">
        <f t="array" ref="DN387">SUMPRODUCT(TRANSPOSE(DN$4:DN$20),$G387:$W387)</f>
        <v>0</v>
      </c>
      <c r="DO387" s="93" cm="1">
        <f t="array" ref="DO387">SUMPRODUCT(TRANSPOSE(DO$4:DO$20),$G387:$W387)</f>
        <v>0</v>
      </c>
    </row>
    <row r="388" spans="1:119" x14ac:dyDescent="0.2">
      <c r="A388" s="45">
        <f t="shared" si="31"/>
        <v>367</v>
      </c>
      <c r="B388" s="64" t="s">
        <v>839</v>
      </c>
      <c r="C388" s="45">
        <v>402215700</v>
      </c>
      <c r="D388" s="45" t="s">
        <v>840</v>
      </c>
      <c r="E388" s="45" t="s">
        <v>162</v>
      </c>
      <c r="F388" s="48">
        <v>1</v>
      </c>
      <c r="G388" s="100">
        <v>1</v>
      </c>
      <c r="H388" s="100">
        <v>0</v>
      </c>
      <c r="I388" s="100">
        <v>0</v>
      </c>
      <c r="J388" s="100">
        <v>0</v>
      </c>
      <c r="K388" s="100">
        <v>0</v>
      </c>
      <c r="L388" s="100">
        <v>0</v>
      </c>
      <c r="M388" s="100">
        <v>0</v>
      </c>
      <c r="N388" s="100">
        <v>0</v>
      </c>
      <c r="O388" s="100">
        <v>0</v>
      </c>
      <c r="P388" s="100">
        <v>0</v>
      </c>
      <c r="Q388" s="100">
        <v>0</v>
      </c>
      <c r="R388" s="100">
        <v>0</v>
      </c>
      <c r="S388" s="100">
        <v>0</v>
      </c>
      <c r="T388" s="100">
        <v>0</v>
      </c>
      <c r="U388" s="100">
        <v>0</v>
      </c>
      <c r="V388" s="100">
        <v>0</v>
      </c>
      <c r="W388" s="100">
        <v>0</v>
      </c>
      <c r="X388" s="45" t="s">
        <v>237</v>
      </c>
      <c r="Y388" s="53">
        <v>33</v>
      </c>
      <c r="Z388" s="45">
        <v>129</v>
      </c>
      <c r="AA388" s="45">
        <v>0</v>
      </c>
      <c r="AB388" s="45">
        <v>0</v>
      </c>
      <c r="AC388" s="45">
        <v>0</v>
      </c>
      <c r="AD388" s="45">
        <v>0</v>
      </c>
      <c r="AE388" s="45">
        <v>0</v>
      </c>
      <c r="AF388" s="45">
        <v>0</v>
      </c>
      <c r="AG388" s="45">
        <v>0</v>
      </c>
      <c r="AH388" s="45">
        <v>0</v>
      </c>
      <c r="AI388" s="45">
        <v>0</v>
      </c>
      <c r="AJ388" s="45">
        <v>0</v>
      </c>
      <c r="AK388" s="45">
        <v>0</v>
      </c>
      <c r="AL388" s="45">
        <v>0</v>
      </c>
      <c r="AM388" s="45">
        <v>0</v>
      </c>
      <c r="AN388" s="45">
        <v>0</v>
      </c>
      <c r="AO388" s="45"/>
      <c r="AP388" s="45"/>
      <c r="AQ388" s="45"/>
      <c r="AR388" s="45"/>
      <c r="AS388" s="45"/>
      <c r="AT388" s="45"/>
      <c r="AU388" s="45"/>
      <c r="AV388" s="45"/>
      <c r="AW388" s="45"/>
      <c r="AX388" s="45"/>
      <c r="AY388" s="45"/>
      <c r="AZ388" s="45"/>
      <c r="BA388" s="45"/>
      <c r="BB388" s="45"/>
      <c r="BC388" s="45"/>
      <c r="BD388" s="93"/>
      <c r="BE388" s="93"/>
      <c r="BF388" s="93"/>
      <c r="BG388" s="93"/>
      <c r="BH388" s="93"/>
      <c r="BI388" s="93"/>
      <c r="BJ388" s="93"/>
      <c r="BK388" s="93">
        <f>SUM($Z388:AD388)-SUM($CM388:CQ388)</f>
        <v>121</v>
      </c>
      <c r="BL388" s="93">
        <f>SUM($Z388:AE388)-SUM($CM388:CR388)</f>
        <v>113</v>
      </c>
      <c r="BM388" s="93">
        <f>SUM($Z388:AF388)-SUM($CM388:CS388)</f>
        <v>105</v>
      </c>
      <c r="BN388" s="93">
        <f>SUM($Z388:AG388)-SUM($CM388:CT388)</f>
        <v>97</v>
      </c>
      <c r="BO388" s="93">
        <f>SUM($Z388:AH388)-SUM($CM388:CU388)</f>
        <v>89</v>
      </c>
      <c r="BP388" s="93">
        <f>SUM($Z388:AI388)-SUM($CM388:CV388)</f>
        <v>81</v>
      </c>
      <c r="BQ388" s="93">
        <f>SUM($Z388:AJ388)-SUM($CM388:CW388)</f>
        <v>73</v>
      </c>
      <c r="BR388" s="93">
        <f>SUM($Z388:AK388)-SUM($CM388:CX388)</f>
        <v>65</v>
      </c>
      <c r="BS388" s="93">
        <f>SUM($Z388:AL388)-SUM($CM388:CY388)</f>
        <v>57</v>
      </c>
      <c r="BT388" s="93">
        <f>SUM($Z388:AM388)-SUM($CM388:CZ388)</f>
        <v>49</v>
      </c>
      <c r="BU388" s="93">
        <f>SUM($Z388:AN388)-SUM($CM388:DA388)</f>
        <v>41</v>
      </c>
      <c r="BV388" s="93">
        <f>SUM($Z388:AO388)-SUM($CM388:DB388)</f>
        <v>33</v>
      </c>
      <c r="BW388" s="93">
        <f>SUM($Z388:AP388)-SUM($CM388:DC388)</f>
        <v>27</v>
      </c>
      <c r="BX388" s="93">
        <f>SUM($Z388:AQ388)-SUM($CM388:DD388)</f>
        <v>27</v>
      </c>
      <c r="BY388" s="93">
        <f>SUM($Z388:AR388)-SUM($CM388:DE388)</f>
        <v>27</v>
      </c>
      <c r="BZ388" s="93">
        <f>SUM($Z388:AS388)-SUM($CM388:DF388)</f>
        <v>27</v>
      </c>
      <c r="CA388" s="93">
        <f>SUM($Z388:AT388)-SUM($CM388:DG388)</f>
        <v>27</v>
      </c>
      <c r="CB388" s="93">
        <f>SUM($Z388:AU388)-SUM($CM388:DH388)</f>
        <v>27</v>
      </c>
      <c r="CC388" s="93">
        <f>SUM($Z388:AV388)-SUM($CM388:DI388)</f>
        <v>27</v>
      </c>
      <c r="CD388" s="93">
        <f>SUM($Z388:AW388)-SUM($CM388:DJ388)</f>
        <v>27</v>
      </c>
      <c r="CE388" s="93">
        <f>SUM($Z388:AX388)-SUM($CM388:DK388)</f>
        <v>27</v>
      </c>
      <c r="CF388" s="93">
        <f>SUM($Z388:AY388)-SUM($CM388:DL388)</f>
        <v>27</v>
      </c>
      <c r="CG388" s="93">
        <f>SUM($Z388:AZ388)-SUM($CM388:DM388)</f>
        <v>27</v>
      </c>
      <c r="CH388" s="93">
        <f>SUM($Z388:BA388)-SUM($CM388:DN388)</f>
        <v>27</v>
      </c>
      <c r="CI388" s="93">
        <f>SUM($Z388:BB388)-SUM($CM388:DO388)</f>
        <v>27</v>
      </c>
      <c r="CJ388" s="93"/>
      <c r="CK388" s="93"/>
      <c r="CL388" s="93"/>
      <c r="CM388" s="93"/>
      <c r="CN388" s="93" cm="1">
        <f t="array" ref="CN388">SUMPRODUCT(TRANSPOSE(CN$4:CN$20),$G388:$W388)</f>
        <v>0</v>
      </c>
      <c r="CO388" s="93" cm="1">
        <f t="array" ref="CO388">SUMPRODUCT(TRANSPOSE(CO$4:CO$20),$G388:$W388)</f>
        <v>0</v>
      </c>
      <c r="CP388" s="93" cm="1">
        <f t="array" ref="CP388">SUMPRODUCT(TRANSPOSE(CP$4:CP$20),$G388:$W388)</f>
        <v>0</v>
      </c>
      <c r="CQ388" s="93" cm="1">
        <f t="array" ref="CQ388">SUMPRODUCT(TRANSPOSE(CQ$4:CQ$20),$G388:$W388)</f>
        <v>8</v>
      </c>
      <c r="CR388" s="93" cm="1">
        <f t="array" ref="CR388">SUMPRODUCT(TRANSPOSE(CR$4:CR$20),$G388:$W388)</f>
        <v>8</v>
      </c>
      <c r="CS388" s="93" cm="1">
        <f t="array" ref="CS388">SUMPRODUCT(TRANSPOSE(CS$4:CS$20),$G388:$W388)</f>
        <v>8</v>
      </c>
      <c r="CT388" s="93" cm="1">
        <f t="array" ref="CT388">SUMPRODUCT(TRANSPOSE(CT$4:CT$20),$G388:$W388)</f>
        <v>8</v>
      </c>
      <c r="CU388" s="93" cm="1">
        <f t="array" ref="CU388">SUMPRODUCT(TRANSPOSE(CU$4:CU$20),$G388:$W388)</f>
        <v>8</v>
      </c>
      <c r="CV388" s="93" cm="1">
        <f t="array" ref="CV388">SUMPRODUCT(TRANSPOSE(CV$4:CV$20),$G388:$W388)</f>
        <v>8</v>
      </c>
      <c r="CW388" s="93" cm="1">
        <f t="array" ref="CW388">SUMPRODUCT(TRANSPOSE(CW$4:CW$20),$G388:$W388)</f>
        <v>8</v>
      </c>
      <c r="CX388" s="93" cm="1">
        <f t="array" ref="CX388">SUMPRODUCT(TRANSPOSE(CX$4:CX$20),$G388:$W388)</f>
        <v>8</v>
      </c>
      <c r="CY388" s="93" cm="1">
        <f t="array" ref="CY388">SUMPRODUCT(TRANSPOSE(CY$4:CY$20),$G388:$W388)</f>
        <v>8</v>
      </c>
      <c r="CZ388" s="93" cm="1">
        <f t="array" ref="CZ388">SUMPRODUCT(TRANSPOSE(CZ$4:CZ$20),$G388:$W388)</f>
        <v>8</v>
      </c>
      <c r="DA388" s="93" cm="1">
        <f t="array" ref="DA388">SUMPRODUCT(TRANSPOSE(DA$4:DA$20),$G388:$W388)</f>
        <v>8</v>
      </c>
      <c r="DB388" s="93" cm="1">
        <f t="array" ref="DB388">SUMPRODUCT(TRANSPOSE(DB$4:DB$20),$G388:$W388)</f>
        <v>8</v>
      </c>
      <c r="DC388" s="93" cm="1">
        <f t="array" ref="DC388">SUMPRODUCT(TRANSPOSE(DC$4:DC$20),$G388:$W388)</f>
        <v>6</v>
      </c>
      <c r="DD388" s="93" cm="1">
        <f t="array" ref="DD388">SUMPRODUCT(TRANSPOSE(DD$4:DD$20),$G388:$W388)</f>
        <v>0</v>
      </c>
      <c r="DE388" s="93" cm="1">
        <f t="array" ref="DE388">SUMPRODUCT(TRANSPOSE(DE$4:DE$20),$G388:$W388)</f>
        <v>0</v>
      </c>
      <c r="DF388" s="93" cm="1">
        <f t="array" ref="DF388">SUMPRODUCT(TRANSPOSE(DF$4:DF$20),$G388:$W388)</f>
        <v>0</v>
      </c>
      <c r="DG388" s="93" cm="1">
        <f t="array" ref="DG388">SUMPRODUCT(TRANSPOSE(DG$4:DG$20),$G388:$W388)</f>
        <v>0</v>
      </c>
      <c r="DH388" s="93" cm="1">
        <f t="array" ref="DH388">SUMPRODUCT(TRANSPOSE(DH$4:DH$20),$G388:$W388)</f>
        <v>0</v>
      </c>
      <c r="DI388" s="93" cm="1">
        <f t="array" ref="DI388">SUMPRODUCT(TRANSPOSE(DI$4:DI$20),$G388:$W388)</f>
        <v>0</v>
      </c>
      <c r="DJ388" s="93" cm="1">
        <f t="array" ref="DJ388">SUMPRODUCT(TRANSPOSE(DJ$4:DJ$20),$G388:$W388)</f>
        <v>0</v>
      </c>
      <c r="DK388" s="93" cm="1">
        <f t="array" ref="DK388">SUMPRODUCT(TRANSPOSE(DK$4:DK$20),$G388:$W388)</f>
        <v>0</v>
      </c>
      <c r="DL388" s="93" cm="1">
        <f t="array" ref="DL388">SUMPRODUCT(TRANSPOSE(DL$4:DL$20),$G388:$W388)</f>
        <v>0</v>
      </c>
      <c r="DM388" s="93" cm="1">
        <f t="array" ref="DM388">SUMPRODUCT(TRANSPOSE(DM$4:DM$20),$G388:$W388)</f>
        <v>0</v>
      </c>
      <c r="DN388" s="93" cm="1">
        <f t="array" ref="DN388">SUMPRODUCT(TRANSPOSE(DN$4:DN$20),$G388:$W388)</f>
        <v>0</v>
      </c>
      <c r="DO388" s="93" cm="1">
        <f t="array" ref="DO388">SUMPRODUCT(TRANSPOSE(DO$4:DO$20),$G388:$W388)</f>
        <v>0</v>
      </c>
    </row>
    <row r="389" spans="1:119" x14ac:dyDescent="0.2">
      <c r="A389" s="45">
        <f t="shared" si="31"/>
        <v>368</v>
      </c>
      <c r="B389" s="64" t="s">
        <v>841</v>
      </c>
      <c r="C389" s="45">
        <v>403787117</v>
      </c>
      <c r="D389" s="45" t="s">
        <v>842</v>
      </c>
      <c r="E389" s="45" t="s">
        <v>162</v>
      </c>
      <c r="F389" s="48">
        <v>1</v>
      </c>
      <c r="G389" s="100">
        <v>2</v>
      </c>
      <c r="H389" s="100">
        <v>0</v>
      </c>
      <c r="I389" s="100">
        <v>0</v>
      </c>
      <c r="J389" s="100">
        <v>0</v>
      </c>
      <c r="K389" s="100">
        <v>0</v>
      </c>
      <c r="L389" s="100">
        <v>0</v>
      </c>
      <c r="M389" s="100">
        <v>0</v>
      </c>
      <c r="N389" s="100">
        <v>0</v>
      </c>
      <c r="O389" s="100">
        <v>0</v>
      </c>
      <c r="P389" s="100">
        <v>0</v>
      </c>
      <c r="Q389" s="100">
        <v>0</v>
      </c>
      <c r="R389" s="100">
        <v>0</v>
      </c>
      <c r="S389" s="100">
        <v>0</v>
      </c>
      <c r="T389" s="100">
        <v>0</v>
      </c>
      <c r="U389" s="100">
        <v>0</v>
      </c>
      <c r="V389" s="100">
        <v>0</v>
      </c>
      <c r="W389" s="100">
        <v>0</v>
      </c>
      <c r="X389" s="45" t="s">
        <v>46</v>
      </c>
      <c r="Y389" s="49">
        <v>245</v>
      </c>
      <c r="Z389" s="45">
        <v>212</v>
      </c>
      <c r="AA389" s="45">
        <v>0</v>
      </c>
      <c r="AB389" s="45">
        <v>0</v>
      </c>
      <c r="AC389" s="45">
        <v>0</v>
      </c>
      <c r="AD389" s="45">
        <v>0</v>
      </c>
      <c r="AE389" s="45">
        <v>0</v>
      </c>
      <c r="AF389" s="45">
        <v>0</v>
      </c>
      <c r="AG389" s="45">
        <v>78</v>
      </c>
      <c r="AH389" s="45">
        <v>0</v>
      </c>
      <c r="AI389" s="45">
        <v>0</v>
      </c>
      <c r="AJ389" s="45">
        <v>0</v>
      </c>
      <c r="AK389" s="45">
        <v>0</v>
      </c>
      <c r="AL389" s="45">
        <v>0</v>
      </c>
      <c r="AM389" s="45">
        <v>0</v>
      </c>
      <c r="AN389" s="45">
        <v>0</v>
      </c>
      <c r="AO389" s="45"/>
      <c r="AP389" s="45"/>
      <c r="AQ389" s="45"/>
      <c r="AR389" s="45"/>
      <c r="AS389" s="45"/>
      <c r="AT389" s="45"/>
      <c r="AU389" s="45"/>
      <c r="AV389" s="45"/>
      <c r="AW389" s="45"/>
      <c r="AX389" s="45"/>
      <c r="AY389" s="45"/>
      <c r="AZ389" s="45"/>
      <c r="BA389" s="45"/>
      <c r="BB389" s="45"/>
      <c r="BC389" s="45"/>
      <c r="BD389" s="93"/>
      <c r="BE389" s="93"/>
      <c r="BF389" s="93"/>
      <c r="BG389" s="93"/>
      <c r="BH389" s="93"/>
      <c r="BI389" s="93"/>
      <c r="BJ389" s="93"/>
      <c r="BK389" s="93">
        <f>SUM($Z389:AD389)-SUM($CM389:CQ389)</f>
        <v>196</v>
      </c>
      <c r="BL389" s="93">
        <f>SUM($Z389:AE389)-SUM($CM389:CR389)</f>
        <v>180</v>
      </c>
      <c r="BM389" s="93">
        <f>SUM($Z389:AF389)-SUM($CM389:CS389)</f>
        <v>164</v>
      </c>
      <c r="BN389" s="93">
        <f>SUM($Z389:AG389)-SUM($CM389:CT389)</f>
        <v>226</v>
      </c>
      <c r="BO389" s="93">
        <f>SUM($Z389:AH389)-SUM($CM389:CU389)</f>
        <v>210</v>
      </c>
      <c r="BP389" s="93">
        <f>SUM($Z389:AI389)-SUM($CM389:CV389)</f>
        <v>194</v>
      </c>
      <c r="BQ389" s="93">
        <f>SUM($Z389:AJ389)-SUM($CM389:CW389)</f>
        <v>178</v>
      </c>
      <c r="BR389" s="93">
        <f>SUM($Z389:AK389)-SUM($CM389:CX389)</f>
        <v>162</v>
      </c>
      <c r="BS389" s="93">
        <f>SUM($Z389:AL389)-SUM($CM389:CY389)</f>
        <v>146</v>
      </c>
      <c r="BT389" s="93">
        <f>SUM($Z389:AM389)-SUM($CM389:CZ389)</f>
        <v>130</v>
      </c>
      <c r="BU389" s="93">
        <f>SUM($Z389:AN389)-SUM($CM389:DA389)</f>
        <v>114</v>
      </c>
      <c r="BV389" s="93">
        <f>SUM($Z389:AO389)-SUM($CM389:DB389)</f>
        <v>98</v>
      </c>
      <c r="BW389" s="93">
        <f>SUM($Z389:AP389)-SUM($CM389:DC389)</f>
        <v>86</v>
      </c>
      <c r="BX389" s="93">
        <f>SUM($Z389:AQ389)-SUM($CM389:DD389)</f>
        <v>86</v>
      </c>
      <c r="BY389" s="93">
        <f>SUM($Z389:AR389)-SUM($CM389:DE389)</f>
        <v>86</v>
      </c>
      <c r="BZ389" s="93">
        <f>SUM($Z389:AS389)-SUM($CM389:DF389)</f>
        <v>86</v>
      </c>
      <c r="CA389" s="93">
        <f>SUM($Z389:AT389)-SUM($CM389:DG389)</f>
        <v>86</v>
      </c>
      <c r="CB389" s="93">
        <f>SUM($Z389:AU389)-SUM($CM389:DH389)</f>
        <v>86</v>
      </c>
      <c r="CC389" s="93">
        <f>SUM($Z389:AV389)-SUM($CM389:DI389)</f>
        <v>86</v>
      </c>
      <c r="CD389" s="93">
        <f>SUM($Z389:AW389)-SUM($CM389:DJ389)</f>
        <v>86</v>
      </c>
      <c r="CE389" s="93">
        <f>SUM($Z389:AX389)-SUM($CM389:DK389)</f>
        <v>86</v>
      </c>
      <c r="CF389" s="93">
        <f>SUM($Z389:AY389)-SUM($CM389:DL389)</f>
        <v>86</v>
      </c>
      <c r="CG389" s="93">
        <f>SUM($Z389:AZ389)-SUM($CM389:DM389)</f>
        <v>86</v>
      </c>
      <c r="CH389" s="93">
        <f>SUM($Z389:BA389)-SUM($CM389:DN389)</f>
        <v>86</v>
      </c>
      <c r="CI389" s="93">
        <f>SUM($Z389:BB389)-SUM($CM389:DO389)</f>
        <v>86</v>
      </c>
      <c r="CJ389" s="93"/>
      <c r="CK389" s="93"/>
      <c r="CL389" s="93"/>
      <c r="CM389" s="93"/>
      <c r="CN389" s="93" cm="1">
        <f t="array" ref="CN389">SUMPRODUCT(TRANSPOSE(CN$4:CN$20),$G389:$W389)</f>
        <v>0</v>
      </c>
      <c r="CO389" s="93" cm="1">
        <f t="array" ref="CO389">SUMPRODUCT(TRANSPOSE(CO$4:CO$20),$G389:$W389)</f>
        <v>0</v>
      </c>
      <c r="CP389" s="93" cm="1">
        <f t="array" ref="CP389">SUMPRODUCT(TRANSPOSE(CP$4:CP$20),$G389:$W389)</f>
        <v>0</v>
      </c>
      <c r="CQ389" s="93" cm="1">
        <f t="array" ref="CQ389">SUMPRODUCT(TRANSPOSE(CQ$4:CQ$20),$G389:$W389)</f>
        <v>16</v>
      </c>
      <c r="CR389" s="93" cm="1">
        <f t="array" ref="CR389">SUMPRODUCT(TRANSPOSE(CR$4:CR$20),$G389:$W389)</f>
        <v>16</v>
      </c>
      <c r="CS389" s="93" cm="1">
        <f t="array" ref="CS389">SUMPRODUCT(TRANSPOSE(CS$4:CS$20),$G389:$W389)</f>
        <v>16</v>
      </c>
      <c r="CT389" s="93" cm="1">
        <f t="array" ref="CT389">SUMPRODUCT(TRANSPOSE(CT$4:CT$20),$G389:$W389)</f>
        <v>16</v>
      </c>
      <c r="CU389" s="93" cm="1">
        <f t="array" ref="CU389">SUMPRODUCT(TRANSPOSE(CU$4:CU$20),$G389:$W389)</f>
        <v>16</v>
      </c>
      <c r="CV389" s="93" cm="1">
        <f t="array" ref="CV389">SUMPRODUCT(TRANSPOSE(CV$4:CV$20),$G389:$W389)</f>
        <v>16</v>
      </c>
      <c r="CW389" s="93" cm="1">
        <f t="array" ref="CW389">SUMPRODUCT(TRANSPOSE(CW$4:CW$20),$G389:$W389)</f>
        <v>16</v>
      </c>
      <c r="CX389" s="93" cm="1">
        <f t="array" ref="CX389">SUMPRODUCT(TRANSPOSE(CX$4:CX$20),$G389:$W389)</f>
        <v>16</v>
      </c>
      <c r="CY389" s="93" cm="1">
        <f t="array" ref="CY389">SUMPRODUCT(TRANSPOSE(CY$4:CY$20),$G389:$W389)</f>
        <v>16</v>
      </c>
      <c r="CZ389" s="93" cm="1">
        <f t="array" ref="CZ389">SUMPRODUCT(TRANSPOSE(CZ$4:CZ$20),$G389:$W389)</f>
        <v>16</v>
      </c>
      <c r="DA389" s="93" cm="1">
        <f t="array" ref="DA389">SUMPRODUCT(TRANSPOSE(DA$4:DA$20),$G389:$W389)</f>
        <v>16</v>
      </c>
      <c r="DB389" s="93" cm="1">
        <f t="array" ref="DB389">SUMPRODUCT(TRANSPOSE(DB$4:DB$20),$G389:$W389)</f>
        <v>16</v>
      </c>
      <c r="DC389" s="93" cm="1">
        <f t="array" ref="DC389">SUMPRODUCT(TRANSPOSE(DC$4:DC$20),$G389:$W389)</f>
        <v>12</v>
      </c>
      <c r="DD389" s="93" cm="1">
        <f t="array" ref="DD389">SUMPRODUCT(TRANSPOSE(DD$4:DD$20),$G389:$W389)</f>
        <v>0</v>
      </c>
      <c r="DE389" s="93" cm="1">
        <f t="array" ref="DE389">SUMPRODUCT(TRANSPOSE(DE$4:DE$20),$G389:$W389)</f>
        <v>0</v>
      </c>
      <c r="DF389" s="93" cm="1">
        <f t="array" ref="DF389">SUMPRODUCT(TRANSPOSE(DF$4:DF$20),$G389:$W389)</f>
        <v>0</v>
      </c>
      <c r="DG389" s="93" cm="1">
        <f t="array" ref="DG389">SUMPRODUCT(TRANSPOSE(DG$4:DG$20),$G389:$W389)</f>
        <v>0</v>
      </c>
      <c r="DH389" s="93" cm="1">
        <f t="array" ref="DH389">SUMPRODUCT(TRANSPOSE(DH$4:DH$20),$G389:$W389)</f>
        <v>0</v>
      </c>
      <c r="DI389" s="93" cm="1">
        <f t="array" ref="DI389">SUMPRODUCT(TRANSPOSE(DI$4:DI$20),$G389:$W389)</f>
        <v>0</v>
      </c>
      <c r="DJ389" s="93" cm="1">
        <f t="array" ref="DJ389">SUMPRODUCT(TRANSPOSE(DJ$4:DJ$20),$G389:$W389)</f>
        <v>0</v>
      </c>
      <c r="DK389" s="93" cm="1">
        <f t="array" ref="DK389">SUMPRODUCT(TRANSPOSE(DK$4:DK$20),$G389:$W389)</f>
        <v>0</v>
      </c>
      <c r="DL389" s="93" cm="1">
        <f t="array" ref="DL389">SUMPRODUCT(TRANSPOSE(DL$4:DL$20),$G389:$W389)</f>
        <v>0</v>
      </c>
      <c r="DM389" s="93" cm="1">
        <f t="array" ref="DM389">SUMPRODUCT(TRANSPOSE(DM$4:DM$20),$G389:$W389)</f>
        <v>0</v>
      </c>
      <c r="DN389" s="93" cm="1">
        <f t="array" ref="DN389">SUMPRODUCT(TRANSPOSE(DN$4:DN$20),$G389:$W389)</f>
        <v>0</v>
      </c>
      <c r="DO389" s="93" cm="1">
        <f t="array" ref="DO389">SUMPRODUCT(TRANSPOSE(DO$4:DO$20),$G389:$W389)</f>
        <v>0</v>
      </c>
    </row>
    <row r="390" spans="1:119" x14ac:dyDescent="0.2">
      <c r="A390" s="45">
        <f t="shared" si="31"/>
        <v>369</v>
      </c>
      <c r="B390" s="64" t="s">
        <v>843</v>
      </c>
      <c r="C390" s="45">
        <v>403776248</v>
      </c>
      <c r="D390" s="45" t="s">
        <v>844</v>
      </c>
      <c r="E390" s="45" t="s">
        <v>162</v>
      </c>
      <c r="F390" s="48">
        <v>1</v>
      </c>
      <c r="G390" s="100">
        <v>5</v>
      </c>
      <c r="H390" s="100">
        <v>0</v>
      </c>
      <c r="I390" s="100">
        <v>0</v>
      </c>
      <c r="J390" s="100">
        <v>0</v>
      </c>
      <c r="K390" s="100">
        <v>0</v>
      </c>
      <c r="L390" s="100">
        <v>0</v>
      </c>
      <c r="M390" s="100">
        <v>0</v>
      </c>
      <c r="N390" s="100">
        <v>0</v>
      </c>
      <c r="O390" s="100">
        <v>0</v>
      </c>
      <c r="P390" s="100">
        <v>0</v>
      </c>
      <c r="Q390" s="100">
        <v>0</v>
      </c>
      <c r="R390" s="100">
        <v>0</v>
      </c>
      <c r="S390" s="100">
        <v>0</v>
      </c>
      <c r="T390" s="100">
        <v>0</v>
      </c>
      <c r="U390" s="100">
        <v>0</v>
      </c>
      <c r="V390" s="100">
        <v>0</v>
      </c>
      <c r="W390" s="100">
        <v>0</v>
      </c>
      <c r="X390" s="45" t="s">
        <v>46</v>
      </c>
      <c r="Y390" s="49">
        <v>245</v>
      </c>
      <c r="Z390" s="45">
        <v>300</v>
      </c>
      <c r="AA390" s="45">
        <v>0</v>
      </c>
      <c r="AB390" s="45">
        <v>0</v>
      </c>
      <c r="AC390" s="45">
        <v>0</v>
      </c>
      <c r="AD390" s="45">
        <v>0</v>
      </c>
      <c r="AE390" s="45">
        <v>0</v>
      </c>
      <c r="AF390" s="45">
        <v>0</v>
      </c>
      <c r="AG390" s="45">
        <v>332</v>
      </c>
      <c r="AH390" s="45">
        <v>0</v>
      </c>
      <c r="AI390" s="45">
        <v>0</v>
      </c>
      <c r="AJ390" s="45">
        <v>0</v>
      </c>
      <c r="AK390" s="45">
        <v>0</v>
      </c>
      <c r="AL390" s="45">
        <v>0</v>
      </c>
      <c r="AM390" s="45">
        <v>0</v>
      </c>
      <c r="AN390" s="45">
        <v>0</v>
      </c>
      <c r="AO390" s="45"/>
      <c r="AP390" s="45"/>
      <c r="AQ390" s="45"/>
      <c r="AR390" s="45"/>
      <c r="AS390" s="45"/>
      <c r="AT390" s="45"/>
      <c r="AU390" s="45"/>
      <c r="AV390" s="45"/>
      <c r="AW390" s="45"/>
      <c r="AX390" s="45"/>
      <c r="AY390" s="45"/>
      <c r="AZ390" s="45"/>
      <c r="BA390" s="45"/>
      <c r="BB390" s="45"/>
      <c r="BC390" s="45"/>
      <c r="BD390" s="93"/>
      <c r="BE390" s="93"/>
      <c r="BF390" s="93"/>
      <c r="BG390" s="93"/>
      <c r="BH390" s="93"/>
      <c r="BI390" s="93"/>
      <c r="BJ390" s="93"/>
      <c r="BK390" s="93">
        <f>SUM($Z390:AD390)-SUM($CM390:CQ390)</f>
        <v>260</v>
      </c>
      <c r="BL390" s="93">
        <f>SUM($Z390:AE390)-SUM($CM390:CR390)</f>
        <v>220</v>
      </c>
      <c r="BM390" s="93">
        <f>SUM($Z390:AF390)-SUM($CM390:CS390)</f>
        <v>180</v>
      </c>
      <c r="BN390" s="93">
        <f>SUM($Z390:AG390)-SUM($CM390:CT390)</f>
        <v>472</v>
      </c>
      <c r="BO390" s="93">
        <f>SUM($Z390:AH390)-SUM($CM390:CU390)</f>
        <v>432</v>
      </c>
      <c r="BP390" s="93">
        <f>SUM($Z390:AI390)-SUM($CM390:CV390)</f>
        <v>392</v>
      </c>
      <c r="BQ390" s="93">
        <f>SUM($Z390:AJ390)-SUM($CM390:CW390)</f>
        <v>352</v>
      </c>
      <c r="BR390" s="93">
        <f>SUM($Z390:AK390)-SUM($CM390:CX390)</f>
        <v>312</v>
      </c>
      <c r="BS390" s="93">
        <f>SUM($Z390:AL390)-SUM($CM390:CY390)</f>
        <v>272</v>
      </c>
      <c r="BT390" s="93">
        <f>SUM($Z390:AM390)-SUM($CM390:CZ390)</f>
        <v>232</v>
      </c>
      <c r="BU390" s="93">
        <f>SUM($Z390:AN390)-SUM($CM390:DA390)</f>
        <v>192</v>
      </c>
      <c r="BV390" s="93">
        <f>SUM($Z390:AO390)-SUM($CM390:DB390)</f>
        <v>152</v>
      </c>
      <c r="BW390" s="93">
        <f>SUM($Z390:AP390)-SUM($CM390:DC390)</f>
        <v>122</v>
      </c>
      <c r="BX390" s="93">
        <f>SUM($Z390:AQ390)-SUM($CM390:DD390)</f>
        <v>122</v>
      </c>
      <c r="BY390" s="93">
        <f>SUM($Z390:AR390)-SUM($CM390:DE390)</f>
        <v>122</v>
      </c>
      <c r="BZ390" s="93">
        <f>SUM($Z390:AS390)-SUM($CM390:DF390)</f>
        <v>122</v>
      </c>
      <c r="CA390" s="93">
        <f>SUM($Z390:AT390)-SUM($CM390:DG390)</f>
        <v>122</v>
      </c>
      <c r="CB390" s="93">
        <f>SUM($Z390:AU390)-SUM($CM390:DH390)</f>
        <v>122</v>
      </c>
      <c r="CC390" s="93">
        <f>SUM($Z390:AV390)-SUM($CM390:DI390)</f>
        <v>122</v>
      </c>
      <c r="CD390" s="93">
        <f>SUM($Z390:AW390)-SUM($CM390:DJ390)</f>
        <v>122</v>
      </c>
      <c r="CE390" s="93">
        <f>SUM($Z390:AX390)-SUM($CM390:DK390)</f>
        <v>122</v>
      </c>
      <c r="CF390" s="93">
        <f>SUM($Z390:AY390)-SUM($CM390:DL390)</f>
        <v>122</v>
      </c>
      <c r="CG390" s="93">
        <f>SUM($Z390:AZ390)-SUM($CM390:DM390)</f>
        <v>122</v>
      </c>
      <c r="CH390" s="93">
        <f>SUM($Z390:BA390)-SUM($CM390:DN390)</f>
        <v>122</v>
      </c>
      <c r="CI390" s="93">
        <f>SUM($Z390:BB390)-SUM($CM390:DO390)</f>
        <v>122</v>
      </c>
      <c r="CJ390" s="93"/>
      <c r="CK390" s="93"/>
      <c r="CL390" s="93"/>
      <c r="CM390" s="93"/>
      <c r="CN390" s="93" cm="1">
        <f t="array" ref="CN390">SUMPRODUCT(TRANSPOSE(CN$4:CN$20),$G390:$W390)</f>
        <v>0</v>
      </c>
      <c r="CO390" s="93" cm="1">
        <f t="array" ref="CO390">SUMPRODUCT(TRANSPOSE(CO$4:CO$20),$G390:$W390)</f>
        <v>0</v>
      </c>
      <c r="CP390" s="93" cm="1">
        <f t="array" ref="CP390">SUMPRODUCT(TRANSPOSE(CP$4:CP$20),$G390:$W390)</f>
        <v>0</v>
      </c>
      <c r="CQ390" s="93" cm="1">
        <f t="array" ref="CQ390">SUMPRODUCT(TRANSPOSE(CQ$4:CQ$20),$G390:$W390)</f>
        <v>40</v>
      </c>
      <c r="CR390" s="93" cm="1">
        <f t="array" ref="CR390">SUMPRODUCT(TRANSPOSE(CR$4:CR$20),$G390:$W390)</f>
        <v>40</v>
      </c>
      <c r="CS390" s="93" cm="1">
        <f t="array" ref="CS390">SUMPRODUCT(TRANSPOSE(CS$4:CS$20),$G390:$W390)</f>
        <v>40</v>
      </c>
      <c r="CT390" s="93" cm="1">
        <f t="array" ref="CT390">SUMPRODUCT(TRANSPOSE(CT$4:CT$20),$G390:$W390)</f>
        <v>40</v>
      </c>
      <c r="CU390" s="93" cm="1">
        <f t="array" ref="CU390">SUMPRODUCT(TRANSPOSE(CU$4:CU$20),$G390:$W390)</f>
        <v>40</v>
      </c>
      <c r="CV390" s="93" cm="1">
        <f t="array" ref="CV390">SUMPRODUCT(TRANSPOSE(CV$4:CV$20),$G390:$W390)</f>
        <v>40</v>
      </c>
      <c r="CW390" s="93" cm="1">
        <f t="array" ref="CW390">SUMPRODUCT(TRANSPOSE(CW$4:CW$20),$G390:$W390)</f>
        <v>40</v>
      </c>
      <c r="CX390" s="93" cm="1">
        <f t="array" ref="CX390">SUMPRODUCT(TRANSPOSE(CX$4:CX$20),$G390:$W390)</f>
        <v>40</v>
      </c>
      <c r="CY390" s="93" cm="1">
        <f t="array" ref="CY390">SUMPRODUCT(TRANSPOSE(CY$4:CY$20),$G390:$W390)</f>
        <v>40</v>
      </c>
      <c r="CZ390" s="93" cm="1">
        <f t="array" ref="CZ390">SUMPRODUCT(TRANSPOSE(CZ$4:CZ$20),$G390:$W390)</f>
        <v>40</v>
      </c>
      <c r="DA390" s="93" cm="1">
        <f t="array" ref="DA390">SUMPRODUCT(TRANSPOSE(DA$4:DA$20),$G390:$W390)</f>
        <v>40</v>
      </c>
      <c r="DB390" s="93" cm="1">
        <f t="array" ref="DB390">SUMPRODUCT(TRANSPOSE(DB$4:DB$20),$G390:$W390)</f>
        <v>40</v>
      </c>
      <c r="DC390" s="93" cm="1">
        <f t="array" ref="DC390">SUMPRODUCT(TRANSPOSE(DC$4:DC$20),$G390:$W390)</f>
        <v>30</v>
      </c>
      <c r="DD390" s="93" cm="1">
        <f t="array" ref="DD390">SUMPRODUCT(TRANSPOSE(DD$4:DD$20),$G390:$W390)</f>
        <v>0</v>
      </c>
      <c r="DE390" s="93" cm="1">
        <f t="array" ref="DE390">SUMPRODUCT(TRANSPOSE(DE$4:DE$20),$G390:$W390)</f>
        <v>0</v>
      </c>
      <c r="DF390" s="93" cm="1">
        <f t="array" ref="DF390">SUMPRODUCT(TRANSPOSE(DF$4:DF$20),$G390:$W390)</f>
        <v>0</v>
      </c>
      <c r="DG390" s="93" cm="1">
        <f t="array" ref="DG390">SUMPRODUCT(TRANSPOSE(DG$4:DG$20),$G390:$W390)</f>
        <v>0</v>
      </c>
      <c r="DH390" s="93" cm="1">
        <f t="array" ref="DH390">SUMPRODUCT(TRANSPOSE(DH$4:DH$20),$G390:$W390)</f>
        <v>0</v>
      </c>
      <c r="DI390" s="93" cm="1">
        <f t="array" ref="DI390">SUMPRODUCT(TRANSPOSE(DI$4:DI$20),$G390:$W390)</f>
        <v>0</v>
      </c>
      <c r="DJ390" s="93" cm="1">
        <f t="array" ref="DJ390">SUMPRODUCT(TRANSPOSE(DJ$4:DJ$20),$G390:$W390)</f>
        <v>0</v>
      </c>
      <c r="DK390" s="93" cm="1">
        <f t="array" ref="DK390">SUMPRODUCT(TRANSPOSE(DK$4:DK$20),$G390:$W390)</f>
        <v>0</v>
      </c>
      <c r="DL390" s="93" cm="1">
        <f t="array" ref="DL390">SUMPRODUCT(TRANSPOSE(DL$4:DL$20),$G390:$W390)</f>
        <v>0</v>
      </c>
      <c r="DM390" s="93" cm="1">
        <f t="array" ref="DM390">SUMPRODUCT(TRANSPOSE(DM$4:DM$20),$G390:$W390)</f>
        <v>0</v>
      </c>
      <c r="DN390" s="93" cm="1">
        <f t="array" ref="DN390">SUMPRODUCT(TRANSPOSE(DN$4:DN$20),$G390:$W390)</f>
        <v>0</v>
      </c>
      <c r="DO390" s="93" cm="1">
        <f t="array" ref="DO390">SUMPRODUCT(TRANSPOSE(DO$4:DO$20),$G390:$W390)</f>
        <v>0</v>
      </c>
    </row>
    <row r="391" spans="1:119" x14ac:dyDescent="0.2">
      <c r="A391" s="45">
        <f t="shared" si="31"/>
        <v>370</v>
      </c>
      <c r="B391" s="64" t="s">
        <v>845</v>
      </c>
      <c r="C391" s="45">
        <v>417832196</v>
      </c>
      <c r="D391" s="45" t="s">
        <v>846</v>
      </c>
      <c r="E391" s="45" t="s">
        <v>162</v>
      </c>
      <c r="F391" s="48">
        <v>1</v>
      </c>
      <c r="G391" s="100">
        <v>0</v>
      </c>
      <c r="H391" s="100">
        <v>0</v>
      </c>
      <c r="I391" s="100">
        <v>1</v>
      </c>
      <c r="J391" s="100">
        <v>0</v>
      </c>
      <c r="K391" s="100">
        <v>0</v>
      </c>
      <c r="L391" s="100">
        <v>0</v>
      </c>
      <c r="M391" s="100">
        <v>0</v>
      </c>
      <c r="N391" s="100">
        <v>0</v>
      </c>
      <c r="O391" s="100">
        <v>0</v>
      </c>
      <c r="P391" s="100">
        <v>0</v>
      </c>
      <c r="Q391" s="100">
        <v>0</v>
      </c>
      <c r="R391" s="100">
        <v>0</v>
      </c>
      <c r="S391" s="100">
        <v>0</v>
      </c>
      <c r="T391" s="100">
        <v>0</v>
      </c>
      <c r="U391" s="100">
        <v>0</v>
      </c>
      <c r="V391" s="100">
        <v>0</v>
      </c>
      <c r="W391" s="100">
        <v>0</v>
      </c>
      <c r="X391" s="45" t="s">
        <v>46</v>
      </c>
      <c r="Y391" s="49">
        <v>16</v>
      </c>
      <c r="Z391" s="45">
        <v>130</v>
      </c>
      <c r="AA391" s="45">
        <v>0</v>
      </c>
      <c r="AB391" s="45">
        <v>0</v>
      </c>
      <c r="AC391" s="45">
        <v>0</v>
      </c>
      <c r="AD391" s="45">
        <v>0</v>
      </c>
      <c r="AE391" s="45">
        <v>0</v>
      </c>
      <c r="AF391" s="45">
        <v>0</v>
      </c>
      <c r="AG391" s="45">
        <v>0</v>
      </c>
      <c r="AH391" s="45">
        <v>0</v>
      </c>
      <c r="AI391" s="45">
        <v>0</v>
      </c>
      <c r="AJ391" s="45">
        <v>0</v>
      </c>
      <c r="AK391" s="45">
        <v>0</v>
      </c>
      <c r="AL391" s="45">
        <v>0</v>
      </c>
      <c r="AM391" s="45">
        <v>0</v>
      </c>
      <c r="AN391" s="45">
        <v>0</v>
      </c>
      <c r="AO391" s="45"/>
      <c r="AP391" s="45"/>
      <c r="AQ391" s="45"/>
      <c r="AR391" s="45"/>
      <c r="AS391" s="45"/>
      <c r="AT391" s="45"/>
      <c r="AU391" s="45"/>
      <c r="AV391" s="45"/>
      <c r="AW391" s="45"/>
      <c r="AX391" s="45"/>
      <c r="AY391" s="45"/>
      <c r="AZ391" s="45"/>
      <c r="BA391" s="45"/>
      <c r="BB391" s="45"/>
      <c r="BC391" s="45"/>
      <c r="BD391" s="93"/>
      <c r="BE391" s="93"/>
      <c r="BF391" s="93"/>
      <c r="BG391" s="93"/>
      <c r="BH391" s="93"/>
      <c r="BI391" s="93"/>
      <c r="BJ391" s="93"/>
      <c r="BK391" s="93">
        <f>SUM($Z391:AD391)-SUM($CM391:CQ391)</f>
        <v>122</v>
      </c>
      <c r="BL391" s="93">
        <f>SUM($Z391:AE391)-SUM($CM391:CR391)</f>
        <v>114</v>
      </c>
      <c r="BM391" s="93">
        <f>SUM($Z391:AF391)-SUM($CM391:CS391)</f>
        <v>106</v>
      </c>
      <c r="BN391" s="93">
        <f>SUM($Z391:AG391)-SUM($CM391:CT391)</f>
        <v>98</v>
      </c>
      <c r="BO391" s="93">
        <f>SUM($Z391:AH391)-SUM($CM391:CU391)</f>
        <v>90</v>
      </c>
      <c r="BP391" s="93">
        <f>SUM($Z391:AI391)-SUM($CM391:CV391)</f>
        <v>82</v>
      </c>
      <c r="BQ391" s="93">
        <f>SUM($Z391:AJ391)-SUM($CM391:CW391)</f>
        <v>74</v>
      </c>
      <c r="BR391" s="93">
        <f>SUM($Z391:AK391)-SUM($CM391:CX391)</f>
        <v>66</v>
      </c>
      <c r="BS391" s="93">
        <f>SUM($Z391:AL391)-SUM($CM391:CY391)</f>
        <v>58</v>
      </c>
      <c r="BT391" s="93">
        <f>SUM($Z391:AM391)-SUM($CM391:CZ391)</f>
        <v>50</v>
      </c>
      <c r="BU391" s="93">
        <f>SUM($Z391:AN391)-SUM($CM391:DA391)</f>
        <v>42</v>
      </c>
      <c r="BV391" s="93">
        <f>SUM($Z391:AO391)-SUM($CM391:DB391)</f>
        <v>34</v>
      </c>
      <c r="BW391" s="93">
        <f>SUM($Z391:AP391)-SUM($CM391:DC391)</f>
        <v>28</v>
      </c>
      <c r="BX391" s="93">
        <f>SUM($Z391:AQ391)-SUM($CM391:DD391)</f>
        <v>28</v>
      </c>
      <c r="BY391" s="93">
        <f>SUM($Z391:AR391)-SUM($CM391:DE391)</f>
        <v>28</v>
      </c>
      <c r="BZ391" s="93">
        <f>SUM($Z391:AS391)-SUM($CM391:DF391)</f>
        <v>28</v>
      </c>
      <c r="CA391" s="93">
        <f>SUM($Z391:AT391)-SUM($CM391:DG391)</f>
        <v>28</v>
      </c>
      <c r="CB391" s="93">
        <f>SUM($Z391:AU391)-SUM($CM391:DH391)</f>
        <v>28</v>
      </c>
      <c r="CC391" s="93">
        <f>SUM($Z391:AV391)-SUM($CM391:DI391)</f>
        <v>28</v>
      </c>
      <c r="CD391" s="93">
        <f>SUM($Z391:AW391)-SUM($CM391:DJ391)</f>
        <v>28</v>
      </c>
      <c r="CE391" s="93">
        <f>SUM($Z391:AX391)-SUM($CM391:DK391)</f>
        <v>28</v>
      </c>
      <c r="CF391" s="93">
        <f>SUM($Z391:AY391)-SUM($CM391:DL391)</f>
        <v>28</v>
      </c>
      <c r="CG391" s="93">
        <f>SUM($Z391:AZ391)-SUM($CM391:DM391)</f>
        <v>28</v>
      </c>
      <c r="CH391" s="93">
        <f>SUM($Z391:BA391)-SUM($CM391:DN391)</f>
        <v>28</v>
      </c>
      <c r="CI391" s="93">
        <f>SUM($Z391:BB391)-SUM($CM391:DO391)</f>
        <v>28</v>
      </c>
      <c r="CJ391" s="93"/>
      <c r="CK391" s="93"/>
      <c r="CL391" s="93"/>
      <c r="CM391" s="93"/>
      <c r="CN391" s="93" cm="1">
        <f t="array" ref="CN391">SUMPRODUCT(TRANSPOSE(CN$4:CN$20),$G391:$W391)</f>
        <v>0</v>
      </c>
      <c r="CO391" s="93" cm="1">
        <f t="array" ref="CO391">SUMPRODUCT(TRANSPOSE(CO$4:CO$20),$G391:$W391)</f>
        <v>0</v>
      </c>
      <c r="CP391" s="93" cm="1">
        <f t="array" ref="CP391">SUMPRODUCT(TRANSPOSE(CP$4:CP$20),$G391:$W391)</f>
        <v>0</v>
      </c>
      <c r="CQ391" s="93" cm="1">
        <f t="array" ref="CQ391">SUMPRODUCT(TRANSPOSE(CQ$4:CQ$20),$G391:$W391)</f>
        <v>8</v>
      </c>
      <c r="CR391" s="93" cm="1">
        <f t="array" ref="CR391">SUMPRODUCT(TRANSPOSE(CR$4:CR$20),$G391:$W391)</f>
        <v>8</v>
      </c>
      <c r="CS391" s="93" cm="1">
        <f t="array" ref="CS391">SUMPRODUCT(TRANSPOSE(CS$4:CS$20),$G391:$W391)</f>
        <v>8</v>
      </c>
      <c r="CT391" s="93" cm="1">
        <f t="array" ref="CT391">SUMPRODUCT(TRANSPOSE(CT$4:CT$20),$G391:$W391)</f>
        <v>8</v>
      </c>
      <c r="CU391" s="93" cm="1">
        <f t="array" ref="CU391">SUMPRODUCT(TRANSPOSE(CU$4:CU$20),$G391:$W391)</f>
        <v>8</v>
      </c>
      <c r="CV391" s="93" cm="1">
        <f t="array" ref="CV391">SUMPRODUCT(TRANSPOSE(CV$4:CV$20),$G391:$W391)</f>
        <v>8</v>
      </c>
      <c r="CW391" s="93" cm="1">
        <f t="array" ref="CW391">SUMPRODUCT(TRANSPOSE(CW$4:CW$20),$G391:$W391)</f>
        <v>8</v>
      </c>
      <c r="CX391" s="93" cm="1">
        <f t="array" ref="CX391">SUMPRODUCT(TRANSPOSE(CX$4:CX$20),$G391:$W391)</f>
        <v>8</v>
      </c>
      <c r="CY391" s="93" cm="1">
        <f t="array" ref="CY391">SUMPRODUCT(TRANSPOSE(CY$4:CY$20),$G391:$W391)</f>
        <v>8</v>
      </c>
      <c r="CZ391" s="93" cm="1">
        <f t="array" ref="CZ391">SUMPRODUCT(TRANSPOSE(CZ$4:CZ$20),$G391:$W391)</f>
        <v>8</v>
      </c>
      <c r="DA391" s="93" cm="1">
        <f t="array" ref="DA391">SUMPRODUCT(TRANSPOSE(DA$4:DA$20),$G391:$W391)</f>
        <v>8</v>
      </c>
      <c r="DB391" s="93" cm="1">
        <f t="array" ref="DB391">SUMPRODUCT(TRANSPOSE(DB$4:DB$20),$G391:$W391)</f>
        <v>8</v>
      </c>
      <c r="DC391" s="93" cm="1">
        <f t="array" ref="DC391">SUMPRODUCT(TRANSPOSE(DC$4:DC$20),$G391:$W391)</f>
        <v>6</v>
      </c>
      <c r="DD391" s="93" cm="1">
        <f t="array" ref="DD391">SUMPRODUCT(TRANSPOSE(DD$4:DD$20),$G391:$W391)</f>
        <v>0</v>
      </c>
      <c r="DE391" s="93" cm="1">
        <f t="array" ref="DE391">SUMPRODUCT(TRANSPOSE(DE$4:DE$20),$G391:$W391)</f>
        <v>0</v>
      </c>
      <c r="DF391" s="93" cm="1">
        <f t="array" ref="DF391">SUMPRODUCT(TRANSPOSE(DF$4:DF$20),$G391:$W391)</f>
        <v>0</v>
      </c>
      <c r="DG391" s="93" cm="1">
        <f t="array" ref="DG391">SUMPRODUCT(TRANSPOSE(DG$4:DG$20),$G391:$W391)</f>
        <v>0</v>
      </c>
      <c r="DH391" s="93" cm="1">
        <f t="array" ref="DH391">SUMPRODUCT(TRANSPOSE(DH$4:DH$20),$G391:$W391)</f>
        <v>0</v>
      </c>
      <c r="DI391" s="93" cm="1">
        <f t="array" ref="DI391">SUMPRODUCT(TRANSPOSE(DI$4:DI$20),$G391:$W391)</f>
        <v>0</v>
      </c>
      <c r="DJ391" s="93" cm="1">
        <f t="array" ref="DJ391">SUMPRODUCT(TRANSPOSE(DJ$4:DJ$20),$G391:$W391)</f>
        <v>0</v>
      </c>
      <c r="DK391" s="93" cm="1">
        <f t="array" ref="DK391">SUMPRODUCT(TRANSPOSE(DK$4:DK$20),$G391:$W391)</f>
        <v>0</v>
      </c>
      <c r="DL391" s="93" cm="1">
        <f t="array" ref="DL391">SUMPRODUCT(TRANSPOSE(DL$4:DL$20),$G391:$W391)</f>
        <v>0</v>
      </c>
      <c r="DM391" s="93" cm="1">
        <f t="array" ref="DM391">SUMPRODUCT(TRANSPOSE(DM$4:DM$20),$G391:$W391)</f>
        <v>0</v>
      </c>
      <c r="DN391" s="93" cm="1">
        <f t="array" ref="DN391">SUMPRODUCT(TRANSPOSE(DN$4:DN$20),$G391:$W391)</f>
        <v>0</v>
      </c>
      <c r="DO391" s="93" cm="1">
        <f t="array" ref="DO391">SUMPRODUCT(TRANSPOSE(DO$4:DO$20),$G391:$W391)</f>
        <v>0</v>
      </c>
    </row>
    <row r="392" spans="1:119" x14ac:dyDescent="0.2">
      <c r="A392" s="45">
        <f t="shared" si="31"/>
        <v>371</v>
      </c>
      <c r="B392" s="64" t="s">
        <v>847</v>
      </c>
      <c r="C392" s="45">
        <v>417305082</v>
      </c>
      <c r="D392" s="45" t="s">
        <v>848</v>
      </c>
      <c r="E392" s="45" t="s">
        <v>162</v>
      </c>
      <c r="F392" s="48">
        <v>1</v>
      </c>
      <c r="G392" s="100">
        <v>0</v>
      </c>
      <c r="H392" s="100">
        <v>0</v>
      </c>
      <c r="I392" s="100">
        <v>2</v>
      </c>
      <c r="J392" s="100">
        <v>0</v>
      </c>
      <c r="K392" s="100">
        <v>2</v>
      </c>
      <c r="L392" s="100">
        <v>0</v>
      </c>
      <c r="M392" s="100">
        <v>0</v>
      </c>
      <c r="N392" s="100">
        <v>0</v>
      </c>
      <c r="O392" s="100">
        <v>0</v>
      </c>
      <c r="P392" s="100">
        <v>0</v>
      </c>
      <c r="Q392" s="100">
        <v>0</v>
      </c>
      <c r="R392" s="100">
        <v>0</v>
      </c>
      <c r="S392" s="100">
        <v>0</v>
      </c>
      <c r="T392" s="100">
        <v>0</v>
      </c>
      <c r="U392" s="100">
        <v>0</v>
      </c>
      <c r="V392" s="100">
        <v>0</v>
      </c>
      <c r="W392" s="100">
        <v>0</v>
      </c>
      <c r="X392" s="45" t="s">
        <v>46</v>
      </c>
      <c r="Y392" s="49">
        <v>8</v>
      </c>
      <c r="Z392" s="45">
        <v>520</v>
      </c>
      <c r="AA392" s="45">
        <v>0</v>
      </c>
      <c r="AB392" s="45">
        <v>0</v>
      </c>
      <c r="AC392" s="45">
        <v>0</v>
      </c>
      <c r="AD392" s="45">
        <v>0</v>
      </c>
      <c r="AE392" s="45">
        <v>0</v>
      </c>
      <c r="AF392" s="45">
        <v>0</v>
      </c>
      <c r="AG392" s="45">
        <v>0</v>
      </c>
      <c r="AH392" s="45">
        <v>0</v>
      </c>
      <c r="AI392" s="45">
        <v>0</v>
      </c>
      <c r="AJ392" s="45">
        <v>0</v>
      </c>
      <c r="AK392" s="45">
        <v>0</v>
      </c>
      <c r="AL392" s="45">
        <v>0</v>
      </c>
      <c r="AM392" s="45">
        <v>0</v>
      </c>
      <c r="AN392" s="45">
        <v>0</v>
      </c>
      <c r="AO392" s="45"/>
      <c r="AP392" s="45"/>
      <c r="AQ392" s="45"/>
      <c r="AR392" s="45"/>
      <c r="AS392" s="45"/>
      <c r="AT392" s="45"/>
      <c r="AU392" s="45"/>
      <c r="AV392" s="45"/>
      <c r="AW392" s="45"/>
      <c r="AX392" s="45"/>
      <c r="AY392" s="45"/>
      <c r="AZ392" s="45"/>
      <c r="BA392" s="45"/>
      <c r="BB392" s="45"/>
      <c r="BC392" s="45"/>
      <c r="BD392" s="93"/>
      <c r="BE392" s="93"/>
      <c r="BF392" s="93"/>
      <c r="BG392" s="93"/>
      <c r="BH392" s="93"/>
      <c r="BI392" s="93"/>
      <c r="BJ392" s="93"/>
      <c r="BK392" s="93">
        <f>SUM($Z392:AD392)-SUM($CM392:CQ392)</f>
        <v>488</v>
      </c>
      <c r="BL392" s="93">
        <f>SUM($Z392:AE392)-SUM($CM392:CR392)</f>
        <v>456</v>
      </c>
      <c r="BM392" s="93">
        <f>SUM($Z392:AF392)-SUM($CM392:CS392)</f>
        <v>424</v>
      </c>
      <c r="BN392" s="93">
        <f>SUM($Z392:AG392)-SUM($CM392:CT392)</f>
        <v>392</v>
      </c>
      <c r="BO392" s="93">
        <f>SUM($Z392:AH392)-SUM($CM392:CU392)</f>
        <v>360</v>
      </c>
      <c r="BP392" s="93">
        <f>SUM($Z392:AI392)-SUM($CM392:CV392)</f>
        <v>328</v>
      </c>
      <c r="BQ392" s="93">
        <f>SUM($Z392:AJ392)-SUM($CM392:CW392)</f>
        <v>296</v>
      </c>
      <c r="BR392" s="93">
        <f>SUM($Z392:AK392)-SUM($CM392:CX392)</f>
        <v>264</v>
      </c>
      <c r="BS392" s="93">
        <f>SUM($Z392:AL392)-SUM($CM392:CY392)</f>
        <v>232</v>
      </c>
      <c r="BT392" s="93">
        <f>SUM($Z392:AM392)-SUM($CM392:CZ392)</f>
        <v>200</v>
      </c>
      <c r="BU392" s="93">
        <f>SUM($Z392:AN392)-SUM($CM392:DA392)</f>
        <v>168</v>
      </c>
      <c r="BV392" s="93">
        <f>SUM($Z392:AO392)-SUM($CM392:DB392)</f>
        <v>136</v>
      </c>
      <c r="BW392" s="93">
        <f>SUM($Z392:AP392)-SUM($CM392:DC392)</f>
        <v>112</v>
      </c>
      <c r="BX392" s="93">
        <f>SUM($Z392:AQ392)-SUM($CM392:DD392)</f>
        <v>112</v>
      </c>
      <c r="BY392" s="93">
        <f>SUM($Z392:AR392)-SUM($CM392:DE392)</f>
        <v>112</v>
      </c>
      <c r="BZ392" s="93">
        <f>SUM($Z392:AS392)-SUM($CM392:DF392)</f>
        <v>112</v>
      </c>
      <c r="CA392" s="93">
        <f>SUM($Z392:AT392)-SUM($CM392:DG392)</f>
        <v>112</v>
      </c>
      <c r="CB392" s="93">
        <f>SUM($Z392:AU392)-SUM($CM392:DH392)</f>
        <v>112</v>
      </c>
      <c r="CC392" s="93">
        <f>SUM($Z392:AV392)-SUM($CM392:DI392)</f>
        <v>112</v>
      </c>
      <c r="CD392" s="93">
        <f>SUM($Z392:AW392)-SUM($CM392:DJ392)</f>
        <v>112</v>
      </c>
      <c r="CE392" s="93">
        <f>SUM($Z392:AX392)-SUM($CM392:DK392)</f>
        <v>112</v>
      </c>
      <c r="CF392" s="93">
        <f>SUM($Z392:AY392)-SUM($CM392:DL392)</f>
        <v>112</v>
      </c>
      <c r="CG392" s="93">
        <f>SUM($Z392:AZ392)-SUM($CM392:DM392)</f>
        <v>112</v>
      </c>
      <c r="CH392" s="93">
        <f>SUM($Z392:BA392)-SUM($CM392:DN392)</f>
        <v>112</v>
      </c>
      <c r="CI392" s="93">
        <f>SUM($Z392:BB392)-SUM($CM392:DO392)</f>
        <v>112</v>
      </c>
      <c r="CJ392" s="93"/>
      <c r="CK392" s="93"/>
      <c r="CL392" s="93"/>
      <c r="CM392" s="93"/>
      <c r="CN392" s="93" cm="1">
        <f t="array" ref="CN392">SUMPRODUCT(TRANSPOSE(CN$4:CN$20),$G392:$W392)</f>
        <v>0</v>
      </c>
      <c r="CO392" s="93" cm="1">
        <f t="array" ref="CO392">SUMPRODUCT(TRANSPOSE(CO$4:CO$20),$G392:$W392)</f>
        <v>0</v>
      </c>
      <c r="CP392" s="93" cm="1">
        <f t="array" ref="CP392">SUMPRODUCT(TRANSPOSE(CP$4:CP$20),$G392:$W392)</f>
        <v>0</v>
      </c>
      <c r="CQ392" s="93" cm="1">
        <f t="array" ref="CQ392">SUMPRODUCT(TRANSPOSE(CQ$4:CQ$20),$G392:$W392)</f>
        <v>32</v>
      </c>
      <c r="CR392" s="93" cm="1">
        <f t="array" ref="CR392">SUMPRODUCT(TRANSPOSE(CR$4:CR$20),$G392:$W392)</f>
        <v>32</v>
      </c>
      <c r="CS392" s="93" cm="1">
        <f t="array" ref="CS392">SUMPRODUCT(TRANSPOSE(CS$4:CS$20),$G392:$W392)</f>
        <v>32</v>
      </c>
      <c r="CT392" s="93" cm="1">
        <f t="array" ref="CT392">SUMPRODUCT(TRANSPOSE(CT$4:CT$20),$G392:$W392)</f>
        <v>32</v>
      </c>
      <c r="CU392" s="93" cm="1">
        <f t="array" ref="CU392">SUMPRODUCT(TRANSPOSE(CU$4:CU$20),$G392:$W392)</f>
        <v>32</v>
      </c>
      <c r="CV392" s="93" cm="1">
        <f t="array" ref="CV392">SUMPRODUCT(TRANSPOSE(CV$4:CV$20),$G392:$W392)</f>
        <v>32</v>
      </c>
      <c r="CW392" s="93" cm="1">
        <f t="array" ref="CW392">SUMPRODUCT(TRANSPOSE(CW$4:CW$20),$G392:$W392)</f>
        <v>32</v>
      </c>
      <c r="CX392" s="93" cm="1">
        <f t="array" ref="CX392">SUMPRODUCT(TRANSPOSE(CX$4:CX$20),$G392:$W392)</f>
        <v>32</v>
      </c>
      <c r="CY392" s="93" cm="1">
        <f t="array" ref="CY392">SUMPRODUCT(TRANSPOSE(CY$4:CY$20),$G392:$W392)</f>
        <v>32</v>
      </c>
      <c r="CZ392" s="93" cm="1">
        <f t="array" ref="CZ392">SUMPRODUCT(TRANSPOSE(CZ$4:CZ$20),$G392:$W392)</f>
        <v>32</v>
      </c>
      <c r="DA392" s="93" cm="1">
        <f t="array" ref="DA392">SUMPRODUCT(TRANSPOSE(DA$4:DA$20),$G392:$W392)</f>
        <v>32</v>
      </c>
      <c r="DB392" s="93" cm="1">
        <f t="array" ref="DB392">SUMPRODUCT(TRANSPOSE(DB$4:DB$20),$G392:$W392)</f>
        <v>32</v>
      </c>
      <c r="DC392" s="93" cm="1">
        <f t="array" ref="DC392">SUMPRODUCT(TRANSPOSE(DC$4:DC$20),$G392:$W392)</f>
        <v>24</v>
      </c>
      <c r="DD392" s="93" cm="1">
        <f t="array" ref="DD392">SUMPRODUCT(TRANSPOSE(DD$4:DD$20),$G392:$W392)</f>
        <v>0</v>
      </c>
      <c r="DE392" s="93" cm="1">
        <f t="array" ref="DE392">SUMPRODUCT(TRANSPOSE(DE$4:DE$20),$G392:$W392)</f>
        <v>0</v>
      </c>
      <c r="DF392" s="93" cm="1">
        <f t="array" ref="DF392">SUMPRODUCT(TRANSPOSE(DF$4:DF$20),$G392:$W392)</f>
        <v>0</v>
      </c>
      <c r="DG392" s="93" cm="1">
        <f t="array" ref="DG392">SUMPRODUCT(TRANSPOSE(DG$4:DG$20),$G392:$W392)</f>
        <v>0</v>
      </c>
      <c r="DH392" s="93" cm="1">
        <f t="array" ref="DH392">SUMPRODUCT(TRANSPOSE(DH$4:DH$20),$G392:$W392)</f>
        <v>0</v>
      </c>
      <c r="DI392" s="93" cm="1">
        <f t="array" ref="DI392">SUMPRODUCT(TRANSPOSE(DI$4:DI$20),$G392:$W392)</f>
        <v>0</v>
      </c>
      <c r="DJ392" s="93" cm="1">
        <f t="array" ref="DJ392">SUMPRODUCT(TRANSPOSE(DJ$4:DJ$20),$G392:$W392)</f>
        <v>0</v>
      </c>
      <c r="DK392" s="93" cm="1">
        <f t="array" ref="DK392">SUMPRODUCT(TRANSPOSE(DK$4:DK$20),$G392:$W392)</f>
        <v>0</v>
      </c>
      <c r="DL392" s="93" cm="1">
        <f t="array" ref="DL392">SUMPRODUCT(TRANSPOSE(DL$4:DL$20),$G392:$W392)</f>
        <v>0</v>
      </c>
      <c r="DM392" s="93" cm="1">
        <f t="array" ref="DM392">SUMPRODUCT(TRANSPOSE(DM$4:DM$20),$G392:$W392)</f>
        <v>0</v>
      </c>
      <c r="DN392" s="93" cm="1">
        <f t="array" ref="DN392">SUMPRODUCT(TRANSPOSE(DN$4:DN$20),$G392:$W392)</f>
        <v>0</v>
      </c>
      <c r="DO392" s="93" cm="1">
        <f t="array" ref="DO392">SUMPRODUCT(TRANSPOSE(DO$4:DO$20),$G392:$W392)</f>
        <v>0</v>
      </c>
    </row>
    <row r="393" spans="1:119" x14ac:dyDescent="0.2">
      <c r="A393" s="45">
        <f t="shared" si="31"/>
        <v>372</v>
      </c>
      <c r="B393" s="64" t="s">
        <v>849</v>
      </c>
      <c r="C393" s="45">
        <v>420113883</v>
      </c>
      <c r="D393" s="45" t="s">
        <v>850</v>
      </c>
      <c r="E393" s="45" t="s">
        <v>162</v>
      </c>
      <c r="F393" s="48">
        <v>1</v>
      </c>
      <c r="G393" s="100">
        <v>0</v>
      </c>
      <c r="H393" s="100">
        <v>0</v>
      </c>
      <c r="I393" s="100">
        <v>2</v>
      </c>
      <c r="J393" s="100">
        <v>0</v>
      </c>
      <c r="K393" s="100">
        <v>2</v>
      </c>
      <c r="L393" s="100">
        <v>0</v>
      </c>
      <c r="M393" s="100">
        <v>0</v>
      </c>
      <c r="N393" s="100">
        <v>0</v>
      </c>
      <c r="O393" s="100">
        <v>0</v>
      </c>
      <c r="P393" s="100">
        <v>0</v>
      </c>
      <c r="Q393" s="100">
        <v>0</v>
      </c>
      <c r="R393" s="100">
        <v>0</v>
      </c>
      <c r="S393" s="100">
        <v>0</v>
      </c>
      <c r="T393" s="100">
        <v>0</v>
      </c>
      <c r="U393" s="100">
        <v>0</v>
      </c>
      <c r="V393" s="100">
        <v>0</v>
      </c>
      <c r="W393" s="100">
        <v>0</v>
      </c>
      <c r="X393" s="45" t="s">
        <v>46</v>
      </c>
      <c r="Y393" s="49">
        <v>152</v>
      </c>
      <c r="Z393" s="45">
        <v>520</v>
      </c>
      <c r="AA393" s="45">
        <v>0</v>
      </c>
      <c r="AB393" s="45">
        <v>0</v>
      </c>
      <c r="AC393" s="45">
        <v>0</v>
      </c>
      <c r="AD393" s="45">
        <v>0</v>
      </c>
      <c r="AE393" s="45">
        <v>0</v>
      </c>
      <c r="AF393" s="45">
        <v>0</v>
      </c>
      <c r="AG393" s="45">
        <v>0</v>
      </c>
      <c r="AH393" s="45">
        <v>0</v>
      </c>
      <c r="AI393" s="45">
        <v>0</v>
      </c>
      <c r="AJ393" s="45">
        <v>0</v>
      </c>
      <c r="AK393" s="45">
        <v>0</v>
      </c>
      <c r="AL393" s="45">
        <v>0</v>
      </c>
      <c r="AM393" s="45">
        <v>0</v>
      </c>
      <c r="AN393" s="45">
        <v>0</v>
      </c>
      <c r="AO393" s="45"/>
      <c r="AP393" s="45"/>
      <c r="AQ393" s="45"/>
      <c r="AR393" s="45"/>
      <c r="AS393" s="45"/>
      <c r="AT393" s="45"/>
      <c r="AU393" s="45"/>
      <c r="AV393" s="45"/>
      <c r="AW393" s="45"/>
      <c r="AX393" s="45"/>
      <c r="AY393" s="45"/>
      <c r="AZ393" s="45"/>
      <c r="BA393" s="45"/>
      <c r="BB393" s="45"/>
      <c r="BC393" s="45"/>
      <c r="BD393" s="93"/>
      <c r="BE393" s="93"/>
      <c r="BF393" s="93"/>
      <c r="BG393" s="93"/>
      <c r="BH393" s="93"/>
      <c r="BI393" s="93"/>
      <c r="BJ393" s="93"/>
      <c r="BK393" s="93">
        <f>SUM($Z393:AD393)-SUM($CM393:CQ393)</f>
        <v>488</v>
      </c>
      <c r="BL393" s="93">
        <f>SUM($Z393:AE393)-SUM($CM393:CR393)</f>
        <v>456</v>
      </c>
      <c r="BM393" s="93">
        <f>SUM($Z393:AF393)-SUM($CM393:CS393)</f>
        <v>424</v>
      </c>
      <c r="BN393" s="93">
        <f>SUM($Z393:AG393)-SUM($CM393:CT393)</f>
        <v>392</v>
      </c>
      <c r="BO393" s="93">
        <f>SUM($Z393:AH393)-SUM($CM393:CU393)</f>
        <v>360</v>
      </c>
      <c r="BP393" s="93">
        <f>SUM($Z393:AI393)-SUM($CM393:CV393)</f>
        <v>328</v>
      </c>
      <c r="BQ393" s="93">
        <f>SUM($Z393:AJ393)-SUM($CM393:CW393)</f>
        <v>296</v>
      </c>
      <c r="BR393" s="93">
        <f>SUM($Z393:AK393)-SUM($CM393:CX393)</f>
        <v>264</v>
      </c>
      <c r="BS393" s="93">
        <f>SUM($Z393:AL393)-SUM($CM393:CY393)</f>
        <v>232</v>
      </c>
      <c r="BT393" s="93">
        <f>SUM($Z393:AM393)-SUM($CM393:CZ393)</f>
        <v>200</v>
      </c>
      <c r="BU393" s="93">
        <f>SUM($Z393:AN393)-SUM($CM393:DA393)</f>
        <v>168</v>
      </c>
      <c r="BV393" s="93">
        <f>SUM($Z393:AO393)-SUM($CM393:DB393)</f>
        <v>136</v>
      </c>
      <c r="BW393" s="93">
        <f>SUM($Z393:AP393)-SUM($CM393:DC393)</f>
        <v>112</v>
      </c>
      <c r="BX393" s="93">
        <f>SUM($Z393:AQ393)-SUM($CM393:DD393)</f>
        <v>112</v>
      </c>
      <c r="BY393" s="93">
        <f>SUM($Z393:AR393)-SUM($CM393:DE393)</f>
        <v>112</v>
      </c>
      <c r="BZ393" s="93">
        <f>SUM($Z393:AS393)-SUM($CM393:DF393)</f>
        <v>112</v>
      </c>
      <c r="CA393" s="93">
        <f>SUM($Z393:AT393)-SUM($CM393:DG393)</f>
        <v>112</v>
      </c>
      <c r="CB393" s="93">
        <f>SUM($Z393:AU393)-SUM($CM393:DH393)</f>
        <v>112</v>
      </c>
      <c r="CC393" s="93">
        <f>SUM($Z393:AV393)-SUM($CM393:DI393)</f>
        <v>112</v>
      </c>
      <c r="CD393" s="93">
        <f>SUM($Z393:AW393)-SUM($CM393:DJ393)</f>
        <v>112</v>
      </c>
      <c r="CE393" s="93">
        <f>SUM($Z393:AX393)-SUM($CM393:DK393)</f>
        <v>112</v>
      </c>
      <c r="CF393" s="93">
        <f>SUM($Z393:AY393)-SUM($CM393:DL393)</f>
        <v>112</v>
      </c>
      <c r="CG393" s="93">
        <f>SUM($Z393:AZ393)-SUM($CM393:DM393)</f>
        <v>112</v>
      </c>
      <c r="CH393" s="93">
        <f>SUM($Z393:BA393)-SUM($CM393:DN393)</f>
        <v>112</v>
      </c>
      <c r="CI393" s="93">
        <f>SUM($Z393:BB393)-SUM($CM393:DO393)</f>
        <v>112</v>
      </c>
      <c r="CJ393" s="93"/>
      <c r="CK393" s="93"/>
      <c r="CL393" s="93"/>
      <c r="CM393" s="93"/>
      <c r="CN393" s="93" cm="1">
        <f t="array" ref="CN393">SUMPRODUCT(TRANSPOSE(CN$4:CN$20),$G393:$W393)</f>
        <v>0</v>
      </c>
      <c r="CO393" s="93" cm="1">
        <f t="array" ref="CO393">SUMPRODUCT(TRANSPOSE(CO$4:CO$20),$G393:$W393)</f>
        <v>0</v>
      </c>
      <c r="CP393" s="93" cm="1">
        <f t="array" ref="CP393">SUMPRODUCT(TRANSPOSE(CP$4:CP$20),$G393:$W393)</f>
        <v>0</v>
      </c>
      <c r="CQ393" s="93" cm="1">
        <f t="array" ref="CQ393">SUMPRODUCT(TRANSPOSE(CQ$4:CQ$20),$G393:$W393)</f>
        <v>32</v>
      </c>
      <c r="CR393" s="93" cm="1">
        <f t="array" ref="CR393">SUMPRODUCT(TRANSPOSE(CR$4:CR$20),$G393:$W393)</f>
        <v>32</v>
      </c>
      <c r="CS393" s="93" cm="1">
        <f t="array" ref="CS393">SUMPRODUCT(TRANSPOSE(CS$4:CS$20),$G393:$W393)</f>
        <v>32</v>
      </c>
      <c r="CT393" s="93" cm="1">
        <f t="array" ref="CT393">SUMPRODUCT(TRANSPOSE(CT$4:CT$20),$G393:$W393)</f>
        <v>32</v>
      </c>
      <c r="CU393" s="93" cm="1">
        <f t="array" ref="CU393">SUMPRODUCT(TRANSPOSE(CU$4:CU$20),$G393:$W393)</f>
        <v>32</v>
      </c>
      <c r="CV393" s="93" cm="1">
        <f t="array" ref="CV393">SUMPRODUCT(TRANSPOSE(CV$4:CV$20),$G393:$W393)</f>
        <v>32</v>
      </c>
      <c r="CW393" s="93" cm="1">
        <f t="array" ref="CW393">SUMPRODUCT(TRANSPOSE(CW$4:CW$20),$G393:$W393)</f>
        <v>32</v>
      </c>
      <c r="CX393" s="93" cm="1">
        <f t="array" ref="CX393">SUMPRODUCT(TRANSPOSE(CX$4:CX$20),$G393:$W393)</f>
        <v>32</v>
      </c>
      <c r="CY393" s="93" cm="1">
        <f t="array" ref="CY393">SUMPRODUCT(TRANSPOSE(CY$4:CY$20),$G393:$W393)</f>
        <v>32</v>
      </c>
      <c r="CZ393" s="93" cm="1">
        <f t="array" ref="CZ393">SUMPRODUCT(TRANSPOSE(CZ$4:CZ$20),$G393:$W393)</f>
        <v>32</v>
      </c>
      <c r="DA393" s="93" cm="1">
        <f t="array" ref="DA393">SUMPRODUCT(TRANSPOSE(DA$4:DA$20),$G393:$W393)</f>
        <v>32</v>
      </c>
      <c r="DB393" s="93" cm="1">
        <f t="array" ref="DB393">SUMPRODUCT(TRANSPOSE(DB$4:DB$20),$G393:$W393)</f>
        <v>32</v>
      </c>
      <c r="DC393" s="93" cm="1">
        <f t="array" ref="DC393">SUMPRODUCT(TRANSPOSE(DC$4:DC$20),$G393:$W393)</f>
        <v>24</v>
      </c>
      <c r="DD393" s="93" cm="1">
        <f t="array" ref="DD393">SUMPRODUCT(TRANSPOSE(DD$4:DD$20),$G393:$W393)</f>
        <v>0</v>
      </c>
      <c r="DE393" s="93" cm="1">
        <f t="array" ref="DE393">SUMPRODUCT(TRANSPOSE(DE$4:DE$20),$G393:$W393)</f>
        <v>0</v>
      </c>
      <c r="DF393" s="93" cm="1">
        <f t="array" ref="DF393">SUMPRODUCT(TRANSPOSE(DF$4:DF$20),$G393:$W393)</f>
        <v>0</v>
      </c>
      <c r="DG393" s="93" cm="1">
        <f t="array" ref="DG393">SUMPRODUCT(TRANSPOSE(DG$4:DG$20),$G393:$W393)</f>
        <v>0</v>
      </c>
      <c r="DH393" s="93" cm="1">
        <f t="array" ref="DH393">SUMPRODUCT(TRANSPOSE(DH$4:DH$20),$G393:$W393)</f>
        <v>0</v>
      </c>
      <c r="DI393" s="93" cm="1">
        <f t="array" ref="DI393">SUMPRODUCT(TRANSPOSE(DI$4:DI$20),$G393:$W393)</f>
        <v>0</v>
      </c>
      <c r="DJ393" s="93" cm="1">
        <f t="array" ref="DJ393">SUMPRODUCT(TRANSPOSE(DJ$4:DJ$20),$G393:$W393)</f>
        <v>0</v>
      </c>
      <c r="DK393" s="93" cm="1">
        <f t="array" ref="DK393">SUMPRODUCT(TRANSPOSE(DK$4:DK$20),$G393:$W393)</f>
        <v>0</v>
      </c>
      <c r="DL393" s="93" cm="1">
        <f t="array" ref="DL393">SUMPRODUCT(TRANSPOSE(DL$4:DL$20),$G393:$W393)</f>
        <v>0</v>
      </c>
      <c r="DM393" s="93" cm="1">
        <f t="array" ref="DM393">SUMPRODUCT(TRANSPOSE(DM$4:DM$20),$G393:$W393)</f>
        <v>0</v>
      </c>
      <c r="DN393" s="93" cm="1">
        <f t="array" ref="DN393">SUMPRODUCT(TRANSPOSE(DN$4:DN$20),$G393:$W393)</f>
        <v>0</v>
      </c>
      <c r="DO393" s="93" cm="1">
        <f t="array" ref="DO393">SUMPRODUCT(TRANSPOSE(DO$4:DO$20),$G393:$W393)</f>
        <v>0</v>
      </c>
    </row>
    <row r="394" spans="1:119" x14ac:dyDescent="0.2">
      <c r="A394" s="45">
        <f t="shared" si="31"/>
        <v>373</v>
      </c>
      <c r="B394" s="64" t="s">
        <v>851</v>
      </c>
      <c r="C394" s="45">
        <v>420122609</v>
      </c>
      <c r="D394" s="45" t="s">
        <v>852</v>
      </c>
      <c r="E394" s="45" t="s">
        <v>162</v>
      </c>
      <c r="F394" s="48">
        <v>1</v>
      </c>
      <c r="G394" s="100">
        <v>0</v>
      </c>
      <c r="H394" s="100">
        <v>0</v>
      </c>
      <c r="I394" s="100">
        <v>1</v>
      </c>
      <c r="J394" s="100">
        <v>0</v>
      </c>
      <c r="K394" s="100">
        <v>0</v>
      </c>
      <c r="L394" s="100">
        <v>0</v>
      </c>
      <c r="M394" s="100">
        <v>0</v>
      </c>
      <c r="N394" s="100">
        <v>0</v>
      </c>
      <c r="O394" s="100">
        <v>0</v>
      </c>
      <c r="P394" s="100">
        <v>0</v>
      </c>
      <c r="Q394" s="100">
        <v>0</v>
      </c>
      <c r="R394" s="100">
        <v>0</v>
      </c>
      <c r="S394" s="100">
        <v>0</v>
      </c>
      <c r="T394" s="100">
        <v>0</v>
      </c>
      <c r="U394" s="100">
        <v>0</v>
      </c>
      <c r="V394" s="100">
        <v>0</v>
      </c>
      <c r="W394" s="100">
        <v>0</v>
      </c>
      <c r="X394" s="88" t="s">
        <v>46</v>
      </c>
      <c r="Y394" s="49">
        <v>250</v>
      </c>
      <c r="Z394" s="45">
        <v>60</v>
      </c>
      <c r="AA394" s="45">
        <v>0</v>
      </c>
      <c r="AB394" s="45">
        <v>0</v>
      </c>
      <c r="AC394" s="45">
        <v>0</v>
      </c>
      <c r="AD394" s="45">
        <v>0</v>
      </c>
      <c r="AE394" s="45">
        <v>0</v>
      </c>
      <c r="AF394" s="45">
        <v>0</v>
      </c>
      <c r="AG394" s="45">
        <v>79</v>
      </c>
      <c r="AH394" s="45">
        <v>0</v>
      </c>
      <c r="AI394" s="45">
        <v>0</v>
      </c>
      <c r="AJ394" s="45">
        <v>0</v>
      </c>
      <c r="AK394" s="45">
        <v>0</v>
      </c>
      <c r="AL394" s="45">
        <v>0</v>
      </c>
      <c r="AM394" s="45">
        <v>0</v>
      </c>
      <c r="AN394" s="45">
        <v>0</v>
      </c>
      <c r="AO394" s="45"/>
      <c r="AP394" s="45"/>
      <c r="AQ394" s="45"/>
      <c r="AR394" s="45"/>
      <c r="AS394" s="45"/>
      <c r="AT394" s="45"/>
      <c r="AU394" s="45"/>
      <c r="AV394" s="45"/>
      <c r="AW394" s="45"/>
      <c r="AX394" s="45"/>
      <c r="AY394" s="45"/>
      <c r="AZ394" s="45"/>
      <c r="BA394" s="45"/>
      <c r="BB394" s="45"/>
      <c r="BC394" s="45"/>
      <c r="BD394" s="93"/>
      <c r="BE394" s="93"/>
      <c r="BF394" s="93"/>
      <c r="BG394" s="93"/>
      <c r="BH394" s="93"/>
      <c r="BI394" s="93"/>
      <c r="BJ394" s="93"/>
      <c r="BK394" s="93">
        <f>SUM($Z394:AD394)-SUM($CM394:CQ394)</f>
        <v>52</v>
      </c>
      <c r="BL394" s="93">
        <f>SUM($Z394:AE394)-SUM($CM394:CR394)</f>
        <v>44</v>
      </c>
      <c r="BM394" s="93">
        <f>SUM($Z394:AF394)-SUM($CM394:CS394)</f>
        <v>36</v>
      </c>
      <c r="BN394" s="93">
        <f>SUM($Z394:AG394)-SUM($CM394:CT394)</f>
        <v>107</v>
      </c>
      <c r="BO394" s="93">
        <f>SUM($Z394:AH394)-SUM($CM394:CU394)</f>
        <v>99</v>
      </c>
      <c r="BP394" s="93">
        <f>SUM($Z394:AI394)-SUM($CM394:CV394)</f>
        <v>91</v>
      </c>
      <c r="BQ394" s="93">
        <f>SUM($Z394:AJ394)-SUM($CM394:CW394)</f>
        <v>83</v>
      </c>
      <c r="BR394" s="93">
        <f>SUM($Z394:AK394)-SUM($CM394:CX394)</f>
        <v>75</v>
      </c>
      <c r="BS394" s="93">
        <f>SUM($Z394:AL394)-SUM($CM394:CY394)</f>
        <v>67</v>
      </c>
      <c r="BT394" s="93">
        <f>SUM($Z394:AM394)-SUM($CM394:CZ394)</f>
        <v>59</v>
      </c>
      <c r="BU394" s="93">
        <f>SUM($Z394:AN394)-SUM($CM394:DA394)</f>
        <v>51</v>
      </c>
      <c r="BV394" s="93">
        <f>SUM($Z394:AO394)-SUM($CM394:DB394)</f>
        <v>43</v>
      </c>
      <c r="BW394" s="93">
        <f>SUM($Z394:AP394)-SUM($CM394:DC394)</f>
        <v>37</v>
      </c>
      <c r="BX394" s="93">
        <f>SUM($Z394:AQ394)-SUM($CM394:DD394)</f>
        <v>37</v>
      </c>
      <c r="BY394" s="93">
        <f>SUM($Z394:AR394)-SUM($CM394:DE394)</f>
        <v>37</v>
      </c>
      <c r="BZ394" s="93">
        <f>SUM($Z394:AS394)-SUM($CM394:DF394)</f>
        <v>37</v>
      </c>
      <c r="CA394" s="93">
        <f>SUM($Z394:AT394)-SUM($CM394:DG394)</f>
        <v>37</v>
      </c>
      <c r="CB394" s="93">
        <f>SUM($Z394:AU394)-SUM($CM394:DH394)</f>
        <v>37</v>
      </c>
      <c r="CC394" s="93">
        <f>SUM($Z394:AV394)-SUM($CM394:DI394)</f>
        <v>37</v>
      </c>
      <c r="CD394" s="93">
        <f>SUM($Z394:AW394)-SUM($CM394:DJ394)</f>
        <v>37</v>
      </c>
      <c r="CE394" s="93">
        <f>SUM($Z394:AX394)-SUM($CM394:DK394)</f>
        <v>37</v>
      </c>
      <c r="CF394" s="93">
        <f>SUM($Z394:AY394)-SUM($CM394:DL394)</f>
        <v>37</v>
      </c>
      <c r="CG394" s="93">
        <f>SUM($Z394:AZ394)-SUM($CM394:DM394)</f>
        <v>37</v>
      </c>
      <c r="CH394" s="93">
        <f>SUM($Z394:BA394)-SUM($CM394:DN394)</f>
        <v>37</v>
      </c>
      <c r="CI394" s="93">
        <f>SUM($Z394:BB394)-SUM($CM394:DO394)</f>
        <v>37</v>
      </c>
      <c r="CJ394" s="93"/>
      <c r="CK394" s="93"/>
      <c r="CL394" s="93"/>
      <c r="CM394" s="93"/>
      <c r="CN394" s="93" cm="1">
        <f t="array" ref="CN394">SUMPRODUCT(TRANSPOSE(CN$4:CN$20),$G394:$W394)</f>
        <v>0</v>
      </c>
      <c r="CO394" s="93" cm="1">
        <f t="array" ref="CO394">SUMPRODUCT(TRANSPOSE(CO$4:CO$20),$G394:$W394)</f>
        <v>0</v>
      </c>
      <c r="CP394" s="93" cm="1">
        <f t="array" ref="CP394">SUMPRODUCT(TRANSPOSE(CP$4:CP$20),$G394:$W394)</f>
        <v>0</v>
      </c>
      <c r="CQ394" s="93" cm="1">
        <f t="array" ref="CQ394">SUMPRODUCT(TRANSPOSE(CQ$4:CQ$20),$G394:$W394)</f>
        <v>8</v>
      </c>
      <c r="CR394" s="93" cm="1">
        <f t="array" ref="CR394">SUMPRODUCT(TRANSPOSE(CR$4:CR$20),$G394:$W394)</f>
        <v>8</v>
      </c>
      <c r="CS394" s="93" cm="1">
        <f t="array" ref="CS394">SUMPRODUCT(TRANSPOSE(CS$4:CS$20),$G394:$W394)</f>
        <v>8</v>
      </c>
      <c r="CT394" s="93" cm="1">
        <f t="array" ref="CT394">SUMPRODUCT(TRANSPOSE(CT$4:CT$20),$G394:$W394)</f>
        <v>8</v>
      </c>
      <c r="CU394" s="93" cm="1">
        <f t="array" ref="CU394">SUMPRODUCT(TRANSPOSE(CU$4:CU$20),$G394:$W394)</f>
        <v>8</v>
      </c>
      <c r="CV394" s="93" cm="1">
        <f t="array" ref="CV394">SUMPRODUCT(TRANSPOSE(CV$4:CV$20),$G394:$W394)</f>
        <v>8</v>
      </c>
      <c r="CW394" s="93" cm="1">
        <f t="array" ref="CW394">SUMPRODUCT(TRANSPOSE(CW$4:CW$20),$G394:$W394)</f>
        <v>8</v>
      </c>
      <c r="CX394" s="93" cm="1">
        <f t="array" ref="CX394">SUMPRODUCT(TRANSPOSE(CX$4:CX$20),$G394:$W394)</f>
        <v>8</v>
      </c>
      <c r="CY394" s="93" cm="1">
        <f t="array" ref="CY394">SUMPRODUCT(TRANSPOSE(CY$4:CY$20),$G394:$W394)</f>
        <v>8</v>
      </c>
      <c r="CZ394" s="93" cm="1">
        <f t="array" ref="CZ394">SUMPRODUCT(TRANSPOSE(CZ$4:CZ$20),$G394:$W394)</f>
        <v>8</v>
      </c>
      <c r="DA394" s="93" cm="1">
        <f t="array" ref="DA394">SUMPRODUCT(TRANSPOSE(DA$4:DA$20),$G394:$W394)</f>
        <v>8</v>
      </c>
      <c r="DB394" s="93" cm="1">
        <f t="array" ref="DB394">SUMPRODUCT(TRANSPOSE(DB$4:DB$20),$G394:$W394)</f>
        <v>8</v>
      </c>
      <c r="DC394" s="93" cm="1">
        <f t="array" ref="DC394">SUMPRODUCT(TRANSPOSE(DC$4:DC$20),$G394:$W394)</f>
        <v>6</v>
      </c>
      <c r="DD394" s="93" cm="1">
        <f t="array" ref="DD394">SUMPRODUCT(TRANSPOSE(DD$4:DD$20),$G394:$W394)</f>
        <v>0</v>
      </c>
      <c r="DE394" s="93" cm="1">
        <f t="array" ref="DE394">SUMPRODUCT(TRANSPOSE(DE$4:DE$20),$G394:$W394)</f>
        <v>0</v>
      </c>
      <c r="DF394" s="93" cm="1">
        <f t="array" ref="DF394">SUMPRODUCT(TRANSPOSE(DF$4:DF$20),$G394:$W394)</f>
        <v>0</v>
      </c>
      <c r="DG394" s="93" cm="1">
        <f t="array" ref="DG394">SUMPRODUCT(TRANSPOSE(DG$4:DG$20),$G394:$W394)</f>
        <v>0</v>
      </c>
      <c r="DH394" s="93" cm="1">
        <f t="array" ref="DH394">SUMPRODUCT(TRANSPOSE(DH$4:DH$20),$G394:$W394)</f>
        <v>0</v>
      </c>
      <c r="DI394" s="93" cm="1">
        <f t="array" ref="DI394">SUMPRODUCT(TRANSPOSE(DI$4:DI$20),$G394:$W394)</f>
        <v>0</v>
      </c>
      <c r="DJ394" s="93" cm="1">
        <f t="array" ref="DJ394">SUMPRODUCT(TRANSPOSE(DJ$4:DJ$20),$G394:$W394)</f>
        <v>0</v>
      </c>
      <c r="DK394" s="93" cm="1">
        <f t="array" ref="DK394">SUMPRODUCT(TRANSPOSE(DK$4:DK$20),$G394:$W394)</f>
        <v>0</v>
      </c>
      <c r="DL394" s="93" cm="1">
        <f t="array" ref="DL394">SUMPRODUCT(TRANSPOSE(DL$4:DL$20),$G394:$W394)</f>
        <v>0</v>
      </c>
      <c r="DM394" s="93" cm="1">
        <f t="array" ref="DM394">SUMPRODUCT(TRANSPOSE(DM$4:DM$20),$G394:$W394)</f>
        <v>0</v>
      </c>
      <c r="DN394" s="93" cm="1">
        <f t="array" ref="DN394">SUMPRODUCT(TRANSPOSE(DN$4:DN$20),$G394:$W394)</f>
        <v>0</v>
      </c>
      <c r="DO394" s="93" cm="1">
        <f t="array" ref="DO394">SUMPRODUCT(TRANSPOSE(DO$4:DO$20),$G394:$W394)</f>
        <v>0</v>
      </c>
    </row>
    <row r="395" spans="1:119" x14ac:dyDescent="0.2">
      <c r="A395" s="45">
        <f t="shared" si="31"/>
        <v>374</v>
      </c>
      <c r="B395" s="71" t="s">
        <v>853</v>
      </c>
      <c r="C395" s="45">
        <v>420078264</v>
      </c>
      <c r="D395" s="45" t="s">
        <v>810</v>
      </c>
      <c r="E395" s="45" t="s">
        <v>162</v>
      </c>
      <c r="F395" s="48">
        <v>1</v>
      </c>
      <c r="G395" s="100">
        <v>0</v>
      </c>
      <c r="H395" s="100">
        <v>0</v>
      </c>
      <c r="I395" s="100">
        <v>2</v>
      </c>
      <c r="J395" s="100">
        <v>0</v>
      </c>
      <c r="K395" s="100">
        <v>2</v>
      </c>
      <c r="L395" s="100">
        <v>0</v>
      </c>
      <c r="M395" s="100">
        <v>0</v>
      </c>
      <c r="N395" s="100">
        <v>0</v>
      </c>
      <c r="O395" s="100">
        <v>0</v>
      </c>
      <c r="P395" s="100">
        <v>0</v>
      </c>
      <c r="Q395" s="100">
        <v>0</v>
      </c>
      <c r="R395" s="100">
        <v>0</v>
      </c>
      <c r="S395" s="100">
        <v>0</v>
      </c>
      <c r="T395" s="100">
        <v>0</v>
      </c>
      <c r="U395" s="100">
        <v>0</v>
      </c>
      <c r="V395" s="100">
        <v>0</v>
      </c>
      <c r="W395" s="100">
        <v>0</v>
      </c>
      <c r="X395" s="45" t="s">
        <v>56</v>
      </c>
      <c r="Y395" s="49">
        <v>5.9</v>
      </c>
      <c r="Z395" s="45">
        <v>520</v>
      </c>
      <c r="AA395" s="45">
        <v>0</v>
      </c>
      <c r="AB395" s="45">
        <v>0</v>
      </c>
      <c r="AC395" s="45">
        <v>0</v>
      </c>
      <c r="AD395" s="45">
        <v>0</v>
      </c>
      <c r="AE395" s="45">
        <v>0</v>
      </c>
      <c r="AF395" s="45">
        <v>0</v>
      </c>
      <c r="AG395" s="45">
        <v>0</v>
      </c>
      <c r="AH395" s="45">
        <v>0</v>
      </c>
      <c r="AI395" s="45">
        <v>0</v>
      </c>
      <c r="AJ395" s="45">
        <v>0</v>
      </c>
      <c r="AK395" s="45">
        <v>0</v>
      </c>
      <c r="AL395" s="45">
        <v>0</v>
      </c>
      <c r="AM395" s="45">
        <v>0</v>
      </c>
      <c r="AN395" s="45">
        <v>0</v>
      </c>
      <c r="AO395" s="45"/>
      <c r="AP395" s="45"/>
      <c r="AQ395" s="45"/>
      <c r="AR395" s="45"/>
      <c r="AS395" s="45"/>
      <c r="AT395" s="45"/>
      <c r="AU395" s="45"/>
      <c r="AV395" s="45"/>
      <c r="AW395" s="45"/>
      <c r="AX395" s="45"/>
      <c r="AY395" s="45"/>
      <c r="AZ395" s="45"/>
      <c r="BA395" s="45"/>
      <c r="BB395" s="45"/>
      <c r="BC395" s="45"/>
      <c r="BD395" s="93"/>
      <c r="BE395" s="93"/>
      <c r="BF395" s="93"/>
      <c r="BG395" s="93"/>
      <c r="BH395" s="93"/>
      <c r="BI395" s="93"/>
      <c r="BJ395" s="93"/>
      <c r="BK395" s="93">
        <f>SUM($Z395:AD395)-SUM($CM395:CQ395)</f>
        <v>488</v>
      </c>
      <c r="BL395" s="93">
        <f>SUM($Z395:AE395)-SUM($CM395:CR395)</f>
        <v>456</v>
      </c>
      <c r="BM395" s="93">
        <f>SUM($Z395:AF395)-SUM($CM395:CS395)</f>
        <v>424</v>
      </c>
      <c r="BN395" s="93">
        <f>SUM($Z395:AG395)-SUM($CM395:CT395)</f>
        <v>392</v>
      </c>
      <c r="BO395" s="93">
        <f>SUM($Z395:AH395)-SUM($CM395:CU395)</f>
        <v>360</v>
      </c>
      <c r="BP395" s="93">
        <f>SUM($Z395:AI395)-SUM($CM395:CV395)</f>
        <v>328</v>
      </c>
      <c r="BQ395" s="93">
        <f>SUM($Z395:AJ395)-SUM($CM395:CW395)</f>
        <v>296</v>
      </c>
      <c r="BR395" s="93">
        <f>SUM($Z395:AK395)-SUM($CM395:CX395)</f>
        <v>264</v>
      </c>
      <c r="BS395" s="93">
        <f>SUM($Z395:AL395)-SUM($CM395:CY395)</f>
        <v>232</v>
      </c>
      <c r="BT395" s="93">
        <f>SUM($Z395:AM395)-SUM($CM395:CZ395)</f>
        <v>200</v>
      </c>
      <c r="BU395" s="93">
        <f>SUM($Z395:AN395)-SUM($CM395:DA395)</f>
        <v>168</v>
      </c>
      <c r="BV395" s="93">
        <f>SUM($Z395:AO395)-SUM($CM395:DB395)</f>
        <v>136</v>
      </c>
      <c r="BW395" s="93">
        <f>SUM($Z395:AP395)-SUM($CM395:DC395)</f>
        <v>112</v>
      </c>
      <c r="BX395" s="93">
        <f>SUM($Z395:AQ395)-SUM($CM395:DD395)</f>
        <v>112</v>
      </c>
      <c r="BY395" s="93">
        <f>SUM($Z395:AR395)-SUM($CM395:DE395)</f>
        <v>112</v>
      </c>
      <c r="BZ395" s="93">
        <f>SUM($Z395:AS395)-SUM($CM395:DF395)</f>
        <v>112</v>
      </c>
      <c r="CA395" s="93">
        <f>SUM($Z395:AT395)-SUM($CM395:DG395)</f>
        <v>112</v>
      </c>
      <c r="CB395" s="93">
        <f>SUM($Z395:AU395)-SUM($CM395:DH395)</f>
        <v>112</v>
      </c>
      <c r="CC395" s="93">
        <f>SUM($Z395:AV395)-SUM($CM395:DI395)</f>
        <v>112</v>
      </c>
      <c r="CD395" s="93">
        <f>SUM($Z395:AW395)-SUM($CM395:DJ395)</f>
        <v>112</v>
      </c>
      <c r="CE395" s="93">
        <f>SUM($Z395:AX395)-SUM($CM395:DK395)</f>
        <v>112</v>
      </c>
      <c r="CF395" s="93">
        <f>SUM($Z395:AY395)-SUM($CM395:DL395)</f>
        <v>112</v>
      </c>
      <c r="CG395" s="93">
        <f>SUM($Z395:AZ395)-SUM($CM395:DM395)</f>
        <v>112</v>
      </c>
      <c r="CH395" s="93">
        <f>SUM($Z395:BA395)-SUM($CM395:DN395)</f>
        <v>112</v>
      </c>
      <c r="CI395" s="93">
        <f>SUM($Z395:BB395)-SUM($CM395:DO395)</f>
        <v>112</v>
      </c>
      <c r="CJ395" s="93"/>
      <c r="CK395" s="93"/>
      <c r="CL395" s="93"/>
      <c r="CM395" s="93"/>
      <c r="CN395" s="93" cm="1">
        <f t="array" ref="CN395">SUMPRODUCT(TRANSPOSE(CN$4:CN$20),$G395:$W395)</f>
        <v>0</v>
      </c>
      <c r="CO395" s="93" cm="1">
        <f t="array" ref="CO395">SUMPRODUCT(TRANSPOSE(CO$4:CO$20),$G395:$W395)</f>
        <v>0</v>
      </c>
      <c r="CP395" s="93" cm="1">
        <f t="array" ref="CP395">SUMPRODUCT(TRANSPOSE(CP$4:CP$20),$G395:$W395)</f>
        <v>0</v>
      </c>
      <c r="CQ395" s="93" cm="1">
        <f t="array" ref="CQ395">SUMPRODUCT(TRANSPOSE(CQ$4:CQ$20),$G395:$W395)</f>
        <v>32</v>
      </c>
      <c r="CR395" s="93" cm="1">
        <f t="array" ref="CR395">SUMPRODUCT(TRANSPOSE(CR$4:CR$20),$G395:$W395)</f>
        <v>32</v>
      </c>
      <c r="CS395" s="93" cm="1">
        <f t="array" ref="CS395">SUMPRODUCT(TRANSPOSE(CS$4:CS$20),$G395:$W395)</f>
        <v>32</v>
      </c>
      <c r="CT395" s="93" cm="1">
        <f t="array" ref="CT395">SUMPRODUCT(TRANSPOSE(CT$4:CT$20),$G395:$W395)</f>
        <v>32</v>
      </c>
      <c r="CU395" s="93" cm="1">
        <f t="array" ref="CU395">SUMPRODUCT(TRANSPOSE(CU$4:CU$20),$G395:$W395)</f>
        <v>32</v>
      </c>
      <c r="CV395" s="93" cm="1">
        <f t="array" ref="CV395">SUMPRODUCT(TRANSPOSE(CV$4:CV$20),$G395:$W395)</f>
        <v>32</v>
      </c>
      <c r="CW395" s="93" cm="1">
        <f t="array" ref="CW395">SUMPRODUCT(TRANSPOSE(CW$4:CW$20),$G395:$W395)</f>
        <v>32</v>
      </c>
      <c r="CX395" s="93" cm="1">
        <f t="array" ref="CX395">SUMPRODUCT(TRANSPOSE(CX$4:CX$20),$G395:$W395)</f>
        <v>32</v>
      </c>
      <c r="CY395" s="93" cm="1">
        <f t="array" ref="CY395">SUMPRODUCT(TRANSPOSE(CY$4:CY$20),$G395:$W395)</f>
        <v>32</v>
      </c>
      <c r="CZ395" s="93" cm="1">
        <f t="array" ref="CZ395">SUMPRODUCT(TRANSPOSE(CZ$4:CZ$20),$G395:$W395)</f>
        <v>32</v>
      </c>
      <c r="DA395" s="93" cm="1">
        <f t="array" ref="DA395">SUMPRODUCT(TRANSPOSE(DA$4:DA$20),$G395:$W395)</f>
        <v>32</v>
      </c>
      <c r="DB395" s="93" cm="1">
        <f t="array" ref="DB395">SUMPRODUCT(TRANSPOSE(DB$4:DB$20),$G395:$W395)</f>
        <v>32</v>
      </c>
      <c r="DC395" s="93" cm="1">
        <f t="array" ref="DC395">SUMPRODUCT(TRANSPOSE(DC$4:DC$20),$G395:$W395)</f>
        <v>24</v>
      </c>
      <c r="DD395" s="93" cm="1">
        <f t="array" ref="DD395">SUMPRODUCT(TRANSPOSE(DD$4:DD$20),$G395:$W395)</f>
        <v>0</v>
      </c>
      <c r="DE395" s="93" cm="1">
        <f t="array" ref="DE395">SUMPRODUCT(TRANSPOSE(DE$4:DE$20),$G395:$W395)</f>
        <v>0</v>
      </c>
      <c r="DF395" s="93" cm="1">
        <f t="array" ref="DF395">SUMPRODUCT(TRANSPOSE(DF$4:DF$20),$G395:$W395)</f>
        <v>0</v>
      </c>
      <c r="DG395" s="93" cm="1">
        <f t="array" ref="DG395">SUMPRODUCT(TRANSPOSE(DG$4:DG$20),$G395:$W395)</f>
        <v>0</v>
      </c>
      <c r="DH395" s="93" cm="1">
        <f t="array" ref="DH395">SUMPRODUCT(TRANSPOSE(DH$4:DH$20),$G395:$W395)</f>
        <v>0</v>
      </c>
      <c r="DI395" s="93" cm="1">
        <f t="array" ref="DI395">SUMPRODUCT(TRANSPOSE(DI$4:DI$20),$G395:$W395)</f>
        <v>0</v>
      </c>
      <c r="DJ395" s="93" cm="1">
        <f t="array" ref="DJ395">SUMPRODUCT(TRANSPOSE(DJ$4:DJ$20),$G395:$W395)</f>
        <v>0</v>
      </c>
      <c r="DK395" s="93" cm="1">
        <f t="array" ref="DK395">SUMPRODUCT(TRANSPOSE(DK$4:DK$20),$G395:$W395)</f>
        <v>0</v>
      </c>
      <c r="DL395" s="93" cm="1">
        <f t="array" ref="DL395">SUMPRODUCT(TRANSPOSE(DL$4:DL$20),$G395:$W395)</f>
        <v>0</v>
      </c>
      <c r="DM395" s="93" cm="1">
        <f t="array" ref="DM395">SUMPRODUCT(TRANSPOSE(DM$4:DM$20),$G395:$W395)</f>
        <v>0</v>
      </c>
      <c r="DN395" s="93" cm="1">
        <f t="array" ref="DN395">SUMPRODUCT(TRANSPOSE(DN$4:DN$20),$G395:$W395)</f>
        <v>0</v>
      </c>
      <c r="DO395" s="93" cm="1">
        <f t="array" ref="DO395">SUMPRODUCT(TRANSPOSE(DO$4:DO$20),$G395:$W395)</f>
        <v>0</v>
      </c>
    </row>
    <row r="396" spans="1:119" x14ac:dyDescent="0.2">
      <c r="A396" s="45">
        <f t="shared" si="31"/>
        <v>375</v>
      </c>
      <c r="B396" s="64" t="s">
        <v>93</v>
      </c>
      <c r="C396" s="45">
        <v>417305029</v>
      </c>
      <c r="D396" s="45" t="s">
        <v>132</v>
      </c>
      <c r="E396" s="45" t="s">
        <v>162</v>
      </c>
      <c r="F396" s="48">
        <v>1</v>
      </c>
      <c r="G396" s="100">
        <v>0</v>
      </c>
      <c r="H396" s="100">
        <v>0</v>
      </c>
      <c r="I396" s="100">
        <v>2</v>
      </c>
      <c r="J396" s="100">
        <v>0</v>
      </c>
      <c r="K396" s="100">
        <v>2</v>
      </c>
      <c r="L396" s="100">
        <v>0</v>
      </c>
      <c r="M396" s="100">
        <v>0</v>
      </c>
      <c r="N396" s="100">
        <v>0</v>
      </c>
      <c r="O396" s="100">
        <v>0</v>
      </c>
      <c r="P396" s="100">
        <v>0</v>
      </c>
      <c r="Q396" s="100">
        <v>0</v>
      </c>
      <c r="R396" s="100">
        <v>0</v>
      </c>
      <c r="S396" s="100">
        <v>0</v>
      </c>
      <c r="T396" s="100">
        <v>0</v>
      </c>
      <c r="U396" s="100">
        <v>0</v>
      </c>
      <c r="V396" s="100">
        <v>0</v>
      </c>
      <c r="W396" s="100">
        <v>0</v>
      </c>
      <c r="X396" s="45" t="s">
        <v>4</v>
      </c>
      <c r="Y396" s="49">
        <v>0</v>
      </c>
      <c r="Z396" s="45">
        <v>0</v>
      </c>
      <c r="AA396" s="45">
        <v>0</v>
      </c>
      <c r="AB396" s="45">
        <v>0</v>
      </c>
      <c r="AC396" s="45">
        <v>0</v>
      </c>
      <c r="AD396" s="45">
        <v>0</v>
      </c>
      <c r="AE396" s="45">
        <v>0</v>
      </c>
      <c r="AF396" s="45">
        <v>0</v>
      </c>
      <c r="AG396" s="45">
        <v>0</v>
      </c>
      <c r="AH396" s="45">
        <v>0</v>
      </c>
      <c r="AI396" s="45">
        <v>0</v>
      </c>
      <c r="AJ396" s="45">
        <v>0</v>
      </c>
      <c r="AK396" s="45">
        <v>0</v>
      </c>
      <c r="AL396" s="45">
        <v>0</v>
      </c>
      <c r="AM396" s="45">
        <v>0</v>
      </c>
      <c r="AN396" s="45">
        <v>0</v>
      </c>
      <c r="AO396" s="45"/>
      <c r="AP396" s="45"/>
      <c r="AQ396" s="45"/>
      <c r="AR396" s="45"/>
      <c r="AS396" s="45"/>
      <c r="AT396" s="45"/>
      <c r="AU396" s="45"/>
      <c r="AV396" s="45"/>
      <c r="AW396" s="45"/>
      <c r="AX396" s="45"/>
      <c r="AY396" s="45"/>
      <c r="AZ396" s="45"/>
      <c r="BA396" s="45"/>
      <c r="BB396" s="45"/>
      <c r="BC396" s="45"/>
      <c r="BD396" s="93"/>
      <c r="BE396" s="93"/>
      <c r="BF396" s="93"/>
      <c r="BG396" s="93"/>
      <c r="BH396" s="93"/>
      <c r="BI396" s="93"/>
      <c r="BJ396" s="93"/>
      <c r="BK396" s="93">
        <f>SUM($Z396:AD396)-SUM($CM396:CQ396)</f>
        <v>-32</v>
      </c>
      <c r="BL396" s="93">
        <f>SUM($Z396:AE396)-SUM($CM396:CR396)</f>
        <v>-64</v>
      </c>
      <c r="BM396" s="93">
        <f>SUM($Z396:AF396)-SUM($CM396:CS396)</f>
        <v>-96</v>
      </c>
      <c r="BN396" s="93">
        <f>SUM($Z396:AG396)-SUM($CM396:CT396)</f>
        <v>-128</v>
      </c>
      <c r="BO396" s="93">
        <f>SUM($Z396:AH396)-SUM($CM396:CU396)</f>
        <v>-160</v>
      </c>
      <c r="BP396" s="93">
        <f>SUM($Z396:AI396)-SUM($CM396:CV396)</f>
        <v>-192</v>
      </c>
      <c r="BQ396" s="93">
        <f>SUM($Z396:AJ396)-SUM($CM396:CW396)</f>
        <v>-224</v>
      </c>
      <c r="BR396" s="93">
        <f>SUM($Z396:AK396)-SUM($CM396:CX396)</f>
        <v>-256</v>
      </c>
      <c r="BS396" s="93">
        <f>SUM($Z396:AL396)-SUM($CM396:CY396)</f>
        <v>-288</v>
      </c>
      <c r="BT396" s="93">
        <f>SUM($Z396:AM396)-SUM($CM396:CZ396)</f>
        <v>-320</v>
      </c>
      <c r="BU396" s="93">
        <f>SUM($Z396:AN396)-SUM($CM396:DA396)</f>
        <v>-352</v>
      </c>
      <c r="BV396" s="93">
        <f>SUM($Z396:AO396)-SUM($CM396:DB396)</f>
        <v>-384</v>
      </c>
      <c r="BW396" s="93">
        <f>SUM($Z396:AP396)-SUM($CM396:DC396)</f>
        <v>-408</v>
      </c>
      <c r="BX396" s="93">
        <f>SUM($Z396:AQ396)-SUM($CM396:DD396)</f>
        <v>-408</v>
      </c>
      <c r="BY396" s="93">
        <f>SUM($Z396:AR396)-SUM($CM396:DE396)</f>
        <v>-408</v>
      </c>
      <c r="BZ396" s="93">
        <f>SUM($Z396:AS396)-SUM($CM396:DF396)</f>
        <v>-408</v>
      </c>
      <c r="CA396" s="93">
        <f>SUM($Z396:AT396)-SUM($CM396:DG396)</f>
        <v>-408</v>
      </c>
      <c r="CB396" s="93">
        <f>SUM($Z396:AU396)-SUM($CM396:DH396)</f>
        <v>-408</v>
      </c>
      <c r="CC396" s="93">
        <f>SUM($Z396:AV396)-SUM($CM396:DI396)</f>
        <v>-408</v>
      </c>
      <c r="CD396" s="93">
        <f>SUM($Z396:AW396)-SUM($CM396:DJ396)</f>
        <v>-408</v>
      </c>
      <c r="CE396" s="93">
        <f>SUM($Z396:AX396)-SUM($CM396:DK396)</f>
        <v>-408</v>
      </c>
      <c r="CF396" s="93">
        <f>SUM($Z396:AY396)-SUM($CM396:DL396)</f>
        <v>-408</v>
      </c>
      <c r="CG396" s="93">
        <f>SUM($Z396:AZ396)-SUM($CM396:DM396)</f>
        <v>-408</v>
      </c>
      <c r="CH396" s="93">
        <f>SUM($Z396:BA396)-SUM($CM396:DN396)</f>
        <v>-408</v>
      </c>
      <c r="CI396" s="93">
        <f>SUM($Z396:BB396)-SUM($CM396:DO396)</f>
        <v>-408</v>
      </c>
      <c r="CJ396" s="93"/>
      <c r="CK396" s="93"/>
      <c r="CL396" s="93"/>
      <c r="CM396" s="93"/>
      <c r="CN396" s="93" cm="1">
        <f t="array" ref="CN396">SUMPRODUCT(TRANSPOSE(CN$4:CN$20),$G396:$W396)</f>
        <v>0</v>
      </c>
      <c r="CO396" s="93" cm="1">
        <f t="array" ref="CO396">SUMPRODUCT(TRANSPOSE(CO$4:CO$20),$G396:$W396)</f>
        <v>0</v>
      </c>
      <c r="CP396" s="93" cm="1">
        <f t="array" ref="CP396">SUMPRODUCT(TRANSPOSE(CP$4:CP$20),$G396:$W396)</f>
        <v>0</v>
      </c>
      <c r="CQ396" s="93" cm="1">
        <f t="array" ref="CQ396">SUMPRODUCT(TRANSPOSE(CQ$4:CQ$20),$G396:$W396)</f>
        <v>32</v>
      </c>
      <c r="CR396" s="93" cm="1">
        <f t="array" ref="CR396">SUMPRODUCT(TRANSPOSE(CR$4:CR$20),$G396:$W396)</f>
        <v>32</v>
      </c>
      <c r="CS396" s="93" cm="1">
        <f t="array" ref="CS396">SUMPRODUCT(TRANSPOSE(CS$4:CS$20),$G396:$W396)</f>
        <v>32</v>
      </c>
      <c r="CT396" s="93" cm="1">
        <f t="array" ref="CT396">SUMPRODUCT(TRANSPOSE(CT$4:CT$20),$G396:$W396)</f>
        <v>32</v>
      </c>
      <c r="CU396" s="93" cm="1">
        <f t="array" ref="CU396">SUMPRODUCT(TRANSPOSE(CU$4:CU$20),$G396:$W396)</f>
        <v>32</v>
      </c>
      <c r="CV396" s="93" cm="1">
        <f t="array" ref="CV396">SUMPRODUCT(TRANSPOSE(CV$4:CV$20),$G396:$W396)</f>
        <v>32</v>
      </c>
      <c r="CW396" s="93" cm="1">
        <f t="array" ref="CW396">SUMPRODUCT(TRANSPOSE(CW$4:CW$20),$G396:$W396)</f>
        <v>32</v>
      </c>
      <c r="CX396" s="93" cm="1">
        <f t="array" ref="CX396">SUMPRODUCT(TRANSPOSE(CX$4:CX$20),$G396:$W396)</f>
        <v>32</v>
      </c>
      <c r="CY396" s="93" cm="1">
        <f t="array" ref="CY396">SUMPRODUCT(TRANSPOSE(CY$4:CY$20),$G396:$W396)</f>
        <v>32</v>
      </c>
      <c r="CZ396" s="93" cm="1">
        <f t="array" ref="CZ396">SUMPRODUCT(TRANSPOSE(CZ$4:CZ$20),$G396:$W396)</f>
        <v>32</v>
      </c>
      <c r="DA396" s="93" cm="1">
        <f t="array" ref="DA396">SUMPRODUCT(TRANSPOSE(DA$4:DA$20),$G396:$W396)</f>
        <v>32</v>
      </c>
      <c r="DB396" s="93" cm="1">
        <f t="array" ref="DB396">SUMPRODUCT(TRANSPOSE(DB$4:DB$20),$G396:$W396)</f>
        <v>32</v>
      </c>
      <c r="DC396" s="93" cm="1">
        <f t="array" ref="DC396">SUMPRODUCT(TRANSPOSE(DC$4:DC$20),$G396:$W396)</f>
        <v>24</v>
      </c>
      <c r="DD396" s="93" cm="1">
        <f t="array" ref="DD396">SUMPRODUCT(TRANSPOSE(DD$4:DD$20),$G396:$W396)</f>
        <v>0</v>
      </c>
      <c r="DE396" s="93" cm="1">
        <f t="array" ref="DE396">SUMPRODUCT(TRANSPOSE(DE$4:DE$20),$G396:$W396)</f>
        <v>0</v>
      </c>
      <c r="DF396" s="93" cm="1">
        <f t="array" ref="DF396">SUMPRODUCT(TRANSPOSE(DF$4:DF$20),$G396:$W396)</f>
        <v>0</v>
      </c>
      <c r="DG396" s="93" cm="1">
        <f t="array" ref="DG396">SUMPRODUCT(TRANSPOSE(DG$4:DG$20),$G396:$W396)</f>
        <v>0</v>
      </c>
      <c r="DH396" s="93" cm="1">
        <f t="array" ref="DH396">SUMPRODUCT(TRANSPOSE(DH$4:DH$20),$G396:$W396)</f>
        <v>0</v>
      </c>
      <c r="DI396" s="93" cm="1">
        <f t="array" ref="DI396">SUMPRODUCT(TRANSPOSE(DI$4:DI$20),$G396:$W396)</f>
        <v>0</v>
      </c>
      <c r="DJ396" s="93" cm="1">
        <f t="array" ref="DJ396">SUMPRODUCT(TRANSPOSE(DJ$4:DJ$20),$G396:$W396)</f>
        <v>0</v>
      </c>
      <c r="DK396" s="93" cm="1">
        <f t="array" ref="DK396">SUMPRODUCT(TRANSPOSE(DK$4:DK$20),$G396:$W396)</f>
        <v>0</v>
      </c>
      <c r="DL396" s="93" cm="1">
        <f t="array" ref="DL396">SUMPRODUCT(TRANSPOSE(DL$4:DL$20),$G396:$W396)</f>
        <v>0</v>
      </c>
      <c r="DM396" s="93" cm="1">
        <f t="array" ref="DM396">SUMPRODUCT(TRANSPOSE(DM$4:DM$20),$G396:$W396)</f>
        <v>0</v>
      </c>
      <c r="DN396" s="93" cm="1">
        <f t="array" ref="DN396">SUMPRODUCT(TRANSPOSE(DN$4:DN$20),$G396:$W396)</f>
        <v>0</v>
      </c>
      <c r="DO396" s="93" cm="1">
        <f t="array" ref="DO396">SUMPRODUCT(TRANSPOSE(DO$4:DO$20),$G396:$W396)</f>
        <v>0</v>
      </c>
    </row>
    <row r="397" spans="1:119" x14ac:dyDescent="0.2">
      <c r="A397" s="45">
        <f t="shared" si="31"/>
        <v>376</v>
      </c>
      <c r="B397" s="64" t="s">
        <v>854</v>
      </c>
      <c r="C397" s="45">
        <v>417305026</v>
      </c>
      <c r="D397" s="45" t="s">
        <v>855</v>
      </c>
      <c r="E397" s="45" t="s">
        <v>162</v>
      </c>
      <c r="F397" s="48">
        <v>1</v>
      </c>
      <c r="G397" s="100">
        <v>0</v>
      </c>
      <c r="H397" s="100">
        <v>0</v>
      </c>
      <c r="I397" s="100">
        <v>0</v>
      </c>
      <c r="J397" s="100">
        <v>1</v>
      </c>
      <c r="K397" s="100">
        <v>0</v>
      </c>
      <c r="L397" s="100">
        <v>1</v>
      </c>
      <c r="M397" s="100">
        <v>0</v>
      </c>
      <c r="N397" s="100">
        <v>0</v>
      </c>
      <c r="O397" s="100">
        <v>0</v>
      </c>
      <c r="P397" s="100">
        <v>0</v>
      </c>
      <c r="Q397" s="100">
        <v>0</v>
      </c>
      <c r="R397" s="100">
        <v>0</v>
      </c>
      <c r="S397" s="100">
        <v>0</v>
      </c>
      <c r="T397" s="100">
        <v>0</v>
      </c>
      <c r="U397" s="100">
        <v>0</v>
      </c>
      <c r="V397" s="100">
        <v>0</v>
      </c>
      <c r="W397" s="100">
        <v>0</v>
      </c>
      <c r="X397" s="45" t="s">
        <v>44</v>
      </c>
      <c r="Y397" s="49">
        <v>1.6</v>
      </c>
      <c r="Z397" s="45">
        <v>520</v>
      </c>
      <c r="AA397" s="45">
        <v>0</v>
      </c>
      <c r="AB397" s="45">
        <v>0</v>
      </c>
      <c r="AC397" s="45">
        <v>0</v>
      </c>
      <c r="AD397" s="45">
        <v>0</v>
      </c>
      <c r="AE397" s="45">
        <v>0</v>
      </c>
      <c r="AF397" s="45">
        <v>0</v>
      </c>
      <c r="AG397" s="45">
        <v>0</v>
      </c>
      <c r="AH397" s="45">
        <v>0</v>
      </c>
      <c r="AI397" s="45">
        <v>0</v>
      </c>
      <c r="AJ397" s="45">
        <v>0</v>
      </c>
      <c r="AK397" s="45">
        <v>0</v>
      </c>
      <c r="AL397" s="45">
        <v>0</v>
      </c>
      <c r="AM397" s="45">
        <v>0</v>
      </c>
      <c r="AN397" s="45">
        <v>0</v>
      </c>
      <c r="AO397" s="45"/>
      <c r="AP397" s="45"/>
      <c r="AQ397" s="45"/>
      <c r="AR397" s="45"/>
      <c r="AS397" s="45"/>
      <c r="AT397" s="45"/>
      <c r="AU397" s="45"/>
      <c r="AV397" s="45"/>
      <c r="AW397" s="45"/>
      <c r="AX397" s="45"/>
      <c r="AY397" s="45"/>
      <c r="AZ397" s="45"/>
      <c r="BA397" s="45"/>
      <c r="BB397" s="45"/>
      <c r="BC397" s="45"/>
      <c r="BD397" s="93"/>
      <c r="BE397" s="93"/>
      <c r="BF397" s="93"/>
      <c r="BG397" s="93"/>
      <c r="BH397" s="93"/>
      <c r="BI397" s="93"/>
      <c r="BJ397" s="93"/>
      <c r="BK397" s="93">
        <f>SUM($Z397:AD397)-SUM($CM397:CQ397)</f>
        <v>504</v>
      </c>
      <c r="BL397" s="93">
        <f>SUM($Z397:AE397)-SUM($CM397:CR397)</f>
        <v>488</v>
      </c>
      <c r="BM397" s="93">
        <f>SUM($Z397:AF397)-SUM($CM397:CS397)</f>
        <v>472</v>
      </c>
      <c r="BN397" s="93">
        <f>SUM($Z397:AG397)-SUM($CM397:CT397)</f>
        <v>456</v>
      </c>
      <c r="BO397" s="93">
        <f>SUM($Z397:AH397)-SUM($CM397:CU397)</f>
        <v>440</v>
      </c>
      <c r="BP397" s="93">
        <f>SUM($Z397:AI397)-SUM($CM397:CV397)</f>
        <v>424</v>
      </c>
      <c r="BQ397" s="93">
        <f>SUM($Z397:AJ397)-SUM($CM397:CW397)</f>
        <v>408</v>
      </c>
      <c r="BR397" s="93">
        <f>SUM($Z397:AK397)-SUM($CM397:CX397)</f>
        <v>392</v>
      </c>
      <c r="BS397" s="93">
        <f>SUM($Z397:AL397)-SUM($CM397:CY397)</f>
        <v>376</v>
      </c>
      <c r="BT397" s="93">
        <f>SUM($Z397:AM397)-SUM($CM397:CZ397)</f>
        <v>360</v>
      </c>
      <c r="BU397" s="93">
        <f>SUM($Z397:AN397)-SUM($CM397:DA397)</f>
        <v>344</v>
      </c>
      <c r="BV397" s="93">
        <f>SUM($Z397:AO397)-SUM($CM397:DB397)</f>
        <v>328</v>
      </c>
      <c r="BW397" s="93">
        <f>SUM($Z397:AP397)-SUM($CM397:DC397)</f>
        <v>316</v>
      </c>
      <c r="BX397" s="93">
        <f>SUM($Z397:AQ397)-SUM($CM397:DD397)</f>
        <v>316</v>
      </c>
      <c r="BY397" s="93">
        <f>SUM($Z397:AR397)-SUM($CM397:DE397)</f>
        <v>316</v>
      </c>
      <c r="BZ397" s="93">
        <f>SUM($Z397:AS397)-SUM($CM397:DF397)</f>
        <v>316</v>
      </c>
      <c r="CA397" s="93">
        <f>SUM($Z397:AT397)-SUM($CM397:DG397)</f>
        <v>316</v>
      </c>
      <c r="CB397" s="93">
        <f>SUM($Z397:AU397)-SUM($CM397:DH397)</f>
        <v>316</v>
      </c>
      <c r="CC397" s="93">
        <f>SUM($Z397:AV397)-SUM($CM397:DI397)</f>
        <v>316</v>
      </c>
      <c r="CD397" s="93">
        <f>SUM($Z397:AW397)-SUM($CM397:DJ397)</f>
        <v>316</v>
      </c>
      <c r="CE397" s="93">
        <f>SUM($Z397:AX397)-SUM($CM397:DK397)</f>
        <v>316</v>
      </c>
      <c r="CF397" s="93">
        <f>SUM($Z397:AY397)-SUM($CM397:DL397)</f>
        <v>316</v>
      </c>
      <c r="CG397" s="93">
        <f>SUM($Z397:AZ397)-SUM($CM397:DM397)</f>
        <v>316</v>
      </c>
      <c r="CH397" s="93">
        <f>SUM($Z397:BA397)-SUM($CM397:DN397)</f>
        <v>316</v>
      </c>
      <c r="CI397" s="93">
        <f>SUM($Z397:BB397)-SUM($CM397:DO397)</f>
        <v>316</v>
      </c>
      <c r="CJ397" s="93"/>
      <c r="CK397" s="93"/>
      <c r="CL397" s="93"/>
      <c r="CM397" s="93"/>
      <c r="CN397" s="93" cm="1">
        <f t="array" ref="CN397">SUMPRODUCT(TRANSPOSE(CN$4:CN$20),$G397:$W397)</f>
        <v>0</v>
      </c>
      <c r="CO397" s="93" cm="1">
        <f t="array" ref="CO397">SUMPRODUCT(TRANSPOSE(CO$4:CO$20),$G397:$W397)</f>
        <v>0</v>
      </c>
      <c r="CP397" s="93" cm="1">
        <f t="array" ref="CP397">SUMPRODUCT(TRANSPOSE(CP$4:CP$20),$G397:$W397)</f>
        <v>0</v>
      </c>
      <c r="CQ397" s="93" cm="1">
        <f t="array" ref="CQ397">SUMPRODUCT(TRANSPOSE(CQ$4:CQ$20),$G397:$W397)</f>
        <v>16</v>
      </c>
      <c r="CR397" s="93" cm="1">
        <f t="array" ref="CR397">SUMPRODUCT(TRANSPOSE(CR$4:CR$20),$G397:$W397)</f>
        <v>16</v>
      </c>
      <c r="CS397" s="93" cm="1">
        <f t="array" ref="CS397">SUMPRODUCT(TRANSPOSE(CS$4:CS$20),$G397:$W397)</f>
        <v>16</v>
      </c>
      <c r="CT397" s="93" cm="1">
        <f t="array" ref="CT397">SUMPRODUCT(TRANSPOSE(CT$4:CT$20),$G397:$W397)</f>
        <v>16</v>
      </c>
      <c r="CU397" s="93" cm="1">
        <f t="array" ref="CU397">SUMPRODUCT(TRANSPOSE(CU$4:CU$20),$G397:$W397)</f>
        <v>16</v>
      </c>
      <c r="CV397" s="93" cm="1">
        <f t="array" ref="CV397">SUMPRODUCT(TRANSPOSE(CV$4:CV$20),$G397:$W397)</f>
        <v>16</v>
      </c>
      <c r="CW397" s="93" cm="1">
        <f t="array" ref="CW397">SUMPRODUCT(TRANSPOSE(CW$4:CW$20),$G397:$W397)</f>
        <v>16</v>
      </c>
      <c r="CX397" s="93" cm="1">
        <f t="array" ref="CX397">SUMPRODUCT(TRANSPOSE(CX$4:CX$20),$G397:$W397)</f>
        <v>16</v>
      </c>
      <c r="CY397" s="93" cm="1">
        <f t="array" ref="CY397">SUMPRODUCT(TRANSPOSE(CY$4:CY$20),$G397:$W397)</f>
        <v>16</v>
      </c>
      <c r="CZ397" s="93" cm="1">
        <f t="array" ref="CZ397">SUMPRODUCT(TRANSPOSE(CZ$4:CZ$20),$G397:$W397)</f>
        <v>16</v>
      </c>
      <c r="DA397" s="93" cm="1">
        <f t="array" ref="DA397">SUMPRODUCT(TRANSPOSE(DA$4:DA$20),$G397:$W397)</f>
        <v>16</v>
      </c>
      <c r="DB397" s="93" cm="1">
        <f t="array" ref="DB397">SUMPRODUCT(TRANSPOSE(DB$4:DB$20),$G397:$W397)</f>
        <v>16</v>
      </c>
      <c r="DC397" s="93" cm="1">
        <f t="array" ref="DC397">SUMPRODUCT(TRANSPOSE(DC$4:DC$20),$G397:$W397)</f>
        <v>12</v>
      </c>
      <c r="DD397" s="93" cm="1">
        <f t="array" ref="DD397">SUMPRODUCT(TRANSPOSE(DD$4:DD$20),$G397:$W397)</f>
        <v>0</v>
      </c>
      <c r="DE397" s="93" cm="1">
        <f t="array" ref="DE397">SUMPRODUCT(TRANSPOSE(DE$4:DE$20),$G397:$W397)</f>
        <v>0</v>
      </c>
      <c r="DF397" s="93" cm="1">
        <f t="array" ref="DF397">SUMPRODUCT(TRANSPOSE(DF$4:DF$20),$G397:$W397)</f>
        <v>0</v>
      </c>
      <c r="DG397" s="93" cm="1">
        <f t="array" ref="DG397">SUMPRODUCT(TRANSPOSE(DG$4:DG$20),$G397:$W397)</f>
        <v>0</v>
      </c>
      <c r="DH397" s="93" cm="1">
        <f t="array" ref="DH397">SUMPRODUCT(TRANSPOSE(DH$4:DH$20),$G397:$W397)</f>
        <v>0</v>
      </c>
      <c r="DI397" s="93" cm="1">
        <f t="array" ref="DI397">SUMPRODUCT(TRANSPOSE(DI$4:DI$20),$G397:$W397)</f>
        <v>0</v>
      </c>
      <c r="DJ397" s="93" cm="1">
        <f t="array" ref="DJ397">SUMPRODUCT(TRANSPOSE(DJ$4:DJ$20),$G397:$W397)</f>
        <v>0</v>
      </c>
      <c r="DK397" s="93" cm="1">
        <f t="array" ref="DK397">SUMPRODUCT(TRANSPOSE(DK$4:DK$20),$G397:$W397)</f>
        <v>0</v>
      </c>
      <c r="DL397" s="93" cm="1">
        <f t="array" ref="DL397">SUMPRODUCT(TRANSPOSE(DL$4:DL$20),$G397:$W397)</f>
        <v>0</v>
      </c>
      <c r="DM397" s="93" cm="1">
        <f t="array" ref="DM397">SUMPRODUCT(TRANSPOSE(DM$4:DM$20),$G397:$W397)</f>
        <v>0</v>
      </c>
      <c r="DN397" s="93" cm="1">
        <f t="array" ref="DN397">SUMPRODUCT(TRANSPOSE(DN$4:DN$20),$G397:$W397)</f>
        <v>0</v>
      </c>
      <c r="DO397" s="93" cm="1">
        <f t="array" ref="DO397">SUMPRODUCT(TRANSPOSE(DO$4:DO$20),$G397:$W397)</f>
        <v>0</v>
      </c>
    </row>
    <row r="398" spans="1:119" x14ac:dyDescent="0.2">
      <c r="A398" s="45">
        <f t="shared" si="31"/>
        <v>377</v>
      </c>
      <c r="B398" s="64" t="s">
        <v>856</v>
      </c>
      <c r="C398" s="50">
        <v>417305028</v>
      </c>
      <c r="D398" s="45" t="s">
        <v>857</v>
      </c>
      <c r="E398" s="45" t="s">
        <v>162</v>
      </c>
      <c r="F398" s="48">
        <v>1</v>
      </c>
      <c r="G398" s="100">
        <v>0</v>
      </c>
      <c r="H398" s="100">
        <v>0</v>
      </c>
      <c r="I398" s="100">
        <v>0</v>
      </c>
      <c r="J398" s="100">
        <v>1</v>
      </c>
      <c r="K398" s="100">
        <v>0</v>
      </c>
      <c r="L398" s="100">
        <v>1</v>
      </c>
      <c r="M398" s="100">
        <v>0</v>
      </c>
      <c r="N398" s="100">
        <v>0</v>
      </c>
      <c r="O398" s="100">
        <v>0</v>
      </c>
      <c r="P398" s="100">
        <v>0</v>
      </c>
      <c r="Q398" s="100">
        <v>0</v>
      </c>
      <c r="R398" s="100">
        <v>0</v>
      </c>
      <c r="S398" s="100">
        <v>0</v>
      </c>
      <c r="T398" s="100">
        <v>0</v>
      </c>
      <c r="U398" s="100">
        <v>0</v>
      </c>
      <c r="V398" s="100">
        <v>0</v>
      </c>
      <c r="W398" s="100">
        <v>0</v>
      </c>
      <c r="X398" s="45" t="s">
        <v>46</v>
      </c>
      <c r="Y398" s="49">
        <v>145</v>
      </c>
      <c r="Z398" s="45">
        <v>520</v>
      </c>
      <c r="AA398" s="45">
        <v>0</v>
      </c>
      <c r="AB398" s="45">
        <v>0</v>
      </c>
      <c r="AC398" s="45">
        <v>0</v>
      </c>
      <c r="AD398" s="45">
        <v>0</v>
      </c>
      <c r="AE398" s="45">
        <v>0</v>
      </c>
      <c r="AF398" s="45">
        <v>0</v>
      </c>
      <c r="AG398" s="45">
        <v>0</v>
      </c>
      <c r="AH398" s="45">
        <v>0</v>
      </c>
      <c r="AI398" s="45">
        <v>0</v>
      </c>
      <c r="AJ398" s="45">
        <v>0</v>
      </c>
      <c r="AK398" s="45">
        <v>0</v>
      </c>
      <c r="AL398" s="45">
        <v>0</v>
      </c>
      <c r="AM398" s="45">
        <v>0</v>
      </c>
      <c r="AN398" s="45">
        <v>0</v>
      </c>
      <c r="AO398" s="45"/>
      <c r="AP398" s="45"/>
      <c r="AQ398" s="45"/>
      <c r="AR398" s="45"/>
      <c r="AS398" s="45"/>
      <c r="AT398" s="45"/>
      <c r="AU398" s="45"/>
      <c r="AV398" s="45"/>
      <c r="AW398" s="45"/>
      <c r="AX398" s="45"/>
      <c r="AY398" s="45"/>
      <c r="AZ398" s="45"/>
      <c r="BA398" s="45"/>
      <c r="BB398" s="45"/>
      <c r="BC398" s="45"/>
      <c r="BD398" s="93"/>
      <c r="BE398" s="93"/>
      <c r="BF398" s="93"/>
      <c r="BG398" s="93"/>
      <c r="BH398" s="93"/>
      <c r="BI398" s="93"/>
      <c r="BJ398" s="93"/>
      <c r="BK398" s="93">
        <f>SUM($Z398:AD398)-SUM($CM398:CQ398)</f>
        <v>504</v>
      </c>
      <c r="BL398" s="93">
        <f>SUM($Z398:AE398)-SUM($CM398:CR398)</f>
        <v>488</v>
      </c>
      <c r="BM398" s="93">
        <f>SUM($Z398:AF398)-SUM($CM398:CS398)</f>
        <v>472</v>
      </c>
      <c r="BN398" s="93">
        <f>SUM($Z398:AG398)-SUM($CM398:CT398)</f>
        <v>456</v>
      </c>
      <c r="BO398" s="93">
        <f>SUM($Z398:AH398)-SUM($CM398:CU398)</f>
        <v>440</v>
      </c>
      <c r="BP398" s="93">
        <f>SUM($Z398:AI398)-SUM($CM398:CV398)</f>
        <v>424</v>
      </c>
      <c r="BQ398" s="93">
        <f>SUM($Z398:AJ398)-SUM($CM398:CW398)</f>
        <v>408</v>
      </c>
      <c r="BR398" s="93">
        <f>SUM($Z398:AK398)-SUM($CM398:CX398)</f>
        <v>392</v>
      </c>
      <c r="BS398" s="93">
        <f>SUM($Z398:AL398)-SUM($CM398:CY398)</f>
        <v>376</v>
      </c>
      <c r="BT398" s="93">
        <f>SUM($Z398:AM398)-SUM($CM398:CZ398)</f>
        <v>360</v>
      </c>
      <c r="BU398" s="93">
        <f>SUM($Z398:AN398)-SUM($CM398:DA398)</f>
        <v>344</v>
      </c>
      <c r="BV398" s="93">
        <f>SUM($Z398:AO398)-SUM($CM398:DB398)</f>
        <v>328</v>
      </c>
      <c r="BW398" s="93">
        <f>SUM($Z398:AP398)-SUM($CM398:DC398)</f>
        <v>316</v>
      </c>
      <c r="BX398" s="93">
        <f>SUM($Z398:AQ398)-SUM($CM398:DD398)</f>
        <v>316</v>
      </c>
      <c r="BY398" s="93">
        <f>SUM($Z398:AR398)-SUM($CM398:DE398)</f>
        <v>316</v>
      </c>
      <c r="BZ398" s="93">
        <f>SUM($Z398:AS398)-SUM($CM398:DF398)</f>
        <v>316</v>
      </c>
      <c r="CA398" s="93">
        <f>SUM($Z398:AT398)-SUM($CM398:DG398)</f>
        <v>316</v>
      </c>
      <c r="CB398" s="93">
        <f>SUM($Z398:AU398)-SUM($CM398:DH398)</f>
        <v>316</v>
      </c>
      <c r="CC398" s="93">
        <f>SUM($Z398:AV398)-SUM($CM398:DI398)</f>
        <v>316</v>
      </c>
      <c r="CD398" s="93">
        <f>SUM($Z398:AW398)-SUM($CM398:DJ398)</f>
        <v>316</v>
      </c>
      <c r="CE398" s="93">
        <f>SUM($Z398:AX398)-SUM($CM398:DK398)</f>
        <v>316</v>
      </c>
      <c r="CF398" s="93">
        <f>SUM($Z398:AY398)-SUM($CM398:DL398)</f>
        <v>316</v>
      </c>
      <c r="CG398" s="93">
        <f>SUM($Z398:AZ398)-SUM($CM398:DM398)</f>
        <v>316</v>
      </c>
      <c r="CH398" s="93">
        <f>SUM($Z398:BA398)-SUM($CM398:DN398)</f>
        <v>316</v>
      </c>
      <c r="CI398" s="93">
        <f>SUM($Z398:BB398)-SUM($CM398:DO398)</f>
        <v>316</v>
      </c>
      <c r="CJ398" s="93"/>
      <c r="CK398" s="93"/>
      <c r="CL398" s="93"/>
      <c r="CM398" s="93"/>
      <c r="CN398" s="93" cm="1">
        <f t="array" ref="CN398">SUMPRODUCT(TRANSPOSE(CN$4:CN$20),$G398:$W398)</f>
        <v>0</v>
      </c>
      <c r="CO398" s="93" cm="1">
        <f t="array" ref="CO398">SUMPRODUCT(TRANSPOSE(CO$4:CO$20),$G398:$W398)</f>
        <v>0</v>
      </c>
      <c r="CP398" s="93" cm="1">
        <f t="array" ref="CP398">SUMPRODUCT(TRANSPOSE(CP$4:CP$20),$G398:$W398)</f>
        <v>0</v>
      </c>
      <c r="CQ398" s="93" cm="1">
        <f t="array" ref="CQ398">SUMPRODUCT(TRANSPOSE(CQ$4:CQ$20),$G398:$W398)</f>
        <v>16</v>
      </c>
      <c r="CR398" s="93" cm="1">
        <f t="array" ref="CR398">SUMPRODUCT(TRANSPOSE(CR$4:CR$20),$G398:$W398)</f>
        <v>16</v>
      </c>
      <c r="CS398" s="93" cm="1">
        <f t="array" ref="CS398">SUMPRODUCT(TRANSPOSE(CS$4:CS$20),$G398:$W398)</f>
        <v>16</v>
      </c>
      <c r="CT398" s="93" cm="1">
        <f t="array" ref="CT398">SUMPRODUCT(TRANSPOSE(CT$4:CT$20),$G398:$W398)</f>
        <v>16</v>
      </c>
      <c r="CU398" s="93" cm="1">
        <f t="array" ref="CU398">SUMPRODUCT(TRANSPOSE(CU$4:CU$20),$G398:$W398)</f>
        <v>16</v>
      </c>
      <c r="CV398" s="93" cm="1">
        <f t="array" ref="CV398">SUMPRODUCT(TRANSPOSE(CV$4:CV$20),$G398:$W398)</f>
        <v>16</v>
      </c>
      <c r="CW398" s="93" cm="1">
        <f t="array" ref="CW398">SUMPRODUCT(TRANSPOSE(CW$4:CW$20),$G398:$W398)</f>
        <v>16</v>
      </c>
      <c r="CX398" s="93" cm="1">
        <f t="array" ref="CX398">SUMPRODUCT(TRANSPOSE(CX$4:CX$20),$G398:$W398)</f>
        <v>16</v>
      </c>
      <c r="CY398" s="93" cm="1">
        <f t="array" ref="CY398">SUMPRODUCT(TRANSPOSE(CY$4:CY$20),$G398:$W398)</f>
        <v>16</v>
      </c>
      <c r="CZ398" s="93" cm="1">
        <f t="array" ref="CZ398">SUMPRODUCT(TRANSPOSE(CZ$4:CZ$20),$G398:$W398)</f>
        <v>16</v>
      </c>
      <c r="DA398" s="93" cm="1">
        <f t="array" ref="DA398">SUMPRODUCT(TRANSPOSE(DA$4:DA$20),$G398:$W398)</f>
        <v>16</v>
      </c>
      <c r="DB398" s="93" cm="1">
        <f t="array" ref="DB398">SUMPRODUCT(TRANSPOSE(DB$4:DB$20),$G398:$W398)</f>
        <v>16</v>
      </c>
      <c r="DC398" s="93" cm="1">
        <f t="array" ref="DC398">SUMPRODUCT(TRANSPOSE(DC$4:DC$20),$G398:$W398)</f>
        <v>12</v>
      </c>
      <c r="DD398" s="93" cm="1">
        <f t="array" ref="DD398">SUMPRODUCT(TRANSPOSE(DD$4:DD$20),$G398:$W398)</f>
        <v>0</v>
      </c>
      <c r="DE398" s="93" cm="1">
        <f t="array" ref="DE398">SUMPRODUCT(TRANSPOSE(DE$4:DE$20),$G398:$W398)</f>
        <v>0</v>
      </c>
      <c r="DF398" s="93" cm="1">
        <f t="array" ref="DF398">SUMPRODUCT(TRANSPOSE(DF$4:DF$20),$G398:$W398)</f>
        <v>0</v>
      </c>
      <c r="DG398" s="93" cm="1">
        <f t="array" ref="DG398">SUMPRODUCT(TRANSPOSE(DG$4:DG$20),$G398:$W398)</f>
        <v>0</v>
      </c>
      <c r="DH398" s="93" cm="1">
        <f t="array" ref="DH398">SUMPRODUCT(TRANSPOSE(DH$4:DH$20),$G398:$W398)</f>
        <v>0</v>
      </c>
      <c r="DI398" s="93" cm="1">
        <f t="array" ref="DI398">SUMPRODUCT(TRANSPOSE(DI$4:DI$20),$G398:$W398)</f>
        <v>0</v>
      </c>
      <c r="DJ398" s="93" cm="1">
        <f t="array" ref="DJ398">SUMPRODUCT(TRANSPOSE(DJ$4:DJ$20),$G398:$W398)</f>
        <v>0</v>
      </c>
      <c r="DK398" s="93" cm="1">
        <f t="array" ref="DK398">SUMPRODUCT(TRANSPOSE(DK$4:DK$20),$G398:$W398)</f>
        <v>0</v>
      </c>
      <c r="DL398" s="93" cm="1">
        <f t="array" ref="DL398">SUMPRODUCT(TRANSPOSE(DL$4:DL$20),$G398:$W398)</f>
        <v>0</v>
      </c>
      <c r="DM398" s="93" cm="1">
        <f t="array" ref="DM398">SUMPRODUCT(TRANSPOSE(DM$4:DM$20),$G398:$W398)</f>
        <v>0</v>
      </c>
      <c r="DN398" s="93" cm="1">
        <f t="array" ref="DN398">SUMPRODUCT(TRANSPOSE(DN$4:DN$20),$G398:$W398)</f>
        <v>0</v>
      </c>
      <c r="DO398" s="93" cm="1">
        <f t="array" ref="DO398">SUMPRODUCT(TRANSPOSE(DO$4:DO$20),$G398:$W398)</f>
        <v>0</v>
      </c>
    </row>
    <row r="399" spans="1:119" x14ac:dyDescent="0.2">
      <c r="A399" s="45">
        <f t="shared" si="31"/>
        <v>378</v>
      </c>
      <c r="B399" s="64" t="s">
        <v>858</v>
      </c>
      <c r="C399" s="45">
        <v>417305027</v>
      </c>
      <c r="D399" s="45" t="s">
        <v>859</v>
      </c>
      <c r="E399" s="45" t="s">
        <v>162</v>
      </c>
      <c r="F399" s="48">
        <v>1</v>
      </c>
      <c r="G399" s="100">
        <v>0</v>
      </c>
      <c r="H399" s="100">
        <v>0</v>
      </c>
      <c r="I399" s="100">
        <v>0</v>
      </c>
      <c r="J399" s="100">
        <v>16</v>
      </c>
      <c r="K399" s="100">
        <v>0</v>
      </c>
      <c r="L399" s="100">
        <v>16</v>
      </c>
      <c r="M399" s="100">
        <v>0</v>
      </c>
      <c r="N399" s="100">
        <v>0</v>
      </c>
      <c r="O399" s="100">
        <v>0</v>
      </c>
      <c r="P399" s="100">
        <v>0</v>
      </c>
      <c r="Q399" s="100">
        <v>0</v>
      </c>
      <c r="R399" s="100">
        <v>0</v>
      </c>
      <c r="S399" s="100">
        <v>0</v>
      </c>
      <c r="T399" s="100">
        <v>0</v>
      </c>
      <c r="U399" s="100">
        <v>0</v>
      </c>
      <c r="V399" s="100">
        <v>0</v>
      </c>
      <c r="W399" s="100">
        <v>0</v>
      </c>
      <c r="X399" s="45" t="s">
        <v>754</v>
      </c>
      <c r="Y399" s="53">
        <v>29.13</v>
      </c>
      <c r="Z399" s="45">
        <v>8320</v>
      </c>
      <c r="AA399" s="45">
        <v>0</v>
      </c>
      <c r="AB399" s="45">
        <v>0</v>
      </c>
      <c r="AC399" s="45">
        <v>0</v>
      </c>
      <c r="AD399" s="45">
        <v>0</v>
      </c>
      <c r="AE399" s="45">
        <v>0</v>
      </c>
      <c r="AF399" s="45">
        <v>0</v>
      </c>
      <c r="AG399" s="45">
        <v>0</v>
      </c>
      <c r="AH399" s="45">
        <v>0</v>
      </c>
      <c r="AI399" s="45">
        <v>0</v>
      </c>
      <c r="AJ399" s="45">
        <v>0</v>
      </c>
      <c r="AK399" s="45">
        <v>0</v>
      </c>
      <c r="AL399" s="45">
        <v>0</v>
      </c>
      <c r="AM399" s="45">
        <v>0</v>
      </c>
      <c r="AN399" s="45">
        <v>0</v>
      </c>
      <c r="AO399" s="45"/>
      <c r="AP399" s="45"/>
      <c r="AQ399" s="45"/>
      <c r="AR399" s="45"/>
      <c r="AS399" s="45"/>
      <c r="AT399" s="45"/>
      <c r="AU399" s="45"/>
      <c r="AV399" s="45"/>
      <c r="AW399" s="45"/>
      <c r="AX399" s="45"/>
      <c r="AY399" s="45"/>
      <c r="AZ399" s="45"/>
      <c r="BA399" s="45"/>
      <c r="BB399" s="45"/>
      <c r="BC399" s="45"/>
      <c r="BD399" s="93"/>
      <c r="BE399" s="93"/>
      <c r="BF399" s="93"/>
      <c r="BG399" s="93"/>
      <c r="BH399" s="93"/>
      <c r="BI399" s="93"/>
      <c r="BJ399" s="93"/>
      <c r="BK399" s="93">
        <f>SUM($Z399:AD399)-SUM($CM399:CQ399)</f>
        <v>8064</v>
      </c>
      <c r="BL399" s="93">
        <f>SUM($Z399:AE399)-SUM($CM399:CR399)</f>
        <v>7808</v>
      </c>
      <c r="BM399" s="93">
        <f>SUM($Z399:AF399)-SUM($CM399:CS399)</f>
        <v>7552</v>
      </c>
      <c r="BN399" s="93">
        <f>SUM($Z399:AG399)-SUM($CM399:CT399)</f>
        <v>7296</v>
      </c>
      <c r="BO399" s="93">
        <f>SUM($Z399:AH399)-SUM($CM399:CU399)</f>
        <v>7040</v>
      </c>
      <c r="BP399" s="93">
        <f>SUM($Z399:AI399)-SUM($CM399:CV399)</f>
        <v>6784</v>
      </c>
      <c r="BQ399" s="93">
        <f>SUM($Z399:AJ399)-SUM($CM399:CW399)</f>
        <v>6528</v>
      </c>
      <c r="BR399" s="93">
        <f>SUM($Z399:AK399)-SUM($CM399:CX399)</f>
        <v>6272</v>
      </c>
      <c r="BS399" s="93">
        <f>SUM($Z399:AL399)-SUM($CM399:CY399)</f>
        <v>6016</v>
      </c>
      <c r="BT399" s="93">
        <f>SUM($Z399:AM399)-SUM($CM399:CZ399)</f>
        <v>5760</v>
      </c>
      <c r="BU399" s="93">
        <f>SUM($Z399:AN399)-SUM($CM399:DA399)</f>
        <v>5504</v>
      </c>
      <c r="BV399" s="93">
        <f>SUM($Z399:AO399)-SUM($CM399:DB399)</f>
        <v>5248</v>
      </c>
      <c r="BW399" s="93">
        <f>SUM($Z399:AP399)-SUM($CM399:DC399)</f>
        <v>5056</v>
      </c>
      <c r="BX399" s="93">
        <f>SUM($Z399:AQ399)-SUM($CM399:DD399)</f>
        <v>5056</v>
      </c>
      <c r="BY399" s="93">
        <f>SUM($Z399:AR399)-SUM($CM399:DE399)</f>
        <v>5056</v>
      </c>
      <c r="BZ399" s="93">
        <f>SUM($Z399:AS399)-SUM($CM399:DF399)</f>
        <v>5056</v>
      </c>
      <c r="CA399" s="93">
        <f>SUM($Z399:AT399)-SUM($CM399:DG399)</f>
        <v>5056</v>
      </c>
      <c r="CB399" s="93">
        <f>SUM($Z399:AU399)-SUM($CM399:DH399)</f>
        <v>5056</v>
      </c>
      <c r="CC399" s="93">
        <f>SUM($Z399:AV399)-SUM($CM399:DI399)</f>
        <v>5056</v>
      </c>
      <c r="CD399" s="93">
        <f>SUM($Z399:AW399)-SUM($CM399:DJ399)</f>
        <v>5056</v>
      </c>
      <c r="CE399" s="93">
        <f>SUM($Z399:AX399)-SUM($CM399:DK399)</f>
        <v>5056</v>
      </c>
      <c r="CF399" s="93">
        <f>SUM($Z399:AY399)-SUM($CM399:DL399)</f>
        <v>5056</v>
      </c>
      <c r="CG399" s="93">
        <f>SUM($Z399:AZ399)-SUM($CM399:DM399)</f>
        <v>5056</v>
      </c>
      <c r="CH399" s="93">
        <f>SUM($Z399:BA399)-SUM($CM399:DN399)</f>
        <v>5056</v>
      </c>
      <c r="CI399" s="93">
        <f>SUM($Z399:BB399)-SUM($CM399:DO399)</f>
        <v>5056</v>
      </c>
      <c r="CJ399" s="93"/>
      <c r="CK399" s="93"/>
      <c r="CL399" s="93"/>
      <c r="CM399" s="93"/>
      <c r="CN399" s="93" cm="1">
        <f t="array" ref="CN399">SUMPRODUCT(TRANSPOSE(CN$4:CN$20),$G399:$W399)</f>
        <v>0</v>
      </c>
      <c r="CO399" s="93" cm="1">
        <f t="array" ref="CO399">SUMPRODUCT(TRANSPOSE(CO$4:CO$20),$G399:$W399)</f>
        <v>0</v>
      </c>
      <c r="CP399" s="93" cm="1">
        <f t="array" ref="CP399">SUMPRODUCT(TRANSPOSE(CP$4:CP$20),$G399:$W399)</f>
        <v>0</v>
      </c>
      <c r="CQ399" s="93" cm="1">
        <f t="array" ref="CQ399">SUMPRODUCT(TRANSPOSE(CQ$4:CQ$20),$G399:$W399)</f>
        <v>256</v>
      </c>
      <c r="CR399" s="93" cm="1">
        <f t="array" ref="CR399">SUMPRODUCT(TRANSPOSE(CR$4:CR$20),$G399:$W399)</f>
        <v>256</v>
      </c>
      <c r="CS399" s="93" cm="1">
        <f t="array" ref="CS399">SUMPRODUCT(TRANSPOSE(CS$4:CS$20),$G399:$W399)</f>
        <v>256</v>
      </c>
      <c r="CT399" s="93" cm="1">
        <f t="array" ref="CT399">SUMPRODUCT(TRANSPOSE(CT$4:CT$20),$G399:$W399)</f>
        <v>256</v>
      </c>
      <c r="CU399" s="93" cm="1">
        <f t="array" ref="CU399">SUMPRODUCT(TRANSPOSE(CU$4:CU$20),$G399:$W399)</f>
        <v>256</v>
      </c>
      <c r="CV399" s="93" cm="1">
        <f t="array" ref="CV399">SUMPRODUCT(TRANSPOSE(CV$4:CV$20),$G399:$W399)</f>
        <v>256</v>
      </c>
      <c r="CW399" s="93" cm="1">
        <f t="array" ref="CW399">SUMPRODUCT(TRANSPOSE(CW$4:CW$20),$G399:$W399)</f>
        <v>256</v>
      </c>
      <c r="CX399" s="93" cm="1">
        <f t="array" ref="CX399">SUMPRODUCT(TRANSPOSE(CX$4:CX$20),$G399:$W399)</f>
        <v>256</v>
      </c>
      <c r="CY399" s="93" cm="1">
        <f t="array" ref="CY399">SUMPRODUCT(TRANSPOSE(CY$4:CY$20),$G399:$W399)</f>
        <v>256</v>
      </c>
      <c r="CZ399" s="93" cm="1">
        <f t="array" ref="CZ399">SUMPRODUCT(TRANSPOSE(CZ$4:CZ$20),$G399:$W399)</f>
        <v>256</v>
      </c>
      <c r="DA399" s="93" cm="1">
        <f t="array" ref="DA399">SUMPRODUCT(TRANSPOSE(DA$4:DA$20),$G399:$W399)</f>
        <v>256</v>
      </c>
      <c r="DB399" s="93" cm="1">
        <f t="array" ref="DB399">SUMPRODUCT(TRANSPOSE(DB$4:DB$20),$G399:$W399)</f>
        <v>256</v>
      </c>
      <c r="DC399" s="93" cm="1">
        <f t="array" ref="DC399">SUMPRODUCT(TRANSPOSE(DC$4:DC$20),$G399:$W399)</f>
        <v>192</v>
      </c>
      <c r="DD399" s="93" cm="1">
        <f t="array" ref="DD399">SUMPRODUCT(TRANSPOSE(DD$4:DD$20),$G399:$W399)</f>
        <v>0</v>
      </c>
      <c r="DE399" s="93" cm="1">
        <f t="array" ref="DE399">SUMPRODUCT(TRANSPOSE(DE$4:DE$20),$G399:$W399)</f>
        <v>0</v>
      </c>
      <c r="DF399" s="93" cm="1">
        <f t="array" ref="DF399">SUMPRODUCT(TRANSPOSE(DF$4:DF$20),$G399:$W399)</f>
        <v>0</v>
      </c>
      <c r="DG399" s="93" cm="1">
        <f t="array" ref="DG399">SUMPRODUCT(TRANSPOSE(DG$4:DG$20),$G399:$W399)</f>
        <v>0</v>
      </c>
      <c r="DH399" s="93" cm="1">
        <f t="array" ref="DH399">SUMPRODUCT(TRANSPOSE(DH$4:DH$20),$G399:$W399)</f>
        <v>0</v>
      </c>
      <c r="DI399" s="93" cm="1">
        <f t="array" ref="DI399">SUMPRODUCT(TRANSPOSE(DI$4:DI$20),$G399:$W399)</f>
        <v>0</v>
      </c>
      <c r="DJ399" s="93" cm="1">
        <f t="array" ref="DJ399">SUMPRODUCT(TRANSPOSE(DJ$4:DJ$20),$G399:$W399)</f>
        <v>0</v>
      </c>
      <c r="DK399" s="93" cm="1">
        <f t="array" ref="DK399">SUMPRODUCT(TRANSPOSE(DK$4:DK$20),$G399:$W399)</f>
        <v>0</v>
      </c>
      <c r="DL399" s="93" cm="1">
        <f t="array" ref="DL399">SUMPRODUCT(TRANSPOSE(DL$4:DL$20),$G399:$W399)</f>
        <v>0</v>
      </c>
      <c r="DM399" s="93" cm="1">
        <f t="array" ref="DM399">SUMPRODUCT(TRANSPOSE(DM$4:DM$20),$G399:$W399)</f>
        <v>0</v>
      </c>
      <c r="DN399" s="93" cm="1">
        <f t="array" ref="DN399">SUMPRODUCT(TRANSPOSE(DN$4:DN$20),$G399:$W399)</f>
        <v>0</v>
      </c>
      <c r="DO399" s="93" cm="1">
        <f t="array" ref="DO399">SUMPRODUCT(TRANSPOSE(DO$4:DO$20),$G399:$W399)</f>
        <v>0</v>
      </c>
    </row>
    <row r="400" spans="1:119" x14ac:dyDescent="0.2">
      <c r="A400" s="45">
        <f t="shared" si="31"/>
        <v>379</v>
      </c>
      <c r="B400" s="64" t="s">
        <v>860</v>
      </c>
      <c r="C400" s="45">
        <v>410404205</v>
      </c>
      <c r="D400" s="45" t="s">
        <v>861</v>
      </c>
      <c r="E400" s="45" t="s">
        <v>162</v>
      </c>
      <c r="F400" s="48">
        <v>1</v>
      </c>
      <c r="G400" s="100">
        <v>0</v>
      </c>
      <c r="H400" s="100">
        <v>0</v>
      </c>
      <c r="I400" s="100">
        <v>1</v>
      </c>
      <c r="J400" s="100">
        <v>0</v>
      </c>
      <c r="K400" s="100">
        <v>0</v>
      </c>
      <c r="L400" s="100">
        <v>0</v>
      </c>
      <c r="M400" s="100">
        <v>0</v>
      </c>
      <c r="N400" s="100">
        <v>0</v>
      </c>
      <c r="O400" s="100">
        <v>0</v>
      </c>
      <c r="P400" s="100">
        <v>0</v>
      </c>
      <c r="Q400" s="100">
        <v>0</v>
      </c>
      <c r="R400" s="100">
        <v>0</v>
      </c>
      <c r="S400" s="100">
        <v>0</v>
      </c>
      <c r="T400" s="100">
        <v>0</v>
      </c>
      <c r="U400" s="100">
        <v>0</v>
      </c>
      <c r="V400" s="100">
        <v>0</v>
      </c>
      <c r="W400" s="100">
        <v>0</v>
      </c>
      <c r="X400" s="45" t="s">
        <v>46</v>
      </c>
      <c r="Y400" s="49">
        <v>2810</v>
      </c>
      <c r="Z400" s="45">
        <v>53</v>
      </c>
      <c r="AA400" s="45">
        <v>0</v>
      </c>
      <c r="AB400" s="45">
        <v>0</v>
      </c>
      <c r="AC400" s="45">
        <v>0</v>
      </c>
      <c r="AD400" s="45">
        <v>0</v>
      </c>
      <c r="AE400" s="45">
        <v>6</v>
      </c>
      <c r="AF400" s="45">
        <v>10</v>
      </c>
      <c r="AG400" s="45">
        <v>7</v>
      </c>
      <c r="AH400" s="45">
        <v>0</v>
      </c>
      <c r="AI400" s="45">
        <v>0</v>
      </c>
      <c r="AJ400" s="45">
        <v>0</v>
      </c>
      <c r="AK400" s="45">
        <v>0</v>
      </c>
      <c r="AL400" s="45">
        <v>0</v>
      </c>
      <c r="AM400" s="45">
        <v>0</v>
      </c>
      <c r="AN400" s="45">
        <v>0</v>
      </c>
      <c r="AO400" s="45"/>
      <c r="AP400" s="45"/>
      <c r="AQ400" s="45"/>
      <c r="AR400" s="45"/>
      <c r="AS400" s="45"/>
      <c r="AT400" s="45"/>
      <c r="AU400" s="45"/>
      <c r="AV400" s="45"/>
      <c r="AW400" s="45"/>
      <c r="AX400" s="45"/>
      <c r="AY400" s="45"/>
      <c r="AZ400" s="45"/>
      <c r="BA400" s="45"/>
      <c r="BB400" s="45"/>
      <c r="BC400" s="45"/>
      <c r="BD400" s="93"/>
      <c r="BE400" s="93"/>
      <c r="BF400" s="93"/>
      <c r="BG400" s="93"/>
      <c r="BH400" s="93"/>
      <c r="BI400" s="93"/>
      <c r="BJ400" s="93"/>
      <c r="BK400" s="93">
        <f>SUM($Z400:AD400)-SUM($CM400:CQ400)</f>
        <v>45</v>
      </c>
      <c r="BL400" s="93">
        <f>SUM($Z400:AE400)-SUM($CM400:CR400)</f>
        <v>43</v>
      </c>
      <c r="BM400" s="93">
        <f>SUM($Z400:AF400)-SUM($CM400:CS400)</f>
        <v>45</v>
      </c>
      <c r="BN400" s="93">
        <f>SUM($Z400:AG400)-SUM($CM400:CT400)</f>
        <v>44</v>
      </c>
      <c r="BO400" s="93">
        <f>SUM($Z400:AH400)-SUM($CM400:CU400)</f>
        <v>36</v>
      </c>
      <c r="BP400" s="93">
        <f>SUM($Z400:AI400)-SUM($CM400:CV400)</f>
        <v>28</v>
      </c>
      <c r="BQ400" s="93">
        <f>SUM($Z400:AJ400)-SUM($CM400:CW400)</f>
        <v>20</v>
      </c>
      <c r="BR400" s="93">
        <f>SUM($Z400:AK400)-SUM($CM400:CX400)</f>
        <v>12</v>
      </c>
      <c r="BS400" s="93">
        <f>SUM($Z400:AL400)-SUM($CM400:CY400)</f>
        <v>4</v>
      </c>
      <c r="BT400" s="93">
        <f>SUM($Z400:AM400)-SUM($CM400:CZ400)</f>
        <v>-4</v>
      </c>
      <c r="BU400" s="93">
        <f>SUM($Z400:AN400)-SUM($CM400:DA400)</f>
        <v>-12</v>
      </c>
      <c r="BV400" s="93">
        <f>SUM($Z400:AO400)-SUM($CM400:DB400)</f>
        <v>-20</v>
      </c>
      <c r="BW400" s="93">
        <f>SUM($Z400:AP400)-SUM($CM400:DC400)</f>
        <v>-26</v>
      </c>
      <c r="BX400" s="93">
        <f>SUM($Z400:AQ400)-SUM($CM400:DD400)</f>
        <v>-26</v>
      </c>
      <c r="BY400" s="93">
        <f>SUM($Z400:AR400)-SUM($CM400:DE400)</f>
        <v>-26</v>
      </c>
      <c r="BZ400" s="93">
        <f>SUM($Z400:AS400)-SUM($CM400:DF400)</f>
        <v>-26</v>
      </c>
      <c r="CA400" s="93">
        <f>SUM($Z400:AT400)-SUM($CM400:DG400)</f>
        <v>-26</v>
      </c>
      <c r="CB400" s="93">
        <f>SUM($Z400:AU400)-SUM($CM400:DH400)</f>
        <v>-26</v>
      </c>
      <c r="CC400" s="93">
        <f>SUM($Z400:AV400)-SUM($CM400:DI400)</f>
        <v>-26</v>
      </c>
      <c r="CD400" s="93">
        <f>SUM($Z400:AW400)-SUM($CM400:DJ400)</f>
        <v>-26</v>
      </c>
      <c r="CE400" s="93">
        <f>SUM($Z400:AX400)-SUM($CM400:DK400)</f>
        <v>-26</v>
      </c>
      <c r="CF400" s="93">
        <f>SUM($Z400:AY400)-SUM($CM400:DL400)</f>
        <v>-26</v>
      </c>
      <c r="CG400" s="93">
        <f>SUM($Z400:AZ400)-SUM($CM400:DM400)</f>
        <v>-26</v>
      </c>
      <c r="CH400" s="93">
        <f>SUM($Z400:BA400)-SUM($CM400:DN400)</f>
        <v>-26</v>
      </c>
      <c r="CI400" s="93">
        <f>SUM($Z400:BB400)-SUM($CM400:DO400)</f>
        <v>-26</v>
      </c>
      <c r="CJ400" s="93"/>
      <c r="CK400" s="93"/>
      <c r="CL400" s="93"/>
      <c r="CM400" s="93"/>
      <c r="CN400" s="93" cm="1">
        <f t="array" ref="CN400">SUMPRODUCT(TRANSPOSE(CN$4:CN$20),$G400:$W400)</f>
        <v>0</v>
      </c>
      <c r="CO400" s="93" cm="1">
        <f t="array" ref="CO400">SUMPRODUCT(TRANSPOSE(CO$4:CO$20),$G400:$W400)</f>
        <v>0</v>
      </c>
      <c r="CP400" s="93" cm="1">
        <f t="array" ref="CP400">SUMPRODUCT(TRANSPOSE(CP$4:CP$20),$G400:$W400)</f>
        <v>0</v>
      </c>
      <c r="CQ400" s="93" cm="1">
        <f t="array" ref="CQ400">SUMPRODUCT(TRANSPOSE(CQ$4:CQ$20),$G400:$W400)</f>
        <v>8</v>
      </c>
      <c r="CR400" s="93" cm="1">
        <f t="array" ref="CR400">SUMPRODUCT(TRANSPOSE(CR$4:CR$20),$G400:$W400)</f>
        <v>8</v>
      </c>
      <c r="CS400" s="93" cm="1">
        <f t="array" ref="CS400">SUMPRODUCT(TRANSPOSE(CS$4:CS$20),$G400:$W400)</f>
        <v>8</v>
      </c>
      <c r="CT400" s="93" cm="1">
        <f t="array" ref="CT400">SUMPRODUCT(TRANSPOSE(CT$4:CT$20),$G400:$W400)</f>
        <v>8</v>
      </c>
      <c r="CU400" s="93" cm="1">
        <f t="array" ref="CU400">SUMPRODUCT(TRANSPOSE(CU$4:CU$20),$G400:$W400)</f>
        <v>8</v>
      </c>
      <c r="CV400" s="93" cm="1">
        <f t="array" ref="CV400">SUMPRODUCT(TRANSPOSE(CV$4:CV$20),$G400:$W400)</f>
        <v>8</v>
      </c>
      <c r="CW400" s="93" cm="1">
        <f t="array" ref="CW400">SUMPRODUCT(TRANSPOSE(CW$4:CW$20),$G400:$W400)</f>
        <v>8</v>
      </c>
      <c r="CX400" s="93" cm="1">
        <f t="array" ref="CX400">SUMPRODUCT(TRANSPOSE(CX$4:CX$20),$G400:$W400)</f>
        <v>8</v>
      </c>
      <c r="CY400" s="93" cm="1">
        <f t="array" ref="CY400">SUMPRODUCT(TRANSPOSE(CY$4:CY$20),$G400:$W400)</f>
        <v>8</v>
      </c>
      <c r="CZ400" s="93" cm="1">
        <f t="array" ref="CZ400">SUMPRODUCT(TRANSPOSE(CZ$4:CZ$20),$G400:$W400)</f>
        <v>8</v>
      </c>
      <c r="DA400" s="93" cm="1">
        <f t="array" ref="DA400">SUMPRODUCT(TRANSPOSE(DA$4:DA$20),$G400:$W400)</f>
        <v>8</v>
      </c>
      <c r="DB400" s="93" cm="1">
        <f t="array" ref="DB400">SUMPRODUCT(TRANSPOSE(DB$4:DB$20),$G400:$W400)</f>
        <v>8</v>
      </c>
      <c r="DC400" s="93" cm="1">
        <f t="array" ref="DC400">SUMPRODUCT(TRANSPOSE(DC$4:DC$20),$G400:$W400)</f>
        <v>6</v>
      </c>
      <c r="DD400" s="93" cm="1">
        <f t="array" ref="DD400">SUMPRODUCT(TRANSPOSE(DD$4:DD$20),$G400:$W400)</f>
        <v>0</v>
      </c>
      <c r="DE400" s="93" cm="1">
        <f t="array" ref="DE400">SUMPRODUCT(TRANSPOSE(DE$4:DE$20),$G400:$W400)</f>
        <v>0</v>
      </c>
      <c r="DF400" s="93" cm="1">
        <f t="array" ref="DF400">SUMPRODUCT(TRANSPOSE(DF$4:DF$20),$G400:$W400)</f>
        <v>0</v>
      </c>
      <c r="DG400" s="93" cm="1">
        <f t="array" ref="DG400">SUMPRODUCT(TRANSPOSE(DG$4:DG$20),$G400:$W400)</f>
        <v>0</v>
      </c>
      <c r="DH400" s="93" cm="1">
        <f t="array" ref="DH400">SUMPRODUCT(TRANSPOSE(DH$4:DH$20),$G400:$W400)</f>
        <v>0</v>
      </c>
      <c r="DI400" s="93" cm="1">
        <f t="array" ref="DI400">SUMPRODUCT(TRANSPOSE(DI$4:DI$20),$G400:$W400)</f>
        <v>0</v>
      </c>
      <c r="DJ400" s="93" cm="1">
        <f t="array" ref="DJ400">SUMPRODUCT(TRANSPOSE(DJ$4:DJ$20),$G400:$W400)</f>
        <v>0</v>
      </c>
      <c r="DK400" s="93" cm="1">
        <f t="array" ref="DK400">SUMPRODUCT(TRANSPOSE(DK$4:DK$20),$G400:$W400)</f>
        <v>0</v>
      </c>
      <c r="DL400" s="93" cm="1">
        <f t="array" ref="DL400">SUMPRODUCT(TRANSPOSE(DL$4:DL$20),$G400:$W400)</f>
        <v>0</v>
      </c>
      <c r="DM400" s="93" cm="1">
        <f t="array" ref="DM400">SUMPRODUCT(TRANSPOSE(DM$4:DM$20),$G400:$W400)</f>
        <v>0</v>
      </c>
      <c r="DN400" s="93" cm="1">
        <f t="array" ref="DN400">SUMPRODUCT(TRANSPOSE(DN$4:DN$20),$G400:$W400)</f>
        <v>0</v>
      </c>
      <c r="DO400" s="93" cm="1">
        <f t="array" ref="DO400">SUMPRODUCT(TRANSPOSE(DO$4:DO$20),$G400:$W400)</f>
        <v>0</v>
      </c>
    </row>
    <row r="401" spans="1:119" x14ac:dyDescent="0.2">
      <c r="A401" s="45">
        <f t="shared" si="31"/>
        <v>380</v>
      </c>
      <c r="B401" s="64" t="s">
        <v>862</v>
      </c>
      <c r="C401" s="45">
        <v>410404198</v>
      </c>
      <c r="D401" s="45" t="s">
        <v>244</v>
      </c>
      <c r="E401" s="45" t="s">
        <v>162</v>
      </c>
      <c r="F401" s="48">
        <v>1</v>
      </c>
      <c r="G401" s="100">
        <v>0</v>
      </c>
      <c r="H401" s="100">
        <v>0</v>
      </c>
      <c r="I401" s="100">
        <v>2</v>
      </c>
      <c r="J401" s="100">
        <v>0</v>
      </c>
      <c r="K401" s="100">
        <v>2</v>
      </c>
      <c r="L401" s="100">
        <v>0</v>
      </c>
      <c r="M401" s="100">
        <v>0</v>
      </c>
      <c r="N401" s="100">
        <v>0</v>
      </c>
      <c r="O401" s="100">
        <v>0</v>
      </c>
      <c r="P401" s="100">
        <v>0</v>
      </c>
      <c r="Q401" s="100">
        <v>0</v>
      </c>
      <c r="R401" s="100">
        <v>0</v>
      </c>
      <c r="S401" s="100">
        <v>0</v>
      </c>
      <c r="T401" s="100">
        <v>0</v>
      </c>
      <c r="U401" s="100">
        <v>0</v>
      </c>
      <c r="V401" s="100">
        <v>0</v>
      </c>
      <c r="W401" s="100">
        <v>0</v>
      </c>
      <c r="X401" s="45" t="s">
        <v>46</v>
      </c>
      <c r="Y401" s="49">
        <v>15</v>
      </c>
      <c r="Z401" s="45">
        <v>520</v>
      </c>
      <c r="AA401" s="45">
        <v>0</v>
      </c>
      <c r="AB401" s="45">
        <v>0</v>
      </c>
      <c r="AC401" s="45">
        <v>0</v>
      </c>
      <c r="AD401" s="45">
        <v>0</v>
      </c>
      <c r="AE401" s="45">
        <v>0</v>
      </c>
      <c r="AF401" s="45">
        <v>0</v>
      </c>
      <c r="AG401" s="45">
        <v>0</v>
      </c>
      <c r="AH401" s="45">
        <v>0</v>
      </c>
      <c r="AI401" s="45">
        <v>0</v>
      </c>
      <c r="AJ401" s="45">
        <v>0</v>
      </c>
      <c r="AK401" s="45">
        <v>0</v>
      </c>
      <c r="AL401" s="45">
        <v>0</v>
      </c>
      <c r="AM401" s="45">
        <v>0</v>
      </c>
      <c r="AN401" s="45">
        <v>0</v>
      </c>
      <c r="AO401" s="45"/>
      <c r="AP401" s="45"/>
      <c r="AQ401" s="45"/>
      <c r="AR401" s="45"/>
      <c r="AS401" s="45"/>
      <c r="AT401" s="45"/>
      <c r="AU401" s="45"/>
      <c r="AV401" s="45"/>
      <c r="AW401" s="45"/>
      <c r="AX401" s="45"/>
      <c r="AY401" s="45"/>
      <c r="AZ401" s="45"/>
      <c r="BA401" s="45"/>
      <c r="BB401" s="45"/>
      <c r="BC401" s="45"/>
      <c r="BD401" s="93"/>
      <c r="BE401" s="93"/>
      <c r="BF401" s="93"/>
      <c r="BG401" s="93"/>
      <c r="BH401" s="93"/>
      <c r="BI401" s="93"/>
      <c r="BJ401" s="93"/>
      <c r="BK401" s="93">
        <f>SUM($Z401:AD401)-SUM($CM401:CQ401)</f>
        <v>488</v>
      </c>
      <c r="BL401" s="93">
        <f>SUM($Z401:AE401)-SUM($CM401:CR401)</f>
        <v>456</v>
      </c>
      <c r="BM401" s="93">
        <f>SUM($Z401:AF401)-SUM($CM401:CS401)</f>
        <v>424</v>
      </c>
      <c r="BN401" s="93">
        <f>SUM($Z401:AG401)-SUM($CM401:CT401)</f>
        <v>392</v>
      </c>
      <c r="BO401" s="93">
        <f>SUM($Z401:AH401)-SUM($CM401:CU401)</f>
        <v>360</v>
      </c>
      <c r="BP401" s="93">
        <f>SUM($Z401:AI401)-SUM($CM401:CV401)</f>
        <v>328</v>
      </c>
      <c r="BQ401" s="93">
        <f>SUM($Z401:AJ401)-SUM($CM401:CW401)</f>
        <v>296</v>
      </c>
      <c r="BR401" s="93">
        <f>SUM($Z401:AK401)-SUM($CM401:CX401)</f>
        <v>264</v>
      </c>
      <c r="BS401" s="93">
        <f>SUM($Z401:AL401)-SUM($CM401:CY401)</f>
        <v>232</v>
      </c>
      <c r="BT401" s="93">
        <f>SUM($Z401:AM401)-SUM($CM401:CZ401)</f>
        <v>200</v>
      </c>
      <c r="BU401" s="93">
        <f>SUM($Z401:AN401)-SUM($CM401:DA401)</f>
        <v>168</v>
      </c>
      <c r="BV401" s="93">
        <f>SUM($Z401:AO401)-SUM($CM401:DB401)</f>
        <v>136</v>
      </c>
      <c r="BW401" s="93">
        <f>SUM($Z401:AP401)-SUM($CM401:DC401)</f>
        <v>112</v>
      </c>
      <c r="BX401" s="93">
        <f>SUM($Z401:AQ401)-SUM($CM401:DD401)</f>
        <v>112</v>
      </c>
      <c r="BY401" s="93">
        <f>SUM($Z401:AR401)-SUM($CM401:DE401)</f>
        <v>112</v>
      </c>
      <c r="BZ401" s="93">
        <f>SUM($Z401:AS401)-SUM($CM401:DF401)</f>
        <v>112</v>
      </c>
      <c r="CA401" s="93">
        <f>SUM($Z401:AT401)-SUM($CM401:DG401)</f>
        <v>112</v>
      </c>
      <c r="CB401" s="93">
        <f>SUM($Z401:AU401)-SUM($CM401:DH401)</f>
        <v>112</v>
      </c>
      <c r="CC401" s="93">
        <f>SUM($Z401:AV401)-SUM($CM401:DI401)</f>
        <v>112</v>
      </c>
      <c r="CD401" s="93">
        <f>SUM($Z401:AW401)-SUM($CM401:DJ401)</f>
        <v>112</v>
      </c>
      <c r="CE401" s="93">
        <f>SUM($Z401:AX401)-SUM($CM401:DK401)</f>
        <v>112</v>
      </c>
      <c r="CF401" s="93">
        <f>SUM($Z401:AY401)-SUM($CM401:DL401)</f>
        <v>112</v>
      </c>
      <c r="CG401" s="93">
        <f>SUM($Z401:AZ401)-SUM($CM401:DM401)</f>
        <v>112</v>
      </c>
      <c r="CH401" s="93">
        <f>SUM($Z401:BA401)-SUM($CM401:DN401)</f>
        <v>112</v>
      </c>
      <c r="CI401" s="93">
        <f>SUM($Z401:BB401)-SUM($CM401:DO401)</f>
        <v>112</v>
      </c>
      <c r="CJ401" s="93"/>
      <c r="CK401" s="93"/>
      <c r="CL401" s="93"/>
      <c r="CM401" s="93"/>
      <c r="CN401" s="93" cm="1">
        <f t="array" ref="CN401">SUMPRODUCT(TRANSPOSE(CN$4:CN$20),$G401:$W401)</f>
        <v>0</v>
      </c>
      <c r="CO401" s="93" cm="1">
        <f t="array" ref="CO401">SUMPRODUCT(TRANSPOSE(CO$4:CO$20),$G401:$W401)</f>
        <v>0</v>
      </c>
      <c r="CP401" s="93" cm="1">
        <f t="array" ref="CP401">SUMPRODUCT(TRANSPOSE(CP$4:CP$20),$G401:$W401)</f>
        <v>0</v>
      </c>
      <c r="CQ401" s="93" cm="1">
        <f t="array" ref="CQ401">SUMPRODUCT(TRANSPOSE(CQ$4:CQ$20),$G401:$W401)</f>
        <v>32</v>
      </c>
      <c r="CR401" s="93" cm="1">
        <f t="array" ref="CR401">SUMPRODUCT(TRANSPOSE(CR$4:CR$20),$G401:$W401)</f>
        <v>32</v>
      </c>
      <c r="CS401" s="93" cm="1">
        <f t="array" ref="CS401">SUMPRODUCT(TRANSPOSE(CS$4:CS$20),$G401:$W401)</f>
        <v>32</v>
      </c>
      <c r="CT401" s="93" cm="1">
        <f t="array" ref="CT401">SUMPRODUCT(TRANSPOSE(CT$4:CT$20),$G401:$W401)</f>
        <v>32</v>
      </c>
      <c r="CU401" s="93" cm="1">
        <f t="array" ref="CU401">SUMPRODUCT(TRANSPOSE(CU$4:CU$20),$G401:$W401)</f>
        <v>32</v>
      </c>
      <c r="CV401" s="93" cm="1">
        <f t="array" ref="CV401">SUMPRODUCT(TRANSPOSE(CV$4:CV$20),$G401:$W401)</f>
        <v>32</v>
      </c>
      <c r="CW401" s="93" cm="1">
        <f t="array" ref="CW401">SUMPRODUCT(TRANSPOSE(CW$4:CW$20),$G401:$W401)</f>
        <v>32</v>
      </c>
      <c r="CX401" s="93" cm="1">
        <f t="array" ref="CX401">SUMPRODUCT(TRANSPOSE(CX$4:CX$20),$G401:$W401)</f>
        <v>32</v>
      </c>
      <c r="CY401" s="93" cm="1">
        <f t="array" ref="CY401">SUMPRODUCT(TRANSPOSE(CY$4:CY$20),$G401:$W401)</f>
        <v>32</v>
      </c>
      <c r="CZ401" s="93" cm="1">
        <f t="array" ref="CZ401">SUMPRODUCT(TRANSPOSE(CZ$4:CZ$20),$G401:$W401)</f>
        <v>32</v>
      </c>
      <c r="DA401" s="93" cm="1">
        <f t="array" ref="DA401">SUMPRODUCT(TRANSPOSE(DA$4:DA$20),$G401:$W401)</f>
        <v>32</v>
      </c>
      <c r="DB401" s="93" cm="1">
        <f t="array" ref="DB401">SUMPRODUCT(TRANSPOSE(DB$4:DB$20),$G401:$W401)</f>
        <v>32</v>
      </c>
      <c r="DC401" s="93" cm="1">
        <f t="array" ref="DC401">SUMPRODUCT(TRANSPOSE(DC$4:DC$20),$G401:$W401)</f>
        <v>24</v>
      </c>
      <c r="DD401" s="93" cm="1">
        <f t="array" ref="DD401">SUMPRODUCT(TRANSPOSE(DD$4:DD$20),$G401:$W401)</f>
        <v>0</v>
      </c>
      <c r="DE401" s="93" cm="1">
        <f t="array" ref="DE401">SUMPRODUCT(TRANSPOSE(DE$4:DE$20),$G401:$W401)</f>
        <v>0</v>
      </c>
      <c r="DF401" s="93" cm="1">
        <f t="array" ref="DF401">SUMPRODUCT(TRANSPOSE(DF$4:DF$20),$G401:$W401)</f>
        <v>0</v>
      </c>
      <c r="DG401" s="93" cm="1">
        <f t="array" ref="DG401">SUMPRODUCT(TRANSPOSE(DG$4:DG$20),$G401:$W401)</f>
        <v>0</v>
      </c>
      <c r="DH401" s="93" cm="1">
        <f t="array" ref="DH401">SUMPRODUCT(TRANSPOSE(DH$4:DH$20),$G401:$W401)</f>
        <v>0</v>
      </c>
      <c r="DI401" s="93" cm="1">
        <f t="array" ref="DI401">SUMPRODUCT(TRANSPOSE(DI$4:DI$20),$G401:$W401)</f>
        <v>0</v>
      </c>
      <c r="DJ401" s="93" cm="1">
        <f t="array" ref="DJ401">SUMPRODUCT(TRANSPOSE(DJ$4:DJ$20),$G401:$W401)</f>
        <v>0</v>
      </c>
      <c r="DK401" s="93" cm="1">
        <f t="array" ref="DK401">SUMPRODUCT(TRANSPOSE(DK$4:DK$20),$G401:$W401)</f>
        <v>0</v>
      </c>
      <c r="DL401" s="93" cm="1">
        <f t="array" ref="DL401">SUMPRODUCT(TRANSPOSE(DL$4:DL$20),$G401:$W401)</f>
        <v>0</v>
      </c>
      <c r="DM401" s="93" cm="1">
        <f t="array" ref="DM401">SUMPRODUCT(TRANSPOSE(DM$4:DM$20),$G401:$W401)</f>
        <v>0</v>
      </c>
      <c r="DN401" s="93" cm="1">
        <f t="array" ref="DN401">SUMPRODUCT(TRANSPOSE(DN$4:DN$20),$G401:$W401)</f>
        <v>0</v>
      </c>
      <c r="DO401" s="93" cm="1">
        <f t="array" ref="DO401">SUMPRODUCT(TRANSPOSE(DO$4:DO$20),$G401:$W401)</f>
        <v>0</v>
      </c>
    </row>
    <row r="402" spans="1:119" x14ac:dyDescent="0.2">
      <c r="A402" s="45">
        <f t="shared" si="31"/>
        <v>381</v>
      </c>
      <c r="B402" s="64" t="s">
        <v>863</v>
      </c>
      <c r="C402" s="45">
        <v>410810135</v>
      </c>
      <c r="D402" s="45" t="s">
        <v>864</v>
      </c>
      <c r="E402" s="45" t="s">
        <v>162</v>
      </c>
      <c r="F402" s="48">
        <v>1</v>
      </c>
      <c r="G402" s="100">
        <v>0</v>
      </c>
      <c r="H402" s="100">
        <v>0</v>
      </c>
      <c r="I402" s="100">
        <v>2</v>
      </c>
      <c r="J402" s="100">
        <v>0</v>
      </c>
      <c r="K402" s="100">
        <v>2</v>
      </c>
      <c r="L402" s="100">
        <v>0</v>
      </c>
      <c r="M402" s="100">
        <v>0</v>
      </c>
      <c r="N402" s="100">
        <v>0</v>
      </c>
      <c r="O402" s="100">
        <v>0</v>
      </c>
      <c r="P402" s="100">
        <v>0</v>
      </c>
      <c r="Q402" s="100">
        <v>0</v>
      </c>
      <c r="R402" s="100">
        <v>0</v>
      </c>
      <c r="S402" s="100">
        <v>0</v>
      </c>
      <c r="T402" s="100">
        <v>0</v>
      </c>
      <c r="U402" s="100">
        <v>0</v>
      </c>
      <c r="V402" s="100">
        <v>0</v>
      </c>
      <c r="W402" s="100">
        <v>0</v>
      </c>
      <c r="X402" s="45" t="s">
        <v>216</v>
      </c>
      <c r="Y402" s="49">
        <v>10</v>
      </c>
      <c r="Z402" s="45">
        <v>525</v>
      </c>
      <c r="AA402" s="45">
        <v>0</v>
      </c>
      <c r="AB402" s="45">
        <v>0</v>
      </c>
      <c r="AC402" s="45">
        <v>0</v>
      </c>
      <c r="AD402" s="45">
        <v>0</v>
      </c>
      <c r="AE402" s="45">
        <v>0</v>
      </c>
      <c r="AF402" s="45">
        <v>0</v>
      </c>
      <c r="AG402" s="45">
        <v>0</v>
      </c>
      <c r="AH402" s="45">
        <v>0</v>
      </c>
      <c r="AI402" s="45">
        <v>0</v>
      </c>
      <c r="AJ402" s="45">
        <v>0</v>
      </c>
      <c r="AK402" s="45">
        <v>0</v>
      </c>
      <c r="AL402" s="45">
        <v>0</v>
      </c>
      <c r="AM402" s="45">
        <v>0</v>
      </c>
      <c r="AN402" s="45">
        <v>0</v>
      </c>
      <c r="AO402" s="45"/>
      <c r="AP402" s="45"/>
      <c r="AQ402" s="45"/>
      <c r="AR402" s="45"/>
      <c r="AS402" s="45"/>
      <c r="AT402" s="45"/>
      <c r="AU402" s="45"/>
      <c r="AV402" s="45"/>
      <c r="AW402" s="45"/>
      <c r="AX402" s="45"/>
      <c r="AY402" s="45"/>
      <c r="AZ402" s="45"/>
      <c r="BA402" s="45"/>
      <c r="BB402" s="45"/>
      <c r="BC402" s="45"/>
      <c r="BD402" s="93"/>
      <c r="BE402" s="93"/>
      <c r="BF402" s="93"/>
      <c r="BG402" s="93"/>
      <c r="BH402" s="93"/>
      <c r="BI402" s="93"/>
      <c r="BJ402" s="93"/>
      <c r="BK402" s="93">
        <f>SUM($Z402:AD402)-SUM($CM402:CQ402)</f>
        <v>493</v>
      </c>
      <c r="BL402" s="93">
        <f>SUM($Z402:AE402)-SUM($CM402:CR402)</f>
        <v>461</v>
      </c>
      <c r="BM402" s="93">
        <f>SUM($Z402:AF402)-SUM($CM402:CS402)</f>
        <v>429</v>
      </c>
      <c r="BN402" s="93">
        <f>SUM($Z402:AG402)-SUM($CM402:CT402)</f>
        <v>397</v>
      </c>
      <c r="BO402" s="93">
        <f>SUM($Z402:AH402)-SUM($CM402:CU402)</f>
        <v>365</v>
      </c>
      <c r="BP402" s="93">
        <f>SUM($Z402:AI402)-SUM($CM402:CV402)</f>
        <v>333</v>
      </c>
      <c r="BQ402" s="93">
        <f>SUM($Z402:AJ402)-SUM($CM402:CW402)</f>
        <v>301</v>
      </c>
      <c r="BR402" s="93">
        <f>SUM($Z402:AK402)-SUM($CM402:CX402)</f>
        <v>269</v>
      </c>
      <c r="BS402" s="93">
        <f>SUM($Z402:AL402)-SUM($CM402:CY402)</f>
        <v>237</v>
      </c>
      <c r="BT402" s="93">
        <f>SUM($Z402:AM402)-SUM($CM402:CZ402)</f>
        <v>205</v>
      </c>
      <c r="BU402" s="93">
        <f>SUM($Z402:AN402)-SUM($CM402:DA402)</f>
        <v>173</v>
      </c>
      <c r="BV402" s="93">
        <f>SUM($Z402:AO402)-SUM($CM402:DB402)</f>
        <v>141</v>
      </c>
      <c r="BW402" s="93">
        <f>SUM($Z402:AP402)-SUM($CM402:DC402)</f>
        <v>117</v>
      </c>
      <c r="BX402" s="93">
        <f>SUM($Z402:AQ402)-SUM($CM402:DD402)</f>
        <v>117</v>
      </c>
      <c r="BY402" s="93">
        <f>SUM($Z402:AR402)-SUM($CM402:DE402)</f>
        <v>117</v>
      </c>
      <c r="BZ402" s="93">
        <f>SUM($Z402:AS402)-SUM($CM402:DF402)</f>
        <v>117</v>
      </c>
      <c r="CA402" s="93">
        <f>SUM($Z402:AT402)-SUM($CM402:DG402)</f>
        <v>117</v>
      </c>
      <c r="CB402" s="93">
        <f>SUM($Z402:AU402)-SUM($CM402:DH402)</f>
        <v>117</v>
      </c>
      <c r="CC402" s="93">
        <f>SUM($Z402:AV402)-SUM($CM402:DI402)</f>
        <v>117</v>
      </c>
      <c r="CD402" s="93">
        <f>SUM($Z402:AW402)-SUM($CM402:DJ402)</f>
        <v>117</v>
      </c>
      <c r="CE402" s="93">
        <f>SUM($Z402:AX402)-SUM($CM402:DK402)</f>
        <v>117</v>
      </c>
      <c r="CF402" s="93">
        <f>SUM($Z402:AY402)-SUM($CM402:DL402)</f>
        <v>117</v>
      </c>
      <c r="CG402" s="93">
        <f>SUM($Z402:AZ402)-SUM($CM402:DM402)</f>
        <v>117</v>
      </c>
      <c r="CH402" s="93">
        <f>SUM($Z402:BA402)-SUM($CM402:DN402)</f>
        <v>117</v>
      </c>
      <c r="CI402" s="93">
        <f>SUM($Z402:BB402)-SUM($CM402:DO402)</f>
        <v>117</v>
      </c>
      <c r="CJ402" s="93"/>
      <c r="CK402" s="93"/>
      <c r="CL402" s="93"/>
      <c r="CM402" s="93"/>
      <c r="CN402" s="93" cm="1">
        <f t="array" ref="CN402">SUMPRODUCT(TRANSPOSE(CN$4:CN$20),$G402:$W402)</f>
        <v>0</v>
      </c>
      <c r="CO402" s="93" cm="1">
        <f t="array" ref="CO402">SUMPRODUCT(TRANSPOSE(CO$4:CO$20),$G402:$W402)</f>
        <v>0</v>
      </c>
      <c r="CP402" s="93" cm="1">
        <f t="array" ref="CP402">SUMPRODUCT(TRANSPOSE(CP$4:CP$20),$G402:$W402)</f>
        <v>0</v>
      </c>
      <c r="CQ402" s="93" cm="1">
        <f t="array" ref="CQ402">SUMPRODUCT(TRANSPOSE(CQ$4:CQ$20),$G402:$W402)</f>
        <v>32</v>
      </c>
      <c r="CR402" s="93" cm="1">
        <f t="array" ref="CR402">SUMPRODUCT(TRANSPOSE(CR$4:CR$20),$G402:$W402)</f>
        <v>32</v>
      </c>
      <c r="CS402" s="93" cm="1">
        <f t="array" ref="CS402">SUMPRODUCT(TRANSPOSE(CS$4:CS$20),$G402:$W402)</f>
        <v>32</v>
      </c>
      <c r="CT402" s="93" cm="1">
        <f t="array" ref="CT402">SUMPRODUCT(TRANSPOSE(CT$4:CT$20),$G402:$W402)</f>
        <v>32</v>
      </c>
      <c r="CU402" s="93" cm="1">
        <f t="array" ref="CU402">SUMPRODUCT(TRANSPOSE(CU$4:CU$20),$G402:$W402)</f>
        <v>32</v>
      </c>
      <c r="CV402" s="93" cm="1">
        <f t="array" ref="CV402">SUMPRODUCT(TRANSPOSE(CV$4:CV$20),$G402:$W402)</f>
        <v>32</v>
      </c>
      <c r="CW402" s="93" cm="1">
        <f t="array" ref="CW402">SUMPRODUCT(TRANSPOSE(CW$4:CW$20),$G402:$W402)</f>
        <v>32</v>
      </c>
      <c r="CX402" s="93" cm="1">
        <f t="array" ref="CX402">SUMPRODUCT(TRANSPOSE(CX$4:CX$20),$G402:$W402)</f>
        <v>32</v>
      </c>
      <c r="CY402" s="93" cm="1">
        <f t="array" ref="CY402">SUMPRODUCT(TRANSPOSE(CY$4:CY$20),$G402:$W402)</f>
        <v>32</v>
      </c>
      <c r="CZ402" s="93" cm="1">
        <f t="array" ref="CZ402">SUMPRODUCT(TRANSPOSE(CZ$4:CZ$20),$G402:$W402)</f>
        <v>32</v>
      </c>
      <c r="DA402" s="93" cm="1">
        <f t="array" ref="DA402">SUMPRODUCT(TRANSPOSE(DA$4:DA$20),$G402:$W402)</f>
        <v>32</v>
      </c>
      <c r="DB402" s="93" cm="1">
        <f t="array" ref="DB402">SUMPRODUCT(TRANSPOSE(DB$4:DB$20),$G402:$W402)</f>
        <v>32</v>
      </c>
      <c r="DC402" s="93" cm="1">
        <f t="array" ref="DC402">SUMPRODUCT(TRANSPOSE(DC$4:DC$20),$G402:$W402)</f>
        <v>24</v>
      </c>
      <c r="DD402" s="93" cm="1">
        <f t="array" ref="DD402">SUMPRODUCT(TRANSPOSE(DD$4:DD$20),$G402:$W402)</f>
        <v>0</v>
      </c>
      <c r="DE402" s="93" cm="1">
        <f t="array" ref="DE402">SUMPRODUCT(TRANSPOSE(DE$4:DE$20),$G402:$W402)</f>
        <v>0</v>
      </c>
      <c r="DF402" s="93" cm="1">
        <f t="array" ref="DF402">SUMPRODUCT(TRANSPOSE(DF$4:DF$20),$G402:$W402)</f>
        <v>0</v>
      </c>
      <c r="DG402" s="93" cm="1">
        <f t="array" ref="DG402">SUMPRODUCT(TRANSPOSE(DG$4:DG$20),$G402:$W402)</f>
        <v>0</v>
      </c>
      <c r="DH402" s="93" cm="1">
        <f t="array" ref="DH402">SUMPRODUCT(TRANSPOSE(DH$4:DH$20),$G402:$W402)</f>
        <v>0</v>
      </c>
      <c r="DI402" s="93" cm="1">
        <f t="array" ref="DI402">SUMPRODUCT(TRANSPOSE(DI$4:DI$20),$G402:$W402)</f>
        <v>0</v>
      </c>
      <c r="DJ402" s="93" cm="1">
        <f t="array" ref="DJ402">SUMPRODUCT(TRANSPOSE(DJ$4:DJ$20),$G402:$W402)</f>
        <v>0</v>
      </c>
      <c r="DK402" s="93" cm="1">
        <f t="array" ref="DK402">SUMPRODUCT(TRANSPOSE(DK$4:DK$20),$G402:$W402)</f>
        <v>0</v>
      </c>
      <c r="DL402" s="93" cm="1">
        <f t="array" ref="DL402">SUMPRODUCT(TRANSPOSE(DL$4:DL$20),$G402:$W402)</f>
        <v>0</v>
      </c>
      <c r="DM402" s="93" cm="1">
        <f t="array" ref="DM402">SUMPRODUCT(TRANSPOSE(DM$4:DM$20),$G402:$W402)</f>
        <v>0</v>
      </c>
      <c r="DN402" s="93" cm="1">
        <f t="array" ref="DN402">SUMPRODUCT(TRANSPOSE(DN$4:DN$20),$G402:$W402)</f>
        <v>0</v>
      </c>
      <c r="DO402" s="93" cm="1">
        <f t="array" ref="DO402">SUMPRODUCT(TRANSPOSE(DO$4:DO$20),$G402:$W402)</f>
        <v>0</v>
      </c>
    </row>
    <row r="403" spans="1:119" x14ac:dyDescent="0.2">
      <c r="A403" s="45">
        <f t="shared" si="31"/>
        <v>382</v>
      </c>
      <c r="B403" s="64" t="s">
        <v>865</v>
      </c>
      <c r="C403" s="45">
        <v>410810136</v>
      </c>
      <c r="D403" s="45" t="s">
        <v>866</v>
      </c>
      <c r="E403" s="45" t="s">
        <v>162</v>
      </c>
      <c r="F403" s="48">
        <v>1</v>
      </c>
      <c r="G403" s="100">
        <v>0</v>
      </c>
      <c r="H403" s="100">
        <v>0</v>
      </c>
      <c r="I403" s="100">
        <v>1</v>
      </c>
      <c r="J403" s="100">
        <v>0</v>
      </c>
      <c r="K403" s="100">
        <v>0</v>
      </c>
      <c r="L403" s="100">
        <v>0</v>
      </c>
      <c r="M403" s="100">
        <v>0</v>
      </c>
      <c r="N403" s="100">
        <v>0</v>
      </c>
      <c r="O403" s="100">
        <v>0</v>
      </c>
      <c r="P403" s="100">
        <v>0</v>
      </c>
      <c r="Q403" s="100">
        <v>0</v>
      </c>
      <c r="R403" s="100">
        <v>0</v>
      </c>
      <c r="S403" s="100">
        <v>0</v>
      </c>
      <c r="T403" s="100">
        <v>0</v>
      </c>
      <c r="U403" s="100">
        <v>0</v>
      </c>
      <c r="V403" s="100">
        <v>0</v>
      </c>
      <c r="W403" s="100">
        <v>0</v>
      </c>
      <c r="X403" s="45" t="s">
        <v>44</v>
      </c>
      <c r="Y403" s="49">
        <v>7</v>
      </c>
      <c r="Z403" s="45">
        <v>130</v>
      </c>
      <c r="AA403" s="45">
        <v>0</v>
      </c>
      <c r="AB403" s="45">
        <v>0</v>
      </c>
      <c r="AC403" s="45">
        <v>0</v>
      </c>
      <c r="AD403" s="45">
        <v>0</v>
      </c>
      <c r="AE403" s="45">
        <v>0</v>
      </c>
      <c r="AF403" s="45">
        <v>0</v>
      </c>
      <c r="AG403" s="45">
        <v>0</v>
      </c>
      <c r="AH403" s="45">
        <v>0</v>
      </c>
      <c r="AI403" s="45">
        <v>0</v>
      </c>
      <c r="AJ403" s="45">
        <v>0</v>
      </c>
      <c r="AK403" s="45">
        <v>0</v>
      </c>
      <c r="AL403" s="45">
        <v>0</v>
      </c>
      <c r="AM403" s="45">
        <v>0</v>
      </c>
      <c r="AN403" s="45">
        <v>0</v>
      </c>
      <c r="AO403" s="45"/>
      <c r="AP403" s="45"/>
      <c r="AQ403" s="45"/>
      <c r="AR403" s="45"/>
      <c r="AS403" s="45"/>
      <c r="AT403" s="45"/>
      <c r="AU403" s="45"/>
      <c r="AV403" s="45"/>
      <c r="AW403" s="45"/>
      <c r="AX403" s="45"/>
      <c r="AY403" s="45"/>
      <c r="AZ403" s="45"/>
      <c r="BA403" s="45"/>
      <c r="BB403" s="45"/>
      <c r="BC403" s="45"/>
      <c r="BD403" s="93"/>
      <c r="BE403" s="93"/>
      <c r="BF403" s="93"/>
      <c r="BG403" s="93"/>
      <c r="BH403" s="93"/>
      <c r="BI403" s="93"/>
      <c r="BJ403" s="93"/>
      <c r="BK403" s="93">
        <f>SUM($Z403:AD403)-SUM($CM403:CQ403)</f>
        <v>122</v>
      </c>
      <c r="BL403" s="93">
        <f>SUM($Z403:AE403)-SUM($CM403:CR403)</f>
        <v>114</v>
      </c>
      <c r="BM403" s="93">
        <f>SUM($Z403:AF403)-SUM($CM403:CS403)</f>
        <v>106</v>
      </c>
      <c r="BN403" s="93">
        <f>SUM($Z403:AG403)-SUM($CM403:CT403)</f>
        <v>98</v>
      </c>
      <c r="BO403" s="93">
        <f>SUM($Z403:AH403)-SUM($CM403:CU403)</f>
        <v>90</v>
      </c>
      <c r="BP403" s="93">
        <f>SUM($Z403:AI403)-SUM($CM403:CV403)</f>
        <v>82</v>
      </c>
      <c r="BQ403" s="93">
        <f>SUM($Z403:AJ403)-SUM($CM403:CW403)</f>
        <v>74</v>
      </c>
      <c r="BR403" s="93">
        <f>SUM($Z403:AK403)-SUM($CM403:CX403)</f>
        <v>66</v>
      </c>
      <c r="BS403" s="93">
        <f>SUM($Z403:AL403)-SUM($CM403:CY403)</f>
        <v>58</v>
      </c>
      <c r="BT403" s="93">
        <f>SUM($Z403:AM403)-SUM($CM403:CZ403)</f>
        <v>50</v>
      </c>
      <c r="BU403" s="93">
        <f>SUM($Z403:AN403)-SUM($CM403:DA403)</f>
        <v>42</v>
      </c>
      <c r="BV403" s="93">
        <f>SUM($Z403:AO403)-SUM($CM403:DB403)</f>
        <v>34</v>
      </c>
      <c r="BW403" s="93">
        <f>SUM($Z403:AP403)-SUM($CM403:DC403)</f>
        <v>28</v>
      </c>
      <c r="BX403" s="93">
        <f>SUM($Z403:AQ403)-SUM($CM403:DD403)</f>
        <v>28</v>
      </c>
      <c r="BY403" s="93">
        <f>SUM($Z403:AR403)-SUM($CM403:DE403)</f>
        <v>28</v>
      </c>
      <c r="BZ403" s="93">
        <f>SUM($Z403:AS403)-SUM($CM403:DF403)</f>
        <v>28</v>
      </c>
      <c r="CA403" s="93">
        <f>SUM($Z403:AT403)-SUM($CM403:DG403)</f>
        <v>28</v>
      </c>
      <c r="CB403" s="93">
        <f>SUM($Z403:AU403)-SUM($CM403:DH403)</f>
        <v>28</v>
      </c>
      <c r="CC403" s="93">
        <f>SUM($Z403:AV403)-SUM($CM403:DI403)</f>
        <v>28</v>
      </c>
      <c r="CD403" s="93">
        <f>SUM($Z403:AW403)-SUM($CM403:DJ403)</f>
        <v>28</v>
      </c>
      <c r="CE403" s="93">
        <f>SUM($Z403:AX403)-SUM($CM403:DK403)</f>
        <v>28</v>
      </c>
      <c r="CF403" s="93">
        <f>SUM($Z403:AY403)-SUM($CM403:DL403)</f>
        <v>28</v>
      </c>
      <c r="CG403" s="93">
        <f>SUM($Z403:AZ403)-SUM($CM403:DM403)</f>
        <v>28</v>
      </c>
      <c r="CH403" s="93">
        <f>SUM($Z403:BA403)-SUM($CM403:DN403)</f>
        <v>28</v>
      </c>
      <c r="CI403" s="93">
        <f>SUM($Z403:BB403)-SUM($CM403:DO403)</f>
        <v>28</v>
      </c>
      <c r="CJ403" s="93"/>
      <c r="CK403" s="93"/>
      <c r="CL403" s="93"/>
      <c r="CM403" s="93"/>
      <c r="CN403" s="93" cm="1">
        <f t="array" ref="CN403">SUMPRODUCT(TRANSPOSE(CN$4:CN$20),$G403:$W403)</f>
        <v>0</v>
      </c>
      <c r="CO403" s="93" cm="1">
        <f t="array" ref="CO403">SUMPRODUCT(TRANSPOSE(CO$4:CO$20),$G403:$W403)</f>
        <v>0</v>
      </c>
      <c r="CP403" s="93" cm="1">
        <f t="array" ref="CP403">SUMPRODUCT(TRANSPOSE(CP$4:CP$20),$G403:$W403)</f>
        <v>0</v>
      </c>
      <c r="CQ403" s="93" cm="1">
        <f t="array" ref="CQ403">SUMPRODUCT(TRANSPOSE(CQ$4:CQ$20),$G403:$W403)</f>
        <v>8</v>
      </c>
      <c r="CR403" s="93" cm="1">
        <f t="array" ref="CR403">SUMPRODUCT(TRANSPOSE(CR$4:CR$20),$G403:$W403)</f>
        <v>8</v>
      </c>
      <c r="CS403" s="93" cm="1">
        <f t="array" ref="CS403">SUMPRODUCT(TRANSPOSE(CS$4:CS$20),$G403:$W403)</f>
        <v>8</v>
      </c>
      <c r="CT403" s="93" cm="1">
        <f t="array" ref="CT403">SUMPRODUCT(TRANSPOSE(CT$4:CT$20),$G403:$W403)</f>
        <v>8</v>
      </c>
      <c r="CU403" s="93" cm="1">
        <f t="array" ref="CU403">SUMPRODUCT(TRANSPOSE(CU$4:CU$20),$G403:$W403)</f>
        <v>8</v>
      </c>
      <c r="CV403" s="93" cm="1">
        <f t="array" ref="CV403">SUMPRODUCT(TRANSPOSE(CV$4:CV$20),$G403:$W403)</f>
        <v>8</v>
      </c>
      <c r="CW403" s="93" cm="1">
        <f t="array" ref="CW403">SUMPRODUCT(TRANSPOSE(CW$4:CW$20),$G403:$W403)</f>
        <v>8</v>
      </c>
      <c r="CX403" s="93" cm="1">
        <f t="array" ref="CX403">SUMPRODUCT(TRANSPOSE(CX$4:CX$20),$G403:$W403)</f>
        <v>8</v>
      </c>
      <c r="CY403" s="93" cm="1">
        <f t="array" ref="CY403">SUMPRODUCT(TRANSPOSE(CY$4:CY$20),$G403:$W403)</f>
        <v>8</v>
      </c>
      <c r="CZ403" s="93" cm="1">
        <f t="array" ref="CZ403">SUMPRODUCT(TRANSPOSE(CZ$4:CZ$20),$G403:$W403)</f>
        <v>8</v>
      </c>
      <c r="DA403" s="93" cm="1">
        <f t="array" ref="DA403">SUMPRODUCT(TRANSPOSE(DA$4:DA$20),$G403:$W403)</f>
        <v>8</v>
      </c>
      <c r="DB403" s="93" cm="1">
        <f t="array" ref="DB403">SUMPRODUCT(TRANSPOSE(DB$4:DB$20),$G403:$W403)</f>
        <v>8</v>
      </c>
      <c r="DC403" s="93" cm="1">
        <f t="array" ref="DC403">SUMPRODUCT(TRANSPOSE(DC$4:DC$20),$G403:$W403)</f>
        <v>6</v>
      </c>
      <c r="DD403" s="93" cm="1">
        <f t="array" ref="DD403">SUMPRODUCT(TRANSPOSE(DD$4:DD$20),$G403:$W403)</f>
        <v>0</v>
      </c>
      <c r="DE403" s="93" cm="1">
        <f t="array" ref="DE403">SUMPRODUCT(TRANSPOSE(DE$4:DE$20),$G403:$W403)</f>
        <v>0</v>
      </c>
      <c r="DF403" s="93" cm="1">
        <f t="array" ref="DF403">SUMPRODUCT(TRANSPOSE(DF$4:DF$20),$G403:$W403)</f>
        <v>0</v>
      </c>
      <c r="DG403" s="93" cm="1">
        <f t="array" ref="DG403">SUMPRODUCT(TRANSPOSE(DG$4:DG$20),$G403:$W403)</f>
        <v>0</v>
      </c>
      <c r="DH403" s="93" cm="1">
        <f t="array" ref="DH403">SUMPRODUCT(TRANSPOSE(DH$4:DH$20),$G403:$W403)</f>
        <v>0</v>
      </c>
      <c r="DI403" s="93" cm="1">
        <f t="array" ref="DI403">SUMPRODUCT(TRANSPOSE(DI$4:DI$20),$G403:$W403)</f>
        <v>0</v>
      </c>
      <c r="DJ403" s="93" cm="1">
        <f t="array" ref="DJ403">SUMPRODUCT(TRANSPOSE(DJ$4:DJ$20),$G403:$W403)</f>
        <v>0</v>
      </c>
      <c r="DK403" s="93" cm="1">
        <f t="array" ref="DK403">SUMPRODUCT(TRANSPOSE(DK$4:DK$20),$G403:$W403)</f>
        <v>0</v>
      </c>
      <c r="DL403" s="93" cm="1">
        <f t="array" ref="DL403">SUMPRODUCT(TRANSPOSE(DL$4:DL$20),$G403:$W403)</f>
        <v>0</v>
      </c>
      <c r="DM403" s="93" cm="1">
        <f t="array" ref="DM403">SUMPRODUCT(TRANSPOSE(DM$4:DM$20),$G403:$W403)</f>
        <v>0</v>
      </c>
      <c r="DN403" s="93" cm="1">
        <f t="array" ref="DN403">SUMPRODUCT(TRANSPOSE(DN$4:DN$20),$G403:$W403)</f>
        <v>0</v>
      </c>
      <c r="DO403" s="93" cm="1">
        <f t="array" ref="DO403">SUMPRODUCT(TRANSPOSE(DO$4:DO$20),$G403:$W403)</f>
        <v>0</v>
      </c>
    </row>
    <row r="404" spans="1:119" x14ac:dyDescent="0.2">
      <c r="A404" s="45">
        <f t="shared" si="31"/>
        <v>383</v>
      </c>
      <c r="B404" s="64" t="s">
        <v>867</v>
      </c>
      <c r="C404" s="45">
        <v>410404200</v>
      </c>
      <c r="D404" s="45" t="s">
        <v>868</v>
      </c>
      <c r="E404" s="45" t="s">
        <v>162</v>
      </c>
      <c r="F404" s="48">
        <v>1</v>
      </c>
      <c r="G404" s="100">
        <v>0</v>
      </c>
      <c r="H404" s="100">
        <v>0</v>
      </c>
      <c r="I404" s="100">
        <v>0</v>
      </c>
      <c r="J404" s="100">
        <v>0</v>
      </c>
      <c r="K404" s="100">
        <v>1</v>
      </c>
      <c r="L404" s="100">
        <v>0</v>
      </c>
      <c r="M404" s="100">
        <v>0</v>
      </c>
      <c r="N404" s="100">
        <v>0</v>
      </c>
      <c r="O404" s="100">
        <v>0</v>
      </c>
      <c r="P404" s="100">
        <v>0</v>
      </c>
      <c r="Q404" s="100">
        <v>0</v>
      </c>
      <c r="R404" s="100">
        <v>0</v>
      </c>
      <c r="S404" s="100">
        <v>0</v>
      </c>
      <c r="T404" s="100">
        <v>0</v>
      </c>
      <c r="U404" s="100">
        <v>0</v>
      </c>
      <c r="V404" s="100">
        <v>0</v>
      </c>
      <c r="W404" s="100">
        <v>0</v>
      </c>
      <c r="X404" s="45" t="s">
        <v>46</v>
      </c>
      <c r="Y404" s="49">
        <v>2810</v>
      </c>
      <c r="Z404" s="45">
        <v>52</v>
      </c>
      <c r="AA404" s="45">
        <v>0</v>
      </c>
      <c r="AB404" s="45">
        <v>0</v>
      </c>
      <c r="AC404" s="45">
        <v>0</v>
      </c>
      <c r="AD404" s="45">
        <v>0</v>
      </c>
      <c r="AE404" s="45">
        <v>2</v>
      </c>
      <c r="AF404" s="45">
        <v>10</v>
      </c>
      <c r="AG404" s="45">
        <v>12</v>
      </c>
      <c r="AH404" s="45">
        <v>0</v>
      </c>
      <c r="AI404" s="45">
        <v>0</v>
      </c>
      <c r="AJ404" s="45">
        <v>0</v>
      </c>
      <c r="AK404" s="45">
        <v>0</v>
      </c>
      <c r="AL404" s="45">
        <v>0</v>
      </c>
      <c r="AM404" s="45">
        <v>0</v>
      </c>
      <c r="AN404" s="45">
        <v>0</v>
      </c>
      <c r="AO404" s="45"/>
      <c r="AP404" s="45"/>
      <c r="AQ404" s="45"/>
      <c r="AR404" s="45"/>
      <c r="AS404" s="45"/>
      <c r="AT404" s="45"/>
      <c r="AU404" s="45"/>
      <c r="AV404" s="45"/>
      <c r="AW404" s="45"/>
      <c r="AX404" s="45"/>
      <c r="AY404" s="45"/>
      <c r="AZ404" s="45"/>
      <c r="BA404" s="45"/>
      <c r="BB404" s="45"/>
      <c r="BC404" s="45"/>
      <c r="BD404" s="93"/>
      <c r="BE404" s="93"/>
      <c r="BF404" s="93"/>
      <c r="BG404" s="93"/>
      <c r="BH404" s="93"/>
      <c r="BI404" s="93"/>
      <c r="BJ404" s="93"/>
      <c r="BK404" s="93">
        <f>SUM($Z404:AD404)-SUM($CM404:CQ404)</f>
        <v>44</v>
      </c>
      <c r="BL404" s="93">
        <f>SUM($Z404:AE404)-SUM($CM404:CR404)</f>
        <v>38</v>
      </c>
      <c r="BM404" s="93">
        <f>SUM($Z404:AF404)-SUM($CM404:CS404)</f>
        <v>40</v>
      </c>
      <c r="BN404" s="93">
        <f>SUM($Z404:AG404)-SUM($CM404:CT404)</f>
        <v>44</v>
      </c>
      <c r="BO404" s="93">
        <f>SUM($Z404:AH404)-SUM($CM404:CU404)</f>
        <v>36</v>
      </c>
      <c r="BP404" s="93">
        <f>SUM($Z404:AI404)-SUM($CM404:CV404)</f>
        <v>28</v>
      </c>
      <c r="BQ404" s="93">
        <f>SUM($Z404:AJ404)-SUM($CM404:CW404)</f>
        <v>20</v>
      </c>
      <c r="BR404" s="93">
        <f>SUM($Z404:AK404)-SUM($CM404:CX404)</f>
        <v>12</v>
      </c>
      <c r="BS404" s="93">
        <f>SUM($Z404:AL404)-SUM($CM404:CY404)</f>
        <v>4</v>
      </c>
      <c r="BT404" s="93">
        <f>SUM($Z404:AM404)-SUM($CM404:CZ404)</f>
        <v>-4</v>
      </c>
      <c r="BU404" s="93">
        <f>SUM($Z404:AN404)-SUM($CM404:DA404)</f>
        <v>-12</v>
      </c>
      <c r="BV404" s="93">
        <f>SUM($Z404:AO404)-SUM($CM404:DB404)</f>
        <v>-20</v>
      </c>
      <c r="BW404" s="93">
        <f>SUM($Z404:AP404)-SUM($CM404:DC404)</f>
        <v>-26</v>
      </c>
      <c r="BX404" s="93">
        <f>SUM($Z404:AQ404)-SUM($CM404:DD404)</f>
        <v>-26</v>
      </c>
      <c r="BY404" s="93">
        <f>SUM($Z404:AR404)-SUM($CM404:DE404)</f>
        <v>-26</v>
      </c>
      <c r="BZ404" s="93">
        <f>SUM($Z404:AS404)-SUM($CM404:DF404)</f>
        <v>-26</v>
      </c>
      <c r="CA404" s="93">
        <f>SUM($Z404:AT404)-SUM($CM404:DG404)</f>
        <v>-26</v>
      </c>
      <c r="CB404" s="93">
        <f>SUM($Z404:AU404)-SUM($CM404:DH404)</f>
        <v>-26</v>
      </c>
      <c r="CC404" s="93">
        <f>SUM($Z404:AV404)-SUM($CM404:DI404)</f>
        <v>-26</v>
      </c>
      <c r="CD404" s="93">
        <f>SUM($Z404:AW404)-SUM($CM404:DJ404)</f>
        <v>-26</v>
      </c>
      <c r="CE404" s="93">
        <f>SUM($Z404:AX404)-SUM($CM404:DK404)</f>
        <v>-26</v>
      </c>
      <c r="CF404" s="93">
        <f>SUM($Z404:AY404)-SUM($CM404:DL404)</f>
        <v>-26</v>
      </c>
      <c r="CG404" s="93">
        <f>SUM($Z404:AZ404)-SUM($CM404:DM404)</f>
        <v>-26</v>
      </c>
      <c r="CH404" s="93">
        <f>SUM($Z404:BA404)-SUM($CM404:DN404)</f>
        <v>-26</v>
      </c>
      <c r="CI404" s="93">
        <f>SUM($Z404:BB404)-SUM($CM404:DO404)</f>
        <v>-26</v>
      </c>
      <c r="CJ404" s="93"/>
      <c r="CK404" s="93"/>
      <c r="CL404" s="93"/>
      <c r="CM404" s="93"/>
      <c r="CN404" s="93" cm="1">
        <f t="array" ref="CN404">SUMPRODUCT(TRANSPOSE(CN$4:CN$20),$G404:$W404)</f>
        <v>0</v>
      </c>
      <c r="CO404" s="93" cm="1">
        <f t="array" ref="CO404">SUMPRODUCT(TRANSPOSE(CO$4:CO$20),$G404:$W404)</f>
        <v>0</v>
      </c>
      <c r="CP404" s="93" cm="1">
        <f t="array" ref="CP404">SUMPRODUCT(TRANSPOSE(CP$4:CP$20),$G404:$W404)</f>
        <v>0</v>
      </c>
      <c r="CQ404" s="93" cm="1">
        <f t="array" ref="CQ404">SUMPRODUCT(TRANSPOSE(CQ$4:CQ$20),$G404:$W404)</f>
        <v>8</v>
      </c>
      <c r="CR404" s="93" cm="1">
        <f t="array" ref="CR404">SUMPRODUCT(TRANSPOSE(CR$4:CR$20),$G404:$W404)</f>
        <v>8</v>
      </c>
      <c r="CS404" s="93" cm="1">
        <f t="array" ref="CS404">SUMPRODUCT(TRANSPOSE(CS$4:CS$20),$G404:$W404)</f>
        <v>8</v>
      </c>
      <c r="CT404" s="93" cm="1">
        <f t="array" ref="CT404">SUMPRODUCT(TRANSPOSE(CT$4:CT$20),$G404:$W404)</f>
        <v>8</v>
      </c>
      <c r="CU404" s="93" cm="1">
        <f t="array" ref="CU404">SUMPRODUCT(TRANSPOSE(CU$4:CU$20),$G404:$W404)</f>
        <v>8</v>
      </c>
      <c r="CV404" s="93" cm="1">
        <f t="array" ref="CV404">SUMPRODUCT(TRANSPOSE(CV$4:CV$20),$G404:$W404)</f>
        <v>8</v>
      </c>
      <c r="CW404" s="93" cm="1">
        <f t="array" ref="CW404">SUMPRODUCT(TRANSPOSE(CW$4:CW$20),$G404:$W404)</f>
        <v>8</v>
      </c>
      <c r="CX404" s="93" cm="1">
        <f t="array" ref="CX404">SUMPRODUCT(TRANSPOSE(CX$4:CX$20),$G404:$W404)</f>
        <v>8</v>
      </c>
      <c r="CY404" s="93" cm="1">
        <f t="array" ref="CY404">SUMPRODUCT(TRANSPOSE(CY$4:CY$20),$G404:$W404)</f>
        <v>8</v>
      </c>
      <c r="CZ404" s="93" cm="1">
        <f t="array" ref="CZ404">SUMPRODUCT(TRANSPOSE(CZ$4:CZ$20),$G404:$W404)</f>
        <v>8</v>
      </c>
      <c r="DA404" s="93" cm="1">
        <f t="array" ref="DA404">SUMPRODUCT(TRANSPOSE(DA$4:DA$20),$G404:$W404)</f>
        <v>8</v>
      </c>
      <c r="DB404" s="93" cm="1">
        <f t="array" ref="DB404">SUMPRODUCT(TRANSPOSE(DB$4:DB$20),$G404:$W404)</f>
        <v>8</v>
      </c>
      <c r="DC404" s="93" cm="1">
        <f t="array" ref="DC404">SUMPRODUCT(TRANSPOSE(DC$4:DC$20),$G404:$W404)</f>
        <v>6</v>
      </c>
      <c r="DD404" s="93" cm="1">
        <f t="array" ref="DD404">SUMPRODUCT(TRANSPOSE(DD$4:DD$20),$G404:$W404)</f>
        <v>0</v>
      </c>
      <c r="DE404" s="93" cm="1">
        <f t="array" ref="DE404">SUMPRODUCT(TRANSPOSE(DE$4:DE$20),$G404:$W404)</f>
        <v>0</v>
      </c>
      <c r="DF404" s="93" cm="1">
        <f t="array" ref="DF404">SUMPRODUCT(TRANSPOSE(DF$4:DF$20),$G404:$W404)</f>
        <v>0</v>
      </c>
      <c r="DG404" s="93" cm="1">
        <f t="array" ref="DG404">SUMPRODUCT(TRANSPOSE(DG$4:DG$20),$G404:$W404)</f>
        <v>0</v>
      </c>
      <c r="DH404" s="93" cm="1">
        <f t="array" ref="DH404">SUMPRODUCT(TRANSPOSE(DH$4:DH$20),$G404:$W404)</f>
        <v>0</v>
      </c>
      <c r="DI404" s="93" cm="1">
        <f t="array" ref="DI404">SUMPRODUCT(TRANSPOSE(DI$4:DI$20),$G404:$W404)</f>
        <v>0</v>
      </c>
      <c r="DJ404" s="93" cm="1">
        <f t="array" ref="DJ404">SUMPRODUCT(TRANSPOSE(DJ$4:DJ$20),$G404:$W404)</f>
        <v>0</v>
      </c>
      <c r="DK404" s="93" cm="1">
        <f t="array" ref="DK404">SUMPRODUCT(TRANSPOSE(DK$4:DK$20),$G404:$W404)</f>
        <v>0</v>
      </c>
      <c r="DL404" s="93" cm="1">
        <f t="array" ref="DL404">SUMPRODUCT(TRANSPOSE(DL$4:DL$20),$G404:$W404)</f>
        <v>0</v>
      </c>
      <c r="DM404" s="93" cm="1">
        <f t="array" ref="DM404">SUMPRODUCT(TRANSPOSE(DM$4:DM$20),$G404:$W404)</f>
        <v>0</v>
      </c>
      <c r="DN404" s="93" cm="1">
        <f t="array" ref="DN404">SUMPRODUCT(TRANSPOSE(DN$4:DN$20),$G404:$W404)</f>
        <v>0</v>
      </c>
      <c r="DO404" s="93" cm="1">
        <f t="array" ref="DO404">SUMPRODUCT(TRANSPOSE(DO$4:DO$20),$G404:$W404)</f>
        <v>0</v>
      </c>
    </row>
    <row r="405" spans="1:119" x14ac:dyDescent="0.2">
      <c r="A405" s="45">
        <f t="shared" si="31"/>
        <v>384</v>
      </c>
      <c r="B405" s="64" t="s">
        <v>869</v>
      </c>
      <c r="C405" s="45">
        <v>410810149</v>
      </c>
      <c r="D405" s="45" t="s">
        <v>870</v>
      </c>
      <c r="E405" s="45" t="s">
        <v>162</v>
      </c>
      <c r="F405" s="48">
        <v>1</v>
      </c>
      <c r="G405" s="100">
        <v>0</v>
      </c>
      <c r="H405" s="100">
        <v>0</v>
      </c>
      <c r="I405" s="100">
        <v>0</v>
      </c>
      <c r="J405" s="100">
        <v>0</v>
      </c>
      <c r="K405" s="100">
        <v>1</v>
      </c>
      <c r="L405" s="100">
        <v>0</v>
      </c>
      <c r="M405" s="100">
        <v>0</v>
      </c>
      <c r="N405" s="100">
        <v>0</v>
      </c>
      <c r="O405" s="100">
        <v>0</v>
      </c>
      <c r="P405" s="100">
        <v>0</v>
      </c>
      <c r="Q405" s="100">
        <v>0</v>
      </c>
      <c r="R405" s="100">
        <v>0</v>
      </c>
      <c r="S405" s="100">
        <v>0</v>
      </c>
      <c r="T405" s="100">
        <v>0</v>
      </c>
      <c r="U405" s="100">
        <v>0</v>
      </c>
      <c r="V405" s="100">
        <v>0</v>
      </c>
      <c r="W405" s="100">
        <v>0</v>
      </c>
      <c r="X405" s="45" t="s">
        <v>44</v>
      </c>
      <c r="Y405" s="49">
        <v>3.6</v>
      </c>
      <c r="Z405" s="45">
        <v>130</v>
      </c>
      <c r="AA405" s="45">
        <v>0</v>
      </c>
      <c r="AB405" s="45">
        <v>0</v>
      </c>
      <c r="AC405" s="45">
        <v>0</v>
      </c>
      <c r="AD405" s="45">
        <v>0</v>
      </c>
      <c r="AE405" s="45">
        <v>0</v>
      </c>
      <c r="AF405" s="45">
        <v>0</v>
      </c>
      <c r="AG405" s="45">
        <v>0</v>
      </c>
      <c r="AH405" s="45">
        <v>0</v>
      </c>
      <c r="AI405" s="45">
        <v>0</v>
      </c>
      <c r="AJ405" s="45">
        <v>0</v>
      </c>
      <c r="AK405" s="45">
        <v>0</v>
      </c>
      <c r="AL405" s="45">
        <v>0</v>
      </c>
      <c r="AM405" s="45">
        <v>0</v>
      </c>
      <c r="AN405" s="45">
        <v>0</v>
      </c>
      <c r="AO405" s="45"/>
      <c r="AP405" s="45"/>
      <c r="AQ405" s="45"/>
      <c r="AR405" s="45"/>
      <c r="AS405" s="45"/>
      <c r="AT405" s="45"/>
      <c r="AU405" s="45"/>
      <c r="AV405" s="45"/>
      <c r="AW405" s="45"/>
      <c r="AX405" s="45"/>
      <c r="AY405" s="45"/>
      <c r="AZ405" s="45"/>
      <c r="BA405" s="45"/>
      <c r="BB405" s="45"/>
      <c r="BC405" s="45"/>
      <c r="BD405" s="93"/>
      <c r="BE405" s="93"/>
      <c r="BF405" s="93"/>
      <c r="BG405" s="93"/>
      <c r="BH405" s="93"/>
      <c r="BI405" s="93"/>
      <c r="BJ405" s="93"/>
      <c r="BK405" s="93">
        <f>SUM($Z405:AD405)-SUM($CM405:CQ405)</f>
        <v>122</v>
      </c>
      <c r="BL405" s="93">
        <f>SUM($Z405:AE405)-SUM($CM405:CR405)</f>
        <v>114</v>
      </c>
      <c r="BM405" s="93">
        <f>SUM($Z405:AF405)-SUM($CM405:CS405)</f>
        <v>106</v>
      </c>
      <c r="BN405" s="93">
        <f>SUM($Z405:AG405)-SUM($CM405:CT405)</f>
        <v>98</v>
      </c>
      <c r="BO405" s="93">
        <f>SUM($Z405:AH405)-SUM($CM405:CU405)</f>
        <v>90</v>
      </c>
      <c r="BP405" s="93">
        <f>SUM($Z405:AI405)-SUM($CM405:CV405)</f>
        <v>82</v>
      </c>
      <c r="BQ405" s="93">
        <f>SUM($Z405:AJ405)-SUM($CM405:CW405)</f>
        <v>74</v>
      </c>
      <c r="BR405" s="93">
        <f>SUM($Z405:AK405)-SUM($CM405:CX405)</f>
        <v>66</v>
      </c>
      <c r="BS405" s="93">
        <f>SUM($Z405:AL405)-SUM($CM405:CY405)</f>
        <v>58</v>
      </c>
      <c r="BT405" s="93">
        <f>SUM($Z405:AM405)-SUM($CM405:CZ405)</f>
        <v>50</v>
      </c>
      <c r="BU405" s="93">
        <f>SUM($Z405:AN405)-SUM($CM405:DA405)</f>
        <v>42</v>
      </c>
      <c r="BV405" s="93">
        <f>SUM($Z405:AO405)-SUM($CM405:DB405)</f>
        <v>34</v>
      </c>
      <c r="BW405" s="93">
        <f>SUM($Z405:AP405)-SUM($CM405:DC405)</f>
        <v>28</v>
      </c>
      <c r="BX405" s="93">
        <f>SUM($Z405:AQ405)-SUM($CM405:DD405)</f>
        <v>28</v>
      </c>
      <c r="BY405" s="93">
        <f>SUM($Z405:AR405)-SUM($CM405:DE405)</f>
        <v>28</v>
      </c>
      <c r="BZ405" s="93">
        <f>SUM($Z405:AS405)-SUM($CM405:DF405)</f>
        <v>28</v>
      </c>
      <c r="CA405" s="93">
        <f>SUM($Z405:AT405)-SUM($CM405:DG405)</f>
        <v>28</v>
      </c>
      <c r="CB405" s="93">
        <f>SUM($Z405:AU405)-SUM($CM405:DH405)</f>
        <v>28</v>
      </c>
      <c r="CC405" s="93">
        <f>SUM($Z405:AV405)-SUM($CM405:DI405)</f>
        <v>28</v>
      </c>
      <c r="CD405" s="93">
        <f>SUM($Z405:AW405)-SUM($CM405:DJ405)</f>
        <v>28</v>
      </c>
      <c r="CE405" s="93">
        <f>SUM($Z405:AX405)-SUM($CM405:DK405)</f>
        <v>28</v>
      </c>
      <c r="CF405" s="93">
        <f>SUM($Z405:AY405)-SUM($CM405:DL405)</f>
        <v>28</v>
      </c>
      <c r="CG405" s="93">
        <f>SUM($Z405:AZ405)-SUM($CM405:DM405)</f>
        <v>28</v>
      </c>
      <c r="CH405" s="93">
        <f>SUM($Z405:BA405)-SUM($CM405:DN405)</f>
        <v>28</v>
      </c>
      <c r="CI405" s="93">
        <f>SUM($Z405:BB405)-SUM($CM405:DO405)</f>
        <v>28</v>
      </c>
      <c r="CJ405" s="93"/>
      <c r="CK405" s="93"/>
      <c r="CL405" s="93"/>
      <c r="CM405" s="93"/>
      <c r="CN405" s="93" cm="1">
        <f t="array" ref="CN405">SUMPRODUCT(TRANSPOSE(CN$4:CN$20),$G405:$W405)</f>
        <v>0</v>
      </c>
      <c r="CO405" s="93" cm="1">
        <f t="array" ref="CO405">SUMPRODUCT(TRANSPOSE(CO$4:CO$20),$G405:$W405)</f>
        <v>0</v>
      </c>
      <c r="CP405" s="93" cm="1">
        <f t="array" ref="CP405">SUMPRODUCT(TRANSPOSE(CP$4:CP$20),$G405:$W405)</f>
        <v>0</v>
      </c>
      <c r="CQ405" s="93" cm="1">
        <f t="array" ref="CQ405">SUMPRODUCT(TRANSPOSE(CQ$4:CQ$20),$G405:$W405)</f>
        <v>8</v>
      </c>
      <c r="CR405" s="93" cm="1">
        <f t="array" ref="CR405">SUMPRODUCT(TRANSPOSE(CR$4:CR$20),$G405:$W405)</f>
        <v>8</v>
      </c>
      <c r="CS405" s="93" cm="1">
        <f t="array" ref="CS405">SUMPRODUCT(TRANSPOSE(CS$4:CS$20),$G405:$W405)</f>
        <v>8</v>
      </c>
      <c r="CT405" s="93" cm="1">
        <f t="array" ref="CT405">SUMPRODUCT(TRANSPOSE(CT$4:CT$20),$G405:$W405)</f>
        <v>8</v>
      </c>
      <c r="CU405" s="93" cm="1">
        <f t="array" ref="CU405">SUMPRODUCT(TRANSPOSE(CU$4:CU$20),$G405:$W405)</f>
        <v>8</v>
      </c>
      <c r="CV405" s="93" cm="1">
        <f t="array" ref="CV405">SUMPRODUCT(TRANSPOSE(CV$4:CV$20),$G405:$W405)</f>
        <v>8</v>
      </c>
      <c r="CW405" s="93" cm="1">
        <f t="array" ref="CW405">SUMPRODUCT(TRANSPOSE(CW$4:CW$20),$G405:$W405)</f>
        <v>8</v>
      </c>
      <c r="CX405" s="93" cm="1">
        <f t="array" ref="CX405">SUMPRODUCT(TRANSPOSE(CX$4:CX$20),$G405:$W405)</f>
        <v>8</v>
      </c>
      <c r="CY405" s="93" cm="1">
        <f t="array" ref="CY405">SUMPRODUCT(TRANSPOSE(CY$4:CY$20),$G405:$W405)</f>
        <v>8</v>
      </c>
      <c r="CZ405" s="93" cm="1">
        <f t="array" ref="CZ405">SUMPRODUCT(TRANSPOSE(CZ$4:CZ$20),$G405:$W405)</f>
        <v>8</v>
      </c>
      <c r="DA405" s="93" cm="1">
        <f t="array" ref="DA405">SUMPRODUCT(TRANSPOSE(DA$4:DA$20),$G405:$W405)</f>
        <v>8</v>
      </c>
      <c r="DB405" s="93" cm="1">
        <f t="array" ref="DB405">SUMPRODUCT(TRANSPOSE(DB$4:DB$20),$G405:$W405)</f>
        <v>8</v>
      </c>
      <c r="DC405" s="93" cm="1">
        <f t="array" ref="DC405">SUMPRODUCT(TRANSPOSE(DC$4:DC$20),$G405:$W405)</f>
        <v>6</v>
      </c>
      <c r="DD405" s="93" cm="1">
        <f t="array" ref="DD405">SUMPRODUCT(TRANSPOSE(DD$4:DD$20),$G405:$W405)</f>
        <v>0</v>
      </c>
      <c r="DE405" s="93" cm="1">
        <f t="array" ref="DE405">SUMPRODUCT(TRANSPOSE(DE$4:DE$20),$G405:$W405)</f>
        <v>0</v>
      </c>
      <c r="DF405" s="93" cm="1">
        <f t="array" ref="DF405">SUMPRODUCT(TRANSPOSE(DF$4:DF$20),$G405:$W405)</f>
        <v>0</v>
      </c>
      <c r="DG405" s="93" cm="1">
        <f t="array" ref="DG405">SUMPRODUCT(TRANSPOSE(DG$4:DG$20),$G405:$W405)</f>
        <v>0</v>
      </c>
      <c r="DH405" s="93" cm="1">
        <f t="array" ref="DH405">SUMPRODUCT(TRANSPOSE(DH$4:DH$20),$G405:$W405)</f>
        <v>0</v>
      </c>
      <c r="DI405" s="93" cm="1">
        <f t="array" ref="DI405">SUMPRODUCT(TRANSPOSE(DI$4:DI$20),$G405:$W405)</f>
        <v>0</v>
      </c>
      <c r="DJ405" s="93" cm="1">
        <f t="array" ref="DJ405">SUMPRODUCT(TRANSPOSE(DJ$4:DJ$20),$G405:$W405)</f>
        <v>0</v>
      </c>
      <c r="DK405" s="93" cm="1">
        <f t="array" ref="DK405">SUMPRODUCT(TRANSPOSE(DK$4:DK$20),$G405:$W405)</f>
        <v>0</v>
      </c>
      <c r="DL405" s="93" cm="1">
        <f t="array" ref="DL405">SUMPRODUCT(TRANSPOSE(DL$4:DL$20),$G405:$W405)</f>
        <v>0</v>
      </c>
      <c r="DM405" s="93" cm="1">
        <f t="array" ref="DM405">SUMPRODUCT(TRANSPOSE(DM$4:DM$20),$G405:$W405)</f>
        <v>0</v>
      </c>
      <c r="DN405" s="93" cm="1">
        <f t="array" ref="DN405">SUMPRODUCT(TRANSPOSE(DN$4:DN$20),$G405:$W405)</f>
        <v>0</v>
      </c>
      <c r="DO405" s="93" cm="1">
        <f t="array" ref="DO405">SUMPRODUCT(TRANSPOSE(DO$4:DO$20),$G405:$W405)</f>
        <v>0</v>
      </c>
    </row>
    <row r="406" spans="1:119" x14ac:dyDescent="0.2">
      <c r="A406" s="45">
        <f t="shared" si="31"/>
        <v>385</v>
      </c>
      <c r="B406" s="64" t="s">
        <v>871</v>
      </c>
      <c r="C406" s="45">
        <v>410810150</v>
      </c>
      <c r="D406" s="45" t="s">
        <v>866</v>
      </c>
      <c r="E406" s="45" t="s">
        <v>162</v>
      </c>
      <c r="F406" s="48">
        <v>1</v>
      </c>
      <c r="G406" s="100">
        <v>0</v>
      </c>
      <c r="H406" s="100">
        <v>0</v>
      </c>
      <c r="I406" s="100">
        <v>0</v>
      </c>
      <c r="J406" s="100">
        <v>0</v>
      </c>
      <c r="K406" s="100">
        <v>1</v>
      </c>
      <c r="L406" s="100">
        <v>0</v>
      </c>
      <c r="M406" s="100">
        <v>0</v>
      </c>
      <c r="N406" s="100">
        <v>0</v>
      </c>
      <c r="O406" s="100">
        <v>0</v>
      </c>
      <c r="P406" s="100">
        <v>0</v>
      </c>
      <c r="Q406" s="100">
        <v>0</v>
      </c>
      <c r="R406" s="100">
        <v>0</v>
      </c>
      <c r="S406" s="100">
        <v>0</v>
      </c>
      <c r="T406" s="100">
        <v>0</v>
      </c>
      <c r="U406" s="100">
        <v>0</v>
      </c>
      <c r="V406" s="100">
        <v>0</v>
      </c>
      <c r="W406" s="100">
        <v>0</v>
      </c>
      <c r="X406" s="45" t="s">
        <v>44</v>
      </c>
      <c r="Y406" s="49">
        <v>7.5</v>
      </c>
      <c r="Z406" s="45">
        <v>130</v>
      </c>
      <c r="AA406" s="45">
        <v>0</v>
      </c>
      <c r="AB406" s="45">
        <v>0</v>
      </c>
      <c r="AC406" s="45">
        <v>0</v>
      </c>
      <c r="AD406" s="45">
        <v>0</v>
      </c>
      <c r="AE406" s="45">
        <v>0</v>
      </c>
      <c r="AF406" s="45">
        <v>0</v>
      </c>
      <c r="AG406" s="45">
        <v>0</v>
      </c>
      <c r="AH406" s="45">
        <v>0</v>
      </c>
      <c r="AI406" s="45">
        <v>0</v>
      </c>
      <c r="AJ406" s="45">
        <v>0</v>
      </c>
      <c r="AK406" s="45">
        <v>0</v>
      </c>
      <c r="AL406" s="45">
        <v>0</v>
      </c>
      <c r="AM406" s="45">
        <v>0</v>
      </c>
      <c r="AN406" s="45">
        <v>0</v>
      </c>
      <c r="AO406" s="45"/>
      <c r="AP406" s="45"/>
      <c r="AQ406" s="45"/>
      <c r="AR406" s="45"/>
      <c r="AS406" s="45"/>
      <c r="AT406" s="45"/>
      <c r="AU406" s="45"/>
      <c r="AV406" s="45"/>
      <c r="AW406" s="45"/>
      <c r="AX406" s="45"/>
      <c r="AY406" s="45"/>
      <c r="AZ406" s="45"/>
      <c r="BA406" s="45"/>
      <c r="BB406" s="45"/>
      <c r="BC406" s="45"/>
      <c r="BD406" s="93"/>
      <c r="BE406" s="93"/>
      <c r="BF406" s="93"/>
      <c r="BG406" s="93"/>
      <c r="BH406" s="93"/>
      <c r="BI406" s="93"/>
      <c r="BJ406" s="93"/>
      <c r="BK406" s="93">
        <f>SUM($Z406:AD406)-SUM($CM406:CQ406)</f>
        <v>122</v>
      </c>
      <c r="BL406" s="93">
        <f>SUM($Z406:AE406)-SUM($CM406:CR406)</f>
        <v>114</v>
      </c>
      <c r="BM406" s="93">
        <f>SUM($Z406:AF406)-SUM($CM406:CS406)</f>
        <v>106</v>
      </c>
      <c r="BN406" s="93">
        <f>SUM($Z406:AG406)-SUM($CM406:CT406)</f>
        <v>98</v>
      </c>
      <c r="BO406" s="93">
        <f>SUM($Z406:AH406)-SUM($CM406:CU406)</f>
        <v>90</v>
      </c>
      <c r="BP406" s="93">
        <f>SUM($Z406:AI406)-SUM($CM406:CV406)</f>
        <v>82</v>
      </c>
      <c r="BQ406" s="93">
        <f>SUM($Z406:AJ406)-SUM($CM406:CW406)</f>
        <v>74</v>
      </c>
      <c r="BR406" s="93">
        <f>SUM($Z406:AK406)-SUM($CM406:CX406)</f>
        <v>66</v>
      </c>
      <c r="BS406" s="93">
        <f>SUM($Z406:AL406)-SUM($CM406:CY406)</f>
        <v>58</v>
      </c>
      <c r="BT406" s="93">
        <f>SUM($Z406:AM406)-SUM($CM406:CZ406)</f>
        <v>50</v>
      </c>
      <c r="BU406" s="93">
        <f>SUM($Z406:AN406)-SUM($CM406:DA406)</f>
        <v>42</v>
      </c>
      <c r="BV406" s="93">
        <f>SUM($Z406:AO406)-SUM($CM406:DB406)</f>
        <v>34</v>
      </c>
      <c r="BW406" s="93">
        <f>SUM($Z406:AP406)-SUM($CM406:DC406)</f>
        <v>28</v>
      </c>
      <c r="BX406" s="93">
        <f>SUM($Z406:AQ406)-SUM($CM406:DD406)</f>
        <v>28</v>
      </c>
      <c r="BY406" s="93">
        <f>SUM($Z406:AR406)-SUM($CM406:DE406)</f>
        <v>28</v>
      </c>
      <c r="BZ406" s="93">
        <f>SUM($Z406:AS406)-SUM($CM406:DF406)</f>
        <v>28</v>
      </c>
      <c r="CA406" s="93">
        <f>SUM($Z406:AT406)-SUM($CM406:DG406)</f>
        <v>28</v>
      </c>
      <c r="CB406" s="93">
        <f>SUM($Z406:AU406)-SUM($CM406:DH406)</f>
        <v>28</v>
      </c>
      <c r="CC406" s="93">
        <f>SUM($Z406:AV406)-SUM($CM406:DI406)</f>
        <v>28</v>
      </c>
      <c r="CD406" s="93">
        <f>SUM($Z406:AW406)-SUM($CM406:DJ406)</f>
        <v>28</v>
      </c>
      <c r="CE406" s="93">
        <f>SUM($Z406:AX406)-SUM($CM406:DK406)</f>
        <v>28</v>
      </c>
      <c r="CF406" s="93">
        <f>SUM($Z406:AY406)-SUM($CM406:DL406)</f>
        <v>28</v>
      </c>
      <c r="CG406" s="93">
        <f>SUM($Z406:AZ406)-SUM($CM406:DM406)</f>
        <v>28</v>
      </c>
      <c r="CH406" s="93">
        <f>SUM($Z406:BA406)-SUM($CM406:DN406)</f>
        <v>28</v>
      </c>
      <c r="CI406" s="93">
        <f>SUM($Z406:BB406)-SUM($CM406:DO406)</f>
        <v>28</v>
      </c>
      <c r="CJ406" s="93"/>
      <c r="CK406" s="93"/>
      <c r="CL406" s="93"/>
      <c r="CM406" s="93"/>
      <c r="CN406" s="93" cm="1">
        <f t="array" ref="CN406">SUMPRODUCT(TRANSPOSE(CN$4:CN$20),$G406:$W406)</f>
        <v>0</v>
      </c>
      <c r="CO406" s="93" cm="1">
        <f t="array" ref="CO406">SUMPRODUCT(TRANSPOSE(CO$4:CO$20),$G406:$W406)</f>
        <v>0</v>
      </c>
      <c r="CP406" s="93" cm="1">
        <f t="array" ref="CP406">SUMPRODUCT(TRANSPOSE(CP$4:CP$20),$G406:$W406)</f>
        <v>0</v>
      </c>
      <c r="CQ406" s="93" cm="1">
        <f t="array" ref="CQ406">SUMPRODUCT(TRANSPOSE(CQ$4:CQ$20),$G406:$W406)</f>
        <v>8</v>
      </c>
      <c r="CR406" s="93" cm="1">
        <f t="array" ref="CR406">SUMPRODUCT(TRANSPOSE(CR$4:CR$20),$G406:$W406)</f>
        <v>8</v>
      </c>
      <c r="CS406" s="93" cm="1">
        <f t="array" ref="CS406">SUMPRODUCT(TRANSPOSE(CS$4:CS$20),$G406:$W406)</f>
        <v>8</v>
      </c>
      <c r="CT406" s="93" cm="1">
        <f t="array" ref="CT406">SUMPRODUCT(TRANSPOSE(CT$4:CT$20),$G406:$W406)</f>
        <v>8</v>
      </c>
      <c r="CU406" s="93" cm="1">
        <f t="array" ref="CU406">SUMPRODUCT(TRANSPOSE(CU$4:CU$20),$G406:$W406)</f>
        <v>8</v>
      </c>
      <c r="CV406" s="93" cm="1">
        <f t="array" ref="CV406">SUMPRODUCT(TRANSPOSE(CV$4:CV$20),$G406:$W406)</f>
        <v>8</v>
      </c>
      <c r="CW406" s="93" cm="1">
        <f t="array" ref="CW406">SUMPRODUCT(TRANSPOSE(CW$4:CW$20),$G406:$W406)</f>
        <v>8</v>
      </c>
      <c r="CX406" s="93" cm="1">
        <f t="array" ref="CX406">SUMPRODUCT(TRANSPOSE(CX$4:CX$20),$G406:$W406)</f>
        <v>8</v>
      </c>
      <c r="CY406" s="93" cm="1">
        <f t="array" ref="CY406">SUMPRODUCT(TRANSPOSE(CY$4:CY$20),$G406:$W406)</f>
        <v>8</v>
      </c>
      <c r="CZ406" s="93" cm="1">
        <f t="array" ref="CZ406">SUMPRODUCT(TRANSPOSE(CZ$4:CZ$20),$G406:$W406)</f>
        <v>8</v>
      </c>
      <c r="DA406" s="93" cm="1">
        <f t="array" ref="DA406">SUMPRODUCT(TRANSPOSE(DA$4:DA$20),$G406:$W406)</f>
        <v>8</v>
      </c>
      <c r="DB406" s="93" cm="1">
        <f t="array" ref="DB406">SUMPRODUCT(TRANSPOSE(DB$4:DB$20),$G406:$W406)</f>
        <v>8</v>
      </c>
      <c r="DC406" s="93" cm="1">
        <f t="array" ref="DC406">SUMPRODUCT(TRANSPOSE(DC$4:DC$20),$G406:$W406)</f>
        <v>6</v>
      </c>
      <c r="DD406" s="93" cm="1">
        <f t="array" ref="DD406">SUMPRODUCT(TRANSPOSE(DD$4:DD$20),$G406:$W406)</f>
        <v>0</v>
      </c>
      <c r="DE406" s="93" cm="1">
        <f t="array" ref="DE406">SUMPRODUCT(TRANSPOSE(DE$4:DE$20),$G406:$W406)</f>
        <v>0</v>
      </c>
      <c r="DF406" s="93" cm="1">
        <f t="array" ref="DF406">SUMPRODUCT(TRANSPOSE(DF$4:DF$20),$G406:$W406)</f>
        <v>0</v>
      </c>
      <c r="DG406" s="93" cm="1">
        <f t="array" ref="DG406">SUMPRODUCT(TRANSPOSE(DG$4:DG$20),$G406:$W406)</f>
        <v>0</v>
      </c>
      <c r="DH406" s="93" cm="1">
        <f t="array" ref="DH406">SUMPRODUCT(TRANSPOSE(DH$4:DH$20),$G406:$W406)</f>
        <v>0</v>
      </c>
      <c r="DI406" s="93" cm="1">
        <f t="array" ref="DI406">SUMPRODUCT(TRANSPOSE(DI$4:DI$20),$G406:$W406)</f>
        <v>0</v>
      </c>
      <c r="DJ406" s="93" cm="1">
        <f t="array" ref="DJ406">SUMPRODUCT(TRANSPOSE(DJ$4:DJ$20),$G406:$W406)</f>
        <v>0</v>
      </c>
      <c r="DK406" s="93" cm="1">
        <f t="array" ref="DK406">SUMPRODUCT(TRANSPOSE(DK$4:DK$20),$G406:$W406)</f>
        <v>0</v>
      </c>
      <c r="DL406" s="93" cm="1">
        <f t="array" ref="DL406">SUMPRODUCT(TRANSPOSE(DL$4:DL$20),$G406:$W406)</f>
        <v>0</v>
      </c>
      <c r="DM406" s="93" cm="1">
        <f t="array" ref="DM406">SUMPRODUCT(TRANSPOSE(DM$4:DM$20),$G406:$W406)</f>
        <v>0</v>
      </c>
      <c r="DN406" s="93" cm="1">
        <f t="array" ref="DN406">SUMPRODUCT(TRANSPOSE(DN$4:DN$20),$G406:$W406)</f>
        <v>0</v>
      </c>
      <c r="DO406" s="93" cm="1">
        <f t="array" ref="DO406">SUMPRODUCT(TRANSPOSE(DO$4:DO$20),$G406:$W406)</f>
        <v>0</v>
      </c>
    </row>
    <row r="407" spans="1:119" ht="34.15" customHeight="1" x14ac:dyDescent="0.2">
      <c r="A407" s="50">
        <f t="shared" ref="A407:A470" si="32">A406+1</f>
        <v>386</v>
      </c>
      <c r="B407" s="64" t="s">
        <v>872</v>
      </c>
      <c r="C407" s="45">
        <v>403830848</v>
      </c>
      <c r="D407" s="45" t="s">
        <v>873</v>
      </c>
      <c r="E407" s="45" t="s">
        <v>162</v>
      </c>
      <c r="F407" s="48">
        <v>1</v>
      </c>
      <c r="G407" s="100">
        <v>1</v>
      </c>
      <c r="H407" s="100">
        <v>0</v>
      </c>
      <c r="I407" s="100">
        <v>0</v>
      </c>
      <c r="J407" s="100">
        <v>0</v>
      </c>
      <c r="K407" s="100">
        <v>0</v>
      </c>
      <c r="L407" s="100">
        <v>0</v>
      </c>
      <c r="M407" s="100">
        <v>0</v>
      </c>
      <c r="N407" s="100">
        <v>0</v>
      </c>
      <c r="O407" s="100">
        <v>0</v>
      </c>
      <c r="P407" s="100">
        <v>0</v>
      </c>
      <c r="Q407" s="100">
        <v>0</v>
      </c>
      <c r="R407" s="100">
        <v>0</v>
      </c>
      <c r="S407" s="100">
        <v>0</v>
      </c>
      <c r="T407" s="100">
        <v>0</v>
      </c>
      <c r="U407" s="100">
        <v>0</v>
      </c>
      <c r="V407" s="100">
        <v>0</v>
      </c>
      <c r="W407" s="100">
        <v>0</v>
      </c>
      <c r="X407" s="45" t="s">
        <v>8</v>
      </c>
      <c r="Y407" s="49">
        <v>0</v>
      </c>
      <c r="Z407" s="45">
        <v>42</v>
      </c>
      <c r="AA407" s="45">
        <v>0</v>
      </c>
      <c r="AB407" s="45">
        <v>0</v>
      </c>
      <c r="AC407" s="45">
        <v>0</v>
      </c>
      <c r="AD407" s="45">
        <v>0</v>
      </c>
      <c r="AE407" s="45">
        <v>0</v>
      </c>
      <c r="AF407" s="45">
        <v>0</v>
      </c>
      <c r="AG407" s="45">
        <v>0</v>
      </c>
      <c r="AH407" s="45">
        <v>0</v>
      </c>
      <c r="AI407" s="45">
        <v>0</v>
      </c>
      <c r="AJ407" s="45">
        <v>0</v>
      </c>
      <c r="AK407" s="45">
        <v>0</v>
      </c>
      <c r="AL407" s="45">
        <v>0</v>
      </c>
      <c r="AM407" s="45">
        <v>0</v>
      </c>
      <c r="AN407" s="45">
        <v>0</v>
      </c>
      <c r="AO407" s="45"/>
      <c r="AP407" s="45"/>
      <c r="AQ407" s="45"/>
      <c r="AR407" s="45"/>
      <c r="AS407" s="45"/>
      <c r="AT407" s="45"/>
      <c r="AU407" s="45"/>
      <c r="AV407" s="45"/>
      <c r="AW407" s="45"/>
      <c r="AX407" s="45"/>
      <c r="AY407" s="45"/>
      <c r="AZ407" s="45"/>
      <c r="BA407" s="45"/>
      <c r="BB407" s="45"/>
      <c r="BC407" s="45"/>
      <c r="BD407" s="93"/>
      <c r="BE407" s="93"/>
      <c r="BF407" s="93"/>
      <c r="BG407" s="93"/>
      <c r="BH407" s="93"/>
      <c r="BI407" s="93"/>
      <c r="BJ407" s="93"/>
      <c r="BK407" s="93">
        <f>SUM($Z407:AD407)-SUM($CM407:CQ407)</f>
        <v>34</v>
      </c>
      <c r="BL407" s="93">
        <f>SUM($Z407:AE407)-SUM($CM407:CR407)</f>
        <v>26</v>
      </c>
      <c r="BM407" s="93">
        <f>SUM($Z407:AF407)-SUM($CM407:CS407)</f>
        <v>18</v>
      </c>
      <c r="BN407" s="93">
        <f>SUM($Z407:AG407)-SUM($CM407:CT407)</f>
        <v>10</v>
      </c>
      <c r="BO407" s="93">
        <f>SUM($Z407:AH407)-SUM($CM407:CU407)</f>
        <v>2</v>
      </c>
      <c r="BP407" s="93">
        <f>SUM($Z407:AI407)-SUM($CM407:CV407)</f>
        <v>-6</v>
      </c>
      <c r="BQ407" s="93">
        <f>SUM($Z407:AJ407)-SUM($CM407:CW407)</f>
        <v>-14</v>
      </c>
      <c r="BR407" s="93">
        <f>SUM($Z407:AK407)-SUM($CM407:CX407)</f>
        <v>-22</v>
      </c>
      <c r="BS407" s="93">
        <f>SUM($Z407:AL407)-SUM($CM407:CY407)</f>
        <v>-30</v>
      </c>
      <c r="BT407" s="93">
        <f>SUM($Z407:AM407)-SUM($CM407:CZ407)</f>
        <v>-38</v>
      </c>
      <c r="BU407" s="93">
        <f>SUM($Z407:AN407)-SUM($CM407:DA407)</f>
        <v>-46</v>
      </c>
      <c r="BV407" s="93">
        <f>SUM($Z407:AO407)-SUM($CM407:DB407)</f>
        <v>-54</v>
      </c>
      <c r="BW407" s="93">
        <f>SUM($Z407:AP407)-SUM($CM407:DC407)</f>
        <v>-60</v>
      </c>
      <c r="BX407" s="93">
        <f>SUM($Z407:AQ407)-SUM($CM407:DD407)</f>
        <v>-60</v>
      </c>
      <c r="BY407" s="93">
        <f>SUM($Z407:AR407)-SUM($CM407:DE407)</f>
        <v>-60</v>
      </c>
      <c r="BZ407" s="93">
        <f>SUM($Z407:AS407)-SUM($CM407:DF407)</f>
        <v>-60</v>
      </c>
      <c r="CA407" s="93">
        <f>SUM($Z407:AT407)-SUM($CM407:DG407)</f>
        <v>-60</v>
      </c>
      <c r="CB407" s="93">
        <f>SUM($Z407:AU407)-SUM($CM407:DH407)</f>
        <v>-60</v>
      </c>
      <c r="CC407" s="93">
        <f>SUM($Z407:AV407)-SUM($CM407:DI407)</f>
        <v>-60</v>
      </c>
      <c r="CD407" s="93">
        <f>SUM($Z407:AW407)-SUM($CM407:DJ407)</f>
        <v>-60</v>
      </c>
      <c r="CE407" s="93">
        <f>SUM($Z407:AX407)-SUM($CM407:DK407)</f>
        <v>-60</v>
      </c>
      <c r="CF407" s="93">
        <f>SUM($Z407:AY407)-SUM($CM407:DL407)</f>
        <v>-60</v>
      </c>
      <c r="CG407" s="93">
        <f>SUM($Z407:AZ407)-SUM($CM407:DM407)</f>
        <v>-60</v>
      </c>
      <c r="CH407" s="93">
        <f>SUM($Z407:BA407)-SUM($CM407:DN407)</f>
        <v>-60</v>
      </c>
      <c r="CI407" s="93">
        <f>SUM($Z407:BB407)-SUM($CM407:DO407)</f>
        <v>-60</v>
      </c>
      <c r="CJ407" s="93"/>
      <c r="CK407" s="93"/>
      <c r="CL407" s="93"/>
      <c r="CM407" s="93"/>
      <c r="CN407" s="93" cm="1">
        <f t="array" ref="CN407">SUMPRODUCT(TRANSPOSE(CN$4:CN$20),$G407:$W407)</f>
        <v>0</v>
      </c>
      <c r="CO407" s="93" cm="1">
        <f t="array" ref="CO407">SUMPRODUCT(TRANSPOSE(CO$4:CO$20),$G407:$W407)</f>
        <v>0</v>
      </c>
      <c r="CP407" s="93" cm="1">
        <f t="array" ref="CP407">SUMPRODUCT(TRANSPOSE(CP$4:CP$20),$G407:$W407)</f>
        <v>0</v>
      </c>
      <c r="CQ407" s="93" cm="1">
        <f t="array" ref="CQ407">SUMPRODUCT(TRANSPOSE(CQ$4:CQ$20),$G407:$W407)</f>
        <v>8</v>
      </c>
      <c r="CR407" s="93" cm="1">
        <f t="array" ref="CR407">SUMPRODUCT(TRANSPOSE(CR$4:CR$20),$G407:$W407)</f>
        <v>8</v>
      </c>
      <c r="CS407" s="93" cm="1">
        <f t="array" ref="CS407">SUMPRODUCT(TRANSPOSE(CS$4:CS$20),$G407:$W407)</f>
        <v>8</v>
      </c>
      <c r="CT407" s="93" cm="1">
        <f t="array" ref="CT407">SUMPRODUCT(TRANSPOSE(CT$4:CT$20),$G407:$W407)</f>
        <v>8</v>
      </c>
      <c r="CU407" s="93" cm="1">
        <f t="array" ref="CU407">SUMPRODUCT(TRANSPOSE(CU$4:CU$20),$G407:$W407)</f>
        <v>8</v>
      </c>
      <c r="CV407" s="93" cm="1">
        <f t="array" ref="CV407">SUMPRODUCT(TRANSPOSE(CV$4:CV$20),$G407:$W407)</f>
        <v>8</v>
      </c>
      <c r="CW407" s="93" cm="1">
        <f t="array" ref="CW407">SUMPRODUCT(TRANSPOSE(CW$4:CW$20),$G407:$W407)</f>
        <v>8</v>
      </c>
      <c r="CX407" s="93" cm="1">
        <f t="array" ref="CX407">SUMPRODUCT(TRANSPOSE(CX$4:CX$20),$G407:$W407)</f>
        <v>8</v>
      </c>
      <c r="CY407" s="93" cm="1">
        <f t="array" ref="CY407">SUMPRODUCT(TRANSPOSE(CY$4:CY$20),$G407:$W407)</f>
        <v>8</v>
      </c>
      <c r="CZ407" s="93" cm="1">
        <f t="array" ref="CZ407">SUMPRODUCT(TRANSPOSE(CZ$4:CZ$20),$G407:$W407)</f>
        <v>8</v>
      </c>
      <c r="DA407" s="93" cm="1">
        <f t="array" ref="DA407">SUMPRODUCT(TRANSPOSE(DA$4:DA$20),$G407:$W407)</f>
        <v>8</v>
      </c>
      <c r="DB407" s="93" cm="1">
        <f t="array" ref="DB407">SUMPRODUCT(TRANSPOSE(DB$4:DB$20),$G407:$W407)</f>
        <v>8</v>
      </c>
      <c r="DC407" s="93" cm="1">
        <f t="array" ref="DC407">SUMPRODUCT(TRANSPOSE(DC$4:DC$20),$G407:$W407)</f>
        <v>6</v>
      </c>
      <c r="DD407" s="93" cm="1">
        <f t="array" ref="DD407">SUMPRODUCT(TRANSPOSE(DD$4:DD$20),$G407:$W407)</f>
        <v>0</v>
      </c>
      <c r="DE407" s="93" cm="1">
        <f t="array" ref="DE407">SUMPRODUCT(TRANSPOSE(DE$4:DE$20),$G407:$W407)</f>
        <v>0</v>
      </c>
      <c r="DF407" s="93" cm="1">
        <f t="array" ref="DF407">SUMPRODUCT(TRANSPOSE(DF$4:DF$20),$G407:$W407)</f>
        <v>0</v>
      </c>
      <c r="DG407" s="93" cm="1">
        <f t="array" ref="DG407">SUMPRODUCT(TRANSPOSE(DG$4:DG$20),$G407:$W407)</f>
        <v>0</v>
      </c>
      <c r="DH407" s="93" cm="1">
        <f t="array" ref="DH407">SUMPRODUCT(TRANSPOSE(DH$4:DH$20),$G407:$W407)</f>
        <v>0</v>
      </c>
      <c r="DI407" s="93" cm="1">
        <f t="array" ref="DI407">SUMPRODUCT(TRANSPOSE(DI$4:DI$20),$G407:$W407)</f>
        <v>0</v>
      </c>
      <c r="DJ407" s="93" cm="1">
        <f t="array" ref="DJ407">SUMPRODUCT(TRANSPOSE(DJ$4:DJ$20),$G407:$W407)</f>
        <v>0</v>
      </c>
      <c r="DK407" s="93" cm="1">
        <f t="array" ref="DK407">SUMPRODUCT(TRANSPOSE(DK$4:DK$20),$G407:$W407)</f>
        <v>0</v>
      </c>
      <c r="DL407" s="93" cm="1">
        <f t="array" ref="DL407">SUMPRODUCT(TRANSPOSE(DL$4:DL$20),$G407:$W407)</f>
        <v>0</v>
      </c>
      <c r="DM407" s="93" cm="1">
        <f t="array" ref="DM407">SUMPRODUCT(TRANSPOSE(DM$4:DM$20),$G407:$W407)</f>
        <v>0</v>
      </c>
      <c r="DN407" s="93" cm="1">
        <f t="array" ref="DN407">SUMPRODUCT(TRANSPOSE(DN$4:DN$20),$G407:$W407)</f>
        <v>0</v>
      </c>
      <c r="DO407" s="93" cm="1">
        <f t="array" ref="DO407">SUMPRODUCT(TRANSPOSE(DO$4:DO$20),$G407:$W407)</f>
        <v>0</v>
      </c>
    </row>
    <row r="408" spans="1:119" ht="51" customHeight="1" x14ac:dyDescent="0.2">
      <c r="A408" s="45">
        <f t="shared" si="32"/>
        <v>387</v>
      </c>
      <c r="B408" s="64" t="s">
        <v>874</v>
      </c>
      <c r="C408" s="45">
        <v>400574457</v>
      </c>
      <c r="D408" s="45" t="s">
        <v>875</v>
      </c>
      <c r="E408" s="45" t="s">
        <v>162</v>
      </c>
      <c r="F408" s="48">
        <v>1</v>
      </c>
      <c r="G408" s="100">
        <v>0</v>
      </c>
      <c r="H408" s="100">
        <v>0</v>
      </c>
      <c r="I408" s="100">
        <v>0</v>
      </c>
      <c r="J408" s="100">
        <v>0</v>
      </c>
      <c r="K408" s="100">
        <v>0</v>
      </c>
      <c r="L408" s="100">
        <v>0</v>
      </c>
      <c r="M408" s="100">
        <v>4</v>
      </c>
      <c r="N408" s="100">
        <v>0</v>
      </c>
      <c r="O408" s="100">
        <v>0</v>
      </c>
      <c r="P408" s="100">
        <v>0</v>
      </c>
      <c r="Q408" s="100">
        <v>0</v>
      </c>
      <c r="R408" s="100">
        <v>0</v>
      </c>
      <c r="S408" s="100">
        <v>0</v>
      </c>
      <c r="T408" s="100">
        <v>0</v>
      </c>
      <c r="U408" s="100">
        <v>0</v>
      </c>
      <c r="V408" s="100">
        <v>0</v>
      </c>
      <c r="W408" s="100">
        <v>0</v>
      </c>
      <c r="X408" s="45" t="s">
        <v>794</v>
      </c>
      <c r="Y408" s="49">
        <v>12.597</v>
      </c>
      <c r="Z408" s="45">
        <v>727</v>
      </c>
      <c r="AA408" s="45">
        <v>0</v>
      </c>
      <c r="AB408" s="45">
        <v>0</v>
      </c>
      <c r="AC408" s="45">
        <v>0</v>
      </c>
      <c r="AD408" s="45">
        <v>0</v>
      </c>
      <c r="AE408" s="45">
        <v>0</v>
      </c>
      <c r="AF408" s="45">
        <v>0</v>
      </c>
      <c r="AG408" s="45">
        <v>0</v>
      </c>
      <c r="AH408" s="45">
        <v>0</v>
      </c>
      <c r="AI408" s="45">
        <v>0</v>
      </c>
      <c r="AJ408" s="45">
        <v>0</v>
      </c>
      <c r="AK408" s="45">
        <v>0</v>
      </c>
      <c r="AL408" s="45">
        <v>0</v>
      </c>
      <c r="AM408" s="45">
        <v>0</v>
      </c>
      <c r="AN408" s="45">
        <v>0</v>
      </c>
      <c r="AO408" s="45"/>
      <c r="AP408" s="45"/>
      <c r="AQ408" s="45"/>
      <c r="AR408" s="45"/>
      <c r="AS408" s="45"/>
      <c r="AT408" s="45"/>
      <c r="AU408" s="45"/>
      <c r="AV408" s="45"/>
      <c r="AW408" s="45"/>
      <c r="AX408" s="45"/>
      <c r="AY408" s="45"/>
      <c r="AZ408" s="45"/>
      <c r="BA408" s="45"/>
      <c r="BB408" s="45"/>
      <c r="BC408" s="45"/>
      <c r="BD408" s="93"/>
      <c r="BE408" s="93"/>
      <c r="BF408" s="93"/>
      <c r="BG408" s="93"/>
      <c r="BH408" s="93"/>
      <c r="BI408" s="93"/>
      <c r="BJ408" s="93"/>
      <c r="BK408" s="93">
        <f>SUM($Z408:AD408)-SUM($CM408:CQ408)</f>
        <v>695</v>
      </c>
      <c r="BL408" s="93">
        <f>SUM($Z408:AE408)-SUM($CM408:CR408)</f>
        <v>663</v>
      </c>
      <c r="BM408" s="93">
        <f>SUM($Z408:AF408)-SUM($CM408:CS408)</f>
        <v>631</v>
      </c>
      <c r="BN408" s="93">
        <f>SUM($Z408:AG408)-SUM($CM408:CT408)</f>
        <v>599</v>
      </c>
      <c r="BO408" s="93">
        <f>SUM($Z408:AH408)-SUM($CM408:CU408)</f>
        <v>567</v>
      </c>
      <c r="BP408" s="93">
        <f>SUM($Z408:AI408)-SUM($CM408:CV408)</f>
        <v>535</v>
      </c>
      <c r="BQ408" s="93">
        <f>SUM($Z408:AJ408)-SUM($CM408:CW408)</f>
        <v>503</v>
      </c>
      <c r="BR408" s="93">
        <f>SUM($Z408:AK408)-SUM($CM408:CX408)</f>
        <v>471</v>
      </c>
      <c r="BS408" s="93">
        <f>SUM($Z408:AL408)-SUM($CM408:CY408)</f>
        <v>439</v>
      </c>
      <c r="BT408" s="93">
        <f>SUM($Z408:AM408)-SUM($CM408:CZ408)</f>
        <v>407</v>
      </c>
      <c r="BU408" s="93">
        <f>SUM($Z408:AN408)-SUM($CM408:DA408)</f>
        <v>375</v>
      </c>
      <c r="BV408" s="93">
        <f>SUM($Z408:AO408)-SUM($CM408:DB408)</f>
        <v>343</v>
      </c>
      <c r="BW408" s="93">
        <f>SUM($Z408:AP408)-SUM($CM408:DC408)</f>
        <v>287</v>
      </c>
      <c r="BX408" s="93">
        <f>SUM($Z408:AQ408)-SUM($CM408:DD408)</f>
        <v>287</v>
      </c>
      <c r="BY408" s="93">
        <f>SUM($Z408:AR408)-SUM($CM408:DE408)</f>
        <v>287</v>
      </c>
      <c r="BZ408" s="93">
        <f>SUM($Z408:AS408)-SUM($CM408:DF408)</f>
        <v>287</v>
      </c>
      <c r="CA408" s="93">
        <f>SUM($Z408:AT408)-SUM($CM408:DG408)</f>
        <v>287</v>
      </c>
      <c r="CB408" s="93">
        <f>SUM($Z408:AU408)-SUM($CM408:DH408)</f>
        <v>287</v>
      </c>
      <c r="CC408" s="93">
        <f>SUM($Z408:AV408)-SUM($CM408:DI408)</f>
        <v>287</v>
      </c>
      <c r="CD408" s="93">
        <f>SUM($Z408:AW408)-SUM($CM408:DJ408)</f>
        <v>287</v>
      </c>
      <c r="CE408" s="93">
        <f>SUM($Z408:AX408)-SUM($CM408:DK408)</f>
        <v>287</v>
      </c>
      <c r="CF408" s="93">
        <f>SUM($Z408:AY408)-SUM($CM408:DL408)</f>
        <v>287</v>
      </c>
      <c r="CG408" s="93">
        <f>SUM($Z408:AZ408)-SUM($CM408:DM408)</f>
        <v>287</v>
      </c>
      <c r="CH408" s="93">
        <f>SUM($Z408:BA408)-SUM($CM408:DN408)</f>
        <v>287</v>
      </c>
      <c r="CI408" s="93">
        <f>SUM($Z408:BB408)-SUM($CM408:DO408)</f>
        <v>287</v>
      </c>
      <c r="CJ408" s="93"/>
      <c r="CK408" s="93"/>
      <c r="CL408" s="93"/>
      <c r="CM408" s="93"/>
      <c r="CN408" s="93" cm="1">
        <f t="array" ref="CN408">SUMPRODUCT(TRANSPOSE(CN$4:CN$20),$G408:$W408)</f>
        <v>0</v>
      </c>
      <c r="CO408" s="93" cm="1">
        <f t="array" ref="CO408">SUMPRODUCT(TRANSPOSE(CO$4:CO$20),$G408:$W408)</f>
        <v>0</v>
      </c>
      <c r="CP408" s="93" cm="1">
        <f t="array" ref="CP408">SUMPRODUCT(TRANSPOSE(CP$4:CP$20),$G408:$W408)</f>
        <v>0</v>
      </c>
      <c r="CQ408" s="93" cm="1">
        <f t="array" ref="CQ408">SUMPRODUCT(TRANSPOSE(CQ$4:CQ$20),$G408:$W408)</f>
        <v>32</v>
      </c>
      <c r="CR408" s="93" cm="1">
        <f t="array" ref="CR408">SUMPRODUCT(TRANSPOSE(CR$4:CR$20),$G408:$W408)</f>
        <v>32</v>
      </c>
      <c r="CS408" s="93" cm="1">
        <f t="array" ref="CS408">SUMPRODUCT(TRANSPOSE(CS$4:CS$20),$G408:$W408)</f>
        <v>32</v>
      </c>
      <c r="CT408" s="93" cm="1">
        <f t="array" ref="CT408">SUMPRODUCT(TRANSPOSE(CT$4:CT$20),$G408:$W408)</f>
        <v>32</v>
      </c>
      <c r="CU408" s="93" cm="1">
        <f t="array" ref="CU408">SUMPRODUCT(TRANSPOSE(CU$4:CU$20),$G408:$W408)</f>
        <v>32</v>
      </c>
      <c r="CV408" s="93" cm="1">
        <f t="array" ref="CV408">SUMPRODUCT(TRANSPOSE(CV$4:CV$20),$G408:$W408)</f>
        <v>32</v>
      </c>
      <c r="CW408" s="93" cm="1">
        <f t="array" ref="CW408">SUMPRODUCT(TRANSPOSE(CW$4:CW$20),$G408:$W408)</f>
        <v>32</v>
      </c>
      <c r="CX408" s="93" cm="1">
        <f t="array" ref="CX408">SUMPRODUCT(TRANSPOSE(CX$4:CX$20),$G408:$W408)</f>
        <v>32</v>
      </c>
      <c r="CY408" s="93" cm="1">
        <f t="array" ref="CY408">SUMPRODUCT(TRANSPOSE(CY$4:CY$20),$G408:$W408)</f>
        <v>32</v>
      </c>
      <c r="CZ408" s="93" cm="1">
        <f t="array" ref="CZ408">SUMPRODUCT(TRANSPOSE(CZ$4:CZ$20),$G408:$W408)</f>
        <v>32</v>
      </c>
      <c r="DA408" s="93" cm="1">
        <f t="array" ref="DA408">SUMPRODUCT(TRANSPOSE(DA$4:DA$20),$G408:$W408)</f>
        <v>32</v>
      </c>
      <c r="DB408" s="93" cm="1">
        <f t="array" ref="DB408">SUMPRODUCT(TRANSPOSE(DB$4:DB$20),$G408:$W408)</f>
        <v>32</v>
      </c>
      <c r="DC408" s="93" cm="1">
        <f t="array" ref="DC408">SUMPRODUCT(TRANSPOSE(DC$4:DC$20),$G408:$W408)</f>
        <v>56</v>
      </c>
      <c r="DD408" s="93" cm="1">
        <f t="array" ref="DD408">SUMPRODUCT(TRANSPOSE(DD$4:DD$20),$G408:$W408)</f>
        <v>0</v>
      </c>
      <c r="DE408" s="93" cm="1">
        <f t="array" ref="DE408">SUMPRODUCT(TRANSPOSE(DE$4:DE$20),$G408:$W408)</f>
        <v>0</v>
      </c>
      <c r="DF408" s="93" cm="1">
        <f t="array" ref="DF408">SUMPRODUCT(TRANSPOSE(DF$4:DF$20),$G408:$W408)</f>
        <v>0</v>
      </c>
      <c r="DG408" s="93" cm="1">
        <f t="array" ref="DG408">SUMPRODUCT(TRANSPOSE(DG$4:DG$20),$G408:$W408)</f>
        <v>0</v>
      </c>
      <c r="DH408" s="93" cm="1">
        <f t="array" ref="DH408">SUMPRODUCT(TRANSPOSE(DH$4:DH$20),$G408:$W408)</f>
        <v>0</v>
      </c>
      <c r="DI408" s="93" cm="1">
        <f t="array" ref="DI408">SUMPRODUCT(TRANSPOSE(DI$4:DI$20),$G408:$W408)</f>
        <v>0</v>
      </c>
      <c r="DJ408" s="93" cm="1">
        <f t="array" ref="DJ408">SUMPRODUCT(TRANSPOSE(DJ$4:DJ$20),$G408:$W408)</f>
        <v>0</v>
      </c>
      <c r="DK408" s="93" cm="1">
        <f t="array" ref="DK408">SUMPRODUCT(TRANSPOSE(DK$4:DK$20),$G408:$W408)</f>
        <v>0</v>
      </c>
      <c r="DL408" s="93" cm="1">
        <f t="array" ref="DL408">SUMPRODUCT(TRANSPOSE(DL$4:DL$20),$G408:$W408)</f>
        <v>0</v>
      </c>
      <c r="DM408" s="93" cm="1">
        <f t="array" ref="DM408">SUMPRODUCT(TRANSPOSE(DM$4:DM$20),$G408:$W408)</f>
        <v>0</v>
      </c>
      <c r="DN408" s="93" cm="1">
        <f t="array" ref="DN408">SUMPRODUCT(TRANSPOSE(DN$4:DN$20),$G408:$W408)</f>
        <v>0</v>
      </c>
      <c r="DO408" s="93" cm="1">
        <f t="array" ref="DO408">SUMPRODUCT(TRANSPOSE(DO$4:DO$20),$G408:$W408)</f>
        <v>0</v>
      </c>
    </row>
    <row r="409" spans="1:119" ht="43.15" customHeight="1" x14ac:dyDescent="0.2">
      <c r="A409" s="75">
        <f t="shared" si="32"/>
        <v>388</v>
      </c>
      <c r="B409" s="64" t="s">
        <v>876</v>
      </c>
      <c r="C409" s="45">
        <v>400350238</v>
      </c>
      <c r="D409" s="45" t="s">
        <v>877</v>
      </c>
      <c r="E409" s="45" t="s">
        <v>162</v>
      </c>
      <c r="F409" s="48">
        <v>1</v>
      </c>
      <c r="G409" s="100">
        <v>0</v>
      </c>
      <c r="H409" s="100">
        <v>0</v>
      </c>
      <c r="I409" s="100">
        <v>0</v>
      </c>
      <c r="J409" s="100">
        <v>0</v>
      </c>
      <c r="K409" s="100">
        <v>0</v>
      </c>
      <c r="L409" s="100">
        <v>0</v>
      </c>
      <c r="M409" s="100">
        <v>4</v>
      </c>
      <c r="N409" s="100">
        <v>0</v>
      </c>
      <c r="O409" s="100">
        <v>0</v>
      </c>
      <c r="P409" s="100">
        <v>0</v>
      </c>
      <c r="Q409" s="100">
        <v>0</v>
      </c>
      <c r="R409" s="100">
        <v>0</v>
      </c>
      <c r="S409" s="100">
        <v>0</v>
      </c>
      <c r="T409" s="100">
        <v>0</v>
      </c>
      <c r="U409" s="100">
        <v>0</v>
      </c>
      <c r="V409" s="100">
        <v>0</v>
      </c>
      <c r="W409" s="100">
        <v>0</v>
      </c>
      <c r="X409" s="45" t="s">
        <v>878</v>
      </c>
      <c r="Y409" s="49">
        <v>30.75</v>
      </c>
      <c r="Z409" s="45">
        <v>568</v>
      </c>
      <c r="AA409" s="45">
        <v>0</v>
      </c>
      <c r="AB409" s="45">
        <v>0</v>
      </c>
      <c r="AC409" s="45">
        <v>0</v>
      </c>
      <c r="AD409" s="45">
        <v>0</v>
      </c>
      <c r="AE409" s="45">
        <v>0</v>
      </c>
      <c r="AF409" s="45">
        <v>0</v>
      </c>
      <c r="AG409" s="45">
        <v>0</v>
      </c>
      <c r="AH409" s="45">
        <v>0</v>
      </c>
      <c r="AI409" s="45">
        <v>0</v>
      </c>
      <c r="AJ409" s="45">
        <v>0</v>
      </c>
      <c r="AK409" s="45">
        <v>0</v>
      </c>
      <c r="AL409" s="45">
        <v>0</v>
      </c>
      <c r="AM409" s="45">
        <v>0</v>
      </c>
      <c r="AN409" s="45">
        <v>0</v>
      </c>
      <c r="AO409" s="45"/>
      <c r="AP409" s="45"/>
      <c r="AQ409" s="45"/>
      <c r="AR409" s="45"/>
      <c r="AS409" s="45"/>
      <c r="AT409" s="45"/>
      <c r="AU409" s="45"/>
      <c r="AV409" s="45"/>
      <c r="AW409" s="45"/>
      <c r="AX409" s="45"/>
      <c r="AY409" s="45"/>
      <c r="AZ409" s="45"/>
      <c r="BA409" s="45"/>
      <c r="BB409" s="45"/>
      <c r="BC409" s="45"/>
      <c r="BD409" s="93"/>
      <c r="BE409" s="93"/>
      <c r="BF409" s="93"/>
      <c r="BG409" s="93"/>
      <c r="BH409" s="93"/>
      <c r="BI409" s="93"/>
      <c r="BJ409" s="93"/>
      <c r="BK409" s="93">
        <f>SUM($Z409:AD409)-SUM($CM409:CQ409)</f>
        <v>536</v>
      </c>
      <c r="BL409" s="93">
        <f>SUM($Z409:AE409)-SUM($CM409:CR409)</f>
        <v>504</v>
      </c>
      <c r="BM409" s="93">
        <f>SUM($Z409:AF409)-SUM($CM409:CS409)</f>
        <v>472</v>
      </c>
      <c r="BN409" s="93">
        <f>SUM($Z409:AG409)-SUM($CM409:CT409)</f>
        <v>440</v>
      </c>
      <c r="BO409" s="93">
        <f>SUM($Z409:AH409)-SUM($CM409:CU409)</f>
        <v>408</v>
      </c>
      <c r="BP409" s="93">
        <f>SUM($Z409:AI409)-SUM($CM409:CV409)</f>
        <v>376</v>
      </c>
      <c r="BQ409" s="93">
        <f>SUM($Z409:AJ409)-SUM($CM409:CW409)</f>
        <v>344</v>
      </c>
      <c r="BR409" s="93">
        <f>SUM($Z409:AK409)-SUM($CM409:CX409)</f>
        <v>312</v>
      </c>
      <c r="BS409" s="93">
        <f>SUM($Z409:AL409)-SUM($CM409:CY409)</f>
        <v>280</v>
      </c>
      <c r="BT409" s="93">
        <f>SUM($Z409:AM409)-SUM($CM409:CZ409)</f>
        <v>248</v>
      </c>
      <c r="BU409" s="93">
        <f>SUM($Z409:AN409)-SUM($CM409:DA409)</f>
        <v>216</v>
      </c>
      <c r="BV409" s="93">
        <f>SUM($Z409:AO409)-SUM($CM409:DB409)</f>
        <v>184</v>
      </c>
      <c r="BW409" s="93">
        <f>SUM($Z409:AP409)-SUM($CM409:DC409)</f>
        <v>128</v>
      </c>
      <c r="BX409" s="93">
        <f>SUM($Z409:AQ409)-SUM($CM409:DD409)</f>
        <v>128</v>
      </c>
      <c r="BY409" s="93">
        <f>SUM($Z409:AR409)-SUM($CM409:DE409)</f>
        <v>128</v>
      </c>
      <c r="BZ409" s="93">
        <f>SUM($Z409:AS409)-SUM($CM409:DF409)</f>
        <v>128</v>
      </c>
      <c r="CA409" s="93">
        <f>SUM($Z409:AT409)-SUM($CM409:DG409)</f>
        <v>128</v>
      </c>
      <c r="CB409" s="93">
        <f>SUM($Z409:AU409)-SUM($CM409:DH409)</f>
        <v>128</v>
      </c>
      <c r="CC409" s="93">
        <f>SUM($Z409:AV409)-SUM($CM409:DI409)</f>
        <v>128</v>
      </c>
      <c r="CD409" s="93">
        <f>SUM($Z409:AW409)-SUM($CM409:DJ409)</f>
        <v>128</v>
      </c>
      <c r="CE409" s="93">
        <f>SUM($Z409:AX409)-SUM($CM409:DK409)</f>
        <v>128</v>
      </c>
      <c r="CF409" s="93">
        <f>SUM($Z409:AY409)-SUM($CM409:DL409)</f>
        <v>128</v>
      </c>
      <c r="CG409" s="93">
        <f>SUM($Z409:AZ409)-SUM($CM409:DM409)</f>
        <v>128</v>
      </c>
      <c r="CH409" s="93">
        <f>SUM($Z409:BA409)-SUM($CM409:DN409)</f>
        <v>128</v>
      </c>
      <c r="CI409" s="93">
        <f>SUM($Z409:BB409)-SUM($CM409:DO409)</f>
        <v>128</v>
      </c>
      <c r="CJ409" s="93"/>
      <c r="CK409" s="93"/>
      <c r="CL409" s="93"/>
      <c r="CM409" s="93"/>
      <c r="CN409" s="93" cm="1">
        <f t="array" ref="CN409">SUMPRODUCT(TRANSPOSE(CN$4:CN$20),$G409:$W409)</f>
        <v>0</v>
      </c>
      <c r="CO409" s="93" cm="1">
        <f t="array" ref="CO409">SUMPRODUCT(TRANSPOSE(CO$4:CO$20),$G409:$W409)</f>
        <v>0</v>
      </c>
      <c r="CP409" s="93" cm="1">
        <f t="array" ref="CP409">SUMPRODUCT(TRANSPOSE(CP$4:CP$20),$G409:$W409)</f>
        <v>0</v>
      </c>
      <c r="CQ409" s="93" cm="1">
        <f t="array" ref="CQ409">SUMPRODUCT(TRANSPOSE(CQ$4:CQ$20),$G409:$W409)</f>
        <v>32</v>
      </c>
      <c r="CR409" s="93" cm="1">
        <f t="array" ref="CR409">SUMPRODUCT(TRANSPOSE(CR$4:CR$20),$G409:$W409)</f>
        <v>32</v>
      </c>
      <c r="CS409" s="93" cm="1">
        <f t="array" ref="CS409">SUMPRODUCT(TRANSPOSE(CS$4:CS$20),$G409:$W409)</f>
        <v>32</v>
      </c>
      <c r="CT409" s="93" cm="1">
        <f t="array" ref="CT409">SUMPRODUCT(TRANSPOSE(CT$4:CT$20),$G409:$W409)</f>
        <v>32</v>
      </c>
      <c r="CU409" s="93" cm="1">
        <f t="array" ref="CU409">SUMPRODUCT(TRANSPOSE(CU$4:CU$20),$G409:$W409)</f>
        <v>32</v>
      </c>
      <c r="CV409" s="93" cm="1">
        <f t="array" ref="CV409">SUMPRODUCT(TRANSPOSE(CV$4:CV$20),$G409:$W409)</f>
        <v>32</v>
      </c>
      <c r="CW409" s="93" cm="1">
        <f t="array" ref="CW409">SUMPRODUCT(TRANSPOSE(CW$4:CW$20),$G409:$W409)</f>
        <v>32</v>
      </c>
      <c r="CX409" s="93" cm="1">
        <f t="array" ref="CX409">SUMPRODUCT(TRANSPOSE(CX$4:CX$20),$G409:$W409)</f>
        <v>32</v>
      </c>
      <c r="CY409" s="93" cm="1">
        <f t="array" ref="CY409">SUMPRODUCT(TRANSPOSE(CY$4:CY$20),$G409:$W409)</f>
        <v>32</v>
      </c>
      <c r="CZ409" s="93" cm="1">
        <f t="array" ref="CZ409">SUMPRODUCT(TRANSPOSE(CZ$4:CZ$20),$G409:$W409)</f>
        <v>32</v>
      </c>
      <c r="DA409" s="93" cm="1">
        <f t="array" ref="DA409">SUMPRODUCT(TRANSPOSE(DA$4:DA$20),$G409:$W409)</f>
        <v>32</v>
      </c>
      <c r="DB409" s="93" cm="1">
        <f t="array" ref="DB409">SUMPRODUCT(TRANSPOSE(DB$4:DB$20),$G409:$W409)</f>
        <v>32</v>
      </c>
      <c r="DC409" s="93" cm="1">
        <f t="array" ref="DC409">SUMPRODUCT(TRANSPOSE(DC$4:DC$20),$G409:$W409)</f>
        <v>56</v>
      </c>
      <c r="DD409" s="93" cm="1">
        <f t="array" ref="DD409">SUMPRODUCT(TRANSPOSE(DD$4:DD$20),$G409:$W409)</f>
        <v>0</v>
      </c>
      <c r="DE409" s="93" cm="1">
        <f t="array" ref="DE409">SUMPRODUCT(TRANSPOSE(DE$4:DE$20),$G409:$W409)</f>
        <v>0</v>
      </c>
      <c r="DF409" s="93" cm="1">
        <f t="array" ref="DF409">SUMPRODUCT(TRANSPOSE(DF$4:DF$20),$G409:$W409)</f>
        <v>0</v>
      </c>
      <c r="DG409" s="93" cm="1">
        <f t="array" ref="DG409">SUMPRODUCT(TRANSPOSE(DG$4:DG$20),$G409:$W409)</f>
        <v>0</v>
      </c>
      <c r="DH409" s="93" cm="1">
        <f t="array" ref="DH409">SUMPRODUCT(TRANSPOSE(DH$4:DH$20),$G409:$W409)</f>
        <v>0</v>
      </c>
      <c r="DI409" s="93" cm="1">
        <f t="array" ref="DI409">SUMPRODUCT(TRANSPOSE(DI$4:DI$20),$G409:$W409)</f>
        <v>0</v>
      </c>
      <c r="DJ409" s="93" cm="1">
        <f t="array" ref="DJ409">SUMPRODUCT(TRANSPOSE(DJ$4:DJ$20),$G409:$W409)</f>
        <v>0</v>
      </c>
      <c r="DK409" s="93" cm="1">
        <f t="array" ref="DK409">SUMPRODUCT(TRANSPOSE(DK$4:DK$20),$G409:$W409)</f>
        <v>0</v>
      </c>
      <c r="DL409" s="93" cm="1">
        <f t="array" ref="DL409">SUMPRODUCT(TRANSPOSE(DL$4:DL$20),$G409:$W409)</f>
        <v>0</v>
      </c>
      <c r="DM409" s="93" cm="1">
        <f t="array" ref="DM409">SUMPRODUCT(TRANSPOSE(DM$4:DM$20),$G409:$W409)</f>
        <v>0</v>
      </c>
      <c r="DN409" s="93" cm="1">
        <f t="array" ref="DN409">SUMPRODUCT(TRANSPOSE(DN$4:DN$20),$G409:$W409)</f>
        <v>0</v>
      </c>
      <c r="DO409" s="93" cm="1">
        <f t="array" ref="DO409">SUMPRODUCT(TRANSPOSE(DO$4:DO$20),$G409:$W409)</f>
        <v>0</v>
      </c>
    </row>
    <row r="410" spans="1:119" ht="36.75" customHeight="1" x14ac:dyDescent="0.2">
      <c r="A410" s="45">
        <f t="shared" si="32"/>
        <v>389</v>
      </c>
      <c r="B410" s="64" t="s">
        <v>879</v>
      </c>
      <c r="C410" s="45">
        <v>412241007</v>
      </c>
      <c r="D410" s="45" t="s">
        <v>880</v>
      </c>
      <c r="E410" s="45" t="s">
        <v>162</v>
      </c>
      <c r="F410" s="48">
        <v>2</v>
      </c>
      <c r="G410" s="100">
        <v>0</v>
      </c>
      <c r="H410" s="100">
        <v>0</v>
      </c>
      <c r="I410" s="100">
        <v>3</v>
      </c>
      <c r="J410" s="100">
        <v>0</v>
      </c>
      <c r="K410" s="100">
        <v>2</v>
      </c>
      <c r="L410" s="100">
        <v>0</v>
      </c>
      <c r="M410" s="100">
        <v>0</v>
      </c>
      <c r="N410" s="100">
        <v>0</v>
      </c>
      <c r="O410" s="100">
        <v>0</v>
      </c>
      <c r="P410" s="100">
        <v>0</v>
      </c>
      <c r="Q410" s="100">
        <v>0</v>
      </c>
      <c r="R410" s="100">
        <v>0</v>
      </c>
      <c r="S410" s="100">
        <v>0</v>
      </c>
      <c r="T410" s="100">
        <v>0</v>
      </c>
      <c r="U410" s="100">
        <v>0</v>
      </c>
      <c r="V410" s="100">
        <v>0</v>
      </c>
      <c r="W410" s="100">
        <v>0</v>
      </c>
      <c r="X410" s="45" t="s">
        <v>58</v>
      </c>
      <c r="Y410" s="49">
        <v>10.225600000000002</v>
      </c>
      <c r="Z410" s="45">
        <v>700</v>
      </c>
      <c r="AA410" s="45">
        <v>0</v>
      </c>
      <c r="AB410" s="45">
        <v>0</v>
      </c>
      <c r="AC410" s="45">
        <v>0</v>
      </c>
      <c r="AD410" s="45">
        <v>0</v>
      </c>
      <c r="AE410" s="45">
        <v>0</v>
      </c>
      <c r="AF410" s="45">
        <v>0</v>
      </c>
      <c r="AG410" s="45">
        <v>0</v>
      </c>
      <c r="AH410" s="45">
        <v>0</v>
      </c>
      <c r="AI410" s="45">
        <v>0</v>
      </c>
      <c r="AJ410" s="45">
        <v>0</v>
      </c>
      <c r="AK410" s="45">
        <v>0</v>
      </c>
      <c r="AL410" s="45">
        <v>0</v>
      </c>
      <c r="AM410" s="45">
        <v>0</v>
      </c>
      <c r="AN410" s="45">
        <v>0</v>
      </c>
      <c r="AO410" s="45"/>
      <c r="AP410" s="45"/>
      <c r="AQ410" s="45"/>
      <c r="AR410" s="45"/>
      <c r="AS410" s="45"/>
      <c r="AT410" s="45"/>
      <c r="AU410" s="45"/>
      <c r="AV410" s="45"/>
      <c r="AW410" s="45"/>
      <c r="AX410" s="45"/>
      <c r="AY410" s="45"/>
      <c r="AZ410" s="45"/>
      <c r="BA410" s="45"/>
      <c r="BB410" s="45"/>
      <c r="BC410" s="45"/>
      <c r="BD410" s="93"/>
      <c r="BE410" s="93"/>
      <c r="BF410" s="93"/>
      <c r="BG410" s="93"/>
      <c r="BH410" s="93"/>
      <c r="BI410" s="93"/>
      <c r="BJ410" s="93"/>
      <c r="BK410" s="93">
        <f>SUM($Z410:AD410)-SUM($CM410:CQ410)</f>
        <v>660</v>
      </c>
      <c r="BL410" s="93">
        <f>SUM($Z410:AE410)-SUM($CM410:CR410)</f>
        <v>620</v>
      </c>
      <c r="BM410" s="93">
        <f>SUM($Z410:AF410)-SUM($CM410:CS410)</f>
        <v>580</v>
      </c>
      <c r="BN410" s="93">
        <f>SUM($Z410:AG410)-SUM($CM410:CT410)</f>
        <v>540</v>
      </c>
      <c r="BO410" s="93">
        <f>SUM($Z410:AH410)-SUM($CM410:CU410)</f>
        <v>500</v>
      </c>
      <c r="BP410" s="93">
        <f>SUM($Z410:AI410)-SUM($CM410:CV410)</f>
        <v>460</v>
      </c>
      <c r="BQ410" s="93">
        <f>SUM($Z410:AJ410)-SUM($CM410:CW410)</f>
        <v>420</v>
      </c>
      <c r="BR410" s="93">
        <f>SUM($Z410:AK410)-SUM($CM410:CX410)</f>
        <v>380</v>
      </c>
      <c r="BS410" s="93">
        <f>SUM($Z410:AL410)-SUM($CM410:CY410)</f>
        <v>340</v>
      </c>
      <c r="BT410" s="93">
        <f>SUM($Z410:AM410)-SUM($CM410:CZ410)</f>
        <v>300</v>
      </c>
      <c r="BU410" s="93">
        <f>SUM($Z410:AN410)-SUM($CM410:DA410)</f>
        <v>260</v>
      </c>
      <c r="BV410" s="93">
        <f>SUM($Z410:AO410)-SUM($CM410:DB410)</f>
        <v>220</v>
      </c>
      <c r="BW410" s="93">
        <f>SUM($Z410:AP410)-SUM($CM410:DC410)</f>
        <v>190</v>
      </c>
      <c r="BX410" s="93">
        <f>SUM($Z410:AQ410)-SUM($CM410:DD410)</f>
        <v>190</v>
      </c>
      <c r="BY410" s="93">
        <f>SUM($Z410:AR410)-SUM($CM410:DE410)</f>
        <v>190</v>
      </c>
      <c r="BZ410" s="93">
        <f>SUM($Z410:AS410)-SUM($CM410:DF410)</f>
        <v>190</v>
      </c>
      <c r="CA410" s="93">
        <f>SUM($Z410:AT410)-SUM($CM410:DG410)</f>
        <v>190</v>
      </c>
      <c r="CB410" s="93">
        <f>SUM($Z410:AU410)-SUM($CM410:DH410)</f>
        <v>190</v>
      </c>
      <c r="CC410" s="93">
        <f>SUM($Z410:AV410)-SUM($CM410:DI410)</f>
        <v>190</v>
      </c>
      <c r="CD410" s="93">
        <f>SUM($Z410:AW410)-SUM($CM410:DJ410)</f>
        <v>190</v>
      </c>
      <c r="CE410" s="93">
        <f>SUM($Z410:AX410)-SUM($CM410:DK410)</f>
        <v>190</v>
      </c>
      <c r="CF410" s="93">
        <f>SUM($Z410:AY410)-SUM($CM410:DL410)</f>
        <v>190</v>
      </c>
      <c r="CG410" s="93">
        <f>SUM($Z410:AZ410)-SUM($CM410:DM410)</f>
        <v>190</v>
      </c>
      <c r="CH410" s="93">
        <f>SUM($Z410:BA410)-SUM($CM410:DN410)</f>
        <v>190</v>
      </c>
      <c r="CI410" s="93">
        <f>SUM($Z410:BB410)-SUM($CM410:DO410)</f>
        <v>190</v>
      </c>
      <c r="CJ410" s="93"/>
      <c r="CK410" s="93"/>
      <c r="CL410" s="93"/>
      <c r="CM410" s="93"/>
      <c r="CN410" s="93" cm="1">
        <f t="array" ref="CN410">SUMPRODUCT(TRANSPOSE(CN$4:CN$20),$G410:$W410)</f>
        <v>0</v>
      </c>
      <c r="CO410" s="93" cm="1">
        <f t="array" ref="CO410">SUMPRODUCT(TRANSPOSE(CO$4:CO$20),$G410:$W410)</f>
        <v>0</v>
      </c>
      <c r="CP410" s="93" cm="1">
        <f t="array" ref="CP410">SUMPRODUCT(TRANSPOSE(CP$4:CP$20),$G410:$W410)</f>
        <v>0</v>
      </c>
      <c r="CQ410" s="93" cm="1">
        <f t="array" ref="CQ410">SUMPRODUCT(TRANSPOSE(CQ$4:CQ$20),$G410:$W410)</f>
        <v>40</v>
      </c>
      <c r="CR410" s="93" cm="1">
        <f t="array" ref="CR410">SUMPRODUCT(TRANSPOSE(CR$4:CR$20),$G410:$W410)</f>
        <v>40</v>
      </c>
      <c r="CS410" s="93" cm="1">
        <f t="array" ref="CS410">SUMPRODUCT(TRANSPOSE(CS$4:CS$20),$G410:$W410)</f>
        <v>40</v>
      </c>
      <c r="CT410" s="93" cm="1">
        <f t="array" ref="CT410">SUMPRODUCT(TRANSPOSE(CT$4:CT$20),$G410:$W410)</f>
        <v>40</v>
      </c>
      <c r="CU410" s="93" cm="1">
        <f t="array" ref="CU410">SUMPRODUCT(TRANSPOSE(CU$4:CU$20),$G410:$W410)</f>
        <v>40</v>
      </c>
      <c r="CV410" s="93" cm="1">
        <f t="array" ref="CV410">SUMPRODUCT(TRANSPOSE(CV$4:CV$20),$G410:$W410)</f>
        <v>40</v>
      </c>
      <c r="CW410" s="93" cm="1">
        <f t="array" ref="CW410">SUMPRODUCT(TRANSPOSE(CW$4:CW$20),$G410:$W410)</f>
        <v>40</v>
      </c>
      <c r="CX410" s="93" cm="1">
        <f t="array" ref="CX410">SUMPRODUCT(TRANSPOSE(CX$4:CX$20),$G410:$W410)</f>
        <v>40</v>
      </c>
      <c r="CY410" s="93" cm="1">
        <f t="array" ref="CY410">SUMPRODUCT(TRANSPOSE(CY$4:CY$20),$G410:$W410)</f>
        <v>40</v>
      </c>
      <c r="CZ410" s="93" cm="1">
        <f t="array" ref="CZ410">SUMPRODUCT(TRANSPOSE(CZ$4:CZ$20),$G410:$W410)</f>
        <v>40</v>
      </c>
      <c r="DA410" s="93" cm="1">
        <f t="array" ref="DA410">SUMPRODUCT(TRANSPOSE(DA$4:DA$20),$G410:$W410)</f>
        <v>40</v>
      </c>
      <c r="DB410" s="93" cm="1">
        <f t="array" ref="DB410">SUMPRODUCT(TRANSPOSE(DB$4:DB$20),$G410:$W410)</f>
        <v>40</v>
      </c>
      <c r="DC410" s="93" cm="1">
        <f t="array" ref="DC410">SUMPRODUCT(TRANSPOSE(DC$4:DC$20),$G410:$W410)</f>
        <v>30</v>
      </c>
      <c r="DD410" s="93" cm="1">
        <f t="array" ref="DD410">SUMPRODUCT(TRANSPOSE(DD$4:DD$20),$G410:$W410)</f>
        <v>0</v>
      </c>
      <c r="DE410" s="93" cm="1">
        <f t="array" ref="DE410">SUMPRODUCT(TRANSPOSE(DE$4:DE$20),$G410:$W410)</f>
        <v>0</v>
      </c>
      <c r="DF410" s="93" cm="1">
        <f t="array" ref="DF410">SUMPRODUCT(TRANSPOSE(DF$4:DF$20),$G410:$W410)</f>
        <v>0</v>
      </c>
      <c r="DG410" s="93" cm="1">
        <f t="array" ref="DG410">SUMPRODUCT(TRANSPOSE(DG$4:DG$20),$G410:$W410)</f>
        <v>0</v>
      </c>
      <c r="DH410" s="93" cm="1">
        <f t="array" ref="DH410">SUMPRODUCT(TRANSPOSE(DH$4:DH$20),$G410:$W410)</f>
        <v>0</v>
      </c>
      <c r="DI410" s="93" cm="1">
        <f t="array" ref="DI410">SUMPRODUCT(TRANSPOSE(DI$4:DI$20),$G410:$W410)</f>
        <v>0</v>
      </c>
      <c r="DJ410" s="93" cm="1">
        <f t="array" ref="DJ410">SUMPRODUCT(TRANSPOSE(DJ$4:DJ$20),$G410:$W410)</f>
        <v>0</v>
      </c>
      <c r="DK410" s="93" cm="1">
        <f t="array" ref="DK410">SUMPRODUCT(TRANSPOSE(DK$4:DK$20),$G410:$W410)</f>
        <v>0</v>
      </c>
      <c r="DL410" s="93" cm="1">
        <f t="array" ref="DL410">SUMPRODUCT(TRANSPOSE(DL$4:DL$20),$G410:$W410)</f>
        <v>0</v>
      </c>
      <c r="DM410" s="93" cm="1">
        <f t="array" ref="DM410">SUMPRODUCT(TRANSPOSE(DM$4:DM$20),$G410:$W410)</f>
        <v>0</v>
      </c>
      <c r="DN410" s="93" cm="1">
        <f t="array" ref="DN410">SUMPRODUCT(TRANSPOSE(DN$4:DN$20),$G410:$W410)</f>
        <v>0</v>
      </c>
      <c r="DO410" s="93" cm="1">
        <f t="array" ref="DO410">SUMPRODUCT(TRANSPOSE(DO$4:DO$20),$G410:$W410)</f>
        <v>0</v>
      </c>
    </row>
    <row r="411" spans="1:119" x14ac:dyDescent="0.2">
      <c r="A411" s="45">
        <f t="shared" si="32"/>
        <v>390</v>
      </c>
      <c r="B411" s="64" t="s">
        <v>881</v>
      </c>
      <c r="C411" s="45" t="s">
        <v>882</v>
      </c>
      <c r="D411" s="45" t="s">
        <v>883</v>
      </c>
      <c r="E411" s="45" t="s">
        <v>162</v>
      </c>
      <c r="F411" s="48">
        <v>2</v>
      </c>
      <c r="G411" s="100">
        <v>1</v>
      </c>
      <c r="H411" s="100">
        <v>0</v>
      </c>
      <c r="I411" s="100">
        <v>0</v>
      </c>
      <c r="J411" s="100">
        <v>0</v>
      </c>
      <c r="K411" s="100">
        <v>0</v>
      </c>
      <c r="L411" s="100">
        <v>0</v>
      </c>
      <c r="M411" s="100">
        <v>0</v>
      </c>
      <c r="N411" s="100">
        <v>0</v>
      </c>
      <c r="O411" s="100">
        <v>0</v>
      </c>
      <c r="P411" s="100">
        <v>0</v>
      </c>
      <c r="Q411" s="100">
        <v>0</v>
      </c>
      <c r="R411" s="100">
        <v>0</v>
      </c>
      <c r="S411" s="100">
        <v>0</v>
      </c>
      <c r="T411" s="100">
        <v>0</v>
      </c>
      <c r="U411" s="100">
        <v>0</v>
      </c>
      <c r="V411" s="100">
        <v>0</v>
      </c>
      <c r="W411" s="100">
        <v>0</v>
      </c>
      <c r="X411" s="45" t="s">
        <v>884</v>
      </c>
      <c r="Y411" s="49">
        <v>36.738460000000003</v>
      </c>
      <c r="Z411" s="45">
        <v>130</v>
      </c>
      <c r="AA411" s="45">
        <v>0</v>
      </c>
      <c r="AB411" s="45">
        <v>0</v>
      </c>
      <c r="AC411" s="45">
        <v>0</v>
      </c>
      <c r="AD411" s="45">
        <v>0</v>
      </c>
      <c r="AE411" s="45">
        <v>0</v>
      </c>
      <c r="AF411" s="45">
        <v>0</v>
      </c>
      <c r="AG411" s="45">
        <v>0</v>
      </c>
      <c r="AH411" s="45">
        <v>0</v>
      </c>
      <c r="AI411" s="45">
        <v>0</v>
      </c>
      <c r="AJ411" s="45">
        <v>0</v>
      </c>
      <c r="AK411" s="45">
        <v>0</v>
      </c>
      <c r="AL411" s="45">
        <v>0</v>
      </c>
      <c r="AM411" s="45">
        <v>0</v>
      </c>
      <c r="AN411" s="45">
        <v>0</v>
      </c>
      <c r="AO411" s="45"/>
      <c r="AP411" s="45"/>
      <c r="AQ411" s="45"/>
      <c r="AR411" s="45"/>
      <c r="AS411" s="45"/>
      <c r="AT411" s="45"/>
      <c r="AU411" s="45"/>
      <c r="AV411" s="45"/>
      <c r="AW411" s="45"/>
      <c r="AX411" s="45"/>
      <c r="AY411" s="45"/>
      <c r="AZ411" s="45"/>
      <c r="BA411" s="45"/>
      <c r="BB411" s="45"/>
      <c r="BC411" s="45"/>
      <c r="BD411" s="93"/>
      <c r="BE411" s="93"/>
      <c r="BF411" s="93"/>
      <c r="BG411" s="93"/>
      <c r="BH411" s="93"/>
      <c r="BI411" s="93"/>
      <c r="BJ411" s="93"/>
      <c r="BK411" s="93">
        <f>SUM($Z411:AD411)-SUM($CM411:CQ411)</f>
        <v>122</v>
      </c>
      <c r="BL411" s="93">
        <f>SUM($Z411:AE411)-SUM($CM411:CR411)</f>
        <v>114</v>
      </c>
      <c r="BM411" s="93">
        <f>SUM($Z411:AF411)-SUM($CM411:CS411)</f>
        <v>106</v>
      </c>
      <c r="BN411" s="93">
        <f>SUM($Z411:AG411)-SUM($CM411:CT411)</f>
        <v>98</v>
      </c>
      <c r="BO411" s="93">
        <f>SUM($Z411:AH411)-SUM($CM411:CU411)</f>
        <v>90</v>
      </c>
      <c r="BP411" s="93">
        <f>SUM($Z411:AI411)-SUM($CM411:CV411)</f>
        <v>82</v>
      </c>
      <c r="BQ411" s="93">
        <f>SUM($Z411:AJ411)-SUM($CM411:CW411)</f>
        <v>74</v>
      </c>
      <c r="BR411" s="93">
        <f>SUM($Z411:AK411)-SUM($CM411:CX411)</f>
        <v>66</v>
      </c>
      <c r="BS411" s="93">
        <f>SUM($Z411:AL411)-SUM($CM411:CY411)</f>
        <v>58</v>
      </c>
      <c r="BT411" s="93">
        <f>SUM($Z411:AM411)-SUM($CM411:CZ411)</f>
        <v>50</v>
      </c>
      <c r="BU411" s="93">
        <f>SUM($Z411:AN411)-SUM($CM411:DA411)</f>
        <v>42</v>
      </c>
      <c r="BV411" s="93">
        <f>SUM($Z411:AO411)-SUM($CM411:DB411)</f>
        <v>34</v>
      </c>
      <c r="BW411" s="93">
        <f>SUM($Z411:AP411)-SUM($CM411:DC411)</f>
        <v>28</v>
      </c>
      <c r="BX411" s="93">
        <f>SUM($Z411:AQ411)-SUM($CM411:DD411)</f>
        <v>28</v>
      </c>
      <c r="BY411" s="93">
        <f>SUM($Z411:AR411)-SUM($CM411:DE411)</f>
        <v>28</v>
      </c>
      <c r="BZ411" s="93">
        <f>SUM($Z411:AS411)-SUM($CM411:DF411)</f>
        <v>28</v>
      </c>
      <c r="CA411" s="93">
        <f>SUM($Z411:AT411)-SUM($CM411:DG411)</f>
        <v>28</v>
      </c>
      <c r="CB411" s="93">
        <f>SUM($Z411:AU411)-SUM($CM411:DH411)</f>
        <v>28</v>
      </c>
      <c r="CC411" s="93">
        <f>SUM($Z411:AV411)-SUM($CM411:DI411)</f>
        <v>28</v>
      </c>
      <c r="CD411" s="93">
        <f>SUM($Z411:AW411)-SUM($CM411:DJ411)</f>
        <v>28</v>
      </c>
      <c r="CE411" s="93">
        <f>SUM($Z411:AX411)-SUM($CM411:DK411)</f>
        <v>28</v>
      </c>
      <c r="CF411" s="93">
        <f>SUM($Z411:AY411)-SUM($CM411:DL411)</f>
        <v>28</v>
      </c>
      <c r="CG411" s="93">
        <f>SUM($Z411:AZ411)-SUM($CM411:DM411)</f>
        <v>28</v>
      </c>
      <c r="CH411" s="93">
        <f>SUM($Z411:BA411)-SUM($CM411:DN411)</f>
        <v>28</v>
      </c>
      <c r="CI411" s="93">
        <f>SUM($Z411:BB411)-SUM($CM411:DO411)</f>
        <v>28</v>
      </c>
      <c r="CJ411" s="93"/>
      <c r="CK411" s="93"/>
      <c r="CL411" s="93"/>
      <c r="CM411" s="93"/>
      <c r="CN411" s="93" cm="1">
        <f t="array" ref="CN411">SUMPRODUCT(TRANSPOSE(CN$4:CN$20),$G411:$W411)</f>
        <v>0</v>
      </c>
      <c r="CO411" s="93" cm="1">
        <f t="array" ref="CO411">SUMPRODUCT(TRANSPOSE(CO$4:CO$20),$G411:$W411)</f>
        <v>0</v>
      </c>
      <c r="CP411" s="93" cm="1">
        <f t="array" ref="CP411">SUMPRODUCT(TRANSPOSE(CP$4:CP$20),$G411:$W411)</f>
        <v>0</v>
      </c>
      <c r="CQ411" s="93" cm="1">
        <f t="array" ref="CQ411">SUMPRODUCT(TRANSPOSE(CQ$4:CQ$20),$G411:$W411)</f>
        <v>8</v>
      </c>
      <c r="CR411" s="93" cm="1">
        <f t="array" ref="CR411">SUMPRODUCT(TRANSPOSE(CR$4:CR$20),$G411:$W411)</f>
        <v>8</v>
      </c>
      <c r="CS411" s="93" cm="1">
        <f t="array" ref="CS411">SUMPRODUCT(TRANSPOSE(CS$4:CS$20),$G411:$W411)</f>
        <v>8</v>
      </c>
      <c r="CT411" s="93" cm="1">
        <f t="array" ref="CT411">SUMPRODUCT(TRANSPOSE(CT$4:CT$20),$G411:$W411)</f>
        <v>8</v>
      </c>
      <c r="CU411" s="93" cm="1">
        <f t="array" ref="CU411">SUMPRODUCT(TRANSPOSE(CU$4:CU$20),$G411:$W411)</f>
        <v>8</v>
      </c>
      <c r="CV411" s="93" cm="1">
        <f t="array" ref="CV411">SUMPRODUCT(TRANSPOSE(CV$4:CV$20),$G411:$W411)</f>
        <v>8</v>
      </c>
      <c r="CW411" s="93" cm="1">
        <f t="array" ref="CW411">SUMPRODUCT(TRANSPOSE(CW$4:CW$20),$G411:$W411)</f>
        <v>8</v>
      </c>
      <c r="CX411" s="93" cm="1">
        <f t="array" ref="CX411">SUMPRODUCT(TRANSPOSE(CX$4:CX$20),$G411:$W411)</f>
        <v>8</v>
      </c>
      <c r="CY411" s="93" cm="1">
        <f t="array" ref="CY411">SUMPRODUCT(TRANSPOSE(CY$4:CY$20),$G411:$W411)</f>
        <v>8</v>
      </c>
      <c r="CZ411" s="93" cm="1">
        <f t="array" ref="CZ411">SUMPRODUCT(TRANSPOSE(CZ$4:CZ$20),$G411:$W411)</f>
        <v>8</v>
      </c>
      <c r="DA411" s="93" cm="1">
        <f t="array" ref="DA411">SUMPRODUCT(TRANSPOSE(DA$4:DA$20),$G411:$W411)</f>
        <v>8</v>
      </c>
      <c r="DB411" s="93" cm="1">
        <f t="array" ref="DB411">SUMPRODUCT(TRANSPOSE(DB$4:DB$20),$G411:$W411)</f>
        <v>8</v>
      </c>
      <c r="DC411" s="93" cm="1">
        <f t="array" ref="DC411">SUMPRODUCT(TRANSPOSE(DC$4:DC$20),$G411:$W411)</f>
        <v>6</v>
      </c>
      <c r="DD411" s="93" cm="1">
        <f t="array" ref="DD411">SUMPRODUCT(TRANSPOSE(DD$4:DD$20),$G411:$W411)</f>
        <v>0</v>
      </c>
      <c r="DE411" s="93" cm="1">
        <f t="array" ref="DE411">SUMPRODUCT(TRANSPOSE(DE$4:DE$20),$G411:$W411)</f>
        <v>0</v>
      </c>
      <c r="DF411" s="93" cm="1">
        <f t="array" ref="DF411">SUMPRODUCT(TRANSPOSE(DF$4:DF$20),$G411:$W411)</f>
        <v>0</v>
      </c>
      <c r="DG411" s="93" cm="1">
        <f t="array" ref="DG411">SUMPRODUCT(TRANSPOSE(DG$4:DG$20),$G411:$W411)</f>
        <v>0</v>
      </c>
      <c r="DH411" s="93" cm="1">
        <f t="array" ref="DH411">SUMPRODUCT(TRANSPOSE(DH$4:DH$20),$G411:$W411)</f>
        <v>0</v>
      </c>
      <c r="DI411" s="93" cm="1">
        <f t="array" ref="DI411">SUMPRODUCT(TRANSPOSE(DI$4:DI$20),$G411:$W411)</f>
        <v>0</v>
      </c>
      <c r="DJ411" s="93" cm="1">
        <f t="array" ref="DJ411">SUMPRODUCT(TRANSPOSE(DJ$4:DJ$20),$G411:$W411)</f>
        <v>0</v>
      </c>
      <c r="DK411" s="93" cm="1">
        <f t="array" ref="DK411">SUMPRODUCT(TRANSPOSE(DK$4:DK$20),$G411:$W411)</f>
        <v>0</v>
      </c>
      <c r="DL411" s="93" cm="1">
        <f t="array" ref="DL411">SUMPRODUCT(TRANSPOSE(DL$4:DL$20),$G411:$W411)</f>
        <v>0</v>
      </c>
      <c r="DM411" s="93" cm="1">
        <f t="array" ref="DM411">SUMPRODUCT(TRANSPOSE(DM$4:DM$20),$G411:$W411)</f>
        <v>0</v>
      </c>
      <c r="DN411" s="93" cm="1">
        <f t="array" ref="DN411">SUMPRODUCT(TRANSPOSE(DN$4:DN$20),$G411:$W411)</f>
        <v>0</v>
      </c>
      <c r="DO411" s="93" cm="1">
        <f t="array" ref="DO411">SUMPRODUCT(TRANSPOSE(DO$4:DO$20),$G411:$W411)</f>
        <v>0</v>
      </c>
    </row>
    <row r="412" spans="1:119" x14ac:dyDescent="0.2">
      <c r="A412" s="50">
        <f t="shared" si="32"/>
        <v>391</v>
      </c>
      <c r="B412" s="73" t="s">
        <v>885</v>
      </c>
      <c r="C412" s="45" t="s">
        <v>886</v>
      </c>
      <c r="D412" s="45" t="s">
        <v>887</v>
      </c>
      <c r="E412" s="45" t="s">
        <v>162</v>
      </c>
      <c r="F412" s="48">
        <v>1</v>
      </c>
      <c r="G412" s="100">
        <v>1</v>
      </c>
      <c r="H412" s="100">
        <v>0</v>
      </c>
      <c r="I412" s="100">
        <v>0</v>
      </c>
      <c r="J412" s="100">
        <v>0</v>
      </c>
      <c r="K412" s="100">
        <v>0</v>
      </c>
      <c r="L412" s="100">
        <v>0</v>
      </c>
      <c r="M412" s="100">
        <v>0</v>
      </c>
      <c r="N412" s="100">
        <v>0</v>
      </c>
      <c r="O412" s="100">
        <v>0</v>
      </c>
      <c r="P412" s="100">
        <v>0</v>
      </c>
      <c r="Q412" s="100">
        <v>0</v>
      </c>
      <c r="R412" s="100">
        <v>0</v>
      </c>
      <c r="S412" s="100">
        <v>0</v>
      </c>
      <c r="T412" s="100">
        <v>0</v>
      </c>
      <c r="U412" s="100">
        <v>0</v>
      </c>
      <c r="V412" s="100">
        <v>0</v>
      </c>
      <c r="W412" s="100">
        <v>0</v>
      </c>
      <c r="X412" s="45" t="s">
        <v>888</v>
      </c>
      <c r="Y412" s="49">
        <v>112.6</v>
      </c>
      <c r="Z412" s="45">
        <v>134</v>
      </c>
      <c r="AA412" s="45">
        <v>0</v>
      </c>
      <c r="AB412" s="45">
        <v>0</v>
      </c>
      <c r="AC412" s="45">
        <v>0</v>
      </c>
      <c r="AD412" s="45">
        <v>0</v>
      </c>
      <c r="AE412" s="45">
        <v>0</v>
      </c>
      <c r="AF412" s="45">
        <v>0</v>
      </c>
      <c r="AG412" s="45">
        <v>0</v>
      </c>
      <c r="AH412" s="45">
        <v>0</v>
      </c>
      <c r="AI412" s="45">
        <v>0</v>
      </c>
      <c r="AJ412" s="45">
        <v>0</v>
      </c>
      <c r="AK412" s="45">
        <v>0</v>
      </c>
      <c r="AL412" s="45">
        <v>0</v>
      </c>
      <c r="AM412" s="45">
        <v>0</v>
      </c>
      <c r="AN412" s="45">
        <v>0</v>
      </c>
      <c r="AO412" s="45"/>
      <c r="AP412" s="45"/>
      <c r="AQ412" s="45"/>
      <c r="AR412" s="45"/>
      <c r="AS412" s="45"/>
      <c r="AT412" s="45"/>
      <c r="AU412" s="45"/>
      <c r="AV412" s="45"/>
      <c r="AW412" s="45"/>
      <c r="AX412" s="45"/>
      <c r="AY412" s="45"/>
      <c r="AZ412" s="45"/>
      <c r="BA412" s="45"/>
      <c r="BB412" s="45"/>
      <c r="BC412" s="45"/>
      <c r="BD412" s="93"/>
      <c r="BE412" s="93"/>
      <c r="BF412" s="93"/>
      <c r="BG412" s="93"/>
      <c r="BH412" s="93"/>
      <c r="BI412" s="93"/>
      <c r="BJ412" s="93"/>
      <c r="BK412" s="93">
        <f>SUM($Z412:AD412)-SUM($CM412:CQ412)</f>
        <v>126</v>
      </c>
      <c r="BL412" s="93">
        <f>SUM($Z412:AE412)-SUM($CM412:CR412)</f>
        <v>118</v>
      </c>
      <c r="BM412" s="93">
        <f>SUM($Z412:AF412)-SUM($CM412:CS412)</f>
        <v>110</v>
      </c>
      <c r="BN412" s="93">
        <f>SUM($Z412:AG412)-SUM($CM412:CT412)</f>
        <v>102</v>
      </c>
      <c r="BO412" s="93">
        <f>SUM($Z412:AH412)-SUM($CM412:CU412)</f>
        <v>94</v>
      </c>
      <c r="BP412" s="93">
        <f>SUM($Z412:AI412)-SUM($CM412:CV412)</f>
        <v>86</v>
      </c>
      <c r="BQ412" s="93">
        <f>SUM($Z412:AJ412)-SUM($CM412:CW412)</f>
        <v>78</v>
      </c>
      <c r="BR412" s="93">
        <f>SUM($Z412:AK412)-SUM($CM412:CX412)</f>
        <v>70</v>
      </c>
      <c r="BS412" s="93">
        <f>SUM($Z412:AL412)-SUM($CM412:CY412)</f>
        <v>62</v>
      </c>
      <c r="BT412" s="93">
        <f>SUM($Z412:AM412)-SUM($CM412:CZ412)</f>
        <v>54</v>
      </c>
      <c r="BU412" s="93">
        <f>SUM($Z412:AN412)-SUM($CM412:DA412)</f>
        <v>46</v>
      </c>
      <c r="BV412" s="93">
        <f>SUM($Z412:AO412)-SUM($CM412:DB412)</f>
        <v>38</v>
      </c>
      <c r="BW412" s="93">
        <f>SUM($Z412:AP412)-SUM($CM412:DC412)</f>
        <v>32</v>
      </c>
      <c r="BX412" s="93">
        <f>SUM($Z412:AQ412)-SUM($CM412:DD412)</f>
        <v>32</v>
      </c>
      <c r="BY412" s="93">
        <f>SUM($Z412:AR412)-SUM($CM412:DE412)</f>
        <v>32</v>
      </c>
      <c r="BZ412" s="93">
        <f>SUM($Z412:AS412)-SUM($CM412:DF412)</f>
        <v>32</v>
      </c>
      <c r="CA412" s="93">
        <f>SUM($Z412:AT412)-SUM($CM412:DG412)</f>
        <v>32</v>
      </c>
      <c r="CB412" s="93">
        <f>SUM($Z412:AU412)-SUM($CM412:DH412)</f>
        <v>32</v>
      </c>
      <c r="CC412" s="93">
        <f>SUM($Z412:AV412)-SUM($CM412:DI412)</f>
        <v>32</v>
      </c>
      <c r="CD412" s="93">
        <f>SUM($Z412:AW412)-SUM($CM412:DJ412)</f>
        <v>32</v>
      </c>
      <c r="CE412" s="93">
        <f>SUM($Z412:AX412)-SUM($CM412:DK412)</f>
        <v>32</v>
      </c>
      <c r="CF412" s="93">
        <f>SUM($Z412:AY412)-SUM($CM412:DL412)</f>
        <v>32</v>
      </c>
      <c r="CG412" s="93">
        <f>SUM($Z412:AZ412)-SUM($CM412:DM412)</f>
        <v>32</v>
      </c>
      <c r="CH412" s="93">
        <f>SUM($Z412:BA412)-SUM($CM412:DN412)</f>
        <v>32</v>
      </c>
      <c r="CI412" s="93">
        <f>SUM($Z412:BB412)-SUM($CM412:DO412)</f>
        <v>32</v>
      </c>
      <c r="CJ412" s="93"/>
      <c r="CK412" s="93"/>
      <c r="CL412" s="93"/>
      <c r="CM412" s="93"/>
      <c r="CN412" s="93" cm="1">
        <f t="array" ref="CN412">SUMPRODUCT(TRANSPOSE(CN$4:CN$20),$G412:$W412)</f>
        <v>0</v>
      </c>
      <c r="CO412" s="93" cm="1">
        <f t="array" ref="CO412">SUMPRODUCT(TRANSPOSE(CO$4:CO$20),$G412:$W412)</f>
        <v>0</v>
      </c>
      <c r="CP412" s="93" cm="1">
        <f t="array" ref="CP412">SUMPRODUCT(TRANSPOSE(CP$4:CP$20),$G412:$W412)</f>
        <v>0</v>
      </c>
      <c r="CQ412" s="93" cm="1">
        <f t="array" ref="CQ412">SUMPRODUCT(TRANSPOSE(CQ$4:CQ$20),$G412:$W412)</f>
        <v>8</v>
      </c>
      <c r="CR412" s="93" cm="1">
        <f t="array" ref="CR412">SUMPRODUCT(TRANSPOSE(CR$4:CR$20),$G412:$W412)</f>
        <v>8</v>
      </c>
      <c r="CS412" s="93" cm="1">
        <f t="array" ref="CS412">SUMPRODUCT(TRANSPOSE(CS$4:CS$20),$G412:$W412)</f>
        <v>8</v>
      </c>
      <c r="CT412" s="93" cm="1">
        <f t="array" ref="CT412">SUMPRODUCT(TRANSPOSE(CT$4:CT$20),$G412:$W412)</f>
        <v>8</v>
      </c>
      <c r="CU412" s="93" cm="1">
        <f t="array" ref="CU412">SUMPRODUCT(TRANSPOSE(CU$4:CU$20),$G412:$W412)</f>
        <v>8</v>
      </c>
      <c r="CV412" s="93" cm="1">
        <f t="array" ref="CV412">SUMPRODUCT(TRANSPOSE(CV$4:CV$20),$G412:$W412)</f>
        <v>8</v>
      </c>
      <c r="CW412" s="93" cm="1">
        <f t="array" ref="CW412">SUMPRODUCT(TRANSPOSE(CW$4:CW$20),$G412:$W412)</f>
        <v>8</v>
      </c>
      <c r="CX412" s="93" cm="1">
        <f t="array" ref="CX412">SUMPRODUCT(TRANSPOSE(CX$4:CX$20),$G412:$W412)</f>
        <v>8</v>
      </c>
      <c r="CY412" s="93" cm="1">
        <f t="array" ref="CY412">SUMPRODUCT(TRANSPOSE(CY$4:CY$20),$G412:$W412)</f>
        <v>8</v>
      </c>
      <c r="CZ412" s="93" cm="1">
        <f t="array" ref="CZ412">SUMPRODUCT(TRANSPOSE(CZ$4:CZ$20),$G412:$W412)</f>
        <v>8</v>
      </c>
      <c r="DA412" s="93" cm="1">
        <f t="array" ref="DA412">SUMPRODUCT(TRANSPOSE(DA$4:DA$20),$G412:$W412)</f>
        <v>8</v>
      </c>
      <c r="DB412" s="93" cm="1">
        <f t="array" ref="DB412">SUMPRODUCT(TRANSPOSE(DB$4:DB$20),$G412:$W412)</f>
        <v>8</v>
      </c>
      <c r="DC412" s="93" cm="1">
        <f t="array" ref="DC412">SUMPRODUCT(TRANSPOSE(DC$4:DC$20),$G412:$W412)</f>
        <v>6</v>
      </c>
      <c r="DD412" s="93" cm="1">
        <f t="array" ref="DD412">SUMPRODUCT(TRANSPOSE(DD$4:DD$20),$G412:$W412)</f>
        <v>0</v>
      </c>
      <c r="DE412" s="93" cm="1">
        <f t="array" ref="DE412">SUMPRODUCT(TRANSPOSE(DE$4:DE$20),$G412:$W412)</f>
        <v>0</v>
      </c>
      <c r="DF412" s="93" cm="1">
        <f t="array" ref="DF412">SUMPRODUCT(TRANSPOSE(DF$4:DF$20),$G412:$W412)</f>
        <v>0</v>
      </c>
      <c r="DG412" s="93" cm="1">
        <f t="array" ref="DG412">SUMPRODUCT(TRANSPOSE(DG$4:DG$20),$G412:$W412)</f>
        <v>0</v>
      </c>
      <c r="DH412" s="93" cm="1">
        <f t="array" ref="DH412">SUMPRODUCT(TRANSPOSE(DH$4:DH$20),$G412:$W412)</f>
        <v>0</v>
      </c>
      <c r="DI412" s="93" cm="1">
        <f t="array" ref="DI412">SUMPRODUCT(TRANSPOSE(DI$4:DI$20),$G412:$W412)</f>
        <v>0</v>
      </c>
      <c r="DJ412" s="93" cm="1">
        <f t="array" ref="DJ412">SUMPRODUCT(TRANSPOSE(DJ$4:DJ$20),$G412:$W412)</f>
        <v>0</v>
      </c>
      <c r="DK412" s="93" cm="1">
        <f t="array" ref="DK412">SUMPRODUCT(TRANSPOSE(DK$4:DK$20),$G412:$W412)</f>
        <v>0</v>
      </c>
      <c r="DL412" s="93" cm="1">
        <f t="array" ref="DL412">SUMPRODUCT(TRANSPOSE(DL$4:DL$20),$G412:$W412)</f>
        <v>0</v>
      </c>
      <c r="DM412" s="93" cm="1">
        <f t="array" ref="DM412">SUMPRODUCT(TRANSPOSE(DM$4:DM$20),$G412:$W412)</f>
        <v>0</v>
      </c>
      <c r="DN412" s="93" cm="1">
        <f t="array" ref="DN412">SUMPRODUCT(TRANSPOSE(DN$4:DN$20),$G412:$W412)</f>
        <v>0</v>
      </c>
      <c r="DO412" s="93" cm="1">
        <f t="array" ref="DO412">SUMPRODUCT(TRANSPOSE(DO$4:DO$20),$G412:$W412)</f>
        <v>0</v>
      </c>
    </row>
    <row r="413" spans="1:119" x14ac:dyDescent="0.2">
      <c r="A413" s="45">
        <f t="shared" si="32"/>
        <v>392</v>
      </c>
      <c r="B413" s="64" t="s">
        <v>889</v>
      </c>
      <c r="C413" s="45">
        <v>423741033</v>
      </c>
      <c r="D413" s="45" t="s">
        <v>890</v>
      </c>
      <c r="E413" s="45" t="s">
        <v>162</v>
      </c>
      <c r="F413" s="48">
        <v>1</v>
      </c>
      <c r="G413" s="100">
        <v>1</v>
      </c>
      <c r="H413" s="100">
        <v>0</v>
      </c>
      <c r="I413" s="100">
        <v>0</v>
      </c>
      <c r="J413" s="100">
        <v>0</v>
      </c>
      <c r="K413" s="100">
        <v>0</v>
      </c>
      <c r="L413" s="100">
        <v>0</v>
      </c>
      <c r="M413" s="100">
        <v>0</v>
      </c>
      <c r="N413" s="100">
        <v>0</v>
      </c>
      <c r="O413" s="100">
        <v>0</v>
      </c>
      <c r="P413" s="100">
        <v>0</v>
      </c>
      <c r="Q413" s="100">
        <v>0</v>
      </c>
      <c r="R413" s="100">
        <v>0</v>
      </c>
      <c r="S413" s="100">
        <v>0</v>
      </c>
      <c r="T413" s="100">
        <v>0</v>
      </c>
      <c r="U413" s="100">
        <v>0</v>
      </c>
      <c r="V413" s="100">
        <v>0</v>
      </c>
      <c r="W413" s="100">
        <v>0</v>
      </c>
      <c r="X413" s="45" t="s">
        <v>891</v>
      </c>
      <c r="Y413" s="49">
        <v>219.44</v>
      </c>
      <c r="Z413" s="45">
        <v>130</v>
      </c>
      <c r="AA413" s="45">
        <v>0</v>
      </c>
      <c r="AB413" s="45">
        <v>0</v>
      </c>
      <c r="AC413" s="45">
        <v>0</v>
      </c>
      <c r="AD413" s="45">
        <v>0</v>
      </c>
      <c r="AE413" s="45">
        <v>0</v>
      </c>
      <c r="AF413" s="45">
        <v>0</v>
      </c>
      <c r="AG413" s="45">
        <v>0</v>
      </c>
      <c r="AH413" s="45">
        <v>0</v>
      </c>
      <c r="AI413" s="45">
        <v>0</v>
      </c>
      <c r="AJ413" s="45">
        <v>0</v>
      </c>
      <c r="AK413" s="45">
        <v>0</v>
      </c>
      <c r="AL413" s="45">
        <v>0</v>
      </c>
      <c r="AM413" s="45">
        <v>0</v>
      </c>
      <c r="AN413" s="45">
        <v>0</v>
      </c>
      <c r="AO413" s="45"/>
      <c r="AP413" s="45"/>
      <c r="AQ413" s="45"/>
      <c r="AR413" s="45"/>
      <c r="AS413" s="45"/>
      <c r="AT413" s="45"/>
      <c r="AU413" s="45"/>
      <c r="AV413" s="45"/>
      <c r="AW413" s="45"/>
      <c r="AX413" s="45"/>
      <c r="AY413" s="45"/>
      <c r="AZ413" s="45"/>
      <c r="BA413" s="45"/>
      <c r="BB413" s="45"/>
      <c r="BC413" s="45"/>
      <c r="BD413" s="93"/>
      <c r="BE413" s="93"/>
      <c r="BF413" s="93"/>
      <c r="BG413" s="93"/>
      <c r="BH413" s="93"/>
      <c r="BI413" s="93"/>
      <c r="BJ413" s="93"/>
      <c r="BK413" s="93">
        <f>SUM($Z413:AD413)-SUM($CM413:CQ413)</f>
        <v>122</v>
      </c>
      <c r="BL413" s="93">
        <f>SUM($Z413:AE413)-SUM($CM413:CR413)</f>
        <v>114</v>
      </c>
      <c r="BM413" s="93">
        <f>SUM($Z413:AF413)-SUM($CM413:CS413)</f>
        <v>106</v>
      </c>
      <c r="BN413" s="93">
        <f>SUM($Z413:AG413)-SUM($CM413:CT413)</f>
        <v>98</v>
      </c>
      <c r="BO413" s="93">
        <f>SUM($Z413:AH413)-SUM($CM413:CU413)</f>
        <v>90</v>
      </c>
      <c r="BP413" s="93">
        <f>SUM($Z413:AI413)-SUM($CM413:CV413)</f>
        <v>82</v>
      </c>
      <c r="BQ413" s="93">
        <f>SUM($Z413:AJ413)-SUM($CM413:CW413)</f>
        <v>74</v>
      </c>
      <c r="BR413" s="93">
        <f>SUM($Z413:AK413)-SUM($CM413:CX413)</f>
        <v>66</v>
      </c>
      <c r="BS413" s="93">
        <f>SUM($Z413:AL413)-SUM($CM413:CY413)</f>
        <v>58</v>
      </c>
      <c r="BT413" s="93">
        <f>SUM($Z413:AM413)-SUM($CM413:CZ413)</f>
        <v>50</v>
      </c>
      <c r="BU413" s="93">
        <f>SUM($Z413:AN413)-SUM($CM413:DA413)</f>
        <v>42</v>
      </c>
      <c r="BV413" s="93">
        <f>SUM($Z413:AO413)-SUM($CM413:DB413)</f>
        <v>34</v>
      </c>
      <c r="BW413" s="93">
        <f>SUM($Z413:AP413)-SUM($CM413:DC413)</f>
        <v>28</v>
      </c>
      <c r="BX413" s="93">
        <f>SUM($Z413:AQ413)-SUM($CM413:DD413)</f>
        <v>28</v>
      </c>
      <c r="BY413" s="93">
        <f>SUM($Z413:AR413)-SUM($CM413:DE413)</f>
        <v>28</v>
      </c>
      <c r="BZ413" s="93">
        <f>SUM($Z413:AS413)-SUM($CM413:DF413)</f>
        <v>28</v>
      </c>
      <c r="CA413" s="93">
        <f>SUM($Z413:AT413)-SUM($CM413:DG413)</f>
        <v>28</v>
      </c>
      <c r="CB413" s="93">
        <f>SUM($Z413:AU413)-SUM($CM413:DH413)</f>
        <v>28</v>
      </c>
      <c r="CC413" s="93">
        <f>SUM($Z413:AV413)-SUM($CM413:DI413)</f>
        <v>28</v>
      </c>
      <c r="CD413" s="93">
        <f>SUM($Z413:AW413)-SUM($CM413:DJ413)</f>
        <v>28</v>
      </c>
      <c r="CE413" s="93">
        <f>SUM($Z413:AX413)-SUM($CM413:DK413)</f>
        <v>28</v>
      </c>
      <c r="CF413" s="93">
        <f>SUM($Z413:AY413)-SUM($CM413:DL413)</f>
        <v>28</v>
      </c>
      <c r="CG413" s="93">
        <f>SUM($Z413:AZ413)-SUM($CM413:DM413)</f>
        <v>28</v>
      </c>
      <c r="CH413" s="93">
        <f>SUM($Z413:BA413)-SUM($CM413:DN413)</f>
        <v>28</v>
      </c>
      <c r="CI413" s="93">
        <f>SUM($Z413:BB413)-SUM($CM413:DO413)</f>
        <v>28</v>
      </c>
      <c r="CJ413" s="93"/>
      <c r="CK413" s="93"/>
      <c r="CL413" s="93"/>
      <c r="CM413" s="93"/>
      <c r="CN413" s="93" cm="1">
        <f t="array" ref="CN413">SUMPRODUCT(TRANSPOSE(CN$4:CN$20),$G413:$W413)</f>
        <v>0</v>
      </c>
      <c r="CO413" s="93" cm="1">
        <f t="array" ref="CO413">SUMPRODUCT(TRANSPOSE(CO$4:CO$20),$G413:$W413)</f>
        <v>0</v>
      </c>
      <c r="CP413" s="93" cm="1">
        <f t="array" ref="CP413">SUMPRODUCT(TRANSPOSE(CP$4:CP$20),$G413:$W413)</f>
        <v>0</v>
      </c>
      <c r="CQ413" s="93" cm="1">
        <f t="array" ref="CQ413">SUMPRODUCT(TRANSPOSE(CQ$4:CQ$20),$G413:$W413)</f>
        <v>8</v>
      </c>
      <c r="CR413" s="93" cm="1">
        <f t="array" ref="CR413">SUMPRODUCT(TRANSPOSE(CR$4:CR$20),$G413:$W413)</f>
        <v>8</v>
      </c>
      <c r="CS413" s="93" cm="1">
        <f t="array" ref="CS413">SUMPRODUCT(TRANSPOSE(CS$4:CS$20),$G413:$W413)</f>
        <v>8</v>
      </c>
      <c r="CT413" s="93" cm="1">
        <f t="array" ref="CT413">SUMPRODUCT(TRANSPOSE(CT$4:CT$20),$G413:$W413)</f>
        <v>8</v>
      </c>
      <c r="CU413" s="93" cm="1">
        <f t="array" ref="CU413">SUMPRODUCT(TRANSPOSE(CU$4:CU$20),$G413:$W413)</f>
        <v>8</v>
      </c>
      <c r="CV413" s="93" cm="1">
        <f t="array" ref="CV413">SUMPRODUCT(TRANSPOSE(CV$4:CV$20),$G413:$W413)</f>
        <v>8</v>
      </c>
      <c r="CW413" s="93" cm="1">
        <f t="array" ref="CW413">SUMPRODUCT(TRANSPOSE(CW$4:CW$20),$G413:$W413)</f>
        <v>8</v>
      </c>
      <c r="CX413" s="93" cm="1">
        <f t="array" ref="CX413">SUMPRODUCT(TRANSPOSE(CX$4:CX$20),$G413:$W413)</f>
        <v>8</v>
      </c>
      <c r="CY413" s="93" cm="1">
        <f t="array" ref="CY413">SUMPRODUCT(TRANSPOSE(CY$4:CY$20),$G413:$W413)</f>
        <v>8</v>
      </c>
      <c r="CZ413" s="93" cm="1">
        <f t="array" ref="CZ413">SUMPRODUCT(TRANSPOSE(CZ$4:CZ$20),$G413:$W413)</f>
        <v>8</v>
      </c>
      <c r="DA413" s="93" cm="1">
        <f t="array" ref="DA413">SUMPRODUCT(TRANSPOSE(DA$4:DA$20),$G413:$W413)</f>
        <v>8</v>
      </c>
      <c r="DB413" s="93" cm="1">
        <f t="array" ref="DB413">SUMPRODUCT(TRANSPOSE(DB$4:DB$20),$G413:$W413)</f>
        <v>8</v>
      </c>
      <c r="DC413" s="93" cm="1">
        <f t="array" ref="DC413">SUMPRODUCT(TRANSPOSE(DC$4:DC$20),$G413:$W413)</f>
        <v>6</v>
      </c>
      <c r="DD413" s="93" cm="1">
        <f t="array" ref="DD413">SUMPRODUCT(TRANSPOSE(DD$4:DD$20),$G413:$W413)</f>
        <v>0</v>
      </c>
      <c r="DE413" s="93" cm="1">
        <f t="array" ref="DE413">SUMPRODUCT(TRANSPOSE(DE$4:DE$20),$G413:$W413)</f>
        <v>0</v>
      </c>
      <c r="DF413" s="93" cm="1">
        <f t="array" ref="DF413">SUMPRODUCT(TRANSPOSE(DF$4:DF$20),$G413:$W413)</f>
        <v>0</v>
      </c>
      <c r="DG413" s="93" cm="1">
        <f t="array" ref="DG413">SUMPRODUCT(TRANSPOSE(DG$4:DG$20),$G413:$W413)</f>
        <v>0</v>
      </c>
      <c r="DH413" s="93" cm="1">
        <f t="array" ref="DH413">SUMPRODUCT(TRANSPOSE(DH$4:DH$20),$G413:$W413)</f>
        <v>0</v>
      </c>
      <c r="DI413" s="93" cm="1">
        <f t="array" ref="DI413">SUMPRODUCT(TRANSPOSE(DI$4:DI$20),$G413:$W413)</f>
        <v>0</v>
      </c>
      <c r="DJ413" s="93" cm="1">
        <f t="array" ref="DJ413">SUMPRODUCT(TRANSPOSE(DJ$4:DJ$20),$G413:$W413)</f>
        <v>0</v>
      </c>
      <c r="DK413" s="93" cm="1">
        <f t="array" ref="DK413">SUMPRODUCT(TRANSPOSE(DK$4:DK$20),$G413:$W413)</f>
        <v>0</v>
      </c>
      <c r="DL413" s="93" cm="1">
        <f t="array" ref="DL413">SUMPRODUCT(TRANSPOSE(DL$4:DL$20),$G413:$W413)</f>
        <v>0</v>
      </c>
      <c r="DM413" s="93" cm="1">
        <f t="array" ref="DM413">SUMPRODUCT(TRANSPOSE(DM$4:DM$20),$G413:$W413)</f>
        <v>0</v>
      </c>
      <c r="DN413" s="93" cm="1">
        <f t="array" ref="DN413">SUMPRODUCT(TRANSPOSE(DN$4:DN$20),$G413:$W413)</f>
        <v>0</v>
      </c>
      <c r="DO413" s="93" cm="1">
        <f t="array" ref="DO413">SUMPRODUCT(TRANSPOSE(DO$4:DO$20),$G413:$W413)</f>
        <v>0</v>
      </c>
    </row>
    <row r="414" spans="1:119" x14ac:dyDescent="0.2">
      <c r="A414" s="45">
        <f t="shared" si="32"/>
        <v>393</v>
      </c>
      <c r="B414" s="64" t="s">
        <v>892</v>
      </c>
      <c r="C414" s="45">
        <v>724201397</v>
      </c>
      <c r="D414" s="45" t="s">
        <v>893</v>
      </c>
      <c r="E414" s="45" t="s">
        <v>191</v>
      </c>
      <c r="F414" s="48">
        <v>2</v>
      </c>
      <c r="G414" s="100">
        <v>0.05</v>
      </c>
      <c r="H414" s="100">
        <v>0</v>
      </c>
      <c r="I414" s="100">
        <v>0.05</v>
      </c>
      <c r="J414" s="100">
        <v>0</v>
      </c>
      <c r="K414" s="100">
        <v>0.05</v>
      </c>
      <c r="L414" s="100">
        <v>0</v>
      </c>
      <c r="M414" s="100">
        <v>0</v>
      </c>
      <c r="N414" s="100">
        <v>0</v>
      </c>
      <c r="O414" s="100">
        <v>0</v>
      </c>
      <c r="P414" s="100">
        <v>0</v>
      </c>
      <c r="Q414" s="100">
        <v>0</v>
      </c>
      <c r="R414" s="100">
        <v>0</v>
      </c>
      <c r="S414" s="100">
        <v>0</v>
      </c>
      <c r="T414" s="100">
        <v>0</v>
      </c>
      <c r="U414" s="100">
        <v>0</v>
      </c>
      <c r="V414" s="100">
        <v>0</v>
      </c>
      <c r="W414" s="100">
        <v>0</v>
      </c>
      <c r="X414" s="45" t="s">
        <v>894</v>
      </c>
      <c r="Y414" s="49">
        <v>40.800000000000004</v>
      </c>
      <c r="Z414" s="45">
        <v>18</v>
      </c>
      <c r="AA414" s="45">
        <v>0</v>
      </c>
      <c r="AB414" s="45">
        <v>0</v>
      </c>
      <c r="AC414" s="45">
        <v>0</v>
      </c>
      <c r="AD414" s="45">
        <v>0</v>
      </c>
      <c r="AE414" s="45">
        <v>0</v>
      </c>
      <c r="AF414" s="45">
        <v>0</v>
      </c>
      <c r="AG414" s="45">
        <v>0</v>
      </c>
      <c r="AH414" s="45">
        <v>0</v>
      </c>
      <c r="AI414" s="45">
        <v>0</v>
      </c>
      <c r="AJ414" s="45">
        <v>0</v>
      </c>
      <c r="AK414" s="45">
        <v>0</v>
      </c>
      <c r="AL414" s="45">
        <v>0</v>
      </c>
      <c r="AM414" s="45">
        <v>0</v>
      </c>
      <c r="AN414" s="45">
        <v>0</v>
      </c>
      <c r="AO414" s="45"/>
      <c r="AP414" s="45"/>
      <c r="AQ414" s="45"/>
      <c r="AR414" s="45"/>
      <c r="AS414" s="45"/>
      <c r="AT414" s="45"/>
      <c r="AU414" s="45"/>
      <c r="AV414" s="45"/>
      <c r="AW414" s="45"/>
      <c r="AX414" s="45"/>
      <c r="AY414" s="45"/>
      <c r="AZ414" s="45"/>
      <c r="BA414" s="45"/>
      <c r="BB414" s="45"/>
      <c r="BC414" s="45"/>
      <c r="BD414" s="93"/>
      <c r="BE414" s="93"/>
      <c r="BF414" s="93"/>
      <c r="BG414" s="93"/>
      <c r="BH414" s="93"/>
      <c r="BI414" s="93"/>
      <c r="BJ414" s="93"/>
      <c r="BK414" s="93">
        <f>SUM($Z414:AD414)-SUM($CM414:CQ414)</f>
        <v>16.8</v>
      </c>
      <c r="BL414" s="93">
        <f>SUM($Z414:AE414)-SUM($CM414:CR414)</f>
        <v>15.6</v>
      </c>
      <c r="BM414" s="93">
        <f>SUM($Z414:AF414)-SUM($CM414:CS414)</f>
        <v>14.399999999999999</v>
      </c>
      <c r="BN414" s="93">
        <f>SUM($Z414:AG414)-SUM($CM414:CT414)</f>
        <v>13.2</v>
      </c>
      <c r="BO414" s="93">
        <f>SUM($Z414:AH414)-SUM($CM414:CU414)</f>
        <v>12</v>
      </c>
      <c r="BP414" s="93">
        <f>SUM($Z414:AI414)-SUM($CM414:CV414)</f>
        <v>10.799999999999999</v>
      </c>
      <c r="BQ414" s="93">
        <f>SUM($Z414:AJ414)-SUM($CM414:CW414)</f>
        <v>9.5999999999999979</v>
      </c>
      <c r="BR414" s="93">
        <f>SUM($Z414:AK414)-SUM($CM414:CX414)</f>
        <v>8.3999999999999986</v>
      </c>
      <c r="BS414" s="93">
        <f>SUM($Z414:AL414)-SUM($CM414:CY414)</f>
        <v>7.1999999999999993</v>
      </c>
      <c r="BT414" s="93">
        <f>SUM($Z414:AM414)-SUM($CM414:CZ414)</f>
        <v>6</v>
      </c>
      <c r="BU414" s="93">
        <f>SUM($Z414:AN414)-SUM($CM414:DA414)</f>
        <v>4.8000000000000007</v>
      </c>
      <c r="BV414" s="93">
        <f>SUM($Z414:AO414)-SUM($CM414:DB414)</f>
        <v>3.6000000000000014</v>
      </c>
      <c r="BW414" s="93">
        <f>SUM($Z414:AP414)-SUM($CM414:DC414)</f>
        <v>2.7000000000000011</v>
      </c>
      <c r="BX414" s="93">
        <f>SUM($Z414:AQ414)-SUM($CM414:DD414)</f>
        <v>2.7000000000000011</v>
      </c>
      <c r="BY414" s="93">
        <f>SUM($Z414:AR414)-SUM($CM414:DE414)</f>
        <v>2.7000000000000011</v>
      </c>
      <c r="BZ414" s="93">
        <f>SUM($Z414:AS414)-SUM($CM414:DF414)</f>
        <v>2.7000000000000011</v>
      </c>
      <c r="CA414" s="93">
        <f>SUM($Z414:AT414)-SUM($CM414:DG414)</f>
        <v>2.7000000000000011</v>
      </c>
      <c r="CB414" s="93">
        <f>SUM($Z414:AU414)-SUM($CM414:DH414)</f>
        <v>2.7000000000000011</v>
      </c>
      <c r="CC414" s="93">
        <f>SUM($Z414:AV414)-SUM($CM414:DI414)</f>
        <v>2.7000000000000011</v>
      </c>
      <c r="CD414" s="93">
        <f>SUM($Z414:AW414)-SUM($CM414:DJ414)</f>
        <v>2.7000000000000011</v>
      </c>
      <c r="CE414" s="93">
        <f>SUM($Z414:AX414)-SUM($CM414:DK414)</f>
        <v>2.7000000000000011</v>
      </c>
      <c r="CF414" s="93">
        <f>SUM($Z414:AY414)-SUM($CM414:DL414)</f>
        <v>2.7000000000000011</v>
      </c>
      <c r="CG414" s="93">
        <f>SUM($Z414:AZ414)-SUM($CM414:DM414)</f>
        <v>2.7000000000000011</v>
      </c>
      <c r="CH414" s="93">
        <f>SUM($Z414:BA414)-SUM($CM414:DN414)</f>
        <v>2.7000000000000011</v>
      </c>
      <c r="CI414" s="93">
        <f>SUM($Z414:BB414)-SUM($CM414:DO414)</f>
        <v>2.7000000000000011</v>
      </c>
      <c r="CJ414" s="93"/>
      <c r="CK414" s="93"/>
      <c r="CL414" s="93"/>
      <c r="CM414" s="93"/>
      <c r="CN414" s="93" cm="1">
        <f t="array" ref="CN414">SUMPRODUCT(TRANSPOSE(CN$4:CN$20),$G414:$W414)</f>
        <v>0</v>
      </c>
      <c r="CO414" s="93" cm="1">
        <f t="array" ref="CO414">SUMPRODUCT(TRANSPOSE(CO$4:CO$20),$G414:$W414)</f>
        <v>0</v>
      </c>
      <c r="CP414" s="93" cm="1">
        <f t="array" ref="CP414">SUMPRODUCT(TRANSPOSE(CP$4:CP$20),$G414:$W414)</f>
        <v>0</v>
      </c>
      <c r="CQ414" s="93" cm="1">
        <f t="array" ref="CQ414">SUMPRODUCT(TRANSPOSE(CQ$4:CQ$20),$G414:$W414)</f>
        <v>1.2000000000000002</v>
      </c>
      <c r="CR414" s="93" cm="1">
        <f t="array" ref="CR414">SUMPRODUCT(TRANSPOSE(CR$4:CR$20),$G414:$W414)</f>
        <v>1.2000000000000002</v>
      </c>
      <c r="CS414" s="93" cm="1">
        <f t="array" ref="CS414">SUMPRODUCT(TRANSPOSE(CS$4:CS$20),$G414:$W414)</f>
        <v>1.2000000000000002</v>
      </c>
      <c r="CT414" s="93" cm="1">
        <f t="array" ref="CT414">SUMPRODUCT(TRANSPOSE(CT$4:CT$20),$G414:$W414)</f>
        <v>1.2000000000000002</v>
      </c>
      <c r="CU414" s="93" cm="1">
        <f t="array" ref="CU414">SUMPRODUCT(TRANSPOSE(CU$4:CU$20),$G414:$W414)</f>
        <v>1.2000000000000002</v>
      </c>
      <c r="CV414" s="93" cm="1">
        <f t="array" ref="CV414">SUMPRODUCT(TRANSPOSE(CV$4:CV$20),$G414:$W414)</f>
        <v>1.2000000000000002</v>
      </c>
      <c r="CW414" s="93" cm="1">
        <f t="array" ref="CW414">SUMPRODUCT(TRANSPOSE(CW$4:CW$20),$G414:$W414)</f>
        <v>1.2000000000000002</v>
      </c>
      <c r="CX414" s="93" cm="1">
        <f t="array" ref="CX414">SUMPRODUCT(TRANSPOSE(CX$4:CX$20),$G414:$W414)</f>
        <v>1.2000000000000002</v>
      </c>
      <c r="CY414" s="93" cm="1">
        <f t="array" ref="CY414">SUMPRODUCT(TRANSPOSE(CY$4:CY$20),$G414:$W414)</f>
        <v>1.2000000000000002</v>
      </c>
      <c r="CZ414" s="93" cm="1">
        <f t="array" ref="CZ414">SUMPRODUCT(TRANSPOSE(CZ$4:CZ$20),$G414:$W414)</f>
        <v>1.2000000000000002</v>
      </c>
      <c r="DA414" s="93" cm="1">
        <f t="array" ref="DA414">SUMPRODUCT(TRANSPOSE(DA$4:DA$20),$G414:$W414)</f>
        <v>1.2000000000000002</v>
      </c>
      <c r="DB414" s="93" cm="1">
        <f t="array" ref="DB414">SUMPRODUCT(TRANSPOSE(DB$4:DB$20),$G414:$W414)</f>
        <v>1.2000000000000002</v>
      </c>
      <c r="DC414" s="93" cm="1">
        <f t="array" ref="DC414">SUMPRODUCT(TRANSPOSE(DC$4:DC$20),$G414:$W414)</f>
        <v>0.90000000000000013</v>
      </c>
      <c r="DD414" s="93" cm="1">
        <f t="array" ref="DD414">SUMPRODUCT(TRANSPOSE(DD$4:DD$20),$G414:$W414)</f>
        <v>0</v>
      </c>
      <c r="DE414" s="93" cm="1">
        <f t="array" ref="DE414">SUMPRODUCT(TRANSPOSE(DE$4:DE$20),$G414:$W414)</f>
        <v>0</v>
      </c>
      <c r="DF414" s="93" cm="1">
        <f t="array" ref="DF414">SUMPRODUCT(TRANSPOSE(DF$4:DF$20),$G414:$W414)</f>
        <v>0</v>
      </c>
      <c r="DG414" s="93" cm="1">
        <f t="array" ref="DG414">SUMPRODUCT(TRANSPOSE(DG$4:DG$20),$G414:$W414)</f>
        <v>0</v>
      </c>
      <c r="DH414" s="93" cm="1">
        <f t="array" ref="DH414">SUMPRODUCT(TRANSPOSE(DH$4:DH$20),$G414:$W414)</f>
        <v>0</v>
      </c>
      <c r="DI414" s="93" cm="1">
        <f t="array" ref="DI414">SUMPRODUCT(TRANSPOSE(DI$4:DI$20),$G414:$W414)</f>
        <v>0</v>
      </c>
      <c r="DJ414" s="93" cm="1">
        <f t="array" ref="DJ414">SUMPRODUCT(TRANSPOSE(DJ$4:DJ$20),$G414:$W414)</f>
        <v>0</v>
      </c>
      <c r="DK414" s="93" cm="1">
        <f t="array" ref="DK414">SUMPRODUCT(TRANSPOSE(DK$4:DK$20),$G414:$W414)</f>
        <v>0</v>
      </c>
      <c r="DL414" s="93" cm="1">
        <f t="array" ref="DL414">SUMPRODUCT(TRANSPOSE(DL$4:DL$20),$G414:$W414)</f>
        <v>0</v>
      </c>
      <c r="DM414" s="93" cm="1">
        <f t="array" ref="DM414">SUMPRODUCT(TRANSPOSE(DM$4:DM$20),$G414:$W414)</f>
        <v>0</v>
      </c>
      <c r="DN414" s="93" cm="1">
        <f t="array" ref="DN414">SUMPRODUCT(TRANSPOSE(DN$4:DN$20),$G414:$W414)</f>
        <v>0</v>
      </c>
      <c r="DO414" s="93" cm="1">
        <f t="array" ref="DO414">SUMPRODUCT(TRANSPOSE(DO$4:DO$20),$G414:$W414)</f>
        <v>0</v>
      </c>
    </row>
    <row r="415" spans="1:119" x14ac:dyDescent="0.2">
      <c r="A415" s="74">
        <f t="shared" si="32"/>
        <v>394</v>
      </c>
      <c r="B415" s="64" t="s">
        <v>895</v>
      </c>
      <c r="C415" s="45" t="s">
        <v>896</v>
      </c>
      <c r="D415" s="45" t="s">
        <v>897</v>
      </c>
      <c r="E415" s="45" t="s">
        <v>162</v>
      </c>
      <c r="F415" s="48">
        <v>1</v>
      </c>
      <c r="G415" s="100">
        <v>0</v>
      </c>
      <c r="H415" s="100">
        <v>0</v>
      </c>
      <c r="I415" s="100">
        <v>2</v>
      </c>
      <c r="J415" s="100">
        <v>0</v>
      </c>
      <c r="K415" s="100">
        <v>2</v>
      </c>
      <c r="L415" s="100">
        <v>0</v>
      </c>
      <c r="M415" s="100">
        <v>0</v>
      </c>
      <c r="N415" s="100">
        <v>0</v>
      </c>
      <c r="O415" s="100">
        <v>0</v>
      </c>
      <c r="P415" s="100">
        <v>0</v>
      </c>
      <c r="Q415" s="100">
        <v>0</v>
      </c>
      <c r="R415" s="100">
        <v>0</v>
      </c>
      <c r="S415" s="100">
        <v>0</v>
      </c>
      <c r="T415" s="100">
        <v>0</v>
      </c>
      <c r="U415" s="100">
        <v>0</v>
      </c>
      <c r="V415" s="100">
        <v>0</v>
      </c>
      <c r="W415" s="100">
        <v>0</v>
      </c>
      <c r="X415" s="45" t="s">
        <v>8</v>
      </c>
      <c r="Y415" s="49">
        <v>0</v>
      </c>
      <c r="Z415" s="45">
        <v>188</v>
      </c>
      <c r="AA415" s="45">
        <v>0</v>
      </c>
      <c r="AB415" s="45">
        <v>0</v>
      </c>
      <c r="AC415" s="45">
        <v>0</v>
      </c>
      <c r="AD415" s="45">
        <v>0</v>
      </c>
      <c r="AE415" s="45">
        <v>0</v>
      </c>
      <c r="AF415" s="45">
        <v>0</v>
      </c>
      <c r="AG415" s="45">
        <v>0</v>
      </c>
      <c r="AH415" s="45">
        <v>0</v>
      </c>
      <c r="AI415" s="45">
        <v>0</v>
      </c>
      <c r="AJ415" s="45">
        <v>0</v>
      </c>
      <c r="AK415" s="45">
        <v>0</v>
      </c>
      <c r="AL415" s="45">
        <v>0</v>
      </c>
      <c r="AM415" s="45">
        <v>0</v>
      </c>
      <c r="AN415" s="45">
        <v>0</v>
      </c>
      <c r="AO415" s="45"/>
      <c r="AP415" s="45"/>
      <c r="AQ415" s="45"/>
      <c r="AR415" s="45"/>
      <c r="AS415" s="45"/>
      <c r="AT415" s="45"/>
      <c r="AU415" s="45"/>
      <c r="AV415" s="45"/>
      <c r="AW415" s="45"/>
      <c r="AX415" s="45"/>
      <c r="AY415" s="45"/>
      <c r="AZ415" s="45"/>
      <c r="BA415" s="45"/>
      <c r="BB415" s="45"/>
      <c r="BC415" s="45"/>
      <c r="BD415" s="93"/>
      <c r="BE415" s="93"/>
      <c r="BF415" s="93"/>
      <c r="BG415" s="93"/>
      <c r="BH415" s="93"/>
      <c r="BI415" s="93"/>
      <c r="BJ415" s="93"/>
      <c r="BK415" s="93">
        <f>SUM($Z415:AD415)-SUM($CM415:CQ415)</f>
        <v>156</v>
      </c>
      <c r="BL415" s="93">
        <f>SUM($Z415:AE415)-SUM($CM415:CR415)</f>
        <v>124</v>
      </c>
      <c r="BM415" s="93">
        <f>SUM($Z415:AF415)-SUM($CM415:CS415)</f>
        <v>92</v>
      </c>
      <c r="BN415" s="93">
        <f>SUM($Z415:AG415)-SUM($CM415:CT415)</f>
        <v>60</v>
      </c>
      <c r="BO415" s="93">
        <f>SUM($Z415:AH415)-SUM($CM415:CU415)</f>
        <v>28</v>
      </c>
      <c r="BP415" s="93">
        <f>SUM($Z415:AI415)-SUM($CM415:CV415)</f>
        <v>-4</v>
      </c>
      <c r="BQ415" s="93">
        <f>SUM($Z415:AJ415)-SUM($CM415:CW415)</f>
        <v>-36</v>
      </c>
      <c r="BR415" s="93">
        <f>SUM($Z415:AK415)-SUM($CM415:CX415)</f>
        <v>-68</v>
      </c>
      <c r="BS415" s="93">
        <f>SUM($Z415:AL415)-SUM($CM415:CY415)</f>
        <v>-100</v>
      </c>
      <c r="BT415" s="93">
        <f>SUM($Z415:AM415)-SUM($CM415:CZ415)</f>
        <v>-132</v>
      </c>
      <c r="BU415" s="93">
        <f>SUM($Z415:AN415)-SUM($CM415:DA415)</f>
        <v>-164</v>
      </c>
      <c r="BV415" s="93">
        <f>SUM($Z415:AO415)-SUM($CM415:DB415)</f>
        <v>-196</v>
      </c>
      <c r="BW415" s="93">
        <f>SUM($Z415:AP415)-SUM($CM415:DC415)</f>
        <v>-220</v>
      </c>
      <c r="BX415" s="93">
        <f>SUM($Z415:AQ415)-SUM($CM415:DD415)</f>
        <v>-220</v>
      </c>
      <c r="BY415" s="93">
        <f>SUM($Z415:AR415)-SUM($CM415:DE415)</f>
        <v>-220</v>
      </c>
      <c r="BZ415" s="93">
        <f>SUM($Z415:AS415)-SUM($CM415:DF415)</f>
        <v>-220</v>
      </c>
      <c r="CA415" s="93">
        <f>SUM($Z415:AT415)-SUM($CM415:DG415)</f>
        <v>-220</v>
      </c>
      <c r="CB415" s="93">
        <f>SUM($Z415:AU415)-SUM($CM415:DH415)</f>
        <v>-220</v>
      </c>
      <c r="CC415" s="93">
        <f>SUM($Z415:AV415)-SUM($CM415:DI415)</f>
        <v>-220</v>
      </c>
      <c r="CD415" s="93">
        <f>SUM($Z415:AW415)-SUM($CM415:DJ415)</f>
        <v>-220</v>
      </c>
      <c r="CE415" s="93">
        <f>SUM($Z415:AX415)-SUM($CM415:DK415)</f>
        <v>-220</v>
      </c>
      <c r="CF415" s="93">
        <f>SUM($Z415:AY415)-SUM($CM415:DL415)</f>
        <v>-220</v>
      </c>
      <c r="CG415" s="93">
        <f>SUM($Z415:AZ415)-SUM($CM415:DM415)</f>
        <v>-220</v>
      </c>
      <c r="CH415" s="93">
        <f>SUM($Z415:BA415)-SUM($CM415:DN415)</f>
        <v>-220</v>
      </c>
      <c r="CI415" s="93">
        <f>SUM($Z415:BB415)-SUM($CM415:DO415)</f>
        <v>-220</v>
      </c>
      <c r="CJ415" s="93"/>
      <c r="CK415" s="93"/>
      <c r="CL415" s="93"/>
      <c r="CM415" s="93"/>
      <c r="CN415" s="93" cm="1">
        <f t="array" ref="CN415">SUMPRODUCT(TRANSPOSE(CN$4:CN$20),$G415:$W415)</f>
        <v>0</v>
      </c>
      <c r="CO415" s="93" cm="1">
        <f t="array" ref="CO415">SUMPRODUCT(TRANSPOSE(CO$4:CO$20),$G415:$W415)</f>
        <v>0</v>
      </c>
      <c r="CP415" s="93" cm="1">
        <f t="array" ref="CP415">SUMPRODUCT(TRANSPOSE(CP$4:CP$20),$G415:$W415)</f>
        <v>0</v>
      </c>
      <c r="CQ415" s="93" cm="1">
        <f t="array" ref="CQ415">SUMPRODUCT(TRANSPOSE(CQ$4:CQ$20),$G415:$W415)</f>
        <v>32</v>
      </c>
      <c r="CR415" s="93" cm="1">
        <f t="array" ref="CR415">SUMPRODUCT(TRANSPOSE(CR$4:CR$20),$G415:$W415)</f>
        <v>32</v>
      </c>
      <c r="CS415" s="93" cm="1">
        <f t="array" ref="CS415">SUMPRODUCT(TRANSPOSE(CS$4:CS$20),$G415:$W415)</f>
        <v>32</v>
      </c>
      <c r="CT415" s="93" cm="1">
        <f t="array" ref="CT415">SUMPRODUCT(TRANSPOSE(CT$4:CT$20),$G415:$W415)</f>
        <v>32</v>
      </c>
      <c r="CU415" s="93" cm="1">
        <f t="array" ref="CU415">SUMPRODUCT(TRANSPOSE(CU$4:CU$20),$G415:$W415)</f>
        <v>32</v>
      </c>
      <c r="CV415" s="93" cm="1">
        <f t="array" ref="CV415">SUMPRODUCT(TRANSPOSE(CV$4:CV$20),$G415:$W415)</f>
        <v>32</v>
      </c>
      <c r="CW415" s="93" cm="1">
        <f t="array" ref="CW415">SUMPRODUCT(TRANSPOSE(CW$4:CW$20),$G415:$W415)</f>
        <v>32</v>
      </c>
      <c r="CX415" s="93" cm="1">
        <f t="array" ref="CX415">SUMPRODUCT(TRANSPOSE(CX$4:CX$20),$G415:$W415)</f>
        <v>32</v>
      </c>
      <c r="CY415" s="93" cm="1">
        <f t="array" ref="CY415">SUMPRODUCT(TRANSPOSE(CY$4:CY$20),$G415:$W415)</f>
        <v>32</v>
      </c>
      <c r="CZ415" s="93" cm="1">
        <f t="array" ref="CZ415">SUMPRODUCT(TRANSPOSE(CZ$4:CZ$20),$G415:$W415)</f>
        <v>32</v>
      </c>
      <c r="DA415" s="93" cm="1">
        <f t="array" ref="DA415">SUMPRODUCT(TRANSPOSE(DA$4:DA$20),$G415:$W415)</f>
        <v>32</v>
      </c>
      <c r="DB415" s="93" cm="1">
        <f t="array" ref="DB415">SUMPRODUCT(TRANSPOSE(DB$4:DB$20),$G415:$W415)</f>
        <v>32</v>
      </c>
      <c r="DC415" s="93" cm="1">
        <f t="array" ref="DC415">SUMPRODUCT(TRANSPOSE(DC$4:DC$20),$G415:$W415)</f>
        <v>24</v>
      </c>
      <c r="DD415" s="93" cm="1">
        <f t="array" ref="DD415">SUMPRODUCT(TRANSPOSE(DD$4:DD$20),$G415:$W415)</f>
        <v>0</v>
      </c>
      <c r="DE415" s="93" cm="1">
        <f t="array" ref="DE415">SUMPRODUCT(TRANSPOSE(DE$4:DE$20),$G415:$W415)</f>
        <v>0</v>
      </c>
      <c r="DF415" s="93" cm="1">
        <f t="array" ref="DF415">SUMPRODUCT(TRANSPOSE(DF$4:DF$20),$G415:$W415)</f>
        <v>0</v>
      </c>
      <c r="DG415" s="93" cm="1">
        <f t="array" ref="DG415">SUMPRODUCT(TRANSPOSE(DG$4:DG$20),$G415:$W415)</f>
        <v>0</v>
      </c>
      <c r="DH415" s="93" cm="1">
        <f t="array" ref="DH415">SUMPRODUCT(TRANSPOSE(DH$4:DH$20),$G415:$W415)</f>
        <v>0</v>
      </c>
      <c r="DI415" s="93" cm="1">
        <f t="array" ref="DI415">SUMPRODUCT(TRANSPOSE(DI$4:DI$20),$G415:$W415)</f>
        <v>0</v>
      </c>
      <c r="DJ415" s="93" cm="1">
        <f t="array" ref="DJ415">SUMPRODUCT(TRANSPOSE(DJ$4:DJ$20),$G415:$W415)</f>
        <v>0</v>
      </c>
      <c r="DK415" s="93" cm="1">
        <f t="array" ref="DK415">SUMPRODUCT(TRANSPOSE(DK$4:DK$20),$G415:$W415)</f>
        <v>0</v>
      </c>
      <c r="DL415" s="93" cm="1">
        <f t="array" ref="DL415">SUMPRODUCT(TRANSPOSE(DL$4:DL$20),$G415:$W415)</f>
        <v>0</v>
      </c>
      <c r="DM415" s="93" cm="1">
        <f t="array" ref="DM415">SUMPRODUCT(TRANSPOSE(DM$4:DM$20),$G415:$W415)</f>
        <v>0</v>
      </c>
      <c r="DN415" s="93" cm="1">
        <f t="array" ref="DN415">SUMPRODUCT(TRANSPOSE(DN$4:DN$20),$G415:$W415)</f>
        <v>0</v>
      </c>
      <c r="DO415" s="93" cm="1">
        <f t="array" ref="DO415">SUMPRODUCT(TRANSPOSE(DO$4:DO$20),$G415:$W415)</f>
        <v>0</v>
      </c>
    </row>
    <row r="416" spans="1:119" x14ac:dyDescent="0.2">
      <c r="A416" s="45">
        <f t="shared" si="32"/>
        <v>395</v>
      </c>
      <c r="B416" s="64" t="s">
        <v>91</v>
      </c>
      <c r="C416" s="45">
        <v>410790306</v>
      </c>
      <c r="D416" s="45" t="s">
        <v>92</v>
      </c>
      <c r="E416" s="45" t="s">
        <v>162</v>
      </c>
      <c r="F416" s="48">
        <v>1</v>
      </c>
      <c r="G416" s="100">
        <v>1</v>
      </c>
      <c r="H416" s="100">
        <v>0</v>
      </c>
      <c r="I416" s="100">
        <v>0</v>
      </c>
      <c r="J416" s="100">
        <v>0</v>
      </c>
      <c r="K416" s="100">
        <v>0</v>
      </c>
      <c r="L416" s="100">
        <v>0</v>
      </c>
      <c r="M416" s="100">
        <v>0</v>
      </c>
      <c r="N416" s="100">
        <v>0</v>
      </c>
      <c r="O416" s="100">
        <v>0</v>
      </c>
      <c r="P416" s="100">
        <v>0</v>
      </c>
      <c r="Q416" s="100">
        <v>0</v>
      </c>
      <c r="R416" s="100">
        <v>0</v>
      </c>
      <c r="S416" s="100">
        <v>0</v>
      </c>
      <c r="T416" s="100">
        <v>0</v>
      </c>
      <c r="U416" s="100">
        <v>0</v>
      </c>
      <c r="V416" s="100">
        <v>0</v>
      </c>
      <c r="W416" s="100">
        <v>0</v>
      </c>
      <c r="X416" s="45" t="s">
        <v>4</v>
      </c>
      <c r="Y416" s="49">
        <v>0</v>
      </c>
      <c r="Z416" s="45">
        <v>0</v>
      </c>
      <c r="AA416" s="45">
        <v>0</v>
      </c>
      <c r="AB416" s="45">
        <v>0</v>
      </c>
      <c r="AC416" s="45">
        <v>0</v>
      </c>
      <c r="AD416" s="45">
        <v>0</v>
      </c>
      <c r="AE416" s="45">
        <v>0</v>
      </c>
      <c r="AF416" s="45">
        <v>0</v>
      </c>
      <c r="AG416" s="45">
        <v>0</v>
      </c>
      <c r="AH416" s="45">
        <v>0</v>
      </c>
      <c r="AI416" s="45">
        <v>0</v>
      </c>
      <c r="AJ416" s="45">
        <v>0</v>
      </c>
      <c r="AK416" s="45">
        <v>0</v>
      </c>
      <c r="AL416" s="45">
        <v>0</v>
      </c>
      <c r="AM416" s="45">
        <v>0</v>
      </c>
      <c r="AN416" s="45">
        <v>0</v>
      </c>
      <c r="AO416" s="45"/>
      <c r="AP416" s="45"/>
      <c r="AQ416" s="45"/>
      <c r="AR416" s="45"/>
      <c r="AS416" s="45"/>
      <c r="AT416" s="45"/>
      <c r="AU416" s="45"/>
      <c r="AV416" s="45"/>
      <c r="AW416" s="45"/>
      <c r="AX416" s="45"/>
      <c r="AY416" s="45"/>
      <c r="AZ416" s="45"/>
      <c r="BA416" s="45"/>
      <c r="BB416" s="45"/>
      <c r="BC416" s="45"/>
      <c r="BD416" s="93"/>
      <c r="BE416" s="93"/>
      <c r="BF416" s="93"/>
      <c r="BG416" s="93"/>
      <c r="BH416" s="93"/>
      <c r="BI416" s="93"/>
      <c r="BJ416" s="93"/>
      <c r="BK416" s="93">
        <f>SUM($Z416:AD416)-SUM($CM416:CQ416)</f>
        <v>-8</v>
      </c>
      <c r="BL416" s="93">
        <f>SUM($Z416:AE416)-SUM($CM416:CR416)</f>
        <v>-16</v>
      </c>
      <c r="BM416" s="93">
        <f>SUM($Z416:AF416)-SUM($CM416:CS416)</f>
        <v>-24</v>
      </c>
      <c r="BN416" s="93">
        <f>SUM($Z416:AG416)-SUM($CM416:CT416)</f>
        <v>-32</v>
      </c>
      <c r="BO416" s="93">
        <f>SUM($Z416:AH416)-SUM($CM416:CU416)</f>
        <v>-40</v>
      </c>
      <c r="BP416" s="93">
        <f>SUM($Z416:AI416)-SUM($CM416:CV416)</f>
        <v>-48</v>
      </c>
      <c r="BQ416" s="93">
        <f>SUM($Z416:AJ416)-SUM($CM416:CW416)</f>
        <v>-56</v>
      </c>
      <c r="BR416" s="93">
        <f>SUM($Z416:AK416)-SUM($CM416:CX416)</f>
        <v>-64</v>
      </c>
      <c r="BS416" s="93">
        <f>SUM($Z416:AL416)-SUM($CM416:CY416)</f>
        <v>-72</v>
      </c>
      <c r="BT416" s="93">
        <f>SUM($Z416:AM416)-SUM($CM416:CZ416)</f>
        <v>-80</v>
      </c>
      <c r="BU416" s="93">
        <f>SUM($Z416:AN416)-SUM($CM416:DA416)</f>
        <v>-88</v>
      </c>
      <c r="BV416" s="93">
        <f>SUM($Z416:AO416)-SUM($CM416:DB416)</f>
        <v>-96</v>
      </c>
      <c r="BW416" s="93">
        <f>SUM($Z416:AP416)-SUM($CM416:DC416)</f>
        <v>-102</v>
      </c>
      <c r="BX416" s="93">
        <f>SUM($Z416:AQ416)-SUM($CM416:DD416)</f>
        <v>-102</v>
      </c>
      <c r="BY416" s="93">
        <f>SUM($Z416:AR416)-SUM($CM416:DE416)</f>
        <v>-102</v>
      </c>
      <c r="BZ416" s="93">
        <f>SUM($Z416:AS416)-SUM($CM416:DF416)</f>
        <v>-102</v>
      </c>
      <c r="CA416" s="93">
        <f>SUM($Z416:AT416)-SUM($CM416:DG416)</f>
        <v>-102</v>
      </c>
      <c r="CB416" s="93">
        <f>SUM($Z416:AU416)-SUM($CM416:DH416)</f>
        <v>-102</v>
      </c>
      <c r="CC416" s="93">
        <f>SUM($Z416:AV416)-SUM($CM416:DI416)</f>
        <v>-102</v>
      </c>
      <c r="CD416" s="93">
        <f>SUM($Z416:AW416)-SUM($CM416:DJ416)</f>
        <v>-102</v>
      </c>
      <c r="CE416" s="93">
        <f>SUM($Z416:AX416)-SUM($CM416:DK416)</f>
        <v>-102</v>
      </c>
      <c r="CF416" s="93">
        <f>SUM($Z416:AY416)-SUM($CM416:DL416)</f>
        <v>-102</v>
      </c>
      <c r="CG416" s="93">
        <f>SUM($Z416:AZ416)-SUM($CM416:DM416)</f>
        <v>-102</v>
      </c>
      <c r="CH416" s="93">
        <f>SUM($Z416:BA416)-SUM($CM416:DN416)</f>
        <v>-102</v>
      </c>
      <c r="CI416" s="93">
        <f>SUM($Z416:BB416)-SUM($CM416:DO416)</f>
        <v>-102</v>
      </c>
      <c r="CJ416" s="93"/>
      <c r="CK416" s="93"/>
      <c r="CL416" s="93"/>
      <c r="CM416" s="93"/>
      <c r="CN416" s="93" cm="1">
        <f t="array" ref="CN416">SUMPRODUCT(TRANSPOSE(CN$4:CN$20),$G416:$W416)</f>
        <v>0</v>
      </c>
      <c r="CO416" s="93" cm="1">
        <f t="array" ref="CO416">SUMPRODUCT(TRANSPOSE(CO$4:CO$20),$G416:$W416)</f>
        <v>0</v>
      </c>
      <c r="CP416" s="93" cm="1">
        <f t="array" ref="CP416">SUMPRODUCT(TRANSPOSE(CP$4:CP$20),$G416:$W416)</f>
        <v>0</v>
      </c>
      <c r="CQ416" s="93" cm="1">
        <f t="array" ref="CQ416">SUMPRODUCT(TRANSPOSE(CQ$4:CQ$20),$G416:$W416)</f>
        <v>8</v>
      </c>
      <c r="CR416" s="93" cm="1">
        <f t="array" ref="CR416">SUMPRODUCT(TRANSPOSE(CR$4:CR$20),$G416:$W416)</f>
        <v>8</v>
      </c>
      <c r="CS416" s="93" cm="1">
        <f t="array" ref="CS416">SUMPRODUCT(TRANSPOSE(CS$4:CS$20),$G416:$W416)</f>
        <v>8</v>
      </c>
      <c r="CT416" s="93" cm="1">
        <f t="array" ref="CT416">SUMPRODUCT(TRANSPOSE(CT$4:CT$20),$G416:$W416)</f>
        <v>8</v>
      </c>
      <c r="CU416" s="93" cm="1">
        <f t="array" ref="CU416">SUMPRODUCT(TRANSPOSE(CU$4:CU$20),$G416:$W416)</f>
        <v>8</v>
      </c>
      <c r="CV416" s="93" cm="1">
        <f t="array" ref="CV416">SUMPRODUCT(TRANSPOSE(CV$4:CV$20),$G416:$W416)</f>
        <v>8</v>
      </c>
      <c r="CW416" s="93" cm="1">
        <f t="array" ref="CW416">SUMPRODUCT(TRANSPOSE(CW$4:CW$20),$G416:$W416)</f>
        <v>8</v>
      </c>
      <c r="CX416" s="93" cm="1">
        <f t="array" ref="CX416">SUMPRODUCT(TRANSPOSE(CX$4:CX$20),$G416:$W416)</f>
        <v>8</v>
      </c>
      <c r="CY416" s="93" cm="1">
        <f t="array" ref="CY416">SUMPRODUCT(TRANSPOSE(CY$4:CY$20),$G416:$W416)</f>
        <v>8</v>
      </c>
      <c r="CZ416" s="93" cm="1">
        <f t="array" ref="CZ416">SUMPRODUCT(TRANSPOSE(CZ$4:CZ$20),$G416:$W416)</f>
        <v>8</v>
      </c>
      <c r="DA416" s="93" cm="1">
        <f t="array" ref="DA416">SUMPRODUCT(TRANSPOSE(DA$4:DA$20),$G416:$W416)</f>
        <v>8</v>
      </c>
      <c r="DB416" s="93" cm="1">
        <f t="array" ref="DB416">SUMPRODUCT(TRANSPOSE(DB$4:DB$20),$G416:$W416)</f>
        <v>8</v>
      </c>
      <c r="DC416" s="93" cm="1">
        <f t="array" ref="DC416">SUMPRODUCT(TRANSPOSE(DC$4:DC$20),$G416:$W416)</f>
        <v>6</v>
      </c>
      <c r="DD416" s="93" cm="1">
        <f t="array" ref="DD416">SUMPRODUCT(TRANSPOSE(DD$4:DD$20),$G416:$W416)</f>
        <v>0</v>
      </c>
      <c r="DE416" s="93" cm="1">
        <f t="array" ref="DE416">SUMPRODUCT(TRANSPOSE(DE$4:DE$20),$G416:$W416)</f>
        <v>0</v>
      </c>
      <c r="DF416" s="93" cm="1">
        <f t="array" ref="DF416">SUMPRODUCT(TRANSPOSE(DF$4:DF$20),$G416:$W416)</f>
        <v>0</v>
      </c>
      <c r="DG416" s="93" cm="1">
        <f t="array" ref="DG416">SUMPRODUCT(TRANSPOSE(DG$4:DG$20),$G416:$W416)</f>
        <v>0</v>
      </c>
      <c r="DH416" s="93" cm="1">
        <f t="array" ref="DH416">SUMPRODUCT(TRANSPOSE(DH$4:DH$20),$G416:$W416)</f>
        <v>0</v>
      </c>
      <c r="DI416" s="93" cm="1">
        <f t="array" ref="DI416">SUMPRODUCT(TRANSPOSE(DI$4:DI$20),$G416:$W416)</f>
        <v>0</v>
      </c>
      <c r="DJ416" s="93" cm="1">
        <f t="array" ref="DJ416">SUMPRODUCT(TRANSPOSE(DJ$4:DJ$20),$G416:$W416)</f>
        <v>0</v>
      </c>
      <c r="DK416" s="93" cm="1">
        <f t="array" ref="DK416">SUMPRODUCT(TRANSPOSE(DK$4:DK$20),$G416:$W416)</f>
        <v>0</v>
      </c>
      <c r="DL416" s="93" cm="1">
        <f t="array" ref="DL416">SUMPRODUCT(TRANSPOSE(DL$4:DL$20),$G416:$W416)</f>
        <v>0</v>
      </c>
      <c r="DM416" s="93" cm="1">
        <f t="array" ref="DM416">SUMPRODUCT(TRANSPOSE(DM$4:DM$20),$G416:$W416)</f>
        <v>0</v>
      </c>
      <c r="DN416" s="93" cm="1">
        <f t="array" ref="DN416">SUMPRODUCT(TRANSPOSE(DN$4:DN$20),$G416:$W416)</f>
        <v>0</v>
      </c>
      <c r="DO416" s="93" cm="1">
        <f t="array" ref="DO416">SUMPRODUCT(TRANSPOSE(DO$4:DO$20),$G416:$W416)</f>
        <v>0</v>
      </c>
    </row>
    <row r="417" spans="1:119" x14ac:dyDescent="0.2">
      <c r="A417" s="45">
        <f t="shared" si="32"/>
        <v>396</v>
      </c>
      <c r="B417" s="64" t="s">
        <v>898</v>
      </c>
      <c r="C417" s="45">
        <v>410398267</v>
      </c>
      <c r="D417" s="45" t="s">
        <v>899</v>
      </c>
      <c r="E417" s="45" t="s">
        <v>162</v>
      </c>
      <c r="F417" s="48">
        <v>1</v>
      </c>
      <c r="G417" s="100">
        <v>0</v>
      </c>
      <c r="H417" s="100">
        <v>0</v>
      </c>
      <c r="I417" s="100">
        <v>1</v>
      </c>
      <c r="J417" s="100">
        <v>0</v>
      </c>
      <c r="K417" s="100">
        <v>0</v>
      </c>
      <c r="L417" s="100">
        <v>0</v>
      </c>
      <c r="M417" s="100">
        <v>0</v>
      </c>
      <c r="N417" s="100">
        <v>0</v>
      </c>
      <c r="O417" s="100">
        <v>0</v>
      </c>
      <c r="P417" s="100">
        <v>0</v>
      </c>
      <c r="Q417" s="100">
        <v>0</v>
      </c>
      <c r="R417" s="100">
        <v>0</v>
      </c>
      <c r="S417" s="100">
        <v>0</v>
      </c>
      <c r="T417" s="100">
        <v>0</v>
      </c>
      <c r="U417" s="100">
        <v>0</v>
      </c>
      <c r="V417" s="100">
        <v>0</v>
      </c>
      <c r="W417" s="100">
        <v>0</v>
      </c>
      <c r="X417" s="45" t="s">
        <v>44</v>
      </c>
      <c r="Y417" s="49">
        <v>1.7</v>
      </c>
      <c r="Z417" s="45">
        <v>130</v>
      </c>
      <c r="AA417" s="45">
        <v>0</v>
      </c>
      <c r="AB417" s="45">
        <v>0</v>
      </c>
      <c r="AC417" s="45">
        <v>0</v>
      </c>
      <c r="AD417" s="45">
        <v>0</v>
      </c>
      <c r="AE417" s="45">
        <v>0</v>
      </c>
      <c r="AF417" s="45">
        <v>0</v>
      </c>
      <c r="AG417" s="45">
        <v>0</v>
      </c>
      <c r="AH417" s="45">
        <v>0</v>
      </c>
      <c r="AI417" s="45">
        <v>0</v>
      </c>
      <c r="AJ417" s="45">
        <v>0</v>
      </c>
      <c r="AK417" s="45">
        <v>0</v>
      </c>
      <c r="AL417" s="45">
        <v>0</v>
      </c>
      <c r="AM417" s="45">
        <v>0</v>
      </c>
      <c r="AN417" s="45">
        <v>0</v>
      </c>
      <c r="AO417" s="45"/>
      <c r="AP417" s="45"/>
      <c r="AQ417" s="45"/>
      <c r="AR417" s="45"/>
      <c r="AS417" s="45"/>
      <c r="AT417" s="45"/>
      <c r="AU417" s="45"/>
      <c r="AV417" s="45"/>
      <c r="AW417" s="45"/>
      <c r="AX417" s="45"/>
      <c r="AY417" s="45"/>
      <c r="AZ417" s="45"/>
      <c r="BA417" s="45"/>
      <c r="BB417" s="45"/>
      <c r="BC417" s="45"/>
      <c r="BD417" s="93"/>
      <c r="BE417" s="93"/>
      <c r="BF417" s="93"/>
      <c r="BG417" s="93"/>
      <c r="BH417" s="93"/>
      <c r="BI417" s="93"/>
      <c r="BJ417" s="93"/>
      <c r="BK417" s="93">
        <f>SUM($Z417:AD417)-SUM($CM417:CQ417)</f>
        <v>122</v>
      </c>
      <c r="BL417" s="93">
        <f>SUM($Z417:AE417)-SUM($CM417:CR417)</f>
        <v>114</v>
      </c>
      <c r="BM417" s="93">
        <f>SUM($Z417:AF417)-SUM($CM417:CS417)</f>
        <v>106</v>
      </c>
      <c r="BN417" s="93">
        <f>SUM($Z417:AG417)-SUM($CM417:CT417)</f>
        <v>98</v>
      </c>
      <c r="BO417" s="93">
        <f>SUM($Z417:AH417)-SUM($CM417:CU417)</f>
        <v>90</v>
      </c>
      <c r="BP417" s="93">
        <f>SUM($Z417:AI417)-SUM($CM417:CV417)</f>
        <v>82</v>
      </c>
      <c r="BQ417" s="93">
        <f>SUM($Z417:AJ417)-SUM($CM417:CW417)</f>
        <v>74</v>
      </c>
      <c r="BR417" s="93">
        <f>SUM($Z417:AK417)-SUM($CM417:CX417)</f>
        <v>66</v>
      </c>
      <c r="BS417" s="93">
        <f>SUM($Z417:AL417)-SUM($CM417:CY417)</f>
        <v>58</v>
      </c>
      <c r="BT417" s="93">
        <f>SUM($Z417:AM417)-SUM($CM417:CZ417)</f>
        <v>50</v>
      </c>
      <c r="BU417" s="93">
        <f>SUM($Z417:AN417)-SUM($CM417:DA417)</f>
        <v>42</v>
      </c>
      <c r="BV417" s="93">
        <f>SUM($Z417:AO417)-SUM($CM417:DB417)</f>
        <v>34</v>
      </c>
      <c r="BW417" s="93">
        <f>SUM($Z417:AP417)-SUM($CM417:DC417)</f>
        <v>28</v>
      </c>
      <c r="BX417" s="93">
        <f>SUM($Z417:AQ417)-SUM($CM417:DD417)</f>
        <v>28</v>
      </c>
      <c r="BY417" s="93">
        <f>SUM($Z417:AR417)-SUM($CM417:DE417)</f>
        <v>28</v>
      </c>
      <c r="BZ417" s="93">
        <f>SUM($Z417:AS417)-SUM($CM417:DF417)</f>
        <v>28</v>
      </c>
      <c r="CA417" s="93">
        <f>SUM($Z417:AT417)-SUM($CM417:DG417)</f>
        <v>28</v>
      </c>
      <c r="CB417" s="93">
        <f>SUM($Z417:AU417)-SUM($CM417:DH417)</f>
        <v>28</v>
      </c>
      <c r="CC417" s="93">
        <f>SUM($Z417:AV417)-SUM($CM417:DI417)</f>
        <v>28</v>
      </c>
      <c r="CD417" s="93">
        <f>SUM($Z417:AW417)-SUM($CM417:DJ417)</f>
        <v>28</v>
      </c>
      <c r="CE417" s="93">
        <f>SUM($Z417:AX417)-SUM($CM417:DK417)</f>
        <v>28</v>
      </c>
      <c r="CF417" s="93">
        <f>SUM($Z417:AY417)-SUM($CM417:DL417)</f>
        <v>28</v>
      </c>
      <c r="CG417" s="93">
        <f>SUM($Z417:AZ417)-SUM($CM417:DM417)</f>
        <v>28</v>
      </c>
      <c r="CH417" s="93">
        <f>SUM($Z417:BA417)-SUM($CM417:DN417)</f>
        <v>28</v>
      </c>
      <c r="CI417" s="93">
        <f>SUM($Z417:BB417)-SUM($CM417:DO417)</f>
        <v>28</v>
      </c>
      <c r="CJ417" s="93"/>
      <c r="CK417" s="93"/>
      <c r="CL417" s="93"/>
      <c r="CM417" s="93"/>
      <c r="CN417" s="93" cm="1">
        <f t="array" ref="CN417">SUMPRODUCT(TRANSPOSE(CN$4:CN$20),$G417:$W417)</f>
        <v>0</v>
      </c>
      <c r="CO417" s="93" cm="1">
        <f t="array" ref="CO417">SUMPRODUCT(TRANSPOSE(CO$4:CO$20),$G417:$W417)</f>
        <v>0</v>
      </c>
      <c r="CP417" s="93" cm="1">
        <f t="array" ref="CP417">SUMPRODUCT(TRANSPOSE(CP$4:CP$20),$G417:$W417)</f>
        <v>0</v>
      </c>
      <c r="CQ417" s="93" cm="1">
        <f t="array" ref="CQ417">SUMPRODUCT(TRANSPOSE(CQ$4:CQ$20),$G417:$W417)</f>
        <v>8</v>
      </c>
      <c r="CR417" s="93" cm="1">
        <f t="array" ref="CR417">SUMPRODUCT(TRANSPOSE(CR$4:CR$20),$G417:$W417)</f>
        <v>8</v>
      </c>
      <c r="CS417" s="93" cm="1">
        <f t="array" ref="CS417">SUMPRODUCT(TRANSPOSE(CS$4:CS$20),$G417:$W417)</f>
        <v>8</v>
      </c>
      <c r="CT417" s="93" cm="1">
        <f t="array" ref="CT417">SUMPRODUCT(TRANSPOSE(CT$4:CT$20),$G417:$W417)</f>
        <v>8</v>
      </c>
      <c r="CU417" s="93" cm="1">
        <f t="array" ref="CU417">SUMPRODUCT(TRANSPOSE(CU$4:CU$20),$G417:$W417)</f>
        <v>8</v>
      </c>
      <c r="CV417" s="93" cm="1">
        <f t="array" ref="CV417">SUMPRODUCT(TRANSPOSE(CV$4:CV$20),$G417:$W417)</f>
        <v>8</v>
      </c>
      <c r="CW417" s="93" cm="1">
        <f t="array" ref="CW417">SUMPRODUCT(TRANSPOSE(CW$4:CW$20),$G417:$W417)</f>
        <v>8</v>
      </c>
      <c r="CX417" s="93" cm="1">
        <f t="array" ref="CX417">SUMPRODUCT(TRANSPOSE(CX$4:CX$20),$G417:$W417)</f>
        <v>8</v>
      </c>
      <c r="CY417" s="93" cm="1">
        <f t="array" ref="CY417">SUMPRODUCT(TRANSPOSE(CY$4:CY$20),$G417:$W417)</f>
        <v>8</v>
      </c>
      <c r="CZ417" s="93" cm="1">
        <f t="array" ref="CZ417">SUMPRODUCT(TRANSPOSE(CZ$4:CZ$20),$G417:$W417)</f>
        <v>8</v>
      </c>
      <c r="DA417" s="93" cm="1">
        <f t="array" ref="DA417">SUMPRODUCT(TRANSPOSE(DA$4:DA$20),$G417:$W417)</f>
        <v>8</v>
      </c>
      <c r="DB417" s="93" cm="1">
        <f t="array" ref="DB417">SUMPRODUCT(TRANSPOSE(DB$4:DB$20),$G417:$W417)</f>
        <v>8</v>
      </c>
      <c r="DC417" s="93" cm="1">
        <f t="array" ref="DC417">SUMPRODUCT(TRANSPOSE(DC$4:DC$20),$G417:$W417)</f>
        <v>6</v>
      </c>
      <c r="DD417" s="93" cm="1">
        <f t="array" ref="DD417">SUMPRODUCT(TRANSPOSE(DD$4:DD$20),$G417:$W417)</f>
        <v>0</v>
      </c>
      <c r="DE417" s="93" cm="1">
        <f t="array" ref="DE417">SUMPRODUCT(TRANSPOSE(DE$4:DE$20),$G417:$W417)</f>
        <v>0</v>
      </c>
      <c r="DF417" s="93" cm="1">
        <f t="array" ref="DF417">SUMPRODUCT(TRANSPOSE(DF$4:DF$20),$G417:$W417)</f>
        <v>0</v>
      </c>
      <c r="DG417" s="93" cm="1">
        <f t="array" ref="DG417">SUMPRODUCT(TRANSPOSE(DG$4:DG$20),$G417:$W417)</f>
        <v>0</v>
      </c>
      <c r="DH417" s="93" cm="1">
        <f t="array" ref="DH417">SUMPRODUCT(TRANSPOSE(DH$4:DH$20),$G417:$W417)</f>
        <v>0</v>
      </c>
      <c r="DI417" s="93" cm="1">
        <f t="array" ref="DI417">SUMPRODUCT(TRANSPOSE(DI$4:DI$20),$G417:$W417)</f>
        <v>0</v>
      </c>
      <c r="DJ417" s="93" cm="1">
        <f t="array" ref="DJ417">SUMPRODUCT(TRANSPOSE(DJ$4:DJ$20),$G417:$W417)</f>
        <v>0</v>
      </c>
      <c r="DK417" s="93" cm="1">
        <f t="array" ref="DK417">SUMPRODUCT(TRANSPOSE(DK$4:DK$20),$G417:$W417)</f>
        <v>0</v>
      </c>
      <c r="DL417" s="93" cm="1">
        <f t="array" ref="DL417">SUMPRODUCT(TRANSPOSE(DL$4:DL$20),$G417:$W417)</f>
        <v>0</v>
      </c>
      <c r="DM417" s="93" cm="1">
        <f t="array" ref="DM417">SUMPRODUCT(TRANSPOSE(DM$4:DM$20),$G417:$W417)</f>
        <v>0</v>
      </c>
      <c r="DN417" s="93" cm="1">
        <f t="array" ref="DN417">SUMPRODUCT(TRANSPOSE(DN$4:DN$20),$G417:$W417)</f>
        <v>0</v>
      </c>
      <c r="DO417" s="93" cm="1">
        <f t="array" ref="DO417">SUMPRODUCT(TRANSPOSE(DO$4:DO$20),$G417:$W417)</f>
        <v>0</v>
      </c>
    </row>
    <row r="418" spans="1:119" x14ac:dyDescent="0.2">
      <c r="A418" s="45">
        <f t="shared" si="32"/>
        <v>397</v>
      </c>
      <c r="B418" s="64" t="s">
        <v>95</v>
      </c>
      <c r="C418" s="45">
        <v>410790353</v>
      </c>
      <c r="D418" s="45" t="s">
        <v>96</v>
      </c>
      <c r="E418" s="45" t="s">
        <v>162</v>
      </c>
      <c r="F418" s="48">
        <v>1</v>
      </c>
      <c r="G418" s="100">
        <v>1</v>
      </c>
      <c r="H418" s="100">
        <v>0</v>
      </c>
      <c r="I418" s="100">
        <v>0</v>
      </c>
      <c r="J418" s="100">
        <v>0</v>
      </c>
      <c r="K418" s="100">
        <v>0</v>
      </c>
      <c r="L418" s="100">
        <v>0</v>
      </c>
      <c r="M418" s="100">
        <v>0</v>
      </c>
      <c r="N418" s="100">
        <v>0</v>
      </c>
      <c r="O418" s="100">
        <v>0</v>
      </c>
      <c r="P418" s="100">
        <v>0</v>
      </c>
      <c r="Q418" s="100">
        <v>0</v>
      </c>
      <c r="R418" s="100">
        <v>0</v>
      </c>
      <c r="S418" s="100">
        <v>0</v>
      </c>
      <c r="T418" s="100">
        <v>0</v>
      </c>
      <c r="U418" s="100">
        <v>0</v>
      </c>
      <c r="V418" s="100">
        <v>0</v>
      </c>
      <c r="W418" s="100">
        <v>0</v>
      </c>
      <c r="X418" s="45" t="s">
        <v>4</v>
      </c>
      <c r="Y418" s="49">
        <v>0</v>
      </c>
      <c r="Z418" s="45">
        <v>0</v>
      </c>
      <c r="AA418" s="45">
        <v>0</v>
      </c>
      <c r="AB418" s="45">
        <v>0</v>
      </c>
      <c r="AC418" s="45">
        <v>0</v>
      </c>
      <c r="AD418" s="45">
        <v>0</v>
      </c>
      <c r="AE418" s="45">
        <v>0</v>
      </c>
      <c r="AF418" s="45">
        <v>0</v>
      </c>
      <c r="AG418" s="45">
        <v>0</v>
      </c>
      <c r="AH418" s="45">
        <v>0</v>
      </c>
      <c r="AI418" s="45">
        <v>0</v>
      </c>
      <c r="AJ418" s="45">
        <v>0</v>
      </c>
      <c r="AK418" s="45">
        <v>0</v>
      </c>
      <c r="AL418" s="45">
        <v>0</v>
      </c>
      <c r="AM418" s="45">
        <v>0</v>
      </c>
      <c r="AN418" s="45">
        <v>0</v>
      </c>
      <c r="AO418" s="45"/>
      <c r="AP418" s="45"/>
      <c r="AQ418" s="45"/>
      <c r="AR418" s="45"/>
      <c r="AS418" s="45"/>
      <c r="AT418" s="45"/>
      <c r="AU418" s="45"/>
      <c r="AV418" s="45"/>
      <c r="AW418" s="45"/>
      <c r="AX418" s="45"/>
      <c r="AY418" s="45"/>
      <c r="AZ418" s="45"/>
      <c r="BA418" s="45"/>
      <c r="BB418" s="45"/>
      <c r="BC418" s="45"/>
      <c r="BD418" s="93"/>
      <c r="BE418" s="93"/>
      <c r="BF418" s="93"/>
      <c r="BG418" s="93"/>
      <c r="BH418" s="93"/>
      <c r="BI418" s="93"/>
      <c r="BJ418" s="93"/>
      <c r="BK418" s="93">
        <f>SUM($Z418:AD418)-SUM($CM418:CQ418)</f>
        <v>-8</v>
      </c>
      <c r="BL418" s="93">
        <f>SUM($Z418:AE418)-SUM($CM418:CR418)</f>
        <v>-16</v>
      </c>
      <c r="BM418" s="93">
        <f>SUM($Z418:AF418)-SUM($CM418:CS418)</f>
        <v>-24</v>
      </c>
      <c r="BN418" s="93">
        <f>SUM($Z418:AG418)-SUM($CM418:CT418)</f>
        <v>-32</v>
      </c>
      <c r="BO418" s="93">
        <f>SUM($Z418:AH418)-SUM($CM418:CU418)</f>
        <v>-40</v>
      </c>
      <c r="BP418" s="93">
        <f>SUM($Z418:AI418)-SUM($CM418:CV418)</f>
        <v>-48</v>
      </c>
      <c r="BQ418" s="93">
        <f>SUM($Z418:AJ418)-SUM($CM418:CW418)</f>
        <v>-56</v>
      </c>
      <c r="BR418" s="93">
        <f>SUM($Z418:AK418)-SUM($CM418:CX418)</f>
        <v>-64</v>
      </c>
      <c r="BS418" s="93">
        <f>SUM($Z418:AL418)-SUM($CM418:CY418)</f>
        <v>-72</v>
      </c>
      <c r="BT418" s="93">
        <f>SUM($Z418:AM418)-SUM($CM418:CZ418)</f>
        <v>-80</v>
      </c>
      <c r="BU418" s="93">
        <f>SUM($Z418:AN418)-SUM($CM418:DA418)</f>
        <v>-88</v>
      </c>
      <c r="BV418" s="93">
        <f>SUM($Z418:AO418)-SUM($CM418:DB418)</f>
        <v>-96</v>
      </c>
      <c r="BW418" s="93">
        <f>SUM($Z418:AP418)-SUM($CM418:DC418)</f>
        <v>-102</v>
      </c>
      <c r="BX418" s="93">
        <f>SUM($Z418:AQ418)-SUM($CM418:DD418)</f>
        <v>-102</v>
      </c>
      <c r="BY418" s="93">
        <f>SUM($Z418:AR418)-SUM($CM418:DE418)</f>
        <v>-102</v>
      </c>
      <c r="BZ418" s="93">
        <f>SUM($Z418:AS418)-SUM($CM418:DF418)</f>
        <v>-102</v>
      </c>
      <c r="CA418" s="93">
        <f>SUM($Z418:AT418)-SUM($CM418:DG418)</f>
        <v>-102</v>
      </c>
      <c r="CB418" s="93">
        <f>SUM($Z418:AU418)-SUM($CM418:DH418)</f>
        <v>-102</v>
      </c>
      <c r="CC418" s="93">
        <f>SUM($Z418:AV418)-SUM($CM418:DI418)</f>
        <v>-102</v>
      </c>
      <c r="CD418" s="93">
        <f>SUM($Z418:AW418)-SUM($CM418:DJ418)</f>
        <v>-102</v>
      </c>
      <c r="CE418" s="93">
        <f>SUM($Z418:AX418)-SUM($CM418:DK418)</f>
        <v>-102</v>
      </c>
      <c r="CF418" s="93">
        <f>SUM($Z418:AY418)-SUM($CM418:DL418)</f>
        <v>-102</v>
      </c>
      <c r="CG418" s="93">
        <f>SUM($Z418:AZ418)-SUM($CM418:DM418)</f>
        <v>-102</v>
      </c>
      <c r="CH418" s="93">
        <f>SUM($Z418:BA418)-SUM($CM418:DN418)</f>
        <v>-102</v>
      </c>
      <c r="CI418" s="93">
        <f>SUM($Z418:BB418)-SUM($CM418:DO418)</f>
        <v>-102</v>
      </c>
      <c r="CJ418" s="93"/>
      <c r="CK418" s="93"/>
      <c r="CL418" s="93"/>
      <c r="CM418" s="93"/>
      <c r="CN418" s="93" cm="1">
        <f t="array" ref="CN418">SUMPRODUCT(TRANSPOSE(CN$4:CN$20),$G418:$W418)</f>
        <v>0</v>
      </c>
      <c r="CO418" s="93" cm="1">
        <f t="array" ref="CO418">SUMPRODUCT(TRANSPOSE(CO$4:CO$20),$G418:$W418)</f>
        <v>0</v>
      </c>
      <c r="CP418" s="93" cm="1">
        <f t="array" ref="CP418">SUMPRODUCT(TRANSPOSE(CP$4:CP$20),$G418:$W418)</f>
        <v>0</v>
      </c>
      <c r="CQ418" s="93" cm="1">
        <f t="array" ref="CQ418">SUMPRODUCT(TRANSPOSE(CQ$4:CQ$20),$G418:$W418)</f>
        <v>8</v>
      </c>
      <c r="CR418" s="93" cm="1">
        <f t="array" ref="CR418">SUMPRODUCT(TRANSPOSE(CR$4:CR$20),$G418:$W418)</f>
        <v>8</v>
      </c>
      <c r="CS418" s="93" cm="1">
        <f t="array" ref="CS418">SUMPRODUCT(TRANSPOSE(CS$4:CS$20),$G418:$W418)</f>
        <v>8</v>
      </c>
      <c r="CT418" s="93" cm="1">
        <f t="array" ref="CT418">SUMPRODUCT(TRANSPOSE(CT$4:CT$20),$G418:$W418)</f>
        <v>8</v>
      </c>
      <c r="CU418" s="93" cm="1">
        <f t="array" ref="CU418">SUMPRODUCT(TRANSPOSE(CU$4:CU$20),$G418:$W418)</f>
        <v>8</v>
      </c>
      <c r="CV418" s="93" cm="1">
        <f t="array" ref="CV418">SUMPRODUCT(TRANSPOSE(CV$4:CV$20),$G418:$W418)</f>
        <v>8</v>
      </c>
      <c r="CW418" s="93" cm="1">
        <f t="array" ref="CW418">SUMPRODUCT(TRANSPOSE(CW$4:CW$20),$G418:$W418)</f>
        <v>8</v>
      </c>
      <c r="CX418" s="93" cm="1">
        <f t="array" ref="CX418">SUMPRODUCT(TRANSPOSE(CX$4:CX$20),$G418:$W418)</f>
        <v>8</v>
      </c>
      <c r="CY418" s="93" cm="1">
        <f t="array" ref="CY418">SUMPRODUCT(TRANSPOSE(CY$4:CY$20),$G418:$W418)</f>
        <v>8</v>
      </c>
      <c r="CZ418" s="93" cm="1">
        <f t="array" ref="CZ418">SUMPRODUCT(TRANSPOSE(CZ$4:CZ$20),$G418:$W418)</f>
        <v>8</v>
      </c>
      <c r="DA418" s="93" cm="1">
        <f t="array" ref="DA418">SUMPRODUCT(TRANSPOSE(DA$4:DA$20),$G418:$W418)</f>
        <v>8</v>
      </c>
      <c r="DB418" s="93" cm="1">
        <f t="array" ref="DB418">SUMPRODUCT(TRANSPOSE(DB$4:DB$20),$G418:$W418)</f>
        <v>8</v>
      </c>
      <c r="DC418" s="93" cm="1">
        <f t="array" ref="DC418">SUMPRODUCT(TRANSPOSE(DC$4:DC$20),$G418:$W418)</f>
        <v>6</v>
      </c>
      <c r="DD418" s="93" cm="1">
        <f t="array" ref="DD418">SUMPRODUCT(TRANSPOSE(DD$4:DD$20),$G418:$W418)</f>
        <v>0</v>
      </c>
      <c r="DE418" s="93" cm="1">
        <f t="array" ref="DE418">SUMPRODUCT(TRANSPOSE(DE$4:DE$20),$G418:$W418)</f>
        <v>0</v>
      </c>
      <c r="DF418" s="93" cm="1">
        <f t="array" ref="DF418">SUMPRODUCT(TRANSPOSE(DF$4:DF$20),$G418:$W418)</f>
        <v>0</v>
      </c>
      <c r="DG418" s="93" cm="1">
        <f t="array" ref="DG418">SUMPRODUCT(TRANSPOSE(DG$4:DG$20),$G418:$W418)</f>
        <v>0</v>
      </c>
      <c r="DH418" s="93" cm="1">
        <f t="array" ref="DH418">SUMPRODUCT(TRANSPOSE(DH$4:DH$20),$G418:$W418)</f>
        <v>0</v>
      </c>
      <c r="DI418" s="93" cm="1">
        <f t="array" ref="DI418">SUMPRODUCT(TRANSPOSE(DI$4:DI$20),$G418:$W418)</f>
        <v>0</v>
      </c>
      <c r="DJ418" s="93" cm="1">
        <f t="array" ref="DJ418">SUMPRODUCT(TRANSPOSE(DJ$4:DJ$20),$G418:$W418)</f>
        <v>0</v>
      </c>
      <c r="DK418" s="93" cm="1">
        <f t="array" ref="DK418">SUMPRODUCT(TRANSPOSE(DK$4:DK$20),$G418:$W418)</f>
        <v>0</v>
      </c>
      <c r="DL418" s="93" cm="1">
        <f t="array" ref="DL418">SUMPRODUCT(TRANSPOSE(DL$4:DL$20),$G418:$W418)</f>
        <v>0</v>
      </c>
      <c r="DM418" s="93" cm="1">
        <f t="array" ref="DM418">SUMPRODUCT(TRANSPOSE(DM$4:DM$20),$G418:$W418)</f>
        <v>0</v>
      </c>
      <c r="DN418" s="93" cm="1">
        <f t="array" ref="DN418">SUMPRODUCT(TRANSPOSE(DN$4:DN$20),$G418:$W418)</f>
        <v>0</v>
      </c>
      <c r="DO418" s="93" cm="1">
        <f t="array" ref="DO418">SUMPRODUCT(TRANSPOSE(DO$4:DO$20),$G418:$W418)</f>
        <v>0</v>
      </c>
    </row>
    <row r="419" spans="1:119" x14ac:dyDescent="0.2">
      <c r="A419" s="45">
        <f t="shared" si="32"/>
        <v>398</v>
      </c>
      <c r="B419" s="64" t="s">
        <v>900</v>
      </c>
      <c r="C419" s="45">
        <v>410398269</v>
      </c>
      <c r="D419" s="45" t="s">
        <v>901</v>
      </c>
      <c r="E419" s="45" t="s">
        <v>162</v>
      </c>
      <c r="F419" s="48">
        <v>1</v>
      </c>
      <c r="G419" s="100">
        <v>0</v>
      </c>
      <c r="H419" s="100">
        <v>0</v>
      </c>
      <c r="I419" s="100">
        <v>0</v>
      </c>
      <c r="J419" s="100">
        <v>0</v>
      </c>
      <c r="K419" s="100">
        <v>1</v>
      </c>
      <c r="L419" s="100">
        <v>0</v>
      </c>
      <c r="M419" s="100">
        <v>0</v>
      </c>
      <c r="N419" s="100">
        <v>0</v>
      </c>
      <c r="O419" s="100">
        <v>0</v>
      </c>
      <c r="P419" s="100">
        <v>0</v>
      </c>
      <c r="Q419" s="100">
        <v>0</v>
      </c>
      <c r="R419" s="100">
        <v>0</v>
      </c>
      <c r="S419" s="100">
        <v>0</v>
      </c>
      <c r="T419" s="100">
        <v>0</v>
      </c>
      <c r="U419" s="100">
        <v>0</v>
      </c>
      <c r="V419" s="100">
        <v>0</v>
      </c>
      <c r="W419" s="100">
        <v>0</v>
      </c>
      <c r="X419" s="45" t="s">
        <v>44</v>
      </c>
      <c r="Y419" s="49">
        <v>1.7</v>
      </c>
      <c r="Z419" s="45">
        <v>130</v>
      </c>
      <c r="AA419" s="45">
        <v>0</v>
      </c>
      <c r="AB419" s="45">
        <v>0</v>
      </c>
      <c r="AC419" s="45">
        <v>0</v>
      </c>
      <c r="AD419" s="45">
        <v>0</v>
      </c>
      <c r="AE419" s="45">
        <v>0</v>
      </c>
      <c r="AF419" s="45">
        <v>0</v>
      </c>
      <c r="AG419" s="45">
        <v>0</v>
      </c>
      <c r="AH419" s="45">
        <v>0</v>
      </c>
      <c r="AI419" s="45">
        <v>0</v>
      </c>
      <c r="AJ419" s="45">
        <v>0</v>
      </c>
      <c r="AK419" s="45">
        <v>0</v>
      </c>
      <c r="AL419" s="45">
        <v>0</v>
      </c>
      <c r="AM419" s="45">
        <v>0</v>
      </c>
      <c r="AN419" s="45">
        <v>0</v>
      </c>
      <c r="AO419" s="45"/>
      <c r="AP419" s="45"/>
      <c r="AQ419" s="45"/>
      <c r="AR419" s="45"/>
      <c r="AS419" s="45"/>
      <c r="AT419" s="45"/>
      <c r="AU419" s="45"/>
      <c r="AV419" s="45"/>
      <c r="AW419" s="45"/>
      <c r="AX419" s="45"/>
      <c r="AY419" s="45"/>
      <c r="AZ419" s="45"/>
      <c r="BA419" s="45"/>
      <c r="BB419" s="45"/>
      <c r="BC419" s="45"/>
      <c r="BD419" s="93"/>
      <c r="BE419" s="93"/>
      <c r="BF419" s="93"/>
      <c r="BG419" s="93"/>
      <c r="BH419" s="93"/>
      <c r="BI419" s="93"/>
      <c r="BJ419" s="93"/>
      <c r="BK419" s="93">
        <f>SUM($Z419:AD419)-SUM($CM419:CQ419)</f>
        <v>122</v>
      </c>
      <c r="BL419" s="93">
        <f>SUM($Z419:AE419)-SUM($CM419:CR419)</f>
        <v>114</v>
      </c>
      <c r="BM419" s="93">
        <f>SUM($Z419:AF419)-SUM($CM419:CS419)</f>
        <v>106</v>
      </c>
      <c r="BN419" s="93">
        <f>SUM($Z419:AG419)-SUM($CM419:CT419)</f>
        <v>98</v>
      </c>
      <c r="BO419" s="93">
        <f>SUM($Z419:AH419)-SUM($CM419:CU419)</f>
        <v>90</v>
      </c>
      <c r="BP419" s="93">
        <f>SUM($Z419:AI419)-SUM($CM419:CV419)</f>
        <v>82</v>
      </c>
      <c r="BQ419" s="93">
        <f>SUM($Z419:AJ419)-SUM($CM419:CW419)</f>
        <v>74</v>
      </c>
      <c r="BR419" s="93">
        <f>SUM($Z419:AK419)-SUM($CM419:CX419)</f>
        <v>66</v>
      </c>
      <c r="BS419" s="93">
        <f>SUM($Z419:AL419)-SUM($CM419:CY419)</f>
        <v>58</v>
      </c>
      <c r="BT419" s="93">
        <f>SUM($Z419:AM419)-SUM($CM419:CZ419)</f>
        <v>50</v>
      </c>
      <c r="BU419" s="93">
        <f>SUM($Z419:AN419)-SUM($CM419:DA419)</f>
        <v>42</v>
      </c>
      <c r="BV419" s="93">
        <f>SUM($Z419:AO419)-SUM($CM419:DB419)</f>
        <v>34</v>
      </c>
      <c r="BW419" s="93">
        <f>SUM($Z419:AP419)-SUM($CM419:DC419)</f>
        <v>28</v>
      </c>
      <c r="BX419" s="93">
        <f>SUM($Z419:AQ419)-SUM($CM419:DD419)</f>
        <v>28</v>
      </c>
      <c r="BY419" s="93">
        <f>SUM($Z419:AR419)-SUM($CM419:DE419)</f>
        <v>28</v>
      </c>
      <c r="BZ419" s="93">
        <f>SUM($Z419:AS419)-SUM($CM419:DF419)</f>
        <v>28</v>
      </c>
      <c r="CA419" s="93">
        <f>SUM($Z419:AT419)-SUM($CM419:DG419)</f>
        <v>28</v>
      </c>
      <c r="CB419" s="93">
        <f>SUM($Z419:AU419)-SUM($CM419:DH419)</f>
        <v>28</v>
      </c>
      <c r="CC419" s="93">
        <f>SUM($Z419:AV419)-SUM($CM419:DI419)</f>
        <v>28</v>
      </c>
      <c r="CD419" s="93">
        <f>SUM($Z419:AW419)-SUM($CM419:DJ419)</f>
        <v>28</v>
      </c>
      <c r="CE419" s="93">
        <f>SUM($Z419:AX419)-SUM($CM419:DK419)</f>
        <v>28</v>
      </c>
      <c r="CF419" s="93">
        <f>SUM($Z419:AY419)-SUM($CM419:DL419)</f>
        <v>28</v>
      </c>
      <c r="CG419" s="93">
        <f>SUM($Z419:AZ419)-SUM($CM419:DM419)</f>
        <v>28</v>
      </c>
      <c r="CH419" s="93">
        <f>SUM($Z419:BA419)-SUM($CM419:DN419)</f>
        <v>28</v>
      </c>
      <c r="CI419" s="93">
        <f>SUM($Z419:BB419)-SUM($CM419:DO419)</f>
        <v>28</v>
      </c>
      <c r="CJ419" s="93"/>
      <c r="CK419" s="93"/>
      <c r="CL419" s="93"/>
      <c r="CM419" s="93"/>
      <c r="CN419" s="93" cm="1">
        <f t="array" ref="CN419">SUMPRODUCT(TRANSPOSE(CN$4:CN$20),$G419:$W419)</f>
        <v>0</v>
      </c>
      <c r="CO419" s="93" cm="1">
        <f t="array" ref="CO419">SUMPRODUCT(TRANSPOSE(CO$4:CO$20),$G419:$W419)</f>
        <v>0</v>
      </c>
      <c r="CP419" s="93" cm="1">
        <f t="array" ref="CP419">SUMPRODUCT(TRANSPOSE(CP$4:CP$20),$G419:$W419)</f>
        <v>0</v>
      </c>
      <c r="CQ419" s="93" cm="1">
        <f t="array" ref="CQ419">SUMPRODUCT(TRANSPOSE(CQ$4:CQ$20),$G419:$W419)</f>
        <v>8</v>
      </c>
      <c r="CR419" s="93" cm="1">
        <f t="array" ref="CR419">SUMPRODUCT(TRANSPOSE(CR$4:CR$20),$G419:$W419)</f>
        <v>8</v>
      </c>
      <c r="CS419" s="93" cm="1">
        <f t="array" ref="CS419">SUMPRODUCT(TRANSPOSE(CS$4:CS$20),$G419:$W419)</f>
        <v>8</v>
      </c>
      <c r="CT419" s="93" cm="1">
        <f t="array" ref="CT419">SUMPRODUCT(TRANSPOSE(CT$4:CT$20),$G419:$W419)</f>
        <v>8</v>
      </c>
      <c r="CU419" s="93" cm="1">
        <f t="array" ref="CU419">SUMPRODUCT(TRANSPOSE(CU$4:CU$20),$G419:$W419)</f>
        <v>8</v>
      </c>
      <c r="CV419" s="93" cm="1">
        <f t="array" ref="CV419">SUMPRODUCT(TRANSPOSE(CV$4:CV$20),$G419:$W419)</f>
        <v>8</v>
      </c>
      <c r="CW419" s="93" cm="1">
        <f t="array" ref="CW419">SUMPRODUCT(TRANSPOSE(CW$4:CW$20),$G419:$W419)</f>
        <v>8</v>
      </c>
      <c r="CX419" s="93" cm="1">
        <f t="array" ref="CX419">SUMPRODUCT(TRANSPOSE(CX$4:CX$20),$G419:$W419)</f>
        <v>8</v>
      </c>
      <c r="CY419" s="93" cm="1">
        <f t="array" ref="CY419">SUMPRODUCT(TRANSPOSE(CY$4:CY$20),$G419:$W419)</f>
        <v>8</v>
      </c>
      <c r="CZ419" s="93" cm="1">
        <f t="array" ref="CZ419">SUMPRODUCT(TRANSPOSE(CZ$4:CZ$20),$G419:$W419)</f>
        <v>8</v>
      </c>
      <c r="DA419" s="93" cm="1">
        <f t="array" ref="DA419">SUMPRODUCT(TRANSPOSE(DA$4:DA$20),$G419:$W419)</f>
        <v>8</v>
      </c>
      <c r="DB419" s="93" cm="1">
        <f t="array" ref="DB419">SUMPRODUCT(TRANSPOSE(DB$4:DB$20),$G419:$W419)</f>
        <v>8</v>
      </c>
      <c r="DC419" s="93" cm="1">
        <f t="array" ref="DC419">SUMPRODUCT(TRANSPOSE(DC$4:DC$20),$G419:$W419)</f>
        <v>6</v>
      </c>
      <c r="DD419" s="93" cm="1">
        <f t="array" ref="DD419">SUMPRODUCT(TRANSPOSE(DD$4:DD$20),$G419:$W419)</f>
        <v>0</v>
      </c>
      <c r="DE419" s="93" cm="1">
        <f t="array" ref="DE419">SUMPRODUCT(TRANSPOSE(DE$4:DE$20),$G419:$W419)</f>
        <v>0</v>
      </c>
      <c r="DF419" s="93" cm="1">
        <f t="array" ref="DF419">SUMPRODUCT(TRANSPOSE(DF$4:DF$20),$G419:$W419)</f>
        <v>0</v>
      </c>
      <c r="DG419" s="93" cm="1">
        <f t="array" ref="DG419">SUMPRODUCT(TRANSPOSE(DG$4:DG$20),$G419:$W419)</f>
        <v>0</v>
      </c>
      <c r="DH419" s="93" cm="1">
        <f t="array" ref="DH419">SUMPRODUCT(TRANSPOSE(DH$4:DH$20),$G419:$W419)</f>
        <v>0</v>
      </c>
      <c r="DI419" s="93" cm="1">
        <f t="array" ref="DI419">SUMPRODUCT(TRANSPOSE(DI$4:DI$20),$G419:$W419)</f>
        <v>0</v>
      </c>
      <c r="DJ419" s="93" cm="1">
        <f t="array" ref="DJ419">SUMPRODUCT(TRANSPOSE(DJ$4:DJ$20),$G419:$W419)</f>
        <v>0</v>
      </c>
      <c r="DK419" s="93" cm="1">
        <f t="array" ref="DK419">SUMPRODUCT(TRANSPOSE(DK$4:DK$20),$G419:$W419)</f>
        <v>0</v>
      </c>
      <c r="DL419" s="93" cm="1">
        <f t="array" ref="DL419">SUMPRODUCT(TRANSPOSE(DL$4:DL$20),$G419:$W419)</f>
        <v>0</v>
      </c>
      <c r="DM419" s="93" cm="1">
        <f t="array" ref="DM419">SUMPRODUCT(TRANSPOSE(DM$4:DM$20),$G419:$W419)</f>
        <v>0</v>
      </c>
      <c r="DN419" s="93" cm="1">
        <f t="array" ref="DN419">SUMPRODUCT(TRANSPOSE(DN$4:DN$20),$G419:$W419)</f>
        <v>0</v>
      </c>
      <c r="DO419" s="93" cm="1">
        <f t="array" ref="DO419">SUMPRODUCT(TRANSPOSE(DO$4:DO$20),$G419:$W419)</f>
        <v>0</v>
      </c>
    </row>
    <row r="420" spans="1:119" x14ac:dyDescent="0.2">
      <c r="A420" s="45">
        <f t="shared" si="32"/>
        <v>399</v>
      </c>
      <c r="B420" s="64" t="s">
        <v>97</v>
      </c>
      <c r="C420" s="45">
        <v>410790302</v>
      </c>
      <c r="D420" s="45" t="s">
        <v>134</v>
      </c>
      <c r="E420" s="45" t="s">
        <v>162</v>
      </c>
      <c r="F420" s="48">
        <v>1</v>
      </c>
      <c r="G420" s="100">
        <v>1</v>
      </c>
      <c r="H420" s="100">
        <v>0</v>
      </c>
      <c r="I420" s="100">
        <v>0</v>
      </c>
      <c r="J420" s="100">
        <v>0</v>
      </c>
      <c r="K420" s="100">
        <v>0</v>
      </c>
      <c r="L420" s="100">
        <v>0</v>
      </c>
      <c r="M420" s="100">
        <v>0</v>
      </c>
      <c r="N420" s="100">
        <v>0</v>
      </c>
      <c r="O420" s="100">
        <v>0</v>
      </c>
      <c r="P420" s="100">
        <v>0</v>
      </c>
      <c r="Q420" s="100">
        <v>0</v>
      </c>
      <c r="R420" s="100">
        <v>0</v>
      </c>
      <c r="S420" s="100">
        <v>0</v>
      </c>
      <c r="T420" s="100">
        <v>0</v>
      </c>
      <c r="U420" s="100">
        <v>0</v>
      </c>
      <c r="V420" s="100">
        <v>0</v>
      </c>
      <c r="W420" s="100">
        <v>0</v>
      </c>
      <c r="X420" s="45" t="s">
        <v>4</v>
      </c>
      <c r="Y420" s="49">
        <v>0</v>
      </c>
      <c r="Z420" s="45">
        <v>0</v>
      </c>
      <c r="AA420" s="45">
        <v>0</v>
      </c>
      <c r="AB420" s="45">
        <v>0</v>
      </c>
      <c r="AC420" s="45">
        <v>0</v>
      </c>
      <c r="AD420" s="45">
        <v>0</v>
      </c>
      <c r="AE420" s="45">
        <v>0</v>
      </c>
      <c r="AF420" s="45">
        <v>0</v>
      </c>
      <c r="AG420" s="45">
        <v>0</v>
      </c>
      <c r="AH420" s="45">
        <v>0</v>
      </c>
      <c r="AI420" s="45">
        <v>0</v>
      </c>
      <c r="AJ420" s="45">
        <v>0</v>
      </c>
      <c r="AK420" s="45">
        <v>0</v>
      </c>
      <c r="AL420" s="45">
        <v>0</v>
      </c>
      <c r="AM420" s="45">
        <v>0</v>
      </c>
      <c r="AN420" s="45">
        <v>0</v>
      </c>
      <c r="AO420" s="45"/>
      <c r="AP420" s="45"/>
      <c r="AQ420" s="45"/>
      <c r="AR420" s="45"/>
      <c r="AS420" s="45"/>
      <c r="AT420" s="45"/>
      <c r="AU420" s="45"/>
      <c r="AV420" s="45"/>
      <c r="AW420" s="45"/>
      <c r="AX420" s="45"/>
      <c r="AY420" s="45"/>
      <c r="AZ420" s="45"/>
      <c r="BA420" s="45"/>
      <c r="BB420" s="45"/>
      <c r="BC420" s="45"/>
      <c r="BD420" s="93"/>
      <c r="BE420" s="93"/>
      <c r="BF420" s="93"/>
      <c r="BG420" s="93"/>
      <c r="BH420" s="93"/>
      <c r="BI420" s="93"/>
      <c r="BJ420" s="93"/>
      <c r="BK420" s="93">
        <f>SUM($Z420:AD420)-SUM($CM420:CQ420)</f>
        <v>-8</v>
      </c>
      <c r="BL420" s="93">
        <f>SUM($Z420:AE420)-SUM($CM420:CR420)</f>
        <v>-16</v>
      </c>
      <c r="BM420" s="93">
        <f>SUM($Z420:AF420)-SUM($CM420:CS420)</f>
        <v>-24</v>
      </c>
      <c r="BN420" s="93">
        <f>SUM($Z420:AG420)-SUM($CM420:CT420)</f>
        <v>-32</v>
      </c>
      <c r="BO420" s="93">
        <f>SUM($Z420:AH420)-SUM($CM420:CU420)</f>
        <v>-40</v>
      </c>
      <c r="BP420" s="93">
        <f>SUM($Z420:AI420)-SUM($CM420:CV420)</f>
        <v>-48</v>
      </c>
      <c r="BQ420" s="93">
        <f>SUM($Z420:AJ420)-SUM($CM420:CW420)</f>
        <v>-56</v>
      </c>
      <c r="BR420" s="93">
        <f>SUM($Z420:AK420)-SUM($CM420:CX420)</f>
        <v>-64</v>
      </c>
      <c r="BS420" s="93">
        <f>SUM($Z420:AL420)-SUM($CM420:CY420)</f>
        <v>-72</v>
      </c>
      <c r="BT420" s="93">
        <f>SUM($Z420:AM420)-SUM($CM420:CZ420)</f>
        <v>-80</v>
      </c>
      <c r="BU420" s="93">
        <f>SUM($Z420:AN420)-SUM($CM420:DA420)</f>
        <v>-88</v>
      </c>
      <c r="BV420" s="93">
        <f>SUM($Z420:AO420)-SUM($CM420:DB420)</f>
        <v>-96</v>
      </c>
      <c r="BW420" s="93">
        <f>SUM($Z420:AP420)-SUM($CM420:DC420)</f>
        <v>-102</v>
      </c>
      <c r="BX420" s="93">
        <f>SUM($Z420:AQ420)-SUM($CM420:DD420)</f>
        <v>-102</v>
      </c>
      <c r="BY420" s="93">
        <f>SUM($Z420:AR420)-SUM($CM420:DE420)</f>
        <v>-102</v>
      </c>
      <c r="BZ420" s="93">
        <f>SUM($Z420:AS420)-SUM($CM420:DF420)</f>
        <v>-102</v>
      </c>
      <c r="CA420" s="93">
        <f>SUM($Z420:AT420)-SUM($CM420:DG420)</f>
        <v>-102</v>
      </c>
      <c r="CB420" s="93">
        <f>SUM($Z420:AU420)-SUM($CM420:DH420)</f>
        <v>-102</v>
      </c>
      <c r="CC420" s="93">
        <f>SUM($Z420:AV420)-SUM($CM420:DI420)</f>
        <v>-102</v>
      </c>
      <c r="CD420" s="93">
        <f>SUM($Z420:AW420)-SUM($CM420:DJ420)</f>
        <v>-102</v>
      </c>
      <c r="CE420" s="93">
        <f>SUM($Z420:AX420)-SUM($CM420:DK420)</f>
        <v>-102</v>
      </c>
      <c r="CF420" s="93">
        <f>SUM($Z420:AY420)-SUM($CM420:DL420)</f>
        <v>-102</v>
      </c>
      <c r="CG420" s="93">
        <f>SUM($Z420:AZ420)-SUM($CM420:DM420)</f>
        <v>-102</v>
      </c>
      <c r="CH420" s="93">
        <f>SUM($Z420:BA420)-SUM($CM420:DN420)</f>
        <v>-102</v>
      </c>
      <c r="CI420" s="93">
        <f>SUM($Z420:BB420)-SUM($CM420:DO420)</f>
        <v>-102</v>
      </c>
      <c r="CJ420" s="93"/>
      <c r="CK420" s="93"/>
      <c r="CL420" s="93"/>
      <c r="CM420" s="93"/>
      <c r="CN420" s="93" cm="1">
        <f t="array" ref="CN420">SUMPRODUCT(TRANSPOSE(CN$4:CN$20),$G420:$W420)</f>
        <v>0</v>
      </c>
      <c r="CO420" s="93" cm="1">
        <f t="array" ref="CO420">SUMPRODUCT(TRANSPOSE(CO$4:CO$20),$G420:$W420)</f>
        <v>0</v>
      </c>
      <c r="CP420" s="93" cm="1">
        <f t="array" ref="CP420">SUMPRODUCT(TRANSPOSE(CP$4:CP$20),$G420:$W420)</f>
        <v>0</v>
      </c>
      <c r="CQ420" s="93" cm="1">
        <f t="array" ref="CQ420">SUMPRODUCT(TRANSPOSE(CQ$4:CQ$20),$G420:$W420)</f>
        <v>8</v>
      </c>
      <c r="CR420" s="93" cm="1">
        <f t="array" ref="CR420">SUMPRODUCT(TRANSPOSE(CR$4:CR$20),$G420:$W420)</f>
        <v>8</v>
      </c>
      <c r="CS420" s="93" cm="1">
        <f t="array" ref="CS420">SUMPRODUCT(TRANSPOSE(CS$4:CS$20),$G420:$W420)</f>
        <v>8</v>
      </c>
      <c r="CT420" s="93" cm="1">
        <f t="array" ref="CT420">SUMPRODUCT(TRANSPOSE(CT$4:CT$20),$G420:$W420)</f>
        <v>8</v>
      </c>
      <c r="CU420" s="93" cm="1">
        <f t="array" ref="CU420">SUMPRODUCT(TRANSPOSE(CU$4:CU$20),$G420:$W420)</f>
        <v>8</v>
      </c>
      <c r="CV420" s="93" cm="1">
        <f t="array" ref="CV420">SUMPRODUCT(TRANSPOSE(CV$4:CV$20),$G420:$W420)</f>
        <v>8</v>
      </c>
      <c r="CW420" s="93" cm="1">
        <f t="array" ref="CW420">SUMPRODUCT(TRANSPOSE(CW$4:CW$20),$G420:$W420)</f>
        <v>8</v>
      </c>
      <c r="CX420" s="93" cm="1">
        <f t="array" ref="CX420">SUMPRODUCT(TRANSPOSE(CX$4:CX$20),$G420:$W420)</f>
        <v>8</v>
      </c>
      <c r="CY420" s="93" cm="1">
        <f t="array" ref="CY420">SUMPRODUCT(TRANSPOSE(CY$4:CY$20),$G420:$W420)</f>
        <v>8</v>
      </c>
      <c r="CZ420" s="93" cm="1">
        <f t="array" ref="CZ420">SUMPRODUCT(TRANSPOSE(CZ$4:CZ$20),$G420:$W420)</f>
        <v>8</v>
      </c>
      <c r="DA420" s="93" cm="1">
        <f t="array" ref="DA420">SUMPRODUCT(TRANSPOSE(DA$4:DA$20),$G420:$W420)</f>
        <v>8</v>
      </c>
      <c r="DB420" s="93" cm="1">
        <f t="array" ref="DB420">SUMPRODUCT(TRANSPOSE(DB$4:DB$20),$G420:$W420)</f>
        <v>8</v>
      </c>
      <c r="DC420" s="93" cm="1">
        <f t="array" ref="DC420">SUMPRODUCT(TRANSPOSE(DC$4:DC$20),$G420:$W420)</f>
        <v>6</v>
      </c>
      <c r="DD420" s="93" cm="1">
        <f t="array" ref="DD420">SUMPRODUCT(TRANSPOSE(DD$4:DD$20),$G420:$W420)</f>
        <v>0</v>
      </c>
      <c r="DE420" s="93" cm="1">
        <f t="array" ref="DE420">SUMPRODUCT(TRANSPOSE(DE$4:DE$20),$G420:$W420)</f>
        <v>0</v>
      </c>
      <c r="DF420" s="93" cm="1">
        <f t="array" ref="DF420">SUMPRODUCT(TRANSPOSE(DF$4:DF$20),$G420:$W420)</f>
        <v>0</v>
      </c>
      <c r="DG420" s="93" cm="1">
        <f t="array" ref="DG420">SUMPRODUCT(TRANSPOSE(DG$4:DG$20),$G420:$W420)</f>
        <v>0</v>
      </c>
      <c r="DH420" s="93" cm="1">
        <f t="array" ref="DH420">SUMPRODUCT(TRANSPOSE(DH$4:DH$20),$G420:$W420)</f>
        <v>0</v>
      </c>
      <c r="DI420" s="93" cm="1">
        <f t="array" ref="DI420">SUMPRODUCT(TRANSPOSE(DI$4:DI$20),$G420:$W420)</f>
        <v>0</v>
      </c>
      <c r="DJ420" s="93" cm="1">
        <f t="array" ref="DJ420">SUMPRODUCT(TRANSPOSE(DJ$4:DJ$20),$G420:$W420)</f>
        <v>0</v>
      </c>
      <c r="DK420" s="93" cm="1">
        <f t="array" ref="DK420">SUMPRODUCT(TRANSPOSE(DK$4:DK$20),$G420:$W420)</f>
        <v>0</v>
      </c>
      <c r="DL420" s="93" cm="1">
        <f t="array" ref="DL420">SUMPRODUCT(TRANSPOSE(DL$4:DL$20),$G420:$W420)</f>
        <v>0</v>
      </c>
      <c r="DM420" s="93" cm="1">
        <f t="array" ref="DM420">SUMPRODUCT(TRANSPOSE(DM$4:DM$20),$G420:$W420)</f>
        <v>0</v>
      </c>
      <c r="DN420" s="93" cm="1">
        <f t="array" ref="DN420">SUMPRODUCT(TRANSPOSE(DN$4:DN$20),$G420:$W420)</f>
        <v>0</v>
      </c>
      <c r="DO420" s="93" cm="1">
        <f t="array" ref="DO420">SUMPRODUCT(TRANSPOSE(DO$4:DO$20),$G420:$W420)</f>
        <v>0</v>
      </c>
    </row>
    <row r="421" spans="1:119" x14ac:dyDescent="0.2">
      <c r="A421" s="45">
        <f t="shared" si="32"/>
        <v>400</v>
      </c>
      <c r="B421" s="64" t="s">
        <v>902</v>
      </c>
      <c r="C421" s="45">
        <v>410810137</v>
      </c>
      <c r="D421" s="45" t="s">
        <v>205</v>
      </c>
      <c r="E421" s="45" t="s">
        <v>162</v>
      </c>
      <c r="F421" s="48">
        <v>1</v>
      </c>
      <c r="G421" s="100">
        <v>0</v>
      </c>
      <c r="H421" s="100">
        <v>0</v>
      </c>
      <c r="I421" s="100">
        <v>0</v>
      </c>
      <c r="J421" s="100">
        <v>0</v>
      </c>
      <c r="K421" s="100">
        <v>0</v>
      </c>
      <c r="L421" s="100">
        <v>0</v>
      </c>
      <c r="M421" s="100">
        <v>1</v>
      </c>
      <c r="N421" s="100">
        <v>0</v>
      </c>
      <c r="O421" s="100">
        <v>0</v>
      </c>
      <c r="P421" s="100">
        <v>0</v>
      </c>
      <c r="Q421" s="100">
        <v>0</v>
      </c>
      <c r="R421" s="100">
        <v>0</v>
      </c>
      <c r="S421" s="100">
        <v>0</v>
      </c>
      <c r="T421" s="100">
        <v>0</v>
      </c>
      <c r="U421" s="100">
        <v>0</v>
      </c>
      <c r="V421" s="100">
        <v>0</v>
      </c>
      <c r="W421" s="100">
        <v>0</v>
      </c>
      <c r="X421" s="45" t="s">
        <v>44</v>
      </c>
      <c r="Y421" s="49">
        <v>2.2000000000000002</v>
      </c>
      <c r="Z421" s="45">
        <v>142</v>
      </c>
      <c r="AA421" s="45">
        <v>0</v>
      </c>
      <c r="AB421" s="45">
        <v>0</v>
      </c>
      <c r="AC421" s="45">
        <v>0</v>
      </c>
      <c r="AD421" s="45">
        <v>0</v>
      </c>
      <c r="AE421" s="45">
        <v>0</v>
      </c>
      <c r="AF421" s="45">
        <v>0</v>
      </c>
      <c r="AG421" s="45">
        <v>0</v>
      </c>
      <c r="AH421" s="45">
        <v>0</v>
      </c>
      <c r="AI421" s="45">
        <v>0</v>
      </c>
      <c r="AJ421" s="45">
        <v>0</v>
      </c>
      <c r="AK421" s="45">
        <v>0</v>
      </c>
      <c r="AL421" s="45">
        <v>0</v>
      </c>
      <c r="AM421" s="45">
        <v>0</v>
      </c>
      <c r="AN421" s="45">
        <v>0</v>
      </c>
      <c r="AO421" s="45"/>
      <c r="AP421" s="45"/>
      <c r="AQ421" s="45"/>
      <c r="AR421" s="45"/>
      <c r="AS421" s="45"/>
      <c r="AT421" s="45"/>
      <c r="AU421" s="45"/>
      <c r="AV421" s="45"/>
      <c r="AW421" s="45"/>
      <c r="AX421" s="45"/>
      <c r="AY421" s="45"/>
      <c r="AZ421" s="45"/>
      <c r="BA421" s="45"/>
      <c r="BB421" s="45"/>
      <c r="BC421" s="45"/>
      <c r="BD421" s="93"/>
      <c r="BE421" s="93"/>
      <c r="BF421" s="93"/>
      <c r="BG421" s="93"/>
      <c r="BH421" s="93"/>
      <c r="BI421" s="93"/>
      <c r="BJ421" s="93"/>
      <c r="BK421" s="93">
        <f>SUM($Z421:AD421)-SUM($CM421:CQ421)</f>
        <v>134</v>
      </c>
      <c r="BL421" s="93">
        <f>SUM($Z421:AE421)-SUM($CM421:CR421)</f>
        <v>126</v>
      </c>
      <c r="BM421" s="93">
        <f>SUM($Z421:AF421)-SUM($CM421:CS421)</f>
        <v>118</v>
      </c>
      <c r="BN421" s="93">
        <f>SUM($Z421:AG421)-SUM($CM421:CT421)</f>
        <v>110</v>
      </c>
      <c r="BO421" s="93">
        <f>SUM($Z421:AH421)-SUM($CM421:CU421)</f>
        <v>102</v>
      </c>
      <c r="BP421" s="93">
        <f>SUM($Z421:AI421)-SUM($CM421:CV421)</f>
        <v>94</v>
      </c>
      <c r="BQ421" s="93">
        <f>SUM($Z421:AJ421)-SUM($CM421:CW421)</f>
        <v>86</v>
      </c>
      <c r="BR421" s="93">
        <f>SUM($Z421:AK421)-SUM($CM421:CX421)</f>
        <v>78</v>
      </c>
      <c r="BS421" s="93">
        <f>SUM($Z421:AL421)-SUM($CM421:CY421)</f>
        <v>70</v>
      </c>
      <c r="BT421" s="93">
        <f>SUM($Z421:AM421)-SUM($CM421:CZ421)</f>
        <v>62</v>
      </c>
      <c r="BU421" s="93">
        <f>SUM($Z421:AN421)-SUM($CM421:DA421)</f>
        <v>54</v>
      </c>
      <c r="BV421" s="93">
        <f>SUM($Z421:AO421)-SUM($CM421:DB421)</f>
        <v>46</v>
      </c>
      <c r="BW421" s="93">
        <f>SUM($Z421:AP421)-SUM($CM421:DC421)</f>
        <v>32</v>
      </c>
      <c r="BX421" s="93">
        <f>SUM($Z421:AQ421)-SUM($CM421:DD421)</f>
        <v>32</v>
      </c>
      <c r="BY421" s="93">
        <f>SUM($Z421:AR421)-SUM($CM421:DE421)</f>
        <v>32</v>
      </c>
      <c r="BZ421" s="93">
        <f>SUM($Z421:AS421)-SUM($CM421:DF421)</f>
        <v>32</v>
      </c>
      <c r="CA421" s="93">
        <f>SUM($Z421:AT421)-SUM($CM421:DG421)</f>
        <v>32</v>
      </c>
      <c r="CB421" s="93">
        <f>SUM($Z421:AU421)-SUM($CM421:DH421)</f>
        <v>32</v>
      </c>
      <c r="CC421" s="93">
        <f>SUM($Z421:AV421)-SUM($CM421:DI421)</f>
        <v>32</v>
      </c>
      <c r="CD421" s="93">
        <f>SUM($Z421:AW421)-SUM($CM421:DJ421)</f>
        <v>32</v>
      </c>
      <c r="CE421" s="93">
        <f>SUM($Z421:AX421)-SUM($CM421:DK421)</f>
        <v>32</v>
      </c>
      <c r="CF421" s="93">
        <f>SUM($Z421:AY421)-SUM($CM421:DL421)</f>
        <v>32</v>
      </c>
      <c r="CG421" s="93">
        <f>SUM($Z421:AZ421)-SUM($CM421:DM421)</f>
        <v>32</v>
      </c>
      <c r="CH421" s="93">
        <f>SUM($Z421:BA421)-SUM($CM421:DN421)</f>
        <v>32</v>
      </c>
      <c r="CI421" s="93">
        <f>SUM($Z421:BB421)-SUM($CM421:DO421)</f>
        <v>32</v>
      </c>
      <c r="CJ421" s="93"/>
      <c r="CK421" s="93"/>
      <c r="CL421" s="93"/>
      <c r="CM421" s="93"/>
      <c r="CN421" s="93" cm="1">
        <f t="array" ref="CN421">SUMPRODUCT(TRANSPOSE(CN$4:CN$20),$G421:$W421)</f>
        <v>0</v>
      </c>
      <c r="CO421" s="93" cm="1">
        <f t="array" ref="CO421">SUMPRODUCT(TRANSPOSE(CO$4:CO$20),$G421:$W421)</f>
        <v>0</v>
      </c>
      <c r="CP421" s="93" cm="1">
        <f t="array" ref="CP421">SUMPRODUCT(TRANSPOSE(CP$4:CP$20),$G421:$W421)</f>
        <v>0</v>
      </c>
      <c r="CQ421" s="93" cm="1">
        <f t="array" ref="CQ421">SUMPRODUCT(TRANSPOSE(CQ$4:CQ$20),$G421:$W421)</f>
        <v>8</v>
      </c>
      <c r="CR421" s="93" cm="1">
        <f t="array" ref="CR421">SUMPRODUCT(TRANSPOSE(CR$4:CR$20),$G421:$W421)</f>
        <v>8</v>
      </c>
      <c r="CS421" s="93" cm="1">
        <f t="array" ref="CS421">SUMPRODUCT(TRANSPOSE(CS$4:CS$20),$G421:$W421)</f>
        <v>8</v>
      </c>
      <c r="CT421" s="93" cm="1">
        <f t="array" ref="CT421">SUMPRODUCT(TRANSPOSE(CT$4:CT$20),$G421:$W421)</f>
        <v>8</v>
      </c>
      <c r="CU421" s="93" cm="1">
        <f t="array" ref="CU421">SUMPRODUCT(TRANSPOSE(CU$4:CU$20),$G421:$W421)</f>
        <v>8</v>
      </c>
      <c r="CV421" s="93" cm="1">
        <f t="array" ref="CV421">SUMPRODUCT(TRANSPOSE(CV$4:CV$20),$G421:$W421)</f>
        <v>8</v>
      </c>
      <c r="CW421" s="93" cm="1">
        <f t="array" ref="CW421">SUMPRODUCT(TRANSPOSE(CW$4:CW$20),$G421:$W421)</f>
        <v>8</v>
      </c>
      <c r="CX421" s="93" cm="1">
        <f t="array" ref="CX421">SUMPRODUCT(TRANSPOSE(CX$4:CX$20),$G421:$W421)</f>
        <v>8</v>
      </c>
      <c r="CY421" s="93" cm="1">
        <f t="array" ref="CY421">SUMPRODUCT(TRANSPOSE(CY$4:CY$20),$G421:$W421)</f>
        <v>8</v>
      </c>
      <c r="CZ421" s="93" cm="1">
        <f t="array" ref="CZ421">SUMPRODUCT(TRANSPOSE(CZ$4:CZ$20),$G421:$W421)</f>
        <v>8</v>
      </c>
      <c r="DA421" s="93" cm="1">
        <f t="array" ref="DA421">SUMPRODUCT(TRANSPOSE(DA$4:DA$20),$G421:$W421)</f>
        <v>8</v>
      </c>
      <c r="DB421" s="93" cm="1">
        <f t="array" ref="DB421">SUMPRODUCT(TRANSPOSE(DB$4:DB$20),$G421:$W421)</f>
        <v>8</v>
      </c>
      <c r="DC421" s="93" cm="1">
        <f t="array" ref="DC421">SUMPRODUCT(TRANSPOSE(DC$4:DC$20),$G421:$W421)</f>
        <v>14</v>
      </c>
      <c r="DD421" s="93" cm="1">
        <f t="array" ref="DD421">SUMPRODUCT(TRANSPOSE(DD$4:DD$20),$G421:$W421)</f>
        <v>0</v>
      </c>
      <c r="DE421" s="93" cm="1">
        <f t="array" ref="DE421">SUMPRODUCT(TRANSPOSE(DE$4:DE$20),$G421:$W421)</f>
        <v>0</v>
      </c>
      <c r="DF421" s="93" cm="1">
        <f t="array" ref="DF421">SUMPRODUCT(TRANSPOSE(DF$4:DF$20),$G421:$W421)</f>
        <v>0</v>
      </c>
      <c r="DG421" s="93" cm="1">
        <f t="array" ref="DG421">SUMPRODUCT(TRANSPOSE(DG$4:DG$20),$G421:$W421)</f>
        <v>0</v>
      </c>
      <c r="DH421" s="93" cm="1">
        <f t="array" ref="DH421">SUMPRODUCT(TRANSPOSE(DH$4:DH$20),$G421:$W421)</f>
        <v>0</v>
      </c>
      <c r="DI421" s="93" cm="1">
        <f t="array" ref="DI421">SUMPRODUCT(TRANSPOSE(DI$4:DI$20),$G421:$W421)</f>
        <v>0</v>
      </c>
      <c r="DJ421" s="93" cm="1">
        <f t="array" ref="DJ421">SUMPRODUCT(TRANSPOSE(DJ$4:DJ$20),$G421:$W421)</f>
        <v>0</v>
      </c>
      <c r="DK421" s="93" cm="1">
        <f t="array" ref="DK421">SUMPRODUCT(TRANSPOSE(DK$4:DK$20),$G421:$W421)</f>
        <v>0</v>
      </c>
      <c r="DL421" s="93" cm="1">
        <f t="array" ref="DL421">SUMPRODUCT(TRANSPOSE(DL$4:DL$20),$G421:$W421)</f>
        <v>0</v>
      </c>
      <c r="DM421" s="93" cm="1">
        <f t="array" ref="DM421">SUMPRODUCT(TRANSPOSE(DM$4:DM$20),$G421:$W421)</f>
        <v>0</v>
      </c>
      <c r="DN421" s="93" cm="1">
        <f t="array" ref="DN421">SUMPRODUCT(TRANSPOSE(DN$4:DN$20),$G421:$W421)</f>
        <v>0</v>
      </c>
      <c r="DO421" s="93" cm="1">
        <f t="array" ref="DO421">SUMPRODUCT(TRANSPOSE(DO$4:DO$20),$G421:$W421)</f>
        <v>0</v>
      </c>
    </row>
    <row r="422" spans="1:119" x14ac:dyDescent="0.2">
      <c r="A422" s="50">
        <f t="shared" si="32"/>
        <v>401</v>
      </c>
      <c r="B422" s="64" t="s">
        <v>903</v>
      </c>
      <c r="C422" s="45">
        <v>409480711</v>
      </c>
      <c r="D422" s="45" t="s">
        <v>904</v>
      </c>
      <c r="E422" s="45" t="s">
        <v>162</v>
      </c>
      <c r="F422" s="48">
        <v>1</v>
      </c>
      <c r="G422" s="100">
        <v>1</v>
      </c>
      <c r="H422" s="100">
        <v>0</v>
      </c>
      <c r="I422" s="100">
        <v>0</v>
      </c>
      <c r="J422" s="100">
        <v>0</v>
      </c>
      <c r="K422" s="100">
        <v>0</v>
      </c>
      <c r="L422" s="100">
        <v>0</v>
      </c>
      <c r="M422" s="100">
        <v>0</v>
      </c>
      <c r="N422" s="100">
        <v>0</v>
      </c>
      <c r="O422" s="100">
        <v>0</v>
      </c>
      <c r="P422" s="100">
        <v>0</v>
      </c>
      <c r="Q422" s="100">
        <v>0</v>
      </c>
      <c r="R422" s="100">
        <v>0</v>
      </c>
      <c r="S422" s="100">
        <v>0</v>
      </c>
      <c r="T422" s="100">
        <v>0</v>
      </c>
      <c r="U422" s="100">
        <v>0</v>
      </c>
      <c r="V422" s="100">
        <v>0</v>
      </c>
      <c r="W422" s="100">
        <v>0</v>
      </c>
      <c r="X422" s="45" t="s">
        <v>8</v>
      </c>
      <c r="Y422" s="49">
        <v>0</v>
      </c>
      <c r="Z422" s="45">
        <v>50</v>
      </c>
      <c r="AA422" s="45">
        <v>0</v>
      </c>
      <c r="AB422" s="45">
        <v>0</v>
      </c>
      <c r="AC422" s="45">
        <v>0</v>
      </c>
      <c r="AD422" s="45">
        <v>0</v>
      </c>
      <c r="AE422" s="45">
        <v>0</v>
      </c>
      <c r="AF422" s="45">
        <v>0</v>
      </c>
      <c r="AG422" s="45">
        <v>0</v>
      </c>
      <c r="AH422" s="45">
        <v>0</v>
      </c>
      <c r="AI422" s="45">
        <v>0</v>
      </c>
      <c r="AJ422" s="45">
        <v>0</v>
      </c>
      <c r="AK422" s="45">
        <v>0</v>
      </c>
      <c r="AL422" s="45">
        <v>0</v>
      </c>
      <c r="AM422" s="45">
        <v>0</v>
      </c>
      <c r="AN422" s="45">
        <v>0</v>
      </c>
      <c r="AO422" s="45"/>
      <c r="AP422" s="45"/>
      <c r="AQ422" s="45"/>
      <c r="AR422" s="45"/>
      <c r="AS422" s="45"/>
      <c r="AT422" s="45"/>
      <c r="AU422" s="45"/>
      <c r="AV422" s="45"/>
      <c r="AW422" s="45"/>
      <c r="AX422" s="45"/>
      <c r="AY422" s="45"/>
      <c r="AZ422" s="45"/>
      <c r="BA422" s="45"/>
      <c r="BB422" s="45"/>
      <c r="BC422" s="45"/>
      <c r="BD422" s="93"/>
      <c r="BE422" s="93"/>
      <c r="BF422" s="93"/>
      <c r="BG422" s="93"/>
      <c r="BH422" s="93"/>
      <c r="BI422" s="93"/>
      <c r="BJ422" s="93"/>
      <c r="BK422" s="93">
        <f>SUM($Z422:AD422)-SUM($CM422:CQ422)</f>
        <v>42</v>
      </c>
      <c r="BL422" s="93">
        <f>SUM($Z422:AE422)-SUM($CM422:CR422)</f>
        <v>34</v>
      </c>
      <c r="BM422" s="93">
        <f>SUM($Z422:AF422)-SUM($CM422:CS422)</f>
        <v>26</v>
      </c>
      <c r="BN422" s="93">
        <f>SUM($Z422:AG422)-SUM($CM422:CT422)</f>
        <v>18</v>
      </c>
      <c r="BO422" s="93">
        <f>SUM($Z422:AH422)-SUM($CM422:CU422)</f>
        <v>10</v>
      </c>
      <c r="BP422" s="93">
        <f>SUM($Z422:AI422)-SUM($CM422:CV422)</f>
        <v>2</v>
      </c>
      <c r="BQ422" s="93">
        <f>SUM($Z422:AJ422)-SUM($CM422:CW422)</f>
        <v>-6</v>
      </c>
      <c r="BR422" s="93">
        <f>SUM($Z422:AK422)-SUM($CM422:CX422)</f>
        <v>-14</v>
      </c>
      <c r="BS422" s="93">
        <f>SUM($Z422:AL422)-SUM($CM422:CY422)</f>
        <v>-22</v>
      </c>
      <c r="BT422" s="93">
        <f>SUM($Z422:AM422)-SUM($CM422:CZ422)</f>
        <v>-30</v>
      </c>
      <c r="BU422" s="93">
        <f>SUM($Z422:AN422)-SUM($CM422:DA422)</f>
        <v>-38</v>
      </c>
      <c r="BV422" s="93">
        <f>SUM($Z422:AO422)-SUM($CM422:DB422)</f>
        <v>-46</v>
      </c>
      <c r="BW422" s="93">
        <f>SUM($Z422:AP422)-SUM($CM422:DC422)</f>
        <v>-52</v>
      </c>
      <c r="BX422" s="93">
        <f>SUM($Z422:AQ422)-SUM($CM422:DD422)</f>
        <v>-52</v>
      </c>
      <c r="BY422" s="93">
        <f>SUM($Z422:AR422)-SUM($CM422:DE422)</f>
        <v>-52</v>
      </c>
      <c r="BZ422" s="93">
        <f>SUM($Z422:AS422)-SUM($CM422:DF422)</f>
        <v>-52</v>
      </c>
      <c r="CA422" s="93">
        <f>SUM($Z422:AT422)-SUM($CM422:DG422)</f>
        <v>-52</v>
      </c>
      <c r="CB422" s="93">
        <f>SUM($Z422:AU422)-SUM($CM422:DH422)</f>
        <v>-52</v>
      </c>
      <c r="CC422" s="93">
        <f>SUM($Z422:AV422)-SUM($CM422:DI422)</f>
        <v>-52</v>
      </c>
      <c r="CD422" s="93">
        <f>SUM($Z422:AW422)-SUM($CM422:DJ422)</f>
        <v>-52</v>
      </c>
      <c r="CE422" s="93">
        <f>SUM($Z422:AX422)-SUM($CM422:DK422)</f>
        <v>-52</v>
      </c>
      <c r="CF422" s="93">
        <f>SUM($Z422:AY422)-SUM($CM422:DL422)</f>
        <v>-52</v>
      </c>
      <c r="CG422" s="93">
        <f>SUM($Z422:AZ422)-SUM($CM422:DM422)</f>
        <v>-52</v>
      </c>
      <c r="CH422" s="93">
        <f>SUM($Z422:BA422)-SUM($CM422:DN422)</f>
        <v>-52</v>
      </c>
      <c r="CI422" s="93">
        <f>SUM($Z422:BB422)-SUM($CM422:DO422)</f>
        <v>-52</v>
      </c>
      <c r="CJ422" s="93"/>
      <c r="CK422" s="93"/>
      <c r="CL422" s="93"/>
      <c r="CM422" s="93"/>
      <c r="CN422" s="93" cm="1">
        <f t="array" ref="CN422">SUMPRODUCT(TRANSPOSE(CN$4:CN$20),$G422:$W422)</f>
        <v>0</v>
      </c>
      <c r="CO422" s="93" cm="1">
        <f t="array" ref="CO422">SUMPRODUCT(TRANSPOSE(CO$4:CO$20),$G422:$W422)</f>
        <v>0</v>
      </c>
      <c r="CP422" s="93" cm="1">
        <f t="array" ref="CP422">SUMPRODUCT(TRANSPOSE(CP$4:CP$20),$G422:$W422)</f>
        <v>0</v>
      </c>
      <c r="CQ422" s="93" cm="1">
        <f t="array" ref="CQ422">SUMPRODUCT(TRANSPOSE(CQ$4:CQ$20),$G422:$W422)</f>
        <v>8</v>
      </c>
      <c r="CR422" s="93" cm="1">
        <f t="array" ref="CR422">SUMPRODUCT(TRANSPOSE(CR$4:CR$20),$G422:$W422)</f>
        <v>8</v>
      </c>
      <c r="CS422" s="93" cm="1">
        <f t="array" ref="CS422">SUMPRODUCT(TRANSPOSE(CS$4:CS$20),$G422:$W422)</f>
        <v>8</v>
      </c>
      <c r="CT422" s="93" cm="1">
        <f t="array" ref="CT422">SUMPRODUCT(TRANSPOSE(CT$4:CT$20),$G422:$W422)</f>
        <v>8</v>
      </c>
      <c r="CU422" s="93" cm="1">
        <f t="array" ref="CU422">SUMPRODUCT(TRANSPOSE(CU$4:CU$20),$G422:$W422)</f>
        <v>8</v>
      </c>
      <c r="CV422" s="93" cm="1">
        <f t="array" ref="CV422">SUMPRODUCT(TRANSPOSE(CV$4:CV$20),$G422:$W422)</f>
        <v>8</v>
      </c>
      <c r="CW422" s="93" cm="1">
        <f t="array" ref="CW422">SUMPRODUCT(TRANSPOSE(CW$4:CW$20),$G422:$W422)</f>
        <v>8</v>
      </c>
      <c r="CX422" s="93" cm="1">
        <f t="array" ref="CX422">SUMPRODUCT(TRANSPOSE(CX$4:CX$20),$G422:$W422)</f>
        <v>8</v>
      </c>
      <c r="CY422" s="93" cm="1">
        <f t="array" ref="CY422">SUMPRODUCT(TRANSPOSE(CY$4:CY$20),$G422:$W422)</f>
        <v>8</v>
      </c>
      <c r="CZ422" s="93" cm="1">
        <f t="array" ref="CZ422">SUMPRODUCT(TRANSPOSE(CZ$4:CZ$20),$G422:$W422)</f>
        <v>8</v>
      </c>
      <c r="DA422" s="93" cm="1">
        <f t="array" ref="DA422">SUMPRODUCT(TRANSPOSE(DA$4:DA$20),$G422:$W422)</f>
        <v>8</v>
      </c>
      <c r="DB422" s="93" cm="1">
        <f t="array" ref="DB422">SUMPRODUCT(TRANSPOSE(DB$4:DB$20),$G422:$W422)</f>
        <v>8</v>
      </c>
      <c r="DC422" s="93" cm="1">
        <f t="array" ref="DC422">SUMPRODUCT(TRANSPOSE(DC$4:DC$20),$G422:$W422)</f>
        <v>6</v>
      </c>
      <c r="DD422" s="93" cm="1">
        <f t="array" ref="DD422">SUMPRODUCT(TRANSPOSE(DD$4:DD$20),$G422:$W422)</f>
        <v>0</v>
      </c>
      <c r="DE422" s="93" cm="1">
        <f t="array" ref="DE422">SUMPRODUCT(TRANSPOSE(DE$4:DE$20),$G422:$W422)</f>
        <v>0</v>
      </c>
      <c r="DF422" s="93" cm="1">
        <f t="array" ref="DF422">SUMPRODUCT(TRANSPOSE(DF$4:DF$20),$G422:$W422)</f>
        <v>0</v>
      </c>
      <c r="DG422" s="93" cm="1">
        <f t="array" ref="DG422">SUMPRODUCT(TRANSPOSE(DG$4:DG$20),$G422:$W422)</f>
        <v>0</v>
      </c>
      <c r="DH422" s="93" cm="1">
        <f t="array" ref="DH422">SUMPRODUCT(TRANSPOSE(DH$4:DH$20),$G422:$W422)</f>
        <v>0</v>
      </c>
      <c r="DI422" s="93" cm="1">
        <f t="array" ref="DI422">SUMPRODUCT(TRANSPOSE(DI$4:DI$20),$G422:$W422)</f>
        <v>0</v>
      </c>
      <c r="DJ422" s="93" cm="1">
        <f t="array" ref="DJ422">SUMPRODUCT(TRANSPOSE(DJ$4:DJ$20),$G422:$W422)</f>
        <v>0</v>
      </c>
      <c r="DK422" s="93" cm="1">
        <f t="array" ref="DK422">SUMPRODUCT(TRANSPOSE(DK$4:DK$20),$G422:$W422)</f>
        <v>0</v>
      </c>
      <c r="DL422" s="93" cm="1">
        <f t="array" ref="DL422">SUMPRODUCT(TRANSPOSE(DL$4:DL$20),$G422:$W422)</f>
        <v>0</v>
      </c>
      <c r="DM422" s="93" cm="1">
        <f t="array" ref="DM422">SUMPRODUCT(TRANSPOSE(DM$4:DM$20),$G422:$W422)</f>
        <v>0</v>
      </c>
      <c r="DN422" s="93" cm="1">
        <f t="array" ref="DN422">SUMPRODUCT(TRANSPOSE(DN$4:DN$20),$G422:$W422)</f>
        <v>0</v>
      </c>
      <c r="DO422" s="93" cm="1">
        <f t="array" ref="DO422">SUMPRODUCT(TRANSPOSE(DO$4:DO$20),$G422:$W422)</f>
        <v>0</v>
      </c>
    </row>
    <row r="423" spans="1:119" x14ac:dyDescent="0.2">
      <c r="A423" s="50">
        <f t="shared" si="32"/>
        <v>402</v>
      </c>
      <c r="B423" s="64" t="s">
        <v>905</v>
      </c>
      <c r="C423" s="45">
        <v>410790321</v>
      </c>
      <c r="D423" s="45" t="s">
        <v>906</v>
      </c>
      <c r="E423" s="45" t="s">
        <v>162</v>
      </c>
      <c r="F423" s="48">
        <v>1</v>
      </c>
      <c r="G423" s="100">
        <v>1</v>
      </c>
      <c r="H423" s="100">
        <v>0</v>
      </c>
      <c r="I423" s="100">
        <v>0</v>
      </c>
      <c r="J423" s="100">
        <v>0</v>
      </c>
      <c r="K423" s="100">
        <v>0</v>
      </c>
      <c r="L423" s="100">
        <v>0</v>
      </c>
      <c r="M423" s="100">
        <v>0</v>
      </c>
      <c r="N423" s="100">
        <v>0</v>
      </c>
      <c r="O423" s="100">
        <v>0</v>
      </c>
      <c r="P423" s="100">
        <v>0</v>
      </c>
      <c r="Q423" s="100">
        <v>0</v>
      </c>
      <c r="R423" s="100">
        <v>0</v>
      </c>
      <c r="S423" s="100">
        <v>0</v>
      </c>
      <c r="T423" s="100">
        <v>0</v>
      </c>
      <c r="U423" s="100">
        <v>0</v>
      </c>
      <c r="V423" s="100">
        <v>0</v>
      </c>
      <c r="W423" s="100">
        <v>0</v>
      </c>
      <c r="X423" s="45" t="s">
        <v>8</v>
      </c>
      <c r="Y423" s="49">
        <v>0</v>
      </c>
      <c r="Z423" s="45">
        <v>50</v>
      </c>
      <c r="AA423" s="45">
        <v>0</v>
      </c>
      <c r="AB423" s="45">
        <v>0</v>
      </c>
      <c r="AC423" s="45">
        <v>0</v>
      </c>
      <c r="AD423" s="45">
        <v>0</v>
      </c>
      <c r="AE423" s="45">
        <v>0</v>
      </c>
      <c r="AF423" s="45">
        <v>0</v>
      </c>
      <c r="AG423" s="45">
        <v>0</v>
      </c>
      <c r="AH423" s="45">
        <v>0</v>
      </c>
      <c r="AI423" s="45">
        <v>0</v>
      </c>
      <c r="AJ423" s="45">
        <v>0</v>
      </c>
      <c r="AK423" s="45">
        <v>0</v>
      </c>
      <c r="AL423" s="45">
        <v>0</v>
      </c>
      <c r="AM423" s="45">
        <v>0</v>
      </c>
      <c r="AN423" s="45">
        <v>0</v>
      </c>
      <c r="AO423" s="45"/>
      <c r="AP423" s="45"/>
      <c r="AQ423" s="45"/>
      <c r="AR423" s="45"/>
      <c r="AS423" s="45"/>
      <c r="AT423" s="45"/>
      <c r="AU423" s="45"/>
      <c r="AV423" s="45"/>
      <c r="AW423" s="45"/>
      <c r="AX423" s="45"/>
      <c r="AY423" s="45"/>
      <c r="AZ423" s="45"/>
      <c r="BA423" s="45"/>
      <c r="BB423" s="45"/>
      <c r="BC423" s="45"/>
      <c r="BD423" s="93"/>
      <c r="BE423" s="93"/>
      <c r="BF423" s="93"/>
      <c r="BG423" s="93"/>
      <c r="BH423" s="93"/>
      <c r="BI423" s="93"/>
      <c r="BJ423" s="93"/>
      <c r="BK423" s="93">
        <f>SUM($Z423:AD423)-SUM($CM423:CQ423)</f>
        <v>42</v>
      </c>
      <c r="BL423" s="93">
        <f>SUM($Z423:AE423)-SUM($CM423:CR423)</f>
        <v>34</v>
      </c>
      <c r="BM423" s="93">
        <f>SUM($Z423:AF423)-SUM($CM423:CS423)</f>
        <v>26</v>
      </c>
      <c r="BN423" s="93">
        <f>SUM($Z423:AG423)-SUM($CM423:CT423)</f>
        <v>18</v>
      </c>
      <c r="BO423" s="93">
        <f>SUM($Z423:AH423)-SUM($CM423:CU423)</f>
        <v>10</v>
      </c>
      <c r="BP423" s="93">
        <f>SUM($Z423:AI423)-SUM($CM423:CV423)</f>
        <v>2</v>
      </c>
      <c r="BQ423" s="93">
        <f>SUM($Z423:AJ423)-SUM($CM423:CW423)</f>
        <v>-6</v>
      </c>
      <c r="BR423" s="93">
        <f>SUM($Z423:AK423)-SUM($CM423:CX423)</f>
        <v>-14</v>
      </c>
      <c r="BS423" s="93">
        <f>SUM($Z423:AL423)-SUM($CM423:CY423)</f>
        <v>-22</v>
      </c>
      <c r="BT423" s="93">
        <f>SUM($Z423:AM423)-SUM($CM423:CZ423)</f>
        <v>-30</v>
      </c>
      <c r="BU423" s="93">
        <f>SUM($Z423:AN423)-SUM($CM423:DA423)</f>
        <v>-38</v>
      </c>
      <c r="BV423" s="93">
        <f>SUM($Z423:AO423)-SUM($CM423:DB423)</f>
        <v>-46</v>
      </c>
      <c r="BW423" s="93">
        <f>SUM($Z423:AP423)-SUM($CM423:DC423)</f>
        <v>-52</v>
      </c>
      <c r="BX423" s="93">
        <f>SUM($Z423:AQ423)-SUM($CM423:DD423)</f>
        <v>-52</v>
      </c>
      <c r="BY423" s="93">
        <f>SUM($Z423:AR423)-SUM($CM423:DE423)</f>
        <v>-52</v>
      </c>
      <c r="BZ423" s="93">
        <f>SUM($Z423:AS423)-SUM($CM423:DF423)</f>
        <v>-52</v>
      </c>
      <c r="CA423" s="93">
        <f>SUM($Z423:AT423)-SUM($CM423:DG423)</f>
        <v>-52</v>
      </c>
      <c r="CB423" s="93">
        <f>SUM($Z423:AU423)-SUM($CM423:DH423)</f>
        <v>-52</v>
      </c>
      <c r="CC423" s="93">
        <f>SUM($Z423:AV423)-SUM($CM423:DI423)</f>
        <v>-52</v>
      </c>
      <c r="CD423" s="93">
        <f>SUM($Z423:AW423)-SUM($CM423:DJ423)</f>
        <v>-52</v>
      </c>
      <c r="CE423" s="93">
        <f>SUM($Z423:AX423)-SUM($CM423:DK423)</f>
        <v>-52</v>
      </c>
      <c r="CF423" s="93">
        <f>SUM($Z423:AY423)-SUM($CM423:DL423)</f>
        <v>-52</v>
      </c>
      <c r="CG423" s="93">
        <f>SUM($Z423:AZ423)-SUM($CM423:DM423)</f>
        <v>-52</v>
      </c>
      <c r="CH423" s="93">
        <f>SUM($Z423:BA423)-SUM($CM423:DN423)</f>
        <v>-52</v>
      </c>
      <c r="CI423" s="93">
        <f>SUM($Z423:BB423)-SUM($CM423:DO423)</f>
        <v>-52</v>
      </c>
      <c r="CJ423" s="93"/>
      <c r="CK423" s="93"/>
      <c r="CL423" s="93"/>
      <c r="CM423" s="93"/>
      <c r="CN423" s="93" cm="1">
        <f t="array" ref="CN423">SUMPRODUCT(TRANSPOSE(CN$4:CN$20),$G423:$W423)</f>
        <v>0</v>
      </c>
      <c r="CO423" s="93" cm="1">
        <f t="array" ref="CO423">SUMPRODUCT(TRANSPOSE(CO$4:CO$20),$G423:$W423)</f>
        <v>0</v>
      </c>
      <c r="CP423" s="93" cm="1">
        <f t="array" ref="CP423">SUMPRODUCT(TRANSPOSE(CP$4:CP$20),$G423:$W423)</f>
        <v>0</v>
      </c>
      <c r="CQ423" s="93" cm="1">
        <f t="array" ref="CQ423">SUMPRODUCT(TRANSPOSE(CQ$4:CQ$20),$G423:$W423)</f>
        <v>8</v>
      </c>
      <c r="CR423" s="93" cm="1">
        <f t="array" ref="CR423">SUMPRODUCT(TRANSPOSE(CR$4:CR$20),$G423:$W423)</f>
        <v>8</v>
      </c>
      <c r="CS423" s="93" cm="1">
        <f t="array" ref="CS423">SUMPRODUCT(TRANSPOSE(CS$4:CS$20),$G423:$W423)</f>
        <v>8</v>
      </c>
      <c r="CT423" s="93" cm="1">
        <f t="array" ref="CT423">SUMPRODUCT(TRANSPOSE(CT$4:CT$20),$G423:$W423)</f>
        <v>8</v>
      </c>
      <c r="CU423" s="93" cm="1">
        <f t="array" ref="CU423">SUMPRODUCT(TRANSPOSE(CU$4:CU$20),$G423:$W423)</f>
        <v>8</v>
      </c>
      <c r="CV423" s="93" cm="1">
        <f t="array" ref="CV423">SUMPRODUCT(TRANSPOSE(CV$4:CV$20),$G423:$W423)</f>
        <v>8</v>
      </c>
      <c r="CW423" s="93" cm="1">
        <f t="array" ref="CW423">SUMPRODUCT(TRANSPOSE(CW$4:CW$20),$G423:$W423)</f>
        <v>8</v>
      </c>
      <c r="CX423" s="93" cm="1">
        <f t="array" ref="CX423">SUMPRODUCT(TRANSPOSE(CX$4:CX$20),$G423:$W423)</f>
        <v>8</v>
      </c>
      <c r="CY423" s="93" cm="1">
        <f t="array" ref="CY423">SUMPRODUCT(TRANSPOSE(CY$4:CY$20),$G423:$W423)</f>
        <v>8</v>
      </c>
      <c r="CZ423" s="93" cm="1">
        <f t="array" ref="CZ423">SUMPRODUCT(TRANSPOSE(CZ$4:CZ$20),$G423:$W423)</f>
        <v>8</v>
      </c>
      <c r="DA423" s="93" cm="1">
        <f t="array" ref="DA423">SUMPRODUCT(TRANSPOSE(DA$4:DA$20),$G423:$W423)</f>
        <v>8</v>
      </c>
      <c r="DB423" s="93" cm="1">
        <f t="array" ref="DB423">SUMPRODUCT(TRANSPOSE(DB$4:DB$20),$G423:$W423)</f>
        <v>8</v>
      </c>
      <c r="DC423" s="93" cm="1">
        <f t="array" ref="DC423">SUMPRODUCT(TRANSPOSE(DC$4:DC$20),$G423:$W423)</f>
        <v>6</v>
      </c>
      <c r="DD423" s="93" cm="1">
        <f t="array" ref="DD423">SUMPRODUCT(TRANSPOSE(DD$4:DD$20),$G423:$W423)</f>
        <v>0</v>
      </c>
      <c r="DE423" s="93" cm="1">
        <f t="array" ref="DE423">SUMPRODUCT(TRANSPOSE(DE$4:DE$20),$G423:$W423)</f>
        <v>0</v>
      </c>
      <c r="DF423" s="93" cm="1">
        <f t="array" ref="DF423">SUMPRODUCT(TRANSPOSE(DF$4:DF$20),$G423:$W423)</f>
        <v>0</v>
      </c>
      <c r="DG423" s="93" cm="1">
        <f t="array" ref="DG423">SUMPRODUCT(TRANSPOSE(DG$4:DG$20),$G423:$W423)</f>
        <v>0</v>
      </c>
      <c r="DH423" s="93" cm="1">
        <f t="array" ref="DH423">SUMPRODUCT(TRANSPOSE(DH$4:DH$20),$G423:$W423)</f>
        <v>0</v>
      </c>
      <c r="DI423" s="93" cm="1">
        <f t="array" ref="DI423">SUMPRODUCT(TRANSPOSE(DI$4:DI$20),$G423:$W423)</f>
        <v>0</v>
      </c>
      <c r="DJ423" s="93" cm="1">
        <f t="array" ref="DJ423">SUMPRODUCT(TRANSPOSE(DJ$4:DJ$20),$G423:$W423)</f>
        <v>0</v>
      </c>
      <c r="DK423" s="93" cm="1">
        <f t="array" ref="DK423">SUMPRODUCT(TRANSPOSE(DK$4:DK$20),$G423:$W423)</f>
        <v>0</v>
      </c>
      <c r="DL423" s="93" cm="1">
        <f t="array" ref="DL423">SUMPRODUCT(TRANSPOSE(DL$4:DL$20),$G423:$W423)</f>
        <v>0</v>
      </c>
      <c r="DM423" s="93" cm="1">
        <f t="array" ref="DM423">SUMPRODUCT(TRANSPOSE(DM$4:DM$20),$G423:$W423)</f>
        <v>0</v>
      </c>
      <c r="DN423" s="93" cm="1">
        <f t="array" ref="DN423">SUMPRODUCT(TRANSPOSE(DN$4:DN$20),$G423:$W423)</f>
        <v>0</v>
      </c>
      <c r="DO423" s="93" cm="1">
        <f t="array" ref="DO423">SUMPRODUCT(TRANSPOSE(DO$4:DO$20),$G423:$W423)</f>
        <v>0</v>
      </c>
    </row>
    <row r="424" spans="1:119" x14ac:dyDescent="0.2">
      <c r="A424" s="50">
        <f t="shared" si="32"/>
        <v>403</v>
      </c>
      <c r="B424" s="64" t="s">
        <v>907</v>
      </c>
      <c r="C424" s="45">
        <v>410790355</v>
      </c>
      <c r="D424" s="45" t="s">
        <v>908</v>
      </c>
      <c r="E424" s="45" t="s">
        <v>162</v>
      </c>
      <c r="F424" s="48">
        <v>1</v>
      </c>
      <c r="G424" s="100">
        <v>1</v>
      </c>
      <c r="H424" s="100">
        <v>0</v>
      </c>
      <c r="I424" s="100">
        <v>0</v>
      </c>
      <c r="J424" s="100">
        <v>0</v>
      </c>
      <c r="K424" s="100">
        <v>0</v>
      </c>
      <c r="L424" s="100">
        <v>0</v>
      </c>
      <c r="M424" s="100">
        <v>0</v>
      </c>
      <c r="N424" s="100">
        <v>0</v>
      </c>
      <c r="O424" s="100">
        <v>0</v>
      </c>
      <c r="P424" s="100">
        <v>0</v>
      </c>
      <c r="Q424" s="100">
        <v>0</v>
      </c>
      <c r="R424" s="100">
        <v>0</v>
      </c>
      <c r="S424" s="100">
        <v>0</v>
      </c>
      <c r="T424" s="100">
        <v>0</v>
      </c>
      <c r="U424" s="100">
        <v>0</v>
      </c>
      <c r="V424" s="100">
        <v>0</v>
      </c>
      <c r="W424" s="100">
        <v>0</v>
      </c>
      <c r="X424" s="45" t="s">
        <v>8</v>
      </c>
      <c r="Y424" s="49">
        <v>0</v>
      </c>
      <c r="Z424" s="45">
        <v>50</v>
      </c>
      <c r="AA424" s="45">
        <v>0</v>
      </c>
      <c r="AB424" s="45">
        <v>0</v>
      </c>
      <c r="AC424" s="45">
        <v>0</v>
      </c>
      <c r="AD424" s="45">
        <v>0</v>
      </c>
      <c r="AE424" s="45">
        <v>0</v>
      </c>
      <c r="AF424" s="45">
        <v>0</v>
      </c>
      <c r="AG424" s="45">
        <v>0</v>
      </c>
      <c r="AH424" s="45">
        <v>0</v>
      </c>
      <c r="AI424" s="45">
        <v>0</v>
      </c>
      <c r="AJ424" s="45">
        <v>0</v>
      </c>
      <c r="AK424" s="45">
        <v>0</v>
      </c>
      <c r="AL424" s="45">
        <v>0</v>
      </c>
      <c r="AM424" s="45">
        <v>0</v>
      </c>
      <c r="AN424" s="45">
        <v>0</v>
      </c>
      <c r="AO424" s="45"/>
      <c r="AP424" s="45"/>
      <c r="AQ424" s="45"/>
      <c r="AR424" s="45"/>
      <c r="AS424" s="45"/>
      <c r="AT424" s="45"/>
      <c r="AU424" s="45"/>
      <c r="AV424" s="45"/>
      <c r="AW424" s="45"/>
      <c r="AX424" s="45"/>
      <c r="AY424" s="45"/>
      <c r="AZ424" s="45"/>
      <c r="BA424" s="45"/>
      <c r="BB424" s="45"/>
      <c r="BC424" s="45"/>
      <c r="BD424" s="93"/>
      <c r="BE424" s="93"/>
      <c r="BF424" s="93"/>
      <c r="BG424" s="93"/>
      <c r="BH424" s="93"/>
      <c r="BI424" s="93"/>
      <c r="BJ424" s="93"/>
      <c r="BK424" s="93">
        <f>SUM($Z424:AD424)-SUM($CM424:CQ424)</f>
        <v>42</v>
      </c>
      <c r="BL424" s="93">
        <f>SUM($Z424:AE424)-SUM($CM424:CR424)</f>
        <v>34</v>
      </c>
      <c r="BM424" s="93">
        <f>SUM($Z424:AF424)-SUM($CM424:CS424)</f>
        <v>26</v>
      </c>
      <c r="BN424" s="93">
        <f>SUM($Z424:AG424)-SUM($CM424:CT424)</f>
        <v>18</v>
      </c>
      <c r="BO424" s="93">
        <f>SUM($Z424:AH424)-SUM($CM424:CU424)</f>
        <v>10</v>
      </c>
      <c r="BP424" s="93">
        <f>SUM($Z424:AI424)-SUM($CM424:CV424)</f>
        <v>2</v>
      </c>
      <c r="BQ424" s="93">
        <f>SUM($Z424:AJ424)-SUM($CM424:CW424)</f>
        <v>-6</v>
      </c>
      <c r="BR424" s="93">
        <f>SUM($Z424:AK424)-SUM($CM424:CX424)</f>
        <v>-14</v>
      </c>
      <c r="BS424" s="93">
        <f>SUM($Z424:AL424)-SUM($CM424:CY424)</f>
        <v>-22</v>
      </c>
      <c r="BT424" s="93">
        <f>SUM($Z424:AM424)-SUM($CM424:CZ424)</f>
        <v>-30</v>
      </c>
      <c r="BU424" s="93">
        <f>SUM($Z424:AN424)-SUM($CM424:DA424)</f>
        <v>-38</v>
      </c>
      <c r="BV424" s="93">
        <f>SUM($Z424:AO424)-SUM($CM424:DB424)</f>
        <v>-46</v>
      </c>
      <c r="BW424" s="93">
        <f>SUM($Z424:AP424)-SUM($CM424:DC424)</f>
        <v>-52</v>
      </c>
      <c r="BX424" s="93">
        <f>SUM($Z424:AQ424)-SUM($CM424:DD424)</f>
        <v>-52</v>
      </c>
      <c r="BY424" s="93">
        <f>SUM($Z424:AR424)-SUM($CM424:DE424)</f>
        <v>-52</v>
      </c>
      <c r="BZ424" s="93">
        <f>SUM($Z424:AS424)-SUM($CM424:DF424)</f>
        <v>-52</v>
      </c>
      <c r="CA424" s="93">
        <f>SUM($Z424:AT424)-SUM($CM424:DG424)</f>
        <v>-52</v>
      </c>
      <c r="CB424" s="93">
        <f>SUM($Z424:AU424)-SUM($CM424:DH424)</f>
        <v>-52</v>
      </c>
      <c r="CC424" s="93">
        <f>SUM($Z424:AV424)-SUM($CM424:DI424)</f>
        <v>-52</v>
      </c>
      <c r="CD424" s="93">
        <f>SUM($Z424:AW424)-SUM($CM424:DJ424)</f>
        <v>-52</v>
      </c>
      <c r="CE424" s="93">
        <f>SUM($Z424:AX424)-SUM($CM424:DK424)</f>
        <v>-52</v>
      </c>
      <c r="CF424" s="93">
        <f>SUM($Z424:AY424)-SUM($CM424:DL424)</f>
        <v>-52</v>
      </c>
      <c r="CG424" s="93">
        <f>SUM($Z424:AZ424)-SUM($CM424:DM424)</f>
        <v>-52</v>
      </c>
      <c r="CH424" s="93">
        <f>SUM($Z424:BA424)-SUM($CM424:DN424)</f>
        <v>-52</v>
      </c>
      <c r="CI424" s="93">
        <f>SUM($Z424:BB424)-SUM($CM424:DO424)</f>
        <v>-52</v>
      </c>
      <c r="CJ424" s="93"/>
      <c r="CK424" s="93"/>
      <c r="CL424" s="93"/>
      <c r="CM424" s="93"/>
      <c r="CN424" s="93" cm="1">
        <f t="array" ref="CN424">SUMPRODUCT(TRANSPOSE(CN$4:CN$20),$G424:$W424)</f>
        <v>0</v>
      </c>
      <c r="CO424" s="93" cm="1">
        <f t="array" ref="CO424">SUMPRODUCT(TRANSPOSE(CO$4:CO$20),$G424:$W424)</f>
        <v>0</v>
      </c>
      <c r="CP424" s="93" cm="1">
        <f t="array" ref="CP424">SUMPRODUCT(TRANSPOSE(CP$4:CP$20),$G424:$W424)</f>
        <v>0</v>
      </c>
      <c r="CQ424" s="93" cm="1">
        <f t="array" ref="CQ424">SUMPRODUCT(TRANSPOSE(CQ$4:CQ$20),$G424:$W424)</f>
        <v>8</v>
      </c>
      <c r="CR424" s="93" cm="1">
        <f t="array" ref="CR424">SUMPRODUCT(TRANSPOSE(CR$4:CR$20),$G424:$W424)</f>
        <v>8</v>
      </c>
      <c r="CS424" s="93" cm="1">
        <f t="array" ref="CS424">SUMPRODUCT(TRANSPOSE(CS$4:CS$20),$G424:$W424)</f>
        <v>8</v>
      </c>
      <c r="CT424" s="93" cm="1">
        <f t="array" ref="CT424">SUMPRODUCT(TRANSPOSE(CT$4:CT$20),$G424:$W424)</f>
        <v>8</v>
      </c>
      <c r="CU424" s="93" cm="1">
        <f t="array" ref="CU424">SUMPRODUCT(TRANSPOSE(CU$4:CU$20),$G424:$W424)</f>
        <v>8</v>
      </c>
      <c r="CV424" s="93" cm="1">
        <f t="array" ref="CV424">SUMPRODUCT(TRANSPOSE(CV$4:CV$20),$G424:$W424)</f>
        <v>8</v>
      </c>
      <c r="CW424" s="93" cm="1">
        <f t="array" ref="CW424">SUMPRODUCT(TRANSPOSE(CW$4:CW$20),$G424:$W424)</f>
        <v>8</v>
      </c>
      <c r="CX424" s="93" cm="1">
        <f t="array" ref="CX424">SUMPRODUCT(TRANSPOSE(CX$4:CX$20),$G424:$W424)</f>
        <v>8</v>
      </c>
      <c r="CY424" s="93" cm="1">
        <f t="array" ref="CY424">SUMPRODUCT(TRANSPOSE(CY$4:CY$20),$G424:$W424)</f>
        <v>8</v>
      </c>
      <c r="CZ424" s="93" cm="1">
        <f t="array" ref="CZ424">SUMPRODUCT(TRANSPOSE(CZ$4:CZ$20),$G424:$W424)</f>
        <v>8</v>
      </c>
      <c r="DA424" s="93" cm="1">
        <f t="array" ref="DA424">SUMPRODUCT(TRANSPOSE(DA$4:DA$20),$G424:$W424)</f>
        <v>8</v>
      </c>
      <c r="DB424" s="93" cm="1">
        <f t="array" ref="DB424">SUMPRODUCT(TRANSPOSE(DB$4:DB$20),$G424:$W424)</f>
        <v>8</v>
      </c>
      <c r="DC424" s="93" cm="1">
        <f t="array" ref="DC424">SUMPRODUCT(TRANSPOSE(DC$4:DC$20),$G424:$W424)</f>
        <v>6</v>
      </c>
      <c r="DD424" s="93" cm="1">
        <f t="array" ref="DD424">SUMPRODUCT(TRANSPOSE(DD$4:DD$20),$G424:$W424)</f>
        <v>0</v>
      </c>
      <c r="DE424" s="93" cm="1">
        <f t="array" ref="DE424">SUMPRODUCT(TRANSPOSE(DE$4:DE$20),$G424:$W424)</f>
        <v>0</v>
      </c>
      <c r="DF424" s="93" cm="1">
        <f t="array" ref="DF424">SUMPRODUCT(TRANSPOSE(DF$4:DF$20),$G424:$W424)</f>
        <v>0</v>
      </c>
      <c r="DG424" s="93" cm="1">
        <f t="array" ref="DG424">SUMPRODUCT(TRANSPOSE(DG$4:DG$20),$G424:$W424)</f>
        <v>0</v>
      </c>
      <c r="DH424" s="93" cm="1">
        <f t="array" ref="DH424">SUMPRODUCT(TRANSPOSE(DH$4:DH$20),$G424:$W424)</f>
        <v>0</v>
      </c>
      <c r="DI424" s="93" cm="1">
        <f t="array" ref="DI424">SUMPRODUCT(TRANSPOSE(DI$4:DI$20),$G424:$W424)</f>
        <v>0</v>
      </c>
      <c r="DJ424" s="93" cm="1">
        <f t="array" ref="DJ424">SUMPRODUCT(TRANSPOSE(DJ$4:DJ$20),$G424:$W424)</f>
        <v>0</v>
      </c>
      <c r="DK424" s="93" cm="1">
        <f t="array" ref="DK424">SUMPRODUCT(TRANSPOSE(DK$4:DK$20),$G424:$W424)</f>
        <v>0</v>
      </c>
      <c r="DL424" s="93" cm="1">
        <f t="array" ref="DL424">SUMPRODUCT(TRANSPOSE(DL$4:DL$20),$G424:$W424)</f>
        <v>0</v>
      </c>
      <c r="DM424" s="93" cm="1">
        <f t="array" ref="DM424">SUMPRODUCT(TRANSPOSE(DM$4:DM$20),$G424:$W424)</f>
        <v>0</v>
      </c>
      <c r="DN424" s="93" cm="1">
        <f t="array" ref="DN424">SUMPRODUCT(TRANSPOSE(DN$4:DN$20),$G424:$W424)</f>
        <v>0</v>
      </c>
      <c r="DO424" s="93" cm="1">
        <f t="array" ref="DO424">SUMPRODUCT(TRANSPOSE(DO$4:DO$20),$G424:$W424)</f>
        <v>0</v>
      </c>
    </row>
    <row r="425" spans="1:119" x14ac:dyDescent="0.2">
      <c r="A425" s="45">
        <f t="shared" si="32"/>
        <v>404</v>
      </c>
      <c r="B425" s="64" t="s">
        <v>89</v>
      </c>
      <c r="C425" s="45">
        <v>410790375</v>
      </c>
      <c r="D425" s="45" t="s">
        <v>138</v>
      </c>
      <c r="E425" s="45" t="s">
        <v>162</v>
      </c>
      <c r="F425" s="48">
        <v>1</v>
      </c>
      <c r="G425" s="100">
        <v>1</v>
      </c>
      <c r="H425" s="100">
        <v>0</v>
      </c>
      <c r="I425" s="100">
        <v>0</v>
      </c>
      <c r="J425" s="100">
        <v>0</v>
      </c>
      <c r="K425" s="100">
        <v>0</v>
      </c>
      <c r="L425" s="100">
        <v>0</v>
      </c>
      <c r="M425" s="100">
        <v>0</v>
      </c>
      <c r="N425" s="100">
        <v>0</v>
      </c>
      <c r="O425" s="100">
        <v>0</v>
      </c>
      <c r="P425" s="100">
        <v>0</v>
      </c>
      <c r="Q425" s="100">
        <v>0</v>
      </c>
      <c r="R425" s="100">
        <v>0</v>
      </c>
      <c r="S425" s="100">
        <v>0</v>
      </c>
      <c r="T425" s="100">
        <v>0</v>
      </c>
      <c r="U425" s="100">
        <v>0</v>
      </c>
      <c r="V425" s="100">
        <v>0</v>
      </c>
      <c r="W425" s="100">
        <v>0</v>
      </c>
      <c r="X425" s="45" t="s">
        <v>4</v>
      </c>
      <c r="Y425" s="49">
        <v>0</v>
      </c>
      <c r="Z425" s="45">
        <v>0</v>
      </c>
      <c r="AA425" s="45">
        <v>0</v>
      </c>
      <c r="AB425" s="45">
        <v>0</v>
      </c>
      <c r="AC425" s="45">
        <v>0</v>
      </c>
      <c r="AD425" s="45">
        <v>0</v>
      </c>
      <c r="AE425" s="45">
        <v>0</v>
      </c>
      <c r="AF425" s="45">
        <v>0</v>
      </c>
      <c r="AG425" s="45">
        <v>0</v>
      </c>
      <c r="AH425" s="45">
        <v>0</v>
      </c>
      <c r="AI425" s="45">
        <v>0</v>
      </c>
      <c r="AJ425" s="45">
        <v>0</v>
      </c>
      <c r="AK425" s="45">
        <v>0</v>
      </c>
      <c r="AL425" s="45">
        <v>0</v>
      </c>
      <c r="AM425" s="45">
        <v>0</v>
      </c>
      <c r="AN425" s="45">
        <v>0</v>
      </c>
      <c r="AO425" s="45"/>
      <c r="AP425" s="45"/>
      <c r="AQ425" s="45"/>
      <c r="AR425" s="45"/>
      <c r="AS425" s="45"/>
      <c r="AT425" s="45"/>
      <c r="AU425" s="45"/>
      <c r="AV425" s="45"/>
      <c r="AW425" s="45"/>
      <c r="AX425" s="45"/>
      <c r="AY425" s="45"/>
      <c r="AZ425" s="45"/>
      <c r="BA425" s="45"/>
      <c r="BB425" s="45"/>
      <c r="BC425" s="45"/>
      <c r="BD425" s="93"/>
      <c r="BE425" s="93"/>
      <c r="BF425" s="93"/>
      <c r="BG425" s="93"/>
      <c r="BH425" s="93"/>
      <c r="BI425" s="93"/>
      <c r="BJ425" s="93"/>
      <c r="BK425" s="93">
        <f>SUM($Z425:AD425)-SUM($CM425:CQ425)</f>
        <v>-8</v>
      </c>
      <c r="BL425" s="93">
        <f>SUM($Z425:AE425)-SUM($CM425:CR425)</f>
        <v>-16</v>
      </c>
      <c r="BM425" s="93">
        <f>SUM($Z425:AF425)-SUM($CM425:CS425)</f>
        <v>-24</v>
      </c>
      <c r="BN425" s="93">
        <f>SUM($Z425:AG425)-SUM($CM425:CT425)</f>
        <v>-32</v>
      </c>
      <c r="BO425" s="93">
        <f>SUM($Z425:AH425)-SUM($CM425:CU425)</f>
        <v>-40</v>
      </c>
      <c r="BP425" s="93">
        <f>SUM($Z425:AI425)-SUM($CM425:CV425)</f>
        <v>-48</v>
      </c>
      <c r="BQ425" s="93">
        <f>SUM($Z425:AJ425)-SUM($CM425:CW425)</f>
        <v>-56</v>
      </c>
      <c r="BR425" s="93">
        <f>SUM($Z425:AK425)-SUM($CM425:CX425)</f>
        <v>-64</v>
      </c>
      <c r="BS425" s="93">
        <f>SUM($Z425:AL425)-SUM($CM425:CY425)</f>
        <v>-72</v>
      </c>
      <c r="BT425" s="93">
        <f>SUM($Z425:AM425)-SUM($CM425:CZ425)</f>
        <v>-80</v>
      </c>
      <c r="BU425" s="93">
        <f>SUM($Z425:AN425)-SUM($CM425:DA425)</f>
        <v>-88</v>
      </c>
      <c r="BV425" s="93">
        <f>SUM($Z425:AO425)-SUM($CM425:DB425)</f>
        <v>-96</v>
      </c>
      <c r="BW425" s="93">
        <f>SUM($Z425:AP425)-SUM($CM425:DC425)</f>
        <v>-102</v>
      </c>
      <c r="BX425" s="93">
        <f>SUM($Z425:AQ425)-SUM($CM425:DD425)</f>
        <v>-102</v>
      </c>
      <c r="BY425" s="93">
        <f>SUM($Z425:AR425)-SUM($CM425:DE425)</f>
        <v>-102</v>
      </c>
      <c r="BZ425" s="93">
        <f>SUM($Z425:AS425)-SUM($CM425:DF425)</f>
        <v>-102</v>
      </c>
      <c r="CA425" s="93">
        <f>SUM($Z425:AT425)-SUM($CM425:DG425)</f>
        <v>-102</v>
      </c>
      <c r="CB425" s="93">
        <f>SUM($Z425:AU425)-SUM($CM425:DH425)</f>
        <v>-102</v>
      </c>
      <c r="CC425" s="93">
        <f>SUM($Z425:AV425)-SUM($CM425:DI425)</f>
        <v>-102</v>
      </c>
      <c r="CD425" s="93">
        <f>SUM($Z425:AW425)-SUM($CM425:DJ425)</f>
        <v>-102</v>
      </c>
      <c r="CE425" s="93">
        <f>SUM($Z425:AX425)-SUM($CM425:DK425)</f>
        <v>-102</v>
      </c>
      <c r="CF425" s="93">
        <f>SUM($Z425:AY425)-SUM($CM425:DL425)</f>
        <v>-102</v>
      </c>
      <c r="CG425" s="93">
        <f>SUM($Z425:AZ425)-SUM($CM425:DM425)</f>
        <v>-102</v>
      </c>
      <c r="CH425" s="93">
        <f>SUM($Z425:BA425)-SUM($CM425:DN425)</f>
        <v>-102</v>
      </c>
      <c r="CI425" s="93">
        <f>SUM($Z425:BB425)-SUM($CM425:DO425)</f>
        <v>-102</v>
      </c>
      <c r="CJ425" s="93"/>
      <c r="CK425" s="93"/>
      <c r="CL425" s="93"/>
      <c r="CM425" s="93"/>
      <c r="CN425" s="93" cm="1">
        <f t="array" ref="CN425">SUMPRODUCT(TRANSPOSE(CN$4:CN$20),$G425:$W425)</f>
        <v>0</v>
      </c>
      <c r="CO425" s="93" cm="1">
        <f t="array" ref="CO425">SUMPRODUCT(TRANSPOSE(CO$4:CO$20),$G425:$W425)</f>
        <v>0</v>
      </c>
      <c r="CP425" s="93" cm="1">
        <f t="array" ref="CP425">SUMPRODUCT(TRANSPOSE(CP$4:CP$20),$G425:$W425)</f>
        <v>0</v>
      </c>
      <c r="CQ425" s="93" cm="1">
        <f t="array" ref="CQ425">SUMPRODUCT(TRANSPOSE(CQ$4:CQ$20),$G425:$W425)</f>
        <v>8</v>
      </c>
      <c r="CR425" s="93" cm="1">
        <f t="array" ref="CR425">SUMPRODUCT(TRANSPOSE(CR$4:CR$20),$G425:$W425)</f>
        <v>8</v>
      </c>
      <c r="CS425" s="93" cm="1">
        <f t="array" ref="CS425">SUMPRODUCT(TRANSPOSE(CS$4:CS$20),$G425:$W425)</f>
        <v>8</v>
      </c>
      <c r="CT425" s="93" cm="1">
        <f t="array" ref="CT425">SUMPRODUCT(TRANSPOSE(CT$4:CT$20),$G425:$W425)</f>
        <v>8</v>
      </c>
      <c r="CU425" s="93" cm="1">
        <f t="array" ref="CU425">SUMPRODUCT(TRANSPOSE(CU$4:CU$20),$G425:$W425)</f>
        <v>8</v>
      </c>
      <c r="CV425" s="93" cm="1">
        <f t="array" ref="CV425">SUMPRODUCT(TRANSPOSE(CV$4:CV$20),$G425:$W425)</f>
        <v>8</v>
      </c>
      <c r="CW425" s="93" cm="1">
        <f t="array" ref="CW425">SUMPRODUCT(TRANSPOSE(CW$4:CW$20),$G425:$W425)</f>
        <v>8</v>
      </c>
      <c r="CX425" s="93" cm="1">
        <f t="array" ref="CX425">SUMPRODUCT(TRANSPOSE(CX$4:CX$20),$G425:$W425)</f>
        <v>8</v>
      </c>
      <c r="CY425" s="93" cm="1">
        <f t="array" ref="CY425">SUMPRODUCT(TRANSPOSE(CY$4:CY$20),$G425:$W425)</f>
        <v>8</v>
      </c>
      <c r="CZ425" s="93" cm="1">
        <f t="array" ref="CZ425">SUMPRODUCT(TRANSPOSE(CZ$4:CZ$20),$G425:$W425)</f>
        <v>8</v>
      </c>
      <c r="DA425" s="93" cm="1">
        <f t="array" ref="DA425">SUMPRODUCT(TRANSPOSE(DA$4:DA$20),$G425:$W425)</f>
        <v>8</v>
      </c>
      <c r="DB425" s="93" cm="1">
        <f t="array" ref="DB425">SUMPRODUCT(TRANSPOSE(DB$4:DB$20),$G425:$W425)</f>
        <v>8</v>
      </c>
      <c r="DC425" s="93" cm="1">
        <f t="array" ref="DC425">SUMPRODUCT(TRANSPOSE(DC$4:DC$20),$G425:$W425)</f>
        <v>6</v>
      </c>
      <c r="DD425" s="93" cm="1">
        <f t="array" ref="DD425">SUMPRODUCT(TRANSPOSE(DD$4:DD$20),$G425:$W425)</f>
        <v>0</v>
      </c>
      <c r="DE425" s="93" cm="1">
        <f t="array" ref="DE425">SUMPRODUCT(TRANSPOSE(DE$4:DE$20),$G425:$W425)</f>
        <v>0</v>
      </c>
      <c r="DF425" s="93" cm="1">
        <f t="array" ref="DF425">SUMPRODUCT(TRANSPOSE(DF$4:DF$20),$G425:$W425)</f>
        <v>0</v>
      </c>
      <c r="DG425" s="93" cm="1">
        <f t="array" ref="DG425">SUMPRODUCT(TRANSPOSE(DG$4:DG$20),$G425:$W425)</f>
        <v>0</v>
      </c>
      <c r="DH425" s="93" cm="1">
        <f t="array" ref="DH425">SUMPRODUCT(TRANSPOSE(DH$4:DH$20),$G425:$W425)</f>
        <v>0</v>
      </c>
      <c r="DI425" s="93" cm="1">
        <f t="array" ref="DI425">SUMPRODUCT(TRANSPOSE(DI$4:DI$20),$G425:$W425)</f>
        <v>0</v>
      </c>
      <c r="DJ425" s="93" cm="1">
        <f t="array" ref="DJ425">SUMPRODUCT(TRANSPOSE(DJ$4:DJ$20),$G425:$W425)</f>
        <v>0</v>
      </c>
      <c r="DK425" s="93" cm="1">
        <f t="array" ref="DK425">SUMPRODUCT(TRANSPOSE(DK$4:DK$20),$G425:$W425)</f>
        <v>0</v>
      </c>
      <c r="DL425" s="93" cm="1">
        <f t="array" ref="DL425">SUMPRODUCT(TRANSPOSE(DL$4:DL$20),$G425:$W425)</f>
        <v>0</v>
      </c>
      <c r="DM425" s="93" cm="1">
        <f t="array" ref="DM425">SUMPRODUCT(TRANSPOSE(DM$4:DM$20),$G425:$W425)</f>
        <v>0</v>
      </c>
      <c r="DN425" s="93" cm="1">
        <f t="array" ref="DN425">SUMPRODUCT(TRANSPOSE(DN$4:DN$20),$G425:$W425)</f>
        <v>0</v>
      </c>
      <c r="DO425" s="93" cm="1">
        <f t="array" ref="DO425">SUMPRODUCT(TRANSPOSE(DO$4:DO$20),$G425:$W425)</f>
        <v>0</v>
      </c>
    </row>
    <row r="426" spans="1:119" x14ac:dyDescent="0.2">
      <c r="A426" s="45">
        <f t="shared" si="32"/>
        <v>405</v>
      </c>
      <c r="B426" s="64" t="s">
        <v>909</v>
      </c>
      <c r="C426" s="45">
        <v>410705125</v>
      </c>
      <c r="D426" s="45" t="s">
        <v>205</v>
      </c>
      <c r="E426" s="45" t="s">
        <v>162</v>
      </c>
      <c r="F426" s="48">
        <v>1</v>
      </c>
      <c r="G426" s="100">
        <v>0</v>
      </c>
      <c r="H426" s="100">
        <v>1</v>
      </c>
      <c r="I426" s="100">
        <v>0</v>
      </c>
      <c r="J426" s="100">
        <v>0</v>
      </c>
      <c r="K426" s="100">
        <v>0</v>
      </c>
      <c r="L426" s="100">
        <v>0</v>
      </c>
      <c r="M426" s="100">
        <v>0</v>
      </c>
      <c r="N426" s="100">
        <v>0</v>
      </c>
      <c r="O426" s="100">
        <v>0</v>
      </c>
      <c r="P426" s="100">
        <v>0</v>
      </c>
      <c r="Q426" s="100">
        <v>0</v>
      </c>
      <c r="R426" s="100">
        <v>0</v>
      </c>
      <c r="S426" s="100">
        <v>0</v>
      </c>
      <c r="T426" s="100">
        <v>0</v>
      </c>
      <c r="U426" s="100">
        <v>0</v>
      </c>
      <c r="V426" s="100">
        <v>0</v>
      </c>
      <c r="W426" s="100">
        <v>0</v>
      </c>
      <c r="X426" s="45" t="s">
        <v>44</v>
      </c>
      <c r="Y426" s="53">
        <v>2.2000000000000002</v>
      </c>
      <c r="Z426" s="45">
        <v>145</v>
      </c>
      <c r="AA426" s="45">
        <v>0</v>
      </c>
      <c r="AB426" s="45">
        <v>0</v>
      </c>
      <c r="AC426" s="45">
        <v>0</v>
      </c>
      <c r="AD426" s="45">
        <v>0</v>
      </c>
      <c r="AE426" s="45">
        <v>0</v>
      </c>
      <c r="AF426" s="45">
        <v>0</v>
      </c>
      <c r="AG426" s="45">
        <v>0</v>
      </c>
      <c r="AH426" s="45">
        <v>0</v>
      </c>
      <c r="AI426" s="45">
        <v>0</v>
      </c>
      <c r="AJ426" s="45">
        <v>0</v>
      </c>
      <c r="AK426" s="45">
        <v>0</v>
      </c>
      <c r="AL426" s="45">
        <v>0</v>
      </c>
      <c r="AM426" s="45">
        <v>0</v>
      </c>
      <c r="AN426" s="45">
        <v>0</v>
      </c>
      <c r="AO426" s="45"/>
      <c r="AP426" s="45"/>
      <c r="AQ426" s="45"/>
      <c r="AR426" s="45"/>
      <c r="AS426" s="45"/>
      <c r="AT426" s="45"/>
      <c r="AU426" s="45"/>
      <c r="AV426" s="45"/>
      <c r="AW426" s="45"/>
      <c r="AX426" s="45"/>
      <c r="AY426" s="45"/>
      <c r="AZ426" s="45"/>
      <c r="BA426" s="45"/>
      <c r="BB426" s="45"/>
      <c r="BC426" s="45"/>
      <c r="BD426" s="93"/>
      <c r="BE426" s="93"/>
      <c r="BF426" s="93"/>
      <c r="BG426" s="93"/>
      <c r="BH426" s="93"/>
      <c r="BI426" s="93"/>
      <c r="BJ426" s="93"/>
      <c r="BK426" s="93">
        <f>SUM($Z426:AD426)-SUM($CM426:CQ426)</f>
        <v>137</v>
      </c>
      <c r="BL426" s="93">
        <f>SUM($Z426:AE426)-SUM($CM426:CR426)</f>
        <v>129</v>
      </c>
      <c r="BM426" s="93">
        <f>SUM($Z426:AF426)-SUM($CM426:CS426)</f>
        <v>121</v>
      </c>
      <c r="BN426" s="93">
        <f>SUM($Z426:AG426)-SUM($CM426:CT426)</f>
        <v>113</v>
      </c>
      <c r="BO426" s="93">
        <f>SUM($Z426:AH426)-SUM($CM426:CU426)</f>
        <v>105</v>
      </c>
      <c r="BP426" s="93">
        <f>SUM($Z426:AI426)-SUM($CM426:CV426)</f>
        <v>97</v>
      </c>
      <c r="BQ426" s="93">
        <f>SUM($Z426:AJ426)-SUM($CM426:CW426)</f>
        <v>89</v>
      </c>
      <c r="BR426" s="93">
        <f>SUM($Z426:AK426)-SUM($CM426:CX426)</f>
        <v>81</v>
      </c>
      <c r="BS426" s="93">
        <f>SUM($Z426:AL426)-SUM($CM426:CY426)</f>
        <v>73</v>
      </c>
      <c r="BT426" s="93">
        <f>SUM($Z426:AM426)-SUM($CM426:CZ426)</f>
        <v>65</v>
      </c>
      <c r="BU426" s="93">
        <f>SUM($Z426:AN426)-SUM($CM426:DA426)</f>
        <v>57</v>
      </c>
      <c r="BV426" s="93">
        <f>SUM($Z426:AO426)-SUM($CM426:DB426)</f>
        <v>49</v>
      </c>
      <c r="BW426" s="93">
        <f>SUM($Z426:AP426)-SUM($CM426:DC426)</f>
        <v>43</v>
      </c>
      <c r="BX426" s="93">
        <f>SUM($Z426:AQ426)-SUM($CM426:DD426)</f>
        <v>43</v>
      </c>
      <c r="BY426" s="93">
        <f>SUM($Z426:AR426)-SUM($CM426:DE426)</f>
        <v>43</v>
      </c>
      <c r="BZ426" s="93">
        <f>SUM($Z426:AS426)-SUM($CM426:DF426)</f>
        <v>43</v>
      </c>
      <c r="CA426" s="93">
        <f>SUM($Z426:AT426)-SUM($CM426:DG426)</f>
        <v>43</v>
      </c>
      <c r="CB426" s="93">
        <f>SUM($Z426:AU426)-SUM($CM426:DH426)</f>
        <v>43</v>
      </c>
      <c r="CC426" s="93">
        <f>SUM($Z426:AV426)-SUM($CM426:DI426)</f>
        <v>43</v>
      </c>
      <c r="CD426" s="93">
        <f>SUM($Z426:AW426)-SUM($CM426:DJ426)</f>
        <v>43</v>
      </c>
      <c r="CE426" s="93">
        <f>SUM($Z426:AX426)-SUM($CM426:DK426)</f>
        <v>43</v>
      </c>
      <c r="CF426" s="93">
        <f>SUM($Z426:AY426)-SUM($CM426:DL426)</f>
        <v>43</v>
      </c>
      <c r="CG426" s="93">
        <f>SUM($Z426:AZ426)-SUM($CM426:DM426)</f>
        <v>43</v>
      </c>
      <c r="CH426" s="93">
        <f>SUM($Z426:BA426)-SUM($CM426:DN426)</f>
        <v>43</v>
      </c>
      <c r="CI426" s="93">
        <f>SUM($Z426:BB426)-SUM($CM426:DO426)</f>
        <v>43</v>
      </c>
      <c r="CJ426" s="93"/>
      <c r="CK426" s="93"/>
      <c r="CL426" s="93"/>
      <c r="CM426" s="93"/>
      <c r="CN426" s="93" cm="1">
        <f t="array" ref="CN426">SUMPRODUCT(TRANSPOSE(CN$4:CN$20),$G426:$W426)</f>
        <v>0</v>
      </c>
      <c r="CO426" s="93" cm="1">
        <f t="array" ref="CO426">SUMPRODUCT(TRANSPOSE(CO$4:CO$20),$G426:$W426)</f>
        <v>0</v>
      </c>
      <c r="CP426" s="93" cm="1">
        <f t="array" ref="CP426">SUMPRODUCT(TRANSPOSE(CP$4:CP$20),$G426:$W426)</f>
        <v>0</v>
      </c>
      <c r="CQ426" s="93" cm="1">
        <f t="array" ref="CQ426">SUMPRODUCT(TRANSPOSE(CQ$4:CQ$20),$G426:$W426)</f>
        <v>8</v>
      </c>
      <c r="CR426" s="93" cm="1">
        <f t="array" ref="CR426">SUMPRODUCT(TRANSPOSE(CR$4:CR$20),$G426:$W426)</f>
        <v>8</v>
      </c>
      <c r="CS426" s="93" cm="1">
        <f t="array" ref="CS426">SUMPRODUCT(TRANSPOSE(CS$4:CS$20),$G426:$W426)</f>
        <v>8</v>
      </c>
      <c r="CT426" s="93" cm="1">
        <f t="array" ref="CT426">SUMPRODUCT(TRANSPOSE(CT$4:CT$20),$G426:$W426)</f>
        <v>8</v>
      </c>
      <c r="CU426" s="93" cm="1">
        <f t="array" ref="CU426">SUMPRODUCT(TRANSPOSE(CU$4:CU$20),$G426:$W426)</f>
        <v>8</v>
      </c>
      <c r="CV426" s="93" cm="1">
        <f t="array" ref="CV426">SUMPRODUCT(TRANSPOSE(CV$4:CV$20),$G426:$W426)</f>
        <v>8</v>
      </c>
      <c r="CW426" s="93" cm="1">
        <f t="array" ref="CW426">SUMPRODUCT(TRANSPOSE(CW$4:CW$20),$G426:$W426)</f>
        <v>8</v>
      </c>
      <c r="CX426" s="93" cm="1">
        <f t="array" ref="CX426">SUMPRODUCT(TRANSPOSE(CX$4:CX$20),$G426:$W426)</f>
        <v>8</v>
      </c>
      <c r="CY426" s="93" cm="1">
        <f t="array" ref="CY426">SUMPRODUCT(TRANSPOSE(CY$4:CY$20),$G426:$W426)</f>
        <v>8</v>
      </c>
      <c r="CZ426" s="93" cm="1">
        <f t="array" ref="CZ426">SUMPRODUCT(TRANSPOSE(CZ$4:CZ$20),$G426:$W426)</f>
        <v>8</v>
      </c>
      <c r="DA426" s="93" cm="1">
        <f t="array" ref="DA426">SUMPRODUCT(TRANSPOSE(DA$4:DA$20),$G426:$W426)</f>
        <v>8</v>
      </c>
      <c r="DB426" s="93" cm="1">
        <f t="array" ref="DB426">SUMPRODUCT(TRANSPOSE(DB$4:DB$20),$G426:$W426)</f>
        <v>8</v>
      </c>
      <c r="DC426" s="93" cm="1">
        <f t="array" ref="DC426">SUMPRODUCT(TRANSPOSE(DC$4:DC$20),$G426:$W426)</f>
        <v>6</v>
      </c>
      <c r="DD426" s="93" cm="1">
        <f t="array" ref="DD426">SUMPRODUCT(TRANSPOSE(DD$4:DD$20),$G426:$W426)</f>
        <v>0</v>
      </c>
      <c r="DE426" s="93" cm="1">
        <f t="array" ref="DE426">SUMPRODUCT(TRANSPOSE(DE$4:DE$20),$G426:$W426)</f>
        <v>0</v>
      </c>
      <c r="DF426" s="93" cm="1">
        <f t="array" ref="DF426">SUMPRODUCT(TRANSPOSE(DF$4:DF$20),$G426:$W426)</f>
        <v>0</v>
      </c>
      <c r="DG426" s="93" cm="1">
        <f t="array" ref="DG426">SUMPRODUCT(TRANSPOSE(DG$4:DG$20),$G426:$W426)</f>
        <v>0</v>
      </c>
      <c r="DH426" s="93" cm="1">
        <f t="array" ref="DH426">SUMPRODUCT(TRANSPOSE(DH$4:DH$20),$G426:$W426)</f>
        <v>0</v>
      </c>
      <c r="DI426" s="93" cm="1">
        <f t="array" ref="DI426">SUMPRODUCT(TRANSPOSE(DI$4:DI$20),$G426:$W426)</f>
        <v>0</v>
      </c>
      <c r="DJ426" s="93" cm="1">
        <f t="array" ref="DJ426">SUMPRODUCT(TRANSPOSE(DJ$4:DJ$20),$G426:$W426)</f>
        <v>0</v>
      </c>
      <c r="DK426" s="93" cm="1">
        <f t="array" ref="DK426">SUMPRODUCT(TRANSPOSE(DK$4:DK$20),$G426:$W426)</f>
        <v>0</v>
      </c>
      <c r="DL426" s="93" cm="1">
        <f t="array" ref="DL426">SUMPRODUCT(TRANSPOSE(DL$4:DL$20),$G426:$W426)</f>
        <v>0</v>
      </c>
      <c r="DM426" s="93" cm="1">
        <f t="array" ref="DM426">SUMPRODUCT(TRANSPOSE(DM$4:DM$20),$G426:$W426)</f>
        <v>0</v>
      </c>
      <c r="DN426" s="93" cm="1">
        <f t="array" ref="DN426">SUMPRODUCT(TRANSPOSE(DN$4:DN$20),$G426:$W426)</f>
        <v>0</v>
      </c>
      <c r="DO426" s="93" cm="1">
        <f t="array" ref="DO426">SUMPRODUCT(TRANSPOSE(DO$4:DO$20),$G426:$W426)</f>
        <v>0</v>
      </c>
    </row>
    <row r="427" spans="1:119" x14ac:dyDescent="0.2">
      <c r="A427" s="45">
        <f t="shared" si="32"/>
        <v>406</v>
      </c>
      <c r="B427" s="73" t="s">
        <v>161</v>
      </c>
      <c r="C427" s="47">
        <v>412614372</v>
      </c>
      <c r="D427" s="45" t="s">
        <v>139</v>
      </c>
      <c r="E427" s="45" t="s">
        <v>162</v>
      </c>
      <c r="F427" s="48">
        <v>1</v>
      </c>
      <c r="G427" s="100">
        <v>0</v>
      </c>
      <c r="H427" s="100">
        <v>1</v>
      </c>
      <c r="I427" s="100">
        <v>0</v>
      </c>
      <c r="J427" s="100">
        <v>0</v>
      </c>
      <c r="K427" s="100">
        <v>0</v>
      </c>
      <c r="L427" s="100">
        <v>0</v>
      </c>
      <c r="M427" s="100">
        <v>0</v>
      </c>
      <c r="N427" s="100">
        <v>0</v>
      </c>
      <c r="O427" s="100">
        <v>0</v>
      </c>
      <c r="P427" s="100">
        <v>0</v>
      </c>
      <c r="Q427" s="100">
        <v>0</v>
      </c>
      <c r="R427" s="100">
        <v>0</v>
      </c>
      <c r="S427" s="100">
        <v>0</v>
      </c>
      <c r="T427" s="100">
        <v>0</v>
      </c>
      <c r="U427" s="100">
        <v>0</v>
      </c>
      <c r="V427" s="100">
        <v>0</v>
      </c>
      <c r="W427" s="100">
        <v>0</v>
      </c>
      <c r="X427" s="45" t="s">
        <v>46</v>
      </c>
      <c r="Y427" s="53">
        <v>997</v>
      </c>
      <c r="Z427" s="45">
        <v>61</v>
      </c>
      <c r="AA427" s="45">
        <v>0</v>
      </c>
      <c r="AB427" s="45">
        <v>0</v>
      </c>
      <c r="AC427" s="45">
        <v>0</v>
      </c>
      <c r="AD427" s="45">
        <v>0</v>
      </c>
      <c r="AE427" s="45">
        <v>30</v>
      </c>
      <c r="AF427" s="45">
        <v>0</v>
      </c>
      <c r="AG427" s="45">
        <v>65</v>
      </c>
      <c r="AH427" s="45">
        <v>0</v>
      </c>
      <c r="AI427" s="45">
        <v>0</v>
      </c>
      <c r="AJ427" s="45">
        <v>0</v>
      </c>
      <c r="AK427" s="45">
        <v>0</v>
      </c>
      <c r="AL427" s="45">
        <v>0</v>
      </c>
      <c r="AM427" s="45">
        <v>0</v>
      </c>
      <c r="AN427" s="45">
        <v>0</v>
      </c>
      <c r="AO427" s="45"/>
      <c r="AP427" s="45"/>
      <c r="AQ427" s="45"/>
      <c r="AR427" s="45"/>
      <c r="AS427" s="45"/>
      <c r="AT427" s="45"/>
      <c r="AU427" s="45"/>
      <c r="AV427" s="45"/>
      <c r="AW427" s="45"/>
      <c r="AX427" s="45"/>
      <c r="AY427" s="45"/>
      <c r="AZ427" s="45"/>
      <c r="BA427" s="45"/>
      <c r="BB427" s="45"/>
      <c r="BC427" s="45"/>
      <c r="BD427" s="93"/>
      <c r="BE427" s="93"/>
      <c r="BF427" s="93"/>
      <c r="BG427" s="93"/>
      <c r="BH427" s="93"/>
      <c r="BI427" s="93"/>
      <c r="BJ427" s="93"/>
      <c r="BK427" s="93">
        <f>SUM($Z427:AD427)-SUM($CM427:CQ427)</f>
        <v>53</v>
      </c>
      <c r="BL427" s="93">
        <f>SUM($Z427:AE427)-SUM($CM427:CR427)</f>
        <v>75</v>
      </c>
      <c r="BM427" s="93">
        <f>SUM($Z427:AF427)-SUM($CM427:CS427)</f>
        <v>67</v>
      </c>
      <c r="BN427" s="93">
        <f>SUM($Z427:AG427)-SUM($CM427:CT427)</f>
        <v>124</v>
      </c>
      <c r="BO427" s="93">
        <f>SUM($Z427:AH427)-SUM($CM427:CU427)</f>
        <v>116</v>
      </c>
      <c r="BP427" s="93">
        <f>SUM($Z427:AI427)-SUM($CM427:CV427)</f>
        <v>108</v>
      </c>
      <c r="BQ427" s="93">
        <f>SUM($Z427:AJ427)-SUM($CM427:CW427)</f>
        <v>100</v>
      </c>
      <c r="BR427" s="93">
        <f>SUM($Z427:AK427)-SUM($CM427:CX427)</f>
        <v>92</v>
      </c>
      <c r="BS427" s="93">
        <f>SUM($Z427:AL427)-SUM($CM427:CY427)</f>
        <v>84</v>
      </c>
      <c r="BT427" s="93">
        <f>SUM($Z427:AM427)-SUM($CM427:CZ427)</f>
        <v>76</v>
      </c>
      <c r="BU427" s="93">
        <f>SUM($Z427:AN427)-SUM($CM427:DA427)</f>
        <v>68</v>
      </c>
      <c r="BV427" s="93">
        <f>SUM($Z427:AO427)-SUM($CM427:DB427)</f>
        <v>60</v>
      </c>
      <c r="BW427" s="93">
        <f>SUM($Z427:AP427)-SUM($CM427:DC427)</f>
        <v>54</v>
      </c>
      <c r="BX427" s="93">
        <f>SUM($Z427:AQ427)-SUM($CM427:DD427)</f>
        <v>54</v>
      </c>
      <c r="BY427" s="93">
        <f>SUM($Z427:AR427)-SUM($CM427:DE427)</f>
        <v>54</v>
      </c>
      <c r="BZ427" s="93">
        <f>SUM($Z427:AS427)-SUM($CM427:DF427)</f>
        <v>54</v>
      </c>
      <c r="CA427" s="93">
        <f>SUM($Z427:AT427)-SUM($CM427:DG427)</f>
        <v>54</v>
      </c>
      <c r="CB427" s="93">
        <f>SUM($Z427:AU427)-SUM($CM427:DH427)</f>
        <v>54</v>
      </c>
      <c r="CC427" s="93">
        <f>SUM($Z427:AV427)-SUM($CM427:DI427)</f>
        <v>54</v>
      </c>
      <c r="CD427" s="93">
        <f>SUM($Z427:AW427)-SUM($CM427:DJ427)</f>
        <v>54</v>
      </c>
      <c r="CE427" s="93">
        <f>SUM($Z427:AX427)-SUM($CM427:DK427)</f>
        <v>54</v>
      </c>
      <c r="CF427" s="93">
        <f>SUM($Z427:AY427)-SUM($CM427:DL427)</f>
        <v>54</v>
      </c>
      <c r="CG427" s="93">
        <f>SUM($Z427:AZ427)-SUM($CM427:DM427)</f>
        <v>54</v>
      </c>
      <c r="CH427" s="93">
        <f>SUM($Z427:BA427)-SUM($CM427:DN427)</f>
        <v>54</v>
      </c>
      <c r="CI427" s="93">
        <f>SUM($Z427:BB427)-SUM($CM427:DO427)</f>
        <v>54</v>
      </c>
      <c r="CJ427" s="93"/>
      <c r="CK427" s="93"/>
      <c r="CL427" s="93"/>
      <c r="CM427" s="93"/>
      <c r="CN427" s="93" cm="1">
        <f t="array" ref="CN427">SUMPRODUCT(TRANSPOSE(CN$4:CN$20),$G427:$W427)</f>
        <v>0</v>
      </c>
      <c r="CO427" s="93" cm="1">
        <f t="array" ref="CO427">SUMPRODUCT(TRANSPOSE(CO$4:CO$20),$G427:$W427)</f>
        <v>0</v>
      </c>
      <c r="CP427" s="93" cm="1">
        <f t="array" ref="CP427">SUMPRODUCT(TRANSPOSE(CP$4:CP$20),$G427:$W427)</f>
        <v>0</v>
      </c>
      <c r="CQ427" s="93" cm="1">
        <f t="array" ref="CQ427">SUMPRODUCT(TRANSPOSE(CQ$4:CQ$20),$G427:$W427)</f>
        <v>8</v>
      </c>
      <c r="CR427" s="93" cm="1">
        <f t="array" ref="CR427">SUMPRODUCT(TRANSPOSE(CR$4:CR$20),$G427:$W427)</f>
        <v>8</v>
      </c>
      <c r="CS427" s="93" cm="1">
        <f t="array" ref="CS427">SUMPRODUCT(TRANSPOSE(CS$4:CS$20),$G427:$W427)</f>
        <v>8</v>
      </c>
      <c r="CT427" s="93" cm="1">
        <f t="array" ref="CT427">SUMPRODUCT(TRANSPOSE(CT$4:CT$20),$G427:$W427)</f>
        <v>8</v>
      </c>
      <c r="CU427" s="93" cm="1">
        <f t="array" ref="CU427">SUMPRODUCT(TRANSPOSE(CU$4:CU$20),$G427:$W427)</f>
        <v>8</v>
      </c>
      <c r="CV427" s="93" cm="1">
        <f t="array" ref="CV427">SUMPRODUCT(TRANSPOSE(CV$4:CV$20),$G427:$W427)</f>
        <v>8</v>
      </c>
      <c r="CW427" s="93" cm="1">
        <f t="array" ref="CW427">SUMPRODUCT(TRANSPOSE(CW$4:CW$20),$G427:$W427)</f>
        <v>8</v>
      </c>
      <c r="CX427" s="93" cm="1">
        <f t="array" ref="CX427">SUMPRODUCT(TRANSPOSE(CX$4:CX$20),$G427:$W427)</f>
        <v>8</v>
      </c>
      <c r="CY427" s="93" cm="1">
        <f t="array" ref="CY427">SUMPRODUCT(TRANSPOSE(CY$4:CY$20),$G427:$W427)</f>
        <v>8</v>
      </c>
      <c r="CZ427" s="93" cm="1">
        <f t="array" ref="CZ427">SUMPRODUCT(TRANSPOSE(CZ$4:CZ$20),$G427:$W427)</f>
        <v>8</v>
      </c>
      <c r="DA427" s="93" cm="1">
        <f t="array" ref="DA427">SUMPRODUCT(TRANSPOSE(DA$4:DA$20),$G427:$W427)</f>
        <v>8</v>
      </c>
      <c r="DB427" s="93" cm="1">
        <f t="array" ref="DB427">SUMPRODUCT(TRANSPOSE(DB$4:DB$20),$G427:$W427)</f>
        <v>8</v>
      </c>
      <c r="DC427" s="93" cm="1">
        <f t="array" ref="DC427">SUMPRODUCT(TRANSPOSE(DC$4:DC$20),$G427:$W427)</f>
        <v>6</v>
      </c>
      <c r="DD427" s="93" cm="1">
        <f t="array" ref="DD427">SUMPRODUCT(TRANSPOSE(DD$4:DD$20),$G427:$W427)</f>
        <v>0</v>
      </c>
      <c r="DE427" s="93" cm="1">
        <f t="array" ref="DE427">SUMPRODUCT(TRANSPOSE(DE$4:DE$20),$G427:$W427)</f>
        <v>0</v>
      </c>
      <c r="DF427" s="93" cm="1">
        <f t="array" ref="DF427">SUMPRODUCT(TRANSPOSE(DF$4:DF$20),$G427:$W427)</f>
        <v>0</v>
      </c>
      <c r="DG427" s="93" cm="1">
        <f t="array" ref="DG427">SUMPRODUCT(TRANSPOSE(DG$4:DG$20),$G427:$W427)</f>
        <v>0</v>
      </c>
      <c r="DH427" s="93" cm="1">
        <f t="array" ref="DH427">SUMPRODUCT(TRANSPOSE(DH$4:DH$20),$G427:$W427)</f>
        <v>0</v>
      </c>
      <c r="DI427" s="93" cm="1">
        <f t="array" ref="DI427">SUMPRODUCT(TRANSPOSE(DI$4:DI$20),$G427:$W427)</f>
        <v>0</v>
      </c>
      <c r="DJ427" s="93" cm="1">
        <f t="array" ref="DJ427">SUMPRODUCT(TRANSPOSE(DJ$4:DJ$20),$G427:$W427)</f>
        <v>0</v>
      </c>
      <c r="DK427" s="93" cm="1">
        <f t="array" ref="DK427">SUMPRODUCT(TRANSPOSE(DK$4:DK$20),$G427:$W427)</f>
        <v>0</v>
      </c>
      <c r="DL427" s="93" cm="1">
        <f t="array" ref="DL427">SUMPRODUCT(TRANSPOSE(DL$4:DL$20),$G427:$W427)</f>
        <v>0</v>
      </c>
      <c r="DM427" s="93" cm="1">
        <f t="array" ref="DM427">SUMPRODUCT(TRANSPOSE(DM$4:DM$20),$G427:$W427)</f>
        <v>0</v>
      </c>
      <c r="DN427" s="93" cm="1">
        <f t="array" ref="DN427">SUMPRODUCT(TRANSPOSE(DN$4:DN$20),$G427:$W427)</f>
        <v>0</v>
      </c>
      <c r="DO427" s="93" cm="1">
        <f t="array" ref="DO427">SUMPRODUCT(TRANSPOSE(DO$4:DO$20),$G427:$W427)</f>
        <v>0</v>
      </c>
    </row>
    <row r="428" spans="1:119" x14ac:dyDescent="0.2">
      <c r="A428" s="45">
        <f t="shared" si="32"/>
        <v>407</v>
      </c>
      <c r="B428" s="64" t="s">
        <v>910</v>
      </c>
      <c r="C428" s="50">
        <v>724704010</v>
      </c>
      <c r="D428" s="45" t="s">
        <v>394</v>
      </c>
      <c r="E428" s="45" t="s">
        <v>191</v>
      </c>
      <c r="F428" s="48">
        <v>2</v>
      </c>
      <c r="G428" s="100">
        <v>0.05</v>
      </c>
      <c r="H428" s="100">
        <v>0</v>
      </c>
      <c r="I428" s="100">
        <v>0.05</v>
      </c>
      <c r="J428" s="100">
        <v>2.5000000000000001E-2</v>
      </c>
      <c r="K428" s="100">
        <v>0.05</v>
      </c>
      <c r="L428" s="100">
        <v>2.5000000000000001E-2</v>
      </c>
      <c r="M428" s="100">
        <v>0</v>
      </c>
      <c r="N428" s="100">
        <v>0</v>
      </c>
      <c r="O428" s="100">
        <v>0</v>
      </c>
      <c r="P428" s="100">
        <v>0</v>
      </c>
      <c r="Q428" s="100">
        <v>0</v>
      </c>
      <c r="R428" s="100">
        <v>0</v>
      </c>
      <c r="S428" s="100">
        <v>0</v>
      </c>
      <c r="T428" s="100">
        <v>0</v>
      </c>
      <c r="U428" s="100">
        <v>0</v>
      </c>
      <c r="V428" s="100">
        <v>0</v>
      </c>
      <c r="W428" s="100">
        <v>0</v>
      </c>
      <c r="X428" s="45" t="s">
        <v>41</v>
      </c>
      <c r="Y428" s="49">
        <v>0.05</v>
      </c>
      <c r="Z428" s="45">
        <v>3</v>
      </c>
      <c r="AA428" s="45">
        <v>0</v>
      </c>
      <c r="AB428" s="45">
        <v>0</v>
      </c>
      <c r="AC428" s="45">
        <v>0</v>
      </c>
      <c r="AD428" s="45">
        <v>0</v>
      </c>
      <c r="AE428" s="45">
        <v>0</v>
      </c>
      <c r="AF428" s="45">
        <v>0</v>
      </c>
      <c r="AG428" s="45">
        <v>0</v>
      </c>
      <c r="AH428" s="45">
        <v>0</v>
      </c>
      <c r="AI428" s="45">
        <v>0</v>
      </c>
      <c r="AJ428" s="45">
        <v>0</v>
      </c>
      <c r="AK428" s="45">
        <v>0</v>
      </c>
      <c r="AL428" s="45">
        <v>0</v>
      </c>
      <c r="AM428" s="45">
        <v>0</v>
      </c>
      <c r="AN428" s="45">
        <v>0</v>
      </c>
      <c r="AO428" s="45"/>
      <c r="AP428" s="45"/>
      <c r="AQ428" s="45"/>
      <c r="AR428" s="45"/>
      <c r="AS428" s="45"/>
      <c r="AT428" s="45"/>
      <c r="AU428" s="45"/>
      <c r="AV428" s="45"/>
      <c r="AW428" s="45"/>
      <c r="AX428" s="45"/>
      <c r="AY428" s="45"/>
      <c r="AZ428" s="45"/>
      <c r="BA428" s="45"/>
      <c r="BB428" s="45"/>
      <c r="BC428" s="45"/>
      <c r="BD428" s="93"/>
      <c r="BE428" s="93"/>
      <c r="BF428" s="93"/>
      <c r="BG428" s="93"/>
      <c r="BH428" s="93"/>
      <c r="BI428" s="93"/>
      <c r="BJ428" s="93"/>
      <c r="BK428" s="93">
        <f>SUM($Z428:AD428)-SUM($CM428:CQ428)</f>
        <v>1.4000000000000001</v>
      </c>
      <c r="BL428" s="93">
        <f>SUM($Z428:AE428)-SUM($CM428:CR428)</f>
        <v>-0.19999999999999973</v>
      </c>
      <c r="BM428" s="93">
        <f>SUM($Z428:AF428)-SUM($CM428:CS428)</f>
        <v>-1.7999999999999998</v>
      </c>
      <c r="BN428" s="93">
        <f>SUM($Z428:AG428)-SUM($CM428:CT428)</f>
        <v>-3.3999999999999995</v>
      </c>
      <c r="BO428" s="93">
        <f>SUM($Z428:AH428)-SUM($CM428:CU428)</f>
        <v>-4.9999999999999991</v>
      </c>
      <c r="BP428" s="93">
        <f>SUM($Z428:AI428)-SUM($CM428:CV428)</f>
        <v>-6.6</v>
      </c>
      <c r="BQ428" s="93">
        <f>SUM($Z428:AJ428)-SUM($CM428:CW428)</f>
        <v>-8.1999999999999993</v>
      </c>
      <c r="BR428" s="93">
        <f>SUM($Z428:AK428)-SUM($CM428:CX428)</f>
        <v>-9.7999999999999989</v>
      </c>
      <c r="BS428" s="93">
        <f>SUM($Z428:AL428)-SUM($CM428:CY428)</f>
        <v>-11.399999999999999</v>
      </c>
      <c r="BT428" s="93">
        <f>SUM($Z428:AM428)-SUM($CM428:CZ428)</f>
        <v>-12.999999999999998</v>
      </c>
      <c r="BU428" s="93">
        <f>SUM($Z428:AN428)-SUM($CM428:DA428)</f>
        <v>-14.599999999999998</v>
      </c>
      <c r="BV428" s="93">
        <f>SUM($Z428:AO428)-SUM($CM428:DB428)</f>
        <v>-16.2</v>
      </c>
      <c r="BW428" s="93">
        <f>SUM($Z428:AP428)-SUM($CM428:DC428)</f>
        <v>-17.399999999999999</v>
      </c>
      <c r="BX428" s="93">
        <f>SUM($Z428:AQ428)-SUM($CM428:DD428)</f>
        <v>-17.399999999999999</v>
      </c>
      <c r="BY428" s="93">
        <f>SUM($Z428:AR428)-SUM($CM428:DE428)</f>
        <v>-17.399999999999999</v>
      </c>
      <c r="BZ428" s="93">
        <f>SUM($Z428:AS428)-SUM($CM428:DF428)</f>
        <v>-17.399999999999999</v>
      </c>
      <c r="CA428" s="93">
        <f>SUM($Z428:AT428)-SUM($CM428:DG428)</f>
        <v>-17.399999999999999</v>
      </c>
      <c r="CB428" s="93">
        <f>SUM($Z428:AU428)-SUM($CM428:DH428)</f>
        <v>-17.399999999999999</v>
      </c>
      <c r="CC428" s="93">
        <f>SUM($Z428:AV428)-SUM($CM428:DI428)</f>
        <v>-17.399999999999999</v>
      </c>
      <c r="CD428" s="93">
        <f>SUM($Z428:AW428)-SUM($CM428:DJ428)</f>
        <v>-17.399999999999999</v>
      </c>
      <c r="CE428" s="93">
        <f>SUM($Z428:AX428)-SUM($CM428:DK428)</f>
        <v>-17.399999999999999</v>
      </c>
      <c r="CF428" s="93">
        <f>SUM($Z428:AY428)-SUM($CM428:DL428)</f>
        <v>-17.399999999999999</v>
      </c>
      <c r="CG428" s="93">
        <f>SUM($Z428:AZ428)-SUM($CM428:DM428)</f>
        <v>-17.399999999999999</v>
      </c>
      <c r="CH428" s="93">
        <f>SUM($Z428:BA428)-SUM($CM428:DN428)</f>
        <v>-17.399999999999999</v>
      </c>
      <c r="CI428" s="93">
        <f>SUM($Z428:BB428)-SUM($CM428:DO428)</f>
        <v>-17.399999999999999</v>
      </c>
      <c r="CJ428" s="93"/>
      <c r="CK428" s="93"/>
      <c r="CL428" s="93"/>
      <c r="CM428" s="93"/>
      <c r="CN428" s="93" cm="1">
        <f t="array" ref="CN428">SUMPRODUCT(TRANSPOSE(CN$4:CN$20),$G428:$W428)</f>
        <v>0</v>
      </c>
      <c r="CO428" s="93" cm="1">
        <f t="array" ref="CO428">SUMPRODUCT(TRANSPOSE(CO$4:CO$20),$G428:$W428)</f>
        <v>0</v>
      </c>
      <c r="CP428" s="93" cm="1">
        <f t="array" ref="CP428">SUMPRODUCT(TRANSPOSE(CP$4:CP$20),$G428:$W428)</f>
        <v>0</v>
      </c>
      <c r="CQ428" s="93" cm="1">
        <f t="array" ref="CQ428">SUMPRODUCT(TRANSPOSE(CQ$4:CQ$20),$G428:$W428)</f>
        <v>1.5999999999999999</v>
      </c>
      <c r="CR428" s="93" cm="1">
        <f t="array" ref="CR428">SUMPRODUCT(TRANSPOSE(CR$4:CR$20),$G428:$W428)</f>
        <v>1.5999999999999999</v>
      </c>
      <c r="CS428" s="93" cm="1">
        <f t="array" ref="CS428">SUMPRODUCT(TRANSPOSE(CS$4:CS$20),$G428:$W428)</f>
        <v>1.5999999999999999</v>
      </c>
      <c r="CT428" s="93" cm="1">
        <f t="array" ref="CT428">SUMPRODUCT(TRANSPOSE(CT$4:CT$20),$G428:$W428)</f>
        <v>1.5999999999999999</v>
      </c>
      <c r="CU428" s="93" cm="1">
        <f t="array" ref="CU428">SUMPRODUCT(TRANSPOSE(CU$4:CU$20),$G428:$W428)</f>
        <v>1.5999999999999999</v>
      </c>
      <c r="CV428" s="93" cm="1">
        <f t="array" ref="CV428">SUMPRODUCT(TRANSPOSE(CV$4:CV$20),$G428:$W428)</f>
        <v>1.5999999999999999</v>
      </c>
      <c r="CW428" s="93" cm="1">
        <f t="array" ref="CW428">SUMPRODUCT(TRANSPOSE(CW$4:CW$20),$G428:$W428)</f>
        <v>1.5999999999999999</v>
      </c>
      <c r="CX428" s="93" cm="1">
        <f t="array" ref="CX428">SUMPRODUCT(TRANSPOSE(CX$4:CX$20),$G428:$W428)</f>
        <v>1.5999999999999999</v>
      </c>
      <c r="CY428" s="93" cm="1">
        <f t="array" ref="CY428">SUMPRODUCT(TRANSPOSE(CY$4:CY$20),$G428:$W428)</f>
        <v>1.5999999999999999</v>
      </c>
      <c r="CZ428" s="93" cm="1">
        <f t="array" ref="CZ428">SUMPRODUCT(TRANSPOSE(CZ$4:CZ$20),$G428:$W428)</f>
        <v>1.5999999999999999</v>
      </c>
      <c r="DA428" s="93" cm="1">
        <f t="array" ref="DA428">SUMPRODUCT(TRANSPOSE(DA$4:DA$20),$G428:$W428)</f>
        <v>1.5999999999999999</v>
      </c>
      <c r="DB428" s="93" cm="1">
        <f t="array" ref="DB428">SUMPRODUCT(TRANSPOSE(DB$4:DB$20),$G428:$W428)</f>
        <v>1.5999999999999999</v>
      </c>
      <c r="DC428" s="93" cm="1">
        <f t="array" ref="DC428">SUMPRODUCT(TRANSPOSE(DC$4:DC$20),$G428:$W428)</f>
        <v>1.2000000000000002</v>
      </c>
      <c r="DD428" s="93" cm="1">
        <f t="array" ref="DD428">SUMPRODUCT(TRANSPOSE(DD$4:DD$20),$G428:$W428)</f>
        <v>0</v>
      </c>
      <c r="DE428" s="93" cm="1">
        <f t="array" ref="DE428">SUMPRODUCT(TRANSPOSE(DE$4:DE$20),$G428:$W428)</f>
        <v>0</v>
      </c>
      <c r="DF428" s="93" cm="1">
        <f t="array" ref="DF428">SUMPRODUCT(TRANSPOSE(DF$4:DF$20),$G428:$W428)</f>
        <v>0</v>
      </c>
      <c r="DG428" s="93" cm="1">
        <f t="array" ref="DG428">SUMPRODUCT(TRANSPOSE(DG$4:DG$20),$G428:$W428)</f>
        <v>0</v>
      </c>
      <c r="DH428" s="93" cm="1">
        <f t="array" ref="DH428">SUMPRODUCT(TRANSPOSE(DH$4:DH$20),$G428:$W428)</f>
        <v>0</v>
      </c>
      <c r="DI428" s="93" cm="1">
        <f t="array" ref="DI428">SUMPRODUCT(TRANSPOSE(DI$4:DI$20),$G428:$W428)</f>
        <v>0</v>
      </c>
      <c r="DJ428" s="93" cm="1">
        <f t="array" ref="DJ428">SUMPRODUCT(TRANSPOSE(DJ$4:DJ$20),$G428:$W428)</f>
        <v>0</v>
      </c>
      <c r="DK428" s="93" cm="1">
        <f t="array" ref="DK428">SUMPRODUCT(TRANSPOSE(DK$4:DK$20),$G428:$W428)</f>
        <v>0</v>
      </c>
      <c r="DL428" s="93" cm="1">
        <f t="array" ref="DL428">SUMPRODUCT(TRANSPOSE(DL$4:DL$20),$G428:$W428)</f>
        <v>0</v>
      </c>
      <c r="DM428" s="93" cm="1">
        <f t="array" ref="DM428">SUMPRODUCT(TRANSPOSE(DM$4:DM$20),$G428:$W428)</f>
        <v>0</v>
      </c>
      <c r="DN428" s="93" cm="1">
        <f t="array" ref="DN428">SUMPRODUCT(TRANSPOSE(DN$4:DN$20),$G428:$W428)</f>
        <v>0</v>
      </c>
      <c r="DO428" s="93" cm="1">
        <f t="array" ref="DO428">SUMPRODUCT(TRANSPOSE(DO$4:DO$20),$G428:$W428)</f>
        <v>0</v>
      </c>
    </row>
    <row r="429" spans="1:119" x14ac:dyDescent="0.2">
      <c r="A429" s="50">
        <f t="shared" si="32"/>
        <v>408</v>
      </c>
      <c r="B429" s="64" t="s">
        <v>911</v>
      </c>
      <c r="C429" s="45" t="s">
        <v>912</v>
      </c>
      <c r="D429" s="45" t="s">
        <v>913</v>
      </c>
      <c r="E429" s="45" t="s">
        <v>162</v>
      </c>
      <c r="F429" s="48">
        <v>2</v>
      </c>
      <c r="G429" s="100">
        <v>1</v>
      </c>
      <c r="H429" s="100">
        <v>0</v>
      </c>
      <c r="I429" s="100">
        <v>0</v>
      </c>
      <c r="J429" s="100">
        <v>0</v>
      </c>
      <c r="K429" s="100">
        <v>0</v>
      </c>
      <c r="L429" s="100">
        <v>0</v>
      </c>
      <c r="M429" s="100">
        <v>0</v>
      </c>
      <c r="N429" s="100">
        <v>0</v>
      </c>
      <c r="O429" s="100">
        <v>0</v>
      </c>
      <c r="P429" s="100">
        <v>0</v>
      </c>
      <c r="Q429" s="100">
        <v>0</v>
      </c>
      <c r="R429" s="100">
        <v>0</v>
      </c>
      <c r="S429" s="100">
        <v>0</v>
      </c>
      <c r="T429" s="100">
        <v>0</v>
      </c>
      <c r="U429" s="100">
        <v>0</v>
      </c>
      <c r="V429" s="100">
        <v>0</v>
      </c>
      <c r="W429" s="100">
        <v>0</v>
      </c>
      <c r="X429" s="45" t="s">
        <v>888</v>
      </c>
      <c r="Y429" s="49">
        <v>59.2</v>
      </c>
      <c r="Z429" s="45">
        <v>140</v>
      </c>
      <c r="AA429" s="45">
        <v>0</v>
      </c>
      <c r="AB429" s="45">
        <v>0</v>
      </c>
      <c r="AC429" s="45">
        <v>0</v>
      </c>
      <c r="AD429" s="45">
        <v>0</v>
      </c>
      <c r="AE429" s="45">
        <v>0</v>
      </c>
      <c r="AF429" s="45">
        <v>0</v>
      </c>
      <c r="AG429" s="45">
        <v>0</v>
      </c>
      <c r="AH429" s="45">
        <v>0</v>
      </c>
      <c r="AI429" s="45">
        <v>0</v>
      </c>
      <c r="AJ429" s="45">
        <v>0</v>
      </c>
      <c r="AK429" s="45">
        <v>0</v>
      </c>
      <c r="AL429" s="45">
        <v>0</v>
      </c>
      <c r="AM429" s="45">
        <v>0</v>
      </c>
      <c r="AN429" s="45">
        <v>0</v>
      </c>
      <c r="AO429" s="45"/>
      <c r="AP429" s="45"/>
      <c r="AQ429" s="45"/>
      <c r="AR429" s="45"/>
      <c r="AS429" s="45"/>
      <c r="AT429" s="45"/>
      <c r="AU429" s="45"/>
      <c r="AV429" s="45"/>
      <c r="AW429" s="45"/>
      <c r="AX429" s="45"/>
      <c r="AY429" s="45"/>
      <c r="AZ429" s="45"/>
      <c r="BA429" s="45"/>
      <c r="BB429" s="45"/>
      <c r="BC429" s="45"/>
      <c r="BD429" s="93"/>
      <c r="BE429" s="93"/>
      <c r="BF429" s="93"/>
      <c r="BG429" s="93"/>
      <c r="BH429" s="93"/>
      <c r="BI429" s="93"/>
      <c r="BJ429" s="93"/>
      <c r="BK429" s="93">
        <f>SUM($Z429:AD429)-SUM($CM429:CQ429)</f>
        <v>132</v>
      </c>
      <c r="BL429" s="93">
        <f>SUM($Z429:AE429)-SUM($CM429:CR429)</f>
        <v>124</v>
      </c>
      <c r="BM429" s="93">
        <f>SUM($Z429:AF429)-SUM($CM429:CS429)</f>
        <v>116</v>
      </c>
      <c r="BN429" s="93">
        <f>SUM($Z429:AG429)-SUM($CM429:CT429)</f>
        <v>108</v>
      </c>
      <c r="BO429" s="93">
        <f>SUM($Z429:AH429)-SUM($CM429:CU429)</f>
        <v>100</v>
      </c>
      <c r="BP429" s="93">
        <f>SUM($Z429:AI429)-SUM($CM429:CV429)</f>
        <v>92</v>
      </c>
      <c r="BQ429" s="93">
        <f>SUM($Z429:AJ429)-SUM($CM429:CW429)</f>
        <v>84</v>
      </c>
      <c r="BR429" s="93">
        <f>SUM($Z429:AK429)-SUM($CM429:CX429)</f>
        <v>76</v>
      </c>
      <c r="BS429" s="93">
        <f>SUM($Z429:AL429)-SUM($CM429:CY429)</f>
        <v>68</v>
      </c>
      <c r="BT429" s="93">
        <f>SUM($Z429:AM429)-SUM($CM429:CZ429)</f>
        <v>60</v>
      </c>
      <c r="BU429" s="93">
        <f>SUM($Z429:AN429)-SUM($CM429:DA429)</f>
        <v>52</v>
      </c>
      <c r="BV429" s="93">
        <f>SUM($Z429:AO429)-SUM($CM429:DB429)</f>
        <v>44</v>
      </c>
      <c r="BW429" s="93">
        <f>SUM($Z429:AP429)-SUM($CM429:DC429)</f>
        <v>38</v>
      </c>
      <c r="BX429" s="93">
        <f>SUM($Z429:AQ429)-SUM($CM429:DD429)</f>
        <v>38</v>
      </c>
      <c r="BY429" s="93">
        <f>SUM($Z429:AR429)-SUM($CM429:DE429)</f>
        <v>38</v>
      </c>
      <c r="BZ429" s="93">
        <f>SUM($Z429:AS429)-SUM($CM429:DF429)</f>
        <v>38</v>
      </c>
      <c r="CA429" s="93">
        <f>SUM($Z429:AT429)-SUM($CM429:DG429)</f>
        <v>38</v>
      </c>
      <c r="CB429" s="93">
        <f>SUM($Z429:AU429)-SUM($CM429:DH429)</f>
        <v>38</v>
      </c>
      <c r="CC429" s="93">
        <f>SUM($Z429:AV429)-SUM($CM429:DI429)</f>
        <v>38</v>
      </c>
      <c r="CD429" s="93">
        <f>SUM($Z429:AW429)-SUM($CM429:DJ429)</f>
        <v>38</v>
      </c>
      <c r="CE429" s="93">
        <f>SUM($Z429:AX429)-SUM($CM429:DK429)</f>
        <v>38</v>
      </c>
      <c r="CF429" s="93">
        <f>SUM($Z429:AY429)-SUM($CM429:DL429)</f>
        <v>38</v>
      </c>
      <c r="CG429" s="93">
        <f>SUM($Z429:AZ429)-SUM($CM429:DM429)</f>
        <v>38</v>
      </c>
      <c r="CH429" s="93">
        <f>SUM($Z429:BA429)-SUM($CM429:DN429)</f>
        <v>38</v>
      </c>
      <c r="CI429" s="93">
        <f>SUM($Z429:BB429)-SUM($CM429:DO429)</f>
        <v>38</v>
      </c>
      <c r="CJ429" s="93"/>
      <c r="CK429" s="93"/>
      <c r="CL429" s="93"/>
      <c r="CM429" s="93"/>
      <c r="CN429" s="93" cm="1">
        <f t="array" ref="CN429">SUMPRODUCT(TRANSPOSE(CN$4:CN$20),$G429:$W429)</f>
        <v>0</v>
      </c>
      <c r="CO429" s="93" cm="1">
        <f t="array" ref="CO429">SUMPRODUCT(TRANSPOSE(CO$4:CO$20),$G429:$W429)</f>
        <v>0</v>
      </c>
      <c r="CP429" s="93" cm="1">
        <f t="array" ref="CP429">SUMPRODUCT(TRANSPOSE(CP$4:CP$20),$G429:$W429)</f>
        <v>0</v>
      </c>
      <c r="CQ429" s="93" cm="1">
        <f t="array" ref="CQ429">SUMPRODUCT(TRANSPOSE(CQ$4:CQ$20),$G429:$W429)</f>
        <v>8</v>
      </c>
      <c r="CR429" s="93" cm="1">
        <f t="array" ref="CR429">SUMPRODUCT(TRANSPOSE(CR$4:CR$20),$G429:$W429)</f>
        <v>8</v>
      </c>
      <c r="CS429" s="93" cm="1">
        <f t="array" ref="CS429">SUMPRODUCT(TRANSPOSE(CS$4:CS$20),$G429:$W429)</f>
        <v>8</v>
      </c>
      <c r="CT429" s="93" cm="1">
        <f t="array" ref="CT429">SUMPRODUCT(TRANSPOSE(CT$4:CT$20),$G429:$W429)</f>
        <v>8</v>
      </c>
      <c r="CU429" s="93" cm="1">
        <f t="array" ref="CU429">SUMPRODUCT(TRANSPOSE(CU$4:CU$20),$G429:$W429)</f>
        <v>8</v>
      </c>
      <c r="CV429" s="93" cm="1">
        <f t="array" ref="CV429">SUMPRODUCT(TRANSPOSE(CV$4:CV$20),$G429:$W429)</f>
        <v>8</v>
      </c>
      <c r="CW429" s="93" cm="1">
        <f t="array" ref="CW429">SUMPRODUCT(TRANSPOSE(CW$4:CW$20),$G429:$W429)</f>
        <v>8</v>
      </c>
      <c r="CX429" s="93" cm="1">
        <f t="array" ref="CX429">SUMPRODUCT(TRANSPOSE(CX$4:CX$20),$G429:$W429)</f>
        <v>8</v>
      </c>
      <c r="CY429" s="93" cm="1">
        <f t="array" ref="CY429">SUMPRODUCT(TRANSPOSE(CY$4:CY$20),$G429:$W429)</f>
        <v>8</v>
      </c>
      <c r="CZ429" s="93" cm="1">
        <f t="array" ref="CZ429">SUMPRODUCT(TRANSPOSE(CZ$4:CZ$20),$G429:$W429)</f>
        <v>8</v>
      </c>
      <c r="DA429" s="93" cm="1">
        <f t="array" ref="DA429">SUMPRODUCT(TRANSPOSE(DA$4:DA$20),$G429:$W429)</f>
        <v>8</v>
      </c>
      <c r="DB429" s="93" cm="1">
        <f t="array" ref="DB429">SUMPRODUCT(TRANSPOSE(DB$4:DB$20),$G429:$W429)</f>
        <v>8</v>
      </c>
      <c r="DC429" s="93" cm="1">
        <f t="array" ref="DC429">SUMPRODUCT(TRANSPOSE(DC$4:DC$20),$G429:$W429)</f>
        <v>6</v>
      </c>
      <c r="DD429" s="93" cm="1">
        <f t="array" ref="DD429">SUMPRODUCT(TRANSPOSE(DD$4:DD$20),$G429:$W429)</f>
        <v>0</v>
      </c>
      <c r="DE429" s="93" cm="1">
        <f t="array" ref="DE429">SUMPRODUCT(TRANSPOSE(DE$4:DE$20),$G429:$W429)</f>
        <v>0</v>
      </c>
      <c r="DF429" s="93" cm="1">
        <f t="array" ref="DF429">SUMPRODUCT(TRANSPOSE(DF$4:DF$20),$G429:$W429)</f>
        <v>0</v>
      </c>
      <c r="DG429" s="93" cm="1">
        <f t="array" ref="DG429">SUMPRODUCT(TRANSPOSE(DG$4:DG$20),$G429:$W429)</f>
        <v>0</v>
      </c>
      <c r="DH429" s="93" cm="1">
        <f t="array" ref="DH429">SUMPRODUCT(TRANSPOSE(DH$4:DH$20),$G429:$W429)</f>
        <v>0</v>
      </c>
      <c r="DI429" s="93" cm="1">
        <f t="array" ref="DI429">SUMPRODUCT(TRANSPOSE(DI$4:DI$20),$G429:$W429)</f>
        <v>0</v>
      </c>
      <c r="DJ429" s="93" cm="1">
        <f t="array" ref="DJ429">SUMPRODUCT(TRANSPOSE(DJ$4:DJ$20),$G429:$W429)</f>
        <v>0</v>
      </c>
      <c r="DK429" s="93" cm="1">
        <f t="array" ref="DK429">SUMPRODUCT(TRANSPOSE(DK$4:DK$20),$G429:$W429)</f>
        <v>0</v>
      </c>
      <c r="DL429" s="93" cm="1">
        <f t="array" ref="DL429">SUMPRODUCT(TRANSPOSE(DL$4:DL$20),$G429:$W429)</f>
        <v>0</v>
      </c>
      <c r="DM429" s="93" cm="1">
        <f t="array" ref="DM429">SUMPRODUCT(TRANSPOSE(DM$4:DM$20),$G429:$W429)</f>
        <v>0</v>
      </c>
      <c r="DN429" s="93" cm="1">
        <f t="array" ref="DN429">SUMPRODUCT(TRANSPOSE(DN$4:DN$20),$G429:$W429)</f>
        <v>0</v>
      </c>
      <c r="DO429" s="93" cm="1">
        <f t="array" ref="DO429">SUMPRODUCT(TRANSPOSE(DO$4:DO$20),$G429:$W429)</f>
        <v>0</v>
      </c>
    </row>
    <row r="430" spans="1:119" x14ac:dyDescent="0.2">
      <c r="A430" s="45">
        <f t="shared" si="32"/>
        <v>409</v>
      </c>
      <c r="B430" s="64" t="s">
        <v>914</v>
      </c>
      <c r="C430" s="45">
        <v>551298961</v>
      </c>
      <c r="D430" s="45" t="s">
        <v>915</v>
      </c>
      <c r="E430" s="45" t="s">
        <v>162</v>
      </c>
      <c r="F430" s="48">
        <v>1</v>
      </c>
      <c r="G430" s="100">
        <v>0</v>
      </c>
      <c r="H430" s="100">
        <v>8</v>
      </c>
      <c r="I430" s="100">
        <v>0</v>
      </c>
      <c r="J430" s="100">
        <v>0</v>
      </c>
      <c r="K430" s="100">
        <v>0</v>
      </c>
      <c r="L430" s="100">
        <v>0</v>
      </c>
      <c r="M430" s="100">
        <v>0</v>
      </c>
      <c r="N430" s="100">
        <v>0</v>
      </c>
      <c r="O430" s="100">
        <v>0</v>
      </c>
      <c r="P430" s="100">
        <v>0</v>
      </c>
      <c r="Q430" s="100">
        <v>0</v>
      </c>
      <c r="R430" s="100">
        <v>0</v>
      </c>
      <c r="S430" s="100">
        <v>0</v>
      </c>
      <c r="T430" s="100">
        <v>0</v>
      </c>
      <c r="U430" s="100">
        <v>0</v>
      </c>
      <c r="V430" s="100">
        <v>0</v>
      </c>
      <c r="W430" s="100">
        <v>0</v>
      </c>
      <c r="X430" s="45" t="s">
        <v>24</v>
      </c>
      <c r="Y430" s="49">
        <v>1.167</v>
      </c>
      <c r="Z430" s="45">
        <v>1329</v>
      </c>
      <c r="AA430" s="45">
        <v>0</v>
      </c>
      <c r="AB430" s="45">
        <v>0</v>
      </c>
      <c r="AC430" s="45">
        <v>0</v>
      </c>
      <c r="AD430" s="45">
        <v>0</v>
      </c>
      <c r="AE430" s="45">
        <v>0</v>
      </c>
      <c r="AF430" s="45">
        <v>0</v>
      </c>
      <c r="AG430" s="45">
        <v>0</v>
      </c>
      <c r="AH430" s="45">
        <v>0</v>
      </c>
      <c r="AI430" s="45">
        <v>0</v>
      </c>
      <c r="AJ430" s="45">
        <v>0</v>
      </c>
      <c r="AK430" s="45">
        <v>0</v>
      </c>
      <c r="AL430" s="45">
        <v>0</v>
      </c>
      <c r="AM430" s="45">
        <v>0</v>
      </c>
      <c r="AN430" s="45">
        <v>0</v>
      </c>
      <c r="AO430" s="45"/>
      <c r="AP430" s="45"/>
      <c r="AQ430" s="45"/>
      <c r="AR430" s="45"/>
      <c r="AS430" s="45"/>
      <c r="AT430" s="45"/>
      <c r="AU430" s="45"/>
      <c r="AV430" s="45"/>
      <c r="AW430" s="45"/>
      <c r="AX430" s="45"/>
      <c r="AY430" s="45"/>
      <c r="AZ430" s="45"/>
      <c r="BA430" s="45"/>
      <c r="BB430" s="45"/>
      <c r="BC430" s="45"/>
      <c r="BD430" s="93"/>
      <c r="BE430" s="93"/>
      <c r="BF430" s="93"/>
      <c r="BG430" s="93"/>
      <c r="BH430" s="93"/>
      <c r="BI430" s="93"/>
      <c r="BJ430" s="93"/>
      <c r="BK430" s="93">
        <f>SUM($Z430:AD430)-SUM($CM430:CQ430)</f>
        <v>1265</v>
      </c>
      <c r="BL430" s="93">
        <f>SUM($Z430:AE430)-SUM($CM430:CR430)</f>
        <v>1201</v>
      </c>
      <c r="BM430" s="93">
        <f>SUM($Z430:AF430)-SUM($CM430:CS430)</f>
        <v>1137</v>
      </c>
      <c r="BN430" s="93">
        <f>SUM($Z430:AG430)-SUM($CM430:CT430)</f>
        <v>1073</v>
      </c>
      <c r="BO430" s="93">
        <f>SUM($Z430:AH430)-SUM($CM430:CU430)</f>
        <v>1009</v>
      </c>
      <c r="BP430" s="93">
        <f>SUM($Z430:AI430)-SUM($CM430:CV430)</f>
        <v>945</v>
      </c>
      <c r="BQ430" s="93">
        <f>SUM($Z430:AJ430)-SUM($CM430:CW430)</f>
        <v>881</v>
      </c>
      <c r="BR430" s="93">
        <f>SUM($Z430:AK430)-SUM($CM430:CX430)</f>
        <v>817</v>
      </c>
      <c r="BS430" s="93">
        <f>SUM($Z430:AL430)-SUM($CM430:CY430)</f>
        <v>753</v>
      </c>
      <c r="BT430" s="93">
        <f>SUM($Z430:AM430)-SUM($CM430:CZ430)</f>
        <v>689</v>
      </c>
      <c r="BU430" s="93">
        <f>SUM($Z430:AN430)-SUM($CM430:DA430)</f>
        <v>625</v>
      </c>
      <c r="BV430" s="93">
        <f>SUM($Z430:AO430)-SUM($CM430:DB430)</f>
        <v>561</v>
      </c>
      <c r="BW430" s="93">
        <f>SUM($Z430:AP430)-SUM($CM430:DC430)</f>
        <v>513</v>
      </c>
      <c r="BX430" s="93">
        <f>SUM($Z430:AQ430)-SUM($CM430:DD430)</f>
        <v>513</v>
      </c>
      <c r="BY430" s="93">
        <f>SUM($Z430:AR430)-SUM($CM430:DE430)</f>
        <v>513</v>
      </c>
      <c r="BZ430" s="93">
        <f>SUM($Z430:AS430)-SUM($CM430:DF430)</f>
        <v>513</v>
      </c>
      <c r="CA430" s="93">
        <f>SUM($Z430:AT430)-SUM($CM430:DG430)</f>
        <v>513</v>
      </c>
      <c r="CB430" s="93">
        <f>SUM($Z430:AU430)-SUM($CM430:DH430)</f>
        <v>513</v>
      </c>
      <c r="CC430" s="93">
        <f>SUM($Z430:AV430)-SUM($CM430:DI430)</f>
        <v>513</v>
      </c>
      <c r="CD430" s="93">
        <f>SUM($Z430:AW430)-SUM($CM430:DJ430)</f>
        <v>513</v>
      </c>
      <c r="CE430" s="93">
        <f>SUM($Z430:AX430)-SUM($CM430:DK430)</f>
        <v>513</v>
      </c>
      <c r="CF430" s="93">
        <f>SUM($Z430:AY430)-SUM($CM430:DL430)</f>
        <v>513</v>
      </c>
      <c r="CG430" s="93">
        <f>SUM($Z430:AZ430)-SUM($CM430:DM430)</f>
        <v>513</v>
      </c>
      <c r="CH430" s="93">
        <f>SUM($Z430:BA430)-SUM($CM430:DN430)</f>
        <v>513</v>
      </c>
      <c r="CI430" s="93">
        <f>SUM($Z430:BB430)-SUM($CM430:DO430)</f>
        <v>513</v>
      </c>
      <c r="CJ430" s="93"/>
      <c r="CK430" s="93"/>
      <c r="CL430" s="93"/>
      <c r="CM430" s="93"/>
      <c r="CN430" s="93" cm="1">
        <f t="array" ref="CN430">SUMPRODUCT(TRANSPOSE(CN$4:CN$20),$G430:$W430)</f>
        <v>0</v>
      </c>
      <c r="CO430" s="93" cm="1">
        <f t="array" ref="CO430">SUMPRODUCT(TRANSPOSE(CO$4:CO$20),$G430:$W430)</f>
        <v>0</v>
      </c>
      <c r="CP430" s="93" cm="1">
        <f t="array" ref="CP430">SUMPRODUCT(TRANSPOSE(CP$4:CP$20),$G430:$W430)</f>
        <v>0</v>
      </c>
      <c r="CQ430" s="93" cm="1">
        <f t="array" ref="CQ430">SUMPRODUCT(TRANSPOSE(CQ$4:CQ$20),$G430:$W430)</f>
        <v>64</v>
      </c>
      <c r="CR430" s="93" cm="1">
        <f t="array" ref="CR430">SUMPRODUCT(TRANSPOSE(CR$4:CR$20),$G430:$W430)</f>
        <v>64</v>
      </c>
      <c r="CS430" s="93" cm="1">
        <f t="array" ref="CS430">SUMPRODUCT(TRANSPOSE(CS$4:CS$20),$G430:$W430)</f>
        <v>64</v>
      </c>
      <c r="CT430" s="93" cm="1">
        <f t="array" ref="CT430">SUMPRODUCT(TRANSPOSE(CT$4:CT$20),$G430:$W430)</f>
        <v>64</v>
      </c>
      <c r="CU430" s="93" cm="1">
        <f t="array" ref="CU430">SUMPRODUCT(TRANSPOSE(CU$4:CU$20),$G430:$W430)</f>
        <v>64</v>
      </c>
      <c r="CV430" s="93" cm="1">
        <f t="array" ref="CV430">SUMPRODUCT(TRANSPOSE(CV$4:CV$20),$G430:$W430)</f>
        <v>64</v>
      </c>
      <c r="CW430" s="93" cm="1">
        <f t="array" ref="CW430">SUMPRODUCT(TRANSPOSE(CW$4:CW$20),$G430:$W430)</f>
        <v>64</v>
      </c>
      <c r="CX430" s="93" cm="1">
        <f t="array" ref="CX430">SUMPRODUCT(TRANSPOSE(CX$4:CX$20),$G430:$W430)</f>
        <v>64</v>
      </c>
      <c r="CY430" s="93" cm="1">
        <f t="array" ref="CY430">SUMPRODUCT(TRANSPOSE(CY$4:CY$20),$G430:$W430)</f>
        <v>64</v>
      </c>
      <c r="CZ430" s="93" cm="1">
        <f t="array" ref="CZ430">SUMPRODUCT(TRANSPOSE(CZ$4:CZ$20),$G430:$W430)</f>
        <v>64</v>
      </c>
      <c r="DA430" s="93" cm="1">
        <f t="array" ref="DA430">SUMPRODUCT(TRANSPOSE(DA$4:DA$20),$G430:$W430)</f>
        <v>64</v>
      </c>
      <c r="DB430" s="93" cm="1">
        <f t="array" ref="DB430">SUMPRODUCT(TRANSPOSE(DB$4:DB$20),$G430:$W430)</f>
        <v>64</v>
      </c>
      <c r="DC430" s="93" cm="1">
        <f t="array" ref="DC430">SUMPRODUCT(TRANSPOSE(DC$4:DC$20),$G430:$W430)</f>
        <v>48</v>
      </c>
      <c r="DD430" s="93" cm="1">
        <f t="array" ref="DD430">SUMPRODUCT(TRANSPOSE(DD$4:DD$20),$G430:$W430)</f>
        <v>0</v>
      </c>
      <c r="DE430" s="93" cm="1">
        <f t="array" ref="DE430">SUMPRODUCT(TRANSPOSE(DE$4:DE$20),$G430:$W430)</f>
        <v>0</v>
      </c>
      <c r="DF430" s="93" cm="1">
        <f t="array" ref="DF430">SUMPRODUCT(TRANSPOSE(DF$4:DF$20),$G430:$W430)</f>
        <v>0</v>
      </c>
      <c r="DG430" s="93" cm="1">
        <f t="array" ref="DG430">SUMPRODUCT(TRANSPOSE(DG$4:DG$20),$G430:$W430)</f>
        <v>0</v>
      </c>
      <c r="DH430" s="93" cm="1">
        <f t="array" ref="DH430">SUMPRODUCT(TRANSPOSE(DH$4:DH$20),$G430:$W430)</f>
        <v>0</v>
      </c>
      <c r="DI430" s="93" cm="1">
        <f t="array" ref="DI430">SUMPRODUCT(TRANSPOSE(DI$4:DI$20),$G430:$W430)</f>
        <v>0</v>
      </c>
      <c r="DJ430" s="93" cm="1">
        <f t="array" ref="DJ430">SUMPRODUCT(TRANSPOSE(DJ$4:DJ$20),$G430:$W430)</f>
        <v>0</v>
      </c>
      <c r="DK430" s="93" cm="1">
        <f t="array" ref="DK430">SUMPRODUCT(TRANSPOSE(DK$4:DK$20),$G430:$W430)</f>
        <v>0</v>
      </c>
      <c r="DL430" s="93" cm="1">
        <f t="array" ref="DL430">SUMPRODUCT(TRANSPOSE(DL$4:DL$20),$G430:$W430)</f>
        <v>0</v>
      </c>
      <c r="DM430" s="93" cm="1">
        <f t="array" ref="DM430">SUMPRODUCT(TRANSPOSE(DM$4:DM$20),$G430:$W430)</f>
        <v>0</v>
      </c>
      <c r="DN430" s="93" cm="1">
        <f t="array" ref="DN430">SUMPRODUCT(TRANSPOSE(DN$4:DN$20),$G430:$W430)</f>
        <v>0</v>
      </c>
      <c r="DO430" s="93" cm="1">
        <f t="array" ref="DO430">SUMPRODUCT(TRANSPOSE(DO$4:DO$20),$G430:$W430)</f>
        <v>0</v>
      </c>
    </row>
    <row r="431" spans="1:119" x14ac:dyDescent="0.2">
      <c r="A431" s="45">
        <f t="shared" si="32"/>
        <v>410</v>
      </c>
      <c r="B431" s="64" t="s">
        <v>916</v>
      </c>
      <c r="C431" s="45" t="s">
        <v>917</v>
      </c>
      <c r="D431" s="45" t="s">
        <v>918</v>
      </c>
      <c r="E431" s="45" t="s">
        <v>162</v>
      </c>
      <c r="F431" s="48">
        <v>2</v>
      </c>
      <c r="G431" s="100">
        <v>30</v>
      </c>
      <c r="H431" s="100">
        <v>0</v>
      </c>
      <c r="I431" s="100">
        <v>0</v>
      </c>
      <c r="J431" s="100">
        <v>0</v>
      </c>
      <c r="K431" s="100">
        <v>0</v>
      </c>
      <c r="L431" s="100">
        <v>0</v>
      </c>
      <c r="M431" s="100">
        <v>0</v>
      </c>
      <c r="N431" s="100">
        <v>0</v>
      </c>
      <c r="O431" s="100">
        <v>0</v>
      </c>
      <c r="P431" s="100">
        <v>0</v>
      </c>
      <c r="Q431" s="100">
        <v>0</v>
      </c>
      <c r="R431" s="100">
        <v>0</v>
      </c>
      <c r="S431" s="100">
        <v>0</v>
      </c>
      <c r="T431" s="100">
        <v>0</v>
      </c>
      <c r="U431" s="100">
        <v>0</v>
      </c>
      <c r="V431" s="100">
        <v>0</v>
      </c>
      <c r="W431" s="100">
        <v>0</v>
      </c>
      <c r="X431" s="45" t="s">
        <v>24</v>
      </c>
      <c r="Y431" s="49">
        <v>4.1000000000000002E-2</v>
      </c>
      <c r="Z431" s="45">
        <v>3978</v>
      </c>
      <c r="AA431" s="45">
        <v>0</v>
      </c>
      <c r="AB431" s="45">
        <v>0</v>
      </c>
      <c r="AC431" s="45">
        <v>0</v>
      </c>
      <c r="AD431" s="45">
        <v>0</v>
      </c>
      <c r="AE431" s="45">
        <v>0</v>
      </c>
      <c r="AF431" s="45">
        <v>0</v>
      </c>
      <c r="AG431" s="45">
        <v>0</v>
      </c>
      <c r="AH431" s="45">
        <v>0</v>
      </c>
      <c r="AI431" s="45">
        <v>0</v>
      </c>
      <c r="AJ431" s="45">
        <v>0</v>
      </c>
      <c r="AK431" s="45">
        <v>0</v>
      </c>
      <c r="AL431" s="45">
        <v>0</v>
      </c>
      <c r="AM431" s="45">
        <v>0</v>
      </c>
      <c r="AN431" s="45">
        <v>0</v>
      </c>
      <c r="AO431" s="45"/>
      <c r="AP431" s="45"/>
      <c r="AQ431" s="45"/>
      <c r="AR431" s="45"/>
      <c r="AS431" s="45"/>
      <c r="AT431" s="45"/>
      <c r="AU431" s="45"/>
      <c r="AV431" s="45"/>
      <c r="AW431" s="45"/>
      <c r="AX431" s="45"/>
      <c r="AY431" s="45"/>
      <c r="AZ431" s="45"/>
      <c r="BA431" s="45"/>
      <c r="BB431" s="45"/>
      <c r="BC431" s="45"/>
      <c r="BD431" s="93"/>
      <c r="BE431" s="93"/>
      <c r="BF431" s="93"/>
      <c r="BG431" s="93"/>
      <c r="BH431" s="93"/>
      <c r="BI431" s="93"/>
      <c r="BJ431" s="93"/>
      <c r="BK431" s="93">
        <f>SUM($Z431:AD431)-SUM($CM431:CQ431)</f>
        <v>3738</v>
      </c>
      <c r="BL431" s="93">
        <f>SUM($Z431:AE431)-SUM($CM431:CR431)</f>
        <v>3498</v>
      </c>
      <c r="BM431" s="93">
        <f>SUM($Z431:AF431)-SUM($CM431:CS431)</f>
        <v>3258</v>
      </c>
      <c r="BN431" s="93">
        <f>SUM($Z431:AG431)-SUM($CM431:CT431)</f>
        <v>3018</v>
      </c>
      <c r="BO431" s="93">
        <f>SUM($Z431:AH431)-SUM($CM431:CU431)</f>
        <v>2778</v>
      </c>
      <c r="BP431" s="93">
        <f>SUM($Z431:AI431)-SUM($CM431:CV431)</f>
        <v>2538</v>
      </c>
      <c r="BQ431" s="93">
        <f>SUM($Z431:AJ431)-SUM($CM431:CW431)</f>
        <v>2298</v>
      </c>
      <c r="BR431" s="93">
        <f>SUM($Z431:AK431)-SUM($CM431:CX431)</f>
        <v>2058</v>
      </c>
      <c r="BS431" s="93">
        <f>SUM($Z431:AL431)-SUM($CM431:CY431)</f>
        <v>1818</v>
      </c>
      <c r="BT431" s="93">
        <f>SUM($Z431:AM431)-SUM($CM431:CZ431)</f>
        <v>1578</v>
      </c>
      <c r="BU431" s="93">
        <f>SUM($Z431:AN431)-SUM($CM431:DA431)</f>
        <v>1338</v>
      </c>
      <c r="BV431" s="93">
        <f>SUM($Z431:AO431)-SUM($CM431:DB431)</f>
        <v>1098</v>
      </c>
      <c r="BW431" s="93">
        <f>SUM($Z431:AP431)-SUM($CM431:DC431)</f>
        <v>918</v>
      </c>
      <c r="BX431" s="93">
        <f>SUM($Z431:AQ431)-SUM($CM431:DD431)</f>
        <v>918</v>
      </c>
      <c r="BY431" s="93">
        <f>SUM($Z431:AR431)-SUM($CM431:DE431)</f>
        <v>918</v>
      </c>
      <c r="BZ431" s="93">
        <f>SUM($Z431:AS431)-SUM($CM431:DF431)</f>
        <v>918</v>
      </c>
      <c r="CA431" s="93">
        <f>SUM($Z431:AT431)-SUM($CM431:DG431)</f>
        <v>918</v>
      </c>
      <c r="CB431" s="93">
        <f>SUM($Z431:AU431)-SUM($CM431:DH431)</f>
        <v>918</v>
      </c>
      <c r="CC431" s="93">
        <f>SUM($Z431:AV431)-SUM($CM431:DI431)</f>
        <v>918</v>
      </c>
      <c r="CD431" s="93">
        <f>SUM($Z431:AW431)-SUM($CM431:DJ431)</f>
        <v>918</v>
      </c>
      <c r="CE431" s="93">
        <f>SUM($Z431:AX431)-SUM($CM431:DK431)</f>
        <v>918</v>
      </c>
      <c r="CF431" s="93">
        <f>SUM($Z431:AY431)-SUM($CM431:DL431)</f>
        <v>918</v>
      </c>
      <c r="CG431" s="93">
        <f>SUM($Z431:AZ431)-SUM($CM431:DM431)</f>
        <v>918</v>
      </c>
      <c r="CH431" s="93">
        <f>SUM($Z431:BA431)-SUM($CM431:DN431)</f>
        <v>918</v>
      </c>
      <c r="CI431" s="93">
        <f>SUM($Z431:BB431)-SUM($CM431:DO431)</f>
        <v>918</v>
      </c>
      <c r="CJ431" s="93"/>
      <c r="CK431" s="93"/>
      <c r="CL431" s="93"/>
      <c r="CM431" s="93"/>
      <c r="CN431" s="93" cm="1">
        <f t="array" ref="CN431">SUMPRODUCT(TRANSPOSE(CN$4:CN$20),$G431:$W431)</f>
        <v>0</v>
      </c>
      <c r="CO431" s="93" cm="1">
        <f t="array" ref="CO431">SUMPRODUCT(TRANSPOSE(CO$4:CO$20),$G431:$W431)</f>
        <v>0</v>
      </c>
      <c r="CP431" s="93" cm="1">
        <f t="array" ref="CP431">SUMPRODUCT(TRANSPOSE(CP$4:CP$20),$G431:$W431)</f>
        <v>0</v>
      </c>
      <c r="CQ431" s="93" cm="1">
        <f t="array" ref="CQ431">SUMPRODUCT(TRANSPOSE(CQ$4:CQ$20),$G431:$W431)</f>
        <v>240</v>
      </c>
      <c r="CR431" s="93" cm="1">
        <f t="array" ref="CR431">SUMPRODUCT(TRANSPOSE(CR$4:CR$20),$G431:$W431)</f>
        <v>240</v>
      </c>
      <c r="CS431" s="93" cm="1">
        <f t="array" ref="CS431">SUMPRODUCT(TRANSPOSE(CS$4:CS$20),$G431:$W431)</f>
        <v>240</v>
      </c>
      <c r="CT431" s="93" cm="1">
        <f t="array" ref="CT431">SUMPRODUCT(TRANSPOSE(CT$4:CT$20),$G431:$W431)</f>
        <v>240</v>
      </c>
      <c r="CU431" s="93" cm="1">
        <f t="array" ref="CU431">SUMPRODUCT(TRANSPOSE(CU$4:CU$20),$G431:$W431)</f>
        <v>240</v>
      </c>
      <c r="CV431" s="93" cm="1">
        <f t="array" ref="CV431">SUMPRODUCT(TRANSPOSE(CV$4:CV$20),$G431:$W431)</f>
        <v>240</v>
      </c>
      <c r="CW431" s="93" cm="1">
        <f t="array" ref="CW431">SUMPRODUCT(TRANSPOSE(CW$4:CW$20),$G431:$W431)</f>
        <v>240</v>
      </c>
      <c r="CX431" s="93" cm="1">
        <f t="array" ref="CX431">SUMPRODUCT(TRANSPOSE(CX$4:CX$20),$G431:$W431)</f>
        <v>240</v>
      </c>
      <c r="CY431" s="93" cm="1">
        <f t="array" ref="CY431">SUMPRODUCT(TRANSPOSE(CY$4:CY$20),$G431:$W431)</f>
        <v>240</v>
      </c>
      <c r="CZ431" s="93" cm="1">
        <f t="array" ref="CZ431">SUMPRODUCT(TRANSPOSE(CZ$4:CZ$20),$G431:$W431)</f>
        <v>240</v>
      </c>
      <c r="DA431" s="93" cm="1">
        <f t="array" ref="DA431">SUMPRODUCT(TRANSPOSE(DA$4:DA$20),$G431:$W431)</f>
        <v>240</v>
      </c>
      <c r="DB431" s="93" cm="1">
        <f t="array" ref="DB431">SUMPRODUCT(TRANSPOSE(DB$4:DB$20),$G431:$W431)</f>
        <v>240</v>
      </c>
      <c r="DC431" s="93" cm="1">
        <f t="array" ref="DC431">SUMPRODUCT(TRANSPOSE(DC$4:DC$20),$G431:$W431)</f>
        <v>180</v>
      </c>
      <c r="DD431" s="93" cm="1">
        <f t="array" ref="DD431">SUMPRODUCT(TRANSPOSE(DD$4:DD$20),$G431:$W431)</f>
        <v>0</v>
      </c>
      <c r="DE431" s="93" cm="1">
        <f t="array" ref="DE431">SUMPRODUCT(TRANSPOSE(DE$4:DE$20),$G431:$W431)</f>
        <v>0</v>
      </c>
      <c r="DF431" s="93" cm="1">
        <f t="array" ref="DF431">SUMPRODUCT(TRANSPOSE(DF$4:DF$20),$G431:$W431)</f>
        <v>0</v>
      </c>
      <c r="DG431" s="93" cm="1">
        <f t="array" ref="DG431">SUMPRODUCT(TRANSPOSE(DG$4:DG$20),$G431:$W431)</f>
        <v>0</v>
      </c>
      <c r="DH431" s="93" cm="1">
        <f t="array" ref="DH431">SUMPRODUCT(TRANSPOSE(DH$4:DH$20),$G431:$W431)</f>
        <v>0</v>
      </c>
      <c r="DI431" s="93" cm="1">
        <f t="array" ref="DI431">SUMPRODUCT(TRANSPOSE(DI$4:DI$20),$G431:$W431)</f>
        <v>0</v>
      </c>
      <c r="DJ431" s="93" cm="1">
        <f t="array" ref="DJ431">SUMPRODUCT(TRANSPOSE(DJ$4:DJ$20),$G431:$W431)</f>
        <v>0</v>
      </c>
      <c r="DK431" s="93" cm="1">
        <f t="array" ref="DK431">SUMPRODUCT(TRANSPOSE(DK$4:DK$20),$G431:$W431)</f>
        <v>0</v>
      </c>
      <c r="DL431" s="93" cm="1">
        <f t="array" ref="DL431">SUMPRODUCT(TRANSPOSE(DL$4:DL$20),$G431:$W431)</f>
        <v>0</v>
      </c>
      <c r="DM431" s="93" cm="1">
        <f t="array" ref="DM431">SUMPRODUCT(TRANSPOSE(DM$4:DM$20),$G431:$W431)</f>
        <v>0</v>
      </c>
      <c r="DN431" s="93" cm="1">
        <f t="array" ref="DN431">SUMPRODUCT(TRANSPOSE(DN$4:DN$20),$G431:$W431)</f>
        <v>0</v>
      </c>
      <c r="DO431" s="93" cm="1">
        <f t="array" ref="DO431">SUMPRODUCT(TRANSPOSE(DO$4:DO$20),$G431:$W431)</f>
        <v>0</v>
      </c>
    </row>
    <row r="432" spans="1:119" x14ac:dyDescent="0.2">
      <c r="A432" s="45">
        <f t="shared" si="32"/>
        <v>411</v>
      </c>
      <c r="B432" s="64" t="s">
        <v>919</v>
      </c>
      <c r="C432" s="45">
        <v>880045331</v>
      </c>
      <c r="D432" s="45" t="s">
        <v>920</v>
      </c>
      <c r="E432" s="45" t="s">
        <v>162</v>
      </c>
      <c r="F432" s="48">
        <v>1</v>
      </c>
      <c r="G432" s="100">
        <v>1</v>
      </c>
      <c r="H432" s="100">
        <v>0</v>
      </c>
      <c r="I432" s="100">
        <v>0</v>
      </c>
      <c r="J432" s="100">
        <v>0</v>
      </c>
      <c r="K432" s="100">
        <v>0</v>
      </c>
      <c r="L432" s="100">
        <v>0</v>
      </c>
      <c r="M432" s="100">
        <v>0</v>
      </c>
      <c r="N432" s="100">
        <v>0</v>
      </c>
      <c r="O432" s="100">
        <v>0</v>
      </c>
      <c r="P432" s="100">
        <v>0</v>
      </c>
      <c r="Q432" s="100">
        <v>0</v>
      </c>
      <c r="R432" s="100">
        <v>0</v>
      </c>
      <c r="S432" s="100">
        <v>0</v>
      </c>
      <c r="T432" s="100">
        <v>0</v>
      </c>
      <c r="U432" s="100">
        <v>0</v>
      </c>
      <c r="V432" s="100">
        <v>0</v>
      </c>
      <c r="W432" s="100">
        <v>0</v>
      </c>
      <c r="X432" s="45" t="s">
        <v>832</v>
      </c>
      <c r="Y432" s="49">
        <v>63.7</v>
      </c>
      <c r="Z432" s="45">
        <v>130</v>
      </c>
      <c r="AA432" s="45">
        <v>0</v>
      </c>
      <c r="AB432" s="45">
        <v>0</v>
      </c>
      <c r="AC432" s="45">
        <v>0</v>
      </c>
      <c r="AD432" s="45">
        <v>0</v>
      </c>
      <c r="AE432" s="45">
        <v>0</v>
      </c>
      <c r="AF432" s="45">
        <v>0</v>
      </c>
      <c r="AG432" s="45">
        <v>0</v>
      </c>
      <c r="AH432" s="45">
        <v>0</v>
      </c>
      <c r="AI432" s="45">
        <v>0</v>
      </c>
      <c r="AJ432" s="45">
        <v>0</v>
      </c>
      <c r="AK432" s="45">
        <v>0</v>
      </c>
      <c r="AL432" s="45">
        <v>0</v>
      </c>
      <c r="AM432" s="45">
        <v>0</v>
      </c>
      <c r="AN432" s="45">
        <v>0</v>
      </c>
      <c r="AO432" s="45"/>
      <c r="AP432" s="45"/>
      <c r="AQ432" s="45"/>
      <c r="AR432" s="45"/>
      <c r="AS432" s="45"/>
      <c r="AT432" s="45"/>
      <c r="AU432" s="45"/>
      <c r="AV432" s="45"/>
      <c r="AW432" s="45"/>
      <c r="AX432" s="45"/>
      <c r="AY432" s="45"/>
      <c r="AZ432" s="45"/>
      <c r="BA432" s="45"/>
      <c r="BB432" s="45"/>
      <c r="BC432" s="45"/>
      <c r="BD432" s="93"/>
      <c r="BE432" s="93"/>
      <c r="BF432" s="93"/>
      <c r="BG432" s="93"/>
      <c r="BH432" s="93"/>
      <c r="BI432" s="93"/>
      <c r="BJ432" s="93"/>
      <c r="BK432" s="93">
        <f>SUM($Z432:AD432)-SUM($CM432:CQ432)</f>
        <v>122</v>
      </c>
      <c r="BL432" s="93">
        <f>SUM($Z432:AE432)-SUM($CM432:CR432)</f>
        <v>114</v>
      </c>
      <c r="BM432" s="93">
        <f>SUM($Z432:AF432)-SUM($CM432:CS432)</f>
        <v>106</v>
      </c>
      <c r="BN432" s="93">
        <f>SUM($Z432:AG432)-SUM($CM432:CT432)</f>
        <v>98</v>
      </c>
      <c r="BO432" s="93">
        <f>SUM($Z432:AH432)-SUM($CM432:CU432)</f>
        <v>90</v>
      </c>
      <c r="BP432" s="93">
        <f>SUM($Z432:AI432)-SUM($CM432:CV432)</f>
        <v>82</v>
      </c>
      <c r="BQ432" s="93">
        <f>SUM($Z432:AJ432)-SUM($CM432:CW432)</f>
        <v>74</v>
      </c>
      <c r="BR432" s="93">
        <f>SUM($Z432:AK432)-SUM($CM432:CX432)</f>
        <v>66</v>
      </c>
      <c r="BS432" s="93">
        <f>SUM($Z432:AL432)-SUM($CM432:CY432)</f>
        <v>58</v>
      </c>
      <c r="BT432" s="93">
        <f>SUM($Z432:AM432)-SUM($CM432:CZ432)</f>
        <v>50</v>
      </c>
      <c r="BU432" s="93">
        <f>SUM($Z432:AN432)-SUM($CM432:DA432)</f>
        <v>42</v>
      </c>
      <c r="BV432" s="93">
        <f>SUM($Z432:AO432)-SUM($CM432:DB432)</f>
        <v>34</v>
      </c>
      <c r="BW432" s="93">
        <f>SUM($Z432:AP432)-SUM($CM432:DC432)</f>
        <v>28</v>
      </c>
      <c r="BX432" s="93">
        <f>SUM($Z432:AQ432)-SUM($CM432:DD432)</f>
        <v>28</v>
      </c>
      <c r="BY432" s="93">
        <f>SUM($Z432:AR432)-SUM($CM432:DE432)</f>
        <v>28</v>
      </c>
      <c r="BZ432" s="93">
        <f>SUM($Z432:AS432)-SUM($CM432:DF432)</f>
        <v>28</v>
      </c>
      <c r="CA432" s="93">
        <f>SUM($Z432:AT432)-SUM($CM432:DG432)</f>
        <v>28</v>
      </c>
      <c r="CB432" s="93">
        <f>SUM($Z432:AU432)-SUM($CM432:DH432)</f>
        <v>28</v>
      </c>
      <c r="CC432" s="93">
        <f>SUM($Z432:AV432)-SUM($CM432:DI432)</f>
        <v>28</v>
      </c>
      <c r="CD432" s="93">
        <f>SUM($Z432:AW432)-SUM($CM432:DJ432)</f>
        <v>28</v>
      </c>
      <c r="CE432" s="93">
        <f>SUM($Z432:AX432)-SUM($CM432:DK432)</f>
        <v>28</v>
      </c>
      <c r="CF432" s="93">
        <f>SUM($Z432:AY432)-SUM($CM432:DL432)</f>
        <v>28</v>
      </c>
      <c r="CG432" s="93">
        <f>SUM($Z432:AZ432)-SUM($CM432:DM432)</f>
        <v>28</v>
      </c>
      <c r="CH432" s="93">
        <f>SUM($Z432:BA432)-SUM($CM432:DN432)</f>
        <v>28</v>
      </c>
      <c r="CI432" s="93">
        <f>SUM($Z432:BB432)-SUM($CM432:DO432)</f>
        <v>28</v>
      </c>
      <c r="CJ432" s="93"/>
      <c r="CK432" s="93"/>
      <c r="CL432" s="93"/>
      <c r="CM432" s="93"/>
      <c r="CN432" s="93" cm="1">
        <f t="array" ref="CN432">SUMPRODUCT(TRANSPOSE(CN$4:CN$20),$G432:$W432)</f>
        <v>0</v>
      </c>
      <c r="CO432" s="93" cm="1">
        <f t="array" ref="CO432">SUMPRODUCT(TRANSPOSE(CO$4:CO$20),$G432:$W432)</f>
        <v>0</v>
      </c>
      <c r="CP432" s="93" cm="1">
        <f t="array" ref="CP432">SUMPRODUCT(TRANSPOSE(CP$4:CP$20),$G432:$W432)</f>
        <v>0</v>
      </c>
      <c r="CQ432" s="93" cm="1">
        <f t="array" ref="CQ432">SUMPRODUCT(TRANSPOSE(CQ$4:CQ$20),$G432:$W432)</f>
        <v>8</v>
      </c>
      <c r="CR432" s="93" cm="1">
        <f t="array" ref="CR432">SUMPRODUCT(TRANSPOSE(CR$4:CR$20),$G432:$W432)</f>
        <v>8</v>
      </c>
      <c r="CS432" s="93" cm="1">
        <f t="array" ref="CS432">SUMPRODUCT(TRANSPOSE(CS$4:CS$20),$G432:$W432)</f>
        <v>8</v>
      </c>
      <c r="CT432" s="93" cm="1">
        <f t="array" ref="CT432">SUMPRODUCT(TRANSPOSE(CT$4:CT$20),$G432:$W432)</f>
        <v>8</v>
      </c>
      <c r="CU432" s="93" cm="1">
        <f t="array" ref="CU432">SUMPRODUCT(TRANSPOSE(CU$4:CU$20),$G432:$W432)</f>
        <v>8</v>
      </c>
      <c r="CV432" s="93" cm="1">
        <f t="array" ref="CV432">SUMPRODUCT(TRANSPOSE(CV$4:CV$20),$G432:$W432)</f>
        <v>8</v>
      </c>
      <c r="CW432" s="93" cm="1">
        <f t="array" ref="CW432">SUMPRODUCT(TRANSPOSE(CW$4:CW$20),$G432:$W432)</f>
        <v>8</v>
      </c>
      <c r="CX432" s="93" cm="1">
        <f t="array" ref="CX432">SUMPRODUCT(TRANSPOSE(CX$4:CX$20),$G432:$W432)</f>
        <v>8</v>
      </c>
      <c r="CY432" s="93" cm="1">
        <f t="array" ref="CY432">SUMPRODUCT(TRANSPOSE(CY$4:CY$20),$G432:$W432)</f>
        <v>8</v>
      </c>
      <c r="CZ432" s="93" cm="1">
        <f t="array" ref="CZ432">SUMPRODUCT(TRANSPOSE(CZ$4:CZ$20),$G432:$W432)</f>
        <v>8</v>
      </c>
      <c r="DA432" s="93" cm="1">
        <f t="array" ref="DA432">SUMPRODUCT(TRANSPOSE(DA$4:DA$20),$G432:$W432)</f>
        <v>8</v>
      </c>
      <c r="DB432" s="93" cm="1">
        <f t="array" ref="DB432">SUMPRODUCT(TRANSPOSE(DB$4:DB$20),$G432:$W432)</f>
        <v>8</v>
      </c>
      <c r="DC432" s="93" cm="1">
        <f t="array" ref="DC432">SUMPRODUCT(TRANSPOSE(DC$4:DC$20),$G432:$W432)</f>
        <v>6</v>
      </c>
      <c r="DD432" s="93" cm="1">
        <f t="array" ref="DD432">SUMPRODUCT(TRANSPOSE(DD$4:DD$20),$G432:$W432)</f>
        <v>0</v>
      </c>
      <c r="DE432" s="93" cm="1">
        <f t="array" ref="DE432">SUMPRODUCT(TRANSPOSE(DE$4:DE$20),$G432:$W432)</f>
        <v>0</v>
      </c>
      <c r="DF432" s="93" cm="1">
        <f t="array" ref="DF432">SUMPRODUCT(TRANSPOSE(DF$4:DF$20),$G432:$W432)</f>
        <v>0</v>
      </c>
      <c r="DG432" s="93" cm="1">
        <f t="array" ref="DG432">SUMPRODUCT(TRANSPOSE(DG$4:DG$20),$G432:$W432)</f>
        <v>0</v>
      </c>
      <c r="DH432" s="93" cm="1">
        <f t="array" ref="DH432">SUMPRODUCT(TRANSPOSE(DH$4:DH$20),$G432:$W432)</f>
        <v>0</v>
      </c>
      <c r="DI432" s="93" cm="1">
        <f t="array" ref="DI432">SUMPRODUCT(TRANSPOSE(DI$4:DI$20),$G432:$W432)</f>
        <v>0</v>
      </c>
      <c r="DJ432" s="93" cm="1">
        <f t="array" ref="DJ432">SUMPRODUCT(TRANSPOSE(DJ$4:DJ$20),$G432:$W432)</f>
        <v>0</v>
      </c>
      <c r="DK432" s="93" cm="1">
        <f t="array" ref="DK432">SUMPRODUCT(TRANSPOSE(DK$4:DK$20),$G432:$W432)</f>
        <v>0</v>
      </c>
      <c r="DL432" s="93" cm="1">
        <f t="array" ref="DL432">SUMPRODUCT(TRANSPOSE(DL$4:DL$20),$G432:$W432)</f>
        <v>0</v>
      </c>
      <c r="DM432" s="93" cm="1">
        <f t="array" ref="DM432">SUMPRODUCT(TRANSPOSE(DM$4:DM$20),$G432:$W432)</f>
        <v>0</v>
      </c>
      <c r="DN432" s="93" cm="1">
        <f t="array" ref="DN432">SUMPRODUCT(TRANSPOSE(DN$4:DN$20),$G432:$W432)</f>
        <v>0</v>
      </c>
      <c r="DO432" s="93" cm="1">
        <f t="array" ref="DO432">SUMPRODUCT(TRANSPOSE(DO$4:DO$20),$G432:$W432)</f>
        <v>0</v>
      </c>
    </row>
    <row r="433" spans="1:119" x14ac:dyDescent="0.2">
      <c r="A433" s="45">
        <f t="shared" si="32"/>
        <v>412</v>
      </c>
      <c r="B433" s="64" t="s">
        <v>921</v>
      </c>
      <c r="C433" s="45">
        <v>400536575</v>
      </c>
      <c r="D433" s="45" t="s">
        <v>922</v>
      </c>
      <c r="E433" s="45" t="s">
        <v>162</v>
      </c>
      <c r="F433" s="48">
        <v>2</v>
      </c>
      <c r="G433" s="100">
        <v>0</v>
      </c>
      <c r="H433" s="100">
        <v>0</v>
      </c>
      <c r="I433" s="100">
        <v>0</v>
      </c>
      <c r="J433" s="100">
        <v>0</v>
      </c>
      <c r="K433" s="100">
        <v>0</v>
      </c>
      <c r="L433" s="100">
        <v>0</v>
      </c>
      <c r="M433" s="100">
        <v>3</v>
      </c>
      <c r="N433" s="100">
        <v>0</v>
      </c>
      <c r="O433" s="100">
        <v>0</v>
      </c>
      <c r="P433" s="100">
        <v>0</v>
      </c>
      <c r="Q433" s="100">
        <v>0</v>
      </c>
      <c r="R433" s="100">
        <v>0</v>
      </c>
      <c r="S433" s="100">
        <v>0</v>
      </c>
      <c r="T433" s="100">
        <v>0</v>
      </c>
      <c r="U433" s="100">
        <v>0</v>
      </c>
      <c r="V433" s="100">
        <v>0</v>
      </c>
      <c r="W433" s="100">
        <v>0</v>
      </c>
      <c r="X433" s="45" t="s">
        <v>65</v>
      </c>
      <c r="Y433" s="49">
        <v>8.0000000000000004E-4</v>
      </c>
      <c r="Z433" s="45">
        <v>570000</v>
      </c>
      <c r="AA433" s="45">
        <v>0</v>
      </c>
      <c r="AB433" s="45">
        <v>0</v>
      </c>
      <c r="AC433" s="45">
        <v>0</v>
      </c>
      <c r="AD433" s="45">
        <v>0</v>
      </c>
      <c r="AE433" s="45">
        <v>0</v>
      </c>
      <c r="AF433" s="45">
        <v>0</v>
      </c>
      <c r="AG433" s="45">
        <v>0</v>
      </c>
      <c r="AH433" s="45">
        <v>0</v>
      </c>
      <c r="AI433" s="45">
        <v>0</v>
      </c>
      <c r="AJ433" s="45">
        <v>0</v>
      </c>
      <c r="AK433" s="45">
        <v>0</v>
      </c>
      <c r="AL433" s="45">
        <v>0</v>
      </c>
      <c r="AM433" s="45">
        <v>0</v>
      </c>
      <c r="AN433" s="45">
        <v>0</v>
      </c>
      <c r="AO433" s="45"/>
      <c r="AP433" s="45"/>
      <c r="AQ433" s="45"/>
      <c r="AR433" s="45"/>
      <c r="AS433" s="45"/>
      <c r="AT433" s="45"/>
      <c r="AU433" s="45"/>
      <c r="AV433" s="45"/>
      <c r="AW433" s="45"/>
      <c r="AX433" s="45"/>
      <c r="AY433" s="45"/>
      <c r="AZ433" s="45"/>
      <c r="BA433" s="45"/>
      <c r="BB433" s="45"/>
      <c r="BC433" s="45"/>
      <c r="BD433" s="93"/>
      <c r="BE433" s="93"/>
      <c r="BF433" s="93"/>
      <c r="BG433" s="93"/>
      <c r="BH433" s="93"/>
      <c r="BI433" s="93"/>
      <c r="BJ433" s="93"/>
      <c r="BK433" s="93">
        <f>SUM($Z433:AD433)-SUM($CM433:CQ433)</f>
        <v>569976</v>
      </c>
      <c r="BL433" s="93">
        <f>SUM($Z433:AE433)-SUM($CM433:CR433)</f>
        <v>569952</v>
      </c>
      <c r="BM433" s="93">
        <f>SUM($Z433:AF433)-SUM($CM433:CS433)</f>
        <v>569928</v>
      </c>
      <c r="BN433" s="93">
        <f>SUM($Z433:AG433)-SUM($CM433:CT433)</f>
        <v>569904</v>
      </c>
      <c r="BO433" s="93">
        <f>SUM($Z433:AH433)-SUM($CM433:CU433)</f>
        <v>569880</v>
      </c>
      <c r="BP433" s="93">
        <f>SUM($Z433:AI433)-SUM($CM433:CV433)</f>
        <v>569856</v>
      </c>
      <c r="BQ433" s="93">
        <f>SUM($Z433:AJ433)-SUM($CM433:CW433)</f>
        <v>569832</v>
      </c>
      <c r="BR433" s="93">
        <f>SUM($Z433:AK433)-SUM($CM433:CX433)</f>
        <v>569808</v>
      </c>
      <c r="BS433" s="93">
        <f>SUM($Z433:AL433)-SUM($CM433:CY433)</f>
        <v>569784</v>
      </c>
      <c r="BT433" s="93">
        <f>SUM($Z433:AM433)-SUM($CM433:CZ433)</f>
        <v>569760</v>
      </c>
      <c r="BU433" s="93">
        <f>SUM($Z433:AN433)-SUM($CM433:DA433)</f>
        <v>569736</v>
      </c>
      <c r="BV433" s="93">
        <f>SUM($Z433:AO433)-SUM($CM433:DB433)</f>
        <v>569712</v>
      </c>
      <c r="BW433" s="93">
        <f>SUM($Z433:AP433)-SUM($CM433:DC433)</f>
        <v>569670</v>
      </c>
      <c r="BX433" s="93">
        <f>SUM($Z433:AQ433)-SUM($CM433:DD433)</f>
        <v>569670</v>
      </c>
      <c r="BY433" s="93">
        <f>SUM($Z433:AR433)-SUM($CM433:DE433)</f>
        <v>569670</v>
      </c>
      <c r="BZ433" s="93">
        <f>SUM($Z433:AS433)-SUM($CM433:DF433)</f>
        <v>569670</v>
      </c>
      <c r="CA433" s="93">
        <f>SUM($Z433:AT433)-SUM($CM433:DG433)</f>
        <v>569670</v>
      </c>
      <c r="CB433" s="93">
        <f>SUM($Z433:AU433)-SUM($CM433:DH433)</f>
        <v>569670</v>
      </c>
      <c r="CC433" s="93">
        <f>SUM($Z433:AV433)-SUM($CM433:DI433)</f>
        <v>569670</v>
      </c>
      <c r="CD433" s="93">
        <f>SUM($Z433:AW433)-SUM($CM433:DJ433)</f>
        <v>569670</v>
      </c>
      <c r="CE433" s="93">
        <f>SUM($Z433:AX433)-SUM($CM433:DK433)</f>
        <v>569670</v>
      </c>
      <c r="CF433" s="93">
        <f>SUM($Z433:AY433)-SUM($CM433:DL433)</f>
        <v>569670</v>
      </c>
      <c r="CG433" s="93">
        <f>SUM($Z433:AZ433)-SUM($CM433:DM433)</f>
        <v>569670</v>
      </c>
      <c r="CH433" s="93">
        <f>SUM($Z433:BA433)-SUM($CM433:DN433)</f>
        <v>569670</v>
      </c>
      <c r="CI433" s="93">
        <f>SUM($Z433:BB433)-SUM($CM433:DO433)</f>
        <v>569670</v>
      </c>
      <c r="CJ433" s="93"/>
      <c r="CK433" s="93"/>
      <c r="CL433" s="93"/>
      <c r="CM433" s="93"/>
      <c r="CN433" s="93" cm="1">
        <f t="array" ref="CN433">SUMPRODUCT(TRANSPOSE(CN$4:CN$20),$G433:$W433)</f>
        <v>0</v>
      </c>
      <c r="CO433" s="93" cm="1">
        <f t="array" ref="CO433">SUMPRODUCT(TRANSPOSE(CO$4:CO$20),$G433:$W433)</f>
        <v>0</v>
      </c>
      <c r="CP433" s="93" cm="1">
        <f t="array" ref="CP433">SUMPRODUCT(TRANSPOSE(CP$4:CP$20),$G433:$W433)</f>
        <v>0</v>
      </c>
      <c r="CQ433" s="93" cm="1">
        <f t="array" ref="CQ433">SUMPRODUCT(TRANSPOSE(CQ$4:CQ$20),$G433:$W433)</f>
        <v>24</v>
      </c>
      <c r="CR433" s="93" cm="1">
        <f t="array" ref="CR433">SUMPRODUCT(TRANSPOSE(CR$4:CR$20),$G433:$W433)</f>
        <v>24</v>
      </c>
      <c r="CS433" s="93" cm="1">
        <f t="array" ref="CS433">SUMPRODUCT(TRANSPOSE(CS$4:CS$20),$G433:$W433)</f>
        <v>24</v>
      </c>
      <c r="CT433" s="93" cm="1">
        <f t="array" ref="CT433">SUMPRODUCT(TRANSPOSE(CT$4:CT$20),$G433:$W433)</f>
        <v>24</v>
      </c>
      <c r="CU433" s="93" cm="1">
        <f t="array" ref="CU433">SUMPRODUCT(TRANSPOSE(CU$4:CU$20),$G433:$W433)</f>
        <v>24</v>
      </c>
      <c r="CV433" s="93" cm="1">
        <f t="array" ref="CV433">SUMPRODUCT(TRANSPOSE(CV$4:CV$20),$G433:$W433)</f>
        <v>24</v>
      </c>
      <c r="CW433" s="93" cm="1">
        <f t="array" ref="CW433">SUMPRODUCT(TRANSPOSE(CW$4:CW$20),$G433:$W433)</f>
        <v>24</v>
      </c>
      <c r="CX433" s="93" cm="1">
        <f t="array" ref="CX433">SUMPRODUCT(TRANSPOSE(CX$4:CX$20),$G433:$W433)</f>
        <v>24</v>
      </c>
      <c r="CY433" s="93" cm="1">
        <f t="array" ref="CY433">SUMPRODUCT(TRANSPOSE(CY$4:CY$20),$G433:$W433)</f>
        <v>24</v>
      </c>
      <c r="CZ433" s="93" cm="1">
        <f t="array" ref="CZ433">SUMPRODUCT(TRANSPOSE(CZ$4:CZ$20),$G433:$W433)</f>
        <v>24</v>
      </c>
      <c r="DA433" s="93" cm="1">
        <f t="array" ref="DA433">SUMPRODUCT(TRANSPOSE(DA$4:DA$20),$G433:$W433)</f>
        <v>24</v>
      </c>
      <c r="DB433" s="93" cm="1">
        <f t="array" ref="DB433">SUMPRODUCT(TRANSPOSE(DB$4:DB$20),$G433:$W433)</f>
        <v>24</v>
      </c>
      <c r="DC433" s="93" cm="1">
        <f t="array" ref="DC433">SUMPRODUCT(TRANSPOSE(DC$4:DC$20),$G433:$W433)</f>
        <v>42</v>
      </c>
      <c r="DD433" s="93" cm="1">
        <f t="array" ref="DD433">SUMPRODUCT(TRANSPOSE(DD$4:DD$20),$G433:$W433)</f>
        <v>0</v>
      </c>
      <c r="DE433" s="93" cm="1">
        <f t="array" ref="DE433">SUMPRODUCT(TRANSPOSE(DE$4:DE$20),$G433:$W433)</f>
        <v>0</v>
      </c>
      <c r="DF433" s="93" cm="1">
        <f t="array" ref="DF433">SUMPRODUCT(TRANSPOSE(DF$4:DF$20),$G433:$W433)</f>
        <v>0</v>
      </c>
      <c r="DG433" s="93" cm="1">
        <f t="array" ref="DG433">SUMPRODUCT(TRANSPOSE(DG$4:DG$20),$G433:$W433)</f>
        <v>0</v>
      </c>
      <c r="DH433" s="93" cm="1">
        <f t="array" ref="DH433">SUMPRODUCT(TRANSPOSE(DH$4:DH$20),$G433:$W433)</f>
        <v>0</v>
      </c>
      <c r="DI433" s="93" cm="1">
        <f t="array" ref="DI433">SUMPRODUCT(TRANSPOSE(DI$4:DI$20),$G433:$W433)</f>
        <v>0</v>
      </c>
      <c r="DJ433" s="93" cm="1">
        <f t="array" ref="DJ433">SUMPRODUCT(TRANSPOSE(DJ$4:DJ$20),$G433:$W433)</f>
        <v>0</v>
      </c>
      <c r="DK433" s="93" cm="1">
        <f t="array" ref="DK433">SUMPRODUCT(TRANSPOSE(DK$4:DK$20),$G433:$W433)</f>
        <v>0</v>
      </c>
      <c r="DL433" s="93" cm="1">
        <f t="array" ref="DL433">SUMPRODUCT(TRANSPOSE(DL$4:DL$20),$G433:$W433)</f>
        <v>0</v>
      </c>
      <c r="DM433" s="93" cm="1">
        <f t="array" ref="DM433">SUMPRODUCT(TRANSPOSE(DM$4:DM$20),$G433:$W433)</f>
        <v>0</v>
      </c>
      <c r="DN433" s="93" cm="1">
        <f t="array" ref="DN433">SUMPRODUCT(TRANSPOSE(DN$4:DN$20),$G433:$W433)</f>
        <v>0</v>
      </c>
      <c r="DO433" s="93" cm="1">
        <f t="array" ref="DO433">SUMPRODUCT(TRANSPOSE(DO$4:DO$20),$G433:$W433)</f>
        <v>0</v>
      </c>
    </row>
    <row r="434" spans="1:119" x14ac:dyDescent="0.2">
      <c r="A434" s="45">
        <f t="shared" si="32"/>
        <v>413</v>
      </c>
      <c r="B434" s="64" t="s">
        <v>923</v>
      </c>
      <c r="C434" s="45">
        <v>400249775</v>
      </c>
      <c r="D434" s="45" t="s">
        <v>924</v>
      </c>
      <c r="E434" s="45" t="s">
        <v>162</v>
      </c>
      <c r="F434" s="48">
        <v>2</v>
      </c>
      <c r="G434" s="100">
        <v>0</v>
      </c>
      <c r="H434" s="100">
        <v>0</v>
      </c>
      <c r="I434" s="100">
        <v>0</v>
      </c>
      <c r="J434" s="100">
        <v>0</v>
      </c>
      <c r="K434" s="100">
        <v>0</v>
      </c>
      <c r="L434" s="100">
        <v>0</v>
      </c>
      <c r="M434" s="100">
        <v>2</v>
      </c>
      <c r="N434" s="100">
        <v>0</v>
      </c>
      <c r="O434" s="100">
        <v>0</v>
      </c>
      <c r="P434" s="100">
        <v>0</v>
      </c>
      <c r="Q434" s="100">
        <v>0</v>
      </c>
      <c r="R434" s="100">
        <v>0</v>
      </c>
      <c r="S434" s="100">
        <v>0</v>
      </c>
      <c r="T434" s="100">
        <v>0</v>
      </c>
      <c r="U434" s="100">
        <v>0</v>
      </c>
      <c r="V434" s="100">
        <v>0</v>
      </c>
      <c r="W434" s="100">
        <v>0</v>
      </c>
      <c r="X434" s="45" t="s">
        <v>61</v>
      </c>
      <c r="Y434" s="49">
        <v>4.0000000000000001E-3</v>
      </c>
      <c r="Z434" s="45">
        <v>10000</v>
      </c>
      <c r="AA434" s="45">
        <v>0</v>
      </c>
      <c r="AB434" s="45">
        <v>0</v>
      </c>
      <c r="AC434" s="45">
        <v>0</v>
      </c>
      <c r="AD434" s="45">
        <v>0</v>
      </c>
      <c r="AE434" s="45">
        <v>0</v>
      </c>
      <c r="AF434" s="45">
        <v>0</v>
      </c>
      <c r="AG434" s="45">
        <v>0</v>
      </c>
      <c r="AH434" s="45">
        <v>0</v>
      </c>
      <c r="AI434" s="45">
        <v>0</v>
      </c>
      <c r="AJ434" s="45">
        <v>0</v>
      </c>
      <c r="AK434" s="45">
        <v>0</v>
      </c>
      <c r="AL434" s="45">
        <v>0</v>
      </c>
      <c r="AM434" s="45">
        <v>0</v>
      </c>
      <c r="AN434" s="45">
        <v>0</v>
      </c>
      <c r="AO434" s="45"/>
      <c r="AP434" s="45"/>
      <c r="AQ434" s="45"/>
      <c r="AR434" s="45"/>
      <c r="AS434" s="45"/>
      <c r="AT434" s="45"/>
      <c r="AU434" s="45"/>
      <c r="AV434" s="45"/>
      <c r="AW434" s="45"/>
      <c r="AX434" s="45"/>
      <c r="AY434" s="45"/>
      <c r="AZ434" s="45"/>
      <c r="BA434" s="45"/>
      <c r="BB434" s="45"/>
      <c r="BC434" s="45"/>
      <c r="BD434" s="93"/>
      <c r="BE434" s="93"/>
      <c r="BF434" s="93"/>
      <c r="BG434" s="93"/>
      <c r="BH434" s="93"/>
      <c r="BI434" s="93"/>
      <c r="BJ434" s="93"/>
      <c r="BK434" s="93">
        <f>SUM($Z434:AD434)-SUM($CM434:CQ434)</f>
        <v>9984</v>
      </c>
      <c r="BL434" s="93">
        <f>SUM($Z434:AE434)-SUM($CM434:CR434)</f>
        <v>9968</v>
      </c>
      <c r="BM434" s="93">
        <f>SUM($Z434:AF434)-SUM($CM434:CS434)</f>
        <v>9952</v>
      </c>
      <c r="BN434" s="93">
        <f>SUM($Z434:AG434)-SUM($CM434:CT434)</f>
        <v>9936</v>
      </c>
      <c r="BO434" s="93">
        <f>SUM($Z434:AH434)-SUM($CM434:CU434)</f>
        <v>9920</v>
      </c>
      <c r="BP434" s="93">
        <f>SUM($Z434:AI434)-SUM($CM434:CV434)</f>
        <v>9904</v>
      </c>
      <c r="BQ434" s="93">
        <f>SUM($Z434:AJ434)-SUM($CM434:CW434)</f>
        <v>9888</v>
      </c>
      <c r="BR434" s="93">
        <f>SUM($Z434:AK434)-SUM($CM434:CX434)</f>
        <v>9872</v>
      </c>
      <c r="BS434" s="93">
        <f>SUM($Z434:AL434)-SUM($CM434:CY434)</f>
        <v>9856</v>
      </c>
      <c r="BT434" s="93">
        <f>SUM($Z434:AM434)-SUM($CM434:CZ434)</f>
        <v>9840</v>
      </c>
      <c r="BU434" s="93">
        <f>SUM($Z434:AN434)-SUM($CM434:DA434)</f>
        <v>9824</v>
      </c>
      <c r="BV434" s="93">
        <f>SUM($Z434:AO434)-SUM($CM434:DB434)</f>
        <v>9808</v>
      </c>
      <c r="BW434" s="93">
        <f>SUM($Z434:AP434)-SUM($CM434:DC434)</f>
        <v>9780</v>
      </c>
      <c r="BX434" s="93">
        <f>SUM($Z434:AQ434)-SUM($CM434:DD434)</f>
        <v>9780</v>
      </c>
      <c r="BY434" s="93">
        <f>SUM($Z434:AR434)-SUM($CM434:DE434)</f>
        <v>9780</v>
      </c>
      <c r="BZ434" s="93">
        <f>SUM($Z434:AS434)-SUM($CM434:DF434)</f>
        <v>9780</v>
      </c>
      <c r="CA434" s="93">
        <f>SUM($Z434:AT434)-SUM($CM434:DG434)</f>
        <v>9780</v>
      </c>
      <c r="CB434" s="93">
        <f>SUM($Z434:AU434)-SUM($CM434:DH434)</f>
        <v>9780</v>
      </c>
      <c r="CC434" s="93">
        <f>SUM($Z434:AV434)-SUM($CM434:DI434)</f>
        <v>9780</v>
      </c>
      <c r="CD434" s="93">
        <f>SUM($Z434:AW434)-SUM($CM434:DJ434)</f>
        <v>9780</v>
      </c>
      <c r="CE434" s="93">
        <f>SUM($Z434:AX434)-SUM($CM434:DK434)</f>
        <v>9780</v>
      </c>
      <c r="CF434" s="93">
        <f>SUM($Z434:AY434)-SUM($CM434:DL434)</f>
        <v>9780</v>
      </c>
      <c r="CG434" s="93">
        <f>SUM($Z434:AZ434)-SUM($CM434:DM434)</f>
        <v>9780</v>
      </c>
      <c r="CH434" s="93">
        <f>SUM($Z434:BA434)-SUM($CM434:DN434)</f>
        <v>9780</v>
      </c>
      <c r="CI434" s="93">
        <f>SUM($Z434:BB434)-SUM($CM434:DO434)</f>
        <v>9780</v>
      </c>
      <c r="CJ434" s="93"/>
      <c r="CK434" s="93"/>
      <c r="CL434" s="93"/>
      <c r="CM434" s="93"/>
      <c r="CN434" s="93" cm="1">
        <f t="array" ref="CN434">SUMPRODUCT(TRANSPOSE(CN$4:CN$20),$G434:$W434)</f>
        <v>0</v>
      </c>
      <c r="CO434" s="93" cm="1">
        <f t="array" ref="CO434">SUMPRODUCT(TRANSPOSE(CO$4:CO$20),$G434:$W434)</f>
        <v>0</v>
      </c>
      <c r="CP434" s="93" cm="1">
        <f t="array" ref="CP434">SUMPRODUCT(TRANSPOSE(CP$4:CP$20),$G434:$W434)</f>
        <v>0</v>
      </c>
      <c r="CQ434" s="93" cm="1">
        <f t="array" ref="CQ434">SUMPRODUCT(TRANSPOSE(CQ$4:CQ$20),$G434:$W434)</f>
        <v>16</v>
      </c>
      <c r="CR434" s="93" cm="1">
        <f t="array" ref="CR434">SUMPRODUCT(TRANSPOSE(CR$4:CR$20),$G434:$W434)</f>
        <v>16</v>
      </c>
      <c r="CS434" s="93" cm="1">
        <f t="array" ref="CS434">SUMPRODUCT(TRANSPOSE(CS$4:CS$20),$G434:$W434)</f>
        <v>16</v>
      </c>
      <c r="CT434" s="93" cm="1">
        <f t="array" ref="CT434">SUMPRODUCT(TRANSPOSE(CT$4:CT$20),$G434:$W434)</f>
        <v>16</v>
      </c>
      <c r="CU434" s="93" cm="1">
        <f t="array" ref="CU434">SUMPRODUCT(TRANSPOSE(CU$4:CU$20),$G434:$W434)</f>
        <v>16</v>
      </c>
      <c r="CV434" s="93" cm="1">
        <f t="array" ref="CV434">SUMPRODUCT(TRANSPOSE(CV$4:CV$20),$G434:$W434)</f>
        <v>16</v>
      </c>
      <c r="CW434" s="93" cm="1">
        <f t="array" ref="CW434">SUMPRODUCT(TRANSPOSE(CW$4:CW$20),$G434:$W434)</f>
        <v>16</v>
      </c>
      <c r="CX434" s="93" cm="1">
        <f t="array" ref="CX434">SUMPRODUCT(TRANSPOSE(CX$4:CX$20),$G434:$W434)</f>
        <v>16</v>
      </c>
      <c r="CY434" s="93" cm="1">
        <f t="array" ref="CY434">SUMPRODUCT(TRANSPOSE(CY$4:CY$20),$G434:$W434)</f>
        <v>16</v>
      </c>
      <c r="CZ434" s="93" cm="1">
        <f t="array" ref="CZ434">SUMPRODUCT(TRANSPOSE(CZ$4:CZ$20),$G434:$W434)</f>
        <v>16</v>
      </c>
      <c r="DA434" s="93" cm="1">
        <f t="array" ref="DA434">SUMPRODUCT(TRANSPOSE(DA$4:DA$20),$G434:$W434)</f>
        <v>16</v>
      </c>
      <c r="DB434" s="93" cm="1">
        <f t="array" ref="DB434">SUMPRODUCT(TRANSPOSE(DB$4:DB$20),$G434:$W434)</f>
        <v>16</v>
      </c>
      <c r="DC434" s="93" cm="1">
        <f t="array" ref="DC434">SUMPRODUCT(TRANSPOSE(DC$4:DC$20),$G434:$W434)</f>
        <v>28</v>
      </c>
      <c r="DD434" s="93" cm="1">
        <f t="array" ref="DD434">SUMPRODUCT(TRANSPOSE(DD$4:DD$20),$G434:$W434)</f>
        <v>0</v>
      </c>
      <c r="DE434" s="93" cm="1">
        <f t="array" ref="DE434">SUMPRODUCT(TRANSPOSE(DE$4:DE$20),$G434:$W434)</f>
        <v>0</v>
      </c>
      <c r="DF434" s="93" cm="1">
        <f t="array" ref="DF434">SUMPRODUCT(TRANSPOSE(DF$4:DF$20),$G434:$W434)</f>
        <v>0</v>
      </c>
      <c r="DG434" s="93" cm="1">
        <f t="array" ref="DG434">SUMPRODUCT(TRANSPOSE(DG$4:DG$20),$G434:$W434)</f>
        <v>0</v>
      </c>
      <c r="DH434" s="93" cm="1">
        <f t="array" ref="DH434">SUMPRODUCT(TRANSPOSE(DH$4:DH$20),$G434:$W434)</f>
        <v>0</v>
      </c>
      <c r="DI434" s="93" cm="1">
        <f t="array" ref="DI434">SUMPRODUCT(TRANSPOSE(DI$4:DI$20),$G434:$W434)</f>
        <v>0</v>
      </c>
      <c r="DJ434" s="93" cm="1">
        <f t="array" ref="DJ434">SUMPRODUCT(TRANSPOSE(DJ$4:DJ$20),$G434:$W434)</f>
        <v>0</v>
      </c>
      <c r="DK434" s="93" cm="1">
        <f t="array" ref="DK434">SUMPRODUCT(TRANSPOSE(DK$4:DK$20),$G434:$W434)</f>
        <v>0</v>
      </c>
      <c r="DL434" s="93" cm="1">
        <f t="array" ref="DL434">SUMPRODUCT(TRANSPOSE(DL$4:DL$20),$G434:$W434)</f>
        <v>0</v>
      </c>
      <c r="DM434" s="93" cm="1">
        <f t="array" ref="DM434">SUMPRODUCT(TRANSPOSE(DM$4:DM$20),$G434:$W434)</f>
        <v>0</v>
      </c>
      <c r="DN434" s="93" cm="1">
        <f t="array" ref="DN434">SUMPRODUCT(TRANSPOSE(DN$4:DN$20),$G434:$W434)</f>
        <v>0</v>
      </c>
      <c r="DO434" s="93" cm="1">
        <f t="array" ref="DO434">SUMPRODUCT(TRANSPOSE(DO$4:DO$20),$G434:$W434)</f>
        <v>0</v>
      </c>
    </row>
    <row r="435" spans="1:119" x14ac:dyDescent="0.2">
      <c r="A435" s="45">
        <f t="shared" si="32"/>
        <v>414</v>
      </c>
      <c r="B435" s="64" t="s">
        <v>925</v>
      </c>
      <c r="C435" s="45">
        <v>400249781</v>
      </c>
      <c r="D435" s="45" t="s">
        <v>926</v>
      </c>
      <c r="E435" s="45" t="s">
        <v>162</v>
      </c>
      <c r="F435" s="48">
        <v>2</v>
      </c>
      <c r="G435" s="100">
        <v>0</v>
      </c>
      <c r="H435" s="100">
        <v>0</v>
      </c>
      <c r="I435" s="100">
        <v>0</v>
      </c>
      <c r="J435" s="100">
        <v>0</v>
      </c>
      <c r="K435" s="100">
        <v>0</v>
      </c>
      <c r="L435" s="100">
        <v>0</v>
      </c>
      <c r="M435" s="100">
        <v>0</v>
      </c>
      <c r="N435" s="100">
        <v>0</v>
      </c>
      <c r="O435" s="100">
        <v>0</v>
      </c>
      <c r="P435" s="100">
        <v>0</v>
      </c>
      <c r="Q435" s="100">
        <v>0</v>
      </c>
      <c r="R435" s="100">
        <v>0</v>
      </c>
      <c r="S435" s="100">
        <v>0</v>
      </c>
      <c r="T435" s="100">
        <v>0</v>
      </c>
      <c r="U435" s="100">
        <v>0</v>
      </c>
      <c r="V435" s="100">
        <v>0</v>
      </c>
      <c r="W435" s="100">
        <v>0</v>
      </c>
      <c r="X435" s="45" t="s">
        <v>61</v>
      </c>
      <c r="Y435" s="49">
        <v>4.0000000000000001E-3</v>
      </c>
      <c r="Z435" s="45">
        <v>90000</v>
      </c>
      <c r="AA435" s="45">
        <v>0</v>
      </c>
      <c r="AB435" s="45">
        <v>0</v>
      </c>
      <c r="AC435" s="45">
        <v>0</v>
      </c>
      <c r="AD435" s="45">
        <v>0</v>
      </c>
      <c r="AE435" s="45">
        <v>0</v>
      </c>
      <c r="AF435" s="45">
        <v>0</v>
      </c>
      <c r="AG435" s="45">
        <v>0</v>
      </c>
      <c r="AH435" s="45">
        <v>0</v>
      </c>
      <c r="AI435" s="45">
        <v>0</v>
      </c>
      <c r="AJ435" s="45">
        <v>0</v>
      </c>
      <c r="AK435" s="45">
        <v>0</v>
      </c>
      <c r="AL435" s="45">
        <v>0</v>
      </c>
      <c r="AM435" s="45">
        <v>0</v>
      </c>
      <c r="AN435" s="45">
        <v>0</v>
      </c>
      <c r="AO435" s="45"/>
      <c r="AP435" s="45"/>
      <c r="AQ435" s="45"/>
      <c r="AR435" s="45"/>
      <c r="AS435" s="45"/>
      <c r="AT435" s="45"/>
      <c r="AU435" s="45"/>
      <c r="AV435" s="45"/>
      <c r="AW435" s="45"/>
      <c r="AX435" s="45"/>
      <c r="AY435" s="45"/>
      <c r="AZ435" s="45"/>
      <c r="BA435" s="45"/>
      <c r="BB435" s="45"/>
      <c r="BC435" s="45"/>
      <c r="BD435" s="93"/>
      <c r="BE435" s="93"/>
      <c r="BF435" s="93"/>
      <c r="BG435" s="93"/>
      <c r="BH435" s="93"/>
      <c r="BI435" s="93"/>
      <c r="BJ435" s="93"/>
      <c r="BK435" s="93">
        <f>SUM($Z435:AD435)-SUM($CM435:CQ435)</f>
        <v>90000</v>
      </c>
      <c r="BL435" s="93">
        <f>SUM($Z435:AE435)-SUM($CM435:CR435)</f>
        <v>90000</v>
      </c>
      <c r="BM435" s="93">
        <f>SUM($Z435:AF435)-SUM($CM435:CS435)</f>
        <v>90000</v>
      </c>
      <c r="BN435" s="93">
        <f>SUM($Z435:AG435)-SUM($CM435:CT435)</f>
        <v>90000</v>
      </c>
      <c r="BO435" s="93">
        <f>SUM($Z435:AH435)-SUM($CM435:CU435)</f>
        <v>90000</v>
      </c>
      <c r="BP435" s="93">
        <f>SUM($Z435:AI435)-SUM($CM435:CV435)</f>
        <v>90000</v>
      </c>
      <c r="BQ435" s="93">
        <f>SUM($Z435:AJ435)-SUM($CM435:CW435)</f>
        <v>90000</v>
      </c>
      <c r="BR435" s="93">
        <f>SUM($Z435:AK435)-SUM($CM435:CX435)</f>
        <v>90000</v>
      </c>
      <c r="BS435" s="93">
        <f>SUM($Z435:AL435)-SUM($CM435:CY435)</f>
        <v>90000</v>
      </c>
      <c r="BT435" s="93">
        <f>SUM($Z435:AM435)-SUM($CM435:CZ435)</f>
        <v>90000</v>
      </c>
      <c r="BU435" s="93">
        <f>SUM($Z435:AN435)-SUM($CM435:DA435)</f>
        <v>90000</v>
      </c>
      <c r="BV435" s="93">
        <f>SUM($Z435:AO435)-SUM($CM435:DB435)</f>
        <v>90000</v>
      </c>
      <c r="BW435" s="93">
        <f>SUM($Z435:AP435)-SUM($CM435:DC435)</f>
        <v>90000</v>
      </c>
      <c r="BX435" s="93">
        <f>SUM($Z435:AQ435)-SUM($CM435:DD435)</f>
        <v>90000</v>
      </c>
      <c r="BY435" s="93">
        <f>SUM($Z435:AR435)-SUM($CM435:DE435)</f>
        <v>90000</v>
      </c>
      <c r="BZ435" s="93">
        <f>SUM($Z435:AS435)-SUM($CM435:DF435)</f>
        <v>90000</v>
      </c>
      <c r="CA435" s="93">
        <f>SUM($Z435:AT435)-SUM($CM435:DG435)</f>
        <v>90000</v>
      </c>
      <c r="CB435" s="93">
        <f>SUM($Z435:AU435)-SUM($CM435:DH435)</f>
        <v>90000</v>
      </c>
      <c r="CC435" s="93">
        <f>SUM($Z435:AV435)-SUM($CM435:DI435)</f>
        <v>90000</v>
      </c>
      <c r="CD435" s="93">
        <f>SUM($Z435:AW435)-SUM($CM435:DJ435)</f>
        <v>90000</v>
      </c>
      <c r="CE435" s="93">
        <f>SUM($Z435:AX435)-SUM($CM435:DK435)</f>
        <v>90000</v>
      </c>
      <c r="CF435" s="93">
        <f>SUM($Z435:AY435)-SUM($CM435:DL435)</f>
        <v>90000</v>
      </c>
      <c r="CG435" s="93">
        <f>SUM($Z435:AZ435)-SUM($CM435:DM435)</f>
        <v>90000</v>
      </c>
      <c r="CH435" s="93">
        <f>SUM($Z435:BA435)-SUM($CM435:DN435)</f>
        <v>90000</v>
      </c>
      <c r="CI435" s="93">
        <f>SUM($Z435:BB435)-SUM($CM435:DO435)</f>
        <v>90000</v>
      </c>
      <c r="CJ435" s="93"/>
      <c r="CK435" s="93"/>
      <c r="CL435" s="93"/>
      <c r="CM435" s="93"/>
      <c r="CN435" s="93" cm="1">
        <f t="array" ref="CN435">SUMPRODUCT(TRANSPOSE(CN$4:CN$20),$G435:$W435)</f>
        <v>0</v>
      </c>
      <c r="CO435" s="93" cm="1">
        <f t="array" ref="CO435">SUMPRODUCT(TRANSPOSE(CO$4:CO$20),$G435:$W435)</f>
        <v>0</v>
      </c>
      <c r="CP435" s="93" cm="1">
        <f t="array" ref="CP435">SUMPRODUCT(TRANSPOSE(CP$4:CP$20),$G435:$W435)</f>
        <v>0</v>
      </c>
      <c r="CQ435" s="93" cm="1">
        <f t="array" ref="CQ435">SUMPRODUCT(TRANSPOSE(CQ$4:CQ$20),$G435:$W435)</f>
        <v>0</v>
      </c>
      <c r="CR435" s="93" cm="1">
        <f t="array" ref="CR435">SUMPRODUCT(TRANSPOSE(CR$4:CR$20),$G435:$W435)</f>
        <v>0</v>
      </c>
      <c r="CS435" s="93" cm="1">
        <f t="array" ref="CS435">SUMPRODUCT(TRANSPOSE(CS$4:CS$20),$G435:$W435)</f>
        <v>0</v>
      </c>
      <c r="CT435" s="93" cm="1">
        <f t="array" ref="CT435">SUMPRODUCT(TRANSPOSE(CT$4:CT$20),$G435:$W435)</f>
        <v>0</v>
      </c>
      <c r="CU435" s="93" cm="1">
        <f t="array" ref="CU435">SUMPRODUCT(TRANSPOSE(CU$4:CU$20),$G435:$W435)</f>
        <v>0</v>
      </c>
      <c r="CV435" s="93" cm="1">
        <f t="array" ref="CV435">SUMPRODUCT(TRANSPOSE(CV$4:CV$20),$G435:$W435)</f>
        <v>0</v>
      </c>
      <c r="CW435" s="93" cm="1">
        <f t="array" ref="CW435">SUMPRODUCT(TRANSPOSE(CW$4:CW$20),$G435:$W435)</f>
        <v>0</v>
      </c>
      <c r="CX435" s="93" cm="1">
        <f t="array" ref="CX435">SUMPRODUCT(TRANSPOSE(CX$4:CX$20),$G435:$W435)</f>
        <v>0</v>
      </c>
      <c r="CY435" s="93" cm="1">
        <f t="array" ref="CY435">SUMPRODUCT(TRANSPOSE(CY$4:CY$20),$G435:$W435)</f>
        <v>0</v>
      </c>
      <c r="CZ435" s="93" cm="1">
        <f t="array" ref="CZ435">SUMPRODUCT(TRANSPOSE(CZ$4:CZ$20),$G435:$W435)</f>
        <v>0</v>
      </c>
      <c r="DA435" s="93" cm="1">
        <f t="array" ref="DA435">SUMPRODUCT(TRANSPOSE(DA$4:DA$20),$G435:$W435)</f>
        <v>0</v>
      </c>
      <c r="DB435" s="93" cm="1">
        <f t="array" ref="DB435">SUMPRODUCT(TRANSPOSE(DB$4:DB$20),$G435:$W435)</f>
        <v>0</v>
      </c>
      <c r="DC435" s="93" cm="1">
        <f t="array" ref="DC435">SUMPRODUCT(TRANSPOSE(DC$4:DC$20),$G435:$W435)</f>
        <v>0</v>
      </c>
      <c r="DD435" s="93" cm="1">
        <f t="array" ref="DD435">SUMPRODUCT(TRANSPOSE(DD$4:DD$20),$G435:$W435)</f>
        <v>0</v>
      </c>
      <c r="DE435" s="93" cm="1">
        <f t="array" ref="DE435">SUMPRODUCT(TRANSPOSE(DE$4:DE$20),$G435:$W435)</f>
        <v>0</v>
      </c>
      <c r="DF435" s="93" cm="1">
        <f t="array" ref="DF435">SUMPRODUCT(TRANSPOSE(DF$4:DF$20),$G435:$W435)</f>
        <v>0</v>
      </c>
      <c r="DG435" s="93" cm="1">
        <f t="array" ref="DG435">SUMPRODUCT(TRANSPOSE(DG$4:DG$20),$G435:$W435)</f>
        <v>0</v>
      </c>
      <c r="DH435" s="93" cm="1">
        <f t="array" ref="DH435">SUMPRODUCT(TRANSPOSE(DH$4:DH$20),$G435:$W435)</f>
        <v>0</v>
      </c>
      <c r="DI435" s="93" cm="1">
        <f t="array" ref="DI435">SUMPRODUCT(TRANSPOSE(DI$4:DI$20),$G435:$W435)</f>
        <v>0</v>
      </c>
      <c r="DJ435" s="93" cm="1">
        <f t="array" ref="DJ435">SUMPRODUCT(TRANSPOSE(DJ$4:DJ$20),$G435:$W435)</f>
        <v>0</v>
      </c>
      <c r="DK435" s="93" cm="1">
        <f t="array" ref="DK435">SUMPRODUCT(TRANSPOSE(DK$4:DK$20),$G435:$W435)</f>
        <v>0</v>
      </c>
      <c r="DL435" s="93" cm="1">
        <f t="array" ref="DL435">SUMPRODUCT(TRANSPOSE(DL$4:DL$20),$G435:$W435)</f>
        <v>0</v>
      </c>
      <c r="DM435" s="93" cm="1">
        <f t="array" ref="DM435">SUMPRODUCT(TRANSPOSE(DM$4:DM$20),$G435:$W435)</f>
        <v>0</v>
      </c>
      <c r="DN435" s="93" cm="1">
        <f t="array" ref="DN435">SUMPRODUCT(TRANSPOSE(DN$4:DN$20),$G435:$W435)</f>
        <v>0</v>
      </c>
      <c r="DO435" s="93" cm="1">
        <f t="array" ref="DO435">SUMPRODUCT(TRANSPOSE(DO$4:DO$20),$G435:$W435)</f>
        <v>0</v>
      </c>
    </row>
    <row r="436" spans="1:119" x14ac:dyDescent="0.2">
      <c r="A436" s="45">
        <f t="shared" si="32"/>
        <v>415</v>
      </c>
      <c r="B436" s="64" t="s">
        <v>927</v>
      </c>
      <c r="C436" s="45" t="s">
        <v>928</v>
      </c>
      <c r="D436" s="45" t="s">
        <v>929</v>
      </c>
      <c r="E436" s="45" t="s">
        <v>162</v>
      </c>
      <c r="F436" s="48">
        <v>2</v>
      </c>
      <c r="G436" s="100">
        <v>1</v>
      </c>
      <c r="H436" s="100">
        <v>0</v>
      </c>
      <c r="I436" s="100">
        <v>0</v>
      </c>
      <c r="J436" s="100">
        <v>0</v>
      </c>
      <c r="K436" s="100">
        <v>0</v>
      </c>
      <c r="L436" s="100">
        <v>0</v>
      </c>
      <c r="M436" s="100">
        <v>0</v>
      </c>
      <c r="N436" s="100">
        <v>0</v>
      </c>
      <c r="O436" s="100">
        <v>0</v>
      </c>
      <c r="P436" s="100">
        <v>0</v>
      </c>
      <c r="Q436" s="100">
        <v>0</v>
      </c>
      <c r="R436" s="100">
        <v>0</v>
      </c>
      <c r="S436" s="100">
        <v>0</v>
      </c>
      <c r="T436" s="100">
        <v>0</v>
      </c>
      <c r="U436" s="100">
        <v>0</v>
      </c>
      <c r="V436" s="100">
        <v>0</v>
      </c>
      <c r="W436" s="100">
        <v>0</v>
      </c>
      <c r="X436" s="45" t="s">
        <v>930</v>
      </c>
      <c r="Y436" s="49">
        <v>6.92</v>
      </c>
      <c r="Z436" s="45">
        <v>130</v>
      </c>
      <c r="AA436" s="45">
        <v>0</v>
      </c>
      <c r="AB436" s="45">
        <v>0</v>
      </c>
      <c r="AC436" s="45">
        <v>0</v>
      </c>
      <c r="AD436" s="45">
        <v>0</v>
      </c>
      <c r="AE436" s="45">
        <v>0</v>
      </c>
      <c r="AF436" s="45">
        <v>0</v>
      </c>
      <c r="AG436" s="45">
        <v>0</v>
      </c>
      <c r="AH436" s="45">
        <v>0</v>
      </c>
      <c r="AI436" s="45">
        <v>0</v>
      </c>
      <c r="AJ436" s="45">
        <v>0</v>
      </c>
      <c r="AK436" s="45">
        <v>0</v>
      </c>
      <c r="AL436" s="45">
        <v>0</v>
      </c>
      <c r="AM436" s="45">
        <v>0</v>
      </c>
      <c r="AN436" s="45">
        <v>0</v>
      </c>
      <c r="AO436" s="45"/>
      <c r="AP436" s="45"/>
      <c r="AQ436" s="45"/>
      <c r="AR436" s="45"/>
      <c r="AS436" s="45"/>
      <c r="AT436" s="45"/>
      <c r="AU436" s="45"/>
      <c r="AV436" s="45"/>
      <c r="AW436" s="45"/>
      <c r="AX436" s="45"/>
      <c r="AY436" s="45"/>
      <c r="AZ436" s="45"/>
      <c r="BA436" s="45"/>
      <c r="BB436" s="45"/>
      <c r="BC436" s="45"/>
      <c r="BD436" s="93"/>
      <c r="BE436" s="93"/>
      <c r="BF436" s="93"/>
      <c r="BG436" s="93"/>
      <c r="BH436" s="93"/>
      <c r="BI436" s="93"/>
      <c r="BJ436" s="93"/>
      <c r="BK436" s="93">
        <f>SUM($Z436:AD436)-SUM($CM436:CQ436)</f>
        <v>122</v>
      </c>
      <c r="BL436" s="93">
        <f>SUM($Z436:AE436)-SUM($CM436:CR436)</f>
        <v>114</v>
      </c>
      <c r="BM436" s="93">
        <f>SUM($Z436:AF436)-SUM($CM436:CS436)</f>
        <v>106</v>
      </c>
      <c r="BN436" s="93">
        <f>SUM($Z436:AG436)-SUM($CM436:CT436)</f>
        <v>98</v>
      </c>
      <c r="BO436" s="93">
        <f>SUM($Z436:AH436)-SUM($CM436:CU436)</f>
        <v>90</v>
      </c>
      <c r="BP436" s="93">
        <f>SUM($Z436:AI436)-SUM($CM436:CV436)</f>
        <v>82</v>
      </c>
      <c r="BQ436" s="93">
        <f>SUM($Z436:AJ436)-SUM($CM436:CW436)</f>
        <v>74</v>
      </c>
      <c r="BR436" s="93">
        <f>SUM($Z436:AK436)-SUM($CM436:CX436)</f>
        <v>66</v>
      </c>
      <c r="BS436" s="93">
        <f>SUM($Z436:AL436)-SUM($CM436:CY436)</f>
        <v>58</v>
      </c>
      <c r="BT436" s="93">
        <f>SUM($Z436:AM436)-SUM($CM436:CZ436)</f>
        <v>50</v>
      </c>
      <c r="BU436" s="93">
        <f>SUM($Z436:AN436)-SUM($CM436:DA436)</f>
        <v>42</v>
      </c>
      <c r="BV436" s="93">
        <f>SUM($Z436:AO436)-SUM($CM436:DB436)</f>
        <v>34</v>
      </c>
      <c r="BW436" s="93">
        <f>SUM($Z436:AP436)-SUM($CM436:DC436)</f>
        <v>28</v>
      </c>
      <c r="BX436" s="93">
        <f>SUM($Z436:AQ436)-SUM($CM436:DD436)</f>
        <v>28</v>
      </c>
      <c r="BY436" s="93">
        <f>SUM($Z436:AR436)-SUM($CM436:DE436)</f>
        <v>28</v>
      </c>
      <c r="BZ436" s="93">
        <f>SUM($Z436:AS436)-SUM($CM436:DF436)</f>
        <v>28</v>
      </c>
      <c r="CA436" s="93">
        <f>SUM($Z436:AT436)-SUM($CM436:DG436)</f>
        <v>28</v>
      </c>
      <c r="CB436" s="93">
        <f>SUM($Z436:AU436)-SUM($CM436:DH436)</f>
        <v>28</v>
      </c>
      <c r="CC436" s="93">
        <f>SUM($Z436:AV436)-SUM($CM436:DI436)</f>
        <v>28</v>
      </c>
      <c r="CD436" s="93">
        <f>SUM($Z436:AW436)-SUM($CM436:DJ436)</f>
        <v>28</v>
      </c>
      <c r="CE436" s="93">
        <f>SUM($Z436:AX436)-SUM($CM436:DK436)</f>
        <v>28</v>
      </c>
      <c r="CF436" s="93">
        <f>SUM($Z436:AY436)-SUM($CM436:DL436)</f>
        <v>28</v>
      </c>
      <c r="CG436" s="93">
        <f>SUM($Z436:AZ436)-SUM($CM436:DM436)</f>
        <v>28</v>
      </c>
      <c r="CH436" s="93">
        <f>SUM($Z436:BA436)-SUM($CM436:DN436)</f>
        <v>28</v>
      </c>
      <c r="CI436" s="93">
        <f>SUM($Z436:BB436)-SUM($CM436:DO436)</f>
        <v>28</v>
      </c>
      <c r="CJ436" s="93"/>
      <c r="CK436" s="93"/>
      <c r="CL436" s="93"/>
      <c r="CM436" s="93"/>
      <c r="CN436" s="93" cm="1">
        <f t="array" ref="CN436">SUMPRODUCT(TRANSPOSE(CN$4:CN$20),$G436:$W436)</f>
        <v>0</v>
      </c>
      <c r="CO436" s="93" cm="1">
        <f t="array" ref="CO436">SUMPRODUCT(TRANSPOSE(CO$4:CO$20),$G436:$W436)</f>
        <v>0</v>
      </c>
      <c r="CP436" s="93" cm="1">
        <f t="array" ref="CP436">SUMPRODUCT(TRANSPOSE(CP$4:CP$20),$G436:$W436)</f>
        <v>0</v>
      </c>
      <c r="CQ436" s="93" cm="1">
        <f t="array" ref="CQ436">SUMPRODUCT(TRANSPOSE(CQ$4:CQ$20),$G436:$W436)</f>
        <v>8</v>
      </c>
      <c r="CR436" s="93" cm="1">
        <f t="array" ref="CR436">SUMPRODUCT(TRANSPOSE(CR$4:CR$20),$G436:$W436)</f>
        <v>8</v>
      </c>
      <c r="CS436" s="93" cm="1">
        <f t="array" ref="CS436">SUMPRODUCT(TRANSPOSE(CS$4:CS$20),$G436:$W436)</f>
        <v>8</v>
      </c>
      <c r="CT436" s="93" cm="1">
        <f t="array" ref="CT436">SUMPRODUCT(TRANSPOSE(CT$4:CT$20),$G436:$W436)</f>
        <v>8</v>
      </c>
      <c r="CU436" s="93" cm="1">
        <f t="array" ref="CU436">SUMPRODUCT(TRANSPOSE(CU$4:CU$20),$G436:$W436)</f>
        <v>8</v>
      </c>
      <c r="CV436" s="93" cm="1">
        <f t="array" ref="CV436">SUMPRODUCT(TRANSPOSE(CV$4:CV$20),$G436:$W436)</f>
        <v>8</v>
      </c>
      <c r="CW436" s="93" cm="1">
        <f t="array" ref="CW436">SUMPRODUCT(TRANSPOSE(CW$4:CW$20),$G436:$W436)</f>
        <v>8</v>
      </c>
      <c r="CX436" s="93" cm="1">
        <f t="array" ref="CX436">SUMPRODUCT(TRANSPOSE(CX$4:CX$20),$G436:$W436)</f>
        <v>8</v>
      </c>
      <c r="CY436" s="93" cm="1">
        <f t="array" ref="CY436">SUMPRODUCT(TRANSPOSE(CY$4:CY$20),$G436:$W436)</f>
        <v>8</v>
      </c>
      <c r="CZ436" s="93" cm="1">
        <f t="array" ref="CZ436">SUMPRODUCT(TRANSPOSE(CZ$4:CZ$20),$G436:$W436)</f>
        <v>8</v>
      </c>
      <c r="DA436" s="93" cm="1">
        <f t="array" ref="DA436">SUMPRODUCT(TRANSPOSE(DA$4:DA$20),$G436:$W436)</f>
        <v>8</v>
      </c>
      <c r="DB436" s="93" cm="1">
        <f t="array" ref="DB436">SUMPRODUCT(TRANSPOSE(DB$4:DB$20),$G436:$W436)</f>
        <v>8</v>
      </c>
      <c r="DC436" s="93" cm="1">
        <f t="array" ref="DC436">SUMPRODUCT(TRANSPOSE(DC$4:DC$20),$G436:$W436)</f>
        <v>6</v>
      </c>
      <c r="DD436" s="93" cm="1">
        <f t="array" ref="DD436">SUMPRODUCT(TRANSPOSE(DD$4:DD$20),$G436:$W436)</f>
        <v>0</v>
      </c>
      <c r="DE436" s="93" cm="1">
        <f t="array" ref="DE436">SUMPRODUCT(TRANSPOSE(DE$4:DE$20),$G436:$W436)</f>
        <v>0</v>
      </c>
      <c r="DF436" s="93" cm="1">
        <f t="array" ref="DF436">SUMPRODUCT(TRANSPOSE(DF$4:DF$20),$G436:$W436)</f>
        <v>0</v>
      </c>
      <c r="DG436" s="93" cm="1">
        <f t="array" ref="DG436">SUMPRODUCT(TRANSPOSE(DG$4:DG$20),$G436:$W436)</f>
        <v>0</v>
      </c>
      <c r="DH436" s="93" cm="1">
        <f t="array" ref="DH436">SUMPRODUCT(TRANSPOSE(DH$4:DH$20),$G436:$W436)</f>
        <v>0</v>
      </c>
      <c r="DI436" s="93" cm="1">
        <f t="array" ref="DI436">SUMPRODUCT(TRANSPOSE(DI$4:DI$20),$G436:$W436)</f>
        <v>0</v>
      </c>
      <c r="DJ436" s="93" cm="1">
        <f t="array" ref="DJ436">SUMPRODUCT(TRANSPOSE(DJ$4:DJ$20),$G436:$W436)</f>
        <v>0</v>
      </c>
      <c r="DK436" s="93" cm="1">
        <f t="array" ref="DK436">SUMPRODUCT(TRANSPOSE(DK$4:DK$20),$G436:$W436)</f>
        <v>0</v>
      </c>
      <c r="DL436" s="93" cm="1">
        <f t="array" ref="DL436">SUMPRODUCT(TRANSPOSE(DL$4:DL$20),$G436:$W436)</f>
        <v>0</v>
      </c>
      <c r="DM436" s="93" cm="1">
        <f t="array" ref="DM436">SUMPRODUCT(TRANSPOSE(DM$4:DM$20),$G436:$W436)</f>
        <v>0</v>
      </c>
      <c r="DN436" s="93" cm="1">
        <f t="array" ref="DN436">SUMPRODUCT(TRANSPOSE(DN$4:DN$20),$G436:$W436)</f>
        <v>0</v>
      </c>
      <c r="DO436" s="93" cm="1">
        <f t="array" ref="DO436">SUMPRODUCT(TRANSPOSE(DO$4:DO$20),$G436:$W436)</f>
        <v>0</v>
      </c>
    </row>
    <row r="437" spans="1:119" x14ac:dyDescent="0.2">
      <c r="A437" s="74">
        <f t="shared" si="32"/>
        <v>416</v>
      </c>
      <c r="B437" s="64" t="s">
        <v>931</v>
      </c>
      <c r="C437" s="45">
        <v>401270756</v>
      </c>
      <c r="D437" s="45" t="s">
        <v>932</v>
      </c>
      <c r="E437" s="45" t="s">
        <v>162</v>
      </c>
      <c r="F437" s="48">
        <v>1</v>
      </c>
      <c r="G437" s="100">
        <v>0</v>
      </c>
      <c r="H437" s="100">
        <v>0</v>
      </c>
      <c r="I437" s="100">
        <v>1</v>
      </c>
      <c r="J437" s="100">
        <v>0</v>
      </c>
      <c r="K437" s="100">
        <v>0</v>
      </c>
      <c r="L437" s="100">
        <v>0</v>
      </c>
      <c r="M437" s="100">
        <v>0</v>
      </c>
      <c r="N437" s="100">
        <v>0</v>
      </c>
      <c r="O437" s="100">
        <v>0</v>
      </c>
      <c r="P437" s="100">
        <v>0</v>
      </c>
      <c r="Q437" s="100">
        <v>0</v>
      </c>
      <c r="R437" s="100">
        <v>0</v>
      </c>
      <c r="S437" s="100">
        <v>0</v>
      </c>
      <c r="T437" s="100">
        <v>0</v>
      </c>
      <c r="U437" s="100">
        <v>0</v>
      </c>
      <c r="V437" s="100">
        <v>0</v>
      </c>
      <c r="W437" s="100">
        <v>0</v>
      </c>
      <c r="X437" s="45" t="s">
        <v>6</v>
      </c>
      <c r="Y437" s="49">
        <v>0</v>
      </c>
      <c r="Z437" s="45">
        <v>0</v>
      </c>
      <c r="AA437" s="45">
        <v>0</v>
      </c>
      <c r="AB437" s="45">
        <v>0</v>
      </c>
      <c r="AC437" s="45">
        <v>0</v>
      </c>
      <c r="AD437" s="45">
        <v>0</v>
      </c>
      <c r="AE437" s="45">
        <v>0</v>
      </c>
      <c r="AF437" s="45">
        <v>0</v>
      </c>
      <c r="AG437" s="45">
        <v>0</v>
      </c>
      <c r="AH437" s="45">
        <v>0</v>
      </c>
      <c r="AI437" s="45">
        <v>0</v>
      </c>
      <c r="AJ437" s="45">
        <v>0</v>
      </c>
      <c r="AK437" s="45">
        <v>0</v>
      </c>
      <c r="AL437" s="45">
        <v>0</v>
      </c>
      <c r="AM437" s="45">
        <v>0</v>
      </c>
      <c r="AN437" s="45">
        <v>0</v>
      </c>
      <c r="AO437" s="45"/>
      <c r="AP437" s="45"/>
      <c r="AQ437" s="45"/>
      <c r="AR437" s="45"/>
      <c r="AS437" s="45"/>
      <c r="AT437" s="45"/>
      <c r="AU437" s="45"/>
      <c r="AV437" s="45"/>
      <c r="AW437" s="45"/>
      <c r="AX437" s="45"/>
      <c r="AY437" s="45"/>
      <c r="AZ437" s="45"/>
      <c r="BA437" s="45"/>
      <c r="BB437" s="45"/>
      <c r="BC437" s="45"/>
      <c r="BD437" s="93"/>
      <c r="BE437" s="93"/>
      <c r="BF437" s="93"/>
      <c r="BG437" s="93"/>
      <c r="BH437" s="93"/>
      <c r="BI437" s="93"/>
      <c r="BJ437" s="93"/>
      <c r="BK437" s="93">
        <f>SUM($Z437:AD437)-SUM($CM437:CQ437)</f>
        <v>-8</v>
      </c>
      <c r="BL437" s="93">
        <f>SUM($Z437:AE437)-SUM($CM437:CR437)</f>
        <v>-16</v>
      </c>
      <c r="BM437" s="93">
        <f>SUM($Z437:AF437)-SUM($CM437:CS437)</f>
        <v>-24</v>
      </c>
      <c r="BN437" s="93">
        <f>SUM($Z437:AG437)-SUM($CM437:CT437)</f>
        <v>-32</v>
      </c>
      <c r="BO437" s="93">
        <f>SUM($Z437:AH437)-SUM($CM437:CU437)</f>
        <v>-40</v>
      </c>
      <c r="BP437" s="93">
        <f>SUM($Z437:AI437)-SUM($CM437:CV437)</f>
        <v>-48</v>
      </c>
      <c r="BQ437" s="93">
        <f>SUM($Z437:AJ437)-SUM($CM437:CW437)</f>
        <v>-56</v>
      </c>
      <c r="BR437" s="93">
        <f>SUM($Z437:AK437)-SUM($CM437:CX437)</f>
        <v>-64</v>
      </c>
      <c r="BS437" s="93">
        <f>SUM($Z437:AL437)-SUM($CM437:CY437)</f>
        <v>-72</v>
      </c>
      <c r="BT437" s="93">
        <f>SUM($Z437:AM437)-SUM($CM437:CZ437)</f>
        <v>-80</v>
      </c>
      <c r="BU437" s="93">
        <f>SUM($Z437:AN437)-SUM($CM437:DA437)</f>
        <v>-88</v>
      </c>
      <c r="BV437" s="93">
        <f>SUM($Z437:AO437)-SUM($CM437:DB437)</f>
        <v>-96</v>
      </c>
      <c r="BW437" s="93">
        <f>SUM($Z437:AP437)-SUM($CM437:DC437)</f>
        <v>-102</v>
      </c>
      <c r="BX437" s="93">
        <f>SUM($Z437:AQ437)-SUM($CM437:DD437)</f>
        <v>-102</v>
      </c>
      <c r="BY437" s="93">
        <f>SUM($Z437:AR437)-SUM($CM437:DE437)</f>
        <v>-102</v>
      </c>
      <c r="BZ437" s="93">
        <f>SUM($Z437:AS437)-SUM($CM437:DF437)</f>
        <v>-102</v>
      </c>
      <c r="CA437" s="93">
        <f>SUM($Z437:AT437)-SUM($CM437:DG437)</f>
        <v>-102</v>
      </c>
      <c r="CB437" s="93">
        <f>SUM($Z437:AU437)-SUM($CM437:DH437)</f>
        <v>-102</v>
      </c>
      <c r="CC437" s="93">
        <f>SUM($Z437:AV437)-SUM($CM437:DI437)</f>
        <v>-102</v>
      </c>
      <c r="CD437" s="93">
        <f>SUM($Z437:AW437)-SUM($CM437:DJ437)</f>
        <v>-102</v>
      </c>
      <c r="CE437" s="93">
        <f>SUM($Z437:AX437)-SUM($CM437:DK437)</f>
        <v>-102</v>
      </c>
      <c r="CF437" s="93">
        <f>SUM($Z437:AY437)-SUM($CM437:DL437)</f>
        <v>-102</v>
      </c>
      <c r="CG437" s="93">
        <f>SUM($Z437:AZ437)-SUM($CM437:DM437)</f>
        <v>-102</v>
      </c>
      <c r="CH437" s="93">
        <f>SUM($Z437:BA437)-SUM($CM437:DN437)</f>
        <v>-102</v>
      </c>
      <c r="CI437" s="93">
        <f>SUM($Z437:BB437)-SUM($CM437:DO437)</f>
        <v>-102</v>
      </c>
      <c r="CJ437" s="93"/>
      <c r="CK437" s="93"/>
      <c r="CL437" s="93"/>
      <c r="CM437" s="93"/>
      <c r="CN437" s="93" cm="1">
        <f t="array" ref="CN437">SUMPRODUCT(TRANSPOSE(CN$4:CN$20),$G437:$W437)</f>
        <v>0</v>
      </c>
      <c r="CO437" s="93" cm="1">
        <f t="array" ref="CO437">SUMPRODUCT(TRANSPOSE(CO$4:CO$20),$G437:$W437)</f>
        <v>0</v>
      </c>
      <c r="CP437" s="93" cm="1">
        <f t="array" ref="CP437">SUMPRODUCT(TRANSPOSE(CP$4:CP$20),$G437:$W437)</f>
        <v>0</v>
      </c>
      <c r="CQ437" s="93" cm="1">
        <f t="array" ref="CQ437">SUMPRODUCT(TRANSPOSE(CQ$4:CQ$20),$G437:$W437)</f>
        <v>8</v>
      </c>
      <c r="CR437" s="93" cm="1">
        <f t="array" ref="CR437">SUMPRODUCT(TRANSPOSE(CR$4:CR$20),$G437:$W437)</f>
        <v>8</v>
      </c>
      <c r="CS437" s="93" cm="1">
        <f t="array" ref="CS437">SUMPRODUCT(TRANSPOSE(CS$4:CS$20),$G437:$W437)</f>
        <v>8</v>
      </c>
      <c r="CT437" s="93" cm="1">
        <f t="array" ref="CT437">SUMPRODUCT(TRANSPOSE(CT$4:CT$20),$G437:$W437)</f>
        <v>8</v>
      </c>
      <c r="CU437" s="93" cm="1">
        <f t="array" ref="CU437">SUMPRODUCT(TRANSPOSE(CU$4:CU$20),$G437:$W437)</f>
        <v>8</v>
      </c>
      <c r="CV437" s="93" cm="1">
        <f t="array" ref="CV437">SUMPRODUCT(TRANSPOSE(CV$4:CV$20),$G437:$W437)</f>
        <v>8</v>
      </c>
      <c r="CW437" s="93" cm="1">
        <f t="array" ref="CW437">SUMPRODUCT(TRANSPOSE(CW$4:CW$20),$G437:$W437)</f>
        <v>8</v>
      </c>
      <c r="CX437" s="93" cm="1">
        <f t="array" ref="CX437">SUMPRODUCT(TRANSPOSE(CX$4:CX$20),$G437:$W437)</f>
        <v>8</v>
      </c>
      <c r="CY437" s="93" cm="1">
        <f t="array" ref="CY437">SUMPRODUCT(TRANSPOSE(CY$4:CY$20),$G437:$W437)</f>
        <v>8</v>
      </c>
      <c r="CZ437" s="93" cm="1">
        <f t="array" ref="CZ437">SUMPRODUCT(TRANSPOSE(CZ$4:CZ$20),$G437:$W437)</f>
        <v>8</v>
      </c>
      <c r="DA437" s="93" cm="1">
        <f t="array" ref="DA437">SUMPRODUCT(TRANSPOSE(DA$4:DA$20),$G437:$W437)</f>
        <v>8</v>
      </c>
      <c r="DB437" s="93" cm="1">
        <f t="array" ref="DB437">SUMPRODUCT(TRANSPOSE(DB$4:DB$20),$G437:$W437)</f>
        <v>8</v>
      </c>
      <c r="DC437" s="93" cm="1">
        <f t="array" ref="DC437">SUMPRODUCT(TRANSPOSE(DC$4:DC$20),$G437:$W437)</f>
        <v>6</v>
      </c>
      <c r="DD437" s="93" cm="1">
        <f t="array" ref="DD437">SUMPRODUCT(TRANSPOSE(DD$4:DD$20),$G437:$W437)</f>
        <v>0</v>
      </c>
      <c r="DE437" s="93" cm="1">
        <f t="array" ref="DE437">SUMPRODUCT(TRANSPOSE(DE$4:DE$20),$G437:$W437)</f>
        <v>0</v>
      </c>
      <c r="DF437" s="93" cm="1">
        <f t="array" ref="DF437">SUMPRODUCT(TRANSPOSE(DF$4:DF$20),$G437:$W437)</f>
        <v>0</v>
      </c>
      <c r="DG437" s="93" cm="1">
        <f t="array" ref="DG437">SUMPRODUCT(TRANSPOSE(DG$4:DG$20),$G437:$W437)</f>
        <v>0</v>
      </c>
      <c r="DH437" s="93" cm="1">
        <f t="array" ref="DH437">SUMPRODUCT(TRANSPOSE(DH$4:DH$20),$G437:$W437)</f>
        <v>0</v>
      </c>
      <c r="DI437" s="93" cm="1">
        <f t="array" ref="DI437">SUMPRODUCT(TRANSPOSE(DI$4:DI$20),$G437:$W437)</f>
        <v>0</v>
      </c>
      <c r="DJ437" s="93" cm="1">
        <f t="array" ref="DJ437">SUMPRODUCT(TRANSPOSE(DJ$4:DJ$20),$G437:$W437)</f>
        <v>0</v>
      </c>
      <c r="DK437" s="93" cm="1">
        <f t="array" ref="DK437">SUMPRODUCT(TRANSPOSE(DK$4:DK$20),$G437:$W437)</f>
        <v>0</v>
      </c>
      <c r="DL437" s="93" cm="1">
        <f t="array" ref="DL437">SUMPRODUCT(TRANSPOSE(DL$4:DL$20),$G437:$W437)</f>
        <v>0</v>
      </c>
      <c r="DM437" s="93" cm="1">
        <f t="array" ref="DM437">SUMPRODUCT(TRANSPOSE(DM$4:DM$20),$G437:$W437)</f>
        <v>0</v>
      </c>
      <c r="DN437" s="93" cm="1">
        <f t="array" ref="DN437">SUMPRODUCT(TRANSPOSE(DN$4:DN$20),$G437:$W437)</f>
        <v>0</v>
      </c>
      <c r="DO437" s="93" cm="1">
        <f t="array" ref="DO437">SUMPRODUCT(TRANSPOSE(DO$4:DO$20),$G437:$W437)</f>
        <v>0</v>
      </c>
    </row>
    <row r="438" spans="1:119" x14ac:dyDescent="0.2">
      <c r="A438" s="45">
        <f t="shared" si="32"/>
        <v>417</v>
      </c>
      <c r="B438" s="64" t="s">
        <v>933</v>
      </c>
      <c r="C438" s="45">
        <v>400175303</v>
      </c>
      <c r="D438" s="45" t="s">
        <v>934</v>
      </c>
      <c r="E438" s="45" t="s">
        <v>162</v>
      </c>
      <c r="F438" s="48">
        <v>2</v>
      </c>
      <c r="G438" s="100">
        <v>0</v>
      </c>
      <c r="H438" s="100">
        <v>0</v>
      </c>
      <c r="I438" s="100">
        <v>0</v>
      </c>
      <c r="J438" s="100">
        <v>0</v>
      </c>
      <c r="K438" s="100">
        <v>0</v>
      </c>
      <c r="L438" s="100">
        <v>0</v>
      </c>
      <c r="M438" s="100">
        <v>2</v>
      </c>
      <c r="N438" s="100">
        <v>0</v>
      </c>
      <c r="O438" s="100">
        <v>0</v>
      </c>
      <c r="P438" s="100">
        <v>0</v>
      </c>
      <c r="Q438" s="100">
        <v>0</v>
      </c>
      <c r="R438" s="100">
        <v>0</v>
      </c>
      <c r="S438" s="100">
        <v>0</v>
      </c>
      <c r="T438" s="100">
        <v>0</v>
      </c>
      <c r="U438" s="100">
        <v>0</v>
      </c>
      <c r="V438" s="100">
        <v>0</v>
      </c>
      <c r="W438" s="100">
        <v>0</v>
      </c>
      <c r="X438" s="45" t="s">
        <v>21</v>
      </c>
      <c r="Y438" s="53">
        <v>0.57680000000000009</v>
      </c>
      <c r="Z438" s="45">
        <v>2500</v>
      </c>
      <c r="AA438" s="45">
        <v>0</v>
      </c>
      <c r="AB438" s="45">
        <v>0</v>
      </c>
      <c r="AC438" s="45">
        <v>0</v>
      </c>
      <c r="AD438" s="45">
        <v>0</v>
      </c>
      <c r="AE438" s="45">
        <v>0</v>
      </c>
      <c r="AF438" s="45">
        <v>0</v>
      </c>
      <c r="AG438" s="45">
        <v>0</v>
      </c>
      <c r="AH438" s="45">
        <v>0</v>
      </c>
      <c r="AI438" s="45">
        <v>0</v>
      </c>
      <c r="AJ438" s="45">
        <v>0</v>
      </c>
      <c r="AK438" s="45">
        <v>0</v>
      </c>
      <c r="AL438" s="45">
        <v>0</v>
      </c>
      <c r="AM438" s="45">
        <v>0</v>
      </c>
      <c r="AN438" s="45">
        <v>0</v>
      </c>
      <c r="AO438" s="45"/>
      <c r="AP438" s="45"/>
      <c r="AQ438" s="45"/>
      <c r="AR438" s="45"/>
      <c r="AS438" s="45"/>
      <c r="AT438" s="45"/>
      <c r="AU438" s="45"/>
      <c r="AV438" s="45"/>
      <c r="AW438" s="45"/>
      <c r="AX438" s="45"/>
      <c r="AY438" s="45"/>
      <c r="AZ438" s="45"/>
      <c r="BA438" s="45"/>
      <c r="BB438" s="45"/>
      <c r="BC438" s="45"/>
      <c r="BD438" s="93"/>
      <c r="BE438" s="93"/>
      <c r="BF438" s="93"/>
      <c r="BG438" s="93"/>
      <c r="BH438" s="93"/>
      <c r="BI438" s="93"/>
      <c r="BJ438" s="93"/>
      <c r="BK438" s="93">
        <f>SUM($Z438:AD438)-SUM($CM438:CQ438)</f>
        <v>2484</v>
      </c>
      <c r="BL438" s="93">
        <f>SUM($Z438:AE438)-SUM($CM438:CR438)</f>
        <v>2468</v>
      </c>
      <c r="BM438" s="93">
        <f>SUM($Z438:AF438)-SUM($CM438:CS438)</f>
        <v>2452</v>
      </c>
      <c r="BN438" s="93">
        <f>SUM($Z438:AG438)-SUM($CM438:CT438)</f>
        <v>2436</v>
      </c>
      <c r="BO438" s="93">
        <f>SUM($Z438:AH438)-SUM($CM438:CU438)</f>
        <v>2420</v>
      </c>
      <c r="BP438" s="93">
        <f>SUM($Z438:AI438)-SUM($CM438:CV438)</f>
        <v>2404</v>
      </c>
      <c r="BQ438" s="93">
        <f>SUM($Z438:AJ438)-SUM($CM438:CW438)</f>
        <v>2388</v>
      </c>
      <c r="BR438" s="93">
        <f>SUM($Z438:AK438)-SUM($CM438:CX438)</f>
        <v>2372</v>
      </c>
      <c r="BS438" s="93">
        <f>SUM($Z438:AL438)-SUM($CM438:CY438)</f>
        <v>2356</v>
      </c>
      <c r="BT438" s="93">
        <f>SUM($Z438:AM438)-SUM($CM438:CZ438)</f>
        <v>2340</v>
      </c>
      <c r="BU438" s="93">
        <f>SUM($Z438:AN438)-SUM($CM438:DA438)</f>
        <v>2324</v>
      </c>
      <c r="BV438" s="93">
        <f>SUM($Z438:AO438)-SUM($CM438:DB438)</f>
        <v>2308</v>
      </c>
      <c r="BW438" s="93">
        <f>SUM($Z438:AP438)-SUM($CM438:DC438)</f>
        <v>2280</v>
      </c>
      <c r="BX438" s="93">
        <f>SUM($Z438:AQ438)-SUM($CM438:DD438)</f>
        <v>2280</v>
      </c>
      <c r="BY438" s="93">
        <f>SUM($Z438:AR438)-SUM($CM438:DE438)</f>
        <v>2280</v>
      </c>
      <c r="BZ438" s="93">
        <f>SUM($Z438:AS438)-SUM($CM438:DF438)</f>
        <v>2280</v>
      </c>
      <c r="CA438" s="93">
        <f>SUM($Z438:AT438)-SUM($CM438:DG438)</f>
        <v>2280</v>
      </c>
      <c r="CB438" s="93">
        <f>SUM($Z438:AU438)-SUM($CM438:DH438)</f>
        <v>2280</v>
      </c>
      <c r="CC438" s="93">
        <f>SUM($Z438:AV438)-SUM($CM438:DI438)</f>
        <v>2280</v>
      </c>
      <c r="CD438" s="93">
        <f>SUM($Z438:AW438)-SUM($CM438:DJ438)</f>
        <v>2280</v>
      </c>
      <c r="CE438" s="93">
        <f>SUM($Z438:AX438)-SUM($CM438:DK438)</f>
        <v>2280</v>
      </c>
      <c r="CF438" s="93">
        <f>SUM($Z438:AY438)-SUM($CM438:DL438)</f>
        <v>2280</v>
      </c>
      <c r="CG438" s="93">
        <f>SUM($Z438:AZ438)-SUM($CM438:DM438)</f>
        <v>2280</v>
      </c>
      <c r="CH438" s="93">
        <f>SUM($Z438:BA438)-SUM($CM438:DN438)</f>
        <v>2280</v>
      </c>
      <c r="CI438" s="93">
        <f>SUM($Z438:BB438)-SUM($CM438:DO438)</f>
        <v>2280</v>
      </c>
      <c r="CJ438" s="93"/>
      <c r="CK438" s="93"/>
      <c r="CL438" s="93"/>
      <c r="CM438" s="93"/>
      <c r="CN438" s="93" cm="1">
        <f t="array" ref="CN438">SUMPRODUCT(TRANSPOSE(CN$4:CN$20),$G438:$W438)</f>
        <v>0</v>
      </c>
      <c r="CO438" s="93" cm="1">
        <f t="array" ref="CO438">SUMPRODUCT(TRANSPOSE(CO$4:CO$20),$G438:$W438)</f>
        <v>0</v>
      </c>
      <c r="CP438" s="93" cm="1">
        <f t="array" ref="CP438">SUMPRODUCT(TRANSPOSE(CP$4:CP$20),$G438:$W438)</f>
        <v>0</v>
      </c>
      <c r="CQ438" s="93" cm="1">
        <f t="array" ref="CQ438">SUMPRODUCT(TRANSPOSE(CQ$4:CQ$20),$G438:$W438)</f>
        <v>16</v>
      </c>
      <c r="CR438" s="93" cm="1">
        <f t="array" ref="CR438">SUMPRODUCT(TRANSPOSE(CR$4:CR$20),$G438:$W438)</f>
        <v>16</v>
      </c>
      <c r="CS438" s="93" cm="1">
        <f t="array" ref="CS438">SUMPRODUCT(TRANSPOSE(CS$4:CS$20),$G438:$W438)</f>
        <v>16</v>
      </c>
      <c r="CT438" s="93" cm="1">
        <f t="array" ref="CT438">SUMPRODUCT(TRANSPOSE(CT$4:CT$20),$G438:$W438)</f>
        <v>16</v>
      </c>
      <c r="CU438" s="93" cm="1">
        <f t="array" ref="CU438">SUMPRODUCT(TRANSPOSE(CU$4:CU$20),$G438:$W438)</f>
        <v>16</v>
      </c>
      <c r="CV438" s="93" cm="1">
        <f t="array" ref="CV438">SUMPRODUCT(TRANSPOSE(CV$4:CV$20),$G438:$W438)</f>
        <v>16</v>
      </c>
      <c r="CW438" s="93" cm="1">
        <f t="array" ref="CW438">SUMPRODUCT(TRANSPOSE(CW$4:CW$20),$G438:$W438)</f>
        <v>16</v>
      </c>
      <c r="CX438" s="93" cm="1">
        <f t="array" ref="CX438">SUMPRODUCT(TRANSPOSE(CX$4:CX$20),$G438:$W438)</f>
        <v>16</v>
      </c>
      <c r="CY438" s="93" cm="1">
        <f t="array" ref="CY438">SUMPRODUCT(TRANSPOSE(CY$4:CY$20),$G438:$W438)</f>
        <v>16</v>
      </c>
      <c r="CZ438" s="93" cm="1">
        <f t="array" ref="CZ438">SUMPRODUCT(TRANSPOSE(CZ$4:CZ$20),$G438:$W438)</f>
        <v>16</v>
      </c>
      <c r="DA438" s="93" cm="1">
        <f t="array" ref="DA438">SUMPRODUCT(TRANSPOSE(DA$4:DA$20),$G438:$W438)</f>
        <v>16</v>
      </c>
      <c r="DB438" s="93" cm="1">
        <f t="array" ref="DB438">SUMPRODUCT(TRANSPOSE(DB$4:DB$20),$G438:$W438)</f>
        <v>16</v>
      </c>
      <c r="DC438" s="93" cm="1">
        <f t="array" ref="DC438">SUMPRODUCT(TRANSPOSE(DC$4:DC$20),$G438:$W438)</f>
        <v>28</v>
      </c>
      <c r="DD438" s="93" cm="1">
        <f t="array" ref="DD438">SUMPRODUCT(TRANSPOSE(DD$4:DD$20),$G438:$W438)</f>
        <v>0</v>
      </c>
      <c r="DE438" s="93" cm="1">
        <f t="array" ref="DE438">SUMPRODUCT(TRANSPOSE(DE$4:DE$20),$G438:$W438)</f>
        <v>0</v>
      </c>
      <c r="DF438" s="93" cm="1">
        <f t="array" ref="DF438">SUMPRODUCT(TRANSPOSE(DF$4:DF$20),$G438:$W438)</f>
        <v>0</v>
      </c>
      <c r="DG438" s="93" cm="1">
        <f t="array" ref="DG438">SUMPRODUCT(TRANSPOSE(DG$4:DG$20),$G438:$W438)</f>
        <v>0</v>
      </c>
      <c r="DH438" s="93" cm="1">
        <f t="array" ref="DH438">SUMPRODUCT(TRANSPOSE(DH$4:DH$20),$G438:$W438)</f>
        <v>0</v>
      </c>
      <c r="DI438" s="93" cm="1">
        <f t="array" ref="DI438">SUMPRODUCT(TRANSPOSE(DI$4:DI$20),$G438:$W438)</f>
        <v>0</v>
      </c>
      <c r="DJ438" s="93" cm="1">
        <f t="array" ref="DJ438">SUMPRODUCT(TRANSPOSE(DJ$4:DJ$20),$G438:$W438)</f>
        <v>0</v>
      </c>
      <c r="DK438" s="93" cm="1">
        <f t="array" ref="DK438">SUMPRODUCT(TRANSPOSE(DK$4:DK$20),$G438:$W438)</f>
        <v>0</v>
      </c>
      <c r="DL438" s="93" cm="1">
        <f t="array" ref="DL438">SUMPRODUCT(TRANSPOSE(DL$4:DL$20),$G438:$W438)</f>
        <v>0</v>
      </c>
      <c r="DM438" s="93" cm="1">
        <f t="array" ref="DM438">SUMPRODUCT(TRANSPOSE(DM$4:DM$20),$G438:$W438)</f>
        <v>0</v>
      </c>
      <c r="DN438" s="93" cm="1">
        <f t="array" ref="DN438">SUMPRODUCT(TRANSPOSE(DN$4:DN$20),$G438:$W438)</f>
        <v>0</v>
      </c>
      <c r="DO438" s="93" cm="1">
        <f t="array" ref="DO438">SUMPRODUCT(TRANSPOSE(DO$4:DO$20),$G438:$W438)</f>
        <v>0</v>
      </c>
    </row>
    <row r="439" spans="1:119" x14ac:dyDescent="0.2">
      <c r="A439" s="45">
        <f t="shared" si="32"/>
        <v>418</v>
      </c>
      <c r="B439" s="64" t="s">
        <v>935</v>
      </c>
      <c r="C439" s="45">
        <v>401533602</v>
      </c>
      <c r="D439" s="45" t="s">
        <v>936</v>
      </c>
      <c r="E439" s="45" t="s">
        <v>162</v>
      </c>
      <c r="F439" s="48">
        <v>2</v>
      </c>
      <c r="G439" s="100">
        <v>0</v>
      </c>
      <c r="H439" s="100">
        <v>0</v>
      </c>
      <c r="I439" s="100">
        <v>0</v>
      </c>
      <c r="J439" s="100">
        <v>0</v>
      </c>
      <c r="K439" s="100">
        <v>0</v>
      </c>
      <c r="L439" s="100">
        <v>0</v>
      </c>
      <c r="M439" s="100">
        <v>1</v>
      </c>
      <c r="N439" s="100">
        <v>0</v>
      </c>
      <c r="O439" s="100">
        <v>0</v>
      </c>
      <c r="P439" s="100">
        <v>0</v>
      </c>
      <c r="Q439" s="100">
        <v>0</v>
      </c>
      <c r="R439" s="100">
        <v>0</v>
      </c>
      <c r="S439" s="100">
        <v>0</v>
      </c>
      <c r="T439" s="100">
        <v>0</v>
      </c>
      <c r="U439" s="100">
        <v>0</v>
      </c>
      <c r="V439" s="100">
        <v>0</v>
      </c>
      <c r="W439" s="100">
        <v>0</v>
      </c>
      <c r="X439" s="45" t="s">
        <v>21</v>
      </c>
      <c r="Y439" s="53">
        <v>0.57680000000000009</v>
      </c>
      <c r="Z439" s="45">
        <v>2500</v>
      </c>
      <c r="AA439" s="45">
        <v>0</v>
      </c>
      <c r="AB439" s="45">
        <v>0</v>
      </c>
      <c r="AC439" s="45">
        <v>0</v>
      </c>
      <c r="AD439" s="45">
        <v>0</v>
      </c>
      <c r="AE439" s="45">
        <v>0</v>
      </c>
      <c r="AF439" s="45">
        <v>0</v>
      </c>
      <c r="AG439" s="45">
        <v>0</v>
      </c>
      <c r="AH439" s="45">
        <v>0</v>
      </c>
      <c r="AI439" s="45">
        <v>0</v>
      </c>
      <c r="AJ439" s="45">
        <v>0</v>
      </c>
      <c r="AK439" s="45">
        <v>0</v>
      </c>
      <c r="AL439" s="45">
        <v>0</v>
      </c>
      <c r="AM439" s="45">
        <v>0</v>
      </c>
      <c r="AN439" s="45">
        <v>0</v>
      </c>
      <c r="AO439" s="45"/>
      <c r="AP439" s="45"/>
      <c r="AQ439" s="45"/>
      <c r="AR439" s="45"/>
      <c r="AS439" s="45"/>
      <c r="AT439" s="45"/>
      <c r="AU439" s="45"/>
      <c r="AV439" s="45"/>
      <c r="AW439" s="45"/>
      <c r="AX439" s="45"/>
      <c r="AY439" s="45"/>
      <c r="AZ439" s="45"/>
      <c r="BA439" s="45"/>
      <c r="BB439" s="45"/>
      <c r="BC439" s="45"/>
      <c r="BD439" s="93"/>
      <c r="BE439" s="93"/>
      <c r="BF439" s="93"/>
      <c r="BG439" s="93"/>
      <c r="BH439" s="93"/>
      <c r="BI439" s="93"/>
      <c r="BJ439" s="93"/>
      <c r="BK439" s="93">
        <f>SUM($Z439:AD439)-SUM($CM439:CQ439)</f>
        <v>2492</v>
      </c>
      <c r="BL439" s="93">
        <f>SUM($Z439:AE439)-SUM($CM439:CR439)</f>
        <v>2484</v>
      </c>
      <c r="BM439" s="93">
        <f>SUM($Z439:AF439)-SUM($CM439:CS439)</f>
        <v>2476</v>
      </c>
      <c r="BN439" s="93">
        <f>SUM($Z439:AG439)-SUM($CM439:CT439)</f>
        <v>2468</v>
      </c>
      <c r="BO439" s="93">
        <f>SUM($Z439:AH439)-SUM($CM439:CU439)</f>
        <v>2460</v>
      </c>
      <c r="BP439" s="93">
        <f>SUM($Z439:AI439)-SUM($CM439:CV439)</f>
        <v>2452</v>
      </c>
      <c r="BQ439" s="93">
        <f>SUM($Z439:AJ439)-SUM($CM439:CW439)</f>
        <v>2444</v>
      </c>
      <c r="BR439" s="93">
        <f>SUM($Z439:AK439)-SUM($CM439:CX439)</f>
        <v>2436</v>
      </c>
      <c r="BS439" s="93">
        <f>SUM($Z439:AL439)-SUM($CM439:CY439)</f>
        <v>2428</v>
      </c>
      <c r="BT439" s="93">
        <f>SUM($Z439:AM439)-SUM($CM439:CZ439)</f>
        <v>2420</v>
      </c>
      <c r="BU439" s="93">
        <f>SUM($Z439:AN439)-SUM($CM439:DA439)</f>
        <v>2412</v>
      </c>
      <c r="BV439" s="93">
        <f>SUM($Z439:AO439)-SUM($CM439:DB439)</f>
        <v>2404</v>
      </c>
      <c r="BW439" s="93">
        <f>SUM($Z439:AP439)-SUM($CM439:DC439)</f>
        <v>2390</v>
      </c>
      <c r="BX439" s="93">
        <f>SUM($Z439:AQ439)-SUM($CM439:DD439)</f>
        <v>2390</v>
      </c>
      <c r="BY439" s="93">
        <f>SUM($Z439:AR439)-SUM($CM439:DE439)</f>
        <v>2390</v>
      </c>
      <c r="BZ439" s="93">
        <f>SUM($Z439:AS439)-SUM($CM439:DF439)</f>
        <v>2390</v>
      </c>
      <c r="CA439" s="93">
        <f>SUM($Z439:AT439)-SUM($CM439:DG439)</f>
        <v>2390</v>
      </c>
      <c r="CB439" s="93">
        <f>SUM($Z439:AU439)-SUM($CM439:DH439)</f>
        <v>2390</v>
      </c>
      <c r="CC439" s="93">
        <f>SUM($Z439:AV439)-SUM($CM439:DI439)</f>
        <v>2390</v>
      </c>
      <c r="CD439" s="93">
        <f>SUM($Z439:AW439)-SUM($CM439:DJ439)</f>
        <v>2390</v>
      </c>
      <c r="CE439" s="93">
        <f>SUM($Z439:AX439)-SUM($CM439:DK439)</f>
        <v>2390</v>
      </c>
      <c r="CF439" s="93">
        <f>SUM($Z439:AY439)-SUM($CM439:DL439)</f>
        <v>2390</v>
      </c>
      <c r="CG439" s="93">
        <f>SUM($Z439:AZ439)-SUM($CM439:DM439)</f>
        <v>2390</v>
      </c>
      <c r="CH439" s="93">
        <f>SUM($Z439:BA439)-SUM($CM439:DN439)</f>
        <v>2390</v>
      </c>
      <c r="CI439" s="93">
        <f>SUM($Z439:BB439)-SUM($CM439:DO439)</f>
        <v>2390</v>
      </c>
      <c r="CJ439" s="93"/>
      <c r="CK439" s="93"/>
      <c r="CL439" s="93"/>
      <c r="CM439" s="93"/>
      <c r="CN439" s="93" cm="1">
        <f t="array" ref="CN439">SUMPRODUCT(TRANSPOSE(CN$4:CN$20),$G439:$W439)</f>
        <v>0</v>
      </c>
      <c r="CO439" s="93" cm="1">
        <f t="array" ref="CO439">SUMPRODUCT(TRANSPOSE(CO$4:CO$20),$G439:$W439)</f>
        <v>0</v>
      </c>
      <c r="CP439" s="93" cm="1">
        <f t="array" ref="CP439">SUMPRODUCT(TRANSPOSE(CP$4:CP$20),$G439:$W439)</f>
        <v>0</v>
      </c>
      <c r="CQ439" s="93" cm="1">
        <f t="array" ref="CQ439">SUMPRODUCT(TRANSPOSE(CQ$4:CQ$20),$G439:$W439)</f>
        <v>8</v>
      </c>
      <c r="CR439" s="93" cm="1">
        <f t="array" ref="CR439">SUMPRODUCT(TRANSPOSE(CR$4:CR$20),$G439:$W439)</f>
        <v>8</v>
      </c>
      <c r="CS439" s="93" cm="1">
        <f t="array" ref="CS439">SUMPRODUCT(TRANSPOSE(CS$4:CS$20),$G439:$W439)</f>
        <v>8</v>
      </c>
      <c r="CT439" s="93" cm="1">
        <f t="array" ref="CT439">SUMPRODUCT(TRANSPOSE(CT$4:CT$20),$G439:$W439)</f>
        <v>8</v>
      </c>
      <c r="CU439" s="93" cm="1">
        <f t="array" ref="CU439">SUMPRODUCT(TRANSPOSE(CU$4:CU$20),$G439:$W439)</f>
        <v>8</v>
      </c>
      <c r="CV439" s="93" cm="1">
        <f t="array" ref="CV439">SUMPRODUCT(TRANSPOSE(CV$4:CV$20),$G439:$W439)</f>
        <v>8</v>
      </c>
      <c r="CW439" s="93" cm="1">
        <f t="array" ref="CW439">SUMPRODUCT(TRANSPOSE(CW$4:CW$20),$G439:$W439)</f>
        <v>8</v>
      </c>
      <c r="CX439" s="93" cm="1">
        <f t="array" ref="CX439">SUMPRODUCT(TRANSPOSE(CX$4:CX$20),$G439:$W439)</f>
        <v>8</v>
      </c>
      <c r="CY439" s="93" cm="1">
        <f t="array" ref="CY439">SUMPRODUCT(TRANSPOSE(CY$4:CY$20),$G439:$W439)</f>
        <v>8</v>
      </c>
      <c r="CZ439" s="93" cm="1">
        <f t="array" ref="CZ439">SUMPRODUCT(TRANSPOSE(CZ$4:CZ$20),$G439:$W439)</f>
        <v>8</v>
      </c>
      <c r="DA439" s="93" cm="1">
        <f t="array" ref="DA439">SUMPRODUCT(TRANSPOSE(DA$4:DA$20),$G439:$W439)</f>
        <v>8</v>
      </c>
      <c r="DB439" s="93" cm="1">
        <f t="array" ref="DB439">SUMPRODUCT(TRANSPOSE(DB$4:DB$20),$G439:$W439)</f>
        <v>8</v>
      </c>
      <c r="DC439" s="93" cm="1">
        <f t="array" ref="DC439">SUMPRODUCT(TRANSPOSE(DC$4:DC$20),$G439:$W439)</f>
        <v>14</v>
      </c>
      <c r="DD439" s="93" cm="1">
        <f t="array" ref="DD439">SUMPRODUCT(TRANSPOSE(DD$4:DD$20),$G439:$W439)</f>
        <v>0</v>
      </c>
      <c r="DE439" s="93" cm="1">
        <f t="array" ref="DE439">SUMPRODUCT(TRANSPOSE(DE$4:DE$20),$G439:$W439)</f>
        <v>0</v>
      </c>
      <c r="DF439" s="93" cm="1">
        <f t="array" ref="DF439">SUMPRODUCT(TRANSPOSE(DF$4:DF$20),$G439:$W439)</f>
        <v>0</v>
      </c>
      <c r="DG439" s="93" cm="1">
        <f t="array" ref="DG439">SUMPRODUCT(TRANSPOSE(DG$4:DG$20),$G439:$W439)</f>
        <v>0</v>
      </c>
      <c r="DH439" s="93" cm="1">
        <f t="array" ref="DH439">SUMPRODUCT(TRANSPOSE(DH$4:DH$20),$G439:$W439)</f>
        <v>0</v>
      </c>
      <c r="DI439" s="93" cm="1">
        <f t="array" ref="DI439">SUMPRODUCT(TRANSPOSE(DI$4:DI$20),$G439:$W439)</f>
        <v>0</v>
      </c>
      <c r="DJ439" s="93" cm="1">
        <f t="array" ref="DJ439">SUMPRODUCT(TRANSPOSE(DJ$4:DJ$20),$G439:$W439)</f>
        <v>0</v>
      </c>
      <c r="DK439" s="93" cm="1">
        <f t="array" ref="DK439">SUMPRODUCT(TRANSPOSE(DK$4:DK$20),$G439:$W439)</f>
        <v>0</v>
      </c>
      <c r="DL439" s="93" cm="1">
        <f t="array" ref="DL439">SUMPRODUCT(TRANSPOSE(DL$4:DL$20),$G439:$W439)</f>
        <v>0</v>
      </c>
      <c r="DM439" s="93" cm="1">
        <f t="array" ref="DM439">SUMPRODUCT(TRANSPOSE(DM$4:DM$20),$G439:$W439)</f>
        <v>0</v>
      </c>
      <c r="DN439" s="93" cm="1">
        <f t="array" ref="DN439">SUMPRODUCT(TRANSPOSE(DN$4:DN$20),$G439:$W439)</f>
        <v>0</v>
      </c>
      <c r="DO439" s="93" cm="1">
        <f t="array" ref="DO439">SUMPRODUCT(TRANSPOSE(DO$4:DO$20),$G439:$W439)</f>
        <v>0</v>
      </c>
    </row>
    <row r="440" spans="1:119" x14ac:dyDescent="0.2">
      <c r="A440" s="74">
        <f t="shared" si="32"/>
        <v>419</v>
      </c>
      <c r="B440" s="64" t="s">
        <v>1125</v>
      </c>
      <c r="C440" s="45">
        <v>529000002</v>
      </c>
      <c r="D440" s="63" t="s">
        <v>521</v>
      </c>
      <c r="E440" s="45" t="s">
        <v>162</v>
      </c>
      <c r="F440" s="48">
        <v>2</v>
      </c>
      <c r="G440" s="100">
        <v>0</v>
      </c>
      <c r="H440" s="100">
        <v>0</v>
      </c>
      <c r="I440" s="100">
        <v>0</v>
      </c>
      <c r="J440" s="100">
        <v>0</v>
      </c>
      <c r="K440" s="100">
        <v>0</v>
      </c>
      <c r="L440" s="100">
        <v>0</v>
      </c>
      <c r="M440" s="100">
        <v>0</v>
      </c>
      <c r="N440" s="100">
        <v>0</v>
      </c>
      <c r="O440" s="100">
        <v>0</v>
      </c>
      <c r="P440" s="100">
        <v>16</v>
      </c>
      <c r="Q440" s="100">
        <v>0</v>
      </c>
      <c r="R440" s="100">
        <v>0</v>
      </c>
      <c r="S440" s="100">
        <v>0</v>
      </c>
      <c r="T440" s="100">
        <v>16</v>
      </c>
      <c r="U440" s="100">
        <v>0</v>
      </c>
      <c r="V440" s="100">
        <v>0</v>
      </c>
      <c r="W440" s="100">
        <v>0</v>
      </c>
      <c r="X440" s="45" t="s">
        <v>1124</v>
      </c>
      <c r="Y440" s="53">
        <v>0</v>
      </c>
      <c r="Z440" s="45">
        <v>4852</v>
      </c>
      <c r="AA440" s="45">
        <v>10284</v>
      </c>
      <c r="AB440" s="45">
        <v>0</v>
      </c>
      <c r="AC440" s="45">
        <v>0</v>
      </c>
      <c r="AD440" s="45">
        <v>0</v>
      </c>
      <c r="AE440" s="45">
        <v>0</v>
      </c>
      <c r="AF440" s="45">
        <v>0</v>
      </c>
      <c r="AG440" s="45">
        <v>0</v>
      </c>
      <c r="AH440" s="45">
        <v>0</v>
      </c>
      <c r="AI440" s="45">
        <v>0</v>
      </c>
      <c r="AJ440" s="45">
        <v>0</v>
      </c>
      <c r="AK440" s="45">
        <v>0</v>
      </c>
      <c r="AL440" s="45">
        <v>0</v>
      </c>
      <c r="AM440" s="45">
        <v>0</v>
      </c>
      <c r="AN440" s="45">
        <v>0</v>
      </c>
      <c r="AO440" s="45"/>
      <c r="AP440" s="45"/>
      <c r="AQ440" s="45"/>
      <c r="AR440" s="45"/>
      <c r="AS440" s="45"/>
      <c r="AT440" s="45"/>
      <c r="AU440" s="45"/>
      <c r="AV440" s="45"/>
      <c r="AW440" s="45"/>
      <c r="AX440" s="45"/>
      <c r="AY440" s="45"/>
      <c r="AZ440" s="45"/>
      <c r="BA440" s="45"/>
      <c r="BB440" s="45"/>
      <c r="BC440" s="45"/>
      <c r="BD440" s="93"/>
      <c r="BE440" s="93"/>
      <c r="BF440" s="93"/>
      <c r="BG440" s="93"/>
      <c r="BH440" s="93"/>
      <c r="BI440" s="93"/>
      <c r="BJ440" s="93"/>
      <c r="BK440" s="93">
        <f>SUM($Z440:AD440)-SUM($CM440:CQ440)</f>
        <v>13888</v>
      </c>
      <c r="BL440" s="93">
        <f>SUM($Z440:AE440)-SUM($CM440:CR440)</f>
        <v>12768</v>
      </c>
      <c r="BM440" s="93">
        <f>SUM($Z440:AF440)-SUM($CM440:CS440)</f>
        <v>11728</v>
      </c>
      <c r="BN440" s="93">
        <f>SUM($Z440:AG440)-SUM($CM440:CT440)</f>
        <v>10768</v>
      </c>
      <c r="BO440" s="93">
        <f>SUM($Z440:AH440)-SUM($CM440:CU440)</f>
        <v>9808</v>
      </c>
      <c r="BP440" s="93">
        <f>SUM($Z440:AI440)-SUM($CM440:CV440)</f>
        <v>8848</v>
      </c>
      <c r="BQ440" s="93">
        <f>SUM($Z440:AJ440)-SUM($CM440:CW440)</f>
        <v>7888</v>
      </c>
      <c r="BR440" s="93">
        <f>SUM($Z440:AK440)-SUM($CM440:CX440)</f>
        <v>6928</v>
      </c>
      <c r="BS440" s="93">
        <f>SUM($Z440:AL440)-SUM($CM440:CY440)</f>
        <v>5968</v>
      </c>
      <c r="BT440" s="93">
        <f>SUM($Z440:AM440)-SUM($CM440:CZ440)</f>
        <v>5008</v>
      </c>
      <c r="BU440" s="93">
        <f>SUM($Z440:AN440)-SUM($CM440:DA440)</f>
        <v>4048</v>
      </c>
      <c r="BV440" s="93">
        <f>SUM($Z440:AO440)-SUM($CM440:DB440)</f>
        <v>3824</v>
      </c>
      <c r="BW440" s="93">
        <f>SUM($Z440:AP440)-SUM($CM440:DC440)</f>
        <v>3824</v>
      </c>
      <c r="BX440" s="93">
        <f>SUM($Z440:AQ440)-SUM($CM440:DD440)</f>
        <v>3824</v>
      </c>
      <c r="BY440" s="93">
        <f>SUM($Z440:AR440)-SUM($CM440:DE440)</f>
        <v>3824</v>
      </c>
      <c r="BZ440" s="93">
        <f>SUM($Z440:AS440)-SUM($CM440:DF440)</f>
        <v>3824</v>
      </c>
      <c r="CA440" s="93">
        <f>SUM($Z440:AT440)-SUM($CM440:DG440)</f>
        <v>3824</v>
      </c>
      <c r="CB440" s="93">
        <f>SUM($Z440:AU440)-SUM($CM440:DH440)</f>
        <v>3824</v>
      </c>
      <c r="CC440" s="93">
        <f>SUM($Z440:AV440)-SUM($CM440:DI440)</f>
        <v>3824</v>
      </c>
      <c r="CD440" s="93">
        <f>SUM($Z440:AW440)-SUM($CM440:DJ440)</f>
        <v>3824</v>
      </c>
      <c r="CE440" s="93">
        <f>SUM($Z440:AX440)-SUM($CM440:DK440)</f>
        <v>3824</v>
      </c>
      <c r="CF440" s="93">
        <f>SUM($Z440:AY440)-SUM($CM440:DL440)</f>
        <v>3824</v>
      </c>
      <c r="CG440" s="93">
        <f>SUM($Z440:AZ440)-SUM($CM440:DM440)</f>
        <v>3824</v>
      </c>
      <c r="CH440" s="93">
        <f>SUM($Z440:BA440)-SUM($CM440:DN440)</f>
        <v>3824</v>
      </c>
      <c r="CI440" s="93">
        <f>SUM($Z440:BB440)-SUM($CM440:DO440)</f>
        <v>3824</v>
      </c>
      <c r="CJ440" s="93"/>
      <c r="CK440" s="93"/>
      <c r="CL440" s="93"/>
      <c r="CM440" s="93"/>
      <c r="CN440" s="93" cm="1">
        <f t="array" ref="CN440">SUMPRODUCT(TRANSPOSE(CN$4:CN$20),$G440:$W440)</f>
        <v>0</v>
      </c>
      <c r="CO440" s="93" cm="1">
        <f t="array" ref="CO440">SUMPRODUCT(TRANSPOSE(CO$4:CO$20),$G440:$W440)</f>
        <v>0</v>
      </c>
      <c r="CP440" s="93" cm="1">
        <f t="array" ref="CP440">SUMPRODUCT(TRANSPOSE(CP$4:CP$20),$G440:$W440)</f>
        <v>0</v>
      </c>
      <c r="CQ440" s="93" cm="1">
        <f t="array" ref="CQ440">SUMPRODUCT(TRANSPOSE(CQ$4:CQ$20),$G440:$W440)</f>
        <v>1248</v>
      </c>
      <c r="CR440" s="93" cm="1">
        <f t="array" ref="CR440">SUMPRODUCT(TRANSPOSE(CR$4:CR$20),$G440:$W440)</f>
        <v>1120</v>
      </c>
      <c r="CS440" s="93" cm="1">
        <f t="array" ref="CS440">SUMPRODUCT(TRANSPOSE(CS$4:CS$20),$G440:$W440)</f>
        <v>1040</v>
      </c>
      <c r="CT440" s="93" cm="1">
        <f t="array" ref="CT440">SUMPRODUCT(TRANSPOSE(CT$4:CT$20),$G440:$W440)</f>
        <v>960</v>
      </c>
      <c r="CU440" s="93" cm="1">
        <f t="array" ref="CU440">SUMPRODUCT(TRANSPOSE(CU$4:CU$20),$G440:$W440)</f>
        <v>960</v>
      </c>
      <c r="CV440" s="93" cm="1">
        <f t="array" ref="CV440">SUMPRODUCT(TRANSPOSE(CV$4:CV$20),$G440:$W440)</f>
        <v>960</v>
      </c>
      <c r="CW440" s="93" cm="1">
        <f t="array" ref="CW440">SUMPRODUCT(TRANSPOSE(CW$4:CW$20),$G440:$W440)</f>
        <v>960</v>
      </c>
      <c r="CX440" s="93" cm="1">
        <f t="array" ref="CX440">SUMPRODUCT(TRANSPOSE(CX$4:CX$20),$G440:$W440)</f>
        <v>960</v>
      </c>
      <c r="CY440" s="93" cm="1">
        <f t="array" ref="CY440">SUMPRODUCT(TRANSPOSE(CY$4:CY$20),$G440:$W440)</f>
        <v>960</v>
      </c>
      <c r="CZ440" s="93" cm="1">
        <f t="array" ref="CZ440">SUMPRODUCT(TRANSPOSE(CZ$4:CZ$20),$G440:$W440)</f>
        <v>960</v>
      </c>
      <c r="DA440" s="93" cm="1">
        <f t="array" ref="DA440">SUMPRODUCT(TRANSPOSE(DA$4:DA$20),$G440:$W440)</f>
        <v>960</v>
      </c>
      <c r="DB440" s="93" cm="1">
        <f t="array" ref="DB440">SUMPRODUCT(TRANSPOSE(DB$4:DB$20),$G440:$W440)</f>
        <v>224</v>
      </c>
      <c r="DC440" s="93" cm="1">
        <f t="array" ref="DC440">SUMPRODUCT(TRANSPOSE(DC$4:DC$20),$G440:$W440)</f>
        <v>0</v>
      </c>
      <c r="DD440" s="93" cm="1">
        <f t="array" ref="DD440">SUMPRODUCT(TRANSPOSE(DD$4:DD$20),$G440:$W440)</f>
        <v>0</v>
      </c>
      <c r="DE440" s="93" cm="1">
        <f t="array" ref="DE440">SUMPRODUCT(TRANSPOSE(DE$4:DE$20),$G440:$W440)</f>
        <v>0</v>
      </c>
      <c r="DF440" s="93" cm="1">
        <f t="array" ref="DF440">SUMPRODUCT(TRANSPOSE(DF$4:DF$20),$G440:$W440)</f>
        <v>0</v>
      </c>
      <c r="DG440" s="93" cm="1">
        <f t="array" ref="DG440">SUMPRODUCT(TRANSPOSE(DG$4:DG$20),$G440:$W440)</f>
        <v>0</v>
      </c>
      <c r="DH440" s="93" cm="1">
        <f t="array" ref="DH440">SUMPRODUCT(TRANSPOSE(DH$4:DH$20),$G440:$W440)</f>
        <v>0</v>
      </c>
      <c r="DI440" s="93" cm="1">
        <f t="array" ref="DI440">SUMPRODUCT(TRANSPOSE(DI$4:DI$20),$G440:$W440)</f>
        <v>0</v>
      </c>
      <c r="DJ440" s="93" cm="1">
        <f t="array" ref="DJ440">SUMPRODUCT(TRANSPOSE(DJ$4:DJ$20),$G440:$W440)</f>
        <v>0</v>
      </c>
      <c r="DK440" s="93" cm="1">
        <f t="array" ref="DK440">SUMPRODUCT(TRANSPOSE(DK$4:DK$20),$G440:$W440)</f>
        <v>0</v>
      </c>
      <c r="DL440" s="93" cm="1">
        <f t="array" ref="DL440">SUMPRODUCT(TRANSPOSE(DL$4:DL$20),$G440:$W440)</f>
        <v>0</v>
      </c>
      <c r="DM440" s="93" cm="1">
        <f t="array" ref="DM440">SUMPRODUCT(TRANSPOSE(DM$4:DM$20),$G440:$W440)</f>
        <v>0</v>
      </c>
      <c r="DN440" s="93" cm="1">
        <f t="array" ref="DN440">SUMPRODUCT(TRANSPOSE(DN$4:DN$20),$G440:$W440)</f>
        <v>0</v>
      </c>
      <c r="DO440" s="93" cm="1">
        <f t="array" ref="DO440">SUMPRODUCT(TRANSPOSE(DO$4:DO$20),$G440:$W440)</f>
        <v>0</v>
      </c>
    </row>
    <row r="441" spans="1:119" x14ac:dyDescent="0.2">
      <c r="A441" s="74">
        <f>A440+1</f>
        <v>420</v>
      </c>
      <c r="B441" s="64" t="s">
        <v>937</v>
      </c>
      <c r="C441" s="45">
        <v>526945860</v>
      </c>
      <c r="D441" s="45" t="s">
        <v>539</v>
      </c>
      <c r="E441" s="45" t="s">
        <v>162</v>
      </c>
      <c r="F441" s="48">
        <v>2</v>
      </c>
      <c r="G441" s="100">
        <v>24</v>
      </c>
      <c r="H441" s="100">
        <v>0</v>
      </c>
      <c r="I441" s="100">
        <v>11</v>
      </c>
      <c r="J441" s="100">
        <v>0</v>
      </c>
      <c r="K441" s="100">
        <v>11</v>
      </c>
      <c r="L441" s="100">
        <v>0</v>
      </c>
      <c r="M441" s="100">
        <v>0</v>
      </c>
      <c r="N441" s="100">
        <v>0</v>
      </c>
      <c r="O441" s="100">
        <v>0</v>
      </c>
      <c r="P441" s="100">
        <v>0</v>
      </c>
      <c r="Q441" s="100">
        <v>0</v>
      </c>
      <c r="R441" s="100">
        <v>0</v>
      </c>
      <c r="S441" s="100">
        <v>0</v>
      </c>
      <c r="T441" s="100">
        <v>0</v>
      </c>
      <c r="U441" s="100">
        <v>0</v>
      </c>
      <c r="V441" s="100">
        <v>0</v>
      </c>
      <c r="W441" s="100">
        <v>0</v>
      </c>
      <c r="X441" s="56" t="s">
        <v>72</v>
      </c>
      <c r="Y441" s="49">
        <v>4.41</v>
      </c>
      <c r="Z441" s="45">
        <v>7940</v>
      </c>
      <c r="AA441" s="45">
        <v>0</v>
      </c>
      <c r="AB441" s="45">
        <v>0</v>
      </c>
      <c r="AC441" s="45">
        <v>0</v>
      </c>
      <c r="AD441" s="45">
        <v>0</v>
      </c>
      <c r="AE441" s="45">
        <v>0</v>
      </c>
      <c r="AF441" s="45">
        <v>0</v>
      </c>
      <c r="AG441" s="45">
        <v>0</v>
      </c>
      <c r="AH441" s="45">
        <v>0</v>
      </c>
      <c r="AI441" s="45">
        <v>0</v>
      </c>
      <c r="AJ441" s="45">
        <v>0</v>
      </c>
      <c r="AK441" s="45">
        <v>0</v>
      </c>
      <c r="AL441" s="45">
        <v>0</v>
      </c>
      <c r="AM441" s="45">
        <v>0</v>
      </c>
      <c r="AN441" s="45">
        <v>0</v>
      </c>
      <c r="AO441" s="45"/>
      <c r="AP441" s="45"/>
      <c r="AQ441" s="45"/>
      <c r="AR441" s="45"/>
      <c r="AS441" s="45"/>
      <c r="AT441" s="45"/>
      <c r="AU441" s="45"/>
      <c r="AV441" s="45"/>
      <c r="AW441" s="45"/>
      <c r="AX441" s="45"/>
      <c r="AY441" s="45"/>
      <c r="AZ441" s="45"/>
      <c r="BA441" s="45"/>
      <c r="BB441" s="45"/>
      <c r="BC441" s="45"/>
      <c r="BD441" s="93"/>
      <c r="BE441" s="93"/>
      <c r="BF441" s="93"/>
      <c r="BG441" s="93"/>
      <c r="BH441" s="93"/>
      <c r="BI441" s="93"/>
      <c r="BJ441" s="93"/>
      <c r="BK441" s="93">
        <f>SUM($Z441:AD441)-SUM($CM441:CQ441)</f>
        <v>7572</v>
      </c>
      <c r="BL441" s="93">
        <f>SUM($Z441:AE441)-SUM($CM441:CR441)</f>
        <v>7204</v>
      </c>
      <c r="BM441" s="93">
        <f>SUM($Z441:AF441)-SUM($CM441:CS441)</f>
        <v>6836</v>
      </c>
      <c r="BN441" s="93">
        <f>SUM($Z441:AG441)-SUM($CM441:CT441)</f>
        <v>6468</v>
      </c>
      <c r="BO441" s="93">
        <f>SUM($Z441:AH441)-SUM($CM441:CU441)</f>
        <v>6100</v>
      </c>
      <c r="BP441" s="93">
        <f>SUM($Z441:AI441)-SUM($CM441:CV441)</f>
        <v>5732</v>
      </c>
      <c r="BQ441" s="93">
        <f>SUM($Z441:AJ441)-SUM($CM441:CW441)</f>
        <v>5364</v>
      </c>
      <c r="BR441" s="93">
        <f>SUM($Z441:AK441)-SUM($CM441:CX441)</f>
        <v>4996</v>
      </c>
      <c r="BS441" s="93">
        <f>SUM($Z441:AL441)-SUM($CM441:CY441)</f>
        <v>4628</v>
      </c>
      <c r="BT441" s="93">
        <f>SUM($Z441:AM441)-SUM($CM441:CZ441)</f>
        <v>4260</v>
      </c>
      <c r="BU441" s="93">
        <f>SUM($Z441:AN441)-SUM($CM441:DA441)</f>
        <v>3892</v>
      </c>
      <c r="BV441" s="93">
        <f>SUM($Z441:AO441)-SUM($CM441:DB441)</f>
        <v>3524</v>
      </c>
      <c r="BW441" s="93">
        <f>SUM($Z441:AP441)-SUM($CM441:DC441)</f>
        <v>3248</v>
      </c>
      <c r="BX441" s="93">
        <f>SUM($Z441:AQ441)-SUM($CM441:DD441)</f>
        <v>3248</v>
      </c>
      <c r="BY441" s="93">
        <f>SUM($Z441:AR441)-SUM($CM441:DE441)</f>
        <v>3248</v>
      </c>
      <c r="BZ441" s="93">
        <f>SUM($Z441:AS441)-SUM($CM441:DF441)</f>
        <v>3248</v>
      </c>
      <c r="CA441" s="93">
        <f>SUM($Z441:AT441)-SUM($CM441:DG441)</f>
        <v>3248</v>
      </c>
      <c r="CB441" s="93">
        <f>SUM($Z441:AU441)-SUM($CM441:DH441)</f>
        <v>3248</v>
      </c>
      <c r="CC441" s="93">
        <f>SUM($Z441:AV441)-SUM($CM441:DI441)</f>
        <v>3248</v>
      </c>
      <c r="CD441" s="93">
        <f>SUM($Z441:AW441)-SUM($CM441:DJ441)</f>
        <v>3248</v>
      </c>
      <c r="CE441" s="93">
        <f>SUM($Z441:AX441)-SUM($CM441:DK441)</f>
        <v>3248</v>
      </c>
      <c r="CF441" s="93">
        <f>SUM($Z441:AY441)-SUM($CM441:DL441)</f>
        <v>3248</v>
      </c>
      <c r="CG441" s="93">
        <f>SUM($Z441:AZ441)-SUM($CM441:DM441)</f>
        <v>3248</v>
      </c>
      <c r="CH441" s="93">
        <f>SUM($Z441:BA441)-SUM($CM441:DN441)</f>
        <v>3248</v>
      </c>
      <c r="CI441" s="93">
        <f>SUM($Z441:BB441)-SUM($CM441:DO441)</f>
        <v>3248</v>
      </c>
      <c r="CJ441" s="93"/>
      <c r="CK441" s="93"/>
      <c r="CL441" s="93"/>
      <c r="CM441" s="93"/>
      <c r="CN441" s="93" cm="1">
        <f t="array" ref="CN441">SUMPRODUCT(TRANSPOSE(CN$4:CN$20),$G441:$W441)</f>
        <v>0</v>
      </c>
      <c r="CO441" s="93" cm="1">
        <f t="array" ref="CO441">SUMPRODUCT(TRANSPOSE(CO$4:CO$20),$G441:$W441)</f>
        <v>0</v>
      </c>
      <c r="CP441" s="93" cm="1">
        <f t="array" ref="CP441">SUMPRODUCT(TRANSPOSE(CP$4:CP$20),$G441:$W441)</f>
        <v>0</v>
      </c>
      <c r="CQ441" s="93" cm="1">
        <f t="array" ref="CQ441">SUMPRODUCT(TRANSPOSE(CQ$4:CQ$20),$G441:$W441)</f>
        <v>368</v>
      </c>
      <c r="CR441" s="93" cm="1">
        <f t="array" ref="CR441">SUMPRODUCT(TRANSPOSE(CR$4:CR$20),$G441:$W441)</f>
        <v>368</v>
      </c>
      <c r="CS441" s="93" cm="1">
        <f t="array" ref="CS441">SUMPRODUCT(TRANSPOSE(CS$4:CS$20),$G441:$W441)</f>
        <v>368</v>
      </c>
      <c r="CT441" s="93" cm="1">
        <f t="array" ref="CT441">SUMPRODUCT(TRANSPOSE(CT$4:CT$20),$G441:$W441)</f>
        <v>368</v>
      </c>
      <c r="CU441" s="93" cm="1">
        <f t="array" ref="CU441">SUMPRODUCT(TRANSPOSE(CU$4:CU$20),$G441:$W441)</f>
        <v>368</v>
      </c>
      <c r="CV441" s="93" cm="1">
        <f t="array" ref="CV441">SUMPRODUCT(TRANSPOSE(CV$4:CV$20),$G441:$W441)</f>
        <v>368</v>
      </c>
      <c r="CW441" s="93" cm="1">
        <f t="array" ref="CW441">SUMPRODUCT(TRANSPOSE(CW$4:CW$20),$G441:$W441)</f>
        <v>368</v>
      </c>
      <c r="CX441" s="93" cm="1">
        <f t="array" ref="CX441">SUMPRODUCT(TRANSPOSE(CX$4:CX$20),$G441:$W441)</f>
        <v>368</v>
      </c>
      <c r="CY441" s="93" cm="1">
        <f t="array" ref="CY441">SUMPRODUCT(TRANSPOSE(CY$4:CY$20),$G441:$W441)</f>
        <v>368</v>
      </c>
      <c r="CZ441" s="93" cm="1">
        <f t="array" ref="CZ441">SUMPRODUCT(TRANSPOSE(CZ$4:CZ$20),$G441:$W441)</f>
        <v>368</v>
      </c>
      <c r="DA441" s="93" cm="1">
        <f t="array" ref="DA441">SUMPRODUCT(TRANSPOSE(DA$4:DA$20),$G441:$W441)</f>
        <v>368</v>
      </c>
      <c r="DB441" s="93" cm="1">
        <f t="array" ref="DB441">SUMPRODUCT(TRANSPOSE(DB$4:DB$20),$G441:$W441)</f>
        <v>368</v>
      </c>
      <c r="DC441" s="93" cm="1">
        <f t="array" ref="DC441">SUMPRODUCT(TRANSPOSE(DC$4:DC$20),$G441:$W441)</f>
        <v>276</v>
      </c>
      <c r="DD441" s="93" cm="1">
        <f t="array" ref="DD441">SUMPRODUCT(TRANSPOSE(DD$4:DD$20),$G441:$W441)</f>
        <v>0</v>
      </c>
      <c r="DE441" s="93" cm="1">
        <f t="array" ref="DE441">SUMPRODUCT(TRANSPOSE(DE$4:DE$20),$G441:$W441)</f>
        <v>0</v>
      </c>
      <c r="DF441" s="93" cm="1">
        <f t="array" ref="DF441">SUMPRODUCT(TRANSPOSE(DF$4:DF$20),$G441:$W441)</f>
        <v>0</v>
      </c>
      <c r="DG441" s="93" cm="1">
        <f t="array" ref="DG441">SUMPRODUCT(TRANSPOSE(DG$4:DG$20),$G441:$W441)</f>
        <v>0</v>
      </c>
      <c r="DH441" s="93" cm="1">
        <f t="array" ref="DH441">SUMPRODUCT(TRANSPOSE(DH$4:DH$20),$G441:$W441)</f>
        <v>0</v>
      </c>
      <c r="DI441" s="93" cm="1">
        <f t="array" ref="DI441">SUMPRODUCT(TRANSPOSE(DI$4:DI$20),$G441:$W441)</f>
        <v>0</v>
      </c>
      <c r="DJ441" s="93" cm="1">
        <f t="array" ref="DJ441">SUMPRODUCT(TRANSPOSE(DJ$4:DJ$20),$G441:$W441)</f>
        <v>0</v>
      </c>
      <c r="DK441" s="93" cm="1">
        <f t="array" ref="DK441">SUMPRODUCT(TRANSPOSE(DK$4:DK$20),$G441:$W441)</f>
        <v>0</v>
      </c>
      <c r="DL441" s="93" cm="1">
        <f t="array" ref="DL441">SUMPRODUCT(TRANSPOSE(DL$4:DL$20),$G441:$W441)</f>
        <v>0</v>
      </c>
      <c r="DM441" s="93" cm="1">
        <f t="array" ref="DM441">SUMPRODUCT(TRANSPOSE(DM$4:DM$20),$G441:$W441)</f>
        <v>0</v>
      </c>
      <c r="DN441" s="93" cm="1">
        <f t="array" ref="DN441">SUMPRODUCT(TRANSPOSE(DN$4:DN$20),$G441:$W441)</f>
        <v>0</v>
      </c>
      <c r="DO441" s="93" cm="1">
        <f t="array" ref="DO441">SUMPRODUCT(TRANSPOSE(DO$4:DO$20),$G441:$W441)</f>
        <v>0</v>
      </c>
    </row>
    <row r="442" spans="1:119" x14ac:dyDescent="0.2">
      <c r="A442" s="45">
        <f t="shared" si="32"/>
        <v>421</v>
      </c>
      <c r="B442" s="64" t="s">
        <v>938</v>
      </c>
      <c r="C442" s="45" t="s">
        <v>939</v>
      </c>
      <c r="D442" s="45" t="s">
        <v>940</v>
      </c>
      <c r="E442" s="45" t="s">
        <v>162</v>
      </c>
      <c r="F442" s="48">
        <v>2</v>
      </c>
      <c r="G442" s="100">
        <v>0</v>
      </c>
      <c r="H442" s="100">
        <v>0</v>
      </c>
      <c r="I442" s="100">
        <v>0</v>
      </c>
      <c r="J442" s="100">
        <v>0</v>
      </c>
      <c r="K442" s="100">
        <v>0</v>
      </c>
      <c r="L442" s="100">
        <v>0</v>
      </c>
      <c r="M442" s="100">
        <v>0</v>
      </c>
      <c r="N442" s="100">
        <v>0</v>
      </c>
      <c r="O442" s="100">
        <v>0</v>
      </c>
      <c r="P442" s="100">
        <v>0</v>
      </c>
      <c r="Q442" s="100">
        <v>0</v>
      </c>
      <c r="R442" s="100">
        <v>0</v>
      </c>
      <c r="S442" s="100">
        <v>0</v>
      </c>
      <c r="T442" s="100">
        <v>0</v>
      </c>
      <c r="U442" s="100">
        <v>0</v>
      </c>
      <c r="V442" s="100">
        <v>0</v>
      </c>
      <c r="W442" s="100">
        <v>0</v>
      </c>
      <c r="X442" s="45" t="s">
        <v>77</v>
      </c>
      <c r="Y442" s="49">
        <v>0.27400000000000002</v>
      </c>
      <c r="Z442" s="45">
        <v>1000</v>
      </c>
      <c r="AA442" s="45">
        <v>0</v>
      </c>
      <c r="AB442" s="45">
        <v>0</v>
      </c>
      <c r="AC442" s="45">
        <v>0</v>
      </c>
      <c r="AD442" s="45">
        <v>0</v>
      </c>
      <c r="AE442" s="45">
        <v>0</v>
      </c>
      <c r="AF442" s="45">
        <v>0</v>
      </c>
      <c r="AG442" s="45">
        <v>0</v>
      </c>
      <c r="AH442" s="45">
        <v>0</v>
      </c>
      <c r="AI442" s="45">
        <v>0</v>
      </c>
      <c r="AJ442" s="45">
        <v>0</v>
      </c>
      <c r="AK442" s="45">
        <v>0</v>
      </c>
      <c r="AL442" s="45">
        <v>0</v>
      </c>
      <c r="AM442" s="45">
        <v>0</v>
      </c>
      <c r="AN442" s="45">
        <v>0</v>
      </c>
      <c r="AO442" s="45"/>
      <c r="AP442" s="45"/>
      <c r="AQ442" s="45"/>
      <c r="AR442" s="45"/>
      <c r="AS442" s="45"/>
      <c r="AT442" s="45"/>
      <c r="AU442" s="45"/>
      <c r="AV442" s="45"/>
      <c r="AW442" s="45"/>
      <c r="AX442" s="45"/>
      <c r="AY442" s="45"/>
      <c r="AZ442" s="45"/>
      <c r="BA442" s="45"/>
      <c r="BB442" s="45"/>
      <c r="BC442" s="45"/>
      <c r="BD442" s="93"/>
      <c r="BE442" s="93"/>
      <c r="BF442" s="93"/>
      <c r="BG442" s="93"/>
      <c r="BH442" s="93"/>
      <c r="BI442" s="93"/>
      <c r="BJ442" s="93"/>
      <c r="BK442" s="93">
        <f>SUM($Z442:AD442)-SUM($CM442:CQ442)</f>
        <v>1000</v>
      </c>
      <c r="BL442" s="93">
        <f>SUM($Z442:AE442)-SUM($CM442:CR442)</f>
        <v>1000</v>
      </c>
      <c r="BM442" s="93">
        <f>SUM($Z442:AF442)-SUM($CM442:CS442)</f>
        <v>1000</v>
      </c>
      <c r="BN442" s="93">
        <f>SUM($Z442:AG442)-SUM($CM442:CT442)</f>
        <v>1000</v>
      </c>
      <c r="BO442" s="93">
        <f>SUM($Z442:AH442)-SUM($CM442:CU442)</f>
        <v>1000</v>
      </c>
      <c r="BP442" s="93">
        <f>SUM($Z442:AI442)-SUM($CM442:CV442)</f>
        <v>1000</v>
      </c>
      <c r="BQ442" s="93">
        <f>SUM($Z442:AJ442)-SUM($CM442:CW442)</f>
        <v>1000</v>
      </c>
      <c r="BR442" s="93">
        <f>SUM($Z442:AK442)-SUM($CM442:CX442)</f>
        <v>1000</v>
      </c>
      <c r="BS442" s="93">
        <f>SUM($Z442:AL442)-SUM($CM442:CY442)</f>
        <v>1000</v>
      </c>
      <c r="BT442" s="93">
        <f>SUM($Z442:AM442)-SUM($CM442:CZ442)</f>
        <v>1000</v>
      </c>
      <c r="BU442" s="93">
        <f>SUM($Z442:AN442)-SUM($CM442:DA442)</f>
        <v>1000</v>
      </c>
      <c r="BV442" s="93">
        <f>SUM($Z442:AO442)-SUM($CM442:DB442)</f>
        <v>1000</v>
      </c>
      <c r="BW442" s="93">
        <f>SUM($Z442:AP442)-SUM($CM442:DC442)</f>
        <v>1000</v>
      </c>
      <c r="BX442" s="93">
        <f>SUM($Z442:AQ442)-SUM($CM442:DD442)</f>
        <v>1000</v>
      </c>
      <c r="BY442" s="93">
        <f>SUM($Z442:AR442)-SUM($CM442:DE442)</f>
        <v>1000</v>
      </c>
      <c r="BZ442" s="93">
        <f>SUM($Z442:AS442)-SUM($CM442:DF442)</f>
        <v>1000</v>
      </c>
      <c r="CA442" s="93">
        <f>SUM($Z442:AT442)-SUM($CM442:DG442)</f>
        <v>1000</v>
      </c>
      <c r="CB442" s="93">
        <f>SUM($Z442:AU442)-SUM($CM442:DH442)</f>
        <v>1000</v>
      </c>
      <c r="CC442" s="93">
        <f>SUM($Z442:AV442)-SUM($CM442:DI442)</f>
        <v>1000</v>
      </c>
      <c r="CD442" s="93">
        <f>SUM($Z442:AW442)-SUM($CM442:DJ442)</f>
        <v>1000</v>
      </c>
      <c r="CE442" s="93">
        <f>SUM($Z442:AX442)-SUM($CM442:DK442)</f>
        <v>1000</v>
      </c>
      <c r="CF442" s="93">
        <f>SUM($Z442:AY442)-SUM($CM442:DL442)</f>
        <v>1000</v>
      </c>
      <c r="CG442" s="93">
        <f>SUM($Z442:AZ442)-SUM($CM442:DM442)</f>
        <v>1000</v>
      </c>
      <c r="CH442" s="93">
        <f>SUM($Z442:BA442)-SUM($CM442:DN442)</f>
        <v>1000</v>
      </c>
      <c r="CI442" s="93">
        <f>SUM($Z442:BB442)-SUM($CM442:DO442)</f>
        <v>1000</v>
      </c>
      <c r="CJ442" s="93"/>
      <c r="CK442" s="93"/>
      <c r="CL442" s="93"/>
      <c r="CM442" s="93"/>
      <c r="CN442" s="93" cm="1">
        <f t="array" ref="CN442">SUMPRODUCT(TRANSPOSE(CN$4:CN$20),$G442:$W442)</f>
        <v>0</v>
      </c>
      <c r="CO442" s="93" cm="1">
        <f t="array" ref="CO442">SUMPRODUCT(TRANSPOSE(CO$4:CO$20),$G442:$W442)</f>
        <v>0</v>
      </c>
      <c r="CP442" s="93" cm="1">
        <f t="array" ref="CP442">SUMPRODUCT(TRANSPOSE(CP$4:CP$20),$G442:$W442)</f>
        <v>0</v>
      </c>
      <c r="CQ442" s="93" cm="1">
        <f t="array" ref="CQ442">SUMPRODUCT(TRANSPOSE(CQ$4:CQ$20),$G442:$W442)</f>
        <v>0</v>
      </c>
      <c r="CR442" s="93" cm="1">
        <f t="array" ref="CR442">SUMPRODUCT(TRANSPOSE(CR$4:CR$20),$G442:$W442)</f>
        <v>0</v>
      </c>
      <c r="CS442" s="93" cm="1">
        <f t="array" ref="CS442">SUMPRODUCT(TRANSPOSE(CS$4:CS$20),$G442:$W442)</f>
        <v>0</v>
      </c>
      <c r="CT442" s="93" cm="1">
        <f t="array" ref="CT442">SUMPRODUCT(TRANSPOSE(CT$4:CT$20),$G442:$W442)</f>
        <v>0</v>
      </c>
      <c r="CU442" s="93" cm="1">
        <f t="array" ref="CU442">SUMPRODUCT(TRANSPOSE(CU$4:CU$20),$G442:$W442)</f>
        <v>0</v>
      </c>
      <c r="CV442" s="93" cm="1">
        <f t="array" ref="CV442">SUMPRODUCT(TRANSPOSE(CV$4:CV$20),$G442:$W442)</f>
        <v>0</v>
      </c>
      <c r="CW442" s="93" cm="1">
        <f t="array" ref="CW442">SUMPRODUCT(TRANSPOSE(CW$4:CW$20),$G442:$W442)</f>
        <v>0</v>
      </c>
      <c r="CX442" s="93" cm="1">
        <f t="array" ref="CX442">SUMPRODUCT(TRANSPOSE(CX$4:CX$20),$G442:$W442)</f>
        <v>0</v>
      </c>
      <c r="CY442" s="93" cm="1">
        <f t="array" ref="CY442">SUMPRODUCT(TRANSPOSE(CY$4:CY$20),$G442:$W442)</f>
        <v>0</v>
      </c>
      <c r="CZ442" s="93" cm="1">
        <f t="array" ref="CZ442">SUMPRODUCT(TRANSPOSE(CZ$4:CZ$20),$G442:$W442)</f>
        <v>0</v>
      </c>
      <c r="DA442" s="93" cm="1">
        <f t="array" ref="DA442">SUMPRODUCT(TRANSPOSE(DA$4:DA$20),$G442:$W442)</f>
        <v>0</v>
      </c>
      <c r="DB442" s="93" cm="1">
        <f t="array" ref="DB442">SUMPRODUCT(TRANSPOSE(DB$4:DB$20),$G442:$W442)</f>
        <v>0</v>
      </c>
      <c r="DC442" s="93" cm="1">
        <f t="array" ref="DC442">SUMPRODUCT(TRANSPOSE(DC$4:DC$20),$G442:$W442)</f>
        <v>0</v>
      </c>
      <c r="DD442" s="93" cm="1">
        <f t="array" ref="DD442">SUMPRODUCT(TRANSPOSE(DD$4:DD$20),$G442:$W442)</f>
        <v>0</v>
      </c>
      <c r="DE442" s="93" cm="1">
        <f t="array" ref="DE442">SUMPRODUCT(TRANSPOSE(DE$4:DE$20),$G442:$W442)</f>
        <v>0</v>
      </c>
      <c r="DF442" s="93" cm="1">
        <f t="array" ref="DF442">SUMPRODUCT(TRANSPOSE(DF$4:DF$20),$G442:$W442)</f>
        <v>0</v>
      </c>
      <c r="DG442" s="93" cm="1">
        <f t="array" ref="DG442">SUMPRODUCT(TRANSPOSE(DG$4:DG$20),$G442:$W442)</f>
        <v>0</v>
      </c>
      <c r="DH442" s="93" cm="1">
        <f t="array" ref="DH442">SUMPRODUCT(TRANSPOSE(DH$4:DH$20),$G442:$W442)</f>
        <v>0</v>
      </c>
      <c r="DI442" s="93" cm="1">
        <f t="array" ref="DI442">SUMPRODUCT(TRANSPOSE(DI$4:DI$20),$G442:$W442)</f>
        <v>0</v>
      </c>
      <c r="DJ442" s="93" cm="1">
        <f t="array" ref="DJ442">SUMPRODUCT(TRANSPOSE(DJ$4:DJ$20),$G442:$W442)</f>
        <v>0</v>
      </c>
      <c r="DK442" s="93" cm="1">
        <f t="array" ref="DK442">SUMPRODUCT(TRANSPOSE(DK$4:DK$20),$G442:$W442)</f>
        <v>0</v>
      </c>
      <c r="DL442" s="93" cm="1">
        <f t="array" ref="DL442">SUMPRODUCT(TRANSPOSE(DL$4:DL$20),$G442:$W442)</f>
        <v>0</v>
      </c>
      <c r="DM442" s="93" cm="1">
        <f t="array" ref="DM442">SUMPRODUCT(TRANSPOSE(DM$4:DM$20),$G442:$W442)</f>
        <v>0</v>
      </c>
      <c r="DN442" s="93" cm="1">
        <f t="array" ref="DN442">SUMPRODUCT(TRANSPOSE(DN$4:DN$20),$G442:$W442)</f>
        <v>0</v>
      </c>
      <c r="DO442" s="93" cm="1">
        <f t="array" ref="DO442">SUMPRODUCT(TRANSPOSE(DO$4:DO$20),$G442:$W442)</f>
        <v>0</v>
      </c>
    </row>
    <row r="443" spans="1:119" x14ac:dyDescent="0.2">
      <c r="A443" s="45">
        <f t="shared" si="32"/>
        <v>422</v>
      </c>
      <c r="B443" s="64" t="s">
        <v>941</v>
      </c>
      <c r="C443" s="45" t="s">
        <v>942</v>
      </c>
      <c r="D443" s="45" t="s">
        <v>943</v>
      </c>
      <c r="E443" s="45" t="s">
        <v>162</v>
      </c>
      <c r="F443" s="48">
        <v>2</v>
      </c>
      <c r="G443" s="100">
        <v>0</v>
      </c>
      <c r="H443" s="100">
        <v>0</v>
      </c>
      <c r="I443" s="100">
        <v>4</v>
      </c>
      <c r="J443" s="100">
        <v>0</v>
      </c>
      <c r="K443" s="100">
        <v>4</v>
      </c>
      <c r="L443" s="100">
        <v>0</v>
      </c>
      <c r="M443" s="100">
        <v>0</v>
      </c>
      <c r="N443" s="100">
        <v>0</v>
      </c>
      <c r="O443" s="100">
        <v>0</v>
      </c>
      <c r="P443" s="100">
        <v>0</v>
      </c>
      <c r="Q443" s="100">
        <v>0</v>
      </c>
      <c r="R443" s="100">
        <v>0</v>
      </c>
      <c r="S443" s="100">
        <v>0</v>
      </c>
      <c r="T443" s="100">
        <v>0</v>
      </c>
      <c r="U443" s="100">
        <v>0</v>
      </c>
      <c r="V443" s="100">
        <v>0</v>
      </c>
      <c r="W443" s="100">
        <v>0</v>
      </c>
      <c r="X443" s="45" t="s">
        <v>71</v>
      </c>
      <c r="Y443" s="49">
        <v>0.75</v>
      </c>
      <c r="Z443" s="45">
        <v>1040</v>
      </c>
      <c r="AA443" s="45">
        <v>0</v>
      </c>
      <c r="AB443" s="45">
        <v>0</v>
      </c>
      <c r="AC443" s="45">
        <v>0</v>
      </c>
      <c r="AD443" s="45">
        <v>0</v>
      </c>
      <c r="AE443" s="45">
        <v>0</v>
      </c>
      <c r="AF443" s="45">
        <v>0</v>
      </c>
      <c r="AG443" s="45">
        <v>0</v>
      </c>
      <c r="AH443" s="45">
        <v>0</v>
      </c>
      <c r="AI443" s="45">
        <v>0</v>
      </c>
      <c r="AJ443" s="45">
        <v>0</v>
      </c>
      <c r="AK443" s="45">
        <v>0</v>
      </c>
      <c r="AL443" s="45">
        <v>0</v>
      </c>
      <c r="AM443" s="45">
        <v>0</v>
      </c>
      <c r="AN443" s="45">
        <v>0</v>
      </c>
      <c r="AO443" s="45"/>
      <c r="AP443" s="45"/>
      <c r="AQ443" s="45"/>
      <c r="AR443" s="45"/>
      <c r="AS443" s="45"/>
      <c r="AT443" s="45"/>
      <c r="AU443" s="45"/>
      <c r="AV443" s="45"/>
      <c r="AW443" s="45"/>
      <c r="AX443" s="45"/>
      <c r="AY443" s="45"/>
      <c r="AZ443" s="45"/>
      <c r="BA443" s="45"/>
      <c r="BB443" s="45"/>
      <c r="BC443" s="45"/>
      <c r="BD443" s="93"/>
      <c r="BE443" s="93"/>
      <c r="BF443" s="93"/>
      <c r="BG443" s="93"/>
      <c r="BH443" s="93"/>
      <c r="BI443" s="93"/>
      <c r="BJ443" s="93"/>
      <c r="BK443" s="93">
        <f>SUM($Z443:AD443)-SUM($CM443:CQ443)</f>
        <v>976</v>
      </c>
      <c r="BL443" s="93">
        <f>SUM($Z443:AE443)-SUM($CM443:CR443)</f>
        <v>912</v>
      </c>
      <c r="BM443" s="93">
        <f>SUM($Z443:AF443)-SUM($CM443:CS443)</f>
        <v>848</v>
      </c>
      <c r="BN443" s="93">
        <f>SUM($Z443:AG443)-SUM($CM443:CT443)</f>
        <v>784</v>
      </c>
      <c r="BO443" s="93">
        <f>SUM($Z443:AH443)-SUM($CM443:CU443)</f>
        <v>720</v>
      </c>
      <c r="BP443" s="93">
        <f>SUM($Z443:AI443)-SUM($CM443:CV443)</f>
        <v>656</v>
      </c>
      <c r="BQ443" s="93">
        <f>SUM($Z443:AJ443)-SUM($CM443:CW443)</f>
        <v>592</v>
      </c>
      <c r="BR443" s="93">
        <f>SUM($Z443:AK443)-SUM($CM443:CX443)</f>
        <v>528</v>
      </c>
      <c r="BS443" s="93">
        <f>SUM($Z443:AL443)-SUM($CM443:CY443)</f>
        <v>464</v>
      </c>
      <c r="BT443" s="93">
        <f>SUM($Z443:AM443)-SUM($CM443:CZ443)</f>
        <v>400</v>
      </c>
      <c r="BU443" s="93">
        <f>SUM($Z443:AN443)-SUM($CM443:DA443)</f>
        <v>336</v>
      </c>
      <c r="BV443" s="93">
        <f>SUM($Z443:AO443)-SUM($CM443:DB443)</f>
        <v>272</v>
      </c>
      <c r="BW443" s="93">
        <f>SUM($Z443:AP443)-SUM($CM443:DC443)</f>
        <v>224</v>
      </c>
      <c r="BX443" s="93">
        <f>SUM($Z443:AQ443)-SUM($CM443:DD443)</f>
        <v>224</v>
      </c>
      <c r="BY443" s="93">
        <f>SUM($Z443:AR443)-SUM($CM443:DE443)</f>
        <v>224</v>
      </c>
      <c r="BZ443" s="93">
        <f>SUM($Z443:AS443)-SUM($CM443:DF443)</f>
        <v>224</v>
      </c>
      <c r="CA443" s="93">
        <f>SUM($Z443:AT443)-SUM($CM443:DG443)</f>
        <v>224</v>
      </c>
      <c r="CB443" s="93">
        <f>SUM($Z443:AU443)-SUM($CM443:DH443)</f>
        <v>224</v>
      </c>
      <c r="CC443" s="93">
        <f>SUM($Z443:AV443)-SUM($CM443:DI443)</f>
        <v>224</v>
      </c>
      <c r="CD443" s="93">
        <f>SUM($Z443:AW443)-SUM($CM443:DJ443)</f>
        <v>224</v>
      </c>
      <c r="CE443" s="93">
        <f>SUM($Z443:AX443)-SUM($CM443:DK443)</f>
        <v>224</v>
      </c>
      <c r="CF443" s="93">
        <f>SUM($Z443:AY443)-SUM($CM443:DL443)</f>
        <v>224</v>
      </c>
      <c r="CG443" s="93">
        <f>SUM($Z443:AZ443)-SUM($CM443:DM443)</f>
        <v>224</v>
      </c>
      <c r="CH443" s="93">
        <f>SUM($Z443:BA443)-SUM($CM443:DN443)</f>
        <v>224</v>
      </c>
      <c r="CI443" s="93">
        <f>SUM($Z443:BB443)-SUM($CM443:DO443)</f>
        <v>224</v>
      </c>
      <c r="CJ443" s="93"/>
      <c r="CK443" s="93"/>
      <c r="CL443" s="93"/>
      <c r="CM443" s="93"/>
      <c r="CN443" s="93" cm="1">
        <f t="array" ref="CN443">SUMPRODUCT(TRANSPOSE(CN$4:CN$20),$G443:$W443)</f>
        <v>0</v>
      </c>
      <c r="CO443" s="93" cm="1">
        <f t="array" ref="CO443">SUMPRODUCT(TRANSPOSE(CO$4:CO$20),$G443:$W443)</f>
        <v>0</v>
      </c>
      <c r="CP443" s="93" cm="1">
        <f t="array" ref="CP443">SUMPRODUCT(TRANSPOSE(CP$4:CP$20),$G443:$W443)</f>
        <v>0</v>
      </c>
      <c r="CQ443" s="93" cm="1">
        <f t="array" ref="CQ443">SUMPRODUCT(TRANSPOSE(CQ$4:CQ$20),$G443:$W443)</f>
        <v>64</v>
      </c>
      <c r="CR443" s="93" cm="1">
        <f t="array" ref="CR443">SUMPRODUCT(TRANSPOSE(CR$4:CR$20),$G443:$W443)</f>
        <v>64</v>
      </c>
      <c r="CS443" s="93" cm="1">
        <f t="array" ref="CS443">SUMPRODUCT(TRANSPOSE(CS$4:CS$20),$G443:$W443)</f>
        <v>64</v>
      </c>
      <c r="CT443" s="93" cm="1">
        <f t="array" ref="CT443">SUMPRODUCT(TRANSPOSE(CT$4:CT$20),$G443:$W443)</f>
        <v>64</v>
      </c>
      <c r="CU443" s="93" cm="1">
        <f t="array" ref="CU443">SUMPRODUCT(TRANSPOSE(CU$4:CU$20),$G443:$W443)</f>
        <v>64</v>
      </c>
      <c r="CV443" s="93" cm="1">
        <f t="array" ref="CV443">SUMPRODUCT(TRANSPOSE(CV$4:CV$20),$G443:$W443)</f>
        <v>64</v>
      </c>
      <c r="CW443" s="93" cm="1">
        <f t="array" ref="CW443">SUMPRODUCT(TRANSPOSE(CW$4:CW$20),$G443:$W443)</f>
        <v>64</v>
      </c>
      <c r="CX443" s="93" cm="1">
        <f t="array" ref="CX443">SUMPRODUCT(TRANSPOSE(CX$4:CX$20),$G443:$W443)</f>
        <v>64</v>
      </c>
      <c r="CY443" s="93" cm="1">
        <f t="array" ref="CY443">SUMPRODUCT(TRANSPOSE(CY$4:CY$20),$G443:$W443)</f>
        <v>64</v>
      </c>
      <c r="CZ443" s="93" cm="1">
        <f t="array" ref="CZ443">SUMPRODUCT(TRANSPOSE(CZ$4:CZ$20),$G443:$W443)</f>
        <v>64</v>
      </c>
      <c r="DA443" s="93" cm="1">
        <f t="array" ref="DA443">SUMPRODUCT(TRANSPOSE(DA$4:DA$20),$G443:$W443)</f>
        <v>64</v>
      </c>
      <c r="DB443" s="93" cm="1">
        <f t="array" ref="DB443">SUMPRODUCT(TRANSPOSE(DB$4:DB$20),$G443:$W443)</f>
        <v>64</v>
      </c>
      <c r="DC443" s="93" cm="1">
        <f t="array" ref="DC443">SUMPRODUCT(TRANSPOSE(DC$4:DC$20),$G443:$W443)</f>
        <v>48</v>
      </c>
      <c r="DD443" s="93" cm="1">
        <f t="array" ref="DD443">SUMPRODUCT(TRANSPOSE(DD$4:DD$20),$G443:$W443)</f>
        <v>0</v>
      </c>
      <c r="DE443" s="93" cm="1">
        <f t="array" ref="DE443">SUMPRODUCT(TRANSPOSE(DE$4:DE$20),$G443:$W443)</f>
        <v>0</v>
      </c>
      <c r="DF443" s="93" cm="1">
        <f t="array" ref="DF443">SUMPRODUCT(TRANSPOSE(DF$4:DF$20),$G443:$W443)</f>
        <v>0</v>
      </c>
      <c r="DG443" s="93" cm="1">
        <f t="array" ref="DG443">SUMPRODUCT(TRANSPOSE(DG$4:DG$20),$G443:$W443)</f>
        <v>0</v>
      </c>
      <c r="DH443" s="93" cm="1">
        <f t="array" ref="DH443">SUMPRODUCT(TRANSPOSE(DH$4:DH$20),$G443:$W443)</f>
        <v>0</v>
      </c>
      <c r="DI443" s="93" cm="1">
        <f t="array" ref="DI443">SUMPRODUCT(TRANSPOSE(DI$4:DI$20),$G443:$W443)</f>
        <v>0</v>
      </c>
      <c r="DJ443" s="93" cm="1">
        <f t="array" ref="DJ443">SUMPRODUCT(TRANSPOSE(DJ$4:DJ$20),$G443:$W443)</f>
        <v>0</v>
      </c>
      <c r="DK443" s="93" cm="1">
        <f t="array" ref="DK443">SUMPRODUCT(TRANSPOSE(DK$4:DK$20),$G443:$W443)</f>
        <v>0</v>
      </c>
      <c r="DL443" s="93" cm="1">
        <f t="array" ref="DL443">SUMPRODUCT(TRANSPOSE(DL$4:DL$20),$G443:$W443)</f>
        <v>0</v>
      </c>
      <c r="DM443" s="93" cm="1">
        <f t="array" ref="DM443">SUMPRODUCT(TRANSPOSE(DM$4:DM$20),$G443:$W443)</f>
        <v>0</v>
      </c>
      <c r="DN443" s="93" cm="1">
        <f t="array" ref="DN443">SUMPRODUCT(TRANSPOSE(DN$4:DN$20),$G443:$W443)</f>
        <v>0</v>
      </c>
      <c r="DO443" s="93" cm="1">
        <f t="array" ref="DO443">SUMPRODUCT(TRANSPOSE(DO$4:DO$20),$G443:$W443)</f>
        <v>0</v>
      </c>
    </row>
    <row r="444" spans="1:119" x14ac:dyDescent="0.2">
      <c r="A444" s="45">
        <f t="shared" si="32"/>
        <v>423</v>
      </c>
      <c r="B444" s="73" t="s">
        <v>944</v>
      </c>
      <c r="C444" s="45">
        <v>510471071</v>
      </c>
      <c r="D444" s="45" t="s">
        <v>945</v>
      </c>
      <c r="E444" s="45" t="s">
        <v>162</v>
      </c>
      <c r="F444" s="48">
        <v>2</v>
      </c>
      <c r="G444" s="100">
        <v>0</v>
      </c>
      <c r="H444" s="100">
        <v>0</v>
      </c>
      <c r="I444" s="100">
        <v>0</v>
      </c>
      <c r="J444" s="100">
        <v>0</v>
      </c>
      <c r="K444" s="100">
        <v>0</v>
      </c>
      <c r="L444" s="100">
        <v>0</v>
      </c>
      <c r="M444" s="100">
        <v>0</v>
      </c>
      <c r="N444" s="100">
        <v>0</v>
      </c>
      <c r="O444" s="100">
        <v>0</v>
      </c>
      <c r="P444" s="100">
        <v>0</v>
      </c>
      <c r="Q444" s="100">
        <v>0</v>
      </c>
      <c r="R444" s="100">
        <v>0</v>
      </c>
      <c r="S444" s="100">
        <v>0</v>
      </c>
      <c r="T444" s="100">
        <v>0</v>
      </c>
      <c r="U444" s="100">
        <v>0</v>
      </c>
      <c r="V444" s="100">
        <v>0</v>
      </c>
      <c r="W444" s="100">
        <v>0</v>
      </c>
      <c r="X444" s="45" t="s">
        <v>946</v>
      </c>
      <c r="Y444" s="49">
        <v>0</v>
      </c>
      <c r="Z444" s="45">
        <v>0</v>
      </c>
      <c r="AA444" s="45">
        <v>0</v>
      </c>
      <c r="AB444" s="45">
        <v>0</v>
      </c>
      <c r="AC444" s="45">
        <v>0</v>
      </c>
      <c r="AD444" s="45">
        <v>0</v>
      </c>
      <c r="AE444" s="45">
        <v>0</v>
      </c>
      <c r="AF444" s="45">
        <v>0</v>
      </c>
      <c r="AG444" s="45">
        <v>0</v>
      </c>
      <c r="AH444" s="45">
        <v>0</v>
      </c>
      <c r="AI444" s="45">
        <v>0</v>
      </c>
      <c r="AJ444" s="45">
        <v>0</v>
      </c>
      <c r="AK444" s="45">
        <v>0</v>
      </c>
      <c r="AL444" s="45">
        <v>0</v>
      </c>
      <c r="AM444" s="45">
        <v>0</v>
      </c>
      <c r="AN444" s="45">
        <v>0</v>
      </c>
      <c r="AO444" s="45"/>
      <c r="AP444" s="45"/>
      <c r="AQ444" s="45"/>
      <c r="AR444" s="45"/>
      <c r="AS444" s="45"/>
      <c r="AT444" s="45"/>
      <c r="AU444" s="45"/>
      <c r="AV444" s="45"/>
      <c r="AW444" s="45"/>
      <c r="AX444" s="45"/>
      <c r="AY444" s="45"/>
      <c r="AZ444" s="45"/>
      <c r="BA444" s="45"/>
      <c r="BB444" s="45"/>
      <c r="BC444" s="45"/>
      <c r="BD444" s="93"/>
      <c r="BE444" s="93"/>
      <c r="BF444" s="93"/>
      <c r="BG444" s="93"/>
      <c r="BH444" s="93"/>
      <c r="BI444" s="93"/>
      <c r="BJ444" s="93"/>
      <c r="BK444" s="93">
        <f>SUM($Z444:AD444)-SUM($CM444:CQ444)</f>
        <v>0</v>
      </c>
      <c r="BL444" s="93">
        <f>SUM($Z444:AE444)-SUM($CM444:CR444)</f>
        <v>0</v>
      </c>
      <c r="BM444" s="93">
        <f>SUM($Z444:AF444)-SUM($CM444:CS444)</f>
        <v>0</v>
      </c>
      <c r="BN444" s="93">
        <f>SUM($Z444:AG444)-SUM($CM444:CT444)</f>
        <v>0</v>
      </c>
      <c r="BO444" s="93">
        <f>SUM($Z444:AH444)-SUM($CM444:CU444)</f>
        <v>0</v>
      </c>
      <c r="BP444" s="93">
        <f>SUM($Z444:AI444)-SUM($CM444:CV444)</f>
        <v>0</v>
      </c>
      <c r="BQ444" s="93">
        <f>SUM($Z444:AJ444)-SUM($CM444:CW444)</f>
        <v>0</v>
      </c>
      <c r="BR444" s="93">
        <f>SUM($Z444:AK444)-SUM($CM444:CX444)</f>
        <v>0</v>
      </c>
      <c r="BS444" s="93">
        <f>SUM($Z444:AL444)-SUM($CM444:CY444)</f>
        <v>0</v>
      </c>
      <c r="BT444" s="93">
        <f>SUM($Z444:AM444)-SUM($CM444:CZ444)</f>
        <v>0</v>
      </c>
      <c r="BU444" s="93">
        <f>SUM($Z444:AN444)-SUM($CM444:DA444)</f>
        <v>0</v>
      </c>
      <c r="BV444" s="93">
        <f>SUM($Z444:AO444)-SUM($CM444:DB444)</f>
        <v>0</v>
      </c>
      <c r="BW444" s="93">
        <f>SUM($Z444:AP444)-SUM($CM444:DC444)</f>
        <v>0</v>
      </c>
      <c r="BX444" s="93">
        <f>SUM($Z444:AQ444)-SUM($CM444:DD444)</f>
        <v>0</v>
      </c>
      <c r="BY444" s="93">
        <f>SUM($Z444:AR444)-SUM($CM444:DE444)</f>
        <v>0</v>
      </c>
      <c r="BZ444" s="93">
        <f>SUM($Z444:AS444)-SUM($CM444:DF444)</f>
        <v>0</v>
      </c>
      <c r="CA444" s="93">
        <f>SUM($Z444:AT444)-SUM($CM444:DG444)</f>
        <v>0</v>
      </c>
      <c r="CB444" s="93">
        <f>SUM($Z444:AU444)-SUM($CM444:DH444)</f>
        <v>0</v>
      </c>
      <c r="CC444" s="93">
        <f>SUM($Z444:AV444)-SUM($CM444:DI444)</f>
        <v>0</v>
      </c>
      <c r="CD444" s="93">
        <f>SUM($Z444:AW444)-SUM($CM444:DJ444)</f>
        <v>0</v>
      </c>
      <c r="CE444" s="93">
        <f>SUM($Z444:AX444)-SUM($CM444:DK444)</f>
        <v>0</v>
      </c>
      <c r="CF444" s="93">
        <f>SUM($Z444:AY444)-SUM($CM444:DL444)</f>
        <v>0</v>
      </c>
      <c r="CG444" s="93">
        <f>SUM($Z444:AZ444)-SUM($CM444:DM444)</f>
        <v>0</v>
      </c>
      <c r="CH444" s="93">
        <f>SUM($Z444:BA444)-SUM($CM444:DN444)</f>
        <v>0</v>
      </c>
      <c r="CI444" s="93">
        <f>SUM($Z444:BB444)-SUM($CM444:DO444)</f>
        <v>0</v>
      </c>
      <c r="CJ444" s="93"/>
      <c r="CK444" s="93"/>
      <c r="CL444" s="93"/>
      <c r="CM444" s="93"/>
      <c r="CN444" s="93" cm="1">
        <f t="array" ref="CN444">SUMPRODUCT(TRANSPOSE(CN$4:CN$20),$G444:$W444)</f>
        <v>0</v>
      </c>
      <c r="CO444" s="93" cm="1">
        <f t="array" ref="CO444">SUMPRODUCT(TRANSPOSE(CO$4:CO$20),$G444:$W444)</f>
        <v>0</v>
      </c>
      <c r="CP444" s="93" cm="1">
        <f t="array" ref="CP444">SUMPRODUCT(TRANSPOSE(CP$4:CP$20),$G444:$W444)</f>
        <v>0</v>
      </c>
      <c r="CQ444" s="93" cm="1">
        <f t="array" ref="CQ444">SUMPRODUCT(TRANSPOSE(CQ$4:CQ$20),$G444:$W444)</f>
        <v>0</v>
      </c>
      <c r="CR444" s="93" cm="1">
        <f t="array" ref="CR444">SUMPRODUCT(TRANSPOSE(CR$4:CR$20),$G444:$W444)</f>
        <v>0</v>
      </c>
      <c r="CS444" s="93" cm="1">
        <f t="array" ref="CS444">SUMPRODUCT(TRANSPOSE(CS$4:CS$20),$G444:$W444)</f>
        <v>0</v>
      </c>
      <c r="CT444" s="93" cm="1">
        <f t="array" ref="CT444">SUMPRODUCT(TRANSPOSE(CT$4:CT$20),$G444:$W444)</f>
        <v>0</v>
      </c>
      <c r="CU444" s="93" cm="1">
        <f t="array" ref="CU444">SUMPRODUCT(TRANSPOSE(CU$4:CU$20),$G444:$W444)</f>
        <v>0</v>
      </c>
      <c r="CV444" s="93" cm="1">
        <f t="array" ref="CV444">SUMPRODUCT(TRANSPOSE(CV$4:CV$20),$G444:$W444)</f>
        <v>0</v>
      </c>
      <c r="CW444" s="93" cm="1">
        <f t="array" ref="CW444">SUMPRODUCT(TRANSPOSE(CW$4:CW$20),$G444:$W444)</f>
        <v>0</v>
      </c>
      <c r="CX444" s="93" cm="1">
        <f t="array" ref="CX444">SUMPRODUCT(TRANSPOSE(CX$4:CX$20),$G444:$W444)</f>
        <v>0</v>
      </c>
      <c r="CY444" s="93" cm="1">
        <f t="array" ref="CY444">SUMPRODUCT(TRANSPOSE(CY$4:CY$20),$G444:$W444)</f>
        <v>0</v>
      </c>
      <c r="CZ444" s="93" cm="1">
        <f t="array" ref="CZ444">SUMPRODUCT(TRANSPOSE(CZ$4:CZ$20),$G444:$W444)</f>
        <v>0</v>
      </c>
      <c r="DA444" s="93" cm="1">
        <f t="array" ref="DA444">SUMPRODUCT(TRANSPOSE(DA$4:DA$20),$G444:$W444)</f>
        <v>0</v>
      </c>
      <c r="DB444" s="93" cm="1">
        <f t="array" ref="DB444">SUMPRODUCT(TRANSPOSE(DB$4:DB$20),$G444:$W444)</f>
        <v>0</v>
      </c>
      <c r="DC444" s="93" cm="1">
        <f t="array" ref="DC444">SUMPRODUCT(TRANSPOSE(DC$4:DC$20),$G444:$W444)</f>
        <v>0</v>
      </c>
      <c r="DD444" s="93" cm="1">
        <f t="array" ref="DD444">SUMPRODUCT(TRANSPOSE(DD$4:DD$20),$G444:$W444)</f>
        <v>0</v>
      </c>
      <c r="DE444" s="93" cm="1">
        <f t="array" ref="DE444">SUMPRODUCT(TRANSPOSE(DE$4:DE$20),$G444:$W444)</f>
        <v>0</v>
      </c>
      <c r="DF444" s="93" cm="1">
        <f t="array" ref="DF444">SUMPRODUCT(TRANSPOSE(DF$4:DF$20),$G444:$W444)</f>
        <v>0</v>
      </c>
      <c r="DG444" s="93" cm="1">
        <f t="array" ref="DG444">SUMPRODUCT(TRANSPOSE(DG$4:DG$20),$G444:$W444)</f>
        <v>0</v>
      </c>
      <c r="DH444" s="93" cm="1">
        <f t="array" ref="DH444">SUMPRODUCT(TRANSPOSE(DH$4:DH$20),$G444:$W444)</f>
        <v>0</v>
      </c>
      <c r="DI444" s="93" cm="1">
        <f t="array" ref="DI444">SUMPRODUCT(TRANSPOSE(DI$4:DI$20),$G444:$W444)</f>
        <v>0</v>
      </c>
      <c r="DJ444" s="93" cm="1">
        <f t="array" ref="DJ444">SUMPRODUCT(TRANSPOSE(DJ$4:DJ$20),$G444:$W444)</f>
        <v>0</v>
      </c>
      <c r="DK444" s="93" cm="1">
        <f t="array" ref="DK444">SUMPRODUCT(TRANSPOSE(DK$4:DK$20),$G444:$W444)</f>
        <v>0</v>
      </c>
      <c r="DL444" s="93" cm="1">
        <f t="array" ref="DL444">SUMPRODUCT(TRANSPOSE(DL$4:DL$20),$G444:$W444)</f>
        <v>0</v>
      </c>
      <c r="DM444" s="93" cm="1">
        <f t="array" ref="DM444">SUMPRODUCT(TRANSPOSE(DM$4:DM$20),$G444:$W444)</f>
        <v>0</v>
      </c>
      <c r="DN444" s="93" cm="1">
        <f t="array" ref="DN444">SUMPRODUCT(TRANSPOSE(DN$4:DN$20),$G444:$W444)</f>
        <v>0</v>
      </c>
      <c r="DO444" s="93" cm="1">
        <f t="array" ref="DO444">SUMPRODUCT(TRANSPOSE(DO$4:DO$20),$G444:$W444)</f>
        <v>0</v>
      </c>
    </row>
    <row r="445" spans="1:119" x14ac:dyDescent="0.2">
      <c r="A445" s="74">
        <f t="shared" si="32"/>
        <v>424</v>
      </c>
      <c r="B445" s="73" t="s">
        <v>947</v>
      </c>
      <c r="C445" s="45">
        <v>510470941</v>
      </c>
      <c r="D445" s="45" t="s">
        <v>945</v>
      </c>
      <c r="E445" s="45" t="s">
        <v>162</v>
      </c>
      <c r="F445" s="48">
        <v>2</v>
      </c>
      <c r="G445" s="100">
        <v>0</v>
      </c>
      <c r="H445" s="100">
        <v>0</v>
      </c>
      <c r="I445" s="100">
        <v>0</v>
      </c>
      <c r="J445" s="100">
        <v>0</v>
      </c>
      <c r="K445" s="100">
        <v>0</v>
      </c>
      <c r="L445" s="100">
        <v>0</v>
      </c>
      <c r="M445" s="100">
        <v>0</v>
      </c>
      <c r="N445" s="100">
        <v>0</v>
      </c>
      <c r="O445" s="100">
        <v>0</v>
      </c>
      <c r="P445" s="100">
        <v>0</v>
      </c>
      <c r="Q445" s="100">
        <v>0</v>
      </c>
      <c r="R445" s="100">
        <v>0</v>
      </c>
      <c r="S445" s="100">
        <v>0</v>
      </c>
      <c r="T445" s="100">
        <v>0</v>
      </c>
      <c r="U445" s="100">
        <v>0</v>
      </c>
      <c r="V445" s="100">
        <v>0</v>
      </c>
      <c r="W445" s="100">
        <v>64</v>
      </c>
      <c r="X445" s="76" t="s">
        <v>24</v>
      </c>
      <c r="Y445" s="49">
        <v>0.17499999999999999</v>
      </c>
      <c r="Z445" s="45">
        <v>14784</v>
      </c>
      <c r="AA445" s="45">
        <v>0</v>
      </c>
      <c r="AB445" s="45">
        <v>0</v>
      </c>
      <c r="AC445" s="45">
        <v>0</v>
      </c>
      <c r="AD445" s="45">
        <v>0</v>
      </c>
      <c r="AE445" s="45">
        <v>0</v>
      </c>
      <c r="AF445" s="45">
        <v>0</v>
      </c>
      <c r="AG445" s="45">
        <v>0</v>
      </c>
      <c r="AH445" s="45">
        <v>0</v>
      </c>
      <c r="AI445" s="45">
        <v>0</v>
      </c>
      <c r="AJ445" s="45">
        <v>0</v>
      </c>
      <c r="AK445" s="45">
        <v>0</v>
      </c>
      <c r="AL445" s="45">
        <v>0</v>
      </c>
      <c r="AM445" s="45">
        <v>0</v>
      </c>
      <c r="AN445" s="45">
        <v>0</v>
      </c>
      <c r="AO445" s="45"/>
      <c r="AP445" s="45"/>
      <c r="AQ445" s="45"/>
      <c r="AR445" s="45"/>
      <c r="AS445" s="45"/>
      <c r="AT445" s="45"/>
      <c r="AU445" s="45"/>
      <c r="AV445" s="45"/>
      <c r="AW445" s="45"/>
      <c r="AX445" s="45"/>
      <c r="AY445" s="45"/>
      <c r="AZ445" s="45"/>
      <c r="BA445" s="45"/>
      <c r="BB445" s="45"/>
      <c r="BC445" s="45"/>
      <c r="BD445" s="93"/>
      <c r="BE445" s="93"/>
      <c r="BF445" s="93"/>
      <c r="BG445" s="93"/>
      <c r="BH445" s="93"/>
      <c r="BI445" s="93"/>
      <c r="BJ445" s="93"/>
      <c r="BK445" s="93">
        <f>SUM($Z445:AD445)-SUM($CM445:CQ445)</f>
        <v>13760</v>
      </c>
      <c r="BL445" s="93">
        <f>SUM($Z445:AE445)-SUM($CM445:CR445)</f>
        <v>12736</v>
      </c>
      <c r="BM445" s="93">
        <f>SUM($Z445:AF445)-SUM($CM445:CS445)</f>
        <v>11712</v>
      </c>
      <c r="BN445" s="93">
        <f>SUM($Z445:AG445)-SUM($CM445:CT445)</f>
        <v>10688</v>
      </c>
      <c r="BO445" s="93">
        <f>SUM($Z445:AH445)-SUM($CM445:CU445)</f>
        <v>9664</v>
      </c>
      <c r="BP445" s="93">
        <f>SUM($Z445:AI445)-SUM($CM445:CV445)</f>
        <v>8640</v>
      </c>
      <c r="BQ445" s="93">
        <f>SUM($Z445:AJ445)-SUM($CM445:CW445)</f>
        <v>7616</v>
      </c>
      <c r="BR445" s="93">
        <f>SUM($Z445:AK445)-SUM($CM445:CX445)</f>
        <v>6592</v>
      </c>
      <c r="BS445" s="93">
        <f>SUM($Z445:AL445)-SUM($CM445:CY445)</f>
        <v>6592</v>
      </c>
      <c r="BT445" s="93">
        <f>SUM($Z445:AM445)-SUM($CM445:CZ445)</f>
        <v>6592</v>
      </c>
      <c r="BU445" s="93">
        <f>SUM($Z445:AN445)-SUM($CM445:DA445)</f>
        <v>6592</v>
      </c>
      <c r="BV445" s="93">
        <f>SUM($Z445:AO445)-SUM($CM445:DB445)</f>
        <v>6592</v>
      </c>
      <c r="BW445" s="93">
        <f>SUM($Z445:AP445)-SUM($CM445:DC445)</f>
        <v>6592</v>
      </c>
      <c r="BX445" s="93">
        <f>SUM($Z445:AQ445)-SUM($CM445:DD445)</f>
        <v>6592</v>
      </c>
      <c r="BY445" s="93">
        <f>SUM($Z445:AR445)-SUM($CM445:DE445)</f>
        <v>6592</v>
      </c>
      <c r="BZ445" s="93">
        <f>SUM($Z445:AS445)-SUM($CM445:DF445)</f>
        <v>6592</v>
      </c>
      <c r="CA445" s="93">
        <f>SUM($Z445:AT445)-SUM($CM445:DG445)</f>
        <v>6592</v>
      </c>
      <c r="CB445" s="93">
        <f>SUM($Z445:AU445)-SUM($CM445:DH445)</f>
        <v>6592</v>
      </c>
      <c r="CC445" s="93">
        <f>SUM($Z445:AV445)-SUM($CM445:DI445)</f>
        <v>6592</v>
      </c>
      <c r="CD445" s="93">
        <f>SUM($Z445:AW445)-SUM($CM445:DJ445)</f>
        <v>6592</v>
      </c>
      <c r="CE445" s="93">
        <f>SUM($Z445:AX445)-SUM($CM445:DK445)</f>
        <v>6592</v>
      </c>
      <c r="CF445" s="93">
        <f>SUM($Z445:AY445)-SUM($CM445:DL445)</f>
        <v>6592</v>
      </c>
      <c r="CG445" s="93">
        <f>SUM($Z445:AZ445)-SUM($CM445:DM445)</f>
        <v>6592</v>
      </c>
      <c r="CH445" s="93">
        <f>SUM($Z445:BA445)-SUM($CM445:DN445)</f>
        <v>6592</v>
      </c>
      <c r="CI445" s="93">
        <f>SUM($Z445:BB445)-SUM($CM445:DO445)</f>
        <v>6592</v>
      </c>
      <c r="CJ445" s="93"/>
      <c r="CK445" s="93"/>
      <c r="CL445" s="93"/>
      <c r="CM445" s="93"/>
      <c r="CN445" s="93" cm="1">
        <f t="array" ref="CN445">SUMPRODUCT(TRANSPOSE(CN$4:CN$20),$G445:$W445)</f>
        <v>0</v>
      </c>
      <c r="CO445" s="93" cm="1">
        <f t="array" ref="CO445">SUMPRODUCT(TRANSPOSE(CO$4:CO$20),$G445:$W445)</f>
        <v>0</v>
      </c>
      <c r="CP445" s="93" cm="1">
        <f t="array" ref="CP445">SUMPRODUCT(TRANSPOSE(CP$4:CP$20),$G445:$W445)</f>
        <v>0</v>
      </c>
      <c r="CQ445" s="93" cm="1">
        <f t="array" ref="CQ445">SUMPRODUCT(TRANSPOSE(CQ$4:CQ$20),$G445:$W445)</f>
        <v>1024</v>
      </c>
      <c r="CR445" s="93" cm="1">
        <f t="array" ref="CR445">SUMPRODUCT(TRANSPOSE(CR$4:CR$20),$G445:$W445)</f>
        <v>1024</v>
      </c>
      <c r="CS445" s="93" cm="1">
        <f t="array" ref="CS445">SUMPRODUCT(TRANSPOSE(CS$4:CS$20),$G445:$W445)</f>
        <v>1024</v>
      </c>
      <c r="CT445" s="93" cm="1">
        <f t="array" ref="CT445">SUMPRODUCT(TRANSPOSE(CT$4:CT$20),$G445:$W445)</f>
        <v>1024</v>
      </c>
      <c r="CU445" s="93" cm="1">
        <f t="array" ref="CU445">SUMPRODUCT(TRANSPOSE(CU$4:CU$20),$G445:$W445)</f>
        <v>1024</v>
      </c>
      <c r="CV445" s="93" cm="1">
        <f t="array" ref="CV445">SUMPRODUCT(TRANSPOSE(CV$4:CV$20),$G445:$W445)</f>
        <v>1024</v>
      </c>
      <c r="CW445" s="93" cm="1">
        <f t="array" ref="CW445">SUMPRODUCT(TRANSPOSE(CW$4:CW$20),$G445:$W445)</f>
        <v>1024</v>
      </c>
      <c r="CX445" s="93" cm="1">
        <f t="array" ref="CX445">SUMPRODUCT(TRANSPOSE(CX$4:CX$20),$G445:$W445)</f>
        <v>1024</v>
      </c>
      <c r="CY445" s="93" cm="1">
        <f t="array" ref="CY445">SUMPRODUCT(TRANSPOSE(CY$4:CY$20),$G445:$W445)</f>
        <v>0</v>
      </c>
      <c r="CZ445" s="93" cm="1">
        <f t="array" ref="CZ445">SUMPRODUCT(TRANSPOSE(CZ$4:CZ$20),$G445:$W445)</f>
        <v>0</v>
      </c>
      <c r="DA445" s="93" cm="1">
        <f t="array" ref="DA445">SUMPRODUCT(TRANSPOSE(DA$4:DA$20),$G445:$W445)</f>
        <v>0</v>
      </c>
      <c r="DB445" s="93" cm="1">
        <f t="array" ref="DB445">SUMPRODUCT(TRANSPOSE(DB$4:DB$20),$G445:$W445)</f>
        <v>0</v>
      </c>
      <c r="DC445" s="93" cm="1">
        <f t="array" ref="DC445">SUMPRODUCT(TRANSPOSE(DC$4:DC$20),$G445:$W445)</f>
        <v>0</v>
      </c>
      <c r="DD445" s="93" cm="1">
        <f t="array" ref="DD445">SUMPRODUCT(TRANSPOSE(DD$4:DD$20),$G445:$W445)</f>
        <v>0</v>
      </c>
      <c r="DE445" s="93" cm="1">
        <f t="array" ref="DE445">SUMPRODUCT(TRANSPOSE(DE$4:DE$20),$G445:$W445)</f>
        <v>0</v>
      </c>
      <c r="DF445" s="93" cm="1">
        <f t="array" ref="DF445">SUMPRODUCT(TRANSPOSE(DF$4:DF$20),$G445:$W445)</f>
        <v>0</v>
      </c>
      <c r="DG445" s="93" cm="1">
        <f t="array" ref="DG445">SUMPRODUCT(TRANSPOSE(DG$4:DG$20),$G445:$W445)</f>
        <v>0</v>
      </c>
      <c r="DH445" s="93" cm="1">
        <f t="array" ref="DH445">SUMPRODUCT(TRANSPOSE(DH$4:DH$20),$G445:$W445)</f>
        <v>0</v>
      </c>
      <c r="DI445" s="93" cm="1">
        <f t="array" ref="DI445">SUMPRODUCT(TRANSPOSE(DI$4:DI$20),$G445:$W445)</f>
        <v>0</v>
      </c>
      <c r="DJ445" s="93" cm="1">
        <f t="array" ref="DJ445">SUMPRODUCT(TRANSPOSE(DJ$4:DJ$20),$G445:$W445)</f>
        <v>0</v>
      </c>
      <c r="DK445" s="93" cm="1">
        <f t="array" ref="DK445">SUMPRODUCT(TRANSPOSE(DK$4:DK$20),$G445:$W445)</f>
        <v>0</v>
      </c>
      <c r="DL445" s="93" cm="1">
        <f t="array" ref="DL445">SUMPRODUCT(TRANSPOSE(DL$4:DL$20),$G445:$W445)</f>
        <v>0</v>
      </c>
      <c r="DM445" s="93" cm="1">
        <f t="array" ref="DM445">SUMPRODUCT(TRANSPOSE(DM$4:DM$20),$G445:$W445)</f>
        <v>0</v>
      </c>
      <c r="DN445" s="93" cm="1">
        <f t="array" ref="DN445">SUMPRODUCT(TRANSPOSE(DN$4:DN$20),$G445:$W445)</f>
        <v>0</v>
      </c>
      <c r="DO445" s="93" cm="1">
        <f t="array" ref="DO445">SUMPRODUCT(TRANSPOSE(DO$4:DO$20),$G445:$W445)</f>
        <v>0</v>
      </c>
    </row>
    <row r="446" spans="1:119" x14ac:dyDescent="0.2">
      <c r="A446" s="45">
        <f t="shared" si="32"/>
        <v>425</v>
      </c>
      <c r="B446" s="64" t="s">
        <v>948</v>
      </c>
      <c r="C446" s="68">
        <v>514301928</v>
      </c>
      <c r="D446" s="45" t="s">
        <v>949</v>
      </c>
      <c r="E446" s="45" t="s">
        <v>162</v>
      </c>
      <c r="F446" s="48">
        <v>2</v>
      </c>
      <c r="G446" s="100">
        <v>0</v>
      </c>
      <c r="H446" s="100">
        <v>0</v>
      </c>
      <c r="I446" s="100">
        <v>0</v>
      </c>
      <c r="J446" s="100">
        <v>0</v>
      </c>
      <c r="K446" s="100">
        <v>0</v>
      </c>
      <c r="L446" s="100">
        <v>0</v>
      </c>
      <c r="M446" s="100">
        <v>0</v>
      </c>
      <c r="N446" s="100">
        <v>0</v>
      </c>
      <c r="O446" s="100">
        <v>0</v>
      </c>
      <c r="P446" s="100">
        <v>0</v>
      </c>
      <c r="Q446" s="100">
        <v>0</v>
      </c>
      <c r="R446" s="100">
        <v>0</v>
      </c>
      <c r="S446" s="100">
        <v>0</v>
      </c>
      <c r="T446" s="100">
        <v>0</v>
      </c>
      <c r="U446" s="100">
        <v>0</v>
      </c>
      <c r="V446" s="100">
        <v>0</v>
      </c>
      <c r="W446" s="100">
        <v>0</v>
      </c>
      <c r="X446" s="45" t="s">
        <v>24</v>
      </c>
      <c r="Y446" s="49">
        <v>2.5000000000000001E-2</v>
      </c>
      <c r="Z446" s="45">
        <v>516</v>
      </c>
      <c r="AA446" s="45">
        <v>0</v>
      </c>
      <c r="AB446" s="45">
        <v>0</v>
      </c>
      <c r="AC446" s="45">
        <v>0</v>
      </c>
      <c r="AD446" s="45">
        <v>0</v>
      </c>
      <c r="AE446" s="45">
        <v>0</v>
      </c>
      <c r="AF446" s="45">
        <v>0</v>
      </c>
      <c r="AG446" s="45">
        <v>0</v>
      </c>
      <c r="AH446" s="45">
        <v>0</v>
      </c>
      <c r="AI446" s="45">
        <v>0</v>
      </c>
      <c r="AJ446" s="45">
        <v>0</v>
      </c>
      <c r="AK446" s="45">
        <v>0</v>
      </c>
      <c r="AL446" s="45">
        <v>0</v>
      </c>
      <c r="AM446" s="45">
        <v>0</v>
      </c>
      <c r="AN446" s="45">
        <v>0</v>
      </c>
      <c r="AO446" s="45"/>
      <c r="AP446" s="45"/>
      <c r="AQ446" s="45"/>
      <c r="AR446" s="45"/>
      <c r="AS446" s="45"/>
      <c r="AT446" s="45"/>
      <c r="AU446" s="45"/>
      <c r="AV446" s="45"/>
      <c r="AW446" s="45"/>
      <c r="AX446" s="45"/>
      <c r="AY446" s="45"/>
      <c r="AZ446" s="45"/>
      <c r="BA446" s="45"/>
      <c r="BB446" s="45"/>
      <c r="BC446" s="45"/>
      <c r="BD446" s="93"/>
      <c r="BE446" s="93"/>
      <c r="BF446" s="93"/>
      <c r="BG446" s="93"/>
      <c r="BH446" s="93"/>
      <c r="BI446" s="93"/>
      <c r="BJ446" s="93"/>
      <c r="BK446" s="93">
        <f>SUM($Z446:AD446)-SUM($CM446:CQ446)</f>
        <v>516</v>
      </c>
      <c r="BL446" s="93">
        <f>SUM($Z446:AE446)-SUM($CM446:CR446)</f>
        <v>516</v>
      </c>
      <c r="BM446" s="93">
        <f>SUM($Z446:AF446)-SUM($CM446:CS446)</f>
        <v>516</v>
      </c>
      <c r="BN446" s="93">
        <f>SUM($Z446:AG446)-SUM($CM446:CT446)</f>
        <v>516</v>
      </c>
      <c r="BO446" s="93">
        <f>SUM($Z446:AH446)-SUM($CM446:CU446)</f>
        <v>516</v>
      </c>
      <c r="BP446" s="93">
        <f>SUM($Z446:AI446)-SUM($CM446:CV446)</f>
        <v>516</v>
      </c>
      <c r="BQ446" s="93">
        <f>SUM($Z446:AJ446)-SUM($CM446:CW446)</f>
        <v>516</v>
      </c>
      <c r="BR446" s="93">
        <f>SUM($Z446:AK446)-SUM($CM446:CX446)</f>
        <v>516</v>
      </c>
      <c r="BS446" s="93">
        <f>SUM($Z446:AL446)-SUM($CM446:CY446)</f>
        <v>516</v>
      </c>
      <c r="BT446" s="93">
        <f>SUM($Z446:AM446)-SUM($CM446:CZ446)</f>
        <v>516</v>
      </c>
      <c r="BU446" s="93">
        <f>SUM($Z446:AN446)-SUM($CM446:DA446)</f>
        <v>516</v>
      </c>
      <c r="BV446" s="93">
        <f>SUM($Z446:AO446)-SUM($CM446:DB446)</f>
        <v>516</v>
      </c>
      <c r="BW446" s="93">
        <f>SUM($Z446:AP446)-SUM($CM446:DC446)</f>
        <v>516</v>
      </c>
      <c r="BX446" s="93">
        <f>SUM($Z446:AQ446)-SUM($CM446:DD446)</f>
        <v>516</v>
      </c>
      <c r="BY446" s="93">
        <f>SUM($Z446:AR446)-SUM($CM446:DE446)</f>
        <v>516</v>
      </c>
      <c r="BZ446" s="93">
        <f>SUM($Z446:AS446)-SUM($CM446:DF446)</f>
        <v>516</v>
      </c>
      <c r="CA446" s="93">
        <f>SUM($Z446:AT446)-SUM($CM446:DG446)</f>
        <v>516</v>
      </c>
      <c r="CB446" s="93">
        <f>SUM($Z446:AU446)-SUM($CM446:DH446)</f>
        <v>516</v>
      </c>
      <c r="CC446" s="93">
        <f>SUM($Z446:AV446)-SUM($CM446:DI446)</f>
        <v>516</v>
      </c>
      <c r="CD446" s="93">
        <f>SUM($Z446:AW446)-SUM($CM446:DJ446)</f>
        <v>516</v>
      </c>
      <c r="CE446" s="93">
        <f>SUM($Z446:AX446)-SUM($CM446:DK446)</f>
        <v>516</v>
      </c>
      <c r="CF446" s="93">
        <f>SUM($Z446:AY446)-SUM($CM446:DL446)</f>
        <v>516</v>
      </c>
      <c r="CG446" s="93">
        <f>SUM($Z446:AZ446)-SUM($CM446:DM446)</f>
        <v>516</v>
      </c>
      <c r="CH446" s="93">
        <f>SUM($Z446:BA446)-SUM($CM446:DN446)</f>
        <v>516</v>
      </c>
      <c r="CI446" s="93">
        <f>SUM($Z446:BB446)-SUM($CM446:DO446)</f>
        <v>516</v>
      </c>
      <c r="CJ446" s="93"/>
      <c r="CK446" s="93"/>
      <c r="CL446" s="93"/>
      <c r="CM446" s="93"/>
      <c r="CN446" s="93" cm="1">
        <f t="array" ref="CN446">SUMPRODUCT(TRANSPOSE(CN$4:CN$20),$G446:$W446)</f>
        <v>0</v>
      </c>
      <c r="CO446" s="93" cm="1">
        <f t="array" ref="CO446">SUMPRODUCT(TRANSPOSE(CO$4:CO$20),$G446:$W446)</f>
        <v>0</v>
      </c>
      <c r="CP446" s="93" cm="1">
        <f t="array" ref="CP446">SUMPRODUCT(TRANSPOSE(CP$4:CP$20),$G446:$W446)</f>
        <v>0</v>
      </c>
      <c r="CQ446" s="93" cm="1">
        <f t="array" ref="CQ446">SUMPRODUCT(TRANSPOSE(CQ$4:CQ$20),$G446:$W446)</f>
        <v>0</v>
      </c>
      <c r="CR446" s="93" cm="1">
        <f t="array" ref="CR446">SUMPRODUCT(TRANSPOSE(CR$4:CR$20),$G446:$W446)</f>
        <v>0</v>
      </c>
      <c r="CS446" s="93" cm="1">
        <f t="array" ref="CS446">SUMPRODUCT(TRANSPOSE(CS$4:CS$20),$G446:$W446)</f>
        <v>0</v>
      </c>
      <c r="CT446" s="93" cm="1">
        <f t="array" ref="CT446">SUMPRODUCT(TRANSPOSE(CT$4:CT$20),$G446:$W446)</f>
        <v>0</v>
      </c>
      <c r="CU446" s="93" cm="1">
        <f t="array" ref="CU446">SUMPRODUCT(TRANSPOSE(CU$4:CU$20),$G446:$W446)</f>
        <v>0</v>
      </c>
      <c r="CV446" s="93" cm="1">
        <f t="array" ref="CV446">SUMPRODUCT(TRANSPOSE(CV$4:CV$20),$G446:$W446)</f>
        <v>0</v>
      </c>
      <c r="CW446" s="93" cm="1">
        <f t="array" ref="CW446">SUMPRODUCT(TRANSPOSE(CW$4:CW$20),$G446:$W446)</f>
        <v>0</v>
      </c>
      <c r="CX446" s="93" cm="1">
        <f t="array" ref="CX446">SUMPRODUCT(TRANSPOSE(CX$4:CX$20),$G446:$W446)</f>
        <v>0</v>
      </c>
      <c r="CY446" s="93" cm="1">
        <f t="array" ref="CY446">SUMPRODUCT(TRANSPOSE(CY$4:CY$20),$G446:$W446)</f>
        <v>0</v>
      </c>
      <c r="CZ446" s="93" cm="1">
        <f t="array" ref="CZ446">SUMPRODUCT(TRANSPOSE(CZ$4:CZ$20),$G446:$W446)</f>
        <v>0</v>
      </c>
      <c r="DA446" s="93" cm="1">
        <f t="array" ref="DA446">SUMPRODUCT(TRANSPOSE(DA$4:DA$20),$G446:$W446)</f>
        <v>0</v>
      </c>
      <c r="DB446" s="93" cm="1">
        <f t="array" ref="DB446">SUMPRODUCT(TRANSPOSE(DB$4:DB$20),$G446:$W446)</f>
        <v>0</v>
      </c>
      <c r="DC446" s="93" cm="1">
        <f t="array" ref="DC446">SUMPRODUCT(TRANSPOSE(DC$4:DC$20),$G446:$W446)</f>
        <v>0</v>
      </c>
      <c r="DD446" s="93" cm="1">
        <f t="array" ref="DD446">SUMPRODUCT(TRANSPOSE(DD$4:DD$20),$G446:$W446)</f>
        <v>0</v>
      </c>
      <c r="DE446" s="93" cm="1">
        <f t="array" ref="DE446">SUMPRODUCT(TRANSPOSE(DE$4:DE$20),$G446:$W446)</f>
        <v>0</v>
      </c>
      <c r="DF446" s="93" cm="1">
        <f t="array" ref="DF446">SUMPRODUCT(TRANSPOSE(DF$4:DF$20),$G446:$W446)</f>
        <v>0</v>
      </c>
      <c r="DG446" s="93" cm="1">
        <f t="array" ref="DG446">SUMPRODUCT(TRANSPOSE(DG$4:DG$20),$G446:$W446)</f>
        <v>0</v>
      </c>
      <c r="DH446" s="93" cm="1">
        <f t="array" ref="DH446">SUMPRODUCT(TRANSPOSE(DH$4:DH$20),$G446:$W446)</f>
        <v>0</v>
      </c>
      <c r="DI446" s="93" cm="1">
        <f t="array" ref="DI446">SUMPRODUCT(TRANSPOSE(DI$4:DI$20),$G446:$W446)</f>
        <v>0</v>
      </c>
      <c r="DJ446" s="93" cm="1">
        <f t="array" ref="DJ446">SUMPRODUCT(TRANSPOSE(DJ$4:DJ$20),$G446:$W446)</f>
        <v>0</v>
      </c>
      <c r="DK446" s="93" cm="1">
        <f t="array" ref="DK446">SUMPRODUCT(TRANSPOSE(DK$4:DK$20),$G446:$W446)</f>
        <v>0</v>
      </c>
      <c r="DL446" s="93" cm="1">
        <f t="array" ref="DL446">SUMPRODUCT(TRANSPOSE(DL$4:DL$20),$G446:$W446)</f>
        <v>0</v>
      </c>
      <c r="DM446" s="93" cm="1">
        <f t="array" ref="DM446">SUMPRODUCT(TRANSPOSE(DM$4:DM$20),$G446:$W446)</f>
        <v>0</v>
      </c>
      <c r="DN446" s="93" cm="1">
        <f t="array" ref="DN446">SUMPRODUCT(TRANSPOSE(DN$4:DN$20),$G446:$W446)</f>
        <v>0</v>
      </c>
      <c r="DO446" s="93" cm="1">
        <f t="array" ref="DO446">SUMPRODUCT(TRANSPOSE(DO$4:DO$20),$G446:$W446)</f>
        <v>0</v>
      </c>
    </row>
    <row r="447" spans="1:119" x14ac:dyDescent="0.2">
      <c r="A447" s="45">
        <f t="shared" si="32"/>
        <v>426</v>
      </c>
      <c r="B447" s="64" t="s">
        <v>950</v>
      </c>
      <c r="C447" s="45">
        <v>514102946</v>
      </c>
      <c r="D447" s="45" t="s">
        <v>949</v>
      </c>
      <c r="E447" s="45" t="s">
        <v>162</v>
      </c>
      <c r="F447" s="48">
        <v>2</v>
      </c>
      <c r="G447" s="100">
        <v>12</v>
      </c>
      <c r="H447" s="100">
        <v>0</v>
      </c>
      <c r="I447" s="100">
        <v>0</v>
      </c>
      <c r="J447" s="100">
        <v>0</v>
      </c>
      <c r="K447" s="100">
        <v>0</v>
      </c>
      <c r="L447" s="100">
        <v>0</v>
      </c>
      <c r="M447" s="100">
        <v>0</v>
      </c>
      <c r="N447" s="100">
        <v>0</v>
      </c>
      <c r="O447" s="100">
        <v>0</v>
      </c>
      <c r="P447" s="100">
        <v>0</v>
      </c>
      <c r="Q447" s="100">
        <v>0</v>
      </c>
      <c r="R447" s="100">
        <v>0</v>
      </c>
      <c r="S447" s="100">
        <v>0</v>
      </c>
      <c r="T447" s="100">
        <v>0</v>
      </c>
      <c r="U447" s="100">
        <v>0</v>
      </c>
      <c r="V447" s="100">
        <v>0</v>
      </c>
      <c r="W447" s="100">
        <v>0</v>
      </c>
      <c r="X447" s="45" t="s">
        <v>24</v>
      </c>
      <c r="Y447" s="49">
        <v>0.02</v>
      </c>
      <c r="Z447" s="45">
        <v>1592</v>
      </c>
      <c r="AA447" s="45">
        <v>0</v>
      </c>
      <c r="AB447" s="45">
        <v>0</v>
      </c>
      <c r="AC447" s="45">
        <v>0</v>
      </c>
      <c r="AD447" s="45">
        <v>0</v>
      </c>
      <c r="AE447" s="45">
        <v>0</v>
      </c>
      <c r="AF447" s="45">
        <v>0</v>
      </c>
      <c r="AG447" s="45">
        <v>0</v>
      </c>
      <c r="AH447" s="45">
        <v>0</v>
      </c>
      <c r="AI447" s="45">
        <v>0</v>
      </c>
      <c r="AJ447" s="45">
        <v>0</v>
      </c>
      <c r="AK447" s="45">
        <v>0</v>
      </c>
      <c r="AL447" s="45">
        <v>0</v>
      </c>
      <c r="AM447" s="45">
        <v>0</v>
      </c>
      <c r="AN447" s="45">
        <v>0</v>
      </c>
      <c r="AO447" s="45"/>
      <c r="AP447" s="45"/>
      <c r="AQ447" s="45"/>
      <c r="AR447" s="45"/>
      <c r="AS447" s="45"/>
      <c r="AT447" s="45"/>
      <c r="AU447" s="45"/>
      <c r="AV447" s="45"/>
      <c r="AW447" s="45"/>
      <c r="AX447" s="45"/>
      <c r="AY447" s="45"/>
      <c r="AZ447" s="45"/>
      <c r="BA447" s="45"/>
      <c r="BB447" s="45"/>
      <c r="BC447" s="45"/>
      <c r="BD447" s="93"/>
      <c r="BE447" s="93"/>
      <c r="BF447" s="93"/>
      <c r="BG447" s="93"/>
      <c r="BH447" s="93"/>
      <c r="BI447" s="93"/>
      <c r="BJ447" s="93"/>
      <c r="BK447" s="93">
        <f>SUM($Z447:AD447)-SUM($CM447:CQ447)</f>
        <v>1496</v>
      </c>
      <c r="BL447" s="93">
        <f>SUM($Z447:AE447)-SUM($CM447:CR447)</f>
        <v>1400</v>
      </c>
      <c r="BM447" s="93">
        <f>SUM($Z447:AF447)-SUM($CM447:CS447)</f>
        <v>1304</v>
      </c>
      <c r="BN447" s="93">
        <f>SUM($Z447:AG447)-SUM($CM447:CT447)</f>
        <v>1208</v>
      </c>
      <c r="BO447" s="93">
        <f>SUM($Z447:AH447)-SUM($CM447:CU447)</f>
        <v>1112</v>
      </c>
      <c r="BP447" s="93">
        <f>SUM($Z447:AI447)-SUM($CM447:CV447)</f>
        <v>1016</v>
      </c>
      <c r="BQ447" s="93">
        <f>SUM($Z447:AJ447)-SUM($CM447:CW447)</f>
        <v>920</v>
      </c>
      <c r="BR447" s="93">
        <f>SUM($Z447:AK447)-SUM($CM447:CX447)</f>
        <v>824</v>
      </c>
      <c r="BS447" s="93">
        <f>SUM($Z447:AL447)-SUM($CM447:CY447)</f>
        <v>728</v>
      </c>
      <c r="BT447" s="93">
        <f>SUM($Z447:AM447)-SUM($CM447:CZ447)</f>
        <v>632</v>
      </c>
      <c r="BU447" s="93">
        <f>SUM($Z447:AN447)-SUM($CM447:DA447)</f>
        <v>536</v>
      </c>
      <c r="BV447" s="93">
        <f>SUM($Z447:AO447)-SUM($CM447:DB447)</f>
        <v>440</v>
      </c>
      <c r="BW447" s="93">
        <f>SUM($Z447:AP447)-SUM($CM447:DC447)</f>
        <v>368</v>
      </c>
      <c r="BX447" s="93">
        <f>SUM($Z447:AQ447)-SUM($CM447:DD447)</f>
        <v>368</v>
      </c>
      <c r="BY447" s="93">
        <f>SUM($Z447:AR447)-SUM($CM447:DE447)</f>
        <v>368</v>
      </c>
      <c r="BZ447" s="93">
        <f>SUM($Z447:AS447)-SUM($CM447:DF447)</f>
        <v>368</v>
      </c>
      <c r="CA447" s="93">
        <f>SUM($Z447:AT447)-SUM($CM447:DG447)</f>
        <v>368</v>
      </c>
      <c r="CB447" s="93">
        <f>SUM($Z447:AU447)-SUM($CM447:DH447)</f>
        <v>368</v>
      </c>
      <c r="CC447" s="93">
        <f>SUM($Z447:AV447)-SUM($CM447:DI447)</f>
        <v>368</v>
      </c>
      <c r="CD447" s="93">
        <f>SUM($Z447:AW447)-SUM($CM447:DJ447)</f>
        <v>368</v>
      </c>
      <c r="CE447" s="93">
        <f>SUM($Z447:AX447)-SUM($CM447:DK447)</f>
        <v>368</v>
      </c>
      <c r="CF447" s="93">
        <f>SUM($Z447:AY447)-SUM($CM447:DL447)</f>
        <v>368</v>
      </c>
      <c r="CG447" s="93">
        <f>SUM($Z447:AZ447)-SUM($CM447:DM447)</f>
        <v>368</v>
      </c>
      <c r="CH447" s="93">
        <f>SUM($Z447:BA447)-SUM($CM447:DN447)</f>
        <v>368</v>
      </c>
      <c r="CI447" s="93">
        <f>SUM($Z447:BB447)-SUM($CM447:DO447)</f>
        <v>368</v>
      </c>
      <c r="CJ447" s="93"/>
      <c r="CK447" s="93"/>
      <c r="CL447" s="93"/>
      <c r="CM447" s="93"/>
      <c r="CN447" s="93" cm="1">
        <f t="array" ref="CN447">SUMPRODUCT(TRANSPOSE(CN$4:CN$20),$G447:$W447)</f>
        <v>0</v>
      </c>
      <c r="CO447" s="93" cm="1">
        <f t="array" ref="CO447">SUMPRODUCT(TRANSPOSE(CO$4:CO$20),$G447:$W447)</f>
        <v>0</v>
      </c>
      <c r="CP447" s="93" cm="1">
        <f t="array" ref="CP447">SUMPRODUCT(TRANSPOSE(CP$4:CP$20),$G447:$W447)</f>
        <v>0</v>
      </c>
      <c r="CQ447" s="93" cm="1">
        <f t="array" ref="CQ447">SUMPRODUCT(TRANSPOSE(CQ$4:CQ$20),$G447:$W447)</f>
        <v>96</v>
      </c>
      <c r="CR447" s="93" cm="1">
        <f t="array" ref="CR447">SUMPRODUCT(TRANSPOSE(CR$4:CR$20),$G447:$W447)</f>
        <v>96</v>
      </c>
      <c r="CS447" s="93" cm="1">
        <f t="array" ref="CS447">SUMPRODUCT(TRANSPOSE(CS$4:CS$20),$G447:$W447)</f>
        <v>96</v>
      </c>
      <c r="CT447" s="93" cm="1">
        <f t="array" ref="CT447">SUMPRODUCT(TRANSPOSE(CT$4:CT$20),$G447:$W447)</f>
        <v>96</v>
      </c>
      <c r="CU447" s="93" cm="1">
        <f t="array" ref="CU447">SUMPRODUCT(TRANSPOSE(CU$4:CU$20),$G447:$W447)</f>
        <v>96</v>
      </c>
      <c r="CV447" s="93" cm="1">
        <f t="array" ref="CV447">SUMPRODUCT(TRANSPOSE(CV$4:CV$20),$G447:$W447)</f>
        <v>96</v>
      </c>
      <c r="CW447" s="93" cm="1">
        <f t="array" ref="CW447">SUMPRODUCT(TRANSPOSE(CW$4:CW$20),$G447:$W447)</f>
        <v>96</v>
      </c>
      <c r="CX447" s="93" cm="1">
        <f t="array" ref="CX447">SUMPRODUCT(TRANSPOSE(CX$4:CX$20),$G447:$W447)</f>
        <v>96</v>
      </c>
      <c r="CY447" s="93" cm="1">
        <f t="array" ref="CY447">SUMPRODUCT(TRANSPOSE(CY$4:CY$20),$G447:$W447)</f>
        <v>96</v>
      </c>
      <c r="CZ447" s="93" cm="1">
        <f t="array" ref="CZ447">SUMPRODUCT(TRANSPOSE(CZ$4:CZ$20),$G447:$W447)</f>
        <v>96</v>
      </c>
      <c r="DA447" s="93" cm="1">
        <f t="array" ref="DA447">SUMPRODUCT(TRANSPOSE(DA$4:DA$20),$G447:$W447)</f>
        <v>96</v>
      </c>
      <c r="DB447" s="93" cm="1">
        <f t="array" ref="DB447">SUMPRODUCT(TRANSPOSE(DB$4:DB$20),$G447:$W447)</f>
        <v>96</v>
      </c>
      <c r="DC447" s="93" cm="1">
        <f t="array" ref="DC447">SUMPRODUCT(TRANSPOSE(DC$4:DC$20),$G447:$W447)</f>
        <v>72</v>
      </c>
      <c r="DD447" s="93" cm="1">
        <f t="array" ref="DD447">SUMPRODUCT(TRANSPOSE(DD$4:DD$20),$G447:$W447)</f>
        <v>0</v>
      </c>
      <c r="DE447" s="93" cm="1">
        <f t="array" ref="DE447">SUMPRODUCT(TRANSPOSE(DE$4:DE$20),$G447:$W447)</f>
        <v>0</v>
      </c>
      <c r="DF447" s="93" cm="1">
        <f t="array" ref="DF447">SUMPRODUCT(TRANSPOSE(DF$4:DF$20),$G447:$W447)</f>
        <v>0</v>
      </c>
      <c r="DG447" s="93" cm="1">
        <f t="array" ref="DG447">SUMPRODUCT(TRANSPOSE(DG$4:DG$20),$G447:$W447)</f>
        <v>0</v>
      </c>
      <c r="DH447" s="93" cm="1">
        <f t="array" ref="DH447">SUMPRODUCT(TRANSPOSE(DH$4:DH$20),$G447:$W447)</f>
        <v>0</v>
      </c>
      <c r="DI447" s="93" cm="1">
        <f t="array" ref="DI447">SUMPRODUCT(TRANSPOSE(DI$4:DI$20),$G447:$W447)</f>
        <v>0</v>
      </c>
      <c r="DJ447" s="93" cm="1">
        <f t="array" ref="DJ447">SUMPRODUCT(TRANSPOSE(DJ$4:DJ$20),$G447:$W447)</f>
        <v>0</v>
      </c>
      <c r="DK447" s="93" cm="1">
        <f t="array" ref="DK447">SUMPRODUCT(TRANSPOSE(DK$4:DK$20),$G447:$W447)</f>
        <v>0</v>
      </c>
      <c r="DL447" s="93" cm="1">
        <f t="array" ref="DL447">SUMPRODUCT(TRANSPOSE(DL$4:DL$20),$G447:$W447)</f>
        <v>0</v>
      </c>
      <c r="DM447" s="93" cm="1">
        <f t="array" ref="DM447">SUMPRODUCT(TRANSPOSE(DM$4:DM$20),$G447:$W447)</f>
        <v>0</v>
      </c>
      <c r="DN447" s="93" cm="1">
        <f t="array" ref="DN447">SUMPRODUCT(TRANSPOSE(DN$4:DN$20),$G447:$W447)</f>
        <v>0</v>
      </c>
      <c r="DO447" s="93" cm="1">
        <f t="array" ref="DO447">SUMPRODUCT(TRANSPOSE(DO$4:DO$20),$G447:$W447)</f>
        <v>0</v>
      </c>
    </row>
    <row r="448" spans="1:119" x14ac:dyDescent="0.2">
      <c r="A448" s="45">
        <f t="shared" si="32"/>
        <v>427</v>
      </c>
      <c r="B448" s="64" t="s">
        <v>951</v>
      </c>
      <c r="C448" s="45">
        <v>514302603</v>
      </c>
      <c r="D448" s="45" t="s">
        <v>949</v>
      </c>
      <c r="E448" s="45" t="s">
        <v>162</v>
      </c>
      <c r="F448" s="48">
        <v>2</v>
      </c>
      <c r="G448" s="100">
        <v>130</v>
      </c>
      <c r="H448" s="100">
        <v>0</v>
      </c>
      <c r="I448" s="100">
        <v>0</v>
      </c>
      <c r="J448" s="100">
        <v>0</v>
      </c>
      <c r="K448" s="100">
        <v>0</v>
      </c>
      <c r="L448" s="100">
        <v>0</v>
      </c>
      <c r="M448" s="100">
        <v>0</v>
      </c>
      <c r="N448" s="100">
        <v>0</v>
      </c>
      <c r="O448" s="100">
        <v>0</v>
      </c>
      <c r="P448" s="100">
        <v>0</v>
      </c>
      <c r="Q448" s="100">
        <v>0</v>
      </c>
      <c r="R448" s="100">
        <v>0</v>
      </c>
      <c r="S448" s="100">
        <v>0</v>
      </c>
      <c r="T448" s="100">
        <v>0</v>
      </c>
      <c r="U448" s="100">
        <v>0</v>
      </c>
      <c r="V448" s="100">
        <v>0</v>
      </c>
      <c r="W448" s="100">
        <v>0</v>
      </c>
      <c r="X448" s="45" t="s">
        <v>24</v>
      </c>
      <c r="Y448" s="49">
        <v>0.03</v>
      </c>
      <c r="Z448" s="45">
        <v>18167</v>
      </c>
      <c r="AA448" s="45">
        <v>0</v>
      </c>
      <c r="AB448" s="45">
        <v>0</v>
      </c>
      <c r="AC448" s="45">
        <v>0</v>
      </c>
      <c r="AD448" s="45">
        <v>0</v>
      </c>
      <c r="AE448" s="45">
        <v>0</v>
      </c>
      <c r="AF448" s="45">
        <v>0</v>
      </c>
      <c r="AG448" s="45">
        <v>0</v>
      </c>
      <c r="AH448" s="45">
        <v>0</v>
      </c>
      <c r="AI448" s="45">
        <v>0</v>
      </c>
      <c r="AJ448" s="45">
        <v>0</v>
      </c>
      <c r="AK448" s="45">
        <v>0</v>
      </c>
      <c r="AL448" s="45">
        <v>0</v>
      </c>
      <c r="AM448" s="45">
        <v>0</v>
      </c>
      <c r="AN448" s="45">
        <v>0</v>
      </c>
      <c r="AO448" s="45"/>
      <c r="AP448" s="45"/>
      <c r="AQ448" s="45"/>
      <c r="AR448" s="45"/>
      <c r="AS448" s="45"/>
      <c r="AT448" s="45"/>
      <c r="AU448" s="45"/>
      <c r="AV448" s="45"/>
      <c r="AW448" s="45"/>
      <c r="AX448" s="45"/>
      <c r="AY448" s="45"/>
      <c r="AZ448" s="45"/>
      <c r="BA448" s="45"/>
      <c r="BB448" s="45"/>
      <c r="BC448" s="45"/>
      <c r="BD448" s="93"/>
      <c r="BE448" s="93"/>
      <c r="BF448" s="93"/>
      <c r="BG448" s="93"/>
      <c r="BH448" s="93"/>
      <c r="BI448" s="93"/>
      <c r="BJ448" s="93"/>
      <c r="BK448" s="93">
        <f>SUM($Z448:AD448)-SUM($CM448:CQ448)</f>
        <v>17127</v>
      </c>
      <c r="BL448" s="93">
        <f>SUM($Z448:AE448)-SUM($CM448:CR448)</f>
        <v>16087</v>
      </c>
      <c r="BM448" s="93">
        <f>SUM($Z448:AF448)-SUM($CM448:CS448)</f>
        <v>15047</v>
      </c>
      <c r="BN448" s="93">
        <f>SUM($Z448:AG448)-SUM($CM448:CT448)</f>
        <v>14007</v>
      </c>
      <c r="BO448" s="93">
        <f>SUM($Z448:AH448)-SUM($CM448:CU448)</f>
        <v>12967</v>
      </c>
      <c r="BP448" s="93">
        <f>SUM($Z448:AI448)-SUM($CM448:CV448)</f>
        <v>11927</v>
      </c>
      <c r="BQ448" s="93">
        <f>SUM($Z448:AJ448)-SUM($CM448:CW448)</f>
        <v>10887</v>
      </c>
      <c r="BR448" s="93">
        <f>SUM($Z448:AK448)-SUM($CM448:CX448)</f>
        <v>9847</v>
      </c>
      <c r="BS448" s="93">
        <f>SUM($Z448:AL448)-SUM($CM448:CY448)</f>
        <v>8807</v>
      </c>
      <c r="BT448" s="93">
        <f>SUM($Z448:AM448)-SUM($CM448:CZ448)</f>
        <v>7767</v>
      </c>
      <c r="BU448" s="93">
        <f>SUM($Z448:AN448)-SUM($CM448:DA448)</f>
        <v>6727</v>
      </c>
      <c r="BV448" s="93">
        <f>SUM($Z448:AO448)-SUM($CM448:DB448)</f>
        <v>5687</v>
      </c>
      <c r="BW448" s="93">
        <f>SUM($Z448:AP448)-SUM($CM448:DC448)</f>
        <v>4907</v>
      </c>
      <c r="BX448" s="93">
        <f>SUM($Z448:AQ448)-SUM($CM448:DD448)</f>
        <v>4907</v>
      </c>
      <c r="BY448" s="93">
        <f>SUM($Z448:AR448)-SUM($CM448:DE448)</f>
        <v>4907</v>
      </c>
      <c r="BZ448" s="93">
        <f>SUM($Z448:AS448)-SUM($CM448:DF448)</f>
        <v>4907</v>
      </c>
      <c r="CA448" s="93">
        <f>SUM($Z448:AT448)-SUM($CM448:DG448)</f>
        <v>4907</v>
      </c>
      <c r="CB448" s="93">
        <f>SUM($Z448:AU448)-SUM($CM448:DH448)</f>
        <v>4907</v>
      </c>
      <c r="CC448" s="93">
        <f>SUM($Z448:AV448)-SUM($CM448:DI448)</f>
        <v>4907</v>
      </c>
      <c r="CD448" s="93">
        <f>SUM($Z448:AW448)-SUM($CM448:DJ448)</f>
        <v>4907</v>
      </c>
      <c r="CE448" s="93">
        <f>SUM($Z448:AX448)-SUM($CM448:DK448)</f>
        <v>4907</v>
      </c>
      <c r="CF448" s="93">
        <f>SUM($Z448:AY448)-SUM($CM448:DL448)</f>
        <v>4907</v>
      </c>
      <c r="CG448" s="93">
        <f>SUM($Z448:AZ448)-SUM($CM448:DM448)</f>
        <v>4907</v>
      </c>
      <c r="CH448" s="93">
        <f>SUM($Z448:BA448)-SUM($CM448:DN448)</f>
        <v>4907</v>
      </c>
      <c r="CI448" s="93">
        <f>SUM($Z448:BB448)-SUM($CM448:DO448)</f>
        <v>4907</v>
      </c>
      <c r="CJ448" s="93"/>
      <c r="CK448" s="93"/>
      <c r="CL448" s="93"/>
      <c r="CM448" s="93"/>
      <c r="CN448" s="93" cm="1">
        <f t="array" ref="CN448">SUMPRODUCT(TRANSPOSE(CN$4:CN$20),$G448:$W448)</f>
        <v>0</v>
      </c>
      <c r="CO448" s="93" cm="1">
        <f t="array" ref="CO448">SUMPRODUCT(TRANSPOSE(CO$4:CO$20),$G448:$W448)</f>
        <v>0</v>
      </c>
      <c r="CP448" s="93" cm="1">
        <f t="array" ref="CP448">SUMPRODUCT(TRANSPOSE(CP$4:CP$20),$G448:$W448)</f>
        <v>0</v>
      </c>
      <c r="CQ448" s="93" cm="1">
        <f t="array" ref="CQ448">SUMPRODUCT(TRANSPOSE(CQ$4:CQ$20),$G448:$W448)</f>
        <v>1040</v>
      </c>
      <c r="CR448" s="93" cm="1">
        <f t="array" ref="CR448">SUMPRODUCT(TRANSPOSE(CR$4:CR$20),$G448:$W448)</f>
        <v>1040</v>
      </c>
      <c r="CS448" s="93" cm="1">
        <f t="array" ref="CS448">SUMPRODUCT(TRANSPOSE(CS$4:CS$20),$G448:$W448)</f>
        <v>1040</v>
      </c>
      <c r="CT448" s="93" cm="1">
        <f t="array" ref="CT448">SUMPRODUCT(TRANSPOSE(CT$4:CT$20),$G448:$W448)</f>
        <v>1040</v>
      </c>
      <c r="CU448" s="93" cm="1">
        <f t="array" ref="CU448">SUMPRODUCT(TRANSPOSE(CU$4:CU$20),$G448:$W448)</f>
        <v>1040</v>
      </c>
      <c r="CV448" s="93" cm="1">
        <f t="array" ref="CV448">SUMPRODUCT(TRANSPOSE(CV$4:CV$20),$G448:$W448)</f>
        <v>1040</v>
      </c>
      <c r="CW448" s="93" cm="1">
        <f t="array" ref="CW448">SUMPRODUCT(TRANSPOSE(CW$4:CW$20),$G448:$W448)</f>
        <v>1040</v>
      </c>
      <c r="CX448" s="93" cm="1">
        <f t="array" ref="CX448">SUMPRODUCT(TRANSPOSE(CX$4:CX$20),$G448:$W448)</f>
        <v>1040</v>
      </c>
      <c r="CY448" s="93" cm="1">
        <f t="array" ref="CY448">SUMPRODUCT(TRANSPOSE(CY$4:CY$20),$G448:$W448)</f>
        <v>1040</v>
      </c>
      <c r="CZ448" s="93" cm="1">
        <f t="array" ref="CZ448">SUMPRODUCT(TRANSPOSE(CZ$4:CZ$20),$G448:$W448)</f>
        <v>1040</v>
      </c>
      <c r="DA448" s="93" cm="1">
        <f t="array" ref="DA448">SUMPRODUCT(TRANSPOSE(DA$4:DA$20),$G448:$W448)</f>
        <v>1040</v>
      </c>
      <c r="DB448" s="93" cm="1">
        <f t="array" ref="DB448">SUMPRODUCT(TRANSPOSE(DB$4:DB$20),$G448:$W448)</f>
        <v>1040</v>
      </c>
      <c r="DC448" s="93" cm="1">
        <f t="array" ref="DC448">SUMPRODUCT(TRANSPOSE(DC$4:DC$20),$G448:$W448)</f>
        <v>780</v>
      </c>
      <c r="DD448" s="93" cm="1">
        <f t="array" ref="DD448">SUMPRODUCT(TRANSPOSE(DD$4:DD$20),$G448:$W448)</f>
        <v>0</v>
      </c>
      <c r="DE448" s="93" cm="1">
        <f t="array" ref="DE448">SUMPRODUCT(TRANSPOSE(DE$4:DE$20),$G448:$W448)</f>
        <v>0</v>
      </c>
      <c r="DF448" s="93" cm="1">
        <f t="array" ref="DF448">SUMPRODUCT(TRANSPOSE(DF$4:DF$20),$G448:$W448)</f>
        <v>0</v>
      </c>
      <c r="DG448" s="93" cm="1">
        <f t="array" ref="DG448">SUMPRODUCT(TRANSPOSE(DG$4:DG$20),$G448:$W448)</f>
        <v>0</v>
      </c>
      <c r="DH448" s="93" cm="1">
        <f t="array" ref="DH448">SUMPRODUCT(TRANSPOSE(DH$4:DH$20),$G448:$W448)</f>
        <v>0</v>
      </c>
      <c r="DI448" s="93" cm="1">
        <f t="array" ref="DI448">SUMPRODUCT(TRANSPOSE(DI$4:DI$20),$G448:$W448)</f>
        <v>0</v>
      </c>
      <c r="DJ448" s="93" cm="1">
        <f t="array" ref="DJ448">SUMPRODUCT(TRANSPOSE(DJ$4:DJ$20),$G448:$W448)</f>
        <v>0</v>
      </c>
      <c r="DK448" s="93" cm="1">
        <f t="array" ref="DK448">SUMPRODUCT(TRANSPOSE(DK$4:DK$20),$G448:$W448)</f>
        <v>0</v>
      </c>
      <c r="DL448" s="93" cm="1">
        <f t="array" ref="DL448">SUMPRODUCT(TRANSPOSE(DL$4:DL$20),$G448:$W448)</f>
        <v>0</v>
      </c>
      <c r="DM448" s="93" cm="1">
        <f t="array" ref="DM448">SUMPRODUCT(TRANSPOSE(DM$4:DM$20),$G448:$W448)</f>
        <v>0</v>
      </c>
      <c r="DN448" s="93" cm="1">
        <f t="array" ref="DN448">SUMPRODUCT(TRANSPOSE(DN$4:DN$20),$G448:$W448)</f>
        <v>0</v>
      </c>
      <c r="DO448" s="93" cm="1">
        <f t="array" ref="DO448">SUMPRODUCT(TRANSPOSE(DO$4:DO$20),$G448:$W448)</f>
        <v>0</v>
      </c>
    </row>
    <row r="449" spans="1:119" x14ac:dyDescent="0.2">
      <c r="A449" s="45">
        <f t="shared" si="32"/>
        <v>428</v>
      </c>
      <c r="B449" s="64" t="s">
        <v>952</v>
      </c>
      <c r="C449" s="45">
        <v>512306796</v>
      </c>
      <c r="D449" s="45" t="s">
        <v>606</v>
      </c>
      <c r="E449" s="45" t="s">
        <v>162</v>
      </c>
      <c r="F449" s="48">
        <v>2</v>
      </c>
      <c r="G449" s="100">
        <v>25</v>
      </c>
      <c r="H449" s="100">
        <v>0</v>
      </c>
      <c r="I449" s="100">
        <v>0</v>
      </c>
      <c r="J449" s="100">
        <v>0</v>
      </c>
      <c r="K449" s="100">
        <v>0</v>
      </c>
      <c r="L449" s="100">
        <v>0</v>
      </c>
      <c r="M449" s="100">
        <v>4</v>
      </c>
      <c r="N449" s="100">
        <v>0</v>
      </c>
      <c r="O449" s="100">
        <v>0</v>
      </c>
      <c r="P449" s="100">
        <v>0</v>
      </c>
      <c r="Q449" s="100">
        <v>0</v>
      </c>
      <c r="R449" s="100">
        <v>0</v>
      </c>
      <c r="S449" s="100">
        <v>0</v>
      </c>
      <c r="T449" s="100">
        <v>0</v>
      </c>
      <c r="U449" s="100">
        <v>0</v>
      </c>
      <c r="V449" s="100">
        <v>0</v>
      </c>
      <c r="W449" s="100">
        <v>0</v>
      </c>
      <c r="X449" s="45" t="s">
        <v>24</v>
      </c>
      <c r="Y449" s="49">
        <v>0.129</v>
      </c>
      <c r="Z449" s="45">
        <v>5751</v>
      </c>
      <c r="AA449" s="45">
        <v>0</v>
      </c>
      <c r="AB449" s="45">
        <v>0</v>
      </c>
      <c r="AC449" s="45">
        <v>0</v>
      </c>
      <c r="AD449" s="45">
        <v>0</v>
      </c>
      <c r="AE449" s="45">
        <v>0</v>
      </c>
      <c r="AF449" s="45">
        <v>0</v>
      </c>
      <c r="AG449" s="45">
        <v>0</v>
      </c>
      <c r="AH449" s="45">
        <v>0</v>
      </c>
      <c r="AI449" s="45">
        <v>0</v>
      </c>
      <c r="AJ449" s="45">
        <v>0</v>
      </c>
      <c r="AK449" s="45">
        <v>0</v>
      </c>
      <c r="AL449" s="45">
        <v>0</v>
      </c>
      <c r="AM449" s="45">
        <v>0</v>
      </c>
      <c r="AN449" s="45">
        <v>0</v>
      </c>
      <c r="AO449" s="45"/>
      <c r="AP449" s="45"/>
      <c r="AQ449" s="45"/>
      <c r="AR449" s="45"/>
      <c r="AS449" s="45"/>
      <c r="AT449" s="45"/>
      <c r="AU449" s="45"/>
      <c r="AV449" s="45"/>
      <c r="AW449" s="45"/>
      <c r="AX449" s="45"/>
      <c r="AY449" s="45"/>
      <c r="AZ449" s="45"/>
      <c r="BA449" s="45"/>
      <c r="BB449" s="45"/>
      <c r="BC449" s="45"/>
      <c r="BD449" s="93"/>
      <c r="BE449" s="93"/>
      <c r="BF449" s="93"/>
      <c r="BG449" s="93"/>
      <c r="BH449" s="93"/>
      <c r="BI449" s="93"/>
      <c r="BJ449" s="93"/>
      <c r="BK449" s="93">
        <f>SUM($Z449:AD449)-SUM($CM449:CQ449)</f>
        <v>5519</v>
      </c>
      <c r="BL449" s="93">
        <f>SUM($Z449:AE449)-SUM($CM449:CR449)</f>
        <v>5287</v>
      </c>
      <c r="BM449" s="93">
        <f>SUM($Z449:AF449)-SUM($CM449:CS449)</f>
        <v>5055</v>
      </c>
      <c r="BN449" s="93">
        <f>SUM($Z449:AG449)-SUM($CM449:CT449)</f>
        <v>4823</v>
      </c>
      <c r="BO449" s="93">
        <f>SUM($Z449:AH449)-SUM($CM449:CU449)</f>
        <v>4591</v>
      </c>
      <c r="BP449" s="93">
        <f>SUM($Z449:AI449)-SUM($CM449:CV449)</f>
        <v>4359</v>
      </c>
      <c r="BQ449" s="93">
        <f>SUM($Z449:AJ449)-SUM($CM449:CW449)</f>
        <v>4127</v>
      </c>
      <c r="BR449" s="93">
        <f>SUM($Z449:AK449)-SUM($CM449:CX449)</f>
        <v>3895</v>
      </c>
      <c r="BS449" s="93">
        <f>SUM($Z449:AL449)-SUM($CM449:CY449)</f>
        <v>3663</v>
      </c>
      <c r="BT449" s="93">
        <f>SUM($Z449:AM449)-SUM($CM449:CZ449)</f>
        <v>3431</v>
      </c>
      <c r="BU449" s="93">
        <f>SUM($Z449:AN449)-SUM($CM449:DA449)</f>
        <v>3199</v>
      </c>
      <c r="BV449" s="93">
        <f>SUM($Z449:AO449)-SUM($CM449:DB449)</f>
        <v>2967</v>
      </c>
      <c r="BW449" s="93">
        <f>SUM($Z449:AP449)-SUM($CM449:DC449)</f>
        <v>2761</v>
      </c>
      <c r="BX449" s="93">
        <f>SUM($Z449:AQ449)-SUM($CM449:DD449)</f>
        <v>2761</v>
      </c>
      <c r="BY449" s="93">
        <f>SUM($Z449:AR449)-SUM($CM449:DE449)</f>
        <v>2761</v>
      </c>
      <c r="BZ449" s="93">
        <f>SUM($Z449:AS449)-SUM($CM449:DF449)</f>
        <v>2761</v>
      </c>
      <c r="CA449" s="93">
        <f>SUM($Z449:AT449)-SUM($CM449:DG449)</f>
        <v>2761</v>
      </c>
      <c r="CB449" s="93">
        <f>SUM($Z449:AU449)-SUM($CM449:DH449)</f>
        <v>2761</v>
      </c>
      <c r="CC449" s="93">
        <f>SUM($Z449:AV449)-SUM($CM449:DI449)</f>
        <v>2761</v>
      </c>
      <c r="CD449" s="93">
        <f>SUM($Z449:AW449)-SUM($CM449:DJ449)</f>
        <v>2761</v>
      </c>
      <c r="CE449" s="93">
        <f>SUM($Z449:AX449)-SUM($CM449:DK449)</f>
        <v>2761</v>
      </c>
      <c r="CF449" s="93">
        <f>SUM($Z449:AY449)-SUM($CM449:DL449)</f>
        <v>2761</v>
      </c>
      <c r="CG449" s="93">
        <f>SUM($Z449:AZ449)-SUM($CM449:DM449)</f>
        <v>2761</v>
      </c>
      <c r="CH449" s="93">
        <f>SUM($Z449:BA449)-SUM($CM449:DN449)</f>
        <v>2761</v>
      </c>
      <c r="CI449" s="93">
        <f>SUM($Z449:BB449)-SUM($CM449:DO449)</f>
        <v>2761</v>
      </c>
      <c r="CJ449" s="93"/>
      <c r="CK449" s="93"/>
      <c r="CL449" s="93"/>
      <c r="CM449" s="93"/>
      <c r="CN449" s="93" cm="1">
        <f t="array" ref="CN449">SUMPRODUCT(TRANSPOSE(CN$4:CN$20),$G449:$W449)</f>
        <v>0</v>
      </c>
      <c r="CO449" s="93" cm="1">
        <f t="array" ref="CO449">SUMPRODUCT(TRANSPOSE(CO$4:CO$20),$G449:$W449)</f>
        <v>0</v>
      </c>
      <c r="CP449" s="93" cm="1">
        <f t="array" ref="CP449">SUMPRODUCT(TRANSPOSE(CP$4:CP$20),$G449:$W449)</f>
        <v>0</v>
      </c>
      <c r="CQ449" s="93" cm="1">
        <f t="array" ref="CQ449">SUMPRODUCT(TRANSPOSE(CQ$4:CQ$20),$G449:$W449)</f>
        <v>232</v>
      </c>
      <c r="CR449" s="93" cm="1">
        <f t="array" ref="CR449">SUMPRODUCT(TRANSPOSE(CR$4:CR$20),$G449:$W449)</f>
        <v>232</v>
      </c>
      <c r="CS449" s="93" cm="1">
        <f t="array" ref="CS449">SUMPRODUCT(TRANSPOSE(CS$4:CS$20),$G449:$W449)</f>
        <v>232</v>
      </c>
      <c r="CT449" s="93" cm="1">
        <f t="array" ref="CT449">SUMPRODUCT(TRANSPOSE(CT$4:CT$20),$G449:$W449)</f>
        <v>232</v>
      </c>
      <c r="CU449" s="93" cm="1">
        <f t="array" ref="CU449">SUMPRODUCT(TRANSPOSE(CU$4:CU$20),$G449:$W449)</f>
        <v>232</v>
      </c>
      <c r="CV449" s="93" cm="1">
        <f t="array" ref="CV449">SUMPRODUCT(TRANSPOSE(CV$4:CV$20),$G449:$W449)</f>
        <v>232</v>
      </c>
      <c r="CW449" s="93" cm="1">
        <f t="array" ref="CW449">SUMPRODUCT(TRANSPOSE(CW$4:CW$20),$G449:$W449)</f>
        <v>232</v>
      </c>
      <c r="CX449" s="93" cm="1">
        <f t="array" ref="CX449">SUMPRODUCT(TRANSPOSE(CX$4:CX$20),$G449:$W449)</f>
        <v>232</v>
      </c>
      <c r="CY449" s="93" cm="1">
        <f t="array" ref="CY449">SUMPRODUCT(TRANSPOSE(CY$4:CY$20),$G449:$W449)</f>
        <v>232</v>
      </c>
      <c r="CZ449" s="93" cm="1">
        <f t="array" ref="CZ449">SUMPRODUCT(TRANSPOSE(CZ$4:CZ$20),$G449:$W449)</f>
        <v>232</v>
      </c>
      <c r="DA449" s="93" cm="1">
        <f t="array" ref="DA449">SUMPRODUCT(TRANSPOSE(DA$4:DA$20),$G449:$W449)</f>
        <v>232</v>
      </c>
      <c r="DB449" s="93" cm="1">
        <f t="array" ref="DB449">SUMPRODUCT(TRANSPOSE(DB$4:DB$20),$G449:$W449)</f>
        <v>232</v>
      </c>
      <c r="DC449" s="93" cm="1">
        <f t="array" ref="DC449">SUMPRODUCT(TRANSPOSE(DC$4:DC$20),$G449:$W449)</f>
        <v>206</v>
      </c>
      <c r="DD449" s="93" cm="1">
        <f t="array" ref="DD449">SUMPRODUCT(TRANSPOSE(DD$4:DD$20),$G449:$W449)</f>
        <v>0</v>
      </c>
      <c r="DE449" s="93" cm="1">
        <f t="array" ref="DE449">SUMPRODUCT(TRANSPOSE(DE$4:DE$20),$G449:$W449)</f>
        <v>0</v>
      </c>
      <c r="DF449" s="93" cm="1">
        <f t="array" ref="DF449">SUMPRODUCT(TRANSPOSE(DF$4:DF$20),$G449:$W449)</f>
        <v>0</v>
      </c>
      <c r="DG449" s="93" cm="1">
        <f t="array" ref="DG449">SUMPRODUCT(TRANSPOSE(DG$4:DG$20),$G449:$W449)</f>
        <v>0</v>
      </c>
      <c r="DH449" s="93" cm="1">
        <f t="array" ref="DH449">SUMPRODUCT(TRANSPOSE(DH$4:DH$20),$G449:$W449)</f>
        <v>0</v>
      </c>
      <c r="DI449" s="93" cm="1">
        <f t="array" ref="DI449">SUMPRODUCT(TRANSPOSE(DI$4:DI$20),$G449:$W449)</f>
        <v>0</v>
      </c>
      <c r="DJ449" s="93" cm="1">
        <f t="array" ref="DJ449">SUMPRODUCT(TRANSPOSE(DJ$4:DJ$20),$G449:$W449)</f>
        <v>0</v>
      </c>
      <c r="DK449" s="93" cm="1">
        <f t="array" ref="DK449">SUMPRODUCT(TRANSPOSE(DK$4:DK$20),$G449:$W449)</f>
        <v>0</v>
      </c>
      <c r="DL449" s="93" cm="1">
        <f t="array" ref="DL449">SUMPRODUCT(TRANSPOSE(DL$4:DL$20),$G449:$W449)</f>
        <v>0</v>
      </c>
      <c r="DM449" s="93" cm="1">
        <f t="array" ref="DM449">SUMPRODUCT(TRANSPOSE(DM$4:DM$20),$G449:$W449)</f>
        <v>0</v>
      </c>
      <c r="DN449" s="93" cm="1">
        <f t="array" ref="DN449">SUMPRODUCT(TRANSPOSE(DN$4:DN$20),$G449:$W449)</f>
        <v>0</v>
      </c>
      <c r="DO449" s="93" cm="1">
        <f t="array" ref="DO449">SUMPRODUCT(TRANSPOSE(DO$4:DO$20),$G449:$W449)</f>
        <v>0</v>
      </c>
    </row>
    <row r="450" spans="1:119" x14ac:dyDescent="0.2">
      <c r="A450" s="45">
        <f t="shared" si="32"/>
        <v>429</v>
      </c>
      <c r="B450" s="64" t="s">
        <v>953</v>
      </c>
      <c r="C450" s="45">
        <v>512300203</v>
      </c>
      <c r="D450" s="45" t="s">
        <v>606</v>
      </c>
      <c r="E450" s="45" t="s">
        <v>162</v>
      </c>
      <c r="F450" s="48">
        <v>2</v>
      </c>
      <c r="G450" s="100">
        <v>0</v>
      </c>
      <c r="H450" s="100">
        <v>8</v>
      </c>
      <c r="I450" s="100">
        <v>0</v>
      </c>
      <c r="J450" s="100">
        <v>0</v>
      </c>
      <c r="K450" s="100">
        <v>0</v>
      </c>
      <c r="L450" s="100">
        <v>0</v>
      </c>
      <c r="M450" s="100">
        <v>0</v>
      </c>
      <c r="N450" s="100">
        <v>0</v>
      </c>
      <c r="O450" s="100">
        <v>0</v>
      </c>
      <c r="P450" s="100">
        <v>0</v>
      </c>
      <c r="Q450" s="100">
        <v>0</v>
      </c>
      <c r="R450" s="100">
        <v>0</v>
      </c>
      <c r="S450" s="100">
        <v>0</v>
      </c>
      <c r="T450" s="100">
        <v>0</v>
      </c>
      <c r="U450" s="100">
        <v>0</v>
      </c>
      <c r="V450" s="100">
        <v>0</v>
      </c>
      <c r="W450" s="100">
        <v>0</v>
      </c>
      <c r="X450" s="45" t="s">
        <v>24</v>
      </c>
      <c r="Y450" s="49">
        <v>0.17</v>
      </c>
      <c r="Z450" s="45">
        <v>1384</v>
      </c>
      <c r="AA450" s="45">
        <v>0</v>
      </c>
      <c r="AB450" s="45">
        <v>0</v>
      </c>
      <c r="AC450" s="45">
        <v>0</v>
      </c>
      <c r="AD450" s="45">
        <v>0</v>
      </c>
      <c r="AE450" s="45">
        <v>0</v>
      </c>
      <c r="AF450" s="45">
        <v>0</v>
      </c>
      <c r="AG450" s="45">
        <v>0</v>
      </c>
      <c r="AH450" s="45">
        <v>0</v>
      </c>
      <c r="AI450" s="45">
        <v>0</v>
      </c>
      <c r="AJ450" s="45">
        <v>0</v>
      </c>
      <c r="AK450" s="45">
        <v>0</v>
      </c>
      <c r="AL450" s="45">
        <v>0</v>
      </c>
      <c r="AM450" s="45">
        <v>0</v>
      </c>
      <c r="AN450" s="45">
        <v>0</v>
      </c>
      <c r="AO450" s="45"/>
      <c r="AP450" s="45"/>
      <c r="AQ450" s="45"/>
      <c r="AR450" s="45"/>
      <c r="AS450" s="45"/>
      <c r="AT450" s="45"/>
      <c r="AU450" s="45"/>
      <c r="AV450" s="45"/>
      <c r="AW450" s="45"/>
      <c r="AX450" s="45"/>
      <c r="AY450" s="45"/>
      <c r="AZ450" s="45"/>
      <c r="BA450" s="45"/>
      <c r="BB450" s="45"/>
      <c r="BC450" s="45"/>
      <c r="BD450" s="93"/>
      <c r="BE450" s="93"/>
      <c r="BF450" s="93"/>
      <c r="BG450" s="93"/>
      <c r="BH450" s="93"/>
      <c r="BI450" s="93"/>
      <c r="BJ450" s="93"/>
      <c r="BK450" s="93">
        <f>SUM($Z450:AD450)-SUM($CM450:CQ450)</f>
        <v>1320</v>
      </c>
      <c r="BL450" s="93">
        <f>SUM($Z450:AE450)-SUM($CM450:CR450)</f>
        <v>1256</v>
      </c>
      <c r="BM450" s="93">
        <f>SUM($Z450:AF450)-SUM($CM450:CS450)</f>
        <v>1192</v>
      </c>
      <c r="BN450" s="93">
        <f>SUM($Z450:AG450)-SUM($CM450:CT450)</f>
        <v>1128</v>
      </c>
      <c r="BO450" s="93">
        <f>SUM($Z450:AH450)-SUM($CM450:CU450)</f>
        <v>1064</v>
      </c>
      <c r="BP450" s="93">
        <f>SUM($Z450:AI450)-SUM($CM450:CV450)</f>
        <v>1000</v>
      </c>
      <c r="BQ450" s="93">
        <f>SUM($Z450:AJ450)-SUM($CM450:CW450)</f>
        <v>936</v>
      </c>
      <c r="BR450" s="93">
        <f>SUM($Z450:AK450)-SUM($CM450:CX450)</f>
        <v>872</v>
      </c>
      <c r="BS450" s="93">
        <f>SUM($Z450:AL450)-SUM($CM450:CY450)</f>
        <v>808</v>
      </c>
      <c r="BT450" s="93">
        <f>SUM($Z450:AM450)-SUM($CM450:CZ450)</f>
        <v>744</v>
      </c>
      <c r="BU450" s="93">
        <f>SUM($Z450:AN450)-SUM($CM450:DA450)</f>
        <v>680</v>
      </c>
      <c r="BV450" s="93">
        <f>SUM($Z450:AO450)-SUM($CM450:DB450)</f>
        <v>616</v>
      </c>
      <c r="BW450" s="93">
        <f>SUM($Z450:AP450)-SUM($CM450:DC450)</f>
        <v>568</v>
      </c>
      <c r="BX450" s="93">
        <f>SUM($Z450:AQ450)-SUM($CM450:DD450)</f>
        <v>568</v>
      </c>
      <c r="BY450" s="93">
        <f>SUM($Z450:AR450)-SUM($CM450:DE450)</f>
        <v>568</v>
      </c>
      <c r="BZ450" s="93">
        <f>SUM($Z450:AS450)-SUM($CM450:DF450)</f>
        <v>568</v>
      </c>
      <c r="CA450" s="93">
        <f>SUM($Z450:AT450)-SUM($CM450:DG450)</f>
        <v>568</v>
      </c>
      <c r="CB450" s="93">
        <f>SUM($Z450:AU450)-SUM($CM450:DH450)</f>
        <v>568</v>
      </c>
      <c r="CC450" s="93">
        <f>SUM($Z450:AV450)-SUM($CM450:DI450)</f>
        <v>568</v>
      </c>
      <c r="CD450" s="93">
        <f>SUM($Z450:AW450)-SUM($CM450:DJ450)</f>
        <v>568</v>
      </c>
      <c r="CE450" s="93">
        <f>SUM($Z450:AX450)-SUM($CM450:DK450)</f>
        <v>568</v>
      </c>
      <c r="CF450" s="93">
        <f>SUM($Z450:AY450)-SUM($CM450:DL450)</f>
        <v>568</v>
      </c>
      <c r="CG450" s="93">
        <f>SUM($Z450:AZ450)-SUM($CM450:DM450)</f>
        <v>568</v>
      </c>
      <c r="CH450" s="93">
        <f>SUM($Z450:BA450)-SUM($CM450:DN450)</f>
        <v>568</v>
      </c>
      <c r="CI450" s="93">
        <f>SUM($Z450:BB450)-SUM($CM450:DO450)</f>
        <v>568</v>
      </c>
      <c r="CJ450" s="93"/>
      <c r="CK450" s="93"/>
      <c r="CL450" s="93"/>
      <c r="CM450" s="93"/>
      <c r="CN450" s="93" cm="1">
        <f t="array" ref="CN450">SUMPRODUCT(TRANSPOSE(CN$4:CN$20),$G450:$W450)</f>
        <v>0</v>
      </c>
      <c r="CO450" s="93" cm="1">
        <f t="array" ref="CO450">SUMPRODUCT(TRANSPOSE(CO$4:CO$20),$G450:$W450)</f>
        <v>0</v>
      </c>
      <c r="CP450" s="93" cm="1">
        <f t="array" ref="CP450">SUMPRODUCT(TRANSPOSE(CP$4:CP$20),$G450:$W450)</f>
        <v>0</v>
      </c>
      <c r="CQ450" s="93" cm="1">
        <f t="array" ref="CQ450">SUMPRODUCT(TRANSPOSE(CQ$4:CQ$20),$G450:$W450)</f>
        <v>64</v>
      </c>
      <c r="CR450" s="93" cm="1">
        <f t="array" ref="CR450">SUMPRODUCT(TRANSPOSE(CR$4:CR$20),$G450:$W450)</f>
        <v>64</v>
      </c>
      <c r="CS450" s="93" cm="1">
        <f t="array" ref="CS450">SUMPRODUCT(TRANSPOSE(CS$4:CS$20),$G450:$W450)</f>
        <v>64</v>
      </c>
      <c r="CT450" s="93" cm="1">
        <f t="array" ref="CT450">SUMPRODUCT(TRANSPOSE(CT$4:CT$20),$G450:$W450)</f>
        <v>64</v>
      </c>
      <c r="CU450" s="93" cm="1">
        <f t="array" ref="CU450">SUMPRODUCT(TRANSPOSE(CU$4:CU$20),$G450:$W450)</f>
        <v>64</v>
      </c>
      <c r="CV450" s="93" cm="1">
        <f t="array" ref="CV450">SUMPRODUCT(TRANSPOSE(CV$4:CV$20),$G450:$W450)</f>
        <v>64</v>
      </c>
      <c r="CW450" s="93" cm="1">
        <f t="array" ref="CW450">SUMPRODUCT(TRANSPOSE(CW$4:CW$20),$G450:$W450)</f>
        <v>64</v>
      </c>
      <c r="CX450" s="93" cm="1">
        <f t="array" ref="CX450">SUMPRODUCT(TRANSPOSE(CX$4:CX$20),$G450:$W450)</f>
        <v>64</v>
      </c>
      <c r="CY450" s="93" cm="1">
        <f t="array" ref="CY450">SUMPRODUCT(TRANSPOSE(CY$4:CY$20),$G450:$W450)</f>
        <v>64</v>
      </c>
      <c r="CZ450" s="93" cm="1">
        <f t="array" ref="CZ450">SUMPRODUCT(TRANSPOSE(CZ$4:CZ$20),$G450:$W450)</f>
        <v>64</v>
      </c>
      <c r="DA450" s="93" cm="1">
        <f t="array" ref="DA450">SUMPRODUCT(TRANSPOSE(DA$4:DA$20),$G450:$W450)</f>
        <v>64</v>
      </c>
      <c r="DB450" s="93" cm="1">
        <f t="array" ref="DB450">SUMPRODUCT(TRANSPOSE(DB$4:DB$20),$G450:$W450)</f>
        <v>64</v>
      </c>
      <c r="DC450" s="93" cm="1">
        <f t="array" ref="DC450">SUMPRODUCT(TRANSPOSE(DC$4:DC$20),$G450:$W450)</f>
        <v>48</v>
      </c>
      <c r="DD450" s="93" cm="1">
        <f t="array" ref="DD450">SUMPRODUCT(TRANSPOSE(DD$4:DD$20),$G450:$W450)</f>
        <v>0</v>
      </c>
      <c r="DE450" s="93" cm="1">
        <f t="array" ref="DE450">SUMPRODUCT(TRANSPOSE(DE$4:DE$20),$G450:$W450)</f>
        <v>0</v>
      </c>
      <c r="DF450" s="93" cm="1">
        <f t="array" ref="DF450">SUMPRODUCT(TRANSPOSE(DF$4:DF$20),$G450:$W450)</f>
        <v>0</v>
      </c>
      <c r="DG450" s="93" cm="1">
        <f t="array" ref="DG450">SUMPRODUCT(TRANSPOSE(DG$4:DG$20),$G450:$W450)</f>
        <v>0</v>
      </c>
      <c r="DH450" s="93" cm="1">
        <f t="array" ref="DH450">SUMPRODUCT(TRANSPOSE(DH$4:DH$20),$G450:$W450)</f>
        <v>0</v>
      </c>
      <c r="DI450" s="93" cm="1">
        <f t="array" ref="DI450">SUMPRODUCT(TRANSPOSE(DI$4:DI$20),$G450:$W450)</f>
        <v>0</v>
      </c>
      <c r="DJ450" s="93" cm="1">
        <f t="array" ref="DJ450">SUMPRODUCT(TRANSPOSE(DJ$4:DJ$20),$G450:$W450)</f>
        <v>0</v>
      </c>
      <c r="DK450" s="93" cm="1">
        <f t="array" ref="DK450">SUMPRODUCT(TRANSPOSE(DK$4:DK$20),$G450:$W450)</f>
        <v>0</v>
      </c>
      <c r="DL450" s="93" cm="1">
        <f t="array" ref="DL450">SUMPRODUCT(TRANSPOSE(DL$4:DL$20),$G450:$W450)</f>
        <v>0</v>
      </c>
      <c r="DM450" s="93" cm="1">
        <f t="array" ref="DM450">SUMPRODUCT(TRANSPOSE(DM$4:DM$20),$G450:$W450)</f>
        <v>0</v>
      </c>
      <c r="DN450" s="93" cm="1">
        <f t="array" ref="DN450">SUMPRODUCT(TRANSPOSE(DN$4:DN$20),$G450:$W450)</f>
        <v>0</v>
      </c>
      <c r="DO450" s="93" cm="1">
        <f t="array" ref="DO450">SUMPRODUCT(TRANSPOSE(DO$4:DO$20),$G450:$W450)</f>
        <v>0</v>
      </c>
    </row>
    <row r="451" spans="1:119" x14ac:dyDescent="0.2">
      <c r="A451" s="45">
        <f t="shared" si="32"/>
        <v>430</v>
      </c>
      <c r="B451" s="64" t="s">
        <v>954</v>
      </c>
      <c r="C451" s="45">
        <v>512313172</v>
      </c>
      <c r="D451" s="45" t="s">
        <v>614</v>
      </c>
      <c r="E451" s="45" t="s">
        <v>162</v>
      </c>
      <c r="F451" s="48">
        <v>2</v>
      </c>
      <c r="G451" s="100">
        <v>0</v>
      </c>
      <c r="H451" s="100">
        <v>0</v>
      </c>
      <c r="I451" s="100">
        <v>0</v>
      </c>
      <c r="J451" s="100">
        <v>0</v>
      </c>
      <c r="K451" s="100">
        <v>0</v>
      </c>
      <c r="L451" s="100">
        <v>0</v>
      </c>
      <c r="M451" s="100">
        <v>0</v>
      </c>
      <c r="N451" s="100">
        <v>0</v>
      </c>
      <c r="O451" s="100">
        <v>0</v>
      </c>
      <c r="P451" s="100">
        <v>0</v>
      </c>
      <c r="Q451" s="100">
        <v>0</v>
      </c>
      <c r="R451" s="100">
        <v>0</v>
      </c>
      <c r="S451" s="100">
        <v>0</v>
      </c>
      <c r="T451" s="100">
        <v>0</v>
      </c>
      <c r="U451" s="100">
        <v>0</v>
      </c>
      <c r="V451" s="100">
        <v>0</v>
      </c>
      <c r="W451" s="100">
        <v>0</v>
      </c>
      <c r="X451" s="45" t="s">
        <v>24</v>
      </c>
      <c r="Y451" s="49">
        <v>0.06</v>
      </c>
      <c r="Z451" s="45">
        <v>1061</v>
      </c>
      <c r="AA451" s="45">
        <v>0</v>
      </c>
      <c r="AB451" s="45">
        <v>0</v>
      </c>
      <c r="AC451" s="45">
        <v>0</v>
      </c>
      <c r="AD451" s="45">
        <v>0</v>
      </c>
      <c r="AE451" s="45">
        <v>0</v>
      </c>
      <c r="AF451" s="45">
        <v>0</v>
      </c>
      <c r="AG451" s="45">
        <v>0</v>
      </c>
      <c r="AH451" s="45">
        <v>0</v>
      </c>
      <c r="AI451" s="45">
        <v>0</v>
      </c>
      <c r="AJ451" s="45">
        <v>0</v>
      </c>
      <c r="AK451" s="45">
        <v>0</v>
      </c>
      <c r="AL451" s="45">
        <v>0</v>
      </c>
      <c r="AM451" s="45">
        <v>0</v>
      </c>
      <c r="AN451" s="45">
        <v>0</v>
      </c>
      <c r="AO451" s="45"/>
      <c r="AP451" s="45"/>
      <c r="AQ451" s="45"/>
      <c r="AR451" s="45"/>
      <c r="AS451" s="45"/>
      <c r="AT451" s="45"/>
      <c r="AU451" s="45"/>
      <c r="AV451" s="45"/>
      <c r="AW451" s="45"/>
      <c r="AX451" s="45"/>
      <c r="AY451" s="45"/>
      <c r="AZ451" s="45"/>
      <c r="BA451" s="45"/>
      <c r="BB451" s="45"/>
      <c r="BC451" s="45"/>
      <c r="BD451" s="93"/>
      <c r="BE451" s="93"/>
      <c r="BF451" s="93"/>
      <c r="BG451" s="93"/>
      <c r="BH451" s="93"/>
      <c r="BI451" s="93"/>
      <c r="BJ451" s="93"/>
      <c r="BK451" s="93">
        <f>SUM($Z451:AD451)-SUM($CM451:CQ451)</f>
        <v>1061</v>
      </c>
      <c r="BL451" s="93">
        <f>SUM($Z451:AE451)-SUM($CM451:CR451)</f>
        <v>1061</v>
      </c>
      <c r="BM451" s="93">
        <f>SUM($Z451:AF451)-SUM($CM451:CS451)</f>
        <v>1061</v>
      </c>
      <c r="BN451" s="93">
        <f>SUM($Z451:AG451)-SUM($CM451:CT451)</f>
        <v>1061</v>
      </c>
      <c r="BO451" s="93">
        <f>SUM($Z451:AH451)-SUM($CM451:CU451)</f>
        <v>1061</v>
      </c>
      <c r="BP451" s="93">
        <f>SUM($Z451:AI451)-SUM($CM451:CV451)</f>
        <v>1061</v>
      </c>
      <c r="BQ451" s="93">
        <f>SUM($Z451:AJ451)-SUM($CM451:CW451)</f>
        <v>1061</v>
      </c>
      <c r="BR451" s="93">
        <f>SUM($Z451:AK451)-SUM($CM451:CX451)</f>
        <v>1061</v>
      </c>
      <c r="BS451" s="93">
        <f>SUM($Z451:AL451)-SUM($CM451:CY451)</f>
        <v>1061</v>
      </c>
      <c r="BT451" s="93">
        <f>SUM($Z451:AM451)-SUM($CM451:CZ451)</f>
        <v>1061</v>
      </c>
      <c r="BU451" s="93">
        <f>SUM($Z451:AN451)-SUM($CM451:DA451)</f>
        <v>1061</v>
      </c>
      <c r="BV451" s="93">
        <f>SUM($Z451:AO451)-SUM($CM451:DB451)</f>
        <v>1061</v>
      </c>
      <c r="BW451" s="93">
        <f>SUM($Z451:AP451)-SUM($CM451:DC451)</f>
        <v>1061</v>
      </c>
      <c r="BX451" s="93">
        <f>SUM($Z451:AQ451)-SUM($CM451:DD451)</f>
        <v>1061</v>
      </c>
      <c r="BY451" s="93">
        <f>SUM($Z451:AR451)-SUM($CM451:DE451)</f>
        <v>1061</v>
      </c>
      <c r="BZ451" s="93">
        <f>SUM($Z451:AS451)-SUM($CM451:DF451)</f>
        <v>1061</v>
      </c>
      <c r="CA451" s="93">
        <f>SUM($Z451:AT451)-SUM($CM451:DG451)</f>
        <v>1061</v>
      </c>
      <c r="CB451" s="93">
        <f>SUM($Z451:AU451)-SUM($CM451:DH451)</f>
        <v>1061</v>
      </c>
      <c r="CC451" s="93">
        <f>SUM($Z451:AV451)-SUM($CM451:DI451)</f>
        <v>1061</v>
      </c>
      <c r="CD451" s="93">
        <f>SUM($Z451:AW451)-SUM($CM451:DJ451)</f>
        <v>1061</v>
      </c>
      <c r="CE451" s="93">
        <f>SUM($Z451:AX451)-SUM($CM451:DK451)</f>
        <v>1061</v>
      </c>
      <c r="CF451" s="93">
        <f>SUM($Z451:AY451)-SUM($CM451:DL451)</f>
        <v>1061</v>
      </c>
      <c r="CG451" s="93">
        <f>SUM($Z451:AZ451)-SUM($CM451:DM451)</f>
        <v>1061</v>
      </c>
      <c r="CH451" s="93">
        <f>SUM($Z451:BA451)-SUM($CM451:DN451)</f>
        <v>1061</v>
      </c>
      <c r="CI451" s="93">
        <f>SUM($Z451:BB451)-SUM($CM451:DO451)</f>
        <v>1061</v>
      </c>
      <c r="CJ451" s="93"/>
      <c r="CK451" s="93"/>
      <c r="CL451" s="93"/>
      <c r="CM451" s="93"/>
      <c r="CN451" s="93" cm="1">
        <f t="array" ref="CN451">SUMPRODUCT(TRANSPOSE(CN$4:CN$20),$G451:$W451)</f>
        <v>0</v>
      </c>
      <c r="CO451" s="93" cm="1">
        <f t="array" ref="CO451">SUMPRODUCT(TRANSPOSE(CO$4:CO$20),$G451:$W451)</f>
        <v>0</v>
      </c>
      <c r="CP451" s="93" cm="1">
        <f t="array" ref="CP451">SUMPRODUCT(TRANSPOSE(CP$4:CP$20),$G451:$W451)</f>
        <v>0</v>
      </c>
      <c r="CQ451" s="93" cm="1">
        <f t="array" ref="CQ451">SUMPRODUCT(TRANSPOSE(CQ$4:CQ$20),$G451:$W451)</f>
        <v>0</v>
      </c>
      <c r="CR451" s="93" cm="1">
        <f t="array" ref="CR451">SUMPRODUCT(TRANSPOSE(CR$4:CR$20),$G451:$W451)</f>
        <v>0</v>
      </c>
      <c r="CS451" s="93" cm="1">
        <f t="array" ref="CS451">SUMPRODUCT(TRANSPOSE(CS$4:CS$20),$G451:$W451)</f>
        <v>0</v>
      </c>
      <c r="CT451" s="93" cm="1">
        <f t="array" ref="CT451">SUMPRODUCT(TRANSPOSE(CT$4:CT$20),$G451:$W451)</f>
        <v>0</v>
      </c>
      <c r="CU451" s="93" cm="1">
        <f t="array" ref="CU451">SUMPRODUCT(TRANSPOSE(CU$4:CU$20),$G451:$W451)</f>
        <v>0</v>
      </c>
      <c r="CV451" s="93" cm="1">
        <f t="array" ref="CV451">SUMPRODUCT(TRANSPOSE(CV$4:CV$20),$G451:$W451)</f>
        <v>0</v>
      </c>
      <c r="CW451" s="93" cm="1">
        <f t="array" ref="CW451">SUMPRODUCT(TRANSPOSE(CW$4:CW$20),$G451:$W451)</f>
        <v>0</v>
      </c>
      <c r="CX451" s="93" cm="1">
        <f t="array" ref="CX451">SUMPRODUCT(TRANSPOSE(CX$4:CX$20),$G451:$W451)</f>
        <v>0</v>
      </c>
      <c r="CY451" s="93" cm="1">
        <f t="array" ref="CY451">SUMPRODUCT(TRANSPOSE(CY$4:CY$20),$G451:$W451)</f>
        <v>0</v>
      </c>
      <c r="CZ451" s="93" cm="1">
        <f t="array" ref="CZ451">SUMPRODUCT(TRANSPOSE(CZ$4:CZ$20),$G451:$W451)</f>
        <v>0</v>
      </c>
      <c r="DA451" s="93" cm="1">
        <f t="array" ref="DA451">SUMPRODUCT(TRANSPOSE(DA$4:DA$20),$G451:$W451)</f>
        <v>0</v>
      </c>
      <c r="DB451" s="93" cm="1">
        <f t="array" ref="DB451">SUMPRODUCT(TRANSPOSE(DB$4:DB$20),$G451:$W451)</f>
        <v>0</v>
      </c>
      <c r="DC451" s="93" cm="1">
        <f t="array" ref="DC451">SUMPRODUCT(TRANSPOSE(DC$4:DC$20),$G451:$W451)</f>
        <v>0</v>
      </c>
      <c r="DD451" s="93" cm="1">
        <f t="array" ref="DD451">SUMPRODUCT(TRANSPOSE(DD$4:DD$20),$G451:$W451)</f>
        <v>0</v>
      </c>
      <c r="DE451" s="93" cm="1">
        <f t="array" ref="DE451">SUMPRODUCT(TRANSPOSE(DE$4:DE$20),$G451:$W451)</f>
        <v>0</v>
      </c>
      <c r="DF451" s="93" cm="1">
        <f t="array" ref="DF451">SUMPRODUCT(TRANSPOSE(DF$4:DF$20),$G451:$W451)</f>
        <v>0</v>
      </c>
      <c r="DG451" s="93" cm="1">
        <f t="array" ref="DG451">SUMPRODUCT(TRANSPOSE(DG$4:DG$20),$G451:$W451)</f>
        <v>0</v>
      </c>
      <c r="DH451" s="93" cm="1">
        <f t="array" ref="DH451">SUMPRODUCT(TRANSPOSE(DH$4:DH$20),$G451:$W451)</f>
        <v>0</v>
      </c>
      <c r="DI451" s="93" cm="1">
        <f t="array" ref="DI451">SUMPRODUCT(TRANSPOSE(DI$4:DI$20),$G451:$W451)</f>
        <v>0</v>
      </c>
      <c r="DJ451" s="93" cm="1">
        <f t="array" ref="DJ451">SUMPRODUCT(TRANSPOSE(DJ$4:DJ$20),$G451:$W451)</f>
        <v>0</v>
      </c>
      <c r="DK451" s="93" cm="1">
        <f t="array" ref="DK451">SUMPRODUCT(TRANSPOSE(DK$4:DK$20),$G451:$W451)</f>
        <v>0</v>
      </c>
      <c r="DL451" s="93" cm="1">
        <f t="array" ref="DL451">SUMPRODUCT(TRANSPOSE(DL$4:DL$20),$G451:$W451)</f>
        <v>0</v>
      </c>
      <c r="DM451" s="93" cm="1">
        <f t="array" ref="DM451">SUMPRODUCT(TRANSPOSE(DM$4:DM$20),$G451:$W451)</f>
        <v>0</v>
      </c>
      <c r="DN451" s="93" cm="1">
        <f t="array" ref="DN451">SUMPRODUCT(TRANSPOSE(DN$4:DN$20),$G451:$W451)</f>
        <v>0</v>
      </c>
      <c r="DO451" s="93" cm="1">
        <f t="array" ref="DO451">SUMPRODUCT(TRANSPOSE(DO$4:DO$20),$G451:$W451)</f>
        <v>0</v>
      </c>
    </row>
    <row r="452" spans="1:119" x14ac:dyDescent="0.2">
      <c r="A452" s="45">
        <f t="shared" si="32"/>
        <v>431</v>
      </c>
      <c r="B452" s="64" t="s">
        <v>955</v>
      </c>
      <c r="C452" s="45">
        <v>512312810</v>
      </c>
      <c r="D452" s="45" t="s">
        <v>612</v>
      </c>
      <c r="E452" s="45" t="s">
        <v>162</v>
      </c>
      <c r="F452" s="48">
        <v>2</v>
      </c>
      <c r="G452" s="100">
        <v>0</v>
      </c>
      <c r="H452" s="100">
        <v>0</v>
      </c>
      <c r="I452" s="100">
        <v>0</v>
      </c>
      <c r="J452" s="100">
        <v>0</v>
      </c>
      <c r="K452" s="100">
        <v>0</v>
      </c>
      <c r="L452" s="100">
        <v>0</v>
      </c>
      <c r="M452" s="100">
        <v>0</v>
      </c>
      <c r="N452" s="100">
        <v>0</v>
      </c>
      <c r="O452" s="100">
        <v>0</v>
      </c>
      <c r="P452" s="100">
        <v>0</v>
      </c>
      <c r="Q452" s="100">
        <v>0</v>
      </c>
      <c r="R452" s="100">
        <v>0</v>
      </c>
      <c r="S452" s="100">
        <v>0</v>
      </c>
      <c r="T452" s="100">
        <v>0</v>
      </c>
      <c r="U452" s="100">
        <v>0</v>
      </c>
      <c r="V452" s="100">
        <v>0</v>
      </c>
      <c r="W452" s="100">
        <v>0</v>
      </c>
      <c r="X452" s="45" t="s">
        <v>24</v>
      </c>
      <c r="Y452" s="49">
        <v>0.115</v>
      </c>
      <c r="Z452" s="45">
        <v>531</v>
      </c>
      <c r="AA452" s="45">
        <v>0</v>
      </c>
      <c r="AB452" s="45">
        <v>0</v>
      </c>
      <c r="AC452" s="45">
        <v>0</v>
      </c>
      <c r="AD452" s="45">
        <v>0</v>
      </c>
      <c r="AE452" s="45">
        <v>0</v>
      </c>
      <c r="AF452" s="45">
        <v>0</v>
      </c>
      <c r="AG452" s="45">
        <v>0</v>
      </c>
      <c r="AH452" s="45">
        <v>0</v>
      </c>
      <c r="AI452" s="45">
        <v>0</v>
      </c>
      <c r="AJ452" s="45">
        <v>0</v>
      </c>
      <c r="AK452" s="45">
        <v>0</v>
      </c>
      <c r="AL452" s="45">
        <v>0</v>
      </c>
      <c r="AM452" s="45">
        <v>0</v>
      </c>
      <c r="AN452" s="45">
        <v>0</v>
      </c>
      <c r="AO452" s="45"/>
      <c r="AP452" s="45"/>
      <c r="AQ452" s="45"/>
      <c r="AR452" s="45"/>
      <c r="AS452" s="45"/>
      <c r="AT452" s="45"/>
      <c r="AU452" s="45"/>
      <c r="AV452" s="45"/>
      <c r="AW452" s="45"/>
      <c r="AX452" s="45"/>
      <c r="AY452" s="45"/>
      <c r="AZ452" s="45"/>
      <c r="BA452" s="45"/>
      <c r="BB452" s="45"/>
      <c r="BC452" s="45"/>
      <c r="BD452" s="93"/>
      <c r="BE452" s="93"/>
      <c r="BF452" s="93"/>
      <c r="BG452" s="93"/>
      <c r="BH452" s="93"/>
      <c r="BI452" s="93"/>
      <c r="BJ452" s="93"/>
      <c r="BK452" s="93">
        <f>SUM($Z452:AD452)-SUM($CM452:CQ452)</f>
        <v>531</v>
      </c>
      <c r="BL452" s="93">
        <f>SUM($Z452:AE452)-SUM($CM452:CR452)</f>
        <v>531</v>
      </c>
      <c r="BM452" s="93">
        <f>SUM($Z452:AF452)-SUM($CM452:CS452)</f>
        <v>531</v>
      </c>
      <c r="BN452" s="93">
        <f>SUM($Z452:AG452)-SUM($CM452:CT452)</f>
        <v>531</v>
      </c>
      <c r="BO452" s="93">
        <f>SUM($Z452:AH452)-SUM($CM452:CU452)</f>
        <v>531</v>
      </c>
      <c r="BP452" s="93">
        <f>SUM($Z452:AI452)-SUM($CM452:CV452)</f>
        <v>531</v>
      </c>
      <c r="BQ452" s="93">
        <f>SUM($Z452:AJ452)-SUM($CM452:CW452)</f>
        <v>531</v>
      </c>
      <c r="BR452" s="93">
        <f>SUM($Z452:AK452)-SUM($CM452:CX452)</f>
        <v>531</v>
      </c>
      <c r="BS452" s="93">
        <f>SUM($Z452:AL452)-SUM($CM452:CY452)</f>
        <v>531</v>
      </c>
      <c r="BT452" s="93">
        <f>SUM($Z452:AM452)-SUM($CM452:CZ452)</f>
        <v>531</v>
      </c>
      <c r="BU452" s="93">
        <f>SUM($Z452:AN452)-SUM($CM452:DA452)</f>
        <v>531</v>
      </c>
      <c r="BV452" s="93">
        <f>SUM($Z452:AO452)-SUM($CM452:DB452)</f>
        <v>531</v>
      </c>
      <c r="BW452" s="93">
        <f>SUM($Z452:AP452)-SUM($CM452:DC452)</f>
        <v>531</v>
      </c>
      <c r="BX452" s="93">
        <f>SUM($Z452:AQ452)-SUM($CM452:DD452)</f>
        <v>531</v>
      </c>
      <c r="BY452" s="93">
        <f>SUM($Z452:AR452)-SUM($CM452:DE452)</f>
        <v>531</v>
      </c>
      <c r="BZ452" s="93">
        <f>SUM($Z452:AS452)-SUM($CM452:DF452)</f>
        <v>531</v>
      </c>
      <c r="CA452" s="93">
        <f>SUM($Z452:AT452)-SUM($CM452:DG452)</f>
        <v>531</v>
      </c>
      <c r="CB452" s="93">
        <f>SUM($Z452:AU452)-SUM($CM452:DH452)</f>
        <v>531</v>
      </c>
      <c r="CC452" s="93">
        <f>SUM($Z452:AV452)-SUM($CM452:DI452)</f>
        <v>531</v>
      </c>
      <c r="CD452" s="93">
        <f>SUM($Z452:AW452)-SUM($CM452:DJ452)</f>
        <v>531</v>
      </c>
      <c r="CE452" s="93">
        <f>SUM($Z452:AX452)-SUM($CM452:DK452)</f>
        <v>531</v>
      </c>
      <c r="CF452" s="93">
        <f>SUM($Z452:AY452)-SUM($CM452:DL452)</f>
        <v>531</v>
      </c>
      <c r="CG452" s="93">
        <f>SUM($Z452:AZ452)-SUM($CM452:DM452)</f>
        <v>531</v>
      </c>
      <c r="CH452" s="93">
        <f>SUM($Z452:BA452)-SUM($CM452:DN452)</f>
        <v>531</v>
      </c>
      <c r="CI452" s="93">
        <f>SUM($Z452:BB452)-SUM($CM452:DO452)</f>
        <v>531</v>
      </c>
      <c r="CJ452" s="93"/>
      <c r="CK452" s="93"/>
      <c r="CL452" s="93"/>
      <c r="CM452" s="93"/>
      <c r="CN452" s="93" cm="1">
        <f t="array" ref="CN452">SUMPRODUCT(TRANSPOSE(CN$4:CN$20),$G452:$W452)</f>
        <v>0</v>
      </c>
      <c r="CO452" s="93" cm="1">
        <f t="array" ref="CO452">SUMPRODUCT(TRANSPOSE(CO$4:CO$20),$G452:$W452)</f>
        <v>0</v>
      </c>
      <c r="CP452" s="93" cm="1">
        <f t="array" ref="CP452">SUMPRODUCT(TRANSPOSE(CP$4:CP$20),$G452:$W452)</f>
        <v>0</v>
      </c>
      <c r="CQ452" s="93" cm="1">
        <f t="array" ref="CQ452">SUMPRODUCT(TRANSPOSE(CQ$4:CQ$20),$G452:$W452)</f>
        <v>0</v>
      </c>
      <c r="CR452" s="93" cm="1">
        <f t="array" ref="CR452">SUMPRODUCT(TRANSPOSE(CR$4:CR$20),$G452:$W452)</f>
        <v>0</v>
      </c>
      <c r="CS452" s="93" cm="1">
        <f t="array" ref="CS452">SUMPRODUCT(TRANSPOSE(CS$4:CS$20),$G452:$W452)</f>
        <v>0</v>
      </c>
      <c r="CT452" s="93" cm="1">
        <f t="array" ref="CT452">SUMPRODUCT(TRANSPOSE(CT$4:CT$20),$G452:$W452)</f>
        <v>0</v>
      </c>
      <c r="CU452" s="93" cm="1">
        <f t="array" ref="CU452">SUMPRODUCT(TRANSPOSE(CU$4:CU$20),$G452:$W452)</f>
        <v>0</v>
      </c>
      <c r="CV452" s="93" cm="1">
        <f t="array" ref="CV452">SUMPRODUCT(TRANSPOSE(CV$4:CV$20),$G452:$W452)</f>
        <v>0</v>
      </c>
      <c r="CW452" s="93" cm="1">
        <f t="array" ref="CW452">SUMPRODUCT(TRANSPOSE(CW$4:CW$20),$G452:$W452)</f>
        <v>0</v>
      </c>
      <c r="CX452" s="93" cm="1">
        <f t="array" ref="CX452">SUMPRODUCT(TRANSPOSE(CX$4:CX$20),$G452:$W452)</f>
        <v>0</v>
      </c>
      <c r="CY452" s="93" cm="1">
        <f t="array" ref="CY452">SUMPRODUCT(TRANSPOSE(CY$4:CY$20),$G452:$W452)</f>
        <v>0</v>
      </c>
      <c r="CZ452" s="93" cm="1">
        <f t="array" ref="CZ452">SUMPRODUCT(TRANSPOSE(CZ$4:CZ$20),$G452:$W452)</f>
        <v>0</v>
      </c>
      <c r="DA452" s="93" cm="1">
        <f t="array" ref="DA452">SUMPRODUCT(TRANSPOSE(DA$4:DA$20),$G452:$W452)</f>
        <v>0</v>
      </c>
      <c r="DB452" s="93" cm="1">
        <f t="array" ref="DB452">SUMPRODUCT(TRANSPOSE(DB$4:DB$20),$G452:$W452)</f>
        <v>0</v>
      </c>
      <c r="DC452" s="93" cm="1">
        <f t="array" ref="DC452">SUMPRODUCT(TRANSPOSE(DC$4:DC$20),$G452:$W452)</f>
        <v>0</v>
      </c>
      <c r="DD452" s="93" cm="1">
        <f t="array" ref="DD452">SUMPRODUCT(TRANSPOSE(DD$4:DD$20),$G452:$W452)</f>
        <v>0</v>
      </c>
      <c r="DE452" s="93" cm="1">
        <f t="array" ref="DE452">SUMPRODUCT(TRANSPOSE(DE$4:DE$20),$G452:$W452)</f>
        <v>0</v>
      </c>
      <c r="DF452" s="93" cm="1">
        <f t="array" ref="DF452">SUMPRODUCT(TRANSPOSE(DF$4:DF$20),$G452:$W452)</f>
        <v>0</v>
      </c>
      <c r="DG452" s="93" cm="1">
        <f t="array" ref="DG452">SUMPRODUCT(TRANSPOSE(DG$4:DG$20),$G452:$W452)</f>
        <v>0</v>
      </c>
      <c r="DH452" s="93" cm="1">
        <f t="array" ref="DH452">SUMPRODUCT(TRANSPOSE(DH$4:DH$20),$G452:$W452)</f>
        <v>0</v>
      </c>
      <c r="DI452" s="93" cm="1">
        <f t="array" ref="DI452">SUMPRODUCT(TRANSPOSE(DI$4:DI$20),$G452:$W452)</f>
        <v>0</v>
      </c>
      <c r="DJ452" s="93" cm="1">
        <f t="array" ref="DJ452">SUMPRODUCT(TRANSPOSE(DJ$4:DJ$20),$G452:$W452)</f>
        <v>0</v>
      </c>
      <c r="DK452" s="93" cm="1">
        <f t="array" ref="DK452">SUMPRODUCT(TRANSPOSE(DK$4:DK$20),$G452:$W452)</f>
        <v>0</v>
      </c>
      <c r="DL452" s="93" cm="1">
        <f t="array" ref="DL452">SUMPRODUCT(TRANSPOSE(DL$4:DL$20),$G452:$W452)</f>
        <v>0</v>
      </c>
      <c r="DM452" s="93" cm="1">
        <f t="array" ref="DM452">SUMPRODUCT(TRANSPOSE(DM$4:DM$20),$G452:$W452)</f>
        <v>0</v>
      </c>
      <c r="DN452" s="93" cm="1">
        <f t="array" ref="DN452">SUMPRODUCT(TRANSPOSE(DN$4:DN$20),$G452:$W452)</f>
        <v>0</v>
      </c>
      <c r="DO452" s="93" cm="1">
        <f t="array" ref="DO452">SUMPRODUCT(TRANSPOSE(DO$4:DO$20),$G452:$W452)</f>
        <v>0</v>
      </c>
    </row>
    <row r="453" spans="1:119" x14ac:dyDescent="0.2">
      <c r="A453" s="45">
        <f t="shared" si="32"/>
        <v>432</v>
      </c>
      <c r="B453" s="64" t="s">
        <v>956</v>
      </c>
      <c r="C453" s="45">
        <v>512306184</v>
      </c>
      <c r="D453" s="45" t="s">
        <v>614</v>
      </c>
      <c r="E453" s="45" t="s">
        <v>162</v>
      </c>
      <c r="F453" s="48">
        <v>2</v>
      </c>
      <c r="G453" s="100">
        <v>16</v>
      </c>
      <c r="H453" s="100">
        <v>0</v>
      </c>
      <c r="I453" s="100">
        <v>0</v>
      </c>
      <c r="J453" s="100">
        <v>0</v>
      </c>
      <c r="K453" s="100">
        <v>0</v>
      </c>
      <c r="L453" s="100">
        <v>0</v>
      </c>
      <c r="M453" s="100">
        <v>0</v>
      </c>
      <c r="N453" s="100">
        <v>0</v>
      </c>
      <c r="O453" s="100">
        <v>0</v>
      </c>
      <c r="P453" s="100">
        <v>0</v>
      </c>
      <c r="Q453" s="100">
        <v>0</v>
      </c>
      <c r="R453" s="100">
        <v>0</v>
      </c>
      <c r="S453" s="100">
        <v>0</v>
      </c>
      <c r="T453" s="100">
        <v>0</v>
      </c>
      <c r="U453" s="100">
        <v>0</v>
      </c>
      <c r="V453" s="100">
        <v>0</v>
      </c>
      <c r="W453" s="100">
        <v>0</v>
      </c>
      <c r="X453" s="45" t="s">
        <v>24</v>
      </c>
      <c r="Y453" s="49">
        <v>7.0000000000000007E-2</v>
      </c>
      <c r="Z453" s="45">
        <v>2122</v>
      </c>
      <c r="AA453" s="45">
        <v>0</v>
      </c>
      <c r="AB453" s="45">
        <v>0</v>
      </c>
      <c r="AC453" s="45">
        <v>0</v>
      </c>
      <c r="AD453" s="45">
        <v>0</v>
      </c>
      <c r="AE453" s="45">
        <v>0</v>
      </c>
      <c r="AF453" s="45">
        <v>0</v>
      </c>
      <c r="AG453" s="45">
        <v>0</v>
      </c>
      <c r="AH453" s="45">
        <v>0</v>
      </c>
      <c r="AI453" s="45">
        <v>0</v>
      </c>
      <c r="AJ453" s="45">
        <v>0</v>
      </c>
      <c r="AK453" s="45">
        <v>0</v>
      </c>
      <c r="AL453" s="45">
        <v>0</v>
      </c>
      <c r="AM453" s="45">
        <v>0</v>
      </c>
      <c r="AN453" s="45">
        <v>0</v>
      </c>
      <c r="AO453" s="45"/>
      <c r="AP453" s="45"/>
      <c r="AQ453" s="45"/>
      <c r="AR453" s="45"/>
      <c r="AS453" s="45"/>
      <c r="AT453" s="45"/>
      <c r="AU453" s="45"/>
      <c r="AV453" s="45"/>
      <c r="AW453" s="45"/>
      <c r="AX453" s="45"/>
      <c r="AY453" s="45"/>
      <c r="AZ453" s="45"/>
      <c r="BA453" s="45"/>
      <c r="BB453" s="45"/>
      <c r="BC453" s="45"/>
      <c r="BD453" s="93"/>
      <c r="BE453" s="93"/>
      <c r="BF453" s="93"/>
      <c r="BG453" s="93"/>
      <c r="BH453" s="93"/>
      <c r="BI453" s="93"/>
      <c r="BJ453" s="93"/>
      <c r="BK453" s="93">
        <f>SUM($Z453:AD453)-SUM($CM453:CQ453)</f>
        <v>1994</v>
      </c>
      <c r="BL453" s="93">
        <f>SUM($Z453:AE453)-SUM($CM453:CR453)</f>
        <v>1866</v>
      </c>
      <c r="BM453" s="93">
        <f>SUM($Z453:AF453)-SUM($CM453:CS453)</f>
        <v>1738</v>
      </c>
      <c r="BN453" s="93">
        <f>SUM($Z453:AG453)-SUM($CM453:CT453)</f>
        <v>1610</v>
      </c>
      <c r="BO453" s="93">
        <f>SUM($Z453:AH453)-SUM($CM453:CU453)</f>
        <v>1482</v>
      </c>
      <c r="BP453" s="93">
        <f>SUM($Z453:AI453)-SUM($CM453:CV453)</f>
        <v>1354</v>
      </c>
      <c r="BQ453" s="93">
        <f>SUM($Z453:AJ453)-SUM($CM453:CW453)</f>
        <v>1226</v>
      </c>
      <c r="BR453" s="93">
        <f>SUM($Z453:AK453)-SUM($CM453:CX453)</f>
        <v>1098</v>
      </c>
      <c r="BS453" s="93">
        <f>SUM($Z453:AL453)-SUM($CM453:CY453)</f>
        <v>970</v>
      </c>
      <c r="BT453" s="93">
        <f>SUM($Z453:AM453)-SUM($CM453:CZ453)</f>
        <v>842</v>
      </c>
      <c r="BU453" s="93">
        <f>SUM($Z453:AN453)-SUM($CM453:DA453)</f>
        <v>714</v>
      </c>
      <c r="BV453" s="93">
        <f>SUM($Z453:AO453)-SUM($CM453:DB453)</f>
        <v>586</v>
      </c>
      <c r="BW453" s="93">
        <f>SUM($Z453:AP453)-SUM($CM453:DC453)</f>
        <v>490</v>
      </c>
      <c r="BX453" s="93">
        <f>SUM($Z453:AQ453)-SUM($CM453:DD453)</f>
        <v>490</v>
      </c>
      <c r="BY453" s="93">
        <f>SUM($Z453:AR453)-SUM($CM453:DE453)</f>
        <v>490</v>
      </c>
      <c r="BZ453" s="93">
        <f>SUM($Z453:AS453)-SUM($CM453:DF453)</f>
        <v>490</v>
      </c>
      <c r="CA453" s="93">
        <f>SUM($Z453:AT453)-SUM($CM453:DG453)</f>
        <v>490</v>
      </c>
      <c r="CB453" s="93">
        <f>SUM($Z453:AU453)-SUM($CM453:DH453)</f>
        <v>490</v>
      </c>
      <c r="CC453" s="93">
        <f>SUM($Z453:AV453)-SUM($CM453:DI453)</f>
        <v>490</v>
      </c>
      <c r="CD453" s="93">
        <f>SUM($Z453:AW453)-SUM($CM453:DJ453)</f>
        <v>490</v>
      </c>
      <c r="CE453" s="93">
        <f>SUM($Z453:AX453)-SUM($CM453:DK453)</f>
        <v>490</v>
      </c>
      <c r="CF453" s="93">
        <f>SUM($Z453:AY453)-SUM($CM453:DL453)</f>
        <v>490</v>
      </c>
      <c r="CG453" s="93">
        <f>SUM($Z453:AZ453)-SUM($CM453:DM453)</f>
        <v>490</v>
      </c>
      <c r="CH453" s="93">
        <f>SUM($Z453:BA453)-SUM($CM453:DN453)</f>
        <v>490</v>
      </c>
      <c r="CI453" s="93">
        <f>SUM($Z453:BB453)-SUM($CM453:DO453)</f>
        <v>490</v>
      </c>
      <c r="CJ453" s="93"/>
      <c r="CK453" s="93"/>
      <c r="CL453" s="93"/>
      <c r="CM453" s="93"/>
      <c r="CN453" s="93" cm="1">
        <f t="array" ref="CN453">SUMPRODUCT(TRANSPOSE(CN$4:CN$20),$G453:$W453)</f>
        <v>0</v>
      </c>
      <c r="CO453" s="93" cm="1">
        <f t="array" ref="CO453">SUMPRODUCT(TRANSPOSE(CO$4:CO$20),$G453:$W453)</f>
        <v>0</v>
      </c>
      <c r="CP453" s="93" cm="1">
        <f t="array" ref="CP453">SUMPRODUCT(TRANSPOSE(CP$4:CP$20),$G453:$W453)</f>
        <v>0</v>
      </c>
      <c r="CQ453" s="93" cm="1">
        <f t="array" ref="CQ453">SUMPRODUCT(TRANSPOSE(CQ$4:CQ$20),$G453:$W453)</f>
        <v>128</v>
      </c>
      <c r="CR453" s="93" cm="1">
        <f t="array" ref="CR453">SUMPRODUCT(TRANSPOSE(CR$4:CR$20),$G453:$W453)</f>
        <v>128</v>
      </c>
      <c r="CS453" s="93" cm="1">
        <f t="array" ref="CS453">SUMPRODUCT(TRANSPOSE(CS$4:CS$20),$G453:$W453)</f>
        <v>128</v>
      </c>
      <c r="CT453" s="93" cm="1">
        <f t="array" ref="CT453">SUMPRODUCT(TRANSPOSE(CT$4:CT$20),$G453:$W453)</f>
        <v>128</v>
      </c>
      <c r="CU453" s="93" cm="1">
        <f t="array" ref="CU453">SUMPRODUCT(TRANSPOSE(CU$4:CU$20),$G453:$W453)</f>
        <v>128</v>
      </c>
      <c r="CV453" s="93" cm="1">
        <f t="array" ref="CV453">SUMPRODUCT(TRANSPOSE(CV$4:CV$20),$G453:$W453)</f>
        <v>128</v>
      </c>
      <c r="CW453" s="93" cm="1">
        <f t="array" ref="CW453">SUMPRODUCT(TRANSPOSE(CW$4:CW$20),$G453:$W453)</f>
        <v>128</v>
      </c>
      <c r="CX453" s="93" cm="1">
        <f t="array" ref="CX453">SUMPRODUCT(TRANSPOSE(CX$4:CX$20),$G453:$W453)</f>
        <v>128</v>
      </c>
      <c r="CY453" s="93" cm="1">
        <f t="array" ref="CY453">SUMPRODUCT(TRANSPOSE(CY$4:CY$20),$G453:$W453)</f>
        <v>128</v>
      </c>
      <c r="CZ453" s="93" cm="1">
        <f t="array" ref="CZ453">SUMPRODUCT(TRANSPOSE(CZ$4:CZ$20),$G453:$W453)</f>
        <v>128</v>
      </c>
      <c r="DA453" s="93" cm="1">
        <f t="array" ref="DA453">SUMPRODUCT(TRANSPOSE(DA$4:DA$20),$G453:$W453)</f>
        <v>128</v>
      </c>
      <c r="DB453" s="93" cm="1">
        <f t="array" ref="DB453">SUMPRODUCT(TRANSPOSE(DB$4:DB$20),$G453:$W453)</f>
        <v>128</v>
      </c>
      <c r="DC453" s="93" cm="1">
        <f t="array" ref="DC453">SUMPRODUCT(TRANSPOSE(DC$4:DC$20),$G453:$W453)</f>
        <v>96</v>
      </c>
      <c r="DD453" s="93" cm="1">
        <f t="array" ref="DD453">SUMPRODUCT(TRANSPOSE(DD$4:DD$20),$G453:$W453)</f>
        <v>0</v>
      </c>
      <c r="DE453" s="93" cm="1">
        <f t="array" ref="DE453">SUMPRODUCT(TRANSPOSE(DE$4:DE$20),$G453:$W453)</f>
        <v>0</v>
      </c>
      <c r="DF453" s="93" cm="1">
        <f t="array" ref="DF453">SUMPRODUCT(TRANSPOSE(DF$4:DF$20),$G453:$W453)</f>
        <v>0</v>
      </c>
      <c r="DG453" s="93" cm="1">
        <f t="array" ref="DG453">SUMPRODUCT(TRANSPOSE(DG$4:DG$20),$G453:$W453)</f>
        <v>0</v>
      </c>
      <c r="DH453" s="93" cm="1">
        <f t="array" ref="DH453">SUMPRODUCT(TRANSPOSE(DH$4:DH$20),$G453:$W453)</f>
        <v>0</v>
      </c>
      <c r="DI453" s="93" cm="1">
        <f t="array" ref="DI453">SUMPRODUCT(TRANSPOSE(DI$4:DI$20),$G453:$W453)</f>
        <v>0</v>
      </c>
      <c r="DJ453" s="93" cm="1">
        <f t="array" ref="DJ453">SUMPRODUCT(TRANSPOSE(DJ$4:DJ$20),$G453:$W453)</f>
        <v>0</v>
      </c>
      <c r="DK453" s="93" cm="1">
        <f t="array" ref="DK453">SUMPRODUCT(TRANSPOSE(DK$4:DK$20),$G453:$W453)</f>
        <v>0</v>
      </c>
      <c r="DL453" s="93" cm="1">
        <f t="array" ref="DL453">SUMPRODUCT(TRANSPOSE(DL$4:DL$20),$G453:$W453)</f>
        <v>0</v>
      </c>
      <c r="DM453" s="93" cm="1">
        <f t="array" ref="DM453">SUMPRODUCT(TRANSPOSE(DM$4:DM$20),$G453:$W453)</f>
        <v>0</v>
      </c>
      <c r="DN453" s="93" cm="1">
        <f t="array" ref="DN453">SUMPRODUCT(TRANSPOSE(DN$4:DN$20),$G453:$W453)</f>
        <v>0</v>
      </c>
      <c r="DO453" s="93" cm="1">
        <f t="array" ref="DO453">SUMPRODUCT(TRANSPOSE(DO$4:DO$20),$G453:$W453)</f>
        <v>0</v>
      </c>
    </row>
    <row r="454" spans="1:119" x14ac:dyDescent="0.2">
      <c r="A454" s="45">
        <f t="shared" si="32"/>
        <v>433</v>
      </c>
      <c r="B454" s="64" t="s">
        <v>957</v>
      </c>
      <c r="C454" s="45" t="s">
        <v>958</v>
      </c>
      <c r="D454" s="45" t="s">
        <v>959</v>
      </c>
      <c r="E454" s="45" t="s">
        <v>162</v>
      </c>
      <c r="F454" s="48">
        <v>2</v>
      </c>
      <c r="G454" s="100">
        <v>30</v>
      </c>
      <c r="H454" s="100">
        <v>0</v>
      </c>
      <c r="I454" s="100">
        <v>20</v>
      </c>
      <c r="J454" s="100">
        <v>0</v>
      </c>
      <c r="K454" s="100">
        <v>20</v>
      </c>
      <c r="L454" s="100">
        <v>0</v>
      </c>
      <c r="M454" s="100">
        <v>0</v>
      </c>
      <c r="N454" s="100">
        <v>0</v>
      </c>
      <c r="O454" s="100">
        <v>0</v>
      </c>
      <c r="P454" s="100">
        <v>0</v>
      </c>
      <c r="Q454" s="100">
        <v>0</v>
      </c>
      <c r="R454" s="100">
        <v>0</v>
      </c>
      <c r="S454" s="100">
        <v>0</v>
      </c>
      <c r="T454" s="100">
        <v>0</v>
      </c>
      <c r="U454" s="100">
        <v>0</v>
      </c>
      <c r="V454" s="100">
        <v>0</v>
      </c>
      <c r="W454" s="100">
        <v>0</v>
      </c>
      <c r="X454" s="45" t="s">
        <v>24</v>
      </c>
      <c r="Y454" s="49">
        <v>0.02</v>
      </c>
      <c r="Z454" s="45">
        <v>9282</v>
      </c>
      <c r="AA454" s="45">
        <v>0</v>
      </c>
      <c r="AB454" s="45">
        <v>0</v>
      </c>
      <c r="AC454" s="45">
        <v>0</v>
      </c>
      <c r="AD454" s="45">
        <v>0</v>
      </c>
      <c r="AE454" s="45">
        <v>0</v>
      </c>
      <c r="AF454" s="45">
        <v>0</v>
      </c>
      <c r="AG454" s="45">
        <v>0</v>
      </c>
      <c r="AH454" s="45">
        <v>0</v>
      </c>
      <c r="AI454" s="45">
        <v>0</v>
      </c>
      <c r="AJ454" s="45">
        <v>0</v>
      </c>
      <c r="AK454" s="45">
        <v>0</v>
      </c>
      <c r="AL454" s="45">
        <v>0</v>
      </c>
      <c r="AM454" s="45">
        <v>0</v>
      </c>
      <c r="AN454" s="45">
        <v>0</v>
      </c>
      <c r="AO454" s="45"/>
      <c r="AP454" s="45"/>
      <c r="AQ454" s="45"/>
      <c r="AR454" s="45"/>
      <c r="AS454" s="45"/>
      <c r="AT454" s="45"/>
      <c r="AU454" s="45"/>
      <c r="AV454" s="45"/>
      <c r="AW454" s="45"/>
      <c r="AX454" s="45"/>
      <c r="AY454" s="45"/>
      <c r="AZ454" s="45"/>
      <c r="BA454" s="45"/>
      <c r="BB454" s="45"/>
      <c r="BC454" s="45"/>
      <c r="BD454" s="93"/>
      <c r="BE454" s="93"/>
      <c r="BF454" s="93"/>
      <c r="BG454" s="93"/>
      <c r="BH454" s="93"/>
      <c r="BI454" s="93"/>
      <c r="BJ454" s="93"/>
      <c r="BK454" s="93">
        <f>SUM($Z454:AD454)-SUM($CM454:CQ454)</f>
        <v>8722</v>
      </c>
      <c r="BL454" s="93">
        <f>SUM($Z454:AE454)-SUM($CM454:CR454)</f>
        <v>8162</v>
      </c>
      <c r="BM454" s="93">
        <f>SUM($Z454:AF454)-SUM($CM454:CS454)</f>
        <v>7602</v>
      </c>
      <c r="BN454" s="93">
        <f>SUM($Z454:AG454)-SUM($CM454:CT454)</f>
        <v>7042</v>
      </c>
      <c r="BO454" s="93">
        <f>SUM($Z454:AH454)-SUM($CM454:CU454)</f>
        <v>6482</v>
      </c>
      <c r="BP454" s="93">
        <f>SUM($Z454:AI454)-SUM($CM454:CV454)</f>
        <v>5922</v>
      </c>
      <c r="BQ454" s="93">
        <f>SUM($Z454:AJ454)-SUM($CM454:CW454)</f>
        <v>5362</v>
      </c>
      <c r="BR454" s="93">
        <f>SUM($Z454:AK454)-SUM($CM454:CX454)</f>
        <v>4802</v>
      </c>
      <c r="BS454" s="93">
        <f>SUM($Z454:AL454)-SUM($CM454:CY454)</f>
        <v>4242</v>
      </c>
      <c r="BT454" s="93">
        <f>SUM($Z454:AM454)-SUM($CM454:CZ454)</f>
        <v>3682</v>
      </c>
      <c r="BU454" s="93">
        <f>SUM($Z454:AN454)-SUM($CM454:DA454)</f>
        <v>3122</v>
      </c>
      <c r="BV454" s="93">
        <f>SUM($Z454:AO454)-SUM($CM454:DB454)</f>
        <v>2562</v>
      </c>
      <c r="BW454" s="93">
        <f>SUM($Z454:AP454)-SUM($CM454:DC454)</f>
        <v>2142</v>
      </c>
      <c r="BX454" s="93">
        <f>SUM($Z454:AQ454)-SUM($CM454:DD454)</f>
        <v>2142</v>
      </c>
      <c r="BY454" s="93">
        <f>SUM($Z454:AR454)-SUM($CM454:DE454)</f>
        <v>2142</v>
      </c>
      <c r="BZ454" s="93">
        <f>SUM($Z454:AS454)-SUM($CM454:DF454)</f>
        <v>2142</v>
      </c>
      <c r="CA454" s="93">
        <f>SUM($Z454:AT454)-SUM($CM454:DG454)</f>
        <v>2142</v>
      </c>
      <c r="CB454" s="93">
        <f>SUM($Z454:AU454)-SUM($CM454:DH454)</f>
        <v>2142</v>
      </c>
      <c r="CC454" s="93">
        <f>SUM($Z454:AV454)-SUM($CM454:DI454)</f>
        <v>2142</v>
      </c>
      <c r="CD454" s="93">
        <f>SUM($Z454:AW454)-SUM($CM454:DJ454)</f>
        <v>2142</v>
      </c>
      <c r="CE454" s="93">
        <f>SUM($Z454:AX454)-SUM($CM454:DK454)</f>
        <v>2142</v>
      </c>
      <c r="CF454" s="93">
        <f>SUM($Z454:AY454)-SUM($CM454:DL454)</f>
        <v>2142</v>
      </c>
      <c r="CG454" s="93">
        <f>SUM($Z454:AZ454)-SUM($CM454:DM454)</f>
        <v>2142</v>
      </c>
      <c r="CH454" s="93">
        <f>SUM($Z454:BA454)-SUM($CM454:DN454)</f>
        <v>2142</v>
      </c>
      <c r="CI454" s="93">
        <f>SUM($Z454:BB454)-SUM($CM454:DO454)</f>
        <v>2142</v>
      </c>
      <c r="CJ454" s="93"/>
      <c r="CK454" s="93"/>
      <c r="CL454" s="93"/>
      <c r="CM454" s="93"/>
      <c r="CN454" s="93" cm="1">
        <f t="array" ref="CN454">SUMPRODUCT(TRANSPOSE(CN$4:CN$20),$G454:$W454)</f>
        <v>0</v>
      </c>
      <c r="CO454" s="93" cm="1">
        <f t="array" ref="CO454">SUMPRODUCT(TRANSPOSE(CO$4:CO$20),$G454:$W454)</f>
        <v>0</v>
      </c>
      <c r="CP454" s="93" cm="1">
        <f t="array" ref="CP454">SUMPRODUCT(TRANSPOSE(CP$4:CP$20),$G454:$W454)</f>
        <v>0</v>
      </c>
      <c r="CQ454" s="93" cm="1">
        <f t="array" ref="CQ454">SUMPRODUCT(TRANSPOSE(CQ$4:CQ$20),$G454:$W454)</f>
        <v>560</v>
      </c>
      <c r="CR454" s="93" cm="1">
        <f t="array" ref="CR454">SUMPRODUCT(TRANSPOSE(CR$4:CR$20),$G454:$W454)</f>
        <v>560</v>
      </c>
      <c r="CS454" s="93" cm="1">
        <f t="array" ref="CS454">SUMPRODUCT(TRANSPOSE(CS$4:CS$20),$G454:$W454)</f>
        <v>560</v>
      </c>
      <c r="CT454" s="93" cm="1">
        <f t="array" ref="CT454">SUMPRODUCT(TRANSPOSE(CT$4:CT$20),$G454:$W454)</f>
        <v>560</v>
      </c>
      <c r="CU454" s="93" cm="1">
        <f t="array" ref="CU454">SUMPRODUCT(TRANSPOSE(CU$4:CU$20),$G454:$W454)</f>
        <v>560</v>
      </c>
      <c r="CV454" s="93" cm="1">
        <f t="array" ref="CV454">SUMPRODUCT(TRANSPOSE(CV$4:CV$20),$G454:$W454)</f>
        <v>560</v>
      </c>
      <c r="CW454" s="93" cm="1">
        <f t="array" ref="CW454">SUMPRODUCT(TRANSPOSE(CW$4:CW$20),$G454:$W454)</f>
        <v>560</v>
      </c>
      <c r="CX454" s="93" cm="1">
        <f t="array" ref="CX454">SUMPRODUCT(TRANSPOSE(CX$4:CX$20),$G454:$W454)</f>
        <v>560</v>
      </c>
      <c r="CY454" s="93" cm="1">
        <f t="array" ref="CY454">SUMPRODUCT(TRANSPOSE(CY$4:CY$20),$G454:$W454)</f>
        <v>560</v>
      </c>
      <c r="CZ454" s="93" cm="1">
        <f t="array" ref="CZ454">SUMPRODUCT(TRANSPOSE(CZ$4:CZ$20),$G454:$W454)</f>
        <v>560</v>
      </c>
      <c r="DA454" s="93" cm="1">
        <f t="array" ref="DA454">SUMPRODUCT(TRANSPOSE(DA$4:DA$20),$G454:$W454)</f>
        <v>560</v>
      </c>
      <c r="DB454" s="93" cm="1">
        <f t="array" ref="DB454">SUMPRODUCT(TRANSPOSE(DB$4:DB$20),$G454:$W454)</f>
        <v>560</v>
      </c>
      <c r="DC454" s="93" cm="1">
        <f t="array" ref="DC454">SUMPRODUCT(TRANSPOSE(DC$4:DC$20),$G454:$W454)</f>
        <v>420</v>
      </c>
      <c r="DD454" s="93" cm="1">
        <f t="array" ref="DD454">SUMPRODUCT(TRANSPOSE(DD$4:DD$20),$G454:$W454)</f>
        <v>0</v>
      </c>
      <c r="DE454" s="93" cm="1">
        <f t="array" ref="DE454">SUMPRODUCT(TRANSPOSE(DE$4:DE$20),$G454:$W454)</f>
        <v>0</v>
      </c>
      <c r="DF454" s="93" cm="1">
        <f t="array" ref="DF454">SUMPRODUCT(TRANSPOSE(DF$4:DF$20),$G454:$W454)</f>
        <v>0</v>
      </c>
      <c r="DG454" s="93" cm="1">
        <f t="array" ref="DG454">SUMPRODUCT(TRANSPOSE(DG$4:DG$20),$G454:$W454)</f>
        <v>0</v>
      </c>
      <c r="DH454" s="93" cm="1">
        <f t="array" ref="DH454">SUMPRODUCT(TRANSPOSE(DH$4:DH$20),$G454:$W454)</f>
        <v>0</v>
      </c>
      <c r="DI454" s="93" cm="1">
        <f t="array" ref="DI454">SUMPRODUCT(TRANSPOSE(DI$4:DI$20),$G454:$W454)</f>
        <v>0</v>
      </c>
      <c r="DJ454" s="93" cm="1">
        <f t="array" ref="DJ454">SUMPRODUCT(TRANSPOSE(DJ$4:DJ$20),$G454:$W454)</f>
        <v>0</v>
      </c>
      <c r="DK454" s="93" cm="1">
        <f t="array" ref="DK454">SUMPRODUCT(TRANSPOSE(DK$4:DK$20),$G454:$W454)</f>
        <v>0</v>
      </c>
      <c r="DL454" s="93" cm="1">
        <f t="array" ref="DL454">SUMPRODUCT(TRANSPOSE(DL$4:DL$20),$G454:$W454)</f>
        <v>0</v>
      </c>
      <c r="DM454" s="93" cm="1">
        <f t="array" ref="DM454">SUMPRODUCT(TRANSPOSE(DM$4:DM$20),$G454:$W454)</f>
        <v>0</v>
      </c>
      <c r="DN454" s="93" cm="1">
        <f t="array" ref="DN454">SUMPRODUCT(TRANSPOSE(DN$4:DN$20),$G454:$W454)</f>
        <v>0</v>
      </c>
      <c r="DO454" s="93" cm="1">
        <f t="array" ref="DO454">SUMPRODUCT(TRANSPOSE(DO$4:DO$20),$G454:$W454)</f>
        <v>0</v>
      </c>
    </row>
    <row r="455" spans="1:119" x14ac:dyDescent="0.2">
      <c r="A455" s="45">
        <f t="shared" si="32"/>
        <v>434</v>
      </c>
      <c r="B455" s="64" t="s">
        <v>960</v>
      </c>
      <c r="C455" s="45" t="s">
        <v>961</v>
      </c>
      <c r="D455" s="45" t="s">
        <v>962</v>
      </c>
      <c r="E455" s="45" t="s">
        <v>162</v>
      </c>
      <c r="F455" s="48">
        <v>2</v>
      </c>
      <c r="G455" s="100">
        <v>50</v>
      </c>
      <c r="H455" s="100">
        <v>0</v>
      </c>
      <c r="I455" s="100">
        <v>0</v>
      </c>
      <c r="J455" s="100">
        <v>0</v>
      </c>
      <c r="K455" s="100">
        <v>0</v>
      </c>
      <c r="L455" s="100">
        <v>0</v>
      </c>
      <c r="M455" s="100">
        <v>0</v>
      </c>
      <c r="N455" s="100">
        <v>0</v>
      </c>
      <c r="O455" s="100">
        <v>0</v>
      </c>
      <c r="P455" s="100">
        <v>0</v>
      </c>
      <c r="Q455" s="100">
        <v>0</v>
      </c>
      <c r="R455" s="100">
        <v>0</v>
      </c>
      <c r="S455" s="100">
        <v>0</v>
      </c>
      <c r="T455" s="100">
        <v>0</v>
      </c>
      <c r="U455" s="100">
        <v>0</v>
      </c>
      <c r="V455" s="100">
        <v>0</v>
      </c>
      <c r="W455" s="100">
        <v>0</v>
      </c>
      <c r="X455" s="45" t="s">
        <v>24</v>
      </c>
      <c r="Y455" s="49">
        <v>4.4999999999999998E-2</v>
      </c>
      <c r="Z455" s="45">
        <v>6630</v>
      </c>
      <c r="AA455" s="45">
        <v>0</v>
      </c>
      <c r="AB455" s="45">
        <v>0</v>
      </c>
      <c r="AC455" s="45">
        <v>0</v>
      </c>
      <c r="AD455" s="45">
        <v>0</v>
      </c>
      <c r="AE455" s="45">
        <v>0</v>
      </c>
      <c r="AF455" s="45">
        <v>0</v>
      </c>
      <c r="AG455" s="45">
        <v>0</v>
      </c>
      <c r="AH455" s="45">
        <v>0</v>
      </c>
      <c r="AI455" s="45">
        <v>0</v>
      </c>
      <c r="AJ455" s="45">
        <v>0</v>
      </c>
      <c r="AK455" s="45">
        <v>0</v>
      </c>
      <c r="AL455" s="45">
        <v>0</v>
      </c>
      <c r="AM455" s="45">
        <v>0</v>
      </c>
      <c r="AN455" s="45">
        <v>0</v>
      </c>
      <c r="AO455" s="45"/>
      <c r="AP455" s="45"/>
      <c r="AQ455" s="45"/>
      <c r="AR455" s="45"/>
      <c r="AS455" s="45"/>
      <c r="AT455" s="45"/>
      <c r="AU455" s="45"/>
      <c r="AV455" s="45"/>
      <c r="AW455" s="45"/>
      <c r="AX455" s="45"/>
      <c r="AY455" s="45"/>
      <c r="AZ455" s="45"/>
      <c r="BA455" s="45"/>
      <c r="BB455" s="45"/>
      <c r="BC455" s="45"/>
      <c r="BD455" s="93"/>
      <c r="BE455" s="93"/>
      <c r="BF455" s="93"/>
      <c r="BG455" s="93"/>
      <c r="BH455" s="93"/>
      <c r="BI455" s="93"/>
      <c r="BJ455" s="93"/>
      <c r="BK455" s="93">
        <f>SUM($Z455:AD455)-SUM($CM455:CQ455)</f>
        <v>6230</v>
      </c>
      <c r="BL455" s="93">
        <f>SUM($Z455:AE455)-SUM($CM455:CR455)</f>
        <v>5830</v>
      </c>
      <c r="BM455" s="93">
        <f>SUM($Z455:AF455)-SUM($CM455:CS455)</f>
        <v>5430</v>
      </c>
      <c r="BN455" s="93">
        <f>SUM($Z455:AG455)-SUM($CM455:CT455)</f>
        <v>5030</v>
      </c>
      <c r="BO455" s="93">
        <f>SUM($Z455:AH455)-SUM($CM455:CU455)</f>
        <v>4630</v>
      </c>
      <c r="BP455" s="93">
        <f>SUM($Z455:AI455)-SUM($CM455:CV455)</f>
        <v>4230</v>
      </c>
      <c r="BQ455" s="93">
        <f>SUM($Z455:AJ455)-SUM($CM455:CW455)</f>
        <v>3830</v>
      </c>
      <c r="BR455" s="93">
        <f>SUM($Z455:AK455)-SUM($CM455:CX455)</f>
        <v>3430</v>
      </c>
      <c r="BS455" s="93">
        <f>SUM($Z455:AL455)-SUM($CM455:CY455)</f>
        <v>3030</v>
      </c>
      <c r="BT455" s="93">
        <f>SUM($Z455:AM455)-SUM($CM455:CZ455)</f>
        <v>2630</v>
      </c>
      <c r="BU455" s="93">
        <f>SUM($Z455:AN455)-SUM($CM455:DA455)</f>
        <v>2230</v>
      </c>
      <c r="BV455" s="93">
        <f>SUM($Z455:AO455)-SUM($CM455:DB455)</f>
        <v>1830</v>
      </c>
      <c r="BW455" s="93">
        <f>SUM($Z455:AP455)-SUM($CM455:DC455)</f>
        <v>1530</v>
      </c>
      <c r="BX455" s="93">
        <f>SUM($Z455:AQ455)-SUM($CM455:DD455)</f>
        <v>1530</v>
      </c>
      <c r="BY455" s="93">
        <f>SUM($Z455:AR455)-SUM($CM455:DE455)</f>
        <v>1530</v>
      </c>
      <c r="BZ455" s="93">
        <f>SUM($Z455:AS455)-SUM($CM455:DF455)</f>
        <v>1530</v>
      </c>
      <c r="CA455" s="93">
        <f>SUM($Z455:AT455)-SUM($CM455:DG455)</f>
        <v>1530</v>
      </c>
      <c r="CB455" s="93">
        <f>SUM($Z455:AU455)-SUM($CM455:DH455)</f>
        <v>1530</v>
      </c>
      <c r="CC455" s="93">
        <f>SUM($Z455:AV455)-SUM($CM455:DI455)</f>
        <v>1530</v>
      </c>
      <c r="CD455" s="93">
        <f>SUM($Z455:AW455)-SUM($CM455:DJ455)</f>
        <v>1530</v>
      </c>
      <c r="CE455" s="93">
        <f>SUM($Z455:AX455)-SUM($CM455:DK455)</f>
        <v>1530</v>
      </c>
      <c r="CF455" s="93">
        <f>SUM($Z455:AY455)-SUM($CM455:DL455)</f>
        <v>1530</v>
      </c>
      <c r="CG455" s="93">
        <f>SUM($Z455:AZ455)-SUM($CM455:DM455)</f>
        <v>1530</v>
      </c>
      <c r="CH455" s="93">
        <f>SUM($Z455:BA455)-SUM($CM455:DN455)</f>
        <v>1530</v>
      </c>
      <c r="CI455" s="93">
        <f>SUM($Z455:BB455)-SUM($CM455:DO455)</f>
        <v>1530</v>
      </c>
      <c r="CJ455" s="93"/>
      <c r="CK455" s="93"/>
      <c r="CL455" s="93"/>
      <c r="CM455" s="93"/>
      <c r="CN455" s="93" cm="1">
        <f t="array" ref="CN455">SUMPRODUCT(TRANSPOSE(CN$4:CN$20),$G455:$W455)</f>
        <v>0</v>
      </c>
      <c r="CO455" s="93" cm="1">
        <f t="array" ref="CO455">SUMPRODUCT(TRANSPOSE(CO$4:CO$20),$G455:$W455)</f>
        <v>0</v>
      </c>
      <c r="CP455" s="93" cm="1">
        <f t="array" ref="CP455">SUMPRODUCT(TRANSPOSE(CP$4:CP$20),$G455:$W455)</f>
        <v>0</v>
      </c>
      <c r="CQ455" s="93" cm="1">
        <f t="array" ref="CQ455">SUMPRODUCT(TRANSPOSE(CQ$4:CQ$20),$G455:$W455)</f>
        <v>400</v>
      </c>
      <c r="CR455" s="93" cm="1">
        <f t="array" ref="CR455">SUMPRODUCT(TRANSPOSE(CR$4:CR$20),$G455:$W455)</f>
        <v>400</v>
      </c>
      <c r="CS455" s="93" cm="1">
        <f t="array" ref="CS455">SUMPRODUCT(TRANSPOSE(CS$4:CS$20),$G455:$W455)</f>
        <v>400</v>
      </c>
      <c r="CT455" s="93" cm="1">
        <f t="array" ref="CT455">SUMPRODUCT(TRANSPOSE(CT$4:CT$20),$G455:$W455)</f>
        <v>400</v>
      </c>
      <c r="CU455" s="93" cm="1">
        <f t="array" ref="CU455">SUMPRODUCT(TRANSPOSE(CU$4:CU$20),$G455:$W455)</f>
        <v>400</v>
      </c>
      <c r="CV455" s="93" cm="1">
        <f t="array" ref="CV455">SUMPRODUCT(TRANSPOSE(CV$4:CV$20),$G455:$W455)</f>
        <v>400</v>
      </c>
      <c r="CW455" s="93" cm="1">
        <f t="array" ref="CW455">SUMPRODUCT(TRANSPOSE(CW$4:CW$20),$G455:$W455)</f>
        <v>400</v>
      </c>
      <c r="CX455" s="93" cm="1">
        <f t="array" ref="CX455">SUMPRODUCT(TRANSPOSE(CX$4:CX$20),$G455:$W455)</f>
        <v>400</v>
      </c>
      <c r="CY455" s="93" cm="1">
        <f t="array" ref="CY455">SUMPRODUCT(TRANSPOSE(CY$4:CY$20),$G455:$W455)</f>
        <v>400</v>
      </c>
      <c r="CZ455" s="93" cm="1">
        <f t="array" ref="CZ455">SUMPRODUCT(TRANSPOSE(CZ$4:CZ$20),$G455:$W455)</f>
        <v>400</v>
      </c>
      <c r="DA455" s="93" cm="1">
        <f t="array" ref="DA455">SUMPRODUCT(TRANSPOSE(DA$4:DA$20),$G455:$W455)</f>
        <v>400</v>
      </c>
      <c r="DB455" s="93" cm="1">
        <f t="array" ref="DB455">SUMPRODUCT(TRANSPOSE(DB$4:DB$20),$G455:$W455)</f>
        <v>400</v>
      </c>
      <c r="DC455" s="93" cm="1">
        <f t="array" ref="DC455">SUMPRODUCT(TRANSPOSE(DC$4:DC$20),$G455:$W455)</f>
        <v>300</v>
      </c>
      <c r="DD455" s="93" cm="1">
        <f t="array" ref="DD455">SUMPRODUCT(TRANSPOSE(DD$4:DD$20),$G455:$W455)</f>
        <v>0</v>
      </c>
      <c r="DE455" s="93" cm="1">
        <f t="array" ref="DE455">SUMPRODUCT(TRANSPOSE(DE$4:DE$20),$G455:$W455)</f>
        <v>0</v>
      </c>
      <c r="DF455" s="93" cm="1">
        <f t="array" ref="DF455">SUMPRODUCT(TRANSPOSE(DF$4:DF$20),$G455:$W455)</f>
        <v>0</v>
      </c>
      <c r="DG455" s="93" cm="1">
        <f t="array" ref="DG455">SUMPRODUCT(TRANSPOSE(DG$4:DG$20),$G455:$W455)</f>
        <v>0</v>
      </c>
      <c r="DH455" s="93" cm="1">
        <f t="array" ref="DH455">SUMPRODUCT(TRANSPOSE(DH$4:DH$20),$G455:$W455)</f>
        <v>0</v>
      </c>
      <c r="DI455" s="93" cm="1">
        <f t="array" ref="DI455">SUMPRODUCT(TRANSPOSE(DI$4:DI$20),$G455:$W455)</f>
        <v>0</v>
      </c>
      <c r="DJ455" s="93" cm="1">
        <f t="array" ref="DJ455">SUMPRODUCT(TRANSPOSE(DJ$4:DJ$20),$G455:$W455)</f>
        <v>0</v>
      </c>
      <c r="DK455" s="93" cm="1">
        <f t="array" ref="DK455">SUMPRODUCT(TRANSPOSE(DK$4:DK$20),$G455:$W455)</f>
        <v>0</v>
      </c>
      <c r="DL455" s="93" cm="1">
        <f t="array" ref="DL455">SUMPRODUCT(TRANSPOSE(DL$4:DL$20),$G455:$W455)</f>
        <v>0</v>
      </c>
      <c r="DM455" s="93" cm="1">
        <f t="array" ref="DM455">SUMPRODUCT(TRANSPOSE(DM$4:DM$20),$G455:$W455)</f>
        <v>0</v>
      </c>
      <c r="DN455" s="93" cm="1">
        <f t="array" ref="DN455">SUMPRODUCT(TRANSPOSE(DN$4:DN$20),$G455:$W455)</f>
        <v>0</v>
      </c>
      <c r="DO455" s="93" cm="1">
        <f t="array" ref="DO455">SUMPRODUCT(TRANSPOSE(DO$4:DO$20),$G455:$W455)</f>
        <v>0</v>
      </c>
    </row>
    <row r="456" spans="1:119" x14ac:dyDescent="0.2">
      <c r="A456" s="45">
        <f t="shared" si="32"/>
        <v>435</v>
      </c>
      <c r="B456" s="64" t="s">
        <v>963</v>
      </c>
      <c r="C456" s="45">
        <v>514303155</v>
      </c>
      <c r="D456" s="45" t="s">
        <v>622</v>
      </c>
      <c r="E456" s="45" t="s">
        <v>162</v>
      </c>
      <c r="F456" s="48">
        <v>2</v>
      </c>
      <c r="G456" s="100">
        <v>0</v>
      </c>
      <c r="H456" s="100">
        <v>8</v>
      </c>
      <c r="I456" s="100">
        <v>0</v>
      </c>
      <c r="J456" s="100">
        <v>0</v>
      </c>
      <c r="K456" s="100">
        <v>0</v>
      </c>
      <c r="L456" s="100">
        <v>0</v>
      </c>
      <c r="M456" s="100">
        <v>0</v>
      </c>
      <c r="N456" s="100">
        <v>0</v>
      </c>
      <c r="O456" s="100">
        <v>0</v>
      </c>
      <c r="P456" s="100">
        <v>0</v>
      </c>
      <c r="Q456" s="100">
        <v>0</v>
      </c>
      <c r="R456" s="100">
        <v>0</v>
      </c>
      <c r="S456" s="100">
        <v>0</v>
      </c>
      <c r="T456" s="100">
        <v>0</v>
      </c>
      <c r="U456" s="100">
        <v>0</v>
      </c>
      <c r="V456" s="100">
        <v>0</v>
      </c>
      <c r="W456" s="100">
        <v>0</v>
      </c>
      <c r="X456" s="45" t="s">
        <v>24</v>
      </c>
      <c r="Y456" s="49">
        <v>0.04</v>
      </c>
      <c r="Z456" s="45">
        <v>1384</v>
      </c>
      <c r="AA456" s="45">
        <v>0</v>
      </c>
      <c r="AB456" s="45">
        <v>0</v>
      </c>
      <c r="AC456" s="45">
        <v>0</v>
      </c>
      <c r="AD456" s="45">
        <v>0</v>
      </c>
      <c r="AE456" s="45">
        <v>0</v>
      </c>
      <c r="AF456" s="45">
        <v>0</v>
      </c>
      <c r="AG456" s="45">
        <v>0</v>
      </c>
      <c r="AH456" s="45">
        <v>0</v>
      </c>
      <c r="AI456" s="45">
        <v>0</v>
      </c>
      <c r="AJ456" s="45">
        <v>0</v>
      </c>
      <c r="AK456" s="45">
        <v>0</v>
      </c>
      <c r="AL456" s="45">
        <v>0</v>
      </c>
      <c r="AM456" s="45">
        <v>0</v>
      </c>
      <c r="AN456" s="45">
        <v>0</v>
      </c>
      <c r="AO456" s="45"/>
      <c r="AP456" s="45"/>
      <c r="AQ456" s="45"/>
      <c r="AR456" s="45"/>
      <c r="AS456" s="45"/>
      <c r="AT456" s="45"/>
      <c r="AU456" s="45"/>
      <c r="AV456" s="45"/>
      <c r="AW456" s="45"/>
      <c r="AX456" s="45"/>
      <c r="AY456" s="45"/>
      <c r="AZ456" s="45"/>
      <c r="BA456" s="45"/>
      <c r="BB456" s="45"/>
      <c r="BC456" s="45"/>
      <c r="BD456" s="93"/>
      <c r="BE456" s="93"/>
      <c r="BF456" s="93"/>
      <c r="BG456" s="93"/>
      <c r="BH456" s="93"/>
      <c r="BI456" s="93"/>
      <c r="BJ456" s="93"/>
      <c r="BK456" s="93">
        <f>SUM($Z456:AD456)-SUM($CM456:CQ456)</f>
        <v>1320</v>
      </c>
      <c r="BL456" s="93">
        <f>SUM($Z456:AE456)-SUM($CM456:CR456)</f>
        <v>1256</v>
      </c>
      <c r="BM456" s="93">
        <f>SUM($Z456:AF456)-SUM($CM456:CS456)</f>
        <v>1192</v>
      </c>
      <c r="BN456" s="93">
        <f>SUM($Z456:AG456)-SUM($CM456:CT456)</f>
        <v>1128</v>
      </c>
      <c r="BO456" s="93">
        <f>SUM($Z456:AH456)-SUM($CM456:CU456)</f>
        <v>1064</v>
      </c>
      <c r="BP456" s="93">
        <f>SUM($Z456:AI456)-SUM($CM456:CV456)</f>
        <v>1000</v>
      </c>
      <c r="BQ456" s="93">
        <f>SUM($Z456:AJ456)-SUM($CM456:CW456)</f>
        <v>936</v>
      </c>
      <c r="BR456" s="93">
        <f>SUM($Z456:AK456)-SUM($CM456:CX456)</f>
        <v>872</v>
      </c>
      <c r="BS456" s="93">
        <f>SUM($Z456:AL456)-SUM($CM456:CY456)</f>
        <v>808</v>
      </c>
      <c r="BT456" s="93">
        <f>SUM($Z456:AM456)-SUM($CM456:CZ456)</f>
        <v>744</v>
      </c>
      <c r="BU456" s="93">
        <f>SUM($Z456:AN456)-SUM($CM456:DA456)</f>
        <v>680</v>
      </c>
      <c r="BV456" s="93">
        <f>SUM($Z456:AO456)-SUM($CM456:DB456)</f>
        <v>616</v>
      </c>
      <c r="BW456" s="93">
        <f>SUM($Z456:AP456)-SUM($CM456:DC456)</f>
        <v>568</v>
      </c>
      <c r="BX456" s="93">
        <f>SUM($Z456:AQ456)-SUM($CM456:DD456)</f>
        <v>568</v>
      </c>
      <c r="BY456" s="93">
        <f>SUM($Z456:AR456)-SUM($CM456:DE456)</f>
        <v>568</v>
      </c>
      <c r="BZ456" s="93">
        <f>SUM($Z456:AS456)-SUM($CM456:DF456)</f>
        <v>568</v>
      </c>
      <c r="CA456" s="93">
        <f>SUM($Z456:AT456)-SUM($CM456:DG456)</f>
        <v>568</v>
      </c>
      <c r="CB456" s="93">
        <f>SUM($Z456:AU456)-SUM($CM456:DH456)</f>
        <v>568</v>
      </c>
      <c r="CC456" s="93">
        <f>SUM($Z456:AV456)-SUM($CM456:DI456)</f>
        <v>568</v>
      </c>
      <c r="CD456" s="93">
        <f>SUM($Z456:AW456)-SUM($CM456:DJ456)</f>
        <v>568</v>
      </c>
      <c r="CE456" s="93">
        <f>SUM($Z456:AX456)-SUM($CM456:DK456)</f>
        <v>568</v>
      </c>
      <c r="CF456" s="93">
        <f>SUM($Z456:AY456)-SUM($CM456:DL456)</f>
        <v>568</v>
      </c>
      <c r="CG456" s="93">
        <f>SUM($Z456:AZ456)-SUM($CM456:DM456)</f>
        <v>568</v>
      </c>
      <c r="CH456" s="93">
        <f>SUM($Z456:BA456)-SUM($CM456:DN456)</f>
        <v>568</v>
      </c>
      <c r="CI456" s="93">
        <f>SUM($Z456:BB456)-SUM($CM456:DO456)</f>
        <v>568</v>
      </c>
      <c r="CJ456" s="93"/>
      <c r="CK456" s="93"/>
      <c r="CL456" s="93"/>
      <c r="CM456" s="93"/>
      <c r="CN456" s="93" cm="1">
        <f t="array" ref="CN456">SUMPRODUCT(TRANSPOSE(CN$4:CN$20),$G456:$W456)</f>
        <v>0</v>
      </c>
      <c r="CO456" s="93" cm="1">
        <f t="array" ref="CO456">SUMPRODUCT(TRANSPOSE(CO$4:CO$20),$G456:$W456)</f>
        <v>0</v>
      </c>
      <c r="CP456" s="93" cm="1">
        <f t="array" ref="CP456">SUMPRODUCT(TRANSPOSE(CP$4:CP$20),$G456:$W456)</f>
        <v>0</v>
      </c>
      <c r="CQ456" s="93" cm="1">
        <f t="array" ref="CQ456">SUMPRODUCT(TRANSPOSE(CQ$4:CQ$20),$G456:$W456)</f>
        <v>64</v>
      </c>
      <c r="CR456" s="93" cm="1">
        <f t="array" ref="CR456">SUMPRODUCT(TRANSPOSE(CR$4:CR$20),$G456:$W456)</f>
        <v>64</v>
      </c>
      <c r="CS456" s="93" cm="1">
        <f t="array" ref="CS456">SUMPRODUCT(TRANSPOSE(CS$4:CS$20),$G456:$W456)</f>
        <v>64</v>
      </c>
      <c r="CT456" s="93" cm="1">
        <f t="array" ref="CT456">SUMPRODUCT(TRANSPOSE(CT$4:CT$20),$G456:$W456)</f>
        <v>64</v>
      </c>
      <c r="CU456" s="93" cm="1">
        <f t="array" ref="CU456">SUMPRODUCT(TRANSPOSE(CU$4:CU$20),$G456:$W456)</f>
        <v>64</v>
      </c>
      <c r="CV456" s="93" cm="1">
        <f t="array" ref="CV456">SUMPRODUCT(TRANSPOSE(CV$4:CV$20),$G456:$W456)</f>
        <v>64</v>
      </c>
      <c r="CW456" s="93" cm="1">
        <f t="array" ref="CW456">SUMPRODUCT(TRANSPOSE(CW$4:CW$20),$G456:$W456)</f>
        <v>64</v>
      </c>
      <c r="CX456" s="93" cm="1">
        <f t="array" ref="CX456">SUMPRODUCT(TRANSPOSE(CX$4:CX$20),$G456:$W456)</f>
        <v>64</v>
      </c>
      <c r="CY456" s="93" cm="1">
        <f t="array" ref="CY456">SUMPRODUCT(TRANSPOSE(CY$4:CY$20),$G456:$W456)</f>
        <v>64</v>
      </c>
      <c r="CZ456" s="93" cm="1">
        <f t="array" ref="CZ456">SUMPRODUCT(TRANSPOSE(CZ$4:CZ$20),$G456:$W456)</f>
        <v>64</v>
      </c>
      <c r="DA456" s="93" cm="1">
        <f t="array" ref="DA456">SUMPRODUCT(TRANSPOSE(DA$4:DA$20),$G456:$W456)</f>
        <v>64</v>
      </c>
      <c r="DB456" s="93" cm="1">
        <f t="array" ref="DB456">SUMPRODUCT(TRANSPOSE(DB$4:DB$20),$G456:$W456)</f>
        <v>64</v>
      </c>
      <c r="DC456" s="93" cm="1">
        <f t="array" ref="DC456">SUMPRODUCT(TRANSPOSE(DC$4:DC$20),$G456:$W456)</f>
        <v>48</v>
      </c>
      <c r="DD456" s="93" cm="1">
        <f t="array" ref="DD456">SUMPRODUCT(TRANSPOSE(DD$4:DD$20),$G456:$W456)</f>
        <v>0</v>
      </c>
      <c r="DE456" s="93" cm="1">
        <f t="array" ref="DE456">SUMPRODUCT(TRANSPOSE(DE$4:DE$20),$G456:$W456)</f>
        <v>0</v>
      </c>
      <c r="DF456" s="93" cm="1">
        <f t="array" ref="DF456">SUMPRODUCT(TRANSPOSE(DF$4:DF$20),$G456:$W456)</f>
        <v>0</v>
      </c>
      <c r="DG456" s="93" cm="1">
        <f t="array" ref="DG456">SUMPRODUCT(TRANSPOSE(DG$4:DG$20),$G456:$W456)</f>
        <v>0</v>
      </c>
      <c r="DH456" s="93" cm="1">
        <f t="array" ref="DH456">SUMPRODUCT(TRANSPOSE(DH$4:DH$20),$G456:$W456)</f>
        <v>0</v>
      </c>
      <c r="DI456" s="93" cm="1">
        <f t="array" ref="DI456">SUMPRODUCT(TRANSPOSE(DI$4:DI$20),$G456:$W456)</f>
        <v>0</v>
      </c>
      <c r="DJ456" s="93" cm="1">
        <f t="array" ref="DJ456">SUMPRODUCT(TRANSPOSE(DJ$4:DJ$20),$G456:$W456)</f>
        <v>0</v>
      </c>
      <c r="DK456" s="93" cm="1">
        <f t="array" ref="DK456">SUMPRODUCT(TRANSPOSE(DK$4:DK$20),$G456:$W456)</f>
        <v>0</v>
      </c>
      <c r="DL456" s="93" cm="1">
        <f t="array" ref="DL456">SUMPRODUCT(TRANSPOSE(DL$4:DL$20),$G456:$W456)</f>
        <v>0</v>
      </c>
      <c r="DM456" s="93" cm="1">
        <f t="array" ref="DM456">SUMPRODUCT(TRANSPOSE(DM$4:DM$20),$G456:$W456)</f>
        <v>0</v>
      </c>
      <c r="DN456" s="93" cm="1">
        <f t="array" ref="DN456">SUMPRODUCT(TRANSPOSE(DN$4:DN$20),$G456:$W456)</f>
        <v>0</v>
      </c>
      <c r="DO456" s="93" cm="1">
        <f t="array" ref="DO456">SUMPRODUCT(TRANSPOSE(DO$4:DO$20),$G456:$W456)</f>
        <v>0</v>
      </c>
    </row>
    <row r="457" spans="1:119" x14ac:dyDescent="0.2">
      <c r="A457" s="45">
        <f t="shared" si="32"/>
        <v>436</v>
      </c>
      <c r="B457" s="64" t="s">
        <v>964</v>
      </c>
      <c r="C457" s="45">
        <v>512314535</v>
      </c>
      <c r="D457" s="45" t="s">
        <v>617</v>
      </c>
      <c r="E457" s="45" t="s">
        <v>162</v>
      </c>
      <c r="F457" s="48">
        <v>2</v>
      </c>
      <c r="G457" s="100">
        <v>0</v>
      </c>
      <c r="H457" s="100">
        <v>0</v>
      </c>
      <c r="I457" s="100">
        <v>3</v>
      </c>
      <c r="J457" s="100">
        <v>0</v>
      </c>
      <c r="K457" s="100">
        <v>0</v>
      </c>
      <c r="L457" s="100">
        <v>0</v>
      </c>
      <c r="M457" s="100">
        <v>0</v>
      </c>
      <c r="N457" s="100">
        <v>0</v>
      </c>
      <c r="O457" s="100">
        <v>0</v>
      </c>
      <c r="P457" s="100">
        <v>0</v>
      </c>
      <c r="Q457" s="100">
        <v>0</v>
      </c>
      <c r="R457" s="100">
        <v>0</v>
      </c>
      <c r="S457" s="100">
        <v>0</v>
      </c>
      <c r="T457" s="100">
        <v>0</v>
      </c>
      <c r="U457" s="100">
        <v>0</v>
      </c>
      <c r="V457" s="100">
        <v>0</v>
      </c>
      <c r="W457" s="100">
        <v>0</v>
      </c>
      <c r="X457" s="45" t="s">
        <v>24</v>
      </c>
      <c r="Y457" s="49">
        <v>0.1</v>
      </c>
      <c r="Z457" s="45">
        <v>398</v>
      </c>
      <c r="AA457" s="45">
        <v>0</v>
      </c>
      <c r="AB457" s="45">
        <v>0</v>
      </c>
      <c r="AC457" s="45">
        <v>0</v>
      </c>
      <c r="AD457" s="45">
        <v>0</v>
      </c>
      <c r="AE457" s="45">
        <v>0</v>
      </c>
      <c r="AF457" s="45">
        <v>0</v>
      </c>
      <c r="AG457" s="45">
        <v>0</v>
      </c>
      <c r="AH457" s="45">
        <v>0</v>
      </c>
      <c r="AI457" s="45">
        <v>0</v>
      </c>
      <c r="AJ457" s="45">
        <v>0</v>
      </c>
      <c r="AK457" s="45">
        <v>0</v>
      </c>
      <c r="AL457" s="45">
        <v>0</v>
      </c>
      <c r="AM457" s="45">
        <v>0</v>
      </c>
      <c r="AN457" s="45">
        <v>0</v>
      </c>
      <c r="AO457" s="45"/>
      <c r="AP457" s="45"/>
      <c r="AQ457" s="45"/>
      <c r="AR457" s="45"/>
      <c r="AS457" s="45"/>
      <c r="AT457" s="45"/>
      <c r="AU457" s="45"/>
      <c r="AV457" s="45"/>
      <c r="AW457" s="45"/>
      <c r="AX457" s="45"/>
      <c r="AY457" s="45"/>
      <c r="AZ457" s="45"/>
      <c r="BA457" s="45"/>
      <c r="BB457" s="45"/>
      <c r="BC457" s="45"/>
      <c r="BD457" s="93"/>
      <c r="BE457" s="93"/>
      <c r="BF457" s="93"/>
      <c r="BG457" s="93"/>
      <c r="BH457" s="93"/>
      <c r="BI457" s="93"/>
      <c r="BJ457" s="93"/>
      <c r="BK457" s="93">
        <f>SUM($Z457:AD457)-SUM($CM457:CQ457)</f>
        <v>374</v>
      </c>
      <c r="BL457" s="93">
        <f>SUM($Z457:AE457)-SUM($CM457:CR457)</f>
        <v>350</v>
      </c>
      <c r="BM457" s="93">
        <f>SUM($Z457:AF457)-SUM($CM457:CS457)</f>
        <v>326</v>
      </c>
      <c r="BN457" s="93">
        <f>SUM($Z457:AG457)-SUM($CM457:CT457)</f>
        <v>302</v>
      </c>
      <c r="BO457" s="93">
        <f>SUM($Z457:AH457)-SUM($CM457:CU457)</f>
        <v>278</v>
      </c>
      <c r="BP457" s="93">
        <f>SUM($Z457:AI457)-SUM($CM457:CV457)</f>
        <v>254</v>
      </c>
      <c r="BQ457" s="93">
        <f>SUM($Z457:AJ457)-SUM($CM457:CW457)</f>
        <v>230</v>
      </c>
      <c r="BR457" s="93">
        <f>SUM($Z457:AK457)-SUM($CM457:CX457)</f>
        <v>206</v>
      </c>
      <c r="BS457" s="93">
        <f>SUM($Z457:AL457)-SUM($CM457:CY457)</f>
        <v>182</v>
      </c>
      <c r="BT457" s="93">
        <f>SUM($Z457:AM457)-SUM($CM457:CZ457)</f>
        <v>158</v>
      </c>
      <c r="BU457" s="93">
        <f>SUM($Z457:AN457)-SUM($CM457:DA457)</f>
        <v>134</v>
      </c>
      <c r="BV457" s="93">
        <f>SUM($Z457:AO457)-SUM($CM457:DB457)</f>
        <v>110</v>
      </c>
      <c r="BW457" s="93">
        <f>SUM($Z457:AP457)-SUM($CM457:DC457)</f>
        <v>92</v>
      </c>
      <c r="BX457" s="93">
        <f>SUM($Z457:AQ457)-SUM($CM457:DD457)</f>
        <v>92</v>
      </c>
      <c r="BY457" s="93">
        <f>SUM($Z457:AR457)-SUM($CM457:DE457)</f>
        <v>92</v>
      </c>
      <c r="BZ457" s="93">
        <f>SUM($Z457:AS457)-SUM($CM457:DF457)</f>
        <v>92</v>
      </c>
      <c r="CA457" s="93">
        <f>SUM($Z457:AT457)-SUM($CM457:DG457)</f>
        <v>92</v>
      </c>
      <c r="CB457" s="93">
        <f>SUM($Z457:AU457)-SUM($CM457:DH457)</f>
        <v>92</v>
      </c>
      <c r="CC457" s="93">
        <f>SUM($Z457:AV457)-SUM($CM457:DI457)</f>
        <v>92</v>
      </c>
      <c r="CD457" s="93">
        <f>SUM($Z457:AW457)-SUM($CM457:DJ457)</f>
        <v>92</v>
      </c>
      <c r="CE457" s="93">
        <f>SUM($Z457:AX457)-SUM($CM457:DK457)</f>
        <v>92</v>
      </c>
      <c r="CF457" s="93">
        <f>SUM($Z457:AY457)-SUM($CM457:DL457)</f>
        <v>92</v>
      </c>
      <c r="CG457" s="93">
        <f>SUM($Z457:AZ457)-SUM($CM457:DM457)</f>
        <v>92</v>
      </c>
      <c r="CH457" s="93">
        <f>SUM($Z457:BA457)-SUM($CM457:DN457)</f>
        <v>92</v>
      </c>
      <c r="CI457" s="93">
        <f>SUM($Z457:BB457)-SUM($CM457:DO457)</f>
        <v>92</v>
      </c>
      <c r="CJ457" s="93"/>
      <c r="CK457" s="93"/>
      <c r="CL457" s="93"/>
      <c r="CM457" s="93"/>
      <c r="CN457" s="93" cm="1">
        <f t="array" ref="CN457">SUMPRODUCT(TRANSPOSE(CN$4:CN$20),$G457:$W457)</f>
        <v>0</v>
      </c>
      <c r="CO457" s="93" cm="1">
        <f t="array" ref="CO457">SUMPRODUCT(TRANSPOSE(CO$4:CO$20),$G457:$W457)</f>
        <v>0</v>
      </c>
      <c r="CP457" s="93" cm="1">
        <f t="array" ref="CP457">SUMPRODUCT(TRANSPOSE(CP$4:CP$20),$G457:$W457)</f>
        <v>0</v>
      </c>
      <c r="CQ457" s="93" cm="1">
        <f t="array" ref="CQ457">SUMPRODUCT(TRANSPOSE(CQ$4:CQ$20),$G457:$W457)</f>
        <v>24</v>
      </c>
      <c r="CR457" s="93" cm="1">
        <f t="array" ref="CR457">SUMPRODUCT(TRANSPOSE(CR$4:CR$20),$G457:$W457)</f>
        <v>24</v>
      </c>
      <c r="CS457" s="93" cm="1">
        <f t="array" ref="CS457">SUMPRODUCT(TRANSPOSE(CS$4:CS$20),$G457:$W457)</f>
        <v>24</v>
      </c>
      <c r="CT457" s="93" cm="1">
        <f t="array" ref="CT457">SUMPRODUCT(TRANSPOSE(CT$4:CT$20),$G457:$W457)</f>
        <v>24</v>
      </c>
      <c r="CU457" s="93" cm="1">
        <f t="array" ref="CU457">SUMPRODUCT(TRANSPOSE(CU$4:CU$20),$G457:$W457)</f>
        <v>24</v>
      </c>
      <c r="CV457" s="93" cm="1">
        <f t="array" ref="CV457">SUMPRODUCT(TRANSPOSE(CV$4:CV$20),$G457:$W457)</f>
        <v>24</v>
      </c>
      <c r="CW457" s="93" cm="1">
        <f t="array" ref="CW457">SUMPRODUCT(TRANSPOSE(CW$4:CW$20),$G457:$W457)</f>
        <v>24</v>
      </c>
      <c r="CX457" s="93" cm="1">
        <f t="array" ref="CX457">SUMPRODUCT(TRANSPOSE(CX$4:CX$20),$G457:$W457)</f>
        <v>24</v>
      </c>
      <c r="CY457" s="93" cm="1">
        <f t="array" ref="CY457">SUMPRODUCT(TRANSPOSE(CY$4:CY$20),$G457:$W457)</f>
        <v>24</v>
      </c>
      <c r="CZ457" s="93" cm="1">
        <f t="array" ref="CZ457">SUMPRODUCT(TRANSPOSE(CZ$4:CZ$20),$G457:$W457)</f>
        <v>24</v>
      </c>
      <c r="DA457" s="93" cm="1">
        <f t="array" ref="DA457">SUMPRODUCT(TRANSPOSE(DA$4:DA$20),$G457:$W457)</f>
        <v>24</v>
      </c>
      <c r="DB457" s="93" cm="1">
        <f t="array" ref="DB457">SUMPRODUCT(TRANSPOSE(DB$4:DB$20),$G457:$W457)</f>
        <v>24</v>
      </c>
      <c r="DC457" s="93" cm="1">
        <f t="array" ref="DC457">SUMPRODUCT(TRANSPOSE(DC$4:DC$20),$G457:$W457)</f>
        <v>18</v>
      </c>
      <c r="DD457" s="93" cm="1">
        <f t="array" ref="DD457">SUMPRODUCT(TRANSPOSE(DD$4:DD$20),$G457:$W457)</f>
        <v>0</v>
      </c>
      <c r="DE457" s="93" cm="1">
        <f t="array" ref="DE457">SUMPRODUCT(TRANSPOSE(DE$4:DE$20),$G457:$W457)</f>
        <v>0</v>
      </c>
      <c r="DF457" s="93" cm="1">
        <f t="array" ref="DF457">SUMPRODUCT(TRANSPOSE(DF$4:DF$20),$G457:$W457)</f>
        <v>0</v>
      </c>
      <c r="DG457" s="93" cm="1">
        <f t="array" ref="DG457">SUMPRODUCT(TRANSPOSE(DG$4:DG$20),$G457:$W457)</f>
        <v>0</v>
      </c>
      <c r="DH457" s="93" cm="1">
        <f t="array" ref="DH457">SUMPRODUCT(TRANSPOSE(DH$4:DH$20),$G457:$W457)</f>
        <v>0</v>
      </c>
      <c r="DI457" s="93" cm="1">
        <f t="array" ref="DI457">SUMPRODUCT(TRANSPOSE(DI$4:DI$20),$G457:$W457)</f>
        <v>0</v>
      </c>
      <c r="DJ457" s="93" cm="1">
        <f t="array" ref="DJ457">SUMPRODUCT(TRANSPOSE(DJ$4:DJ$20),$G457:$W457)</f>
        <v>0</v>
      </c>
      <c r="DK457" s="93" cm="1">
        <f t="array" ref="DK457">SUMPRODUCT(TRANSPOSE(DK$4:DK$20),$G457:$W457)</f>
        <v>0</v>
      </c>
      <c r="DL457" s="93" cm="1">
        <f t="array" ref="DL457">SUMPRODUCT(TRANSPOSE(DL$4:DL$20),$G457:$W457)</f>
        <v>0</v>
      </c>
      <c r="DM457" s="93" cm="1">
        <f t="array" ref="DM457">SUMPRODUCT(TRANSPOSE(DM$4:DM$20),$G457:$W457)</f>
        <v>0</v>
      </c>
      <c r="DN457" s="93" cm="1">
        <f t="array" ref="DN457">SUMPRODUCT(TRANSPOSE(DN$4:DN$20),$G457:$W457)</f>
        <v>0</v>
      </c>
      <c r="DO457" s="93" cm="1">
        <f t="array" ref="DO457">SUMPRODUCT(TRANSPOSE(DO$4:DO$20),$G457:$W457)</f>
        <v>0</v>
      </c>
    </row>
    <row r="458" spans="1:119" x14ac:dyDescent="0.2">
      <c r="A458" s="45">
        <f t="shared" si="32"/>
        <v>437</v>
      </c>
      <c r="B458" s="64" t="s">
        <v>965</v>
      </c>
      <c r="C458" s="45">
        <v>512304825</v>
      </c>
      <c r="D458" s="45" t="s">
        <v>626</v>
      </c>
      <c r="E458" s="45" t="s">
        <v>162</v>
      </c>
      <c r="F458" s="48">
        <v>2</v>
      </c>
      <c r="G458" s="100">
        <v>0</v>
      </c>
      <c r="H458" s="100">
        <v>0</v>
      </c>
      <c r="I458" s="100">
        <v>4</v>
      </c>
      <c r="J458" s="100">
        <v>0</v>
      </c>
      <c r="K458" s="100">
        <v>2</v>
      </c>
      <c r="L458" s="100">
        <v>0</v>
      </c>
      <c r="M458" s="100">
        <v>0</v>
      </c>
      <c r="N458" s="100">
        <v>0</v>
      </c>
      <c r="O458" s="100">
        <v>0</v>
      </c>
      <c r="P458" s="100">
        <v>0</v>
      </c>
      <c r="Q458" s="100">
        <v>0</v>
      </c>
      <c r="R458" s="100">
        <v>0</v>
      </c>
      <c r="S458" s="100">
        <v>0</v>
      </c>
      <c r="T458" s="100">
        <v>0</v>
      </c>
      <c r="U458" s="100">
        <v>0</v>
      </c>
      <c r="V458" s="100">
        <v>0</v>
      </c>
      <c r="W458" s="100">
        <v>0</v>
      </c>
      <c r="X458" s="45" t="s">
        <v>24</v>
      </c>
      <c r="Y458" s="49">
        <v>0.05</v>
      </c>
      <c r="Z458" s="45">
        <v>796</v>
      </c>
      <c r="AA458" s="45">
        <v>0</v>
      </c>
      <c r="AB458" s="45">
        <v>0</v>
      </c>
      <c r="AC458" s="45">
        <v>0</v>
      </c>
      <c r="AD458" s="45">
        <v>0</v>
      </c>
      <c r="AE458" s="45">
        <v>0</v>
      </c>
      <c r="AF458" s="45">
        <v>0</v>
      </c>
      <c r="AG458" s="45">
        <v>0</v>
      </c>
      <c r="AH458" s="45">
        <v>0</v>
      </c>
      <c r="AI458" s="45">
        <v>0</v>
      </c>
      <c r="AJ458" s="45">
        <v>0</v>
      </c>
      <c r="AK458" s="45">
        <v>0</v>
      </c>
      <c r="AL458" s="45">
        <v>0</v>
      </c>
      <c r="AM458" s="45">
        <v>0</v>
      </c>
      <c r="AN458" s="45">
        <v>0</v>
      </c>
      <c r="AO458" s="45"/>
      <c r="AP458" s="45"/>
      <c r="AQ458" s="45"/>
      <c r="AR458" s="45"/>
      <c r="AS458" s="45"/>
      <c r="AT458" s="45"/>
      <c r="AU458" s="45"/>
      <c r="AV458" s="45"/>
      <c r="AW458" s="45"/>
      <c r="AX458" s="45"/>
      <c r="AY458" s="45"/>
      <c r="AZ458" s="45"/>
      <c r="BA458" s="45"/>
      <c r="BB458" s="45"/>
      <c r="BC458" s="45"/>
      <c r="BD458" s="93"/>
      <c r="BE458" s="93"/>
      <c r="BF458" s="93"/>
      <c r="BG458" s="93"/>
      <c r="BH458" s="93"/>
      <c r="BI458" s="93"/>
      <c r="BJ458" s="93"/>
      <c r="BK458" s="93">
        <f>SUM($Z458:AD458)-SUM($CM458:CQ458)</f>
        <v>748</v>
      </c>
      <c r="BL458" s="93">
        <f>SUM($Z458:AE458)-SUM($CM458:CR458)</f>
        <v>700</v>
      </c>
      <c r="BM458" s="93">
        <f>SUM($Z458:AF458)-SUM($CM458:CS458)</f>
        <v>652</v>
      </c>
      <c r="BN458" s="93">
        <f>SUM($Z458:AG458)-SUM($CM458:CT458)</f>
        <v>604</v>
      </c>
      <c r="BO458" s="93">
        <f>SUM($Z458:AH458)-SUM($CM458:CU458)</f>
        <v>556</v>
      </c>
      <c r="BP458" s="93">
        <f>SUM($Z458:AI458)-SUM($CM458:CV458)</f>
        <v>508</v>
      </c>
      <c r="BQ458" s="93">
        <f>SUM($Z458:AJ458)-SUM($CM458:CW458)</f>
        <v>460</v>
      </c>
      <c r="BR458" s="93">
        <f>SUM($Z458:AK458)-SUM($CM458:CX458)</f>
        <v>412</v>
      </c>
      <c r="BS458" s="93">
        <f>SUM($Z458:AL458)-SUM($CM458:CY458)</f>
        <v>364</v>
      </c>
      <c r="BT458" s="93">
        <f>SUM($Z458:AM458)-SUM($CM458:CZ458)</f>
        <v>316</v>
      </c>
      <c r="BU458" s="93">
        <f>SUM($Z458:AN458)-SUM($CM458:DA458)</f>
        <v>268</v>
      </c>
      <c r="BV458" s="93">
        <f>SUM($Z458:AO458)-SUM($CM458:DB458)</f>
        <v>220</v>
      </c>
      <c r="BW458" s="93">
        <f>SUM($Z458:AP458)-SUM($CM458:DC458)</f>
        <v>184</v>
      </c>
      <c r="BX458" s="93">
        <f>SUM($Z458:AQ458)-SUM($CM458:DD458)</f>
        <v>184</v>
      </c>
      <c r="BY458" s="93">
        <f>SUM($Z458:AR458)-SUM($CM458:DE458)</f>
        <v>184</v>
      </c>
      <c r="BZ458" s="93">
        <f>SUM($Z458:AS458)-SUM($CM458:DF458)</f>
        <v>184</v>
      </c>
      <c r="CA458" s="93">
        <f>SUM($Z458:AT458)-SUM($CM458:DG458)</f>
        <v>184</v>
      </c>
      <c r="CB458" s="93">
        <f>SUM($Z458:AU458)-SUM($CM458:DH458)</f>
        <v>184</v>
      </c>
      <c r="CC458" s="93">
        <f>SUM($Z458:AV458)-SUM($CM458:DI458)</f>
        <v>184</v>
      </c>
      <c r="CD458" s="93">
        <f>SUM($Z458:AW458)-SUM($CM458:DJ458)</f>
        <v>184</v>
      </c>
      <c r="CE458" s="93">
        <f>SUM($Z458:AX458)-SUM($CM458:DK458)</f>
        <v>184</v>
      </c>
      <c r="CF458" s="93">
        <f>SUM($Z458:AY458)-SUM($CM458:DL458)</f>
        <v>184</v>
      </c>
      <c r="CG458" s="93">
        <f>SUM($Z458:AZ458)-SUM($CM458:DM458)</f>
        <v>184</v>
      </c>
      <c r="CH458" s="93">
        <f>SUM($Z458:BA458)-SUM($CM458:DN458)</f>
        <v>184</v>
      </c>
      <c r="CI458" s="93">
        <f>SUM($Z458:BB458)-SUM($CM458:DO458)</f>
        <v>184</v>
      </c>
      <c r="CJ458" s="93"/>
      <c r="CK458" s="93"/>
      <c r="CL458" s="93"/>
      <c r="CM458" s="93"/>
      <c r="CN458" s="93" cm="1">
        <f t="array" ref="CN458">SUMPRODUCT(TRANSPOSE(CN$4:CN$20),$G458:$W458)</f>
        <v>0</v>
      </c>
      <c r="CO458" s="93" cm="1">
        <f t="array" ref="CO458">SUMPRODUCT(TRANSPOSE(CO$4:CO$20),$G458:$W458)</f>
        <v>0</v>
      </c>
      <c r="CP458" s="93" cm="1">
        <f t="array" ref="CP458">SUMPRODUCT(TRANSPOSE(CP$4:CP$20),$G458:$W458)</f>
        <v>0</v>
      </c>
      <c r="CQ458" s="93" cm="1">
        <f t="array" ref="CQ458">SUMPRODUCT(TRANSPOSE(CQ$4:CQ$20),$G458:$W458)</f>
        <v>48</v>
      </c>
      <c r="CR458" s="93" cm="1">
        <f t="array" ref="CR458">SUMPRODUCT(TRANSPOSE(CR$4:CR$20),$G458:$W458)</f>
        <v>48</v>
      </c>
      <c r="CS458" s="93" cm="1">
        <f t="array" ref="CS458">SUMPRODUCT(TRANSPOSE(CS$4:CS$20),$G458:$W458)</f>
        <v>48</v>
      </c>
      <c r="CT458" s="93" cm="1">
        <f t="array" ref="CT458">SUMPRODUCT(TRANSPOSE(CT$4:CT$20),$G458:$W458)</f>
        <v>48</v>
      </c>
      <c r="CU458" s="93" cm="1">
        <f t="array" ref="CU458">SUMPRODUCT(TRANSPOSE(CU$4:CU$20),$G458:$W458)</f>
        <v>48</v>
      </c>
      <c r="CV458" s="93" cm="1">
        <f t="array" ref="CV458">SUMPRODUCT(TRANSPOSE(CV$4:CV$20),$G458:$W458)</f>
        <v>48</v>
      </c>
      <c r="CW458" s="93" cm="1">
        <f t="array" ref="CW458">SUMPRODUCT(TRANSPOSE(CW$4:CW$20),$G458:$W458)</f>
        <v>48</v>
      </c>
      <c r="CX458" s="93" cm="1">
        <f t="array" ref="CX458">SUMPRODUCT(TRANSPOSE(CX$4:CX$20),$G458:$W458)</f>
        <v>48</v>
      </c>
      <c r="CY458" s="93" cm="1">
        <f t="array" ref="CY458">SUMPRODUCT(TRANSPOSE(CY$4:CY$20),$G458:$W458)</f>
        <v>48</v>
      </c>
      <c r="CZ458" s="93" cm="1">
        <f t="array" ref="CZ458">SUMPRODUCT(TRANSPOSE(CZ$4:CZ$20),$G458:$W458)</f>
        <v>48</v>
      </c>
      <c r="DA458" s="93" cm="1">
        <f t="array" ref="DA458">SUMPRODUCT(TRANSPOSE(DA$4:DA$20),$G458:$W458)</f>
        <v>48</v>
      </c>
      <c r="DB458" s="93" cm="1">
        <f t="array" ref="DB458">SUMPRODUCT(TRANSPOSE(DB$4:DB$20),$G458:$W458)</f>
        <v>48</v>
      </c>
      <c r="DC458" s="93" cm="1">
        <f t="array" ref="DC458">SUMPRODUCT(TRANSPOSE(DC$4:DC$20),$G458:$W458)</f>
        <v>36</v>
      </c>
      <c r="DD458" s="93" cm="1">
        <f t="array" ref="DD458">SUMPRODUCT(TRANSPOSE(DD$4:DD$20),$G458:$W458)</f>
        <v>0</v>
      </c>
      <c r="DE458" s="93" cm="1">
        <f t="array" ref="DE458">SUMPRODUCT(TRANSPOSE(DE$4:DE$20),$G458:$W458)</f>
        <v>0</v>
      </c>
      <c r="DF458" s="93" cm="1">
        <f t="array" ref="DF458">SUMPRODUCT(TRANSPOSE(DF$4:DF$20),$G458:$W458)</f>
        <v>0</v>
      </c>
      <c r="DG458" s="93" cm="1">
        <f t="array" ref="DG458">SUMPRODUCT(TRANSPOSE(DG$4:DG$20),$G458:$W458)</f>
        <v>0</v>
      </c>
      <c r="DH458" s="93" cm="1">
        <f t="array" ref="DH458">SUMPRODUCT(TRANSPOSE(DH$4:DH$20),$G458:$W458)</f>
        <v>0</v>
      </c>
      <c r="DI458" s="93" cm="1">
        <f t="array" ref="DI458">SUMPRODUCT(TRANSPOSE(DI$4:DI$20),$G458:$W458)</f>
        <v>0</v>
      </c>
      <c r="DJ458" s="93" cm="1">
        <f t="array" ref="DJ458">SUMPRODUCT(TRANSPOSE(DJ$4:DJ$20),$G458:$W458)</f>
        <v>0</v>
      </c>
      <c r="DK458" s="93" cm="1">
        <f t="array" ref="DK458">SUMPRODUCT(TRANSPOSE(DK$4:DK$20),$G458:$W458)</f>
        <v>0</v>
      </c>
      <c r="DL458" s="93" cm="1">
        <f t="array" ref="DL458">SUMPRODUCT(TRANSPOSE(DL$4:DL$20),$G458:$W458)</f>
        <v>0</v>
      </c>
      <c r="DM458" s="93" cm="1">
        <f t="array" ref="DM458">SUMPRODUCT(TRANSPOSE(DM$4:DM$20),$G458:$W458)</f>
        <v>0</v>
      </c>
      <c r="DN458" s="93" cm="1">
        <f t="array" ref="DN458">SUMPRODUCT(TRANSPOSE(DN$4:DN$20),$G458:$W458)</f>
        <v>0</v>
      </c>
      <c r="DO458" s="93" cm="1">
        <f t="array" ref="DO458">SUMPRODUCT(TRANSPOSE(DO$4:DO$20),$G458:$W458)</f>
        <v>0</v>
      </c>
    </row>
    <row r="459" spans="1:119" x14ac:dyDescent="0.2">
      <c r="A459" s="45">
        <f t="shared" si="32"/>
        <v>438</v>
      </c>
      <c r="B459" s="64" t="s">
        <v>966</v>
      </c>
      <c r="C459" s="68">
        <v>512318221</v>
      </c>
      <c r="D459" s="45" t="s">
        <v>617</v>
      </c>
      <c r="E459" s="45" t="s">
        <v>162</v>
      </c>
      <c r="F459" s="48">
        <v>2</v>
      </c>
      <c r="G459" s="100">
        <v>0</v>
      </c>
      <c r="H459" s="100">
        <v>0</v>
      </c>
      <c r="I459" s="100">
        <v>13</v>
      </c>
      <c r="J459" s="100">
        <v>0</v>
      </c>
      <c r="K459" s="100">
        <v>18</v>
      </c>
      <c r="L459" s="100">
        <v>0</v>
      </c>
      <c r="M459" s="100">
        <v>0</v>
      </c>
      <c r="N459" s="100">
        <v>0</v>
      </c>
      <c r="O459" s="100">
        <v>0</v>
      </c>
      <c r="P459" s="100">
        <v>0</v>
      </c>
      <c r="Q459" s="100">
        <v>0</v>
      </c>
      <c r="R459" s="100">
        <v>0</v>
      </c>
      <c r="S459" s="100">
        <v>0</v>
      </c>
      <c r="T459" s="100">
        <v>0</v>
      </c>
      <c r="U459" s="100">
        <v>0</v>
      </c>
      <c r="V459" s="100">
        <v>0</v>
      </c>
      <c r="W459" s="100">
        <v>0</v>
      </c>
      <c r="X459" s="45" t="s">
        <v>24</v>
      </c>
      <c r="Y459" s="49">
        <v>5.1499999999999997E-2</v>
      </c>
      <c r="Z459" s="45">
        <v>14719</v>
      </c>
      <c r="AA459" s="45">
        <v>0</v>
      </c>
      <c r="AB459" s="45">
        <v>0</v>
      </c>
      <c r="AC459" s="45">
        <v>0</v>
      </c>
      <c r="AD459" s="45">
        <v>0</v>
      </c>
      <c r="AE459" s="45">
        <v>0</v>
      </c>
      <c r="AF459" s="45">
        <v>0</v>
      </c>
      <c r="AG459" s="45">
        <v>0</v>
      </c>
      <c r="AH459" s="45">
        <v>0</v>
      </c>
      <c r="AI459" s="45">
        <v>0</v>
      </c>
      <c r="AJ459" s="45">
        <v>0</v>
      </c>
      <c r="AK459" s="45">
        <v>0</v>
      </c>
      <c r="AL459" s="45">
        <v>0</v>
      </c>
      <c r="AM459" s="45">
        <v>0</v>
      </c>
      <c r="AN459" s="45">
        <v>0</v>
      </c>
      <c r="AO459" s="45"/>
      <c r="AP459" s="45"/>
      <c r="AQ459" s="45"/>
      <c r="AR459" s="45"/>
      <c r="AS459" s="45"/>
      <c r="AT459" s="45"/>
      <c r="AU459" s="45"/>
      <c r="AV459" s="45"/>
      <c r="AW459" s="45"/>
      <c r="AX459" s="45"/>
      <c r="AY459" s="45"/>
      <c r="AZ459" s="45"/>
      <c r="BA459" s="45"/>
      <c r="BB459" s="45"/>
      <c r="BC459" s="45"/>
      <c r="BD459" s="93"/>
      <c r="BE459" s="93"/>
      <c r="BF459" s="93"/>
      <c r="BG459" s="93"/>
      <c r="BH459" s="93"/>
      <c r="BI459" s="93"/>
      <c r="BJ459" s="93"/>
      <c r="BK459" s="93">
        <f>SUM($Z459:AD459)-SUM($CM459:CQ459)</f>
        <v>14471</v>
      </c>
      <c r="BL459" s="93">
        <f>SUM($Z459:AE459)-SUM($CM459:CR459)</f>
        <v>14223</v>
      </c>
      <c r="BM459" s="93">
        <f>SUM($Z459:AF459)-SUM($CM459:CS459)</f>
        <v>13975</v>
      </c>
      <c r="BN459" s="93">
        <f>SUM($Z459:AG459)-SUM($CM459:CT459)</f>
        <v>13727</v>
      </c>
      <c r="BO459" s="93">
        <f>SUM($Z459:AH459)-SUM($CM459:CU459)</f>
        <v>13479</v>
      </c>
      <c r="BP459" s="93">
        <f>SUM($Z459:AI459)-SUM($CM459:CV459)</f>
        <v>13231</v>
      </c>
      <c r="BQ459" s="93">
        <f>SUM($Z459:AJ459)-SUM($CM459:CW459)</f>
        <v>12983</v>
      </c>
      <c r="BR459" s="93">
        <f>SUM($Z459:AK459)-SUM($CM459:CX459)</f>
        <v>12735</v>
      </c>
      <c r="BS459" s="93">
        <f>SUM($Z459:AL459)-SUM($CM459:CY459)</f>
        <v>12487</v>
      </c>
      <c r="BT459" s="93">
        <f>SUM($Z459:AM459)-SUM($CM459:CZ459)</f>
        <v>12239</v>
      </c>
      <c r="BU459" s="93">
        <f>SUM($Z459:AN459)-SUM($CM459:DA459)</f>
        <v>11991</v>
      </c>
      <c r="BV459" s="93">
        <f>SUM($Z459:AO459)-SUM($CM459:DB459)</f>
        <v>11743</v>
      </c>
      <c r="BW459" s="93">
        <f>SUM($Z459:AP459)-SUM($CM459:DC459)</f>
        <v>11557</v>
      </c>
      <c r="BX459" s="93">
        <f>SUM($Z459:AQ459)-SUM($CM459:DD459)</f>
        <v>11557</v>
      </c>
      <c r="BY459" s="93">
        <f>SUM($Z459:AR459)-SUM($CM459:DE459)</f>
        <v>11557</v>
      </c>
      <c r="BZ459" s="93">
        <f>SUM($Z459:AS459)-SUM($CM459:DF459)</f>
        <v>11557</v>
      </c>
      <c r="CA459" s="93">
        <f>SUM($Z459:AT459)-SUM($CM459:DG459)</f>
        <v>11557</v>
      </c>
      <c r="CB459" s="93">
        <f>SUM($Z459:AU459)-SUM($CM459:DH459)</f>
        <v>11557</v>
      </c>
      <c r="CC459" s="93">
        <f>SUM($Z459:AV459)-SUM($CM459:DI459)</f>
        <v>11557</v>
      </c>
      <c r="CD459" s="93">
        <f>SUM($Z459:AW459)-SUM($CM459:DJ459)</f>
        <v>11557</v>
      </c>
      <c r="CE459" s="93">
        <f>SUM($Z459:AX459)-SUM($CM459:DK459)</f>
        <v>11557</v>
      </c>
      <c r="CF459" s="93">
        <f>SUM($Z459:AY459)-SUM($CM459:DL459)</f>
        <v>11557</v>
      </c>
      <c r="CG459" s="93">
        <f>SUM($Z459:AZ459)-SUM($CM459:DM459)</f>
        <v>11557</v>
      </c>
      <c r="CH459" s="93">
        <f>SUM($Z459:BA459)-SUM($CM459:DN459)</f>
        <v>11557</v>
      </c>
      <c r="CI459" s="93">
        <f>SUM($Z459:BB459)-SUM($CM459:DO459)</f>
        <v>11557</v>
      </c>
      <c r="CJ459" s="93"/>
      <c r="CK459" s="93"/>
      <c r="CL459" s="93"/>
      <c r="CM459" s="93"/>
      <c r="CN459" s="93" cm="1">
        <f t="array" ref="CN459">SUMPRODUCT(TRANSPOSE(CN$4:CN$20),$G459:$W459)</f>
        <v>0</v>
      </c>
      <c r="CO459" s="93" cm="1">
        <f t="array" ref="CO459">SUMPRODUCT(TRANSPOSE(CO$4:CO$20),$G459:$W459)</f>
        <v>0</v>
      </c>
      <c r="CP459" s="93" cm="1">
        <f t="array" ref="CP459">SUMPRODUCT(TRANSPOSE(CP$4:CP$20),$G459:$W459)</f>
        <v>0</v>
      </c>
      <c r="CQ459" s="93" cm="1">
        <f t="array" ref="CQ459">SUMPRODUCT(TRANSPOSE(CQ$4:CQ$20),$G459:$W459)</f>
        <v>248</v>
      </c>
      <c r="CR459" s="93" cm="1">
        <f t="array" ref="CR459">SUMPRODUCT(TRANSPOSE(CR$4:CR$20),$G459:$W459)</f>
        <v>248</v>
      </c>
      <c r="CS459" s="93" cm="1">
        <f t="array" ref="CS459">SUMPRODUCT(TRANSPOSE(CS$4:CS$20),$G459:$W459)</f>
        <v>248</v>
      </c>
      <c r="CT459" s="93" cm="1">
        <f t="array" ref="CT459">SUMPRODUCT(TRANSPOSE(CT$4:CT$20),$G459:$W459)</f>
        <v>248</v>
      </c>
      <c r="CU459" s="93" cm="1">
        <f t="array" ref="CU459">SUMPRODUCT(TRANSPOSE(CU$4:CU$20),$G459:$W459)</f>
        <v>248</v>
      </c>
      <c r="CV459" s="93" cm="1">
        <f t="array" ref="CV459">SUMPRODUCT(TRANSPOSE(CV$4:CV$20),$G459:$W459)</f>
        <v>248</v>
      </c>
      <c r="CW459" s="93" cm="1">
        <f t="array" ref="CW459">SUMPRODUCT(TRANSPOSE(CW$4:CW$20),$G459:$W459)</f>
        <v>248</v>
      </c>
      <c r="CX459" s="93" cm="1">
        <f t="array" ref="CX459">SUMPRODUCT(TRANSPOSE(CX$4:CX$20),$G459:$W459)</f>
        <v>248</v>
      </c>
      <c r="CY459" s="93" cm="1">
        <f t="array" ref="CY459">SUMPRODUCT(TRANSPOSE(CY$4:CY$20),$G459:$W459)</f>
        <v>248</v>
      </c>
      <c r="CZ459" s="93" cm="1">
        <f t="array" ref="CZ459">SUMPRODUCT(TRANSPOSE(CZ$4:CZ$20),$G459:$W459)</f>
        <v>248</v>
      </c>
      <c r="DA459" s="93" cm="1">
        <f t="array" ref="DA459">SUMPRODUCT(TRANSPOSE(DA$4:DA$20),$G459:$W459)</f>
        <v>248</v>
      </c>
      <c r="DB459" s="93" cm="1">
        <f t="array" ref="DB459">SUMPRODUCT(TRANSPOSE(DB$4:DB$20),$G459:$W459)</f>
        <v>248</v>
      </c>
      <c r="DC459" s="93" cm="1">
        <f t="array" ref="DC459">SUMPRODUCT(TRANSPOSE(DC$4:DC$20),$G459:$W459)</f>
        <v>186</v>
      </c>
      <c r="DD459" s="93" cm="1">
        <f t="array" ref="DD459">SUMPRODUCT(TRANSPOSE(DD$4:DD$20),$G459:$W459)</f>
        <v>0</v>
      </c>
      <c r="DE459" s="93" cm="1">
        <f t="array" ref="DE459">SUMPRODUCT(TRANSPOSE(DE$4:DE$20),$G459:$W459)</f>
        <v>0</v>
      </c>
      <c r="DF459" s="93" cm="1">
        <f t="array" ref="DF459">SUMPRODUCT(TRANSPOSE(DF$4:DF$20),$G459:$W459)</f>
        <v>0</v>
      </c>
      <c r="DG459" s="93" cm="1">
        <f t="array" ref="DG459">SUMPRODUCT(TRANSPOSE(DG$4:DG$20),$G459:$W459)</f>
        <v>0</v>
      </c>
      <c r="DH459" s="93" cm="1">
        <f t="array" ref="DH459">SUMPRODUCT(TRANSPOSE(DH$4:DH$20),$G459:$W459)</f>
        <v>0</v>
      </c>
      <c r="DI459" s="93" cm="1">
        <f t="array" ref="DI459">SUMPRODUCT(TRANSPOSE(DI$4:DI$20),$G459:$W459)</f>
        <v>0</v>
      </c>
      <c r="DJ459" s="93" cm="1">
        <f t="array" ref="DJ459">SUMPRODUCT(TRANSPOSE(DJ$4:DJ$20),$G459:$W459)</f>
        <v>0</v>
      </c>
      <c r="DK459" s="93" cm="1">
        <f t="array" ref="DK459">SUMPRODUCT(TRANSPOSE(DK$4:DK$20),$G459:$W459)</f>
        <v>0</v>
      </c>
      <c r="DL459" s="93" cm="1">
        <f t="array" ref="DL459">SUMPRODUCT(TRANSPOSE(DL$4:DL$20),$G459:$W459)</f>
        <v>0</v>
      </c>
      <c r="DM459" s="93" cm="1">
        <f t="array" ref="DM459">SUMPRODUCT(TRANSPOSE(DM$4:DM$20),$G459:$W459)</f>
        <v>0</v>
      </c>
      <c r="DN459" s="93" cm="1">
        <f t="array" ref="DN459">SUMPRODUCT(TRANSPOSE(DN$4:DN$20),$G459:$W459)</f>
        <v>0</v>
      </c>
      <c r="DO459" s="93" cm="1">
        <f t="array" ref="DO459">SUMPRODUCT(TRANSPOSE(DO$4:DO$20),$G459:$W459)</f>
        <v>0</v>
      </c>
    </row>
    <row r="460" spans="1:119" x14ac:dyDescent="0.2">
      <c r="A460" s="45">
        <f t="shared" si="32"/>
        <v>439</v>
      </c>
      <c r="B460" s="64" t="s">
        <v>967</v>
      </c>
      <c r="C460" s="45">
        <v>512321324</v>
      </c>
      <c r="D460" s="45" t="s">
        <v>617</v>
      </c>
      <c r="E460" s="45" t="s">
        <v>162</v>
      </c>
      <c r="F460" s="48">
        <v>2</v>
      </c>
      <c r="G460" s="100">
        <v>5</v>
      </c>
      <c r="H460" s="100">
        <v>0</v>
      </c>
      <c r="I460" s="100">
        <v>0</v>
      </c>
      <c r="J460" s="100">
        <v>0</v>
      </c>
      <c r="K460" s="100">
        <v>0</v>
      </c>
      <c r="L460" s="100">
        <v>0</v>
      </c>
      <c r="M460" s="100">
        <v>0</v>
      </c>
      <c r="N460" s="100">
        <v>0</v>
      </c>
      <c r="O460" s="100">
        <v>0</v>
      </c>
      <c r="P460" s="100">
        <v>0</v>
      </c>
      <c r="Q460" s="100">
        <v>0</v>
      </c>
      <c r="R460" s="100">
        <v>0</v>
      </c>
      <c r="S460" s="100">
        <v>0</v>
      </c>
      <c r="T460" s="100">
        <v>0</v>
      </c>
      <c r="U460" s="100">
        <v>0</v>
      </c>
      <c r="V460" s="100">
        <v>0</v>
      </c>
      <c r="W460" s="100">
        <v>0</v>
      </c>
      <c r="X460" s="45" t="s">
        <v>24</v>
      </c>
      <c r="Y460" s="49">
        <v>0.15</v>
      </c>
      <c r="Z460" s="45">
        <v>663</v>
      </c>
      <c r="AA460" s="45">
        <v>0</v>
      </c>
      <c r="AB460" s="45">
        <v>0</v>
      </c>
      <c r="AC460" s="45">
        <v>0</v>
      </c>
      <c r="AD460" s="45">
        <v>0</v>
      </c>
      <c r="AE460" s="45">
        <v>0</v>
      </c>
      <c r="AF460" s="45">
        <v>0</v>
      </c>
      <c r="AG460" s="45">
        <v>0</v>
      </c>
      <c r="AH460" s="45">
        <v>0</v>
      </c>
      <c r="AI460" s="45">
        <v>0</v>
      </c>
      <c r="AJ460" s="45">
        <v>0</v>
      </c>
      <c r="AK460" s="45">
        <v>0</v>
      </c>
      <c r="AL460" s="45">
        <v>0</v>
      </c>
      <c r="AM460" s="45">
        <v>0</v>
      </c>
      <c r="AN460" s="45">
        <v>0</v>
      </c>
      <c r="AO460" s="45"/>
      <c r="AP460" s="45"/>
      <c r="AQ460" s="45"/>
      <c r="AR460" s="45"/>
      <c r="AS460" s="45"/>
      <c r="AT460" s="45"/>
      <c r="AU460" s="45"/>
      <c r="AV460" s="45"/>
      <c r="AW460" s="45"/>
      <c r="AX460" s="45"/>
      <c r="AY460" s="45"/>
      <c r="AZ460" s="45"/>
      <c r="BA460" s="45"/>
      <c r="BB460" s="45"/>
      <c r="BC460" s="45"/>
      <c r="BD460" s="93"/>
      <c r="BE460" s="93"/>
      <c r="BF460" s="93"/>
      <c r="BG460" s="93"/>
      <c r="BH460" s="93"/>
      <c r="BI460" s="93"/>
      <c r="BJ460" s="93"/>
      <c r="BK460" s="93">
        <f>SUM($Z460:AD460)-SUM($CM460:CQ460)</f>
        <v>623</v>
      </c>
      <c r="BL460" s="93">
        <f>SUM($Z460:AE460)-SUM($CM460:CR460)</f>
        <v>583</v>
      </c>
      <c r="BM460" s="93">
        <f>SUM($Z460:AF460)-SUM($CM460:CS460)</f>
        <v>543</v>
      </c>
      <c r="BN460" s="93">
        <f>SUM($Z460:AG460)-SUM($CM460:CT460)</f>
        <v>503</v>
      </c>
      <c r="BO460" s="93">
        <f>SUM($Z460:AH460)-SUM($CM460:CU460)</f>
        <v>463</v>
      </c>
      <c r="BP460" s="93">
        <f>SUM($Z460:AI460)-SUM($CM460:CV460)</f>
        <v>423</v>
      </c>
      <c r="BQ460" s="93">
        <f>SUM($Z460:AJ460)-SUM($CM460:CW460)</f>
        <v>383</v>
      </c>
      <c r="BR460" s="93">
        <f>SUM($Z460:AK460)-SUM($CM460:CX460)</f>
        <v>343</v>
      </c>
      <c r="BS460" s="93">
        <f>SUM($Z460:AL460)-SUM($CM460:CY460)</f>
        <v>303</v>
      </c>
      <c r="BT460" s="93">
        <f>SUM($Z460:AM460)-SUM($CM460:CZ460)</f>
        <v>263</v>
      </c>
      <c r="BU460" s="93">
        <f>SUM($Z460:AN460)-SUM($CM460:DA460)</f>
        <v>223</v>
      </c>
      <c r="BV460" s="93">
        <f>SUM($Z460:AO460)-SUM($CM460:DB460)</f>
        <v>183</v>
      </c>
      <c r="BW460" s="93">
        <f>SUM($Z460:AP460)-SUM($CM460:DC460)</f>
        <v>153</v>
      </c>
      <c r="BX460" s="93">
        <f>SUM($Z460:AQ460)-SUM($CM460:DD460)</f>
        <v>153</v>
      </c>
      <c r="BY460" s="93">
        <f>SUM($Z460:AR460)-SUM($CM460:DE460)</f>
        <v>153</v>
      </c>
      <c r="BZ460" s="93">
        <f>SUM($Z460:AS460)-SUM($CM460:DF460)</f>
        <v>153</v>
      </c>
      <c r="CA460" s="93">
        <f>SUM($Z460:AT460)-SUM($CM460:DG460)</f>
        <v>153</v>
      </c>
      <c r="CB460" s="93">
        <f>SUM($Z460:AU460)-SUM($CM460:DH460)</f>
        <v>153</v>
      </c>
      <c r="CC460" s="93">
        <f>SUM($Z460:AV460)-SUM($CM460:DI460)</f>
        <v>153</v>
      </c>
      <c r="CD460" s="93">
        <f>SUM($Z460:AW460)-SUM($CM460:DJ460)</f>
        <v>153</v>
      </c>
      <c r="CE460" s="93">
        <f>SUM($Z460:AX460)-SUM($CM460:DK460)</f>
        <v>153</v>
      </c>
      <c r="CF460" s="93">
        <f>SUM($Z460:AY460)-SUM($CM460:DL460)</f>
        <v>153</v>
      </c>
      <c r="CG460" s="93">
        <f>SUM($Z460:AZ460)-SUM($CM460:DM460)</f>
        <v>153</v>
      </c>
      <c r="CH460" s="93">
        <f>SUM($Z460:BA460)-SUM($CM460:DN460)</f>
        <v>153</v>
      </c>
      <c r="CI460" s="93">
        <f>SUM($Z460:BB460)-SUM($CM460:DO460)</f>
        <v>153</v>
      </c>
      <c r="CJ460" s="93"/>
      <c r="CK460" s="93"/>
      <c r="CL460" s="93"/>
      <c r="CM460" s="93"/>
      <c r="CN460" s="93" cm="1">
        <f t="array" ref="CN460">SUMPRODUCT(TRANSPOSE(CN$4:CN$20),$G460:$W460)</f>
        <v>0</v>
      </c>
      <c r="CO460" s="93" cm="1">
        <f t="array" ref="CO460">SUMPRODUCT(TRANSPOSE(CO$4:CO$20),$G460:$W460)</f>
        <v>0</v>
      </c>
      <c r="CP460" s="93" cm="1">
        <f t="array" ref="CP460">SUMPRODUCT(TRANSPOSE(CP$4:CP$20),$G460:$W460)</f>
        <v>0</v>
      </c>
      <c r="CQ460" s="93" cm="1">
        <f t="array" ref="CQ460">SUMPRODUCT(TRANSPOSE(CQ$4:CQ$20),$G460:$W460)</f>
        <v>40</v>
      </c>
      <c r="CR460" s="93" cm="1">
        <f t="array" ref="CR460">SUMPRODUCT(TRANSPOSE(CR$4:CR$20),$G460:$W460)</f>
        <v>40</v>
      </c>
      <c r="CS460" s="93" cm="1">
        <f t="array" ref="CS460">SUMPRODUCT(TRANSPOSE(CS$4:CS$20),$G460:$W460)</f>
        <v>40</v>
      </c>
      <c r="CT460" s="93" cm="1">
        <f t="array" ref="CT460">SUMPRODUCT(TRANSPOSE(CT$4:CT$20),$G460:$W460)</f>
        <v>40</v>
      </c>
      <c r="CU460" s="93" cm="1">
        <f t="array" ref="CU460">SUMPRODUCT(TRANSPOSE(CU$4:CU$20),$G460:$W460)</f>
        <v>40</v>
      </c>
      <c r="CV460" s="93" cm="1">
        <f t="array" ref="CV460">SUMPRODUCT(TRANSPOSE(CV$4:CV$20),$G460:$W460)</f>
        <v>40</v>
      </c>
      <c r="CW460" s="93" cm="1">
        <f t="array" ref="CW460">SUMPRODUCT(TRANSPOSE(CW$4:CW$20),$G460:$W460)</f>
        <v>40</v>
      </c>
      <c r="CX460" s="93" cm="1">
        <f t="array" ref="CX460">SUMPRODUCT(TRANSPOSE(CX$4:CX$20),$G460:$W460)</f>
        <v>40</v>
      </c>
      <c r="CY460" s="93" cm="1">
        <f t="array" ref="CY460">SUMPRODUCT(TRANSPOSE(CY$4:CY$20),$G460:$W460)</f>
        <v>40</v>
      </c>
      <c r="CZ460" s="93" cm="1">
        <f t="array" ref="CZ460">SUMPRODUCT(TRANSPOSE(CZ$4:CZ$20),$G460:$W460)</f>
        <v>40</v>
      </c>
      <c r="DA460" s="93" cm="1">
        <f t="array" ref="DA460">SUMPRODUCT(TRANSPOSE(DA$4:DA$20),$G460:$W460)</f>
        <v>40</v>
      </c>
      <c r="DB460" s="93" cm="1">
        <f t="array" ref="DB460">SUMPRODUCT(TRANSPOSE(DB$4:DB$20),$G460:$W460)</f>
        <v>40</v>
      </c>
      <c r="DC460" s="93" cm="1">
        <f t="array" ref="DC460">SUMPRODUCT(TRANSPOSE(DC$4:DC$20),$G460:$W460)</f>
        <v>30</v>
      </c>
      <c r="DD460" s="93" cm="1">
        <f t="array" ref="DD460">SUMPRODUCT(TRANSPOSE(DD$4:DD$20),$G460:$W460)</f>
        <v>0</v>
      </c>
      <c r="DE460" s="93" cm="1">
        <f t="array" ref="DE460">SUMPRODUCT(TRANSPOSE(DE$4:DE$20),$G460:$W460)</f>
        <v>0</v>
      </c>
      <c r="DF460" s="93" cm="1">
        <f t="array" ref="DF460">SUMPRODUCT(TRANSPOSE(DF$4:DF$20),$G460:$W460)</f>
        <v>0</v>
      </c>
      <c r="DG460" s="93" cm="1">
        <f t="array" ref="DG460">SUMPRODUCT(TRANSPOSE(DG$4:DG$20),$G460:$W460)</f>
        <v>0</v>
      </c>
      <c r="DH460" s="93" cm="1">
        <f t="array" ref="DH460">SUMPRODUCT(TRANSPOSE(DH$4:DH$20),$G460:$W460)</f>
        <v>0</v>
      </c>
      <c r="DI460" s="93" cm="1">
        <f t="array" ref="DI460">SUMPRODUCT(TRANSPOSE(DI$4:DI$20),$G460:$W460)</f>
        <v>0</v>
      </c>
      <c r="DJ460" s="93" cm="1">
        <f t="array" ref="DJ460">SUMPRODUCT(TRANSPOSE(DJ$4:DJ$20),$G460:$W460)</f>
        <v>0</v>
      </c>
      <c r="DK460" s="93" cm="1">
        <f t="array" ref="DK460">SUMPRODUCT(TRANSPOSE(DK$4:DK$20),$G460:$W460)</f>
        <v>0</v>
      </c>
      <c r="DL460" s="93" cm="1">
        <f t="array" ref="DL460">SUMPRODUCT(TRANSPOSE(DL$4:DL$20),$G460:$W460)</f>
        <v>0</v>
      </c>
      <c r="DM460" s="93" cm="1">
        <f t="array" ref="DM460">SUMPRODUCT(TRANSPOSE(DM$4:DM$20),$G460:$W460)</f>
        <v>0</v>
      </c>
      <c r="DN460" s="93" cm="1">
        <f t="array" ref="DN460">SUMPRODUCT(TRANSPOSE(DN$4:DN$20),$G460:$W460)</f>
        <v>0</v>
      </c>
      <c r="DO460" s="93" cm="1">
        <f t="array" ref="DO460">SUMPRODUCT(TRANSPOSE(DO$4:DO$20),$G460:$W460)</f>
        <v>0</v>
      </c>
    </row>
    <row r="461" spans="1:119" x14ac:dyDescent="0.2">
      <c r="A461" s="45">
        <f t="shared" si="32"/>
        <v>440</v>
      </c>
      <c r="B461" s="64" t="s">
        <v>968</v>
      </c>
      <c r="C461" s="45">
        <v>512310459</v>
      </c>
      <c r="D461" s="45" t="s">
        <v>617</v>
      </c>
      <c r="E461" s="45" t="s">
        <v>162</v>
      </c>
      <c r="F461" s="48">
        <v>2</v>
      </c>
      <c r="G461" s="100">
        <v>0</v>
      </c>
      <c r="H461" s="100">
        <v>0</v>
      </c>
      <c r="I461" s="100">
        <v>0</v>
      </c>
      <c r="J461" s="100">
        <v>0</v>
      </c>
      <c r="K461" s="100">
        <v>4</v>
      </c>
      <c r="L461" s="100">
        <v>0</v>
      </c>
      <c r="M461" s="100">
        <v>0</v>
      </c>
      <c r="N461" s="100">
        <v>0</v>
      </c>
      <c r="O461" s="100">
        <v>0</v>
      </c>
      <c r="P461" s="100">
        <v>0</v>
      </c>
      <c r="Q461" s="100">
        <v>0</v>
      </c>
      <c r="R461" s="100">
        <v>0</v>
      </c>
      <c r="S461" s="100">
        <v>0</v>
      </c>
      <c r="T461" s="100">
        <v>0</v>
      </c>
      <c r="U461" s="100">
        <v>0</v>
      </c>
      <c r="V461" s="100">
        <v>0</v>
      </c>
      <c r="W461" s="100">
        <v>0</v>
      </c>
      <c r="X461" s="45" t="s">
        <v>24</v>
      </c>
      <c r="Y461" s="49">
        <v>0.1</v>
      </c>
      <c r="Z461" s="45">
        <v>531</v>
      </c>
      <c r="AA461" s="45">
        <v>0</v>
      </c>
      <c r="AB461" s="45">
        <v>0</v>
      </c>
      <c r="AC461" s="45">
        <v>0</v>
      </c>
      <c r="AD461" s="45">
        <v>0</v>
      </c>
      <c r="AE461" s="45">
        <v>0</v>
      </c>
      <c r="AF461" s="45">
        <v>0</v>
      </c>
      <c r="AG461" s="45">
        <v>0</v>
      </c>
      <c r="AH461" s="45">
        <v>0</v>
      </c>
      <c r="AI461" s="45">
        <v>0</v>
      </c>
      <c r="AJ461" s="45">
        <v>0</v>
      </c>
      <c r="AK461" s="45">
        <v>0</v>
      </c>
      <c r="AL461" s="45">
        <v>0</v>
      </c>
      <c r="AM461" s="45">
        <v>0</v>
      </c>
      <c r="AN461" s="45">
        <v>0</v>
      </c>
      <c r="AO461" s="45"/>
      <c r="AP461" s="45"/>
      <c r="AQ461" s="45"/>
      <c r="AR461" s="45"/>
      <c r="AS461" s="45"/>
      <c r="AT461" s="45"/>
      <c r="AU461" s="45"/>
      <c r="AV461" s="45"/>
      <c r="AW461" s="45"/>
      <c r="AX461" s="45"/>
      <c r="AY461" s="45"/>
      <c r="AZ461" s="45"/>
      <c r="BA461" s="45"/>
      <c r="BB461" s="45"/>
      <c r="BC461" s="45"/>
      <c r="BD461" s="93"/>
      <c r="BE461" s="93"/>
      <c r="BF461" s="93"/>
      <c r="BG461" s="93"/>
      <c r="BH461" s="93"/>
      <c r="BI461" s="93"/>
      <c r="BJ461" s="93"/>
      <c r="BK461" s="93">
        <f>SUM($Z461:AD461)-SUM($CM461:CQ461)</f>
        <v>499</v>
      </c>
      <c r="BL461" s="93">
        <f>SUM($Z461:AE461)-SUM($CM461:CR461)</f>
        <v>467</v>
      </c>
      <c r="BM461" s="93">
        <f>SUM($Z461:AF461)-SUM($CM461:CS461)</f>
        <v>435</v>
      </c>
      <c r="BN461" s="93">
        <f>SUM($Z461:AG461)-SUM($CM461:CT461)</f>
        <v>403</v>
      </c>
      <c r="BO461" s="93">
        <f>SUM($Z461:AH461)-SUM($CM461:CU461)</f>
        <v>371</v>
      </c>
      <c r="BP461" s="93">
        <f>SUM($Z461:AI461)-SUM($CM461:CV461)</f>
        <v>339</v>
      </c>
      <c r="BQ461" s="93">
        <f>SUM($Z461:AJ461)-SUM($CM461:CW461)</f>
        <v>307</v>
      </c>
      <c r="BR461" s="93">
        <f>SUM($Z461:AK461)-SUM($CM461:CX461)</f>
        <v>275</v>
      </c>
      <c r="BS461" s="93">
        <f>SUM($Z461:AL461)-SUM($CM461:CY461)</f>
        <v>243</v>
      </c>
      <c r="BT461" s="93">
        <f>SUM($Z461:AM461)-SUM($CM461:CZ461)</f>
        <v>211</v>
      </c>
      <c r="BU461" s="93">
        <f>SUM($Z461:AN461)-SUM($CM461:DA461)</f>
        <v>179</v>
      </c>
      <c r="BV461" s="93">
        <f>SUM($Z461:AO461)-SUM($CM461:DB461)</f>
        <v>147</v>
      </c>
      <c r="BW461" s="93">
        <f>SUM($Z461:AP461)-SUM($CM461:DC461)</f>
        <v>123</v>
      </c>
      <c r="BX461" s="93">
        <f>SUM($Z461:AQ461)-SUM($CM461:DD461)</f>
        <v>123</v>
      </c>
      <c r="BY461" s="93">
        <f>SUM($Z461:AR461)-SUM($CM461:DE461)</f>
        <v>123</v>
      </c>
      <c r="BZ461" s="93">
        <f>SUM($Z461:AS461)-SUM($CM461:DF461)</f>
        <v>123</v>
      </c>
      <c r="CA461" s="93">
        <f>SUM($Z461:AT461)-SUM($CM461:DG461)</f>
        <v>123</v>
      </c>
      <c r="CB461" s="93">
        <f>SUM($Z461:AU461)-SUM($CM461:DH461)</f>
        <v>123</v>
      </c>
      <c r="CC461" s="93">
        <f>SUM($Z461:AV461)-SUM($CM461:DI461)</f>
        <v>123</v>
      </c>
      <c r="CD461" s="93">
        <f>SUM($Z461:AW461)-SUM($CM461:DJ461)</f>
        <v>123</v>
      </c>
      <c r="CE461" s="93">
        <f>SUM($Z461:AX461)-SUM($CM461:DK461)</f>
        <v>123</v>
      </c>
      <c r="CF461" s="93">
        <f>SUM($Z461:AY461)-SUM($CM461:DL461)</f>
        <v>123</v>
      </c>
      <c r="CG461" s="93">
        <f>SUM($Z461:AZ461)-SUM($CM461:DM461)</f>
        <v>123</v>
      </c>
      <c r="CH461" s="93">
        <f>SUM($Z461:BA461)-SUM($CM461:DN461)</f>
        <v>123</v>
      </c>
      <c r="CI461" s="93">
        <f>SUM($Z461:BB461)-SUM($CM461:DO461)</f>
        <v>123</v>
      </c>
      <c r="CJ461" s="93"/>
      <c r="CK461" s="93"/>
      <c r="CL461" s="93"/>
      <c r="CM461" s="93"/>
      <c r="CN461" s="93" cm="1">
        <f t="array" ref="CN461">SUMPRODUCT(TRANSPOSE(CN$4:CN$20),$G461:$W461)</f>
        <v>0</v>
      </c>
      <c r="CO461" s="93" cm="1">
        <f t="array" ref="CO461">SUMPRODUCT(TRANSPOSE(CO$4:CO$20),$G461:$W461)</f>
        <v>0</v>
      </c>
      <c r="CP461" s="93" cm="1">
        <f t="array" ref="CP461">SUMPRODUCT(TRANSPOSE(CP$4:CP$20),$G461:$W461)</f>
        <v>0</v>
      </c>
      <c r="CQ461" s="93" cm="1">
        <f t="array" ref="CQ461">SUMPRODUCT(TRANSPOSE(CQ$4:CQ$20),$G461:$W461)</f>
        <v>32</v>
      </c>
      <c r="CR461" s="93" cm="1">
        <f t="array" ref="CR461">SUMPRODUCT(TRANSPOSE(CR$4:CR$20),$G461:$W461)</f>
        <v>32</v>
      </c>
      <c r="CS461" s="93" cm="1">
        <f t="array" ref="CS461">SUMPRODUCT(TRANSPOSE(CS$4:CS$20),$G461:$W461)</f>
        <v>32</v>
      </c>
      <c r="CT461" s="93" cm="1">
        <f t="array" ref="CT461">SUMPRODUCT(TRANSPOSE(CT$4:CT$20),$G461:$W461)</f>
        <v>32</v>
      </c>
      <c r="CU461" s="93" cm="1">
        <f t="array" ref="CU461">SUMPRODUCT(TRANSPOSE(CU$4:CU$20),$G461:$W461)</f>
        <v>32</v>
      </c>
      <c r="CV461" s="93" cm="1">
        <f t="array" ref="CV461">SUMPRODUCT(TRANSPOSE(CV$4:CV$20),$G461:$W461)</f>
        <v>32</v>
      </c>
      <c r="CW461" s="93" cm="1">
        <f t="array" ref="CW461">SUMPRODUCT(TRANSPOSE(CW$4:CW$20),$G461:$W461)</f>
        <v>32</v>
      </c>
      <c r="CX461" s="93" cm="1">
        <f t="array" ref="CX461">SUMPRODUCT(TRANSPOSE(CX$4:CX$20),$G461:$W461)</f>
        <v>32</v>
      </c>
      <c r="CY461" s="93" cm="1">
        <f t="array" ref="CY461">SUMPRODUCT(TRANSPOSE(CY$4:CY$20),$G461:$W461)</f>
        <v>32</v>
      </c>
      <c r="CZ461" s="93" cm="1">
        <f t="array" ref="CZ461">SUMPRODUCT(TRANSPOSE(CZ$4:CZ$20),$G461:$W461)</f>
        <v>32</v>
      </c>
      <c r="DA461" s="93" cm="1">
        <f t="array" ref="DA461">SUMPRODUCT(TRANSPOSE(DA$4:DA$20),$G461:$W461)</f>
        <v>32</v>
      </c>
      <c r="DB461" s="93" cm="1">
        <f t="array" ref="DB461">SUMPRODUCT(TRANSPOSE(DB$4:DB$20),$G461:$W461)</f>
        <v>32</v>
      </c>
      <c r="DC461" s="93" cm="1">
        <f t="array" ref="DC461">SUMPRODUCT(TRANSPOSE(DC$4:DC$20),$G461:$W461)</f>
        <v>24</v>
      </c>
      <c r="DD461" s="93" cm="1">
        <f t="array" ref="DD461">SUMPRODUCT(TRANSPOSE(DD$4:DD$20),$G461:$W461)</f>
        <v>0</v>
      </c>
      <c r="DE461" s="93" cm="1">
        <f t="array" ref="DE461">SUMPRODUCT(TRANSPOSE(DE$4:DE$20),$G461:$W461)</f>
        <v>0</v>
      </c>
      <c r="DF461" s="93" cm="1">
        <f t="array" ref="DF461">SUMPRODUCT(TRANSPOSE(DF$4:DF$20),$G461:$W461)</f>
        <v>0</v>
      </c>
      <c r="DG461" s="93" cm="1">
        <f t="array" ref="DG461">SUMPRODUCT(TRANSPOSE(DG$4:DG$20),$G461:$W461)</f>
        <v>0</v>
      </c>
      <c r="DH461" s="93" cm="1">
        <f t="array" ref="DH461">SUMPRODUCT(TRANSPOSE(DH$4:DH$20),$G461:$W461)</f>
        <v>0</v>
      </c>
      <c r="DI461" s="93" cm="1">
        <f t="array" ref="DI461">SUMPRODUCT(TRANSPOSE(DI$4:DI$20),$G461:$W461)</f>
        <v>0</v>
      </c>
      <c r="DJ461" s="93" cm="1">
        <f t="array" ref="DJ461">SUMPRODUCT(TRANSPOSE(DJ$4:DJ$20),$G461:$W461)</f>
        <v>0</v>
      </c>
      <c r="DK461" s="93" cm="1">
        <f t="array" ref="DK461">SUMPRODUCT(TRANSPOSE(DK$4:DK$20),$G461:$W461)</f>
        <v>0</v>
      </c>
      <c r="DL461" s="93" cm="1">
        <f t="array" ref="DL461">SUMPRODUCT(TRANSPOSE(DL$4:DL$20),$G461:$W461)</f>
        <v>0</v>
      </c>
      <c r="DM461" s="93" cm="1">
        <f t="array" ref="DM461">SUMPRODUCT(TRANSPOSE(DM$4:DM$20),$G461:$W461)</f>
        <v>0</v>
      </c>
      <c r="DN461" s="93" cm="1">
        <f t="array" ref="DN461">SUMPRODUCT(TRANSPOSE(DN$4:DN$20),$G461:$W461)</f>
        <v>0</v>
      </c>
      <c r="DO461" s="93" cm="1">
        <f t="array" ref="DO461">SUMPRODUCT(TRANSPOSE(DO$4:DO$20),$G461:$W461)</f>
        <v>0</v>
      </c>
    </row>
    <row r="462" spans="1:119" x14ac:dyDescent="0.2">
      <c r="A462" s="45">
        <f t="shared" si="32"/>
        <v>441</v>
      </c>
      <c r="B462" s="64" t="s">
        <v>969</v>
      </c>
      <c r="C462" s="45">
        <v>512314584</v>
      </c>
      <c r="D462" s="45" t="s">
        <v>617</v>
      </c>
      <c r="E462" s="45" t="s">
        <v>162</v>
      </c>
      <c r="F462" s="48">
        <v>2</v>
      </c>
      <c r="G462" s="100">
        <v>0</v>
      </c>
      <c r="H462" s="100">
        <v>0</v>
      </c>
      <c r="I462" s="100">
        <v>23</v>
      </c>
      <c r="J462" s="100">
        <v>0</v>
      </c>
      <c r="K462" s="100">
        <v>14</v>
      </c>
      <c r="L462" s="100">
        <v>0</v>
      </c>
      <c r="M462" s="100">
        <v>0</v>
      </c>
      <c r="N462" s="100">
        <v>0</v>
      </c>
      <c r="O462" s="100">
        <v>0</v>
      </c>
      <c r="P462" s="100">
        <v>0</v>
      </c>
      <c r="Q462" s="100">
        <v>0</v>
      </c>
      <c r="R462" s="100">
        <v>0</v>
      </c>
      <c r="S462" s="100">
        <v>0</v>
      </c>
      <c r="T462" s="100">
        <v>0</v>
      </c>
      <c r="U462" s="100">
        <v>0</v>
      </c>
      <c r="V462" s="100">
        <v>0</v>
      </c>
      <c r="W462" s="100">
        <v>0</v>
      </c>
      <c r="X462" s="45" t="s">
        <v>24</v>
      </c>
      <c r="Y462" s="49">
        <v>0.05</v>
      </c>
      <c r="Z462" s="45">
        <v>6565</v>
      </c>
      <c r="AA462" s="45">
        <v>0</v>
      </c>
      <c r="AB462" s="45">
        <v>0</v>
      </c>
      <c r="AC462" s="45">
        <v>0</v>
      </c>
      <c r="AD462" s="45">
        <v>0</v>
      </c>
      <c r="AE462" s="45">
        <v>0</v>
      </c>
      <c r="AF462" s="45">
        <v>0</v>
      </c>
      <c r="AG462" s="45">
        <v>0</v>
      </c>
      <c r="AH462" s="45">
        <v>0</v>
      </c>
      <c r="AI462" s="45">
        <v>0</v>
      </c>
      <c r="AJ462" s="45">
        <v>0</v>
      </c>
      <c r="AK462" s="45">
        <v>0</v>
      </c>
      <c r="AL462" s="45">
        <v>0</v>
      </c>
      <c r="AM462" s="45">
        <v>0</v>
      </c>
      <c r="AN462" s="45">
        <v>0</v>
      </c>
      <c r="AO462" s="45"/>
      <c r="AP462" s="45"/>
      <c r="AQ462" s="45"/>
      <c r="AR462" s="45"/>
      <c r="AS462" s="45"/>
      <c r="AT462" s="45"/>
      <c r="AU462" s="45"/>
      <c r="AV462" s="45"/>
      <c r="AW462" s="45"/>
      <c r="AX462" s="45"/>
      <c r="AY462" s="45"/>
      <c r="AZ462" s="45"/>
      <c r="BA462" s="45"/>
      <c r="BB462" s="45"/>
      <c r="BC462" s="45"/>
      <c r="BD462" s="93"/>
      <c r="BE462" s="93"/>
      <c r="BF462" s="93"/>
      <c r="BG462" s="93"/>
      <c r="BH462" s="93"/>
      <c r="BI462" s="93"/>
      <c r="BJ462" s="93"/>
      <c r="BK462" s="93">
        <f>SUM($Z462:AD462)-SUM($CM462:CQ462)</f>
        <v>6269</v>
      </c>
      <c r="BL462" s="93">
        <f>SUM($Z462:AE462)-SUM($CM462:CR462)</f>
        <v>5973</v>
      </c>
      <c r="BM462" s="93">
        <f>SUM($Z462:AF462)-SUM($CM462:CS462)</f>
        <v>5677</v>
      </c>
      <c r="BN462" s="93">
        <f>SUM($Z462:AG462)-SUM($CM462:CT462)</f>
        <v>5381</v>
      </c>
      <c r="BO462" s="93">
        <f>SUM($Z462:AH462)-SUM($CM462:CU462)</f>
        <v>5085</v>
      </c>
      <c r="BP462" s="93">
        <f>SUM($Z462:AI462)-SUM($CM462:CV462)</f>
        <v>4789</v>
      </c>
      <c r="BQ462" s="93">
        <f>SUM($Z462:AJ462)-SUM($CM462:CW462)</f>
        <v>4493</v>
      </c>
      <c r="BR462" s="93">
        <f>SUM($Z462:AK462)-SUM($CM462:CX462)</f>
        <v>4197</v>
      </c>
      <c r="BS462" s="93">
        <f>SUM($Z462:AL462)-SUM($CM462:CY462)</f>
        <v>3901</v>
      </c>
      <c r="BT462" s="93">
        <f>SUM($Z462:AM462)-SUM($CM462:CZ462)</f>
        <v>3605</v>
      </c>
      <c r="BU462" s="93">
        <f>SUM($Z462:AN462)-SUM($CM462:DA462)</f>
        <v>3309</v>
      </c>
      <c r="BV462" s="93">
        <f>SUM($Z462:AO462)-SUM($CM462:DB462)</f>
        <v>3013</v>
      </c>
      <c r="BW462" s="93">
        <f>SUM($Z462:AP462)-SUM($CM462:DC462)</f>
        <v>2791</v>
      </c>
      <c r="BX462" s="93">
        <f>SUM($Z462:AQ462)-SUM($CM462:DD462)</f>
        <v>2791</v>
      </c>
      <c r="BY462" s="93">
        <f>SUM($Z462:AR462)-SUM($CM462:DE462)</f>
        <v>2791</v>
      </c>
      <c r="BZ462" s="93">
        <f>SUM($Z462:AS462)-SUM($CM462:DF462)</f>
        <v>2791</v>
      </c>
      <c r="CA462" s="93">
        <f>SUM($Z462:AT462)-SUM($CM462:DG462)</f>
        <v>2791</v>
      </c>
      <c r="CB462" s="93">
        <f>SUM($Z462:AU462)-SUM($CM462:DH462)</f>
        <v>2791</v>
      </c>
      <c r="CC462" s="93">
        <f>SUM($Z462:AV462)-SUM($CM462:DI462)</f>
        <v>2791</v>
      </c>
      <c r="CD462" s="93">
        <f>SUM($Z462:AW462)-SUM($CM462:DJ462)</f>
        <v>2791</v>
      </c>
      <c r="CE462" s="93">
        <f>SUM($Z462:AX462)-SUM($CM462:DK462)</f>
        <v>2791</v>
      </c>
      <c r="CF462" s="93">
        <f>SUM($Z462:AY462)-SUM($CM462:DL462)</f>
        <v>2791</v>
      </c>
      <c r="CG462" s="93">
        <f>SUM($Z462:AZ462)-SUM($CM462:DM462)</f>
        <v>2791</v>
      </c>
      <c r="CH462" s="93">
        <f>SUM($Z462:BA462)-SUM($CM462:DN462)</f>
        <v>2791</v>
      </c>
      <c r="CI462" s="93">
        <f>SUM($Z462:BB462)-SUM($CM462:DO462)</f>
        <v>2791</v>
      </c>
      <c r="CJ462" s="93"/>
      <c r="CK462" s="93"/>
      <c r="CL462" s="93"/>
      <c r="CM462" s="93"/>
      <c r="CN462" s="93" cm="1">
        <f t="array" ref="CN462">SUMPRODUCT(TRANSPOSE(CN$4:CN$20),$G462:$W462)</f>
        <v>0</v>
      </c>
      <c r="CO462" s="93" cm="1">
        <f t="array" ref="CO462">SUMPRODUCT(TRANSPOSE(CO$4:CO$20),$G462:$W462)</f>
        <v>0</v>
      </c>
      <c r="CP462" s="93" cm="1">
        <f t="array" ref="CP462">SUMPRODUCT(TRANSPOSE(CP$4:CP$20),$G462:$W462)</f>
        <v>0</v>
      </c>
      <c r="CQ462" s="93" cm="1">
        <f t="array" ref="CQ462">SUMPRODUCT(TRANSPOSE(CQ$4:CQ$20),$G462:$W462)</f>
        <v>296</v>
      </c>
      <c r="CR462" s="93" cm="1">
        <f t="array" ref="CR462">SUMPRODUCT(TRANSPOSE(CR$4:CR$20),$G462:$W462)</f>
        <v>296</v>
      </c>
      <c r="CS462" s="93" cm="1">
        <f t="array" ref="CS462">SUMPRODUCT(TRANSPOSE(CS$4:CS$20),$G462:$W462)</f>
        <v>296</v>
      </c>
      <c r="CT462" s="93" cm="1">
        <f t="array" ref="CT462">SUMPRODUCT(TRANSPOSE(CT$4:CT$20),$G462:$W462)</f>
        <v>296</v>
      </c>
      <c r="CU462" s="93" cm="1">
        <f t="array" ref="CU462">SUMPRODUCT(TRANSPOSE(CU$4:CU$20),$G462:$W462)</f>
        <v>296</v>
      </c>
      <c r="CV462" s="93" cm="1">
        <f t="array" ref="CV462">SUMPRODUCT(TRANSPOSE(CV$4:CV$20),$G462:$W462)</f>
        <v>296</v>
      </c>
      <c r="CW462" s="93" cm="1">
        <f t="array" ref="CW462">SUMPRODUCT(TRANSPOSE(CW$4:CW$20),$G462:$W462)</f>
        <v>296</v>
      </c>
      <c r="CX462" s="93" cm="1">
        <f t="array" ref="CX462">SUMPRODUCT(TRANSPOSE(CX$4:CX$20),$G462:$W462)</f>
        <v>296</v>
      </c>
      <c r="CY462" s="93" cm="1">
        <f t="array" ref="CY462">SUMPRODUCT(TRANSPOSE(CY$4:CY$20),$G462:$W462)</f>
        <v>296</v>
      </c>
      <c r="CZ462" s="93" cm="1">
        <f t="array" ref="CZ462">SUMPRODUCT(TRANSPOSE(CZ$4:CZ$20),$G462:$W462)</f>
        <v>296</v>
      </c>
      <c r="DA462" s="93" cm="1">
        <f t="array" ref="DA462">SUMPRODUCT(TRANSPOSE(DA$4:DA$20),$G462:$W462)</f>
        <v>296</v>
      </c>
      <c r="DB462" s="93" cm="1">
        <f t="array" ref="DB462">SUMPRODUCT(TRANSPOSE(DB$4:DB$20),$G462:$W462)</f>
        <v>296</v>
      </c>
      <c r="DC462" s="93" cm="1">
        <f t="array" ref="DC462">SUMPRODUCT(TRANSPOSE(DC$4:DC$20),$G462:$W462)</f>
        <v>222</v>
      </c>
      <c r="DD462" s="93" cm="1">
        <f t="array" ref="DD462">SUMPRODUCT(TRANSPOSE(DD$4:DD$20),$G462:$W462)</f>
        <v>0</v>
      </c>
      <c r="DE462" s="93" cm="1">
        <f t="array" ref="DE462">SUMPRODUCT(TRANSPOSE(DE$4:DE$20),$G462:$W462)</f>
        <v>0</v>
      </c>
      <c r="DF462" s="93" cm="1">
        <f t="array" ref="DF462">SUMPRODUCT(TRANSPOSE(DF$4:DF$20),$G462:$W462)</f>
        <v>0</v>
      </c>
      <c r="DG462" s="93" cm="1">
        <f t="array" ref="DG462">SUMPRODUCT(TRANSPOSE(DG$4:DG$20),$G462:$W462)</f>
        <v>0</v>
      </c>
      <c r="DH462" s="93" cm="1">
        <f t="array" ref="DH462">SUMPRODUCT(TRANSPOSE(DH$4:DH$20),$G462:$W462)</f>
        <v>0</v>
      </c>
      <c r="DI462" s="93" cm="1">
        <f t="array" ref="DI462">SUMPRODUCT(TRANSPOSE(DI$4:DI$20),$G462:$W462)</f>
        <v>0</v>
      </c>
      <c r="DJ462" s="93" cm="1">
        <f t="array" ref="DJ462">SUMPRODUCT(TRANSPOSE(DJ$4:DJ$20),$G462:$W462)</f>
        <v>0</v>
      </c>
      <c r="DK462" s="93" cm="1">
        <f t="array" ref="DK462">SUMPRODUCT(TRANSPOSE(DK$4:DK$20),$G462:$W462)</f>
        <v>0</v>
      </c>
      <c r="DL462" s="93" cm="1">
        <f t="array" ref="DL462">SUMPRODUCT(TRANSPOSE(DL$4:DL$20),$G462:$W462)</f>
        <v>0</v>
      </c>
      <c r="DM462" s="93" cm="1">
        <f t="array" ref="DM462">SUMPRODUCT(TRANSPOSE(DM$4:DM$20),$G462:$W462)</f>
        <v>0</v>
      </c>
      <c r="DN462" s="93" cm="1">
        <f t="array" ref="DN462">SUMPRODUCT(TRANSPOSE(DN$4:DN$20),$G462:$W462)</f>
        <v>0</v>
      </c>
      <c r="DO462" s="93" cm="1">
        <f t="array" ref="DO462">SUMPRODUCT(TRANSPOSE(DO$4:DO$20),$G462:$W462)</f>
        <v>0</v>
      </c>
    </row>
    <row r="463" spans="1:119" x14ac:dyDescent="0.2">
      <c r="A463" s="45">
        <f t="shared" si="32"/>
        <v>442</v>
      </c>
      <c r="B463" s="64" t="s">
        <v>970</v>
      </c>
      <c r="C463" s="45">
        <v>512304890</v>
      </c>
      <c r="D463" s="45" t="s">
        <v>626</v>
      </c>
      <c r="E463" s="45" t="s">
        <v>162</v>
      </c>
      <c r="F463" s="48">
        <v>2</v>
      </c>
      <c r="G463" s="100">
        <v>0</v>
      </c>
      <c r="H463" s="100">
        <v>24</v>
      </c>
      <c r="I463" s="100">
        <v>0</v>
      </c>
      <c r="J463" s="100">
        <v>0</v>
      </c>
      <c r="K463" s="100">
        <v>0</v>
      </c>
      <c r="L463" s="100">
        <v>0</v>
      </c>
      <c r="M463" s="100">
        <v>0</v>
      </c>
      <c r="N463" s="100">
        <v>0</v>
      </c>
      <c r="O463" s="100">
        <v>0</v>
      </c>
      <c r="P463" s="100">
        <v>0</v>
      </c>
      <c r="Q463" s="100">
        <v>0</v>
      </c>
      <c r="R463" s="100">
        <v>0</v>
      </c>
      <c r="S463" s="100">
        <v>0</v>
      </c>
      <c r="T463" s="100">
        <v>0</v>
      </c>
      <c r="U463" s="100">
        <v>0</v>
      </c>
      <c r="V463" s="100">
        <v>0</v>
      </c>
      <c r="W463" s="100">
        <v>0</v>
      </c>
      <c r="X463" s="45" t="s">
        <v>24</v>
      </c>
      <c r="Y463" s="49">
        <v>0.06</v>
      </c>
      <c r="Z463" s="45">
        <v>4550</v>
      </c>
      <c r="AA463" s="45">
        <v>0</v>
      </c>
      <c r="AB463" s="45">
        <v>0</v>
      </c>
      <c r="AC463" s="45">
        <v>0</v>
      </c>
      <c r="AD463" s="45">
        <v>0</v>
      </c>
      <c r="AE463" s="45">
        <v>0</v>
      </c>
      <c r="AF463" s="45">
        <v>0</v>
      </c>
      <c r="AG463" s="45">
        <v>0</v>
      </c>
      <c r="AH463" s="45">
        <v>0</v>
      </c>
      <c r="AI463" s="45">
        <v>0</v>
      </c>
      <c r="AJ463" s="45">
        <v>0</v>
      </c>
      <c r="AK463" s="45">
        <v>0</v>
      </c>
      <c r="AL463" s="45">
        <v>0</v>
      </c>
      <c r="AM463" s="45">
        <v>0</v>
      </c>
      <c r="AN463" s="45">
        <v>0</v>
      </c>
      <c r="AO463" s="45"/>
      <c r="AP463" s="45"/>
      <c r="AQ463" s="45"/>
      <c r="AR463" s="45"/>
      <c r="AS463" s="45"/>
      <c r="AT463" s="45"/>
      <c r="AU463" s="45"/>
      <c r="AV463" s="45"/>
      <c r="AW463" s="45"/>
      <c r="AX463" s="45"/>
      <c r="AY463" s="45"/>
      <c r="AZ463" s="45"/>
      <c r="BA463" s="45"/>
      <c r="BB463" s="45"/>
      <c r="BC463" s="45"/>
      <c r="BD463" s="93"/>
      <c r="BE463" s="93"/>
      <c r="BF463" s="93"/>
      <c r="BG463" s="93"/>
      <c r="BH463" s="93"/>
      <c r="BI463" s="93"/>
      <c r="BJ463" s="93"/>
      <c r="BK463" s="93">
        <f>SUM($Z463:AD463)-SUM($CM463:CQ463)</f>
        <v>4358</v>
      </c>
      <c r="BL463" s="93">
        <f>SUM($Z463:AE463)-SUM($CM463:CR463)</f>
        <v>4166</v>
      </c>
      <c r="BM463" s="93">
        <f>SUM($Z463:AF463)-SUM($CM463:CS463)</f>
        <v>3974</v>
      </c>
      <c r="BN463" s="93">
        <f>SUM($Z463:AG463)-SUM($CM463:CT463)</f>
        <v>3782</v>
      </c>
      <c r="BO463" s="93">
        <f>SUM($Z463:AH463)-SUM($CM463:CU463)</f>
        <v>3590</v>
      </c>
      <c r="BP463" s="93">
        <f>SUM($Z463:AI463)-SUM($CM463:CV463)</f>
        <v>3398</v>
      </c>
      <c r="BQ463" s="93">
        <f>SUM($Z463:AJ463)-SUM($CM463:CW463)</f>
        <v>3206</v>
      </c>
      <c r="BR463" s="93">
        <f>SUM($Z463:AK463)-SUM($CM463:CX463)</f>
        <v>3014</v>
      </c>
      <c r="BS463" s="93">
        <f>SUM($Z463:AL463)-SUM($CM463:CY463)</f>
        <v>2822</v>
      </c>
      <c r="BT463" s="93">
        <f>SUM($Z463:AM463)-SUM($CM463:CZ463)</f>
        <v>2630</v>
      </c>
      <c r="BU463" s="93">
        <f>SUM($Z463:AN463)-SUM($CM463:DA463)</f>
        <v>2438</v>
      </c>
      <c r="BV463" s="93">
        <f>SUM($Z463:AO463)-SUM($CM463:DB463)</f>
        <v>2246</v>
      </c>
      <c r="BW463" s="93">
        <f>SUM($Z463:AP463)-SUM($CM463:DC463)</f>
        <v>2102</v>
      </c>
      <c r="BX463" s="93">
        <f>SUM($Z463:AQ463)-SUM($CM463:DD463)</f>
        <v>2102</v>
      </c>
      <c r="BY463" s="93">
        <f>SUM($Z463:AR463)-SUM($CM463:DE463)</f>
        <v>2102</v>
      </c>
      <c r="BZ463" s="93">
        <f>SUM($Z463:AS463)-SUM($CM463:DF463)</f>
        <v>2102</v>
      </c>
      <c r="CA463" s="93">
        <f>SUM($Z463:AT463)-SUM($CM463:DG463)</f>
        <v>2102</v>
      </c>
      <c r="CB463" s="93">
        <f>SUM($Z463:AU463)-SUM($CM463:DH463)</f>
        <v>2102</v>
      </c>
      <c r="CC463" s="93">
        <f>SUM($Z463:AV463)-SUM($CM463:DI463)</f>
        <v>2102</v>
      </c>
      <c r="CD463" s="93">
        <f>SUM($Z463:AW463)-SUM($CM463:DJ463)</f>
        <v>2102</v>
      </c>
      <c r="CE463" s="93">
        <f>SUM($Z463:AX463)-SUM($CM463:DK463)</f>
        <v>2102</v>
      </c>
      <c r="CF463" s="93">
        <f>SUM($Z463:AY463)-SUM($CM463:DL463)</f>
        <v>2102</v>
      </c>
      <c r="CG463" s="93">
        <f>SUM($Z463:AZ463)-SUM($CM463:DM463)</f>
        <v>2102</v>
      </c>
      <c r="CH463" s="93">
        <f>SUM($Z463:BA463)-SUM($CM463:DN463)</f>
        <v>2102</v>
      </c>
      <c r="CI463" s="93">
        <f>SUM($Z463:BB463)-SUM($CM463:DO463)</f>
        <v>2102</v>
      </c>
      <c r="CJ463" s="93"/>
      <c r="CK463" s="93"/>
      <c r="CL463" s="93"/>
      <c r="CM463" s="93"/>
      <c r="CN463" s="93" cm="1">
        <f t="array" ref="CN463">SUMPRODUCT(TRANSPOSE(CN$4:CN$20),$G463:$W463)</f>
        <v>0</v>
      </c>
      <c r="CO463" s="93" cm="1">
        <f t="array" ref="CO463">SUMPRODUCT(TRANSPOSE(CO$4:CO$20),$G463:$W463)</f>
        <v>0</v>
      </c>
      <c r="CP463" s="93" cm="1">
        <f t="array" ref="CP463">SUMPRODUCT(TRANSPOSE(CP$4:CP$20),$G463:$W463)</f>
        <v>0</v>
      </c>
      <c r="CQ463" s="93" cm="1">
        <f t="array" ref="CQ463">SUMPRODUCT(TRANSPOSE(CQ$4:CQ$20),$G463:$W463)</f>
        <v>192</v>
      </c>
      <c r="CR463" s="93" cm="1">
        <f t="array" ref="CR463">SUMPRODUCT(TRANSPOSE(CR$4:CR$20),$G463:$W463)</f>
        <v>192</v>
      </c>
      <c r="CS463" s="93" cm="1">
        <f t="array" ref="CS463">SUMPRODUCT(TRANSPOSE(CS$4:CS$20),$G463:$W463)</f>
        <v>192</v>
      </c>
      <c r="CT463" s="93" cm="1">
        <f t="array" ref="CT463">SUMPRODUCT(TRANSPOSE(CT$4:CT$20),$G463:$W463)</f>
        <v>192</v>
      </c>
      <c r="CU463" s="93" cm="1">
        <f t="array" ref="CU463">SUMPRODUCT(TRANSPOSE(CU$4:CU$20),$G463:$W463)</f>
        <v>192</v>
      </c>
      <c r="CV463" s="93" cm="1">
        <f t="array" ref="CV463">SUMPRODUCT(TRANSPOSE(CV$4:CV$20),$G463:$W463)</f>
        <v>192</v>
      </c>
      <c r="CW463" s="93" cm="1">
        <f t="array" ref="CW463">SUMPRODUCT(TRANSPOSE(CW$4:CW$20),$G463:$W463)</f>
        <v>192</v>
      </c>
      <c r="CX463" s="93" cm="1">
        <f t="array" ref="CX463">SUMPRODUCT(TRANSPOSE(CX$4:CX$20),$G463:$W463)</f>
        <v>192</v>
      </c>
      <c r="CY463" s="93" cm="1">
        <f t="array" ref="CY463">SUMPRODUCT(TRANSPOSE(CY$4:CY$20),$G463:$W463)</f>
        <v>192</v>
      </c>
      <c r="CZ463" s="93" cm="1">
        <f t="array" ref="CZ463">SUMPRODUCT(TRANSPOSE(CZ$4:CZ$20),$G463:$W463)</f>
        <v>192</v>
      </c>
      <c r="DA463" s="93" cm="1">
        <f t="array" ref="DA463">SUMPRODUCT(TRANSPOSE(DA$4:DA$20),$G463:$W463)</f>
        <v>192</v>
      </c>
      <c r="DB463" s="93" cm="1">
        <f t="array" ref="DB463">SUMPRODUCT(TRANSPOSE(DB$4:DB$20),$G463:$W463)</f>
        <v>192</v>
      </c>
      <c r="DC463" s="93" cm="1">
        <f t="array" ref="DC463">SUMPRODUCT(TRANSPOSE(DC$4:DC$20),$G463:$W463)</f>
        <v>144</v>
      </c>
      <c r="DD463" s="93" cm="1">
        <f t="array" ref="DD463">SUMPRODUCT(TRANSPOSE(DD$4:DD$20),$G463:$W463)</f>
        <v>0</v>
      </c>
      <c r="DE463" s="93" cm="1">
        <f t="array" ref="DE463">SUMPRODUCT(TRANSPOSE(DE$4:DE$20),$G463:$W463)</f>
        <v>0</v>
      </c>
      <c r="DF463" s="93" cm="1">
        <f t="array" ref="DF463">SUMPRODUCT(TRANSPOSE(DF$4:DF$20),$G463:$W463)</f>
        <v>0</v>
      </c>
      <c r="DG463" s="93" cm="1">
        <f t="array" ref="DG463">SUMPRODUCT(TRANSPOSE(DG$4:DG$20),$G463:$W463)</f>
        <v>0</v>
      </c>
      <c r="DH463" s="93" cm="1">
        <f t="array" ref="DH463">SUMPRODUCT(TRANSPOSE(DH$4:DH$20),$G463:$W463)</f>
        <v>0</v>
      </c>
      <c r="DI463" s="93" cm="1">
        <f t="array" ref="DI463">SUMPRODUCT(TRANSPOSE(DI$4:DI$20),$G463:$W463)</f>
        <v>0</v>
      </c>
      <c r="DJ463" s="93" cm="1">
        <f t="array" ref="DJ463">SUMPRODUCT(TRANSPOSE(DJ$4:DJ$20),$G463:$W463)</f>
        <v>0</v>
      </c>
      <c r="DK463" s="93" cm="1">
        <f t="array" ref="DK463">SUMPRODUCT(TRANSPOSE(DK$4:DK$20),$G463:$W463)</f>
        <v>0</v>
      </c>
      <c r="DL463" s="93" cm="1">
        <f t="array" ref="DL463">SUMPRODUCT(TRANSPOSE(DL$4:DL$20),$G463:$W463)</f>
        <v>0</v>
      </c>
      <c r="DM463" s="93" cm="1">
        <f t="array" ref="DM463">SUMPRODUCT(TRANSPOSE(DM$4:DM$20),$G463:$W463)</f>
        <v>0</v>
      </c>
      <c r="DN463" s="93" cm="1">
        <f t="array" ref="DN463">SUMPRODUCT(TRANSPOSE(DN$4:DN$20),$G463:$W463)</f>
        <v>0</v>
      </c>
      <c r="DO463" s="93" cm="1">
        <f t="array" ref="DO463">SUMPRODUCT(TRANSPOSE(DO$4:DO$20),$G463:$W463)</f>
        <v>0</v>
      </c>
    </row>
    <row r="464" spans="1:119" x14ac:dyDescent="0.2">
      <c r="A464" s="45">
        <f t="shared" si="32"/>
        <v>443</v>
      </c>
      <c r="B464" s="64" t="s">
        <v>971</v>
      </c>
      <c r="C464" s="45">
        <v>512308677</v>
      </c>
      <c r="D464" s="45" t="s">
        <v>617</v>
      </c>
      <c r="E464" s="45" t="s">
        <v>162</v>
      </c>
      <c r="F464" s="48">
        <v>2</v>
      </c>
      <c r="G464" s="100">
        <v>0</v>
      </c>
      <c r="H464" s="100">
        <v>0</v>
      </c>
      <c r="I464" s="100">
        <v>8</v>
      </c>
      <c r="J464" s="100">
        <v>0</v>
      </c>
      <c r="K464" s="100">
        <v>6</v>
      </c>
      <c r="L464" s="100">
        <v>0</v>
      </c>
      <c r="M464" s="100">
        <v>0</v>
      </c>
      <c r="N464" s="100">
        <v>0</v>
      </c>
      <c r="O464" s="100">
        <v>0</v>
      </c>
      <c r="P464" s="100">
        <v>0</v>
      </c>
      <c r="Q464" s="100">
        <v>0</v>
      </c>
      <c r="R464" s="100">
        <v>0</v>
      </c>
      <c r="S464" s="100">
        <v>0</v>
      </c>
      <c r="T464" s="100">
        <v>0</v>
      </c>
      <c r="U464" s="100">
        <v>0</v>
      </c>
      <c r="V464" s="100">
        <v>0</v>
      </c>
      <c r="W464" s="100">
        <v>0</v>
      </c>
      <c r="X464" s="45" t="s">
        <v>24</v>
      </c>
      <c r="Y464" s="49">
        <v>2.5499999999999998E-2</v>
      </c>
      <c r="Z464" s="45">
        <v>2122</v>
      </c>
      <c r="AA464" s="45">
        <v>0</v>
      </c>
      <c r="AB464" s="45">
        <v>0</v>
      </c>
      <c r="AC464" s="45">
        <v>0</v>
      </c>
      <c r="AD464" s="45">
        <v>0</v>
      </c>
      <c r="AE464" s="45">
        <v>0</v>
      </c>
      <c r="AF464" s="45">
        <v>0</v>
      </c>
      <c r="AG464" s="45">
        <v>0</v>
      </c>
      <c r="AH464" s="45">
        <v>0</v>
      </c>
      <c r="AI464" s="45">
        <v>0</v>
      </c>
      <c r="AJ464" s="45">
        <v>0</v>
      </c>
      <c r="AK464" s="45">
        <v>0</v>
      </c>
      <c r="AL464" s="45">
        <v>0</v>
      </c>
      <c r="AM464" s="45">
        <v>0</v>
      </c>
      <c r="AN464" s="45">
        <v>0</v>
      </c>
      <c r="AO464" s="45"/>
      <c r="AP464" s="45"/>
      <c r="AQ464" s="45"/>
      <c r="AR464" s="45"/>
      <c r="AS464" s="45"/>
      <c r="AT464" s="45"/>
      <c r="AU464" s="45"/>
      <c r="AV464" s="45"/>
      <c r="AW464" s="45"/>
      <c r="AX464" s="45"/>
      <c r="AY464" s="45"/>
      <c r="AZ464" s="45"/>
      <c r="BA464" s="45"/>
      <c r="BB464" s="45"/>
      <c r="BC464" s="45"/>
      <c r="BD464" s="93"/>
      <c r="BE464" s="93"/>
      <c r="BF464" s="93"/>
      <c r="BG464" s="93"/>
      <c r="BH464" s="93"/>
      <c r="BI464" s="93"/>
      <c r="BJ464" s="93"/>
      <c r="BK464" s="93">
        <f>SUM($Z464:AD464)-SUM($CM464:CQ464)</f>
        <v>2010</v>
      </c>
      <c r="BL464" s="93">
        <f>SUM($Z464:AE464)-SUM($CM464:CR464)</f>
        <v>1898</v>
      </c>
      <c r="BM464" s="93">
        <f>SUM($Z464:AF464)-SUM($CM464:CS464)</f>
        <v>1786</v>
      </c>
      <c r="BN464" s="93">
        <f>SUM($Z464:AG464)-SUM($CM464:CT464)</f>
        <v>1674</v>
      </c>
      <c r="BO464" s="93">
        <f>SUM($Z464:AH464)-SUM($CM464:CU464)</f>
        <v>1562</v>
      </c>
      <c r="BP464" s="93">
        <f>SUM($Z464:AI464)-SUM($CM464:CV464)</f>
        <v>1450</v>
      </c>
      <c r="BQ464" s="93">
        <f>SUM($Z464:AJ464)-SUM($CM464:CW464)</f>
        <v>1338</v>
      </c>
      <c r="BR464" s="93">
        <f>SUM($Z464:AK464)-SUM($CM464:CX464)</f>
        <v>1226</v>
      </c>
      <c r="BS464" s="93">
        <f>SUM($Z464:AL464)-SUM($CM464:CY464)</f>
        <v>1114</v>
      </c>
      <c r="BT464" s="93">
        <f>SUM($Z464:AM464)-SUM($CM464:CZ464)</f>
        <v>1002</v>
      </c>
      <c r="BU464" s="93">
        <f>SUM($Z464:AN464)-SUM($CM464:DA464)</f>
        <v>890</v>
      </c>
      <c r="BV464" s="93">
        <f>SUM($Z464:AO464)-SUM($CM464:DB464)</f>
        <v>778</v>
      </c>
      <c r="BW464" s="93">
        <f>SUM($Z464:AP464)-SUM($CM464:DC464)</f>
        <v>694</v>
      </c>
      <c r="BX464" s="93">
        <f>SUM($Z464:AQ464)-SUM($CM464:DD464)</f>
        <v>694</v>
      </c>
      <c r="BY464" s="93">
        <f>SUM($Z464:AR464)-SUM($CM464:DE464)</f>
        <v>694</v>
      </c>
      <c r="BZ464" s="93">
        <f>SUM($Z464:AS464)-SUM($CM464:DF464)</f>
        <v>694</v>
      </c>
      <c r="CA464" s="93">
        <f>SUM($Z464:AT464)-SUM($CM464:DG464)</f>
        <v>694</v>
      </c>
      <c r="CB464" s="93">
        <f>SUM($Z464:AU464)-SUM($CM464:DH464)</f>
        <v>694</v>
      </c>
      <c r="CC464" s="93">
        <f>SUM($Z464:AV464)-SUM($CM464:DI464)</f>
        <v>694</v>
      </c>
      <c r="CD464" s="93">
        <f>SUM($Z464:AW464)-SUM($CM464:DJ464)</f>
        <v>694</v>
      </c>
      <c r="CE464" s="93">
        <f>SUM($Z464:AX464)-SUM($CM464:DK464)</f>
        <v>694</v>
      </c>
      <c r="CF464" s="93">
        <f>SUM($Z464:AY464)-SUM($CM464:DL464)</f>
        <v>694</v>
      </c>
      <c r="CG464" s="93">
        <f>SUM($Z464:AZ464)-SUM($CM464:DM464)</f>
        <v>694</v>
      </c>
      <c r="CH464" s="93">
        <f>SUM($Z464:BA464)-SUM($CM464:DN464)</f>
        <v>694</v>
      </c>
      <c r="CI464" s="93">
        <f>SUM($Z464:BB464)-SUM($CM464:DO464)</f>
        <v>694</v>
      </c>
      <c r="CJ464" s="93"/>
      <c r="CK464" s="93"/>
      <c r="CL464" s="93"/>
      <c r="CM464" s="93"/>
      <c r="CN464" s="93" cm="1">
        <f t="array" ref="CN464">SUMPRODUCT(TRANSPOSE(CN$4:CN$20),$G464:$W464)</f>
        <v>0</v>
      </c>
      <c r="CO464" s="93" cm="1">
        <f t="array" ref="CO464">SUMPRODUCT(TRANSPOSE(CO$4:CO$20),$G464:$W464)</f>
        <v>0</v>
      </c>
      <c r="CP464" s="93" cm="1">
        <f t="array" ref="CP464">SUMPRODUCT(TRANSPOSE(CP$4:CP$20),$G464:$W464)</f>
        <v>0</v>
      </c>
      <c r="CQ464" s="93" cm="1">
        <f t="array" ref="CQ464">SUMPRODUCT(TRANSPOSE(CQ$4:CQ$20),$G464:$W464)</f>
        <v>112</v>
      </c>
      <c r="CR464" s="93" cm="1">
        <f t="array" ref="CR464">SUMPRODUCT(TRANSPOSE(CR$4:CR$20),$G464:$W464)</f>
        <v>112</v>
      </c>
      <c r="CS464" s="93" cm="1">
        <f t="array" ref="CS464">SUMPRODUCT(TRANSPOSE(CS$4:CS$20),$G464:$W464)</f>
        <v>112</v>
      </c>
      <c r="CT464" s="93" cm="1">
        <f t="array" ref="CT464">SUMPRODUCT(TRANSPOSE(CT$4:CT$20),$G464:$W464)</f>
        <v>112</v>
      </c>
      <c r="CU464" s="93" cm="1">
        <f t="array" ref="CU464">SUMPRODUCT(TRANSPOSE(CU$4:CU$20),$G464:$W464)</f>
        <v>112</v>
      </c>
      <c r="CV464" s="93" cm="1">
        <f t="array" ref="CV464">SUMPRODUCT(TRANSPOSE(CV$4:CV$20),$G464:$W464)</f>
        <v>112</v>
      </c>
      <c r="CW464" s="93" cm="1">
        <f t="array" ref="CW464">SUMPRODUCT(TRANSPOSE(CW$4:CW$20),$G464:$W464)</f>
        <v>112</v>
      </c>
      <c r="CX464" s="93" cm="1">
        <f t="array" ref="CX464">SUMPRODUCT(TRANSPOSE(CX$4:CX$20),$G464:$W464)</f>
        <v>112</v>
      </c>
      <c r="CY464" s="93" cm="1">
        <f t="array" ref="CY464">SUMPRODUCT(TRANSPOSE(CY$4:CY$20),$G464:$W464)</f>
        <v>112</v>
      </c>
      <c r="CZ464" s="93" cm="1">
        <f t="array" ref="CZ464">SUMPRODUCT(TRANSPOSE(CZ$4:CZ$20),$G464:$W464)</f>
        <v>112</v>
      </c>
      <c r="DA464" s="93" cm="1">
        <f t="array" ref="DA464">SUMPRODUCT(TRANSPOSE(DA$4:DA$20),$G464:$W464)</f>
        <v>112</v>
      </c>
      <c r="DB464" s="93" cm="1">
        <f t="array" ref="DB464">SUMPRODUCT(TRANSPOSE(DB$4:DB$20),$G464:$W464)</f>
        <v>112</v>
      </c>
      <c r="DC464" s="93" cm="1">
        <f t="array" ref="DC464">SUMPRODUCT(TRANSPOSE(DC$4:DC$20),$G464:$W464)</f>
        <v>84</v>
      </c>
      <c r="DD464" s="93" cm="1">
        <f t="array" ref="DD464">SUMPRODUCT(TRANSPOSE(DD$4:DD$20),$G464:$W464)</f>
        <v>0</v>
      </c>
      <c r="DE464" s="93" cm="1">
        <f t="array" ref="DE464">SUMPRODUCT(TRANSPOSE(DE$4:DE$20),$G464:$W464)</f>
        <v>0</v>
      </c>
      <c r="DF464" s="93" cm="1">
        <f t="array" ref="DF464">SUMPRODUCT(TRANSPOSE(DF$4:DF$20),$G464:$W464)</f>
        <v>0</v>
      </c>
      <c r="DG464" s="93" cm="1">
        <f t="array" ref="DG464">SUMPRODUCT(TRANSPOSE(DG$4:DG$20),$G464:$W464)</f>
        <v>0</v>
      </c>
      <c r="DH464" s="93" cm="1">
        <f t="array" ref="DH464">SUMPRODUCT(TRANSPOSE(DH$4:DH$20),$G464:$W464)</f>
        <v>0</v>
      </c>
      <c r="DI464" s="93" cm="1">
        <f t="array" ref="DI464">SUMPRODUCT(TRANSPOSE(DI$4:DI$20),$G464:$W464)</f>
        <v>0</v>
      </c>
      <c r="DJ464" s="93" cm="1">
        <f t="array" ref="DJ464">SUMPRODUCT(TRANSPOSE(DJ$4:DJ$20),$G464:$W464)</f>
        <v>0</v>
      </c>
      <c r="DK464" s="93" cm="1">
        <f t="array" ref="DK464">SUMPRODUCT(TRANSPOSE(DK$4:DK$20),$G464:$W464)</f>
        <v>0</v>
      </c>
      <c r="DL464" s="93" cm="1">
        <f t="array" ref="DL464">SUMPRODUCT(TRANSPOSE(DL$4:DL$20),$G464:$W464)</f>
        <v>0</v>
      </c>
      <c r="DM464" s="93" cm="1">
        <f t="array" ref="DM464">SUMPRODUCT(TRANSPOSE(DM$4:DM$20),$G464:$W464)</f>
        <v>0</v>
      </c>
      <c r="DN464" s="93" cm="1">
        <f t="array" ref="DN464">SUMPRODUCT(TRANSPOSE(DN$4:DN$20),$G464:$W464)</f>
        <v>0</v>
      </c>
      <c r="DO464" s="93" cm="1">
        <f t="array" ref="DO464">SUMPRODUCT(TRANSPOSE(DO$4:DO$20),$G464:$W464)</f>
        <v>0</v>
      </c>
    </row>
    <row r="465" spans="1:119" x14ac:dyDescent="0.2">
      <c r="A465" s="45">
        <f t="shared" si="32"/>
        <v>444</v>
      </c>
      <c r="B465" s="77" t="s">
        <v>972</v>
      </c>
      <c r="C465" s="45">
        <v>512310954</v>
      </c>
      <c r="D465" s="45" t="s">
        <v>617</v>
      </c>
      <c r="E465" s="45" t="s">
        <v>162</v>
      </c>
      <c r="F465" s="48">
        <v>2</v>
      </c>
      <c r="G465" s="100">
        <v>0</v>
      </c>
      <c r="H465" s="100">
        <v>0</v>
      </c>
      <c r="I465" s="100">
        <v>199</v>
      </c>
      <c r="J465" s="100">
        <v>0</v>
      </c>
      <c r="K465" s="100">
        <v>198</v>
      </c>
      <c r="L465" s="100">
        <v>0</v>
      </c>
      <c r="M465" s="100">
        <v>0</v>
      </c>
      <c r="N465" s="100">
        <v>0</v>
      </c>
      <c r="O465" s="100">
        <v>0</v>
      </c>
      <c r="P465" s="100">
        <v>0</v>
      </c>
      <c r="Q465" s="100">
        <v>0</v>
      </c>
      <c r="R465" s="100">
        <v>0</v>
      </c>
      <c r="S465" s="100">
        <v>0</v>
      </c>
      <c r="T465" s="100">
        <v>0</v>
      </c>
      <c r="U465" s="100">
        <v>0</v>
      </c>
      <c r="V465" s="100">
        <v>0</v>
      </c>
      <c r="W465" s="100">
        <v>0</v>
      </c>
      <c r="X465" s="45" t="s">
        <v>24</v>
      </c>
      <c r="Y465" s="49">
        <v>2.9499999999999998E-2</v>
      </c>
      <c r="Z465" s="45">
        <v>53775</v>
      </c>
      <c r="AA465" s="45">
        <v>0</v>
      </c>
      <c r="AB465" s="45">
        <v>0</v>
      </c>
      <c r="AC465" s="45">
        <v>0</v>
      </c>
      <c r="AD465" s="45">
        <v>0</v>
      </c>
      <c r="AE465" s="45">
        <v>0</v>
      </c>
      <c r="AF465" s="45">
        <v>0</v>
      </c>
      <c r="AG465" s="45">
        <v>0</v>
      </c>
      <c r="AH465" s="45">
        <v>0</v>
      </c>
      <c r="AI465" s="45">
        <v>0</v>
      </c>
      <c r="AJ465" s="45">
        <v>0</v>
      </c>
      <c r="AK465" s="45">
        <v>0</v>
      </c>
      <c r="AL465" s="45">
        <v>0</v>
      </c>
      <c r="AM465" s="45">
        <v>0</v>
      </c>
      <c r="AN465" s="45">
        <v>0</v>
      </c>
      <c r="AO465" s="45"/>
      <c r="AP465" s="45"/>
      <c r="AQ465" s="45"/>
      <c r="AR465" s="45"/>
      <c r="AS465" s="45"/>
      <c r="AT465" s="45"/>
      <c r="AU465" s="45"/>
      <c r="AV465" s="45"/>
      <c r="AW465" s="45"/>
      <c r="AX465" s="45"/>
      <c r="AY465" s="45"/>
      <c r="AZ465" s="45"/>
      <c r="BA465" s="45"/>
      <c r="BB465" s="45"/>
      <c r="BC465" s="45"/>
      <c r="BD465" s="93"/>
      <c r="BE465" s="93"/>
      <c r="BF465" s="93"/>
      <c r="BG465" s="93"/>
      <c r="BH465" s="93"/>
      <c r="BI465" s="93"/>
      <c r="BJ465" s="93"/>
      <c r="BK465" s="93">
        <f>SUM($Z465:AD465)-SUM($CM465:CQ465)</f>
        <v>50599</v>
      </c>
      <c r="BL465" s="93">
        <f>SUM($Z465:AE465)-SUM($CM465:CR465)</f>
        <v>47423</v>
      </c>
      <c r="BM465" s="93">
        <f>SUM($Z465:AF465)-SUM($CM465:CS465)</f>
        <v>44247</v>
      </c>
      <c r="BN465" s="93">
        <f>SUM($Z465:AG465)-SUM($CM465:CT465)</f>
        <v>41071</v>
      </c>
      <c r="BO465" s="93">
        <f>SUM($Z465:AH465)-SUM($CM465:CU465)</f>
        <v>37895</v>
      </c>
      <c r="BP465" s="93">
        <f>SUM($Z465:AI465)-SUM($CM465:CV465)</f>
        <v>34719</v>
      </c>
      <c r="BQ465" s="93">
        <f>SUM($Z465:AJ465)-SUM($CM465:CW465)</f>
        <v>31543</v>
      </c>
      <c r="BR465" s="93">
        <f>SUM($Z465:AK465)-SUM($CM465:CX465)</f>
        <v>28367</v>
      </c>
      <c r="BS465" s="93">
        <f>SUM($Z465:AL465)-SUM($CM465:CY465)</f>
        <v>25191</v>
      </c>
      <c r="BT465" s="93">
        <f>SUM($Z465:AM465)-SUM($CM465:CZ465)</f>
        <v>22015</v>
      </c>
      <c r="BU465" s="93">
        <f>SUM($Z465:AN465)-SUM($CM465:DA465)</f>
        <v>18839</v>
      </c>
      <c r="BV465" s="93">
        <f>SUM($Z465:AO465)-SUM($CM465:DB465)</f>
        <v>15663</v>
      </c>
      <c r="BW465" s="93">
        <f>SUM($Z465:AP465)-SUM($CM465:DC465)</f>
        <v>13281</v>
      </c>
      <c r="BX465" s="93">
        <f>SUM($Z465:AQ465)-SUM($CM465:DD465)</f>
        <v>13281</v>
      </c>
      <c r="BY465" s="93">
        <f>SUM($Z465:AR465)-SUM($CM465:DE465)</f>
        <v>13281</v>
      </c>
      <c r="BZ465" s="93">
        <f>SUM($Z465:AS465)-SUM($CM465:DF465)</f>
        <v>13281</v>
      </c>
      <c r="CA465" s="93">
        <f>SUM($Z465:AT465)-SUM($CM465:DG465)</f>
        <v>13281</v>
      </c>
      <c r="CB465" s="93">
        <f>SUM($Z465:AU465)-SUM($CM465:DH465)</f>
        <v>13281</v>
      </c>
      <c r="CC465" s="93">
        <f>SUM($Z465:AV465)-SUM($CM465:DI465)</f>
        <v>13281</v>
      </c>
      <c r="CD465" s="93">
        <f>SUM($Z465:AW465)-SUM($CM465:DJ465)</f>
        <v>13281</v>
      </c>
      <c r="CE465" s="93">
        <f>SUM($Z465:AX465)-SUM($CM465:DK465)</f>
        <v>13281</v>
      </c>
      <c r="CF465" s="93">
        <f>SUM($Z465:AY465)-SUM($CM465:DL465)</f>
        <v>13281</v>
      </c>
      <c r="CG465" s="93">
        <f>SUM($Z465:AZ465)-SUM($CM465:DM465)</f>
        <v>13281</v>
      </c>
      <c r="CH465" s="93">
        <f>SUM($Z465:BA465)-SUM($CM465:DN465)</f>
        <v>13281</v>
      </c>
      <c r="CI465" s="93">
        <f>SUM($Z465:BB465)-SUM($CM465:DO465)</f>
        <v>13281</v>
      </c>
      <c r="CJ465" s="93"/>
      <c r="CK465" s="93"/>
      <c r="CL465" s="93"/>
      <c r="CM465" s="93"/>
      <c r="CN465" s="93" cm="1">
        <f t="array" ref="CN465">SUMPRODUCT(TRANSPOSE(CN$4:CN$20),$G465:$W465)</f>
        <v>0</v>
      </c>
      <c r="CO465" s="93" cm="1">
        <f t="array" ref="CO465">SUMPRODUCT(TRANSPOSE(CO$4:CO$20),$G465:$W465)</f>
        <v>0</v>
      </c>
      <c r="CP465" s="93" cm="1">
        <f t="array" ref="CP465">SUMPRODUCT(TRANSPOSE(CP$4:CP$20),$G465:$W465)</f>
        <v>0</v>
      </c>
      <c r="CQ465" s="93" cm="1">
        <f t="array" ref="CQ465">SUMPRODUCT(TRANSPOSE(CQ$4:CQ$20),$G465:$W465)</f>
        <v>3176</v>
      </c>
      <c r="CR465" s="93" cm="1">
        <f t="array" ref="CR465">SUMPRODUCT(TRANSPOSE(CR$4:CR$20),$G465:$W465)</f>
        <v>3176</v>
      </c>
      <c r="CS465" s="93" cm="1">
        <f t="array" ref="CS465">SUMPRODUCT(TRANSPOSE(CS$4:CS$20),$G465:$W465)</f>
        <v>3176</v>
      </c>
      <c r="CT465" s="93" cm="1">
        <f t="array" ref="CT465">SUMPRODUCT(TRANSPOSE(CT$4:CT$20),$G465:$W465)</f>
        <v>3176</v>
      </c>
      <c r="CU465" s="93" cm="1">
        <f t="array" ref="CU465">SUMPRODUCT(TRANSPOSE(CU$4:CU$20),$G465:$W465)</f>
        <v>3176</v>
      </c>
      <c r="CV465" s="93" cm="1">
        <f t="array" ref="CV465">SUMPRODUCT(TRANSPOSE(CV$4:CV$20),$G465:$W465)</f>
        <v>3176</v>
      </c>
      <c r="CW465" s="93" cm="1">
        <f t="array" ref="CW465">SUMPRODUCT(TRANSPOSE(CW$4:CW$20),$G465:$W465)</f>
        <v>3176</v>
      </c>
      <c r="CX465" s="93" cm="1">
        <f t="array" ref="CX465">SUMPRODUCT(TRANSPOSE(CX$4:CX$20),$G465:$W465)</f>
        <v>3176</v>
      </c>
      <c r="CY465" s="93" cm="1">
        <f t="array" ref="CY465">SUMPRODUCT(TRANSPOSE(CY$4:CY$20),$G465:$W465)</f>
        <v>3176</v>
      </c>
      <c r="CZ465" s="93" cm="1">
        <f t="array" ref="CZ465">SUMPRODUCT(TRANSPOSE(CZ$4:CZ$20),$G465:$W465)</f>
        <v>3176</v>
      </c>
      <c r="DA465" s="93" cm="1">
        <f t="array" ref="DA465">SUMPRODUCT(TRANSPOSE(DA$4:DA$20),$G465:$W465)</f>
        <v>3176</v>
      </c>
      <c r="DB465" s="93" cm="1">
        <f t="array" ref="DB465">SUMPRODUCT(TRANSPOSE(DB$4:DB$20),$G465:$W465)</f>
        <v>3176</v>
      </c>
      <c r="DC465" s="93" cm="1">
        <f t="array" ref="DC465">SUMPRODUCT(TRANSPOSE(DC$4:DC$20),$G465:$W465)</f>
        <v>2382</v>
      </c>
      <c r="DD465" s="93" cm="1">
        <f t="array" ref="DD465">SUMPRODUCT(TRANSPOSE(DD$4:DD$20),$G465:$W465)</f>
        <v>0</v>
      </c>
      <c r="DE465" s="93" cm="1">
        <f t="array" ref="DE465">SUMPRODUCT(TRANSPOSE(DE$4:DE$20),$G465:$W465)</f>
        <v>0</v>
      </c>
      <c r="DF465" s="93" cm="1">
        <f t="array" ref="DF465">SUMPRODUCT(TRANSPOSE(DF$4:DF$20),$G465:$W465)</f>
        <v>0</v>
      </c>
      <c r="DG465" s="93" cm="1">
        <f t="array" ref="DG465">SUMPRODUCT(TRANSPOSE(DG$4:DG$20),$G465:$W465)</f>
        <v>0</v>
      </c>
      <c r="DH465" s="93" cm="1">
        <f t="array" ref="DH465">SUMPRODUCT(TRANSPOSE(DH$4:DH$20),$G465:$W465)</f>
        <v>0</v>
      </c>
      <c r="DI465" s="93" cm="1">
        <f t="array" ref="DI465">SUMPRODUCT(TRANSPOSE(DI$4:DI$20),$G465:$W465)</f>
        <v>0</v>
      </c>
      <c r="DJ465" s="93" cm="1">
        <f t="array" ref="DJ465">SUMPRODUCT(TRANSPOSE(DJ$4:DJ$20),$G465:$W465)</f>
        <v>0</v>
      </c>
      <c r="DK465" s="93" cm="1">
        <f t="array" ref="DK465">SUMPRODUCT(TRANSPOSE(DK$4:DK$20),$G465:$W465)</f>
        <v>0</v>
      </c>
      <c r="DL465" s="93" cm="1">
        <f t="array" ref="DL465">SUMPRODUCT(TRANSPOSE(DL$4:DL$20),$G465:$W465)</f>
        <v>0</v>
      </c>
      <c r="DM465" s="93" cm="1">
        <f t="array" ref="DM465">SUMPRODUCT(TRANSPOSE(DM$4:DM$20),$G465:$W465)</f>
        <v>0</v>
      </c>
      <c r="DN465" s="93" cm="1">
        <f t="array" ref="DN465">SUMPRODUCT(TRANSPOSE(DN$4:DN$20),$G465:$W465)</f>
        <v>0</v>
      </c>
      <c r="DO465" s="93" cm="1">
        <f t="array" ref="DO465">SUMPRODUCT(TRANSPOSE(DO$4:DO$20),$G465:$W465)</f>
        <v>0</v>
      </c>
    </row>
    <row r="466" spans="1:119" x14ac:dyDescent="0.2">
      <c r="A466" s="45">
        <f t="shared" si="32"/>
        <v>445</v>
      </c>
      <c r="B466" s="64" t="s">
        <v>973</v>
      </c>
      <c r="C466" s="45">
        <v>512315821</v>
      </c>
      <c r="D466" s="45" t="s">
        <v>617</v>
      </c>
      <c r="E466" s="45" t="s">
        <v>162</v>
      </c>
      <c r="F466" s="48">
        <v>2</v>
      </c>
      <c r="G466" s="100">
        <v>0</v>
      </c>
      <c r="H466" s="100">
        <v>0</v>
      </c>
      <c r="I466" s="100">
        <v>5</v>
      </c>
      <c r="J466" s="100">
        <v>0</v>
      </c>
      <c r="K466" s="100">
        <v>4</v>
      </c>
      <c r="L466" s="100">
        <v>0</v>
      </c>
      <c r="M466" s="100">
        <v>0</v>
      </c>
      <c r="N466" s="100">
        <v>0</v>
      </c>
      <c r="O466" s="100">
        <v>0</v>
      </c>
      <c r="P466" s="100">
        <v>0</v>
      </c>
      <c r="Q466" s="100">
        <v>0</v>
      </c>
      <c r="R466" s="100">
        <v>0</v>
      </c>
      <c r="S466" s="100">
        <v>0</v>
      </c>
      <c r="T466" s="100">
        <v>0</v>
      </c>
      <c r="U466" s="100">
        <v>0</v>
      </c>
      <c r="V466" s="100">
        <v>0</v>
      </c>
      <c r="W466" s="100">
        <v>0</v>
      </c>
      <c r="X466" s="45" t="s">
        <v>24</v>
      </c>
      <c r="Y466" s="49">
        <v>0.10199999999999999</v>
      </c>
      <c r="Z466" s="45">
        <v>1194</v>
      </c>
      <c r="AA466" s="45">
        <v>0</v>
      </c>
      <c r="AB466" s="45">
        <v>0</v>
      </c>
      <c r="AC466" s="45">
        <v>0</v>
      </c>
      <c r="AD466" s="45">
        <v>0</v>
      </c>
      <c r="AE466" s="45">
        <v>0</v>
      </c>
      <c r="AF466" s="45">
        <v>0</v>
      </c>
      <c r="AG466" s="45">
        <v>0</v>
      </c>
      <c r="AH466" s="45">
        <v>0</v>
      </c>
      <c r="AI466" s="45">
        <v>0</v>
      </c>
      <c r="AJ466" s="45">
        <v>0</v>
      </c>
      <c r="AK466" s="45">
        <v>0</v>
      </c>
      <c r="AL466" s="45">
        <v>0</v>
      </c>
      <c r="AM466" s="45">
        <v>0</v>
      </c>
      <c r="AN466" s="45">
        <v>0</v>
      </c>
      <c r="AO466" s="45"/>
      <c r="AP466" s="45"/>
      <c r="AQ466" s="45"/>
      <c r="AR466" s="45"/>
      <c r="AS466" s="45"/>
      <c r="AT466" s="45"/>
      <c r="AU466" s="45"/>
      <c r="AV466" s="45"/>
      <c r="AW466" s="45"/>
      <c r="AX466" s="45"/>
      <c r="AY466" s="45"/>
      <c r="AZ466" s="45"/>
      <c r="BA466" s="45"/>
      <c r="BB466" s="45"/>
      <c r="BC466" s="45"/>
      <c r="BD466" s="93"/>
      <c r="BE466" s="93"/>
      <c r="BF466" s="93"/>
      <c r="BG466" s="93"/>
      <c r="BH466" s="93"/>
      <c r="BI466" s="93"/>
      <c r="BJ466" s="93"/>
      <c r="BK466" s="93">
        <f>SUM($Z466:AD466)-SUM($CM466:CQ466)</f>
        <v>1122</v>
      </c>
      <c r="BL466" s="93">
        <f>SUM($Z466:AE466)-SUM($CM466:CR466)</f>
        <v>1050</v>
      </c>
      <c r="BM466" s="93">
        <f>SUM($Z466:AF466)-SUM($CM466:CS466)</f>
        <v>978</v>
      </c>
      <c r="BN466" s="93">
        <f>SUM($Z466:AG466)-SUM($CM466:CT466)</f>
        <v>906</v>
      </c>
      <c r="BO466" s="93">
        <f>SUM($Z466:AH466)-SUM($CM466:CU466)</f>
        <v>834</v>
      </c>
      <c r="BP466" s="93">
        <f>SUM($Z466:AI466)-SUM($CM466:CV466)</f>
        <v>762</v>
      </c>
      <c r="BQ466" s="93">
        <f>SUM($Z466:AJ466)-SUM($CM466:CW466)</f>
        <v>690</v>
      </c>
      <c r="BR466" s="93">
        <f>SUM($Z466:AK466)-SUM($CM466:CX466)</f>
        <v>618</v>
      </c>
      <c r="BS466" s="93">
        <f>SUM($Z466:AL466)-SUM($CM466:CY466)</f>
        <v>546</v>
      </c>
      <c r="BT466" s="93">
        <f>SUM($Z466:AM466)-SUM($CM466:CZ466)</f>
        <v>474</v>
      </c>
      <c r="BU466" s="93">
        <f>SUM($Z466:AN466)-SUM($CM466:DA466)</f>
        <v>402</v>
      </c>
      <c r="BV466" s="93">
        <f>SUM($Z466:AO466)-SUM($CM466:DB466)</f>
        <v>330</v>
      </c>
      <c r="BW466" s="93">
        <f>SUM($Z466:AP466)-SUM($CM466:DC466)</f>
        <v>276</v>
      </c>
      <c r="BX466" s="93">
        <f>SUM($Z466:AQ466)-SUM($CM466:DD466)</f>
        <v>276</v>
      </c>
      <c r="BY466" s="93">
        <f>SUM($Z466:AR466)-SUM($CM466:DE466)</f>
        <v>276</v>
      </c>
      <c r="BZ466" s="93">
        <f>SUM($Z466:AS466)-SUM($CM466:DF466)</f>
        <v>276</v>
      </c>
      <c r="CA466" s="93">
        <f>SUM($Z466:AT466)-SUM($CM466:DG466)</f>
        <v>276</v>
      </c>
      <c r="CB466" s="93">
        <f>SUM($Z466:AU466)-SUM($CM466:DH466)</f>
        <v>276</v>
      </c>
      <c r="CC466" s="93">
        <f>SUM($Z466:AV466)-SUM($CM466:DI466)</f>
        <v>276</v>
      </c>
      <c r="CD466" s="93">
        <f>SUM($Z466:AW466)-SUM($CM466:DJ466)</f>
        <v>276</v>
      </c>
      <c r="CE466" s="93">
        <f>SUM($Z466:AX466)-SUM($CM466:DK466)</f>
        <v>276</v>
      </c>
      <c r="CF466" s="93">
        <f>SUM($Z466:AY466)-SUM($CM466:DL466)</f>
        <v>276</v>
      </c>
      <c r="CG466" s="93">
        <f>SUM($Z466:AZ466)-SUM($CM466:DM466)</f>
        <v>276</v>
      </c>
      <c r="CH466" s="93">
        <f>SUM($Z466:BA466)-SUM($CM466:DN466)</f>
        <v>276</v>
      </c>
      <c r="CI466" s="93">
        <f>SUM($Z466:BB466)-SUM($CM466:DO466)</f>
        <v>276</v>
      </c>
      <c r="CJ466" s="93"/>
      <c r="CK466" s="93"/>
      <c r="CL466" s="93"/>
      <c r="CM466" s="93"/>
      <c r="CN466" s="93" cm="1">
        <f t="array" ref="CN466">SUMPRODUCT(TRANSPOSE(CN$4:CN$20),$G466:$W466)</f>
        <v>0</v>
      </c>
      <c r="CO466" s="93" cm="1">
        <f t="array" ref="CO466">SUMPRODUCT(TRANSPOSE(CO$4:CO$20),$G466:$W466)</f>
        <v>0</v>
      </c>
      <c r="CP466" s="93" cm="1">
        <f t="array" ref="CP466">SUMPRODUCT(TRANSPOSE(CP$4:CP$20),$G466:$W466)</f>
        <v>0</v>
      </c>
      <c r="CQ466" s="93" cm="1">
        <f t="array" ref="CQ466">SUMPRODUCT(TRANSPOSE(CQ$4:CQ$20),$G466:$W466)</f>
        <v>72</v>
      </c>
      <c r="CR466" s="93" cm="1">
        <f t="array" ref="CR466">SUMPRODUCT(TRANSPOSE(CR$4:CR$20),$G466:$W466)</f>
        <v>72</v>
      </c>
      <c r="CS466" s="93" cm="1">
        <f t="array" ref="CS466">SUMPRODUCT(TRANSPOSE(CS$4:CS$20),$G466:$W466)</f>
        <v>72</v>
      </c>
      <c r="CT466" s="93" cm="1">
        <f t="array" ref="CT466">SUMPRODUCT(TRANSPOSE(CT$4:CT$20),$G466:$W466)</f>
        <v>72</v>
      </c>
      <c r="CU466" s="93" cm="1">
        <f t="array" ref="CU466">SUMPRODUCT(TRANSPOSE(CU$4:CU$20),$G466:$W466)</f>
        <v>72</v>
      </c>
      <c r="CV466" s="93" cm="1">
        <f t="array" ref="CV466">SUMPRODUCT(TRANSPOSE(CV$4:CV$20),$G466:$W466)</f>
        <v>72</v>
      </c>
      <c r="CW466" s="93" cm="1">
        <f t="array" ref="CW466">SUMPRODUCT(TRANSPOSE(CW$4:CW$20),$G466:$W466)</f>
        <v>72</v>
      </c>
      <c r="CX466" s="93" cm="1">
        <f t="array" ref="CX466">SUMPRODUCT(TRANSPOSE(CX$4:CX$20),$G466:$W466)</f>
        <v>72</v>
      </c>
      <c r="CY466" s="93" cm="1">
        <f t="array" ref="CY466">SUMPRODUCT(TRANSPOSE(CY$4:CY$20),$G466:$W466)</f>
        <v>72</v>
      </c>
      <c r="CZ466" s="93" cm="1">
        <f t="array" ref="CZ466">SUMPRODUCT(TRANSPOSE(CZ$4:CZ$20),$G466:$W466)</f>
        <v>72</v>
      </c>
      <c r="DA466" s="93" cm="1">
        <f t="array" ref="DA466">SUMPRODUCT(TRANSPOSE(DA$4:DA$20),$G466:$W466)</f>
        <v>72</v>
      </c>
      <c r="DB466" s="93" cm="1">
        <f t="array" ref="DB466">SUMPRODUCT(TRANSPOSE(DB$4:DB$20),$G466:$W466)</f>
        <v>72</v>
      </c>
      <c r="DC466" s="93" cm="1">
        <f t="array" ref="DC466">SUMPRODUCT(TRANSPOSE(DC$4:DC$20),$G466:$W466)</f>
        <v>54</v>
      </c>
      <c r="DD466" s="93" cm="1">
        <f t="array" ref="DD466">SUMPRODUCT(TRANSPOSE(DD$4:DD$20),$G466:$W466)</f>
        <v>0</v>
      </c>
      <c r="DE466" s="93" cm="1">
        <f t="array" ref="DE466">SUMPRODUCT(TRANSPOSE(DE$4:DE$20),$G466:$W466)</f>
        <v>0</v>
      </c>
      <c r="DF466" s="93" cm="1">
        <f t="array" ref="DF466">SUMPRODUCT(TRANSPOSE(DF$4:DF$20),$G466:$W466)</f>
        <v>0</v>
      </c>
      <c r="DG466" s="93" cm="1">
        <f t="array" ref="DG466">SUMPRODUCT(TRANSPOSE(DG$4:DG$20),$G466:$W466)</f>
        <v>0</v>
      </c>
      <c r="DH466" s="93" cm="1">
        <f t="array" ref="DH466">SUMPRODUCT(TRANSPOSE(DH$4:DH$20),$G466:$W466)</f>
        <v>0</v>
      </c>
      <c r="DI466" s="93" cm="1">
        <f t="array" ref="DI466">SUMPRODUCT(TRANSPOSE(DI$4:DI$20),$G466:$W466)</f>
        <v>0</v>
      </c>
      <c r="DJ466" s="93" cm="1">
        <f t="array" ref="DJ466">SUMPRODUCT(TRANSPOSE(DJ$4:DJ$20),$G466:$W466)</f>
        <v>0</v>
      </c>
      <c r="DK466" s="93" cm="1">
        <f t="array" ref="DK466">SUMPRODUCT(TRANSPOSE(DK$4:DK$20),$G466:$W466)</f>
        <v>0</v>
      </c>
      <c r="DL466" s="93" cm="1">
        <f t="array" ref="DL466">SUMPRODUCT(TRANSPOSE(DL$4:DL$20),$G466:$W466)</f>
        <v>0</v>
      </c>
      <c r="DM466" s="93" cm="1">
        <f t="array" ref="DM466">SUMPRODUCT(TRANSPOSE(DM$4:DM$20),$G466:$W466)</f>
        <v>0</v>
      </c>
      <c r="DN466" s="93" cm="1">
        <f t="array" ref="DN466">SUMPRODUCT(TRANSPOSE(DN$4:DN$20),$G466:$W466)</f>
        <v>0</v>
      </c>
      <c r="DO466" s="93" cm="1">
        <f t="array" ref="DO466">SUMPRODUCT(TRANSPOSE(DO$4:DO$20),$G466:$W466)</f>
        <v>0</v>
      </c>
    </row>
    <row r="467" spans="1:119" x14ac:dyDescent="0.2">
      <c r="A467" s="45">
        <f t="shared" si="32"/>
        <v>446</v>
      </c>
      <c r="B467" s="64" t="s">
        <v>974</v>
      </c>
      <c r="C467" s="45">
        <v>512224098</v>
      </c>
      <c r="D467" s="45" t="s">
        <v>606</v>
      </c>
      <c r="E467" s="45" t="s">
        <v>162</v>
      </c>
      <c r="F467" s="48">
        <v>2</v>
      </c>
      <c r="G467" s="100">
        <v>2</v>
      </c>
      <c r="H467" s="100">
        <v>0</v>
      </c>
      <c r="I467" s="100">
        <v>0</v>
      </c>
      <c r="J467" s="100">
        <v>0</v>
      </c>
      <c r="K467" s="100">
        <v>0</v>
      </c>
      <c r="L467" s="100">
        <v>0</v>
      </c>
      <c r="M467" s="100">
        <v>0</v>
      </c>
      <c r="N467" s="100">
        <v>0</v>
      </c>
      <c r="O467" s="100">
        <v>0</v>
      </c>
      <c r="P467" s="100">
        <v>0</v>
      </c>
      <c r="Q467" s="100">
        <v>0</v>
      </c>
      <c r="R467" s="100">
        <v>0</v>
      </c>
      <c r="S467" s="100">
        <v>0</v>
      </c>
      <c r="T467" s="100">
        <v>0</v>
      </c>
      <c r="U467" s="100">
        <v>0</v>
      </c>
      <c r="V467" s="100">
        <v>0</v>
      </c>
      <c r="W467" s="100">
        <v>0</v>
      </c>
      <c r="X467" s="45" t="s">
        <v>24</v>
      </c>
      <c r="Y467" s="49">
        <v>0.2</v>
      </c>
      <c r="Z467" s="45">
        <v>266</v>
      </c>
      <c r="AA467" s="45">
        <v>0</v>
      </c>
      <c r="AB467" s="45">
        <v>0</v>
      </c>
      <c r="AC467" s="45">
        <v>0</v>
      </c>
      <c r="AD467" s="45">
        <v>0</v>
      </c>
      <c r="AE467" s="45">
        <v>0</v>
      </c>
      <c r="AF467" s="45">
        <v>0</v>
      </c>
      <c r="AG467" s="45">
        <v>0</v>
      </c>
      <c r="AH467" s="45">
        <v>0</v>
      </c>
      <c r="AI467" s="45">
        <v>0</v>
      </c>
      <c r="AJ467" s="45">
        <v>0</v>
      </c>
      <c r="AK467" s="45">
        <v>0</v>
      </c>
      <c r="AL467" s="45">
        <v>0</v>
      </c>
      <c r="AM467" s="45">
        <v>0</v>
      </c>
      <c r="AN467" s="45">
        <v>0</v>
      </c>
      <c r="AO467" s="45"/>
      <c r="AP467" s="45"/>
      <c r="AQ467" s="45"/>
      <c r="AR467" s="45"/>
      <c r="AS467" s="45"/>
      <c r="AT467" s="45"/>
      <c r="AU467" s="45"/>
      <c r="AV467" s="45"/>
      <c r="AW467" s="45"/>
      <c r="AX467" s="45"/>
      <c r="AY467" s="45"/>
      <c r="AZ467" s="45"/>
      <c r="BA467" s="45"/>
      <c r="BB467" s="45"/>
      <c r="BC467" s="45"/>
      <c r="BD467" s="93"/>
      <c r="BE467" s="93"/>
      <c r="BF467" s="93"/>
      <c r="BG467" s="93"/>
      <c r="BH467" s="93"/>
      <c r="BI467" s="93"/>
      <c r="BJ467" s="93"/>
      <c r="BK467" s="93">
        <f>SUM($Z467:AD467)-SUM($CM467:CQ467)</f>
        <v>250</v>
      </c>
      <c r="BL467" s="93">
        <f>SUM($Z467:AE467)-SUM($CM467:CR467)</f>
        <v>234</v>
      </c>
      <c r="BM467" s="93">
        <f>SUM($Z467:AF467)-SUM($CM467:CS467)</f>
        <v>218</v>
      </c>
      <c r="BN467" s="93">
        <f>SUM($Z467:AG467)-SUM($CM467:CT467)</f>
        <v>202</v>
      </c>
      <c r="BO467" s="93">
        <f>SUM($Z467:AH467)-SUM($CM467:CU467)</f>
        <v>186</v>
      </c>
      <c r="BP467" s="93">
        <f>SUM($Z467:AI467)-SUM($CM467:CV467)</f>
        <v>170</v>
      </c>
      <c r="BQ467" s="93">
        <f>SUM($Z467:AJ467)-SUM($CM467:CW467)</f>
        <v>154</v>
      </c>
      <c r="BR467" s="93">
        <f>SUM($Z467:AK467)-SUM($CM467:CX467)</f>
        <v>138</v>
      </c>
      <c r="BS467" s="93">
        <f>SUM($Z467:AL467)-SUM($CM467:CY467)</f>
        <v>122</v>
      </c>
      <c r="BT467" s="93">
        <f>SUM($Z467:AM467)-SUM($CM467:CZ467)</f>
        <v>106</v>
      </c>
      <c r="BU467" s="93">
        <f>SUM($Z467:AN467)-SUM($CM467:DA467)</f>
        <v>90</v>
      </c>
      <c r="BV467" s="93">
        <f>SUM($Z467:AO467)-SUM($CM467:DB467)</f>
        <v>74</v>
      </c>
      <c r="BW467" s="93">
        <f>SUM($Z467:AP467)-SUM($CM467:DC467)</f>
        <v>62</v>
      </c>
      <c r="BX467" s="93">
        <f>SUM($Z467:AQ467)-SUM($CM467:DD467)</f>
        <v>62</v>
      </c>
      <c r="BY467" s="93">
        <f>SUM($Z467:AR467)-SUM($CM467:DE467)</f>
        <v>62</v>
      </c>
      <c r="BZ467" s="93">
        <f>SUM($Z467:AS467)-SUM($CM467:DF467)</f>
        <v>62</v>
      </c>
      <c r="CA467" s="93">
        <f>SUM($Z467:AT467)-SUM($CM467:DG467)</f>
        <v>62</v>
      </c>
      <c r="CB467" s="93">
        <f>SUM($Z467:AU467)-SUM($CM467:DH467)</f>
        <v>62</v>
      </c>
      <c r="CC467" s="93">
        <f>SUM($Z467:AV467)-SUM($CM467:DI467)</f>
        <v>62</v>
      </c>
      <c r="CD467" s="93">
        <f>SUM($Z467:AW467)-SUM($CM467:DJ467)</f>
        <v>62</v>
      </c>
      <c r="CE467" s="93">
        <f>SUM($Z467:AX467)-SUM($CM467:DK467)</f>
        <v>62</v>
      </c>
      <c r="CF467" s="93">
        <f>SUM($Z467:AY467)-SUM($CM467:DL467)</f>
        <v>62</v>
      </c>
      <c r="CG467" s="93">
        <f>SUM($Z467:AZ467)-SUM($CM467:DM467)</f>
        <v>62</v>
      </c>
      <c r="CH467" s="93">
        <f>SUM($Z467:BA467)-SUM($CM467:DN467)</f>
        <v>62</v>
      </c>
      <c r="CI467" s="93">
        <f>SUM($Z467:BB467)-SUM($CM467:DO467)</f>
        <v>62</v>
      </c>
      <c r="CJ467" s="93"/>
      <c r="CK467" s="93"/>
      <c r="CL467" s="93"/>
      <c r="CM467" s="93"/>
      <c r="CN467" s="93" cm="1">
        <f t="array" ref="CN467">SUMPRODUCT(TRANSPOSE(CN$4:CN$20),$G467:$W467)</f>
        <v>0</v>
      </c>
      <c r="CO467" s="93" cm="1">
        <f t="array" ref="CO467">SUMPRODUCT(TRANSPOSE(CO$4:CO$20),$G467:$W467)</f>
        <v>0</v>
      </c>
      <c r="CP467" s="93" cm="1">
        <f t="array" ref="CP467">SUMPRODUCT(TRANSPOSE(CP$4:CP$20),$G467:$W467)</f>
        <v>0</v>
      </c>
      <c r="CQ467" s="93" cm="1">
        <f t="array" ref="CQ467">SUMPRODUCT(TRANSPOSE(CQ$4:CQ$20),$G467:$W467)</f>
        <v>16</v>
      </c>
      <c r="CR467" s="93" cm="1">
        <f t="array" ref="CR467">SUMPRODUCT(TRANSPOSE(CR$4:CR$20),$G467:$W467)</f>
        <v>16</v>
      </c>
      <c r="CS467" s="93" cm="1">
        <f t="array" ref="CS467">SUMPRODUCT(TRANSPOSE(CS$4:CS$20),$G467:$W467)</f>
        <v>16</v>
      </c>
      <c r="CT467" s="93" cm="1">
        <f t="array" ref="CT467">SUMPRODUCT(TRANSPOSE(CT$4:CT$20),$G467:$W467)</f>
        <v>16</v>
      </c>
      <c r="CU467" s="93" cm="1">
        <f t="array" ref="CU467">SUMPRODUCT(TRANSPOSE(CU$4:CU$20),$G467:$W467)</f>
        <v>16</v>
      </c>
      <c r="CV467" s="93" cm="1">
        <f t="array" ref="CV467">SUMPRODUCT(TRANSPOSE(CV$4:CV$20),$G467:$W467)</f>
        <v>16</v>
      </c>
      <c r="CW467" s="93" cm="1">
        <f t="array" ref="CW467">SUMPRODUCT(TRANSPOSE(CW$4:CW$20),$G467:$W467)</f>
        <v>16</v>
      </c>
      <c r="CX467" s="93" cm="1">
        <f t="array" ref="CX467">SUMPRODUCT(TRANSPOSE(CX$4:CX$20),$G467:$W467)</f>
        <v>16</v>
      </c>
      <c r="CY467" s="93" cm="1">
        <f t="array" ref="CY467">SUMPRODUCT(TRANSPOSE(CY$4:CY$20),$G467:$W467)</f>
        <v>16</v>
      </c>
      <c r="CZ467" s="93" cm="1">
        <f t="array" ref="CZ467">SUMPRODUCT(TRANSPOSE(CZ$4:CZ$20),$G467:$W467)</f>
        <v>16</v>
      </c>
      <c r="DA467" s="93" cm="1">
        <f t="array" ref="DA467">SUMPRODUCT(TRANSPOSE(DA$4:DA$20),$G467:$W467)</f>
        <v>16</v>
      </c>
      <c r="DB467" s="93" cm="1">
        <f t="array" ref="DB467">SUMPRODUCT(TRANSPOSE(DB$4:DB$20),$G467:$W467)</f>
        <v>16</v>
      </c>
      <c r="DC467" s="93" cm="1">
        <f t="array" ref="DC467">SUMPRODUCT(TRANSPOSE(DC$4:DC$20),$G467:$W467)</f>
        <v>12</v>
      </c>
      <c r="DD467" s="93" cm="1">
        <f t="array" ref="DD467">SUMPRODUCT(TRANSPOSE(DD$4:DD$20),$G467:$W467)</f>
        <v>0</v>
      </c>
      <c r="DE467" s="93" cm="1">
        <f t="array" ref="DE467">SUMPRODUCT(TRANSPOSE(DE$4:DE$20),$G467:$W467)</f>
        <v>0</v>
      </c>
      <c r="DF467" s="93" cm="1">
        <f t="array" ref="DF467">SUMPRODUCT(TRANSPOSE(DF$4:DF$20),$G467:$W467)</f>
        <v>0</v>
      </c>
      <c r="DG467" s="93" cm="1">
        <f t="array" ref="DG467">SUMPRODUCT(TRANSPOSE(DG$4:DG$20),$G467:$W467)</f>
        <v>0</v>
      </c>
      <c r="DH467" s="93" cm="1">
        <f t="array" ref="DH467">SUMPRODUCT(TRANSPOSE(DH$4:DH$20),$G467:$W467)</f>
        <v>0</v>
      </c>
      <c r="DI467" s="93" cm="1">
        <f t="array" ref="DI467">SUMPRODUCT(TRANSPOSE(DI$4:DI$20),$G467:$W467)</f>
        <v>0</v>
      </c>
      <c r="DJ467" s="93" cm="1">
        <f t="array" ref="DJ467">SUMPRODUCT(TRANSPOSE(DJ$4:DJ$20),$G467:$W467)</f>
        <v>0</v>
      </c>
      <c r="DK467" s="93" cm="1">
        <f t="array" ref="DK467">SUMPRODUCT(TRANSPOSE(DK$4:DK$20),$G467:$W467)</f>
        <v>0</v>
      </c>
      <c r="DL467" s="93" cm="1">
        <f t="array" ref="DL467">SUMPRODUCT(TRANSPOSE(DL$4:DL$20),$G467:$W467)</f>
        <v>0</v>
      </c>
      <c r="DM467" s="93" cm="1">
        <f t="array" ref="DM467">SUMPRODUCT(TRANSPOSE(DM$4:DM$20),$G467:$W467)</f>
        <v>0</v>
      </c>
      <c r="DN467" s="93" cm="1">
        <f t="array" ref="DN467">SUMPRODUCT(TRANSPOSE(DN$4:DN$20),$G467:$W467)</f>
        <v>0</v>
      </c>
      <c r="DO467" s="93" cm="1">
        <f t="array" ref="DO467">SUMPRODUCT(TRANSPOSE(DO$4:DO$20),$G467:$W467)</f>
        <v>0</v>
      </c>
    </row>
    <row r="468" spans="1:119" x14ac:dyDescent="0.2">
      <c r="A468" s="45">
        <f t="shared" si="32"/>
        <v>447</v>
      </c>
      <c r="B468" s="64" t="s">
        <v>975</v>
      </c>
      <c r="C468" s="45">
        <v>512222886</v>
      </c>
      <c r="D468" s="45" t="s">
        <v>606</v>
      </c>
      <c r="E468" s="45" t="s">
        <v>162</v>
      </c>
      <c r="F468" s="48">
        <v>2</v>
      </c>
      <c r="G468" s="100">
        <v>12</v>
      </c>
      <c r="H468" s="100">
        <v>0</v>
      </c>
      <c r="I468" s="100">
        <v>0</v>
      </c>
      <c r="J468" s="100">
        <v>0</v>
      </c>
      <c r="K468" s="100">
        <v>0</v>
      </c>
      <c r="L468" s="100">
        <v>0</v>
      </c>
      <c r="M468" s="100">
        <v>0</v>
      </c>
      <c r="N468" s="100">
        <v>0</v>
      </c>
      <c r="O468" s="100">
        <v>0</v>
      </c>
      <c r="P468" s="100">
        <v>0</v>
      </c>
      <c r="Q468" s="100">
        <v>0</v>
      </c>
      <c r="R468" s="100">
        <v>0</v>
      </c>
      <c r="S468" s="100">
        <v>0</v>
      </c>
      <c r="T468" s="100">
        <v>0</v>
      </c>
      <c r="U468" s="100">
        <v>0</v>
      </c>
      <c r="V468" s="100">
        <v>0</v>
      </c>
      <c r="W468" s="100">
        <v>0</v>
      </c>
      <c r="X468" s="45" t="s">
        <v>24</v>
      </c>
      <c r="Y468" s="49">
        <v>0.14899999999999999</v>
      </c>
      <c r="Z468" s="45">
        <v>1592</v>
      </c>
      <c r="AA468" s="45">
        <v>0</v>
      </c>
      <c r="AB468" s="45">
        <v>0</v>
      </c>
      <c r="AC468" s="45">
        <v>0</v>
      </c>
      <c r="AD468" s="45">
        <v>0</v>
      </c>
      <c r="AE468" s="45">
        <v>0</v>
      </c>
      <c r="AF468" s="45">
        <v>0</v>
      </c>
      <c r="AG468" s="45">
        <v>0</v>
      </c>
      <c r="AH468" s="45">
        <v>0</v>
      </c>
      <c r="AI468" s="45">
        <v>0</v>
      </c>
      <c r="AJ468" s="45">
        <v>0</v>
      </c>
      <c r="AK468" s="45">
        <v>0</v>
      </c>
      <c r="AL468" s="45">
        <v>0</v>
      </c>
      <c r="AM468" s="45">
        <v>0</v>
      </c>
      <c r="AN468" s="45">
        <v>0</v>
      </c>
      <c r="AO468" s="45"/>
      <c r="AP468" s="45"/>
      <c r="AQ468" s="45"/>
      <c r="AR468" s="45"/>
      <c r="AS468" s="45"/>
      <c r="AT468" s="45"/>
      <c r="AU468" s="45"/>
      <c r="AV468" s="45"/>
      <c r="AW468" s="45"/>
      <c r="AX468" s="45"/>
      <c r="AY468" s="45"/>
      <c r="AZ468" s="45"/>
      <c r="BA468" s="45"/>
      <c r="BB468" s="45"/>
      <c r="BC468" s="45"/>
      <c r="BD468" s="93"/>
      <c r="BE468" s="93"/>
      <c r="BF468" s="93"/>
      <c r="BG468" s="93"/>
      <c r="BH468" s="93"/>
      <c r="BI468" s="93"/>
      <c r="BJ468" s="93"/>
      <c r="BK468" s="93">
        <f>SUM($Z468:AD468)-SUM($CM468:CQ468)</f>
        <v>1496</v>
      </c>
      <c r="BL468" s="93">
        <f>SUM($Z468:AE468)-SUM($CM468:CR468)</f>
        <v>1400</v>
      </c>
      <c r="BM468" s="93">
        <f>SUM($Z468:AF468)-SUM($CM468:CS468)</f>
        <v>1304</v>
      </c>
      <c r="BN468" s="93">
        <f>SUM($Z468:AG468)-SUM($CM468:CT468)</f>
        <v>1208</v>
      </c>
      <c r="BO468" s="93">
        <f>SUM($Z468:AH468)-SUM($CM468:CU468)</f>
        <v>1112</v>
      </c>
      <c r="BP468" s="93">
        <f>SUM($Z468:AI468)-SUM($CM468:CV468)</f>
        <v>1016</v>
      </c>
      <c r="BQ468" s="93">
        <f>SUM($Z468:AJ468)-SUM($CM468:CW468)</f>
        <v>920</v>
      </c>
      <c r="BR468" s="93">
        <f>SUM($Z468:AK468)-SUM($CM468:CX468)</f>
        <v>824</v>
      </c>
      <c r="BS468" s="93">
        <f>SUM($Z468:AL468)-SUM($CM468:CY468)</f>
        <v>728</v>
      </c>
      <c r="BT468" s="93">
        <f>SUM($Z468:AM468)-SUM($CM468:CZ468)</f>
        <v>632</v>
      </c>
      <c r="BU468" s="93">
        <f>SUM($Z468:AN468)-SUM($CM468:DA468)</f>
        <v>536</v>
      </c>
      <c r="BV468" s="93">
        <f>SUM($Z468:AO468)-SUM($CM468:DB468)</f>
        <v>440</v>
      </c>
      <c r="BW468" s="93">
        <f>SUM($Z468:AP468)-SUM($CM468:DC468)</f>
        <v>368</v>
      </c>
      <c r="BX468" s="93">
        <f>SUM($Z468:AQ468)-SUM($CM468:DD468)</f>
        <v>368</v>
      </c>
      <c r="BY468" s="93">
        <f>SUM($Z468:AR468)-SUM($CM468:DE468)</f>
        <v>368</v>
      </c>
      <c r="BZ468" s="93">
        <f>SUM($Z468:AS468)-SUM($CM468:DF468)</f>
        <v>368</v>
      </c>
      <c r="CA468" s="93">
        <f>SUM($Z468:AT468)-SUM($CM468:DG468)</f>
        <v>368</v>
      </c>
      <c r="CB468" s="93">
        <f>SUM($Z468:AU468)-SUM($CM468:DH468)</f>
        <v>368</v>
      </c>
      <c r="CC468" s="93">
        <f>SUM($Z468:AV468)-SUM($CM468:DI468)</f>
        <v>368</v>
      </c>
      <c r="CD468" s="93">
        <f>SUM($Z468:AW468)-SUM($CM468:DJ468)</f>
        <v>368</v>
      </c>
      <c r="CE468" s="93">
        <f>SUM($Z468:AX468)-SUM($CM468:DK468)</f>
        <v>368</v>
      </c>
      <c r="CF468" s="93">
        <f>SUM($Z468:AY468)-SUM($CM468:DL468)</f>
        <v>368</v>
      </c>
      <c r="CG468" s="93">
        <f>SUM($Z468:AZ468)-SUM($CM468:DM468)</f>
        <v>368</v>
      </c>
      <c r="CH468" s="93">
        <f>SUM($Z468:BA468)-SUM($CM468:DN468)</f>
        <v>368</v>
      </c>
      <c r="CI468" s="93">
        <f>SUM($Z468:BB468)-SUM($CM468:DO468)</f>
        <v>368</v>
      </c>
      <c r="CJ468" s="93"/>
      <c r="CK468" s="93"/>
      <c r="CL468" s="93"/>
      <c r="CM468" s="93"/>
      <c r="CN468" s="93" cm="1">
        <f t="array" ref="CN468">SUMPRODUCT(TRANSPOSE(CN$4:CN$20),$G468:$W468)</f>
        <v>0</v>
      </c>
      <c r="CO468" s="93" cm="1">
        <f t="array" ref="CO468">SUMPRODUCT(TRANSPOSE(CO$4:CO$20),$G468:$W468)</f>
        <v>0</v>
      </c>
      <c r="CP468" s="93" cm="1">
        <f t="array" ref="CP468">SUMPRODUCT(TRANSPOSE(CP$4:CP$20),$G468:$W468)</f>
        <v>0</v>
      </c>
      <c r="CQ468" s="93" cm="1">
        <f t="array" ref="CQ468">SUMPRODUCT(TRANSPOSE(CQ$4:CQ$20),$G468:$W468)</f>
        <v>96</v>
      </c>
      <c r="CR468" s="93" cm="1">
        <f t="array" ref="CR468">SUMPRODUCT(TRANSPOSE(CR$4:CR$20),$G468:$W468)</f>
        <v>96</v>
      </c>
      <c r="CS468" s="93" cm="1">
        <f t="array" ref="CS468">SUMPRODUCT(TRANSPOSE(CS$4:CS$20),$G468:$W468)</f>
        <v>96</v>
      </c>
      <c r="CT468" s="93" cm="1">
        <f t="array" ref="CT468">SUMPRODUCT(TRANSPOSE(CT$4:CT$20),$G468:$W468)</f>
        <v>96</v>
      </c>
      <c r="CU468" s="93" cm="1">
        <f t="array" ref="CU468">SUMPRODUCT(TRANSPOSE(CU$4:CU$20),$G468:$W468)</f>
        <v>96</v>
      </c>
      <c r="CV468" s="93" cm="1">
        <f t="array" ref="CV468">SUMPRODUCT(TRANSPOSE(CV$4:CV$20),$G468:$W468)</f>
        <v>96</v>
      </c>
      <c r="CW468" s="93" cm="1">
        <f t="array" ref="CW468">SUMPRODUCT(TRANSPOSE(CW$4:CW$20),$G468:$W468)</f>
        <v>96</v>
      </c>
      <c r="CX468" s="93" cm="1">
        <f t="array" ref="CX468">SUMPRODUCT(TRANSPOSE(CX$4:CX$20),$G468:$W468)</f>
        <v>96</v>
      </c>
      <c r="CY468" s="93" cm="1">
        <f t="array" ref="CY468">SUMPRODUCT(TRANSPOSE(CY$4:CY$20),$G468:$W468)</f>
        <v>96</v>
      </c>
      <c r="CZ468" s="93" cm="1">
        <f t="array" ref="CZ468">SUMPRODUCT(TRANSPOSE(CZ$4:CZ$20),$G468:$W468)</f>
        <v>96</v>
      </c>
      <c r="DA468" s="93" cm="1">
        <f t="array" ref="DA468">SUMPRODUCT(TRANSPOSE(DA$4:DA$20),$G468:$W468)</f>
        <v>96</v>
      </c>
      <c r="DB468" s="93" cm="1">
        <f t="array" ref="DB468">SUMPRODUCT(TRANSPOSE(DB$4:DB$20),$G468:$W468)</f>
        <v>96</v>
      </c>
      <c r="DC468" s="93" cm="1">
        <f t="array" ref="DC468">SUMPRODUCT(TRANSPOSE(DC$4:DC$20),$G468:$W468)</f>
        <v>72</v>
      </c>
      <c r="DD468" s="93" cm="1">
        <f t="array" ref="DD468">SUMPRODUCT(TRANSPOSE(DD$4:DD$20),$G468:$W468)</f>
        <v>0</v>
      </c>
      <c r="DE468" s="93" cm="1">
        <f t="array" ref="DE468">SUMPRODUCT(TRANSPOSE(DE$4:DE$20),$G468:$W468)</f>
        <v>0</v>
      </c>
      <c r="DF468" s="93" cm="1">
        <f t="array" ref="DF468">SUMPRODUCT(TRANSPOSE(DF$4:DF$20),$G468:$W468)</f>
        <v>0</v>
      </c>
      <c r="DG468" s="93" cm="1">
        <f t="array" ref="DG468">SUMPRODUCT(TRANSPOSE(DG$4:DG$20),$G468:$W468)</f>
        <v>0</v>
      </c>
      <c r="DH468" s="93" cm="1">
        <f t="array" ref="DH468">SUMPRODUCT(TRANSPOSE(DH$4:DH$20),$G468:$W468)</f>
        <v>0</v>
      </c>
      <c r="DI468" s="93" cm="1">
        <f t="array" ref="DI468">SUMPRODUCT(TRANSPOSE(DI$4:DI$20),$G468:$W468)</f>
        <v>0</v>
      </c>
      <c r="DJ468" s="93" cm="1">
        <f t="array" ref="DJ468">SUMPRODUCT(TRANSPOSE(DJ$4:DJ$20),$G468:$W468)</f>
        <v>0</v>
      </c>
      <c r="DK468" s="93" cm="1">
        <f t="array" ref="DK468">SUMPRODUCT(TRANSPOSE(DK$4:DK$20),$G468:$W468)</f>
        <v>0</v>
      </c>
      <c r="DL468" s="93" cm="1">
        <f t="array" ref="DL468">SUMPRODUCT(TRANSPOSE(DL$4:DL$20),$G468:$W468)</f>
        <v>0</v>
      </c>
      <c r="DM468" s="93" cm="1">
        <f t="array" ref="DM468">SUMPRODUCT(TRANSPOSE(DM$4:DM$20),$G468:$W468)</f>
        <v>0</v>
      </c>
      <c r="DN468" s="93" cm="1">
        <f t="array" ref="DN468">SUMPRODUCT(TRANSPOSE(DN$4:DN$20),$G468:$W468)</f>
        <v>0</v>
      </c>
      <c r="DO468" s="93" cm="1">
        <f t="array" ref="DO468">SUMPRODUCT(TRANSPOSE(DO$4:DO$20),$G468:$W468)</f>
        <v>0</v>
      </c>
    </row>
    <row r="469" spans="1:119" x14ac:dyDescent="0.2">
      <c r="A469" s="45">
        <f t="shared" si="32"/>
        <v>448</v>
      </c>
      <c r="B469" s="64" t="s">
        <v>976</v>
      </c>
      <c r="C469" s="45">
        <v>512220526</v>
      </c>
      <c r="D469" s="45" t="s">
        <v>606</v>
      </c>
      <c r="E469" s="45" t="s">
        <v>162</v>
      </c>
      <c r="F469" s="48">
        <v>2</v>
      </c>
      <c r="G469" s="100">
        <v>118</v>
      </c>
      <c r="H469" s="100">
        <v>0</v>
      </c>
      <c r="I469" s="100">
        <v>4</v>
      </c>
      <c r="J469" s="100">
        <v>0</v>
      </c>
      <c r="K469" s="100">
        <v>5</v>
      </c>
      <c r="L469" s="100">
        <v>0</v>
      </c>
      <c r="M469" s="100">
        <v>0</v>
      </c>
      <c r="N469" s="100">
        <v>0</v>
      </c>
      <c r="O469" s="100">
        <v>0</v>
      </c>
      <c r="P469" s="100">
        <v>0</v>
      </c>
      <c r="Q469" s="100">
        <v>0</v>
      </c>
      <c r="R469" s="100">
        <v>0</v>
      </c>
      <c r="S469" s="100">
        <v>0</v>
      </c>
      <c r="T469" s="100">
        <v>0</v>
      </c>
      <c r="U469" s="100">
        <v>0</v>
      </c>
      <c r="V469" s="100">
        <v>0</v>
      </c>
      <c r="W469" s="100">
        <v>0</v>
      </c>
      <c r="X469" s="45" t="s">
        <v>24</v>
      </c>
      <c r="Y469" s="49">
        <v>0.13900000000000001</v>
      </c>
      <c r="Z469" s="45">
        <v>17769</v>
      </c>
      <c r="AA469" s="45">
        <v>0</v>
      </c>
      <c r="AB469" s="45">
        <v>0</v>
      </c>
      <c r="AC469" s="45">
        <v>0</v>
      </c>
      <c r="AD469" s="45">
        <v>0</v>
      </c>
      <c r="AE469" s="45">
        <v>0</v>
      </c>
      <c r="AF469" s="45">
        <v>0</v>
      </c>
      <c r="AG469" s="45">
        <v>0</v>
      </c>
      <c r="AH469" s="45">
        <v>0</v>
      </c>
      <c r="AI469" s="45">
        <v>0</v>
      </c>
      <c r="AJ469" s="45">
        <v>0</v>
      </c>
      <c r="AK469" s="45">
        <v>0</v>
      </c>
      <c r="AL469" s="45">
        <v>0</v>
      </c>
      <c r="AM469" s="45">
        <v>0</v>
      </c>
      <c r="AN469" s="45">
        <v>0</v>
      </c>
      <c r="AO469" s="45"/>
      <c r="AP469" s="45"/>
      <c r="AQ469" s="45"/>
      <c r="AR469" s="45"/>
      <c r="AS469" s="45"/>
      <c r="AT469" s="45"/>
      <c r="AU469" s="45"/>
      <c r="AV469" s="45"/>
      <c r="AW469" s="45"/>
      <c r="AX469" s="45"/>
      <c r="AY469" s="45"/>
      <c r="AZ469" s="45"/>
      <c r="BA469" s="45"/>
      <c r="BB469" s="45"/>
      <c r="BC469" s="45"/>
      <c r="BD469" s="93"/>
      <c r="BE469" s="93"/>
      <c r="BF469" s="93"/>
      <c r="BG469" s="93"/>
      <c r="BH469" s="93"/>
      <c r="BI469" s="93"/>
      <c r="BJ469" s="93"/>
      <c r="BK469" s="93">
        <f>SUM($Z469:AD469)-SUM($CM469:CQ469)</f>
        <v>16753</v>
      </c>
      <c r="BL469" s="93">
        <f>SUM($Z469:AE469)-SUM($CM469:CR469)</f>
        <v>15737</v>
      </c>
      <c r="BM469" s="93">
        <f>SUM($Z469:AF469)-SUM($CM469:CS469)</f>
        <v>14721</v>
      </c>
      <c r="BN469" s="93">
        <f>SUM($Z469:AG469)-SUM($CM469:CT469)</f>
        <v>13705</v>
      </c>
      <c r="BO469" s="93">
        <f>SUM($Z469:AH469)-SUM($CM469:CU469)</f>
        <v>12689</v>
      </c>
      <c r="BP469" s="93">
        <f>SUM($Z469:AI469)-SUM($CM469:CV469)</f>
        <v>11673</v>
      </c>
      <c r="BQ469" s="93">
        <f>SUM($Z469:AJ469)-SUM($CM469:CW469)</f>
        <v>10657</v>
      </c>
      <c r="BR469" s="93">
        <f>SUM($Z469:AK469)-SUM($CM469:CX469)</f>
        <v>9641</v>
      </c>
      <c r="BS469" s="93">
        <f>SUM($Z469:AL469)-SUM($CM469:CY469)</f>
        <v>8625</v>
      </c>
      <c r="BT469" s="93">
        <f>SUM($Z469:AM469)-SUM($CM469:CZ469)</f>
        <v>7609</v>
      </c>
      <c r="BU469" s="93">
        <f>SUM($Z469:AN469)-SUM($CM469:DA469)</f>
        <v>6593</v>
      </c>
      <c r="BV469" s="93">
        <f>SUM($Z469:AO469)-SUM($CM469:DB469)</f>
        <v>5577</v>
      </c>
      <c r="BW469" s="93">
        <f>SUM($Z469:AP469)-SUM($CM469:DC469)</f>
        <v>4815</v>
      </c>
      <c r="BX469" s="93">
        <f>SUM($Z469:AQ469)-SUM($CM469:DD469)</f>
        <v>4815</v>
      </c>
      <c r="BY469" s="93">
        <f>SUM($Z469:AR469)-SUM($CM469:DE469)</f>
        <v>4815</v>
      </c>
      <c r="BZ469" s="93">
        <f>SUM($Z469:AS469)-SUM($CM469:DF469)</f>
        <v>4815</v>
      </c>
      <c r="CA469" s="93">
        <f>SUM($Z469:AT469)-SUM($CM469:DG469)</f>
        <v>4815</v>
      </c>
      <c r="CB469" s="93">
        <f>SUM($Z469:AU469)-SUM($CM469:DH469)</f>
        <v>4815</v>
      </c>
      <c r="CC469" s="93">
        <f>SUM($Z469:AV469)-SUM($CM469:DI469)</f>
        <v>4815</v>
      </c>
      <c r="CD469" s="93">
        <f>SUM($Z469:AW469)-SUM($CM469:DJ469)</f>
        <v>4815</v>
      </c>
      <c r="CE469" s="93">
        <f>SUM($Z469:AX469)-SUM($CM469:DK469)</f>
        <v>4815</v>
      </c>
      <c r="CF469" s="93">
        <f>SUM($Z469:AY469)-SUM($CM469:DL469)</f>
        <v>4815</v>
      </c>
      <c r="CG469" s="93">
        <f>SUM($Z469:AZ469)-SUM($CM469:DM469)</f>
        <v>4815</v>
      </c>
      <c r="CH469" s="93">
        <f>SUM($Z469:BA469)-SUM($CM469:DN469)</f>
        <v>4815</v>
      </c>
      <c r="CI469" s="93">
        <f>SUM($Z469:BB469)-SUM($CM469:DO469)</f>
        <v>4815</v>
      </c>
      <c r="CJ469" s="93"/>
      <c r="CK469" s="93"/>
      <c r="CL469" s="93"/>
      <c r="CM469" s="93"/>
      <c r="CN469" s="93" cm="1">
        <f t="array" ref="CN469">SUMPRODUCT(TRANSPOSE(CN$4:CN$20),$G469:$W469)</f>
        <v>0</v>
      </c>
      <c r="CO469" s="93" cm="1">
        <f t="array" ref="CO469">SUMPRODUCT(TRANSPOSE(CO$4:CO$20),$G469:$W469)</f>
        <v>0</v>
      </c>
      <c r="CP469" s="93" cm="1">
        <f t="array" ref="CP469">SUMPRODUCT(TRANSPOSE(CP$4:CP$20),$G469:$W469)</f>
        <v>0</v>
      </c>
      <c r="CQ469" s="93" cm="1">
        <f t="array" ref="CQ469">SUMPRODUCT(TRANSPOSE(CQ$4:CQ$20),$G469:$W469)</f>
        <v>1016</v>
      </c>
      <c r="CR469" s="93" cm="1">
        <f t="array" ref="CR469">SUMPRODUCT(TRANSPOSE(CR$4:CR$20),$G469:$W469)</f>
        <v>1016</v>
      </c>
      <c r="CS469" s="93" cm="1">
        <f t="array" ref="CS469">SUMPRODUCT(TRANSPOSE(CS$4:CS$20),$G469:$W469)</f>
        <v>1016</v>
      </c>
      <c r="CT469" s="93" cm="1">
        <f t="array" ref="CT469">SUMPRODUCT(TRANSPOSE(CT$4:CT$20),$G469:$W469)</f>
        <v>1016</v>
      </c>
      <c r="CU469" s="93" cm="1">
        <f t="array" ref="CU469">SUMPRODUCT(TRANSPOSE(CU$4:CU$20),$G469:$W469)</f>
        <v>1016</v>
      </c>
      <c r="CV469" s="93" cm="1">
        <f t="array" ref="CV469">SUMPRODUCT(TRANSPOSE(CV$4:CV$20),$G469:$W469)</f>
        <v>1016</v>
      </c>
      <c r="CW469" s="93" cm="1">
        <f t="array" ref="CW469">SUMPRODUCT(TRANSPOSE(CW$4:CW$20),$G469:$W469)</f>
        <v>1016</v>
      </c>
      <c r="CX469" s="93" cm="1">
        <f t="array" ref="CX469">SUMPRODUCT(TRANSPOSE(CX$4:CX$20),$G469:$W469)</f>
        <v>1016</v>
      </c>
      <c r="CY469" s="93" cm="1">
        <f t="array" ref="CY469">SUMPRODUCT(TRANSPOSE(CY$4:CY$20),$G469:$W469)</f>
        <v>1016</v>
      </c>
      <c r="CZ469" s="93" cm="1">
        <f t="array" ref="CZ469">SUMPRODUCT(TRANSPOSE(CZ$4:CZ$20),$G469:$W469)</f>
        <v>1016</v>
      </c>
      <c r="DA469" s="93" cm="1">
        <f t="array" ref="DA469">SUMPRODUCT(TRANSPOSE(DA$4:DA$20),$G469:$W469)</f>
        <v>1016</v>
      </c>
      <c r="DB469" s="93" cm="1">
        <f t="array" ref="DB469">SUMPRODUCT(TRANSPOSE(DB$4:DB$20),$G469:$W469)</f>
        <v>1016</v>
      </c>
      <c r="DC469" s="93" cm="1">
        <f t="array" ref="DC469">SUMPRODUCT(TRANSPOSE(DC$4:DC$20),$G469:$W469)</f>
        <v>762</v>
      </c>
      <c r="DD469" s="93" cm="1">
        <f t="array" ref="DD469">SUMPRODUCT(TRANSPOSE(DD$4:DD$20),$G469:$W469)</f>
        <v>0</v>
      </c>
      <c r="DE469" s="93" cm="1">
        <f t="array" ref="DE469">SUMPRODUCT(TRANSPOSE(DE$4:DE$20),$G469:$W469)</f>
        <v>0</v>
      </c>
      <c r="DF469" s="93" cm="1">
        <f t="array" ref="DF469">SUMPRODUCT(TRANSPOSE(DF$4:DF$20),$G469:$W469)</f>
        <v>0</v>
      </c>
      <c r="DG469" s="93" cm="1">
        <f t="array" ref="DG469">SUMPRODUCT(TRANSPOSE(DG$4:DG$20),$G469:$W469)</f>
        <v>0</v>
      </c>
      <c r="DH469" s="93" cm="1">
        <f t="array" ref="DH469">SUMPRODUCT(TRANSPOSE(DH$4:DH$20),$G469:$W469)</f>
        <v>0</v>
      </c>
      <c r="DI469" s="93" cm="1">
        <f t="array" ref="DI469">SUMPRODUCT(TRANSPOSE(DI$4:DI$20),$G469:$W469)</f>
        <v>0</v>
      </c>
      <c r="DJ469" s="93" cm="1">
        <f t="array" ref="DJ469">SUMPRODUCT(TRANSPOSE(DJ$4:DJ$20),$G469:$W469)</f>
        <v>0</v>
      </c>
      <c r="DK469" s="93" cm="1">
        <f t="array" ref="DK469">SUMPRODUCT(TRANSPOSE(DK$4:DK$20),$G469:$W469)</f>
        <v>0</v>
      </c>
      <c r="DL469" s="93" cm="1">
        <f t="array" ref="DL469">SUMPRODUCT(TRANSPOSE(DL$4:DL$20),$G469:$W469)</f>
        <v>0</v>
      </c>
      <c r="DM469" s="93" cm="1">
        <f t="array" ref="DM469">SUMPRODUCT(TRANSPOSE(DM$4:DM$20),$G469:$W469)</f>
        <v>0</v>
      </c>
      <c r="DN469" s="93" cm="1">
        <f t="array" ref="DN469">SUMPRODUCT(TRANSPOSE(DN$4:DN$20),$G469:$W469)</f>
        <v>0</v>
      </c>
      <c r="DO469" s="93" cm="1">
        <f t="array" ref="DO469">SUMPRODUCT(TRANSPOSE(DO$4:DO$20),$G469:$W469)</f>
        <v>0</v>
      </c>
    </row>
    <row r="470" spans="1:119" x14ac:dyDescent="0.2">
      <c r="A470" s="45">
        <f t="shared" si="32"/>
        <v>449</v>
      </c>
      <c r="B470" s="64" t="s">
        <v>977</v>
      </c>
      <c r="C470" s="45">
        <v>401484963</v>
      </c>
      <c r="D470" s="45" t="s">
        <v>606</v>
      </c>
      <c r="E470" s="45" t="s">
        <v>162</v>
      </c>
      <c r="F470" s="48">
        <v>2</v>
      </c>
      <c r="G470" s="100">
        <v>28</v>
      </c>
      <c r="H470" s="100">
        <v>0</v>
      </c>
      <c r="I470" s="100">
        <v>0</v>
      </c>
      <c r="J470" s="100">
        <v>0</v>
      </c>
      <c r="K470" s="100">
        <v>0</v>
      </c>
      <c r="L470" s="100">
        <v>0</v>
      </c>
      <c r="M470" s="100">
        <v>0</v>
      </c>
      <c r="N470" s="100">
        <v>0</v>
      </c>
      <c r="O470" s="100">
        <v>0</v>
      </c>
      <c r="P470" s="100">
        <v>0</v>
      </c>
      <c r="Q470" s="100">
        <v>0</v>
      </c>
      <c r="R470" s="100">
        <v>0</v>
      </c>
      <c r="S470" s="100">
        <v>0</v>
      </c>
      <c r="T470" s="100">
        <v>0</v>
      </c>
      <c r="U470" s="100">
        <v>0</v>
      </c>
      <c r="V470" s="100">
        <v>0</v>
      </c>
      <c r="W470" s="100">
        <v>0</v>
      </c>
      <c r="X470" s="45" t="s">
        <v>24</v>
      </c>
      <c r="Y470" s="53">
        <v>0.32900000000000001</v>
      </c>
      <c r="Z470" s="45">
        <v>4113</v>
      </c>
      <c r="AA470" s="45">
        <v>0</v>
      </c>
      <c r="AB470" s="45">
        <v>0</v>
      </c>
      <c r="AC470" s="45">
        <v>0</v>
      </c>
      <c r="AD470" s="45">
        <v>0</v>
      </c>
      <c r="AE470" s="45">
        <v>0</v>
      </c>
      <c r="AF470" s="45">
        <v>0</v>
      </c>
      <c r="AG470" s="45">
        <v>0</v>
      </c>
      <c r="AH470" s="45">
        <v>0</v>
      </c>
      <c r="AI470" s="45">
        <v>0</v>
      </c>
      <c r="AJ470" s="45">
        <v>0</v>
      </c>
      <c r="AK470" s="45">
        <v>0</v>
      </c>
      <c r="AL470" s="45">
        <v>0</v>
      </c>
      <c r="AM470" s="45">
        <v>0</v>
      </c>
      <c r="AN470" s="45">
        <v>0</v>
      </c>
      <c r="AO470" s="45"/>
      <c r="AP470" s="45"/>
      <c r="AQ470" s="45"/>
      <c r="AR470" s="45"/>
      <c r="AS470" s="45"/>
      <c r="AT470" s="45"/>
      <c r="AU470" s="45"/>
      <c r="AV470" s="45"/>
      <c r="AW470" s="45"/>
      <c r="AX470" s="45"/>
      <c r="AY470" s="45"/>
      <c r="AZ470" s="45"/>
      <c r="BA470" s="45"/>
      <c r="BB470" s="45"/>
      <c r="BC470" s="45"/>
      <c r="BD470" s="93"/>
      <c r="BE470" s="93"/>
      <c r="BF470" s="93"/>
      <c r="BG470" s="93"/>
      <c r="BH470" s="93"/>
      <c r="BI470" s="93"/>
      <c r="BJ470" s="93"/>
      <c r="BK470" s="93">
        <f>SUM($Z470:AD470)-SUM($CM470:CQ470)</f>
        <v>3889</v>
      </c>
      <c r="BL470" s="93">
        <f>SUM($Z470:AE470)-SUM($CM470:CR470)</f>
        <v>3665</v>
      </c>
      <c r="BM470" s="93">
        <f>SUM($Z470:AF470)-SUM($CM470:CS470)</f>
        <v>3441</v>
      </c>
      <c r="BN470" s="93">
        <f>SUM($Z470:AG470)-SUM($CM470:CT470)</f>
        <v>3217</v>
      </c>
      <c r="BO470" s="93">
        <f>SUM($Z470:AH470)-SUM($CM470:CU470)</f>
        <v>2993</v>
      </c>
      <c r="BP470" s="93">
        <f>SUM($Z470:AI470)-SUM($CM470:CV470)</f>
        <v>2769</v>
      </c>
      <c r="BQ470" s="93">
        <f>SUM($Z470:AJ470)-SUM($CM470:CW470)</f>
        <v>2545</v>
      </c>
      <c r="BR470" s="93">
        <f>SUM($Z470:AK470)-SUM($CM470:CX470)</f>
        <v>2321</v>
      </c>
      <c r="BS470" s="93">
        <f>SUM($Z470:AL470)-SUM($CM470:CY470)</f>
        <v>2097</v>
      </c>
      <c r="BT470" s="93">
        <f>SUM($Z470:AM470)-SUM($CM470:CZ470)</f>
        <v>1873</v>
      </c>
      <c r="BU470" s="93">
        <f>SUM($Z470:AN470)-SUM($CM470:DA470)</f>
        <v>1649</v>
      </c>
      <c r="BV470" s="93">
        <f>SUM($Z470:AO470)-SUM($CM470:DB470)</f>
        <v>1425</v>
      </c>
      <c r="BW470" s="93">
        <f>SUM($Z470:AP470)-SUM($CM470:DC470)</f>
        <v>1257</v>
      </c>
      <c r="BX470" s="93">
        <f>SUM($Z470:AQ470)-SUM($CM470:DD470)</f>
        <v>1257</v>
      </c>
      <c r="BY470" s="93">
        <f>SUM($Z470:AR470)-SUM($CM470:DE470)</f>
        <v>1257</v>
      </c>
      <c r="BZ470" s="93">
        <f>SUM($Z470:AS470)-SUM($CM470:DF470)</f>
        <v>1257</v>
      </c>
      <c r="CA470" s="93">
        <f>SUM($Z470:AT470)-SUM($CM470:DG470)</f>
        <v>1257</v>
      </c>
      <c r="CB470" s="93">
        <f>SUM($Z470:AU470)-SUM($CM470:DH470)</f>
        <v>1257</v>
      </c>
      <c r="CC470" s="93">
        <f>SUM($Z470:AV470)-SUM($CM470:DI470)</f>
        <v>1257</v>
      </c>
      <c r="CD470" s="93">
        <f>SUM($Z470:AW470)-SUM($CM470:DJ470)</f>
        <v>1257</v>
      </c>
      <c r="CE470" s="93">
        <f>SUM($Z470:AX470)-SUM($CM470:DK470)</f>
        <v>1257</v>
      </c>
      <c r="CF470" s="93">
        <f>SUM($Z470:AY470)-SUM($CM470:DL470)</f>
        <v>1257</v>
      </c>
      <c r="CG470" s="93">
        <f>SUM($Z470:AZ470)-SUM($CM470:DM470)</f>
        <v>1257</v>
      </c>
      <c r="CH470" s="93">
        <f>SUM($Z470:BA470)-SUM($CM470:DN470)</f>
        <v>1257</v>
      </c>
      <c r="CI470" s="93">
        <f>SUM($Z470:BB470)-SUM($CM470:DO470)</f>
        <v>1257</v>
      </c>
      <c r="CJ470" s="93"/>
      <c r="CK470" s="93"/>
      <c r="CL470" s="93"/>
      <c r="CM470" s="93"/>
      <c r="CN470" s="93" cm="1">
        <f t="array" ref="CN470">SUMPRODUCT(TRANSPOSE(CN$4:CN$20),$G470:$W470)</f>
        <v>0</v>
      </c>
      <c r="CO470" s="93" cm="1">
        <f t="array" ref="CO470">SUMPRODUCT(TRANSPOSE(CO$4:CO$20),$G470:$W470)</f>
        <v>0</v>
      </c>
      <c r="CP470" s="93" cm="1">
        <f t="array" ref="CP470">SUMPRODUCT(TRANSPOSE(CP$4:CP$20),$G470:$W470)</f>
        <v>0</v>
      </c>
      <c r="CQ470" s="93" cm="1">
        <f t="array" ref="CQ470">SUMPRODUCT(TRANSPOSE(CQ$4:CQ$20),$G470:$W470)</f>
        <v>224</v>
      </c>
      <c r="CR470" s="93" cm="1">
        <f t="array" ref="CR470">SUMPRODUCT(TRANSPOSE(CR$4:CR$20),$G470:$W470)</f>
        <v>224</v>
      </c>
      <c r="CS470" s="93" cm="1">
        <f t="array" ref="CS470">SUMPRODUCT(TRANSPOSE(CS$4:CS$20),$G470:$W470)</f>
        <v>224</v>
      </c>
      <c r="CT470" s="93" cm="1">
        <f t="array" ref="CT470">SUMPRODUCT(TRANSPOSE(CT$4:CT$20),$G470:$W470)</f>
        <v>224</v>
      </c>
      <c r="CU470" s="93" cm="1">
        <f t="array" ref="CU470">SUMPRODUCT(TRANSPOSE(CU$4:CU$20),$G470:$W470)</f>
        <v>224</v>
      </c>
      <c r="CV470" s="93" cm="1">
        <f t="array" ref="CV470">SUMPRODUCT(TRANSPOSE(CV$4:CV$20),$G470:$W470)</f>
        <v>224</v>
      </c>
      <c r="CW470" s="93" cm="1">
        <f t="array" ref="CW470">SUMPRODUCT(TRANSPOSE(CW$4:CW$20),$G470:$W470)</f>
        <v>224</v>
      </c>
      <c r="CX470" s="93" cm="1">
        <f t="array" ref="CX470">SUMPRODUCT(TRANSPOSE(CX$4:CX$20),$G470:$W470)</f>
        <v>224</v>
      </c>
      <c r="CY470" s="93" cm="1">
        <f t="array" ref="CY470">SUMPRODUCT(TRANSPOSE(CY$4:CY$20),$G470:$W470)</f>
        <v>224</v>
      </c>
      <c r="CZ470" s="93" cm="1">
        <f t="array" ref="CZ470">SUMPRODUCT(TRANSPOSE(CZ$4:CZ$20),$G470:$W470)</f>
        <v>224</v>
      </c>
      <c r="DA470" s="93" cm="1">
        <f t="array" ref="DA470">SUMPRODUCT(TRANSPOSE(DA$4:DA$20),$G470:$W470)</f>
        <v>224</v>
      </c>
      <c r="DB470" s="93" cm="1">
        <f t="array" ref="DB470">SUMPRODUCT(TRANSPOSE(DB$4:DB$20),$G470:$W470)</f>
        <v>224</v>
      </c>
      <c r="DC470" s="93" cm="1">
        <f t="array" ref="DC470">SUMPRODUCT(TRANSPOSE(DC$4:DC$20),$G470:$W470)</f>
        <v>168</v>
      </c>
      <c r="DD470" s="93" cm="1">
        <f t="array" ref="DD470">SUMPRODUCT(TRANSPOSE(DD$4:DD$20),$G470:$W470)</f>
        <v>0</v>
      </c>
      <c r="DE470" s="93" cm="1">
        <f t="array" ref="DE470">SUMPRODUCT(TRANSPOSE(DE$4:DE$20),$G470:$W470)</f>
        <v>0</v>
      </c>
      <c r="DF470" s="93" cm="1">
        <f t="array" ref="DF470">SUMPRODUCT(TRANSPOSE(DF$4:DF$20),$G470:$W470)</f>
        <v>0</v>
      </c>
      <c r="DG470" s="93" cm="1">
        <f t="array" ref="DG470">SUMPRODUCT(TRANSPOSE(DG$4:DG$20),$G470:$W470)</f>
        <v>0</v>
      </c>
      <c r="DH470" s="93" cm="1">
        <f t="array" ref="DH470">SUMPRODUCT(TRANSPOSE(DH$4:DH$20),$G470:$W470)</f>
        <v>0</v>
      </c>
      <c r="DI470" s="93" cm="1">
        <f t="array" ref="DI470">SUMPRODUCT(TRANSPOSE(DI$4:DI$20),$G470:$W470)</f>
        <v>0</v>
      </c>
      <c r="DJ470" s="93" cm="1">
        <f t="array" ref="DJ470">SUMPRODUCT(TRANSPOSE(DJ$4:DJ$20),$G470:$W470)</f>
        <v>0</v>
      </c>
      <c r="DK470" s="93" cm="1">
        <f t="array" ref="DK470">SUMPRODUCT(TRANSPOSE(DK$4:DK$20),$G470:$W470)</f>
        <v>0</v>
      </c>
      <c r="DL470" s="93" cm="1">
        <f t="array" ref="DL470">SUMPRODUCT(TRANSPOSE(DL$4:DL$20),$G470:$W470)</f>
        <v>0</v>
      </c>
      <c r="DM470" s="93" cm="1">
        <f t="array" ref="DM470">SUMPRODUCT(TRANSPOSE(DM$4:DM$20),$G470:$W470)</f>
        <v>0</v>
      </c>
      <c r="DN470" s="93" cm="1">
        <f t="array" ref="DN470">SUMPRODUCT(TRANSPOSE(DN$4:DN$20),$G470:$W470)</f>
        <v>0</v>
      </c>
      <c r="DO470" s="93" cm="1">
        <f t="array" ref="DO470">SUMPRODUCT(TRANSPOSE(DO$4:DO$20),$G470:$W470)</f>
        <v>0</v>
      </c>
    </row>
    <row r="471" spans="1:119" x14ac:dyDescent="0.2">
      <c r="A471" s="45">
        <f t="shared" ref="A471:A504" si="33">A470+1</f>
        <v>450</v>
      </c>
      <c r="B471" s="73" t="s">
        <v>978</v>
      </c>
      <c r="C471" s="45">
        <v>514202126</v>
      </c>
      <c r="D471" s="45" t="s">
        <v>979</v>
      </c>
      <c r="E471" s="45" t="s">
        <v>162</v>
      </c>
      <c r="F471" s="48">
        <v>2</v>
      </c>
      <c r="G471" s="100">
        <v>0</v>
      </c>
      <c r="H471" s="100">
        <v>8</v>
      </c>
      <c r="I471" s="100">
        <v>0</v>
      </c>
      <c r="J471" s="100">
        <v>0</v>
      </c>
      <c r="K471" s="100">
        <v>0</v>
      </c>
      <c r="L471" s="100">
        <v>0</v>
      </c>
      <c r="M471" s="100">
        <v>0</v>
      </c>
      <c r="N471" s="100">
        <v>0</v>
      </c>
      <c r="O471" s="100">
        <v>0</v>
      </c>
      <c r="P471" s="100">
        <v>0</v>
      </c>
      <c r="Q471" s="100">
        <v>0</v>
      </c>
      <c r="R471" s="100">
        <v>0</v>
      </c>
      <c r="S471" s="100">
        <v>0</v>
      </c>
      <c r="T471" s="100">
        <v>0</v>
      </c>
      <c r="U471" s="100">
        <v>0</v>
      </c>
      <c r="V471" s="100">
        <v>0</v>
      </c>
      <c r="W471" s="100">
        <v>0</v>
      </c>
      <c r="X471" s="45" t="s">
        <v>24</v>
      </c>
      <c r="Y471" s="49">
        <v>0.04</v>
      </c>
      <c r="Z471" s="45">
        <v>1660</v>
      </c>
      <c r="AA471" s="45">
        <v>0</v>
      </c>
      <c r="AB471" s="45">
        <v>0</v>
      </c>
      <c r="AC471" s="45">
        <v>0</v>
      </c>
      <c r="AD471" s="45">
        <v>0</v>
      </c>
      <c r="AE471" s="45">
        <v>0</v>
      </c>
      <c r="AF471" s="45">
        <v>0</v>
      </c>
      <c r="AG471" s="45">
        <v>0</v>
      </c>
      <c r="AH471" s="45">
        <v>0</v>
      </c>
      <c r="AI471" s="45">
        <v>0</v>
      </c>
      <c r="AJ471" s="45">
        <v>0</v>
      </c>
      <c r="AK471" s="45">
        <v>0</v>
      </c>
      <c r="AL471" s="45">
        <v>0</v>
      </c>
      <c r="AM471" s="45">
        <v>0</v>
      </c>
      <c r="AN471" s="45">
        <v>0</v>
      </c>
      <c r="AO471" s="45"/>
      <c r="AP471" s="45"/>
      <c r="AQ471" s="45"/>
      <c r="AR471" s="45"/>
      <c r="AS471" s="45"/>
      <c r="AT471" s="45"/>
      <c r="AU471" s="45"/>
      <c r="AV471" s="45"/>
      <c r="AW471" s="45"/>
      <c r="AX471" s="45"/>
      <c r="AY471" s="45"/>
      <c r="AZ471" s="45"/>
      <c r="BA471" s="45"/>
      <c r="BB471" s="45"/>
      <c r="BC471" s="45"/>
      <c r="BD471" s="93"/>
      <c r="BE471" s="93"/>
      <c r="BF471" s="93"/>
      <c r="BG471" s="93"/>
      <c r="BH471" s="93"/>
      <c r="BI471" s="93"/>
      <c r="BJ471" s="93"/>
      <c r="BK471" s="93">
        <f>SUM($Z471:AD471)-SUM($CM471:CQ471)</f>
        <v>1596</v>
      </c>
      <c r="BL471" s="93">
        <f>SUM($Z471:AE471)-SUM($CM471:CR471)</f>
        <v>1532</v>
      </c>
      <c r="BM471" s="93">
        <f>SUM($Z471:AF471)-SUM($CM471:CS471)</f>
        <v>1468</v>
      </c>
      <c r="BN471" s="93">
        <f>SUM($Z471:AG471)-SUM($CM471:CT471)</f>
        <v>1404</v>
      </c>
      <c r="BO471" s="93">
        <f>SUM($Z471:AH471)-SUM($CM471:CU471)</f>
        <v>1340</v>
      </c>
      <c r="BP471" s="93">
        <f>SUM($Z471:AI471)-SUM($CM471:CV471)</f>
        <v>1276</v>
      </c>
      <c r="BQ471" s="93">
        <f>SUM($Z471:AJ471)-SUM($CM471:CW471)</f>
        <v>1212</v>
      </c>
      <c r="BR471" s="93">
        <f>SUM($Z471:AK471)-SUM($CM471:CX471)</f>
        <v>1148</v>
      </c>
      <c r="BS471" s="93">
        <f>SUM($Z471:AL471)-SUM($CM471:CY471)</f>
        <v>1084</v>
      </c>
      <c r="BT471" s="93">
        <f>SUM($Z471:AM471)-SUM($CM471:CZ471)</f>
        <v>1020</v>
      </c>
      <c r="BU471" s="93">
        <f>SUM($Z471:AN471)-SUM($CM471:DA471)</f>
        <v>956</v>
      </c>
      <c r="BV471" s="93">
        <f>SUM($Z471:AO471)-SUM($CM471:DB471)</f>
        <v>892</v>
      </c>
      <c r="BW471" s="93">
        <f>SUM($Z471:AP471)-SUM($CM471:DC471)</f>
        <v>844</v>
      </c>
      <c r="BX471" s="93">
        <f>SUM($Z471:AQ471)-SUM($CM471:DD471)</f>
        <v>844</v>
      </c>
      <c r="BY471" s="93">
        <f>SUM($Z471:AR471)-SUM($CM471:DE471)</f>
        <v>844</v>
      </c>
      <c r="BZ471" s="93">
        <f>SUM($Z471:AS471)-SUM($CM471:DF471)</f>
        <v>844</v>
      </c>
      <c r="CA471" s="93">
        <f>SUM($Z471:AT471)-SUM($CM471:DG471)</f>
        <v>844</v>
      </c>
      <c r="CB471" s="93">
        <f>SUM($Z471:AU471)-SUM($CM471:DH471)</f>
        <v>844</v>
      </c>
      <c r="CC471" s="93">
        <f>SUM($Z471:AV471)-SUM($CM471:DI471)</f>
        <v>844</v>
      </c>
      <c r="CD471" s="93">
        <f>SUM($Z471:AW471)-SUM($CM471:DJ471)</f>
        <v>844</v>
      </c>
      <c r="CE471" s="93">
        <f>SUM($Z471:AX471)-SUM($CM471:DK471)</f>
        <v>844</v>
      </c>
      <c r="CF471" s="93">
        <f>SUM($Z471:AY471)-SUM($CM471:DL471)</f>
        <v>844</v>
      </c>
      <c r="CG471" s="93">
        <f>SUM($Z471:AZ471)-SUM($CM471:DM471)</f>
        <v>844</v>
      </c>
      <c r="CH471" s="93">
        <f>SUM($Z471:BA471)-SUM($CM471:DN471)</f>
        <v>844</v>
      </c>
      <c r="CI471" s="93">
        <f>SUM($Z471:BB471)-SUM($CM471:DO471)</f>
        <v>844</v>
      </c>
      <c r="CJ471" s="93"/>
      <c r="CK471" s="93"/>
      <c r="CL471" s="93"/>
      <c r="CM471" s="93"/>
      <c r="CN471" s="93" cm="1">
        <f t="array" ref="CN471">SUMPRODUCT(TRANSPOSE(CN$4:CN$20),$G471:$W471)</f>
        <v>0</v>
      </c>
      <c r="CO471" s="93" cm="1">
        <f t="array" ref="CO471">SUMPRODUCT(TRANSPOSE(CO$4:CO$20),$G471:$W471)</f>
        <v>0</v>
      </c>
      <c r="CP471" s="93" cm="1">
        <f t="array" ref="CP471">SUMPRODUCT(TRANSPOSE(CP$4:CP$20),$G471:$W471)</f>
        <v>0</v>
      </c>
      <c r="CQ471" s="93" cm="1">
        <f t="array" ref="CQ471">SUMPRODUCT(TRANSPOSE(CQ$4:CQ$20),$G471:$W471)</f>
        <v>64</v>
      </c>
      <c r="CR471" s="93" cm="1">
        <f t="array" ref="CR471">SUMPRODUCT(TRANSPOSE(CR$4:CR$20),$G471:$W471)</f>
        <v>64</v>
      </c>
      <c r="CS471" s="93" cm="1">
        <f t="array" ref="CS471">SUMPRODUCT(TRANSPOSE(CS$4:CS$20),$G471:$W471)</f>
        <v>64</v>
      </c>
      <c r="CT471" s="93" cm="1">
        <f t="array" ref="CT471">SUMPRODUCT(TRANSPOSE(CT$4:CT$20),$G471:$W471)</f>
        <v>64</v>
      </c>
      <c r="CU471" s="93" cm="1">
        <f t="array" ref="CU471">SUMPRODUCT(TRANSPOSE(CU$4:CU$20),$G471:$W471)</f>
        <v>64</v>
      </c>
      <c r="CV471" s="93" cm="1">
        <f t="array" ref="CV471">SUMPRODUCT(TRANSPOSE(CV$4:CV$20),$G471:$W471)</f>
        <v>64</v>
      </c>
      <c r="CW471" s="93" cm="1">
        <f t="array" ref="CW471">SUMPRODUCT(TRANSPOSE(CW$4:CW$20),$G471:$W471)</f>
        <v>64</v>
      </c>
      <c r="CX471" s="93" cm="1">
        <f t="array" ref="CX471">SUMPRODUCT(TRANSPOSE(CX$4:CX$20),$G471:$W471)</f>
        <v>64</v>
      </c>
      <c r="CY471" s="93" cm="1">
        <f t="array" ref="CY471">SUMPRODUCT(TRANSPOSE(CY$4:CY$20),$G471:$W471)</f>
        <v>64</v>
      </c>
      <c r="CZ471" s="93" cm="1">
        <f t="array" ref="CZ471">SUMPRODUCT(TRANSPOSE(CZ$4:CZ$20),$G471:$W471)</f>
        <v>64</v>
      </c>
      <c r="DA471" s="93" cm="1">
        <f t="array" ref="DA471">SUMPRODUCT(TRANSPOSE(DA$4:DA$20),$G471:$W471)</f>
        <v>64</v>
      </c>
      <c r="DB471" s="93" cm="1">
        <f t="array" ref="DB471">SUMPRODUCT(TRANSPOSE(DB$4:DB$20),$G471:$W471)</f>
        <v>64</v>
      </c>
      <c r="DC471" s="93" cm="1">
        <f t="array" ref="DC471">SUMPRODUCT(TRANSPOSE(DC$4:DC$20),$G471:$W471)</f>
        <v>48</v>
      </c>
      <c r="DD471" s="93" cm="1">
        <f t="array" ref="DD471">SUMPRODUCT(TRANSPOSE(DD$4:DD$20),$G471:$W471)</f>
        <v>0</v>
      </c>
      <c r="DE471" s="93" cm="1">
        <f t="array" ref="DE471">SUMPRODUCT(TRANSPOSE(DE$4:DE$20),$G471:$W471)</f>
        <v>0</v>
      </c>
      <c r="DF471" s="93" cm="1">
        <f t="array" ref="DF471">SUMPRODUCT(TRANSPOSE(DF$4:DF$20),$G471:$W471)</f>
        <v>0</v>
      </c>
      <c r="DG471" s="93" cm="1">
        <f t="array" ref="DG471">SUMPRODUCT(TRANSPOSE(DG$4:DG$20),$G471:$W471)</f>
        <v>0</v>
      </c>
      <c r="DH471" s="93" cm="1">
        <f t="array" ref="DH471">SUMPRODUCT(TRANSPOSE(DH$4:DH$20),$G471:$W471)</f>
        <v>0</v>
      </c>
      <c r="DI471" s="93" cm="1">
        <f t="array" ref="DI471">SUMPRODUCT(TRANSPOSE(DI$4:DI$20),$G471:$W471)</f>
        <v>0</v>
      </c>
      <c r="DJ471" s="93" cm="1">
        <f t="array" ref="DJ471">SUMPRODUCT(TRANSPOSE(DJ$4:DJ$20),$G471:$W471)</f>
        <v>0</v>
      </c>
      <c r="DK471" s="93" cm="1">
        <f t="array" ref="DK471">SUMPRODUCT(TRANSPOSE(DK$4:DK$20),$G471:$W471)</f>
        <v>0</v>
      </c>
      <c r="DL471" s="93" cm="1">
        <f t="array" ref="DL471">SUMPRODUCT(TRANSPOSE(DL$4:DL$20),$G471:$W471)</f>
        <v>0</v>
      </c>
      <c r="DM471" s="93" cm="1">
        <f t="array" ref="DM471">SUMPRODUCT(TRANSPOSE(DM$4:DM$20),$G471:$W471)</f>
        <v>0</v>
      </c>
      <c r="DN471" s="93" cm="1">
        <f t="array" ref="DN471">SUMPRODUCT(TRANSPOSE(DN$4:DN$20),$G471:$W471)</f>
        <v>0</v>
      </c>
      <c r="DO471" s="93" cm="1">
        <f t="array" ref="DO471">SUMPRODUCT(TRANSPOSE(DO$4:DO$20),$G471:$W471)</f>
        <v>0</v>
      </c>
    </row>
    <row r="472" spans="1:119" x14ac:dyDescent="0.2">
      <c r="A472" s="45">
        <f t="shared" si="33"/>
        <v>451</v>
      </c>
      <c r="B472" s="64" t="s">
        <v>980</v>
      </c>
      <c r="C472" s="45">
        <v>512212440</v>
      </c>
      <c r="D472" s="45" t="s">
        <v>614</v>
      </c>
      <c r="E472" s="45" t="s">
        <v>162</v>
      </c>
      <c r="F472" s="48">
        <v>2</v>
      </c>
      <c r="G472" s="100">
        <v>0</v>
      </c>
      <c r="H472" s="100">
        <v>0</v>
      </c>
      <c r="I472" s="100">
        <v>0</v>
      </c>
      <c r="J472" s="100">
        <v>0</v>
      </c>
      <c r="K472" s="100">
        <v>0</v>
      </c>
      <c r="L472" s="100">
        <v>0</v>
      </c>
      <c r="M472" s="100">
        <v>0</v>
      </c>
      <c r="N472" s="100">
        <v>0</v>
      </c>
      <c r="O472" s="100">
        <v>0</v>
      </c>
      <c r="P472" s="100">
        <v>0</v>
      </c>
      <c r="Q472" s="100">
        <v>0</v>
      </c>
      <c r="R472" s="100">
        <v>0</v>
      </c>
      <c r="S472" s="100">
        <v>0</v>
      </c>
      <c r="T472" s="100">
        <v>0</v>
      </c>
      <c r="U472" s="100">
        <v>0</v>
      </c>
      <c r="V472" s="100">
        <v>0</v>
      </c>
      <c r="W472" s="100">
        <v>0</v>
      </c>
      <c r="X472" s="45" t="s">
        <v>24</v>
      </c>
      <c r="Y472" s="49">
        <v>5.5E-2</v>
      </c>
      <c r="Z472" s="45">
        <v>266</v>
      </c>
      <c r="AA472" s="45">
        <v>0</v>
      </c>
      <c r="AB472" s="45">
        <v>0</v>
      </c>
      <c r="AC472" s="45">
        <v>0</v>
      </c>
      <c r="AD472" s="45">
        <v>0</v>
      </c>
      <c r="AE472" s="45">
        <v>0</v>
      </c>
      <c r="AF472" s="45">
        <v>0</v>
      </c>
      <c r="AG472" s="45">
        <v>0</v>
      </c>
      <c r="AH472" s="45">
        <v>0</v>
      </c>
      <c r="AI472" s="45">
        <v>0</v>
      </c>
      <c r="AJ472" s="45">
        <v>0</v>
      </c>
      <c r="AK472" s="45">
        <v>0</v>
      </c>
      <c r="AL472" s="45">
        <v>0</v>
      </c>
      <c r="AM472" s="45">
        <v>0</v>
      </c>
      <c r="AN472" s="45">
        <v>0</v>
      </c>
      <c r="AO472" s="45"/>
      <c r="AP472" s="45"/>
      <c r="AQ472" s="45"/>
      <c r="AR472" s="45"/>
      <c r="AS472" s="45"/>
      <c r="AT472" s="45"/>
      <c r="AU472" s="45"/>
      <c r="AV472" s="45"/>
      <c r="AW472" s="45"/>
      <c r="AX472" s="45"/>
      <c r="AY472" s="45"/>
      <c r="AZ472" s="45"/>
      <c r="BA472" s="45"/>
      <c r="BB472" s="45"/>
      <c r="BC472" s="45"/>
      <c r="BD472" s="93"/>
      <c r="BE472" s="93"/>
      <c r="BF472" s="93"/>
      <c r="BG472" s="93"/>
      <c r="BH472" s="93"/>
      <c r="BI472" s="93"/>
      <c r="BJ472" s="93"/>
      <c r="BK472" s="93">
        <f>SUM($Z472:AD472)-SUM($CM472:CQ472)</f>
        <v>266</v>
      </c>
      <c r="BL472" s="93">
        <f>SUM($Z472:AE472)-SUM($CM472:CR472)</f>
        <v>266</v>
      </c>
      <c r="BM472" s="93">
        <f>SUM($Z472:AF472)-SUM($CM472:CS472)</f>
        <v>266</v>
      </c>
      <c r="BN472" s="93">
        <f>SUM($Z472:AG472)-SUM($CM472:CT472)</f>
        <v>266</v>
      </c>
      <c r="BO472" s="93">
        <f>SUM($Z472:AH472)-SUM($CM472:CU472)</f>
        <v>266</v>
      </c>
      <c r="BP472" s="93">
        <f>SUM($Z472:AI472)-SUM($CM472:CV472)</f>
        <v>266</v>
      </c>
      <c r="BQ472" s="93">
        <f>SUM($Z472:AJ472)-SUM($CM472:CW472)</f>
        <v>266</v>
      </c>
      <c r="BR472" s="93">
        <f>SUM($Z472:AK472)-SUM($CM472:CX472)</f>
        <v>266</v>
      </c>
      <c r="BS472" s="93">
        <f>SUM($Z472:AL472)-SUM($CM472:CY472)</f>
        <v>266</v>
      </c>
      <c r="BT472" s="93">
        <f>SUM($Z472:AM472)-SUM($CM472:CZ472)</f>
        <v>266</v>
      </c>
      <c r="BU472" s="93">
        <f>SUM($Z472:AN472)-SUM($CM472:DA472)</f>
        <v>266</v>
      </c>
      <c r="BV472" s="93">
        <f>SUM($Z472:AO472)-SUM($CM472:DB472)</f>
        <v>266</v>
      </c>
      <c r="BW472" s="93">
        <f>SUM($Z472:AP472)-SUM($CM472:DC472)</f>
        <v>266</v>
      </c>
      <c r="BX472" s="93">
        <f>SUM($Z472:AQ472)-SUM($CM472:DD472)</f>
        <v>266</v>
      </c>
      <c r="BY472" s="93">
        <f>SUM($Z472:AR472)-SUM($CM472:DE472)</f>
        <v>266</v>
      </c>
      <c r="BZ472" s="93">
        <f>SUM($Z472:AS472)-SUM($CM472:DF472)</f>
        <v>266</v>
      </c>
      <c r="CA472" s="93">
        <f>SUM($Z472:AT472)-SUM($CM472:DG472)</f>
        <v>266</v>
      </c>
      <c r="CB472" s="93">
        <f>SUM($Z472:AU472)-SUM($CM472:DH472)</f>
        <v>266</v>
      </c>
      <c r="CC472" s="93">
        <f>SUM($Z472:AV472)-SUM($CM472:DI472)</f>
        <v>266</v>
      </c>
      <c r="CD472" s="93">
        <f>SUM($Z472:AW472)-SUM($CM472:DJ472)</f>
        <v>266</v>
      </c>
      <c r="CE472" s="93">
        <f>SUM($Z472:AX472)-SUM($CM472:DK472)</f>
        <v>266</v>
      </c>
      <c r="CF472" s="93">
        <f>SUM($Z472:AY472)-SUM($CM472:DL472)</f>
        <v>266</v>
      </c>
      <c r="CG472" s="93">
        <f>SUM($Z472:AZ472)-SUM($CM472:DM472)</f>
        <v>266</v>
      </c>
      <c r="CH472" s="93">
        <f>SUM($Z472:BA472)-SUM($CM472:DN472)</f>
        <v>266</v>
      </c>
      <c r="CI472" s="93">
        <f>SUM($Z472:BB472)-SUM($CM472:DO472)</f>
        <v>266</v>
      </c>
      <c r="CJ472" s="93"/>
      <c r="CK472" s="93"/>
      <c r="CL472" s="93"/>
      <c r="CM472" s="93"/>
      <c r="CN472" s="93" cm="1">
        <f t="array" ref="CN472">SUMPRODUCT(TRANSPOSE(CN$4:CN$20),$G472:$W472)</f>
        <v>0</v>
      </c>
      <c r="CO472" s="93" cm="1">
        <f t="array" ref="CO472">SUMPRODUCT(TRANSPOSE(CO$4:CO$20),$G472:$W472)</f>
        <v>0</v>
      </c>
      <c r="CP472" s="93" cm="1">
        <f t="array" ref="CP472">SUMPRODUCT(TRANSPOSE(CP$4:CP$20),$G472:$W472)</f>
        <v>0</v>
      </c>
      <c r="CQ472" s="93" cm="1">
        <f t="array" ref="CQ472">SUMPRODUCT(TRANSPOSE(CQ$4:CQ$20),$G472:$W472)</f>
        <v>0</v>
      </c>
      <c r="CR472" s="93" cm="1">
        <f t="array" ref="CR472">SUMPRODUCT(TRANSPOSE(CR$4:CR$20),$G472:$W472)</f>
        <v>0</v>
      </c>
      <c r="CS472" s="93" cm="1">
        <f t="array" ref="CS472">SUMPRODUCT(TRANSPOSE(CS$4:CS$20),$G472:$W472)</f>
        <v>0</v>
      </c>
      <c r="CT472" s="93" cm="1">
        <f t="array" ref="CT472">SUMPRODUCT(TRANSPOSE(CT$4:CT$20),$G472:$W472)</f>
        <v>0</v>
      </c>
      <c r="CU472" s="93" cm="1">
        <f t="array" ref="CU472">SUMPRODUCT(TRANSPOSE(CU$4:CU$20),$G472:$W472)</f>
        <v>0</v>
      </c>
      <c r="CV472" s="93" cm="1">
        <f t="array" ref="CV472">SUMPRODUCT(TRANSPOSE(CV$4:CV$20),$G472:$W472)</f>
        <v>0</v>
      </c>
      <c r="CW472" s="93" cm="1">
        <f t="array" ref="CW472">SUMPRODUCT(TRANSPOSE(CW$4:CW$20),$G472:$W472)</f>
        <v>0</v>
      </c>
      <c r="CX472" s="93" cm="1">
        <f t="array" ref="CX472">SUMPRODUCT(TRANSPOSE(CX$4:CX$20),$G472:$W472)</f>
        <v>0</v>
      </c>
      <c r="CY472" s="93" cm="1">
        <f t="array" ref="CY472">SUMPRODUCT(TRANSPOSE(CY$4:CY$20),$G472:$W472)</f>
        <v>0</v>
      </c>
      <c r="CZ472" s="93" cm="1">
        <f t="array" ref="CZ472">SUMPRODUCT(TRANSPOSE(CZ$4:CZ$20),$G472:$W472)</f>
        <v>0</v>
      </c>
      <c r="DA472" s="93" cm="1">
        <f t="array" ref="DA472">SUMPRODUCT(TRANSPOSE(DA$4:DA$20),$G472:$W472)</f>
        <v>0</v>
      </c>
      <c r="DB472" s="93" cm="1">
        <f t="array" ref="DB472">SUMPRODUCT(TRANSPOSE(DB$4:DB$20),$G472:$W472)</f>
        <v>0</v>
      </c>
      <c r="DC472" s="93" cm="1">
        <f t="array" ref="DC472">SUMPRODUCT(TRANSPOSE(DC$4:DC$20),$G472:$W472)</f>
        <v>0</v>
      </c>
      <c r="DD472" s="93" cm="1">
        <f t="array" ref="DD472">SUMPRODUCT(TRANSPOSE(DD$4:DD$20),$G472:$W472)</f>
        <v>0</v>
      </c>
      <c r="DE472" s="93" cm="1">
        <f t="array" ref="DE472">SUMPRODUCT(TRANSPOSE(DE$4:DE$20),$G472:$W472)</f>
        <v>0</v>
      </c>
      <c r="DF472" s="93" cm="1">
        <f t="array" ref="DF472">SUMPRODUCT(TRANSPOSE(DF$4:DF$20),$G472:$W472)</f>
        <v>0</v>
      </c>
      <c r="DG472" s="93" cm="1">
        <f t="array" ref="DG472">SUMPRODUCT(TRANSPOSE(DG$4:DG$20),$G472:$W472)</f>
        <v>0</v>
      </c>
      <c r="DH472" s="93" cm="1">
        <f t="array" ref="DH472">SUMPRODUCT(TRANSPOSE(DH$4:DH$20),$G472:$W472)</f>
        <v>0</v>
      </c>
      <c r="DI472" s="93" cm="1">
        <f t="array" ref="DI472">SUMPRODUCT(TRANSPOSE(DI$4:DI$20),$G472:$W472)</f>
        <v>0</v>
      </c>
      <c r="DJ472" s="93" cm="1">
        <f t="array" ref="DJ472">SUMPRODUCT(TRANSPOSE(DJ$4:DJ$20),$G472:$W472)</f>
        <v>0</v>
      </c>
      <c r="DK472" s="93" cm="1">
        <f t="array" ref="DK472">SUMPRODUCT(TRANSPOSE(DK$4:DK$20),$G472:$W472)</f>
        <v>0</v>
      </c>
      <c r="DL472" s="93" cm="1">
        <f t="array" ref="DL472">SUMPRODUCT(TRANSPOSE(DL$4:DL$20),$G472:$W472)</f>
        <v>0</v>
      </c>
      <c r="DM472" s="93" cm="1">
        <f t="array" ref="DM472">SUMPRODUCT(TRANSPOSE(DM$4:DM$20),$G472:$W472)</f>
        <v>0</v>
      </c>
      <c r="DN472" s="93" cm="1">
        <f t="array" ref="DN472">SUMPRODUCT(TRANSPOSE(DN$4:DN$20),$G472:$W472)</f>
        <v>0</v>
      </c>
      <c r="DO472" s="93" cm="1">
        <f t="array" ref="DO472">SUMPRODUCT(TRANSPOSE(DO$4:DO$20),$G472:$W472)</f>
        <v>0</v>
      </c>
    </row>
    <row r="473" spans="1:119" x14ac:dyDescent="0.2">
      <c r="A473" s="75">
        <f t="shared" si="33"/>
        <v>452</v>
      </c>
      <c r="B473" s="64" t="s">
        <v>981</v>
      </c>
      <c r="C473" s="45">
        <v>400828408</v>
      </c>
      <c r="D473" s="45" t="s">
        <v>982</v>
      </c>
      <c r="E473" s="45" t="s">
        <v>162</v>
      </c>
      <c r="F473" s="48">
        <v>2</v>
      </c>
      <c r="G473" s="100">
        <v>0</v>
      </c>
      <c r="H473" s="100">
        <v>0</v>
      </c>
      <c r="I473" s="100">
        <v>0</v>
      </c>
      <c r="J473" s="100">
        <v>0</v>
      </c>
      <c r="K473" s="100">
        <v>0</v>
      </c>
      <c r="L473" s="100">
        <v>0</v>
      </c>
      <c r="M473" s="100">
        <v>6</v>
      </c>
      <c r="N473" s="100">
        <v>0</v>
      </c>
      <c r="O473" s="100">
        <v>0</v>
      </c>
      <c r="P473" s="100">
        <v>0</v>
      </c>
      <c r="Q473" s="100">
        <v>0</v>
      </c>
      <c r="R473" s="100">
        <v>0</v>
      </c>
      <c r="S473" s="100">
        <v>0</v>
      </c>
      <c r="T473" s="100">
        <v>0</v>
      </c>
      <c r="U473" s="100">
        <v>0</v>
      </c>
      <c r="V473" s="100">
        <v>0</v>
      </c>
      <c r="W473" s="100">
        <v>0</v>
      </c>
      <c r="X473" s="45" t="s">
        <v>78</v>
      </c>
      <c r="Y473" s="49">
        <v>7.5999999999999998E-2</v>
      </c>
      <c r="Z473" s="45">
        <v>3360</v>
      </c>
      <c r="AA473" s="45">
        <v>0</v>
      </c>
      <c r="AB473" s="45">
        <v>0</v>
      </c>
      <c r="AC473" s="45">
        <v>0</v>
      </c>
      <c r="AD473" s="45">
        <v>0</v>
      </c>
      <c r="AE473" s="45">
        <v>0</v>
      </c>
      <c r="AF473" s="45">
        <v>0</v>
      </c>
      <c r="AG473" s="45">
        <v>0</v>
      </c>
      <c r="AH473" s="45">
        <v>0</v>
      </c>
      <c r="AI473" s="45">
        <v>0</v>
      </c>
      <c r="AJ473" s="45">
        <v>0</v>
      </c>
      <c r="AK473" s="45">
        <v>0</v>
      </c>
      <c r="AL473" s="45">
        <v>0</v>
      </c>
      <c r="AM473" s="45">
        <v>0</v>
      </c>
      <c r="AN473" s="45">
        <v>0</v>
      </c>
      <c r="AO473" s="45"/>
      <c r="AP473" s="45"/>
      <c r="AQ473" s="45"/>
      <c r="AR473" s="45"/>
      <c r="AS473" s="45"/>
      <c r="AT473" s="45"/>
      <c r="AU473" s="45"/>
      <c r="AV473" s="45"/>
      <c r="AW473" s="45"/>
      <c r="AX473" s="45"/>
      <c r="AY473" s="45"/>
      <c r="AZ473" s="45"/>
      <c r="BA473" s="45"/>
      <c r="BB473" s="45"/>
      <c r="BC473" s="45"/>
      <c r="BD473" s="93"/>
      <c r="BE473" s="93"/>
      <c r="BF473" s="93"/>
      <c r="BG473" s="93"/>
      <c r="BH473" s="93"/>
      <c r="BI473" s="93"/>
      <c r="BJ473" s="93"/>
      <c r="BK473" s="93">
        <f>SUM($Z473:AD473)-SUM($CM473:CQ473)</f>
        <v>3312</v>
      </c>
      <c r="BL473" s="93">
        <f>SUM($Z473:AE473)-SUM($CM473:CR473)</f>
        <v>3264</v>
      </c>
      <c r="BM473" s="93">
        <f>SUM($Z473:AF473)-SUM($CM473:CS473)</f>
        <v>3216</v>
      </c>
      <c r="BN473" s="93">
        <f>SUM($Z473:AG473)-SUM($CM473:CT473)</f>
        <v>3168</v>
      </c>
      <c r="BO473" s="93">
        <f>SUM($Z473:AH473)-SUM($CM473:CU473)</f>
        <v>3120</v>
      </c>
      <c r="BP473" s="93">
        <f>SUM($Z473:AI473)-SUM($CM473:CV473)</f>
        <v>3072</v>
      </c>
      <c r="BQ473" s="93">
        <f>SUM($Z473:AJ473)-SUM($CM473:CW473)</f>
        <v>3024</v>
      </c>
      <c r="BR473" s="93">
        <f>SUM($Z473:AK473)-SUM($CM473:CX473)</f>
        <v>2976</v>
      </c>
      <c r="BS473" s="93">
        <f>SUM($Z473:AL473)-SUM($CM473:CY473)</f>
        <v>2928</v>
      </c>
      <c r="BT473" s="93">
        <f>SUM($Z473:AM473)-SUM($CM473:CZ473)</f>
        <v>2880</v>
      </c>
      <c r="BU473" s="93">
        <f>SUM($Z473:AN473)-SUM($CM473:DA473)</f>
        <v>2832</v>
      </c>
      <c r="BV473" s="93">
        <f>SUM($Z473:AO473)-SUM($CM473:DB473)</f>
        <v>2784</v>
      </c>
      <c r="BW473" s="93">
        <f>SUM($Z473:AP473)-SUM($CM473:DC473)</f>
        <v>2700</v>
      </c>
      <c r="BX473" s="93">
        <f>SUM($Z473:AQ473)-SUM($CM473:DD473)</f>
        <v>2700</v>
      </c>
      <c r="BY473" s="93">
        <f>SUM($Z473:AR473)-SUM($CM473:DE473)</f>
        <v>2700</v>
      </c>
      <c r="BZ473" s="93">
        <f>SUM($Z473:AS473)-SUM($CM473:DF473)</f>
        <v>2700</v>
      </c>
      <c r="CA473" s="93">
        <f>SUM($Z473:AT473)-SUM($CM473:DG473)</f>
        <v>2700</v>
      </c>
      <c r="CB473" s="93">
        <f>SUM($Z473:AU473)-SUM($CM473:DH473)</f>
        <v>2700</v>
      </c>
      <c r="CC473" s="93">
        <f>SUM($Z473:AV473)-SUM($CM473:DI473)</f>
        <v>2700</v>
      </c>
      <c r="CD473" s="93">
        <f>SUM($Z473:AW473)-SUM($CM473:DJ473)</f>
        <v>2700</v>
      </c>
      <c r="CE473" s="93">
        <f>SUM($Z473:AX473)-SUM($CM473:DK473)</f>
        <v>2700</v>
      </c>
      <c r="CF473" s="93">
        <f>SUM($Z473:AY473)-SUM($CM473:DL473)</f>
        <v>2700</v>
      </c>
      <c r="CG473" s="93">
        <f>SUM($Z473:AZ473)-SUM($CM473:DM473)</f>
        <v>2700</v>
      </c>
      <c r="CH473" s="93">
        <f>SUM($Z473:BA473)-SUM($CM473:DN473)</f>
        <v>2700</v>
      </c>
      <c r="CI473" s="93">
        <f>SUM($Z473:BB473)-SUM($CM473:DO473)</f>
        <v>2700</v>
      </c>
      <c r="CJ473" s="93"/>
      <c r="CK473" s="93"/>
      <c r="CL473" s="93"/>
      <c r="CM473" s="93"/>
      <c r="CN473" s="93" cm="1">
        <f t="array" ref="CN473">SUMPRODUCT(TRANSPOSE(CN$4:CN$20),$G473:$W473)</f>
        <v>0</v>
      </c>
      <c r="CO473" s="93" cm="1">
        <f t="array" ref="CO473">SUMPRODUCT(TRANSPOSE(CO$4:CO$20),$G473:$W473)</f>
        <v>0</v>
      </c>
      <c r="CP473" s="93" cm="1">
        <f t="array" ref="CP473">SUMPRODUCT(TRANSPOSE(CP$4:CP$20),$G473:$W473)</f>
        <v>0</v>
      </c>
      <c r="CQ473" s="93" cm="1">
        <f t="array" ref="CQ473">SUMPRODUCT(TRANSPOSE(CQ$4:CQ$20),$G473:$W473)</f>
        <v>48</v>
      </c>
      <c r="CR473" s="93" cm="1">
        <f t="array" ref="CR473">SUMPRODUCT(TRANSPOSE(CR$4:CR$20),$G473:$W473)</f>
        <v>48</v>
      </c>
      <c r="CS473" s="93" cm="1">
        <f t="array" ref="CS473">SUMPRODUCT(TRANSPOSE(CS$4:CS$20),$G473:$W473)</f>
        <v>48</v>
      </c>
      <c r="CT473" s="93" cm="1">
        <f t="array" ref="CT473">SUMPRODUCT(TRANSPOSE(CT$4:CT$20),$G473:$W473)</f>
        <v>48</v>
      </c>
      <c r="CU473" s="93" cm="1">
        <f t="array" ref="CU473">SUMPRODUCT(TRANSPOSE(CU$4:CU$20),$G473:$W473)</f>
        <v>48</v>
      </c>
      <c r="CV473" s="93" cm="1">
        <f t="array" ref="CV473">SUMPRODUCT(TRANSPOSE(CV$4:CV$20),$G473:$W473)</f>
        <v>48</v>
      </c>
      <c r="CW473" s="93" cm="1">
        <f t="array" ref="CW473">SUMPRODUCT(TRANSPOSE(CW$4:CW$20),$G473:$W473)</f>
        <v>48</v>
      </c>
      <c r="CX473" s="93" cm="1">
        <f t="array" ref="CX473">SUMPRODUCT(TRANSPOSE(CX$4:CX$20),$G473:$W473)</f>
        <v>48</v>
      </c>
      <c r="CY473" s="93" cm="1">
        <f t="array" ref="CY473">SUMPRODUCT(TRANSPOSE(CY$4:CY$20),$G473:$W473)</f>
        <v>48</v>
      </c>
      <c r="CZ473" s="93" cm="1">
        <f t="array" ref="CZ473">SUMPRODUCT(TRANSPOSE(CZ$4:CZ$20),$G473:$W473)</f>
        <v>48</v>
      </c>
      <c r="DA473" s="93" cm="1">
        <f t="array" ref="DA473">SUMPRODUCT(TRANSPOSE(DA$4:DA$20),$G473:$W473)</f>
        <v>48</v>
      </c>
      <c r="DB473" s="93" cm="1">
        <f t="array" ref="DB473">SUMPRODUCT(TRANSPOSE(DB$4:DB$20),$G473:$W473)</f>
        <v>48</v>
      </c>
      <c r="DC473" s="93" cm="1">
        <f t="array" ref="DC473">SUMPRODUCT(TRANSPOSE(DC$4:DC$20),$G473:$W473)</f>
        <v>84</v>
      </c>
      <c r="DD473" s="93" cm="1">
        <f t="array" ref="DD473">SUMPRODUCT(TRANSPOSE(DD$4:DD$20),$G473:$W473)</f>
        <v>0</v>
      </c>
      <c r="DE473" s="93" cm="1">
        <f t="array" ref="DE473">SUMPRODUCT(TRANSPOSE(DE$4:DE$20),$G473:$W473)</f>
        <v>0</v>
      </c>
      <c r="DF473" s="93" cm="1">
        <f t="array" ref="DF473">SUMPRODUCT(TRANSPOSE(DF$4:DF$20),$G473:$W473)</f>
        <v>0</v>
      </c>
      <c r="DG473" s="93" cm="1">
        <f t="array" ref="DG473">SUMPRODUCT(TRANSPOSE(DG$4:DG$20),$G473:$W473)</f>
        <v>0</v>
      </c>
      <c r="DH473" s="93" cm="1">
        <f t="array" ref="DH473">SUMPRODUCT(TRANSPOSE(DH$4:DH$20),$G473:$W473)</f>
        <v>0</v>
      </c>
      <c r="DI473" s="93" cm="1">
        <f t="array" ref="DI473">SUMPRODUCT(TRANSPOSE(DI$4:DI$20),$G473:$W473)</f>
        <v>0</v>
      </c>
      <c r="DJ473" s="93" cm="1">
        <f t="array" ref="DJ473">SUMPRODUCT(TRANSPOSE(DJ$4:DJ$20),$G473:$W473)</f>
        <v>0</v>
      </c>
      <c r="DK473" s="93" cm="1">
        <f t="array" ref="DK473">SUMPRODUCT(TRANSPOSE(DK$4:DK$20),$G473:$W473)</f>
        <v>0</v>
      </c>
      <c r="DL473" s="93" cm="1">
        <f t="array" ref="DL473">SUMPRODUCT(TRANSPOSE(DL$4:DL$20),$G473:$W473)</f>
        <v>0</v>
      </c>
      <c r="DM473" s="93" cm="1">
        <f t="array" ref="DM473">SUMPRODUCT(TRANSPOSE(DM$4:DM$20),$G473:$W473)</f>
        <v>0</v>
      </c>
      <c r="DN473" s="93" cm="1">
        <f t="array" ref="DN473">SUMPRODUCT(TRANSPOSE(DN$4:DN$20),$G473:$W473)</f>
        <v>0</v>
      </c>
      <c r="DO473" s="93" cm="1">
        <f t="array" ref="DO473">SUMPRODUCT(TRANSPOSE(DO$4:DO$20),$G473:$W473)</f>
        <v>0</v>
      </c>
    </row>
    <row r="474" spans="1:119" x14ac:dyDescent="0.2">
      <c r="A474" s="45">
        <f t="shared" si="33"/>
        <v>453</v>
      </c>
      <c r="B474" s="64" t="s">
        <v>983</v>
      </c>
      <c r="C474" s="50">
        <v>400019832</v>
      </c>
      <c r="D474" s="45" t="s">
        <v>984</v>
      </c>
      <c r="E474" s="45" t="s">
        <v>162</v>
      </c>
      <c r="F474" s="48">
        <v>2</v>
      </c>
      <c r="G474" s="100">
        <v>0</v>
      </c>
      <c r="H474" s="100">
        <v>0</v>
      </c>
      <c r="I474" s="100">
        <v>1</v>
      </c>
      <c r="J474" s="100">
        <v>0</v>
      </c>
      <c r="K474" s="100">
        <v>0</v>
      </c>
      <c r="L474" s="100">
        <v>0</v>
      </c>
      <c r="M474" s="100">
        <v>1</v>
      </c>
      <c r="N474" s="100">
        <v>0</v>
      </c>
      <c r="O474" s="100">
        <v>0</v>
      </c>
      <c r="P474" s="100">
        <v>0</v>
      </c>
      <c r="Q474" s="100">
        <v>0</v>
      </c>
      <c r="R474" s="100">
        <v>0</v>
      </c>
      <c r="S474" s="100">
        <v>0</v>
      </c>
      <c r="T474" s="100">
        <v>0</v>
      </c>
      <c r="U474" s="100">
        <v>0</v>
      </c>
      <c r="V474" s="100">
        <v>0</v>
      </c>
      <c r="W474" s="100">
        <v>0</v>
      </c>
      <c r="X474" s="45" t="s">
        <v>194</v>
      </c>
      <c r="Y474" s="49">
        <v>0</v>
      </c>
      <c r="Z474" s="45">
        <v>0</v>
      </c>
      <c r="AA474" s="45">
        <v>0</v>
      </c>
      <c r="AB474" s="45">
        <v>0</v>
      </c>
      <c r="AC474" s="45">
        <v>0</v>
      </c>
      <c r="AD474" s="45">
        <v>0</v>
      </c>
      <c r="AE474" s="45">
        <v>0</v>
      </c>
      <c r="AF474" s="45">
        <v>0</v>
      </c>
      <c r="AG474" s="45">
        <v>0</v>
      </c>
      <c r="AH474" s="45">
        <v>0</v>
      </c>
      <c r="AI474" s="45">
        <v>0</v>
      </c>
      <c r="AJ474" s="45">
        <v>0</v>
      </c>
      <c r="AK474" s="45">
        <v>0</v>
      </c>
      <c r="AL474" s="45">
        <v>0</v>
      </c>
      <c r="AM474" s="45">
        <v>0</v>
      </c>
      <c r="AN474" s="45">
        <v>0</v>
      </c>
      <c r="AO474" s="45"/>
      <c r="AP474" s="45"/>
      <c r="AQ474" s="45"/>
      <c r="AR474" s="45"/>
      <c r="AS474" s="45"/>
      <c r="AT474" s="45"/>
      <c r="AU474" s="45"/>
      <c r="AV474" s="45"/>
      <c r="AW474" s="45"/>
      <c r="AX474" s="45"/>
      <c r="AY474" s="45"/>
      <c r="AZ474" s="45"/>
      <c r="BA474" s="45"/>
      <c r="BB474" s="45"/>
      <c r="BC474" s="45"/>
      <c r="BD474" s="93"/>
      <c r="BE474" s="93"/>
      <c r="BF474" s="93"/>
      <c r="BG474" s="93"/>
      <c r="BH474" s="93"/>
      <c r="BI474" s="93"/>
      <c r="BJ474" s="93"/>
      <c r="BK474" s="93">
        <f>SUM($Z474:AD474)-SUM($CM474:CQ474)</f>
        <v>-16</v>
      </c>
      <c r="BL474" s="93">
        <f>SUM($Z474:AE474)-SUM($CM474:CR474)</f>
        <v>-32</v>
      </c>
      <c r="BM474" s="93">
        <f>SUM($Z474:AF474)-SUM($CM474:CS474)</f>
        <v>-48</v>
      </c>
      <c r="BN474" s="93">
        <f>SUM($Z474:AG474)-SUM($CM474:CT474)</f>
        <v>-64</v>
      </c>
      <c r="BO474" s="93">
        <f>SUM($Z474:AH474)-SUM($CM474:CU474)</f>
        <v>-80</v>
      </c>
      <c r="BP474" s="93">
        <f>SUM($Z474:AI474)-SUM($CM474:CV474)</f>
        <v>-96</v>
      </c>
      <c r="BQ474" s="93">
        <f>SUM($Z474:AJ474)-SUM($CM474:CW474)</f>
        <v>-112</v>
      </c>
      <c r="BR474" s="93">
        <f>SUM($Z474:AK474)-SUM($CM474:CX474)</f>
        <v>-128</v>
      </c>
      <c r="BS474" s="93">
        <f>SUM($Z474:AL474)-SUM($CM474:CY474)</f>
        <v>-144</v>
      </c>
      <c r="BT474" s="93">
        <f>SUM($Z474:AM474)-SUM($CM474:CZ474)</f>
        <v>-160</v>
      </c>
      <c r="BU474" s="93">
        <f>SUM($Z474:AN474)-SUM($CM474:DA474)</f>
        <v>-176</v>
      </c>
      <c r="BV474" s="93">
        <f>SUM($Z474:AO474)-SUM($CM474:DB474)</f>
        <v>-192</v>
      </c>
      <c r="BW474" s="93">
        <f>SUM($Z474:AP474)-SUM($CM474:DC474)</f>
        <v>-212</v>
      </c>
      <c r="BX474" s="93">
        <f>SUM($Z474:AQ474)-SUM($CM474:DD474)</f>
        <v>-212</v>
      </c>
      <c r="BY474" s="93">
        <f>SUM($Z474:AR474)-SUM($CM474:DE474)</f>
        <v>-212</v>
      </c>
      <c r="BZ474" s="93">
        <f>SUM($Z474:AS474)-SUM($CM474:DF474)</f>
        <v>-212</v>
      </c>
      <c r="CA474" s="93">
        <f>SUM($Z474:AT474)-SUM($CM474:DG474)</f>
        <v>-212</v>
      </c>
      <c r="CB474" s="93">
        <f>SUM($Z474:AU474)-SUM($CM474:DH474)</f>
        <v>-212</v>
      </c>
      <c r="CC474" s="93">
        <f>SUM($Z474:AV474)-SUM($CM474:DI474)</f>
        <v>-212</v>
      </c>
      <c r="CD474" s="93">
        <f>SUM($Z474:AW474)-SUM($CM474:DJ474)</f>
        <v>-212</v>
      </c>
      <c r="CE474" s="93">
        <f>SUM($Z474:AX474)-SUM($CM474:DK474)</f>
        <v>-212</v>
      </c>
      <c r="CF474" s="93">
        <f>SUM($Z474:AY474)-SUM($CM474:DL474)</f>
        <v>-212</v>
      </c>
      <c r="CG474" s="93">
        <f>SUM($Z474:AZ474)-SUM($CM474:DM474)</f>
        <v>-212</v>
      </c>
      <c r="CH474" s="93">
        <f>SUM($Z474:BA474)-SUM($CM474:DN474)</f>
        <v>-212</v>
      </c>
      <c r="CI474" s="93">
        <f>SUM($Z474:BB474)-SUM($CM474:DO474)</f>
        <v>-212</v>
      </c>
      <c r="CJ474" s="93"/>
      <c r="CK474" s="93"/>
      <c r="CL474" s="93"/>
      <c r="CM474" s="93"/>
      <c r="CN474" s="93" cm="1">
        <f t="array" ref="CN474">SUMPRODUCT(TRANSPOSE(CN$4:CN$20),$G474:$W474)</f>
        <v>0</v>
      </c>
      <c r="CO474" s="93" cm="1">
        <f t="array" ref="CO474">SUMPRODUCT(TRANSPOSE(CO$4:CO$20),$G474:$W474)</f>
        <v>0</v>
      </c>
      <c r="CP474" s="93" cm="1">
        <f t="array" ref="CP474">SUMPRODUCT(TRANSPOSE(CP$4:CP$20),$G474:$W474)</f>
        <v>0</v>
      </c>
      <c r="CQ474" s="93" cm="1">
        <f t="array" ref="CQ474">SUMPRODUCT(TRANSPOSE(CQ$4:CQ$20),$G474:$W474)</f>
        <v>16</v>
      </c>
      <c r="CR474" s="93" cm="1">
        <f t="array" ref="CR474">SUMPRODUCT(TRANSPOSE(CR$4:CR$20),$G474:$W474)</f>
        <v>16</v>
      </c>
      <c r="CS474" s="93" cm="1">
        <f t="array" ref="CS474">SUMPRODUCT(TRANSPOSE(CS$4:CS$20),$G474:$W474)</f>
        <v>16</v>
      </c>
      <c r="CT474" s="93" cm="1">
        <f t="array" ref="CT474">SUMPRODUCT(TRANSPOSE(CT$4:CT$20),$G474:$W474)</f>
        <v>16</v>
      </c>
      <c r="CU474" s="93" cm="1">
        <f t="array" ref="CU474">SUMPRODUCT(TRANSPOSE(CU$4:CU$20),$G474:$W474)</f>
        <v>16</v>
      </c>
      <c r="CV474" s="93" cm="1">
        <f t="array" ref="CV474">SUMPRODUCT(TRANSPOSE(CV$4:CV$20),$G474:$W474)</f>
        <v>16</v>
      </c>
      <c r="CW474" s="93" cm="1">
        <f t="array" ref="CW474">SUMPRODUCT(TRANSPOSE(CW$4:CW$20),$G474:$W474)</f>
        <v>16</v>
      </c>
      <c r="CX474" s="93" cm="1">
        <f t="array" ref="CX474">SUMPRODUCT(TRANSPOSE(CX$4:CX$20),$G474:$W474)</f>
        <v>16</v>
      </c>
      <c r="CY474" s="93" cm="1">
        <f t="array" ref="CY474">SUMPRODUCT(TRANSPOSE(CY$4:CY$20),$G474:$W474)</f>
        <v>16</v>
      </c>
      <c r="CZ474" s="93" cm="1">
        <f t="array" ref="CZ474">SUMPRODUCT(TRANSPOSE(CZ$4:CZ$20),$G474:$W474)</f>
        <v>16</v>
      </c>
      <c r="DA474" s="93" cm="1">
        <f t="array" ref="DA474">SUMPRODUCT(TRANSPOSE(DA$4:DA$20),$G474:$W474)</f>
        <v>16</v>
      </c>
      <c r="DB474" s="93" cm="1">
        <f t="array" ref="DB474">SUMPRODUCT(TRANSPOSE(DB$4:DB$20),$G474:$W474)</f>
        <v>16</v>
      </c>
      <c r="DC474" s="93" cm="1">
        <f t="array" ref="DC474">SUMPRODUCT(TRANSPOSE(DC$4:DC$20),$G474:$W474)</f>
        <v>20</v>
      </c>
      <c r="DD474" s="93" cm="1">
        <f t="array" ref="DD474">SUMPRODUCT(TRANSPOSE(DD$4:DD$20),$G474:$W474)</f>
        <v>0</v>
      </c>
      <c r="DE474" s="93" cm="1">
        <f t="array" ref="DE474">SUMPRODUCT(TRANSPOSE(DE$4:DE$20),$G474:$W474)</f>
        <v>0</v>
      </c>
      <c r="DF474" s="93" cm="1">
        <f t="array" ref="DF474">SUMPRODUCT(TRANSPOSE(DF$4:DF$20),$G474:$W474)</f>
        <v>0</v>
      </c>
      <c r="DG474" s="93" cm="1">
        <f t="array" ref="DG474">SUMPRODUCT(TRANSPOSE(DG$4:DG$20),$G474:$W474)</f>
        <v>0</v>
      </c>
      <c r="DH474" s="93" cm="1">
        <f t="array" ref="DH474">SUMPRODUCT(TRANSPOSE(DH$4:DH$20),$G474:$W474)</f>
        <v>0</v>
      </c>
      <c r="DI474" s="93" cm="1">
        <f t="array" ref="DI474">SUMPRODUCT(TRANSPOSE(DI$4:DI$20),$G474:$W474)</f>
        <v>0</v>
      </c>
      <c r="DJ474" s="93" cm="1">
        <f t="array" ref="DJ474">SUMPRODUCT(TRANSPOSE(DJ$4:DJ$20),$G474:$W474)</f>
        <v>0</v>
      </c>
      <c r="DK474" s="93" cm="1">
        <f t="array" ref="DK474">SUMPRODUCT(TRANSPOSE(DK$4:DK$20),$G474:$W474)</f>
        <v>0</v>
      </c>
      <c r="DL474" s="93" cm="1">
        <f t="array" ref="DL474">SUMPRODUCT(TRANSPOSE(DL$4:DL$20),$G474:$W474)</f>
        <v>0</v>
      </c>
      <c r="DM474" s="93" cm="1">
        <f t="array" ref="DM474">SUMPRODUCT(TRANSPOSE(DM$4:DM$20),$G474:$W474)</f>
        <v>0</v>
      </c>
      <c r="DN474" s="93" cm="1">
        <f t="array" ref="DN474">SUMPRODUCT(TRANSPOSE(DN$4:DN$20),$G474:$W474)</f>
        <v>0</v>
      </c>
      <c r="DO474" s="93" cm="1">
        <f t="array" ref="DO474">SUMPRODUCT(TRANSPOSE(DO$4:DO$20),$G474:$W474)</f>
        <v>0</v>
      </c>
    </row>
    <row r="475" spans="1:119" x14ac:dyDescent="0.2">
      <c r="A475" s="45">
        <f t="shared" si="33"/>
        <v>454</v>
      </c>
      <c r="B475" s="64" t="s">
        <v>985</v>
      </c>
      <c r="C475" s="45">
        <v>400342442</v>
      </c>
      <c r="D475" s="45" t="s">
        <v>986</v>
      </c>
      <c r="E475" s="45" t="s">
        <v>162</v>
      </c>
      <c r="F475" s="48">
        <v>2</v>
      </c>
      <c r="G475" s="100">
        <v>0</v>
      </c>
      <c r="H475" s="100">
        <v>0</v>
      </c>
      <c r="I475" s="100">
        <v>0</v>
      </c>
      <c r="J475" s="100">
        <v>0</v>
      </c>
      <c r="K475" s="100">
        <v>0</v>
      </c>
      <c r="L475" s="100">
        <v>0</v>
      </c>
      <c r="M475" s="100">
        <v>0</v>
      </c>
      <c r="N475" s="100">
        <v>0</v>
      </c>
      <c r="O475" s="100">
        <v>0</v>
      </c>
      <c r="P475" s="100">
        <v>0</v>
      </c>
      <c r="Q475" s="100">
        <v>0</v>
      </c>
      <c r="R475" s="100">
        <v>0</v>
      </c>
      <c r="S475" s="100">
        <v>0</v>
      </c>
      <c r="T475" s="100">
        <v>0</v>
      </c>
      <c r="U475" s="100">
        <v>0</v>
      </c>
      <c r="V475" s="100">
        <v>0</v>
      </c>
      <c r="W475" s="100">
        <v>0</v>
      </c>
      <c r="X475" s="45" t="s">
        <v>13</v>
      </c>
      <c r="Y475" s="49">
        <v>0</v>
      </c>
      <c r="Z475" s="45">
        <v>700</v>
      </c>
      <c r="AA475" s="45">
        <v>0</v>
      </c>
      <c r="AB475" s="45">
        <v>0</v>
      </c>
      <c r="AC475" s="45">
        <v>0</v>
      </c>
      <c r="AD475" s="45">
        <v>0</v>
      </c>
      <c r="AE475" s="45">
        <v>0</v>
      </c>
      <c r="AF475" s="45">
        <v>0</v>
      </c>
      <c r="AG475" s="45">
        <v>0</v>
      </c>
      <c r="AH475" s="45">
        <v>0</v>
      </c>
      <c r="AI475" s="45">
        <v>0</v>
      </c>
      <c r="AJ475" s="45">
        <v>0</v>
      </c>
      <c r="AK475" s="45">
        <v>0</v>
      </c>
      <c r="AL475" s="45">
        <v>0</v>
      </c>
      <c r="AM475" s="45">
        <v>0</v>
      </c>
      <c r="AN475" s="45">
        <v>0</v>
      </c>
      <c r="AO475" s="45"/>
      <c r="AP475" s="45"/>
      <c r="AQ475" s="45"/>
      <c r="AR475" s="45"/>
      <c r="AS475" s="45"/>
      <c r="AT475" s="45"/>
      <c r="AU475" s="45"/>
      <c r="AV475" s="45"/>
      <c r="AW475" s="45"/>
      <c r="AX475" s="45"/>
      <c r="AY475" s="45"/>
      <c r="AZ475" s="45"/>
      <c r="BA475" s="45"/>
      <c r="BB475" s="45"/>
      <c r="BC475" s="45"/>
      <c r="BD475" s="93"/>
      <c r="BE475" s="93"/>
      <c r="BF475" s="93"/>
      <c r="BG475" s="93"/>
      <c r="BH475" s="93"/>
      <c r="BI475" s="93"/>
      <c r="BJ475" s="93"/>
      <c r="BK475" s="93">
        <f>SUM($Z475:AD475)-SUM($CM475:CQ475)</f>
        <v>700</v>
      </c>
      <c r="BL475" s="93">
        <f>SUM($Z475:AE475)-SUM($CM475:CR475)</f>
        <v>700</v>
      </c>
      <c r="BM475" s="93">
        <f>SUM($Z475:AF475)-SUM($CM475:CS475)</f>
        <v>700</v>
      </c>
      <c r="BN475" s="93">
        <f>SUM($Z475:AG475)-SUM($CM475:CT475)</f>
        <v>700</v>
      </c>
      <c r="BO475" s="93">
        <f>SUM($Z475:AH475)-SUM($CM475:CU475)</f>
        <v>700</v>
      </c>
      <c r="BP475" s="93">
        <f>SUM($Z475:AI475)-SUM($CM475:CV475)</f>
        <v>700</v>
      </c>
      <c r="BQ475" s="93">
        <f>SUM($Z475:AJ475)-SUM($CM475:CW475)</f>
        <v>700</v>
      </c>
      <c r="BR475" s="93">
        <f>SUM($Z475:AK475)-SUM($CM475:CX475)</f>
        <v>700</v>
      </c>
      <c r="BS475" s="93">
        <f>SUM($Z475:AL475)-SUM($CM475:CY475)</f>
        <v>700</v>
      </c>
      <c r="BT475" s="93">
        <f>SUM($Z475:AM475)-SUM($CM475:CZ475)</f>
        <v>700</v>
      </c>
      <c r="BU475" s="93">
        <f>SUM($Z475:AN475)-SUM($CM475:DA475)</f>
        <v>700</v>
      </c>
      <c r="BV475" s="93">
        <f>SUM($Z475:AO475)-SUM($CM475:DB475)</f>
        <v>700</v>
      </c>
      <c r="BW475" s="93">
        <f>SUM($Z475:AP475)-SUM($CM475:DC475)</f>
        <v>700</v>
      </c>
      <c r="BX475" s="93">
        <f>SUM($Z475:AQ475)-SUM($CM475:DD475)</f>
        <v>700</v>
      </c>
      <c r="BY475" s="93">
        <f>SUM($Z475:AR475)-SUM($CM475:DE475)</f>
        <v>700</v>
      </c>
      <c r="BZ475" s="93">
        <f>SUM($Z475:AS475)-SUM($CM475:DF475)</f>
        <v>700</v>
      </c>
      <c r="CA475" s="93">
        <f>SUM($Z475:AT475)-SUM($CM475:DG475)</f>
        <v>700</v>
      </c>
      <c r="CB475" s="93">
        <f>SUM($Z475:AU475)-SUM($CM475:DH475)</f>
        <v>700</v>
      </c>
      <c r="CC475" s="93">
        <f>SUM($Z475:AV475)-SUM($CM475:DI475)</f>
        <v>700</v>
      </c>
      <c r="CD475" s="93">
        <f>SUM($Z475:AW475)-SUM($CM475:DJ475)</f>
        <v>700</v>
      </c>
      <c r="CE475" s="93">
        <f>SUM($Z475:AX475)-SUM($CM475:DK475)</f>
        <v>700</v>
      </c>
      <c r="CF475" s="93">
        <f>SUM($Z475:AY475)-SUM($CM475:DL475)</f>
        <v>700</v>
      </c>
      <c r="CG475" s="93">
        <f>SUM($Z475:AZ475)-SUM($CM475:DM475)</f>
        <v>700</v>
      </c>
      <c r="CH475" s="93">
        <f>SUM($Z475:BA475)-SUM($CM475:DN475)</f>
        <v>700</v>
      </c>
      <c r="CI475" s="93">
        <f>SUM($Z475:BB475)-SUM($CM475:DO475)</f>
        <v>700</v>
      </c>
      <c r="CJ475" s="93"/>
      <c r="CK475" s="93"/>
      <c r="CL475" s="93"/>
      <c r="CM475" s="93"/>
      <c r="CN475" s="93" cm="1">
        <f t="array" ref="CN475">SUMPRODUCT(TRANSPOSE(CN$4:CN$20),$G475:$W475)</f>
        <v>0</v>
      </c>
      <c r="CO475" s="93" cm="1">
        <f t="array" ref="CO475">SUMPRODUCT(TRANSPOSE(CO$4:CO$20),$G475:$W475)</f>
        <v>0</v>
      </c>
      <c r="CP475" s="93" cm="1">
        <f t="array" ref="CP475">SUMPRODUCT(TRANSPOSE(CP$4:CP$20),$G475:$W475)</f>
        <v>0</v>
      </c>
      <c r="CQ475" s="93" cm="1">
        <f t="array" ref="CQ475">SUMPRODUCT(TRANSPOSE(CQ$4:CQ$20),$G475:$W475)</f>
        <v>0</v>
      </c>
      <c r="CR475" s="93" cm="1">
        <f t="array" ref="CR475">SUMPRODUCT(TRANSPOSE(CR$4:CR$20),$G475:$W475)</f>
        <v>0</v>
      </c>
      <c r="CS475" s="93" cm="1">
        <f t="array" ref="CS475">SUMPRODUCT(TRANSPOSE(CS$4:CS$20),$G475:$W475)</f>
        <v>0</v>
      </c>
      <c r="CT475" s="93" cm="1">
        <f t="array" ref="CT475">SUMPRODUCT(TRANSPOSE(CT$4:CT$20),$G475:$W475)</f>
        <v>0</v>
      </c>
      <c r="CU475" s="93" cm="1">
        <f t="array" ref="CU475">SUMPRODUCT(TRANSPOSE(CU$4:CU$20),$G475:$W475)</f>
        <v>0</v>
      </c>
      <c r="CV475" s="93" cm="1">
        <f t="array" ref="CV475">SUMPRODUCT(TRANSPOSE(CV$4:CV$20),$G475:$W475)</f>
        <v>0</v>
      </c>
      <c r="CW475" s="93" cm="1">
        <f t="array" ref="CW475">SUMPRODUCT(TRANSPOSE(CW$4:CW$20),$G475:$W475)</f>
        <v>0</v>
      </c>
      <c r="CX475" s="93" cm="1">
        <f t="array" ref="CX475">SUMPRODUCT(TRANSPOSE(CX$4:CX$20),$G475:$W475)</f>
        <v>0</v>
      </c>
      <c r="CY475" s="93" cm="1">
        <f t="array" ref="CY475">SUMPRODUCT(TRANSPOSE(CY$4:CY$20),$G475:$W475)</f>
        <v>0</v>
      </c>
      <c r="CZ475" s="93" cm="1">
        <f t="array" ref="CZ475">SUMPRODUCT(TRANSPOSE(CZ$4:CZ$20),$G475:$W475)</f>
        <v>0</v>
      </c>
      <c r="DA475" s="93" cm="1">
        <f t="array" ref="DA475">SUMPRODUCT(TRANSPOSE(DA$4:DA$20),$G475:$W475)</f>
        <v>0</v>
      </c>
      <c r="DB475" s="93" cm="1">
        <f t="array" ref="DB475">SUMPRODUCT(TRANSPOSE(DB$4:DB$20),$G475:$W475)</f>
        <v>0</v>
      </c>
      <c r="DC475" s="93" cm="1">
        <f t="array" ref="DC475">SUMPRODUCT(TRANSPOSE(DC$4:DC$20),$G475:$W475)</f>
        <v>0</v>
      </c>
      <c r="DD475" s="93" cm="1">
        <f t="array" ref="DD475">SUMPRODUCT(TRANSPOSE(DD$4:DD$20),$G475:$W475)</f>
        <v>0</v>
      </c>
      <c r="DE475" s="93" cm="1">
        <f t="array" ref="DE475">SUMPRODUCT(TRANSPOSE(DE$4:DE$20),$G475:$W475)</f>
        <v>0</v>
      </c>
      <c r="DF475" s="93" cm="1">
        <f t="array" ref="DF475">SUMPRODUCT(TRANSPOSE(DF$4:DF$20),$G475:$W475)</f>
        <v>0</v>
      </c>
      <c r="DG475" s="93" cm="1">
        <f t="array" ref="DG475">SUMPRODUCT(TRANSPOSE(DG$4:DG$20),$G475:$W475)</f>
        <v>0</v>
      </c>
      <c r="DH475" s="93" cm="1">
        <f t="array" ref="DH475">SUMPRODUCT(TRANSPOSE(DH$4:DH$20),$G475:$W475)</f>
        <v>0</v>
      </c>
      <c r="DI475" s="93" cm="1">
        <f t="array" ref="DI475">SUMPRODUCT(TRANSPOSE(DI$4:DI$20),$G475:$W475)</f>
        <v>0</v>
      </c>
      <c r="DJ475" s="93" cm="1">
        <f t="array" ref="DJ475">SUMPRODUCT(TRANSPOSE(DJ$4:DJ$20),$G475:$W475)</f>
        <v>0</v>
      </c>
      <c r="DK475" s="93" cm="1">
        <f t="array" ref="DK475">SUMPRODUCT(TRANSPOSE(DK$4:DK$20),$G475:$W475)</f>
        <v>0</v>
      </c>
      <c r="DL475" s="93" cm="1">
        <f t="array" ref="DL475">SUMPRODUCT(TRANSPOSE(DL$4:DL$20),$G475:$W475)</f>
        <v>0</v>
      </c>
      <c r="DM475" s="93" cm="1">
        <f t="array" ref="DM475">SUMPRODUCT(TRANSPOSE(DM$4:DM$20),$G475:$W475)</f>
        <v>0</v>
      </c>
      <c r="DN475" s="93" cm="1">
        <f t="array" ref="DN475">SUMPRODUCT(TRANSPOSE(DN$4:DN$20),$G475:$W475)</f>
        <v>0</v>
      </c>
      <c r="DO475" s="93" cm="1">
        <f t="array" ref="DO475">SUMPRODUCT(TRANSPOSE(DO$4:DO$20),$G475:$W475)</f>
        <v>0</v>
      </c>
    </row>
    <row r="476" spans="1:119" x14ac:dyDescent="0.2">
      <c r="A476" s="74">
        <f t="shared" si="33"/>
        <v>455</v>
      </c>
      <c r="B476" s="64" t="s">
        <v>987</v>
      </c>
      <c r="C476" s="45">
        <v>401040715</v>
      </c>
      <c r="D476" s="45" t="s">
        <v>988</v>
      </c>
      <c r="E476" s="45" t="s">
        <v>162</v>
      </c>
      <c r="F476" s="48">
        <v>2</v>
      </c>
      <c r="G476" s="100">
        <v>0</v>
      </c>
      <c r="H476" s="100">
        <v>0</v>
      </c>
      <c r="I476" s="100">
        <v>4</v>
      </c>
      <c r="J476" s="100">
        <v>0</v>
      </c>
      <c r="K476" s="100">
        <v>4</v>
      </c>
      <c r="L476" s="100">
        <v>0</v>
      </c>
      <c r="M476" s="100">
        <v>0</v>
      </c>
      <c r="N476" s="100">
        <v>0</v>
      </c>
      <c r="O476" s="100">
        <v>0</v>
      </c>
      <c r="P476" s="100">
        <v>0</v>
      </c>
      <c r="Q476" s="100">
        <v>0</v>
      </c>
      <c r="R476" s="100">
        <v>0</v>
      </c>
      <c r="S476" s="100">
        <v>0</v>
      </c>
      <c r="T476" s="100">
        <v>0</v>
      </c>
      <c r="U476" s="100">
        <v>0</v>
      </c>
      <c r="V476" s="100">
        <v>0</v>
      </c>
      <c r="W476" s="100">
        <v>0</v>
      </c>
      <c r="X476" s="45" t="s">
        <v>79</v>
      </c>
      <c r="Y476" s="53">
        <v>38.080000000000005</v>
      </c>
      <c r="Z476" s="45">
        <v>1174</v>
      </c>
      <c r="AA476" s="45">
        <v>0</v>
      </c>
      <c r="AB476" s="45">
        <v>0</v>
      </c>
      <c r="AC476" s="45">
        <v>0</v>
      </c>
      <c r="AD476" s="45">
        <v>0</v>
      </c>
      <c r="AE476" s="45">
        <v>0</v>
      </c>
      <c r="AF476" s="45">
        <v>0</v>
      </c>
      <c r="AG476" s="45">
        <v>0</v>
      </c>
      <c r="AH476" s="45">
        <v>0</v>
      </c>
      <c r="AI476" s="45">
        <v>0</v>
      </c>
      <c r="AJ476" s="45">
        <v>0</v>
      </c>
      <c r="AK476" s="45">
        <v>0</v>
      </c>
      <c r="AL476" s="45">
        <v>0</v>
      </c>
      <c r="AM476" s="45">
        <v>0</v>
      </c>
      <c r="AN476" s="45">
        <v>0</v>
      </c>
      <c r="AO476" s="45"/>
      <c r="AP476" s="45"/>
      <c r="AQ476" s="45"/>
      <c r="AR476" s="45"/>
      <c r="AS476" s="45"/>
      <c r="AT476" s="45"/>
      <c r="AU476" s="45"/>
      <c r="AV476" s="45"/>
      <c r="AW476" s="45"/>
      <c r="AX476" s="45"/>
      <c r="AY476" s="45"/>
      <c r="AZ476" s="45"/>
      <c r="BA476" s="45"/>
      <c r="BB476" s="45"/>
      <c r="BC476" s="45"/>
      <c r="BD476" s="93"/>
      <c r="BE476" s="93"/>
      <c r="BF476" s="93"/>
      <c r="BG476" s="93"/>
      <c r="BH476" s="93"/>
      <c r="BI476" s="93"/>
      <c r="BJ476" s="93"/>
      <c r="BK476" s="93">
        <f>SUM($Z476:AD476)-SUM($CM476:CQ476)</f>
        <v>1110</v>
      </c>
      <c r="BL476" s="93">
        <f>SUM($Z476:AE476)-SUM($CM476:CR476)</f>
        <v>1046</v>
      </c>
      <c r="BM476" s="93">
        <f>SUM($Z476:AF476)-SUM($CM476:CS476)</f>
        <v>982</v>
      </c>
      <c r="BN476" s="93">
        <f>SUM($Z476:AG476)-SUM($CM476:CT476)</f>
        <v>918</v>
      </c>
      <c r="BO476" s="93">
        <f>SUM($Z476:AH476)-SUM($CM476:CU476)</f>
        <v>854</v>
      </c>
      <c r="BP476" s="93">
        <f>SUM($Z476:AI476)-SUM($CM476:CV476)</f>
        <v>790</v>
      </c>
      <c r="BQ476" s="93">
        <f>SUM($Z476:AJ476)-SUM($CM476:CW476)</f>
        <v>726</v>
      </c>
      <c r="BR476" s="93">
        <f>SUM($Z476:AK476)-SUM($CM476:CX476)</f>
        <v>662</v>
      </c>
      <c r="BS476" s="93">
        <f>SUM($Z476:AL476)-SUM($CM476:CY476)</f>
        <v>598</v>
      </c>
      <c r="BT476" s="93">
        <f>SUM($Z476:AM476)-SUM($CM476:CZ476)</f>
        <v>534</v>
      </c>
      <c r="BU476" s="93">
        <f>SUM($Z476:AN476)-SUM($CM476:DA476)</f>
        <v>470</v>
      </c>
      <c r="BV476" s="93">
        <f>SUM($Z476:AO476)-SUM($CM476:DB476)</f>
        <v>406</v>
      </c>
      <c r="BW476" s="93">
        <f>SUM($Z476:AP476)-SUM($CM476:DC476)</f>
        <v>358</v>
      </c>
      <c r="BX476" s="93">
        <f>SUM($Z476:AQ476)-SUM($CM476:DD476)</f>
        <v>358</v>
      </c>
      <c r="BY476" s="93">
        <f>SUM($Z476:AR476)-SUM($CM476:DE476)</f>
        <v>358</v>
      </c>
      <c r="BZ476" s="93">
        <f>SUM($Z476:AS476)-SUM($CM476:DF476)</f>
        <v>358</v>
      </c>
      <c r="CA476" s="93">
        <f>SUM($Z476:AT476)-SUM($CM476:DG476)</f>
        <v>358</v>
      </c>
      <c r="CB476" s="93">
        <f>SUM($Z476:AU476)-SUM($CM476:DH476)</f>
        <v>358</v>
      </c>
      <c r="CC476" s="93">
        <f>SUM($Z476:AV476)-SUM($CM476:DI476)</f>
        <v>358</v>
      </c>
      <c r="CD476" s="93">
        <f>SUM($Z476:AW476)-SUM($CM476:DJ476)</f>
        <v>358</v>
      </c>
      <c r="CE476" s="93">
        <f>SUM($Z476:AX476)-SUM($CM476:DK476)</f>
        <v>358</v>
      </c>
      <c r="CF476" s="93">
        <f>SUM($Z476:AY476)-SUM($CM476:DL476)</f>
        <v>358</v>
      </c>
      <c r="CG476" s="93">
        <f>SUM($Z476:AZ476)-SUM($CM476:DM476)</f>
        <v>358</v>
      </c>
      <c r="CH476" s="93">
        <f>SUM($Z476:BA476)-SUM($CM476:DN476)</f>
        <v>358</v>
      </c>
      <c r="CI476" s="93">
        <f>SUM($Z476:BB476)-SUM($CM476:DO476)</f>
        <v>358</v>
      </c>
      <c r="CJ476" s="93"/>
      <c r="CK476" s="93"/>
      <c r="CL476" s="93"/>
      <c r="CM476" s="93"/>
      <c r="CN476" s="93" cm="1">
        <f t="array" ref="CN476">SUMPRODUCT(TRANSPOSE(CN$4:CN$20),$G476:$W476)</f>
        <v>0</v>
      </c>
      <c r="CO476" s="93" cm="1">
        <f t="array" ref="CO476">SUMPRODUCT(TRANSPOSE(CO$4:CO$20),$G476:$W476)</f>
        <v>0</v>
      </c>
      <c r="CP476" s="93" cm="1">
        <f t="array" ref="CP476">SUMPRODUCT(TRANSPOSE(CP$4:CP$20),$G476:$W476)</f>
        <v>0</v>
      </c>
      <c r="CQ476" s="93" cm="1">
        <f t="array" ref="CQ476">SUMPRODUCT(TRANSPOSE(CQ$4:CQ$20),$G476:$W476)</f>
        <v>64</v>
      </c>
      <c r="CR476" s="93" cm="1">
        <f t="array" ref="CR476">SUMPRODUCT(TRANSPOSE(CR$4:CR$20),$G476:$W476)</f>
        <v>64</v>
      </c>
      <c r="CS476" s="93" cm="1">
        <f t="array" ref="CS476">SUMPRODUCT(TRANSPOSE(CS$4:CS$20),$G476:$W476)</f>
        <v>64</v>
      </c>
      <c r="CT476" s="93" cm="1">
        <f t="array" ref="CT476">SUMPRODUCT(TRANSPOSE(CT$4:CT$20),$G476:$W476)</f>
        <v>64</v>
      </c>
      <c r="CU476" s="93" cm="1">
        <f t="array" ref="CU476">SUMPRODUCT(TRANSPOSE(CU$4:CU$20),$G476:$W476)</f>
        <v>64</v>
      </c>
      <c r="CV476" s="93" cm="1">
        <f t="array" ref="CV476">SUMPRODUCT(TRANSPOSE(CV$4:CV$20),$G476:$W476)</f>
        <v>64</v>
      </c>
      <c r="CW476" s="93" cm="1">
        <f t="array" ref="CW476">SUMPRODUCT(TRANSPOSE(CW$4:CW$20),$G476:$W476)</f>
        <v>64</v>
      </c>
      <c r="CX476" s="93" cm="1">
        <f t="array" ref="CX476">SUMPRODUCT(TRANSPOSE(CX$4:CX$20),$G476:$W476)</f>
        <v>64</v>
      </c>
      <c r="CY476" s="93" cm="1">
        <f t="array" ref="CY476">SUMPRODUCT(TRANSPOSE(CY$4:CY$20),$G476:$W476)</f>
        <v>64</v>
      </c>
      <c r="CZ476" s="93" cm="1">
        <f t="array" ref="CZ476">SUMPRODUCT(TRANSPOSE(CZ$4:CZ$20),$G476:$W476)</f>
        <v>64</v>
      </c>
      <c r="DA476" s="93" cm="1">
        <f t="array" ref="DA476">SUMPRODUCT(TRANSPOSE(DA$4:DA$20),$G476:$W476)</f>
        <v>64</v>
      </c>
      <c r="DB476" s="93" cm="1">
        <f t="array" ref="DB476">SUMPRODUCT(TRANSPOSE(DB$4:DB$20),$G476:$W476)</f>
        <v>64</v>
      </c>
      <c r="DC476" s="93" cm="1">
        <f t="array" ref="DC476">SUMPRODUCT(TRANSPOSE(DC$4:DC$20),$G476:$W476)</f>
        <v>48</v>
      </c>
      <c r="DD476" s="93" cm="1">
        <f t="array" ref="DD476">SUMPRODUCT(TRANSPOSE(DD$4:DD$20),$G476:$W476)</f>
        <v>0</v>
      </c>
      <c r="DE476" s="93" cm="1">
        <f t="array" ref="DE476">SUMPRODUCT(TRANSPOSE(DE$4:DE$20),$G476:$W476)</f>
        <v>0</v>
      </c>
      <c r="DF476" s="93" cm="1">
        <f t="array" ref="DF476">SUMPRODUCT(TRANSPOSE(DF$4:DF$20),$G476:$W476)</f>
        <v>0</v>
      </c>
      <c r="DG476" s="93" cm="1">
        <f t="array" ref="DG476">SUMPRODUCT(TRANSPOSE(DG$4:DG$20),$G476:$W476)</f>
        <v>0</v>
      </c>
      <c r="DH476" s="93" cm="1">
        <f t="array" ref="DH476">SUMPRODUCT(TRANSPOSE(DH$4:DH$20),$G476:$W476)</f>
        <v>0</v>
      </c>
      <c r="DI476" s="93" cm="1">
        <f t="array" ref="DI476">SUMPRODUCT(TRANSPOSE(DI$4:DI$20),$G476:$W476)</f>
        <v>0</v>
      </c>
      <c r="DJ476" s="93" cm="1">
        <f t="array" ref="DJ476">SUMPRODUCT(TRANSPOSE(DJ$4:DJ$20),$G476:$W476)</f>
        <v>0</v>
      </c>
      <c r="DK476" s="93" cm="1">
        <f t="array" ref="DK476">SUMPRODUCT(TRANSPOSE(DK$4:DK$20),$G476:$W476)</f>
        <v>0</v>
      </c>
      <c r="DL476" s="93" cm="1">
        <f t="array" ref="DL476">SUMPRODUCT(TRANSPOSE(DL$4:DL$20),$G476:$W476)</f>
        <v>0</v>
      </c>
      <c r="DM476" s="93" cm="1">
        <f t="array" ref="DM476">SUMPRODUCT(TRANSPOSE(DM$4:DM$20),$G476:$W476)</f>
        <v>0</v>
      </c>
      <c r="DN476" s="93" cm="1">
        <f t="array" ref="DN476">SUMPRODUCT(TRANSPOSE(DN$4:DN$20),$G476:$W476)</f>
        <v>0</v>
      </c>
      <c r="DO476" s="93" cm="1">
        <f t="array" ref="DO476">SUMPRODUCT(TRANSPOSE(DO$4:DO$20),$G476:$W476)</f>
        <v>0</v>
      </c>
    </row>
    <row r="477" spans="1:119" s="29" customFormat="1" ht="48.6" customHeight="1" x14ac:dyDescent="0.2">
      <c r="A477" s="59">
        <f t="shared" si="33"/>
        <v>456</v>
      </c>
      <c r="B477" s="78" t="s">
        <v>1105</v>
      </c>
      <c r="C477" s="79" t="s">
        <v>1106</v>
      </c>
      <c r="D477" s="59" t="s">
        <v>988</v>
      </c>
      <c r="E477" s="59" t="s">
        <v>162</v>
      </c>
      <c r="F477" s="80">
        <v>2</v>
      </c>
      <c r="G477" s="100">
        <v>0</v>
      </c>
      <c r="H477" s="100">
        <v>0</v>
      </c>
      <c r="I477" s="100">
        <v>33</v>
      </c>
      <c r="J477" s="100">
        <v>0</v>
      </c>
      <c r="K477" s="100">
        <v>32</v>
      </c>
      <c r="L477" s="100">
        <v>0</v>
      </c>
      <c r="M477" s="100">
        <v>0</v>
      </c>
      <c r="N477" s="100">
        <v>0</v>
      </c>
      <c r="O477" s="100">
        <v>0</v>
      </c>
      <c r="P477" s="100">
        <v>0</v>
      </c>
      <c r="Q477" s="100">
        <v>0</v>
      </c>
      <c r="R477" s="100">
        <v>0</v>
      </c>
      <c r="S477" s="100">
        <v>0</v>
      </c>
      <c r="T477" s="100">
        <v>0</v>
      </c>
      <c r="U477" s="100">
        <v>0</v>
      </c>
      <c r="V477" s="100">
        <v>0</v>
      </c>
      <c r="W477" s="100">
        <v>0</v>
      </c>
      <c r="X477" s="59" t="s">
        <v>34</v>
      </c>
      <c r="Y477" s="81">
        <v>9.52</v>
      </c>
      <c r="Z477" s="45">
        <v>8450</v>
      </c>
      <c r="AA477" s="45">
        <v>0</v>
      </c>
      <c r="AB477" s="45">
        <v>0</v>
      </c>
      <c r="AC477" s="45">
        <v>0</v>
      </c>
      <c r="AD477" s="45">
        <v>0</v>
      </c>
      <c r="AE477" s="45">
        <v>0</v>
      </c>
      <c r="AF477" s="45">
        <v>0</v>
      </c>
      <c r="AG477" s="45">
        <v>0</v>
      </c>
      <c r="AH477" s="45">
        <v>0</v>
      </c>
      <c r="AI477" s="45">
        <v>0</v>
      </c>
      <c r="AJ477" s="45">
        <v>0</v>
      </c>
      <c r="AK477" s="45">
        <v>0</v>
      </c>
      <c r="AL477" s="45">
        <v>0</v>
      </c>
      <c r="AM477" s="45">
        <v>0</v>
      </c>
      <c r="AN477" s="45">
        <v>0</v>
      </c>
      <c r="AO477" s="45"/>
      <c r="AP477" s="45"/>
      <c r="AQ477" s="45"/>
      <c r="AR477" s="45"/>
      <c r="AS477" s="45"/>
      <c r="AT477" s="45"/>
      <c r="AU477" s="45"/>
      <c r="AV477" s="45"/>
      <c r="AW477" s="45"/>
      <c r="AX477" s="45"/>
      <c r="AY477" s="45"/>
      <c r="AZ477" s="45"/>
      <c r="BA477" s="45"/>
      <c r="BB477" s="45"/>
      <c r="BC477" s="45"/>
      <c r="BD477" s="93"/>
      <c r="BE477" s="93"/>
      <c r="BF477" s="93"/>
      <c r="BG477" s="93"/>
      <c r="BH477" s="93"/>
      <c r="BI477" s="93"/>
      <c r="BJ477" s="93"/>
      <c r="BK477" s="93">
        <f>SUM($Z477:AD477)-SUM($CM477:CQ477)</f>
        <v>7930</v>
      </c>
      <c r="BL477" s="93">
        <f>SUM($Z477:AE477)-SUM($CM477:CR477)</f>
        <v>7410</v>
      </c>
      <c r="BM477" s="93">
        <f>SUM($Z477:AF477)-SUM($CM477:CS477)</f>
        <v>6890</v>
      </c>
      <c r="BN477" s="93">
        <f>SUM($Z477:AG477)-SUM($CM477:CT477)</f>
        <v>6370</v>
      </c>
      <c r="BO477" s="93">
        <f>SUM($Z477:AH477)-SUM($CM477:CU477)</f>
        <v>5850</v>
      </c>
      <c r="BP477" s="93">
        <f>SUM($Z477:AI477)-SUM($CM477:CV477)</f>
        <v>5330</v>
      </c>
      <c r="BQ477" s="93">
        <f>SUM($Z477:AJ477)-SUM($CM477:CW477)</f>
        <v>4810</v>
      </c>
      <c r="BR477" s="93">
        <f>SUM($Z477:AK477)-SUM($CM477:CX477)</f>
        <v>4290</v>
      </c>
      <c r="BS477" s="93">
        <f>SUM($Z477:AL477)-SUM($CM477:CY477)</f>
        <v>3770</v>
      </c>
      <c r="BT477" s="93">
        <f>SUM($Z477:AM477)-SUM($CM477:CZ477)</f>
        <v>3250</v>
      </c>
      <c r="BU477" s="93">
        <f>SUM($Z477:AN477)-SUM($CM477:DA477)</f>
        <v>2730</v>
      </c>
      <c r="BV477" s="93">
        <f>SUM($Z477:AO477)-SUM($CM477:DB477)</f>
        <v>2210</v>
      </c>
      <c r="BW477" s="93">
        <f>SUM($Z477:AP477)-SUM($CM477:DC477)</f>
        <v>1820</v>
      </c>
      <c r="BX477" s="93">
        <f>SUM($Z477:AQ477)-SUM($CM477:DD477)</f>
        <v>1820</v>
      </c>
      <c r="BY477" s="93">
        <f>SUM($Z477:AR477)-SUM($CM477:DE477)</f>
        <v>1820</v>
      </c>
      <c r="BZ477" s="93">
        <f>SUM($Z477:AS477)-SUM($CM477:DF477)</f>
        <v>1820</v>
      </c>
      <c r="CA477" s="93">
        <f>SUM($Z477:AT477)-SUM($CM477:DG477)</f>
        <v>1820</v>
      </c>
      <c r="CB477" s="93">
        <f>SUM($Z477:AU477)-SUM($CM477:DH477)</f>
        <v>1820</v>
      </c>
      <c r="CC477" s="93">
        <f>SUM($Z477:AV477)-SUM($CM477:DI477)</f>
        <v>1820</v>
      </c>
      <c r="CD477" s="93">
        <f>SUM($Z477:AW477)-SUM($CM477:DJ477)</f>
        <v>1820</v>
      </c>
      <c r="CE477" s="93">
        <f>SUM($Z477:AX477)-SUM($CM477:DK477)</f>
        <v>1820</v>
      </c>
      <c r="CF477" s="93">
        <f>SUM($Z477:AY477)-SUM($CM477:DL477)</f>
        <v>1820</v>
      </c>
      <c r="CG477" s="93">
        <f>SUM($Z477:AZ477)-SUM($CM477:DM477)</f>
        <v>1820</v>
      </c>
      <c r="CH477" s="93">
        <f>SUM($Z477:BA477)-SUM($CM477:DN477)</f>
        <v>1820</v>
      </c>
      <c r="CI477" s="93">
        <f>SUM($Z477:BB477)-SUM($CM477:DO477)</f>
        <v>1820</v>
      </c>
      <c r="CJ477" s="93"/>
      <c r="CK477" s="93"/>
      <c r="CL477" s="93"/>
      <c r="CM477" s="93"/>
      <c r="CN477" s="93" cm="1">
        <f t="array" ref="CN477">SUMPRODUCT(TRANSPOSE(CN$4:CN$20),$G477:$W477)</f>
        <v>0</v>
      </c>
      <c r="CO477" s="93" cm="1">
        <f t="array" ref="CO477">SUMPRODUCT(TRANSPOSE(CO$4:CO$20),$G477:$W477)</f>
        <v>0</v>
      </c>
      <c r="CP477" s="93" cm="1">
        <f t="array" ref="CP477">SUMPRODUCT(TRANSPOSE(CP$4:CP$20),$G477:$W477)</f>
        <v>0</v>
      </c>
      <c r="CQ477" s="93" cm="1">
        <f t="array" ref="CQ477">SUMPRODUCT(TRANSPOSE(CQ$4:CQ$20),$G477:$W477)</f>
        <v>520</v>
      </c>
      <c r="CR477" s="93" cm="1">
        <f t="array" ref="CR477">SUMPRODUCT(TRANSPOSE(CR$4:CR$20),$G477:$W477)</f>
        <v>520</v>
      </c>
      <c r="CS477" s="93" cm="1">
        <f t="array" ref="CS477">SUMPRODUCT(TRANSPOSE(CS$4:CS$20),$G477:$W477)</f>
        <v>520</v>
      </c>
      <c r="CT477" s="93" cm="1">
        <f t="array" ref="CT477">SUMPRODUCT(TRANSPOSE(CT$4:CT$20),$G477:$W477)</f>
        <v>520</v>
      </c>
      <c r="CU477" s="93" cm="1">
        <f t="array" ref="CU477">SUMPRODUCT(TRANSPOSE(CU$4:CU$20),$G477:$W477)</f>
        <v>520</v>
      </c>
      <c r="CV477" s="93" cm="1">
        <f t="array" ref="CV477">SUMPRODUCT(TRANSPOSE(CV$4:CV$20),$G477:$W477)</f>
        <v>520</v>
      </c>
      <c r="CW477" s="93" cm="1">
        <f t="array" ref="CW477">SUMPRODUCT(TRANSPOSE(CW$4:CW$20),$G477:$W477)</f>
        <v>520</v>
      </c>
      <c r="CX477" s="93" cm="1">
        <f t="array" ref="CX477">SUMPRODUCT(TRANSPOSE(CX$4:CX$20),$G477:$W477)</f>
        <v>520</v>
      </c>
      <c r="CY477" s="93" cm="1">
        <f t="array" ref="CY477">SUMPRODUCT(TRANSPOSE(CY$4:CY$20),$G477:$W477)</f>
        <v>520</v>
      </c>
      <c r="CZ477" s="93" cm="1">
        <f t="array" ref="CZ477">SUMPRODUCT(TRANSPOSE(CZ$4:CZ$20),$G477:$W477)</f>
        <v>520</v>
      </c>
      <c r="DA477" s="93" cm="1">
        <f t="array" ref="DA477">SUMPRODUCT(TRANSPOSE(DA$4:DA$20),$G477:$W477)</f>
        <v>520</v>
      </c>
      <c r="DB477" s="93" cm="1">
        <f t="array" ref="DB477">SUMPRODUCT(TRANSPOSE(DB$4:DB$20),$G477:$W477)</f>
        <v>520</v>
      </c>
      <c r="DC477" s="93" cm="1">
        <f t="array" ref="DC477">SUMPRODUCT(TRANSPOSE(DC$4:DC$20),$G477:$W477)</f>
        <v>390</v>
      </c>
      <c r="DD477" s="93" cm="1">
        <f t="array" ref="DD477">SUMPRODUCT(TRANSPOSE(DD$4:DD$20),$G477:$W477)</f>
        <v>0</v>
      </c>
      <c r="DE477" s="93" cm="1">
        <f t="array" ref="DE477">SUMPRODUCT(TRANSPOSE(DE$4:DE$20),$G477:$W477)</f>
        <v>0</v>
      </c>
      <c r="DF477" s="93" cm="1">
        <f t="array" ref="DF477">SUMPRODUCT(TRANSPOSE(DF$4:DF$20),$G477:$W477)</f>
        <v>0</v>
      </c>
      <c r="DG477" s="93" cm="1">
        <f t="array" ref="DG477">SUMPRODUCT(TRANSPOSE(DG$4:DG$20),$G477:$W477)</f>
        <v>0</v>
      </c>
      <c r="DH477" s="93" cm="1">
        <f t="array" ref="DH477">SUMPRODUCT(TRANSPOSE(DH$4:DH$20),$G477:$W477)</f>
        <v>0</v>
      </c>
      <c r="DI477" s="93" cm="1">
        <f t="array" ref="DI477">SUMPRODUCT(TRANSPOSE(DI$4:DI$20),$G477:$W477)</f>
        <v>0</v>
      </c>
      <c r="DJ477" s="93" cm="1">
        <f t="array" ref="DJ477">SUMPRODUCT(TRANSPOSE(DJ$4:DJ$20),$G477:$W477)</f>
        <v>0</v>
      </c>
      <c r="DK477" s="93" cm="1">
        <f t="array" ref="DK477">SUMPRODUCT(TRANSPOSE(DK$4:DK$20),$G477:$W477)</f>
        <v>0</v>
      </c>
      <c r="DL477" s="93" cm="1">
        <f t="array" ref="DL477">SUMPRODUCT(TRANSPOSE(DL$4:DL$20),$G477:$W477)</f>
        <v>0</v>
      </c>
      <c r="DM477" s="93" cm="1">
        <f t="array" ref="DM477">SUMPRODUCT(TRANSPOSE(DM$4:DM$20),$G477:$W477)</f>
        <v>0</v>
      </c>
      <c r="DN477" s="93" cm="1">
        <f t="array" ref="DN477">SUMPRODUCT(TRANSPOSE(DN$4:DN$20),$G477:$W477)</f>
        <v>0</v>
      </c>
      <c r="DO477" s="93" cm="1">
        <f t="array" ref="DO477">SUMPRODUCT(TRANSPOSE(DO$4:DO$20),$G477:$W477)</f>
        <v>0</v>
      </c>
    </row>
    <row r="478" spans="1:119" x14ac:dyDescent="0.2">
      <c r="A478" s="74">
        <f t="shared" si="33"/>
        <v>457</v>
      </c>
      <c r="B478" s="64" t="s">
        <v>989</v>
      </c>
      <c r="C478" s="45">
        <v>403174799</v>
      </c>
      <c r="D478" s="45" t="s">
        <v>990</v>
      </c>
      <c r="E478" s="45" t="s">
        <v>162</v>
      </c>
      <c r="F478" s="48">
        <v>2</v>
      </c>
      <c r="G478" s="100">
        <v>0</v>
      </c>
      <c r="H478" s="100">
        <v>0</v>
      </c>
      <c r="I478" s="100">
        <v>1</v>
      </c>
      <c r="J478" s="100">
        <v>0</v>
      </c>
      <c r="K478" s="100">
        <v>2</v>
      </c>
      <c r="L478" s="100">
        <v>0</v>
      </c>
      <c r="M478" s="100">
        <v>0</v>
      </c>
      <c r="N478" s="100">
        <v>0</v>
      </c>
      <c r="O478" s="100">
        <v>0</v>
      </c>
      <c r="P478" s="100">
        <v>0</v>
      </c>
      <c r="Q478" s="100">
        <v>0</v>
      </c>
      <c r="R478" s="100">
        <v>0</v>
      </c>
      <c r="S478" s="100">
        <v>0</v>
      </c>
      <c r="T478" s="100">
        <v>0</v>
      </c>
      <c r="U478" s="100">
        <v>0</v>
      </c>
      <c r="V478" s="100">
        <v>0</v>
      </c>
      <c r="W478" s="100">
        <v>0</v>
      </c>
      <c r="X478" s="45" t="s">
        <v>8</v>
      </c>
      <c r="Y478" s="53">
        <v>0</v>
      </c>
      <c r="Z478" s="45">
        <v>200</v>
      </c>
      <c r="AA478" s="45">
        <v>0</v>
      </c>
      <c r="AB478" s="45">
        <v>0</v>
      </c>
      <c r="AC478" s="45">
        <v>0</v>
      </c>
      <c r="AD478" s="45">
        <v>0</v>
      </c>
      <c r="AE478" s="45">
        <v>0</v>
      </c>
      <c r="AF478" s="45">
        <v>0</v>
      </c>
      <c r="AG478" s="45">
        <v>0</v>
      </c>
      <c r="AH478" s="45">
        <v>0</v>
      </c>
      <c r="AI478" s="45">
        <v>0</v>
      </c>
      <c r="AJ478" s="45">
        <v>0</v>
      </c>
      <c r="AK478" s="45">
        <v>0</v>
      </c>
      <c r="AL478" s="45">
        <v>0</v>
      </c>
      <c r="AM478" s="45">
        <v>0</v>
      </c>
      <c r="AN478" s="45">
        <v>0</v>
      </c>
      <c r="AO478" s="45"/>
      <c r="AP478" s="45"/>
      <c r="AQ478" s="45"/>
      <c r="AR478" s="45"/>
      <c r="AS478" s="45"/>
      <c r="AT478" s="45"/>
      <c r="AU478" s="45"/>
      <c r="AV478" s="45"/>
      <c r="AW478" s="45"/>
      <c r="AX478" s="45"/>
      <c r="AY478" s="45"/>
      <c r="AZ478" s="45"/>
      <c r="BA478" s="45"/>
      <c r="BB478" s="45"/>
      <c r="BC478" s="45"/>
      <c r="BD478" s="93"/>
      <c r="BE478" s="93"/>
      <c r="BF478" s="93"/>
      <c r="BG478" s="93"/>
      <c r="BH478" s="93"/>
      <c r="BI478" s="93"/>
      <c r="BJ478" s="93"/>
      <c r="BK478" s="93">
        <f>SUM($Z478:AD478)-SUM($CM478:CQ478)</f>
        <v>176</v>
      </c>
      <c r="BL478" s="93">
        <f>SUM($Z478:AE478)-SUM($CM478:CR478)</f>
        <v>152</v>
      </c>
      <c r="BM478" s="93">
        <f>SUM($Z478:AF478)-SUM($CM478:CS478)</f>
        <v>128</v>
      </c>
      <c r="BN478" s="93">
        <f>SUM($Z478:AG478)-SUM($CM478:CT478)</f>
        <v>104</v>
      </c>
      <c r="BO478" s="93">
        <f>SUM($Z478:AH478)-SUM($CM478:CU478)</f>
        <v>80</v>
      </c>
      <c r="BP478" s="93">
        <f>SUM($Z478:AI478)-SUM($CM478:CV478)</f>
        <v>56</v>
      </c>
      <c r="BQ478" s="93">
        <f>SUM($Z478:AJ478)-SUM($CM478:CW478)</f>
        <v>32</v>
      </c>
      <c r="BR478" s="93">
        <f>SUM($Z478:AK478)-SUM($CM478:CX478)</f>
        <v>8</v>
      </c>
      <c r="BS478" s="93">
        <f>SUM($Z478:AL478)-SUM($CM478:CY478)</f>
        <v>-16</v>
      </c>
      <c r="BT478" s="93">
        <f>SUM($Z478:AM478)-SUM($CM478:CZ478)</f>
        <v>-40</v>
      </c>
      <c r="BU478" s="93">
        <f>SUM($Z478:AN478)-SUM($CM478:DA478)</f>
        <v>-64</v>
      </c>
      <c r="BV478" s="93">
        <f>SUM($Z478:AO478)-SUM($CM478:DB478)</f>
        <v>-88</v>
      </c>
      <c r="BW478" s="93">
        <f>SUM($Z478:AP478)-SUM($CM478:DC478)</f>
        <v>-106</v>
      </c>
      <c r="BX478" s="93">
        <f>SUM($Z478:AQ478)-SUM($CM478:DD478)</f>
        <v>-106</v>
      </c>
      <c r="BY478" s="93">
        <f>SUM($Z478:AR478)-SUM($CM478:DE478)</f>
        <v>-106</v>
      </c>
      <c r="BZ478" s="93">
        <f>SUM($Z478:AS478)-SUM($CM478:DF478)</f>
        <v>-106</v>
      </c>
      <c r="CA478" s="93">
        <f>SUM($Z478:AT478)-SUM($CM478:DG478)</f>
        <v>-106</v>
      </c>
      <c r="CB478" s="93">
        <f>SUM($Z478:AU478)-SUM($CM478:DH478)</f>
        <v>-106</v>
      </c>
      <c r="CC478" s="93">
        <f>SUM($Z478:AV478)-SUM($CM478:DI478)</f>
        <v>-106</v>
      </c>
      <c r="CD478" s="93">
        <f>SUM($Z478:AW478)-SUM($CM478:DJ478)</f>
        <v>-106</v>
      </c>
      <c r="CE478" s="93">
        <f>SUM($Z478:AX478)-SUM($CM478:DK478)</f>
        <v>-106</v>
      </c>
      <c r="CF478" s="93">
        <f>SUM($Z478:AY478)-SUM($CM478:DL478)</f>
        <v>-106</v>
      </c>
      <c r="CG478" s="93">
        <f>SUM($Z478:AZ478)-SUM($CM478:DM478)</f>
        <v>-106</v>
      </c>
      <c r="CH478" s="93">
        <f>SUM($Z478:BA478)-SUM($CM478:DN478)</f>
        <v>-106</v>
      </c>
      <c r="CI478" s="93">
        <f>SUM($Z478:BB478)-SUM($CM478:DO478)</f>
        <v>-106</v>
      </c>
      <c r="CJ478" s="93"/>
      <c r="CK478" s="93"/>
      <c r="CL478" s="93"/>
      <c r="CM478" s="93"/>
      <c r="CN478" s="93" cm="1">
        <f t="array" ref="CN478">SUMPRODUCT(TRANSPOSE(CN$4:CN$20),$G478:$W478)</f>
        <v>0</v>
      </c>
      <c r="CO478" s="93" cm="1">
        <f t="array" ref="CO478">SUMPRODUCT(TRANSPOSE(CO$4:CO$20),$G478:$W478)</f>
        <v>0</v>
      </c>
      <c r="CP478" s="93" cm="1">
        <f t="array" ref="CP478">SUMPRODUCT(TRANSPOSE(CP$4:CP$20),$G478:$W478)</f>
        <v>0</v>
      </c>
      <c r="CQ478" s="93" cm="1">
        <f t="array" ref="CQ478">SUMPRODUCT(TRANSPOSE(CQ$4:CQ$20),$G478:$W478)</f>
        <v>24</v>
      </c>
      <c r="CR478" s="93" cm="1">
        <f t="array" ref="CR478">SUMPRODUCT(TRANSPOSE(CR$4:CR$20),$G478:$W478)</f>
        <v>24</v>
      </c>
      <c r="CS478" s="93" cm="1">
        <f t="array" ref="CS478">SUMPRODUCT(TRANSPOSE(CS$4:CS$20),$G478:$W478)</f>
        <v>24</v>
      </c>
      <c r="CT478" s="93" cm="1">
        <f t="array" ref="CT478">SUMPRODUCT(TRANSPOSE(CT$4:CT$20),$G478:$W478)</f>
        <v>24</v>
      </c>
      <c r="CU478" s="93" cm="1">
        <f t="array" ref="CU478">SUMPRODUCT(TRANSPOSE(CU$4:CU$20),$G478:$W478)</f>
        <v>24</v>
      </c>
      <c r="CV478" s="93" cm="1">
        <f t="array" ref="CV478">SUMPRODUCT(TRANSPOSE(CV$4:CV$20),$G478:$W478)</f>
        <v>24</v>
      </c>
      <c r="CW478" s="93" cm="1">
        <f t="array" ref="CW478">SUMPRODUCT(TRANSPOSE(CW$4:CW$20),$G478:$W478)</f>
        <v>24</v>
      </c>
      <c r="CX478" s="93" cm="1">
        <f t="array" ref="CX478">SUMPRODUCT(TRANSPOSE(CX$4:CX$20),$G478:$W478)</f>
        <v>24</v>
      </c>
      <c r="CY478" s="93" cm="1">
        <f t="array" ref="CY478">SUMPRODUCT(TRANSPOSE(CY$4:CY$20),$G478:$W478)</f>
        <v>24</v>
      </c>
      <c r="CZ478" s="93" cm="1">
        <f t="array" ref="CZ478">SUMPRODUCT(TRANSPOSE(CZ$4:CZ$20),$G478:$W478)</f>
        <v>24</v>
      </c>
      <c r="DA478" s="93" cm="1">
        <f t="array" ref="DA478">SUMPRODUCT(TRANSPOSE(DA$4:DA$20),$G478:$W478)</f>
        <v>24</v>
      </c>
      <c r="DB478" s="93" cm="1">
        <f t="array" ref="DB478">SUMPRODUCT(TRANSPOSE(DB$4:DB$20),$G478:$W478)</f>
        <v>24</v>
      </c>
      <c r="DC478" s="93" cm="1">
        <f t="array" ref="DC478">SUMPRODUCT(TRANSPOSE(DC$4:DC$20),$G478:$W478)</f>
        <v>18</v>
      </c>
      <c r="DD478" s="93" cm="1">
        <f t="array" ref="DD478">SUMPRODUCT(TRANSPOSE(DD$4:DD$20),$G478:$W478)</f>
        <v>0</v>
      </c>
      <c r="DE478" s="93" cm="1">
        <f t="array" ref="DE478">SUMPRODUCT(TRANSPOSE(DE$4:DE$20),$G478:$W478)</f>
        <v>0</v>
      </c>
      <c r="DF478" s="93" cm="1">
        <f t="array" ref="DF478">SUMPRODUCT(TRANSPOSE(DF$4:DF$20),$G478:$W478)</f>
        <v>0</v>
      </c>
      <c r="DG478" s="93" cm="1">
        <f t="array" ref="DG478">SUMPRODUCT(TRANSPOSE(DG$4:DG$20),$G478:$W478)</f>
        <v>0</v>
      </c>
      <c r="DH478" s="93" cm="1">
        <f t="array" ref="DH478">SUMPRODUCT(TRANSPOSE(DH$4:DH$20),$G478:$W478)</f>
        <v>0</v>
      </c>
      <c r="DI478" s="93" cm="1">
        <f t="array" ref="DI478">SUMPRODUCT(TRANSPOSE(DI$4:DI$20),$G478:$W478)</f>
        <v>0</v>
      </c>
      <c r="DJ478" s="93" cm="1">
        <f t="array" ref="DJ478">SUMPRODUCT(TRANSPOSE(DJ$4:DJ$20),$G478:$W478)</f>
        <v>0</v>
      </c>
      <c r="DK478" s="93" cm="1">
        <f t="array" ref="DK478">SUMPRODUCT(TRANSPOSE(DK$4:DK$20),$G478:$W478)</f>
        <v>0</v>
      </c>
      <c r="DL478" s="93" cm="1">
        <f t="array" ref="DL478">SUMPRODUCT(TRANSPOSE(DL$4:DL$20),$G478:$W478)</f>
        <v>0</v>
      </c>
      <c r="DM478" s="93" cm="1">
        <f t="array" ref="DM478">SUMPRODUCT(TRANSPOSE(DM$4:DM$20),$G478:$W478)</f>
        <v>0</v>
      </c>
      <c r="DN478" s="93" cm="1">
        <f t="array" ref="DN478">SUMPRODUCT(TRANSPOSE(DN$4:DN$20),$G478:$W478)</f>
        <v>0</v>
      </c>
      <c r="DO478" s="93" cm="1">
        <f t="array" ref="DO478">SUMPRODUCT(TRANSPOSE(DO$4:DO$20),$G478:$W478)</f>
        <v>0</v>
      </c>
    </row>
    <row r="479" spans="1:119" x14ac:dyDescent="0.2">
      <c r="A479" s="75">
        <f t="shared" si="33"/>
        <v>458</v>
      </c>
      <c r="B479" s="64" t="s">
        <v>991</v>
      </c>
      <c r="C479" s="45">
        <v>400571854</v>
      </c>
      <c r="D479" s="45" t="s">
        <v>992</v>
      </c>
      <c r="E479" s="45" t="s">
        <v>162</v>
      </c>
      <c r="F479" s="48">
        <v>2</v>
      </c>
      <c r="G479" s="100">
        <v>0</v>
      </c>
      <c r="H479" s="100">
        <v>0</v>
      </c>
      <c r="I479" s="100">
        <v>0</v>
      </c>
      <c r="J479" s="100">
        <v>0</v>
      </c>
      <c r="K479" s="100">
        <v>0</v>
      </c>
      <c r="L479" s="100">
        <v>0</v>
      </c>
      <c r="M479" s="100">
        <v>1</v>
      </c>
      <c r="N479" s="100">
        <v>0</v>
      </c>
      <c r="O479" s="100">
        <v>0</v>
      </c>
      <c r="P479" s="100">
        <v>0</v>
      </c>
      <c r="Q479" s="100">
        <v>0</v>
      </c>
      <c r="R479" s="100">
        <v>0</v>
      </c>
      <c r="S479" s="100">
        <v>0</v>
      </c>
      <c r="T479" s="100">
        <v>0</v>
      </c>
      <c r="U479" s="100">
        <v>0</v>
      </c>
      <c r="V479" s="100">
        <v>0</v>
      </c>
      <c r="W479" s="100">
        <v>0</v>
      </c>
      <c r="X479" s="45" t="s">
        <v>78</v>
      </c>
      <c r="Y479" s="53">
        <v>1.59</v>
      </c>
      <c r="Z479" s="45">
        <v>1060</v>
      </c>
      <c r="AA479" s="45">
        <v>0</v>
      </c>
      <c r="AB479" s="45">
        <v>0</v>
      </c>
      <c r="AC479" s="45">
        <v>0</v>
      </c>
      <c r="AD479" s="45">
        <v>0</v>
      </c>
      <c r="AE479" s="45">
        <v>0</v>
      </c>
      <c r="AF479" s="45">
        <v>0</v>
      </c>
      <c r="AG479" s="45">
        <v>0</v>
      </c>
      <c r="AH479" s="45">
        <v>0</v>
      </c>
      <c r="AI479" s="45">
        <v>0</v>
      </c>
      <c r="AJ479" s="45">
        <v>0</v>
      </c>
      <c r="AK479" s="45">
        <v>0</v>
      </c>
      <c r="AL479" s="45">
        <v>0</v>
      </c>
      <c r="AM479" s="45">
        <v>0</v>
      </c>
      <c r="AN479" s="45">
        <v>0</v>
      </c>
      <c r="AO479" s="45"/>
      <c r="AP479" s="45"/>
      <c r="AQ479" s="45"/>
      <c r="AR479" s="45"/>
      <c r="AS479" s="45"/>
      <c r="AT479" s="45"/>
      <c r="AU479" s="45"/>
      <c r="AV479" s="45"/>
      <c r="AW479" s="45"/>
      <c r="AX479" s="45"/>
      <c r="AY479" s="45"/>
      <c r="AZ479" s="45"/>
      <c r="BA479" s="45"/>
      <c r="BB479" s="45"/>
      <c r="BC479" s="45"/>
      <c r="BD479" s="93"/>
      <c r="BE479" s="93"/>
      <c r="BF479" s="93"/>
      <c r="BG479" s="93"/>
      <c r="BH479" s="93"/>
      <c r="BI479" s="93"/>
      <c r="BJ479" s="93"/>
      <c r="BK479" s="93">
        <f>SUM($Z479:AD479)-SUM($CM479:CQ479)</f>
        <v>1052</v>
      </c>
      <c r="BL479" s="93">
        <f>SUM($Z479:AE479)-SUM($CM479:CR479)</f>
        <v>1044</v>
      </c>
      <c r="BM479" s="93">
        <f>SUM($Z479:AF479)-SUM($CM479:CS479)</f>
        <v>1036</v>
      </c>
      <c r="BN479" s="93">
        <f>SUM($Z479:AG479)-SUM($CM479:CT479)</f>
        <v>1028</v>
      </c>
      <c r="BO479" s="93">
        <f>SUM($Z479:AH479)-SUM($CM479:CU479)</f>
        <v>1020</v>
      </c>
      <c r="BP479" s="93">
        <f>SUM($Z479:AI479)-SUM($CM479:CV479)</f>
        <v>1012</v>
      </c>
      <c r="BQ479" s="93">
        <f>SUM($Z479:AJ479)-SUM($CM479:CW479)</f>
        <v>1004</v>
      </c>
      <c r="BR479" s="93">
        <f>SUM($Z479:AK479)-SUM($CM479:CX479)</f>
        <v>996</v>
      </c>
      <c r="BS479" s="93">
        <f>SUM($Z479:AL479)-SUM($CM479:CY479)</f>
        <v>988</v>
      </c>
      <c r="BT479" s="93">
        <f>SUM($Z479:AM479)-SUM($CM479:CZ479)</f>
        <v>980</v>
      </c>
      <c r="BU479" s="93">
        <f>SUM($Z479:AN479)-SUM($CM479:DA479)</f>
        <v>972</v>
      </c>
      <c r="BV479" s="93">
        <f>SUM($Z479:AO479)-SUM($CM479:DB479)</f>
        <v>964</v>
      </c>
      <c r="BW479" s="93">
        <f>SUM($Z479:AP479)-SUM($CM479:DC479)</f>
        <v>950</v>
      </c>
      <c r="BX479" s="93">
        <f>SUM($Z479:AQ479)-SUM($CM479:DD479)</f>
        <v>950</v>
      </c>
      <c r="BY479" s="93">
        <f>SUM($Z479:AR479)-SUM($CM479:DE479)</f>
        <v>950</v>
      </c>
      <c r="BZ479" s="93">
        <f>SUM($Z479:AS479)-SUM($CM479:DF479)</f>
        <v>950</v>
      </c>
      <c r="CA479" s="93">
        <f>SUM($Z479:AT479)-SUM($CM479:DG479)</f>
        <v>950</v>
      </c>
      <c r="CB479" s="93">
        <f>SUM($Z479:AU479)-SUM($CM479:DH479)</f>
        <v>950</v>
      </c>
      <c r="CC479" s="93">
        <f>SUM($Z479:AV479)-SUM($CM479:DI479)</f>
        <v>950</v>
      </c>
      <c r="CD479" s="93">
        <f>SUM($Z479:AW479)-SUM($CM479:DJ479)</f>
        <v>950</v>
      </c>
      <c r="CE479" s="93">
        <f>SUM($Z479:AX479)-SUM($CM479:DK479)</f>
        <v>950</v>
      </c>
      <c r="CF479" s="93">
        <f>SUM($Z479:AY479)-SUM($CM479:DL479)</f>
        <v>950</v>
      </c>
      <c r="CG479" s="93">
        <f>SUM($Z479:AZ479)-SUM($CM479:DM479)</f>
        <v>950</v>
      </c>
      <c r="CH479" s="93">
        <f>SUM($Z479:BA479)-SUM($CM479:DN479)</f>
        <v>950</v>
      </c>
      <c r="CI479" s="93">
        <f>SUM($Z479:BB479)-SUM($CM479:DO479)</f>
        <v>950</v>
      </c>
      <c r="CJ479" s="93"/>
      <c r="CK479" s="93"/>
      <c r="CL479" s="93"/>
      <c r="CM479" s="93"/>
      <c r="CN479" s="93" cm="1">
        <f t="array" ref="CN479">SUMPRODUCT(TRANSPOSE(CN$4:CN$20),$G479:$W479)</f>
        <v>0</v>
      </c>
      <c r="CO479" s="93" cm="1">
        <f t="array" ref="CO479">SUMPRODUCT(TRANSPOSE(CO$4:CO$20),$G479:$W479)</f>
        <v>0</v>
      </c>
      <c r="CP479" s="93" cm="1">
        <f t="array" ref="CP479">SUMPRODUCT(TRANSPOSE(CP$4:CP$20),$G479:$W479)</f>
        <v>0</v>
      </c>
      <c r="CQ479" s="93" cm="1">
        <f t="array" ref="CQ479">SUMPRODUCT(TRANSPOSE(CQ$4:CQ$20),$G479:$W479)</f>
        <v>8</v>
      </c>
      <c r="CR479" s="93" cm="1">
        <f t="array" ref="CR479">SUMPRODUCT(TRANSPOSE(CR$4:CR$20),$G479:$W479)</f>
        <v>8</v>
      </c>
      <c r="CS479" s="93" cm="1">
        <f t="array" ref="CS479">SUMPRODUCT(TRANSPOSE(CS$4:CS$20),$G479:$W479)</f>
        <v>8</v>
      </c>
      <c r="CT479" s="93" cm="1">
        <f t="array" ref="CT479">SUMPRODUCT(TRANSPOSE(CT$4:CT$20),$G479:$W479)</f>
        <v>8</v>
      </c>
      <c r="CU479" s="93" cm="1">
        <f t="array" ref="CU479">SUMPRODUCT(TRANSPOSE(CU$4:CU$20),$G479:$W479)</f>
        <v>8</v>
      </c>
      <c r="CV479" s="93" cm="1">
        <f t="array" ref="CV479">SUMPRODUCT(TRANSPOSE(CV$4:CV$20),$G479:$W479)</f>
        <v>8</v>
      </c>
      <c r="CW479" s="93" cm="1">
        <f t="array" ref="CW479">SUMPRODUCT(TRANSPOSE(CW$4:CW$20),$G479:$W479)</f>
        <v>8</v>
      </c>
      <c r="CX479" s="93" cm="1">
        <f t="array" ref="CX479">SUMPRODUCT(TRANSPOSE(CX$4:CX$20),$G479:$W479)</f>
        <v>8</v>
      </c>
      <c r="CY479" s="93" cm="1">
        <f t="array" ref="CY479">SUMPRODUCT(TRANSPOSE(CY$4:CY$20),$G479:$W479)</f>
        <v>8</v>
      </c>
      <c r="CZ479" s="93" cm="1">
        <f t="array" ref="CZ479">SUMPRODUCT(TRANSPOSE(CZ$4:CZ$20),$G479:$W479)</f>
        <v>8</v>
      </c>
      <c r="DA479" s="93" cm="1">
        <f t="array" ref="DA479">SUMPRODUCT(TRANSPOSE(DA$4:DA$20),$G479:$W479)</f>
        <v>8</v>
      </c>
      <c r="DB479" s="93" cm="1">
        <f t="array" ref="DB479">SUMPRODUCT(TRANSPOSE(DB$4:DB$20),$G479:$W479)</f>
        <v>8</v>
      </c>
      <c r="DC479" s="93" cm="1">
        <f t="array" ref="DC479">SUMPRODUCT(TRANSPOSE(DC$4:DC$20),$G479:$W479)</f>
        <v>14</v>
      </c>
      <c r="DD479" s="93" cm="1">
        <f t="array" ref="DD479">SUMPRODUCT(TRANSPOSE(DD$4:DD$20),$G479:$W479)</f>
        <v>0</v>
      </c>
      <c r="DE479" s="93" cm="1">
        <f t="array" ref="DE479">SUMPRODUCT(TRANSPOSE(DE$4:DE$20),$G479:$W479)</f>
        <v>0</v>
      </c>
      <c r="DF479" s="93" cm="1">
        <f t="array" ref="DF479">SUMPRODUCT(TRANSPOSE(DF$4:DF$20),$G479:$W479)</f>
        <v>0</v>
      </c>
      <c r="DG479" s="93" cm="1">
        <f t="array" ref="DG479">SUMPRODUCT(TRANSPOSE(DG$4:DG$20),$G479:$W479)</f>
        <v>0</v>
      </c>
      <c r="DH479" s="93" cm="1">
        <f t="array" ref="DH479">SUMPRODUCT(TRANSPOSE(DH$4:DH$20),$G479:$W479)</f>
        <v>0</v>
      </c>
      <c r="DI479" s="93" cm="1">
        <f t="array" ref="DI479">SUMPRODUCT(TRANSPOSE(DI$4:DI$20),$G479:$W479)</f>
        <v>0</v>
      </c>
      <c r="DJ479" s="93" cm="1">
        <f t="array" ref="DJ479">SUMPRODUCT(TRANSPOSE(DJ$4:DJ$20),$G479:$W479)</f>
        <v>0</v>
      </c>
      <c r="DK479" s="93" cm="1">
        <f t="array" ref="DK479">SUMPRODUCT(TRANSPOSE(DK$4:DK$20),$G479:$W479)</f>
        <v>0</v>
      </c>
      <c r="DL479" s="93" cm="1">
        <f t="array" ref="DL479">SUMPRODUCT(TRANSPOSE(DL$4:DL$20),$G479:$W479)</f>
        <v>0</v>
      </c>
      <c r="DM479" s="93" cm="1">
        <f t="array" ref="DM479">SUMPRODUCT(TRANSPOSE(DM$4:DM$20),$G479:$W479)</f>
        <v>0</v>
      </c>
      <c r="DN479" s="93" cm="1">
        <f t="array" ref="DN479">SUMPRODUCT(TRANSPOSE(DN$4:DN$20),$G479:$W479)</f>
        <v>0</v>
      </c>
      <c r="DO479" s="93" cm="1">
        <f t="array" ref="DO479">SUMPRODUCT(TRANSPOSE(DO$4:DO$20),$G479:$W479)</f>
        <v>0</v>
      </c>
    </row>
    <row r="480" spans="1:119" x14ac:dyDescent="0.2">
      <c r="A480" s="45">
        <f t="shared" si="33"/>
        <v>459</v>
      </c>
      <c r="B480" s="64" t="s">
        <v>993</v>
      </c>
      <c r="C480" s="45" t="s">
        <v>994</v>
      </c>
      <c r="D480" s="45" t="s">
        <v>995</v>
      </c>
      <c r="E480" s="45" t="s">
        <v>162</v>
      </c>
      <c r="F480" s="48">
        <v>2</v>
      </c>
      <c r="G480" s="100">
        <v>0</v>
      </c>
      <c r="H480" s="100">
        <v>0</v>
      </c>
      <c r="I480" s="100">
        <v>10</v>
      </c>
      <c r="J480" s="100">
        <v>0</v>
      </c>
      <c r="K480" s="100">
        <v>9</v>
      </c>
      <c r="L480" s="100">
        <v>0</v>
      </c>
      <c r="M480" s="100">
        <v>0</v>
      </c>
      <c r="N480" s="100">
        <v>0</v>
      </c>
      <c r="O480" s="100">
        <v>0</v>
      </c>
      <c r="P480" s="100">
        <v>0</v>
      </c>
      <c r="Q480" s="100">
        <v>0</v>
      </c>
      <c r="R480" s="100">
        <v>0</v>
      </c>
      <c r="S480" s="100">
        <v>0</v>
      </c>
      <c r="T480" s="100">
        <v>0</v>
      </c>
      <c r="U480" s="100">
        <v>0</v>
      </c>
      <c r="V480" s="100">
        <v>0</v>
      </c>
      <c r="W480" s="100">
        <v>0</v>
      </c>
      <c r="X480" s="45" t="s">
        <v>24</v>
      </c>
      <c r="Y480" s="49">
        <v>0.19</v>
      </c>
      <c r="Z480" s="45">
        <v>2491</v>
      </c>
      <c r="AA480" s="45">
        <v>0</v>
      </c>
      <c r="AB480" s="45">
        <v>0</v>
      </c>
      <c r="AC480" s="45">
        <v>0</v>
      </c>
      <c r="AD480" s="45">
        <v>0</v>
      </c>
      <c r="AE480" s="45">
        <v>0</v>
      </c>
      <c r="AF480" s="45">
        <v>0</v>
      </c>
      <c r="AG480" s="45">
        <v>0</v>
      </c>
      <c r="AH480" s="45">
        <v>0</v>
      </c>
      <c r="AI480" s="45">
        <v>0</v>
      </c>
      <c r="AJ480" s="45">
        <v>0</v>
      </c>
      <c r="AK480" s="45">
        <v>0</v>
      </c>
      <c r="AL480" s="45">
        <v>0</v>
      </c>
      <c r="AM480" s="45">
        <v>0</v>
      </c>
      <c r="AN480" s="45">
        <v>0</v>
      </c>
      <c r="AO480" s="45"/>
      <c r="AP480" s="45"/>
      <c r="AQ480" s="45"/>
      <c r="AR480" s="45"/>
      <c r="AS480" s="45"/>
      <c r="AT480" s="45"/>
      <c r="AU480" s="45"/>
      <c r="AV480" s="45"/>
      <c r="AW480" s="45"/>
      <c r="AX480" s="45"/>
      <c r="AY480" s="45"/>
      <c r="AZ480" s="45"/>
      <c r="BA480" s="45"/>
      <c r="BB480" s="45"/>
      <c r="BC480" s="45"/>
      <c r="BD480" s="93"/>
      <c r="BE480" s="93"/>
      <c r="BF480" s="93"/>
      <c r="BG480" s="93"/>
      <c r="BH480" s="93"/>
      <c r="BI480" s="93"/>
      <c r="BJ480" s="93"/>
      <c r="BK480" s="93">
        <f>SUM($Z480:AD480)-SUM($CM480:CQ480)</f>
        <v>2339</v>
      </c>
      <c r="BL480" s="93">
        <f>SUM($Z480:AE480)-SUM($CM480:CR480)</f>
        <v>2187</v>
      </c>
      <c r="BM480" s="93">
        <f>SUM($Z480:AF480)-SUM($CM480:CS480)</f>
        <v>2035</v>
      </c>
      <c r="BN480" s="93">
        <f>SUM($Z480:AG480)-SUM($CM480:CT480)</f>
        <v>1883</v>
      </c>
      <c r="BO480" s="93">
        <f>SUM($Z480:AH480)-SUM($CM480:CU480)</f>
        <v>1731</v>
      </c>
      <c r="BP480" s="93">
        <f>SUM($Z480:AI480)-SUM($CM480:CV480)</f>
        <v>1579</v>
      </c>
      <c r="BQ480" s="93">
        <f>SUM($Z480:AJ480)-SUM($CM480:CW480)</f>
        <v>1427</v>
      </c>
      <c r="BR480" s="93">
        <f>SUM($Z480:AK480)-SUM($CM480:CX480)</f>
        <v>1275</v>
      </c>
      <c r="BS480" s="93">
        <f>SUM($Z480:AL480)-SUM($CM480:CY480)</f>
        <v>1123</v>
      </c>
      <c r="BT480" s="93">
        <f>SUM($Z480:AM480)-SUM($CM480:CZ480)</f>
        <v>971</v>
      </c>
      <c r="BU480" s="93">
        <f>SUM($Z480:AN480)-SUM($CM480:DA480)</f>
        <v>819</v>
      </c>
      <c r="BV480" s="93">
        <f>SUM($Z480:AO480)-SUM($CM480:DB480)</f>
        <v>667</v>
      </c>
      <c r="BW480" s="93">
        <f>SUM($Z480:AP480)-SUM($CM480:DC480)</f>
        <v>553</v>
      </c>
      <c r="BX480" s="93">
        <f>SUM($Z480:AQ480)-SUM($CM480:DD480)</f>
        <v>553</v>
      </c>
      <c r="BY480" s="93">
        <f>SUM($Z480:AR480)-SUM($CM480:DE480)</f>
        <v>553</v>
      </c>
      <c r="BZ480" s="93">
        <f>SUM($Z480:AS480)-SUM($CM480:DF480)</f>
        <v>553</v>
      </c>
      <c r="CA480" s="93">
        <f>SUM($Z480:AT480)-SUM($CM480:DG480)</f>
        <v>553</v>
      </c>
      <c r="CB480" s="93">
        <f>SUM($Z480:AU480)-SUM($CM480:DH480)</f>
        <v>553</v>
      </c>
      <c r="CC480" s="93">
        <f>SUM($Z480:AV480)-SUM($CM480:DI480)</f>
        <v>553</v>
      </c>
      <c r="CD480" s="93">
        <f>SUM($Z480:AW480)-SUM($CM480:DJ480)</f>
        <v>553</v>
      </c>
      <c r="CE480" s="93">
        <f>SUM($Z480:AX480)-SUM($CM480:DK480)</f>
        <v>553</v>
      </c>
      <c r="CF480" s="93">
        <f>SUM($Z480:AY480)-SUM($CM480:DL480)</f>
        <v>553</v>
      </c>
      <c r="CG480" s="93">
        <f>SUM($Z480:AZ480)-SUM($CM480:DM480)</f>
        <v>553</v>
      </c>
      <c r="CH480" s="93">
        <f>SUM($Z480:BA480)-SUM($CM480:DN480)</f>
        <v>553</v>
      </c>
      <c r="CI480" s="93">
        <f>SUM($Z480:BB480)-SUM($CM480:DO480)</f>
        <v>553</v>
      </c>
      <c r="CJ480" s="93"/>
      <c r="CK480" s="93"/>
      <c r="CL480" s="93"/>
      <c r="CM480" s="93"/>
      <c r="CN480" s="93" cm="1">
        <f t="array" ref="CN480">SUMPRODUCT(TRANSPOSE(CN$4:CN$20),$G480:$W480)</f>
        <v>0</v>
      </c>
      <c r="CO480" s="93" cm="1">
        <f t="array" ref="CO480">SUMPRODUCT(TRANSPOSE(CO$4:CO$20),$G480:$W480)</f>
        <v>0</v>
      </c>
      <c r="CP480" s="93" cm="1">
        <f t="array" ref="CP480">SUMPRODUCT(TRANSPOSE(CP$4:CP$20),$G480:$W480)</f>
        <v>0</v>
      </c>
      <c r="CQ480" s="93" cm="1">
        <f t="array" ref="CQ480">SUMPRODUCT(TRANSPOSE(CQ$4:CQ$20),$G480:$W480)</f>
        <v>152</v>
      </c>
      <c r="CR480" s="93" cm="1">
        <f t="array" ref="CR480">SUMPRODUCT(TRANSPOSE(CR$4:CR$20),$G480:$W480)</f>
        <v>152</v>
      </c>
      <c r="CS480" s="93" cm="1">
        <f t="array" ref="CS480">SUMPRODUCT(TRANSPOSE(CS$4:CS$20),$G480:$W480)</f>
        <v>152</v>
      </c>
      <c r="CT480" s="93" cm="1">
        <f t="array" ref="CT480">SUMPRODUCT(TRANSPOSE(CT$4:CT$20),$G480:$W480)</f>
        <v>152</v>
      </c>
      <c r="CU480" s="93" cm="1">
        <f t="array" ref="CU480">SUMPRODUCT(TRANSPOSE(CU$4:CU$20),$G480:$W480)</f>
        <v>152</v>
      </c>
      <c r="CV480" s="93" cm="1">
        <f t="array" ref="CV480">SUMPRODUCT(TRANSPOSE(CV$4:CV$20),$G480:$W480)</f>
        <v>152</v>
      </c>
      <c r="CW480" s="93" cm="1">
        <f t="array" ref="CW480">SUMPRODUCT(TRANSPOSE(CW$4:CW$20),$G480:$W480)</f>
        <v>152</v>
      </c>
      <c r="CX480" s="93" cm="1">
        <f t="array" ref="CX480">SUMPRODUCT(TRANSPOSE(CX$4:CX$20),$G480:$W480)</f>
        <v>152</v>
      </c>
      <c r="CY480" s="93" cm="1">
        <f t="array" ref="CY480">SUMPRODUCT(TRANSPOSE(CY$4:CY$20),$G480:$W480)</f>
        <v>152</v>
      </c>
      <c r="CZ480" s="93" cm="1">
        <f t="array" ref="CZ480">SUMPRODUCT(TRANSPOSE(CZ$4:CZ$20),$G480:$W480)</f>
        <v>152</v>
      </c>
      <c r="DA480" s="93" cm="1">
        <f t="array" ref="DA480">SUMPRODUCT(TRANSPOSE(DA$4:DA$20),$G480:$W480)</f>
        <v>152</v>
      </c>
      <c r="DB480" s="93" cm="1">
        <f t="array" ref="DB480">SUMPRODUCT(TRANSPOSE(DB$4:DB$20),$G480:$W480)</f>
        <v>152</v>
      </c>
      <c r="DC480" s="93" cm="1">
        <f t="array" ref="DC480">SUMPRODUCT(TRANSPOSE(DC$4:DC$20),$G480:$W480)</f>
        <v>114</v>
      </c>
      <c r="DD480" s="93" cm="1">
        <f t="array" ref="DD480">SUMPRODUCT(TRANSPOSE(DD$4:DD$20),$G480:$W480)</f>
        <v>0</v>
      </c>
      <c r="DE480" s="93" cm="1">
        <f t="array" ref="DE480">SUMPRODUCT(TRANSPOSE(DE$4:DE$20),$G480:$W480)</f>
        <v>0</v>
      </c>
      <c r="DF480" s="93" cm="1">
        <f t="array" ref="DF480">SUMPRODUCT(TRANSPOSE(DF$4:DF$20),$G480:$W480)</f>
        <v>0</v>
      </c>
      <c r="DG480" s="93" cm="1">
        <f t="array" ref="DG480">SUMPRODUCT(TRANSPOSE(DG$4:DG$20),$G480:$W480)</f>
        <v>0</v>
      </c>
      <c r="DH480" s="93" cm="1">
        <f t="array" ref="DH480">SUMPRODUCT(TRANSPOSE(DH$4:DH$20),$G480:$W480)</f>
        <v>0</v>
      </c>
      <c r="DI480" s="93" cm="1">
        <f t="array" ref="DI480">SUMPRODUCT(TRANSPOSE(DI$4:DI$20),$G480:$W480)</f>
        <v>0</v>
      </c>
      <c r="DJ480" s="93" cm="1">
        <f t="array" ref="DJ480">SUMPRODUCT(TRANSPOSE(DJ$4:DJ$20),$G480:$W480)</f>
        <v>0</v>
      </c>
      <c r="DK480" s="93" cm="1">
        <f t="array" ref="DK480">SUMPRODUCT(TRANSPOSE(DK$4:DK$20),$G480:$W480)</f>
        <v>0</v>
      </c>
      <c r="DL480" s="93" cm="1">
        <f t="array" ref="DL480">SUMPRODUCT(TRANSPOSE(DL$4:DL$20),$G480:$W480)</f>
        <v>0</v>
      </c>
      <c r="DM480" s="93" cm="1">
        <f t="array" ref="DM480">SUMPRODUCT(TRANSPOSE(DM$4:DM$20),$G480:$W480)</f>
        <v>0</v>
      </c>
      <c r="DN480" s="93" cm="1">
        <f t="array" ref="DN480">SUMPRODUCT(TRANSPOSE(DN$4:DN$20),$G480:$W480)</f>
        <v>0</v>
      </c>
      <c r="DO480" s="93" cm="1">
        <f t="array" ref="DO480">SUMPRODUCT(TRANSPOSE(DO$4:DO$20),$G480:$W480)</f>
        <v>0</v>
      </c>
    </row>
    <row r="481" spans="1:119" x14ac:dyDescent="0.2">
      <c r="A481" s="45">
        <f t="shared" si="33"/>
        <v>460</v>
      </c>
      <c r="B481" s="64" t="s">
        <v>996</v>
      </c>
      <c r="C481" s="45" t="s">
        <v>997</v>
      </c>
      <c r="D481" s="45" t="s">
        <v>998</v>
      </c>
      <c r="E481" s="45" t="s">
        <v>162</v>
      </c>
      <c r="F481" s="48">
        <v>2</v>
      </c>
      <c r="G481" s="100">
        <v>0</v>
      </c>
      <c r="H481" s="100">
        <v>0</v>
      </c>
      <c r="I481" s="100">
        <v>13</v>
      </c>
      <c r="J481" s="100">
        <v>0</v>
      </c>
      <c r="K481" s="100">
        <v>8</v>
      </c>
      <c r="L481" s="100">
        <v>0</v>
      </c>
      <c r="M481" s="100">
        <v>0</v>
      </c>
      <c r="N481" s="100">
        <v>0</v>
      </c>
      <c r="O481" s="100">
        <v>0</v>
      </c>
      <c r="P481" s="100">
        <v>0</v>
      </c>
      <c r="Q481" s="100">
        <v>0</v>
      </c>
      <c r="R481" s="100">
        <v>0</v>
      </c>
      <c r="S481" s="100">
        <v>0</v>
      </c>
      <c r="T481" s="100">
        <v>0</v>
      </c>
      <c r="U481" s="100">
        <v>0</v>
      </c>
      <c r="V481" s="100">
        <v>0</v>
      </c>
      <c r="W481" s="100">
        <v>0</v>
      </c>
      <c r="X481" s="45" t="s">
        <v>24</v>
      </c>
      <c r="Y481" s="49">
        <v>0.19</v>
      </c>
      <c r="Z481" s="45">
        <v>5172</v>
      </c>
      <c r="AA481" s="45">
        <v>0</v>
      </c>
      <c r="AB481" s="45">
        <v>0</v>
      </c>
      <c r="AC481" s="45">
        <v>0</v>
      </c>
      <c r="AD481" s="45">
        <v>0</v>
      </c>
      <c r="AE481" s="45">
        <v>0</v>
      </c>
      <c r="AF481" s="45">
        <v>0</v>
      </c>
      <c r="AG481" s="45">
        <v>0</v>
      </c>
      <c r="AH481" s="45">
        <v>0</v>
      </c>
      <c r="AI481" s="45">
        <v>0</v>
      </c>
      <c r="AJ481" s="45">
        <v>0</v>
      </c>
      <c r="AK481" s="45">
        <v>0</v>
      </c>
      <c r="AL481" s="45">
        <v>0</v>
      </c>
      <c r="AM481" s="45">
        <v>0</v>
      </c>
      <c r="AN481" s="45">
        <v>0</v>
      </c>
      <c r="AO481" s="45"/>
      <c r="AP481" s="45"/>
      <c r="AQ481" s="45"/>
      <c r="AR481" s="45"/>
      <c r="AS481" s="45"/>
      <c r="AT481" s="45"/>
      <c r="AU481" s="45"/>
      <c r="AV481" s="45"/>
      <c r="AW481" s="45"/>
      <c r="AX481" s="45"/>
      <c r="AY481" s="45"/>
      <c r="AZ481" s="45"/>
      <c r="BA481" s="45"/>
      <c r="BB481" s="45"/>
      <c r="BC481" s="45"/>
      <c r="BD481" s="93"/>
      <c r="BE481" s="93"/>
      <c r="BF481" s="93"/>
      <c r="BG481" s="93"/>
      <c r="BH481" s="93"/>
      <c r="BI481" s="93"/>
      <c r="BJ481" s="93"/>
      <c r="BK481" s="93">
        <f>SUM($Z481:AD481)-SUM($CM481:CQ481)</f>
        <v>5004</v>
      </c>
      <c r="BL481" s="93">
        <f>SUM($Z481:AE481)-SUM($CM481:CR481)</f>
        <v>4836</v>
      </c>
      <c r="BM481" s="93">
        <f>SUM($Z481:AF481)-SUM($CM481:CS481)</f>
        <v>4668</v>
      </c>
      <c r="BN481" s="93">
        <f>SUM($Z481:AG481)-SUM($CM481:CT481)</f>
        <v>4500</v>
      </c>
      <c r="BO481" s="93">
        <f>SUM($Z481:AH481)-SUM($CM481:CU481)</f>
        <v>4332</v>
      </c>
      <c r="BP481" s="93">
        <f>SUM($Z481:AI481)-SUM($CM481:CV481)</f>
        <v>4164</v>
      </c>
      <c r="BQ481" s="93">
        <f>SUM($Z481:AJ481)-SUM($CM481:CW481)</f>
        <v>3996</v>
      </c>
      <c r="BR481" s="93">
        <f>SUM($Z481:AK481)-SUM($CM481:CX481)</f>
        <v>3828</v>
      </c>
      <c r="BS481" s="93">
        <f>SUM($Z481:AL481)-SUM($CM481:CY481)</f>
        <v>3660</v>
      </c>
      <c r="BT481" s="93">
        <f>SUM($Z481:AM481)-SUM($CM481:CZ481)</f>
        <v>3492</v>
      </c>
      <c r="BU481" s="93">
        <f>SUM($Z481:AN481)-SUM($CM481:DA481)</f>
        <v>3324</v>
      </c>
      <c r="BV481" s="93">
        <f>SUM($Z481:AO481)-SUM($CM481:DB481)</f>
        <v>3156</v>
      </c>
      <c r="BW481" s="93">
        <f>SUM($Z481:AP481)-SUM($CM481:DC481)</f>
        <v>3030</v>
      </c>
      <c r="BX481" s="93">
        <f>SUM($Z481:AQ481)-SUM($CM481:DD481)</f>
        <v>3030</v>
      </c>
      <c r="BY481" s="93">
        <f>SUM($Z481:AR481)-SUM($CM481:DE481)</f>
        <v>3030</v>
      </c>
      <c r="BZ481" s="93">
        <f>SUM($Z481:AS481)-SUM($CM481:DF481)</f>
        <v>3030</v>
      </c>
      <c r="CA481" s="93">
        <f>SUM($Z481:AT481)-SUM($CM481:DG481)</f>
        <v>3030</v>
      </c>
      <c r="CB481" s="93">
        <f>SUM($Z481:AU481)-SUM($CM481:DH481)</f>
        <v>3030</v>
      </c>
      <c r="CC481" s="93">
        <f>SUM($Z481:AV481)-SUM($CM481:DI481)</f>
        <v>3030</v>
      </c>
      <c r="CD481" s="93">
        <f>SUM($Z481:AW481)-SUM($CM481:DJ481)</f>
        <v>3030</v>
      </c>
      <c r="CE481" s="93">
        <f>SUM($Z481:AX481)-SUM($CM481:DK481)</f>
        <v>3030</v>
      </c>
      <c r="CF481" s="93">
        <f>SUM($Z481:AY481)-SUM($CM481:DL481)</f>
        <v>3030</v>
      </c>
      <c r="CG481" s="93">
        <f>SUM($Z481:AZ481)-SUM($CM481:DM481)</f>
        <v>3030</v>
      </c>
      <c r="CH481" s="93">
        <f>SUM($Z481:BA481)-SUM($CM481:DN481)</f>
        <v>3030</v>
      </c>
      <c r="CI481" s="93">
        <f>SUM($Z481:BB481)-SUM($CM481:DO481)</f>
        <v>3030</v>
      </c>
      <c r="CJ481" s="93"/>
      <c r="CK481" s="93"/>
      <c r="CL481" s="93"/>
      <c r="CM481" s="93"/>
      <c r="CN481" s="93" cm="1">
        <f t="array" ref="CN481">SUMPRODUCT(TRANSPOSE(CN$4:CN$20),$G481:$W481)</f>
        <v>0</v>
      </c>
      <c r="CO481" s="93" cm="1">
        <f t="array" ref="CO481">SUMPRODUCT(TRANSPOSE(CO$4:CO$20),$G481:$W481)</f>
        <v>0</v>
      </c>
      <c r="CP481" s="93" cm="1">
        <f t="array" ref="CP481">SUMPRODUCT(TRANSPOSE(CP$4:CP$20),$G481:$W481)</f>
        <v>0</v>
      </c>
      <c r="CQ481" s="93" cm="1">
        <f t="array" ref="CQ481">SUMPRODUCT(TRANSPOSE(CQ$4:CQ$20),$G481:$W481)</f>
        <v>168</v>
      </c>
      <c r="CR481" s="93" cm="1">
        <f t="array" ref="CR481">SUMPRODUCT(TRANSPOSE(CR$4:CR$20),$G481:$W481)</f>
        <v>168</v>
      </c>
      <c r="CS481" s="93" cm="1">
        <f t="array" ref="CS481">SUMPRODUCT(TRANSPOSE(CS$4:CS$20),$G481:$W481)</f>
        <v>168</v>
      </c>
      <c r="CT481" s="93" cm="1">
        <f t="array" ref="CT481">SUMPRODUCT(TRANSPOSE(CT$4:CT$20),$G481:$W481)</f>
        <v>168</v>
      </c>
      <c r="CU481" s="93" cm="1">
        <f t="array" ref="CU481">SUMPRODUCT(TRANSPOSE(CU$4:CU$20),$G481:$W481)</f>
        <v>168</v>
      </c>
      <c r="CV481" s="93" cm="1">
        <f t="array" ref="CV481">SUMPRODUCT(TRANSPOSE(CV$4:CV$20),$G481:$W481)</f>
        <v>168</v>
      </c>
      <c r="CW481" s="93" cm="1">
        <f t="array" ref="CW481">SUMPRODUCT(TRANSPOSE(CW$4:CW$20),$G481:$W481)</f>
        <v>168</v>
      </c>
      <c r="CX481" s="93" cm="1">
        <f t="array" ref="CX481">SUMPRODUCT(TRANSPOSE(CX$4:CX$20),$G481:$W481)</f>
        <v>168</v>
      </c>
      <c r="CY481" s="93" cm="1">
        <f t="array" ref="CY481">SUMPRODUCT(TRANSPOSE(CY$4:CY$20),$G481:$W481)</f>
        <v>168</v>
      </c>
      <c r="CZ481" s="93" cm="1">
        <f t="array" ref="CZ481">SUMPRODUCT(TRANSPOSE(CZ$4:CZ$20),$G481:$W481)</f>
        <v>168</v>
      </c>
      <c r="DA481" s="93" cm="1">
        <f t="array" ref="DA481">SUMPRODUCT(TRANSPOSE(DA$4:DA$20),$G481:$W481)</f>
        <v>168</v>
      </c>
      <c r="DB481" s="93" cm="1">
        <f t="array" ref="DB481">SUMPRODUCT(TRANSPOSE(DB$4:DB$20),$G481:$W481)</f>
        <v>168</v>
      </c>
      <c r="DC481" s="93" cm="1">
        <f t="array" ref="DC481">SUMPRODUCT(TRANSPOSE(DC$4:DC$20),$G481:$W481)</f>
        <v>126</v>
      </c>
      <c r="DD481" s="93" cm="1">
        <f t="array" ref="DD481">SUMPRODUCT(TRANSPOSE(DD$4:DD$20),$G481:$W481)</f>
        <v>0</v>
      </c>
      <c r="DE481" s="93" cm="1">
        <f t="array" ref="DE481">SUMPRODUCT(TRANSPOSE(DE$4:DE$20),$G481:$W481)</f>
        <v>0</v>
      </c>
      <c r="DF481" s="93" cm="1">
        <f t="array" ref="DF481">SUMPRODUCT(TRANSPOSE(DF$4:DF$20),$G481:$W481)</f>
        <v>0</v>
      </c>
      <c r="DG481" s="93" cm="1">
        <f t="array" ref="DG481">SUMPRODUCT(TRANSPOSE(DG$4:DG$20),$G481:$W481)</f>
        <v>0</v>
      </c>
      <c r="DH481" s="93" cm="1">
        <f t="array" ref="DH481">SUMPRODUCT(TRANSPOSE(DH$4:DH$20),$G481:$W481)</f>
        <v>0</v>
      </c>
      <c r="DI481" s="93" cm="1">
        <f t="array" ref="DI481">SUMPRODUCT(TRANSPOSE(DI$4:DI$20),$G481:$W481)</f>
        <v>0</v>
      </c>
      <c r="DJ481" s="93" cm="1">
        <f t="array" ref="DJ481">SUMPRODUCT(TRANSPOSE(DJ$4:DJ$20),$G481:$W481)</f>
        <v>0</v>
      </c>
      <c r="DK481" s="93" cm="1">
        <f t="array" ref="DK481">SUMPRODUCT(TRANSPOSE(DK$4:DK$20),$G481:$W481)</f>
        <v>0</v>
      </c>
      <c r="DL481" s="93" cm="1">
        <f t="array" ref="DL481">SUMPRODUCT(TRANSPOSE(DL$4:DL$20),$G481:$W481)</f>
        <v>0</v>
      </c>
      <c r="DM481" s="93" cm="1">
        <f t="array" ref="DM481">SUMPRODUCT(TRANSPOSE(DM$4:DM$20),$G481:$W481)</f>
        <v>0</v>
      </c>
      <c r="DN481" s="93" cm="1">
        <f t="array" ref="DN481">SUMPRODUCT(TRANSPOSE(DN$4:DN$20),$G481:$W481)</f>
        <v>0</v>
      </c>
      <c r="DO481" s="93" cm="1">
        <f t="array" ref="DO481">SUMPRODUCT(TRANSPOSE(DO$4:DO$20),$G481:$W481)</f>
        <v>0</v>
      </c>
    </row>
    <row r="482" spans="1:119" x14ac:dyDescent="0.2">
      <c r="A482" s="50">
        <f t="shared" si="33"/>
        <v>461</v>
      </c>
      <c r="B482" s="64" t="s">
        <v>999</v>
      </c>
      <c r="C482" s="45" t="s">
        <v>1000</v>
      </c>
      <c r="D482" s="45" t="s">
        <v>1001</v>
      </c>
      <c r="E482" s="45" t="s">
        <v>162</v>
      </c>
      <c r="F482" s="48">
        <v>2</v>
      </c>
      <c r="G482" s="100">
        <v>1</v>
      </c>
      <c r="H482" s="100">
        <v>0</v>
      </c>
      <c r="I482" s="100">
        <v>0</v>
      </c>
      <c r="J482" s="100">
        <v>0</v>
      </c>
      <c r="K482" s="100">
        <v>0</v>
      </c>
      <c r="L482" s="100">
        <v>0</v>
      </c>
      <c r="M482" s="100">
        <v>0</v>
      </c>
      <c r="N482" s="100">
        <v>0</v>
      </c>
      <c r="O482" s="100">
        <v>0</v>
      </c>
      <c r="P482" s="100">
        <v>0</v>
      </c>
      <c r="Q482" s="100">
        <v>0</v>
      </c>
      <c r="R482" s="100">
        <v>0</v>
      </c>
      <c r="S482" s="100">
        <v>0</v>
      </c>
      <c r="T482" s="100">
        <v>0</v>
      </c>
      <c r="U482" s="100">
        <v>0</v>
      </c>
      <c r="V482" s="100">
        <v>0</v>
      </c>
      <c r="W482" s="100">
        <v>0</v>
      </c>
      <c r="X482" s="45" t="s">
        <v>888</v>
      </c>
      <c r="Y482" s="49">
        <v>117.5</v>
      </c>
      <c r="Z482" s="45">
        <v>140</v>
      </c>
      <c r="AA482" s="45">
        <v>0</v>
      </c>
      <c r="AB482" s="45">
        <v>0</v>
      </c>
      <c r="AC482" s="45">
        <v>0</v>
      </c>
      <c r="AD482" s="45">
        <v>0</v>
      </c>
      <c r="AE482" s="45">
        <v>0</v>
      </c>
      <c r="AF482" s="45">
        <v>0</v>
      </c>
      <c r="AG482" s="45">
        <v>0</v>
      </c>
      <c r="AH482" s="45">
        <v>0</v>
      </c>
      <c r="AI482" s="45">
        <v>0</v>
      </c>
      <c r="AJ482" s="45">
        <v>0</v>
      </c>
      <c r="AK482" s="45">
        <v>0</v>
      </c>
      <c r="AL482" s="45">
        <v>0</v>
      </c>
      <c r="AM482" s="45">
        <v>0</v>
      </c>
      <c r="AN482" s="45">
        <v>0</v>
      </c>
      <c r="AO482" s="45"/>
      <c r="AP482" s="45"/>
      <c r="AQ482" s="45"/>
      <c r="AR482" s="45"/>
      <c r="AS482" s="45"/>
      <c r="AT482" s="45"/>
      <c r="AU482" s="45"/>
      <c r="AV482" s="45"/>
      <c r="AW482" s="45"/>
      <c r="AX482" s="45"/>
      <c r="AY482" s="45"/>
      <c r="AZ482" s="45"/>
      <c r="BA482" s="45"/>
      <c r="BB482" s="45"/>
      <c r="BC482" s="45"/>
      <c r="BD482" s="93"/>
      <c r="BE482" s="93"/>
      <c r="BF482" s="93"/>
      <c r="BG482" s="93"/>
      <c r="BH482" s="93"/>
      <c r="BI482" s="93"/>
      <c r="BJ482" s="93"/>
      <c r="BK482" s="93">
        <f>SUM($Z482:AD482)-SUM($CM482:CQ482)</f>
        <v>132</v>
      </c>
      <c r="BL482" s="93">
        <f>SUM($Z482:AE482)-SUM($CM482:CR482)</f>
        <v>124</v>
      </c>
      <c r="BM482" s="93">
        <f>SUM($Z482:AF482)-SUM($CM482:CS482)</f>
        <v>116</v>
      </c>
      <c r="BN482" s="93">
        <f>SUM($Z482:AG482)-SUM($CM482:CT482)</f>
        <v>108</v>
      </c>
      <c r="BO482" s="93">
        <f>SUM($Z482:AH482)-SUM($CM482:CU482)</f>
        <v>100</v>
      </c>
      <c r="BP482" s="93">
        <f>SUM($Z482:AI482)-SUM($CM482:CV482)</f>
        <v>92</v>
      </c>
      <c r="BQ482" s="93">
        <f>SUM($Z482:AJ482)-SUM($CM482:CW482)</f>
        <v>84</v>
      </c>
      <c r="BR482" s="93">
        <f>SUM($Z482:AK482)-SUM($CM482:CX482)</f>
        <v>76</v>
      </c>
      <c r="BS482" s="93">
        <f>SUM($Z482:AL482)-SUM($CM482:CY482)</f>
        <v>68</v>
      </c>
      <c r="BT482" s="93">
        <f>SUM($Z482:AM482)-SUM($CM482:CZ482)</f>
        <v>60</v>
      </c>
      <c r="BU482" s="93">
        <f>SUM($Z482:AN482)-SUM($CM482:DA482)</f>
        <v>52</v>
      </c>
      <c r="BV482" s="93">
        <f>SUM($Z482:AO482)-SUM($CM482:DB482)</f>
        <v>44</v>
      </c>
      <c r="BW482" s="93">
        <f>SUM($Z482:AP482)-SUM($CM482:DC482)</f>
        <v>38</v>
      </c>
      <c r="BX482" s="93">
        <f>SUM($Z482:AQ482)-SUM($CM482:DD482)</f>
        <v>38</v>
      </c>
      <c r="BY482" s="93">
        <f>SUM($Z482:AR482)-SUM($CM482:DE482)</f>
        <v>38</v>
      </c>
      <c r="BZ482" s="93">
        <f>SUM($Z482:AS482)-SUM($CM482:DF482)</f>
        <v>38</v>
      </c>
      <c r="CA482" s="93">
        <f>SUM($Z482:AT482)-SUM($CM482:DG482)</f>
        <v>38</v>
      </c>
      <c r="CB482" s="93">
        <f>SUM($Z482:AU482)-SUM($CM482:DH482)</f>
        <v>38</v>
      </c>
      <c r="CC482" s="93">
        <f>SUM($Z482:AV482)-SUM($CM482:DI482)</f>
        <v>38</v>
      </c>
      <c r="CD482" s="93">
        <f>SUM($Z482:AW482)-SUM($CM482:DJ482)</f>
        <v>38</v>
      </c>
      <c r="CE482" s="93">
        <f>SUM($Z482:AX482)-SUM($CM482:DK482)</f>
        <v>38</v>
      </c>
      <c r="CF482" s="93">
        <f>SUM($Z482:AY482)-SUM($CM482:DL482)</f>
        <v>38</v>
      </c>
      <c r="CG482" s="93">
        <f>SUM($Z482:AZ482)-SUM($CM482:DM482)</f>
        <v>38</v>
      </c>
      <c r="CH482" s="93">
        <f>SUM($Z482:BA482)-SUM($CM482:DN482)</f>
        <v>38</v>
      </c>
      <c r="CI482" s="93">
        <f>SUM($Z482:BB482)-SUM($CM482:DO482)</f>
        <v>38</v>
      </c>
      <c r="CJ482" s="93"/>
      <c r="CK482" s="93"/>
      <c r="CL482" s="93"/>
      <c r="CM482" s="93"/>
      <c r="CN482" s="93" cm="1">
        <f t="array" ref="CN482">SUMPRODUCT(TRANSPOSE(CN$4:CN$20),$G482:$W482)</f>
        <v>0</v>
      </c>
      <c r="CO482" s="93" cm="1">
        <f t="array" ref="CO482">SUMPRODUCT(TRANSPOSE(CO$4:CO$20),$G482:$W482)</f>
        <v>0</v>
      </c>
      <c r="CP482" s="93" cm="1">
        <f t="array" ref="CP482">SUMPRODUCT(TRANSPOSE(CP$4:CP$20),$G482:$W482)</f>
        <v>0</v>
      </c>
      <c r="CQ482" s="93" cm="1">
        <f t="array" ref="CQ482">SUMPRODUCT(TRANSPOSE(CQ$4:CQ$20),$G482:$W482)</f>
        <v>8</v>
      </c>
      <c r="CR482" s="93" cm="1">
        <f t="array" ref="CR482">SUMPRODUCT(TRANSPOSE(CR$4:CR$20),$G482:$W482)</f>
        <v>8</v>
      </c>
      <c r="CS482" s="93" cm="1">
        <f t="array" ref="CS482">SUMPRODUCT(TRANSPOSE(CS$4:CS$20),$G482:$W482)</f>
        <v>8</v>
      </c>
      <c r="CT482" s="93" cm="1">
        <f t="array" ref="CT482">SUMPRODUCT(TRANSPOSE(CT$4:CT$20),$G482:$W482)</f>
        <v>8</v>
      </c>
      <c r="CU482" s="93" cm="1">
        <f t="array" ref="CU482">SUMPRODUCT(TRANSPOSE(CU$4:CU$20),$G482:$W482)</f>
        <v>8</v>
      </c>
      <c r="CV482" s="93" cm="1">
        <f t="array" ref="CV482">SUMPRODUCT(TRANSPOSE(CV$4:CV$20),$G482:$W482)</f>
        <v>8</v>
      </c>
      <c r="CW482" s="93" cm="1">
        <f t="array" ref="CW482">SUMPRODUCT(TRANSPOSE(CW$4:CW$20),$G482:$W482)</f>
        <v>8</v>
      </c>
      <c r="CX482" s="93" cm="1">
        <f t="array" ref="CX482">SUMPRODUCT(TRANSPOSE(CX$4:CX$20),$G482:$W482)</f>
        <v>8</v>
      </c>
      <c r="CY482" s="93" cm="1">
        <f t="array" ref="CY482">SUMPRODUCT(TRANSPOSE(CY$4:CY$20),$G482:$W482)</f>
        <v>8</v>
      </c>
      <c r="CZ482" s="93" cm="1">
        <f t="array" ref="CZ482">SUMPRODUCT(TRANSPOSE(CZ$4:CZ$20),$G482:$W482)</f>
        <v>8</v>
      </c>
      <c r="DA482" s="93" cm="1">
        <f t="array" ref="DA482">SUMPRODUCT(TRANSPOSE(DA$4:DA$20),$G482:$W482)</f>
        <v>8</v>
      </c>
      <c r="DB482" s="93" cm="1">
        <f t="array" ref="DB482">SUMPRODUCT(TRANSPOSE(DB$4:DB$20),$G482:$W482)</f>
        <v>8</v>
      </c>
      <c r="DC482" s="93" cm="1">
        <f t="array" ref="DC482">SUMPRODUCT(TRANSPOSE(DC$4:DC$20),$G482:$W482)</f>
        <v>6</v>
      </c>
      <c r="DD482" s="93" cm="1">
        <f t="array" ref="DD482">SUMPRODUCT(TRANSPOSE(DD$4:DD$20),$G482:$W482)</f>
        <v>0</v>
      </c>
      <c r="DE482" s="93" cm="1">
        <f t="array" ref="DE482">SUMPRODUCT(TRANSPOSE(DE$4:DE$20),$G482:$W482)</f>
        <v>0</v>
      </c>
      <c r="DF482" s="93" cm="1">
        <f t="array" ref="DF482">SUMPRODUCT(TRANSPOSE(DF$4:DF$20),$G482:$W482)</f>
        <v>0</v>
      </c>
      <c r="DG482" s="93" cm="1">
        <f t="array" ref="DG482">SUMPRODUCT(TRANSPOSE(DG$4:DG$20),$G482:$W482)</f>
        <v>0</v>
      </c>
      <c r="DH482" s="93" cm="1">
        <f t="array" ref="DH482">SUMPRODUCT(TRANSPOSE(DH$4:DH$20),$G482:$W482)</f>
        <v>0</v>
      </c>
      <c r="DI482" s="93" cm="1">
        <f t="array" ref="DI482">SUMPRODUCT(TRANSPOSE(DI$4:DI$20),$G482:$W482)</f>
        <v>0</v>
      </c>
      <c r="DJ482" s="93" cm="1">
        <f t="array" ref="DJ482">SUMPRODUCT(TRANSPOSE(DJ$4:DJ$20),$G482:$W482)</f>
        <v>0</v>
      </c>
      <c r="DK482" s="93" cm="1">
        <f t="array" ref="DK482">SUMPRODUCT(TRANSPOSE(DK$4:DK$20),$G482:$W482)</f>
        <v>0</v>
      </c>
      <c r="DL482" s="93" cm="1">
        <f t="array" ref="DL482">SUMPRODUCT(TRANSPOSE(DL$4:DL$20),$G482:$W482)</f>
        <v>0</v>
      </c>
      <c r="DM482" s="93" cm="1">
        <f t="array" ref="DM482">SUMPRODUCT(TRANSPOSE(DM$4:DM$20),$G482:$W482)</f>
        <v>0</v>
      </c>
      <c r="DN482" s="93" cm="1">
        <f t="array" ref="DN482">SUMPRODUCT(TRANSPOSE(DN$4:DN$20),$G482:$W482)</f>
        <v>0</v>
      </c>
      <c r="DO482" s="93" cm="1">
        <f t="array" ref="DO482">SUMPRODUCT(TRANSPOSE(DO$4:DO$20),$G482:$W482)</f>
        <v>0</v>
      </c>
    </row>
    <row r="483" spans="1:119" x14ac:dyDescent="0.2">
      <c r="A483" s="50">
        <f t="shared" si="33"/>
        <v>462</v>
      </c>
      <c r="B483" s="64" t="s">
        <v>1002</v>
      </c>
      <c r="C483" s="45">
        <v>405886459</v>
      </c>
      <c r="D483" s="45" t="s">
        <v>1003</v>
      </c>
      <c r="E483" s="45" t="s">
        <v>162</v>
      </c>
      <c r="F483" s="48">
        <v>1</v>
      </c>
      <c r="G483" s="100">
        <v>1</v>
      </c>
      <c r="H483" s="100">
        <v>0</v>
      </c>
      <c r="I483" s="100">
        <v>0</v>
      </c>
      <c r="J483" s="100">
        <v>0</v>
      </c>
      <c r="K483" s="100">
        <v>0</v>
      </c>
      <c r="L483" s="100">
        <v>0</v>
      </c>
      <c r="M483" s="100">
        <v>0</v>
      </c>
      <c r="N483" s="100">
        <v>0</v>
      </c>
      <c r="O483" s="100">
        <v>0</v>
      </c>
      <c r="P483" s="100">
        <v>0</v>
      </c>
      <c r="Q483" s="100">
        <v>0</v>
      </c>
      <c r="R483" s="100">
        <v>0</v>
      </c>
      <c r="S483" s="100">
        <v>0</v>
      </c>
      <c r="T483" s="100">
        <v>0</v>
      </c>
      <c r="U483" s="100">
        <v>0</v>
      </c>
      <c r="V483" s="100">
        <v>0</v>
      </c>
      <c r="W483" s="100">
        <v>0</v>
      </c>
      <c r="X483" s="45" t="s">
        <v>1004</v>
      </c>
      <c r="Y483" s="53">
        <v>278.25200000000001</v>
      </c>
      <c r="Z483" s="45">
        <v>5</v>
      </c>
      <c r="AA483" s="45">
        <v>0</v>
      </c>
      <c r="AB483" s="45">
        <v>0</v>
      </c>
      <c r="AC483" s="45">
        <v>0</v>
      </c>
      <c r="AD483" s="45">
        <v>0</v>
      </c>
      <c r="AE483" s="45">
        <v>0</v>
      </c>
      <c r="AF483" s="45">
        <v>0</v>
      </c>
      <c r="AG483" s="45">
        <v>0</v>
      </c>
      <c r="AH483" s="45">
        <v>0</v>
      </c>
      <c r="AI483" s="45">
        <v>0</v>
      </c>
      <c r="AJ483" s="45">
        <v>0</v>
      </c>
      <c r="AK483" s="45">
        <v>0</v>
      </c>
      <c r="AL483" s="45">
        <v>0</v>
      </c>
      <c r="AM483" s="45">
        <v>0</v>
      </c>
      <c r="AN483" s="45">
        <v>0</v>
      </c>
      <c r="AO483" s="45"/>
      <c r="AP483" s="45"/>
      <c r="AQ483" s="45"/>
      <c r="AR483" s="45"/>
      <c r="AS483" s="45"/>
      <c r="AT483" s="45"/>
      <c r="AU483" s="45"/>
      <c r="AV483" s="45"/>
      <c r="AW483" s="45"/>
      <c r="AX483" s="45"/>
      <c r="AY483" s="45"/>
      <c r="AZ483" s="45"/>
      <c r="BA483" s="45"/>
      <c r="BB483" s="45"/>
      <c r="BC483" s="45"/>
      <c r="BD483" s="93"/>
      <c r="BE483" s="93"/>
      <c r="BF483" s="93"/>
      <c r="BG483" s="93"/>
      <c r="BH483" s="93"/>
      <c r="BI483" s="93"/>
      <c r="BJ483" s="93"/>
      <c r="BK483" s="93">
        <f>SUM($Z483:AD483)-SUM($CM483:CQ483)</f>
        <v>-3</v>
      </c>
      <c r="BL483" s="93">
        <f>SUM($Z483:AE483)-SUM($CM483:CR483)</f>
        <v>-11</v>
      </c>
      <c r="BM483" s="93">
        <f>SUM($Z483:AF483)-SUM($CM483:CS483)</f>
        <v>-19</v>
      </c>
      <c r="BN483" s="93">
        <f>SUM($Z483:AG483)-SUM($CM483:CT483)</f>
        <v>-27</v>
      </c>
      <c r="BO483" s="93">
        <f>SUM($Z483:AH483)-SUM($CM483:CU483)</f>
        <v>-35</v>
      </c>
      <c r="BP483" s="93">
        <f>SUM($Z483:AI483)-SUM($CM483:CV483)</f>
        <v>-43</v>
      </c>
      <c r="BQ483" s="93">
        <f>SUM($Z483:AJ483)-SUM($CM483:CW483)</f>
        <v>-51</v>
      </c>
      <c r="BR483" s="93">
        <f>SUM($Z483:AK483)-SUM($CM483:CX483)</f>
        <v>-59</v>
      </c>
      <c r="BS483" s="93">
        <f>SUM($Z483:AL483)-SUM($CM483:CY483)</f>
        <v>-67</v>
      </c>
      <c r="BT483" s="93">
        <f>SUM($Z483:AM483)-SUM($CM483:CZ483)</f>
        <v>-75</v>
      </c>
      <c r="BU483" s="93">
        <f>SUM($Z483:AN483)-SUM($CM483:DA483)</f>
        <v>-83</v>
      </c>
      <c r="BV483" s="93">
        <f>SUM($Z483:AO483)-SUM($CM483:DB483)</f>
        <v>-91</v>
      </c>
      <c r="BW483" s="93">
        <f>SUM($Z483:AP483)-SUM($CM483:DC483)</f>
        <v>-97</v>
      </c>
      <c r="BX483" s="93">
        <f>SUM($Z483:AQ483)-SUM($CM483:DD483)</f>
        <v>-97</v>
      </c>
      <c r="BY483" s="93">
        <f>SUM($Z483:AR483)-SUM($CM483:DE483)</f>
        <v>-97</v>
      </c>
      <c r="BZ483" s="93">
        <f>SUM($Z483:AS483)-SUM($CM483:DF483)</f>
        <v>-97</v>
      </c>
      <c r="CA483" s="93">
        <f>SUM($Z483:AT483)-SUM($CM483:DG483)</f>
        <v>-97</v>
      </c>
      <c r="CB483" s="93">
        <f>SUM($Z483:AU483)-SUM($CM483:DH483)</f>
        <v>-97</v>
      </c>
      <c r="CC483" s="93">
        <f>SUM($Z483:AV483)-SUM($CM483:DI483)</f>
        <v>-97</v>
      </c>
      <c r="CD483" s="93">
        <f>SUM($Z483:AW483)-SUM($CM483:DJ483)</f>
        <v>-97</v>
      </c>
      <c r="CE483" s="93">
        <f>SUM($Z483:AX483)-SUM($CM483:DK483)</f>
        <v>-97</v>
      </c>
      <c r="CF483" s="93">
        <f>SUM($Z483:AY483)-SUM($CM483:DL483)</f>
        <v>-97</v>
      </c>
      <c r="CG483" s="93">
        <f>SUM($Z483:AZ483)-SUM($CM483:DM483)</f>
        <v>-97</v>
      </c>
      <c r="CH483" s="93">
        <f>SUM($Z483:BA483)-SUM($CM483:DN483)</f>
        <v>-97</v>
      </c>
      <c r="CI483" s="93">
        <f>SUM($Z483:BB483)-SUM($CM483:DO483)</f>
        <v>-97</v>
      </c>
      <c r="CJ483" s="93"/>
      <c r="CK483" s="93"/>
      <c r="CL483" s="93"/>
      <c r="CM483" s="93"/>
      <c r="CN483" s="93" cm="1">
        <f t="array" ref="CN483">SUMPRODUCT(TRANSPOSE(CN$4:CN$20),$G483:$W483)</f>
        <v>0</v>
      </c>
      <c r="CO483" s="93" cm="1">
        <f t="array" ref="CO483">SUMPRODUCT(TRANSPOSE(CO$4:CO$20),$G483:$W483)</f>
        <v>0</v>
      </c>
      <c r="CP483" s="93" cm="1">
        <f t="array" ref="CP483">SUMPRODUCT(TRANSPOSE(CP$4:CP$20),$G483:$W483)</f>
        <v>0</v>
      </c>
      <c r="CQ483" s="93" cm="1">
        <f t="array" ref="CQ483">SUMPRODUCT(TRANSPOSE(CQ$4:CQ$20),$G483:$W483)</f>
        <v>8</v>
      </c>
      <c r="CR483" s="93" cm="1">
        <f t="array" ref="CR483">SUMPRODUCT(TRANSPOSE(CR$4:CR$20),$G483:$W483)</f>
        <v>8</v>
      </c>
      <c r="CS483" s="93" cm="1">
        <f t="array" ref="CS483">SUMPRODUCT(TRANSPOSE(CS$4:CS$20),$G483:$W483)</f>
        <v>8</v>
      </c>
      <c r="CT483" s="93" cm="1">
        <f t="array" ref="CT483">SUMPRODUCT(TRANSPOSE(CT$4:CT$20),$G483:$W483)</f>
        <v>8</v>
      </c>
      <c r="CU483" s="93" cm="1">
        <f t="array" ref="CU483">SUMPRODUCT(TRANSPOSE(CU$4:CU$20),$G483:$W483)</f>
        <v>8</v>
      </c>
      <c r="CV483" s="93" cm="1">
        <f t="array" ref="CV483">SUMPRODUCT(TRANSPOSE(CV$4:CV$20),$G483:$W483)</f>
        <v>8</v>
      </c>
      <c r="CW483" s="93" cm="1">
        <f t="array" ref="CW483">SUMPRODUCT(TRANSPOSE(CW$4:CW$20),$G483:$W483)</f>
        <v>8</v>
      </c>
      <c r="CX483" s="93" cm="1">
        <f t="array" ref="CX483">SUMPRODUCT(TRANSPOSE(CX$4:CX$20),$G483:$W483)</f>
        <v>8</v>
      </c>
      <c r="CY483" s="93" cm="1">
        <f t="array" ref="CY483">SUMPRODUCT(TRANSPOSE(CY$4:CY$20),$G483:$W483)</f>
        <v>8</v>
      </c>
      <c r="CZ483" s="93" cm="1">
        <f t="array" ref="CZ483">SUMPRODUCT(TRANSPOSE(CZ$4:CZ$20),$G483:$W483)</f>
        <v>8</v>
      </c>
      <c r="DA483" s="93" cm="1">
        <f t="array" ref="DA483">SUMPRODUCT(TRANSPOSE(DA$4:DA$20),$G483:$W483)</f>
        <v>8</v>
      </c>
      <c r="DB483" s="93" cm="1">
        <f t="array" ref="DB483">SUMPRODUCT(TRANSPOSE(DB$4:DB$20),$G483:$W483)</f>
        <v>8</v>
      </c>
      <c r="DC483" s="93" cm="1">
        <f t="array" ref="DC483">SUMPRODUCT(TRANSPOSE(DC$4:DC$20),$G483:$W483)</f>
        <v>6</v>
      </c>
      <c r="DD483" s="93" cm="1">
        <f t="array" ref="DD483">SUMPRODUCT(TRANSPOSE(DD$4:DD$20),$G483:$W483)</f>
        <v>0</v>
      </c>
      <c r="DE483" s="93" cm="1">
        <f t="array" ref="DE483">SUMPRODUCT(TRANSPOSE(DE$4:DE$20),$G483:$W483)</f>
        <v>0</v>
      </c>
      <c r="DF483" s="93" cm="1">
        <f t="array" ref="DF483">SUMPRODUCT(TRANSPOSE(DF$4:DF$20),$G483:$W483)</f>
        <v>0</v>
      </c>
      <c r="DG483" s="93" cm="1">
        <f t="array" ref="DG483">SUMPRODUCT(TRANSPOSE(DG$4:DG$20),$G483:$W483)</f>
        <v>0</v>
      </c>
      <c r="DH483" s="93" cm="1">
        <f t="array" ref="DH483">SUMPRODUCT(TRANSPOSE(DH$4:DH$20),$G483:$W483)</f>
        <v>0</v>
      </c>
      <c r="DI483" s="93" cm="1">
        <f t="array" ref="DI483">SUMPRODUCT(TRANSPOSE(DI$4:DI$20),$G483:$W483)</f>
        <v>0</v>
      </c>
      <c r="DJ483" s="93" cm="1">
        <f t="array" ref="DJ483">SUMPRODUCT(TRANSPOSE(DJ$4:DJ$20),$G483:$W483)</f>
        <v>0</v>
      </c>
      <c r="DK483" s="93" cm="1">
        <f t="array" ref="DK483">SUMPRODUCT(TRANSPOSE(DK$4:DK$20),$G483:$W483)</f>
        <v>0</v>
      </c>
      <c r="DL483" s="93" cm="1">
        <f t="array" ref="DL483">SUMPRODUCT(TRANSPOSE(DL$4:DL$20),$G483:$W483)</f>
        <v>0</v>
      </c>
      <c r="DM483" s="93" cm="1">
        <f t="array" ref="DM483">SUMPRODUCT(TRANSPOSE(DM$4:DM$20),$G483:$W483)</f>
        <v>0</v>
      </c>
      <c r="DN483" s="93" cm="1">
        <f t="array" ref="DN483">SUMPRODUCT(TRANSPOSE(DN$4:DN$20),$G483:$W483)</f>
        <v>0</v>
      </c>
      <c r="DO483" s="93" cm="1">
        <f t="array" ref="DO483">SUMPRODUCT(TRANSPOSE(DO$4:DO$20),$G483:$W483)</f>
        <v>0</v>
      </c>
    </row>
    <row r="484" spans="1:119" x14ac:dyDescent="0.2">
      <c r="A484" s="50">
        <f t="shared" si="33"/>
        <v>463</v>
      </c>
      <c r="B484" s="64" t="s">
        <v>1005</v>
      </c>
      <c r="C484" s="45">
        <v>401625706</v>
      </c>
      <c r="D484" s="45" t="s">
        <v>1006</v>
      </c>
      <c r="E484" s="45" t="s">
        <v>162</v>
      </c>
      <c r="F484" s="48">
        <v>1</v>
      </c>
      <c r="G484" s="100">
        <v>1</v>
      </c>
      <c r="H484" s="100">
        <v>0</v>
      </c>
      <c r="I484" s="100">
        <v>0</v>
      </c>
      <c r="J484" s="100">
        <v>0</v>
      </c>
      <c r="K484" s="100">
        <v>0</v>
      </c>
      <c r="L484" s="100">
        <v>0</v>
      </c>
      <c r="M484" s="100">
        <v>0</v>
      </c>
      <c r="N484" s="100">
        <v>0</v>
      </c>
      <c r="O484" s="100">
        <v>0</v>
      </c>
      <c r="P484" s="100">
        <v>0</v>
      </c>
      <c r="Q484" s="100">
        <v>0</v>
      </c>
      <c r="R484" s="100">
        <v>0</v>
      </c>
      <c r="S484" s="100">
        <v>0</v>
      </c>
      <c r="T484" s="100">
        <v>0</v>
      </c>
      <c r="U484" s="100">
        <v>0</v>
      </c>
      <c r="V484" s="100">
        <v>0</v>
      </c>
      <c r="W484" s="100">
        <v>0</v>
      </c>
      <c r="X484" s="45" t="s">
        <v>8</v>
      </c>
      <c r="Y484" s="49">
        <v>0</v>
      </c>
      <c r="Z484" s="45">
        <v>50</v>
      </c>
      <c r="AA484" s="45">
        <v>0</v>
      </c>
      <c r="AB484" s="45">
        <v>0</v>
      </c>
      <c r="AC484" s="45">
        <v>0</v>
      </c>
      <c r="AD484" s="45">
        <v>0</v>
      </c>
      <c r="AE484" s="45">
        <v>0</v>
      </c>
      <c r="AF484" s="45">
        <v>0</v>
      </c>
      <c r="AG484" s="45">
        <v>0</v>
      </c>
      <c r="AH484" s="45">
        <v>0</v>
      </c>
      <c r="AI484" s="45">
        <v>0</v>
      </c>
      <c r="AJ484" s="45">
        <v>0</v>
      </c>
      <c r="AK484" s="45">
        <v>0</v>
      </c>
      <c r="AL484" s="45">
        <v>0</v>
      </c>
      <c r="AM484" s="45">
        <v>0</v>
      </c>
      <c r="AN484" s="45">
        <v>0</v>
      </c>
      <c r="AO484" s="45"/>
      <c r="AP484" s="45"/>
      <c r="AQ484" s="45"/>
      <c r="AR484" s="45"/>
      <c r="AS484" s="45"/>
      <c r="AT484" s="45"/>
      <c r="AU484" s="45"/>
      <c r="AV484" s="45"/>
      <c r="AW484" s="45"/>
      <c r="AX484" s="45"/>
      <c r="AY484" s="45"/>
      <c r="AZ484" s="45"/>
      <c r="BA484" s="45"/>
      <c r="BB484" s="45"/>
      <c r="BC484" s="45"/>
      <c r="BD484" s="93"/>
      <c r="BE484" s="93"/>
      <c r="BF484" s="93"/>
      <c r="BG484" s="93"/>
      <c r="BH484" s="93"/>
      <c r="BI484" s="93"/>
      <c r="BJ484" s="93"/>
      <c r="BK484" s="93">
        <f>SUM($Z484:AD484)-SUM($CM484:CQ484)</f>
        <v>42</v>
      </c>
      <c r="BL484" s="93">
        <f>SUM($Z484:AE484)-SUM($CM484:CR484)</f>
        <v>34</v>
      </c>
      <c r="BM484" s="93">
        <f>SUM($Z484:AF484)-SUM($CM484:CS484)</f>
        <v>26</v>
      </c>
      <c r="BN484" s="93">
        <f>SUM($Z484:AG484)-SUM($CM484:CT484)</f>
        <v>18</v>
      </c>
      <c r="BO484" s="93">
        <f>SUM($Z484:AH484)-SUM($CM484:CU484)</f>
        <v>10</v>
      </c>
      <c r="BP484" s="93">
        <f>SUM($Z484:AI484)-SUM($CM484:CV484)</f>
        <v>2</v>
      </c>
      <c r="BQ484" s="93">
        <f>SUM($Z484:AJ484)-SUM($CM484:CW484)</f>
        <v>-6</v>
      </c>
      <c r="BR484" s="93">
        <f>SUM($Z484:AK484)-SUM($CM484:CX484)</f>
        <v>-14</v>
      </c>
      <c r="BS484" s="93">
        <f>SUM($Z484:AL484)-SUM($CM484:CY484)</f>
        <v>-22</v>
      </c>
      <c r="BT484" s="93">
        <f>SUM($Z484:AM484)-SUM($CM484:CZ484)</f>
        <v>-30</v>
      </c>
      <c r="BU484" s="93">
        <f>SUM($Z484:AN484)-SUM($CM484:DA484)</f>
        <v>-38</v>
      </c>
      <c r="BV484" s="93">
        <f>SUM($Z484:AO484)-SUM($CM484:DB484)</f>
        <v>-46</v>
      </c>
      <c r="BW484" s="93">
        <f>SUM($Z484:AP484)-SUM($CM484:DC484)</f>
        <v>-52</v>
      </c>
      <c r="BX484" s="93">
        <f>SUM($Z484:AQ484)-SUM($CM484:DD484)</f>
        <v>-52</v>
      </c>
      <c r="BY484" s="93">
        <f>SUM($Z484:AR484)-SUM($CM484:DE484)</f>
        <v>-52</v>
      </c>
      <c r="BZ484" s="93">
        <f>SUM($Z484:AS484)-SUM($CM484:DF484)</f>
        <v>-52</v>
      </c>
      <c r="CA484" s="93">
        <f>SUM($Z484:AT484)-SUM($CM484:DG484)</f>
        <v>-52</v>
      </c>
      <c r="CB484" s="93">
        <f>SUM($Z484:AU484)-SUM($CM484:DH484)</f>
        <v>-52</v>
      </c>
      <c r="CC484" s="93">
        <f>SUM($Z484:AV484)-SUM($CM484:DI484)</f>
        <v>-52</v>
      </c>
      <c r="CD484" s="93">
        <f>SUM($Z484:AW484)-SUM($CM484:DJ484)</f>
        <v>-52</v>
      </c>
      <c r="CE484" s="93">
        <f>SUM($Z484:AX484)-SUM($CM484:DK484)</f>
        <v>-52</v>
      </c>
      <c r="CF484" s="93">
        <f>SUM($Z484:AY484)-SUM($CM484:DL484)</f>
        <v>-52</v>
      </c>
      <c r="CG484" s="93">
        <f>SUM($Z484:AZ484)-SUM($CM484:DM484)</f>
        <v>-52</v>
      </c>
      <c r="CH484" s="93">
        <f>SUM($Z484:BA484)-SUM($CM484:DN484)</f>
        <v>-52</v>
      </c>
      <c r="CI484" s="93">
        <f>SUM($Z484:BB484)-SUM($CM484:DO484)</f>
        <v>-52</v>
      </c>
      <c r="CJ484" s="93"/>
      <c r="CK484" s="93"/>
      <c r="CL484" s="93"/>
      <c r="CM484" s="93"/>
      <c r="CN484" s="93" cm="1">
        <f t="array" ref="CN484">SUMPRODUCT(TRANSPOSE(CN$4:CN$20),$G484:$W484)</f>
        <v>0</v>
      </c>
      <c r="CO484" s="93" cm="1">
        <f t="array" ref="CO484">SUMPRODUCT(TRANSPOSE(CO$4:CO$20),$G484:$W484)</f>
        <v>0</v>
      </c>
      <c r="CP484" s="93" cm="1">
        <f t="array" ref="CP484">SUMPRODUCT(TRANSPOSE(CP$4:CP$20),$G484:$W484)</f>
        <v>0</v>
      </c>
      <c r="CQ484" s="93" cm="1">
        <f t="array" ref="CQ484">SUMPRODUCT(TRANSPOSE(CQ$4:CQ$20),$G484:$W484)</f>
        <v>8</v>
      </c>
      <c r="CR484" s="93" cm="1">
        <f t="array" ref="CR484">SUMPRODUCT(TRANSPOSE(CR$4:CR$20),$G484:$W484)</f>
        <v>8</v>
      </c>
      <c r="CS484" s="93" cm="1">
        <f t="array" ref="CS484">SUMPRODUCT(TRANSPOSE(CS$4:CS$20),$G484:$W484)</f>
        <v>8</v>
      </c>
      <c r="CT484" s="93" cm="1">
        <f t="array" ref="CT484">SUMPRODUCT(TRANSPOSE(CT$4:CT$20),$G484:$W484)</f>
        <v>8</v>
      </c>
      <c r="CU484" s="93" cm="1">
        <f t="array" ref="CU484">SUMPRODUCT(TRANSPOSE(CU$4:CU$20),$G484:$W484)</f>
        <v>8</v>
      </c>
      <c r="CV484" s="93" cm="1">
        <f t="array" ref="CV484">SUMPRODUCT(TRANSPOSE(CV$4:CV$20),$G484:$W484)</f>
        <v>8</v>
      </c>
      <c r="CW484" s="93" cm="1">
        <f t="array" ref="CW484">SUMPRODUCT(TRANSPOSE(CW$4:CW$20),$G484:$W484)</f>
        <v>8</v>
      </c>
      <c r="CX484" s="93" cm="1">
        <f t="array" ref="CX484">SUMPRODUCT(TRANSPOSE(CX$4:CX$20),$G484:$W484)</f>
        <v>8</v>
      </c>
      <c r="CY484" s="93" cm="1">
        <f t="array" ref="CY484">SUMPRODUCT(TRANSPOSE(CY$4:CY$20),$G484:$W484)</f>
        <v>8</v>
      </c>
      <c r="CZ484" s="93" cm="1">
        <f t="array" ref="CZ484">SUMPRODUCT(TRANSPOSE(CZ$4:CZ$20),$G484:$W484)</f>
        <v>8</v>
      </c>
      <c r="DA484" s="93" cm="1">
        <f t="array" ref="DA484">SUMPRODUCT(TRANSPOSE(DA$4:DA$20),$G484:$W484)</f>
        <v>8</v>
      </c>
      <c r="DB484" s="93" cm="1">
        <f t="array" ref="DB484">SUMPRODUCT(TRANSPOSE(DB$4:DB$20),$G484:$W484)</f>
        <v>8</v>
      </c>
      <c r="DC484" s="93" cm="1">
        <f t="array" ref="DC484">SUMPRODUCT(TRANSPOSE(DC$4:DC$20),$G484:$W484)</f>
        <v>6</v>
      </c>
      <c r="DD484" s="93" cm="1">
        <f t="array" ref="DD484">SUMPRODUCT(TRANSPOSE(DD$4:DD$20),$G484:$W484)</f>
        <v>0</v>
      </c>
      <c r="DE484" s="93" cm="1">
        <f t="array" ref="DE484">SUMPRODUCT(TRANSPOSE(DE$4:DE$20),$G484:$W484)</f>
        <v>0</v>
      </c>
      <c r="DF484" s="93" cm="1">
        <f t="array" ref="DF484">SUMPRODUCT(TRANSPOSE(DF$4:DF$20),$G484:$W484)</f>
        <v>0</v>
      </c>
      <c r="DG484" s="93" cm="1">
        <f t="array" ref="DG484">SUMPRODUCT(TRANSPOSE(DG$4:DG$20),$G484:$W484)</f>
        <v>0</v>
      </c>
      <c r="DH484" s="93" cm="1">
        <f t="array" ref="DH484">SUMPRODUCT(TRANSPOSE(DH$4:DH$20),$G484:$W484)</f>
        <v>0</v>
      </c>
      <c r="DI484" s="93" cm="1">
        <f t="array" ref="DI484">SUMPRODUCT(TRANSPOSE(DI$4:DI$20),$G484:$W484)</f>
        <v>0</v>
      </c>
      <c r="DJ484" s="93" cm="1">
        <f t="array" ref="DJ484">SUMPRODUCT(TRANSPOSE(DJ$4:DJ$20),$G484:$W484)</f>
        <v>0</v>
      </c>
      <c r="DK484" s="93" cm="1">
        <f t="array" ref="DK484">SUMPRODUCT(TRANSPOSE(DK$4:DK$20),$G484:$W484)</f>
        <v>0</v>
      </c>
      <c r="DL484" s="93" cm="1">
        <f t="array" ref="DL484">SUMPRODUCT(TRANSPOSE(DL$4:DL$20),$G484:$W484)</f>
        <v>0</v>
      </c>
      <c r="DM484" s="93" cm="1">
        <f t="array" ref="DM484">SUMPRODUCT(TRANSPOSE(DM$4:DM$20),$G484:$W484)</f>
        <v>0</v>
      </c>
      <c r="DN484" s="93" cm="1">
        <f t="array" ref="DN484">SUMPRODUCT(TRANSPOSE(DN$4:DN$20),$G484:$W484)</f>
        <v>0</v>
      </c>
      <c r="DO484" s="93" cm="1">
        <f t="array" ref="DO484">SUMPRODUCT(TRANSPOSE(DO$4:DO$20),$G484:$W484)</f>
        <v>0</v>
      </c>
    </row>
    <row r="485" spans="1:119" x14ac:dyDescent="0.2">
      <c r="A485" s="50">
        <f t="shared" si="33"/>
        <v>464</v>
      </c>
      <c r="B485" s="64" t="s">
        <v>1007</v>
      </c>
      <c r="C485" s="82">
        <v>413281439</v>
      </c>
      <c r="D485" s="45" t="s">
        <v>870</v>
      </c>
      <c r="E485" s="45" t="s">
        <v>162</v>
      </c>
      <c r="F485" s="45"/>
      <c r="G485" s="100">
        <v>1</v>
      </c>
      <c r="H485" s="100">
        <v>0</v>
      </c>
      <c r="I485" s="100">
        <v>0</v>
      </c>
      <c r="J485" s="100">
        <v>0</v>
      </c>
      <c r="K485" s="100">
        <v>0</v>
      </c>
      <c r="L485" s="100">
        <v>0</v>
      </c>
      <c r="M485" s="100">
        <v>0</v>
      </c>
      <c r="N485" s="100">
        <v>0</v>
      </c>
      <c r="O485" s="100">
        <v>0</v>
      </c>
      <c r="P485" s="100">
        <v>0</v>
      </c>
      <c r="Q485" s="100">
        <v>0</v>
      </c>
      <c r="R485" s="100">
        <v>0</v>
      </c>
      <c r="S485" s="100">
        <v>0</v>
      </c>
      <c r="T485" s="100">
        <v>0</v>
      </c>
      <c r="U485" s="100">
        <v>0</v>
      </c>
      <c r="V485" s="100">
        <v>0</v>
      </c>
      <c r="W485" s="100">
        <v>0</v>
      </c>
      <c r="X485" s="45" t="s">
        <v>44</v>
      </c>
      <c r="Y485" s="83">
        <v>3.9</v>
      </c>
      <c r="Z485" s="45">
        <v>130</v>
      </c>
      <c r="AA485" s="45">
        <v>0</v>
      </c>
      <c r="AB485" s="45">
        <v>0</v>
      </c>
      <c r="AC485" s="45">
        <v>0</v>
      </c>
      <c r="AD485" s="45">
        <v>0</v>
      </c>
      <c r="AE485" s="45">
        <v>0</v>
      </c>
      <c r="AF485" s="45">
        <v>0</v>
      </c>
      <c r="AG485" s="45">
        <v>0</v>
      </c>
      <c r="AH485" s="45">
        <v>0</v>
      </c>
      <c r="AI485" s="45">
        <v>0</v>
      </c>
      <c r="AJ485" s="45">
        <v>0</v>
      </c>
      <c r="AK485" s="45">
        <v>0</v>
      </c>
      <c r="AL485" s="45">
        <v>0</v>
      </c>
      <c r="AM485" s="45">
        <v>0</v>
      </c>
      <c r="AN485" s="45">
        <v>0</v>
      </c>
      <c r="AO485" s="45"/>
      <c r="AP485" s="45"/>
      <c r="AQ485" s="45"/>
      <c r="AR485" s="45"/>
      <c r="AS485" s="45"/>
      <c r="AT485" s="45"/>
      <c r="AU485" s="45"/>
      <c r="AV485" s="45"/>
      <c r="AW485" s="45"/>
      <c r="AX485" s="45"/>
      <c r="AY485" s="45"/>
      <c r="AZ485" s="45"/>
      <c r="BA485" s="45"/>
      <c r="BB485" s="45"/>
      <c r="BC485" s="45"/>
      <c r="BD485" s="93"/>
      <c r="BE485" s="93"/>
      <c r="BF485" s="93"/>
      <c r="BG485" s="93"/>
      <c r="BH485" s="93"/>
      <c r="BI485" s="93"/>
      <c r="BJ485" s="93"/>
      <c r="BK485" s="93">
        <f>SUM($Z485:AD485)-SUM($CM485:CQ485)</f>
        <v>122</v>
      </c>
      <c r="BL485" s="93">
        <f>SUM($Z485:AE485)-SUM($CM485:CR485)</f>
        <v>114</v>
      </c>
      <c r="BM485" s="93">
        <f>SUM($Z485:AF485)-SUM($CM485:CS485)</f>
        <v>106</v>
      </c>
      <c r="BN485" s="93">
        <f>SUM($Z485:AG485)-SUM($CM485:CT485)</f>
        <v>98</v>
      </c>
      <c r="BO485" s="93">
        <f>SUM($Z485:AH485)-SUM($CM485:CU485)</f>
        <v>90</v>
      </c>
      <c r="BP485" s="93">
        <f>SUM($Z485:AI485)-SUM($CM485:CV485)</f>
        <v>82</v>
      </c>
      <c r="BQ485" s="93">
        <f>SUM($Z485:AJ485)-SUM($CM485:CW485)</f>
        <v>74</v>
      </c>
      <c r="BR485" s="93">
        <f>SUM($Z485:AK485)-SUM($CM485:CX485)</f>
        <v>66</v>
      </c>
      <c r="BS485" s="93">
        <f>SUM($Z485:AL485)-SUM($CM485:CY485)</f>
        <v>58</v>
      </c>
      <c r="BT485" s="93">
        <f>SUM($Z485:AM485)-SUM($CM485:CZ485)</f>
        <v>50</v>
      </c>
      <c r="BU485" s="93">
        <f>SUM($Z485:AN485)-SUM($CM485:DA485)</f>
        <v>42</v>
      </c>
      <c r="BV485" s="93">
        <f>SUM($Z485:AO485)-SUM($CM485:DB485)</f>
        <v>34</v>
      </c>
      <c r="BW485" s="93">
        <f>SUM($Z485:AP485)-SUM($CM485:DC485)</f>
        <v>28</v>
      </c>
      <c r="BX485" s="93">
        <f>SUM($Z485:AQ485)-SUM($CM485:DD485)</f>
        <v>28</v>
      </c>
      <c r="BY485" s="93">
        <f>SUM($Z485:AR485)-SUM($CM485:DE485)</f>
        <v>28</v>
      </c>
      <c r="BZ485" s="93">
        <f>SUM($Z485:AS485)-SUM($CM485:DF485)</f>
        <v>28</v>
      </c>
      <c r="CA485" s="93">
        <f>SUM($Z485:AT485)-SUM($CM485:DG485)</f>
        <v>28</v>
      </c>
      <c r="CB485" s="93">
        <f>SUM($Z485:AU485)-SUM($CM485:DH485)</f>
        <v>28</v>
      </c>
      <c r="CC485" s="93">
        <f>SUM($Z485:AV485)-SUM($CM485:DI485)</f>
        <v>28</v>
      </c>
      <c r="CD485" s="93">
        <f>SUM($Z485:AW485)-SUM($CM485:DJ485)</f>
        <v>28</v>
      </c>
      <c r="CE485" s="93">
        <f>SUM($Z485:AX485)-SUM($CM485:DK485)</f>
        <v>28</v>
      </c>
      <c r="CF485" s="93">
        <f>SUM($Z485:AY485)-SUM($CM485:DL485)</f>
        <v>28</v>
      </c>
      <c r="CG485" s="93">
        <f>SUM($Z485:AZ485)-SUM($CM485:DM485)</f>
        <v>28</v>
      </c>
      <c r="CH485" s="93">
        <f>SUM($Z485:BA485)-SUM($CM485:DN485)</f>
        <v>28</v>
      </c>
      <c r="CI485" s="93">
        <f>SUM($Z485:BB485)-SUM($CM485:DO485)</f>
        <v>28</v>
      </c>
      <c r="CJ485" s="93"/>
      <c r="CK485" s="93"/>
      <c r="CL485" s="93"/>
      <c r="CM485" s="93"/>
      <c r="CN485" s="93" cm="1">
        <f t="array" ref="CN485">SUMPRODUCT(TRANSPOSE(CN$4:CN$20),$G485:$W485)</f>
        <v>0</v>
      </c>
      <c r="CO485" s="93" cm="1">
        <f t="array" ref="CO485">SUMPRODUCT(TRANSPOSE(CO$4:CO$20),$G485:$W485)</f>
        <v>0</v>
      </c>
      <c r="CP485" s="93" cm="1">
        <f t="array" ref="CP485">SUMPRODUCT(TRANSPOSE(CP$4:CP$20),$G485:$W485)</f>
        <v>0</v>
      </c>
      <c r="CQ485" s="93" cm="1">
        <f t="array" ref="CQ485">SUMPRODUCT(TRANSPOSE(CQ$4:CQ$20),$G485:$W485)</f>
        <v>8</v>
      </c>
      <c r="CR485" s="93" cm="1">
        <f t="array" ref="CR485">SUMPRODUCT(TRANSPOSE(CR$4:CR$20),$G485:$W485)</f>
        <v>8</v>
      </c>
      <c r="CS485" s="93" cm="1">
        <f t="array" ref="CS485">SUMPRODUCT(TRANSPOSE(CS$4:CS$20),$G485:$W485)</f>
        <v>8</v>
      </c>
      <c r="CT485" s="93" cm="1">
        <f t="array" ref="CT485">SUMPRODUCT(TRANSPOSE(CT$4:CT$20),$G485:$W485)</f>
        <v>8</v>
      </c>
      <c r="CU485" s="93" cm="1">
        <f t="array" ref="CU485">SUMPRODUCT(TRANSPOSE(CU$4:CU$20),$G485:$W485)</f>
        <v>8</v>
      </c>
      <c r="CV485" s="93" cm="1">
        <f t="array" ref="CV485">SUMPRODUCT(TRANSPOSE(CV$4:CV$20),$G485:$W485)</f>
        <v>8</v>
      </c>
      <c r="CW485" s="93" cm="1">
        <f t="array" ref="CW485">SUMPRODUCT(TRANSPOSE(CW$4:CW$20),$G485:$W485)</f>
        <v>8</v>
      </c>
      <c r="CX485" s="93" cm="1">
        <f t="array" ref="CX485">SUMPRODUCT(TRANSPOSE(CX$4:CX$20),$G485:$W485)</f>
        <v>8</v>
      </c>
      <c r="CY485" s="93" cm="1">
        <f t="array" ref="CY485">SUMPRODUCT(TRANSPOSE(CY$4:CY$20),$G485:$W485)</f>
        <v>8</v>
      </c>
      <c r="CZ485" s="93" cm="1">
        <f t="array" ref="CZ485">SUMPRODUCT(TRANSPOSE(CZ$4:CZ$20),$G485:$W485)</f>
        <v>8</v>
      </c>
      <c r="DA485" s="93" cm="1">
        <f t="array" ref="DA485">SUMPRODUCT(TRANSPOSE(DA$4:DA$20),$G485:$W485)</f>
        <v>8</v>
      </c>
      <c r="DB485" s="93" cm="1">
        <f t="array" ref="DB485">SUMPRODUCT(TRANSPOSE(DB$4:DB$20),$G485:$W485)</f>
        <v>8</v>
      </c>
      <c r="DC485" s="93" cm="1">
        <f t="array" ref="DC485">SUMPRODUCT(TRANSPOSE(DC$4:DC$20),$G485:$W485)</f>
        <v>6</v>
      </c>
      <c r="DD485" s="93" cm="1">
        <f t="array" ref="DD485">SUMPRODUCT(TRANSPOSE(DD$4:DD$20),$G485:$W485)</f>
        <v>0</v>
      </c>
      <c r="DE485" s="93" cm="1">
        <f t="array" ref="DE485">SUMPRODUCT(TRANSPOSE(DE$4:DE$20),$G485:$W485)</f>
        <v>0</v>
      </c>
      <c r="DF485" s="93" cm="1">
        <f t="array" ref="DF485">SUMPRODUCT(TRANSPOSE(DF$4:DF$20),$G485:$W485)</f>
        <v>0</v>
      </c>
      <c r="DG485" s="93" cm="1">
        <f t="array" ref="DG485">SUMPRODUCT(TRANSPOSE(DG$4:DG$20),$G485:$W485)</f>
        <v>0</v>
      </c>
      <c r="DH485" s="93" cm="1">
        <f t="array" ref="DH485">SUMPRODUCT(TRANSPOSE(DH$4:DH$20),$G485:$W485)</f>
        <v>0</v>
      </c>
      <c r="DI485" s="93" cm="1">
        <f t="array" ref="DI485">SUMPRODUCT(TRANSPOSE(DI$4:DI$20),$G485:$W485)</f>
        <v>0</v>
      </c>
      <c r="DJ485" s="93" cm="1">
        <f t="array" ref="DJ485">SUMPRODUCT(TRANSPOSE(DJ$4:DJ$20),$G485:$W485)</f>
        <v>0</v>
      </c>
      <c r="DK485" s="93" cm="1">
        <f t="array" ref="DK485">SUMPRODUCT(TRANSPOSE(DK$4:DK$20),$G485:$W485)</f>
        <v>0</v>
      </c>
      <c r="DL485" s="93" cm="1">
        <f t="array" ref="DL485">SUMPRODUCT(TRANSPOSE(DL$4:DL$20),$G485:$W485)</f>
        <v>0</v>
      </c>
      <c r="DM485" s="93" cm="1">
        <f t="array" ref="DM485">SUMPRODUCT(TRANSPOSE(DM$4:DM$20),$G485:$W485)</f>
        <v>0</v>
      </c>
      <c r="DN485" s="93" cm="1">
        <f t="array" ref="DN485">SUMPRODUCT(TRANSPOSE(DN$4:DN$20),$G485:$W485)</f>
        <v>0</v>
      </c>
      <c r="DO485" s="93" cm="1">
        <f t="array" ref="DO485">SUMPRODUCT(TRANSPOSE(DO$4:DO$20),$G485:$W485)</f>
        <v>0</v>
      </c>
    </row>
    <row r="486" spans="1:119" x14ac:dyDescent="0.2">
      <c r="A486" s="50">
        <f t="shared" si="33"/>
        <v>465</v>
      </c>
      <c r="B486" s="64" t="s">
        <v>1008</v>
      </c>
      <c r="C486" s="82">
        <v>413274573</v>
      </c>
      <c r="D486" s="45" t="s">
        <v>1009</v>
      </c>
      <c r="E486" s="45" t="s">
        <v>162</v>
      </c>
      <c r="F486" s="45"/>
      <c r="G486" s="100">
        <v>1</v>
      </c>
      <c r="H486" s="100">
        <v>0</v>
      </c>
      <c r="I486" s="100">
        <v>0</v>
      </c>
      <c r="J486" s="100">
        <v>0</v>
      </c>
      <c r="K486" s="100">
        <v>0</v>
      </c>
      <c r="L486" s="100">
        <v>0</v>
      </c>
      <c r="M486" s="100">
        <v>0</v>
      </c>
      <c r="N486" s="100">
        <v>0</v>
      </c>
      <c r="O486" s="100">
        <v>0</v>
      </c>
      <c r="P486" s="100">
        <v>0</v>
      </c>
      <c r="Q486" s="100">
        <v>0</v>
      </c>
      <c r="R486" s="100">
        <v>0</v>
      </c>
      <c r="S486" s="100">
        <v>0</v>
      </c>
      <c r="T486" s="100">
        <v>0</v>
      </c>
      <c r="U486" s="100">
        <v>0</v>
      </c>
      <c r="V486" s="100">
        <v>0</v>
      </c>
      <c r="W486" s="100">
        <v>0</v>
      </c>
      <c r="X486" s="45" t="s">
        <v>1010</v>
      </c>
      <c r="Y486" s="49">
        <v>29.5</v>
      </c>
      <c r="Z486" s="45">
        <v>130</v>
      </c>
      <c r="AA486" s="45">
        <v>0</v>
      </c>
      <c r="AB486" s="45">
        <v>0</v>
      </c>
      <c r="AC486" s="45">
        <v>0</v>
      </c>
      <c r="AD486" s="45">
        <v>0</v>
      </c>
      <c r="AE486" s="45">
        <v>0</v>
      </c>
      <c r="AF486" s="45">
        <v>0</v>
      </c>
      <c r="AG486" s="45">
        <v>0</v>
      </c>
      <c r="AH486" s="45">
        <v>0</v>
      </c>
      <c r="AI486" s="45">
        <v>0</v>
      </c>
      <c r="AJ486" s="45">
        <v>0</v>
      </c>
      <c r="AK486" s="45">
        <v>0</v>
      </c>
      <c r="AL486" s="45">
        <v>0</v>
      </c>
      <c r="AM486" s="45">
        <v>0</v>
      </c>
      <c r="AN486" s="45">
        <v>0</v>
      </c>
      <c r="AO486" s="45"/>
      <c r="AP486" s="45"/>
      <c r="AQ486" s="45"/>
      <c r="AR486" s="45"/>
      <c r="AS486" s="45"/>
      <c r="AT486" s="45"/>
      <c r="AU486" s="45"/>
      <c r="AV486" s="45"/>
      <c r="AW486" s="45"/>
      <c r="AX486" s="45"/>
      <c r="AY486" s="45"/>
      <c r="AZ486" s="45"/>
      <c r="BA486" s="45"/>
      <c r="BB486" s="45"/>
      <c r="BC486" s="45"/>
      <c r="BD486" s="93"/>
      <c r="BE486" s="93"/>
      <c r="BF486" s="93"/>
      <c r="BG486" s="93"/>
      <c r="BH486" s="93"/>
      <c r="BI486" s="93"/>
      <c r="BJ486" s="93"/>
      <c r="BK486" s="93">
        <f>SUM($Z486:AD486)-SUM($CM486:CQ486)</f>
        <v>122</v>
      </c>
      <c r="BL486" s="93">
        <f>SUM($Z486:AE486)-SUM($CM486:CR486)</f>
        <v>114</v>
      </c>
      <c r="BM486" s="93">
        <f>SUM($Z486:AF486)-SUM($CM486:CS486)</f>
        <v>106</v>
      </c>
      <c r="BN486" s="93">
        <f>SUM($Z486:AG486)-SUM($CM486:CT486)</f>
        <v>98</v>
      </c>
      <c r="BO486" s="93">
        <f>SUM($Z486:AH486)-SUM($CM486:CU486)</f>
        <v>90</v>
      </c>
      <c r="BP486" s="93">
        <f>SUM($Z486:AI486)-SUM($CM486:CV486)</f>
        <v>82</v>
      </c>
      <c r="BQ486" s="93">
        <f>SUM($Z486:AJ486)-SUM($CM486:CW486)</f>
        <v>74</v>
      </c>
      <c r="BR486" s="93">
        <f>SUM($Z486:AK486)-SUM($CM486:CX486)</f>
        <v>66</v>
      </c>
      <c r="BS486" s="93">
        <f>SUM($Z486:AL486)-SUM($CM486:CY486)</f>
        <v>58</v>
      </c>
      <c r="BT486" s="93">
        <f>SUM($Z486:AM486)-SUM($CM486:CZ486)</f>
        <v>50</v>
      </c>
      <c r="BU486" s="93">
        <f>SUM($Z486:AN486)-SUM($CM486:DA486)</f>
        <v>42</v>
      </c>
      <c r="BV486" s="93">
        <f>SUM($Z486:AO486)-SUM($CM486:DB486)</f>
        <v>34</v>
      </c>
      <c r="BW486" s="93">
        <f>SUM($Z486:AP486)-SUM($CM486:DC486)</f>
        <v>28</v>
      </c>
      <c r="BX486" s="93">
        <f>SUM($Z486:AQ486)-SUM($CM486:DD486)</f>
        <v>28</v>
      </c>
      <c r="BY486" s="93">
        <f>SUM($Z486:AR486)-SUM($CM486:DE486)</f>
        <v>28</v>
      </c>
      <c r="BZ486" s="93">
        <f>SUM($Z486:AS486)-SUM($CM486:DF486)</f>
        <v>28</v>
      </c>
      <c r="CA486" s="93">
        <f>SUM($Z486:AT486)-SUM($CM486:DG486)</f>
        <v>28</v>
      </c>
      <c r="CB486" s="93">
        <f>SUM($Z486:AU486)-SUM($CM486:DH486)</f>
        <v>28</v>
      </c>
      <c r="CC486" s="93">
        <f>SUM($Z486:AV486)-SUM($CM486:DI486)</f>
        <v>28</v>
      </c>
      <c r="CD486" s="93">
        <f>SUM($Z486:AW486)-SUM($CM486:DJ486)</f>
        <v>28</v>
      </c>
      <c r="CE486" s="93">
        <f>SUM($Z486:AX486)-SUM($CM486:DK486)</f>
        <v>28</v>
      </c>
      <c r="CF486" s="93">
        <f>SUM($Z486:AY486)-SUM($CM486:DL486)</f>
        <v>28</v>
      </c>
      <c r="CG486" s="93">
        <f>SUM($Z486:AZ486)-SUM($CM486:DM486)</f>
        <v>28</v>
      </c>
      <c r="CH486" s="93">
        <f>SUM($Z486:BA486)-SUM($CM486:DN486)</f>
        <v>28</v>
      </c>
      <c r="CI486" s="93">
        <f>SUM($Z486:BB486)-SUM($CM486:DO486)</f>
        <v>28</v>
      </c>
      <c r="CJ486" s="93"/>
      <c r="CK486" s="93"/>
      <c r="CL486" s="93"/>
      <c r="CM486" s="93"/>
      <c r="CN486" s="93" cm="1">
        <f t="array" ref="CN486">SUMPRODUCT(TRANSPOSE(CN$4:CN$20),$G486:$W486)</f>
        <v>0</v>
      </c>
      <c r="CO486" s="93" cm="1">
        <f t="array" ref="CO486">SUMPRODUCT(TRANSPOSE(CO$4:CO$20),$G486:$W486)</f>
        <v>0</v>
      </c>
      <c r="CP486" s="93" cm="1">
        <f t="array" ref="CP486">SUMPRODUCT(TRANSPOSE(CP$4:CP$20),$G486:$W486)</f>
        <v>0</v>
      </c>
      <c r="CQ486" s="93" cm="1">
        <f t="array" ref="CQ486">SUMPRODUCT(TRANSPOSE(CQ$4:CQ$20),$G486:$W486)</f>
        <v>8</v>
      </c>
      <c r="CR486" s="93" cm="1">
        <f t="array" ref="CR486">SUMPRODUCT(TRANSPOSE(CR$4:CR$20),$G486:$W486)</f>
        <v>8</v>
      </c>
      <c r="CS486" s="93" cm="1">
        <f t="array" ref="CS486">SUMPRODUCT(TRANSPOSE(CS$4:CS$20),$G486:$W486)</f>
        <v>8</v>
      </c>
      <c r="CT486" s="93" cm="1">
        <f t="array" ref="CT486">SUMPRODUCT(TRANSPOSE(CT$4:CT$20),$G486:$W486)</f>
        <v>8</v>
      </c>
      <c r="CU486" s="93" cm="1">
        <f t="array" ref="CU486">SUMPRODUCT(TRANSPOSE(CU$4:CU$20),$G486:$W486)</f>
        <v>8</v>
      </c>
      <c r="CV486" s="93" cm="1">
        <f t="array" ref="CV486">SUMPRODUCT(TRANSPOSE(CV$4:CV$20),$G486:$W486)</f>
        <v>8</v>
      </c>
      <c r="CW486" s="93" cm="1">
        <f t="array" ref="CW486">SUMPRODUCT(TRANSPOSE(CW$4:CW$20),$G486:$W486)</f>
        <v>8</v>
      </c>
      <c r="CX486" s="93" cm="1">
        <f t="array" ref="CX486">SUMPRODUCT(TRANSPOSE(CX$4:CX$20),$G486:$W486)</f>
        <v>8</v>
      </c>
      <c r="CY486" s="93" cm="1">
        <f t="array" ref="CY486">SUMPRODUCT(TRANSPOSE(CY$4:CY$20),$G486:$W486)</f>
        <v>8</v>
      </c>
      <c r="CZ486" s="93" cm="1">
        <f t="array" ref="CZ486">SUMPRODUCT(TRANSPOSE(CZ$4:CZ$20),$G486:$W486)</f>
        <v>8</v>
      </c>
      <c r="DA486" s="93" cm="1">
        <f t="array" ref="DA486">SUMPRODUCT(TRANSPOSE(DA$4:DA$20),$G486:$W486)</f>
        <v>8</v>
      </c>
      <c r="DB486" s="93" cm="1">
        <f t="array" ref="DB486">SUMPRODUCT(TRANSPOSE(DB$4:DB$20),$G486:$W486)</f>
        <v>8</v>
      </c>
      <c r="DC486" s="93" cm="1">
        <f t="array" ref="DC486">SUMPRODUCT(TRANSPOSE(DC$4:DC$20),$G486:$W486)</f>
        <v>6</v>
      </c>
      <c r="DD486" s="93" cm="1">
        <f t="array" ref="DD486">SUMPRODUCT(TRANSPOSE(DD$4:DD$20),$G486:$W486)</f>
        <v>0</v>
      </c>
      <c r="DE486" s="93" cm="1">
        <f t="array" ref="DE486">SUMPRODUCT(TRANSPOSE(DE$4:DE$20),$G486:$W486)</f>
        <v>0</v>
      </c>
      <c r="DF486" s="93" cm="1">
        <f t="array" ref="DF486">SUMPRODUCT(TRANSPOSE(DF$4:DF$20),$G486:$W486)</f>
        <v>0</v>
      </c>
      <c r="DG486" s="93" cm="1">
        <f t="array" ref="DG486">SUMPRODUCT(TRANSPOSE(DG$4:DG$20),$G486:$W486)</f>
        <v>0</v>
      </c>
      <c r="DH486" s="93" cm="1">
        <f t="array" ref="DH486">SUMPRODUCT(TRANSPOSE(DH$4:DH$20),$G486:$W486)</f>
        <v>0</v>
      </c>
      <c r="DI486" s="93" cm="1">
        <f t="array" ref="DI486">SUMPRODUCT(TRANSPOSE(DI$4:DI$20),$G486:$W486)</f>
        <v>0</v>
      </c>
      <c r="DJ486" s="93" cm="1">
        <f t="array" ref="DJ486">SUMPRODUCT(TRANSPOSE(DJ$4:DJ$20),$G486:$W486)</f>
        <v>0</v>
      </c>
      <c r="DK486" s="93" cm="1">
        <f t="array" ref="DK486">SUMPRODUCT(TRANSPOSE(DK$4:DK$20),$G486:$W486)</f>
        <v>0</v>
      </c>
      <c r="DL486" s="93" cm="1">
        <f t="array" ref="DL486">SUMPRODUCT(TRANSPOSE(DL$4:DL$20),$G486:$W486)</f>
        <v>0</v>
      </c>
      <c r="DM486" s="93" cm="1">
        <f t="array" ref="DM486">SUMPRODUCT(TRANSPOSE(DM$4:DM$20),$G486:$W486)</f>
        <v>0</v>
      </c>
      <c r="DN486" s="93" cm="1">
        <f t="array" ref="DN486">SUMPRODUCT(TRANSPOSE(DN$4:DN$20),$G486:$W486)</f>
        <v>0</v>
      </c>
      <c r="DO486" s="93" cm="1">
        <f t="array" ref="DO486">SUMPRODUCT(TRANSPOSE(DO$4:DO$20),$G486:$W486)</f>
        <v>0</v>
      </c>
    </row>
    <row r="487" spans="1:119" x14ac:dyDescent="0.2">
      <c r="A487" s="50">
        <f t="shared" si="33"/>
        <v>466</v>
      </c>
      <c r="B487" s="64" t="s">
        <v>1011</v>
      </c>
      <c r="C487" s="82">
        <v>413281438</v>
      </c>
      <c r="D487" s="45" t="s">
        <v>1012</v>
      </c>
      <c r="E487" s="45" t="s">
        <v>162</v>
      </c>
      <c r="F487" s="45"/>
      <c r="G487" s="100">
        <v>1</v>
      </c>
      <c r="H487" s="100">
        <v>0</v>
      </c>
      <c r="I487" s="100">
        <v>0</v>
      </c>
      <c r="J487" s="100">
        <v>0</v>
      </c>
      <c r="K487" s="100">
        <v>0</v>
      </c>
      <c r="L487" s="100">
        <v>0</v>
      </c>
      <c r="M487" s="100">
        <v>0</v>
      </c>
      <c r="N487" s="100">
        <v>0</v>
      </c>
      <c r="O487" s="100">
        <v>0</v>
      </c>
      <c r="P487" s="100">
        <v>0</v>
      </c>
      <c r="Q487" s="100">
        <v>0</v>
      </c>
      <c r="R487" s="100">
        <v>0</v>
      </c>
      <c r="S487" s="100">
        <v>0</v>
      </c>
      <c r="T487" s="100">
        <v>0</v>
      </c>
      <c r="U487" s="100">
        <v>0</v>
      </c>
      <c r="V487" s="100">
        <v>0</v>
      </c>
      <c r="W487" s="100">
        <v>0</v>
      </c>
      <c r="X487" s="45" t="s">
        <v>1010</v>
      </c>
      <c r="Y487" s="49">
        <v>10.5</v>
      </c>
      <c r="Z487" s="45">
        <v>130</v>
      </c>
      <c r="AA487" s="45">
        <v>0</v>
      </c>
      <c r="AB487" s="45">
        <v>0</v>
      </c>
      <c r="AC487" s="45">
        <v>0</v>
      </c>
      <c r="AD487" s="45">
        <v>0</v>
      </c>
      <c r="AE487" s="45">
        <v>0</v>
      </c>
      <c r="AF487" s="45">
        <v>0</v>
      </c>
      <c r="AG487" s="45">
        <v>0</v>
      </c>
      <c r="AH487" s="45">
        <v>0</v>
      </c>
      <c r="AI487" s="45">
        <v>0</v>
      </c>
      <c r="AJ487" s="45">
        <v>0</v>
      </c>
      <c r="AK487" s="45">
        <v>0</v>
      </c>
      <c r="AL487" s="45">
        <v>0</v>
      </c>
      <c r="AM487" s="45">
        <v>0</v>
      </c>
      <c r="AN487" s="45">
        <v>0</v>
      </c>
      <c r="AO487" s="45"/>
      <c r="AP487" s="45"/>
      <c r="AQ487" s="45"/>
      <c r="AR487" s="45"/>
      <c r="AS487" s="45"/>
      <c r="AT487" s="45"/>
      <c r="AU487" s="45"/>
      <c r="AV487" s="45"/>
      <c r="AW487" s="45"/>
      <c r="AX487" s="45"/>
      <c r="AY487" s="45"/>
      <c r="AZ487" s="45"/>
      <c r="BA487" s="45"/>
      <c r="BB487" s="45"/>
      <c r="BC487" s="45"/>
      <c r="BD487" s="93"/>
      <c r="BE487" s="93"/>
      <c r="BF487" s="93"/>
      <c r="BG487" s="93"/>
      <c r="BH487" s="93"/>
      <c r="BI487" s="93"/>
      <c r="BJ487" s="93"/>
      <c r="BK487" s="93">
        <f>SUM($Z487:AD487)-SUM($CM487:CQ487)</f>
        <v>122</v>
      </c>
      <c r="BL487" s="93">
        <f>SUM($Z487:AE487)-SUM($CM487:CR487)</f>
        <v>114</v>
      </c>
      <c r="BM487" s="93">
        <f>SUM($Z487:AF487)-SUM($CM487:CS487)</f>
        <v>106</v>
      </c>
      <c r="BN487" s="93">
        <f>SUM($Z487:AG487)-SUM($CM487:CT487)</f>
        <v>98</v>
      </c>
      <c r="BO487" s="93">
        <f>SUM($Z487:AH487)-SUM($CM487:CU487)</f>
        <v>90</v>
      </c>
      <c r="BP487" s="93">
        <f>SUM($Z487:AI487)-SUM($CM487:CV487)</f>
        <v>82</v>
      </c>
      <c r="BQ487" s="93">
        <f>SUM($Z487:AJ487)-SUM($CM487:CW487)</f>
        <v>74</v>
      </c>
      <c r="BR487" s="93">
        <f>SUM($Z487:AK487)-SUM($CM487:CX487)</f>
        <v>66</v>
      </c>
      <c r="BS487" s="93">
        <f>SUM($Z487:AL487)-SUM($CM487:CY487)</f>
        <v>58</v>
      </c>
      <c r="BT487" s="93">
        <f>SUM($Z487:AM487)-SUM($CM487:CZ487)</f>
        <v>50</v>
      </c>
      <c r="BU487" s="93">
        <f>SUM($Z487:AN487)-SUM($CM487:DA487)</f>
        <v>42</v>
      </c>
      <c r="BV487" s="93">
        <f>SUM($Z487:AO487)-SUM($CM487:DB487)</f>
        <v>34</v>
      </c>
      <c r="BW487" s="93">
        <f>SUM($Z487:AP487)-SUM($CM487:DC487)</f>
        <v>28</v>
      </c>
      <c r="BX487" s="93">
        <f>SUM($Z487:AQ487)-SUM($CM487:DD487)</f>
        <v>28</v>
      </c>
      <c r="BY487" s="93">
        <f>SUM($Z487:AR487)-SUM($CM487:DE487)</f>
        <v>28</v>
      </c>
      <c r="BZ487" s="93">
        <f>SUM($Z487:AS487)-SUM($CM487:DF487)</f>
        <v>28</v>
      </c>
      <c r="CA487" s="93">
        <f>SUM($Z487:AT487)-SUM($CM487:DG487)</f>
        <v>28</v>
      </c>
      <c r="CB487" s="93">
        <f>SUM($Z487:AU487)-SUM($CM487:DH487)</f>
        <v>28</v>
      </c>
      <c r="CC487" s="93">
        <f>SUM($Z487:AV487)-SUM($CM487:DI487)</f>
        <v>28</v>
      </c>
      <c r="CD487" s="93">
        <f>SUM($Z487:AW487)-SUM($CM487:DJ487)</f>
        <v>28</v>
      </c>
      <c r="CE487" s="93">
        <f>SUM($Z487:AX487)-SUM($CM487:DK487)</f>
        <v>28</v>
      </c>
      <c r="CF487" s="93">
        <f>SUM($Z487:AY487)-SUM($CM487:DL487)</f>
        <v>28</v>
      </c>
      <c r="CG487" s="93">
        <f>SUM($Z487:AZ487)-SUM($CM487:DM487)</f>
        <v>28</v>
      </c>
      <c r="CH487" s="93">
        <f>SUM($Z487:BA487)-SUM($CM487:DN487)</f>
        <v>28</v>
      </c>
      <c r="CI487" s="93">
        <f>SUM($Z487:BB487)-SUM($CM487:DO487)</f>
        <v>28</v>
      </c>
      <c r="CJ487" s="93"/>
      <c r="CK487" s="93"/>
      <c r="CL487" s="93"/>
      <c r="CM487" s="93"/>
      <c r="CN487" s="93" cm="1">
        <f t="array" ref="CN487">SUMPRODUCT(TRANSPOSE(CN$4:CN$20),$G487:$W487)</f>
        <v>0</v>
      </c>
      <c r="CO487" s="93" cm="1">
        <f t="array" ref="CO487">SUMPRODUCT(TRANSPOSE(CO$4:CO$20),$G487:$W487)</f>
        <v>0</v>
      </c>
      <c r="CP487" s="93" cm="1">
        <f t="array" ref="CP487">SUMPRODUCT(TRANSPOSE(CP$4:CP$20),$G487:$W487)</f>
        <v>0</v>
      </c>
      <c r="CQ487" s="93" cm="1">
        <f t="array" ref="CQ487">SUMPRODUCT(TRANSPOSE(CQ$4:CQ$20),$G487:$W487)</f>
        <v>8</v>
      </c>
      <c r="CR487" s="93" cm="1">
        <f t="array" ref="CR487">SUMPRODUCT(TRANSPOSE(CR$4:CR$20),$G487:$W487)</f>
        <v>8</v>
      </c>
      <c r="CS487" s="93" cm="1">
        <f t="array" ref="CS487">SUMPRODUCT(TRANSPOSE(CS$4:CS$20),$G487:$W487)</f>
        <v>8</v>
      </c>
      <c r="CT487" s="93" cm="1">
        <f t="array" ref="CT487">SUMPRODUCT(TRANSPOSE(CT$4:CT$20),$G487:$W487)</f>
        <v>8</v>
      </c>
      <c r="CU487" s="93" cm="1">
        <f t="array" ref="CU487">SUMPRODUCT(TRANSPOSE(CU$4:CU$20),$G487:$W487)</f>
        <v>8</v>
      </c>
      <c r="CV487" s="93" cm="1">
        <f t="array" ref="CV487">SUMPRODUCT(TRANSPOSE(CV$4:CV$20),$G487:$W487)</f>
        <v>8</v>
      </c>
      <c r="CW487" s="93" cm="1">
        <f t="array" ref="CW487">SUMPRODUCT(TRANSPOSE(CW$4:CW$20),$G487:$W487)</f>
        <v>8</v>
      </c>
      <c r="CX487" s="93" cm="1">
        <f t="array" ref="CX487">SUMPRODUCT(TRANSPOSE(CX$4:CX$20),$G487:$W487)</f>
        <v>8</v>
      </c>
      <c r="CY487" s="93" cm="1">
        <f t="array" ref="CY487">SUMPRODUCT(TRANSPOSE(CY$4:CY$20),$G487:$W487)</f>
        <v>8</v>
      </c>
      <c r="CZ487" s="93" cm="1">
        <f t="array" ref="CZ487">SUMPRODUCT(TRANSPOSE(CZ$4:CZ$20),$G487:$W487)</f>
        <v>8</v>
      </c>
      <c r="DA487" s="93" cm="1">
        <f t="array" ref="DA487">SUMPRODUCT(TRANSPOSE(DA$4:DA$20),$G487:$W487)</f>
        <v>8</v>
      </c>
      <c r="DB487" s="93" cm="1">
        <f t="array" ref="DB487">SUMPRODUCT(TRANSPOSE(DB$4:DB$20),$G487:$W487)</f>
        <v>8</v>
      </c>
      <c r="DC487" s="93" cm="1">
        <f t="array" ref="DC487">SUMPRODUCT(TRANSPOSE(DC$4:DC$20),$G487:$W487)</f>
        <v>6</v>
      </c>
      <c r="DD487" s="93" cm="1">
        <f t="array" ref="DD487">SUMPRODUCT(TRANSPOSE(DD$4:DD$20),$G487:$W487)</f>
        <v>0</v>
      </c>
      <c r="DE487" s="93" cm="1">
        <f t="array" ref="DE487">SUMPRODUCT(TRANSPOSE(DE$4:DE$20),$G487:$W487)</f>
        <v>0</v>
      </c>
      <c r="DF487" s="93" cm="1">
        <f t="array" ref="DF487">SUMPRODUCT(TRANSPOSE(DF$4:DF$20),$G487:$W487)</f>
        <v>0</v>
      </c>
      <c r="DG487" s="93" cm="1">
        <f t="array" ref="DG487">SUMPRODUCT(TRANSPOSE(DG$4:DG$20),$G487:$W487)</f>
        <v>0</v>
      </c>
      <c r="DH487" s="93" cm="1">
        <f t="array" ref="DH487">SUMPRODUCT(TRANSPOSE(DH$4:DH$20),$G487:$W487)</f>
        <v>0</v>
      </c>
      <c r="DI487" s="93" cm="1">
        <f t="array" ref="DI487">SUMPRODUCT(TRANSPOSE(DI$4:DI$20),$G487:$W487)</f>
        <v>0</v>
      </c>
      <c r="DJ487" s="93" cm="1">
        <f t="array" ref="DJ487">SUMPRODUCT(TRANSPOSE(DJ$4:DJ$20),$G487:$W487)</f>
        <v>0</v>
      </c>
      <c r="DK487" s="93" cm="1">
        <f t="array" ref="DK487">SUMPRODUCT(TRANSPOSE(DK$4:DK$20),$G487:$W487)</f>
        <v>0</v>
      </c>
      <c r="DL487" s="93" cm="1">
        <f t="array" ref="DL487">SUMPRODUCT(TRANSPOSE(DL$4:DL$20),$G487:$W487)</f>
        <v>0</v>
      </c>
      <c r="DM487" s="93" cm="1">
        <f t="array" ref="DM487">SUMPRODUCT(TRANSPOSE(DM$4:DM$20),$G487:$W487)</f>
        <v>0</v>
      </c>
      <c r="DN487" s="93" cm="1">
        <f t="array" ref="DN487">SUMPRODUCT(TRANSPOSE(DN$4:DN$20),$G487:$W487)</f>
        <v>0</v>
      </c>
      <c r="DO487" s="93" cm="1">
        <f t="array" ref="DO487">SUMPRODUCT(TRANSPOSE(DO$4:DO$20),$G487:$W487)</f>
        <v>0</v>
      </c>
    </row>
    <row r="488" spans="1:119" x14ac:dyDescent="0.2">
      <c r="A488" s="50">
        <f t="shared" si="33"/>
        <v>467</v>
      </c>
      <c r="B488" s="64" t="s">
        <v>1013</v>
      </c>
      <c r="C488" s="82">
        <v>413281440</v>
      </c>
      <c r="D488" s="45" t="s">
        <v>1014</v>
      </c>
      <c r="E488" s="45" t="s">
        <v>162</v>
      </c>
      <c r="F488" s="45"/>
      <c r="G488" s="100">
        <v>1</v>
      </c>
      <c r="H488" s="100">
        <v>0</v>
      </c>
      <c r="I488" s="100">
        <v>0</v>
      </c>
      <c r="J488" s="100">
        <v>0</v>
      </c>
      <c r="K488" s="100">
        <v>0</v>
      </c>
      <c r="L488" s="100">
        <v>0</v>
      </c>
      <c r="M488" s="100">
        <v>0</v>
      </c>
      <c r="N488" s="100">
        <v>0</v>
      </c>
      <c r="O488" s="100">
        <v>0</v>
      </c>
      <c r="P488" s="100">
        <v>0</v>
      </c>
      <c r="Q488" s="100">
        <v>0</v>
      </c>
      <c r="R488" s="100">
        <v>0</v>
      </c>
      <c r="S488" s="100">
        <v>0</v>
      </c>
      <c r="T488" s="100">
        <v>0</v>
      </c>
      <c r="U488" s="100">
        <v>0</v>
      </c>
      <c r="V488" s="100">
        <v>0</v>
      </c>
      <c r="W488" s="100">
        <v>0</v>
      </c>
      <c r="X488" s="45" t="s">
        <v>1010</v>
      </c>
      <c r="Y488" s="49">
        <v>11.5</v>
      </c>
      <c r="Z488" s="45">
        <v>130</v>
      </c>
      <c r="AA488" s="45">
        <v>0</v>
      </c>
      <c r="AB488" s="45">
        <v>0</v>
      </c>
      <c r="AC488" s="45">
        <v>0</v>
      </c>
      <c r="AD488" s="45">
        <v>0</v>
      </c>
      <c r="AE488" s="45">
        <v>0</v>
      </c>
      <c r="AF488" s="45">
        <v>0</v>
      </c>
      <c r="AG488" s="45">
        <v>0</v>
      </c>
      <c r="AH488" s="45">
        <v>0</v>
      </c>
      <c r="AI488" s="45">
        <v>0</v>
      </c>
      <c r="AJ488" s="45">
        <v>0</v>
      </c>
      <c r="AK488" s="45">
        <v>0</v>
      </c>
      <c r="AL488" s="45">
        <v>0</v>
      </c>
      <c r="AM488" s="45">
        <v>0</v>
      </c>
      <c r="AN488" s="45">
        <v>0</v>
      </c>
      <c r="AO488" s="45"/>
      <c r="AP488" s="45"/>
      <c r="AQ488" s="45"/>
      <c r="AR488" s="45"/>
      <c r="AS488" s="45"/>
      <c r="AT488" s="45"/>
      <c r="AU488" s="45"/>
      <c r="AV488" s="45"/>
      <c r="AW488" s="45"/>
      <c r="AX488" s="45"/>
      <c r="AY488" s="45"/>
      <c r="AZ488" s="45"/>
      <c r="BA488" s="45"/>
      <c r="BB488" s="45"/>
      <c r="BC488" s="45"/>
      <c r="BD488" s="93"/>
      <c r="BE488" s="93"/>
      <c r="BF488" s="93"/>
      <c r="BG488" s="93"/>
      <c r="BH488" s="93"/>
      <c r="BI488" s="93"/>
      <c r="BJ488" s="93"/>
      <c r="BK488" s="93">
        <f>SUM($Z488:AD488)-SUM($CM488:CQ488)</f>
        <v>122</v>
      </c>
      <c r="BL488" s="93">
        <f>SUM($Z488:AE488)-SUM($CM488:CR488)</f>
        <v>114</v>
      </c>
      <c r="BM488" s="93">
        <f>SUM($Z488:AF488)-SUM($CM488:CS488)</f>
        <v>106</v>
      </c>
      <c r="BN488" s="93">
        <f>SUM($Z488:AG488)-SUM($CM488:CT488)</f>
        <v>98</v>
      </c>
      <c r="BO488" s="93">
        <f>SUM($Z488:AH488)-SUM($CM488:CU488)</f>
        <v>90</v>
      </c>
      <c r="BP488" s="93">
        <f>SUM($Z488:AI488)-SUM($CM488:CV488)</f>
        <v>82</v>
      </c>
      <c r="BQ488" s="93">
        <f>SUM($Z488:AJ488)-SUM($CM488:CW488)</f>
        <v>74</v>
      </c>
      <c r="BR488" s="93">
        <f>SUM($Z488:AK488)-SUM($CM488:CX488)</f>
        <v>66</v>
      </c>
      <c r="BS488" s="93">
        <f>SUM($Z488:AL488)-SUM($CM488:CY488)</f>
        <v>58</v>
      </c>
      <c r="BT488" s="93">
        <f>SUM($Z488:AM488)-SUM($CM488:CZ488)</f>
        <v>50</v>
      </c>
      <c r="BU488" s="93">
        <f>SUM($Z488:AN488)-SUM($CM488:DA488)</f>
        <v>42</v>
      </c>
      <c r="BV488" s="93">
        <f>SUM($Z488:AO488)-SUM($CM488:DB488)</f>
        <v>34</v>
      </c>
      <c r="BW488" s="93">
        <f>SUM($Z488:AP488)-SUM($CM488:DC488)</f>
        <v>28</v>
      </c>
      <c r="BX488" s="93">
        <f>SUM($Z488:AQ488)-SUM($CM488:DD488)</f>
        <v>28</v>
      </c>
      <c r="BY488" s="93">
        <f>SUM($Z488:AR488)-SUM($CM488:DE488)</f>
        <v>28</v>
      </c>
      <c r="BZ488" s="93">
        <f>SUM($Z488:AS488)-SUM($CM488:DF488)</f>
        <v>28</v>
      </c>
      <c r="CA488" s="93">
        <f>SUM($Z488:AT488)-SUM($CM488:DG488)</f>
        <v>28</v>
      </c>
      <c r="CB488" s="93">
        <f>SUM($Z488:AU488)-SUM($CM488:DH488)</f>
        <v>28</v>
      </c>
      <c r="CC488" s="93">
        <f>SUM($Z488:AV488)-SUM($CM488:DI488)</f>
        <v>28</v>
      </c>
      <c r="CD488" s="93">
        <f>SUM($Z488:AW488)-SUM($CM488:DJ488)</f>
        <v>28</v>
      </c>
      <c r="CE488" s="93">
        <f>SUM($Z488:AX488)-SUM($CM488:DK488)</f>
        <v>28</v>
      </c>
      <c r="CF488" s="93">
        <f>SUM($Z488:AY488)-SUM($CM488:DL488)</f>
        <v>28</v>
      </c>
      <c r="CG488" s="93">
        <f>SUM($Z488:AZ488)-SUM($CM488:DM488)</f>
        <v>28</v>
      </c>
      <c r="CH488" s="93">
        <f>SUM($Z488:BA488)-SUM($CM488:DN488)</f>
        <v>28</v>
      </c>
      <c r="CI488" s="93">
        <f>SUM($Z488:BB488)-SUM($CM488:DO488)</f>
        <v>28</v>
      </c>
      <c r="CJ488" s="93"/>
      <c r="CK488" s="93"/>
      <c r="CL488" s="93"/>
      <c r="CM488" s="93"/>
      <c r="CN488" s="93" cm="1">
        <f t="array" ref="CN488">SUMPRODUCT(TRANSPOSE(CN$4:CN$20),$G488:$W488)</f>
        <v>0</v>
      </c>
      <c r="CO488" s="93" cm="1">
        <f t="array" ref="CO488">SUMPRODUCT(TRANSPOSE(CO$4:CO$20),$G488:$W488)</f>
        <v>0</v>
      </c>
      <c r="CP488" s="93" cm="1">
        <f t="array" ref="CP488">SUMPRODUCT(TRANSPOSE(CP$4:CP$20),$G488:$W488)</f>
        <v>0</v>
      </c>
      <c r="CQ488" s="93" cm="1">
        <f t="array" ref="CQ488">SUMPRODUCT(TRANSPOSE(CQ$4:CQ$20),$G488:$W488)</f>
        <v>8</v>
      </c>
      <c r="CR488" s="93" cm="1">
        <f t="array" ref="CR488">SUMPRODUCT(TRANSPOSE(CR$4:CR$20),$G488:$W488)</f>
        <v>8</v>
      </c>
      <c r="CS488" s="93" cm="1">
        <f t="array" ref="CS488">SUMPRODUCT(TRANSPOSE(CS$4:CS$20),$G488:$W488)</f>
        <v>8</v>
      </c>
      <c r="CT488" s="93" cm="1">
        <f t="array" ref="CT488">SUMPRODUCT(TRANSPOSE(CT$4:CT$20),$G488:$W488)</f>
        <v>8</v>
      </c>
      <c r="CU488" s="93" cm="1">
        <f t="array" ref="CU488">SUMPRODUCT(TRANSPOSE(CU$4:CU$20),$G488:$W488)</f>
        <v>8</v>
      </c>
      <c r="CV488" s="93" cm="1">
        <f t="array" ref="CV488">SUMPRODUCT(TRANSPOSE(CV$4:CV$20),$G488:$W488)</f>
        <v>8</v>
      </c>
      <c r="CW488" s="93" cm="1">
        <f t="array" ref="CW488">SUMPRODUCT(TRANSPOSE(CW$4:CW$20),$G488:$W488)</f>
        <v>8</v>
      </c>
      <c r="CX488" s="93" cm="1">
        <f t="array" ref="CX488">SUMPRODUCT(TRANSPOSE(CX$4:CX$20),$G488:$W488)</f>
        <v>8</v>
      </c>
      <c r="CY488" s="93" cm="1">
        <f t="array" ref="CY488">SUMPRODUCT(TRANSPOSE(CY$4:CY$20),$G488:$W488)</f>
        <v>8</v>
      </c>
      <c r="CZ488" s="93" cm="1">
        <f t="array" ref="CZ488">SUMPRODUCT(TRANSPOSE(CZ$4:CZ$20),$G488:$W488)</f>
        <v>8</v>
      </c>
      <c r="DA488" s="93" cm="1">
        <f t="array" ref="DA488">SUMPRODUCT(TRANSPOSE(DA$4:DA$20),$G488:$W488)</f>
        <v>8</v>
      </c>
      <c r="DB488" s="93" cm="1">
        <f t="array" ref="DB488">SUMPRODUCT(TRANSPOSE(DB$4:DB$20),$G488:$W488)</f>
        <v>8</v>
      </c>
      <c r="DC488" s="93" cm="1">
        <f t="array" ref="DC488">SUMPRODUCT(TRANSPOSE(DC$4:DC$20),$G488:$W488)</f>
        <v>6</v>
      </c>
      <c r="DD488" s="93" cm="1">
        <f t="array" ref="DD488">SUMPRODUCT(TRANSPOSE(DD$4:DD$20),$G488:$W488)</f>
        <v>0</v>
      </c>
      <c r="DE488" s="93" cm="1">
        <f t="array" ref="DE488">SUMPRODUCT(TRANSPOSE(DE$4:DE$20),$G488:$W488)</f>
        <v>0</v>
      </c>
      <c r="DF488" s="93" cm="1">
        <f t="array" ref="DF488">SUMPRODUCT(TRANSPOSE(DF$4:DF$20),$G488:$W488)</f>
        <v>0</v>
      </c>
      <c r="DG488" s="93" cm="1">
        <f t="array" ref="DG488">SUMPRODUCT(TRANSPOSE(DG$4:DG$20),$G488:$W488)</f>
        <v>0</v>
      </c>
      <c r="DH488" s="93" cm="1">
        <f t="array" ref="DH488">SUMPRODUCT(TRANSPOSE(DH$4:DH$20),$G488:$W488)</f>
        <v>0</v>
      </c>
      <c r="DI488" s="93" cm="1">
        <f t="array" ref="DI488">SUMPRODUCT(TRANSPOSE(DI$4:DI$20),$G488:$W488)</f>
        <v>0</v>
      </c>
      <c r="DJ488" s="93" cm="1">
        <f t="array" ref="DJ488">SUMPRODUCT(TRANSPOSE(DJ$4:DJ$20),$G488:$W488)</f>
        <v>0</v>
      </c>
      <c r="DK488" s="93" cm="1">
        <f t="array" ref="DK488">SUMPRODUCT(TRANSPOSE(DK$4:DK$20),$G488:$W488)</f>
        <v>0</v>
      </c>
      <c r="DL488" s="93" cm="1">
        <f t="array" ref="DL488">SUMPRODUCT(TRANSPOSE(DL$4:DL$20),$G488:$W488)</f>
        <v>0</v>
      </c>
      <c r="DM488" s="93" cm="1">
        <f t="array" ref="DM488">SUMPRODUCT(TRANSPOSE(DM$4:DM$20),$G488:$W488)</f>
        <v>0</v>
      </c>
      <c r="DN488" s="93" cm="1">
        <f t="array" ref="DN488">SUMPRODUCT(TRANSPOSE(DN$4:DN$20),$G488:$W488)</f>
        <v>0</v>
      </c>
      <c r="DO488" s="93" cm="1">
        <f t="array" ref="DO488">SUMPRODUCT(TRANSPOSE(DO$4:DO$20),$G488:$W488)</f>
        <v>0</v>
      </c>
    </row>
    <row r="489" spans="1:119" x14ac:dyDescent="0.2">
      <c r="A489" s="50">
        <f t="shared" si="33"/>
        <v>468</v>
      </c>
      <c r="B489" s="64" t="s">
        <v>1015</v>
      </c>
      <c r="C489" s="82">
        <v>512306804</v>
      </c>
      <c r="D489" s="45" t="s">
        <v>606</v>
      </c>
      <c r="E489" s="45" t="s">
        <v>162</v>
      </c>
      <c r="F489" s="45"/>
      <c r="G489" s="100">
        <v>10</v>
      </c>
      <c r="H489" s="100">
        <v>0</v>
      </c>
      <c r="I489" s="100">
        <v>0</v>
      </c>
      <c r="J489" s="100">
        <v>0</v>
      </c>
      <c r="K489" s="100">
        <v>0</v>
      </c>
      <c r="L489" s="100">
        <v>0</v>
      </c>
      <c r="M489" s="100">
        <v>0</v>
      </c>
      <c r="N489" s="100">
        <v>0</v>
      </c>
      <c r="O489" s="100">
        <v>0</v>
      </c>
      <c r="P489" s="100">
        <v>0</v>
      </c>
      <c r="Q489" s="100">
        <v>0</v>
      </c>
      <c r="R489" s="100">
        <v>0</v>
      </c>
      <c r="S489" s="100">
        <v>0</v>
      </c>
      <c r="T489" s="100">
        <v>0</v>
      </c>
      <c r="U489" s="100">
        <v>0</v>
      </c>
      <c r="V489" s="100">
        <v>0</v>
      </c>
      <c r="W489" s="100">
        <v>0</v>
      </c>
      <c r="X489" s="76" t="s">
        <v>24</v>
      </c>
      <c r="Y489" s="49">
        <v>0.13900000000000001</v>
      </c>
      <c r="Z489" s="45">
        <v>1400</v>
      </c>
      <c r="AA489" s="45">
        <v>0</v>
      </c>
      <c r="AB489" s="45">
        <v>0</v>
      </c>
      <c r="AC489" s="45">
        <v>0</v>
      </c>
      <c r="AD489" s="45">
        <v>0</v>
      </c>
      <c r="AE489" s="45">
        <v>0</v>
      </c>
      <c r="AF489" s="45">
        <v>0</v>
      </c>
      <c r="AG489" s="45">
        <v>0</v>
      </c>
      <c r="AH489" s="45">
        <v>0</v>
      </c>
      <c r="AI489" s="45">
        <v>0</v>
      </c>
      <c r="AJ489" s="45">
        <v>0</v>
      </c>
      <c r="AK489" s="45">
        <v>0</v>
      </c>
      <c r="AL489" s="45">
        <v>0</v>
      </c>
      <c r="AM489" s="45">
        <v>0</v>
      </c>
      <c r="AN489" s="45">
        <v>0</v>
      </c>
      <c r="AO489" s="45"/>
      <c r="AP489" s="45"/>
      <c r="AQ489" s="45"/>
      <c r="AR489" s="45"/>
      <c r="AS489" s="45"/>
      <c r="AT489" s="45"/>
      <c r="AU489" s="45"/>
      <c r="AV489" s="45"/>
      <c r="AW489" s="45"/>
      <c r="AX489" s="45"/>
      <c r="AY489" s="45"/>
      <c r="AZ489" s="45"/>
      <c r="BA489" s="45"/>
      <c r="BB489" s="45"/>
      <c r="BC489" s="45"/>
      <c r="BD489" s="93"/>
      <c r="BE489" s="93"/>
      <c r="BF489" s="93"/>
      <c r="BG489" s="93"/>
      <c r="BH489" s="93"/>
      <c r="BI489" s="93"/>
      <c r="BJ489" s="93"/>
      <c r="BK489" s="93">
        <f>SUM($Z489:AD489)-SUM($CM489:CQ489)</f>
        <v>1320</v>
      </c>
      <c r="BL489" s="93">
        <f>SUM($Z489:AE489)-SUM($CM489:CR489)</f>
        <v>1240</v>
      </c>
      <c r="BM489" s="93">
        <f>SUM($Z489:AF489)-SUM($CM489:CS489)</f>
        <v>1160</v>
      </c>
      <c r="BN489" s="93">
        <f>SUM($Z489:AG489)-SUM($CM489:CT489)</f>
        <v>1080</v>
      </c>
      <c r="BO489" s="93">
        <f>SUM($Z489:AH489)-SUM($CM489:CU489)</f>
        <v>1000</v>
      </c>
      <c r="BP489" s="93">
        <f>SUM($Z489:AI489)-SUM($CM489:CV489)</f>
        <v>920</v>
      </c>
      <c r="BQ489" s="93">
        <f>SUM($Z489:AJ489)-SUM($CM489:CW489)</f>
        <v>840</v>
      </c>
      <c r="BR489" s="93">
        <f>SUM($Z489:AK489)-SUM($CM489:CX489)</f>
        <v>760</v>
      </c>
      <c r="BS489" s="93">
        <f>SUM($Z489:AL489)-SUM($CM489:CY489)</f>
        <v>680</v>
      </c>
      <c r="BT489" s="93">
        <f>SUM($Z489:AM489)-SUM($CM489:CZ489)</f>
        <v>600</v>
      </c>
      <c r="BU489" s="93">
        <f>SUM($Z489:AN489)-SUM($CM489:DA489)</f>
        <v>520</v>
      </c>
      <c r="BV489" s="93">
        <f>SUM($Z489:AO489)-SUM($CM489:DB489)</f>
        <v>440</v>
      </c>
      <c r="BW489" s="93">
        <f>SUM($Z489:AP489)-SUM($CM489:DC489)</f>
        <v>380</v>
      </c>
      <c r="BX489" s="93">
        <f>SUM($Z489:AQ489)-SUM($CM489:DD489)</f>
        <v>380</v>
      </c>
      <c r="BY489" s="93">
        <f>SUM($Z489:AR489)-SUM($CM489:DE489)</f>
        <v>380</v>
      </c>
      <c r="BZ489" s="93">
        <f>SUM($Z489:AS489)-SUM($CM489:DF489)</f>
        <v>380</v>
      </c>
      <c r="CA489" s="93">
        <f>SUM($Z489:AT489)-SUM($CM489:DG489)</f>
        <v>380</v>
      </c>
      <c r="CB489" s="93">
        <f>SUM($Z489:AU489)-SUM($CM489:DH489)</f>
        <v>380</v>
      </c>
      <c r="CC489" s="93">
        <f>SUM($Z489:AV489)-SUM($CM489:DI489)</f>
        <v>380</v>
      </c>
      <c r="CD489" s="93">
        <f>SUM($Z489:AW489)-SUM($CM489:DJ489)</f>
        <v>380</v>
      </c>
      <c r="CE489" s="93">
        <f>SUM($Z489:AX489)-SUM($CM489:DK489)</f>
        <v>380</v>
      </c>
      <c r="CF489" s="93">
        <f>SUM($Z489:AY489)-SUM($CM489:DL489)</f>
        <v>380</v>
      </c>
      <c r="CG489" s="93">
        <f>SUM($Z489:AZ489)-SUM($CM489:DM489)</f>
        <v>380</v>
      </c>
      <c r="CH489" s="93">
        <f>SUM($Z489:BA489)-SUM($CM489:DN489)</f>
        <v>380</v>
      </c>
      <c r="CI489" s="93">
        <f>SUM($Z489:BB489)-SUM($CM489:DO489)</f>
        <v>380</v>
      </c>
      <c r="CJ489" s="93"/>
      <c r="CK489" s="93"/>
      <c r="CL489" s="93"/>
      <c r="CM489" s="93"/>
      <c r="CN489" s="93" cm="1">
        <f t="array" ref="CN489">SUMPRODUCT(TRANSPOSE(CN$4:CN$20),$G489:$W489)</f>
        <v>0</v>
      </c>
      <c r="CO489" s="93" cm="1">
        <f t="array" ref="CO489">SUMPRODUCT(TRANSPOSE(CO$4:CO$20),$G489:$W489)</f>
        <v>0</v>
      </c>
      <c r="CP489" s="93" cm="1">
        <f t="array" ref="CP489">SUMPRODUCT(TRANSPOSE(CP$4:CP$20),$G489:$W489)</f>
        <v>0</v>
      </c>
      <c r="CQ489" s="93" cm="1">
        <f t="array" ref="CQ489">SUMPRODUCT(TRANSPOSE(CQ$4:CQ$20),$G489:$W489)</f>
        <v>80</v>
      </c>
      <c r="CR489" s="93" cm="1">
        <f t="array" ref="CR489">SUMPRODUCT(TRANSPOSE(CR$4:CR$20),$G489:$W489)</f>
        <v>80</v>
      </c>
      <c r="CS489" s="93" cm="1">
        <f t="array" ref="CS489">SUMPRODUCT(TRANSPOSE(CS$4:CS$20),$G489:$W489)</f>
        <v>80</v>
      </c>
      <c r="CT489" s="93" cm="1">
        <f t="array" ref="CT489">SUMPRODUCT(TRANSPOSE(CT$4:CT$20),$G489:$W489)</f>
        <v>80</v>
      </c>
      <c r="CU489" s="93" cm="1">
        <f t="array" ref="CU489">SUMPRODUCT(TRANSPOSE(CU$4:CU$20),$G489:$W489)</f>
        <v>80</v>
      </c>
      <c r="CV489" s="93" cm="1">
        <f t="array" ref="CV489">SUMPRODUCT(TRANSPOSE(CV$4:CV$20),$G489:$W489)</f>
        <v>80</v>
      </c>
      <c r="CW489" s="93" cm="1">
        <f t="array" ref="CW489">SUMPRODUCT(TRANSPOSE(CW$4:CW$20),$G489:$W489)</f>
        <v>80</v>
      </c>
      <c r="CX489" s="93" cm="1">
        <f t="array" ref="CX489">SUMPRODUCT(TRANSPOSE(CX$4:CX$20),$G489:$W489)</f>
        <v>80</v>
      </c>
      <c r="CY489" s="93" cm="1">
        <f t="array" ref="CY489">SUMPRODUCT(TRANSPOSE(CY$4:CY$20),$G489:$W489)</f>
        <v>80</v>
      </c>
      <c r="CZ489" s="93" cm="1">
        <f t="array" ref="CZ489">SUMPRODUCT(TRANSPOSE(CZ$4:CZ$20),$G489:$W489)</f>
        <v>80</v>
      </c>
      <c r="DA489" s="93" cm="1">
        <f t="array" ref="DA489">SUMPRODUCT(TRANSPOSE(DA$4:DA$20),$G489:$W489)</f>
        <v>80</v>
      </c>
      <c r="DB489" s="93" cm="1">
        <f t="array" ref="DB489">SUMPRODUCT(TRANSPOSE(DB$4:DB$20),$G489:$W489)</f>
        <v>80</v>
      </c>
      <c r="DC489" s="93" cm="1">
        <f t="array" ref="DC489">SUMPRODUCT(TRANSPOSE(DC$4:DC$20),$G489:$W489)</f>
        <v>60</v>
      </c>
      <c r="DD489" s="93" cm="1">
        <f t="array" ref="DD489">SUMPRODUCT(TRANSPOSE(DD$4:DD$20),$G489:$W489)</f>
        <v>0</v>
      </c>
      <c r="DE489" s="93" cm="1">
        <f t="array" ref="DE489">SUMPRODUCT(TRANSPOSE(DE$4:DE$20),$G489:$W489)</f>
        <v>0</v>
      </c>
      <c r="DF489" s="93" cm="1">
        <f t="array" ref="DF489">SUMPRODUCT(TRANSPOSE(DF$4:DF$20),$G489:$W489)</f>
        <v>0</v>
      </c>
      <c r="DG489" s="93" cm="1">
        <f t="array" ref="DG489">SUMPRODUCT(TRANSPOSE(DG$4:DG$20),$G489:$W489)</f>
        <v>0</v>
      </c>
      <c r="DH489" s="93" cm="1">
        <f t="array" ref="DH489">SUMPRODUCT(TRANSPOSE(DH$4:DH$20),$G489:$W489)</f>
        <v>0</v>
      </c>
      <c r="DI489" s="93" cm="1">
        <f t="array" ref="DI489">SUMPRODUCT(TRANSPOSE(DI$4:DI$20),$G489:$W489)</f>
        <v>0</v>
      </c>
      <c r="DJ489" s="93" cm="1">
        <f t="array" ref="DJ489">SUMPRODUCT(TRANSPOSE(DJ$4:DJ$20),$G489:$W489)</f>
        <v>0</v>
      </c>
      <c r="DK489" s="93" cm="1">
        <f t="array" ref="DK489">SUMPRODUCT(TRANSPOSE(DK$4:DK$20),$G489:$W489)</f>
        <v>0</v>
      </c>
      <c r="DL489" s="93" cm="1">
        <f t="array" ref="DL489">SUMPRODUCT(TRANSPOSE(DL$4:DL$20),$G489:$W489)</f>
        <v>0</v>
      </c>
      <c r="DM489" s="93" cm="1">
        <f t="array" ref="DM489">SUMPRODUCT(TRANSPOSE(DM$4:DM$20),$G489:$W489)</f>
        <v>0</v>
      </c>
      <c r="DN489" s="93" cm="1">
        <f t="array" ref="DN489">SUMPRODUCT(TRANSPOSE(DN$4:DN$20),$G489:$W489)</f>
        <v>0</v>
      </c>
      <c r="DO489" s="93" cm="1">
        <f t="array" ref="DO489">SUMPRODUCT(TRANSPOSE(DO$4:DO$20),$G489:$W489)</f>
        <v>0</v>
      </c>
    </row>
    <row r="490" spans="1:119" x14ac:dyDescent="0.2">
      <c r="A490" s="74">
        <f t="shared" si="33"/>
        <v>469</v>
      </c>
      <c r="B490" s="64" t="s">
        <v>1016</v>
      </c>
      <c r="C490" s="82">
        <v>420122608</v>
      </c>
      <c r="D490" s="45" t="s">
        <v>810</v>
      </c>
      <c r="E490" s="45" t="s">
        <v>162</v>
      </c>
      <c r="F490" s="45"/>
      <c r="G490" s="100">
        <v>0</v>
      </c>
      <c r="H490" s="100">
        <v>0</v>
      </c>
      <c r="I490" s="100">
        <v>1</v>
      </c>
      <c r="J490" s="100">
        <v>0</v>
      </c>
      <c r="K490" s="100">
        <v>0</v>
      </c>
      <c r="L490" s="100">
        <v>0</v>
      </c>
      <c r="M490" s="100">
        <v>0</v>
      </c>
      <c r="N490" s="100">
        <v>0</v>
      </c>
      <c r="O490" s="100">
        <v>0</v>
      </c>
      <c r="P490" s="100">
        <v>0</v>
      </c>
      <c r="Q490" s="100">
        <v>0</v>
      </c>
      <c r="R490" s="100">
        <v>0</v>
      </c>
      <c r="S490" s="100">
        <v>0</v>
      </c>
      <c r="T490" s="100">
        <v>0</v>
      </c>
      <c r="U490" s="100">
        <v>0</v>
      </c>
      <c r="V490" s="100">
        <v>0</v>
      </c>
      <c r="W490" s="100">
        <v>0</v>
      </c>
      <c r="X490" s="45" t="s">
        <v>50</v>
      </c>
      <c r="Y490" s="49">
        <v>25</v>
      </c>
      <c r="Z490" s="45">
        <v>130</v>
      </c>
      <c r="AA490" s="45">
        <v>0</v>
      </c>
      <c r="AB490" s="45">
        <v>0</v>
      </c>
      <c r="AC490" s="45">
        <v>0</v>
      </c>
      <c r="AD490" s="45">
        <v>0</v>
      </c>
      <c r="AE490" s="45">
        <v>0</v>
      </c>
      <c r="AF490" s="45">
        <v>0</v>
      </c>
      <c r="AG490" s="45">
        <v>0</v>
      </c>
      <c r="AH490" s="45">
        <v>0</v>
      </c>
      <c r="AI490" s="45">
        <v>0</v>
      </c>
      <c r="AJ490" s="45">
        <v>0</v>
      </c>
      <c r="AK490" s="45">
        <v>0</v>
      </c>
      <c r="AL490" s="45">
        <v>0</v>
      </c>
      <c r="AM490" s="45">
        <v>0</v>
      </c>
      <c r="AN490" s="45">
        <v>0</v>
      </c>
      <c r="AO490" s="45"/>
      <c r="AP490" s="45"/>
      <c r="AQ490" s="45"/>
      <c r="AR490" s="45"/>
      <c r="AS490" s="45"/>
      <c r="AT490" s="45"/>
      <c r="AU490" s="45"/>
      <c r="AV490" s="45"/>
      <c r="AW490" s="45"/>
      <c r="AX490" s="45"/>
      <c r="AY490" s="45"/>
      <c r="AZ490" s="45"/>
      <c r="BA490" s="45"/>
      <c r="BB490" s="45"/>
      <c r="BC490" s="45"/>
      <c r="BD490" s="93"/>
      <c r="BE490" s="93"/>
      <c r="BF490" s="93"/>
      <c r="BG490" s="93"/>
      <c r="BH490" s="93"/>
      <c r="BI490" s="93"/>
      <c r="BJ490" s="93"/>
      <c r="BK490" s="93">
        <f>SUM($Z490:AD490)-SUM($CM490:CQ490)</f>
        <v>122</v>
      </c>
      <c r="BL490" s="93">
        <f>SUM($Z490:AE490)-SUM($CM490:CR490)</f>
        <v>114</v>
      </c>
      <c r="BM490" s="93">
        <f>SUM($Z490:AF490)-SUM($CM490:CS490)</f>
        <v>106</v>
      </c>
      <c r="BN490" s="93">
        <f>SUM($Z490:AG490)-SUM($CM490:CT490)</f>
        <v>98</v>
      </c>
      <c r="BO490" s="93">
        <f>SUM($Z490:AH490)-SUM($CM490:CU490)</f>
        <v>90</v>
      </c>
      <c r="BP490" s="93">
        <f>SUM($Z490:AI490)-SUM($CM490:CV490)</f>
        <v>82</v>
      </c>
      <c r="BQ490" s="93">
        <f>SUM($Z490:AJ490)-SUM($CM490:CW490)</f>
        <v>74</v>
      </c>
      <c r="BR490" s="93">
        <f>SUM($Z490:AK490)-SUM($CM490:CX490)</f>
        <v>66</v>
      </c>
      <c r="BS490" s="93">
        <f>SUM($Z490:AL490)-SUM($CM490:CY490)</f>
        <v>58</v>
      </c>
      <c r="BT490" s="93">
        <f>SUM($Z490:AM490)-SUM($CM490:CZ490)</f>
        <v>50</v>
      </c>
      <c r="BU490" s="93">
        <f>SUM($Z490:AN490)-SUM($CM490:DA490)</f>
        <v>42</v>
      </c>
      <c r="BV490" s="93">
        <f>SUM($Z490:AO490)-SUM($CM490:DB490)</f>
        <v>34</v>
      </c>
      <c r="BW490" s="93">
        <f>SUM($Z490:AP490)-SUM($CM490:DC490)</f>
        <v>28</v>
      </c>
      <c r="BX490" s="93">
        <f>SUM($Z490:AQ490)-SUM($CM490:DD490)</f>
        <v>28</v>
      </c>
      <c r="BY490" s="93">
        <f>SUM($Z490:AR490)-SUM($CM490:DE490)</f>
        <v>28</v>
      </c>
      <c r="BZ490" s="93">
        <f>SUM($Z490:AS490)-SUM($CM490:DF490)</f>
        <v>28</v>
      </c>
      <c r="CA490" s="93">
        <f>SUM($Z490:AT490)-SUM($CM490:DG490)</f>
        <v>28</v>
      </c>
      <c r="CB490" s="93">
        <f>SUM($Z490:AU490)-SUM($CM490:DH490)</f>
        <v>28</v>
      </c>
      <c r="CC490" s="93">
        <f>SUM($Z490:AV490)-SUM($CM490:DI490)</f>
        <v>28</v>
      </c>
      <c r="CD490" s="93">
        <f>SUM($Z490:AW490)-SUM($CM490:DJ490)</f>
        <v>28</v>
      </c>
      <c r="CE490" s="93">
        <f>SUM($Z490:AX490)-SUM($CM490:DK490)</f>
        <v>28</v>
      </c>
      <c r="CF490" s="93">
        <f>SUM($Z490:AY490)-SUM($CM490:DL490)</f>
        <v>28</v>
      </c>
      <c r="CG490" s="93">
        <f>SUM($Z490:AZ490)-SUM($CM490:DM490)</f>
        <v>28</v>
      </c>
      <c r="CH490" s="93">
        <f>SUM($Z490:BA490)-SUM($CM490:DN490)</f>
        <v>28</v>
      </c>
      <c r="CI490" s="93">
        <f>SUM($Z490:BB490)-SUM($CM490:DO490)</f>
        <v>28</v>
      </c>
      <c r="CJ490" s="93"/>
      <c r="CK490" s="93"/>
      <c r="CL490" s="93"/>
      <c r="CM490" s="93"/>
      <c r="CN490" s="93" cm="1">
        <f t="array" ref="CN490">SUMPRODUCT(TRANSPOSE(CN$4:CN$20),$G490:$W490)</f>
        <v>0</v>
      </c>
      <c r="CO490" s="93" cm="1">
        <f t="array" ref="CO490">SUMPRODUCT(TRANSPOSE(CO$4:CO$20),$G490:$W490)</f>
        <v>0</v>
      </c>
      <c r="CP490" s="93" cm="1">
        <f t="array" ref="CP490">SUMPRODUCT(TRANSPOSE(CP$4:CP$20),$G490:$W490)</f>
        <v>0</v>
      </c>
      <c r="CQ490" s="93" cm="1">
        <f t="array" ref="CQ490">SUMPRODUCT(TRANSPOSE(CQ$4:CQ$20),$G490:$W490)</f>
        <v>8</v>
      </c>
      <c r="CR490" s="93" cm="1">
        <f t="array" ref="CR490">SUMPRODUCT(TRANSPOSE(CR$4:CR$20),$G490:$W490)</f>
        <v>8</v>
      </c>
      <c r="CS490" s="93" cm="1">
        <f t="array" ref="CS490">SUMPRODUCT(TRANSPOSE(CS$4:CS$20),$G490:$W490)</f>
        <v>8</v>
      </c>
      <c r="CT490" s="93" cm="1">
        <f t="array" ref="CT490">SUMPRODUCT(TRANSPOSE(CT$4:CT$20),$G490:$W490)</f>
        <v>8</v>
      </c>
      <c r="CU490" s="93" cm="1">
        <f t="array" ref="CU490">SUMPRODUCT(TRANSPOSE(CU$4:CU$20),$G490:$W490)</f>
        <v>8</v>
      </c>
      <c r="CV490" s="93" cm="1">
        <f t="array" ref="CV490">SUMPRODUCT(TRANSPOSE(CV$4:CV$20),$G490:$W490)</f>
        <v>8</v>
      </c>
      <c r="CW490" s="93" cm="1">
        <f t="array" ref="CW490">SUMPRODUCT(TRANSPOSE(CW$4:CW$20),$G490:$W490)</f>
        <v>8</v>
      </c>
      <c r="CX490" s="93" cm="1">
        <f t="array" ref="CX490">SUMPRODUCT(TRANSPOSE(CX$4:CX$20),$G490:$W490)</f>
        <v>8</v>
      </c>
      <c r="CY490" s="93" cm="1">
        <f t="array" ref="CY490">SUMPRODUCT(TRANSPOSE(CY$4:CY$20),$G490:$W490)</f>
        <v>8</v>
      </c>
      <c r="CZ490" s="93" cm="1">
        <f t="array" ref="CZ490">SUMPRODUCT(TRANSPOSE(CZ$4:CZ$20),$G490:$W490)</f>
        <v>8</v>
      </c>
      <c r="DA490" s="93" cm="1">
        <f t="array" ref="DA490">SUMPRODUCT(TRANSPOSE(DA$4:DA$20),$G490:$W490)</f>
        <v>8</v>
      </c>
      <c r="DB490" s="93" cm="1">
        <f t="array" ref="DB490">SUMPRODUCT(TRANSPOSE(DB$4:DB$20),$G490:$W490)</f>
        <v>8</v>
      </c>
      <c r="DC490" s="93" cm="1">
        <f t="array" ref="DC490">SUMPRODUCT(TRANSPOSE(DC$4:DC$20),$G490:$W490)</f>
        <v>6</v>
      </c>
      <c r="DD490" s="93" cm="1">
        <f t="array" ref="DD490">SUMPRODUCT(TRANSPOSE(DD$4:DD$20),$G490:$W490)</f>
        <v>0</v>
      </c>
      <c r="DE490" s="93" cm="1">
        <f t="array" ref="DE490">SUMPRODUCT(TRANSPOSE(DE$4:DE$20),$G490:$W490)</f>
        <v>0</v>
      </c>
      <c r="DF490" s="93" cm="1">
        <f t="array" ref="DF490">SUMPRODUCT(TRANSPOSE(DF$4:DF$20),$G490:$W490)</f>
        <v>0</v>
      </c>
      <c r="DG490" s="93" cm="1">
        <f t="array" ref="DG490">SUMPRODUCT(TRANSPOSE(DG$4:DG$20),$G490:$W490)</f>
        <v>0</v>
      </c>
      <c r="DH490" s="93" cm="1">
        <f t="array" ref="DH490">SUMPRODUCT(TRANSPOSE(DH$4:DH$20),$G490:$W490)</f>
        <v>0</v>
      </c>
      <c r="DI490" s="93" cm="1">
        <f t="array" ref="DI490">SUMPRODUCT(TRANSPOSE(DI$4:DI$20),$G490:$W490)</f>
        <v>0</v>
      </c>
      <c r="DJ490" s="93" cm="1">
        <f t="array" ref="DJ490">SUMPRODUCT(TRANSPOSE(DJ$4:DJ$20),$G490:$W490)</f>
        <v>0</v>
      </c>
      <c r="DK490" s="93" cm="1">
        <f t="array" ref="DK490">SUMPRODUCT(TRANSPOSE(DK$4:DK$20),$G490:$W490)</f>
        <v>0</v>
      </c>
      <c r="DL490" s="93" cm="1">
        <f t="array" ref="DL490">SUMPRODUCT(TRANSPOSE(DL$4:DL$20),$G490:$W490)</f>
        <v>0</v>
      </c>
      <c r="DM490" s="93" cm="1">
        <f t="array" ref="DM490">SUMPRODUCT(TRANSPOSE(DM$4:DM$20),$G490:$W490)</f>
        <v>0</v>
      </c>
      <c r="DN490" s="93" cm="1">
        <f t="array" ref="DN490">SUMPRODUCT(TRANSPOSE(DN$4:DN$20),$G490:$W490)</f>
        <v>0</v>
      </c>
      <c r="DO490" s="93" cm="1">
        <f t="array" ref="DO490">SUMPRODUCT(TRANSPOSE(DO$4:DO$20),$G490:$W490)</f>
        <v>0</v>
      </c>
    </row>
    <row r="491" spans="1:119" x14ac:dyDescent="0.2">
      <c r="A491" s="74">
        <f t="shared" si="33"/>
        <v>470</v>
      </c>
      <c r="B491" s="77" t="s">
        <v>1017</v>
      </c>
      <c r="C491" s="82">
        <v>413631452</v>
      </c>
      <c r="D491" s="45" t="s">
        <v>1018</v>
      </c>
      <c r="E491" s="45" t="s">
        <v>162</v>
      </c>
      <c r="F491" s="45"/>
      <c r="G491" s="100">
        <v>0</v>
      </c>
      <c r="H491" s="100">
        <v>0</v>
      </c>
      <c r="I491" s="100">
        <v>0</v>
      </c>
      <c r="J491" s="100">
        <v>0</v>
      </c>
      <c r="K491" s="100">
        <v>0</v>
      </c>
      <c r="L491" s="100">
        <v>0</v>
      </c>
      <c r="M491" s="100">
        <v>0</v>
      </c>
      <c r="N491" s="100">
        <v>0</v>
      </c>
      <c r="O491" s="100">
        <v>0</v>
      </c>
      <c r="P491" s="100">
        <v>0</v>
      </c>
      <c r="Q491" s="100">
        <v>0</v>
      </c>
      <c r="R491" s="100">
        <v>0</v>
      </c>
      <c r="S491" s="100">
        <v>0</v>
      </c>
      <c r="T491" s="100">
        <v>0</v>
      </c>
      <c r="U491" s="100">
        <v>0</v>
      </c>
      <c r="V491" s="100">
        <v>0</v>
      </c>
      <c r="W491" s="100">
        <v>0</v>
      </c>
      <c r="X491" s="45" t="s">
        <v>24</v>
      </c>
      <c r="Y491" s="49">
        <v>6.1749999999999999E-2</v>
      </c>
      <c r="Z491" s="45">
        <v>5260</v>
      </c>
      <c r="AA491" s="45">
        <v>0</v>
      </c>
      <c r="AB491" s="45">
        <v>0</v>
      </c>
      <c r="AC491" s="45">
        <v>0</v>
      </c>
      <c r="AD491" s="45">
        <v>0</v>
      </c>
      <c r="AE491" s="45">
        <v>0</v>
      </c>
      <c r="AF491" s="45">
        <v>0</v>
      </c>
      <c r="AG491" s="45">
        <v>0</v>
      </c>
      <c r="AH491" s="45">
        <v>0</v>
      </c>
      <c r="AI491" s="45">
        <v>0</v>
      </c>
      <c r="AJ491" s="45">
        <v>0</v>
      </c>
      <c r="AK491" s="45">
        <v>0</v>
      </c>
      <c r="AL491" s="45">
        <v>0</v>
      </c>
      <c r="AM491" s="45">
        <v>0</v>
      </c>
      <c r="AN491" s="45">
        <v>0</v>
      </c>
      <c r="AO491" s="45"/>
      <c r="AP491" s="45"/>
      <c r="AQ491" s="45"/>
      <c r="AR491" s="45"/>
      <c r="AS491" s="45"/>
      <c r="AT491" s="45"/>
      <c r="AU491" s="45"/>
      <c r="AV491" s="45"/>
      <c r="AW491" s="45"/>
      <c r="AX491" s="45"/>
      <c r="AY491" s="45"/>
      <c r="AZ491" s="45"/>
      <c r="BA491" s="45"/>
      <c r="BB491" s="45"/>
      <c r="BC491" s="45"/>
      <c r="BD491" s="93"/>
      <c r="BE491" s="93"/>
      <c r="BF491" s="93"/>
      <c r="BG491" s="93"/>
      <c r="BH491" s="93"/>
      <c r="BI491" s="93"/>
      <c r="BJ491" s="93"/>
      <c r="BK491" s="93">
        <f>SUM($Z491:AD491)-SUM($CM491:CQ491)</f>
        <v>5260</v>
      </c>
      <c r="BL491" s="93">
        <f>SUM($Z491:AE491)-SUM($CM491:CR491)</f>
        <v>5260</v>
      </c>
      <c r="BM491" s="93">
        <f>SUM($Z491:AF491)-SUM($CM491:CS491)</f>
        <v>5260</v>
      </c>
      <c r="BN491" s="93">
        <f>SUM($Z491:AG491)-SUM($CM491:CT491)</f>
        <v>5260</v>
      </c>
      <c r="BO491" s="93">
        <f>SUM($Z491:AH491)-SUM($CM491:CU491)</f>
        <v>5260</v>
      </c>
      <c r="BP491" s="93">
        <f>SUM($Z491:AI491)-SUM($CM491:CV491)</f>
        <v>5260</v>
      </c>
      <c r="BQ491" s="93">
        <f>SUM($Z491:AJ491)-SUM($CM491:CW491)</f>
        <v>5260</v>
      </c>
      <c r="BR491" s="93">
        <f>SUM($Z491:AK491)-SUM($CM491:CX491)</f>
        <v>5260</v>
      </c>
      <c r="BS491" s="93">
        <f>SUM($Z491:AL491)-SUM($CM491:CY491)</f>
        <v>5260</v>
      </c>
      <c r="BT491" s="93">
        <f>SUM($Z491:AM491)-SUM($CM491:CZ491)</f>
        <v>5260</v>
      </c>
      <c r="BU491" s="93">
        <f>SUM($Z491:AN491)-SUM($CM491:DA491)</f>
        <v>5260</v>
      </c>
      <c r="BV491" s="93">
        <f>SUM($Z491:AO491)-SUM($CM491:DB491)</f>
        <v>5260</v>
      </c>
      <c r="BW491" s="93">
        <f>SUM($Z491:AP491)-SUM($CM491:DC491)</f>
        <v>5260</v>
      </c>
      <c r="BX491" s="93">
        <f>SUM($Z491:AQ491)-SUM($CM491:DD491)</f>
        <v>5260</v>
      </c>
      <c r="BY491" s="93">
        <f>SUM($Z491:AR491)-SUM($CM491:DE491)</f>
        <v>5260</v>
      </c>
      <c r="BZ491" s="93">
        <f>SUM($Z491:AS491)-SUM($CM491:DF491)</f>
        <v>5260</v>
      </c>
      <c r="CA491" s="93">
        <f>SUM($Z491:AT491)-SUM($CM491:DG491)</f>
        <v>5260</v>
      </c>
      <c r="CB491" s="93">
        <f>SUM($Z491:AU491)-SUM($CM491:DH491)</f>
        <v>5260</v>
      </c>
      <c r="CC491" s="93">
        <f>SUM($Z491:AV491)-SUM($CM491:DI491)</f>
        <v>5260</v>
      </c>
      <c r="CD491" s="93">
        <f>SUM($Z491:AW491)-SUM($CM491:DJ491)</f>
        <v>5260</v>
      </c>
      <c r="CE491" s="93">
        <f>SUM($Z491:AX491)-SUM($CM491:DK491)</f>
        <v>5260</v>
      </c>
      <c r="CF491" s="93">
        <f>SUM($Z491:AY491)-SUM($CM491:DL491)</f>
        <v>5260</v>
      </c>
      <c r="CG491" s="93">
        <f>SUM($Z491:AZ491)-SUM($CM491:DM491)</f>
        <v>5260</v>
      </c>
      <c r="CH491" s="93">
        <f>SUM($Z491:BA491)-SUM($CM491:DN491)</f>
        <v>5260</v>
      </c>
      <c r="CI491" s="93">
        <f>SUM($Z491:BB491)-SUM($CM491:DO491)</f>
        <v>5260</v>
      </c>
      <c r="CJ491" s="93"/>
      <c r="CK491" s="93"/>
      <c r="CL491" s="93"/>
      <c r="CM491" s="93"/>
      <c r="CN491" s="93" cm="1">
        <f t="array" ref="CN491">SUMPRODUCT(TRANSPOSE(CN$4:CN$20),$G491:$W491)</f>
        <v>0</v>
      </c>
      <c r="CO491" s="93" cm="1">
        <f t="array" ref="CO491">SUMPRODUCT(TRANSPOSE(CO$4:CO$20),$G491:$W491)</f>
        <v>0</v>
      </c>
      <c r="CP491" s="93" cm="1">
        <f t="array" ref="CP491">SUMPRODUCT(TRANSPOSE(CP$4:CP$20),$G491:$W491)</f>
        <v>0</v>
      </c>
      <c r="CQ491" s="93" cm="1">
        <f t="array" ref="CQ491">SUMPRODUCT(TRANSPOSE(CQ$4:CQ$20),$G491:$W491)</f>
        <v>0</v>
      </c>
      <c r="CR491" s="93" cm="1">
        <f t="array" ref="CR491">SUMPRODUCT(TRANSPOSE(CR$4:CR$20),$G491:$W491)</f>
        <v>0</v>
      </c>
      <c r="CS491" s="93" cm="1">
        <f t="array" ref="CS491">SUMPRODUCT(TRANSPOSE(CS$4:CS$20),$G491:$W491)</f>
        <v>0</v>
      </c>
      <c r="CT491" s="93" cm="1">
        <f t="array" ref="CT491">SUMPRODUCT(TRANSPOSE(CT$4:CT$20),$G491:$W491)</f>
        <v>0</v>
      </c>
      <c r="CU491" s="93" cm="1">
        <f t="array" ref="CU491">SUMPRODUCT(TRANSPOSE(CU$4:CU$20),$G491:$W491)</f>
        <v>0</v>
      </c>
      <c r="CV491" s="93" cm="1">
        <f t="array" ref="CV491">SUMPRODUCT(TRANSPOSE(CV$4:CV$20),$G491:$W491)</f>
        <v>0</v>
      </c>
      <c r="CW491" s="93" cm="1">
        <f t="array" ref="CW491">SUMPRODUCT(TRANSPOSE(CW$4:CW$20),$G491:$W491)</f>
        <v>0</v>
      </c>
      <c r="CX491" s="93" cm="1">
        <f t="array" ref="CX491">SUMPRODUCT(TRANSPOSE(CX$4:CX$20),$G491:$W491)</f>
        <v>0</v>
      </c>
      <c r="CY491" s="93" cm="1">
        <f t="array" ref="CY491">SUMPRODUCT(TRANSPOSE(CY$4:CY$20),$G491:$W491)</f>
        <v>0</v>
      </c>
      <c r="CZ491" s="93" cm="1">
        <f t="array" ref="CZ491">SUMPRODUCT(TRANSPOSE(CZ$4:CZ$20),$G491:$W491)</f>
        <v>0</v>
      </c>
      <c r="DA491" s="93" cm="1">
        <f t="array" ref="DA491">SUMPRODUCT(TRANSPOSE(DA$4:DA$20),$G491:$W491)</f>
        <v>0</v>
      </c>
      <c r="DB491" s="93" cm="1">
        <f t="array" ref="DB491">SUMPRODUCT(TRANSPOSE(DB$4:DB$20),$G491:$W491)</f>
        <v>0</v>
      </c>
      <c r="DC491" s="93" cm="1">
        <f t="array" ref="DC491">SUMPRODUCT(TRANSPOSE(DC$4:DC$20),$G491:$W491)</f>
        <v>0</v>
      </c>
      <c r="DD491" s="93" cm="1">
        <f t="array" ref="DD491">SUMPRODUCT(TRANSPOSE(DD$4:DD$20),$G491:$W491)</f>
        <v>0</v>
      </c>
      <c r="DE491" s="93" cm="1">
        <f t="array" ref="DE491">SUMPRODUCT(TRANSPOSE(DE$4:DE$20),$G491:$W491)</f>
        <v>0</v>
      </c>
      <c r="DF491" s="93" cm="1">
        <f t="array" ref="DF491">SUMPRODUCT(TRANSPOSE(DF$4:DF$20),$G491:$W491)</f>
        <v>0</v>
      </c>
      <c r="DG491" s="93" cm="1">
        <f t="array" ref="DG491">SUMPRODUCT(TRANSPOSE(DG$4:DG$20),$G491:$W491)</f>
        <v>0</v>
      </c>
      <c r="DH491" s="93" cm="1">
        <f t="array" ref="DH491">SUMPRODUCT(TRANSPOSE(DH$4:DH$20),$G491:$W491)</f>
        <v>0</v>
      </c>
      <c r="DI491" s="93" cm="1">
        <f t="array" ref="DI491">SUMPRODUCT(TRANSPOSE(DI$4:DI$20),$G491:$W491)</f>
        <v>0</v>
      </c>
      <c r="DJ491" s="93" cm="1">
        <f t="array" ref="DJ491">SUMPRODUCT(TRANSPOSE(DJ$4:DJ$20),$G491:$W491)</f>
        <v>0</v>
      </c>
      <c r="DK491" s="93" cm="1">
        <f t="array" ref="DK491">SUMPRODUCT(TRANSPOSE(DK$4:DK$20),$G491:$W491)</f>
        <v>0</v>
      </c>
      <c r="DL491" s="93" cm="1">
        <f t="array" ref="DL491">SUMPRODUCT(TRANSPOSE(DL$4:DL$20),$G491:$W491)</f>
        <v>0</v>
      </c>
      <c r="DM491" s="93" cm="1">
        <f t="array" ref="DM491">SUMPRODUCT(TRANSPOSE(DM$4:DM$20),$G491:$W491)</f>
        <v>0</v>
      </c>
      <c r="DN491" s="93" cm="1">
        <f t="array" ref="DN491">SUMPRODUCT(TRANSPOSE(DN$4:DN$20),$G491:$W491)</f>
        <v>0</v>
      </c>
      <c r="DO491" s="93" cm="1">
        <f t="array" ref="DO491">SUMPRODUCT(TRANSPOSE(DO$4:DO$20),$G491:$W491)</f>
        <v>0</v>
      </c>
    </row>
    <row r="492" spans="1:119" x14ac:dyDescent="0.2">
      <c r="A492" s="74">
        <f t="shared" si="33"/>
        <v>471</v>
      </c>
      <c r="B492" s="64" t="s">
        <v>1019</v>
      </c>
      <c r="C492" s="82">
        <v>512212457</v>
      </c>
      <c r="D492" s="45" t="s">
        <v>614</v>
      </c>
      <c r="E492" s="45" t="s">
        <v>162</v>
      </c>
      <c r="F492" s="45"/>
      <c r="G492" s="100">
        <v>0</v>
      </c>
      <c r="H492" s="100">
        <v>0</v>
      </c>
      <c r="I492" s="100">
        <v>2</v>
      </c>
      <c r="J492" s="100">
        <v>0</v>
      </c>
      <c r="K492" s="100">
        <v>2</v>
      </c>
      <c r="L492" s="100">
        <v>0</v>
      </c>
      <c r="M492" s="100">
        <v>0</v>
      </c>
      <c r="N492" s="100">
        <v>0</v>
      </c>
      <c r="O492" s="100">
        <v>0</v>
      </c>
      <c r="P492" s="100">
        <v>0</v>
      </c>
      <c r="Q492" s="100">
        <v>0</v>
      </c>
      <c r="R492" s="100">
        <v>0</v>
      </c>
      <c r="S492" s="100">
        <v>0</v>
      </c>
      <c r="T492" s="100">
        <v>0</v>
      </c>
      <c r="U492" s="100">
        <v>0</v>
      </c>
      <c r="V492" s="100">
        <v>0</v>
      </c>
      <c r="W492" s="100">
        <v>0</v>
      </c>
      <c r="X492" s="76" t="s">
        <v>24</v>
      </c>
      <c r="Y492" s="49">
        <v>0.1</v>
      </c>
      <c r="Z492" s="45">
        <v>680</v>
      </c>
      <c r="AA492" s="45">
        <v>0</v>
      </c>
      <c r="AB492" s="45">
        <v>0</v>
      </c>
      <c r="AC492" s="45">
        <v>0</v>
      </c>
      <c r="AD492" s="45">
        <v>0</v>
      </c>
      <c r="AE492" s="45">
        <v>0</v>
      </c>
      <c r="AF492" s="45">
        <v>0</v>
      </c>
      <c r="AG492" s="45">
        <v>0</v>
      </c>
      <c r="AH492" s="45">
        <v>0</v>
      </c>
      <c r="AI492" s="45">
        <v>0</v>
      </c>
      <c r="AJ492" s="45">
        <v>0</v>
      </c>
      <c r="AK492" s="45">
        <v>0</v>
      </c>
      <c r="AL492" s="45">
        <v>0</v>
      </c>
      <c r="AM492" s="45">
        <v>0</v>
      </c>
      <c r="AN492" s="45">
        <v>0</v>
      </c>
      <c r="AO492" s="45"/>
      <c r="AP492" s="45"/>
      <c r="AQ492" s="45"/>
      <c r="AR492" s="45"/>
      <c r="AS492" s="45"/>
      <c r="AT492" s="45"/>
      <c r="AU492" s="45"/>
      <c r="AV492" s="45"/>
      <c r="AW492" s="45"/>
      <c r="AX492" s="45"/>
      <c r="AY492" s="45"/>
      <c r="AZ492" s="45"/>
      <c r="BA492" s="45"/>
      <c r="BB492" s="45"/>
      <c r="BC492" s="45"/>
      <c r="BD492" s="93"/>
      <c r="BE492" s="93"/>
      <c r="BF492" s="93"/>
      <c r="BG492" s="93"/>
      <c r="BH492" s="93"/>
      <c r="BI492" s="93"/>
      <c r="BJ492" s="93"/>
      <c r="BK492" s="93">
        <f>SUM($Z492:AD492)-SUM($CM492:CQ492)</f>
        <v>648</v>
      </c>
      <c r="BL492" s="93">
        <f>SUM($Z492:AE492)-SUM($CM492:CR492)</f>
        <v>616</v>
      </c>
      <c r="BM492" s="93">
        <f>SUM($Z492:AF492)-SUM($CM492:CS492)</f>
        <v>584</v>
      </c>
      <c r="BN492" s="93">
        <f>SUM($Z492:AG492)-SUM($CM492:CT492)</f>
        <v>552</v>
      </c>
      <c r="BO492" s="93">
        <f>SUM($Z492:AH492)-SUM($CM492:CU492)</f>
        <v>520</v>
      </c>
      <c r="BP492" s="93">
        <f>SUM($Z492:AI492)-SUM($CM492:CV492)</f>
        <v>488</v>
      </c>
      <c r="BQ492" s="93">
        <f>SUM($Z492:AJ492)-SUM($CM492:CW492)</f>
        <v>456</v>
      </c>
      <c r="BR492" s="93">
        <f>SUM($Z492:AK492)-SUM($CM492:CX492)</f>
        <v>424</v>
      </c>
      <c r="BS492" s="93">
        <f>SUM($Z492:AL492)-SUM($CM492:CY492)</f>
        <v>392</v>
      </c>
      <c r="BT492" s="93">
        <f>SUM($Z492:AM492)-SUM($CM492:CZ492)</f>
        <v>360</v>
      </c>
      <c r="BU492" s="93">
        <f>SUM($Z492:AN492)-SUM($CM492:DA492)</f>
        <v>328</v>
      </c>
      <c r="BV492" s="93">
        <f>SUM($Z492:AO492)-SUM($CM492:DB492)</f>
        <v>296</v>
      </c>
      <c r="BW492" s="93">
        <f>SUM($Z492:AP492)-SUM($CM492:DC492)</f>
        <v>272</v>
      </c>
      <c r="BX492" s="93">
        <f>SUM($Z492:AQ492)-SUM($CM492:DD492)</f>
        <v>272</v>
      </c>
      <c r="BY492" s="93">
        <f>SUM($Z492:AR492)-SUM($CM492:DE492)</f>
        <v>272</v>
      </c>
      <c r="BZ492" s="93">
        <f>SUM($Z492:AS492)-SUM($CM492:DF492)</f>
        <v>272</v>
      </c>
      <c r="CA492" s="93">
        <f>SUM($Z492:AT492)-SUM($CM492:DG492)</f>
        <v>272</v>
      </c>
      <c r="CB492" s="93">
        <f>SUM($Z492:AU492)-SUM($CM492:DH492)</f>
        <v>272</v>
      </c>
      <c r="CC492" s="93">
        <f>SUM($Z492:AV492)-SUM($CM492:DI492)</f>
        <v>272</v>
      </c>
      <c r="CD492" s="93">
        <f>SUM($Z492:AW492)-SUM($CM492:DJ492)</f>
        <v>272</v>
      </c>
      <c r="CE492" s="93">
        <f>SUM($Z492:AX492)-SUM($CM492:DK492)</f>
        <v>272</v>
      </c>
      <c r="CF492" s="93">
        <f>SUM($Z492:AY492)-SUM($CM492:DL492)</f>
        <v>272</v>
      </c>
      <c r="CG492" s="93">
        <f>SUM($Z492:AZ492)-SUM($CM492:DM492)</f>
        <v>272</v>
      </c>
      <c r="CH492" s="93">
        <f>SUM($Z492:BA492)-SUM($CM492:DN492)</f>
        <v>272</v>
      </c>
      <c r="CI492" s="93">
        <f>SUM($Z492:BB492)-SUM($CM492:DO492)</f>
        <v>272</v>
      </c>
      <c r="CJ492" s="93"/>
      <c r="CK492" s="93"/>
      <c r="CL492" s="93"/>
      <c r="CM492" s="93"/>
      <c r="CN492" s="93" cm="1">
        <f t="array" ref="CN492">SUMPRODUCT(TRANSPOSE(CN$4:CN$20),$G492:$W492)</f>
        <v>0</v>
      </c>
      <c r="CO492" s="93" cm="1">
        <f t="array" ref="CO492">SUMPRODUCT(TRANSPOSE(CO$4:CO$20),$G492:$W492)</f>
        <v>0</v>
      </c>
      <c r="CP492" s="93" cm="1">
        <f t="array" ref="CP492">SUMPRODUCT(TRANSPOSE(CP$4:CP$20),$G492:$W492)</f>
        <v>0</v>
      </c>
      <c r="CQ492" s="93" cm="1">
        <f t="array" ref="CQ492">SUMPRODUCT(TRANSPOSE(CQ$4:CQ$20),$G492:$W492)</f>
        <v>32</v>
      </c>
      <c r="CR492" s="93" cm="1">
        <f t="array" ref="CR492">SUMPRODUCT(TRANSPOSE(CR$4:CR$20),$G492:$W492)</f>
        <v>32</v>
      </c>
      <c r="CS492" s="93" cm="1">
        <f t="array" ref="CS492">SUMPRODUCT(TRANSPOSE(CS$4:CS$20),$G492:$W492)</f>
        <v>32</v>
      </c>
      <c r="CT492" s="93" cm="1">
        <f t="array" ref="CT492">SUMPRODUCT(TRANSPOSE(CT$4:CT$20),$G492:$W492)</f>
        <v>32</v>
      </c>
      <c r="CU492" s="93" cm="1">
        <f t="array" ref="CU492">SUMPRODUCT(TRANSPOSE(CU$4:CU$20),$G492:$W492)</f>
        <v>32</v>
      </c>
      <c r="CV492" s="93" cm="1">
        <f t="array" ref="CV492">SUMPRODUCT(TRANSPOSE(CV$4:CV$20),$G492:$W492)</f>
        <v>32</v>
      </c>
      <c r="CW492" s="93" cm="1">
        <f t="array" ref="CW492">SUMPRODUCT(TRANSPOSE(CW$4:CW$20),$G492:$W492)</f>
        <v>32</v>
      </c>
      <c r="CX492" s="93" cm="1">
        <f t="array" ref="CX492">SUMPRODUCT(TRANSPOSE(CX$4:CX$20),$G492:$W492)</f>
        <v>32</v>
      </c>
      <c r="CY492" s="93" cm="1">
        <f t="array" ref="CY492">SUMPRODUCT(TRANSPOSE(CY$4:CY$20),$G492:$W492)</f>
        <v>32</v>
      </c>
      <c r="CZ492" s="93" cm="1">
        <f t="array" ref="CZ492">SUMPRODUCT(TRANSPOSE(CZ$4:CZ$20),$G492:$W492)</f>
        <v>32</v>
      </c>
      <c r="DA492" s="93" cm="1">
        <f t="array" ref="DA492">SUMPRODUCT(TRANSPOSE(DA$4:DA$20),$G492:$W492)</f>
        <v>32</v>
      </c>
      <c r="DB492" s="93" cm="1">
        <f t="array" ref="DB492">SUMPRODUCT(TRANSPOSE(DB$4:DB$20),$G492:$W492)</f>
        <v>32</v>
      </c>
      <c r="DC492" s="93" cm="1">
        <f t="array" ref="DC492">SUMPRODUCT(TRANSPOSE(DC$4:DC$20),$G492:$W492)</f>
        <v>24</v>
      </c>
      <c r="DD492" s="93" cm="1">
        <f t="array" ref="DD492">SUMPRODUCT(TRANSPOSE(DD$4:DD$20),$G492:$W492)</f>
        <v>0</v>
      </c>
      <c r="DE492" s="93" cm="1">
        <f t="array" ref="DE492">SUMPRODUCT(TRANSPOSE(DE$4:DE$20),$G492:$W492)</f>
        <v>0</v>
      </c>
      <c r="DF492" s="93" cm="1">
        <f t="array" ref="DF492">SUMPRODUCT(TRANSPOSE(DF$4:DF$20),$G492:$W492)</f>
        <v>0</v>
      </c>
      <c r="DG492" s="93" cm="1">
        <f t="array" ref="DG492">SUMPRODUCT(TRANSPOSE(DG$4:DG$20),$G492:$W492)</f>
        <v>0</v>
      </c>
      <c r="DH492" s="93" cm="1">
        <f t="array" ref="DH492">SUMPRODUCT(TRANSPOSE(DH$4:DH$20),$G492:$W492)</f>
        <v>0</v>
      </c>
      <c r="DI492" s="93" cm="1">
        <f t="array" ref="DI492">SUMPRODUCT(TRANSPOSE(DI$4:DI$20),$G492:$W492)</f>
        <v>0</v>
      </c>
      <c r="DJ492" s="93" cm="1">
        <f t="array" ref="DJ492">SUMPRODUCT(TRANSPOSE(DJ$4:DJ$20),$G492:$W492)</f>
        <v>0</v>
      </c>
      <c r="DK492" s="93" cm="1">
        <f t="array" ref="DK492">SUMPRODUCT(TRANSPOSE(DK$4:DK$20),$G492:$W492)</f>
        <v>0</v>
      </c>
      <c r="DL492" s="93" cm="1">
        <f t="array" ref="DL492">SUMPRODUCT(TRANSPOSE(DL$4:DL$20),$G492:$W492)</f>
        <v>0</v>
      </c>
      <c r="DM492" s="93" cm="1">
        <f t="array" ref="DM492">SUMPRODUCT(TRANSPOSE(DM$4:DM$20),$G492:$W492)</f>
        <v>0</v>
      </c>
      <c r="DN492" s="93" cm="1">
        <f t="array" ref="DN492">SUMPRODUCT(TRANSPOSE(DN$4:DN$20),$G492:$W492)</f>
        <v>0</v>
      </c>
      <c r="DO492" s="93" cm="1">
        <f t="array" ref="DO492">SUMPRODUCT(TRANSPOSE(DO$4:DO$20),$G492:$W492)</f>
        <v>0</v>
      </c>
    </row>
    <row r="493" spans="1:119" x14ac:dyDescent="0.2">
      <c r="A493" s="45">
        <f t="shared" si="33"/>
        <v>472</v>
      </c>
      <c r="B493" s="64" t="s">
        <v>1020</v>
      </c>
      <c r="C493" s="82">
        <v>732303003</v>
      </c>
      <c r="D493" s="45" t="s">
        <v>1021</v>
      </c>
      <c r="E493" s="45" t="s">
        <v>192</v>
      </c>
      <c r="F493" s="45"/>
      <c r="G493" s="100">
        <v>0</v>
      </c>
      <c r="H493" s="100">
        <v>0</v>
      </c>
      <c r="I493" s="100">
        <v>0.05</v>
      </c>
      <c r="J493" s="100">
        <v>0</v>
      </c>
      <c r="K493" s="100">
        <v>0.05</v>
      </c>
      <c r="L493" s="100">
        <v>0</v>
      </c>
      <c r="M493" s="100">
        <v>0</v>
      </c>
      <c r="N493" s="100">
        <v>0</v>
      </c>
      <c r="O493" s="100">
        <v>0</v>
      </c>
      <c r="P493" s="100">
        <v>0</v>
      </c>
      <c r="Q493" s="100">
        <v>0</v>
      </c>
      <c r="R493" s="100">
        <v>0</v>
      </c>
      <c r="S493" s="100">
        <v>0</v>
      </c>
      <c r="T493" s="100">
        <v>0</v>
      </c>
      <c r="U493" s="100">
        <v>0</v>
      </c>
      <c r="V493" s="100">
        <v>0</v>
      </c>
      <c r="W493" s="100">
        <v>0</v>
      </c>
      <c r="X493" s="45" t="s">
        <v>1022</v>
      </c>
      <c r="Y493" s="49"/>
      <c r="Z493" s="45">
        <v>2</v>
      </c>
      <c r="AA493" s="45">
        <v>0</v>
      </c>
      <c r="AB493" s="45">
        <v>0</v>
      </c>
      <c r="AC493" s="45">
        <v>0</v>
      </c>
      <c r="AD493" s="45">
        <v>0</v>
      </c>
      <c r="AE493" s="45">
        <v>0</v>
      </c>
      <c r="AF493" s="45">
        <v>0</v>
      </c>
      <c r="AG493" s="45">
        <v>0</v>
      </c>
      <c r="AH493" s="45">
        <v>0</v>
      </c>
      <c r="AI493" s="45">
        <v>0</v>
      </c>
      <c r="AJ493" s="45">
        <v>0</v>
      </c>
      <c r="AK493" s="45">
        <v>0</v>
      </c>
      <c r="AL493" s="45">
        <v>0</v>
      </c>
      <c r="AM493" s="45">
        <v>0</v>
      </c>
      <c r="AN493" s="45">
        <v>0</v>
      </c>
      <c r="AO493" s="45"/>
      <c r="AP493" s="45"/>
      <c r="AQ493" s="45"/>
      <c r="AR493" s="45"/>
      <c r="AS493" s="45"/>
      <c r="AT493" s="45"/>
      <c r="AU493" s="45"/>
      <c r="AV493" s="45"/>
      <c r="AW493" s="45"/>
      <c r="AX493" s="45"/>
      <c r="AY493" s="45"/>
      <c r="AZ493" s="45"/>
      <c r="BA493" s="45"/>
      <c r="BB493" s="45"/>
      <c r="BC493" s="45"/>
      <c r="BD493" s="93"/>
      <c r="BE493" s="93"/>
      <c r="BF493" s="93"/>
      <c r="BG493" s="93"/>
      <c r="BH493" s="93"/>
      <c r="BI493" s="93"/>
      <c r="BJ493" s="93"/>
      <c r="BK493" s="93">
        <f>SUM($Z493:AD493)-SUM($CM493:CQ493)</f>
        <v>1.2</v>
      </c>
      <c r="BL493" s="93">
        <f>SUM($Z493:AE493)-SUM($CM493:CR493)</f>
        <v>0.39999999999999991</v>
      </c>
      <c r="BM493" s="93">
        <f>SUM($Z493:AF493)-SUM($CM493:CS493)</f>
        <v>-0.40000000000000036</v>
      </c>
      <c r="BN493" s="93">
        <f>SUM($Z493:AG493)-SUM($CM493:CT493)</f>
        <v>-1.2000000000000002</v>
      </c>
      <c r="BO493" s="93">
        <f>SUM($Z493:AH493)-SUM($CM493:CU493)</f>
        <v>-2</v>
      </c>
      <c r="BP493" s="93">
        <f>SUM($Z493:AI493)-SUM($CM493:CV493)</f>
        <v>-2.8</v>
      </c>
      <c r="BQ493" s="93">
        <f>SUM($Z493:AJ493)-SUM($CM493:CW493)</f>
        <v>-3.5999999999999996</v>
      </c>
      <c r="BR493" s="93">
        <f>SUM($Z493:AK493)-SUM($CM493:CX493)</f>
        <v>-4.3999999999999995</v>
      </c>
      <c r="BS493" s="93">
        <f>SUM($Z493:AL493)-SUM($CM493:CY493)</f>
        <v>-5.1999999999999993</v>
      </c>
      <c r="BT493" s="93">
        <f>SUM($Z493:AM493)-SUM($CM493:CZ493)</f>
        <v>-5.9999999999999991</v>
      </c>
      <c r="BU493" s="93">
        <f>SUM($Z493:AN493)-SUM($CM493:DA493)</f>
        <v>-6.7999999999999989</v>
      </c>
      <c r="BV493" s="93">
        <f>SUM($Z493:AO493)-SUM($CM493:DB493)</f>
        <v>-7.6</v>
      </c>
      <c r="BW493" s="93">
        <f>SUM($Z493:AP493)-SUM($CM493:DC493)</f>
        <v>-8.1999999999999993</v>
      </c>
      <c r="BX493" s="93">
        <f>SUM($Z493:AQ493)-SUM($CM493:DD493)</f>
        <v>-8.1999999999999993</v>
      </c>
      <c r="BY493" s="93">
        <f>SUM($Z493:AR493)-SUM($CM493:DE493)</f>
        <v>-8.1999999999999993</v>
      </c>
      <c r="BZ493" s="93">
        <f>SUM($Z493:AS493)-SUM($CM493:DF493)</f>
        <v>-8.1999999999999993</v>
      </c>
      <c r="CA493" s="93">
        <f>SUM($Z493:AT493)-SUM($CM493:DG493)</f>
        <v>-8.1999999999999993</v>
      </c>
      <c r="CB493" s="93">
        <f>SUM($Z493:AU493)-SUM($CM493:DH493)</f>
        <v>-8.1999999999999993</v>
      </c>
      <c r="CC493" s="93">
        <f>SUM($Z493:AV493)-SUM($CM493:DI493)</f>
        <v>-8.1999999999999993</v>
      </c>
      <c r="CD493" s="93">
        <f>SUM($Z493:AW493)-SUM($CM493:DJ493)</f>
        <v>-8.1999999999999993</v>
      </c>
      <c r="CE493" s="93">
        <f>SUM($Z493:AX493)-SUM($CM493:DK493)</f>
        <v>-8.1999999999999993</v>
      </c>
      <c r="CF493" s="93">
        <f>SUM($Z493:AY493)-SUM($CM493:DL493)</f>
        <v>-8.1999999999999993</v>
      </c>
      <c r="CG493" s="93">
        <f>SUM($Z493:AZ493)-SUM($CM493:DM493)</f>
        <v>-8.1999999999999993</v>
      </c>
      <c r="CH493" s="93">
        <f>SUM($Z493:BA493)-SUM($CM493:DN493)</f>
        <v>-8.1999999999999993</v>
      </c>
      <c r="CI493" s="93">
        <f>SUM($Z493:BB493)-SUM($CM493:DO493)</f>
        <v>-8.1999999999999993</v>
      </c>
      <c r="CJ493" s="93"/>
      <c r="CK493" s="93"/>
      <c r="CL493" s="93"/>
      <c r="CM493" s="93"/>
      <c r="CN493" s="93" cm="1">
        <f t="array" ref="CN493">SUMPRODUCT(TRANSPOSE(CN$4:CN$20),$G493:$W493)</f>
        <v>0</v>
      </c>
      <c r="CO493" s="93" cm="1">
        <f t="array" ref="CO493">SUMPRODUCT(TRANSPOSE(CO$4:CO$20),$G493:$W493)</f>
        <v>0</v>
      </c>
      <c r="CP493" s="93" cm="1">
        <f t="array" ref="CP493">SUMPRODUCT(TRANSPOSE(CP$4:CP$20),$G493:$W493)</f>
        <v>0</v>
      </c>
      <c r="CQ493" s="93" cm="1">
        <f t="array" ref="CQ493">SUMPRODUCT(TRANSPOSE(CQ$4:CQ$20),$G493:$W493)</f>
        <v>0.8</v>
      </c>
      <c r="CR493" s="93" cm="1">
        <f t="array" ref="CR493">SUMPRODUCT(TRANSPOSE(CR$4:CR$20),$G493:$W493)</f>
        <v>0.8</v>
      </c>
      <c r="CS493" s="93" cm="1">
        <f t="array" ref="CS493">SUMPRODUCT(TRANSPOSE(CS$4:CS$20),$G493:$W493)</f>
        <v>0.8</v>
      </c>
      <c r="CT493" s="93" cm="1">
        <f t="array" ref="CT493">SUMPRODUCT(TRANSPOSE(CT$4:CT$20),$G493:$W493)</f>
        <v>0.8</v>
      </c>
      <c r="CU493" s="93" cm="1">
        <f t="array" ref="CU493">SUMPRODUCT(TRANSPOSE(CU$4:CU$20),$G493:$W493)</f>
        <v>0.8</v>
      </c>
      <c r="CV493" s="93" cm="1">
        <f t="array" ref="CV493">SUMPRODUCT(TRANSPOSE(CV$4:CV$20),$G493:$W493)</f>
        <v>0.8</v>
      </c>
      <c r="CW493" s="93" cm="1">
        <f t="array" ref="CW493">SUMPRODUCT(TRANSPOSE(CW$4:CW$20),$G493:$W493)</f>
        <v>0.8</v>
      </c>
      <c r="CX493" s="93" cm="1">
        <f t="array" ref="CX493">SUMPRODUCT(TRANSPOSE(CX$4:CX$20),$G493:$W493)</f>
        <v>0.8</v>
      </c>
      <c r="CY493" s="93" cm="1">
        <f t="array" ref="CY493">SUMPRODUCT(TRANSPOSE(CY$4:CY$20),$G493:$W493)</f>
        <v>0.8</v>
      </c>
      <c r="CZ493" s="93" cm="1">
        <f t="array" ref="CZ493">SUMPRODUCT(TRANSPOSE(CZ$4:CZ$20),$G493:$W493)</f>
        <v>0.8</v>
      </c>
      <c r="DA493" s="93" cm="1">
        <f t="array" ref="DA493">SUMPRODUCT(TRANSPOSE(DA$4:DA$20),$G493:$W493)</f>
        <v>0.8</v>
      </c>
      <c r="DB493" s="93" cm="1">
        <f t="array" ref="DB493">SUMPRODUCT(TRANSPOSE(DB$4:DB$20),$G493:$W493)</f>
        <v>0.8</v>
      </c>
      <c r="DC493" s="93" cm="1">
        <f t="array" ref="DC493">SUMPRODUCT(TRANSPOSE(DC$4:DC$20),$G493:$W493)</f>
        <v>0.60000000000000009</v>
      </c>
      <c r="DD493" s="93" cm="1">
        <f t="array" ref="DD493">SUMPRODUCT(TRANSPOSE(DD$4:DD$20),$G493:$W493)</f>
        <v>0</v>
      </c>
      <c r="DE493" s="93" cm="1">
        <f t="array" ref="DE493">SUMPRODUCT(TRANSPOSE(DE$4:DE$20),$G493:$W493)</f>
        <v>0</v>
      </c>
      <c r="DF493" s="93" cm="1">
        <f t="array" ref="DF493">SUMPRODUCT(TRANSPOSE(DF$4:DF$20),$G493:$W493)</f>
        <v>0</v>
      </c>
      <c r="DG493" s="93" cm="1">
        <f t="array" ref="DG493">SUMPRODUCT(TRANSPOSE(DG$4:DG$20),$G493:$W493)</f>
        <v>0</v>
      </c>
      <c r="DH493" s="93" cm="1">
        <f t="array" ref="DH493">SUMPRODUCT(TRANSPOSE(DH$4:DH$20),$G493:$W493)</f>
        <v>0</v>
      </c>
      <c r="DI493" s="93" cm="1">
        <f t="array" ref="DI493">SUMPRODUCT(TRANSPOSE(DI$4:DI$20),$G493:$W493)</f>
        <v>0</v>
      </c>
      <c r="DJ493" s="93" cm="1">
        <f t="array" ref="DJ493">SUMPRODUCT(TRANSPOSE(DJ$4:DJ$20),$G493:$W493)</f>
        <v>0</v>
      </c>
      <c r="DK493" s="93" cm="1">
        <f t="array" ref="DK493">SUMPRODUCT(TRANSPOSE(DK$4:DK$20),$G493:$W493)</f>
        <v>0</v>
      </c>
      <c r="DL493" s="93" cm="1">
        <f t="array" ref="DL493">SUMPRODUCT(TRANSPOSE(DL$4:DL$20),$G493:$W493)</f>
        <v>0</v>
      </c>
      <c r="DM493" s="93" cm="1">
        <f t="array" ref="DM493">SUMPRODUCT(TRANSPOSE(DM$4:DM$20),$G493:$W493)</f>
        <v>0</v>
      </c>
      <c r="DN493" s="93" cm="1">
        <f t="array" ref="DN493">SUMPRODUCT(TRANSPOSE(DN$4:DN$20),$G493:$W493)</f>
        <v>0</v>
      </c>
      <c r="DO493" s="93" cm="1">
        <f t="array" ref="DO493">SUMPRODUCT(TRANSPOSE(DO$4:DO$20),$G493:$W493)</f>
        <v>0</v>
      </c>
    </row>
    <row r="494" spans="1:119" x14ac:dyDescent="0.2">
      <c r="A494" s="45">
        <f t="shared" si="33"/>
        <v>473</v>
      </c>
      <c r="B494" s="64" t="s">
        <v>1023</v>
      </c>
      <c r="C494" s="82">
        <v>402335862</v>
      </c>
      <c r="D494" s="45" t="s">
        <v>1024</v>
      </c>
      <c r="E494" s="45" t="s">
        <v>162</v>
      </c>
      <c r="F494" s="45"/>
      <c r="G494" s="100">
        <v>0</v>
      </c>
      <c r="H494" s="100">
        <v>0</v>
      </c>
      <c r="I494" s="100">
        <v>1</v>
      </c>
      <c r="J494" s="100">
        <v>0</v>
      </c>
      <c r="K494" s="100">
        <v>0</v>
      </c>
      <c r="L494" s="100">
        <v>0</v>
      </c>
      <c r="M494" s="100">
        <v>0</v>
      </c>
      <c r="N494" s="100">
        <v>0</v>
      </c>
      <c r="O494" s="100">
        <v>0</v>
      </c>
      <c r="P494" s="100">
        <v>0</v>
      </c>
      <c r="Q494" s="100">
        <v>0</v>
      </c>
      <c r="R494" s="100">
        <v>0</v>
      </c>
      <c r="S494" s="100">
        <v>0</v>
      </c>
      <c r="T494" s="100">
        <v>0</v>
      </c>
      <c r="U494" s="100">
        <v>0</v>
      </c>
      <c r="V494" s="100">
        <v>0</v>
      </c>
      <c r="W494" s="100">
        <v>0</v>
      </c>
      <c r="X494" s="45"/>
      <c r="Y494" s="49"/>
      <c r="Z494" s="45">
        <v>0</v>
      </c>
      <c r="AA494" s="45">
        <v>0</v>
      </c>
      <c r="AB494" s="45">
        <v>0</v>
      </c>
      <c r="AC494" s="45">
        <v>0</v>
      </c>
      <c r="AD494" s="45">
        <v>0</v>
      </c>
      <c r="AE494" s="45">
        <v>0</v>
      </c>
      <c r="AF494" s="45">
        <v>0</v>
      </c>
      <c r="AG494" s="45">
        <v>0</v>
      </c>
      <c r="AH494" s="45">
        <v>0</v>
      </c>
      <c r="AI494" s="45">
        <v>0</v>
      </c>
      <c r="AJ494" s="45">
        <v>0</v>
      </c>
      <c r="AK494" s="45">
        <v>0</v>
      </c>
      <c r="AL494" s="45">
        <v>0</v>
      </c>
      <c r="AM494" s="45">
        <v>0</v>
      </c>
      <c r="AN494" s="45">
        <v>0</v>
      </c>
      <c r="AO494" s="45"/>
      <c r="AP494" s="45"/>
      <c r="AQ494" s="45"/>
      <c r="AR494" s="45"/>
      <c r="AS494" s="45"/>
      <c r="AT494" s="45"/>
      <c r="AU494" s="45"/>
      <c r="AV494" s="45"/>
      <c r="AW494" s="45"/>
      <c r="AX494" s="45"/>
      <c r="AY494" s="45"/>
      <c r="AZ494" s="45"/>
      <c r="BA494" s="45"/>
      <c r="BB494" s="45"/>
      <c r="BC494" s="45"/>
      <c r="BD494" s="93"/>
      <c r="BE494" s="93"/>
      <c r="BF494" s="93"/>
      <c r="BG494" s="93"/>
      <c r="BH494" s="93"/>
      <c r="BI494" s="93"/>
      <c r="BJ494" s="93"/>
      <c r="BK494" s="93">
        <f>SUM($Z494:AD494)-SUM($CM494:CQ494)</f>
        <v>-8</v>
      </c>
      <c r="BL494" s="93">
        <f>SUM($Z494:AE494)-SUM($CM494:CR494)</f>
        <v>-16</v>
      </c>
      <c r="BM494" s="93">
        <f>SUM($Z494:AF494)-SUM($CM494:CS494)</f>
        <v>-24</v>
      </c>
      <c r="BN494" s="93">
        <f>SUM($Z494:AG494)-SUM($CM494:CT494)</f>
        <v>-32</v>
      </c>
      <c r="BO494" s="93">
        <f>SUM($Z494:AH494)-SUM($CM494:CU494)</f>
        <v>-40</v>
      </c>
      <c r="BP494" s="93">
        <f>SUM($Z494:AI494)-SUM($CM494:CV494)</f>
        <v>-48</v>
      </c>
      <c r="BQ494" s="93">
        <f>SUM($Z494:AJ494)-SUM($CM494:CW494)</f>
        <v>-56</v>
      </c>
      <c r="BR494" s="93">
        <f>SUM($Z494:AK494)-SUM($CM494:CX494)</f>
        <v>-64</v>
      </c>
      <c r="BS494" s="93">
        <f>SUM($Z494:AL494)-SUM($CM494:CY494)</f>
        <v>-72</v>
      </c>
      <c r="BT494" s="93">
        <f>SUM($Z494:AM494)-SUM($CM494:CZ494)</f>
        <v>-80</v>
      </c>
      <c r="BU494" s="93">
        <f>SUM($Z494:AN494)-SUM($CM494:DA494)</f>
        <v>-88</v>
      </c>
      <c r="BV494" s="93">
        <f>SUM($Z494:AO494)-SUM($CM494:DB494)</f>
        <v>-96</v>
      </c>
      <c r="BW494" s="93">
        <f>SUM($Z494:AP494)-SUM($CM494:DC494)</f>
        <v>-102</v>
      </c>
      <c r="BX494" s="93">
        <f>SUM($Z494:AQ494)-SUM($CM494:DD494)</f>
        <v>-102</v>
      </c>
      <c r="BY494" s="93">
        <f>SUM($Z494:AR494)-SUM($CM494:DE494)</f>
        <v>-102</v>
      </c>
      <c r="BZ494" s="93">
        <f>SUM($Z494:AS494)-SUM($CM494:DF494)</f>
        <v>-102</v>
      </c>
      <c r="CA494" s="93">
        <f>SUM($Z494:AT494)-SUM($CM494:DG494)</f>
        <v>-102</v>
      </c>
      <c r="CB494" s="93">
        <f>SUM($Z494:AU494)-SUM($CM494:DH494)</f>
        <v>-102</v>
      </c>
      <c r="CC494" s="93">
        <f>SUM($Z494:AV494)-SUM($CM494:DI494)</f>
        <v>-102</v>
      </c>
      <c r="CD494" s="93">
        <f>SUM($Z494:AW494)-SUM($CM494:DJ494)</f>
        <v>-102</v>
      </c>
      <c r="CE494" s="93">
        <f>SUM($Z494:AX494)-SUM($CM494:DK494)</f>
        <v>-102</v>
      </c>
      <c r="CF494" s="93">
        <f>SUM($Z494:AY494)-SUM($CM494:DL494)</f>
        <v>-102</v>
      </c>
      <c r="CG494" s="93">
        <f>SUM($Z494:AZ494)-SUM($CM494:DM494)</f>
        <v>-102</v>
      </c>
      <c r="CH494" s="93">
        <f>SUM($Z494:BA494)-SUM($CM494:DN494)</f>
        <v>-102</v>
      </c>
      <c r="CI494" s="93">
        <f>SUM($Z494:BB494)-SUM($CM494:DO494)</f>
        <v>-102</v>
      </c>
      <c r="CJ494" s="93"/>
      <c r="CK494" s="93"/>
      <c r="CL494" s="93"/>
      <c r="CM494" s="93"/>
      <c r="CN494" s="93" cm="1">
        <f t="array" ref="CN494">SUMPRODUCT(TRANSPOSE(CN$4:CN$20),$G494:$W494)</f>
        <v>0</v>
      </c>
      <c r="CO494" s="93" cm="1">
        <f t="array" ref="CO494">SUMPRODUCT(TRANSPOSE(CO$4:CO$20),$G494:$W494)</f>
        <v>0</v>
      </c>
      <c r="CP494" s="93" cm="1">
        <f t="array" ref="CP494">SUMPRODUCT(TRANSPOSE(CP$4:CP$20),$G494:$W494)</f>
        <v>0</v>
      </c>
      <c r="CQ494" s="93" cm="1">
        <f t="array" ref="CQ494">SUMPRODUCT(TRANSPOSE(CQ$4:CQ$20),$G494:$W494)</f>
        <v>8</v>
      </c>
      <c r="CR494" s="93" cm="1">
        <f t="array" ref="CR494">SUMPRODUCT(TRANSPOSE(CR$4:CR$20),$G494:$W494)</f>
        <v>8</v>
      </c>
      <c r="CS494" s="93" cm="1">
        <f t="array" ref="CS494">SUMPRODUCT(TRANSPOSE(CS$4:CS$20),$G494:$W494)</f>
        <v>8</v>
      </c>
      <c r="CT494" s="93" cm="1">
        <f t="array" ref="CT494">SUMPRODUCT(TRANSPOSE(CT$4:CT$20),$G494:$W494)</f>
        <v>8</v>
      </c>
      <c r="CU494" s="93" cm="1">
        <f t="array" ref="CU494">SUMPRODUCT(TRANSPOSE(CU$4:CU$20),$G494:$W494)</f>
        <v>8</v>
      </c>
      <c r="CV494" s="93" cm="1">
        <f t="array" ref="CV494">SUMPRODUCT(TRANSPOSE(CV$4:CV$20),$G494:$W494)</f>
        <v>8</v>
      </c>
      <c r="CW494" s="93" cm="1">
        <f t="array" ref="CW494">SUMPRODUCT(TRANSPOSE(CW$4:CW$20),$G494:$W494)</f>
        <v>8</v>
      </c>
      <c r="CX494" s="93" cm="1">
        <f t="array" ref="CX494">SUMPRODUCT(TRANSPOSE(CX$4:CX$20),$G494:$W494)</f>
        <v>8</v>
      </c>
      <c r="CY494" s="93" cm="1">
        <f t="array" ref="CY494">SUMPRODUCT(TRANSPOSE(CY$4:CY$20),$G494:$W494)</f>
        <v>8</v>
      </c>
      <c r="CZ494" s="93" cm="1">
        <f t="array" ref="CZ494">SUMPRODUCT(TRANSPOSE(CZ$4:CZ$20),$G494:$W494)</f>
        <v>8</v>
      </c>
      <c r="DA494" s="93" cm="1">
        <f t="array" ref="DA494">SUMPRODUCT(TRANSPOSE(DA$4:DA$20),$G494:$W494)</f>
        <v>8</v>
      </c>
      <c r="DB494" s="93" cm="1">
        <f t="array" ref="DB494">SUMPRODUCT(TRANSPOSE(DB$4:DB$20),$G494:$W494)</f>
        <v>8</v>
      </c>
      <c r="DC494" s="93" cm="1">
        <f t="array" ref="DC494">SUMPRODUCT(TRANSPOSE(DC$4:DC$20),$G494:$W494)</f>
        <v>6</v>
      </c>
      <c r="DD494" s="93" cm="1">
        <f t="array" ref="DD494">SUMPRODUCT(TRANSPOSE(DD$4:DD$20),$G494:$W494)</f>
        <v>0</v>
      </c>
      <c r="DE494" s="93" cm="1">
        <f t="array" ref="DE494">SUMPRODUCT(TRANSPOSE(DE$4:DE$20),$G494:$W494)</f>
        <v>0</v>
      </c>
      <c r="DF494" s="93" cm="1">
        <f t="array" ref="DF494">SUMPRODUCT(TRANSPOSE(DF$4:DF$20),$G494:$W494)</f>
        <v>0</v>
      </c>
      <c r="DG494" s="93" cm="1">
        <f t="array" ref="DG494">SUMPRODUCT(TRANSPOSE(DG$4:DG$20),$G494:$W494)</f>
        <v>0</v>
      </c>
      <c r="DH494" s="93" cm="1">
        <f t="array" ref="DH494">SUMPRODUCT(TRANSPOSE(DH$4:DH$20),$G494:$W494)</f>
        <v>0</v>
      </c>
      <c r="DI494" s="93" cm="1">
        <f t="array" ref="DI494">SUMPRODUCT(TRANSPOSE(DI$4:DI$20),$G494:$W494)</f>
        <v>0</v>
      </c>
      <c r="DJ494" s="93" cm="1">
        <f t="array" ref="DJ494">SUMPRODUCT(TRANSPOSE(DJ$4:DJ$20),$G494:$W494)</f>
        <v>0</v>
      </c>
      <c r="DK494" s="93" cm="1">
        <f t="array" ref="DK494">SUMPRODUCT(TRANSPOSE(DK$4:DK$20),$G494:$W494)</f>
        <v>0</v>
      </c>
      <c r="DL494" s="93" cm="1">
        <f t="array" ref="DL494">SUMPRODUCT(TRANSPOSE(DL$4:DL$20),$G494:$W494)</f>
        <v>0</v>
      </c>
      <c r="DM494" s="93" cm="1">
        <f t="array" ref="DM494">SUMPRODUCT(TRANSPOSE(DM$4:DM$20),$G494:$W494)</f>
        <v>0</v>
      </c>
      <c r="DN494" s="93" cm="1">
        <f t="array" ref="DN494">SUMPRODUCT(TRANSPOSE(DN$4:DN$20),$G494:$W494)</f>
        <v>0</v>
      </c>
      <c r="DO494" s="93" cm="1">
        <f t="array" ref="DO494">SUMPRODUCT(TRANSPOSE(DO$4:DO$20),$G494:$W494)</f>
        <v>0</v>
      </c>
    </row>
    <row r="495" spans="1:119" x14ac:dyDescent="0.2">
      <c r="A495" s="45">
        <f t="shared" si="33"/>
        <v>474</v>
      </c>
      <c r="B495" s="45" t="s">
        <v>1025</v>
      </c>
      <c r="C495" s="45">
        <v>510473135</v>
      </c>
      <c r="D495" s="45" t="s">
        <v>945</v>
      </c>
      <c r="E495" s="45" t="s">
        <v>162</v>
      </c>
      <c r="F495" s="45"/>
      <c r="G495" s="100">
        <v>0</v>
      </c>
      <c r="H495" s="100">
        <v>0</v>
      </c>
      <c r="I495" s="100">
        <v>0</v>
      </c>
      <c r="J495" s="100">
        <v>0</v>
      </c>
      <c r="K495" s="100">
        <v>0</v>
      </c>
      <c r="L495" s="100">
        <v>0</v>
      </c>
      <c r="M495" s="100">
        <v>0</v>
      </c>
      <c r="N495" s="100">
        <v>0</v>
      </c>
      <c r="O495" s="100">
        <v>0</v>
      </c>
      <c r="P495" s="100">
        <v>0</v>
      </c>
      <c r="Q495" s="100">
        <v>0</v>
      </c>
      <c r="R495" s="100">
        <v>0</v>
      </c>
      <c r="S495" s="100">
        <v>0</v>
      </c>
      <c r="T495" s="100">
        <v>0</v>
      </c>
      <c r="U495" s="100">
        <v>0</v>
      </c>
      <c r="V495" s="100">
        <v>0</v>
      </c>
      <c r="W495" s="100">
        <v>560</v>
      </c>
      <c r="X495" s="76" t="s">
        <v>24</v>
      </c>
      <c r="Y495" s="49">
        <v>0.123</v>
      </c>
      <c r="Z495" s="45">
        <v>129360</v>
      </c>
      <c r="AA495" s="45">
        <v>0</v>
      </c>
      <c r="AB495" s="45">
        <v>0</v>
      </c>
      <c r="AC495" s="45">
        <v>0</v>
      </c>
      <c r="AD495" s="45">
        <v>0</v>
      </c>
      <c r="AE495" s="45">
        <v>0</v>
      </c>
      <c r="AF495" s="45">
        <v>0</v>
      </c>
      <c r="AG495" s="45">
        <v>0</v>
      </c>
      <c r="AH495" s="45">
        <v>0</v>
      </c>
      <c r="AI495" s="45">
        <v>0</v>
      </c>
      <c r="AJ495" s="45">
        <v>0</v>
      </c>
      <c r="AK495" s="45">
        <v>0</v>
      </c>
      <c r="AL495" s="45">
        <v>0</v>
      </c>
      <c r="AM495" s="45">
        <v>0</v>
      </c>
      <c r="AN495" s="45">
        <v>0</v>
      </c>
      <c r="AO495" s="45"/>
      <c r="AP495" s="45"/>
      <c r="AQ495" s="45"/>
      <c r="AR495" s="45"/>
      <c r="AS495" s="45"/>
      <c r="AT495" s="45"/>
      <c r="AU495" s="45"/>
      <c r="AV495" s="45"/>
      <c r="AW495" s="45"/>
      <c r="AX495" s="45"/>
      <c r="AY495" s="45"/>
      <c r="AZ495" s="45"/>
      <c r="BA495" s="45"/>
      <c r="BB495" s="45"/>
      <c r="BC495" s="45"/>
      <c r="BD495" s="93"/>
      <c r="BE495" s="93"/>
      <c r="BF495" s="93"/>
      <c r="BG495" s="93"/>
      <c r="BH495" s="93"/>
      <c r="BI495" s="93"/>
      <c r="BJ495" s="93"/>
      <c r="BK495" s="93">
        <f>SUM($Z495:AD495)-SUM($CM495:CQ495)</f>
        <v>120400</v>
      </c>
      <c r="BL495" s="93">
        <f>SUM($Z495:AE495)-SUM($CM495:CR495)</f>
        <v>111440</v>
      </c>
      <c r="BM495" s="93">
        <f>SUM($Z495:AF495)-SUM($CM495:CS495)</f>
        <v>102480</v>
      </c>
      <c r="BN495" s="93">
        <f>SUM($Z495:AG495)-SUM($CM495:CT495)</f>
        <v>93520</v>
      </c>
      <c r="BO495" s="93">
        <f>SUM($Z495:AH495)-SUM($CM495:CU495)</f>
        <v>84560</v>
      </c>
      <c r="BP495" s="93">
        <f>SUM($Z495:AI495)-SUM($CM495:CV495)</f>
        <v>75600</v>
      </c>
      <c r="BQ495" s="93">
        <f>SUM($Z495:AJ495)-SUM($CM495:CW495)</f>
        <v>66640</v>
      </c>
      <c r="BR495" s="93">
        <f>SUM($Z495:AK495)-SUM($CM495:CX495)</f>
        <v>57680</v>
      </c>
      <c r="BS495" s="93">
        <f>SUM($Z495:AL495)-SUM($CM495:CY495)</f>
        <v>57680</v>
      </c>
      <c r="BT495" s="93">
        <f>SUM($Z495:AM495)-SUM($CM495:CZ495)</f>
        <v>57680</v>
      </c>
      <c r="BU495" s="93">
        <f>SUM($Z495:AN495)-SUM($CM495:DA495)</f>
        <v>57680</v>
      </c>
      <c r="BV495" s="93">
        <f>SUM($Z495:AO495)-SUM($CM495:DB495)</f>
        <v>57680</v>
      </c>
      <c r="BW495" s="93">
        <f>SUM($Z495:AP495)-SUM($CM495:DC495)</f>
        <v>57680</v>
      </c>
      <c r="BX495" s="93">
        <f>SUM($Z495:AQ495)-SUM($CM495:DD495)</f>
        <v>57680</v>
      </c>
      <c r="BY495" s="93">
        <f>SUM($Z495:AR495)-SUM($CM495:DE495)</f>
        <v>57680</v>
      </c>
      <c r="BZ495" s="93">
        <f>SUM($Z495:AS495)-SUM($CM495:DF495)</f>
        <v>57680</v>
      </c>
      <c r="CA495" s="93">
        <f>SUM($Z495:AT495)-SUM($CM495:DG495)</f>
        <v>57680</v>
      </c>
      <c r="CB495" s="93">
        <f>SUM($Z495:AU495)-SUM($CM495:DH495)</f>
        <v>57680</v>
      </c>
      <c r="CC495" s="93">
        <f>SUM($Z495:AV495)-SUM($CM495:DI495)</f>
        <v>57680</v>
      </c>
      <c r="CD495" s="93">
        <f>SUM($Z495:AW495)-SUM($CM495:DJ495)</f>
        <v>57680</v>
      </c>
      <c r="CE495" s="93">
        <f>SUM($Z495:AX495)-SUM($CM495:DK495)</f>
        <v>57680</v>
      </c>
      <c r="CF495" s="93">
        <f>SUM($Z495:AY495)-SUM($CM495:DL495)</f>
        <v>57680</v>
      </c>
      <c r="CG495" s="93">
        <f>SUM($Z495:AZ495)-SUM($CM495:DM495)</f>
        <v>57680</v>
      </c>
      <c r="CH495" s="93">
        <f>SUM($Z495:BA495)-SUM($CM495:DN495)</f>
        <v>57680</v>
      </c>
      <c r="CI495" s="93">
        <f>SUM($Z495:BB495)-SUM($CM495:DO495)</f>
        <v>57680</v>
      </c>
      <c r="CJ495" s="93"/>
      <c r="CK495" s="93"/>
      <c r="CL495" s="93"/>
      <c r="CM495" s="93"/>
      <c r="CN495" s="93" cm="1">
        <f t="array" ref="CN495">SUMPRODUCT(TRANSPOSE(CN$4:CN$20),$G495:$W495)</f>
        <v>0</v>
      </c>
      <c r="CO495" s="93" cm="1">
        <f t="array" ref="CO495">SUMPRODUCT(TRANSPOSE(CO$4:CO$20),$G495:$W495)</f>
        <v>0</v>
      </c>
      <c r="CP495" s="93" cm="1">
        <f t="array" ref="CP495">SUMPRODUCT(TRANSPOSE(CP$4:CP$20),$G495:$W495)</f>
        <v>0</v>
      </c>
      <c r="CQ495" s="93" cm="1">
        <f t="array" ref="CQ495">SUMPRODUCT(TRANSPOSE(CQ$4:CQ$20),$G495:$W495)</f>
        <v>8960</v>
      </c>
      <c r="CR495" s="93" cm="1">
        <f t="array" ref="CR495">SUMPRODUCT(TRANSPOSE(CR$4:CR$20),$G495:$W495)</f>
        <v>8960</v>
      </c>
      <c r="CS495" s="93" cm="1">
        <f t="array" ref="CS495">SUMPRODUCT(TRANSPOSE(CS$4:CS$20),$G495:$W495)</f>
        <v>8960</v>
      </c>
      <c r="CT495" s="93" cm="1">
        <f t="array" ref="CT495">SUMPRODUCT(TRANSPOSE(CT$4:CT$20),$G495:$W495)</f>
        <v>8960</v>
      </c>
      <c r="CU495" s="93" cm="1">
        <f t="array" ref="CU495">SUMPRODUCT(TRANSPOSE(CU$4:CU$20),$G495:$W495)</f>
        <v>8960</v>
      </c>
      <c r="CV495" s="93" cm="1">
        <f t="array" ref="CV495">SUMPRODUCT(TRANSPOSE(CV$4:CV$20),$G495:$W495)</f>
        <v>8960</v>
      </c>
      <c r="CW495" s="93" cm="1">
        <f t="array" ref="CW495">SUMPRODUCT(TRANSPOSE(CW$4:CW$20),$G495:$W495)</f>
        <v>8960</v>
      </c>
      <c r="CX495" s="93" cm="1">
        <f t="array" ref="CX495">SUMPRODUCT(TRANSPOSE(CX$4:CX$20),$G495:$W495)</f>
        <v>8960</v>
      </c>
      <c r="CY495" s="93" cm="1">
        <f t="array" ref="CY495">SUMPRODUCT(TRANSPOSE(CY$4:CY$20),$G495:$W495)</f>
        <v>0</v>
      </c>
      <c r="CZ495" s="93" cm="1">
        <f t="array" ref="CZ495">SUMPRODUCT(TRANSPOSE(CZ$4:CZ$20),$G495:$W495)</f>
        <v>0</v>
      </c>
      <c r="DA495" s="93" cm="1">
        <f t="array" ref="DA495">SUMPRODUCT(TRANSPOSE(DA$4:DA$20),$G495:$W495)</f>
        <v>0</v>
      </c>
      <c r="DB495" s="93" cm="1">
        <f t="array" ref="DB495">SUMPRODUCT(TRANSPOSE(DB$4:DB$20),$G495:$W495)</f>
        <v>0</v>
      </c>
      <c r="DC495" s="93" cm="1">
        <f t="array" ref="DC495">SUMPRODUCT(TRANSPOSE(DC$4:DC$20),$G495:$W495)</f>
        <v>0</v>
      </c>
      <c r="DD495" s="93" cm="1">
        <f t="array" ref="DD495">SUMPRODUCT(TRANSPOSE(DD$4:DD$20),$G495:$W495)</f>
        <v>0</v>
      </c>
      <c r="DE495" s="93" cm="1">
        <f t="array" ref="DE495">SUMPRODUCT(TRANSPOSE(DE$4:DE$20),$G495:$W495)</f>
        <v>0</v>
      </c>
      <c r="DF495" s="93" cm="1">
        <f t="array" ref="DF495">SUMPRODUCT(TRANSPOSE(DF$4:DF$20),$G495:$W495)</f>
        <v>0</v>
      </c>
      <c r="DG495" s="93" cm="1">
        <f t="array" ref="DG495">SUMPRODUCT(TRANSPOSE(DG$4:DG$20),$G495:$W495)</f>
        <v>0</v>
      </c>
      <c r="DH495" s="93" cm="1">
        <f t="array" ref="DH495">SUMPRODUCT(TRANSPOSE(DH$4:DH$20),$G495:$W495)</f>
        <v>0</v>
      </c>
      <c r="DI495" s="93" cm="1">
        <f t="array" ref="DI495">SUMPRODUCT(TRANSPOSE(DI$4:DI$20),$G495:$W495)</f>
        <v>0</v>
      </c>
      <c r="DJ495" s="93" cm="1">
        <f t="array" ref="DJ495">SUMPRODUCT(TRANSPOSE(DJ$4:DJ$20),$G495:$W495)</f>
        <v>0</v>
      </c>
      <c r="DK495" s="93" cm="1">
        <f t="array" ref="DK495">SUMPRODUCT(TRANSPOSE(DK$4:DK$20),$G495:$W495)</f>
        <v>0</v>
      </c>
      <c r="DL495" s="93" cm="1">
        <f t="array" ref="DL495">SUMPRODUCT(TRANSPOSE(DL$4:DL$20),$G495:$W495)</f>
        <v>0</v>
      </c>
      <c r="DM495" s="93" cm="1">
        <f t="array" ref="DM495">SUMPRODUCT(TRANSPOSE(DM$4:DM$20),$G495:$W495)</f>
        <v>0</v>
      </c>
      <c r="DN495" s="93" cm="1">
        <f t="array" ref="DN495">SUMPRODUCT(TRANSPOSE(DN$4:DN$20),$G495:$W495)</f>
        <v>0</v>
      </c>
      <c r="DO495" s="93" cm="1">
        <f t="array" ref="DO495">SUMPRODUCT(TRANSPOSE(DO$4:DO$20),$G495:$W495)</f>
        <v>0</v>
      </c>
    </row>
    <row r="496" spans="1:119" x14ac:dyDescent="0.2">
      <c r="A496" s="45">
        <f t="shared" si="33"/>
        <v>475</v>
      </c>
      <c r="B496" s="45" t="s">
        <v>1026</v>
      </c>
      <c r="C496" s="45">
        <v>510479769</v>
      </c>
      <c r="D496" s="45" t="s">
        <v>945</v>
      </c>
      <c r="E496" s="45" t="s">
        <v>162</v>
      </c>
      <c r="F496" s="45"/>
      <c r="G496" s="100">
        <v>0</v>
      </c>
      <c r="H496" s="100">
        <v>0</v>
      </c>
      <c r="I496" s="100">
        <v>0</v>
      </c>
      <c r="J496" s="100">
        <v>0</v>
      </c>
      <c r="K496" s="100">
        <v>0</v>
      </c>
      <c r="L496" s="100">
        <v>0</v>
      </c>
      <c r="M496" s="100">
        <v>0</v>
      </c>
      <c r="N496" s="100">
        <v>0</v>
      </c>
      <c r="O496" s="100">
        <v>0</v>
      </c>
      <c r="P496" s="100">
        <v>0</v>
      </c>
      <c r="Q496" s="100">
        <v>0</v>
      </c>
      <c r="R496" s="100">
        <v>0</v>
      </c>
      <c r="S496" s="100">
        <v>0</v>
      </c>
      <c r="T496" s="100">
        <v>0</v>
      </c>
      <c r="U496" s="100">
        <v>0</v>
      </c>
      <c r="V496" s="100">
        <v>0</v>
      </c>
      <c r="W496" s="100">
        <v>9</v>
      </c>
      <c r="X496" s="45" t="s">
        <v>24</v>
      </c>
      <c r="Y496" s="53">
        <v>0.20499999999999999</v>
      </c>
      <c r="Z496" s="45">
        <v>2100</v>
      </c>
      <c r="AA496" s="45">
        <v>0</v>
      </c>
      <c r="AB496" s="45">
        <v>0</v>
      </c>
      <c r="AC496" s="45">
        <v>0</v>
      </c>
      <c r="AD496" s="45">
        <v>0</v>
      </c>
      <c r="AE496" s="45">
        <v>0</v>
      </c>
      <c r="AF496" s="45">
        <v>0</v>
      </c>
      <c r="AG496" s="45">
        <v>0</v>
      </c>
      <c r="AH496" s="45">
        <v>0</v>
      </c>
      <c r="AI496" s="45">
        <v>0</v>
      </c>
      <c r="AJ496" s="45">
        <v>0</v>
      </c>
      <c r="AK496" s="45">
        <v>0</v>
      </c>
      <c r="AL496" s="45">
        <v>0</v>
      </c>
      <c r="AM496" s="45">
        <v>0</v>
      </c>
      <c r="AN496" s="45">
        <v>0</v>
      </c>
      <c r="AO496" s="45"/>
      <c r="AP496" s="45"/>
      <c r="AQ496" s="45"/>
      <c r="AR496" s="45"/>
      <c r="AS496" s="45"/>
      <c r="AT496" s="45"/>
      <c r="AU496" s="45"/>
      <c r="AV496" s="45"/>
      <c r="AW496" s="45"/>
      <c r="AX496" s="45"/>
      <c r="AY496" s="45"/>
      <c r="AZ496" s="45"/>
      <c r="BA496" s="45"/>
      <c r="BB496" s="45"/>
      <c r="BC496" s="45"/>
      <c r="BD496" s="93"/>
      <c r="BE496" s="93"/>
      <c r="BF496" s="93"/>
      <c r="BG496" s="93"/>
      <c r="BH496" s="93"/>
      <c r="BI496" s="93"/>
      <c r="BJ496" s="93"/>
      <c r="BK496" s="93">
        <f>SUM($Z496:AD496)-SUM($CM496:CQ496)</f>
        <v>1956</v>
      </c>
      <c r="BL496" s="93">
        <f>SUM($Z496:AE496)-SUM($CM496:CR496)</f>
        <v>1812</v>
      </c>
      <c r="BM496" s="93">
        <f>SUM($Z496:AF496)-SUM($CM496:CS496)</f>
        <v>1668</v>
      </c>
      <c r="BN496" s="93">
        <f>SUM($Z496:AG496)-SUM($CM496:CT496)</f>
        <v>1524</v>
      </c>
      <c r="BO496" s="93">
        <f>SUM($Z496:AH496)-SUM($CM496:CU496)</f>
        <v>1380</v>
      </c>
      <c r="BP496" s="93">
        <f>SUM($Z496:AI496)-SUM($CM496:CV496)</f>
        <v>1236</v>
      </c>
      <c r="BQ496" s="93">
        <f>SUM($Z496:AJ496)-SUM($CM496:CW496)</f>
        <v>1092</v>
      </c>
      <c r="BR496" s="93">
        <f>SUM($Z496:AK496)-SUM($CM496:CX496)</f>
        <v>948</v>
      </c>
      <c r="BS496" s="93">
        <f>SUM($Z496:AL496)-SUM($CM496:CY496)</f>
        <v>948</v>
      </c>
      <c r="BT496" s="93">
        <f>SUM($Z496:AM496)-SUM($CM496:CZ496)</f>
        <v>948</v>
      </c>
      <c r="BU496" s="93">
        <f>SUM($Z496:AN496)-SUM($CM496:DA496)</f>
        <v>948</v>
      </c>
      <c r="BV496" s="93">
        <f>SUM($Z496:AO496)-SUM($CM496:DB496)</f>
        <v>948</v>
      </c>
      <c r="BW496" s="93">
        <f>SUM($Z496:AP496)-SUM($CM496:DC496)</f>
        <v>948</v>
      </c>
      <c r="BX496" s="93">
        <f>SUM($Z496:AQ496)-SUM($CM496:DD496)</f>
        <v>948</v>
      </c>
      <c r="BY496" s="93">
        <f>SUM($Z496:AR496)-SUM($CM496:DE496)</f>
        <v>948</v>
      </c>
      <c r="BZ496" s="93">
        <f>SUM($Z496:AS496)-SUM($CM496:DF496)</f>
        <v>948</v>
      </c>
      <c r="CA496" s="93">
        <f>SUM($Z496:AT496)-SUM($CM496:DG496)</f>
        <v>948</v>
      </c>
      <c r="CB496" s="93">
        <f>SUM($Z496:AU496)-SUM($CM496:DH496)</f>
        <v>948</v>
      </c>
      <c r="CC496" s="93">
        <f>SUM($Z496:AV496)-SUM($CM496:DI496)</f>
        <v>948</v>
      </c>
      <c r="CD496" s="93">
        <f>SUM($Z496:AW496)-SUM($CM496:DJ496)</f>
        <v>948</v>
      </c>
      <c r="CE496" s="93">
        <f>SUM($Z496:AX496)-SUM($CM496:DK496)</f>
        <v>948</v>
      </c>
      <c r="CF496" s="93">
        <f>SUM($Z496:AY496)-SUM($CM496:DL496)</f>
        <v>948</v>
      </c>
      <c r="CG496" s="93">
        <f>SUM($Z496:AZ496)-SUM($CM496:DM496)</f>
        <v>948</v>
      </c>
      <c r="CH496" s="93">
        <f>SUM($Z496:BA496)-SUM($CM496:DN496)</f>
        <v>948</v>
      </c>
      <c r="CI496" s="93">
        <f>SUM($Z496:BB496)-SUM($CM496:DO496)</f>
        <v>948</v>
      </c>
      <c r="CJ496" s="93"/>
      <c r="CK496" s="93"/>
      <c r="CL496" s="93"/>
      <c r="CM496" s="93"/>
      <c r="CN496" s="93" cm="1">
        <f t="array" ref="CN496">SUMPRODUCT(TRANSPOSE(CN$4:CN$20),$G496:$W496)</f>
        <v>0</v>
      </c>
      <c r="CO496" s="93" cm="1">
        <f t="array" ref="CO496">SUMPRODUCT(TRANSPOSE(CO$4:CO$20),$G496:$W496)</f>
        <v>0</v>
      </c>
      <c r="CP496" s="93" cm="1">
        <f t="array" ref="CP496">SUMPRODUCT(TRANSPOSE(CP$4:CP$20),$G496:$W496)</f>
        <v>0</v>
      </c>
      <c r="CQ496" s="93" cm="1">
        <f t="array" ref="CQ496">SUMPRODUCT(TRANSPOSE(CQ$4:CQ$20),$G496:$W496)</f>
        <v>144</v>
      </c>
      <c r="CR496" s="93" cm="1">
        <f t="array" ref="CR496">SUMPRODUCT(TRANSPOSE(CR$4:CR$20),$G496:$W496)</f>
        <v>144</v>
      </c>
      <c r="CS496" s="93" cm="1">
        <f t="array" ref="CS496">SUMPRODUCT(TRANSPOSE(CS$4:CS$20),$G496:$W496)</f>
        <v>144</v>
      </c>
      <c r="CT496" s="93" cm="1">
        <f t="array" ref="CT496">SUMPRODUCT(TRANSPOSE(CT$4:CT$20),$G496:$W496)</f>
        <v>144</v>
      </c>
      <c r="CU496" s="93" cm="1">
        <f t="array" ref="CU496">SUMPRODUCT(TRANSPOSE(CU$4:CU$20),$G496:$W496)</f>
        <v>144</v>
      </c>
      <c r="CV496" s="93" cm="1">
        <f t="array" ref="CV496">SUMPRODUCT(TRANSPOSE(CV$4:CV$20),$G496:$W496)</f>
        <v>144</v>
      </c>
      <c r="CW496" s="93" cm="1">
        <f t="array" ref="CW496">SUMPRODUCT(TRANSPOSE(CW$4:CW$20),$G496:$W496)</f>
        <v>144</v>
      </c>
      <c r="CX496" s="93" cm="1">
        <f t="array" ref="CX496">SUMPRODUCT(TRANSPOSE(CX$4:CX$20),$G496:$W496)</f>
        <v>144</v>
      </c>
      <c r="CY496" s="93" cm="1">
        <f t="array" ref="CY496">SUMPRODUCT(TRANSPOSE(CY$4:CY$20),$G496:$W496)</f>
        <v>0</v>
      </c>
      <c r="CZ496" s="93" cm="1">
        <f t="array" ref="CZ496">SUMPRODUCT(TRANSPOSE(CZ$4:CZ$20),$G496:$W496)</f>
        <v>0</v>
      </c>
      <c r="DA496" s="93" cm="1">
        <f t="array" ref="DA496">SUMPRODUCT(TRANSPOSE(DA$4:DA$20),$G496:$W496)</f>
        <v>0</v>
      </c>
      <c r="DB496" s="93" cm="1">
        <f t="array" ref="DB496">SUMPRODUCT(TRANSPOSE(DB$4:DB$20),$G496:$W496)</f>
        <v>0</v>
      </c>
      <c r="DC496" s="93" cm="1">
        <f t="array" ref="DC496">SUMPRODUCT(TRANSPOSE(DC$4:DC$20),$G496:$W496)</f>
        <v>0</v>
      </c>
      <c r="DD496" s="93" cm="1">
        <f t="array" ref="DD496">SUMPRODUCT(TRANSPOSE(DD$4:DD$20),$G496:$W496)</f>
        <v>0</v>
      </c>
      <c r="DE496" s="93" cm="1">
        <f t="array" ref="DE496">SUMPRODUCT(TRANSPOSE(DE$4:DE$20),$G496:$W496)</f>
        <v>0</v>
      </c>
      <c r="DF496" s="93" cm="1">
        <f t="array" ref="DF496">SUMPRODUCT(TRANSPOSE(DF$4:DF$20),$G496:$W496)</f>
        <v>0</v>
      </c>
      <c r="DG496" s="93" cm="1">
        <f t="array" ref="DG496">SUMPRODUCT(TRANSPOSE(DG$4:DG$20),$G496:$W496)</f>
        <v>0</v>
      </c>
      <c r="DH496" s="93" cm="1">
        <f t="array" ref="DH496">SUMPRODUCT(TRANSPOSE(DH$4:DH$20),$G496:$W496)</f>
        <v>0</v>
      </c>
      <c r="DI496" s="93" cm="1">
        <f t="array" ref="DI496">SUMPRODUCT(TRANSPOSE(DI$4:DI$20),$G496:$W496)</f>
        <v>0</v>
      </c>
      <c r="DJ496" s="93" cm="1">
        <f t="array" ref="DJ496">SUMPRODUCT(TRANSPOSE(DJ$4:DJ$20),$G496:$W496)</f>
        <v>0</v>
      </c>
      <c r="DK496" s="93" cm="1">
        <f t="array" ref="DK496">SUMPRODUCT(TRANSPOSE(DK$4:DK$20),$G496:$W496)</f>
        <v>0</v>
      </c>
      <c r="DL496" s="93" cm="1">
        <f t="array" ref="DL496">SUMPRODUCT(TRANSPOSE(DL$4:DL$20),$G496:$W496)</f>
        <v>0</v>
      </c>
      <c r="DM496" s="93" cm="1">
        <f t="array" ref="DM496">SUMPRODUCT(TRANSPOSE(DM$4:DM$20),$G496:$W496)</f>
        <v>0</v>
      </c>
      <c r="DN496" s="93" cm="1">
        <f t="array" ref="DN496">SUMPRODUCT(TRANSPOSE(DN$4:DN$20),$G496:$W496)</f>
        <v>0</v>
      </c>
      <c r="DO496" s="93" cm="1">
        <f t="array" ref="DO496">SUMPRODUCT(TRANSPOSE(DO$4:DO$20),$G496:$W496)</f>
        <v>0</v>
      </c>
    </row>
    <row r="497" spans="1:119" x14ac:dyDescent="0.2">
      <c r="A497" s="45">
        <f t="shared" si="33"/>
        <v>476</v>
      </c>
      <c r="B497" s="45" t="s">
        <v>1027</v>
      </c>
      <c r="C497" s="45">
        <v>510493844</v>
      </c>
      <c r="D497" s="45" t="s">
        <v>945</v>
      </c>
      <c r="E497" s="45" t="s">
        <v>162</v>
      </c>
      <c r="F497" s="45"/>
      <c r="G497" s="100">
        <v>0</v>
      </c>
      <c r="H497" s="100">
        <v>0</v>
      </c>
      <c r="I497" s="100">
        <v>0</v>
      </c>
      <c r="J497" s="100">
        <v>0</v>
      </c>
      <c r="K497" s="100">
        <v>0</v>
      </c>
      <c r="L497" s="100">
        <v>0</v>
      </c>
      <c r="M497" s="100">
        <v>0</v>
      </c>
      <c r="N497" s="100">
        <v>0</v>
      </c>
      <c r="O497" s="100">
        <v>0</v>
      </c>
      <c r="P497" s="100">
        <v>0</v>
      </c>
      <c r="Q497" s="100">
        <v>0</v>
      </c>
      <c r="R497" s="100">
        <v>0</v>
      </c>
      <c r="S497" s="100">
        <v>0</v>
      </c>
      <c r="T497" s="100">
        <v>0</v>
      </c>
      <c r="U497" s="100">
        <v>0</v>
      </c>
      <c r="V497" s="100">
        <v>0</v>
      </c>
      <c r="W497" s="100">
        <v>8</v>
      </c>
      <c r="X497" s="45" t="s">
        <v>24</v>
      </c>
      <c r="Y497" s="53">
        <v>0.192</v>
      </c>
      <c r="Z497" s="45">
        <v>1855</v>
      </c>
      <c r="AA497" s="45">
        <v>0</v>
      </c>
      <c r="AB497" s="45">
        <v>0</v>
      </c>
      <c r="AC497" s="45">
        <v>0</v>
      </c>
      <c r="AD497" s="45">
        <v>0</v>
      </c>
      <c r="AE497" s="45">
        <v>0</v>
      </c>
      <c r="AF497" s="45">
        <v>0</v>
      </c>
      <c r="AG497" s="45">
        <v>0</v>
      </c>
      <c r="AH497" s="45">
        <v>0</v>
      </c>
      <c r="AI497" s="45">
        <v>0</v>
      </c>
      <c r="AJ497" s="45">
        <v>0</v>
      </c>
      <c r="AK497" s="45">
        <v>0</v>
      </c>
      <c r="AL497" s="45">
        <v>0</v>
      </c>
      <c r="AM497" s="45">
        <v>0</v>
      </c>
      <c r="AN497" s="45">
        <v>0</v>
      </c>
      <c r="AO497" s="45"/>
      <c r="AP497" s="45"/>
      <c r="AQ497" s="45"/>
      <c r="AR497" s="45"/>
      <c r="AS497" s="45"/>
      <c r="AT497" s="45"/>
      <c r="AU497" s="45"/>
      <c r="AV497" s="45"/>
      <c r="AW497" s="45"/>
      <c r="AX497" s="45"/>
      <c r="AY497" s="45"/>
      <c r="AZ497" s="45"/>
      <c r="BA497" s="45"/>
      <c r="BB497" s="45"/>
      <c r="BC497" s="45"/>
      <c r="BD497" s="93"/>
      <c r="BE497" s="93"/>
      <c r="BF497" s="93"/>
      <c r="BG497" s="93"/>
      <c r="BH497" s="93"/>
      <c r="BI497" s="93"/>
      <c r="BJ497" s="93"/>
      <c r="BK497" s="93">
        <f>SUM($Z497:AD497)-SUM($CM497:CQ497)</f>
        <v>1727</v>
      </c>
      <c r="BL497" s="93">
        <f>SUM($Z497:AE497)-SUM($CM497:CR497)</f>
        <v>1599</v>
      </c>
      <c r="BM497" s="93">
        <f>SUM($Z497:AF497)-SUM($CM497:CS497)</f>
        <v>1471</v>
      </c>
      <c r="BN497" s="93">
        <f>SUM($Z497:AG497)-SUM($CM497:CT497)</f>
        <v>1343</v>
      </c>
      <c r="BO497" s="93">
        <f>SUM($Z497:AH497)-SUM($CM497:CU497)</f>
        <v>1215</v>
      </c>
      <c r="BP497" s="93">
        <f>SUM($Z497:AI497)-SUM($CM497:CV497)</f>
        <v>1087</v>
      </c>
      <c r="BQ497" s="93">
        <f>SUM($Z497:AJ497)-SUM($CM497:CW497)</f>
        <v>959</v>
      </c>
      <c r="BR497" s="93">
        <f>SUM($Z497:AK497)-SUM($CM497:CX497)</f>
        <v>831</v>
      </c>
      <c r="BS497" s="93">
        <f>SUM($Z497:AL497)-SUM($CM497:CY497)</f>
        <v>831</v>
      </c>
      <c r="BT497" s="93">
        <f>SUM($Z497:AM497)-SUM($CM497:CZ497)</f>
        <v>831</v>
      </c>
      <c r="BU497" s="93">
        <f>SUM($Z497:AN497)-SUM($CM497:DA497)</f>
        <v>831</v>
      </c>
      <c r="BV497" s="93">
        <f>SUM($Z497:AO497)-SUM($CM497:DB497)</f>
        <v>831</v>
      </c>
      <c r="BW497" s="93">
        <f>SUM($Z497:AP497)-SUM($CM497:DC497)</f>
        <v>831</v>
      </c>
      <c r="BX497" s="93">
        <f>SUM($Z497:AQ497)-SUM($CM497:DD497)</f>
        <v>831</v>
      </c>
      <c r="BY497" s="93">
        <f>SUM($Z497:AR497)-SUM($CM497:DE497)</f>
        <v>831</v>
      </c>
      <c r="BZ497" s="93">
        <f>SUM($Z497:AS497)-SUM($CM497:DF497)</f>
        <v>831</v>
      </c>
      <c r="CA497" s="93">
        <f>SUM($Z497:AT497)-SUM($CM497:DG497)</f>
        <v>831</v>
      </c>
      <c r="CB497" s="93">
        <f>SUM($Z497:AU497)-SUM($CM497:DH497)</f>
        <v>831</v>
      </c>
      <c r="CC497" s="93">
        <f>SUM($Z497:AV497)-SUM($CM497:DI497)</f>
        <v>831</v>
      </c>
      <c r="CD497" s="93">
        <f>SUM($Z497:AW497)-SUM($CM497:DJ497)</f>
        <v>831</v>
      </c>
      <c r="CE497" s="93">
        <f>SUM($Z497:AX497)-SUM($CM497:DK497)</f>
        <v>831</v>
      </c>
      <c r="CF497" s="93">
        <f>SUM($Z497:AY497)-SUM($CM497:DL497)</f>
        <v>831</v>
      </c>
      <c r="CG497" s="93">
        <f>SUM($Z497:AZ497)-SUM($CM497:DM497)</f>
        <v>831</v>
      </c>
      <c r="CH497" s="93">
        <f>SUM($Z497:BA497)-SUM($CM497:DN497)</f>
        <v>831</v>
      </c>
      <c r="CI497" s="93">
        <f>SUM($Z497:BB497)-SUM($CM497:DO497)</f>
        <v>831</v>
      </c>
      <c r="CJ497" s="93"/>
      <c r="CK497" s="93"/>
      <c r="CL497" s="93"/>
      <c r="CM497" s="93"/>
      <c r="CN497" s="93" cm="1">
        <f t="array" ref="CN497">SUMPRODUCT(TRANSPOSE(CN$4:CN$20),$G497:$W497)</f>
        <v>0</v>
      </c>
      <c r="CO497" s="93" cm="1">
        <f t="array" ref="CO497">SUMPRODUCT(TRANSPOSE(CO$4:CO$20),$G497:$W497)</f>
        <v>0</v>
      </c>
      <c r="CP497" s="93" cm="1">
        <f t="array" ref="CP497">SUMPRODUCT(TRANSPOSE(CP$4:CP$20),$G497:$W497)</f>
        <v>0</v>
      </c>
      <c r="CQ497" s="93" cm="1">
        <f t="array" ref="CQ497">SUMPRODUCT(TRANSPOSE(CQ$4:CQ$20),$G497:$W497)</f>
        <v>128</v>
      </c>
      <c r="CR497" s="93" cm="1">
        <f t="array" ref="CR497">SUMPRODUCT(TRANSPOSE(CR$4:CR$20),$G497:$W497)</f>
        <v>128</v>
      </c>
      <c r="CS497" s="93" cm="1">
        <f t="array" ref="CS497">SUMPRODUCT(TRANSPOSE(CS$4:CS$20),$G497:$W497)</f>
        <v>128</v>
      </c>
      <c r="CT497" s="93" cm="1">
        <f t="array" ref="CT497">SUMPRODUCT(TRANSPOSE(CT$4:CT$20),$G497:$W497)</f>
        <v>128</v>
      </c>
      <c r="CU497" s="93" cm="1">
        <f t="array" ref="CU497">SUMPRODUCT(TRANSPOSE(CU$4:CU$20),$G497:$W497)</f>
        <v>128</v>
      </c>
      <c r="CV497" s="93" cm="1">
        <f t="array" ref="CV497">SUMPRODUCT(TRANSPOSE(CV$4:CV$20),$G497:$W497)</f>
        <v>128</v>
      </c>
      <c r="CW497" s="93" cm="1">
        <f t="array" ref="CW497">SUMPRODUCT(TRANSPOSE(CW$4:CW$20),$G497:$W497)</f>
        <v>128</v>
      </c>
      <c r="CX497" s="93" cm="1">
        <f t="array" ref="CX497">SUMPRODUCT(TRANSPOSE(CX$4:CX$20),$G497:$W497)</f>
        <v>128</v>
      </c>
      <c r="CY497" s="93" cm="1">
        <f t="array" ref="CY497">SUMPRODUCT(TRANSPOSE(CY$4:CY$20),$G497:$W497)</f>
        <v>0</v>
      </c>
      <c r="CZ497" s="93" cm="1">
        <f t="array" ref="CZ497">SUMPRODUCT(TRANSPOSE(CZ$4:CZ$20),$G497:$W497)</f>
        <v>0</v>
      </c>
      <c r="DA497" s="93" cm="1">
        <f t="array" ref="DA497">SUMPRODUCT(TRANSPOSE(DA$4:DA$20),$G497:$W497)</f>
        <v>0</v>
      </c>
      <c r="DB497" s="93" cm="1">
        <f t="array" ref="DB497">SUMPRODUCT(TRANSPOSE(DB$4:DB$20),$G497:$W497)</f>
        <v>0</v>
      </c>
      <c r="DC497" s="93" cm="1">
        <f t="array" ref="DC497">SUMPRODUCT(TRANSPOSE(DC$4:DC$20),$G497:$W497)</f>
        <v>0</v>
      </c>
      <c r="DD497" s="93" cm="1">
        <f t="array" ref="DD497">SUMPRODUCT(TRANSPOSE(DD$4:DD$20),$G497:$W497)</f>
        <v>0</v>
      </c>
      <c r="DE497" s="93" cm="1">
        <f t="array" ref="DE497">SUMPRODUCT(TRANSPOSE(DE$4:DE$20),$G497:$W497)</f>
        <v>0</v>
      </c>
      <c r="DF497" s="93" cm="1">
        <f t="array" ref="DF497">SUMPRODUCT(TRANSPOSE(DF$4:DF$20),$G497:$W497)</f>
        <v>0</v>
      </c>
      <c r="DG497" s="93" cm="1">
        <f t="array" ref="DG497">SUMPRODUCT(TRANSPOSE(DG$4:DG$20),$G497:$W497)</f>
        <v>0</v>
      </c>
      <c r="DH497" s="93" cm="1">
        <f t="array" ref="DH497">SUMPRODUCT(TRANSPOSE(DH$4:DH$20),$G497:$W497)</f>
        <v>0</v>
      </c>
      <c r="DI497" s="93" cm="1">
        <f t="array" ref="DI497">SUMPRODUCT(TRANSPOSE(DI$4:DI$20),$G497:$W497)</f>
        <v>0</v>
      </c>
      <c r="DJ497" s="93" cm="1">
        <f t="array" ref="DJ497">SUMPRODUCT(TRANSPOSE(DJ$4:DJ$20),$G497:$W497)</f>
        <v>0</v>
      </c>
      <c r="DK497" s="93" cm="1">
        <f t="array" ref="DK497">SUMPRODUCT(TRANSPOSE(DK$4:DK$20),$G497:$W497)</f>
        <v>0</v>
      </c>
      <c r="DL497" s="93" cm="1">
        <f t="array" ref="DL497">SUMPRODUCT(TRANSPOSE(DL$4:DL$20),$G497:$W497)</f>
        <v>0</v>
      </c>
      <c r="DM497" s="93" cm="1">
        <f t="array" ref="DM497">SUMPRODUCT(TRANSPOSE(DM$4:DM$20),$G497:$W497)</f>
        <v>0</v>
      </c>
      <c r="DN497" s="93" cm="1">
        <f t="array" ref="DN497">SUMPRODUCT(TRANSPOSE(DN$4:DN$20),$G497:$W497)</f>
        <v>0</v>
      </c>
      <c r="DO497" s="93" cm="1">
        <f t="array" ref="DO497">SUMPRODUCT(TRANSPOSE(DO$4:DO$20),$G497:$W497)</f>
        <v>0</v>
      </c>
    </row>
    <row r="498" spans="1:119" x14ac:dyDescent="0.2">
      <c r="A498" s="45">
        <f t="shared" si="33"/>
        <v>477</v>
      </c>
      <c r="B498" s="45" t="s">
        <v>1028</v>
      </c>
      <c r="C498" s="45">
        <v>544157142</v>
      </c>
      <c r="D498" s="45" t="s">
        <v>1029</v>
      </c>
      <c r="E498" s="45" t="s">
        <v>162</v>
      </c>
      <c r="F498" s="45"/>
      <c r="G498" s="100">
        <v>0</v>
      </c>
      <c r="H498" s="100">
        <v>0</v>
      </c>
      <c r="I498" s="100">
        <v>0</v>
      </c>
      <c r="J498" s="100">
        <v>0</v>
      </c>
      <c r="K498" s="100">
        <v>0</v>
      </c>
      <c r="L498" s="100">
        <v>0</v>
      </c>
      <c r="M498" s="100">
        <v>0</v>
      </c>
      <c r="N498" s="100">
        <v>0</v>
      </c>
      <c r="O498" s="100">
        <v>0</v>
      </c>
      <c r="P498" s="100">
        <v>0</v>
      </c>
      <c r="Q498" s="100">
        <v>0</v>
      </c>
      <c r="R498" s="100">
        <v>0</v>
      </c>
      <c r="S498" s="100">
        <v>0</v>
      </c>
      <c r="T498" s="100">
        <v>0</v>
      </c>
      <c r="U498" s="100">
        <v>0</v>
      </c>
      <c r="V498" s="100">
        <v>0</v>
      </c>
      <c r="W498" s="100">
        <v>4</v>
      </c>
      <c r="X498" s="45" t="s">
        <v>24</v>
      </c>
      <c r="Y498" s="53">
        <v>2.0499999999999998</v>
      </c>
      <c r="Z498" s="45">
        <v>935</v>
      </c>
      <c r="AA498" s="45">
        <v>0</v>
      </c>
      <c r="AB498" s="45">
        <v>0</v>
      </c>
      <c r="AC498" s="45">
        <v>0</v>
      </c>
      <c r="AD498" s="45">
        <v>0</v>
      </c>
      <c r="AE498" s="45">
        <v>0</v>
      </c>
      <c r="AF498" s="45">
        <v>0</v>
      </c>
      <c r="AG498" s="45">
        <v>0</v>
      </c>
      <c r="AH498" s="45">
        <v>0</v>
      </c>
      <c r="AI498" s="45">
        <v>0</v>
      </c>
      <c r="AJ498" s="45">
        <v>0</v>
      </c>
      <c r="AK498" s="45">
        <v>0</v>
      </c>
      <c r="AL498" s="45">
        <v>0</v>
      </c>
      <c r="AM498" s="45">
        <v>0</v>
      </c>
      <c r="AN498" s="45">
        <v>0</v>
      </c>
      <c r="AO498" s="45"/>
      <c r="AP498" s="45"/>
      <c r="AQ498" s="45"/>
      <c r="AR498" s="45"/>
      <c r="AS498" s="45"/>
      <c r="AT498" s="45"/>
      <c r="AU498" s="45"/>
      <c r="AV498" s="45"/>
      <c r="AW498" s="45"/>
      <c r="AX498" s="45"/>
      <c r="AY498" s="45"/>
      <c r="AZ498" s="45"/>
      <c r="BA498" s="45"/>
      <c r="BB498" s="45"/>
      <c r="BC498" s="45"/>
      <c r="BD498" s="93"/>
      <c r="BE498" s="93"/>
      <c r="BF498" s="93"/>
      <c r="BG498" s="93"/>
      <c r="BH498" s="93"/>
      <c r="BI498" s="93"/>
      <c r="BJ498" s="93"/>
      <c r="BK498" s="93">
        <f>SUM($Z498:AD498)-SUM($CM498:CQ498)</f>
        <v>871</v>
      </c>
      <c r="BL498" s="93">
        <f>SUM($Z498:AE498)-SUM($CM498:CR498)</f>
        <v>807</v>
      </c>
      <c r="BM498" s="93">
        <f>SUM($Z498:AF498)-SUM($CM498:CS498)</f>
        <v>743</v>
      </c>
      <c r="BN498" s="93">
        <f>SUM($Z498:AG498)-SUM($CM498:CT498)</f>
        <v>679</v>
      </c>
      <c r="BO498" s="93">
        <f>SUM($Z498:AH498)-SUM($CM498:CU498)</f>
        <v>615</v>
      </c>
      <c r="BP498" s="93">
        <f>SUM($Z498:AI498)-SUM($CM498:CV498)</f>
        <v>551</v>
      </c>
      <c r="BQ498" s="93">
        <f>SUM($Z498:AJ498)-SUM($CM498:CW498)</f>
        <v>487</v>
      </c>
      <c r="BR498" s="93">
        <f>SUM($Z498:AK498)-SUM($CM498:CX498)</f>
        <v>423</v>
      </c>
      <c r="BS498" s="93">
        <f>SUM($Z498:AL498)-SUM($CM498:CY498)</f>
        <v>423</v>
      </c>
      <c r="BT498" s="93">
        <f>SUM($Z498:AM498)-SUM($CM498:CZ498)</f>
        <v>423</v>
      </c>
      <c r="BU498" s="93">
        <f>SUM($Z498:AN498)-SUM($CM498:DA498)</f>
        <v>423</v>
      </c>
      <c r="BV498" s="93">
        <f>SUM($Z498:AO498)-SUM($CM498:DB498)</f>
        <v>423</v>
      </c>
      <c r="BW498" s="93">
        <f>SUM($Z498:AP498)-SUM($CM498:DC498)</f>
        <v>423</v>
      </c>
      <c r="BX498" s="93">
        <f>SUM($Z498:AQ498)-SUM($CM498:DD498)</f>
        <v>423</v>
      </c>
      <c r="BY498" s="93">
        <f>SUM($Z498:AR498)-SUM($CM498:DE498)</f>
        <v>423</v>
      </c>
      <c r="BZ498" s="93">
        <f>SUM($Z498:AS498)-SUM($CM498:DF498)</f>
        <v>423</v>
      </c>
      <c r="CA498" s="93">
        <f>SUM($Z498:AT498)-SUM($CM498:DG498)</f>
        <v>423</v>
      </c>
      <c r="CB498" s="93">
        <f>SUM($Z498:AU498)-SUM($CM498:DH498)</f>
        <v>423</v>
      </c>
      <c r="CC498" s="93">
        <f>SUM($Z498:AV498)-SUM($CM498:DI498)</f>
        <v>423</v>
      </c>
      <c r="CD498" s="93">
        <f>SUM($Z498:AW498)-SUM($CM498:DJ498)</f>
        <v>423</v>
      </c>
      <c r="CE498" s="93">
        <f>SUM($Z498:AX498)-SUM($CM498:DK498)</f>
        <v>423</v>
      </c>
      <c r="CF498" s="93">
        <f>SUM($Z498:AY498)-SUM($CM498:DL498)</f>
        <v>423</v>
      </c>
      <c r="CG498" s="93">
        <f>SUM($Z498:AZ498)-SUM($CM498:DM498)</f>
        <v>423</v>
      </c>
      <c r="CH498" s="93">
        <f>SUM($Z498:BA498)-SUM($CM498:DN498)</f>
        <v>423</v>
      </c>
      <c r="CI498" s="93">
        <f>SUM($Z498:BB498)-SUM($CM498:DO498)</f>
        <v>423</v>
      </c>
      <c r="CJ498" s="93"/>
      <c r="CK498" s="93"/>
      <c r="CL498" s="93"/>
      <c r="CM498" s="93"/>
      <c r="CN498" s="93" cm="1">
        <f t="array" ref="CN498">SUMPRODUCT(TRANSPOSE(CN$4:CN$20),$G498:$W498)</f>
        <v>0</v>
      </c>
      <c r="CO498" s="93" cm="1">
        <f t="array" ref="CO498">SUMPRODUCT(TRANSPOSE(CO$4:CO$20),$G498:$W498)</f>
        <v>0</v>
      </c>
      <c r="CP498" s="93" cm="1">
        <f t="array" ref="CP498">SUMPRODUCT(TRANSPOSE(CP$4:CP$20),$G498:$W498)</f>
        <v>0</v>
      </c>
      <c r="CQ498" s="93" cm="1">
        <f t="array" ref="CQ498">SUMPRODUCT(TRANSPOSE(CQ$4:CQ$20),$G498:$W498)</f>
        <v>64</v>
      </c>
      <c r="CR498" s="93" cm="1">
        <f t="array" ref="CR498">SUMPRODUCT(TRANSPOSE(CR$4:CR$20),$G498:$W498)</f>
        <v>64</v>
      </c>
      <c r="CS498" s="93" cm="1">
        <f t="array" ref="CS498">SUMPRODUCT(TRANSPOSE(CS$4:CS$20),$G498:$W498)</f>
        <v>64</v>
      </c>
      <c r="CT498" s="93" cm="1">
        <f t="array" ref="CT498">SUMPRODUCT(TRANSPOSE(CT$4:CT$20),$G498:$W498)</f>
        <v>64</v>
      </c>
      <c r="CU498" s="93" cm="1">
        <f t="array" ref="CU498">SUMPRODUCT(TRANSPOSE(CU$4:CU$20),$G498:$W498)</f>
        <v>64</v>
      </c>
      <c r="CV498" s="93" cm="1">
        <f t="array" ref="CV498">SUMPRODUCT(TRANSPOSE(CV$4:CV$20),$G498:$W498)</f>
        <v>64</v>
      </c>
      <c r="CW498" s="93" cm="1">
        <f t="array" ref="CW498">SUMPRODUCT(TRANSPOSE(CW$4:CW$20),$G498:$W498)</f>
        <v>64</v>
      </c>
      <c r="CX498" s="93" cm="1">
        <f t="array" ref="CX498">SUMPRODUCT(TRANSPOSE(CX$4:CX$20),$G498:$W498)</f>
        <v>64</v>
      </c>
      <c r="CY498" s="93" cm="1">
        <f t="array" ref="CY498">SUMPRODUCT(TRANSPOSE(CY$4:CY$20),$G498:$W498)</f>
        <v>0</v>
      </c>
      <c r="CZ498" s="93" cm="1">
        <f t="array" ref="CZ498">SUMPRODUCT(TRANSPOSE(CZ$4:CZ$20),$G498:$W498)</f>
        <v>0</v>
      </c>
      <c r="DA498" s="93" cm="1">
        <f t="array" ref="DA498">SUMPRODUCT(TRANSPOSE(DA$4:DA$20),$G498:$W498)</f>
        <v>0</v>
      </c>
      <c r="DB498" s="93" cm="1">
        <f t="array" ref="DB498">SUMPRODUCT(TRANSPOSE(DB$4:DB$20),$G498:$W498)</f>
        <v>0</v>
      </c>
      <c r="DC498" s="93" cm="1">
        <f t="array" ref="DC498">SUMPRODUCT(TRANSPOSE(DC$4:DC$20),$G498:$W498)</f>
        <v>0</v>
      </c>
      <c r="DD498" s="93" cm="1">
        <f t="array" ref="DD498">SUMPRODUCT(TRANSPOSE(DD$4:DD$20),$G498:$W498)</f>
        <v>0</v>
      </c>
      <c r="DE498" s="93" cm="1">
        <f t="array" ref="DE498">SUMPRODUCT(TRANSPOSE(DE$4:DE$20),$G498:$W498)</f>
        <v>0</v>
      </c>
      <c r="DF498" s="93" cm="1">
        <f t="array" ref="DF498">SUMPRODUCT(TRANSPOSE(DF$4:DF$20),$G498:$W498)</f>
        <v>0</v>
      </c>
      <c r="DG498" s="93" cm="1">
        <f t="array" ref="DG498">SUMPRODUCT(TRANSPOSE(DG$4:DG$20),$G498:$W498)</f>
        <v>0</v>
      </c>
      <c r="DH498" s="93" cm="1">
        <f t="array" ref="DH498">SUMPRODUCT(TRANSPOSE(DH$4:DH$20),$G498:$W498)</f>
        <v>0</v>
      </c>
      <c r="DI498" s="93" cm="1">
        <f t="array" ref="DI498">SUMPRODUCT(TRANSPOSE(DI$4:DI$20),$G498:$W498)</f>
        <v>0</v>
      </c>
      <c r="DJ498" s="93" cm="1">
        <f t="array" ref="DJ498">SUMPRODUCT(TRANSPOSE(DJ$4:DJ$20),$G498:$W498)</f>
        <v>0</v>
      </c>
      <c r="DK498" s="93" cm="1">
        <f t="array" ref="DK498">SUMPRODUCT(TRANSPOSE(DK$4:DK$20),$G498:$W498)</f>
        <v>0</v>
      </c>
      <c r="DL498" s="93" cm="1">
        <f t="array" ref="DL498">SUMPRODUCT(TRANSPOSE(DL$4:DL$20),$G498:$W498)</f>
        <v>0</v>
      </c>
      <c r="DM498" s="93" cm="1">
        <f t="array" ref="DM498">SUMPRODUCT(TRANSPOSE(DM$4:DM$20),$G498:$W498)</f>
        <v>0</v>
      </c>
      <c r="DN498" s="93" cm="1">
        <f t="array" ref="DN498">SUMPRODUCT(TRANSPOSE(DN$4:DN$20),$G498:$W498)</f>
        <v>0</v>
      </c>
      <c r="DO498" s="93" cm="1">
        <f t="array" ref="DO498">SUMPRODUCT(TRANSPOSE(DO$4:DO$20),$G498:$W498)</f>
        <v>0</v>
      </c>
    </row>
    <row r="499" spans="1:119" x14ac:dyDescent="0.2">
      <c r="A499" s="45">
        <f t="shared" si="33"/>
        <v>478</v>
      </c>
      <c r="B499" s="45" t="s">
        <v>1030</v>
      </c>
      <c r="C499" s="45">
        <v>544171184</v>
      </c>
      <c r="D499" s="45" t="s">
        <v>1031</v>
      </c>
      <c r="E499" s="45" t="s">
        <v>162</v>
      </c>
      <c r="F499" s="45"/>
      <c r="G499" s="100">
        <v>0</v>
      </c>
      <c r="H499" s="100">
        <v>0</v>
      </c>
      <c r="I499" s="100">
        <v>0</v>
      </c>
      <c r="J499" s="100">
        <v>0</v>
      </c>
      <c r="K499" s="100">
        <v>0</v>
      </c>
      <c r="L499" s="100">
        <v>0</v>
      </c>
      <c r="M499" s="100">
        <v>0</v>
      </c>
      <c r="N499" s="100">
        <v>0</v>
      </c>
      <c r="O499" s="100">
        <v>0</v>
      </c>
      <c r="P499" s="100">
        <v>0</v>
      </c>
      <c r="Q499" s="100">
        <v>0</v>
      </c>
      <c r="R499" s="100">
        <v>0</v>
      </c>
      <c r="S499" s="100">
        <v>0</v>
      </c>
      <c r="T499" s="100">
        <v>0</v>
      </c>
      <c r="U499" s="100">
        <v>0</v>
      </c>
      <c r="V499" s="100">
        <v>0</v>
      </c>
      <c r="W499" s="100">
        <v>483</v>
      </c>
      <c r="X499" s="76" t="s">
        <v>24</v>
      </c>
      <c r="Y499" s="49">
        <v>0.22900000000000001</v>
      </c>
      <c r="Z499" s="45">
        <v>111573</v>
      </c>
      <c r="AA499" s="45">
        <v>0</v>
      </c>
      <c r="AB499" s="45">
        <v>0</v>
      </c>
      <c r="AC499" s="45">
        <v>0</v>
      </c>
      <c r="AD499" s="45">
        <v>0</v>
      </c>
      <c r="AE499" s="45">
        <v>0</v>
      </c>
      <c r="AF499" s="45">
        <v>0</v>
      </c>
      <c r="AG499" s="45">
        <v>0</v>
      </c>
      <c r="AH499" s="45">
        <v>0</v>
      </c>
      <c r="AI499" s="45">
        <v>0</v>
      </c>
      <c r="AJ499" s="45">
        <v>0</v>
      </c>
      <c r="AK499" s="45">
        <v>0</v>
      </c>
      <c r="AL499" s="45">
        <v>0</v>
      </c>
      <c r="AM499" s="45">
        <v>0</v>
      </c>
      <c r="AN499" s="45">
        <v>0</v>
      </c>
      <c r="AO499" s="45"/>
      <c r="AP499" s="45"/>
      <c r="AQ499" s="45"/>
      <c r="AR499" s="45"/>
      <c r="AS499" s="45"/>
      <c r="AT499" s="45"/>
      <c r="AU499" s="45"/>
      <c r="AV499" s="45"/>
      <c r="AW499" s="45"/>
      <c r="AX499" s="45"/>
      <c r="AY499" s="45"/>
      <c r="AZ499" s="45"/>
      <c r="BA499" s="45"/>
      <c r="BB499" s="45"/>
      <c r="BC499" s="45"/>
      <c r="BD499" s="93"/>
      <c r="BE499" s="93"/>
      <c r="BF499" s="93"/>
      <c r="BG499" s="93"/>
      <c r="BH499" s="93"/>
      <c r="BI499" s="93"/>
      <c r="BJ499" s="93"/>
      <c r="BK499" s="93">
        <f>SUM($Z499:AD499)-SUM($CM499:CQ499)</f>
        <v>103845</v>
      </c>
      <c r="BL499" s="93">
        <f>SUM($Z499:AE499)-SUM($CM499:CR499)</f>
        <v>96117</v>
      </c>
      <c r="BM499" s="93">
        <f>SUM($Z499:AF499)-SUM($CM499:CS499)</f>
        <v>88389</v>
      </c>
      <c r="BN499" s="93">
        <f>SUM($Z499:AG499)-SUM($CM499:CT499)</f>
        <v>80661</v>
      </c>
      <c r="BO499" s="93">
        <f>SUM($Z499:AH499)-SUM($CM499:CU499)</f>
        <v>72933</v>
      </c>
      <c r="BP499" s="93">
        <f>SUM($Z499:AI499)-SUM($CM499:CV499)</f>
        <v>65205</v>
      </c>
      <c r="BQ499" s="93">
        <f>SUM($Z499:AJ499)-SUM($CM499:CW499)</f>
        <v>57477</v>
      </c>
      <c r="BR499" s="93">
        <f>SUM($Z499:AK499)-SUM($CM499:CX499)</f>
        <v>49749</v>
      </c>
      <c r="BS499" s="93">
        <f>SUM($Z499:AL499)-SUM($CM499:CY499)</f>
        <v>49749</v>
      </c>
      <c r="BT499" s="93">
        <f>SUM($Z499:AM499)-SUM($CM499:CZ499)</f>
        <v>49749</v>
      </c>
      <c r="BU499" s="93">
        <f>SUM($Z499:AN499)-SUM($CM499:DA499)</f>
        <v>49749</v>
      </c>
      <c r="BV499" s="93">
        <f>SUM($Z499:AO499)-SUM($CM499:DB499)</f>
        <v>49749</v>
      </c>
      <c r="BW499" s="93">
        <f>SUM($Z499:AP499)-SUM($CM499:DC499)</f>
        <v>49749</v>
      </c>
      <c r="BX499" s="93">
        <f>SUM($Z499:AQ499)-SUM($CM499:DD499)</f>
        <v>49749</v>
      </c>
      <c r="BY499" s="93">
        <f>SUM($Z499:AR499)-SUM($CM499:DE499)</f>
        <v>49749</v>
      </c>
      <c r="BZ499" s="93">
        <f>SUM($Z499:AS499)-SUM($CM499:DF499)</f>
        <v>49749</v>
      </c>
      <c r="CA499" s="93">
        <f>SUM($Z499:AT499)-SUM($CM499:DG499)</f>
        <v>49749</v>
      </c>
      <c r="CB499" s="93">
        <f>SUM($Z499:AU499)-SUM($CM499:DH499)</f>
        <v>49749</v>
      </c>
      <c r="CC499" s="93">
        <f>SUM($Z499:AV499)-SUM($CM499:DI499)</f>
        <v>49749</v>
      </c>
      <c r="CD499" s="93">
        <f>SUM($Z499:AW499)-SUM($CM499:DJ499)</f>
        <v>49749</v>
      </c>
      <c r="CE499" s="93">
        <f>SUM($Z499:AX499)-SUM($CM499:DK499)</f>
        <v>49749</v>
      </c>
      <c r="CF499" s="93">
        <f>SUM($Z499:AY499)-SUM($CM499:DL499)</f>
        <v>49749</v>
      </c>
      <c r="CG499" s="93">
        <f>SUM($Z499:AZ499)-SUM($CM499:DM499)</f>
        <v>49749</v>
      </c>
      <c r="CH499" s="93">
        <f>SUM($Z499:BA499)-SUM($CM499:DN499)</f>
        <v>49749</v>
      </c>
      <c r="CI499" s="93">
        <f>SUM($Z499:BB499)-SUM($CM499:DO499)</f>
        <v>49749</v>
      </c>
      <c r="CJ499" s="93"/>
      <c r="CK499" s="93"/>
      <c r="CL499" s="93"/>
      <c r="CM499" s="93"/>
      <c r="CN499" s="93" cm="1">
        <f t="array" ref="CN499">SUMPRODUCT(TRANSPOSE(CN$4:CN$20),$G499:$W499)</f>
        <v>0</v>
      </c>
      <c r="CO499" s="93" cm="1">
        <f t="array" ref="CO499">SUMPRODUCT(TRANSPOSE(CO$4:CO$20),$G499:$W499)</f>
        <v>0</v>
      </c>
      <c r="CP499" s="93" cm="1">
        <f t="array" ref="CP499">SUMPRODUCT(TRANSPOSE(CP$4:CP$20),$G499:$W499)</f>
        <v>0</v>
      </c>
      <c r="CQ499" s="93" cm="1">
        <f t="array" ref="CQ499">SUMPRODUCT(TRANSPOSE(CQ$4:CQ$20),$G499:$W499)</f>
        <v>7728</v>
      </c>
      <c r="CR499" s="93" cm="1">
        <f t="array" ref="CR499">SUMPRODUCT(TRANSPOSE(CR$4:CR$20),$G499:$W499)</f>
        <v>7728</v>
      </c>
      <c r="CS499" s="93" cm="1">
        <f t="array" ref="CS499">SUMPRODUCT(TRANSPOSE(CS$4:CS$20),$G499:$W499)</f>
        <v>7728</v>
      </c>
      <c r="CT499" s="93" cm="1">
        <f t="array" ref="CT499">SUMPRODUCT(TRANSPOSE(CT$4:CT$20),$G499:$W499)</f>
        <v>7728</v>
      </c>
      <c r="CU499" s="93" cm="1">
        <f t="array" ref="CU499">SUMPRODUCT(TRANSPOSE(CU$4:CU$20),$G499:$W499)</f>
        <v>7728</v>
      </c>
      <c r="CV499" s="93" cm="1">
        <f t="array" ref="CV499">SUMPRODUCT(TRANSPOSE(CV$4:CV$20),$G499:$W499)</f>
        <v>7728</v>
      </c>
      <c r="CW499" s="93" cm="1">
        <f t="array" ref="CW499">SUMPRODUCT(TRANSPOSE(CW$4:CW$20),$G499:$W499)</f>
        <v>7728</v>
      </c>
      <c r="CX499" s="93" cm="1">
        <f t="array" ref="CX499">SUMPRODUCT(TRANSPOSE(CX$4:CX$20),$G499:$W499)</f>
        <v>7728</v>
      </c>
      <c r="CY499" s="93" cm="1">
        <f t="array" ref="CY499">SUMPRODUCT(TRANSPOSE(CY$4:CY$20),$G499:$W499)</f>
        <v>0</v>
      </c>
      <c r="CZ499" s="93" cm="1">
        <f t="array" ref="CZ499">SUMPRODUCT(TRANSPOSE(CZ$4:CZ$20),$G499:$W499)</f>
        <v>0</v>
      </c>
      <c r="DA499" s="93" cm="1">
        <f t="array" ref="DA499">SUMPRODUCT(TRANSPOSE(DA$4:DA$20),$G499:$W499)</f>
        <v>0</v>
      </c>
      <c r="DB499" s="93" cm="1">
        <f t="array" ref="DB499">SUMPRODUCT(TRANSPOSE(DB$4:DB$20),$G499:$W499)</f>
        <v>0</v>
      </c>
      <c r="DC499" s="93" cm="1">
        <f t="array" ref="DC499">SUMPRODUCT(TRANSPOSE(DC$4:DC$20),$G499:$W499)</f>
        <v>0</v>
      </c>
      <c r="DD499" s="93" cm="1">
        <f t="array" ref="DD499">SUMPRODUCT(TRANSPOSE(DD$4:DD$20),$G499:$W499)</f>
        <v>0</v>
      </c>
      <c r="DE499" s="93" cm="1">
        <f t="array" ref="DE499">SUMPRODUCT(TRANSPOSE(DE$4:DE$20),$G499:$W499)</f>
        <v>0</v>
      </c>
      <c r="DF499" s="93" cm="1">
        <f t="array" ref="DF499">SUMPRODUCT(TRANSPOSE(DF$4:DF$20),$G499:$W499)</f>
        <v>0</v>
      </c>
      <c r="DG499" s="93" cm="1">
        <f t="array" ref="DG499">SUMPRODUCT(TRANSPOSE(DG$4:DG$20),$G499:$W499)</f>
        <v>0</v>
      </c>
      <c r="DH499" s="93" cm="1">
        <f t="array" ref="DH499">SUMPRODUCT(TRANSPOSE(DH$4:DH$20),$G499:$W499)</f>
        <v>0</v>
      </c>
      <c r="DI499" s="93" cm="1">
        <f t="array" ref="DI499">SUMPRODUCT(TRANSPOSE(DI$4:DI$20),$G499:$W499)</f>
        <v>0</v>
      </c>
      <c r="DJ499" s="93" cm="1">
        <f t="array" ref="DJ499">SUMPRODUCT(TRANSPOSE(DJ$4:DJ$20),$G499:$W499)</f>
        <v>0</v>
      </c>
      <c r="DK499" s="93" cm="1">
        <f t="array" ref="DK499">SUMPRODUCT(TRANSPOSE(DK$4:DK$20),$G499:$W499)</f>
        <v>0</v>
      </c>
      <c r="DL499" s="93" cm="1">
        <f t="array" ref="DL499">SUMPRODUCT(TRANSPOSE(DL$4:DL$20),$G499:$W499)</f>
        <v>0</v>
      </c>
      <c r="DM499" s="93" cm="1">
        <f t="array" ref="DM499">SUMPRODUCT(TRANSPOSE(DM$4:DM$20),$G499:$W499)</f>
        <v>0</v>
      </c>
      <c r="DN499" s="93" cm="1">
        <f t="array" ref="DN499">SUMPRODUCT(TRANSPOSE(DN$4:DN$20),$G499:$W499)</f>
        <v>0</v>
      </c>
      <c r="DO499" s="93" cm="1">
        <f t="array" ref="DO499">SUMPRODUCT(TRANSPOSE(DO$4:DO$20),$G499:$W499)</f>
        <v>0</v>
      </c>
    </row>
    <row r="500" spans="1:119" x14ac:dyDescent="0.2">
      <c r="A500" s="45">
        <f t="shared" si="33"/>
        <v>479</v>
      </c>
      <c r="B500" s="45" t="s">
        <v>1032</v>
      </c>
      <c r="C500" s="45">
        <v>510496904</v>
      </c>
      <c r="D500" s="45" t="s">
        <v>1031</v>
      </c>
      <c r="E500" s="45" t="s">
        <v>162</v>
      </c>
      <c r="F500" s="45"/>
      <c r="G500" s="100">
        <v>0</v>
      </c>
      <c r="H500" s="100">
        <v>0</v>
      </c>
      <c r="I500" s="100">
        <v>0</v>
      </c>
      <c r="J500" s="100">
        <v>0</v>
      </c>
      <c r="K500" s="100">
        <v>0</v>
      </c>
      <c r="L500" s="100">
        <v>0</v>
      </c>
      <c r="M500" s="100">
        <v>0</v>
      </c>
      <c r="N500" s="100">
        <v>0</v>
      </c>
      <c r="O500" s="100">
        <v>0</v>
      </c>
      <c r="P500" s="100">
        <v>0</v>
      </c>
      <c r="Q500" s="100">
        <v>0</v>
      </c>
      <c r="R500" s="100">
        <v>0</v>
      </c>
      <c r="S500" s="100">
        <v>0</v>
      </c>
      <c r="T500" s="100">
        <v>0</v>
      </c>
      <c r="U500" s="100">
        <v>0</v>
      </c>
      <c r="V500" s="100">
        <v>0</v>
      </c>
      <c r="W500" s="100">
        <v>678</v>
      </c>
      <c r="X500" s="45" t="s">
        <v>24</v>
      </c>
      <c r="Y500" s="49">
        <v>0.22800000000000001</v>
      </c>
      <c r="Z500" s="45">
        <v>156608</v>
      </c>
      <c r="AA500" s="45">
        <v>0</v>
      </c>
      <c r="AB500" s="45">
        <v>0</v>
      </c>
      <c r="AC500" s="45">
        <v>0</v>
      </c>
      <c r="AD500" s="45">
        <v>0</v>
      </c>
      <c r="AE500" s="45">
        <v>0</v>
      </c>
      <c r="AF500" s="45">
        <v>0</v>
      </c>
      <c r="AG500" s="45">
        <v>0</v>
      </c>
      <c r="AH500" s="45">
        <v>0</v>
      </c>
      <c r="AI500" s="45">
        <v>0</v>
      </c>
      <c r="AJ500" s="45">
        <v>0</v>
      </c>
      <c r="AK500" s="45">
        <v>0</v>
      </c>
      <c r="AL500" s="45">
        <v>0</v>
      </c>
      <c r="AM500" s="45">
        <v>0</v>
      </c>
      <c r="AN500" s="45">
        <v>0</v>
      </c>
      <c r="AO500" s="45"/>
      <c r="AP500" s="45"/>
      <c r="AQ500" s="45"/>
      <c r="AR500" s="45"/>
      <c r="AS500" s="45"/>
      <c r="AT500" s="45"/>
      <c r="AU500" s="45"/>
      <c r="AV500" s="45"/>
      <c r="AW500" s="45"/>
      <c r="AX500" s="45"/>
      <c r="AY500" s="45"/>
      <c r="AZ500" s="45"/>
      <c r="BA500" s="45"/>
      <c r="BB500" s="45"/>
      <c r="BC500" s="45"/>
      <c r="BD500" s="93"/>
      <c r="BE500" s="93"/>
      <c r="BF500" s="93"/>
      <c r="BG500" s="93"/>
      <c r="BH500" s="93"/>
      <c r="BI500" s="93"/>
      <c r="BJ500" s="93"/>
      <c r="BK500" s="93">
        <f>SUM($Z500:AD500)-SUM($CM500:CQ500)</f>
        <v>145760</v>
      </c>
      <c r="BL500" s="93">
        <f>SUM($Z500:AE500)-SUM($CM500:CR500)</f>
        <v>134912</v>
      </c>
      <c r="BM500" s="93">
        <f>SUM($Z500:AF500)-SUM($CM500:CS500)</f>
        <v>124064</v>
      </c>
      <c r="BN500" s="93">
        <f>SUM($Z500:AG500)-SUM($CM500:CT500)</f>
        <v>113216</v>
      </c>
      <c r="BO500" s="93">
        <f>SUM($Z500:AH500)-SUM($CM500:CU500)</f>
        <v>102368</v>
      </c>
      <c r="BP500" s="93">
        <f>SUM($Z500:AI500)-SUM($CM500:CV500)</f>
        <v>91520</v>
      </c>
      <c r="BQ500" s="93">
        <f>SUM($Z500:AJ500)-SUM($CM500:CW500)</f>
        <v>80672</v>
      </c>
      <c r="BR500" s="93">
        <f>SUM($Z500:AK500)-SUM($CM500:CX500)</f>
        <v>69824</v>
      </c>
      <c r="BS500" s="93">
        <f>SUM($Z500:AL500)-SUM($CM500:CY500)</f>
        <v>69824</v>
      </c>
      <c r="BT500" s="93">
        <f>SUM($Z500:AM500)-SUM($CM500:CZ500)</f>
        <v>69824</v>
      </c>
      <c r="BU500" s="93">
        <f>SUM($Z500:AN500)-SUM($CM500:DA500)</f>
        <v>69824</v>
      </c>
      <c r="BV500" s="93">
        <f>SUM($Z500:AO500)-SUM($CM500:DB500)</f>
        <v>69824</v>
      </c>
      <c r="BW500" s="93">
        <f>SUM($Z500:AP500)-SUM($CM500:DC500)</f>
        <v>69824</v>
      </c>
      <c r="BX500" s="93">
        <f>SUM($Z500:AQ500)-SUM($CM500:DD500)</f>
        <v>69824</v>
      </c>
      <c r="BY500" s="93">
        <f>SUM($Z500:AR500)-SUM($CM500:DE500)</f>
        <v>69824</v>
      </c>
      <c r="BZ500" s="93">
        <f>SUM($Z500:AS500)-SUM($CM500:DF500)</f>
        <v>69824</v>
      </c>
      <c r="CA500" s="93">
        <f>SUM($Z500:AT500)-SUM($CM500:DG500)</f>
        <v>69824</v>
      </c>
      <c r="CB500" s="93">
        <f>SUM($Z500:AU500)-SUM($CM500:DH500)</f>
        <v>69824</v>
      </c>
      <c r="CC500" s="93">
        <f>SUM($Z500:AV500)-SUM($CM500:DI500)</f>
        <v>69824</v>
      </c>
      <c r="CD500" s="93">
        <f>SUM($Z500:AW500)-SUM($CM500:DJ500)</f>
        <v>69824</v>
      </c>
      <c r="CE500" s="93">
        <f>SUM($Z500:AX500)-SUM($CM500:DK500)</f>
        <v>69824</v>
      </c>
      <c r="CF500" s="93">
        <f>SUM($Z500:AY500)-SUM($CM500:DL500)</f>
        <v>69824</v>
      </c>
      <c r="CG500" s="93">
        <f>SUM($Z500:AZ500)-SUM($CM500:DM500)</f>
        <v>69824</v>
      </c>
      <c r="CH500" s="93">
        <f>SUM($Z500:BA500)-SUM($CM500:DN500)</f>
        <v>69824</v>
      </c>
      <c r="CI500" s="93">
        <f>SUM($Z500:BB500)-SUM($CM500:DO500)</f>
        <v>69824</v>
      </c>
      <c r="CJ500" s="93"/>
      <c r="CK500" s="93"/>
      <c r="CL500" s="93"/>
      <c r="CM500" s="93"/>
      <c r="CN500" s="93" cm="1">
        <f t="array" ref="CN500">SUMPRODUCT(TRANSPOSE(CN$4:CN$20),$G500:$W500)</f>
        <v>0</v>
      </c>
      <c r="CO500" s="93" cm="1">
        <f t="array" ref="CO500">SUMPRODUCT(TRANSPOSE(CO$4:CO$20),$G500:$W500)</f>
        <v>0</v>
      </c>
      <c r="CP500" s="93" cm="1">
        <f t="array" ref="CP500">SUMPRODUCT(TRANSPOSE(CP$4:CP$20),$G500:$W500)</f>
        <v>0</v>
      </c>
      <c r="CQ500" s="93" cm="1">
        <f t="array" ref="CQ500">SUMPRODUCT(TRANSPOSE(CQ$4:CQ$20),$G500:$W500)</f>
        <v>10848</v>
      </c>
      <c r="CR500" s="93" cm="1">
        <f t="array" ref="CR500">SUMPRODUCT(TRANSPOSE(CR$4:CR$20),$G500:$W500)</f>
        <v>10848</v>
      </c>
      <c r="CS500" s="93" cm="1">
        <f t="array" ref="CS500">SUMPRODUCT(TRANSPOSE(CS$4:CS$20),$G500:$W500)</f>
        <v>10848</v>
      </c>
      <c r="CT500" s="93" cm="1">
        <f t="array" ref="CT500">SUMPRODUCT(TRANSPOSE(CT$4:CT$20),$G500:$W500)</f>
        <v>10848</v>
      </c>
      <c r="CU500" s="93" cm="1">
        <f t="array" ref="CU500">SUMPRODUCT(TRANSPOSE(CU$4:CU$20),$G500:$W500)</f>
        <v>10848</v>
      </c>
      <c r="CV500" s="93" cm="1">
        <f t="array" ref="CV500">SUMPRODUCT(TRANSPOSE(CV$4:CV$20),$G500:$W500)</f>
        <v>10848</v>
      </c>
      <c r="CW500" s="93" cm="1">
        <f t="array" ref="CW500">SUMPRODUCT(TRANSPOSE(CW$4:CW$20),$G500:$W500)</f>
        <v>10848</v>
      </c>
      <c r="CX500" s="93" cm="1">
        <f t="array" ref="CX500">SUMPRODUCT(TRANSPOSE(CX$4:CX$20),$G500:$W500)</f>
        <v>10848</v>
      </c>
      <c r="CY500" s="93" cm="1">
        <f t="array" ref="CY500">SUMPRODUCT(TRANSPOSE(CY$4:CY$20),$G500:$W500)</f>
        <v>0</v>
      </c>
      <c r="CZ500" s="93" cm="1">
        <f t="array" ref="CZ500">SUMPRODUCT(TRANSPOSE(CZ$4:CZ$20),$G500:$W500)</f>
        <v>0</v>
      </c>
      <c r="DA500" s="93" cm="1">
        <f t="array" ref="DA500">SUMPRODUCT(TRANSPOSE(DA$4:DA$20),$G500:$W500)</f>
        <v>0</v>
      </c>
      <c r="DB500" s="93" cm="1">
        <f t="array" ref="DB500">SUMPRODUCT(TRANSPOSE(DB$4:DB$20),$G500:$W500)</f>
        <v>0</v>
      </c>
      <c r="DC500" s="93" cm="1">
        <f t="array" ref="DC500">SUMPRODUCT(TRANSPOSE(DC$4:DC$20),$G500:$W500)</f>
        <v>0</v>
      </c>
      <c r="DD500" s="93" cm="1">
        <f t="array" ref="DD500">SUMPRODUCT(TRANSPOSE(DD$4:DD$20),$G500:$W500)</f>
        <v>0</v>
      </c>
      <c r="DE500" s="93" cm="1">
        <f t="array" ref="DE500">SUMPRODUCT(TRANSPOSE(DE$4:DE$20),$G500:$W500)</f>
        <v>0</v>
      </c>
      <c r="DF500" s="93" cm="1">
        <f t="array" ref="DF500">SUMPRODUCT(TRANSPOSE(DF$4:DF$20),$G500:$W500)</f>
        <v>0</v>
      </c>
      <c r="DG500" s="93" cm="1">
        <f t="array" ref="DG500">SUMPRODUCT(TRANSPOSE(DG$4:DG$20),$G500:$W500)</f>
        <v>0</v>
      </c>
      <c r="DH500" s="93" cm="1">
        <f t="array" ref="DH500">SUMPRODUCT(TRANSPOSE(DH$4:DH$20),$G500:$W500)</f>
        <v>0</v>
      </c>
      <c r="DI500" s="93" cm="1">
        <f t="array" ref="DI500">SUMPRODUCT(TRANSPOSE(DI$4:DI$20),$G500:$W500)</f>
        <v>0</v>
      </c>
      <c r="DJ500" s="93" cm="1">
        <f t="array" ref="DJ500">SUMPRODUCT(TRANSPOSE(DJ$4:DJ$20),$G500:$W500)</f>
        <v>0</v>
      </c>
      <c r="DK500" s="93" cm="1">
        <f t="array" ref="DK500">SUMPRODUCT(TRANSPOSE(DK$4:DK$20),$G500:$W500)</f>
        <v>0</v>
      </c>
      <c r="DL500" s="93" cm="1">
        <f t="array" ref="DL500">SUMPRODUCT(TRANSPOSE(DL$4:DL$20),$G500:$W500)</f>
        <v>0</v>
      </c>
      <c r="DM500" s="93" cm="1">
        <f t="array" ref="DM500">SUMPRODUCT(TRANSPOSE(DM$4:DM$20),$G500:$W500)</f>
        <v>0</v>
      </c>
      <c r="DN500" s="93" cm="1">
        <f t="array" ref="DN500">SUMPRODUCT(TRANSPOSE(DN$4:DN$20),$G500:$W500)</f>
        <v>0</v>
      </c>
      <c r="DO500" s="93" cm="1">
        <f t="array" ref="DO500">SUMPRODUCT(TRANSPOSE(DO$4:DO$20),$G500:$W500)</f>
        <v>0</v>
      </c>
    </row>
    <row r="501" spans="1:119" x14ac:dyDescent="0.2">
      <c r="A501" s="45">
        <f t="shared" si="33"/>
        <v>480</v>
      </c>
      <c r="B501" s="45" t="s">
        <v>1033</v>
      </c>
      <c r="C501" s="45">
        <v>510354467</v>
      </c>
      <c r="D501" s="45" t="s">
        <v>1031</v>
      </c>
      <c r="E501" s="45" t="s">
        <v>162</v>
      </c>
      <c r="F501" s="45"/>
      <c r="G501" s="100">
        <v>0</v>
      </c>
      <c r="H501" s="100">
        <v>0</v>
      </c>
      <c r="I501" s="100">
        <v>0</v>
      </c>
      <c r="J501" s="100">
        <v>0</v>
      </c>
      <c r="K501" s="100">
        <v>0</v>
      </c>
      <c r="L501" s="100">
        <v>0</v>
      </c>
      <c r="M501" s="100">
        <v>0</v>
      </c>
      <c r="N501" s="100">
        <v>0</v>
      </c>
      <c r="O501" s="100">
        <v>0</v>
      </c>
      <c r="P501" s="100">
        <v>0</v>
      </c>
      <c r="Q501" s="100">
        <v>0</v>
      </c>
      <c r="R501" s="100">
        <v>0</v>
      </c>
      <c r="S501" s="100">
        <v>0</v>
      </c>
      <c r="T501" s="100">
        <v>0</v>
      </c>
      <c r="U501" s="100">
        <v>0</v>
      </c>
      <c r="V501" s="100">
        <v>0</v>
      </c>
      <c r="W501" s="100">
        <v>192</v>
      </c>
      <c r="X501" s="76" t="s">
        <v>24</v>
      </c>
      <c r="Y501" s="49">
        <v>0.22900000000000001</v>
      </c>
      <c r="Z501" s="45">
        <v>44241</v>
      </c>
      <c r="AA501" s="45">
        <v>0</v>
      </c>
      <c r="AB501" s="45">
        <v>0</v>
      </c>
      <c r="AC501" s="45">
        <v>0</v>
      </c>
      <c r="AD501" s="45">
        <v>0</v>
      </c>
      <c r="AE501" s="45">
        <v>0</v>
      </c>
      <c r="AF501" s="45">
        <v>0</v>
      </c>
      <c r="AG501" s="45">
        <v>0</v>
      </c>
      <c r="AH501" s="45">
        <v>0</v>
      </c>
      <c r="AI501" s="45">
        <v>0</v>
      </c>
      <c r="AJ501" s="45">
        <v>0</v>
      </c>
      <c r="AK501" s="45">
        <v>0</v>
      </c>
      <c r="AL501" s="45">
        <v>0</v>
      </c>
      <c r="AM501" s="45">
        <v>0</v>
      </c>
      <c r="AN501" s="45">
        <v>0</v>
      </c>
      <c r="AO501" s="45"/>
      <c r="AP501" s="45"/>
      <c r="AQ501" s="45"/>
      <c r="AR501" s="45"/>
      <c r="AS501" s="45"/>
      <c r="AT501" s="45"/>
      <c r="AU501" s="45"/>
      <c r="AV501" s="45"/>
      <c r="AW501" s="45"/>
      <c r="AX501" s="45"/>
      <c r="AY501" s="45"/>
      <c r="AZ501" s="45"/>
      <c r="BA501" s="45"/>
      <c r="BB501" s="45"/>
      <c r="BC501" s="45"/>
      <c r="BD501" s="93"/>
      <c r="BE501" s="93"/>
      <c r="BF501" s="93"/>
      <c r="BG501" s="93"/>
      <c r="BH501" s="93"/>
      <c r="BI501" s="93"/>
      <c r="BJ501" s="93"/>
      <c r="BK501" s="93">
        <f>SUM($Z501:AD501)-SUM($CM501:CQ501)</f>
        <v>41169</v>
      </c>
      <c r="BL501" s="93">
        <f>SUM($Z501:AE501)-SUM($CM501:CR501)</f>
        <v>38097</v>
      </c>
      <c r="BM501" s="93">
        <f>SUM($Z501:AF501)-SUM($CM501:CS501)</f>
        <v>35025</v>
      </c>
      <c r="BN501" s="93">
        <f>SUM($Z501:AG501)-SUM($CM501:CT501)</f>
        <v>31953</v>
      </c>
      <c r="BO501" s="93">
        <f>SUM($Z501:AH501)-SUM($CM501:CU501)</f>
        <v>28881</v>
      </c>
      <c r="BP501" s="93">
        <f>SUM($Z501:AI501)-SUM($CM501:CV501)</f>
        <v>25809</v>
      </c>
      <c r="BQ501" s="93">
        <f>SUM($Z501:AJ501)-SUM($CM501:CW501)</f>
        <v>22737</v>
      </c>
      <c r="BR501" s="93">
        <f>SUM($Z501:AK501)-SUM($CM501:CX501)</f>
        <v>19665</v>
      </c>
      <c r="BS501" s="93">
        <f>SUM($Z501:AL501)-SUM($CM501:CY501)</f>
        <v>19665</v>
      </c>
      <c r="BT501" s="93">
        <f>SUM($Z501:AM501)-SUM($CM501:CZ501)</f>
        <v>19665</v>
      </c>
      <c r="BU501" s="93">
        <f>SUM($Z501:AN501)-SUM($CM501:DA501)</f>
        <v>19665</v>
      </c>
      <c r="BV501" s="93">
        <f>SUM($Z501:AO501)-SUM($CM501:DB501)</f>
        <v>19665</v>
      </c>
      <c r="BW501" s="93">
        <f>SUM($Z501:AP501)-SUM($CM501:DC501)</f>
        <v>19665</v>
      </c>
      <c r="BX501" s="93">
        <f>SUM($Z501:AQ501)-SUM($CM501:DD501)</f>
        <v>19665</v>
      </c>
      <c r="BY501" s="93">
        <f>SUM($Z501:AR501)-SUM($CM501:DE501)</f>
        <v>19665</v>
      </c>
      <c r="BZ501" s="93">
        <f>SUM($Z501:AS501)-SUM($CM501:DF501)</f>
        <v>19665</v>
      </c>
      <c r="CA501" s="93">
        <f>SUM($Z501:AT501)-SUM($CM501:DG501)</f>
        <v>19665</v>
      </c>
      <c r="CB501" s="93">
        <f>SUM($Z501:AU501)-SUM($CM501:DH501)</f>
        <v>19665</v>
      </c>
      <c r="CC501" s="93">
        <f>SUM($Z501:AV501)-SUM($CM501:DI501)</f>
        <v>19665</v>
      </c>
      <c r="CD501" s="93">
        <f>SUM($Z501:AW501)-SUM($CM501:DJ501)</f>
        <v>19665</v>
      </c>
      <c r="CE501" s="93">
        <f>SUM($Z501:AX501)-SUM($CM501:DK501)</f>
        <v>19665</v>
      </c>
      <c r="CF501" s="93">
        <f>SUM($Z501:AY501)-SUM($CM501:DL501)</f>
        <v>19665</v>
      </c>
      <c r="CG501" s="93">
        <f>SUM($Z501:AZ501)-SUM($CM501:DM501)</f>
        <v>19665</v>
      </c>
      <c r="CH501" s="93">
        <f>SUM($Z501:BA501)-SUM($CM501:DN501)</f>
        <v>19665</v>
      </c>
      <c r="CI501" s="93">
        <f>SUM($Z501:BB501)-SUM($CM501:DO501)</f>
        <v>19665</v>
      </c>
      <c r="CJ501" s="93"/>
      <c r="CK501" s="93"/>
      <c r="CL501" s="93"/>
      <c r="CM501" s="93"/>
      <c r="CN501" s="93" cm="1">
        <f t="array" ref="CN501">SUMPRODUCT(TRANSPOSE(CN$4:CN$20),$G501:$W501)</f>
        <v>0</v>
      </c>
      <c r="CO501" s="93" cm="1">
        <f t="array" ref="CO501">SUMPRODUCT(TRANSPOSE(CO$4:CO$20),$G501:$W501)</f>
        <v>0</v>
      </c>
      <c r="CP501" s="93" cm="1">
        <f t="array" ref="CP501">SUMPRODUCT(TRANSPOSE(CP$4:CP$20),$G501:$W501)</f>
        <v>0</v>
      </c>
      <c r="CQ501" s="93" cm="1">
        <f t="array" ref="CQ501">SUMPRODUCT(TRANSPOSE(CQ$4:CQ$20),$G501:$W501)</f>
        <v>3072</v>
      </c>
      <c r="CR501" s="93" cm="1">
        <f t="array" ref="CR501">SUMPRODUCT(TRANSPOSE(CR$4:CR$20),$G501:$W501)</f>
        <v>3072</v>
      </c>
      <c r="CS501" s="93" cm="1">
        <f t="array" ref="CS501">SUMPRODUCT(TRANSPOSE(CS$4:CS$20),$G501:$W501)</f>
        <v>3072</v>
      </c>
      <c r="CT501" s="93" cm="1">
        <f t="array" ref="CT501">SUMPRODUCT(TRANSPOSE(CT$4:CT$20),$G501:$W501)</f>
        <v>3072</v>
      </c>
      <c r="CU501" s="93" cm="1">
        <f t="array" ref="CU501">SUMPRODUCT(TRANSPOSE(CU$4:CU$20),$G501:$W501)</f>
        <v>3072</v>
      </c>
      <c r="CV501" s="93" cm="1">
        <f t="array" ref="CV501">SUMPRODUCT(TRANSPOSE(CV$4:CV$20),$G501:$W501)</f>
        <v>3072</v>
      </c>
      <c r="CW501" s="93" cm="1">
        <f t="array" ref="CW501">SUMPRODUCT(TRANSPOSE(CW$4:CW$20),$G501:$W501)</f>
        <v>3072</v>
      </c>
      <c r="CX501" s="93" cm="1">
        <f t="array" ref="CX501">SUMPRODUCT(TRANSPOSE(CX$4:CX$20),$G501:$W501)</f>
        <v>3072</v>
      </c>
      <c r="CY501" s="93" cm="1">
        <f t="array" ref="CY501">SUMPRODUCT(TRANSPOSE(CY$4:CY$20),$G501:$W501)</f>
        <v>0</v>
      </c>
      <c r="CZ501" s="93" cm="1">
        <f t="array" ref="CZ501">SUMPRODUCT(TRANSPOSE(CZ$4:CZ$20),$G501:$W501)</f>
        <v>0</v>
      </c>
      <c r="DA501" s="93" cm="1">
        <f t="array" ref="DA501">SUMPRODUCT(TRANSPOSE(DA$4:DA$20),$G501:$W501)</f>
        <v>0</v>
      </c>
      <c r="DB501" s="93" cm="1">
        <f t="array" ref="DB501">SUMPRODUCT(TRANSPOSE(DB$4:DB$20),$G501:$W501)</f>
        <v>0</v>
      </c>
      <c r="DC501" s="93" cm="1">
        <f t="array" ref="DC501">SUMPRODUCT(TRANSPOSE(DC$4:DC$20),$G501:$W501)</f>
        <v>0</v>
      </c>
      <c r="DD501" s="93" cm="1">
        <f t="array" ref="DD501">SUMPRODUCT(TRANSPOSE(DD$4:DD$20),$G501:$W501)</f>
        <v>0</v>
      </c>
      <c r="DE501" s="93" cm="1">
        <f t="array" ref="DE501">SUMPRODUCT(TRANSPOSE(DE$4:DE$20),$G501:$W501)</f>
        <v>0</v>
      </c>
      <c r="DF501" s="93" cm="1">
        <f t="array" ref="DF501">SUMPRODUCT(TRANSPOSE(DF$4:DF$20),$G501:$W501)</f>
        <v>0</v>
      </c>
      <c r="DG501" s="93" cm="1">
        <f t="array" ref="DG501">SUMPRODUCT(TRANSPOSE(DG$4:DG$20),$G501:$W501)</f>
        <v>0</v>
      </c>
      <c r="DH501" s="93" cm="1">
        <f t="array" ref="DH501">SUMPRODUCT(TRANSPOSE(DH$4:DH$20),$G501:$W501)</f>
        <v>0</v>
      </c>
      <c r="DI501" s="93" cm="1">
        <f t="array" ref="DI501">SUMPRODUCT(TRANSPOSE(DI$4:DI$20),$G501:$W501)</f>
        <v>0</v>
      </c>
      <c r="DJ501" s="93" cm="1">
        <f t="array" ref="DJ501">SUMPRODUCT(TRANSPOSE(DJ$4:DJ$20),$G501:$W501)</f>
        <v>0</v>
      </c>
      <c r="DK501" s="93" cm="1">
        <f t="array" ref="DK501">SUMPRODUCT(TRANSPOSE(DK$4:DK$20),$G501:$W501)</f>
        <v>0</v>
      </c>
      <c r="DL501" s="93" cm="1">
        <f t="array" ref="DL501">SUMPRODUCT(TRANSPOSE(DL$4:DL$20),$G501:$W501)</f>
        <v>0</v>
      </c>
      <c r="DM501" s="93" cm="1">
        <f t="array" ref="DM501">SUMPRODUCT(TRANSPOSE(DM$4:DM$20),$G501:$W501)</f>
        <v>0</v>
      </c>
      <c r="DN501" s="93" cm="1">
        <f t="array" ref="DN501">SUMPRODUCT(TRANSPOSE(DN$4:DN$20),$G501:$W501)</f>
        <v>0</v>
      </c>
      <c r="DO501" s="93" cm="1">
        <f t="array" ref="DO501">SUMPRODUCT(TRANSPOSE(DO$4:DO$20),$G501:$W501)</f>
        <v>0</v>
      </c>
    </row>
    <row r="502" spans="1:119" x14ac:dyDescent="0.2">
      <c r="A502" s="45">
        <f t="shared" si="33"/>
        <v>481</v>
      </c>
      <c r="B502" s="45" t="s">
        <v>1034</v>
      </c>
      <c r="C502" s="45">
        <v>510479249</v>
      </c>
      <c r="D502" s="45" t="s">
        <v>1031</v>
      </c>
      <c r="E502" s="45" t="s">
        <v>162</v>
      </c>
      <c r="F502" s="45"/>
      <c r="G502" s="100">
        <v>0</v>
      </c>
      <c r="H502" s="100">
        <v>0</v>
      </c>
      <c r="I502" s="100">
        <v>0</v>
      </c>
      <c r="J502" s="100">
        <v>0</v>
      </c>
      <c r="K502" s="100">
        <v>0</v>
      </c>
      <c r="L502" s="100">
        <v>0</v>
      </c>
      <c r="M502" s="100">
        <v>0</v>
      </c>
      <c r="N502" s="100">
        <v>0</v>
      </c>
      <c r="O502" s="100">
        <v>0</v>
      </c>
      <c r="P502" s="100">
        <v>0</v>
      </c>
      <c r="Q502" s="100">
        <v>0</v>
      </c>
      <c r="R502" s="100">
        <v>0</v>
      </c>
      <c r="S502" s="100">
        <v>0</v>
      </c>
      <c r="T502" s="100">
        <v>0</v>
      </c>
      <c r="U502" s="100">
        <v>0</v>
      </c>
      <c r="V502" s="100">
        <v>0</v>
      </c>
      <c r="W502" s="100">
        <v>68</v>
      </c>
      <c r="X502" s="45" t="s">
        <v>24</v>
      </c>
      <c r="Y502" s="53">
        <v>0.23400000000000001</v>
      </c>
      <c r="Z502" s="45">
        <v>15708</v>
      </c>
      <c r="AA502" s="45">
        <v>0</v>
      </c>
      <c r="AB502" s="45">
        <v>0</v>
      </c>
      <c r="AC502" s="45">
        <v>0</v>
      </c>
      <c r="AD502" s="45">
        <v>0</v>
      </c>
      <c r="AE502" s="45">
        <v>0</v>
      </c>
      <c r="AF502" s="45">
        <v>0</v>
      </c>
      <c r="AG502" s="45">
        <v>0</v>
      </c>
      <c r="AH502" s="45">
        <v>0</v>
      </c>
      <c r="AI502" s="45">
        <v>0</v>
      </c>
      <c r="AJ502" s="45">
        <v>0</v>
      </c>
      <c r="AK502" s="45">
        <v>0</v>
      </c>
      <c r="AL502" s="45">
        <v>0</v>
      </c>
      <c r="AM502" s="45">
        <v>0</v>
      </c>
      <c r="AN502" s="45">
        <v>0</v>
      </c>
      <c r="AO502" s="45"/>
      <c r="AP502" s="45"/>
      <c r="AQ502" s="45"/>
      <c r="AR502" s="45"/>
      <c r="AS502" s="45"/>
      <c r="AT502" s="45"/>
      <c r="AU502" s="45"/>
      <c r="AV502" s="45"/>
      <c r="AW502" s="45"/>
      <c r="AX502" s="45"/>
      <c r="AY502" s="45"/>
      <c r="AZ502" s="45"/>
      <c r="BA502" s="45"/>
      <c r="BB502" s="45"/>
      <c r="BC502" s="45"/>
      <c r="BD502" s="93"/>
      <c r="BE502" s="93"/>
      <c r="BF502" s="93"/>
      <c r="BG502" s="93"/>
      <c r="BH502" s="93"/>
      <c r="BI502" s="93"/>
      <c r="BJ502" s="93"/>
      <c r="BK502" s="93">
        <f>SUM($Z502:AD502)-SUM($CM502:CQ502)</f>
        <v>14620</v>
      </c>
      <c r="BL502" s="93">
        <f>SUM($Z502:AE502)-SUM($CM502:CR502)</f>
        <v>13532</v>
      </c>
      <c r="BM502" s="93">
        <f>SUM($Z502:AF502)-SUM($CM502:CS502)</f>
        <v>12444</v>
      </c>
      <c r="BN502" s="93">
        <f>SUM($Z502:AG502)-SUM($CM502:CT502)</f>
        <v>11356</v>
      </c>
      <c r="BO502" s="93">
        <f>SUM($Z502:AH502)-SUM($CM502:CU502)</f>
        <v>10268</v>
      </c>
      <c r="BP502" s="93">
        <f>SUM($Z502:AI502)-SUM($CM502:CV502)</f>
        <v>9180</v>
      </c>
      <c r="BQ502" s="93">
        <f>SUM($Z502:AJ502)-SUM($CM502:CW502)</f>
        <v>8092</v>
      </c>
      <c r="BR502" s="93">
        <f>SUM($Z502:AK502)-SUM($CM502:CX502)</f>
        <v>7004</v>
      </c>
      <c r="BS502" s="93">
        <f>SUM($Z502:AL502)-SUM($CM502:CY502)</f>
        <v>7004</v>
      </c>
      <c r="BT502" s="93">
        <f>SUM($Z502:AM502)-SUM($CM502:CZ502)</f>
        <v>7004</v>
      </c>
      <c r="BU502" s="93">
        <f>SUM($Z502:AN502)-SUM($CM502:DA502)</f>
        <v>7004</v>
      </c>
      <c r="BV502" s="93">
        <f>SUM($Z502:AO502)-SUM($CM502:DB502)</f>
        <v>7004</v>
      </c>
      <c r="BW502" s="93">
        <f>SUM($Z502:AP502)-SUM($CM502:DC502)</f>
        <v>7004</v>
      </c>
      <c r="BX502" s="93">
        <f>SUM($Z502:AQ502)-SUM($CM502:DD502)</f>
        <v>7004</v>
      </c>
      <c r="BY502" s="93">
        <f>SUM($Z502:AR502)-SUM($CM502:DE502)</f>
        <v>7004</v>
      </c>
      <c r="BZ502" s="93">
        <f>SUM($Z502:AS502)-SUM($CM502:DF502)</f>
        <v>7004</v>
      </c>
      <c r="CA502" s="93">
        <f>SUM($Z502:AT502)-SUM($CM502:DG502)</f>
        <v>7004</v>
      </c>
      <c r="CB502" s="93">
        <f>SUM($Z502:AU502)-SUM($CM502:DH502)</f>
        <v>7004</v>
      </c>
      <c r="CC502" s="93">
        <f>SUM($Z502:AV502)-SUM($CM502:DI502)</f>
        <v>7004</v>
      </c>
      <c r="CD502" s="93">
        <f>SUM($Z502:AW502)-SUM($CM502:DJ502)</f>
        <v>7004</v>
      </c>
      <c r="CE502" s="93">
        <f>SUM($Z502:AX502)-SUM($CM502:DK502)</f>
        <v>7004</v>
      </c>
      <c r="CF502" s="93">
        <f>SUM($Z502:AY502)-SUM($CM502:DL502)</f>
        <v>7004</v>
      </c>
      <c r="CG502" s="93">
        <f>SUM($Z502:AZ502)-SUM($CM502:DM502)</f>
        <v>7004</v>
      </c>
      <c r="CH502" s="93">
        <f>SUM($Z502:BA502)-SUM($CM502:DN502)</f>
        <v>7004</v>
      </c>
      <c r="CI502" s="93">
        <f>SUM($Z502:BB502)-SUM($CM502:DO502)</f>
        <v>7004</v>
      </c>
      <c r="CJ502" s="93"/>
      <c r="CK502" s="93"/>
      <c r="CL502" s="93"/>
      <c r="CM502" s="93"/>
      <c r="CN502" s="93" cm="1">
        <f t="array" ref="CN502">SUMPRODUCT(TRANSPOSE(CN$4:CN$20),$G502:$W502)</f>
        <v>0</v>
      </c>
      <c r="CO502" s="93" cm="1">
        <f t="array" ref="CO502">SUMPRODUCT(TRANSPOSE(CO$4:CO$20),$G502:$W502)</f>
        <v>0</v>
      </c>
      <c r="CP502" s="93" cm="1">
        <f t="array" ref="CP502">SUMPRODUCT(TRANSPOSE(CP$4:CP$20),$G502:$W502)</f>
        <v>0</v>
      </c>
      <c r="CQ502" s="93" cm="1">
        <f t="array" ref="CQ502">SUMPRODUCT(TRANSPOSE(CQ$4:CQ$20),$G502:$W502)</f>
        <v>1088</v>
      </c>
      <c r="CR502" s="93" cm="1">
        <f t="array" ref="CR502">SUMPRODUCT(TRANSPOSE(CR$4:CR$20),$G502:$W502)</f>
        <v>1088</v>
      </c>
      <c r="CS502" s="93" cm="1">
        <f t="array" ref="CS502">SUMPRODUCT(TRANSPOSE(CS$4:CS$20),$G502:$W502)</f>
        <v>1088</v>
      </c>
      <c r="CT502" s="93" cm="1">
        <f t="array" ref="CT502">SUMPRODUCT(TRANSPOSE(CT$4:CT$20),$G502:$W502)</f>
        <v>1088</v>
      </c>
      <c r="CU502" s="93" cm="1">
        <f t="array" ref="CU502">SUMPRODUCT(TRANSPOSE(CU$4:CU$20),$G502:$W502)</f>
        <v>1088</v>
      </c>
      <c r="CV502" s="93" cm="1">
        <f t="array" ref="CV502">SUMPRODUCT(TRANSPOSE(CV$4:CV$20),$G502:$W502)</f>
        <v>1088</v>
      </c>
      <c r="CW502" s="93" cm="1">
        <f t="array" ref="CW502">SUMPRODUCT(TRANSPOSE(CW$4:CW$20),$G502:$W502)</f>
        <v>1088</v>
      </c>
      <c r="CX502" s="93" cm="1">
        <f t="array" ref="CX502">SUMPRODUCT(TRANSPOSE(CX$4:CX$20),$G502:$W502)</f>
        <v>1088</v>
      </c>
      <c r="CY502" s="93" cm="1">
        <f t="array" ref="CY502">SUMPRODUCT(TRANSPOSE(CY$4:CY$20),$G502:$W502)</f>
        <v>0</v>
      </c>
      <c r="CZ502" s="93" cm="1">
        <f t="array" ref="CZ502">SUMPRODUCT(TRANSPOSE(CZ$4:CZ$20),$G502:$W502)</f>
        <v>0</v>
      </c>
      <c r="DA502" s="93" cm="1">
        <f t="array" ref="DA502">SUMPRODUCT(TRANSPOSE(DA$4:DA$20),$G502:$W502)</f>
        <v>0</v>
      </c>
      <c r="DB502" s="93" cm="1">
        <f t="array" ref="DB502">SUMPRODUCT(TRANSPOSE(DB$4:DB$20),$G502:$W502)</f>
        <v>0</v>
      </c>
      <c r="DC502" s="93" cm="1">
        <f t="array" ref="DC502">SUMPRODUCT(TRANSPOSE(DC$4:DC$20),$G502:$W502)</f>
        <v>0</v>
      </c>
      <c r="DD502" s="93" cm="1">
        <f t="array" ref="DD502">SUMPRODUCT(TRANSPOSE(DD$4:DD$20),$G502:$W502)</f>
        <v>0</v>
      </c>
      <c r="DE502" s="93" cm="1">
        <f t="array" ref="DE502">SUMPRODUCT(TRANSPOSE(DE$4:DE$20),$G502:$W502)</f>
        <v>0</v>
      </c>
      <c r="DF502" s="93" cm="1">
        <f t="array" ref="DF502">SUMPRODUCT(TRANSPOSE(DF$4:DF$20),$G502:$W502)</f>
        <v>0</v>
      </c>
      <c r="DG502" s="93" cm="1">
        <f t="array" ref="DG502">SUMPRODUCT(TRANSPOSE(DG$4:DG$20),$G502:$W502)</f>
        <v>0</v>
      </c>
      <c r="DH502" s="93" cm="1">
        <f t="array" ref="DH502">SUMPRODUCT(TRANSPOSE(DH$4:DH$20),$G502:$W502)</f>
        <v>0</v>
      </c>
      <c r="DI502" s="93" cm="1">
        <f t="array" ref="DI502">SUMPRODUCT(TRANSPOSE(DI$4:DI$20),$G502:$W502)</f>
        <v>0</v>
      </c>
      <c r="DJ502" s="93" cm="1">
        <f t="array" ref="DJ502">SUMPRODUCT(TRANSPOSE(DJ$4:DJ$20),$G502:$W502)</f>
        <v>0</v>
      </c>
      <c r="DK502" s="93" cm="1">
        <f t="array" ref="DK502">SUMPRODUCT(TRANSPOSE(DK$4:DK$20),$G502:$W502)</f>
        <v>0</v>
      </c>
      <c r="DL502" s="93" cm="1">
        <f t="array" ref="DL502">SUMPRODUCT(TRANSPOSE(DL$4:DL$20),$G502:$W502)</f>
        <v>0</v>
      </c>
      <c r="DM502" s="93" cm="1">
        <f t="array" ref="DM502">SUMPRODUCT(TRANSPOSE(DM$4:DM$20),$G502:$W502)</f>
        <v>0</v>
      </c>
      <c r="DN502" s="93" cm="1">
        <f t="array" ref="DN502">SUMPRODUCT(TRANSPOSE(DN$4:DN$20),$G502:$W502)</f>
        <v>0</v>
      </c>
      <c r="DO502" s="93" cm="1">
        <f t="array" ref="DO502">SUMPRODUCT(TRANSPOSE(DO$4:DO$20),$G502:$W502)</f>
        <v>0</v>
      </c>
    </row>
    <row r="503" spans="1:119" x14ac:dyDescent="0.2">
      <c r="A503" s="45">
        <f t="shared" si="33"/>
        <v>482</v>
      </c>
      <c r="B503" s="45" t="s">
        <v>1035</v>
      </c>
      <c r="C503" s="45">
        <v>544171432</v>
      </c>
      <c r="D503" s="45" t="s">
        <v>1031</v>
      </c>
      <c r="E503" s="45" t="s">
        <v>162</v>
      </c>
      <c r="F503" s="45"/>
      <c r="G503" s="100">
        <v>0</v>
      </c>
      <c r="H503" s="100">
        <v>0</v>
      </c>
      <c r="I503" s="100">
        <v>0</v>
      </c>
      <c r="J503" s="100">
        <v>0</v>
      </c>
      <c r="K503" s="100">
        <v>0</v>
      </c>
      <c r="L503" s="100">
        <v>0</v>
      </c>
      <c r="M503" s="100">
        <v>0</v>
      </c>
      <c r="N503" s="100">
        <v>0</v>
      </c>
      <c r="O503" s="100">
        <v>0</v>
      </c>
      <c r="P503" s="100">
        <v>0</v>
      </c>
      <c r="Q503" s="100">
        <v>0</v>
      </c>
      <c r="R503" s="100">
        <v>0</v>
      </c>
      <c r="S503" s="100">
        <v>0</v>
      </c>
      <c r="T503" s="100">
        <v>0</v>
      </c>
      <c r="U503" s="100">
        <v>0</v>
      </c>
      <c r="V503" s="100">
        <v>0</v>
      </c>
      <c r="W503" s="100">
        <v>2</v>
      </c>
      <c r="X503" s="76" t="s">
        <v>24</v>
      </c>
      <c r="Y503" s="49">
        <v>0.28999999999999998</v>
      </c>
      <c r="Z503" s="45">
        <v>500</v>
      </c>
      <c r="AA503" s="45">
        <v>0</v>
      </c>
      <c r="AB503" s="45">
        <v>0</v>
      </c>
      <c r="AC503" s="45">
        <v>0</v>
      </c>
      <c r="AD503" s="45">
        <v>0</v>
      </c>
      <c r="AE503" s="45">
        <v>0</v>
      </c>
      <c r="AF503" s="45">
        <v>0</v>
      </c>
      <c r="AG503" s="45">
        <v>0</v>
      </c>
      <c r="AH503" s="45">
        <v>0</v>
      </c>
      <c r="AI503" s="45">
        <v>0</v>
      </c>
      <c r="AJ503" s="45">
        <v>0</v>
      </c>
      <c r="AK503" s="45">
        <v>0</v>
      </c>
      <c r="AL503" s="45">
        <v>0</v>
      </c>
      <c r="AM503" s="45">
        <v>0</v>
      </c>
      <c r="AN503" s="45">
        <v>0</v>
      </c>
      <c r="AO503" s="45"/>
      <c r="AP503" s="45"/>
      <c r="AQ503" s="45"/>
      <c r="AR503" s="45"/>
      <c r="AS503" s="45"/>
      <c r="AT503" s="45"/>
      <c r="AU503" s="45"/>
      <c r="AV503" s="45"/>
      <c r="AW503" s="45"/>
      <c r="AX503" s="45"/>
      <c r="AY503" s="45"/>
      <c r="AZ503" s="45"/>
      <c r="BA503" s="45"/>
      <c r="BB503" s="45"/>
      <c r="BC503" s="45"/>
      <c r="BD503" s="93"/>
      <c r="BE503" s="93"/>
      <c r="BF503" s="93"/>
      <c r="BG503" s="93"/>
      <c r="BH503" s="93"/>
      <c r="BI503" s="93"/>
      <c r="BJ503" s="93"/>
      <c r="BK503" s="93">
        <f>SUM($Z503:AD503)-SUM($CM503:CQ503)</f>
        <v>468</v>
      </c>
      <c r="BL503" s="93">
        <f>SUM($Z503:AE503)-SUM($CM503:CR503)</f>
        <v>436</v>
      </c>
      <c r="BM503" s="93">
        <f>SUM($Z503:AF503)-SUM($CM503:CS503)</f>
        <v>404</v>
      </c>
      <c r="BN503" s="93">
        <f>SUM($Z503:AG503)-SUM($CM503:CT503)</f>
        <v>372</v>
      </c>
      <c r="BO503" s="93">
        <f>SUM($Z503:AH503)-SUM($CM503:CU503)</f>
        <v>340</v>
      </c>
      <c r="BP503" s="93">
        <f>SUM($Z503:AI503)-SUM($CM503:CV503)</f>
        <v>308</v>
      </c>
      <c r="BQ503" s="93">
        <f>SUM($Z503:AJ503)-SUM($CM503:CW503)</f>
        <v>276</v>
      </c>
      <c r="BR503" s="93">
        <f>SUM($Z503:AK503)-SUM($CM503:CX503)</f>
        <v>244</v>
      </c>
      <c r="BS503" s="93">
        <f>SUM($Z503:AL503)-SUM($CM503:CY503)</f>
        <v>244</v>
      </c>
      <c r="BT503" s="93">
        <f>SUM($Z503:AM503)-SUM($CM503:CZ503)</f>
        <v>244</v>
      </c>
      <c r="BU503" s="93">
        <f>SUM($Z503:AN503)-SUM($CM503:DA503)</f>
        <v>244</v>
      </c>
      <c r="BV503" s="93">
        <f>SUM($Z503:AO503)-SUM($CM503:DB503)</f>
        <v>244</v>
      </c>
      <c r="BW503" s="93">
        <f>SUM($Z503:AP503)-SUM($CM503:DC503)</f>
        <v>244</v>
      </c>
      <c r="BX503" s="93">
        <f>SUM($Z503:AQ503)-SUM($CM503:DD503)</f>
        <v>244</v>
      </c>
      <c r="BY503" s="93">
        <f>SUM($Z503:AR503)-SUM($CM503:DE503)</f>
        <v>244</v>
      </c>
      <c r="BZ503" s="93">
        <f>SUM($Z503:AS503)-SUM($CM503:DF503)</f>
        <v>244</v>
      </c>
      <c r="CA503" s="93">
        <f>SUM($Z503:AT503)-SUM($CM503:DG503)</f>
        <v>244</v>
      </c>
      <c r="CB503" s="93">
        <f>SUM($Z503:AU503)-SUM($CM503:DH503)</f>
        <v>244</v>
      </c>
      <c r="CC503" s="93">
        <f>SUM($Z503:AV503)-SUM($CM503:DI503)</f>
        <v>244</v>
      </c>
      <c r="CD503" s="93">
        <f>SUM($Z503:AW503)-SUM($CM503:DJ503)</f>
        <v>244</v>
      </c>
      <c r="CE503" s="93">
        <f>SUM($Z503:AX503)-SUM($CM503:DK503)</f>
        <v>244</v>
      </c>
      <c r="CF503" s="93">
        <f>SUM($Z503:AY503)-SUM($CM503:DL503)</f>
        <v>244</v>
      </c>
      <c r="CG503" s="93">
        <f>SUM($Z503:AZ503)-SUM($CM503:DM503)</f>
        <v>244</v>
      </c>
      <c r="CH503" s="93">
        <f>SUM($Z503:BA503)-SUM($CM503:DN503)</f>
        <v>244</v>
      </c>
      <c r="CI503" s="93">
        <f>SUM($Z503:BB503)-SUM($CM503:DO503)</f>
        <v>244</v>
      </c>
      <c r="CJ503" s="93"/>
      <c r="CK503" s="93"/>
      <c r="CL503" s="93"/>
      <c r="CM503" s="93"/>
      <c r="CN503" s="93" cm="1">
        <f t="array" ref="CN503">SUMPRODUCT(TRANSPOSE(CN$4:CN$20),$G503:$W503)</f>
        <v>0</v>
      </c>
      <c r="CO503" s="93" cm="1">
        <f t="array" ref="CO503">SUMPRODUCT(TRANSPOSE(CO$4:CO$20),$G503:$W503)</f>
        <v>0</v>
      </c>
      <c r="CP503" s="93" cm="1">
        <f t="array" ref="CP503">SUMPRODUCT(TRANSPOSE(CP$4:CP$20),$G503:$W503)</f>
        <v>0</v>
      </c>
      <c r="CQ503" s="93" cm="1">
        <f t="array" ref="CQ503">SUMPRODUCT(TRANSPOSE(CQ$4:CQ$20),$G503:$W503)</f>
        <v>32</v>
      </c>
      <c r="CR503" s="93" cm="1">
        <f t="array" ref="CR503">SUMPRODUCT(TRANSPOSE(CR$4:CR$20),$G503:$W503)</f>
        <v>32</v>
      </c>
      <c r="CS503" s="93" cm="1">
        <f t="array" ref="CS503">SUMPRODUCT(TRANSPOSE(CS$4:CS$20),$G503:$W503)</f>
        <v>32</v>
      </c>
      <c r="CT503" s="93" cm="1">
        <f t="array" ref="CT503">SUMPRODUCT(TRANSPOSE(CT$4:CT$20),$G503:$W503)</f>
        <v>32</v>
      </c>
      <c r="CU503" s="93" cm="1">
        <f t="array" ref="CU503">SUMPRODUCT(TRANSPOSE(CU$4:CU$20),$G503:$W503)</f>
        <v>32</v>
      </c>
      <c r="CV503" s="93" cm="1">
        <f t="array" ref="CV503">SUMPRODUCT(TRANSPOSE(CV$4:CV$20),$G503:$W503)</f>
        <v>32</v>
      </c>
      <c r="CW503" s="93" cm="1">
        <f t="array" ref="CW503">SUMPRODUCT(TRANSPOSE(CW$4:CW$20),$G503:$W503)</f>
        <v>32</v>
      </c>
      <c r="CX503" s="93" cm="1">
        <f t="array" ref="CX503">SUMPRODUCT(TRANSPOSE(CX$4:CX$20),$G503:$W503)</f>
        <v>32</v>
      </c>
      <c r="CY503" s="93" cm="1">
        <f t="array" ref="CY503">SUMPRODUCT(TRANSPOSE(CY$4:CY$20),$G503:$W503)</f>
        <v>0</v>
      </c>
      <c r="CZ503" s="93" cm="1">
        <f t="array" ref="CZ503">SUMPRODUCT(TRANSPOSE(CZ$4:CZ$20),$G503:$W503)</f>
        <v>0</v>
      </c>
      <c r="DA503" s="93" cm="1">
        <f t="array" ref="DA503">SUMPRODUCT(TRANSPOSE(DA$4:DA$20),$G503:$W503)</f>
        <v>0</v>
      </c>
      <c r="DB503" s="93" cm="1">
        <f t="array" ref="DB503">SUMPRODUCT(TRANSPOSE(DB$4:DB$20),$G503:$W503)</f>
        <v>0</v>
      </c>
      <c r="DC503" s="93" cm="1">
        <f t="array" ref="DC503">SUMPRODUCT(TRANSPOSE(DC$4:DC$20),$G503:$W503)</f>
        <v>0</v>
      </c>
      <c r="DD503" s="93" cm="1">
        <f t="array" ref="DD503">SUMPRODUCT(TRANSPOSE(DD$4:DD$20),$G503:$W503)</f>
        <v>0</v>
      </c>
      <c r="DE503" s="93" cm="1">
        <f t="array" ref="DE503">SUMPRODUCT(TRANSPOSE(DE$4:DE$20),$G503:$W503)</f>
        <v>0</v>
      </c>
      <c r="DF503" s="93" cm="1">
        <f t="array" ref="DF503">SUMPRODUCT(TRANSPOSE(DF$4:DF$20),$G503:$W503)</f>
        <v>0</v>
      </c>
      <c r="DG503" s="93" cm="1">
        <f t="array" ref="DG503">SUMPRODUCT(TRANSPOSE(DG$4:DG$20),$G503:$W503)</f>
        <v>0</v>
      </c>
      <c r="DH503" s="93" cm="1">
        <f t="array" ref="DH503">SUMPRODUCT(TRANSPOSE(DH$4:DH$20),$G503:$W503)</f>
        <v>0</v>
      </c>
      <c r="DI503" s="93" cm="1">
        <f t="array" ref="DI503">SUMPRODUCT(TRANSPOSE(DI$4:DI$20),$G503:$W503)</f>
        <v>0</v>
      </c>
      <c r="DJ503" s="93" cm="1">
        <f t="array" ref="DJ503">SUMPRODUCT(TRANSPOSE(DJ$4:DJ$20),$G503:$W503)</f>
        <v>0</v>
      </c>
      <c r="DK503" s="93" cm="1">
        <f t="array" ref="DK503">SUMPRODUCT(TRANSPOSE(DK$4:DK$20),$G503:$W503)</f>
        <v>0</v>
      </c>
      <c r="DL503" s="93" cm="1">
        <f t="array" ref="DL503">SUMPRODUCT(TRANSPOSE(DL$4:DL$20),$G503:$W503)</f>
        <v>0</v>
      </c>
      <c r="DM503" s="93" cm="1">
        <f t="array" ref="DM503">SUMPRODUCT(TRANSPOSE(DM$4:DM$20),$G503:$W503)</f>
        <v>0</v>
      </c>
      <c r="DN503" s="93" cm="1">
        <f t="array" ref="DN503">SUMPRODUCT(TRANSPOSE(DN$4:DN$20),$G503:$W503)</f>
        <v>0</v>
      </c>
      <c r="DO503" s="93" cm="1">
        <f t="array" ref="DO503">SUMPRODUCT(TRANSPOSE(DO$4:DO$20),$G503:$W503)</f>
        <v>0</v>
      </c>
    </row>
    <row r="504" spans="1:119" x14ac:dyDescent="0.2">
      <c r="A504" s="45">
        <f t="shared" si="33"/>
        <v>483</v>
      </c>
      <c r="B504" s="45" t="s">
        <v>1036</v>
      </c>
      <c r="C504" s="45">
        <v>544171853</v>
      </c>
      <c r="D504" s="45" t="s">
        <v>1031</v>
      </c>
      <c r="E504" s="45" t="s">
        <v>162</v>
      </c>
      <c r="F504" s="45"/>
      <c r="G504" s="100">
        <v>0</v>
      </c>
      <c r="H504" s="100">
        <v>0</v>
      </c>
      <c r="I504" s="100">
        <v>0</v>
      </c>
      <c r="J504" s="100">
        <v>0</v>
      </c>
      <c r="K504" s="100">
        <v>0</v>
      </c>
      <c r="L504" s="100">
        <v>0</v>
      </c>
      <c r="M504" s="100">
        <v>0</v>
      </c>
      <c r="N504" s="100">
        <v>0</v>
      </c>
      <c r="O504" s="100">
        <v>0</v>
      </c>
      <c r="P504" s="100">
        <v>0</v>
      </c>
      <c r="Q504" s="100">
        <v>0</v>
      </c>
      <c r="R504" s="100">
        <v>0</v>
      </c>
      <c r="S504" s="100">
        <v>0</v>
      </c>
      <c r="T504" s="100">
        <v>0</v>
      </c>
      <c r="U504" s="100">
        <v>0</v>
      </c>
      <c r="V504" s="100">
        <v>0</v>
      </c>
      <c r="W504" s="100">
        <v>3</v>
      </c>
      <c r="X504" s="45" t="s">
        <v>24</v>
      </c>
      <c r="Y504" s="53">
        <v>0.2</v>
      </c>
      <c r="Z504" s="45">
        <v>500</v>
      </c>
      <c r="AA504" s="45">
        <v>0</v>
      </c>
      <c r="AB504" s="45">
        <v>0</v>
      </c>
      <c r="AC504" s="45">
        <v>0</v>
      </c>
      <c r="AD504" s="45">
        <v>0</v>
      </c>
      <c r="AE504" s="45">
        <v>0</v>
      </c>
      <c r="AF504" s="45">
        <v>0</v>
      </c>
      <c r="AG504" s="45">
        <v>0</v>
      </c>
      <c r="AH504" s="45">
        <v>0</v>
      </c>
      <c r="AI504" s="45">
        <v>0</v>
      </c>
      <c r="AJ504" s="45">
        <v>0</v>
      </c>
      <c r="AK504" s="45">
        <v>0</v>
      </c>
      <c r="AL504" s="45">
        <v>0</v>
      </c>
      <c r="AM504" s="45">
        <v>0</v>
      </c>
      <c r="AN504" s="45">
        <v>0</v>
      </c>
      <c r="AO504" s="45"/>
      <c r="AP504" s="45"/>
      <c r="AQ504" s="45"/>
      <c r="AR504" s="45"/>
      <c r="AS504" s="45"/>
      <c r="AT504" s="45"/>
      <c r="AU504" s="45"/>
      <c r="AV504" s="45"/>
      <c r="AW504" s="45"/>
      <c r="AX504" s="45"/>
      <c r="AY504" s="45"/>
      <c r="AZ504" s="45"/>
      <c r="BA504" s="45"/>
      <c r="BB504" s="45"/>
      <c r="BC504" s="45"/>
      <c r="BD504" s="93"/>
      <c r="BE504" s="93"/>
      <c r="BF504" s="93"/>
      <c r="BG504" s="93"/>
      <c r="BH504" s="93"/>
      <c r="BI504" s="93"/>
      <c r="BJ504" s="93"/>
      <c r="BK504" s="93">
        <f>SUM($Z504:AD504)-SUM($CM504:CQ504)</f>
        <v>452</v>
      </c>
      <c r="BL504" s="93">
        <f>SUM($Z504:AE504)-SUM($CM504:CR504)</f>
        <v>404</v>
      </c>
      <c r="BM504" s="93">
        <f>SUM($Z504:AF504)-SUM($CM504:CS504)</f>
        <v>356</v>
      </c>
      <c r="BN504" s="93">
        <f>SUM($Z504:AG504)-SUM($CM504:CT504)</f>
        <v>308</v>
      </c>
      <c r="BO504" s="93">
        <f>SUM($Z504:AH504)-SUM($CM504:CU504)</f>
        <v>260</v>
      </c>
      <c r="BP504" s="93">
        <f>SUM($Z504:AI504)-SUM($CM504:CV504)</f>
        <v>212</v>
      </c>
      <c r="BQ504" s="93">
        <f>SUM($Z504:AJ504)-SUM($CM504:CW504)</f>
        <v>164</v>
      </c>
      <c r="BR504" s="93">
        <f>SUM($Z504:AK504)-SUM($CM504:CX504)</f>
        <v>116</v>
      </c>
      <c r="BS504" s="93">
        <f>SUM($Z504:AL504)-SUM($CM504:CY504)</f>
        <v>116</v>
      </c>
      <c r="BT504" s="93">
        <f>SUM($Z504:AM504)-SUM($CM504:CZ504)</f>
        <v>116</v>
      </c>
      <c r="BU504" s="93">
        <f>SUM($Z504:AN504)-SUM($CM504:DA504)</f>
        <v>116</v>
      </c>
      <c r="BV504" s="93">
        <f>SUM($Z504:AO504)-SUM($CM504:DB504)</f>
        <v>116</v>
      </c>
      <c r="BW504" s="93">
        <f>SUM($Z504:AP504)-SUM($CM504:DC504)</f>
        <v>116</v>
      </c>
      <c r="BX504" s="93">
        <f>SUM($Z504:AQ504)-SUM($CM504:DD504)</f>
        <v>116</v>
      </c>
      <c r="BY504" s="93">
        <f>SUM($Z504:AR504)-SUM($CM504:DE504)</f>
        <v>116</v>
      </c>
      <c r="BZ504" s="93">
        <f>SUM($Z504:AS504)-SUM($CM504:DF504)</f>
        <v>116</v>
      </c>
      <c r="CA504" s="93">
        <f>SUM($Z504:AT504)-SUM($CM504:DG504)</f>
        <v>116</v>
      </c>
      <c r="CB504" s="93">
        <f>SUM($Z504:AU504)-SUM($CM504:DH504)</f>
        <v>116</v>
      </c>
      <c r="CC504" s="93">
        <f>SUM($Z504:AV504)-SUM($CM504:DI504)</f>
        <v>116</v>
      </c>
      <c r="CD504" s="93">
        <f>SUM($Z504:AW504)-SUM($CM504:DJ504)</f>
        <v>116</v>
      </c>
      <c r="CE504" s="93">
        <f>SUM($Z504:AX504)-SUM($CM504:DK504)</f>
        <v>116</v>
      </c>
      <c r="CF504" s="93">
        <f>SUM($Z504:AY504)-SUM($CM504:DL504)</f>
        <v>116</v>
      </c>
      <c r="CG504" s="93">
        <f>SUM($Z504:AZ504)-SUM($CM504:DM504)</f>
        <v>116</v>
      </c>
      <c r="CH504" s="93">
        <f>SUM($Z504:BA504)-SUM($CM504:DN504)</f>
        <v>116</v>
      </c>
      <c r="CI504" s="93">
        <f>SUM($Z504:BB504)-SUM($CM504:DO504)</f>
        <v>116</v>
      </c>
      <c r="CJ504" s="93"/>
      <c r="CK504" s="93"/>
      <c r="CL504" s="93"/>
      <c r="CM504" s="93"/>
      <c r="CN504" s="93" cm="1">
        <f t="array" ref="CN504">SUMPRODUCT(TRANSPOSE(CN$4:CN$20),$G504:$W504)</f>
        <v>0</v>
      </c>
      <c r="CO504" s="93" cm="1">
        <f t="array" ref="CO504">SUMPRODUCT(TRANSPOSE(CO$4:CO$20),$G504:$W504)</f>
        <v>0</v>
      </c>
      <c r="CP504" s="93" cm="1">
        <f t="array" ref="CP504">SUMPRODUCT(TRANSPOSE(CP$4:CP$20),$G504:$W504)</f>
        <v>0</v>
      </c>
      <c r="CQ504" s="93" cm="1">
        <f t="array" ref="CQ504">SUMPRODUCT(TRANSPOSE(CQ$4:CQ$20),$G504:$W504)</f>
        <v>48</v>
      </c>
      <c r="CR504" s="93" cm="1">
        <f t="array" ref="CR504">SUMPRODUCT(TRANSPOSE(CR$4:CR$20),$G504:$W504)</f>
        <v>48</v>
      </c>
      <c r="CS504" s="93" cm="1">
        <f t="array" ref="CS504">SUMPRODUCT(TRANSPOSE(CS$4:CS$20),$G504:$W504)</f>
        <v>48</v>
      </c>
      <c r="CT504" s="93" cm="1">
        <f t="array" ref="CT504">SUMPRODUCT(TRANSPOSE(CT$4:CT$20),$G504:$W504)</f>
        <v>48</v>
      </c>
      <c r="CU504" s="93" cm="1">
        <f t="array" ref="CU504">SUMPRODUCT(TRANSPOSE(CU$4:CU$20),$G504:$W504)</f>
        <v>48</v>
      </c>
      <c r="CV504" s="93" cm="1">
        <f t="array" ref="CV504">SUMPRODUCT(TRANSPOSE(CV$4:CV$20),$G504:$W504)</f>
        <v>48</v>
      </c>
      <c r="CW504" s="93" cm="1">
        <f t="array" ref="CW504">SUMPRODUCT(TRANSPOSE(CW$4:CW$20),$G504:$W504)</f>
        <v>48</v>
      </c>
      <c r="CX504" s="93" cm="1">
        <f t="array" ref="CX504">SUMPRODUCT(TRANSPOSE(CX$4:CX$20),$G504:$W504)</f>
        <v>48</v>
      </c>
      <c r="CY504" s="93" cm="1">
        <f t="array" ref="CY504">SUMPRODUCT(TRANSPOSE(CY$4:CY$20),$G504:$W504)</f>
        <v>0</v>
      </c>
      <c r="CZ504" s="93" cm="1">
        <f t="array" ref="CZ504">SUMPRODUCT(TRANSPOSE(CZ$4:CZ$20),$G504:$W504)</f>
        <v>0</v>
      </c>
      <c r="DA504" s="93" cm="1">
        <f t="array" ref="DA504">SUMPRODUCT(TRANSPOSE(DA$4:DA$20),$G504:$W504)</f>
        <v>0</v>
      </c>
      <c r="DB504" s="93" cm="1">
        <f t="array" ref="DB504">SUMPRODUCT(TRANSPOSE(DB$4:DB$20),$G504:$W504)</f>
        <v>0</v>
      </c>
      <c r="DC504" s="93" cm="1">
        <f t="array" ref="DC504">SUMPRODUCT(TRANSPOSE(DC$4:DC$20),$G504:$W504)</f>
        <v>0</v>
      </c>
      <c r="DD504" s="93" cm="1">
        <f t="array" ref="DD504">SUMPRODUCT(TRANSPOSE(DD$4:DD$20),$G504:$W504)</f>
        <v>0</v>
      </c>
      <c r="DE504" s="93" cm="1">
        <f t="array" ref="DE504">SUMPRODUCT(TRANSPOSE(DE$4:DE$20),$G504:$W504)</f>
        <v>0</v>
      </c>
      <c r="DF504" s="93" cm="1">
        <f t="array" ref="DF504">SUMPRODUCT(TRANSPOSE(DF$4:DF$20),$G504:$W504)</f>
        <v>0</v>
      </c>
      <c r="DG504" s="93" cm="1">
        <f t="array" ref="DG504">SUMPRODUCT(TRANSPOSE(DG$4:DG$20),$G504:$W504)</f>
        <v>0</v>
      </c>
      <c r="DH504" s="93" cm="1">
        <f t="array" ref="DH504">SUMPRODUCT(TRANSPOSE(DH$4:DH$20),$G504:$W504)</f>
        <v>0</v>
      </c>
      <c r="DI504" s="93" cm="1">
        <f t="array" ref="DI504">SUMPRODUCT(TRANSPOSE(DI$4:DI$20),$G504:$W504)</f>
        <v>0</v>
      </c>
      <c r="DJ504" s="93" cm="1">
        <f t="array" ref="DJ504">SUMPRODUCT(TRANSPOSE(DJ$4:DJ$20),$G504:$W504)</f>
        <v>0</v>
      </c>
      <c r="DK504" s="93" cm="1">
        <f t="array" ref="DK504">SUMPRODUCT(TRANSPOSE(DK$4:DK$20),$G504:$W504)</f>
        <v>0</v>
      </c>
      <c r="DL504" s="93" cm="1">
        <f t="array" ref="DL504">SUMPRODUCT(TRANSPOSE(DL$4:DL$20),$G504:$W504)</f>
        <v>0</v>
      </c>
      <c r="DM504" s="93" cm="1">
        <f t="array" ref="DM504">SUMPRODUCT(TRANSPOSE(DM$4:DM$20),$G504:$W504)</f>
        <v>0</v>
      </c>
      <c r="DN504" s="93" cm="1">
        <f t="array" ref="DN504">SUMPRODUCT(TRANSPOSE(DN$4:DN$20),$G504:$W504)</f>
        <v>0</v>
      </c>
      <c r="DO504" s="93" cm="1">
        <f t="array" ref="DO504">SUMPRODUCT(TRANSPOSE(DO$4:DO$20),$G504:$W504)</f>
        <v>0</v>
      </c>
    </row>
    <row r="505" spans="1:119" x14ac:dyDescent="0.2">
      <c r="A505" s="45">
        <f>A504+1</f>
        <v>484</v>
      </c>
      <c r="B505" s="84" t="s">
        <v>1037</v>
      </c>
      <c r="C505" s="84">
        <v>510471063</v>
      </c>
      <c r="D505" s="84" t="s">
        <v>945</v>
      </c>
      <c r="E505" s="84" t="s">
        <v>162</v>
      </c>
      <c r="F505" s="84"/>
      <c r="G505" s="100">
        <v>0</v>
      </c>
      <c r="H505" s="100">
        <v>0</v>
      </c>
      <c r="I505" s="100">
        <v>0</v>
      </c>
      <c r="J505" s="100">
        <v>0</v>
      </c>
      <c r="K505" s="100">
        <v>0</v>
      </c>
      <c r="L505" s="100">
        <v>0</v>
      </c>
      <c r="M505" s="100">
        <v>0</v>
      </c>
      <c r="N505" s="100">
        <v>0</v>
      </c>
      <c r="O505" s="100">
        <v>0</v>
      </c>
      <c r="P505" s="100">
        <v>0</v>
      </c>
      <c r="Q505" s="100">
        <v>0</v>
      </c>
      <c r="R505" s="100">
        <v>0</v>
      </c>
      <c r="S505" s="100">
        <v>0</v>
      </c>
      <c r="T505" s="100">
        <v>0</v>
      </c>
      <c r="U505" s="100">
        <v>0</v>
      </c>
      <c r="V505" s="100">
        <v>0</v>
      </c>
      <c r="W505" s="100">
        <v>41</v>
      </c>
      <c r="X505" s="45" t="s">
        <v>24</v>
      </c>
      <c r="Y505" s="53">
        <v>0.17899999999999999</v>
      </c>
      <c r="Z505" s="45">
        <v>9471</v>
      </c>
      <c r="AA505" s="45">
        <v>0</v>
      </c>
      <c r="AB505" s="45">
        <v>0</v>
      </c>
      <c r="AC505" s="45">
        <v>0</v>
      </c>
      <c r="AD505" s="45">
        <v>0</v>
      </c>
      <c r="AE505" s="45">
        <v>0</v>
      </c>
      <c r="AF505" s="45">
        <v>0</v>
      </c>
      <c r="AG505" s="45">
        <v>0</v>
      </c>
      <c r="AH505" s="45">
        <v>0</v>
      </c>
      <c r="AI505" s="45">
        <v>0</v>
      </c>
      <c r="AJ505" s="45">
        <v>0</v>
      </c>
      <c r="AK505" s="45">
        <v>0</v>
      </c>
      <c r="AL505" s="45">
        <v>0</v>
      </c>
      <c r="AM505" s="45">
        <v>0</v>
      </c>
      <c r="AN505" s="45">
        <v>0</v>
      </c>
      <c r="AO505" s="45"/>
      <c r="AP505" s="45"/>
      <c r="AQ505" s="45"/>
      <c r="AR505" s="45"/>
      <c r="AS505" s="45"/>
      <c r="AT505" s="45"/>
      <c r="AU505" s="45"/>
      <c r="AV505" s="45"/>
      <c r="AW505" s="45"/>
      <c r="AX505" s="45"/>
      <c r="AY505" s="45"/>
      <c r="AZ505" s="45"/>
      <c r="BA505" s="45"/>
      <c r="BB505" s="45"/>
      <c r="BC505" s="45"/>
      <c r="BD505" s="93"/>
      <c r="BE505" s="93"/>
      <c r="BF505" s="93"/>
      <c r="BG505" s="93"/>
      <c r="BH505" s="93"/>
      <c r="BI505" s="93"/>
      <c r="BJ505" s="93"/>
      <c r="BK505" s="93">
        <f>SUM($Z505:AD505)-SUM($CM505:CQ505)</f>
        <v>8815</v>
      </c>
      <c r="BL505" s="93">
        <f>SUM($Z505:AE505)-SUM($CM505:CR505)</f>
        <v>8159</v>
      </c>
      <c r="BM505" s="93">
        <f>SUM($Z505:AF505)-SUM($CM505:CS505)</f>
        <v>7503</v>
      </c>
      <c r="BN505" s="93">
        <f>SUM($Z505:AG505)-SUM($CM505:CT505)</f>
        <v>6847</v>
      </c>
      <c r="BO505" s="93">
        <f>SUM($Z505:AH505)-SUM($CM505:CU505)</f>
        <v>6191</v>
      </c>
      <c r="BP505" s="93">
        <f>SUM($Z505:AI505)-SUM($CM505:CV505)</f>
        <v>5535</v>
      </c>
      <c r="BQ505" s="93">
        <f>SUM($Z505:AJ505)-SUM($CM505:CW505)</f>
        <v>4879</v>
      </c>
      <c r="BR505" s="93">
        <f>SUM($Z505:AK505)-SUM($CM505:CX505)</f>
        <v>4223</v>
      </c>
      <c r="BS505" s="93">
        <f>SUM($Z505:AL505)-SUM($CM505:CY505)</f>
        <v>4223</v>
      </c>
      <c r="BT505" s="93">
        <f>SUM($Z505:AM505)-SUM($CM505:CZ505)</f>
        <v>4223</v>
      </c>
      <c r="BU505" s="93">
        <f>SUM($Z505:AN505)-SUM($CM505:DA505)</f>
        <v>4223</v>
      </c>
      <c r="BV505" s="93">
        <f>SUM($Z505:AO505)-SUM($CM505:DB505)</f>
        <v>4223</v>
      </c>
      <c r="BW505" s="93">
        <f>SUM($Z505:AP505)-SUM($CM505:DC505)</f>
        <v>4223</v>
      </c>
      <c r="BX505" s="93">
        <f>SUM($Z505:AQ505)-SUM($CM505:DD505)</f>
        <v>4223</v>
      </c>
      <c r="BY505" s="93">
        <f>SUM($Z505:AR505)-SUM($CM505:DE505)</f>
        <v>4223</v>
      </c>
      <c r="BZ505" s="93">
        <f>SUM($Z505:AS505)-SUM($CM505:DF505)</f>
        <v>4223</v>
      </c>
      <c r="CA505" s="93">
        <f>SUM($Z505:AT505)-SUM($CM505:DG505)</f>
        <v>4223</v>
      </c>
      <c r="CB505" s="93">
        <f>SUM($Z505:AU505)-SUM($CM505:DH505)</f>
        <v>4223</v>
      </c>
      <c r="CC505" s="93">
        <f>SUM($Z505:AV505)-SUM($CM505:DI505)</f>
        <v>4223</v>
      </c>
      <c r="CD505" s="93">
        <f>SUM($Z505:AW505)-SUM($CM505:DJ505)</f>
        <v>4223</v>
      </c>
      <c r="CE505" s="93">
        <f>SUM($Z505:AX505)-SUM($CM505:DK505)</f>
        <v>4223</v>
      </c>
      <c r="CF505" s="93">
        <f>SUM($Z505:AY505)-SUM($CM505:DL505)</f>
        <v>4223</v>
      </c>
      <c r="CG505" s="93">
        <f>SUM($Z505:AZ505)-SUM($CM505:DM505)</f>
        <v>4223</v>
      </c>
      <c r="CH505" s="93">
        <f>SUM($Z505:BA505)-SUM($CM505:DN505)</f>
        <v>4223</v>
      </c>
      <c r="CI505" s="93">
        <f>SUM($Z505:BB505)-SUM($CM505:DO505)</f>
        <v>4223</v>
      </c>
      <c r="CJ505" s="93"/>
      <c r="CK505" s="93"/>
      <c r="CL505" s="93"/>
      <c r="CM505" s="93"/>
      <c r="CN505" s="93" cm="1">
        <f t="array" ref="CN505">SUMPRODUCT(TRANSPOSE(CN$4:CN$20),$G505:$W505)</f>
        <v>0</v>
      </c>
      <c r="CO505" s="93" cm="1">
        <f t="array" ref="CO505">SUMPRODUCT(TRANSPOSE(CO$4:CO$20),$G505:$W505)</f>
        <v>0</v>
      </c>
      <c r="CP505" s="93" cm="1">
        <f t="array" ref="CP505">SUMPRODUCT(TRANSPOSE(CP$4:CP$20),$G505:$W505)</f>
        <v>0</v>
      </c>
      <c r="CQ505" s="93" cm="1">
        <f t="array" ref="CQ505">SUMPRODUCT(TRANSPOSE(CQ$4:CQ$20),$G505:$W505)</f>
        <v>656</v>
      </c>
      <c r="CR505" s="93" cm="1">
        <f t="array" ref="CR505">SUMPRODUCT(TRANSPOSE(CR$4:CR$20),$G505:$W505)</f>
        <v>656</v>
      </c>
      <c r="CS505" s="93" cm="1">
        <f t="array" ref="CS505">SUMPRODUCT(TRANSPOSE(CS$4:CS$20),$G505:$W505)</f>
        <v>656</v>
      </c>
      <c r="CT505" s="93" cm="1">
        <f t="array" ref="CT505">SUMPRODUCT(TRANSPOSE(CT$4:CT$20),$G505:$W505)</f>
        <v>656</v>
      </c>
      <c r="CU505" s="93" cm="1">
        <f t="array" ref="CU505">SUMPRODUCT(TRANSPOSE(CU$4:CU$20),$G505:$W505)</f>
        <v>656</v>
      </c>
      <c r="CV505" s="93" cm="1">
        <f t="array" ref="CV505">SUMPRODUCT(TRANSPOSE(CV$4:CV$20),$G505:$W505)</f>
        <v>656</v>
      </c>
      <c r="CW505" s="93" cm="1">
        <f t="array" ref="CW505">SUMPRODUCT(TRANSPOSE(CW$4:CW$20),$G505:$W505)</f>
        <v>656</v>
      </c>
      <c r="CX505" s="93" cm="1">
        <f t="array" ref="CX505">SUMPRODUCT(TRANSPOSE(CX$4:CX$20),$G505:$W505)</f>
        <v>656</v>
      </c>
      <c r="CY505" s="93" cm="1">
        <f t="array" ref="CY505">SUMPRODUCT(TRANSPOSE(CY$4:CY$20),$G505:$W505)</f>
        <v>0</v>
      </c>
      <c r="CZ505" s="93" cm="1">
        <f t="array" ref="CZ505">SUMPRODUCT(TRANSPOSE(CZ$4:CZ$20),$G505:$W505)</f>
        <v>0</v>
      </c>
      <c r="DA505" s="93" cm="1">
        <f t="array" ref="DA505">SUMPRODUCT(TRANSPOSE(DA$4:DA$20),$G505:$W505)</f>
        <v>0</v>
      </c>
      <c r="DB505" s="93" cm="1">
        <f t="array" ref="DB505">SUMPRODUCT(TRANSPOSE(DB$4:DB$20),$G505:$W505)</f>
        <v>0</v>
      </c>
      <c r="DC505" s="93" cm="1">
        <f t="array" ref="DC505">SUMPRODUCT(TRANSPOSE(DC$4:DC$20),$G505:$W505)</f>
        <v>0</v>
      </c>
      <c r="DD505" s="93" cm="1">
        <f t="array" ref="DD505">SUMPRODUCT(TRANSPOSE(DD$4:DD$20),$G505:$W505)</f>
        <v>0</v>
      </c>
      <c r="DE505" s="93" cm="1">
        <f t="array" ref="DE505">SUMPRODUCT(TRANSPOSE(DE$4:DE$20),$G505:$W505)</f>
        <v>0</v>
      </c>
      <c r="DF505" s="93" cm="1">
        <f t="array" ref="DF505">SUMPRODUCT(TRANSPOSE(DF$4:DF$20),$G505:$W505)</f>
        <v>0</v>
      </c>
      <c r="DG505" s="93" cm="1">
        <f t="array" ref="DG505">SUMPRODUCT(TRANSPOSE(DG$4:DG$20),$G505:$W505)</f>
        <v>0</v>
      </c>
      <c r="DH505" s="93" cm="1">
        <f t="array" ref="DH505">SUMPRODUCT(TRANSPOSE(DH$4:DH$20),$G505:$W505)</f>
        <v>0</v>
      </c>
      <c r="DI505" s="93" cm="1">
        <f t="array" ref="DI505">SUMPRODUCT(TRANSPOSE(DI$4:DI$20),$G505:$W505)</f>
        <v>0</v>
      </c>
      <c r="DJ505" s="93" cm="1">
        <f t="array" ref="DJ505">SUMPRODUCT(TRANSPOSE(DJ$4:DJ$20),$G505:$W505)</f>
        <v>0</v>
      </c>
      <c r="DK505" s="93" cm="1">
        <f t="array" ref="DK505">SUMPRODUCT(TRANSPOSE(DK$4:DK$20),$G505:$W505)</f>
        <v>0</v>
      </c>
      <c r="DL505" s="93" cm="1">
        <f t="array" ref="DL505">SUMPRODUCT(TRANSPOSE(DL$4:DL$20),$G505:$W505)</f>
        <v>0</v>
      </c>
      <c r="DM505" s="93" cm="1">
        <f t="array" ref="DM505">SUMPRODUCT(TRANSPOSE(DM$4:DM$20),$G505:$W505)</f>
        <v>0</v>
      </c>
      <c r="DN505" s="93" cm="1">
        <f t="array" ref="DN505">SUMPRODUCT(TRANSPOSE(DN$4:DN$20),$G505:$W505)</f>
        <v>0</v>
      </c>
      <c r="DO505" s="93" cm="1">
        <f t="array" ref="DO505">SUMPRODUCT(TRANSPOSE(DO$4:DO$20),$G505:$W505)</f>
        <v>0</v>
      </c>
    </row>
    <row r="506" spans="1:119" x14ac:dyDescent="0.2">
      <c r="A506" s="45">
        <v>485</v>
      </c>
      <c r="B506" s="84" t="s">
        <v>1094</v>
      </c>
      <c r="C506" s="85">
        <v>512314808</v>
      </c>
      <c r="D506" s="84" t="s">
        <v>626</v>
      </c>
      <c r="E506" s="84" t="s">
        <v>162</v>
      </c>
      <c r="F506" s="84"/>
      <c r="G506" s="100">
        <v>0</v>
      </c>
      <c r="H506" s="100">
        <v>0</v>
      </c>
      <c r="I506" s="100">
        <v>40</v>
      </c>
      <c r="J506" s="100">
        <v>0</v>
      </c>
      <c r="K506" s="100">
        <v>40</v>
      </c>
      <c r="L506" s="100">
        <v>0</v>
      </c>
      <c r="M506" s="100">
        <v>0</v>
      </c>
      <c r="N506" s="100">
        <v>0</v>
      </c>
      <c r="O506" s="100">
        <v>0</v>
      </c>
      <c r="P506" s="100">
        <v>0</v>
      </c>
      <c r="Q506" s="100">
        <v>0</v>
      </c>
      <c r="R506" s="100">
        <v>0</v>
      </c>
      <c r="S506" s="100">
        <v>0</v>
      </c>
      <c r="T506" s="100">
        <v>0</v>
      </c>
      <c r="U506" s="100">
        <v>0</v>
      </c>
      <c r="V506" s="100">
        <v>0</v>
      </c>
      <c r="W506" s="100">
        <v>0</v>
      </c>
      <c r="X506" s="45" t="s">
        <v>24</v>
      </c>
      <c r="Y506" s="49">
        <v>7.4999999999999997E-2</v>
      </c>
      <c r="Z506" s="45">
        <v>5700</v>
      </c>
      <c r="AA506" s="45">
        <v>0</v>
      </c>
      <c r="AB506" s="45">
        <v>0</v>
      </c>
      <c r="AC506" s="45">
        <v>0</v>
      </c>
      <c r="AD506" s="45">
        <v>0</v>
      </c>
      <c r="AE506" s="45">
        <v>0</v>
      </c>
      <c r="AF506" s="45">
        <v>0</v>
      </c>
      <c r="AG506" s="45">
        <v>0</v>
      </c>
      <c r="AH506" s="45">
        <v>0</v>
      </c>
      <c r="AI506" s="45">
        <v>0</v>
      </c>
      <c r="AJ506" s="45">
        <v>0</v>
      </c>
      <c r="AK506" s="45">
        <v>0</v>
      </c>
      <c r="AL506" s="45">
        <v>0</v>
      </c>
      <c r="AM506" s="45">
        <v>0</v>
      </c>
      <c r="AN506" s="45">
        <v>0</v>
      </c>
      <c r="AO506" s="45"/>
      <c r="AP506" s="45"/>
      <c r="AQ506" s="45"/>
      <c r="AR506" s="45"/>
      <c r="AS506" s="45"/>
      <c r="AT506" s="45"/>
      <c r="AU506" s="45"/>
      <c r="AV506" s="45"/>
      <c r="AW506" s="45"/>
      <c r="AX506" s="45"/>
      <c r="AY506" s="45"/>
      <c r="AZ506" s="45"/>
      <c r="BA506" s="45"/>
      <c r="BB506" s="45"/>
      <c r="BC506" s="45"/>
      <c r="BD506" s="93"/>
      <c r="BE506" s="93"/>
      <c r="BF506" s="93"/>
      <c r="BG506" s="93"/>
      <c r="BH506" s="93"/>
      <c r="BI506" s="93"/>
      <c r="BJ506" s="93"/>
      <c r="BK506" s="93">
        <f>SUM($Z506:AD506)-SUM($CM506:CQ506)</f>
        <v>5060</v>
      </c>
      <c r="BL506" s="93">
        <f>SUM($Z506:AE506)-SUM($CM506:CR506)</f>
        <v>4420</v>
      </c>
      <c r="BM506" s="93">
        <f>SUM($Z506:AF506)-SUM($CM506:CS506)</f>
        <v>3780</v>
      </c>
      <c r="BN506" s="93">
        <f>SUM($Z506:AG506)-SUM($CM506:CT506)</f>
        <v>3140</v>
      </c>
      <c r="BO506" s="93">
        <f>SUM($Z506:AH506)-SUM($CM506:CU506)</f>
        <v>2500</v>
      </c>
      <c r="BP506" s="93">
        <f>SUM($Z506:AI506)-SUM($CM506:CV506)</f>
        <v>1860</v>
      </c>
      <c r="BQ506" s="93">
        <f>SUM($Z506:AJ506)-SUM($CM506:CW506)</f>
        <v>1220</v>
      </c>
      <c r="BR506" s="93">
        <f>SUM($Z506:AK506)-SUM($CM506:CX506)</f>
        <v>580</v>
      </c>
      <c r="BS506" s="93">
        <f>SUM($Z506:AL506)-SUM($CM506:CY506)</f>
        <v>-60</v>
      </c>
      <c r="BT506" s="93">
        <f>SUM($Z506:AM506)-SUM($CM506:CZ506)</f>
        <v>-700</v>
      </c>
      <c r="BU506" s="93">
        <f>SUM($Z506:AN506)-SUM($CM506:DA506)</f>
        <v>-1340</v>
      </c>
      <c r="BV506" s="93">
        <f>SUM($Z506:AO506)-SUM($CM506:DB506)</f>
        <v>-1980</v>
      </c>
      <c r="BW506" s="93">
        <f>SUM($Z506:AP506)-SUM($CM506:DC506)</f>
        <v>-2460</v>
      </c>
      <c r="BX506" s="93">
        <f>SUM($Z506:AQ506)-SUM($CM506:DD506)</f>
        <v>-2460</v>
      </c>
      <c r="BY506" s="93">
        <f>SUM($Z506:AR506)-SUM($CM506:DE506)</f>
        <v>-2460</v>
      </c>
      <c r="BZ506" s="93">
        <f>SUM($Z506:AS506)-SUM($CM506:DF506)</f>
        <v>-2460</v>
      </c>
      <c r="CA506" s="93">
        <f>SUM($Z506:AT506)-SUM($CM506:DG506)</f>
        <v>-2460</v>
      </c>
      <c r="CB506" s="93">
        <f>SUM($Z506:AU506)-SUM($CM506:DH506)</f>
        <v>-2460</v>
      </c>
      <c r="CC506" s="93">
        <f>SUM($Z506:AV506)-SUM($CM506:DI506)</f>
        <v>-2460</v>
      </c>
      <c r="CD506" s="93">
        <f>SUM($Z506:AW506)-SUM($CM506:DJ506)</f>
        <v>-2460</v>
      </c>
      <c r="CE506" s="93">
        <f>SUM($Z506:AX506)-SUM($CM506:DK506)</f>
        <v>-2460</v>
      </c>
      <c r="CF506" s="93">
        <f>SUM($Z506:AY506)-SUM($CM506:DL506)</f>
        <v>-2460</v>
      </c>
      <c r="CG506" s="93">
        <f>SUM($Z506:AZ506)-SUM($CM506:DM506)</f>
        <v>-2460</v>
      </c>
      <c r="CH506" s="93">
        <f>SUM($Z506:BA506)-SUM($CM506:DN506)</f>
        <v>-2460</v>
      </c>
      <c r="CI506" s="93">
        <f>SUM($Z506:BB506)-SUM($CM506:DO506)</f>
        <v>-2460</v>
      </c>
      <c r="CJ506" s="93"/>
      <c r="CK506" s="93"/>
      <c r="CL506" s="93"/>
      <c r="CM506" s="93"/>
      <c r="CN506" s="93" cm="1">
        <f t="array" ref="CN506">SUMPRODUCT(TRANSPOSE(CN$4:CN$20),$G506:$W506)</f>
        <v>0</v>
      </c>
      <c r="CO506" s="93" cm="1">
        <f t="array" ref="CO506">SUMPRODUCT(TRANSPOSE(CO$4:CO$20),$G506:$W506)</f>
        <v>0</v>
      </c>
      <c r="CP506" s="93" cm="1">
        <f t="array" ref="CP506">SUMPRODUCT(TRANSPOSE(CP$4:CP$20),$G506:$W506)</f>
        <v>0</v>
      </c>
      <c r="CQ506" s="93" cm="1">
        <f t="array" ref="CQ506">SUMPRODUCT(TRANSPOSE(CQ$4:CQ$20),$G506:$W506)</f>
        <v>640</v>
      </c>
      <c r="CR506" s="93" cm="1">
        <f t="array" ref="CR506">SUMPRODUCT(TRANSPOSE(CR$4:CR$20),$G506:$W506)</f>
        <v>640</v>
      </c>
      <c r="CS506" s="93" cm="1">
        <f t="array" ref="CS506">SUMPRODUCT(TRANSPOSE(CS$4:CS$20),$G506:$W506)</f>
        <v>640</v>
      </c>
      <c r="CT506" s="93" cm="1">
        <f t="array" ref="CT506">SUMPRODUCT(TRANSPOSE(CT$4:CT$20),$G506:$W506)</f>
        <v>640</v>
      </c>
      <c r="CU506" s="93" cm="1">
        <f t="array" ref="CU506">SUMPRODUCT(TRANSPOSE(CU$4:CU$20),$G506:$W506)</f>
        <v>640</v>
      </c>
      <c r="CV506" s="93" cm="1">
        <f t="array" ref="CV506">SUMPRODUCT(TRANSPOSE(CV$4:CV$20),$G506:$W506)</f>
        <v>640</v>
      </c>
      <c r="CW506" s="93" cm="1">
        <f t="array" ref="CW506">SUMPRODUCT(TRANSPOSE(CW$4:CW$20),$G506:$W506)</f>
        <v>640</v>
      </c>
      <c r="CX506" s="93" cm="1">
        <f t="array" ref="CX506">SUMPRODUCT(TRANSPOSE(CX$4:CX$20),$G506:$W506)</f>
        <v>640</v>
      </c>
      <c r="CY506" s="93" cm="1">
        <f t="array" ref="CY506">SUMPRODUCT(TRANSPOSE(CY$4:CY$20),$G506:$W506)</f>
        <v>640</v>
      </c>
      <c r="CZ506" s="93" cm="1">
        <f t="array" ref="CZ506">SUMPRODUCT(TRANSPOSE(CZ$4:CZ$20),$G506:$W506)</f>
        <v>640</v>
      </c>
      <c r="DA506" s="93" cm="1">
        <f t="array" ref="DA506">SUMPRODUCT(TRANSPOSE(DA$4:DA$20),$G506:$W506)</f>
        <v>640</v>
      </c>
      <c r="DB506" s="93" cm="1">
        <f t="array" ref="DB506">SUMPRODUCT(TRANSPOSE(DB$4:DB$20),$G506:$W506)</f>
        <v>640</v>
      </c>
      <c r="DC506" s="93" cm="1">
        <f t="array" ref="DC506">SUMPRODUCT(TRANSPOSE(DC$4:DC$20),$G506:$W506)</f>
        <v>480</v>
      </c>
      <c r="DD506" s="93" cm="1">
        <f t="array" ref="DD506">SUMPRODUCT(TRANSPOSE(DD$4:DD$20),$G506:$W506)</f>
        <v>0</v>
      </c>
      <c r="DE506" s="93" cm="1">
        <f t="array" ref="DE506">SUMPRODUCT(TRANSPOSE(DE$4:DE$20),$G506:$W506)</f>
        <v>0</v>
      </c>
      <c r="DF506" s="93" cm="1">
        <f t="array" ref="DF506">SUMPRODUCT(TRANSPOSE(DF$4:DF$20),$G506:$W506)</f>
        <v>0</v>
      </c>
      <c r="DG506" s="93" cm="1">
        <f t="array" ref="DG506">SUMPRODUCT(TRANSPOSE(DG$4:DG$20),$G506:$W506)</f>
        <v>0</v>
      </c>
      <c r="DH506" s="93" cm="1">
        <f t="array" ref="DH506">SUMPRODUCT(TRANSPOSE(DH$4:DH$20),$G506:$W506)</f>
        <v>0</v>
      </c>
      <c r="DI506" s="93" cm="1">
        <f t="array" ref="DI506">SUMPRODUCT(TRANSPOSE(DI$4:DI$20),$G506:$W506)</f>
        <v>0</v>
      </c>
      <c r="DJ506" s="93" cm="1">
        <f t="array" ref="DJ506">SUMPRODUCT(TRANSPOSE(DJ$4:DJ$20),$G506:$W506)</f>
        <v>0</v>
      </c>
      <c r="DK506" s="93" cm="1">
        <f t="array" ref="DK506">SUMPRODUCT(TRANSPOSE(DK$4:DK$20),$G506:$W506)</f>
        <v>0</v>
      </c>
      <c r="DL506" s="93" cm="1">
        <f t="array" ref="DL506">SUMPRODUCT(TRANSPOSE(DL$4:DL$20),$G506:$W506)</f>
        <v>0</v>
      </c>
      <c r="DM506" s="93" cm="1">
        <f t="array" ref="DM506">SUMPRODUCT(TRANSPOSE(DM$4:DM$20),$G506:$W506)</f>
        <v>0</v>
      </c>
      <c r="DN506" s="93" cm="1">
        <f t="array" ref="DN506">SUMPRODUCT(TRANSPOSE(DN$4:DN$20),$G506:$W506)</f>
        <v>0</v>
      </c>
      <c r="DO506" s="93" cm="1">
        <f t="array" ref="DO506">SUMPRODUCT(TRANSPOSE(DO$4:DO$20),$G506:$W506)</f>
        <v>0</v>
      </c>
    </row>
    <row r="507" spans="1:119" x14ac:dyDescent="0.2">
      <c r="A507" s="45">
        <v>486</v>
      </c>
      <c r="B507" s="84" t="s">
        <v>1119</v>
      </c>
      <c r="C507" s="86"/>
      <c r="D507" s="84" t="s">
        <v>1118</v>
      </c>
      <c r="E507" s="84" t="s">
        <v>162</v>
      </c>
      <c r="F507" s="84"/>
      <c r="G507" s="100">
        <v>0</v>
      </c>
      <c r="H507" s="100">
        <v>0</v>
      </c>
      <c r="I507" s="100">
        <v>0</v>
      </c>
      <c r="J507" s="100">
        <v>0</v>
      </c>
      <c r="K507" s="100">
        <v>0</v>
      </c>
      <c r="L507" s="100">
        <v>0</v>
      </c>
      <c r="M507" s="100">
        <v>0</v>
      </c>
      <c r="N507" s="100">
        <v>0</v>
      </c>
      <c r="O507" s="100">
        <v>0</v>
      </c>
      <c r="P507" s="100">
        <v>0</v>
      </c>
      <c r="Q507" s="100">
        <v>0</v>
      </c>
      <c r="R507" s="100">
        <v>0</v>
      </c>
      <c r="S507" s="100">
        <v>0</v>
      </c>
      <c r="T507" s="100">
        <v>0</v>
      </c>
      <c r="U507" s="100">
        <v>0</v>
      </c>
      <c r="V507" s="100">
        <v>0</v>
      </c>
      <c r="W507" s="100">
        <v>0</v>
      </c>
      <c r="X507" s="45" t="s">
        <v>84</v>
      </c>
      <c r="Y507" s="49">
        <v>8.31</v>
      </c>
      <c r="Z507" s="45">
        <v>2200</v>
      </c>
      <c r="AA507" s="45"/>
      <c r="AB507" s="45"/>
      <c r="AC507" s="45"/>
      <c r="AD507" s="45"/>
      <c r="AE507" s="45"/>
      <c r="AF507" s="45"/>
      <c r="AG507" s="45"/>
      <c r="AH507" s="45"/>
      <c r="AI507" s="45"/>
      <c r="AJ507" s="45"/>
      <c r="AK507" s="45"/>
      <c r="AL507" s="45"/>
      <c r="AM507" s="45"/>
      <c r="AN507" s="45"/>
      <c r="AO507" s="45"/>
      <c r="AP507" s="45"/>
      <c r="AQ507" s="45"/>
      <c r="AR507" s="45"/>
      <c r="AS507" s="45"/>
      <c r="AT507" s="45"/>
      <c r="AU507" s="45"/>
      <c r="AV507" s="45"/>
      <c r="AW507" s="45"/>
      <c r="AX507" s="45"/>
      <c r="AY507" s="45"/>
      <c r="AZ507" s="45"/>
      <c r="BA507" s="45"/>
      <c r="BB507" s="45"/>
      <c r="BC507" s="45"/>
      <c r="BD507" s="93"/>
      <c r="BE507" s="93"/>
      <c r="BF507" s="93"/>
      <c r="BG507" s="93"/>
      <c r="BH507" s="93"/>
      <c r="BI507" s="93"/>
      <c r="BJ507" s="93"/>
      <c r="BK507" s="93">
        <f>SUM($Z507:AD507)-SUM($CM507:CQ507)</f>
        <v>2200</v>
      </c>
      <c r="BL507" s="93">
        <f>SUM($Z507:AE507)-SUM($CM507:CR507)</f>
        <v>2200</v>
      </c>
      <c r="BM507" s="93">
        <f>SUM($Z507:AF507)-SUM($CM507:CS507)</f>
        <v>2200</v>
      </c>
      <c r="BN507" s="93">
        <f>SUM($Z507:AG507)-SUM($CM507:CT507)</f>
        <v>2200</v>
      </c>
      <c r="BO507" s="93">
        <f>SUM($Z507:AH507)-SUM($CM507:CU507)</f>
        <v>2200</v>
      </c>
      <c r="BP507" s="93">
        <f>SUM($Z507:AI507)-SUM($CM507:CV507)</f>
        <v>2200</v>
      </c>
      <c r="BQ507" s="93">
        <f>SUM($Z507:AJ507)-SUM($CM507:CW507)</f>
        <v>2200</v>
      </c>
      <c r="BR507" s="93">
        <f>SUM($Z507:AK507)-SUM($CM507:CX507)</f>
        <v>2200</v>
      </c>
      <c r="BS507" s="93">
        <f>SUM($Z507:AL507)-SUM($CM507:CY507)</f>
        <v>2200</v>
      </c>
      <c r="BT507" s="93">
        <f>SUM($Z507:AM507)-SUM($CM507:CZ507)</f>
        <v>2200</v>
      </c>
      <c r="BU507" s="93">
        <f>SUM($Z507:AN507)-SUM($CM507:DA507)</f>
        <v>2200</v>
      </c>
      <c r="BV507" s="93">
        <f>SUM($Z507:AO507)-SUM($CM507:DB507)</f>
        <v>2200</v>
      </c>
      <c r="BW507" s="93">
        <f>SUM($Z507:AP507)-SUM($CM507:DC507)</f>
        <v>2200</v>
      </c>
      <c r="BX507" s="93">
        <f>SUM($Z507:AQ507)-SUM($CM507:DD507)</f>
        <v>2200</v>
      </c>
      <c r="BY507" s="93">
        <f>SUM($Z507:AR507)-SUM($CM507:DE507)</f>
        <v>2200</v>
      </c>
      <c r="BZ507" s="93">
        <f>SUM($Z507:AS507)-SUM($CM507:DF507)</f>
        <v>2200</v>
      </c>
      <c r="CA507" s="93">
        <f>SUM($Z507:AT507)-SUM($CM507:DG507)</f>
        <v>2200</v>
      </c>
      <c r="CB507" s="93">
        <f>SUM($Z507:AU507)-SUM($CM507:DH507)</f>
        <v>2200</v>
      </c>
      <c r="CC507" s="93">
        <f>SUM($Z507:AV507)-SUM($CM507:DI507)</f>
        <v>2200</v>
      </c>
      <c r="CD507" s="93">
        <f>SUM($Z507:AW507)-SUM($CM507:DJ507)</f>
        <v>2200</v>
      </c>
      <c r="CE507" s="93">
        <f>SUM($Z507:AX507)-SUM($CM507:DK507)</f>
        <v>2200</v>
      </c>
      <c r="CF507" s="93">
        <f>SUM($Z507:AY507)-SUM($CM507:DL507)</f>
        <v>2200</v>
      </c>
      <c r="CG507" s="93">
        <f>SUM($Z507:AZ507)-SUM($CM507:DM507)</f>
        <v>2200</v>
      </c>
      <c r="CH507" s="93">
        <f>SUM($Z507:BA507)-SUM($CM507:DN507)</f>
        <v>2200</v>
      </c>
      <c r="CI507" s="93">
        <f>SUM($Z507:BB507)-SUM($CM507:DO507)</f>
        <v>2200</v>
      </c>
      <c r="CJ507" s="93"/>
      <c r="CK507" s="93"/>
      <c r="CL507" s="93"/>
      <c r="CM507" s="93"/>
      <c r="CN507" s="93" cm="1">
        <f t="array" ref="CN507">SUMPRODUCT(TRANSPOSE(CN$4:CN$20),$G507:$W507)</f>
        <v>0</v>
      </c>
      <c r="CO507" s="93" cm="1">
        <f t="array" ref="CO507">SUMPRODUCT(TRANSPOSE(CO$4:CO$20),$G507:$W507)</f>
        <v>0</v>
      </c>
      <c r="CP507" s="93" cm="1">
        <f t="array" ref="CP507">SUMPRODUCT(TRANSPOSE(CP$4:CP$20),$G507:$W507)</f>
        <v>0</v>
      </c>
      <c r="CQ507" s="93" cm="1">
        <f t="array" ref="CQ507">SUMPRODUCT(TRANSPOSE(CQ$4:CQ$20),$G507:$W507)</f>
        <v>0</v>
      </c>
      <c r="CR507" s="93" cm="1">
        <f t="array" ref="CR507">SUMPRODUCT(TRANSPOSE(CR$4:CR$20),$G507:$W507)</f>
        <v>0</v>
      </c>
      <c r="CS507" s="93" cm="1">
        <f t="array" ref="CS507">SUMPRODUCT(TRANSPOSE(CS$4:CS$20),$G507:$W507)</f>
        <v>0</v>
      </c>
      <c r="CT507" s="93" cm="1">
        <f t="array" ref="CT507">SUMPRODUCT(TRANSPOSE(CT$4:CT$20),$G507:$W507)</f>
        <v>0</v>
      </c>
      <c r="CU507" s="93" cm="1">
        <f t="array" ref="CU507">SUMPRODUCT(TRANSPOSE(CU$4:CU$20),$G507:$W507)</f>
        <v>0</v>
      </c>
      <c r="CV507" s="93" cm="1">
        <f t="array" ref="CV507">SUMPRODUCT(TRANSPOSE(CV$4:CV$20),$G507:$W507)</f>
        <v>0</v>
      </c>
      <c r="CW507" s="93" cm="1">
        <f t="array" ref="CW507">SUMPRODUCT(TRANSPOSE(CW$4:CW$20),$G507:$W507)</f>
        <v>0</v>
      </c>
      <c r="CX507" s="93" cm="1">
        <f t="array" ref="CX507">SUMPRODUCT(TRANSPOSE(CX$4:CX$20),$G507:$W507)</f>
        <v>0</v>
      </c>
      <c r="CY507" s="93" cm="1">
        <f t="array" ref="CY507">SUMPRODUCT(TRANSPOSE(CY$4:CY$20),$G507:$W507)</f>
        <v>0</v>
      </c>
      <c r="CZ507" s="93" cm="1">
        <f t="array" ref="CZ507">SUMPRODUCT(TRANSPOSE(CZ$4:CZ$20),$G507:$W507)</f>
        <v>0</v>
      </c>
      <c r="DA507" s="93" cm="1">
        <f t="array" ref="DA507">SUMPRODUCT(TRANSPOSE(DA$4:DA$20),$G507:$W507)</f>
        <v>0</v>
      </c>
      <c r="DB507" s="93" cm="1">
        <f t="array" ref="DB507">SUMPRODUCT(TRANSPOSE(DB$4:DB$20),$G507:$W507)</f>
        <v>0</v>
      </c>
      <c r="DC507" s="93" cm="1">
        <f t="array" ref="DC507">SUMPRODUCT(TRANSPOSE(DC$4:DC$20),$G507:$W507)</f>
        <v>0</v>
      </c>
      <c r="DD507" s="93" cm="1">
        <f t="array" ref="DD507">SUMPRODUCT(TRANSPOSE(DD$4:DD$20),$G507:$W507)</f>
        <v>0</v>
      </c>
      <c r="DE507" s="93" cm="1">
        <f t="array" ref="DE507">SUMPRODUCT(TRANSPOSE(DE$4:DE$20),$G507:$W507)</f>
        <v>0</v>
      </c>
      <c r="DF507" s="93" cm="1">
        <f t="array" ref="DF507">SUMPRODUCT(TRANSPOSE(DF$4:DF$20),$G507:$W507)</f>
        <v>0</v>
      </c>
      <c r="DG507" s="93" cm="1">
        <f t="array" ref="DG507">SUMPRODUCT(TRANSPOSE(DG$4:DG$20),$G507:$W507)</f>
        <v>0</v>
      </c>
      <c r="DH507" s="93" cm="1">
        <f t="array" ref="DH507">SUMPRODUCT(TRANSPOSE(DH$4:DH$20),$G507:$W507)</f>
        <v>0</v>
      </c>
      <c r="DI507" s="93" cm="1">
        <f t="array" ref="DI507">SUMPRODUCT(TRANSPOSE(DI$4:DI$20),$G507:$W507)</f>
        <v>0</v>
      </c>
      <c r="DJ507" s="93" cm="1">
        <f t="array" ref="DJ507">SUMPRODUCT(TRANSPOSE(DJ$4:DJ$20),$G507:$W507)</f>
        <v>0</v>
      </c>
      <c r="DK507" s="93" cm="1">
        <f t="array" ref="DK507">SUMPRODUCT(TRANSPOSE(DK$4:DK$20),$G507:$W507)</f>
        <v>0</v>
      </c>
      <c r="DL507" s="93" cm="1">
        <f t="array" ref="DL507">SUMPRODUCT(TRANSPOSE(DL$4:DL$20),$G507:$W507)</f>
        <v>0</v>
      </c>
      <c r="DM507" s="93" cm="1">
        <f t="array" ref="DM507">SUMPRODUCT(TRANSPOSE(DM$4:DM$20),$G507:$W507)</f>
        <v>0</v>
      </c>
      <c r="DN507" s="93" cm="1">
        <f t="array" ref="DN507">SUMPRODUCT(TRANSPOSE(DN$4:DN$20),$G507:$W507)</f>
        <v>0</v>
      </c>
      <c r="DO507" s="93" cm="1">
        <f t="array" ref="DO507">SUMPRODUCT(TRANSPOSE(DO$4:DO$20),$G507:$W507)</f>
        <v>0</v>
      </c>
    </row>
  </sheetData>
  <autoFilter ref="A21:DO507" xr:uid="{00000000-0009-0000-0000-000002000000}"/>
  <mergeCells count="3">
    <mergeCell ref="AA19:BC20"/>
    <mergeCell ref="BG1:CI3"/>
    <mergeCell ref="CM1:DO3"/>
  </mergeCells>
  <conditionalFormatting sqref="B3:B5 B7:B1048576">
    <cfRule type="duplicateValues" dxfId="2" priority="22"/>
  </conditionalFormatting>
  <conditionalFormatting sqref="G494:Y494 BD494:BG494 CJ494:CL494">
    <cfRule type="cellIs" dxfId="1" priority="25" operator="lessThan">
      <formula>0</formula>
    </cfRule>
    <cfRule type="cellIs" dxfId="0" priority="26" operator="greaterThan">
      <formula>0</formula>
    </cfRule>
  </conditionalFormatting>
  <hyperlinks>
    <hyperlink ref="B325" r:id="rId1" xr:uid="{00000000-0004-0000-0200-000000000000}"/>
    <hyperlink ref="B324" r:id="rId2" xr:uid="{00000000-0004-0000-0200-000001000000}"/>
    <hyperlink ref="B323" r:id="rId3" xr:uid="{00000000-0004-0000-0200-000002000000}"/>
    <hyperlink ref="B322" r:id="rId4" xr:uid="{00000000-0004-0000-0200-000003000000}"/>
    <hyperlink ref="B321" r:id="rId5" xr:uid="{00000000-0004-0000-0200-000004000000}"/>
    <hyperlink ref="B320" r:id="rId6" xr:uid="{00000000-0004-0000-0200-000005000000}"/>
    <hyperlink ref="B319" r:id="rId7" xr:uid="{00000000-0004-0000-0200-000006000000}"/>
    <hyperlink ref="B318" r:id="rId8" xr:uid="{00000000-0004-0000-0200-000007000000}"/>
    <hyperlink ref="B317" r:id="rId9" xr:uid="{00000000-0004-0000-0200-000008000000}"/>
    <hyperlink ref="B316" r:id="rId10" xr:uid="{00000000-0004-0000-0200-000009000000}"/>
    <hyperlink ref="B315" r:id="rId11" xr:uid="{00000000-0004-0000-0200-00000A000000}"/>
    <hyperlink ref="B314" r:id="rId12" xr:uid="{00000000-0004-0000-0200-00000B000000}"/>
    <hyperlink ref="B312" r:id="rId13" xr:uid="{00000000-0004-0000-0200-00000C000000}"/>
    <hyperlink ref="B311" r:id="rId14" xr:uid="{00000000-0004-0000-0200-00000D000000}"/>
    <hyperlink ref="B310" r:id="rId15" xr:uid="{00000000-0004-0000-0200-00000E000000}"/>
    <hyperlink ref="B309" r:id="rId16" xr:uid="{00000000-0004-0000-0200-00000F000000}"/>
    <hyperlink ref="B308" r:id="rId17" xr:uid="{00000000-0004-0000-0200-000010000000}"/>
    <hyperlink ref="B307" r:id="rId18" xr:uid="{00000000-0004-0000-0200-000011000000}"/>
    <hyperlink ref="B306" r:id="rId19" xr:uid="{00000000-0004-0000-0200-000012000000}"/>
    <hyperlink ref="B305" r:id="rId20" xr:uid="{00000000-0004-0000-0200-000013000000}"/>
    <hyperlink ref="B304" r:id="rId21" xr:uid="{00000000-0004-0000-0200-000014000000}"/>
    <hyperlink ref="B303" r:id="rId22" xr:uid="{00000000-0004-0000-0200-000015000000}"/>
    <hyperlink ref="B302" r:id="rId23" xr:uid="{00000000-0004-0000-0200-000016000000}"/>
    <hyperlink ref="B301" r:id="rId24" xr:uid="{00000000-0004-0000-0200-000017000000}"/>
    <hyperlink ref="B300" r:id="rId25" xr:uid="{00000000-0004-0000-0200-000018000000}"/>
    <hyperlink ref="B299" r:id="rId26" xr:uid="{00000000-0004-0000-0200-000019000000}"/>
    <hyperlink ref="B298" r:id="rId27" xr:uid="{00000000-0004-0000-0200-00001A000000}"/>
    <hyperlink ref="B297" r:id="rId28" xr:uid="{00000000-0004-0000-0200-00001B000000}"/>
    <hyperlink ref="B296" r:id="rId29" xr:uid="{00000000-0004-0000-0200-00001C000000}"/>
    <hyperlink ref="B295" r:id="rId30" xr:uid="{00000000-0004-0000-0200-00001D000000}"/>
    <hyperlink ref="B294" r:id="rId31" xr:uid="{00000000-0004-0000-0200-00001E000000}"/>
    <hyperlink ref="B293" r:id="rId32" xr:uid="{00000000-0004-0000-0200-00001F000000}"/>
    <hyperlink ref="B292" r:id="rId33" xr:uid="{00000000-0004-0000-0200-000020000000}"/>
    <hyperlink ref="B291" r:id="rId34" xr:uid="{00000000-0004-0000-0200-000021000000}"/>
    <hyperlink ref="B290" r:id="rId35" xr:uid="{00000000-0004-0000-0200-000022000000}"/>
    <hyperlink ref="B289" r:id="rId36" xr:uid="{00000000-0004-0000-0200-000023000000}"/>
    <hyperlink ref="B288" r:id="rId37" xr:uid="{00000000-0004-0000-0200-000024000000}"/>
    <hyperlink ref="B287" r:id="rId38" xr:uid="{00000000-0004-0000-0200-000025000000}"/>
    <hyperlink ref="B286" r:id="rId39" xr:uid="{00000000-0004-0000-0200-000026000000}"/>
    <hyperlink ref="B285" r:id="rId40" xr:uid="{00000000-0004-0000-0200-000027000000}"/>
    <hyperlink ref="B284" r:id="rId41" xr:uid="{00000000-0004-0000-0200-000028000000}"/>
    <hyperlink ref="B283" r:id="rId42" xr:uid="{00000000-0004-0000-0200-000029000000}"/>
    <hyperlink ref="B282" r:id="rId43" xr:uid="{00000000-0004-0000-0200-00002A000000}"/>
    <hyperlink ref="B281" r:id="rId44" xr:uid="{00000000-0004-0000-0200-00002B000000}"/>
    <hyperlink ref="B280" r:id="rId45" xr:uid="{00000000-0004-0000-0200-00002C000000}"/>
    <hyperlink ref="B279" r:id="rId46" xr:uid="{00000000-0004-0000-0200-00002D000000}"/>
    <hyperlink ref="B278" r:id="rId47" xr:uid="{00000000-0004-0000-0200-00002E000000}"/>
    <hyperlink ref="B277" r:id="rId48" xr:uid="{00000000-0004-0000-0200-00002F000000}"/>
    <hyperlink ref="B276" r:id="rId49" xr:uid="{00000000-0004-0000-0200-000030000000}"/>
    <hyperlink ref="B275" r:id="rId50" xr:uid="{00000000-0004-0000-0200-000031000000}"/>
    <hyperlink ref="B274" r:id="rId51" xr:uid="{00000000-0004-0000-0200-000032000000}"/>
    <hyperlink ref="B273" r:id="rId52" xr:uid="{00000000-0004-0000-0200-000033000000}"/>
    <hyperlink ref="B272" r:id="rId53" xr:uid="{00000000-0004-0000-0200-000034000000}"/>
    <hyperlink ref="B271" r:id="rId54" xr:uid="{00000000-0004-0000-0200-000035000000}"/>
    <hyperlink ref="B270" r:id="rId55" xr:uid="{00000000-0004-0000-0200-000036000000}"/>
    <hyperlink ref="B269" r:id="rId56" xr:uid="{00000000-0004-0000-0200-000037000000}"/>
    <hyperlink ref="B268" r:id="rId57" xr:uid="{00000000-0004-0000-0200-000038000000}"/>
    <hyperlink ref="B267" r:id="rId58" xr:uid="{00000000-0004-0000-0200-000039000000}"/>
    <hyperlink ref="B266" r:id="rId59" xr:uid="{00000000-0004-0000-0200-00003A000000}"/>
    <hyperlink ref="B265" r:id="rId60" xr:uid="{00000000-0004-0000-0200-00003B000000}"/>
    <hyperlink ref="B264" r:id="rId61" xr:uid="{00000000-0004-0000-0200-00003C000000}"/>
    <hyperlink ref="B263" r:id="rId62" xr:uid="{00000000-0004-0000-0200-00003D000000}"/>
    <hyperlink ref="B262" r:id="rId63" xr:uid="{00000000-0004-0000-0200-00003E000000}"/>
    <hyperlink ref="B261" r:id="rId64" xr:uid="{00000000-0004-0000-0200-00003F000000}"/>
    <hyperlink ref="B260" r:id="rId65" xr:uid="{00000000-0004-0000-0200-000040000000}"/>
    <hyperlink ref="B259" r:id="rId66" xr:uid="{00000000-0004-0000-0200-000041000000}"/>
    <hyperlink ref="B258" r:id="rId67" xr:uid="{00000000-0004-0000-0200-000042000000}"/>
    <hyperlink ref="B257" r:id="rId68" xr:uid="{00000000-0004-0000-0200-000043000000}"/>
    <hyperlink ref="B256" r:id="rId69" xr:uid="{00000000-0004-0000-0200-000044000000}"/>
    <hyperlink ref="B255" r:id="rId70" xr:uid="{00000000-0004-0000-0200-000045000000}"/>
    <hyperlink ref="B254" r:id="rId71" xr:uid="{00000000-0004-0000-0200-000046000000}"/>
    <hyperlink ref="B253" r:id="rId72" xr:uid="{00000000-0004-0000-0200-000047000000}"/>
    <hyperlink ref="B252" r:id="rId73" xr:uid="{00000000-0004-0000-0200-000048000000}"/>
    <hyperlink ref="B251" r:id="rId74" xr:uid="{00000000-0004-0000-0200-000049000000}"/>
    <hyperlink ref="B250" r:id="rId75" xr:uid="{00000000-0004-0000-0200-00004A000000}"/>
    <hyperlink ref="B249" r:id="rId76" xr:uid="{00000000-0004-0000-0200-00004B000000}"/>
    <hyperlink ref="B248" r:id="rId77" location="PBF" xr:uid="{00000000-0004-0000-0200-00004C000000}"/>
    <hyperlink ref="B247" r:id="rId78" location="TRPBF" xr:uid="{00000000-0004-0000-0200-00004D000000}"/>
    <hyperlink ref="B246" r:id="rId79" location="TRMPBF" xr:uid="{00000000-0004-0000-0200-00004E000000}"/>
    <hyperlink ref="B245" r:id="rId80" location="TRPBF" xr:uid="{00000000-0004-0000-0200-00004F000000}"/>
    <hyperlink ref="B244" r:id="rId81" xr:uid="{00000000-0004-0000-0200-000050000000}"/>
    <hyperlink ref="B243" r:id="rId82" xr:uid="{00000000-0004-0000-0200-000051000000}"/>
    <hyperlink ref="B242" r:id="rId83" xr:uid="{00000000-0004-0000-0200-000052000000}"/>
    <hyperlink ref="B241" r:id="rId84" xr:uid="{00000000-0004-0000-0200-000053000000}"/>
    <hyperlink ref="B240" r:id="rId85" xr:uid="{00000000-0004-0000-0200-000054000000}"/>
    <hyperlink ref="B239" r:id="rId86" xr:uid="{00000000-0004-0000-0200-000055000000}"/>
    <hyperlink ref="B238" r:id="rId87" xr:uid="{00000000-0004-0000-0200-000056000000}"/>
    <hyperlink ref="B237" r:id="rId88" xr:uid="{00000000-0004-0000-0200-000057000000}"/>
    <hyperlink ref="B236" r:id="rId89" xr:uid="{00000000-0004-0000-0200-000058000000}"/>
    <hyperlink ref="B235" r:id="rId90" location="300" xr:uid="{00000000-0004-0000-0200-000059000000}"/>
    <hyperlink ref="B234" r:id="rId91" xr:uid="{00000000-0004-0000-0200-00005A000000}"/>
    <hyperlink ref="B233" r:id="rId92" xr:uid="{00000000-0004-0000-0200-00005B000000}"/>
    <hyperlink ref="B232" r:id="rId93" xr:uid="{00000000-0004-0000-0200-00005C000000}"/>
    <hyperlink ref="B231" r:id="rId94" xr:uid="{00000000-0004-0000-0200-00005D000000}"/>
    <hyperlink ref="B230" r:id="rId95" xr:uid="{00000000-0004-0000-0200-00005E000000}"/>
    <hyperlink ref="B229" r:id="rId96" xr:uid="{00000000-0004-0000-0200-00005F000000}"/>
    <hyperlink ref="B228" r:id="rId97" xr:uid="{00000000-0004-0000-0200-000060000000}"/>
    <hyperlink ref="B227" r:id="rId98" xr:uid="{00000000-0004-0000-0200-000061000000}"/>
    <hyperlink ref="B226" r:id="rId99" xr:uid="{00000000-0004-0000-0200-000062000000}"/>
    <hyperlink ref="B225" r:id="rId100" xr:uid="{00000000-0004-0000-0200-000063000000}"/>
    <hyperlink ref="B224" r:id="rId101" xr:uid="{00000000-0004-0000-0200-000064000000}"/>
    <hyperlink ref="B223" r:id="rId102" xr:uid="{00000000-0004-0000-0200-000065000000}"/>
    <hyperlink ref="B222" r:id="rId103" xr:uid="{00000000-0004-0000-0200-000066000000}"/>
    <hyperlink ref="B221" r:id="rId104" xr:uid="{00000000-0004-0000-0200-000067000000}"/>
    <hyperlink ref="B220" r:id="rId105" xr:uid="{00000000-0004-0000-0200-000068000000}"/>
    <hyperlink ref="B219" r:id="rId106" xr:uid="{00000000-0004-0000-0200-000069000000}"/>
    <hyperlink ref="B218" r:id="rId107" xr:uid="{00000000-0004-0000-0200-00006A000000}"/>
    <hyperlink ref="B216" r:id="rId108" xr:uid="{00000000-0004-0000-0200-00006B000000}"/>
    <hyperlink ref="B215" r:id="rId109" xr:uid="{00000000-0004-0000-0200-00006C000000}"/>
    <hyperlink ref="B214" r:id="rId110" xr:uid="{00000000-0004-0000-0200-00006D000000}"/>
    <hyperlink ref="B213" r:id="rId111" xr:uid="{00000000-0004-0000-0200-00006E000000}"/>
    <hyperlink ref="B212" r:id="rId112" xr:uid="{00000000-0004-0000-0200-00006F000000}"/>
    <hyperlink ref="B211" r:id="rId113" xr:uid="{00000000-0004-0000-0200-000070000000}"/>
    <hyperlink ref="B210" r:id="rId114" xr:uid="{00000000-0004-0000-0200-000071000000}"/>
    <hyperlink ref="B209" r:id="rId115" xr:uid="{00000000-0004-0000-0200-000072000000}"/>
    <hyperlink ref="B208" r:id="rId116" xr:uid="{00000000-0004-0000-0200-000073000000}"/>
    <hyperlink ref="B207" r:id="rId117" xr:uid="{00000000-0004-0000-0200-000074000000}"/>
    <hyperlink ref="B206" r:id="rId118" xr:uid="{00000000-0004-0000-0200-000075000000}"/>
    <hyperlink ref="B205" r:id="rId119" xr:uid="{00000000-0004-0000-0200-000076000000}"/>
    <hyperlink ref="B204" r:id="rId120" xr:uid="{00000000-0004-0000-0200-000077000000}"/>
    <hyperlink ref="B203" r:id="rId121" xr:uid="{00000000-0004-0000-0200-000078000000}"/>
    <hyperlink ref="B202" r:id="rId122" xr:uid="{00000000-0004-0000-0200-000079000000}"/>
    <hyperlink ref="B201" r:id="rId123" xr:uid="{00000000-0004-0000-0200-00007A000000}"/>
    <hyperlink ref="B200" r:id="rId124" xr:uid="{00000000-0004-0000-0200-00007B000000}"/>
    <hyperlink ref="B199" r:id="rId125" xr:uid="{00000000-0004-0000-0200-00007C000000}"/>
    <hyperlink ref="B198" r:id="rId126" xr:uid="{00000000-0004-0000-0200-00007D000000}"/>
    <hyperlink ref="B197" r:id="rId127" xr:uid="{00000000-0004-0000-0200-00007E000000}"/>
    <hyperlink ref="B196" r:id="rId128" xr:uid="{00000000-0004-0000-0200-00007F000000}"/>
    <hyperlink ref="B195" r:id="rId129" xr:uid="{00000000-0004-0000-0200-000080000000}"/>
    <hyperlink ref="B194" r:id="rId130" xr:uid="{00000000-0004-0000-0200-000081000000}"/>
    <hyperlink ref="B193" r:id="rId131" xr:uid="{00000000-0004-0000-0200-000082000000}"/>
    <hyperlink ref="B192" r:id="rId132" xr:uid="{00000000-0004-0000-0200-000083000000}"/>
    <hyperlink ref="B191" r:id="rId133" xr:uid="{00000000-0004-0000-0200-000084000000}"/>
    <hyperlink ref="B190" r:id="rId134" xr:uid="{00000000-0004-0000-0200-000085000000}"/>
    <hyperlink ref="B189" r:id="rId135" xr:uid="{00000000-0004-0000-0200-000086000000}"/>
    <hyperlink ref="B188" r:id="rId136" xr:uid="{00000000-0004-0000-0200-000087000000}"/>
    <hyperlink ref="B187" r:id="rId137" xr:uid="{00000000-0004-0000-0200-000088000000}"/>
    <hyperlink ref="B186" r:id="rId138" xr:uid="{00000000-0004-0000-0200-000089000000}"/>
    <hyperlink ref="B185" r:id="rId139" xr:uid="{00000000-0004-0000-0200-00008A000000}"/>
    <hyperlink ref="B184" r:id="rId140" xr:uid="{00000000-0004-0000-0200-00008B000000}"/>
    <hyperlink ref="B183" r:id="rId141" xr:uid="{00000000-0004-0000-0200-00008C000000}"/>
    <hyperlink ref="B182" r:id="rId142" xr:uid="{00000000-0004-0000-0200-00008D000000}"/>
    <hyperlink ref="B181" r:id="rId143" xr:uid="{00000000-0004-0000-0200-00008E000000}"/>
    <hyperlink ref="B180" r:id="rId144" xr:uid="{00000000-0004-0000-0200-00008F000000}"/>
    <hyperlink ref="B179" r:id="rId145" xr:uid="{00000000-0004-0000-0200-000090000000}"/>
    <hyperlink ref="B178" r:id="rId146" xr:uid="{00000000-0004-0000-0200-000091000000}"/>
    <hyperlink ref="B177" r:id="rId147" xr:uid="{00000000-0004-0000-0200-000092000000}"/>
    <hyperlink ref="B176" r:id="rId148" xr:uid="{00000000-0004-0000-0200-000093000000}"/>
    <hyperlink ref="B175" r:id="rId149" xr:uid="{00000000-0004-0000-0200-000094000000}"/>
    <hyperlink ref="B174" r:id="rId150" xr:uid="{00000000-0004-0000-0200-000095000000}"/>
    <hyperlink ref="B173" r:id="rId151" xr:uid="{00000000-0004-0000-0200-000096000000}"/>
    <hyperlink ref="B172" r:id="rId152" xr:uid="{00000000-0004-0000-0200-000097000000}"/>
    <hyperlink ref="B171" r:id="rId153" xr:uid="{00000000-0004-0000-0200-000098000000}"/>
    <hyperlink ref="B170" r:id="rId154" xr:uid="{00000000-0004-0000-0200-000099000000}"/>
    <hyperlink ref="B169" r:id="rId155" xr:uid="{00000000-0004-0000-0200-00009A000000}"/>
    <hyperlink ref="B168" r:id="rId156" xr:uid="{00000000-0004-0000-0200-00009B000000}"/>
    <hyperlink ref="B167" r:id="rId157" xr:uid="{00000000-0004-0000-0200-00009C000000}"/>
    <hyperlink ref="B166" r:id="rId158" xr:uid="{00000000-0004-0000-0200-00009D000000}"/>
    <hyperlink ref="B165" r:id="rId159" xr:uid="{00000000-0004-0000-0200-00009E000000}"/>
    <hyperlink ref="B164" r:id="rId160" xr:uid="{00000000-0004-0000-0200-00009F000000}"/>
    <hyperlink ref="B163" r:id="rId161" xr:uid="{00000000-0004-0000-0200-0000A0000000}"/>
    <hyperlink ref="B162" r:id="rId162" xr:uid="{00000000-0004-0000-0200-0000A1000000}"/>
    <hyperlink ref="B161" r:id="rId163" xr:uid="{00000000-0004-0000-0200-0000A2000000}"/>
    <hyperlink ref="B160" r:id="rId164" xr:uid="{00000000-0004-0000-0200-0000A3000000}"/>
    <hyperlink ref="B159" r:id="rId165" xr:uid="{00000000-0004-0000-0200-0000A4000000}"/>
    <hyperlink ref="B158" r:id="rId166" xr:uid="{00000000-0004-0000-0200-0000A5000000}"/>
    <hyperlink ref="B157" r:id="rId167" xr:uid="{00000000-0004-0000-0200-0000A6000000}"/>
    <hyperlink ref="B156" r:id="rId168" xr:uid="{00000000-0004-0000-0200-0000A7000000}"/>
    <hyperlink ref="B155" r:id="rId169" xr:uid="{00000000-0004-0000-0200-0000A8000000}"/>
    <hyperlink ref="B154" r:id="rId170" xr:uid="{00000000-0004-0000-0200-0000A9000000}"/>
    <hyperlink ref="B153" r:id="rId171" xr:uid="{00000000-0004-0000-0200-0000AA000000}"/>
    <hyperlink ref="B152" r:id="rId172" xr:uid="{00000000-0004-0000-0200-0000AB000000}"/>
    <hyperlink ref="B151" r:id="rId173" xr:uid="{00000000-0004-0000-0200-0000AC000000}"/>
    <hyperlink ref="B150" r:id="rId174" xr:uid="{00000000-0004-0000-0200-0000AD000000}"/>
    <hyperlink ref="B149" r:id="rId175" xr:uid="{00000000-0004-0000-0200-0000AE000000}"/>
    <hyperlink ref="B148" r:id="rId176" xr:uid="{00000000-0004-0000-0200-0000AF000000}"/>
    <hyperlink ref="B147" r:id="rId177" display="http://eltweb04.elta.iai/pls/iman_Production/link_to_iman?item_id=429.002" xr:uid="{00000000-0004-0000-0200-0000B0000000}"/>
    <hyperlink ref="B146" r:id="rId178" xr:uid="{00000000-0004-0000-0200-0000B1000000}"/>
    <hyperlink ref="B145" r:id="rId179" xr:uid="{00000000-0004-0000-0200-0000B2000000}"/>
    <hyperlink ref="B144" r:id="rId180" xr:uid="{00000000-0004-0000-0200-0000B3000000}"/>
    <hyperlink ref="B143" r:id="rId181" xr:uid="{00000000-0004-0000-0200-0000B4000000}"/>
    <hyperlink ref="B142" r:id="rId182" xr:uid="{00000000-0004-0000-0200-0000B5000000}"/>
    <hyperlink ref="B141" r:id="rId183" xr:uid="{00000000-0004-0000-0200-0000B6000000}"/>
    <hyperlink ref="B140" r:id="rId184" xr:uid="{00000000-0004-0000-0200-0000B7000000}"/>
    <hyperlink ref="B139" r:id="rId185" xr:uid="{00000000-0004-0000-0200-0000B8000000}"/>
    <hyperlink ref="B138" r:id="rId186" xr:uid="{00000000-0004-0000-0200-0000B9000000}"/>
    <hyperlink ref="B137" r:id="rId187" xr:uid="{00000000-0004-0000-0200-0000BA000000}"/>
    <hyperlink ref="B136" r:id="rId188" xr:uid="{00000000-0004-0000-0200-0000BB000000}"/>
    <hyperlink ref="B135" r:id="rId189" xr:uid="{00000000-0004-0000-0200-0000BC000000}"/>
    <hyperlink ref="B134" r:id="rId190" xr:uid="{00000000-0004-0000-0200-0000BD000000}"/>
    <hyperlink ref="B133" r:id="rId191" xr:uid="{00000000-0004-0000-0200-0000BE000000}"/>
    <hyperlink ref="B132" r:id="rId192" xr:uid="{00000000-0004-0000-0200-0000BF000000}"/>
    <hyperlink ref="B131" r:id="rId193" xr:uid="{00000000-0004-0000-0200-0000C0000000}"/>
    <hyperlink ref="B130" r:id="rId194" xr:uid="{00000000-0004-0000-0200-0000C1000000}"/>
    <hyperlink ref="B129" r:id="rId195" xr:uid="{00000000-0004-0000-0200-0000C2000000}"/>
    <hyperlink ref="B128" r:id="rId196" xr:uid="{00000000-0004-0000-0200-0000C3000000}"/>
    <hyperlink ref="B127" r:id="rId197" xr:uid="{00000000-0004-0000-0200-0000C4000000}"/>
    <hyperlink ref="B126" r:id="rId198" xr:uid="{00000000-0004-0000-0200-0000C5000000}"/>
    <hyperlink ref="B125" r:id="rId199" xr:uid="{00000000-0004-0000-0200-0000C6000000}"/>
    <hyperlink ref="B124" r:id="rId200" xr:uid="{00000000-0004-0000-0200-0000C7000000}"/>
    <hyperlink ref="B123" r:id="rId201" xr:uid="{00000000-0004-0000-0200-0000C8000000}"/>
    <hyperlink ref="B122" r:id="rId202" xr:uid="{00000000-0004-0000-0200-0000C9000000}"/>
    <hyperlink ref="B121" r:id="rId203" xr:uid="{00000000-0004-0000-0200-0000CA000000}"/>
    <hyperlink ref="B120" r:id="rId204" xr:uid="{00000000-0004-0000-0200-0000CB000000}"/>
    <hyperlink ref="B119" r:id="rId205" xr:uid="{00000000-0004-0000-0200-0000CC000000}"/>
    <hyperlink ref="B118" r:id="rId206" xr:uid="{00000000-0004-0000-0200-0000CD000000}"/>
    <hyperlink ref="B117" r:id="rId207" xr:uid="{00000000-0004-0000-0200-0000CE000000}"/>
    <hyperlink ref="B116" r:id="rId208" xr:uid="{00000000-0004-0000-0200-0000CF000000}"/>
    <hyperlink ref="B115" r:id="rId209" xr:uid="{00000000-0004-0000-0200-0000D0000000}"/>
    <hyperlink ref="B114" r:id="rId210" xr:uid="{00000000-0004-0000-0200-0000D1000000}"/>
    <hyperlink ref="B113" r:id="rId211" xr:uid="{00000000-0004-0000-0200-0000D2000000}"/>
    <hyperlink ref="B112" r:id="rId212" xr:uid="{00000000-0004-0000-0200-0000D3000000}"/>
    <hyperlink ref="B111" r:id="rId213" xr:uid="{00000000-0004-0000-0200-0000D4000000}"/>
    <hyperlink ref="B110" r:id="rId214" xr:uid="{00000000-0004-0000-0200-0000D5000000}"/>
    <hyperlink ref="B109" r:id="rId215" xr:uid="{00000000-0004-0000-0200-0000D6000000}"/>
    <hyperlink ref="B108" r:id="rId216" xr:uid="{00000000-0004-0000-0200-0000D7000000}"/>
    <hyperlink ref="B107" r:id="rId217" xr:uid="{00000000-0004-0000-0200-0000D8000000}"/>
    <hyperlink ref="B106" r:id="rId218" xr:uid="{00000000-0004-0000-0200-0000D9000000}"/>
    <hyperlink ref="B105" r:id="rId219" xr:uid="{00000000-0004-0000-0200-0000DA000000}"/>
    <hyperlink ref="B104" r:id="rId220" xr:uid="{00000000-0004-0000-0200-0000DB000000}"/>
    <hyperlink ref="B103" r:id="rId221" xr:uid="{00000000-0004-0000-0200-0000DC000000}"/>
    <hyperlink ref="B102" r:id="rId222" xr:uid="{00000000-0004-0000-0200-0000DD000000}"/>
    <hyperlink ref="B101" r:id="rId223" xr:uid="{00000000-0004-0000-0200-0000DE000000}"/>
    <hyperlink ref="B100" r:id="rId224" xr:uid="{00000000-0004-0000-0200-0000DF000000}"/>
    <hyperlink ref="B99" r:id="rId225" xr:uid="{00000000-0004-0000-0200-0000E0000000}"/>
    <hyperlink ref="B98" r:id="rId226" xr:uid="{00000000-0004-0000-0200-0000E1000000}"/>
    <hyperlink ref="B97" r:id="rId227" xr:uid="{00000000-0004-0000-0200-0000E2000000}"/>
    <hyperlink ref="B96" r:id="rId228" xr:uid="{00000000-0004-0000-0200-0000E3000000}"/>
    <hyperlink ref="B95" r:id="rId229" xr:uid="{00000000-0004-0000-0200-0000E4000000}"/>
    <hyperlink ref="B94" r:id="rId230" xr:uid="{00000000-0004-0000-0200-0000E5000000}"/>
    <hyperlink ref="B93" r:id="rId231" xr:uid="{00000000-0004-0000-0200-0000E6000000}"/>
    <hyperlink ref="B92" r:id="rId232" xr:uid="{00000000-0004-0000-0200-0000E7000000}"/>
    <hyperlink ref="B91" r:id="rId233" xr:uid="{00000000-0004-0000-0200-0000E8000000}"/>
    <hyperlink ref="B90" r:id="rId234" xr:uid="{00000000-0004-0000-0200-0000E9000000}"/>
    <hyperlink ref="B89" r:id="rId235" xr:uid="{00000000-0004-0000-0200-0000EA000000}"/>
    <hyperlink ref="B88" r:id="rId236" xr:uid="{00000000-0004-0000-0200-0000EB000000}"/>
    <hyperlink ref="B87" r:id="rId237" xr:uid="{00000000-0004-0000-0200-0000EC000000}"/>
    <hyperlink ref="B86" r:id="rId238" xr:uid="{00000000-0004-0000-0200-0000ED000000}"/>
    <hyperlink ref="B85" r:id="rId239" xr:uid="{00000000-0004-0000-0200-0000EE000000}"/>
    <hyperlink ref="B84" r:id="rId240" xr:uid="{00000000-0004-0000-0200-0000EF000000}"/>
    <hyperlink ref="B83" r:id="rId241" xr:uid="{00000000-0004-0000-0200-0000F0000000}"/>
    <hyperlink ref="B82" r:id="rId242" xr:uid="{00000000-0004-0000-0200-0000F1000000}"/>
    <hyperlink ref="B81" r:id="rId243" xr:uid="{00000000-0004-0000-0200-0000F2000000}"/>
    <hyperlink ref="B80" r:id="rId244" xr:uid="{00000000-0004-0000-0200-0000F3000000}"/>
    <hyperlink ref="B79" r:id="rId245" xr:uid="{00000000-0004-0000-0200-0000F4000000}"/>
    <hyperlink ref="B78" r:id="rId246" xr:uid="{00000000-0004-0000-0200-0000F5000000}"/>
    <hyperlink ref="B77" r:id="rId247" xr:uid="{00000000-0004-0000-0200-0000F6000000}"/>
    <hyperlink ref="B76" r:id="rId248" xr:uid="{00000000-0004-0000-0200-0000F7000000}"/>
    <hyperlink ref="B75" r:id="rId249" xr:uid="{00000000-0004-0000-0200-0000F8000000}"/>
    <hyperlink ref="B74" r:id="rId250" xr:uid="{00000000-0004-0000-0200-0000F9000000}"/>
    <hyperlink ref="B73" r:id="rId251" xr:uid="{00000000-0004-0000-0200-0000FA000000}"/>
    <hyperlink ref="B72" r:id="rId252" xr:uid="{00000000-0004-0000-0200-0000FB000000}"/>
    <hyperlink ref="B71" r:id="rId253" xr:uid="{00000000-0004-0000-0200-0000FC000000}"/>
    <hyperlink ref="B70" r:id="rId254" xr:uid="{00000000-0004-0000-0200-0000FD000000}"/>
    <hyperlink ref="B69" r:id="rId255" xr:uid="{00000000-0004-0000-0200-0000FE000000}"/>
    <hyperlink ref="B68" r:id="rId256" xr:uid="{00000000-0004-0000-0200-0000FF000000}"/>
    <hyperlink ref="B67" r:id="rId257" xr:uid="{00000000-0004-0000-0200-000000010000}"/>
    <hyperlink ref="B66" r:id="rId258" xr:uid="{00000000-0004-0000-0200-000001010000}"/>
    <hyperlink ref="B65" r:id="rId259" xr:uid="{00000000-0004-0000-0200-000002010000}"/>
    <hyperlink ref="B64" r:id="rId260" xr:uid="{00000000-0004-0000-0200-000003010000}"/>
    <hyperlink ref="B63" r:id="rId261" xr:uid="{00000000-0004-0000-0200-000004010000}"/>
    <hyperlink ref="B62" r:id="rId262" xr:uid="{00000000-0004-0000-0200-000005010000}"/>
    <hyperlink ref="B61" r:id="rId263" xr:uid="{00000000-0004-0000-0200-000006010000}"/>
    <hyperlink ref="B60" r:id="rId264" xr:uid="{00000000-0004-0000-0200-000007010000}"/>
    <hyperlink ref="B59" r:id="rId265" xr:uid="{00000000-0004-0000-0200-000008010000}"/>
    <hyperlink ref="B58" r:id="rId266" xr:uid="{00000000-0004-0000-0200-000009010000}"/>
    <hyperlink ref="B57" r:id="rId267" xr:uid="{00000000-0004-0000-0200-00000A010000}"/>
    <hyperlink ref="B56" r:id="rId268" xr:uid="{00000000-0004-0000-0200-00000B010000}"/>
    <hyperlink ref="B55" r:id="rId269" xr:uid="{00000000-0004-0000-0200-00000C010000}"/>
    <hyperlink ref="B54" r:id="rId270" xr:uid="{00000000-0004-0000-0200-00000D010000}"/>
    <hyperlink ref="B53" r:id="rId271" xr:uid="{00000000-0004-0000-0200-00000E010000}"/>
    <hyperlink ref="B52" r:id="rId272" xr:uid="{00000000-0004-0000-0200-00000F010000}"/>
    <hyperlink ref="B51" r:id="rId273" xr:uid="{00000000-0004-0000-0200-000010010000}"/>
    <hyperlink ref="B50" r:id="rId274" xr:uid="{00000000-0004-0000-0200-000011010000}"/>
    <hyperlink ref="B49" r:id="rId275" xr:uid="{00000000-0004-0000-0200-000012010000}"/>
    <hyperlink ref="B48" r:id="rId276" xr:uid="{00000000-0004-0000-0200-000013010000}"/>
    <hyperlink ref="B47" r:id="rId277" xr:uid="{00000000-0004-0000-0200-000014010000}"/>
    <hyperlink ref="B46" r:id="rId278" xr:uid="{00000000-0004-0000-0200-000015010000}"/>
    <hyperlink ref="B45" r:id="rId279" xr:uid="{00000000-0004-0000-0200-000016010000}"/>
    <hyperlink ref="B44" r:id="rId280" xr:uid="{00000000-0004-0000-0200-000017010000}"/>
    <hyperlink ref="B43" r:id="rId281" xr:uid="{00000000-0004-0000-0200-000018010000}"/>
    <hyperlink ref="B42" r:id="rId282" xr:uid="{00000000-0004-0000-0200-000019010000}"/>
    <hyperlink ref="B41" r:id="rId283" xr:uid="{00000000-0004-0000-0200-00001A010000}"/>
    <hyperlink ref="B40" r:id="rId284" xr:uid="{00000000-0004-0000-0200-00001B010000}"/>
    <hyperlink ref="B39" r:id="rId285" display="http://eltweb04.elta.iai/pls/iman_Production/link_to_iman?item_id=1018419" xr:uid="{00000000-0004-0000-0200-00001C010000}"/>
    <hyperlink ref="B38" r:id="rId286" xr:uid="{00000000-0004-0000-0200-00001D010000}"/>
    <hyperlink ref="B37" r:id="rId287" xr:uid="{00000000-0004-0000-0200-00001E010000}"/>
    <hyperlink ref="B36" r:id="rId288" xr:uid="{00000000-0004-0000-0200-00001F010000}"/>
    <hyperlink ref="B35" r:id="rId289" xr:uid="{00000000-0004-0000-0200-000020010000}"/>
    <hyperlink ref="B34" r:id="rId290" xr:uid="{00000000-0004-0000-0200-000021010000}"/>
    <hyperlink ref="B33" r:id="rId291" xr:uid="{00000000-0004-0000-0200-000022010000}"/>
    <hyperlink ref="B32" r:id="rId292" xr:uid="{00000000-0004-0000-0200-000023010000}"/>
    <hyperlink ref="B31" r:id="rId293" xr:uid="{00000000-0004-0000-0200-000024010000}"/>
    <hyperlink ref="B30" r:id="rId294" xr:uid="{00000000-0004-0000-0200-000025010000}"/>
    <hyperlink ref="B29" r:id="rId295" xr:uid="{00000000-0004-0000-0200-000026010000}"/>
    <hyperlink ref="B28" r:id="rId296" xr:uid="{00000000-0004-0000-0200-000027010000}"/>
    <hyperlink ref="B27" r:id="rId297" display="http://eltweb04.elta.iai/pls/iman_Production/link_to_iman?item_id=0200090" xr:uid="{00000000-0004-0000-0200-000028010000}"/>
    <hyperlink ref="B26" r:id="rId298" xr:uid="{00000000-0004-0000-0200-000029010000}"/>
    <hyperlink ref="B24" r:id="rId299" xr:uid="{00000000-0004-0000-0200-00002A010000}"/>
    <hyperlink ref="B23" r:id="rId300" xr:uid="{00000000-0004-0000-0200-00002B010000}"/>
    <hyperlink ref="B22" r:id="rId301" xr:uid="{00000000-0004-0000-0200-00002C010000}"/>
    <hyperlink ref="B326" r:id="rId302" xr:uid="{00000000-0004-0000-0200-00002D010000}"/>
    <hyperlink ref="B327" r:id="rId303" xr:uid="{00000000-0004-0000-0200-00002E010000}"/>
    <hyperlink ref="B328" r:id="rId304" xr:uid="{00000000-0004-0000-0200-00002F010000}"/>
    <hyperlink ref="B329" r:id="rId305" xr:uid="{00000000-0004-0000-0200-000030010000}"/>
    <hyperlink ref="B330" r:id="rId306" xr:uid="{00000000-0004-0000-0200-000031010000}"/>
    <hyperlink ref="B331" r:id="rId307" xr:uid="{00000000-0004-0000-0200-000032010000}"/>
    <hyperlink ref="B334" r:id="rId308" xr:uid="{00000000-0004-0000-0200-000033010000}"/>
    <hyperlink ref="B335" r:id="rId309" xr:uid="{00000000-0004-0000-0200-000034010000}"/>
    <hyperlink ref="B336" r:id="rId310" xr:uid="{00000000-0004-0000-0200-000035010000}"/>
    <hyperlink ref="B337" r:id="rId311" xr:uid="{00000000-0004-0000-0200-000036010000}"/>
    <hyperlink ref="B338" r:id="rId312" xr:uid="{00000000-0004-0000-0200-000037010000}"/>
    <hyperlink ref="B339" r:id="rId313" xr:uid="{00000000-0004-0000-0200-000038010000}"/>
    <hyperlink ref="B340" r:id="rId314" xr:uid="{00000000-0004-0000-0200-000039010000}"/>
    <hyperlink ref="B341" r:id="rId315" xr:uid="{00000000-0004-0000-0200-00003A010000}"/>
    <hyperlink ref="B342" r:id="rId316" xr:uid="{00000000-0004-0000-0200-00003B010000}"/>
    <hyperlink ref="B343" r:id="rId317" xr:uid="{00000000-0004-0000-0200-00003C010000}"/>
    <hyperlink ref="B344" r:id="rId318" xr:uid="{00000000-0004-0000-0200-00003D010000}"/>
    <hyperlink ref="B345" r:id="rId319" xr:uid="{00000000-0004-0000-0200-00003E010000}"/>
    <hyperlink ref="B346" r:id="rId320" xr:uid="{00000000-0004-0000-0200-00003F010000}"/>
    <hyperlink ref="B347" r:id="rId321" xr:uid="{00000000-0004-0000-0200-000040010000}"/>
    <hyperlink ref="B348" r:id="rId322" xr:uid="{00000000-0004-0000-0200-000041010000}"/>
    <hyperlink ref="B349" r:id="rId323" xr:uid="{00000000-0004-0000-0200-000042010000}"/>
    <hyperlink ref="B350" r:id="rId324" xr:uid="{00000000-0004-0000-0200-000043010000}"/>
    <hyperlink ref="B351" r:id="rId325" xr:uid="{00000000-0004-0000-0200-000044010000}"/>
    <hyperlink ref="B352" r:id="rId326" xr:uid="{00000000-0004-0000-0200-000045010000}"/>
    <hyperlink ref="B353" r:id="rId327" xr:uid="{00000000-0004-0000-0200-000046010000}"/>
    <hyperlink ref="B354" r:id="rId328" xr:uid="{00000000-0004-0000-0200-000047010000}"/>
    <hyperlink ref="B355" r:id="rId329" xr:uid="{00000000-0004-0000-0200-000048010000}"/>
    <hyperlink ref="B356" r:id="rId330" xr:uid="{00000000-0004-0000-0200-000049010000}"/>
    <hyperlink ref="B357" r:id="rId331" xr:uid="{00000000-0004-0000-0200-00004A010000}"/>
    <hyperlink ref="B358" r:id="rId332" xr:uid="{00000000-0004-0000-0200-00004B010000}"/>
    <hyperlink ref="B359" r:id="rId333" xr:uid="{00000000-0004-0000-0200-00004C010000}"/>
    <hyperlink ref="B360" r:id="rId334" xr:uid="{00000000-0004-0000-0200-00004D010000}"/>
    <hyperlink ref="B361" r:id="rId335" xr:uid="{00000000-0004-0000-0200-00004E010000}"/>
    <hyperlink ref="B362" r:id="rId336" xr:uid="{00000000-0004-0000-0200-00004F010000}"/>
    <hyperlink ref="B363" r:id="rId337" xr:uid="{00000000-0004-0000-0200-000050010000}"/>
    <hyperlink ref="B364" r:id="rId338" xr:uid="{00000000-0004-0000-0200-000051010000}"/>
    <hyperlink ref="B365" r:id="rId339" xr:uid="{00000000-0004-0000-0200-000052010000}"/>
    <hyperlink ref="B366" r:id="rId340" xr:uid="{00000000-0004-0000-0200-000053010000}"/>
    <hyperlink ref="B367" r:id="rId341" xr:uid="{00000000-0004-0000-0200-000054010000}"/>
    <hyperlink ref="B369" r:id="rId342" xr:uid="{00000000-0004-0000-0200-000055010000}"/>
    <hyperlink ref="B370" r:id="rId343" xr:uid="{00000000-0004-0000-0200-000056010000}"/>
    <hyperlink ref="B371" r:id="rId344" xr:uid="{00000000-0004-0000-0200-000057010000}"/>
    <hyperlink ref="B372" r:id="rId345" xr:uid="{00000000-0004-0000-0200-000058010000}"/>
    <hyperlink ref="B373" r:id="rId346" xr:uid="{00000000-0004-0000-0200-000059010000}"/>
    <hyperlink ref="B374" r:id="rId347" xr:uid="{00000000-0004-0000-0200-00005A010000}"/>
    <hyperlink ref="B375" r:id="rId348" xr:uid="{00000000-0004-0000-0200-00005B010000}"/>
    <hyperlink ref="B376" r:id="rId349" xr:uid="{00000000-0004-0000-0200-00005C010000}"/>
    <hyperlink ref="B377" r:id="rId350" xr:uid="{00000000-0004-0000-0200-00005D010000}"/>
    <hyperlink ref="B378" r:id="rId351" xr:uid="{00000000-0004-0000-0200-00005E010000}"/>
    <hyperlink ref="B379" r:id="rId352" xr:uid="{00000000-0004-0000-0200-00005F010000}"/>
    <hyperlink ref="B380" r:id="rId353" xr:uid="{00000000-0004-0000-0200-000060010000}"/>
    <hyperlink ref="B381" r:id="rId354" xr:uid="{00000000-0004-0000-0200-000061010000}"/>
    <hyperlink ref="B382" r:id="rId355" xr:uid="{00000000-0004-0000-0200-000062010000}"/>
    <hyperlink ref="B383" r:id="rId356" xr:uid="{00000000-0004-0000-0200-000063010000}"/>
    <hyperlink ref="B384" r:id="rId357" xr:uid="{00000000-0004-0000-0200-000064010000}"/>
    <hyperlink ref="B385" r:id="rId358" xr:uid="{00000000-0004-0000-0200-000065010000}"/>
    <hyperlink ref="B386" r:id="rId359" xr:uid="{00000000-0004-0000-0200-000066010000}"/>
    <hyperlink ref="B387" r:id="rId360" xr:uid="{00000000-0004-0000-0200-000067010000}"/>
    <hyperlink ref="B388" r:id="rId361" xr:uid="{00000000-0004-0000-0200-000068010000}"/>
    <hyperlink ref="B389" r:id="rId362" xr:uid="{00000000-0004-0000-0200-000069010000}"/>
    <hyperlink ref="B390" r:id="rId363" xr:uid="{00000000-0004-0000-0200-00006A010000}"/>
    <hyperlink ref="B391" r:id="rId364" xr:uid="{00000000-0004-0000-0200-00006B010000}"/>
    <hyperlink ref="B392" r:id="rId365" xr:uid="{00000000-0004-0000-0200-00006C010000}"/>
    <hyperlink ref="B393" r:id="rId366" xr:uid="{00000000-0004-0000-0200-00006D010000}"/>
    <hyperlink ref="B394" r:id="rId367" xr:uid="{00000000-0004-0000-0200-00006E010000}"/>
    <hyperlink ref="B395" r:id="rId368" xr:uid="{00000000-0004-0000-0200-00006F010000}"/>
    <hyperlink ref="B396" r:id="rId369" xr:uid="{00000000-0004-0000-0200-000070010000}"/>
    <hyperlink ref="B397" r:id="rId370" xr:uid="{00000000-0004-0000-0200-000071010000}"/>
    <hyperlink ref="B398" r:id="rId371" xr:uid="{00000000-0004-0000-0200-000072010000}"/>
    <hyperlink ref="B399" r:id="rId372" xr:uid="{00000000-0004-0000-0200-000073010000}"/>
    <hyperlink ref="B400" r:id="rId373" xr:uid="{00000000-0004-0000-0200-000074010000}"/>
    <hyperlink ref="B401" r:id="rId374" xr:uid="{00000000-0004-0000-0200-000075010000}"/>
    <hyperlink ref="B402" r:id="rId375" xr:uid="{00000000-0004-0000-0200-000076010000}"/>
    <hyperlink ref="B403" r:id="rId376" xr:uid="{00000000-0004-0000-0200-000077010000}"/>
    <hyperlink ref="B404" r:id="rId377" xr:uid="{00000000-0004-0000-0200-000078010000}"/>
    <hyperlink ref="B405" r:id="rId378" xr:uid="{00000000-0004-0000-0200-000079010000}"/>
    <hyperlink ref="B406" r:id="rId379" xr:uid="{00000000-0004-0000-0200-00007A010000}"/>
    <hyperlink ref="B407" r:id="rId380" xr:uid="{00000000-0004-0000-0200-00007B010000}"/>
    <hyperlink ref="B408" r:id="rId381" xr:uid="{00000000-0004-0000-0200-00007C010000}"/>
    <hyperlink ref="B409" r:id="rId382" xr:uid="{00000000-0004-0000-0200-00007D010000}"/>
    <hyperlink ref="B410" r:id="rId383" xr:uid="{00000000-0004-0000-0200-00007E010000}"/>
    <hyperlink ref="B411" r:id="rId384" xr:uid="{00000000-0004-0000-0200-00007F010000}"/>
    <hyperlink ref="B412" r:id="rId385" xr:uid="{00000000-0004-0000-0200-000080010000}"/>
    <hyperlink ref="B413" r:id="rId386" xr:uid="{00000000-0004-0000-0200-000081010000}"/>
    <hyperlink ref="B414" r:id="rId387" xr:uid="{00000000-0004-0000-0200-000082010000}"/>
    <hyperlink ref="B415" r:id="rId388" xr:uid="{00000000-0004-0000-0200-000083010000}"/>
    <hyperlink ref="B416" r:id="rId389" xr:uid="{00000000-0004-0000-0200-000084010000}"/>
    <hyperlink ref="B417" r:id="rId390" xr:uid="{00000000-0004-0000-0200-000085010000}"/>
    <hyperlink ref="B418" r:id="rId391" xr:uid="{00000000-0004-0000-0200-000086010000}"/>
    <hyperlink ref="B419" r:id="rId392" xr:uid="{00000000-0004-0000-0200-000087010000}"/>
    <hyperlink ref="B420" r:id="rId393" xr:uid="{00000000-0004-0000-0200-000088010000}"/>
    <hyperlink ref="B421" r:id="rId394" xr:uid="{00000000-0004-0000-0200-000089010000}"/>
    <hyperlink ref="B422" r:id="rId395" xr:uid="{00000000-0004-0000-0200-00008A010000}"/>
    <hyperlink ref="B423" r:id="rId396" xr:uid="{00000000-0004-0000-0200-00008B010000}"/>
    <hyperlink ref="B424" r:id="rId397" xr:uid="{00000000-0004-0000-0200-00008C010000}"/>
    <hyperlink ref="B425" r:id="rId398" xr:uid="{00000000-0004-0000-0200-00008D010000}"/>
    <hyperlink ref="B426" r:id="rId399" xr:uid="{00000000-0004-0000-0200-00008E010000}"/>
    <hyperlink ref="B427" r:id="rId400" xr:uid="{00000000-0004-0000-0200-00008F010000}"/>
    <hyperlink ref="B428" r:id="rId401" xr:uid="{00000000-0004-0000-0200-000090010000}"/>
    <hyperlink ref="B429" r:id="rId402" xr:uid="{00000000-0004-0000-0200-000091010000}"/>
    <hyperlink ref="B430" r:id="rId403" xr:uid="{00000000-0004-0000-0200-000092010000}"/>
    <hyperlink ref="B431" r:id="rId404" xr:uid="{00000000-0004-0000-0200-000093010000}"/>
    <hyperlink ref="B432" r:id="rId405" xr:uid="{00000000-0004-0000-0200-000094010000}"/>
    <hyperlink ref="B433" r:id="rId406" xr:uid="{00000000-0004-0000-0200-000095010000}"/>
    <hyperlink ref="B434" r:id="rId407" xr:uid="{00000000-0004-0000-0200-000096010000}"/>
    <hyperlink ref="B435" r:id="rId408" xr:uid="{00000000-0004-0000-0200-000097010000}"/>
    <hyperlink ref="B436" r:id="rId409" xr:uid="{00000000-0004-0000-0200-000098010000}"/>
    <hyperlink ref="B437" r:id="rId410" xr:uid="{00000000-0004-0000-0200-000099010000}"/>
    <hyperlink ref="B438" r:id="rId411" xr:uid="{00000000-0004-0000-0200-00009A010000}"/>
    <hyperlink ref="B439" r:id="rId412" xr:uid="{00000000-0004-0000-0200-00009B010000}"/>
    <hyperlink ref="B441" r:id="rId413" xr:uid="{00000000-0004-0000-0200-00009C010000}"/>
    <hyperlink ref="B442" r:id="rId414" xr:uid="{00000000-0004-0000-0200-00009D010000}"/>
    <hyperlink ref="B443" r:id="rId415" xr:uid="{00000000-0004-0000-0200-00009E010000}"/>
    <hyperlink ref="B444" r:id="rId416" xr:uid="{00000000-0004-0000-0200-00009F010000}"/>
    <hyperlink ref="B445" r:id="rId417" xr:uid="{00000000-0004-0000-0200-0000A0010000}"/>
    <hyperlink ref="B446" r:id="rId418" xr:uid="{00000000-0004-0000-0200-0000A1010000}"/>
    <hyperlink ref="B447" r:id="rId419" xr:uid="{00000000-0004-0000-0200-0000A2010000}"/>
    <hyperlink ref="B448" r:id="rId420" xr:uid="{00000000-0004-0000-0200-0000A3010000}"/>
    <hyperlink ref="B449" r:id="rId421" xr:uid="{00000000-0004-0000-0200-0000A4010000}"/>
    <hyperlink ref="B450" r:id="rId422" xr:uid="{00000000-0004-0000-0200-0000A5010000}"/>
    <hyperlink ref="B451" r:id="rId423" xr:uid="{00000000-0004-0000-0200-0000A6010000}"/>
    <hyperlink ref="B452" r:id="rId424" xr:uid="{00000000-0004-0000-0200-0000A7010000}"/>
    <hyperlink ref="B453" r:id="rId425" xr:uid="{00000000-0004-0000-0200-0000A8010000}"/>
    <hyperlink ref="B454" r:id="rId426" xr:uid="{00000000-0004-0000-0200-0000A9010000}"/>
    <hyperlink ref="B455" r:id="rId427" xr:uid="{00000000-0004-0000-0200-0000AA010000}"/>
    <hyperlink ref="B456" r:id="rId428" xr:uid="{00000000-0004-0000-0200-0000AB010000}"/>
    <hyperlink ref="B457" r:id="rId429" xr:uid="{00000000-0004-0000-0200-0000AC010000}"/>
    <hyperlink ref="B458" r:id="rId430" xr:uid="{00000000-0004-0000-0200-0000AD010000}"/>
    <hyperlink ref="B459" r:id="rId431" xr:uid="{00000000-0004-0000-0200-0000AE010000}"/>
    <hyperlink ref="B460" r:id="rId432" xr:uid="{00000000-0004-0000-0200-0000AF010000}"/>
    <hyperlink ref="B461" r:id="rId433" xr:uid="{00000000-0004-0000-0200-0000B0010000}"/>
    <hyperlink ref="B462" r:id="rId434" xr:uid="{00000000-0004-0000-0200-0000B1010000}"/>
    <hyperlink ref="B463" r:id="rId435" xr:uid="{00000000-0004-0000-0200-0000B2010000}"/>
    <hyperlink ref="B464" r:id="rId436" xr:uid="{00000000-0004-0000-0200-0000B3010000}"/>
    <hyperlink ref="B465" r:id="rId437" xr:uid="{00000000-0004-0000-0200-0000B4010000}"/>
    <hyperlink ref="B466" r:id="rId438" xr:uid="{00000000-0004-0000-0200-0000B5010000}"/>
    <hyperlink ref="B467" r:id="rId439" xr:uid="{00000000-0004-0000-0200-0000B6010000}"/>
    <hyperlink ref="B468" r:id="rId440" xr:uid="{00000000-0004-0000-0200-0000B7010000}"/>
    <hyperlink ref="B469" r:id="rId441" xr:uid="{00000000-0004-0000-0200-0000B8010000}"/>
    <hyperlink ref="B470" r:id="rId442" xr:uid="{00000000-0004-0000-0200-0000B9010000}"/>
    <hyperlink ref="B471" r:id="rId443" xr:uid="{00000000-0004-0000-0200-0000BA010000}"/>
    <hyperlink ref="B472" r:id="rId444" xr:uid="{00000000-0004-0000-0200-0000BB010000}"/>
    <hyperlink ref="B473" r:id="rId445" xr:uid="{00000000-0004-0000-0200-0000BC010000}"/>
    <hyperlink ref="B474" r:id="rId446" xr:uid="{00000000-0004-0000-0200-0000BD010000}"/>
    <hyperlink ref="B475" r:id="rId447" xr:uid="{00000000-0004-0000-0200-0000BE010000}"/>
    <hyperlink ref="B476" r:id="rId448" xr:uid="{00000000-0004-0000-0200-0000BF010000}"/>
    <hyperlink ref="B477" r:id="rId449" xr:uid="{00000000-0004-0000-0200-0000C0010000}"/>
    <hyperlink ref="B478" r:id="rId450" xr:uid="{00000000-0004-0000-0200-0000C1010000}"/>
    <hyperlink ref="B479" r:id="rId451" xr:uid="{00000000-0004-0000-0200-0000C2010000}"/>
    <hyperlink ref="B480" r:id="rId452" xr:uid="{00000000-0004-0000-0200-0000C3010000}"/>
    <hyperlink ref="B481" r:id="rId453" xr:uid="{00000000-0004-0000-0200-0000C4010000}"/>
    <hyperlink ref="B482" r:id="rId454" xr:uid="{00000000-0004-0000-0200-0000C5010000}"/>
    <hyperlink ref="B483" r:id="rId455" xr:uid="{00000000-0004-0000-0200-0000C6010000}"/>
    <hyperlink ref="B484" r:id="rId456" xr:uid="{00000000-0004-0000-0200-0000C7010000}"/>
    <hyperlink ref="B217" r:id="rId457" xr:uid="{00000000-0004-0000-0200-0000C9010000}"/>
    <hyperlink ref="B485" r:id="rId458" xr:uid="{00000000-0004-0000-0200-0000CA010000}"/>
    <hyperlink ref="B486" r:id="rId459" xr:uid="{00000000-0004-0000-0200-0000CB010000}"/>
    <hyperlink ref="B487" r:id="rId460" xr:uid="{00000000-0004-0000-0200-0000CC010000}"/>
    <hyperlink ref="B488" r:id="rId461" xr:uid="{00000000-0004-0000-0200-0000CD010000}"/>
    <hyperlink ref="B489" r:id="rId462" xr:uid="{00000000-0004-0000-0200-0000CE010000}"/>
    <hyperlink ref="B490" r:id="rId463" xr:uid="{00000000-0004-0000-0200-0000CF010000}"/>
    <hyperlink ref="B491" r:id="rId464" xr:uid="{00000000-0004-0000-0200-0000D0010000}"/>
    <hyperlink ref="B492" r:id="rId465" xr:uid="{00000000-0004-0000-0200-0000D1010000}"/>
    <hyperlink ref="B493" r:id="rId466" xr:uid="{00000000-0004-0000-0200-0000D2010000}"/>
    <hyperlink ref="B494" r:id="rId467" xr:uid="{00000000-0004-0000-0200-0000D3010000}"/>
    <hyperlink ref="B440" r:id="rId468" xr:uid="{00000000-0004-0000-0200-0000D4010000}"/>
  </hyperlinks>
  <pageMargins left="0.7" right="0.7" top="0.75" bottom="0.75" header="0.3" footer="0.3"/>
  <pageSetup orientation="portrait" r:id="rId469"/>
  <legacyDrawing r:id="rId47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8C504AA7F77478497718D4070D644" ma:contentTypeVersion="12" ma:contentTypeDescription="Create a new document." ma:contentTypeScope="" ma:versionID="5f6d29a6e73f711883d459d7143ee12a">
  <xsd:schema xmlns:xsd="http://www.w3.org/2001/XMLSchema" xmlns:xs="http://www.w3.org/2001/XMLSchema" xmlns:p="http://schemas.microsoft.com/office/2006/metadata/properties" xmlns:ns2="ca43d8be-6803-4817-8958-a7bc4afc9835" xmlns:ns3="95f20607-3301-4a54-ae4b-a397312cae4c" targetNamespace="http://schemas.microsoft.com/office/2006/metadata/properties" ma:root="true" ma:fieldsID="8d37f2c076d8dbb7bdaffa21bc562e1e" ns2:_="" ns3:_="">
    <xsd:import namespace="ca43d8be-6803-4817-8958-a7bc4afc9835"/>
    <xsd:import namespace="95f20607-3301-4a54-ae4b-a397312cae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43d8be-6803-4817-8958-a7bc4afc98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cd35568-e9fe-4d39-8b19-79417c31f1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f20607-3301-4a54-ae4b-a397312cae4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9c996b7-99f2-4187-b7f9-494deace8621}" ma:internalName="TaxCatchAll" ma:showField="CatchAllData" ma:web="95f20607-3301-4a54-ae4b-a397312cae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a43d8be-6803-4817-8958-a7bc4afc9835">
      <Terms xmlns="http://schemas.microsoft.com/office/infopath/2007/PartnerControls"/>
    </lcf76f155ced4ddcb4097134ff3c332f>
    <TaxCatchAll xmlns="95f20607-3301-4a54-ae4b-a397312cae4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C8B439-0305-4F48-85FB-6224522CB1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a43d8be-6803-4817-8958-a7bc4afc9835"/>
    <ds:schemaRef ds:uri="95f20607-3301-4a54-ae4b-a397312cae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7585138-1F5A-4FA9-A5FE-561C03C22275}">
  <ds:schemaRefs>
    <ds:schemaRef ds:uri="ca43d8be-6803-4817-8958-a7bc4afc9835"/>
    <ds:schemaRef ds:uri="http://schemas.microsoft.com/office/2006/metadata/properties"/>
    <ds:schemaRef ds:uri="http://schemas.microsoft.com/office/2006/documentManagement/types"/>
    <ds:schemaRef ds:uri="95f20607-3301-4a54-ae4b-a397312cae4c"/>
    <ds:schemaRef ds:uri="http://purl.org/dc/elements/1.1/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9A6CC18-5CDA-4414-9CDF-2A72218F6B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Sheet3</vt:lpstr>
      <vt:lpstr>AVL</vt:lpstr>
    </vt:vector>
  </TitlesOfParts>
  <Manager/>
  <Company>ELTA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Oren Amram</dc:creator>
  <cp:keywords/>
  <dc:description/>
  <cp:lastModifiedBy>Amram Oren</cp:lastModifiedBy>
  <dcterms:created xsi:type="dcterms:W3CDTF">2024-11-19T04:13:52Z</dcterms:created>
  <dcterms:modified xsi:type="dcterms:W3CDTF">2026-08-07T09:04:33Z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0x01010005C8C504AA7F77478497718D4070D644</vt:lpwstr>
  </property>
  <property fmtid="{D5CDD505-2E9C-101B-9397-08002B2CF9AE}" pid="3" name="MediaServiceImageTags">
    <vt:lpwstr/>
  </property>
</Properties>
</file>